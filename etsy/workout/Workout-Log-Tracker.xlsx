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g" sheetId="2" state="visible" r:id="rId2"/>
    <sheet name="Exercises" sheetId="3" state="visible" r:id="rId3"/>
    <sheet name="Plan" sheetId="4" state="visible" r:id="rId4"/>
    <sheet name="Body" sheetId="5" state="visible" r:id="rId5"/>
    <sheet name="Calendar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.##"/>
    <numFmt numFmtId="167" formatCode="d mmm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b val="1"/>
      <color rgb="0015525A"/>
      <sz val="13"/>
    </font>
    <font>
      <name val="Arial"/>
      <b val="1"/>
      <color rgb="006B7B80"/>
      <sz val="9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5" fillId="2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/>
    </xf>
    <xf numFmtId="166" fontId="5" fillId="4" borderId="1" applyAlignment="1" pivotButton="0" quotePrefix="0" xfId="0">
      <alignment horizontal="center" vertical="center"/>
    </xf>
    <xf numFmtId="0" fontId="11" fillId="2" borderId="1" pivotButton="0" quotePrefix="0" xfId="0"/>
    <xf numFmtId="1" fontId="12" fillId="2" borderId="1" applyAlignment="1" pivotButton="0" quotePrefix="0" xfId="0">
      <alignment horizontal="right"/>
    </xf>
    <xf numFmtId="3" fontId="12" fillId="2" borderId="1" applyAlignment="1" pivotButton="0" quotePrefix="0" xfId="0">
      <alignment horizontal="right"/>
    </xf>
    <xf numFmtId="1" fontId="13" fillId="2" borderId="1" applyAlignment="1" pivotButton="0" quotePrefix="0" xfId="0">
      <alignment horizontal="right"/>
    </xf>
    <xf numFmtId="0" fontId="12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167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3" fontId="4" fillId="2" borderId="1" pivotButton="0" quotePrefix="0" xfId="0"/>
    <xf numFmtId="0" fontId="5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14" fillId="2" borderId="0" pivotButton="0" quotePrefix="0" xfId="0"/>
    <xf numFmtId="166" fontId="4" fillId="2" borderId="1" applyAlignment="1" pivotButton="0" quotePrefix="0" xfId="0">
      <alignment horizontal="center" vertical="center"/>
    </xf>
    <xf numFmtId="165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4" fillId="4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right" vertical="center"/>
    </xf>
    <xf numFmtId="0" fontId="4" fillId="4" borderId="1" pivotButton="0" quotePrefix="0" xfId="0"/>
    <xf numFmtId="165" fontId="4" fillId="2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6" fillId="2" borderId="0" pivotButton="0" quotePrefix="0" xfId="0"/>
    <xf numFmtId="0" fontId="8" fillId="2" borderId="0" pivotButton="0" quotePrefix="0" xfId="0"/>
    <xf numFmtId="0" fontId="7" fillId="4" borderId="1" pivotButton="0" quotePrefix="0" xfId="0"/>
    <xf numFmtId="1" fontId="4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right"/>
    </xf>
    <xf numFmtId="0" fontId="10" fillId="2" borderId="1" applyAlignment="1" pivotButton="0" quotePrefix="0" xfId="0">
      <alignment horizontal="center" vertical="center"/>
    </xf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6F2F2"/>
          <bgColor rgb="00E6F2F2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FFE2B8"/>
          <bgColor rgb="00FFE2B8"/>
        </patternFill>
      </fill>
    </dxf>
    <dxf>
      <font>
        <name val="Arial"/>
        <b val="1"/>
        <color rgb="007A5200"/>
      </font>
      <fill>
        <patternFill patternType="solid">
          <fgColor rgb="00FCE9B8"/>
          <bgColor rgb="00FCE9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CE9B8"/>
          <bgColor rgb="00FCE9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by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'Dashboard'!$E$10:$E$21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</a:t>
            </a:r>
          </a:p>
        </rich>
      </tx>
    </title>
    <plotArea>
      <lineChart>
        <grouping val="standard"/>
        <ser>
          <idx val="0"/>
          <order val="0"/>
          <tx>
            <strRef>
              <f>'Body'!L5</f>
            </strRef>
          </tx>
          <spPr>
            <a:ln w="28000">
              <a:solidFill>
                <a:srgbClr val="1F6F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'Body'!$K$6:$K$17</f>
            </numRef>
          </cat>
          <val>
            <numRef>
              <f>'Body'!$L$6:$L$17</f>
            </numRef>
          </val>
        </ser>
        <ser>
          <idx val="1"/>
          <order val="1"/>
          <tx>
            <strRef>
              <f>'Body'!M5</f>
            </strRef>
          </tx>
          <spPr>
            <a:ln>
              <a:solidFill>
                <a:srgbClr val="E0A21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'Body'!$K$6:$K$17</f>
            </numRef>
          </cat>
          <val>
            <numRef>
              <f>'Body'!$M$6:$M$17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</a:t>
            </a:r>
          </a:p>
        </rich>
      </tx>
    </title>
    <plotArea>
      <lineChart>
        <grouping val="standard"/>
        <ser>
          <idx val="0"/>
          <order val="0"/>
          <tx>
            <strRef>
              <f>'Body'!L5</f>
            </strRef>
          </tx>
          <spPr>
            <a:ln w="28000">
              <a:solidFill>
                <a:srgbClr val="1F6F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'Body'!$K$6:$K$17</f>
            </numRef>
          </cat>
          <val>
            <numRef>
              <f>'Body'!$L$6:$L$17</f>
            </numRef>
          </val>
        </ser>
        <ser>
          <idx val="1"/>
          <order val="1"/>
          <tx>
            <strRef>
              <f>'Body'!M5</f>
            </strRef>
          </tx>
          <spPr>
            <a:ln>
              <a:solidFill>
                <a:srgbClr val="E0A21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'Body'!$K$6:$K$17</f>
            </numRef>
          </cat>
          <val>
            <numRef>
              <f>'Body'!$M$6:$M$17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27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1" customWidth="1" min="3" max="3"/>
    <col width="12" customWidth="1" min="4" max="4"/>
    <col width="17" customWidth="1" min="5" max="5"/>
    <col width="14" customWidth="1" min="6" max="6"/>
    <col width="13" customWidth="1" min="7" max="7"/>
    <col width="3" customWidth="1" min="8" max="8"/>
    <col width="20" customWidth="1" min="9" max="9"/>
    <col width="13" customWidth="1" min="10" max="10"/>
    <col width="12" customWidth="1" min="11" max="11"/>
    <col width="11" customWidth="1" min="12" max="12"/>
    <col width="3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Training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The last 7 days, the last 12 weeks, your new bests and your weight.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Units</t>
        </is>
      </c>
      <c r="C4" s="5" t="inlineStr">
        <is>
          <t>lb</t>
        </is>
      </c>
      <c r="D4" s="1" t="n"/>
      <c r="E4" s="6" t="inlineStr">
        <is>
          <t>Goal weight</t>
        </is>
      </c>
      <c r="F4" s="7" t="n">
        <v>178</v>
      </c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Workouts, 7 days</t>
        </is>
      </c>
      <c r="C6" s="8" t="inlineStr">
        <is>
          <t>Sets, 7 days</t>
        </is>
      </c>
      <c r="D6" s="8" t="inlineStr">
        <is>
          <t>Volume, 7 days</t>
        </is>
      </c>
      <c r="E6" s="8" t="inlineStr">
        <is>
          <t>New bests, 30 days</t>
        </is>
      </c>
      <c r="F6" s="8" t="inlineStr">
        <is>
          <t>Weight now</t>
        </is>
      </c>
      <c r="G6" s="8" t="inlineStr">
        <is>
          <t>Since start</t>
        </is>
      </c>
      <c r="H6" s="1" t="n"/>
      <c r="I6" s="8" t="inlineStr">
        <is>
          <t>To goal</t>
        </is>
      </c>
      <c r="J6" s="1" t="n"/>
      <c r="K6" s="1" t="n"/>
      <c r="L6" s="1" t="n"/>
      <c r="M6" s="1" t="n"/>
      <c r="N6" s="1" t="n"/>
    </row>
    <row r="7" ht="34" customHeight="1">
      <c r="A7" s="1" t="n"/>
      <c r="B7" s="9">
        <f>COUNTIFS(Log!$V$6:$V$1505,1,Log!$B$6:$B$1505,"&gt;"&amp;TODAY()-7,Log!$B$6:$B$1505,"&lt;="&amp;TODAY())</f>
        <v/>
      </c>
      <c r="C7" s="9">
        <f>SUMIFS(Log!$O$6:$O$1505,Log!$B$6:$B$1505,"&gt;"&amp;TODAY()-7,Log!$B$6:$B$1505,"&lt;="&amp;TODAY())</f>
        <v/>
      </c>
      <c r="D7" s="10">
        <f>SUMIFS(Log!$P$6:$P$1505,Log!$B$6:$B$1505,"&gt;"&amp;TODAY()-7,Log!$B$6:$B$1505,"&lt;="&amp;TODAY())</f>
        <v/>
      </c>
      <c r="E7" s="11">
        <f>COUNTIFS(Log!$S$6:$S$1505,"New best",Log!$B$6:$B$1505,"&gt;"&amp;TODAY()-30)</f>
        <v/>
      </c>
      <c r="F7" s="12">
        <f>IFERROR(FIXED(INDEX(Body!$C$6:$C$405,MATCH(MAX(Body!$P$6:$P$405),Body!$P$6:$P$405,0)),1)&amp;" "&amp;$C$4,"")</f>
        <v/>
      </c>
      <c r="G7" s="12">
        <f>IFERROR(FIXED(INDEX(Body!$C$6:$C$405,MATCH(MAX(Body!$P$6:$P$405),Body!$P$6:$P$405,0))-INDEX(Body!$C$6:$C$405,MATCH(MIN(Body!$P$6:$P$405),Body!$P$6:$P$405,0)),1)&amp;" "&amp;$C$4,"")</f>
        <v/>
      </c>
      <c r="H7" s="1" t="n"/>
      <c r="I7" s="12">
        <f>IFERROR(IF(N($F$4)=0,"",FIXED(INDEX(Body!$C$6:$C$405,MATCH(MAX(Body!$P$6:$P$405),Body!$P$6:$P$405,0))-$F$4,1)&amp;" "&amp;$C$4),"")</f>
        <v/>
      </c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0" customHeight="1">
      <c r="A9" s="1" t="n"/>
      <c r="B9" s="13" t="inlineStr">
        <is>
          <t>Week of</t>
        </is>
      </c>
      <c r="C9" s="13" t="inlineStr">
        <is>
          <t>Workouts</t>
        </is>
      </c>
      <c r="D9" s="13" t="inlineStr">
        <is>
          <t>Sets</t>
        </is>
      </c>
      <c r="E9" s="13" t="inlineStr">
        <is>
          <t>Volume</t>
        </is>
      </c>
      <c r="F9" s="1" t="n"/>
      <c r="G9" s="1" t="n"/>
      <c r="H9" s="1" t="n"/>
      <c r="I9" s="13" t="inlineStr">
        <is>
          <t>Muscle group</t>
        </is>
      </c>
      <c r="J9" s="13" t="inlineStr">
        <is>
          <t>Sets, 7 days</t>
        </is>
      </c>
      <c r="K9" s="13" t="inlineStr">
        <is>
          <t>Sets, week before</t>
        </is>
      </c>
      <c r="L9" s="13" t="inlineStr"/>
      <c r="M9" s="1" t="n"/>
      <c r="N9" s="1" t="n"/>
    </row>
    <row r="10">
      <c r="A10" s="1" t="n"/>
      <c r="B10" s="14">
        <f>TODAY()-WEEKDAY(TODAY(),3)-77</f>
        <v/>
      </c>
      <c r="C10" s="15">
        <f>COUNTIFS(Log!$V$6:$V$1505,1,Log!$W$6:$W$1505,B10)</f>
        <v/>
      </c>
      <c r="D10" s="15">
        <f>SUMIFS(Log!$O$6:$O$1505,Log!$W$6:$W$1505,B10)</f>
        <v/>
      </c>
      <c r="E10" s="16">
        <f>SUMIFS(Log!$P$6:$P$1505,Log!$W$6:$W$1505,B10)</f>
        <v/>
      </c>
      <c r="F10" s="1" t="n"/>
      <c r="G10" s="1" t="n"/>
      <c r="H10" s="1" t="n"/>
      <c r="I10" s="17" t="inlineStr">
        <is>
          <t>Chest</t>
        </is>
      </c>
      <c r="J10" s="15">
        <f>SUMIFS(Log!$O$6:$O$1505,Log!$U$6:$U$1505,I10,Log!$B$6:$B$1505,"&gt;"&amp;TODAY()-7,Log!$B$6:$B$1505,"&lt;="&amp;TODAY())</f>
        <v/>
      </c>
      <c r="K10" s="15">
        <f>SUMIFS(Log!$O$6:$O$1505,Log!$U$6:$U$1505,I10,Log!$B$6:$B$1505,"&gt;"&amp;TODAY()-14,Log!$B$6:$B$1505,"&lt;="&amp;TODAY()-7)</f>
        <v/>
      </c>
      <c r="L10" s="18">
        <f>IF(N(J10)=0,"",IF(J10&lt;10,"Low",IF(J10&gt;20,"High","")))</f>
        <v/>
      </c>
      <c r="M10" s="1" t="n"/>
      <c r="N10" s="1" t="n"/>
    </row>
    <row r="11">
      <c r="A11" s="1" t="n"/>
      <c r="B11" s="14">
        <f>TODAY()-WEEKDAY(TODAY(),3)-70</f>
        <v/>
      </c>
      <c r="C11" s="15">
        <f>COUNTIFS(Log!$V$6:$V$1505,1,Log!$W$6:$W$1505,B11)</f>
        <v/>
      </c>
      <c r="D11" s="15">
        <f>SUMIFS(Log!$O$6:$O$1505,Log!$W$6:$W$1505,B11)</f>
        <v/>
      </c>
      <c r="E11" s="16">
        <f>SUMIFS(Log!$P$6:$P$1505,Log!$W$6:$W$1505,B11)</f>
        <v/>
      </c>
      <c r="F11" s="1" t="n"/>
      <c r="G11" s="1" t="n"/>
      <c r="H11" s="1" t="n"/>
      <c r="I11" s="17" t="inlineStr">
        <is>
          <t>Back</t>
        </is>
      </c>
      <c r="J11" s="15">
        <f>SUMIFS(Log!$O$6:$O$1505,Log!$U$6:$U$1505,I11,Log!$B$6:$B$1505,"&gt;"&amp;TODAY()-7,Log!$B$6:$B$1505,"&lt;="&amp;TODAY())</f>
        <v/>
      </c>
      <c r="K11" s="15">
        <f>SUMIFS(Log!$O$6:$O$1505,Log!$U$6:$U$1505,I11,Log!$B$6:$B$1505,"&gt;"&amp;TODAY()-14,Log!$B$6:$B$1505,"&lt;="&amp;TODAY()-7)</f>
        <v/>
      </c>
      <c r="L11" s="18">
        <f>IF(N(J11)=0,"",IF(J11&lt;10,"Low",IF(J11&gt;20,"High","")))</f>
        <v/>
      </c>
      <c r="M11" s="1" t="n"/>
      <c r="N11" s="1" t="n"/>
    </row>
    <row r="12">
      <c r="A12" s="1" t="n"/>
      <c r="B12" s="14">
        <f>TODAY()-WEEKDAY(TODAY(),3)-63</f>
        <v/>
      </c>
      <c r="C12" s="15">
        <f>COUNTIFS(Log!$V$6:$V$1505,1,Log!$W$6:$W$1505,B12)</f>
        <v/>
      </c>
      <c r="D12" s="15">
        <f>SUMIFS(Log!$O$6:$O$1505,Log!$W$6:$W$1505,B12)</f>
        <v/>
      </c>
      <c r="E12" s="16">
        <f>SUMIFS(Log!$P$6:$P$1505,Log!$W$6:$W$1505,B12)</f>
        <v/>
      </c>
      <c r="F12" s="1" t="n"/>
      <c r="G12" s="1" t="n"/>
      <c r="H12" s="1" t="n"/>
      <c r="I12" s="17" t="inlineStr">
        <is>
          <t>Shoulders</t>
        </is>
      </c>
      <c r="J12" s="15">
        <f>SUMIFS(Log!$O$6:$O$1505,Log!$U$6:$U$1505,I12,Log!$B$6:$B$1505,"&gt;"&amp;TODAY()-7,Log!$B$6:$B$1505,"&lt;="&amp;TODAY())</f>
        <v/>
      </c>
      <c r="K12" s="15">
        <f>SUMIFS(Log!$O$6:$O$1505,Log!$U$6:$U$1505,I12,Log!$B$6:$B$1505,"&gt;"&amp;TODAY()-14,Log!$B$6:$B$1505,"&lt;="&amp;TODAY()-7)</f>
        <v/>
      </c>
      <c r="L12" s="18">
        <f>IF(N(J12)=0,"",IF(J12&lt;10,"Low",IF(J12&gt;20,"High","")))</f>
        <v/>
      </c>
      <c r="M12" s="1" t="n"/>
      <c r="N12" s="1" t="n"/>
    </row>
    <row r="13">
      <c r="A13" s="1" t="n"/>
      <c r="B13" s="14">
        <f>TODAY()-WEEKDAY(TODAY(),3)-56</f>
        <v/>
      </c>
      <c r="C13" s="15">
        <f>COUNTIFS(Log!$V$6:$V$1505,1,Log!$W$6:$W$1505,B13)</f>
        <v/>
      </c>
      <c r="D13" s="15">
        <f>SUMIFS(Log!$O$6:$O$1505,Log!$W$6:$W$1505,B13)</f>
        <v/>
      </c>
      <c r="E13" s="16">
        <f>SUMIFS(Log!$P$6:$P$1505,Log!$W$6:$W$1505,B13)</f>
        <v/>
      </c>
      <c r="F13" s="1" t="n"/>
      <c r="G13" s="1" t="n"/>
      <c r="H13" s="1" t="n"/>
      <c r="I13" s="17" t="inlineStr">
        <is>
          <t>Arms</t>
        </is>
      </c>
      <c r="J13" s="15">
        <f>SUMIFS(Log!$O$6:$O$1505,Log!$U$6:$U$1505,I13,Log!$B$6:$B$1505,"&gt;"&amp;TODAY()-7,Log!$B$6:$B$1505,"&lt;="&amp;TODAY())</f>
        <v/>
      </c>
      <c r="K13" s="15">
        <f>SUMIFS(Log!$O$6:$O$1505,Log!$U$6:$U$1505,I13,Log!$B$6:$B$1505,"&gt;"&amp;TODAY()-14,Log!$B$6:$B$1505,"&lt;="&amp;TODAY()-7)</f>
        <v/>
      </c>
      <c r="L13" s="18">
        <f>IF(N(J13)=0,"",IF(J13&lt;10,"Low",IF(J13&gt;20,"High","")))</f>
        <v/>
      </c>
      <c r="M13" s="1" t="n"/>
      <c r="N13" s="1" t="n"/>
    </row>
    <row r="14">
      <c r="A14" s="1" t="n"/>
      <c r="B14" s="14">
        <f>TODAY()-WEEKDAY(TODAY(),3)-49</f>
        <v/>
      </c>
      <c r="C14" s="15">
        <f>COUNTIFS(Log!$V$6:$V$1505,1,Log!$W$6:$W$1505,B14)</f>
        <v/>
      </c>
      <c r="D14" s="15">
        <f>SUMIFS(Log!$O$6:$O$1505,Log!$W$6:$W$1505,B14)</f>
        <v/>
      </c>
      <c r="E14" s="16">
        <f>SUMIFS(Log!$P$6:$P$1505,Log!$W$6:$W$1505,B14)</f>
        <v/>
      </c>
      <c r="F14" s="1" t="n"/>
      <c r="G14" s="1" t="n"/>
      <c r="H14" s="1" t="n"/>
      <c r="I14" s="17" t="inlineStr">
        <is>
          <t>Legs</t>
        </is>
      </c>
      <c r="J14" s="15">
        <f>SUMIFS(Log!$O$6:$O$1505,Log!$U$6:$U$1505,I14,Log!$B$6:$B$1505,"&gt;"&amp;TODAY()-7,Log!$B$6:$B$1505,"&lt;="&amp;TODAY())</f>
        <v/>
      </c>
      <c r="K14" s="15">
        <f>SUMIFS(Log!$O$6:$O$1505,Log!$U$6:$U$1505,I14,Log!$B$6:$B$1505,"&gt;"&amp;TODAY()-14,Log!$B$6:$B$1505,"&lt;="&amp;TODAY()-7)</f>
        <v/>
      </c>
      <c r="L14" s="18">
        <f>IF(N(J14)=0,"",IF(J14&lt;10,"Low",IF(J14&gt;20,"High","")))</f>
        <v/>
      </c>
      <c r="M14" s="1" t="n"/>
      <c r="N14" s="1" t="n"/>
    </row>
    <row r="15">
      <c r="A15" s="1" t="n"/>
      <c r="B15" s="14">
        <f>TODAY()-WEEKDAY(TODAY(),3)-42</f>
        <v/>
      </c>
      <c r="C15" s="15">
        <f>COUNTIFS(Log!$V$6:$V$1505,1,Log!$W$6:$W$1505,B15)</f>
        <v/>
      </c>
      <c r="D15" s="15">
        <f>SUMIFS(Log!$O$6:$O$1505,Log!$W$6:$W$1505,B15)</f>
        <v/>
      </c>
      <c r="E15" s="16">
        <f>SUMIFS(Log!$P$6:$P$1505,Log!$W$6:$W$1505,B15)</f>
        <v/>
      </c>
      <c r="F15" s="1" t="n"/>
      <c r="G15" s="1" t="n"/>
      <c r="H15" s="1" t="n"/>
      <c r="I15" s="17" t="inlineStr">
        <is>
          <t>Glutes</t>
        </is>
      </c>
      <c r="J15" s="15">
        <f>SUMIFS(Log!$O$6:$O$1505,Log!$U$6:$U$1505,I15,Log!$B$6:$B$1505,"&gt;"&amp;TODAY()-7,Log!$B$6:$B$1505,"&lt;="&amp;TODAY())</f>
        <v/>
      </c>
      <c r="K15" s="15">
        <f>SUMIFS(Log!$O$6:$O$1505,Log!$U$6:$U$1505,I15,Log!$B$6:$B$1505,"&gt;"&amp;TODAY()-14,Log!$B$6:$B$1505,"&lt;="&amp;TODAY()-7)</f>
        <v/>
      </c>
      <c r="L15" s="18">
        <f>IF(N(J15)=0,"",IF(J15&lt;10,"Low",IF(J15&gt;20,"High","")))</f>
        <v/>
      </c>
      <c r="M15" s="1" t="n"/>
      <c r="N15" s="1" t="n"/>
    </row>
    <row r="16">
      <c r="A16" s="1" t="n"/>
      <c r="B16" s="14">
        <f>TODAY()-WEEKDAY(TODAY(),3)-35</f>
        <v/>
      </c>
      <c r="C16" s="15">
        <f>COUNTIFS(Log!$V$6:$V$1505,1,Log!$W$6:$W$1505,B16)</f>
        <v/>
      </c>
      <c r="D16" s="15">
        <f>SUMIFS(Log!$O$6:$O$1505,Log!$W$6:$W$1505,B16)</f>
        <v/>
      </c>
      <c r="E16" s="16">
        <f>SUMIFS(Log!$P$6:$P$1505,Log!$W$6:$W$1505,B16)</f>
        <v/>
      </c>
      <c r="F16" s="1" t="n"/>
      <c r="G16" s="1" t="n"/>
      <c r="H16" s="1" t="n"/>
      <c r="I16" s="17" t="inlineStr">
        <is>
          <t>Core</t>
        </is>
      </c>
      <c r="J16" s="15">
        <f>SUMIFS(Log!$O$6:$O$1505,Log!$U$6:$U$1505,I16,Log!$B$6:$B$1505,"&gt;"&amp;TODAY()-7,Log!$B$6:$B$1505,"&lt;="&amp;TODAY())</f>
        <v/>
      </c>
      <c r="K16" s="15">
        <f>SUMIFS(Log!$O$6:$O$1505,Log!$U$6:$U$1505,I16,Log!$B$6:$B$1505,"&gt;"&amp;TODAY()-14,Log!$B$6:$B$1505,"&lt;="&amp;TODAY()-7)</f>
        <v/>
      </c>
      <c r="L16" s="18">
        <f>IF(N(J16)=0,"",IF(J16&lt;10,"Low",IF(J16&gt;20,"High","")))</f>
        <v/>
      </c>
      <c r="M16" s="1" t="n"/>
      <c r="N16" s="1" t="n"/>
    </row>
    <row r="17">
      <c r="A17" s="1" t="n"/>
      <c r="B17" s="14">
        <f>TODAY()-WEEKDAY(TODAY(),3)-28</f>
        <v/>
      </c>
      <c r="C17" s="15">
        <f>COUNTIFS(Log!$V$6:$V$1505,1,Log!$W$6:$W$1505,B17)</f>
        <v/>
      </c>
      <c r="D17" s="15">
        <f>SUMIFS(Log!$O$6:$O$1505,Log!$W$6:$W$1505,B17)</f>
        <v/>
      </c>
      <c r="E17" s="16">
        <f>SUMIFS(Log!$P$6:$P$1505,Log!$W$6:$W$1505,B17)</f>
        <v/>
      </c>
      <c r="F17" s="1" t="n"/>
      <c r="G17" s="1" t="n"/>
      <c r="H17" s="1" t="n"/>
      <c r="I17" s="19" t="inlineStr">
        <is>
          <t>Many programs aim for 10 to 20 hard sets per muscle group each week.</t>
        </is>
      </c>
      <c r="J17" s="1" t="n"/>
      <c r="K17" s="1" t="n"/>
      <c r="L17" s="1" t="n"/>
      <c r="M17" s="1" t="n"/>
      <c r="N17" s="1" t="n"/>
    </row>
    <row r="18">
      <c r="A18" s="1" t="n"/>
      <c r="B18" s="14">
        <f>TODAY()-WEEKDAY(TODAY(),3)-21</f>
        <v/>
      </c>
      <c r="C18" s="15">
        <f>COUNTIFS(Log!$V$6:$V$1505,1,Log!$W$6:$W$1505,B18)</f>
        <v/>
      </c>
      <c r="D18" s="15">
        <f>SUMIFS(Log!$O$6:$O$1505,Log!$W$6:$W$1505,B18)</f>
        <v/>
      </c>
      <c r="E18" s="16">
        <f>SUMIFS(Log!$P$6:$P$1505,Log!$W$6:$W$1505,B18)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4">
        <f>TODAY()-WEEKDAY(TODAY(),3)-14</f>
        <v/>
      </c>
      <c r="C19" s="15">
        <f>COUNTIFS(Log!$V$6:$V$1505,1,Log!$W$6:$W$1505,B19)</f>
        <v/>
      </c>
      <c r="D19" s="15">
        <f>SUMIFS(Log!$O$6:$O$1505,Log!$W$6:$W$1505,B19)</f>
        <v/>
      </c>
      <c r="E19" s="16">
        <f>SUMIFS(Log!$P$6:$P$1505,Log!$W$6:$W$1505,B19)</f>
        <v/>
      </c>
      <c r="F19" s="1" t="n"/>
      <c r="G19" s="1" t="n"/>
      <c r="H19" s="1" t="n"/>
      <c r="I19" s="13" t="inlineStr">
        <is>
          <t>New bests</t>
        </is>
      </c>
      <c r="J19" s="13" t="inlineStr">
        <is>
          <t>Best set</t>
        </is>
      </c>
      <c r="K19" s="13" t="inlineStr">
        <is>
          <t>Est. max</t>
        </is>
      </c>
      <c r="L19" s="13" t="inlineStr">
        <is>
          <t>Date</t>
        </is>
      </c>
      <c r="M19" s="1" t="n"/>
      <c r="N19" s="1" t="n"/>
    </row>
    <row r="20">
      <c r="A20" s="1" t="n"/>
      <c r="B20" s="14">
        <f>TODAY()-WEEKDAY(TODAY(),3)-7</f>
        <v/>
      </c>
      <c r="C20" s="15">
        <f>COUNTIFS(Log!$V$6:$V$1505,1,Log!$W$6:$W$1505,B20)</f>
        <v/>
      </c>
      <c r="D20" s="15">
        <f>SUMIFS(Log!$O$6:$O$1505,Log!$W$6:$W$1505,B20)</f>
        <v/>
      </c>
      <c r="E20" s="16">
        <f>SUMIFS(Log!$P$6:$P$1505,Log!$W$6:$W$1505,B20)</f>
        <v/>
      </c>
      <c r="F20" s="1" t="n"/>
      <c r="G20" s="1" t="n"/>
      <c r="H20" s="1" t="n"/>
      <c r="I20" s="17">
        <f>IF(O20="","",INDEX(Log!$D$6:$D$1505,MATCH(O20,Log!$AC$6:$AC$1505,0)))</f>
        <v/>
      </c>
      <c r="J20" s="18">
        <f>IF(O20="","",INDEX(Log!$Q$6:$Q$1505,MATCH(O20,Log!$AC$6:$AC$1505,0)))</f>
        <v/>
      </c>
      <c r="K20" s="20">
        <f>IF(O20="","",INDEX(Log!$R$6:$R$1505,MATCH(O20,Log!$AC$6:$AC$1505,0)))</f>
        <v/>
      </c>
      <c r="L20" s="14">
        <f>IF(O20="","",INT(O20))</f>
        <v/>
      </c>
      <c r="M20" s="1" t="n"/>
      <c r="N20" s="1" t="n"/>
      <c r="O20">
        <f>IFERROR(LARGE(Log!$AC$6:$AC$1505,1),"")</f>
        <v/>
      </c>
    </row>
    <row r="21">
      <c r="A21" s="1" t="n"/>
      <c r="B21" s="14">
        <f>TODAY()-WEEKDAY(TODAY(),3)-0</f>
        <v/>
      </c>
      <c r="C21" s="15">
        <f>COUNTIFS(Log!$V$6:$V$1505,1,Log!$W$6:$W$1505,B21)</f>
        <v/>
      </c>
      <c r="D21" s="15">
        <f>SUMIFS(Log!$O$6:$O$1505,Log!$W$6:$W$1505,B21)</f>
        <v/>
      </c>
      <c r="E21" s="16">
        <f>SUMIFS(Log!$P$6:$P$1505,Log!$W$6:$W$1505,B21)</f>
        <v/>
      </c>
      <c r="F21" s="1" t="n"/>
      <c r="G21" s="1" t="n"/>
      <c r="H21" s="1" t="n"/>
      <c r="I21" s="17">
        <f>IF(O21="","",INDEX(Log!$D$6:$D$1505,MATCH(O21,Log!$AC$6:$AC$1505,0)))</f>
        <v/>
      </c>
      <c r="J21" s="18">
        <f>IF(O21="","",INDEX(Log!$Q$6:$Q$1505,MATCH(O21,Log!$AC$6:$AC$1505,0)))</f>
        <v/>
      </c>
      <c r="K21" s="20">
        <f>IF(O21="","",INDEX(Log!$R$6:$R$1505,MATCH(O21,Log!$AC$6:$AC$1505,0)))</f>
        <v/>
      </c>
      <c r="L21" s="14">
        <f>IF(O21="","",INT(O21))</f>
        <v/>
      </c>
      <c r="M21" s="1" t="n"/>
      <c r="N21" s="1" t="n"/>
      <c r="O21">
        <f>IFERROR(LARGE(Log!$AC$6:$AC$1505,2),"")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7">
        <f>IF(O22="","",INDEX(Log!$D$6:$D$1505,MATCH(O22,Log!$AC$6:$AC$1505,0)))</f>
        <v/>
      </c>
      <c r="J22" s="18">
        <f>IF(O22="","",INDEX(Log!$Q$6:$Q$1505,MATCH(O22,Log!$AC$6:$AC$1505,0)))</f>
        <v/>
      </c>
      <c r="K22" s="20">
        <f>IF(O22="","",INDEX(Log!$R$6:$R$1505,MATCH(O22,Log!$AC$6:$AC$1505,0)))</f>
        <v/>
      </c>
      <c r="L22" s="14">
        <f>IF(O22="","",INT(O22))</f>
        <v/>
      </c>
      <c r="M22" s="1" t="n"/>
      <c r="N22" s="1" t="n"/>
      <c r="O22">
        <f>IFERROR(LARGE(Log!$AC$6:$AC$1505,3),"")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7">
        <f>IF(O23="","",INDEX(Log!$D$6:$D$1505,MATCH(O23,Log!$AC$6:$AC$1505,0)))</f>
        <v/>
      </c>
      <c r="J23" s="18">
        <f>IF(O23="","",INDEX(Log!$Q$6:$Q$1505,MATCH(O23,Log!$AC$6:$AC$1505,0)))</f>
        <v/>
      </c>
      <c r="K23" s="20">
        <f>IF(O23="","",INDEX(Log!$R$6:$R$1505,MATCH(O23,Log!$AC$6:$AC$1505,0)))</f>
        <v/>
      </c>
      <c r="L23" s="14">
        <f>IF(O23="","",INT(O23))</f>
        <v/>
      </c>
      <c r="M23" s="1" t="n"/>
      <c r="N23" s="1" t="n"/>
      <c r="O23">
        <f>IFERROR(LARGE(Log!$AC$6:$AC$1505,4),"")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7">
        <f>IF(O24="","",INDEX(Log!$D$6:$D$1505,MATCH(O24,Log!$AC$6:$AC$1505,0)))</f>
        <v/>
      </c>
      <c r="J24" s="18">
        <f>IF(O24="","",INDEX(Log!$Q$6:$Q$1505,MATCH(O24,Log!$AC$6:$AC$1505,0)))</f>
        <v/>
      </c>
      <c r="K24" s="20">
        <f>IF(O24="","",INDEX(Log!$R$6:$R$1505,MATCH(O24,Log!$AC$6:$AC$1505,0)))</f>
        <v/>
      </c>
      <c r="L24" s="14">
        <f>IF(O24="","",INT(O24))</f>
        <v/>
      </c>
      <c r="M24" s="1" t="n"/>
      <c r="N24" s="1" t="n"/>
      <c r="O24">
        <f>IFERROR(LARGE(Log!$AC$6:$AC$1505,5),"")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7">
        <f>IF(O25="","",INDEX(Log!$D$6:$D$1505,MATCH(O25,Log!$AC$6:$AC$1505,0)))</f>
        <v/>
      </c>
      <c r="J25" s="18">
        <f>IF(O25="","",INDEX(Log!$Q$6:$Q$1505,MATCH(O25,Log!$AC$6:$AC$1505,0)))</f>
        <v/>
      </c>
      <c r="K25" s="20">
        <f>IF(O25="","",INDEX(Log!$R$6:$R$1505,MATCH(O25,Log!$AC$6:$AC$1505,0)))</f>
        <v/>
      </c>
      <c r="L25" s="14">
        <f>IF(O25="","",INT(O25))</f>
        <v/>
      </c>
      <c r="M25" s="1" t="n"/>
      <c r="N25" s="1" t="n"/>
      <c r="O25">
        <f>IFERROR(LARGE(Log!$AC$6:$AC$1505,6),"")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conditionalFormatting sqref="B21:E21">
    <cfRule type="expression" priority="1" dxfId="0">
      <formula>TRUE</formula>
    </cfRule>
  </conditionalFormatting>
  <conditionalFormatting sqref="L10:L16">
    <cfRule type="expression" priority="2" dxfId="1">
      <formula>L10="Low"</formula>
    </cfRule>
    <cfRule type="expression" priority="3" dxfId="2">
      <formula>L10="High"</formula>
    </cfRule>
  </conditionalFormatting>
  <dataValidations count="1">
    <dataValidation sqref="C4" showDropDown="0" showInputMessage="0" showErrorMessage="1" allowBlank="1" type="list">
      <formula1>"lb,kg"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1506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22" customWidth="1" min="4" max="4"/>
    <col width="7" customWidth="1" min="5" max="5"/>
    <col width="6" customWidth="1" min="6" max="6"/>
    <col width="7" customWidth="1" min="7" max="7"/>
    <col width="6" customWidth="1" min="8" max="8"/>
    <col width="7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7" customWidth="1" min="15" max="15"/>
    <col width="11" customWidth="1" min="16" max="16"/>
    <col width="11" customWidth="1" min="17" max="17"/>
    <col width="9" customWidth="1" min="18" max="18"/>
    <col width="11" customWidth="1" min="19" max="19"/>
    <col width="22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2" customHeight="1">
      <c r="A2" s="1" t="n"/>
      <c r="B2" s="2" t="inlineStr">
        <is>
          <t>Workout log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n"/>
      <c r="B3" s="3" t="inlineStr">
        <is>
          <t>One line per exercise, with up to five sets. For a bodyweight exercise leave the weight empty.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30" customHeight="1">
      <c r="A5" s="1" t="n"/>
      <c r="B5" s="13" t="inlineStr">
        <is>
          <t>Date</t>
        </is>
      </c>
      <c r="C5" s="13" t="inlineStr">
        <is>
          <t>Workout</t>
        </is>
      </c>
      <c r="D5" s="13" t="inlineStr">
        <is>
          <t>Exercise</t>
        </is>
      </c>
      <c r="E5" s="13" t="inlineStr">
        <is>
          <t>Set 1</t>
        </is>
      </c>
      <c r="F5" s="13" t="inlineStr">
        <is>
          <t>Reps</t>
        </is>
      </c>
      <c r="G5" s="13" t="inlineStr">
        <is>
          <t>Set 2</t>
        </is>
      </c>
      <c r="H5" s="13" t="inlineStr">
        <is>
          <t>Reps</t>
        </is>
      </c>
      <c r="I5" s="13" t="inlineStr">
        <is>
          <t>Set 3</t>
        </is>
      </c>
      <c r="J5" s="13" t="inlineStr">
        <is>
          <t>Reps</t>
        </is>
      </c>
      <c r="K5" s="13" t="inlineStr">
        <is>
          <t>Set 4</t>
        </is>
      </c>
      <c r="L5" s="13" t="inlineStr">
        <is>
          <t>Reps</t>
        </is>
      </c>
      <c r="M5" s="13" t="inlineStr">
        <is>
          <t>Set 5</t>
        </is>
      </c>
      <c r="N5" s="13" t="inlineStr">
        <is>
          <t>Reps</t>
        </is>
      </c>
      <c r="O5" s="13" t="inlineStr">
        <is>
          <t>Sets</t>
        </is>
      </c>
      <c r="P5" s="13" t="inlineStr">
        <is>
          <t>Volume</t>
        </is>
      </c>
      <c r="Q5" s="13" t="inlineStr">
        <is>
          <t>Best set</t>
        </is>
      </c>
      <c r="R5" s="13" t="inlineStr">
        <is>
          <t>Est. max</t>
        </is>
      </c>
      <c r="S5" s="13" t="inlineStr">
        <is>
          <t>New best</t>
        </is>
      </c>
      <c r="T5" s="13" t="inlineStr">
        <is>
          <t>Note</t>
        </is>
      </c>
      <c r="U5" s="1" t="n"/>
    </row>
    <row r="6">
      <c r="A6" s="1" t="n"/>
      <c r="B6" s="21" t="n">
        <v>46209</v>
      </c>
      <c r="C6" s="22" t="inlineStr">
        <is>
          <t>Push</t>
        </is>
      </c>
      <c r="D6" s="23" t="inlineStr">
        <is>
          <t>Bench press</t>
        </is>
      </c>
      <c r="E6" s="24" t="n">
        <v>135</v>
      </c>
      <c r="F6" s="24" t="n">
        <v>7</v>
      </c>
      <c r="G6" s="24" t="n">
        <v>135</v>
      </c>
      <c r="H6" s="24" t="n">
        <v>7</v>
      </c>
      <c r="I6" s="24" t="n">
        <v>135</v>
      </c>
      <c r="J6" s="24" t="n">
        <v>6</v>
      </c>
      <c r="K6" s="24" t="n">
        <v>135</v>
      </c>
      <c r="L6" s="24" t="n">
        <v>6</v>
      </c>
      <c r="M6" s="24" t="n"/>
      <c r="N6" s="24" t="n"/>
      <c r="O6" s="15">
        <f>IF(D6="","",COUNT(F6,H6,J6,L6,N6))</f>
        <v/>
      </c>
      <c r="P6" s="25">
        <f>IF(D6="","",N(E6)*N(F6)+N(G6)*N(H6)+N(I6)*N(J6)+N(K6)*N(L6)+N(M6)*N(N6))</f>
        <v/>
      </c>
      <c r="Q6" s="18">
        <f>IF(N(X6)=0,"",IF(IF(N(F6)=0,0,IF(N(E6)&gt;0,E6*(1+F6/30),F6))=X6,IF(N(E6)&gt;0,E6&amp;" x "&amp;F6,F6&amp;" reps"),IF(IF(N(H6)=0,0,IF(N(G6)&gt;0,G6*(1+H6/30),H6))=X6,IF(N(G6)&gt;0,G6&amp;" x "&amp;H6,H6&amp;" reps"),IF(IF(N(J6)=0,0,IF(N(I6)&gt;0,I6*(1+J6/30),J6))=X6,IF(N(I6)&gt;0,I6&amp;" x "&amp;J6,J6&amp;" reps"),IF(IF(N(L6)=0,0,IF(N(K6)&gt;0,K6*(1+L6/30),L6))=X6,IF(N(K6)&gt;0,K6&amp;" x "&amp;L6,L6&amp;" reps"),IF(IF(N(N6)=0,0,IF(N(M6)&gt;0,M6*(1+N6/30),N6))=X6,IF(N(M6)&gt;0,M6&amp;" x "&amp;N6,N6&amp;" reps"),""))))))</f>
        <v/>
      </c>
      <c r="R6" s="20">
        <f>IF(N(X6)=0,"",ROUND(X6,1))</f>
        <v/>
      </c>
      <c r="S6" s="18">
        <f>IF(N(X6)=0,"",IF(AND(COUNTIFS(Log!$D$6:$D$1505,D6,Log!$B$6:$B$1505,"&lt;"&amp;B6)&gt;0,COUNTIFS(Log!$D$6:$D$1505,D6,Log!$B$6:$B$1505,"&lt;"&amp;B6,Log!$X$6:$X$1505,"&gt;="&amp;X6)=0),"New best",""))</f>
        <v/>
      </c>
      <c r="T6" s="26" t="n"/>
      <c r="U6" s="1">
        <f>IF(D6="","",IFERROR(INDEX(Exercises!$C$6:$C$105,MATCH(D6,Exercises!$B$6:$B$105,0)),"Other"))</f>
        <v/>
      </c>
      <c r="V6">
        <f>IF(B6="","",IF(COUNTIF($B$6:B6,B6)=1,1,0))</f>
        <v/>
      </c>
      <c r="W6">
        <f>IF(B6="","",B6-WEEKDAY(B6,3))</f>
        <v/>
      </c>
      <c r="X6">
        <f>IF(D6="","",MAX(IF(N(F6)=0,0,IF(N(E6)&gt;0,E6*(1+F6/30),F6)),IF(N(H6)=0,0,IF(N(G6)&gt;0,G6*(1+H6/30),H6)),IF(N(J6)=0,0,IF(N(I6)&gt;0,I6*(1+J6/30),J6)),IF(N(L6)=0,0,IF(N(K6)&gt;0,K6*(1+L6/30),L6)),IF(N(N6)=0,0,IF(N(M6)&gt;0,M6*(1+N6/30),N6))))</f>
        <v/>
      </c>
      <c r="Y6">
        <f>IF(N(X6)=0,"",X6+ROW()/1000000000)</f>
        <v/>
      </c>
      <c r="Z6">
        <f>IF(Y6="","",IF(COUNTIFS(Log!$D$6:$D$1505,D6,Log!$Y$6:$Y$1505,"&gt;"&amp;Y6)=0,1,0))</f>
        <v/>
      </c>
      <c r="AA6">
        <f>IF(OR(B6="",D6=""),"",B6+ROW()/10000000)</f>
        <v/>
      </c>
      <c r="AB6">
        <f>IF(AA6="","",IF(COUNTIFS(Log!$D$6:$D$1505,D6,Log!$AA$6:$AA$1505,"&gt;"&amp;AA6)=0,1,0))</f>
        <v/>
      </c>
      <c r="AC6">
        <f>IF(S6="New best",AA6,"")</f>
        <v/>
      </c>
      <c r="AD6">
        <f>ROW()</f>
        <v/>
      </c>
    </row>
    <row r="7">
      <c r="A7" s="1" t="n"/>
      <c r="B7" s="21" t="n">
        <v>46209</v>
      </c>
      <c r="C7" s="22" t="inlineStr">
        <is>
          <t>Push</t>
        </is>
      </c>
      <c r="D7" s="23" t="inlineStr">
        <is>
          <t>Overhead press</t>
        </is>
      </c>
      <c r="E7" s="24" t="n">
        <v>85</v>
      </c>
      <c r="F7" s="24" t="n">
        <v>10</v>
      </c>
      <c r="G7" s="24" t="n">
        <v>85</v>
      </c>
      <c r="H7" s="24" t="n">
        <v>9</v>
      </c>
      <c r="I7" s="24" t="n">
        <v>85</v>
      </c>
      <c r="J7" s="24" t="n">
        <v>8</v>
      </c>
      <c r="K7" s="24" t="n"/>
      <c r="L7" s="24" t="n"/>
      <c r="M7" s="24" t="n"/>
      <c r="N7" s="24" t="n"/>
      <c r="O7" s="15">
        <f>IF(D7="","",COUNT(F7,H7,J7,L7,N7))</f>
        <v/>
      </c>
      <c r="P7" s="25">
        <f>IF(D7="","",N(E7)*N(F7)+N(G7)*N(H7)+N(I7)*N(J7)+N(K7)*N(L7)+N(M7)*N(N7))</f>
        <v/>
      </c>
      <c r="Q7" s="18">
        <f>IF(N(X7)=0,"",IF(IF(N(F7)=0,0,IF(N(E7)&gt;0,E7*(1+F7/30),F7))=X7,IF(N(E7)&gt;0,E7&amp;" x "&amp;F7,F7&amp;" reps"),IF(IF(N(H7)=0,0,IF(N(G7)&gt;0,G7*(1+H7/30),H7))=X7,IF(N(G7)&gt;0,G7&amp;" x "&amp;H7,H7&amp;" reps"),IF(IF(N(J7)=0,0,IF(N(I7)&gt;0,I7*(1+J7/30),J7))=X7,IF(N(I7)&gt;0,I7&amp;" x "&amp;J7,J7&amp;" reps"),IF(IF(N(L7)=0,0,IF(N(K7)&gt;0,K7*(1+L7/30),L7))=X7,IF(N(K7)&gt;0,K7&amp;" x "&amp;L7,L7&amp;" reps"),IF(IF(N(N7)=0,0,IF(N(M7)&gt;0,M7*(1+N7/30),N7))=X7,IF(N(M7)&gt;0,M7&amp;" x "&amp;N7,N7&amp;" reps"),""))))))</f>
        <v/>
      </c>
      <c r="R7" s="20">
        <f>IF(N(X7)=0,"",ROUND(X7,1))</f>
        <v/>
      </c>
      <c r="S7" s="18">
        <f>IF(N(X7)=0,"",IF(AND(COUNTIFS(Log!$D$6:$D$1505,D7,Log!$B$6:$B$1505,"&lt;"&amp;B7)&gt;0,COUNTIFS(Log!$D$6:$D$1505,D7,Log!$B$6:$B$1505,"&lt;"&amp;B7,Log!$X$6:$X$1505,"&gt;="&amp;X7)=0),"New best",""))</f>
        <v/>
      </c>
      <c r="T7" s="26" t="inlineStr">
        <is>
          <t>Short on time</t>
        </is>
      </c>
      <c r="U7" s="1">
        <f>IF(D7="","",IFERROR(INDEX(Exercises!$C$6:$C$105,MATCH(D7,Exercises!$B$6:$B$105,0)),"Other"))</f>
        <v/>
      </c>
      <c r="V7">
        <f>IF(B7="","",IF(COUNTIF($B$6:B7,B7)=1,1,0))</f>
        <v/>
      </c>
      <c r="W7">
        <f>IF(B7="","",B7-WEEKDAY(B7,3))</f>
        <v/>
      </c>
      <c r="X7">
        <f>IF(D7="","",MAX(IF(N(F7)=0,0,IF(N(E7)&gt;0,E7*(1+F7/30),F7)),IF(N(H7)=0,0,IF(N(G7)&gt;0,G7*(1+H7/30),H7)),IF(N(J7)=0,0,IF(N(I7)&gt;0,I7*(1+J7/30),J7)),IF(N(L7)=0,0,IF(N(K7)&gt;0,K7*(1+L7/30),L7)),IF(N(N7)=0,0,IF(N(M7)&gt;0,M7*(1+N7/30),N7))))</f>
        <v/>
      </c>
      <c r="Y7">
        <f>IF(N(X7)=0,"",X7+ROW()/1000000000)</f>
        <v/>
      </c>
      <c r="Z7">
        <f>IF(Y7="","",IF(COUNTIFS(Log!$D$6:$D$1505,D7,Log!$Y$6:$Y$1505,"&gt;"&amp;Y7)=0,1,0))</f>
        <v/>
      </c>
      <c r="AA7">
        <f>IF(OR(B7="",D7=""),"",B7+ROW()/10000000)</f>
        <v/>
      </c>
      <c r="AB7">
        <f>IF(AA7="","",IF(COUNTIFS(Log!$D$6:$D$1505,D7,Log!$AA$6:$AA$1505,"&gt;"&amp;AA7)=0,1,0))</f>
        <v/>
      </c>
      <c r="AC7">
        <f>IF(S7="New best",AA7,"")</f>
        <v/>
      </c>
      <c r="AD7">
        <f>ROW()</f>
        <v/>
      </c>
    </row>
    <row r="8">
      <c r="A8" s="1" t="n"/>
      <c r="B8" s="21" t="n">
        <v>46209</v>
      </c>
      <c r="C8" s="22" t="inlineStr">
        <is>
          <t>Push</t>
        </is>
      </c>
      <c r="D8" s="23" t="inlineStr">
        <is>
          <t>Incline dumbbell press</t>
        </is>
      </c>
      <c r="E8" s="24" t="n">
        <v>45</v>
      </c>
      <c r="F8" s="24" t="n">
        <v>12</v>
      </c>
      <c r="G8" s="24" t="n">
        <v>45</v>
      </c>
      <c r="H8" s="24" t="n">
        <v>10</v>
      </c>
      <c r="I8" s="24" t="n">
        <v>45</v>
      </c>
      <c r="J8" s="24" t="n">
        <v>10</v>
      </c>
      <c r="K8" s="24" t="n"/>
      <c r="L8" s="24" t="n"/>
      <c r="M8" s="24" t="n"/>
      <c r="N8" s="24" t="n"/>
      <c r="O8" s="15">
        <f>IF(D8="","",COUNT(F8,H8,J8,L8,N8))</f>
        <v/>
      </c>
      <c r="P8" s="25">
        <f>IF(D8="","",N(E8)*N(F8)+N(G8)*N(H8)+N(I8)*N(J8)+N(K8)*N(L8)+N(M8)*N(N8))</f>
        <v/>
      </c>
      <c r="Q8" s="18">
        <f>IF(N(X8)=0,"",IF(IF(N(F8)=0,0,IF(N(E8)&gt;0,E8*(1+F8/30),F8))=X8,IF(N(E8)&gt;0,E8&amp;" x "&amp;F8,F8&amp;" reps"),IF(IF(N(H8)=0,0,IF(N(G8)&gt;0,G8*(1+H8/30),H8))=X8,IF(N(G8)&gt;0,G8&amp;" x "&amp;H8,H8&amp;" reps"),IF(IF(N(J8)=0,0,IF(N(I8)&gt;0,I8*(1+J8/30),J8))=X8,IF(N(I8)&gt;0,I8&amp;" x "&amp;J8,J8&amp;" reps"),IF(IF(N(L8)=0,0,IF(N(K8)&gt;0,K8*(1+L8/30),L8))=X8,IF(N(K8)&gt;0,K8&amp;" x "&amp;L8,L8&amp;" reps"),IF(IF(N(N8)=0,0,IF(N(M8)&gt;0,M8*(1+N8/30),N8))=X8,IF(N(M8)&gt;0,M8&amp;" x "&amp;N8,N8&amp;" reps"),""))))))</f>
        <v/>
      </c>
      <c r="R8" s="20">
        <f>IF(N(X8)=0,"",ROUND(X8,1))</f>
        <v/>
      </c>
      <c r="S8" s="18">
        <f>IF(N(X8)=0,"",IF(AND(COUNTIFS(Log!$D$6:$D$1505,D8,Log!$B$6:$B$1505,"&lt;"&amp;B8)&gt;0,COUNTIFS(Log!$D$6:$D$1505,D8,Log!$B$6:$B$1505,"&lt;"&amp;B8,Log!$X$6:$X$1505,"&gt;="&amp;X8)=0),"New best",""))</f>
        <v/>
      </c>
      <c r="T8" s="26" t="n"/>
      <c r="U8" s="1">
        <f>IF(D8="","",IFERROR(INDEX(Exercises!$C$6:$C$105,MATCH(D8,Exercises!$B$6:$B$105,0)),"Other"))</f>
        <v/>
      </c>
      <c r="V8">
        <f>IF(B8="","",IF(COUNTIF($B$6:B8,B8)=1,1,0))</f>
        <v/>
      </c>
      <c r="W8">
        <f>IF(B8="","",B8-WEEKDAY(B8,3))</f>
        <v/>
      </c>
      <c r="X8">
        <f>IF(D8="","",MAX(IF(N(F8)=0,0,IF(N(E8)&gt;0,E8*(1+F8/30),F8)),IF(N(H8)=0,0,IF(N(G8)&gt;0,G8*(1+H8/30),H8)),IF(N(J8)=0,0,IF(N(I8)&gt;0,I8*(1+J8/30),J8)),IF(N(L8)=0,0,IF(N(K8)&gt;0,K8*(1+L8/30),L8)),IF(N(N8)=0,0,IF(N(M8)&gt;0,M8*(1+N8/30),N8))))</f>
        <v/>
      </c>
      <c r="Y8">
        <f>IF(N(X8)=0,"",X8+ROW()/1000000000)</f>
        <v/>
      </c>
      <c r="Z8">
        <f>IF(Y8="","",IF(COUNTIFS(Log!$D$6:$D$1505,D8,Log!$Y$6:$Y$1505,"&gt;"&amp;Y8)=0,1,0))</f>
        <v/>
      </c>
      <c r="AA8">
        <f>IF(OR(B8="",D8=""),"",B8+ROW()/10000000)</f>
        <v/>
      </c>
      <c r="AB8">
        <f>IF(AA8="","",IF(COUNTIFS(Log!$D$6:$D$1505,D8,Log!$AA$6:$AA$1505,"&gt;"&amp;AA8)=0,1,0))</f>
        <v/>
      </c>
      <c r="AC8">
        <f>IF(S8="New best",AA8,"")</f>
        <v/>
      </c>
      <c r="AD8">
        <f>ROW()</f>
        <v/>
      </c>
    </row>
    <row r="9">
      <c r="A9" s="1" t="n"/>
      <c r="B9" s="21" t="n">
        <v>46209</v>
      </c>
      <c r="C9" s="22" t="inlineStr">
        <is>
          <t>Push</t>
        </is>
      </c>
      <c r="D9" s="23" t="inlineStr">
        <is>
          <t>Lateral raise</t>
        </is>
      </c>
      <c r="E9" s="24" t="n">
        <v>15</v>
      </c>
      <c r="F9" s="24" t="n">
        <v>15</v>
      </c>
      <c r="G9" s="24" t="n">
        <v>15</v>
      </c>
      <c r="H9" s="24" t="n">
        <v>14</v>
      </c>
      <c r="I9" s="24" t="n">
        <v>15</v>
      </c>
      <c r="J9" s="24" t="n">
        <v>12</v>
      </c>
      <c r="K9" s="24" t="n"/>
      <c r="L9" s="24" t="n"/>
      <c r="M9" s="24" t="n"/>
      <c r="N9" s="24" t="n"/>
      <c r="O9" s="15">
        <f>IF(D9="","",COUNT(F9,H9,J9,L9,N9))</f>
        <v/>
      </c>
      <c r="P9" s="25">
        <f>IF(D9="","",N(E9)*N(F9)+N(G9)*N(H9)+N(I9)*N(J9)+N(K9)*N(L9)+N(M9)*N(N9))</f>
        <v/>
      </c>
      <c r="Q9" s="18">
        <f>IF(N(X9)=0,"",IF(IF(N(F9)=0,0,IF(N(E9)&gt;0,E9*(1+F9/30),F9))=X9,IF(N(E9)&gt;0,E9&amp;" x "&amp;F9,F9&amp;" reps"),IF(IF(N(H9)=0,0,IF(N(G9)&gt;0,G9*(1+H9/30),H9))=X9,IF(N(G9)&gt;0,G9&amp;" x "&amp;H9,H9&amp;" reps"),IF(IF(N(J9)=0,0,IF(N(I9)&gt;0,I9*(1+J9/30),J9))=X9,IF(N(I9)&gt;0,I9&amp;" x "&amp;J9,J9&amp;" reps"),IF(IF(N(L9)=0,0,IF(N(K9)&gt;0,K9*(1+L9/30),L9))=X9,IF(N(K9)&gt;0,K9&amp;" x "&amp;L9,L9&amp;" reps"),IF(IF(N(N9)=0,0,IF(N(M9)&gt;0,M9*(1+N9/30),N9))=X9,IF(N(M9)&gt;0,M9&amp;" x "&amp;N9,N9&amp;" reps"),""))))))</f>
        <v/>
      </c>
      <c r="R9" s="20">
        <f>IF(N(X9)=0,"",ROUND(X9,1))</f>
        <v/>
      </c>
      <c r="S9" s="18">
        <f>IF(N(X9)=0,"",IF(AND(COUNTIFS(Log!$D$6:$D$1505,D9,Log!$B$6:$B$1505,"&lt;"&amp;B9)&gt;0,COUNTIFS(Log!$D$6:$D$1505,D9,Log!$B$6:$B$1505,"&lt;"&amp;B9,Log!$X$6:$X$1505,"&gt;="&amp;X9)=0),"New best",""))</f>
        <v/>
      </c>
      <c r="T9" s="26" t="n"/>
      <c r="U9" s="1">
        <f>IF(D9="","",IFERROR(INDEX(Exercises!$C$6:$C$105,MATCH(D9,Exercises!$B$6:$B$105,0)),"Other"))</f>
        <v/>
      </c>
      <c r="V9">
        <f>IF(B9="","",IF(COUNTIF($B$6:B9,B9)=1,1,0))</f>
        <v/>
      </c>
      <c r="W9">
        <f>IF(B9="","",B9-WEEKDAY(B9,3))</f>
        <v/>
      </c>
      <c r="X9">
        <f>IF(D9="","",MAX(IF(N(F9)=0,0,IF(N(E9)&gt;0,E9*(1+F9/30),F9)),IF(N(H9)=0,0,IF(N(G9)&gt;0,G9*(1+H9/30),H9)),IF(N(J9)=0,0,IF(N(I9)&gt;0,I9*(1+J9/30),J9)),IF(N(L9)=0,0,IF(N(K9)&gt;0,K9*(1+L9/30),L9)),IF(N(N9)=0,0,IF(N(M9)&gt;0,M9*(1+N9/30),N9))))</f>
        <v/>
      </c>
      <c r="Y9">
        <f>IF(N(X9)=0,"",X9+ROW()/1000000000)</f>
        <v/>
      </c>
      <c r="Z9">
        <f>IF(Y9="","",IF(COUNTIFS(Log!$D$6:$D$1505,D9,Log!$Y$6:$Y$1505,"&gt;"&amp;Y9)=0,1,0))</f>
        <v/>
      </c>
      <c r="AA9">
        <f>IF(OR(B9="",D9=""),"",B9+ROW()/10000000)</f>
        <v/>
      </c>
      <c r="AB9">
        <f>IF(AA9="","",IF(COUNTIFS(Log!$D$6:$D$1505,D9,Log!$AA$6:$AA$1505,"&gt;"&amp;AA9)=0,1,0))</f>
        <v/>
      </c>
      <c r="AC9">
        <f>IF(S9="New best",AA9,"")</f>
        <v/>
      </c>
      <c r="AD9">
        <f>ROW()</f>
        <v/>
      </c>
    </row>
    <row r="10">
      <c r="A10" s="1" t="n"/>
      <c r="B10" s="21" t="n">
        <v>46209</v>
      </c>
      <c r="C10" s="22" t="inlineStr">
        <is>
          <t>Push</t>
        </is>
      </c>
      <c r="D10" s="23" t="inlineStr">
        <is>
          <t>Triceps pushdown</t>
        </is>
      </c>
      <c r="E10" s="24" t="n">
        <v>40</v>
      </c>
      <c r="F10" s="24" t="n">
        <v>12</v>
      </c>
      <c r="G10" s="24" t="n">
        <v>40</v>
      </c>
      <c r="H10" s="24" t="n">
        <v>10</v>
      </c>
      <c r="I10" s="24" t="n">
        <v>40</v>
      </c>
      <c r="J10" s="24" t="n">
        <v>10</v>
      </c>
      <c r="K10" s="24" t="n"/>
      <c r="L10" s="24" t="n"/>
      <c r="M10" s="24" t="n"/>
      <c r="N10" s="24" t="n"/>
      <c r="O10" s="15">
        <f>IF(D10="","",COUNT(F10,H10,J10,L10,N10))</f>
        <v/>
      </c>
      <c r="P10" s="25">
        <f>IF(D10="","",N(E10)*N(F10)+N(G10)*N(H10)+N(I10)*N(J10)+N(K10)*N(L10)+N(M10)*N(N10))</f>
        <v/>
      </c>
      <c r="Q10" s="18">
        <f>IF(N(X10)=0,"",IF(IF(N(F10)=0,0,IF(N(E10)&gt;0,E10*(1+F10/30),F10))=X10,IF(N(E10)&gt;0,E10&amp;" x "&amp;F10,F10&amp;" reps"),IF(IF(N(H10)=0,0,IF(N(G10)&gt;0,G10*(1+H10/30),H10))=X10,IF(N(G10)&gt;0,G10&amp;" x "&amp;H10,H10&amp;" reps"),IF(IF(N(J10)=0,0,IF(N(I10)&gt;0,I10*(1+J10/30),J10))=X10,IF(N(I10)&gt;0,I10&amp;" x "&amp;J10,J10&amp;" reps"),IF(IF(N(L10)=0,0,IF(N(K10)&gt;0,K10*(1+L10/30),L10))=X10,IF(N(K10)&gt;0,K10&amp;" x "&amp;L10,L10&amp;" reps"),IF(IF(N(N10)=0,0,IF(N(M10)&gt;0,M10*(1+N10/30),N10))=X10,IF(N(M10)&gt;0,M10&amp;" x "&amp;N10,N10&amp;" reps"),""))))))</f>
        <v/>
      </c>
      <c r="R10" s="20">
        <f>IF(N(X10)=0,"",ROUND(X10,1))</f>
        <v/>
      </c>
      <c r="S10" s="18">
        <f>IF(N(X10)=0,"",IF(AND(COUNTIFS(Log!$D$6:$D$1505,D10,Log!$B$6:$B$1505,"&lt;"&amp;B10)&gt;0,COUNTIFS(Log!$D$6:$D$1505,D10,Log!$B$6:$B$1505,"&lt;"&amp;B10,Log!$X$6:$X$1505,"&gt;="&amp;X10)=0),"New best",""))</f>
        <v/>
      </c>
      <c r="T10" s="26" t="n"/>
      <c r="U10" s="1">
        <f>IF(D10="","",IFERROR(INDEX(Exercises!$C$6:$C$105,MATCH(D10,Exercises!$B$6:$B$105,0)),"Other"))</f>
        <v/>
      </c>
      <c r="V10">
        <f>IF(B10="","",IF(COUNTIF($B$6:B10,B10)=1,1,0))</f>
        <v/>
      </c>
      <c r="W10">
        <f>IF(B10="","",B10-WEEKDAY(B10,3))</f>
        <v/>
      </c>
      <c r="X10">
        <f>IF(D10="","",MAX(IF(N(F10)=0,0,IF(N(E10)&gt;0,E10*(1+F10/30),F10)),IF(N(H10)=0,0,IF(N(G10)&gt;0,G10*(1+H10/30),H10)),IF(N(J10)=0,0,IF(N(I10)&gt;0,I10*(1+J10/30),J10)),IF(N(L10)=0,0,IF(N(K10)&gt;0,K10*(1+L10/30),L10)),IF(N(N10)=0,0,IF(N(M10)&gt;0,M10*(1+N10/30),N10))))</f>
        <v/>
      </c>
      <c r="Y10">
        <f>IF(N(X10)=0,"",X10+ROW()/1000000000)</f>
        <v/>
      </c>
      <c r="Z10">
        <f>IF(Y10="","",IF(COUNTIFS(Log!$D$6:$D$1505,D10,Log!$Y$6:$Y$1505,"&gt;"&amp;Y10)=0,1,0))</f>
        <v/>
      </c>
      <c r="AA10">
        <f>IF(OR(B10="",D10=""),"",B10+ROW()/10000000)</f>
        <v/>
      </c>
      <c r="AB10">
        <f>IF(AA10="","",IF(COUNTIFS(Log!$D$6:$D$1505,D10,Log!$AA$6:$AA$1505,"&gt;"&amp;AA10)=0,1,0))</f>
        <v/>
      </c>
      <c r="AC10">
        <f>IF(S10="New best",AA10,"")</f>
        <v/>
      </c>
      <c r="AD10">
        <f>ROW()</f>
        <v/>
      </c>
    </row>
    <row r="11">
      <c r="A11" s="1" t="n"/>
      <c r="B11" s="21" t="n">
        <v>46210</v>
      </c>
      <c r="C11" s="22" t="inlineStr">
        <is>
          <t>Pull</t>
        </is>
      </c>
      <c r="D11" s="23" t="inlineStr">
        <is>
          <t>Deadlift</t>
        </is>
      </c>
      <c r="E11" s="24" t="n">
        <v>225</v>
      </c>
      <c r="F11" s="24" t="n">
        <v>5</v>
      </c>
      <c r="G11" s="24" t="n">
        <v>225</v>
      </c>
      <c r="H11" s="24" t="n">
        <v>5</v>
      </c>
      <c r="I11" s="24" t="n">
        <v>225</v>
      </c>
      <c r="J11" s="24" t="n">
        <v>5</v>
      </c>
      <c r="K11" s="24" t="n"/>
      <c r="L11" s="24" t="n"/>
      <c r="M11" s="24" t="n"/>
      <c r="N11" s="24" t="n"/>
      <c r="O11" s="15">
        <f>IF(D11="","",COUNT(F11,H11,J11,L11,N11))</f>
        <v/>
      </c>
      <c r="P11" s="25">
        <f>IF(D11="","",N(E11)*N(F11)+N(G11)*N(H11)+N(I11)*N(J11)+N(K11)*N(L11)+N(M11)*N(N11))</f>
        <v/>
      </c>
      <c r="Q11" s="18">
        <f>IF(N(X11)=0,"",IF(IF(N(F11)=0,0,IF(N(E11)&gt;0,E11*(1+F11/30),F11))=X11,IF(N(E11)&gt;0,E11&amp;" x "&amp;F11,F11&amp;" reps"),IF(IF(N(H11)=0,0,IF(N(G11)&gt;0,G11*(1+H11/30),H11))=X11,IF(N(G11)&gt;0,G11&amp;" x "&amp;H11,H11&amp;" reps"),IF(IF(N(J11)=0,0,IF(N(I11)&gt;0,I11*(1+J11/30),J11))=X11,IF(N(I11)&gt;0,I11&amp;" x "&amp;J11,J11&amp;" reps"),IF(IF(N(L11)=0,0,IF(N(K11)&gt;0,K11*(1+L11/30),L11))=X11,IF(N(K11)&gt;0,K11&amp;" x "&amp;L11,L11&amp;" reps"),IF(IF(N(N11)=0,0,IF(N(M11)&gt;0,M11*(1+N11/30),N11))=X11,IF(N(M11)&gt;0,M11&amp;" x "&amp;N11,N11&amp;" reps"),""))))))</f>
        <v/>
      </c>
      <c r="R11" s="20">
        <f>IF(N(X11)=0,"",ROUND(X11,1))</f>
        <v/>
      </c>
      <c r="S11" s="18">
        <f>IF(N(X11)=0,"",IF(AND(COUNTIFS(Log!$D$6:$D$1505,D11,Log!$B$6:$B$1505,"&lt;"&amp;B11)&gt;0,COUNTIFS(Log!$D$6:$D$1505,D11,Log!$B$6:$B$1505,"&lt;"&amp;B11,Log!$X$6:$X$1505,"&gt;="&amp;X11)=0),"New best",""))</f>
        <v/>
      </c>
      <c r="T11" s="26" t="n"/>
      <c r="U11" s="1">
        <f>IF(D11="","",IFERROR(INDEX(Exercises!$C$6:$C$105,MATCH(D11,Exercises!$B$6:$B$105,0)),"Other"))</f>
        <v/>
      </c>
      <c r="V11">
        <f>IF(B11="","",IF(COUNTIF($B$6:B11,B11)=1,1,0))</f>
        <v/>
      </c>
      <c r="W11">
        <f>IF(B11="","",B11-WEEKDAY(B11,3))</f>
        <v/>
      </c>
      <c r="X11">
        <f>IF(D11="","",MAX(IF(N(F11)=0,0,IF(N(E11)&gt;0,E11*(1+F11/30),F11)),IF(N(H11)=0,0,IF(N(G11)&gt;0,G11*(1+H11/30),H11)),IF(N(J11)=0,0,IF(N(I11)&gt;0,I11*(1+J11/30),J11)),IF(N(L11)=0,0,IF(N(K11)&gt;0,K11*(1+L11/30),L11)),IF(N(N11)=0,0,IF(N(M11)&gt;0,M11*(1+N11/30),N11))))</f>
        <v/>
      </c>
      <c r="Y11">
        <f>IF(N(X11)=0,"",X11+ROW()/1000000000)</f>
        <v/>
      </c>
      <c r="Z11">
        <f>IF(Y11="","",IF(COUNTIFS(Log!$D$6:$D$1505,D11,Log!$Y$6:$Y$1505,"&gt;"&amp;Y11)=0,1,0))</f>
        <v/>
      </c>
      <c r="AA11">
        <f>IF(OR(B11="",D11=""),"",B11+ROW()/10000000)</f>
        <v/>
      </c>
      <c r="AB11">
        <f>IF(AA11="","",IF(COUNTIFS(Log!$D$6:$D$1505,D11,Log!$AA$6:$AA$1505,"&gt;"&amp;AA11)=0,1,0))</f>
        <v/>
      </c>
      <c r="AC11">
        <f>IF(S11="New best",AA11,"")</f>
        <v/>
      </c>
      <c r="AD11">
        <f>ROW()</f>
        <v/>
      </c>
    </row>
    <row r="12">
      <c r="A12" s="1" t="n"/>
      <c r="B12" s="21" t="n">
        <v>46210</v>
      </c>
      <c r="C12" s="22" t="inlineStr">
        <is>
          <t>Pull</t>
        </is>
      </c>
      <c r="D12" s="23" t="inlineStr">
        <is>
          <t>Pull-up</t>
        </is>
      </c>
      <c r="E12" s="24" t="n"/>
      <c r="F12" s="24" t="n">
        <v>6</v>
      </c>
      <c r="G12" s="24" t="n"/>
      <c r="H12" s="24" t="n">
        <v>5</v>
      </c>
      <c r="I12" s="24" t="n"/>
      <c r="J12" s="24" t="n">
        <v>4</v>
      </c>
      <c r="K12" s="24" t="n"/>
      <c r="L12" s="24" t="n"/>
      <c r="M12" s="24" t="n"/>
      <c r="N12" s="24" t="n"/>
      <c r="O12" s="15">
        <f>IF(D12="","",COUNT(F12,H12,J12,L12,N12))</f>
        <v/>
      </c>
      <c r="P12" s="25">
        <f>IF(D12="","",N(E12)*N(F12)+N(G12)*N(H12)+N(I12)*N(J12)+N(K12)*N(L12)+N(M12)*N(N12))</f>
        <v/>
      </c>
      <c r="Q12" s="18">
        <f>IF(N(X12)=0,"",IF(IF(N(F12)=0,0,IF(N(E12)&gt;0,E12*(1+F12/30),F12))=X12,IF(N(E12)&gt;0,E12&amp;" x "&amp;F12,F12&amp;" reps"),IF(IF(N(H12)=0,0,IF(N(G12)&gt;0,G12*(1+H12/30),H12))=X12,IF(N(G12)&gt;0,G12&amp;" x "&amp;H12,H12&amp;" reps"),IF(IF(N(J12)=0,0,IF(N(I12)&gt;0,I12*(1+J12/30),J12))=X12,IF(N(I12)&gt;0,I12&amp;" x "&amp;J12,J12&amp;" reps"),IF(IF(N(L12)=0,0,IF(N(K12)&gt;0,K12*(1+L12/30),L12))=X12,IF(N(K12)&gt;0,K12&amp;" x "&amp;L12,L12&amp;" reps"),IF(IF(N(N12)=0,0,IF(N(M12)&gt;0,M12*(1+N12/30),N12))=X12,IF(N(M12)&gt;0,M12&amp;" x "&amp;N12,N12&amp;" reps"),""))))))</f>
        <v/>
      </c>
      <c r="R12" s="20">
        <f>IF(N(X12)=0,"",ROUND(X12,1))</f>
        <v/>
      </c>
      <c r="S12" s="18">
        <f>IF(N(X12)=0,"",IF(AND(COUNTIFS(Log!$D$6:$D$1505,D12,Log!$B$6:$B$1505,"&lt;"&amp;B12)&gt;0,COUNTIFS(Log!$D$6:$D$1505,D12,Log!$B$6:$B$1505,"&lt;"&amp;B12,Log!$X$6:$X$1505,"&gt;="&amp;X12)=0),"New best",""))</f>
        <v/>
      </c>
      <c r="T12" s="26" t="n"/>
      <c r="U12" s="1">
        <f>IF(D12="","",IFERROR(INDEX(Exercises!$C$6:$C$105,MATCH(D12,Exercises!$B$6:$B$105,0)),"Other"))</f>
        <v/>
      </c>
      <c r="V12">
        <f>IF(B12="","",IF(COUNTIF($B$6:B12,B12)=1,1,0))</f>
        <v/>
      </c>
      <c r="W12">
        <f>IF(B12="","",B12-WEEKDAY(B12,3))</f>
        <v/>
      </c>
      <c r="X12">
        <f>IF(D12="","",MAX(IF(N(F12)=0,0,IF(N(E12)&gt;0,E12*(1+F12/30),F12)),IF(N(H12)=0,0,IF(N(G12)&gt;0,G12*(1+H12/30),H12)),IF(N(J12)=0,0,IF(N(I12)&gt;0,I12*(1+J12/30),J12)),IF(N(L12)=0,0,IF(N(K12)&gt;0,K12*(1+L12/30),L12)),IF(N(N12)=0,0,IF(N(M12)&gt;0,M12*(1+N12/30),N12))))</f>
        <v/>
      </c>
      <c r="Y12">
        <f>IF(N(X12)=0,"",X12+ROW()/1000000000)</f>
        <v/>
      </c>
      <c r="Z12">
        <f>IF(Y12="","",IF(COUNTIFS(Log!$D$6:$D$1505,D12,Log!$Y$6:$Y$1505,"&gt;"&amp;Y12)=0,1,0))</f>
        <v/>
      </c>
      <c r="AA12">
        <f>IF(OR(B12="",D12=""),"",B12+ROW()/10000000)</f>
        <v/>
      </c>
      <c r="AB12">
        <f>IF(AA12="","",IF(COUNTIFS(Log!$D$6:$D$1505,D12,Log!$AA$6:$AA$1505,"&gt;"&amp;AA12)=0,1,0))</f>
        <v/>
      </c>
      <c r="AC12">
        <f>IF(S12="New best",AA12,"")</f>
        <v/>
      </c>
      <c r="AD12">
        <f>ROW()</f>
        <v/>
      </c>
    </row>
    <row r="13">
      <c r="A13" s="1" t="n"/>
      <c r="B13" s="21" t="n">
        <v>46210</v>
      </c>
      <c r="C13" s="22" t="inlineStr">
        <is>
          <t>Pull</t>
        </is>
      </c>
      <c r="D13" s="23" t="inlineStr">
        <is>
          <t>Barbell row</t>
        </is>
      </c>
      <c r="E13" s="24" t="n">
        <v>115</v>
      </c>
      <c r="F13" s="24" t="n">
        <v>10</v>
      </c>
      <c r="G13" s="24" t="n">
        <v>115</v>
      </c>
      <c r="H13" s="24" t="n">
        <v>8</v>
      </c>
      <c r="I13" s="24" t="n">
        <v>115</v>
      </c>
      <c r="J13" s="24" t="n">
        <v>8</v>
      </c>
      <c r="K13" s="24" t="n"/>
      <c r="L13" s="24" t="n"/>
      <c r="M13" s="24" t="n"/>
      <c r="N13" s="24" t="n"/>
      <c r="O13" s="15">
        <f>IF(D13="","",COUNT(F13,H13,J13,L13,N13))</f>
        <v/>
      </c>
      <c r="P13" s="25">
        <f>IF(D13="","",N(E13)*N(F13)+N(G13)*N(H13)+N(I13)*N(J13)+N(K13)*N(L13)+N(M13)*N(N13))</f>
        <v/>
      </c>
      <c r="Q13" s="18">
        <f>IF(N(X13)=0,"",IF(IF(N(F13)=0,0,IF(N(E13)&gt;0,E13*(1+F13/30),F13))=X13,IF(N(E13)&gt;0,E13&amp;" x "&amp;F13,F13&amp;" reps"),IF(IF(N(H13)=0,0,IF(N(G13)&gt;0,G13*(1+H13/30),H13))=X13,IF(N(G13)&gt;0,G13&amp;" x "&amp;H13,H13&amp;" reps"),IF(IF(N(J13)=0,0,IF(N(I13)&gt;0,I13*(1+J13/30),J13))=X13,IF(N(I13)&gt;0,I13&amp;" x "&amp;J13,J13&amp;" reps"),IF(IF(N(L13)=0,0,IF(N(K13)&gt;0,K13*(1+L13/30),L13))=X13,IF(N(K13)&gt;0,K13&amp;" x "&amp;L13,L13&amp;" reps"),IF(IF(N(N13)=0,0,IF(N(M13)&gt;0,M13*(1+N13/30),N13))=X13,IF(N(M13)&gt;0,M13&amp;" x "&amp;N13,N13&amp;" reps"),""))))))</f>
        <v/>
      </c>
      <c r="R13" s="20">
        <f>IF(N(X13)=0,"",ROUND(X13,1))</f>
        <v/>
      </c>
      <c r="S13" s="18">
        <f>IF(N(X13)=0,"",IF(AND(COUNTIFS(Log!$D$6:$D$1505,D13,Log!$B$6:$B$1505,"&lt;"&amp;B13)&gt;0,COUNTIFS(Log!$D$6:$D$1505,D13,Log!$B$6:$B$1505,"&lt;"&amp;B13,Log!$X$6:$X$1505,"&gt;="&amp;X13)=0),"New best",""))</f>
        <v/>
      </c>
      <c r="T13" s="26" t="n"/>
      <c r="U13" s="1">
        <f>IF(D13="","",IFERROR(INDEX(Exercises!$C$6:$C$105,MATCH(D13,Exercises!$B$6:$B$105,0)),"Other"))</f>
        <v/>
      </c>
      <c r="V13">
        <f>IF(B13="","",IF(COUNTIF($B$6:B13,B13)=1,1,0))</f>
        <v/>
      </c>
      <c r="W13">
        <f>IF(B13="","",B13-WEEKDAY(B13,3))</f>
        <v/>
      </c>
      <c r="X13">
        <f>IF(D13="","",MAX(IF(N(F13)=0,0,IF(N(E13)&gt;0,E13*(1+F13/30),F13)),IF(N(H13)=0,0,IF(N(G13)&gt;0,G13*(1+H13/30),H13)),IF(N(J13)=0,0,IF(N(I13)&gt;0,I13*(1+J13/30),J13)),IF(N(L13)=0,0,IF(N(K13)&gt;0,K13*(1+L13/30),L13)),IF(N(N13)=0,0,IF(N(M13)&gt;0,M13*(1+N13/30),N13))))</f>
        <v/>
      </c>
      <c r="Y13">
        <f>IF(N(X13)=0,"",X13+ROW()/1000000000)</f>
        <v/>
      </c>
      <c r="Z13">
        <f>IF(Y13="","",IF(COUNTIFS(Log!$D$6:$D$1505,D13,Log!$Y$6:$Y$1505,"&gt;"&amp;Y13)=0,1,0))</f>
        <v/>
      </c>
      <c r="AA13">
        <f>IF(OR(B13="",D13=""),"",B13+ROW()/10000000)</f>
        <v/>
      </c>
      <c r="AB13">
        <f>IF(AA13="","",IF(COUNTIFS(Log!$D$6:$D$1505,D13,Log!$AA$6:$AA$1505,"&gt;"&amp;AA13)=0,1,0))</f>
        <v/>
      </c>
      <c r="AC13">
        <f>IF(S13="New best",AA13,"")</f>
        <v/>
      </c>
      <c r="AD13">
        <f>ROW()</f>
        <v/>
      </c>
    </row>
    <row r="14">
      <c r="A14" s="1" t="n"/>
      <c r="B14" s="21" t="n">
        <v>46210</v>
      </c>
      <c r="C14" s="22" t="inlineStr">
        <is>
          <t>Pull</t>
        </is>
      </c>
      <c r="D14" s="23" t="inlineStr">
        <is>
          <t>Lat pulldown</t>
        </is>
      </c>
      <c r="E14" s="24" t="n">
        <v>100</v>
      </c>
      <c r="F14" s="24" t="n">
        <v>12</v>
      </c>
      <c r="G14" s="24" t="n">
        <v>100</v>
      </c>
      <c r="H14" s="24" t="n">
        <v>11</v>
      </c>
      <c r="I14" s="24" t="n">
        <v>100</v>
      </c>
      <c r="J14" s="24" t="n">
        <v>10</v>
      </c>
      <c r="K14" s="24" t="n"/>
      <c r="L14" s="24" t="n"/>
      <c r="M14" s="24" t="n"/>
      <c r="N14" s="24" t="n"/>
      <c r="O14" s="15">
        <f>IF(D14="","",COUNT(F14,H14,J14,L14,N14))</f>
        <v/>
      </c>
      <c r="P14" s="25">
        <f>IF(D14="","",N(E14)*N(F14)+N(G14)*N(H14)+N(I14)*N(J14)+N(K14)*N(L14)+N(M14)*N(N14))</f>
        <v/>
      </c>
      <c r="Q14" s="18">
        <f>IF(N(X14)=0,"",IF(IF(N(F14)=0,0,IF(N(E14)&gt;0,E14*(1+F14/30),F14))=X14,IF(N(E14)&gt;0,E14&amp;" x "&amp;F14,F14&amp;" reps"),IF(IF(N(H14)=0,0,IF(N(G14)&gt;0,G14*(1+H14/30),H14))=X14,IF(N(G14)&gt;0,G14&amp;" x "&amp;H14,H14&amp;" reps"),IF(IF(N(J14)=0,0,IF(N(I14)&gt;0,I14*(1+J14/30),J14))=X14,IF(N(I14)&gt;0,I14&amp;" x "&amp;J14,J14&amp;" reps"),IF(IF(N(L14)=0,0,IF(N(K14)&gt;0,K14*(1+L14/30),L14))=X14,IF(N(K14)&gt;0,K14&amp;" x "&amp;L14,L14&amp;" reps"),IF(IF(N(N14)=0,0,IF(N(M14)&gt;0,M14*(1+N14/30),N14))=X14,IF(N(M14)&gt;0,M14&amp;" x "&amp;N14,N14&amp;" reps"),""))))))</f>
        <v/>
      </c>
      <c r="R14" s="20">
        <f>IF(N(X14)=0,"",ROUND(X14,1))</f>
        <v/>
      </c>
      <c r="S14" s="18">
        <f>IF(N(X14)=0,"",IF(AND(COUNTIFS(Log!$D$6:$D$1505,D14,Log!$B$6:$B$1505,"&lt;"&amp;B14)&gt;0,COUNTIFS(Log!$D$6:$D$1505,D14,Log!$B$6:$B$1505,"&lt;"&amp;B14,Log!$X$6:$X$1505,"&gt;="&amp;X14)=0),"New best",""))</f>
        <v/>
      </c>
      <c r="T14" s="26" t="n"/>
      <c r="U14" s="1">
        <f>IF(D14="","",IFERROR(INDEX(Exercises!$C$6:$C$105,MATCH(D14,Exercises!$B$6:$B$105,0)),"Other"))</f>
        <v/>
      </c>
      <c r="V14">
        <f>IF(B14="","",IF(COUNTIF($B$6:B14,B14)=1,1,0))</f>
        <v/>
      </c>
      <c r="W14">
        <f>IF(B14="","",B14-WEEKDAY(B14,3))</f>
        <v/>
      </c>
      <c r="X14">
        <f>IF(D14="","",MAX(IF(N(F14)=0,0,IF(N(E14)&gt;0,E14*(1+F14/30),F14)),IF(N(H14)=0,0,IF(N(G14)&gt;0,G14*(1+H14/30),H14)),IF(N(J14)=0,0,IF(N(I14)&gt;0,I14*(1+J14/30),J14)),IF(N(L14)=0,0,IF(N(K14)&gt;0,K14*(1+L14/30),L14)),IF(N(N14)=0,0,IF(N(M14)&gt;0,M14*(1+N14/30),N14))))</f>
        <v/>
      </c>
      <c r="Y14">
        <f>IF(N(X14)=0,"",X14+ROW()/1000000000)</f>
        <v/>
      </c>
      <c r="Z14">
        <f>IF(Y14="","",IF(COUNTIFS(Log!$D$6:$D$1505,D14,Log!$Y$6:$Y$1505,"&gt;"&amp;Y14)=0,1,0))</f>
        <v/>
      </c>
      <c r="AA14">
        <f>IF(OR(B14="",D14=""),"",B14+ROW()/10000000)</f>
        <v/>
      </c>
      <c r="AB14">
        <f>IF(AA14="","",IF(COUNTIFS(Log!$D$6:$D$1505,D14,Log!$AA$6:$AA$1505,"&gt;"&amp;AA14)=0,1,0))</f>
        <v/>
      </c>
      <c r="AC14">
        <f>IF(S14="New best",AA14,"")</f>
        <v/>
      </c>
      <c r="AD14">
        <f>ROW()</f>
        <v/>
      </c>
    </row>
    <row r="15">
      <c r="A15" s="1" t="n"/>
      <c r="B15" s="21" t="n">
        <v>46210</v>
      </c>
      <c r="C15" s="22" t="inlineStr">
        <is>
          <t>Pull</t>
        </is>
      </c>
      <c r="D15" s="23" t="inlineStr">
        <is>
          <t>Biceps curl</t>
        </is>
      </c>
      <c r="E15" s="24" t="n">
        <v>25</v>
      </c>
      <c r="F15" s="24" t="n">
        <v>11</v>
      </c>
      <c r="G15" s="24" t="n">
        <v>25</v>
      </c>
      <c r="H15" s="24" t="n">
        <v>11</v>
      </c>
      <c r="I15" s="24" t="n">
        <v>25</v>
      </c>
      <c r="J15" s="24" t="n">
        <v>10</v>
      </c>
      <c r="K15" s="24" t="n"/>
      <c r="L15" s="24" t="n"/>
      <c r="M15" s="24" t="n"/>
      <c r="N15" s="24" t="n"/>
      <c r="O15" s="15">
        <f>IF(D15="","",COUNT(F15,H15,J15,L15,N15))</f>
        <v/>
      </c>
      <c r="P15" s="25">
        <f>IF(D15="","",N(E15)*N(F15)+N(G15)*N(H15)+N(I15)*N(J15)+N(K15)*N(L15)+N(M15)*N(N15))</f>
        <v/>
      </c>
      <c r="Q15" s="18">
        <f>IF(N(X15)=0,"",IF(IF(N(F15)=0,0,IF(N(E15)&gt;0,E15*(1+F15/30),F15))=X15,IF(N(E15)&gt;0,E15&amp;" x "&amp;F15,F15&amp;" reps"),IF(IF(N(H15)=0,0,IF(N(G15)&gt;0,G15*(1+H15/30),H15))=X15,IF(N(G15)&gt;0,G15&amp;" x "&amp;H15,H15&amp;" reps"),IF(IF(N(J15)=0,0,IF(N(I15)&gt;0,I15*(1+J15/30),J15))=X15,IF(N(I15)&gt;0,I15&amp;" x "&amp;J15,J15&amp;" reps"),IF(IF(N(L15)=0,0,IF(N(K15)&gt;0,K15*(1+L15/30),L15))=X15,IF(N(K15)&gt;0,K15&amp;" x "&amp;L15,L15&amp;" reps"),IF(IF(N(N15)=0,0,IF(N(M15)&gt;0,M15*(1+N15/30),N15))=X15,IF(N(M15)&gt;0,M15&amp;" x "&amp;N15,N15&amp;" reps"),""))))))</f>
        <v/>
      </c>
      <c r="R15" s="20">
        <f>IF(N(X15)=0,"",ROUND(X15,1))</f>
        <v/>
      </c>
      <c r="S15" s="18">
        <f>IF(N(X15)=0,"",IF(AND(COUNTIFS(Log!$D$6:$D$1505,D15,Log!$B$6:$B$1505,"&lt;"&amp;B15)&gt;0,COUNTIFS(Log!$D$6:$D$1505,D15,Log!$B$6:$B$1505,"&lt;"&amp;B15,Log!$X$6:$X$1505,"&gt;="&amp;X15)=0),"New best",""))</f>
        <v/>
      </c>
      <c r="T15" s="26" t="n"/>
      <c r="U15" s="1">
        <f>IF(D15="","",IFERROR(INDEX(Exercises!$C$6:$C$105,MATCH(D15,Exercises!$B$6:$B$105,0)),"Other"))</f>
        <v/>
      </c>
      <c r="V15">
        <f>IF(B15="","",IF(COUNTIF($B$6:B15,B15)=1,1,0))</f>
        <v/>
      </c>
      <c r="W15">
        <f>IF(B15="","",B15-WEEKDAY(B15,3))</f>
        <v/>
      </c>
      <c r="X15">
        <f>IF(D15="","",MAX(IF(N(F15)=0,0,IF(N(E15)&gt;0,E15*(1+F15/30),F15)),IF(N(H15)=0,0,IF(N(G15)&gt;0,G15*(1+H15/30),H15)),IF(N(J15)=0,0,IF(N(I15)&gt;0,I15*(1+J15/30),J15)),IF(N(L15)=0,0,IF(N(K15)&gt;0,K15*(1+L15/30),L15)),IF(N(N15)=0,0,IF(N(M15)&gt;0,M15*(1+N15/30),N15))))</f>
        <v/>
      </c>
      <c r="Y15">
        <f>IF(N(X15)=0,"",X15+ROW()/1000000000)</f>
        <v/>
      </c>
      <c r="Z15">
        <f>IF(Y15="","",IF(COUNTIFS(Log!$D$6:$D$1505,D15,Log!$Y$6:$Y$1505,"&gt;"&amp;Y15)=0,1,0))</f>
        <v/>
      </c>
      <c r="AA15">
        <f>IF(OR(B15="",D15=""),"",B15+ROW()/10000000)</f>
        <v/>
      </c>
      <c r="AB15">
        <f>IF(AA15="","",IF(COUNTIFS(Log!$D$6:$D$1505,D15,Log!$AA$6:$AA$1505,"&gt;"&amp;AA15)=0,1,0))</f>
        <v/>
      </c>
      <c r="AC15">
        <f>IF(S15="New best",AA15,"")</f>
        <v/>
      </c>
      <c r="AD15">
        <f>ROW()</f>
        <v/>
      </c>
    </row>
    <row r="16">
      <c r="A16" s="1" t="n"/>
      <c r="B16" s="21" t="n">
        <v>46211</v>
      </c>
      <c r="C16" s="22" t="inlineStr">
        <is>
          <t>Legs</t>
        </is>
      </c>
      <c r="D16" s="23" t="inlineStr">
        <is>
          <t>Squat</t>
        </is>
      </c>
      <c r="E16" s="24" t="n">
        <v>185</v>
      </c>
      <c r="F16" s="24" t="n">
        <v>6</v>
      </c>
      <c r="G16" s="24" t="n">
        <v>185</v>
      </c>
      <c r="H16" s="24" t="n">
        <v>5</v>
      </c>
      <c r="I16" s="24" t="n">
        <v>185</v>
      </c>
      <c r="J16" s="24" t="n">
        <v>5</v>
      </c>
      <c r="K16" s="24" t="n">
        <v>185</v>
      </c>
      <c r="L16" s="24" t="n">
        <v>5</v>
      </c>
      <c r="M16" s="24" t="n"/>
      <c r="N16" s="24" t="n"/>
      <c r="O16" s="15">
        <f>IF(D16="","",COUNT(F16,H16,J16,L16,N16))</f>
        <v/>
      </c>
      <c r="P16" s="25">
        <f>IF(D16="","",N(E16)*N(F16)+N(G16)*N(H16)+N(I16)*N(J16)+N(K16)*N(L16)+N(M16)*N(N16))</f>
        <v/>
      </c>
      <c r="Q16" s="18">
        <f>IF(N(X16)=0,"",IF(IF(N(F16)=0,0,IF(N(E16)&gt;0,E16*(1+F16/30),F16))=X16,IF(N(E16)&gt;0,E16&amp;" x "&amp;F16,F16&amp;" reps"),IF(IF(N(H16)=0,0,IF(N(G16)&gt;0,G16*(1+H16/30),H16))=X16,IF(N(G16)&gt;0,G16&amp;" x "&amp;H16,H16&amp;" reps"),IF(IF(N(J16)=0,0,IF(N(I16)&gt;0,I16*(1+J16/30),J16))=X16,IF(N(I16)&gt;0,I16&amp;" x "&amp;J16,J16&amp;" reps"),IF(IF(N(L16)=0,0,IF(N(K16)&gt;0,K16*(1+L16/30),L16))=X16,IF(N(K16)&gt;0,K16&amp;" x "&amp;L16,L16&amp;" reps"),IF(IF(N(N16)=0,0,IF(N(M16)&gt;0,M16*(1+N16/30),N16))=X16,IF(N(M16)&gt;0,M16&amp;" x "&amp;N16,N16&amp;" reps"),""))))))</f>
        <v/>
      </c>
      <c r="R16" s="20">
        <f>IF(N(X16)=0,"",ROUND(X16,1))</f>
        <v/>
      </c>
      <c r="S16" s="18">
        <f>IF(N(X16)=0,"",IF(AND(COUNTIFS(Log!$D$6:$D$1505,D16,Log!$B$6:$B$1505,"&lt;"&amp;B16)&gt;0,COUNTIFS(Log!$D$6:$D$1505,D16,Log!$B$6:$B$1505,"&lt;"&amp;B16,Log!$X$6:$X$1505,"&gt;="&amp;X16)=0),"New best",""))</f>
        <v/>
      </c>
      <c r="T16" s="26" t="n"/>
      <c r="U16" s="1">
        <f>IF(D16="","",IFERROR(INDEX(Exercises!$C$6:$C$105,MATCH(D16,Exercises!$B$6:$B$105,0)),"Other"))</f>
        <v/>
      </c>
      <c r="V16">
        <f>IF(B16="","",IF(COUNTIF($B$6:B16,B16)=1,1,0))</f>
        <v/>
      </c>
      <c r="W16">
        <f>IF(B16="","",B16-WEEKDAY(B16,3))</f>
        <v/>
      </c>
      <c r="X16">
        <f>IF(D16="","",MAX(IF(N(F16)=0,0,IF(N(E16)&gt;0,E16*(1+F16/30),F16)),IF(N(H16)=0,0,IF(N(G16)&gt;0,G16*(1+H16/30),H16)),IF(N(J16)=0,0,IF(N(I16)&gt;0,I16*(1+J16/30),J16)),IF(N(L16)=0,0,IF(N(K16)&gt;0,K16*(1+L16/30),L16)),IF(N(N16)=0,0,IF(N(M16)&gt;0,M16*(1+N16/30),N16))))</f>
        <v/>
      </c>
      <c r="Y16">
        <f>IF(N(X16)=0,"",X16+ROW()/1000000000)</f>
        <v/>
      </c>
      <c r="Z16">
        <f>IF(Y16="","",IF(COUNTIFS(Log!$D$6:$D$1505,D16,Log!$Y$6:$Y$1505,"&gt;"&amp;Y16)=0,1,0))</f>
        <v/>
      </c>
      <c r="AA16">
        <f>IF(OR(B16="",D16=""),"",B16+ROW()/10000000)</f>
        <v/>
      </c>
      <c r="AB16">
        <f>IF(AA16="","",IF(COUNTIFS(Log!$D$6:$D$1505,D16,Log!$AA$6:$AA$1505,"&gt;"&amp;AA16)=0,1,0))</f>
        <v/>
      </c>
      <c r="AC16">
        <f>IF(S16="New best",AA16,"")</f>
        <v/>
      </c>
      <c r="AD16">
        <f>ROW()</f>
        <v/>
      </c>
    </row>
    <row r="17">
      <c r="A17" s="1" t="n"/>
      <c r="B17" s="21" t="n">
        <v>46211</v>
      </c>
      <c r="C17" s="22" t="inlineStr">
        <is>
          <t>Legs</t>
        </is>
      </c>
      <c r="D17" s="23" t="inlineStr">
        <is>
          <t>Romanian deadlift</t>
        </is>
      </c>
      <c r="E17" s="24" t="n">
        <v>155</v>
      </c>
      <c r="F17" s="24" t="n">
        <v>10</v>
      </c>
      <c r="G17" s="24" t="n">
        <v>155</v>
      </c>
      <c r="H17" s="24" t="n">
        <v>8</v>
      </c>
      <c r="I17" s="24" t="n">
        <v>155</v>
      </c>
      <c r="J17" s="24" t="n">
        <v>8</v>
      </c>
      <c r="K17" s="24" t="n"/>
      <c r="L17" s="24" t="n"/>
      <c r="M17" s="24" t="n"/>
      <c r="N17" s="24" t="n"/>
      <c r="O17" s="15">
        <f>IF(D17="","",COUNT(F17,H17,J17,L17,N17))</f>
        <v/>
      </c>
      <c r="P17" s="25">
        <f>IF(D17="","",N(E17)*N(F17)+N(G17)*N(H17)+N(I17)*N(J17)+N(K17)*N(L17)+N(M17)*N(N17))</f>
        <v/>
      </c>
      <c r="Q17" s="18">
        <f>IF(N(X17)=0,"",IF(IF(N(F17)=0,0,IF(N(E17)&gt;0,E17*(1+F17/30),F17))=X17,IF(N(E17)&gt;0,E17&amp;" x "&amp;F17,F17&amp;" reps"),IF(IF(N(H17)=0,0,IF(N(G17)&gt;0,G17*(1+H17/30),H17))=X17,IF(N(G17)&gt;0,G17&amp;" x "&amp;H17,H17&amp;" reps"),IF(IF(N(J17)=0,0,IF(N(I17)&gt;0,I17*(1+J17/30),J17))=X17,IF(N(I17)&gt;0,I17&amp;" x "&amp;J17,J17&amp;" reps"),IF(IF(N(L17)=0,0,IF(N(K17)&gt;0,K17*(1+L17/30),L17))=X17,IF(N(K17)&gt;0,K17&amp;" x "&amp;L17,L17&amp;" reps"),IF(IF(N(N17)=0,0,IF(N(M17)&gt;0,M17*(1+N17/30),N17))=X17,IF(N(M17)&gt;0,M17&amp;" x "&amp;N17,N17&amp;" reps"),""))))))</f>
        <v/>
      </c>
      <c r="R17" s="20">
        <f>IF(N(X17)=0,"",ROUND(X17,1))</f>
        <v/>
      </c>
      <c r="S17" s="18">
        <f>IF(N(X17)=0,"",IF(AND(COUNTIFS(Log!$D$6:$D$1505,D17,Log!$B$6:$B$1505,"&lt;"&amp;B17)&gt;0,COUNTIFS(Log!$D$6:$D$1505,D17,Log!$B$6:$B$1505,"&lt;"&amp;B17,Log!$X$6:$X$1505,"&gt;="&amp;X17)=0),"New best",""))</f>
        <v/>
      </c>
      <c r="T17" s="26" t="n"/>
      <c r="U17" s="1">
        <f>IF(D17="","",IFERROR(INDEX(Exercises!$C$6:$C$105,MATCH(D17,Exercises!$B$6:$B$105,0)),"Other"))</f>
        <v/>
      </c>
      <c r="V17">
        <f>IF(B17="","",IF(COUNTIF($B$6:B17,B17)=1,1,0))</f>
        <v/>
      </c>
      <c r="W17">
        <f>IF(B17="","",B17-WEEKDAY(B17,3))</f>
        <v/>
      </c>
      <c r="X17">
        <f>IF(D17="","",MAX(IF(N(F17)=0,0,IF(N(E17)&gt;0,E17*(1+F17/30),F17)),IF(N(H17)=0,0,IF(N(G17)&gt;0,G17*(1+H17/30),H17)),IF(N(J17)=0,0,IF(N(I17)&gt;0,I17*(1+J17/30),J17)),IF(N(L17)=0,0,IF(N(K17)&gt;0,K17*(1+L17/30),L17)),IF(N(N17)=0,0,IF(N(M17)&gt;0,M17*(1+N17/30),N17))))</f>
        <v/>
      </c>
      <c r="Y17">
        <f>IF(N(X17)=0,"",X17+ROW()/1000000000)</f>
        <v/>
      </c>
      <c r="Z17">
        <f>IF(Y17="","",IF(COUNTIFS(Log!$D$6:$D$1505,D17,Log!$Y$6:$Y$1505,"&gt;"&amp;Y17)=0,1,0))</f>
        <v/>
      </c>
      <c r="AA17">
        <f>IF(OR(B17="",D17=""),"",B17+ROW()/10000000)</f>
        <v/>
      </c>
      <c r="AB17">
        <f>IF(AA17="","",IF(COUNTIFS(Log!$D$6:$D$1505,D17,Log!$AA$6:$AA$1505,"&gt;"&amp;AA17)=0,1,0))</f>
        <v/>
      </c>
      <c r="AC17">
        <f>IF(S17="New best",AA17,"")</f>
        <v/>
      </c>
      <c r="AD17">
        <f>ROW()</f>
        <v/>
      </c>
    </row>
    <row r="18">
      <c r="A18" s="1" t="n"/>
      <c r="B18" s="21" t="n">
        <v>46211</v>
      </c>
      <c r="C18" s="22" t="inlineStr">
        <is>
          <t>Legs</t>
        </is>
      </c>
      <c r="D18" s="23" t="inlineStr">
        <is>
          <t>Leg press</t>
        </is>
      </c>
      <c r="E18" s="24" t="n">
        <v>270</v>
      </c>
      <c r="F18" s="24" t="n">
        <v>11</v>
      </c>
      <c r="G18" s="24" t="n">
        <v>270</v>
      </c>
      <c r="H18" s="24" t="n">
        <v>10</v>
      </c>
      <c r="I18" s="24" t="n">
        <v>270</v>
      </c>
      <c r="J18" s="24" t="n">
        <v>10</v>
      </c>
      <c r="K18" s="24" t="n"/>
      <c r="L18" s="24" t="n"/>
      <c r="M18" s="24" t="n"/>
      <c r="N18" s="24" t="n"/>
      <c r="O18" s="15">
        <f>IF(D18="","",COUNT(F18,H18,J18,L18,N18))</f>
        <v/>
      </c>
      <c r="P18" s="25">
        <f>IF(D18="","",N(E18)*N(F18)+N(G18)*N(H18)+N(I18)*N(J18)+N(K18)*N(L18)+N(M18)*N(N18))</f>
        <v/>
      </c>
      <c r="Q18" s="18">
        <f>IF(N(X18)=0,"",IF(IF(N(F18)=0,0,IF(N(E18)&gt;0,E18*(1+F18/30),F18))=X18,IF(N(E18)&gt;0,E18&amp;" x "&amp;F18,F18&amp;" reps"),IF(IF(N(H18)=0,0,IF(N(G18)&gt;0,G18*(1+H18/30),H18))=X18,IF(N(G18)&gt;0,G18&amp;" x "&amp;H18,H18&amp;" reps"),IF(IF(N(J18)=0,0,IF(N(I18)&gt;0,I18*(1+J18/30),J18))=X18,IF(N(I18)&gt;0,I18&amp;" x "&amp;J18,J18&amp;" reps"),IF(IF(N(L18)=0,0,IF(N(K18)&gt;0,K18*(1+L18/30),L18))=X18,IF(N(K18)&gt;0,K18&amp;" x "&amp;L18,L18&amp;" reps"),IF(IF(N(N18)=0,0,IF(N(M18)&gt;0,M18*(1+N18/30),N18))=X18,IF(N(M18)&gt;0,M18&amp;" x "&amp;N18,N18&amp;" reps"),""))))))</f>
        <v/>
      </c>
      <c r="R18" s="20">
        <f>IF(N(X18)=0,"",ROUND(X18,1))</f>
        <v/>
      </c>
      <c r="S18" s="18">
        <f>IF(N(X18)=0,"",IF(AND(COUNTIFS(Log!$D$6:$D$1505,D18,Log!$B$6:$B$1505,"&lt;"&amp;B18)&gt;0,COUNTIFS(Log!$D$6:$D$1505,D18,Log!$B$6:$B$1505,"&lt;"&amp;B18,Log!$X$6:$X$1505,"&gt;="&amp;X18)=0),"New best",""))</f>
        <v/>
      </c>
      <c r="T18" s="26" t="n"/>
      <c r="U18" s="1">
        <f>IF(D18="","",IFERROR(INDEX(Exercises!$C$6:$C$105,MATCH(D18,Exercises!$B$6:$B$105,0)),"Other"))</f>
        <v/>
      </c>
      <c r="V18">
        <f>IF(B18="","",IF(COUNTIF($B$6:B18,B18)=1,1,0))</f>
        <v/>
      </c>
      <c r="W18">
        <f>IF(B18="","",B18-WEEKDAY(B18,3))</f>
        <v/>
      </c>
      <c r="X18">
        <f>IF(D18="","",MAX(IF(N(F18)=0,0,IF(N(E18)&gt;0,E18*(1+F18/30),F18)),IF(N(H18)=0,0,IF(N(G18)&gt;0,G18*(1+H18/30),H18)),IF(N(J18)=0,0,IF(N(I18)&gt;0,I18*(1+J18/30),J18)),IF(N(L18)=0,0,IF(N(K18)&gt;0,K18*(1+L18/30),L18)),IF(N(N18)=0,0,IF(N(M18)&gt;0,M18*(1+N18/30),N18))))</f>
        <v/>
      </c>
      <c r="Y18">
        <f>IF(N(X18)=0,"",X18+ROW()/1000000000)</f>
        <v/>
      </c>
      <c r="Z18">
        <f>IF(Y18="","",IF(COUNTIFS(Log!$D$6:$D$1505,D18,Log!$Y$6:$Y$1505,"&gt;"&amp;Y18)=0,1,0))</f>
        <v/>
      </c>
      <c r="AA18">
        <f>IF(OR(B18="",D18=""),"",B18+ROW()/10000000)</f>
        <v/>
      </c>
      <c r="AB18">
        <f>IF(AA18="","",IF(COUNTIFS(Log!$D$6:$D$1505,D18,Log!$AA$6:$AA$1505,"&gt;"&amp;AA18)=0,1,0))</f>
        <v/>
      </c>
      <c r="AC18">
        <f>IF(S18="New best",AA18,"")</f>
        <v/>
      </c>
      <c r="AD18">
        <f>ROW()</f>
        <v/>
      </c>
    </row>
    <row r="19">
      <c r="A19" s="1" t="n"/>
      <c r="B19" s="21" t="n">
        <v>46211</v>
      </c>
      <c r="C19" s="22" t="inlineStr">
        <is>
          <t>Legs</t>
        </is>
      </c>
      <c r="D19" s="23" t="inlineStr">
        <is>
          <t>Leg curl</t>
        </is>
      </c>
      <c r="E19" s="24" t="n">
        <v>70</v>
      </c>
      <c r="F19" s="24" t="n">
        <v>12</v>
      </c>
      <c r="G19" s="24" t="n">
        <v>70</v>
      </c>
      <c r="H19" s="24" t="n">
        <v>10</v>
      </c>
      <c r="I19" s="24" t="n">
        <v>70</v>
      </c>
      <c r="J19" s="24" t="n">
        <v>10</v>
      </c>
      <c r="K19" s="24" t="n"/>
      <c r="L19" s="24" t="n"/>
      <c r="M19" s="24" t="n"/>
      <c r="N19" s="24" t="n"/>
      <c r="O19" s="15">
        <f>IF(D19="","",COUNT(F19,H19,J19,L19,N19))</f>
        <v/>
      </c>
      <c r="P19" s="25">
        <f>IF(D19="","",N(E19)*N(F19)+N(G19)*N(H19)+N(I19)*N(J19)+N(K19)*N(L19)+N(M19)*N(N19))</f>
        <v/>
      </c>
      <c r="Q19" s="18">
        <f>IF(N(X19)=0,"",IF(IF(N(F19)=0,0,IF(N(E19)&gt;0,E19*(1+F19/30),F19))=X19,IF(N(E19)&gt;0,E19&amp;" x "&amp;F19,F19&amp;" reps"),IF(IF(N(H19)=0,0,IF(N(G19)&gt;0,G19*(1+H19/30),H19))=X19,IF(N(G19)&gt;0,G19&amp;" x "&amp;H19,H19&amp;" reps"),IF(IF(N(J19)=0,0,IF(N(I19)&gt;0,I19*(1+J19/30),J19))=X19,IF(N(I19)&gt;0,I19&amp;" x "&amp;J19,J19&amp;" reps"),IF(IF(N(L19)=0,0,IF(N(K19)&gt;0,K19*(1+L19/30),L19))=X19,IF(N(K19)&gt;0,K19&amp;" x "&amp;L19,L19&amp;" reps"),IF(IF(N(N19)=0,0,IF(N(M19)&gt;0,M19*(1+N19/30),N19))=X19,IF(N(M19)&gt;0,M19&amp;" x "&amp;N19,N19&amp;" reps"),""))))))</f>
        <v/>
      </c>
      <c r="R19" s="20">
        <f>IF(N(X19)=0,"",ROUND(X19,1))</f>
        <v/>
      </c>
      <c r="S19" s="18">
        <f>IF(N(X19)=0,"",IF(AND(COUNTIFS(Log!$D$6:$D$1505,D19,Log!$B$6:$B$1505,"&lt;"&amp;B19)&gt;0,COUNTIFS(Log!$D$6:$D$1505,D19,Log!$B$6:$B$1505,"&lt;"&amp;B19,Log!$X$6:$X$1505,"&gt;="&amp;X19)=0),"New best",""))</f>
        <v/>
      </c>
      <c r="T19" s="26" t="n"/>
      <c r="U19" s="1">
        <f>IF(D19="","",IFERROR(INDEX(Exercises!$C$6:$C$105,MATCH(D19,Exercises!$B$6:$B$105,0)),"Other"))</f>
        <v/>
      </c>
      <c r="V19">
        <f>IF(B19="","",IF(COUNTIF($B$6:B19,B19)=1,1,0))</f>
        <v/>
      </c>
      <c r="W19">
        <f>IF(B19="","",B19-WEEKDAY(B19,3))</f>
        <v/>
      </c>
      <c r="X19">
        <f>IF(D19="","",MAX(IF(N(F19)=0,0,IF(N(E19)&gt;0,E19*(1+F19/30),F19)),IF(N(H19)=0,0,IF(N(G19)&gt;0,G19*(1+H19/30),H19)),IF(N(J19)=0,0,IF(N(I19)&gt;0,I19*(1+J19/30),J19)),IF(N(L19)=0,0,IF(N(K19)&gt;0,K19*(1+L19/30),L19)),IF(N(N19)=0,0,IF(N(M19)&gt;0,M19*(1+N19/30),N19))))</f>
        <v/>
      </c>
      <c r="Y19">
        <f>IF(N(X19)=0,"",X19+ROW()/1000000000)</f>
        <v/>
      </c>
      <c r="Z19">
        <f>IF(Y19="","",IF(COUNTIFS(Log!$D$6:$D$1505,D19,Log!$Y$6:$Y$1505,"&gt;"&amp;Y19)=0,1,0))</f>
        <v/>
      </c>
      <c r="AA19">
        <f>IF(OR(B19="",D19=""),"",B19+ROW()/10000000)</f>
        <v/>
      </c>
      <c r="AB19">
        <f>IF(AA19="","",IF(COUNTIFS(Log!$D$6:$D$1505,D19,Log!$AA$6:$AA$1505,"&gt;"&amp;AA19)=0,1,0))</f>
        <v/>
      </c>
      <c r="AC19">
        <f>IF(S19="New best",AA19,"")</f>
        <v/>
      </c>
      <c r="AD19">
        <f>ROW()</f>
        <v/>
      </c>
    </row>
    <row r="20">
      <c r="A20" s="1" t="n"/>
      <c r="B20" s="21" t="n">
        <v>46211</v>
      </c>
      <c r="C20" s="22" t="inlineStr">
        <is>
          <t>Legs</t>
        </is>
      </c>
      <c r="D20" s="23" t="inlineStr">
        <is>
          <t>Calf raise</t>
        </is>
      </c>
      <c r="E20" s="24" t="n">
        <v>90</v>
      </c>
      <c r="F20" s="24" t="n">
        <v>15</v>
      </c>
      <c r="G20" s="24" t="n">
        <v>90</v>
      </c>
      <c r="H20" s="24" t="n">
        <v>13</v>
      </c>
      <c r="I20" s="24" t="n">
        <v>90</v>
      </c>
      <c r="J20" s="24" t="n">
        <v>13</v>
      </c>
      <c r="K20" s="24" t="n">
        <v>90</v>
      </c>
      <c r="L20" s="24" t="n">
        <v>12</v>
      </c>
      <c r="M20" s="24" t="n"/>
      <c r="N20" s="24" t="n"/>
      <c r="O20" s="15">
        <f>IF(D20="","",COUNT(F20,H20,J20,L20,N20))</f>
        <v/>
      </c>
      <c r="P20" s="25">
        <f>IF(D20="","",N(E20)*N(F20)+N(G20)*N(H20)+N(I20)*N(J20)+N(K20)*N(L20)+N(M20)*N(N20))</f>
        <v/>
      </c>
      <c r="Q20" s="18">
        <f>IF(N(X20)=0,"",IF(IF(N(F20)=0,0,IF(N(E20)&gt;0,E20*(1+F20/30),F20))=X20,IF(N(E20)&gt;0,E20&amp;" x "&amp;F20,F20&amp;" reps"),IF(IF(N(H20)=0,0,IF(N(G20)&gt;0,G20*(1+H20/30),H20))=X20,IF(N(G20)&gt;0,G20&amp;" x "&amp;H20,H20&amp;" reps"),IF(IF(N(J20)=0,0,IF(N(I20)&gt;0,I20*(1+J20/30),J20))=X20,IF(N(I20)&gt;0,I20&amp;" x "&amp;J20,J20&amp;" reps"),IF(IF(N(L20)=0,0,IF(N(K20)&gt;0,K20*(1+L20/30),L20))=X20,IF(N(K20)&gt;0,K20&amp;" x "&amp;L20,L20&amp;" reps"),IF(IF(N(N20)=0,0,IF(N(M20)&gt;0,M20*(1+N20/30),N20))=X20,IF(N(M20)&gt;0,M20&amp;" x "&amp;N20,N20&amp;" reps"),""))))))</f>
        <v/>
      </c>
      <c r="R20" s="20">
        <f>IF(N(X20)=0,"",ROUND(X20,1))</f>
        <v/>
      </c>
      <c r="S20" s="18">
        <f>IF(N(X20)=0,"",IF(AND(COUNTIFS(Log!$D$6:$D$1505,D20,Log!$B$6:$B$1505,"&lt;"&amp;B20)&gt;0,COUNTIFS(Log!$D$6:$D$1505,D20,Log!$B$6:$B$1505,"&lt;"&amp;B20,Log!$X$6:$X$1505,"&gt;="&amp;X20)=0),"New best",""))</f>
        <v/>
      </c>
      <c r="T20" s="26" t="n"/>
      <c r="U20" s="1">
        <f>IF(D20="","",IFERROR(INDEX(Exercises!$C$6:$C$105,MATCH(D20,Exercises!$B$6:$B$105,0)),"Other"))</f>
        <v/>
      </c>
      <c r="V20">
        <f>IF(B20="","",IF(COUNTIF($B$6:B20,B20)=1,1,0))</f>
        <v/>
      </c>
      <c r="W20">
        <f>IF(B20="","",B20-WEEKDAY(B20,3))</f>
        <v/>
      </c>
      <c r="X20">
        <f>IF(D20="","",MAX(IF(N(F20)=0,0,IF(N(E20)&gt;0,E20*(1+F20/30),F20)),IF(N(H20)=0,0,IF(N(G20)&gt;0,G20*(1+H20/30),H20)),IF(N(J20)=0,0,IF(N(I20)&gt;0,I20*(1+J20/30),J20)),IF(N(L20)=0,0,IF(N(K20)&gt;0,K20*(1+L20/30),L20)),IF(N(N20)=0,0,IF(N(M20)&gt;0,M20*(1+N20/30),N20))))</f>
        <v/>
      </c>
      <c r="Y20">
        <f>IF(N(X20)=0,"",X20+ROW()/1000000000)</f>
        <v/>
      </c>
      <c r="Z20">
        <f>IF(Y20="","",IF(COUNTIFS(Log!$D$6:$D$1505,D20,Log!$Y$6:$Y$1505,"&gt;"&amp;Y20)=0,1,0))</f>
        <v/>
      </c>
      <c r="AA20">
        <f>IF(OR(B20="",D20=""),"",B20+ROW()/10000000)</f>
        <v/>
      </c>
      <c r="AB20">
        <f>IF(AA20="","",IF(COUNTIFS(Log!$D$6:$D$1505,D20,Log!$AA$6:$AA$1505,"&gt;"&amp;AA20)=0,1,0))</f>
        <v/>
      </c>
      <c r="AC20">
        <f>IF(S20="New best",AA20,"")</f>
        <v/>
      </c>
      <c r="AD20">
        <f>ROW()</f>
        <v/>
      </c>
    </row>
    <row r="21">
      <c r="A21" s="1" t="n"/>
      <c r="B21" s="21" t="n">
        <v>46214</v>
      </c>
      <c r="C21" s="22" t="inlineStr">
        <is>
          <t>Lower</t>
        </is>
      </c>
      <c r="D21" s="23" t="inlineStr">
        <is>
          <t>Squat</t>
        </is>
      </c>
      <c r="E21" s="24" t="n">
        <v>165</v>
      </c>
      <c r="F21" s="24" t="n">
        <v>8</v>
      </c>
      <c r="G21" s="24" t="n">
        <v>165</v>
      </c>
      <c r="H21" s="24" t="n">
        <v>8</v>
      </c>
      <c r="I21" s="24" t="n">
        <v>165</v>
      </c>
      <c r="J21" s="24" t="n">
        <v>8</v>
      </c>
      <c r="K21" s="24" t="n"/>
      <c r="L21" s="24" t="n"/>
      <c r="M21" s="24" t="n"/>
      <c r="N21" s="24" t="n"/>
      <c r="O21" s="15">
        <f>IF(D21="","",COUNT(F21,H21,J21,L21,N21))</f>
        <v/>
      </c>
      <c r="P21" s="25">
        <f>IF(D21="","",N(E21)*N(F21)+N(G21)*N(H21)+N(I21)*N(J21)+N(K21)*N(L21)+N(M21)*N(N21))</f>
        <v/>
      </c>
      <c r="Q21" s="18">
        <f>IF(N(X21)=0,"",IF(IF(N(F21)=0,0,IF(N(E21)&gt;0,E21*(1+F21/30),F21))=X21,IF(N(E21)&gt;0,E21&amp;" x "&amp;F21,F21&amp;" reps"),IF(IF(N(H21)=0,0,IF(N(G21)&gt;0,G21*(1+H21/30),H21))=X21,IF(N(G21)&gt;0,G21&amp;" x "&amp;H21,H21&amp;" reps"),IF(IF(N(J21)=0,0,IF(N(I21)&gt;0,I21*(1+J21/30),J21))=X21,IF(N(I21)&gt;0,I21&amp;" x "&amp;J21,J21&amp;" reps"),IF(IF(N(L21)=0,0,IF(N(K21)&gt;0,K21*(1+L21/30),L21))=X21,IF(N(K21)&gt;0,K21&amp;" x "&amp;L21,L21&amp;" reps"),IF(IF(N(N21)=0,0,IF(N(M21)&gt;0,M21*(1+N21/30),N21))=X21,IF(N(M21)&gt;0,M21&amp;" x "&amp;N21,N21&amp;" reps"),""))))))</f>
        <v/>
      </c>
      <c r="R21" s="20">
        <f>IF(N(X21)=0,"",ROUND(X21,1))</f>
        <v/>
      </c>
      <c r="S21" s="18">
        <f>IF(N(X21)=0,"",IF(AND(COUNTIFS(Log!$D$6:$D$1505,D21,Log!$B$6:$B$1505,"&lt;"&amp;B21)&gt;0,COUNTIFS(Log!$D$6:$D$1505,D21,Log!$B$6:$B$1505,"&lt;"&amp;B21,Log!$X$6:$X$1505,"&gt;="&amp;X21)=0),"New best",""))</f>
        <v/>
      </c>
      <c r="T21" s="26" t="inlineStr">
        <is>
          <t>Felt strong</t>
        </is>
      </c>
      <c r="U21" s="1">
        <f>IF(D21="","",IFERROR(INDEX(Exercises!$C$6:$C$105,MATCH(D21,Exercises!$B$6:$B$105,0)),"Other"))</f>
        <v/>
      </c>
      <c r="V21">
        <f>IF(B21="","",IF(COUNTIF($B$6:B21,B21)=1,1,0))</f>
        <v/>
      </c>
      <c r="W21">
        <f>IF(B21="","",B21-WEEKDAY(B21,3))</f>
        <v/>
      </c>
      <c r="X21">
        <f>IF(D21="","",MAX(IF(N(F21)=0,0,IF(N(E21)&gt;0,E21*(1+F21/30),F21)),IF(N(H21)=0,0,IF(N(G21)&gt;0,G21*(1+H21/30),H21)),IF(N(J21)=0,0,IF(N(I21)&gt;0,I21*(1+J21/30),J21)),IF(N(L21)=0,0,IF(N(K21)&gt;0,K21*(1+L21/30),L21)),IF(N(N21)=0,0,IF(N(M21)&gt;0,M21*(1+N21/30),N21))))</f>
        <v/>
      </c>
      <c r="Y21">
        <f>IF(N(X21)=0,"",X21+ROW()/1000000000)</f>
        <v/>
      </c>
      <c r="Z21">
        <f>IF(Y21="","",IF(COUNTIFS(Log!$D$6:$D$1505,D21,Log!$Y$6:$Y$1505,"&gt;"&amp;Y21)=0,1,0))</f>
        <v/>
      </c>
      <c r="AA21">
        <f>IF(OR(B21="",D21=""),"",B21+ROW()/10000000)</f>
        <v/>
      </c>
      <c r="AB21">
        <f>IF(AA21="","",IF(COUNTIFS(Log!$D$6:$D$1505,D21,Log!$AA$6:$AA$1505,"&gt;"&amp;AA21)=0,1,0))</f>
        <v/>
      </c>
      <c r="AC21">
        <f>IF(S21="New best",AA21,"")</f>
        <v/>
      </c>
      <c r="AD21">
        <f>ROW()</f>
        <v/>
      </c>
    </row>
    <row r="22">
      <c r="A22" s="1" t="n"/>
      <c r="B22" s="21" t="n">
        <v>46214</v>
      </c>
      <c r="C22" s="22" t="inlineStr">
        <is>
          <t>Lower</t>
        </is>
      </c>
      <c r="D22" s="23" t="inlineStr">
        <is>
          <t>Romanian deadlift</t>
        </is>
      </c>
      <c r="E22" s="24" t="n">
        <v>140</v>
      </c>
      <c r="F22" s="24" t="n">
        <v>10</v>
      </c>
      <c r="G22" s="24" t="n">
        <v>140</v>
      </c>
      <c r="H22" s="24" t="n">
        <v>9</v>
      </c>
      <c r="I22" s="24" t="n">
        <v>140</v>
      </c>
      <c r="J22" s="24" t="n">
        <v>8</v>
      </c>
      <c r="K22" s="24" t="n"/>
      <c r="L22" s="24" t="n"/>
      <c r="M22" s="24" t="n"/>
      <c r="N22" s="24" t="n"/>
      <c r="O22" s="15">
        <f>IF(D22="","",COUNT(F22,H22,J22,L22,N22))</f>
        <v/>
      </c>
      <c r="P22" s="25">
        <f>IF(D22="","",N(E22)*N(F22)+N(G22)*N(H22)+N(I22)*N(J22)+N(K22)*N(L22)+N(M22)*N(N22))</f>
        <v/>
      </c>
      <c r="Q22" s="18">
        <f>IF(N(X22)=0,"",IF(IF(N(F22)=0,0,IF(N(E22)&gt;0,E22*(1+F22/30),F22))=X22,IF(N(E22)&gt;0,E22&amp;" x "&amp;F22,F22&amp;" reps"),IF(IF(N(H22)=0,0,IF(N(G22)&gt;0,G22*(1+H22/30),H22))=X22,IF(N(G22)&gt;0,G22&amp;" x "&amp;H22,H22&amp;" reps"),IF(IF(N(J22)=0,0,IF(N(I22)&gt;0,I22*(1+J22/30),J22))=X22,IF(N(I22)&gt;0,I22&amp;" x "&amp;J22,J22&amp;" reps"),IF(IF(N(L22)=0,0,IF(N(K22)&gt;0,K22*(1+L22/30),L22))=X22,IF(N(K22)&gt;0,K22&amp;" x "&amp;L22,L22&amp;" reps"),IF(IF(N(N22)=0,0,IF(N(M22)&gt;0,M22*(1+N22/30),N22))=X22,IF(N(M22)&gt;0,M22&amp;" x "&amp;N22,N22&amp;" reps"),""))))))</f>
        <v/>
      </c>
      <c r="R22" s="20">
        <f>IF(N(X22)=0,"",ROUND(X22,1))</f>
        <v/>
      </c>
      <c r="S22" s="18">
        <f>IF(N(X22)=0,"",IF(AND(COUNTIFS(Log!$D$6:$D$1505,D22,Log!$B$6:$B$1505,"&lt;"&amp;B22)&gt;0,COUNTIFS(Log!$D$6:$D$1505,D22,Log!$B$6:$B$1505,"&lt;"&amp;B22,Log!$X$6:$X$1505,"&gt;="&amp;X22)=0),"New best",""))</f>
        <v/>
      </c>
      <c r="T22" s="26" t="n"/>
      <c r="U22" s="1">
        <f>IF(D22="","",IFERROR(INDEX(Exercises!$C$6:$C$105,MATCH(D22,Exercises!$B$6:$B$105,0)),"Other"))</f>
        <v/>
      </c>
      <c r="V22">
        <f>IF(B22="","",IF(COUNTIF($B$6:B22,B22)=1,1,0))</f>
        <v/>
      </c>
      <c r="W22">
        <f>IF(B22="","",B22-WEEKDAY(B22,3))</f>
        <v/>
      </c>
      <c r="X22">
        <f>IF(D22="","",MAX(IF(N(F22)=0,0,IF(N(E22)&gt;0,E22*(1+F22/30),F22)),IF(N(H22)=0,0,IF(N(G22)&gt;0,G22*(1+H22/30),H22)),IF(N(J22)=0,0,IF(N(I22)&gt;0,I22*(1+J22/30),J22)),IF(N(L22)=0,0,IF(N(K22)&gt;0,K22*(1+L22/30),L22)),IF(N(N22)=0,0,IF(N(M22)&gt;0,M22*(1+N22/30),N22))))</f>
        <v/>
      </c>
      <c r="Y22">
        <f>IF(N(X22)=0,"",X22+ROW()/1000000000)</f>
        <v/>
      </c>
      <c r="Z22">
        <f>IF(Y22="","",IF(COUNTIFS(Log!$D$6:$D$1505,D22,Log!$Y$6:$Y$1505,"&gt;"&amp;Y22)=0,1,0))</f>
        <v/>
      </c>
      <c r="AA22">
        <f>IF(OR(B22="",D22=""),"",B22+ROW()/10000000)</f>
        <v/>
      </c>
      <c r="AB22">
        <f>IF(AA22="","",IF(COUNTIFS(Log!$D$6:$D$1505,D22,Log!$AA$6:$AA$1505,"&gt;"&amp;AA22)=0,1,0))</f>
        <v/>
      </c>
      <c r="AC22">
        <f>IF(S22="New best",AA22,"")</f>
        <v/>
      </c>
      <c r="AD22">
        <f>ROW()</f>
        <v/>
      </c>
    </row>
    <row r="23">
      <c r="A23" s="1" t="n"/>
      <c r="B23" s="21" t="n">
        <v>46214</v>
      </c>
      <c r="C23" s="22" t="inlineStr">
        <is>
          <t>Lower</t>
        </is>
      </c>
      <c r="D23" s="23" t="inlineStr">
        <is>
          <t>Leg press</t>
        </is>
      </c>
      <c r="E23" s="24" t="n">
        <v>245</v>
      </c>
      <c r="F23" s="24" t="n">
        <v>15</v>
      </c>
      <c r="G23" s="24" t="n">
        <v>245</v>
      </c>
      <c r="H23" s="24" t="n">
        <v>13</v>
      </c>
      <c r="I23" s="24" t="n">
        <v>245</v>
      </c>
      <c r="J23" s="24" t="n">
        <v>12</v>
      </c>
      <c r="K23" s="24" t="n"/>
      <c r="L23" s="24" t="n"/>
      <c r="M23" s="24" t="n"/>
      <c r="N23" s="24" t="n"/>
      <c r="O23" s="15">
        <f>IF(D23="","",COUNT(F23,H23,J23,L23,N23))</f>
        <v/>
      </c>
      <c r="P23" s="25">
        <f>IF(D23="","",N(E23)*N(F23)+N(G23)*N(H23)+N(I23)*N(J23)+N(K23)*N(L23)+N(M23)*N(N23))</f>
        <v/>
      </c>
      <c r="Q23" s="18">
        <f>IF(N(X23)=0,"",IF(IF(N(F23)=0,0,IF(N(E23)&gt;0,E23*(1+F23/30),F23))=X23,IF(N(E23)&gt;0,E23&amp;" x "&amp;F23,F23&amp;" reps"),IF(IF(N(H23)=0,0,IF(N(G23)&gt;0,G23*(1+H23/30),H23))=X23,IF(N(G23)&gt;0,G23&amp;" x "&amp;H23,H23&amp;" reps"),IF(IF(N(J23)=0,0,IF(N(I23)&gt;0,I23*(1+J23/30),J23))=X23,IF(N(I23)&gt;0,I23&amp;" x "&amp;J23,J23&amp;" reps"),IF(IF(N(L23)=0,0,IF(N(K23)&gt;0,K23*(1+L23/30),L23))=X23,IF(N(K23)&gt;0,K23&amp;" x "&amp;L23,L23&amp;" reps"),IF(IF(N(N23)=0,0,IF(N(M23)&gt;0,M23*(1+N23/30),N23))=X23,IF(N(M23)&gt;0,M23&amp;" x "&amp;N23,N23&amp;" reps"),""))))))</f>
        <v/>
      </c>
      <c r="R23" s="20">
        <f>IF(N(X23)=0,"",ROUND(X23,1))</f>
        <v/>
      </c>
      <c r="S23" s="18">
        <f>IF(N(X23)=0,"",IF(AND(COUNTIFS(Log!$D$6:$D$1505,D23,Log!$B$6:$B$1505,"&lt;"&amp;B23)&gt;0,COUNTIFS(Log!$D$6:$D$1505,D23,Log!$B$6:$B$1505,"&lt;"&amp;B23,Log!$X$6:$X$1505,"&gt;="&amp;X23)=0),"New best",""))</f>
        <v/>
      </c>
      <c r="T23" s="26" t="inlineStr">
        <is>
          <t>Slept badly</t>
        </is>
      </c>
      <c r="U23" s="1">
        <f>IF(D23="","",IFERROR(INDEX(Exercises!$C$6:$C$105,MATCH(D23,Exercises!$B$6:$B$105,0)),"Other"))</f>
        <v/>
      </c>
      <c r="V23">
        <f>IF(B23="","",IF(COUNTIF($B$6:B23,B23)=1,1,0))</f>
        <v/>
      </c>
      <c r="W23">
        <f>IF(B23="","",B23-WEEKDAY(B23,3))</f>
        <v/>
      </c>
      <c r="X23">
        <f>IF(D23="","",MAX(IF(N(F23)=0,0,IF(N(E23)&gt;0,E23*(1+F23/30),F23)),IF(N(H23)=0,0,IF(N(G23)&gt;0,G23*(1+H23/30),H23)),IF(N(J23)=0,0,IF(N(I23)&gt;0,I23*(1+J23/30),J23)),IF(N(L23)=0,0,IF(N(K23)&gt;0,K23*(1+L23/30),L23)),IF(N(N23)=0,0,IF(N(M23)&gt;0,M23*(1+N23/30),N23))))</f>
        <v/>
      </c>
      <c r="Y23">
        <f>IF(N(X23)=0,"",X23+ROW()/1000000000)</f>
        <v/>
      </c>
      <c r="Z23">
        <f>IF(Y23="","",IF(COUNTIFS(Log!$D$6:$D$1505,D23,Log!$Y$6:$Y$1505,"&gt;"&amp;Y23)=0,1,0))</f>
        <v/>
      </c>
      <c r="AA23">
        <f>IF(OR(B23="",D23=""),"",B23+ROW()/10000000)</f>
        <v/>
      </c>
      <c r="AB23">
        <f>IF(AA23="","",IF(COUNTIFS(Log!$D$6:$D$1505,D23,Log!$AA$6:$AA$1505,"&gt;"&amp;AA23)=0,1,0))</f>
        <v/>
      </c>
      <c r="AC23">
        <f>IF(S23="New best",AA23,"")</f>
        <v/>
      </c>
      <c r="AD23">
        <f>ROW()</f>
        <v/>
      </c>
    </row>
    <row r="24">
      <c r="A24" s="1" t="n"/>
      <c r="B24" s="21" t="n">
        <v>46214</v>
      </c>
      <c r="C24" s="22" t="inlineStr">
        <is>
          <t>Lower</t>
        </is>
      </c>
      <c r="D24" s="23" t="inlineStr">
        <is>
          <t>Calf raise</t>
        </is>
      </c>
      <c r="E24" s="24" t="n">
        <v>80</v>
      </c>
      <c r="F24" s="24" t="n">
        <v>15</v>
      </c>
      <c r="G24" s="24" t="n">
        <v>80</v>
      </c>
      <c r="H24" s="24" t="n">
        <v>15</v>
      </c>
      <c r="I24" s="24" t="n">
        <v>80</v>
      </c>
      <c r="J24" s="24" t="n">
        <v>15</v>
      </c>
      <c r="K24" s="24" t="n"/>
      <c r="L24" s="24" t="n"/>
      <c r="M24" s="24" t="n"/>
      <c r="N24" s="24" t="n"/>
      <c r="O24" s="15">
        <f>IF(D24="","",COUNT(F24,H24,J24,L24,N24))</f>
        <v/>
      </c>
      <c r="P24" s="25">
        <f>IF(D24="","",N(E24)*N(F24)+N(G24)*N(H24)+N(I24)*N(J24)+N(K24)*N(L24)+N(M24)*N(N24))</f>
        <v/>
      </c>
      <c r="Q24" s="18">
        <f>IF(N(X24)=0,"",IF(IF(N(F24)=0,0,IF(N(E24)&gt;0,E24*(1+F24/30),F24))=X24,IF(N(E24)&gt;0,E24&amp;" x "&amp;F24,F24&amp;" reps"),IF(IF(N(H24)=0,0,IF(N(G24)&gt;0,G24*(1+H24/30),H24))=X24,IF(N(G24)&gt;0,G24&amp;" x "&amp;H24,H24&amp;" reps"),IF(IF(N(J24)=0,0,IF(N(I24)&gt;0,I24*(1+J24/30),J24))=X24,IF(N(I24)&gt;0,I24&amp;" x "&amp;J24,J24&amp;" reps"),IF(IF(N(L24)=0,0,IF(N(K24)&gt;0,K24*(1+L24/30),L24))=X24,IF(N(K24)&gt;0,K24&amp;" x "&amp;L24,L24&amp;" reps"),IF(IF(N(N24)=0,0,IF(N(M24)&gt;0,M24*(1+N24/30),N24))=X24,IF(N(M24)&gt;0,M24&amp;" x "&amp;N24,N24&amp;" reps"),""))))))</f>
        <v/>
      </c>
      <c r="R24" s="20">
        <f>IF(N(X24)=0,"",ROUND(X24,1))</f>
        <v/>
      </c>
      <c r="S24" s="18">
        <f>IF(N(X24)=0,"",IF(AND(COUNTIFS(Log!$D$6:$D$1505,D24,Log!$B$6:$B$1505,"&lt;"&amp;B24)&gt;0,COUNTIFS(Log!$D$6:$D$1505,D24,Log!$B$6:$B$1505,"&lt;"&amp;B24,Log!$X$6:$X$1505,"&gt;="&amp;X24)=0),"New best",""))</f>
        <v/>
      </c>
      <c r="T24" s="26" t="n"/>
      <c r="U24" s="1">
        <f>IF(D24="","",IFERROR(INDEX(Exercises!$C$6:$C$105,MATCH(D24,Exercises!$B$6:$B$105,0)),"Other"))</f>
        <v/>
      </c>
      <c r="V24">
        <f>IF(B24="","",IF(COUNTIF($B$6:B24,B24)=1,1,0))</f>
        <v/>
      </c>
      <c r="W24">
        <f>IF(B24="","",B24-WEEKDAY(B24,3))</f>
        <v/>
      </c>
      <c r="X24">
        <f>IF(D24="","",MAX(IF(N(F24)=0,0,IF(N(E24)&gt;0,E24*(1+F24/30),F24)),IF(N(H24)=0,0,IF(N(G24)&gt;0,G24*(1+H24/30),H24)),IF(N(J24)=0,0,IF(N(I24)&gt;0,I24*(1+J24/30),J24)),IF(N(L24)=0,0,IF(N(K24)&gt;0,K24*(1+L24/30),L24)),IF(N(N24)=0,0,IF(N(M24)&gt;0,M24*(1+N24/30),N24))))</f>
        <v/>
      </c>
      <c r="Y24">
        <f>IF(N(X24)=0,"",X24+ROW()/1000000000)</f>
        <v/>
      </c>
      <c r="Z24">
        <f>IF(Y24="","",IF(COUNTIFS(Log!$D$6:$D$1505,D24,Log!$Y$6:$Y$1505,"&gt;"&amp;Y24)=0,1,0))</f>
        <v/>
      </c>
      <c r="AA24">
        <f>IF(OR(B24="",D24=""),"",B24+ROW()/10000000)</f>
        <v/>
      </c>
      <c r="AB24">
        <f>IF(AA24="","",IF(COUNTIFS(Log!$D$6:$D$1505,D24,Log!$AA$6:$AA$1505,"&gt;"&amp;AA24)=0,1,0))</f>
        <v/>
      </c>
      <c r="AC24">
        <f>IF(S24="New best",AA24,"")</f>
        <v/>
      </c>
      <c r="AD24">
        <f>ROW()</f>
        <v/>
      </c>
    </row>
    <row r="25">
      <c r="A25" s="1" t="n"/>
      <c r="B25" s="21" t="n">
        <v>46216</v>
      </c>
      <c r="C25" s="22" t="inlineStr">
        <is>
          <t>Push</t>
        </is>
      </c>
      <c r="D25" s="23" t="inlineStr">
        <is>
          <t>Bench press</t>
        </is>
      </c>
      <c r="E25" s="24" t="n">
        <v>135</v>
      </c>
      <c r="F25" s="24" t="n">
        <v>7</v>
      </c>
      <c r="G25" s="24" t="n">
        <v>135</v>
      </c>
      <c r="H25" s="24" t="n">
        <v>6</v>
      </c>
      <c r="I25" s="24" t="n">
        <v>135</v>
      </c>
      <c r="J25" s="24" t="n">
        <v>6</v>
      </c>
      <c r="K25" s="24" t="n">
        <v>135</v>
      </c>
      <c r="L25" s="24" t="n">
        <v>6</v>
      </c>
      <c r="M25" s="24" t="n"/>
      <c r="N25" s="24" t="n"/>
      <c r="O25" s="15">
        <f>IF(D25="","",COUNT(F25,H25,J25,L25,N25))</f>
        <v/>
      </c>
      <c r="P25" s="25">
        <f>IF(D25="","",N(E25)*N(F25)+N(G25)*N(H25)+N(I25)*N(J25)+N(K25)*N(L25)+N(M25)*N(N25))</f>
        <v/>
      </c>
      <c r="Q25" s="18">
        <f>IF(N(X25)=0,"",IF(IF(N(F25)=0,0,IF(N(E25)&gt;0,E25*(1+F25/30),F25))=X25,IF(N(E25)&gt;0,E25&amp;" x "&amp;F25,F25&amp;" reps"),IF(IF(N(H25)=0,0,IF(N(G25)&gt;0,G25*(1+H25/30),H25))=X25,IF(N(G25)&gt;0,G25&amp;" x "&amp;H25,H25&amp;" reps"),IF(IF(N(J25)=0,0,IF(N(I25)&gt;0,I25*(1+J25/30),J25))=X25,IF(N(I25)&gt;0,I25&amp;" x "&amp;J25,J25&amp;" reps"),IF(IF(N(L25)=0,0,IF(N(K25)&gt;0,K25*(1+L25/30),L25))=X25,IF(N(K25)&gt;0,K25&amp;" x "&amp;L25,L25&amp;" reps"),IF(IF(N(N25)=0,0,IF(N(M25)&gt;0,M25*(1+N25/30),N25))=X25,IF(N(M25)&gt;0,M25&amp;" x "&amp;N25,N25&amp;" reps"),""))))))</f>
        <v/>
      </c>
      <c r="R25" s="20">
        <f>IF(N(X25)=0,"",ROUND(X25,1))</f>
        <v/>
      </c>
      <c r="S25" s="18">
        <f>IF(N(X25)=0,"",IF(AND(COUNTIFS(Log!$D$6:$D$1505,D25,Log!$B$6:$B$1505,"&lt;"&amp;B25)&gt;0,COUNTIFS(Log!$D$6:$D$1505,D25,Log!$B$6:$B$1505,"&lt;"&amp;B25,Log!$X$6:$X$1505,"&gt;="&amp;X25)=0),"New best",""))</f>
        <v/>
      </c>
      <c r="T25" s="26" t="n"/>
      <c r="U25" s="1">
        <f>IF(D25="","",IFERROR(INDEX(Exercises!$C$6:$C$105,MATCH(D25,Exercises!$B$6:$B$105,0)),"Other"))</f>
        <v/>
      </c>
      <c r="V25">
        <f>IF(B25="","",IF(COUNTIF($B$6:B25,B25)=1,1,0))</f>
        <v/>
      </c>
      <c r="W25">
        <f>IF(B25="","",B25-WEEKDAY(B25,3))</f>
        <v/>
      </c>
      <c r="X25">
        <f>IF(D25="","",MAX(IF(N(F25)=0,0,IF(N(E25)&gt;0,E25*(1+F25/30),F25)),IF(N(H25)=0,0,IF(N(G25)&gt;0,G25*(1+H25/30),H25)),IF(N(J25)=0,0,IF(N(I25)&gt;0,I25*(1+J25/30),J25)),IF(N(L25)=0,0,IF(N(K25)&gt;0,K25*(1+L25/30),L25)),IF(N(N25)=0,0,IF(N(M25)&gt;0,M25*(1+N25/30),N25))))</f>
        <v/>
      </c>
      <c r="Y25">
        <f>IF(N(X25)=0,"",X25+ROW()/1000000000)</f>
        <v/>
      </c>
      <c r="Z25">
        <f>IF(Y25="","",IF(COUNTIFS(Log!$D$6:$D$1505,D25,Log!$Y$6:$Y$1505,"&gt;"&amp;Y25)=0,1,0))</f>
        <v/>
      </c>
      <c r="AA25">
        <f>IF(OR(B25="",D25=""),"",B25+ROW()/10000000)</f>
        <v/>
      </c>
      <c r="AB25">
        <f>IF(AA25="","",IF(COUNTIFS(Log!$D$6:$D$1505,D25,Log!$AA$6:$AA$1505,"&gt;"&amp;AA25)=0,1,0))</f>
        <v/>
      </c>
      <c r="AC25">
        <f>IF(S25="New best",AA25,"")</f>
        <v/>
      </c>
      <c r="AD25">
        <f>ROW()</f>
        <v/>
      </c>
    </row>
    <row r="26">
      <c r="A26" s="1" t="n"/>
      <c r="B26" s="21" t="n">
        <v>46216</v>
      </c>
      <c r="C26" s="22" t="inlineStr">
        <is>
          <t>Push</t>
        </is>
      </c>
      <c r="D26" s="23" t="inlineStr">
        <is>
          <t>Overhead press</t>
        </is>
      </c>
      <c r="E26" s="24" t="n">
        <v>85</v>
      </c>
      <c r="F26" s="24" t="n">
        <v>10</v>
      </c>
      <c r="G26" s="24" t="n">
        <v>85</v>
      </c>
      <c r="H26" s="24" t="n">
        <v>8</v>
      </c>
      <c r="I26" s="24" t="n">
        <v>85</v>
      </c>
      <c r="J26" s="24" t="n">
        <v>8</v>
      </c>
      <c r="K26" s="24" t="n"/>
      <c r="L26" s="24" t="n"/>
      <c r="M26" s="24" t="n"/>
      <c r="N26" s="24" t="n"/>
      <c r="O26" s="15">
        <f>IF(D26="","",COUNT(F26,H26,J26,L26,N26))</f>
        <v/>
      </c>
      <c r="P26" s="25">
        <f>IF(D26="","",N(E26)*N(F26)+N(G26)*N(H26)+N(I26)*N(J26)+N(K26)*N(L26)+N(M26)*N(N26))</f>
        <v/>
      </c>
      <c r="Q26" s="18">
        <f>IF(N(X26)=0,"",IF(IF(N(F26)=0,0,IF(N(E26)&gt;0,E26*(1+F26/30),F26))=X26,IF(N(E26)&gt;0,E26&amp;" x "&amp;F26,F26&amp;" reps"),IF(IF(N(H26)=0,0,IF(N(G26)&gt;0,G26*(1+H26/30),H26))=X26,IF(N(G26)&gt;0,G26&amp;" x "&amp;H26,H26&amp;" reps"),IF(IF(N(J26)=0,0,IF(N(I26)&gt;0,I26*(1+J26/30),J26))=X26,IF(N(I26)&gt;0,I26&amp;" x "&amp;J26,J26&amp;" reps"),IF(IF(N(L26)=0,0,IF(N(K26)&gt;0,K26*(1+L26/30),L26))=X26,IF(N(K26)&gt;0,K26&amp;" x "&amp;L26,L26&amp;" reps"),IF(IF(N(N26)=0,0,IF(N(M26)&gt;0,M26*(1+N26/30),N26))=X26,IF(N(M26)&gt;0,M26&amp;" x "&amp;N26,N26&amp;" reps"),""))))))</f>
        <v/>
      </c>
      <c r="R26" s="20">
        <f>IF(N(X26)=0,"",ROUND(X26,1))</f>
        <v/>
      </c>
      <c r="S26" s="18">
        <f>IF(N(X26)=0,"",IF(AND(COUNTIFS(Log!$D$6:$D$1505,D26,Log!$B$6:$B$1505,"&lt;"&amp;B26)&gt;0,COUNTIFS(Log!$D$6:$D$1505,D26,Log!$B$6:$B$1505,"&lt;"&amp;B26,Log!$X$6:$X$1505,"&gt;="&amp;X26)=0),"New best",""))</f>
        <v/>
      </c>
      <c r="T26" s="26" t="n"/>
      <c r="U26" s="1">
        <f>IF(D26="","",IFERROR(INDEX(Exercises!$C$6:$C$105,MATCH(D26,Exercises!$B$6:$B$105,0)),"Other"))</f>
        <v/>
      </c>
      <c r="V26">
        <f>IF(B26="","",IF(COUNTIF($B$6:B26,B26)=1,1,0))</f>
        <v/>
      </c>
      <c r="W26">
        <f>IF(B26="","",B26-WEEKDAY(B26,3))</f>
        <v/>
      </c>
      <c r="X26">
        <f>IF(D26="","",MAX(IF(N(F26)=0,0,IF(N(E26)&gt;0,E26*(1+F26/30),F26)),IF(N(H26)=0,0,IF(N(G26)&gt;0,G26*(1+H26/30),H26)),IF(N(J26)=0,0,IF(N(I26)&gt;0,I26*(1+J26/30),J26)),IF(N(L26)=0,0,IF(N(K26)&gt;0,K26*(1+L26/30),L26)),IF(N(N26)=0,0,IF(N(M26)&gt;0,M26*(1+N26/30),N26))))</f>
        <v/>
      </c>
      <c r="Y26">
        <f>IF(N(X26)=0,"",X26+ROW()/1000000000)</f>
        <v/>
      </c>
      <c r="Z26">
        <f>IF(Y26="","",IF(COUNTIFS(Log!$D$6:$D$1505,D26,Log!$Y$6:$Y$1505,"&gt;"&amp;Y26)=0,1,0))</f>
        <v/>
      </c>
      <c r="AA26">
        <f>IF(OR(B26="",D26=""),"",B26+ROW()/10000000)</f>
        <v/>
      </c>
      <c r="AB26">
        <f>IF(AA26="","",IF(COUNTIFS(Log!$D$6:$D$1505,D26,Log!$AA$6:$AA$1505,"&gt;"&amp;AA26)=0,1,0))</f>
        <v/>
      </c>
      <c r="AC26">
        <f>IF(S26="New best",AA26,"")</f>
        <v/>
      </c>
      <c r="AD26">
        <f>ROW()</f>
        <v/>
      </c>
    </row>
    <row r="27">
      <c r="A27" s="1" t="n"/>
      <c r="B27" s="21" t="n">
        <v>46216</v>
      </c>
      <c r="C27" s="22" t="inlineStr">
        <is>
          <t>Push</t>
        </is>
      </c>
      <c r="D27" s="23" t="inlineStr">
        <is>
          <t>Incline dumbbell press</t>
        </is>
      </c>
      <c r="E27" s="24" t="n">
        <v>45</v>
      </c>
      <c r="F27" s="24" t="n">
        <v>11</v>
      </c>
      <c r="G27" s="24" t="n">
        <v>45</v>
      </c>
      <c r="H27" s="24" t="n">
        <v>10</v>
      </c>
      <c r="I27" s="24" t="n">
        <v>45</v>
      </c>
      <c r="J27" s="24" t="n">
        <v>10</v>
      </c>
      <c r="K27" s="24" t="n"/>
      <c r="L27" s="24" t="n"/>
      <c r="M27" s="24" t="n"/>
      <c r="N27" s="24" t="n"/>
      <c r="O27" s="15">
        <f>IF(D27="","",COUNT(F27,H27,J27,L27,N27))</f>
        <v/>
      </c>
      <c r="P27" s="25">
        <f>IF(D27="","",N(E27)*N(F27)+N(G27)*N(H27)+N(I27)*N(J27)+N(K27)*N(L27)+N(M27)*N(N27))</f>
        <v/>
      </c>
      <c r="Q27" s="18">
        <f>IF(N(X27)=0,"",IF(IF(N(F27)=0,0,IF(N(E27)&gt;0,E27*(1+F27/30),F27))=X27,IF(N(E27)&gt;0,E27&amp;" x "&amp;F27,F27&amp;" reps"),IF(IF(N(H27)=0,0,IF(N(G27)&gt;0,G27*(1+H27/30),H27))=X27,IF(N(G27)&gt;0,G27&amp;" x "&amp;H27,H27&amp;" reps"),IF(IF(N(J27)=0,0,IF(N(I27)&gt;0,I27*(1+J27/30),J27))=X27,IF(N(I27)&gt;0,I27&amp;" x "&amp;J27,J27&amp;" reps"),IF(IF(N(L27)=0,0,IF(N(K27)&gt;0,K27*(1+L27/30),L27))=X27,IF(N(K27)&gt;0,K27&amp;" x "&amp;L27,L27&amp;" reps"),IF(IF(N(N27)=0,0,IF(N(M27)&gt;0,M27*(1+N27/30),N27))=X27,IF(N(M27)&gt;0,M27&amp;" x "&amp;N27,N27&amp;" reps"),""))))))</f>
        <v/>
      </c>
      <c r="R27" s="20">
        <f>IF(N(X27)=0,"",ROUND(X27,1))</f>
        <v/>
      </c>
      <c r="S27" s="18">
        <f>IF(N(X27)=0,"",IF(AND(COUNTIFS(Log!$D$6:$D$1505,D27,Log!$B$6:$B$1505,"&lt;"&amp;B27)&gt;0,COUNTIFS(Log!$D$6:$D$1505,D27,Log!$B$6:$B$1505,"&lt;"&amp;B27,Log!$X$6:$X$1505,"&gt;="&amp;X27)=0),"New best",""))</f>
        <v/>
      </c>
      <c r="T27" s="26" t="n"/>
      <c r="U27" s="1">
        <f>IF(D27="","",IFERROR(INDEX(Exercises!$C$6:$C$105,MATCH(D27,Exercises!$B$6:$B$105,0)),"Other"))</f>
        <v/>
      </c>
      <c r="V27">
        <f>IF(B27="","",IF(COUNTIF($B$6:B27,B27)=1,1,0))</f>
        <v/>
      </c>
      <c r="W27">
        <f>IF(B27="","",B27-WEEKDAY(B27,3))</f>
        <v/>
      </c>
      <c r="X27">
        <f>IF(D27="","",MAX(IF(N(F27)=0,0,IF(N(E27)&gt;0,E27*(1+F27/30),F27)),IF(N(H27)=0,0,IF(N(G27)&gt;0,G27*(1+H27/30),H27)),IF(N(J27)=0,0,IF(N(I27)&gt;0,I27*(1+J27/30),J27)),IF(N(L27)=0,0,IF(N(K27)&gt;0,K27*(1+L27/30),L27)),IF(N(N27)=0,0,IF(N(M27)&gt;0,M27*(1+N27/30),N27))))</f>
        <v/>
      </c>
      <c r="Y27">
        <f>IF(N(X27)=0,"",X27+ROW()/1000000000)</f>
        <v/>
      </c>
      <c r="Z27">
        <f>IF(Y27="","",IF(COUNTIFS(Log!$D$6:$D$1505,D27,Log!$Y$6:$Y$1505,"&gt;"&amp;Y27)=0,1,0))</f>
        <v/>
      </c>
      <c r="AA27">
        <f>IF(OR(B27="",D27=""),"",B27+ROW()/10000000)</f>
        <v/>
      </c>
      <c r="AB27">
        <f>IF(AA27="","",IF(COUNTIFS(Log!$D$6:$D$1505,D27,Log!$AA$6:$AA$1505,"&gt;"&amp;AA27)=0,1,0))</f>
        <v/>
      </c>
      <c r="AC27">
        <f>IF(S27="New best",AA27,"")</f>
        <v/>
      </c>
      <c r="AD27">
        <f>ROW()</f>
        <v/>
      </c>
    </row>
    <row r="28">
      <c r="A28" s="1" t="n"/>
      <c r="B28" s="21" t="n">
        <v>46216</v>
      </c>
      <c r="C28" s="22" t="inlineStr">
        <is>
          <t>Push</t>
        </is>
      </c>
      <c r="D28" s="23" t="inlineStr">
        <is>
          <t>Lateral raise</t>
        </is>
      </c>
      <c r="E28" s="24" t="n">
        <v>15</v>
      </c>
      <c r="F28" s="24" t="n">
        <v>14</v>
      </c>
      <c r="G28" s="24" t="n">
        <v>15</v>
      </c>
      <c r="H28" s="24" t="n">
        <v>13</v>
      </c>
      <c r="I28" s="24" t="n">
        <v>15</v>
      </c>
      <c r="J28" s="24" t="n">
        <v>13</v>
      </c>
      <c r="K28" s="24" t="n"/>
      <c r="L28" s="24" t="n"/>
      <c r="M28" s="24" t="n"/>
      <c r="N28" s="24" t="n"/>
      <c r="O28" s="15">
        <f>IF(D28="","",COUNT(F28,H28,J28,L28,N28))</f>
        <v/>
      </c>
      <c r="P28" s="25">
        <f>IF(D28="","",N(E28)*N(F28)+N(G28)*N(H28)+N(I28)*N(J28)+N(K28)*N(L28)+N(M28)*N(N28))</f>
        <v/>
      </c>
      <c r="Q28" s="18">
        <f>IF(N(X28)=0,"",IF(IF(N(F28)=0,0,IF(N(E28)&gt;0,E28*(1+F28/30),F28))=X28,IF(N(E28)&gt;0,E28&amp;" x "&amp;F28,F28&amp;" reps"),IF(IF(N(H28)=0,0,IF(N(G28)&gt;0,G28*(1+H28/30),H28))=X28,IF(N(G28)&gt;0,G28&amp;" x "&amp;H28,H28&amp;" reps"),IF(IF(N(J28)=0,0,IF(N(I28)&gt;0,I28*(1+J28/30),J28))=X28,IF(N(I28)&gt;0,I28&amp;" x "&amp;J28,J28&amp;" reps"),IF(IF(N(L28)=0,0,IF(N(K28)&gt;0,K28*(1+L28/30),L28))=X28,IF(N(K28)&gt;0,K28&amp;" x "&amp;L28,L28&amp;" reps"),IF(IF(N(N28)=0,0,IF(N(M28)&gt;0,M28*(1+N28/30),N28))=X28,IF(N(M28)&gt;0,M28&amp;" x "&amp;N28,N28&amp;" reps"),""))))))</f>
        <v/>
      </c>
      <c r="R28" s="20">
        <f>IF(N(X28)=0,"",ROUND(X28,1))</f>
        <v/>
      </c>
      <c r="S28" s="18">
        <f>IF(N(X28)=0,"",IF(AND(COUNTIFS(Log!$D$6:$D$1505,D28,Log!$B$6:$B$1505,"&lt;"&amp;B28)&gt;0,COUNTIFS(Log!$D$6:$D$1505,D28,Log!$B$6:$B$1505,"&lt;"&amp;B28,Log!$X$6:$X$1505,"&gt;="&amp;X28)=0),"New best",""))</f>
        <v/>
      </c>
      <c r="T28" s="26" t="n"/>
      <c r="U28" s="1">
        <f>IF(D28="","",IFERROR(INDEX(Exercises!$C$6:$C$105,MATCH(D28,Exercises!$B$6:$B$105,0)),"Other"))</f>
        <v/>
      </c>
      <c r="V28">
        <f>IF(B28="","",IF(COUNTIF($B$6:B28,B28)=1,1,0))</f>
        <v/>
      </c>
      <c r="W28">
        <f>IF(B28="","",B28-WEEKDAY(B28,3))</f>
        <v/>
      </c>
      <c r="X28">
        <f>IF(D28="","",MAX(IF(N(F28)=0,0,IF(N(E28)&gt;0,E28*(1+F28/30),F28)),IF(N(H28)=0,0,IF(N(G28)&gt;0,G28*(1+H28/30),H28)),IF(N(J28)=0,0,IF(N(I28)&gt;0,I28*(1+J28/30),J28)),IF(N(L28)=0,0,IF(N(K28)&gt;0,K28*(1+L28/30),L28)),IF(N(N28)=0,0,IF(N(M28)&gt;0,M28*(1+N28/30),N28))))</f>
        <v/>
      </c>
      <c r="Y28">
        <f>IF(N(X28)=0,"",X28+ROW()/1000000000)</f>
        <v/>
      </c>
      <c r="Z28">
        <f>IF(Y28="","",IF(COUNTIFS(Log!$D$6:$D$1505,D28,Log!$Y$6:$Y$1505,"&gt;"&amp;Y28)=0,1,0))</f>
        <v/>
      </c>
      <c r="AA28">
        <f>IF(OR(B28="",D28=""),"",B28+ROW()/10000000)</f>
        <v/>
      </c>
      <c r="AB28">
        <f>IF(AA28="","",IF(COUNTIFS(Log!$D$6:$D$1505,D28,Log!$AA$6:$AA$1505,"&gt;"&amp;AA28)=0,1,0))</f>
        <v/>
      </c>
      <c r="AC28">
        <f>IF(S28="New best",AA28,"")</f>
        <v/>
      </c>
      <c r="AD28">
        <f>ROW()</f>
        <v/>
      </c>
    </row>
    <row r="29">
      <c r="A29" s="1" t="n"/>
      <c r="B29" s="21" t="n">
        <v>46216</v>
      </c>
      <c r="C29" s="22" t="inlineStr">
        <is>
          <t>Push</t>
        </is>
      </c>
      <c r="D29" s="23" t="inlineStr">
        <is>
          <t>Triceps pushdown</t>
        </is>
      </c>
      <c r="E29" s="24" t="n">
        <v>40</v>
      </c>
      <c r="F29" s="24" t="n">
        <v>12</v>
      </c>
      <c r="G29" s="24" t="n">
        <v>40</v>
      </c>
      <c r="H29" s="24" t="n">
        <v>10</v>
      </c>
      <c r="I29" s="24" t="n">
        <v>40</v>
      </c>
      <c r="J29" s="24" t="n">
        <v>10</v>
      </c>
      <c r="K29" s="24" t="n"/>
      <c r="L29" s="24" t="n"/>
      <c r="M29" s="24" t="n"/>
      <c r="N29" s="24" t="n"/>
      <c r="O29" s="15">
        <f>IF(D29="","",COUNT(F29,H29,J29,L29,N29))</f>
        <v/>
      </c>
      <c r="P29" s="25">
        <f>IF(D29="","",N(E29)*N(F29)+N(G29)*N(H29)+N(I29)*N(J29)+N(K29)*N(L29)+N(M29)*N(N29))</f>
        <v/>
      </c>
      <c r="Q29" s="18">
        <f>IF(N(X29)=0,"",IF(IF(N(F29)=0,0,IF(N(E29)&gt;0,E29*(1+F29/30),F29))=X29,IF(N(E29)&gt;0,E29&amp;" x "&amp;F29,F29&amp;" reps"),IF(IF(N(H29)=0,0,IF(N(G29)&gt;0,G29*(1+H29/30),H29))=X29,IF(N(G29)&gt;0,G29&amp;" x "&amp;H29,H29&amp;" reps"),IF(IF(N(J29)=0,0,IF(N(I29)&gt;0,I29*(1+J29/30),J29))=X29,IF(N(I29)&gt;0,I29&amp;" x "&amp;J29,J29&amp;" reps"),IF(IF(N(L29)=0,0,IF(N(K29)&gt;0,K29*(1+L29/30),L29))=X29,IF(N(K29)&gt;0,K29&amp;" x "&amp;L29,L29&amp;" reps"),IF(IF(N(N29)=0,0,IF(N(M29)&gt;0,M29*(1+N29/30),N29))=X29,IF(N(M29)&gt;0,M29&amp;" x "&amp;N29,N29&amp;" reps"),""))))))</f>
        <v/>
      </c>
      <c r="R29" s="20">
        <f>IF(N(X29)=0,"",ROUND(X29,1))</f>
        <v/>
      </c>
      <c r="S29" s="18">
        <f>IF(N(X29)=0,"",IF(AND(COUNTIFS(Log!$D$6:$D$1505,D29,Log!$B$6:$B$1505,"&lt;"&amp;B29)&gt;0,COUNTIFS(Log!$D$6:$D$1505,D29,Log!$B$6:$B$1505,"&lt;"&amp;B29,Log!$X$6:$X$1505,"&gt;="&amp;X29)=0),"New best",""))</f>
        <v/>
      </c>
      <c r="T29" s="26" t="n"/>
      <c r="U29" s="1">
        <f>IF(D29="","",IFERROR(INDEX(Exercises!$C$6:$C$105,MATCH(D29,Exercises!$B$6:$B$105,0)),"Other"))</f>
        <v/>
      </c>
      <c r="V29">
        <f>IF(B29="","",IF(COUNTIF($B$6:B29,B29)=1,1,0))</f>
        <v/>
      </c>
      <c r="W29">
        <f>IF(B29="","",B29-WEEKDAY(B29,3))</f>
        <v/>
      </c>
      <c r="X29">
        <f>IF(D29="","",MAX(IF(N(F29)=0,0,IF(N(E29)&gt;0,E29*(1+F29/30),F29)),IF(N(H29)=0,0,IF(N(G29)&gt;0,G29*(1+H29/30),H29)),IF(N(J29)=0,0,IF(N(I29)&gt;0,I29*(1+J29/30),J29)),IF(N(L29)=0,0,IF(N(K29)&gt;0,K29*(1+L29/30),L29)),IF(N(N29)=0,0,IF(N(M29)&gt;0,M29*(1+N29/30),N29))))</f>
        <v/>
      </c>
      <c r="Y29">
        <f>IF(N(X29)=0,"",X29+ROW()/1000000000)</f>
        <v/>
      </c>
      <c r="Z29">
        <f>IF(Y29="","",IF(COUNTIFS(Log!$D$6:$D$1505,D29,Log!$Y$6:$Y$1505,"&gt;"&amp;Y29)=0,1,0))</f>
        <v/>
      </c>
      <c r="AA29">
        <f>IF(OR(B29="",D29=""),"",B29+ROW()/10000000)</f>
        <v/>
      </c>
      <c r="AB29">
        <f>IF(AA29="","",IF(COUNTIFS(Log!$D$6:$D$1505,D29,Log!$AA$6:$AA$1505,"&gt;"&amp;AA29)=0,1,0))</f>
        <v/>
      </c>
      <c r="AC29">
        <f>IF(S29="New best",AA29,"")</f>
        <v/>
      </c>
      <c r="AD29">
        <f>ROW()</f>
        <v/>
      </c>
    </row>
    <row r="30">
      <c r="A30" s="1" t="n"/>
      <c r="B30" s="21" t="n">
        <v>46217</v>
      </c>
      <c r="C30" s="22" t="inlineStr">
        <is>
          <t>Pull</t>
        </is>
      </c>
      <c r="D30" s="23" t="inlineStr">
        <is>
          <t>Deadlift</t>
        </is>
      </c>
      <c r="E30" s="24" t="n">
        <v>225</v>
      </c>
      <c r="F30" s="24" t="n">
        <v>5</v>
      </c>
      <c r="G30" s="24" t="n">
        <v>225</v>
      </c>
      <c r="H30" s="24" t="n">
        <v>5</v>
      </c>
      <c r="I30" s="24" t="n">
        <v>225</v>
      </c>
      <c r="J30" s="24" t="n">
        <v>5</v>
      </c>
      <c r="K30" s="24" t="n"/>
      <c r="L30" s="24" t="n"/>
      <c r="M30" s="24" t="n"/>
      <c r="N30" s="24" t="n"/>
      <c r="O30" s="15">
        <f>IF(D30="","",COUNT(F30,H30,J30,L30,N30))</f>
        <v/>
      </c>
      <c r="P30" s="25">
        <f>IF(D30="","",N(E30)*N(F30)+N(G30)*N(H30)+N(I30)*N(J30)+N(K30)*N(L30)+N(M30)*N(N30))</f>
        <v/>
      </c>
      <c r="Q30" s="18">
        <f>IF(N(X30)=0,"",IF(IF(N(F30)=0,0,IF(N(E30)&gt;0,E30*(1+F30/30),F30))=X30,IF(N(E30)&gt;0,E30&amp;" x "&amp;F30,F30&amp;" reps"),IF(IF(N(H30)=0,0,IF(N(G30)&gt;0,G30*(1+H30/30),H30))=X30,IF(N(G30)&gt;0,G30&amp;" x "&amp;H30,H30&amp;" reps"),IF(IF(N(J30)=0,0,IF(N(I30)&gt;0,I30*(1+J30/30),J30))=X30,IF(N(I30)&gt;0,I30&amp;" x "&amp;J30,J30&amp;" reps"),IF(IF(N(L30)=0,0,IF(N(K30)&gt;0,K30*(1+L30/30),L30))=X30,IF(N(K30)&gt;0,K30&amp;" x "&amp;L30,L30&amp;" reps"),IF(IF(N(N30)=0,0,IF(N(M30)&gt;0,M30*(1+N30/30),N30))=X30,IF(N(M30)&gt;0,M30&amp;" x "&amp;N30,N30&amp;" reps"),""))))))</f>
        <v/>
      </c>
      <c r="R30" s="20">
        <f>IF(N(X30)=0,"",ROUND(X30,1))</f>
        <v/>
      </c>
      <c r="S30" s="18">
        <f>IF(N(X30)=0,"",IF(AND(COUNTIFS(Log!$D$6:$D$1505,D30,Log!$B$6:$B$1505,"&lt;"&amp;B30)&gt;0,COUNTIFS(Log!$D$6:$D$1505,D30,Log!$B$6:$B$1505,"&lt;"&amp;B30,Log!$X$6:$X$1505,"&gt;="&amp;X30)=0),"New best",""))</f>
        <v/>
      </c>
      <c r="T30" s="26" t="n"/>
      <c r="U30" s="1">
        <f>IF(D30="","",IFERROR(INDEX(Exercises!$C$6:$C$105,MATCH(D30,Exercises!$B$6:$B$105,0)),"Other"))</f>
        <v/>
      </c>
      <c r="V30">
        <f>IF(B30="","",IF(COUNTIF($B$6:B30,B30)=1,1,0))</f>
        <v/>
      </c>
      <c r="W30">
        <f>IF(B30="","",B30-WEEKDAY(B30,3))</f>
        <v/>
      </c>
      <c r="X30">
        <f>IF(D30="","",MAX(IF(N(F30)=0,0,IF(N(E30)&gt;0,E30*(1+F30/30),F30)),IF(N(H30)=0,0,IF(N(G30)&gt;0,G30*(1+H30/30),H30)),IF(N(J30)=0,0,IF(N(I30)&gt;0,I30*(1+J30/30),J30)),IF(N(L30)=0,0,IF(N(K30)&gt;0,K30*(1+L30/30),L30)),IF(N(N30)=0,0,IF(N(M30)&gt;0,M30*(1+N30/30),N30))))</f>
        <v/>
      </c>
      <c r="Y30">
        <f>IF(N(X30)=0,"",X30+ROW()/1000000000)</f>
        <v/>
      </c>
      <c r="Z30">
        <f>IF(Y30="","",IF(COUNTIFS(Log!$D$6:$D$1505,D30,Log!$Y$6:$Y$1505,"&gt;"&amp;Y30)=0,1,0))</f>
        <v/>
      </c>
      <c r="AA30">
        <f>IF(OR(B30="",D30=""),"",B30+ROW()/10000000)</f>
        <v/>
      </c>
      <c r="AB30">
        <f>IF(AA30="","",IF(COUNTIFS(Log!$D$6:$D$1505,D30,Log!$AA$6:$AA$1505,"&gt;"&amp;AA30)=0,1,0))</f>
        <v/>
      </c>
      <c r="AC30">
        <f>IF(S30="New best",AA30,"")</f>
        <v/>
      </c>
      <c r="AD30">
        <f>ROW()</f>
        <v/>
      </c>
    </row>
    <row r="31">
      <c r="A31" s="1" t="n"/>
      <c r="B31" s="21" t="n">
        <v>46217</v>
      </c>
      <c r="C31" s="22" t="inlineStr">
        <is>
          <t>Pull</t>
        </is>
      </c>
      <c r="D31" s="23" t="inlineStr">
        <is>
          <t>Pull-up</t>
        </is>
      </c>
      <c r="E31" s="24" t="n"/>
      <c r="F31" s="24" t="n">
        <v>5</v>
      </c>
      <c r="G31" s="24" t="n"/>
      <c r="H31" s="24" t="n">
        <v>4</v>
      </c>
      <c r="I31" s="24" t="n"/>
      <c r="J31" s="24" t="n">
        <v>3</v>
      </c>
      <c r="K31" s="24" t="n"/>
      <c r="L31" s="24" t="n"/>
      <c r="M31" s="24" t="n"/>
      <c r="N31" s="24" t="n"/>
      <c r="O31" s="15">
        <f>IF(D31="","",COUNT(F31,H31,J31,L31,N31))</f>
        <v/>
      </c>
      <c r="P31" s="25">
        <f>IF(D31="","",N(E31)*N(F31)+N(G31)*N(H31)+N(I31)*N(J31)+N(K31)*N(L31)+N(M31)*N(N31))</f>
        <v/>
      </c>
      <c r="Q31" s="18">
        <f>IF(N(X31)=0,"",IF(IF(N(F31)=0,0,IF(N(E31)&gt;0,E31*(1+F31/30),F31))=X31,IF(N(E31)&gt;0,E31&amp;" x "&amp;F31,F31&amp;" reps"),IF(IF(N(H31)=0,0,IF(N(G31)&gt;0,G31*(1+H31/30),H31))=X31,IF(N(G31)&gt;0,G31&amp;" x "&amp;H31,H31&amp;" reps"),IF(IF(N(J31)=0,0,IF(N(I31)&gt;0,I31*(1+J31/30),J31))=X31,IF(N(I31)&gt;0,I31&amp;" x "&amp;J31,J31&amp;" reps"),IF(IF(N(L31)=0,0,IF(N(K31)&gt;0,K31*(1+L31/30),L31))=X31,IF(N(K31)&gt;0,K31&amp;" x "&amp;L31,L31&amp;" reps"),IF(IF(N(N31)=0,0,IF(N(M31)&gt;0,M31*(1+N31/30),N31))=X31,IF(N(M31)&gt;0,M31&amp;" x "&amp;N31,N31&amp;" reps"),""))))))</f>
        <v/>
      </c>
      <c r="R31" s="20">
        <f>IF(N(X31)=0,"",ROUND(X31,1))</f>
        <v/>
      </c>
      <c r="S31" s="18">
        <f>IF(N(X31)=0,"",IF(AND(COUNTIFS(Log!$D$6:$D$1505,D31,Log!$B$6:$B$1505,"&lt;"&amp;B31)&gt;0,COUNTIFS(Log!$D$6:$D$1505,D31,Log!$B$6:$B$1505,"&lt;"&amp;B31,Log!$X$6:$X$1505,"&gt;="&amp;X31)=0),"New best",""))</f>
        <v/>
      </c>
      <c r="T31" s="26" t="n"/>
      <c r="U31" s="1">
        <f>IF(D31="","",IFERROR(INDEX(Exercises!$C$6:$C$105,MATCH(D31,Exercises!$B$6:$B$105,0)),"Other"))</f>
        <v/>
      </c>
      <c r="V31">
        <f>IF(B31="","",IF(COUNTIF($B$6:B31,B31)=1,1,0))</f>
        <v/>
      </c>
      <c r="W31">
        <f>IF(B31="","",B31-WEEKDAY(B31,3))</f>
        <v/>
      </c>
      <c r="X31">
        <f>IF(D31="","",MAX(IF(N(F31)=0,0,IF(N(E31)&gt;0,E31*(1+F31/30),F31)),IF(N(H31)=0,0,IF(N(G31)&gt;0,G31*(1+H31/30),H31)),IF(N(J31)=0,0,IF(N(I31)&gt;0,I31*(1+J31/30),J31)),IF(N(L31)=0,0,IF(N(K31)&gt;0,K31*(1+L31/30),L31)),IF(N(N31)=0,0,IF(N(M31)&gt;0,M31*(1+N31/30),N31))))</f>
        <v/>
      </c>
      <c r="Y31">
        <f>IF(N(X31)=0,"",X31+ROW()/1000000000)</f>
        <v/>
      </c>
      <c r="Z31">
        <f>IF(Y31="","",IF(COUNTIFS(Log!$D$6:$D$1505,D31,Log!$Y$6:$Y$1505,"&gt;"&amp;Y31)=0,1,0))</f>
        <v/>
      </c>
      <c r="AA31">
        <f>IF(OR(B31="",D31=""),"",B31+ROW()/10000000)</f>
        <v/>
      </c>
      <c r="AB31">
        <f>IF(AA31="","",IF(COUNTIFS(Log!$D$6:$D$1505,D31,Log!$AA$6:$AA$1505,"&gt;"&amp;AA31)=0,1,0))</f>
        <v/>
      </c>
      <c r="AC31">
        <f>IF(S31="New best",AA31,"")</f>
        <v/>
      </c>
      <c r="AD31">
        <f>ROW()</f>
        <v/>
      </c>
    </row>
    <row r="32">
      <c r="A32" s="1" t="n"/>
      <c r="B32" s="21" t="n">
        <v>46217</v>
      </c>
      <c r="C32" s="22" t="inlineStr">
        <is>
          <t>Pull</t>
        </is>
      </c>
      <c r="D32" s="23" t="inlineStr">
        <is>
          <t>Barbell row</t>
        </is>
      </c>
      <c r="E32" s="24" t="n">
        <v>115</v>
      </c>
      <c r="F32" s="24" t="n">
        <v>10</v>
      </c>
      <c r="G32" s="24" t="n">
        <v>115</v>
      </c>
      <c r="H32" s="24" t="n">
        <v>9</v>
      </c>
      <c r="I32" s="24" t="n">
        <v>115</v>
      </c>
      <c r="J32" s="24" t="n">
        <v>8</v>
      </c>
      <c r="K32" s="24" t="n"/>
      <c r="L32" s="24" t="n"/>
      <c r="M32" s="24" t="n"/>
      <c r="N32" s="24" t="n"/>
      <c r="O32" s="15">
        <f>IF(D32="","",COUNT(F32,H32,J32,L32,N32))</f>
        <v/>
      </c>
      <c r="P32" s="25">
        <f>IF(D32="","",N(E32)*N(F32)+N(G32)*N(H32)+N(I32)*N(J32)+N(K32)*N(L32)+N(M32)*N(N32))</f>
        <v/>
      </c>
      <c r="Q32" s="18">
        <f>IF(N(X32)=0,"",IF(IF(N(F32)=0,0,IF(N(E32)&gt;0,E32*(1+F32/30),F32))=X32,IF(N(E32)&gt;0,E32&amp;" x "&amp;F32,F32&amp;" reps"),IF(IF(N(H32)=0,0,IF(N(G32)&gt;0,G32*(1+H32/30),H32))=X32,IF(N(G32)&gt;0,G32&amp;" x "&amp;H32,H32&amp;" reps"),IF(IF(N(J32)=0,0,IF(N(I32)&gt;0,I32*(1+J32/30),J32))=X32,IF(N(I32)&gt;0,I32&amp;" x "&amp;J32,J32&amp;" reps"),IF(IF(N(L32)=0,0,IF(N(K32)&gt;0,K32*(1+L32/30),L32))=X32,IF(N(K32)&gt;0,K32&amp;" x "&amp;L32,L32&amp;" reps"),IF(IF(N(N32)=0,0,IF(N(M32)&gt;0,M32*(1+N32/30),N32))=X32,IF(N(M32)&gt;0,M32&amp;" x "&amp;N32,N32&amp;" reps"),""))))))</f>
        <v/>
      </c>
      <c r="R32" s="20">
        <f>IF(N(X32)=0,"",ROUND(X32,1))</f>
        <v/>
      </c>
      <c r="S32" s="18">
        <f>IF(N(X32)=0,"",IF(AND(COUNTIFS(Log!$D$6:$D$1505,D32,Log!$B$6:$B$1505,"&lt;"&amp;B32)&gt;0,COUNTIFS(Log!$D$6:$D$1505,D32,Log!$B$6:$B$1505,"&lt;"&amp;B32,Log!$X$6:$X$1505,"&gt;="&amp;X32)=0),"New best",""))</f>
        <v/>
      </c>
      <c r="T32" s="26" t="inlineStr">
        <is>
          <t>Short on time</t>
        </is>
      </c>
      <c r="U32" s="1">
        <f>IF(D32="","",IFERROR(INDEX(Exercises!$C$6:$C$105,MATCH(D32,Exercises!$B$6:$B$105,0)),"Other"))</f>
        <v/>
      </c>
      <c r="V32">
        <f>IF(B32="","",IF(COUNTIF($B$6:B32,B32)=1,1,0))</f>
        <v/>
      </c>
      <c r="W32">
        <f>IF(B32="","",B32-WEEKDAY(B32,3))</f>
        <v/>
      </c>
      <c r="X32">
        <f>IF(D32="","",MAX(IF(N(F32)=0,0,IF(N(E32)&gt;0,E32*(1+F32/30),F32)),IF(N(H32)=0,0,IF(N(G32)&gt;0,G32*(1+H32/30),H32)),IF(N(J32)=0,0,IF(N(I32)&gt;0,I32*(1+J32/30),J32)),IF(N(L32)=0,0,IF(N(K32)&gt;0,K32*(1+L32/30),L32)),IF(N(N32)=0,0,IF(N(M32)&gt;0,M32*(1+N32/30),N32))))</f>
        <v/>
      </c>
      <c r="Y32">
        <f>IF(N(X32)=0,"",X32+ROW()/1000000000)</f>
        <v/>
      </c>
      <c r="Z32">
        <f>IF(Y32="","",IF(COUNTIFS(Log!$D$6:$D$1505,D32,Log!$Y$6:$Y$1505,"&gt;"&amp;Y32)=0,1,0))</f>
        <v/>
      </c>
      <c r="AA32">
        <f>IF(OR(B32="",D32=""),"",B32+ROW()/10000000)</f>
        <v/>
      </c>
      <c r="AB32">
        <f>IF(AA32="","",IF(COUNTIFS(Log!$D$6:$D$1505,D32,Log!$AA$6:$AA$1505,"&gt;"&amp;AA32)=0,1,0))</f>
        <v/>
      </c>
      <c r="AC32">
        <f>IF(S32="New best",AA32,"")</f>
        <v/>
      </c>
      <c r="AD32">
        <f>ROW()</f>
        <v/>
      </c>
    </row>
    <row r="33">
      <c r="A33" s="1" t="n"/>
      <c r="B33" s="21" t="n">
        <v>46217</v>
      </c>
      <c r="C33" s="22" t="inlineStr">
        <is>
          <t>Pull</t>
        </is>
      </c>
      <c r="D33" s="23" t="inlineStr">
        <is>
          <t>Lat pulldown</t>
        </is>
      </c>
      <c r="E33" s="24" t="n">
        <v>100</v>
      </c>
      <c r="F33" s="24" t="n">
        <v>11</v>
      </c>
      <c r="G33" s="24" t="n">
        <v>100</v>
      </c>
      <c r="H33" s="24" t="n">
        <v>11</v>
      </c>
      <c r="I33" s="24" t="n">
        <v>100</v>
      </c>
      <c r="J33" s="24" t="n">
        <v>10</v>
      </c>
      <c r="K33" s="24" t="n"/>
      <c r="L33" s="24" t="n"/>
      <c r="M33" s="24" t="n"/>
      <c r="N33" s="24" t="n"/>
      <c r="O33" s="15">
        <f>IF(D33="","",COUNT(F33,H33,J33,L33,N33))</f>
        <v/>
      </c>
      <c r="P33" s="25">
        <f>IF(D33="","",N(E33)*N(F33)+N(G33)*N(H33)+N(I33)*N(J33)+N(K33)*N(L33)+N(M33)*N(N33))</f>
        <v/>
      </c>
      <c r="Q33" s="18">
        <f>IF(N(X33)=0,"",IF(IF(N(F33)=0,0,IF(N(E33)&gt;0,E33*(1+F33/30),F33))=X33,IF(N(E33)&gt;0,E33&amp;" x "&amp;F33,F33&amp;" reps"),IF(IF(N(H33)=0,0,IF(N(G33)&gt;0,G33*(1+H33/30),H33))=X33,IF(N(G33)&gt;0,G33&amp;" x "&amp;H33,H33&amp;" reps"),IF(IF(N(J33)=0,0,IF(N(I33)&gt;0,I33*(1+J33/30),J33))=X33,IF(N(I33)&gt;0,I33&amp;" x "&amp;J33,J33&amp;" reps"),IF(IF(N(L33)=0,0,IF(N(K33)&gt;0,K33*(1+L33/30),L33))=X33,IF(N(K33)&gt;0,K33&amp;" x "&amp;L33,L33&amp;" reps"),IF(IF(N(N33)=0,0,IF(N(M33)&gt;0,M33*(1+N33/30),N33))=X33,IF(N(M33)&gt;0,M33&amp;" x "&amp;N33,N33&amp;" reps"),""))))))</f>
        <v/>
      </c>
      <c r="R33" s="20">
        <f>IF(N(X33)=0,"",ROUND(X33,1))</f>
        <v/>
      </c>
      <c r="S33" s="18">
        <f>IF(N(X33)=0,"",IF(AND(COUNTIFS(Log!$D$6:$D$1505,D33,Log!$B$6:$B$1505,"&lt;"&amp;B33)&gt;0,COUNTIFS(Log!$D$6:$D$1505,D33,Log!$B$6:$B$1505,"&lt;"&amp;B33,Log!$X$6:$X$1505,"&gt;="&amp;X33)=0),"New best",""))</f>
        <v/>
      </c>
      <c r="T33" s="26" t="n"/>
      <c r="U33" s="1">
        <f>IF(D33="","",IFERROR(INDEX(Exercises!$C$6:$C$105,MATCH(D33,Exercises!$B$6:$B$105,0)),"Other"))</f>
        <v/>
      </c>
      <c r="V33">
        <f>IF(B33="","",IF(COUNTIF($B$6:B33,B33)=1,1,0))</f>
        <v/>
      </c>
      <c r="W33">
        <f>IF(B33="","",B33-WEEKDAY(B33,3))</f>
        <v/>
      </c>
      <c r="X33">
        <f>IF(D33="","",MAX(IF(N(F33)=0,0,IF(N(E33)&gt;0,E33*(1+F33/30),F33)),IF(N(H33)=0,0,IF(N(G33)&gt;0,G33*(1+H33/30),H33)),IF(N(J33)=0,0,IF(N(I33)&gt;0,I33*(1+J33/30),J33)),IF(N(L33)=0,0,IF(N(K33)&gt;0,K33*(1+L33/30),L33)),IF(N(N33)=0,0,IF(N(M33)&gt;0,M33*(1+N33/30),N33))))</f>
        <v/>
      </c>
      <c r="Y33">
        <f>IF(N(X33)=0,"",X33+ROW()/1000000000)</f>
        <v/>
      </c>
      <c r="Z33">
        <f>IF(Y33="","",IF(COUNTIFS(Log!$D$6:$D$1505,D33,Log!$Y$6:$Y$1505,"&gt;"&amp;Y33)=0,1,0))</f>
        <v/>
      </c>
      <c r="AA33">
        <f>IF(OR(B33="",D33=""),"",B33+ROW()/10000000)</f>
        <v/>
      </c>
      <c r="AB33">
        <f>IF(AA33="","",IF(COUNTIFS(Log!$D$6:$D$1505,D33,Log!$AA$6:$AA$1505,"&gt;"&amp;AA33)=0,1,0))</f>
        <v/>
      </c>
      <c r="AC33">
        <f>IF(S33="New best",AA33,"")</f>
        <v/>
      </c>
      <c r="AD33">
        <f>ROW()</f>
        <v/>
      </c>
    </row>
    <row r="34">
      <c r="A34" s="1" t="n"/>
      <c r="B34" s="21" t="n">
        <v>46217</v>
      </c>
      <c r="C34" s="22" t="inlineStr">
        <is>
          <t>Pull</t>
        </is>
      </c>
      <c r="D34" s="23" t="inlineStr">
        <is>
          <t>Biceps curl</t>
        </is>
      </c>
      <c r="E34" s="24" t="n">
        <v>25</v>
      </c>
      <c r="F34" s="24" t="n">
        <v>11</v>
      </c>
      <c r="G34" s="24" t="n">
        <v>25</v>
      </c>
      <c r="H34" s="24" t="n">
        <v>11</v>
      </c>
      <c r="I34" s="24" t="n">
        <v>25</v>
      </c>
      <c r="J34" s="24" t="n">
        <v>10</v>
      </c>
      <c r="K34" s="24" t="n"/>
      <c r="L34" s="24" t="n"/>
      <c r="M34" s="24" t="n"/>
      <c r="N34" s="24" t="n"/>
      <c r="O34" s="15">
        <f>IF(D34="","",COUNT(F34,H34,J34,L34,N34))</f>
        <v/>
      </c>
      <c r="P34" s="25">
        <f>IF(D34="","",N(E34)*N(F34)+N(G34)*N(H34)+N(I34)*N(J34)+N(K34)*N(L34)+N(M34)*N(N34))</f>
        <v/>
      </c>
      <c r="Q34" s="18">
        <f>IF(N(X34)=0,"",IF(IF(N(F34)=0,0,IF(N(E34)&gt;0,E34*(1+F34/30),F34))=X34,IF(N(E34)&gt;0,E34&amp;" x "&amp;F34,F34&amp;" reps"),IF(IF(N(H34)=0,0,IF(N(G34)&gt;0,G34*(1+H34/30),H34))=X34,IF(N(G34)&gt;0,G34&amp;" x "&amp;H34,H34&amp;" reps"),IF(IF(N(J34)=0,0,IF(N(I34)&gt;0,I34*(1+J34/30),J34))=X34,IF(N(I34)&gt;0,I34&amp;" x "&amp;J34,J34&amp;" reps"),IF(IF(N(L34)=0,0,IF(N(K34)&gt;0,K34*(1+L34/30),L34))=X34,IF(N(K34)&gt;0,K34&amp;" x "&amp;L34,L34&amp;" reps"),IF(IF(N(N34)=0,0,IF(N(M34)&gt;0,M34*(1+N34/30),N34))=X34,IF(N(M34)&gt;0,M34&amp;" x "&amp;N34,N34&amp;" reps"),""))))))</f>
        <v/>
      </c>
      <c r="R34" s="20">
        <f>IF(N(X34)=0,"",ROUND(X34,1))</f>
        <v/>
      </c>
      <c r="S34" s="18">
        <f>IF(N(X34)=0,"",IF(AND(COUNTIFS(Log!$D$6:$D$1505,D34,Log!$B$6:$B$1505,"&lt;"&amp;B34)&gt;0,COUNTIFS(Log!$D$6:$D$1505,D34,Log!$B$6:$B$1505,"&lt;"&amp;B34,Log!$X$6:$X$1505,"&gt;="&amp;X34)=0),"New best",""))</f>
        <v/>
      </c>
      <c r="T34" s="26" t="n"/>
      <c r="U34" s="1">
        <f>IF(D34="","",IFERROR(INDEX(Exercises!$C$6:$C$105,MATCH(D34,Exercises!$B$6:$B$105,0)),"Other"))</f>
        <v/>
      </c>
      <c r="V34">
        <f>IF(B34="","",IF(COUNTIF($B$6:B34,B34)=1,1,0))</f>
        <v/>
      </c>
      <c r="W34">
        <f>IF(B34="","",B34-WEEKDAY(B34,3))</f>
        <v/>
      </c>
      <c r="X34">
        <f>IF(D34="","",MAX(IF(N(F34)=0,0,IF(N(E34)&gt;0,E34*(1+F34/30),F34)),IF(N(H34)=0,0,IF(N(G34)&gt;0,G34*(1+H34/30),H34)),IF(N(J34)=0,0,IF(N(I34)&gt;0,I34*(1+J34/30),J34)),IF(N(L34)=0,0,IF(N(K34)&gt;0,K34*(1+L34/30),L34)),IF(N(N34)=0,0,IF(N(M34)&gt;0,M34*(1+N34/30),N34))))</f>
        <v/>
      </c>
      <c r="Y34">
        <f>IF(N(X34)=0,"",X34+ROW()/1000000000)</f>
        <v/>
      </c>
      <c r="Z34">
        <f>IF(Y34="","",IF(COUNTIFS(Log!$D$6:$D$1505,D34,Log!$Y$6:$Y$1505,"&gt;"&amp;Y34)=0,1,0))</f>
        <v/>
      </c>
      <c r="AA34">
        <f>IF(OR(B34="",D34=""),"",B34+ROW()/10000000)</f>
        <v/>
      </c>
      <c r="AB34">
        <f>IF(AA34="","",IF(COUNTIFS(Log!$D$6:$D$1505,D34,Log!$AA$6:$AA$1505,"&gt;"&amp;AA34)=0,1,0))</f>
        <v/>
      </c>
      <c r="AC34">
        <f>IF(S34="New best",AA34,"")</f>
        <v/>
      </c>
      <c r="AD34">
        <f>ROW()</f>
        <v/>
      </c>
    </row>
    <row r="35">
      <c r="A35" s="1" t="n"/>
      <c r="B35" s="21" t="n">
        <v>46218</v>
      </c>
      <c r="C35" s="22" t="inlineStr">
        <is>
          <t>Legs</t>
        </is>
      </c>
      <c r="D35" s="23" t="inlineStr">
        <is>
          <t>Squat</t>
        </is>
      </c>
      <c r="E35" s="24" t="n">
        <v>185</v>
      </c>
      <c r="F35" s="24" t="n">
        <v>6</v>
      </c>
      <c r="G35" s="24" t="n">
        <v>185</v>
      </c>
      <c r="H35" s="24" t="n">
        <v>5</v>
      </c>
      <c r="I35" s="24" t="n">
        <v>185</v>
      </c>
      <c r="J35" s="24" t="n">
        <v>5</v>
      </c>
      <c r="K35" s="24" t="n">
        <v>185</v>
      </c>
      <c r="L35" s="24" t="n">
        <v>5</v>
      </c>
      <c r="M35" s="24" t="n"/>
      <c r="N35" s="24" t="n"/>
      <c r="O35" s="15">
        <f>IF(D35="","",COUNT(F35,H35,J35,L35,N35))</f>
        <v/>
      </c>
      <c r="P35" s="25">
        <f>IF(D35="","",N(E35)*N(F35)+N(G35)*N(H35)+N(I35)*N(J35)+N(K35)*N(L35)+N(M35)*N(N35))</f>
        <v/>
      </c>
      <c r="Q35" s="18">
        <f>IF(N(X35)=0,"",IF(IF(N(F35)=0,0,IF(N(E35)&gt;0,E35*(1+F35/30),F35))=X35,IF(N(E35)&gt;0,E35&amp;" x "&amp;F35,F35&amp;" reps"),IF(IF(N(H35)=0,0,IF(N(G35)&gt;0,G35*(1+H35/30),H35))=X35,IF(N(G35)&gt;0,G35&amp;" x "&amp;H35,H35&amp;" reps"),IF(IF(N(J35)=0,0,IF(N(I35)&gt;0,I35*(1+J35/30),J35))=X35,IF(N(I35)&gt;0,I35&amp;" x "&amp;J35,J35&amp;" reps"),IF(IF(N(L35)=0,0,IF(N(K35)&gt;0,K35*(1+L35/30),L35))=X35,IF(N(K35)&gt;0,K35&amp;" x "&amp;L35,L35&amp;" reps"),IF(IF(N(N35)=0,0,IF(N(M35)&gt;0,M35*(1+N35/30),N35))=X35,IF(N(M35)&gt;0,M35&amp;" x "&amp;N35,N35&amp;" reps"),""))))))</f>
        <v/>
      </c>
      <c r="R35" s="20">
        <f>IF(N(X35)=0,"",ROUND(X35,1))</f>
        <v/>
      </c>
      <c r="S35" s="18">
        <f>IF(N(X35)=0,"",IF(AND(COUNTIFS(Log!$D$6:$D$1505,D35,Log!$B$6:$B$1505,"&lt;"&amp;B35)&gt;0,COUNTIFS(Log!$D$6:$D$1505,D35,Log!$B$6:$B$1505,"&lt;"&amp;B35,Log!$X$6:$X$1505,"&gt;="&amp;X35)=0),"New best",""))</f>
        <v/>
      </c>
      <c r="T35" s="26" t="inlineStr">
        <is>
          <t>Felt strong</t>
        </is>
      </c>
      <c r="U35" s="1">
        <f>IF(D35="","",IFERROR(INDEX(Exercises!$C$6:$C$105,MATCH(D35,Exercises!$B$6:$B$105,0)),"Other"))</f>
        <v/>
      </c>
      <c r="V35">
        <f>IF(B35="","",IF(COUNTIF($B$6:B35,B35)=1,1,0))</f>
        <v/>
      </c>
      <c r="W35">
        <f>IF(B35="","",B35-WEEKDAY(B35,3))</f>
        <v/>
      </c>
      <c r="X35">
        <f>IF(D35="","",MAX(IF(N(F35)=0,0,IF(N(E35)&gt;0,E35*(1+F35/30),F35)),IF(N(H35)=0,0,IF(N(G35)&gt;0,G35*(1+H35/30),H35)),IF(N(J35)=0,0,IF(N(I35)&gt;0,I35*(1+J35/30),J35)),IF(N(L35)=0,0,IF(N(K35)&gt;0,K35*(1+L35/30),L35)),IF(N(N35)=0,0,IF(N(M35)&gt;0,M35*(1+N35/30),N35))))</f>
        <v/>
      </c>
      <c r="Y35">
        <f>IF(N(X35)=0,"",X35+ROW()/1000000000)</f>
        <v/>
      </c>
      <c r="Z35">
        <f>IF(Y35="","",IF(COUNTIFS(Log!$D$6:$D$1505,D35,Log!$Y$6:$Y$1505,"&gt;"&amp;Y35)=0,1,0))</f>
        <v/>
      </c>
      <c r="AA35">
        <f>IF(OR(B35="",D35=""),"",B35+ROW()/10000000)</f>
        <v/>
      </c>
      <c r="AB35">
        <f>IF(AA35="","",IF(COUNTIFS(Log!$D$6:$D$1505,D35,Log!$AA$6:$AA$1505,"&gt;"&amp;AA35)=0,1,0))</f>
        <v/>
      </c>
      <c r="AC35">
        <f>IF(S35="New best",AA35,"")</f>
        <v/>
      </c>
      <c r="AD35">
        <f>ROW()</f>
        <v/>
      </c>
    </row>
    <row r="36">
      <c r="A36" s="1" t="n"/>
      <c r="B36" s="21" t="n">
        <v>46218</v>
      </c>
      <c r="C36" s="22" t="inlineStr">
        <is>
          <t>Legs</t>
        </is>
      </c>
      <c r="D36" s="23" t="inlineStr">
        <is>
          <t>Romanian deadlift</t>
        </is>
      </c>
      <c r="E36" s="24" t="n">
        <v>155</v>
      </c>
      <c r="F36" s="24" t="n">
        <v>10</v>
      </c>
      <c r="G36" s="24" t="n">
        <v>155</v>
      </c>
      <c r="H36" s="24" t="n">
        <v>8</v>
      </c>
      <c r="I36" s="24" t="n">
        <v>155</v>
      </c>
      <c r="J36" s="24" t="n">
        <v>8</v>
      </c>
      <c r="K36" s="24" t="n"/>
      <c r="L36" s="24" t="n"/>
      <c r="M36" s="24" t="n"/>
      <c r="N36" s="24" t="n"/>
      <c r="O36" s="15">
        <f>IF(D36="","",COUNT(F36,H36,J36,L36,N36))</f>
        <v/>
      </c>
      <c r="P36" s="25">
        <f>IF(D36="","",N(E36)*N(F36)+N(G36)*N(H36)+N(I36)*N(J36)+N(K36)*N(L36)+N(M36)*N(N36))</f>
        <v/>
      </c>
      <c r="Q36" s="18">
        <f>IF(N(X36)=0,"",IF(IF(N(F36)=0,0,IF(N(E36)&gt;0,E36*(1+F36/30),F36))=X36,IF(N(E36)&gt;0,E36&amp;" x "&amp;F36,F36&amp;" reps"),IF(IF(N(H36)=0,0,IF(N(G36)&gt;0,G36*(1+H36/30),H36))=X36,IF(N(G36)&gt;0,G36&amp;" x "&amp;H36,H36&amp;" reps"),IF(IF(N(J36)=0,0,IF(N(I36)&gt;0,I36*(1+J36/30),J36))=X36,IF(N(I36)&gt;0,I36&amp;" x "&amp;J36,J36&amp;" reps"),IF(IF(N(L36)=0,0,IF(N(K36)&gt;0,K36*(1+L36/30),L36))=X36,IF(N(K36)&gt;0,K36&amp;" x "&amp;L36,L36&amp;" reps"),IF(IF(N(N36)=0,0,IF(N(M36)&gt;0,M36*(1+N36/30),N36))=X36,IF(N(M36)&gt;0,M36&amp;" x "&amp;N36,N36&amp;" reps"),""))))))</f>
        <v/>
      </c>
      <c r="R36" s="20">
        <f>IF(N(X36)=0,"",ROUND(X36,1))</f>
        <v/>
      </c>
      <c r="S36" s="18">
        <f>IF(N(X36)=0,"",IF(AND(COUNTIFS(Log!$D$6:$D$1505,D36,Log!$B$6:$B$1505,"&lt;"&amp;B36)&gt;0,COUNTIFS(Log!$D$6:$D$1505,D36,Log!$B$6:$B$1505,"&lt;"&amp;B36,Log!$X$6:$X$1505,"&gt;="&amp;X36)=0),"New best",""))</f>
        <v/>
      </c>
      <c r="T36" s="26" t="n"/>
      <c r="U36" s="1">
        <f>IF(D36="","",IFERROR(INDEX(Exercises!$C$6:$C$105,MATCH(D36,Exercises!$B$6:$B$105,0)),"Other"))</f>
        <v/>
      </c>
      <c r="V36">
        <f>IF(B36="","",IF(COUNTIF($B$6:B36,B36)=1,1,0))</f>
        <v/>
      </c>
      <c r="W36">
        <f>IF(B36="","",B36-WEEKDAY(B36,3))</f>
        <v/>
      </c>
      <c r="X36">
        <f>IF(D36="","",MAX(IF(N(F36)=0,0,IF(N(E36)&gt;0,E36*(1+F36/30),F36)),IF(N(H36)=0,0,IF(N(G36)&gt;0,G36*(1+H36/30),H36)),IF(N(J36)=0,0,IF(N(I36)&gt;0,I36*(1+J36/30),J36)),IF(N(L36)=0,0,IF(N(K36)&gt;0,K36*(1+L36/30),L36)),IF(N(N36)=0,0,IF(N(M36)&gt;0,M36*(1+N36/30),N36))))</f>
        <v/>
      </c>
      <c r="Y36">
        <f>IF(N(X36)=0,"",X36+ROW()/1000000000)</f>
        <v/>
      </c>
      <c r="Z36">
        <f>IF(Y36="","",IF(COUNTIFS(Log!$D$6:$D$1505,D36,Log!$Y$6:$Y$1505,"&gt;"&amp;Y36)=0,1,0))</f>
        <v/>
      </c>
      <c r="AA36">
        <f>IF(OR(B36="",D36=""),"",B36+ROW()/10000000)</f>
        <v/>
      </c>
      <c r="AB36">
        <f>IF(AA36="","",IF(COUNTIFS(Log!$D$6:$D$1505,D36,Log!$AA$6:$AA$1505,"&gt;"&amp;AA36)=0,1,0))</f>
        <v/>
      </c>
      <c r="AC36">
        <f>IF(S36="New best",AA36,"")</f>
        <v/>
      </c>
      <c r="AD36">
        <f>ROW()</f>
        <v/>
      </c>
    </row>
    <row r="37">
      <c r="A37" s="1" t="n"/>
      <c r="B37" s="21" t="n">
        <v>46218</v>
      </c>
      <c r="C37" s="22" t="inlineStr">
        <is>
          <t>Legs</t>
        </is>
      </c>
      <c r="D37" s="23" t="inlineStr">
        <is>
          <t>Leg press</t>
        </is>
      </c>
      <c r="E37" s="24" t="n">
        <v>270</v>
      </c>
      <c r="F37" s="24" t="n">
        <v>11</v>
      </c>
      <c r="G37" s="24" t="n">
        <v>270</v>
      </c>
      <c r="H37" s="24" t="n">
        <v>10</v>
      </c>
      <c r="I37" s="24" t="n">
        <v>270</v>
      </c>
      <c r="J37" s="24" t="n">
        <v>10</v>
      </c>
      <c r="K37" s="24" t="n"/>
      <c r="L37" s="24" t="n"/>
      <c r="M37" s="24" t="n"/>
      <c r="N37" s="24" t="n"/>
      <c r="O37" s="15">
        <f>IF(D37="","",COUNT(F37,H37,J37,L37,N37))</f>
        <v/>
      </c>
      <c r="P37" s="25">
        <f>IF(D37="","",N(E37)*N(F37)+N(G37)*N(H37)+N(I37)*N(J37)+N(K37)*N(L37)+N(M37)*N(N37))</f>
        <v/>
      </c>
      <c r="Q37" s="18">
        <f>IF(N(X37)=0,"",IF(IF(N(F37)=0,0,IF(N(E37)&gt;0,E37*(1+F37/30),F37))=X37,IF(N(E37)&gt;0,E37&amp;" x "&amp;F37,F37&amp;" reps"),IF(IF(N(H37)=0,0,IF(N(G37)&gt;0,G37*(1+H37/30),H37))=X37,IF(N(G37)&gt;0,G37&amp;" x "&amp;H37,H37&amp;" reps"),IF(IF(N(J37)=0,0,IF(N(I37)&gt;0,I37*(1+J37/30),J37))=X37,IF(N(I37)&gt;0,I37&amp;" x "&amp;J37,J37&amp;" reps"),IF(IF(N(L37)=0,0,IF(N(K37)&gt;0,K37*(1+L37/30),L37))=X37,IF(N(K37)&gt;0,K37&amp;" x "&amp;L37,L37&amp;" reps"),IF(IF(N(N37)=0,0,IF(N(M37)&gt;0,M37*(1+N37/30),N37))=X37,IF(N(M37)&gt;0,M37&amp;" x "&amp;N37,N37&amp;" reps"),""))))))</f>
        <v/>
      </c>
      <c r="R37" s="20">
        <f>IF(N(X37)=0,"",ROUND(X37,1))</f>
        <v/>
      </c>
      <c r="S37" s="18">
        <f>IF(N(X37)=0,"",IF(AND(COUNTIFS(Log!$D$6:$D$1505,D37,Log!$B$6:$B$1505,"&lt;"&amp;B37)&gt;0,COUNTIFS(Log!$D$6:$D$1505,D37,Log!$B$6:$B$1505,"&lt;"&amp;B37,Log!$X$6:$X$1505,"&gt;="&amp;X37)=0),"New best",""))</f>
        <v/>
      </c>
      <c r="T37" s="26" t="inlineStr">
        <is>
          <t>Short on time</t>
        </is>
      </c>
      <c r="U37" s="1">
        <f>IF(D37="","",IFERROR(INDEX(Exercises!$C$6:$C$105,MATCH(D37,Exercises!$B$6:$B$105,0)),"Other"))</f>
        <v/>
      </c>
      <c r="V37">
        <f>IF(B37="","",IF(COUNTIF($B$6:B37,B37)=1,1,0))</f>
        <v/>
      </c>
      <c r="W37">
        <f>IF(B37="","",B37-WEEKDAY(B37,3))</f>
        <v/>
      </c>
      <c r="X37">
        <f>IF(D37="","",MAX(IF(N(F37)=0,0,IF(N(E37)&gt;0,E37*(1+F37/30),F37)),IF(N(H37)=0,0,IF(N(G37)&gt;0,G37*(1+H37/30),H37)),IF(N(J37)=0,0,IF(N(I37)&gt;0,I37*(1+J37/30),J37)),IF(N(L37)=0,0,IF(N(K37)&gt;0,K37*(1+L37/30),L37)),IF(N(N37)=0,0,IF(N(M37)&gt;0,M37*(1+N37/30),N37))))</f>
        <v/>
      </c>
      <c r="Y37">
        <f>IF(N(X37)=0,"",X37+ROW()/1000000000)</f>
        <v/>
      </c>
      <c r="Z37">
        <f>IF(Y37="","",IF(COUNTIFS(Log!$D$6:$D$1505,D37,Log!$Y$6:$Y$1505,"&gt;"&amp;Y37)=0,1,0))</f>
        <v/>
      </c>
      <c r="AA37">
        <f>IF(OR(B37="",D37=""),"",B37+ROW()/10000000)</f>
        <v/>
      </c>
      <c r="AB37">
        <f>IF(AA37="","",IF(COUNTIFS(Log!$D$6:$D$1505,D37,Log!$AA$6:$AA$1505,"&gt;"&amp;AA37)=0,1,0))</f>
        <v/>
      </c>
      <c r="AC37">
        <f>IF(S37="New best",AA37,"")</f>
        <v/>
      </c>
      <c r="AD37">
        <f>ROW()</f>
        <v/>
      </c>
    </row>
    <row r="38">
      <c r="A38" s="1" t="n"/>
      <c r="B38" s="21" t="n">
        <v>46218</v>
      </c>
      <c r="C38" s="22" t="inlineStr">
        <is>
          <t>Legs</t>
        </is>
      </c>
      <c r="D38" s="23" t="inlineStr">
        <is>
          <t>Leg curl</t>
        </is>
      </c>
      <c r="E38" s="24" t="n">
        <v>70</v>
      </c>
      <c r="F38" s="24" t="n">
        <v>11</v>
      </c>
      <c r="G38" s="24" t="n">
        <v>70</v>
      </c>
      <c r="H38" s="24" t="n">
        <v>11</v>
      </c>
      <c r="I38" s="24" t="n">
        <v>70</v>
      </c>
      <c r="J38" s="24" t="n">
        <v>10</v>
      </c>
      <c r="K38" s="24" t="n"/>
      <c r="L38" s="24" t="n"/>
      <c r="M38" s="24" t="n"/>
      <c r="N38" s="24" t="n"/>
      <c r="O38" s="15">
        <f>IF(D38="","",COUNT(F38,H38,J38,L38,N38))</f>
        <v/>
      </c>
      <c r="P38" s="25">
        <f>IF(D38="","",N(E38)*N(F38)+N(G38)*N(H38)+N(I38)*N(J38)+N(K38)*N(L38)+N(M38)*N(N38))</f>
        <v/>
      </c>
      <c r="Q38" s="18">
        <f>IF(N(X38)=0,"",IF(IF(N(F38)=0,0,IF(N(E38)&gt;0,E38*(1+F38/30),F38))=X38,IF(N(E38)&gt;0,E38&amp;" x "&amp;F38,F38&amp;" reps"),IF(IF(N(H38)=0,0,IF(N(G38)&gt;0,G38*(1+H38/30),H38))=X38,IF(N(G38)&gt;0,G38&amp;" x "&amp;H38,H38&amp;" reps"),IF(IF(N(J38)=0,0,IF(N(I38)&gt;0,I38*(1+J38/30),J38))=X38,IF(N(I38)&gt;0,I38&amp;" x "&amp;J38,J38&amp;" reps"),IF(IF(N(L38)=0,0,IF(N(K38)&gt;0,K38*(1+L38/30),L38))=X38,IF(N(K38)&gt;0,K38&amp;" x "&amp;L38,L38&amp;" reps"),IF(IF(N(N38)=0,0,IF(N(M38)&gt;0,M38*(1+N38/30),N38))=X38,IF(N(M38)&gt;0,M38&amp;" x "&amp;N38,N38&amp;" reps"),""))))))</f>
        <v/>
      </c>
      <c r="R38" s="20">
        <f>IF(N(X38)=0,"",ROUND(X38,1))</f>
        <v/>
      </c>
      <c r="S38" s="18">
        <f>IF(N(X38)=0,"",IF(AND(COUNTIFS(Log!$D$6:$D$1505,D38,Log!$B$6:$B$1505,"&lt;"&amp;B38)&gt;0,COUNTIFS(Log!$D$6:$D$1505,D38,Log!$B$6:$B$1505,"&lt;"&amp;B38,Log!$X$6:$X$1505,"&gt;="&amp;X38)=0),"New best",""))</f>
        <v/>
      </c>
      <c r="T38" s="26" t="n"/>
      <c r="U38" s="1">
        <f>IF(D38="","",IFERROR(INDEX(Exercises!$C$6:$C$105,MATCH(D38,Exercises!$B$6:$B$105,0)),"Other"))</f>
        <v/>
      </c>
      <c r="V38">
        <f>IF(B38="","",IF(COUNTIF($B$6:B38,B38)=1,1,0))</f>
        <v/>
      </c>
      <c r="W38">
        <f>IF(B38="","",B38-WEEKDAY(B38,3))</f>
        <v/>
      </c>
      <c r="X38">
        <f>IF(D38="","",MAX(IF(N(F38)=0,0,IF(N(E38)&gt;0,E38*(1+F38/30),F38)),IF(N(H38)=0,0,IF(N(G38)&gt;0,G38*(1+H38/30),H38)),IF(N(J38)=0,0,IF(N(I38)&gt;0,I38*(1+J38/30),J38)),IF(N(L38)=0,0,IF(N(K38)&gt;0,K38*(1+L38/30),L38)),IF(N(N38)=0,0,IF(N(M38)&gt;0,M38*(1+N38/30),N38))))</f>
        <v/>
      </c>
      <c r="Y38">
        <f>IF(N(X38)=0,"",X38+ROW()/1000000000)</f>
        <v/>
      </c>
      <c r="Z38">
        <f>IF(Y38="","",IF(COUNTIFS(Log!$D$6:$D$1505,D38,Log!$Y$6:$Y$1505,"&gt;"&amp;Y38)=0,1,0))</f>
        <v/>
      </c>
      <c r="AA38">
        <f>IF(OR(B38="",D38=""),"",B38+ROW()/10000000)</f>
        <v/>
      </c>
      <c r="AB38">
        <f>IF(AA38="","",IF(COUNTIFS(Log!$D$6:$D$1505,D38,Log!$AA$6:$AA$1505,"&gt;"&amp;AA38)=0,1,0))</f>
        <v/>
      </c>
      <c r="AC38">
        <f>IF(S38="New best",AA38,"")</f>
        <v/>
      </c>
      <c r="AD38">
        <f>ROW()</f>
        <v/>
      </c>
    </row>
    <row r="39">
      <c r="A39" s="1" t="n"/>
      <c r="B39" s="21" t="n">
        <v>46218</v>
      </c>
      <c r="C39" s="22" t="inlineStr">
        <is>
          <t>Legs</t>
        </is>
      </c>
      <c r="D39" s="23" t="inlineStr">
        <is>
          <t>Calf raise</t>
        </is>
      </c>
      <c r="E39" s="24" t="n">
        <v>90</v>
      </c>
      <c r="F39" s="24" t="n">
        <v>15</v>
      </c>
      <c r="G39" s="24" t="n">
        <v>90</v>
      </c>
      <c r="H39" s="24" t="n">
        <v>13</v>
      </c>
      <c r="I39" s="24" t="n">
        <v>90</v>
      </c>
      <c r="J39" s="24" t="n">
        <v>12</v>
      </c>
      <c r="K39" s="24" t="n">
        <v>90</v>
      </c>
      <c r="L39" s="24" t="n">
        <v>12</v>
      </c>
      <c r="M39" s="24" t="n"/>
      <c r="N39" s="24" t="n"/>
      <c r="O39" s="15">
        <f>IF(D39="","",COUNT(F39,H39,J39,L39,N39))</f>
        <v/>
      </c>
      <c r="P39" s="25">
        <f>IF(D39="","",N(E39)*N(F39)+N(G39)*N(H39)+N(I39)*N(J39)+N(K39)*N(L39)+N(M39)*N(N39))</f>
        <v/>
      </c>
      <c r="Q39" s="18">
        <f>IF(N(X39)=0,"",IF(IF(N(F39)=0,0,IF(N(E39)&gt;0,E39*(1+F39/30),F39))=X39,IF(N(E39)&gt;0,E39&amp;" x "&amp;F39,F39&amp;" reps"),IF(IF(N(H39)=0,0,IF(N(G39)&gt;0,G39*(1+H39/30),H39))=X39,IF(N(G39)&gt;0,G39&amp;" x "&amp;H39,H39&amp;" reps"),IF(IF(N(J39)=0,0,IF(N(I39)&gt;0,I39*(1+J39/30),J39))=X39,IF(N(I39)&gt;0,I39&amp;" x "&amp;J39,J39&amp;" reps"),IF(IF(N(L39)=0,0,IF(N(K39)&gt;0,K39*(1+L39/30),L39))=X39,IF(N(K39)&gt;0,K39&amp;" x "&amp;L39,L39&amp;" reps"),IF(IF(N(N39)=0,0,IF(N(M39)&gt;0,M39*(1+N39/30),N39))=X39,IF(N(M39)&gt;0,M39&amp;" x "&amp;N39,N39&amp;" reps"),""))))))</f>
        <v/>
      </c>
      <c r="R39" s="20">
        <f>IF(N(X39)=0,"",ROUND(X39,1))</f>
        <v/>
      </c>
      <c r="S39" s="18">
        <f>IF(N(X39)=0,"",IF(AND(COUNTIFS(Log!$D$6:$D$1505,D39,Log!$B$6:$B$1505,"&lt;"&amp;B39)&gt;0,COUNTIFS(Log!$D$6:$D$1505,D39,Log!$B$6:$B$1505,"&lt;"&amp;B39,Log!$X$6:$X$1505,"&gt;="&amp;X39)=0),"New best",""))</f>
        <v/>
      </c>
      <c r="T39" s="26" t="n"/>
      <c r="U39" s="1">
        <f>IF(D39="","",IFERROR(INDEX(Exercises!$C$6:$C$105,MATCH(D39,Exercises!$B$6:$B$105,0)),"Other"))</f>
        <v/>
      </c>
      <c r="V39">
        <f>IF(B39="","",IF(COUNTIF($B$6:B39,B39)=1,1,0))</f>
        <v/>
      </c>
      <c r="W39">
        <f>IF(B39="","",B39-WEEKDAY(B39,3))</f>
        <v/>
      </c>
      <c r="X39">
        <f>IF(D39="","",MAX(IF(N(F39)=0,0,IF(N(E39)&gt;0,E39*(1+F39/30),F39)),IF(N(H39)=0,0,IF(N(G39)&gt;0,G39*(1+H39/30),H39)),IF(N(J39)=0,0,IF(N(I39)&gt;0,I39*(1+J39/30),J39)),IF(N(L39)=0,0,IF(N(K39)&gt;0,K39*(1+L39/30),L39)),IF(N(N39)=0,0,IF(N(M39)&gt;0,M39*(1+N39/30),N39))))</f>
        <v/>
      </c>
      <c r="Y39">
        <f>IF(N(X39)=0,"",X39+ROW()/1000000000)</f>
        <v/>
      </c>
      <c r="Z39">
        <f>IF(Y39="","",IF(COUNTIFS(Log!$D$6:$D$1505,D39,Log!$Y$6:$Y$1505,"&gt;"&amp;Y39)=0,1,0))</f>
        <v/>
      </c>
      <c r="AA39">
        <f>IF(OR(B39="",D39=""),"",B39+ROW()/10000000)</f>
        <v/>
      </c>
      <c r="AB39">
        <f>IF(AA39="","",IF(COUNTIFS(Log!$D$6:$D$1505,D39,Log!$AA$6:$AA$1505,"&gt;"&amp;AA39)=0,1,0))</f>
        <v/>
      </c>
      <c r="AC39">
        <f>IF(S39="New best",AA39,"")</f>
        <v/>
      </c>
      <c r="AD39">
        <f>ROW()</f>
        <v/>
      </c>
    </row>
    <row r="40">
      <c r="A40" s="1" t="n"/>
      <c r="B40" s="21" t="n">
        <v>46220</v>
      </c>
      <c r="C40" s="22" t="inlineStr">
        <is>
          <t>Upper</t>
        </is>
      </c>
      <c r="D40" s="23" t="inlineStr">
        <is>
          <t>Bench press</t>
        </is>
      </c>
      <c r="E40" s="24" t="n">
        <v>120</v>
      </c>
      <c r="F40" s="24" t="n">
        <v>9</v>
      </c>
      <c r="G40" s="24" t="n">
        <v>120</v>
      </c>
      <c r="H40" s="24" t="n">
        <v>9</v>
      </c>
      <c r="I40" s="24" t="n">
        <v>120</v>
      </c>
      <c r="J40" s="24" t="n">
        <v>8</v>
      </c>
      <c r="K40" s="24" t="n"/>
      <c r="L40" s="24" t="n"/>
      <c r="M40" s="24" t="n"/>
      <c r="N40" s="24" t="n"/>
      <c r="O40" s="15">
        <f>IF(D40="","",COUNT(F40,H40,J40,L40,N40))</f>
        <v/>
      </c>
      <c r="P40" s="25">
        <f>IF(D40="","",N(E40)*N(F40)+N(G40)*N(H40)+N(I40)*N(J40)+N(K40)*N(L40)+N(M40)*N(N40))</f>
        <v/>
      </c>
      <c r="Q40" s="18">
        <f>IF(N(X40)=0,"",IF(IF(N(F40)=0,0,IF(N(E40)&gt;0,E40*(1+F40/30),F40))=X40,IF(N(E40)&gt;0,E40&amp;" x "&amp;F40,F40&amp;" reps"),IF(IF(N(H40)=0,0,IF(N(G40)&gt;0,G40*(1+H40/30),H40))=X40,IF(N(G40)&gt;0,G40&amp;" x "&amp;H40,H40&amp;" reps"),IF(IF(N(J40)=0,0,IF(N(I40)&gt;0,I40*(1+J40/30),J40))=X40,IF(N(I40)&gt;0,I40&amp;" x "&amp;J40,J40&amp;" reps"),IF(IF(N(L40)=0,0,IF(N(K40)&gt;0,K40*(1+L40/30),L40))=X40,IF(N(K40)&gt;0,K40&amp;" x "&amp;L40,L40&amp;" reps"),IF(IF(N(N40)=0,0,IF(N(M40)&gt;0,M40*(1+N40/30),N40))=X40,IF(N(M40)&gt;0,M40&amp;" x "&amp;N40,N40&amp;" reps"),""))))))</f>
        <v/>
      </c>
      <c r="R40" s="20">
        <f>IF(N(X40)=0,"",ROUND(X40,1))</f>
        <v/>
      </c>
      <c r="S40" s="18">
        <f>IF(N(X40)=0,"",IF(AND(COUNTIFS(Log!$D$6:$D$1505,D40,Log!$B$6:$B$1505,"&lt;"&amp;B40)&gt;0,COUNTIFS(Log!$D$6:$D$1505,D40,Log!$B$6:$B$1505,"&lt;"&amp;B40,Log!$X$6:$X$1505,"&gt;="&amp;X40)=0),"New best",""))</f>
        <v/>
      </c>
      <c r="T40" s="26" t="n"/>
      <c r="U40" s="1">
        <f>IF(D40="","",IFERROR(INDEX(Exercises!$C$6:$C$105,MATCH(D40,Exercises!$B$6:$B$105,0)),"Other"))</f>
        <v/>
      </c>
      <c r="V40">
        <f>IF(B40="","",IF(COUNTIF($B$6:B40,B40)=1,1,0))</f>
        <v/>
      </c>
      <c r="W40">
        <f>IF(B40="","",B40-WEEKDAY(B40,3))</f>
        <v/>
      </c>
      <c r="X40">
        <f>IF(D40="","",MAX(IF(N(F40)=0,0,IF(N(E40)&gt;0,E40*(1+F40/30),F40)),IF(N(H40)=0,0,IF(N(G40)&gt;0,G40*(1+H40/30),H40)),IF(N(J40)=0,0,IF(N(I40)&gt;0,I40*(1+J40/30),J40)),IF(N(L40)=0,0,IF(N(K40)&gt;0,K40*(1+L40/30),L40)),IF(N(N40)=0,0,IF(N(M40)&gt;0,M40*(1+N40/30),N40))))</f>
        <v/>
      </c>
      <c r="Y40">
        <f>IF(N(X40)=0,"",X40+ROW()/1000000000)</f>
        <v/>
      </c>
      <c r="Z40">
        <f>IF(Y40="","",IF(COUNTIFS(Log!$D$6:$D$1505,D40,Log!$Y$6:$Y$1505,"&gt;"&amp;Y40)=0,1,0))</f>
        <v/>
      </c>
      <c r="AA40">
        <f>IF(OR(B40="",D40=""),"",B40+ROW()/10000000)</f>
        <v/>
      </c>
      <c r="AB40">
        <f>IF(AA40="","",IF(COUNTIFS(Log!$D$6:$D$1505,D40,Log!$AA$6:$AA$1505,"&gt;"&amp;AA40)=0,1,0))</f>
        <v/>
      </c>
      <c r="AC40">
        <f>IF(S40="New best",AA40,"")</f>
        <v/>
      </c>
      <c r="AD40">
        <f>ROW()</f>
        <v/>
      </c>
    </row>
    <row r="41">
      <c r="A41" s="1" t="n"/>
      <c r="B41" s="21" t="n">
        <v>46220</v>
      </c>
      <c r="C41" s="22" t="inlineStr">
        <is>
          <t>Upper</t>
        </is>
      </c>
      <c r="D41" s="23" t="inlineStr">
        <is>
          <t>Barbell row</t>
        </is>
      </c>
      <c r="E41" s="24" t="n">
        <v>105</v>
      </c>
      <c r="F41" s="24" t="n">
        <v>9</v>
      </c>
      <c r="G41" s="24" t="n">
        <v>105</v>
      </c>
      <c r="H41" s="24" t="n">
        <v>8</v>
      </c>
      <c r="I41" s="24" t="n">
        <v>105</v>
      </c>
      <c r="J41" s="24" t="n">
        <v>8</v>
      </c>
      <c r="K41" s="24" t="n"/>
      <c r="L41" s="24" t="n"/>
      <c r="M41" s="24" t="n"/>
      <c r="N41" s="24" t="n"/>
      <c r="O41" s="15">
        <f>IF(D41="","",COUNT(F41,H41,J41,L41,N41))</f>
        <v/>
      </c>
      <c r="P41" s="25">
        <f>IF(D41="","",N(E41)*N(F41)+N(G41)*N(H41)+N(I41)*N(J41)+N(K41)*N(L41)+N(M41)*N(N41))</f>
        <v/>
      </c>
      <c r="Q41" s="18">
        <f>IF(N(X41)=0,"",IF(IF(N(F41)=0,0,IF(N(E41)&gt;0,E41*(1+F41/30),F41))=X41,IF(N(E41)&gt;0,E41&amp;" x "&amp;F41,F41&amp;" reps"),IF(IF(N(H41)=0,0,IF(N(G41)&gt;0,G41*(1+H41/30),H41))=X41,IF(N(G41)&gt;0,G41&amp;" x "&amp;H41,H41&amp;" reps"),IF(IF(N(J41)=0,0,IF(N(I41)&gt;0,I41*(1+J41/30),J41))=X41,IF(N(I41)&gt;0,I41&amp;" x "&amp;J41,J41&amp;" reps"),IF(IF(N(L41)=0,0,IF(N(K41)&gt;0,K41*(1+L41/30),L41))=X41,IF(N(K41)&gt;0,K41&amp;" x "&amp;L41,L41&amp;" reps"),IF(IF(N(N41)=0,0,IF(N(M41)&gt;0,M41*(1+N41/30),N41))=X41,IF(N(M41)&gt;0,M41&amp;" x "&amp;N41,N41&amp;" reps"),""))))))</f>
        <v/>
      </c>
      <c r="R41" s="20">
        <f>IF(N(X41)=0,"",ROUND(X41,1))</f>
        <v/>
      </c>
      <c r="S41" s="18">
        <f>IF(N(X41)=0,"",IF(AND(COUNTIFS(Log!$D$6:$D$1505,D41,Log!$B$6:$B$1505,"&lt;"&amp;B41)&gt;0,COUNTIFS(Log!$D$6:$D$1505,D41,Log!$B$6:$B$1505,"&lt;"&amp;B41,Log!$X$6:$X$1505,"&gt;="&amp;X41)=0),"New best",""))</f>
        <v/>
      </c>
      <c r="T41" s="26" t="inlineStr">
        <is>
          <t>Short on time</t>
        </is>
      </c>
      <c r="U41" s="1">
        <f>IF(D41="","",IFERROR(INDEX(Exercises!$C$6:$C$105,MATCH(D41,Exercises!$B$6:$B$105,0)),"Other"))</f>
        <v/>
      </c>
      <c r="V41">
        <f>IF(B41="","",IF(COUNTIF($B$6:B41,B41)=1,1,0))</f>
        <v/>
      </c>
      <c r="W41">
        <f>IF(B41="","",B41-WEEKDAY(B41,3))</f>
        <v/>
      </c>
      <c r="X41">
        <f>IF(D41="","",MAX(IF(N(F41)=0,0,IF(N(E41)&gt;0,E41*(1+F41/30),F41)),IF(N(H41)=0,0,IF(N(G41)&gt;0,G41*(1+H41/30),H41)),IF(N(J41)=0,0,IF(N(I41)&gt;0,I41*(1+J41/30),J41)),IF(N(L41)=0,0,IF(N(K41)&gt;0,K41*(1+L41/30),L41)),IF(N(N41)=0,0,IF(N(M41)&gt;0,M41*(1+N41/30),N41))))</f>
        <v/>
      </c>
      <c r="Y41">
        <f>IF(N(X41)=0,"",X41+ROW()/1000000000)</f>
        <v/>
      </c>
      <c r="Z41">
        <f>IF(Y41="","",IF(COUNTIFS(Log!$D$6:$D$1505,D41,Log!$Y$6:$Y$1505,"&gt;"&amp;Y41)=0,1,0))</f>
        <v/>
      </c>
      <c r="AA41">
        <f>IF(OR(B41="",D41=""),"",B41+ROW()/10000000)</f>
        <v/>
      </c>
      <c r="AB41">
        <f>IF(AA41="","",IF(COUNTIFS(Log!$D$6:$D$1505,D41,Log!$AA$6:$AA$1505,"&gt;"&amp;AA41)=0,1,0))</f>
        <v/>
      </c>
      <c r="AC41">
        <f>IF(S41="New best",AA41,"")</f>
        <v/>
      </c>
      <c r="AD41">
        <f>ROW()</f>
        <v/>
      </c>
    </row>
    <row r="42">
      <c r="A42" s="1" t="n"/>
      <c r="B42" s="21" t="n">
        <v>46220</v>
      </c>
      <c r="C42" s="22" t="inlineStr">
        <is>
          <t>Upper</t>
        </is>
      </c>
      <c r="D42" s="23" t="inlineStr">
        <is>
          <t>Overhead press</t>
        </is>
      </c>
      <c r="E42" s="24" t="n">
        <v>75</v>
      </c>
      <c r="F42" s="24" t="n">
        <v>9</v>
      </c>
      <c r="G42" s="24" t="n">
        <v>75</v>
      </c>
      <c r="H42" s="24" t="n">
        <v>8</v>
      </c>
      <c r="I42" s="24" t="n">
        <v>75</v>
      </c>
      <c r="J42" s="24" t="n">
        <v>8</v>
      </c>
      <c r="K42" s="24" t="n"/>
      <c r="L42" s="24" t="n"/>
      <c r="M42" s="24" t="n"/>
      <c r="N42" s="24" t="n"/>
      <c r="O42" s="15">
        <f>IF(D42="","",COUNT(F42,H42,J42,L42,N42))</f>
        <v/>
      </c>
      <c r="P42" s="25">
        <f>IF(D42="","",N(E42)*N(F42)+N(G42)*N(H42)+N(I42)*N(J42)+N(K42)*N(L42)+N(M42)*N(N42))</f>
        <v/>
      </c>
      <c r="Q42" s="18">
        <f>IF(N(X42)=0,"",IF(IF(N(F42)=0,0,IF(N(E42)&gt;0,E42*(1+F42/30),F42))=X42,IF(N(E42)&gt;0,E42&amp;" x "&amp;F42,F42&amp;" reps"),IF(IF(N(H42)=0,0,IF(N(G42)&gt;0,G42*(1+H42/30),H42))=X42,IF(N(G42)&gt;0,G42&amp;" x "&amp;H42,H42&amp;" reps"),IF(IF(N(J42)=0,0,IF(N(I42)&gt;0,I42*(1+J42/30),J42))=X42,IF(N(I42)&gt;0,I42&amp;" x "&amp;J42,J42&amp;" reps"),IF(IF(N(L42)=0,0,IF(N(K42)&gt;0,K42*(1+L42/30),L42))=X42,IF(N(K42)&gt;0,K42&amp;" x "&amp;L42,L42&amp;" reps"),IF(IF(N(N42)=0,0,IF(N(M42)&gt;0,M42*(1+N42/30),N42))=X42,IF(N(M42)&gt;0,M42&amp;" x "&amp;N42,N42&amp;" reps"),""))))))</f>
        <v/>
      </c>
      <c r="R42" s="20">
        <f>IF(N(X42)=0,"",ROUND(X42,1))</f>
        <v/>
      </c>
      <c r="S42" s="18">
        <f>IF(N(X42)=0,"",IF(AND(COUNTIFS(Log!$D$6:$D$1505,D42,Log!$B$6:$B$1505,"&lt;"&amp;B42)&gt;0,COUNTIFS(Log!$D$6:$D$1505,D42,Log!$B$6:$B$1505,"&lt;"&amp;B42,Log!$X$6:$X$1505,"&gt;="&amp;X42)=0),"New best",""))</f>
        <v/>
      </c>
      <c r="T42" s="26" t="n"/>
      <c r="U42" s="1">
        <f>IF(D42="","",IFERROR(INDEX(Exercises!$C$6:$C$105,MATCH(D42,Exercises!$B$6:$B$105,0)),"Other"))</f>
        <v/>
      </c>
      <c r="V42">
        <f>IF(B42="","",IF(COUNTIF($B$6:B42,B42)=1,1,0))</f>
        <v/>
      </c>
      <c r="W42">
        <f>IF(B42="","",B42-WEEKDAY(B42,3))</f>
        <v/>
      </c>
      <c r="X42">
        <f>IF(D42="","",MAX(IF(N(F42)=0,0,IF(N(E42)&gt;0,E42*(1+F42/30),F42)),IF(N(H42)=0,0,IF(N(G42)&gt;0,G42*(1+H42/30),H42)),IF(N(J42)=0,0,IF(N(I42)&gt;0,I42*(1+J42/30),J42)),IF(N(L42)=0,0,IF(N(K42)&gt;0,K42*(1+L42/30),L42)),IF(N(N42)=0,0,IF(N(M42)&gt;0,M42*(1+N42/30),N42))))</f>
        <v/>
      </c>
      <c r="Y42">
        <f>IF(N(X42)=0,"",X42+ROW()/1000000000)</f>
        <v/>
      </c>
      <c r="Z42">
        <f>IF(Y42="","",IF(COUNTIFS(Log!$D$6:$D$1505,D42,Log!$Y$6:$Y$1505,"&gt;"&amp;Y42)=0,1,0))</f>
        <v/>
      </c>
      <c r="AA42">
        <f>IF(OR(B42="",D42=""),"",B42+ROW()/10000000)</f>
        <v/>
      </c>
      <c r="AB42">
        <f>IF(AA42="","",IF(COUNTIFS(Log!$D$6:$D$1505,D42,Log!$AA$6:$AA$1505,"&gt;"&amp;AA42)=0,1,0))</f>
        <v/>
      </c>
      <c r="AC42">
        <f>IF(S42="New best",AA42,"")</f>
        <v/>
      </c>
      <c r="AD42">
        <f>ROW()</f>
        <v/>
      </c>
    </row>
    <row r="43">
      <c r="A43" s="1" t="n"/>
      <c r="B43" s="21" t="n">
        <v>46220</v>
      </c>
      <c r="C43" s="22" t="inlineStr">
        <is>
          <t>Upper</t>
        </is>
      </c>
      <c r="D43" s="23" t="inlineStr">
        <is>
          <t>Pull-up</t>
        </is>
      </c>
      <c r="E43" s="24" t="n"/>
      <c r="F43" s="24" t="n">
        <v>6</v>
      </c>
      <c r="G43" s="24" t="n"/>
      <c r="H43" s="24" t="n">
        <v>4</v>
      </c>
      <c r="I43" s="24" t="n"/>
      <c r="J43" s="24" t="n">
        <v>3</v>
      </c>
      <c r="K43" s="24" t="n"/>
      <c r="L43" s="24" t="n"/>
      <c r="M43" s="24" t="n"/>
      <c r="N43" s="24" t="n"/>
      <c r="O43" s="15">
        <f>IF(D43="","",COUNT(F43,H43,J43,L43,N43))</f>
        <v/>
      </c>
      <c r="P43" s="25">
        <f>IF(D43="","",N(E43)*N(F43)+N(G43)*N(H43)+N(I43)*N(J43)+N(K43)*N(L43)+N(M43)*N(N43))</f>
        <v/>
      </c>
      <c r="Q43" s="18">
        <f>IF(N(X43)=0,"",IF(IF(N(F43)=0,0,IF(N(E43)&gt;0,E43*(1+F43/30),F43))=X43,IF(N(E43)&gt;0,E43&amp;" x "&amp;F43,F43&amp;" reps"),IF(IF(N(H43)=0,0,IF(N(G43)&gt;0,G43*(1+H43/30),H43))=X43,IF(N(G43)&gt;0,G43&amp;" x "&amp;H43,H43&amp;" reps"),IF(IF(N(J43)=0,0,IF(N(I43)&gt;0,I43*(1+J43/30),J43))=X43,IF(N(I43)&gt;0,I43&amp;" x "&amp;J43,J43&amp;" reps"),IF(IF(N(L43)=0,0,IF(N(K43)&gt;0,K43*(1+L43/30),L43))=X43,IF(N(K43)&gt;0,K43&amp;" x "&amp;L43,L43&amp;" reps"),IF(IF(N(N43)=0,0,IF(N(M43)&gt;0,M43*(1+N43/30),N43))=X43,IF(N(M43)&gt;0,M43&amp;" x "&amp;N43,N43&amp;" reps"),""))))))</f>
        <v/>
      </c>
      <c r="R43" s="20">
        <f>IF(N(X43)=0,"",ROUND(X43,1))</f>
        <v/>
      </c>
      <c r="S43" s="18">
        <f>IF(N(X43)=0,"",IF(AND(COUNTIFS(Log!$D$6:$D$1505,D43,Log!$B$6:$B$1505,"&lt;"&amp;B43)&gt;0,COUNTIFS(Log!$D$6:$D$1505,D43,Log!$B$6:$B$1505,"&lt;"&amp;B43,Log!$X$6:$X$1505,"&gt;="&amp;X43)=0),"New best",""))</f>
        <v/>
      </c>
      <c r="T43" s="26" t="n"/>
      <c r="U43" s="1">
        <f>IF(D43="","",IFERROR(INDEX(Exercises!$C$6:$C$105,MATCH(D43,Exercises!$B$6:$B$105,0)),"Other"))</f>
        <v/>
      </c>
      <c r="V43">
        <f>IF(B43="","",IF(COUNTIF($B$6:B43,B43)=1,1,0))</f>
        <v/>
      </c>
      <c r="W43">
        <f>IF(B43="","",B43-WEEKDAY(B43,3))</f>
        <v/>
      </c>
      <c r="X43">
        <f>IF(D43="","",MAX(IF(N(F43)=0,0,IF(N(E43)&gt;0,E43*(1+F43/30),F43)),IF(N(H43)=0,0,IF(N(G43)&gt;0,G43*(1+H43/30),H43)),IF(N(J43)=0,0,IF(N(I43)&gt;0,I43*(1+J43/30),J43)),IF(N(L43)=0,0,IF(N(K43)&gt;0,K43*(1+L43/30),L43)),IF(N(N43)=0,0,IF(N(M43)&gt;0,M43*(1+N43/30),N43))))</f>
        <v/>
      </c>
      <c r="Y43">
        <f>IF(N(X43)=0,"",X43+ROW()/1000000000)</f>
        <v/>
      </c>
      <c r="Z43">
        <f>IF(Y43="","",IF(COUNTIFS(Log!$D$6:$D$1505,D43,Log!$Y$6:$Y$1505,"&gt;"&amp;Y43)=0,1,0))</f>
        <v/>
      </c>
      <c r="AA43">
        <f>IF(OR(B43="",D43=""),"",B43+ROW()/10000000)</f>
        <v/>
      </c>
      <c r="AB43">
        <f>IF(AA43="","",IF(COUNTIFS(Log!$D$6:$D$1505,D43,Log!$AA$6:$AA$1505,"&gt;"&amp;AA43)=0,1,0))</f>
        <v/>
      </c>
      <c r="AC43">
        <f>IF(S43="New best",AA43,"")</f>
        <v/>
      </c>
      <c r="AD43">
        <f>ROW()</f>
        <v/>
      </c>
    </row>
    <row r="44">
      <c r="A44" s="1" t="n"/>
      <c r="B44" s="21" t="n">
        <v>46220</v>
      </c>
      <c r="C44" s="22" t="inlineStr">
        <is>
          <t>Upper</t>
        </is>
      </c>
      <c r="D44" s="23" t="inlineStr">
        <is>
          <t>Biceps curl</t>
        </is>
      </c>
      <c r="E44" s="24" t="n">
        <v>20</v>
      </c>
      <c r="F44" s="24" t="n">
        <v>11</v>
      </c>
      <c r="G44" s="24" t="n">
        <v>20</v>
      </c>
      <c r="H44" s="24" t="n">
        <v>10</v>
      </c>
      <c r="I44" s="24" t="n"/>
      <c r="J44" s="24" t="n"/>
      <c r="K44" s="24" t="n"/>
      <c r="L44" s="24" t="n"/>
      <c r="M44" s="24" t="n"/>
      <c r="N44" s="24" t="n"/>
      <c r="O44" s="15">
        <f>IF(D44="","",COUNT(F44,H44,J44,L44,N44))</f>
        <v/>
      </c>
      <c r="P44" s="25">
        <f>IF(D44="","",N(E44)*N(F44)+N(G44)*N(H44)+N(I44)*N(J44)+N(K44)*N(L44)+N(M44)*N(N44))</f>
        <v/>
      </c>
      <c r="Q44" s="18">
        <f>IF(N(X44)=0,"",IF(IF(N(F44)=0,0,IF(N(E44)&gt;0,E44*(1+F44/30),F44))=X44,IF(N(E44)&gt;0,E44&amp;" x "&amp;F44,F44&amp;" reps"),IF(IF(N(H44)=0,0,IF(N(G44)&gt;0,G44*(1+H44/30),H44))=X44,IF(N(G44)&gt;0,G44&amp;" x "&amp;H44,H44&amp;" reps"),IF(IF(N(J44)=0,0,IF(N(I44)&gt;0,I44*(1+J44/30),J44))=X44,IF(N(I44)&gt;0,I44&amp;" x "&amp;J44,J44&amp;" reps"),IF(IF(N(L44)=0,0,IF(N(K44)&gt;0,K44*(1+L44/30),L44))=X44,IF(N(K44)&gt;0,K44&amp;" x "&amp;L44,L44&amp;" reps"),IF(IF(N(N44)=0,0,IF(N(M44)&gt;0,M44*(1+N44/30),N44))=X44,IF(N(M44)&gt;0,M44&amp;" x "&amp;N44,N44&amp;" reps"),""))))))</f>
        <v/>
      </c>
      <c r="R44" s="20">
        <f>IF(N(X44)=0,"",ROUND(X44,1))</f>
        <v/>
      </c>
      <c r="S44" s="18">
        <f>IF(N(X44)=0,"",IF(AND(COUNTIFS(Log!$D$6:$D$1505,D44,Log!$B$6:$B$1505,"&lt;"&amp;B44)&gt;0,COUNTIFS(Log!$D$6:$D$1505,D44,Log!$B$6:$B$1505,"&lt;"&amp;B44,Log!$X$6:$X$1505,"&gt;="&amp;X44)=0),"New best",""))</f>
        <v/>
      </c>
      <c r="T44" s="26" t="n"/>
      <c r="U44" s="1">
        <f>IF(D44="","",IFERROR(INDEX(Exercises!$C$6:$C$105,MATCH(D44,Exercises!$B$6:$B$105,0)),"Other"))</f>
        <v/>
      </c>
      <c r="V44">
        <f>IF(B44="","",IF(COUNTIF($B$6:B44,B44)=1,1,0))</f>
        <v/>
      </c>
      <c r="W44">
        <f>IF(B44="","",B44-WEEKDAY(B44,3))</f>
        <v/>
      </c>
      <c r="X44">
        <f>IF(D44="","",MAX(IF(N(F44)=0,0,IF(N(E44)&gt;0,E44*(1+F44/30),F44)),IF(N(H44)=0,0,IF(N(G44)&gt;0,G44*(1+H44/30),H44)),IF(N(J44)=0,0,IF(N(I44)&gt;0,I44*(1+J44/30),J44)),IF(N(L44)=0,0,IF(N(K44)&gt;0,K44*(1+L44/30),L44)),IF(N(N44)=0,0,IF(N(M44)&gt;0,M44*(1+N44/30),N44))))</f>
        <v/>
      </c>
      <c r="Y44">
        <f>IF(N(X44)=0,"",X44+ROW()/1000000000)</f>
        <v/>
      </c>
      <c r="Z44">
        <f>IF(Y44="","",IF(COUNTIFS(Log!$D$6:$D$1505,D44,Log!$Y$6:$Y$1505,"&gt;"&amp;Y44)=0,1,0))</f>
        <v/>
      </c>
      <c r="AA44">
        <f>IF(OR(B44="",D44=""),"",B44+ROW()/10000000)</f>
        <v/>
      </c>
      <c r="AB44">
        <f>IF(AA44="","",IF(COUNTIFS(Log!$D$6:$D$1505,D44,Log!$AA$6:$AA$1505,"&gt;"&amp;AA44)=0,1,0))</f>
        <v/>
      </c>
      <c r="AC44">
        <f>IF(S44="New best",AA44,"")</f>
        <v/>
      </c>
      <c r="AD44">
        <f>ROW()</f>
        <v/>
      </c>
    </row>
    <row r="45">
      <c r="A45" s="1" t="n"/>
      <c r="B45" s="21" t="n">
        <v>46220</v>
      </c>
      <c r="C45" s="22" t="inlineStr">
        <is>
          <t>Upper</t>
        </is>
      </c>
      <c r="D45" s="23" t="inlineStr">
        <is>
          <t>Triceps pushdown</t>
        </is>
      </c>
      <c r="E45" s="24" t="n">
        <v>35</v>
      </c>
      <c r="F45" s="24" t="n">
        <v>11</v>
      </c>
      <c r="G45" s="24" t="n">
        <v>35</v>
      </c>
      <c r="H45" s="24" t="n">
        <v>10</v>
      </c>
      <c r="I45" s="24" t="n"/>
      <c r="J45" s="24" t="n"/>
      <c r="K45" s="24" t="n"/>
      <c r="L45" s="24" t="n"/>
      <c r="M45" s="24" t="n"/>
      <c r="N45" s="24" t="n"/>
      <c r="O45" s="15">
        <f>IF(D45="","",COUNT(F45,H45,J45,L45,N45))</f>
        <v/>
      </c>
      <c r="P45" s="25">
        <f>IF(D45="","",N(E45)*N(F45)+N(G45)*N(H45)+N(I45)*N(J45)+N(K45)*N(L45)+N(M45)*N(N45))</f>
        <v/>
      </c>
      <c r="Q45" s="18">
        <f>IF(N(X45)=0,"",IF(IF(N(F45)=0,0,IF(N(E45)&gt;0,E45*(1+F45/30),F45))=X45,IF(N(E45)&gt;0,E45&amp;" x "&amp;F45,F45&amp;" reps"),IF(IF(N(H45)=0,0,IF(N(G45)&gt;0,G45*(1+H45/30),H45))=X45,IF(N(G45)&gt;0,G45&amp;" x "&amp;H45,H45&amp;" reps"),IF(IF(N(J45)=0,0,IF(N(I45)&gt;0,I45*(1+J45/30),J45))=X45,IF(N(I45)&gt;0,I45&amp;" x "&amp;J45,J45&amp;" reps"),IF(IF(N(L45)=0,0,IF(N(K45)&gt;0,K45*(1+L45/30),L45))=X45,IF(N(K45)&gt;0,K45&amp;" x "&amp;L45,L45&amp;" reps"),IF(IF(N(N45)=0,0,IF(N(M45)&gt;0,M45*(1+N45/30),N45))=X45,IF(N(M45)&gt;0,M45&amp;" x "&amp;N45,N45&amp;" reps"),""))))))</f>
        <v/>
      </c>
      <c r="R45" s="20">
        <f>IF(N(X45)=0,"",ROUND(X45,1))</f>
        <v/>
      </c>
      <c r="S45" s="18">
        <f>IF(N(X45)=0,"",IF(AND(COUNTIFS(Log!$D$6:$D$1505,D45,Log!$B$6:$B$1505,"&lt;"&amp;B45)&gt;0,COUNTIFS(Log!$D$6:$D$1505,D45,Log!$B$6:$B$1505,"&lt;"&amp;B45,Log!$X$6:$X$1505,"&gt;="&amp;X45)=0),"New best",""))</f>
        <v/>
      </c>
      <c r="T45" s="26" t="n"/>
      <c r="U45" s="1">
        <f>IF(D45="","",IFERROR(INDEX(Exercises!$C$6:$C$105,MATCH(D45,Exercises!$B$6:$B$105,0)),"Other"))</f>
        <v/>
      </c>
      <c r="V45">
        <f>IF(B45="","",IF(COUNTIF($B$6:B45,B45)=1,1,0))</f>
        <v/>
      </c>
      <c r="W45">
        <f>IF(B45="","",B45-WEEKDAY(B45,3))</f>
        <v/>
      </c>
      <c r="X45">
        <f>IF(D45="","",MAX(IF(N(F45)=0,0,IF(N(E45)&gt;0,E45*(1+F45/30),F45)),IF(N(H45)=0,0,IF(N(G45)&gt;0,G45*(1+H45/30),H45)),IF(N(J45)=0,0,IF(N(I45)&gt;0,I45*(1+J45/30),J45)),IF(N(L45)=0,0,IF(N(K45)&gt;0,K45*(1+L45/30),L45)),IF(N(N45)=0,0,IF(N(M45)&gt;0,M45*(1+N45/30),N45))))</f>
        <v/>
      </c>
      <c r="Y45">
        <f>IF(N(X45)=0,"",X45+ROW()/1000000000)</f>
        <v/>
      </c>
      <c r="Z45">
        <f>IF(Y45="","",IF(COUNTIFS(Log!$D$6:$D$1505,D45,Log!$Y$6:$Y$1505,"&gt;"&amp;Y45)=0,1,0))</f>
        <v/>
      </c>
      <c r="AA45">
        <f>IF(OR(B45="",D45=""),"",B45+ROW()/10000000)</f>
        <v/>
      </c>
      <c r="AB45">
        <f>IF(AA45="","",IF(COUNTIFS(Log!$D$6:$D$1505,D45,Log!$AA$6:$AA$1505,"&gt;"&amp;AA45)=0,1,0))</f>
        <v/>
      </c>
      <c r="AC45">
        <f>IF(S45="New best",AA45,"")</f>
        <v/>
      </c>
      <c r="AD45">
        <f>ROW()</f>
        <v/>
      </c>
    </row>
    <row r="46">
      <c r="A46" s="1" t="n"/>
      <c r="B46" s="21" t="n">
        <v>46221</v>
      </c>
      <c r="C46" s="22" t="inlineStr">
        <is>
          <t>Lower</t>
        </is>
      </c>
      <c r="D46" s="23" t="inlineStr">
        <is>
          <t>Squat</t>
        </is>
      </c>
      <c r="E46" s="24" t="n">
        <v>165</v>
      </c>
      <c r="F46" s="24" t="n">
        <v>8</v>
      </c>
      <c r="G46" s="24" t="n">
        <v>165</v>
      </c>
      <c r="H46" s="24" t="n">
        <v>8</v>
      </c>
      <c r="I46" s="24" t="n">
        <v>165</v>
      </c>
      <c r="J46" s="24" t="n">
        <v>8</v>
      </c>
      <c r="K46" s="24" t="n"/>
      <c r="L46" s="24" t="n"/>
      <c r="M46" s="24" t="n"/>
      <c r="N46" s="24" t="n"/>
      <c r="O46" s="15">
        <f>IF(D46="","",COUNT(F46,H46,J46,L46,N46))</f>
        <v/>
      </c>
      <c r="P46" s="25">
        <f>IF(D46="","",N(E46)*N(F46)+N(G46)*N(H46)+N(I46)*N(J46)+N(K46)*N(L46)+N(M46)*N(N46))</f>
        <v/>
      </c>
      <c r="Q46" s="18">
        <f>IF(N(X46)=0,"",IF(IF(N(F46)=0,0,IF(N(E46)&gt;0,E46*(1+F46/30),F46))=X46,IF(N(E46)&gt;0,E46&amp;" x "&amp;F46,F46&amp;" reps"),IF(IF(N(H46)=0,0,IF(N(G46)&gt;0,G46*(1+H46/30),H46))=X46,IF(N(G46)&gt;0,G46&amp;" x "&amp;H46,H46&amp;" reps"),IF(IF(N(J46)=0,0,IF(N(I46)&gt;0,I46*(1+J46/30),J46))=X46,IF(N(I46)&gt;0,I46&amp;" x "&amp;J46,J46&amp;" reps"),IF(IF(N(L46)=0,0,IF(N(K46)&gt;0,K46*(1+L46/30),L46))=X46,IF(N(K46)&gt;0,K46&amp;" x "&amp;L46,L46&amp;" reps"),IF(IF(N(N46)=0,0,IF(N(M46)&gt;0,M46*(1+N46/30),N46))=X46,IF(N(M46)&gt;0,M46&amp;" x "&amp;N46,N46&amp;" reps"),""))))))</f>
        <v/>
      </c>
      <c r="R46" s="20">
        <f>IF(N(X46)=0,"",ROUND(X46,1))</f>
        <v/>
      </c>
      <c r="S46" s="18">
        <f>IF(N(X46)=0,"",IF(AND(COUNTIFS(Log!$D$6:$D$1505,D46,Log!$B$6:$B$1505,"&lt;"&amp;B46)&gt;0,COUNTIFS(Log!$D$6:$D$1505,D46,Log!$B$6:$B$1505,"&lt;"&amp;B46,Log!$X$6:$X$1505,"&gt;="&amp;X46)=0),"New best",""))</f>
        <v/>
      </c>
      <c r="T46" s="26" t="inlineStr">
        <is>
          <t>Felt strong</t>
        </is>
      </c>
      <c r="U46" s="1">
        <f>IF(D46="","",IFERROR(INDEX(Exercises!$C$6:$C$105,MATCH(D46,Exercises!$B$6:$B$105,0)),"Other"))</f>
        <v/>
      </c>
      <c r="V46">
        <f>IF(B46="","",IF(COUNTIF($B$6:B46,B46)=1,1,0))</f>
        <v/>
      </c>
      <c r="W46">
        <f>IF(B46="","",B46-WEEKDAY(B46,3))</f>
        <v/>
      </c>
      <c r="X46">
        <f>IF(D46="","",MAX(IF(N(F46)=0,0,IF(N(E46)&gt;0,E46*(1+F46/30),F46)),IF(N(H46)=0,0,IF(N(G46)&gt;0,G46*(1+H46/30),H46)),IF(N(J46)=0,0,IF(N(I46)&gt;0,I46*(1+J46/30),J46)),IF(N(L46)=0,0,IF(N(K46)&gt;0,K46*(1+L46/30),L46)),IF(N(N46)=0,0,IF(N(M46)&gt;0,M46*(1+N46/30),N46))))</f>
        <v/>
      </c>
      <c r="Y46">
        <f>IF(N(X46)=0,"",X46+ROW()/1000000000)</f>
        <v/>
      </c>
      <c r="Z46">
        <f>IF(Y46="","",IF(COUNTIFS(Log!$D$6:$D$1505,D46,Log!$Y$6:$Y$1505,"&gt;"&amp;Y46)=0,1,0))</f>
        <v/>
      </c>
      <c r="AA46">
        <f>IF(OR(B46="",D46=""),"",B46+ROW()/10000000)</f>
        <v/>
      </c>
      <c r="AB46">
        <f>IF(AA46="","",IF(COUNTIFS(Log!$D$6:$D$1505,D46,Log!$AA$6:$AA$1505,"&gt;"&amp;AA46)=0,1,0))</f>
        <v/>
      </c>
      <c r="AC46">
        <f>IF(S46="New best",AA46,"")</f>
        <v/>
      </c>
      <c r="AD46">
        <f>ROW()</f>
        <v/>
      </c>
    </row>
    <row r="47">
      <c r="A47" s="1" t="n"/>
      <c r="B47" s="21" t="n">
        <v>46221</v>
      </c>
      <c r="C47" s="22" t="inlineStr">
        <is>
          <t>Lower</t>
        </is>
      </c>
      <c r="D47" s="23" t="inlineStr">
        <is>
          <t>Romanian deadlift</t>
        </is>
      </c>
      <c r="E47" s="24" t="n">
        <v>140</v>
      </c>
      <c r="F47" s="24" t="n">
        <v>9</v>
      </c>
      <c r="G47" s="24" t="n">
        <v>140</v>
      </c>
      <c r="H47" s="24" t="n">
        <v>8</v>
      </c>
      <c r="I47" s="24" t="n">
        <v>140</v>
      </c>
      <c r="J47" s="24" t="n">
        <v>8</v>
      </c>
      <c r="K47" s="24" t="n"/>
      <c r="L47" s="24" t="n"/>
      <c r="M47" s="24" t="n"/>
      <c r="N47" s="24" t="n"/>
      <c r="O47" s="15">
        <f>IF(D47="","",COUNT(F47,H47,J47,L47,N47))</f>
        <v/>
      </c>
      <c r="P47" s="25">
        <f>IF(D47="","",N(E47)*N(F47)+N(G47)*N(H47)+N(I47)*N(J47)+N(K47)*N(L47)+N(M47)*N(N47))</f>
        <v/>
      </c>
      <c r="Q47" s="18">
        <f>IF(N(X47)=0,"",IF(IF(N(F47)=0,0,IF(N(E47)&gt;0,E47*(1+F47/30),F47))=X47,IF(N(E47)&gt;0,E47&amp;" x "&amp;F47,F47&amp;" reps"),IF(IF(N(H47)=0,0,IF(N(G47)&gt;0,G47*(1+H47/30),H47))=X47,IF(N(G47)&gt;0,G47&amp;" x "&amp;H47,H47&amp;" reps"),IF(IF(N(J47)=0,0,IF(N(I47)&gt;0,I47*(1+J47/30),J47))=X47,IF(N(I47)&gt;0,I47&amp;" x "&amp;J47,J47&amp;" reps"),IF(IF(N(L47)=0,0,IF(N(K47)&gt;0,K47*(1+L47/30),L47))=X47,IF(N(K47)&gt;0,K47&amp;" x "&amp;L47,L47&amp;" reps"),IF(IF(N(N47)=0,0,IF(N(M47)&gt;0,M47*(1+N47/30),N47))=X47,IF(N(M47)&gt;0,M47&amp;" x "&amp;N47,N47&amp;" reps"),""))))))</f>
        <v/>
      </c>
      <c r="R47" s="20">
        <f>IF(N(X47)=0,"",ROUND(X47,1))</f>
        <v/>
      </c>
      <c r="S47" s="18">
        <f>IF(N(X47)=0,"",IF(AND(COUNTIFS(Log!$D$6:$D$1505,D47,Log!$B$6:$B$1505,"&lt;"&amp;B47)&gt;0,COUNTIFS(Log!$D$6:$D$1505,D47,Log!$B$6:$B$1505,"&lt;"&amp;B47,Log!$X$6:$X$1505,"&gt;="&amp;X47)=0),"New best",""))</f>
        <v/>
      </c>
      <c r="T47" s="26" t="inlineStr">
        <is>
          <t>Slept badly</t>
        </is>
      </c>
      <c r="U47" s="1">
        <f>IF(D47="","",IFERROR(INDEX(Exercises!$C$6:$C$105,MATCH(D47,Exercises!$B$6:$B$105,0)),"Other"))</f>
        <v/>
      </c>
      <c r="V47">
        <f>IF(B47="","",IF(COUNTIF($B$6:B47,B47)=1,1,0))</f>
        <v/>
      </c>
      <c r="W47">
        <f>IF(B47="","",B47-WEEKDAY(B47,3))</f>
        <v/>
      </c>
      <c r="X47">
        <f>IF(D47="","",MAX(IF(N(F47)=0,0,IF(N(E47)&gt;0,E47*(1+F47/30),F47)),IF(N(H47)=0,0,IF(N(G47)&gt;0,G47*(1+H47/30),H47)),IF(N(J47)=0,0,IF(N(I47)&gt;0,I47*(1+J47/30),J47)),IF(N(L47)=0,0,IF(N(K47)&gt;0,K47*(1+L47/30),L47)),IF(N(N47)=0,0,IF(N(M47)&gt;0,M47*(1+N47/30),N47))))</f>
        <v/>
      </c>
      <c r="Y47">
        <f>IF(N(X47)=0,"",X47+ROW()/1000000000)</f>
        <v/>
      </c>
      <c r="Z47">
        <f>IF(Y47="","",IF(COUNTIFS(Log!$D$6:$D$1505,D47,Log!$Y$6:$Y$1505,"&gt;"&amp;Y47)=0,1,0))</f>
        <v/>
      </c>
      <c r="AA47">
        <f>IF(OR(B47="",D47=""),"",B47+ROW()/10000000)</f>
        <v/>
      </c>
      <c r="AB47">
        <f>IF(AA47="","",IF(COUNTIFS(Log!$D$6:$D$1505,D47,Log!$AA$6:$AA$1505,"&gt;"&amp;AA47)=0,1,0))</f>
        <v/>
      </c>
      <c r="AC47">
        <f>IF(S47="New best",AA47,"")</f>
        <v/>
      </c>
      <c r="AD47">
        <f>ROW()</f>
        <v/>
      </c>
    </row>
    <row r="48">
      <c r="A48" s="1" t="n"/>
      <c r="B48" s="21" t="n">
        <v>46221</v>
      </c>
      <c r="C48" s="22" t="inlineStr">
        <is>
          <t>Lower</t>
        </is>
      </c>
      <c r="D48" s="23" t="inlineStr">
        <is>
          <t>Leg press</t>
        </is>
      </c>
      <c r="E48" s="24" t="n">
        <v>245</v>
      </c>
      <c r="F48" s="24" t="n">
        <v>15</v>
      </c>
      <c r="G48" s="24" t="n">
        <v>245</v>
      </c>
      <c r="H48" s="24" t="n">
        <v>14</v>
      </c>
      <c r="I48" s="24" t="n">
        <v>245</v>
      </c>
      <c r="J48" s="24" t="n">
        <v>12</v>
      </c>
      <c r="K48" s="24" t="n"/>
      <c r="L48" s="24" t="n"/>
      <c r="M48" s="24" t="n"/>
      <c r="N48" s="24" t="n"/>
      <c r="O48" s="15">
        <f>IF(D48="","",COUNT(F48,H48,J48,L48,N48))</f>
        <v/>
      </c>
      <c r="P48" s="25">
        <f>IF(D48="","",N(E48)*N(F48)+N(G48)*N(H48)+N(I48)*N(J48)+N(K48)*N(L48)+N(M48)*N(N48))</f>
        <v/>
      </c>
      <c r="Q48" s="18">
        <f>IF(N(X48)=0,"",IF(IF(N(F48)=0,0,IF(N(E48)&gt;0,E48*(1+F48/30),F48))=X48,IF(N(E48)&gt;0,E48&amp;" x "&amp;F48,F48&amp;" reps"),IF(IF(N(H48)=0,0,IF(N(G48)&gt;0,G48*(1+H48/30),H48))=X48,IF(N(G48)&gt;0,G48&amp;" x "&amp;H48,H48&amp;" reps"),IF(IF(N(J48)=0,0,IF(N(I48)&gt;0,I48*(1+J48/30),J48))=X48,IF(N(I48)&gt;0,I48&amp;" x "&amp;J48,J48&amp;" reps"),IF(IF(N(L48)=0,0,IF(N(K48)&gt;0,K48*(1+L48/30),L48))=X48,IF(N(K48)&gt;0,K48&amp;" x "&amp;L48,L48&amp;" reps"),IF(IF(N(N48)=0,0,IF(N(M48)&gt;0,M48*(1+N48/30),N48))=X48,IF(N(M48)&gt;0,M48&amp;" x "&amp;N48,N48&amp;" reps"),""))))))</f>
        <v/>
      </c>
      <c r="R48" s="20">
        <f>IF(N(X48)=0,"",ROUND(X48,1))</f>
        <v/>
      </c>
      <c r="S48" s="18">
        <f>IF(N(X48)=0,"",IF(AND(COUNTIFS(Log!$D$6:$D$1505,D48,Log!$B$6:$B$1505,"&lt;"&amp;B48)&gt;0,COUNTIFS(Log!$D$6:$D$1505,D48,Log!$B$6:$B$1505,"&lt;"&amp;B48,Log!$X$6:$X$1505,"&gt;="&amp;X48)=0),"New best",""))</f>
        <v/>
      </c>
      <c r="T48" s="26" t="inlineStr">
        <is>
          <t>Short on time</t>
        </is>
      </c>
      <c r="U48" s="1">
        <f>IF(D48="","",IFERROR(INDEX(Exercises!$C$6:$C$105,MATCH(D48,Exercises!$B$6:$B$105,0)),"Other"))</f>
        <v/>
      </c>
      <c r="V48">
        <f>IF(B48="","",IF(COUNTIF($B$6:B48,B48)=1,1,0))</f>
        <v/>
      </c>
      <c r="W48">
        <f>IF(B48="","",B48-WEEKDAY(B48,3))</f>
        <v/>
      </c>
      <c r="X48">
        <f>IF(D48="","",MAX(IF(N(F48)=0,0,IF(N(E48)&gt;0,E48*(1+F48/30),F48)),IF(N(H48)=0,0,IF(N(G48)&gt;0,G48*(1+H48/30),H48)),IF(N(J48)=0,0,IF(N(I48)&gt;0,I48*(1+J48/30),J48)),IF(N(L48)=0,0,IF(N(K48)&gt;0,K48*(1+L48/30),L48)),IF(N(N48)=0,0,IF(N(M48)&gt;0,M48*(1+N48/30),N48))))</f>
        <v/>
      </c>
      <c r="Y48">
        <f>IF(N(X48)=0,"",X48+ROW()/1000000000)</f>
        <v/>
      </c>
      <c r="Z48">
        <f>IF(Y48="","",IF(COUNTIFS(Log!$D$6:$D$1505,D48,Log!$Y$6:$Y$1505,"&gt;"&amp;Y48)=0,1,0))</f>
        <v/>
      </c>
      <c r="AA48">
        <f>IF(OR(B48="",D48=""),"",B48+ROW()/10000000)</f>
        <v/>
      </c>
      <c r="AB48">
        <f>IF(AA48="","",IF(COUNTIFS(Log!$D$6:$D$1505,D48,Log!$AA$6:$AA$1505,"&gt;"&amp;AA48)=0,1,0))</f>
        <v/>
      </c>
      <c r="AC48">
        <f>IF(S48="New best",AA48,"")</f>
        <v/>
      </c>
      <c r="AD48">
        <f>ROW()</f>
        <v/>
      </c>
    </row>
    <row r="49">
      <c r="A49" s="1" t="n"/>
      <c r="B49" s="21" t="n">
        <v>46221</v>
      </c>
      <c r="C49" s="22" t="inlineStr">
        <is>
          <t>Lower</t>
        </is>
      </c>
      <c r="D49" s="23" t="inlineStr">
        <is>
          <t>Calf raise</t>
        </is>
      </c>
      <c r="E49" s="24" t="n">
        <v>80</v>
      </c>
      <c r="F49" s="24" t="n">
        <v>15</v>
      </c>
      <c r="G49" s="24" t="n">
        <v>80</v>
      </c>
      <c r="H49" s="24" t="n">
        <v>15</v>
      </c>
      <c r="I49" s="24" t="n">
        <v>80</v>
      </c>
      <c r="J49" s="24" t="n">
        <v>15</v>
      </c>
      <c r="K49" s="24" t="n"/>
      <c r="L49" s="24" t="n"/>
      <c r="M49" s="24" t="n"/>
      <c r="N49" s="24" t="n"/>
      <c r="O49" s="15">
        <f>IF(D49="","",COUNT(F49,H49,J49,L49,N49))</f>
        <v/>
      </c>
      <c r="P49" s="25">
        <f>IF(D49="","",N(E49)*N(F49)+N(G49)*N(H49)+N(I49)*N(J49)+N(K49)*N(L49)+N(M49)*N(N49))</f>
        <v/>
      </c>
      <c r="Q49" s="18">
        <f>IF(N(X49)=0,"",IF(IF(N(F49)=0,0,IF(N(E49)&gt;0,E49*(1+F49/30),F49))=X49,IF(N(E49)&gt;0,E49&amp;" x "&amp;F49,F49&amp;" reps"),IF(IF(N(H49)=0,0,IF(N(G49)&gt;0,G49*(1+H49/30),H49))=X49,IF(N(G49)&gt;0,G49&amp;" x "&amp;H49,H49&amp;" reps"),IF(IF(N(J49)=0,0,IF(N(I49)&gt;0,I49*(1+J49/30),J49))=X49,IF(N(I49)&gt;0,I49&amp;" x "&amp;J49,J49&amp;" reps"),IF(IF(N(L49)=0,0,IF(N(K49)&gt;0,K49*(1+L49/30),L49))=X49,IF(N(K49)&gt;0,K49&amp;" x "&amp;L49,L49&amp;" reps"),IF(IF(N(N49)=0,0,IF(N(M49)&gt;0,M49*(1+N49/30),N49))=X49,IF(N(M49)&gt;0,M49&amp;" x "&amp;N49,N49&amp;" reps"),""))))))</f>
        <v/>
      </c>
      <c r="R49" s="20">
        <f>IF(N(X49)=0,"",ROUND(X49,1))</f>
        <v/>
      </c>
      <c r="S49" s="18">
        <f>IF(N(X49)=0,"",IF(AND(COUNTIFS(Log!$D$6:$D$1505,D49,Log!$B$6:$B$1505,"&lt;"&amp;B49)&gt;0,COUNTIFS(Log!$D$6:$D$1505,D49,Log!$B$6:$B$1505,"&lt;"&amp;B49,Log!$X$6:$X$1505,"&gt;="&amp;X49)=0),"New best",""))</f>
        <v/>
      </c>
      <c r="T49" s="26" t="n"/>
      <c r="U49" s="1">
        <f>IF(D49="","",IFERROR(INDEX(Exercises!$C$6:$C$105,MATCH(D49,Exercises!$B$6:$B$105,0)),"Other"))</f>
        <v/>
      </c>
      <c r="V49">
        <f>IF(B49="","",IF(COUNTIF($B$6:B49,B49)=1,1,0))</f>
        <v/>
      </c>
      <c r="W49">
        <f>IF(B49="","",B49-WEEKDAY(B49,3))</f>
        <v/>
      </c>
      <c r="X49">
        <f>IF(D49="","",MAX(IF(N(F49)=0,0,IF(N(E49)&gt;0,E49*(1+F49/30),F49)),IF(N(H49)=0,0,IF(N(G49)&gt;0,G49*(1+H49/30),H49)),IF(N(J49)=0,0,IF(N(I49)&gt;0,I49*(1+J49/30),J49)),IF(N(L49)=0,0,IF(N(K49)&gt;0,K49*(1+L49/30),L49)),IF(N(N49)=0,0,IF(N(M49)&gt;0,M49*(1+N49/30),N49))))</f>
        <v/>
      </c>
      <c r="Y49">
        <f>IF(N(X49)=0,"",X49+ROW()/1000000000)</f>
        <v/>
      </c>
      <c r="Z49">
        <f>IF(Y49="","",IF(COUNTIFS(Log!$D$6:$D$1505,D49,Log!$Y$6:$Y$1505,"&gt;"&amp;Y49)=0,1,0))</f>
        <v/>
      </c>
      <c r="AA49">
        <f>IF(OR(B49="",D49=""),"",B49+ROW()/10000000)</f>
        <v/>
      </c>
      <c r="AB49">
        <f>IF(AA49="","",IF(COUNTIFS(Log!$D$6:$D$1505,D49,Log!$AA$6:$AA$1505,"&gt;"&amp;AA49)=0,1,0))</f>
        <v/>
      </c>
      <c r="AC49">
        <f>IF(S49="New best",AA49,"")</f>
        <v/>
      </c>
      <c r="AD49">
        <f>ROW()</f>
        <v/>
      </c>
    </row>
    <row r="50">
      <c r="A50" s="1" t="n"/>
      <c r="B50" s="21" t="n">
        <v>46223</v>
      </c>
      <c r="C50" s="22" t="inlineStr">
        <is>
          <t>Push</t>
        </is>
      </c>
      <c r="D50" s="23" t="inlineStr">
        <is>
          <t>Bench press</t>
        </is>
      </c>
      <c r="E50" s="24" t="n">
        <v>135</v>
      </c>
      <c r="F50" s="24" t="n">
        <v>7</v>
      </c>
      <c r="G50" s="24" t="n">
        <v>135</v>
      </c>
      <c r="H50" s="24" t="n">
        <v>6</v>
      </c>
      <c r="I50" s="24" t="n">
        <v>135</v>
      </c>
      <c r="J50" s="24" t="n">
        <v>6</v>
      </c>
      <c r="K50" s="24" t="n">
        <v>135</v>
      </c>
      <c r="L50" s="24" t="n">
        <v>6</v>
      </c>
      <c r="M50" s="24" t="n"/>
      <c r="N50" s="24" t="n"/>
      <c r="O50" s="15">
        <f>IF(D50="","",COUNT(F50,H50,J50,L50,N50))</f>
        <v/>
      </c>
      <c r="P50" s="25">
        <f>IF(D50="","",N(E50)*N(F50)+N(G50)*N(H50)+N(I50)*N(J50)+N(K50)*N(L50)+N(M50)*N(N50))</f>
        <v/>
      </c>
      <c r="Q50" s="18">
        <f>IF(N(X50)=0,"",IF(IF(N(F50)=0,0,IF(N(E50)&gt;0,E50*(1+F50/30),F50))=X50,IF(N(E50)&gt;0,E50&amp;" x "&amp;F50,F50&amp;" reps"),IF(IF(N(H50)=0,0,IF(N(G50)&gt;0,G50*(1+H50/30),H50))=X50,IF(N(G50)&gt;0,G50&amp;" x "&amp;H50,H50&amp;" reps"),IF(IF(N(J50)=0,0,IF(N(I50)&gt;0,I50*(1+J50/30),J50))=X50,IF(N(I50)&gt;0,I50&amp;" x "&amp;J50,J50&amp;" reps"),IF(IF(N(L50)=0,0,IF(N(K50)&gt;0,K50*(1+L50/30),L50))=X50,IF(N(K50)&gt;0,K50&amp;" x "&amp;L50,L50&amp;" reps"),IF(IF(N(N50)=0,0,IF(N(M50)&gt;0,M50*(1+N50/30),N50))=X50,IF(N(M50)&gt;0,M50&amp;" x "&amp;N50,N50&amp;" reps"),""))))))</f>
        <v/>
      </c>
      <c r="R50" s="20">
        <f>IF(N(X50)=0,"",ROUND(X50,1))</f>
        <v/>
      </c>
      <c r="S50" s="18">
        <f>IF(N(X50)=0,"",IF(AND(COUNTIFS(Log!$D$6:$D$1505,D50,Log!$B$6:$B$1505,"&lt;"&amp;B50)&gt;0,COUNTIFS(Log!$D$6:$D$1505,D50,Log!$B$6:$B$1505,"&lt;"&amp;B50,Log!$X$6:$X$1505,"&gt;="&amp;X50)=0),"New best",""))</f>
        <v/>
      </c>
      <c r="T50" s="26" t="n"/>
      <c r="U50" s="1">
        <f>IF(D50="","",IFERROR(INDEX(Exercises!$C$6:$C$105,MATCH(D50,Exercises!$B$6:$B$105,0)),"Other"))</f>
        <v/>
      </c>
      <c r="V50">
        <f>IF(B50="","",IF(COUNTIF($B$6:B50,B50)=1,1,0))</f>
        <v/>
      </c>
      <c r="W50">
        <f>IF(B50="","",B50-WEEKDAY(B50,3))</f>
        <v/>
      </c>
      <c r="X50">
        <f>IF(D50="","",MAX(IF(N(F50)=0,0,IF(N(E50)&gt;0,E50*(1+F50/30),F50)),IF(N(H50)=0,0,IF(N(G50)&gt;0,G50*(1+H50/30),H50)),IF(N(J50)=0,0,IF(N(I50)&gt;0,I50*(1+J50/30),J50)),IF(N(L50)=0,0,IF(N(K50)&gt;0,K50*(1+L50/30),L50)),IF(N(N50)=0,0,IF(N(M50)&gt;0,M50*(1+N50/30),N50))))</f>
        <v/>
      </c>
      <c r="Y50">
        <f>IF(N(X50)=0,"",X50+ROW()/1000000000)</f>
        <v/>
      </c>
      <c r="Z50">
        <f>IF(Y50="","",IF(COUNTIFS(Log!$D$6:$D$1505,D50,Log!$Y$6:$Y$1505,"&gt;"&amp;Y50)=0,1,0))</f>
        <v/>
      </c>
      <c r="AA50">
        <f>IF(OR(B50="",D50=""),"",B50+ROW()/10000000)</f>
        <v/>
      </c>
      <c r="AB50">
        <f>IF(AA50="","",IF(COUNTIFS(Log!$D$6:$D$1505,D50,Log!$AA$6:$AA$1505,"&gt;"&amp;AA50)=0,1,0))</f>
        <v/>
      </c>
      <c r="AC50">
        <f>IF(S50="New best",AA50,"")</f>
        <v/>
      </c>
      <c r="AD50">
        <f>ROW()</f>
        <v/>
      </c>
    </row>
    <row r="51">
      <c r="A51" s="1" t="n"/>
      <c r="B51" s="21" t="n">
        <v>46223</v>
      </c>
      <c r="C51" s="22" t="inlineStr">
        <is>
          <t>Push</t>
        </is>
      </c>
      <c r="D51" s="23" t="inlineStr">
        <is>
          <t>Overhead press</t>
        </is>
      </c>
      <c r="E51" s="24" t="n">
        <v>85</v>
      </c>
      <c r="F51" s="24" t="n">
        <v>10</v>
      </c>
      <c r="G51" s="24" t="n">
        <v>85</v>
      </c>
      <c r="H51" s="24" t="n">
        <v>8</v>
      </c>
      <c r="I51" s="24" t="n">
        <v>85</v>
      </c>
      <c r="J51" s="24" t="n">
        <v>8</v>
      </c>
      <c r="K51" s="24" t="n"/>
      <c r="L51" s="24" t="n"/>
      <c r="M51" s="24" t="n"/>
      <c r="N51" s="24" t="n"/>
      <c r="O51" s="15">
        <f>IF(D51="","",COUNT(F51,H51,J51,L51,N51))</f>
        <v/>
      </c>
      <c r="P51" s="25">
        <f>IF(D51="","",N(E51)*N(F51)+N(G51)*N(H51)+N(I51)*N(J51)+N(K51)*N(L51)+N(M51)*N(N51))</f>
        <v/>
      </c>
      <c r="Q51" s="18">
        <f>IF(N(X51)=0,"",IF(IF(N(F51)=0,0,IF(N(E51)&gt;0,E51*(1+F51/30),F51))=X51,IF(N(E51)&gt;0,E51&amp;" x "&amp;F51,F51&amp;" reps"),IF(IF(N(H51)=0,0,IF(N(G51)&gt;0,G51*(1+H51/30),H51))=X51,IF(N(G51)&gt;0,G51&amp;" x "&amp;H51,H51&amp;" reps"),IF(IF(N(J51)=0,0,IF(N(I51)&gt;0,I51*(1+J51/30),J51))=X51,IF(N(I51)&gt;0,I51&amp;" x "&amp;J51,J51&amp;" reps"),IF(IF(N(L51)=0,0,IF(N(K51)&gt;0,K51*(1+L51/30),L51))=X51,IF(N(K51)&gt;0,K51&amp;" x "&amp;L51,L51&amp;" reps"),IF(IF(N(N51)=0,0,IF(N(M51)&gt;0,M51*(1+N51/30),N51))=X51,IF(N(M51)&gt;0,M51&amp;" x "&amp;N51,N51&amp;" reps"),""))))))</f>
        <v/>
      </c>
      <c r="R51" s="20">
        <f>IF(N(X51)=0,"",ROUND(X51,1))</f>
        <v/>
      </c>
      <c r="S51" s="18">
        <f>IF(N(X51)=0,"",IF(AND(COUNTIFS(Log!$D$6:$D$1505,D51,Log!$B$6:$B$1505,"&lt;"&amp;B51)&gt;0,COUNTIFS(Log!$D$6:$D$1505,D51,Log!$B$6:$B$1505,"&lt;"&amp;B51,Log!$X$6:$X$1505,"&gt;="&amp;X51)=0),"New best",""))</f>
        <v/>
      </c>
      <c r="T51" s="26" t="n"/>
      <c r="U51" s="1">
        <f>IF(D51="","",IFERROR(INDEX(Exercises!$C$6:$C$105,MATCH(D51,Exercises!$B$6:$B$105,0)),"Other"))</f>
        <v/>
      </c>
      <c r="V51">
        <f>IF(B51="","",IF(COUNTIF($B$6:B51,B51)=1,1,0))</f>
        <v/>
      </c>
      <c r="W51">
        <f>IF(B51="","",B51-WEEKDAY(B51,3))</f>
        <v/>
      </c>
      <c r="X51">
        <f>IF(D51="","",MAX(IF(N(F51)=0,0,IF(N(E51)&gt;0,E51*(1+F51/30),F51)),IF(N(H51)=0,0,IF(N(G51)&gt;0,G51*(1+H51/30),H51)),IF(N(J51)=0,0,IF(N(I51)&gt;0,I51*(1+J51/30),J51)),IF(N(L51)=0,0,IF(N(K51)&gt;0,K51*(1+L51/30),L51)),IF(N(N51)=0,0,IF(N(M51)&gt;0,M51*(1+N51/30),N51))))</f>
        <v/>
      </c>
      <c r="Y51">
        <f>IF(N(X51)=0,"",X51+ROW()/1000000000)</f>
        <v/>
      </c>
      <c r="Z51">
        <f>IF(Y51="","",IF(COUNTIFS(Log!$D$6:$D$1505,D51,Log!$Y$6:$Y$1505,"&gt;"&amp;Y51)=0,1,0))</f>
        <v/>
      </c>
      <c r="AA51">
        <f>IF(OR(B51="",D51=""),"",B51+ROW()/10000000)</f>
        <v/>
      </c>
      <c r="AB51">
        <f>IF(AA51="","",IF(COUNTIFS(Log!$D$6:$D$1505,D51,Log!$AA$6:$AA$1505,"&gt;"&amp;AA51)=0,1,0))</f>
        <v/>
      </c>
      <c r="AC51">
        <f>IF(S51="New best",AA51,"")</f>
        <v/>
      </c>
      <c r="AD51">
        <f>ROW()</f>
        <v/>
      </c>
    </row>
    <row r="52">
      <c r="A52" s="1" t="n"/>
      <c r="B52" s="21" t="n">
        <v>46223</v>
      </c>
      <c r="C52" s="22" t="inlineStr">
        <is>
          <t>Push</t>
        </is>
      </c>
      <c r="D52" s="23" t="inlineStr">
        <is>
          <t>Incline dumbbell press</t>
        </is>
      </c>
      <c r="E52" s="24" t="n">
        <v>45</v>
      </c>
      <c r="F52" s="24" t="n">
        <v>12</v>
      </c>
      <c r="G52" s="24" t="n">
        <v>45</v>
      </c>
      <c r="H52" s="24" t="n">
        <v>11</v>
      </c>
      <c r="I52" s="24" t="n">
        <v>45</v>
      </c>
      <c r="J52" s="24" t="n">
        <v>9</v>
      </c>
      <c r="K52" s="24" t="n"/>
      <c r="L52" s="24" t="n"/>
      <c r="M52" s="24" t="n"/>
      <c r="N52" s="24" t="n"/>
      <c r="O52" s="15">
        <f>IF(D52="","",COUNT(F52,H52,J52,L52,N52))</f>
        <v/>
      </c>
      <c r="P52" s="25">
        <f>IF(D52="","",N(E52)*N(F52)+N(G52)*N(H52)+N(I52)*N(J52)+N(K52)*N(L52)+N(M52)*N(N52))</f>
        <v/>
      </c>
      <c r="Q52" s="18">
        <f>IF(N(X52)=0,"",IF(IF(N(F52)=0,0,IF(N(E52)&gt;0,E52*(1+F52/30),F52))=X52,IF(N(E52)&gt;0,E52&amp;" x "&amp;F52,F52&amp;" reps"),IF(IF(N(H52)=0,0,IF(N(G52)&gt;0,G52*(1+H52/30),H52))=X52,IF(N(G52)&gt;0,G52&amp;" x "&amp;H52,H52&amp;" reps"),IF(IF(N(J52)=0,0,IF(N(I52)&gt;0,I52*(1+J52/30),J52))=X52,IF(N(I52)&gt;0,I52&amp;" x "&amp;J52,J52&amp;" reps"),IF(IF(N(L52)=0,0,IF(N(K52)&gt;0,K52*(1+L52/30),L52))=X52,IF(N(K52)&gt;0,K52&amp;" x "&amp;L52,L52&amp;" reps"),IF(IF(N(N52)=0,0,IF(N(M52)&gt;0,M52*(1+N52/30),N52))=X52,IF(N(M52)&gt;0,M52&amp;" x "&amp;N52,N52&amp;" reps"),""))))))</f>
        <v/>
      </c>
      <c r="R52" s="20">
        <f>IF(N(X52)=0,"",ROUND(X52,1))</f>
        <v/>
      </c>
      <c r="S52" s="18">
        <f>IF(N(X52)=0,"",IF(AND(COUNTIFS(Log!$D$6:$D$1505,D52,Log!$B$6:$B$1505,"&lt;"&amp;B52)&gt;0,COUNTIFS(Log!$D$6:$D$1505,D52,Log!$B$6:$B$1505,"&lt;"&amp;B52,Log!$X$6:$X$1505,"&gt;="&amp;X52)=0),"New best",""))</f>
        <v/>
      </c>
      <c r="T52" s="26" t="n"/>
      <c r="U52" s="1">
        <f>IF(D52="","",IFERROR(INDEX(Exercises!$C$6:$C$105,MATCH(D52,Exercises!$B$6:$B$105,0)),"Other"))</f>
        <v/>
      </c>
      <c r="V52">
        <f>IF(B52="","",IF(COUNTIF($B$6:B52,B52)=1,1,0))</f>
        <v/>
      </c>
      <c r="W52">
        <f>IF(B52="","",B52-WEEKDAY(B52,3))</f>
        <v/>
      </c>
      <c r="X52">
        <f>IF(D52="","",MAX(IF(N(F52)=0,0,IF(N(E52)&gt;0,E52*(1+F52/30),F52)),IF(N(H52)=0,0,IF(N(G52)&gt;0,G52*(1+H52/30),H52)),IF(N(J52)=0,0,IF(N(I52)&gt;0,I52*(1+J52/30),J52)),IF(N(L52)=0,0,IF(N(K52)&gt;0,K52*(1+L52/30),L52)),IF(N(N52)=0,0,IF(N(M52)&gt;0,M52*(1+N52/30),N52))))</f>
        <v/>
      </c>
      <c r="Y52">
        <f>IF(N(X52)=0,"",X52+ROW()/1000000000)</f>
        <v/>
      </c>
      <c r="Z52">
        <f>IF(Y52="","",IF(COUNTIFS(Log!$D$6:$D$1505,D52,Log!$Y$6:$Y$1505,"&gt;"&amp;Y52)=0,1,0))</f>
        <v/>
      </c>
      <c r="AA52">
        <f>IF(OR(B52="",D52=""),"",B52+ROW()/10000000)</f>
        <v/>
      </c>
      <c r="AB52">
        <f>IF(AA52="","",IF(COUNTIFS(Log!$D$6:$D$1505,D52,Log!$AA$6:$AA$1505,"&gt;"&amp;AA52)=0,1,0))</f>
        <v/>
      </c>
      <c r="AC52">
        <f>IF(S52="New best",AA52,"")</f>
        <v/>
      </c>
      <c r="AD52">
        <f>ROW()</f>
        <v/>
      </c>
    </row>
    <row r="53">
      <c r="A53" s="1" t="n"/>
      <c r="B53" s="21" t="n">
        <v>46223</v>
      </c>
      <c r="C53" s="22" t="inlineStr">
        <is>
          <t>Push</t>
        </is>
      </c>
      <c r="D53" s="23" t="inlineStr">
        <is>
          <t>Lateral raise</t>
        </is>
      </c>
      <c r="E53" s="24" t="n">
        <v>15</v>
      </c>
      <c r="F53" s="24" t="n">
        <v>15</v>
      </c>
      <c r="G53" s="24" t="n">
        <v>15</v>
      </c>
      <c r="H53" s="24" t="n">
        <v>14</v>
      </c>
      <c r="I53" s="24" t="n">
        <v>15</v>
      </c>
      <c r="J53" s="24" t="n">
        <v>13</v>
      </c>
      <c r="K53" s="24" t="n"/>
      <c r="L53" s="24" t="n"/>
      <c r="M53" s="24" t="n"/>
      <c r="N53" s="24" t="n"/>
      <c r="O53" s="15">
        <f>IF(D53="","",COUNT(F53,H53,J53,L53,N53))</f>
        <v/>
      </c>
      <c r="P53" s="25">
        <f>IF(D53="","",N(E53)*N(F53)+N(G53)*N(H53)+N(I53)*N(J53)+N(K53)*N(L53)+N(M53)*N(N53))</f>
        <v/>
      </c>
      <c r="Q53" s="18">
        <f>IF(N(X53)=0,"",IF(IF(N(F53)=0,0,IF(N(E53)&gt;0,E53*(1+F53/30),F53))=X53,IF(N(E53)&gt;0,E53&amp;" x "&amp;F53,F53&amp;" reps"),IF(IF(N(H53)=0,0,IF(N(G53)&gt;0,G53*(1+H53/30),H53))=X53,IF(N(G53)&gt;0,G53&amp;" x "&amp;H53,H53&amp;" reps"),IF(IF(N(J53)=0,0,IF(N(I53)&gt;0,I53*(1+J53/30),J53))=X53,IF(N(I53)&gt;0,I53&amp;" x "&amp;J53,J53&amp;" reps"),IF(IF(N(L53)=0,0,IF(N(K53)&gt;0,K53*(1+L53/30),L53))=X53,IF(N(K53)&gt;0,K53&amp;" x "&amp;L53,L53&amp;" reps"),IF(IF(N(N53)=0,0,IF(N(M53)&gt;0,M53*(1+N53/30),N53))=X53,IF(N(M53)&gt;0,M53&amp;" x "&amp;N53,N53&amp;" reps"),""))))))</f>
        <v/>
      </c>
      <c r="R53" s="20">
        <f>IF(N(X53)=0,"",ROUND(X53,1))</f>
        <v/>
      </c>
      <c r="S53" s="18">
        <f>IF(N(X53)=0,"",IF(AND(COUNTIFS(Log!$D$6:$D$1505,D53,Log!$B$6:$B$1505,"&lt;"&amp;B53)&gt;0,COUNTIFS(Log!$D$6:$D$1505,D53,Log!$B$6:$B$1505,"&lt;"&amp;B53,Log!$X$6:$X$1505,"&gt;="&amp;X53)=0),"New best",""))</f>
        <v/>
      </c>
      <c r="T53" s="26" t="n"/>
      <c r="U53" s="1">
        <f>IF(D53="","",IFERROR(INDEX(Exercises!$C$6:$C$105,MATCH(D53,Exercises!$B$6:$B$105,0)),"Other"))</f>
        <v/>
      </c>
      <c r="V53">
        <f>IF(B53="","",IF(COUNTIF($B$6:B53,B53)=1,1,0))</f>
        <v/>
      </c>
      <c r="W53">
        <f>IF(B53="","",B53-WEEKDAY(B53,3))</f>
        <v/>
      </c>
      <c r="X53">
        <f>IF(D53="","",MAX(IF(N(F53)=0,0,IF(N(E53)&gt;0,E53*(1+F53/30),F53)),IF(N(H53)=0,0,IF(N(G53)&gt;0,G53*(1+H53/30),H53)),IF(N(J53)=0,0,IF(N(I53)&gt;0,I53*(1+J53/30),J53)),IF(N(L53)=0,0,IF(N(K53)&gt;0,K53*(1+L53/30),L53)),IF(N(N53)=0,0,IF(N(M53)&gt;0,M53*(1+N53/30),N53))))</f>
        <v/>
      </c>
      <c r="Y53">
        <f>IF(N(X53)=0,"",X53+ROW()/1000000000)</f>
        <v/>
      </c>
      <c r="Z53">
        <f>IF(Y53="","",IF(COUNTIFS(Log!$D$6:$D$1505,D53,Log!$Y$6:$Y$1505,"&gt;"&amp;Y53)=0,1,0))</f>
        <v/>
      </c>
      <c r="AA53">
        <f>IF(OR(B53="",D53=""),"",B53+ROW()/10000000)</f>
        <v/>
      </c>
      <c r="AB53">
        <f>IF(AA53="","",IF(COUNTIFS(Log!$D$6:$D$1505,D53,Log!$AA$6:$AA$1505,"&gt;"&amp;AA53)=0,1,0))</f>
        <v/>
      </c>
      <c r="AC53">
        <f>IF(S53="New best",AA53,"")</f>
        <v/>
      </c>
      <c r="AD53">
        <f>ROW()</f>
        <v/>
      </c>
    </row>
    <row r="54">
      <c r="A54" s="1" t="n"/>
      <c r="B54" s="21" t="n">
        <v>46223</v>
      </c>
      <c r="C54" s="22" t="inlineStr">
        <is>
          <t>Push</t>
        </is>
      </c>
      <c r="D54" s="23" t="inlineStr">
        <is>
          <t>Triceps pushdown</t>
        </is>
      </c>
      <c r="E54" s="24" t="n">
        <v>40</v>
      </c>
      <c r="F54" s="24" t="n">
        <v>11</v>
      </c>
      <c r="G54" s="24" t="n">
        <v>40</v>
      </c>
      <c r="H54" s="24" t="n">
        <v>11</v>
      </c>
      <c r="I54" s="24" t="n">
        <v>40</v>
      </c>
      <c r="J54" s="24" t="n">
        <v>10</v>
      </c>
      <c r="K54" s="24" t="n"/>
      <c r="L54" s="24" t="n"/>
      <c r="M54" s="24" t="n"/>
      <c r="N54" s="24" t="n"/>
      <c r="O54" s="15">
        <f>IF(D54="","",COUNT(F54,H54,J54,L54,N54))</f>
        <v/>
      </c>
      <c r="P54" s="25">
        <f>IF(D54="","",N(E54)*N(F54)+N(G54)*N(H54)+N(I54)*N(J54)+N(K54)*N(L54)+N(M54)*N(N54))</f>
        <v/>
      </c>
      <c r="Q54" s="18">
        <f>IF(N(X54)=0,"",IF(IF(N(F54)=0,0,IF(N(E54)&gt;0,E54*(1+F54/30),F54))=X54,IF(N(E54)&gt;0,E54&amp;" x "&amp;F54,F54&amp;" reps"),IF(IF(N(H54)=0,0,IF(N(G54)&gt;0,G54*(1+H54/30),H54))=X54,IF(N(G54)&gt;0,G54&amp;" x "&amp;H54,H54&amp;" reps"),IF(IF(N(J54)=0,0,IF(N(I54)&gt;0,I54*(1+J54/30),J54))=X54,IF(N(I54)&gt;0,I54&amp;" x "&amp;J54,J54&amp;" reps"),IF(IF(N(L54)=0,0,IF(N(K54)&gt;0,K54*(1+L54/30),L54))=X54,IF(N(K54)&gt;0,K54&amp;" x "&amp;L54,L54&amp;" reps"),IF(IF(N(N54)=0,0,IF(N(M54)&gt;0,M54*(1+N54/30),N54))=X54,IF(N(M54)&gt;0,M54&amp;" x "&amp;N54,N54&amp;" reps"),""))))))</f>
        <v/>
      </c>
      <c r="R54" s="20">
        <f>IF(N(X54)=0,"",ROUND(X54,1))</f>
        <v/>
      </c>
      <c r="S54" s="18">
        <f>IF(N(X54)=0,"",IF(AND(COUNTIFS(Log!$D$6:$D$1505,D54,Log!$B$6:$B$1505,"&lt;"&amp;B54)&gt;0,COUNTIFS(Log!$D$6:$D$1505,D54,Log!$B$6:$B$1505,"&lt;"&amp;B54,Log!$X$6:$X$1505,"&gt;="&amp;X54)=0),"New best",""))</f>
        <v/>
      </c>
      <c r="T54" s="26" t="n"/>
      <c r="U54" s="1">
        <f>IF(D54="","",IFERROR(INDEX(Exercises!$C$6:$C$105,MATCH(D54,Exercises!$B$6:$B$105,0)),"Other"))</f>
        <v/>
      </c>
      <c r="V54">
        <f>IF(B54="","",IF(COUNTIF($B$6:B54,B54)=1,1,0))</f>
        <v/>
      </c>
      <c r="W54">
        <f>IF(B54="","",B54-WEEKDAY(B54,3))</f>
        <v/>
      </c>
      <c r="X54">
        <f>IF(D54="","",MAX(IF(N(F54)=0,0,IF(N(E54)&gt;0,E54*(1+F54/30),F54)),IF(N(H54)=0,0,IF(N(G54)&gt;0,G54*(1+H54/30),H54)),IF(N(J54)=0,0,IF(N(I54)&gt;0,I54*(1+J54/30),J54)),IF(N(L54)=0,0,IF(N(K54)&gt;0,K54*(1+L54/30),L54)),IF(N(N54)=0,0,IF(N(M54)&gt;0,M54*(1+N54/30),N54))))</f>
        <v/>
      </c>
      <c r="Y54">
        <f>IF(N(X54)=0,"",X54+ROW()/1000000000)</f>
        <v/>
      </c>
      <c r="Z54">
        <f>IF(Y54="","",IF(COUNTIFS(Log!$D$6:$D$1505,D54,Log!$Y$6:$Y$1505,"&gt;"&amp;Y54)=0,1,0))</f>
        <v/>
      </c>
      <c r="AA54">
        <f>IF(OR(B54="",D54=""),"",B54+ROW()/10000000)</f>
        <v/>
      </c>
      <c r="AB54">
        <f>IF(AA54="","",IF(COUNTIFS(Log!$D$6:$D$1505,D54,Log!$AA$6:$AA$1505,"&gt;"&amp;AA54)=0,1,0))</f>
        <v/>
      </c>
      <c r="AC54">
        <f>IF(S54="New best",AA54,"")</f>
        <v/>
      </c>
      <c r="AD54">
        <f>ROW()</f>
        <v/>
      </c>
    </row>
    <row r="55">
      <c r="A55" s="1" t="n"/>
      <c r="B55" s="21" t="n">
        <v>46224</v>
      </c>
      <c r="C55" s="22" t="inlineStr">
        <is>
          <t>Pull</t>
        </is>
      </c>
      <c r="D55" s="23" t="inlineStr">
        <is>
          <t>Deadlift</t>
        </is>
      </c>
      <c r="E55" s="24" t="n">
        <v>225</v>
      </c>
      <c r="F55" s="24" t="n">
        <v>5</v>
      </c>
      <c r="G55" s="24" t="n">
        <v>225</v>
      </c>
      <c r="H55" s="24" t="n">
        <v>5</v>
      </c>
      <c r="I55" s="24" t="n">
        <v>225</v>
      </c>
      <c r="J55" s="24" t="n">
        <v>5</v>
      </c>
      <c r="K55" s="24" t="n"/>
      <c r="L55" s="24" t="n"/>
      <c r="M55" s="24" t="n"/>
      <c r="N55" s="24" t="n"/>
      <c r="O55" s="15">
        <f>IF(D55="","",COUNT(F55,H55,J55,L55,N55))</f>
        <v/>
      </c>
      <c r="P55" s="25">
        <f>IF(D55="","",N(E55)*N(F55)+N(G55)*N(H55)+N(I55)*N(J55)+N(K55)*N(L55)+N(M55)*N(N55))</f>
        <v/>
      </c>
      <c r="Q55" s="18">
        <f>IF(N(X55)=0,"",IF(IF(N(F55)=0,0,IF(N(E55)&gt;0,E55*(1+F55/30),F55))=X55,IF(N(E55)&gt;0,E55&amp;" x "&amp;F55,F55&amp;" reps"),IF(IF(N(H55)=0,0,IF(N(G55)&gt;0,G55*(1+H55/30),H55))=X55,IF(N(G55)&gt;0,G55&amp;" x "&amp;H55,H55&amp;" reps"),IF(IF(N(J55)=0,0,IF(N(I55)&gt;0,I55*(1+J55/30),J55))=X55,IF(N(I55)&gt;0,I55&amp;" x "&amp;J55,J55&amp;" reps"),IF(IF(N(L55)=0,0,IF(N(K55)&gt;0,K55*(1+L55/30),L55))=X55,IF(N(K55)&gt;0,K55&amp;" x "&amp;L55,L55&amp;" reps"),IF(IF(N(N55)=0,0,IF(N(M55)&gt;0,M55*(1+N55/30),N55))=X55,IF(N(M55)&gt;0,M55&amp;" x "&amp;N55,N55&amp;" reps"),""))))))</f>
        <v/>
      </c>
      <c r="R55" s="20">
        <f>IF(N(X55)=0,"",ROUND(X55,1))</f>
        <v/>
      </c>
      <c r="S55" s="18">
        <f>IF(N(X55)=0,"",IF(AND(COUNTIFS(Log!$D$6:$D$1505,D55,Log!$B$6:$B$1505,"&lt;"&amp;B55)&gt;0,COUNTIFS(Log!$D$6:$D$1505,D55,Log!$B$6:$B$1505,"&lt;"&amp;B55,Log!$X$6:$X$1505,"&gt;="&amp;X55)=0),"New best",""))</f>
        <v/>
      </c>
      <c r="T55" s="26" t="n"/>
      <c r="U55" s="1">
        <f>IF(D55="","",IFERROR(INDEX(Exercises!$C$6:$C$105,MATCH(D55,Exercises!$B$6:$B$105,0)),"Other"))</f>
        <v/>
      </c>
      <c r="V55">
        <f>IF(B55="","",IF(COUNTIF($B$6:B55,B55)=1,1,0))</f>
        <v/>
      </c>
      <c r="W55">
        <f>IF(B55="","",B55-WEEKDAY(B55,3))</f>
        <v/>
      </c>
      <c r="X55">
        <f>IF(D55="","",MAX(IF(N(F55)=0,0,IF(N(E55)&gt;0,E55*(1+F55/30),F55)),IF(N(H55)=0,0,IF(N(G55)&gt;0,G55*(1+H55/30),H55)),IF(N(J55)=0,0,IF(N(I55)&gt;0,I55*(1+J55/30),J55)),IF(N(L55)=0,0,IF(N(K55)&gt;0,K55*(1+L55/30),L55)),IF(N(N55)=0,0,IF(N(M55)&gt;0,M55*(1+N55/30),N55))))</f>
        <v/>
      </c>
      <c r="Y55">
        <f>IF(N(X55)=0,"",X55+ROW()/1000000000)</f>
        <v/>
      </c>
      <c r="Z55">
        <f>IF(Y55="","",IF(COUNTIFS(Log!$D$6:$D$1505,D55,Log!$Y$6:$Y$1505,"&gt;"&amp;Y55)=0,1,0))</f>
        <v/>
      </c>
      <c r="AA55">
        <f>IF(OR(B55="",D55=""),"",B55+ROW()/10000000)</f>
        <v/>
      </c>
      <c r="AB55">
        <f>IF(AA55="","",IF(COUNTIFS(Log!$D$6:$D$1505,D55,Log!$AA$6:$AA$1505,"&gt;"&amp;AA55)=0,1,0))</f>
        <v/>
      </c>
      <c r="AC55">
        <f>IF(S55="New best",AA55,"")</f>
        <v/>
      </c>
      <c r="AD55">
        <f>ROW()</f>
        <v/>
      </c>
    </row>
    <row r="56">
      <c r="A56" s="1" t="n"/>
      <c r="B56" s="21" t="n">
        <v>46224</v>
      </c>
      <c r="C56" s="22" t="inlineStr">
        <is>
          <t>Pull</t>
        </is>
      </c>
      <c r="D56" s="23" t="inlineStr">
        <is>
          <t>Pull-up</t>
        </is>
      </c>
      <c r="E56" s="24" t="n"/>
      <c r="F56" s="24" t="n">
        <v>6</v>
      </c>
      <c r="G56" s="24" t="n"/>
      <c r="H56" s="24" t="n">
        <v>5</v>
      </c>
      <c r="I56" s="24" t="n"/>
      <c r="J56" s="24" t="n">
        <v>4</v>
      </c>
      <c r="K56" s="24" t="n"/>
      <c r="L56" s="24" t="n"/>
      <c r="M56" s="24" t="n"/>
      <c r="N56" s="24" t="n"/>
      <c r="O56" s="15">
        <f>IF(D56="","",COUNT(F56,H56,J56,L56,N56))</f>
        <v/>
      </c>
      <c r="P56" s="25">
        <f>IF(D56="","",N(E56)*N(F56)+N(G56)*N(H56)+N(I56)*N(J56)+N(K56)*N(L56)+N(M56)*N(N56))</f>
        <v/>
      </c>
      <c r="Q56" s="18">
        <f>IF(N(X56)=0,"",IF(IF(N(F56)=0,0,IF(N(E56)&gt;0,E56*(1+F56/30),F56))=X56,IF(N(E56)&gt;0,E56&amp;" x "&amp;F56,F56&amp;" reps"),IF(IF(N(H56)=0,0,IF(N(G56)&gt;0,G56*(1+H56/30),H56))=X56,IF(N(G56)&gt;0,G56&amp;" x "&amp;H56,H56&amp;" reps"),IF(IF(N(J56)=0,0,IF(N(I56)&gt;0,I56*(1+J56/30),J56))=X56,IF(N(I56)&gt;0,I56&amp;" x "&amp;J56,J56&amp;" reps"),IF(IF(N(L56)=0,0,IF(N(K56)&gt;0,K56*(1+L56/30),L56))=X56,IF(N(K56)&gt;0,K56&amp;" x "&amp;L56,L56&amp;" reps"),IF(IF(N(N56)=0,0,IF(N(M56)&gt;0,M56*(1+N56/30),N56))=X56,IF(N(M56)&gt;0,M56&amp;" x "&amp;N56,N56&amp;" reps"),""))))))</f>
        <v/>
      </c>
      <c r="R56" s="20">
        <f>IF(N(X56)=0,"",ROUND(X56,1))</f>
        <v/>
      </c>
      <c r="S56" s="18">
        <f>IF(N(X56)=0,"",IF(AND(COUNTIFS(Log!$D$6:$D$1505,D56,Log!$B$6:$B$1505,"&lt;"&amp;B56)&gt;0,COUNTIFS(Log!$D$6:$D$1505,D56,Log!$B$6:$B$1505,"&lt;"&amp;B56,Log!$X$6:$X$1505,"&gt;="&amp;X56)=0),"New best",""))</f>
        <v/>
      </c>
      <c r="T56" s="26" t="n"/>
      <c r="U56" s="1">
        <f>IF(D56="","",IFERROR(INDEX(Exercises!$C$6:$C$105,MATCH(D56,Exercises!$B$6:$B$105,0)),"Other"))</f>
        <v/>
      </c>
      <c r="V56">
        <f>IF(B56="","",IF(COUNTIF($B$6:B56,B56)=1,1,0))</f>
        <v/>
      </c>
      <c r="W56">
        <f>IF(B56="","",B56-WEEKDAY(B56,3))</f>
        <v/>
      </c>
      <c r="X56">
        <f>IF(D56="","",MAX(IF(N(F56)=0,0,IF(N(E56)&gt;0,E56*(1+F56/30),F56)),IF(N(H56)=0,0,IF(N(G56)&gt;0,G56*(1+H56/30),H56)),IF(N(J56)=0,0,IF(N(I56)&gt;0,I56*(1+J56/30),J56)),IF(N(L56)=0,0,IF(N(K56)&gt;0,K56*(1+L56/30),L56)),IF(N(N56)=0,0,IF(N(M56)&gt;0,M56*(1+N56/30),N56))))</f>
        <v/>
      </c>
      <c r="Y56">
        <f>IF(N(X56)=0,"",X56+ROW()/1000000000)</f>
        <v/>
      </c>
      <c r="Z56">
        <f>IF(Y56="","",IF(COUNTIFS(Log!$D$6:$D$1505,D56,Log!$Y$6:$Y$1505,"&gt;"&amp;Y56)=0,1,0))</f>
        <v/>
      </c>
      <c r="AA56">
        <f>IF(OR(B56="",D56=""),"",B56+ROW()/10000000)</f>
        <v/>
      </c>
      <c r="AB56">
        <f>IF(AA56="","",IF(COUNTIFS(Log!$D$6:$D$1505,D56,Log!$AA$6:$AA$1505,"&gt;"&amp;AA56)=0,1,0))</f>
        <v/>
      </c>
      <c r="AC56">
        <f>IF(S56="New best",AA56,"")</f>
        <v/>
      </c>
      <c r="AD56">
        <f>ROW()</f>
        <v/>
      </c>
    </row>
    <row r="57">
      <c r="A57" s="1" t="n"/>
      <c r="B57" s="21" t="n">
        <v>46224</v>
      </c>
      <c r="C57" s="22" t="inlineStr">
        <is>
          <t>Pull</t>
        </is>
      </c>
      <c r="D57" s="23" t="inlineStr">
        <is>
          <t>Barbell row</t>
        </is>
      </c>
      <c r="E57" s="24" t="n">
        <v>115</v>
      </c>
      <c r="F57" s="24" t="n">
        <v>10</v>
      </c>
      <c r="G57" s="24" t="n">
        <v>115</v>
      </c>
      <c r="H57" s="24" t="n">
        <v>8</v>
      </c>
      <c r="I57" s="24" t="n">
        <v>115</v>
      </c>
      <c r="J57" s="24" t="n">
        <v>8</v>
      </c>
      <c r="K57" s="24" t="n"/>
      <c r="L57" s="24" t="n"/>
      <c r="M57" s="24" t="n"/>
      <c r="N57" s="24" t="n"/>
      <c r="O57" s="15">
        <f>IF(D57="","",COUNT(F57,H57,J57,L57,N57))</f>
        <v/>
      </c>
      <c r="P57" s="25">
        <f>IF(D57="","",N(E57)*N(F57)+N(G57)*N(H57)+N(I57)*N(J57)+N(K57)*N(L57)+N(M57)*N(N57))</f>
        <v/>
      </c>
      <c r="Q57" s="18">
        <f>IF(N(X57)=0,"",IF(IF(N(F57)=0,0,IF(N(E57)&gt;0,E57*(1+F57/30),F57))=X57,IF(N(E57)&gt;0,E57&amp;" x "&amp;F57,F57&amp;" reps"),IF(IF(N(H57)=0,0,IF(N(G57)&gt;0,G57*(1+H57/30),H57))=X57,IF(N(G57)&gt;0,G57&amp;" x "&amp;H57,H57&amp;" reps"),IF(IF(N(J57)=0,0,IF(N(I57)&gt;0,I57*(1+J57/30),J57))=X57,IF(N(I57)&gt;0,I57&amp;" x "&amp;J57,J57&amp;" reps"),IF(IF(N(L57)=0,0,IF(N(K57)&gt;0,K57*(1+L57/30),L57))=X57,IF(N(K57)&gt;0,K57&amp;" x "&amp;L57,L57&amp;" reps"),IF(IF(N(N57)=0,0,IF(N(M57)&gt;0,M57*(1+N57/30),N57))=X57,IF(N(M57)&gt;0,M57&amp;" x "&amp;N57,N57&amp;" reps"),""))))))</f>
        <v/>
      </c>
      <c r="R57" s="20">
        <f>IF(N(X57)=0,"",ROUND(X57,1))</f>
        <v/>
      </c>
      <c r="S57" s="18">
        <f>IF(N(X57)=0,"",IF(AND(COUNTIFS(Log!$D$6:$D$1505,D57,Log!$B$6:$B$1505,"&lt;"&amp;B57)&gt;0,COUNTIFS(Log!$D$6:$D$1505,D57,Log!$B$6:$B$1505,"&lt;"&amp;B57,Log!$X$6:$X$1505,"&gt;="&amp;X57)=0),"New best",""))</f>
        <v/>
      </c>
      <c r="T57" s="26" t="n"/>
      <c r="U57" s="1">
        <f>IF(D57="","",IFERROR(INDEX(Exercises!$C$6:$C$105,MATCH(D57,Exercises!$B$6:$B$105,0)),"Other"))</f>
        <v/>
      </c>
      <c r="V57">
        <f>IF(B57="","",IF(COUNTIF($B$6:B57,B57)=1,1,0))</f>
        <v/>
      </c>
      <c r="W57">
        <f>IF(B57="","",B57-WEEKDAY(B57,3))</f>
        <v/>
      </c>
      <c r="X57">
        <f>IF(D57="","",MAX(IF(N(F57)=0,0,IF(N(E57)&gt;0,E57*(1+F57/30),F57)),IF(N(H57)=0,0,IF(N(G57)&gt;0,G57*(1+H57/30),H57)),IF(N(J57)=0,0,IF(N(I57)&gt;0,I57*(1+J57/30),J57)),IF(N(L57)=0,0,IF(N(K57)&gt;0,K57*(1+L57/30),L57)),IF(N(N57)=0,0,IF(N(M57)&gt;0,M57*(1+N57/30),N57))))</f>
        <v/>
      </c>
      <c r="Y57">
        <f>IF(N(X57)=0,"",X57+ROW()/1000000000)</f>
        <v/>
      </c>
      <c r="Z57">
        <f>IF(Y57="","",IF(COUNTIFS(Log!$D$6:$D$1505,D57,Log!$Y$6:$Y$1505,"&gt;"&amp;Y57)=0,1,0))</f>
        <v/>
      </c>
      <c r="AA57">
        <f>IF(OR(B57="",D57=""),"",B57+ROW()/10000000)</f>
        <v/>
      </c>
      <c r="AB57">
        <f>IF(AA57="","",IF(COUNTIFS(Log!$D$6:$D$1505,D57,Log!$AA$6:$AA$1505,"&gt;"&amp;AA57)=0,1,0))</f>
        <v/>
      </c>
      <c r="AC57">
        <f>IF(S57="New best",AA57,"")</f>
        <v/>
      </c>
      <c r="AD57">
        <f>ROW()</f>
        <v/>
      </c>
    </row>
    <row r="58">
      <c r="A58" s="1" t="n"/>
      <c r="B58" s="21" t="n">
        <v>46224</v>
      </c>
      <c r="C58" s="22" t="inlineStr">
        <is>
          <t>Pull</t>
        </is>
      </c>
      <c r="D58" s="23" t="inlineStr">
        <is>
          <t>Lat pulldown</t>
        </is>
      </c>
      <c r="E58" s="24" t="n">
        <v>100</v>
      </c>
      <c r="F58" s="24" t="n">
        <v>11</v>
      </c>
      <c r="G58" s="24" t="n">
        <v>100</v>
      </c>
      <c r="H58" s="24" t="n">
        <v>11</v>
      </c>
      <c r="I58" s="24" t="n">
        <v>100</v>
      </c>
      <c r="J58" s="24" t="n">
        <v>10</v>
      </c>
      <c r="K58" s="24" t="n"/>
      <c r="L58" s="24" t="n"/>
      <c r="M58" s="24" t="n"/>
      <c r="N58" s="24" t="n"/>
      <c r="O58" s="15">
        <f>IF(D58="","",COUNT(F58,H58,J58,L58,N58))</f>
        <v/>
      </c>
      <c r="P58" s="25">
        <f>IF(D58="","",N(E58)*N(F58)+N(G58)*N(H58)+N(I58)*N(J58)+N(K58)*N(L58)+N(M58)*N(N58))</f>
        <v/>
      </c>
      <c r="Q58" s="18">
        <f>IF(N(X58)=0,"",IF(IF(N(F58)=0,0,IF(N(E58)&gt;0,E58*(1+F58/30),F58))=X58,IF(N(E58)&gt;0,E58&amp;" x "&amp;F58,F58&amp;" reps"),IF(IF(N(H58)=0,0,IF(N(G58)&gt;0,G58*(1+H58/30),H58))=X58,IF(N(G58)&gt;0,G58&amp;" x "&amp;H58,H58&amp;" reps"),IF(IF(N(J58)=0,0,IF(N(I58)&gt;0,I58*(1+J58/30),J58))=X58,IF(N(I58)&gt;0,I58&amp;" x "&amp;J58,J58&amp;" reps"),IF(IF(N(L58)=0,0,IF(N(K58)&gt;0,K58*(1+L58/30),L58))=X58,IF(N(K58)&gt;0,K58&amp;" x "&amp;L58,L58&amp;" reps"),IF(IF(N(N58)=0,0,IF(N(M58)&gt;0,M58*(1+N58/30),N58))=X58,IF(N(M58)&gt;0,M58&amp;" x "&amp;N58,N58&amp;" reps"),""))))))</f>
        <v/>
      </c>
      <c r="R58" s="20">
        <f>IF(N(X58)=0,"",ROUND(X58,1))</f>
        <v/>
      </c>
      <c r="S58" s="18">
        <f>IF(N(X58)=0,"",IF(AND(COUNTIFS(Log!$D$6:$D$1505,D58,Log!$B$6:$B$1505,"&lt;"&amp;B58)&gt;0,COUNTIFS(Log!$D$6:$D$1505,D58,Log!$B$6:$B$1505,"&lt;"&amp;B58,Log!$X$6:$X$1505,"&gt;="&amp;X58)=0),"New best",""))</f>
        <v/>
      </c>
      <c r="T58" s="26" t="n"/>
      <c r="U58" s="1">
        <f>IF(D58="","",IFERROR(INDEX(Exercises!$C$6:$C$105,MATCH(D58,Exercises!$B$6:$B$105,0)),"Other"))</f>
        <v/>
      </c>
      <c r="V58">
        <f>IF(B58="","",IF(COUNTIF($B$6:B58,B58)=1,1,0))</f>
        <v/>
      </c>
      <c r="W58">
        <f>IF(B58="","",B58-WEEKDAY(B58,3))</f>
        <v/>
      </c>
      <c r="X58">
        <f>IF(D58="","",MAX(IF(N(F58)=0,0,IF(N(E58)&gt;0,E58*(1+F58/30),F58)),IF(N(H58)=0,0,IF(N(G58)&gt;0,G58*(1+H58/30),H58)),IF(N(J58)=0,0,IF(N(I58)&gt;0,I58*(1+J58/30),J58)),IF(N(L58)=0,0,IF(N(K58)&gt;0,K58*(1+L58/30),L58)),IF(N(N58)=0,0,IF(N(M58)&gt;0,M58*(1+N58/30),N58))))</f>
        <v/>
      </c>
      <c r="Y58">
        <f>IF(N(X58)=0,"",X58+ROW()/1000000000)</f>
        <v/>
      </c>
      <c r="Z58">
        <f>IF(Y58="","",IF(COUNTIFS(Log!$D$6:$D$1505,D58,Log!$Y$6:$Y$1505,"&gt;"&amp;Y58)=0,1,0))</f>
        <v/>
      </c>
      <c r="AA58">
        <f>IF(OR(B58="",D58=""),"",B58+ROW()/10000000)</f>
        <v/>
      </c>
      <c r="AB58">
        <f>IF(AA58="","",IF(COUNTIFS(Log!$D$6:$D$1505,D58,Log!$AA$6:$AA$1505,"&gt;"&amp;AA58)=0,1,0))</f>
        <v/>
      </c>
      <c r="AC58">
        <f>IF(S58="New best",AA58,"")</f>
        <v/>
      </c>
      <c r="AD58">
        <f>ROW()</f>
        <v/>
      </c>
    </row>
    <row r="59">
      <c r="A59" s="1" t="n"/>
      <c r="B59" s="21" t="n">
        <v>46224</v>
      </c>
      <c r="C59" s="22" t="inlineStr">
        <is>
          <t>Pull</t>
        </is>
      </c>
      <c r="D59" s="23" t="inlineStr">
        <is>
          <t>Biceps curl</t>
        </is>
      </c>
      <c r="E59" s="24" t="n">
        <v>25</v>
      </c>
      <c r="F59" s="24" t="n">
        <v>11</v>
      </c>
      <c r="G59" s="24" t="n">
        <v>25</v>
      </c>
      <c r="H59" s="24" t="n">
        <v>11</v>
      </c>
      <c r="I59" s="24" t="n">
        <v>25</v>
      </c>
      <c r="J59" s="24" t="n">
        <v>10</v>
      </c>
      <c r="K59" s="24" t="n"/>
      <c r="L59" s="24" t="n"/>
      <c r="M59" s="24" t="n"/>
      <c r="N59" s="24" t="n"/>
      <c r="O59" s="15">
        <f>IF(D59="","",COUNT(F59,H59,J59,L59,N59))</f>
        <v/>
      </c>
      <c r="P59" s="25">
        <f>IF(D59="","",N(E59)*N(F59)+N(G59)*N(H59)+N(I59)*N(J59)+N(K59)*N(L59)+N(M59)*N(N59))</f>
        <v/>
      </c>
      <c r="Q59" s="18">
        <f>IF(N(X59)=0,"",IF(IF(N(F59)=0,0,IF(N(E59)&gt;0,E59*(1+F59/30),F59))=X59,IF(N(E59)&gt;0,E59&amp;" x "&amp;F59,F59&amp;" reps"),IF(IF(N(H59)=0,0,IF(N(G59)&gt;0,G59*(1+H59/30),H59))=X59,IF(N(G59)&gt;0,G59&amp;" x "&amp;H59,H59&amp;" reps"),IF(IF(N(J59)=0,0,IF(N(I59)&gt;0,I59*(1+J59/30),J59))=X59,IF(N(I59)&gt;0,I59&amp;" x "&amp;J59,J59&amp;" reps"),IF(IF(N(L59)=0,0,IF(N(K59)&gt;0,K59*(1+L59/30),L59))=X59,IF(N(K59)&gt;0,K59&amp;" x "&amp;L59,L59&amp;" reps"),IF(IF(N(N59)=0,0,IF(N(M59)&gt;0,M59*(1+N59/30),N59))=X59,IF(N(M59)&gt;0,M59&amp;" x "&amp;N59,N59&amp;" reps"),""))))))</f>
        <v/>
      </c>
      <c r="R59" s="20">
        <f>IF(N(X59)=0,"",ROUND(X59,1))</f>
        <v/>
      </c>
      <c r="S59" s="18">
        <f>IF(N(X59)=0,"",IF(AND(COUNTIFS(Log!$D$6:$D$1505,D59,Log!$B$6:$B$1505,"&lt;"&amp;B59)&gt;0,COUNTIFS(Log!$D$6:$D$1505,D59,Log!$B$6:$B$1505,"&lt;"&amp;B59,Log!$X$6:$X$1505,"&gt;="&amp;X59)=0),"New best",""))</f>
        <v/>
      </c>
      <c r="T59" s="26" t="inlineStr">
        <is>
          <t>Easy, go up next time</t>
        </is>
      </c>
      <c r="U59" s="1">
        <f>IF(D59="","",IFERROR(INDEX(Exercises!$C$6:$C$105,MATCH(D59,Exercises!$B$6:$B$105,0)),"Other"))</f>
        <v/>
      </c>
      <c r="V59">
        <f>IF(B59="","",IF(COUNTIF($B$6:B59,B59)=1,1,0))</f>
        <v/>
      </c>
      <c r="W59">
        <f>IF(B59="","",B59-WEEKDAY(B59,3))</f>
        <v/>
      </c>
      <c r="X59">
        <f>IF(D59="","",MAX(IF(N(F59)=0,0,IF(N(E59)&gt;0,E59*(1+F59/30),F59)),IF(N(H59)=0,0,IF(N(G59)&gt;0,G59*(1+H59/30),H59)),IF(N(J59)=0,0,IF(N(I59)&gt;0,I59*(1+J59/30),J59)),IF(N(L59)=0,0,IF(N(K59)&gt;0,K59*(1+L59/30),L59)),IF(N(N59)=0,0,IF(N(M59)&gt;0,M59*(1+N59/30),N59))))</f>
        <v/>
      </c>
      <c r="Y59">
        <f>IF(N(X59)=0,"",X59+ROW()/1000000000)</f>
        <v/>
      </c>
      <c r="Z59">
        <f>IF(Y59="","",IF(COUNTIFS(Log!$D$6:$D$1505,D59,Log!$Y$6:$Y$1505,"&gt;"&amp;Y59)=0,1,0))</f>
        <v/>
      </c>
      <c r="AA59">
        <f>IF(OR(B59="",D59=""),"",B59+ROW()/10000000)</f>
        <v/>
      </c>
      <c r="AB59">
        <f>IF(AA59="","",IF(COUNTIFS(Log!$D$6:$D$1505,D59,Log!$AA$6:$AA$1505,"&gt;"&amp;AA59)=0,1,0))</f>
        <v/>
      </c>
      <c r="AC59">
        <f>IF(S59="New best",AA59,"")</f>
        <v/>
      </c>
      <c r="AD59">
        <f>ROW()</f>
        <v/>
      </c>
    </row>
    <row r="60">
      <c r="A60" s="1" t="n"/>
      <c r="B60" s="21" t="n">
        <v>46225</v>
      </c>
      <c r="C60" s="22" t="inlineStr">
        <is>
          <t>Legs</t>
        </is>
      </c>
      <c r="D60" s="23" t="inlineStr">
        <is>
          <t>Squat</t>
        </is>
      </c>
      <c r="E60" s="24" t="n">
        <v>185</v>
      </c>
      <c r="F60" s="24" t="n">
        <v>5</v>
      </c>
      <c r="G60" s="24" t="n">
        <v>185</v>
      </c>
      <c r="H60" s="24" t="n">
        <v>5</v>
      </c>
      <c r="I60" s="24" t="n">
        <v>185</v>
      </c>
      <c r="J60" s="24" t="n">
        <v>5</v>
      </c>
      <c r="K60" s="24" t="n">
        <v>185</v>
      </c>
      <c r="L60" s="24" t="n">
        <v>5</v>
      </c>
      <c r="M60" s="24" t="n"/>
      <c r="N60" s="24" t="n"/>
      <c r="O60" s="15">
        <f>IF(D60="","",COUNT(F60,H60,J60,L60,N60))</f>
        <v/>
      </c>
      <c r="P60" s="25">
        <f>IF(D60="","",N(E60)*N(F60)+N(G60)*N(H60)+N(I60)*N(J60)+N(K60)*N(L60)+N(M60)*N(N60))</f>
        <v/>
      </c>
      <c r="Q60" s="18">
        <f>IF(N(X60)=0,"",IF(IF(N(F60)=0,0,IF(N(E60)&gt;0,E60*(1+F60/30),F60))=X60,IF(N(E60)&gt;0,E60&amp;" x "&amp;F60,F60&amp;" reps"),IF(IF(N(H60)=0,0,IF(N(G60)&gt;0,G60*(1+H60/30),H60))=X60,IF(N(G60)&gt;0,G60&amp;" x "&amp;H60,H60&amp;" reps"),IF(IF(N(J60)=0,0,IF(N(I60)&gt;0,I60*(1+J60/30),J60))=X60,IF(N(I60)&gt;0,I60&amp;" x "&amp;J60,J60&amp;" reps"),IF(IF(N(L60)=0,0,IF(N(K60)&gt;0,K60*(1+L60/30),L60))=X60,IF(N(K60)&gt;0,K60&amp;" x "&amp;L60,L60&amp;" reps"),IF(IF(N(N60)=0,0,IF(N(M60)&gt;0,M60*(1+N60/30),N60))=X60,IF(N(M60)&gt;0,M60&amp;" x "&amp;N60,N60&amp;" reps"),""))))))</f>
        <v/>
      </c>
      <c r="R60" s="20">
        <f>IF(N(X60)=0,"",ROUND(X60,1))</f>
        <v/>
      </c>
      <c r="S60" s="18">
        <f>IF(N(X60)=0,"",IF(AND(COUNTIFS(Log!$D$6:$D$1505,D60,Log!$B$6:$B$1505,"&lt;"&amp;B60)&gt;0,COUNTIFS(Log!$D$6:$D$1505,D60,Log!$B$6:$B$1505,"&lt;"&amp;B60,Log!$X$6:$X$1505,"&gt;="&amp;X60)=0),"New best",""))</f>
        <v/>
      </c>
      <c r="T60" s="26" t="n"/>
      <c r="U60" s="1">
        <f>IF(D60="","",IFERROR(INDEX(Exercises!$C$6:$C$105,MATCH(D60,Exercises!$B$6:$B$105,0)),"Other"))</f>
        <v/>
      </c>
      <c r="V60">
        <f>IF(B60="","",IF(COUNTIF($B$6:B60,B60)=1,1,0))</f>
        <v/>
      </c>
      <c r="W60">
        <f>IF(B60="","",B60-WEEKDAY(B60,3))</f>
        <v/>
      </c>
      <c r="X60">
        <f>IF(D60="","",MAX(IF(N(F60)=0,0,IF(N(E60)&gt;0,E60*(1+F60/30),F60)),IF(N(H60)=0,0,IF(N(G60)&gt;0,G60*(1+H60/30),H60)),IF(N(J60)=0,0,IF(N(I60)&gt;0,I60*(1+J60/30),J60)),IF(N(L60)=0,0,IF(N(K60)&gt;0,K60*(1+L60/30),L60)),IF(N(N60)=0,0,IF(N(M60)&gt;0,M60*(1+N60/30),N60))))</f>
        <v/>
      </c>
      <c r="Y60">
        <f>IF(N(X60)=0,"",X60+ROW()/1000000000)</f>
        <v/>
      </c>
      <c r="Z60">
        <f>IF(Y60="","",IF(COUNTIFS(Log!$D$6:$D$1505,D60,Log!$Y$6:$Y$1505,"&gt;"&amp;Y60)=0,1,0))</f>
        <v/>
      </c>
      <c r="AA60">
        <f>IF(OR(B60="",D60=""),"",B60+ROW()/10000000)</f>
        <v/>
      </c>
      <c r="AB60">
        <f>IF(AA60="","",IF(COUNTIFS(Log!$D$6:$D$1505,D60,Log!$AA$6:$AA$1505,"&gt;"&amp;AA60)=0,1,0))</f>
        <v/>
      </c>
      <c r="AC60">
        <f>IF(S60="New best",AA60,"")</f>
        <v/>
      </c>
      <c r="AD60">
        <f>ROW()</f>
        <v/>
      </c>
    </row>
    <row r="61">
      <c r="A61" s="1" t="n"/>
      <c r="B61" s="21" t="n">
        <v>46225</v>
      </c>
      <c r="C61" s="22" t="inlineStr">
        <is>
          <t>Legs</t>
        </is>
      </c>
      <c r="D61" s="23" t="inlineStr">
        <is>
          <t>Romanian deadlift</t>
        </is>
      </c>
      <c r="E61" s="24" t="n">
        <v>155</v>
      </c>
      <c r="F61" s="24" t="n">
        <v>9</v>
      </c>
      <c r="G61" s="24" t="n">
        <v>155</v>
      </c>
      <c r="H61" s="24" t="n">
        <v>8</v>
      </c>
      <c r="I61" s="24" t="n">
        <v>155</v>
      </c>
      <c r="J61" s="24" t="n">
        <v>8</v>
      </c>
      <c r="K61" s="24" t="n"/>
      <c r="L61" s="24" t="n"/>
      <c r="M61" s="24" t="n"/>
      <c r="N61" s="24" t="n"/>
      <c r="O61" s="15">
        <f>IF(D61="","",COUNT(F61,H61,J61,L61,N61))</f>
        <v/>
      </c>
      <c r="P61" s="25">
        <f>IF(D61="","",N(E61)*N(F61)+N(G61)*N(H61)+N(I61)*N(J61)+N(K61)*N(L61)+N(M61)*N(N61))</f>
        <v/>
      </c>
      <c r="Q61" s="18">
        <f>IF(N(X61)=0,"",IF(IF(N(F61)=0,0,IF(N(E61)&gt;0,E61*(1+F61/30),F61))=X61,IF(N(E61)&gt;0,E61&amp;" x "&amp;F61,F61&amp;" reps"),IF(IF(N(H61)=0,0,IF(N(G61)&gt;0,G61*(1+H61/30),H61))=X61,IF(N(G61)&gt;0,G61&amp;" x "&amp;H61,H61&amp;" reps"),IF(IF(N(J61)=0,0,IF(N(I61)&gt;0,I61*(1+J61/30),J61))=X61,IF(N(I61)&gt;0,I61&amp;" x "&amp;J61,J61&amp;" reps"),IF(IF(N(L61)=0,0,IF(N(K61)&gt;0,K61*(1+L61/30),L61))=X61,IF(N(K61)&gt;0,K61&amp;" x "&amp;L61,L61&amp;" reps"),IF(IF(N(N61)=0,0,IF(N(M61)&gt;0,M61*(1+N61/30),N61))=X61,IF(N(M61)&gt;0,M61&amp;" x "&amp;N61,N61&amp;" reps"),""))))))</f>
        <v/>
      </c>
      <c r="R61" s="20">
        <f>IF(N(X61)=0,"",ROUND(X61,1))</f>
        <v/>
      </c>
      <c r="S61" s="18">
        <f>IF(N(X61)=0,"",IF(AND(COUNTIFS(Log!$D$6:$D$1505,D61,Log!$B$6:$B$1505,"&lt;"&amp;B61)&gt;0,COUNTIFS(Log!$D$6:$D$1505,D61,Log!$B$6:$B$1505,"&lt;"&amp;B61,Log!$X$6:$X$1505,"&gt;="&amp;X61)=0),"New best",""))</f>
        <v/>
      </c>
      <c r="T61" s="26" t="n"/>
      <c r="U61" s="1">
        <f>IF(D61="","",IFERROR(INDEX(Exercises!$C$6:$C$105,MATCH(D61,Exercises!$B$6:$B$105,0)),"Other"))</f>
        <v/>
      </c>
      <c r="V61">
        <f>IF(B61="","",IF(COUNTIF($B$6:B61,B61)=1,1,0))</f>
        <v/>
      </c>
      <c r="W61">
        <f>IF(B61="","",B61-WEEKDAY(B61,3))</f>
        <v/>
      </c>
      <c r="X61">
        <f>IF(D61="","",MAX(IF(N(F61)=0,0,IF(N(E61)&gt;0,E61*(1+F61/30),F61)),IF(N(H61)=0,0,IF(N(G61)&gt;0,G61*(1+H61/30),H61)),IF(N(J61)=0,0,IF(N(I61)&gt;0,I61*(1+J61/30),J61)),IF(N(L61)=0,0,IF(N(K61)&gt;0,K61*(1+L61/30),L61)),IF(N(N61)=0,0,IF(N(M61)&gt;0,M61*(1+N61/30),N61))))</f>
        <v/>
      </c>
      <c r="Y61">
        <f>IF(N(X61)=0,"",X61+ROW()/1000000000)</f>
        <v/>
      </c>
      <c r="Z61">
        <f>IF(Y61="","",IF(COUNTIFS(Log!$D$6:$D$1505,D61,Log!$Y$6:$Y$1505,"&gt;"&amp;Y61)=0,1,0))</f>
        <v/>
      </c>
      <c r="AA61">
        <f>IF(OR(B61="",D61=""),"",B61+ROW()/10000000)</f>
        <v/>
      </c>
      <c r="AB61">
        <f>IF(AA61="","",IF(COUNTIFS(Log!$D$6:$D$1505,D61,Log!$AA$6:$AA$1505,"&gt;"&amp;AA61)=0,1,0))</f>
        <v/>
      </c>
      <c r="AC61">
        <f>IF(S61="New best",AA61,"")</f>
        <v/>
      </c>
      <c r="AD61">
        <f>ROW()</f>
        <v/>
      </c>
    </row>
    <row r="62">
      <c r="A62" s="1" t="n"/>
      <c r="B62" s="21" t="n">
        <v>46225</v>
      </c>
      <c r="C62" s="22" t="inlineStr">
        <is>
          <t>Legs</t>
        </is>
      </c>
      <c r="D62" s="23" t="inlineStr">
        <is>
          <t>Leg press</t>
        </is>
      </c>
      <c r="E62" s="24" t="n">
        <v>270</v>
      </c>
      <c r="F62" s="24" t="n">
        <v>11</v>
      </c>
      <c r="G62" s="24" t="n">
        <v>270</v>
      </c>
      <c r="H62" s="24" t="n">
        <v>10</v>
      </c>
      <c r="I62" s="24" t="n">
        <v>270</v>
      </c>
      <c r="J62" s="24" t="n">
        <v>10</v>
      </c>
      <c r="K62" s="24" t="n"/>
      <c r="L62" s="24" t="n"/>
      <c r="M62" s="24" t="n"/>
      <c r="N62" s="24" t="n"/>
      <c r="O62" s="15">
        <f>IF(D62="","",COUNT(F62,H62,J62,L62,N62))</f>
        <v/>
      </c>
      <c r="P62" s="25">
        <f>IF(D62="","",N(E62)*N(F62)+N(G62)*N(H62)+N(I62)*N(J62)+N(K62)*N(L62)+N(M62)*N(N62))</f>
        <v/>
      </c>
      <c r="Q62" s="18">
        <f>IF(N(X62)=0,"",IF(IF(N(F62)=0,0,IF(N(E62)&gt;0,E62*(1+F62/30),F62))=X62,IF(N(E62)&gt;0,E62&amp;" x "&amp;F62,F62&amp;" reps"),IF(IF(N(H62)=0,0,IF(N(G62)&gt;0,G62*(1+H62/30),H62))=X62,IF(N(G62)&gt;0,G62&amp;" x "&amp;H62,H62&amp;" reps"),IF(IF(N(J62)=0,0,IF(N(I62)&gt;0,I62*(1+J62/30),J62))=X62,IF(N(I62)&gt;0,I62&amp;" x "&amp;J62,J62&amp;" reps"),IF(IF(N(L62)=0,0,IF(N(K62)&gt;0,K62*(1+L62/30),L62))=X62,IF(N(K62)&gt;0,K62&amp;" x "&amp;L62,L62&amp;" reps"),IF(IF(N(N62)=0,0,IF(N(M62)&gt;0,M62*(1+N62/30),N62))=X62,IF(N(M62)&gt;0,M62&amp;" x "&amp;N62,N62&amp;" reps"),""))))))</f>
        <v/>
      </c>
      <c r="R62" s="20">
        <f>IF(N(X62)=0,"",ROUND(X62,1))</f>
        <v/>
      </c>
      <c r="S62" s="18">
        <f>IF(N(X62)=0,"",IF(AND(COUNTIFS(Log!$D$6:$D$1505,D62,Log!$B$6:$B$1505,"&lt;"&amp;B62)&gt;0,COUNTIFS(Log!$D$6:$D$1505,D62,Log!$B$6:$B$1505,"&lt;"&amp;B62,Log!$X$6:$X$1505,"&gt;="&amp;X62)=0),"New best",""))</f>
        <v/>
      </c>
      <c r="T62" s="26" t="n"/>
      <c r="U62" s="1">
        <f>IF(D62="","",IFERROR(INDEX(Exercises!$C$6:$C$105,MATCH(D62,Exercises!$B$6:$B$105,0)),"Other"))</f>
        <v/>
      </c>
      <c r="V62">
        <f>IF(B62="","",IF(COUNTIF($B$6:B62,B62)=1,1,0))</f>
        <v/>
      </c>
      <c r="W62">
        <f>IF(B62="","",B62-WEEKDAY(B62,3))</f>
        <v/>
      </c>
      <c r="X62">
        <f>IF(D62="","",MAX(IF(N(F62)=0,0,IF(N(E62)&gt;0,E62*(1+F62/30),F62)),IF(N(H62)=0,0,IF(N(G62)&gt;0,G62*(1+H62/30),H62)),IF(N(J62)=0,0,IF(N(I62)&gt;0,I62*(1+J62/30),J62)),IF(N(L62)=0,0,IF(N(K62)&gt;0,K62*(1+L62/30),L62)),IF(N(N62)=0,0,IF(N(M62)&gt;0,M62*(1+N62/30),N62))))</f>
        <v/>
      </c>
      <c r="Y62">
        <f>IF(N(X62)=0,"",X62+ROW()/1000000000)</f>
        <v/>
      </c>
      <c r="Z62">
        <f>IF(Y62="","",IF(COUNTIFS(Log!$D$6:$D$1505,D62,Log!$Y$6:$Y$1505,"&gt;"&amp;Y62)=0,1,0))</f>
        <v/>
      </c>
      <c r="AA62">
        <f>IF(OR(B62="",D62=""),"",B62+ROW()/10000000)</f>
        <v/>
      </c>
      <c r="AB62">
        <f>IF(AA62="","",IF(COUNTIFS(Log!$D$6:$D$1505,D62,Log!$AA$6:$AA$1505,"&gt;"&amp;AA62)=0,1,0))</f>
        <v/>
      </c>
      <c r="AC62">
        <f>IF(S62="New best",AA62,"")</f>
        <v/>
      </c>
      <c r="AD62">
        <f>ROW()</f>
        <v/>
      </c>
    </row>
    <row r="63">
      <c r="A63" s="1" t="n"/>
      <c r="B63" s="21" t="n">
        <v>46225</v>
      </c>
      <c r="C63" s="22" t="inlineStr">
        <is>
          <t>Legs</t>
        </is>
      </c>
      <c r="D63" s="23" t="inlineStr">
        <is>
          <t>Leg curl</t>
        </is>
      </c>
      <c r="E63" s="24" t="n">
        <v>70</v>
      </c>
      <c r="F63" s="24" t="n">
        <v>12</v>
      </c>
      <c r="G63" s="24" t="n">
        <v>70</v>
      </c>
      <c r="H63" s="24" t="n">
        <v>10</v>
      </c>
      <c r="I63" s="24" t="n">
        <v>70</v>
      </c>
      <c r="J63" s="24" t="n">
        <v>10</v>
      </c>
      <c r="K63" s="24" t="n"/>
      <c r="L63" s="24" t="n"/>
      <c r="M63" s="24" t="n"/>
      <c r="N63" s="24" t="n"/>
      <c r="O63" s="15">
        <f>IF(D63="","",COUNT(F63,H63,J63,L63,N63))</f>
        <v/>
      </c>
      <c r="P63" s="25">
        <f>IF(D63="","",N(E63)*N(F63)+N(G63)*N(H63)+N(I63)*N(J63)+N(K63)*N(L63)+N(M63)*N(N63))</f>
        <v/>
      </c>
      <c r="Q63" s="18">
        <f>IF(N(X63)=0,"",IF(IF(N(F63)=0,0,IF(N(E63)&gt;0,E63*(1+F63/30),F63))=X63,IF(N(E63)&gt;0,E63&amp;" x "&amp;F63,F63&amp;" reps"),IF(IF(N(H63)=0,0,IF(N(G63)&gt;0,G63*(1+H63/30),H63))=X63,IF(N(G63)&gt;0,G63&amp;" x "&amp;H63,H63&amp;" reps"),IF(IF(N(J63)=0,0,IF(N(I63)&gt;0,I63*(1+J63/30),J63))=X63,IF(N(I63)&gt;0,I63&amp;" x "&amp;J63,J63&amp;" reps"),IF(IF(N(L63)=0,0,IF(N(K63)&gt;0,K63*(1+L63/30),L63))=X63,IF(N(K63)&gt;0,K63&amp;" x "&amp;L63,L63&amp;" reps"),IF(IF(N(N63)=0,0,IF(N(M63)&gt;0,M63*(1+N63/30),N63))=X63,IF(N(M63)&gt;0,M63&amp;" x "&amp;N63,N63&amp;" reps"),""))))))</f>
        <v/>
      </c>
      <c r="R63" s="20">
        <f>IF(N(X63)=0,"",ROUND(X63,1))</f>
        <v/>
      </c>
      <c r="S63" s="18">
        <f>IF(N(X63)=0,"",IF(AND(COUNTIFS(Log!$D$6:$D$1505,D63,Log!$B$6:$B$1505,"&lt;"&amp;B63)&gt;0,COUNTIFS(Log!$D$6:$D$1505,D63,Log!$B$6:$B$1505,"&lt;"&amp;B63,Log!$X$6:$X$1505,"&gt;="&amp;X63)=0),"New best",""))</f>
        <v/>
      </c>
      <c r="T63" s="26" t="n"/>
      <c r="U63" s="1">
        <f>IF(D63="","",IFERROR(INDEX(Exercises!$C$6:$C$105,MATCH(D63,Exercises!$B$6:$B$105,0)),"Other"))</f>
        <v/>
      </c>
      <c r="V63">
        <f>IF(B63="","",IF(COUNTIF($B$6:B63,B63)=1,1,0))</f>
        <v/>
      </c>
      <c r="W63">
        <f>IF(B63="","",B63-WEEKDAY(B63,3))</f>
        <v/>
      </c>
      <c r="X63">
        <f>IF(D63="","",MAX(IF(N(F63)=0,0,IF(N(E63)&gt;0,E63*(1+F63/30),F63)),IF(N(H63)=0,0,IF(N(G63)&gt;0,G63*(1+H63/30),H63)),IF(N(J63)=0,0,IF(N(I63)&gt;0,I63*(1+J63/30),J63)),IF(N(L63)=0,0,IF(N(K63)&gt;0,K63*(1+L63/30),L63)),IF(N(N63)=0,0,IF(N(M63)&gt;0,M63*(1+N63/30),N63))))</f>
        <v/>
      </c>
      <c r="Y63">
        <f>IF(N(X63)=0,"",X63+ROW()/1000000000)</f>
        <v/>
      </c>
      <c r="Z63">
        <f>IF(Y63="","",IF(COUNTIFS(Log!$D$6:$D$1505,D63,Log!$Y$6:$Y$1505,"&gt;"&amp;Y63)=0,1,0))</f>
        <v/>
      </c>
      <c r="AA63">
        <f>IF(OR(B63="",D63=""),"",B63+ROW()/10000000)</f>
        <v/>
      </c>
      <c r="AB63">
        <f>IF(AA63="","",IF(COUNTIFS(Log!$D$6:$D$1505,D63,Log!$AA$6:$AA$1505,"&gt;"&amp;AA63)=0,1,0))</f>
        <v/>
      </c>
      <c r="AC63">
        <f>IF(S63="New best",AA63,"")</f>
        <v/>
      </c>
      <c r="AD63">
        <f>ROW()</f>
        <v/>
      </c>
    </row>
    <row r="64">
      <c r="A64" s="1" t="n"/>
      <c r="B64" s="21" t="n">
        <v>46225</v>
      </c>
      <c r="C64" s="22" t="inlineStr">
        <is>
          <t>Legs</t>
        </is>
      </c>
      <c r="D64" s="23" t="inlineStr">
        <is>
          <t>Calf raise</t>
        </is>
      </c>
      <c r="E64" s="24" t="n">
        <v>90</v>
      </c>
      <c r="F64" s="24" t="n">
        <v>15</v>
      </c>
      <c r="G64" s="24" t="n">
        <v>90</v>
      </c>
      <c r="H64" s="24" t="n">
        <v>13</v>
      </c>
      <c r="I64" s="24" t="n">
        <v>90</v>
      </c>
      <c r="J64" s="24" t="n">
        <v>13</v>
      </c>
      <c r="K64" s="24" t="n">
        <v>90</v>
      </c>
      <c r="L64" s="24" t="n">
        <v>12</v>
      </c>
      <c r="M64" s="24" t="n"/>
      <c r="N64" s="24" t="n"/>
      <c r="O64" s="15">
        <f>IF(D64="","",COUNT(F64,H64,J64,L64,N64))</f>
        <v/>
      </c>
      <c r="P64" s="25">
        <f>IF(D64="","",N(E64)*N(F64)+N(G64)*N(H64)+N(I64)*N(J64)+N(K64)*N(L64)+N(M64)*N(N64))</f>
        <v/>
      </c>
      <c r="Q64" s="18">
        <f>IF(N(X64)=0,"",IF(IF(N(F64)=0,0,IF(N(E64)&gt;0,E64*(1+F64/30),F64))=X64,IF(N(E64)&gt;0,E64&amp;" x "&amp;F64,F64&amp;" reps"),IF(IF(N(H64)=0,0,IF(N(G64)&gt;0,G64*(1+H64/30),H64))=X64,IF(N(G64)&gt;0,G64&amp;" x "&amp;H64,H64&amp;" reps"),IF(IF(N(J64)=0,0,IF(N(I64)&gt;0,I64*(1+J64/30),J64))=X64,IF(N(I64)&gt;0,I64&amp;" x "&amp;J64,J64&amp;" reps"),IF(IF(N(L64)=0,0,IF(N(K64)&gt;0,K64*(1+L64/30),L64))=X64,IF(N(K64)&gt;0,K64&amp;" x "&amp;L64,L64&amp;" reps"),IF(IF(N(N64)=0,0,IF(N(M64)&gt;0,M64*(1+N64/30),N64))=X64,IF(N(M64)&gt;0,M64&amp;" x "&amp;N64,N64&amp;" reps"),""))))))</f>
        <v/>
      </c>
      <c r="R64" s="20">
        <f>IF(N(X64)=0,"",ROUND(X64,1))</f>
        <v/>
      </c>
      <c r="S64" s="18">
        <f>IF(N(X64)=0,"",IF(AND(COUNTIFS(Log!$D$6:$D$1505,D64,Log!$B$6:$B$1505,"&lt;"&amp;B64)&gt;0,COUNTIFS(Log!$D$6:$D$1505,D64,Log!$B$6:$B$1505,"&lt;"&amp;B64,Log!$X$6:$X$1505,"&gt;="&amp;X64)=0),"New best",""))</f>
        <v/>
      </c>
      <c r="T64" s="26" t="n"/>
      <c r="U64" s="1">
        <f>IF(D64="","",IFERROR(INDEX(Exercises!$C$6:$C$105,MATCH(D64,Exercises!$B$6:$B$105,0)),"Other"))</f>
        <v/>
      </c>
      <c r="V64">
        <f>IF(B64="","",IF(COUNTIF($B$6:B64,B64)=1,1,0))</f>
        <v/>
      </c>
      <c r="W64">
        <f>IF(B64="","",B64-WEEKDAY(B64,3))</f>
        <v/>
      </c>
      <c r="X64">
        <f>IF(D64="","",MAX(IF(N(F64)=0,0,IF(N(E64)&gt;0,E64*(1+F64/30),F64)),IF(N(H64)=0,0,IF(N(G64)&gt;0,G64*(1+H64/30),H64)),IF(N(J64)=0,0,IF(N(I64)&gt;0,I64*(1+J64/30),J64)),IF(N(L64)=0,0,IF(N(K64)&gt;0,K64*(1+L64/30),L64)),IF(N(N64)=0,0,IF(N(M64)&gt;0,M64*(1+N64/30),N64))))</f>
        <v/>
      </c>
      <c r="Y64">
        <f>IF(N(X64)=0,"",X64+ROW()/1000000000)</f>
        <v/>
      </c>
      <c r="Z64">
        <f>IF(Y64="","",IF(COUNTIFS(Log!$D$6:$D$1505,D64,Log!$Y$6:$Y$1505,"&gt;"&amp;Y64)=0,1,0))</f>
        <v/>
      </c>
      <c r="AA64">
        <f>IF(OR(B64="",D64=""),"",B64+ROW()/10000000)</f>
        <v/>
      </c>
      <c r="AB64">
        <f>IF(AA64="","",IF(COUNTIFS(Log!$D$6:$D$1505,D64,Log!$AA$6:$AA$1505,"&gt;"&amp;AA64)=0,1,0))</f>
        <v/>
      </c>
      <c r="AC64">
        <f>IF(S64="New best",AA64,"")</f>
        <v/>
      </c>
      <c r="AD64">
        <f>ROW()</f>
        <v/>
      </c>
    </row>
    <row r="65">
      <c r="A65" s="1" t="n"/>
      <c r="B65" s="21" t="n">
        <v>46227</v>
      </c>
      <c r="C65" s="22" t="inlineStr">
        <is>
          <t>Upper</t>
        </is>
      </c>
      <c r="D65" s="23" t="inlineStr">
        <is>
          <t>Bench press</t>
        </is>
      </c>
      <c r="E65" s="24" t="n">
        <v>120</v>
      </c>
      <c r="F65" s="24" t="n">
        <v>10</v>
      </c>
      <c r="G65" s="24" t="n">
        <v>120</v>
      </c>
      <c r="H65" s="24" t="n">
        <v>8</v>
      </c>
      <c r="I65" s="24" t="n">
        <v>120</v>
      </c>
      <c r="J65" s="24" t="n">
        <v>8</v>
      </c>
      <c r="K65" s="24" t="n"/>
      <c r="L65" s="24" t="n"/>
      <c r="M65" s="24" t="n"/>
      <c r="N65" s="24" t="n"/>
      <c r="O65" s="15">
        <f>IF(D65="","",COUNT(F65,H65,J65,L65,N65))</f>
        <v/>
      </c>
      <c r="P65" s="25">
        <f>IF(D65="","",N(E65)*N(F65)+N(G65)*N(H65)+N(I65)*N(J65)+N(K65)*N(L65)+N(M65)*N(N65))</f>
        <v/>
      </c>
      <c r="Q65" s="18">
        <f>IF(N(X65)=0,"",IF(IF(N(F65)=0,0,IF(N(E65)&gt;0,E65*(1+F65/30),F65))=X65,IF(N(E65)&gt;0,E65&amp;" x "&amp;F65,F65&amp;" reps"),IF(IF(N(H65)=0,0,IF(N(G65)&gt;0,G65*(1+H65/30),H65))=X65,IF(N(G65)&gt;0,G65&amp;" x "&amp;H65,H65&amp;" reps"),IF(IF(N(J65)=0,0,IF(N(I65)&gt;0,I65*(1+J65/30),J65))=X65,IF(N(I65)&gt;0,I65&amp;" x "&amp;J65,J65&amp;" reps"),IF(IF(N(L65)=0,0,IF(N(K65)&gt;0,K65*(1+L65/30),L65))=X65,IF(N(K65)&gt;0,K65&amp;" x "&amp;L65,L65&amp;" reps"),IF(IF(N(N65)=0,0,IF(N(M65)&gt;0,M65*(1+N65/30),N65))=X65,IF(N(M65)&gt;0,M65&amp;" x "&amp;N65,N65&amp;" reps"),""))))))</f>
        <v/>
      </c>
      <c r="R65" s="20">
        <f>IF(N(X65)=0,"",ROUND(X65,1))</f>
        <v/>
      </c>
      <c r="S65" s="18">
        <f>IF(N(X65)=0,"",IF(AND(COUNTIFS(Log!$D$6:$D$1505,D65,Log!$B$6:$B$1505,"&lt;"&amp;B65)&gt;0,COUNTIFS(Log!$D$6:$D$1505,D65,Log!$B$6:$B$1505,"&lt;"&amp;B65,Log!$X$6:$X$1505,"&gt;="&amp;X65)=0),"New best",""))</f>
        <v/>
      </c>
      <c r="T65" s="26" t="inlineStr">
        <is>
          <t>Short on time</t>
        </is>
      </c>
      <c r="U65" s="1">
        <f>IF(D65="","",IFERROR(INDEX(Exercises!$C$6:$C$105,MATCH(D65,Exercises!$B$6:$B$105,0)),"Other"))</f>
        <v/>
      </c>
      <c r="V65">
        <f>IF(B65="","",IF(COUNTIF($B$6:B65,B65)=1,1,0))</f>
        <v/>
      </c>
      <c r="W65">
        <f>IF(B65="","",B65-WEEKDAY(B65,3))</f>
        <v/>
      </c>
      <c r="X65">
        <f>IF(D65="","",MAX(IF(N(F65)=0,0,IF(N(E65)&gt;0,E65*(1+F65/30),F65)),IF(N(H65)=0,0,IF(N(G65)&gt;0,G65*(1+H65/30),H65)),IF(N(J65)=0,0,IF(N(I65)&gt;0,I65*(1+J65/30),J65)),IF(N(L65)=0,0,IF(N(K65)&gt;0,K65*(1+L65/30),L65)),IF(N(N65)=0,0,IF(N(M65)&gt;0,M65*(1+N65/30),N65))))</f>
        <v/>
      </c>
      <c r="Y65">
        <f>IF(N(X65)=0,"",X65+ROW()/1000000000)</f>
        <v/>
      </c>
      <c r="Z65">
        <f>IF(Y65="","",IF(COUNTIFS(Log!$D$6:$D$1505,D65,Log!$Y$6:$Y$1505,"&gt;"&amp;Y65)=0,1,0))</f>
        <v/>
      </c>
      <c r="AA65">
        <f>IF(OR(B65="",D65=""),"",B65+ROW()/10000000)</f>
        <v/>
      </c>
      <c r="AB65">
        <f>IF(AA65="","",IF(COUNTIFS(Log!$D$6:$D$1505,D65,Log!$AA$6:$AA$1505,"&gt;"&amp;AA65)=0,1,0))</f>
        <v/>
      </c>
      <c r="AC65">
        <f>IF(S65="New best",AA65,"")</f>
        <v/>
      </c>
      <c r="AD65">
        <f>ROW()</f>
        <v/>
      </c>
    </row>
    <row r="66">
      <c r="A66" s="1" t="n"/>
      <c r="B66" s="21" t="n">
        <v>46227</v>
      </c>
      <c r="C66" s="22" t="inlineStr">
        <is>
          <t>Upper</t>
        </is>
      </c>
      <c r="D66" s="23" t="inlineStr">
        <is>
          <t>Barbell row</t>
        </is>
      </c>
      <c r="E66" s="24" t="n">
        <v>105</v>
      </c>
      <c r="F66" s="24" t="n">
        <v>9</v>
      </c>
      <c r="G66" s="24" t="n">
        <v>105</v>
      </c>
      <c r="H66" s="24" t="n">
        <v>8</v>
      </c>
      <c r="I66" s="24" t="n">
        <v>105</v>
      </c>
      <c r="J66" s="24" t="n">
        <v>8</v>
      </c>
      <c r="K66" s="24" t="n"/>
      <c r="L66" s="24" t="n"/>
      <c r="M66" s="24" t="n"/>
      <c r="N66" s="24" t="n"/>
      <c r="O66" s="15">
        <f>IF(D66="","",COUNT(F66,H66,J66,L66,N66))</f>
        <v/>
      </c>
      <c r="P66" s="25">
        <f>IF(D66="","",N(E66)*N(F66)+N(G66)*N(H66)+N(I66)*N(J66)+N(K66)*N(L66)+N(M66)*N(N66))</f>
        <v/>
      </c>
      <c r="Q66" s="18">
        <f>IF(N(X66)=0,"",IF(IF(N(F66)=0,0,IF(N(E66)&gt;0,E66*(1+F66/30),F66))=X66,IF(N(E66)&gt;0,E66&amp;" x "&amp;F66,F66&amp;" reps"),IF(IF(N(H66)=0,0,IF(N(G66)&gt;0,G66*(1+H66/30),H66))=X66,IF(N(G66)&gt;0,G66&amp;" x "&amp;H66,H66&amp;" reps"),IF(IF(N(J66)=0,0,IF(N(I66)&gt;0,I66*(1+J66/30),J66))=X66,IF(N(I66)&gt;0,I66&amp;" x "&amp;J66,J66&amp;" reps"),IF(IF(N(L66)=0,0,IF(N(K66)&gt;0,K66*(1+L66/30),L66))=X66,IF(N(K66)&gt;0,K66&amp;" x "&amp;L66,L66&amp;" reps"),IF(IF(N(N66)=0,0,IF(N(M66)&gt;0,M66*(1+N66/30),N66))=X66,IF(N(M66)&gt;0,M66&amp;" x "&amp;N66,N66&amp;" reps"),""))))))</f>
        <v/>
      </c>
      <c r="R66" s="20">
        <f>IF(N(X66)=0,"",ROUND(X66,1))</f>
        <v/>
      </c>
      <c r="S66" s="18">
        <f>IF(N(X66)=0,"",IF(AND(COUNTIFS(Log!$D$6:$D$1505,D66,Log!$B$6:$B$1505,"&lt;"&amp;B66)&gt;0,COUNTIFS(Log!$D$6:$D$1505,D66,Log!$B$6:$B$1505,"&lt;"&amp;B66,Log!$X$6:$X$1505,"&gt;="&amp;X66)=0),"New best",""))</f>
        <v/>
      </c>
      <c r="T66" s="26" t="n"/>
      <c r="U66" s="1">
        <f>IF(D66="","",IFERROR(INDEX(Exercises!$C$6:$C$105,MATCH(D66,Exercises!$B$6:$B$105,0)),"Other"))</f>
        <v/>
      </c>
      <c r="V66">
        <f>IF(B66="","",IF(COUNTIF($B$6:B66,B66)=1,1,0))</f>
        <v/>
      </c>
      <c r="W66">
        <f>IF(B66="","",B66-WEEKDAY(B66,3))</f>
        <v/>
      </c>
      <c r="X66">
        <f>IF(D66="","",MAX(IF(N(F66)=0,0,IF(N(E66)&gt;0,E66*(1+F66/30),F66)),IF(N(H66)=0,0,IF(N(G66)&gt;0,G66*(1+H66/30),H66)),IF(N(J66)=0,0,IF(N(I66)&gt;0,I66*(1+J66/30),J66)),IF(N(L66)=0,0,IF(N(K66)&gt;0,K66*(1+L66/30),L66)),IF(N(N66)=0,0,IF(N(M66)&gt;0,M66*(1+N66/30),N66))))</f>
        <v/>
      </c>
      <c r="Y66">
        <f>IF(N(X66)=0,"",X66+ROW()/1000000000)</f>
        <v/>
      </c>
      <c r="Z66">
        <f>IF(Y66="","",IF(COUNTIFS(Log!$D$6:$D$1505,D66,Log!$Y$6:$Y$1505,"&gt;"&amp;Y66)=0,1,0))</f>
        <v/>
      </c>
      <c r="AA66">
        <f>IF(OR(B66="",D66=""),"",B66+ROW()/10000000)</f>
        <v/>
      </c>
      <c r="AB66">
        <f>IF(AA66="","",IF(COUNTIFS(Log!$D$6:$D$1505,D66,Log!$AA$6:$AA$1505,"&gt;"&amp;AA66)=0,1,0))</f>
        <v/>
      </c>
      <c r="AC66">
        <f>IF(S66="New best",AA66,"")</f>
        <v/>
      </c>
      <c r="AD66">
        <f>ROW()</f>
        <v/>
      </c>
    </row>
    <row r="67">
      <c r="A67" s="1" t="n"/>
      <c r="B67" s="21" t="n">
        <v>46227</v>
      </c>
      <c r="C67" s="22" t="inlineStr">
        <is>
          <t>Upper</t>
        </is>
      </c>
      <c r="D67" s="23" t="inlineStr">
        <is>
          <t>Overhead press</t>
        </is>
      </c>
      <c r="E67" s="24" t="n">
        <v>75</v>
      </c>
      <c r="F67" s="24" t="n">
        <v>9</v>
      </c>
      <c r="G67" s="24" t="n">
        <v>75</v>
      </c>
      <c r="H67" s="24" t="n">
        <v>8</v>
      </c>
      <c r="I67" s="24" t="n">
        <v>75</v>
      </c>
      <c r="J67" s="24" t="n">
        <v>8</v>
      </c>
      <c r="K67" s="24" t="n"/>
      <c r="L67" s="24" t="n"/>
      <c r="M67" s="24" t="n"/>
      <c r="N67" s="24" t="n"/>
      <c r="O67" s="15">
        <f>IF(D67="","",COUNT(F67,H67,J67,L67,N67))</f>
        <v/>
      </c>
      <c r="P67" s="25">
        <f>IF(D67="","",N(E67)*N(F67)+N(G67)*N(H67)+N(I67)*N(J67)+N(K67)*N(L67)+N(M67)*N(N67))</f>
        <v/>
      </c>
      <c r="Q67" s="18">
        <f>IF(N(X67)=0,"",IF(IF(N(F67)=0,0,IF(N(E67)&gt;0,E67*(1+F67/30),F67))=X67,IF(N(E67)&gt;0,E67&amp;" x "&amp;F67,F67&amp;" reps"),IF(IF(N(H67)=0,0,IF(N(G67)&gt;0,G67*(1+H67/30),H67))=X67,IF(N(G67)&gt;0,G67&amp;" x "&amp;H67,H67&amp;" reps"),IF(IF(N(J67)=0,0,IF(N(I67)&gt;0,I67*(1+J67/30),J67))=X67,IF(N(I67)&gt;0,I67&amp;" x "&amp;J67,J67&amp;" reps"),IF(IF(N(L67)=0,0,IF(N(K67)&gt;0,K67*(1+L67/30),L67))=X67,IF(N(K67)&gt;0,K67&amp;" x "&amp;L67,L67&amp;" reps"),IF(IF(N(N67)=0,0,IF(N(M67)&gt;0,M67*(1+N67/30),N67))=X67,IF(N(M67)&gt;0,M67&amp;" x "&amp;N67,N67&amp;" reps"),""))))))</f>
        <v/>
      </c>
      <c r="R67" s="20">
        <f>IF(N(X67)=0,"",ROUND(X67,1))</f>
        <v/>
      </c>
      <c r="S67" s="18">
        <f>IF(N(X67)=0,"",IF(AND(COUNTIFS(Log!$D$6:$D$1505,D67,Log!$B$6:$B$1505,"&lt;"&amp;B67)&gt;0,COUNTIFS(Log!$D$6:$D$1505,D67,Log!$B$6:$B$1505,"&lt;"&amp;B67,Log!$X$6:$X$1505,"&gt;="&amp;X67)=0),"New best",""))</f>
        <v/>
      </c>
      <c r="T67" s="26" t="n"/>
      <c r="U67" s="1">
        <f>IF(D67="","",IFERROR(INDEX(Exercises!$C$6:$C$105,MATCH(D67,Exercises!$B$6:$B$105,0)),"Other"))</f>
        <v/>
      </c>
      <c r="V67">
        <f>IF(B67="","",IF(COUNTIF($B$6:B67,B67)=1,1,0))</f>
        <v/>
      </c>
      <c r="W67">
        <f>IF(B67="","",B67-WEEKDAY(B67,3))</f>
        <v/>
      </c>
      <c r="X67">
        <f>IF(D67="","",MAX(IF(N(F67)=0,0,IF(N(E67)&gt;0,E67*(1+F67/30),F67)),IF(N(H67)=0,0,IF(N(G67)&gt;0,G67*(1+H67/30),H67)),IF(N(J67)=0,0,IF(N(I67)&gt;0,I67*(1+J67/30),J67)),IF(N(L67)=0,0,IF(N(K67)&gt;0,K67*(1+L67/30),L67)),IF(N(N67)=0,0,IF(N(M67)&gt;0,M67*(1+N67/30),N67))))</f>
        <v/>
      </c>
      <c r="Y67">
        <f>IF(N(X67)=0,"",X67+ROW()/1000000000)</f>
        <v/>
      </c>
      <c r="Z67">
        <f>IF(Y67="","",IF(COUNTIFS(Log!$D$6:$D$1505,D67,Log!$Y$6:$Y$1505,"&gt;"&amp;Y67)=0,1,0))</f>
        <v/>
      </c>
      <c r="AA67">
        <f>IF(OR(B67="",D67=""),"",B67+ROW()/10000000)</f>
        <v/>
      </c>
      <c r="AB67">
        <f>IF(AA67="","",IF(COUNTIFS(Log!$D$6:$D$1505,D67,Log!$AA$6:$AA$1505,"&gt;"&amp;AA67)=0,1,0))</f>
        <v/>
      </c>
      <c r="AC67">
        <f>IF(S67="New best",AA67,"")</f>
        <v/>
      </c>
      <c r="AD67">
        <f>ROW()</f>
        <v/>
      </c>
    </row>
    <row r="68">
      <c r="A68" s="1" t="n"/>
      <c r="B68" s="21" t="n">
        <v>46227</v>
      </c>
      <c r="C68" s="22" t="inlineStr">
        <is>
          <t>Upper</t>
        </is>
      </c>
      <c r="D68" s="23" t="inlineStr">
        <is>
          <t>Pull-up</t>
        </is>
      </c>
      <c r="E68" s="24" t="n"/>
      <c r="F68" s="24" t="n">
        <v>6</v>
      </c>
      <c r="G68" s="24" t="n"/>
      <c r="H68" s="24" t="n">
        <v>4</v>
      </c>
      <c r="I68" s="24" t="n"/>
      <c r="J68" s="24" t="n">
        <v>3</v>
      </c>
      <c r="K68" s="24" t="n"/>
      <c r="L68" s="24" t="n"/>
      <c r="M68" s="24" t="n"/>
      <c r="N68" s="24" t="n"/>
      <c r="O68" s="15">
        <f>IF(D68="","",COUNT(F68,H68,J68,L68,N68))</f>
        <v/>
      </c>
      <c r="P68" s="25">
        <f>IF(D68="","",N(E68)*N(F68)+N(G68)*N(H68)+N(I68)*N(J68)+N(K68)*N(L68)+N(M68)*N(N68))</f>
        <v/>
      </c>
      <c r="Q68" s="18">
        <f>IF(N(X68)=0,"",IF(IF(N(F68)=0,0,IF(N(E68)&gt;0,E68*(1+F68/30),F68))=X68,IF(N(E68)&gt;0,E68&amp;" x "&amp;F68,F68&amp;" reps"),IF(IF(N(H68)=0,0,IF(N(G68)&gt;0,G68*(1+H68/30),H68))=X68,IF(N(G68)&gt;0,G68&amp;" x "&amp;H68,H68&amp;" reps"),IF(IF(N(J68)=0,0,IF(N(I68)&gt;0,I68*(1+J68/30),J68))=X68,IF(N(I68)&gt;0,I68&amp;" x "&amp;J68,J68&amp;" reps"),IF(IF(N(L68)=0,0,IF(N(K68)&gt;0,K68*(1+L68/30),L68))=X68,IF(N(K68)&gt;0,K68&amp;" x "&amp;L68,L68&amp;" reps"),IF(IF(N(N68)=0,0,IF(N(M68)&gt;0,M68*(1+N68/30),N68))=X68,IF(N(M68)&gt;0,M68&amp;" x "&amp;N68,N68&amp;" reps"),""))))))</f>
        <v/>
      </c>
      <c r="R68" s="20">
        <f>IF(N(X68)=0,"",ROUND(X68,1))</f>
        <v/>
      </c>
      <c r="S68" s="18">
        <f>IF(N(X68)=0,"",IF(AND(COUNTIFS(Log!$D$6:$D$1505,D68,Log!$B$6:$B$1505,"&lt;"&amp;B68)&gt;0,COUNTIFS(Log!$D$6:$D$1505,D68,Log!$B$6:$B$1505,"&lt;"&amp;B68,Log!$X$6:$X$1505,"&gt;="&amp;X68)=0),"New best",""))</f>
        <v/>
      </c>
      <c r="T68" s="26" t="inlineStr">
        <is>
          <t>Short on time</t>
        </is>
      </c>
      <c r="U68" s="1">
        <f>IF(D68="","",IFERROR(INDEX(Exercises!$C$6:$C$105,MATCH(D68,Exercises!$B$6:$B$105,0)),"Other"))</f>
        <v/>
      </c>
      <c r="V68">
        <f>IF(B68="","",IF(COUNTIF($B$6:B68,B68)=1,1,0))</f>
        <v/>
      </c>
      <c r="W68">
        <f>IF(B68="","",B68-WEEKDAY(B68,3))</f>
        <v/>
      </c>
      <c r="X68">
        <f>IF(D68="","",MAX(IF(N(F68)=0,0,IF(N(E68)&gt;0,E68*(1+F68/30),F68)),IF(N(H68)=0,0,IF(N(G68)&gt;0,G68*(1+H68/30),H68)),IF(N(J68)=0,0,IF(N(I68)&gt;0,I68*(1+J68/30),J68)),IF(N(L68)=0,0,IF(N(K68)&gt;0,K68*(1+L68/30),L68)),IF(N(N68)=0,0,IF(N(M68)&gt;0,M68*(1+N68/30),N68))))</f>
        <v/>
      </c>
      <c r="Y68">
        <f>IF(N(X68)=0,"",X68+ROW()/1000000000)</f>
        <v/>
      </c>
      <c r="Z68">
        <f>IF(Y68="","",IF(COUNTIFS(Log!$D$6:$D$1505,D68,Log!$Y$6:$Y$1505,"&gt;"&amp;Y68)=0,1,0))</f>
        <v/>
      </c>
      <c r="AA68">
        <f>IF(OR(B68="",D68=""),"",B68+ROW()/10000000)</f>
        <v/>
      </c>
      <c r="AB68">
        <f>IF(AA68="","",IF(COUNTIFS(Log!$D$6:$D$1505,D68,Log!$AA$6:$AA$1505,"&gt;"&amp;AA68)=0,1,0))</f>
        <v/>
      </c>
      <c r="AC68">
        <f>IF(S68="New best",AA68,"")</f>
        <v/>
      </c>
      <c r="AD68">
        <f>ROW()</f>
        <v/>
      </c>
    </row>
    <row r="69">
      <c r="A69" s="1" t="n"/>
      <c r="B69" s="21" t="n">
        <v>46227</v>
      </c>
      <c r="C69" s="22" t="inlineStr">
        <is>
          <t>Upper</t>
        </is>
      </c>
      <c r="D69" s="23" t="inlineStr">
        <is>
          <t>Biceps curl</t>
        </is>
      </c>
      <c r="E69" s="24" t="n">
        <v>20</v>
      </c>
      <c r="F69" s="24" t="n">
        <v>11</v>
      </c>
      <c r="G69" s="24" t="n">
        <v>20</v>
      </c>
      <c r="H69" s="24" t="n">
        <v>11</v>
      </c>
      <c r="I69" s="24" t="n"/>
      <c r="J69" s="24" t="n"/>
      <c r="K69" s="24" t="n"/>
      <c r="L69" s="24" t="n"/>
      <c r="M69" s="24" t="n"/>
      <c r="N69" s="24" t="n"/>
      <c r="O69" s="15">
        <f>IF(D69="","",COUNT(F69,H69,J69,L69,N69))</f>
        <v/>
      </c>
      <c r="P69" s="25">
        <f>IF(D69="","",N(E69)*N(F69)+N(G69)*N(H69)+N(I69)*N(J69)+N(K69)*N(L69)+N(M69)*N(N69))</f>
        <v/>
      </c>
      <c r="Q69" s="18">
        <f>IF(N(X69)=0,"",IF(IF(N(F69)=0,0,IF(N(E69)&gt;0,E69*(1+F69/30),F69))=X69,IF(N(E69)&gt;0,E69&amp;" x "&amp;F69,F69&amp;" reps"),IF(IF(N(H69)=0,0,IF(N(G69)&gt;0,G69*(1+H69/30),H69))=X69,IF(N(G69)&gt;0,G69&amp;" x "&amp;H69,H69&amp;" reps"),IF(IF(N(J69)=0,0,IF(N(I69)&gt;0,I69*(1+J69/30),J69))=X69,IF(N(I69)&gt;0,I69&amp;" x "&amp;J69,J69&amp;" reps"),IF(IF(N(L69)=0,0,IF(N(K69)&gt;0,K69*(1+L69/30),L69))=X69,IF(N(K69)&gt;0,K69&amp;" x "&amp;L69,L69&amp;" reps"),IF(IF(N(N69)=0,0,IF(N(M69)&gt;0,M69*(1+N69/30),N69))=X69,IF(N(M69)&gt;0,M69&amp;" x "&amp;N69,N69&amp;" reps"),""))))))</f>
        <v/>
      </c>
      <c r="R69" s="20">
        <f>IF(N(X69)=0,"",ROUND(X69,1))</f>
        <v/>
      </c>
      <c r="S69" s="18">
        <f>IF(N(X69)=0,"",IF(AND(COUNTIFS(Log!$D$6:$D$1505,D69,Log!$B$6:$B$1505,"&lt;"&amp;B69)&gt;0,COUNTIFS(Log!$D$6:$D$1505,D69,Log!$B$6:$B$1505,"&lt;"&amp;B69,Log!$X$6:$X$1505,"&gt;="&amp;X69)=0),"New best",""))</f>
        <v/>
      </c>
      <c r="T69" s="26" t="inlineStr">
        <is>
          <t>Short on time</t>
        </is>
      </c>
      <c r="U69" s="1">
        <f>IF(D69="","",IFERROR(INDEX(Exercises!$C$6:$C$105,MATCH(D69,Exercises!$B$6:$B$105,0)),"Other"))</f>
        <v/>
      </c>
      <c r="V69">
        <f>IF(B69="","",IF(COUNTIF($B$6:B69,B69)=1,1,0))</f>
        <v/>
      </c>
      <c r="W69">
        <f>IF(B69="","",B69-WEEKDAY(B69,3))</f>
        <v/>
      </c>
      <c r="X69">
        <f>IF(D69="","",MAX(IF(N(F69)=0,0,IF(N(E69)&gt;0,E69*(1+F69/30),F69)),IF(N(H69)=0,0,IF(N(G69)&gt;0,G69*(1+H69/30),H69)),IF(N(J69)=0,0,IF(N(I69)&gt;0,I69*(1+J69/30),J69)),IF(N(L69)=0,0,IF(N(K69)&gt;0,K69*(1+L69/30),L69)),IF(N(N69)=0,0,IF(N(M69)&gt;0,M69*(1+N69/30),N69))))</f>
        <v/>
      </c>
      <c r="Y69">
        <f>IF(N(X69)=0,"",X69+ROW()/1000000000)</f>
        <v/>
      </c>
      <c r="Z69">
        <f>IF(Y69="","",IF(COUNTIFS(Log!$D$6:$D$1505,D69,Log!$Y$6:$Y$1505,"&gt;"&amp;Y69)=0,1,0))</f>
        <v/>
      </c>
      <c r="AA69">
        <f>IF(OR(B69="",D69=""),"",B69+ROW()/10000000)</f>
        <v/>
      </c>
      <c r="AB69">
        <f>IF(AA69="","",IF(COUNTIFS(Log!$D$6:$D$1505,D69,Log!$AA$6:$AA$1505,"&gt;"&amp;AA69)=0,1,0))</f>
        <v/>
      </c>
      <c r="AC69">
        <f>IF(S69="New best",AA69,"")</f>
        <v/>
      </c>
      <c r="AD69">
        <f>ROW()</f>
        <v/>
      </c>
    </row>
    <row r="70">
      <c r="A70" s="1" t="n"/>
      <c r="B70" s="21" t="n">
        <v>46227</v>
      </c>
      <c r="C70" s="22" t="inlineStr">
        <is>
          <t>Upper</t>
        </is>
      </c>
      <c r="D70" s="23" t="inlineStr">
        <is>
          <t>Triceps pushdown</t>
        </is>
      </c>
      <c r="E70" s="24" t="n">
        <v>35</v>
      </c>
      <c r="F70" s="24" t="n">
        <v>12</v>
      </c>
      <c r="G70" s="24" t="n">
        <v>35</v>
      </c>
      <c r="H70" s="24" t="n">
        <v>11</v>
      </c>
      <c r="I70" s="24" t="n"/>
      <c r="J70" s="24" t="n"/>
      <c r="K70" s="24" t="n"/>
      <c r="L70" s="24" t="n"/>
      <c r="M70" s="24" t="n"/>
      <c r="N70" s="24" t="n"/>
      <c r="O70" s="15">
        <f>IF(D70="","",COUNT(F70,H70,J70,L70,N70))</f>
        <v/>
      </c>
      <c r="P70" s="25">
        <f>IF(D70="","",N(E70)*N(F70)+N(G70)*N(H70)+N(I70)*N(J70)+N(K70)*N(L70)+N(M70)*N(N70))</f>
        <v/>
      </c>
      <c r="Q70" s="18">
        <f>IF(N(X70)=0,"",IF(IF(N(F70)=0,0,IF(N(E70)&gt;0,E70*(1+F70/30),F70))=X70,IF(N(E70)&gt;0,E70&amp;" x "&amp;F70,F70&amp;" reps"),IF(IF(N(H70)=0,0,IF(N(G70)&gt;0,G70*(1+H70/30),H70))=X70,IF(N(G70)&gt;0,G70&amp;" x "&amp;H70,H70&amp;" reps"),IF(IF(N(J70)=0,0,IF(N(I70)&gt;0,I70*(1+J70/30),J70))=X70,IF(N(I70)&gt;0,I70&amp;" x "&amp;J70,J70&amp;" reps"),IF(IF(N(L70)=0,0,IF(N(K70)&gt;0,K70*(1+L70/30),L70))=X70,IF(N(K70)&gt;0,K70&amp;" x "&amp;L70,L70&amp;" reps"),IF(IF(N(N70)=0,0,IF(N(M70)&gt;0,M70*(1+N70/30),N70))=X70,IF(N(M70)&gt;0,M70&amp;" x "&amp;N70,N70&amp;" reps"),""))))))</f>
        <v/>
      </c>
      <c r="R70" s="20">
        <f>IF(N(X70)=0,"",ROUND(X70,1))</f>
        <v/>
      </c>
      <c r="S70" s="18">
        <f>IF(N(X70)=0,"",IF(AND(COUNTIFS(Log!$D$6:$D$1505,D70,Log!$B$6:$B$1505,"&lt;"&amp;B70)&gt;0,COUNTIFS(Log!$D$6:$D$1505,D70,Log!$B$6:$B$1505,"&lt;"&amp;B70,Log!$X$6:$X$1505,"&gt;="&amp;X70)=0),"New best",""))</f>
        <v/>
      </c>
      <c r="T70" s="26" t="inlineStr">
        <is>
          <t>Felt strong</t>
        </is>
      </c>
      <c r="U70" s="1">
        <f>IF(D70="","",IFERROR(INDEX(Exercises!$C$6:$C$105,MATCH(D70,Exercises!$B$6:$B$105,0)),"Other"))</f>
        <v/>
      </c>
      <c r="V70">
        <f>IF(B70="","",IF(COUNTIF($B$6:B70,B70)=1,1,0))</f>
        <v/>
      </c>
      <c r="W70">
        <f>IF(B70="","",B70-WEEKDAY(B70,3))</f>
        <v/>
      </c>
      <c r="X70">
        <f>IF(D70="","",MAX(IF(N(F70)=0,0,IF(N(E70)&gt;0,E70*(1+F70/30),F70)),IF(N(H70)=0,0,IF(N(G70)&gt;0,G70*(1+H70/30),H70)),IF(N(J70)=0,0,IF(N(I70)&gt;0,I70*(1+J70/30),J70)),IF(N(L70)=0,0,IF(N(K70)&gt;0,K70*(1+L70/30),L70)),IF(N(N70)=0,0,IF(N(M70)&gt;0,M70*(1+N70/30),N70))))</f>
        <v/>
      </c>
      <c r="Y70">
        <f>IF(N(X70)=0,"",X70+ROW()/1000000000)</f>
        <v/>
      </c>
      <c r="Z70">
        <f>IF(Y70="","",IF(COUNTIFS(Log!$D$6:$D$1505,D70,Log!$Y$6:$Y$1505,"&gt;"&amp;Y70)=0,1,0))</f>
        <v/>
      </c>
      <c r="AA70">
        <f>IF(OR(B70="",D70=""),"",B70+ROW()/10000000)</f>
        <v/>
      </c>
      <c r="AB70">
        <f>IF(AA70="","",IF(COUNTIFS(Log!$D$6:$D$1505,D70,Log!$AA$6:$AA$1505,"&gt;"&amp;AA70)=0,1,0))</f>
        <v/>
      </c>
      <c r="AC70">
        <f>IF(S70="New best",AA70,"")</f>
        <v/>
      </c>
      <c r="AD70">
        <f>ROW()</f>
        <v/>
      </c>
    </row>
    <row r="71">
      <c r="A71" s="1" t="n"/>
      <c r="B71" s="21" t="n">
        <v>46228</v>
      </c>
      <c r="C71" s="22" t="inlineStr">
        <is>
          <t>Lower</t>
        </is>
      </c>
      <c r="D71" s="23" t="inlineStr">
        <is>
          <t>Squat</t>
        </is>
      </c>
      <c r="E71" s="24" t="n">
        <v>165</v>
      </c>
      <c r="F71" s="24" t="n">
        <v>8</v>
      </c>
      <c r="G71" s="24" t="n">
        <v>165</v>
      </c>
      <c r="H71" s="24" t="n">
        <v>8</v>
      </c>
      <c r="I71" s="24" t="n">
        <v>165</v>
      </c>
      <c r="J71" s="24" t="n">
        <v>8</v>
      </c>
      <c r="K71" s="24" t="n"/>
      <c r="L71" s="24" t="n"/>
      <c r="M71" s="24" t="n"/>
      <c r="N71" s="24" t="n"/>
      <c r="O71" s="15">
        <f>IF(D71="","",COUNT(F71,H71,J71,L71,N71))</f>
        <v/>
      </c>
      <c r="P71" s="25">
        <f>IF(D71="","",N(E71)*N(F71)+N(G71)*N(H71)+N(I71)*N(J71)+N(K71)*N(L71)+N(M71)*N(N71))</f>
        <v/>
      </c>
      <c r="Q71" s="18">
        <f>IF(N(X71)=0,"",IF(IF(N(F71)=0,0,IF(N(E71)&gt;0,E71*(1+F71/30),F71))=X71,IF(N(E71)&gt;0,E71&amp;" x "&amp;F71,F71&amp;" reps"),IF(IF(N(H71)=0,0,IF(N(G71)&gt;0,G71*(1+H71/30),H71))=X71,IF(N(G71)&gt;0,G71&amp;" x "&amp;H71,H71&amp;" reps"),IF(IF(N(J71)=0,0,IF(N(I71)&gt;0,I71*(1+J71/30),J71))=X71,IF(N(I71)&gt;0,I71&amp;" x "&amp;J71,J71&amp;" reps"),IF(IF(N(L71)=0,0,IF(N(K71)&gt;0,K71*(1+L71/30),L71))=X71,IF(N(K71)&gt;0,K71&amp;" x "&amp;L71,L71&amp;" reps"),IF(IF(N(N71)=0,0,IF(N(M71)&gt;0,M71*(1+N71/30),N71))=X71,IF(N(M71)&gt;0,M71&amp;" x "&amp;N71,N71&amp;" reps"),""))))))</f>
        <v/>
      </c>
      <c r="R71" s="20">
        <f>IF(N(X71)=0,"",ROUND(X71,1))</f>
        <v/>
      </c>
      <c r="S71" s="18">
        <f>IF(N(X71)=0,"",IF(AND(COUNTIFS(Log!$D$6:$D$1505,D71,Log!$B$6:$B$1505,"&lt;"&amp;B71)&gt;0,COUNTIFS(Log!$D$6:$D$1505,D71,Log!$B$6:$B$1505,"&lt;"&amp;B71,Log!$X$6:$X$1505,"&gt;="&amp;X71)=0),"New best",""))</f>
        <v/>
      </c>
      <c r="T71" s="26" t="n"/>
      <c r="U71" s="1">
        <f>IF(D71="","",IFERROR(INDEX(Exercises!$C$6:$C$105,MATCH(D71,Exercises!$B$6:$B$105,0)),"Other"))</f>
        <v/>
      </c>
      <c r="V71">
        <f>IF(B71="","",IF(COUNTIF($B$6:B71,B71)=1,1,0))</f>
        <v/>
      </c>
      <c r="W71">
        <f>IF(B71="","",B71-WEEKDAY(B71,3))</f>
        <v/>
      </c>
      <c r="X71">
        <f>IF(D71="","",MAX(IF(N(F71)=0,0,IF(N(E71)&gt;0,E71*(1+F71/30),F71)),IF(N(H71)=0,0,IF(N(G71)&gt;0,G71*(1+H71/30),H71)),IF(N(J71)=0,0,IF(N(I71)&gt;0,I71*(1+J71/30),J71)),IF(N(L71)=0,0,IF(N(K71)&gt;0,K71*(1+L71/30),L71)),IF(N(N71)=0,0,IF(N(M71)&gt;0,M71*(1+N71/30),N71))))</f>
        <v/>
      </c>
      <c r="Y71">
        <f>IF(N(X71)=0,"",X71+ROW()/1000000000)</f>
        <v/>
      </c>
      <c r="Z71">
        <f>IF(Y71="","",IF(COUNTIFS(Log!$D$6:$D$1505,D71,Log!$Y$6:$Y$1505,"&gt;"&amp;Y71)=0,1,0))</f>
        <v/>
      </c>
      <c r="AA71">
        <f>IF(OR(B71="",D71=""),"",B71+ROW()/10000000)</f>
        <v/>
      </c>
      <c r="AB71">
        <f>IF(AA71="","",IF(COUNTIFS(Log!$D$6:$D$1505,D71,Log!$AA$6:$AA$1505,"&gt;"&amp;AA71)=0,1,0))</f>
        <v/>
      </c>
      <c r="AC71">
        <f>IF(S71="New best",AA71,"")</f>
        <v/>
      </c>
      <c r="AD71">
        <f>ROW()</f>
        <v/>
      </c>
    </row>
    <row r="72">
      <c r="A72" s="1" t="n"/>
      <c r="B72" s="21" t="n">
        <v>46228</v>
      </c>
      <c r="C72" s="22" t="inlineStr">
        <is>
          <t>Lower</t>
        </is>
      </c>
      <c r="D72" s="23" t="inlineStr">
        <is>
          <t>Romanian deadlift</t>
        </is>
      </c>
      <c r="E72" s="24" t="n">
        <v>140</v>
      </c>
      <c r="F72" s="24" t="n">
        <v>9</v>
      </c>
      <c r="G72" s="24" t="n">
        <v>140</v>
      </c>
      <c r="H72" s="24" t="n">
        <v>8</v>
      </c>
      <c r="I72" s="24" t="n">
        <v>140</v>
      </c>
      <c r="J72" s="24" t="n">
        <v>8</v>
      </c>
      <c r="K72" s="24" t="n"/>
      <c r="L72" s="24" t="n"/>
      <c r="M72" s="24" t="n"/>
      <c r="N72" s="24" t="n"/>
      <c r="O72" s="15">
        <f>IF(D72="","",COUNT(F72,H72,J72,L72,N72))</f>
        <v/>
      </c>
      <c r="P72" s="25">
        <f>IF(D72="","",N(E72)*N(F72)+N(G72)*N(H72)+N(I72)*N(J72)+N(K72)*N(L72)+N(M72)*N(N72))</f>
        <v/>
      </c>
      <c r="Q72" s="18">
        <f>IF(N(X72)=0,"",IF(IF(N(F72)=0,0,IF(N(E72)&gt;0,E72*(1+F72/30),F72))=X72,IF(N(E72)&gt;0,E72&amp;" x "&amp;F72,F72&amp;" reps"),IF(IF(N(H72)=0,0,IF(N(G72)&gt;0,G72*(1+H72/30),H72))=X72,IF(N(G72)&gt;0,G72&amp;" x "&amp;H72,H72&amp;" reps"),IF(IF(N(J72)=0,0,IF(N(I72)&gt;0,I72*(1+J72/30),J72))=X72,IF(N(I72)&gt;0,I72&amp;" x "&amp;J72,J72&amp;" reps"),IF(IF(N(L72)=0,0,IF(N(K72)&gt;0,K72*(1+L72/30),L72))=X72,IF(N(K72)&gt;0,K72&amp;" x "&amp;L72,L72&amp;" reps"),IF(IF(N(N72)=0,0,IF(N(M72)&gt;0,M72*(1+N72/30),N72))=X72,IF(N(M72)&gt;0,M72&amp;" x "&amp;N72,N72&amp;" reps"),""))))))</f>
        <v/>
      </c>
      <c r="R72" s="20">
        <f>IF(N(X72)=0,"",ROUND(X72,1))</f>
        <v/>
      </c>
      <c r="S72" s="18">
        <f>IF(N(X72)=0,"",IF(AND(COUNTIFS(Log!$D$6:$D$1505,D72,Log!$B$6:$B$1505,"&lt;"&amp;B72)&gt;0,COUNTIFS(Log!$D$6:$D$1505,D72,Log!$B$6:$B$1505,"&lt;"&amp;B72,Log!$X$6:$X$1505,"&gt;="&amp;X72)=0),"New best",""))</f>
        <v/>
      </c>
      <c r="T72" s="26" t="inlineStr">
        <is>
          <t>Short on time</t>
        </is>
      </c>
      <c r="U72" s="1">
        <f>IF(D72="","",IFERROR(INDEX(Exercises!$C$6:$C$105,MATCH(D72,Exercises!$B$6:$B$105,0)),"Other"))</f>
        <v/>
      </c>
      <c r="V72">
        <f>IF(B72="","",IF(COUNTIF($B$6:B72,B72)=1,1,0))</f>
        <v/>
      </c>
      <c r="W72">
        <f>IF(B72="","",B72-WEEKDAY(B72,3))</f>
        <v/>
      </c>
      <c r="X72">
        <f>IF(D72="","",MAX(IF(N(F72)=0,0,IF(N(E72)&gt;0,E72*(1+F72/30),F72)),IF(N(H72)=0,0,IF(N(G72)&gt;0,G72*(1+H72/30),H72)),IF(N(J72)=0,0,IF(N(I72)&gt;0,I72*(1+J72/30),J72)),IF(N(L72)=0,0,IF(N(K72)&gt;0,K72*(1+L72/30),L72)),IF(N(N72)=0,0,IF(N(M72)&gt;0,M72*(1+N72/30),N72))))</f>
        <v/>
      </c>
      <c r="Y72">
        <f>IF(N(X72)=0,"",X72+ROW()/1000000000)</f>
        <v/>
      </c>
      <c r="Z72">
        <f>IF(Y72="","",IF(COUNTIFS(Log!$D$6:$D$1505,D72,Log!$Y$6:$Y$1505,"&gt;"&amp;Y72)=0,1,0))</f>
        <v/>
      </c>
      <c r="AA72">
        <f>IF(OR(B72="",D72=""),"",B72+ROW()/10000000)</f>
        <v/>
      </c>
      <c r="AB72">
        <f>IF(AA72="","",IF(COUNTIFS(Log!$D$6:$D$1505,D72,Log!$AA$6:$AA$1505,"&gt;"&amp;AA72)=0,1,0))</f>
        <v/>
      </c>
      <c r="AC72">
        <f>IF(S72="New best",AA72,"")</f>
        <v/>
      </c>
      <c r="AD72">
        <f>ROW()</f>
        <v/>
      </c>
    </row>
    <row r="73">
      <c r="A73" s="1" t="n"/>
      <c r="B73" s="21" t="n">
        <v>46228</v>
      </c>
      <c r="C73" s="22" t="inlineStr">
        <is>
          <t>Lower</t>
        </is>
      </c>
      <c r="D73" s="23" t="inlineStr">
        <is>
          <t>Leg press</t>
        </is>
      </c>
      <c r="E73" s="24" t="n">
        <v>245</v>
      </c>
      <c r="F73" s="24" t="n">
        <v>15</v>
      </c>
      <c r="G73" s="24" t="n">
        <v>245</v>
      </c>
      <c r="H73" s="24" t="n">
        <v>14</v>
      </c>
      <c r="I73" s="24" t="n">
        <v>245</v>
      </c>
      <c r="J73" s="24" t="n">
        <v>12</v>
      </c>
      <c r="K73" s="24" t="n"/>
      <c r="L73" s="24" t="n"/>
      <c r="M73" s="24" t="n"/>
      <c r="N73" s="24" t="n"/>
      <c r="O73" s="15">
        <f>IF(D73="","",COUNT(F73,H73,J73,L73,N73))</f>
        <v/>
      </c>
      <c r="P73" s="25">
        <f>IF(D73="","",N(E73)*N(F73)+N(G73)*N(H73)+N(I73)*N(J73)+N(K73)*N(L73)+N(M73)*N(N73))</f>
        <v/>
      </c>
      <c r="Q73" s="18">
        <f>IF(N(X73)=0,"",IF(IF(N(F73)=0,0,IF(N(E73)&gt;0,E73*(1+F73/30),F73))=X73,IF(N(E73)&gt;0,E73&amp;" x "&amp;F73,F73&amp;" reps"),IF(IF(N(H73)=0,0,IF(N(G73)&gt;0,G73*(1+H73/30),H73))=X73,IF(N(G73)&gt;0,G73&amp;" x "&amp;H73,H73&amp;" reps"),IF(IF(N(J73)=0,0,IF(N(I73)&gt;0,I73*(1+J73/30),J73))=X73,IF(N(I73)&gt;0,I73&amp;" x "&amp;J73,J73&amp;" reps"),IF(IF(N(L73)=0,0,IF(N(K73)&gt;0,K73*(1+L73/30),L73))=X73,IF(N(K73)&gt;0,K73&amp;" x "&amp;L73,L73&amp;" reps"),IF(IF(N(N73)=0,0,IF(N(M73)&gt;0,M73*(1+N73/30),N73))=X73,IF(N(M73)&gt;0,M73&amp;" x "&amp;N73,N73&amp;" reps"),""))))))</f>
        <v/>
      </c>
      <c r="R73" s="20">
        <f>IF(N(X73)=0,"",ROUND(X73,1))</f>
        <v/>
      </c>
      <c r="S73" s="18">
        <f>IF(N(X73)=0,"",IF(AND(COUNTIFS(Log!$D$6:$D$1505,D73,Log!$B$6:$B$1505,"&lt;"&amp;B73)&gt;0,COUNTIFS(Log!$D$6:$D$1505,D73,Log!$B$6:$B$1505,"&lt;"&amp;B73,Log!$X$6:$X$1505,"&gt;="&amp;X73)=0),"New best",""))</f>
        <v/>
      </c>
      <c r="T73" s="26" t="n"/>
      <c r="U73" s="1">
        <f>IF(D73="","",IFERROR(INDEX(Exercises!$C$6:$C$105,MATCH(D73,Exercises!$B$6:$B$105,0)),"Other"))</f>
        <v/>
      </c>
      <c r="V73">
        <f>IF(B73="","",IF(COUNTIF($B$6:B73,B73)=1,1,0))</f>
        <v/>
      </c>
      <c r="W73">
        <f>IF(B73="","",B73-WEEKDAY(B73,3))</f>
        <v/>
      </c>
      <c r="X73">
        <f>IF(D73="","",MAX(IF(N(F73)=0,0,IF(N(E73)&gt;0,E73*(1+F73/30),F73)),IF(N(H73)=0,0,IF(N(G73)&gt;0,G73*(1+H73/30),H73)),IF(N(J73)=0,0,IF(N(I73)&gt;0,I73*(1+J73/30),J73)),IF(N(L73)=0,0,IF(N(K73)&gt;0,K73*(1+L73/30),L73)),IF(N(N73)=0,0,IF(N(M73)&gt;0,M73*(1+N73/30),N73))))</f>
        <v/>
      </c>
      <c r="Y73">
        <f>IF(N(X73)=0,"",X73+ROW()/1000000000)</f>
        <v/>
      </c>
      <c r="Z73">
        <f>IF(Y73="","",IF(COUNTIFS(Log!$D$6:$D$1505,D73,Log!$Y$6:$Y$1505,"&gt;"&amp;Y73)=0,1,0))</f>
        <v/>
      </c>
      <c r="AA73">
        <f>IF(OR(B73="",D73=""),"",B73+ROW()/10000000)</f>
        <v/>
      </c>
      <c r="AB73">
        <f>IF(AA73="","",IF(COUNTIFS(Log!$D$6:$D$1505,D73,Log!$AA$6:$AA$1505,"&gt;"&amp;AA73)=0,1,0))</f>
        <v/>
      </c>
      <c r="AC73">
        <f>IF(S73="New best",AA73,"")</f>
        <v/>
      </c>
      <c r="AD73">
        <f>ROW()</f>
        <v/>
      </c>
    </row>
    <row r="74">
      <c r="A74" s="1" t="n"/>
      <c r="B74" s="21" t="n">
        <v>46228</v>
      </c>
      <c r="C74" s="22" t="inlineStr">
        <is>
          <t>Lower</t>
        </is>
      </c>
      <c r="D74" s="23" t="inlineStr">
        <is>
          <t>Calf raise</t>
        </is>
      </c>
      <c r="E74" s="24" t="n">
        <v>80</v>
      </c>
      <c r="F74" s="24" t="n">
        <v>15</v>
      </c>
      <c r="G74" s="24" t="n">
        <v>80</v>
      </c>
      <c r="H74" s="24" t="n">
        <v>15</v>
      </c>
      <c r="I74" s="24" t="n">
        <v>80</v>
      </c>
      <c r="J74" s="24" t="n">
        <v>15</v>
      </c>
      <c r="K74" s="24" t="n"/>
      <c r="L74" s="24" t="n"/>
      <c r="M74" s="24" t="n"/>
      <c r="N74" s="24" t="n"/>
      <c r="O74" s="15">
        <f>IF(D74="","",COUNT(F74,H74,J74,L74,N74))</f>
        <v/>
      </c>
      <c r="P74" s="25">
        <f>IF(D74="","",N(E74)*N(F74)+N(G74)*N(H74)+N(I74)*N(J74)+N(K74)*N(L74)+N(M74)*N(N74))</f>
        <v/>
      </c>
      <c r="Q74" s="18">
        <f>IF(N(X74)=0,"",IF(IF(N(F74)=0,0,IF(N(E74)&gt;0,E74*(1+F74/30),F74))=X74,IF(N(E74)&gt;0,E74&amp;" x "&amp;F74,F74&amp;" reps"),IF(IF(N(H74)=0,0,IF(N(G74)&gt;0,G74*(1+H74/30),H74))=X74,IF(N(G74)&gt;0,G74&amp;" x "&amp;H74,H74&amp;" reps"),IF(IF(N(J74)=0,0,IF(N(I74)&gt;0,I74*(1+J74/30),J74))=X74,IF(N(I74)&gt;0,I74&amp;" x "&amp;J74,J74&amp;" reps"),IF(IF(N(L74)=0,0,IF(N(K74)&gt;0,K74*(1+L74/30),L74))=X74,IF(N(K74)&gt;0,K74&amp;" x "&amp;L74,L74&amp;" reps"),IF(IF(N(N74)=0,0,IF(N(M74)&gt;0,M74*(1+N74/30),N74))=X74,IF(N(M74)&gt;0,M74&amp;" x "&amp;N74,N74&amp;" reps"),""))))))</f>
        <v/>
      </c>
      <c r="R74" s="20">
        <f>IF(N(X74)=0,"",ROUND(X74,1))</f>
        <v/>
      </c>
      <c r="S74" s="18">
        <f>IF(N(X74)=0,"",IF(AND(COUNTIFS(Log!$D$6:$D$1505,D74,Log!$B$6:$B$1505,"&lt;"&amp;B74)&gt;0,COUNTIFS(Log!$D$6:$D$1505,D74,Log!$B$6:$B$1505,"&lt;"&amp;B74,Log!$X$6:$X$1505,"&gt;="&amp;X74)=0),"New best",""))</f>
        <v/>
      </c>
      <c r="T74" s="26" t="inlineStr">
        <is>
          <t>Short on time</t>
        </is>
      </c>
      <c r="U74" s="1">
        <f>IF(D74="","",IFERROR(INDEX(Exercises!$C$6:$C$105,MATCH(D74,Exercises!$B$6:$B$105,0)),"Other"))</f>
        <v/>
      </c>
      <c r="V74">
        <f>IF(B74="","",IF(COUNTIF($B$6:B74,B74)=1,1,0))</f>
        <v/>
      </c>
      <c r="W74">
        <f>IF(B74="","",B74-WEEKDAY(B74,3))</f>
        <v/>
      </c>
      <c r="X74">
        <f>IF(D74="","",MAX(IF(N(F74)=0,0,IF(N(E74)&gt;0,E74*(1+F74/30),F74)),IF(N(H74)=0,0,IF(N(G74)&gt;0,G74*(1+H74/30),H74)),IF(N(J74)=0,0,IF(N(I74)&gt;0,I74*(1+J74/30),J74)),IF(N(L74)=0,0,IF(N(K74)&gt;0,K74*(1+L74/30),L74)),IF(N(N74)=0,0,IF(N(M74)&gt;0,M74*(1+N74/30),N74))))</f>
        <v/>
      </c>
      <c r="Y74">
        <f>IF(N(X74)=0,"",X74+ROW()/1000000000)</f>
        <v/>
      </c>
      <c r="Z74">
        <f>IF(Y74="","",IF(COUNTIFS(Log!$D$6:$D$1505,D74,Log!$Y$6:$Y$1505,"&gt;"&amp;Y74)=0,1,0))</f>
        <v/>
      </c>
      <c r="AA74">
        <f>IF(OR(B74="",D74=""),"",B74+ROW()/10000000)</f>
        <v/>
      </c>
      <c r="AB74">
        <f>IF(AA74="","",IF(COUNTIFS(Log!$D$6:$D$1505,D74,Log!$AA$6:$AA$1505,"&gt;"&amp;AA74)=0,1,0))</f>
        <v/>
      </c>
      <c r="AC74">
        <f>IF(S74="New best",AA74,"")</f>
        <v/>
      </c>
      <c r="AD74">
        <f>ROW()</f>
        <v/>
      </c>
    </row>
    <row r="75">
      <c r="A75" s="1" t="n"/>
      <c r="B75" s="21" t="n">
        <v>46230</v>
      </c>
      <c r="C75" s="22" t="inlineStr">
        <is>
          <t>Push</t>
        </is>
      </c>
      <c r="D75" s="23" t="inlineStr">
        <is>
          <t>Bench press</t>
        </is>
      </c>
      <c r="E75" s="24" t="n">
        <v>140</v>
      </c>
      <c r="F75" s="24" t="n">
        <v>7</v>
      </c>
      <c r="G75" s="24" t="n">
        <v>140</v>
      </c>
      <c r="H75" s="24" t="n">
        <v>7</v>
      </c>
      <c r="I75" s="24" t="n">
        <v>140</v>
      </c>
      <c r="J75" s="24" t="n">
        <v>6</v>
      </c>
      <c r="K75" s="24" t="n">
        <v>140</v>
      </c>
      <c r="L75" s="24" t="n">
        <v>6</v>
      </c>
      <c r="M75" s="24" t="n"/>
      <c r="N75" s="24" t="n"/>
      <c r="O75" s="15">
        <f>IF(D75="","",COUNT(F75,H75,J75,L75,N75))</f>
        <v/>
      </c>
      <c r="P75" s="25">
        <f>IF(D75="","",N(E75)*N(F75)+N(G75)*N(H75)+N(I75)*N(J75)+N(K75)*N(L75)+N(M75)*N(N75))</f>
        <v/>
      </c>
      <c r="Q75" s="18">
        <f>IF(N(X75)=0,"",IF(IF(N(F75)=0,0,IF(N(E75)&gt;0,E75*(1+F75/30),F75))=X75,IF(N(E75)&gt;0,E75&amp;" x "&amp;F75,F75&amp;" reps"),IF(IF(N(H75)=0,0,IF(N(G75)&gt;0,G75*(1+H75/30),H75))=X75,IF(N(G75)&gt;0,G75&amp;" x "&amp;H75,H75&amp;" reps"),IF(IF(N(J75)=0,0,IF(N(I75)&gt;0,I75*(1+J75/30),J75))=X75,IF(N(I75)&gt;0,I75&amp;" x "&amp;J75,J75&amp;" reps"),IF(IF(N(L75)=0,0,IF(N(K75)&gt;0,K75*(1+L75/30),L75))=X75,IF(N(K75)&gt;0,K75&amp;" x "&amp;L75,L75&amp;" reps"),IF(IF(N(N75)=0,0,IF(N(M75)&gt;0,M75*(1+N75/30),N75))=X75,IF(N(M75)&gt;0,M75&amp;" x "&amp;N75,N75&amp;" reps"),""))))))</f>
        <v/>
      </c>
      <c r="R75" s="20">
        <f>IF(N(X75)=0,"",ROUND(X75,1))</f>
        <v/>
      </c>
      <c r="S75" s="18">
        <f>IF(N(X75)=0,"",IF(AND(COUNTIFS(Log!$D$6:$D$1505,D75,Log!$B$6:$B$1505,"&lt;"&amp;B75)&gt;0,COUNTIFS(Log!$D$6:$D$1505,D75,Log!$B$6:$B$1505,"&lt;"&amp;B75,Log!$X$6:$X$1505,"&gt;="&amp;X75)=0),"New best",""))</f>
        <v/>
      </c>
      <c r="T75" s="26" t="n"/>
      <c r="U75" s="1">
        <f>IF(D75="","",IFERROR(INDEX(Exercises!$C$6:$C$105,MATCH(D75,Exercises!$B$6:$B$105,0)),"Other"))</f>
        <v/>
      </c>
      <c r="V75">
        <f>IF(B75="","",IF(COUNTIF($B$6:B75,B75)=1,1,0))</f>
        <v/>
      </c>
      <c r="W75">
        <f>IF(B75="","",B75-WEEKDAY(B75,3))</f>
        <v/>
      </c>
      <c r="X75">
        <f>IF(D75="","",MAX(IF(N(F75)=0,0,IF(N(E75)&gt;0,E75*(1+F75/30),F75)),IF(N(H75)=0,0,IF(N(G75)&gt;0,G75*(1+H75/30),H75)),IF(N(J75)=0,0,IF(N(I75)&gt;0,I75*(1+J75/30),J75)),IF(N(L75)=0,0,IF(N(K75)&gt;0,K75*(1+L75/30),L75)),IF(N(N75)=0,0,IF(N(M75)&gt;0,M75*(1+N75/30),N75))))</f>
        <v/>
      </c>
      <c r="Y75">
        <f>IF(N(X75)=0,"",X75+ROW()/1000000000)</f>
        <v/>
      </c>
      <c r="Z75">
        <f>IF(Y75="","",IF(COUNTIFS(Log!$D$6:$D$1505,D75,Log!$Y$6:$Y$1505,"&gt;"&amp;Y75)=0,1,0))</f>
        <v/>
      </c>
      <c r="AA75">
        <f>IF(OR(B75="",D75=""),"",B75+ROW()/10000000)</f>
        <v/>
      </c>
      <c r="AB75">
        <f>IF(AA75="","",IF(COUNTIFS(Log!$D$6:$D$1505,D75,Log!$AA$6:$AA$1505,"&gt;"&amp;AA75)=0,1,0))</f>
        <v/>
      </c>
      <c r="AC75">
        <f>IF(S75="New best",AA75,"")</f>
        <v/>
      </c>
      <c r="AD75">
        <f>ROW()</f>
        <v/>
      </c>
    </row>
    <row r="76">
      <c r="A76" s="1" t="n"/>
      <c r="B76" s="21" t="n">
        <v>46230</v>
      </c>
      <c r="C76" s="22" t="inlineStr">
        <is>
          <t>Push</t>
        </is>
      </c>
      <c r="D76" s="23" t="inlineStr">
        <is>
          <t>Overhead press</t>
        </is>
      </c>
      <c r="E76" s="24" t="n">
        <v>90</v>
      </c>
      <c r="F76" s="24" t="n">
        <v>9</v>
      </c>
      <c r="G76" s="24" t="n">
        <v>90</v>
      </c>
      <c r="H76" s="24" t="n">
        <v>8</v>
      </c>
      <c r="I76" s="24" t="n">
        <v>90</v>
      </c>
      <c r="J76" s="24" t="n">
        <v>8</v>
      </c>
      <c r="K76" s="24" t="n"/>
      <c r="L76" s="24" t="n"/>
      <c r="M76" s="24" t="n"/>
      <c r="N76" s="24" t="n"/>
      <c r="O76" s="15">
        <f>IF(D76="","",COUNT(F76,H76,J76,L76,N76))</f>
        <v/>
      </c>
      <c r="P76" s="25">
        <f>IF(D76="","",N(E76)*N(F76)+N(G76)*N(H76)+N(I76)*N(J76)+N(K76)*N(L76)+N(M76)*N(N76))</f>
        <v/>
      </c>
      <c r="Q76" s="18">
        <f>IF(N(X76)=0,"",IF(IF(N(F76)=0,0,IF(N(E76)&gt;0,E76*(1+F76/30),F76))=X76,IF(N(E76)&gt;0,E76&amp;" x "&amp;F76,F76&amp;" reps"),IF(IF(N(H76)=0,0,IF(N(G76)&gt;0,G76*(1+H76/30),H76))=X76,IF(N(G76)&gt;0,G76&amp;" x "&amp;H76,H76&amp;" reps"),IF(IF(N(J76)=0,0,IF(N(I76)&gt;0,I76*(1+J76/30),J76))=X76,IF(N(I76)&gt;0,I76&amp;" x "&amp;J76,J76&amp;" reps"),IF(IF(N(L76)=0,0,IF(N(K76)&gt;0,K76*(1+L76/30),L76))=X76,IF(N(K76)&gt;0,K76&amp;" x "&amp;L76,L76&amp;" reps"),IF(IF(N(N76)=0,0,IF(N(M76)&gt;0,M76*(1+N76/30),N76))=X76,IF(N(M76)&gt;0,M76&amp;" x "&amp;N76,N76&amp;" reps"),""))))))</f>
        <v/>
      </c>
      <c r="R76" s="20">
        <f>IF(N(X76)=0,"",ROUND(X76,1))</f>
        <v/>
      </c>
      <c r="S76" s="18">
        <f>IF(N(X76)=0,"",IF(AND(COUNTIFS(Log!$D$6:$D$1505,D76,Log!$B$6:$B$1505,"&lt;"&amp;B76)&gt;0,COUNTIFS(Log!$D$6:$D$1505,D76,Log!$B$6:$B$1505,"&lt;"&amp;B76,Log!$X$6:$X$1505,"&gt;="&amp;X76)=0),"New best",""))</f>
        <v/>
      </c>
      <c r="T76" s="26" t="inlineStr">
        <is>
          <t>Slept badly</t>
        </is>
      </c>
      <c r="U76" s="1">
        <f>IF(D76="","",IFERROR(INDEX(Exercises!$C$6:$C$105,MATCH(D76,Exercises!$B$6:$B$105,0)),"Other"))</f>
        <v/>
      </c>
      <c r="V76">
        <f>IF(B76="","",IF(COUNTIF($B$6:B76,B76)=1,1,0))</f>
        <v/>
      </c>
      <c r="W76">
        <f>IF(B76="","",B76-WEEKDAY(B76,3))</f>
        <v/>
      </c>
      <c r="X76">
        <f>IF(D76="","",MAX(IF(N(F76)=0,0,IF(N(E76)&gt;0,E76*(1+F76/30),F76)),IF(N(H76)=0,0,IF(N(G76)&gt;0,G76*(1+H76/30),H76)),IF(N(J76)=0,0,IF(N(I76)&gt;0,I76*(1+J76/30),J76)),IF(N(L76)=0,0,IF(N(K76)&gt;0,K76*(1+L76/30),L76)),IF(N(N76)=0,0,IF(N(M76)&gt;0,M76*(1+N76/30),N76))))</f>
        <v/>
      </c>
      <c r="Y76">
        <f>IF(N(X76)=0,"",X76+ROW()/1000000000)</f>
        <v/>
      </c>
      <c r="Z76">
        <f>IF(Y76="","",IF(COUNTIFS(Log!$D$6:$D$1505,D76,Log!$Y$6:$Y$1505,"&gt;"&amp;Y76)=0,1,0))</f>
        <v/>
      </c>
      <c r="AA76">
        <f>IF(OR(B76="",D76=""),"",B76+ROW()/10000000)</f>
        <v/>
      </c>
      <c r="AB76">
        <f>IF(AA76="","",IF(COUNTIFS(Log!$D$6:$D$1505,D76,Log!$AA$6:$AA$1505,"&gt;"&amp;AA76)=0,1,0))</f>
        <v/>
      </c>
      <c r="AC76">
        <f>IF(S76="New best",AA76,"")</f>
        <v/>
      </c>
      <c r="AD76">
        <f>ROW()</f>
        <v/>
      </c>
    </row>
    <row r="77">
      <c r="A77" s="1" t="n"/>
      <c r="B77" s="21" t="n">
        <v>46230</v>
      </c>
      <c r="C77" s="22" t="inlineStr">
        <is>
          <t>Push</t>
        </is>
      </c>
      <c r="D77" s="23" t="inlineStr">
        <is>
          <t>Incline dumbbell press</t>
        </is>
      </c>
      <c r="E77" s="24" t="n">
        <v>50</v>
      </c>
      <c r="F77" s="24" t="n">
        <v>12</v>
      </c>
      <c r="G77" s="24" t="n">
        <v>50</v>
      </c>
      <c r="H77" s="24" t="n">
        <v>10</v>
      </c>
      <c r="I77" s="24" t="n">
        <v>50</v>
      </c>
      <c r="J77" s="24" t="n">
        <v>9</v>
      </c>
      <c r="K77" s="24" t="n"/>
      <c r="L77" s="24" t="n"/>
      <c r="M77" s="24" t="n"/>
      <c r="N77" s="24" t="n"/>
      <c r="O77" s="15">
        <f>IF(D77="","",COUNT(F77,H77,J77,L77,N77))</f>
        <v/>
      </c>
      <c r="P77" s="25">
        <f>IF(D77="","",N(E77)*N(F77)+N(G77)*N(H77)+N(I77)*N(J77)+N(K77)*N(L77)+N(M77)*N(N77))</f>
        <v/>
      </c>
      <c r="Q77" s="18">
        <f>IF(N(X77)=0,"",IF(IF(N(F77)=0,0,IF(N(E77)&gt;0,E77*(1+F77/30),F77))=X77,IF(N(E77)&gt;0,E77&amp;" x "&amp;F77,F77&amp;" reps"),IF(IF(N(H77)=0,0,IF(N(G77)&gt;0,G77*(1+H77/30),H77))=X77,IF(N(G77)&gt;0,G77&amp;" x "&amp;H77,H77&amp;" reps"),IF(IF(N(J77)=0,0,IF(N(I77)&gt;0,I77*(1+J77/30),J77))=X77,IF(N(I77)&gt;0,I77&amp;" x "&amp;J77,J77&amp;" reps"),IF(IF(N(L77)=0,0,IF(N(K77)&gt;0,K77*(1+L77/30),L77))=X77,IF(N(K77)&gt;0,K77&amp;" x "&amp;L77,L77&amp;" reps"),IF(IF(N(N77)=0,0,IF(N(M77)&gt;0,M77*(1+N77/30),N77))=X77,IF(N(M77)&gt;0,M77&amp;" x "&amp;N77,N77&amp;" reps"),""))))))</f>
        <v/>
      </c>
      <c r="R77" s="20">
        <f>IF(N(X77)=0,"",ROUND(X77,1))</f>
        <v/>
      </c>
      <c r="S77" s="18">
        <f>IF(N(X77)=0,"",IF(AND(COUNTIFS(Log!$D$6:$D$1505,D77,Log!$B$6:$B$1505,"&lt;"&amp;B77)&gt;0,COUNTIFS(Log!$D$6:$D$1505,D77,Log!$B$6:$B$1505,"&lt;"&amp;B77,Log!$X$6:$X$1505,"&gt;="&amp;X77)=0),"New best",""))</f>
        <v/>
      </c>
      <c r="T77" s="26" t="n"/>
      <c r="U77" s="1">
        <f>IF(D77="","",IFERROR(INDEX(Exercises!$C$6:$C$105,MATCH(D77,Exercises!$B$6:$B$105,0)),"Other"))</f>
        <v/>
      </c>
      <c r="V77">
        <f>IF(B77="","",IF(COUNTIF($B$6:B77,B77)=1,1,0))</f>
        <v/>
      </c>
      <c r="W77">
        <f>IF(B77="","",B77-WEEKDAY(B77,3))</f>
        <v/>
      </c>
      <c r="X77">
        <f>IF(D77="","",MAX(IF(N(F77)=0,0,IF(N(E77)&gt;0,E77*(1+F77/30),F77)),IF(N(H77)=0,0,IF(N(G77)&gt;0,G77*(1+H77/30),H77)),IF(N(J77)=0,0,IF(N(I77)&gt;0,I77*(1+J77/30),J77)),IF(N(L77)=0,0,IF(N(K77)&gt;0,K77*(1+L77/30),L77)),IF(N(N77)=0,0,IF(N(M77)&gt;0,M77*(1+N77/30),N77))))</f>
        <v/>
      </c>
      <c r="Y77">
        <f>IF(N(X77)=0,"",X77+ROW()/1000000000)</f>
        <v/>
      </c>
      <c r="Z77">
        <f>IF(Y77="","",IF(COUNTIFS(Log!$D$6:$D$1505,D77,Log!$Y$6:$Y$1505,"&gt;"&amp;Y77)=0,1,0))</f>
        <v/>
      </c>
      <c r="AA77">
        <f>IF(OR(B77="",D77=""),"",B77+ROW()/10000000)</f>
        <v/>
      </c>
      <c r="AB77">
        <f>IF(AA77="","",IF(COUNTIFS(Log!$D$6:$D$1505,D77,Log!$AA$6:$AA$1505,"&gt;"&amp;AA77)=0,1,0))</f>
        <v/>
      </c>
      <c r="AC77">
        <f>IF(S77="New best",AA77,"")</f>
        <v/>
      </c>
      <c r="AD77">
        <f>ROW()</f>
        <v/>
      </c>
    </row>
    <row r="78">
      <c r="A78" s="1" t="n"/>
      <c r="B78" s="21" t="n">
        <v>46230</v>
      </c>
      <c r="C78" s="22" t="inlineStr">
        <is>
          <t>Push</t>
        </is>
      </c>
      <c r="D78" s="23" t="inlineStr">
        <is>
          <t>Lateral raise</t>
        </is>
      </c>
      <c r="E78" s="24" t="n">
        <v>17.5</v>
      </c>
      <c r="F78" s="24" t="n">
        <v>15</v>
      </c>
      <c r="G78" s="24" t="n">
        <v>17.5</v>
      </c>
      <c r="H78" s="24" t="n">
        <v>14</v>
      </c>
      <c r="I78" s="24" t="n">
        <v>17.5</v>
      </c>
      <c r="J78" s="24" t="n">
        <v>13</v>
      </c>
      <c r="K78" s="24" t="n"/>
      <c r="L78" s="24" t="n"/>
      <c r="M78" s="24" t="n"/>
      <c r="N78" s="24" t="n"/>
      <c r="O78" s="15">
        <f>IF(D78="","",COUNT(F78,H78,J78,L78,N78))</f>
        <v/>
      </c>
      <c r="P78" s="25">
        <f>IF(D78="","",N(E78)*N(F78)+N(G78)*N(H78)+N(I78)*N(J78)+N(K78)*N(L78)+N(M78)*N(N78))</f>
        <v/>
      </c>
      <c r="Q78" s="18">
        <f>IF(N(X78)=0,"",IF(IF(N(F78)=0,0,IF(N(E78)&gt;0,E78*(1+F78/30),F78))=X78,IF(N(E78)&gt;0,E78&amp;" x "&amp;F78,F78&amp;" reps"),IF(IF(N(H78)=0,0,IF(N(G78)&gt;0,G78*(1+H78/30),H78))=X78,IF(N(G78)&gt;0,G78&amp;" x "&amp;H78,H78&amp;" reps"),IF(IF(N(J78)=0,0,IF(N(I78)&gt;0,I78*(1+J78/30),J78))=X78,IF(N(I78)&gt;0,I78&amp;" x "&amp;J78,J78&amp;" reps"),IF(IF(N(L78)=0,0,IF(N(K78)&gt;0,K78*(1+L78/30),L78))=X78,IF(N(K78)&gt;0,K78&amp;" x "&amp;L78,L78&amp;" reps"),IF(IF(N(N78)=0,0,IF(N(M78)&gt;0,M78*(1+N78/30),N78))=X78,IF(N(M78)&gt;0,M78&amp;" x "&amp;N78,N78&amp;" reps"),""))))))</f>
        <v/>
      </c>
      <c r="R78" s="20">
        <f>IF(N(X78)=0,"",ROUND(X78,1))</f>
        <v/>
      </c>
      <c r="S78" s="18">
        <f>IF(N(X78)=0,"",IF(AND(COUNTIFS(Log!$D$6:$D$1505,D78,Log!$B$6:$B$1505,"&lt;"&amp;B78)&gt;0,COUNTIFS(Log!$D$6:$D$1505,D78,Log!$B$6:$B$1505,"&lt;"&amp;B78,Log!$X$6:$X$1505,"&gt;="&amp;X78)=0),"New best",""))</f>
        <v/>
      </c>
      <c r="T78" s="26" t="n"/>
      <c r="U78" s="1">
        <f>IF(D78="","",IFERROR(INDEX(Exercises!$C$6:$C$105,MATCH(D78,Exercises!$B$6:$B$105,0)),"Other"))</f>
        <v/>
      </c>
      <c r="V78">
        <f>IF(B78="","",IF(COUNTIF($B$6:B78,B78)=1,1,0))</f>
        <v/>
      </c>
      <c r="W78">
        <f>IF(B78="","",B78-WEEKDAY(B78,3))</f>
        <v/>
      </c>
      <c r="X78">
        <f>IF(D78="","",MAX(IF(N(F78)=0,0,IF(N(E78)&gt;0,E78*(1+F78/30),F78)),IF(N(H78)=0,0,IF(N(G78)&gt;0,G78*(1+H78/30),H78)),IF(N(J78)=0,0,IF(N(I78)&gt;0,I78*(1+J78/30),J78)),IF(N(L78)=0,0,IF(N(K78)&gt;0,K78*(1+L78/30),L78)),IF(N(N78)=0,0,IF(N(M78)&gt;0,M78*(1+N78/30),N78))))</f>
        <v/>
      </c>
      <c r="Y78">
        <f>IF(N(X78)=0,"",X78+ROW()/1000000000)</f>
        <v/>
      </c>
      <c r="Z78">
        <f>IF(Y78="","",IF(COUNTIFS(Log!$D$6:$D$1505,D78,Log!$Y$6:$Y$1505,"&gt;"&amp;Y78)=0,1,0))</f>
        <v/>
      </c>
      <c r="AA78">
        <f>IF(OR(B78="",D78=""),"",B78+ROW()/10000000)</f>
        <v/>
      </c>
      <c r="AB78">
        <f>IF(AA78="","",IF(COUNTIFS(Log!$D$6:$D$1505,D78,Log!$AA$6:$AA$1505,"&gt;"&amp;AA78)=0,1,0))</f>
        <v/>
      </c>
      <c r="AC78">
        <f>IF(S78="New best",AA78,"")</f>
        <v/>
      </c>
      <c r="AD78">
        <f>ROW()</f>
        <v/>
      </c>
    </row>
    <row r="79">
      <c r="A79" s="1" t="n"/>
      <c r="B79" s="21" t="n">
        <v>46230</v>
      </c>
      <c r="C79" s="22" t="inlineStr">
        <is>
          <t>Push</t>
        </is>
      </c>
      <c r="D79" s="23" t="inlineStr">
        <is>
          <t>Triceps pushdown</t>
        </is>
      </c>
      <c r="E79" s="24" t="n">
        <v>45</v>
      </c>
      <c r="F79" s="24" t="n">
        <v>11</v>
      </c>
      <c r="G79" s="24" t="n">
        <v>45</v>
      </c>
      <c r="H79" s="24" t="n">
        <v>11</v>
      </c>
      <c r="I79" s="24" t="n">
        <v>45</v>
      </c>
      <c r="J79" s="24" t="n">
        <v>10</v>
      </c>
      <c r="K79" s="24" t="n"/>
      <c r="L79" s="24" t="n"/>
      <c r="M79" s="24" t="n"/>
      <c r="N79" s="24" t="n"/>
      <c r="O79" s="15">
        <f>IF(D79="","",COUNT(F79,H79,J79,L79,N79))</f>
        <v/>
      </c>
      <c r="P79" s="25">
        <f>IF(D79="","",N(E79)*N(F79)+N(G79)*N(H79)+N(I79)*N(J79)+N(K79)*N(L79)+N(M79)*N(N79))</f>
        <v/>
      </c>
      <c r="Q79" s="18">
        <f>IF(N(X79)=0,"",IF(IF(N(F79)=0,0,IF(N(E79)&gt;0,E79*(1+F79/30),F79))=X79,IF(N(E79)&gt;0,E79&amp;" x "&amp;F79,F79&amp;" reps"),IF(IF(N(H79)=0,0,IF(N(G79)&gt;0,G79*(1+H79/30),H79))=X79,IF(N(G79)&gt;0,G79&amp;" x "&amp;H79,H79&amp;" reps"),IF(IF(N(J79)=0,0,IF(N(I79)&gt;0,I79*(1+J79/30),J79))=X79,IF(N(I79)&gt;0,I79&amp;" x "&amp;J79,J79&amp;" reps"),IF(IF(N(L79)=0,0,IF(N(K79)&gt;0,K79*(1+L79/30),L79))=X79,IF(N(K79)&gt;0,K79&amp;" x "&amp;L79,L79&amp;" reps"),IF(IF(N(N79)=0,0,IF(N(M79)&gt;0,M79*(1+N79/30),N79))=X79,IF(N(M79)&gt;0,M79&amp;" x "&amp;N79,N79&amp;" reps"),""))))))</f>
        <v/>
      </c>
      <c r="R79" s="20">
        <f>IF(N(X79)=0,"",ROUND(X79,1))</f>
        <v/>
      </c>
      <c r="S79" s="18">
        <f>IF(N(X79)=0,"",IF(AND(COUNTIFS(Log!$D$6:$D$1505,D79,Log!$B$6:$B$1505,"&lt;"&amp;B79)&gt;0,COUNTIFS(Log!$D$6:$D$1505,D79,Log!$B$6:$B$1505,"&lt;"&amp;B79,Log!$X$6:$X$1505,"&gt;="&amp;X79)=0),"New best",""))</f>
        <v/>
      </c>
      <c r="T79" s="26" t="n"/>
      <c r="U79" s="1">
        <f>IF(D79="","",IFERROR(INDEX(Exercises!$C$6:$C$105,MATCH(D79,Exercises!$B$6:$B$105,0)),"Other"))</f>
        <v/>
      </c>
      <c r="V79">
        <f>IF(B79="","",IF(COUNTIF($B$6:B79,B79)=1,1,0))</f>
        <v/>
      </c>
      <c r="W79">
        <f>IF(B79="","",B79-WEEKDAY(B79,3))</f>
        <v/>
      </c>
      <c r="X79">
        <f>IF(D79="","",MAX(IF(N(F79)=0,0,IF(N(E79)&gt;0,E79*(1+F79/30),F79)),IF(N(H79)=0,0,IF(N(G79)&gt;0,G79*(1+H79/30),H79)),IF(N(J79)=0,0,IF(N(I79)&gt;0,I79*(1+J79/30),J79)),IF(N(L79)=0,0,IF(N(K79)&gt;0,K79*(1+L79/30),L79)),IF(N(N79)=0,0,IF(N(M79)&gt;0,M79*(1+N79/30),N79))))</f>
        <v/>
      </c>
      <c r="Y79">
        <f>IF(N(X79)=0,"",X79+ROW()/1000000000)</f>
        <v/>
      </c>
      <c r="Z79">
        <f>IF(Y79="","",IF(COUNTIFS(Log!$D$6:$D$1505,D79,Log!$Y$6:$Y$1505,"&gt;"&amp;Y79)=0,1,0))</f>
        <v/>
      </c>
      <c r="AA79">
        <f>IF(OR(B79="",D79=""),"",B79+ROW()/10000000)</f>
        <v/>
      </c>
      <c r="AB79">
        <f>IF(AA79="","",IF(COUNTIFS(Log!$D$6:$D$1505,D79,Log!$AA$6:$AA$1505,"&gt;"&amp;AA79)=0,1,0))</f>
        <v/>
      </c>
      <c r="AC79">
        <f>IF(S79="New best",AA79,"")</f>
        <v/>
      </c>
      <c r="AD79">
        <f>ROW()</f>
        <v/>
      </c>
    </row>
    <row r="80">
      <c r="A80" s="1" t="n"/>
      <c r="B80" s="21" t="n">
        <v>46231</v>
      </c>
      <c r="C80" s="22" t="inlineStr">
        <is>
          <t>Pull</t>
        </is>
      </c>
      <c r="D80" s="23" t="inlineStr">
        <is>
          <t>Deadlift</t>
        </is>
      </c>
      <c r="E80" s="24" t="n">
        <v>235</v>
      </c>
      <c r="F80" s="24" t="n">
        <v>5</v>
      </c>
      <c r="G80" s="24" t="n">
        <v>235</v>
      </c>
      <c r="H80" s="24" t="n">
        <v>5</v>
      </c>
      <c r="I80" s="24" t="n">
        <v>235</v>
      </c>
      <c r="J80" s="24" t="n">
        <v>5</v>
      </c>
      <c r="K80" s="24" t="n"/>
      <c r="L80" s="24" t="n"/>
      <c r="M80" s="24" t="n"/>
      <c r="N80" s="24" t="n"/>
      <c r="O80" s="15">
        <f>IF(D80="","",COUNT(F80,H80,J80,L80,N80))</f>
        <v/>
      </c>
      <c r="P80" s="25">
        <f>IF(D80="","",N(E80)*N(F80)+N(G80)*N(H80)+N(I80)*N(J80)+N(K80)*N(L80)+N(M80)*N(N80))</f>
        <v/>
      </c>
      <c r="Q80" s="18">
        <f>IF(N(X80)=0,"",IF(IF(N(F80)=0,0,IF(N(E80)&gt;0,E80*(1+F80/30),F80))=X80,IF(N(E80)&gt;0,E80&amp;" x "&amp;F80,F80&amp;" reps"),IF(IF(N(H80)=0,0,IF(N(G80)&gt;0,G80*(1+H80/30),H80))=X80,IF(N(G80)&gt;0,G80&amp;" x "&amp;H80,H80&amp;" reps"),IF(IF(N(J80)=0,0,IF(N(I80)&gt;0,I80*(1+J80/30),J80))=X80,IF(N(I80)&gt;0,I80&amp;" x "&amp;J80,J80&amp;" reps"),IF(IF(N(L80)=0,0,IF(N(K80)&gt;0,K80*(1+L80/30),L80))=X80,IF(N(K80)&gt;0,K80&amp;" x "&amp;L80,L80&amp;" reps"),IF(IF(N(N80)=0,0,IF(N(M80)&gt;0,M80*(1+N80/30),N80))=X80,IF(N(M80)&gt;0,M80&amp;" x "&amp;N80,N80&amp;" reps"),""))))))</f>
        <v/>
      </c>
      <c r="R80" s="20">
        <f>IF(N(X80)=0,"",ROUND(X80,1))</f>
        <v/>
      </c>
      <c r="S80" s="18">
        <f>IF(N(X80)=0,"",IF(AND(COUNTIFS(Log!$D$6:$D$1505,D80,Log!$B$6:$B$1505,"&lt;"&amp;B80)&gt;0,COUNTIFS(Log!$D$6:$D$1505,D80,Log!$B$6:$B$1505,"&lt;"&amp;B80,Log!$X$6:$X$1505,"&gt;="&amp;X80)=0),"New best",""))</f>
        <v/>
      </c>
      <c r="T80" s="26" t="inlineStr">
        <is>
          <t>Short on time</t>
        </is>
      </c>
      <c r="U80" s="1">
        <f>IF(D80="","",IFERROR(INDEX(Exercises!$C$6:$C$105,MATCH(D80,Exercises!$B$6:$B$105,0)),"Other"))</f>
        <v/>
      </c>
      <c r="V80">
        <f>IF(B80="","",IF(COUNTIF($B$6:B80,B80)=1,1,0))</f>
        <v/>
      </c>
      <c r="W80">
        <f>IF(B80="","",B80-WEEKDAY(B80,3))</f>
        <v/>
      </c>
      <c r="X80">
        <f>IF(D80="","",MAX(IF(N(F80)=0,0,IF(N(E80)&gt;0,E80*(1+F80/30),F80)),IF(N(H80)=0,0,IF(N(G80)&gt;0,G80*(1+H80/30),H80)),IF(N(J80)=0,0,IF(N(I80)&gt;0,I80*(1+J80/30),J80)),IF(N(L80)=0,0,IF(N(K80)&gt;0,K80*(1+L80/30),L80)),IF(N(N80)=0,0,IF(N(M80)&gt;0,M80*(1+N80/30),N80))))</f>
        <v/>
      </c>
      <c r="Y80">
        <f>IF(N(X80)=0,"",X80+ROW()/1000000000)</f>
        <v/>
      </c>
      <c r="Z80">
        <f>IF(Y80="","",IF(COUNTIFS(Log!$D$6:$D$1505,D80,Log!$Y$6:$Y$1505,"&gt;"&amp;Y80)=0,1,0))</f>
        <v/>
      </c>
      <c r="AA80">
        <f>IF(OR(B80="",D80=""),"",B80+ROW()/10000000)</f>
        <v/>
      </c>
      <c r="AB80">
        <f>IF(AA80="","",IF(COUNTIFS(Log!$D$6:$D$1505,D80,Log!$AA$6:$AA$1505,"&gt;"&amp;AA80)=0,1,0))</f>
        <v/>
      </c>
      <c r="AC80">
        <f>IF(S80="New best",AA80,"")</f>
        <v/>
      </c>
      <c r="AD80">
        <f>ROW()</f>
        <v/>
      </c>
    </row>
    <row r="81">
      <c r="A81" s="1" t="n"/>
      <c r="B81" s="21" t="n">
        <v>46231</v>
      </c>
      <c r="C81" s="22" t="inlineStr">
        <is>
          <t>Pull</t>
        </is>
      </c>
      <c r="D81" s="23" t="inlineStr">
        <is>
          <t>Pull-up</t>
        </is>
      </c>
      <c r="E81" s="24" t="n"/>
      <c r="F81" s="24" t="n">
        <v>6</v>
      </c>
      <c r="G81" s="24" t="n"/>
      <c r="H81" s="24" t="n">
        <v>6</v>
      </c>
      <c r="I81" s="24" t="n"/>
      <c r="J81" s="24" t="n">
        <v>4</v>
      </c>
      <c r="K81" s="24" t="n"/>
      <c r="L81" s="24" t="n"/>
      <c r="M81" s="24" t="n"/>
      <c r="N81" s="24" t="n"/>
      <c r="O81" s="15">
        <f>IF(D81="","",COUNT(F81,H81,J81,L81,N81))</f>
        <v/>
      </c>
      <c r="P81" s="25">
        <f>IF(D81="","",N(E81)*N(F81)+N(G81)*N(H81)+N(I81)*N(J81)+N(K81)*N(L81)+N(M81)*N(N81))</f>
        <v/>
      </c>
      <c r="Q81" s="18">
        <f>IF(N(X81)=0,"",IF(IF(N(F81)=0,0,IF(N(E81)&gt;0,E81*(1+F81/30),F81))=X81,IF(N(E81)&gt;0,E81&amp;" x "&amp;F81,F81&amp;" reps"),IF(IF(N(H81)=0,0,IF(N(G81)&gt;0,G81*(1+H81/30),H81))=X81,IF(N(G81)&gt;0,G81&amp;" x "&amp;H81,H81&amp;" reps"),IF(IF(N(J81)=0,0,IF(N(I81)&gt;0,I81*(1+J81/30),J81))=X81,IF(N(I81)&gt;0,I81&amp;" x "&amp;J81,J81&amp;" reps"),IF(IF(N(L81)=0,0,IF(N(K81)&gt;0,K81*(1+L81/30),L81))=X81,IF(N(K81)&gt;0,K81&amp;" x "&amp;L81,L81&amp;" reps"),IF(IF(N(N81)=0,0,IF(N(M81)&gt;0,M81*(1+N81/30),N81))=X81,IF(N(M81)&gt;0,M81&amp;" x "&amp;N81,N81&amp;" reps"),""))))))</f>
        <v/>
      </c>
      <c r="R81" s="20">
        <f>IF(N(X81)=0,"",ROUND(X81,1))</f>
        <v/>
      </c>
      <c r="S81" s="18">
        <f>IF(N(X81)=0,"",IF(AND(COUNTIFS(Log!$D$6:$D$1505,D81,Log!$B$6:$B$1505,"&lt;"&amp;B81)&gt;0,COUNTIFS(Log!$D$6:$D$1505,D81,Log!$B$6:$B$1505,"&lt;"&amp;B81,Log!$X$6:$X$1505,"&gt;="&amp;X81)=0),"New best",""))</f>
        <v/>
      </c>
      <c r="T81" s="26" t="inlineStr">
        <is>
          <t>Felt strong</t>
        </is>
      </c>
      <c r="U81" s="1">
        <f>IF(D81="","",IFERROR(INDEX(Exercises!$C$6:$C$105,MATCH(D81,Exercises!$B$6:$B$105,0)),"Other"))</f>
        <v/>
      </c>
      <c r="V81">
        <f>IF(B81="","",IF(COUNTIF($B$6:B81,B81)=1,1,0))</f>
        <v/>
      </c>
      <c r="W81">
        <f>IF(B81="","",B81-WEEKDAY(B81,3))</f>
        <v/>
      </c>
      <c r="X81">
        <f>IF(D81="","",MAX(IF(N(F81)=0,0,IF(N(E81)&gt;0,E81*(1+F81/30),F81)),IF(N(H81)=0,0,IF(N(G81)&gt;0,G81*(1+H81/30),H81)),IF(N(J81)=0,0,IF(N(I81)&gt;0,I81*(1+J81/30),J81)),IF(N(L81)=0,0,IF(N(K81)&gt;0,K81*(1+L81/30),L81)),IF(N(N81)=0,0,IF(N(M81)&gt;0,M81*(1+N81/30),N81))))</f>
        <v/>
      </c>
      <c r="Y81">
        <f>IF(N(X81)=0,"",X81+ROW()/1000000000)</f>
        <v/>
      </c>
      <c r="Z81">
        <f>IF(Y81="","",IF(COUNTIFS(Log!$D$6:$D$1505,D81,Log!$Y$6:$Y$1505,"&gt;"&amp;Y81)=0,1,0))</f>
        <v/>
      </c>
      <c r="AA81">
        <f>IF(OR(B81="",D81=""),"",B81+ROW()/10000000)</f>
        <v/>
      </c>
      <c r="AB81">
        <f>IF(AA81="","",IF(COUNTIFS(Log!$D$6:$D$1505,D81,Log!$AA$6:$AA$1505,"&gt;"&amp;AA81)=0,1,0))</f>
        <v/>
      </c>
      <c r="AC81">
        <f>IF(S81="New best",AA81,"")</f>
        <v/>
      </c>
      <c r="AD81">
        <f>ROW()</f>
        <v/>
      </c>
    </row>
    <row r="82">
      <c r="A82" s="1" t="n"/>
      <c r="B82" s="21" t="n">
        <v>46231</v>
      </c>
      <c r="C82" s="22" t="inlineStr">
        <is>
          <t>Pull</t>
        </is>
      </c>
      <c r="D82" s="23" t="inlineStr">
        <is>
          <t>Barbell row</t>
        </is>
      </c>
      <c r="E82" s="24" t="n">
        <v>120</v>
      </c>
      <c r="F82" s="24" t="n">
        <v>10</v>
      </c>
      <c r="G82" s="24" t="n">
        <v>120</v>
      </c>
      <c r="H82" s="24" t="n">
        <v>8</v>
      </c>
      <c r="I82" s="24" t="n">
        <v>120</v>
      </c>
      <c r="J82" s="24" t="n">
        <v>8</v>
      </c>
      <c r="K82" s="24" t="n"/>
      <c r="L82" s="24" t="n"/>
      <c r="M82" s="24" t="n"/>
      <c r="N82" s="24" t="n"/>
      <c r="O82" s="15">
        <f>IF(D82="","",COUNT(F82,H82,J82,L82,N82))</f>
        <v/>
      </c>
      <c r="P82" s="25">
        <f>IF(D82="","",N(E82)*N(F82)+N(G82)*N(H82)+N(I82)*N(J82)+N(K82)*N(L82)+N(M82)*N(N82))</f>
        <v/>
      </c>
      <c r="Q82" s="18">
        <f>IF(N(X82)=0,"",IF(IF(N(F82)=0,0,IF(N(E82)&gt;0,E82*(1+F82/30),F82))=X82,IF(N(E82)&gt;0,E82&amp;" x "&amp;F82,F82&amp;" reps"),IF(IF(N(H82)=0,0,IF(N(G82)&gt;0,G82*(1+H82/30),H82))=X82,IF(N(G82)&gt;0,G82&amp;" x "&amp;H82,H82&amp;" reps"),IF(IF(N(J82)=0,0,IF(N(I82)&gt;0,I82*(1+J82/30),J82))=X82,IF(N(I82)&gt;0,I82&amp;" x "&amp;J82,J82&amp;" reps"),IF(IF(N(L82)=0,0,IF(N(K82)&gt;0,K82*(1+L82/30),L82))=X82,IF(N(K82)&gt;0,K82&amp;" x "&amp;L82,L82&amp;" reps"),IF(IF(N(N82)=0,0,IF(N(M82)&gt;0,M82*(1+N82/30),N82))=X82,IF(N(M82)&gt;0,M82&amp;" x "&amp;N82,N82&amp;" reps"),""))))))</f>
        <v/>
      </c>
      <c r="R82" s="20">
        <f>IF(N(X82)=0,"",ROUND(X82,1))</f>
        <v/>
      </c>
      <c r="S82" s="18">
        <f>IF(N(X82)=0,"",IF(AND(COUNTIFS(Log!$D$6:$D$1505,D82,Log!$B$6:$B$1505,"&lt;"&amp;B82)&gt;0,COUNTIFS(Log!$D$6:$D$1505,D82,Log!$B$6:$B$1505,"&lt;"&amp;B82,Log!$X$6:$X$1505,"&gt;="&amp;X82)=0),"New best",""))</f>
        <v/>
      </c>
      <c r="T82" s="26" t="n"/>
      <c r="U82" s="1">
        <f>IF(D82="","",IFERROR(INDEX(Exercises!$C$6:$C$105,MATCH(D82,Exercises!$B$6:$B$105,0)),"Other"))</f>
        <v/>
      </c>
      <c r="V82">
        <f>IF(B82="","",IF(COUNTIF($B$6:B82,B82)=1,1,0))</f>
        <v/>
      </c>
      <c r="W82">
        <f>IF(B82="","",B82-WEEKDAY(B82,3))</f>
        <v/>
      </c>
      <c r="X82">
        <f>IF(D82="","",MAX(IF(N(F82)=0,0,IF(N(E82)&gt;0,E82*(1+F82/30),F82)),IF(N(H82)=0,0,IF(N(G82)&gt;0,G82*(1+H82/30),H82)),IF(N(J82)=0,0,IF(N(I82)&gt;0,I82*(1+J82/30),J82)),IF(N(L82)=0,0,IF(N(K82)&gt;0,K82*(1+L82/30),L82)),IF(N(N82)=0,0,IF(N(M82)&gt;0,M82*(1+N82/30),N82))))</f>
        <v/>
      </c>
      <c r="Y82">
        <f>IF(N(X82)=0,"",X82+ROW()/1000000000)</f>
        <v/>
      </c>
      <c r="Z82">
        <f>IF(Y82="","",IF(COUNTIFS(Log!$D$6:$D$1505,D82,Log!$Y$6:$Y$1505,"&gt;"&amp;Y82)=0,1,0))</f>
        <v/>
      </c>
      <c r="AA82">
        <f>IF(OR(B82="",D82=""),"",B82+ROW()/10000000)</f>
        <v/>
      </c>
      <c r="AB82">
        <f>IF(AA82="","",IF(COUNTIFS(Log!$D$6:$D$1505,D82,Log!$AA$6:$AA$1505,"&gt;"&amp;AA82)=0,1,0))</f>
        <v/>
      </c>
      <c r="AC82">
        <f>IF(S82="New best",AA82,"")</f>
        <v/>
      </c>
      <c r="AD82">
        <f>ROW()</f>
        <v/>
      </c>
    </row>
    <row r="83">
      <c r="A83" s="1" t="n"/>
      <c r="B83" s="21" t="n">
        <v>46231</v>
      </c>
      <c r="C83" s="22" t="inlineStr">
        <is>
          <t>Pull</t>
        </is>
      </c>
      <c r="D83" s="23" t="inlineStr">
        <is>
          <t>Lat pulldown</t>
        </is>
      </c>
      <c r="E83" s="24" t="n">
        <v>105</v>
      </c>
      <c r="F83" s="24" t="n">
        <v>11</v>
      </c>
      <c r="G83" s="24" t="n">
        <v>105</v>
      </c>
      <c r="H83" s="24" t="n">
        <v>10</v>
      </c>
      <c r="I83" s="24" t="n">
        <v>105</v>
      </c>
      <c r="J83" s="24" t="n">
        <v>10</v>
      </c>
      <c r="K83" s="24" t="n"/>
      <c r="L83" s="24" t="n"/>
      <c r="M83" s="24" t="n"/>
      <c r="N83" s="24" t="n"/>
      <c r="O83" s="15">
        <f>IF(D83="","",COUNT(F83,H83,J83,L83,N83))</f>
        <v/>
      </c>
      <c r="P83" s="25">
        <f>IF(D83="","",N(E83)*N(F83)+N(G83)*N(H83)+N(I83)*N(J83)+N(K83)*N(L83)+N(M83)*N(N83))</f>
        <v/>
      </c>
      <c r="Q83" s="18">
        <f>IF(N(X83)=0,"",IF(IF(N(F83)=0,0,IF(N(E83)&gt;0,E83*(1+F83/30),F83))=X83,IF(N(E83)&gt;0,E83&amp;" x "&amp;F83,F83&amp;" reps"),IF(IF(N(H83)=0,0,IF(N(G83)&gt;0,G83*(1+H83/30),H83))=X83,IF(N(G83)&gt;0,G83&amp;" x "&amp;H83,H83&amp;" reps"),IF(IF(N(J83)=0,0,IF(N(I83)&gt;0,I83*(1+J83/30),J83))=X83,IF(N(I83)&gt;0,I83&amp;" x "&amp;J83,J83&amp;" reps"),IF(IF(N(L83)=0,0,IF(N(K83)&gt;0,K83*(1+L83/30),L83))=X83,IF(N(K83)&gt;0,K83&amp;" x "&amp;L83,L83&amp;" reps"),IF(IF(N(N83)=0,0,IF(N(M83)&gt;0,M83*(1+N83/30),N83))=X83,IF(N(M83)&gt;0,M83&amp;" x "&amp;N83,N83&amp;" reps"),""))))))</f>
        <v/>
      </c>
      <c r="R83" s="20">
        <f>IF(N(X83)=0,"",ROUND(X83,1))</f>
        <v/>
      </c>
      <c r="S83" s="18">
        <f>IF(N(X83)=0,"",IF(AND(COUNTIFS(Log!$D$6:$D$1505,D83,Log!$B$6:$B$1505,"&lt;"&amp;B83)&gt;0,COUNTIFS(Log!$D$6:$D$1505,D83,Log!$B$6:$B$1505,"&lt;"&amp;B83,Log!$X$6:$X$1505,"&gt;="&amp;X83)=0),"New best",""))</f>
        <v/>
      </c>
      <c r="T83" s="26" t="n"/>
      <c r="U83" s="1">
        <f>IF(D83="","",IFERROR(INDEX(Exercises!$C$6:$C$105,MATCH(D83,Exercises!$B$6:$B$105,0)),"Other"))</f>
        <v/>
      </c>
      <c r="V83">
        <f>IF(B83="","",IF(COUNTIF($B$6:B83,B83)=1,1,0))</f>
        <v/>
      </c>
      <c r="W83">
        <f>IF(B83="","",B83-WEEKDAY(B83,3))</f>
        <v/>
      </c>
      <c r="X83">
        <f>IF(D83="","",MAX(IF(N(F83)=0,0,IF(N(E83)&gt;0,E83*(1+F83/30),F83)),IF(N(H83)=0,0,IF(N(G83)&gt;0,G83*(1+H83/30),H83)),IF(N(J83)=0,0,IF(N(I83)&gt;0,I83*(1+J83/30),J83)),IF(N(L83)=0,0,IF(N(K83)&gt;0,K83*(1+L83/30),L83)),IF(N(N83)=0,0,IF(N(M83)&gt;0,M83*(1+N83/30),N83))))</f>
        <v/>
      </c>
      <c r="Y83">
        <f>IF(N(X83)=0,"",X83+ROW()/1000000000)</f>
        <v/>
      </c>
      <c r="Z83">
        <f>IF(Y83="","",IF(COUNTIFS(Log!$D$6:$D$1505,D83,Log!$Y$6:$Y$1505,"&gt;"&amp;Y83)=0,1,0))</f>
        <v/>
      </c>
      <c r="AA83">
        <f>IF(OR(B83="",D83=""),"",B83+ROW()/10000000)</f>
        <v/>
      </c>
      <c r="AB83">
        <f>IF(AA83="","",IF(COUNTIFS(Log!$D$6:$D$1505,D83,Log!$AA$6:$AA$1505,"&gt;"&amp;AA83)=0,1,0))</f>
        <v/>
      </c>
      <c r="AC83">
        <f>IF(S83="New best",AA83,"")</f>
        <v/>
      </c>
      <c r="AD83">
        <f>ROW()</f>
        <v/>
      </c>
    </row>
    <row r="84">
      <c r="A84" s="1" t="n"/>
      <c r="B84" s="21" t="n">
        <v>46231</v>
      </c>
      <c r="C84" s="22" t="inlineStr">
        <is>
          <t>Pull</t>
        </is>
      </c>
      <c r="D84" s="23" t="inlineStr">
        <is>
          <t>Biceps curl</t>
        </is>
      </c>
      <c r="E84" s="24" t="n">
        <v>27.5</v>
      </c>
      <c r="F84" s="24" t="n">
        <v>12</v>
      </c>
      <c r="G84" s="24" t="n">
        <v>27.5</v>
      </c>
      <c r="H84" s="24" t="n">
        <v>10</v>
      </c>
      <c r="I84" s="24" t="n">
        <v>27.5</v>
      </c>
      <c r="J84" s="24" t="n">
        <v>10</v>
      </c>
      <c r="K84" s="24" t="n"/>
      <c r="L84" s="24" t="n"/>
      <c r="M84" s="24" t="n"/>
      <c r="N84" s="24" t="n"/>
      <c r="O84" s="15">
        <f>IF(D84="","",COUNT(F84,H84,J84,L84,N84))</f>
        <v/>
      </c>
      <c r="P84" s="25">
        <f>IF(D84="","",N(E84)*N(F84)+N(G84)*N(H84)+N(I84)*N(J84)+N(K84)*N(L84)+N(M84)*N(N84))</f>
        <v/>
      </c>
      <c r="Q84" s="18">
        <f>IF(N(X84)=0,"",IF(IF(N(F84)=0,0,IF(N(E84)&gt;0,E84*(1+F84/30),F84))=X84,IF(N(E84)&gt;0,E84&amp;" x "&amp;F84,F84&amp;" reps"),IF(IF(N(H84)=0,0,IF(N(G84)&gt;0,G84*(1+H84/30),H84))=X84,IF(N(G84)&gt;0,G84&amp;" x "&amp;H84,H84&amp;" reps"),IF(IF(N(J84)=0,0,IF(N(I84)&gt;0,I84*(1+J84/30),J84))=X84,IF(N(I84)&gt;0,I84&amp;" x "&amp;J84,J84&amp;" reps"),IF(IF(N(L84)=0,0,IF(N(K84)&gt;0,K84*(1+L84/30),L84))=X84,IF(N(K84)&gt;0,K84&amp;" x "&amp;L84,L84&amp;" reps"),IF(IF(N(N84)=0,0,IF(N(M84)&gt;0,M84*(1+N84/30),N84))=X84,IF(N(M84)&gt;0,M84&amp;" x "&amp;N84,N84&amp;" reps"),""))))))</f>
        <v/>
      </c>
      <c r="R84" s="20">
        <f>IF(N(X84)=0,"",ROUND(X84,1))</f>
        <v/>
      </c>
      <c r="S84" s="18">
        <f>IF(N(X84)=0,"",IF(AND(COUNTIFS(Log!$D$6:$D$1505,D84,Log!$B$6:$B$1505,"&lt;"&amp;B84)&gt;0,COUNTIFS(Log!$D$6:$D$1505,D84,Log!$B$6:$B$1505,"&lt;"&amp;B84,Log!$X$6:$X$1505,"&gt;="&amp;X84)=0),"New best",""))</f>
        <v/>
      </c>
      <c r="T84" s="26" t="n"/>
      <c r="U84" s="1">
        <f>IF(D84="","",IFERROR(INDEX(Exercises!$C$6:$C$105,MATCH(D84,Exercises!$B$6:$B$105,0)),"Other"))</f>
        <v/>
      </c>
      <c r="V84">
        <f>IF(B84="","",IF(COUNTIF($B$6:B84,B84)=1,1,0))</f>
        <v/>
      </c>
      <c r="W84">
        <f>IF(B84="","",B84-WEEKDAY(B84,3))</f>
        <v/>
      </c>
      <c r="X84">
        <f>IF(D84="","",MAX(IF(N(F84)=0,0,IF(N(E84)&gt;0,E84*(1+F84/30),F84)),IF(N(H84)=0,0,IF(N(G84)&gt;0,G84*(1+H84/30),H84)),IF(N(J84)=0,0,IF(N(I84)&gt;0,I84*(1+J84/30),J84)),IF(N(L84)=0,0,IF(N(K84)&gt;0,K84*(1+L84/30),L84)),IF(N(N84)=0,0,IF(N(M84)&gt;0,M84*(1+N84/30),N84))))</f>
        <v/>
      </c>
      <c r="Y84">
        <f>IF(N(X84)=0,"",X84+ROW()/1000000000)</f>
        <v/>
      </c>
      <c r="Z84">
        <f>IF(Y84="","",IF(COUNTIFS(Log!$D$6:$D$1505,D84,Log!$Y$6:$Y$1505,"&gt;"&amp;Y84)=0,1,0))</f>
        <v/>
      </c>
      <c r="AA84">
        <f>IF(OR(B84="",D84=""),"",B84+ROW()/10000000)</f>
        <v/>
      </c>
      <c r="AB84">
        <f>IF(AA84="","",IF(COUNTIFS(Log!$D$6:$D$1505,D84,Log!$AA$6:$AA$1505,"&gt;"&amp;AA84)=0,1,0))</f>
        <v/>
      </c>
      <c r="AC84">
        <f>IF(S84="New best",AA84,"")</f>
        <v/>
      </c>
      <c r="AD84">
        <f>ROW()</f>
        <v/>
      </c>
    </row>
    <row r="85">
      <c r="A85" s="1" t="n"/>
      <c r="B85" s="21" t="n">
        <v>46232</v>
      </c>
      <c r="C85" s="22" t="inlineStr">
        <is>
          <t>Legs</t>
        </is>
      </c>
      <c r="D85" s="23" t="inlineStr">
        <is>
          <t>Squat</t>
        </is>
      </c>
      <c r="E85" s="24" t="n">
        <v>195</v>
      </c>
      <c r="F85" s="24" t="n">
        <v>5</v>
      </c>
      <c r="G85" s="24" t="n">
        <v>195</v>
      </c>
      <c r="H85" s="24" t="n">
        <v>5</v>
      </c>
      <c r="I85" s="24" t="n">
        <v>195</v>
      </c>
      <c r="J85" s="24" t="n">
        <v>5</v>
      </c>
      <c r="K85" s="24" t="n">
        <v>195</v>
      </c>
      <c r="L85" s="24" t="n">
        <v>5</v>
      </c>
      <c r="M85" s="24" t="n"/>
      <c r="N85" s="24" t="n"/>
      <c r="O85" s="15">
        <f>IF(D85="","",COUNT(F85,H85,J85,L85,N85))</f>
        <v/>
      </c>
      <c r="P85" s="25">
        <f>IF(D85="","",N(E85)*N(F85)+N(G85)*N(H85)+N(I85)*N(J85)+N(K85)*N(L85)+N(M85)*N(N85))</f>
        <v/>
      </c>
      <c r="Q85" s="18">
        <f>IF(N(X85)=0,"",IF(IF(N(F85)=0,0,IF(N(E85)&gt;0,E85*(1+F85/30),F85))=X85,IF(N(E85)&gt;0,E85&amp;" x "&amp;F85,F85&amp;" reps"),IF(IF(N(H85)=0,0,IF(N(G85)&gt;0,G85*(1+H85/30),H85))=X85,IF(N(G85)&gt;0,G85&amp;" x "&amp;H85,H85&amp;" reps"),IF(IF(N(J85)=0,0,IF(N(I85)&gt;0,I85*(1+J85/30),J85))=X85,IF(N(I85)&gt;0,I85&amp;" x "&amp;J85,J85&amp;" reps"),IF(IF(N(L85)=0,0,IF(N(K85)&gt;0,K85*(1+L85/30),L85))=X85,IF(N(K85)&gt;0,K85&amp;" x "&amp;L85,L85&amp;" reps"),IF(IF(N(N85)=0,0,IF(N(M85)&gt;0,M85*(1+N85/30),N85))=X85,IF(N(M85)&gt;0,M85&amp;" x "&amp;N85,N85&amp;" reps"),""))))))</f>
        <v/>
      </c>
      <c r="R85" s="20">
        <f>IF(N(X85)=0,"",ROUND(X85,1))</f>
        <v/>
      </c>
      <c r="S85" s="18">
        <f>IF(N(X85)=0,"",IF(AND(COUNTIFS(Log!$D$6:$D$1505,D85,Log!$B$6:$B$1505,"&lt;"&amp;B85)&gt;0,COUNTIFS(Log!$D$6:$D$1505,D85,Log!$B$6:$B$1505,"&lt;"&amp;B85,Log!$X$6:$X$1505,"&gt;="&amp;X85)=0),"New best",""))</f>
        <v/>
      </c>
      <c r="T85" s="26" t="n"/>
      <c r="U85" s="1">
        <f>IF(D85="","",IFERROR(INDEX(Exercises!$C$6:$C$105,MATCH(D85,Exercises!$B$6:$B$105,0)),"Other"))</f>
        <v/>
      </c>
      <c r="V85">
        <f>IF(B85="","",IF(COUNTIF($B$6:B85,B85)=1,1,0))</f>
        <v/>
      </c>
      <c r="W85">
        <f>IF(B85="","",B85-WEEKDAY(B85,3))</f>
        <v/>
      </c>
      <c r="X85">
        <f>IF(D85="","",MAX(IF(N(F85)=0,0,IF(N(E85)&gt;0,E85*(1+F85/30),F85)),IF(N(H85)=0,0,IF(N(G85)&gt;0,G85*(1+H85/30),H85)),IF(N(J85)=0,0,IF(N(I85)&gt;0,I85*(1+J85/30),J85)),IF(N(L85)=0,0,IF(N(K85)&gt;0,K85*(1+L85/30),L85)),IF(N(N85)=0,0,IF(N(M85)&gt;0,M85*(1+N85/30),N85))))</f>
        <v/>
      </c>
      <c r="Y85">
        <f>IF(N(X85)=0,"",X85+ROW()/1000000000)</f>
        <v/>
      </c>
      <c r="Z85">
        <f>IF(Y85="","",IF(COUNTIFS(Log!$D$6:$D$1505,D85,Log!$Y$6:$Y$1505,"&gt;"&amp;Y85)=0,1,0))</f>
        <v/>
      </c>
      <c r="AA85">
        <f>IF(OR(B85="",D85=""),"",B85+ROW()/10000000)</f>
        <v/>
      </c>
      <c r="AB85">
        <f>IF(AA85="","",IF(COUNTIFS(Log!$D$6:$D$1505,D85,Log!$AA$6:$AA$1505,"&gt;"&amp;AA85)=0,1,0))</f>
        <v/>
      </c>
      <c r="AC85">
        <f>IF(S85="New best",AA85,"")</f>
        <v/>
      </c>
      <c r="AD85">
        <f>ROW()</f>
        <v/>
      </c>
    </row>
    <row r="86">
      <c r="A86" s="1" t="n"/>
      <c r="B86" s="21" t="n">
        <v>46232</v>
      </c>
      <c r="C86" s="22" t="inlineStr">
        <is>
          <t>Legs</t>
        </is>
      </c>
      <c r="D86" s="23" t="inlineStr">
        <is>
          <t>Romanian deadlift</t>
        </is>
      </c>
      <c r="E86" s="24" t="n">
        <v>165</v>
      </c>
      <c r="F86" s="24" t="n">
        <v>10</v>
      </c>
      <c r="G86" s="24" t="n">
        <v>165</v>
      </c>
      <c r="H86" s="24" t="n">
        <v>9</v>
      </c>
      <c r="I86" s="24" t="n">
        <v>165</v>
      </c>
      <c r="J86" s="24" t="n">
        <v>8</v>
      </c>
      <c r="K86" s="24" t="n"/>
      <c r="L86" s="24" t="n"/>
      <c r="M86" s="24" t="n"/>
      <c r="N86" s="24" t="n"/>
      <c r="O86" s="15">
        <f>IF(D86="","",COUNT(F86,H86,J86,L86,N86))</f>
        <v/>
      </c>
      <c r="P86" s="25">
        <f>IF(D86="","",N(E86)*N(F86)+N(G86)*N(H86)+N(I86)*N(J86)+N(K86)*N(L86)+N(M86)*N(N86))</f>
        <v/>
      </c>
      <c r="Q86" s="18">
        <f>IF(N(X86)=0,"",IF(IF(N(F86)=0,0,IF(N(E86)&gt;0,E86*(1+F86/30),F86))=X86,IF(N(E86)&gt;0,E86&amp;" x "&amp;F86,F86&amp;" reps"),IF(IF(N(H86)=0,0,IF(N(G86)&gt;0,G86*(1+H86/30),H86))=X86,IF(N(G86)&gt;0,G86&amp;" x "&amp;H86,H86&amp;" reps"),IF(IF(N(J86)=0,0,IF(N(I86)&gt;0,I86*(1+J86/30),J86))=X86,IF(N(I86)&gt;0,I86&amp;" x "&amp;J86,J86&amp;" reps"),IF(IF(N(L86)=0,0,IF(N(K86)&gt;0,K86*(1+L86/30),L86))=X86,IF(N(K86)&gt;0,K86&amp;" x "&amp;L86,L86&amp;" reps"),IF(IF(N(N86)=0,0,IF(N(M86)&gt;0,M86*(1+N86/30),N86))=X86,IF(N(M86)&gt;0,M86&amp;" x "&amp;N86,N86&amp;" reps"),""))))))</f>
        <v/>
      </c>
      <c r="R86" s="20">
        <f>IF(N(X86)=0,"",ROUND(X86,1))</f>
        <v/>
      </c>
      <c r="S86" s="18">
        <f>IF(N(X86)=0,"",IF(AND(COUNTIFS(Log!$D$6:$D$1505,D86,Log!$B$6:$B$1505,"&lt;"&amp;B86)&gt;0,COUNTIFS(Log!$D$6:$D$1505,D86,Log!$B$6:$B$1505,"&lt;"&amp;B86,Log!$X$6:$X$1505,"&gt;="&amp;X86)=0),"New best",""))</f>
        <v/>
      </c>
      <c r="T86" s="26" t="n"/>
      <c r="U86" s="1">
        <f>IF(D86="","",IFERROR(INDEX(Exercises!$C$6:$C$105,MATCH(D86,Exercises!$B$6:$B$105,0)),"Other"))</f>
        <v/>
      </c>
      <c r="V86">
        <f>IF(B86="","",IF(COUNTIF($B$6:B86,B86)=1,1,0))</f>
        <v/>
      </c>
      <c r="W86">
        <f>IF(B86="","",B86-WEEKDAY(B86,3))</f>
        <v/>
      </c>
      <c r="X86">
        <f>IF(D86="","",MAX(IF(N(F86)=0,0,IF(N(E86)&gt;0,E86*(1+F86/30),F86)),IF(N(H86)=0,0,IF(N(G86)&gt;0,G86*(1+H86/30),H86)),IF(N(J86)=0,0,IF(N(I86)&gt;0,I86*(1+J86/30),J86)),IF(N(L86)=0,0,IF(N(K86)&gt;0,K86*(1+L86/30),L86)),IF(N(N86)=0,0,IF(N(M86)&gt;0,M86*(1+N86/30),N86))))</f>
        <v/>
      </c>
      <c r="Y86">
        <f>IF(N(X86)=0,"",X86+ROW()/1000000000)</f>
        <v/>
      </c>
      <c r="Z86">
        <f>IF(Y86="","",IF(COUNTIFS(Log!$D$6:$D$1505,D86,Log!$Y$6:$Y$1505,"&gt;"&amp;Y86)=0,1,0))</f>
        <v/>
      </c>
      <c r="AA86">
        <f>IF(OR(B86="",D86=""),"",B86+ROW()/10000000)</f>
        <v/>
      </c>
      <c r="AB86">
        <f>IF(AA86="","",IF(COUNTIFS(Log!$D$6:$D$1505,D86,Log!$AA$6:$AA$1505,"&gt;"&amp;AA86)=0,1,0))</f>
        <v/>
      </c>
      <c r="AC86">
        <f>IF(S86="New best",AA86,"")</f>
        <v/>
      </c>
      <c r="AD86">
        <f>ROW()</f>
        <v/>
      </c>
    </row>
    <row r="87">
      <c r="A87" s="1" t="n"/>
      <c r="B87" s="21" t="n">
        <v>46232</v>
      </c>
      <c r="C87" s="22" t="inlineStr">
        <is>
          <t>Legs</t>
        </is>
      </c>
      <c r="D87" s="23" t="inlineStr">
        <is>
          <t>Leg press</t>
        </is>
      </c>
      <c r="E87" s="24" t="n">
        <v>290</v>
      </c>
      <c r="F87" s="24" t="n">
        <v>11</v>
      </c>
      <c r="G87" s="24" t="n">
        <v>290</v>
      </c>
      <c r="H87" s="24" t="n">
        <v>11</v>
      </c>
      <c r="I87" s="24" t="n">
        <v>290</v>
      </c>
      <c r="J87" s="24" t="n">
        <v>10</v>
      </c>
      <c r="K87" s="24" t="n"/>
      <c r="L87" s="24" t="n"/>
      <c r="M87" s="24" t="n"/>
      <c r="N87" s="24" t="n"/>
      <c r="O87" s="15">
        <f>IF(D87="","",COUNT(F87,H87,J87,L87,N87))</f>
        <v/>
      </c>
      <c r="P87" s="25">
        <f>IF(D87="","",N(E87)*N(F87)+N(G87)*N(H87)+N(I87)*N(J87)+N(K87)*N(L87)+N(M87)*N(N87))</f>
        <v/>
      </c>
      <c r="Q87" s="18">
        <f>IF(N(X87)=0,"",IF(IF(N(F87)=0,0,IF(N(E87)&gt;0,E87*(1+F87/30),F87))=X87,IF(N(E87)&gt;0,E87&amp;" x "&amp;F87,F87&amp;" reps"),IF(IF(N(H87)=0,0,IF(N(G87)&gt;0,G87*(1+H87/30),H87))=X87,IF(N(G87)&gt;0,G87&amp;" x "&amp;H87,H87&amp;" reps"),IF(IF(N(J87)=0,0,IF(N(I87)&gt;0,I87*(1+J87/30),J87))=X87,IF(N(I87)&gt;0,I87&amp;" x "&amp;J87,J87&amp;" reps"),IF(IF(N(L87)=0,0,IF(N(K87)&gt;0,K87*(1+L87/30),L87))=X87,IF(N(K87)&gt;0,K87&amp;" x "&amp;L87,L87&amp;" reps"),IF(IF(N(N87)=0,0,IF(N(M87)&gt;0,M87*(1+N87/30),N87))=X87,IF(N(M87)&gt;0,M87&amp;" x "&amp;N87,N87&amp;" reps"),""))))))</f>
        <v/>
      </c>
      <c r="R87" s="20">
        <f>IF(N(X87)=0,"",ROUND(X87,1))</f>
        <v/>
      </c>
      <c r="S87" s="18">
        <f>IF(N(X87)=0,"",IF(AND(COUNTIFS(Log!$D$6:$D$1505,D87,Log!$B$6:$B$1505,"&lt;"&amp;B87)&gt;0,COUNTIFS(Log!$D$6:$D$1505,D87,Log!$B$6:$B$1505,"&lt;"&amp;B87,Log!$X$6:$X$1505,"&gt;="&amp;X87)=0),"New best",""))</f>
        <v/>
      </c>
      <c r="T87" s="26" t="inlineStr">
        <is>
          <t>Short on time</t>
        </is>
      </c>
      <c r="U87" s="1">
        <f>IF(D87="","",IFERROR(INDEX(Exercises!$C$6:$C$105,MATCH(D87,Exercises!$B$6:$B$105,0)),"Other"))</f>
        <v/>
      </c>
      <c r="V87">
        <f>IF(B87="","",IF(COUNTIF($B$6:B87,B87)=1,1,0))</f>
        <v/>
      </c>
      <c r="W87">
        <f>IF(B87="","",B87-WEEKDAY(B87,3))</f>
        <v/>
      </c>
      <c r="X87">
        <f>IF(D87="","",MAX(IF(N(F87)=0,0,IF(N(E87)&gt;0,E87*(1+F87/30),F87)),IF(N(H87)=0,0,IF(N(G87)&gt;0,G87*(1+H87/30),H87)),IF(N(J87)=0,0,IF(N(I87)&gt;0,I87*(1+J87/30),J87)),IF(N(L87)=0,0,IF(N(K87)&gt;0,K87*(1+L87/30),L87)),IF(N(N87)=0,0,IF(N(M87)&gt;0,M87*(1+N87/30),N87))))</f>
        <v/>
      </c>
      <c r="Y87">
        <f>IF(N(X87)=0,"",X87+ROW()/1000000000)</f>
        <v/>
      </c>
      <c r="Z87">
        <f>IF(Y87="","",IF(COUNTIFS(Log!$D$6:$D$1505,D87,Log!$Y$6:$Y$1505,"&gt;"&amp;Y87)=0,1,0))</f>
        <v/>
      </c>
      <c r="AA87">
        <f>IF(OR(B87="",D87=""),"",B87+ROW()/10000000)</f>
        <v/>
      </c>
      <c r="AB87">
        <f>IF(AA87="","",IF(COUNTIFS(Log!$D$6:$D$1505,D87,Log!$AA$6:$AA$1505,"&gt;"&amp;AA87)=0,1,0))</f>
        <v/>
      </c>
      <c r="AC87">
        <f>IF(S87="New best",AA87,"")</f>
        <v/>
      </c>
      <c r="AD87">
        <f>ROW()</f>
        <v/>
      </c>
    </row>
    <row r="88">
      <c r="A88" s="1" t="n"/>
      <c r="B88" s="21" t="n">
        <v>46232</v>
      </c>
      <c r="C88" s="22" t="inlineStr">
        <is>
          <t>Legs</t>
        </is>
      </c>
      <c r="D88" s="23" t="inlineStr">
        <is>
          <t>Leg curl</t>
        </is>
      </c>
      <c r="E88" s="24" t="n">
        <v>75</v>
      </c>
      <c r="F88" s="24" t="n">
        <v>12</v>
      </c>
      <c r="G88" s="24" t="n">
        <v>75</v>
      </c>
      <c r="H88" s="24" t="n">
        <v>11</v>
      </c>
      <c r="I88" s="24" t="n">
        <v>75</v>
      </c>
      <c r="J88" s="24" t="n">
        <v>10</v>
      </c>
      <c r="K88" s="24" t="n"/>
      <c r="L88" s="24" t="n"/>
      <c r="M88" s="24" t="n"/>
      <c r="N88" s="24" t="n"/>
      <c r="O88" s="15">
        <f>IF(D88="","",COUNT(F88,H88,J88,L88,N88))</f>
        <v/>
      </c>
      <c r="P88" s="25">
        <f>IF(D88="","",N(E88)*N(F88)+N(G88)*N(H88)+N(I88)*N(J88)+N(K88)*N(L88)+N(M88)*N(N88))</f>
        <v/>
      </c>
      <c r="Q88" s="18">
        <f>IF(N(X88)=0,"",IF(IF(N(F88)=0,0,IF(N(E88)&gt;0,E88*(1+F88/30),F88))=X88,IF(N(E88)&gt;0,E88&amp;" x "&amp;F88,F88&amp;" reps"),IF(IF(N(H88)=0,0,IF(N(G88)&gt;0,G88*(1+H88/30),H88))=X88,IF(N(G88)&gt;0,G88&amp;" x "&amp;H88,H88&amp;" reps"),IF(IF(N(J88)=0,0,IF(N(I88)&gt;0,I88*(1+J88/30),J88))=X88,IF(N(I88)&gt;0,I88&amp;" x "&amp;J88,J88&amp;" reps"),IF(IF(N(L88)=0,0,IF(N(K88)&gt;0,K88*(1+L88/30),L88))=X88,IF(N(K88)&gt;0,K88&amp;" x "&amp;L88,L88&amp;" reps"),IF(IF(N(N88)=0,0,IF(N(M88)&gt;0,M88*(1+N88/30),N88))=X88,IF(N(M88)&gt;0,M88&amp;" x "&amp;N88,N88&amp;" reps"),""))))))</f>
        <v/>
      </c>
      <c r="R88" s="20">
        <f>IF(N(X88)=0,"",ROUND(X88,1))</f>
        <v/>
      </c>
      <c r="S88" s="18">
        <f>IF(N(X88)=0,"",IF(AND(COUNTIFS(Log!$D$6:$D$1505,D88,Log!$B$6:$B$1505,"&lt;"&amp;B88)&gt;0,COUNTIFS(Log!$D$6:$D$1505,D88,Log!$B$6:$B$1505,"&lt;"&amp;B88,Log!$X$6:$X$1505,"&gt;="&amp;X88)=0),"New best",""))</f>
        <v/>
      </c>
      <c r="T88" s="26" t="n"/>
      <c r="U88" s="1">
        <f>IF(D88="","",IFERROR(INDEX(Exercises!$C$6:$C$105,MATCH(D88,Exercises!$B$6:$B$105,0)),"Other"))</f>
        <v/>
      </c>
      <c r="V88">
        <f>IF(B88="","",IF(COUNTIF($B$6:B88,B88)=1,1,0))</f>
        <v/>
      </c>
      <c r="W88">
        <f>IF(B88="","",B88-WEEKDAY(B88,3))</f>
        <v/>
      </c>
      <c r="X88">
        <f>IF(D88="","",MAX(IF(N(F88)=0,0,IF(N(E88)&gt;0,E88*(1+F88/30),F88)),IF(N(H88)=0,0,IF(N(G88)&gt;0,G88*(1+H88/30),H88)),IF(N(J88)=0,0,IF(N(I88)&gt;0,I88*(1+J88/30),J88)),IF(N(L88)=0,0,IF(N(K88)&gt;0,K88*(1+L88/30),L88)),IF(N(N88)=0,0,IF(N(M88)&gt;0,M88*(1+N88/30),N88))))</f>
        <v/>
      </c>
      <c r="Y88">
        <f>IF(N(X88)=0,"",X88+ROW()/1000000000)</f>
        <v/>
      </c>
      <c r="Z88">
        <f>IF(Y88="","",IF(COUNTIFS(Log!$D$6:$D$1505,D88,Log!$Y$6:$Y$1505,"&gt;"&amp;Y88)=0,1,0))</f>
        <v/>
      </c>
      <c r="AA88">
        <f>IF(OR(B88="",D88=""),"",B88+ROW()/10000000)</f>
        <v/>
      </c>
      <c r="AB88">
        <f>IF(AA88="","",IF(COUNTIFS(Log!$D$6:$D$1505,D88,Log!$AA$6:$AA$1505,"&gt;"&amp;AA88)=0,1,0))</f>
        <v/>
      </c>
      <c r="AC88">
        <f>IF(S88="New best",AA88,"")</f>
        <v/>
      </c>
      <c r="AD88">
        <f>ROW()</f>
        <v/>
      </c>
    </row>
    <row r="89">
      <c r="A89" s="1" t="n"/>
      <c r="B89" s="21" t="n">
        <v>46232</v>
      </c>
      <c r="C89" s="22" t="inlineStr">
        <is>
          <t>Legs</t>
        </is>
      </c>
      <c r="D89" s="23" t="inlineStr">
        <is>
          <t>Calf raise</t>
        </is>
      </c>
      <c r="E89" s="24" t="n">
        <v>100</v>
      </c>
      <c r="F89" s="24" t="n">
        <v>15</v>
      </c>
      <c r="G89" s="24" t="n">
        <v>100</v>
      </c>
      <c r="H89" s="24" t="n">
        <v>14</v>
      </c>
      <c r="I89" s="24" t="n">
        <v>100</v>
      </c>
      <c r="J89" s="24" t="n">
        <v>12</v>
      </c>
      <c r="K89" s="24" t="n">
        <v>100</v>
      </c>
      <c r="L89" s="24" t="n">
        <v>12</v>
      </c>
      <c r="M89" s="24" t="n"/>
      <c r="N89" s="24" t="n"/>
      <c r="O89" s="15">
        <f>IF(D89="","",COUNT(F89,H89,J89,L89,N89))</f>
        <v/>
      </c>
      <c r="P89" s="25">
        <f>IF(D89="","",N(E89)*N(F89)+N(G89)*N(H89)+N(I89)*N(J89)+N(K89)*N(L89)+N(M89)*N(N89))</f>
        <v/>
      </c>
      <c r="Q89" s="18">
        <f>IF(N(X89)=0,"",IF(IF(N(F89)=0,0,IF(N(E89)&gt;0,E89*(1+F89/30),F89))=X89,IF(N(E89)&gt;0,E89&amp;" x "&amp;F89,F89&amp;" reps"),IF(IF(N(H89)=0,0,IF(N(G89)&gt;0,G89*(1+H89/30),H89))=X89,IF(N(G89)&gt;0,G89&amp;" x "&amp;H89,H89&amp;" reps"),IF(IF(N(J89)=0,0,IF(N(I89)&gt;0,I89*(1+J89/30),J89))=X89,IF(N(I89)&gt;0,I89&amp;" x "&amp;J89,J89&amp;" reps"),IF(IF(N(L89)=0,0,IF(N(K89)&gt;0,K89*(1+L89/30),L89))=X89,IF(N(K89)&gt;0,K89&amp;" x "&amp;L89,L89&amp;" reps"),IF(IF(N(N89)=0,0,IF(N(M89)&gt;0,M89*(1+N89/30),N89))=X89,IF(N(M89)&gt;0,M89&amp;" x "&amp;N89,N89&amp;" reps"),""))))))</f>
        <v/>
      </c>
      <c r="R89" s="20">
        <f>IF(N(X89)=0,"",ROUND(X89,1))</f>
        <v/>
      </c>
      <c r="S89" s="18">
        <f>IF(N(X89)=0,"",IF(AND(COUNTIFS(Log!$D$6:$D$1505,D89,Log!$B$6:$B$1505,"&lt;"&amp;B89)&gt;0,COUNTIFS(Log!$D$6:$D$1505,D89,Log!$B$6:$B$1505,"&lt;"&amp;B89,Log!$X$6:$X$1505,"&gt;="&amp;X89)=0),"New best",""))</f>
        <v/>
      </c>
      <c r="T89" s="26" t="n"/>
      <c r="U89" s="1">
        <f>IF(D89="","",IFERROR(INDEX(Exercises!$C$6:$C$105,MATCH(D89,Exercises!$B$6:$B$105,0)),"Other"))</f>
        <v/>
      </c>
      <c r="V89">
        <f>IF(B89="","",IF(COUNTIF($B$6:B89,B89)=1,1,0))</f>
        <v/>
      </c>
      <c r="W89">
        <f>IF(B89="","",B89-WEEKDAY(B89,3))</f>
        <v/>
      </c>
      <c r="X89">
        <f>IF(D89="","",MAX(IF(N(F89)=0,0,IF(N(E89)&gt;0,E89*(1+F89/30),F89)),IF(N(H89)=0,0,IF(N(G89)&gt;0,G89*(1+H89/30),H89)),IF(N(J89)=0,0,IF(N(I89)&gt;0,I89*(1+J89/30),J89)),IF(N(L89)=0,0,IF(N(K89)&gt;0,K89*(1+L89/30),L89)),IF(N(N89)=0,0,IF(N(M89)&gt;0,M89*(1+N89/30),N89))))</f>
        <v/>
      </c>
      <c r="Y89">
        <f>IF(N(X89)=0,"",X89+ROW()/1000000000)</f>
        <v/>
      </c>
      <c r="Z89">
        <f>IF(Y89="","",IF(COUNTIFS(Log!$D$6:$D$1505,D89,Log!$Y$6:$Y$1505,"&gt;"&amp;Y89)=0,1,0))</f>
        <v/>
      </c>
      <c r="AA89">
        <f>IF(OR(B89="",D89=""),"",B89+ROW()/10000000)</f>
        <v/>
      </c>
      <c r="AB89">
        <f>IF(AA89="","",IF(COUNTIFS(Log!$D$6:$D$1505,D89,Log!$AA$6:$AA$1505,"&gt;"&amp;AA89)=0,1,0))</f>
        <v/>
      </c>
      <c r="AC89">
        <f>IF(S89="New best",AA89,"")</f>
        <v/>
      </c>
      <c r="AD89">
        <f>ROW()</f>
        <v/>
      </c>
    </row>
    <row r="90">
      <c r="A90" s="1" t="n"/>
      <c r="B90" s="21" t="n">
        <v>46234</v>
      </c>
      <c r="C90" s="22" t="inlineStr">
        <is>
          <t>Upper</t>
        </is>
      </c>
      <c r="D90" s="23" t="inlineStr">
        <is>
          <t>Bench press</t>
        </is>
      </c>
      <c r="E90" s="24" t="n">
        <v>125</v>
      </c>
      <c r="F90" s="24" t="n">
        <v>10</v>
      </c>
      <c r="G90" s="24" t="n">
        <v>125</v>
      </c>
      <c r="H90" s="24" t="n">
        <v>8</v>
      </c>
      <c r="I90" s="24" t="n">
        <v>125</v>
      </c>
      <c r="J90" s="24" t="n">
        <v>8</v>
      </c>
      <c r="K90" s="24" t="n"/>
      <c r="L90" s="24" t="n"/>
      <c r="M90" s="24" t="n"/>
      <c r="N90" s="24" t="n"/>
      <c r="O90" s="15">
        <f>IF(D90="","",COUNT(F90,H90,J90,L90,N90))</f>
        <v/>
      </c>
      <c r="P90" s="25">
        <f>IF(D90="","",N(E90)*N(F90)+N(G90)*N(H90)+N(I90)*N(J90)+N(K90)*N(L90)+N(M90)*N(N90))</f>
        <v/>
      </c>
      <c r="Q90" s="18">
        <f>IF(N(X90)=0,"",IF(IF(N(F90)=0,0,IF(N(E90)&gt;0,E90*(1+F90/30),F90))=X90,IF(N(E90)&gt;0,E90&amp;" x "&amp;F90,F90&amp;" reps"),IF(IF(N(H90)=0,0,IF(N(G90)&gt;0,G90*(1+H90/30),H90))=X90,IF(N(G90)&gt;0,G90&amp;" x "&amp;H90,H90&amp;" reps"),IF(IF(N(J90)=0,0,IF(N(I90)&gt;0,I90*(1+J90/30),J90))=X90,IF(N(I90)&gt;0,I90&amp;" x "&amp;J90,J90&amp;" reps"),IF(IF(N(L90)=0,0,IF(N(K90)&gt;0,K90*(1+L90/30),L90))=X90,IF(N(K90)&gt;0,K90&amp;" x "&amp;L90,L90&amp;" reps"),IF(IF(N(N90)=0,0,IF(N(M90)&gt;0,M90*(1+N90/30),N90))=X90,IF(N(M90)&gt;0,M90&amp;" x "&amp;N90,N90&amp;" reps"),""))))))</f>
        <v/>
      </c>
      <c r="R90" s="20">
        <f>IF(N(X90)=0,"",ROUND(X90,1))</f>
        <v/>
      </c>
      <c r="S90" s="18">
        <f>IF(N(X90)=0,"",IF(AND(COUNTIFS(Log!$D$6:$D$1505,D90,Log!$B$6:$B$1505,"&lt;"&amp;B90)&gt;0,COUNTIFS(Log!$D$6:$D$1505,D90,Log!$B$6:$B$1505,"&lt;"&amp;B90,Log!$X$6:$X$1505,"&gt;="&amp;X90)=0),"New best",""))</f>
        <v/>
      </c>
      <c r="T90" s="26" t="n"/>
      <c r="U90" s="1">
        <f>IF(D90="","",IFERROR(INDEX(Exercises!$C$6:$C$105,MATCH(D90,Exercises!$B$6:$B$105,0)),"Other"))</f>
        <v/>
      </c>
      <c r="V90">
        <f>IF(B90="","",IF(COUNTIF($B$6:B90,B90)=1,1,0))</f>
        <v/>
      </c>
      <c r="W90">
        <f>IF(B90="","",B90-WEEKDAY(B90,3))</f>
        <v/>
      </c>
      <c r="X90">
        <f>IF(D90="","",MAX(IF(N(F90)=0,0,IF(N(E90)&gt;0,E90*(1+F90/30),F90)),IF(N(H90)=0,0,IF(N(G90)&gt;0,G90*(1+H90/30),H90)),IF(N(J90)=0,0,IF(N(I90)&gt;0,I90*(1+J90/30),J90)),IF(N(L90)=0,0,IF(N(K90)&gt;0,K90*(1+L90/30),L90)),IF(N(N90)=0,0,IF(N(M90)&gt;0,M90*(1+N90/30),N90))))</f>
        <v/>
      </c>
      <c r="Y90">
        <f>IF(N(X90)=0,"",X90+ROW()/1000000000)</f>
        <v/>
      </c>
      <c r="Z90">
        <f>IF(Y90="","",IF(COUNTIFS(Log!$D$6:$D$1505,D90,Log!$Y$6:$Y$1505,"&gt;"&amp;Y90)=0,1,0))</f>
        <v/>
      </c>
      <c r="AA90">
        <f>IF(OR(B90="",D90=""),"",B90+ROW()/10000000)</f>
        <v/>
      </c>
      <c r="AB90">
        <f>IF(AA90="","",IF(COUNTIFS(Log!$D$6:$D$1505,D90,Log!$AA$6:$AA$1505,"&gt;"&amp;AA90)=0,1,0))</f>
        <v/>
      </c>
      <c r="AC90">
        <f>IF(S90="New best",AA90,"")</f>
        <v/>
      </c>
      <c r="AD90">
        <f>ROW()</f>
        <v/>
      </c>
    </row>
    <row r="91">
      <c r="A91" s="1" t="n"/>
      <c r="B91" s="21" t="n">
        <v>46234</v>
      </c>
      <c r="C91" s="22" t="inlineStr">
        <is>
          <t>Upper</t>
        </is>
      </c>
      <c r="D91" s="23" t="inlineStr">
        <is>
          <t>Barbell row</t>
        </is>
      </c>
      <c r="E91" s="24" t="n">
        <v>110</v>
      </c>
      <c r="F91" s="24" t="n">
        <v>10</v>
      </c>
      <c r="G91" s="24" t="n">
        <v>110</v>
      </c>
      <c r="H91" s="24" t="n">
        <v>9</v>
      </c>
      <c r="I91" s="24" t="n">
        <v>110</v>
      </c>
      <c r="J91" s="24" t="n">
        <v>8</v>
      </c>
      <c r="K91" s="24" t="n"/>
      <c r="L91" s="24" t="n"/>
      <c r="M91" s="24" t="n"/>
      <c r="N91" s="24" t="n"/>
      <c r="O91" s="15">
        <f>IF(D91="","",COUNT(F91,H91,J91,L91,N91))</f>
        <v/>
      </c>
      <c r="P91" s="25">
        <f>IF(D91="","",N(E91)*N(F91)+N(G91)*N(H91)+N(I91)*N(J91)+N(K91)*N(L91)+N(M91)*N(N91))</f>
        <v/>
      </c>
      <c r="Q91" s="18">
        <f>IF(N(X91)=0,"",IF(IF(N(F91)=0,0,IF(N(E91)&gt;0,E91*(1+F91/30),F91))=X91,IF(N(E91)&gt;0,E91&amp;" x "&amp;F91,F91&amp;" reps"),IF(IF(N(H91)=0,0,IF(N(G91)&gt;0,G91*(1+H91/30),H91))=X91,IF(N(G91)&gt;0,G91&amp;" x "&amp;H91,H91&amp;" reps"),IF(IF(N(J91)=0,0,IF(N(I91)&gt;0,I91*(1+J91/30),J91))=X91,IF(N(I91)&gt;0,I91&amp;" x "&amp;J91,J91&amp;" reps"),IF(IF(N(L91)=0,0,IF(N(K91)&gt;0,K91*(1+L91/30),L91))=X91,IF(N(K91)&gt;0,K91&amp;" x "&amp;L91,L91&amp;" reps"),IF(IF(N(N91)=0,0,IF(N(M91)&gt;0,M91*(1+N91/30),N91))=X91,IF(N(M91)&gt;0,M91&amp;" x "&amp;N91,N91&amp;" reps"),""))))))</f>
        <v/>
      </c>
      <c r="R91" s="20">
        <f>IF(N(X91)=0,"",ROUND(X91,1))</f>
        <v/>
      </c>
      <c r="S91" s="18">
        <f>IF(N(X91)=0,"",IF(AND(COUNTIFS(Log!$D$6:$D$1505,D91,Log!$B$6:$B$1505,"&lt;"&amp;B91)&gt;0,COUNTIFS(Log!$D$6:$D$1505,D91,Log!$B$6:$B$1505,"&lt;"&amp;B91,Log!$X$6:$X$1505,"&gt;="&amp;X91)=0),"New best",""))</f>
        <v/>
      </c>
      <c r="T91" s="26" t="n"/>
      <c r="U91" s="1">
        <f>IF(D91="","",IFERROR(INDEX(Exercises!$C$6:$C$105,MATCH(D91,Exercises!$B$6:$B$105,0)),"Other"))</f>
        <v/>
      </c>
      <c r="V91">
        <f>IF(B91="","",IF(COUNTIF($B$6:B91,B91)=1,1,0))</f>
        <v/>
      </c>
      <c r="W91">
        <f>IF(B91="","",B91-WEEKDAY(B91,3))</f>
        <v/>
      </c>
      <c r="X91">
        <f>IF(D91="","",MAX(IF(N(F91)=0,0,IF(N(E91)&gt;0,E91*(1+F91/30),F91)),IF(N(H91)=0,0,IF(N(G91)&gt;0,G91*(1+H91/30),H91)),IF(N(J91)=0,0,IF(N(I91)&gt;0,I91*(1+J91/30),J91)),IF(N(L91)=0,0,IF(N(K91)&gt;0,K91*(1+L91/30),L91)),IF(N(N91)=0,0,IF(N(M91)&gt;0,M91*(1+N91/30),N91))))</f>
        <v/>
      </c>
      <c r="Y91">
        <f>IF(N(X91)=0,"",X91+ROW()/1000000000)</f>
        <v/>
      </c>
      <c r="Z91">
        <f>IF(Y91="","",IF(COUNTIFS(Log!$D$6:$D$1505,D91,Log!$Y$6:$Y$1505,"&gt;"&amp;Y91)=0,1,0))</f>
        <v/>
      </c>
      <c r="AA91">
        <f>IF(OR(B91="",D91=""),"",B91+ROW()/10000000)</f>
        <v/>
      </c>
      <c r="AB91">
        <f>IF(AA91="","",IF(COUNTIFS(Log!$D$6:$D$1505,D91,Log!$AA$6:$AA$1505,"&gt;"&amp;AA91)=0,1,0))</f>
        <v/>
      </c>
      <c r="AC91">
        <f>IF(S91="New best",AA91,"")</f>
        <v/>
      </c>
      <c r="AD91">
        <f>ROW()</f>
        <v/>
      </c>
    </row>
    <row r="92">
      <c r="A92" s="1" t="n"/>
      <c r="B92" s="21" t="n">
        <v>46234</v>
      </c>
      <c r="C92" s="22" t="inlineStr">
        <is>
          <t>Upper</t>
        </is>
      </c>
      <c r="D92" s="23" t="inlineStr">
        <is>
          <t>Overhead press</t>
        </is>
      </c>
      <c r="E92" s="24" t="n">
        <v>80</v>
      </c>
      <c r="F92" s="24" t="n">
        <v>10</v>
      </c>
      <c r="G92" s="24" t="n">
        <v>80</v>
      </c>
      <c r="H92" s="24" t="n">
        <v>8</v>
      </c>
      <c r="I92" s="24" t="n">
        <v>80</v>
      </c>
      <c r="J92" s="24" t="n">
        <v>8</v>
      </c>
      <c r="K92" s="24" t="n"/>
      <c r="L92" s="24" t="n"/>
      <c r="M92" s="24" t="n"/>
      <c r="N92" s="24" t="n"/>
      <c r="O92" s="15">
        <f>IF(D92="","",COUNT(F92,H92,J92,L92,N92))</f>
        <v/>
      </c>
      <c r="P92" s="25">
        <f>IF(D92="","",N(E92)*N(F92)+N(G92)*N(H92)+N(I92)*N(J92)+N(K92)*N(L92)+N(M92)*N(N92))</f>
        <v/>
      </c>
      <c r="Q92" s="18">
        <f>IF(N(X92)=0,"",IF(IF(N(F92)=0,0,IF(N(E92)&gt;0,E92*(1+F92/30),F92))=X92,IF(N(E92)&gt;0,E92&amp;" x "&amp;F92,F92&amp;" reps"),IF(IF(N(H92)=0,0,IF(N(G92)&gt;0,G92*(1+H92/30),H92))=X92,IF(N(G92)&gt;0,G92&amp;" x "&amp;H92,H92&amp;" reps"),IF(IF(N(J92)=0,0,IF(N(I92)&gt;0,I92*(1+J92/30),J92))=X92,IF(N(I92)&gt;0,I92&amp;" x "&amp;J92,J92&amp;" reps"),IF(IF(N(L92)=0,0,IF(N(K92)&gt;0,K92*(1+L92/30),L92))=X92,IF(N(K92)&gt;0,K92&amp;" x "&amp;L92,L92&amp;" reps"),IF(IF(N(N92)=0,0,IF(N(M92)&gt;0,M92*(1+N92/30),N92))=X92,IF(N(M92)&gt;0,M92&amp;" x "&amp;N92,N92&amp;" reps"),""))))))</f>
        <v/>
      </c>
      <c r="R92" s="20">
        <f>IF(N(X92)=0,"",ROUND(X92,1))</f>
        <v/>
      </c>
      <c r="S92" s="18">
        <f>IF(N(X92)=0,"",IF(AND(COUNTIFS(Log!$D$6:$D$1505,D92,Log!$B$6:$B$1505,"&lt;"&amp;B92)&gt;0,COUNTIFS(Log!$D$6:$D$1505,D92,Log!$B$6:$B$1505,"&lt;"&amp;B92,Log!$X$6:$X$1505,"&gt;="&amp;X92)=0),"New best",""))</f>
        <v/>
      </c>
      <c r="T92" s="26" t="n"/>
      <c r="U92" s="1">
        <f>IF(D92="","",IFERROR(INDEX(Exercises!$C$6:$C$105,MATCH(D92,Exercises!$B$6:$B$105,0)),"Other"))</f>
        <v/>
      </c>
      <c r="V92">
        <f>IF(B92="","",IF(COUNTIF($B$6:B92,B92)=1,1,0))</f>
        <v/>
      </c>
      <c r="W92">
        <f>IF(B92="","",B92-WEEKDAY(B92,3))</f>
        <v/>
      </c>
      <c r="X92">
        <f>IF(D92="","",MAX(IF(N(F92)=0,0,IF(N(E92)&gt;0,E92*(1+F92/30),F92)),IF(N(H92)=0,0,IF(N(G92)&gt;0,G92*(1+H92/30),H92)),IF(N(J92)=0,0,IF(N(I92)&gt;0,I92*(1+J92/30),J92)),IF(N(L92)=0,0,IF(N(K92)&gt;0,K92*(1+L92/30),L92)),IF(N(N92)=0,0,IF(N(M92)&gt;0,M92*(1+N92/30),N92))))</f>
        <v/>
      </c>
      <c r="Y92">
        <f>IF(N(X92)=0,"",X92+ROW()/1000000000)</f>
        <v/>
      </c>
      <c r="Z92">
        <f>IF(Y92="","",IF(COUNTIFS(Log!$D$6:$D$1505,D92,Log!$Y$6:$Y$1505,"&gt;"&amp;Y92)=0,1,0))</f>
        <v/>
      </c>
      <c r="AA92">
        <f>IF(OR(B92="",D92=""),"",B92+ROW()/10000000)</f>
        <v/>
      </c>
      <c r="AB92">
        <f>IF(AA92="","",IF(COUNTIFS(Log!$D$6:$D$1505,D92,Log!$AA$6:$AA$1505,"&gt;"&amp;AA92)=0,1,0))</f>
        <v/>
      </c>
      <c r="AC92">
        <f>IF(S92="New best",AA92,"")</f>
        <v/>
      </c>
      <c r="AD92">
        <f>ROW()</f>
        <v/>
      </c>
    </row>
    <row r="93">
      <c r="A93" s="1" t="n"/>
      <c r="B93" s="21" t="n">
        <v>46234</v>
      </c>
      <c r="C93" s="22" t="inlineStr">
        <is>
          <t>Upper</t>
        </is>
      </c>
      <c r="D93" s="23" t="inlineStr">
        <is>
          <t>Pull-up</t>
        </is>
      </c>
      <c r="E93" s="24" t="n"/>
      <c r="F93" s="24" t="n">
        <v>6</v>
      </c>
      <c r="G93" s="24" t="n"/>
      <c r="H93" s="24" t="n">
        <v>6</v>
      </c>
      <c r="I93" s="24" t="n"/>
      <c r="J93" s="24" t="n">
        <v>5</v>
      </c>
      <c r="K93" s="24" t="n"/>
      <c r="L93" s="24" t="n"/>
      <c r="M93" s="24" t="n"/>
      <c r="N93" s="24" t="n"/>
      <c r="O93" s="15">
        <f>IF(D93="","",COUNT(F93,H93,J93,L93,N93))</f>
        <v/>
      </c>
      <c r="P93" s="25">
        <f>IF(D93="","",N(E93)*N(F93)+N(G93)*N(H93)+N(I93)*N(J93)+N(K93)*N(L93)+N(M93)*N(N93))</f>
        <v/>
      </c>
      <c r="Q93" s="18">
        <f>IF(N(X93)=0,"",IF(IF(N(F93)=0,0,IF(N(E93)&gt;0,E93*(1+F93/30),F93))=X93,IF(N(E93)&gt;0,E93&amp;" x "&amp;F93,F93&amp;" reps"),IF(IF(N(H93)=0,0,IF(N(G93)&gt;0,G93*(1+H93/30),H93))=X93,IF(N(G93)&gt;0,G93&amp;" x "&amp;H93,H93&amp;" reps"),IF(IF(N(J93)=0,0,IF(N(I93)&gt;0,I93*(1+J93/30),J93))=X93,IF(N(I93)&gt;0,I93&amp;" x "&amp;J93,J93&amp;" reps"),IF(IF(N(L93)=0,0,IF(N(K93)&gt;0,K93*(1+L93/30),L93))=X93,IF(N(K93)&gt;0,K93&amp;" x "&amp;L93,L93&amp;" reps"),IF(IF(N(N93)=0,0,IF(N(M93)&gt;0,M93*(1+N93/30),N93))=X93,IF(N(M93)&gt;0,M93&amp;" x "&amp;N93,N93&amp;" reps"),""))))))</f>
        <v/>
      </c>
      <c r="R93" s="20">
        <f>IF(N(X93)=0,"",ROUND(X93,1))</f>
        <v/>
      </c>
      <c r="S93" s="18">
        <f>IF(N(X93)=0,"",IF(AND(COUNTIFS(Log!$D$6:$D$1505,D93,Log!$B$6:$B$1505,"&lt;"&amp;B93)&gt;0,COUNTIFS(Log!$D$6:$D$1505,D93,Log!$B$6:$B$1505,"&lt;"&amp;B93,Log!$X$6:$X$1505,"&gt;="&amp;X93)=0),"New best",""))</f>
        <v/>
      </c>
      <c r="T93" s="26" t="n"/>
      <c r="U93" s="1">
        <f>IF(D93="","",IFERROR(INDEX(Exercises!$C$6:$C$105,MATCH(D93,Exercises!$B$6:$B$105,0)),"Other"))</f>
        <v/>
      </c>
      <c r="V93">
        <f>IF(B93="","",IF(COUNTIF($B$6:B93,B93)=1,1,0))</f>
        <v/>
      </c>
      <c r="W93">
        <f>IF(B93="","",B93-WEEKDAY(B93,3))</f>
        <v/>
      </c>
      <c r="X93">
        <f>IF(D93="","",MAX(IF(N(F93)=0,0,IF(N(E93)&gt;0,E93*(1+F93/30),F93)),IF(N(H93)=0,0,IF(N(G93)&gt;0,G93*(1+H93/30),H93)),IF(N(J93)=0,0,IF(N(I93)&gt;0,I93*(1+J93/30),J93)),IF(N(L93)=0,0,IF(N(K93)&gt;0,K93*(1+L93/30),L93)),IF(N(N93)=0,0,IF(N(M93)&gt;0,M93*(1+N93/30),N93))))</f>
        <v/>
      </c>
      <c r="Y93">
        <f>IF(N(X93)=0,"",X93+ROW()/1000000000)</f>
        <v/>
      </c>
      <c r="Z93">
        <f>IF(Y93="","",IF(COUNTIFS(Log!$D$6:$D$1505,D93,Log!$Y$6:$Y$1505,"&gt;"&amp;Y93)=0,1,0))</f>
        <v/>
      </c>
      <c r="AA93">
        <f>IF(OR(B93="",D93=""),"",B93+ROW()/10000000)</f>
        <v/>
      </c>
      <c r="AB93">
        <f>IF(AA93="","",IF(COUNTIFS(Log!$D$6:$D$1505,D93,Log!$AA$6:$AA$1505,"&gt;"&amp;AA93)=0,1,0))</f>
        <v/>
      </c>
      <c r="AC93">
        <f>IF(S93="New best",AA93,"")</f>
        <v/>
      </c>
      <c r="AD93">
        <f>ROW()</f>
        <v/>
      </c>
    </row>
    <row r="94">
      <c r="A94" s="1" t="n"/>
      <c r="B94" s="21" t="n">
        <v>46234</v>
      </c>
      <c r="C94" s="22" t="inlineStr">
        <is>
          <t>Upper</t>
        </is>
      </c>
      <c r="D94" s="23" t="inlineStr">
        <is>
          <t>Biceps curl</t>
        </is>
      </c>
      <c r="E94" s="24" t="n">
        <v>25</v>
      </c>
      <c r="F94" s="24" t="n">
        <v>12</v>
      </c>
      <c r="G94" s="24" t="n">
        <v>25</v>
      </c>
      <c r="H94" s="24" t="n">
        <v>10</v>
      </c>
      <c r="I94" s="24" t="n"/>
      <c r="J94" s="24" t="n"/>
      <c r="K94" s="24" t="n"/>
      <c r="L94" s="24" t="n"/>
      <c r="M94" s="24" t="n"/>
      <c r="N94" s="24" t="n"/>
      <c r="O94" s="15">
        <f>IF(D94="","",COUNT(F94,H94,J94,L94,N94))</f>
        <v/>
      </c>
      <c r="P94" s="25">
        <f>IF(D94="","",N(E94)*N(F94)+N(G94)*N(H94)+N(I94)*N(J94)+N(K94)*N(L94)+N(M94)*N(N94))</f>
        <v/>
      </c>
      <c r="Q94" s="18">
        <f>IF(N(X94)=0,"",IF(IF(N(F94)=0,0,IF(N(E94)&gt;0,E94*(1+F94/30),F94))=X94,IF(N(E94)&gt;0,E94&amp;" x "&amp;F94,F94&amp;" reps"),IF(IF(N(H94)=0,0,IF(N(G94)&gt;0,G94*(1+H94/30),H94))=X94,IF(N(G94)&gt;0,G94&amp;" x "&amp;H94,H94&amp;" reps"),IF(IF(N(J94)=0,0,IF(N(I94)&gt;0,I94*(1+J94/30),J94))=X94,IF(N(I94)&gt;0,I94&amp;" x "&amp;J94,J94&amp;" reps"),IF(IF(N(L94)=0,0,IF(N(K94)&gt;0,K94*(1+L94/30),L94))=X94,IF(N(K94)&gt;0,K94&amp;" x "&amp;L94,L94&amp;" reps"),IF(IF(N(N94)=0,0,IF(N(M94)&gt;0,M94*(1+N94/30),N94))=X94,IF(N(M94)&gt;0,M94&amp;" x "&amp;N94,N94&amp;" reps"),""))))))</f>
        <v/>
      </c>
      <c r="R94" s="20">
        <f>IF(N(X94)=0,"",ROUND(X94,1))</f>
        <v/>
      </c>
      <c r="S94" s="18">
        <f>IF(N(X94)=0,"",IF(AND(COUNTIFS(Log!$D$6:$D$1505,D94,Log!$B$6:$B$1505,"&lt;"&amp;B94)&gt;0,COUNTIFS(Log!$D$6:$D$1505,D94,Log!$B$6:$B$1505,"&lt;"&amp;B94,Log!$X$6:$X$1505,"&gt;="&amp;X94)=0),"New best",""))</f>
        <v/>
      </c>
      <c r="T94" s="26" t="inlineStr">
        <is>
          <t>Short on time</t>
        </is>
      </c>
      <c r="U94" s="1">
        <f>IF(D94="","",IFERROR(INDEX(Exercises!$C$6:$C$105,MATCH(D94,Exercises!$B$6:$B$105,0)),"Other"))</f>
        <v/>
      </c>
      <c r="V94">
        <f>IF(B94="","",IF(COUNTIF($B$6:B94,B94)=1,1,0))</f>
        <v/>
      </c>
      <c r="W94">
        <f>IF(B94="","",B94-WEEKDAY(B94,3))</f>
        <v/>
      </c>
      <c r="X94">
        <f>IF(D94="","",MAX(IF(N(F94)=0,0,IF(N(E94)&gt;0,E94*(1+F94/30),F94)),IF(N(H94)=0,0,IF(N(G94)&gt;0,G94*(1+H94/30),H94)),IF(N(J94)=0,0,IF(N(I94)&gt;0,I94*(1+J94/30),J94)),IF(N(L94)=0,0,IF(N(K94)&gt;0,K94*(1+L94/30),L94)),IF(N(N94)=0,0,IF(N(M94)&gt;0,M94*(1+N94/30),N94))))</f>
        <v/>
      </c>
      <c r="Y94">
        <f>IF(N(X94)=0,"",X94+ROW()/1000000000)</f>
        <v/>
      </c>
      <c r="Z94">
        <f>IF(Y94="","",IF(COUNTIFS(Log!$D$6:$D$1505,D94,Log!$Y$6:$Y$1505,"&gt;"&amp;Y94)=0,1,0))</f>
        <v/>
      </c>
      <c r="AA94">
        <f>IF(OR(B94="",D94=""),"",B94+ROW()/10000000)</f>
        <v/>
      </c>
      <c r="AB94">
        <f>IF(AA94="","",IF(COUNTIFS(Log!$D$6:$D$1505,D94,Log!$AA$6:$AA$1505,"&gt;"&amp;AA94)=0,1,0))</f>
        <v/>
      </c>
      <c r="AC94">
        <f>IF(S94="New best",AA94,"")</f>
        <v/>
      </c>
      <c r="AD94">
        <f>ROW()</f>
        <v/>
      </c>
    </row>
    <row r="95">
      <c r="A95" s="1" t="n"/>
      <c r="B95" s="21" t="n">
        <v>46234</v>
      </c>
      <c r="C95" s="22" t="inlineStr">
        <is>
          <t>Upper</t>
        </is>
      </c>
      <c r="D95" s="23" t="inlineStr">
        <is>
          <t>Triceps pushdown</t>
        </is>
      </c>
      <c r="E95" s="24" t="n">
        <v>40</v>
      </c>
      <c r="F95" s="24" t="n">
        <v>11</v>
      </c>
      <c r="G95" s="24" t="n">
        <v>40</v>
      </c>
      <c r="H95" s="24" t="n">
        <v>10</v>
      </c>
      <c r="I95" s="24" t="n"/>
      <c r="J95" s="24" t="n"/>
      <c r="K95" s="24" t="n"/>
      <c r="L95" s="24" t="n"/>
      <c r="M95" s="24" t="n"/>
      <c r="N95" s="24" t="n"/>
      <c r="O95" s="15">
        <f>IF(D95="","",COUNT(F95,H95,J95,L95,N95))</f>
        <v/>
      </c>
      <c r="P95" s="25">
        <f>IF(D95="","",N(E95)*N(F95)+N(G95)*N(H95)+N(I95)*N(J95)+N(K95)*N(L95)+N(M95)*N(N95))</f>
        <v/>
      </c>
      <c r="Q95" s="18">
        <f>IF(N(X95)=0,"",IF(IF(N(F95)=0,0,IF(N(E95)&gt;0,E95*(1+F95/30),F95))=X95,IF(N(E95)&gt;0,E95&amp;" x "&amp;F95,F95&amp;" reps"),IF(IF(N(H95)=0,0,IF(N(G95)&gt;0,G95*(1+H95/30),H95))=X95,IF(N(G95)&gt;0,G95&amp;" x "&amp;H95,H95&amp;" reps"),IF(IF(N(J95)=0,0,IF(N(I95)&gt;0,I95*(1+J95/30),J95))=X95,IF(N(I95)&gt;0,I95&amp;" x "&amp;J95,J95&amp;" reps"),IF(IF(N(L95)=0,0,IF(N(K95)&gt;0,K95*(1+L95/30),L95))=X95,IF(N(K95)&gt;0,K95&amp;" x "&amp;L95,L95&amp;" reps"),IF(IF(N(N95)=0,0,IF(N(M95)&gt;0,M95*(1+N95/30),N95))=X95,IF(N(M95)&gt;0,M95&amp;" x "&amp;N95,N95&amp;" reps"),""))))))</f>
        <v/>
      </c>
      <c r="R95" s="20">
        <f>IF(N(X95)=0,"",ROUND(X95,1))</f>
        <v/>
      </c>
      <c r="S95" s="18">
        <f>IF(N(X95)=0,"",IF(AND(COUNTIFS(Log!$D$6:$D$1505,D95,Log!$B$6:$B$1505,"&lt;"&amp;B95)&gt;0,COUNTIFS(Log!$D$6:$D$1505,D95,Log!$B$6:$B$1505,"&lt;"&amp;B95,Log!$X$6:$X$1505,"&gt;="&amp;X95)=0),"New best",""))</f>
        <v/>
      </c>
      <c r="T95" s="26" t="n"/>
      <c r="U95" s="1">
        <f>IF(D95="","",IFERROR(INDEX(Exercises!$C$6:$C$105,MATCH(D95,Exercises!$B$6:$B$105,0)),"Other"))</f>
        <v/>
      </c>
      <c r="V95">
        <f>IF(B95="","",IF(COUNTIF($B$6:B95,B95)=1,1,0))</f>
        <v/>
      </c>
      <c r="W95">
        <f>IF(B95="","",B95-WEEKDAY(B95,3))</f>
        <v/>
      </c>
      <c r="X95">
        <f>IF(D95="","",MAX(IF(N(F95)=0,0,IF(N(E95)&gt;0,E95*(1+F95/30),F95)),IF(N(H95)=0,0,IF(N(G95)&gt;0,G95*(1+H95/30),H95)),IF(N(J95)=0,0,IF(N(I95)&gt;0,I95*(1+J95/30),J95)),IF(N(L95)=0,0,IF(N(K95)&gt;0,K95*(1+L95/30),L95)),IF(N(N95)=0,0,IF(N(M95)&gt;0,M95*(1+N95/30),N95))))</f>
        <v/>
      </c>
      <c r="Y95">
        <f>IF(N(X95)=0,"",X95+ROW()/1000000000)</f>
        <v/>
      </c>
      <c r="Z95">
        <f>IF(Y95="","",IF(COUNTIFS(Log!$D$6:$D$1505,D95,Log!$Y$6:$Y$1505,"&gt;"&amp;Y95)=0,1,0))</f>
        <v/>
      </c>
      <c r="AA95">
        <f>IF(OR(B95="",D95=""),"",B95+ROW()/10000000)</f>
        <v/>
      </c>
      <c r="AB95">
        <f>IF(AA95="","",IF(COUNTIFS(Log!$D$6:$D$1505,D95,Log!$AA$6:$AA$1505,"&gt;"&amp;AA95)=0,1,0))</f>
        <v/>
      </c>
      <c r="AC95">
        <f>IF(S95="New best",AA95,"")</f>
        <v/>
      </c>
      <c r="AD95">
        <f>ROW()</f>
        <v/>
      </c>
    </row>
    <row r="96">
      <c r="A96" s="1" t="n"/>
      <c r="B96" s="21" t="n">
        <v>46235</v>
      </c>
      <c r="C96" s="22" t="inlineStr">
        <is>
          <t>Lower</t>
        </is>
      </c>
      <c r="D96" s="23" t="inlineStr">
        <is>
          <t>Squat</t>
        </is>
      </c>
      <c r="E96" s="24" t="n">
        <v>175</v>
      </c>
      <c r="F96" s="24" t="n">
        <v>8</v>
      </c>
      <c r="G96" s="24" t="n">
        <v>175</v>
      </c>
      <c r="H96" s="24" t="n">
        <v>8</v>
      </c>
      <c r="I96" s="24" t="n">
        <v>175</v>
      </c>
      <c r="J96" s="24" t="n">
        <v>8</v>
      </c>
      <c r="K96" s="24" t="n"/>
      <c r="L96" s="24" t="n"/>
      <c r="M96" s="24" t="n"/>
      <c r="N96" s="24" t="n"/>
      <c r="O96" s="15">
        <f>IF(D96="","",COUNT(F96,H96,J96,L96,N96))</f>
        <v/>
      </c>
      <c r="P96" s="25">
        <f>IF(D96="","",N(E96)*N(F96)+N(G96)*N(H96)+N(I96)*N(J96)+N(K96)*N(L96)+N(M96)*N(N96))</f>
        <v/>
      </c>
      <c r="Q96" s="18">
        <f>IF(N(X96)=0,"",IF(IF(N(F96)=0,0,IF(N(E96)&gt;0,E96*(1+F96/30),F96))=X96,IF(N(E96)&gt;0,E96&amp;" x "&amp;F96,F96&amp;" reps"),IF(IF(N(H96)=0,0,IF(N(G96)&gt;0,G96*(1+H96/30),H96))=X96,IF(N(G96)&gt;0,G96&amp;" x "&amp;H96,H96&amp;" reps"),IF(IF(N(J96)=0,0,IF(N(I96)&gt;0,I96*(1+J96/30),J96))=X96,IF(N(I96)&gt;0,I96&amp;" x "&amp;J96,J96&amp;" reps"),IF(IF(N(L96)=0,0,IF(N(K96)&gt;0,K96*(1+L96/30),L96))=X96,IF(N(K96)&gt;0,K96&amp;" x "&amp;L96,L96&amp;" reps"),IF(IF(N(N96)=0,0,IF(N(M96)&gt;0,M96*(1+N96/30),N96))=X96,IF(N(M96)&gt;0,M96&amp;" x "&amp;N96,N96&amp;" reps"),""))))))</f>
        <v/>
      </c>
      <c r="R96" s="20">
        <f>IF(N(X96)=0,"",ROUND(X96,1))</f>
        <v/>
      </c>
      <c r="S96" s="18">
        <f>IF(N(X96)=0,"",IF(AND(COUNTIFS(Log!$D$6:$D$1505,D96,Log!$B$6:$B$1505,"&lt;"&amp;B96)&gt;0,COUNTIFS(Log!$D$6:$D$1505,D96,Log!$B$6:$B$1505,"&lt;"&amp;B96,Log!$X$6:$X$1505,"&gt;="&amp;X96)=0),"New best",""))</f>
        <v/>
      </c>
      <c r="T96" s="26" t="inlineStr">
        <is>
          <t>Slept badly</t>
        </is>
      </c>
      <c r="U96" s="1">
        <f>IF(D96="","",IFERROR(INDEX(Exercises!$C$6:$C$105,MATCH(D96,Exercises!$B$6:$B$105,0)),"Other"))</f>
        <v/>
      </c>
      <c r="V96">
        <f>IF(B96="","",IF(COUNTIF($B$6:B96,B96)=1,1,0))</f>
        <v/>
      </c>
      <c r="W96">
        <f>IF(B96="","",B96-WEEKDAY(B96,3))</f>
        <v/>
      </c>
      <c r="X96">
        <f>IF(D96="","",MAX(IF(N(F96)=0,0,IF(N(E96)&gt;0,E96*(1+F96/30),F96)),IF(N(H96)=0,0,IF(N(G96)&gt;0,G96*(1+H96/30),H96)),IF(N(J96)=0,0,IF(N(I96)&gt;0,I96*(1+J96/30),J96)),IF(N(L96)=0,0,IF(N(K96)&gt;0,K96*(1+L96/30),L96)),IF(N(N96)=0,0,IF(N(M96)&gt;0,M96*(1+N96/30),N96))))</f>
        <v/>
      </c>
      <c r="Y96">
        <f>IF(N(X96)=0,"",X96+ROW()/1000000000)</f>
        <v/>
      </c>
      <c r="Z96">
        <f>IF(Y96="","",IF(COUNTIFS(Log!$D$6:$D$1505,D96,Log!$Y$6:$Y$1505,"&gt;"&amp;Y96)=0,1,0))</f>
        <v/>
      </c>
      <c r="AA96">
        <f>IF(OR(B96="",D96=""),"",B96+ROW()/10000000)</f>
        <v/>
      </c>
      <c r="AB96">
        <f>IF(AA96="","",IF(COUNTIFS(Log!$D$6:$D$1505,D96,Log!$AA$6:$AA$1505,"&gt;"&amp;AA96)=0,1,0))</f>
        <v/>
      </c>
      <c r="AC96">
        <f>IF(S96="New best",AA96,"")</f>
        <v/>
      </c>
      <c r="AD96">
        <f>ROW()</f>
        <v/>
      </c>
    </row>
    <row r="97">
      <c r="A97" s="1" t="n"/>
      <c r="B97" s="21" t="n">
        <v>46235</v>
      </c>
      <c r="C97" s="22" t="inlineStr">
        <is>
          <t>Lower</t>
        </is>
      </c>
      <c r="D97" s="23" t="inlineStr">
        <is>
          <t>Romanian deadlift</t>
        </is>
      </c>
      <c r="E97" s="24" t="n">
        <v>150</v>
      </c>
      <c r="F97" s="24" t="n">
        <v>9</v>
      </c>
      <c r="G97" s="24" t="n">
        <v>150</v>
      </c>
      <c r="H97" s="24" t="n">
        <v>9</v>
      </c>
      <c r="I97" s="24" t="n">
        <v>150</v>
      </c>
      <c r="J97" s="24" t="n">
        <v>8</v>
      </c>
      <c r="K97" s="24" t="n"/>
      <c r="L97" s="24" t="n"/>
      <c r="M97" s="24" t="n"/>
      <c r="N97" s="24" t="n"/>
      <c r="O97" s="15">
        <f>IF(D97="","",COUNT(F97,H97,J97,L97,N97))</f>
        <v/>
      </c>
      <c r="P97" s="25">
        <f>IF(D97="","",N(E97)*N(F97)+N(G97)*N(H97)+N(I97)*N(J97)+N(K97)*N(L97)+N(M97)*N(N97))</f>
        <v/>
      </c>
      <c r="Q97" s="18">
        <f>IF(N(X97)=0,"",IF(IF(N(F97)=0,0,IF(N(E97)&gt;0,E97*(1+F97/30),F97))=X97,IF(N(E97)&gt;0,E97&amp;" x "&amp;F97,F97&amp;" reps"),IF(IF(N(H97)=0,0,IF(N(G97)&gt;0,G97*(1+H97/30),H97))=X97,IF(N(G97)&gt;0,G97&amp;" x "&amp;H97,H97&amp;" reps"),IF(IF(N(J97)=0,0,IF(N(I97)&gt;0,I97*(1+J97/30),J97))=X97,IF(N(I97)&gt;0,I97&amp;" x "&amp;J97,J97&amp;" reps"),IF(IF(N(L97)=0,0,IF(N(K97)&gt;0,K97*(1+L97/30),L97))=X97,IF(N(K97)&gt;0,K97&amp;" x "&amp;L97,L97&amp;" reps"),IF(IF(N(N97)=0,0,IF(N(M97)&gt;0,M97*(1+N97/30),N97))=X97,IF(N(M97)&gt;0,M97&amp;" x "&amp;N97,N97&amp;" reps"),""))))))</f>
        <v/>
      </c>
      <c r="R97" s="20">
        <f>IF(N(X97)=0,"",ROUND(X97,1))</f>
        <v/>
      </c>
      <c r="S97" s="18">
        <f>IF(N(X97)=0,"",IF(AND(COUNTIFS(Log!$D$6:$D$1505,D97,Log!$B$6:$B$1505,"&lt;"&amp;B97)&gt;0,COUNTIFS(Log!$D$6:$D$1505,D97,Log!$B$6:$B$1505,"&lt;"&amp;B97,Log!$X$6:$X$1505,"&gt;="&amp;X97)=0),"New best",""))</f>
        <v/>
      </c>
      <c r="T97" s="26" t="n"/>
      <c r="U97" s="1">
        <f>IF(D97="","",IFERROR(INDEX(Exercises!$C$6:$C$105,MATCH(D97,Exercises!$B$6:$B$105,0)),"Other"))</f>
        <v/>
      </c>
      <c r="V97">
        <f>IF(B97="","",IF(COUNTIF($B$6:B97,B97)=1,1,0))</f>
        <v/>
      </c>
      <c r="W97">
        <f>IF(B97="","",B97-WEEKDAY(B97,3))</f>
        <v/>
      </c>
      <c r="X97">
        <f>IF(D97="","",MAX(IF(N(F97)=0,0,IF(N(E97)&gt;0,E97*(1+F97/30),F97)),IF(N(H97)=0,0,IF(N(G97)&gt;0,G97*(1+H97/30),H97)),IF(N(J97)=0,0,IF(N(I97)&gt;0,I97*(1+J97/30),J97)),IF(N(L97)=0,0,IF(N(K97)&gt;0,K97*(1+L97/30),L97)),IF(N(N97)=0,0,IF(N(M97)&gt;0,M97*(1+N97/30),N97))))</f>
        <v/>
      </c>
      <c r="Y97">
        <f>IF(N(X97)=0,"",X97+ROW()/1000000000)</f>
        <v/>
      </c>
      <c r="Z97">
        <f>IF(Y97="","",IF(COUNTIFS(Log!$D$6:$D$1505,D97,Log!$Y$6:$Y$1505,"&gt;"&amp;Y97)=0,1,0))</f>
        <v/>
      </c>
      <c r="AA97">
        <f>IF(OR(B97="",D97=""),"",B97+ROW()/10000000)</f>
        <v/>
      </c>
      <c r="AB97">
        <f>IF(AA97="","",IF(COUNTIFS(Log!$D$6:$D$1505,D97,Log!$AA$6:$AA$1505,"&gt;"&amp;AA97)=0,1,0))</f>
        <v/>
      </c>
      <c r="AC97">
        <f>IF(S97="New best",AA97,"")</f>
        <v/>
      </c>
      <c r="AD97">
        <f>ROW()</f>
        <v/>
      </c>
    </row>
    <row r="98">
      <c r="A98" s="1" t="n"/>
      <c r="B98" s="21" t="n">
        <v>46235</v>
      </c>
      <c r="C98" s="22" t="inlineStr">
        <is>
          <t>Lower</t>
        </is>
      </c>
      <c r="D98" s="23" t="inlineStr">
        <is>
          <t>Leg press</t>
        </is>
      </c>
      <c r="E98" s="24" t="n">
        <v>260</v>
      </c>
      <c r="F98" s="24" t="n">
        <v>15</v>
      </c>
      <c r="G98" s="24" t="n">
        <v>260</v>
      </c>
      <c r="H98" s="24" t="n">
        <v>13</v>
      </c>
      <c r="I98" s="24" t="n">
        <v>260</v>
      </c>
      <c r="J98" s="24" t="n">
        <v>12</v>
      </c>
      <c r="K98" s="24" t="n"/>
      <c r="L98" s="24" t="n"/>
      <c r="M98" s="24" t="n"/>
      <c r="N98" s="24" t="n"/>
      <c r="O98" s="15">
        <f>IF(D98="","",COUNT(F98,H98,J98,L98,N98))</f>
        <v/>
      </c>
      <c r="P98" s="25">
        <f>IF(D98="","",N(E98)*N(F98)+N(G98)*N(H98)+N(I98)*N(J98)+N(K98)*N(L98)+N(M98)*N(N98))</f>
        <v/>
      </c>
      <c r="Q98" s="18">
        <f>IF(N(X98)=0,"",IF(IF(N(F98)=0,0,IF(N(E98)&gt;0,E98*(1+F98/30),F98))=X98,IF(N(E98)&gt;0,E98&amp;" x "&amp;F98,F98&amp;" reps"),IF(IF(N(H98)=0,0,IF(N(G98)&gt;0,G98*(1+H98/30),H98))=X98,IF(N(G98)&gt;0,G98&amp;" x "&amp;H98,H98&amp;" reps"),IF(IF(N(J98)=0,0,IF(N(I98)&gt;0,I98*(1+J98/30),J98))=X98,IF(N(I98)&gt;0,I98&amp;" x "&amp;J98,J98&amp;" reps"),IF(IF(N(L98)=0,0,IF(N(K98)&gt;0,K98*(1+L98/30),L98))=X98,IF(N(K98)&gt;0,K98&amp;" x "&amp;L98,L98&amp;" reps"),IF(IF(N(N98)=0,0,IF(N(M98)&gt;0,M98*(1+N98/30),N98))=X98,IF(N(M98)&gt;0,M98&amp;" x "&amp;N98,N98&amp;" reps"),""))))))</f>
        <v/>
      </c>
      <c r="R98" s="20">
        <f>IF(N(X98)=0,"",ROUND(X98,1))</f>
        <v/>
      </c>
      <c r="S98" s="18">
        <f>IF(N(X98)=0,"",IF(AND(COUNTIFS(Log!$D$6:$D$1505,D98,Log!$B$6:$B$1505,"&lt;"&amp;B98)&gt;0,COUNTIFS(Log!$D$6:$D$1505,D98,Log!$B$6:$B$1505,"&lt;"&amp;B98,Log!$X$6:$X$1505,"&gt;="&amp;X98)=0),"New best",""))</f>
        <v/>
      </c>
      <c r="T98" s="26" t="inlineStr">
        <is>
          <t>Slept badly</t>
        </is>
      </c>
      <c r="U98" s="1">
        <f>IF(D98="","",IFERROR(INDEX(Exercises!$C$6:$C$105,MATCH(D98,Exercises!$B$6:$B$105,0)),"Other"))</f>
        <v/>
      </c>
      <c r="V98">
        <f>IF(B98="","",IF(COUNTIF($B$6:B98,B98)=1,1,0))</f>
        <v/>
      </c>
      <c r="W98">
        <f>IF(B98="","",B98-WEEKDAY(B98,3))</f>
        <v/>
      </c>
      <c r="X98">
        <f>IF(D98="","",MAX(IF(N(F98)=0,0,IF(N(E98)&gt;0,E98*(1+F98/30),F98)),IF(N(H98)=0,0,IF(N(G98)&gt;0,G98*(1+H98/30),H98)),IF(N(J98)=0,0,IF(N(I98)&gt;0,I98*(1+J98/30),J98)),IF(N(L98)=0,0,IF(N(K98)&gt;0,K98*(1+L98/30),L98)),IF(N(N98)=0,0,IF(N(M98)&gt;0,M98*(1+N98/30),N98))))</f>
        <v/>
      </c>
      <c r="Y98">
        <f>IF(N(X98)=0,"",X98+ROW()/1000000000)</f>
        <v/>
      </c>
      <c r="Z98">
        <f>IF(Y98="","",IF(COUNTIFS(Log!$D$6:$D$1505,D98,Log!$Y$6:$Y$1505,"&gt;"&amp;Y98)=0,1,0))</f>
        <v/>
      </c>
      <c r="AA98">
        <f>IF(OR(B98="",D98=""),"",B98+ROW()/10000000)</f>
        <v/>
      </c>
      <c r="AB98">
        <f>IF(AA98="","",IF(COUNTIFS(Log!$D$6:$D$1505,D98,Log!$AA$6:$AA$1505,"&gt;"&amp;AA98)=0,1,0))</f>
        <v/>
      </c>
      <c r="AC98">
        <f>IF(S98="New best",AA98,"")</f>
        <v/>
      </c>
      <c r="AD98">
        <f>ROW()</f>
        <v/>
      </c>
    </row>
    <row r="99">
      <c r="A99" s="1" t="n"/>
      <c r="B99" s="21" t="n">
        <v>46235</v>
      </c>
      <c r="C99" s="22" t="inlineStr">
        <is>
          <t>Lower</t>
        </is>
      </c>
      <c r="D99" s="23" t="inlineStr">
        <is>
          <t>Calf raise</t>
        </is>
      </c>
      <c r="E99" s="24" t="n">
        <v>90</v>
      </c>
      <c r="F99" s="24" t="n">
        <v>15</v>
      </c>
      <c r="G99" s="24" t="n">
        <v>90</v>
      </c>
      <c r="H99" s="24" t="n">
        <v>15</v>
      </c>
      <c r="I99" s="24" t="n">
        <v>90</v>
      </c>
      <c r="J99" s="24" t="n">
        <v>15</v>
      </c>
      <c r="K99" s="24" t="n"/>
      <c r="L99" s="24" t="n"/>
      <c r="M99" s="24" t="n"/>
      <c r="N99" s="24" t="n"/>
      <c r="O99" s="15">
        <f>IF(D99="","",COUNT(F99,H99,J99,L99,N99))</f>
        <v/>
      </c>
      <c r="P99" s="25">
        <f>IF(D99="","",N(E99)*N(F99)+N(G99)*N(H99)+N(I99)*N(J99)+N(K99)*N(L99)+N(M99)*N(N99))</f>
        <v/>
      </c>
      <c r="Q99" s="18">
        <f>IF(N(X99)=0,"",IF(IF(N(F99)=0,0,IF(N(E99)&gt;0,E99*(1+F99/30),F99))=X99,IF(N(E99)&gt;0,E99&amp;" x "&amp;F99,F99&amp;" reps"),IF(IF(N(H99)=0,0,IF(N(G99)&gt;0,G99*(1+H99/30),H99))=X99,IF(N(G99)&gt;0,G99&amp;" x "&amp;H99,H99&amp;" reps"),IF(IF(N(J99)=0,0,IF(N(I99)&gt;0,I99*(1+J99/30),J99))=X99,IF(N(I99)&gt;0,I99&amp;" x "&amp;J99,J99&amp;" reps"),IF(IF(N(L99)=0,0,IF(N(K99)&gt;0,K99*(1+L99/30),L99))=X99,IF(N(K99)&gt;0,K99&amp;" x "&amp;L99,L99&amp;" reps"),IF(IF(N(N99)=0,0,IF(N(M99)&gt;0,M99*(1+N99/30),N99))=X99,IF(N(M99)&gt;0,M99&amp;" x "&amp;N99,N99&amp;" reps"),""))))))</f>
        <v/>
      </c>
      <c r="R99" s="20">
        <f>IF(N(X99)=0,"",ROUND(X99,1))</f>
        <v/>
      </c>
      <c r="S99" s="18">
        <f>IF(N(X99)=0,"",IF(AND(COUNTIFS(Log!$D$6:$D$1505,D99,Log!$B$6:$B$1505,"&lt;"&amp;B99)&gt;0,COUNTIFS(Log!$D$6:$D$1505,D99,Log!$B$6:$B$1505,"&lt;"&amp;B99,Log!$X$6:$X$1505,"&gt;="&amp;X99)=0),"New best",""))</f>
        <v/>
      </c>
      <c r="T99" s="26" t="inlineStr">
        <is>
          <t>Felt strong</t>
        </is>
      </c>
      <c r="U99" s="1">
        <f>IF(D99="","",IFERROR(INDEX(Exercises!$C$6:$C$105,MATCH(D99,Exercises!$B$6:$B$105,0)),"Other"))</f>
        <v/>
      </c>
      <c r="V99">
        <f>IF(B99="","",IF(COUNTIF($B$6:B99,B99)=1,1,0))</f>
        <v/>
      </c>
      <c r="W99">
        <f>IF(B99="","",B99-WEEKDAY(B99,3))</f>
        <v/>
      </c>
      <c r="X99">
        <f>IF(D99="","",MAX(IF(N(F99)=0,0,IF(N(E99)&gt;0,E99*(1+F99/30),F99)),IF(N(H99)=0,0,IF(N(G99)&gt;0,G99*(1+H99/30),H99)),IF(N(J99)=0,0,IF(N(I99)&gt;0,I99*(1+J99/30),J99)),IF(N(L99)=0,0,IF(N(K99)&gt;0,K99*(1+L99/30),L99)),IF(N(N99)=0,0,IF(N(M99)&gt;0,M99*(1+N99/30),N99))))</f>
        <v/>
      </c>
      <c r="Y99">
        <f>IF(N(X99)=0,"",X99+ROW()/1000000000)</f>
        <v/>
      </c>
      <c r="Z99">
        <f>IF(Y99="","",IF(COUNTIFS(Log!$D$6:$D$1505,D99,Log!$Y$6:$Y$1505,"&gt;"&amp;Y99)=0,1,0))</f>
        <v/>
      </c>
      <c r="AA99">
        <f>IF(OR(B99="",D99=""),"",B99+ROW()/10000000)</f>
        <v/>
      </c>
      <c r="AB99">
        <f>IF(AA99="","",IF(COUNTIFS(Log!$D$6:$D$1505,D99,Log!$AA$6:$AA$1505,"&gt;"&amp;AA99)=0,1,0))</f>
        <v/>
      </c>
      <c r="AC99">
        <f>IF(S99="New best",AA99,"")</f>
        <v/>
      </c>
      <c r="AD99">
        <f>ROW()</f>
        <v/>
      </c>
    </row>
    <row r="100">
      <c r="A100" s="1" t="n"/>
      <c r="B100" s="21" t="n">
        <v>46237</v>
      </c>
      <c r="C100" s="22" t="inlineStr">
        <is>
          <t>Push</t>
        </is>
      </c>
      <c r="D100" s="23" t="inlineStr">
        <is>
          <t>Bench press</t>
        </is>
      </c>
      <c r="E100" s="24" t="n">
        <v>140</v>
      </c>
      <c r="F100" s="24" t="n">
        <v>8</v>
      </c>
      <c r="G100" s="24" t="n">
        <v>140</v>
      </c>
      <c r="H100" s="24" t="n">
        <v>7</v>
      </c>
      <c r="I100" s="24" t="n">
        <v>140</v>
      </c>
      <c r="J100" s="24" t="n">
        <v>6</v>
      </c>
      <c r="K100" s="24" t="n">
        <v>140</v>
      </c>
      <c r="L100" s="24" t="n">
        <v>6</v>
      </c>
      <c r="M100" s="24" t="n"/>
      <c r="N100" s="24" t="n"/>
      <c r="O100" s="15">
        <f>IF(D100="","",COUNT(F100,H100,J100,L100,N100))</f>
        <v/>
      </c>
      <c r="P100" s="25">
        <f>IF(D100="","",N(E100)*N(F100)+N(G100)*N(H100)+N(I100)*N(J100)+N(K100)*N(L100)+N(M100)*N(N100))</f>
        <v/>
      </c>
      <c r="Q100" s="18">
        <f>IF(N(X100)=0,"",IF(IF(N(F100)=0,0,IF(N(E100)&gt;0,E100*(1+F100/30),F100))=X100,IF(N(E100)&gt;0,E100&amp;" x "&amp;F100,F100&amp;" reps"),IF(IF(N(H100)=0,0,IF(N(G100)&gt;0,G100*(1+H100/30),H100))=X100,IF(N(G100)&gt;0,G100&amp;" x "&amp;H100,H100&amp;" reps"),IF(IF(N(J100)=0,0,IF(N(I100)&gt;0,I100*(1+J100/30),J100))=X100,IF(N(I100)&gt;0,I100&amp;" x "&amp;J100,J100&amp;" reps"),IF(IF(N(L100)=0,0,IF(N(K100)&gt;0,K100*(1+L100/30),L100))=X100,IF(N(K100)&gt;0,K100&amp;" x "&amp;L100,L100&amp;" reps"),IF(IF(N(N100)=0,0,IF(N(M100)&gt;0,M100*(1+N100/30),N100))=X100,IF(N(M100)&gt;0,M100&amp;" x "&amp;N100,N100&amp;" reps"),""))))))</f>
        <v/>
      </c>
      <c r="R100" s="20">
        <f>IF(N(X100)=0,"",ROUND(X100,1))</f>
        <v/>
      </c>
      <c r="S100" s="18">
        <f>IF(N(X100)=0,"",IF(AND(COUNTIFS(Log!$D$6:$D$1505,D100,Log!$B$6:$B$1505,"&lt;"&amp;B100)&gt;0,COUNTIFS(Log!$D$6:$D$1505,D100,Log!$B$6:$B$1505,"&lt;"&amp;B100,Log!$X$6:$X$1505,"&gt;="&amp;X100)=0),"New best",""))</f>
        <v/>
      </c>
      <c r="T100" s="26" t="n"/>
      <c r="U100" s="1">
        <f>IF(D100="","",IFERROR(INDEX(Exercises!$C$6:$C$105,MATCH(D100,Exercises!$B$6:$B$105,0)),"Other"))</f>
        <v/>
      </c>
      <c r="V100">
        <f>IF(B100="","",IF(COUNTIF($B$6:B100,B100)=1,1,0))</f>
        <v/>
      </c>
      <c r="W100">
        <f>IF(B100="","",B100-WEEKDAY(B100,3))</f>
        <v/>
      </c>
      <c r="X100">
        <f>IF(D100="","",MAX(IF(N(F100)=0,0,IF(N(E100)&gt;0,E100*(1+F100/30),F100)),IF(N(H100)=0,0,IF(N(G100)&gt;0,G100*(1+H100/30),H100)),IF(N(J100)=0,0,IF(N(I100)&gt;0,I100*(1+J100/30),J100)),IF(N(L100)=0,0,IF(N(K100)&gt;0,K100*(1+L100/30),L100)),IF(N(N100)=0,0,IF(N(M100)&gt;0,M100*(1+N100/30),N100))))</f>
        <v/>
      </c>
      <c r="Y100">
        <f>IF(N(X100)=0,"",X100+ROW()/1000000000)</f>
        <v/>
      </c>
      <c r="Z100">
        <f>IF(Y100="","",IF(COUNTIFS(Log!$D$6:$D$1505,D100,Log!$Y$6:$Y$1505,"&gt;"&amp;Y100)=0,1,0))</f>
        <v/>
      </c>
      <c r="AA100">
        <f>IF(OR(B100="",D100=""),"",B100+ROW()/10000000)</f>
        <v/>
      </c>
      <c r="AB100">
        <f>IF(AA100="","",IF(COUNTIFS(Log!$D$6:$D$1505,D100,Log!$AA$6:$AA$1505,"&gt;"&amp;AA100)=0,1,0))</f>
        <v/>
      </c>
      <c r="AC100">
        <f>IF(S100="New best",AA100,"")</f>
        <v/>
      </c>
      <c r="AD100">
        <f>ROW()</f>
        <v/>
      </c>
    </row>
    <row r="101">
      <c r="A101" s="1" t="n"/>
      <c r="B101" s="21" t="n">
        <v>46237</v>
      </c>
      <c r="C101" s="22" t="inlineStr">
        <is>
          <t>Push</t>
        </is>
      </c>
      <c r="D101" s="23" t="inlineStr">
        <is>
          <t>Overhead press</t>
        </is>
      </c>
      <c r="E101" s="24" t="n">
        <v>90</v>
      </c>
      <c r="F101" s="24" t="n">
        <v>10</v>
      </c>
      <c r="G101" s="24" t="n">
        <v>90</v>
      </c>
      <c r="H101" s="24" t="n">
        <v>9</v>
      </c>
      <c r="I101" s="24" t="n">
        <v>90</v>
      </c>
      <c r="J101" s="24" t="n">
        <v>8</v>
      </c>
      <c r="K101" s="24" t="n"/>
      <c r="L101" s="24" t="n"/>
      <c r="M101" s="24" t="n"/>
      <c r="N101" s="24" t="n"/>
      <c r="O101" s="15">
        <f>IF(D101="","",COUNT(F101,H101,J101,L101,N101))</f>
        <v/>
      </c>
      <c r="P101" s="25">
        <f>IF(D101="","",N(E101)*N(F101)+N(G101)*N(H101)+N(I101)*N(J101)+N(K101)*N(L101)+N(M101)*N(N101))</f>
        <v/>
      </c>
      <c r="Q101" s="18">
        <f>IF(N(X101)=0,"",IF(IF(N(F101)=0,0,IF(N(E101)&gt;0,E101*(1+F101/30),F101))=X101,IF(N(E101)&gt;0,E101&amp;" x "&amp;F101,F101&amp;" reps"),IF(IF(N(H101)=0,0,IF(N(G101)&gt;0,G101*(1+H101/30),H101))=X101,IF(N(G101)&gt;0,G101&amp;" x "&amp;H101,H101&amp;" reps"),IF(IF(N(J101)=0,0,IF(N(I101)&gt;0,I101*(1+J101/30),J101))=X101,IF(N(I101)&gt;0,I101&amp;" x "&amp;J101,J101&amp;" reps"),IF(IF(N(L101)=0,0,IF(N(K101)&gt;0,K101*(1+L101/30),L101))=X101,IF(N(K101)&gt;0,K101&amp;" x "&amp;L101,L101&amp;" reps"),IF(IF(N(N101)=0,0,IF(N(M101)&gt;0,M101*(1+N101/30),N101))=X101,IF(N(M101)&gt;0,M101&amp;" x "&amp;N101,N101&amp;" reps"),""))))))</f>
        <v/>
      </c>
      <c r="R101" s="20">
        <f>IF(N(X101)=0,"",ROUND(X101,1))</f>
        <v/>
      </c>
      <c r="S101" s="18">
        <f>IF(N(X101)=0,"",IF(AND(COUNTIFS(Log!$D$6:$D$1505,D101,Log!$B$6:$B$1505,"&lt;"&amp;B101)&gt;0,COUNTIFS(Log!$D$6:$D$1505,D101,Log!$B$6:$B$1505,"&lt;"&amp;B101,Log!$X$6:$X$1505,"&gt;="&amp;X101)=0),"New best",""))</f>
        <v/>
      </c>
      <c r="T101" s="26" t="inlineStr">
        <is>
          <t>Slept badly</t>
        </is>
      </c>
      <c r="U101" s="1">
        <f>IF(D101="","",IFERROR(INDEX(Exercises!$C$6:$C$105,MATCH(D101,Exercises!$B$6:$B$105,0)),"Other"))</f>
        <v/>
      </c>
      <c r="V101">
        <f>IF(B101="","",IF(COUNTIF($B$6:B101,B101)=1,1,0))</f>
        <v/>
      </c>
      <c r="W101">
        <f>IF(B101="","",B101-WEEKDAY(B101,3))</f>
        <v/>
      </c>
      <c r="X101">
        <f>IF(D101="","",MAX(IF(N(F101)=0,0,IF(N(E101)&gt;0,E101*(1+F101/30),F101)),IF(N(H101)=0,0,IF(N(G101)&gt;0,G101*(1+H101/30),H101)),IF(N(J101)=0,0,IF(N(I101)&gt;0,I101*(1+J101/30),J101)),IF(N(L101)=0,0,IF(N(K101)&gt;0,K101*(1+L101/30),L101)),IF(N(N101)=0,0,IF(N(M101)&gt;0,M101*(1+N101/30),N101))))</f>
        <v/>
      </c>
      <c r="Y101">
        <f>IF(N(X101)=0,"",X101+ROW()/1000000000)</f>
        <v/>
      </c>
      <c r="Z101">
        <f>IF(Y101="","",IF(COUNTIFS(Log!$D$6:$D$1505,D101,Log!$Y$6:$Y$1505,"&gt;"&amp;Y101)=0,1,0))</f>
        <v/>
      </c>
      <c r="AA101">
        <f>IF(OR(B101="",D101=""),"",B101+ROW()/10000000)</f>
        <v/>
      </c>
      <c r="AB101">
        <f>IF(AA101="","",IF(COUNTIFS(Log!$D$6:$D$1505,D101,Log!$AA$6:$AA$1505,"&gt;"&amp;AA101)=0,1,0))</f>
        <v/>
      </c>
      <c r="AC101">
        <f>IF(S101="New best",AA101,"")</f>
        <v/>
      </c>
      <c r="AD101">
        <f>ROW()</f>
        <v/>
      </c>
    </row>
    <row r="102">
      <c r="A102" s="1" t="n"/>
      <c r="B102" s="21" t="n">
        <v>46237</v>
      </c>
      <c r="C102" s="22" t="inlineStr">
        <is>
          <t>Push</t>
        </is>
      </c>
      <c r="D102" s="23" t="inlineStr">
        <is>
          <t>Incline dumbbell press</t>
        </is>
      </c>
      <c r="E102" s="24" t="n">
        <v>50</v>
      </c>
      <c r="F102" s="24" t="n">
        <v>11</v>
      </c>
      <c r="G102" s="24" t="n">
        <v>50</v>
      </c>
      <c r="H102" s="24" t="n">
        <v>11</v>
      </c>
      <c r="I102" s="24" t="n">
        <v>50</v>
      </c>
      <c r="J102" s="24" t="n">
        <v>9</v>
      </c>
      <c r="K102" s="24" t="n"/>
      <c r="L102" s="24" t="n"/>
      <c r="M102" s="24" t="n"/>
      <c r="N102" s="24" t="n"/>
      <c r="O102" s="15">
        <f>IF(D102="","",COUNT(F102,H102,J102,L102,N102))</f>
        <v/>
      </c>
      <c r="P102" s="25">
        <f>IF(D102="","",N(E102)*N(F102)+N(G102)*N(H102)+N(I102)*N(J102)+N(K102)*N(L102)+N(M102)*N(N102))</f>
        <v/>
      </c>
      <c r="Q102" s="18">
        <f>IF(N(X102)=0,"",IF(IF(N(F102)=0,0,IF(N(E102)&gt;0,E102*(1+F102/30),F102))=X102,IF(N(E102)&gt;0,E102&amp;" x "&amp;F102,F102&amp;" reps"),IF(IF(N(H102)=0,0,IF(N(G102)&gt;0,G102*(1+H102/30),H102))=X102,IF(N(G102)&gt;0,G102&amp;" x "&amp;H102,H102&amp;" reps"),IF(IF(N(J102)=0,0,IF(N(I102)&gt;0,I102*(1+J102/30),J102))=X102,IF(N(I102)&gt;0,I102&amp;" x "&amp;J102,J102&amp;" reps"),IF(IF(N(L102)=0,0,IF(N(K102)&gt;0,K102*(1+L102/30),L102))=X102,IF(N(K102)&gt;0,K102&amp;" x "&amp;L102,L102&amp;" reps"),IF(IF(N(N102)=0,0,IF(N(M102)&gt;0,M102*(1+N102/30),N102))=X102,IF(N(M102)&gt;0,M102&amp;" x "&amp;N102,N102&amp;" reps"),""))))))</f>
        <v/>
      </c>
      <c r="R102" s="20">
        <f>IF(N(X102)=0,"",ROUND(X102,1))</f>
        <v/>
      </c>
      <c r="S102" s="18">
        <f>IF(N(X102)=0,"",IF(AND(COUNTIFS(Log!$D$6:$D$1505,D102,Log!$B$6:$B$1505,"&lt;"&amp;B102)&gt;0,COUNTIFS(Log!$D$6:$D$1505,D102,Log!$B$6:$B$1505,"&lt;"&amp;B102,Log!$X$6:$X$1505,"&gt;="&amp;X102)=0),"New best",""))</f>
        <v/>
      </c>
      <c r="T102" s="26" t="inlineStr">
        <is>
          <t>Felt strong</t>
        </is>
      </c>
      <c r="U102" s="1">
        <f>IF(D102="","",IFERROR(INDEX(Exercises!$C$6:$C$105,MATCH(D102,Exercises!$B$6:$B$105,0)),"Other"))</f>
        <v/>
      </c>
      <c r="V102">
        <f>IF(B102="","",IF(COUNTIF($B$6:B102,B102)=1,1,0))</f>
        <v/>
      </c>
      <c r="W102">
        <f>IF(B102="","",B102-WEEKDAY(B102,3))</f>
        <v/>
      </c>
      <c r="X102">
        <f>IF(D102="","",MAX(IF(N(F102)=0,0,IF(N(E102)&gt;0,E102*(1+F102/30),F102)),IF(N(H102)=0,0,IF(N(G102)&gt;0,G102*(1+H102/30),H102)),IF(N(J102)=0,0,IF(N(I102)&gt;0,I102*(1+J102/30),J102)),IF(N(L102)=0,0,IF(N(K102)&gt;0,K102*(1+L102/30),L102)),IF(N(N102)=0,0,IF(N(M102)&gt;0,M102*(1+N102/30),N102))))</f>
        <v/>
      </c>
      <c r="Y102">
        <f>IF(N(X102)=0,"",X102+ROW()/1000000000)</f>
        <v/>
      </c>
      <c r="Z102">
        <f>IF(Y102="","",IF(COUNTIFS(Log!$D$6:$D$1505,D102,Log!$Y$6:$Y$1505,"&gt;"&amp;Y102)=0,1,0))</f>
        <v/>
      </c>
      <c r="AA102">
        <f>IF(OR(B102="",D102=""),"",B102+ROW()/10000000)</f>
        <v/>
      </c>
      <c r="AB102">
        <f>IF(AA102="","",IF(COUNTIFS(Log!$D$6:$D$1505,D102,Log!$AA$6:$AA$1505,"&gt;"&amp;AA102)=0,1,0))</f>
        <v/>
      </c>
      <c r="AC102">
        <f>IF(S102="New best",AA102,"")</f>
        <v/>
      </c>
      <c r="AD102">
        <f>ROW()</f>
        <v/>
      </c>
    </row>
    <row r="103">
      <c r="A103" s="1" t="n"/>
      <c r="B103" s="21" t="n">
        <v>46237</v>
      </c>
      <c r="C103" s="22" t="inlineStr">
        <is>
          <t>Push</t>
        </is>
      </c>
      <c r="D103" s="23" t="inlineStr">
        <is>
          <t>Lateral raise</t>
        </is>
      </c>
      <c r="E103" s="24" t="n">
        <v>17.5</v>
      </c>
      <c r="F103" s="24" t="n">
        <v>14</v>
      </c>
      <c r="G103" s="24" t="n">
        <v>17.5</v>
      </c>
      <c r="H103" s="24" t="n">
        <v>13</v>
      </c>
      <c r="I103" s="24" t="n">
        <v>17.5</v>
      </c>
      <c r="J103" s="24" t="n">
        <v>13</v>
      </c>
      <c r="K103" s="24" t="n"/>
      <c r="L103" s="24" t="n"/>
      <c r="M103" s="24" t="n"/>
      <c r="N103" s="24" t="n"/>
      <c r="O103" s="15">
        <f>IF(D103="","",COUNT(F103,H103,J103,L103,N103))</f>
        <v/>
      </c>
      <c r="P103" s="25">
        <f>IF(D103="","",N(E103)*N(F103)+N(G103)*N(H103)+N(I103)*N(J103)+N(K103)*N(L103)+N(M103)*N(N103))</f>
        <v/>
      </c>
      <c r="Q103" s="18">
        <f>IF(N(X103)=0,"",IF(IF(N(F103)=0,0,IF(N(E103)&gt;0,E103*(1+F103/30),F103))=X103,IF(N(E103)&gt;0,E103&amp;" x "&amp;F103,F103&amp;" reps"),IF(IF(N(H103)=0,0,IF(N(G103)&gt;0,G103*(1+H103/30),H103))=X103,IF(N(G103)&gt;0,G103&amp;" x "&amp;H103,H103&amp;" reps"),IF(IF(N(J103)=0,0,IF(N(I103)&gt;0,I103*(1+J103/30),J103))=X103,IF(N(I103)&gt;0,I103&amp;" x "&amp;J103,J103&amp;" reps"),IF(IF(N(L103)=0,0,IF(N(K103)&gt;0,K103*(1+L103/30),L103))=X103,IF(N(K103)&gt;0,K103&amp;" x "&amp;L103,L103&amp;" reps"),IF(IF(N(N103)=0,0,IF(N(M103)&gt;0,M103*(1+N103/30),N103))=X103,IF(N(M103)&gt;0,M103&amp;" x "&amp;N103,N103&amp;" reps"),""))))))</f>
        <v/>
      </c>
      <c r="R103" s="20">
        <f>IF(N(X103)=0,"",ROUND(X103,1))</f>
        <v/>
      </c>
      <c r="S103" s="18">
        <f>IF(N(X103)=0,"",IF(AND(COUNTIFS(Log!$D$6:$D$1505,D103,Log!$B$6:$B$1505,"&lt;"&amp;B103)&gt;0,COUNTIFS(Log!$D$6:$D$1505,D103,Log!$B$6:$B$1505,"&lt;"&amp;B103,Log!$X$6:$X$1505,"&gt;="&amp;X103)=0),"New best",""))</f>
        <v/>
      </c>
      <c r="T103" s="26" t="inlineStr">
        <is>
          <t>Slept badly</t>
        </is>
      </c>
      <c r="U103" s="1">
        <f>IF(D103="","",IFERROR(INDEX(Exercises!$C$6:$C$105,MATCH(D103,Exercises!$B$6:$B$105,0)),"Other"))</f>
        <v/>
      </c>
      <c r="V103">
        <f>IF(B103="","",IF(COUNTIF($B$6:B103,B103)=1,1,0))</f>
        <v/>
      </c>
      <c r="W103">
        <f>IF(B103="","",B103-WEEKDAY(B103,3))</f>
        <v/>
      </c>
      <c r="X103">
        <f>IF(D103="","",MAX(IF(N(F103)=0,0,IF(N(E103)&gt;0,E103*(1+F103/30),F103)),IF(N(H103)=0,0,IF(N(G103)&gt;0,G103*(1+H103/30),H103)),IF(N(J103)=0,0,IF(N(I103)&gt;0,I103*(1+J103/30),J103)),IF(N(L103)=0,0,IF(N(K103)&gt;0,K103*(1+L103/30),L103)),IF(N(N103)=0,0,IF(N(M103)&gt;0,M103*(1+N103/30),N103))))</f>
        <v/>
      </c>
      <c r="Y103">
        <f>IF(N(X103)=0,"",X103+ROW()/1000000000)</f>
        <v/>
      </c>
      <c r="Z103">
        <f>IF(Y103="","",IF(COUNTIFS(Log!$D$6:$D$1505,D103,Log!$Y$6:$Y$1505,"&gt;"&amp;Y103)=0,1,0))</f>
        <v/>
      </c>
      <c r="AA103">
        <f>IF(OR(B103="",D103=""),"",B103+ROW()/10000000)</f>
        <v/>
      </c>
      <c r="AB103">
        <f>IF(AA103="","",IF(COUNTIFS(Log!$D$6:$D$1505,D103,Log!$AA$6:$AA$1505,"&gt;"&amp;AA103)=0,1,0))</f>
        <v/>
      </c>
      <c r="AC103">
        <f>IF(S103="New best",AA103,"")</f>
        <v/>
      </c>
      <c r="AD103">
        <f>ROW()</f>
        <v/>
      </c>
    </row>
    <row r="104">
      <c r="A104" s="1" t="n"/>
      <c r="B104" s="21" t="n">
        <v>46237</v>
      </c>
      <c r="C104" s="22" t="inlineStr">
        <is>
          <t>Push</t>
        </is>
      </c>
      <c r="D104" s="23" t="inlineStr">
        <is>
          <t>Triceps pushdown</t>
        </is>
      </c>
      <c r="E104" s="24" t="n">
        <v>45</v>
      </c>
      <c r="F104" s="24" t="n">
        <v>12</v>
      </c>
      <c r="G104" s="24" t="n">
        <v>45</v>
      </c>
      <c r="H104" s="24" t="n">
        <v>10</v>
      </c>
      <c r="I104" s="24" t="n">
        <v>45</v>
      </c>
      <c r="J104" s="24" t="n">
        <v>10</v>
      </c>
      <c r="K104" s="24" t="n"/>
      <c r="L104" s="24" t="n"/>
      <c r="M104" s="24" t="n"/>
      <c r="N104" s="24" t="n"/>
      <c r="O104" s="15">
        <f>IF(D104="","",COUNT(F104,H104,J104,L104,N104))</f>
        <v/>
      </c>
      <c r="P104" s="25">
        <f>IF(D104="","",N(E104)*N(F104)+N(G104)*N(H104)+N(I104)*N(J104)+N(K104)*N(L104)+N(M104)*N(N104))</f>
        <v/>
      </c>
      <c r="Q104" s="18">
        <f>IF(N(X104)=0,"",IF(IF(N(F104)=0,0,IF(N(E104)&gt;0,E104*(1+F104/30),F104))=X104,IF(N(E104)&gt;0,E104&amp;" x "&amp;F104,F104&amp;" reps"),IF(IF(N(H104)=0,0,IF(N(G104)&gt;0,G104*(1+H104/30),H104))=X104,IF(N(G104)&gt;0,G104&amp;" x "&amp;H104,H104&amp;" reps"),IF(IF(N(J104)=0,0,IF(N(I104)&gt;0,I104*(1+J104/30),J104))=X104,IF(N(I104)&gt;0,I104&amp;" x "&amp;J104,J104&amp;" reps"),IF(IF(N(L104)=0,0,IF(N(K104)&gt;0,K104*(1+L104/30),L104))=X104,IF(N(K104)&gt;0,K104&amp;" x "&amp;L104,L104&amp;" reps"),IF(IF(N(N104)=0,0,IF(N(M104)&gt;0,M104*(1+N104/30),N104))=X104,IF(N(M104)&gt;0,M104&amp;" x "&amp;N104,N104&amp;" reps"),""))))))</f>
        <v/>
      </c>
      <c r="R104" s="20">
        <f>IF(N(X104)=0,"",ROUND(X104,1))</f>
        <v/>
      </c>
      <c r="S104" s="18">
        <f>IF(N(X104)=0,"",IF(AND(COUNTIFS(Log!$D$6:$D$1505,D104,Log!$B$6:$B$1505,"&lt;"&amp;B104)&gt;0,COUNTIFS(Log!$D$6:$D$1505,D104,Log!$B$6:$B$1505,"&lt;"&amp;B104,Log!$X$6:$X$1505,"&gt;="&amp;X104)=0),"New best",""))</f>
        <v/>
      </c>
      <c r="T104" s="26" t="n"/>
      <c r="U104" s="1">
        <f>IF(D104="","",IFERROR(INDEX(Exercises!$C$6:$C$105,MATCH(D104,Exercises!$B$6:$B$105,0)),"Other"))</f>
        <v/>
      </c>
      <c r="V104">
        <f>IF(B104="","",IF(COUNTIF($B$6:B104,B104)=1,1,0))</f>
        <v/>
      </c>
      <c r="W104">
        <f>IF(B104="","",B104-WEEKDAY(B104,3))</f>
        <v/>
      </c>
      <c r="X104">
        <f>IF(D104="","",MAX(IF(N(F104)=0,0,IF(N(E104)&gt;0,E104*(1+F104/30),F104)),IF(N(H104)=0,0,IF(N(G104)&gt;0,G104*(1+H104/30),H104)),IF(N(J104)=0,0,IF(N(I104)&gt;0,I104*(1+J104/30),J104)),IF(N(L104)=0,0,IF(N(K104)&gt;0,K104*(1+L104/30),L104)),IF(N(N104)=0,0,IF(N(M104)&gt;0,M104*(1+N104/30),N104))))</f>
        <v/>
      </c>
      <c r="Y104">
        <f>IF(N(X104)=0,"",X104+ROW()/1000000000)</f>
        <v/>
      </c>
      <c r="Z104">
        <f>IF(Y104="","",IF(COUNTIFS(Log!$D$6:$D$1505,D104,Log!$Y$6:$Y$1505,"&gt;"&amp;Y104)=0,1,0))</f>
        <v/>
      </c>
      <c r="AA104">
        <f>IF(OR(B104="",D104=""),"",B104+ROW()/10000000)</f>
        <v/>
      </c>
      <c r="AB104">
        <f>IF(AA104="","",IF(COUNTIFS(Log!$D$6:$D$1505,D104,Log!$AA$6:$AA$1505,"&gt;"&amp;AA104)=0,1,0))</f>
        <v/>
      </c>
      <c r="AC104">
        <f>IF(S104="New best",AA104,"")</f>
        <v/>
      </c>
      <c r="AD104">
        <f>ROW()</f>
        <v/>
      </c>
    </row>
    <row r="105">
      <c r="A105" s="1" t="n"/>
      <c r="B105" s="21" t="n">
        <v>46238</v>
      </c>
      <c r="C105" s="22" t="inlineStr">
        <is>
          <t>Pull</t>
        </is>
      </c>
      <c r="D105" s="23" t="inlineStr">
        <is>
          <t>Deadlift</t>
        </is>
      </c>
      <c r="E105" s="24" t="n">
        <v>235</v>
      </c>
      <c r="F105" s="24" t="n">
        <v>5</v>
      </c>
      <c r="G105" s="24" t="n">
        <v>235</v>
      </c>
      <c r="H105" s="24" t="n">
        <v>5</v>
      </c>
      <c r="I105" s="24" t="n">
        <v>235</v>
      </c>
      <c r="J105" s="24" t="n">
        <v>5</v>
      </c>
      <c r="K105" s="24" t="n"/>
      <c r="L105" s="24" t="n"/>
      <c r="M105" s="24" t="n"/>
      <c r="N105" s="24" t="n"/>
      <c r="O105" s="15">
        <f>IF(D105="","",COUNT(F105,H105,J105,L105,N105))</f>
        <v/>
      </c>
      <c r="P105" s="25">
        <f>IF(D105="","",N(E105)*N(F105)+N(G105)*N(H105)+N(I105)*N(J105)+N(K105)*N(L105)+N(M105)*N(N105))</f>
        <v/>
      </c>
      <c r="Q105" s="18">
        <f>IF(N(X105)=0,"",IF(IF(N(F105)=0,0,IF(N(E105)&gt;0,E105*(1+F105/30),F105))=X105,IF(N(E105)&gt;0,E105&amp;" x "&amp;F105,F105&amp;" reps"),IF(IF(N(H105)=0,0,IF(N(G105)&gt;0,G105*(1+H105/30),H105))=X105,IF(N(G105)&gt;0,G105&amp;" x "&amp;H105,H105&amp;" reps"),IF(IF(N(J105)=0,0,IF(N(I105)&gt;0,I105*(1+J105/30),J105))=X105,IF(N(I105)&gt;0,I105&amp;" x "&amp;J105,J105&amp;" reps"),IF(IF(N(L105)=0,0,IF(N(K105)&gt;0,K105*(1+L105/30),L105))=X105,IF(N(K105)&gt;0,K105&amp;" x "&amp;L105,L105&amp;" reps"),IF(IF(N(N105)=0,0,IF(N(M105)&gt;0,M105*(1+N105/30),N105))=X105,IF(N(M105)&gt;0,M105&amp;" x "&amp;N105,N105&amp;" reps"),""))))))</f>
        <v/>
      </c>
      <c r="R105" s="20">
        <f>IF(N(X105)=0,"",ROUND(X105,1))</f>
        <v/>
      </c>
      <c r="S105" s="18">
        <f>IF(N(X105)=0,"",IF(AND(COUNTIFS(Log!$D$6:$D$1505,D105,Log!$B$6:$B$1505,"&lt;"&amp;B105)&gt;0,COUNTIFS(Log!$D$6:$D$1505,D105,Log!$B$6:$B$1505,"&lt;"&amp;B105,Log!$X$6:$X$1505,"&gt;="&amp;X105)=0),"New best",""))</f>
        <v/>
      </c>
      <c r="T105" s="26" t="n"/>
      <c r="U105" s="1">
        <f>IF(D105="","",IFERROR(INDEX(Exercises!$C$6:$C$105,MATCH(D105,Exercises!$B$6:$B$105,0)),"Other"))</f>
        <v/>
      </c>
      <c r="V105">
        <f>IF(B105="","",IF(COUNTIF($B$6:B105,B105)=1,1,0))</f>
        <v/>
      </c>
      <c r="W105">
        <f>IF(B105="","",B105-WEEKDAY(B105,3))</f>
        <v/>
      </c>
      <c r="X105">
        <f>IF(D105="","",MAX(IF(N(F105)=0,0,IF(N(E105)&gt;0,E105*(1+F105/30),F105)),IF(N(H105)=0,0,IF(N(G105)&gt;0,G105*(1+H105/30),H105)),IF(N(J105)=0,0,IF(N(I105)&gt;0,I105*(1+J105/30),J105)),IF(N(L105)=0,0,IF(N(K105)&gt;0,K105*(1+L105/30),L105)),IF(N(N105)=0,0,IF(N(M105)&gt;0,M105*(1+N105/30),N105))))</f>
        <v/>
      </c>
      <c r="Y105">
        <f>IF(N(X105)=0,"",X105+ROW()/1000000000)</f>
        <v/>
      </c>
      <c r="Z105">
        <f>IF(Y105="","",IF(COUNTIFS(Log!$D$6:$D$1505,D105,Log!$Y$6:$Y$1505,"&gt;"&amp;Y105)=0,1,0))</f>
        <v/>
      </c>
      <c r="AA105">
        <f>IF(OR(B105="",D105=""),"",B105+ROW()/10000000)</f>
        <v/>
      </c>
      <c r="AB105">
        <f>IF(AA105="","",IF(COUNTIFS(Log!$D$6:$D$1505,D105,Log!$AA$6:$AA$1505,"&gt;"&amp;AA105)=0,1,0))</f>
        <v/>
      </c>
      <c r="AC105">
        <f>IF(S105="New best",AA105,"")</f>
        <v/>
      </c>
      <c r="AD105">
        <f>ROW()</f>
        <v/>
      </c>
    </row>
    <row r="106">
      <c r="A106" s="1" t="n"/>
      <c r="B106" s="21" t="n">
        <v>46238</v>
      </c>
      <c r="C106" s="22" t="inlineStr">
        <is>
          <t>Pull</t>
        </is>
      </c>
      <c r="D106" s="23" t="inlineStr">
        <is>
          <t>Pull-up</t>
        </is>
      </c>
      <c r="E106" s="24" t="n"/>
      <c r="F106" s="24" t="n">
        <v>6</v>
      </c>
      <c r="G106" s="24" t="n"/>
      <c r="H106" s="24" t="n">
        <v>6</v>
      </c>
      <c r="I106" s="24" t="n"/>
      <c r="J106" s="24" t="n">
        <v>5</v>
      </c>
      <c r="K106" s="24" t="n"/>
      <c r="L106" s="24" t="n"/>
      <c r="M106" s="24" t="n"/>
      <c r="N106" s="24" t="n"/>
      <c r="O106" s="15">
        <f>IF(D106="","",COUNT(F106,H106,J106,L106,N106))</f>
        <v/>
      </c>
      <c r="P106" s="25">
        <f>IF(D106="","",N(E106)*N(F106)+N(G106)*N(H106)+N(I106)*N(J106)+N(K106)*N(L106)+N(M106)*N(N106))</f>
        <v/>
      </c>
      <c r="Q106" s="18">
        <f>IF(N(X106)=0,"",IF(IF(N(F106)=0,0,IF(N(E106)&gt;0,E106*(1+F106/30),F106))=X106,IF(N(E106)&gt;0,E106&amp;" x "&amp;F106,F106&amp;" reps"),IF(IF(N(H106)=0,0,IF(N(G106)&gt;0,G106*(1+H106/30),H106))=X106,IF(N(G106)&gt;0,G106&amp;" x "&amp;H106,H106&amp;" reps"),IF(IF(N(J106)=0,0,IF(N(I106)&gt;0,I106*(1+J106/30),J106))=X106,IF(N(I106)&gt;0,I106&amp;" x "&amp;J106,J106&amp;" reps"),IF(IF(N(L106)=0,0,IF(N(K106)&gt;0,K106*(1+L106/30),L106))=X106,IF(N(K106)&gt;0,K106&amp;" x "&amp;L106,L106&amp;" reps"),IF(IF(N(N106)=0,0,IF(N(M106)&gt;0,M106*(1+N106/30),N106))=X106,IF(N(M106)&gt;0,M106&amp;" x "&amp;N106,N106&amp;" reps"),""))))))</f>
        <v/>
      </c>
      <c r="R106" s="20">
        <f>IF(N(X106)=0,"",ROUND(X106,1))</f>
        <v/>
      </c>
      <c r="S106" s="18">
        <f>IF(N(X106)=0,"",IF(AND(COUNTIFS(Log!$D$6:$D$1505,D106,Log!$B$6:$B$1505,"&lt;"&amp;B106)&gt;0,COUNTIFS(Log!$D$6:$D$1505,D106,Log!$B$6:$B$1505,"&lt;"&amp;B106,Log!$X$6:$X$1505,"&gt;="&amp;X106)=0),"New best",""))</f>
        <v/>
      </c>
      <c r="T106" s="26" t="n"/>
      <c r="U106" s="1">
        <f>IF(D106="","",IFERROR(INDEX(Exercises!$C$6:$C$105,MATCH(D106,Exercises!$B$6:$B$105,0)),"Other"))</f>
        <v/>
      </c>
      <c r="V106">
        <f>IF(B106="","",IF(COUNTIF($B$6:B106,B106)=1,1,0))</f>
        <v/>
      </c>
      <c r="W106">
        <f>IF(B106="","",B106-WEEKDAY(B106,3))</f>
        <v/>
      </c>
      <c r="X106">
        <f>IF(D106="","",MAX(IF(N(F106)=0,0,IF(N(E106)&gt;0,E106*(1+F106/30),F106)),IF(N(H106)=0,0,IF(N(G106)&gt;0,G106*(1+H106/30),H106)),IF(N(J106)=0,0,IF(N(I106)&gt;0,I106*(1+J106/30),J106)),IF(N(L106)=0,0,IF(N(K106)&gt;0,K106*(1+L106/30),L106)),IF(N(N106)=0,0,IF(N(M106)&gt;0,M106*(1+N106/30),N106))))</f>
        <v/>
      </c>
      <c r="Y106">
        <f>IF(N(X106)=0,"",X106+ROW()/1000000000)</f>
        <v/>
      </c>
      <c r="Z106">
        <f>IF(Y106="","",IF(COUNTIFS(Log!$D$6:$D$1505,D106,Log!$Y$6:$Y$1505,"&gt;"&amp;Y106)=0,1,0))</f>
        <v/>
      </c>
      <c r="AA106">
        <f>IF(OR(B106="",D106=""),"",B106+ROW()/10000000)</f>
        <v/>
      </c>
      <c r="AB106">
        <f>IF(AA106="","",IF(COUNTIFS(Log!$D$6:$D$1505,D106,Log!$AA$6:$AA$1505,"&gt;"&amp;AA106)=0,1,0))</f>
        <v/>
      </c>
      <c r="AC106">
        <f>IF(S106="New best",AA106,"")</f>
        <v/>
      </c>
      <c r="AD106">
        <f>ROW()</f>
        <v/>
      </c>
    </row>
    <row r="107">
      <c r="A107" s="1" t="n"/>
      <c r="B107" s="21" t="n">
        <v>46238</v>
      </c>
      <c r="C107" s="22" t="inlineStr">
        <is>
          <t>Pull</t>
        </is>
      </c>
      <c r="D107" s="23" t="inlineStr">
        <is>
          <t>Barbell row</t>
        </is>
      </c>
      <c r="E107" s="24" t="n">
        <v>120</v>
      </c>
      <c r="F107" s="24" t="n">
        <v>9</v>
      </c>
      <c r="G107" s="24" t="n">
        <v>120</v>
      </c>
      <c r="H107" s="24" t="n">
        <v>9</v>
      </c>
      <c r="I107" s="24" t="n">
        <v>120</v>
      </c>
      <c r="J107" s="24" t="n">
        <v>8</v>
      </c>
      <c r="K107" s="24" t="n"/>
      <c r="L107" s="24" t="n"/>
      <c r="M107" s="24" t="n"/>
      <c r="N107" s="24" t="n"/>
      <c r="O107" s="15">
        <f>IF(D107="","",COUNT(F107,H107,J107,L107,N107))</f>
        <v/>
      </c>
      <c r="P107" s="25">
        <f>IF(D107="","",N(E107)*N(F107)+N(G107)*N(H107)+N(I107)*N(J107)+N(K107)*N(L107)+N(M107)*N(N107))</f>
        <v/>
      </c>
      <c r="Q107" s="18">
        <f>IF(N(X107)=0,"",IF(IF(N(F107)=0,0,IF(N(E107)&gt;0,E107*(1+F107/30),F107))=X107,IF(N(E107)&gt;0,E107&amp;" x "&amp;F107,F107&amp;" reps"),IF(IF(N(H107)=0,0,IF(N(G107)&gt;0,G107*(1+H107/30),H107))=X107,IF(N(G107)&gt;0,G107&amp;" x "&amp;H107,H107&amp;" reps"),IF(IF(N(J107)=0,0,IF(N(I107)&gt;0,I107*(1+J107/30),J107))=X107,IF(N(I107)&gt;0,I107&amp;" x "&amp;J107,J107&amp;" reps"),IF(IF(N(L107)=0,0,IF(N(K107)&gt;0,K107*(1+L107/30),L107))=X107,IF(N(K107)&gt;0,K107&amp;" x "&amp;L107,L107&amp;" reps"),IF(IF(N(N107)=0,0,IF(N(M107)&gt;0,M107*(1+N107/30),N107))=X107,IF(N(M107)&gt;0,M107&amp;" x "&amp;N107,N107&amp;" reps"),""))))))</f>
        <v/>
      </c>
      <c r="R107" s="20">
        <f>IF(N(X107)=0,"",ROUND(X107,1))</f>
        <v/>
      </c>
      <c r="S107" s="18">
        <f>IF(N(X107)=0,"",IF(AND(COUNTIFS(Log!$D$6:$D$1505,D107,Log!$B$6:$B$1505,"&lt;"&amp;B107)&gt;0,COUNTIFS(Log!$D$6:$D$1505,D107,Log!$B$6:$B$1505,"&lt;"&amp;B107,Log!$X$6:$X$1505,"&gt;="&amp;X107)=0),"New best",""))</f>
        <v/>
      </c>
      <c r="T107" s="26" t="n"/>
      <c r="U107" s="1">
        <f>IF(D107="","",IFERROR(INDEX(Exercises!$C$6:$C$105,MATCH(D107,Exercises!$B$6:$B$105,0)),"Other"))</f>
        <v/>
      </c>
      <c r="V107">
        <f>IF(B107="","",IF(COUNTIF($B$6:B107,B107)=1,1,0))</f>
        <v/>
      </c>
      <c r="W107">
        <f>IF(B107="","",B107-WEEKDAY(B107,3))</f>
        <v/>
      </c>
      <c r="X107">
        <f>IF(D107="","",MAX(IF(N(F107)=0,0,IF(N(E107)&gt;0,E107*(1+F107/30),F107)),IF(N(H107)=0,0,IF(N(G107)&gt;0,G107*(1+H107/30),H107)),IF(N(J107)=0,0,IF(N(I107)&gt;0,I107*(1+J107/30),J107)),IF(N(L107)=0,0,IF(N(K107)&gt;0,K107*(1+L107/30),L107)),IF(N(N107)=0,0,IF(N(M107)&gt;0,M107*(1+N107/30),N107))))</f>
        <v/>
      </c>
      <c r="Y107">
        <f>IF(N(X107)=0,"",X107+ROW()/1000000000)</f>
        <v/>
      </c>
      <c r="Z107">
        <f>IF(Y107="","",IF(COUNTIFS(Log!$D$6:$D$1505,D107,Log!$Y$6:$Y$1505,"&gt;"&amp;Y107)=0,1,0))</f>
        <v/>
      </c>
      <c r="AA107">
        <f>IF(OR(B107="",D107=""),"",B107+ROW()/10000000)</f>
        <v/>
      </c>
      <c r="AB107">
        <f>IF(AA107="","",IF(COUNTIFS(Log!$D$6:$D$1505,D107,Log!$AA$6:$AA$1505,"&gt;"&amp;AA107)=0,1,0))</f>
        <v/>
      </c>
      <c r="AC107">
        <f>IF(S107="New best",AA107,"")</f>
        <v/>
      </c>
      <c r="AD107">
        <f>ROW()</f>
        <v/>
      </c>
    </row>
    <row r="108">
      <c r="A108" s="1" t="n"/>
      <c r="B108" s="21" t="n">
        <v>46238</v>
      </c>
      <c r="C108" s="22" t="inlineStr">
        <is>
          <t>Pull</t>
        </is>
      </c>
      <c r="D108" s="23" t="inlineStr">
        <is>
          <t>Lat pulldown</t>
        </is>
      </c>
      <c r="E108" s="24" t="n">
        <v>105</v>
      </c>
      <c r="F108" s="24" t="n">
        <v>11</v>
      </c>
      <c r="G108" s="24" t="n">
        <v>105</v>
      </c>
      <c r="H108" s="24" t="n">
        <v>10</v>
      </c>
      <c r="I108" s="24" t="n">
        <v>105</v>
      </c>
      <c r="J108" s="24" t="n">
        <v>10</v>
      </c>
      <c r="K108" s="24" t="n"/>
      <c r="L108" s="24" t="n"/>
      <c r="M108" s="24" t="n"/>
      <c r="N108" s="24" t="n"/>
      <c r="O108" s="15">
        <f>IF(D108="","",COUNT(F108,H108,J108,L108,N108))</f>
        <v/>
      </c>
      <c r="P108" s="25">
        <f>IF(D108="","",N(E108)*N(F108)+N(G108)*N(H108)+N(I108)*N(J108)+N(K108)*N(L108)+N(M108)*N(N108))</f>
        <v/>
      </c>
      <c r="Q108" s="18">
        <f>IF(N(X108)=0,"",IF(IF(N(F108)=0,0,IF(N(E108)&gt;0,E108*(1+F108/30),F108))=X108,IF(N(E108)&gt;0,E108&amp;" x "&amp;F108,F108&amp;" reps"),IF(IF(N(H108)=0,0,IF(N(G108)&gt;0,G108*(1+H108/30),H108))=X108,IF(N(G108)&gt;0,G108&amp;" x "&amp;H108,H108&amp;" reps"),IF(IF(N(J108)=0,0,IF(N(I108)&gt;0,I108*(1+J108/30),J108))=X108,IF(N(I108)&gt;0,I108&amp;" x "&amp;J108,J108&amp;" reps"),IF(IF(N(L108)=0,0,IF(N(K108)&gt;0,K108*(1+L108/30),L108))=X108,IF(N(K108)&gt;0,K108&amp;" x "&amp;L108,L108&amp;" reps"),IF(IF(N(N108)=0,0,IF(N(M108)&gt;0,M108*(1+N108/30),N108))=X108,IF(N(M108)&gt;0,M108&amp;" x "&amp;N108,N108&amp;" reps"),""))))))</f>
        <v/>
      </c>
      <c r="R108" s="20">
        <f>IF(N(X108)=0,"",ROUND(X108,1))</f>
        <v/>
      </c>
      <c r="S108" s="18">
        <f>IF(N(X108)=0,"",IF(AND(COUNTIFS(Log!$D$6:$D$1505,D108,Log!$B$6:$B$1505,"&lt;"&amp;B108)&gt;0,COUNTIFS(Log!$D$6:$D$1505,D108,Log!$B$6:$B$1505,"&lt;"&amp;B108,Log!$X$6:$X$1505,"&gt;="&amp;X108)=0),"New best",""))</f>
        <v/>
      </c>
      <c r="T108" s="26" t="n"/>
      <c r="U108" s="1">
        <f>IF(D108="","",IFERROR(INDEX(Exercises!$C$6:$C$105,MATCH(D108,Exercises!$B$6:$B$105,0)),"Other"))</f>
        <v/>
      </c>
      <c r="V108">
        <f>IF(B108="","",IF(COUNTIF($B$6:B108,B108)=1,1,0))</f>
        <v/>
      </c>
      <c r="W108">
        <f>IF(B108="","",B108-WEEKDAY(B108,3))</f>
        <v/>
      </c>
      <c r="X108">
        <f>IF(D108="","",MAX(IF(N(F108)=0,0,IF(N(E108)&gt;0,E108*(1+F108/30),F108)),IF(N(H108)=0,0,IF(N(G108)&gt;0,G108*(1+H108/30),H108)),IF(N(J108)=0,0,IF(N(I108)&gt;0,I108*(1+J108/30),J108)),IF(N(L108)=0,0,IF(N(K108)&gt;0,K108*(1+L108/30),L108)),IF(N(N108)=0,0,IF(N(M108)&gt;0,M108*(1+N108/30),N108))))</f>
        <v/>
      </c>
      <c r="Y108">
        <f>IF(N(X108)=0,"",X108+ROW()/1000000000)</f>
        <v/>
      </c>
      <c r="Z108">
        <f>IF(Y108="","",IF(COUNTIFS(Log!$D$6:$D$1505,D108,Log!$Y$6:$Y$1505,"&gt;"&amp;Y108)=0,1,0))</f>
        <v/>
      </c>
      <c r="AA108">
        <f>IF(OR(B108="",D108=""),"",B108+ROW()/10000000)</f>
        <v/>
      </c>
      <c r="AB108">
        <f>IF(AA108="","",IF(COUNTIFS(Log!$D$6:$D$1505,D108,Log!$AA$6:$AA$1505,"&gt;"&amp;AA108)=0,1,0))</f>
        <v/>
      </c>
      <c r="AC108">
        <f>IF(S108="New best",AA108,"")</f>
        <v/>
      </c>
      <c r="AD108">
        <f>ROW()</f>
        <v/>
      </c>
    </row>
    <row r="109">
      <c r="A109" s="1" t="n"/>
      <c r="B109" s="21" t="n">
        <v>46238</v>
      </c>
      <c r="C109" s="22" t="inlineStr">
        <is>
          <t>Pull</t>
        </is>
      </c>
      <c r="D109" s="23" t="inlineStr">
        <is>
          <t>Biceps curl</t>
        </is>
      </c>
      <c r="E109" s="24" t="n">
        <v>27.5</v>
      </c>
      <c r="F109" s="24" t="n">
        <v>11</v>
      </c>
      <c r="G109" s="24" t="n">
        <v>27.5</v>
      </c>
      <c r="H109" s="24" t="n">
        <v>10</v>
      </c>
      <c r="I109" s="24" t="n">
        <v>27.5</v>
      </c>
      <c r="J109" s="24" t="n">
        <v>10</v>
      </c>
      <c r="K109" s="24" t="n"/>
      <c r="L109" s="24" t="n"/>
      <c r="M109" s="24" t="n"/>
      <c r="N109" s="24" t="n"/>
      <c r="O109" s="15">
        <f>IF(D109="","",COUNT(F109,H109,J109,L109,N109))</f>
        <v/>
      </c>
      <c r="P109" s="25">
        <f>IF(D109="","",N(E109)*N(F109)+N(G109)*N(H109)+N(I109)*N(J109)+N(K109)*N(L109)+N(M109)*N(N109))</f>
        <v/>
      </c>
      <c r="Q109" s="18">
        <f>IF(N(X109)=0,"",IF(IF(N(F109)=0,0,IF(N(E109)&gt;0,E109*(1+F109/30),F109))=X109,IF(N(E109)&gt;0,E109&amp;" x "&amp;F109,F109&amp;" reps"),IF(IF(N(H109)=0,0,IF(N(G109)&gt;0,G109*(1+H109/30),H109))=X109,IF(N(G109)&gt;0,G109&amp;" x "&amp;H109,H109&amp;" reps"),IF(IF(N(J109)=0,0,IF(N(I109)&gt;0,I109*(1+J109/30),J109))=X109,IF(N(I109)&gt;0,I109&amp;" x "&amp;J109,J109&amp;" reps"),IF(IF(N(L109)=0,0,IF(N(K109)&gt;0,K109*(1+L109/30),L109))=X109,IF(N(K109)&gt;0,K109&amp;" x "&amp;L109,L109&amp;" reps"),IF(IF(N(N109)=0,0,IF(N(M109)&gt;0,M109*(1+N109/30),N109))=X109,IF(N(M109)&gt;0,M109&amp;" x "&amp;N109,N109&amp;" reps"),""))))))</f>
        <v/>
      </c>
      <c r="R109" s="20">
        <f>IF(N(X109)=0,"",ROUND(X109,1))</f>
        <v/>
      </c>
      <c r="S109" s="18">
        <f>IF(N(X109)=0,"",IF(AND(COUNTIFS(Log!$D$6:$D$1505,D109,Log!$B$6:$B$1505,"&lt;"&amp;B109)&gt;0,COUNTIFS(Log!$D$6:$D$1505,D109,Log!$B$6:$B$1505,"&lt;"&amp;B109,Log!$X$6:$X$1505,"&gt;="&amp;X109)=0),"New best",""))</f>
        <v/>
      </c>
      <c r="T109" s="26" t="n"/>
      <c r="U109" s="1">
        <f>IF(D109="","",IFERROR(INDEX(Exercises!$C$6:$C$105,MATCH(D109,Exercises!$B$6:$B$105,0)),"Other"))</f>
        <v/>
      </c>
      <c r="V109">
        <f>IF(B109="","",IF(COUNTIF($B$6:B109,B109)=1,1,0))</f>
        <v/>
      </c>
      <c r="W109">
        <f>IF(B109="","",B109-WEEKDAY(B109,3))</f>
        <v/>
      </c>
      <c r="X109">
        <f>IF(D109="","",MAX(IF(N(F109)=0,0,IF(N(E109)&gt;0,E109*(1+F109/30),F109)),IF(N(H109)=0,0,IF(N(G109)&gt;0,G109*(1+H109/30),H109)),IF(N(J109)=0,0,IF(N(I109)&gt;0,I109*(1+J109/30),J109)),IF(N(L109)=0,0,IF(N(K109)&gt;0,K109*(1+L109/30),L109)),IF(N(N109)=0,0,IF(N(M109)&gt;0,M109*(1+N109/30),N109))))</f>
        <v/>
      </c>
      <c r="Y109">
        <f>IF(N(X109)=0,"",X109+ROW()/1000000000)</f>
        <v/>
      </c>
      <c r="Z109">
        <f>IF(Y109="","",IF(COUNTIFS(Log!$D$6:$D$1505,D109,Log!$Y$6:$Y$1505,"&gt;"&amp;Y109)=0,1,0))</f>
        <v/>
      </c>
      <c r="AA109">
        <f>IF(OR(B109="",D109=""),"",B109+ROW()/10000000)</f>
        <v/>
      </c>
      <c r="AB109">
        <f>IF(AA109="","",IF(COUNTIFS(Log!$D$6:$D$1505,D109,Log!$AA$6:$AA$1505,"&gt;"&amp;AA109)=0,1,0))</f>
        <v/>
      </c>
      <c r="AC109">
        <f>IF(S109="New best",AA109,"")</f>
        <v/>
      </c>
      <c r="AD109">
        <f>ROW()</f>
        <v/>
      </c>
    </row>
    <row r="110">
      <c r="A110" s="1" t="n"/>
      <c r="B110" s="21" t="n">
        <v>46239</v>
      </c>
      <c r="C110" s="22" t="inlineStr">
        <is>
          <t>Legs</t>
        </is>
      </c>
      <c r="D110" s="23" t="inlineStr">
        <is>
          <t>Squat</t>
        </is>
      </c>
      <c r="E110" s="24" t="n">
        <v>195</v>
      </c>
      <c r="F110" s="24" t="n">
        <v>6</v>
      </c>
      <c r="G110" s="24" t="n">
        <v>195</v>
      </c>
      <c r="H110" s="24" t="n">
        <v>5</v>
      </c>
      <c r="I110" s="24" t="n">
        <v>195</v>
      </c>
      <c r="J110" s="24" t="n">
        <v>5</v>
      </c>
      <c r="K110" s="24" t="n">
        <v>195</v>
      </c>
      <c r="L110" s="24" t="n">
        <v>5</v>
      </c>
      <c r="M110" s="24" t="n"/>
      <c r="N110" s="24" t="n"/>
      <c r="O110" s="15">
        <f>IF(D110="","",COUNT(F110,H110,J110,L110,N110))</f>
        <v/>
      </c>
      <c r="P110" s="25">
        <f>IF(D110="","",N(E110)*N(F110)+N(G110)*N(H110)+N(I110)*N(J110)+N(K110)*N(L110)+N(M110)*N(N110))</f>
        <v/>
      </c>
      <c r="Q110" s="18">
        <f>IF(N(X110)=0,"",IF(IF(N(F110)=0,0,IF(N(E110)&gt;0,E110*(1+F110/30),F110))=X110,IF(N(E110)&gt;0,E110&amp;" x "&amp;F110,F110&amp;" reps"),IF(IF(N(H110)=0,0,IF(N(G110)&gt;0,G110*(1+H110/30),H110))=X110,IF(N(G110)&gt;0,G110&amp;" x "&amp;H110,H110&amp;" reps"),IF(IF(N(J110)=0,0,IF(N(I110)&gt;0,I110*(1+J110/30),J110))=X110,IF(N(I110)&gt;0,I110&amp;" x "&amp;J110,J110&amp;" reps"),IF(IF(N(L110)=0,0,IF(N(K110)&gt;0,K110*(1+L110/30),L110))=X110,IF(N(K110)&gt;0,K110&amp;" x "&amp;L110,L110&amp;" reps"),IF(IF(N(N110)=0,0,IF(N(M110)&gt;0,M110*(1+N110/30),N110))=X110,IF(N(M110)&gt;0,M110&amp;" x "&amp;N110,N110&amp;" reps"),""))))))</f>
        <v/>
      </c>
      <c r="R110" s="20">
        <f>IF(N(X110)=0,"",ROUND(X110,1))</f>
        <v/>
      </c>
      <c r="S110" s="18">
        <f>IF(N(X110)=0,"",IF(AND(COUNTIFS(Log!$D$6:$D$1505,D110,Log!$B$6:$B$1505,"&lt;"&amp;B110)&gt;0,COUNTIFS(Log!$D$6:$D$1505,D110,Log!$B$6:$B$1505,"&lt;"&amp;B110,Log!$X$6:$X$1505,"&gt;="&amp;X110)=0),"New best",""))</f>
        <v/>
      </c>
      <c r="T110" s="26" t="n"/>
      <c r="U110" s="1">
        <f>IF(D110="","",IFERROR(INDEX(Exercises!$C$6:$C$105,MATCH(D110,Exercises!$B$6:$B$105,0)),"Other"))</f>
        <v/>
      </c>
      <c r="V110">
        <f>IF(B110="","",IF(COUNTIF($B$6:B110,B110)=1,1,0))</f>
        <v/>
      </c>
      <c r="W110">
        <f>IF(B110="","",B110-WEEKDAY(B110,3))</f>
        <v/>
      </c>
      <c r="X110">
        <f>IF(D110="","",MAX(IF(N(F110)=0,0,IF(N(E110)&gt;0,E110*(1+F110/30),F110)),IF(N(H110)=0,0,IF(N(G110)&gt;0,G110*(1+H110/30),H110)),IF(N(J110)=0,0,IF(N(I110)&gt;0,I110*(1+J110/30),J110)),IF(N(L110)=0,0,IF(N(K110)&gt;0,K110*(1+L110/30),L110)),IF(N(N110)=0,0,IF(N(M110)&gt;0,M110*(1+N110/30),N110))))</f>
        <v/>
      </c>
      <c r="Y110">
        <f>IF(N(X110)=0,"",X110+ROW()/1000000000)</f>
        <v/>
      </c>
      <c r="Z110">
        <f>IF(Y110="","",IF(COUNTIFS(Log!$D$6:$D$1505,D110,Log!$Y$6:$Y$1505,"&gt;"&amp;Y110)=0,1,0))</f>
        <v/>
      </c>
      <c r="AA110">
        <f>IF(OR(B110="",D110=""),"",B110+ROW()/10000000)</f>
        <v/>
      </c>
      <c r="AB110">
        <f>IF(AA110="","",IF(COUNTIFS(Log!$D$6:$D$1505,D110,Log!$AA$6:$AA$1505,"&gt;"&amp;AA110)=0,1,0))</f>
        <v/>
      </c>
      <c r="AC110">
        <f>IF(S110="New best",AA110,"")</f>
        <v/>
      </c>
      <c r="AD110">
        <f>ROW()</f>
        <v/>
      </c>
    </row>
    <row r="111">
      <c r="A111" s="1" t="n"/>
      <c r="B111" s="21" t="n">
        <v>46239</v>
      </c>
      <c r="C111" s="22" t="inlineStr">
        <is>
          <t>Legs</t>
        </is>
      </c>
      <c r="D111" s="23" t="inlineStr">
        <is>
          <t>Romanian deadlift</t>
        </is>
      </c>
      <c r="E111" s="24" t="n">
        <v>165</v>
      </c>
      <c r="F111" s="24" t="n">
        <v>10</v>
      </c>
      <c r="G111" s="24" t="n">
        <v>165</v>
      </c>
      <c r="H111" s="24" t="n">
        <v>9</v>
      </c>
      <c r="I111" s="24" t="n">
        <v>165</v>
      </c>
      <c r="J111" s="24" t="n">
        <v>8</v>
      </c>
      <c r="K111" s="24" t="n"/>
      <c r="L111" s="24" t="n"/>
      <c r="M111" s="24" t="n"/>
      <c r="N111" s="24" t="n"/>
      <c r="O111" s="15">
        <f>IF(D111="","",COUNT(F111,H111,J111,L111,N111))</f>
        <v/>
      </c>
      <c r="P111" s="25">
        <f>IF(D111="","",N(E111)*N(F111)+N(G111)*N(H111)+N(I111)*N(J111)+N(K111)*N(L111)+N(M111)*N(N111))</f>
        <v/>
      </c>
      <c r="Q111" s="18">
        <f>IF(N(X111)=0,"",IF(IF(N(F111)=0,0,IF(N(E111)&gt;0,E111*(1+F111/30),F111))=X111,IF(N(E111)&gt;0,E111&amp;" x "&amp;F111,F111&amp;" reps"),IF(IF(N(H111)=0,0,IF(N(G111)&gt;0,G111*(1+H111/30),H111))=X111,IF(N(G111)&gt;0,G111&amp;" x "&amp;H111,H111&amp;" reps"),IF(IF(N(J111)=0,0,IF(N(I111)&gt;0,I111*(1+J111/30),J111))=X111,IF(N(I111)&gt;0,I111&amp;" x "&amp;J111,J111&amp;" reps"),IF(IF(N(L111)=0,0,IF(N(K111)&gt;0,K111*(1+L111/30),L111))=X111,IF(N(K111)&gt;0,K111&amp;" x "&amp;L111,L111&amp;" reps"),IF(IF(N(N111)=0,0,IF(N(M111)&gt;0,M111*(1+N111/30),N111))=X111,IF(N(M111)&gt;0,M111&amp;" x "&amp;N111,N111&amp;" reps"),""))))))</f>
        <v/>
      </c>
      <c r="R111" s="20">
        <f>IF(N(X111)=0,"",ROUND(X111,1))</f>
        <v/>
      </c>
      <c r="S111" s="18">
        <f>IF(N(X111)=0,"",IF(AND(COUNTIFS(Log!$D$6:$D$1505,D111,Log!$B$6:$B$1505,"&lt;"&amp;B111)&gt;0,COUNTIFS(Log!$D$6:$D$1505,D111,Log!$B$6:$B$1505,"&lt;"&amp;B111,Log!$X$6:$X$1505,"&gt;="&amp;X111)=0),"New best",""))</f>
        <v/>
      </c>
      <c r="T111" s="26" t="n"/>
      <c r="U111" s="1">
        <f>IF(D111="","",IFERROR(INDEX(Exercises!$C$6:$C$105,MATCH(D111,Exercises!$B$6:$B$105,0)),"Other"))</f>
        <v/>
      </c>
      <c r="V111">
        <f>IF(B111="","",IF(COUNTIF($B$6:B111,B111)=1,1,0))</f>
        <v/>
      </c>
      <c r="W111">
        <f>IF(B111="","",B111-WEEKDAY(B111,3))</f>
        <v/>
      </c>
      <c r="X111">
        <f>IF(D111="","",MAX(IF(N(F111)=0,0,IF(N(E111)&gt;0,E111*(1+F111/30),F111)),IF(N(H111)=0,0,IF(N(G111)&gt;0,G111*(1+H111/30),H111)),IF(N(J111)=0,0,IF(N(I111)&gt;0,I111*(1+J111/30),J111)),IF(N(L111)=0,0,IF(N(K111)&gt;0,K111*(1+L111/30),L111)),IF(N(N111)=0,0,IF(N(M111)&gt;0,M111*(1+N111/30),N111))))</f>
        <v/>
      </c>
      <c r="Y111">
        <f>IF(N(X111)=0,"",X111+ROW()/1000000000)</f>
        <v/>
      </c>
      <c r="Z111">
        <f>IF(Y111="","",IF(COUNTIFS(Log!$D$6:$D$1505,D111,Log!$Y$6:$Y$1505,"&gt;"&amp;Y111)=0,1,0))</f>
        <v/>
      </c>
      <c r="AA111">
        <f>IF(OR(B111="",D111=""),"",B111+ROW()/10000000)</f>
        <v/>
      </c>
      <c r="AB111">
        <f>IF(AA111="","",IF(COUNTIFS(Log!$D$6:$D$1505,D111,Log!$AA$6:$AA$1505,"&gt;"&amp;AA111)=0,1,0))</f>
        <v/>
      </c>
      <c r="AC111">
        <f>IF(S111="New best",AA111,"")</f>
        <v/>
      </c>
      <c r="AD111">
        <f>ROW()</f>
        <v/>
      </c>
    </row>
    <row r="112">
      <c r="A112" s="1" t="n"/>
      <c r="B112" s="21" t="n">
        <v>46239</v>
      </c>
      <c r="C112" s="22" t="inlineStr">
        <is>
          <t>Legs</t>
        </is>
      </c>
      <c r="D112" s="23" t="inlineStr">
        <is>
          <t>Leg press</t>
        </is>
      </c>
      <c r="E112" s="24" t="n">
        <v>290</v>
      </c>
      <c r="F112" s="24" t="n">
        <v>12</v>
      </c>
      <c r="G112" s="24" t="n">
        <v>290</v>
      </c>
      <c r="H112" s="24" t="n">
        <v>11</v>
      </c>
      <c r="I112" s="24" t="n">
        <v>290</v>
      </c>
      <c r="J112" s="24" t="n">
        <v>10</v>
      </c>
      <c r="K112" s="24" t="n"/>
      <c r="L112" s="24" t="n"/>
      <c r="M112" s="24" t="n"/>
      <c r="N112" s="24" t="n"/>
      <c r="O112" s="15">
        <f>IF(D112="","",COUNT(F112,H112,J112,L112,N112))</f>
        <v/>
      </c>
      <c r="P112" s="25">
        <f>IF(D112="","",N(E112)*N(F112)+N(G112)*N(H112)+N(I112)*N(J112)+N(K112)*N(L112)+N(M112)*N(N112))</f>
        <v/>
      </c>
      <c r="Q112" s="18">
        <f>IF(N(X112)=0,"",IF(IF(N(F112)=0,0,IF(N(E112)&gt;0,E112*(1+F112/30),F112))=X112,IF(N(E112)&gt;0,E112&amp;" x "&amp;F112,F112&amp;" reps"),IF(IF(N(H112)=0,0,IF(N(G112)&gt;0,G112*(1+H112/30),H112))=X112,IF(N(G112)&gt;0,G112&amp;" x "&amp;H112,H112&amp;" reps"),IF(IF(N(J112)=0,0,IF(N(I112)&gt;0,I112*(1+J112/30),J112))=X112,IF(N(I112)&gt;0,I112&amp;" x "&amp;J112,J112&amp;" reps"),IF(IF(N(L112)=0,0,IF(N(K112)&gt;0,K112*(1+L112/30),L112))=X112,IF(N(K112)&gt;0,K112&amp;" x "&amp;L112,L112&amp;" reps"),IF(IF(N(N112)=0,0,IF(N(M112)&gt;0,M112*(1+N112/30),N112))=X112,IF(N(M112)&gt;0,M112&amp;" x "&amp;N112,N112&amp;" reps"),""))))))</f>
        <v/>
      </c>
      <c r="R112" s="20">
        <f>IF(N(X112)=0,"",ROUND(X112,1))</f>
        <v/>
      </c>
      <c r="S112" s="18">
        <f>IF(N(X112)=0,"",IF(AND(COUNTIFS(Log!$D$6:$D$1505,D112,Log!$B$6:$B$1505,"&lt;"&amp;B112)&gt;0,COUNTIFS(Log!$D$6:$D$1505,D112,Log!$B$6:$B$1505,"&lt;"&amp;B112,Log!$X$6:$X$1505,"&gt;="&amp;X112)=0),"New best",""))</f>
        <v/>
      </c>
      <c r="T112" s="26" t="inlineStr">
        <is>
          <t>Short on time</t>
        </is>
      </c>
      <c r="U112" s="1">
        <f>IF(D112="","",IFERROR(INDEX(Exercises!$C$6:$C$105,MATCH(D112,Exercises!$B$6:$B$105,0)),"Other"))</f>
        <v/>
      </c>
      <c r="V112">
        <f>IF(B112="","",IF(COUNTIF($B$6:B112,B112)=1,1,0))</f>
        <v/>
      </c>
      <c r="W112">
        <f>IF(B112="","",B112-WEEKDAY(B112,3))</f>
        <v/>
      </c>
      <c r="X112">
        <f>IF(D112="","",MAX(IF(N(F112)=0,0,IF(N(E112)&gt;0,E112*(1+F112/30),F112)),IF(N(H112)=0,0,IF(N(G112)&gt;0,G112*(1+H112/30),H112)),IF(N(J112)=0,0,IF(N(I112)&gt;0,I112*(1+J112/30),J112)),IF(N(L112)=0,0,IF(N(K112)&gt;0,K112*(1+L112/30),L112)),IF(N(N112)=0,0,IF(N(M112)&gt;0,M112*(1+N112/30),N112))))</f>
        <v/>
      </c>
      <c r="Y112">
        <f>IF(N(X112)=0,"",X112+ROW()/1000000000)</f>
        <v/>
      </c>
      <c r="Z112">
        <f>IF(Y112="","",IF(COUNTIFS(Log!$D$6:$D$1505,D112,Log!$Y$6:$Y$1505,"&gt;"&amp;Y112)=0,1,0))</f>
        <v/>
      </c>
      <c r="AA112">
        <f>IF(OR(B112="",D112=""),"",B112+ROW()/10000000)</f>
        <v/>
      </c>
      <c r="AB112">
        <f>IF(AA112="","",IF(COUNTIFS(Log!$D$6:$D$1505,D112,Log!$AA$6:$AA$1505,"&gt;"&amp;AA112)=0,1,0))</f>
        <v/>
      </c>
      <c r="AC112">
        <f>IF(S112="New best",AA112,"")</f>
        <v/>
      </c>
      <c r="AD112">
        <f>ROW()</f>
        <v/>
      </c>
    </row>
    <row r="113">
      <c r="A113" s="1" t="n"/>
      <c r="B113" s="21" t="n">
        <v>46239</v>
      </c>
      <c r="C113" s="22" t="inlineStr">
        <is>
          <t>Legs</t>
        </is>
      </c>
      <c r="D113" s="23" t="inlineStr">
        <is>
          <t>Leg curl</t>
        </is>
      </c>
      <c r="E113" s="24" t="n">
        <v>75</v>
      </c>
      <c r="F113" s="24" t="n">
        <v>11</v>
      </c>
      <c r="G113" s="24" t="n">
        <v>75</v>
      </c>
      <c r="H113" s="24" t="n">
        <v>11</v>
      </c>
      <c r="I113" s="24" t="n">
        <v>75</v>
      </c>
      <c r="J113" s="24" t="n">
        <v>10</v>
      </c>
      <c r="K113" s="24" t="n"/>
      <c r="L113" s="24" t="n"/>
      <c r="M113" s="24" t="n"/>
      <c r="N113" s="24" t="n"/>
      <c r="O113" s="15">
        <f>IF(D113="","",COUNT(F113,H113,J113,L113,N113))</f>
        <v/>
      </c>
      <c r="P113" s="25">
        <f>IF(D113="","",N(E113)*N(F113)+N(G113)*N(H113)+N(I113)*N(J113)+N(K113)*N(L113)+N(M113)*N(N113))</f>
        <v/>
      </c>
      <c r="Q113" s="18">
        <f>IF(N(X113)=0,"",IF(IF(N(F113)=0,0,IF(N(E113)&gt;0,E113*(1+F113/30),F113))=X113,IF(N(E113)&gt;0,E113&amp;" x "&amp;F113,F113&amp;" reps"),IF(IF(N(H113)=0,0,IF(N(G113)&gt;0,G113*(1+H113/30),H113))=X113,IF(N(G113)&gt;0,G113&amp;" x "&amp;H113,H113&amp;" reps"),IF(IF(N(J113)=0,0,IF(N(I113)&gt;0,I113*(1+J113/30),J113))=X113,IF(N(I113)&gt;0,I113&amp;" x "&amp;J113,J113&amp;" reps"),IF(IF(N(L113)=0,0,IF(N(K113)&gt;0,K113*(1+L113/30),L113))=X113,IF(N(K113)&gt;0,K113&amp;" x "&amp;L113,L113&amp;" reps"),IF(IF(N(N113)=0,0,IF(N(M113)&gt;0,M113*(1+N113/30),N113))=X113,IF(N(M113)&gt;0,M113&amp;" x "&amp;N113,N113&amp;" reps"),""))))))</f>
        <v/>
      </c>
      <c r="R113" s="20">
        <f>IF(N(X113)=0,"",ROUND(X113,1))</f>
        <v/>
      </c>
      <c r="S113" s="18">
        <f>IF(N(X113)=0,"",IF(AND(COUNTIFS(Log!$D$6:$D$1505,D113,Log!$B$6:$B$1505,"&lt;"&amp;B113)&gt;0,COUNTIFS(Log!$D$6:$D$1505,D113,Log!$B$6:$B$1505,"&lt;"&amp;B113,Log!$X$6:$X$1505,"&gt;="&amp;X113)=0),"New best",""))</f>
        <v/>
      </c>
      <c r="T113" s="26" t="inlineStr">
        <is>
          <t>Short on time</t>
        </is>
      </c>
      <c r="U113" s="1">
        <f>IF(D113="","",IFERROR(INDEX(Exercises!$C$6:$C$105,MATCH(D113,Exercises!$B$6:$B$105,0)),"Other"))</f>
        <v/>
      </c>
      <c r="V113">
        <f>IF(B113="","",IF(COUNTIF($B$6:B113,B113)=1,1,0))</f>
        <v/>
      </c>
      <c r="W113">
        <f>IF(B113="","",B113-WEEKDAY(B113,3))</f>
        <v/>
      </c>
      <c r="X113">
        <f>IF(D113="","",MAX(IF(N(F113)=0,0,IF(N(E113)&gt;0,E113*(1+F113/30),F113)),IF(N(H113)=0,0,IF(N(G113)&gt;0,G113*(1+H113/30),H113)),IF(N(J113)=0,0,IF(N(I113)&gt;0,I113*(1+J113/30),J113)),IF(N(L113)=0,0,IF(N(K113)&gt;0,K113*(1+L113/30),L113)),IF(N(N113)=0,0,IF(N(M113)&gt;0,M113*(1+N113/30),N113))))</f>
        <v/>
      </c>
      <c r="Y113">
        <f>IF(N(X113)=0,"",X113+ROW()/1000000000)</f>
        <v/>
      </c>
      <c r="Z113">
        <f>IF(Y113="","",IF(COUNTIFS(Log!$D$6:$D$1505,D113,Log!$Y$6:$Y$1505,"&gt;"&amp;Y113)=0,1,0))</f>
        <v/>
      </c>
      <c r="AA113">
        <f>IF(OR(B113="",D113=""),"",B113+ROW()/10000000)</f>
        <v/>
      </c>
      <c r="AB113">
        <f>IF(AA113="","",IF(COUNTIFS(Log!$D$6:$D$1505,D113,Log!$AA$6:$AA$1505,"&gt;"&amp;AA113)=0,1,0))</f>
        <v/>
      </c>
      <c r="AC113">
        <f>IF(S113="New best",AA113,"")</f>
        <v/>
      </c>
      <c r="AD113">
        <f>ROW()</f>
        <v/>
      </c>
    </row>
    <row r="114">
      <c r="A114" s="1" t="n"/>
      <c r="B114" s="21" t="n">
        <v>46239</v>
      </c>
      <c r="C114" s="22" t="inlineStr">
        <is>
          <t>Legs</t>
        </is>
      </c>
      <c r="D114" s="23" t="inlineStr">
        <is>
          <t>Calf raise</t>
        </is>
      </c>
      <c r="E114" s="24" t="n">
        <v>100</v>
      </c>
      <c r="F114" s="24" t="n">
        <v>14</v>
      </c>
      <c r="G114" s="24" t="n">
        <v>100</v>
      </c>
      <c r="H114" s="24" t="n">
        <v>13</v>
      </c>
      <c r="I114" s="24" t="n">
        <v>100</v>
      </c>
      <c r="J114" s="24" t="n">
        <v>12</v>
      </c>
      <c r="K114" s="24" t="n">
        <v>100</v>
      </c>
      <c r="L114" s="24" t="n">
        <v>12</v>
      </c>
      <c r="M114" s="24" t="n"/>
      <c r="N114" s="24" t="n"/>
      <c r="O114" s="15">
        <f>IF(D114="","",COUNT(F114,H114,J114,L114,N114))</f>
        <v/>
      </c>
      <c r="P114" s="25">
        <f>IF(D114="","",N(E114)*N(F114)+N(G114)*N(H114)+N(I114)*N(J114)+N(K114)*N(L114)+N(M114)*N(N114))</f>
        <v/>
      </c>
      <c r="Q114" s="18">
        <f>IF(N(X114)=0,"",IF(IF(N(F114)=0,0,IF(N(E114)&gt;0,E114*(1+F114/30),F114))=X114,IF(N(E114)&gt;0,E114&amp;" x "&amp;F114,F114&amp;" reps"),IF(IF(N(H114)=0,0,IF(N(G114)&gt;0,G114*(1+H114/30),H114))=X114,IF(N(G114)&gt;0,G114&amp;" x "&amp;H114,H114&amp;" reps"),IF(IF(N(J114)=0,0,IF(N(I114)&gt;0,I114*(1+J114/30),J114))=X114,IF(N(I114)&gt;0,I114&amp;" x "&amp;J114,J114&amp;" reps"),IF(IF(N(L114)=0,0,IF(N(K114)&gt;0,K114*(1+L114/30),L114))=X114,IF(N(K114)&gt;0,K114&amp;" x "&amp;L114,L114&amp;" reps"),IF(IF(N(N114)=0,0,IF(N(M114)&gt;0,M114*(1+N114/30),N114))=X114,IF(N(M114)&gt;0,M114&amp;" x "&amp;N114,N114&amp;" reps"),""))))))</f>
        <v/>
      </c>
      <c r="R114" s="20">
        <f>IF(N(X114)=0,"",ROUND(X114,1))</f>
        <v/>
      </c>
      <c r="S114" s="18">
        <f>IF(N(X114)=0,"",IF(AND(COUNTIFS(Log!$D$6:$D$1505,D114,Log!$B$6:$B$1505,"&lt;"&amp;B114)&gt;0,COUNTIFS(Log!$D$6:$D$1505,D114,Log!$B$6:$B$1505,"&lt;"&amp;B114,Log!$X$6:$X$1505,"&gt;="&amp;X114)=0),"New best",""))</f>
        <v/>
      </c>
      <c r="T114" s="26" t="inlineStr">
        <is>
          <t>Felt strong</t>
        </is>
      </c>
      <c r="U114" s="1">
        <f>IF(D114="","",IFERROR(INDEX(Exercises!$C$6:$C$105,MATCH(D114,Exercises!$B$6:$B$105,0)),"Other"))</f>
        <v/>
      </c>
      <c r="V114">
        <f>IF(B114="","",IF(COUNTIF($B$6:B114,B114)=1,1,0))</f>
        <v/>
      </c>
      <c r="W114">
        <f>IF(B114="","",B114-WEEKDAY(B114,3))</f>
        <v/>
      </c>
      <c r="X114">
        <f>IF(D114="","",MAX(IF(N(F114)=0,0,IF(N(E114)&gt;0,E114*(1+F114/30),F114)),IF(N(H114)=0,0,IF(N(G114)&gt;0,G114*(1+H114/30),H114)),IF(N(J114)=0,0,IF(N(I114)&gt;0,I114*(1+J114/30),J114)),IF(N(L114)=0,0,IF(N(K114)&gt;0,K114*(1+L114/30),L114)),IF(N(N114)=0,0,IF(N(M114)&gt;0,M114*(1+N114/30),N114))))</f>
        <v/>
      </c>
      <c r="Y114">
        <f>IF(N(X114)=0,"",X114+ROW()/1000000000)</f>
        <v/>
      </c>
      <c r="Z114">
        <f>IF(Y114="","",IF(COUNTIFS(Log!$D$6:$D$1505,D114,Log!$Y$6:$Y$1505,"&gt;"&amp;Y114)=0,1,0))</f>
        <v/>
      </c>
      <c r="AA114">
        <f>IF(OR(B114="",D114=""),"",B114+ROW()/10000000)</f>
        <v/>
      </c>
      <c r="AB114">
        <f>IF(AA114="","",IF(COUNTIFS(Log!$D$6:$D$1505,D114,Log!$AA$6:$AA$1505,"&gt;"&amp;AA114)=0,1,0))</f>
        <v/>
      </c>
      <c r="AC114">
        <f>IF(S114="New best",AA114,"")</f>
        <v/>
      </c>
      <c r="AD114">
        <f>ROW()</f>
        <v/>
      </c>
    </row>
    <row r="115">
      <c r="A115" s="1" t="n"/>
      <c r="B115" s="21" t="n">
        <v>46241</v>
      </c>
      <c r="C115" s="22" t="inlineStr">
        <is>
          <t>Upper</t>
        </is>
      </c>
      <c r="D115" s="23" t="inlineStr">
        <is>
          <t>Bench press</t>
        </is>
      </c>
      <c r="E115" s="24" t="n">
        <v>125</v>
      </c>
      <c r="F115" s="24" t="n">
        <v>10</v>
      </c>
      <c r="G115" s="24" t="n">
        <v>125</v>
      </c>
      <c r="H115" s="24" t="n">
        <v>9</v>
      </c>
      <c r="I115" s="24" t="n">
        <v>125</v>
      </c>
      <c r="J115" s="24" t="n">
        <v>8</v>
      </c>
      <c r="K115" s="24" t="n"/>
      <c r="L115" s="24" t="n"/>
      <c r="M115" s="24" t="n"/>
      <c r="N115" s="24" t="n"/>
      <c r="O115" s="15">
        <f>IF(D115="","",COUNT(F115,H115,J115,L115,N115))</f>
        <v/>
      </c>
      <c r="P115" s="25">
        <f>IF(D115="","",N(E115)*N(F115)+N(G115)*N(H115)+N(I115)*N(J115)+N(K115)*N(L115)+N(M115)*N(N115))</f>
        <v/>
      </c>
      <c r="Q115" s="18">
        <f>IF(N(X115)=0,"",IF(IF(N(F115)=0,0,IF(N(E115)&gt;0,E115*(1+F115/30),F115))=X115,IF(N(E115)&gt;0,E115&amp;" x "&amp;F115,F115&amp;" reps"),IF(IF(N(H115)=0,0,IF(N(G115)&gt;0,G115*(1+H115/30),H115))=X115,IF(N(G115)&gt;0,G115&amp;" x "&amp;H115,H115&amp;" reps"),IF(IF(N(J115)=0,0,IF(N(I115)&gt;0,I115*(1+J115/30),J115))=X115,IF(N(I115)&gt;0,I115&amp;" x "&amp;J115,J115&amp;" reps"),IF(IF(N(L115)=0,0,IF(N(K115)&gt;0,K115*(1+L115/30),L115))=X115,IF(N(K115)&gt;0,K115&amp;" x "&amp;L115,L115&amp;" reps"),IF(IF(N(N115)=0,0,IF(N(M115)&gt;0,M115*(1+N115/30),N115))=X115,IF(N(M115)&gt;0,M115&amp;" x "&amp;N115,N115&amp;" reps"),""))))))</f>
        <v/>
      </c>
      <c r="R115" s="20">
        <f>IF(N(X115)=0,"",ROUND(X115,1))</f>
        <v/>
      </c>
      <c r="S115" s="18">
        <f>IF(N(X115)=0,"",IF(AND(COUNTIFS(Log!$D$6:$D$1505,D115,Log!$B$6:$B$1505,"&lt;"&amp;B115)&gt;0,COUNTIFS(Log!$D$6:$D$1505,D115,Log!$B$6:$B$1505,"&lt;"&amp;B115,Log!$X$6:$X$1505,"&gt;="&amp;X115)=0),"New best",""))</f>
        <v/>
      </c>
      <c r="T115" s="26" t="n"/>
      <c r="U115" s="1">
        <f>IF(D115="","",IFERROR(INDEX(Exercises!$C$6:$C$105,MATCH(D115,Exercises!$B$6:$B$105,0)),"Other"))</f>
        <v/>
      </c>
      <c r="V115">
        <f>IF(B115="","",IF(COUNTIF($B$6:B115,B115)=1,1,0))</f>
        <v/>
      </c>
      <c r="W115">
        <f>IF(B115="","",B115-WEEKDAY(B115,3))</f>
        <v/>
      </c>
      <c r="X115">
        <f>IF(D115="","",MAX(IF(N(F115)=0,0,IF(N(E115)&gt;0,E115*(1+F115/30),F115)),IF(N(H115)=0,0,IF(N(G115)&gt;0,G115*(1+H115/30),H115)),IF(N(J115)=0,0,IF(N(I115)&gt;0,I115*(1+J115/30),J115)),IF(N(L115)=0,0,IF(N(K115)&gt;0,K115*(1+L115/30),L115)),IF(N(N115)=0,0,IF(N(M115)&gt;0,M115*(1+N115/30),N115))))</f>
        <v/>
      </c>
      <c r="Y115">
        <f>IF(N(X115)=0,"",X115+ROW()/1000000000)</f>
        <v/>
      </c>
      <c r="Z115">
        <f>IF(Y115="","",IF(COUNTIFS(Log!$D$6:$D$1505,D115,Log!$Y$6:$Y$1505,"&gt;"&amp;Y115)=0,1,0))</f>
        <v/>
      </c>
      <c r="AA115">
        <f>IF(OR(B115="",D115=""),"",B115+ROW()/10000000)</f>
        <v/>
      </c>
      <c r="AB115">
        <f>IF(AA115="","",IF(COUNTIFS(Log!$D$6:$D$1505,D115,Log!$AA$6:$AA$1505,"&gt;"&amp;AA115)=0,1,0))</f>
        <v/>
      </c>
      <c r="AC115">
        <f>IF(S115="New best",AA115,"")</f>
        <v/>
      </c>
      <c r="AD115">
        <f>ROW()</f>
        <v/>
      </c>
    </row>
    <row r="116">
      <c r="A116" s="1" t="n"/>
      <c r="B116" s="21" t="n">
        <v>46241</v>
      </c>
      <c r="C116" s="22" t="inlineStr">
        <is>
          <t>Upper</t>
        </is>
      </c>
      <c r="D116" s="23" t="inlineStr">
        <is>
          <t>Barbell row</t>
        </is>
      </c>
      <c r="E116" s="24" t="n">
        <v>110</v>
      </c>
      <c r="F116" s="24" t="n">
        <v>9</v>
      </c>
      <c r="G116" s="24" t="n">
        <v>110</v>
      </c>
      <c r="H116" s="24" t="n">
        <v>8</v>
      </c>
      <c r="I116" s="24" t="n">
        <v>110</v>
      </c>
      <c r="J116" s="24" t="n">
        <v>8</v>
      </c>
      <c r="K116" s="24" t="n"/>
      <c r="L116" s="24" t="n"/>
      <c r="M116" s="24" t="n"/>
      <c r="N116" s="24" t="n"/>
      <c r="O116" s="15">
        <f>IF(D116="","",COUNT(F116,H116,J116,L116,N116))</f>
        <v/>
      </c>
      <c r="P116" s="25">
        <f>IF(D116="","",N(E116)*N(F116)+N(G116)*N(H116)+N(I116)*N(J116)+N(K116)*N(L116)+N(M116)*N(N116))</f>
        <v/>
      </c>
      <c r="Q116" s="18">
        <f>IF(N(X116)=0,"",IF(IF(N(F116)=0,0,IF(N(E116)&gt;0,E116*(1+F116/30),F116))=X116,IF(N(E116)&gt;0,E116&amp;" x "&amp;F116,F116&amp;" reps"),IF(IF(N(H116)=0,0,IF(N(G116)&gt;0,G116*(1+H116/30),H116))=X116,IF(N(G116)&gt;0,G116&amp;" x "&amp;H116,H116&amp;" reps"),IF(IF(N(J116)=0,0,IF(N(I116)&gt;0,I116*(1+J116/30),J116))=X116,IF(N(I116)&gt;0,I116&amp;" x "&amp;J116,J116&amp;" reps"),IF(IF(N(L116)=0,0,IF(N(K116)&gt;0,K116*(1+L116/30),L116))=X116,IF(N(K116)&gt;0,K116&amp;" x "&amp;L116,L116&amp;" reps"),IF(IF(N(N116)=0,0,IF(N(M116)&gt;0,M116*(1+N116/30),N116))=X116,IF(N(M116)&gt;0,M116&amp;" x "&amp;N116,N116&amp;" reps"),""))))))</f>
        <v/>
      </c>
      <c r="R116" s="20">
        <f>IF(N(X116)=0,"",ROUND(X116,1))</f>
        <v/>
      </c>
      <c r="S116" s="18">
        <f>IF(N(X116)=0,"",IF(AND(COUNTIFS(Log!$D$6:$D$1505,D116,Log!$B$6:$B$1505,"&lt;"&amp;B116)&gt;0,COUNTIFS(Log!$D$6:$D$1505,D116,Log!$B$6:$B$1505,"&lt;"&amp;B116,Log!$X$6:$X$1505,"&gt;="&amp;X116)=0),"New best",""))</f>
        <v/>
      </c>
      <c r="T116" s="26" t="inlineStr">
        <is>
          <t>Easy, go up next time</t>
        </is>
      </c>
      <c r="U116" s="1">
        <f>IF(D116="","",IFERROR(INDEX(Exercises!$C$6:$C$105,MATCH(D116,Exercises!$B$6:$B$105,0)),"Other"))</f>
        <v/>
      </c>
      <c r="V116">
        <f>IF(B116="","",IF(COUNTIF($B$6:B116,B116)=1,1,0))</f>
        <v/>
      </c>
      <c r="W116">
        <f>IF(B116="","",B116-WEEKDAY(B116,3))</f>
        <v/>
      </c>
      <c r="X116">
        <f>IF(D116="","",MAX(IF(N(F116)=0,0,IF(N(E116)&gt;0,E116*(1+F116/30),F116)),IF(N(H116)=0,0,IF(N(G116)&gt;0,G116*(1+H116/30),H116)),IF(N(J116)=0,0,IF(N(I116)&gt;0,I116*(1+J116/30),J116)),IF(N(L116)=0,0,IF(N(K116)&gt;0,K116*(1+L116/30),L116)),IF(N(N116)=0,0,IF(N(M116)&gt;0,M116*(1+N116/30),N116))))</f>
        <v/>
      </c>
      <c r="Y116">
        <f>IF(N(X116)=0,"",X116+ROW()/1000000000)</f>
        <v/>
      </c>
      <c r="Z116">
        <f>IF(Y116="","",IF(COUNTIFS(Log!$D$6:$D$1505,D116,Log!$Y$6:$Y$1505,"&gt;"&amp;Y116)=0,1,0))</f>
        <v/>
      </c>
      <c r="AA116">
        <f>IF(OR(B116="",D116=""),"",B116+ROW()/10000000)</f>
        <v/>
      </c>
      <c r="AB116">
        <f>IF(AA116="","",IF(COUNTIFS(Log!$D$6:$D$1505,D116,Log!$AA$6:$AA$1505,"&gt;"&amp;AA116)=0,1,0))</f>
        <v/>
      </c>
      <c r="AC116">
        <f>IF(S116="New best",AA116,"")</f>
        <v/>
      </c>
      <c r="AD116">
        <f>ROW()</f>
        <v/>
      </c>
    </row>
    <row r="117">
      <c r="A117" s="1" t="n"/>
      <c r="B117" s="21" t="n">
        <v>46241</v>
      </c>
      <c r="C117" s="22" t="inlineStr">
        <is>
          <t>Upper</t>
        </is>
      </c>
      <c r="D117" s="23" t="inlineStr">
        <is>
          <t>Overhead press</t>
        </is>
      </c>
      <c r="E117" s="24" t="n">
        <v>80</v>
      </c>
      <c r="F117" s="24" t="n">
        <v>9</v>
      </c>
      <c r="G117" s="24" t="n">
        <v>80</v>
      </c>
      <c r="H117" s="24" t="n">
        <v>9</v>
      </c>
      <c r="I117" s="24" t="n">
        <v>80</v>
      </c>
      <c r="J117" s="24" t="n">
        <v>8</v>
      </c>
      <c r="K117" s="24" t="n"/>
      <c r="L117" s="24" t="n"/>
      <c r="M117" s="24" t="n"/>
      <c r="N117" s="24" t="n"/>
      <c r="O117" s="15">
        <f>IF(D117="","",COUNT(F117,H117,J117,L117,N117))</f>
        <v/>
      </c>
      <c r="P117" s="25">
        <f>IF(D117="","",N(E117)*N(F117)+N(G117)*N(H117)+N(I117)*N(J117)+N(K117)*N(L117)+N(M117)*N(N117))</f>
        <v/>
      </c>
      <c r="Q117" s="18">
        <f>IF(N(X117)=0,"",IF(IF(N(F117)=0,0,IF(N(E117)&gt;0,E117*(1+F117/30),F117))=X117,IF(N(E117)&gt;0,E117&amp;" x "&amp;F117,F117&amp;" reps"),IF(IF(N(H117)=0,0,IF(N(G117)&gt;0,G117*(1+H117/30),H117))=X117,IF(N(G117)&gt;0,G117&amp;" x "&amp;H117,H117&amp;" reps"),IF(IF(N(J117)=0,0,IF(N(I117)&gt;0,I117*(1+J117/30),J117))=X117,IF(N(I117)&gt;0,I117&amp;" x "&amp;J117,J117&amp;" reps"),IF(IF(N(L117)=0,0,IF(N(K117)&gt;0,K117*(1+L117/30),L117))=X117,IF(N(K117)&gt;0,K117&amp;" x "&amp;L117,L117&amp;" reps"),IF(IF(N(N117)=0,0,IF(N(M117)&gt;0,M117*(1+N117/30),N117))=X117,IF(N(M117)&gt;0,M117&amp;" x "&amp;N117,N117&amp;" reps"),""))))))</f>
        <v/>
      </c>
      <c r="R117" s="20">
        <f>IF(N(X117)=0,"",ROUND(X117,1))</f>
        <v/>
      </c>
      <c r="S117" s="18">
        <f>IF(N(X117)=0,"",IF(AND(COUNTIFS(Log!$D$6:$D$1505,D117,Log!$B$6:$B$1505,"&lt;"&amp;B117)&gt;0,COUNTIFS(Log!$D$6:$D$1505,D117,Log!$B$6:$B$1505,"&lt;"&amp;B117,Log!$X$6:$X$1505,"&gt;="&amp;X117)=0),"New best",""))</f>
        <v/>
      </c>
      <c r="T117" s="26" t="n"/>
      <c r="U117" s="1">
        <f>IF(D117="","",IFERROR(INDEX(Exercises!$C$6:$C$105,MATCH(D117,Exercises!$B$6:$B$105,0)),"Other"))</f>
        <v/>
      </c>
      <c r="V117">
        <f>IF(B117="","",IF(COUNTIF($B$6:B117,B117)=1,1,0))</f>
        <v/>
      </c>
      <c r="W117">
        <f>IF(B117="","",B117-WEEKDAY(B117,3))</f>
        <v/>
      </c>
      <c r="X117">
        <f>IF(D117="","",MAX(IF(N(F117)=0,0,IF(N(E117)&gt;0,E117*(1+F117/30),F117)),IF(N(H117)=0,0,IF(N(G117)&gt;0,G117*(1+H117/30),H117)),IF(N(J117)=0,0,IF(N(I117)&gt;0,I117*(1+J117/30),J117)),IF(N(L117)=0,0,IF(N(K117)&gt;0,K117*(1+L117/30),L117)),IF(N(N117)=0,0,IF(N(M117)&gt;0,M117*(1+N117/30),N117))))</f>
        <v/>
      </c>
      <c r="Y117">
        <f>IF(N(X117)=0,"",X117+ROW()/1000000000)</f>
        <v/>
      </c>
      <c r="Z117">
        <f>IF(Y117="","",IF(COUNTIFS(Log!$D$6:$D$1505,D117,Log!$Y$6:$Y$1505,"&gt;"&amp;Y117)=0,1,0))</f>
        <v/>
      </c>
      <c r="AA117">
        <f>IF(OR(B117="",D117=""),"",B117+ROW()/10000000)</f>
        <v/>
      </c>
      <c r="AB117">
        <f>IF(AA117="","",IF(COUNTIFS(Log!$D$6:$D$1505,D117,Log!$AA$6:$AA$1505,"&gt;"&amp;AA117)=0,1,0))</f>
        <v/>
      </c>
      <c r="AC117">
        <f>IF(S117="New best",AA117,"")</f>
        <v/>
      </c>
      <c r="AD117">
        <f>ROW()</f>
        <v/>
      </c>
    </row>
    <row r="118">
      <c r="A118" s="1" t="n"/>
      <c r="B118" s="21" t="n">
        <v>46241</v>
      </c>
      <c r="C118" s="22" t="inlineStr">
        <is>
          <t>Upper</t>
        </is>
      </c>
      <c r="D118" s="23" t="inlineStr">
        <is>
          <t>Pull-up</t>
        </is>
      </c>
      <c r="E118" s="24" t="n"/>
      <c r="F118" s="24" t="n">
        <v>6</v>
      </c>
      <c r="G118" s="24" t="n"/>
      <c r="H118" s="24" t="n">
        <v>6</v>
      </c>
      <c r="I118" s="24" t="n"/>
      <c r="J118" s="24" t="n">
        <v>5</v>
      </c>
      <c r="K118" s="24" t="n"/>
      <c r="L118" s="24" t="n"/>
      <c r="M118" s="24" t="n"/>
      <c r="N118" s="24" t="n"/>
      <c r="O118" s="15">
        <f>IF(D118="","",COUNT(F118,H118,J118,L118,N118))</f>
        <v/>
      </c>
      <c r="P118" s="25">
        <f>IF(D118="","",N(E118)*N(F118)+N(G118)*N(H118)+N(I118)*N(J118)+N(K118)*N(L118)+N(M118)*N(N118))</f>
        <v/>
      </c>
      <c r="Q118" s="18">
        <f>IF(N(X118)=0,"",IF(IF(N(F118)=0,0,IF(N(E118)&gt;0,E118*(1+F118/30),F118))=X118,IF(N(E118)&gt;0,E118&amp;" x "&amp;F118,F118&amp;" reps"),IF(IF(N(H118)=0,0,IF(N(G118)&gt;0,G118*(1+H118/30),H118))=X118,IF(N(G118)&gt;0,G118&amp;" x "&amp;H118,H118&amp;" reps"),IF(IF(N(J118)=0,0,IF(N(I118)&gt;0,I118*(1+J118/30),J118))=X118,IF(N(I118)&gt;0,I118&amp;" x "&amp;J118,J118&amp;" reps"),IF(IF(N(L118)=0,0,IF(N(K118)&gt;0,K118*(1+L118/30),L118))=X118,IF(N(K118)&gt;0,K118&amp;" x "&amp;L118,L118&amp;" reps"),IF(IF(N(N118)=0,0,IF(N(M118)&gt;0,M118*(1+N118/30),N118))=X118,IF(N(M118)&gt;0,M118&amp;" x "&amp;N118,N118&amp;" reps"),""))))))</f>
        <v/>
      </c>
      <c r="R118" s="20">
        <f>IF(N(X118)=0,"",ROUND(X118,1))</f>
        <v/>
      </c>
      <c r="S118" s="18">
        <f>IF(N(X118)=0,"",IF(AND(COUNTIFS(Log!$D$6:$D$1505,D118,Log!$B$6:$B$1505,"&lt;"&amp;B118)&gt;0,COUNTIFS(Log!$D$6:$D$1505,D118,Log!$B$6:$B$1505,"&lt;"&amp;B118,Log!$X$6:$X$1505,"&gt;="&amp;X118)=0),"New best",""))</f>
        <v/>
      </c>
      <c r="T118" s="26" t="inlineStr">
        <is>
          <t>Short on time</t>
        </is>
      </c>
      <c r="U118" s="1">
        <f>IF(D118="","",IFERROR(INDEX(Exercises!$C$6:$C$105,MATCH(D118,Exercises!$B$6:$B$105,0)),"Other"))</f>
        <v/>
      </c>
      <c r="V118">
        <f>IF(B118="","",IF(COUNTIF($B$6:B118,B118)=1,1,0))</f>
        <v/>
      </c>
      <c r="W118">
        <f>IF(B118="","",B118-WEEKDAY(B118,3))</f>
        <v/>
      </c>
      <c r="X118">
        <f>IF(D118="","",MAX(IF(N(F118)=0,0,IF(N(E118)&gt;0,E118*(1+F118/30),F118)),IF(N(H118)=0,0,IF(N(G118)&gt;0,G118*(1+H118/30),H118)),IF(N(J118)=0,0,IF(N(I118)&gt;0,I118*(1+J118/30),J118)),IF(N(L118)=0,0,IF(N(K118)&gt;0,K118*(1+L118/30),L118)),IF(N(N118)=0,0,IF(N(M118)&gt;0,M118*(1+N118/30),N118))))</f>
        <v/>
      </c>
      <c r="Y118">
        <f>IF(N(X118)=0,"",X118+ROW()/1000000000)</f>
        <v/>
      </c>
      <c r="Z118">
        <f>IF(Y118="","",IF(COUNTIFS(Log!$D$6:$D$1505,D118,Log!$Y$6:$Y$1505,"&gt;"&amp;Y118)=0,1,0))</f>
        <v/>
      </c>
      <c r="AA118">
        <f>IF(OR(B118="",D118=""),"",B118+ROW()/10000000)</f>
        <v/>
      </c>
      <c r="AB118">
        <f>IF(AA118="","",IF(COUNTIFS(Log!$D$6:$D$1505,D118,Log!$AA$6:$AA$1505,"&gt;"&amp;AA118)=0,1,0))</f>
        <v/>
      </c>
      <c r="AC118">
        <f>IF(S118="New best",AA118,"")</f>
        <v/>
      </c>
      <c r="AD118">
        <f>ROW()</f>
        <v/>
      </c>
    </row>
    <row r="119">
      <c r="A119" s="1" t="n"/>
      <c r="B119" s="21" t="n">
        <v>46241</v>
      </c>
      <c r="C119" s="22" t="inlineStr">
        <is>
          <t>Upper</t>
        </is>
      </c>
      <c r="D119" s="23" t="inlineStr">
        <is>
          <t>Biceps curl</t>
        </is>
      </c>
      <c r="E119" s="24" t="n">
        <v>25</v>
      </c>
      <c r="F119" s="24" t="n">
        <v>12</v>
      </c>
      <c r="G119" s="24" t="n">
        <v>25</v>
      </c>
      <c r="H119" s="24" t="n">
        <v>10</v>
      </c>
      <c r="I119" s="24" t="n"/>
      <c r="J119" s="24" t="n"/>
      <c r="K119" s="24" t="n"/>
      <c r="L119" s="24" t="n"/>
      <c r="M119" s="24" t="n"/>
      <c r="N119" s="24" t="n"/>
      <c r="O119" s="15">
        <f>IF(D119="","",COUNT(F119,H119,J119,L119,N119))</f>
        <v/>
      </c>
      <c r="P119" s="25">
        <f>IF(D119="","",N(E119)*N(F119)+N(G119)*N(H119)+N(I119)*N(J119)+N(K119)*N(L119)+N(M119)*N(N119))</f>
        <v/>
      </c>
      <c r="Q119" s="18">
        <f>IF(N(X119)=0,"",IF(IF(N(F119)=0,0,IF(N(E119)&gt;0,E119*(1+F119/30),F119))=X119,IF(N(E119)&gt;0,E119&amp;" x "&amp;F119,F119&amp;" reps"),IF(IF(N(H119)=0,0,IF(N(G119)&gt;0,G119*(1+H119/30),H119))=X119,IF(N(G119)&gt;0,G119&amp;" x "&amp;H119,H119&amp;" reps"),IF(IF(N(J119)=0,0,IF(N(I119)&gt;0,I119*(1+J119/30),J119))=X119,IF(N(I119)&gt;0,I119&amp;" x "&amp;J119,J119&amp;" reps"),IF(IF(N(L119)=0,0,IF(N(K119)&gt;0,K119*(1+L119/30),L119))=X119,IF(N(K119)&gt;0,K119&amp;" x "&amp;L119,L119&amp;" reps"),IF(IF(N(N119)=0,0,IF(N(M119)&gt;0,M119*(1+N119/30),N119))=X119,IF(N(M119)&gt;0,M119&amp;" x "&amp;N119,N119&amp;" reps"),""))))))</f>
        <v/>
      </c>
      <c r="R119" s="20">
        <f>IF(N(X119)=0,"",ROUND(X119,1))</f>
        <v/>
      </c>
      <c r="S119" s="18">
        <f>IF(N(X119)=0,"",IF(AND(COUNTIFS(Log!$D$6:$D$1505,D119,Log!$B$6:$B$1505,"&lt;"&amp;B119)&gt;0,COUNTIFS(Log!$D$6:$D$1505,D119,Log!$B$6:$B$1505,"&lt;"&amp;B119,Log!$X$6:$X$1505,"&gt;="&amp;X119)=0),"New best",""))</f>
        <v/>
      </c>
      <c r="T119" s="26" t="n"/>
      <c r="U119" s="1">
        <f>IF(D119="","",IFERROR(INDEX(Exercises!$C$6:$C$105,MATCH(D119,Exercises!$B$6:$B$105,0)),"Other"))</f>
        <v/>
      </c>
      <c r="V119">
        <f>IF(B119="","",IF(COUNTIF($B$6:B119,B119)=1,1,0))</f>
        <v/>
      </c>
      <c r="W119">
        <f>IF(B119="","",B119-WEEKDAY(B119,3))</f>
        <v/>
      </c>
      <c r="X119">
        <f>IF(D119="","",MAX(IF(N(F119)=0,0,IF(N(E119)&gt;0,E119*(1+F119/30),F119)),IF(N(H119)=0,0,IF(N(G119)&gt;0,G119*(1+H119/30),H119)),IF(N(J119)=0,0,IF(N(I119)&gt;0,I119*(1+J119/30),J119)),IF(N(L119)=0,0,IF(N(K119)&gt;0,K119*(1+L119/30),L119)),IF(N(N119)=0,0,IF(N(M119)&gt;0,M119*(1+N119/30),N119))))</f>
        <v/>
      </c>
      <c r="Y119">
        <f>IF(N(X119)=0,"",X119+ROW()/1000000000)</f>
        <v/>
      </c>
      <c r="Z119">
        <f>IF(Y119="","",IF(COUNTIFS(Log!$D$6:$D$1505,D119,Log!$Y$6:$Y$1505,"&gt;"&amp;Y119)=0,1,0))</f>
        <v/>
      </c>
      <c r="AA119">
        <f>IF(OR(B119="",D119=""),"",B119+ROW()/10000000)</f>
        <v/>
      </c>
      <c r="AB119">
        <f>IF(AA119="","",IF(COUNTIFS(Log!$D$6:$D$1505,D119,Log!$AA$6:$AA$1505,"&gt;"&amp;AA119)=0,1,0))</f>
        <v/>
      </c>
      <c r="AC119">
        <f>IF(S119="New best",AA119,"")</f>
        <v/>
      </c>
      <c r="AD119">
        <f>ROW()</f>
        <v/>
      </c>
    </row>
    <row r="120">
      <c r="A120" s="1" t="n"/>
      <c r="B120" s="21" t="n">
        <v>46241</v>
      </c>
      <c r="C120" s="22" t="inlineStr">
        <is>
          <t>Upper</t>
        </is>
      </c>
      <c r="D120" s="23" t="inlineStr">
        <is>
          <t>Triceps pushdown</t>
        </is>
      </c>
      <c r="E120" s="24" t="n">
        <v>40</v>
      </c>
      <c r="F120" s="24" t="n">
        <v>11</v>
      </c>
      <c r="G120" s="24" t="n">
        <v>40</v>
      </c>
      <c r="H120" s="24" t="n">
        <v>11</v>
      </c>
      <c r="I120" s="24" t="n"/>
      <c r="J120" s="24" t="n"/>
      <c r="K120" s="24" t="n"/>
      <c r="L120" s="24" t="n"/>
      <c r="M120" s="24" t="n"/>
      <c r="N120" s="24" t="n"/>
      <c r="O120" s="15">
        <f>IF(D120="","",COUNT(F120,H120,J120,L120,N120))</f>
        <v/>
      </c>
      <c r="P120" s="25">
        <f>IF(D120="","",N(E120)*N(F120)+N(G120)*N(H120)+N(I120)*N(J120)+N(K120)*N(L120)+N(M120)*N(N120))</f>
        <v/>
      </c>
      <c r="Q120" s="18">
        <f>IF(N(X120)=0,"",IF(IF(N(F120)=0,0,IF(N(E120)&gt;0,E120*(1+F120/30),F120))=X120,IF(N(E120)&gt;0,E120&amp;" x "&amp;F120,F120&amp;" reps"),IF(IF(N(H120)=0,0,IF(N(G120)&gt;0,G120*(1+H120/30),H120))=X120,IF(N(G120)&gt;0,G120&amp;" x "&amp;H120,H120&amp;" reps"),IF(IF(N(J120)=0,0,IF(N(I120)&gt;0,I120*(1+J120/30),J120))=X120,IF(N(I120)&gt;0,I120&amp;" x "&amp;J120,J120&amp;" reps"),IF(IF(N(L120)=0,0,IF(N(K120)&gt;0,K120*(1+L120/30),L120))=X120,IF(N(K120)&gt;0,K120&amp;" x "&amp;L120,L120&amp;" reps"),IF(IF(N(N120)=0,0,IF(N(M120)&gt;0,M120*(1+N120/30),N120))=X120,IF(N(M120)&gt;0,M120&amp;" x "&amp;N120,N120&amp;" reps"),""))))))</f>
        <v/>
      </c>
      <c r="R120" s="20">
        <f>IF(N(X120)=0,"",ROUND(X120,1))</f>
        <v/>
      </c>
      <c r="S120" s="18">
        <f>IF(N(X120)=0,"",IF(AND(COUNTIFS(Log!$D$6:$D$1505,D120,Log!$B$6:$B$1505,"&lt;"&amp;B120)&gt;0,COUNTIFS(Log!$D$6:$D$1505,D120,Log!$B$6:$B$1505,"&lt;"&amp;B120,Log!$X$6:$X$1505,"&gt;="&amp;X120)=0),"New best",""))</f>
        <v/>
      </c>
      <c r="T120" s="26" t="n"/>
      <c r="U120" s="1">
        <f>IF(D120="","",IFERROR(INDEX(Exercises!$C$6:$C$105,MATCH(D120,Exercises!$B$6:$B$105,0)),"Other"))</f>
        <v/>
      </c>
      <c r="V120">
        <f>IF(B120="","",IF(COUNTIF($B$6:B120,B120)=1,1,0))</f>
        <v/>
      </c>
      <c r="W120">
        <f>IF(B120="","",B120-WEEKDAY(B120,3))</f>
        <v/>
      </c>
      <c r="X120">
        <f>IF(D120="","",MAX(IF(N(F120)=0,0,IF(N(E120)&gt;0,E120*(1+F120/30),F120)),IF(N(H120)=0,0,IF(N(G120)&gt;0,G120*(1+H120/30),H120)),IF(N(J120)=0,0,IF(N(I120)&gt;0,I120*(1+J120/30),J120)),IF(N(L120)=0,0,IF(N(K120)&gt;0,K120*(1+L120/30),L120)),IF(N(N120)=0,0,IF(N(M120)&gt;0,M120*(1+N120/30),N120))))</f>
        <v/>
      </c>
      <c r="Y120">
        <f>IF(N(X120)=0,"",X120+ROW()/1000000000)</f>
        <v/>
      </c>
      <c r="Z120">
        <f>IF(Y120="","",IF(COUNTIFS(Log!$D$6:$D$1505,D120,Log!$Y$6:$Y$1505,"&gt;"&amp;Y120)=0,1,0))</f>
        <v/>
      </c>
      <c r="AA120">
        <f>IF(OR(B120="",D120=""),"",B120+ROW()/10000000)</f>
        <v/>
      </c>
      <c r="AB120">
        <f>IF(AA120="","",IF(COUNTIFS(Log!$D$6:$D$1505,D120,Log!$AA$6:$AA$1505,"&gt;"&amp;AA120)=0,1,0))</f>
        <v/>
      </c>
      <c r="AC120">
        <f>IF(S120="New best",AA120,"")</f>
        <v/>
      </c>
      <c r="AD120">
        <f>ROW()</f>
        <v/>
      </c>
    </row>
    <row r="121">
      <c r="A121" s="1" t="n"/>
      <c r="B121" s="21" t="n">
        <v>46242</v>
      </c>
      <c r="C121" s="22" t="inlineStr">
        <is>
          <t>Lower</t>
        </is>
      </c>
      <c r="D121" s="23" t="inlineStr">
        <is>
          <t>Squat</t>
        </is>
      </c>
      <c r="E121" s="24" t="n">
        <v>175</v>
      </c>
      <c r="F121" s="24" t="n">
        <v>8</v>
      </c>
      <c r="G121" s="24" t="n">
        <v>175</v>
      </c>
      <c r="H121" s="24" t="n">
        <v>8</v>
      </c>
      <c r="I121" s="24" t="n">
        <v>175</v>
      </c>
      <c r="J121" s="24" t="n">
        <v>8</v>
      </c>
      <c r="K121" s="24" t="n"/>
      <c r="L121" s="24" t="n"/>
      <c r="M121" s="24" t="n"/>
      <c r="N121" s="24" t="n"/>
      <c r="O121" s="15">
        <f>IF(D121="","",COUNT(F121,H121,J121,L121,N121))</f>
        <v/>
      </c>
      <c r="P121" s="25">
        <f>IF(D121="","",N(E121)*N(F121)+N(G121)*N(H121)+N(I121)*N(J121)+N(K121)*N(L121)+N(M121)*N(N121))</f>
        <v/>
      </c>
      <c r="Q121" s="18">
        <f>IF(N(X121)=0,"",IF(IF(N(F121)=0,0,IF(N(E121)&gt;0,E121*(1+F121/30),F121))=X121,IF(N(E121)&gt;0,E121&amp;" x "&amp;F121,F121&amp;" reps"),IF(IF(N(H121)=0,0,IF(N(G121)&gt;0,G121*(1+H121/30),H121))=X121,IF(N(G121)&gt;0,G121&amp;" x "&amp;H121,H121&amp;" reps"),IF(IF(N(J121)=0,0,IF(N(I121)&gt;0,I121*(1+J121/30),J121))=X121,IF(N(I121)&gt;0,I121&amp;" x "&amp;J121,J121&amp;" reps"),IF(IF(N(L121)=0,0,IF(N(K121)&gt;0,K121*(1+L121/30),L121))=X121,IF(N(K121)&gt;0,K121&amp;" x "&amp;L121,L121&amp;" reps"),IF(IF(N(N121)=0,0,IF(N(M121)&gt;0,M121*(1+N121/30),N121))=X121,IF(N(M121)&gt;0,M121&amp;" x "&amp;N121,N121&amp;" reps"),""))))))</f>
        <v/>
      </c>
      <c r="R121" s="20">
        <f>IF(N(X121)=0,"",ROUND(X121,1))</f>
        <v/>
      </c>
      <c r="S121" s="18">
        <f>IF(N(X121)=0,"",IF(AND(COUNTIFS(Log!$D$6:$D$1505,D121,Log!$B$6:$B$1505,"&lt;"&amp;B121)&gt;0,COUNTIFS(Log!$D$6:$D$1505,D121,Log!$B$6:$B$1505,"&lt;"&amp;B121,Log!$X$6:$X$1505,"&gt;="&amp;X121)=0),"New best",""))</f>
        <v/>
      </c>
      <c r="T121" s="26" t="n"/>
      <c r="U121" s="1">
        <f>IF(D121="","",IFERROR(INDEX(Exercises!$C$6:$C$105,MATCH(D121,Exercises!$B$6:$B$105,0)),"Other"))</f>
        <v/>
      </c>
      <c r="V121">
        <f>IF(B121="","",IF(COUNTIF($B$6:B121,B121)=1,1,0))</f>
        <v/>
      </c>
      <c r="W121">
        <f>IF(B121="","",B121-WEEKDAY(B121,3))</f>
        <v/>
      </c>
      <c r="X121">
        <f>IF(D121="","",MAX(IF(N(F121)=0,0,IF(N(E121)&gt;0,E121*(1+F121/30),F121)),IF(N(H121)=0,0,IF(N(G121)&gt;0,G121*(1+H121/30),H121)),IF(N(J121)=0,0,IF(N(I121)&gt;0,I121*(1+J121/30),J121)),IF(N(L121)=0,0,IF(N(K121)&gt;0,K121*(1+L121/30),L121)),IF(N(N121)=0,0,IF(N(M121)&gt;0,M121*(1+N121/30),N121))))</f>
        <v/>
      </c>
      <c r="Y121">
        <f>IF(N(X121)=0,"",X121+ROW()/1000000000)</f>
        <v/>
      </c>
      <c r="Z121">
        <f>IF(Y121="","",IF(COUNTIFS(Log!$D$6:$D$1505,D121,Log!$Y$6:$Y$1505,"&gt;"&amp;Y121)=0,1,0))</f>
        <v/>
      </c>
      <c r="AA121">
        <f>IF(OR(B121="",D121=""),"",B121+ROW()/10000000)</f>
        <v/>
      </c>
      <c r="AB121">
        <f>IF(AA121="","",IF(COUNTIFS(Log!$D$6:$D$1505,D121,Log!$AA$6:$AA$1505,"&gt;"&amp;AA121)=0,1,0))</f>
        <v/>
      </c>
      <c r="AC121">
        <f>IF(S121="New best",AA121,"")</f>
        <v/>
      </c>
      <c r="AD121">
        <f>ROW()</f>
        <v/>
      </c>
    </row>
    <row r="122">
      <c r="A122" s="1" t="n"/>
      <c r="B122" s="21" t="n">
        <v>46242</v>
      </c>
      <c r="C122" s="22" t="inlineStr">
        <is>
          <t>Lower</t>
        </is>
      </c>
      <c r="D122" s="23" t="inlineStr">
        <is>
          <t>Romanian deadlift</t>
        </is>
      </c>
      <c r="E122" s="24" t="n">
        <v>150</v>
      </c>
      <c r="F122" s="24" t="n">
        <v>9</v>
      </c>
      <c r="G122" s="24" t="n">
        <v>150</v>
      </c>
      <c r="H122" s="24" t="n">
        <v>8</v>
      </c>
      <c r="I122" s="24" t="n">
        <v>150</v>
      </c>
      <c r="J122" s="24" t="n">
        <v>8</v>
      </c>
      <c r="K122" s="24" t="n"/>
      <c r="L122" s="24" t="n"/>
      <c r="M122" s="24" t="n"/>
      <c r="N122" s="24" t="n"/>
      <c r="O122" s="15">
        <f>IF(D122="","",COUNT(F122,H122,J122,L122,N122))</f>
        <v/>
      </c>
      <c r="P122" s="25">
        <f>IF(D122="","",N(E122)*N(F122)+N(G122)*N(H122)+N(I122)*N(J122)+N(K122)*N(L122)+N(M122)*N(N122))</f>
        <v/>
      </c>
      <c r="Q122" s="18">
        <f>IF(N(X122)=0,"",IF(IF(N(F122)=0,0,IF(N(E122)&gt;0,E122*(1+F122/30),F122))=X122,IF(N(E122)&gt;0,E122&amp;" x "&amp;F122,F122&amp;" reps"),IF(IF(N(H122)=0,0,IF(N(G122)&gt;0,G122*(1+H122/30),H122))=X122,IF(N(G122)&gt;0,G122&amp;" x "&amp;H122,H122&amp;" reps"),IF(IF(N(J122)=0,0,IF(N(I122)&gt;0,I122*(1+J122/30),J122))=X122,IF(N(I122)&gt;0,I122&amp;" x "&amp;J122,J122&amp;" reps"),IF(IF(N(L122)=0,0,IF(N(K122)&gt;0,K122*(1+L122/30),L122))=X122,IF(N(K122)&gt;0,K122&amp;" x "&amp;L122,L122&amp;" reps"),IF(IF(N(N122)=0,0,IF(N(M122)&gt;0,M122*(1+N122/30),N122))=X122,IF(N(M122)&gt;0,M122&amp;" x "&amp;N122,N122&amp;" reps"),""))))))</f>
        <v/>
      </c>
      <c r="R122" s="20">
        <f>IF(N(X122)=0,"",ROUND(X122,1))</f>
        <v/>
      </c>
      <c r="S122" s="18">
        <f>IF(N(X122)=0,"",IF(AND(COUNTIFS(Log!$D$6:$D$1505,D122,Log!$B$6:$B$1505,"&lt;"&amp;B122)&gt;0,COUNTIFS(Log!$D$6:$D$1505,D122,Log!$B$6:$B$1505,"&lt;"&amp;B122,Log!$X$6:$X$1505,"&gt;="&amp;X122)=0),"New best",""))</f>
        <v/>
      </c>
      <c r="T122" s="26" t="n"/>
      <c r="U122" s="1">
        <f>IF(D122="","",IFERROR(INDEX(Exercises!$C$6:$C$105,MATCH(D122,Exercises!$B$6:$B$105,0)),"Other"))</f>
        <v/>
      </c>
      <c r="V122">
        <f>IF(B122="","",IF(COUNTIF($B$6:B122,B122)=1,1,0))</f>
        <v/>
      </c>
      <c r="W122">
        <f>IF(B122="","",B122-WEEKDAY(B122,3))</f>
        <v/>
      </c>
      <c r="X122">
        <f>IF(D122="","",MAX(IF(N(F122)=0,0,IF(N(E122)&gt;0,E122*(1+F122/30),F122)),IF(N(H122)=0,0,IF(N(G122)&gt;0,G122*(1+H122/30),H122)),IF(N(J122)=0,0,IF(N(I122)&gt;0,I122*(1+J122/30),J122)),IF(N(L122)=0,0,IF(N(K122)&gt;0,K122*(1+L122/30),L122)),IF(N(N122)=0,0,IF(N(M122)&gt;0,M122*(1+N122/30),N122))))</f>
        <v/>
      </c>
      <c r="Y122">
        <f>IF(N(X122)=0,"",X122+ROW()/1000000000)</f>
        <v/>
      </c>
      <c r="Z122">
        <f>IF(Y122="","",IF(COUNTIFS(Log!$D$6:$D$1505,D122,Log!$Y$6:$Y$1505,"&gt;"&amp;Y122)=0,1,0))</f>
        <v/>
      </c>
      <c r="AA122">
        <f>IF(OR(B122="",D122=""),"",B122+ROW()/10000000)</f>
        <v/>
      </c>
      <c r="AB122">
        <f>IF(AA122="","",IF(COUNTIFS(Log!$D$6:$D$1505,D122,Log!$AA$6:$AA$1505,"&gt;"&amp;AA122)=0,1,0))</f>
        <v/>
      </c>
      <c r="AC122">
        <f>IF(S122="New best",AA122,"")</f>
        <v/>
      </c>
      <c r="AD122">
        <f>ROW()</f>
        <v/>
      </c>
    </row>
    <row r="123">
      <c r="A123" s="1" t="n"/>
      <c r="B123" s="21" t="n">
        <v>46242</v>
      </c>
      <c r="C123" s="22" t="inlineStr">
        <is>
          <t>Lower</t>
        </is>
      </c>
      <c r="D123" s="23" t="inlineStr">
        <is>
          <t>Leg press</t>
        </is>
      </c>
      <c r="E123" s="24" t="n">
        <v>260</v>
      </c>
      <c r="F123" s="24" t="n">
        <v>15</v>
      </c>
      <c r="G123" s="24" t="n">
        <v>260</v>
      </c>
      <c r="H123" s="24" t="n">
        <v>14</v>
      </c>
      <c r="I123" s="24" t="n">
        <v>260</v>
      </c>
      <c r="J123" s="24" t="n">
        <v>13</v>
      </c>
      <c r="K123" s="24" t="n"/>
      <c r="L123" s="24" t="n"/>
      <c r="M123" s="24" t="n"/>
      <c r="N123" s="24" t="n"/>
      <c r="O123" s="15">
        <f>IF(D123="","",COUNT(F123,H123,J123,L123,N123))</f>
        <v/>
      </c>
      <c r="P123" s="25">
        <f>IF(D123="","",N(E123)*N(F123)+N(G123)*N(H123)+N(I123)*N(J123)+N(K123)*N(L123)+N(M123)*N(N123))</f>
        <v/>
      </c>
      <c r="Q123" s="18">
        <f>IF(N(X123)=0,"",IF(IF(N(F123)=0,0,IF(N(E123)&gt;0,E123*(1+F123/30),F123))=X123,IF(N(E123)&gt;0,E123&amp;" x "&amp;F123,F123&amp;" reps"),IF(IF(N(H123)=0,0,IF(N(G123)&gt;0,G123*(1+H123/30),H123))=X123,IF(N(G123)&gt;0,G123&amp;" x "&amp;H123,H123&amp;" reps"),IF(IF(N(J123)=0,0,IF(N(I123)&gt;0,I123*(1+J123/30),J123))=X123,IF(N(I123)&gt;0,I123&amp;" x "&amp;J123,J123&amp;" reps"),IF(IF(N(L123)=0,0,IF(N(K123)&gt;0,K123*(1+L123/30),L123))=X123,IF(N(K123)&gt;0,K123&amp;" x "&amp;L123,L123&amp;" reps"),IF(IF(N(N123)=0,0,IF(N(M123)&gt;0,M123*(1+N123/30),N123))=X123,IF(N(M123)&gt;0,M123&amp;" x "&amp;N123,N123&amp;" reps"),""))))))</f>
        <v/>
      </c>
      <c r="R123" s="20">
        <f>IF(N(X123)=0,"",ROUND(X123,1))</f>
        <v/>
      </c>
      <c r="S123" s="18">
        <f>IF(N(X123)=0,"",IF(AND(COUNTIFS(Log!$D$6:$D$1505,D123,Log!$B$6:$B$1505,"&lt;"&amp;B123)&gt;0,COUNTIFS(Log!$D$6:$D$1505,D123,Log!$B$6:$B$1505,"&lt;"&amp;B123,Log!$X$6:$X$1505,"&gt;="&amp;X123)=0),"New best",""))</f>
        <v/>
      </c>
      <c r="T123" s="26" t="n"/>
      <c r="U123" s="1">
        <f>IF(D123="","",IFERROR(INDEX(Exercises!$C$6:$C$105,MATCH(D123,Exercises!$B$6:$B$105,0)),"Other"))</f>
        <v/>
      </c>
      <c r="V123">
        <f>IF(B123="","",IF(COUNTIF($B$6:B123,B123)=1,1,0))</f>
        <v/>
      </c>
      <c r="W123">
        <f>IF(B123="","",B123-WEEKDAY(B123,3))</f>
        <v/>
      </c>
      <c r="X123">
        <f>IF(D123="","",MAX(IF(N(F123)=0,0,IF(N(E123)&gt;0,E123*(1+F123/30),F123)),IF(N(H123)=0,0,IF(N(G123)&gt;0,G123*(1+H123/30),H123)),IF(N(J123)=0,0,IF(N(I123)&gt;0,I123*(1+J123/30),J123)),IF(N(L123)=0,0,IF(N(K123)&gt;0,K123*(1+L123/30),L123)),IF(N(N123)=0,0,IF(N(M123)&gt;0,M123*(1+N123/30),N123))))</f>
        <v/>
      </c>
      <c r="Y123">
        <f>IF(N(X123)=0,"",X123+ROW()/1000000000)</f>
        <v/>
      </c>
      <c r="Z123">
        <f>IF(Y123="","",IF(COUNTIFS(Log!$D$6:$D$1505,D123,Log!$Y$6:$Y$1505,"&gt;"&amp;Y123)=0,1,0))</f>
        <v/>
      </c>
      <c r="AA123">
        <f>IF(OR(B123="",D123=""),"",B123+ROW()/10000000)</f>
        <v/>
      </c>
      <c r="AB123">
        <f>IF(AA123="","",IF(COUNTIFS(Log!$D$6:$D$1505,D123,Log!$AA$6:$AA$1505,"&gt;"&amp;AA123)=0,1,0))</f>
        <v/>
      </c>
      <c r="AC123">
        <f>IF(S123="New best",AA123,"")</f>
        <v/>
      </c>
      <c r="AD123">
        <f>ROW()</f>
        <v/>
      </c>
    </row>
    <row r="124">
      <c r="A124" s="1" t="n"/>
      <c r="B124" s="21" t="n">
        <v>46242</v>
      </c>
      <c r="C124" s="22" t="inlineStr">
        <is>
          <t>Lower</t>
        </is>
      </c>
      <c r="D124" s="23" t="inlineStr">
        <is>
          <t>Calf raise</t>
        </is>
      </c>
      <c r="E124" s="24" t="n">
        <v>90</v>
      </c>
      <c r="F124" s="24" t="n">
        <v>15</v>
      </c>
      <c r="G124" s="24" t="n">
        <v>90</v>
      </c>
      <c r="H124" s="24" t="n">
        <v>15</v>
      </c>
      <c r="I124" s="24" t="n">
        <v>90</v>
      </c>
      <c r="J124" s="24" t="n">
        <v>15</v>
      </c>
      <c r="K124" s="24" t="n"/>
      <c r="L124" s="24" t="n"/>
      <c r="M124" s="24" t="n"/>
      <c r="N124" s="24" t="n"/>
      <c r="O124" s="15">
        <f>IF(D124="","",COUNT(F124,H124,J124,L124,N124))</f>
        <v/>
      </c>
      <c r="P124" s="25">
        <f>IF(D124="","",N(E124)*N(F124)+N(G124)*N(H124)+N(I124)*N(J124)+N(K124)*N(L124)+N(M124)*N(N124))</f>
        <v/>
      </c>
      <c r="Q124" s="18">
        <f>IF(N(X124)=0,"",IF(IF(N(F124)=0,0,IF(N(E124)&gt;0,E124*(1+F124/30),F124))=X124,IF(N(E124)&gt;0,E124&amp;" x "&amp;F124,F124&amp;" reps"),IF(IF(N(H124)=0,0,IF(N(G124)&gt;0,G124*(1+H124/30),H124))=X124,IF(N(G124)&gt;0,G124&amp;" x "&amp;H124,H124&amp;" reps"),IF(IF(N(J124)=0,0,IF(N(I124)&gt;0,I124*(1+J124/30),J124))=X124,IF(N(I124)&gt;0,I124&amp;" x "&amp;J124,J124&amp;" reps"),IF(IF(N(L124)=0,0,IF(N(K124)&gt;0,K124*(1+L124/30),L124))=X124,IF(N(K124)&gt;0,K124&amp;" x "&amp;L124,L124&amp;" reps"),IF(IF(N(N124)=0,0,IF(N(M124)&gt;0,M124*(1+N124/30),N124))=X124,IF(N(M124)&gt;0,M124&amp;" x "&amp;N124,N124&amp;" reps"),""))))))</f>
        <v/>
      </c>
      <c r="R124" s="20">
        <f>IF(N(X124)=0,"",ROUND(X124,1))</f>
        <v/>
      </c>
      <c r="S124" s="18">
        <f>IF(N(X124)=0,"",IF(AND(COUNTIFS(Log!$D$6:$D$1505,D124,Log!$B$6:$B$1505,"&lt;"&amp;B124)&gt;0,COUNTIFS(Log!$D$6:$D$1505,D124,Log!$B$6:$B$1505,"&lt;"&amp;B124,Log!$X$6:$X$1505,"&gt;="&amp;X124)=0),"New best",""))</f>
        <v/>
      </c>
      <c r="T124" s="26" t="n"/>
      <c r="U124" s="1">
        <f>IF(D124="","",IFERROR(INDEX(Exercises!$C$6:$C$105,MATCH(D124,Exercises!$B$6:$B$105,0)),"Other"))</f>
        <v/>
      </c>
      <c r="V124">
        <f>IF(B124="","",IF(COUNTIF($B$6:B124,B124)=1,1,0))</f>
        <v/>
      </c>
      <c r="W124">
        <f>IF(B124="","",B124-WEEKDAY(B124,3))</f>
        <v/>
      </c>
      <c r="X124">
        <f>IF(D124="","",MAX(IF(N(F124)=0,0,IF(N(E124)&gt;0,E124*(1+F124/30),F124)),IF(N(H124)=0,0,IF(N(G124)&gt;0,G124*(1+H124/30),H124)),IF(N(J124)=0,0,IF(N(I124)&gt;0,I124*(1+J124/30),J124)),IF(N(L124)=0,0,IF(N(K124)&gt;0,K124*(1+L124/30),L124)),IF(N(N124)=0,0,IF(N(M124)&gt;0,M124*(1+N124/30),N124))))</f>
        <v/>
      </c>
      <c r="Y124">
        <f>IF(N(X124)=0,"",X124+ROW()/1000000000)</f>
        <v/>
      </c>
      <c r="Z124">
        <f>IF(Y124="","",IF(COUNTIFS(Log!$D$6:$D$1505,D124,Log!$Y$6:$Y$1505,"&gt;"&amp;Y124)=0,1,0))</f>
        <v/>
      </c>
      <c r="AA124">
        <f>IF(OR(B124="",D124=""),"",B124+ROW()/10000000)</f>
        <v/>
      </c>
      <c r="AB124">
        <f>IF(AA124="","",IF(COUNTIFS(Log!$D$6:$D$1505,D124,Log!$AA$6:$AA$1505,"&gt;"&amp;AA124)=0,1,0))</f>
        <v/>
      </c>
      <c r="AC124">
        <f>IF(S124="New best",AA124,"")</f>
        <v/>
      </c>
      <c r="AD124">
        <f>ROW()</f>
        <v/>
      </c>
    </row>
    <row r="125">
      <c r="A125" s="1" t="n"/>
      <c r="B125" s="21" t="n">
        <v>46244</v>
      </c>
      <c r="C125" s="22" t="inlineStr">
        <is>
          <t>Push</t>
        </is>
      </c>
      <c r="D125" s="23" t="inlineStr">
        <is>
          <t>Bench press</t>
        </is>
      </c>
      <c r="E125" s="24" t="n">
        <v>140</v>
      </c>
      <c r="F125" s="24" t="n">
        <v>7</v>
      </c>
      <c r="G125" s="24" t="n">
        <v>140</v>
      </c>
      <c r="H125" s="24" t="n">
        <v>6</v>
      </c>
      <c r="I125" s="24" t="n">
        <v>140</v>
      </c>
      <c r="J125" s="24" t="n">
        <v>6</v>
      </c>
      <c r="K125" s="24" t="n">
        <v>140</v>
      </c>
      <c r="L125" s="24" t="n">
        <v>6</v>
      </c>
      <c r="M125" s="24" t="n"/>
      <c r="N125" s="24" t="n"/>
      <c r="O125" s="15">
        <f>IF(D125="","",COUNT(F125,H125,J125,L125,N125))</f>
        <v/>
      </c>
      <c r="P125" s="25">
        <f>IF(D125="","",N(E125)*N(F125)+N(G125)*N(H125)+N(I125)*N(J125)+N(K125)*N(L125)+N(M125)*N(N125))</f>
        <v/>
      </c>
      <c r="Q125" s="18">
        <f>IF(N(X125)=0,"",IF(IF(N(F125)=0,0,IF(N(E125)&gt;0,E125*(1+F125/30),F125))=X125,IF(N(E125)&gt;0,E125&amp;" x "&amp;F125,F125&amp;" reps"),IF(IF(N(H125)=0,0,IF(N(G125)&gt;0,G125*(1+H125/30),H125))=X125,IF(N(G125)&gt;0,G125&amp;" x "&amp;H125,H125&amp;" reps"),IF(IF(N(J125)=0,0,IF(N(I125)&gt;0,I125*(1+J125/30),J125))=X125,IF(N(I125)&gt;0,I125&amp;" x "&amp;J125,J125&amp;" reps"),IF(IF(N(L125)=0,0,IF(N(K125)&gt;0,K125*(1+L125/30),L125))=X125,IF(N(K125)&gt;0,K125&amp;" x "&amp;L125,L125&amp;" reps"),IF(IF(N(N125)=0,0,IF(N(M125)&gt;0,M125*(1+N125/30),N125))=X125,IF(N(M125)&gt;0,M125&amp;" x "&amp;N125,N125&amp;" reps"),""))))))</f>
        <v/>
      </c>
      <c r="R125" s="20">
        <f>IF(N(X125)=0,"",ROUND(X125,1))</f>
        <v/>
      </c>
      <c r="S125" s="18">
        <f>IF(N(X125)=0,"",IF(AND(COUNTIFS(Log!$D$6:$D$1505,D125,Log!$B$6:$B$1505,"&lt;"&amp;B125)&gt;0,COUNTIFS(Log!$D$6:$D$1505,D125,Log!$B$6:$B$1505,"&lt;"&amp;B125,Log!$X$6:$X$1505,"&gt;="&amp;X125)=0),"New best",""))</f>
        <v/>
      </c>
      <c r="T125" s="26" t="n"/>
      <c r="U125" s="1">
        <f>IF(D125="","",IFERROR(INDEX(Exercises!$C$6:$C$105,MATCH(D125,Exercises!$B$6:$B$105,0)),"Other"))</f>
        <v/>
      </c>
      <c r="V125">
        <f>IF(B125="","",IF(COUNTIF($B$6:B125,B125)=1,1,0))</f>
        <v/>
      </c>
      <c r="W125">
        <f>IF(B125="","",B125-WEEKDAY(B125,3))</f>
        <v/>
      </c>
      <c r="X125">
        <f>IF(D125="","",MAX(IF(N(F125)=0,0,IF(N(E125)&gt;0,E125*(1+F125/30),F125)),IF(N(H125)=0,0,IF(N(G125)&gt;0,G125*(1+H125/30),H125)),IF(N(J125)=0,0,IF(N(I125)&gt;0,I125*(1+J125/30),J125)),IF(N(L125)=0,0,IF(N(K125)&gt;0,K125*(1+L125/30),L125)),IF(N(N125)=0,0,IF(N(M125)&gt;0,M125*(1+N125/30),N125))))</f>
        <v/>
      </c>
      <c r="Y125">
        <f>IF(N(X125)=0,"",X125+ROW()/1000000000)</f>
        <v/>
      </c>
      <c r="Z125">
        <f>IF(Y125="","",IF(COUNTIFS(Log!$D$6:$D$1505,D125,Log!$Y$6:$Y$1505,"&gt;"&amp;Y125)=0,1,0))</f>
        <v/>
      </c>
      <c r="AA125">
        <f>IF(OR(B125="",D125=""),"",B125+ROW()/10000000)</f>
        <v/>
      </c>
      <c r="AB125">
        <f>IF(AA125="","",IF(COUNTIFS(Log!$D$6:$D$1505,D125,Log!$AA$6:$AA$1505,"&gt;"&amp;AA125)=0,1,0))</f>
        <v/>
      </c>
      <c r="AC125">
        <f>IF(S125="New best",AA125,"")</f>
        <v/>
      </c>
      <c r="AD125">
        <f>ROW()</f>
        <v/>
      </c>
    </row>
    <row r="126">
      <c r="A126" s="1" t="n"/>
      <c r="B126" s="21" t="n">
        <v>46244</v>
      </c>
      <c r="C126" s="22" t="inlineStr">
        <is>
          <t>Push</t>
        </is>
      </c>
      <c r="D126" s="23" t="inlineStr">
        <is>
          <t>Overhead press</t>
        </is>
      </c>
      <c r="E126" s="24" t="n">
        <v>90</v>
      </c>
      <c r="F126" s="24" t="n">
        <v>10</v>
      </c>
      <c r="G126" s="24" t="n">
        <v>90</v>
      </c>
      <c r="H126" s="24" t="n">
        <v>9</v>
      </c>
      <c r="I126" s="24" t="n">
        <v>90</v>
      </c>
      <c r="J126" s="24" t="n">
        <v>8</v>
      </c>
      <c r="K126" s="24" t="n"/>
      <c r="L126" s="24" t="n"/>
      <c r="M126" s="24" t="n"/>
      <c r="N126" s="24" t="n"/>
      <c r="O126" s="15">
        <f>IF(D126="","",COUNT(F126,H126,J126,L126,N126))</f>
        <v/>
      </c>
      <c r="P126" s="25">
        <f>IF(D126="","",N(E126)*N(F126)+N(G126)*N(H126)+N(I126)*N(J126)+N(K126)*N(L126)+N(M126)*N(N126))</f>
        <v/>
      </c>
      <c r="Q126" s="18">
        <f>IF(N(X126)=0,"",IF(IF(N(F126)=0,0,IF(N(E126)&gt;0,E126*(1+F126/30),F126))=X126,IF(N(E126)&gt;0,E126&amp;" x "&amp;F126,F126&amp;" reps"),IF(IF(N(H126)=0,0,IF(N(G126)&gt;0,G126*(1+H126/30),H126))=X126,IF(N(G126)&gt;0,G126&amp;" x "&amp;H126,H126&amp;" reps"),IF(IF(N(J126)=0,0,IF(N(I126)&gt;0,I126*(1+J126/30),J126))=X126,IF(N(I126)&gt;0,I126&amp;" x "&amp;J126,J126&amp;" reps"),IF(IF(N(L126)=0,0,IF(N(K126)&gt;0,K126*(1+L126/30),L126))=X126,IF(N(K126)&gt;0,K126&amp;" x "&amp;L126,L126&amp;" reps"),IF(IF(N(N126)=0,0,IF(N(M126)&gt;0,M126*(1+N126/30),N126))=X126,IF(N(M126)&gt;0,M126&amp;" x "&amp;N126,N126&amp;" reps"),""))))))</f>
        <v/>
      </c>
      <c r="R126" s="20">
        <f>IF(N(X126)=0,"",ROUND(X126,1))</f>
        <v/>
      </c>
      <c r="S126" s="18">
        <f>IF(N(X126)=0,"",IF(AND(COUNTIFS(Log!$D$6:$D$1505,D126,Log!$B$6:$B$1505,"&lt;"&amp;B126)&gt;0,COUNTIFS(Log!$D$6:$D$1505,D126,Log!$B$6:$B$1505,"&lt;"&amp;B126,Log!$X$6:$X$1505,"&gt;="&amp;X126)=0),"New best",""))</f>
        <v/>
      </c>
      <c r="T126" s="26" t="n"/>
      <c r="U126" s="1">
        <f>IF(D126="","",IFERROR(INDEX(Exercises!$C$6:$C$105,MATCH(D126,Exercises!$B$6:$B$105,0)),"Other"))</f>
        <v/>
      </c>
      <c r="V126">
        <f>IF(B126="","",IF(COUNTIF($B$6:B126,B126)=1,1,0))</f>
        <v/>
      </c>
      <c r="W126">
        <f>IF(B126="","",B126-WEEKDAY(B126,3))</f>
        <v/>
      </c>
      <c r="X126">
        <f>IF(D126="","",MAX(IF(N(F126)=0,0,IF(N(E126)&gt;0,E126*(1+F126/30),F126)),IF(N(H126)=0,0,IF(N(G126)&gt;0,G126*(1+H126/30),H126)),IF(N(J126)=0,0,IF(N(I126)&gt;0,I126*(1+J126/30),J126)),IF(N(L126)=0,0,IF(N(K126)&gt;0,K126*(1+L126/30),L126)),IF(N(N126)=0,0,IF(N(M126)&gt;0,M126*(1+N126/30),N126))))</f>
        <v/>
      </c>
      <c r="Y126">
        <f>IF(N(X126)=0,"",X126+ROW()/1000000000)</f>
        <v/>
      </c>
      <c r="Z126">
        <f>IF(Y126="","",IF(COUNTIFS(Log!$D$6:$D$1505,D126,Log!$Y$6:$Y$1505,"&gt;"&amp;Y126)=0,1,0))</f>
        <v/>
      </c>
      <c r="AA126">
        <f>IF(OR(B126="",D126=""),"",B126+ROW()/10000000)</f>
        <v/>
      </c>
      <c r="AB126">
        <f>IF(AA126="","",IF(COUNTIFS(Log!$D$6:$D$1505,D126,Log!$AA$6:$AA$1505,"&gt;"&amp;AA126)=0,1,0))</f>
        <v/>
      </c>
      <c r="AC126">
        <f>IF(S126="New best",AA126,"")</f>
        <v/>
      </c>
      <c r="AD126">
        <f>ROW()</f>
        <v/>
      </c>
    </row>
    <row r="127">
      <c r="A127" s="1" t="n"/>
      <c r="B127" s="21" t="n">
        <v>46244</v>
      </c>
      <c r="C127" s="22" t="inlineStr">
        <is>
          <t>Push</t>
        </is>
      </c>
      <c r="D127" s="23" t="inlineStr">
        <is>
          <t>Incline dumbbell press</t>
        </is>
      </c>
      <c r="E127" s="24" t="n">
        <v>50</v>
      </c>
      <c r="F127" s="24" t="n">
        <v>11</v>
      </c>
      <c r="G127" s="24" t="n">
        <v>50</v>
      </c>
      <c r="H127" s="24" t="n">
        <v>10</v>
      </c>
      <c r="I127" s="24" t="n">
        <v>50</v>
      </c>
      <c r="J127" s="24" t="n">
        <v>10</v>
      </c>
      <c r="K127" s="24" t="n"/>
      <c r="L127" s="24" t="n"/>
      <c r="M127" s="24" t="n"/>
      <c r="N127" s="24" t="n"/>
      <c r="O127" s="15">
        <f>IF(D127="","",COUNT(F127,H127,J127,L127,N127))</f>
        <v/>
      </c>
      <c r="P127" s="25">
        <f>IF(D127="","",N(E127)*N(F127)+N(G127)*N(H127)+N(I127)*N(J127)+N(K127)*N(L127)+N(M127)*N(N127))</f>
        <v/>
      </c>
      <c r="Q127" s="18">
        <f>IF(N(X127)=0,"",IF(IF(N(F127)=0,0,IF(N(E127)&gt;0,E127*(1+F127/30),F127))=X127,IF(N(E127)&gt;0,E127&amp;" x "&amp;F127,F127&amp;" reps"),IF(IF(N(H127)=0,0,IF(N(G127)&gt;0,G127*(1+H127/30),H127))=X127,IF(N(G127)&gt;0,G127&amp;" x "&amp;H127,H127&amp;" reps"),IF(IF(N(J127)=0,0,IF(N(I127)&gt;0,I127*(1+J127/30),J127))=X127,IF(N(I127)&gt;0,I127&amp;" x "&amp;J127,J127&amp;" reps"),IF(IF(N(L127)=0,0,IF(N(K127)&gt;0,K127*(1+L127/30),L127))=X127,IF(N(K127)&gt;0,K127&amp;" x "&amp;L127,L127&amp;" reps"),IF(IF(N(N127)=0,0,IF(N(M127)&gt;0,M127*(1+N127/30),N127))=X127,IF(N(M127)&gt;0,M127&amp;" x "&amp;N127,N127&amp;" reps"),""))))))</f>
        <v/>
      </c>
      <c r="R127" s="20">
        <f>IF(N(X127)=0,"",ROUND(X127,1))</f>
        <v/>
      </c>
      <c r="S127" s="18">
        <f>IF(N(X127)=0,"",IF(AND(COUNTIFS(Log!$D$6:$D$1505,D127,Log!$B$6:$B$1505,"&lt;"&amp;B127)&gt;0,COUNTIFS(Log!$D$6:$D$1505,D127,Log!$B$6:$B$1505,"&lt;"&amp;B127,Log!$X$6:$X$1505,"&gt;="&amp;X127)=0),"New best",""))</f>
        <v/>
      </c>
      <c r="T127" s="26" t="inlineStr">
        <is>
          <t>Felt strong</t>
        </is>
      </c>
      <c r="U127" s="1">
        <f>IF(D127="","",IFERROR(INDEX(Exercises!$C$6:$C$105,MATCH(D127,Exercises!$B$6:$B$105,0)),"Other"))</f>
        <v/>
      </c>
      <c r="V127">
        <f>IF(B127="","",IF(COUNTIF($B$6:B127,B127)=1,1,0))</f>
        <v/>
      </c>
      <c r="W127">
        <f>IF(B127="","",B127-WEEKDAY(B127,3))</f>
        <v/>
      </c>
      <c r="X127">
        <f>IF(D127="","",MAX(IF(N(F127)=0,0,IF(N(E127)&gt;0,E127*(1+F127/30),F127)),IF(N(H127)=0,0,IF(N(G127)&gt;0,G127*(1+H127/30),H127)),IF(N(J127)=0,0,IF(N(I127)&gt;0,I127*(1+J127/30),J127)),IF(N(L127)=0,0,IF(N(K127)&gt;0,K127*(1+L127/30),L127)),IF(N(N127)=0,0,IF(N(M127)&gt;0,M127*(1+N127/30),N127))))</f>
        <v/>
      </c>
      <c r="Y127">
        <f>IF(N(X127)=0,"",X127+ROW()/1000000000)</f>
        <v/>
      </c>
      <c r="Z127">
        <f>IF(Y127="","",IF(COUNTIFS(Log!$D$6:$D$1505,D127,Log!$Y$6:$Y$1505,"&gt;"&amp;Y127)=0,1,0))</f>
        <v/>
      </c>
      <c r="AA127">
        <f>IF(OR(B127="",D127=""),"",B127+ROW()/10000000)</f>
        <v/>
      </c>
      <c r="AB127">
        <f>IF(AA127="","",IF(COUNTIFS(Log!$D$6:$D$1505,D127,Log!$AA$6:$AA$1505,"&gt;"&amp;AA127)=0,1,0))</f>
        <v/>
      </c>
      <c r="AC127">
        <f>IF(S127="New best",AA127,"")</f>
        <v/>
      </c>
      <c r="AD127">
        <f>ROW()</f>
        <v/>
      </c>
    </row>
    <row r="128">
      <c r="A128" s="1" t="n"/>
      <c r="B128" s="21" t="n">
        <v>46244</v>
      </c>
      <c r="C128" s="22" t="inlineStr">
        <is>
          <t>Push</t>
        </is>
      </c>
      <c r="D128" s="23" t="inlineStr">
        <is>
          <t>Lateral raise</t>
        </is>
      </c>
      <c r="E128" s="24" t="n">
        <v>17.5</v>
      </c>
      <c r="F128" s="24" t="n">
        <v>15</v>
      </c>
      <c r="G128" s="24" t="n">
        <v>17.5</v>
      </c>
      <c r="H128" s="24" t="n">
        <v>13</v>
      </c>
      <c r="I128" s="24" t="n">
        <v>17.5</v>
      </c>
      <c r="J128" s="24" t="n">
        <v>12</v>
      </c>
      <c r="K128" s="24" t="n"/>
      <c r="L128" s="24" t="n"/>
      <c r="M128" s="24" t="n"/>
      <c r="N128" s="24" t="n"/>
      <c r="O128" s="15">
        <f>IF(D128="","",COUNT(F128,H128,J128,L128,N128))</f>
        <v/>
      </c>
      <c r="P128" s="25">
        <f>IF(D128="","",N(E128)*N(F128)+N(G128)*N(H128)+N(I128)*N(J128)+N(K128)*N(L128)+N(M128)*N(N128))</f>
        <v/>
      </c>
      <c r="Q128" s="18">
        <f>IF(N(X128)=0,"",IF(IF(N(F128)=0,0,IF(N(E128)&gt;0,E128*(1+F128/30),F128))=X128,IF(N(E128)&gt;0,E128&amp;" x "&amp;F128,F128&amp;" reps"),IF(IF(N(H128)=0,0,IF(N(G128)&gt;0,G128*(1+H128/30),H128))=X128,IF(N(G128)&gt;0,G128&amp;" x "&amp;H128,H128&amp;" reps"),IF(IF(N(J128)=0,0,IF(N(I128)&gt;0,I128*(1+J128/30),J128))=X128,IF(N(I128)&gt;0,I128&amp;" x "&amp;J128,J128&amp;" reps"),IF(IF(N(L128)=0,0,IF(N(K128)&gt;0,K128*(1+L128/30),L128))=X128,IF(N(K128)&gt;0,K128&amp;" x "&amp;L128,L128&amp;" reps"),IF(IF(N(N128)=0,0,IF(N(M128)&gt;0,M128*(1+N128/30),N128))=X128,IF(N(M128)&gt;0,M128&amp;" x "&amp;N128,N128&amp;" reps"),""))))))</f>
        <v/>
      </c>
      <c r="R128" s="20">
        <f>IF(N(X128)=0,"",ROUND(X128,1))</f>
        <v/>
      </c>
      <c r="S128" s="18">
        <f>IF(N(X128)=0,"",IF(AND(COUNTIFS(Log!$D$6:$D$1505,D128,Log!$B$6:$B$1505,"&lt;"&amp;B128)&gt;0,COUNTIFS(Log!$D$6:$D$1505,D128,Log!$B$6:$B$1505,"&lt;"&amp;B128,Log!$X$6:$X$1505,"&gt;="&amp;X128)=0),"New best",""))</f>
        <v/>
      </c>
      <c r="T128" s="26" t="n"/>
      <c r="U128" s="1">
        <f>IF(D128="","",IFERROR(INDEX(Exercises!$C$6:$C$105,MATCH(D128,Exercises!$B$6:$B$105,0)),"Other"))</f>
        <v/>
      </c>
      <c r="V128">
        <f>IF(B128="","",IF(COUNTIF($B$6:B128,B128)=1,1,0))</f>
        <v/>
      </c>
      <c r="W128">
        <f>IF(B128="","",B128-WEEKDAY(B128,3))</f>
        <v/>
      </c>
      <c r="X128">
        <f>IF(D128="","",MAX(IF(N(F128)=0,0,IF(N(E128)&gt;0,E128*(1+F128/30),F128)),IF(N(H128)=0,0,IF(N(G128)&gt;0,G128*(1+H128/30),H128)),IF(N(J128)=0,0,IF(N(I128)&gt;0,I128*(1+J128/30),J128)),IF(N(L128)=0,0,IF(N(K128)&gt;0,K128*(1+L128/30),L128)),IF(N(N128)=0,0,IF(N(M128)&gt;0,M128*(1+N128/30),N128))))</f>
        <v/>
      </c>
      <c r="Y128">
        <f>IF(N(X128)=0,"",X128+ROW()/1000000000)</f>
        <v/>
      </c>
      <c r="Z128">
        <f>IF(Y128="","",IF(COUNTIFS(Log!$D$6:$D$1505,D128,Log!$Y$6:$Y$1505,"&gt;"&amp;Y128)=0,1,0))</f>
        <v/>
      </c>
      <c r="AA128">
        <f>IF(OR(B128="",D128=""),"",B128+ROW()/10000000)</f>
        <v/>
      </c>
      <c r="AB128">
        <f>IF(AA128="","",IF(COUNTIFS(Log!$D$6:$D$1505,D128,Log!$AA$6:$AA$1505,"&gt;"&amp;AA128)=0,1,0))</f>
        <v/>
      </c>
      <c r="AC128">
        <f>IF(S128="New best",AA128,"")</f>
        <v/>
      </c>
      <c r="AD128">
        <f>ROW()</f>
        <v/>
      </c>
    </row>
    <row r="129">
      <c r="A129" s="1" t="n"/>
      <c r="B129" s="21" t="n">
        <v>46244</v>
      </c>
      <c r="C129" s="22" t="inlineStr">
        <is>
          <t>Push</t>
        </is>
      </c>
      <c r="D129" s="23" t="inlineStr">
        <is>
          <t>Triceps pushdown</t>
        </is>
      </c>
      <c r="E129" s="24" t="n">
        <v>45</v>
      </c>
      <c r="F129" s="24" t="n">
        <v>12</v>
      </c>
      <c r="G129" s="24" t="n">
        <v>45</v>
      </c>
      <c r="H129" s="24" t="n">
        <v>11</v>
      </c>
      <c r="I129" s="24" t="n">
        <v>45</v>
      </c>
      <c r="J129" s="24" t="n">
        <v>10</v>
      </c>
      <c r="K129" s="24" t="n"/>
      <c r="L129" s="24" t="n"/>
      <c r="M129" s="24" t="n"/>
      <c r="N129" s="24" t="n"/>
      <c r="O129" s="15">
        <f>IF(D129="","",COUNT(F129,H129,J129,L129,N129))</f>
        <v/>
      </c>
      <c r="P129" s="25">
        <f>IF(D129="","",N(E129)*N(F129)+N(G129)*N(H129)+N(I129)*N(J129)+N(K129)*N(L129)+N(M129)*N(N129))</f>
        <v/>
      </c>
      <c r="Q129" s="18">
        <f>IF(N(X129)=0,"",IF(IF(N(F129)=0,0,IF(N(E129)&gt;0,E129*(1+F129/30),F129))=X129,IF(N(E129)&gt;0,E129&amp;" x "&amp;F129,F129&amp;" reps"),IF(IF(N(H129)=0,0,IF(N(G129)&gt;0,G129*(1+H129/30),H129))=X129,IF(N(G129)&gt;0,G129&amp;" x "&amp;H129,H129&amp;" reps"),IF(IF(N(J129)=0,0,IF(N(I129)&gt;0,I129*(1+J129/30),J129))=X129,IF(N(I129)&gt;0,I129&amp;" x "&amp;J129,J129&amp;" reps"),IF(IF(N(L129)=0,0,IF(N(K129)&gt;0,K129*(1+L129/30),L129))=X129,IF(N(K129)&gt;0,K129&amp;" x "&amp;L129,L129&amp;" reps"),IF(IF(N(N129)=0,0,IF(N(M129)&gt;0,M129*(1+N129/30),N129))=X129,IF(N(M129)&gt;0,M129&amp;" x "&amp;N129,N129&amp;" reps"),""))))))</f>
        <v/>
      </c>
      <c r="R129" s="20">
        <f>IF(N(X129)=0,"",ROUND(X129,1))</f>
        <v/>
      </c>
      <c r="S129" s="18">
        <f>IF(N(X129)=0,"",IF(AND(COUNTIFS(Log!$D$6:$D$1505,D129,Log!$B$6:$B$1505,"&lt;"&amp;B129)&gt;0,COUNTIFS(Log!$D$6:$D$1505,D129,Log!$B$6:$B$1505,"&lt;"&amp;B129,Log!$X$6:$X$1505,"&gt;="&amp;X129)=0),"New best",""))</f>
        <v/>
      </c>
      <c r="T129" s="26" t="n"/>
      <c r="U129" s="1">
        <f>IF(D129="","",IFERROR(INDEX(Exercises!$C$6:$C$105,MATCH(D129,Exercises!$B$6:$B$105,0)),"Other"))</f>
        <v/>
      </c>
      <c r="V129">
        <f>IF(B129="","",IF(COUNTIF($B$6:B129,B129)=1,1,0))</f>
        <v/>
      </c>
      <c r="W129">
        <f>IF(B129="","",B129-WEEKDAY(B129,3))</f>
        <v/>
      </c>
      <c r="X129">
        <f>IF(D129="","",MAX(IF(N(F129)=0,0,IF(N(E129)&gt;0,E129*(1+F129/30),F129)),IF(N(H129)=0,0,IF(N(G129)&gt;0,G129*(1+H129/30),H129)),IF(N(J129)=0,0,IF(N(I129)&gt;0,I129*(1+J129/30),J129)),IF(N(L129)=0,0,IF(N(K129)&gt;0,K129*(1+L129/30),L129)),IF(N(N129)=0,0,IF(N(M129)&gt;0,M129*(1+N129/30),N129))))</f>
        <v/>
      </c>
      <c r="Y129">
        <f>IF(N(X129)=0,"",X129+ROW()/1000000000)</f>
        <v/>
      </c>
      <c r="Z129">
        <f>IF(Y129="","",IF(COUNTIFS(Log!$D$6:$D$1505,D129,Log!$Y$6:$Y$1505,"&gt;"&amp;Y129)=0,1,0))</f>
        <v/>
      </c>
      <c r="AA129">
        <f>IF(OR(B129="",D129=""),"",B129+ROW()/10000000)</f>
        <v/>
      </c>
      <c r="AB129">
        <f>IF(AA129="","",IF(COUNTIFS(Log!$D$6:$D$1505,D129,Log!$AA$6:$AA$1505,"&gt;"&amp;AA129)=0,1,0))</f>
        <v/>
      </c>
      <c r="AC129">
        <f>IF(S129="New best",AA129,"")</f>
        <v/>
      </c>
      <c r="AD129">
        <f>ROW()</f>
        <v/>
      </c>
    </row>
    <row r="130">
      <c r="A130" s="1" t="n"/>
      <c r="B130" s="21" t="n">
        <v>46245</v>
      </c>
      <c r="C130" s="22" t="inlineStr">
        <is>
          <t>Pull</t>
        </is>
      </c>
      <c r="D130" s="23" t="inlineStr">
        <is>
          <t>Deadlift</t>
        </is>
      </c>
      <c r="E130" s="24" t="n">
        <v>235</v>
      </c>
      <c r="F130" s="24" t="n">
        <v>5</v>
      </c>
      <c r="G130" s="24" t="n">
        <v>235</v>
      </c>
      <c r="H130" s="24" t="n">
        <v>5</v>
      </c>
      <c r="I130" s="24" t="n">
        <v>235</v>
      </c>
      <c r="J130" s="24" t="n">
        <v>5</v>
      </c>
      <c r="K130" s="24" t="n"/>
      <c r="L130" s="24" t="n"/>
      <c r="M130" s="24" t="n"/>
      <c r="N130" s="24" t="n"/>
      <c r="O130" s="15">
        <f>IF(D130="","",COUNT(F130,H130,J130,L130,N130))</f>
        <v/>
      </c>
      <c r="P130" s="25">
        <f>IF(D130="","",N(E130)*N(F130)+N(G130)*N(H130)+N(I130)*N(J130)+N(K130)*N(L130)+N(M130)*N(N130))</f>
        <v/>
      </c>
      <c r="Q130" s="18">
        <f>IF(N(X130)=0,"",IF(IF(N(F130)=0,0,IF(N(E130)&gt;0,E130*(1+F130/30),F130))=X130,IF(N(E130)&gt;0,E130&amp;" x "&amp;F130,F130&amp;" reps"),IF(IF(N(H130)=0,0,IF(N(G130)&gt;0,G130*(1+H130/30),H130))=X130,IF(N(G130)&gt;0,G130&amp;" x "&amp;H130,H130&amp;" reps"),IF(IF(N(J130)=0,0,IF(N(I130)&gt;0,I130*(1+J130/30),J130))=X130,IF(N(I130)&gt;0,I130&amp;" x "&amp;J130,J130&amp;" reps"),IF(IF(N(L130)=0,0,IF(N(K130)&gt;0,K130*(1+L130/30),L130))=X130,IF(N(K130)&gt;0,K130&amp;" x "&amp;L130,L130&amp;" reps"),IF(IF(N(N130)=0,0,IF(N(M130)&gt;0,M130*(1+N130/30),N130))=X130,IF(N(M130)&gt;0,M130&amp;" x "&amp;N130,N130&amp;" reps"),""))))))</f>
        <v/>
      </c>
      <c r="R130" s="20">
        <f>IF(N(X130)=0,"",ROUND(X130,1))</f>
        <v/>
      </c>
      <c r="S130" s="18">
        <f>IF(N(X130)=0,"",IF(AND(COUNTIFS(Log!$D$6:$D$1505,D130,Log!$B$6:$B$1505,"&lt;"&amp;B130)&gt;0,COUNTIFS(Log!$D$6:$D$1505,D130,Log!$B$6:$B$1505,"&lt;"&amp;B130,Log!$X$6:$X$1505,"&gt;="&amp;X130)=0),"New best",""))</f>
        <v/>
      </c>
      <c r="T130" s="26" t="inlineStr">
        <is>
          <t>Short on time</t>
        </is>
      </c>
      <c r="U130" s="1">
        <f>IF(D130="","",IFERROR(INDEX(Exercises!$C$6:$C$105,MATCH(D130,Exercises!$B$6:$B$105,0)),"Other"))</f>
        <v/>
      </c>
      <c r="V130">
        <f>IF(B130="","",IF(COUNTIF($B$6:B130,B130)=1,1,0))</f>
        <v/>
      </c>
      <c r="W130">
        <f>IF(B130="","",B130-WEEKDAY(B130,3))</f>
        <v/>
      </c>
      <c r="X130">
        <f>IF(D130="","",MAX(IF(N(F130)=0,0,IF(N(E130)&gt;0,E130*(1+F130/30),F130)),IF(N(H130)=0,0,IF(N(G130)&gt;0,G130*(1+H130/30),H130)),IF(N(J130)=0,0,IF(N(I130)&gt;0,I130*(1+J130/30),J130)),IF(N(L130)=0,0,IF(N(K130)&gt;0,K130*(1+L130/30),L130)),IF(N(N130)=0,0,IF(N(M130)&gt;0,M130*(1+N130/30),N130))))</f>
        <v/>
      </c>
      <c r="Y130">
        <f>IF(N(X130)=0,"",X130+ROW()/1000000000)</f>
        <v/>
      </c>
      <c r="Z130">
        <f>IF(Y130="","",IF(COUNTIFS(Log!$D$6:$D$1505,D130,Log!$Y$6:$Y$1505,"&gt;"&amp;Y130)=0,1,0))</f>
        <v/>
      </c>
      <c r="AA130">
        <f>IF(OR(B130="",D130=""),"",B130+ROW()/10000000)</f>
        <v/>
      </c>
      <c r="AB130">
        <f>IF(AA130="","",IF(COUNTIFS(Log!$D$6:$D$1505,D130,Log!$AA$6:$AA$1505,"&gt;"&amp;AA130)=0,1,0))</f>
        <v/>
      </c>
      <c r="AC130">
        <f>IF(S130="New best",AA130,"")</f>
        <v/>
      </c>
      <c r="AD130">
        <f>ROW()</f>
        <v/>
      </c>
    </row>
    <row r="131">
      <c r="A131" s="1" t="n"/>
      <c r="B131" s="21" t="n">
        <v>46245</v>
      </c>
      <c r="C131" s="22" t="inlineStr">
        <is>
          <t>Pull</t>
        </is>
      </c>
      <c r="D131" s="23" t="inlineStr">
        <is>
          <t>Pull-up</t>
        </is>
      </c>
      <c r="E131" s="24" t="n"/>
      <c r="F131" s="24" t="n">
        <v>7</v>
      </c>
      <c r="G131" s="24" t="n"/>
      <c r="H131" s="24" t="n">
        <v>6</v>
      </c>
      <c r="I131" s="24" t="n"/>
      <c r="J131" s="24" t="n">
        <v>5</v>
      </c>
      <c r="K131" s="24" t="n"/>
      <c r="L131" s="24" t="n"/>
      <c r="M131" s="24" t="n"/>
      <c r="N131" s="24" t="n"/>
      <c r="O131" s="15">
        <f>IF(D131="","",COUNT(F131,H131,J131,L131,N131))</f>
        <v/>
      </c>
      <c r="P131" s="25">
        <f>IF(D131="","",N(E131)*N(F131)+N(G131)*N(H131)+N(I131)*N(J131)+N(K131)*N(L131)+N(M131)*N(N131))</f>
        <v/>
      </c>
      <c r="Q131" s="18">
        <f>IF(N(X131)=0,"",IF(IF(N(F131)=0,0,IF(N(E131)&gt;0,E131*(1+F131/30),F131))=X131,IF(N(E131)&gt;0,E131&amp;" x "&amp;F131,F131&amp;" reps"),IF(IF(N(H131)=0,0,IF(N(G131)&gt;0,G131*(1+H131/30),H131))=X131,IF(N(G131)&gt;0,G131&amp;" x "&amp;H131,H131&amp;" reps"),IF(IF(N(J131)=0,0,IF(N(I131)&gt;0,I131*(1+J131/30),J131))=X131,IF(N(I131)&gt;0,I131&amp;" x "&amp;J131,J131&amp;" reps"),IF(IF(N(L131)=0,0,IF(N(K131)&gt;0,K131*(1+L131/30),L131))=X131,IF(N(K131)&gt;0,K131&amp;" x "&amp;L131,L131&amp;" reps"),IF(IF(N(N131)=0,0,IF(N(M131)&gt;0,M131*(1+N131/30),N131))=X131,IF(N(M131)&gt;0,M131&amp;" x "&amp;N131,N131&amp;" reps"),""))))))</f>
        <v/>
      </c>
      <c r="R131" s="20">
        <f>IF(N(X131)=0,"",ROUND(X131,1))</f>
        <v/>
      </c>
      <c r="S131" s="18">
        <f>IF(N(X131)=0,"",IF(AND(COUNTIFS(Log!$D$6:$D$1505,D131,Log!$B$6:$B$1505,"&lt;"&amp;B131)&gt;0,COUNTIFS(Log!$D$6:$D$1505,D131,Log!$B$6:$B$1505,"&lt;"&amp;B131,Log!$X$6:$X$1505,"&gt;="&amp;X131)=0),"New best",""))</f>
        <v/>
      </c>
      <c r="T131" s="26" t="inlineStr">
        <is>
          <t>Short on time</t>
        </is>
      </c>
      <c r="U131" s="1">
        <f>IF(D131="","",IFERROR(INDEX(Exercises!$C$6:$C$105,MATCH(D131,Exercises!$B$6:$B$105,0)),"Other"))</f>
        <v/>
      </c>
      <c r="V131">
        <f>IF(B131="","",IF(COUNTIF($B$6:B131,B131)=1,1,0))</f>
        <v/>
      </c>
      <c r="W131">
        <f>IF(B131="","",B131-WEEKDAY(B131,3))</f>
        <v/>
      </c>
      <c r="X131">
        <f>IF(D131="","",MAX(IF(N(F131)=0,0,IF(N(E131)&gt;0,E131*(1+F131/30),F131)),IF(N(H131)=0,0,IF(N(G131)&gt;0,G131*(1+H131/30),H131)),IF(N(J131)=0,0,IF(N(I131)&gt;0,I131*(1+J131/30),J131)),IF(N(L131)=0,0,IF(N(K131)&gt;0,K131*(1+L131/30),L131)),IF(N(N131)=0,0,IF(N(M131)&gt;0,M131*(1+N131/30),N131))))</f>
        <v/>
      </c>
      <c r="Y131">
        <f>IF(N(X131)=0,"",X131+ROW()/1000000000)</f>
        <v/>
      </c>
      <c r="Z131">
        <f>IF(Y131="","",IF(COUNTIFS(Log!$D$6:$D$1505,D131,Log!$Y$6:$Y$1505,"&gt;"&amp;Y131)=0,1,0))</f>
        <v/>
      </c>
      <c r="AA131">
        <f>IF(OR(B131="",D131=""),"",B131+ROW()/10000000)</f>
        <v/>
      </c>
      <c r="AB131">
        <f>IF(AA131="","",IF(COUNTIFS(Log!$D$6:$D$1505,D131,Log!$AA$6:$AA$1505,"&gt;"&amp;AA131)=0,1,0))</f>
        <v/>
      </c>
      <c r="AC131">
        <f>IF(S131="New best",AA131,"")</f>
        <v/>
      </c>
      <c r="AD131">
        <f>ROW()</f>
        <v/>
      </c>
    </row>
    <row r="132">
      <c r="A132" s="1" t="n"/>
      <c r="B132" s="21" t="n">
        <v>46245</v>
      </c>
      <c r="C132" s="22" t="inlineStr">
        <is>
          <t>Pull</t>
        </is>
      </c>
      <c r="D132" s="23" t="inlineStr">
        <is>
          <t>Barbell row</t>
        </is>
      </c>
      <c r="E132" s="24" t="n">
        <v>120</v>
      </c>
      <c r="F132" s="24" t="n">
        <v>9</v>
      </c>
      <c r="G132" s="24" t="n">
        <v>120</v>
      </c>
      <c r="H132" s="24" t="n">
        <v>9</v>
      </c>
      <c r="I132" s="24" t="n">
        <v>120</v>
      </c>
      <c r="J132" s="24" t="n">
        <v>8</v>
      </c>
      <c r="K132" s="24" t="n"/>
      <c r="L132" s="24" t="n"/>
      <c r="M132" s="24" t="n"/>
      <c r="N132" s="24" t="n"/>
      <c r="O132" s="15">
        <f>IF(D132="","",COUNT(F132,H132,J132,L132,N132))</f>
        <v/>
      </c>
      <c r="P132" s="25">
        <f>IF(D132="","",N(E132)*N(F132)+N(G132)*N(H132)+N(I132)*N(J132)+N(K132)*N(L132)+N(M132)*N(N132))</f>
        <v/>
      </c>
      <c r="Q132" s="18">
        <f>IF(N(X132)=0,"",IF(IF(N(F132)=0,0,IF(N(E132)&gt;0,E132*(1+F132/30),F132))=X132,IF(N(E132)&gt;0,E132&amp;" x "&amp;F132,F132&amp;" reps"),IF(IF(N(H132)=0,0,IF(N(G132)&gt;0,G132*(1+H132/30),H132))=X132,IF(N(G132)&gt;0,G132&amp;" x "&amp;H132,H132&amp;" reps"),IF(IF(N(J132)=0,0,IF(N(I132)&gt;0,I132*(1+J132/30),J132))=X132,IF(N(I132)&gt;0,I132&amp;" x "&amp;J132,J132&amp;" reps"),IF(IF(N(L132)=0,0,IF(N(K132)&gt;0,K132*(1+L132/30),L132))=X132,IF(N(K132)&gt;0,K132&amp;" x "&amp;L132,L132&amp;" reps"),IF(IF(N(N132)=0,0,IF(N(M132)&gt;0,M132*(1+N132/30),N132))=X132,IF(N(M132)&gt;0,M132&amp;" x "&amp;N132,N132&amp;" reps"),""))))))</f>
        <v/>
      </c>
      <c r="R132" s="20">
        <f>IF(N(X132)=0,"",ROUND(X132,1))</f>
        <v/>
      </c>
      <c r="S132" s="18">
        <f>IF(N(X132)=0,"",IF(AND(COUNTIFS(Log!$D$6:$D$1505,D132,Log!$B$6:$B$1505,"&lt;"&amp;B132)&gt;0,COUNTIFS(Log!$D$6:$D$1505,D132,Log!$B$6:$B$1505,"&lt;"&amp;B132,Log!$X$6:$X$1505,"&gt;="&amp;X132)=0),"New best",""))</f>
        <v/>
      </c>
      <c r="T132" s="26" t="n"/>
      <c r="U132" s="1">
        <f>IF(D132="","",IFERROR(INDEX(Exercises!$C$6:$C$105,MATCH(D132,Exercises!$B$6:$B$105,0)),"Other"))</f>
        <v/>
      </c>
      <c r="V132">
        <f>IF(B132="","",IF(COUNTIF($B$6:B132,B132)=1,1,0))</f>
        <v/>
      </c>
      <c r="W132">
        <f>IF(B132="","",B132-WEEKDAY(B132,3))</f>
        <v/>
      </c>
      <c r="X132">
        <f>IF(D132="","",MAX(IF(N(F132)=0,0,IF(N(E132)&gt;0,E132*(1+F132/30),F132)),IF(N(H132)=0,0,IF(N(G132)&gt;0,G132*(1+H132/30),H132)),IF(N(J132)=0,0,IF(N(I132)&gt;0,I132*(1+J132/30),J132)),IF(N(L132)=0,0,IF(N(K132)&gt;0,K132*(1+L132/30),L132)),IF(N(N132)=0,0,IF(N(M132)&gt;0,M132*(1+N132/30),N132))))</f>
        <v/>
      </c>
      <c r="Y132">
        <f>IF(N(X132)=0,"",X132+ROW()/1000000000)</f>
        <v/>
      </c>
      <c r="Z132">
        <f>IF(Y132="","",IF(COUNTIFS(Log!$D$6:$D$1505,D132,Log!$Y$6:$Y$1505,"&gt;"&amp;Y132)=0,1,0))</f>
        <v/>
      </c>
      <c r="AA132">
        <f>IF(OR(B132="",D132=""),"",B132+ROW()/10000000)</f>
        <v/>
      </c>
      <c r="AB132">
        <f>IF(AA132="","",IF(COUNTIFS(Log!$D$6:$D$1505,D132,Log!$AA$6:$AA$1505,"&gt;"&amp;AA132)=0,1,0))</f>
        <v/>
      </c>
      <c r="AC132">
        <f>IF(S132="New best",AA132,"")</f>
        <v/>
      </c>
      <c r="AD132">
        <f>ROW()</f>
        <v/>
      </c>
    </row>
    <row r="133">
      <c r="A133" s="1" t="n"/>
      <c r="B133" s="21" t="n">
        <v>46245</v>
      </c>
      <c r="C133" s="22" t="inlineStr">
        <is>
          <t>Pull</t>
        </is>
      </c>
      <c r="D133" s="23" t="inlineStr">
        <is>
          <t>Lat pulldown</t>
        </is>
      </c>
      <c r="E133" s="24" t="n">
        <v>105</v>
      </c>
      <c r="F133" s="24" t="n">
        <v>11</v>
      </c>
      <c r="G133" s="24" t="n">
        <v>105</v>
      </c>
      <c r="H133" s="24" t="n">
        <v>10</v>
      </c>
      <c r="I133" s="24" t="n">
        <v>105</v>
      </c>
      <c r="J133" s="24" t="n">
        <v>10</v>
      </c>
      <c r="K133" s="24" t="n"/>
      <c r="L133" s="24" t="n"/>
      <c r="M133" s="24" t="n"/>
      <c r="N133" s="24" t="n"/>
      <c r="O133" s="15">
        <f>IF(D133="","",COUNT(F133,H133,J133,L133,N133))</f>
        <v/>
      </c>
      <c r="P133" s="25">
        <f>IF(D133="","",N(E133)*N(F133)+N(G133)*N(H133)+N(I133)*N(J133)+N(K133)*N(L133)+N(M133)*N(N133))</f>
        <v/>
      </c>
      <c r="Q133" s="18">
        <f>IF(N(X133)=0,"",IF(IF(N(F133)=0,0,IF(N(E133)&gt;0,E133*(1+F133/30),F133))=X133,IF(N(E133)&gt;0,E133&amp;" x "&amp;F133,F133&amp;" reps"),IF(IF(N(H133)=0,0,IF(N(G133)&gt;0,G133*(1+H133/30),H133))=X133,IF(N(G133)&gt;0,G133&amp;" x "&amp;H133,H133&amp;" reps"),IF(IF(N(J133)=0,0,IF(N(I133)&gt;0,I133*(1+J133/30),J133))=X133,IF(N(I133)&gt;0,I133&amp;" x "&amp;J133,J133&amp;" reps"),IF(IF(N(L133)=0,0,IF(N(K133)&gt;0,K133*(1+L133/30),L133))=X133,IF(N(K133)&gt;0,K133&amp;" x "&amp;L133,L133&amp;" reps"),IF(IF(N(N133)=0,0,IF(N(M133)&gt;0,M133*(1+N133/30),N133))=X133,IF(N(M133)&gt;0,M133&amp;" x "&amp;N133,N133&amp;" reps"),""))))))</f>
        <v/>
      </c>
      <c r="R133" s="20">
        <f>IF(N(X133)=0,"",ROUND(X133,1))</f>
        <v/>
      </c>
      <c r="S133" s="18">
        <f>IF(N(X133)=0,"",IF(AND(COUNTIFS(Log!$D$6:$D$1505,D133,Log!$B$6:$B$1505,"&lt;"&amp;B133)&gt;0,COUNTIFS(Log!$D$6:$D$1505,D133,Log!$B$6:$B$1505,"&lt;"&amp;B133,Log!$X$6:$X$1505,"&gt;="&amp;X133)=0),"New best",""))</f>
        <v/>
      </c>
      <c r="T133" s="26" t="n"/>
      <c r="U133" s="1">
        <f>IF(D133="","",IFERROR(INDEX(Exercises!$C$6:$C$105,MATCH(D133,Exercises!$B$6:$B$105,0)),"Other"))</f>
        <v/>
      </c>
      <c r="V133">
        <f>IF(B133="","",IF(COUNTIF($B$6:B133,B133)=1,1,0))</f>
        <v/>
      </c>
      <c r="W133">
        <f>IF(B133="","",B133-WEEKDAY(B133,3))</f>
        <v/>
      </c>
      <c r="X133">
        <f>IF(D133="","",MAX(IF(N(F133)=0,0,IF(N(E133)&gt;0,E133*(1+F133/30),F133)),IF(N(H133)=0,0,IF(N(G133)&gt;0,G133*(1+H133/30),H133)),IF(N(J133)=0,0,IF(N(I133)&gt;0,I133*(1+J133/30),J133)),IF(N(L133)=0,0,IF(N(K133)&gt;0,K133*(1+L133/30),L133)),IF(N(N133)=0,0,IF(N(M133)&gt;0,M133*(1+N133/30),N133))))</f>
        <v/>
      </c>
      <c r="Y133">
        <f>IF(N(X133)=0,"",X133+ROW()/1000000000)</f>
        <v/>
      </c>
      <c r="Z133">
        <f>IF(Y133="","",IF(COUNTIFS(Log!$D$6:$D$1505,D133,Log!$Y$6:$Y$1505,"&gt;"&amp;Y133)=0,1,0))</f>
        <v/>
      </c>
      <c r="AA133">
        <f>IF(OR(B133="",D133=""),"",B133+ROW()/10000000)</f>
        <v/>
      </c>
      <c r="AB133">
        <f>IF(AA133="","",IF(COUNTIFS(Log!$D$6:$D$1505,D133,Log!$AA$6:$AA$1505,"&gt;"&amp;AA133)=0,1,0))</f>
        <v/>
      </c>
      <c r="AC133">
        <f>IF(S133="New best",AA133,"")</f>
        <v/>
      </c>
      <c r="AD133">
        <f>ROW()</f>
        <v/>
      </c>
    </row>
    <row r="134">
      <c r="A134" s="1" t="n"/>
      <c r="B134" s="21" t="n">
        <v>46245</v>
      </c>
      <c r="C134" s="22" t="inlineStr">
        <is>
          <t>Pull</t>
        </is>
      </c>
      <c r="D134" s="23" t="inlineStr">
        <is>
          <t>Biceps curl</t>
        </is>
      </c>
      <c r="E134" s="24" t="n">
        <v>27.5</v>
      </c>
      <c r="F134" s="24" t="n">
        <v>12</v>
      </c>
      <c r="G134" s="24" t="n">
        <v>27.5</v>
      </c>
      <c r="H134" s="24" t="n">
        <v>11</v>
      </c>
      <c r="I134" s="24" t="n">
        <v>27.5</v>
      </c>
      <c r="J134" s="24" t="n">
        <v>10</v>
      </c>
      <c r="K134" s="24" t="n"/>
      <c r="L134" s="24" t="n"/>
      <c r="M134" s="24" t="n"/>
      <c r="N134" s="24" t="n"/>
      <c r="O134" s="15">
        <f>IF(D134="","",COUNT(F134,H134,J134,L134,N134))</f>
        <v/>
      </c>
      <c r="P134" s="25">
        <f>IF(D134="","",N(E134)*N(F134)+N(G134)*N(H134)+N(I134)*N(J134)+N(K134)*N(L134)+N(M134)*N(N134))</f>
        <v/>
      </c>
      <c r="Q134" s="18">
        <f>IF(N(X134)=0,"",IF(IF(N(F134)=0,0,IF(N(E134)&gt;0,E134*(1+F134/30),F134))=X134,IF(N(E134)&gt;0,E134&amp;" x "&amp;F134,F134&amp;" reps"),IF(IF(N(H134)=0,0,IF(N(G134)&gt;0,G134*(1+H134/30),H134))=X134,IF(N(G134)&gt;0,G134&amp;" x "&amp;H134,H134&amp;" reps"),IF(IF(N(J134)=0,0,IF(N(I134)&gt;0,I134*(1+J134/30),J134))=X134,IF(N(I134)&gt;0,I134&amp;" x "&amp;J134,J134&amp;" reps"),IF(IF(N(L134)=0,0,IF(N(K134)&gt;0,K134*(1+L134/30),L134))=X134,IF(N(K134)&gt;0,K134&amp;" x "&amp;L134,L134&amp;" reps"),IF(IF(N(N134)=0,0,IF(N(M134)&gt;0,M134*(1+N134/30),N134))=X134,IF(N(M134)&gt;0,M134&amp;" x "&amp;N134,N134&amp;" reps"),""))))))</f>
        <v/>
      </c>
      <c r="R134" s="20">
        <f>IF(N(X134)=0,"",ROUND(X134,1))</f>
        <v/>
      </c>
      <c r="S134" s="18">
        <f>IF(N(X134)=0,"",IF(AND(COUNTIFS(Log!$D$6:$D$1505,D134,Log!$B$6:$B$1505,"&lt;"&amp;B134)&gt;0,COUNTIFS(Log!$D$6:$D$1505,D134,Log!$B$6:$B$1505,"&lt;"&amp;B134,Log!$X$6:$X$1505,"&gt;="&amp;X134)=0),"New best",""))</f>
        <v/>
      </c>
      <c r="T134" s="26" t="inlineStr">
        <is>
          <t>Slept badly</t>
        </is>
      </c>
      <c r="U134" s="1">
        <f>IF(D134="","",IFERROR(INDEX(Exercises!$C$6:$C$105,MATCH(D134,Exercises!$B$6:$B$105,0)),"Other"))</f>
        <v/>
      </c>
      <c r="V134">
        <f>IF(B134="","",IF(COUNTIF($B$6:B134,B134)=1,1,0))</f>
        <v/>
      </c>
      <c r="W134">
        <f>IF(B134="","",B134-WEEKDAY(B134,3))</f>
        <v/>
      </c>
      <c r="X134">
        <f>IF(D134="","",MAX(IF(N(F134)=0,0,IF(N(E134)&gt;0,E134*(1+F134/30),F134)),IF(N(H134)=0,0,IF(N(G134)&gt;0,G134*(1+H134/30),H134)),IF(N(J134)=0,0,IF(N(I134)&gt;0,I134*(1+J134/30),J134)),IF(N(L134)=0,0,IF(N(K134)&gt;0,K134*(1+L134/30),L134)),IF(N(N134)=0,0,IF(N(M134)&gt;0,M134*(1+N134/30),N134))))</f>
        <v/>
      </c>
      <c r="Y134">
        <f>IF(N(X134)=0,"",X134+ROW()/1000000000)</f>
        <v/>
      </c>
      <c r="Z134">
        <f>IF(Y134="","",IF(COUNTIFS(Log!$D$6:$D$1505,D134,Log!$Y$6:$Y$1505,"&gt;"&amp;Y134)=0,1,0))</f>
        <v/>
      </c>
      <c r="AA134">
        <f>IF(OR(B134="",D134=""),"",B134+ROW()/10000000)</f>
        <v/>
      </c>
      <c r="AB134">
        <f>IF(AA134="","",IF(COUNTIFS(Log!$D$6:$D$1505,D134,Log!$AA$6:$AA$1505,"&gt;"&amp;AA134)=0,1,0))</f>
        <v/>
      </c>
      <c r="AC134">
        <f>IF(S134="New best",AA134,"")</f>
        <v/>
      </c>
      <c r="AD134">
        <f>ROW()</f>
        <v/>
      </c>
    </row>
    <row r="135">
      <c r="A135" s="1" t="n"/>
      <c r="B135" s="21" t="n">
        <v>46246</v>
      </c>
      <c r="C135" s="22" t="inlineStr">
        <is>
          <t>Legs</t>
        </is>
      </c>
      <c r="D135" s="23" t="inlineStr">
        <is>
          <t>Squat</t>
        </is>
      </c>
      <c r="E135" s="24" t="n">
        <v>195</v>
      </c>
      <c r="F135" s="24" t="n">
        <v>6</v>
      </c>
      <c r="G135" s="24" t="n">
        <v>195</v>
      </c>
      <c r="H135" s="24" t="n">
        <v>5</v>
      </c>
      <c r="I135" s="24" t="n">
        <v>195</v>
      </c>
      <c r="J135" s="24" t="n">
        <v>5</v>
      </c>
      <c r="K135" s="24" t="n">
        <v>195</v>
      </c>
      <c r="L135" s="24" t="n">
        <v>5</v>
      </c>
      <c r="M135" s="24" t="n"/>
      <c r="N135" s="24" t="n"/>
      <c r="O135" s="15">
        <f>IF(D135="","",COUNT(F135,H135,J135,L135,N135))</f>
        <v/>
      </c>
      <c r="P135" s="25">
        <f>IF(D135="","",N(E135)*N(F135)+N(G135)*N(H135)+N(I135)*N(J135)+N(K135)*N(L135)+N(M135)*N(N135))</f>
        <v/>
      </c>
      <c r="Q135" s="18">
        <f>IF(N(X135)=0,"",IF(IF(N(F135)=0,0,IF(N(E135)&gt;0,E135*(1+F135/30),F135))=X135,IF(N(E135)&gt;0,E135&amp;" x "&amp;F135,F135&amp;" reps"),IF(IF(N(H135)=0,0,IF(N(G135)&gt;0,G135*(1+H135/30),H135))=X135,IF(N(G135)&gt;0,G135&amp;" x "&amp;H135,H135&amp;" reps"),IF(IF(N(J135)=0,0,IF(N(I135)&gt;0,I135*(1+J135/30),J135))=X135,IF(N(I135)&gt;0,I135&amp;" x "&amp;J135,J135&amp;" reps"),IF(IF(N(L135)=0,0,IF(N(K135)&gt;0,K135*(1+L135/30),L135))=X135,IF(N(K135)&gt;0,K135&amp;" x "&amp;L135,L135&amp;" reps"),IF(IF(N(N135)=0,0,IF(N(M135)&gt;0,M135*(1+N135/30),N135))=X135,IF(N(M135)&gt;0,M135&amp;" x "&amp;N135,N135&amp;" reps"),""))))))</f>
        <v/>
      </c>
      <c r="R135" s="20">
        <f>IF(N(X135)=0,"",ROUND(X135,1))</f>
        <v/>
      </c>
      <c r="S135" s="18">
        <f>IF(N(X135)=0,"",IF(AND(COUNTIFS(Log!$D$6:$D$1505,D135,Log!$B$6:$B$1505,"&lt;"&amp;B135)&gt;0,COUNTIFS(Log!$D$6:$D$1505,D135,Log!$B$6:$B$1505,"&lt;"&amp;B135,Log!$X$6:$X$1505,"&gt;="&amp;X135)=0),"New best",""))</f>
        <v/>
      </c>
      <c r="T135" s="26" t="n"/>
      <c r="U135" s="1">
        <f>IF(D135="","",IFERROR(INDEX(Exercises!$C$6:$C$105,MATCH(D135,Exercises!$B$6:$B$105,0)),"Other"))</f>
        <v/>
      </c>
      <c r="V135">
        <f>IF(B135="","",IF(COUNTIF($B$6:B135,B135)=1,1,0))</f>
        <v/>
      </c>
      <c r="W135">
        <f>IF(B135="","",B135-WEEKDAY(B135,3))</f>
        <v/>
      </c>
      <c r="X135">
        <f>IF(D135="","",MAX(IF(N(F135)=0,0,IF(N(E135)&gt;0,E135*(1+F135/30),F135)),IF(N(H135)=0,0,IF(N(G135)&gt;0,G135*(1+H135/30),H135)),IF(N(J135)=0,0,IF(N(I135)&gt;0,I135*(1+J135/30),J135)),IF(N(L135)=0,0,IF(N(K135)&gt;0,K135*(1+L135/30),L135)),IF(N(N135)=0,0,IF(N(M135)&gt;0,M135*(1+N135/30),N135))))</f>
        <v/>
      </c>
      <c r="Y135">
        <f>IF(N(X135)=0,"",X135+ROW()/1000000000)</f>
        <v/>
      </c>
      <c r="Z135">
        <f>IF(Y135="","",IF(COUNTIFS(Log!$D$6:$D$1505,D135,Log!$Y$6:$Y$1505,"&gt;"&amp;Y135)=0,1,0))</f>
        <v/>
      </c>
      <c r="AA135">
        <f>IF(OR(B135="",D135=""),"",B135+ROW()/10000000)</f>
        <v/>
      </c>
      <c r="AB135">
        <f>IF(AA135="","",IF(COUNTIFS(Log!$D$6:$D$1505,D135,Log!$AA$6:$AA$1505,"&gt;"&amp;AA135)=0,1,0))</f>
        <v/>
      </c>
      <c r="AC135">
        <f>IF(S135="New best",AA135,"")</f>
        <v/>
      </c>
      <c r="AD135">
        <f>ROW()</f>
        <v/>
      </c>
    </row>
    <row r="136">
      <c r="A136" s="1" t="n"/>
      <c r="B136" s="21" t="n">
        <v>46246</v>
      </c>
      <c r="C136" s="22" t="inlineStr">
        <is>
          <t>Legs</t>
        </is>
      </c>
      <c r="D136" s="23" t="inlineStr">
        <is>
          <t>Romanian deadlift</t>
        </is>
      </c>
      <c r="E136" s="24" t="n">
        <v>165</v>
      </c>
      <c r="F136" s="24" t="n">
        <v>10</v>
      </c>
      <c r="G136" s="24" t="n">
        <v>165</v>
      </c>
      <c r="H136" s="24" t="n">
        <v>9</v>
      </c>
      <c r="I136" s="24" t="n">
        <v>165</v>
      </c>
      <c r="J136" s="24" t="n">
        <v>8</v>
      </c>
      <c r="K136" s="24" t="n"/>
      <c r="L136" s="24" t="n"/>
      <c r="M136" s="24" t="n"/>
      <c r="N136" s="24" t="n"/>
      <c r="O136" s="15">
        <f>IF(D136="","",COUNT(F136,H136,J136,L136,N136))</f>
        <v/>
      </c>
      <c r="P136" s="25">
        <f>IF(D136="","",N(E136)*N(F136)+N(G136)*N(H136)+N(I136)*N(J136)+N(K136)*N(L136)+N(M136)*N(N136))</f>
        <v/>
      </c>
      <c r="Q136" s="18">
        <f>IF(N(X136)=0,"",IF(IF(N(F136)=0,0,IF(N(E136)&gt;0,E136*(1+F136/30),F136))=X136,IF(N(E136)&gt;0,E136&amp;" x "&amp;F136,F136&amp;" reps"),IF(IF(N(H136)=0,0,IF(N(G136)&gt;0,G136*(1+H136/30),H136))=X136,IF(N(G136)&gt;0,G136&amp;" x "&amp;H136,H136&amp;" reps"),IF(IF(N(J136)=0,0,IF(N(I136)&gt;0,I136*(1+J136/30),J136))=X136,IF(N(I136)&gt;0,I136&amp;" x "&amp;J136,J136&amp;" reps"),IF(IF(N(L136)=0,0,IF(N(K136)&gt;0,K136*(1+L136/30),L136))=X136,IF(N(K136)&gt;0,K136&amp;" x "&amp;L136,L136&amp;" reps"),IF(IF(N(N136)=0,0,IF(N(M136)&gt;0,M136*(1+N136/30),N136))=X136,IF(N(M136)&gt;0,M136&amp;" x "&amp;N136,N136&amp;" reps"),""))))))</f>
        <v/>
      </c>
      <c r="R136" s="20">
        <f>IF(N(X136)=0,"",ROUND(X136,1))</f>
        <v/>
      </c>
      <c r="S136" s="18">
        <f>IF(N(X136)=0,"",IF(AND(COUNTIFS(Log!$D$6:$D$1505,D136,Log!$B$6:$B$1505,"&lt;"&amp;B136)&gt;0,COUNTIFS(Log!$D$6:$D$1505,D136,Log!$B$6:$B$1505,"&lt;"&amp;B136,Log!$X$6:$X$1505,"&gt;="&amp;X136)=0),"New best",""))</f>
        <v/>
      </c>
      <c r="T136" s="26" t="n"/>
      <c r="U136" s="1">
        <f>IF(D136="","",IFERROR(INDEX(Exercises!$C$6:$C$105,MATCH(D136,Exercises!$B$6:$B$105,0)),"Other"))</f>
        <v/>
      </c>
      <c r="V136">
        <f>IF(B136="","",IF(COUNTIF($B$6:B136,B136)=1,1,0))</f>
        <v/>
      </c>
      <c r="W136">
        <f>IF(B136="","",B136-WEEKDAY(B136,3))</f>
        <v/>
      </c>
      <c r="X136">
        <f>IF(D136="","",MAX(IF(N(F136)=0,0,IF(N(E136)&gt;0,E136*(1+F136/30),F136)),IF(N(H136)=0,0,IF(N(G136)&gt;0,G136*(1+H136/30),H136)),IF(N(J136)=0,0,IF(N(I136)&gt;0,I136*(1+J136/30),J136)),IF(N(L136)=0,0,IF(N(K136)&gt;0,K136*(1+L136/30),L136)),IF(N(N136)=0,0,IF(N(M136)&gt;0,M136*(1+N136/30),N136))))</f>
        <v/>
      </c>
      <c r="Y136">
        <f>IF(N(X136)=0,"",X136+ROW()/1000000000)</f>
        <v/>
      </c>
      <c r="Z136">
        <f>IF(Y136="","",IF(COUNTIFS(Log!$D$6:$D$1505,D136,Log!$Y$6:$Y$1505,"&gt;"&amp;Y136)=0,1,0))</f>
        <v/>
      </c>
      <c r="AA136">
        <f>IF(OR(B136="",D136=""),"",B136+ROW()/10000000)</f>
        <v/>
      </c>
      <c r="AB136">
        <f>IF(AA136="","",IF(COUNTIFS(Log!$D$6:$D$1505,D136,Log!$AA$6:$AA$1505,"&gt;"&amp;AA136)=0,1,0))</f>
        <v/>
      </c>
      <c r="AC136">
        <f>IF(S136="New best",AA136,"")</f>
        <v/>
      </c>
      <c r="AD136">
        <f>ROW()</f>
        <v/>
      </c>
    </row>
    <row r="137">
      <c r="A137" s="1" t="n"/>
      <c r="B137" s="21" t="n">
        <v>46246</v>
      </c>
      <c r="C137" s="22" t="inlineStr">
        <is>
          <t>Legs</t>
        </is>
      </c>
      <c r="D137" s="23" t="inlineStr">
        <is>
          <t>Leg press</t>
        </is>
      </c>
      <c r="E137" s="24" t="n">
        <v>290</v>
      </c>
      <c r="F137" s="24" t="n">
        <v>12</v>
      </c>
      <c r="G137" s="24" t="n">
        <v>290</v>
      </c>
      <c r="H137" s="24" t="n">
        <v>10</v>
      </c>
      <c r="I137" s="24" t="n">
        <v>290</v>
      </c>
      <c r="J137" s="24" t="n">
        <v>10</v>
      </c>
      <c r="K137" s="24" t="n"/>
      <c r="L137" s="24" t="n"/>
      <c r="M137" s="24" t="n"/>
      <c r="N137" s="24" t="n"/>
      <c r="O137" s="15">
        <f>IF(D137="","",COUNT(F137,H137,J137,L137,N137))</f>
        <v/>
      </c>
      <c r="P137" s="25">
        <f>IF(D137="","",N(E137)*N(F137)+N(G137)*N(H137)+N(I137)*N(J137)+N(K137)*N(L137)+N(M137)*N(N137))</f>
        <v/>
      </c>
      <c r="Q137" s="18">
        <f>IF(N(X137)=0,"",IF(IF(N(F137)=0,0,IF(N(E137)&gt;0,E137*(1+F137/30),F137))=X137,IF(N(E137)&gt;0,E137&amp;" x "&amp;F137,F137&amp;" reps"),IF(IF(N(H137)=0,0,IF(N(G137)&gt;0,G137*(1+H137/30),H137))=X137,IF(N(G137)&gt;0,G137&amp;" x "&amp;H137,H137&amp;" reps"),IF(IF(N(J137)=0,0,IF(N(I137)&gt;0,I137*(1+J137/30),J137))=X137,IF(N(I137)&gt;0,I137&amp;" x "&amp;J137,J137&amp;" reps"),IF(IF(N(L137)=0,0,IF(N(K137)&gt;0,K137*(1+L137/30),L137))=X137,IF(N(K137)&gt;0,K137&amp;" x "&amp;L137,L137&amp;" reps"),IF(IF(N(N137)=0,0,IF(N(M137)&gt;0,M137*(1+N137/30),N137))=X137,IF(N(M137)&gt;0,M137&amp;" x "&amp;N137,N137&amp;" reps"),""))))))</f>
        <v/>
      </c>
      <c r="R137" s="20">
        <f>IF(N(X137)=0,"",ROUND(X137,1))</f>
        <v/>
      </c>
      <c r="S137" s="18">
        <f>IF(N(X137)=0,"",IF(AND(COUNTIFS(Log!$D$6:$D$1505,D137,Log!$B$6:$B$1505,"&lt;"&amp;B137)&gt;0,COUNTIFS(Log!$D$6:$D$1505,D137,Log!$B$6:$B$1505,"&lt;"&amp;B137,Log!$X$6:$X$1505,"&gt;="&amp;X137)=0),"New best",""))</f>
        <v/>
      </c>
      <c r="T137" s="26" t="inlineStr">
        <is>
          <t>Short on time</t>
        </is>
      </c>
      <c r="U137" s="1">
        <f>IF(D137="","",IFERROR(INDEX(Exercises!$C$6:$C$105,MATCH(D137,Exercises!$B$6:$B$105,0)),"Other"))</f>
        <v/>
      </c>
      <c r="V137">
        <f>IF(B137="","",IF(COUNTIF($B$6:B137,B137)=1,1,0))</f>
        <v/>
      </c>
      <c r="W137">
        <f>IF(B137="","",B137-WEEKDAY(B137,3))</f>
        <v/>
      </c>
      <c r="X137">
        <f>IF(D137="","",MAX(IF(N(F137)=0,0,IF(N(E137)&gt;0,E137*(1+F137/30),F137)),IF(N(H137)=0,0,IF(N(G137)&gt;0,G137*(1+H137/30),H137)),IF(N(J137)=0,0,IF(N(I137)&gt;0,I137*(1+J137/30),J137)),IF(N(L137)=0,0,IF(N(K137)&gt;0,K137*(1+L137/30),L137)),IF(N(N137)=0,0,IF(N(M137)&gt;0,M137*(1+N137/30),N137))))</f>
        <v/>
      </c>
      <c r="Y137">
        <f>IF(N(X137)=0,"",X137+ROW()/1000000000)</f>
        <v/>
      </c>
      <c r="Z137">
        <f>IF(Y137="","",IF(COUNTIFS(Log!$D$6:$D$1505,D137,Log!$Y$6:$Y$1505,"&gt;"&amp;Y137)=0,1,0))</f>
        <v/>
      </c>
      <c r="AA137">
        <f>IF(OR(B137="",D137=""),"",B137+ROW()/10000000)</f>
        <v/>
      </c>
      <c r="AB137">
        <f>IF(AA137="","",IF(COUNTIFS(Log!$D$6:$D$1505,D137,Log!$AA$6:$AA$1505,"&gt;"&amp;AA137)=0,1,0))</f>
        <v/>
      </c>
      <c r="AC137">
        <f>IF(S137="New best",AA137,"")</f>
        <v/>
      </c>
      <c r="AD137">
        <f>ROW()</f>
        <v/>
      </c>
    </row>
    <row r="138">
      <c r="A138" s="1" t="n"/>
      <c r="B138" s="21" t="n">
        <v>46246</v>
      </c>
      <c r="C138" s="22" t="inlineStr">
        <is>
          <t>Legs</t>
        </is>
      </c>
      <c r="D138" s="23" t="inlineStr">
        <is>
          <t>Leg curl</t>
        </is>
      </c>
      <c r="E138" s="24" t="n">
        <v>75</v>
      </c>
      <c r="F138" s="24" t="n">
        <v>11</v>
      </c>
      <c r="G138" s="24" t="n">
        <v>75</v>
      </c>
      <c r="H138" s="24" t="n">
        <v>10</v>
      </c>
      <c r="I138" s="24" t="n">
        <v>75</v>
      </c>
      <c r="J138" s="24" t="n">
        <v>10</v>
      </c>
      <c r="K138" s="24" t="n"/>
      <c r="L138" s="24" t="n"/>
      <c r="M138" s="24" t="n"/>
      <c r="N138" s="24" t="n"/>
      <c r="O138" s="15">
        <f>IF(D138="","",COUNT(F138,H138,J138,L138,N138))</f>
        <v/>
      </c>
      <c r="P138" s="25">
        <f>IF(D138="","",N(E138)*N(F138)+N(G138)*N(H138)+N(I138)*N(J138)+N(K138)*N(L138)+N(M138)*N(N138))</f>
        <v/>
      </c>
      <c r="Q138" s="18">
        <f>IF(N(X138)=0,"",IF(IF(N(F138)=0,0,IF(N(E138)&gt;0,E138*(1+F138/30),F138))=X138,IF(N(E138)&gt;0,E138&amp;" x "&amp;F138,F138&amp;" reps"),IF(IF(N(H138)=0,0,IF(N(G138)&gt;0,G138*(1+H138/30),H138))=X138,IF(N(G138)&gt;0,G138&amp;" x "&amp;H138,H138&amp;" reps"),IF(IF(N(J138)=0,0,IF(N(I138)&gt;0,I138*(1+J138/30),J138))=X138,IF(N(I138)&gt;0,I138&amp;" x "&amp;J138,J138&amp;" reps"),IF(IF(N(L138)=0,0,IF(N(K138)&gt;0,K138*(1+L138/30),L138))=X138,IF(N(K138)&gt;0,K138&amp;" x "&amp;L138,L138&amp;" reps"),IF(IF(N(N138)=0,0,IF(N(M138)&gt;0,M138*(1+N138/30),N138))=X138,IF(N(M138)&gt;0,M138&amp;" x "&amp;N138,N138&amp;" reps"),""))))))</f>
        <v/>
      </c>
      <c r="R138" s="20">
        <f>IF(N(X138)=0,"",ROUND(X138,1))</f>
        <v/>
      </c>
      <c r="S138" s="18">
        <f>IF(N(X138)=0,"",IF(AND(COUNTIFS(Log!$D$6:$D$1505,D138,Log!$B$6:$B$1505,"&lt;"&amp;B138)&gt;0,COUNTIFS(Log!$D$6:$D$1505,D138,Log!$B$6:$B$1505,"&lt;"&amp;B138,Log!$X$6:$X$1505,"&gt;="&amp;X138)=0),"New best",""))</f>
        <v/>
      </c>
      <c r="T138" s="26" t="n"/>
      <c r="U138" s="1">
        <f>IF(D138="","",IFERROR(INDEX(Exercises!$C$6:$C$105,MATCH(D138,Exercises!$B$6:$B$105,0)),"Other"))</f>
        <v/>
      </c>
      <c r="V138">
        <f>IF(B138="","",IF(COUNTIF($B$6:B138,B138)=1,1,0))</f>
        <v/>
      </c>
      <c r="W138">
        <f>IF(B138="","",B138-WEEKDAY(B138,3))</f>
        <v/>
      </c>
      <c r="X138">
        <f>IF(D138="","",MAX(IF(N(F138)=0,0,IF(N(E138)&gt;0,E138*(1+F138/30),F138)),IF(N(H138)=0,0,IF(N(G138)&gt;0,G138*(1+H138/30),H138)),IF(N(J138)=0,0,IF(N(I138)&gt;0,I138*(1+J138/30),J138)),IF(N(L138)=0,0,IF(N(K138)&gt;0,K138*(1+L138/30),L138)),IF(N(N138)=0,0,IF(N(M138)&gt;0,M138*(1+N138/30),N138))))</f>
        <v/>
      </c>
      <c r="Y138">
        <f>IF(N(X138)=0,"",X138+ROW()/1000000000)</f>
        <v/>
      </c>
      <c r="Z138">
        <f>IF(Y138="","",IF(COUNTIFS(Log!$D$6:$D$1505,D138,Log!$Y$6:$Y$1505,"&gt;"&amp;Y138)=0,1,0))</f>
        <v/>
      </c>
      <c r="AA138">
        <f>IF(OR(B138="",D138=""),"",B138+ROW()/10000000)</f>
        <v/>
      </c>
      <c r="AB138">
        <f>IF(AA138="","",IF(COUNTIFS(Log!$D$6:$D$1505,D138,Log!$AA$6:$AA$1505,"&gt;"&amp;AA138)=0,1,0))</f>
        <v/>
      </c>
      <c r="AC138">
        <f>IF(S138="New best",AA138,"")</f>
        <v/>
      </c>
      <c r="AD138">
        <f>ROW()</f>
        <v/>
      </c>
    </row>
    <row r="139">
      <c r="A139" s="1" t="n"/>
      <c r="B139" s="21" t="n">
        <v>46246</v>
      </c>
      <c r="C139" s="22" t="inlineStr">
        <is>
          <t>Legs</t>
        </is>
      </c>
      <c r="D139" s="23" t="inlineStr">
        <is>
          <t>Calf raise</t>
        </is>
      </c>
      <c r="E139" s="24" t="n">
        <v>100</v>
      </c>
      <c r="F139" s="24" t="n">
        <v>14</v>
      </c>
      <c r="G139" s="24" t="n">
        <v>100</v>
      </c>
      <c r="H139" s="24" t="n">
        <v>13</v>
      </c>
      <c r="I139" s="24" t="n">
        <v>100</v>
      </c>
      <c r="J139" s="24" t="n">
        <v>13</v>
      </c>
      <c r="K139" s="24" t="n">
        <v>100</v>
      </c>
      <c r="L139" s="24" t="n">
        <v>12</v>
      </c>
      <c r="M139" s="24" t="n"/>
      <c r="N139" s="24" t="n"/>
      <c r="O139" s="15">
        <f>IF(D139="","",COUNT(F139,H139,J139,L139,N139))</f>
        <v/>
      </c>
      <c r="P139" s="25">
        <f>IF(D139="","",N(E139)*N(F139)+N(G139)*N(H139)+N(I139)*N(J139)+N(K139)*N(L139)+N(M139)*N(N139))</f>
        <v/>
      </c>
      <c r="Q139" s="18">
        <f>IF(N(X139)=0,"",IF(IF(N(F139)=0,0,IF(N(E139)&gt;0,E139*(1+F139/30),F139))=X139,IF(N(E139)&gt;0,E139&amp;" x "&amp;F139,F139&amp;" reps"),IF(IF(N(H139)=0,0,IF(N(G139)&gt;0,G139*(1+H139/30),H139))=X139,IF(N(G139)&gt;0,G139&amp;" x "&amp;H139,H139&amp;" reps"),IF(IF(N(J139)=0,0,IF(N(I139)&gt;0,I139*(1+J139/30),J139))=X139,IF(N(I139)&gt;0,I139&amp;" x "&amp;J139,J139&amp;" reps"),IF(IF(N(L139)=0,0,IF(N(K139)&gt;0,K139*(1+L139/30),L139))=X139,IF(N(K139)&gt;0,K139&amp;" x "&amp;L139,L139&amp;" reps"),IF(IF(N(N139)=0,0,IF(N(M139)&gt;0,M139*(1+N139/30),N139))=X139,IF(N(M139)&gt;0,M139&amp;" x "&amp;N139,N139&amp;" reps"),""))))))</f>
        <v/>
      </c>
      <c r="R139" s="20">
        <f>IF(N(X139)=0,"",ROUND(X139,1))</f>
        <v/>
      </c>
      <c r="S139" s="18">
        <f>IF(N(X139)=0,"",IF(AND(COUNTIFS(Log!$D$6:$D$1505,D139,Log!$B$6:$B$1505,"&lt;"&amp;B139)&gt;0,COUNTIFS(Log!$D$6:$D$1505,D139,Log!$B$6:$B$1505,"&lt;"&amp;B139,Log!$X$6:$X$1505,"&gt;="&amp;X139)=0),"New best",""))</f>
        <v/>
      </c>
      <c r="T139" s="26" t="n"/>
      <c r="U139" s="1">
        <f>IF(D139="","",IFERROR(INDEX(Exercises!$C$6:$C$105,MATCH(D139,Exercises!$B$6:$B$105,0)),"Other"))</f>
        <v/>
      </c>
      <c r="V139">
        <f>IF(B139="","",IF(COUNTIF($B$6:B139,B139)=1,1,0))</f>
        <v/>
      </c>
      <c r="W139">
        <f>IF(B139="","",B139-WEEKDAY(B139,3))</f>
        <v/>
      </c>
      <c r="X139">
        <f>IF(D139="","",MAX(IF(N(F139)=0,0,IF(N(E139)&gt;0,E139*(1+F139/30),F139)),IF(N(H139)=0,0,IF(N(G139)&gt;0,G139*(1+H139/30),H139)),IF(N(J139)=0,0,IF(N(I139)&gt;0,I139*(1+J139/30),J139)),IF(N(L139)=0,0,IF(N(K139)&gt;0,K139*(1+L139/30),L139)),IF(N(N139)=0,0,IF(N(M139)&gt;0,M139*(1+N139/30),N139))))</f>
        <v/>
      </c>
      <c r="Y139">
        <f>IF(N(X139)=0,"",X139+ROW()/1000000000)</f>
        <v/>
      </c>
      <c r="Z139">
        <f>IF(Y139="","",IF(COUNTIFS(Log!$D$6:$D$1505,D139,Log!$Y$6:$Y$1505,"&gt;"&amp;Y139)=0,1,0))</f>
        <v/>
      </c>
      <c r="AA139">
        <f>IF(OR(B139="",D139=""),"",B139+ROW()/10000000)</f>
        <v/>
      </c>
      <c r="AB139">
        <f>IF(AA139="","",IF(COUNTIFS(Log!$D$6:$D$1505,D139,Log!$AA$6:$AA$1505,"&gt;"&amp;AA139)=0,1,0))</f>
        <v/>
      </c>
      <c r="AC139">
        <f>IF(S139="New best",AA139,"")</f>
        <v/>
      </c>
      <c r="AD139">
        <f>ROW()</f>
        <v/>
      </c>
    </row>
    <row r="140">
      <c r="A140" s="1" t="n"/>
      <c r="B140" s="21" t="n">
        <v>46248</v>
      </c>
      <c r="C140" s="22" t="inlineStr">
        <is>
          <t>Upper</t>
        </is>
      </c>
      <c r="D140" s="23" t="inlineStr">
        <is>
          <t>Bench press</t>
        </is>
      </c>
      <c r="E140" s="24" t="n">
        <v>125</v>
      </c>
      <c r="F140" s="24" t="n">
        <v>10</v>
      </c>
      <c r="G140" s="24" t="n">
        <v>125</v>
      </c>
      <c r="H140" s="24" t="n">
        <v>8</v>
      </c>
      <c r="I140" s="24" t="n">
        <v>125</v>
      </c>
      <c r="J140" s="24" t="n">
        <v>8</v>
      </c>
      <c r="K140" s="24" t="n"/>
      <c r="L140" s="24" t="n"/>
      <c r="M140" s="24" t="n"/>
      <c r="N140" s="24" t="n"/>
      <c r="O140" s="15">
        <f>IF(D140="","",COUNT(F140,H140,J140,L140,N140))</f>
        <v/>
      </c>
      <c r="P140" s="25">
        <f>IF(D140="","",N(E140)*N(F140)+N(G140)*N(H140)+N(I140)*N(J140)+N(K140)*N(L140)+N(M140)*N(N140))</f>
        <v/>
      </c>
      <c r="Q140" s="18">
        <f>IF(N(X140)=0,"",IF(IF(N(F140)=0,0,IF(N(E140)&gt;0,E140*(1+F140/30),F140))=X140,IF(N(E140)&gt;0,E140&amp;" x "&amp;F140,F140&amp;" reps"),IF(IF(N(H140)=0,0,IF(N(G140)&gt;0,G140*(1+H140/30),H140))=X140,IF(N(G140)&gt;0,G140&amp;" x "&amp;H140,H140&amp;" reps"),IF(IF(N(J140)=0,0,IF(N(I140)&gt;0,I140*(1+J140/30),J140))=X140,IF(N(I140)&gt;0,I140&amp;" x "&amp;J140,J140&amp;" reps"),IF(IF(N(L140)=0,0,IF(N(K140)&gt;0,K140*(1+L140/30),L140))=X140,IF(N(K140)&gt;0,K140&amp;" x "&amp;L140,L140&amp;" reps"),IF(IF(N(N140)=0,0,IF(N(M140)&gt;0,M140*(1+N140/30),N140))=X140,IF(N(M140)&gt;0,M140&amp;" x "&amp;N140,N140&amp;" reps"),""))))))</f>
        <v/>
      </c>
      <c r="R140" s="20">
        <f>IF(N(X140)=0,"",ROUND(X140,1))</f>
        <v/>
      </c>
      <c r="S140" s="18">
        <f>IF(N(X140)=0,"",IF(AND(COUNTIFS(Log!$D$6:$D$1505,D140,Log!$B$6:$B$1505,"&lt;"&amp;B140)&gt;0,COUNTIFS(Log!$D$6:$D$1505,D140,Log!$B$6:$B$1505,"&lt;"&amp;B140,Log!$X$6:$X$1505,"&gt;="&amp;X140)=0),"New best",""))</f>
        <v/>
      </c>
      <c r="T140" s="26" t="n"/>
      <c r="U140" s="1">
        <f>IF(D140="","",IFERROR(INDEX(Exercises!$C$6:$C$105,MATCH(D140,Exercises!$B$6:$B$105,0)),"Other"))</f>
        <v/>
      </c>
      <c r="V140">
        <f>IF(B140="","",IF(COUNTIF($B$6:B140,B140)=1,1,0))</f>
        <v/>
      </c>
      <c r="W140">
        <f>IF(B140="","",B140-WEEKDAY(B140,3))</f>
        <v/>
      </c>
      <c r="X140">
        <f>IF(D140="","",MAX(IF(N(F140)=0,0,IF(N(E140)&gt;0,E140*(1+F140/30),F140)),IF(N(H140)=0,0,IF(N(G140)&gt;0,G140*(1+H140/30),H140)),IF(N(J140)=0,0,IF(N(I140)&gt;0,I140*(1+J140/30),J140)),IF(N(L140)=0,0,IF(N(K140)&gt;0,K140*(1+L140/30),L140)),IF(N(N140)=0,0,IF(N(M140)&gt;0,M140*(1+N140/30),N140))))</f>
        <v/>
      </c>
      <c r="Y140">
        <f>IF(N(X140)=0,"",X140+ROW()/1000000000)</f>
        <v/>
      </c>
      <c r="Z140">
        <f>IF(Y140="","",IF(COUNTIFS(Log!$D$6:$D$1505,D140,Log!$Y$6:$Y$1505,"&gt;"&amp;Y140)=0,1,0))</f>
        <v/>
      </c>
      <c r="AA140">
        <f>IF(OR(B140="",D140=""),"",B140+ROW()/10000000)</f>
        <v/>
      </c>
      <c r="AB140">
        <f>IF(AA140="","",IF(COUNTIFS(Log!$D$6:$D$1505,D140,Log!$AA$6:$AA$1505,"&gt;"&amp;AA140)=0,1,0))</f>
        <v/>
      </c>
      <c r="AC140">
        <f>IF(S140="New best",AA140,"")</f>
        <v/>
      </c>
      <c r="AD140">
        <f>ROW()</f>
        <v/>
      </c>
    </row>
    <row r="141">
      <c r="A141" s="1" t="n"/>
      <c r="B141" s="21" t="n">
        <v>46248</v>
      </c>
      <c r="C141" s="22" t="inlineStr">
        <is>
          <t>Upper</t>
        </is>
      </c>
      <c r="D141" s="23" t="inlineStr">
        <is>
          <t>Barbell row</t>
        </is>
      </c>
      <c r="E141" s="24" t="n">
        <v>110</v>
      </c>
      <c r="F141" s="24" t="n">
        <v>10</v>
      </c>
      <c r="G141" s="24" t="n">
        <v>110</v>
      </c>
      <c r="H141" s="24" t="n">
        <v>9</v>
      </c>
      <c r="I141" s="24" t="n">
        <v>110</v>
      </c>
      <c r="J141" s="24" t="n">
        <v>8</v>
      </c>
      <c r="K141" s="24" t="n"/>
      <c r="L141" s="24" t="n"/>
      <c r="M141" s="24" t="n"/>
      <c r="N141" s="24" t="n"/>
      <c r="O141" s="15">
        <f>IF(D141="","",COUNT(F141,H141,J141,L141,N141))</f>
        <v/>
      </c>
      <c r="P141" s="25">
        <f>IF(D141="","",N(E141)*N(F141)+N(G141)*N(H141)+N(I141)*N(J141)+N(K141)*N(L141)+N(M141)*N(N141))</f>
        <v/>
      </c>
      <c r="Q141" s="18">
        <f>IF(N(X141)=0,"",IF(IF(N(F141)=0,0,IF(N(E141)&gt;0,E141*(1+F141/30),F141))=X141,IF(N(E141)&gt;0,E141&amp;" x "&amp;F141,F141&amp;" reps"),IF(IF(N(H141)=0,0,IF(N(G141)&gt;0,G141*(1+H141/30),H141))=X141,IF(N(G141)&gt;0,G141&amp;" x "&amp;H141,H141&amp;" reps"),IF(IF(N(J141)=0,0,IF(N(I141)&gt;0,I141*(1+J141/30),J141))=X141,IF(N(I141)&gt;0,I141&amp;" x "&amp;J141,J141&amp;" reps"),IF(IF(N(L141)=0,0,IF(N(K141)&gt;0,K141*(1+L141/30),L141))=X141,IF(N(K141)&gt;0,K141&amp;" x "&amp;L141,L141&amp;" reps"),IF(IF(N(N141)=0,0,IF(N(M141)&gt;0,M141*(1+N141/30),N141))=X141,IF(N(M141)&gt;0,M141&amp;" x "&amp;N141,N141&amp;" reps"),""))))))</f>
        <v/>
      </c>
      <c r="R141" s="20">
        <f>IF(N(X141)=0,"",ROUND(X141,1))</f>
        <v/>
      </c>
      <c r="S141" s="18">
        <f>IF(N(X141)=0,"",IF(AND(COUNTIFS(Log!$D$6:$D$1505,D141,Log!$B$6:$B$1505,"&lt;"&amp;B141)&gt;0,COUNTIFS(Log!$D$6:$D$1505,D141,Log!$B$6:$B$1505,"&lt;"&amp;B141,Log!$X$6:$X$1505,"&gt;="&amp;X141)=0),"New best",""))</f>
        <v/>
      </c>
      <c r="T141" s="26" t="inlineStr">
        <is>
          <t>Short on time</t>
        </is>
      </c>
      <c r="U141" s="1">
        <f>IF(D141="","",IFERROR(INDEX(Exercises!$C$6:$C$105,MATCH(D141,Exercises!$B$6:$B$105,0)),"Other"))</f>
        <v/>
      </c>
      <c r="V141">
        <f>IF(B141="","",IF(COUNTIF($B$6:B141,B141)=1,1,0))</f>
        <v/>
      </c>
      <c r="W141">
        <f>IF(B141="","",B141-WEEKDAY(B141,3))</f>
        <v/>
      </c>
      <c r="X141">
        <f>IF(D141="","",MAX(IF(N(F141)=0,0,IF(N(E141)&gt;0,E141*(1+F141/30),F141)),IF(N(H141)=0,0,IF(N(G141)&gt;0,G141*(1+H141/30),H141)),IF(N(J141)=0,0,IF(N(I141)&gt;0,I141*(1+J141/30),J141)),IF(N(L141)=0,0,IF(N(K141)&gt;0,K141*(1+L141/30),L141)),IF(N(N141)=0,0,IF(N(M141)&gt;0,M141*(1+N141/30),N141))))</f>
        <v/>
      </c>
      <c r="Y141">
        <f>IF(N(X141)=0,"",X141+ROW()/1000000000)</f>
        <v/>
      </c>
      <c r="Z141">
        <f>IF(Y141="","",IF(COUNTIFS(Log!$D$6:$D$1505,D141,Log!$Y$6:$Y$1505,"&gt;"&amp;Y141)=0,1,0))</f>
        <v/>
      </c>
      <c r="AA141">
        <f>IF(OR(B141="",D141=""),"",B141+ROW()/10000000)</f>
        <v/>
      </c>
      <c r="AB141">
        <f>IF(AA141="","",IF(COUNTIFS(Log!$D$6:$D$1505,D141,Log!$AA$6:$AA$1505,"&gt;"&amp;AA141)=0,1,0))</f>
        <v/>
      </c>
      <c r="AC141">
        <f>IF(S141="New best",AA141,"")</f>
        <v/>
      </c>
      <c r="AD141">
        <f>ROW()</f>
        <v/>
      </c>
    </row>
    <row r="142">
      <c r="A142" s="1" t="n"/>
      <c r="B142" s="21" t="n">
        <v>46248</v>
      </c>
      <c r="C142" s="22" t="inlineStr">
        <is>
          <t>Upper</t>
        </is>
      </c>
      <c r="D142" s="23" t="inlineStr">
        <is>
          <t>Overhead press</t>
        </is>
      </c>
      <c r="E142" s="24" t="n">
        <v>80</v>
      </c>
      <c r="F142" s="24" t="n">
        <v>10</v>
      </c>
      <c r="G142" s="24" t="n">
        <v>80</v>
      </c>
      <c r="H142" s="24" t="n">
        <v>9</v>
      </c>
      <c r="I142" s="24" t="n">
        <v>80</v>
      </c>
      <c r="J142" s="24" t="n">
        <v>8</v>
      </c>
      <c r="K142" s="24" t="n"/>
      <c r="L142" s="24" t="n"/>
      <c r="M142" s="24" t="n"/>
      <c r="N142" s="24" t="n"/>
      <c r="O142" s="15">
        <f>IF(D142="","",COUNT(F142,H142,J142,L142,N142))</f>
        <v/>
      </c>
      <c r="P142" s="25">
        <f>IF(D142="","",N(E142)*N(F142)+N(G142)*N(H142)+N(I142)*N(J142)+N(K142)*N(L142)+N(M142)*N(N142))</f>
        <v/>
      </c>
      <c r="Q142" s="18">
        <f>IF(N(X142)=0,"",IF(IF(N(F142)=0,0,IF(N(E142)&gt;0,E142*(1+F142/30),F142))=X142,IF(N(E142)&gt;0,E142&amp;" x "&amp;F142,F142&amp;" reps"),IF(IF(N(H142)=0,0,IF(N(G142)&gt;0,G142*(1+H142/30),H142))=X142,IF(N(G142)&gt;0,G142&amp;" x "&amp;H142,H142&amp;" reps"),IF(IF(N(J142)=0,0,IF(N(I142)&gt;0,I142*(1+J142/30),J142))=X142,IF(N(I142)&gt;0,I142&amp;" x "&amp;J142,J142&amp;" reps"),IF(IF(N(L142)=0,0,IF(N(K142)&gt;0,K142*(1+L142/30),L142))=X142,IF(N(K142)&gt;0,K142&amp;" x "&amp;L142,L142&amp;" reps"),IF(IF(N(N142)=0,0,IF(N(M142)&gt;0,M142*(1+N142/30),N142))=X142,IF(N(M142)&gt;0,M142&amp;" x "&amp;N142,N142&amp;" reps"),""))))))</f>
        <v/>
      </c>
      <c r="R142" s="20">
        <f>IF(N(X142)=0,"",ROUND(X142,1))</f>
        <v/>
      </c>
      <c r="S142" s="18">
        <f>IF(N(X142)=0,"",IF(AND(COUNTIFS(Log!$D$6:$D$1505,D142,Log!$B$6:$B$1505,"&lt;"&amp;B142)&gt;0,COUNTIFS(Log!$D$6:$D$1505,D142,Log!$B$6:$B$1505,"&lt;"&amp;B142,Log!$X$6:$X$1505,"&gt;="&amp;X142)=0),"New best",""))</f>
        <v/>
      </c>
      <c r="T142" s="26" t="n"/>
      <c r="U142" s="1">
        <f>IF(D142="","",IFERROR(INDEX(Exercises!$C$6:$C$105,MATCH(D142,Exercises!$B$6:$B$105,0)),"Other"))</f>
        <v/>
      </c>
      <c r="V142">
        <f>IF(B142="","",IF(COUNTIF($B$6:B142,B142)=1,1,0))</f>
        <v/>
      </c>
      <c r="W142">
        <f>IF(B142="","",B142-WEEKDAY(B142,3))</f>
        <v/>
      </c>
      <c r="X142">
        <f>IF(D142="","",MAX(IF(N(F142)=0,0,IF(N(E142)&gt;0,E142*(1+F142/30),F142)),IF(N(H142)=0,0,IF(N(G142)&gt;0,G142*(1+H142/30),H142)),IF(N(J142)=0,0,IF(N(I142)&gt;0,I142*(1+J142/30),J142)),IF(N(L142)=0,0,IF(N(K142)&gt;0,K142*(1+L142/30),L142)),IF(N(N142)=0,0,IF(N(M142)&gt;0,M142*(1+N142/30),N142))))</f>
        <v/>
      </c>
      <c r="Y142">
        <f>IF(N(X142)=0,"",X142+ROW()/1000000000)</f>
        <v/>
      </c>
      <c r="Z142">
        <f>IF(Y142="","",IF(COUNTIFS(Log!$D$6:$D$1505,D142,Log!$Y$6:$Y$1505,"&gt;"&amp;Y142)=0,1,0))</f>
        <v/>
      </c>
      <c r="AA142">
        <f>IF(OR(B142="",D142=""),"",B142+ROW()/10000000)</f>
        <v/>
      </c>
      <c r="AB142">
        <f>IF(AA142="","",IF(COUNTIFS(Log!$D$6:$D$1505,D142,Log!$AA$6:$AA$1505,"&gt;"&amp;AA142)=0,1,0))</f>
        <v/>
      </c>
      <c r="AC142">
        <f>IF(S142="New best",AA142,"")</f>
        <v/>
      </c>
      <c r="AD142">
        <f>ROW()</f>
        <v/>
      </c>
    </row>
    <row r="143">
      <c r="A143" s="1" t="n"/>
      <c r="B143" s="21" t="n">
        <v>46248</v>
      </c>
      <c r="C143" s="22" t="inlineStr">
        <is>
          <t>Upper</t>
        </is>
      </c>
      <c r="D143" s="23" t="inlineStr">
        <is>
          <t>Pull-up</t>
        </is>
      </c>
      <c r="E143" s="24" t="n"/>
      <c r="F143" s="24" t="n">
        <v>6</v>
      </c>
      <c r="G143" s="24" t="n"/>
      <c r="H143" s="24" t="n">
        <v>6</v>
      </c>
      <c r="I143" s="24" t="n"/>
      <c r="J143" s="24" t="n">
        <v>4</v>
      </c>
      <c r="K143" s="24" t="n"/>
      <c r="L143" s="24" t="n"/>
      <c r="M143" s="24" t="n"/>
      <c r="N143" s="24" t="n"/>
      <c r="O143" s="15">
        <f>IF(D143="","",COUNT(F143,H143,J143,L143,N143))</f>
        <v/>
      </c>
      <c r="P143" s="25">
        <f>IF(D143="","",N(E143)*N(F143)+N(G143)*N(H143)+N(I143)*N(J143)+N(K143)*N(L143)+N(M143)*N(N143))</f>
        <v/>
      </c>
      <c r="Q143" s="18">
        <f>IF(N(X143)=0,"",IF(IF(N(F143)=0,0,IF(N(E143)&gt;0,E143*(1+F143/30),F143))=X143,IF(N(E143)&gt;0,E143&amp;" x "&amp;F143,F143&amp;" reps"),IF(IF(N(H143)=0,0,IF(N(G143)&gt;0,G143*(1+H143/30),H143))=X143,IF(N(G143)&gt;0,G143&amp;" x "&amp;H143,H143&amp;" reps"),IF(IF(N(J143)=0,0,IF(N(I143)&gt;0,I143*(1+J143/30),J143))=X143,IF(N(I143)&gt;0,I143&amp;" x "&amp;J143,J143&amp;" reps"),IF(IF(N(L143)=0,0,IF(N(K143)&gt;0,K143*(1+L143/30),L143))=X143,IF(N(K143)&gt;0,K143&amp;" x "&amp;L143,L143&amp;" reps"),IF(IF(N(N143)=0,0,IF(N(M143)&gt;0,M143*(1+N143/30),N143))=X143,IF(N(M143)&gt;0,M143&amp;" x "&amp;N143,N143&amp;" reps"),""))))))</f>
        <v/>
      </c>
      <c r="R143" s="20">
        <f>IF(N(X143)=0,"",ROUND(X143,1))</f>
        <v/>
      </c>
      <c r="S143" s="18">
        <f>IF(N(X143)=0,"",IF(AND(COUNTIFS(Log!$D$6:$D$1505,D143,Log!$B$6:$B$1505,"&lt;"&amp;B143)&gt;0,COUNTIFS(Log!$D$6:$D$1505,D143,Log!$B$6:$B$1505,"&lt;"&amp;B143,Log!$X$6:$X$1505,"&gt;="&amp;X143)=0),"New best",""))</f>
        <v/>
      </c>
      <c r="T143" s="26" t="n"/>
      <c r="U143" s="1">
        <f>IF(D143="","",IFERROR(INDEX(Exercises!$C$6:$C$105,MATCH(D143,Exercises!$B$6:$B$105,0)),"Other"))</f>
        <v/>
      </c>
      <c r="V143">
        <f>IF(B143="","",IF(COUNTIF($B$6:B143,B143)=1,1,0))</f>
        <v/>
      </c>
      <c r="W143">
        <f>IF(B143="","",B143-WEEKDAY(B143,3))</f>
        <v/>
      </c>
      <c r="X143">
        <f>IF(D143="","",MAX(IF(N(F143)=0,0,IF(N(E143)&gt;0,E143*(1+F143/30),F143)),IF(N(H143)=0,0,IF(N(G143)&gt;0,G143*(1+H143/30),H143)),IF(N(J143)=0,0,IF(N(I143)&gt;0,I143*(1+J143/30),J143)),IF(N(L143)=0,0,IF(N(K143)&gt;0,K143*(1+L143/30),L143)),IF(N(N143)=0,0,IF(N(M143)&gt;0,M143*(1+N143/30),N143))))</f>
        <v/>
      </c>
      <c r="Y143">
        <f>IF(N(X143)=0,"",X143+ROW()/1000000000)</f>
        <v/>
      </c>
      <c r="Z143">
        <f>IF(Y143="","",IF(COUNTIFS(Log!$D$6:$D$1505,D143,Log!$Y$6:$Y$1505,"&gt;"&amp;Y143)=0,1,0))</f>
        <v/>
      </c>
      <c r="AA143">
        <f>IF(OR(B143="",D143=""),"",B143+ROW()/10000000)</f>
        <v/>
      </c>
      <c r="AB143">
        <f>IF(AA143="","",IF(COUNTIFS(Log!$D$6:$D$1505,D143,Log!$AA$6:$AA$1505,"&gt;"&amp;AA143)=0,1,0))</f>
        <v/>
      </c>
      <c r="AC143">
        <f>IF(S143="New best",AA143,"")</f>
        <v/>
      </c>
      <c r="AD143">
        <f>ROW()</f>
        <v/>
      </c>
    </row>
    <row r="144">
      <c r="A144" s="1" t="n"/>
      <c r="B144" s="21" t="n">
        <v>46248</v>
      </c>
      <c r="C144" s="22" t="inlineStr">
        <is>
          <t>Upper</t>
        </is>
      </c>
      <c r="D144" s="23" t="inlineStr">
        <is>
          <t>Biceps curl</t>
        </is>
      </c>
      <c r="E144" s="24" t="n">
        <v>25</v>
      </c>
      <c r="F144" s="24" t="n">
        <v>12</v>
      </c>
      <c r="G144" s="24" t="n">
        <v>25</v>
      </c>
      <c r="H144" s="24" t="n">
        <v>11</v>
      </c>
      <c r="I144" s="24" t="n"/>
      <c r="J144" s="24" t="n"/>
      <c r="K144" s="24" t="n"/>
      <c r="L144" s="24" t="n"/>
      <c r="M144" s="24" t="n"/>
      <c r="N144" s="24" t="n"/>
      <c r="O144" s="15">
        <f>IF(D144="","",COUNT(F144,H144,J144,L144,N144))</f>
        <v/>
      </c>
      <c r="P144" s="25">
        <f>IF(D144="","",N(E144)*N(F144)+N(G144)*N(H144)+N(I144)*N(J144)+N(K144)*N(L144)+N(M144)*N(N144))</f>
        <v/>
      </c>
      <c r="Q144" s="18">
        <f>IF(N(X144)=0,"",IF(IF(N(F144)=0,0,IF(N(E144)&gt;0,E144*(1+F144/30),F144))=X144,IF(N(E144)&gt;0,E144&amp;" x "&amp;F144,F144&amp;" reps"),IF(IF(N(H144)=0,0,IF(N(G144)&gt;0,G144*(1+H144/30),H144))=X144,IF(N(G144)&gt;0,G144&amp;" x "&amp;H144,H144&amp;" reps"),IF(IF(N(J144)=0,0,IF(N(I144)&gt;0,I144*(1+J144/30),J144))=X144,IF(N(I144)&gt;0,I144&amp;" x "&amp;J144,J144&amp;" reps"),IF(IF(N(L144)=0,0,IF(N(K144)&gt;0,K144*(1+L144/30),L144))=X144,IF(N(K144)&gt;0,K144&amp;" x "&amp;L144,L144&amp;" reps"),IF(IF(N(N144)=0,0,IF(N(M144)&gt;0,M144*(1+N144/30),N144))=X144,IF(N(M144)&gt;0,M144&amp;" x "&amp;N144,N144&amp;" reps"),""))))))</f>
        <v/>
      </c>
      <c r="R144" s="20">
        <f>IF(N(X144)=0,"",ROUND(X144,1))</f>
        <v/>
      </c>
      <c r="S144" s="18">
        <f>IF(N(X144)=0,"",IF(AND(COUNTIFS(Log!$D$6:$D$1505,D144,Log!$B$6:$B$1505,"&lt;"&amp;B144)&gt;0,COUNTIFS(Log!$D$6:$D$1505,D144,Log!$B$6:$B$1505,"&lt;"&amp;B144,Log!$X$6:$X$1505,"&gt;="&amp;X144)=0),"New best",""))</f>
        <v/>
      </c>
      <c r="T144" s="26" t="n"/>
      <c r="U144" s="1">
        <f>IF(D144="","",IFERROR(INDEX(Exercises!$C$6:$C$105,MATCH(D144,Exercises!$B$6:$B$105,0)),"Other"))</f>
        <v/>
      </c>
      <c r="V144">
        <f>IF(B144="","",IF(COUNTIF($B$6:B144,B144)=1,1,0))</f>
        <v/>
      </c>
      <c r="W144">
        <f>IF(B144="","",B144-WEEKDAY(B144,3))</f>
        <v/>
      </c>
      <c r="X144">
        <f>IF(D144="","",MAX(IF(N(F144)=0,0,IF(N(E144)&gt;0,E144*(1+F144/30),F144)),IF(N(H144)=0,0,IF(N(G144)&gt;0,G144*(1+H144/30),H144)),IF(N(J144)=0,0,IF(N(I144)&gt;0,I144*(1+J144/30),J144)),IF(N(L144)=0,0,IF(N(K144)&gt;0,K144*(1+L144/30),L144)),IF(N(N144)=0,0,IF(N(M144)&gt;0,M144*(1+N144/30),N144))))</f>
        <v/>
      </c>
      <c r="Y144">
        <f>IF(N(X144)=0,"",X144+ROW()/1000000000)</f>
        <v/>
      </c>
      <c r="Z144">
        <f>IF(Y144="","",IF(COUNTIFS(Log!$D$6:$D$1505,D144,Log!$Y$6:$Y$1505,"&gt;"&amp;Y144)=0,1,0))</f>
        <v/>
      </c>
      <c r="AA144">
        <f>IF(OR(B144="",D144=""),"",B144+ROW()/10000000)</f>
        <v/>
      </c>
      <c r="AB144">
        <f>IF(AA144="","",IF(COUNTIFS(Log!$D$6:$D$1505,D144,Log!$AA$6:$AA$1505,"&gt;"&amp;AA144)=0,1,0))</f>
        <v/>
      </c>
      <c r="AC144">
        <f>IF(S144="New best",AA144,"")</f>
        <v/>
      </c>
      <c r="AD144">
        <f>ROW()</f>
        <v/>
      </c>
    </row>
    <row r="145">
      <c r="A145" s="1" t="n"/>
      <c r="B145" s="21" t="n">
        <v>46248</v>
      </c>
      <c r="C145" s="22" t="inlineStr">
        <is>
          <t>Upper</t>
        </is>
      </c>
      <c r="D145" s="23" t="inlineStr">
        <is>
          <t>Triceps pushdown</t>
        </is>
      </c>
      <c r="E145" s="24" t="n">
        <v>40</v>
      </c>
      <c r="F145" s="24" t="n">
        <v>11</v>
      </c>
      <c r="G145" s="24" t="n">
        <v>40</v>
      </c>
      <c r="H145" s="24" t="n">
        <v>11</v>
      </c>
      <c r="I145" s="24" t="n"/>
      <c r="J145" s="24" t="n"/>
      <c r="K145" s="24" t="n"/>
      <c r="L145" s="24" t="n"/>
      <c r="M145" s="24" t="n"/>
      <c r="N145" s="24" t="n"/>
      <c r="O145" s="15">
        <f>IF(D145="","",COUNT(F145,H145,J145,L145,N145))</f>
        <v/>
      </c>
      <c r="P145" s="25">
        <f>IF(D145="","",N(E145)*N(F145)+N(G145)*N(H145)+N(I145)*N(J145)+N(K145)*N(L145)+N(M145)*N(N145))</f>
        <v/>
      </c>
      <c r="Q145" s="18">
        <f>IF(N(X145)=0,"",IF(IF(N(F145)=0,0,IF(N(E145)&gt;0,E145*(1+F145/30),F145))=X145,IF(N(E145)&gt;0,E145&amp;" x "&amp;F145,F145&amp;" reps"),IF(IF(N(H145)=0,0,IF(N(G145)&gt;0,G145*(1+H145/30),H145))=X145,IF(N(G145)&gt;0,G145&amp;" x "&amp;H145,H145&amp;" reps"),IF(IF(N(J145)=0,0,IF(N(I145)&gt;0,I145*(1+J145/30),J145))=X145,IF(N(I145)&gt;0,I145&amp;" x "&amp;J145,J145&amp;" reps"),IF(IF(N(L145)=0,0,IF(N(K145)&gt;0,K145*(1+L145/30),L145))=X145,IF(N(K145)&gt;0,K145&amp;" x "&amp;L145,L145&amp;" reps"),IF(IF(N(N145)=0,0,IF(N(M145)&gt;0,M145*(1+N145/30),N145))=X145,IF(N(M145)&gt;0,M145&amp;" x "&amp;N145,N145&amp;" reps"),""))))))</f>
        <v/>
      </c>
      <c r="R145" s="20">
        <f>IF(N(X145)=0,"",ROUND(X145,1))</f>
        <v/>
      </c>
      <c r="S145" s="18">
        <f>IF(N(X145)=0,"",IF(AND(COUNTIFS(Log!$D$6:$D$1505,D145,Log!$B$6:$B$1505,"&lt;"&amp;B145)&gt;0,COUNTIFS(Log!$D$6:$D$1505,D145,Log!$B$6:$B$1505,"&lt;"&amp;B145,Log!$X$6:$X$1505,"&gt;="&amp;X145)=0),"New best",""))</f>
        <v/>
      </c>
      <c r="T145" s="26" t="n"/>
      <c r="U145" s="1">
        <f>IF(D145="","",IFERROR(INDEX(Exercises!$C$6:$C$105,MATCH(D145,Exercises!$B$6:$B$105,0)),"Other"))</f>
        <v/>
      </c>
      <c r="V145">
        <f>IF(B145="","",IF(COUNTIF($B$6:B145,B145)=1,1,0))</f>
        <v/>
      </c>
      <c r="W145">
        <f>IF(B145="","",B145-WEEKDAY(B145,3))</f>
        <v/>
      </c>
      <c r="X145">
        <f>IF(D145="","",MAX(IF(N(F145)=0,0,IF(N(E145)&gt;0,E145*(1+F145/30),F145)),IF(N(H145)=0,0,IF(N(G145)&gt;0,G145*(1+H145/30),H145)),IF(N(J145)=0,0,IF(N(I145)&gt;0,I145*(1+J145/30),J145)),IF(N(L145)=0,0,IF(N(K145)&gt;0,K145*(1+L145/30),L145)),IF(N(N145)=0,0,IF(N(M145)&gt;0,M145*(1+N145/30),N145))))</f>
        <v/>
      </c>
      <c r="Y145">
        <f>IF(N(X145)=0,"",X145+ROW()/1000000000)</f>
        <v/>
      </c>
      <c r="Z145">
        <f>IF(Y145="","",IF(COUNTIFS(Log!$D$6:$D$1505,D145,Log!$Y$6:$Y$1505,"&gt;"&amp;Y145)=0,1,0))</f>
        <v/>
      </c>
      <c r="AA145">
        <f>IF(OR(B145="",D145=""),"",B145+ROW()/10000000)</f>
        <v/>
      </c>
      <c r="AB145">
        <f>IF(AA145="","",IF(COUNTIFS(Log!$D$6:$D$1505,D145,Log!$AA$6:$AA$1505,"&gt;"&amp;AA145)=0,1,0))</f>
        <v/>
      </c>
      <c r="AC145">
        <f>IF(S145="New best",AA145,"")</f>
        <v/>
      </c>
      <c r="AD145">
        <f>ROW()</f>
        <v/>
      </c>
    </row>
    <row r="146">
      <c r="A146" s="1" t="n"/>
      <c r="B146" s="21" t="n">
        <v>46249</v>
      </c>
      <c r="C146" s="22" t="inlineStr">
        <is>
          <t>Lower</t>
        </is>
      </c>
      <c r="D146" s="23" t="inlineStr">
        <is>
          <t>Squat</t>
        </is>
      </c>
      <c r="E146" s="24" t="n">
        <v>175</v>
      </c>
      <c r="F146" s="24" t="n">
        <v>8</v>
      </c>
      <c r="G146" s="24" t="n">
        <v>175</v>
      </c>
      <c r="H146" s="24" t="n">
        <v>8</v>
      </c>
      <c r="I146" s="24" t="n">
        <v>175</v>
      </c>
      <c r="J146" s="24" t="n">
        <v>8</v>
      </c>
      <c r="K146" s="24" t="n"/>
      <c r="L146" s="24" t="n"/>
      <c r="M146" s="24" t="n"/>
      <c r="N146" s="24" t="n"/>
      <c r="O146" s="15">
        <f>IF(D146="","",COUNT(F146,H146,J146,L146,N146))</f>
        <v/>
      </c>
      <c r="P146" s="25">
        <f>IF(D146="","",N(E146)*N(F146)+N(G146)*N(H146)+N(I146)*N(J146)+N(K146)*N(L146)+N(M146)*N(N146))</f>
        <v/>
      </c>
      <c r="Q146" s="18">
        <f>IF(N(X146)=0,"",IF(IF(N(F146)=0,0,IF(N(E146)&gt;0,E146*(1+F146/30),F146))=X146,IF(N(E146)&gt;0,E146&amp;" x "&amp;F146,F146&amp;" reps"),IF(IF(N(H146)=0,0,IF(N(G146)&gt;0,G146*(1+H146/30),H146))=X146,IF(N(G146)&gt;0,G146&amp;" x "&amp;H146,H146&amp;" reps"),IF(IF(N(J146)=0,0,IF(N(I146)&gt;0,I146*(1+J146/30),J146))=X146,IF(N(I146)&gt;0,I146&amp;" x "&amp;J146,J146&amp;" reps"),IF(IF(N(L146)=0,0,IF(N(K146)&gt;0,K146*(1+L146/30),L146))=X146,IF(N(K146)&gt;0,K146&amp;" x "&amp;L146,L146&amp;" reps"),IF(IF(N(N146)=0,0,IF(N(M146)&gt;0,M146*(1+N146/30),N146))=X146,IF(N(M146)&gt;0,M146&amp;" x "&amp;N146,N146&amp;" reps"),""))))))</f>
        <v/>
      </c>
      <c r="R146" s="20">
        <f>IF(N(X146)=0,"",ROUND(X146,1))</f>
        <v/>
      </c>
      <c r="S146" s="18">
        <f>IF(N(X146)=0,"",IF(AND(COUNTIFS(Log!$D$6:$D$1505,D146,Log!$B$6:$B$1505,"&lt;"&amp;B146)&gt;0,COUNTIFS(Log!$D$6:$D$1505,D146,Log!$B$6:$B$1505,"&lt;"&amp;B146,Log!$X$6:$X$1505,"&gt;="&amp;X146)=0),"New best",""))</f>
        <v/>
      </c>
      <c r="T146" s="26" t="n"/>
      <c r="U146" s="1">
        <f>IF(D146="","",IFERROR(INDEX(Exercises!$C$6:$C$105,MATCH(D146,Exercises!$B$6:$B$105,0)),"Other"))</f>
        <v/>
      </c>
      <c r="V146">
        <f>IF(B146="","",IF(COUNTIF($B$6:B146,B146)=1,1,0))</f>
        <v/>
      </c>
      <c r="W146">
        <f>IF(B146="","",B146-WEEKDAY(B146,3))</f>
        <v/>
      </c>
      <c r="X146">
        <f>IF(D146="","",MAX(IF(N(F146)=0,0,IF(N(E146)&gt;0,E146*(1+F146/30),F146)),IF(N(H146)=0,0,IF(N(G146)&gt;0,G146*(1+H146/30),H146)),IF(N(J146)=0,0,IF(N(I146)&gt;0,I146*(1+J146/30),J146)),IF(N(L146)=0,0,IF(N(K146)&gt;0,K146*(1+L146/30),L146)),IF(N(N146)=0,0,IF(N(M146)&gt;0,M146*(1+N146/30),N146))))</f>
        <v/>
      </c>
      <c r="Y146">
        <f>IF(N(X146)=0,"",X146+ROW()/1000000000)</f>
        <v/>
      </c>
      <c r="Z146">
        <f>IF(Y146="","",IF(COUNTIFS(Log!$D$6:$D$1505,D146,Log!$Y$6:$Y$1505,"&gt;"&amp;Y146)=0,1,0))</f>
        <v/>
      </c>
      <c r="AA146">
        <f>IF(OR(B146="",D146=""),"",B146+ROW()/10000000)</f>
        <v/>
      </c>
      <c r="AB146">
        <f>IF(AA146="","",IF(COUNTIFS(Log!$D$6:$D$1505,D146,Log!$AA$6:$AA$1505,"&gt;"&amp;AA146)=0,1,0))</f>
        <v/>
      </c>
      <c r="AC146">
        <f>IF(S146="New best",AA146,"")</f>
        <v/>
      </c>
      <c r="AD146">
        <f>ROW()</f>
        <v/>
      </c>
    </row>
    <row r="147">
      <c r="A147" s="1" t="n"/>
      <c r="B147" s="21" t="n">
        <v>46249</v>
      </c>
      <c r="C147" s="22" t="inlineStr">
        <is>
          <t>Lower</t>
        </is>
      </c>
      <c r="D147" s="23" t="inlineStr">
        <is>
          <t>Romanian deadlift</t>
        </is>
      </c>
      <c r="E147" s="24" t="n">
        <v>150</v>
      </c>
      <c r="F147" s="24" t="n">
        <v>10</v>
      </c>
      <c r="G147" s="24" t="n">
        <v>150</v>
      </c>
      <c r="H147" s="24" t="n">
        <v>9</v>
      </c>
      <c r="I147" s="24" t="n">
        <v>150</v>
      </c>
      <c r="J147" s="24" t="n">
        <v>8</v>
      </c>
      <c r="K147" s="24" t="n"/>
      <c r="L147" s="24" t="n"/>
      <c r="M147" s="24" t="n"/>
      <c r="N147" s="24" t="n"/>
      <c r="O147" s="15">
        <f>IF(D147="","",COUNT(F147,H147,J147,L147,N147))</f>
        <v/>
      </c>
      <c r="P147" s="25">
        <f>IF(D147="","",N(E147)*N(F147)+N(G147)*N(H147)+N(I147)*N(J147)+N(K147)*N(L147)+N(M147)*N(N147))</f>
        <v/>
      </c>
      <c r="Q147" s="18">
        <f>IF(N(X147)=0,"",IF(IF(N(F147)=0,0,IF(N(E147)&gt;0,E147*(1+F147/30),F147))=X147,IF(N(E147)&gt;0,E147&amp;" x "&amp;F147,F147&amp;" reps"),IF(IF(N(H147)=0,0,IF(N(G147)&gt;0,G147*(1+H147/30),H147))=X147,IF(N(G147)&gt;0,G147&amp;" x "&amp;H147,H147&amp;" reps"),IF(IF(N(J147)=0,0,IF(N(I147)&gt;0,I147*(1+J147/30),J147))=X147,IF(N(I147)&gt;0,I147&amp;" x "&amp;J147,J147&amp;" reps"),IF(IF(N(L147)=0,0,IF(N(K147)&gt;0,K147*(1+L147/30),L147))=X147,IF(N(K147)&gt;0,K147&amp;" x "&amp;L147,L147&amp;" reps"),IF(IF(N(N147)=0,0,IF(N(M147)&gt;0,M147*(1+N147/30),N147))=X147,IF(N(M147)&gt;0,M147&amp;" x "&amp;N147,N147&amp;" reps"),""))))))</f>
        <v/>
      </c>
      <c r="R147" s="20">
        <f>IF(N(X147)=0,"",ROUND(X147,1))</f>
        <v/>
      </c>
      <c r="S147" s="18">
        <f>IF(N(X147)=0,"",IF(AND(COUNTIFS(Log!$D$6:$D$1505,D147,Log!$B$6:$B$1505,"&lt;"&amp;B147)&gt;0,COUNTIFS(Log!$D$6:$D$1505,D147,Log!$B$6:$B$1505,"&lt;"&amp;B147,Log!$X$6:$X$1505,"&gt;="&amp;X147)=0),"New best",""))</f>
        <v/>
      </c>
      <c r="T147" s="26" t="n"/>
      <c r="U147" s="1">
        <f>IF(D147="","",IFERROR(INDEX(Exercises!$C$6:$C$105,MATCH(D147,Exercises!$B$6:$B$105,0)),"Other"))</f>
        <v/>
      </c>
      <c r="V147">
        <f>IF(B147="","",IF(COUNTIF($B$6:B147,B147)=1,1,0))</f>
        <v/>
      </c>
      <c r="W147">
        <f>IF(B147="","",B147-WEEKDAY(B147,3))</f>
        <v/>
      </c>
      <c r="X147">
        <f>IF(D147="","",MAX(IF(N(F147)=0,0,IF(N(E147)&gt;0,E147*(1+F147/30),F147)),IF(N(H147)=0,0,IF(N(G147)&gt;0,G147*(1+H147/30),H147)),IF(N(J147)=0,0,IF(N(I147)&gt;0,I147*(1+J147/30),J147)),IF(N(L147)=0,0,IF(N(K147)&gt;0,K147*(1+L147/30),L147)),IF(N(N147)=0,0,IF(N(M147)&gt;0,M147*(1+N147/30),N147))))</f>
        <v/>
      </c>
      <c r="Y147">
        <f>IF(N(X147)=0,"",X147+ROW()/1000000000)</f>
        <v/>
      </c>
      <c r="Z147">
        <f>IF(Y147="","",IF(COUNTIFS(Log!$D$6:$D$1505,D147,Log!$Y$6:$Y$1505,"&gt;"&amp;Y147)=0,1,0))</f>
        <v/>
      </c>
      <c r="AA147">
        <f>IF(OR(B147="",D147=""),"",B147+ROW()/10000000)</f>
        <v/>
      </c>
      <c r="AB147">
        <f>IF(AA147="","",IF(COUNTIFS(Log!$D$6:$D$1505,D147,Log!$AA$6:$AA$1505,"&gt;"&amp;AA147)=0,1,0))</f>
        <v/>
      </c>
      <c r="AC147">
        <f>IF(S147="New best",AA147,"")</f>
        <v/>
      </c>
      <c r="AD147">
        <f>ROW()</f>
        <v/>
      </c>
    </row>
    <row r="148">
      <c r="A148" s="1" t="n"/>
      <c r="B148" s="21" t="n">
        <v>46249</v>
      </c>
      <c r="C148" s="22" t="inlineStr">
        <is>
          <t>Lower</t>
        </is>
      </c>
      <c r="D148" s="23" t="inlineStr">
        <is>
          <t>Leg press</t>
        </is>
      </c>
      <c r="E148" s="24" t="n">
        <v>260</v>
      </c>
      <c r="F148" s="24" t="n">
        <v>15</v>
      </c>
      <c r="G148" s="24" t="n">
        <v>260</v>
      </c>
      <c r="H148" s="24" t="n">
        <v>14</v>
      </c>
      <c r="I148" s="24" t="n">
        <v>260</v>
      </c>
      <c r="J148" s="24" t="n">
        <v>12</v>
      </c>
      <c r="K148" s="24" t="n"/>
      <c r="L148" s="24" t="n"/>
      <c r="M148" s="24" t="n"/>
      <c r="N148" s="24" t="n"/>
      <c r="O148" s="15">
        <f>IF(D148="","",COUNT(F148,H148,J148,L148,N148))</f>
        <v/>
      </c>
      <c r="P148" s="25">
        <f>IF(D148="","",N(E148)*N(F148)+N(G148)*N(H148)+N(I148)*N(J148)+N(K148)*N(L148)+N(M148)*N(N148))</f>
        <v/>
      </c>
      <c r="Q148" s="18">
        <f>IF(N(X148)=0,"",IF(IF(N(F148)=0,0,IF(N(E148)&gt;0,E148*(1+F148/30),F148))=X148,IF(N(E148)&gt;0,E148&amp;" x "&amp;F148,F148&amp;" reps"),IF(IF(N(H148)=0,0,IF(N(G148)&gt;0,G148*(1+H148/30),H148))=X148,IF(N(G148)&gt;0,G148&amp;" x "&amp;H148,H148&amp;" reps"),IF(IF(N(J148)=0,0,IF(N(I148)&gt;0,I148*(1+J148/30),J148))=X148,IF(N(I148)&gt;0,I148&amp;" x "&amp;J148,J148&amp;" reps"),IF(IF(N(L148)=0,0,IF(N(K148)&gt;0,K148*(1+L148/30),L148))=X148,IF(N(K148)&gt;0,K148&amp;" x "&amp;L148,L148&amp;" reps"),IF(IF(N(N148)=0,0,IF(N(M148)&gt;0,M148*(1+N148/30),N148))=X148,IF(N(M148)&gt;0,M148&amp;" x "&amp;N148,N148&amp;" reps"),""))))))</f>
        <v/>
      </c>
      <c r="R148" s="20">
        <f>IF(N(X148)=0,"",ROUND(X148,1))</f>
        <v/>
      </c>
      <c r="S148" s="18">
        <f>IF(N(X148)=0,"",IF(AND(COUNTIFS(Log!$D$6:$D$1505,D148,Log!$B$6:$B$1505,"&lt;"&amp;B148)&gt;0,COUNTIFS(Log!$D$6:$D$1505,D148,Log!$B$6:$B$1505,"&lt;"&amp;B148,Log!$X$6:$X$1505,"&gt;="&amp;X148)=0),"New best",""))</f>
        <v/>
      </c>
      <c r="T148" s="26" t="n"/>
      <c r="U148" s="1">
        <f>IF(D148="","",IFERROR(INDEX(Exercises!$C$6:$C$105,MATCH(D148,Exercises!$B$6:$B$105,0)),"Other"))</f>
        <v/>
      </c>
      <c r="V148">
        <f>IF(B148="","",IF(COUNTIF($B$6:B148,B148)=1,1,0))</f>
        <v/>
      </c>
      <c r="W148">
        <f>IF(B148="","",B148-WEEKDAY(B148,3))</f>
        <v/>
      </c>
      <c r="X148">
        <f>IF(D148="","",MAX(IF(N(F148)=0,0,IF(N(E148)&gt;0,E148*(1+F148/30),F148)),IF(N(H148)=0,0,IF(N(G148)&gt;0,G148*(1+H148/30),H148)),IF(N(J148)=0,0,IF(N(I148)&gt;0,I148*(1+J148/30),J148)),IF(N(L148)=0,0,IF(N(K148)&gt;0,K148*(1+L148/30),L148)),IF(N(N148)=0,0,IF(N(M148)&gt;0,M148*(1+N148/30),N148))))</f>
        <v/>
      </c>
      <c r="Y148">
        <f>IF(N(X148)=0,"",X148+ROW()/1000000000)</f>
        <v/>
      </c>
      <c r="Z148">
        <f>IF(Y148="","",IF(COUNTIFS(Log!$D$6:$D$1505,D148,Log!$Y$6:$Y$1505,"&gt;"&amp;Y148)=0,1,0))</f>
        <v/>
      </c>
      <c r="AA148">
        <f>IF(OR(B148="",D148=""),"",B148+ROW()/10000000)</f>
        <v/>
      </c>
      <c r="AB148">
        <f>IF(AA148="","",IF(COUNTIFS(Log!$D$6:$D$1505,D148,Log!$AA$6:$AA$1505,"&gt;"&amp;AA148)=0,1,0))</f>
        <v/>
      </c>
      <c r="AC148">
        <f>IF(S148="New best",AA148,"")</f>
        <v/>
      </c>
      <c r="AD148">
        <f>ROW()</f>
        <v/>
      </c>
    </row>
    <row r="149">
      <c r="A149" s="1" t="n"/>
      <c r="B149" s="21" t="n">
        <v>46249</v>
      </c>
      <c r="C149" s="22" t="inlineStr">
        <is>
          <t>Lower</t>
        </is>
      </c>
      <c r="D149" s="23" t="inlineStr">
        <is>
          <t>Calf raise</t>
        </is>
      </c>
      <c r="E149" s="24" t="n">
        <v>90</v>
      </c>
      <c r="F149" s="24" t="n">
        <v>15</v>
      </c>
      <c r="G149" s="24" t="n">
        <v>90</v>
      </c>
      <c r="H149" s="24" t="n">
        <v>15</v>
      </c>
      <c r="I149" s="24" t="n">
        <v>90</v>
      </c>
      <c r="J149" s="24" t="n">
        <v>15</v>
      </c>
      <c r="K149" s="24" t="n"/>
      <c r="L149" s="24" t="n"/>
      <c r="M149" s="24" t="n"/>
      <c r="N149" s="24" t="n"/>
      <c r="O149" s="15">
        <f>IF(D149="","",COUNT(F149,H149,J149,L149,N149))</f>
        <v/>
      </c>
      <c r="P149" s="25">
        <f>IF(D149="","",N(E149)*N(F149)+N(G149)*N(H149)+N(I149)*N(J149)+N(K149)*N(L149)+N(M149)*N(N149))</f>
        <v/>
      </c>
      <c r="Q149" s="18">
        <f>IF(N(X149)=0,"",IF(IF(N(F149)=0,0,IF(N(E149)&gt;0,E149*(1+F149/30),F149))=X149,IF(N(E149)&gt;0,E149&amp;" x "&amp;F149,F149&amp;" reps"),IF(IF(N(H149)=0,0,IF(N(G149)&gt;0,G149*(1+H149/30),H149))=X149,IF(N(G149)&gt;0,G149&amp;" x "&amp;H149,H149&amp;" reps"),IF(IF(N(J149)=0,0,IF(N(I149)&gt;0,I149*(1+J149/30),J149))=X149,IF(N(I149)&gt;0,I149&amp;" x "&amp;J149,J149&amp;" reps"),IF(IF(N(L149)=0,0,IF(N(K149)&gt;0,K149*(1+L149/30),L149))=X149,IF(N(K149)&gt;0,K149&amp;" x "&amp;L149,L149&amp;" reps"),IF(IF(N(N149)=0,0,IF(N(M149)&gt;0,M149*(1+N149/30),N149))=X149,IF(N(M149)&gt;0,M149&amp;" x "&amp;N149,N149&amp;" reps"),""))))))</f>
        <v/>
      </c>
      <c r="R149" s="20">
        <f>IF(N(X149)=0,"",ROUND(X149,1))</f>
        <v/>
      </c>
      <c r="S149" s="18">
        <f>IF(N(X149)=0,"",IF(AND(COUNTIFS(Log!$D$6:$D$1505,D149,Log!$B$6:$B$1505,"&lt;"&amp;B149)&gt;0,COUNTIFS(Log!$D$6:$D$1505,D149,Log!$B$6:$B$1505,"&lt;"&amp;B149,Log!$X$6:$X$1505,"&gt;="&amp;X149)=0),"New best",""))</f>
        <v/>
      </c>
      <c r="T149" s="26" t="n"/>
      <c r="U149" s="1">
        <f>IF(D149="","",IFERROR(INDEX(Exercises!$C$6:$C$105,MATCH(D149,Exercises!$B$6:$B$105,0)),"Other"))</f>
        <v/>
      </c>
      <c r="V149">
        <f>IF(B149="","",IF(COUNTIF($B$6:B149,B149)=1,1,0))</f>
        <v/>
      </c>
      <c r="W149">
        <f>IF(B149="","",B149-WEEKDAY(B149,3))</f>
        <v/>
      </c>
      <c r="X149">
        <f>IF(D149="","",MAX(IF(N(F149)=0,0,IF(N(E149)&gt;0,E149*(1+F149/30),F149)),IF(N(H149)=0,0,IF(N(G149)&gt;0,G149*(1+H149/30),H149)),IF(N(J149)=0,0,IF(N(I149)&gt;0,I149*(1+J149/30),J149)),IF(N(L149)=0,0,IF(N(K149)&gt;0,K149*(1+L149/30),L149)),IF(N(N149)=0,0,IF(N(M149)&gt;0,M149*(1+N149/30),N149))))</f>
        <v/>
      </c>
      <c r="Y149">
        <f>IF(N(X149)=0,"",X149+ROW()/1000000000)</f>
        <v/>
      </c>
      <c r="Z149">
        <f>IF(Y149="","",IF(COUNTIFS(Log!$D$6:$D$1505,D149,Log!$Y$6:$Y$1505,"&gt;"&amp;Y149)=0,1,0))</f>
        <v/>
      </c>
      <c r="AA149">
        <f>IF(OR(B149="",D149=""),"",B149+ROW()/10000000)</f>
        <v/>
      </c>
      <c r="AB149">
        <f>IF(AA149="","",IF(COUNTIFS(Log!$D$6:$D$1505,D149,Log!$AA$6:$AA$1505,"&gt;"&amp;AA149)=0,1,0))</f>
        <v/>
      </c>
      <c r="AC149">
        <f>IF(S149="New best",AA149,"")</f>
        <v/>
      </c>
      <c r="AD149">
        <f>ROW()</f>
        <v/>
      </c>
    </row>
    <row r="150">
      <c r="A150" s="1" t="n"/>
      <c r="B150" s="21" t="n">
        <v>46251</v>
      </c>
      <c r="C150" s="22" t="inlineStr">
        <is>
          <t>Push</t>
        </is>
      </c>
      <c r="D150" s="23" t="inlineStr">
        <is>
          <t>Bench press</t>
        </is>
      </c>
      <c r="E150" s="24" t="n">
        <v>145</v>
      </c>
      <c r="F150" s="24" t="n">
        <v>8</v>
      </c>
      <c r="G150" s="24" t="n">
        <v>145</v>
      </c>
      <c r="H150" s="24" t="n">
        <v>7</v>
      </c>
      <c r="I150" s="24" t="n">
        <v>145</v>
      </c>
      <c r="J150" s="24" t="n">
        <v>6</v>
      </c>
      <c r="K150" s="24" t="n">
        <v>145</v>
      </c>
      <c r="L150" s="24" t="n">
        <v>6</v>
      </c>
      <c r="M150" s="24" t="n"/>
      <c r="N150" s="24" t="n"/>
      <c r="O150" s="15">
        <f>IF(D150="","",COUNT(F150,H150,J150,L150,N150))</f>
        <v/>
      </c>
      <c r="P150" s="25">
        <f>IF(D150="","",N(E150)*N(F150)+N(G150)*N(H150)+N(I150)*N(J150)+N(K150)*N(L150)+N(M150)*N(N150))</f>
        <v/>
      </c>
      <c r="Q150" s="18">
        <f>IF(N(X150)=0,"",IF(IF(N(F150)=0,0,IF(N(E150)&gt;0,E150*(1+F150/30),F150))=X150,IF(N(E150)&gt;0,E150&amp;" x "&amp;F150,F150&amp;" reps"),IF(IF(N(H150)=0,0,IF(N(G150)&gt;0,G150*(1+H150/30),H150))=X150,IF(N(G150)&gt;0,G150&amp;" x "&amp;H150,H150&amp;" reps"),IF(IF(N(J150)=0,0,IF(N(I150)&gt;0,I150*(1+J150/30),J150))=X150,IF(N(I150)&gt;0,I150&amp;" x "&amp;J150,J150&amp;" reps"),IF(IF(N(L150)=0,0,IF(N(K150)&gt;0,K150*(1+L150/30),L150))=X150,IF(N(K150)&gt;0,K150&amp;" x "&amp;L150,L150&amp;" reps"),IF(IF(N(N150)=0,0,IF(N(M150)&gt;0,M150*(1+N150/30),N150))=X150,IF(N(M150)&gt;0,M150&amp;" x "&amp;N150,N150&amp;" reps"),""))))))</f>
        <v/>
      </c>
      <c r="R150" s="20">
        <f>IF(N(X150)=0,"",ROUND(X150,1))</f>
        <v/>
      </c>
      <c r="S150" s="18">
        <f>IF(N(X150)=0,"",IF(AND(COUNTIFS(Log!$D$6:$D$1505,D150,Log!$B$6:$B$1505,"&lt;"&amp;B150)&gt;0,COUNTIFS(Log!$D$6:$D$1505,D150,Log!$B$6:$B$1505,"&lt;"&amp;B150,Log!$X$6:$X$1505,"&gt;="&amp;X150)=0),"New best",""))</f>
        <v/>
      </c>
      <c r="T150" s="26" t="n"/>
      <c r="U150" s="1">
        <f>IF(D150="","",IFERROR(INDEX(Exercises!$C$6:$C$105,MATCH(D150,Exercises!$B$6:$B$105,0)),"Other"))</f>
        <v/>
      </c>
      <c r="V150">
        <f>IF(B150="","",IF(COUNTIF($B$6:B150,B150)=1,1,0))</f>
        <v/>
      </c>
      <c r="W150">
        <f>IF(B150="","",B150-WEEKDAY(B150,3))</f>
        <v/>
      </c>
      <c r="X150">
        <f>IF(D150="","",MAX(IF(N(F150)=0,0,IF(N(E150)&gt;0,E150*(1+F150/30),F150)),IF(N(H150)=0,0,IF(N(G150)&gt;0,G150*(1+H150/30),H150)),IF(N(J150)=0,0,IF(N(I150)&gt;0,I150*(1+J150/30),J150)),IF(N(L150)=0,0,IF(N(K150)&gt;0,K150*(1+L150/30),L150)),IF(N(N150)=0,0,IF(N(M150)&gt;0,M150*(1+N150/30),N150))))</f>
        <v/>
      </c>
      <c r="Y150">
        <f>IF(N(X150)=0,"",X150+ROW()/1000000000)</f>
        <v/>
      </c>
      <c r="Z150">
        <f>IF(Y150="","",IF(COUNTIFS(Log!$D$6:$D$1505,D150,Log!$Y$6:$Y$1505,"&gt;"&amp;Y150)=0,1,0))</f>
        <v/>
      </c>
      <c r="AA150">
        <f>IF(OR(B150="",D150=""),"",B150+ROW()/10000000)</f>
        <v/>
      </c>
      <c r="AB150">
        <f>IF(AA150="","",IF(COUNTIFS(Log!$D$6:$D$1505,D150,Log!$AA$6:$AA$1505,"&gt;"&amp;AA150)=0,1,0))</f>
        <v/>
      </c>
      <c r="AC150">
        <f>IF(S150="New best",AA150,"")</f>
        <v/>
      </c>
      <c r="AD150">
        <f>ROW()</f>
        <v/>
      </c>
    </row>
    <row r="151">
      <c r="A151" s="1" t="n"/>
      <c r="B151" s="21" t="n">
        <v>46251</v>
      </c>
      <c r="C151" s="22" t="inlineStr">
        <is>
          <t>Push</t>
        </is>
      </c>
      <c r="D151" s="23" t="inlineStr">
        <is>
          <t>Overhead press</t>
        </is>
      </c>
      <c r="E151" s="24" t="n">
        <v>95</v>
      </c>
      <c r="F151" s="24" t="n">
        <v>9</v>
      </c>
      <c r="G151" s="24" t="n">
        <v>95</v>
      </c>
      <c r="H151" s="24" t="n">
        <v>9</v>
      </c>
      <c r="I151" s="24" t="n">
        <v>95</v>
      </c>
      <c r="J151" s="24" t="n">
        <v>8</v>
      </c>
      <c r="K151" s="24" t="n"/>
      <c r="L151" s="24" t="n"/>
      <c r="M151" s="24" t="n"/>
      <c r="N151" s="24" t="n"/>
      <c r="O151" s="15">
        <f>IF(D151="","",COUNT(F151,H151,J151,L151,N151))</f>
        <v/>
      </c>
      <c r="P151" s="25">
        <f>IF(D151="","",N(E151)*N(F151)+N(G151)*N(H151)+N(I151)*N(J151)+N(K151)*N(L151)+N(M151)*N(N151))</f>
        <v/>
      </c>
      <c r="Q151" s="18">
        <f>IF(N(X151)=0,"",IF(IF(N(F151)=0,0,IF(N(E151)&gt;0,E151*(1+F151/30),F151))=X151,IF(N(E151)&gt;0,E151&amp;" x "&amp;F151,F151&amp;" reps"),IF(IF(N(H151)=0,0,IF(N(G151)&gt;0,G151*(1+H151/30),H151))=X151,IF(N(G151)&gt;0,G151&amp;" x "&amp;H151,H151&amp;" reps"),IF(IF(N(J151)=0,0,IF(N(I151)&gt;0,I151*(1+J151/30),J151))=X151,IF(N(I151)&gt;0,I151&amp;" x "&amp;J151,J151&amp;" reps"),IF(IF(N(L151)=0,0,IF(N(K151)&gt;0,K151*(1+L151/30),L151))=X151,IF(N(K151)&gt;0,K151&amp;" x "&amp;L151,L151&amp;" reps"),IF(IF(N(N151)=0,0,IF(N(M151)&gt;0,M151*(1+N151/30),N151))=X151,IF(N(M151)&gt;0,M151&amp;" x "&amp;N151,N151&amp;" reps"),""))))))</f>
        <v/>
      </c>
      <c r="R151" s="20">
        <f>IF(N(X151)=0,"",ROUND(X151,1))</f>
        <v/>
      </c>
      <c r="S151" s="18">
        <f>IF(N(X151)=0,"",IF(AND(COUNTIFS(Log!$D$6:$D$1505,D151,Log!$B$6:$B$1505,"&lt;"&amp;B151)&gt;0,COUNTIFS(Log!$D$6:$D$1505,D151,Log!$B$6:$B$1505,"&lt;"&amp;B151,Log!$X$6:$X$1505,"&gt;="&amp;X151)=0),"New best",""))</f>
        <v/>
      </c>
      <c r="T151" s="26" t="inlineStr">
        <is>
          <t>Easy, go up next time</t>
        </is>
      </c>
      <c r="U151" s="1">
        <f>IF(D151="","",IFERROR(INDEX(Exercises!$C$6:$C$105,MATCH(D151,Exercises!$B$6:$B$105,0)),"Other"))</f>
        <v/>
      </c>
      <c r="V151">
        <f>IF(B151="","",IF(COUNTIF($B$6:B151,B151)=1,1,0))</f>
        <v/>
      </c>
      <c r="W151">
        <f>IF(B151="","",B151-WEEKDAY(B151,3))</f>
        <v/>
      </c>
      <c r="X151">
        <f>IF(D151="","",MAX(IF(N(F151)=0,0,IF(N(E151)&gt;0,E151*(1+F151/30),F151)),IF(N(H151)=0,0,IF(N(G151)&gt;0,G151*(1+H151/30),H151)),IF(N(J151)=0,0,IF(N(I151)&gt;0,I151*(1+J151/30),J151)),IF(N(L151)=0,0,IF(N(K151)&gt;0,K151*(1+L151/30),L151)),IF(N(N151)=0,0,IF(N(M151)&gt;0,M151*(1+N151/30),N151))))</f>
        <v/>
      </c>
      <c r="Y151">
        <f>IF(N(X151)=0,"",X151+ROW()/1000000000)</f>
        <v/>
      </c>
      <c r="Z151">
        <f>IF(Y151="","",IF(COUNTIFS(Log!$D$6:$D$1505,D151,Log!$Y$6:$Y$1505,"&gt;"&amp;Y151)=0,1,0))</f>
        <v/>
      </c>
      <c r="AA151">
        <f>IF(OR(B151="",D151=""),"",B151+ROW()/10000000)</f>
        <v/>
      </c>
      <c r="AB151">
        <f>IF(AA151="","",IF(COUNTIFS(Log!$D$6:$D$1505,D151,Log!$AA$6:$AA$1505,"&gt;"&amp;AA151)=0,1,0))</f>
        <v/>
      </c>
      <c r="AC151">
        <f>IF(S151="New best",AA151,"")</f>
        <v/>
      </c>
      <c r="AD151">
        <f>ROW()</f>
        <v/>
      </c>
    </row>
    <row r="152">
      <c r="A152" s="1" t="n"/>
      <c r="B152" s="21" t="n">
        <v>46251</v>
      </c>
      <c r="C152" s="22" t="inlineStr">
        <is>
          <t>Push</t>
        </is>
      </c>
      <c r="D152" s="23" t="inlineStr">
        <is>
          <t>Incline dumbbell press</t>
        </is>
      </c>
      <c r="E152" s="24" t="n">
        <v>55</v>
      </c>
      <c r="F152" s="24" t="n">
        <v>12</v>
      </c>
      <c r="G152" s="24" t="n">
        <v>55</v>
      </c>
      <c r="H152" s="24" t="n">
        <v>11</v>
      </c>
      <c r="I152" s="24" t="n">
        <v>55</v>
      </c>
      <c r="J152" s="24" t="n">
        <v>10</v>
      </c>
      <c r="K152" s="24" t="n"/>
      <c r="L152" s="24" t="n"/>
      <c r="M152" s="24" t="n"/>
      <c r="N152" s="24" t="n"/>
      <c r="O152" s="15">
        <f>IF(D152="","",COUNT(F152,H152,J152,L152,N152))</f>
        <v/>
      </c>
      <c r="P152" s="25">
        <f>IF(D152="","",N(E152)*N(F152)+N(G152)*N(H152)+N(I152)*N(J152)+N(K152)*N(L152)+N(M152)*N(N152))</f>
        <v/>
      </c>
      <c r="Q152" s="18">
        <f>IF(N(X152)=0,"",IF(IF(N(F152)=0,0,IF(N(E152)&gt;0,E152*(1+F152/30),F152))=X152,IF(N(E152)&gt;0,E152&amp;" x "&amp;F152,F152&amp;" reps"),IF(IF(N(H152)=0,0,IF(N(G152)&gt;0,G152*(1+H152/30),H152))=X152,IF(N(G152)&gt;0,G152&amp;" x "&amp;H152,H152&amp;" reps"),IF(IF(N(J152)=0,0,IF(N(I152)&gt;0,I152*(1+J152/30),J152))=X152,IF(N(I152)&gt;0,I152&amp;" x "&amp;J152,J152&amp;" reps"),IF(IF(N(L152)=0,0,IF(N(K152)&gt;0,K152*(1+L152/30),L152))=X152,IF(N(K152)&gt;0,K152&amp;" x "&amp;L152,L152&amp;" reps"),IF(IF(N(N152)=0,0,IF(N(M152)&gt;0,M152*(1+N152/30),N152))=X152,IF(N(M152)&gt;0,M152&amp;" x "&amp;N152,N152&amp;" reps"),""))))))</f>
        <v/>
      </c>
      <c r="R152" s="20">
        <f>IF(N(X152)=0,"",ROUND(X152,1))</f>
        <v/>
      </c>
      <c r="S152" s="18">
        <f>IF(N(X152)=0,"",IF(AND(COUNTIFS(Log!$D$6:$D$1505,D152,Log!$B$6:$B$1505,"&lt;"&amp;B152)&gt;0,COUNTIFS(Log!$D$6:$D$1505,D152,Log!$B$6:$B$1505,"&lt;"&amp;B152,Log!$X$6:$X$1505,"&gt;="&amp;X152)=0),"New best",""))</f>
        <v/>
      </c>
      <c r="T152" s="26" t="n"/>
      <c r="U152" s="1">
        <f>IF(D152="","",IFERROR(INDEX(Exercises!$C$6:$C$105,MATCH(D152,Exercises!$B$6:$B$105,0)),"Other"))</f>
        <v/>
      </c>
      <c r="V152">
        <f>IF(B152="","",IF(COUNTIF($B$6:B152,B152)=1,1,0))</f>
        <v/>
      </c>
      <c r="W152">
        <f>IF(B152="","",B152-WEEKDAY(B152,3))</f>
        <v/>
      </c>
      <c r="X152">
        <f>IF(D152="","",MAX(IF(N(F152)=0,0,IF(N(E152)&gt;0,E152*(1+F152/30),F152)),IF(N(H152)=0,0,IF(N(G152)&gt;0,G152*(1+H152/30),H152)),IF(N(J152)=0,0,IF(N(I152)&gt;0,I152*(1+J152/30),J152)),IF(N(L152)=0,0,IF(N(K152)&gt;0,K152*(1+L152/30),L152)),IF(N(N152)=0,0,IF(N(M152)&gt;0,M152*(1+N152/30),N152))))</f>
        <v/>
      </c>
      <c r="Y152">
        <f>IF(N(X152)=0,"",X152+ROW()/1000000000)</f>
        <v/>
      </c>
      <c r="Z152">
        <f>IF(Y152="","",IF(COUNTIFS(Log!$D$6:$D$1505,D152,Log!$Y$6:$Y$1505,"&gt;"&amp;Y152)=0,1,0))</f>
        <v/>
      </c>
      <c r="AA152">
        <f>IF(OR(B152="",D152=""),"",B152+ROW()/10000000)</f>
        <v/>
      </c>
      <c r="AB152">
        <f>IF(AA152="","",IF(COUNTIFS(Log!$D$6:$D$1505,D152,Log!$AA$6:$AA$1505,"&gt;"&amp;AA152)=0,1,0))</f>
        <v/>
      </c>
      <c r="AC152">
        <f>IF(S152="New best",AA152,"")</f>
        <v/>
      </c>
      <c r="AD152">
        <f>ROW()</f>
        <v/>
      </c>
    </row>
    <row r="153">
      <c r="A153" s="1" t="n"/>
      <c r="B153" s="21" t="n">
        <v>46251</v>
      </c>
      <c r="C153" s="22" t="inlineStr">
        <is>
          <t>Push</t>
        </is>
      </c>
      <c r="D153" s="23" t="inlineStr">
        <is>
          <t>Lateral raise</t>
        </is>
      </c>
      <c r="E153" s="24" t="n">
        <v>20</v>
      </c>
      <c r="F153" s="24" t="n">
        <v>15</v>
      </c>
      <c r="G153" s="24" t="n">
        <v>20</v>
      </c>
      <c r="H153" s="24" t="n">
        <v>13</v>
      </c>
      <c r="I153" s="24" t="n">
        <v>20</v>
      </c>
      <c r="J153" s="24" t="n">
        <v>12</v>
      </c>
      <c r="K153" s="24" t="n"/>
      <c r="L153" s="24" t="n"/>
      <c r="M153" s="24" t="n"/>
      <c r="N153" s="24" t="n"/>
      <c r="O153" s="15">
        <f>IF(D153="","",COUNT(F153,H153,J153,L153,N153))</f>
        <v/>
      </c>
      <c r="P153" s="25">
        <f>IF(D153="","",N(E153)*N(F153)+N(G153)*N(H153)+N(I153)*N(J153)+N(K153)*N(L153)+N(M153)*N(N153))</f>
        <v/>
      </c>
      <c r="Q153" s="18">
        <f>IF(N(X153)=0,"",IF(IF(N(F153)=0,0,IF(N(E153)&gt;0,E153*(1+F153/30),F153))=X153,IF(N(E153)&gt;0,E153&amp;" x "&amp;F153,F153&amp;" reps"),IF(IF(N(H153)=0,0,IF(N(G153)&gt;0,G153*(1+H153/30),H153))=X153,IF(N(G153)&gt;0,G153&amp;" x "&amp;H153,H153&amp;" reps"),IF(IF(N(J153)=0,0,IF(N(I153)&gt;0,I153*(1+J153/30),J153))=X153,IF(N(I153)&gt;0,I153&amp;" x "&amp;J153,J153&amp;" reps"),IF(IF(N(L153)=0,0,IF(N(K153)&gt;0,K153*(1+L153/30),L153))=X153,IF(N(K153)&gt;0,K153&amp;" x "&amp;L153,L153&amp;" reps"),IF(IF(N(N153)=0,0,IF(N(M153)&gt;0,M153*(1+N153/30),N153))=X153,IF(N(M153)&gt;0,M153&amp;" x "&amp;N153,N153&amp;" reps"),""))))))</f>
        <v/>
      </c>
      <c r="R153" s="20">
        <f>IF(N(X153)=0,"",ROUND(X153,1))</f>
        <v/>
      </c>
      <c r="S153" s="18">
        <f>IF(N(X153)=0,"",IF(AND(COUNTIFS(Log!$D$6:$D$1505,D153,Log!$B$6:$B$1505,"&lt;"&amp;B153)&gt;0,COUNTIFS(Log!$D$6:$D$1505,D153,Log!$B$6:$B$1505,"&lt;"&amp;B153,Log!$X$6:$X$1505,"&gt;="&amp;X153)=0),"New best",""))</f>
        <v/>
      </c>
      <c r="T153" s="26" t="n"/>
      <c r="U153" s="1">
        <f>IF(D153="","",IFERROR(INDEX(Exercises!$C$6:$C$105,MATCH(D153,Exercises!$B$6:$B$105,0)),"Other"))</f>
        <v/>
      </c>
      <c r="V153">
        <f>IF(B153="","",IF(COUNTIF($B$6:B153,B153)=1,1,0))</f>
        <v/>
      </c>
      <c r="W153">
        <f>IF(B153="","",B153-WEEKDAY(B153,3))</f>
        <v/>
      </c>
      <c r="X153">
        <f>IF(D153="","",MAX(IF(N(F153)=0,0,IF(N(E153)&gt;0,E153*(1+F153/30),F153)),IF(N(H153)=0,0,IF(N(G153)&gt;0,G153*(1+H153/30),H153)),IF(N(J153)=0,0,IF(N(I153)&gt;0,I153*(1+J153/30),J153)),IF(N(L153)=0,0,IF(N(K153)&gt;0,K153*(1+L153/30),L153)),IF(N(N153)=0,0,IF(N(M153)&gt;0,M153*(1+N153/30),N153))))</f>
        <v/>
      </c>
      <c r="Y153">
        <f>IF(N(X153)=0,"",X153+ROW()/1000000000)</f>
        <v/>
      </c>
      <c r="Z153">
        <f>IF(Y153="","",IF(COUNTIFS(Log!$D$6:$D$1505,D153,Log!$Y$6:$Y$1505,"&gt;"&amp;Y153)=0,1,0))</f>
        <v/>
      </c>
      <c r="AA153">
        <f>IF(OR(B153="",D153=""),"",B153+ROW()/10000000)</f>
        <v/>
      </c>
      <c r="AB153">
        <f>IF(AA153="","",IF(COUNTIFS(Log!$D$6:$D$1505,D153,Log!$AA$6:$AA$1505,"&gt;"&amp;AA153)=0,1,0))</f>
        <v/>
      </c>
      <c r="AC153">
        <f>IF(S153="New best",AA153,"")</f>
        <v/>
      </c>
      <c r="AD153">
        <f>ROW()</f>
        <v/>
      </c>
    </row>
    <row r="154">
      <c r="A154" s="1" t="n"/>
      <c r="B154" s="21" t="n">
        <v>46251</v>
      </c>
      <c r="C154" s="22" t="inlineStr">
        <is>
          <t>Push</t>
        </is>
      </c>
      <c r="D154" s="23" t="inlineStr">
        <is>
          <t>Triceps pushdown</t>
        </is>
      </c>
      <c r="E154" s="24" t="n">
        <v>50</v>
      </c>
      <c r="F154" s="24" t="n">
        <v>12</v>
      </c>
      <c r="G154" s="24" t="n">
        <v>50</v>
      </c>
      <c r="H154" s="24" t="n">
        <v>11</v>
      </c>
      <c r="I154" s="24" t="n">
        <v>50</v>
      </c>
      <c r="J154" s="24" t="n">
        <v>10</v>
      </c>
      <c r="K154" s="24" t="n"/>
      <c r="L154" s="24" t="n"/>
      <c r="M154" s="24" t="n"/>
      <c r="N154" s="24" t="n"/>
      <c r="O154" s="15">
        <f>IF(D154="","",COUNT(F154,H154,J154,L154,N154))</f>
        <v/>
      </c>
      <c r="P154" s="25">
        <f>IF(D154="","",N(E154)*N(F154)+N(G154)*N(H154)+N(I154)*N(J154)+N(K154)*N(L154)+N(M154)*N(N154))</f>
        <v/>
      </c>
      <c r="Q154" s="18">
        <f>IF(N(X154)=0,"",IF(IF(N(F154)=0,0,IF(N(E154)&gt;0,E154*(1+F154/30),F154))=X154,IF(N(E154)&gt;0,E154&amp;" x "&amp;F154,F154&amp;" reps"),IF(IF(N(H154)=0,0,IF(N(G154)&gt;0,G154*(1+H154/30),H154))=X154,IF(N(G154)&gt;0,G154&amp;" x "&amp;H154,H154&amp;" reps"),IF(IF(N(J154)=0,0,IF(N(I154)&gt;0,I154*(1+J154/30),J154))=X154,IF(N(I154)&gt;0,I154&amp;" x "&amp;J154,J154&amp;" reps"),IF(IF(N(L154)=0,0,IF(N(K154)&gt;0,K154*(1+L154/30),L154))=X154,IF(N(K154)&gt;0,K154&amp;" x "&amp;L154,L154&amp;" reps"),IF(IF(N(N154)=0,0,IF(N(M154)&gt;0,M154*(1+N154/30),N154))=X154,IF(N(M154)&gt;0,M154&amp;" x "&amp;N154,N154&amp;" reps"),""))))))</f>
        <v/>
      </c>
      <c r="R154" s="20">
        <f>IF(N(X154)=0,"",ROUND(X154,1))</f>
        <v/>
      </c>
      <c r="S154" s="18">
        <f>IF(N(X154)=0,"",IF(AND(COUNTIFS(Log!$D$6:$D$1505,D154,Log!$B$6:$B$1505,"&lt;"&amp;B154)&gt;0,COUNTIFS(Log!$D$6:$D$1505,D154,Log!$B$6:$B$1505,"&lt;"&amp;B154,Log!$X$6:$X$1505,"&gt;="&amp;X154)=0),"New best",""))</f>
        <v/>
      </c>
      <c r="T154" s="26" t="n"/>
      <c r="U154" s="1">
        <f>IF(D154="","",IFERROR(INDEX(Exercises!$C$6:$C$105,MATCH(D154,Exercises!$B$6:$B$105,0)),"Other"))</f>
        <v/>
      </c>
      <c r="V154">
        <f>IF(B154="","",IF(COUNTIF($B$6:B154,B154)=1,1,0))</f>
        <v/>
      </c>
      <c r="W154">
        <f>IF(B154="","",B154-WEEKDAY(B154,3))</f>
        <v/>
      </c>
      <c r="X154">
        <f>IF(D154="","",MAX(IF(N(F154)=0,0,IF(N(E154)&gt;0,E154*(1+F154/30),F154)),IF(N(H154)=0,0,IF(N(G154)&gt;0,G154*(1+H154/30),H154)),IF(N(J154)=0,0,IF(N(I154)&gt;0,I154*(1+J154/30),J154)),IF(N(L154)=0,0,IF(N(K154)&gt;0,K154*(1+L154/30),L154)),IF(N(N154)=0,0,IF(N(M154)&gt;0,M154*(1+N154/30),N154))))</f>
        <v/>
      </c>
      <c r="Y154">
        <f>IF(N(X154)=0,"",X154+ROW()/1000000000)</f>
        <v/>
      </c>
      <c r="Z154">
        <f>IF(Y154="","",IF(COUNTIFS(Log!$D$6:$D$1505,D154,Log!$Y$6:$Y$1505,"&gt;"&amp;Y154)=0,1,0))</f>
        <v/>
      </c>
      <c r="AA154">
        <f>IF(OR(B154="",D154=""),"",B154+ROW()/10000000)</f>
        <v/>
      </c>
      <c r="AB154">
        <f>IF(AA154="","",IF(COUNTIFS(Log!$D$6:$D$1505,D154,Log!$AA$6:$AA$1505,"&gt;"&amp;AA154)=0,1,0))</f>
        <v/>
      </c>
      <c r="AC154">
        <f>IF(S154="New best",AA154,"")</f>
        <v/>
      </c>
      <c r="AD154">
        <f>ROW()</f>
        <v/>
      </c>
    </row>
    <row r="155">
      <c r="A155" s="1" t="n"/>
      <c r="B155" s="21" t="n">
        <v>46252</v>
      </c>
      <c r="C155" s="22" t="inlineStr">
        <is>
          <t>Pull</t>
        </is>
      </c>
      <c r="D155" s="23" t="inlineStr">
        <is>
          <t>Deadlift</t>
        </is>
      </c>
      <c r="E155" s="24" t="n">
        <v>245</v>
      </c>
      <c r="F155" s="24" t="n">
        <v>5</v>
      </c>
      <c r="G155" s="24" t="n">
        <v>245</v>
      </c>
      <c r="H155" s="24" t="n">
        <v>5</v>
      </c>
      <c r="I155" s="24" t="n">
        <v>245</v>
      </c>
      <c r="J155" s="24" t="n">
        <v>5</v>
      </c>
      <c r="K155" s="24" t="n"/>
      <c r="L155" s="24" t="n"/>
      <c r="M155" s="24" t="n"/>
      <c r="N155" s="24" t="n"/>
      <c r="O155" s="15">
        <f>IF(D155="","",COUNT(F155,H155,J155,L155,N155))</f>
        <v/>
      </c>
      <c r="P155" s="25">
        <f>IF(D155="","",N(E155)*N(F155)+N(G155)*N(H155)+N(I155)*N(J155)+N(K155)*N(L155)+N(M155)*N(N155))</f>
        <v/>
      </c>
      <c r="Q155" s="18">
        <f>IF(N(X155)=0,"",IF(IF(N(F155)=0,0,IF(N(E155)&gt;0,E155*(1+F155/30),F155))=X155,IF(N(E155)&gt;0,E155&amp;" x "&amp;F155,F155&amp;" reps"),IF(IF(N(H155)=0,0,IF(N(G155)&gt;0,G155*(1+H155/30),H155))=X155,IF(N(G155)&gt;0,G155&amp;" x "&amp;H155,H155&amp;" reps"),IF(IF(N(J155)=0,0,IF(N(I155)&gt;0,I155*(1+J155/30),J155))=X155,IF(N(I155)&gt;0,I155&amp;" x "&amp;J155,J155&amp;" reps"),IF(IF(N(L155)=0,0,IF(N(K155)&gt;0,K155*(1+L155/30),L155))=X155,IF(N(K155)&gt;0,K155&amp;" x "&amp;L155,L155&amp;" reps"),IF(IF(N(N155)=0,0,IF(N(M155)&gt;0,M155*(1+N155/30),N155))=X155,IF(N(M155)&gt;0,M155&amp;" x "&amp;N155,N155&amp;" reps"),""))))))</f>
        <v/>
      </c>
      <c r="R155" s="20">
        <f>IF(N(X155)=0,"",ROUND(X155,1))</f>
        <v/>
      </c>
      <c r="S155" s="18">
        <f>IF(N(X155)=0,"",IF(AND(COUNTIFS(Log!$D$6:$D$1505,D155,Log!$B$6:$B$1505,"&lt;"&amp;B155)&gt;0,COUNTIFS(Log!$D$6:$D$1505,D155,Log!$B$6:$B$1505,"&lt;"&amp;B155,Log!$X$6:$X$1505,"&gt;="&amp;X155)=0),"New best",""))</f>
        <v/>
      </c>
      <c r="T155" s="26" t="n"/>
      <c r="U155" s="1">
        <f>IF(D155="","",IFERROR(INDEX(Exercises!$C$6:$C$105,MATCH(D155,Exercises!$B$6:$B$105,0)),"Other"))</f>
        <v/>
      </c>
      <c r="V155">
        <f>IF(B155="","",IF(COUNTIF($B$6:B155,B155)=1,1,0))</f>
        <v/>
      </c>
      <c r="W155">
        <f>IF(B155="","",B155-WEEKDAY(B155,3))</f>
        <v/>
      </c>
      <c r="X155">
        <f>IF(D155="","",MAX(IF(N(F155)=0,0,IF(N(E155)&gt;0,E155*(1+F155/30),F155)),IF(N(H155)=0,0,IF(N(G155)&gt;0,G155*(1+H155/30),H155)),IF(N(J155)=0,0,IF(N(I155)&gt;0,I155*(1+J155/30),J155)),IF(N(L155)=0,0,IF(N(K155)&gt;0,K155*(1+L155/30),L155)),IF(N(N155)=0,0,IF(N(M155)&gt;0,M155*(1+N155/30),N155))))</f>
        <v/>
      </c>
      <c r="Y155">
        <f>IF(N(X155)=0,"",X155+ROW()/1000000000)</f>
        <v/>
      </c>
      <c r="Z155">
        <f>IF(Y155="","",IF(COUNTIFS(Log!$D$6:$D$1505,D155,Log!$Y$6:$Y$1505,"&gt;"&amp;Y155)=0,1,0))</f>
        <v/>
      </c>
      <c r="AA155">
        <f>IF(OR(B155="",D155=""),"",B155+ROW()/10000000)</f>
        <v/>
      </c>
      <c r="AB155">
        <f>IF(AA155="","",IF(COUNTIFS(Log!$D$6:$D$1505,D155,Log!$AA$6:$AA$1505,"&gt;"&amp;AA155)=0,1,0))</f>
        <v/>
      </c>
      <c r="AC155">
        <f>IF(S155="New best",AA155,"")</f>
        <v/>
      </c>
      <c r="AD155">
        <f>ROW()</f>
        <v/>
      </c>
    </row>
    <row r="156">
      <c r="A156" s="1" t="n"/>
      <c r="B156" s="21" t="n">
        <v>46252</v>
      </c>
      <c r="C156" s="22" t="inlineStr">
        <is>
          <t>Pull</t>
        </is>
      </c>
      <c r="D156" s="23" t="inlineStr">
        <is>
          <t>Pull-up</t>
        </is>
      </c>
      <c r="E156" s="24" t="n"/>
      <c r="F156" s="24" t="n">
        <v>8</v>
      </c>
      <c r="G156" s="24" t="n"/>
      <c r="H156" s="24" t="n">
        <v>7</v>
      </c>
      <c r="I156" s="24" t="n"/>
      <c r="J156" s="24" t="n">
        <v>5</v>
      </c>
      <c r="K156" s="24" t="n"/>
      <c r="L156" s="24" t="n"/>
      <c r="M156" s="24" t="n"/>
      <c r="N156" s="24" t="n"/>
      <c r="O156" s="15">
        <f>IF(D156="","",COUNT(F156,H156,J156,L156,N156))</f>
        <v/>
      </c>
      <c r="P156" s="25">
        <f>IF(D156="","",N(E156)*N(F156)+N(G156)*N(H156)+N(I156)*N(J156)+N(K156)*N(L156)+N(M156)*N(N156))</f>
        <v/>
      </c>
      <c r="Q156" s="18">
        <f>IF(N(X156)=0,"",IF(IF(N(F156)=0,0,IF(N(E156)&gt;0,E156*(1+F156/30),F156))=X156,IF(N(E156)&gt;0,E156&amp;" x "&amp;F156,F156&amp;" reps"),IF(IF(N(H156)=0,0,IF(N(G156)&gt;0,G156*(1+H156/30),H156))=X156,IF(N(G156)&gt;0,G156&amp;" x "&amp;H156,H156&amp;" reps"),IF(IF(N(J156)=0,0,IF(N(I156)&gt;0,I156*(1+J156/30),J156))=X156,IF(N(I156)&gt;0,I156&amp;" x "&amp;J156,J156&amp;" reps"),IF(IF(N(L156)=0,0,IF(N(K156)&gt;0,K156*(1+L156/30),L156))=X156,IF(N(K156)&gt;0,K156&amp;" x "&amp;L156,L156&amp;" reps"),IF(IF(N(N156)=0,0,IF(N(M156)&gt;0,M156*(1+N156/30),N156))=X156,IF(N(M156)&gt;0,M156&amp;" x "&amp;N156,N156&amp;" reps"),""))))))</f>
        <v/>
      </c>
      <c r="R156" s="20">
        <f>IF(N(X156)=0,"",ROUND(X156,1))</f>
        <v/>
      </c>
      <c r="S156" s="18">
        <f>IF(N(X156)=0,"",IF(AND(COUNTIFS(Log!$D$6:$D$1505,D156,Log!$B$6:$B$1505,"&lt;"&amp;B156)&gt;0,COUNTIFS(Log!$D$6:$D$1505,D156,Log!$B$6:$B$1505,"&lt;"&amp;B156,Log!$X$6:$X$1505,"&gt;="&amp;X156)=0),"New best",""))</f>
        <v/>
      </c>
      <c r="T156" s="26" t="inlineStr">
        <is>
          <t>Slept badly</t>
        </is>
      </c>
      <c r="U156" s="1">
        <f>IF(D156="","",IFERROR(INDEX(Exercises!$C$6:$C$105,MATCH(D156,Exercises!$B$6:$B$105,0)),"Other"))</f>
        <v/>
      </c>
      <c r="V156">
        <f>IF(B156="","",IF(COUNTIF($B$6:B156,B156)=1,1,0))</f>
        <v/>
      </c>
      <c r="W156">
        <f>IF(B156="","",B156-WEEKDAY(B156,3))</f>
        <v/>
      </c>
      <c r="X156">
        <f>IF(D156="","",MAX(IF(N(F156)=0,0,IF(N(E156)&gt;0,E156*(1+F156/30),F156)),IF(N(H156)=0,0,IF(N(G156)&gt;0,G156*(1+H156/30),H156)),IF(N(J156)=0,0,IF(N(I156)&gt;0,I156*(1+J156/30),J156)),IF(N(L156)=0,0,IF(N(K156)&gt;0,K156*(1+L156/30),L156)),IF(N(N156)=0,0,IF(N(M156)&gt;0,M156*(1+N156/30),N156))))</f>
        <v/>
      </c>
      <c r="Y156">
        <f>IF(N(X156)=0,"",X156+ROW()/1000000000)</f>
        <v/>
      </c>
      <c r="Z156">
        <f>IF(Y156="","",IF(COUNTIFS(Log!$D$6:$D$1505,D156,Log!$Y$6:$Y$1505,"&gt;"&amp;Y156)=0,1,0))</f>
        <v/>
      </c>
      <c r="AA156">
        <f>IF(OR(B156="",D156=""),"",B156+ROW()/10000000)</f>
        <v/>
      </c>
      <c r="AB156">
        <f>IF(AA156="","",IF(COUNTIFS(Log!$D$6:$D$1505,D156,Log!$AA$6:$AA$1505,"&gt;"&amp;AA156)=0,1,0))</f>
        <v/>
      </c>
      <c r="AC156">
        <f>IF(S156="New best",AA156,"")</f>
        <v/>
      </c>
      <c r="AD156">
        <f>ROW()</f>
        <v/>
      </c>
    </row>
    <row r="157">
      <c r="A157" s="1" t="n"/>
      <c r="B157" s="21" t="n">
        <v>46252</v>
      </c>
      <c r="C157" s="22" t="inlineStr">
        <is>
          <t>Pull</t>
        </is>
      </c>
      <c r="D157" s="23" t="inlineStr">
        <is>
          <t>Barbell row</t>
        </is>
      </c>
      <c r="E157" s="24" t="n">
        <v>125</v>
      </c>
      <c r="F157" s="24" t="n">
        <v>10</v>
      </c>
      <c r="G157" s="24" t="n">
        <v>125</v>
      </c>
      <c r="H157" s="24" t="n">
        <v>9</v>
      </c>
      <c r="I157" s="24" t="n">
        <v>125</v>
      </c>
      <c r="J157" s="24" t="n">
        <v>8</v>
      </c>
      <c r="K157" s="24" t="n"/>
      <c r="L157" s="24" t="n"/>
      <c r="M157" s="24" t="n"/>
      <c r="N157" s="24" t="n"/>
      <c r="O157" s="15">
        <f>IF(D157="","",COUNT(F157,H157,J157,L157,N157))</f>
        <v/>
      </c>
      <c r="P157" s="25">
        <f>IF(D157="","",N(E157)*N(F157)+N(G157)*N(H157)+N(I157)*N(J157)+N(K157)*N(L157)+N(M157)*N(N157))</f>
        <v/>
      </c>
      <c r="Q157" s="18">
        <f>IF(N(X157)=0,"",IF(IF(N(F157)=0,0,IF(N(E157)&gt;0,E157*(1+F157/30),F157))=X157,IF(N(E157)&gt;0,E157&amp;" x "&amp;F157,F157&amp;" reps"),IF(IF(N(H157)=0,0,IF(N(G157)&gt;0,G157*(1+H157/30),H157))=X157,IF(N(G157)&gt;0,G157&amp;" x "&amp;H157,H157&amp;" reps"),IF(IF(N(J157)=0,0,IF(N(I157)&gt;0,I157*(1+J157/30),J157))=X157,IF(N(I157)&gt;0,I157&amp;" x "&amp;J157,J157&amp;" reps"),IF(IF(N(L157)=0,0,IF(N(K157)&gt;0,K157*(1+L157/30),L157))=X157,IF(N(K157)&gt;0,K157&amp;" x "&amp;L157,L157&amp;" reps"),IF(IF(N(N157)=0,0,IF(N(M157)&gt;0,M157*(1+N157/30),N157))=X157,IF(N(M157)&gt;0,M157&amp;" x "&amp;N157,N157&amp;" reps"),""))))))</f>
        <v/>
      </c>
      <c r="R157" s="20">
        <f>IF(N(X157)=0,"",ROUND(X157,1))</f>
        <v/>
      </c>
      <c r="S157" s="18">
        <f>IF(N(X157)=0,"",IF(AND(COUNTIFS(Log!$D$6:$D$1505,D157,Log!$B$6:$B$1505,"&lt;"&amp;B157)&gt;0,COUNTIFS(Log!$D$6:$D$1505,D157,Log!$B$6:$B$1505,"&lt;"&amp;B157,Log!$X$6:$X$1505,"&gt;="&amp;X157)=0),"New best",""))</f>
        <v/>
      </c>
      <c r="T157" s="26" t="n"/>
      <c r="U157" s="1">
        <f>IF(D157="","",IFERROR(INDEX(Exercises!$C$6:$C$105,MATCH(D157,Exercises!$B$6:$B$105,0)),"Other"))</f>
        <v/>
      </c>
      <c r="V157">
        <f>IF(B157="","",IF(COUNTIF($B$6:B157,B157)=1,1,0))</f>
        <v/>
      </c>
      <c r="W157">
        <f>IF(B157="","",B157-WEEKDAY(B157,3))</f>
        <v/>
      </c>
      <c r="X157">
        <f>IF(D157="","",MAX(IF(N(F157)=0,0,IF(N(E157)&gt;0,E157*(1+F157/30),F157)),IF(N(H157)=0,0,IF(N(G157)&gt;0,G157*(1+H157/30),H157)),IF(N(J157)=0,0,IF(N(I157)&gt;0,I157*(1+J157/30),J157)),IF(N(L157)=0,0,IF(N(K157)&gt;0,K157*(1+L157/30),L157)),IF(N(N157)=0,0,IF(N(M157)&gt;0,M157*(1+N157/30),N157))))</f>
        <v/>
      </c>
      <c r="Y157">
        <f>IF(N(X157)=0,"",X157+ROW()/1000000000)</f>
        <v/>
      </c>
      <c r="Z157">
        <f>IF(Y157="","",IF(COUNTIFS(Log!$D$6:$D$1505,D157,Log!$Y$6:$Y$1505,"&gt;"&amp;Y157)=0,1,0))</f>
        <v/>
      </c>
      <c r="AA157">
        <f>IF(OR(B157="",D157=""),"",B157+ROW()/10000000)</f>
        <v/>
      </c>
      <c r="AB157">
        <f>IF(AA157="","",IF(COUNTIFS(Log!$D$6:$D$1505,D157,Log!$AA$6:$AA$1505,"&gt;"&amp;AA157)=0,1,0))</f>
        <v/>
      </c>
      <c r="AC157">
        <f>IF(S157="New best",AA157,"")</f>
        <v/>
      </c>
      <c r="AD157">
        <f>ROW()</f>
        <v/>
      </c>
    </row>
    <row r="158">
      <c r="A158" s="1" t="n"/>
      <c r="B158" s="21" t="n">
        <v>46252</v>
      </c>
      <c r="C158" s="22" t="inlineStr">
        <is>
          <t>Pull</t>
        </is>
      </c>
      <c r="D158" s="23" t="inlineStr">
        <is>
          <t>Lat pulldown</t>
        </is>
      </c>
      <c r="E158" s="24" t="n">
        <v>110</v>
      </c>
      <c r="F158" s="24" t="n">
        <v>11</v>
      </c>
      <c r="G158" s="24" t="n">
        <v>110</v>
      </c>
      <c r="H158" s="24" t="n">
        <v>11</v>
      </c>
      <c r="I158" s="24" t="n">
        <v>110</v>
      </c>
      <c r="J158" s="24" t="n">
        <v>10</v>
      </c>
      <c r="K158" s="24" t="n"/>
      <c r="L158" s="24" t="n"/>
      <c r="M158" s="24" t="n"/>
      <c r="N158" s="24" t="n"/>
      <c r="O158" s="15">
        <f>IF(D158="","",COUNT(F158,H158,J158,L158,N158))</f>
        <v/>
      </c>
      <c r="P158" s="25">
        <f>IF(D158="","",N(E158)*N(F158)+N(G158)*N(H158)+N(I158)*N(J158)+N(K158)*N(L158)+N(M158)*N(N158))</f>
        <v/>
      </c>
      <c r="Q158" s="18">
        <f>IF(N(X158)=0,"",IF(IF(N(F158)=0,0,IF(N(E158)&gt;0,E158*(1+F158/30),F158))=X158,IF(N(E158)&gt;0,E158&amp;" x "&amp;F158,F158&amp;" reps"),IF(IF(N(H158)=0,0,IF(N(G158)&gt;0,G158*(1+H158/30),H158))=X158,IF(N(G158)&gt;0,G158&amp;" x "&amp;H158,H158&amp;" reps"),IF(IF(N(J158)=0,0,IF(N(I158)&gt;0,I158*(1+J158/30),J158))=X158,IF(N(I158)&gt;0,I158&amp;" x "&amp;J158,J158&amp;" reps"),IF(IF(N(L158)=0,0,IF(N(K158)&gt;0,K158*(1+L158/30),L158))=X158,IF(N(K158)&gt;0,K158&amp;" x "&amp;L158,L158&amp;" reps"),IF(IF(N(N158)=0,0,IF(N(M158)&gt;0,M158*(1+N158/30),N158))=X158,IF(N(M158)&gt;0,M158&amp;" x "&amp;N158,N158&amp;" reps"),""))))))</f>
        <v/>
      </c>
      <c r="R158" s="20">
        <f>IF(N(X158)=0,"",ROUND(X158,1))</f>
        <v/>
      </c>
      <c r="S158" s="18">
        <f>IF(N(X158)=0,"",IF(AND(COUNTIFS(Log!$D$6:$D$1505,D158,Log!$B$6:$B$1505,"&lt;"&amp;B158)&gt;0,COUNTIFS(Log!$D$6:$D$1505,D158,Log!$B$6:$B$1505,"&lt;"&amp;B158,Log!$X$6:$X$1505,"&gt;="&amp;X158)=0),"New best",""))</f>
        <v/>
      </c>
      <c r="T158" s="26" t="n"/>
      <c r="U158" s="1">
        <f>IF(D158="","",IFERROR(INDEX(Exercises!$C$6:$C$105,MATCH(D158,Exercises!$B$6:$B$105,0)),"Other"))</f>
        <v/>
      </c>
      <c r="V158">
        <f>IF(B158="","",IF(COUNTIF($B$6:B158,B158)=1,1,0))</f>
        <v/>
      </c>
      <c r="W158">
        <f>IF(B158="","",B158-WEEKDAY(B158,3))</f>
        <v/>
      </c>
      <c r="X158">
        <f>IF(D158="","",MAX(IF(N(F158)=0,0,IF(N(E158)&gt;0,E158*(1+F158/30),F158)),IF(N(H158)=0,0,IF(N(G158)&gt;0,G158*(1+H158/30),H158)),IF(N(J158)=0,0,IF(N(I158)&gt;0,I158*(1+J158/30),J158)),IF(N(L158)=0,0,IF(N(K158)&gt;0,K158*(1+L158/30),L158)),IF(N(N158)=0,0,IF(N(M158)&gt;0,M158*(1+N158/30),N158))))</f>
        <v/>
      </c>
      <c r="Y158">
        <f>IF(N(X158)=0,"",X158+ROW()/1000000000)</f>
        <v/>
      </c>
      <c r="Z158">
        <f>IF(Y158="","",IF(COUNTIFS(Log!$D$6:$D$1505,D158,Log!$Y$6:$Y$1505,"&gt;"&amp;Y158)=0,1,0))</f>
        <v/>
      </c>
      <c r="AA158">
        <f>IF(OR(B158="",D158=""),"",B158+ROW()/10000000)</f>
        <v/>
      </c>
      <c r="AB158">
        <f>IF(AA158="","",IF(COUNTIFS(Log!$D$6:$D$1505,D158,Log!$AA$6:$AA$1505,"&gt;"&amp;AA158)=0,1,0))</f>
        <v/>
      </c>
      <c r="AC158">
        <f>IF(S158="New best",AA158,"")</f>
        <v/>
      </c>
      <c r="AD158">
        <f>ROW()</f>
        <v/>
      </c>
    </row>
    <row r="159">
      <c r="A159" s="1" t="n"/>
      <c r="B159" s="21" t="n">
        <v>46252</v>
      </c>
      <c r="C159" s="22" t="inlineStr">
        <is>
          <t>Pull</t>
        </is>
      </c>
      <c r="D159" s="23" t="inlineStr">
        <is>
          <t>Biceps curl</t>
        </is>
      </c>
      <c r="E159" s="24" t="n">
        <v>30</v>
      </c>
      <c r="F159" s="24" t="n">
        <v>11</v>
      </c>
      <c r="G159" s="24" t="n">
        <v>30</v>
      </c>
      <c r="H159" s="24" t="n">
        <v>11</v>
      </c>
      <c r="I159" s="24" t="n">
        <v>30</v>
      </c>
      <c r="J159" s="24" t="n">
        <v>10</v>
      </c>
      <c r="K159" s="24" t="n"/>
      <c r="L159" s="24" t="n"/>
      <c r="M159" s="24" t="n"/>
      <c r="N159" s="24" t="n"/>
      <c r="O159" s="15">
        <f>IF(D159="","",COUNT(F159,H159,J159,L159,N159))</f>
        <v/>
      </c>
      <c r="P159" s="25">
        <f>IF(D159="","",N(E159)*N(F159)+N(G159)*N(H159)+N(I159)*N(J159)+N(K159)*N(L159)+N(M159)*N(N159))</f>
        <v/>
      </c>
      <c r="Q159" s="18">
        <f>IF(N(X159)=0,"",IF(IF(N(F159)=0,0,IF(N(E159)&gt;0,E159*(1+F159/30),F159))=X159,IF(N(E159)&gt;0,E159&amp;" x "&amp;F159,F159&amp;" reps"),IF(IF(N(H159)=0,0,IF(N(G159)&gt;0,G159*(1+H159/30),H159))=X159,IF(N(G159)&gt;0,G159&amp;" x "&amp;H159,H159&amp;" reps"),IF(IF(N(J159)=0,0,IF(N(I159)&gt;0,I159*(1+J159/30),J159))=X159,IF(N(I159)&gt;0,I159&amp;" x "&amp;J159,J159&amp;" reps"),IF(IF(N(L159)=0,0,IF(N(K159)&gt;0,K159*(1+L159/30),L159))=X159,IF(N(K159)&gt;0,K159&amp;" x "&amp;L159,L159&amp;" reps"),IF(IF(N(N159)=0,0,IF(N(M159)&gt;0,M159*(1+N159/30),N159))=X159,IF(N(M159)&gt;0,M159&amp;" x "&amp;N159,N159&amp;" reps"),""))))))</f>
        <v/>
      </c>
      <c r="R159" s="20">
        <f>IF(N(X159)=0,"",ROUND(X159,1))</f>
        <v/>
      </c>
      <c r="S159" s="18">
        <f>IF(N(X159)=0,"",IF(AND(COUNTIFS(Log!$D$6:$D$1505,D159,Log!$B$6:$B$1505,"&lt;"&amp;B159)&gt;0,COUNTIFS(Log!$D$6:$D$1505,D159,Log!$B$6:$B$1505,"&lt;"&amp;B159,Log!$X$6:$X$1505,"&gt;="&amp;X159)=0),"New best",""))</f>
        <v/>
      </c>
      <c r="T159" s="26" t="n"/>
      <c r="U159" s="1">
        <f>IF(D159="","",IFERROR(INDEX(Exercises!$C$6:$C$105,MATCH(D159,Exercises!$B$6:$B$105,0)),"Other"))</f>
        <v/>
      </c>
      <c r="V159">
        <f>IF(B159="","",IF(COUNTIF($B$6:B159,B159)=1,1,0))</f>
        <v/>
      </c>
      <c r="W159">
        <f>IF(B159="","",B159-WEEKDAY(B159,3))</f>
        <v/>
      </c>
      <c r="X159">
        <f>IF(D159="","",MAX(IF(N(F159)=0,0,IF(N(E159)&gt;0,E159*(1+F159/30),F159)),IF(N(H159)=0,0,IF(N(G159)&gt;0,G159*(1+H159/30),H159)),IF(N(J159)=0,0,IF(N(I159)&gt;0,I159*(1+J159/30),J159)),IF(N(L159)=0,0,IF(N(K159)&gt;0,K159*(1+L159/30),L159)),IF(N(N159)=0,0,IF(N(M159)&gt;0,M159*(1+N159/30),N159))))</f>
        <v/>
      </c>
      <c r="Y159">
        <f>IF(N(X159)=0,"",X159+ROW()/1000000000)</f>
        <v/>
      </c>
      <c r="Z159">
        <f>IF(Y159="","",IF(COUNTIFS(Log!$D$6:$D$1505,D159,Log!$Y$6:$Y$1505,"&gt;"&amp;Y159)=0,1,0))</f>
        <v/>
      </c>
      <c r="AA159">
        <f>IF(OR(B159="",D159=""),"",B159+ROW()/10000000)</f>
        <v/>
      </c>
      <c r="AB159">
        <f>IF(AA159="","",IF(COUNTIFS(Log!$D$6:$D$1505,D159,Log!$AA$6:$AA$1505,"&gt;"&amp;AA159)=0,1,0))</f>
        <v/>
      </c>
      <c r="AC159">
        <f>IF(S159="New best",AA159,"")</f>
        <v/>
      </c>
      <c r="AD159">
        <f>ROW()</f>
        <v/>
      </c>
    </row>
    <row r="160">
      <c r="A160" s="1" t="n"/>
      <c r="B160" s="21" t="n">
        <v>46253</v>
      </c>
      <c r="C160" s="22" t="inlineStr">
        <is>
          <t>Legs</t>
        </is>
      </c>
      <c r="D160" s="23" t="inlineStr">
        <is>
          <t>Squat</t>
        </is>
      </c>
      <c r="E160" s="24" t="n">
        <v>205</v>
      </c>
      <c r="F160" s="24" t="n">
        <v>6</v>
      </c>
      <c r="G160" s="24" t="n">
        <v>205</v>
      </c>
      <c r="H160" s="24" t="n">
        <v>5</v>
      </c>
      <c r="I160" s="24" t="n">
        <v>205</v>
      </c>
      <c r="J160" s="24" t="n">
        <v>5</v>
      </c>
      <c r="K160" s="24" t="n">
        <v>205</v>
      </c>
      <c r="L160" s="24" t="n">
        <v>5</v>
      </c>
      <c r="M160" s="24" t="n"/>
      <c r="N160" s="24" t="n"/>
      <c r="O160" s="15">
        <f>IF(D160="","",COUNT(F160,H160,J160,L160,N160))</f>
        <v/>
      </c>
      <c r="P160" s="25">
        <f>IF(D160="","",N(E160)*N(F160)+N(G160)*N(H160)+N(I160)*N(J160)+N(K160)*N(L160)+N(M160)*N(N160))</f>
        <v/>
      </c>
      <c r="Q160" s="18">
        <f>IF(N(X160)=0,"",IF(IF(N(F160)=0,0,IF(N(E160)&gt;0,E160*(1+F160/30),F160))=X160,IF(N(E160)&gt;0,E160&amp;" x "&amp;F160,F160&amp;" reps"),IF(IF(N(H160)=0,0,IF(N(G160)&gt;0,G160*(1+H160/30),H160))=X160,IF(N(G160)&gt;0,G160&amp;" x "&amp;H160,H160&amp;" reps"),IF(IF(N(J160)=0,0,IF(N(I160)&gt;0,I160*(1+J160/30),J160))=X160,IF(N(I160)&gt;0,I160&amp;" x "&amp;J160,J160&amp;" reps"),IF(IF(N(L160)=0,0,IF(N(K160)&gt;0,K160*(1+L160/30),L160))=X160,IF(N(K160)&gt;0,K160&amp;" x "&amp;L160,L160&amp;" reps"),IF(IF(N(N160)=0,0,IF(N(M160)&gt;0,M160*(1+N160/30),N160))=X160,IF(N(M160)&gt;0,M160&amp;" x "&amp;N160,N160&amp;" reps"),""))))))</f>
        <v/>
      </c>
      <c r="R160" s="20">
        <f>IF(N(X160)=0,"",ROUND(X160,1))</f>
        <v/>
      </c>
      <c r="S160" s="18">
        <f>IF(N(X160)=0,"",IF(AND(COUNTIFS(Log!$D$6:$D$1505,D160,Log!$B$6:$B$1505,"&lt;"&amp;B160)&gt;0,COUNTIFS(Log!$D$6:$D$1505,D160,Log!$B$6:$B$1505,"&lt;"&amp;B160,Log!$X$6:$X$1505,"&gt;="&amp;X160)=0),"New best",""))</f>
        <v/>
      </c>
      <c r="T160" s="26" t="n"/>
      <c r="U160" s="1">
        <f>IF(D160="","",IFERROR(INDEX(Exercises!$C$6:$C$105,MATCH(D160,Exercises!$B$6:$B$105,0)),"Other"))</f>
        <v/>
      </c>
      <c r="V160">
        <f>IF(B160="","",IF(COUNTIF($B$6:B160,B160)=1,1,0))</f>
        <v/>
      </c>
      <c r="W160">
        <f>IF(B160="","",B160-WEEKDAY(B160,3))</f>
        <v/>
      </c>
      <c r="X160">
        <f>IF(D160="","",MAX(IF(N(F160)=0,0,IF(N(E160)&gt;0,E160*(1+F160/30),F160)),IF(N(H160)=0,0,IF(N(G160)&gt;0,G160*(1+H160/30),H160)),IF(N(J160)=0,0,IF(N(I160)&gt;0,I160*(1+J160/30),J160)),IF(N(L160)=0,0,IF(N(K160)&gt;0,K160*(1+L160/30),L160)),IF(N(N160)=0,0,IF(N(M160)&gt;0,M160*(1+N160/30),N160))))</f>
        <v/>
      </c>
      <c r="Y160">
        <f>IF(N(X160)=0,"",X160+ROW()/1000000000)</f>
        <v/>
      </c>
      <c r="Z160">
        <f>IF(Y160="","",IF(COUNTIFS(Log!$D$6:$D$1505,D160,Log!$Y$6:$Y$1505,"&gt;"&amp;Y160)=0,1,0))</f>
        <v/>
      </c>
      <c r="AA160">
        <f>IF(OR(B160="",D160=""),"",B160+ROW()/10000000)</f>
        <v/>
      </c>
      <c r="AB160">
        <f>IF(AA160="","",IF(COUNTIFS(Log!$D$6:$D$1505,D160,Log!$AA$6:$AA$1505,"&gt;"&amp;AA160)=0,1,0))</f>
        <v/>
      </c>
      <c r="AC160">
        <f>IF(S160="New best",AA160,"")</f>
        <v/>
      </c>
      <c r="AD160">
        <f>ROW()</f>
        <v/>
      </c>
    </row>
    <row r="161">
      <c r="A161" s="1" t="n"/>
      <c r="B161" s="21" t="n">
        <v>46253</v>
      </c>
      <c r="C161" s="22" t="inlineStr">
        <is>
          <t>Legs</t>
        </is>
      </c>
      <c r="D161" s="23" t="inlineStr">
        <is>
          <t>Romanian deadlift</t>
        </is>
      </c>
      <c r="E161" s="24" t="n">
        <v>175</v>
      </c>
      <c r="F161" s="24" t="n">
        <v>10</v>
      </c>
      <c r="G161" s="24" t="n">
        <v>175</v>
      </c>
      <c r="H161" s="24" t="n">
        <v>9</v>
      </c>
      <c r="I161" s="24" t="n">
        <v>175</v>
      </c>
      <c r="J161" s="24" t="n">
        <v>8</v>
      </c>
      <c r="K161" s="24" t="n"/>
      <c r="L161" s="24" t="n"/>
      <c r="M161" s="24" t="n"/>
      <c r="N161" s="24" t="n"/>
      <c r="O161" s="15">
        <f>IF(D161="","",COUNT(F161,H161,J161,L161,N161))</f>
        <v/>
      </c>
      <c r="P161" s="25">
        <f>IF(D161="","",N(E161)*N(F161)+N(G161)*N(H161)+N(I161)*N(J161)+N(K161)*N(L161)+N(M161)*N(N161))</f>
        <v/>
      </c>
      <c r="Q161" s="18">
        <f>IF(N(X161)=0,"",IF(IF(N(F161)=0,0,IF(N(E161)&gt;0,E161*(1+F161/30),F161))=X161,IF(N(E161)&gt;0,E161&amp;" x "&amp;F161,F161&amp;" reps"),IF(IF(N(H161)=0,0,IF(N(G161)&gt;0,G161*(1+H161/30),H161))=X161,IF(N(G161)&gt;0,G161&amp;" x "&amp;H161,H161&amp;" reps"),IF(IF(N(J161)=0,0,IF(N(I161)&gt;0,I161*(1+J161/30),J161))=X161,IF(N(I161)&gt;0,I161&amp;" x "&amp;J161,J161&amp;" reps"),IF(IF(N(L161)=0,0,IF(N(K161)&gt;0,K161*(1+L161/30),L161))=X161,IF(N(K161)&gt;0,K161&amp;" x "&amp;L161,L161&amp;" reps"),IF(IF(N(N161)=0,0,IF(N(M161)&gt;0,M161*(1+N161/30),N161))=X161,IF(N(M161)&gt;0,M161&amp;" x "&amp;N161,N161&amp;" reps"),""))))))</f>
        <v/>
      </c>
      <c r="R161" s="20">
        <f>IF(N(X161)=0,"",ROUND(X161,1))</f>
        <v/>
      </c>
      <c r="S161" s="18">
        <f>IF(N(X161)=0,"",IF(AND(COUNTIFS(Log!$D$6:$D$1505,D161,Log!$B$6:$B$1505,"&lt;"&amp;B161)&gt;0,COUNTIFS(Log!$D$6:$D$1505,D161,Log!$B$6:$B$1505,"&lt;"&amp;B161,Log!$X$6:$X$1505,"&gt;="&amp;X161)=0),"New best",""))</f>
        <v/>
      </c>
      <c r="T161" s="26" t="n"/>
      <c r="U161" s="1">
        <f>IF(D161="","",IFERROR(INDEX(Exercises!$C$6:$C$105,MATCH(D161,Exercises!$B$6:$B$105,0)),"Other"))</f>
        <v/>
      </c>
      <c r="V161">
        <f>IF(B161="","",IF(COUNTIF($B$6:B161,B161)=1,1,0))</f>
        <v/>
      </c>
      <c r="W161">
        <f>IF(B161="","",B161-WEEKDAY(B161,3))</f>
        <v/>
      </c>
      <c r="X161">
        <f>IF(D161="","",MAX(IF(N(F161)=0,0,IF(N(E161)&gt;0,E161*(1+F161/30),F161)),IF(N(H161)=0,0,IF(N(G161)&gt;0,G161*(1+H161/30),H161)),IF(N(J161)=0,0,IF(N(I161)&gt;0,I161*(1+J161/30),J161)),IF(N(L161)=0,0,IF(N(K161)&gt;0,K161*(1+L161/30),L161)),IF(N(N161)=0,0,IF(N(M161)&gt;0,M161*(1+N161/30),N161))))</f>
        <v/>
      </c>
      <c r="Y161">
        <f>IF(N(X161)=0,"",X161+ROW()/1000000000)</f>
        <v/>
      </c>
      <c r="Z161">
        <f>IF(Y161="","",IF(COUNTIFS(Log!$D$6:$D$1505,D161,Log!$Y$6:$Y$1505,"&gt;"&amp;Y161)=0,1,0))</f>
        <v/>
      </c>
      <c r="AA161">
        <f>IF(OR(B161="",D161=""),"",B161+ROW()/10000000)</f>
        <v/>
      </c>
      <c r="AB161">
        <f>IF(AA161="","",IF(COUNTIFS(Log!$D$6:$D$1505,D161,Log!$AA$6:$AA$1505,"&gt;"&amp;AA161)=0,1,0))</f>
        <v/>
      </c>
      <c r="AC161">
        <f>IF(S161="New best",AA161,"")</f>
        <v/>
      </c>
      <c r="AD161">
        <f>ROW()</f>
        <v/>
      </c>
    </row>
    <row r="162">
      <c r="A162" s="1" t="n"/>
      <c r="B162" s="21" t="n">
        <v>46253</v>
      </c>
      <c r="C162" s="22" t="inlineStr">
        <is>
          <t>Legs</t>
        </is>
      </c>
      <c r="D162" s="23" t="inlineStr">
        <is>
          <t>Leg press</t>
        </is>
      </c>
      <c r="E162" s="24" t="n">
        <v>310</v>
      </c>
      <c r="F162" s="24" t="n">
        <v>12</v>
      </c>
      <c r="G162" s="24" t="n">
        <v>310</v>
      </c>
      <c r="H162" s="24" t="n">
        <v>11</v>
      </c>
      <c r="I162" s="24" t="n">
        <v>310</v>
      </c>
      <c r="J162" s="24" t="n">
        <v>10</v>
      </c>
      <c r="K162" s="24" t="n"/>
      <c r="L162" s="24" t="n"/>
      <c r="M162" s="24" t="n"/>
      <c r="N162" s="24" t="n"/>
      <c r="O162" s="15">
        <f>IF(D162="","",COUNT(F162,H162,J162,L162,N162))</f>
        <v/>
      </c>
      <c r="P162" s="25">
        <f>IF(D162="","",N(E162)*N(F162)+N(G162)*N(H162)+N(I162)*N(J162)+N(K162)*N(L162)+N(M162)*N(N162))</f>
        <v/>
      </c>
      <c r="Q162" s="18">
        <f>IF(N(X162)=0,"",IF(IF(N(F162)=0,0,IF(N(E162)&gt;0,E162*(1+F162/30),F162))=X162,IF(N(E162)&gt;0,E162&amp;" x "&amp;F162,F162&amp;" reps"),IF(IF(N(H162)=0,0,IF(N(G162)&gt;0,G162*(1+H162/30),H162))=X162,IF(N(G162)&gt;0,G162&amp;" x "&amp;H162,H162&amp;" reps"),IF(IF(N(J162)=0,0,IF(N(I162)&gt;0,I162*(1+J162/30),J162))=X162,IF(N(I162)&gt;0,I162&amp;" x "&amp;J162,J162&amp;" reps"),IF(IF(N(L162)=0,0,IF(N(K162)&gt;0,K162*(1+L162/30),L162))=X162,IF(N(K162)&gt;0,K162&amp;" x "&amp;L162,L162&amp;" reps"),IF(IF(N(N162)=0,0,IF(N(M162)&gt;0,M162*(1+N162/30),N162))=X162,IF(N(M162)&gt;0,M162&amp;" x "&amp;N162,N162&amp;" reps"),""))))))</f>
        <v/>
      </c>
      <c r="R162" s="20">
        <f>IF(N(X162)=0,"",ROUND(X162,1))</f>
        <v/>
      </c>
      <c r="S162" s="18">
        <f>IF(N(X162)=0,"",IF(AND(COUNTIFS(Log!$D$6:$D$1505,D162,Log!$B$6:$B$1505,"&lt;"&amp;B162)&gt;0,COUNTIFS(Log!$D$6:$D$1505,D162,Log!$B$6:$B$1505,"&lt;"&amp;B162,Log!$X$6:$X$1505,"&gt;="&amp;X162)=0),"New best",""))</f>
        <v/>
      </c>
      <c r="T162" s="26" t="n"/>
      <c r="U162" s="1">
        <f>IF(D162="","",IFERROR(INDEX(Exercises!$C$6:$C$105,MATCH(D162,Exercises!$B$6:$B$105,0)),"Other"))</f>
        <v/>
      </c>
      <c r="V162">
        <f>IF(B162="","",IF(COUNTIF($B$6:B162,B162)=1,1,0))</f>
        <v/>
      </c>
      <c r="W162">
        <f>IF(B162="","",B162-WEEKDAY(B162,3))</f>
        <v/>
      </c>
      <c r="X162">
        <f>IF(D162="","",MAX(IF(N(F162)=0,0,IF(N(E162)&gt;0,E162*(1+F162/30),F162)),IF(N(H162)=0,0,IF(N(G162)&gt;0,G162*(1+H162/30),H162)),IF(N(J162)=0,0,IF(N(I162)&gt;0,I162*(1+J162/30),J162)),IF(N(L162)=0,0,IF(N(K162)&gt;0,K162*(1+L162/30),L162)),IF(N(N162)=0,0,IF(N(M162)&gt;0,M162*(1+N162/30),N162))))</f>
        <v/>
      </c>
      <c r="Y162">
        <f>IF(N(X162)=0,"",X162+ROW()/1000000000)</f>
        <v/>
      </c>
      <c r="Z162">
        <f>IF(Y162="","",IF(COUNTIFS(Log!$D$6:$D$1505,D162,Log!$Y$6:$Y$1505,"&gt;"&amp;Y162)=0,1,0))</f>
        <v/>
      </c>
      <c r="AA162">
        <f>IF(OR(B162="",D162=""),"",B162+ROW()/10000000)</f>
        <v/>
      </c>
      <c r="AB162">
        <f>IF(AA162="","",IF(COUNTIFS(Log!$D$6:$D$1505,D162,Log!$AA$6:$AA$1505,"&gt;"&amp;AA162)=0,1,0))</f>
        <v/>
      </c>
      <c r="AC162">
        <f>IF(S162="New best",AA162,"")</f>
        <v/>
      </c>
      <c r="AD162">
        <f>ROW()</f>
        <v/>
      </c>
    </row>
    <row r="163">
      <c r="A163" s="1" t="n"/>
      <c r="B163" s="21" t="n">
        <v>46253</v>
      </c>
      <c r="C163" s="22" t="inlineStr">
        <is>
          <t>Legs</t>
        </is>
      </c>
      <c r="D163" s="23" t="inlineStr">
        <is>
          <t>Leg curl</t>
        </is>
      </c>
      <c r="E163" s="24" t="n">
        <v>80</v>
      </c>
      <c r="F163" s="24" t="n">
        <v>11</v>
      </c>
      <c r="G163" s="24" t="n">
        <v>80</v>
      </c>
      <c r="H163" s="24" t="n">
        <v>10</v>
      </c>
      <c r="I163" s="24" t="n">
        <v>80</v>
      </c>
      <c r="J163" s="24" t="n">
        <v>10</v>
      </c>
      <c r="K163" s="24" t="n"/>
      <c r="L163" s="24" t="n"/>
      <c r="M163" s="24" t="n"/>
      <c r="N163" s="24" t="n"/>
      <c r="O163" s="15">
        <f>IF(D163="","",COUNT(F163,H163,J163,L163,N163))</f>
        <v/>
      </c>
      <c r="P163" s="25">
        <f>IF(D163="","",N(E163)*N(F163)+N(G163)*N(H163)+N(I163)*N(J163)+N(K163)*N(L163)+N(M163)*N(N163))</f>
        <v/>
      </c>
      <c r="Q163" s="18">
        <f>IF(N(X163)=0,"",IF(IF(N(F163)=0,0,IF(N(E163)&gt;0,E163*(1+F163/30),F163))=X163,IF(N(E163)&gt;0,E163&amp;" x "&amp;F163,F163&amp;" reps"),IF(IF(N(H163)=0,0,IF(N(G163)&gt;0,G163*(1+H163/30),H163))=X163,IF(N(G163)&gt;0,G163&amp;" x "&amp;H163,H163&amp;" reps"),IF(IF(N(J163)=0,0,IF(N(I163)&gt;0,I163*(1+J163/30),J163))=X163,IF(N(I163)&gt;0,I163&amp;" x "&amp;J163,J163&amp;" reps"),IF(IF(N(L163)=0,0,IF(N(K163)&gt;0,K163*(1+L163/30),L163))=X163,IF(N(K163)&gt;0,K163&amp;" x "&amp;L163,L163&amp;" reps"),IF(IF(N(N163)=0,0,IF(N(M163)&gt;0,M163*(1+N163/30),N163))=X163,IF(N(M163)&gt;0,M163&amp;" x "&amp;N163,N163&amp;" reps"),""))))))</f>
        <v/>
      </c>
      <c r="R163" s="20">
        <f>IF(N(X163)=0,"",ROUND(X163,1))</f>
        <v/>
      </c>
      <c r="S163" s="18">
        <f>IF(N(X163)=0,"",IF(AND(COUNTIFS(Log!$D$6:$D$1505,D163,Log!$B$6:$B$1505,"&lt;"&amp;B163)&gt;0,COUNTIFS(Log!$D$6:$D$1505,D163,Log!$B$6:$B$1505,"&lt;"&amp;B163,Log!$X$6:$X$1505,"&gt;="&amp;X163)=0),"New best",""))</f>
        <v/>
      </c>
      <c r="T163" s="26" t="inlineStr">
        <is>
          <t>Felt strong</t>
        </is>
      </c>
      <c r="U163" s="1">
        <f>IF(D163="","",IFERROR(INDEX(Exercises!$C$6:$C$105,MATCH(D163,Exercises!$B$6:$B$105,0)),"Other"))</f>
        <v/>
      </c>
      <c r="V163">
        <f>IF(B163="","",IF(COUNTIF($B$6:B163,B163)=1,1,0))</f>
        <v/>
      </c>
      <c r="W163">
        <f>IF(B163="","",B163-WEEKDAY(B163,3))</f>
        <v/>
      </c>
      <c r="X163">
        <f>IF(D163="","",MAX(IF(N(F163)=0,0,IF(N(E163)&gt;0,E163*(1+F163/30),F163)),IF(N(H163)=0,0,IF(N(G163)&gt;0,G163*(1+H163/30),H163)),IF(N(J163)=0,0,IF(N(I163)&gt;0,I163*(1+J163/30),J163)),IF(N(L163)=0,0,IF(N(K163)&gt;0,K163*(1+L163/30),L163)),IF(N(N163)=0,0,IF(N(M163)&gt;0,M163*(1+N163/30),N163))))</f>
        <v/>
      </c>
      <c r="Y163">
        <f>IF(N(X163)=0,"",X163+ROW()/1000000000)</f>
        <v/>
      </c>
      <c r="Z163">
        <f>IF(Y163="","",IF(COUNTIFS(Log!$D$6:$D$1505,D163,Log!$Y$6:$Y$1505,"&gt;"&amp;Y163)=0,1,0))</f>
        <v/>
      </c>
      <c r="AA163">
        <f>IF(OR(B163="",D163=""),"",B163+ROW()/10000000)</f>
        <v/>
      </c>
      <c r="AB163">
        <f>IF(AA163="","",IF(COUNTIFS(Log!$D$6:$D$1505,D163,Log!$AA$6:$AA$1505,"&gt;"&amp;AA163)=0,1,0))</f>
        <v/>
      </c>
      <c r="AC163">
        <f>IF(S163="New best",AA163,"")</f>
        <v/>
      </c>
      <c r="AD163">
        <f>ROW()</f>
        <v/>
      </c>
    </row>
    <row r="164">
      <c r="A164" s="1" t="n"/>
      <c r="B164" s="21" t="n">
        <v>46253</v>
      </c>
      <c r="C164" s="22" t="inlineStr">
        <is>
          <t>Legs</t>
        </is>
      </c>
      <c r="D164" s="23" t="inlineStr">
        <is>
          <t>Calf raise</t>
        </is>
      </c>
      <c r="E164" s="24" t="n">
        <v>110</v>
      </c>
      <c r="F164" s="24" t="n">
        <v>15</v>
      </c>
      <c r="G164" s="24" t="n">
        <v>110</v>
      </c>
      <c r="H164" s="24" t="n">
        <v>14</v>
      </c>
      <c r="I164" s="24" t="n">
        <v>110</v>
      </c>
      <c r="J164" s="24" t="n">
        <v>12</v>
      </c>
      <c r="K164" s="24" t="n">
        <v>110</v>
      </c>
      <c r="L164" s="24" t="n">
        <v>12</v>
      </c>
      <c r="M164" s="24" t="n"/>
      <c r="N164" s="24" t="n"/>
      <c r="O164" s="15">
        <f>IF(D164="","",COUNT(F164,H164,J164,L164,N164))</f>
        <v/>
      </c>
      <c r="P164" s="25">
        <f>IF(D164="","",N(E164)*N(F164)+N(G164)*N(H164)+N(I164)*N(J164)+N(K164)*N(L164)+N(M164)*N(N164))</f>
        <v/>
      </c>
      <c r="Q164" s="18">
        <f>IF(N(X164)=0,"",IF(IF(N(F164)=0,0,IF(N(E164)&gt;0,E164*(1+F164/30),F164))=X164,IF(N(E164)&gt;0,E164&amp;" x "&amp;F164,F164&amp;" reps"),IF(IF(N(H164)=0,0,IF(N(G164)&gt;0,G164*(1+H164/30),H164))=X164,IF(N(G164)&gt;0,G164&amp;" x "&amp;H164,H164&amp;" reps"),IF(IF(N(J164)=0,0,IF(N(I164)&gt;0,I164*(1+J164/30),J164))=X164,IF(N(I164)&gt;0,I164&amp;" x "&amp;J164,J164&amp;" reps"),IF(IF(N(L164)=0,0,IF(N(K164)&gt;0,K164*(1+L164/30),L164))=X164,IF(N(K164)&gt;0,K164&amp;" x "&amp;L164,L164&amp;" reps"),IF(IF(N(N164)=0,0,IF(N(M164)&gt;0,M164*(1+N164/30),N164))=X164,IF(N(M164)&gt;0,M164&amp;" x "&amp;N164,N164&amp;" reps"),""))))))</f>
        <v/>
      </c>
      <c r="R164" s="20">
        <f>IF(N(X164)=0,"",ROUND(X164,1))</f>
        <v/>
      </c>
      <c r="S164" s="18">
        <f>IF(N(X164)=0,"",IF(AND(COUNTIFS(Log!$D$6:$D$1505,D164,Log!$B$6:$B$1505,"&lt;"&amp;B164)&gt;0,COUNTIFS(Log!$D$6:$D$1505,D164,Log!$B$6:$B$1505,"&lt;"&amp;B164,Log!$X$6:$X$1505,"&gt;="&amp;X164)=0),"New best",""))</f>
        <v/>
      </c>
      <c r="T164" s="26" t="n"/>
      <c r="U164" s="1">
        <f>IF(D164="","",IFERROR(INDEX(Exercises!$C$6:$C$105,MATCH(D164,Exercises!$B$6:$B$105,0)),"Other"))</f>
        <v/>
      </c>
      <c r="V164">
        <f>IF(B164="","",IF(COUNTIF($B$6:B164,B164)=1,1,0))</f>
        <v/>
      </c>
      <c r="W164">
        <f>IF(B164="","",B164-WEEKDAY(B164,3))</f>
        <v/>
      </c>
      <c r="X164">
        <f>IF(D164="","",MAX(IF(N(F164)=0,0,IF(N(E164)&gt;0,E164*(1+F164/30),F164)),IF(N(H164)=0,0,IF(N(G164)&gt;0,G164*(1+H164/30),H164)),IF(N(J164)=0,0,IF(N(I164)&gt;0,I164*(1+J164/30),J164)),IF(N(L164)=0,0,IF(N(K164)&gt;0,K164*(1+L164/30),L164)),IF(N(N164)=0,0,IF(N(M164)&gt;0,M164*(1+N164/30),N164))))</f>
        <v/>
      </c>
      <c r="Y164">
        <f>IF(N(X164)=0,"",X164+ROW()/1000000000)</f>
        <v/>
      </c>
      <c r="Z164">
        <f>IF(Y164="","",IF(COUNTIFS(Log!$D$6:$D$1505,D164,Log!$Y$6:$Y$1505,"&gt;"&amp;Y164)=0,1,0))</f>
        <v/>
      </c>
      <c r="AA164">
        <f>IF(OR(B164="",D164=""),"",B164+ROW()/10000000)</f>
        <v/>
      </c>
      <c r="AB164">
        <f>IF(AA164="","",IF(COUNTIFS(Log!$D$6:$D$1505,D164,Log!$AA$6:$AA$1505,"&gt;"&amp;AA164)=0,1,0))</f>
        <v/>
      </c>
      <c r="AC164">
        <f>IF(S164="New best",AA164,"")</f>
        <v/>
      </c>
      <c r="AD164">
        <f>ROW()</f>
        <v/>
      </c>
    </row>
    <row r="165">
      <c r="A165" s="1" t="n"/>
      <c r="B165" s="21" t="n">
        <v>46255</v>
      </c>
      <c r="C165" s="22" t="inlineStr">
        <is>
          <t>Upper</t>
        </is>
      </c>
      <c r="D165" s="23" t="inlineStr">
        <is>
          <t>Bench press</t>
        </is>
      </c>
      <c r="E165" s="24" t="n">
        <v>130</v>
      </c>
      <c r="F165" s="24" t="n">
        <v>9</v>
      </c>
      <c r="G165" s="24" t="n">
        <v>130</v>
      </c>
      <c r="H165" s="24" t="n">
        <v>9</v>
      </c>
      <c r="I165" s="24" t="n">
        <v>130</v>
      </c>
      <c r="J165" s="24" t="n">
        <v>8</v>
      </c>
      <c r="K165" s="24" t="n"/>
      <c r="L165" s="24" t="n"/>
      <c r="M165" s="24" t="n"/>
      <c r="N165" s="24" t="n"/>
      <c r="O165" s="15">
        <f>IF(D165="","",COUNT(F165,H165,J165,L165,N165))</f>
        <v/>
      </c>
      <c r="P165" s="25">
        <f>IF(D165="","",N(E165)*N(F165)+N(G165)*N(H165)+N(I165)*N(J165)+N(K165)*N(L165)+N(M165)*N(N165))</f>
        <v/>
      </c>
      <c r="Q165" s="18">
        <f>IF(N(X165)=0,"",IF(IF(N(F165)=0,0,IF(N(E165)&gt;0,E165*(1+F165/30),F165))=X165,IF(N(E165)&gt;0,E165&amp;" x "&amp;F165,F165&amp;" reps"),IF(IF(N(H165)=0,0,IF(N(G165)&gt;0,G165*(1+H165/30),H165))=X165,IF(N(G165)&gt;0,G165&amp;" x "&amp;H165,H165&amp;" reps"),IF(IF(N(J165)=0,0,IF(N(I165)&gt;0,I165*(1+J165/30),J165))=X165,IF(N(I165)&gt;0,I165&amp;" x "&amp;J165,J165&amp;" reps"),IF(IF(N(L165)=0,0,IF(N(K165)&gt;0,K165*(1+L165/30),L165))=X165,IF(N(K165)&gt;0,K165&amp;" x "&amp;L165,L165&amp;" reps"),IF(IF(N(N165)=0,0,IF(N(M165)&gt;0,M165*(1+N165/30),N165))=X165,IF(N(M165)&gt;0,M165&amp;" x "&amp;N165,N165&amp;" reps"),""))))))</f>
        <v/>
      </c>
      <c r="R165" s="20">
        <f>IF(N(X165)=0,"",ROUND(X165,1))</f>
        <v/>
      </c>
      <c r="S165" s="18">
        <f>IF(N(X165)=0,"",IF(AND(COUNTIFS(Log!$D$6:$D$1505,D165,Log!$B$6:$B$1505,"&lt;"&amp;B165)&gt;0,COUNTIFS(Log!$D$6:$D$1505,D165,Log!$B$6:$B$1505,"&lt;"&amp;B165,Log!$X$6:$X$1505,"&gt;="&amp;X165)=0),"New best",""))</f>
        <v/>
      </c>
      <c r="T165" s="26" t="n"/>
      <c r="U165" s="1">
        <f>IF(D165="","",IFERROR(INDEX(Exercises!$C$6:$C$105,MATCH(D165,Exercises!$B$6:$B$105,0)),"Other"))</f>
        <v/>
      </c>
      <c r="V165">
        <f>IF(B165="","",IF(COUNTIF($B$6:B165,B165)=1,1,0))</f>
        <v/>
      </c>
      <c r="W165">
        <f>IF(B165="","",B165-WEEKDAY(B165,3))</f>
        <v/>
      </c>
      <c r="X165">
        <f>IF(D165="","",MAX(IF(N(F165)=0,0,IF(N(E165)&gt;0,E165*(1+F165/30),F165)),IF(N(H165)=0,0,IF(N(G165)&gt;0,G165*(1+H165/30),H165)),IF(N(J165)=0,0,IF(N(I165)&gt;0,I165*(1+J165/30),J165)),IF(N(L165)=0,0,IF(N(K165)&gt;0,K165*(1+L165/30),L165)),IF(N(N165)=0,0,IF(N(M165)&gt;0,M165*(1+N165/30),N165))))</f>
        <v/>
      </c>
      <c r="Y165">
        <f>IF(N(X165)=0,"",X165+ROW()/1000000000)</f>
        <v/>
      </c>
      <c r="Z165">
        <f>IF(Y165="","",IF(COUNTIFS(Log!$D$6:$D$1505,D165,Log!$Y$6:$Y$1505,"&gt;"&amp;Y165)=0,1,0))</f>
        <v/>
      </c>
      <c r="AA165">
        <f>IF(OR(B165="",D165=""),"",B165+ROW()/10000000)</f>
        <v/>
      </c>
      <c r="AB165">
        <f>IF(AA165="","",IF(COUNTIFS(Log!$D$6:$D$1505,D165,Log!$AA$6:$AA$1505,"&gt;"&amp;AA165)=0,1,0))</f>
        <v/>
      </c>
      <c r="AC165">
        <f>IF(S165="New best",AA165,"")</f>
        <v/>
      </c>
      <c r="AD165">
        <f>ROW()</f>
        <v/>
      </c>
    </row>
    <row r="166">
      <c r="A166" s="1" t="n"/>
      <c r="B166" s="21" t="n">
        <v>46255</v>
      </c>
      <c r="C166" s="22" t="inlineStr">
        <is>
          <t>Upper</t>
        </is>
      </c>
      <c r="D166" s="23" t="inlineStr">
        <is>
          <t>Barbell row</t>
        </is>
      </c>
      <c r="E166" s="24" t="n">
        <v>110</v>
      </c>
      <c r="F166" s="24" t="n">
        <v>10</v>
      </c>
      <c r="G166" s="24" t="n">
        <v>110</v>
      </c>
      <c r="H166" s="24" t="n">
        <v>9</v>
      </c>
      <c r="I166" s="24" t="n">
        <v>110</v>
      </c>
      <c r="J166" s="24" t="n">
        <v>8</v>
      </c>
      <c r="K166" s="24" t="n"/>
      <c r="L166" s="24" t="n"/>
      <c r="M166" s="24" t="n"/>
      <c r="N166" s="24" t="n"/>
      <c r="O166" s="15">
        <f>IF(D166="","",COUNT(F166,H166,J166,L166,N166))</f>
        <v/>
      </c>
      <c r="P166" s="25">
        <f>IF(D166="","",N(E166)*N(F166)+N(G166)*N(H166)+N(I166)*N(J166)+N(K166)*N(L166)+N(M166)*N(N166))</f>
        <v/>
      </c>
      <c r="Q166" s="18">
        <f>IF(N(X166)=0,"",IF(IF(N(F166)=0,0,IF(N(E166)&gt;0,E166*(1+F166/30),F166))=X166,IF(N(E166)&gt;0,E166&amp;" x "&amp;F166,F166&amp;" reps"),IF(IF(N(H166)=0,0,IF(N(G166)&gt;0,G166*(1+H166/30),H166))=X166,IF(N(G166)&gt;0,G166&amp;" x "&amp;H166,H166&amp;" reps"),IF(IF(N(J166)=0,0,IF(N(I166)&gt;0,I166*(1+J166/30),J166))=X166,IF(N(I166)&gt;0,I166&amp;" x "&amp;J166,J166&amp;" reps"),IF(IF(N(L166)=0,0,IF(N(K166)&gt;0,K166*(1+L166/30),L166))=X166,IF(N(K166)&gt;0,K166&amp;" x "&amp;L166,L166&amp;" reps"),IF(IF(N(N166)=0,0,IF(N(M166)&gt;0,M166*(1+N166/30),N166))=X166,IF(N(M166)&gt;0,M166&amp;" x "&amp;N166,N166&amp;" reps"),""))))))</f>
        <v/>
      </c>
      <c r="R166" s="20">
        <f>IF(N(X166)=0,"",ROUND(X166,1))</f>
        <v/>
      </c>
      <c r="S166" s="18">
        <f>IF(N(X166)=0,"",IF(AND(COUNTIFS(Log!$D$6:$D$1505,D166,Log!$B$6:$B$1505,"&lt;"&amp;B166)&gt;0,COUNTIFS(Log!$D$6:$D$1505,D166,Log!$B$6:$B$1505,"&lt;"&amp;B166,Log!$X$6:$X$1505,"&gt;="&amp;X166)=0),"New best",""))</f>
        <v/>
      </c>
      <c r="T166" s="26" t="n"/>
      <c r="U166" s="1">
        <f>IF(D166="","",IFERROR(INDEX(Exercises!$C$6:$C$105,MATCH(D166,Exercises!$B$6:$B$105,0)),"Other"))</f>
        <v/>
      </c>
      <c r="V166">
        <f>IF(B166="","",IF(COUNTIF($B$6:B166,B166)=1,1,0))</f>
        <v/>
      </c>
      <c r="W166">
        <f>IF(B166="","",B166-WEEKDAY(B166,3))</f>
        <v/>
      </c>
      <c r="X166">
        <f>IF(D166="","",MAX(IF(N(F166)=0,0,IF(N(E166)&gt;0,E166*(1+F166/30),F166)),IF(N(H166)=0,0,IF(N(G166)&gt;0,G166*(1+H166/30),H166)),IF(N(J166)=0,0,IF(N(I166)&gt;0,I166*(1+J166/30),J166)),IF(N(L166)=0,0,IF(N(K166)&gt;0,K166*(1+L166/30),L166)),IF(N(N166)=0,0,IF(N(M166)&gt;0,M166*(1+N166/30),N166))))</f>
        <v/>
      </c>
      <c r="Y166">
        <f>IF(N(X166)=0,"",X166+ROW()/1000000000)</f>
        <v/>
      </c>
      <c r="Z166">
        <f>IF(Y166="","",IF(COUNTIFS(Log!$D$6:$D$1505,D166,Log!$Y$6:$Y$1505,"&gt;"&amp;Y166)=0,1,0))</f>
        <v/>
      </c>
      <c r="AA166">
        <f>IF(OR(B166="",D166=""),"",B166+ROW()/10000000)</f>
        <v/>
      </c>
      <c r="AB166">
        <f>IF(AA166="","",IF(COUNTIFS(Log!$D$6:$D$1505,D166,Log!$AA$6:$AA$1505,"&gt;"&amp;AA166)=0,1,0))</f>
        <v/>
      </c>
      <c r="AC166">
        <f>IF(S166="New best",AA166,"")</f>
        <v/>
      </c>
      <c r="AD166">
        <f>ROW()</f>
        <v/>
      </c>
    </row>
    <row r="167">
      <c r="A167" s="1" t="n"/>
      <c r="B167" s="21" t="n">
        <v>46255</v>
      </c>
      <c r="C167" s="22" t="inlineStr">
        <is>
          <t>Upper</t>
        </is>
      </c>
      <c r="D167" s="23" t="inlineStr">
        <is>
          <t>Overhead press</t>
        </is>
      </c>
      <c r="E167" s="24" t="n">
        <v>85</v>
      </c>
      <c r="F167" s="24" t="n">
        <v>9</v>
      </c>
      <c r="G167" s="24" t="n">
        <v>85</v>
      </c>
      <c r="H167" s="24" t="n">
        <v>9</v>
      </c>
      <c r="I167" s="24" t="n">
        <v>85</v>
      </c>
      <c r="J167" s="24" t="n">
        <v>8</v>
      </c>
      <c r="K167" s="24" t="n"/>
      <c r="L167" s="24" t="n"/>
      <c r="M167" s="24" t="n"/>
      <c r="N167" s="24" t="n"/>
      <c r="O167" s="15">
        <f>IF(D167="","",COUNT(F167,H167,J167,L167,N167))</f>
        <v/>
      </c>
      <c r="P167" s="25">
        <f>IF(D167="","",N(E167)*N(F167)+N(G167)*N(H167)+N(I167)*N(J167)+N(K167)*N(L167)+N(M167)*N(N167))</f>
        <v/>
      </c>
      <c r="Q167" s="18">
        <f>IF(N(X167)=0,"",IF(IF(N(F167)=0,0,IF(N(E167)&gt;0,E167*(1+F167/30),F167))=X167,IF(N(E167)&gt;0,E167&amp;" x "&amp;F167,F167&amp;" reps"),IF(IF(N(H167)=0,0,IF(N(G167)&gt;0,G167*(1+H167/30),H167))=X167,IF(N(G167)&gt;0,G167&amp;" x "&amp;H167,H167&amp;" reps"),IF(IF(N(J167)=0,0,IF(N(I167)&gt;0,I167*(1+J167/30),J167))=X167,IF(N(I167)&gt;0,I167&amp;" x "&amp;J167,J167&amp;" reps"),IF(IF(N(L167)=0,0,IF(N(K167)&gt;0,K167*(1+L167/30),L167))=X167,IF(N(K167)&gt;0,K167&amp;" x "&amp;L167,L167&amp;" reps"),IF(IF(N(N167)=0,0,IF(N(M167)&gt;0,M167*(1+N167/30),N167))=X167,IF(N(M167)&gt;0,M167&amp;" x "&amp;N167,N167&amp;" reps"),""))))))</f>
        <v/>
      </c>
      <c r="R167" s="20">
        <f>IF(N(X167)=0,"",ROUND(X167,1))</f>
        <v/>
      </c>
      <c r="S167" s="18">
        <f>IF(N(X167)=0,"",IF(AND(COUNTIFS(Log!$D$6:$D$1505,D167,Log!$B$6:$B$1505,"&lt;"&amp;B167)&gt;0,COUNTIFS(Log!$D$6:$D$1505,D167,Log!$B$6:$B$1505,"&lt;"&amp;B167,Log!$X$6:$X$1505,"&gt;="&amp;X167)=0),"New best",""))</f>
        <v/>
      </c>
      <c r="T167" s="26" t="n"/>
      <c r="U167" s="1">
        <f>IF(D167="","",IFERROR(INDEX(Exercises!$C$6:$C$105,MATCH(D167,Exercises!$B$6:$B$105,0)),"Other"))</f>
        <v/>
      </c>
      <c r="V167">
        <f>IF(B167="","",IF(COUNTIF($B$6:B167,B167)=1,1,0))</f>
        <v/>
      </c>
      <c r="W167">
        <f>IF(B167="","",B167-WEEKDAY(B167,3))</f>
        <v/>
      </c>
      <c r="X167">
        <f>IF(D167="","",MAX(IF(N(F167)=0,0,IF(N(E167)&gt;0,E167*(1+F167/30),F167)),IF(N(H167)=0,0,IF(N(G167)&gt;0,G167*(1+H167/30),H167)),IF(N(J167)=0,0,IF(N(I167)&gt;0,I167*(1+J167/30),J167)),IF(N(L167)=0,0,IF(N(K167)&gt;0,K167*(1+L167/30),L167)),IF(N(N167)=0,0,IF(N(M167)&gt;0,M167*(1+N167/30),N167))))</f>
        <v/>
      </c>
      <c r="Y167">
        <f>IF(N(X167)=0,"",X167+ROW()/1000000000)</f>
        <v/>
      </c>
      <c r="Z167">
        <f>IF(Y167="","",IF(COUNTIFS(Log!$D$6:$D$1505,D167,Log!$Y$6:$Y$1505,"&gt;"&amp;Y167)=0,1,0))</f>
        <v/>
      </c>
      <c r="AA167">
        <f>IF(OR(B167="",D167=""),"",B167+ROW()/10000000)</f>
        <v/>
      </c>
      <c r="AB167">
        <f>IF(AA167="","",IF(COUNTIFS(Log!$D$6:$D$1505,D167,Log!$AA$6:$AA$1505,"&gt;"&amp;AA167)=0,1,0))</f>
        <v/>
      </c>
      <c r="AC167">
        <f>IF(S167="New best",AA167,"")</f>
        <v/>
      </c>
      <c r="AD167">
        <f>ROW()</f>
        <v/>
      </c>
    </row>
    <row r="168">
      <c r="A168" s="1" t="n"/>
      <c r="B168" s="21" t="n">
        <v>46255</v>
      </c>
      <c r="C168" s="22" t="inlineStr">
        <is>
          <t>Upper</t>
        </is>
      </c>
      <c r="D168" s="23" t="inlineStr">
        <is>
          <t>Pull-up</t>
        </is>
      </c>
      <c r="E168" s="24" t="n"/>
      <c r="F168" s="24" t="n">
        <v>7</v>
      </c>
      <c r="G168" s="24" t="n"/>
      <c r="H168" s="24" t="n">
        <v>6</v>
      </c>
      <c r="I168" s="24" t="n"/>
      <c r="J168" s="24" t="n">
        <v>6</v>
      </c>
      <c r="K168" s="24" t="n"/>
      <c r="L168" s="24" t="n"/>
      <c r="M168" s="24" t="n"/>
      <c r="N168" s="24" t="n"/>
      <c r="O168" s="15">
        <f>IF(D168="","",COUNT(F168,H168,J168,L168,N168))</f>
        <v/>
      </c>
      <c r="P168" s="25">
        <f>IF(D168="","",N(E168)*N(F168)+N(G168)*N(H168)+N(I168)*N(J168)+N(K168)*N(L168)+N(M168)*N(N168))</f>
        <v/>
      </c>
      <c r="Q168" s="18">
        <f>IF(N(X168)=0,"",IF(IF(N(F168)=0,0,IF(N(E168)&gt;0,E168*(1+F168/30),F168))=X168,IF(N(E168)&gt;0,E168&amp;" x "&amp;F168,F168&amp;" reps"),IF(IF(N(H168)=0,0,IF(N(G168)&gt;0,G168*(1+H168/30),H168))=X168,IF(N(G168)&gt;0,G168&amp;" x "&amp;H168,H168&amp;" reps"),IF(IF(N(J168)=0,0,IF(N(I168)&gt;0,I168*(1+J168/30),J168))=X168,IF(N(I168)&gt;0,I168&amp;" x "&amp;J168,J168&amp;" reps"),IF(IF(N(L168)=0,0,IF(N(K168)&gt;0,K168*(1+L168/30),L168))=X168,IF(N(K168)&gt;0,K168&amp;" x "&amp;L168,L168&amp;" reps"),IF(IF(N(N168)=0,0,IF(N(M168)&gt;0,M168*(1+N168/30),N168))=X168,IF(N(M168)&gt;0,M168&amp;" x "&amp;N168,N168&amp;" reps"),""))))))</f>
        <v/>
      </c>
      <c r="R168" s="20">
        <f>IF(N(X168)=0,"",ROUND(X168,1))</f>
        <v/>
      </c>
      <c r="S168" s="18">
        <f>IF(N(X168)=0,"",IF(AND(COUNTIFS(Log!$D$6:$D$1505,D168,Log!$B$6:$B$1505,"&lt;"&amp;B168)&gt;0,COUNTIFS(Log!$D$6:$D$1505,D168,Log!$B$6:$B$1505,"&lt;"&amp;B168,Log!$X$6:$X$1505,"&gt;="&amp;X168)=0),"New best",""))</f>
        <v/>
      </c>
      <c r="T168" s="26" t="n"/>
      <c r="U168" s="1">
        <f>IF(D168="","",IFERROR(INDEX(Exercises!$C$6:$C$105,MATCH(D168,Exercises!$B$6:$B$105,0)),"Other"))</f>
        <v/>
      </c>
      <c r="V168">
        <f>IF(B168="","",IF(COUNTIF($B$6:B168,B168)=1,1,0))</f>
        <v/>
      </c>
      <c r="W168">
        <f>IF(B168="","",B168-WEEKDAY(B168,3))</f>
        <v/>
      </c>
      <c r="X168">
        <f>IF(D168="","",MAX(IF(N(F168)=0,0,IF(N(E168)&gt;0,E168*(1+F168/30),F168)),IF(N(H168)=0,0,IF(N(G168)&gt;0,G168*(1+H168/30),H168)),IF(N(J168)=0,0,IF(N(I168)&gt;0,I168*(1+J168/30),J168)),IF(N(L168)=0,0,IF(N(K168)&gt;0,K168*(1+L168/30),L168)),IF(N(N168)=0,0,IF(N(M168)&gt;0,M168*(1+N168/30),N168))))</f>
        <v/>
      </c>
      <c r="Y168">
        <f>IF(N(X168)=0,"",X168+ROW()/1000000000)</f>
        <v/>
      </c>
      <c r="Z168">
        <f>IF(Y168="","",IF(COUNTIFS(Log!$D$6:$D$1505,D168,Log!$Y$6:$Y$1505,"&gt;"&amp;Y168)=0,1,0))</f>
        <v/>
      </c>
      <c r="AA168">
        <f>IF(OR(B168="",D168=""),"",B168+ROW()/10000000)</f>
        <v/>
      </c>
      <c r="AB168">
        <f>IF(AA168="","",IF(COUNTIFS(Log!$D$6:$D$1505,D168,Log!$AA$6:$AA$1505,"&gt;"&amp;AA168)=0,1,0))</f>
        <v/>
      </c>
      <c r="AC168">
        <f>IF(S168="New best",AA168,"")</f>
        <v/>
      </c>
      <c r="AD168">
        <f>ROW()</f>
        <v/>
      </c>
    </row>
    <row r="169">
      <c r="A169" s="1" t="n"/>
      <c r="B169" s="21" t="n">
        <v>46255</v>
      </c>
      <c r="C169" s="22" t="inlineStr">
        <is>
          <t>Upper</t>
        </is>
      </c>
      <c r="D169" s="23" t="inlineStr">
        <is>
          <t>Biceps curl</t>
        </is>
      </c>
      <c r="E169" s="24" t="n">
        <v>25</v>
      </c>
      <c r="F169" s="24" t="n">
        <v>12</v>
      </c>
      <c r="G169" s="24" t="n">
        <v>25</v>
      </c>
      <c r="H169" s="24" t="n">
        <v>10</v>
      </c>
      <c r="I169" s="24" t="n"/>
      <c r="J169" s="24" t="n"/>
      <c r="K169" s="24" t="n"/>
      <c r="L169" s="24" t="n"/>
      <c r="M169" s="24" t="n"/>
      <c r="N169" s="24" t="n"/>
      <c r="O169" s="15">
        <f>IF(D169="","",COUNT(F169,H169,J169,L169,N169))</f>
        <v/>
      </c>
      <c r="P169" s="25">
        <f>IF(D169="","",N(E169)*N(F169)+N(G169)*N(H169)+N(I169)*N(J169)+N(K169)*N(L169)+N(M169)*N(N169))</f>
        <v/>
      </c>
      <c r="Q169" s="18">
        <f>IF(N(X169)=0,"",IF(IF(N(F169)=0,0,IF(N(E169)&gt;0,E169*(1+F169/30),F169))=X169,IF(N(E169)&gt;0,E169&amp;" x "&amp;F169,F169&amp;" reps"),IF(IF(N(H169)=0,0,IF(N(G169)&gt;0,G169*(1+H169/30),H169))=X169,IF(N(G169)&gt;0,G169&amp;" x "&amp;H169,H169&amp;" reps"),IF(IF(N(J169)=0,0,IF(N(I169)&gt;0,I169*(1+J169/30),J169))=X169,IF(N(I169)&gt;0,I169&amp;" x "&amp;J169,J169&amp;" reps"),IF(IF(N(L169)=0,0,IF(N(K169)&gt;0,K169*(1+L169/30),L169))=X169,IF(N(K169)&gt;0,K169&amp;" x "&amp;L169,L169&amp;" reps"),IF(IF(N(N169)=0,0,IF(N(M169)&gt;0,M169*(1+N169/30),N169))=X169,IF(N(M169)&gt;0,M169&amp;" x "&amp;N169,N169&amp;" reps"),""))))))</f>
        <v/>
      </c>
      <c r="R169" s="20">
        <f>IF(N(X169)=0,"",ROUND(X169,1))</f>
        <v/>
      </c>
      <c r="S169" s="18">
        <f>IF(N(X169)=0,"",IF(AND(COUNTIFS(Log!$D$6:$D$1505,D169,Log!$B$6:$B$1505,"&lt;"&amp;B169)&gt;0,COUNTIFS(Log!$D$6:$D$1505,D169,Log!$B$6:$B$1505,"&lt;"&amp;B169,Log!$X$6:$X$1505,"&gt;="&amp;X169)=0),"New best",""))</f>
        <v/>
      </c>
      <c r="T169" s="26" t="n"/>
      <c r="U169" s="1">
        <f>IF(D169="","",IFERROR(INDEX(Exercises!$C$6:$C$105,MATCH(D169,Exercises!$B$6:$B$105,0)),"Other"))</f>
        <v/>
      </c>
      <c r="V169">
        <f>IF(B169="","",IF(COUNTIF($B$6:B169,B169)=1,1,0))</f>
        <v/>
      </c>
      <c r="W169">
        <f>IF(B169="","",B169-WEEKDAY(B169,3))</f>
        <v/>
      </c>
      <c r="X169">
        <f>IF(D169="","",MAX(IF(N(F169)=0,0,IF(N(E169)&gt;0,E169*(1+F169/30),F169)),IF(N(H169)=0,0,IF(N(G169)&gt;0,G169*(1+H169/30),H169)),IF(N(J169)=0,0,IF(N(I169)&gt;0,I169*(1+J169/30),J169)),IF(N(L169)=0,0,IF(N(K169)&gt;0,K169*(1+L169/30),L169)),IF(N(N169)=0,0,IF(N(M169)&gt;0,M169*(1+N169/30),N169))))</f>
        <v/>
      </c>
      <c r="Y169">
        <f>IF(N(X169)=0,"",X169+ROW()/1000000000)</f>
        <v/>
      </c>
      <c r="Z169">
        <f>IF(Y169="","",IF(COUNTIFS(Log!$D$6:$D$1505,D169,Log!$Y$6:$Y$1505,"&gt;"&amp;Y169)=0,1,0))</f>
        <v/>
      </c>
      <c r="AA169">
        <f>IF(OR(B169="",D169=""),"",B169+ROW()/10000000)</f>
        <v/>
      </c>
      <c r="AB169">
        <f>IF(AA169="","",IF(COUNTIFS(Log!$D$6:$D$1505,D169,Log!$AA$6:$AA$1505,"&gt;"&amp;AA169)=0,1,0))</f>
        <v/>
      </c>
      <c r="AC169">
        <f>IF(S169="New best",AA169,"")</f>
        <v/>
      </c>
      <c r="AD169">
        <f>ROW()</f>
        <v/>
      </c>
    </row>
    <row r="170">
      <c r="A170" s="1" t="n"/>
      <c r="B170" s="21" t="n">
        <v>46255</v>
      </c>
      <c r="C170" s="22" t="inlineStr">
        <is>
          <t>Upper</t>
        </is>
      </c>
      <c r="D170" s="23" t="inlineStr">
        <is>
          <t>Triceps pushdown</t>
        </is>
      </c>
      <c r="E170" s="24" t="n">
        <v>45</v>
      </c>
      <c r="F170" s="24" t="n">
        <v>11</v>
      </c>
      <c r="G170" s="24" t="n">
        <v>45</v>
      </c>
      <c r="H170" s="24" t="n">
        <v>11</v>
      </c>
      <c r="I170" s="24" t="n"/>
      <c r="J170" s="24" t="n"/>
      <c r="K170" s="24" t="n"/>
      <c r="L170" s="24" t="n"/>
      <c r="M170" s="24" t="n"/>
      <c r="N170" s="24" t="n"/>
      <c r="O170" s="15">
        <f>IF(D170="","",COUNT(F170,H170,J170,L170,N170))</f>
        <v/>
      </c>
      <c r="P170" s="25">
        <f>IF(D170="","",N(E170)*N(F170)+N(G170)*N(H170)+N(I170)*N(J170)+N(K170)*N(L170)+N(M170)*N(N170))</f>
        <v/>
      </c>
      <c r="Q170" s="18">
        <f>IF(N(X170)=0,"",IF(IF(N(F170)=0,0,IF(N(E170)&gt;0,E170*(1+F170/30),F170))=X170,IF(N(E170)&gt;0,E170&amp;" x "&amp;F170,F170&amp;" reps"),IF(IF(N(H170)=0,0,IF(N(G170)&gt;0,G170*(1+H170/30),H170))=X170,IF(N(G170)&gt;0,G170&amp;" x "&amp;H170,H170&amp;" reps"),IF(IF(N(J170)=0,0,IF(N(I170)&gt;0,I170*(1+J170/30),J170))=X170,IF(N(I170)&gt;0,I170&amp;" x "&amp;J170,J170&amp;" reps"),IF(IF(N(L170)=0,0,IF(N(K170)&gt;0,K170*(1+L170/30),L170))=X170,IF(N(K170)&gt;0,K170&amp;" x "&amp;L170,L170&amp;" reps"),IF(IF(N(N170)=0,0,IF(N(M170)&gt;0,M170*(1+N170/30),N170))=X170,IF(N(M170)&gt;0,M170&amp;" x "&amp;N170,N170&amp;" reps"),""))))))</f>
        <v/>
      </c>
      <c r="R170" s="20">
        <f>IF(N(X170)=0,"",ROUND(X170,1))</f>
        <v/>
      </c>
      <c r="S170" s="18">
        <f>IF(N(X170)=0,"",IF(AND(COUNTIFS(Log!$D$6:$D$1505,D170,Log!$B$6:$B$1505,"&lt;"&amp;B170)&gt;0,COUNTIFS(Log!$D$6:$D$1505,D170,Log!$B$6:$B$1505,"&lt;"&amp;B170,Log!$X$6:$X$1505,"&gt;="&amp;X170)=0),"New best",""))</f>
        <v/>
      </c>
      <c r="T170" s="26" t="n"/>
      <c r="U170" s="1">
        <f>IF(D170="","",IFERROR(INDEX(Exercises!$C$6:$C$105,MATCH(D170,Exercises!$B$6:$B$105,0)),"Other"))</f>
        <v/>
      </c>
      <c r="V170">
        <f>IF(B170="","",IF(COUNTIF($B$6:B170,B170)=1,1,0))</f>
        <v/>
      </c>
      <c r="W170">
        <f>IF(B170="","",B170-WEEKDAY(B170,3))</f>
        <v/>
      </c>
      <c r="X170">
        <f>IF(D170="","",MAX(IF(N(F170)=0,0,IF(N(E170)&gt;0,E170*(1+F170/30),F170)),IF(N(H170)=0,0,IF(N(G170)&gt;0,G170*(1+H170/30),H170)),IF(N(J170)=0,0,IF(N(I170)&gt;0,I170*(1+J170/30),J170)),IF(N(L170)=0,0,IF(N(K170)&gt;0,K170*(1+L170/30),L170)),IF(N(N170)=0,0,IF(N(M170)&gt;0,M170*(1+N170/30),N170))))</f>
        <v/>
      </c>
      <c r="Y170">
        <f>IF(N(X170)=0,"",X170+ROW()/1000000000)</f>
        <v/>
      </c>
      <c r="Z170">
        <f>IF(Y170="","",IF(COUNTIFS(Log!$D$6:$D$1505,D170,Log!$Y$6:$Y$1505,"&gt;"&amp;Y170)=0,1,0))</f>
        <v/>
      </c>
      <c r="AA170">
        <f>IF(OR(B170="",D170=""),"",B170+ROW()/10000000)</f>
        <v/>
      </c>
      <c r="AB170">
        <f>IF(AA170="","",IF(COUNTIFS(Log!$D$6:$D$1505,D170,Log!$AA$6:$AA$1505,"&gt;"&amp;AA170)=0,1,0))</f>
        <v/>
      </c>
      <c r="AC170">
        <f>IF(S170="New best",AA170,"")</f>
        <v/>
      </c>
      <c r="AD170">
        <f>ROW()</f>
        <v/>
      </c>
    </row>
    <row r="171">
      <c r="A171" s="1" t="n"/>
      <c r="B171" s="21" t="n">
        <v>46256</v>
      </c>
      <c r="C171" s="22" t="inlineStr">
        <is>
          <t>Lower</t>
        </is>
      </c>
      <c r="D171" s="23" t="inlineStr">
        <is>
          <t>Squat</t>
        </is>
      </c>
      <c r="E171" s="24" t="n">
        <v>185</v>
      </c>
      <c r="F171" s="24" t="n">
        <v>8</v>
      </c>
      <c r="G171" s="24" t="n">
        <v>185</v>
      </c>
      <c r="H171" s="24" t="n">
        <v>8</v>
      </c>
      <c r="I171" s="24" t="n">
        <v>185</v>
      </c>
      <c r="J171" s="24" t="n">
        <v>8</v>
      </c>
      <c r="K171" s="24" t="n"/>
      <c r="L171" s="24" t="n"/>
      <c r="M171" s="24" t="n"/>
      <c r="N171" s="24" t="n"/>
      <c r="O171" s="15">
        <f>IF(D171="","",COUNT(F171,H171,J171,L171,N171))</f>
        <v/>
      </c>
      <c r="P171" s="25">
        <f>IF(D171="","",N(E171)*N(F171)+N(G171)*N(H171)+N(I171)*N(J171)+N(K171)*N(L171)+N(M171)*N(N171))</f>
        <v/>
      </c>
      <c r="Q171" s="18">
        <f>IF(N(X171)=0,"",IF(IF(N(F171)=0,0,IF(N(E171)&gt;0,E171*(1+F171/30),F171))=X171,IF(N(E171)&gt;0,E171&amp;" x "&amp;F171,F171&amp;" reps"),IF(IF(N(H171)=0,0,IF(N(G171)&gt;0,G171*(1+H171/30),H171))=X171,IF(N(G171)&gt;0,G171&amp;" x "&amp;H171,H171&amp;" reps"),IF(IF(N(J171)=0,0,IF(N(I171)&gt;0,I171*(1+J171/30),J171))=X171,IF(N(I171)&gt;0,I171&amp;" x "&amp;J171,J171&amp;" reps"),IF(IF(N(L171)=0,0,IF(N(K171)&gt;0,K171*(1+L171/30),L171))=X171,IF(N(K171)&gt;0,K171&amp;" x "&amp;L171,L171&amp;" reps"),IF(IF(N(N171)=0,0,IF(N(M171)&gt;0,M171*(1+N171/30),N171))=X171,IF(N(M171)&gt;0,M171&amp;" x "&amp;N171,N171&amp;" reps"),""))))))</f>
        <v/>
      </c>
      <c r="R171" s="20">
        <f>IF(N(X171)=0,"",ROUND(X171,1))</f>
        <v/>
      </c>
      <c r="S171" s="18">
        <f>IF(N(X171)=0,"",IF(AND(COUNTIFS(Log!$D$6:$D$1505,D171,Log!$B$6:$B$1505,"&lt;"&amp;B171)&gt;0,COUNTIFS(Log!$D$6:$D$1505,D171,Log!$B$6:$B$1505,"&lt;"&amp;B171,Log!$X$6:$X$1505,"&gt;="&amp;X171)=0),"New best",""))</f>
        <v/>
      </c>
      <c r="T171" s="26" t="n"/>
      <c r="U171" s="1">
        <f>IF(D171="","",IFERROR(INDEX(Exercises!$C$6:$C$105,MATCH(D171,Exercises!$B$6:$B$105,0)),"Other"))</f>
        <v/>
      </c>
      <c r="V171">
        <f>IF(B171="","",IF(COUNTIF($B$6:B171,B171)=1,1,0))</f>
        <v/>
      </c>
      <c r="W171">
        <f>IF(B171="","",B171-WEEKDAY(B171,3))</f>
        <v/>
      </c>
      <c r="X171">
        <f>IF(D171="","",MAX(IF(N(F171)=0,0,IF(N(E171)&gt;0,E171*(1+F171/30),F171)),IF(N(H171)=0,0,IF(N(G171)&gt;0,G171*(1+H171/30),H171)),IF(N(J171)=0,0,IF(N(I171)&gt;0,I171*(1+J171/30),J171)),IF(N(L171)=0,0,IF(N(K171)&gt;0,K171*(1+L171/30),L171)),IF(N(N171)=0,0,IF(N(M171)&gt;0,M171*(1+N171/30),N171))))</f>
        <v/>
      </c>
      <c r="Y171">
        <f>IF(N(X171)=0,"",X171+ROW()/1000000000)</f>
        <v/>
      </c>
      <c r="Z171">
        <f>IF(Y171="","",IF(COUNTIFS(Log!$D$6:$D$1505,D171,Log!$Y$6:$Y$1505,"&gt;"&amp;Y171)=0,1,0))</f>
        <v/>
      </c>
      <c r="AA171">
        <f>IF(OR(B171="",D171=""),"",B171+ROW()/10000000)</f>
        <v/>
      </c>
      <c r="AB171">
        <f>IF(AA171="","",IF(COUNTIFS(Log!$D$6:$D$1505,D171,Log!$AA$6:$AA$1505,"&gt;"&amp;AA171)=0,1,0))</f>
        <v/>
      </c>
      <c r="AC171">
        <f>IF(S171="New best",AA171,"")</f>
        <v/>
      </c>
      <c r="AD171">
        <f>ROW()</f>
        <v/>
      </c>
    </row>
    <row r="172">
      <c r="A172" s="1" t="n"/>
      <c r="B172" s="21" t="n">
        <v>46256</v>
      </c>
      <c r="C172" s="22" t="inlineStr">
        <is>
          <t>Lower</t>
        </is>
      </c>
      <c r="D172" s="23" t="inlineStr">
        <is>
          <t>Romanian deadlift</t>
        </is>
      </c>
      <c r="E172" s="24" t="n">
        <v>160</v>
      </c>
      <c r="F172" s="24" t="n">
        <v>10</v>
      </c>
      <c r="G172" s="24" t="n">
        <v>160</v>
      </c>
      <c r="H172" s="24" t="n">
        <v>9</v>
      </c>
      <c r="I172" s="24" t="n">
        <v>160</v>
      </c>
      <c r="J172" s="24" t="n">
        <v>8</v>
      </c>
      <c r="K172" s="24" t="n"/>
      <c r="L172" s="24" t="n"/>
      <c r="M172" s="24" t="n"/>
      <c r="N172" s="24" t="n"/>
      <c r="O172" s="15">
        <f>IF(D172="","",COUNT(F172,H172,J172,L172,N172))</f>
        <v/>
      </c>
      <c r="P172" s="25">
        <f>IF(D172="","",N(E172)*N(F172)+N(G172)*N(H172)+N(I172)*N(J172)+N(K172)*N(L172)+N(M172)*N(N172))</f>
        <v/>
      </c>
      <c r="Q172" s="18">
        <f>IF(N(X172)=0,"",IF(IF(N(F172)=0,0,IF(N(E172)&gt;0,E172*(1+F172/30),F172))=X172,IF(N(E172)&gt;0,E172&amp;" x "&amp;F172,F172&amp;" reps"),IF(IF(N(H172)=0,0,IF(N(G172)&gt;0,G172*(1+H172/30),H172))=X172,IF(N(G172)&gt;0,G172&amp;" x "&amp;H172,H172&amp;" reps"),IF(IF(N(J172)=0,0,IF(N(I172)&gt;0,I172*(1+J172/30),J172))=X172,IF(N(I172)&gt;0,I172&amp;" x "&amp;J172,J172&amp;" reps"),IF(IF(N(L172)=0,0,IF(N(K172)&gt;0,K172*(1+L172/30),L172))=X172,IF(N(K172)&gt;0,K172&amp;" x "&amp;L172,L172&amp;" reps"),IF(IF(N(N172)=0,0,IF(N(M172)&gt;0,M172*(1+N172/30),N172))=X172,IF(N(M172)&gt;0,M172&amp;" x "&amp;N172,N172&amp;" reps"),""))))))</f>
        <v/>
      </c>
      <c r="R172" s="20">
        <f>IF(N(X172)=0,"",ROUND(X172,1))</f>
        <v/>
      </c>
      <c r="S172" s="18">
        <f>IF(N(X172)=0,"",IF(AND(COUNTIFS(Log!$D$6:$D$1505,D172,Log!$B$6:$B$1505,"&lt;"&amp;B172)&gt;0,COUNTIFS(Log!$D$6:$D$1505,D172,Log!$B$6:$B$1505,"&lt;"&amp;B172,Log!$X$6:$X$1505,"&gt;="&amp;X172)=0),"New best",""))</f>
        <v/>
      </c>
      <c r="T172" s="26" t="n"/>
      <c r="U172" s="1">
        <f>IF(D172="","",IFERROR(INDEX(Exercises!$C$6:$C$105,MATCH(D172,Exercises!$B$6:$B$105,0)),"Other"))</f>
        <v/>
      </c>
      <c r="V172">
        <f>IF(B172="","",IF(COUNTIF($B$6:B172,B172)=1,1,0))</f>
        <v/>
      </c>
      <c r="W172">
        <f>IF(B172="","",B172-WEEKDAY(B172,3))</f>
        <v/>
      </c>
      <c r="X172">
        <f>IF(D172="","",MAX(IF(N(F172)=0,0,IF(N(E172)&gt;0,E172*(1+F172/30),F172)),IF(N(H172)=0,0,IF(N(G172)&gt;0,G172*(1+H172/30),H172)),IF(N(J172)=0,0,IF(N(I172)&gt;0,I172*(1+J172/30),J172)),IF(N(L172)=0,0,IF(N(K172)&gt;0,K172*(1+L172/30),L172)),IF(N(N172)=0,0,IF(N(M172)&gt;0,M172*(1+N172/30),N172))))</f>
        <v/>
      </c>
      <c r="Y172">
        <f>IF(N(X172)=0,"",X172+ROW()/1000000000)</f>
        <v/>
      </c>
      <c r="Z172">
        <f>IF(Y172="","",IF(COUNTIFS(Log!$D$6:$D$1505,D172,Log!$Y$6:$Y$1505,"&gt;"&amp;Y172)=0,1,0))</f>
        <v/>
      </c>
      <c r="AA172">
        <f>IF(OR(B172="",D172=""),"",B172+ROW()/10000000)</f>
        <v/>
      </c>
      <c r="AB172">
        <f>IF(AA172="","",IF(COUNTIFS(Log!$D$6:$D$1505,D172,Log!$AA$6:$AA$1505,"&gt;"&amp;AA172)=0,1,0))</f>
        <v/>
      </c>
      <c r="AC172">
        <f>IF(S172="New best",AA172,"")</f>
        <v/>
      </c>
      <c r="AD172">
        <f>ROW()</f>
        <v/>
      </c>
    </row>
    <row r="173">
      <c r="A173" s="1" t="n"/>
      <c r="B173" s="21" t="n">
        <v>46256</v>
      </c>
      <c r="C173" s="22" t="inlineStr">
        <is>
          <t>Lower</t>
        </is>
      </c>
      <c r="D173" s="23" t="inlineStr">
        <is>
          <t>Leg press</t>
        </is>
      </c>
      <c r="E173" s="24" t="n">
        <v>280</v>
      </c>
      <c r="F173" s="24" t="n">
        <v>15</v>
      </c>
      <c r="G173" s="24" t="n">
        <v>280</v>
      </c>
      <c r="H173" s="24" t="n">
        <v>13</v>
      </c>
      <c r="I173" s="24" t="n">
        <v>280</v>
      </c>
      <c r="J173" s="24" t="n">
        <v>13</v>
      </c>
      <c r="K173" s="24" t="n"/>
      <c r="L173" s="24" t="n"/>
      <c r="M173" s="24" t="n"/>
      <c r="N173" s="24" t="n"/>
      <c r="O173" s="15">
        <f>IF(D173="","",COUNT(F173,H173,J173,L173,N173))</f>
        <v/>
      </c>
      <c r="P173" s="25">
        <f>IF(D173="","",N(E173)*N(F173)+N(G173)*N(H173)+N(I173)*N(J173)+N(K173)*N(L173)+N(M173)*N(N173))</f>
        <v/>
      </c>
      <c r="Q173" s="18">
        <f>IF(N(X173)=0,"",IF(IF(N(F173)=0,0,IF(N(E173)&gt;0,E173*(1+F173/30),F173))=X173,IF(N(E173)&gt;0,E173&amp;" x "&amp;F173,F173&amp;" reps"),IF(IF(N(H173)=0,0,IF(N(G173)&gt;0,G173*(1+H173/30),H173))=X173,IF(N(G173)&gt;0,G173&amp;" x "&amp;H173,H173&amp;" reps"),IF(IF(N(J173)=0,0,IF(N(I173)&gt;0,I173*(1+J173/30),J173))=X173,IF(N(I173)&gt;0,I173&amp;" x "&amp;J173,J173&amp;" reps"),IF(IF(N(L173)=0,0,IF(N(K173)&gt;0,K173*(1+L173/30),L173))=X173,IF(N(K173)&gt;0,K173&amp;" x "&amp;L173,L173&amp;" reps"),IF(IF(N(N173)=0,0,IF(N(M173)&gt;0,M173*(1+N173/30),N173))=X173,IF(N(M173)&gt;0,M173&amp;" x "&amp;N173,N173&amp;" reps"),""))))))</f>
        <v/>
      </c>
      <c r="R173" s="20">
        <f>IF(N(X173)=0,"",ROUND(X173,1))</f>
        <v/>
      </c>
      <c r="S173" s="18">
        <f>IF(N(X173)=0,"",IF(AND(COUNTIFS(Log!$D$6:$D$1505,D173,Log!$B$6:$B$1505,"&lt;"&amp;B173)&gt;0,COUNTIFS(Log!$D$6:$D$1505,D173,Log!$B$6:$B$1505,"&lt;"&amp;B173,Log!$X$6:$X$1505,"&gt;="&amp;X173)=0),"New best",""))</f>
        <v/>
      </c>
      <c r="T173" s="26" t="n"/>
      <c r="U173" s="1">
        <f>IF(D173="","",IFERROR(INDEX(Exercises!$C$6:$C$105,MATCH(D173,Exercises!$B$6:$B$105,0)),"Other"))</f>
        <v/>
      </c>
      <c r="V173">
        <f>IF(B173="","",IF(COUNTIF($B$6:B173,B173)=1,1,0))</f>
        <v/>
      </c>
      <c r="W173">
        <f>IF(B173="","",B173-WEEKDAY(B173,3))</f>
        <v/>
      </c>
      <c r="X173">
        <f>IF(D173="","",MAX(IF(N(F173)=0,0,IF(N(E173)&gt;0,E173*(1+F173/30),F173)),IF(N(H173)=0,0,IF(N(G173)&gt;0,G173*(1+H173/30),H173)),IF(N(J173)=0,0,IF(N(I173)&gt;0,I173*(1+J173/30),J173)),IF(N(L173)=0,0,IF(N(K173)&gt;0,K173*(1+L173/30),L173)),IF(N(N173)=0,0,IF(N(M173)&gt;0,M173*(1+N173/30),N173))))</f>
        <v/>
      </c>
      <c r="Y173">
        <f>IF(N(X173)=0,"",X173+ROW()/1000000000)</f>
        <v/>
      </c>
      <c r="Z173">
        <f>IF(Y173="","",IF(COUNTIFS(Log!$D$6:$D$1505,D173,Log!$Y$6:$Y$1505,"&gt;"&amp;Y173)=0,1,0))</f>
        <v/>
      </c>
      <c r="AA173">
        <f>IF(OR(B173="",D173=""),"",B173+ROW()/10000000)</f>
        <v/>
      </c>
      <c r="AB173">
        <f>IF(AA173="","",IF(COUNTIFS(Log!$D$6:$D$1505,D173,Log!$AA$6:$AA$1505,"&gt;"&amp;AA173)=0,1,0))</f>
        <v/>
      </c>
      <c r="AC173">
        <f>IF(S173="New best",AA173,"")</f>
        <v/>
      </c>
      <c r="AD173">
        <f>ROW()</f>
        <v/>
      </c>
    </row>
    <row r="174">
      <c r="A174" s="1" t="n"/>
      <c r="B174" s="21" t="n">
        <v>46256</v>
      </c>
      <c r="C174" s="22" t="inlineStr">
        <is>
          <t>Lower</t>
        </is>
      </c>
      <c r="D174" s="23" t="inlineStr">
        <is>
          <t>Calf raise</t>
        </is>
      </c>
      <c r="E174" s="24" t="n">
        <v>100</v>
      </c>
      <c r="F174" s="24" t="n">
        <v>15</v>
      </c>
      <c r="G174" s="24" t="n">
        <v>100</v>
      </c>
      <c r="H174" s="24" t="n">
        <v>15</v>
      </c>
      <c r="I174" s="24" t="n">
        <v>100</v>
      </c>
      <c r="J174" s="24" t="n">
        <v>15</v>
      </c>
      <c r="K174" s="24" t="n"/>
      <c r="L174" s="24" t="n"/>
      <c r="M174" s="24" t="n"/>
      <c r="N174" s="24" t="n"/>
      <c r="O174" s="15">
        <f>IF(D174="","",COUNT(F174,H174,J174,L174,N174))</f>
        <v/>
      </c>
      <c r="P174" s="25">
        <f>IF(D174="","",N(E174)*N(F174)+N(G174)*N(H174)+N(I174)*N(J174)+N(K174)*N(L174)+N(M174)*N(N174))</f>
        <v/>
      </c>
      <c r="Q174" s="18">
        <f>IF(N(X174)=0,"",IF(IF(N(F174)=0,0,IF(N(E174)&gt;0,E174*(1+F174/30),F174))=X174,IF(N(E174)&gt;0,E174&amp;" x "&amp;F174,F174&amp;" reps"),IF(IF(N(H174)=0,0,IF(N(G174)&gt;0,G174*(1+H174/30),H174))=X174,IF(N(G174)&gt;0,G174&amp;" x "&amp;H174,H174&amp;" reps"),IF(IF(N(J174)=0,0,IF(N(I174)&gt;0,I174*(1+J174/30),J174))=X174,IF(N(I174)&gt;0,I174&amp;" x "&amp;J174,J174&amp;" reps"),IF(IF(N(L174)=0,0,IF(N(K174)&gt;0,K174*(1+L174/30),L174))=X174,IF(N(K174)&gt;0,K174&amp;" x "&amp;L174,L174&amp;" reps"),IF(IF(N(N174)=0,0,IF(N(M174)&gt;0,M174*(1+N174/30),N174))=X174,IF(N(M174)&gt;0,M174&amp;" x "&amp;N174,N174&amp;" reps"),""))))))</f>
        <v/>
      </c>
      <c r="R174" s="20">
        <f>IF(N(X174)=0,"",ROUND(X174,1))</f>
        <v/>
      </c>
      <c r="S174" s="18">
        <f>IF(N(X174)=0,"",IF(AND(COUNTIFS(Log!$D$6:$D$1505,D174,Log!$B$6:$B$1505,"&lt;"&amp;B174)&gt;0,COUNTIFS(Log!$D$6:$D$1505,D174,Log!$B$6:$B$1505,"&lt;"&amp;B174,Log!$X$6:$X$1505,"&gt;="&amp;X174)=0),"New best",""))</f>
        <v/>
      </c>
      <c r="T174" s="26" t="inlineStr">
        <is>
          <t>Felt strong</t>
        </is>
      </c>
      <c r="U174" s="1">
        <f>IF(D174="","",IFERROR(INDEX(Exercises!$C$6:$C$105,MATCH(D174,Exercises!$B$6:$B$105,0)),"Other"))</f>
        <v/>
      </c>
      <c r="V174">
        <f>IF(B174="","",IF(COUNTIF($B$6:B174,B174)=1,1,0))</f>
        <v/>
      </c>
      <c r="W174">
        <f>IF(B174="","",B174-WEEKDAY(B174,3))</f>
        <v/>
      </c>
      <c r="X174">
        <f>IF(D174="","",MAX(IF(N(F174)=0,0,IF(N(E174)&gt;0,E174*(1+F174/30),F174)),IF(N(H174)=0,0,IF(N(G174)&gt;0,G174*(1+H174/30),H174)),IF(N(J174)=0,0,IF(N(I174)&gt;0,I174*(1+J174/30),J174)),IF(N(L174)=0,0,IF(N(K174)&gt;0,K174*(1+L174/30),L174)),IF(N(N174)=0,0,IF(N(M174)&gt;0,M174*(1+N174/30),N174))))</f>
        <v/>
      </c>
      <c r="Y174">
        <f>IF(N(X174)=0,"",X174+ROW()/1000000000)</f>
        <v/>
      </c>
      <c r="Z174">
        <f>IF(Y174="","",IF(COUNTIFS(Log!$D$6:$D$1505,D174,Log!$Y$6:$Y$1505,"&gt;"&amp;Y174)=0,1,0))</f>
        <v/>
      </c>
      <c r="AA174">
        <f>IF(OR(B174="",D174=""),"",B174+ROW()/10000000)</f>
        <v/>
      </c>
      <c r="AB174">
        <f>IF(AA174="","",IF(COUNTIFS(Log!$D$6:$D$1505,D174,Log!$AA$6:$AA$1505,"&gt;"&amp;AA174)=0,1,0))</f>
        <v/>
      </c>
      <c r="AC174">
        <f>IF(S174="New best",AA174,"")</f>
        <v/>
      </c>
      <c r="AD174">
        <f>ROW()</f>
        <v/>
      </c>
    </row>
    <row r="175">
      <c r="A175" s="1" t="n"/>
      <c r="B175" s="21" t="n">
        <v>46258</v>
      </c>
      <c r="C175" s="22" t="inlineStr">
        <is>
          <t>Push</t>
        </is>
      </c>
      <c r="D175" s="23" t="inlineStr">
        <is>
          <t>Bench press</t>
        </is>
      </c>
      <c r="E175" s="24" t="n">
        <v>145</v>
      </c>
      <c r="F175" s="24" t="n">
        <v>8</v>
      </c>
      <c r="G175" s="24" t="n">
        <v>145</v>
      </c>
      <c r="H175" s="24" t="n">
        <v>7</v>
      </c>
      <c r="I175" s="24" t="n">
        <v>145</v>
      </c>
      <c r="J175" s="24" t="n">
        <v>6</v>
      </c>
      <c r="K175" s="24" t="n">
        <v>145</v>
      </c>
      <c r="L175" s="24" t="n">
        <v>6</v>
      </c>
      <c r="M175" s="24" t="n"/>
      <c r="N175" s="24" t="n"/>
      <c r="O175" s="15">
        <f>IF(D175="","",COUNT(F175,H175,J175,L175,N175))</f>
        <v/>
      </c>
      <c r="P175" s="25">
        <f>IF(D175="","",N(E175)*N(F175)+N(G175)*N(H175)+N(I175)*N(J175)+N(K175)*N(L175)+N(M175)*N(N175))</f>
        <v/>
      </c>
      <c r="Q175" s="18">
        <f>IF(N(X175)=0,"",IF(IF(N(F175)=0,0,IF(N(E175)&gt;0,E175*(1+F175/30),F175))=X175,IF(N(E175)&gt;0,E175&amp;" x "&amp;F175,F175&amp;" reps"),IF(IF(N(H175)=0,0,IF(N(G175)&gt;0,G175*(1+H175/30),H175))=X175,IF(N(G175)&gt;0,G175&amp;" x "&amp;H175,H175&amp;" reps"),IF(IF(N(J175)=0,0,IF(N(I175)&gt;0,I175*(1+J175/30),J175))=X175,IF(N(I175)&gt;0,I175&amp;" x "&amp;J175,J175&amp;" reps"),IF(IF(N(L175)=0,0,IF(N(K175)&gt;0,K175*(1+L175/30),L175))=X175,IF(N(K175)&gt;0,K175&amp;" x "&amp;L175,L175&amp;" reps"),IF(IF(N(N175)=0,0,IF(N(M175)&gt;0,M175*(1+N175/30),N175))=X175,IF(N(M175)&gt;0,M175&amp;" x "&amp;N175,N175&amp;" reps"),""))))))</f>
        <v/>
      </c>
      <c r="R175" s="20">
        <f>IF(N(X175)=0,"",ROUND(X175,1))</f>
        <v/>
      </c>
      <c r="S175" s="18">
        <f>IF(N(X175)=0,"",IF(AND(COUNTIFS(Log!$D$6:$D$1505,D175,Log!$B$6:$B$1505,"&lt;"&amp;B175)&gt;0,COUNTIFS(Log!$D$6:$D$1505,D175,Log!$B$6:$B$1505,"&lt;"&amp;B175,Log!$X$6:$X$1505,"&gt;="&amp;X175)=0),"New best",""))</f>
        <v/>
      </c>
      <c r="T175" s="26" t="n"/>
      <c r="U175" s="1">
        <f>IF(D175="","",IFERROR(INDEX(Exercises!$C$6:$C$105,MATCH(D175,Exercises!$B$6:$B$105,0)),"Other"))</f>
        <v/>
      </c>
      <c r="V175">
        <f>IF(B175="","",IF(COUNTIF($B$6:B175,B175)=1,1,0))</f>
        <v/>
      </c>
      <c r="W175">
        <f>IF(B175="","",B175-WEEKDAY(B175,3))</f>
        <v/>
      </c>
      <c r="X175">
        <f>IF(D175="","",MAX(IF(N(F175)=0,0,IF(N(E175)&gt;0,E175*(1+F175/30),F175)),IF(N(H175)=0,0,IF(N(G175)&gt;0,G175*(1+H175/30),H175)),IF(N(J175)=0,0,IF(N(I175)&gt;0,I175*(1+J175/30),J175)),IF(N(L175)=0,0,IF(N(K175)&gt;0,K175*(1+L175/30),L175)),IF(N(N175)=0,0,IF(N(M175)&gt;0,M175*(1+N175/30),N175))))</f>
        <v/>
      </c>
      <c r="Y175">
        <f>IF(N(X175)=0,"",X175+ROW()/1000000000)</f>
        <v/>
      </c>
      <c r="Z175">
        <f>IF(Y175="","",IF(COUNTIFS(Log!$D$6:$D$1505,D175,Log!$Y$6:$Y$1505,"&gt;"&amp;Y175)=0,1,0))</f>
        <v/>
      </c>
      <c r="AA175">
        <f>IF(OR(B175="",D175=""),"",B175+ROW()/10000000)</f>
        <v/>
      </c>
      <c r="AB175">
        <f>IF(AA175="","",IF(COUNTIFS(Log!$D$6:$D$1505,D175,Log!$AA$6:$AA$1505,"&gt;"&amp;AA175)=0,1,0))</f>
        <v/>
      </c>
      <c r="AC175">
        <f>IF(S175="New best",AA175,"")</f>
        <v/>
      </c>
      <c r="AD175">
        <f>ROW()</f>
        <v/>
      </c>
    </row>
    <row r="176">
      <c r="A176" s="1" t="n"/>
      <c r="B176" s="21" t="n">
        <v>46258</v>
      </c>
      <c r="C176" s="22" t="inlineStr">
        <is>
          <t>Push</t>
        </is>
      </c>
      <c r="D176" s="23" t="inlineStr">
        <is>
          <t>Overhead press</t>
        </is>
      </c>
      <c r="E176" s="24" t="n">
        <v>95</v>
      </c>
      <c r="F176" s="24" t="n">
        <v>10</v>
      </c>
      <c r="G176" s="24" t="n">
        <v>95</v>
      </c>
      <c r="H176" s="24" t="n">
        <v>8</v>
      </c>
      <c r="I176" s="24" t="n">
        <v>95</v>
      </c>
      <c r="J176" s="24" t="n">
        <v>8</v>
      </c>
      <c r="K176" s="24" t="n"/>
      <c r="L176" s="24" t="n"/>
      <c r="M176" s="24" t="n"/>
      <c r="N176" s="24" t="n"/>
      <c r="O176" s="15">
        <f>IF(D176="","",COUNT(F176,H176,J176,L176,N176))</f>
        <v/>
      </c>
      <c r="P176" s="25">
        <f>IF(D176="","",N(E176)*N(F176)+N(G176)*N(H176)+N(I176)*N(J176)+N(K176)*N(L176)+N(M176)*N(N176))</f>
        <v/>
      </c>
      <c r="Q176" s="18">
        <f>IF(N(X176)=0,"",IF(IF(N(F176)=0,0,IF(N(E176)&gt;0,E176*(1+F176/30),F176))=X176,IF(N(E176)&gt;0,E176&amp;" x "&amp;F176,F176&amp;" reps"),IF(IF(N(H176)=0,0,IF(N(G176)&gt;0,G176*(1+H176/30),H176))=X176,IF(N(G176)&gt;0,G176&amp;" x "&amp;H176,H176&amp;" reps"),IF(IF(N(J176)=0,0,IF(N(I176)&gt;0,I176*(1+J176/30),J176))=X176,IF(N(I176)&gt;0,I176&amp;" x "&amp;J176,J176&amp;" reps"),IF(IF(N(L176)=0,0,IF(N(K176)&gt;0,K176*(1+L176/30),L176))=X176,IF(N(K176)&gt;0,K176&amp;" x "&amp;L176,L176&amp;" reps"),IF(IF(N(N176)=0,0,IF(N(M176)&gt;0,M176*(1+N176/30),N176))=X176,IF(N(M176)&gt;0,M176&amp;" x "&amp;N176,N176&amp;" reps"),""))))))</f>
        <v/>
      </c>
      <c r="R176" s="20">
        <f>IF(N(X176)=0,"",ROUND(X176,1))</f>
        <v/>
      </c>
      <c r="S176" s="18">
        <f>IF(N(X176)=0,"",IF(AND(COUNTIFS(Log!$D$6:$D$1505,D176,Log!$B$6:$B$1505,"&lt;"&amp;B176)&gt;0,COUNTIFS(Log!$D$6:$D$1505,D176,Log!$B$6:$B$1505,"&lt;"&amp;B176,Log!$X$6:$X$1505,"&gt;="&amp;X176)=0),"New best",""))</f>
        <v/>
      </c>
      <c r="T176" s="26" t="n"/>
      <c r="U176" s="1">
        <f>IF(D176="","",IFERROR(INDEX(Exercises!$C$6:$C$105,MATCH(D176,Exercises!$B$6:$B$105,0)),"Other"))</f>
        <v/>
      </c>
      <c r="V176">
        <f>IF(B176="","",IF(COUNTIF($B$6:B176,B176)=1,1,0))</f>
        <v/>
      </c>
      <c r="W176">
        <f>IF(B176="","",B176-WEEKDAY(B176,3))</f>
        <v/>
      </c>
      <c r="X176">
        <f>IF(D176="","",MAX(IF(N(F176)=0,0,IF(N(E176)&gt;0,E176*(1+F176/30),F176)),IF(N(H176)=0,0,IF(N(G176)&gt;0,G176*(1+H176/30),H176)),IF(N(J176)=0,0,IF(N(I176)&gt;0,I176*(1+J176/30),J176)),IF(N(L176)=0,0,IF(N(K176)&gt;0,K176*(1+L176/30),L176)),IF(N(N176)=0,0,IF(N(M176)&gt;0,M176*(1+N176/30),N176))))</f>
        <v/>
      </c>
      <c r="Y176">
        <f>IF(N(X176)=0,"",X176+ROW()/1000000000)</f>
        <v/>
      </c>
      <c r="Z176">
        <f>IF(Y176="","",IF(COUNTIFS(Log!$D$6:$D$1505,D176,Log!$Y$6:$Y$1505,"&gt;"&amp;Y176)=0,1,0))</f>
        <v/>
      </c>
      <c r="AA176">
        <f>IF(OR(B176="",D176=""),"",B176+ROW()/10000000)</f>
        <v/>
      </c>
      <c r="AB176">
        <f>IF(AA176="","",IF(COUNTIFS(Log!$D$6:$D$1505,D176,Log!$AA$6:$AA$1505,"&gt;"&amp;AA176)=0,1,0))</f>
        <v/>
      </c>
      <c r="AC176">
        <f>IF(S176="New best",AA176,"")</f>
        <v/>
      </c>
      <c r="AD176">
        <f>ROW()</f>
        <v/>
      </c>
    </row>
    <row r="177">
      <c r="A177" s="1" t="n"/>
      <c r="B177" s="21" t="n">
        <v>46258</v>
      </c>
      <c r="C177" s="22" t="inlineStr">
        <is>
          <t>Push</t>
        </is>
      </c>
      <c r="D177" s="23" t="inlineStr">
        <is>
          <t>Incline dumbbell press</t>
        </is>
      </c>
      <c r="E177" s="24" t="n">
        <v>55</v>
      </c>
      <c r="F177" s="24" t="n">
        <v>12</v>
      </c>
      <c r="G177" s="24" t="n">
        <v>55</v>
      </c>
      <c r="H177" s="24" t="n">
        <v>11</v>
      </c>
      <c r="I177" s="24" t="n">
        <v>55</v>
      </c>
      <c r="J177" s="24" t="n">
        <v>9</v>
      </c>
      <c r="K177" s="24" t="n"/>
      <c r="L177" s="24" t="n"/>
      <c r="M177" s="24" t="n"/>
      <c r="N177" s="24" t="n"/>
      <c r="O177" s="15">
        <f>IF(D177="","",COUNT(F177,H177,J177,L177,N177))</f>
        <v/>
      </c>
      <c r="P177" s="25">
        <f>IF(D177="","",N(E177)*N(F177)+N(G177)*N(H177)+N(I177)*N(J177)+N(K177)*N(L177)+N(M177)*N(N177))</f>
        <v/>
      </c>
      <c r="Q177" s="18">
        <f>IF(N(X177)=0,"",IF(IF(N(F177)=0,0,IF(N(E177)&gt;0,E177*(1+F177/30),F177))=X177,IF(N(E177)&gt;0,E177&amp;" x "&amp;F177,F177&amp;" reps"),IF(IF(N(H177)=0,0,IF(N(G177)&gt;0,G177*(1+H177/30),H177))=X177,IF(N(G177)&gt;0,G177&amp;" x "&amp;H177,H177&amp;" reps"),IF(IF(N(J177)=0,0,IF(N(I177)&gt;0,I177*(1+J177/30),J177))=X177,IF(N(I177)&gt;0,I177&amp;" x "&amp;J177,J177&amp;" reps"),IF(IF(N(L177)=0,0,IF(N(K177)&gt;0,K177*(1+L177/30),L177))=X177,IF(N(K177)&gt;0,K177&amp;" x "&amp;L177,L177&amp;" reps"),IF(IF(N(N177)=0,0,IF(N(M177)&gt;0,M177*(1+N177/30),N177))=X177,IF(N(M177)&gt;0,M177&amp;" x "&amp;N177,N177&amp;" reps"),""))))))</f>
        <v/>
      </c>
      <c r="R177" s="20">
        <f>IF(N(X177)=0,"",ROUND(X177,1))</f>
        <v/>
      </c>
      <c r="S177" s="18">
        <f>IF(N(X177)=0,"",IF(AND(COUNTIFS(Log!$D$6:$D$1505,D177,Log!$B$6:$B$1505,"&lt;"&amp;B177)&gt;0,COUNTIFS(Log!$D$6:$D$1505,D177,Log!$B$6:$B$1505,"&lt;"&amp;B177,Log!$X$6:$X$1505,"&gt;="&amp;X177)=0),"New best",""))</f>
        <v/>
      </c>
      <c r="T177" s="26" t="n"/>
      <c r="U177" s="1">
        <f>IF(D177="","",IFERROR(INDEX(Exercises!$C$6:$C$105,MATCH(D177,Exercises!$B$6:$B$105,0)),"Other"))</f>
        <v/>
      </c>
      <c r="V177">
        <f>IF(B177="","",IF(COUNTIF($B$6:B177,B177)=1,1,0))</f>
        <v/>
      </c>
      <c r="W177">
        <f>IF(B177="","",B177-WEEKDAY(B177,3))</f>
        <v/>
      </c>
      <c r="X177">
        <f>IF(D177="","",MAX(IF(N(F177)=0,0,IF(N(E177)&gt;0,E177*(1+F177/30),F177)),IF(N(H177)=0,0,IF(N(G177)&gt;0,G177*(1+H177/30),H177)),IF(N(J177)=0,0,IF(N(I177)&gt;0,I177*(1+J177/30),J177)),IF(N(L177)=0,0,IF(N(K177)&gt;0,K177*(1+L177/30),L177)),IF(N(N177)=0,0,IF(N(M177)&gt;0,M177*(1+N177/30),N177))))</f>
        <v/>
      </c>
      <c r="Y177">
        <f>IF(N(X177)=0,"",X177+ROW()/1000000000)</f>
        <v/>
      </c>
      <c r="Z177">
        <f>IF(Y177="","",IF(COUNTIFS(Log!$D$6:$D$1505,D177,Log!$Y$6:$Y$1505,"&gt;"&amp;Y177)=0,1,0))</f>
        <v/>
      </c>
      <c r="AA177">
        <f>IF(OR(B177="",D177=""),"",B177+ROW()/10000000)</f>
        <v/>
      </c>
      <c r="AB177">
        <f>IF(AA177="","",IF(COUNTIFS(Log!$D$6:$D$1505,D177,Log!$AA$6:$AA$1505,"&gt;"&amp;AA177)=0,1,0))</f>
        <v/>
      </c>
      <c r="AC177">
        <f>IF(S177="New best",AA177,"")</f>
        <v/>
      </c>
      <c r="AD177">
        <f>ROW()</f>
        <v/>
      </c>
    </row>
    <row r="178">
      <c r="A178" s="1" t="n"/>
      <c r="B178" s="21" t="n">
        <v>46258</v>
      </c>
      <c r="C178" s="22" t="inlineStr">
        <is>
          <t>Push</t>
        </is>
      </c>
      <c r="D178" s="23" t="inlineStr">
        <is>
          <t>Lateral raise</t>
        </is>
      </c>
      <c r="E178" s="24" t="n">
        <v>20</v>
      </c>
      <c r="F178" s="24" t="n">
        <v>14</v>
      </c>
      <c r="G178" s="24" t="n">
        <v>20</v>
      </c>
      <c r="H178" s="24" t="n">
        <v>14</v>
      </c>
      <c r="I178" s="24" t="n">
        <v>20</v>
      </c>
      <c r="J178" s="24" t="n">
        <v>12</v>
      </c>
      <c r="K178" s="24" t="n"/>
      <c r="L178" s="24" t="n"/>
      <c r="M178" s="24" t="n"/>
      <c r="N178" s="24" t="n"/>
      <c r="O178" s="15">
        <f>IF(D178="","",COUNT(F178,H178,J178,L178,N178))</f>
        <v/>
      </c>
      <c r="P178" s="25">
        <f>IF(D178="","",N(E178)*N(F178)+N(G178)*N(H178)+N(I178)*N(J178)+N(K178)*N(L178)+N(M178)*N(N178))</f>
        <v/>
      </c>
      <c r="Q178" s="18">
        <f>IF(N(X178)=0,"",IF(IF(N(F178)=0,0,IF(N(E178)&gt;0,E178*(1+F178/30),F178))=X178,IF(N(E178)&gt;0,E178&amp;" x "&amp;F178,F178&amp;" reps"),IF(IF(N(H178)=0,0,IF(N(G178)&gt;0,G178*(1+H178/30),H178))=X178,IF(N(G178)&gt;0,G178&amp;" x "&amp;H178,H178&amp;" reps"),IF(IF(N(J178)=0,0,IF(N(I178)&gt;0,I178*(1+J178/30),J178))=X178,IF(N(I178)&gt;0,I178&amp;" x "&amp;J178,J178&amp;" reps"),IF(IF(N(L178)=0,0,IF(N(K178)&gt;0,K178*(1+L178/30),L178))=X178,IF(N(K178)&gt;0,K178&amp;" x "&amp;L178,L178&amp;" reps"),IF(IF(N(N178)=0,0,IF(N(M178)&gt;0,M178*(1+N178/30),N178))=X178,IF(N(M178)&gt;0,M178&amp;" x "&amp;N178,N178&amp;" reps"),""))))))</f>
        <v/>
      </c>
      <c r="R178" s="20">
        <f>IF(N(X178)=0,"",ROUND(X178,1))</f>
        <v/>
      </c>
      <c r="S178" s="18">
        <f>IF(N(X178)=0,"",IF(AND(COUNTIFS(Log!$D$6:$D$1505,D178,Log!$B$6:$B$1505,"&lt;"&amp;B178)&gt;0,COUNTIFS(Log!$D$6:$D$1505,D178,Log!$B$6:$B$1505,"&lt;"&amp;B178,Log!$X$6:$X$1505,"&gt;="&amp;X178)=0),"New best",""))</f>
        <v/>
      </c>
      <c r="T178" s="26" t="n"/>
      <c r="U178" s="1">
        <f>IF(D178="","",IFERROR(INDEX(Exercises!$C$6:$C$105,MATCH(D178,Exercises!$B$6:$B$105,0)),"Other"))</f>
        <v/>
      </c>
      <c r="V178">
        <f>IF(B178="","",IF(COUNTIF($B$6:B178,B178)=1,1,0))</f>
        <v/>
      </c>
      <c r="W178">
        <f>IF(B178="","",B178-WEEKDAY(B178,3))</f>
        <v/>
      </c>
      <c r="X178">
        <f>IF(D178="","",MAX(IF(N(F178)=0,0,IF(N(E178)&gt;0,E178*(1+F178/30),F178)),IF(N(H178)=0,0,IF(N(G178)&gt;0,G178*(1+H178/30),H178)),IF(N(J178)=0,0,IF(N(I178)&gt;0,I178*(1+J178/30),J178)),IF(N(L178)=0,0,IF(N(K178)&gt;0,K178*(1+L178/30),L178)),IF(N(N178)=0,0,IF(N(M178)&gt;0,M178*(1+N178/30),N178))))</f>
        <v/>
      </c>
      <c r="Y178">
        <f>IF(N(X178)=0,"",X178+ROW()/1000000000)</f>
        <v/>
      </c>
      <c r="Z178">
        <f>IF(Y178="","",IF(COUNTIFS(Log!$D$6:$D$1505,D178,Log!$Y$6:$Y$1505,"&gt;"&amp;Y178)=0,1,0))</f>
        <v/>
      </c>
      <c r="AA178">
        <f>IF(OR(B178="",D178=""),"",B178+ROW()/10000000)</f>
        <v/>
      </c>
      <c r="AB178">
        <f>IF(AA178="","",IF(COUNTIFS(Log!$D$6:$D$1505,D178,Log!$AA$6:$AA$1505,"&gt;"&amp;AA178)=0,1,0))</f>
        <v/>
      </c>
      <c r="AC178">
        <f>IF(S178="New best",AA178,"")</f>
        <v/>
      </c>
      <c r="AD178">
        <f>ROW()</f>
        <v/>
      </c>
    </row>
    <row r="179">
      <c r="A179" s="1" t="n"/>
      <c r="B179" s="21" t="n">
        <v>46258</v>
      </c>
      <c r="C179" s="22" t="inlineStr">
        <is>
          <t>Push</t>
        </is>
      </c>
      <c r="D179" s="23" t="inlineStr">
        <is>
          <t>Triceps pushdown</t>
        </is>
      </c>
      <c r="E179" s="24" t="n">
        <v>50</v>
      </c>
      <c r="F179" s="24" t="n">
        <v>12</v>
      </c>
      <c r="G179" s="24" t="n">
        <v>50</v>
      </c>
      <c r="H179" s="24" t="n">
        <v>11</v>
      </c>
      <c r="I179" s="24" t="n">
        <v>50</v>
      </c>
      <c r="J179" s="24" t="n">
        <v>10</v>
      </c>
      <c r="K179" s="24" t="n"/>
      <c r="L179" s="24" t="n"/>
      <c r="M179" s="24" t="n"/>
      <c r="N179" s="24" t="n"/>
      <c r="O179" s="15">
        <f>IF(D179="","",COUNT(F179,H179,J179,L179,N179))</f>
        <v/>
      </c>
      <c r="P179" s="25">
        <f>IF(D179="","",N(E179)*N(F179)+N(G179)*N(H179)+N(I179)*N(J179)+N(K179)*N(L179)+N(M179)*N(N179))</f>
        <v/>
      </c>
      <c r="Q179" s="18">
        <f>IF(N(X179)=0,"",IF(IF(N(F179)=0,0,IF(N(E179)&gt;0,E179*(1+F179/30),F179))=X179,IF(N(E179)&gt;0,E179&amp;" x "&amp;F179,F179&amp;" reps"),IF(IF(N(H179)=0,0,IF(N(G179)&gt;0,G179*(1+H179/30),H179))=X179,IF(N(G179)&gt;0,G179&amp;" x "&amp;H179,H179&amp;" reps"),IF(IF(N(J179)=0,0,IF(N(I179)&gt;0,I179*(1+J179/30),J179))=X179,IF(N(I179)&gt;0,I179&amp;" x "&amp;J179,J179&amp;" reps"),IF(IF(N(L179)=0,0,IF(N(K179)&gt;0,K179*(1+L179/30),L179))=X179,IF(N(K179)&gt;0,K179&amp;" x "&amp;L179,L179&amp;" reps"),IF(IF(N(N179)=0,0,IF(N(M179)&gt;0,M179*(1+N179/30),N179))=X179,IF(N(M179)&gt;0,M179&amp;" x "&amp;N179,N179&amp;" reps"),""))))))</f>
        <v/>
      </c>
      <c r="R179" s="20">
        <f>IF(N(X179)=0,"",ROUND(X179,1))</f>
        <v/>
      </c>
      <c r="S179" s="18">
        <f>IF(N(X179)=0,"",IF(AND(COUNTIFS(Log!$D$6:$D$1505,D179,Log!$B$6:$B$1505,"&lt;"&amp;B179)&gt;0,COUNTIFS(Log!$D$6:$D$1505,D179,Log!$B$6:$B$1505,"&lt;"&amp;B179,Log!$X$6:$X$1505,"&gt;="&amp;X179)=0),"New best",""))</f>
        <v/>
      </c>
      <c r="T179" s="26" t="n"/>
      <c r="U179" s="1">
        <f>IF(D179="","",IFERROR(INDEX(Exercises!$C$6:$C$105,MATCH(D179,Exercises!$B$6:$B$105,0)),"Other"))</f>
        <v/>
      </c>
      <c r="V179">
        <f>IF(B179="","",IF(COUNTIF($B$6:B179,B179)=1,1,0))</f>
        <v/>
      </c>
      <c r="W179">
        <f>IF(B179="","",B179-WEEKDAY(B179,3))</f>
        <v/>
      </c>
      <c r="X179">
        <f>IF(D179="","",MAX(IF(N(F179)=0,0,IF(N(E179)&gt;0,E179*(1+F179/30),F179)),IF(N(H179)=0,0,IF(N(G179)&gt;0,G179*(1+H179/30),H179)),IF(N(J179)=0,0,IF(N(I179)&gt;0,I179*(1+J179/30),J179)),IF(N(L179)=0,0,IF(N(K179)&gt;0,K179*(1+L179/30),L179)),IF(N(N179)=0,0,IF(N(M179)&gt;0,M179*(1+N179/30),N179))))</f>
        <v/>
      </c>
      <c r="Y179">
        <f>IF(N(X179)=0,"",X179+ROW()/1000000000)</f>
        <v/>
      </c>
      <c r="Z179">
        <f>IF(Y179="","",IF(COUNTIFS(Log!$D$6:$D$1505,D179,Log!$Y$6:$Y$1505,"&gt;"&amp;Y179)=0,1,0))</f>
        <v/>
      </c>
      <c r="AA179">
        <f>IF(OR(B179="",D179=""),"",B179+ROW()/10000000)</f>
        <v/>
      </c>
      <c r="AB179">
        <f>IF(AA179="","",IF(COUNTIFS(Log!$D$6:$D$1505,D179,Log!$AA$6:$AA$1505,"&gt;"&amp;AA179)=0,1,0))</f>
        <v/>
      </c>
      <c r="AC179">
        <f>IF(S179="New best",AA179,"")</f>
        <v/>
      </c>
      <c r="AD179">
        <f>ROW()</f>
        <v/>
      </c>
    </row>
    <row r="180">
      <c r="A180" s="1" t="n"/>
      <c r="B180" s="21" t="n">
        <v>46259</v>
      </c>
      <c r="C180" s="22" t="inlineStr">
        <is>
          <t>Pull</t>
        </is>
      </c>
      <c r="D180" s="23" t="inlineStr">
        <is>
          <t>Deadlift</t>
        </is>
      </c>
      <c r="E180" s="24" t="n">
        <v>245</v>
      </c>
      <c r="F180" s="24" t="n">
        <v>5</v>
      </c>
      <c r="G180" s="24" t="n">
        <v>245</v>
      </c>
      <c r="H180" s="24" t="n">
        <v>5</v>
      </c>
      <c r="I180" s="24" t="n">
        <v>245</v>
      </c>
      <c r="J180" s="24" t="n">
        <v>5</v>
      </c>
      <c r="K180" s="24" t="n"/>
      <c r="L180" s="24" t="n"/>
      <c r="M180" s="24" t="n"/>
      <c r="N180" s="24" t="n"/>
      <c r="O180" s="15">
        <f>IF(D180="","",COUNT(F180,H180,J180,L180,N180))</f>
        <v/>
      </c>
      <c r="P180" s="25">
        <f>IF(D180="","",N(E180)*N(F180)+N(G180)*N(H180)+N(I180)*N(J180)+N(K180)*N(L180)+N(M180)*N(N180))</f>
        <v/>
      </c>
      <c r="Q180" s="18">
        <f>IF(N(X180)=0,"",IF(IF(N(F180)=0,0,IF(N(E180)&gt;0,E180*(1+F180/30),F180))=X180,IF(N(E180)&gt;0,E180&amp;" x "&amp;F180,F180&amp;" reps"),IF(IF(N(H180)=0,0,IF(N(G180)&gt;0,G180*(1+H180/30),H180))=X180,IF(N(G180)&gt;0,G180&amp;" x "&amp;H180,H180&amp;" reps"),IF(IF(N(J180)=0,0,IF(N(I180)&gt;0,I180*(1+J180/30),J180))=X180,IF(N(I180)&gt;0,I180&amp;" x "&amp;J180,J180&amp;" reps"),IF(IF(N(L180)=0,0,IF(N(K180)&gt;0,K180*(1+L180/30),L180))=X180,IF(N(K180)&gt;0,K180&amp;" x "&amp;L180,L180&amp;" reps"),IF(IF(N(N180)=0,0,IF(N(M180)&gt;0,M180*(1+N180/30),N180))=X180,IF(N(M180)&gt;0,M180&amp;" x "&amp;N180,N180&amp;" reps"),""))))))</f>
        <v/>
      </c>
      <c r="R180" s="20">
        <f>IF(N(X180)=0,"",ROUND(X180,1))</f>
        <v/>
      </c>
      <c r="S180" s="18">
        <f>IF(N(X180)=0,"",IF(AND(COUNTIFS(Log!$D$6:$D$1505,D180,Log!$B$6:$B$1505,"&lt;"&amp;B180)&gt;0,COUNTIFS(Log!$D$6:$D$1505,D180,Log!$B$6:$B$1505,"&lt;"&amp;B180,Log!$X$6:$X$1505,"&gt;="&amp;X180)=0),"New best",""))</f>
        <v/>
      </c>
      <c r="T180" s="26" t="n"/>
      <c r="U180" s="1">
        <f>IF(D180="","",IFERROR(INDEX(Exercises!$C$6:$C$105,MATCH(D180,Exercises!$B$6:$B$105,0)),"Other"))</f>
        <v/>
      </c>
      <c r="V180">
        <f>IF(B180="","",IF(COUNTIF($B$6:B180,B180)=1,1,0))</f>
        <v/>
      </c>
      <c r="W180">
        <f>IF(B180="","",B180-WEEKDAY(B180,3))</f>
        <v/>
      </c>
      <c r="X180">
        <f>IF(D180="","",MAX(IF(N(F180)=0,0,IF(N(E180)&gt;0,E180*(1+F180/30),F180)),IF(N(H180)=0,0,IF(N(G180)&gt;0,G180*(1+H180/30),H180)),IF(N(J180)=0,0,IF(N(I180)&gt;0,I180*(1+J180/30),J180)),IF(N(L180)=0,0,IF(N(K180)&gt;0,K180*(1+L180/30),L180)),IF(N(N180)=0,0,IF(N(M180)&gt;0,M180*(1+N180/30),N180))))</f>
        <v/>
      </c>
      <c r="Y180">
        <f>IF(N(X180)=0,"",X180+ROW()/1000000000)</f>
        <v/>
      </c>
      <c r="Z180">
        <f>IF(Y180="","",IF(COUNTIFS(Log!$D$6:$D$1505,D180,Log!$Y$6:$Y$1505,"&gt;"&amp;Y180)=0,1,0))</f>
        <v/>
      </c>
      <c r="AA180">
        <f>IF(OR(B180="",D180=""),"",B180+ROW()/10000000)</f>
        <v/>
      </c>
      <c r="AB180">
        <f>IF(AA180="","",IF(COUNTIFS(Log!$D$6:$D$1505,D180,Log!$AA$6:$AA$1505,"&gt;"&amp;AA180)=0,1,0))</f>
        <v/>
      </c>
      <c r="AC180">
        <f>IF(S180="New best",AA180,"")</f>
        <v/>
      </c>
      <c r="AD180">
        <f>ROW()</f>
        <v/>
      </c>
    </row>
    <row r="181">
      <c r="A181" s="1" t="n"/>
      <c r="B181" s="21" t="n">
        <v>46259</v>
      </c>
      <c r="C181" s="22" t="inlineStr">
        <is>
          <t>Pull</t>
        </is>
      </c>
      <c r="D181" s="23" t="inlineStr">
        <is>
          <t>Pull-up</t>
        </is>
      </c>
      <c r="E181" s="24" t="n"/>
      <c r="F181" s="24" t="n">
        <v>8</v>
      </c>
      <c r="G181" s="24" t="n"/>
      <c r="H181" s="24" t="n">
        <v>6</v>
      </c>
      <c r="I181" s="24" t="n"/>
      <c r="J181" s="24" t="n">
        <v>5</v>
      </c>
      <c r="K181" s="24" t="n"/>
      <c r="L181" s="24" t="n"/>
      <c r="M181" s="24" t="n"/>
      <c r="N181" s="24" t="n"/>
      <c r="O181" s="15">
        <f>IF(D181="","",COUNT(F181,H181,J181,L181,N181))</f>
        <v/>
      </c>
      <c r="P181" s="25">
        <f>IF(D181="","",N(E181)*N(F181)+N(G181)*N(H181)+N(I181)*N(J181)+N(K181)*N(L181)+N(M181)*N(N181))</f>
        <v/>
      </c>
      <c r="Q181" s="18">
        <f>IF(N(X181)=0,"",IF(IF(N(F181)=0,0,IF(N(E181)&gt;0,E181*(1+F181/30),F181))=X181,IF(N(E181)&gt;0,E181&amp;" x "&amp;F181,F181&amp;" reps"),IF(IF(N(H181)=0,0,IF(N(G181)&gt;0,G181*(1+H181/30),H181))=X181,IF(N(G181)&gt;0,G181&amp;" x "&amp;H181,H181&amp;" reps"),IF(IF(N(J181)=0,0,IF(N(I181)&gt;0,I181*(1+J181/30),J181))=X181,IF(N(I181)&gt;0,I181&amp;" x "&amp;J181,J181&amp;" reps"),IF(IF(N(L181)=0,0,IF(N(K181)&gt;0,K181*(1+L181/30),L181))=X181,IF(N(K181)&gt;0,K181&amp;" x "&amp;L181,L181&amp;" reps"),IF(IF(N(N181)=0,0,IF(N(M181)&gt;0,M181*(1+N181/30),N181))=X181,IF(N(M181)&gt;0,M181&amp;" x "&amp;N181,N181&amp;" reps"),""))))))</f>
        <v/>
      </c>
      <c r="R181" s="20">
        <f>IF(N(X181)=0,"",ROUND(X181,1))</f>
        <v/>
      </c>
      <c r="S181" s="18">
        <f>IF(N(X181)=0,"",IF(AND(COUNTIFS(Log!$D$6:$D$1505,D181,Log!$B$6:$B$1505,"&lt;"&amp;B181)&gt;0,COUNTIFS(Log!$D$6:$D$1505,D181,Log!$B$6:$B$1505,"&lt;"&amp;B181,Log!$X$6:$X$1505,"&gt;="&amp;X181)=0),"New best",""))</f>
        <v/>
      </c>
      <c r="T181" s="26" t="n"/>
      <c r="U181" s="1">
        <f>IF(D181="","",IFERROR(INDEX(Exercises!$C$6:$C$105,MATCH(D181,Exercises!$B$6:$B$105,0)),"Other"))</f>
        <v/>
      </c>
      <c r="V181">
        <f>IF(B181="","",IF(COUNTIF($B$6:B181,B181)=1,1,0))</f>
        <v/>
      </c>
      <c r="W181">
        <f>IF(B181="","",B181-WEEKDAY(B181,3))</f>
        <v/>
      </c>
      <c r="X181">
        <f>IF(D181="","",MAX(IF(N(F181)=0,0,IF(N(E181)&gt;0,E181*(1+F181/30),F181)),IF(N(H181)=0,0,IF(N(G181)&gt;0,G181*(1+H181/30),H181)),IF(N(J181)=0,0,IF(N(I181)&gt;0,I181*(1+J181/30),J181)),IF(N(L181)=0,0,IF(N(K181)&gt;0,K181*(1+L181/30),L181)),IF(N(N181)=0,0,IF(N(M181)&gt;0,M181*(1+N181/30),N181))))</f>
        <v/>
      </c>
      <c r="Y181">
        <f>IF(N(X181)=0,"",X181+ROW()/1000000000)</f>
        <v/>
      </c>
      <c r="Z181">
        <f>IF(Y181="","",IF(COUNTIFS(Log!$D$6:$D$1505,D181,Log!$Y$6:$Y$1505,"&gt;"&amp;Y181)=0,1,0))</f>
        <v/>
      </c>
      <c r="AA181">
        <f>IF(OR(B181="",D181=""),"",B181+ROW()/10000000)</f>
        <v/>
      </c>
      <c r="AB181">
        <f>IF(AA181="","",IF(COUNTIFS(Log!$D$6:$D$1505,D181,Log!$AA$6:$AA$1505,"&gt;"&amp;AA181)=0,1,0))</f>
        <v/>
      </c>
      <c r="AC181">
        <f>IF(S181="New best",AA181,"")</f>
        <v/>
      </c>
      <c r="AD181">
        <f>ROW()</f>
        <v/>
      </c>
    </row>
    <row r="182">
      <c r="A182" s="1" t="n"/>
      <c r="B182" s="21" t="n">
        <v>46259</v>
      </c>
      <c r="C182" s="22" t="inlineStr">
        <is>
          <t>Pull</t>
        </is>
      </c>
      <c r="D182" s="23" t="inlineStr">
        <is>
          <t>Barbell row</t>
        </is>
      </c>
      <c r="E182" s="24" t="n">
        <v>125</v>
      </c>
      <c r="F182" s="24" t="n">
        <v>10</v>
      </c>
      <c r="G182" s="24" t="n">
        <v>125</v>
      </c>
      <c r="H182" s="24" t="n">
        <v>8</v>
      </c>
      <c r="I182" s="24" t="n">
        <v>125</v>
      </c>
      <c r="J182" s="24" t="n">
        <v>8</v>
      </c>
      <c r="K182" s="24" t="n"/>
      <c r="L182" s="24" t="n"/>
      <c r="M182" s="24" t="n"/>
      <c r="N182" s="24" t="n"/>
      <c r="O182" s="15">
        <f>IF(D182="","",COUNT(F182,H182,J182,L182,N182))</f>
        <v/>
      </c>
      <c r="P182" s="25">
        <f>IF(D182="","",N(E182)*N(F182)+N(G182)*N(H182)+N(I182)*N(J182)+N(K182)*N(L182)+N(M182)*N(N182))</f>
        <v/>
      </c>
      <c r="Q182" s="18">
        <f>IF(N(X182)=0,"",IF(IF(N(F182)=0,0,IF(N(E182)&gt;0,E182*(1+F182/30),F182))=X182,IF(N(E182)&gt;0,E182&amp;" x "&amp;F182,F182&amp;" reps"),IF(IF(N(H182)=0,0,IF(N(G182)&gt;0,G182*(1+H182/30),H182))=X182,IF(N(G182)&gt;0,G182&amp;" x "&amp;H182,H182&amp;" reps"),IF(IF(N(J182)=0,0,IF(N(I182)&gt;0,I182*(1+J182/30),J182))=X182,IF(N(I182)&gt;0,I182&amp;" x "&amp;J182,J182&amp;" reps"),IF(IF(N(L182)=0,0,IF(N(K182)&gt;0,K182*(1+L182/30),L182))=X182,IF(N(K182)&gt;0,K182&amp;" x "&amp;L182,L182&amp;" reps"),IF(IF(N(N182)=0,0,IF(N(M182)&gt;0,M182*(1+N182/30),N182))=X182,IF(N(M182)&gt;0,M182&amp;" x "&amp;N182,N182&amp;" reps"),""))))))</f>
        <v/>
      </c>
      <c r="R182" s="20">
        <f>IF(N(X182)=0,"",ROUND(X182,1))</f>
        <v/>
      </c>
      <c r="S182" s="18">
        <f>IF(N(X182)=0,"",IF(AND(COUNTIFS(Log!$D$6:$D$1505,D182,Log!$B$6:$B$1505,"&lt;"&amp;B182)&gt;0,COUNTIFS(Log!$D$6:$D$1505,D182,Log!$B$6:$B$1505,"&lt;"&amp;B182,Log!$X$6:$X$1505,"&gt;="&amp;X182)=0),"New best",""))</f>
        <v/>
      </c>
      <c r="T182" s="26" t="n"/>
      <c r="U182" s="1">
        <f>IF(D182="","",IFERROR(INDEX(Exercises!$C$6:$C$105,MATCH(D182,Exercises!$B$6:$B$105,0)),"Other"))</f>
        <v/>
      </c>
      <c r="V182">
        <f>IF(B182="","",IF(COUNTIF($B$6:B182,B182)=1,1,0))</f>
        <v/>
      </c>
      <c r="W182">
        <f>IF(B182="","",B182-WEEKDAY(B182,3))</f>
        <v/>
      </c>
      <c r="X182">
        <f>IF(D182="","",MAX(IF(N(F182)=0,0,IF(N(E182)&gt;0,E182*(1+F182/30),F182)),IF(N(H182)=0,0,IF(N(G182)&gt;0,G182*(1+H182/30),H182)),IF(N(J182)=0,0,IF(N(I182)&gt;0,I182*(1+J182/30),J182)),IF(N(L182)=0,0,IF(N(K182)&gt;0,K182*(1+L182/30),L182)),IF(N(N182)=0,0,IF(N(M182)&gt;0,M182*(1+N182/30),N182))))</f>
        <v/>
      </c>
      <c r="Y182">
        <f>IF(N(X182)=0,"",X182+ROW()/1000000000)</f>
        <v/>
      </c>
      <c r="Z182">
        <f>IF(Y182="","",IF(COUNTIFS(Log!$D$6:$D$1505,D182,Log!$Y$6:$Y$1505,"&gt;"&amp;Y182)=0,1,0))</f>
        <v/>
      </c>
      <c r="AA182">
        <f>IF(OR(B182="",D182=""),"",B182+ROW()/10000000)</f>
        <v/>
      </c>
      <c r="AB182">
        <f>IF(AA182="","",IF(COUNTIFS(Log!$D$6:$D$1505,D182,Log!$AA$6:$AA$1505,"&gt;"&amp;AA182)=0,1,0))</f>
        <v/>
      </c>
      <c r="AC182">
        <f>IF(S182="New best",AA182,"")</f>
        <v/>
      </c>
      <c r="AD182">
        <f>ROW()</f>
        <v/>
      </c>
    </row>
    <row r="183">
      <c r="A183" s="1" t="n"/>
      <c r="B183" s="21" t="n">
        <v>46259</v>
      </c>
      <c r="C183" s="22" t="inlineStr">
        <is>
          <t>Pull</t>
        </is>
      </c>
      <c r="D183" s="23" t="inlineStr">
        <is>
          <t>Lat pulldown</t>
        </is>
      </c>
      <c r="E183" s="24" t="n">
        <v>110</v>
      </c>
      <c r="F183" s="24" t="n">
        <v>12</v>
      </c>
      <c r="G183" s="24" t="n">
        <v>110</v>
      </c>
      <c r="H183" s="24" t="n">
        <v>10</v>
      </c>
      <c r="I183" s="24" t="n">
        <v>110</v>
      </c>
      <c r="J183" s="24" t="n">
        <v>10</v>
      </c>
      <c r="K183" s="24" t="n"/>
      <c r="L183" s="24" t="n"/>
      <c r="M183" s="24" t="n"/>
      <c r="N183" s="24" t="n"/>
      <c r="O183" s="15">
        <f>IF(D183="","",COUNT(F183,H183,J183,L183,N183))</f>
        <v/>
      </c>
      <c r="P183" s="25">
        <f>IF(D183="","",N(E183)*N(F183)+N(G183)*N(H183)+N(I183)*N(J183)+N(K183)*N(L183)+N(M183)*N(N183))</f>
        <v/>
      </c>
      <c r="Q183" s="18">
        <f>IF(N(X183)=0,"",IF(IF(N(F183)=0,0,IF(N(E183)&gt;0,E183*(1+F183/30),F183))=X183,IF(N(E183)&gt;0,E183&amp;" x "&amp;F183,F183&amp;" reps"),IF(IF(N(H183)=0,0,IF(N(G183)&gt;0,G183*(1+H183/30),H183))=X183,IF(N(G183)&gt;0,G183&amp;" x "&amp;H183,H183&amp;" reps"),IF(IF(N(J183)=0,0,IF(N(I183)&gt;0,I183*(1+J183/30),J183))=X183,IF(N(I183)&gt;0,I183&amp;" x "&amp;J183,J183&amp;" reps"),IF(IF(N(L183)=0,0,IF(N(K183)&gt;0,K183*(1+L183/30),L183))=X183,IF(N(K183)&gt;0,K183&amp;" x "&amp;L183,L183&amp;" reps"),IF(IF(N(N183)=0,0,IF(N(M183)&gt;0,M183*(1+N183/30),N183))=X183,IF(N(M183)&gt;0,M183&amp;" x "&amp;N183,N183&amp;" reps"),""))))))</f>
        <v/>
      </c>
      <c r="R183" s="20">
        <f>IF(N(X183)=0,"",ROUND(X183,1))</f>
        <v/>
      </c>
      <c r="S183" s="18">
        <f>IF(N(X183)=0,"",IF(AND(COUNTIFS(Log!$D$6:$D$1505,D183,Log!$B$6:$B$1505,"&lt;"&amp;B183)&gt;0,COUNTIFS(Log!$D$6:$D$1505,D183,Log!$B$6:$B$1505,"&lt;"&amp;B183,Log!$X$6:$X$1505,"&gt;="&amp;X183)=0),"New best",""))</f>
        <v/>
      </c>
      <c r="T183" s="26" t="n"/>
      <c r="U183" s="1">
        <f>IF(D183="","",IFERROR(INDEX(Exercises!$C$6:$C$105,MATCH(D183,Exercises!$B$6:$B$105,0)),"Other"))</f>
        <v/>
      </c>
      <c r="V183">
        <f>IF(B183="","",IF(COUNTIF($B$6:B183,B183)=1,1,0))</f>
        <v/>
      </c>
      <c r="W183">
        <f>IF(B183="","",B183-WEEKDAY(B183,3))</f>
        <v/>
      </c>
      <c r="X183">
        <f>IF(D183="","",MAX(IF(N(F183)=0,0,IF(N(E183)&gt;0,E183*(1+F183/30),F183)),IF(N(H183)=0,0,IF(N(G183)&gt;0,G183*(1+H183/30),H183)),IF(N(J183)=0,0,IF(N(I183)&gt;0,I183*(1+J183/30),J183)),IF(N(L183)=0,0,IF(N(K183)&gt;0,K183*(1+L183/30),L183)),IF(N(N183)=0,0,IF(N(M183)&gt;0,M183*(1+N183/30),N183))))</f>
        <v/>
      </c>
      <c r="Y183">
        <f>IF(N(X183)=0,"",X183+ROW()/1000000000)</f>
        <v/>
      </c>
      <c r="Z183">
        <f>IF(Y183="","",IF(COUNTIFS(Log!$D$6:$D$1505,D183,Log!$Y$6:$Y$1505,"&gt;"&amp;Y183)=0,1,0))</f>
        <v/>
      </c>
      <c r="AA183">
        <f>IF(OR(B183="",D183=""),"",B183+ROW()/10000000)</f>
        <v/>
      </c>
      <c r="AB183">
        <f>IF(AA183="","",IF(COUNTIFS(Log!$D$6:$D$1505,D183,Log!$AA$6:$AA$1505,"&gt;"&amp;AA183)=0,1,0))</f>
        <v/>
      </c>
      <c r="AC183">
        <f>IF(S183="New best",AA183,"")</f>
        <v/>
      </c>
      <c r="AD183">
        <f>ROW()</f>
        <v/>
      </c>
    </row>
    <row r="184">
      <c r="A184" s="1" t="n"/>
      <c r="B184" s="21" t="n">
        <v>46259</v>
      </c>
      <c r="C184" s="22" t="inlineStr">
        <is>
          <t>Pull</t>
        </is>
      </c>
      <c r="D184" s="23" t="inlineStr">
        <is>
          <t>Biceps curl</t>
        </is>
      </c>
      <c r="E184" s="24" t="n">
        <v>30</v>
      </c>
      <c r="F184" s="24" t="n">
        <v>12</v>
      </c>
      <c r="G184" s="24" t="n">
        <v>30</v>
      </c>
      <c r="H184" s="24" t="n">
        <v>10</v>
      </c>
      <c r="I184" s="24" t="n">
        <v>30</v>
      </c>
      <c r="J184" s="24" t="n">
        <v>10</v>
      </c>
      <c r="K184" s="24" t="n"/>
      <c r="L184" s="24" t="n"/>
      <c r="M184" s="24" t="n"/>
      <c r="N184" s="24" t="n"/>
      <c r="O184" s="15">
        <f>IF(D184="","",COUNT(F184,H184,J184,L184,N184))</f>
        <v/>
      </c>
      <c r="P184" s="25">
        <f>IF(D184="","",N(E184)*N(F184)+N(G184)*N(H184)+N(I184)*N(J184)+N(K184)*N(L184)+N(M184)*N(N184))</f>
        <v/>
      </c>
      <c r="Q184" s="18">
        <f>IF(N(X184)=0,"",IF(IF(N(F184)=0,0,IF(N(E184)&gt;0,E184*(1+F184/30),F184))=X184,IF(N(E184)&gt;0,E184&amp;" x "&amp;F184,F184&amp;" reps"),IF(IF(N(H184)=0,0,IF(N(G184)&gt;0,G184*(1+H184/30),H184))=X184,IF(N(G184)&gt;0,G184&amp;" x "&amp;H184,H184&amp;" reps"),IF(IF(N(J184)=0,0,IF(N(I184)&gt;0,I184*(1+J184/30),J184))=X184,IF(N(I184)&gt;0,I184&amp;" x "&amp;J184,J184&amp;" reps"),IF(IF(N(L184)=0,0,IF(N(K184)&gt;0,K184*(1+L184/30),L184))=X184,IF(N(K184)&gt;0,K184&amp;" x "&amp;L184,L184&amp;" reps"),IF(IF(N(N184)=0,0,IF(N(M184)&gt;0,M184*(1+N184/30),N184))=X184,IF(N(M184)&gt;0,M184&amp;" x "&amp;N184,N184&amp;" reps"),""))))))</f>
        <v/>
      </c>
      <c r="R184" s="20">
        <f>IF(N(X184)=0,"",ROUND(X184,1))</f>
        <v/>
      </c>
      <c r="S184" s="18">
        <f>IF(N(X184)=0,"",IF(AND(COUNTIFS(Log!$D$6:$D$1505,D184,Log!$B$6:$B$1505,"&lt;"&amp;B184)&gt;0,COUNTIFS(Log!$D$6:$D$1505,D184,Log!$B$6:$B$1505,"&lt;"&amp;B184,Log!$X$6:$X$1505,"&gt;="&amp;X184)=0),"New best",""))</f>
        <v/>
      </c>
      <c r="T184" s="26" t="n"/>
      <c r="U184" s="1">
        <f>IF(D184="","",IFERROR(INDEX(Exercises!$C$6:$C$105,MATCH(D184,Exercises!$B$6:$B$105,0)),"Other"))</f>
        <v/>
      </c>
      <c r="V184">
        <f>IF(B184="","",IF(COUNTIF($B$6:B184,B184)=1,1,0))</f>
        <v/>
      </c>
      <c r="W184">
        <f>IF(B184="","",B184-WEEKDAY(B184,3))</f>
        <v/>
      </c>
      <c r="X184">
        <f>IF(D184="","",MAX(IF(N(F184)=0,0,IF(N(E184)&gt;0,E184*(1+F184/30),F184)),IF(N(H184)=0,0,IF(N(G184)&gt;0,G184*(1+H184/30),H184)),IF(N(J184)=0,0,IF(N(I184)&gt;0,I184*(1+J184/30),J184)),IF(N(L184)=0,0,IF(N(K184)&gt;0,K184*(1+L184/30),L184)),IF(N(N184)=0,0,IF(N(M184)&gt;0,M184*(1+N184/30),N184))))</f>
        <v/>
      </c>
      <c r="Y184">
        <f>IF(N(X184)=0,"",X184+ROW()/1000000000)</f>
        <v/>
      </c>
      <c r="Z184">
        <f>IF(Y184="","",IF(COUNTIFS(Log!$D$6:$D$1505,D184,Log!$Y$6:$Y$1505,"&gt;"&amp;Y184)=0,1,0))</f>
        <v/>
      </c>
      <c r="AA184">
        <f>IF(OR(B184="",D184=""),"",B184+ROW()/10000000)</f>
        <v/>
      </c>
      <c r="AB184">
        <f>IF(AA184="","",IF(COUNTIFS(Log!$D$6:$D$1505,D184,Log!$AA$6:$AA$1505,"&gt;"&amp;AA184)=0,1,0))</f>
        <v/>
      </c>
      <c r="AC184">
        <f>IF(S184="New best",AA184,"")</f>
        <v/>
      </c>
      <c r="AD184">
        <f>ROW()</f>
        <v/>
      </c>
    </row>
    <row r="185">
      <c r="A185" s="1" t="n"/>
      <c r="B185" s="21" t="n">
        <v>46260</v>
      </c>
      <c r="C185" s="22" t="inlineStr">
        <is>
          <t>Legs</t>
        </is>
      </c>
      <c r="D185" s="23" t="inlineStr">
        <is>
          <t>Squat</t>
        </is>
      </c>
      <c r="E185" s="24" t="n">
        <v>205</v>
      </c>
      <c r="F185" s="24" t="n">
        <v>5</v>
      </c>
      <c r="G185" s="24" t="n">
        <v>205</v>
      </c>
      <c r="H185" s="24" t="n">
        <v>5</v>
      </c>
      <c r="I185" s="24" t="n">
        <v>205</v>
      </c>
      <c r="J185" s="24" t="n">
        <v>5</v>
      </c>
      <c r="K185" s="24" t="n">
        <v>205</v>
      </c>
      <c r="L185" s="24" t="n">
        <v>5</v>
      </c>
      <c r="M185" s="24" t="n"/>
      <c r="N185" s="24" t="n"/>
      <c r="O185" s="15">
        <f>IF(D185="","",COUNT(F185,H185,J185,L185,N185))</f>
        <v/>
      </c>
      <c r="P185" s="25">
        <f>IF(D185="","",N(E185)*N(F185)+N(G185)*N(H185)+N(I185)*N(J185)+N(K185)*N(L185)+N(M185)*N(N185))</f>
        <v/>
      </c>
      <c r="Q185" s="18">
        <f>IF(N(X185)=0,"",IF(IF(N(F185)=0,0,IF(N(E185)&gt;0,E185*(1+F185/30),F185))=X185,IF(N(E185)&gt;0,E185&amp;" x "&amp;F185,F185&amp;" reps"),IF(IF(N(H185)=0,0,IF(N(G185)&gt;0,G185*(1+H185/30),H185))=X185,IF(N(G185)&gt;0,G185&amp;" x "&amp;H185,H185&amp;" reps"),IF(IF(N(J185)=0,0,IF(N(I185)&gt;0,I185*(1+J185/30),J185))=X185,IF(N(I185)&gt;0,I185&amp;" x "&amp;J185,J185&amp;" reps"),IF(IF(N(L185)=0,0,IF(N(K185)&gt;0,K185*(1+L185/30),L185))=X185,IF(N(K185)&gt;0,K185&amp;" x "&amp;L185,L185&amp;" reps"),IF(IF(N(N185)=0,0,IF(N(M185)&gt;0,M185*(1+N185/30),N185))=X185,IF(N(M185)&gt;0,M185&amp;" x "&amp;N185,N185&amp;" reps"),""))))))</f>
        <v/>
      </c>
      <c r="R185" s="20">
        <f>IF(N(X185)=0,"",ROUND(X185,1))</f>
        <v/>
      </c>
      <c r="S185" s="18">
        <f>IF(N(X185)=0,"",IF(AND(COUNTIFS(Log!$D$6:$D$1505,D185,Log!$B$6:$B$1505,"&lt;"&amp;B185)&gt;0,COUNTIFS(Log!$D$6:$D$1505,D185,Log!$B$6:$B$1505,"&lt;"&amp;B185,Log!$X$6:$X$1505,"&gt;="&amp;X185)=0),"New best",""))</f>
        <v/>
      </c>
      <c r="T185" s="26" t="n"/>
      <c r="U185" s="1">
        <f>IF(D185="","",IFERROR(INDEX(Exercises!$C$6:$C$105,MATCH(D185,Exercises!$B$6:$B$105,0)),"Other"))</f>
        <v/>
      </c>
      <c r="V185">
        <f>IF(B185="","",IF(COUNTIF($B$6:B185,B185)=1,1,0))</f>
        <v/>
      </c>
      <c r="W185">
        <f>IF(B185="","",B185-WEEKDAY(B185,3))</f>
        <v/>
      </c>
      <c r="X185">
        <f>IF(D185="","",MAX(IF(N(F185)=0,0,IF(N(E185)&gt;0,E185*(1+F185/30),F185)),IF(N(H185)=0,0,IF(N(G185)&gt;0,G185*(1+H185/30),H185)),IF(N(J185)=0,0,IF(N(I185)&gt;0,I185*(1+J185/30),J185)),IF(N(L185)=0,0,IF(N(K185)&gt;0,K185*(1+L185/30),L185)),IF(N(N185)=0,0,IF(N(M185)&gt;0,M185*(1+N185/30),N185))))</f>
        <v/>
      </c>
      <c r="Y185">
        <f>IF(N(X185)=0,"",X185+ROW()/1000000000)</f>
        <v/>
      </c>
      <c r="Z185">
        <f>IF(Y185="","",IF(COUNTIFS(Log!$D$6:$D$1505,D185,Log!$Y$6:$Y$1505,"&gt;"&amp;Y185)=0,1,0))</f>
        <v/>
      </c>
      <c r="AA185">
        <f>IF(OR(B185="",D185=""),"",B185+ROW()/10000000)</f>
        <v/>
      </c>
      <c r="AB185">
        <f>IF(AA185="","",IF(COUNTIFS(Log!$D$6:$D$1505,D185,Log!$AA$6:$AA$1505,"&gt;"&amp;AA185)=0,1,0))</f>
        <v/>
      </c>
      <c r="AC185">
        <f>IF(S185="New best",AA185,"")</f>
        <v/>
      </c>
      <c r="AD185">
        <f>ROW()</f>
        <v/>
      </c>
    </row>
    <row r="186">
      <c r="A186" s="1" t="n"/>
      <c r="B186" s="21" t="n">
        <v>46260</v>
      </c>
      <c r="C186" s="22" t="inlineStr">
        <is>
          <t>Legs</t>
        </is>
      </c>
      <c r="D186" s="23" t="inlineStr">
        <is>
          <t>Romanian deadlift</t>
        </is>
      </c>
      <c r="E186" s="24" t="n">
        <v>175</v>
      </c>
      <c r="F186" s="24" t="n">
        <v>9</v>
      </c>
      <c r="G186" s="24" t="n">
        <v>175</v>
      </c>
      <c r="H186" s="24" t="n">
        <v>9</v>
      </c>
      <c r="I186" s="24" t="n">
        <v>175</v>
      </c>
      <c r="J186" s="24" t="n">
        <v>8</v>
      </c>
      <c r="K186" s="24" t="n"/>
      <c r="L186" s="24" t="n"/>
      <c r="M186" s="24" t="n"/>
      <c r="N186" s="24" t="n"/>
      <c r="O186" s="15">
        <f>IF(D186="","",COUNT(F186,H186,J186,L186,N186))</f>
        <v/>
      </c>
      <c r="P186" s="25">
        <f>IF(D186="","",N(E186)*N(F186)+N(G186)*N(H186)+N(I186)*N(J186)+N(K186)*N(L186)+N(M186)*N(N186))</f>
        <v/>
      </c>
      <c r="Q186" s="18">
        <f>IF(N(X186)=0,"",IF(IF(N(F186)=0,0,IF(N(E186)&gt;0,E186*(1+F186/30),F186))=X186,IF(N(E186)&gt;0,E186&amp;" x "&amp;F186,F186&amp;" reps"),IF(IF(N(H186)=0,0,IF(N(G186)&gt;0,G186*(1+H186/30),H186))=X186,IF(N(G186)&gt;0,G186&amp;" x "&amp;H186,H186&amp;" reps"),IF(IF(N(J186)=0,0,IF(N(I186)&gt;0,I186*(1+J186/30),J186))=X186,IF(N(I186)&gt;0,I186&amp;" x "&amp;J186,J186&amp;" reps"),IF(IF(N(L186)=0,0,IF(N(K186)&gt;0,K186*(1+L186/30),L186))=X186,IF(N(K186)&gt;0,K186&amp;" x "&amp;L186,L186&amp;" reps"),IF(IF(N(N186)=0,0,IF(N(M186)&gt;0,M186*(1+N186/30),N186))=X186,IF(N(M186)&gt;0,M186&amp;" x "&amp;N186,N186&amp;" reps"),""))))))</f>
        <v/>
      </c>
      <c r="R186" s="20">
        <f>IF(N(X186)=0,"",ROUND(X186,1))</f>
        <v/>
      </c>
      <c r="S186" s="18">
        <f>IF(N(X186)=0,"",IF(AND(COUNTIFS(Log!$D$6:$D$1505,D186,Log!$B$6:$B$1505,"&lt;"&amp;B186)&gt;0,COUNTIFS(Log!$D$6:$D$1505,D186,Log!$B$6:$B$1505,"&lt;"&amp;B186,Log!$X$6:$X$1505,"&gt;="&amp;X186)=0),"New best",""))</f>
        <v/>
      </c>
      <c r="T186" s="26" t="n"/>
      <c r="U186" s="1">
        <f>IF(D186="","",IFERROR(INDEX(Exercises!$C$6:$C$105,MATCH(D186,Exercises!$B$6:$B$105,0)),"Other"))</f>
        <v/>
      </c>
      <c r="V186">
        <f>IF(B186="","",IF(COUNTIF($B$6:B186,B186)=1,1,0))</f>
        <v/>
      </c>
      <c r="W186">
        <f>IF(B186="","",B186-WEEKDAY(B186,3))</f>
        <v/>
      </c>
      <c r="X186">
        <f>IF(D186="","",MAX(IF(N(F186)=0,0,IF(N(E186)&gt;0,E186*(1+F186/30),F186)),IF(N(H186)=0,0,IF(N(G186)&gt;0,G186*(1+H186/30),H186)),IF(N(J186)=0,0,IF(N(I186)&gt;0,I186*(1+J186/30),J186)),IF(N(L186)=0,0,IF(N(K186)&gt;0,K186*(1+L186/30),L186)),IF(N(N186)=0,0,IF(N(M186)&gt;0,M186*(1+N186/30),N186))))</f>
        <v/>
      </c>
      <c r="Y186">
        <f>IF(N(X186)=0,"",X186+ROW()/1000000000)</f>
        <v/>
      </c>
      <c r="Z186">
        <f>IF(Y186="","",IF(COUNTIFS(Log!$D$6:$D$1505,D186,Log!$Y$6:$Y$1505,"&gt;"&amp;Y186)=0,1,0))</f>
        <v/>
      </c>
      <c r="AA186">
        <f>IF(OR(B186="",D186=""),"",B186+ROW()/10000000)</f>
        <v/>
      </c>
      <c r="AB186">
        <f>IF(AA186="","",IF(COUNTIFS(Log!$D$6:$D$1505,D186,Log!$AA$6:$AA$1505,"&gt;"&amp;AA186)=0,1,0))</f>
        <v/>
      </c>
      <c r="AC186">
        <f>IF(S186="New best",AA186,"")</f>
        <v/>
      </c>
      <c r="AD186">
        <f>ROW()</f>
        <v/>
      </c>
    </row>
    <row r="187">
      <c r="A187" s="1" t="n"/>
      <c r="B187" s="21" t="n">
        <v>46260</v>
      </c>
      <c r="C187" s="22" t="inlineStr">
        <is>
          <t>Legs</t>
        </is>
      </c>
      <c r="D187" s="23" t="inlineStr">
        <is>
          <t>Leg press</t>
        </is>
      </c>
      <c r="E187" s="24" t="n">
        <v>310</v>
      </c>
      <c r="F187" s="24" t="n">
        <v>11</v>
      </c>
      <c r="G187" s="24" t="n">
        <v>310</v>
      </c>
      <c r="H187" s="24" t="n">
        <v>10</v>
      </c>
      <c r="I187" s="24" t="n">
        <v>310</v>
      </c>
      <c r="J187" s="24" t="n">
        <v>10</v>
      </c>
      <c r="K187" s="24" t="n"/>
      <c r="L187" s="24" t="n"/>
      <c r="M187" s="24" t="n"/>
      <c r="N187" s="24" t="n"/>
      <c r="O187" s="15">
        <f>IF(D187="","",COUNT(F187,H187,J187,L187,N187))</f>
        <v/>
      </c>
      <c r="P187" s="25">
        <f>IF(D187="","",N(E187)*N(F187)+N(G187)*N(H187)+N(I187)*N(J187)+N(K187)*N(L187)+N(M187)*N(N187))</f>
        <v/>
      </c>
      <c r="Q187" s="18">
        <f>IF(N(X187)=0,"",IF(IF(N(F187)=0,0,IF(N(E187)&gt;0,E187*(1+F187/30),F187))=X187,IF(N(E187)&gt;0,E187&amp;" x "&amp;F187,F187&amp;" reps"),IF(IF(N(H187)=0,0,IF(N(G187)&gt;0,G187*(1+H187/30),H187))=X187,IF(N(G187)&gt;0,G187&amp;" x "&amp;H187,H187&amp;" reps"),IF(IF(N(J187)=0,0,IF(N(I187)&gt;0,I187*(1+J187/30),J187))=X187,IF(N(I187)&gt;0,I187&amp;" x "&amp;J187,J187&amp;" reps"),IF(IF(N(L187)=0,0,IF(N(K187)&gt;0,K187*(1+L187/30),L187))=X187,IF(N(K187)&gt;0,K187&amp;" x "&amp;L187,L187&amp;" reps"),IF(IF(N(N187)=0,0,IF(N(M187)&gt;0,M187*(1+N187/30),N187))=X187,IF(N(M187)&gt;0,M187&amp;" x "&amp;N187,N187&amp;" reps"),""))))))</f>
        <v/>
      </c>
      <c r="R187" s="20">
        <f>IF(N(X187)=0,"",ROUND(X187,1))</f>
        <v/>
      </c>
      <c r="S187" s="18">
        <f>IF(N(X187)=0,"",IF(AND(COUNTIFS(Log!$D$6:$D$1505,D187,Log!$B$6:$B$1505,"&lt;"&amp;B187)&gt;0,COUNTIFS(Log!$D$6:$D$1505,D187,Log!$B$6:$B$1505,"&lt;"&amp;B187,Log!$X$6:$X$1505,"&gt;="&amp;X187)=0),"New best",""))</f>
        <v/>
      </c>
      <c r="T187" s="26" t="n"/>
      <c r="U187" s="1">
        <f>IF(D187="","",IFERROR(INDEX(Exercises!$C$6:$C$105,MATCH(D187,Exercises!$B$6:$B$105,0)),"Other"))</f>
        <v/>
      </c>
      <c r="V187">
        <f>IF(B187="","",IF(COUNTIF($B$6:B187,B187)=1,1,0))</f>
        <v/>
      </c>
      <c r="W187">
        <f>IF(B187="","",B187-WEEKDAY(B187,3))</f>
        <v/>
      </c>
      <c r="X187">
        <f>IF(D187="","",MAX(IF(N(F187)=0,0,IF(N(E187)&gt;0,E187*(1+F187/30),F187)),IF(N(H187)=0,0,IF(N(G187)&gt;0,G187*(1+H187/30),H187)),IF(N(J187)=0,0,IF(N(I187)&gt;0,I187*(1+J187/30),J187)),IF(N(L187)=0,0,IF(N(K187)&gt;0,K187*(1+L187/30),L187)),IF(N(N187)=0,0,IF(N(M187)&gt;0,M187*(1+N187/30),N187))))</f>
        <v/>
      </c>
      <c r="Y187">
        <f>IF(N(X187)=0,"",X187+ROW()/1000000000)</f>
        <v/>
      </c>
      <c r="Z187">
        <f>IF(Y187="","",IF(COUNTIFS(Log!$D$6:$D$1505,D187,Log!$Y$6:$Y$1505,"&gt;"&amp;Y187)=0,1,0))</f>
        <v/>
      </c>
      <c r="AA187">
        <f>IF(OR(B187="",D187=""),"",B187+ROW()/10000000)</f>
        <v/>
      </c>
      <c r="AB187">
        <f>IF(AA187="","",IF(COUNTIFS(Log!$D$6:$D$1505,D187,Log!$AA$6:$AA$1505,"&gt;"&amp;AA187)=0,1,0))</f>
        <v/>
      </c>
      <c r="AC187">
        <f>IF(S187="New best",AA187,"")</f>
        <v/>
      </c>
      <c r="AD187">
        <f>ROW()</f>
        <v/>
      </c>
    </row>
    <row r="188">
      <c r="A188" s="1" t="n"/>
      <c r="B188" s="21" t="n">
        <v>46260</v>
      </c>
      <c r="C188" s="22" t="inlineStr">
        <is>
          <t>Legs</t>
        </is>
      </c>
      <c r="D188" s="23" t="inlineStr">
        <is>
          <t>Leg curl</t>
        </is>
      </c>
      <c r="E188" s="24" t="n">
        <v>80</v>
      </c>
      <c r="F188" s="24" t="n">
        <v>11</v>
      </c>
      <c r="G188" s="24" t="n">
        <v>80</v>
      </c>
      <c r="H188" s="24" t="n">
        <v>11</v>
      </c>
      <c r="I188" s="24" t="n">
        <v>80</v>
      </c>
      <c r="J188" s="24" t="n">
        <v>10</v>
      </c>
      <c r="K188" s="24" t="n"/>
      <c r="L188" s="24" t="n"/>
      <c r="M188" s="24" t="n"/>
      <c r="N188" s="24" t="n"/>
      <c r="O188" s="15">
        <f>IF(D188="","",COUNT(F188,H188,J188,L188,N188))</f>
        <v/>
      </c>
      <c r="P188" s="25">
        <f>IF(D188="","",N(E188)*N(F188)+N(G188)*N(H188)+N(I188)*N(J188)+N(K188)*N(L188)+N(M188)*N(N188))</f>
        <v/>
      </c>
      <c r="Q188" s="18">
        <f>IF(N(X188)=0,"",IF(IF(N(F188)=0,0,IF(N(E188)&gt;0,E188*(1+F188/30),F188))=X188,IF(N(E188)&gt;0,E188&amp;" x "&amp;F188,F188&amp;" reps"),IF(IF(N(H188)=0,0,IF(N(G188)&gt;0,G188*(1+H188/30),H188))=X188,IF(N(G188)&gt;0,G188&amp;" x "&amp;H188,H188&amp;" reps"),IF(IF(N(J188)=0,0,IF(N(I188)&gt;0,I188*(1+J188/30),J188))=X188,IF(N(I188)&gt;0,I188&amp;" x "&amp;J188,J188&amp;" reps"),IF(IF(N(L188)=0,0,IF(N(K188)&gt;0,K188*(1+L188/30),L188))=X188,IF(N(K188)&gt;0,K188&amp;" x "&amp;L188,L188&amp;" reps"),IF(IF(N(N188)=0,0,IF(N(M188)&gt;0,M188*(1+N188/30),N188))=X188,IF(N(M188)&gt;0,M188&amp;" x "&amp;N188,N188&amp;" reps"),""))))))</f>
        <v/>
      </c>
      <c r="R188" s="20">
        <f>IF(N(X188)=0,"",ROUND(X188,1))</f>
        <v/>
      </c>
      <c r="S188" s="18">
        <f>IF(N(X188)=0,"",IF(AND(COUNTIFS(Log!$D$6:$D$1505,D188,Log!$B$6:$B$1505,"&lt;"&amp;B188)&gt;0,COUNTIFS(Log!$D$6:$D$1505,D188,Log!$B$6:$B$1505,"&lt;"&amp;B188,Log!$X$6:$X$1505,"&gt;="&amp;X188)=0),"New best",""))</f>
        <v/>
      </c>
      <c r="T188" s="26" t="n"/>
      <c r="U188" s="1">
        <f>IF(D188="","",IFERROR(INDEX(Exercises!$C$6:$C$105,MATCH(D188,Exercises!$B$6:$B$105,0)),"Other"))</f>
        <v/>
      </c>
      <c r="V188">
        <f>IF(B188="","",IF(COUNTIF($B$6:B188,B188)=1,1,0))</f>
        <v/>
      </c>
      <c r="W188">
        <f>IF(B188="","",B188-WEEKDAY(B188,3))</f>
        <v/>
      </c>
      <c r="X188">
        <f>IF(D188="","",MAX(IF(N(F188)=0,0,IF(N(E188)&gt;0,E188*(1+F188/30),F188)),IF(N(H188)=0,0,IF(N(G188)&gt;0,G188*(1+H188/30),H188)),IF(N(J188)=0,0,IF(N(I188)&gt;0,I188*(1+J188/30),J188)),IF(N(L188)=0,0,IF(N(K188)&gt;0,K188*(1+L188/30),L188)),IF(N(N188)=0,0,IF(N(M188)&gt;0,M188*(1+N188/30),N188))))</f>
        <v/>
      </c>
      <c r="Y188">
        <f>IF(N(X188)=0,"",X188+ROW()/1000000000)</f>
        <v/>
      </c>
      <c r="Z188">
        <f>IF(Y188="","",IF(COUNTIFS(Log!$D$6:$D$1505,D188,Log!$Y$6:$Y$1505,"&gt;"&amp;Y188)=0,1,0))</f>
        <v/>
      </c>
      <c r="AA188">
        <f>IF(OR(B188="",D188=""),"",B188+ROW()/10000000)</f>
        <v/>
      </c>
      <c r="AB188">
        <f>IF(AA188="","",IF(COUNTIFS(Log!$D$6:$D$1505,D188,Log!$AA$6:$AA$1505,"&gt;"&amp;AA188)=0,1,0))</f>
        <v/>
      </c>
      <c r="AC188">
        <f>IF(S188="New best",AA188,"")</f>
        <v/>
      </c>
      <c r="AD188">
        <f>ROW()</f>
        <v/>
      </c>
    </row>
    <row r="189">
      <c r="A189" s="1" t="n"/>
      <c r="B189" s="21" t="n">
        <v>46260</v>
      </c>
      <c r="C189" s="22" t="inlineStr">
        <is>
          <t>Legs</t>
        </is>
      </c>
      <c r="D189" s="23" t="inlineStr">
        <is>
          <t>Calf raise</t>
        </is>
      </c>
      <c r="E189" s="24" t="n">
        <v>110</v>
      </c>
      <c r="F189" s="24" t="n">
        <v>14</v>
      </c>
      <c r="G189" s="24" t="n">
        <v>110</v>
      </c>
      <c r="H189" s="24" t="n">
        <v>14</v>
      </c>
      <c r="I189" s="24" t="n">
        <v>110</v>
      </c>
      <c r="J189" s="24" t="n">
        <v>12</v>
      </c>
      <c r="K189" s="24" t="n">
        <v>110</v>
      </c>
      <c r="L189" s="24" t="n">
        <v>12</v>
      </c>
      <c r="M189" s="24" t="n"/>
      <c r="N189" s="24" t="n"/>
      <c r="O189" s="15">
        <f>IF(D189="","",COUNT(F189,H189,J189,L189,N189))</f>
        <v/>
      </c>
      <c r="P189" s="25">
        <f>IF(D189="","",N(E189)*N(F189)+N(G189)*N(H189)+N(I189)*N(J189)+N(K189)*N(L189)+N(M189)*N(N189))</f>
        <v/>
      </c>
      <c r="Q189" s="18">
        <f>IF(N(X189)=0,"",IF(IF(N(F189)=0,0,IF(N(E189)&gt;0,E189*(1+F189/30),F189))=X189,IF(N(E189)&gt;0,E189&amp;" x "&amp;F189,F189&amp;" reps"),IF(IF(N(H189)=0,0,IF(N(G189)&gt;0,G189*(1+H189/30),H189))=X189,IF(N(G189)&gt;0,G189&amp;" x "&amp;H189,H189&amp;" reps"),IF(IF(N(J189)=0,0,IF(N(I189)&gt;0,I189*(1+J189/30),J189))=X189,IF(N(I189)&gt;0,I189&amp;" x "&amp;J189,J189&amp;" reps"),IF(IF(N(L189)=0,0,IF(N(K189)&gt;0,K189*(1+L189/30),L189))=X189,IF(N(K189)&gt;0,K189&amp;" x "&amp;L189,L189&amp;" reps"),IF(IF(N(N189)=0,0,IF(N(M189)&gt;0,M189*(1+N189/30),N189))=X189,IF(N(M189)&gt;0,M189&amp;" x "&amp;N189,N189&amp;" reps"),""))))))</f>
        <v/>
      </c>
      <c r="R189" s="20">
        <f>IF(N(X189)=0,"",ROUND(X189,1))</f>
        <v/>
      </c>
      <c r="S189" s="18">
        <f>IF(N(X189)=0,"",IF(AND(COUNTIFS(Log!$D$6:$D$1505,D189,Log!$B$6:$B$1505,"&lt;"&amp;B189)&gt;0,COUNTIFS(Log!$D$6:$D$1505,D189,Log!$B$6:$B$1505,"&lt;"&amp;B189,Log!$X$6:$X$1505,"&gt;="&amp;X189)=0),"New best",""))</f>
        <v/>
      </c>
      <c r="T189" s="26" t="n"/>
      <c r="U189" s="1">
        <f>IF(D189="","",IFERROR(INDEX(Exercises!$C$6:$C$105,MATCH(D189,Exercises!$B$6:$B$105,0)),"Other"))</f>
        <v/>
      </c>
      <c r="V189">
        <f>IF(B189="","",IF(COUNTIF($B$6:B189,B189)=1,1,0))</f>
        <v/>
      </c>
      <c r="W189">
        <f>IF(B189="","",B189-WEEKDAY(B189,3))</f>
        <v/>
      </c>
      <c r="X189">
        <f>IF(D189="","",MAX(IF(N(F189)=0,0,IF(N(E189)&gt;0,E189*(1+F189/30),F189)),IF(N(H189)=0,0,IF(N(G189)&gt;0,G189*(1+H189/30),H189)),IF(N(J189)=0,0,IF(N(I189)&gt;0,I189*(1+J189/30),J189)),IF(N(L189)=0,0,IF(N(K189)&gt;0,K189*(1+L189/30),L189)),IF(N(N189)=0,0,IF(N(M189)&gt;0,M189*(1+N189/30),N189))))</f>
        <v/>
      </c>
      <c r="Y189">
        <f>IF(N(X189)=0,"",X189+ROW()/1000000000)</f>
        <v/>
      </c>
      <c r="Z189">
        <f>IF(Y189="","",IF(COUNTIFS(Log!$D$6:$D$1505,D189,Log!$Y$6:$Y$1505,"&gt;"&amp;Y189)=0,1,0))</f>
        <v/>
      </c>
      <c r="AA189">
        <f>IF(OR(B189="",D189=""),"",B189+ROW()/10000000)</f>
        <v/>
      </c>
      <c r="AB189">
        <f>IF(AA189="","",IF(COUNTIFS(Log!$D$6:$D$1505,D189,Log!$AA$6:$AA$1505,"&gt;"&amp;AA189)=0,1,0))</f>
        <v/>
      </c>
      <c r="AC189">
        <f>IF(S189="New best",AA189,"")</f>
        <v/>
      </c>
      <c r="AD189">
        <f>ROW()</f>
        <v/>
      </c>
    </row>
    <row r="190">
      <c r="A190" s="1" t="n"/>
      <c r="B190" s="21" t="n">
        <v>46263</v>
      </c>
      <c r="C190" s="22" t="inlineStr">
        <is>
          <t>Lower</t>
        </is>
      </c>
      <c r="D190" s="23" t="inlineStr">
        <is>
          <t>Squat</t>
        </is>
      </c>
      <c r="E190" s="24" t="n">
        <v>185</v>
      </c>
      <c r="F190" s="24" t="n">
        <v>8</v>
      </c>
      <c r="G190" s="24" t="n">
        <v>185</v>
      </c>
      <c r="H190" s="24" t="n">
        <v>8</v>
      </c>
      <c r="I190" s="24" t="n">
        <v>185</v>
      </c>
      <c r="J190" s="24" t="n">
        <v>8</v>
      </c>
      <c r="K190" s="24" t="n"/>
      <c r="L190" s="24" t="n"/>
      <c r="M190" s="24" t="n"/>
      <c r="N190" s="24" t="n"/>
      <c r="O190" s="15">
        <f>IF(D190="","",COUNT(F190,H190,J190,L190,N190))</f>
        <v/>
      </c>
      <c r="P190" s="25">
        <f>IF(D190="","",N(E190)*N(F190)+N(G190)*N(H190)+N(I190)*N(J190)+N(K190)*N(L190)+N(M190)*N(N190))</f>
        <v/>
      </c>
      <c r="Q190" s="18">
        <f>IF(N(X190)=0,"",IF(IF(N(F190)=0,0,IF(N(E190)&gt;0,E190*(1+F190/30),F190))=X190,IF(N(E190)&gt;0,E190&amp;" x "&amp;F190,F190&amp;" reps"),IF(IF(N(H190)=0,0,IF(N(G190)&gt;0,G190*(1+H190/30),H190))=X190,IF(N(G190)&gt;0,G190&amp;" x "&amp;H190,H190&amp;" reps"),IF(IF(N(J190)=0,0,IF(N(I190)&gt;0,I190*(1+J190/30),J190))=X190,IF(N(I190)&gt;0,I190&amp;" x "&amp;J190,J190&amp;" reps"),IF(IF(N(L190)=0,0,IF(N(K190)&gt;0,K190*(1+L190/30),L190))=X190,IF(N(K190)&gt;0,K190&amp;" x "&amp;L190,L190&amp;" reps"),IF(IF(N(N190)=0,0,IF(N(M190)&gt;0,M190*(1+N190/30),N190))=X190,IF(N(M190)&gt;0,M190&amp;" x "&amp;N190,N190&amp;" reps"),""))))))</f>
        <v/>
      </c>
      <c r="R190" s="20">
        <f>IF(N(X190)=0,"",ROUND(X190,1))</f>
        <v/>
      </c>
      <c r="S190" s="18">
        <f>IF(N(X190)=0,"",IF(AND(COUNTIFS(Log!$D$6:$D$1505,D190,Log!$B$6:$B$1505,"&lt;"&amp;B190)&gt;0,COUNTIFS(Log!$D$6:$D$1505,D190,Log!$B$6:$B$1505,"&lt;"&amp;B190,Log!$X$6:$X$1505,"&gt;="&amp;X190)=0),"New best",""))</f>
        <v/>
      </c>
      <c r="T190" s="26" t="n"/>
      <c r="U190" s="1">
        <f>IF(D190="","",IFERROR(INDEX(Exercises!$C$6:$C$105,MATCH(D190,Exercises!$B$6:$B$105,0)),"Other"))</f>
        <v/>
      </c>
      <c r="V190">
        <f>IF(B190="","",IF(COUNTIF($B$6:B190,B190)=1,1,0))</f>
        <v/>
      </c>
      <c r="W190">
        <f>IF(B190="","",B190-WEEKDAY(B190,3))</f>
        <v/>
      </c>
      <c r="X190">
        <f>IF(D190="","",MAX(IF(N(F190)=0,0,IF(N(E190)&gt;0,E190*(1+F190/30),F190)),IF(N(H190)=0,0,IF(N(G190)&gt;0,G190*(1+H190/30),H190)),IF(N(J190)=0,0,IF(N(I190)&gt;0,I190*(1+J190/30),J190)),IF(N(L190)=0,0,IF(N(K190)&gt;0,K190*(1+L190/30),L190)),IF(N(N190)=0,0,IF(N(M190)&gt;0,M190*(1+N190/30),N190))))</f>
        <v/>
      </c>
      <c r="Y190">
        <f>IF(N(X190)=0,"",X190+ROW()/1000000000)</f>
        <v/>
      </c>
      <c r="Z190">
        <f>IF(Y190="","",IF(COUNTIFS(Log!$D$6:$D$1505,D190,Log!$Y$6:$Y$1505,"&gt;"&amp;Y190)=0,1,0))</f>
        <v/>
      </c>
      <c r="AA190">
        <f>IF(OR(B190="",D190=""),"",B190+ROW()/10000000)</f>
        <v/>
      </c>
      <c r="AB190">
        <f>IF(AA190="","",IF(COUNTIFS(Log!$D$6:$D$1505,D190,Log!$AA$6:$AA$1505,"&gt;"&amp;AA190)=0,1,0))</f>
        <v/>
      </c>
      <c r="AC190">
        <f>IF(S190="New best",AA190,"")</f>
        <v/>
      </c>
      <c r="AD190">
        <f>ROW()</f>
        <v/>
      </c>
    </row>
    <row r="191">
      <c r="A191" s="1" t="n"/>
      <c r="B191" s="21" t="n">
        <v>46263</v>
      </c>
      <c r="C191" s="22" t="inlineStr">
        <is>
          <t>Lower</t>
        </is>
      </c>
      <c r="D191" s="23" t="inlineStr">
        <is>
          <t>Romanian deadlift</t>
        </is>
      </c>
      <c r="E191" s="24" t="n">
        <v>160</v>
      </c>
      <c r="F191" s="24" t="n">
        <v>10</v>
      </c>
      <c r="G191" s="24" t="n">
        <v>160</v>
      </c>
      <c r="H191" s="24" t="n">
        <v>8</v>
      </c>
      <c r="I191" s="24" t="n">
        <v>160</v>
      </c>
      <c r="J191" s="24" t="n">
        <v>8</v>
      </c>
      <c r="K191" s="24" t="n"/>
      <c r="L191" s="24" t="n"/>
      <c r="M191" s="24" t="n"/>
      <c r="N191" s="24" t="n"/>
      <c r="O191" s="15">
        <f>IF(D191="","",COUNT(F191,H191,J191,L191,N191))</f>
        <v/>
      </c>
      <c r="P191" s="25">
        <f>IF(D191="","",N(E191)*N(F191)+N(G191)*N(H191)+N(I191)*N(J191)+N(K191)*N(L191)+N(M191)*N(N191))</f>
        <v/>
      </c>
      <c r="Q191" s="18">
        <f>IF(N(X191)=0,"",IF(IF(N(F191)=0,0,IF(N(E191)&gt;0,E191*(1+F191/30),F191))=X191,IF(N(E191)&gt;0,E191&amp;" x "&amp;F191,F191&amp;" reps"),IF(IF(N(H191)=0,0,IF(N(G191)&gt;0,G191*(1+H191/30),H191))=X191,IF(N(G191)&gt;0,G191&amp;" x "&amp;H191,H191&amp;" reps"),IF(IF(N(J191)=0,0,IF(N(I191)&gt;0,I191*(1+J191/30),J191))=X191,IF(N(I191)&gt;0,I191&amp;" x "&amp;J191,J191&amp;" reps"),IF(IF(N(L191)=0,0,IF(N(K191)&gt;0,K191*(1+L191/30),L191))=X191,IF(N(K191)&gt;0,K191&amp;" x "&amp;L191,L191&amp;" reps"),IF(IF(N(N191)=0,0,IF(N(M191)&gt;0,M191*(1+N191/30),N191))=X191,IF(N(M191)&gt;0,M191&amp;" x "&amp;N191,N191&amp;" reps"),""))))))</f>
        <v/>
      </c>
      <c r="R191" s="20">
        <f>IF(N(X191)=0,"",ROUND(X191,1))</f>
        <v/>
      </c>
      <c r="S191" s="18">
        <f>IF(N(X191)=0,"",IF(AND(COUNTIFS(Log!$D$6:$D$1505,D191,Log!$B$6:$B$1505,"&lt;"&amp;B191)&gt;0,COUNTIFS(Log!$D$6:$D$1505,D191,Log!$B$6:$B$1505,"&lt;"&amp;B191,Log!$X$6:$X$1505,"&gt;="&amp;X191)=0),"New best",""))</f>
        <v/>
      </c>
      <c r="T191" s="26" t="n"/>
      <c r="U191" s="1">
        <f>IF(D191="","",IFERROR(INDEX(Exercises!$C$6:$C$105,MATCH(D191,Exercises!$B$6:$B$105,0)),"Other"))</f>
        <v/>
      </c>
      <c r="V191">
        <f>IF(B191="","",IF(COUNTIF($B$6:B191,B191)=1,1,0))</f>
        <v/>
      </c>
      <c r="W191">
        <f>IF(B191="","",B191-WEEKDAY(B191,3))</f>
        <v/>
      </c>
      <c r="X191">
        <f>IF(D191="","",MAX(IF(N(F191)=0,0,IF(N(E191)&gt;0,E191*(1+F191/30),F191)),IF(N(H191)=0,0,IF(N(G191)&gt;0,G191*(1+H191/30),H191)),IF(N(J191)=0,0,IF(N(I191)&gt;0,I191*(1+J191/30),J191)),IF(N(L191)=0,0,IF(N(K191)&gt;0,K191*(1+L191/30),L191)),IF(N(N191)=0,0,IF(N(M191)&gt;0,M191*(1+N191/30),N191))))</f>
        <v/>
      </c>
      <c r="Y191">
        <f>IF(N(X191)=0,"",X191+ROW()/1000000000)</f>
        <v/>
      </c>
      <c r="Z191">
        <f>IF(Y191="","",IF(COUNTIFS(Log!$D$6:$D$1505,D191,Log!$Y$6:$Y$1505,"&gt;"&amp;Y191)=0,1,0))</f>
        <v/>
      </c>
      <c r="AA191">
        <f>IF(OR(B191="",D191=""),"",B191+ROW()/10000000)</f>
        <v/>
      </c>
      <c r="AB191">
        <f>IF(AA191="","",IF(COUNTIFS(Log!$D$6:$D$1505,D191,Log!$AA$6:$AA$1505,"&gt;"&amp;AA191)=0,1,0))</f>
        <v/>
      </c>
      <c r="AC191">
        <f>IF(S191="New best",AA191,"")</f>
        <v/>
      </c>
      <c r="AD191">
        <f>ROW()</f>
        <v/>
      </c>
    </row>
    <row r="192">
      <c r="A192" s="1" t="n"/>
      <c r="B192" s="21" t="n">
        <v>46263</v>
      </c>
      <c r="C192" s="22" t="inlineStr">
        <is>
          <t>Lower</t>
        </is>
      </c>
      <c r="D192" s="23" t="inlineStr">
        <is>
          <t>Leg press</t>
        </is>
      </c>
      <c r="E192" s="24" t="n">
        <v>280</v>
      </c>
      <c r="F192" s="24" t="n">
        <v>14</v>
      </c>
      <c r="G192" s="24" t="n">
        <v>280</v>
      </c>
      <c r="H192" s="24" t="n">
        <v>14</v>
      </c>
      <c r="I192" s="24" t="n">
        <v>280</v>
      </c>
      <c r="J192" s="24" t="n">
        <v>13</v>
      </c>
      <c r="K192" s="24" t="n"/>
      <c r="L192" s="24" t="n"/>
      <c r="M192" s="24" t="n"/>
      <c r="N192" s="24" t="n"/>
      <c r="O192" s="15">
        <f>IF(D192="","",COUNT(F192,H192,J192,L192,N192))</f>
        <v/>
      </c>
      <c r="P192" s="25">
        <f>IF(D192="","",N(E192)*N(F192)+N(G192)*N(H192)+N(I192)*N(J192)+N(K192)*N(L192)+N(M192)*N(N192))</f>
        <v/>
      </c>
      <c r="Q192" s="18">
        <f>IF(N(X192)=0,"",IF(IF(N(F192)=0,0,IF(N(E192)&gt;0,E192*(1+F192/30),F192))=X192,IF(N(E192)&gt;0,E192&amp;" x "&amp;F192,F192&amp;" reps"),IF(IF(N(H192)=0,0,IF(N(G192)&gt;0,G192*(1+H192/30),H192))=X192,IF(N(G192)&gt;0,G192&amp;" x "&amp;H192,H192&amp;" reps"),IF(IF(N(J192)=0,0,IF(N(I192)&gt;0,I192*(1+J192/30),J192))=X192,IF(N(I192)&gt;0,I192&amp;" x "&amp;J192,J192&amp;" reps"),IF(IF(N(L192)=0,0,IF(N(K192)&gt;0,K192*(1+L192/30),L192))=X192,IF(N(K192)&gt;0,K192&amp;" x "&amp;L192,L192&amp;" reps"),IF(IF(N(N192)=0,0,IF(N(M192)&gt;0,M192*(1+N192/30),N192))=X192,IF(N(M192)&gt;0,M192&amp;" x "&amp;N192,N192&amp;" reps"),""))))))</f>
        <v/>
      </c>
      <c r="R192" s="20">
        <f>IF(N(X192)=0,"",ROUND(X192,1))</f>
        <v/>
      </c>
      <c r="S192" s="18">
        <f>IF(N(X192)=0,"",IF(AND(COUNTIFS(Log!$D$6:$D$1505,D192,Log!$B$6:$B$1505,"&lt;"&amp;B192)&gt;0,COUNTIFS(Log!$D$6:$D$1505,D192,Log!$B$6:$B$1505,"&lt;"&amp;B192,Log!$X$6:$X$1505,"&gt;="&amp;X192)=0),"New best",""))</f>
        <v/>
      </c>
      <c r="T192" s="26" t="n"/>
      <c r="U192" s="1">
        <f>IF(D192="","",IFERROR(INDEX(Exercises!$C$6:$C$105,MATCH(D192,Exercises!$B$6:$B$105,0)),"Other"))</f>
        <v/>
      </c>
      <c r="V192">
        <f>IF(B192="","",IF(COUNTIF($B$6:B192,B192)=1,1,0))</f>
        <v/>
      </c>
      <c r="W192">
        <f>IF(B192="","",B192-WEEKDAY(B192,3))</f>
        <v/>
      </c>
      <c r="X192">
        <f>IF(D192="","",MAX(IF(N(F192)=0,0,IF(N(E192)&gt;0,E192*(1+F192/30),F192)),IF(N(H192)=0,0,IF(N(G192)&gt;0,G192*(1+H192/30),H192)),IF(N(J192)=0,0,IF(N(I192)&gt;0,I192*(1+J192/30),J192)),IF(N(L192)=0,0,IF(N(K192)&gt;0,K192*(1+L192/30),L192)),IF(N(N192)=0,0,IF(N(M192)&gt;0,M192*(1+N192/30),N192))))</f>
        <v/>
      </c>
      <c r="Y192">
        <f>IF(N(X192)=0,"",X192+ROW()/1000000000)</f>
        <v/>
      </c>
      <c r="Z192">
        <f>IF(Y192="","",IF(COUNTIFS(Log!$D$6:$D$1505,D192,Log!$Y$6:$Y$1505,"&gt;"&amp;Y192)=0,1,0))</f>
        <v/>
      </c>
      <c r="AA192">
        <f>IF(OR(B192="",D192=""),"",B192+ROW()/10000000)</f>
        <v/>
      </c>
      <c r="AB192">
        <f>IF(AA192="","",IF(COUNTIFS(Log!$D$6:$D$1505,D192,Log!$AA$6:$AA$1505,"&gt;"&amp;AA192)=0,1,0))</f>
        <v/>
      </c>
      <c r="AC192">
        <f>IF(S192="New best",AA192,"")</f>
        <v/>
      </c>
      <c r="AD192">
        <f>ROW()</f>
        <v/>
      </c>
    </row>
    <row r="193">
      <c r="A193" s="1" t="n"/>
      <c r="B193" s="21" t="n">
        <v>46263</v>
      </c>
      <c r="C193" s="22" t="inlineStr">
        <is>
          <t>Lower</t>
        </is>
      </c>
      <c r="D193" s="23" t="inlineStr">
        <is>
          <t>Calf raise</t>
        </is>
      </c>
      <c r="E193" s="24" t="n">
        <v>100</v>
      </c>
      <c r="F193" s="24" t="n">
        <v>15</v>
      </c>
      <c r="G193" s="24" t="n">
        <v>100</v>
      </c>
      <c r="H193" s="24" t="n">
        <v>15</v>
      </c>
      <c r="I193" s="24" t="n">
        <v>100</v>
      </c>
      <c r="J193" s="24" t="n">
        <v>15</v>
      </c>
      <c r="K193" s="24" t="n"/>
      <c r="L193" s="24" t="n"/>
      <c r="M193" s="24" t="n"/>
      <c r="N193" s="24" t="n"/>
      <c r="O193" s="15">
        <f>IF(D193="","",COUNT(F193,H193,J193,L193,N193))</f>
        <v/>
      </c>
      <c r="P193" s="25">
        <f>IF(D193="","",N(E193)*N(F193)+N(G193)*N(H193)+N(I193)*N(J193)+N(K193)*N(L193)+N(M193)*N(N193))</f>
        <v/>
      </c>
      <c r="Q193" s="18">
        <f>IF(N(X193)=0,"",IF(IF(N(F193)=0,0,IF(N(E193)&gt;0,E193*(1+F193/30),F193))=X193,IF(N(E193)&gt;0,E193&amp;" x "&amp;F193,F193&amp;" reps"),IF(IF(N(H193)=0,0,IF(N(G193)&gt;0,G193*(1+H193/30),H193))=X193,IF(N(G193)&gt;0,G193&amp;" x "&amp;H193,H193&amp;" reps"),IF(IF(N(J193)=0,0,IF(N(I193)&gt;0,I193*(1+J193/30),J193))=X193,IF(N(I193)&gt;0,I193&amp;" x "&amp;J193,J193&amp;" reps"),IF(IF(N(L193)=0,0,IF(N(K193)&gt;0,K193*(1+L193/30),L193))=X193,IF(N(K193)&gt;0,K193&amp;" x "&amp;L193,L193&amp;" reps"),IF(IF(N(N193)=0,0,IF(N(M193)&gt;0,M193*(1+N193/30),N193))=X193,IF(N(M193)&gt;0,M193&amp;" x "&amp;N193,N193&amp;" reps"),""))))))</f>
        <v/>
      </c>
      <c r="R193" s="20">
        <f>IF(N(X193)=0,"",ROUND(X193,1))</f>
        <v/>
      </c>
      <c r="S193" s="18">
        <f>IF(N(X193)=0,"",IF(AND(COUNTIFS(Log!$D$6:$D$1505,D193,Log!$B$6:$B$1505,"&lt;"&amp;B193)&gt;0,COUNTIFS(Log!$D$6:$D$1505,D193,Log!$B$6:$B$1505,"&lt;"&amp;B193,Log!$X$6:$X$1505,"&gt;="&amp;X193)=0),"New best",""))</f>
        <v/>
      </c>
      <c r="T193" s="26" t="n"/>
      <c r="U193" s="1">
        <f>IF(D193="","",IFERROR(INDEX(Exercises!$C$6:$C$105,MATCH(D193,Exercises!$B$6:$B$105,0)),"Other"))</f>
        <v/>
      </c>
      <c r="V193">
        <f>IF(B193="","",IF(COUNTIF($B$6:B193,B193)=1,1,0))</f>
        <v/>
      </c>
      <c r="W193">
        <f>IF(B193="","",B193-WEEKDAY(B193,3))</f>
        <v/>
      </c>
      <c r="X193">
        <f>IF(D193="","",MAX(IF(N(F193)=0,0,IF(N(E193)&gt;0,E193*(1+F193/30),F193)),IF(N(H193)=0,0,IF(N(G193)&gt;0,G193*(1+H193/30),H193)),IF(N(J193)=0,0,IF(N(I193)&gt;0,I193*(1+J193/30),J193)),IF(N(L193)=0,0,IF(N(K193)&gt;0,K193*(1+L193/30),L193)),IF(N(N193)=0,0,IF(N(M193)&gt;0,M193*(1+N193/30),N193))))</f>
        <v/>
      </c>
      <c r="Y193">
        <f>IF(N(X193)=0,"",X193+ROW()/1000000000)</f>
        <v/>
      </c>
      <c r="Z193">
        <f>IF(Y193="","",IF(COUNTIFS(Log!$D$6:$D$1505,D193,Log!$Y$6:$Y$1505,"&gt;"&amp;Y193)=0,1,0))</f>
        <v/>
      </c>
      <c r="AA193">
        <f>IF(OR(B193="",D193=""),"",B193+ROW()/10000000)</f>
        <v/>
      </c>
      <c r="AB193">
        <f>IF(AA193="","",IF(COUNTIFS(Log!$D$6:$D$1505,D193,Log!$AA$6:$AA$1505,"&gt;"&amp;AA193)=0,1,0))</f>
        <v/>
      </c>
      <c r="AC193">
        <f>IF(S193="New best",AA193,"")</f>
        <v/>
      </c>
      <c r="AD193">
        <f>ROW()</f>
        <v/>
      </c>
    </row>
    <row r="194">
      <c r="A194" s="1" t="n"/>
      <c r="B194" s="21" t="n">
        <v>46265</v>
      </c>
      <c r="C194" s="22" t="inlineStr">
        <is>
          <t>Push</t>
        </is>
      </c>
      <c r="D194" s="23" t="inlineStr">
        <is>
          <t>Bench press</t>
        </is>
      </c>
      <c r="E194" s="24" t="n">
        <v>145</v>
      </c>
      <c r="F194" s="24" t="n">
        <v>7</v>
      </c>
      <c r="G194" s="24" t="n">
        <v>145</v>
      </c>
      <c r="H194" s="24" t="n">
        <v>7</v>
      </c>
      <c r="I194" s="24" t="n">
        <v>145</v>
      </c>
      <c r="J194" s="24" t="n">
        <v>6</v>
      </c>
      <c r="K194" s="24" t="n">
        <v>145</v>
      </c>
      <c r="L194" s="24" t="n">
        <v>6</v>
      </c>
      <c r="M194" s="24" t="n"/>
      <c r="N194" s="24" t="n"/>
      <c r="O194" s="15">
        <f>IF(D194="","",COUNT(F194,H194,J194,L194,N194))</f>
        <v/>
      </c>
      <c r="P194" s="25">
        <f>IF(D194="","",N(E194)*N(F194)+N(G194)*N(H194)+N(I194)*N(J194)+N(K194)*N(L194)+N(M194)*N(N194))</f>
        <v/>
      </c>
      <c r="Q194" s="18">
        <f>IF(N(X194)=0,"",IF(IF(N(F194)=0,0,IF(N(E194)&gt;0,E194*(1+F194/30),F194))=X194,IF(N(E194)&gt;0,E194&amp;" x "&amp;F194,F194&amp;" reps"),IF(IF(N(H194)=0,0,IF(N(G194)&gt;0,G194*(1+H194/30),H194))=X194,IF(N(G194)&gt;0,G194&amp;" x "&amp;H194,H194&amp;" reps"),IF(IF(N(J194)=0,0,IF(N(I194)&gt;0,I194*(1+J194/30),J194))=X194,IF(N(I194)&gt;0,I194&amp;" x "&amp;J194,J194&amp;" reps"),IF(IF(N(L194)=0,0,IF(N(K194)&gt;0,K194*(1+L194/30),L194))=X194,IF(N(K194)&gt;0,K194&amp;" x "&amp;L194,L194&amp;" reps"),IF(IF(N(N194)=0,0,IF(N(M194)&gt;0,M194*(1+N194/30),N194))=X194,IF(N(M194)&gt;0,M194&amp;" x "&amp;N194,N194&amp;" reps"),""))))))</f>
        <v/>
      </c>
      <c r="R194" s="20">
        <f>IF(N(X194)=0,"",ROUND(X194,1))</f>
        <v/>
      </c>
      <c r="S194" s="18">
        <f>IF(N(X194)=0,"",IF(AND(COUNTIFS(Log!$D$6:$D$1505,D194,Log!$B$6:$B$1505,"&lt;"&amp;B194)&gt;0,COUNTIFS(Log!$D$6:$D$1505,D194,Log!$B$6:$B$1505,"&lt;"&amp;B194,Log!$X$6:$X$1505,"&gt;="&amp;X194)=0),"New best",""))</f>
        <v/>
      </c>
      <c r="T194" s="26" t="n"/>
      <c r="U194" s="1">
        <f>IF(D194="","",IFERROR(INDEX(Exercises!$C$6:$C$105,MATCH(D194,Exercises!$B$6:$B$105,0)),"Other"))</f>
        <v/>
      </c>
      <c r="V194">
        <f>IF(B194="","",IF(COUNTIF($B$6:B194,B194)=1,1,0))</f>
        <v/>
      </c>
      <c r="W194">
        <f>IF(B194="","",B194-WEEKDAY(B194,3))</f>
        <v/>
      </c>
      <c r="X194">
        <f>IF(D194="","",MAX(IF(N(F194)=0,0,IF(N(E194)&gt;0,E194*(1+F194/30),F194)),IF(N(H194)=0,0,IF(N(G194)&gt;0,G194*(1+H194/30),H194)),IF(N(J194)=0,0,IF(N(I194)&gt;0,I194*(1+J194/30),J194)),IF(N(L194)=0,0,IF(N(K194)&gt;0,K194*(1+L194/30),L194)),IF(N(N194)=0,0,IF(N(M194)&gt;0,M194*(1+N194/30),N194))))</f>
        <v/>
      </c>
      <c r="Y194">
        <f>IF(N(X194)=0,"",X194+ROW()/1000000000)</f>
        <v/>
      </c>
      <c r="Z194">
        <f>IF(Y194="","",IF(COUNTIFS(Log!$D$6:$D$1505,D194,Log!$Y$6:$Y$1505,"&gt;"&amp;Y194)=0,1,0))</f>
        <v/>
      </c>
      <c r="AA194">
        <f>IF(OR(B194="",D194=""),"",B194+ROW()/10000000)</f>
        <v/>
      </c>
      <c r="AB194">
        <f>IF(AA194="","",IF(COUNTIFS(Log!$D$6:$D$1505,D194,Log!$AA$6:$AA$1505,"&gt;"&amp;AA194)=0,1,0))</f>
        <v/>
      </c>
      <c r="AC194">
        <f>IF(S194="New best",AA194,"")</f>
        <v/>
      </c>
      <c r="AD194">
        <f>ROW()</f>
        <v/>
      </c>
    </row>
    <row r="195">
      <c r="A195" s="1" t="n"/>
      <c r="B195" s="21" t="n">
        <v>46265</v>
      </c>
      <c r="C195" s="22" t="inlineStr">
        <is>
          <t>Push</t>
        </is>
      </c>
      <c r="D195" s="23" t="inlineStr">
        <is>
          <t>Overhead press</t>
        </is>
      </c>
      <c r="E195" s="24" t="n">
        <v>95</v>
      </c>
      <c r="F195" s="24" t="n">
        <v>10</v>
      </c>
      <c r="G195" s="24" t="n">
        <v>95</v>
      </c>
      <c r="H195" s="24" t="n">
        <v>9</v>
      </c>
      <c r="I195" s="24" t="n">
        <v>95</v>
      </c>
      <c r="J195" s="24" t="n">
        <v>8</v>
      </c>
      <c r="K195" s="24" t="n"/>
      <c r="L195" s="24" t="n"/>
      <c r="M195" s="24" t="n"/>
      <c r="N195" s="24" t="n"/>
      <c r="O195" s="15">
        <f>IF(D195="","",COUNT(F195,H195,J195,L195,N195))</f>
        <v/>
      </c>
      <c r="P195" s="25">
        <f>IF(D195="","",N(E195)*N(F195)+N(G195)*N(H195)+N(I195)*N(J195)+N(K195)*N(L195)+N(M195)*N(N195))</f>
        <v/>
      </c>
      <c r="Q195" s="18">
        <f>IF(N(X195)=0,"",IF(IF(N(F195)=0,0,IF(N(E195)&gt;0,E195*(1+F195/30),F195))=X195,IF(N(E195)&gt;0,E195&amp;" x "&amp;F195,F195&amp;" reps"),IF(IF(N(H195)=0,0,IF(N(G195)&gt;0,G195*(1+H195/30),H195))=X195,IF(N(G195)&gt;0,G195&amp;" x "&amp;H195,H195&amp;" reps"),IF(IF(N(J195)=0,0,IF(N(I195)&gt;0,I195*(1+J195/30),J195))=X195,IF(N(I195)&gt;0,I195&amp;" x "&amp;J195,J195&amp;" reps"),IF(IF(N(L195)=0,0,IF(N(K195)&gt;0,K195*(1+L195/30),L195))=X195,IF(N(K195)&gt;0,K195&amp;" x "&amp;L195,L195&amp;" reps"),IF(IF(N(N195)=0,0,IF(N(M195)&gt;0,M195*(1+N195/30),N195))=X195,IF(N(M195)&gt;0,M195&amp;" x "&amp;N195,N195&amp;" reps"),""))))))</f>
        <v/>
      </c>
      <c r="R195" s="20">
        <f>IF(N(X195)=0,"",ROUND(X195,1))</f>
        <v/>
      </c>
      <c r="S195" s="18">
        <f>IF(N(X195)=0,"",IF(AND(COUNTIFS(Log!$D$6:$D$1505,D195,Log!$B$6:$B$1505,"&lt;"&amp;B195)&gt;0,COUNTIFS(Log!$D$6:$D$1505,D195,Log!$B$6:$B$1505,"&lt;"&amp;B195,Log!$X$6:$X$1505,"&gt;="&amp;X195)=0),"New best",""))</f>
        <v/>
      </c>
      <c r="T195" s="26" t="n"/>
      <c r="U195" s="1">
        <f>IF(D195="","",IFERROR(INDEX(Exercises!$C$6:$C$105,MATCH(D195,Exercises!$B$6:$B$105,0)),"Other"))</f>
        <v/>
      </c>
      <c r="V195">
        <f>IF(B195="","",IF(COUNTIF($B$6:B195,B195)=1,1,0))</f>
        <v/>
      </c>
      <c r="W195">
        <f>IF(B195="","",B195-WEEKDAY(B195,3))</f>
        <v/>
      </c>
      <c r="X195">
        <f>IF(D195="","",MAX(IF(N(F195)=0,0,IF(N(E195)&gt;0,E195*(1+F195/30),F195)),IF(N(H195)=0,0,IF(N(G195)&gt;0,G195*(1+H195/30),H195)),IF(N(J195)=0,0,IF(N(I195)&gt;0,I195*(1+J195/30),J195)),IF(N(L195)=0,0,IF(N(K195)&gt;0,K195*(1+L195/30),L195)),IF(N(N195)=0,0,IF(N(M195)&gt;0,M195*(1+N195/30),N195))))</f>
        <v/>
      </c>
      <c r="Y195">
        <f>IF(N(X195)=0,"",X195+ROW()/1000000000)</f>
        <v/>
      </c>
      <c r="Z195">
        <f>IF(Y195="","",IF(COUNTIFS(Log!$D$6:$D$1505,D195,Log!$Y$6:$Y$1505,"&gt;"&amp;Y195)=0,1,0))</f>
        <v/>
      </c>
      <c r="AA195">
        <f>IF(OR(B195="",D195=""),"",B195+ROW()/10000000)</f>
        <v/>
      </c>
      <c r="AB195">
        <f>IF(AA195="","",IF(COUNTIFS(Log!$D$6:$D$1505,D195,Log!$AA$6:$AA$1505,"&gt;"&amp;AA195)=0,1,0))</f>
        <v/>
      </c>
      <c r="AC195">
        <f>IF(S195="New best",AA195,"")</f>
        <v/>
      </c>
      <c r="AD195">
        <f>ROW()</f>
        <v/>
      </c>
    </row>
    <row r="196">
      <c r="A196" s="1" t="n"/>
      <c r="B196" s="21" t="n">
        <v>46265</v>
      </c>
      <c r="C196" s="22" t="inlineStr">
        <is>
          <t>Push</t>
        </is>
      </c>
      <c r="D196" s="23" t="inlineStr">
        <is>
          <t>Incline dumbbell press</t>
        </is>
      </c>
      <c r="E196" s="24" t="n">
        <v>55</v>
      </c>
      <c r="F196" s="24" t="n">
        <v>11</v>
      </c>
      <c r="G196" s="24" t="n">
        <v>55</v>
      </c>
      <c r="H196" s="24" t="n">
        <v>11</v>
      </c>
      <c r="I196" s="24" t="n">
        <v>55</v>
      </c>
      <c r="J196" s="24" t="n">
        <v>9</v>
      </c>
      <c r="K196" s="24" t="n"/>
      <c r="L196" s="24" t="n"/>
      <c r="M196" s="24" t="n"/>
      <c r="N196" s="24" t="n"/>
      <c r="O196" s="15">
        <f>IF(D196="","",COUNT(F196,H196,J196,L196,N196))</f>
        <v/>
      </c>
      <c r="P196" s="25">
        <f>IF(D196="","",N(E196)*N(F196)+N(G196)*N(H196)+N(I196)*N(J196)+N(K196)*N(L196)+N(M196)*N(N196))</f>
        <v/>
      </c>
      <c r="Q196" s="18">
        <f>IF(N(X196)=0,"",IF(IF(N(F196)=0,0,IF(N(E196)&gt;0,E196*(1+F196/30),F196))=X196,IF(N(E196)&gt;0,E196&amp;" x "&amp;F196,F196&amp;" reps"),IF(IF(N(H196)=0,0,IF(N(G196)&gt;0,G196*(1+H196/30),H196))=X196,IF(N(G196)&gt;0,G196&amp;" x "&amp;H196,H196&amp;" reps"),IF(IF(N(J196)=0,0,IF(N(I196)&gt;0,I196*(1+J196/30),J196))=X196,IF(N(I196)&gt;0,I196&amp;" x "&amp;J196,J196&amp;" reps"),IF(IF(N(L196)=0,0,IF(N(K196)&gt;0,K196*(1+L196/30),L196))=X196,IF(N(K196)&gt;0,K196&amp;" x "&amp;L196,L196&amp;" reps"),IF(IF(N(N196)=0,0,IF(N(M196)&gt;0,M196*(1+N196/30),N196))=X196,IF(N(M196)&gt;0,M196&amp;" x "&amp;N196,N196&amp;" reps"),""))))))</f>
        <v/>
      </c>
      <c r="R196" s="20">
        <f>IF(N(X196)=0,"",ROUND(X196,1))</f>
        <v/>
      </c>
      <c r="S196" s="18">
        <f>IF(N(X196)=0,"",IF(AND(COUNTIFS(Log!$D$6:$D$1505,D196,Log!$B$6:$B$1505,"&lt;"&amp;B196)&gt;0,COUNTIFS(Log!$D$6:$D$1505,D196,Log!$B$6:$B$1505,"&lt;"&amp;B196,Log!$X$6:$X$1505,"&gt;="&amp;X196)=0),"New best",""))</f>
        <v/>
      </c>
      <c r="T196" s="26" t="n"/>
      <c r="U196" s="1">
        <f>IF(D196="","",IFERROR(INDEX(Exercises!$C$6:$C$105,MATCH(D196,Exercises!$B$6:$B$105,0)),"Other"))</f>
        <v/>
      </c>
      <c r="V196">
        <f>IF(B196="","",IF(COUNTIF($B$6:B196,B196)=1,1,0))</f>
        <v/>
      </c>
      <c r="W196">
        <f>IF(B196="","",B196-WEEKDAY(B196,3))</f>
        <v/>
      </c>
      <c r="X196">
        <f>IF(D196="","",MAX(IF(N(F196)=0,0,IF(N(E196)&gt;0,E196*(1+F196/30),F196)),IF(N(H196)=0,0,IF(N(G196)&gt;0,G196*(1+H196/30),H196)),IF(N(J196)=0,0,IF(N(I196)&gt;0,I196*(1+J196/30),J196)),IF(N(L196)=0,0,IF(N(K196)&gt;0,K196*(1+L196/30),L196)),IF(N(N196)=0,0,IF(N(M196)&gt;0,M196*(1+N196/30),N196))))</f>
        <v/>
      </c>
      <c r="Y196">
        <f>IF(N(X196)=0,"",X196+ROW()/1000000000)</f>
        <v/>
      </c>
      <c r="Z196">
        <f>IF(Y196="","",IF(COUNTIFS(Log!$D$6:$D$1505,D196,Log!$Y$6:$Y$1505,"&gt;"&amp;Y196)=0,1,0))</f>
        <v/>
      </c>
      <c r="AA196">
        <f>IF(OR(B196="",D196=""),"",B196+ROW()/10000000)</f>
        <v/>
      </c>
      <c r="AB196">
        <f>IF(AA196="","",IF(COUNTIFS(Log!$D$6:$D$1505,D196,Log!$AA$6:$AA$1505,"&gt;"&amp;AA196)=0,1,0))</f>
        <v/>
      </c>
      <c r="AC196">
        <f>IF(S196="New best",AA196,"")</f>
        <v/>
      </c>
      <c r="AD196">
        <f>ROW()</f>
        <v/>
      </c>
    </row>
    <row r="197">
      <c r="A197" s="1" t="n"/>
      <c r="B197" s="21" t="n">
        <v>46265</v>
      </c>
      <c r="C197" s="22" t="inlineStr">
        <is>
          <t>Push</t>
        </is>
      </c>
      <c r="D197" s="23" t="inlineStr">
        <is>
          <t>Lateral raise</t>
        </is>
      </c>
      <c r="E197" s="24" t="n">
        <v>20</v>
      </c>
      <c r="F197" s="24" t="n">
        <v>15</v>
      </c>
      <c r="G197" s="24" t="n">
        <v>20</v>
      </c>
      <c r="H197" s="24" t="n">
        <v>14</v>
      </c>
      <c r="I197" s="24" t="n">
        <v>20</v>
      </c>
      <c r="J197" s="24" t="n">
        <v>12</v>
      </c>
      <c r="K197" s="24" t="n"/>
      <c r="L197" s="24" t="n"/>
      <c r="M197" s="24" t="n"/>
      <c r="N197" s="24" t="n"/>
      <c r="O197" s="15">
        <f>IF(D197="","",COUNT(F197,H197,J197,L197,N197))</f>
        <v/>
      </c>
      <c r="P197" s="25">
        <f>IF(D197="","",N(E197)*N(F197)+N(G197)*N(H197)+N(I197)*N(J197)+N(K197)*N(L197)+N(M197)*N(N197))</f>
        <v/>
      </c>
      <c r="Q197" s="18">
        <f>IF(N(X197)=0,"",IF(IF(N(F197)=0,0,IF(N(E197)&gt;0,E197*(1+F197/30),F197))=X197,IF(N(E197)&gt;0,E197&amp;" x "&amp;F197,F197&amp;" reps"),IF(IF(N(H197)=0,0,IF(N(G197)&gt;0,G197*(1+H197/30),H197))=X197,IF(N(G197)&gt;0,G197&amp;" x "&amp;H197,H197&amp;" reps"),IF(IF(N(J197)=0,0,IF(N(I197)&gt;0,I197*(1+J197/30),J197))=X197,IF(N(I197)&gt;0,I197&amp;" x "&amp;J197,J197&amp;" reps"),IF(IF(N(L197)=0,0,IF(N(K197)&gt;0,K197*(1+L197/30),L197))=X197,IF(N(K197)&gt;0,K197&amp;" x "&amp;L197,L197&amp;" reps"),IF(IF(N(N197)=0,0,IF(N(M197)&gt;0,M197*(1+N197/30),N197))=X197,IF(N(M197)&gt;0,M197&amp;" x "&amp;N197,N197&amp;" reps"),""))))))</f>
        <v/>
      </c>
      <c r="R197" s="20">
        <f>IF(N(X197)=0,"",ROUND(X197,1))</f>
        <v/>
      </c>
      <c r="S197" s="18">
        <f>IF(N(X197)=0,"",IF(AND(COUNTIFS(Log!$D$6:$D$1505,D197,Log!$B$6:$B$1505,"&lt;"&amp;B197)&gt;0,COUNTIFS(Log!$D$6:$D$1505,D197,Log!$B$6:$B$1505,"&lt;"&amp;B197,Log!$X$6:$X$1505,"&gt;="&amp;X197)=0),"New best",""))</f>
        <v/>
      </c>
      <c r="T197" s="26" t="n"/>
      <c r="U197" s="1">
        <f>IF(D197="","",IFERROR(INDEX(Exercises!$C$6:$C$105,MATCH(D197,Exercises!$B$6:$B$105,0)),"Other"))</f>
        <v/>
      </c>
      <c r="V197">
        <f>IF(B197="","",IF(COUNTIF($B$6:B197,B197)=1,1,0))</f>
        <v/>
      </c>
      <c r="W197">
        <f>IF(B197="","",B197-WEEKDAY(B197,3))</f>
        <v/>
      </c>
      <c r="X197">
        <f>IF(D197="","",MAX(IF(N(F197)=0,0,IF(N(E197)&gt;0,E197*(1+F197/30),F197)),IF(N(H197)=0,0,IF(N(G197)&gt;0,G197*(1+H197/30),H197)),IF(N(J197)=0,0,IF(N(I197)&gt;0,I197*(1+J197/30),J197)),IF(N(L197)=0,0,IF(N(K197)&gt;0,K197*(1+L197/30),L197)),IF(N(N197)=0,0,IF(N(M197)&gt;0,M197*(1+N197/30),N197))))</f>
        <v/>
      </c>
      <c r="Y197">
        <f>IF(N(X197)=0,"",X197+ROW()/1000000000)</f>
        <v/>
      </c>
      <c r="Z197">
        <f>IF(Y197="","",IF(COUNTIFS(Log!$D$6:$D$1505,D197,Log!$Y$6:$Y$1505,"&gt;"&amp;Y197)=0,1,0))</f>
        <v/>
      </c>
      <c r="AA197">
        <f>IF(OR(B197="",D197=""),"",B197+ROW()/10000000)</f>
        <v/>
      </c>
      <c r="AB197">
        <f>IF(AA197="","",IF(COUNTIFS(Log!$D$6:$D$1505,D197,Log!$AA$6:$AA$1505,"&gt;"&amp;AA197)=0,1,0))</f>
        <v/>
      </c>
      <c r="AC197">
        <f>IF(S197="New best",AA197,"")</f>
        <v/>
      </c>
      <c r="AD197">
        <f>ROW()</f>
        <v/>
      </c>
    </row>
    <row r="198">
      <c r="A198" s="1" t="n"/>
      <c r="B198" s="21" t="n">
        <v>46265</v>
      </c>
      <c r="C198" s="22" t="inlineStr">
        <is>
          <t>Push</t>
        </is>
      </c>
      <c r="D198" s="23" t="inlineStr">
        <is>
          <t>Triceps pushdown</t>
        </is>
      </c>
      <c r="E198" s="24" t="n">
        <v>50</v>
      </c>
      <c r="F198" s="24" t="n">
        <v>12</v>
      </c>
      <c r="G198" s="24" t="n">
        <v>50</v>
      </c>
      <c r="H198" s="24" t="n">
        <v>11</v>
      </c>
      <c r="I198" s="24" t="n">
        <v>50</v>
      </c>
      <c r="J198" s="24" t="n">
        <v>10</v>
      </c>
      <c r="K198" s="24" t="n"/>
      <c r="L198" s="24" t="n"/>
      <c r="M198" s="24" t="n"/>
      <c r="N198" s="24" t="n"/>
      <c r="O198" s="15">
        <f>IF(D198="","",COUNT(F198,H198,J198,L198,N198))</f>
        <v/>
      </c>
      <c r="P198" s="25">
        <f>IF(D198="","",N(E198)*N(F198)+N(G198)*N(H198)+N(I198)*N(J198)+N(K198)*N(L198)+N(M198)*N(N198))</f>
        <v/>
      </c>
      <c r="Q198" s="18">
        <f>IF(N(X198)=0,"",IF(IF(N(F198)=0,0,IF(N(E198)&gt;0,E198*(1+F198/30),F198))=X198,IF(N(E198)&gt;0,E198&amp;" x "&amp;F198,F198&amp;" reps"),IF(IF(N(H198)=0,0,IF(N(G198)&gt;0,G198*(1+H198/30),H198))=X198,IF(N(G198)&gt;0,G198&amp;" x "&amp;H198,H198&amp;" reps"),IF(IF(N(J198)=0,0,IF(N(I198)&gt;0,I198*(1+J198/30),J198))=X198,IF(N(I198)&gt;0,I198&amp;" x "&amp;J198,J198&amp;" reps"),IF(IF(N(L198)=0,0,IF(N(K198)&gt;0,K198*(1+L198/30),L198))=X198,IF(N(K198)&gt;0,K198&amp;" x "&amp;L198,L198&amp;" reps"),IF(IF(N(N198)=0,0,IF(N(M198)&gt;0,M198*(1+N198/30),N198))=X198,IF(N(M198)&gt;0,M198&amp;" x "&amp;N198,N198&amp;" reps"),""))))))</f>
        <v/>
      </c>
      <c r="R198" s="20">
        <f>IF(N(X198)=0,"",ROUND(X198,1))</f>
        <v/>
      </c>
      <c r="S198" s="18">
        <f>IF(N(X198)=0,"",IF(AND(COUNTIFS(Log!$D$6:$D$1505,D198,Log!$B$6:$B$1505,"&lt;"&amp;B198)&gt;0,COUNTIFS(Log!$D$6:$D$1505,D198,Log!$B$6:$B$1505,"&lt;"&amp;B198,Log!$X$6:$X$1505,"&gt;="&amp;X198)=0),"New best",""))</f>
        <v/>
      </c>
      <c r="T198" s="26" t="n"/>
      <c r="U198" s="1">
        <f>IF(D198="","",IFERROR(INDEX(Exercises!$C$6:$C$105,MATCH(D198,Exercises!$B$6:$B$105,0)),"Other"))</f>
        <v/>
      </c>
      <c r="V198">
        <f>IF(B198="","",IF(COUNTIF($B$6:B198,B198)=1,1,0))</f>
        <v/>
      </c>
      <c r="W198">
        <f>IF(B198="","",B198-WEEKDAY(B198,3))</f>
        <v/>
      </c>
      <c r="X198">
        <f>IF(D198="","",MAX(IF(N(F198)=0,0,IF(N(E198)&gt;0,E198*(1+F198/30),F198)),IF(N(H198)=0,0,IF(N(G198)&gt;0,G198*(1+H198/30),H198)),IF(N(J198)=0,0,IF(N(I198)&gt;0,I198*(1+J198/30),J198)),IF(N(L198)=0,0,IF(N(K198)&gt;0,K198*(1+L198/30),L198)),IF(N(N198)=0,0,IF(N(M198)&gt;0,M198*(1+N198/30),N198))))</f>
        <v/>
      </c>
      <c r="Y198">
        <f>IF(N(X198)=0,"",X198+ROW()/1000000000)</f>
        <v/>
      </c>
      <c r="Z198">
        <f>IF(Y198="","",IF(COUNTIFS(Log!$D$6:$D$1505,D198,Log!$Y$6:$Y$1505,"&gt;"&amp;Y198)=0,1,0))</f>
        <v/>
      </c>
      <c r="AA198">
        <f>IF(OR(B198="",D198=""),"",B198+ROW()/10000000)</f>
        <v/>
      </c>
      <c r="AB198">
        <f>IF(AA198="","",IF(COUNTIFS(Log!$D$6:$D$1505,D198,Log!$AA$6:$AA$1505,"&gt;"&amp;AA198)=0,1,0))</f>
        <v/>
      </c>
      <c r="AC198">
        <f>IF(S198="New best",AA198,"")</f>
        <v/>
      </c>
      <c r="AD198">
        <f>ROW()</f>
        <v/>
      </c>
    </row>
    <row r="199">
      <c r="A199" s="1" t="n"/>
      <c r="B199" s="21" t="n">
        <v>46266</v>
      </c>
      <c r="C199" s="22" t="inlineStr">
        <is>
          <t>Pull</t>
        </is>
      </c>
      <c r="D199" s="23" t="inlineStr">
        <is>
          <t>Deadlift</t>
        </is>
      </c>
      <c r="E199" s="24" t="n">
        <v>245</v>
      </c>
      <c r="F199" s="24" t="n">
        <v>5</v>
      </c>
      <c r="G199" s="24" t="n">
        <v>245</v>
      </c>
      <c r="H199" s="24" t="n">
        <v>5</v>
      </c>
      <c r="I199" s="24" t="n">
        <v>245</v>
      </c>
      <c r="J199" s="24" t="n">
        <v>5</v>
      </c>
      <c r="K199" s="24" t="n"/>
      <c r="L199" s="24" t="n"/>
      <c r="M199" s="24" t="n"/>
      <c r="N199" s="24" t="n"/>
      <c r="O199" s="15">
        <f>IF(D199="","",COUNT(F199,H199,J199,L199,N199))</f>
        <v/>
      </c>
      <c r="P199" s="25">
        <f>IF(D199="","",N(E199)*N(F199)+N(G199)*N(H199)+N(I199)*N(J199)+N(K199)*N(L199)+N(M199)*N(N199))</f>
        <v/>
      </c>
      <c r="Q199" s="18">
        <f>IF(N(X199)=0,"",IF(IF(N(F199)=0,0,IF(N(E199)&gt;0,E199*(1+F199/30),F199))=X199,IF(N(E199)&gt;0,E199&amp;" x "&amp;F199,F199&amp;" reps"),IF(IF(N(H199)=0,0,IF(N(G199)&gt;0,G199*(1+H199/30),H199))=X199,IF(N(G199)&gt;0,G199&amp;" x "&amp;H199,H199&amp;" reps"),IF(IF(N(J199)=0,0,IF(N(I199)&gt;0,I199*(1+J199/30),J199))=X199,IF(N(I199)&gt;0,I199&amp;" x "&amp;J199,J199&amp;" reps"),IF(IF(N(L199)=0,0,IF(N(K199)&gt;0,K199*(1+L199/30),L199))=X199,IF(N(K199)&gt;0,K199&amp;" x "&amp;L199,L199&amp;" reps"),IF(IF(N(N199)=0,0,IF(N(M199)&gt;0,M199*(1+N199/30),N199))=X199,IF(N(M199)&gt;0,M199&amp;" x "&amp;N199,N199&amp;" reps"),""))))))</f>
        <v/>
      </c>
      <c r="R199" s="20">
        <f>IF(N(X199)=0,"",ROUND(X199,1))</f>
        <v/>
      </c>
      <c r="S199" s="18">
        <f>IF(N(X199)=0,"",IF(AND(COUNTIFS(Log!$D$6:$D$1505,D199,Log!$B$6:$B$1505,"&lt;"&amp;B199)&gt;0,COUNTIFS(Log!$D$6:$D$1505,D199,Log!$B$6:$B$1505,"&lt;"&amp;B199,Log!$X$6:$X$1505,"&gt;="&amp;X199)=0),"New best",""))</f>
        <v/>
      </c>
      <c r="T199" s="26" t="n"/>
      <c r="U199" s="1">
        <f>IF(D199="","",IFERROR(INDEX(Exercises!$C$6:$C$105,MATCH(D199,Exercises!$B$6:$B$105,0)),"Other"))</f>
        <v/>
      </c>
      <c r="V199">
        <f>IF(B199="","",IF(COUNTIF($B$6:B199,B199)=1,1,0))</f>
        <v/>
      </c>
      <c r="W199">
        <f>IF(B199="","",B199-WEEKDAY(B199,3))</f>
        <v/>
      </c>
      <c r="X199">
        <f>IF(D199="","",MAX(IF(N(F199)=0,0,IF(N(E199)&gt;0,E199*(1+F199/30),F199)),IF(N(H199)=0,0,IF(N(G199)&gt;0,G199*(1+H199/30),H199)),IF(N(J199)=0,0,IF(N(I199)&gt;0,I199*(1+J199/30),J199)),IF(N(L199)=0,0,IF(N(K199)&gt;0,K199*(1+L199/30),L199)),IF(N(N199)=0,0,IF(N(M199)&gt;0,M199*(1+N199/30),N199))))</f>
        <v/>
      </c>
      <c r="Y199">
        <f>IF(N(X199)=0,"",X199+ROW()/1000000000)</f>
        <v/>
      </c>
      <c r="Z199">
        <f>IF(Y199="","",IF(COUNTIFS(Log!$D$6:$D$1505,D199,Log!$Y$6:$Y$1505,"&gt;"&amp;Y199)=0,1,0))</f>
        <v/>
      </c>
      <c r="AA199">
        <f>IF(OR(B199="",D199=""),"",B199+ROW()/10000000)</f>
        <v/>
      </c>
      <c r="AB199">
        <f>IF(AA199="","",IF(COUNTIFS(Log!$D$6:$D$1505,D199,Log!$AA$6:$AA$1505,"&gt;"&amp;AA199)=0,1,0))</f>
        <v/>
      </c>
      <c r="AC199">
        <f>IF(S199="New best",AA199,"")</f>
        <v/>
      </c>
      <c r="AD199">
        <f>ROW()</f>
        <v/>
      </c>
    </row>
    <row r="200">
      <c r="A200" s="1" t="n"/>
      <c r="B200" s="21" t="n">
        <v>46266</v>
      </c>
      <c r="C200" s="22" t="inlineStr">
        <is>
          <t>Pull</t>
        </is>
      </c>
      <c r="D200" s="23" t="inlineStr">
        <is>
          <t>Pull-up</t>
        </is>
      </c>
      <c r="E200" s="24" t="n"/>
      <c r="F200" s="24" t="n">
        <v>7</v>
      </c>
      <c r="G200" s="24" t="n"/>
      <c r="H200" s="24" t="n">
        <v>6</v>
      </c>
      <c r="I200" s="24" t="n"/>
      <c r="J200" s="24" t="n">
        <v>6</v>
      </c>
      <c r="K200" s="24" t="n"/>
      <c r="L200" s="24" t="n"/>
      <c r="M200" s="24" t="n"/>
      <c r="N200" s="24" t="n"/>
      <c r="O200" s="15">
        <f>IF(D200="","",COUNT(F200,H200,J200,L200,N200))</f>
        <v/>
      </c>
      <c r="P200" s="25">
        <f>IF(D200="","",N(E200)*N(F200)+N(G200)*N(H200)+N(I200)*N(J200)+N(K200)*N(L200)+N(M200)*N(N200))</f>
        <v/>
      </c>
      <c r="Q200" s="18">
        <f>IF(N(X200)=0,"",IF(IF(N(F200)=0,0,IF(N(E200)&gt;0,E200*(1+F200/30),F200))=X200,IF(N(E200)&gt;0,E200&amp;" x "&amp;F200,F200&amp;" reps"),IF(IF(N(H200)=0,0,IF(N(G200)&gt;0,G200*(1+H200/30),H200))=X200,IF(N(G200)&gt;0,G200&amp;" x "&amp;H200,H200&amp;" reps"),IF(IF(N(J200)=0,0,IF(N(I200)&gt;0,I200*(1+J200/30),J200))=X200,IF(N(I200)&gt;0,I200&amp;" x "&amp;J200,J200&amp;" reps"),IF(IF(N(L200)=0,0,IF(N(K200)&gt;0,K200*(1+L200/30),L200))=X200,IF(N(K200)&gt;0,K200&amp;" x "&amp;L200,L200&amp;" reps"),IF(IF(N(N200)=0,0,IF(N(M200)&gt;0,M200*(1+N200/30),N200))=X200,IF(N(M200)&gt;0,M200&amp;" x "&amp;N200,N200&amp;" reps"),""))))))</f>
        <v/>
      </c>
      <c r="R200" s="20">
        <f>IF(N(X200)=0,"",ROUND(X200,1))</f>
        <v/>
      </c>
      <c r="S200" s="18">
        <f>IF(N(X200)=0,"",IF(AND(COUNTIFS(Log!$D$6:$D$1505,D200,Log!$B$6:$B$1505,"&lt;"&amp;B200)&gt;0,COUNTIFS(Log!$D$6:$D$1505,D200,Log!$B$6:$B$1505,"&lt;"&amp;B200,Log!$X$6:$X$1505,"&gt;="&amp;X200)=0),"New best",""))</f>
        <v/>
      </c>
      <c r="T200" s="26" t="n"/>
      <c r="U200" s="1">
        <f>IF(D200="","",IFERROR(INDEX(Exercises!$C$6:$C$105,MATCH(D200,Exercises!$B$6:$B$105,0)),"Other"))</f>
        <v/>
      </c>
      <c r="V200">
        <f>IF(B200="","",IF(COUNTIF($B$6:B200,B200)=1,1,0))</f>
        <v/>
      </c>
      <c r="W200">
        <f>IF(B200="","",B200-WEEKDAY(B200,3))</f>
        <v/>
      </c>
      <c r="X200">
        <f>IF(D200="","",MAX(IF(N(F200)=0,0,IF(N(E200)&gt;0,E200*(1+F200/30),F200)),IF(N(H200)=0,0,IF(N(G200)&gt;0,G200*(1+H200/30),H200)),IF(N(J200)=0,0,IF(N(I200)&gt;0,I200*(1+J200/30),J200)),IF(N(L200)=0,0,IF(N(K200)&gt;0,K200*(1+L200/30),L200)),IF(N(N200)=0,0,IF(N(M200)&gt;0,M200*(1+N200/30),N200))))</f>
        <v/>
      </c>
      <c r="Y200">
        <f>IF(N(X200)=0,"",X200+ROW()/1000000000)</f>
        <v/>
      </c>
      <c r="Z200">
        <f>IF(Y200="","",IF(COUNTIFS(Log!$D$6:$D$1505,D200,Log!$Y$6:$Y$1505,"&gt;"&amp;Y200)=0,1,0))</f>
        <v/>
      </c>
      <c r="AA200">
        <f>IF(OR(B200="",D200=""),"",B200+ROW()/10000000)</f>
        <v/>
      </c>
      <c r="AB200">
        <f>IF(AA200="","",IF(COUNTIFS(Log!$D$6:$D$1505,D200,Log!$AA$6:$AA$1505,"&gt;"&amp;AA200)=0,1,0))</f>
        <v/>
      </c>
      <c r="AC200">
        <f>IF(S200="New best",AA200,"")</f>
        <v/>
      </c>
      <c r="AD200">
        <f>ROW()</f>
        <v/>
      </c>
    </row>
    <row r="201">
      <c r="A201" s="1" t="n"/>
      <c r="B201" s="21" t="n">
        <v>46266</v>
      </c>
      <c r="C201" s="22" t="inlineStr">
        <is>
          <t>Pull</t>
        </is>
      </c>
      <c r="D201" s="23" t="inlineStr">
        <is>
          <t>Barbell row</t>
        </is>
      </c>
      <c r="E201" s="24" t="n">
        <v>125</v>
      </c>
      <c r="F201" s="24" t="n">
        <v>9</v>
      </c>
      <c r="G201" s="24" t="n">
        <v>125</v>
      </c>
      <c r="H201" s="24" t="n">
        <v>9</v>
      </c>
      <c r="I201" s="24" t="n">
        <v>125</v>
      </c>
      <c r="J201" s="24" t="n">
        <v>8</v>
      </c>
      <c r="K201" s="24" t="n"/>
      <c r="L201" s="24" t="n"/>
      <c r="M201" s="24" t="n"/>
      <c r="N201" s="24" t="n"/>
      <c r="O201" s="15">
        <f>IF(D201="","",COUNT(F201,H201,J201,L201,N201))</f>
        <v/>
      </c>
      <c r="P201" s="25">
        <f>IF(D201="","",N(E201)*N(F201)+N(G201)*N(H201)+N(I201)*N(J201)+N(K201)*N(L201)+N(M201)*N(N201))</f>
        <v/>
      </c>
      <c r="Q201" s="18">
        <f>IF(N(X201)=0,"",IF(IF(N(F201)=0,0,IF(N(E201)&gt;0,E201*(1+F201/30),F201))=X201,IF(N(E201)&gt;0,E201&amp;" x "&amp;F201,F201&amp;" reps"),IF(IF(N(H201)=0,0,IF(N(G201)&gt;0,G201*(1+H201/30),H201))=X201,IF(N(G201)&gt;0,G201&amp;" x "&amp;H201,H201&amp;" reps"),IF(IF(N(J201)=0,0,IF(N(I201)&gt;0,I201*(1+J201/30),J201))=X201,IF(N(I201)&gt;0,I201&amp;" x "&amp;J201,J201&amp;" reps"),IF(IF(N(L201)=0,0,IF(N(K201)&gt;0,K201*(1+L201/30),L201))=X201,IF(N(K201)&gt;0,K201&amp;" x "&amp;L201,L201&amp;" reps"),IF(IF(N(N201)=0,0,IF(N(M201)&gt;0,M201*(1+N201/30),N201))=X201,IF(N(M201)&gt;0,M201&amp;" x "&amp;N201,N201&amp;" reps"),""))))))</f>
        <v/>
      </c>
      <c r="R201" s="20">
        <f>IF(N(X201)=0,"",ROUND(X201,1))</f>
        <v/>
      </c>
      <c r="S201" s="18">
        <f>IF(N(X201)=0,"",IF(AND(COUNTIFS(Log!$D$6:$D$1505,D201,Log!$B$6:$B$1505,"&lt;"&amp;B201)&gt;0,COUNTIFS(Log!$D$6:$D$1505,D201,Log!$B$6:$B$1505,"&lt;"&amp;B201,Log!$X$6:$X$1505,"&gt;="&amp;X201)=0),"New best",""))</f>
        <v/>
      </c>
      <c r="T201" s="26" t="inlineStr">
        <is>
          <t>Short on time</t>
        </is>
      </c>
      <c r="U201" s="1">
        <f>IF(D201="","",IFERROR(INDEX(Exercises!$C$6:$C$105,MATCH(D201,Exercises!$B$6:$B$105,0)),"Other"))</f>
        <v/>
      </c>
      <c r="V201">
        <f>IF(B201="","",IF(COUNTIF($B$6:B201,B201)=1,1,0))</f>
        <v/>
      </c>
      <c r="W201">
        <f>IF(B201="","",B201-WEEKDAY(B201,3))</f>
        <v/>
      </c>
      <c r="X201">
        <f>IF(D201="","",MAX(IF(N(F201)=0,0,IF(N(E201)&gt;0,E201*(1+F201/30),F201)),IF(N(H201)=0,0,IF(N(G201)&gt;0,G201*(1+H201/30),H201)),IF(N(J201)=0,0,IF(N(I201)&gt;0,I201*(1+J201/30),J201)),IF(N(L201)=0,0,IF(N(K201)&gt;0,K201*(1+L201/30),L201)),IF(N(N201)=0,0,IF(N(M201)&gt;0,M201*(1+N201/30),N201))))</f>
        <v/>
      </c>
      <c r="Y201">
        <f>IF(N(X201)=0,"",X201+ROW()/1000000000)</f>
        <v/>
      </c>
      <c r="Z201">
        <f>IF(Y201="","",IF(COUNTIFS(Log!$D$6:$D$1505,D201,Log!$Y$6:$Y$1505,"&gt;"&amp;Y201)=0,1,0))</f>
        <v/>
      </c>
      <c r="AA201">
        <f>IF(OR(B201="",D201=""),"",B201+ROW()/10000000)</f>
        <v/>
      </c>
      <c r="AB201">
        <f>IF(AA201="","",IF(COUNTIFS(Log!$D$6:$D$1505,D201,Log!$AA$6:$AA$1505,"&gt;"&amp;AA201)=0,1,0))</f>
        <v/>
      </c>
      <c r="AC201">
        <f>IF(S201="New best",AA201,"")</f>
        <v/>
      </c>
      <c r="AD201">
        <f>ROW()</f>
        <v/>
      </c>
    </row>
    <row r="202">
      <c r="A202" s="1" t="n"/>
      <c r="B202" s="21" t="n">
        <v>46266</v>
      </c>
      <c r="C202" s="22" t="inlineStr">
        <is>
          <t>Pull</t>
        </is>
      </c>
      <c r="D202" s="23" t="inlineStr">
        <is>
          <t>Lat pulldown</t>
        </is>
      </c>
      <c r="E202" s="24" t="n">
        <v>110</v>
      </c>
      <c r="F202" s="24" t="n">
        <v>11</v>
      </c>
      <c r="G202" s="24" t="n">
        <v>110</v>
      </c>
      <c r="H202" s="24" t="n">
        <v>10</v>
      </c>
      <c r="I202" s="24" t="n">
        <v>110</v>
      </c>
      <c r="J202" s="24" t="n">
        <v>10</v>
      </c>
      <c r="K202" s="24" t="n"/>
      <c r="L202" s="24" t="n"/>
      <c r="M202" s="24" t="n"/>
      <c r="N202" s="24" t="n"/>
      <c r="O202" s="15">
        <f>IF(D202="","",COUNT(F202,H202,J202,L202,N202))</f>
        <v/>
      </c>
      <c r="P202" s="25">
        <f>IF(D202="","",N(E202)*N(F202)+N(G202)*N(H202)+N(I202)*N(J202)+N(K202)*N(L202)+N(M202)*N(N202))</f>
        <v/>
      </c>
      <c r="Q202" s="18">
        <f>IF(N(X202)=0,"",IF(IF(N(F202)=0,0,IF(N(E202)&gt;0,E202*(1+F202/30),F202))=X202,IF(N(E202)&gt;0,E202&amp;" x "&amp;F202,F202&amp;" reps"),IF(IF(N(H202)=0,0,IF(N(G202)&gt;0,G202*(1+H202/30),H202))=X202,IF(N(G202)&gt;0,G202&amp;" x "&amp;H202,H202&amp;" reps"),IF(IF(N(J202)=0,0,IF(N(I202)&gt;0,I202*(1+J202/30),J202))=X202,IF(N(I202)&gt;0,I202&amp;" x "&amp;J202,J202&amp;" reps"),IF(IF(N(L202)=0,0,IF(N(K202)&gt;0,K202*(1+L202/30),L202))=X202,IF(N(K202)&gt;0,K202&amp;" x "&amp;L202,L202&amp;" reps"),IF(IF(N(N202)=0,0,IF(N(M202)&gt;0,M202*(1+N202/30),N202))=X202,IF(N(M202)&gt;0,M202&amp;" x "&amp;N202,N202&amp;" reps"),""))))))</f>
        <v/>
      </c>
      <c r="R202" s="20">
        <f>IF(N(X202)=0,"",ROUND(X202,1))</f>
        <v/>
      </c>
      <c r="S202" s="18">
        <f>IF(N(X202)=0,"",IF(AND(COUNTIFS(Log!$D$6:$D$1505,D202,Log!$B$6:$B$1505,"&lt;"&amp;B202)&gt;0,COUNTIFS(Log!$D$6:$D$1505,D202,Log!$B$6:$B$1505,"&lt;"&amp;B202,Log!$X$6:$X$1505,"&gt;="&amp;X202)=0),"New best",""))</f>
        <v/>
      </c>
      <c r="T202" s="26" t="inlineStr">
        <is>
          <t>Short on time</t>
        </is>
      </c>
      <c r="U202" s="1">
        <f>IF(D202="","",IFERROR(INDEX(Exercises!$C$6:$C$105,MATCH(D202,Exercises!$B$6:$B$105,0)),"Other"))</f>
        <v/>
      </c>
      <c r="V202">
        <f>IF(B202="","",IF(COUNTIF($B$6:B202,B202)=1,1,0))</f>
        <v/>
      </c>
      <c r="W202">
        <f>IF(B202="","",B202-WEEKDAY(B202,3))</f>
        <v/>
      </c>
      <c r="X202">
        <f>IF(D202="","",MAX(IF(N(F202)=0,0,IF(N(E202)&gt;0,E202*(1+F202/30),F202)),IF(N(H202)=0,0,IF(N(G202)&gt;0,G202*(1+H202/30),H202)),IF(N(J202)=0,0,IF(N(I202)&gt;0,I202*(1+J202/30),J202)),IF(N(L202)=0,0,IF(N(K202)&gt;0,K202*(1+L202/30),L202)),IF(N(N202)=0,0,IF(N(M202)&gt;0,M202*(1+N202/30),N202))))</f>
        <v/>
      </c>
      <c r="Y202">
        <f>IF(N(X202)=0,"",X202+ROW()/1000000000)</f>
        <v/>
      </c>
      <c r="Z202">
        <f>IF(Y202="","",IF(COUNTIFS(Log!$D$6:$D$1505,D202,Log!$Y$6:$Y$1505,"&gt;"&amp;Y202)=0,1,0))</f>
        <v/>
      </c>
      <c r="AA202">
        <f>IF(OR(B202="",D202=""),"",B202+ROW()/10000000)</f>
        <v/>
      </c>
      <c r="AB202">
        <f>IF(AA202="","",IF(COUNTIFS(Log!$D$6:$D$1505,D202,Log!$AA$6:$AA$1505,"&gt;"&amp;AA202)=0,1,0))</f>
        <v/>
      </c>
      <c r="AC202">
        <f>IF(S202="New best",AA202,"")</f>
        <v/>
      </c>
      <c r="AD202">
        <f>ROW()</f>
        <v/>
      </c>
    </row>
    <row r="203">
      <c r="A203" s="1" t="n"/>
      <c r="B203" s="21" t="n">
        <v>46266</v>
      </c>
      <c r="C203" s="22" t="inlineStr">
        <is>
          <t>Pull</t>
        </is>
      </c>
      <c r="D203" s="23" t="inlineStr">
        <is>
          <t>Biceps curl</t>
        </is>
      </c>
      <c r="E203" s="24" t="n">
        <v>30</v>
      </c>
      <c r="F203" s="24" t="n">
        <v>11</v>
      </c>
      <c r="G203" s="24" t="n">
        <v>30</v>
      </c>
      <c r="H203" s="24" t="n">
        <v>11</v>
      </c>
      <c r="I203" s="24" t="n">
        <v>30</v>
      </c>
      <c r="J203" s="24" t="n">
        <v>10</v>
      </c>
      <c r="K203" s="24" t="n"/>
      <c r="L203" s="24" t="n"/>
      <c r="M203" s="24" t="n"/>
      <c r="N203" s="24" t="n"/>
      <c r="O203" s="15">
        <f>IF(D203="","",COUNT(F203,H203,J203,L203,N203))</f>
        <v/>
      </c>
      <c r="P203" s="25">
        <f>IF(D203="","",N(E203)*N(F203)+N(G203)*N(H203)+N(I203)*N(J203)+N(K203)*N(L203)+N(M203)*N(N203))</f>
        <v/>
      </c>
      <c r="Q203" s="18">
        <f>IF(N(X203)=0,"",IF(IF(N(F203)=0,0,IF(N(E203)&gt;0,E203*(1+F203/30),F203))=X203,IF(N(E203)&gt;0,E203&amp;" x "&amp;F203,F203&amp;" reps"),IF(IF(N(H203)=0,0,IF(N(G203)&gt;0,G203*(1+H203/30),H203))=X203,IF(N(G203)&gt;0,G203&amp;" x "&amp;H203,H203&amp;" reps"),IF(IF(N(J203)=0,0,IF(N(I203)&gt;0,I203*(1+J203/30),J203))=X203,IF(N(I203)&gt;0,I203&amp;" x "&amp;J203,J203&amp;" reps"),IF(IF(N(L203)=0,0,IF(N(K203)&gt;0,K203*(1+L203/30),L203))=X203,IF(N(K203)&gt;0,K203&amp;" x "&amp;L203,L203&amp;" reps"),IF(IF(N(N203)=0,0,IF(N(M203)&gt;0,M203*(1+N203/30),N203))=X203,IF(N(M203)&gt;0,M203&amp;" x "&amp;N203,N203&amp;" reps"),""))))))</f>
        <v/>
      </c>
      <c r="R203" s="20">
        <f>IF(N(X203)=0,"",ROUND(X203,1))</f>
        <v/>
      </c>
      <c r="S203" s="18">
        <f>IF(N(X203)=0,"",IF(AND(COUNTIFS(Log!$D$6:$D$1505,D203,Log!$B$6:$B$1505,"&lt;"&amp;B203)&gt;0,COUNTIFS(Log!$D$6:$D$1505,D203,Log!$B$6:$B$1505,"&lt;"&amp;B203,Log!$X$6:$X$1505,"&gt;="&amp;X203)=0),"New best",""))</f>
        <v/>
      </c>
      <c r="T203" s="26" t="inlineStr">
        <is>
          <t>Short on time</t>
        </is>
      </c>
      <c r="U203" s="1">
        <f>IF(D203="","",IFERROR(INDEX(Exercises!$C$6:$C$105,MATCH(D203,Exercises!$B$6:$B$105,0)),"Other"))</f>
        <v/>
      </c>
      <c r="V203">
        <f>IF(B203="","",IF(COUNTIF($B$6:B203,B203)=1,1,0))</f>
        <v/>
      </c>
      <c r="W203">
        <f>IF(B203="","",B203-WEEKDAY(B203,3))</f>
        <v/>
      </c>
      <c r="X203">
        <f>IF(D203="","",MAX(IF(N(F203)=0,0,IF(N(E203)&gt;0,E203*(1+F203/30),F203)),IF(N(H203)=0,0,IF(N(G203)&gt;0,G203*(1+H203/30),H203)),IF(N(J203)=0,0,IF(N(I203)&gt;0,I203*(1+J203/30),J203)),IF(N(L203)=0,0,IF(N(K203)&gt;0,K203*(1+L203/30),L203)),IF(N(N203)=0,0,IF(N(M203)&gt;0,M203*(1+N203/30),N203))))</f>
        <v/>
      </c>
      <c r="Y203">
        <f>IF(N(X203)=0,"",X203+ROW()/1000000000)</f>
        <v/>
      </c>
      <c r="Z203">
        <f>IF(Y203="","",IF(COUNTIFS(Log!$D$6:$D$1505,D203,Log!$Y$6:$Y$1505,"&gt;"&amp;Y203)=0,1,0))</f>
        <v/>
      </c>
      <c r="AA203">
        <f>IF(OR(B203="",D203=""),"",B203+ROW()/10000000)</f>
        <v/>
      </c>
      <c r="AB203">
        <f>IF(AA203="","",IF(COUNTIFS(Log!$D$6:$D$1505,D203,Log!$AA$6:$AA$1505,"&gt;"&amp;AA203)=0,1,0))</f>
        <v/>
      </c>
      <c r="AC203">
        <f>IF(S203="New best",AA203,"")</f>
        <v/>
      </c>
      <c r="AD203">
        <f>ROW()</f>
        <v/>
      </c>
    </row>
    <row r="204">
      <c r="A204" s="1" t="n"/>
      <c r="B204" s="21" t="n">
        <v>46267</v>
      </c>
      <c r="C204" s="22" t="inlineStr">
        <is>
          <t>Legs</t>
        </is>
      </c>
      <c r="D204" s="23" t="inlineStr">
        <is>
          <t>Squat</t>
        </is>
      </c>
      <c r="E204" s="24" t="n">
        <v>205</v>
      </c>
      <c r="F204" s="24" t="n">
        <v>6</v>
      </c>
      <c r="G204" s="24" t="n">
        <v>205</v>
      </c>
      <c r="H204" s="24" t="n">
        <v>5</v>
      </c>
      <c r="I204" s="24" t="n">
        <v>205</v>
      </c>
      <c r="J204" s="24" t="n">
        <v>5</v>
      </c>
      <c r="K204" s="24" t="n">
        <v>205</v>
      </c>
      <c r="L204" s="24" t="n">
        <v>5</v>
      </c>
      <c r="M204" s="24" t="n"/>
      <c r="N204" s="24" t="n"/>
      <c r="O204" s="15">
        <f>IF(D204="","",COUNT(F204,H204,J204,L204,N204))</f>
        <v/>
      </c>
      <c r="P204" s="25">
        <f>IF(D204="","",N(E204)*N(F204)+N(G204)*N(H204)+N(I204)*N(J204)+N(K204)*N(L204)+N(M204)*N(N204))</f>
        <v/>
      </c>
      <c r="Q204" s="18">
        <f>IF(N(X204)=0,"",IF(IF(N(F204)=0,0,IF(N(E204)&gt;0,E204*(1+F204/30),F204))=X204,IF(N(E204)&gt;0,E204&amp;" x "&amp;F204,F204&amp;" reps"),IF(IF(N(H204)=0,0,IF(N(G204)&gt;0,G204*(1+H204/30),H204))=X204,IF(N(G204)&gt;0,G204&amp;" x "&amp;H204,H204&amp;" reps"),IF(IF(N(J204)=0,0,IF(N(I204)&gt;0,I204*(1+J204/30),J204))=X204,IF(N(I204)&gt;0,I204&amp;" x "&amp;J204,J204&amp;" reps"),IF(IF(N(L204)=0,0,IF(N(K204)&gt;0,K204*(1+L204/30),L204))=X204,IF(N(K204)&gt;0,K204&amp;" x "&amp;L204,L204&amp;" reps"),IF(IF(N(N204)=0,0,IF(N(M204)&gt;0,M204*(1+N204/30),N204))=X204,IF(N(M204)&gt;0,M204&amp;" x "&amp;N204,N204&amp;" reps"),""))))))</f>
        <v/>
      </c>
      <c r="R204" s="20">
        <f>IF(N(X204)=0,"",ROUND(X204,1))</f>
        <v/>
      </c>
      <c r="S204" s="18">
        <f>IF(N(X204)=0,"",IF(AND(COUNTIFS(Log!$D$6:$D$1505,D204,Log!$B$6:$B$1505,"&lt;"&amp;B204)&gt;0,COUNTIFS(Log!$D$6:$D$1505,D204,Log!$B$6:$B$1505,"&lt;"&amp;B204,Log!$X$6:$X$1505,"&gt;="&amp;X204)=0),"New best",""))</f>
        <v/>
      </c>
      <c r="T204" s="26" t="n"/>
      <c r="U204" s="1">
        <f>IF(D204="","",IFERROR(INDEX(Exercises!$C$6:$C$105,MATCH(D204,Exercises!$B$6:$B$105,0)),"Other"))</f>
        <v/>
      </c>
      <c r="V204">
        <f>IF(B204="","",IF(COUNTIF($B$6:B204,B204)=1,1,0))</f>
        <v/>
      </c>
      <c r="W204">
        <f>IF(B204="","",B204-WEEKDAY(B204,3))</f>
        <v/>
      </c>
      <c r="X204">
        <f>IF(D204="","",MAX(IF(N(F204)=0,0,IF(N(E204)&gt;0,E204*(1+F204/30),F204)),IF(N(H204)=0,0,IF(N(G204)&gt;0,G204*(1+H204/30),H204)),IF(N(J204)=0,0,IF(N(I204)&gt;0,I204*(1+J204/30),J204)),IF(N(L204)=0,0,IF(N(K204)&gt;0,K204*(1+L204/30),L204)),IF(N(N204)=0,0,IF(N(M204)&gt;0,M204*(1+N204/30),N204))))</f>
        <v/>
      </c>
      <c r="Y204">
        <f>IF(N(X204)=0,"",X204+ROW()/1000000000)</f>
        <v/>
      </c>
      <c r="Z204">
        <f>IF(Y204="","",IF(COUNTIFS(Log!$D$6:$D$1505,D204,Log!$Y$6:$Y$1505,"&gt;"&amp;Y204)=0,1,0))</f>
        <v/>
      </c>
      <c r="AA204">
        <f>IF(OR(B204="",D204=""),"",B204+ROW()/10000000)</f>
        <v/>
      </c>
      <c r="AB204">
        <f>IF(AA204="","",IF(COUNTIFS(Log!$D$6:$D$1505,D204,Log!$AA$6:$AA$1505,"&gt;"&amp;AA204)=0,1,0))</f>
        <v/>
      </c>
      <c r="AC204">
        <f>IF(S204="New best",AA204,"")</f>
        <v/>
      </c>
      <c r="AD204">
        <f>ROW()</f>
        <v/>
      </c>
    </row>
    <row r="205">
      <c r="A205" s="1" t="n"/>
      <c r="B205" s="21" t="n">
        <v>46267</v>
      </c>
      <c r="C205" s="22" t="inlineStr">
        <is>
          <t>Legs</t>
        </is>
      </c>
      <c r="D205" s="23" t="inlineStr">
        <is>
          <t>Romanian deadlift</t>
        </is>
      </c>
      <c r="E205" s="24" t="n">
        <v>175</v>
      </c>
      <c r="F205" s="24" t="n">
        <v>9</v>
      </c>
      <c r="G205" s="24" t="n">
        <v>175</v>
      </c>
      <c r="H205" s="24" t="n">
        <v>9</v>
      </c>
      <c r="I205" s="24" t="n">
        <v>175</v>
      </c>
      <c r="J205" s="24" t="n">
        <v>8</v>
      </c>
      <c r="K205" s="24" t="n"/>
      <c r="L205" s="24" t="n"/>
      <c r="M205" s="24" t="n"/>
      <c r="N205" s="24" t="n"/>
      <c r="O205" s="15">
        <f>IF(D205="","",COUNT(F205,H205,J205,L205,N205))</f>
        <v/>
      </c>
      <c r="P205" s="25">
        <f>IF(D205="","",N(E205)*N(F205)+N(G205)*N(H205)+N(I205)*N(J205)+N(K205)*N(L205)+N(M205)*N(N205))</f>
        <v/>
      </c>
      <c r="Q205" s="18">
        <f>IF(N(X205)=0,"",IF(IF(N(F205)=0,0,IF(N(E205)&gt;0,E205*(1+F205/30),F205))=X205,IF(N(E205)&gt;0,E205&amp;" x "&amp;F205,F205&amp;" reps"),IF(IF(N(H205)=0,0,IF(N(G205)&gt;0,G205*(1+H205/30),H205))=X205,IF(N(G205)&gt;0,G205&amp;" x "&amp;H205,H205&amp;" reps"),IF(IF(N(J205)=0,0,IF(N(I205)&gt;0,I205*(1+J205/30),J205))=X205,IF(N(I205)&gt;0,I205&amp;" x "&amp;J205,J205&amp;" reps"),IF(IF(N(L205)=0,0,IF(N(K205)&gt;0,K205*(1+L205/30),L205))=X205,IF(N(K205)&gt;0,K205&amp;" x "&amp;L205,L205&amp;" reps"),IF(IF(N(N205)=0,0,IF(N(M205)&gt;0,M205*(1+N205/30),N205))=X205,IF(N(M205)&gt;0,M205&amp;" x "&amp;N205,N205&amp;" reps"),""))))))</f>
        <v/>
      </c>
      <c r="R205" s="20">
        <f>IF(N(X205)=0,"",ROUND(X205,1))</f>
        <v/>
      </c>
      <c r="S205" s="18">
        <f>IF(N(X205)=0,"",IF(AND(COUNTIFS(Log!$D$6:$D$1505,D205,Log!$B$6:$B$1505,"&lt;"&amp;B205)&gt;0,COUNTIFS(Log!$D$6:$D$1505,D205,Log!$B$6:$B$1505,"&lt;"&amp;B205,Log!$X$6:$X$1505,"&gt;="&amp;X205)=0),"New best",""))</f>
        <v/>
      </c>
      <c r="T205" s="26" t="n"/>
      <c r="U205" s="1">
        <f>IF(D205="","",IFERROR(INDEX(Exercises!$C$6:$C$105,MATCH(D205,Exercises!$B$6:$B$105,0)),"Other"))</f>
        <v/>
      </c>
      <c r="V205">
        <f>IF(B205="","",IF(COUNTIF($B$6:B205,B205)=1,1,0))</f>
        <v/>
      </c>
      <c r="W205">
        <f>IF(B205="","",B205-WEEKDAY(B205,3))</f>
        <v/>
      </c>
      <c r="X205">
        <f>IF(D205="","",MAX(IF(N(F205)=0,0,IF(N(E205)&gt;0,E205*(1+F205/30),F205)),IF(N(H205)=0,0,IF(N(G205)&gt;0,G205*(1+H205/30),H205)),IF(N(J205)=0,0,IF(N(I205)&gt;0,I205*(1+J205/30),J205)),IF(N(L205)=0,0,IF(N(K205)&gt;0,K205*(1+L205/30),L205)),IF(N(N205)=0,0,IF(N(M205)&gt;0,M205*(1+N205/30),N205))))</f>
        <v/>
      </c>
      <c r="Y205">
        <f>IF(N(X205)=0,"",X205+ROW()/1000000000)</f>
        <v/>
      </c>
      <c r="Z205">
        <f>IF(Y205="","",IF(COUNTIFS(Log!$D$6:$D$1505,D205,Log!$Y$6:$Y$1505,"&gt;"&amp;Y205)=0,1,0))</f>
        <v/>
      </c>
      <c r="AA205">
        <f>IF(OR(B205="",D205=""),"",B205+ROW()/10000000)</f>
        <v/>
      </c>
      <c r="AB205">
        <f>IF(AA205="","",IF(COUNTIFS(Log!$D$6:$D$1505,D205,Log!$AA$6:$AA$1505,"&gt;"&amp;AA205)=0,1,0))</f>
        <v/>
      </c>
      <c r="AC205">
        <f>IF(S205="New best",AA205,"")</f>
        <v/>
      </c>
      <c r="AD205">
        <f>ROW()</f>
        <v/>
      </c>
    </row>
    <row r="206">
      <c r="A206" s="1" t="n"/>
      <c r="B206" s="21" t="n">
        <v>46267</v>
      </c>
      <c r="C206" s="22" t="inlineStr">
        <is>
          <t>Legs</t>
        </is>
      </c>
      <c r="D206" s="23" t="inlineStr">
        <is>
          <t>Leg press</t>
        </is>
      </c>
      <c r="E206" s="24" t="n">
        <v>310</v>
      </c>
      <c r="F206" s="24" t="n">
        <v>11</v>
      </c>
      <c r="G206" s="24" t="n">
        <v>310</v>
      </c>
      <c r="H206" s="24" t="n">
        <v>10</v>
      </c>
      <c r="I206" s="24" t="n">
        <v>310</v>
      </c>
      <c r="J206" s="24" t="n">
        <v>10</v>
      </c>
      <c r="K206" s="24" t="n"/>
      <c r="L206" s="24" t="n"/>
      <c r="M206" s="24" t="n"/>
      <c r="N206" s="24" t="n"/>
      <c r="O206" s="15">
        <f>IF(D206="","",COUNT(F206,H206,J206,L206,N206))</f>
        <v/>
      </c>
      <c r="P206" s="25">
        <f>IF(D206="","",N(E206)*N(F206)+N(G206)*N(H206)+N(I206)*N(J206)+N(K206)*N(L206)+N(M206)*N(N206))</f>
        <v/>
      </c>
      <c r="Q206" s="18">
        <f>IF(N(X206)=0,"",IF(IF(N(F206)=0,0,IF(N(E206)&gt;0,E206*(1+F206/30),F206))=X206,IF(N(E206)&gt;0,E206&amp;" x "&amp;F206,F206&amp;" reps"),IF(IF(N(H206)=0,0,IF(N(G206)&gt;0,G206*(1+H206/30),H206))=X206,IF(N(G206)&gt;0,G206&amp;" x "&amp;H206,H206&amp;" reps"),IF(IF(N(J206)=0,0,IF(N(I206)&gt;0,I206*(1+J206/30),J206))=X206,IF(N(I206)&gt;0,I206&amp;" x "&amp;J206,J206&amp;" reps"),IF(IF(N(L206)=0,0,IF(N(K206)&gt;0,K206*(1+L206/30),L206))=X206,IF(N(K206)&gt;0,K206&amp;" x "&amp;L206,L206&amp;" reps"),IF(IF(N(N206)=0,0,IF(N(M206)&gt;0,M206*(1+N206/30),N206))=X206,IF(N(M206)&gt;0,M206&amp;" x "&amp;N206,N206&amp;" reps"),""))))))</f>
        <v/>
      </c>
      <c r="R206" s="20">
        <f>IF(N(X206)=0,"",ROUND(X206,1))</f>
        <v/>
      </c>
      <c r="S206" s="18">
        <f>IF(N(X206)=0,"",IF(AND(COUNTIFS(Log!$D$6:$D$1505,D206,Log!$B$6:$B$1505,"&lt;"&amp;B206)&gt;0,COUNTIFS(Log!$D$6:$D$1505,D206,Log!$B$6:$B$1505,"&lt;"&amp;B206,Log!$X$6:$X$1505,"&gt;="&amp;X206)=0),"New best",""))</f>
        <v/>
      </c>
      <c r="T206" s="26" t="inlineStr">
        <is>
          <t>Slept badly</t>
        </is>
      </c>
      <c r="U206" s="1">
        <f>IF(D206="","",IFERROR(INDEX(Exercises!$C$6:$C$105,MATCH(D206,Exercises!$B$6:$B$105,0)),"Other"))</f>
        <v/>
      </c>
      <c r="V206">
        <f>IF(B206="","",IF(COUNTIF($B$6:B206,B206)=1,1,0))</f>
        <v/>
      </c>
      <c r="W206">
        <f>IF(B206="","",B206-WEEKDAY(B206,3))</f>
        <v/>
      </c>
      <c r="X206">
        <f>IF(D206="","",MAX(IF(N(F206)=0,0,IF(N(E206)&gt;0,E206*(1+F206/30),F206)),IF(N(H206)=0,0,IF(N(G206)&gt;0,G206*(1+H206/30),H206)),IF(N(J206)=0,0,IF(N(I206)&gt;0,I206*(1+J206/30),J206)),IF(N(L206)=0,0,IF(N(K206)&gt;0,K206*(1+L206/30),L206)),IF(N(N206)=0,0,IF(N(M206)&gt;0,M206*(1+N206/30),N206))))</f>
        <v/>
      </c>
      <c r="Y206">
        <f>IF(N(X206)=0,"",X206+ROW()/1000000000)</f>
        <v/>
      </c>
      <c r="Z206">
        <f>IF(Y206="","",IF(COUNTIFS(Log!$D$6:$D$1505,D206,Log!$Y$6:$Y$1505,"&gt;"&amp;Y206)=0,1,0))</f>
        <v/>
      </c>
      <c r="AA206">
        <f>IF(OR(B206="",D206=""),"",B206+ROW()/10000000)</f>
        <v/>
      </c>
      <c r="AB206">
        <f>IF(AA206="","",IF(COUNTIFS(Log!$D$6:$D$1505,D206,Log!$AA$6:$AA$1505,"&gt;"&amp;AA206)=0,1,0))</f>
        <v/>
      </c>
      <c r="AC206">
        <f>IF(S206="New best",AA206,"")</f>
        <v/>
      </c>
      <c r="AD206">
        <f>ROW()</f>
        <v/>
      </c>
    </row>
    <row r="207">
      <c r="A207" s="1" t="n"/>
      <c r="B207" s="21" t="n">
        <v>46267</v>
      </c>
      <c r="C207" s="22" t="inlineStr">
        <is>
          <t>Legs</t>
        </is>
      </c>
      <c r="D207" s="23" t="inlineStr">
        <is>
          <t>Leg curl</t>
        </is>
      </c>
      <c r="E207" s="24" t="n">
        <v>80</v>
      </c>
      <c r="F207" s="24" t="n">
        <v>11</v>
      </c>
      <c r="G207" s="24" t="n">
        <v>80</v>
      </c>
      <c r="H207" s="24" t="n">
        <v>11</v>
      </c>
      <c r="I207" s="24" t="n">
        <v>80</v>
      </c>
      <c r="J207" s="24" t="n">
        <v>10</v>
      </c>
      <c r="K207" s="24" t="n"/>
      <c r="L207" s="24" t="n"/>
      <c r="M207" s="24" t="n"/>
      <c r="N207" s="24" t="n"/>
      <c r="O207" s="15">
        <f>IF(D207="","",COUNT(F207,H207,J207,L207,N207))</f>
        <v/>
      </c>
      <c r="P207" s="25">
        <f>IF(D207="","",N(E207)*N(F207)+N(G207)*N(H207)+N(I207)*N(J207)+N(K207)*N(L207)+N(M207)*N(N207))</f>
        <v/>
      </c>
      <c r="Q207" s="18">
        <f>IF(N(X207)=0,"",IF(IF(N(F207)=0,0,IF(N(E207)&gt;0,E207*(1+F207/30),F207))=X207,IF(N(E207)&gt;0,E207&amp;" x "&amp;F207,F207&amp;" reps"),IF(IF(N(H207)=0,0,IF(N(G207)&gt;0,G207*(1+H207/30),H207))=X207,IF(N(G207)&gt;0,G207&amp;" x "&amp;H207,H207&amp;" reps"),IF(IF(N(J207)=0,0,IF(N(I207)&gt;0,I207*(1+J207/30),J207))=X207,IF(N(I207)&gt;0,I207&amp;" x "&amp;J207,J207&amp;" reps"),IF(IF(N(L207)=0,0,IF(N(K207)&gt;0,K207*(1+L207/30),L207))=X207,IF(N(K207)&gt;0,K207&amp;" x "&amp;L207,L207&amp;" reps"),IF(IF(N(N207)=0,0,IF(N(M207)&gt;0,M207*(1+N207/30),N207))=X207,IF(N(M207)&gt;0,M207&amp;" x "&amp;N207,N207&amp;" reps"),""))))))</f>
        <v/>
      </c>
      <c r="R207" s="20">
        <f>IF(N(X207)=0,"",ROUND(X207,1))</f>
        <v/>
      </c>
      <c r="S207" s="18">
        <f>IF(N(X207)=0,"",IF(AND(COUNTIFS(Log!$D$6:$D$1505,D207,Log!$B$6:$B$1505,"&lt;"&amp;B207)&gt;0,COUNTIFS(Log!$D$6:$D$1505,D207,Log!$B$6:$B$1505,"&lt;"&amp;B207,Log!$X$6:$X$1505,"&gt;="&amp;X207)=0),"New best",""))</f>
        <v/>
      </c>
      <c r="T207" s="26" t="n"/>
      <c r="U207" s="1">
        <f>IF(D207="","",IFERROR(INDEX(Exercises!$C$6:$C$105,MATCH(D207,Exercises!$B$6:$B$105,0)),"Other"))</f>
        <v/>
      </c>
      <c r="V207">
        <f>IF(B207="","",IF(COUNTIF($B$6:B207,B207)=1,1,0))</f>
        <v/>
      </c>
      <c r="W207">
        <f>IF(B207="","",B207-WEEKDAY(B207,3))</f>
        <v/>
      </c>
      <c r="X207">
        <f>IF(D207="","",MAX(IF(N(F207)=0,0,IF(N(E207)&gt;0,E207*(1+F207/30),F207)),IF(N(H207)=0,0,IF(N(G207)&gt;0,G207*(1+H207/30),H207)),IF(N(J207)=0,0,IF(N(I207)&gt;0,I207*(1+J207/30),J207)),IF(N(L207)=0,0,IF(N(K207)&gt;0,K207*(1+L207/30),L207)),IF(N(N207)=0,0,IF(N(M207)&gt;0,M207*(1+N207/30),N207))))</f>
        <v/>
      </c>
      <c r="Y207">
        <f>IF(N(X207)=0,"",X207+ROW()/1000000000)</f>
        <v/>
      </c>
      <c r="Z207">
        <f>IF(Y207="","",IF(COUNTIFS(Log!$D$6:$D$1505,D207,Log!$Y$6:$Y$1505,"&gt;"&amp;Y207)=0,1,0))</f>
        <v/>
      </c>
      <c r="AA207">
        <f>IF(OR(B207="",D207=""),"",B207+ROW()/10000000)</f>
        <v/>
      </c>
      <c r="AB207">
        <f>IF(AA207="","",IF(COUNTIFS(Log!$D$6:$D$1505,D207,Log!$AA$6:$AA$1505,"&gt;"&amp;AA207)=0,1,0))</f>
        <v/>
      </c>
      <c r="AC207">
        <f>IF(S207="New best",AA207,"")</f>
        <v/>
      </c>
      <c r="AD207">
        <f>ROW()</f>
        <v/>
      </c>
    </row>
    <row r="208">
      <c r="A208" s="1" t="n"/>
      <c r="B208" s="21" t="n">
        <v>46267</v>
      </c>
      <c r="C208" s="22" t="inlineStr">
        <is>
          <t>Legs</t>
        </is>
      </c>
      <c r="D208" s="23" t="inlineStr">
        <is>
          <t>Calf raise</t>
        </is>
      </c>
      <c r="E208" s="24" t="n">
        <v>110</v>
      </c>
      <c r="F208" s="24" t="n">
        <v>15</v>
      </c>
      <c r="G208" s="24" t="n">
        <v>110</v>
      </c>
      <c r="H208" s="24" t="n">
        <v>13</v>
      </c>
      <c r="I208" s="24" t="n">
        <v>110</v>
      </c>
      <c r="J208" s="24" t="n">
        <v>13</v>
      </c>
      <c r="K208" s="24" t="n">
        <v>110</v>
      </c>
      <c r="L208" s="24" t="n">
        <v>12</v>
      </c>
      <c r="M208" s="24" t="n"/>
      <c r="N208" s="24" t="n"/>
      <c r="O208" s="15">
        <f>IF(D208="","",COUNT(F208,H208,J208,L208,N208))</f>
        <v/>
      </c>
      <c r="P208" s="25">
        <f>IF(D208="","",N(E208)*N(F208)+N(G208)*N(H208)+N(I208)*N(J208)+N(K208)*N(L208)+N(M208)*N(N208))</f>
        <v/>
      </c>
      <c r="Q208" s="18">
        <f>IF(N(X208)=0,"",IF(IF(N(F208)=0,0,IF(N(E208)&gt;0,E208*(1+F208/30),F208))=X208,IF(N(E208)&gt;0,E208&amp;" x "&amp;F208,F208&amp;" reps"),IF(IF(N(H208)=0,0,IF(N(G208)&gt;0,G208*(1+H208/30),H208))=X208,IF(N(G208)&gt;0,G208&amp;" x "&amp;H208,H208&amp;" reps"),IF(IF(N(J208)=0,0,IF(N(I208)&gt;0,I208*(1+J208/30),J208))=X208,IF(N(I208)&gt;0,I208&amp;" x "&amp;J208,J208&amp;" reps"),IF(IF(N(L208)=0,0,IF(N(K208)&gt;0,K208*(1+L208/30),L208))=X208,IF(N(K208)&gt;0,K208&amp;" x "&amp;L208,L208&amp;" reps"),IF(IF(N(N208)=0,0,IF(N(M208)&gt;0,M208*(1+N208/30),N208))=X208,IF(N(M208)&gt;0,M208&amp;" x "&amp;N208,N208&amp;" reps"),""))))))</f>
        <v/>
      </c>
      <c r="R208" s="20">
        <f>IF(N(X208)=0,"",ROUND(X208,1))</f>
        <v/>
      </c>
      <c r="S208" s="18">
        <f>IF(N(X208)=0,"",IF(AND(COUNTIFS(Log!$D$6:$D$1505,D208,Log!$B$6:$B$1505,"&lt;"&amp;B208)&gt;0,COUNTIFS(Log!$D$6:$D$1505,D208,Log!$B$6:$B$1505,"&lt;"&amp;B208,Log!$X$6:$X$1505,"&gt;="&amp;X208)=0),"New best",""))</f>
        <v/>
      </c>
      <c r="T208" s="26" t="n"/>
      <c r="U208" s="1">
        <f>IF(D208="","",IFERROR(INDEX(Exercises!$C$6:$C$105,MATCH(D208,Exercises!$B$6:$B$105,0)),"Other"))</f>
        <v/>
      </c>
      <c r="V208">
        <f>IF(B208="","",IF(COUNTIF($B$6:B208,B208)=1,1,0))</f>
        <v/>
      </c>
      <c r="W208">
        <f>IF(B208="","",B208-WEEKDAY(B208,3))</f>
        <v/>
      </c>
      <c r="X208">
        <f>IF(D208="","",MAX(IF(N(F208)=0,0,IF(N(E208)&gt;0,E208*(1+F208/30),F208)),IF(N(H208)=0,0,IF(N(G208)&gt;0,G208*(1+H208/30),H208)),IF(N(J208)=0,0,IF(N(I208)&gt;0,I208*(1+J208/30),J208)),IF(N(L208)=0,0,IF(N(K208)&gt;0,K208*(1+L208/30),L208)),IF(N(N208)=0,0,IF(N(M208)&gt;0,M208*(1+N208/30),N208))))</f>
        <v/>
      </c>
      <c r="Y208">
        <f>IF(N(X208)=0,"",X208+ROW()/1000000000)</f>
        <v/>
      </c>
      <c r="Z208">
        <f>IF(Y208="","",IF(COUNTIFS(Log!$D$6:$D$1505,D208,Log!$Y$6:$Y$1505,"&gt;"&amp;Y208)=0,1,0))</f>
        <v/>
      </c>
      <c r="AA208">
        <f>IF(OR(B208="",D208=""),"",B208+ROW()/10000000)</f>
        <v/>
      </c>
      <c r="AB208">
        <f>IF(AA208="","",IF(COUNTIFS(Log!$D$6:$D$1505,D208,Log!$AA$6:$AA$1505,"&gt;"&amp;AA208)=0,1,0))</f>
        <v/>
      </c>
      <c r="AC208">
        <f>IF(S208="New best",AA208,"")</f>
        <v/>
      </c>
      <c r="AD208">
        <f>ROW()</f>
        <v/>
      </c>
    </row>
    <row r="209">
      <c r="A209" s="1" t="n"/>
      <c r="B209" s="21" t="n">
        <v>46269</v>
      </c>
      <c r="C209" s="22" t="inlineStr">
        <is>
          <t>Upper</t>
        </is>
      </c>
      <c r="D209" s="23" t="inlineStr">
        <is>
          <t>Bench press</t>
        </is>
      </c>
      <c r="E209" s="24" t="n">
        <v>130</v>
      </c>
      <c r="F209" s="24" t="n">
        <v>9</v>
      </c>
      <c r="G209" s="24" t="n">
        <v>130</v>
      </c>
      <c r="H209" s="24" t="n">
        <v>8</v>
      </c>
      <c r="I209" s="24" t="n">
        <v>130</v>
      </c>
      <c r="J209" s="24" t="n">
        <v>8</v>
      </c>
      <c r="K209" s="24" t="n"/>
      <c r="L209" s="24" t="n"/>
      <c r="M209" s="24" t="n"/>
      <c r="N209" s="24" t="n"/>
      <c r="O209" s="15">
        <f>IF(D209="","",COUNT(F209,H209,J209,L209,N209))</f>
        <v/>
      </c>
      <c r="P209" s="25">
        <f>IF(D209="","",N(E209)*N(F209)+N(G209)*N(H209)+N(I209)*N(J209)+N(K209)*N(L209)+N(M209)*N(N209))</f>
        <v/>
      </c>
      <c r="Q209" s="18">
        <f>IF(N(X209)=0,"",IF(IF(N(F209)=0,0,IF(N(E209)&gt;0,E209*(1+F209/30),F209))=X209,IF(N(E209)&gt;0,E209&amp;" x "&amp;F209,F209&amp;" reps"),IF(IF(N(H209)=0,0,IF(N(G209)&gt;0,G209*(1+H209/30),H209))=X209,IF(N(G209)&gt;0,G209&amp;" x "&amp;H209,H209&amp;" reps"),IF(IF(N(J209)=0,0,IF(N(I209)&gt;0,I209*(1+J209/30),J209))=X209,IF(N(I209)&gt;0,I209&amp;" x "&amp;J209,J209&amp;" reps"),IF(IF(N(L209)=0,0,IF(N(K209)&gt;0,K209*(1+L209/30),L209))=X209,IF(N(K209)&gt;0,K209&amp;" x "&amp;L209,L209&amp;" reps"),IF(IF(N(N209)=0,0,IF(N(M209)&gt;0,M209*(1+N209/30),N209))=X209,IF(N(M209)&gt;0,M209&amp;" x "&amp;N209,N209&amp;" reps"),""))))))</f>
        <v/>
      </c>
      <c r="R209" s="20">
        <f>IF(N(X209)=0,"",ROUND(X209,1))</f>
        <v/>
      </c>
      <c r="S209" s="18">
        <f>IF(N(X209)=0,"",IF(AND(COUNTIFS(Log!$D$6:$D$1505,D209,Log!$B$6:$B$1505,"&lt;"&amp;B209)&gt;0,COUNTIFS(Log!$D$6:$D$1505,D209,Log!$B$6:$B$1505,"&lt;"&amp;B209,Log!$X$6:$X$1505,"&gt;="&amp;X209)=0),"New best",""))</f>
        <v/>
      </c>
      <c r="T209" s="26" t="inlineStr">
        <is>
          <t>Easy, go up next time</t>
        </is>
      </c>
      <c r="U209" s="1">
        <f>IF(D209="","",IFERROR(INDEX(Exercises!$C$6:$C$105,MATCH(D209,Exercises!$B$6:$B$105,0)),"Other"))</f>
        <v/>
      </c>
      <c r="V209">
        <f>IF(B209="","",IF(COUNTIF($B$6:B209,B209)=1,1,0))</f>
        <v/>
      </c>
      <c r="W209">
        <f>IF(B209="","",B209-WEEKDAY(B209,3))</f>
        <v/>
      </c>
      <c r="X209">
        <f>IF(D209="","",MAX(IF(N(F209)=0,0,IF(N(E209)&gt;0,E209*(1+F209/30),F209)),IF(N(H209)=0,0,IF(N(G209)&gt;0,G209*(1+H209/30),H209)),IF(N(J209)=0,0,IF(N(I209)&gt;0,I209*(1+J209/30),J209)),IF(N(L209)=0,0,IF(N(K209)&gt;0,K209*(1+L209/30),L209)),IF(N(N209)=0,0,IF(N(M209)&gt;0,M209*(1+N209/30),N209))))</f>
        <v/>
      </c>
      <c r="Y209">
        <f>IF(N(X209)=0,"",X209+ROW()/1000000000)</f>
        <v/>
      </c>
      <c r="Z209">
        <f>IF(Y209="","",IF(COUNTIFS(Log!$D$6:$D$1505,D209,Log!$Y$6:$Y$1505,"&gt;"&amp;Y209)=0,1,0))</f>
        <v/>
      </c>
      <c r="AA209">
        <f>IF(OR(B209="",D209=""),"",B209+ROW()/10000000)</f>
        <v/>
      </c>
      <c r="AB209">
        <f>IF(AA209="","",IF(COUNTIFS(Log!$D$6:$D$1505,D209,Log!$AA$6:$AA$1505,"&gt;"&amp;AA209)=0,1,0))</f>
        <v/>
      </c>
      <c r="AC209">
        <f>IF(S209="New best",AA209,"")</f>
        <v/>
      </c>
      <c r="AD209">
        <f>ROW()</f>
        <v/>
      </c>
    </row>
    <row r="210">
      <c r="A210" s="1" t="n"/>
      <c r="B210" s="21" t="n">
        <v>46269</v>
      </c>
      <c r="C210" s="22" t="inlineStr">
        <is>
          <t>Upper</t>
        </is>
      </c>
      <c r="D210" s="23" t="inlineStr">
        <is>
          <t>Barbell row</t>
        </is>
      </c>
      <c r="E210" s="24" t="n">
        <v>110</v>
      </c>
      <c r="F210" s="24" t="n">
        <v>9</v>
      </c>
      <c r="G210" s="24" t="n">
        <v>110</v>
      </c>
      <c r="H210" s="24" t="n">
        <v>9</v>
      </c>
      <c r="I210" s="24" t="n">
        <v>110</v>
      </c>
      <c r="J210" s="24" t="n">
        <v>8</v>
      </c>
      <c r="K210" s="24" t="n"/>
      <c r="L210" s="24" t="n"/>
      <c r="M210" s="24" t="n"/>
      <c r="N210" s="24" t="n"/>
      <c r="O210" s="15">
        <f>IF(D210="","",COUNT(F210,H210,J210,L210,N210))</f>
        <v/>
      </c>
      <c r="P210" s="25">
        <f>IF(D210="","",N(E210)*N(F210)+N(G210)*N(H210)+N(I210)*N(J210)+N(K210)*N(L210)+N(M210)*N(N210))</f>
        <v/>
      </c>
      <c r="Q210" s="18">
        <f>IF(N(X210)=0,"",IF(IF(N(F210)=0,0,IF(N(E210)&gt;0,E210*(1+F210/30),F210))=X210,IF(N(E210)&gt;0,E210&amp;" x "&amp;F210,F210&amp;" reps"),IF(IF(N(H210)=0,0,IF(N(G210)&gt;0,G210*(1+H210/30),H210))=X210,IF(N(G210)&gt;0,G210&amp;" x "&amp;H210,H210&amp;" reps"),IF(IF(N(J210)=0,0,IF(N(I210)&gt;0,I210*(1+J210/30),J210))=X210,IF(N(I210)&gt;0,I210&amp;" x "&amp;J210,J210&amp;" reps"),IF(IF(N(L210)=0,0,IF(N(K210)&gt;0,K210*(1+L210/30),L210))=X210,IF(N(K210)&gt;0,K210&amp;" x "&amp;L210,L210&amp;" reps"),IF(IF(N(N210)=0,0,IF(N(M210)&gt;0,M210*(1+N210/30),N210))=X210,IF(N(M210)&gt;0,M210&amp;" x "&amp;N210,N210&amp;" reps"),""))))))</f>
        <v/>
      </c>
      <c r="R210" s="20">
        <f>IF(N(X210)=0,"",ROUND(X210,1))</f>
        <v/>
      </c>
      <c r="S210" s="18">
        <f>IF(N(X210)=0,"",IF(AND(COUNTIFS(Log!$D$6:$D$1505,D210,Log!$B$6:$B$1505,"&lt;"&amp;B210)&gt;0,COUNTIFS(Log!$D$6:$D$1505,D210,Log!$B$6:$B$1505,"&lt;"&amp;B210,Log!$X$6:$X$1505,"&gt;="&amp;X210)=0),"New best",""))</f>
        <v/>
      </c>
      <c r="T210" s="26" t="inlineStr">
        <is>
          <t>Felt strong</t>
        </is>
      </c>
      <c r="U210" s="1">
        <f>IF(D210="","",IFERROR(INDEX(Exercises!$C$6:$C$105,MATCH(D210,Exercises!$B$6:$B$105,0)),"Other"))</f>
        <v/>
      </c>
      <c r="V210">
        <f>IF(B210="","",IF(COUNTIF($B$6:B210,B210)=1,1,0))</f>
        <v/>
      </c>
      <c r="W210">
        <f>IF(B210="","",B210-WEEKDAY(B210,3))</f>
        <v/>
      </c>
      <c r="X210">
        <f>IF(D210="","",MAX(IF(N(F210)=0,0,IF(N(E210)&gt;0,E210*(1+F210/30),F210)),IF(N(H210)=0,0,IF(N(G210)&gt;0,G210*(1+H210/30),H210)),IF(N(J210)=0,0,IF(N(I210)&gt;0,I210*(1+J210/30),J210)),IF(N(L210)=0,0,IF(N(K210)&gt;0,K210*(1+L210/30),L210)),IF(N(N210)=0,0,IF(N(M210)&gt;0,M210*(1+N210/30),N210))))</f>
        <v/>
      </c>
      <c r="Y210">
        <f>IF(N(X210)=0,"",X210+ROW()/1000000000)</f>
        <v/>
      </c>
      <c r="Z210">
        <f>IF(Y210="","",IF(COUNTIFS(Log!$D$6:$D$1505,D210,Log!$Y$6:$Y$1505,"&gt;"&amp;Y210)=0,1,0))</f>
        <v/>
      </c>
      <c r="AA210">
        <f>IF(OR(B210="",D210=""),"",B210+ROW()/10000000)</f>
        <v/>
      </c>
      <c r="AB210">
        <f>IF(AA210="","",IF(COUNTIFS(Log!$D$6:$D$1505,D210,Log!$AA$6:$AA$1505,"&gt;"&amp;AA210)=0,1,0))</f>
        <v/>
      </c>
      <c r="AC210">
        <f>IF(S210="New best",AA210,"")</f>
        <v/>
      </c>
      <c r="AD210">
        <f>ROW()</f>
        <v/>
      </c>
    </row>
    <row r="211">
      <c r="A211" s="1" t="n"/>
      <c r="B211" s="21" t="n">
        <v>46269</v>
      </c>
      <c r="C211" s="22" t="inlineStr">
        <is>
          <t>Upper</t>
        </is>
      </c>
      <c r="D211" s="23" t="inlineStr">
        <is>
          <t>Overhead press</t>
        </is>
      </c>
      <c r="E211" s="24" t="n">
        <v>85</v>
      </c>
      <c r="F211" s="24" t="n">
        <v>9</v>
      </c>
      <c r="G211" s="24" t="n">
        <v>85</v>
      </c>
      <c r="H211" s="24" t="n">
        <v>9</v>
      </c>
      <c r="I211" s="24" t="n">
        <v>85</v>
      </c>
      <c r="J211" s="24" t="n">
        <v>8</v>
      </c>
      <c r="K211" s="24" t="n"/>
      <c r="L211" s="24" t="n"/>
      <c r="M211" s="24" t="n"/>
      <c r="N211" s="24" t="n"/>
      <c r="O211" s="15">
        <f>IF(D211="","",COUNT(F211,H211,J211,L211,N211))</f>
        <v/>
      </c>
      <c r="P211" s="25">
        <f>IF(D211="","",N(E211)*N(F211)+N(G211)*N(H211)+N(I211)*N(J211)+N(K211)*N(L211)+N(M211)*N(N211))</f>
        <v/>
      </c>
      <c r="Q211" s="18">
        <f>IF(N(X211)=0,"",IF(IF(N(F211)=0,0,IF(N(E211)&gt;0,E211*(1+F211/30),F211))=X211,IF(N(E211)&gt;0,E211&amp;" x "&amp;F211,F211&amp;" reps"),IF(IF(N(H211)=0,0,IF(N(G211)&gt;0,G211*(1+H211/30),H211))=X211,IF(N(G211)&gt;0,G211&amp;" x "&amp;H211,H211&amp;" reps"),IF(IF(N(J211)=0,0,IF(N(I211)&gt;0,I211*(1+J211/30),J211))=X211,IF(N(I211)&gt;0,I211&amp;" x "&amp;J211,J211&amp;" reps"),IF(IF(N(L211)=0,0,IF(N(K211)&gt;0,K211*(1+L211/30),L211))=X211,IF(N(K211)&gt;0,K211&amp;" x "&amp;L211,L211&amp;" reps"),IF(IF(N(N211)=0,0,IF(N(M211)&gt;0,M211*(1+N211/30),N211))=X211,IF(N(M211)&gt;0,M211&amp;" x "&amp;N211,N211&amp;" reps"),""))))))</f>
        <v/>
      </c>
      <c r="R211" s="20">
        <f>IF(N(X211)=0,"",ROUND(X211,1))</f>
        <v/>
      </c>
      <c r="S211" s="18">
        <f>IF(N(X211)=0,"",IF(AND(COUNTIFS(Log!$D$6:$D$1505,D211,Log!$B$6:$B$1505,"&lt;"&amp;B211)&gt;0,COUNTIFS(Log!$D$6:$D$1505,D211,Log!$B$6:$B$1505,"&lt;"&amp;B211,Log!$X$6:$X$1505,"&gt;="&amp;X211)=0),"New best",""))</f>
        <v/>
      </c>
      <c r="T211" s="26" t="n"/>
      <c r="U211" s="1">
        <f>IF(D211="","",IFERROR(INDEX(Exercises!$C$6:$C$105,MATCH(D211,Exercises!$B$6:$B$105,0)),"Other"))</f>
        <v/>
      </c>
      <c r="V211">
        <f>IF(B211="","",IF(COUNTIF($B$6:B211,B211)=1,1,0))</f>
        <v/>
      </c>
      <c r="W211">
        <f>IF(B211="","",B211-WEEKDAY(B211,3))</f>
        <v/>
      </c>
      <c r="X211">
        <f>IF(D211="","",MAX(IF(N(F211)=0,0,IF(N(E211)&gt;0,E211*(1+F211/30),F211)),IF(N(H211)=0,0,IF(N(G211)&gt;0,G211*(1+H211/30),H211)),IF(N(J211)=0,0,IF(N(I211)&gt;0,I211*(1+J211/30),J211)),IF(N(L211)=0,0,IF(N(K211)&gt;0,K211*(1+L211/30),L211)),IF(N(N211)=0,0,IF(N(M211)&gt;0,M211*(1+N211/30),N211))))</f>
        <v/>
      </c>
      <c r="Y211">
        <f>IF(N(X211)=0,"",X211+ROW()/1000000000)</f>
        <v/>
      </c>
      <c r="Z211">
        <f>IF(Y211="","",IF(COUNTIFS(Log!$D$6:$D$1505,D211,Log!$Y$6:$Y$1505,"&gt;"&amp;Y211)=0,1,0))</f>
        <v/>
      </c>
      <c r="AA211">
        <f>IF(OR(B211="",D211=""),"",B211+ROW()/10000000)</f>
        <v/>
      </c>
      <c r="AB211">
        <f>IF(AA211="","",IF(COUNTIFS(Log!$D$6:$D$1505,D211,Log!$AA$6:$AA$1505,"&gt;"&amp;AA211)=0,1,0))</f>
        <v/>
      </c>
      <c r="AC211">
        <f>IF(S211="New best",AA211,"")</f>
        <v/>
      </c>
      <c r="AD211">
        <f>ROW()</f>
        <v/>
      </c>
    </row>
    <row r="212">
      <c r="A212" s="1" t="n"/>
      <c r="B212" s="21" t="n">
        <v>46269</v>
      </c>
      <c r="C212" s="22" t="inlineStr">
        <is>
          <t>Upper</t>
        </is>
      </c>
      <c r="D212" s="23" t="inlineStr">
        <is>
          <t>Pull-up</t>
        </is>
      </c>
      <c r="E212" s="24" t="n"/>
      <c r="F212" s="24" t="n">
        <v>8</v>
      </c>
      <c r="G212" s="24" t="n"/>
      <c r="H212" s="24" t="n">
        <v>6</v>
      </c>
      <c r="I212" s="24" t="n"/>
      <c r="J212" s="24" t="n">
        <v>6</v>
      </c>
      <c r="K212" s="24" t="n"/>
      <c r="L212" s="24" t="n"/>
      <c r="M212" s="24" t="n"/>
      <c r="N212" s="24" t="n"/>
      <c r="O212" s="15">
        <f>IF(D212="","",COUNT(F212,H212,J212,L212,N212))</f>
        <v/>
      </c>
      <c r="P212" s="25">
        <f>IF(D212="","",N(E212)*N(F212)+N(G212)*N(H212)+N(I212)*N(J212)+N(K212)*N(L212)+N(M212)*N(N212))</f>
        <v/>
      </c>
      <c r="Q212" s="18">
        <f>IF(N(X212)=0,"",IF(IF(N(F212)=0,0,IF(N(E212)&gt;0,E212*(1+F212/30),F212))=X212,IF(N(E212)&gt;0,E212&amp;" x "&amp;F212,F212&amp;" reps"),IF(IF(N(H212)=0,0,IF(N(G212)&gt;0,G212*(1+H212/30),H212))=X212,IF(N(G212)&gt;0,G212&amp;" x "&amp;H212,H212&amp;" reps"),IF(IF(N(J212)=0,0,IF(N(I212)&gt;0,I212*(1+J212/30),J212))=X212,IF(N(I212)&gt;0,I212&amp;" x "&amp;J212,J212&amp;" reps"),IF(IF(N(L212)=0,0,IF(N(K212)&gt;0,K212*(1+L212/30),L212))=X212,IF(N(K212)&gt;0,K212&amp;" x "&amp;L212,L212&amp;" reps"),IF(IF(N(N212)=0,0,IF(N(M212)&gt;0,M212*(1+N212/30),N212))=X212,IF(N(M212)&gt;0,M212&amp;" x "&amp;N212,N212&amp;" reps"),""))))))</f>
        <v/>
      </c>
      <c r="R212" s="20">
        <f>IF(N(X212)=0,"",ROUND(X212,1))</f>
        <v/>
      </c>
      <c r="S212" s="18">
        <f>IF(N(X212)=0,"",IF(AND(COUNTIFS(Log!$D$6:$D$1505,D212,Log!$B$6:$B$1505,"&lt;"&amp;B212)&gt;0,COUNTIFS(Log!$D$6:$D$1505,D212,Log!$B$6:$B$1505,"&lt;"&amp;B212,Log!$X$6:$X$1505,"&gt;="&amp;X212)=0),"New best",""))</f>
        <v/>
      </c>
      <c r="T212" s="26" t="n"/>
      <c r="U212" s="1">
        <f>IF(D212="","",IFERROR(INDEX(Exercises!$C$6:$C$105,MATCH(D212,Exercises!$B$6:$B$105,0)),"Other"))</f>
        <v/>
      </c>
      <c r="V212">
        <f>IF(B212="","",IF(COUNTIF($B$6:B212,B212)=1,1,0))</f>
        <v/>
      </c>
      <c r="W212">
        <f>IF(B212="","",B212-WEEKDAY(B212,3))</f>
        <v/>
      </c>
      <c r="X212">
        <f>IF(D212="","",MAX(IF(N(F212)=0,0,IF(N(E212)&gt;0,E212*(1+F212/30),F212)),IF(N(H212)=0,0,IF(N(G212)&gt;0,G212*(1+H212/30),H212)),IF(N(J212)=0,0,IF(N(I212)&gt;0,I212*(1+J212/30),J212)),IF(N(L212)=0,0,IF(N(K212)&gt;0,K212*(1+L212/30),L212)),IF(N(N212)=0,0,IF(N(M212)&gt;0,M212*(1+N212/30),N212))))</f>
        <v/>
      </c>
      <c r="Y212">
        <f>IF(N(X212)=0,"",X212+ROW()/1000000000)</f>
        <v/>
      </c>
      <c r="Z212">
        <f>IF(Y212="","",IF(COUNTIFS(Log!$D$6:$D$1505,D212,Log!$Y$6:$Y$1505,"&gt;"&amp;Y212)=0,1,0))</f>
        <v/>
      </c>
      <c r="AA212">
        <f>IF(OR(B212="",D212=""),"",B212+ROW()/10000000)</f>
        <v/>
      </c>
      <c r="AB212">
        <f>IF(AA212="","",IF(COUNTIFS(Log!$D$6:$D$1505,D212,Log!$AA$6:$AA$1505,"&gt;"&amp;AA212)=0,1,0))</f>
        <v/>
      </c>
      <c r="AC212">
        <f>IF(S212="New best",AA212,"")</f>
        <v/>
      </c>
      <c r="AD212">
        <f>ROW()</f>
        <v/>
      </c>
    </row>
    <row r="213">
      <c r="A213" s="1" t="n"/>
      <c r="B213" s="21" t="n">
        <v>46269</v>
      </c>
      <c r="C213" s="22" t="inlineStr">
        <is>
          <t>Upper</t>
        </is>
      </c>
      <c r="D213" s="23" t="inlineStr">
        <is>
          <t>Biceps curl</t>
        </is>
      </c>
      <c r="E213" s="24" t="n">
        <v>25</v>
      </c>
      <c r="F213" s="24" t="n">
        <v>11</v>
      </c>
      <c r="G213" s="24" t="n">
        <v>25</v>
      </c>
      <c r="H213" s="24" t="n">
        <v>10</v>
      </c>
      <c r="I213" s="24" t="n"/>
      <c r="J213" s="24" t="n"/>
      <c r="K213" s="24" t="n"/>
      <c r="L213" s="24" t="n"/>
      <c r="M213" s="24" t="n"/>
      <c r="N213" s="24" t="n"/>
      <c r="O213" s="15">
        <f>IF(D213="","",COUNT(F213,H213,J213,L213,N213))</f>
        <v/>
      </c>
      <c r="P213" s="25">
        <f>IF(D213="","",N(E213)*N(F213)+N(G213)*N(H213)+N(I213)*N(J213)+N(K213)*N(L213)+N(M213)*N(N213))</f>
        <v/>
      </c>
      <c r="Q213" s="18">
        <f>IF(N(X213)=0,"",IF(IF(N(F213)=0,0,IF(N(E213)&gt;0,E213*(1+F213/30),F213))=X213,IF(N(E213)&gt;0,E213&amp;" x "&amp;F213,F213&amp;" reps"),IF(IF(N(H213)=0,0,IF(N(G213)&gt;0,G213*(1+H213/30),H213))=X213,IF(N(G213)&gt;0,G213&amp;" x "&amp;H213,H213&amp;" reps"),IF(IF(N(J213)=0,0,IF(N(I213)&gt;0,I213*(1+J213/30),J213))=X213,IF(N(I213)&gt;0,I213&amp;" x "&amp;J213,J213&amp;" reps"),IF(IF(N(L213)=0,0,IF(N(K213)&gt;0,K213*(1+L213/30),L213))=X213,IF(N(K213)&gt;0,K213&amp;" x "&amp;L213,L213&amp;" reps"),IF(IF(N(N213)=0,0,IF(N(M213)&gt;0,M213*(1+N213/30),N213))=X213,IF(N(M213)&gt;0,M213&amp;" x "&amp;N213,N213&amp;" reps"),""))))))</f>
        <v/>
      </c>
      <c r="R213" s="20">
        <f>IF(N(X213)=0,"",ROUND(X213,1))</f>
        <v/>
      </c>
      <c r="S213" s="18">
        <f>IF(N(X213)=0,"",IF(AND(COUNTIFS(Log!$D$6:$D$1505,D213,Log!$B$6:$B$1505,"&lt;"&amp;B213)&gt;0,COUNTIFS(Log!$D$6:$D$1505,D213,Log!$B$6:$B$1505,"&lt;"&amp;B213,Log!$X$6:$X$1505,"&gt;="&amp;X213)=0),"New best",""))</f>
        <v/>
      </c>
      <c r="T213" s="26" t="n"/>
      <c r="U213" s="1">
        <f>IF(D213="","",IFERROR(INDEX(Exercises!$C$6:$C$105,MATCH(D213,Exercises!$B$6:$B$105,0)),"Other"))</f>
        <v/>
      </c>
      <c r="V213">
        <f>IF(B213="","",IF(COUNTIF($B$6:B213,B213)=1,1,0))</f>
        <v/>
      </c>
      <c r="W213">
        <f>IF(B213="","",B213-WEEKDAY(B213,3))</f>
        <v/>
      </c>
      <c r="X213">
        <f>IF(D213="","",MAX(IF(N(F213)=0,0,IF(N(E213)&gt;0,E213*(1+F213/30),F213)),IF(N(H213)=0,0,IF(N(G213)&gt;0,G213*(1+H213/30),H213)),IF(N(J213)=0,0,IF(N(I213)&gt;0,I213*(1+J213/30),J213)),IF(N(L213)=0,0,IF(N(K213)&gt;0,K213*(1+L213/30),L213)),IF(N(N213)=0,0,IF(N(M213)&gt;0,M213*(1+N213/30),N213))))</f>
        <v/>
      </c>
      <c r="Y213">
        <f>IF(N(X213)=0,"",X213+ROW()/1000000000)</f>
        <v/>
      </c>
      <c r="Z213">
        <f>IF(Y213="","",IF(COUNTIFS(Log!$D$6:$D$1505,D213,Log!$Y$6:$Y$1505,"&gt;"&amp;Y213)=0,1,0))</f>
        <v/>
      </c>
      <c r="AA213">
        <f>IF(OR(B213="",D213=""),"",B213+ROW()/10000000)</f>
        <v/>
      </c>
      <c r="AB213">
        <f>IF(AA213="","",IF(COUNTIFS(Log!$D$6:$D$1505,D213,Log!$AA$6:$AA$1505,"&gt;"&amp;AA213)=0,1,0))</f>
        <v/>
      </c>
      <c r="AC213">
        <f>IF(S213="New best",AA213,"")</f>
        <v/>
      </c>
      <c r="AD213">
        <f>ROW()</f>
        <v/>
      </c>
    </row>
    <row r="214">
      <c r="A214" s="1" t="n"/>
      <c r="B214" s="21" t="n">
        <v>46269</v>
      </c>
      <c r="C214" s="22" t="inlineStr">
        <is>
          <t>Upper</t>
        </is>
      </c>
      <c r="D214" s="23" t="inlineStr">
        <is>
          <t>Triceps pushdown</t>
        </is>
      </c>
      <c r="E214" s="24" t="n">
        <v>45</v>
      </c>
      <c r="F214" s="24" t="n">
        <v>12</v>
      </c>
      <c r="G214" s="24" t="n">
        <v>45</v>
      </c>
      <c r="H214" s="24" t="n">
        <v>11</v>
      </c>
      <c r="I214" s="24" t="n"/>
      <c r="J214" s="24" t="n"/>
      <c r="K214" s="24" t="n"/>
      <c r="L214" s="24" t="n"/>
      <c r="M214" s="24" t="n"/>
      <c r="N214" s="24" t="n"/>
      <c r="O214" s="15">
        <f>IF(D214="","",COUNT(F214,H214,J214,L214,N214))</f>
        <v/>
      </c>
      <c r="P214" s="25">
        <f>IF(D214="","",N(E214)*N(F214)+N(G214)*N(H214)+N(I214)*N(J214)+N(K214)*N(L214)+N(M214)*N(N214))</f>
        <v/>
      </c>
      <c r="Q214" s="18">
        <f>IF(N(X214)=0,"",IF(IF(N(F214)=0,0,IF(N(E214)&gt;0,E214*(1+F214/30),F214))=X214,IF(N(E214)&gt;0,E214&amp;" x "&amp;F214,F214&amp;" reps"),IF(IF(N(H214)=0,0,IF(N(G214)&gt;0,G214*(1+H214/30),H214))=X214,IF(N(G214)&gt;0,G214&amp;" x "&amp;H214,H214&amp;" reps"),IF(IF(N(J214)=0,0,IF(N(I214)&gt;0,I214*(1+J214/30),J214))=X214,IF(N(I214)&gt;0,I214&amp;" x "&amp;J214,J214&amp;" reps"),IF(IF(N(L214)=0,0,IF(N(K214)&gt;0,K214*(1+L214/30),L214))=X214,IF(N(K214)&gt;0,K214&amp;" x "&amp;L214,L214&amp;" reps"),IF(IF(N(N214)=0,0,IF(N(M214)&gt;0,M214*(1+N214/30),N214))=X214,IF(N(M214)&gt;0,M214&amp;" x "&amp;N214,N214&amp;" reps"),""))))))</f>
        <v/>
      </c>
      <c r="R214" s="20">
        <f>IF(N(X214)=0,"",ROUND(X214,1))</f>
        <v/>
      </c>
      <c r="S214" s="18">
        <f>IF(N(X214)=0,"",IF(AND(COUNTIFS(Log!$D$6:$D$1505,D214,Log!$B$6:$B$1505,"&lt;"&amp;B214)&gt;0,COUNTIFS(Log!$D$6:$D$1505,D214,Log!$B$6:$B$1505,"&lt;"&amp;B214,Log!$X$6:$X$1505,"&gt;="&amp;X214)=0),"New best",""))</f>
        <v/>
      </c>
      <c r="T214" s="26" t="n"/>
      <c r="U214" s="1">
        <f>IF(D214="","",IFERROR(INDEX(Exercises!$C$6:$C$105,MATCH(D214,Exercises!$B$6:$B$105,0)),"Other"))</f>
        <v/>
      </c>
      <c r="V214">
        <f>IF(B214="","",IF(COUNTIF($B$6:B214,B214)=1,1,0))</f>
        <v/>
      </c>
      <c r="W214">
        <f>IF(B214="","",B214-WEEKDAY(B214,3))</f>
        <v/>
      </c>
      <c r="X214">
        <f>IF(D214="","",MAX(IF(N(F214)=0,0,IF(N(E214)&gt;0,E214*(1+F214/30),F214)),IF(N(H214)=0,0,IF(N(G214)&gt;0,G214*(1+H214/30),H214)),IF(N(J214)=0,0,IF(N(I214)&gt;0,I214*(1+J214/30),J214)),IF(N(L214)=0,0,IF(N(K214)&gt;0,K214*(1+L214/30),L214)),IF(N(N214)=0,0,IF(N(M214)&gt;0,M214*(1+N214/30),N214))))</f>
        <v/>
      </c>
      <c r="Y214">
        <f>IF(N(X214)=0,"",X214+ROW()/1000000000)</f>
        <v/>
      </c>
      <c r="Z214">
        <f>IF(Y214="","",IF(COUNTIFS(Log!$D$6:$D$1505,D214,Log!$Y$6:$Y$1505,"&gt;"&amp;Y214)=0,1,0))</f>
        <v/>
      </c>
      <c r="AA214">
        <f>IF(OR(B214="",D214=""),"",B214+ROW()/10000000)</f>
        <v/>
      </c>
      <c r="AB214">
        <f>IF(AA214="","",IF(COUNTIFS(Log!$D$6:$D$1505,D214,Log!$AA$6:$AA$1505,"&gt;"&amp;AA214)=0,1,0))</f>
        <v/>
      </c>
      <c r="AC214">
        <f>IF(S214="New best",AA214,"")</f>
        <v/>
      </c>
      <c r="AD214">
        <f>ROW()</f>
        <v/>
      </c>
    </row>
    <row r="215">
      <c r="A215" s="1" t="n"/>
      <c r="B215" s="21" t="n">
        <v>46270</v>
      </c>
      <c r="C215" s="22" t="inlineStr">
        <is>
          <t>Lower</t>
        </is>
      </c>
      <c r="D215" s="23" t="inlineStr">
        <is>
          <t>Squat</t>
        </is>
      </c>
      <c r="E215" s="24" t="n">
        <v>185</v>
      </c>
      <c r="F215" s="24" t="n">
        <v>8</v>
      </c>
      <c r="G215" s="24" t="n">
        <v>185</v>
      </c>
      <c r="H215" s="24" t="n">
        <v>8</v>
      </c>
      <c r="I215" s="24" t="n">
        <v>185</v>
      </c>
      <c r="J215" s="24" t="n">
        <v>8</v>
      </c>
      <c r="K215" s="24" t="n"/>
      <c r="L215" s="24" t="n"/>
      <c r="M215" s="24" t="n"/>
      <c r="N215" s="24" t="n"/>
      <c r="O215" s="15">
        <f>IF(D215="","",COUNT(F215,H215,J215,L215,N215))</f>
        <v/>
      </c>
      <c r="P215" s="25">
        <f>IF(D215="","",N(E215)*N(F215)+N(G215)*N(H215)+N(I215)*N(J215)+N(K215)*N(L215)+N(M215)*N(N215))</f>
        <v/>
      </c>
      <c r="Q215" s="18">
        <f>IF(N(X215)=0,"",IF(IF(N(F215)=0,0,IF(N(E215)&gt;0,E215*(1+F215/30),F215))=X215,IF(N(E215)&gt;0,E215&amp;" x "&amp;F215,F215&amp;" reps"),IF(IF(N(H215)=0,0,IF(N(G215)&gt;0,G215*(1+H215/30),H215))=X215,IF(N(G215)&gt;0,G215&amp;" x "&amp;H215,H215&amp;" reps"),IF(IF(N(J215)=0,0,IF(N(I215)&gt;0,I215*(1+J215/30),J215))=X215,IF(N(I215)&gt;0,I215&amp;" x "&amp;J215,J215&amp;" reps"),IF(IF(N(L215)=0,0,IF(N(K215)&gt;0,K215*(1+L215/30),L215))=X215,IF(N(K215)&gt;0,K215&amp;" x "&amp;L215,L215&amp;" reps"),IF(IF(N(N215)=0,0,IF(N(M215)&gt;0,M215*(1+N215/30),N215))=X215,IF(N(M215)&gt;0,M215&amp;" x "&amp;N215,N215&amp;" reps"),""))))))</f>
        <v/>
      </c>
      <c r="R215" s="20">
        <f>IF(N(X215)=0,"",ROUND(X215,1))</f>
        <v/>
      </c>
      <c r="S215" s="18">
        <f>IF(N(X215)=0,"",IF(AND(COUNTIFS(Log!$D$6:$D$1505,D215,Log!$B$6:$B$1505,"&lt;"&amp;B215)&gt;0,COUNTIFS(Log!$D$6:$D$1505,D215,Log!$B$6:$B$1505,"&lt;"&amp;B215,Log!$X$6:$X$1505,"&gt;="&amp;X215)=0),"New best",""))</f>
        <v/>
      </c>
      <c r="T215" s="26" t="inlineStr">
        <is>
          <t>Slept badly</t>
        </is>
      </c>
      <c r="U215" s="1">
        <f>IF(D215="","",IFERROR(INDEX(Exercises!$C$6:$C$105,MATCH(D215,Exercises!$B$6:$B$105,0)),"Other"))</f>
        <v/>
      </c>
      <c r="V215">
        <f>IF(B215="","",IF(COUNTIF($B$6:B215,B215)=1,1,0))</f>
        <v/>
      </c>
      <c r="W215">
        <f>IF(B215="","",B215-WEEKDAY(B215,3))</f>
        <v/>
      </c>
      <c r="X215">
        <f>IF(D215="","",MAX(IF(N(F215)=0,0,IF(N(E215)&gt;0,E215*(1+F215/30),F215)),IF(N(H215)=0,0,IF(N(G215)&gt;0,G215*(1+H215/30),H215)),IF(N(J215)=0,0,IF(N(I215)&gt;0,I215*(1+J215/30),J215)),IF(N(L215)=0,0,IF(N(K215)&gt;0,K215*(1+L215/30),L215)),IF(N(N215)=0,0,IF(N(M215)&gt;0,M215*(1+N215/30),N215))))</f>
        <v/>
      </c>
      <c r="Y215">
        <f>IF(N(X215)=0,"",X215+ROW()/1000000000)</f>
        <v/>
      </c>
      <c r="Z215">
        <f>IF(Y215="","",IF(COUNTIFS(Log!$D$6:$D$1505,D215,Log!$Y$6:$Y$1505,"&gt;"&amp;Y215)=0,1,0))</f>
        <v/>
      </c>
      <c r="AA215">
        <f>IF(OR(B215="",D215=""),"",B215+ROW()/10000000)</f>
        <v/>
      </c>
      <c r="AB215">
        <f>IF(AA215="","",IF(COUNTIFS(Log!$D$6:$D$1505,D215,Log!$AA$6:$AA$1505,"&gt;"&amp;AA215)=0,1,0))</f>
        <v/>
      </c>
      <c r="AC215">
        <f>IF(S215="New best",AA215,"")</f>
        <v/>
      </c>
      <c r="AD215">
        <f>ROW()</f>
        <v/>
      </c>
    </row>
    <row r="216">
      <c r="A216" s="1" t="n"/>
      <c r="B216" s="21" t="n">
        <v>46270</v>
      </c>
      <c r="C216" s="22" t="inlineStr">
        <is>
          <t>Lower</t>
        </is>
      </c>
      <c r="D216" s="23" t="inlineStr">
        <is>
          <t>Romanian deadlift</t>
        </is>
      </c>
      <c r="E216" s="24" t="n">
        <v>160</v>
      </c>
      <c r="F216" s="24" t="n">
        <v>10</v>
      </c>
      <c r="G216" s="24" t="n">
        <v>160</v>
      </c>
      <c r="H216" s="24" t="n">
        <v>8</v>
      </c>
      <c r="I216" s="24" t="n">
        <v>160</v>
      </c>
      <c r="J216" s="24" t="n">
        <v>8</v>
      </c>
      <c r="K216" s="24" t="n"/>
      <c r="L216" s="24" t="n"/>
      <c r="M216" s="24" t="n"/>
      <c r="N216" s="24" t="n"/>
      <c r="O216" s="15">
        <f>IF(D216="","",COUNT(F216,H216,J216,L216,N216))</f>
        <v/>
      </c>
      <c r="P216" s="25">
        <f>IF(D216="","",N(E216)*N(F216)+N(G216)*N(H216)+N(I216)*N(J216)+N(K216)*N(L216)+N(M216)*N(N216))</f>
        <v/>
      </c>
      <c r="Q216" s="18">
        <f>IF(N(X216)=0,"",IF(IF(N(F216)=0,0,IF(N(E216)&gt;0,E216*(1+F216/30),F216))=X216,IF(N(E216)&gt;0,E216&amp;" x "&amp;F216,F216&amp;" reps"),IF(IF(N(H216)=0,0,IF(N(G216)&gt;0,G216*(1+H216/30),H216))=X216,IF(N(G216)&gt;0,G216&amp;" x "&amp;H216,H216&amp;" reps"),IF(IF(N(J216)=0,0,IF(N(I216)&gt;0,I216*(1+J216/30),J216))=X216,IF(N(I216)&gt;0,I216&amp;" x "&amp;J216,J216&amp;" reps"),IF(IF(N(L216)=0,0,IF(N(K216)&gt;0,K216*(1+L216/30),L216))=X216,IF(N(K216)&gt;0,K216&amp;" x "&amp;L216,L216&amp;" reps"),IF(IF(N(N216)=0,0,IF(N(M216)&gt;0,M216*(1+N216/30),N216))=X216,IF(N(M216)&gt;0,M216&amp;" x "&amp;N216,N216&amp;" reps"),""))))))</f>
        <v/>
      </c>
      <c r="R216" s="20">
        <f>IF(N(X216)=0,"",ROUND(X216,1))</f>
        <v/>
      </c>
      <c r="S216" s="18">
        <f>IF(N(X216)=0,"",IF(AND(COUNTIFS(Log!$D$6:$D$1505,D216,Log!$B$6:$B$1505,"&lt;"&amp;B216)&gt;0,COUNTIFS(Log!$D$6:$D$1505,D216,Log!$B$6:$B$1505,"&lt;"&amp;B216,Log!$X$6:$X$1505,"&gt;="&amp;X216)=0),"New best",""))</f>
        <v/>
      </c>
      <c r="T216" s="26" t="inlineStr">
        <is>
          <t>Slept badly</t>
        </is>
      </c>
      <c r="U216" s="1">
        <f>IF(D216="","",IFERROR(INDEX(Exercises!$C$6:$C$105,MATCH(D216,Exercises!$B$6:$B$105,0)),"Other"))</f>
        <v/>
      </c>
      <c r="V216">
        <f>IF(B216="","",IF(COUNTIF($B$6:B216,B216)=1,1,0))</f>
        <v/>
      </c>
      <c r="W216">
        <f>IF(B216="","",B216-WEEKDAY(B216,3))</f>
        <v/>
      </c>
      <c r="X216">
        <f>IF(D216="","",MAX(IF(N(F216)=0,0,IF(N(E216)&gt;0,E216*(1+F216/30),F216)),IF(N(H216)=0,0,IF(N(G216)&gt;0,G216*(1+H216/30),H216)),IF(N(J216)=0,0,IF(N(I216)&gt;0,I216*(1+J216/30),J216)),IF(N(L216)=0,0,IF(N(K216)&gt;0,K216*(1+L216/30),L216)),IF(N(N216)=0,0,IF(N(M216)&gt;0,M216*(1+N216/30),N216))))</f>
        <v/>
      </c>
      <c r="Y216">
        <f>IF(N(X216)=0,"",X216+ROW()/1000000000)</f>
        <v/>
      </c>
      <c r="Z216">
        <f>IF(Y216="","",IF(COUNTIFS(Log!$D$6:$D$1505,D216,Log!$Y$6:$Y$1505,"&gt;"&amp;Y216)=0,1,0))</f>
        <v/>
      </c>
      <c r="AA216">
        <f>IF(OR(B216="",D216=""),"",B216+ROW()/10000000)</f>
        <v/>
      </c>
      <c r="AB216">
        <f>IF(AA216="","",IF(COUNTIFS(Log!$D$6:$D$1505,D216,Log!$AA$6:$AA$1505,"&gt;"&amp;AA216)=0,1,0))</f>
        <v/>
      </c>
      <c r="AC216">
        <f>IF(S216="New best",AA216,"")</f>
        <v/>
      </c>
      <c r="AD216">
        <f>ROW()</f>
        <v/>
      </c>
    </row>
    <row r="217">
      <c r="A217" s="1" t="n"/>
      <c r="B217" s="21" t="n">
        <v>46270</v>
      </c>
      <c r="C217" s="22" t="inlineStr">
        <is>
          <t>Lower</t>
        </is>
      </c>
      <c r="D217" s="23" t="inlineStr">
        <is>
          <t>Leg press</t>
        </is>
      </c>
      <c r="E217" s="24" t="n">
        <v>280</v>
      </c>
      <c r="F217" s="24" t="n">
        <v>15</v>
      </c>
      <c r="G217" s="24" t="n">
        <v>280</v>
      </c>
      <c r="H217" s="24" t="n">
        <v>14</v>
      </c>
      <c r="I217" s="24" t="n">
        <v>280</v>
      </c>
      <c r="J217" s="24" t="n">
        <v>13</v>
      </c>
      <c r="K217" s="24" t="n"/>
      <c r="L217" s="24" t="n"/>
      <c r="M217" s="24" t="n"/>
      <c r="N217" s="24" t="n"/>
      <c r="O217" s="15">
        <f>IF(D217="","",COUNT(F217,H217,J217,L217,N217))</f>
        <v/>
      </c>
      <c r="P217" s="25">
        <f>IF(D217="","",N(E217)*N(F217)+N(G217)*N(H217)+N(I217)*N(J217)+N(K217)*N(L217)+N(M217)*N(N217))</f>
        <v/>
      </c>
      <c r="Q217" s="18">
        <f>IF(N(X217)=0,"",IF(IF(N(F217)=0,0,IF(N(E217)&gt;0,E217*(1+F217/30),F217))=X217,IF(N(E217)&gt;0,E217&amp;" x "&amp;F217,F217&amp;" reps"),IF(IF(N(H217)=0,0,IF(N(G217)&gt;0,G217*(1+H217/30),H217))=X217,IF(N(G217)&gt;0,G217&amp;" x "&amp;H217,H217&amp;" reps"),IF(IF(N(J217)=0,0,IF(N(I217)&gt;0,I217*(1+J217/30),J217))=X217,IF(N(I217)&gt;0,I217&amp;" x "&amp;J217,J217&amp;" reps"),IF(IF(N(L217)=0,0,IF(N(K217)&gt;0,K217*(1+L217/30),L217))=X217,IF(N(K217)&gt;0,K217&amp;" x "&amp;L217,L217&amp;" reps"),IF(IF(N(N217)=0,0,IF(N(M217)&gt;0,M217*(1+N217/30),N217))=X217,IF(N(M217)&gt;0,M217&amp;" x "&amp;N217,N217&amp;" reps"),""))))))</f>
        <v/>
      </c>
      <c r="R217" s="20">
        <f>IF(N(X217)=0,"",ROUND(X217,1))</f>
        <v/>
      </c>
      <c r="S217" s="18">
        <f>IF(N(X217)=0,"",IF(AND(COUNTIFS(Log!$D$6:$D$1505,D217,Log!$B$6:$B$1505,"&lt;"&amp;B217)&gt;0,COUNTIFS(Log!$D$6:$D$1505,D217,Log!$B$6:$B$1505,"&lt;"&amp;B217,Log!$X$6:$X$1505,"&gt;="&amp;X217)=0),"New best",""))</f>
        <v/>
      </c>
      <c r="T217" s="26" t="n"/>
      <c r="U217" s="1">
        <f>IF(D217="","",IFERROR(INDEX(Exercises!$C$6:$C$105,MATCH(D217,Exercises!$B$6:$B$105,0)),"Other"))</f>
        <v/>
      </c>
      <c r="V217">
        <f>IF(B217="","",IF(COUNTIF($B$6:B217,B217)=1,1,0))</f>
        <v/>
      </c>
      <c r="W217">
        <f>IF(B217="","",B217-WEEKDAY(B217,3))</f>
        <v/>
      </c>
      <c r="X217">
        <f>IF(D217="","",MAX(IF(N(F217)=0,0,IF(N(E217)&gt;0,E217*(1+F217/30),F217)),IF(N(H217)=0,0,IF(N(G217)&gt;0,G217*(1+H217/30),H217)),IF(N(J217)=0,0,IF(N(I217)&gt;0,I217*(1+J217/30),J217)),IF(N(L217)=0,0,IF(N(K217)&gt;0,K217*(1+L217/30),L217)),IF(N(N217)=0,0,IF(N(M217)&gt;0,M217*(1+N217/30),N217))))</f>
        <v/>
      </c>
      <c r="Y217">
        <f>IF(N(X217)=0,"",X217+ROW()/1000000000)</f>
        <v/>
      </c>
      <c r="Z217">
        <f>IF(Y217="","",IF(COUNTIFS(Log!$D$6:$D$1505,D217,Log!$Y$6:$Y$1505,"&gt;"&amp;Y217)=0,1,0))</f>
        <v/>
      </c>
      <c r="AA217">
        <f>IF(OR(B217="",D217=""),"",B217+ROW()/10000000)</f>
        <v/>
      </c>
      <c r="AB217">
        <f>IF(AA217="","",IF(COUNTIFS(Log!$D$6:$D$1505,D217,Log!$AA$6:$AA$1505,"&gt;"&amp;AA217)=0,1,0))</f>
        <v/>
      </c>
      <c r="AC217">
        <f>IF(S217="New best",AA217,"")</f>
        <v/>
      </c>
      <c r="AD217">
        <f>ROW()</f>
        <v/>
      </c>
    </row>
    <row r="218">
      <c r="A218" s="1" t="n"/>
      <c r="B218" s="21" t="n">
        <v>46270</v>
      </c>
      <c r="C218" s="22" t="inlineStr">
        <is>
          <t>Lower</t>
        </is>
      </c>
      <c r="D218" s="23" t="inlineStr">
        <is>
          <t>Calf raise</t>
        </is>
      </c>
      <c r="E218" s="24" t="n">
        <v>100</v>
      </c>
      <c r="F218" s="24" t="n">
        <v>15</v>
      </c>
      <c r="G218" s="24" t="n">
        <v>100</v>
      </c>
      <c r="H218" s="24" t="n">
        <v>15</v>
      </c>
      <c r="I218" s="24" t="n">
        <v>100</v>
      </c>
      <c r="J218" s="24" t="n">
        <v>15</v>
      </c>
      <c r="K218" s="24" t="n"/>
      <c r="L218" s="24" t="n"/>
      <c r="M218" s="24" t="n"/>
      <c r="N218" s="24" t="n"/>
      <c r="O218" s="15">
        <f>IF(D218="","",COUNT(F218,H218,J218,L218,N218))</f>
        <v/>
      </c>
      <c r="P218" s="25">
        <f>IF(D218="","",N(E218)*N(F218)+N(G218)*N(H218)+N(I218)*N(J218)+N(K218)*N(L218)+N(M218)*N(N218))</f>
        <v/>
      </c>
      <c r="Q218" s="18">
        <f>IF(N(X218)=0,"",IF(IF(N(F218)=0,0,IF(N(E218)&gt;0,E218*(1+F218/30),F218))=X218,IF(N(E218)&gt;0,E218&amp;" x "&amp;F218,F218&amp;" reps"),IF(IF(N(H218)=0,0,IF(N(G218)&gt;0,G218*(1+H218/30),H218))=X218,IF(N(G218)&gt;0,G218&amp;" x "&amp;H218,H218&amp;" reps"),IF(IF(N(J218)=0,0,IF(N(I218)&gt;0,I218*(1+J218/30),J218))=X218,IF(N(I218)&gt;0,I218&amp;" x "&amp;J218,J218&amp;" reps"),IF(IF(N(L218)=0,0,IF(N(K218)&gt;0,K218*(1+L218/30),L218))=X218,IF(N(K218)&gt;0,K218&amp;" x "&amp;L218,L218&amp;" reps"),IF(IF(N(N218)=0,0,IF(N(M218)&gt;0,M218*(1+N218/30),N218))=X218,IF(N(M218)&gt;0,M218&amp;" x "&amp;N218,N218&amp;" reps"),""))))))</f>
        <v/>
      </c>
      <c r="R218" s="20">
        <f>IF(N(X218)=0,"",ROUND(X218,1))</f>
        <v/>
      </c>
      <c r="S218" s="18">
        <f>IF(N(X218)=0,"",IF(AND(COUNTIFS(Log!$D$6:$D$1505,D218,Log!$B$6:$B$1505,"&lt;"&amp;B218)&gt;0,COUNTIFS(Log!$D$6:$D$1505,D218,Log!$B$6:$B$1505,"&lt;"&amp;B218,Log!$X$6:$X$1505,"&gt;="&amp;X218)=0),"New best",""))</f>
        <v/>
      </c>
      <c r="T218" s="26" t="n"/>
      <c r="U218" s="1">
        <f>IF(D218="","",IFERROR(INDEX(Exercises!$C$6:$C$105,MATCH(D218,Exercises!$B$6:$B$105,0)),"Other"))</f>
        <v/>
      </c>
      <c r="V218">
        <f>IF(B218="","",IF(COUNTIF($B$6:B218,B218)=1,1,0))</f>
        <v/>
      </c>
      <c r="W218">
        <f>IF(B218="","",B218-WEEKDAY(B218,3))</f>
        <v/>
      </c>
      <c r="X218">
        <f>IF(D218="","",MAX(IF(N(F218)=0,0,IF(N(E218)&gt;0,E218*(1+F218/30),F218)),IF(N(H218)=0,0,IF(N(G218)&gt;0,G218*(1+H218/30),H218)),IF(N(J218)=0,0,IF(N(I218)&gt;0,I218*(1+J218/30),J218)),IF(N(L218)=0,0,IF(N(K218)&gt;0,K218*(1+L218/30),L218)),IF(N(N218)=0,0,IF(N(M218)&gt;0,M218*(1+N218/30),N218))))</f>
        <v/>
      </c>
      <c r="Y218">
        <f>IF(N(X218)=0,"",X218+ROW()/1000000000)</f>
        <v/>
      </c>
      <c r="Z218">
        <f>IF(Y218="","",IF(COUNTIFS(Log!$D$6:$D$1505,D218,Log!$Y$6:$Y$1505,"&gt;"&amp;Y218)=0,1,0))</f>
        <v/>
      </c>
      <c r="AA218">
        <f>IF(OR(B218="",D218=""),"",B218+ROW()/10000000)</f>
        <v/>
      </c>
      <c r="AB218">
        <f>IF(AA218="","",IF(COUNTIFS(Log!$D$6:$D$1505,D218,Log!$AA$6:$AA$1505,"&gt;"&amp;AA218)=0,1,0))</f>
        <v/>
      </c>
      <c r="AC218">
        <f>IF(S218="New best",AA218,"")</f>
        <v/>
      </c>
      <c r="AD218">
        <f>ROW()</f>
        <v/>
      </c>
    </row>
    <row r="219">
      <c r="A219" s="1" t="n"/>
      <c r="B219" s="21" t="n">
        <v>46272</v>
      </c>
      <c r="C219" s="22" t="inlineStr">
        <is>
          <t>Push</t>
        </is>
      </c>
      <c r="D219" s="23" t="inlineStr">
        <is>
          <t>Bench press</t>
        </is>
      </c>
      <c r="E219" s="24" t="n">
        <v>150</v>
      </c>
      <c r="F219" s="24" t="n">
        <v>7</v>
      </c>
      <c r="G219" s="24" t="n">
        <v>150</v>
      </c>
      <c r="H219" s="24" t="n">
        <v>6</v>
      </c>
      <c r="I219" s="24" t="n">
        <v>150</v>
      </c>
      <c r="J219" s="24" t="n">
        <v>6</v>
      </c>
      <c r="K219" s="24" t="n">
        <v>150</v>
      </c>
      <c r="L219" s="24" t="n">
        <v>6</v>
      </c>
      <c r="M219" s="24" t="n"/>
      <c r="N219" s="24" t="n"/>
      <c r="O219" s="15">
        <f>IF(D219="","",COUNT(F219,H219,J219,L219,N219))</f>
        <v/>
      </c>
      <c r="P219" s="25">
        <f>IF(D219="","",N(E219)*N(F219)+N(G219)*N(H219)+N(I219)*N(J219)+N(K219)*N(L219)+N(M219)*N(N219))</f>
        <v/>
      </c>
      <c r="Q219" s="18">
        <f>IF(N(X219)=0,"",IF(IF(N(F219)=0,0,IF(N(E219)&gt;0,E219*(1+F219/30),F219))=X219,IF(N(E219)&gt;0,E219&amp;" x "&amp;F219,F219&amp;" reps"),IF(IF(N(H219)=0,0,IF(N(G219)&gt;0,G219*(1+H219/30),H219))=X219,IF(N(G219)&gt;0,G219&amp;" x "&amp;H219,H219&amp;" reps"),IF(IF(N(J219)=0,0,IF(N(I219)&gt;0,I219*(1+J219/30),J219))=X219,IF(N(I219)&gt;0,I219&amp;" x "&amp;J219,J219&amp;" reps"),IF(IF(N(L219)=0,0,IF(N(K219)&gt;0,K219*(1+L219/30),L219))=X219,IF(N(K219)&gt;0,K219&amp;" x "&amp;L219,L219&amp;" reps"),IF(IF(N(N219)=0,0,IF(N(M219)&gt;0,M219*(1+N219/30),N219))=X219,IF(N(M219)&gt;0,M219&amp;" x "&amp;N219,N219&amp;" reps"),""))))))</f>
        <v/>
      </c>
      <c r="R219" s="20">
        <f>IF(N(X219)=0,"",ROUND(X219,1))</f>
        <v/>
      </c>
      <c r="S219" s="18">
        <f>IF(N(X219)=0,"",IF(AND(COUNTIFS(Log!$D$6:$D$1505,D219,Log!$B$6:$B$1505,"&lt;"&amp;B219)&gt;0,COUNTIFS(Log!$D$6:$D$1505,D219,Log!$B$6:$B$1505,"&lt;"&amp;B219,Log!$X$6:$X$1505,"&gt;="&amp;X219)=0),"New best",""))</f>
        <v/>
      </c>
      <c r="T219" s="26" t="n"/>
      <c r="U219" s="1">
        <f>IF(D219="","",IFERROR(INDEX(Exercises!$C$6:$C$105,MATCH(D219,Exercises!$B$6:$B$105,0)),"Other"))</f>
        <v/>
      </c>
      <c r="V219">
        <f>IF(B219="","",IF(COUNTIF($B$6:B219,B219)=1,1,0))</f>
        <v/>
      </c>
      <c r="W219">
        <f>IF(B219="","",B219-WEEKDAY(B219,3))</f>
        <v/>
      </c>
      <c r="X219">
        <f>IF(D219="","",MAX(IF(N(F219)=0,0,IF(N(E219)&gt;0,E219*(1+F219/30),F219)),IF(N(H219)=0,0,IF(N(G219)&gt;0,G219*(1+H219/30),H219)),IF(N(J219)=0,0,IF(N(I219)&gt;0,I219*(1+J219/30),J219)),IF(N(L219)=0,0,IF(N(K219)&gt;0,K219*(1+L219/30),L219)),IF(N(N219)=0,0,IF(N(M219)&gt;0,M219*(1+N219/30),N219))))</f>
        <v/>
      </c>
      <c r="Y219">
        <f>IF(N(X219)=0,"",X219+ROW()/1000000000)</f>
        <v/>
      </c>
      <c r="Z219">
        <f>IF(Y219="","",IF(COUNTIFS(Log!$D$6:$D$1505,D219,Log!$Y$6:$Y$1505,"&gt;"&amp;Y219)=0,1,0))</f>
        <v/>
      </c>
      <c r="AA219">
        <f>IF(OR(B219="",D219=""),"",B219+ROW()/10000000)</f>
        <v/>
      </c>
      <c r="AB219">
        <f>IF(AA219="","",IF(COUNTIFS(Log!$D$6:$D$1505,D219,Log!$AA$6:$AA$1505,"&gt;"&amp;AA219)=0,1,0))</f>
        <v/>
      </c>
      <c r="AC219">
        <f>IF(S219="New best",AA219,"")</f>
        <v/>
      </c>
      <c r="AD219">
        <f>ROW()</f>
        <v/>
      </c>
    </row>
    <row r="220">
      <c r="A220" s="1" t="n"/>
      <c r="B220" s="21" t="n">
        <v>46272</v>
      </c>
      <c r="C220" s="22" t="inlineStr">
        <is>
          <t>Push</t>
        </is>
      </c>
      <c r="D220" s="23" t="inlineStr">
        <is>
          <t>Overhead press</t>
        </is>
      </c>
      <c r="E220" s="24" t="n">
        <v>100</v>
      </c>
      <c r="F220" s="24" t="n">
        <v>9</v>
      </c>
      <c r="G220" s="24" t="n">
        <v>100</v>
      </c>
      <c r="H220" s="24" t="n">
        <v>9</v>
      </c>
      <c r="I220" s="24" t="n">
        <v>100</v>
      </c>
      <c r="J220" s="24" t="n">
        <v>8</v>
      </c>
      <c r="K220" s="24" t="n"/>
      <c r="L220" s="24" t="n"/>
      <c r="M220" s="24" t="n"/>
      <c r="N220" s="24" t="n"/>
      <c r="O220" s="15">
        <f>IF(D220="","",COUNT(F220,H220,J220,L220,N220))</f>
        <v/>
      </c>
      <c r="P220" s="25">
        <f>IF(D220="","",N(E220)*N(F220)+N(G220)*N(H220)+N(I220)*N(J220)+N(K220)*N(L220)+N(M220)*N(N220))</f>
        <v/>
      </c>
      <c r="Q220" s="18">
        <f>IF(N(X220)=0,"",IF(IF(N(F220)=0,0,IF(N(E220)&gt;0,E220*(1+F220/30),F220))=X220,IF(N(E220)&gt;0,E220&amp;" x "&amp;F220,F220&amp;" reps"),IF(IF(N(H220)=0,0,IF(N(G220)&gt;0,G220*(1+H220/30),H220))=X220,IF(N(G220)&gt;0,G220&amp;" x "&amp;H220,H220&amp;" reps"),IF(IF(N(J220)=0,0,IF(N(I220)&gt;0,I220*(1+J220/30),J220))=X220,IF(N(I220)&gt;0,I220&amp;" x "&amp;J220,J220&amp;" reps"),IF(IF(N(L220)=0,0,IF(N(K220)&gt;0,K220*(1+L220/30),L220))=X220,IF(N(K220)&gt;0,K220&amp;" x "&amp;L220,L220&amp;" reps"),IF(IF(N(N220)=0,0,IF(N(M220)&gt;0,M220*(1+N220/30),N220))=X220,IF(N(M220)&gt;0,M220&amp;" x "&amp;N220,N220&amp;" reps"),""))))))</f>
        <v/>
      </c>
      <c r="R220" s="20">
        <f>IF(N(X220)=0,"",ROUND(X220,1))</f>
        <v/>
      </c>
      <c r="S220" s="18">
        <f>IF(N(X220)=0,"",IF(AND(COUNTIFS(Log!$D$6:$D$1505,D220,Log!$B$6:$B$1505,"&lt;"&amp;B220)&gt;0,COUNTIFS(Log!$D$6:$D$1505,D220,Log!$B$6:$B$1505,"&lt;"&amp;B220,Log!$X$6:$X$1505,"&gt;="&amp;X220)=0),"New best",""))</f>
        <v/>
      </c>
      <c r="T220" s="26" t="n"/>
      <c r="U220" s="1">
        <f>IF(D220="","",IFERROR(INDEX(Exercises!$C$6:$C$105,MATCH(D220,Exercises!$B$6:$B$105,0)),"Other"))</f>
        <v/>
      </c>
      <c r="V220">
        <f>IF(B220="","",IF(COUNTIF($B$6:B220,B220)=1,1,0))</f>
        <v/>
      </c>
      <c r="W220">
        <f>IF(B220="","",B220-WEEKDAY(B220,3))</f>
        <v/>
      </c>
      <c r="X220">
        <f>IF(D220="","",MAX(IF(N(F220)=0,0,IF(N(E220)&gt;0,E220*(1+F220/30),F220)),IF(N(H220)=0,0,IF(N(G220)&gt;0,G220*(1+H220/30),H220)),IF(N(J220)=0,0,IF(N(I220)&gt;0,I220*(1+J220/30),J220)),IF(N(L220)=0,0,IF(N(K220)&gt;0,K220*(1+L220/30),L220)),IF(N(N220)=0,0,IF(N(M220)&gt;0,M220*(1+N220/30),N220))))</f>
        <v/>
      </c>
      <c r="Y220">
        <f>IF(N(X220)=0,"",X220+ROW()/1000000000)</f>
        <v/>
      </c>
      <c r="Z220">
        <f>IF(Y220="","",IF(COUNTIFS(Log!$D$6:$D$1505,D220,Log!$Y$6:$Y$1505,"&gt;"&amp;Y220)=0,1,0))</f>
        <v/>
      </c>
      <c r="AA220">
        <f>IF(OR(B220="",D220=""),"",B220+ROW()/10000000)</f>
        <v/>
      </c>
      <c r="AB220">
        <f>IF(AA220="","",IF(COUNTIFS(Log!$D$6:$D$1505,D220,Log!$AA$6:$AA$1505,"&gt;"&amp;AA220)=0,1,0))</f>
        <v/>
      </c>
      <c r="AC220">
        <f>IF(S220="New best",AA220,"")</f>
        <v/>
      </c>
      <c r="AD220">
        <f>ROW()</f>
        <v/>
      </c>
    </row>
    <row r="221">
      <c r="A221" s="1" t="n"/>
      <c r="B221" s="21" t="n">
        <v>46272</v>
      </c>
      <c r="C221" s="22" t="inlineStr">
        <is>
          <t>Push</t>
        </is>
      </c>
      <c r="D221" s="23" t="inlineStr">
        <is>
          <t>Incline dumbbell press</t>
        </is>
      </c>
      <c r="E221" s="24" t="n">
        <v>60</v>
      </c>
      <c r="F221" s="24" t="n">
        <v>11</v>
      </c>
      <c r="G221" s="24" t="n">
        <v>60</v>
      </c>
      <c r="H221" s="24" t="n">
        <v>11</v>
      </c>
      <c r="I221" s="24" t="n">
        <v>60</v>
      </c>
      <c r="J221" s="24" t="n">
        <v>9</v>
      </c>
      <c r="K221" s="24" t="n"/>
      <c r="L221" s="24" t="n"/>
      <c r="M221" s="24" t="n"/>
      <c r="N221" s="24" t="n"/>
      <c r="O221" s="15">
        <f>IF(D221="","",COUNT(F221,H221,J221,L221,N221))</f>
        <v/>
      </c>
      <c r="P221" s="25">
        <f>IF(D221="","",N(E221)*N(F221)+N(G221)*N(H221)+N(I221)*N(J221)+N(K221)*N(L221)+N(M221)*N(N221))</f>
        <v/>
      </c>
      <c r="Q221" s="18">
        <f>IF(N(X221)=0,"",IF(IF(N(F221)=0,0,IF(N(E221)&gt;0,E221*(1+F221/30),F221))=X221,IF(N(E221)&gt;0,E221&amp;" x "&amp;F221,F221&amp;" reps"),IF(IF(N(H221)=0,0,IF(N(G221)&gt;0,G221*(1+H221/30),H221))=X221,IF(N(G221)&gt;0,G221&amp;" x "&amp;H221,H221&amp;" reps"),IF(IF(N(J221)=0,0,IF(N(I221)&gt;0,I221*(1+J221/30),J221))=X221,IF(N(I221)&gt;0,I221&amp;" x "&amp;J221,J221&amp;" reps"),IF(IF(N(L221)=0,0,IF(N(K221)&gt;0,K221*(1+L221/30),L221))=X221,IF(N(K221)&gt;0,K221&amp;" x "&amp;L221,L221&amp;" reps"),IF(IF(N(N221)=0,0,IF(N(M221)&gt;0,M221*(1+N221/30),N221))=X221,IF(N(M221)&gt;0,M221&amp;" x "&amp;N221,N221&amp;" reps"),""))))))</f>
        <v/>
      </c>
      <c r="R221" s="20">
        <f>IF(N(X221)=0,"",ROUND(X221,1))</f>
        <v/>
      </c>
      <c r="S221" s="18">
        <f>IF(N(X221)=0,"",IF(AND(COUNTIFS(Log!$D$6:$D$1505,D221,Log!$B$6:$B$1505,"&lt;"&amp;B221)&gt;0,COUNTIFS(Log!$D$6:$D$1505,D221,Log!$B$6:$B$1505,"&lt;"&amp;B221,Log!$X$6:$X$1505,"&gt;="&amp;X221)=0),"New best",""))</f>
        <v/>
      </c>
      <c r="T221" s="26" t="n"/>
      <c r="U221" s="1">
        <f>IF(D221="","",IFERROR(INDEX(Exercises!$C$6:$C$105,MATCH(D221,Exercises!$B$6:$B$105,0)),"Other"))</f>
        <v/>
      </c>
      <c r="V221">
        <f>IF(B221="","",IF(COUNTIF($B$6:B221,B221)=1,1,0))</f>
        <v/>
      </c>
      <c r="W221">
        <f>IF(B221="","",B221-WEEKDAY(B221,3))</f>
        <v/>
      </c>
      <c r="X221">
        <f>IF(D221="","",MAX(IF(N(F221)=0,0,IF(N(E221)&gt;0,E221*(1+F221/30),F221)),IF(N(H221)=0,0,IF(N(G221)&gt;0,G221*(1+H221/30),H221)),IF(N(J221)=0,0,IF(N(I221)&gt;0,I221*(1+J221/30),J221)),IF(N(L221)=0,0,IF(N(K221)&gt;0,K221*(1+L221/30),L221)),IF(N(N221)=0,0,IF(N(M221)&gt;0,M221*(1+N221/30),N221))))</f>
        <v/>
      </c>
      <c r="Y221">
        <f>IF(N(X221)=0,"",X221+ROW()/1000000000)</f>
        <v/>
      </c>
      <c r="Z221">
        <f>IF(Y221="","",IF(COUNTIFS(Log!$D$6:$D$1505,D221,Log!$Y$6:$Y$1505,"&gt;"&amp;Y221)=0,1,0))</f>
        <v/>
      </c>
      <c r="AA221">
        <f>IF(OR(B221="",D221=""),"",B221+ROW()/10000000)</f>
        <v/>
      </c>
      <c r="AB221">
        <f>IF(AA221="","",IF(COUNTIFS(Log!$D$6:$D$1505,D221,Log!$AA$6:$AA$1505,"&gt;"&amp;AA221)=0,1,0))</f>
        <v/>
      </c>
      <c r="AC221">
        <f>IF(S221="New best",AA221,"")</f>
        <v/>
      </c>
      <c r="AD221">
        <f>ROW()</f>
        <v/>
      </c>
    </row>
    <row r="222">
      <c r="A222" s="1" t="n"/>
      <c r="B222" s="21" t="n">
        <v>46272</v>
      </c>
      <c r="C222" s="22" t="inlineStr">
        <is>
          <t>Push</t>
        </is>
      </c>
      <c r="D222" s="23" t="inlineStr">
        <is>
          <t>Lateral raise</t>
        </is>
      </c>
      <c r="E222" s="24" t="n">
        <v>22.5</v>
      </c>
      <c r="F222" s="24" t="n">
        <v>14</v>
      </c>
      <c r="G222" s="24" t="n">
        <v>22.5</v>
      </c>
      <c r="H222" s="24" t="n">
        <v>13</v>
      </c>
      <c r="I222" s="24" t="n">
        <v>22.5</v>
      </c>
      <c r="J222" s="24" t="n">
        <v>13</v>
      </c>
      <c r="K222" s="24" t="n"/>
      <c r="L222" s="24" t="n"/>
      <c r="M222" s="24" t="n"/>
      <c r="N222" s="24" t="n"/>
      <c r="O222" s="15">
        <f>IF(D222="","",COUNT(F222,H222,J222,L222,N222))</f>
        <v/>
      </c>
      <c r="P222" s="25">
        <f>IF(D222="","",N(E222)*N(F222)+N(G222)*N(H222)+N(I222)*N(J222)+N(K222)*N(L222)+N(M222)*N(N222))</f>
        <v/>
      </c>
      <c r="Q222" s="18">
        <f>IF(N(X222)=0,"",IF(IF(N(F222)=0,0,IF(N(E222)&gt;0,E222*(1+F222/30),F222))=X222,IF(N(E222)&gt;0,E222&amp;" x "&amp;F222,F222&amp;" reps"),IF(IF(N(H222)=0,0,IF(N(G222)&gt;0,G222*(1+H222/30),H222))=X222,IF(N(G222)&gt;0,G222&amp;" x "&amp;H222,H222&amp;" reps"),IF(IF(N(J222)=0,0,IF(N(I222)&gt;0,I222*(1+J222/30),J222))=X222,IF(N(I222)&gt;0,I222&amp;" x "&amp;J222,J222&amp;" reps"),IF(IF(N(L222)=0,0,IF(N(K222)&gt;0,K222*(1+L222/30),L222))=X222,IF(N(K222)&gt;0,K222&amp;" x "&amp;L222,L222&amp;" reps"),IF(IF(N(N222)=0,0,IF(N(M222)&gt;0,M222*(1+N222/30),N222))=X222,IF(N(M222)&gt;0,M222&amp;" x "&amp;N222,N222&amp;" reps"),""))))))</f>
        <v/>
      </c>
      <c r="R222" s="20">
        <f>IF(N(X222)=0,"",ROUND(X222,1))</f>
        <v/>
      </c>
      <c r="S222" s="18">
        <f>IF(N(X222)=0,"",IF(AND(COUNTIFS(Log!$D$6:$D$1505,D222,Log!$B$6:$B$1505,"&lt;"&amp;B222)&gt;0,COUNTIFS(Log!$D$6:$D$1505,D222,Log!$B$6:$B$1505,"&lt;"&amp;B222,Log!$X$6:$X$1505,"&gt;="&amp;X222)=0),"New best",""))</f>
        <v/>
      </c>
      <c r="T222" s="26" t="n"/>
      <c r="U222" s="1">
        <f>IF(D222="","",IFERROR(INDEX(Exercises!$C$6:$C$105,MATCH(D222,Exercises!$B$6:$B$105,0)),"Other"))</f>
        <v/>
      </c>
      <c r="V222">
        <f>IF(B222="","",IF(COUNTIF($B$6:B222,B222)=1,1,0))</f>
        <v/>
      </c>
      <c r="W222">
        <f>IF(B222="","",B222-WEEKDAY(B222,3))</f>
        <v/>
      </c>
      <c r="X222">
        <f>IF(D222="","",MAX(IF(N(F222)=0,0,IF(N(E222)&gt;0,E222*(1+F222/30),F222)),IF(N(H222)=0,0,IF(N(G222)&gt;0,G222*(1+H222/30),H222)),IF(N(J222)=0,0,IF(N(I222)&gt;0,I222*(1+J222/30),J222)),IF(N(L222)=0,0,IF(N(K222)&gt;0,K222*(1+L222/30),L222)),IF(N(N222)=0,0,IF(N(M222)&gt;0,M222*(1+N222/30),N222))))</f>
        <v/>
      </c>
      <c r="Y222">
        <f>IF(N(X222)=0,"",X222+ROW()/1000000000)</f>
        <v/>
      </c>
      <c r="Z222">
        <f>IF(Y222="","",IF(COUNTIFS(Log!$D$6:$D$1505,D222,Log!$Y$6:$Y$1505,"&gt;"&amp;Y222)=0,1,0))</f>
        <v/>
      </c>
      <c r="AA222">
        <f>IF(OR(B222="",D222=""),"",B222+ROW()/10000000)</f>
        <v/>
      </c>
      <c r="AB222">
        <f>IF(AA222="","",IF(COUNTIFS(Log!$D$6:$D$1505,D222,Log!$AA$6:$AA$1505,"&gt;"&amp;AA222)=0,1,0))</f>
        <v/>
      </c>
      <c r="AC222">
        <f>IF(S222="New best",AA222,"")</f>
        <v/>
      </c>
      <c r="AD222">
        <f>ROW()</f>
        <v/>
      </c>
    </row>
    <row r="223">
      <c r="A223" s="1" t="n"/>
      <c r="B223" s="21" t="n">
        <v>46272</v>
      </c>
      <c r="C223" s="22" t="inlineStr">
        <is>
          <t>Push</t>
        </is>
      </c>
      <c r="D223" s="23" t="inlineStr">
        <is>
          <t>Triceps pushdown</t>
        </is>
      </c>
      <c r="E223" s="24" t="n">
        <v>55</v>
      </c>
      <c r="F223" s="24" t="n">
        <v>12</v>
      </c>
      <c r="G223" s="24" t="n">
        <v>55</v>
      </c>
      <c r="H223" s="24" t="n">
        <v>10</v>
      </c>
      <c r="I223" s="24" t="n">
        <v>55</v>
      </c>
      <c r="J223" s="24" t="n">
        <v>10</v>
      </c>
      <c r="K223" s="24" t="n"/>
      <c r="L223" s="24" t="n"/>
      <c r="M223" s="24" t="n"/>
      <c r="N223" s="24" t="n"/>
      <c r="O223" s="15">
        <f>IF(D223="","",COUNT(F223,H223,J223,L223,N223))</f>
        <v/>
      </c>
      <c r="P223" s="25">
        <f>IF(D223="","",N(E223)*N(F223)+N(G223)*N(H223)+N(I223)*N(J223)+N(K223)*N(L223)+N(M223)*N(N223))</f>
        <v/>
      </c>
      <c r="Q223" s="18">
        <f>IF(N(X223)=0,"",IF(IF(N(F223)=0,0,IF(N(E223)&gt;0,E223*(1+F223/30),F223))=X223,IF(N(E223)&gt;0,E223&amp;" x "&amp;F223,F223&amp;" reps"),IF(IF(N(H223)=0,0,IF(N(G223)&gt;0,G223*(1+H223/30),H223))=X223,IF(N(G223)&gt;0,G223&amp;" x "&amp;H223,H223&amp;" reps"),IF(IF(N(J223)=0,0,IF(N(I223)&gt;0,I223*(1+J223/30),J223))=X223,IF(N(I223)&gt;0,I223&amp;" x "&amp;J223,J223&amp;" reps"),IF(IF(N(L223)=0,0,IF(N(K223)&gt;0,K223*(1+L223/30),L223))=X223,IF(N(K223)&gt;0,K223&amp;" x "&amp;L223,L223&amp;" reps"),IF(IF(N(N223)=0,0,IF(N(M223)&gt;0,M223*(1+N223/30),N223))=X223,IF(N(M223)&gt;0,M223&amp;" x "&amp;N223,N223&amp;" reps"),""))))))</f>
        <v/>
      </c>
      <c r="R223" s="20">
        <f>IF(N(X223)=0,"",ROUND(X223,1))</f>
        <v/>
      </c>
      <c r="S223" s="18">
        <f>IF(N(X223)=0,"",IF(AND(COUNTIFS(Log!$D$6:$D$1505,D223,Log!$B$6:$B$1505,"&lt;"&amp;B223)&gt;0,COUNTIFS(Log!$D$6:$D$1505,D223,Log!$B$6:$B$1505,"&lt;"&amp;B223,Log!$X$6:$X$1505,"&gt;="&amp;X223)=0),"New best",""))</f>
        <v/>
      </c>
      <c r="T223" s="26" t="n"/>
      <c r="U223" s="1">
        <f>IF(D223="","",IFERROR(INDEX(Exercises!$C$6:$C$105,MATCH(D223,Exercises!$B$6:$B$105,0)),"Other"))</f>
        <v/>
      </c>
      <c r="V223">
        <f>IF(B223="","",IF(COUNTIF($B$6:B223,B223)=1,1,0))</f>
        <v/>
      </c>
      <c r="W223">
        <f>IF(B223="","",B223-WEEKDAY(B223,3))</f>
        <v/>
      </c>
      <c r="X223">
        <f>IF(D223="","",MAX(IF(N(F223)=0,0,IF(N(E223)&gt;0,E223*(1+F223/30),F223)),IF(N(H223)=0,0,IF(N(G223)&gt;0,G223*(1+H223/30),H223)),IF(N(J223)=0,0,IF(N(I223)&gt;0,I223*(1+J223/30),J223)),IF(N(L223)=0,0,IF(N(K223)&gt;0,K223*(1+L223/30),L223)),IF(N(N223)=0,0,IF(N(M223)&gt;0,M223*(1+N223/30),N223))))</f>
        <v/>
      </c>
      <c r="Y223">
        <f>IF(N(X223)=0,"",X223+ROW()/1000000000)</f>
        <v/>
      </c>
      <c r="Z223">
        <f>IF(Y223="","",IF(COUNTIFS(Log!$D$6:$D$1505,D223,Log!$Y$6:$Y$1505,"&gt;"&amp;Y223)=0,1,0))</f>
        <v/>
      </c>
      <c r="AA223">
        <f>IF(OR(B223="",D223=""),"",B223+ROW()/10000000)</f>
        <v/>
      </c>
      <c r="AB223">
        <f>IF(AA223="","",IF(COUNTIFS(Log!$D$6:$D$1505,D223,Log!$AA$6:$AA$1505,"&gt;"&amp;AA223)=0,1,0))</f>
        <v/>
      </c>
      <c r="AC223">
        <f>IF(S223="New best",AA223,"")</f>
        <v/>
      </c>
      <c r="AD223">
        <f>ROW()</f>
        <v/>
      </c>
    </row>
    <row r="224">
      <c r="A224" s="1" t="n"/>
      <c r="B224" s="21" t="n">
        <v>46273</v>
      </c>
      <c r="C224" s="22" t="inlineStr">
        <is>
          <t>Pull</t>
        </is>
      </c>
      <c r="D224" s="23" t="inlineStr">
        <is>
          <t>Deadlift</t>
        </is>
      </c>
      <c r="E224" s="24" t="n">
        <v>255</v>
      </c>
      <c r="F224" s="24" t="n">
        <v>5</v>
      </c>
      <c r="G224" s="24" t="n">
        <v>255</v>
      </c>
      <c r="H224" s="24" t="n">
        <v>5</v>
      </c>
      <c r="I224" s="24" t="n">
        <v>255</v>
      </c>
      <c r="J224" s="24" t="n">
        <v>5</v>
      </c>
      <c r="K224" s="24" t="n"/>
      <c r="L224" s="24" t="n"/>
      <c r="M224" s="24" t="n"/>
      <c r="N224" s="24" t="n"/>
      <c r="O224" s="15">
        <f>IF(D224="","",COUNT(F224,H224,J224,L224,N224))</f>
        <v/>
      </c>
      <c r="P224" s="25">
        <f>IF(D224="","",N(E224)*N(F224)+N(G224)*N(H224)+N(I224)*N(J224)+N(K224)*N(L224)+N(M224)*N(N224))</f>
        <v/>
      </c>
      <c r="Q224" s="18">
        <f>IF(N(X224)=0,"",IF(IF(N(F224)=0,0,IF(N(E224)&gt;0,E224*(1+F224/30),F224))=X224,IF(N(E224)&gt;0,E224&amp;" x "&amp;F224,F224&amp;" reps"),IF(IF(N(H224)=0,0,IF(N(G224)&gt;0,G224*(1+H224/30),H224))=X224,IF(N(G224)&gt;0,G224&amp;" x "&amp;H224,H224&amp;" reps"),IF(IF(N(J224)=0,0,IF(N(I224)&gt;0,I224*(1+J224/30),J224))=X224,IF(N(I224)&gt;0,I224&amp;" x "&amp;J224,J224&amp;" reps"),IF(IF(N(L224)=0,0,IF(N(K224)&gt;0,K224*(1+L224/30),L224))=X224,IF(N(K224)&gt;0,K224&amp;" x "&amp;L224,L224&amp;" reps"),IF(IF(N(N224)=0,0,IF(N(M224)&gt;0,M224*(1+N224/30),N224))=X224,IF(N(M224)&gt;0,M224&amp;" x "&amp;N224,N224&amp;" reps"),""))))))</f>
        <v/>
      </c>
      <c r="R224" s="20">
        <f>IF(N(X224)=0,"",ROUND(X224,1))</f>
        <v/>
      </c>
      <c r="S224" s="18">
        <f>IF(N(X224)=0,"",IF(AND(COUNTIFS(Log!$D$6:$D$1505,D224,Log!$B$6:$B$1505,"&lt;"&amp;B224)&gt;0,COUNTIFS(Log!$D$6:$D$1505,D224,Log!$B$6:$B$1505,"&lt;"&amp;B224,Log!$X$6:$X$1505,"&gt;="&amp;X224)=0),"New best",""))</f>
        <v/>
      </c>
      <c r="T224" s="26" t="n"/>
      <c r="U224" s="1">
        <f>IF(D224="","",IFERROR(INDEX(Exercises!$C$6:$C$105,MATCH(D224,Exercises!$B$6:$B$105,0)),"Other"))</f>
        <v/>
      </c>
      <c r="V224">
        <f>IF(B224="","",IF(COUNTIF($B$6:B224,B224)=1,1,0))</f>
        <v/>
      </c>
      <c r="W224">
        <f>IF(B224="","",B224-WEEKDAY(B224,3))</f>
        <v/>
      </c>
      <c r="X224">
        <f>IF(D224="","",MAX(IF(N(F224)=0,0,IF(N(E224)&gt;0,E224*(1+F224/30),F224)),IF(N(H224)=0,0,IF(N(G224)&gt;0,G224*(1+H224/30),H224)),IF(N(J224)=0,0,IF(N(I224)&gt;0,I224*(1+J224/30),J224)),IF(N(L224)=0,0,IF(N(K224)&gt;0,K224*(1+L224/30),L224)),IF(N(N224)=0,0,IF(N(M224)&gt;0,M224*(1+N224/30),N224))))</f>
        <v/>
      </c>
      <c r="Y224">
        <f>IF(N(X224)=0,"",X224+ROW()/1000000000)</f>
        <v/>
      </c>
      <c r="Z224">
        <f>IF(Y224="","",IF(COUNTIFS(Log!$D$6:$D$1505,D224,Log!$Y$6:$Y$1505,"&gt;"&amp;Y224)=0,1,0))</f>
        <v/>
      </c>
      <c r="AA224">
        <f>IF(OR(B224="",D224=""),"",B224+ROW()/10000000)</f>
        <v/>
      </c>
      <c r="AB224">
        <f>IF(AA224="","",IF(COUNTIFS(Log!$D$6:$D$1505,D224,Log!$AA$6:$AA$1505,"&gt;"&amp;AA224)=0,1,0))</f>
        <v/>
      </c>
      <c r="AC224">
        <f>IF(S224="New best",AA224,"")</f>
        <v/>
      </c>
      <c r="AD224">
        <f>ROW()</f>
        <v/>
      </c>
    </row>
    <row r="225">
      <c r="A225" s="1" t="n"/>
      <c r="B225" s="21" t="n">
        <v>46273</v>
      </c>
      <c r="C225" s="22" t="inlineStr">
        <is>
          <t>Pull</t>
        </is>
      </c>
      <c r="D225" s="23" t="inlineStr">
        <is>
          <t>Pull-up</t>
        </is>
      </c>
      <c r="E225" s="24" t="n"/>
      <c r="F225" s="24" t="n">
        <v>9</v>
      </c>
      <c r="G225" s="24" t="n"/>
      <c r="H225" s="24" t="n">
        <v>7</v>
      </c>
      <c r="I225" s="24" t="n"/>
      <c r="J225" s="24" t="n">
        <v>7</v>
      </c>
      <c r="K225" s="24" t="n"/>
      <c r="L225" s="24" t="n"/>
      <c r="M225" s="24" t="n"/>
      <c r="N225" s="24" t="n"/>
      <c r="O225" s="15">
        <f>IF(D225="","",COUNT(F225,H225,J225,L225,N225))</f>
        <v/>
      </c>
      <c r="P225" s="25">
        <f>IF(D225="","",N(E225)*N(F225)+N(G225)*N(H225)+N(I225)*N(J225)+N(K225)*N(L225)+N(M225)*N(N225))</f>
        <v/>
      </c>
      <c r="Q225" s="18">
        <f>IF(N(X225)=0,"",IF(IF(N(F225)=0,0,IF(N(E225)&gt;0,E225*(1+F225/30),F225))=X225,IF(N(E225)&gt;0,E225&amp;" x "&amp;F225,F225&amp;" reps"),IF(IF(N(H225)=0,0,IF(N(G225)&gt;0,G225*(1+H225/30),H225))=X225,IF(N(G225)&gt;0,G225&amp;" x "&amp;H225,H225&amp;" reps"),IF(IF(N(J225)=0,0,IF(N(I225)&gt;0,I225*(1+J225/30),J225))=X225,IF(N(I225)&gt;0,I225&amp;" x "&amp;J225,J225&amp;" reps"),IF(IF(N(L225)=0,0,IF(N(K225)&gt;0,K225*(1+L225/30),L225))=X225,IF(N(K225)&gt;0,K225&amp;" x "&amp;L225,L225&amp;" reps"),IF(IF(N(N225)=0,0,IF(N(M225)&gt;0,M225*(1+N225/30),N225))=X225,IF(N(M225)&gt;0,M225&amp;" x "&amp;N225,N225&amp;" reps"),""))))))</f>
        <v/>
      </c>
      <c r="R225" s="20">
        <f>IF(N(X225)=0,"",ROUND(X225,1))</f>
        <v/>
      </c>
      <c r="S225" s="18">
        <f>IF(N(X225)=0,"",IF(AND(COUNTIFS(Log!$D$6:$D$1505,D225,Log!$B$6:$B$1505,"&lt;"&amp;B225)&gt;0,COUNTIFS(Log!$D$6:$D$1505,D225,Log!$B$6:$B$1505,"&lt;"&amp;B225,Log!$X$6:$X$1505,"&gt;="&amp;X225)=0),"New best",""))</f>
        <v/>
      </c>
      <c r="T225" s="26" t="n"/>
      <c r="U225" s="1">
        <f>IF(D225="","",IFERROR(INDEX(Exercises!$C$6:$C$105,MATCH(D225,Exercises!$B$6:$B$105,0)),"Other"))</f>
        <v/>
      </c>
      <c r="V225">
        <f>IF(B225="","",IF(COUNTIF($B$6:B225,B225)=1,1,0))</f>
        <v/>
      </c>
      <c r="W225">
        <f>IF(B225="","",B225-WEEKDAY(B225,3))</f>
        <v/>
      </c>
      <c r="X225">
        <f>IF(D225="","",MAX(IF(N(F225)=0,0,IF(N(E225)&gt;0,E225*(1+F225/30),F225)),IF(N(H225)=0,0,IF(N(G225)&gt;0,G225*(1+H225/30),H225)),IF(N(J225)=0,0,IF(N(I225)&gt;0,I225*(1+J225/30),J225)),IF(N(L225)=0,0,IF(N(K225)&gt;0,K225*(1+L225/30),L225)),IF(N(N225)=0,0,IF(N(M225)&gt;0,M225*(1+N225/30),N225))))</f>
        <v/>
      </c>
      <c r="Y225">
        <f>IF(N(X225)=0,"",X225+ROW()/1000000000)</f>
        <v/>
      </c>
      <c r="Z225">
        <f>IF(Y225="","",IF(COUNTIFS(Log!$D$6:$D$1505,D225,Log!$Y$6:$Y$1505,"&gt;"&amp;Y225)=0,1,0))</f>
        <v/>
      </c>
      <c r="AA225">
        <f>IF(OR(B225="",D225=""),"",B225+ROW()/10000000)</f>
        <v/>
      </c>
      <c r="AB225">
        <f>IF(AA225="","",IF(COUNTIFS(Log!$D$6:$D$1505,D225,Log!$AA$6:$AA$1505,"&gt;"&amp;AA225)=0,1,0))</f>
        <v/>
      </c>
      <c r="AC225">
        <f>IF(S225="New best",AA225,"")</f>
        <v/>
      </c>
      <c r="AD225">
        <f>ROW()</f>
        <v/>
      </c>
    </row>
    <row r="226">
      <c r="A226" s="1" t="n"/>
      <c r="B226" s="21" t="n">
        <v>46273</v>
      </c>
      <c r="C226" s="22" t="inlineStr">
        <is>
          <t>Pull</t>
        </is>
      </c>
      <c r="D226" s="23" t="inlineStr">
        <is>
          <t>Barbell row</t>
        </is>
      </c>
      <c r="E226" s="24" t="n">
        <v>130</v>
      </c>
      <c r="F226" s="24" t="n">
        <v>10</v>
      </c>
      <c r="G226" s="24" t="n">
        <v>130</v>
      </c>
      <c r="H226" s="24" t="n">
        <v>9</v>
      </c>
      <c r="I226" s="24" t="n">
        <v>130</v>
      </c>
      <c r="J226" s="24" t="n">
        <v>8</v>
      </c>
      <c r="K226" s="24" t="n"/>
      <c r="L226" s="24" t="n"/>
      <c r="M226" s="24" t="n"/>
      <c r="N226" s="24" t="n"/>
      <c r="O226" s="15">
        <f>IF(D226="","",COUNT(F226,H226,J226,L226,N226))</f>
        <v/>
      </c>
      <c r="P226" s="25">
        <f>IF(D226="","",N(E226)*N(F226)+N(G226)*N(H226)+N(I226)*N(J226)+N(K226)*N(L226)+N(M226)*N(N226))</f>
        <v/>
      </c>
      <c r="Q226" s="18">
        <f>IF(N(X226)=0,"",IF(IF(N(F226)=0,0,IF(N(E226)&gt;0,E226*(1+F226/30),F226))=X226,IF(N(E226)&gt;0,E226&amp;" x "&amp;F226,F226&amp;" reps"),IF(IF(N(H226)=0,0,IF(N(G226)&gt;0,G226*(1+H226/30),H226))=X226,IF(N(G226)&gt;0,G226&amp;" x "&amp;H226,H226&amp;" reps"),IF(IF(N(J226)=0,0,IF(N(I226)&gt;0,I226*(1+J226/30),J226))=X226,IF(N(I226)&gt;0,I226&amp;" x "&amp;J226,J226&amp;" reps"),IF(IF(N(L226)=0,0,IF(N(K226)&gt;0,K226*(1+L226/30),L226))=X226,IF(N(K226)&gt;0,K226&amp;" x "&amp;L226,L226&amp;" reps"),IF(IF(N(N226)=0,0,IF(N(M226)&gt;0,M226*(1+N226/30),N226))=X226,IF(N(M226)&gt;0,M226&amp;" x "&amp;N226,N226&amp;" reps"),""))))))</f>
        <v/>
      </c>
      <c r="R226" s="20">
        <f>IF(N(X226)=0,"",ROUND(X226,1))</f>
        <v/>
      </c>
      <c r="S226" s="18">
        <f>IF(N(X226)=0,"",IF(AND(COUNTIFS(Log!$D$6:$D$1505,D226,Log!$B$6:$B$1505,"&lt;"&amp;B226)&gt;0,COUNTIFS(Log!$D$6:$D$1505,D226,Log!$B$6:$B$1505,"&lt;"&amp;B226,Log!$X$6:$X$1505,"&gt;="&amp;X226)=0),"New best",""))</f>
        <v/>
      </c>
      <c r="T226" s="26" t="inlineStr">
        <is>
          <t>Short on time</t>
        </is>
      </c>
      <c r="U226" s="1">
        <f>IF(D226="","",IFERROR(INDEX(Exercises!$C$6:$C$105,MATCH(D226,Exercises!$B$6:$B$105,0)),"Other"))</f>
        <v/>
      </c>
      <c r="V226">
        <f>IF(B226="","",IF(COUNTIF($B$6:B226,B226)=1,1,0))</f>
        <v/>
      </c>
      <c r="W226">
        <f>IF(B226="","",B226-WEEKDAY(B226,3))</f>
        <v/>
      </c>
      <c r="X226">
        <f>IF(D226="","",MAX(IF(N(F226)=0,0,IF(N(E226)&gt;0,E226*(1+F226/30),F226)),IF(N(H226)=0,0,IF(N(G226)&gt;0,G226*(1+H226/30),H226)),IF(N(J226)=0,0,IF(N(I226)&gt;0,I226*(1+J226/30),J226)),IF(N(L226)=0,0,IF(N(K226)&gt;0,K226*(1+L226/30),L226)),IF(N(N226)=0,0,IF(N(M226)&gt;0,M226*(1+N226/30),N226))))</f>
        <v/>
      </c>
      <c r="Y226">
        <f>IF(N(X226)=0,"",X226+ROW()/1000000000)</f>
        <v/>
      </c>
      <c r="Z226">
        <f>IF(Y226="","",IF(COUNTIFS(Log!$D$6:$D$1505,D226,Log!$Y$6:$Y$1505,"&gt;"&amp;Y226)=0,1,0))</f>
        <v/>
      </c>
      <c r="AA226">
        <f>IF(OR(B226="",D226=""),"",B226+ROW()/10000000)</f>
        <v/>
      </c>
      <c r="AB226">
        <f>IF(AA226="","",IF(COUNTIFS(Log!$D$6:$D$1505,D226,Log!$AA$6:$AA$1505,"&gt;"&amp;AA226)=0,1,0))</f>
        <v/>
      </c>
      <c r="AC226">
        <f>IF(S226="New best",AA226,"")</f>
        <v/>
      </c>
      <c r="AD226">
        <f>ROW()</f>
        <v/>
      </c>
    </row>
    <row r="227">
      <c r="A227" s="1" t="n"/>
      <c r="B227" s="21" t="n">
        <v>46273</v>
      </c>
      <c r="C227" s="22" t="inlineStr">
        <is>
          <t>Pull</t>
        </is>
      </c>
      <c r="D227" s="23" t="inlineStr">
        <is>
          <t>Lat pulldown</t>
        </is>
      </c>
      <c r="E227" s="24" t="n">
        <v>115</v>
      </c>
      <c r="F227" s="24" t="n">
        <v>11</v>
      </c>
      <c r="G227" s="24" t="n">
        <v>115</v>
      </c>
      <c r="H227" s="24" t="n">
        <v>10</v>
      </c>
      <c r="I227" s="24" t="n">
        <v>115</v>
      </c>
      <c r="J227" s="24" t="n">
        <v>10</v>
      </c>
      <c r="K227" s="24" t="n"/>
      <c r="L227" s="24" t="n"/>
      <c r="M227" s="24" t="n"/>
      <c r="N227" s="24" t="n"/>
      <c r="O227" s="15">
        <f>IF(D227="","",COUNT(F227,H227,J227,L227,N227))</f>
        <v/>
      </c>
      <c r="P227" s="25">
        <f>IF(D227="","",N(E227)*N(F227)+N(G227)*N(H227)+N(I227)*N(J227)+N(K227)*N(L227)+N(M227)*N(N227))</f>
        <v/>
      </c>
      <c r="Q227" s="18">
        <f>IF(N(X227)=0,"",IF(IF(N(F227)=0,0,IF(N(E227)&gt;0,E227*(1+F227/30),F227))=X227,IF(N(E227)&gt;0,E227&amp;" x "&amp;F227,F227&amp;" reps"),IF(IF(N(H227)=0,0,IF(N(G227)&gt;0,G227*(1+H227/30),H227))=X227,IF(N(G227)&gt;0,G227&amp;" x "&amp;H227,H227&amp;" reps"),IF(IF(N(J227)=0,0,IF(N(I227)&gt;0,I227*(1+J227/30),J227))=X227,IF(N(I227)&gt;0,I227&amp;" x "&amp;J227,J227&amp;" reps"),IF(IF(N(L227)=0,0,IF(N(K227)&gt;0,K227*(1+L227/30),L227))=X227,IF(N(K227)&gt;0,K227&amp;" x "&amp;L227,L227&amp;" reps"),IF(IF(N(N227)=0,0,IF(N(M227)&gt;0,M227*(1+N227/30),N227))=X227,IF(N(M227)&gt;0,M227&amp;" x "&amp;N227,N227&amp;" reps"),""))))))</f>
        <v/>
      </c>
      <c r="R227" s="20">
        <f>IF(N(X227)=0,"",ROUND(X227,1))</f>
        <v/>
      </c>
      <c r="S227" s="18">
        <f>IF(N(X227)=0,"",IF(AND(COUNTIFS(Log!$D$6:$D$1505,D227,Log!$B$6:$B$1505,"&lt;"&amp;B227)&gt;0,COUNTIFS(Log!$D$6:$D$1505,D227,Log!$B$6:$B$1505,"&lt;"&amp;B227,Log!$X$6:$X$1505,"&gt;="&amp;X227)=0),"New best",""))</f>
        <v/>
      </c>
      <c r="T227" s="26" t="inlineStr">
        <is>
          <t>Felt strong</t>
        </is>
      </c>
      <c r="U227" s="1">
        <f>IF(D227="","",IFERROR(INDEX(Exercises!$C$6:$C$105,MATCH(D227,Exercises!$B$6:$B$105,0)),"Other"))</f>
        <v/>
      </c>
      <c r="V227">
        <f>IF(B227="","",IF(COUNTIF($B$6:B227,B227)=1,1,0))</f>
        <v/>
      </c>
      <c r="W227">
        <f>IF(B227="","",B227-WEEKDAY(B227,3))</f>
        <v/>
      </c>
      <c r="X227">
        <f>IF(D227="","",MAX(IF(N(F227)=0,0,IF(N(E227)&gt;0,E227*(1+F227/30),F227)),IF(N(H227)=0,0,IF(N(G227)&gt;0,G227*(1+H227/30),H227)),IF(N(J227)=0,0,IF(N(I227)&gt;0,I227*(1+J227/30),J227)),IF(N(L227)=0,0,IF(N(K227)&gt;0,K227*(1+L227/30),L227)),IF(N(N227)=0,0,IF(N(M227)&gt;0,M227*(1+N227/30),N227))))</f>
        <v/>
      </c>
      <c r="Y227">
        <f>IF(N(X227)=0,"",X227+ROW()/1000000000)</f>
        <v/>
      </c>
      <c r="Z227">
        <f>IF(Y227="","",IF(COUNTIFS(Log!$D$6:$D$1505,D227,Log!$Y$6:$Y$1505,"&gt;"&amp;Y227)=0,1,0))</f>
        <v/>
      </c>
      <c r="AA227">
        <f>IF(OR(B227="",D227=""),"",B227+ROW()/10000000)</f>
        <v/>
      </c>
      <c r="AB227">
        <f>IF(AA227="","",IF(COUNTIFS(Log!$D$6:$D$1505,D227,Log!$AA$6:$AA$1505,"&gt;"&amp;AA227)=0,1,0))</f>
        <v/>
      </c>
      <c r="AC227">
        <f>IF(S227="New best",AA227,"")</f>
        <v/>
      </c>
      <c r="AD227">
        <f>ROW()</f>
        <v/>
      </c>
    </row>
    <row r="228">
      <c r="A228" s="1" t="n"/>
      <c r="B228" s="21" t="n">
        <v>46273</v>
      </c>
      <c r="C228" s="22" t="inlineStr">
        <is>
          <t>Pull</t>
        </is>
      </c>
      <c r="D228" s="23" t="inlineStr">
        <is>
          <t>Biceps curl</t>
        </is>
      </c>
      <c r="E228" s="24" t="n">
        <v>32.5</v>
      </c>
      <c r="F228" s="24" t="n">
        <v>12</v>
      </c>
      <c r="G228" s="24" t="n">
        <v>32.5</v>
      </c>
      <c r="H228" s="24" t="n">
        <v>11</v>
      </c>
      <c r="I228" s="24" t="n">
        <v>32.5</v>
      </c>
      <c r="J228" s="24" t="n">
        <v>10</v>
      </c>
      <c r="K228" s="24" t="n"/>
      <c r="L228" s="24" t="n"/>
      <c r="M228" s="24" t="n"/>
      <c r="N228" s="24" t="n"/>
      <c r="O228" s="15">
        <f>IF(D228="","",COUNT(F228,H228,J228,L228,N228))</f>
        <v/>
      </c>
      <c r="P228" s="25">
        <f>IF(D228="","",N(E228)*N(F228)+N(G228)*N(H228)+N(I228)*N(J228)+N(K228)*N(L228)+N(M228)*N(N228))</f>
        <v/>
      </c>
      <c r="Q228" s="18">
        <f>IF(N(X228)=0,"",IF(IF(N(F228)=0,0,IF(N(E228)&gt;0,E228*(1+F228/30),F228))=X228,IF(N(E228)&gt;0,E228&amp;" x "&amp;F228,F228&amp;" reps"),IF(IF(N(H228)=0,0,IF(N(G228)&gt;0,G228*(1+H228/30),H228))=X228,IF(N(G228)&gt;0,G228&amp;" x "&amp;H228,H228&amp;" reps"),IF(IF(N(J228)=0,0,IF(N(I228)&gt;0,I228*(1+J228/30),J228))=X228,IF(N(I228)&gt;0,I228&amp;" x "&amp;J228,J228&amp;" reps"),IF(IF(N(L228)=0,0,IF(N(K228)&gt;0,K228*(1+L228/30),L228))=X228,IF(N(K228)&gt;0,K228&amp;" x "&amp;L228,L228&amp;" reps"),IF(IF(N(N228)=0,0,IF(N(M228)&gt;0,M228*(1+N228/30),N228))=X228,IF(N(M228)&gt;0,M228&amp;" x "&amp;N228,N228&amp;" reps"),""))))))</f>
        <v/>
      </c>
      <c r="R228" s="20">
        <f>IF(N(X228)=0,"",ROUND(X228,1))</f>
        <v/>
      </c>
      <c r="S228" s="18">
        <f>IF(N(X228)=0,"",IF(AND(COUNTIFS(Log!$D$6:$D$1505,D228,Log!$B$6:$B$1505,"&lt;"&amp;B228)&gt;0,COUNTIFS(Log!$D$6:$D$1505,D228,Log!$B$6:$B$1505,"&lt;"&amp;B228,Log!$X$6:$X$1505,"&gt;="&amp;X228)=0),"New best",""))</f>
        <v/>
      </c>
      <c r="T228" s="26" t="n"/>
      <c r="U228" s="1">
        <f>IF(D228="","",IFERROR(INDEX(Exercises!$C$6:$C$105,MATCH(D228,Exercises!$B$6:$B$105,0)),"Other"))</f>
        <v/>
      </c>
      <c r="V228">
        <f>IF(B228="","",IF(COUNTIF($B$6:B228,B228)=1,1,0))</f>
        <v/>
      </c>
      <c r="W228">
        <f>IF(B228="","",B228-WEEKDAY(B228,3))</f>
        <v/>
      </c>
      <c r="X228">
        <f>IF(D228="","",MAX(IF(N(F228)=0,0,IF(N(E228)&gt;0,E228*(1+F228/30),F228)),IF(N(H228)=0,0,IF(N(G228)&gt;0,G228*(1+H228/30),H228)),IF(N(J228)=0,0,IF(N(I228)&gt;0,I228*(1+J228/30),J228)),IF(N(L228)=0,0,IF(N(K228)&gt;0,K228*(1+L228/30),L228)),IF(N(N228)=0,0,IF(N(M228)&gt;0,M228*(1+N228/30),N228))))</f>
        <v/>
      </c>
      <c r="Y228">
        <f>IF(N(X228)=0,"",X228+ROW()/1000000000)</f>
        <v/>
      </c>
      <c r="Z228">
        <f>IF(Y228="","",IF(COUNTIFS(Log!$D$6:$D$1505,D228,Log!$Y$6:$Y$1505,"&gt;"&amp;Y228)=0,1,0))</f>
        <v/>
      </c>
      <c r="AA228">
        <f>IF(OR(B228="",D228=""),"",B228+ROW()/10000000)</f>
        <v/>
      </c>
      <c r="AB228">
        <f>IF(AA228="","",IF(COUNTIFS(Log!$D$6:$D$1505,D228,Log!$AA$6:$AA$1505,"&gt;"&amp;AA228)=0,1,0))</f>
        <v/>
      </c>
      <c r="AC228">
        <f>IF(S228="New best",AA228,"")</f>
        <v/>
      </c>
      <c r="AD228">
        <f>ROW()</f>
        <v/>
      </c>
    </row>
    <row r="229">
      <c r="A229" s="1" t="n"/>
      <c r="B229" s="21" t="n">
        <v>46274</v>
      </c>
      <c r="C229" s="22" t="inlineStr">
        <is>
          <t>Legs</t>
        </is>
      </c>
      <c r="D229" s="23" t="inlineStr">
        <is>
          <t>Squat</t>
        </is>
      </c>
      <c r="E229" s="24" t="n">
        <v>215</v>
      </c>
      <c r="F229" s="24" t="n">
        <v>5</v>
      </c>
      <c r="G229" s="24" t="n">
        <v>215</v>
      </c>
      <c r="H229" s="24" t="n">
        <v>5</v>
      </c>
      <c r="I229" s="24" t="n">
        <v>215</v>
      </c>
      <c r="J229" s="24" t="n">
        <v>5</v>
      </c>
      <c r="K229" s="24" t="n">
        <v>215</v>
      </c>
      <c r="L229" s="24" t="n">
        <v>5</v>
      </c>
      <c r="M229" s="24" t="n"/>
      <c r="N229" s="24" t="n"/>
      <c r="O229" s="15">
        <f>IF(D229="","",COUNT(F229,H229,J229,L229,N229))</f>
        <v/>
      </c>
      <c r="P229" s="25">
        <f>IF(D229="","",N(E229)*N(F229)+N(G229)*N(H229)+N(I229)*N(J229)+N(K229)*N(L229)+N(M229)*N(N229))</f>
        <v/>
      </c>
      <c r="Q229" s="18">
        <f>IF(N(X229)=0,"",IF(IF(N(F229)=0,0,IF(N(E229)&gt;0,E229*(1+F229/30),F229))=X229,IF(N(E229)&gt;0,E229&amp;" x "&amp;F229,F229&amp;" reps"),IF(IF(N(H229)=0,0,IF(N(G229)&gt;0,G229*(1+H229/30),H229))=X229,IF(N(G229)&gt;0,G229&amp;" x "&amp;H229,H229&amp;" reps"),IF(IF(N(J229)=0,0,IF(N(I229)&gt;0,I229*(1+J229/30),J229))=X229,IF(N(I229)&gt;0,I229&amp;" x "&amp;J229,J229&amp;" reps"),IF(IF(N(L229)=0,0,IF(N(K229)&gt;0,K229*(1+L229/30),L229))=X229,IF(N(K229)&gt;0,K229&amp;" x "&amp;L229,L229&amp;" reps"),IF(IF(N(N229)=0,0,IF(N(M229)&gt;0,M229*(1+N229/30),N229))=X229,IF(N(M229)&gt;0,M229&amp;" x "&amp;N229,N229&amp;" reps"),""))))))</f>
        <v/>
      </c>
      <c r="R229" s="20">
        <f>IF(N(X229)=0,"",ROUND(X229,1))</f>
        <v/>
      </c>
      <c r="S229" s="18">
        <f>IF(N(X229)=0,"",IF(AND(COUNTIFS(Log!$D$6:$D$1505,D229,Log!$B$6:$B$1505,"&lt;"&amp;B229)&gt;0,COUNTIFS(Log!$D$6:$D$1505,D229,Log!$B$6:$B$1505,"&lt;"&amp;B229,Log!$X$6:$X$1505,"&gt;="&amp;X229)=0),"New best",""))</f>
        <v/>
      </c>
      <c r="T229" s="26" t="n"/>
      <c r="U229" s="1">
        <f>IF(D229="","",IFERROR(INDEX(Exercises!$C$6:$C$105,MATCH(D229,Exercises!$B$6:$B$105,0)),"Other"))</f>
        <v/>
      </c>
      <c r="V229">
        <f>IF(B229="","",IF(COUNTIF($B$6:B229,B229)=1,1,0))</f>
        <v/>
      </c>
      <c r="W229">
        <f>IF(B229="","",B229-WEEKDAY(B229,3))</f>
        <v/>
      </c>
      <c r="X229">
        <f>IF(D229="","",MAX(IF(N(F229)=0,0,IF(N(E229)&gt;0,E229*(1+F229/30),F229)),IF(N(H229)=0,0,IF(N(G229)&gt;0,G229*(1+H229/30),H229)),IF(N(J229)=0,0,IF(N(I229)&gt;0,I229*(1+J229/30),J229)),IF(N(L229)=0,0,IF(N(K229)&gt;0,K229*(1+L229/30),L229)),IF(N(N229)=0,0,IF(N(M229)&gt;0,M229*(1+N229/30),N229))))</f>
        <v/>
      </c>
      <c r="Y229">
        <f>IF(N(X229)=0,"",X229+ROW()/1000000000)</f>
        <v/>
      </c>
      <c r="Z229">
        <f>IF(Y229="","",IF(COUNTIFS(Log!$D$6:$D$1505,D229,Log!$Y$6:$Y$1505,"&gt;"&amp;Y229)=0,1,0))</f>
        <v/>
      </c>
      <c r="AA229">
        <f>IF(OR(B229="",D229=""),"",B229+ROW()/10000000)</f>
        <v/>
      </c>
      <c r="AB229">
        <f>IF(AA229="","",IF(COUNTIFS(Log!$D$6:$D$1505,D229,Log!$AA$6:$AA$1505,"&gt;"&amp;AA229)=0,1,0))</f>
        <v/>
      </c>
      <c r="AC229">
        <f>IF(S229="New best",AA229,"")</f>
        <v/>
      </c>
      <c r="AD229">
        <f>ROW()</f>
        <v/>
      </c>
    </row>
    <row r="230">
      <c r="A230" s="1" t="n"/>
      <c r="B230" s="21" t="n">
        <v>46274</v>
      </c>
      <c r="C230" s="22" t="inlineStr">
        <is>
          <t>Legs</t>
        </is>
      </c>
      <c r="D230" s="23" t="inlineStr">
        <is>
          <t>Romanian deadlift</t>
        </is>
      </c>
      <c r="E230" s="24" t="n">
        <v>185</v>
      </c>
      <c r="F230" s="24" t="n">
        <v>9</v>
      </c>
      <c r="G230" s="24" t="n">
        <v>185</v>
      </c>
      <c r="H230" s="24" t="n">
        <v>9</v>
      </c>
      <c r="I230" s="24" t="n">
        <v>185</v>
      </c>
      <c r="J230" s="24" t="n">
        <v>8</v>
      </c>
      <c r="K230" s="24" t="n"/>
      <c r="L230" s="24" t="n"/>
      <c r="M230" s="24" t="n"/>
      <c r="N230" s="24" t="n"/>
      <c r="O230" s="15">
        <f>IF(D230="","",COUNT(F230,H230,J230,L230,N230))</f>
        <v/>
      </c>
      <c r="P230" s="25">
        <f>IF(D230="","",N(E230)*N(F230)+N(G230)*N(H230)+N(I230)*N(J230)+N(K230)*N(L230)+N(M230)*N(N230))</f>
        <v/>
      </c>
      <c r="Q230" s="18">
        <f>IF(N(X230)=0,"",IF(IF(N(F230)=0,0,IF(N(E230)&gt;0,E230*(1+F230/30),F230))=X230,IF(N(E230)&gt;0,E230&amp;" x "&amp;F230,F230&amp;" reps"),IF(IF(N(H230)=0,0,IF(N(G230)&gt;0,G230*(1+H230/30),H230))=X230,IF(N(G230)&gt;0,G230&amp;" x "&amp;H230,H230&amp;" reps"),IF(IF(N(J230)=0,0,IF(N(I230)&gt;0,I230*(1+J230/30),J230))=X230,IF(N(I230)&gt;0,I230&amp;" x "&amp;J230,J230&amp;" reps"),IF(IF(N(L230)=0,0,IF(N(K230)&gt;0,K230*(1+L230/30),L230))=X230,IF(N(K230)&gt;0,K230&amp;" x "&amp;L230,L230&amp;" reps"),IF(IF(N(N230)=0,0,IF(N(M230)&gt;0,M230*(1+N230/30),N230))=X230,IF(N(M230)&gt;0,M230&amp;" x "&amp;N230,N230&amp;" reps"),""))))))</f>
        <v/>
      </c>
      <c r="R230" s="20">
        <f>IF(N(X230)=0,"",ROUND(X230,1))</f>
        <v/>
      </c>
      <c r="S230" s="18">
        <f>IF(N(X230)=0,"",IF(AND(COUNTIFS(Log!$D$6:$D$1505,D230,Log!$B$6:$B$1505,"&lt;"&amp;B230)&gt;0,COUNTIFS(Log!$D$6:$D$1505,D230,Log!$B$6:$B$1505,"&lt;"&amp;B230,Log!$X$6:$X$1505,"&gt;="&amp;X230)=0),"New best",""))</f>
        <v/>
      </c>
      <c r="T230" s="26" t="n"/>
      <c r="U230" s="1">
        <f>IF(D230="","",IFERROR(INDEX(Exercises!$C$6:$C$105,MATCH(D230,Exercises!$B$6:$B$105,0)),"Other"))</f>
        <v/>
      </c>
      <c r="V230">
        <f>IF(B230="","",IF(COUNTIF($B$6:B230,B230)=1,1,0))</f>
        <v/>
      </c>
      <c r="W230">
        <f>IF(B230="","",B230-WEEKDAY(B230,3))</f>
        <v/>
      </c>
      <c r="X230">
        <f>IF(D230="","",MAX(IF(N(F230)=0,0,IF(N(E230)&gt;0,E230*(1+F230/30),F230)),IF(N(H230)=0,0,IF(N(G230)&gt;0,G230*(1+H230/30),H230)),IF(N(J230)=0,0,IF(N(I230)&gt;0,I230*(1+J230/30),J230)),IF(N(L230)=0,0,IF(N(K230)&gt;0,K230*(1+L230/30),L230)),IF(N(N230)=0,0,IF(N(M230)&gt;0,M230*(1+N230/30),N230))))</f>
        <v/>
      </c>
      <c r="Y230">
        <f>IF(N(X230)=0,"",X230+ROW()/1000000000)</f>
        <v/>
      </c>
      <c r="Z230">
        <f>IF(Y230="","",IF(COUNTIFS(Log!$D$6:$D$1505,D230,Log!$Y$6:$Y$1505,"&gt;"&amp;Y230)=0,1,0))</f>
        <v/>
      </c>
      <c r="AA230">
        <f>IF(OR(B230="",D230=""),"",B230+ROW()/10000000)</f>
        <v/>
      </c>
      <c r="AB230">
        <f>IF(AA230="","",IF(COUNTIFS(Log!$D$6:$D$1505,D230,Log!$AA$6:$AA$1505,"&gt;"&amp;AA230)=0,1,0))</f>
        <v/>
      </c>
      <c r="AC230">
        <f>IF(S230="New best",AA230,"")</f>
        <v/>
      </c>
      <c r="AD230">
        <f>ROW()</f>
        <v/>
      </c>
    </row>
    <row r="231">
      <c r="A231" s="1" t="n"/>
      <c r="B231" s="21" t="n">
        <v>46274</v>
      </c>
      <c r="C231" s="22" t="inlineStr">
        <is>
          <t>Legs</t>
        </is>
      </c>
      <c r="D231" s="23" t="inlineStr">
        <is>
          <t>Leg press</t>
        </is>
      </c>
      <c r="E231" s="24" t="n">
        <v>330</v>
      </c>
      <c r="F231" s="24" t="n">
        <v>12</v>
      </c>
      <c r="G231" s="24" t="n">
        <v>330</v>
      </c>
      <c r="H231" s="24" t="n">
        <v>10</v>
      </c>
      <c r="I231" s="24" t="n">
        <v>330</v>
      </c>
      <c r="J231" s="24" t="n">
        <v>10</v>
      </c>
      <c r="K231" s="24" t="n"/>
      <c r="L231" s="24" t="n"/>
      <c r="M231" s="24" t="n"/>
      <c r="N231" s="24" t="n"/>
      <c r="O231" s="15">
        <f>IF(D231="","",COUNT(F231,H231,J231,L231,N231))</f>
        <v/>
      </c>
      <c r="P231" s="25">
        <f>IF(D231="","",N(E231)*N(F231)+N(G231)*N(H231)+N(I231)*N(J231)+N(K231)*N(L231)+N(M231)*N(N231))</f>
        <v/>
      </c>
      <c r="Q231" s="18">
        <f>IF(N(X231)=0,"",IF(IF(N(F231)=0,0,IF(N(E231)&gt;0,E231*(1+F231/30),F231))=X231,IF(N(E231)&gt;0,E231&amp;" x "&amp;F231,F231&amp;" reps"),IF(IF(N(H231)=0,0,IF(N(G231)&gt;0,G231*(1+H231/30),H231))=X231,IF(N(G231)&gt;0,G231&amp;" x "&amp;H231,H231&amp;" reps"),IF(IF(N(J231)=0,0,IF(N(I231)&gt;0,I231*(1+J231/30),J231))=X231,IF(N(I231)&gt;0,I231&amp;" x "&amp;J231,J231&amp;" reps"),IF(IF(N(L231)=0,0,IF(N(K231)&gt;0,K231*(1+L231/30),L231))=X231,IF(N(K231)&gt;0,K231&amp;" x "&amp;L231,L231&amp;" reps"),IF(IF(N(N231)=0,0,IF(N(M231)&gt;0,M231*(1+N231/30),N231))=X231,IF(N(M231)&gt;0,M231&amp;" x "&amp;N231,N231&amp;" reps"),""))))))</f>
        <v/>
      </c>
      <c r="R231" s="20">
        <f>IF(N(X231)=0,"",ROUND(X231,1))</f>
        <v/>
      </c>
      <c r="S231" s="18">
        <f>IF(N(X231)=0,"",IF(AND(COUNTIFS(Log!$D$6:$D$1505,D231,Log!$B$6:$B$1505,"&lt;"&amp;B231)&gt;0,COUNTIFS(Log!$D$6:$D$1505,D231,Log!$B$6:$B$1505,"&lt;"&amp;B231,Log!$X$6:$X$1505,"&gt;="&amp;X231)=0),"New best",""))</f>
        <v/>
      </c>
      <c r="T231" s="26" t="n"/>
      <c r="U231" s="1">
        <f>IF(D231="","",IFERROR(INDEX(Exercises!$C$6:$C$105,MATCH(D231,Exercises!$B$6:$B$105,0)),"Other"))</f>
        <v/>
      </c>
      <c r="V231">
        <f>IF(B231="","",IF(COUNTIF($B$6:B231,B231)=1,1,0))</f>
        <v/>
      </c>
      <c r="W231">
        <f>IF(B231="","",B231-WEEKDAY(B231,3))</f>
        <v/>
      </c>
      <c r="X231">
        <f>IF(D231="","",MAX(IF(N(F231)=0,0,IF(N(E231)&gt;0,E231*(1+F231/30),F231)),IF(N(H231)=0,0,IF(N(G231)&gt;0,G231*(1+H231/30),H231)),IF(N(J231)=0,0,IF(N(I231)&gt;0,I231*(1+J231/30),J231)),IF(N(L231)=0,0,IF(N(K231)&gt;0,K231*(1+L231/30),L231)),IF(N(N231)=0,0,IF(N(M231)&gt;0,M231*(1+N231/30),N231))))</f>
        <v/>
      </c>
      <c r="Y231">
        <f>IF(N(X231)=0,"",X231+ROW()/1000000000)</f>
        <v/>
      </c>
      <c r="Z231">
        <f>IF(Y231="","",IF(COUNTIFS(Log!$D$6:$D$1505,D231,Log!$Y$6:$Y$1505,"&gt;"&amp;Y231)=0,1,0))</f>
        <v/>
      </c>
      <c r="AA231">
        <f>IF(OR(B231="",D231=""),"",B231+ROW()/10000000)</f>
        <v/>
      </c>
      <c r="AB231">
        <f>IF(AA231="","",IF(COUNTIFS(Log!$D$6:$D$1505,D231,Log!$AA$6:$AA$1505,"&gt;"&amp;AA231)=0,1,0))</f>
        <v/>
      </c>
      <c r="AC231">
        <f>IF(S231="New best",AA231,"")</f>
        <v/>
      </c>
      <c r="AD231">
        <f>ROW()</f>
        <v/>
      </c>
    </row>
    <row r="232">
      <c r="A232" s="1" t="n"/>
      <c r="B232" s="21" t="n">
        <v>46274</v>
      </c>
      <c r="C232" s="22" t="inlineStr">
        <is>
          <t>Legs</t>
        </is>
      </c>
      <c r="D232" s="23" t="inlineStr">
        <is>
          <t>Leg curl</t>
        </is>
      </c>
      <c r="E232" s="24" t="n">
        <v>85</v>
      </c>
      <c r="F232" s="24" t="n">
        <v>11</v>
      </c>
      <c r="G232" s="24" t="n">
        <v>85</v>
      </c>
      <c r="H232" s="24" t="n">
        <v>10</v>
      </c>
      <c r="I232" s="24" t="n">
        <v>85</v>
      </c>
      <c r="J232" s="24" t="n">
        <v>10</v>
      </c>
      <c r="K232" s="24" t="n"/>
      <c r="L232" s="24" t="n"/>
      <c r="M232" s="24" t="n"/>
      <c r="N232" s="24" t="n"/>
      <c r="O232" s="15">
        <f>IF(D232="","",COUNT(F232,H232,J232,L232,N232))</f>
        <v/>
      </c>
      <c r="P232" s="25">
        <f>IF(D232="","",N(E232)*N(F232)+N(G232)*N(H232)+N(I232)*N(J232)+N(K232)*N(L232)+N(M232)*N(N232))</f>
        <v/>
      </c>
      <c r="Q232" s="18">
        <f>IF(N(X232)=0,"",IF(IF(N(F232)=0,0,IF(N(E232)&gt;0,E232*(1+F232/30),F232))=X232,IF(N(E232)&gt;0,E232&amp;" x "&amp;F232,F232&amp;" reps"),IF(IF(N(H232)=0,0,IF(N(G232)&gt;0,G232*(1+H232/30),H232))=X232,IF(N(G232)&gt;0,G232&amp;" x "&amp;H232,H232&amp;" reps"),IF(IF(N(J232)=0,0,IF(N(I232)&gt;0,I232*(1+J232/30),J232))=X232,IF(N(I232)&gt;0,I232&amp;" x "&amp;J232,J232&amp;" reps"),IF(IF(N(L232)=0,0,IF(N(K232)&gt;0,K232*(1+L232/30),L232))=X232,IF(N(K232)&gt;0,K232&amp;" x "&amp;L232,L232&amp;" reps"),IF(IF(N(N232)=0,0,IF(N(M232)&gt;0,M232*(1+N232/30),N232))=X232,IF(N(M232)&gt;0,M232&amp;" x "&amp;N232,N232&amp;" reps"),""))))))</f>
        <v/>
      </c>
      <c r="R232" s="20">
        <f>IF(N(X232)=0,"",ROUND(X232,1))</f>
        <v/>
      </c>
      <c r="S232" s="18">
        <f>IF(N(X232)=0,"",IF(AND(COUNTIFS(Log!$D$6:$D$1505,D232,Log!$B$6:$B$1505,"&lt;"&amp;B232)&gt;0,COUNTIFS(Log!$D$6:$D$1505,D232,Log!$B$6:$B$1505,"&lt;"&amp;B232,Log!$X$6:$X$1505,"&gt;="&amp;X232)=0),"New best",""))</f>
        <v/>
      </c>
      <c r="T232" s="26" t="n"/>
      <c r="U232" s="1">
        <f>IF(D232="","",IFERROR(INDEX(Exercises!$C$6:$C$105,MATCH(D232,Exercises!$B$6:$B$105,0)),"Other"))</f>
        <v/>
      </c>
      <c r="V232">
        <f>IF(B232="","",IF(COUNTIF($B$6:B232,B232)=1,1,0))</f>
        <v/>
      </c>
      <c r="W232">
        <f>IF(B232="","",B232-WEEKDAY(B232,3))</f>
        <v/>
      </c>
      <c r="X232">
        <f>IF(D232="","",MAX(IF(N(F232)=0,0,IF(N(E232)&gt;0,E232*(1+F232/30),F232)),IF(N(H232)=0,0,IF(N(G232)&gt;0,G232*(1+H232/30),H232)),IF(N(J232)=0,0,IF(N(I232)&gt;0,I232*(1+J232/30),J232)),IF(N(L232)=0,0,IF(N(K232)&gt;0,K232*(1+L232/30),L232)),IF(N(N232)=0,0,IF(N(M232)&gt;0,M232*(1+N232/30),N232))))</f>
        <v/>
      </c>
      <c r="Y232">
        <f>IF(N(X232)=0,"",X232+ROW()/1000000000)</f>
        <v/>
      </c>
      <c r="Z232">
        <f>IF(Y232="","",IF(COUNTIFS(Log!$D$6:$D$1505,D232,Log!$Y$6:$Y$1505,"&gt;"&amp;Y232)=0,1,0))</f>
        <v/>
      </c>
      <c r="AA232">
        <f>IF(OR(B232="",D232=""),"",B232+ROW()/10000000)</f>
        <v/>
      </c>
      <c r="AB232">
        <f>IF(AA232="","",IF(COUNTIFS(Log!$D$6:$D$1505,D232,Log!$AA$6:$AA$1505,"&gt;"&amp;AA232)=0,1,0))</f>
        <v/>
      </c>
      <c r="AC232">
        <f>IF(S232="New best",AA232,"")</f>
        <v/>
      </c>
      <c r="AD232">
        <f>ROW()</f>
        <v/>
      </c>
    </row>
    <row r="233">
      <c r="A233" s="1" t="n"/>
      <c r="B233" s="21" t="n">
        <v>46274</v>
      </c>
      <c r="C233" s="22" t="inlineStr">
        <is>
          <t>Legs</t>
        </is>
      </c>
      <c r="D233" s="23" t="inlineStr">
        <is>
          <t>Calf raise</t>
        </is>
      </c>
      <c r="E233" s="24" t="n">
        <v>120</v>
      </c>
      <c r="F233" s="24" t="n">
        <v>14</v>
      </c>
      <c r="G233" s="24" t="n">
        <v>120</v>
      </c>
      <c r="H233" s="24" t="n">
        <v>13</v>
      </c>
      <c r="I233" s="24" t="n">
        <v>120</v>
      </c>
      <c r="J233" s="24" t="n">
        <v>13</v>
      </c>
      <c r="K233" s="24" t="n">
        <v>120</v>
      </c>
      <c r="L233" s="24" t="n">
        <v>12</v>
      </c>
      <c r="M233" s="24" t="n"/>
      <c r="N233" s="24" t="n"/>
      <c r="O233" s="15">
        <f>IF(D233="","",COUNT(F233,H233,J233,L233,N233))</f>
        <v/>
      </c>
      <c r="P233" s="25">
        <f>IF(D233="","",N(E233)*N(F233)+N(G233)*N(H233)+N(I233)*N(J233)+N(K233)*N(L233)+N(M233)*N(N233))</f>
        <v/>
      </c>
      <c r="Q233" s="18">
        <f>IF(N(X233)=0,"",IF(IF(N(F233)=0,0,IF(N(E233)&gt;0,E233*(1+F233/30),F233))=X233,IF(N(E233)&gt;0,E233&amp;" x "&amp;F233,F233&amp;" reps"),IF(IF(N(H233)=0,0,IF(N(G233)&gt;0,G233*(1+H233/30),H233))=X233,IF(N(G233)&gt;0,G233&amp;" x "&amp;H233,H233&amp;" reps"),IF(IF(N(J233)=0,0,IF(N(I233)&gt;0,I233*(1+J233/30),J233))=X233,IF(N(I233)&gt;0,I233&amp;" x "&amp;J233,J233&amp;" reps"),IF(IF(N(L233)=0,0,IF(N(K233)&gt;0,K233*(1+L233/30),L233))=X233,IF(N(K233)&gt;0,K233&amp;" x "&amp;L233,L233&amp;" reps"),IF(IF(N(N233)=0,0,IF(N(M233)&gt;0,M233*(1+N233/30),N233))=X233,IF(N(M233)&gt;0,M233&amp;" x "&amp;N233,N233&amp;" reps"),""))))))</f>
        <v/>
      </c>
      <c r="R233" s="20">
        <f>IF(N(X233)=0,"",ROUND(X233,1))</f>
        <v/>
      </c>
      <c r="S233" s="18">
        <f>IF(N(X233)=0,"",IF(AND(COUNTIFS(Log!$D$6:$D$1505,D233,Log!$B$6:$B$1505,"&lt;"&amp;B233)&gt;0,COUNTIFS(Log!$D$6:$D$1505,D233,Log!$B$6:$B$1505,"&lt;"&amp;B233,Log!$X$6:$X$1505,"&gt;="&amp;X233)=0),"New best",""))</f>
        <v/>
      </c>
      <c r="T233" s="26" t="n"/>
      <c r="U233" s="1">
        <f>IF(D233="","",IFERROR(INDEX(Exercises!$C$6:$C$105,MATCH(D233,Exercises!$B$6:$B$105,0)),"Other"))</f>
        <v/>
      </c>
      <c r="V233">
        <f>IF(B233="","",IF(COUNTIF($B$6:B233,B233)=1,1,0))</f>
        <v/>
      </c>
      <c r="W233">
        <f>IF(B233="","",B233-WEEKDAY(B233,3))</f>
        <v/>
      </c>
      <c r="X233">
        <f>IF(D233="","",MAX(IF(N(F233)=0,0,IF(N(E233)&gt;0,E233*(1+F233/30),F233)),IF(N(H233)=0,0,IF(N(G233)&gt;0,G233*(1+H233/30),H233)),IF(N(J233)=0,0,IF(N(I233)&gt;0,I233*(1+J233/30),J233)),IF(N(L233)=0,0,IF(N(K233)&gt;0,K233*(1+L233/30),L233)),IF(N(N233)=0,0,IF(N(M233)&gt;0,M233*(1+N233/30),N233))))</f>
        <v/>
      </c>
      <c r="Y233">
        <f>IF(N(X233)=0,"",X233+ROW()/1000000000)</f>
        <v/>
      </c>
      <c r="Z233">
        <f>IF(Y233="","",IF(COUNTIFS(Log!$D$6:$D$1505,D233,Log!$Y$6:$Y$1505,"&gt;"&amp;Y233)=0,1,0))</f>
        <v/>
      </c>
      <c r="AA233">
        <f>IF(OR(B233="",D233=""),"",B233+ROW()/10000000)</f>
        <v/>
      </c>
      <c r="AB233">
        <f>IF(AA233="","",IF(COUNTIFS(Log!$D$6:$D$1505,D233,Log!$AA$6:$AA$1505,"&gt;"&amp;AA233)=0,1,0))</f>
        <v/>
      </c>
      <c r="AC233">
        <f>IF(S233="New best",AA233,"")</f>
        <v/>
      </c>
      <c r="AD233">
        <f>ROW()</f>
        <v/>
      </c>
    </row>
    <row r="234">
      <c r="A234" s="1" t="n"/>
      <c r="B234" s="21" t="n">
        <v>46276</v>
      </c>
      <c r="C234" s="22" t="inlineStr">
        <is>
          <t>Upper</t>
        </is>
      </c>
      <c r="D234" s="23" t="inlineStr">
        <is>
          <t>Bench press</t>
        </is>
      </c>
      <c r="E234" s="24" t="n">
        <v>135</v>
      </c>
      <c r="F234" s="24" t="n">
        <v>10</v>
      </c>
      <c r="G234" s="24" t="n">
        <v>135</v>
      </c>
      <c r="H234" s="24" t="n">
        <v>8</v>
      </c>
      <c r="I234" s="24" t="n">
        <v>135</v>
      </c>
      <c r="J234" s="24" t="n">
        <v>8</v>
      </c>
      <c r="K234" s="24" t="n"/>
      <c r="L234" s="24" t="n"/>
      <c r="M234" s="24" t="n"/>
      <c r="N234" s="24" t="n"/>
      <c r="O234" s="15">
        <f>IF(D234="","",COUNT(F234,H234,J234,L234,N234))</f>
        <v/>
      </c>
      <c r="P234" s="25">
        <f>IF(D234="","",N(E234)*N(F234)+N(G234)*N(H234)+N(I234)*N(J234)+N(K234)*N(L234)+N(M234)*N(N234))</f>
        <v/>
      </c>
      <c r="Q234" s="18">
        <f>IF(N(X234)=0,"",IF(IF(N(F234)=0,0,IF(N(E234)&gt;0,E234*(1+F234/30),F234))=X234,IF(N(E234)&gt;0,E234&amp;" x "&amp;F234,F234&amp;" reps"),IF(IF(N(H234)=0,0,IF(N(G234)&gt;0,G234*(1+H234/30),H234))=X234,IF(N(G234)&gt;0,G234&amp;" x "&amp;H234,H234&amp;" reps"),IF(IF(N(J234)=0,0,IF(N(I234)&gt;0,I234*(1+J234/30),J234))=X234,IF(N(I234)&gt;0,I234&amp;" x "&amp;J234,J234&amp;" reps"),IF(IF(N(L234)=0,0,IF(N(K234)&gt;0,K234*(1+L234/30),L234))=X234,IF(N(K234)&gt;0,K234&amp;" x "&amp;L234,L234&amp;" reps"),IF(IF(N(N234)=0,0,IF(N(M234)&gt;0,M234*(1+N234/30),N234))=X234,IF(N(M234)&gt;0,M234&amp;" x "&amp;N234,N234&amp;" reps"),""))))))</f>
        <v/>
      </c>
      <c r="R234" s="20">
        <f>IF(N(X234)=0,"",ROUND(X234,1))</f>
        <v/>
      </c>
      <c r="S234" s="18">
        <f>IF(N(X234)=0,"",IF(AND(COUNTIFS(Log!$D$6:$D$1505,D234,Log!$B$6:$B$1505,"&lt;"&amp;B234)&gt;0,COUNTIFS(Log!$D$6:$D$1505,D234,Log!$B$6:$B$1505,"&lt;"&amp;B234,Log!$X$6:$X$1505,"&gt;="&amp;X234)=0),"New best",""))</f>
        <v/>
      </c>
      <c r="T234" s="26" t="n"/>
      <c r="U234" s="1">
        <f>IF(D234="","",IFERROR(INDEX(Exercises!$C$6:$C$105,MATCH(D234,Exercises!$B$6:$B$105,0)),"Other"))</f>
        <v/>
      </c>
      <c r="V234">
        <f>IF(B234="","",IF(COUNTIF($B$6:B234,B234)=1,1,0))</f>
        <v/>
      </c>
      <c r="W234">
        <f>IF(B234="","",B234-WEEKDAY(B234,3))</f>
        <v/>
      </c>
      <c r="X234">
        <f>IF(D234="","",MAX(IF(N(F234)=0,0,IF(N(E234)&gt;0,E234*(1+F234/30),F234)),IF(N(H234)=0,0,IF(N(G234)&gt;0,G234*(1+H234/30),H234)),IF(N(J234)=0,0,IF(N(I234)&gt;0,I234*(1+J234/30),J234)),IF(N(L234)=0,0,IF(N(K234)&gt;0,K234*(1+L234/30),L234)),IF(N(N234)=0,0,IF(N(M234)&gt;0,M234*(1+N234/30),N234))))</f>
        <v/>
      </c>
      <c r="Y234">
        <f>IF(N(X234)=0,"",X234+ROW()/1000000000)</f>
        <v/>
      </c>
      <c r="Z234">
        <f>IF(Y234="","",IF(COUNTIFS(Log!$D$6:$D$1505,D234,Log!$Y$6:$Y$1505,"&gt;"&amp;Y234)=0,1,0))</f>
        <v/>
      </c>
      <c r="AA234">
        <f>IF(OR(B234="",D234=""),"",B234+ROW()/10000000)</f>
        <v/>
      </c>
      <c r="AB234">
        <f>IF(AA234="","",IF(COUNTIFS(Log!$D$6:$D$1505,D234,Log!$AA$6:$AA$1505,"&gt;"&amp;AA234)=0,1,0))</f>
        <v/>
      </c>
      <c r="AC234">
        <f>IF(S234="New best",AA234,"")</f>
        <v/>
      </c>
      <c r="AD234">
        <f>ROW()</f>
        <v/>
      </c>
    </row>
    <row r="235">
      <c r="A235" s="1" t="n"/>
      <c r="B235" s="21" t="n">
        <v>46276</v>
      </c>
      <c r="C235" s="22" t="inlineStr">
        <is>
          <t>Upper</t>
        </is>
      </c>
      <c r="D235" s="23" t="inlineStr">
        <is>
          <t>Barbell row</t>
        </is>
      </c>
      <c r="E235" s="24" t="n">
        <v>115</v>
      </c>
      <c r="F235" s="24" t="n">
        <v>9</v>
      </c>
      <c r="G235" s="24" t="n">
        <v>115</v>
      </c>
      <c r="H235" s="24" t="n">
        <v>9</v>
      </c>
      <c r="I235" s="24" t="n">
        <v>115</v>
      </c>
      <c r="J235" s="24" t="n">
        <v>8</v>
      </c>
      <c r="K235" s="24" t="n"/>
      <c r="L235" s="24" t="n"/>
      <c r="M235" s="24" t="n"/>
      <c r="N235" s="24" t="n"/>
      <c r="O235" s="15">
        <f>IF(D235="","",COUNT(F235,H235,J235,L235,N235))</f>
        <v/>
      </c>
      <c r="P235" s="25">
        <f>IF(D235="","",N(E235)*N(F235)+N(G235)*N(H235)+N(I235)*N(J235)+N(K235)*N(L235)+N(M235)*N(N235))</f>
        <v/>
      </c>
      <c r="Q235" s="18">
        <f>IF(N(X235)=0,"",IF(IF(N(F235)=0,0,IF(N(E235)&gt;0,E235*(1+F235/30),F235))=X235,IF(N(E235)&gt;0,E235&amp;" x "&amp;F235,F235&amp;" reps"),IF(IF(N(H235)=0,0,IF(N(G235)&gt;0,G235*(1+H235/30),H235))=X235,IF(N(G235)&gt;0,G235&amp;" x "&amp;H235,H235&amp;" reps"),IF(IF(N(J235)=0,0,IF(N(I235)&gt;0,I235*(1+J235/30),J235))=X235,IF(N(I235)&gt;0,I235&amp;" x "&amp;J235,J235&amp;" reps"),IF(IF(N(L235)=0,0,IF(N(K235)&gt;0,K235*(1+L235/30),L235))=X235,IF(N(K235)&gt;0,K235&amp;" x "&amp;L235,L235&amp;" reps"),IF(IF(N(N235)=0,0,IF(N(M235)&gt;0,M235*(1+N235/30),N235))=X235,IF(N(M235)&gt;0,M235&amp;" x "&amp;N235,N235&amp;" reps"),""))))))</f>
        <v/>
      </c>
      <c r="R235" s="20">
        <f>IF(N(X235)=0,"",ROUND(X235,1))</f>
        <v/>
      </c>
      <c r="S235" s="18">
        <f>IF(N(X235)=0,"",IF(AND(COUNTIFS(Log!$D$6:$D$1505,D235,Log!$B$6:$B$1505,"&lt;"&amp;B235)&gt;0,COUNTIFS(Log!$D$6:$D$1505,D235,Log!$B$6:$B$1505,"&lt;"&amp;B235,Log!$X$6:$X$1505,"&gt;="&amp;X235)=0),"New best",""))</f>
        <v/>
      </c>
      <c r="T235" s="26" t="n"/>
      <c r="U235" s="1">
        <f>IF(D235="","",IFERROR(INDEX(Exercises!$C$6:$C$105,MATCH(D235,Exercises!$B$6:$B$105,0)),"Other"))</f>
        <v/>
      </c>
      <c r="V235">
        <f>IF(B235="","",IF(COUNTIF($B$6:B235,B235)=1,1,0))</f>
        <v/>
      </c>
      <c r="W235">
        <f>IF(B235="","",B235-WEEKDAY(B235,3))</f>
        <v/>
      </c>
      <c r="X235">
        <f>IF(D235="","",MAX(IF(N(F235)=0,0,IF(N(E235)&gt;0,E235*(1+F235/30),F235)),IF(N(H235)=0,0,IF(N(G235)&gt;0,G235*(1+H235/30),H235)),IF(N(J235)=0,0,IF(N(I235)&gt;0,I235*(1+J235/30),J235)),IF(N(L235)=0,0,IF(N(K235)&gt;0,K235*(1+L235/30),L235)),IF(N(N235)=0,0,IF(N(M235)&gt;0,M235*(1+N235/30),N235))))</f>
        <v/>
      </c>
      <c r="Y235">
        <f>IF(N(X235)=0,"",X235+ROW()/1000000000)</f>
        <v/>
      </c>
      <c r="Z235">
        <f>IF(Y235="","",IF(COUNTIFS(Log!$D$6:$D$1505,D235,Log!$Y$6:$Y$1505,"&gt;"&amp;Y235)=0,1,0))</f>
        <v/>
      </c>
      <c r="AA235">
        <f>IF(OR(B235="",D235=""),"",B235+ROW()/10000000)</f>
        <v/>
      </c>
      <c r="AB235">
        <f>IF(AA235="","",IF(COUNTIFS(Log!$D$6:$D$1505,D235,Log!$AA$6:$AA$1505,"&gt;"&amp;AA235)=0,1,0))</f>
        <v/>
      </c>
      <c r="AC235">
        <f>IF(S235="New best",AA235,"")</f>
        <v/>
      </c>
      <c r="AD235">
        <f>ROW()</f>
        <v/>
      </c>
    </row>
    <row r="236">
      <c r="A236" s="1" t="n"/>
      <c r="B236" s="21" t="n">
        <v>46276</v>
      </c>
      <c r="C236" s="22" t="inlineStr">
        <is>
          <t>Upper</t>
        </is>
      </c>
      <c r="D236" s="23" t="inlineStr">
        <is>
          <t>Overhead press</t>
        </is>
      </c>
      <c r="E236" s="24" t="n">
        <v>90</v>
      </c>
      <c r="F236" s="24" t="n">
        <v>10</v>
      </c>
      <c r="G236" s="24" t="n">
        <v>90</v>
      </c>
      <c r="H236" s="24" t="n">
        <v>8</v>
      </c>
      <c r="I236" s="24" t="n">
        <v>90</v>
      </c>
      <c r="J236" s="24" t="n">
        <v>8</v>
      </c>
      <c r="K236" s="24" t="n"/>
      <c r="L236" s="24" t="n"/>
      <c r="M236" s="24" t="n"/>
      <c r="N236" s="24" t="n"/>
      <c r="O236" s="15">
        <f>IF(D236="","",COUNT(F236,H236,J236,L236,N236))</f>
        <v/>
      </c>
      <c r="P236" s="25">
        <f>IF(D236="","",N(E236)*N(F236)+N(G236)*N(H236)+N(I236)*N(J236)+N(K236)*N(L236)+N(M236)*N(N236))</f>
        <v/>
      </c>
      <c r="Q236" s="18">
        <f>IF(N(X236)=0,"",IF(IF(N(F236)=0,0,IF(N(E236)&gt;0,E236*(1+F236/30),F236))=X236,IF(N(E236)&gt;0,E236&amp;" x "&amp;F236,F236&amp;" reps"),IF(IF(N(H236)=0,0,IF(N(G236)&gt;0,G236*(1+H236/30),H236))=X236,IF(N(G236)&gt;0,G236&amp;" x "&amp;H236,H236&amp;" reps"),IF(IF(N(J236)=0,0,IF(N(I236)&gt;0,I236*(1+J236/30),J236))=X236,IF(N(I236)&gt;0,I236&amp;" x "&amp;J236,J236&amp;" reps"),IF(IF(N(L236)=0,0,IF(N(K236)&gt;0,K236*(1+L236/30),L236))=X236,IF(N(K236)&gt;0,K236&amp;" x "&amp;L236,L236&amp;" reps"),IF(IF(N(N236)=0,0,IF(N(M236)&gt;0,M236*(1+N236/30),N236))=X236,IF(N(M236)&gt;0,M236&amp;" x "&amp;N236,N236&amp;" reps"),""))))))</f>
        <v/>
      </c>
      <c r="R236" s="20">
        <f>IF(N(X236)=0,"",ROUND(X236,1))</f>
        <v/>
      </c>
      <c r="S236" s="18">
        <f>IF(N(X236)=0,"",IF(AND(COUNTIFS(Log!$D$6:$D$1505,D236,Log!$B$6:$B$1505,"&lt;"&amp;B236)&gt;0,COUNTIFS(Log!$D$6:$D$1505,D236,Log!$B$6:$B$1505,"&lt;"&amp;B236,Log!$X$6:$X$1505,"&gt;="&amp;X236)=0),"New best",""))</f>
        <v/>
      </c>
      <c r="T236" s="26" t="inlineStr">
        <is>
          <t>Slept badly</t>
        </is>
      </c>
      <c r="U236" s="1">
        <f>IF(D236="","",IFERROR(INDEX(Exercises!$C$6:$C$105,MATCH(D236,Exercises!$B$6:$B$105,0)),"Other"))</f>
        <v/>
      </c>
      <c r="V236">
        <f>IF(B236="","",IF(COUNTIF($B$6:B236,B236)=1,1,0))</f>
        <v/>
      </c>
      <c r="W236">
        <f>IF(B236="","",B236-WEEKDAY(B236,3))</f>
        <v/>
      </c>
      <c r="X236">
        <f>IF(D236="","",MAX(IF(N(F236)=0,0,IF(N(E236)&gt;0,E236*(1+F236/30),F236)),IF(N(H236)=0,0,IF(N(G236)&gt;0,G236*(1+H236/30),H236)),IF(N(J236)=0,0,IF(N(I236)&gt;0,I236*(1+J236/30),J236)),IF(N(L236)=0,0,IF(N(K236)&gt;0,K236*(1+L236/30),L236)),IF(N(N236)=0,0,IF(N(M236)&gt;0,M236*(1+N236/30),N236))))</f>
        <v/>
      </c>
      <c r="Y236">
        <f>IF(N(X236)=0,"",X236+ROW()/1000000000)</f>
        <v/>
      </c>
      <c r="Z236">
        <f>IF(Y236="","",IF(COUNTIFS(Log!$D$6:$D$1505,D236,Log!$Y$6:$Y$1505,"&gt;"&amp;Y236)=0,1,0))</f>
        <v/>
      </c>
      <c r="AA236">
        <f>IF(OR(B236="",D236=""),"",B236+ROW()/10000000)</f>
        <v/>
      </c>
      <c r="AB236">
        <f>IF(AA236="","",IF(COUNTIFS(Log!$D$6:$D$1505,D236,Log!$AA$6:$AA$1505,"&gt;"&amp;AA236)=0,1,0))</f>
        <v/>
      </c>
      <c r="AC236">
        <f>IF(S236="New best",AA236,"")</f>
        <v/>
      </c>
      <c r="AD236">
        <f>ROW()</f>
        <v/>
      </c>
    </row>
    <row r="237">
      <c r="A237" s="1" t="n"/>
      <c r="B237" s="21" t="n">
        <v>46276</v>
      </c>
      <c r="C237" s="22" t="inlineStr">
        <is>
          <t>Upper</t>
        </is>
      </c>
      <c r="D237" s="23" t="inlineStr">
        <is>
          <t>Pull-up</t>
        </is>
      </c>
      <c r="E237" s="24" t="n"/>
      <c r="F237" s="24" t="n">
        <v>9</v>
      </c>
      <c r="G237" s="24" t="n"/>
      <c r="H237" s="24" t="n">
        <v>7</v>
      </c>
      <c r="I237" s="24" t="n"/>
      <c r="J237" s="24" t="n">
        <v>7</v>
      </c>
      <c r="K237" s="24" t="n"/>
      <c r="L237" s="24" t="n"/>
      <c r="M237" s="24" t="n"/>
      <c r="N237" s="24" t="n"/>
      <c r="O237" s="15">
        <f>IF(D237="","",COUNT(F237,H237,J237,L237,N237))</f>
        <v/>
      </c>
      <c r="P237" s="25">
        <f>IF(D237="","",N(E237)*N(F237)+N(G237)*N(H237)+N(I237)*N(J237)+N(K237)*N(L237)+N(M237)*N(N237))</f>
        <v/>
      </c>
      <c r="Q237" s="18">
        <f>IF(N(X237)=0,"",IF(IF(N(F237)=0,0,IF(N(E237)&gt;0,E237*(1+F237/30),F237))=X237,IF(N(E237)&gt;0,E237&amp;" x "&amp;F237,F237&amp;" reps"),IF(IF(N(H237)=0,0,IF(N(G237)&gt;0,G237*(1+H237/30),H237))=X237,IF(N(G237)&gt;0,G237&amp;" x "&amp;H237,H237&amp;" reps"),IF(IF(N(J237)=0,0,IF(N(I237)&gt;0,I237*(1+J237/30),J237))=X237,IF(N(I237)&gt;0,I237&amp;" x "&amp;J237,J237&amp;" reps"),IF(IF(N(L237)=0,0,IF(N(K237)&gt;0,K237*(1+L237/30),L237))=X237,IF(N(K237)&gt;0,K237&amp;" x "&amp;L237,L237&amp;" reps"),IF(IF(N(N237)=0,0,IF(N(M237)&gt;0,M237*(1+N237/30),N237))=X237,IF(N(M237)&gt;0,M237&amp;" x "&amp;N237,N237&amp;" reps"),""))))))</f>
        <v/>
      </c>
      <c r="R237" s="20">
        <f>IF(N(X237)=0,"",ROUND(X237,1))</f>
        <v/>
      </c>
      <c r="S237" s="18">
        <f>IF(N(X237)=0,"",IF(AND(COUNTIFS(Log!$D$6:$D$1505,D237,Log!$B$6:$B$1505,"&lt;"&amp;B237)&gt;0,COUNTIFS(Log!$D$6:$D$1505,D237,Log!$B$6:$B$1505,"&lt;"&amp;B237,Log!$X$6:$X$1505,"&gt;="&amp;X237)=0),"New best",""))</f>
        <v/>
      </c>
      <c r="T237" s="26" t="inlineStr">
        <is>
          <t>Slept badly</t>
        </is>
      </c>
      <c r="U237" s="1">
        <f>IF(D237="","",IFERROR(INDEX(Exercises!$C$6:$C$105,MATCH(D237,Exercises!$B$6:$B$105,0)),"Other"))</f>
        <v/>
      </c>
      <c r="V237">
        <f>IF(B237="","",IF(COUNTIF($B$6:B237,B237)=1,1,0))</f>
        <v/>
      </c>
      <c r="W237">
        <f>IF(B237="","",B237-WEEKDAY(B237,3))</f>
        <v/>
      </c>
      <c r="X237">
        <f>IF(D237="","",MAX(IF(N(F237)=0,0,IF(N(E237)&gt;0,E237*(1+F237/30),F237)),IF(N(H237)=0,0,IF(N(G237)&gt;0,G237*(1+H237/30),H237)),IF(N(J237)=0,0,IF(N(I237)&gt;0,I237*(1+J237/30),J237)),IF(N(L237)=0,0,IF(N(K237)&gt;0,K237*(1+L237/30),L237)),IF(N(N237)=0,0,IF(N(M237)&gt;0,M237*(1+N237/30),N237))))</f>
        <v/>
      </c>
      <c r="Y237">
        <f>IF(N(X237)=0,"",X237+ROW()/1000000000)</f>
        <v/>
      </c>
      <c r="Z237">
        <f>IF(Y237="","",IF(COUNTIFS(Log!$D$6:$D$1505,D237,Log!$Y$6:$Y$1505,"&gt;"&amp;Y237)=0,1,0))</f>
        <v/>
      </c>
      <c r="AA237">
        <f>IF(OR(B237="",D237=""),"",B237+ROW()/10000000)</f>
        <v/>
      </c>
      <c r="AB237">
        <f>IF(AA237="","",IF(COUNTIFS(Log!$D$6:$D$1505,D237,Log!$AA$6:$AA$1505,"&gt;"&amp;AA237)=0,1,0))</f>
        <v/>
      </c>
      <c r="AC237">
        <f>IF(S237="New best",AA237,"")</f>
        <v/>
      </c>
      <c r="AD237">
        <f>ROW()</f>
        <v/>
      </c>
    </row>
    <row r="238">
      <c r="A238" s="1" t="n"/>
      <c r="B238" s="21" t="n">
        <v>46276</v>
      </c>
      <c r="C238" s="22" t="inlineStr">
        <is>
          <t>Upper</t>
        </is>
      </c>
      <c r="D238" s="23" t="inlineStr">
        <is>
          <t>Biceps curl</t>
        </is>
      </c>
      <c r="E238" s="24" t="n">
        <v>30</v>
      </c>
      <c r="F238" s="24" t="n">
        <v>12</v>
      </c>
      <c r="G238" s="24" t="n">
        <v>30</v>
      </c>
      <c r="H238" s="24" t="n">
        <v>11</v>
      </c>
      <c r="I238" s="24" t="n"/>
      <c r="J238" s="24" t="n"/>
      <c r="K238" s="24" t="n"/>
      <c r="L238" s="24" t="n"/>
      <c r="M238" s="24" t="n"/>
      <c r="N238" s="24" t="n"/>
      <c r="O238" s="15">
        <f>IF(D238="","",COUNT(F238,H238,J238,L238,N238))</f>
        <v/>
      </c>
      <c r="P238" s="25">
        <f>IF(D238="","",N(E238)*N(F238)+N(G238)*N(H238)+N(I238)*N(J238)+N(K238)*N(L238)+N(M238)*N(N238))</f>
        <v/>
      </c>
      <c r="Q238" s="18">
        <f>IF(N(X238)=0,"",IF(IF(N(F238)=0,0,IF(N(E238)&gt;0,E238*(1+F238/30),F238))=X238,IF(N(E238)&gt;0,E238&amp;" x "&amp;F238,F238&amp;" reps"),IF(IF(N(H238)=0,0,IF(N(G238)&gt;0,G238*(1+H238/30),H238))=X238,IF(N(G238)&gt;0,G238&amp;" x "&amp;H238,H238&amp;" reps"),IF(IF(N(J238)=0,0,IF(N(I238)&gt;0,I238*(1+J238/30),J238))=X238,IF(N(I238)&gt;0,I238&amp;" x "&amp;J238,J238&amp;" reps"),IF(IF(N(L238)=0,0,IF(N(K238)&gt;0,K238*(1+L238/30),L238))=X238,IF(N(K238)&gt;0,K238&amp;" x "&amp;L238,L238&amp;" reps"),IF(IF(N(N238)=0,0,IF(N(M238)&gt;0,M238*(1+N238/30),N238))=X238,IF(N(M238)&gt;0,M238&amp;" x "&amp;N238,N238&amp;" reps"),""))))))</f>
        <v/>
      </c>
      <c r="R238" s="20">
        <f>IF(N(X238)=0,"",ROUND(X238,1))</f>
        <v/>
      </c>
      <c r="S238" s="18">
        <f>IF(N(X238)=0,"",IF(AND(COUNTIFS(Log!$D$6:$D$1505,D238,Log!$B$6:$B$1505,"&lt;"&amp;B238)&gt;0,COUNTIFS(Log!$D$6:$D$1505,D238,Log!$B$6:$B$1505,"&lt;"&amp;B238,Log!$X$6:$X$1505,"&gt;="&amp;X238)=0),"New best",""))</f>
        <v/>
      </c>
      <c r="T238" s="26" t="n"/>
      <c r="U238" s="1">
        <f>IF(D238="","",IFERROR(INDEX(Exercises!$C$6:$C$105,MATCH(D238,Exercises!$B$6:$B$105,0)),"Other"))</f>
        <v/>
      </c>
      <c r="V238">
        <f>IF(B238="","",IF(COUNTIF($B$6:B238,B238)=1,1,0))</f>
        <v/>
      </c>
      <c r="W238">
        <f>IF(B238="","",B238-WEEKDAY(B238,3))</f>
        <v/>
      </c>
      <c r="X238">
        <f>IF(D238="","",MAX(IF(N(F238)=0,0,IF(N(E238)&gt;0,E238*(1+F238/30),F238)),IF(N(H238)=0,0,IF(N(G238)&gt;0,G238*(1+H238/30),H238)),IF(N(J238)=0,0,IF(N(I238)&gt;0,I238*(1+J238/30),J238)),IF(N(L238)=0,0,IF(N(K238)&gt;0,K238*(1+L238/30),L238)),IF(N(N238)=0,0,IF(N(M238)&gt;0,M238*(1+N238/30),N238))))</f>
        <v/>
      </c>
      <c r="Y238">
        <f>IF(N(X238)=0,"",X238+ROW()/1000000000)</f>
        <v/>
      </c>
      <c r="Z238">
        <f>IF(Y238="","",IF(COUNTIFS(Log!$D$6:$D$1505,D238,Log!$Y$6:$Y$1505,"&gt;"&amp;Y238)=0,1,0))</f>
        <v/>
      </c>
      <c r="AA238">
        <f>IF(OR(B238="",D238=""),"",B238+ROW()/10000000)</f>
        <v/>
      </c>
      <c r="AB238">
        <f>IF(AA238="","",IF(COUNTIFS(Log!$D$6:$D$1505,D238,Log!$AA$6:$AA$1505,"&gt;"&amp;AA238)=0,1,0))</f>
        <v/>
      </c>
      <c r="AC238">
        <f>IF(S238="New best",AA238,"")</f>
        <v/>
      </c>
      <c r="AD238">
        <f>ROW()</f>
        <v/>
      </c>
    </row>
    <row r="239">
      <c r="A239" s="1" t="n"/>
      <c r="B239" s="21" t="n">
        <v>46276</v>
      </c>
      <c r="C239" s="22" t="inlineStr">
        <is>
          <t>Upper</t>
        </is>
      </c>
      <c r="D239" s="23" t="inlineStr">
        <is>
          <t>Triceps pushdown</t>
        </is>
      </c>
      <c r="E239" s="24" t="n">
        <v>50</v>
      </c>
      <c r="F239" s="24" t="n">
        <v>11</v>
      </c>
      <c r="G239" s="24" t="n">
        <v>50</v>
      </c>
      <c r="H239" s="24" t="n">
        <v>11</v>
      </c>
      <c r="I239" s="24" t="n"/>
      <c r="J239" s="24" t="n"/>
      <c r="K239" s="24" t="n"/>
      <c r="L239" s="24" t="n"/>
      <c r="M239" s="24" t="n"/>
      <c r="N239" s="24" t="n"/>
      <c r="O239" s="15">
        <f>IF(D239="","",COUNT(F239,H239,J239,L239,N239))</f>
        <v/>
      </c>
      <c r="P239" s="25">
        <f>IF(D239="","",N(E239)*N(F239)+N(G239)*N(H239)+N(I239)*N(J239)+N(K239)*N(L239)+N(M239)*N(N239))</f>
        <v/>
      </c>
      <c r="Q239" s="18">
        <f>IF(N(X239)=0,"",IF(IF(N(F239)=0,0,IF(N(E239)&gt;0,E239*(1+F239/30),F239))=X239,IF(N(E239)&gt;0,E239&amp;" x "&amp;F239,F239&amp;" reps"),IF(IF(N(H239)=0,0,IF(N(G239)&gt;0,G239*(1+H239/30),H239))=X239,IF(N(G239)&gt;0,G239&amp;" x "&amp;H239,H239&amp;" reps"),IF(IF(N(J239)=0,0,IF(N(I239)&gt;0,I239*(1+J239/30),J239))=X239,IF(N(I239)&gt;0,I239&amp;" x "&amp;J239,J239&amp;" reps"),IF(IF(N(L239)=0,0,IF(N(K239)&gt;0,K239*(1+L239/30),L239))=X239,IF(N(K239)&gt;0,K239&amp;" x "&amp;L239,L239&amp;" reps"),IF(IF(N(N239)=0,0,IF(N(M239)&gt;0,M239*(1+N239/30),N239))=X239,IF(N(M239)&gt;0,M239&amp;" x "&amp;N239,N239&amp;" reps"),""))))))</f>
        <v/>
      </c>
      <c r="R239" s="20">
        <f>IF(N(X239)=0,"",ROUND(X239,1))</f>
        <v/>
      </c>
      <c r="S239" s="18">
        <f>IF(N(X239)=0,"",IF(AND(COUNTIFS(Log!$D$6:$D$1505,D239,Log!$B$6:$B$1505,"&lt;"&amp;B239)&gt;0,COUNTIFS(Log!$D$6:$D$1505,D239,Log!$B$6:$B$1505,"&lt;"&amp;B239,Log!$X$6:$X$1505,"&gt;="&amp;X239)=0),"New best",""))</f>
        <v/>
      </c>
      <c r="T239" s="26" t="inlineStr">
        <is>
          <t>Easy, go up next time</t>
        </is>
      </c>
      <c r="U239" s="1">
        <f>IF(D239="","",IFERROR(INDEX(Exercises!$C$6:$C$105,MATCH(D239,Exercises!$B$6:$B$105,0)),"Other"))</f>
        <v/>
      </c>
      <c r="V239">
        <f>IF(B239="","",IF(COUNTIF($B$6:B239,B239)=1,1,0))</f>
        <v/>
      </c>
      <c r="W239">
        <f>IF(B239="","",B239-WEEKDAY(B239,3))</f>
        <v/>
      </c>
      <c r="X239">
        <f>IF(D239="","",MAX(IF(N(F239)=0,0,IF(N(E239)&gt;0,E239*(1+F239/30),F239)),IF(N(H239)=0,0,IF(N(G239)&gt;0,G239*(1+H239/30),H239)),IF(N(J239)=0,0,IF(N(I239)&gt;0,I239*(1+J239/30),J239)),IF(N(L239)=0,0,IF(N(K239)&gt;0,K239*(1+L239/30),L239)),IF(N(N239)=0,0,IF(N(M239)&gt;0,M239*(1+N239/30),N239))))</f>
        <v/>
      </c>
      <c r="Y239">
        <f>IF(N(X239)=0,"",X239+ROW()/1000000000)</f>
        <v/>
      </c>
      <c r="Z239">
        <f>IF(Y239="","",IF(COUNTIFS(Log!$D$6:$D$1505,D239,Log!$Y$6:$Y$1505,"&gt;"&amp;Y239)=0,1,0))</f>
        <v/>
      </c>
      <c r="AA239">
        <f>IF(OR(B239="",D239=""),"",B239+ROW()/10000000)</f>
        <v/>
      </c>
      <c r="AB239">
        <f>IF(AA239="","",IF(COUNTIFS(Log!$D$6:$D$1505,D239,Log!$AA$6:$AA$1505,"&gt;"&amp;AA239)=0,1,0))</f>
        <v/>
      </c>
      <c r="AC239">
        <f>IF(S239="New best",AA239,"")</f>
        <v/>
      </c>
      <c r="AD239">
        <f>ROW()</f>
        <v/>
      </c>
    </row>
    <row r="240">
      <c r="A240" s="1" t="n"/>
      <c r="B240" s="21" t="n">
        <v>46277</v>
      </c>
      <c r="C240" s="22" t="inlineStr">
        <is>
          <t>Lower</t>
        </is>
      </c>
      <c r="D240" s="23" t="inlineStr">
        <is>
          <t>Squat</t>
        </is>
      </c>
      <c r="E240" s="24" t="n">
        <v>195</v>
      </c>
      <c r="F240" s="24" t="n">
        <v>8</v>
      </c>
      <c r="G240" s="24" t="n">
        <v>195</v>
      </c>
      <c r="H240" s="24" t="n">
        <v>8</v>
      </c>
      <c r="I240" s="24" t="n">
        <v>195</v>
      </c>
      <c r="J240" s="24" t="n">
        <v>8</v>
      </c>
      <c r="K240" s="24" t="n"/>
      <c r="L240" s="24" t="n"/>
      <c r="M240" s="24" t="n"/>
      <c r="N240" s="24" t="n"/>
      <c r="O240" s="15">
        <f>IF(D240="","",COUNT(F240,H240,J240,L240,N240))</f>
        <v/>
      </c>
      <c r="P240" s="25">
        <f>IF(D240="","",N(E240)*N(F240)+N(G240)*N(H240)+N(I240)*N(J240)+N(K240)*N(L240)+N(M240)*N(N240))</f>
        <v/>
      </c>
      <c r="Q240" s="18">
        <f>IF(N(X240)=0,"",IF(IF(N(F240)=0,0,IF(N(E240)&gt;0,E240*(1+F240/30),F240))=X240,IF(N(E240)&gt;0,E240&amp;" x "&amp;F240,F240&amp;" reps"),IF(IF(N(H240)=0,0,IF(N(G240)&gt;0,G240*(1+H240/30),H240))=X240,IF(N(G240)&gt;0,G240&amp;" x "&amp;H240,H240&amp;" reps"),IF(IF(N(J240)=0,0,IF(N(I240)&gt;0,I240*(1+J240/30),J240))=X240,IF(N(I240)&gt;0,I240&amp;" x "&amp;J240,J240&amp;" reps"),IF(IF(N(L240)=0,0,IF(N(K240)&gt;0,K240*(1+L240/30),L240))=X240,IF(N(K240)&gt;0,K240&amp;" x "&amp;L240,L240&amp;" reps"),IF(IF(N(N240)=0,0,IF(N(M240)&gt;0,M240*(1+N240/30),N240))=X240,IF(N(M240)&gt;0,M240&amp;" x "&amp;N240,N240&amp;" reps"),""))))))</f>
        <v/>
      </c>
      <c r="R240" s="20">
        <f>IF(N(X240)=0,"",ROUND(X240,1))</f>
        <v/>
      </c>
      <c r="S240" s="18">
        <f>IF(N(X240)=0,"",IF(AND(COUNTIFS(Log!$D$6:$D$1505,D240,Log!$B$6:$B$1505,"&lt;"&amp;B240)&gt;0,COUNTIFS(Log!$D$6:$D$1505,D240,Log!$B$6:$B$1505,"&lt;"&amp;B240,Log!$X$6:$X$1505,"&gt;="&amp;X240)=0),"New best",""))</f>
        <v/>
      </c>
      <c r="T240" s="26" t="n"/>
      <c r="U240" s="1">
        <f>IF(D240="","",IFERROR(INDEX(Exercises!$C$6:$C$105,MATCH(D240,Exercises!$B$6:$B$105,0)),"Other"))</f>
        <v/>
      </c>
      <c r="V240">
        <f>IF(B240="","",IF(COUNTIF($B$6:B240,B240)=1,1,0))</f>
        <v/>
      </c>
      <c r="W240">
        <f>IF(B240="","",B240-WEEKDAY(B240,3))</f>
        <v/>
      </c>
      <c r="X240">
        <f>IF(D240="","",MAX(IF(N(F240)=0,0,IF(N(E240)&gt;0,E240*(1+F240/30),F240)),IF(N(H240)=0,0,IF(N(G240)&gt;0,G240*(1+H240/30),H240)),IF(N(J240)=0,0,IF(N(I240)&gt;0,I240*(1+J240/30),J240)),IF(N(L240)=0,0,IF(N(K240)&gt;0,K240*(1+L240/30),L240)),IF(N(N240)=0,0,IF(N(M240)&gt;0,M240*(1+N240/30),N240))))</f>
        <v/>
      </c>
      <c r="Y240">
        <f>IF(N(X240)=0,"",X240+ROW()/1000000000)</f>
        <v/>
      </c>
      <c r="Z240">
        <f>IF(Y240="","",IF(COUNTIFS(Log!$D$6:$D$1505,D240,Log!$Y$6:$Y$1505,"&gt;"&amp;Y240)=0,1,0))</f>
        <v/>
      </c>
      <c r="AA240">
        <f>IF(OR(B240="",D240=""),"",B240+ROW()/10000000)</f>
        <v/>
      </c>
      <c r="AB240">
        <f>IF(AA240="","",IF(COUNTIFS(Log!$D$6:$D$1505,D240,Log!$AA$6:$AA$1505,"&gt;"&amp;AA240)=0,1,0))</f>
        <v/>
      </c>
      <c r="AC240">
        <f>IF(S240="New best",AA240,"")</f>
        <v/>
      </c>
      <c r="AD240">
        <f>ROW()</f>
        <v/>
      </c>
    </row>
    <row r="241">
      <c r="A241" s="1" t="n"/>
      <c r="B241" s="21" t="n">
        <v>46277</v>
      </c>
      <c r="C241" s="22" t="inlineStr">
        <is>
          <t>Lower</t>
        </is>
      </c>
      <c r="D241" s="23" t="inlineStr">
        <is>
          <t>Romanian deadlift</t>
        </is>
      </c>
      <c r="E241" s="24" t="n">
        <v>165</v>
      </c>
      <c r="F241" s="24" t="n">
        <v>9</v>
      </c>
      <c r="G241" s="24" t="n">
        <v>165</v>
      </c>
      <c r="H241" s="24" t="n">
        <v>8</v>
      </c>
      <c r="I241" s="24" t="n">
        <v>165</v>
      </c>
      <c r="J241" s="24" t="n">
        <v>8</v>
      </c>
      <c r="K241" s="24" t="n"/>
      <c r="L241" s="24" t="n"/>
      <c r="M241" s="24" t="n"/>
      <c r="N241" s="24" t="n"/>
      <c r="O241" s="15">
        <f>IF(D241="","",COUNT(F241,H241,J241,L241,N241))</f>
        <v/>
      </c>
      <c r="P241" s="25">
        <f>IF(D241="","",N(E241)*N(F241)+N(G241)*N(H241)+N(I241)*N(J241)+N(K241)*N(L241)+N(M241)*N(N241))</f>
        <v/>
      </c>
      <c r="Q241" s="18">
        <f>IF(N(X241)=0,"",IF(IF(N(F241)=0,0,IF(N(E241)&gt;0,E241*(1+F241/30),F241))=X241,IF(N(E241)&gt;0,E241&amp;" x "&amp;F241,F241&amp;" reps"),IF(IF(N(H241)=0,0,IF(N(G241)&gt;0,G241*(1+H241/30),H241))=X241,IF(N(G241)&gt;0,G241&amp;" x "&amp;H241,H241&amp;" reps"),IF(IF(N(J241)=0,0,IF(N(I241)&gt;0,I241*(1+J241/30),J241))=X241,IF(N(I241)&gt;0,I241&amp;" x "&amp;J241,J241&amp;" reps"),IF(IF(N(L241)=0,0,IF(N(K241)&gt;0,K241*(1+L241/30),L241))=X241,IF(N(K241)&gt;0,K241&amp;" x "&amp;L241,L241&amp;" reps"),IF(IF(N(N241)=0,0,IF(N(M241)&gt;0,M241*(1+N241/30),N241))=X241,IF(N(M241)&gt;0,M241&amp;" x "&amp;N241,N241&amp;" reps"),""))))))</f>
        <v/>
      </c>
      <c r="R241" s="20">
        <f>IF(N(X241)=0,"",ROUND(X241,1))</f>
        <v/>
      </c>
      <c r="S241" s="18">
        <f>IF(N(X241)=0,"",IF(AND(COUNTIFS(Log!$D$6:$D$1505,D241,Log!$B$6:$B$1505,"&lt;"&amp;B241)&gt;0,COUNTIFS(Log!$D$6:$D$1505,D241,Log!$B$6:$B$1505,"&lt;"&amp;B241,Log!$X$6:$X$1505,"&gt;="&amp;X241)=0),"New best",""))</f>
        <v/>
      </c>
      <c r="T241" s="26" t="n"/>
      <c r="U241" s="1">
        <f>IF(D241="","",IFERROR(INDEX(Exercises!$C$6:$C$105,MATCH(D241,Exercises!$B$6:$B$105,0)),"Other"))</f>
        <v/>
      </c>
      <c r="V241">
        <f>IF(B241="","",IF(COUNTIF($B$6:B241,B241)=1,1,0))</f>
        <v/>
      </c>
      <c r="W241">
        <f>IF(B241="","",B241-WEEKDAY(B241,3))</f>
        <v/>
      </c>
      <c r="X241">
        <f>IF(D241="","",MAX(IF(N(F241)=0,0,IF(N(E241)&gt;0,E241*(1+F241/30),F241)),IF(N(H241)=0,0,IF(N(G241)&gt;0,G241*(1+H241/30),H241)),IF(N(J241)=0,0,IF(N(I241)&gt;0,I241*(1+J241/30),J241)),IF(N(L241)=0,0,IF(N(K241)&gt;0,K241*(1+L241/30),L241)),IF(N(N241)=0,0,IF(N(M241)&gt;0,M241*(1+N241/30),N241))))</f>
        <v/>
      </c>
      <c r="Y241">
        <f>IF(N(X241)=0,"",X241+ROW()/1000000000)</f>
        <v/>
      </c>
      <c r="Z241">
        <f>IF(Y241="","",IF(COUNTIFS(Log!$D$6:$D$1505,D241,Log!$Y$6:$Y$1505,"&gt;"&amp;Y241)=0,1,0))</f>
        <v/>
      </c>
      <c r="AA241">
        <f>IF(OR(B241="",D241=""),"",B241+ROW()/10000000)</f>
        <v/>
      </c>
      <c r="AB241">
        <f>IF(AA241="","",IF(COUNTIFS(Log!$D$6:$D$1505,D241,Log!$AA$6:$AA$1505,"&gt;"&amp;AA241)=0,1,0))</f>
        <v/>
      </c>
      <c r="AC241">
        <f>IF(S241="New best",AA241,"")</f>
        <v/>
      </c>
      <c r="AD241">
        <f>ROW()</f>
        <v/>
      </c>
    </row>
    <row r="242">
      <c r="A242" s="1" t="n"/>
      <c r="B242" s="21" t="n">
        <v>46277</v>
      </c>
      <c r="C242" s="22" t="inlineStr">
        <is>
          <t>Lower</t>
        </is>
      </c>
      <c r="D242" s="23" t="inlineStr">
        <is>
          <t>Leg press</t>
        </is>
      </c>
      <c r="E242" s="24" t="n">
        <v>295</v>
      </c>
      <c r="F242" s="24" t="n">
        <v>15</v>
      </c>
      <c r="G242" s="24" t="n">
        <v>295</v>
      </c>
      <c r="H242" s="24" t="n">
        <v>14</v>
      </c>
      <c r="I242" s="24" t="n">
        <v>295</v>
      </c>
      <c r="J242" s="24" t="n">
        <v>12</v>
      </c>
      <c r="K242" s="24" t="n"/>
      <c r="L242" s="24" t="n"/>
      <c r="M242" s="24" t="n"/>
      <c r="N242" s="24" t="n"/>
      <c r="O242" s="15">
        <f>IF(D242="","",COUNT(F242,H242,J242,L242,N242))</f>
        <v/>
      </c>
      <c r="P242" s="25">
        <f>IF(D242="","",N(E242)*N(F242)+N(G242)*N(H242)+N(I242)*N(J242)+N(K242)*N(L242)+N(M242)*N(N242))</f>
        <v/>
      </c>
      <c r="Q242" s="18">
        <f>IF(N(X242)=0,"",IF(IF(N(F242)=0,0,IF(N(E242)&gt;0,E242*(1+F242/30),F242))=X242,IF(N(E242)&gt;0,E242&amp;" x "&amp;F242,F242&amp;" reps"),IF(IF(N(H242)=0,0,IF(N(G242)&gt;0,G242*(1+H242/30),H242))=X242,IF(N(G242)&gt;0,G242&amp;" x "&amp;H242,H242&amp;" reps"),IF(IF(N(J242)=0,0,IF(N(I242)&gt;0,I242*(1+J242/30),J242))=X242,IF(N(I242)&gt;0,I242&amp;" x "&amp;J242,J242&amp;" reps"),IF(IF(N(L242)=0,0,IF(N(K242)&gt;0,K242*(1+L242/30),L242))=X242,IF(N(K242)&gt;0,K242&amp;" x "&amp;L242,L242&amp;" reps"),IF(IF(N(N242)=0,0,IF(N(M242)&gt;0,M242*(1+N242/30),N242))=X242,IF(N(M242)&gt;0,M242&amp;" x "&amp;N242,N242&amp;" reps"),""))))))</f>
        <v/>
      </c>
      <c r="R242" s="20">
        <f>IF(N(X242)=0,"",ROUND(X242,1))</f>
        <v/>
      </c>
      <c r="S242" s="18">
        <f>IF(N(X242)=0,"",IF(AND(COUNTIFS(Log!$D$6:$D$1505,D242,Log!$B$6:$B$1505,"&lt;"&amp;B242)&gt;0,COUNTIFS(Log!$D$6:$D$1505,D242,Log!$B$6:$B$1505,"&lt;"&amp;B242,Log!$X$6:$X$1505,"&gt;="&amp;X242)=0),"New best",""))</f>
        <v/>
      </c>
      <c r="T242" s="26" t="n"/>
      <c r="U242" s="1">
        <f>IF(D242="","",IFERROR(INDEX(Exercises!$C$6:$C$105,MATCH(D242,Exercises!$B$6:$B$105,0)),"Other"))</f>
        <v/>
      </c>
      <c r="V242">
        <f>IF(B242="","",IF(COUNTIF($B$6:B242,B242)=1,1,0))</f>
        <v/>
      </c>
      <c r="W242">
        <f>IF(B242="","",B242-WEEKDAY(B242,3))</f>
        <v/>
      </c>
      <c r="X242">
        <f>IF(D242="","",MAX(IF(N(F242)=0,0,IF(N(E242)&gt;0,E242*(1+F242/30),F242)),IF(N(H242)=0,0,IF(N(G242)&gt;0,G242*(1+H242/30),H242)),IF(N(J242)=0,0,IF(N(I242)&gt;0,I242*(1+J242/30),J242)),IF(N(L242)=0,0,IF(N(K242)&gt;0,K242*(1+L242/30),L242)),IF(N(N242)=0,0,IF(N(M242)&gt;0,M242*(1+N242/30),N242))))</f>
        <v/>
      </c>
      <c r="Y242">
        <f>IF(N(X242)=0,"",X242+ROW()/1000000000)</f>
        <v/>
      </c>
      <c r="Z242">
        <f>IF(Y242="","",IF(COUNTIFS(Log!$D$6:$D$1505,D242,Log!$Y$6:$Y$1505,"&gt;"&amp;Y242)=0,1,0))</f>
        <v/>
      </c>
      <c r="AA242">
        <f>IF(OR(B242="",D242=""),"",B242+ROW()/10000000)</f>
        <v/>
      </c>
      <c r="AB242">
        <f>IF(AA242="","",IF(COUNTIFS(Log!$D$6:$D$1505,D242,Log!$AA$6:$AA$1505,"&gt;"&amp;AA242)=0,1,0))</f>
        <v/>
      </c>
      <c r="AC242">
        <f>IF(S242="New best",AA242,"")</f>
        <v/>
      </c>
      <c r="AD242">
        <f>ROW()</f>
        <v/>
      </c>
    </row>
    <row r="243">
      <c r="A243" s="1" t="n"/>
      <c r="B243" s="21" t="n">
        <v>46277</v>
      </c>
      <c r="C243" s="22" t="inlineStr">
        <is>
          <t>Lower</t>
        </is>
      </c>
      <c r="D243" s="23" t="inlineStr">
        <is>
          <t>Calf raise</t>
        </is>
      </c>
      <c r="E243" s="24" t="n">
        <v>110</v>
      </c>
      <c r="F243" s="24" t="n">
        <v>15</v>
      </c>
      <c r="G243" s="24" t="n">
        <v>110</v>
      </c>
      <c r="H243" s="24" t="n">
        <v>15</v>
      </c>
      <c r="I243" s="24" t="n">
        <v>110</v>
      </c>
      <c r="J243" s="24" t="n">
        <v>15</v>
      </c>
      <c r="K243" s="24" t="n"/>
      <c r="L243" s="24" t="n"/>
      <c r="M243" s="24" t="n"/>
      <c r="N243" s="24" t="n"/>
      <c r="O243" s="15">
        <f>IF(D243="","",COUNT(F243,H243,J243,L243,N243))</f>
        <v/>
      </c>
      <c r="P243" s="25">
        <f>IF(D243="","",N(E243)*N(F243)+N(G243)*N(H243)+N(I243)*N(J243)+N(K243)*N(L243)+N(M243)*N(N243))</f>
        <v/>
      </c>
      <c r="Q243" s="18">
        <f>IF(N(X243)=0,"",IF(IF(N(F243)=0,0,IF(N(E243)&gt;0,E243*(1+F243/30),F243))=X243,IF(N(E243)&gt;0,E243&amp;" x "&amp;F243,F243&amp;" reps"),IF(IF(N(H243)=0,0,IF(N(G243)&gt;0,G243*(1+H243/30),H243))=X243,IF(N(G243)&gt;0,G243&amp;" x "&amp;H243,H243&amp;" reps"),IF(IF(N(J243)=0,0,IF(N(I243)&gt;0,I243*(1+J243/30),J243))=X243,IF(N(I243)&gt;0,I243&amp;" x "&amp;J243,J243&amp;" reps"),IF(IF(N(L243)=0,0,IF(N(K243)&gt;0,K243*(1+L243/30),L243))=X243,IF(N(K243)&gt;0,K243&amp;" x "&amp;L243,L243&amp;" reps"),IF(IF(N(N243)=0,0,IF(N(M243)&gt;0,M243*(1+N243/30),N243))=X243,IF(N(M243)&gt;0,M243&amp;" x "&amp;N243,N243&amp;" reps"),""))))))</f>
        <v/>
      </c>
      <c r="R243" s="20">
        <f>IF(N(X243)=0,"",ROUND(X243,1))</f>
        <v/>
      </c>
      <c r="S243" s="18">
        <f>IF(N(X243)=0,"",IF(AND(COUNTIFS(Log!$D$6:$D$1505,D243,Log!$B$6:$B$1505,"&lt;"&amp;B243)&gt;0,COUNTIFS(Log!$D$6:$D$1505,D243,Log!$B$6:$B$1505,"&lt;"&amp;B243,Log!$X$6:$X$1505,"&gt;="&amp;X243)=0),"New best",""))</f>
        <v/>
      </c>
      <c r="T243" s="26" t="inlineStr">
        <is>
          <t>Slept badly</t>
        </is>
      </c>
      <c r="U243" s="1">
        <f>IF(D243="","",IFERROR(INDEX(Exercises!$C$6:$C$105,MATCH(D243,Exercises!$B$6:$B$105,0)),"Other"))</f>
        <v/>
      </c>
      <c r="V243">
        <f>IF(B243="","",IF(COUNTIF($B$6:B243,B243)=1,1,0))</f>
        <v/>
      </c>
      <c r="W243">
        <f>IF(B243="","",B243-WEEKDAY(B243,3))</f>
        <v/>
      </c>
      <c r="X243">
        <f>IF(D243="","",MAX(IF(N(F243)=0,0,IF(N(E243)&gt;0,E243*(1+F243/30),F243)),IF(N(H243)=0,0,IF(N(G243)&gt;0,G243*(1+H243/30),H243)),IF(N(J243)=0,0,IF(N(I243)&gt;0,I243*(1+J243/30),J243)),IF(N(L243)=0,0,IF(N(K243)&gt;0,K243*(1+L243/30),L243)),IF(N(N243)=0,0,IF(N(M243)&gt;0,M243*(1+N243/30),N243))))</f>
        <v/>
      </c>
      <c r="Y243">
        <f>IF(N(X243)=0,"",X243+ROW()/1000000000)</f>
        <v/>
      </c>
      <c r="Z243">
        <f>IF(Y243="","",IF(COUNTIFS(Log!$D$6:$D$1505,D243,Log!$Y$6:$Y$1505,"&gt;"&amp;Y243)=0,1,0))</f>
        <v/>
      </c>
      <c r="AA243">
        <f>IF(OR(B243="",D243=""),"",B243+ROW()/10000000)</f>
        <v/>
      </c>
      <c r="AB243">
        <f>IF(AA243="","",IF(COUNTIFS(Log!$D$6:$D$1505,D243,Log!$AA$6:$AA$1505,"&gt;"&amp;AA243)=0,1,0))</f>
        <v/>
      </c>
      <c r="AC243">
        <f>IF(S243="New best",AA243,"")</f>
        <v/>
      </c>
      <c r="AD243">
        <f>ROW()</f>
        <v/>
      </c>
    </row>
    <row r="244">
      <c r="A244" s="1" t="n"/>
      <c r="B244" s="21" t="n">
        <v>46279</v>
      </c>
      <c r="C244" s="22" t="inlineStr">
        <is>
          <t>Push</t>
        </is>
      </c>
      <c r="D244" s="23" t="inlineStr">
        <is>
          <t>Bench press</t>
        </is>
      </c>
      <c r="E244" s="24" t="n">
        <v>150</v>
      </c>
      <c r="F244" s="24" t="n">
        <v>7</v>
      </c>
      <c r="G244" s="24" t="n">
        <v>150</v>
      </c>
      <c r="H244" s="24" t="n">
        <v>6</v>
      </c>
      <c r="I244" s="24" t="n">
        <v>150</v>
      </c>
      <c r="J244" s="24" t="n">
        <v>6</v>
      </c>
      <c r="K244" s="24" t="n">
        <v>150</v>
      </c>
      <c r="L244" s="24" t="n">
        <v>6</v>
      </c>
      <c r="M244" s="24" t="n"/>
      <c r="N244" s="24" t="n"/>
      <c r="O244" s="15">
        <f>IF(D244="","",COUNT(F244,H244,J244,L244,N244))</f>
        <v/>
      </c>
      <c r="P244" s="25">
        <f>IF(D244="","",N(E244)*N(F244)+N(G244)*N(H244)+N(I244)*N(J244)+N(K244)*N(L244)+N(M244)*N(N244))</f>
        <v/>
      </c>
      <c r="Q244" s="18">
        <f>IF(N(X244)=0,"",IF(IF(N(F244)=0,0,IF(N(E244)&gt;0,E244*(1+F244/30),F244))=X244,IF(N(E244)&gt;0,E244&amp;" x "&amp;F244,F244&amp;" reps"),IF(IF(N(H244)=0,0,IF(N(G244)&gt;0,G244*(1+H244/30),H244))=X244,IF(N(G244)&gt;0,G244&amp;" x "&amp;H244,H244&amp;" reps"),IF(IF(N(J244)=0,0,IF(N(I244)&gt;0,I244*(1+J244/30),J244))=X244,IF(N(I244)&gt;0,I244&amp;" x "&amp;J244,J244&amp;" reps"),IF(IF(N(L244)=0,0,IF(N(K244)&gt;0,K244*(1+L244/30),L244))=X244,IF(N(K244)&gt;0,K244&amp;" x "&amp;L244,L244&amp;" reps"),IF(IF(N(N244)=0,0,IF(N(M244)&gt;0,M244*(1+N244/30),N244))=X244,IF(N(M244)&gt;0,M244&amp;" x "&amp;N244,N244&amp;" reps"),""))))))</f>
        <v/>
      </c>
      <c r="R244" s="20">
        <f>IF(N(X244)=0,"",ROUND(X244,1))</f>
        <v/>
      </c>
      <c r="S244" s="18">
        <f>IF(N(X244)=0,"",IF(AND(COUNTIFS(Log!$D$6:$D$1505,D244,Log!$B$6:$B$1505,"&lt;"&amp;B244)&gt;0,COUNTIFS(Log!$D$6:$D$1505,D244,Log!$B$6:$B$1505,"&lt;"&amp;B244,Log!$X$6:$X$1505,"&gt;="&amp;X244)=0),"New best",""))</f>
        <v/>
      </c>
      <c r="T244" s="26" t="n"/>
      <c r="U244" s="1">
        <f>IF(D244="","",IFERROR(INDEX(Exercises!$C$6:$C$105,MATCH(D244,Exercises!$B$6:$B$105,0)),"Other"))</f>
        <v/>
      </c>
      <c r="V244">
        <f>IF(B244="","",IF(COUNTIF($B$6:B244,B244)=1,1,0))</f>
        <v/>
      </c>
      <c r="W244">
        <f>IF(B244="","",B244-WEEKDAY(B244,3))</f>
        <v/>
      </c>
      <c r="X244">
        <f>IF(D244="","",MAX(IF(N(F244)=0,0,IF(N(E244)&gt;0,E244*(1+F244/30),F244)),IF(N(H244)=0,0,IF(N(G244)&gt;0,G244*(1+H244/30),H244)),IF(N(J244)=0,0,IF(N(I244)&gt;0,I244*(1+J244/30),J244)),IF(N(L244)=0,0,IF(N(K244)&gt;0,K244*(1+L244/30),L244)),IF(N(N244)=0,0,IF(N(M244)&gt;0,M244*(1+N244/30),N244))))</f>
        <v/>
      </c>
      <c r="Y244">
        <f>IF(N(X244)=0,"",X244+ROW()/1000000000)</f>
        <v/>
      </c>
      <c r="Z244">
        <f>IF(Y244="","",IF(COUNTIFS(Log!$D$6:$D$1505,D244,Log!$Y$6:$Y$1505,"&gt;"&amp;Y244)=0,1,0))</f>
        <v/>
      </c>
      <c r="AA244">
        <f>IF(OR(B244="",D244=""),"",B244+ROW()/10000000)</f>
        <v/>
      </c>
      <c r="AB244">
        <f>IF(AA244="","",IF(COUNTIFS(Log!$D$6:$D$1505,D244,Log!$AA$6:$AA$1505,"&gt;"&amp;AA244)=0,1,0))</f>
        <v/>
      </c>
      <c r="AC244">
        <f>IF(S244="New best",AA244,"")</f>
        <v/>
      </c>
      <c r="AD244">
        <f>ROW()</f>
        <v/>
      </c>
    </row>
    <row r="245">
      <c r="A245" s="1" t="n"/>
      <c r="B245" s="21" t="n">
        <v>46279</v>
      </c>
      <c r="C245" s="22" t="inlineStr">
        <is>
          <t>Push</t>
        </is>
      </c>
      <c r="D245" s="23" t="inlineStr">
        <is>
          <t>Overhead press</t>
        </is>
      </c>
      <c r="E245" s="24" t="n">
        <v>100</v>
      </c>
      <c r="F245" s="24" t="n">
        <v>10</v>
      </c>
      <c r="G245" s="24" t="n">
        <v>100</v>
      </c>
      <c r="H245" s="24" t="n">
        <v>8</v>
      </c>
      <c r="I245" s="24" t="n">
        <v>100</v>
      </c>
      <c r="J245" s="24" t="n">
        <v>8</v>
      </c>
      <c r="K245" s="24" t="n"/>
      <c r="L245" s="24" t="n"/>
      <c r="M245" s="24" t="n"/>
      <c r="N245" s="24" t="n"/>
      <c r="O245" s="15">
        <f>IF(D245="","",COUNT(F245,H245,J245,L245,N245))</f>
        <v/>
      </c>
      <c r="P245" s="25">
        <f>IF(D245="","",N(E245)*N(F245)+N(G245)*N(H245)+N(I245)*N(J245)+N(K245)*N(L245)+N(M245)*N(N245))</f>
        <v/>
      </c>
      <c r="Q245" s="18">
        <f>IF(N(X245)=0,"",IF(IF(N(F245)=0,0,IF(N(E245)&gt;0,E245*(1+F245/30),F245))=X245,IF(N(E245)&gt;0,E245&amp;" x "&amp;F245,F245&amp;" reps"),IF(IF(N(H245)=0,0,IF(N(G245)&gt;0,G245*(1+H245/30),H245))=X245,IF(N(G245)&gt;0,G245&amp;" x "&amp;H245,H245&amp;" reps"),IF(IF(N(J245)=0,0,IF(N(I245)&gt;0,I245*(1+J245/30),J245))=X245,IF(N(I245)&gt;0,I245&amp;" x "&amp;J245,J245&amp;" reps"),IF(IF(N(L245)=0,0,IF(N(K245)&gt;0,K245*(1+L245/30),L245))=X245,IF(N(K245)&gt;0,K245&amp;" x "&amp;L245,L245&amp;" reps"),IF(IF(N(N245)=0,0,IF(N(M245)&gt;0,M245*(1+N245/30),N245))=X245,IF(N(M245)&gt;0,M245&amp;" x "&amp;N245,N245&amp;" reps"),""))))))</f>
        <v/>
      </c>
      <c r="R245" s="20">
        <f>IF(N(X245)=0,"",ROUND(X245,1))</f>
        <v/>
      </c>
      <c r="S245" s="18">
        <f>IF(N(X245)=0,"",IF(AND(COUNTIFS(Log!$D$6:$D$1505,D245,Log!$B$6:$B$1505,"&lt;"&amp;B245)&gt;0,COUNTIFS(Log!$D$6:$D$1505,D245,Log!$B$6:$B$1505,"&lt;"&amp;B245,Log!$X$6:$X$1505,"&gt;="&amp;X245)=0),"New best",""))</f>
        <v/>
      </c>
      <c r="T245" s="26" t="n"/>
      <c r="U245" s="1">
        <f>IF(D245="","",IFERROR(INDEX(Exercises!$C$6:$C$105,MATCH(D245,Exercises!$B$6:$B$105,0)),"Other"))</f>
        <v/>
      </c>
      <c r="V245">
        <f>IF(B245="","",IF(COUNTIF($B$6:B245,B245)=1,1,0))</f>
        <v/>
      </c>
      <c r="W245">
        <f>IF(B245="","",B245-WEEKDAY(B245,3))</f>
        <v/>
      </c>
      <c r="X245">
        <f>IF(D245="","",MAX(IF(N(F245)=0,0,IF(N(E245)&gt;0,E245*(1+F245/30),F245)),IF(N(H245)=0,0,IF(N(G245)&gt;0,G245*(1+H245/30),H245)),IF(N(J245)=0,0,IF(N(I245)&gt;0,I245*(1+J245/30),J245)),IF(N(L245)=0,0,IF(N(K245)&gt;0,K245*(1+L245/30),L245)),IF(N(N245)=0,0,IF(N(M245)&gt;0,M245*(1+N245/30),N245))))</f>
        <v/>
      </c>
      <c r="Y245">
        <f>IF(N(X245)=0,"",X245+ROW()/1000000000)</f>
        <v/>
      </c>
      <c r="Z245">
        <f>IF(Y245="","",IF(COUNTIFS(Log!$D$6:$D$1505,D245,Log!$Y$6:$Y$1505,"&gt;"&amp;Y245)=0,1,0))</f>
        <v/>
      </c>
      <c r="AA245">
        <f>IF(OR(B245="",D245=""),"",B245+ROW()/10000000)</f>
        <v/>
      </c>
      <c r="AB245">
        <f>IF(AA245="","",IF(COUNTIFS(Log!$D$6:$D$1505,D245,Log!$AA$6:$AA$1505,"&gt;"&amp;AA245)=0,1,0))</f>
        <v/>
      </c>
      <c r="AC245">
        <f>IF(S245="New best",AA245,"")</f>
        <v/>
      </c>
      <c r="AD245">
        <f>ROW()</f>
        <v/>
      </c>
    </row>
    <row r="246">
      <c r="A246" s="1" t="n"/>
      <c r="B246" s="21" t="n">
        <v>46279</v>
      </c>
      <c r="C246" s="22" t="inlineStr">
        <is>
          <t>Push</t>
        </is>
      </c>
      <c r="D246" s="23" t="inlineStr">
        <is>
          <t>Incline dumbbell press</t>
        </is>
      </c>
      <c r="E246" s="24" t="n">
        <v>60</v>
      </c>
      <c r="F246" s="24" t="n">
        <v>11</v>
      </c>
      <c r="G246" s="24" t="n">
        <v>60</v>
      </c>
      <c r="H246" s="24" t="n">
        <v>11</v>
      </c>
      <c r="I246" s="24" t="n">
        <v>60</v>
      </c>
      <c r="J246" s="24" t="n">
        <v>10</v>
      </c>
      <c r="K246" s="24" t="n"/>
      <c r="L246" s="24" t="n"/>
      <c r="M246" s="24" t="n"/>
      <c r="N246" s="24" t="n"/>
      <c r="O246" s="15">
        <f>IF(D246="","",COUNT(F246,H246,J246,L246,N246))</f>
        <v/>
      </c>
      <c r="P246" s="25">
        <f>IF(D246="","",N(E246)*N(F246)+N(G246)*N(H246)+N(I246)*N(J246)+N(K246)*N(L246)+N(M246)*N(N246))</f>
        <v/>
      </c>
      <c r="Q246" s="18">
        <f>IF(N(X246)=0,"",IF(IF(N(F246)=0,0,IF(N(E246)&gt;0,E246*(1+F246/30),F246))=X246,IF(N(E246)&gt;0,E246&amp;" x "&amp;F246,F246&amp;" reps"),IF(IF(N(H246)=0,0,IF(N(G246)&gt;0,G246*(1+H246/30),H246))=X246,IF(N(G246)&gt;0,G246&amp;" x "&amp;H246,H246&amp;" reps"),IF(IF(N(J246)=0,0,IF(N(I246)&gt;0,I246*(1+J246/30),J246))=X246,IF(N(I246)&gt;0,I246&amp;" x "&amp;J246,J246&amp;" reps"),IF(IF(N(L246)=0,0,IF(N(K246)&gt;0,K246*(1+L246/30),L246))=X246,IF(N(K246)&gt;0,K246&amp;" x "&amp;L246,L246&amp;" reps"),IF(IF(N(N246)=0,0,IF(N(M246)&gt;0,M246*(1+N246/30),N246))=X246,IF(N(M246)&gt;0,M246&amp;" x "&amp;N246,N246&amp;" reps"),""))))))</f>
        <v/>
      </c>
      <c r="R246" s="20">
        <f>IF(N(X246)=0,"",ROUND(X246,1))</f>
        <v/>
      </c>
      <c r="S246" s="18">
        <f>IF(N(X246)=0,"",IF(AND(COUNTIFS(Log!$D$6:$D$1505,D246,Log!$B$6:$B$1505,"&lt;"&amp;B246)&gt;0,COUNTIFS(Log!$D$6:$D$1505,D246,Log!$B$6:$B$1505,"&lt;"&amp;B246,Log!$X$6:$X$1505,"&gt;="&amp;X246)=0),"New best",""))</f>
        <v/>
      </c>
      <c r="T246" s="26" t="n"/>
      <c r="U246" s="1">
        <f>IF(D246="","",IFERROR(INDEX(Exercises!$C$6:$C$105,MATCH(D246,Exercises!$B$6:$B$105,0)),"Other"))</f>
        <v/>
      </c>
      <c r="V246">
        <f>IF(B246="","",IF(COUNTIF($B$6:B246,B246)=1,1,0))</f>
        <v/>
      </c>
      <c r="W246">
        <f>IF(B246="","",B246-WEEKDAY(B246,3))</f>
        <v/>
      </c>
      <c r="X246">
        <f>IF(D246="","",MAX(IF(N(F246)=0,0,IF(N(E246)&gt;0,E246*(1+F246/30),F246)),IF(N(H246)=0,0,IF(N(G246)&gt;0,G246*(1+H246/30),H246)),IF(N(J246)=0,0,IF(N(I246)&gt;0,I246*(1+J246/30),J246)),IF(N(L246)=0,0,IF(N(K246)&gt;0,K246*(1+L246/30),L246)),IF(N(N246)=0,0,IF(N(M246)&gt;0,M246*(1+N246/30),N246))))</f>
        <v/>
      </c>
      <c r="Y246">
        <f>IF(N(X246)=0,"",X246+ROW()/1000000000)</f>
        <v/>
      </c>
      <c r="Z246">
        <f>IF(Y246="","",IF(COUNTIFS(Log!$D$6:$D$1505,D246,Log!$Y$6:$Y$1505,"&gt;"&amp;Y246)=0,1,0))</f>
        <v/>
      </c>
      <c r="AA246">
        <f>IF(OR(B246="",D246=""),"",B246+ROW()/10000000)</f>
        <v/>
      </c>
      <c r="AB246">
        <f>IF(AA246="","",IF(COUNTIFS(Log!$D$6:$D$1505,D246,Log!$AA$6:$AA$1505,"&gt;"&amp;AA246)=0,1,0))</f>
        <v/>
      </c>
      <c r="AC246">
        <f>IF(S246="New best",AA246,"")</f>
        <v/>
      </c>
      <c r="AD246">
        <f>ROW()</f>
        <v/>
      </c>
    </row>
    <row r="247">
      <c r="A247" s="1" t="n"/>
      <c r="B247" s="21" t="n">
        <v>46279</v>
      </c>
      <c r="C247" s="22" t="inlineStr">
        <is>
          <t>Push</t>
        </is>
      </c>
      <c r="D247" s="23" t="inlineStr">
        <is>
          <t>Lateral raise</t>
        </is>
      </c>
      <c r="E247" s="24" t="n">
        <v>22.5</v>
      </c>
      <c r="F247" s="24" t="n">
        <v>15</v>
      </c>
      <c r="G247" s="24" t="n">
        <v>22.5</v>
      </c>
      <c r="H247" s="24" t="n">
        <v>13</v>
      </c>
      <c r="I247" s="24" t="n">
        <v>22.5</v>
      </c>
      <c r="J247" s="24" t="n">
        <v>13</v>
      </c>
      <c r="K247" s="24" t="n"/>
      <c r="L247" s="24" t="n"/>
      <c r="M247" s="24" t="n"/>
      <c r="N247" s="24" t="n"/>
      <c r="O247" s="15">
        <f>IF(D247="","",COUNT(F247,H247,J247,L247,N247))</f>
        <v/>
      </c>
      <c r="P247" s="25">
        <f>IF(D247="","",N(E247)*N(F247)+N(G247)*N(H247)+N(I247)*N(J247)+N(K247)*N(L247)+N(M247)*N(N247))</f>
        <v/>
      </c>
      <c r="Q247" s="18">
        <f>IF(N(X247)=0,"",IF(IF(N(F247)=0,0,IF(N(E247)&gt;0,E247*(1+F247/30),F247))=X247,IF(N(E247)&gt;0,E247&amp;" x "&amp;F247,F247&amp;" reps"),IF(IF(N(H247)=0,0,IF(N(G247)&gt;0,G247*(1+H247/30),H247))=X247,IF(N(G247)&gt;0,G247&amp;" x "&amp;H247,H247&amp;" reps"),IF(IF(N(J247)=0,0,IF(N(I247)&gt;0,I247*(1+J247/30),J247))=X247,IF(N(I247)&gt;0,I247&amp;" x "&amp;J247,J247&amp;" reps"),IF(IF(N(L247)=0,0,IF(N(K247)&gt;0,K247*(1+L247/30),L247))=X247,IF(N(K247)&gt;0,K247&amp;" x "&amp;L247,L247&amp;" reps"),IF(IF(N(N247)=0,0,IF(N(M247)&gt;0,M247*(1+N247/30),N247))=X247,IF(N(M247)&gt;0,M247&amp;" x "&amp;N247,N247&amp;" reps"),""))))))</f>
        <v/>
      </c>
      <c r="R247" s="20">
        <f>IF(N(X247)=0,"",ROUND(X247,1))</f>
        <v/>
      </c>
      <c r="S247" s="18">
        <f>IF(N(X247)=0,"",IF(AND(COUNTIFS(Log!$D$6:$D$1505,D247,Log!$B$6:$B$1505,"&lt;"&amp;B247)&gt;0,COUNTIFS(Log!$D$6:$D$1505,D247,Log!$B$6:$B$1505,"&lt;"&amp;B247,Log!$X$6:$X$1505,"&gt;="&amp;X247)=0),"New best",""))</f>
        <v/>
      </c>
      <c r="T247" s="26" t="n"/>
      <c r="U247" s="1">
        <f>IF(D247="","",IFERROR(INDEX(Exercises!$C$6:$C$105,MATCH(D247,Exercises!$B$6:$B$105,0)),"Other"))</f>
        <v/>
      </c>
      <c r="V247">
        <f>IF(B247="","",IF(COUNTIF($B$6:B247,B247)=1,1,0))</f>
        <v/>
      </c>
      <c r="W247">
        <f>IF(B247="","",B247-WEEKDAY(B247,3))</f>
        <v/>
      </c>
      <c r="X247">
        <f>IF(D247="","",MAX(IF(N(F247)=0,0,IF(N(E247)&gt;0,E247*(1+F247/30),F247)),IF(N(H247)=0,0,IF(N(G247)&gt;0,G247*(1+H247/30),H247)),IF(N(J247)=0,0,IF(N(I247)&gt;0,I247*(1+J247/30),J247)),IF(N(L247)=0,0,IF(N(K247)&gt;0,K247*(1+L247/30),L247)),IF(N(N247)=0,0,IF(N(M247)&gt;0,M247*(1+N247/30),N247))))</f>
        <v/>
      </c>
      <c r="Y247">
        <f>IF(N(X247)=0,"",X247+ROW()/1000000000)</f>
        <v/>
      </c>
      <c r="Z247">
        <f>IF(Y247="","",IF(COUNTIFS(Log!$D$6:$D$1505,D247,Log!$Y$6:$Y$1505,"&gt;"&amp;Y247)=0,1,0))</f>
        <v/>
      </c>
      <c r="AA247">
        <f>IF(OR(B247="",D247=""),"",B247+ROW()/10000000)</f>
        <v/>
      </c>
      <c r="AB247">
        <f>IF(AA247="","",IF(COUNTIFS(Log!$D$6:$D$1505,D247,Log!$AA$6:$AA$1505,"&gt;"&amp;AA247)=0,1,0))</f>
        <v/>
      </c>
      <c r="AC247">
        <f>IF(S247="New best",AA247,"")</f>
        <v/>
      </c>
      <c r="AD247">
        <f>ROW()</f>
        <v/>
      </c>
    </row>
    <row r="248">
      <c r="A248" s="1" t="n"/>
      <c r="B248" s="21" t="n">
        <v>46279</v>
      </c>
      <c r="C248" s="22" t="inlineStr">
        <is>
          <t>Push</t>
        </is>
      </c>
      <c r="D248" s="23" t="inlineStr">
        <is>
          <t>Triceps pushdown</t>
        </is>
      </c>
      <c r="E248" s="24" t="n">
        <v>55</v>
      </c>
      <c r="F248" s="24" t="n">
        <v>11</v>
      </c>
      <c r="G248" s="24" t="n">
        <v>55</v>
      </c>
      <c r="H248" s="24" t="n">
        <v>10</v>
      </c>
      <c r="I248" s="24" t="n">
        <v>55</v>
      </c>
      <c r="J248" s="24" t="n">
        <v>10</v>
      </c>
      <c r="K248" s="24" t="n"/>
      <c r="L248" s="24" t="n"/>
      <c r="M248" s="24" t="n"/>
      <c r="N248" s="24" t="n"/>
      <c r="O248" s="15">
        <f>IF(D248="","",COUNT(F248,H248,J248,L248,N248))</f>
        <v/>
      </c>
      <c r="P248" s="25">
        <f>IF(D248="","",N(E248)*N(F248)+N(G248)*N(H248)+N(I248)*N(J248)+N(K248)*N(L248)+N(M248)*N(N248))</f>
        <v/>
      </c>
      <c r="Q248" s="18">
        <f>IF(N(X248)=0,"",IF(IF(N(F248)=0,0,IF(N(E248)&gt;0,E248*(1+F248/30),F248))=X248,IF(N(E248)&gt;0,E248&amp;" x "&amp;F248,F248&amp;" reps"),IF(IF(N(H248)=0,0,IF(N(G248)&gt;0,G248*(1+H248/30),H248))=X248,IF(N(G248)&gt;0,G248&amp;" x "&amp;H248,H248&amp;" reps"),IF(IF(N(J248)=0,0,IF(N(I248)&gt;0,I248*(1+J248/30),J248))=X248,IF(N(I248)&gt;0,I248&amp;" x "&amp;J248,J248&amp;" reps"),IF(IF(N(L248)=0,0,IF(N(K248)&gt;0,K248*(1+L248/30),L248))=X248,IF(N(K248)&gt;0,K248&amp;" x "&amp;L248,L248&amp;" reps"),IF(IF(N(N248)=0,0,IF(N(M248)&gt;0,M248*(1+N248/30),N248))=X248,IF(N(M248)&gt;0,M248&amp;" x "&amp;N248,N248&amp;" reps"),""))))))</f>
        <v/>
      </c>
      <c r="R248" s="20">
        <f>IF(N(X248)=0,"",ROUND(X248,1))</f>
        <v/>
      </c>
      <c r="S248" s="18">
        <f>IF(N(X248)=0,"",IF(AND(COUNTIFS(Log!$D$6:$D$1505,D248,Log!$B$6:$B$1505,"&lt;"&amp;B248)&gt;0,COUNTIFS(Log!$D$6:$D$1505,D248,Log!$B$6:$B$1505,"&lt;"&amp;B248,Log!$X$6:$X$1505,"&gt;="&amp;X248)=0),"New best",""))</f>
        <v/>
      </c>
      <c r="T248" s="26" t="inlineStr">
        <is>
          <t>Short on time</t>
        </is>
      </c>
      <c r="U248" s="1">
        <f>IF(D248="","",IFERROR(INDEX(Exercises!$C$6:$C$105,MATCH(D248,Exercises!$B$6:$B$105,0)),"Other"))</f>
        <v/>
      </c>
      <c r="V248">
        <f>IF(B248="","",IF(COUNTIF($B$6:B248,B248)=1,1,0))</f>
        <v/>
      </c>
      <c r="W248">
        <f>IF(B248="","",B248-WEEKDAY(B248,3))</f>
        <v/>
      </c>
      <c r="X248">
        <f>IF(D248="","",MAX(IF(N(F248)=0,0,IF(N(E248)&gt;0,E248*(1+F248/30),F248)),IF(N(H248)=0,0,IF(N(G248)&gt;0,G248*(1+H248/30),H248)),IF(N(J248)=0,0,IF(N(I248)&gt;0,I248*(1+J248/30),J248)),IF(N(L248)=0,0,IF(N(K248)&gt;0,K248*(1+L248/30),L248)),IF(N(N248)=0,0,IF(N(M248)&gt;0,M248*(1+N248/30),N248))))</f>
        <v/>
      </c>
      <c r="Y248">
        <f>IF(N(X248)=0,"",X248+ROW()/1000000000)</f>
        <v/>
      </c>
      <c r="Z248">
        <f>IF(Y248="","",IF(COUNTIFS(Log!$D$6:$D$1505,D248,Log!$Y$6:$Y$1505,"&gt;"&amp;Y248)=0,1,0))</f>
        <v/>
      </c>
      <c r="AA248">
        <f>IF(OR(B248="",D248=""),"",B248+ROW()/10000000)</f>
        <v/>
      </c>
      <c r="AB248">
        <f>IF(AA248="","",IF(COUNTIFS(Log!$D$6:$D$1505,D248,Log!$AA$6:$AA$1505,"&gt;"&amp;AA248)=0,1,0))</f>
        <v/>
      </c>
      <c r="AC248">
        <f>IF(S248="New best",AA248,"")</f>
        <v/>
      </c>
      <c r="AD248">
        <f>ROW()</f>
        <v/>
      </c>
    </row>
    <row r="249">
      <c r="A249" s="1" t="n"/>
      <c r="B249" s="21" t="n">
        <v>46280</v>
      </c>
      <c r="C249" s="22" t="inlineStr">
        <is>
          <t>Pull</t>
        </is>
      </c>
      <c r="D249" s="23" t="inlineStr">
        <is>
          <t>Deadlift</t>
        </is>
      </c>
      <c r="E249" s="24" t="n">
        <v>255</v>
      </c>
      <c r="F249" s="24" t="n">
        <v>5</v>
      </c>
      <c r="G249" s="24" t="n">
        <v>255</v>
      </c>
      <c r="H249" s="24" t="n">
        <v>5</v>
      </c>
      <c r="I249" s="24" t="n">
        <v>255</v>
      </c>
      <c r="J249" s="24" t="n">
        <v>5</v>
      </c>
      <c r="K249" s="24" t="n"/>
      <c r="L249" s="24" t="n"/>
      <c r="M249" s="24" t="n"/>
      <c r="N249" s="24" t="n"/>
      <c r="O249" s="15">
        <f>IF(D249="","",COUNT(F249,H249,J249,L249,N249))</f>
        <v/>
      </c>
      <c r="P249" s="25">
        <f>IF(D249="","",N(E249)*N(F249)+N(G249)*N(H249)+N(I249)*N(J249)+N(K249)*N(L249)+N(M249)*N(N249))</f>
        <v/>
      </c>
      <c r="Q249" s="18">
        <f>IF(N(X249)=0,"",IF(IF(N(F249)=0,0,IF(N(E249)&gt;0,E249*(1+F249/30),F249))=X249,IF(N(E249)&gt;0,E249&amp;" x "&amp;F249,F249&amp;" reps"),IF(IF(N(H249)=0,0,IF(N(G249)&gt;0,G249*(1+H249/30),H249))=X249,IF(N(G249)&gt;0,G249&amp;" x "&amp;H249,H249&amp;" reps"),IF(IF(N(J249)=0,0,IF(N(I249)&gt;0,I249*(1+J249/30),J249))=X249,IF(N(I249)&gt;0,I249&amp;" x "&amp;J249,J249&amp;" reps"),IF(IF(N(L249)=0,0,IF(N(K249)&gt;0,K249*(1+L249/30),L249))=X249,IF(N(K249)&gt;0,K249&amp;" x "&amp;L249,L249&amp;" reps"),IF(IF(N(N249)=0,0,IF(N(M249)&gt;0,M249*(1+N249/30),N249))=X249,IF(N(M249)&gt;0,M249&amp;" x "&amp;N249,N249&amp;" reps"),""))))))</f>
        <v/>
      </c>
      <c r="R249" s="20">
        <f>IF(N(X249)=0,"",ROUND(X249,1))</f>
        <v/>
      </c>
      <c r="S249" s="18">
        <f>IF(N(X249)=0,"",IF(AND(COUNTIFS(Log!$D$6:$D$1505,D249,Log!$B$6:$B$1505,"&lt;"&amp;B249)&gt;0,COUNTIFS(Log!$D$6:$D$1505,D249,Log!$B$6:$B$1505,"&lt;"&amp;B249,Log!$X$6:$X$1505,"&gt;="&amp;X249)=0),"New best",""))</f>
        <v/>
      </c>
      <c r="T249" s="26" t="n"/>
      <c r="U249" s="1">
        <f>IF(D249="","",IFERROR(INDEX(Exercises!$C$6:$C$105,MATCH(D249,Exercises!$B$6:$B$105,0)),"Other"))</f>
        <v/>
      </c>
      <c r="V249">
        <f>IF(B249="","",IF(COUNTIF($B$6:B249,B249)=1,1,0))</f>
        <v/>
      </c>
      <c r="W249">
        <f>IF(B249="","",B249-WEEKDAY(B249,3))</f>
        <v/>
      </c>
      <c r="X249">
        <f>IF(D249="","",MAX(IF(N(F249)=0,0,IF(N(E249)&gt;0,E249*(1+F249/30),F249)),IF(N(H249)=0,0,IF(N(G249)&gt;0,G249*(1+H249/30),H249)),IF(N(J249)=0,0,IF(N(I249)&gt;0,I249*(1+J249/30),J249)),IF(N(L249)=0,0,IF(N(K249)&gt;0,K249*(1+L249/30),L249)),IF(N(N249)=0,0,IF(N(M249)&gt;0,M249*(1+N249/30),N249))))</f>
        <v/>
      </c>
      <c r="Y249">
        <f>IF(N(X249)=0,"",X249+ROW()/1000000000)</f>
        <v/>
      </c>
      <c r="Z249">
        <f>IF(Y249="","",IF(COUNTIFS(Log!$D$6:$D$1505,D249,Log!$Y$6:$Y$1505,"&gt;"&amp;Y249)=0,1,0))</f>
        <v/>
      </c>
      <c r="AA249">
        <f>IF(OR(B249="",D249=""),"",B249+ROW()/10000000)</f>
        <v/>
      </c>
      <c r="AB249">
        <f>IF(AA249="","",IF(COUNTIFS(Log!$D$6:$D$1505,D249,Log!$AA$6:$AA$1505,"&gt;"&amp;AA249)=0,1,0))</f>
        <v/>
      </c>
      <c r="AC249">
        <f>IF(S249="New best",AA249,"")</f>
        <v/>
      </c>
      <c r="AD249">
        <f>ROW()</f>
        <v/>
      </c>
    </row>
    <row r="250">
      <c r="A250" s="1" t="n"/>
      <c r="B250" s="21" t="n">
        <v>46280</v>
      </c>
      <c r="C250" s="22" t="inlineStr">
        <is>
          <t>Pull</t>
        </is>
      </c>
      <c r="D250" s="23" t="inlineStr">
        <is>
          <t>Pull-up</t>
        </is>
      </c>
      <c r="E250" s="24" t="n"/>
      <c r="F250" s="24" t="n">
        <v>8</v>
      </c>
      <c r="G250" s="24" t="n"/>
      <c r="H250" s="24" t="n">
        <v>7</v>
      </c>
      <c r="I250" s="24" t="n"/>
      <c r="J250" s="24" t="n">
        <v>7</v>
      </c>
      <c r="K250" s="24" t="n"/>
      <c r="L250" s="24" t="n"/>
      <c r="M250" s="24" t="n"/>
      <c r="N250" s="24" t="n"/>
      <c r="O250" s="15">
        <f>IF(D250="","",COUNT(F250,H250,J250,L250,N250))</f>
        <v/>
      </c>
      <c r="P250" s="25">
        <f>IF(D250="","",N(E250)*N(F250)+N(G250)*N(H250)+N(I250)*N(J250)+N(K250)*N(L250)+N(M250)*N(N250))</f>
        <v/>
      </c>
      <c r="Q250" s="18">
        <f>IF(N(X250)=0,"",IF(IF(N(F250)=0,0,IF(N(E250)&gt;0,E250*(1+F250/30),F250))=X250,IF(N(E250)&gt;0,E250&amp;" x "&amp;F250,F250&amp;" reps"),IF(IF(N(H250)=0,0,IF(N(G250)&gt;0,G250*(1+H250/30),H250))=X250,IF(N(G250)&gt;0,G250&amp;" x "&amp;H250,H250&amp;" reps"),IF(IF(N(J250)=0,0,IF(N(I250)&gt;0,I250*(1+J250/30),J250))=X250,IF(N(I250)&gt;0,I250&amp;" x "&amp;J250,J250&amp;" reps"),IF(IF(N(L250)=0,0,IF(N(K250)&gt;0,K250*(1+L250/30),L250))=X250,IF(N(K250)&gt;0,K250&amp;" x "&amp;L250,L250&amp;" reps"),IF(IF(N(N250)=0,0,IF(N(M250)&gt;0,M250*(1+N250/30),N250))=X250,IF(N(M250)&gt;0,M250&amp;" x "&amp;N250,N250&amp;" reps"),""))))))</f>
        <v/>
      </c>
      <c r="R250" s="20">
        <f>IF(N(X250)=0,"",ROUND(X250,1))</f>
        <v/>
      </c>
      <c r="S250" s="18">
        <f>IF(N(X250)=0,"",IF(AND(COUNTIFS(Log!$D$6:$D$1505,D250,Log!$B$6:$B$1505,"&lt;"&amp;B250)&gt;0,COUNTIFS(Log!$D$6:$D$1505,D250,Log!$B$6:$B$1505,"&lt;"&amp;B250,Log!$X$6:$X$1505,"&gt;="&amp;X250)=0),"New best",""))</f>
        <v/>
      </c>
      <c r="T250" s="26" t="n"/>
      <c r="U250" s="1">
        <f>IF(D250="","",IFERROR(INDEX(Exercises!$C$6:$C$105,MATCH(D250,Exercises!$B$6:$B$105,0)),"Other"))</f>
        <v/>
      </c>
      <c r="V250">
        <f>IF(B250="","",IF(COUNTIF($B$6:B250,B250)=1,1,0))</f>
        <v/>
      </c>
      <c r="W250">
        <f>IF(B250="","",B250-WEEKDAY(B250,3))</f>
        <v/>
      </c>
      <c r="X250">
        <f>IF(D250="","",MAX(IF(N(F250)=0,0,IF(N(E250)&gt;0,E250*(1+F250/30),F250)),IF(N(H250)=0,0,IF(N(G250)&gt;0,G250*(1+H250/30),H250)),IF(N(J250)=0,0,IF(N(I250)&gt;0,I250*(1+J250/30),J250)),IF(N(L250)=0,0,IF(N(K250)&gt;0,K250*(1+L250/30),L250)),IF(N(N250)=0,0,IF(N(M250)&gt;0,M250*(1+N250/30),N250))))</f>
        <v/>
      </c>
      <c r="Y250">
        <f>IF(N(X250)=0,"",X250+ROW()/1000000000)</f>
        <v/>
      </c>
      <c r="Z250">
        <f>IF(Y250="","",IF(COUNTIFS(Log!$D$6:$D$1505,D250,Log!$Y$6:$Y$1505,"&gt;"&amp;Y250)=0,1,0))</f>
        <v/>
      </c>
      <c r="AA250">
        <f>IF(OR(B250="",D250=""),"",B250+ROW()/10000000)</f>
        <v/>
      </c>
      <c r="AB250">
        <f>IF(AA250="","",IF(COUNTIFS(Log!$D$6:$D$1505,D250,Log!$AA$6:$AA$1505,"&gt;"&amp;AA250)=0,1,0))</f>
        <v/>
      </c>
      <c r="AC250">
        <f>IF(S250="New best",AA250,"")</f>
        <v/>
      </c>
      <c r="AD250">
        <f>ROW()</f>
        <v/>
      </c>
    </row>
    <row r="251">
      <c r="A251" s="1" t="n"/>
      <c r="B251" s="21" t="n">
        <v>46280</v>
      </c>
      <c r="C251" s="22" t="inlineStr">
        <is>
          <t>Pull</t>
        </is>
      </c>
      <c r="D251" s="23" t="inlineStr">
        <is>
          <t>Barbell row</t>
        </is>
      </c>
      <c r="E251" s="24" t="n">
        <v>130</v>
      </c>
      <c r="F251" s="24" t="n">
        <v>9</v>
      </c>
      <c r="G251" s="24" t="n">
        <v>130</v>
      </c>
      <c r="H251" s="24" t="n">
        <v>8</v>
      </c>
      <c r="I251" s="24" t="n">
        <v>130</v>
      </c>
      <c r="J251" s="24" t="n">
        <v>8</v>
      </c>
      <c r="K251" s="24" t="n"/>
      <c r="L251" s="24" t="n"/>
      <c r="M251" s="24" t="n"/>
      <c r="N251" s="24" t="n"/>
      <c r="O251" s="15">
        <f>IF(D251="","",COUNT(F251,H251,J251,L251,N251))</f>
        <v/>
      </c>
      <c r="P251" s="25">
        <f>IF(D251="","",N(E251)*N(F251)+N(G251)*N(H251)+N(I251)*N(J251)+N(K251)*N(L251)+N(M251)*N(N251))</f>
        <v/>
      </c>
      <c r="Q251" s="18">
        <f>IF(N(X251)=0,"",IF(IF(N(F251)=0,0,IF(N(E251)&gt;0,E251*(1+F251/30),F251))=X251,IF(N(E251)&gt;0,E251&amp;" x "&amp;F251,F251&amp;" reps"),IF(IF(N(H251)=0,0,IF(N(G251)&gt;0,G251*(1+H251/30),H251))=X251,IF(N(G251)&gt;0,G251&amp;" x "&amp;H251,H251&amp;" reps"),IF(IF(N(J251)=0,0,IF(N(I251)&gt;0,I251*(1+J251/30),J251))=X251,IF(N(I251)&gt;0,I251&amp;" x "&amp;J251,J251&amp;" reps"),IF(IF(N(L251)=0,0,IF(N(K251)&gt;0,K251*(1+L251/30),L251))=X251,IF(N(K251)&gt;0,K251&amp;" x "&amp;L251,L251&amp;" reps"),IF(IF(N(N251)=0,0,IF(N(M251)&gt;0,M251*(1+N251/30),N251))=X251,IF(N(M251)&gt;0,M251&amp;" x "&amp;N251,N251&amp;" reps"),""))))))</f>
        <v/>
      </c>
      <c r="R251" s="20">
        <f>IF(N(X251)=0,"",ROUND(X251,1))</f>
        <v/>
      </c>
      <c r="S251" s="18">
        <f>IF(N(X251)=0,"",IF(AND(COUNTIFS(Log!$D$6:$D$1505,D251,Log!$B$6:$B$1505,"&lt;"&amp;B251)&gt;0,COUNTIFS(Log!$D$6:$D$1505,D251,Log!$B$6:$B$1505,"&lt;"&amp;B251,Log!$X$6:$X$1505,"&gt;="&amp;X251)=0),"New best",""))</f>
        <v/>
      </c>
      <c r="T251" s="26" t="n"/>
      <c r="U251" s="1">
        <f>IF(D251="","",IFERROR(INDEX(Exercises!$C$6:$C$105,MATCH(D251,Exercises!$B$6:$B$105,0)),"Other"))</f>
        <v/>
      </c>
      <c r="V251">
        <f>IF(B251="","",IF(COUNTIF($B$6:B251,B251)=1,1,0))</f>
        <v/>
      </c>
      <c r="W251">
        <f>IF(B251="","",B251-WEEKDAY(B251,3))</f>
        <v/>
      </c>
      <c r="X251">
        <f>IF(D251="","",MAX(IF(N(F251)=0,0,IF(N(E251)&gt;0,E251*(1+F251/30),F251)),IF(N(H251)=0,0,IF(N(G251)&gt;0,G251*(1+H251/30),H251)),IF(N(J251)=0,0,IF(N(I251)&gt;0,I251*(1+J251/30),J251)),IF(N(L251)=0,0,IF(N(K251)&gt;0,K251*(1+L251/30),L251)),IF(N(N251)=0,0,IF(N(M251)&gt;0,M251*(1+N251/30),N251))))</f>
        <v/>
      </c>
      <c r="Y251">
        <f>IF(N(X251)=0,"",X251+ROW()/1000000000)</f>
        <v/>
      </c>
      <c r="Z251">
        <f>IF(Y251="","",IF(COUNTIFS(Log!$D$6:$D$1505,D251,Log!$Y$6:$Y$1505,"&gt;"&amp;Y251)=0,1,0))</f>
        <v/>
      </c>
      <c r="AA251">
        <f>IF(OR(B251="",D251=""),"",B251+ROW()/10000000)</f>
        <v/>
      </c>
      <c r="AB251">
        <f>IF(AA251="","",IF(COUNTIFS(Log!$D$6:$D$1505,D251,Log!$AA$6:$AA$1505,"&gt;"&amp;AA251)=0,1,0))</f>
        <v/>
      </c>
      <c r="AC251">
        <f>IF(S251="New best",AA251,"")</f>
        <v/>
      </c>
      <c r="AD251">
        <f>ROW()</f>
        <v/>
      </c>
    </row>
    <row r="252">
      <c r="A252" s="1" t="n"/>
      <c r="B252" s="21" t="n">
        <v>46280</v>
      </c>
      <c r="C252" s="22" t="inlineStr">
        <is>
          <t>Pull</t>
        </is>
      </c>
      <c r="D252" s="23" t="inlineStr">
        <is>
          <t>Lat pulldown</t>
        </is>
      </c>
      <c r="E252" s="24" t="n">
        <v>115</v>
      </c>
      <c r="F252" s="24" t="n">
        <v>12</v>
      </c>
      <c r="G252" s="24" t="n">
        <v>115</v>
      </c>
      <c r="H252" s="24" t="n">
        <v>10</v>
      </c>
      <c r="I252" s="24" t="n">
        <v>115</v>
      </c>
      <c r="J252" s="24" t="n">
        <v>10</v>
      </c>
      <c r="K252" s="24" t="n"/>
      <c r="L252" s="24" t="n"/>
      <c r="M252" s="24" t="n"/>
      <c r="N252" s="24" t="n"/>
      <c r="O252" s="15">
        <f>IF(D252="","",COUNT(F252,H252,J252,L252,N252))</f>
        <v/>
      </c>
      <c r="P252" s="25">
        <f>IF(D252="","",N(E252)*N(F252)+N(G252)*N(H252)+N(I252)*N(J252)+N(K252)*N(L252)+N(M252)*N(N252))</f>
        <v/>
      </c>
      <c r="Q252" s="18">
        <f>IF(N(X252)=0,"",IF(IF(N(F252)=0,0,IF(N(E252)&gt;0,E252*(1+F252/30),F252))=X252,IF(N(E252)&gt;0,E252&amp;" x "&amp;F252,F252&amp;" reps"),IF(IF(N(H252)=0,0,IF(N(G252)&gt;0,G252*(1+H252/30),H252))=X252,IF(N(G252)&gt;0,G252&amp;" x "&amp;H252,H252&amp;" reps"),IF(IF(N(J252)=0,0,IF(N(I252)&gt;0,I252*(1+J252/30),J252))=X252,IF(N(I252)&gt;0,I252&amp;" x "&amp;J252,J252&amp;" reps"),IF(IF(N(L252)=0,0,IF(N(K252)&gt;0,K252*(1+L252/30),L252))=X252,IF(N(K252)&gt;0,K252&amp;" x "&amp;L252,L252&amp;" reps"),IF(IF(N(N252)=0,0,IF(N(M252)&gt;0,M252*(1+N252/30),N252))=X252,IF(N(M252)&gt;0,M252&amp;" x "&amp;N252,N252&amp;" reps"),""))))))</f>
        <v/>
      </c>
      <c r="R252" s="20">
        <f>IF(N(X252)=0,"",ROUND(X252,1))</f>
        <v/>
      </c>
      <c r="S252" s="18">
        <f>IF(N(X252)=0,"",IF(AND(COUNTIFS(Log!$D$6:$D$1505,D252,Log!$B$6:$B$1505,"&lt;"&amp;B252)&gt;0,COUNTIFS(Log!$D$6:$D$1505,D252,Log!$B$6:$B$1505,"&lt;"&amp;B252,Log!$X$6:$X$1505,"&gt;="&amp;X252)=0),"New best",""))</f>
        <v/>
      </c>
      <c r="T252" s="26" t="n"/>
      <c r="U252" s="1">
        <f>IF(D252="","",IFERROR(INDEX(Exercises!$C$6:$C$105,MATCH(D252,Exercises!$B$6:$B$105,0)),"Other"))</f>
        <v/>
      </c>
      <c r="V252">
        <f>IF(B252="","",IF(COUNTIF($B$6:B252,B252)=1,1,0))</f>
        <v/>
      </c>
      <c r="W252">
        <f>IF(B252="","",B252-WEEKDAY(B252,3))</f>
        <v/>
      </c>
      <c r="X252">
        <f>IF(D252="","",MAX(IF(N(F252)=0,0,IF(N(E252)&gt;0,E252*(1+F252/30),F252)),IF(N(H252)=0,0,IF(N(G252)&gt;0,G252*(1+H252/30),H252)),IF(N(J252)=0,0,IF(N(I252)&gt;0,I252*(1+J252/30),J252)),IF(N(L252)=0,0,IF(N(K252)&gt;0,K252*(1+L252/30),L252)),IF(N(N252)=0,0,IF(N(M252)&gt;0,M252*(1+N252/30),N252))))</f>
        <v/>
      </c>
      <c r="Y252">
        <f>IF(N(X252)=0,"",X252+ROW()/1000000000)</f>
        <v/>
      </c>
      <c r="Z252">
        <f>IF(Y252="","",IF(COUNTIFS(Log!$D$6:$D$1505,D252,Log!$Y$6:$Y$1505,"&gt;"&amp;Y252)=0,1,0))</f>
        <v/>
      </c>
      <c r="AA252">
        <f>IF(OR(B252="",D252=""),"",B252+ROW()/10000000)</f>
        <v/>
      </c>
      <c r="AB252">
        <f>IF(AA252="","",IF(COUNTIFS(Log!$D$6:$D$1505,D252,Log!$AA$6:$AA$1505,"&gt;"&amp;AA252)=0,1,0))</f>
        <v/>
      </c>
      <c r="AC252">
        <f>IF(S252="New best",AA252,"")</f>
        <v/>
      </c>
      <c r="AD252">
        <f>ROW()</f>
        <v/>
      </c>
    </row>
    <row r="253">
      <c r="A253" s="1" t="n"/>
      <c r="B253" s="21" t="n">
        <v>46280</v>
      </c>
      <c r="C253" s="22" t="inlineStr">
        <is>
          <t>Pull</t>
        </is>
      </c>
      <c r="D253" s="23" t="inlineStr">
        <is>
          <t>Biceps curl</t>
        </is>
      </c>
      <c r="E253" s="24" t="n">
        <v>32.5</v>
      </c>
      <c r="F253" s="24" t="n">
        <v>11</v>
      </c>
      <c r="G253" s="24" t="n">
        <v>32.5</v>
      </c>
      <c r="H253" s="24" t="n">
        <v>11</v>
      </c>
      <c r="I253" s="24" t="n">
        <v>32.5</v>
      </c>
      <c r="J253" s="24" t="n">
        <v>10</v>
      </c>
      <c r="K253" s="24" t="n"/>
      <c r="L253" s="24" t="n"/>
      <c r="M253" s="24" t="n"/>
      <c r="N253" s="24" t="n"/>
      <c r="O253" s="15">
        <f>IF(D253="","",COUNT(F253,H253,J253,L253,N253))</f>
        <v/>
      </c>
      <c r="P253" s="25">
        <f>IF(D253="","",N(E253)*N(F253)+N(G253)*N(H253)+N(I253)*N(J253)+N(K253)*N(L253)+N(M253)*N(N253))</f>
        <v/>
      </c>
      <c r="Q253" s="18">
        <f>IF(N(X253)=0,"",IF(IF(N(F253)=0,0,IF(N(E253)&gt;0,E253*(1+F253/30),F253))=X253,IF(N(E253)&gt;0,E253&amp;" x "&amp;F253,F253&amp;" reps"),IF(IF(N(H253)=0,0,IF(N(G253)&gt;0,G253*(1+H253/30),H253))=X253,IF(N(G253)&gt;0,G253&amp;" x "&amp;H253,H253&amp;" reps"),IF(IF(N(J253)=0,0,IF(N(I253)&gt;0,I253*(1+J253/30),J253))=X253,IF(N(I253)&gt;0,I253&amp;" x "&amp;J253,J253&amp;" reps"),IF(IF(N(L253)=0,0,IF(N(K253)&gt;0,K253*(1+L253/30),L253))=X253,IF(N(K253)&gt;0,K253&amp;" x "&amp;L253,L253&amp;" reps"),IF(IF(N(N253)=0,0,IF(N(M253)&gt;0,M253*(1+N253/30),N253))=X253,IF(N(M253)&gt;0,M253&amp;" x "&amp;N253,N253&amp;" reps"),""))))))</f>
        <v/>
      </c>
      <c r="R253" s="20">
        <f>IF(N(X253)=0,"",ROUND(X253,1))</f>
        <v/>
      </c>
      <c r="S253" s="18">
        <f>IF(N(X253)=0,"",IF(AND(COUNTIFS(Log!$D$6:$D$1505,D253,Log!$B$6:$B$1505,"&lt;"&amp;B253)&gt;0,COUNTIFS(Log!$D$6:$D$1505,D253,Log!$B$6:$B$1505,"&lt;"&amp;B253,Log!$X$6:$X$1505,"&gt;="&amp;X253)=0),"New best",""))</f>
        <v/>
      </c>
      <c r="T253" s="26" t="n"/>
      <c r="U253" s="1">
        <f>IF(D253="","",IFERROR(INDEX(Exercises!$C$6:$C$105,MATCH(D253,Exercises!$B$6:$B$105,0)),"Other"))</f>
        <v/>
      </c>
      <c r="V253">
        <f>IF(B253="","",IF(COUNTIF($B$6:B253,B253)=1,1,0))</f>
        <v/>
      </c>
      <c r="W253">
        <f>IF(B253="","",B253-WEEKDAY(B253,3))</f>
        <v/>
      </c>
      <c r="X253">
        <f>IF(D253="","",MAX(IF(N(F253)=0,0,IF(N(E253)&gt;0,E253*(1+F253/30),F253)),IF(N(H253)=0,0,IF(N(G253)&gt;0,G253*(1+H253/30),H253)),IF(N(J253)=0,0,IF(N(I253)&gt;0,I253*(1+J253/30),J253)),IF(N(L253)=0,0,IF(N(K253)&gt;0,K253*(1+L253/30),L253)),IF(N(N253)=0,0,IF(N(M253)&gt;0,M253*(1+N253/30),N253))))</f>
        <v/>
      </c>
      <c r="Y253">
        <f>IF(N(X253)=0,"",X253+ROW()/1000000000)</f>
        <v/>
      </c>
      <c r="Z253">
        <f>IF(Y253="","",IF(COUNTIFS(Log!$D$6:$D$1505,D253,Log!$Y$6:$Y$1505,"&gt;"&amp;Y253)=0,1,0))</f>
        <v/>
      </c>
      <c r="AA253">
        <f>IF(OR(B253="",D253=""),"",B253+ROW()/10000000)</f>
        <v/>
      </c>
      <c r="AB253">
        <f>IF(AA253="","",IF(COUNTIFS(Log!$D$6:$D$1505,D253,Log!$AA$6:$AA$1505,"&gt;"&amp;AA253)=0,1,0))</f>
        <v/>
      </c>
      <c r="AC253">
        <f>IF(S253="New best",AA253,"")</f>
        <v/>
      </c>
      <c r="AD253">
        <f>ROW()</f>
        <v/>
      </c>
    </row>
    <row r="254">
      <c r="A254" s="1" t="n"/>
      <c r="B254" s="21" t="n">
        <v>46281</v>
      </c>
      <c r="C254" s="22" t="inlineStr">
        <is>
          <t>Legs</t>
        </is>
      </c>
      <c r="D254" s="23" t="inlineStr">
        <is>
          <t>Squat</t>
        </is>
      </c>
      <c r="E254" s="24" t="n">
        <v>215</v>
      </c>
      <c r="F254" s="24" t="n">
        <v>5</v>
      </c>
      <c r="G254" s="24" t="n">
        <v>215</v>
      </c>
      <c r="H254" s="24" t="n">
        <v>5</v>
      </c>
      <c r="I254" s="24" t="n">
        <v>215</v>
      </c>
      <c r="J254" s="24" t="n">
        <v>5</v>
      </c>
      <c r="K254" s="24" t="n">
        <v>215</v>
      </c>
      <c r="L254" s="24" t="n">
        <v>5</v>
      </c>
      <c r="M254" s="24" t="n"/>
      <c r="N254" s="24" t="n"/>
      <c r="O254" s="15">
        <f>IF(D254="","",COUNT(F254,H254,J254,L254,N254))</f>
        <v/>
      </c>
      <c r="P254" s="25">
        <f>IF(D254="","",N(E254)*N(F254)+N(G254)*N(H254)+N(I254)*N(J254)+N(K254)*N(L254)+N(M254)*N(N254))</f>
        <v/>
      </c>
      <c r="Q254" s="18">
        <f>IF(N(X254)=0,"",IF(IF(N(F254)=0,0,IF(N(E254)&gt;0,E254*(1+F254/30),F254))=X254,IF(N(E254)&gt;0,E254&amp;" x "&amp;F254,F254&amp;" reps"),IF(IF(N(H254)=0,0,IF(N(G254)&gt;0,G254*(1+H254/30),H254))=X254,IF(N(G254)&gt;0,G254&amp;" x "&amp;H254,H254&amp;" reps"),IF(IF(N(J254)=0,0,IF(N(I254)&gt;0,I254*(1+J254/30),J254))=X254,IF(N(I254)&gt;0,I254&amp;" x "&amp;J254,J254&amp;" reps"),IF(IF(N(L254)=0,0,IF(N(K254)&gt;0,K254*(1+L254/30),L254))=X254,IF(N(K254)&gt;0,K254&amp;" x "&amp;L254,L254&amp;" reps"),IF(IF(N(N254)=0,0,IF(N(M254)&gt;0,M254*(1+N254/30),N254))=X254,IF(N(M254)&gt;0,M254&amp;" x "&amp;N254,N254&amp;" reps"),""))))))</f>
        <v/>
      </c>
      <c r="R254" s="20">
        <f>IF(N(X254)=0,"",ROUND(X254,1))</f>
        <v/>
      </c>
      <c r="S254" s="18">
        <f>IF(N(X254)=0,"",IF(AND(COUNTIFS(Log!$D$6:$D$1505,D254,Log!$B$6:$B$1505,"&lt;"&amp;B254)&gt;0,COUNTIFS(Log!$D$6:$D$1505,D254,Log!$B$6:$B$1505,"&lt;"&amp;B254,Log!$X$6:$X$1505,"&gt;="&amp;X254)=0),"New best",""))</f>
        <v/>
      </c>
      <c r="T254" s="26" t="n"/>
      <c r="U254" s="1">
        <f>IF(D254="","",IFERROR(INDEX(Exercises!$C$6:$C$105,MATCH(D254,Exercises!$B$6:$B$105,0)),"Other"))</f>
        <v/>
      </c>
      <c r="V254">
        <f>IF(B254="","",IF(COUNTIF($B$6:B254,B254)=1,1,0))</f>
        <v/>
      </c>
      <c r="W254">
        <f>IF(B254="","",B254-WEEKDAY(B254,3))</f>
        <v/>
      </c>
      <c r="X254">
        <f>IF(D254="","",MAX(IF(N(F254)=0,0,IF(N(E254)&gt;0,E254*(1+F254/30),F254)),IF(N(H254)=0,0,IF(N(G254)&gt;0,G254*(1+H254/30),H254)),IF(N(J254)=0,0,IF(N(I254)&gt;0,I254*(1+J254/30),J254)),IF(N(L254)=0,0,IF(N(K254)&gt;0,K254*(1+L254/30),L254)),IF(N(N254)=0,0,IF(N(M254)&gt;0,M254*(1+N254/30),N254))))</f>
        <v/>
      </c>
      <c r="Y254">
        <f>IF(N(X254)=0,"",X254+ROW()/1000000000)</f>
        <v/>
      </c>
      <c r="Z254">
        <f>IF(Y254="","",IF(COUNTIFS(Log!$D$6:$D$1505,D254,Log!$Y$6:$Y$1505,"&gt;"&amp;Y254)=0,1,0))</f>
        <v/>
      </c>
      <c r="AA254">
        <f>IF(OR(B254="",D254=""),"",B254+ROW()/10000000)</f>
        <v/>
      </c>
      <c r="AB254">
        <f>IF(AA254="","",IF(COUNTIFS(Log!$D$6:$D$1505,D254,Log!$AA$6:$AA$1505,"&gt;"&amp;AA254)=0,1,0))</f>
        <v/>
      </c>
      <c r="AC254">
        <f>IF(S254="New best",AA254,"")</f>
        <v/>
      </c>
      <c r="AD254">
        <f>ROW()</f>
        <v/>
      </c>
    </row>
    <row r="255">
      <c r="A255" s="1" t="n"/>
      <c r="B255" s="21" t="n">
        <v>46281</v>
      </c>
      <c r="C255" s="22" t="inlineStr">
        <is>
          <t>Legs</t>
        </is>
      </c>
      <c r="D255" s="23" t="inlineStr">
        <is>
          <t>Romanian deadlift</t>
        </is>
      </c>
      <c r="E255" s="24" t="n">
        <v>185</v>
      </c>
      <c r="F255" s="24" t="n">
        <v>10</v>
      </c>
      <c r="G255" s="24" t="n">
        <v>185</v>
      </c>
      <c r="H255" s="24" t="n">
        <v>9</v>
      </c>
      <c r="I255" s="24" t="n">
        <v>185</v>
      </c>
      <c r="J255" s="24" t="n">
        <v>8</v>
      </c>
      <c r="K255" s="24" t="n"/>
      <c r="L255" s="24" t="n"/>
      <c r="M255" s="24" t="n"/>
      <c r="N255" s="24" t="n"/>
      <c r="O255" s="15">
        <f>IF(D255="","",COUNT(F255,H255,J255,L255,N255))</f>
        <v/>
      </c>
      <c r="P255" s="25">
        <f>IF(D255="","",N(E255)*N(F255)+N(G255)*N(H255)+N(I255)*N(J255)+N(K255)*N(L255)+N(M255)*N(N255))</f>
        <v/>
      </c>
      <c r="Q255" s="18">
        <f>IF(N(X255)=0,"",IF(IF(N(F255)=0,0,IF(N(E255)&gt;0,E255*(1+F255/30),F255))=X255,IF(N(E255)&gt;0,E255&amp;" x "&amp;F255,F255&amp;" reps"),IF(IF(N(H255)=0,0,IF(N(G255)&gt;0,G255*(1+H255/30),H255))=X255,IF(N(G255)&gt;0,G255&amp;" x "&amp;H255,H255&amp;" reps"),IF(IF(N(J255)=0,0,IF(N(I255)&gt;0,I255*(1+J255/30),J255))=X255,IF(N(I255)&gt;0,I255&amp;" x "&amp;J255,J255&amp;" reps"),IF(IF(N(L255)=0,0,IF(N(K255)&gt;0,K255*(1+L255/30),L255))=X255,IF(N(K255)&gt;0,K255&amp;" x "&amp;L255,L255&amp;" reps"),IF(IF(N(N255)=0,0,IF(N(M255)&gt;0,M255*(1+N255/30),N255))=X255,IF(N(M255)&gt;0,M255&amp;" x "&amp;N255,N255&amp;" reps"),""))))))</f>
        <v/>
      </c>
      <c r="R255" s="20">
        <f>IF(N(X255)=0,"",ROUND(X255,1))</f>
        <v/>
      </c>
      <c r="S255" s="18">
        <f>IF(N(X255)=0,"",IF(AND(COUNTIFS(Log!$D$6:$D$1505,D255,Log!$B$6:$B$1505,"&lt;"&amp;B255)&gt;0,COUNTIFS(Log!$D$6:$D$1505,D255,Log!$B$6:$B$1505,"&lt;"&amp;B255,Log!$X$6:$X$1505,"&gt;="&amp;X255)=0),"New best",""))</f>
        <v/>
      </c>
      <c r="T255" s="26" t="n"/>
      <c r="U255" s="1">
        <f>IF(D255="","",IFERROR(INDEX(Exercises!$C$6:$C$105,MATCH(D255,Exercises!$B$6:$B$105,0)),"Other"))</f>
        <v/>
      </c>
      <c r="V255">
        <f>IF(B255="","",IF(COUNTIF($B$6:B255,B255)=1,1,0))</f>
        <v/>
      </c>
      <c r="W255">
        <f>IF(B255="","",B255-WEEKDAY(B255,3))</f>
        <v/>
      </c>
      <c r="X255">
        <f>IF(D255="","",MAX(IF(N(F255)=0,0,IF(N(E255)&gt;0,E255*(1+F255/30),F255)),IF(N(H255)=0,0,IF(N(G255)&gt;0,G255*(1+H255/30),H255)),IF(N(J255)=0,0,IF(N(I255)&gt;0,I255*(1+J255/30),J255)),IF(N(L255)=0,0,IF(N(K255)&gt;0,K255*(1+L255/30),L255)),IF(N(N255)=0,0,IF(N(M255)&gt;0,M255*(1+N255/30),N255))))</f>
        <v/>
      </c>
      <c r="Y255">
        <f>IF(N(X255)=0,"",X255+ROW()/1000000000)</f>
        <v/>
      </c>
      <c r="Z255">
        <f>IF(Y255="","",IF(COUNTIFS(Log!$D$6:$D$1505,D255,Log!$Y$6:$Y$1505,"&gt;"&amp;Y255)=0,1,0))</f>
        <v/>
      </c>
      <c r="AA255">
        <f>IF(OR(B255="",D255=""),"",B255+ROW()/10000000)</f>
        <v/>
      </c>
      <c r="AB255">
        <f>IF(AA255="","",IF(COUNTIFS(Log!$D$6:$D$1505,D255,Log!$AA$6:$AA$1505,"&gt;"&amp;AA255)=0,1,0))</f>
        <v/>
      </c>
      <c r="AC255">
        <f>IF(S255="New best",AA255,"")</f>
        <v/>
      </c>
      <c r="AD255">
        <f>ROW()</f>
        <v/>
      </c>
    </row>
    <row r="256">
      <c r="A256" s="1" t="n"/>
      <c r="B256" s="21" t="n">
        <v>46281</v>
      </c>
      <c r="C256" s="22" t="inlineStr">
        <is>
          <t>Legs</t>
        </is>
      </c>
      <c r="D256" s="23" t="inlineStr">
        <is>
          <t>Leg press</t>
        </is>
      </c>
      <c r="E256" s="24" t="n">
        <v>330</v>
      </c>
      <c r="F256" s="24" t="n">
        <v>12</v>
      </c>
      <c r="G256" s="24" t="n">
        <v>330</v>
      </c>
      <c r="H256" s="24" t="n">
        <v>10</v>
      </c>
      <c r="I256" s="24" t="n">
        <v>330</v>
      </c>
      <c r="J256" s="24" t="n">
        <v>10</v>
      </c>
      <c r="K256" s="24" t="n"/>
      <c r="L256" s="24" t="n"/>
      <c r="M256" s="24" t="n"/>
      <c r="N256" s="24" t="n"/>
      <c r="O256" s="15">
        <f>IF(D256="","",COUNT(F256,H256,J256,L256,N256))</f>
        <v/>
      </c>
      <c r="P256" s="25">
        <f>IF(D256="","",N(E256)*N(F256)+N(G256)*N(H256)+N(I256)*N(J256)+N(K256)*N(L256)+N(M256)*N(N256))</f>
        <v/>
      </c>
      <c r="Q256" s="18">
        <f>IF(N(X256)=0,"",IF(IF(N(F256)=0,0,IF(N(E256)&gt;0,E256*(1+F256/30),F256))=X256,IF(N(E256)&gt;0,E256&amp;" x "&amp;F256,F256&amp;" reps"),IF(IF(N(H256)=0,0,IF(N(G256)&gt;0,G256*(1+H256/30),H256))=X256,IF(N(G256)&gt;0,G256&amp;" x "&amp;H256,H256&amp;" reps"),IF(IF(N(J256)=0,0,IF(N(I256)&gt;0,I256*(1+J256/30),J256))=X256,IF(N(I256)&gt;0,I256&amp;" x "&amp;J256,J256&amp;" reps"),IF(IF(N(L256)=0,0,IF(N(K256)&gt;0,K256*(1+L256/30),L256))=X256,IF(N(K256)&gt;0,K256&amp;" x "&amp;L256,L256&amp;" reps"),IF(IF(N(N256)=0,0,IF(N(M256)&gt;0,M256*(1+N256/30),N256))=X256,IF(N(M256)&gt;0,M256&amp;" x "&amp;N256,N256&amp;" reps"),""))))))</f>
        <v/>
      </c>
      <c r="R256" s="20">
        <f>IF(N(X256)=0,"",ROUND(X256,1))</f>
        <v/>
      </c>
      <c r="S256" s="18">
        <f>IF(N(X256)=0,"",IF(AND(COUNTIFS(Log!$D$6:$D$1505,D256,Log!$B$6:$B$1505,"&lt;"&amp;B256)&gt;0,COUNTIFS(Log!$D$6:$D$1505,D256,Log!$B$6:$B$1505,"&lt;"&amp;B256,Log!$X$6:$X$1505,"&gt;="&amp;X256)=0),"New best",""))</f>
        <v/>
      </c>
      <c r="T256" s="26" t="inlineStr">
        <is>
          <t>Slept badly</t>
        </is>
      </c>
      <c r="U256" s="1">
        <f>IF(D256="","",IFERROR(INDEX(Exercises!$C$6:$C$105,MATCH(D256,Exercises!$B$6:$B$105,0)),"Other"))</f>
        <v/>
      </c>
      <c r="V256">
        <f>IF(B256="","",IF(COUNTIF($B$6:B256,B256)=1,1,0))</f>
        <v/>
      </c>
      <c r="W256">
        <f>IF(B256="","",B256-WEEKDAY(B256,3))</f>
        <v/>
      </c>
      <c r="X256">
        <f>IF(D256="","",MAX(IF(N(F256)=0,0,IF(N(E256)&gt;0,E256*(1+F256/30),F256)),IF(N(H256)=0,0,IF(N(G256)&gt;0,G256*(1+H256/30),H256)),IF(N(J256)=0,0,IF(N(I256)&gt;0,I256*(1+J256/30),J256)),IF(N(L256)=0,0,IF(N(K256)&gt;0,K256*(1+L256/30),L256)),IF(N(N256)=0,0,IF(N(M256)&gt;0,M256*(1+N256/30),N256))))</f>
        <v/>
      </c>
      <c r="Y256">
        <f>IF(N(X256)=0,"",X256+ROW()/1000000000)</f>
        <v/>
      </c>
      <c r="Z256">
        <f>IF(Y256="","",IF(COUNTIFS(Log!$D$6:$D$1505,D256,Log!$Y$6:$Y$1505,"&gt;"&amp;Y256)=0,1,0))</f>
        <v/>
      </c>
      <c r="AA256">
        <f>IF(OR(B256="",D256=""),"",B256+ROW()/10000000)</f>
        <v/>
      </c>
      <c r="AB256">
        <f>IF(AA256="","",IF(COUNTIFS(Log!$D$6:$D$1505,D256,Log!$AA$6:$AA$1505,"&gt;"&amp;AA256)=0,1,0))</f>
        <v/>
      </c>
      <c r="AC256">
        <f>IF(S256="New best",AA256,"")</f>
        <v/>
      </c>
      <c r="AD256">
        <f>ROW()</f>
        <v/>
      </c>
    </row>
    <row r="257">
      <c r="A257" s="1" t="n"/>
      <c r="B257" s="21" t="n">
        <v>46281</v>
      </c>
      <c r="C257" s="22" t="inlineStr">
        <is>
          <t>Legs</t>
        </is>
      </c>
      <c r="D257" s="23" t="inlineStr">
        <is>
          <t>Leg curl</t>
        </is>
      </c>
      <c r="E257" s="24" t="n">
        <v>85</v>
      </c>
      <c r="F257" s="24" t="n">
        <v>12</v>
      </c>
      <c r="G257" s="24" t="n">
        <v>85</v>
      </c>
      <c r="H257" s="24" t="n">
        <v>10</v>
      </c>
      <c r="I257" s="24" t="n">
        <v>85</v>
      </c>
      <c r="J257" s="24" t="n">
        <v>10</v>
      </c>
      <c r="K257" s="24" t="n"/>
      <c r="L257" s="24" t="n"/>
      <c r="M257" s="24" t="n"/>
      <c r="N257" s="24" t="n"/>
      <c r="O257" s="15">
        <f>IF(D257="","",COUNT(F257,H257,J257,L257,N257))</f>
        <v/>
      </c>
      <c r="P257" s="25">
        <f>IF(D257="","",N(E257)*N(F257)+N(G257)*N(H257)+N(I257)*N(J257)+N(K257)*N(L257)+N(M257)*N(N257))</f>
        <v/>
      </c>
      <c r="Q257" s="18">
        <f>IF(N(X257)=0,"",IF(IF(N(F257)=0,0,IF(N(E257)&gt;0,E257*(1+F257/30),F257))=X257,IF(N(E257)&gt;0,E257&amp;" x "&amp;F257,F257&amp;" reps"),IF(IF(N(H257)=0,0,IF(N(G257)&gt;0,G257*(1+H257/30),H257))=X257,IF(N(G257)&gt;0,G257&amp;" x "&amp;H257,H257&amp;" reps"),IF(IF(N(J257)=0,0,IF(N(I257)&gt;0,I257*(1+J257/30),J257))=X257,IF(N(I257)&gt;0,I257&amp;" x "&amp;J257,J257&amp;" reps"),IF(IF(N(L257)=0,0,IF(N(K257)&gt;0,K257*(1+L257/30),L257))=X257,IF(N(K257)&gt;0,K257&amp;" x "&amp;L257,L257&amp;" reps"),IF(IF(N(N257)=0,0,IF(N(M257)&gt;0,M257*(1+N257/30),N257))=X257,IF(N(M257)&gt;0,M257&amp;" x "&amp;N257,N257&amp;" reps"),""))))))</f>
        <v/>
      </c>
      <c r="R257" s="20">
        <f>IF(N(X257)=0,"",ROUND(X257,1))</f>
        <v/>
      </c>
      <c r="S257" s="18">
        <f>IF(N(X257)=0,"",IF(AND(COUNTIFS(Log!$D$6:$D$1505,D257,Log!$B$6:$B$1505,"&lt;"&amp;B257)&gt;0,COUNTIFS(Log!$D$6:$D$1505,D257,Log!$B$6:$B$1505,"&lt;"&amp;B257,Log!$X$6:$X$1505,"&gt;="&amp;X257)=0),"New best",""))</f>
        <v/>
      </c>
      <c r="T257" s="26" t="n"/>
      <c r="U257" s="1">
        <f>IF(D257="","",IFERROR(INDEX(Exercises!$C$6:$C$105,MATCH(D257,Exercises!$B$6:$B$105,0)),"Other"))</f>
        <v/>
      </c>
      <c r="V257">
        <f>IF(B257="","",IF(COUNTIF($B$6:B257,B257)=1,1,0))</f>
        <v/>
      </c>
      <c r="W257">
        <f>IF(B257="","",B257-WEEKDAY(B257,3))</f>
        <v/>
      </c>
      <c r="X257">
        <f>IF(D257="","",MAX(IF(N(F257)=0,0,IF(N(E257)&gt;0,E257*(1+F257/30),F257)),IF(N(H257)=0,0,IF(N(G257)&gt;0,G257*(1+H257/30),H257)),IF(N(J257)=0,0,IF(N(I257)&gt;0,I257*(1+J257/30),J257)),IF(N(L257)=0,0,IF(N(K257)&gt;0,K257*(1+L257/30),L257)),IF(N(N257)=0,0,IF(N(M257)&gt;0,M257*(1+N257/30),N257))))</f>
        <v/>
      </c>
      <c r="Y257">
        <f>IF(N(X257)=0,"",X257+ROW()/1000000000)</f>
        <v/>
      </c>
      <c r="Z257">
        <f>IF(Y257="","",IF(COUNTIFS(Log!$D$6:$D$1505,D257,Log!$Y$6:$Y$1505,"&gt;"&amp;Y257)=0,1,0))</f>
        <v/>
      </c>
      <c r="AA257">
        <f>IF(OR(B257="",D257=""),"",B257+ROW()/10000000)</f>
        <v/>
      </c>
      <c r="AB257">
        <f>IF(AA257="","",IF(COUNTIFS(Log!$D$6:$D$1505,D257,Log!$AA$6:$AA$1505,"&gt;"&amp;AA257)=0,1,0))</f>
        <v/>
      </c>
      <c r="AC257">
        <f>IF(S257="New best",AA257,"")</f>
        <v/>
      </c>
      <c r="AD257">
        <f>ROW()</f>
        <v/>
      </c>
    </row>
    <row r="258">
      <c r="A258" s="1" t="n"/>
      <c r="B258" s="21" t="n">
        <v>46281</v>
      </c>
      <c r="C258" s="22" t="inlineStr">
        <is>
          <t>Legs</t>
        </is>
      </c>
      <c r="D258" s="23" t="inlineStr">
        <is>
          <t>Calf raise</t>
        </is>
      </c>
      <c r="E258" s="24" t="n">
        <v>120</v>
      </c>
      <c r="F258" s="24" t="n">
        <v>14</v>
      </c>
      <c r="G258" s="24" t="n">
        <v>120</v>
      </c>
      <c r="H258" s="24" t="n">
        <v>13</v>
      </c>
      <c r="I258" s="24" t="n">
        <v>120</v>
      </c>
      <c r="J258" s="24" t="n">
        <v>12</v>
      </c>
      <c r="K258" s="24" t="n">
        <v>120</v>
      </c>
      <c r="L258" s="24" t="n">
        <v>12</v>
      </c>
      <c r="M258" s="24" t="n"/>
      <c r="N258" s="24" t="n"/>
      <c r="O258" s="15">
        <f>IF(D258="","",COUNT(F258,H258,J258,L258,N258))</f>
        <v/>
      </c>
      <c r="P258" s="25">
        <f>IF(D258="","",N(E258)*N(F258)+N(G258)*N(H258)+N(I258)*N(J258)+N(K258)*N(L258)+N(M258)*N(N258))</f>
        <v/>
      </c>
      <c r="Q258" s="18">
        <f>IF(N(X258)=0,"",IF(IF(N(F258)=0,0,IF(N(E258)&gt;0,E258*(1+F258/30),F258))=X258,IF(N(E258)&gt;0,E258&amp;" x "&amp;F258,F258&amp;" reps"),IF(IF(N(H258)=0,0,IF(N(G258)&gt;0,G258*(1+H258/30),H258))=X258,IF(N(G258)&gt;0,G258&amp;" x "&amp;H258,H258&amp;" reps"),IF(IF(N(J258)=0,0,IF(N(I258)&gt;0,I258*(1+J258/30),J258))=X258,IF(N(I258)&gt;0,I258&amp;" x "&amp;J258,J258&amp;" reps"),IF(IF(N(L258)=0,0,IF(N(K258)&gt;0,K258*(1+L258/30),L258))=X258,IF(N(K258)&gt;0,K258&amp;" x "&amp;L258,L258&amp;" reps"),IF(IF(N(N258)=0,0,IF(N(M258)&gt;0,M258*(1+N258/30),N258))=X258,IF(N(M258)&gt;0,M258&amp;" x "&amp;N258,N258&amp;" reps"),""))))))</f>
        <v/>
      </c>
      <c r="R258" s="20">
        <f>IF(N(X258)=0,"",ROUND(X258,1))</f>
        <v/>
      </c>
      <c r="S258" s="18">
        <f>IF(N(X258)=0,"",IF(AND(COUNTIFS(Log!$D$6:$D$1505,D258,Log!$B$6:$B$1505,"&lt;"&amp;B258)&gt;0,COUNTIFS(Log!$D$6:$D$1505,D258,Log!$B$6:$B$1505,"&lt;"&amp;B258,Log!$X$6:$X$1505,"&gt;="&amp;X258)=0),"New best",""))</f>
        <v/>
      </c>
      <c r="T258" s="26" t="n"/>
      <c r="U258" s="1">
        <f>IF(D258="","",IFERROR(INDEX(Exercises!$C$6:$C$105,MATCH(D258,Exercises!$B$6:$B$105,0)),"Other"))</f>
        <v/>
      </c>
      <c r="V258">
        <f>IF(B258="","",IF(COUNTIF($B$6:B258,B258)=1,1,0))</f>
        <v/>
      </c>
      <c r="W258">
        <f>IF(B258="","",B258-WEEKDAY(B258,3))</f>
        <v/>
      </c>
      <c r="X258">
        <f>IF(D258="","",MAX(IF(N(F258)=0,0,IF(N(E258)&gt;0,E258*(1+F258/30),F258)),IF(N(H258)=0,0,IF(N(G258)&gt;0,G258*(1+H258/30),H258)),IF(N(J258)=0,0,IF(N(I258)&gt;0,I258*(1+J258/30),J258)),IF(N(L258)=0,0,IF(N(K258)&gt;0,K258*(1+L258/30),L258)),IF(N(N258)=0,0,IF(N(M258)&gt;0,M258*(1+N258/30),N258))))</f>
        <v/>
      </c>
      <c r="Y258">
        <f>IF(N(X258)=0,"",X258+ROW()/1000000000)</f>
        <v/>
      </c>
      <c r="Z258">
        <f>IF(Y258="","",IF(COUNTIFS(Log!$D$6:$D$1505,D258,Log!$Y$6:$Y$1505,"&gt;"&amp;Y258)=0,1,0))</f>
        <v/>
      </c>
      <c r="AA258">
        <f>IF(OR(B258="",D258=""),"",B258+ROW()/10000000)</f>
        <v/>
      </c>
      <c r="AB258">
        <f>IF(AA258="","",IF(COUNTIFS(Log!$D$6:$D$1505,D258,Log!$AA$6:$AA$1505,"&gt;"&amp;AA258)=0,1,0))</f>
        <v/>
      </c>
      <c r="AC258">
        <f>IF(S258="New best",AA258,"")</f>
        <v/>
      </c>
      <c r="AD258">
        <f>ROW()</f>
        <v/>
      </c>
    </row>
    <row r="259">
      <c r="A259" s="1" t="n"/>
      <c r="B259" s="21" t="n">
        <v>46283</v>
      </c>
      <c r="C259" s="22" t="inlineStr">
        <is>
          <t>Upper</t>
        </is>
      </c>
      <c r="D259" s="23" t="inlineStr">
        <is>
          <t>Bench press</t>
        </is>
      </c>
      <c r="E259" s="24" t="n">
        <v>135</v>
      </c>
      <c r="F259" s="24" t="n">
        <v>9</v>
      </c>
      <c r="G259" s="24" t="n">
        <v>135</v>
      </c>
      <c r="H259" s="24" t="n">
        <v>8</v>
      </c>
      <c r="I259" s="24" t="n">
        <v>135</v>
      </c>
      <c r="J259" s="24" t="n">
        <v>8</v>
      </c>
      <c r="K259" s="24" t="n"/>
      <c r="L259" s="24" t="n"/>
      <c r="M259" s="24" t="n"/>
      <c r="N259" s="24" t="n"/>
      <c r="O259" s="15">
        <f>IF(D259="","",COUNT(F259,H259,J259,L259,N259))</f>
        <v/>
      </c>
      <c r="P259" s="25">
        <f>IF(D259="","",N(E259)*N(F259)+N(G259)*N(H259)+N(I259)*N(J259)+N(K259)*N(L259)+N(M259)*N(N259))</f>
        <v/>
      </c>
      <c r="Q259" s="18">
        <f>IF(N(X259)=0,"",IF(IF(N(F259)=0,0,IF(N(E259)&gt;0,E259*(1+F259/30),F259))=X259,IF(N(E259)&gt;0,E259&amp;" x "&amp;F259,F259&amp;" reps"),IF(IF(N(H259)=0,0,IF(N(G259)&gt;0,G259*(1+H259/30),H259))=X259,IF(N(G259)&gt;0,G259&amp;" x "&amp;H259,H259&amp;" reps"),IF(IF(N(J259)=0,0,IF(N(I259)&gt;0,I259*(1+J259/30),J259))=X259,IF(N(I259)&gt;0,I259&amp;" x "&amp;J259,J259&amp;" reps"),IF(IF(N(L259)=0,0,IF(N(K259)&gt;0,K259*(1+L259/30),L259))=X259,IF(N(K259)&gt;0,K259&amp;" x "&amp;L259,L259&amp;" reps"),IF(IF(N(N259)=0,0,IF(N(M259)&gt;0,M259*(1+N259/30),N259))=X259,IF(N(M259)&gt;0,M259&amp;" x "&amp;N259,N259&amp;" reps"),""))))))</f>
        <v/>
      </c>
      <c r="R259" s="20">
        <f>IF(N(X259)=0,"",ROUND(X259,1))</f>
        <v/>
      </c>
      <c r="S259" s="18">
        <f>IF(N(X259)=0,"",IF(AND(COUNTIFS(Log!$D$6:$D$1505,D259,Log!$B$6:$B$1505,"&lt;"&amp;B259)&gt;0,COUNTIFS(Log!$D$6:$D$1505,D259,Log!$B$6:$B$1505,"&lt;"&amp;B259,Log!$X$6:$X$1505,"&gt;="&amp;X259)=0),"New best",""))</f>
        <v/>
      </c>
      <c r="T259" s="26" t="n"/>
      <c r="U259" s="1">
        <f>IF(D259="","",IFERROR(INDEX(Exercises!$C$6:$C$105,MATCH(D259,Exercises!$B$6:$B$105,0)),"Other"))</f>
        <v/>
      </c>
      <c r="V259">
        <f>IF(B259="","",IF(COUNTIF($B$6:B259,B259)=1,1,0))</f>
        <v/>
      </c>
      <c r="W259">
        <f>IF(B259="","",B259-WEEKDAY(B259,3))</f>
        <v/>
      </c>
      <c r="X259">
        <f>IF(D259="","",MAX(IF(N(F259)=0,0,IF(N(E259)&gt;0,E259*(1+F259/30),F259)),IF(N(H259)=0,0,IF(N(G259)&gt;0,G259*(1+H259/30),H259)),IF(N(J259)=0,0,IF(N(I259)&gt;0,I259*(1+J259/30),J259)),IF(N(L259)=0,0,IF(N(K259)&gt;0,K259*(1+L259/30),L259)),IF(N(N259)=0,0,IF(N(M259)&gt;0,M259*(1+N259/30),N259))))</f>
        <v/>
      </c>
      <c r="Y259">
        <f>IF(N(X259)=0,"",X259+ROW()/1000000000)</f>
        <v/>
      </c>
      <c r="Z259">
        <f>IF(Y259="","",IF(COUNTIFS(Log!$D$6:$D$1505,D259,Log!$Y$6:$Y$1505,"&gt;"&amp;Y259)=0,1,0))</f>
        <v/>
      </c>
      <c r="AA259">
        <f>IF(OR(B259="",D259=""),"",B259+ROW()/10000000)</f>
        <v/>
      </c>
      <c r="AB259">
        <f>IF(AA259="","",IF(COUNTIFS(Log!$D$6:$D$1505,D259,Log!$AA$6:$AA$1505,"&gt;"&amp;AA259)=0,1,0))</f>
        <v/>
      </c>
      <c r="AC259">
        <f>IF(S259="New best",AA259,"")</f>
        <v/>
      </c>
      <c r="AD259">
        <f>ROW()</f>
        <v/>
      </c>
    </row>
    <row r="260">
      <c r="A260" s="1" t="n"/>
      <c r="B260" s="21" t="n">
        <v>46283</v>
      </c>
      <c r="C260" s="22" t="inlineStr">
        <is>
          <t>Upper</t>
        </is>
      </c>
      <c r="D260" s="23" t="inlineStr">
        <is>
          <t>Barbell row</t>
        </is>
      </c>
      <c r="E260" s="24" t="n">
        <v>115</v>
      </c>
      <c r="F260" s="24" t="n">
        <v>10</v>
      </c>
      <c r="G260" s="24" t="n">
        <v>115</v>
      </c>
      <c r="H260" s="24" t="n">
        <v>9</v>
      </c>
      <c r="I260" s="24" t="n">
        <v>115</v>
      </c>
      <c r="J260" s="24" t="n">
        <v>8</v>
      </c>
      <c r="K260" s="24" t="n"/>
      <c r="L260" s="24" t="n"/>
      <c r="M260" s="24" t="n"/>
      <c r="N260" s="24" t="n"/>
      <c r="O260" s="15">
        <f>IF(D260="","",COUNT(F260,H260,J260,L260,N260))</f>
        <v/>
      </c>
      <c r="P260" s="25">
        <f>IF(D260="","",N(E260)*N(F260)+N(G260)*N(H260)+N(I260)*N(J260)+N(K260)*N(L260)+N(M260)*N(N260))</f>
        <v/>
      </c>
      <c r="Q260" s="18">
        <f>IF(N(X260)=0,"",IF(IF(N(F260)=0,0,IF(N(E260)&gt;0,E260*(1+F260/30),F260))=X260,IF(N(E260)&gt;0,E260&amp;" x "&amp;F260,F260&amp;" reps"),IF(IF(N(H260)=0,0,IF(N(G260)&gt;0,G260*(1+H260/30),H260))=X260,IF(N(G260)&gt;0,G260&amp;" x "&amp;H260,H260&amp;" reps"),IF(IF(N(J260)=0,0,IF(N(I260)&gt;0,I260*(1+J260/30),J260))=X260,IF(N(I260)&gt;0,I260&amp;" x "&amp;J260,J260&amp;" reps"),IF(IF(N(L260)=0,0,IF(N(K260)&gt;0,K260*(1+L260/30),L260))=X260,IF(N(K260)&gt;0,K260&amp;" x "&amp;L260,L260&amp;" reps"),IF(IF(N(N260)=0,0,IF(N(M260)&gt;0,M260*(1+N260/30),N260))=X260,IF(N(M260)&gt;0,M260&amp;" x "&amp;N260,N260&amp;" reps"),""))))))</f>
        <v/>
      </c>
      <c r="R260" s="20">
        <f>IF(N(X260)=0,"",ROUND(X260,1))</f>
        <v/>
      </c>
      <c r="S260" s="18">
        <f>IF(N(X260)=0,"",IF(AND(COUNTIFS(Log!$D$6:$D$1505,D260,Log!$B$6:$B$1505,"&lt;"&amp;B260)&gt;0,COUNTIFS(Log!$D$6:$D$1505,D260,Log!$B$6:$B$1505,"&lt;"&amp;B260,Log!$X$6:$X$1505,"&gt;="&amp;X260)=0),"New best",""))</f>
        <v/>
      </c>
      <c r="T260" s="26" t="n"/>
      <c r="U260" s="1">
        <f>IF(D260="","",IFERROR(INDEX(Exercises!$C$6:$C$105,MATCH(D260,Exercises!$B$6:$B$105,0)),"Other"))</f>
        <v/>
      </c>
      <c r="V260">
        <f>IF(B260="","",IF(COUNTIF($B$6:B260,B260)=1,1,0))</f>
        <v/>
      </c>
      <c r="W260">
        <f>IF(B260="","",B260-WEEKDAY(B260,3))</f>
        <v/>
      </c>
      <c r="X260">
        <f>IF(D260="","",MAX(IF(N(F260)=0,0,IF(N(E260)&gt;0,E260*(1+F260/30),F260)),IF(N(H260)=0,0,IF(N(G260)&gt;0,G260*(1+H260/30),H260)),IF(N(J260)=0,0,IF(N(I260)&gt;0,I260*(1+J260/30),J260)),IF(N(L260)=0,0,IF(N(K260)&gt;0,K260*(1+L260/30),L260)),IF(N(N260)=0,0,IF(N(M260)&gt;0,M260*(1+N260/30),N260))))</f>
        <v/>
      </c>
      <c r="Y260">
        <f>IF(N(X260)=0,"",X260+ROW()/1000000000)</f>
        <v/>
      </c>
      <c r="Z260">
        <f>IF(Y260="","",IF(COUNTIFS(Log!$D$6:$D$1505,D260,Log!$Y$6:$Y$1505,"&gt;"&amp;Y260)=0,1,0))</f>
        <v/>
      </c>
      <c r="AA260">
        <f>IF(OR(B260="",D260=""),"",B260+ROW()/10000000)</f>
        <v/>
      </c>
      <c r="AB260">
        <f>IF(AA260="","",IF(COUNTIFS(Log!$D$6:$D$1505,D260,Log!$AA$6:$AA$1505,"&gt;"&amp;AA260)=0,1,0))</f>
        <v/>
      </c>
      <c r="AC260">
        <f>IF(S260="New best",AA260,"")</f>
        <v/>
      </c>
      <c r="AD260">
        <f>ROW()</f>
        <v/>
      </c>
    </row>
    <row r="261">
      <c r="A261" s="1" t="n"/>
      <c r="B261" s="21" t="n">
        <v>46283</v>
      </c>
      <c r="C261" s="22" t="inlineStr">
        <is>
          <t>Upper</t>
        </is>
      </c>
      <c r="D261" s="23" t="inlineStr">
        <is>
          <t>Overhead press</t>
        </is>
      </c>
      <c r="E261" s="24" t="n">
        <v>90</v>
      </c>
      <c r="F261" s="24" t="n">
        <v>10</v>
      </c>
      <c r="G261" s="24" t="n">
        <v>90</v>
      </c>
      <c r="H261" s="24" t="n">
        <v>8</v>
      </c>
      <c r="I261" s="24" t="n">
        <v>90</v>
      </c>
      <c r="J261" s="24" t="n">
        <v>8</v>
      </c>
      <c r="K261" s="24" t="n"/>
      <c r="L261" s="24" t="n"/>
      <c r="M261" s="24" t="n"/>
      <c r="N261" s="24" t="n"/>
      <c r="O261" s="15">
        <f>IF(D261="","",COUNT(F261,H261,J261,L261,N261))</f>
        <v/>
      </c>
      <c r="P261" s="25">
        <f>IF(D261="","",N(E261)*N(F261)+N(G261)*N(H261)+N(I261)*N(J261)+N(K261)*N(L261)+N(M261)*N(N261))</f>
        <v/>
      </c>
      <c r="Q261" s="18">
        <f>IF(N(X261)=0,"",IF(IF(N(F261)=0,0,IF(N(E261)&gt;0,E261*(1+F261/30),F261))=X261,IF(N(E261)&gt;0,E261&amp;" x "&amp;F261,F261&amp;" reps"),IF(IF(N(H261)=0,0,IF(N(G261)&gt;0,G261*(1+H261/30),H261))=X261,IF(N(G261)&gt;0,G261&amp;" x "&amp;H261,H261&amp;" reps"),IF(IF(N(J261)=0,0,IF(N(I261)&gt;0,I261*(1+J261/30),J261))=X261,IF(N(I261)&gt;0,I261&amp;" x "&amp;J261,J261&amp;" reps"),IF(IF(N(L261)=0,0,IF(N(K261)&gt;0,K261*(1+L261/30),L261))=X261,IF(N(K261)&gt;0,K261&amp;" x "&amp;L261,L261&amp;" reps"),IF(IF(N(N261)=0,0,IF(N(M261)&gt;0,M261*(1+N261/30),N261))=X261,IF(N(M261)&gt;0,M261&amp;" x "&amp;N261,N261&amp;" reps"),""))))))</f>
        <v/>
      </c>
      <c r="R261" s="20">
        <f>IF(N(X261)=0,"",ROUND(X261,1))</f>
        <v/>
      </c>
      <c r="S261" s="18">
        <f>IF(N(X261)=0,"",IF(AND(COUNTIFS(Log!$D$6:$D$1505,D261,Log!$B$6:$B$1505,"&lt;"&amp;B261)&gt;0,COUNTIFS(Log!$D$6:$D$1505,D261,Log!$B$6:$B$1505,"&lt;"&amp;B261,Log!$X$6:$X$1505,"&gt;="&amp;X261)=0),"New best",""))</f>
        <v/>
      </c>
      <c r="T261" s="26" t="n"/>
      <c r="U261" s="1">
        <f>IF(D261="","",IFERROR(INDEX(Exercises!$C$6:$C$105,MATCH(D261,Exercises!$B$6:$B$105,0)),"Other"))</f>
        <v/>
      </c>
      <c r="V261">
        <f>IF(B261="","",IF(COUNTIF($B$6:B261,B261)=1,1,0))</f>
        <v/>
      </c>
      <c r="W261">
        <f>IF(B261="","",B261-WEEKDAY(B261,3))</f>
        <v/>
      </c>
      <c r="X261">
        <f>IF(D261="","",MAX(IF(N(F261)=0,0,IF(N(E261)&gt;0,E261*(1+F261/30),F261)),IF(N(H261)=0,0,IF(N(G261)&gt;0,G261*(1+H261/30),H261)),IF(N(J261)=0,0,IF(N(I261)&gt;0,I261*(1+J261/30),J261)),IF(N(L261)=0,0,IF(N(K261)&gt;0,K261*(1+L261/30),L261)),IF(N(N261)=0,0,IF(N(M261)&gt;0,M261*(1+N261/30),N261))))</f>
        <v/>
      </c>
      <c r="Y261">
        <f>IF(N(X261)=0,"",X261+ROW()/1000000000)</f>
        <v/>
      </c>
      <c r="Z261">
        <f>IF(Y261="","",IF(COUNTIFS(Log!$D$6:$D$1505,D261,Log!$Y$6:$Y$1505,"&gt;"&amp;Y261)=0,1,0))</f>
        <v/>
      </c>
      <c r="AA261">
        <f>IF(OR(B261="",D261=""),"",B261+ROW()/10000000)</f>
        <v/>
      </c>
      <c r="AB261">
        <f>IF(AA261="","",IF(COUNTIFS(Log!$D$6:$D$1505,D261,Log!$AA$6:$AA$1505,"&gt;"&amp;AA261)=0,1,0))</f>
        <v/>
      </c>
      <c r="AC261">
        <f>IF(S261="New best",AA261,"")</f>
        <v/>
      </c>
      <c r="AD261">
        <f>ROW()</f>
        <v/>
      </c>
    </row>
    <row r="262">
      <c r="A262" s="1" t="n"/>
      <c r="B262" s="21" t="n">
        <v>46283</v>
      </c>
      <c r="C262" s="22" t="inlineStr">
        <is>
          <t>Upper</t>
        </is>
      </c>
      <c r="D262" s="23" t="inlineStr">
        <is>
          <t>Pull-up</t>
        </is>
      </c>
      <c r="E262" s="24" t="n"/>
      <c r="F262" s="24" t="n">
        <v>8</v>
      </c>
      <c r="G262" s="24" t="n"/>
      <c r="H262" s="24" t="n">
        <v>8</v>
      </c>
      <c r="I262" s="24" t="n"/>
      <c r="J262" s="24" t="n">
        <v>6</v>
      </c>
      <c r="K262" s="24" t="n"/>
      <c r="L262" s="24" t="n"/>
      <c r="M262" s="24" t="n"/>
      <c r="N262" s="24" t="n"/>
      <c r="O262" s="15">
        <f>IF(D262="","",COUNT(F262,H262,J262,L262,N262))</f>
        <v/>
      </c>
      <c r="P262" s="25">
        <f>IF(D262="","",N(E262)*N(F262)+N(G262)*N(H262)+N(I262)*N(J262)+N(K262)*N(L262)+N(M262)*N(N262))</f>
        <v/>
      </c>
      <c r="Q262" s="18">
        <f>IF(N(X262)=0,"",IF(IF(N(F262)=0,0,IF(N(E262)&gt;0,E262*(1+F262/30),F262))=X262,IF(N(E262)&gt;0,E262&amp;" x "&amp;F262,F262&amp;" reps"),IF(IF(N(H262)=0,0,IF(N(G262)&gt;0,G262*(1+H262/30),H262))=X262,IF(N(G262)&gt;0,G262&amp;" x "&amp;H262,H262&amp;" reps"),IF(IF(N(J262)=0,0,IF(N(I262)&gt;0,I262*(1+J262/30),J262))=X262,IF(N(I262)&gt;0,I262&amp;" x "&amp;J262,J262&amp;" reps"),IF(IF(N(L262)=0,0,IF(N(K262)&gt;0,K262*(1+L262/30),L262))=X262,IF(N(K262)&gt;0,K262&amp;" x "&amp;L262,L262&amp;" reps"),IF(IF(N(N262)=0,0,IF(N(M262)&gt;0,M262*(1+N262/30),N262))=X262,IF(N(M262)&gt;0,M262&amp;" x "&amp;N262,N262&amp;" reps"),""))))))</f>
        <v/>
      </c>
      <c r="R262" s="20">
        <f>IF(N(X262)=0,"",ROUND(X262,1))</f>
        <v/>
      </c>
      <c r="S262" s="18">
        <f>IF(N(X262)=0,"",IF(AND(COUNTIFS(Log!$D$6:$D$1505,D262,Log!$B$6:$B$1505,"&lt;"&amp;B262)&gt;0,COUNTIFS(Log!$D$6:$D$1505,D262,Log!$B$6:$B$1505,"&lt;"&amp;B262,Log!$X$6:$X$1505,"&gt;="&amp;X262)=0),"New best",""))</f>
        <v/>
      </c>
      <c r="T262" s="26" t="inlineStr">
        <is>
          <t>Felt strong</t>
        </is>
      </c>
      <c r="U262" s="1">
        <f>IF(D262="","",IFERROR(INDEX(Exercises!$C$6:$C$105,MATCH(D262,Exercises!$B$6:$B$105,0)),"Other"))</f>
        <v/>
      </c>
      <c r="V262">
        <f>IF(B262="","",IF(COUNTIF($B$6:B262,B262)=1,1,0))</f>
        <v/>
      </c>
      <c r="W262">
        <f>IF(B262="","",B262-WEEKDAY(B262,3))</f>
        <v/>
      </c>
      <c r="X262">
        <f>IF(D262="","",MAX(IF(N(F262)=0,0,IF(N(E262)&gt;0,E262*(1+F262/30),F262)),IF(N(H262)=0,0,IF(N(G262)&gt;0,G262*(1+H262/30),H262)),IF(N(J262)=0,0,IF(N(I262)&gt;0,I262*(1+J262/30),J262)),IF(N(L262)=0,0,IF(N(K262)&gt;0,K262*(1+L262/30),L262)),IF(N(N262)=0,0,IF(N(M262)&gt;0,M262*(1+N262/30),N262))))</f>
        <v/>
      </c>
      <c r="Y262">
        <f>IF(N(X262)=0,"",X262+ROW()/1000000000)</f>
        <v/>
      </c>
      <c r="Z262">
        <f>IF(Y262="","",IF(COUNTIFS(Log!$D$6:$D$1505,D262,Log!$Y$6:$Y$1505,"&gt;"&amp;Y262)=0,1,0))</f>
        <v/>
      </c>
      <c r="AA262">
        <f>IF(OR(B262="",D262=""),"",B262+ROW()/10000000)</f>
        <v/>
      </c>
      <c r="AB262">
        <f>IF(AA262="","",IF(COUNTIFS(Log!$D$6:$D$1505,D262,Log!$AA$6:$AA$1505,"&gt;"&amp;AA262)=0,1,0))</f>
        <v/>
      </c>
      <c r="AC262">
        <f>IF(S262="New best",AA262,"")</f>
        <v/>
      </c>
      <c r="AD262">
        <f>ROW()</f>
        <v/>
      </c>
    </row>
    <row r="263">
      <c r="A263" s="1" t="n"/>
      <c r="B263" s="21" t="n">
        <v>46283</v>
      </c>
      <c r="C263" s="22" t="inlineStr">
        <is>
          <t>Upper</t>
        </is>
      </c>
      <c r="D263" s="23" t="inlineStr">
        <is>
          <t>Biceps curl</t>
        </is>
      </c>
      <c r="E263" s="24" t="n">
        <v>30</v>
      </c>
      <c r="F263" s="24" t="n">
        <v>11</v>
      </c>
      <c r="G263" s="24" t="n">
        <v>30</v>
      </c>
      <c r="H263" s="24" t="n">
        <v>11</v>
      </c>
      <c r="I263" s="24" t="n"/>
      <c r="J263" s="24" t="n"/>
      <c r="K263" s="24" t="n"/>
      <c r="L263" s="24" t="n"/>
      <c r="M263" s="24" t="n"/>
      <c r="N263" s="24" t="n"/>
      <c r="O263" s="15">
        <f>IF(D263="","",COUNT(F263,H263,J263,L263,N263))</f>
        <v/>
      </c>
      <c r="P263" s="25">
        <f>IF(D263="","",N(E263)*N(F263)+N(G263)*N(H263)+N(I263)*N(J263)+N(K263)*N(L263)+N(M263)*N(N263))</f>
        <v/>
      </c>
      <c r="Q263" s="18">
        <f>IF(N(X263)=0,"",IF(IF(N(F263)=0,0,IF(N(E263)&gt;0,E263*(1+F263/30),F263))=X263,IF(N(E263)&gt;0,E263&amp;" x "&amp;F263,F263&amp;" reps"),IF(IF(N(H263)=0,0,IF(N(G263)&gt;0,G263*(1+H263/30),H263))=X263,IF(N(G263)&gt;0,G263&amp;" x "&amp;H263,H263&amp;" reps"),IF(IF(N(J263)=0,0,IF(N(I263)&gt;0,I263*(1+J263/30),J263))=X263,IF(N(I263)&gt;0,I263&amp;" x "&amp;J263,J263&amp;" reps"),IF(IF(N(L263)=0,0,IF(N(K263)&gt;0,K263*(1+L263/30),L263))=X263,IF(N(K263)&gt;0,K263&amp;" x "&amp;L263,L263&amp;" reps"),IF(IF(N(N263)=0,0,IF(N(M263)&gt;0,M263*(1+N263/30),N263))=X263,IF(N(M263)&gt;0,M263&amp;" x "&amp;N263,N263&amp;" reps"),""))))))</f>
        <v/>
      </c>
      <c r="R263" s="20">
        <f>IF(N(X263)=0,"",ROUND(X263,1))</f>
        <v/>
      </c>
      <c r="S263" s="18">
        <f>IF(N(X263)=0,"",IF(AND(COUNTIFS(Log!$D$6:$D$1505,D263,Log!$B$6:$B$1505,"&lt;"&amp;B263)&gt;0,COUNTIFS(Log!$D$6:$D$1505,D263,Log!$B$6:$B$1505,"&lt;"&amp;B263,Log!$X$6:$X$1505,"&gt;="&amp;X263)=0),"New best",""))</f>
        <v/>
      </c>
      <c r="T263" s="26" t="n"/>
      <c r="U263" s="1">
        <f>IF(D263="","",IFERROR(INDEX(Exercises!$C$6:$C$105,MATCH(D263,Exercises!$B$6:$B$105,0)),"Other"))</f>
        <v/>
      </c>
      <c r="V263">
        <f>IF(B263="","",IF(COUNTIF($B$6:B263,B263)=1,1,0))</f>
        <v/>
      </c>
      <c r="W263">
        <f>IF(B263="","",B263-WEEKDAY(B263,3))</f>
        <v/>
      </c>
      <c r="X263">
        <f>IF(D263="","",MAX(IF(N(F263)=0,0,IF(N(E263)&gt;0,E263*(1+F263/30),F263)),IF(N(H263)=0,0,IF(N(G263)&gt;0,G263*(1+H263/30),H263)),IF(N(J263)=0,0,IF(N(I263)&gt;0,I263*(1+J263/30),J263)),IF(N(L263)=0,0,IF(N(K263)&gt;0,K263*(1+L263/30),L263)),IF(N(N263)=0,0,IF(N(M263)&gt;0,M263*(1+N263/30),N263))))</f>
        <v/>
      </c>
      <c r="Y263">
        <f>IF(N(X263)=0,"",X263+ROW()/1000000000)</f>
        <v/>
      </c>
      <c r="Z263">
        <f>IF(Y263="","",IF(COUNTIFS(Log!$D$6:$D$1505,D263,Log!$Y$6:$Y$1505,"&gt;"&amp;Y263)=0,1,0))</f>
        <v/>
      </c>
      <c r="AA263">
        <f>IF(OR(B263="",D263=""),"",B263+ROW()/10000000)</f>
        <v/>
      </c>
      <c r="AB263">
        <f>IF(AA263="","",IF(COUNTIFS(Log!$D$6:$D$1505,D263,Log!$AA$6:$AA$1505,"&gt;"&amp;AA263)=0,1,0))</f>
        <v/>
      </c>
      <c r="AC263">
        <f>IF(S263="New best",AA263,"")</f>
        <v/>
      </c>
      <c r="AD263">
        <f>ROW()</f>
        <v/>
      </c>
    </row>
    <row r="264">
      <c r="A264" s="1" t="n"/>
      <c r="B264" s="21" t="n">
        <v>46283</v>
      </c>
      <c r="C264" s="22" t="inlineStr">
        <is>
          <t>Upper</t>
        </is>
      </c>
      <c r="D264" s="23" t="inlineStr">
        <is>
          <t>Triceps pushdown</t>
        </is>
      </c>
      <c r="E264" s="24" t="n">
        <v>50</v>
      </c>
      <c r="F264" s="24" t="n">
        <v>12</v>
      </c>
      <c r="G264" s="24" t="n">
        <v>50</v>
      </c>
      <c r="H264" s="24" t="n">
        <v>10</v>
      </c>
      <c r="I264" s="24" t="n"/>
      <c r="J264" s="24" t="n"/>
      <c r="K264" s="24" t="n"/>
      <c r="L264" s="24" t="n"/>
      <c r="M264" s="24" t="n"/>
      <c r="N264" s="24" t="n"/>
      <c r="O264" s="15">
        <f>IF(D264="","",COUNT(F264,H264,J264,L264,N264))</f>
        <v/>
      </c>
      <c r="P264" s="25">
        <f>IF(D264="","",N(E264)*N(F264)+N(G264)*N(H264)+N(I264)*N(J264)+N(K264)*N(L264)+N(M264)*N(N264))</f>
        <v/>
      </c>
      <c r="Q264" s="18">
        <f>IF(N(X264)=0,"",IF(IF(N(F264)=0,0,IF(N(E264)&gt;0,E264*(1+F264/30),F264))=X264,IF(N(E264)&gt;0,E264&amp;" x "&amp;F264,F264&amp;" reps"),IF(IF(N(H264)=0,0,IF(N(G264)&gt;0,G264*(1+H264/30),H264))=X264,IF(N(G264)&gt;0,G264&amp;" x "&amp;H264,H264&amp;" reps"),IF(IF(N(J264)=0,0,IF(N(I264)&gt;0,I264*(1+J264/30),J264))=X264,IF(N(I264)&gt;0,I264&amp;" x "&amp;J264,J264&amp;" reps"),IF(IF(N(L264)=0,0,IF(N(K264)&gt;0,K264*(1+L264/30),L264))=X264,IF(N(K264)&gt;0,K264&amp;" x "&amp;L264,L264&amp;" reps"),IF(IF(N(N264)=0,0,IF(N(M264)&gt;0,M264*(1+N264/30),N264))=X264,IF(N(M264)&gt;0,M264&amp;" x "&amp;N264,N264&amp;" reps"),""))))))</f>
        <v/>
      </c>
      <c r="R264" s="20">
        <f>IF(N(X264)=0,"",ROUND(X264,1))</f>
        <v/>
      </c>
      <c r="S264" s="18">
        <f>IF(N(X264)=0,"",IF(AND(COUNTIFS(Log!$D$6:$D$1505,D264,Log!$B$6:$B$1505,"&lt;"&amp;B264)&gt;0,COUNTIFS(Log!$D$6:$D$1505,D264,Log!$B$6:$B$1505,"&lt;"&amp;B264,Log!$X$6:$X$1505,"&gt;="&amp;X264)=0),"New best",""))</f>
        <v/>
      </c>
      <c r="T264" s="26" t="n"/>
      <c r="U264" s="1">
        <f>IF(D264="","",IFERROR(INDEX(Exercises!$C$6:$C$105,MATCH(D264,Exercises!$B$6:$B$105,0)),"Other"))</f>
        <v/>
      </c>
      <c r="V264">
        <f>IF(B264="","",IF(COUNTIF($B$6:B264,B264)=1,1,0))</f>
        <v/>
      </c>
      <c r="W264">
        <f>IF(B264="","",B264-WEEKDAY(B264,3))</f>
        <v/>
      </c>
      <c r="X264">
        <f>IF(D264="","",MAX(IF(N(F264)=0,0,IF(N(E264)&gt;0,E264*(1+F264/30),F264)),IF(N(H264)=0,0,IF(N(G264)&gt;0,G264*(1+H264/30),H264)),IF(N(J264)=0,0,IF(N(I264)&gt;0,I264*(1+J264/30),J264)),IF(N(L264)=0,0,IF(N(K264)&gt;0,K264*(1+L264/30),L264)),IF(N(N264)=0,0,IF(N(M264)&gt;0,M264*(1+N264/30),N264))))</f>
        <v/>
      </c>
      <c r="Y264">
        <f>IF(N(X264)=0,"",X264+ROW()/1000000000)</f>
        <v/>
      </c>
      <c r="Z264">
        <f>IF(Y264="","",IF(COUNTIFS(Log!$D$6:$D$1505,D264,Log!$Y$6:$Y$1505,"&gt;"&amp;Y264)=0,1,0))</f>
        <v/>
      </c>
      <c r="AA264">
        <f>IF(OR(B264="",D264=""),"",B264+ROW()/10000000)</f>
        <v/>
      </c>
      <c r="AB264">
        <f>IF(AA264="","",IF(COUNTIFS(Log!$D$6:$D$1505,D264,Log!$AA$6:$AA$1505,"&gt;"&amp;AA264)=0,1,0))</f>
        <v/>
      </c>
      <c r="AC264">
        <f>IF(S264="New best",AA264,"")</f>
        <v/>
      </c>
      <c r="AD264">
        <f>ROW()</f>
        <v/>
      </c>
    </row>
    <row r="265">
      <c r="A265" s="1" t="n"/>
      <c r="B265" s="21" t="n">
        <v>46284</v>
      </c>
      <c r="C265" s="22" t="inlineStr">
        <is>
          <t>Lower</t>
        </is>
      </c>
      <c r="D265" s="23" t="inlineStr">
        <is>
          <t>Squat</t>
        </is>
      </c>
      <c r="E265" s="24" t="n">
        <v>195</v>
      </c>
      <c r="F265" s="24" t="n">
        <v>8</v>
      </c>
      <c r="G265" s="24" t="n">
        <v>195</v>
      </c>
      <c r="H265" s="24" t="n">
        <v>8</v>
      </c>
      <c r="I265" s="24" t="n">
        <v>195</v>
      </c>
      <c r="J265" s="24" t="n">
        <v>8</v>
      </c>
      <c r="K265" s="24" t="n"/>
      <c r="L265" s="24" t="n"/>
      <c r="M265" s="24" t="n"/>
      <c r="N265" s="24" t="n"/>
      <c r="O265" s="15">
        <f>IF(D265="","",COUNT(F265,H265,J265,L265,N265))</f>
        <v/>
      </c>
      <c r="P265" s="25">
        <f>IF(D265="","",N(E265)*N(F265)+N(G265)*N(H265)+N(I265)*N(J265)+N(K265)*N(L265)+N(M265)*N(N265))</f>
        <v/>
      </c>
      <c r="Q265" s="18">
        <f>IF(N(X265)=0,"",IF(IF(N(F265)=0,0,IF(N(E265)&gt;0,E265*(1+F265/30),F265))=X265,IF(N(E265)&gt;0,E265&amp;" x "&amp;F265,F265&amp;" reps"),IF(IF(N(H265)=0,0,IF(N(G265)&gt;0,G265*(1+H265/30),H265))=X265,IF(N(G265)&gt;0,G265&amp;" x "&amp;H265,H265&amp;" reps"),IF(IF(N(J265)=0,0,IF(N(I265)&gt;0,I265*(1+J265/30),J265))=X265,IF(N(I265)&gt;0,I265&amp;" x "&amp;J265,J265&amp;" reps"),IF(IF(N(L265)=0,0,IF(N(K265)&gt;0,K265*(1+L265/30),L265))=X265,IF(N(K265)&gt;0,K265&amp;" x "&amp;L265,L265&amp;" reps"),IF(IF(N(N265)=0,0,IF(N(M265)&gt;0,M265*(1+N265/30),N265))=X265,IF(N(M265)&gt;0,M265&amp;" x "&amp;N265,N265&amp;" reps"),""))))))</f>
        <v/>
      </c>
      <c r="R265" s="20">
        <f>IF(N(X265)=0,"",ROUND(X265,1))</f>
        <v/>
      </c>
      <c r="S265" s="18">
        <f>IF(N(X265)=0,"",IF(AND(COUNTIFS(Log!$D$6:$D$1505,D265,Log!$B$6:$B$1505,"&lt;"&amp;B265)&gt;0,COUNTIFS(Log!$D$6:$D$1505,D265,Log!$B$6:$B$1505,"&lt;"&amp;B265,Log!$X$6:$X$1505,"&gt;="&amp;X265)=0),"New best",""))</f>
        <v/>
      </c>
      <c r="T265" s="26" t="n"/>
      <c r="U265" s="1">
        <f>IF(D265="","",IFERROR(INDEX(Exercises!$C$6:$C$105,MATCH(D265,Exercises!$B$6:$B$105,0)),"Other"))</f>
        <v/>
      </c>
      <c r="V265">
        <f>IF(B265="","",IF(COUNTIF($B$6:B265,B265)=1,1,0))</f>
        <v/>
      </c>
      <c r="W265">
        <f>IF(B265="","",B265-WEEKDAY(B265,3))</f>
        <v/>
      </c>
      <c r="X265">
        <f>IF(D265="","",MAX(IF(N(F265)=0,0,IF(N(E265)&gt;0,E265*(1+F265/30),F265)),IF(N(H265)=0,0,IF(N(G265)&gt;0,G265*(1+H265/30),H265)),IF(N(J265)=0,0,IF(N(I265)&gt;0,I265*(1+J265/30),J265)),IF(N(L265)=0,0,IF(N(K265)&gt;0,K265*(1+L265/30),L265)),IF(N(N265)=0,0,IF(N(M265)&gt;0,M265*(1+N265/30),N265))))</f>
        <v/>
      </c>
      <c r="Y265">
        <f>IF(N(X265)=0,"",X265+ROW()/1000000000)</f>
        <v/>
      </c>
      <c r="Z265">
        <f>IF(Y265="","",IF(COUNTIFS(Log!$D$6:$D$1505,D265,Log!$Y$6:$Y$1505,"&gt;"&amp;Y265)=0,1,0))</f>
        <v/>
      </c>
      <c r="AA265">
        <f>IF(OR(B265="",D265=""),"",B265+ROW()/10000000)</f>
        <v/>
      </c>
      <c r="AB265">
        <f>IF(AA265="","",IF(COUNTIFS(Log!$D$6:$D$1505,D265,Log!$AA$6:$AA$1505,"&gt;"&amp;AA265)=0,1,0))</f>
        <v/>
      </c>
      <c r="AC265">
        <f>IF(S265="New best",AA265,"")</f>
        <v/>
      </c>
      <c r="AD265">
        <f>ROW()</f>
        <v/>
      </c>
    </row>
    <row r="266">
      <c r="A266" s="1" t="n"/>
      <c r="B266" s="21" t="n">
        <v>46284</v>
      </c>
      <c r="C266" s="22" t="inlineStr">
        <is>
          <t>Lower</t>
        </is>
      </c>
      <c r="D266" s="23" t="inlineStr">
        <is>
          <t>Romanian deadlift</t>
        </is>
      </c>
      <c r="E266" s="24" t="n">
        <v>165</v>
      </c>
      <c r="F266" s="24" t="n">
        <v>9</v>
      </c>
      <c r="G266" s="24" t="n">
        <v>165</v>
      </c>
      <c r="H266" s="24" t="n">
        <v>8</v>
      </c>
      <c r="I266" s="24" t="n">
        <v>165</v>
      </c>
      <c r="J266" s="24" t="n">
        <v>8</v>
      </c>
      <c r="K266" s="24" t="n"/>
      <c r="L266" s="24" t="n"/>
      <c r="M266" s="24" t="n"/>
      <c r="N266" s="24" t="n"/>
      <c r="O266" s="15">
        <f>IF(D266="","",COUNT(F266,H266,J266,L266,N266))</f>
        <v/>
      </c>
      <c r="P266" s="25">
        <f>IF(D266="","",N(E266)*N(F266)+N(G266)*N(H266)+N(I266)*N(J266)+N(K266)*N(L266)+N(M266)*N(N266))</f>
        <v/>
      </c>
      <c r="Q266" s="18">
        <f>IF(N(X266)=0,"",IF(IF(N(F266)=0,0,IF(N(E266)&gt;0,E266*(1+F266/30),F266))=X266,IF(N(E266)&gt;0,E266&amp;" x "&amp;F266,F266&amp;" reps"),IF(IF(N(H266)=0,0,IF(N(G266)&gt;0,G266*(1+H266/30),H266))=X266,IF(N(G266)&gt;0,G266&amp;" x "&amp;H266,H266&amp;" reps"),IF(IF(N(J266)=0,0,IF(N(I266)&gt;0,I266*(1+J266/30),J266))=X266,IF(N(I266)&gt;0,I266&amp;" x "&amp;J266,J266&amp;" reps"),IF(IF(N(L266)=0,0,IF(N(K266)&gt;0,K266*(1+L266/30),L266))=X266,IF(N(K266)&gt;0,K266&amp;" x "&amp;L266,L266&amp;" reps"),IF(IF(N(N266)=0,0,IF(N(M266)&gt;0,M266*(1+N266/30),N266))=X266,IF(N(M266)&gt;0,M266&amp;" x "&amp;N266,N266&amp;" reps"),""))))))</f>
        <v/>
      </c>
      <c r="R266" s="20">
        <f>IF(N(X266)=0,"",ROUND(X266,1))</f>
        <v/>
      </c>
      <c r="S266" s="18">
        <f>IF(N(X266)=0,"",IF(AND(COUNTIFS(Log!$D$6:$D$1505,D266,Log!$B$6:$B$1505,"&lt;"&amp;B266)&gt;0,COUNTIFS(Log!$D$6:$D$1505,D266,Log!$B$6:$B$1505,"&lt;"&amp;B266,Log!$X$6:$X$1505,"&gt;="&amp;X266)=0),"New best",""))</f>
        <v/>
      </c>
      <c r="T266" s="26" t="inlineStr">
        <is>
          <t>Slept badly</t>
        </is>
      </c>
      <c r="U266" s="1">
        <f>IF(D266="","",IFERROR(INDEX(Exercises!$C$6:$C$105,MATCH(D266,Exercises!$B$6:$B$105,0)),"Other"))</f>
        <v/>
      </c>
      <c r="V266">
        <f>IF(B266="","",IF(COUNTIF($B$6:B266,B266)=1,1,0))</f>
        <v/>
      </c>
      <c r="W266">
        <f>IF(B266="","",B266-WEEKDAY(B266,3))</f>
        <v/>
      </c>
      <c r="X266">
        <f>IF(D266="","",MAX(IF(N(F266)=0,0,IF(N(E266)&gt;0,E266*(1+F266/30),F266)),IF(N(H266)=0,0,IF(N(G266)&gt;0,G266*(1+H266/30),H266)),IF(N(J266)=0,0,IF(N(I266)&gt;0,I266*(1+J266/30),J266)),IF(N(L266)=0,0,IF(N(K266)&gt;0,K266*(1+L266/30),L266)),IF(N(N266)=0,0,IF(N(M266)&gt;0,M266*(1+N266/30),N266))))</f>
        <v/>
      </c>
      <c r="Y266">
        <f>IF(N(X266)=0,"",X266+ROW()/1000000000)</f>
        <v/>
      </c>
      <c r="Z266">
        <f>IF(Y266="","",IF(COUNTIFS(Log!$D$6:$D$1505,D266,Log!$Y$6:$Y$1505,"&gt;"&amp;Y266)=0,1,0))</f>
        <v/>
      </c>
      <c r="AA266">
        <f>IF(OR(B266="",D266=""),"",B266+ROW()/10000000)</f>
        <v/>
      </c>
      <c r="AB266">
        <f>IF(AA266="","",IF(COUNTIFS(Log!$D$6:$D$1505,D266,Log!$AA$6:$AA$1505,"&gt;"&amp;AA266)=0,1,0))</f>
        <v/>
      </c>
      <c r="AC266">
        <f>IF(S266="New best",AA266,"")</f>
        <v/>
      </c>
      <c r="AD266">
        <f>ROW()</f>
        <v/>
      </c>
    </row>
    <row r="267">
      <c r="A267" s="1" t="n"/>
      <c r="B267" s="21" t="n">
        <v>46284</v>
      </c>
      <c r="C267" s="22" t="inlineStr">
        <is>
          <t>Lower</t>
        </is>
      </c>
      <c r="D267" s="23" t="inlineStr">
        <is>
          <t>Leg press</t>
        </is>
      </c>
      <c r="E267" s="24" t="n">
        <v>295</v>
      </c>
      <c r="F267" s="24" t="n">
        <v>15</v>
      </c>
      <c r="G267" s="24" t="n">
        <v>295</v>
      </c>
      <c r="H267" s="24" t="n">
        <v>14</v>
      </c>
      <c r="I267" s="24" t="n">
        <v>295</v>
      </c>
      <c r="J267" s="24" t="n">
        <v>13</v>
      </c>
      <c r="K267" s="24" t="n"/>
      <c r="L267" s="24" t="n"/>
      <c r="M267" s="24" t="n"/>
      <c r="N267" s="24" t="n"/>
      <c r="O267" s="15">
        <f>IF(D267="","",COUNT(F267,H267,J267,L267,N267))</f>
        <v/>
      </c>
      <c r="P267" s="25">
        <f>IF(D267="","",N(E267)*N(F267)+N(G267)*N(H267)+N(I267)*N(J267)+N(K267)*N(L267)+N(M267)*N(N267))</f>
        <v/>
      </c>
      <c r="Q267" s="18">
        <f>IF(N(X267)=0,"",IF(IF(N(F267)=0,0,IF(N(E267)&gt;0,E267*(1+F267/30),F267))=X267,IF(N(E267)&gt;0,E267&amp;" x "&amp;F267,F267&amp;" reps"),IF(IF(N(H267)=0,0,IF(N(G267)&gt;0,G267*(1+H267/30),H267))=X267,IF(N(G267)&gt;0,G267&amp;" x "&amp;H267,H267&amp;" reps"),IF(IF(N(J267)=0,0,IF(N(I267)&gt;0,I267*(1+J267/30),J267))=X267,IF(N(I267)&gt;0,I267&amp;" x "&amp;J267,J267&amp;" reps"),IF(IF(N(L267)=0,0,IF(N(K267)&gt;0,K267*(1+L267/30),L267))=X267,IF(N(K267)&gt;0,K267&amp;" x "&amp;L267,L267&amp;" reps"),IF(IF(N(N267)=0,0,IF(N(M267)&gt;0,M267*(1+N267/30),N267))=X267,IF(N(M267)&gt;0,M267&amp;" x "&amp;N267,N267&amp;" reps"),""))))))</f>
        <v/>
      </c>
      <c r="R267" s="20">
        <f>IF(N(X267)=0,"",ROUND(X267,1))</f>
        <v/>
      </c>
      <c r="S267" s="18">
        <f>IF(N(X267)=0,"",IF(AND(COUNTIFS(Log!$D$6:$D$1505,D267,Log!$B$6:$B$1505,"&lt;"&amp;B267)&gt;0,COUNTIFS(Log!$D$6:$D$1505,D267,Log!$B$6:$B$1505,"&lt;"&amp;B267,Log!$X$6:$X$1505,"&gt;="&amp;X267)=0),"New best",""))</f>
        <v/>
      </c>
      <c r="T267" s="26" t="n"/>
      <c r="U267" s="1">
        <f>IF(D267="","",IFERROR(INDEX(Exercises!$C$6:$C$105,MATCH(D267,Exercises!$B$6:$B$105,0)),"Other"))</f>
        <v/>
      </c>
      <c r="V267">
        <f>IF(B267="","",IF(COUNTIF($B$6:B267,B267)=1,1,0))</f>
        <v/>
      </c>
      <c r="W267">
        <f>IF(B267="","",B267-WEEKDAY(B267,3))</f>
        <v/>
      </c>
      <c r="X267">
        <f>IF(D267="","",MAX(IF(N(F267)=0,0,IF(N(E267)&gt;0,E267*(1+F267/30),F267)),IF(N(H267)=0,0,IF(N(G267)&gt;0,G267*(1+H267/30),H267)),IF(N(J267)=0,0,IF(N(I267)&gt;0,I267*(1+J267/30),J267)),IF(N(L267)=0,0,IF(N(K267)&gt;0,K267*(1+L267/30),L267)),IF(N(N267)=0,0,IF(N(M267)&gt;0,M267*(1+N267/30),N267))))</f>
        <v/>
      </c>
      <c r="Y267">
        <f>IF(N(X267)=0,"",X267+ROW()/1000000000)</f>
        <v/>
      </c>
      <c r="Z267">
        <f>IF(Y267="","",IF(COUNTIFS(Log!$D$6:$D$1505,D267,Log!$Y$6:$Y$1505,"&gt;"&amp;Y267)=0,1,0))</f>
        <v/>
      </c>
      <c r="AA267">
        <f>IF(OR(B267="",D267=""),"",B267+ROW()/10000000)</f>
        <v/>
      </c>
      <c r="AB267">
        <f>IF(AA267="","",IF(COUNTIFS(Log!$D$6:$D$1505,D267,Log!$AA$6:$AA$1505,"&gt;"&amp;AA267)=0,1,0))</f>
        <v/>
      </c>
      <c r="AC267">
        <f>IF(S267="New best",AA267,"")</f>
        <v/>
      </c>
      <c r="AD267">
        <f>ROW()</f>
        <v/>
      </c>
    </row>
    <row r="268">
      <c r="A268" s="1" t="n"/>
      <c r="B268" s="21" t="n">
        <v>46284</v>
      </c>
      <c r="C268" s="22" t="inlineStr">
        <is>
          <t>Lower</t>
        </is>
      </c>
      <c r="D268" s="23" t="inlineStr">
        <is>
          <t>Calf raise</t>
        </is>
      </c>
      <c r="E268" s="24" t="n">
        <v>110</v>
      </c>
      <c r="F268" s="24" t="n">
        <v>15</v>
      </c>
      <c r="G268" s="24" t="n">
        <v>110</v>
      </c>
      <c r="H268" s="24" t="n">
        <v>15</v>
      </c>
      <c r="I268" s="24" t="n">
        <v>110</v>
      </c>
      <c r="J268" s="24" t="n">
        <v>15</v>
      </c>
      <c r="K268" s="24" t="n"/>
      <c r="L268" s="24" t="n"/>
      <c r="M268" s="24" t="n"/>
      <c r="N268" s="24" t="n"/>
      <c r="O268" s="15">
        <f>IF(D268="","",COUNT(F268,H268,J268,L268,N268))</f>
        <v/>
      </c>
      <c r="P268" s="25">
        <f>IF(D268="","",N(E268)*N(F268)+N(G268)*N(H268)+N(I268)*N(J268)+N(K268)*N(L268)+N(M268)*N(N268))</f>
        <v/>
      </c>
      <c r="Q268" s="18">
        <f>IF(N(X268)=0,"",IF(IF(N(F268)=0,0,IF(N(E268)&gt;0,E268*(1+F268/30),F268))=X268,IF(N(E268)&gt;0,E268&amp;" x "&amp;F268,F268&amp;" reps"),IF(IF(N(H268)=0,0,IF(N(G268)&gt;0,G268*(1+H268/30),H268))=X268,IF(N(G268)&gt;0,G268&amp;" x "&amp;H268,H268&amp;" reps"),IF(IF(N(J268)=0,0,IF(N(I268)&gt;0,I268*(1+J268/30),J268))=X268,IF(N(I268)&gt;0,I268&amp;" x "&amp;J268,J268&amp;" reps"),IF(IF(N(L268)=0,0,IF(N(K268)&gt;0,K268*(1+L268/30),L268))=X268,IF(N(K268)&gt;0,K268&amp;" x "&amp;L268,L268&amp;" reps"),IF(IF(N(N268)=0,0,IF(N(M268)&gt;0,M268*(1+N268/30),N268))=X268,IF(N(M268)&gt;0,M268&amp;" x "&amp;N268,N268&amp;" reps"),""))))))</f>
        <v/>
      </c>
      <c r="R268" s="20">
        <f>IF(N(X268)=0,"",ROUND(X268,1))</f>
        <v/>
      </c>
      <c r="S268" s="18">
        <f>IF(N(X268)=0,"",IF(AND(COUNTIFS(Log!$D$6:$D$1505,D268,Log!$B$6:$B$1505,"&lt;"&amp;B268)&gt;0,COUNTIFS(Log!$D$6:$D$1505,D268,Log!$B$6:$B$1505,"&lt;"&amp;B268,Log!$X$6:$X$1505,"&gt;="&amp;X268)=0),"New best",""))</f>
        <v/>
      </c>
      <c r="T268" s="26" t="n"/>
      <c r="U268" s="1">
        <f>IF(D268="","",IFERROR(INDEX(Exercises!$C$6:$C$105,MATCH(D268,Exercises!$B$6:$B$105,0)),"Other"))</f>
        <v/>
      </c>
      <c r="V268">
        <f>IF(B268="","",IF(COUNTIF($B$6:B268,B268)=1,1,0))</f>
        <v/>
      </c>
      <c r="W268">
        <f>IF(B268="","",B268-WEEKDAY(B268,3))</f>
        <v/>
      </c>
      <c r="X268">
        <f>IF(D268="","",MAX(IF(N(F268)=0,0,IF(N(E268)&gt;0,E268*(1+F268/30),F268)),IF(N(H268)=0,0,IF(N(G268)&gt;0,G268*(1+H268/30),H268)),IF(N(J268)=0,0,IF(N(I268)&gt;0,I268*(1+J268/30),J268)),IF(N(L268)=0,0,IF(N(K268)&gt;0,K268*(1+L268/30),L268)),IF(N(N268)=0,0,IF(N(M268)&gt;0,M268*(1+N268/30),N268))))</f>
        <v/>
      </c>
      <c r="Y268">
        <f>IF(N(X268)=0,"",X268+ROW()/1000000000)</f>
        <v/>
      </c>
      <c r="Z268">
        <f>IF(Y268="","",IF(COUNTIFS(Log!$D$6:$D$1505,D268,Log!$Y$6:$Y$1505,"&gt;"&amp;Y268)=0,1,0))</f>
        <v/>
      </c>
      <c r="AA268">
        <f>IF(OR(B268="",D268=""),"",B268+ROW()/10000000)</f>
        <v/>
      </c>
      <c r="AB268">
        <f>IF(AA268="","",IF(COUNTIFS(Log!$D$6:$D$1505,D268,Log!$AA$6:$AA$1505,"&gt;"&amp;AA268)=0,1,0))</f>
        <v/>
      </c>
      <c r="AC268">
        <f>IF(S268="New best",AA268,"")</f>
        <v/>
      </c>
      <c r="AD268">
        <f>ROW()</f>
        <v/>
      </c>
    </row>
    <row r="269">
      <c r="A269" s="1" t="n"/>
      <c r="B269" s="21" t="n">
        <v>46286</v>
      </c>
      <c r="C269" s="22" t="inlineStr">
        <is>
          <t>Push</t>
        </is>
      </c>
      <c r="D269" s="23" t="inlineStr">
        <is>
          <t>Bench press</t>
        </is>
      </c>
      <c r="E269" s="24" t="n">
        <v>150</v>
      </c>
      <c r="F269" s="24" t="n">
        <v>7</v>
      </c>
      <c r="G269" s="24" t="n">
        <v>150</v>
      </c>
      <c r="H269" s="24" t="n">
        <v>6</v>
      </c>
      <c r="I269" s="24" t="n">
        <v>150</v>
      </c>
      <c r="J269" s="24" t="n">
        <v>6</v>
      </c>
      <c r="K269" s="24" t="n">
        <v>150</v>
      </c>
      <c r="L269" s="24" t="n">
        <v>6</v>
      </c>
      <c r="M269" s="24" t="n"/>
      <c r="N269" s="24" t="n"/>
      <c r="O269" s="15">
        <f>IF(D269="","",COUNT(F269,H269,J269,L269,N269))</f>
        <v/>
      </c>
      <c r="P269" s="25">
        <f>IF(D269="","",N(E269)*N(F269)+N(G269)*N(H269)+N(I269)*N(J269)+N(K269)*N(L269)+N(M269)*N(N269))</f>
        <v/>
      </c>
      <c r="Q269" s="18">
        <f>IF(N(X269)=0,"",IF(IF(N(F269)=0,0,IF(N(E269)&gt;0,E269*(1+F269/30),F269))=X269,IF(N(E269)&gt;0,E269&amp;" x "&amp;F269,F269&amp;" reps"),IF(IF(N(H269)=0,0,IF(N(G269)&gt;0,G269*(1+H269/30),H269))=X269,IF(N(G269)&gt;0,G269&amp;" x "&amp;H269,H269&amp;" reps"),IF(IF(N(J269)=0,0,IF(N(I269)&gt;0,I269*(1+J269/30),J269))=X269,IF(N(I269)&gt;0,I269&amp;" x "&amp;J269,J269&amp;" reps"),IF(IF(N(L269)=0,0,IF(N(K269)&gt;0,K269*(1+L269/30),L269))=X269,IF(N(K269)&gt;0,K269&amp;" x "&amp;L269,L269&amp;" reps"),IF(IF(N(N269)=0,0,IF(N(M269)&gt;0,M269*(1+N269/30),N269))=X269,IF(N(M269)&gt;0,M269&amp;" x "&amp;N269,N269&amp;" reps"),""))))))</f>
        <v/>
      </c>
      <c r="R269" s="20">
        <f>IF(N(X269)=0,"",ROUND(X269,1))</f>
        <v/>
      </c>
      <c r="S269" s="18">
        <f>IF(N(X269)=0,"",IF(AND(COUNTIFS(Log!$D$6:$D$1505,D269,Log!$B$6:$B$1505,"&lt;"&amp;B269)&gt;0,COUNTIFS(Log!$D$6:$D$1505,D269,Log!$B$6:$B$1505,"&lt;"&amp;B269,Log!$X$6:$X$1505,"&gt;="&amp;X269)=0),"New best",""))</f>
        <v/>
      </c>
      <c r="T269" s="26" t="n"/>
      <c r="U269" s="1">
        <f>IF(D269="","",IFERROR(INDEX(Exercises!$C$6:$C$105,MATCH(D269,Exercises!$B$6:$B$105,0)),"Other"))</f>
        <v/>
      </c>
      <c r="V269">
        <f>IF(B269="","",IF(COUNTIF($B$6:B269,B269)=1,1,0))</f>
        <v/>
      </c>
      <c r="W269">
        <f>IF(B269="","",B269-WEEKDAY(B269,3))</f>
        <v/>
      </c>
      <c r="X269">
        <f>IF(D269="","",MAX(IF(N(F269)=0,0,IF(N(E269)&gt;0,E269*(1+F269/30),F269)),IF(N(H269)=0,0,IF(N(G269)&gt;0,G269*(1+H269/30),H269)),IF(N(J269)=0,0,IF(N(I269)&gt;0,I269*(1+J269/30),J269)),IF(N(L269)=0,0,IF(N(K269)&gt;0,K269*(1+L269/30),L269)),IF(N(N269)=0,0,IF(N(M269)&gt;0,M269*(1+N269/30),N269))))</f>
        <v/>
      </c>
      <c r="Y269">
        <f>IF(N(X269)=0,"",X269+ROW()/1000000000)</f>
        <v/>
      </c>
      <c r="Z269">
        <f>IF(Y269="","",IF(COUNTIFS(Log!$D$6:$D$1505,D269,Log!$Y$6:$Y$1505,"&gt;"&amp;Y269)=0,1,0))</f>
        <v/>
      </c>
      <c r="AA269">
        <f>IF(OR(B269="",D269=""),"",B269+ROW()/10000000)</f>
        <v/>
      </c>
      <c r="AB269">
        <f>IF(AA269="","",IF(COUNTIFS(Log!$D$6:$D$1505,D269,Log!$AA$6:$AA$1505,"&gt;"&amp;AA269)=0,1,0))</f>
        <v/>
      </c>
      <c r="AC269">
        <f>IF(S269="New best",AA269,"")</f>
        <v/>
      </c>
      <c r="AD269">
        <f>ROW()</f>
        <v/>
      </c>
    </row>
    <row r="270">
      <c r="A270" s="1" t="n"/>
      <c r="B270" s="21" t="n">
        <v>46286</v>
      </c>
      <c r="C270" s="22" t="inlineStr">
        <is>
          <t>Push</t>
        </is>
      </c>
      <c r="D270" s="23" t="inlineStr">
        <is>
          <t>Overhead press</t>
        </is>
      </c>
      <c r="E270" s="24" t="n">
        <v>100</v>
      </c>
      <c r="F270" s="24" t="n">
        <v>10</v>
      </c>
      <c r="G270" s="24" t="n">
        <v>100</v>
      </c>
      <c r="H270" s="24" t="n">
        <v>9</v>
      </c>
      <c r="I270" s="24" t="n">
        <v>100</v>
      </c>
      <c r="J270" s="24" t="n">
        <v>8</v>
      </c>
      <c r="K270" s="24" t="n"/>
      <c r="L270" s="24" t="n"/>
      <c r="M270" s="24" t="n"/>
      <c r="N270" s="24" t="n"/>
      <c r="O270" s="15">
        <f>IF(D270="","",COUNT(F270,H270,J270,L270,N270))</f>
        <v/>
      </c>
      <c r="P270" s="25">
        <f>IF(D270="","",N(E270)*N(F270)+N(G270)*N(H270)+N(I270)*N(J270)+N(K270)*N(L270)+N(M270)*N(N270))</f>
        <v/>
      </c>
      <c r="Q270" s="18">
        <f>IF(N(X270)=0,"",IF(IF(N(F270)=0,0,IF(N(E270)&gt;0,E270*(1+F270/30),F270))=X270,IF(N(E270)&gt;0,E270&amp;" x "&amp;F270,F270&amp;" reps"),IF(IF(N(H270)=0,0,IF(N(G270)&gt;0,G270*(1+H270/30),H270))=X270,IF(N(G270)&gt;0,G270&amp;" x "&amp;H270,H270&amp;" reps"),IF(IF(N(J270)=0,0,IF(N(I270)&gt;0,I270*(1+J270/30),J270))=X270,IF(N(I270)&gt;0,I270&amp;" x "&amp;J270,J270&amp;" reps"),IF(IF(N(L270)=0,0,IF(N(K270)&gt;0,K270*(1+L270/30),L270))=X270,IF(N(K270)&gt;0,K270&amp;" x "&amp;L270,L270&amp;" reps"),IF(IF(N(N270)=0,0,IF(N(M270)&gt;0,M270*(1+N270/30),N270))=X270,IF(N(M270)&gt;0,M270&amp;" x "&amp;N270,N270&amp;" reps"),""))))))</f>
        <v/>
      </c>
      <c r="R270" s="20">
        <f>IF(N(X270)=0,"",ROUND(X270,1))</f>
        <v/>
      </c>
      <c r="S270" s="18">
        <f>IF(N(X270)=0,"",IF(AND(COUNTIFS(Log!$D$6:$D$1505,D270,Log!$B$6:$B$1505,"&lt;"&amp;B270)&gt;0,COUNTIFS(Log!$D$6:$D$1505,D270,Log!$B$6:$B$1505,"&lt;"&amp;B270,Log!$X$6:$X$1505,"&gt;="&amp;X270)=0),"New best",""))</f>
        <v/>
      </c>
      <c r="T270" s="26" t="n"/>
      <c r="U270" s="1">
        <f>IF(D270="","",IFERROR(INDEX(Exercises!$C$6:$C$105,MATCH(D270,Exercises!$B$6:$B$105,0)),"Other"))</f>
        <v/>
      </c>
      <c r="V270">
        <f>IF(B270="","",IF(COUNTIF($B$6:B270,B270)=1,1,0))</f>
        <v/>
      </c>
      <c r="W270">
        <f>IF(B270="","",B270-WEEKDAY(B270,3))</f>
        <v/>
      </c>
      <c r="X270">
        <f>IF(D270="","",MAX(IF(N(F270)=0,0,IF(N(E270)&gt;0,E270*(1+F270/30),F270)),IF(N(H270)=0,0,IF(N(G270)&gt;0,G270*(1+H270/30),H270)),IF(N(J270)=0,0,IF(N(I270)&gt;0,I270*(1+J270/30),J270)),IF(N(L270)=0,0,IF(N(K270)&gt;0,K270*(1+L270/30),L270)),IF(N(N270)=0,0,IF(N(M270)&gt;0,M270*(1+N270/30),N270))))</f>
        <v/>
      </c>
      <c r="Y270">
        <f>IF(N(X270)=0,"",X270+ROW()/1000000000)</f>
        <v/>
      </c>
      <c r="Z270">
        <f>IF(Y270="","",IF(COUNTIFS(Log!$D$6:$D$1505,D270,Log!$Y$6:$Y$1505,"&gt;"&amp;Y270)=0,1,0))</f>
        <v/>
      </c>
      <c r="AA270">
        <f>IF(OR(B270="",D270=""),"",B270+ROW()/10000000)</f>
        <v/>
      </c>
      <c r="AB270">
        <f>IF(AA270="","",IF(COUNTIFS(Log!$D$6:$D$1505,D270,Log!$AA$6:$AA$1505,"&gt;"&amp;AA270)=0,1,0))</f>
        <v/>
      </c>
      <c r="AC270">
        <f>IF(S270="New best",AA270,"")</f>
        <v/>
      </c>
      <c r="AD270">
        <f>ROW()</f>
        <v/>
      </c>
    </row>
    <row r="271">
      <c r="A271" s="1" t="n"/>
      <c r="B271" s="21" t="n">
        <v>46286</v>
      </c>
      <c r="C271" s="22" t="inlineStr">
        <is>
          <t>Push</t>
        </is>
      </c>
      <c r="D271" s="23" t="inlineStr">
        <is>
          <t>Incline dumbbell press</t>
        </is>
      </c>
      <c r="E271" s="24" t="n">
        <v>60</v>
      </c>
      <c r="F271" s="24" t="n">
        <v>12</v>
      </c>
      <c r="G271" s="24" t="n">
        <v>60</v>
      </c>
      <c r="H271" s="24" t="n">
        <v>10</v>
      </c>
      <c r="I271" s="24" t="n">
        <v>60</v>
      </c>
      <c r="J271" s="24" t="n">
        <v>10</v>
      </c>
      <c r="K271" s="24" t="n"/>
      <c r="L271" s="24" t="n"/>
      <c r="M271" s="24" t="n"/>
      <c r="N271" s="24" t="n"/>
      <c r="O271" s="15">
        <f>IF(D271="","",COUNT(F271,H271,J271,L271,N271))</f>
        <v/>
      </c>
      <c r="P271" s="25">
        <f>IF(D271="","",N(E271)*N(F271)+N(G271)*N(H271)+N(I271)*N(J271)+N(K271)*N(L271)+N(M271)*N(N271))</f>
        <v/>
      </c>
      <c r="Q271" s="18">
        <f>IF(N(X271)=0,"",IF(IF(N(F271)=0,0,IF(N(E271)&gt;0,E271*(1+F271/30),F271))=X271,IF(N(E271)&gt;0,E271&amp;" x "&amp;F271,F271&amp;" reps"),IF(IF(N(H271)=0,0,IF(N(G271)&gt;0,G271*(1+H271/30),H271))=X271,IF(N(G271)&gt;0,G271&amp;" x "&amp;H271,H271&amp;" reps"),IF(IF(N(J271)=0,0,IF(N(I271)&gt;0,I271*(1+J271/30),J271))=X271,IF(N(I271)&gt;0,I271&amp;" x "&amp;J271,J271&amp;" reps"),IF(IF(N(L271)=0,0,IF(N(K271)&gt;0,K271*(1+L271/30),L271))=X271,IF(N(K271)&gt;0,K271&amp;" x "&amp;L271,L271&amp;" reps"),IF(IF(N(N271)=0,0,IF(N(M271)&gt;0,M271*(1+N271/30),N271))=X271,IF(N(M271)&gt;0,M271&amp;" x "&amp;N271,N271&amp;" reps"),""))))))</f>
        <v/>
      </c>
      <c r="R271" s="20">
        <f>IF(N(X271)=0,"",ROUND(X271,1))</f>
        <v/>
      </c>
      <c r="S271" s="18">
        <f>IF(N(X271)=0,"",IF(AND(COUNTIFS(Log!$D$6:$D$1505,D271,Log!$B$6:$B$1505,"&lt;"&amp;B271)&gt;0,COUNTIFS(Log!$D$6:$D$1505,D271,Log!$B$6:$B$1505,"&lt;"&amp;B271,Log!$X$6:$X$1505,"&gt;="&amp;X271)=0),"New best",""))</f>
        <v/>
      </c>
      <c r="T271" s="26" t="n"/>
      <c r="U271" s="1">
        <f>IF(D271="","",IFERROR(INDEX(Exercises!$C$6:$C$105,MATCH(D271,Exercises!$B$6:$B$105,0)),"Other"))</f>
        <v/>
      </c>
      <c r="V271">
        <f>IF(B271="","",IF(COUNTIF($B$6:B271,B271)=1,1,0))</f>
        <v/>
      </c>
      <c r="W271">
        <f>IF(B271="","",B271-WEEKDAY(B271,3))</f>
        <v/>
      </c>
      <c r="X271">
        <f>IF(D271="","",MAX(IF(N(F271)=0,0,IF(N(E271)&gt;0,E271*(1+F271/30),F271)),IF(N(H271)=0,0,IF(N(G271)&gt;0,G271*(1+H271/30),H271)),IF(N(J271)=0,0,IF(N(I271)&gt;0,I271*(1+J271/30),J271)),IF(N(L271)=0,0,IF(N(K271)&gt;0,K271*(1+L271/30),L271)),IF(N(N271)=0,0,IF(N(M271)&gt;0,M271*(1+N271/30),N271))))</f>
        <v/>
      </c>
      <c r="Y271">
        <f>IF(N(X271)=0,"",X271+ROW()/1000000000)</f>
        <v/>
      </c>
      <c r="Z271">
        <f>IF(Y271="","",IF(COUNTIFS(Log!$D$6:$D$1505,D271,Log!$Y$6:$Y$1505,"&gt;"&amp;Y271)=0,1,0))</f>
        <v/>
      </c>
      <c r="AA271">
        <f>IF(OR(B271="",D271=""),"",B271+ROW()/10000000)</f>
        <v/>
      </c>
      <c r="AB271">
        <f>IF(AA271="","",IF(COUNTIFS(Log!$D$6:$D$1505,D271,Log!$AA$6:$AA$1505,"&gt;"&amp;AA271)=0,1,0))</f>
        <v/>
      </c>
      <c r="AC271">
        <f>IF(S271="New best",AA271,"")</f>
        <v/>
      </c>
      <c r="AD271">
        <f>ROW()</f>
        <v/>
      </c>
    </row>
    <row r="272">
      <c r="A272" s="1" t="n"/>
      <c r="B272" s="21" t="n">
        <v>46286</v>
      </c>
      <c r="C272" s="22" t="inlineStr">
        <is>
          <t>Push</t>
        </is>
      </c>
      <c r="D272" s="23" t="inlineStr">
        <is>
          <t>Lateral raise</t>
        </is>
      </c>
      <c r="E272" s="24" t="n">
        <v>22.5</v>
      </c>
      <c r="F272" s="24" t="n">
        <v>14</v>
      </c>
      <c r="G272" s="24" t="n">
        <v>22.5</v>
      </c>
      <c r="H272" s="24" t="n">
        <v>14</v>
      </c>
      <c r="I272" s="24" t="n">
        <v>22.5</v>
      </c>
      <c r="J272" s="24" t="n">
        <v>12</v>
      </c>
      <c r="K272" s="24" t="n"/>
      <c r="L272" s="24" t="n"/>
      <c r="M272" s="24" t="n"/>
      <c r="N272" s="24" t="n"/>
      <c r="O272" s="15">
        <f>IF(D272="","",COUNT(F272,H272,J272,L272,N272))</f>
        <v/>
      </c>
      <c r="P272" s="25">
        <f>IF(D272="","",N(E272)*N(F272)+N(G272)*N(H272)+N(I272)*N(J272)+N(K272)*N(L272)+N(M272)*N(N272))</f>
        <v/>
      </c>
      <c r="Q272" s="18">
        <f>IF(N(X272)=0,"",IF(IF(N(F272)=0,0,IF(N(E272)&gt;0,E272*(1+F272/30),F272))=X272,IF(N(E272)&gt;0,E272&amp;" x "&amp;F272,F272&amp;" reps"),IF(IF(N(H272)=0,0,IF(N(G272)&gt;0,G272*(1+H272/30),H272))=X272,IF(N(G272)&gt;0,G272&amp;" x "&amp;H272,H272&amp;" reps"),IF(IF(N(J272)=0,0,IF(N(I272)&gt;0,I272*(1+J272/30),J272))=X272,IF(N(I272)&gt;0,I272&amp;" x "&amp;J272,J272&amp;" reps"),IF(IF(N(L272)=0,0,IF(N(K272)&gt;0,K272*(1+L272/30),L272))=X272,IF(N(K272)&gt;0,K272&amp;" x "&amp;L272,L272&amp;" reps"),IF(IF(N(N272)=0,0,IF(N(M272)&gt;0,M272*(1+N272/30),N272))=X272,IF(N(M272)&gt;0,M272&amp;" x "&amp;N272,N272&amp;" reps"),""))))))</f>
        <v/>
      </c>
      <c r="R272" s="20">
        <f>IF(N(X272)=0,"",ROUND(X272,1))</f>
        <v/>
      </c>
      <c r="S272" s="18">
        <f>IF(N(X272)=0,"",IF(AND(COUNTIFS(Log!$D$6:$D$1505,D272,Log!$B$6:$B$1505,"&lt;"&amp;B272)&gt;0,COUNTIFS(Log!$D$6:$D$1505,D272,Log!$B$6:$B$1505,"&lt;"&amp;B272,Log!$X$6:$X$1505,"&gt;="&amp;X272)=0),"New best",""))</f>
        <v/>
      </c>
      <c r="T272" s="26" t="n"/>
      <c r="U272" s="1">
        <f>IF(D272="","",IFERROR(INDEX(Exercises!$C$6:$C$105,MATCH(D272,Exercises!$B$6:$B$105,0)),"Other"))</f>
        <v/>
      </c>
      <c r="V272">
        <f>IF(B272="","",IF(COUNTIF($B$6:B272,B272)=1,1,0))</f>
        <v/>
      </c>
      <c r="W272">
        <f>IF(B272="","",B272-WEEKDAY(B272,3))</f>
        <v/>
      </c>
      <c r="X272">
        <f>IF(D272="","",MAX(IF(N(F272)=0,0,IF(N(E272)&gt;0,E272*(1+F272/30),F272)),IF(N(H272)=0,0,IF(N(G272)&gt;0,G272*(1+H272/30),H272)),IF(N(J272)=0,0,IF(N(I272)&gt;0,I272*(1+J272/30),J272)),IF(N(L272)=0,0,IF(N(K272)&gt;0,K272*(1+L272/30),L272)),IF(N(N272)=0,0,IF(N(M272)&gt;0,M272*(1+N272/30),N272))))</f>
        <v/>
      </c>
      <c r="Y272">
        <f>IF(N(X272)=0,"",X272+ROW()/1000000000)</f>
        <v/>
      </c>
      <c r="Z272">
        <f>IF(Y272="","",IF(COUNTIFS(Log!$D$6:$D$1505,D272,Log!$Y$6:$Y$1505,"&gt;"&amp;Y272)=0,1,0))</f>
        <v/>
      </c>
      <c r="AA272">
        <f>IF(OR(B272="",D272=""),"",B272+ROW()/10000000)</f>
        <v/>
      </c>
      <c r="AB272">
        <f>IF(AA272="","",IF(COUNTIFS(Log!$D$6:$D$1505,D272,Log!$AA$6:$AA$1505,"&gt;"&amp;AA272)=0,1,0))</f>
        <v/>
      </c>
      <c r="AC272">
        <f>IF(S272="New best",AA272,"")</f>
        <v/>
      </c>
      <c r="AD272">
        <f>ROW()</f>
        <v/>
      </c>
    </row>
    <row r="273">
      <c r="A273" s="1" t="n"/>
      <c r="B273" s="21" t="n">
        <v>46286</v>
      </c>
      <c r="C273" s="22" t="inlineStr">
        <is>
          <t>Push</t>
        </is>
      </c>
      <c r="D273" s="23" t="inlineStr">
        <is>
          <t>Triceps pushdown</t>
        </is>
      </c>
      <c r="E273" s="24" t="n">
        <v>55</v>
      </c>
      <c r="F273" s="24" t="n">
        <v>12</v>
      </c>
      <c r="G273" s="24" t="n">
        <v>55</v>
      </c>
      <c r="H273" s="24" t="n">
        <v>10</v>
      </c>
      <c r="I273" s="24" t="n">
        <v>55</v>
      </c>
      <c r="J273" s="24" t="n">
        <v>10</v>
      </c>
      <c r="K273" s="24" t="n"/>
      <c r="L273" s="24" t="n"/>
      <c r="M273" s="24" t="n"/>
      <c r="N273" s="24" t="n"/>
      <c r="O273" s="15">
        <f>IF(D273="","",COUNT(F273,H273,J273,L273,N273))</f>
        <v/>
      </c>
      <c r="P273" s="25">
        <f>IF(D273="","",N(E273)*N(F273)+N(G273)*N(H273)+N(I273)*N(J273)+N(K273)*N(L273)+N(M273)*N(N273))</f>
        <v/>
      </c>
      <c r="Q273" s="18">
        <f>IF(N(X273)=0,"",IF(IF(N(F273)=0,0,IF(N(E273)&gt;0,E273*(1+F273/30),F273))=X273,IF(N(E273)&gt;0,E273&amp;" x "&amp;F273,F273&amp;" reps"),IF(IF(N(H273)=0,0,IF(N(G273)&gt;0,G273*(1+H273/30),H273))=X273,IF(N(G273)&gt;0,G273&amp;" x "&amp;H273,H273&amp;" reps"),IF(IF(N(J273)=0,0,IF(N(I273)&gt;0,I273*(1+J273/30),J273))=X273,IF(N(I273)&gt;0,I273&amp;" x "&amp;J273,J273&amp;" reps"),IF(IF(N(L273)=0,0,IF(N(K273)&gt;0,K273*(1+L273/30),L273))=X273,IF(N(K273)&gt;0,K273&amp;" x "&amp;L273,L273&amp;" reps"),IF(IF(N(N273)=0,0,IF(N(M273)&gt;0,M273*(1+N273/30),N273))=X273,IF(N(M273)&gt;0,M273&amp;" x "&amp;N273,N273&amp;" reps"),""))))))</f>
        <v/>
      </c>
      <c r="R273" s="20">
        <f>IF(N(X273)=0,"",ROUND(X273,1))</f>
        <v/>
      </c>
      <c r="S273" s="18">
        <f>IF(N(X273)=0,"",IF(AND(COUNTIFS(Log!$D$6:$D$1505,D273,Log!$B$6:$B$1505,"&lt;"&amp;B273)&gt;0,COUNTIFS(Log!$D$6:$D$1505,D273,Log!$B$6:$B$1505,"&lt;"&amp;B273,Log!$X$6:$X$1505,"&gt;="&amp;X273)=0),"New best",""))</f>
        <v/>
      </c>
      <c r="T273" s="26" t="n"/>
      <c r="U273" s="1">
        <f>IF(D273="","",IFERROR(INDEX(Exercises!$C$6:$C$105,MATCH(D273,Exercises!$B$6:$B$105,0)),"Other"))</f>
        <v/>
      </c>
      <c r="V273">
        <f>IF(B273="","",IF(COUNTIF($B$6:B273,B273)=1,1,0))</f>
        <v/>
      </c>
      <c r="W273">
        <f>IF(B273="","",B273-WEEKDAY(B273,3))</f>
        <v/>
      </c>
      <c r="X273">
        <f>IF(D273="","",MAX(IF(N(F273)=0,0,IF(N(E273)&gt;0,E273*(1+F273/30),F273)),IF(N(H273)=0,0,IF(N(G273)&gt;0,G273*(1+H273/30),H273)),IF(N(J273)=0,0,IF(N(I273)&gt;0,I273*(1+J273/30),J273)),IF(N(L273)=0,0,IF(N(K273)&gt;0,K273*(1+L273/30),L273)),IF(N(N273)=0,0,IF(N(M273)&gt;0,M273*(1+N273/30),N273))))</f>
        <v/>
      </c>
      <c r="Y273">
        <f>IF(N(X273)=0,"",X273+ROW()/1000000000)</f>
        <v/>
      </c>
      <c r="Z273">
        <f>IF(Y273="","",IF(COUNTIFS(Log!$D$6:$D$1505,D273,Log!$Y$6:$Y$1505,"&gt;"&amp;Y273)=0,1,0))</f>
        <v/>
      </c>
      <c r="AA273">
        <f>IF(OR(B273="",D273=""),"",B273+ROW()/10000000)</f>
        <v/>
      </c>
      <c r="AB273">
        <f>IF(AA273="","",IF(COUNTIFS(Log!$D$6:$D$1505,D273,Log!$AA$6:$AA$1505,"&gt;"&amp;AA273)=0,1,0))</f>
        <v/>
      </c>
      <c r="AC273">
        <f>IF(S273="New best",AA273,"")</f>
        <v/>
      </c>
      <c r="AD273">
        <f>ROW()</f>
        <v/>
      </c>
    </row>
    <row r="274">
      <c r="A274" s="1" t="n"/>
      <c r="B274" s="21" t="n">
        <v>46287</v>
      </c>
      <c r="C274" s="22" t="inlineStr">
        <is>
          <t>Pull</t>
        </is>
      </c>
      <c r="D274" s="23" t="inlineStr">
        <is>
          <t>Deadlift</t>
        </is>
      </c>
      <c r="E274" s="24" t="n">
        <v>255</v>
      </c>
      <c r="F274" s="24" t="n">
        <v>5</v>
      </c>
      <c r="G274" s="24" t="n">
        <v>255</v>
      </c>
      <c r="H274" s="24" t="n">
        <v>5</v>
      </c>
      <c r="I274" s="24" t="n">
        <v>255</v>
      </c>
      <c r="J274" s="24" t="n">
        <v>5</v>
      </c>
      <c r="K274" s="24" t="n"/>
      <c r="L274" s="24" t="n"/>
      <c r="M274" s="24" t="n"/>
      <c r="N274" s="24" t="n"/>
      <c r="O274" s="15">
        <f>IF(D274="","",COUNT(F274,H274,J274,L274,N274))</f>
        <v/>
      </c>
      <c r="P274" s="25">
        <f>IF(D274="","",N(E274)*N(F274)+N(G274)*N(H274)+N(I274)*N(J274)+N(K274)*N(L274)+N(M274)*N(N274))</f>
        <v/>
      </c>
      <c r="Q274" s="18">
        <f>IF(N(X274)=0,"",IF(IF(N(F274)=0,0,IF(N(E274)&gt;0,E274*(1+F274/30),F274))=X274,IF(N(E274)&gt;0,E274&amp;" x "&amp;F274,F274&amp;" reps"),IF(IF(N(H274)=0,0,IF(N(G274)&gt;0,G274*(1+H274/30),H274))=X274,IF(N(G274)&gt;0,G274&amp;" x "&amp;H274,H274&amp;" reps"),IF(IF(N(J274)=0,0,IF(N(I274)&gt;0,I274*(1+J274/30),J274))=X274,IF(N(I274)&gt;0,I274&amp;" x "&amp;J274,J274&amp;" reps"),IF(IF(N(L274)=0,0,IF(N(K274)&gt;0,K274*(1+L274/30),L274))=X274,IF(N(K274)&gt;0,K274&amp;" x "&amp;L274,L274&amp;" reps"),IF(IF(N(N274)=0,0,IF(N(M274)&gt;0,M274*(1+N274/30),N274))=X274,IF(N(M274)&gt;0,M274&amp;" x "&amp;N274,N274&amp;" reps"),""))))))</f>
        <v/>
      </c>
      <c r="R274" s="20">
        <f>IF(N(X274)=0,"",ROUND(X274,1))</f>
        <v/>
      </c>
      <c r="S274" s="18">
        <f>IF(N(X274)=0,"",IF(AND(COUNTIFS(Log!$D$6:$D$1505,D274,Log!$B$6:$B$1505,"&lt;"&amp;B274)&gt;0,COUNTIFS(Log!$D$6:$D$1505,D274,Log!$B$6:$B$1505,"&lt;"&amp;B274,Log!$X$6:$X$1505,"&gt;="&amp;X274)=0),"New best",""))</f>
        <v/>
      </c>
      <c r="T274" s="26" t="n"/>
      <c r="U274" s="1">
        <f>IF(D274="","",IFERROR(INDEX(Exercises!$C$6:$C$105,MATCH(D274,Exercises!$B$6:$B$105,0)),"Other"))</f>
        <v/>
      </c>
      <c r="V274">
        <f>IF(B274="","",IF(COUNTIF($B$6:B274,B274)=1,1,0))</f>
        <v/>
      </c>
      <c r="W274">
        <f>IF(B274="","",B274-WEEKDAY(B274,3))</f>
        <v/>
      </c>
      <c r="X274">
        <f>IF(D274="","",MAX(IF(N(F274)=0,0,IF(N(E274)&gt;0,E274*(1+F274/30),F274)),IF(N(H274)=0,0,IF(N(G274)&gt;0,G274*(1+H274/30),H274)),IF(N(J274)=0,0,IF(N(I274)&gt;0,I274*(1+J274/30),J274)),IF(N(L274)=0,0,IF(N(K274)&gt;0,K274*(1+L274/30),L274)),IF(N(N274)=0,0,IF(N(M274)&gt;0,M274*(1+N274/30),N274))))</f>
        <v/>
      </c>
      <c r="Y274">
        <f>IF(N(X274)=0,"",X274+ROW()/1000000000)</f>
        <v/>
      </c>
      <c r="Z274">
        <f>IF(Y274="","",IF(COUNTIFS(Log!$D$6:$D$1505,D274,Log!$Y$6:$Y$1505,"&gt;"&amp;Y274)=0,1,0))</f>
        <v/>
      </c>
      <c r="AA274">
        <f>IF(OR(B274="",D274=""),"",B274+ROW()/10000000)</f>
        <v/>
      </c>
      <c r="AB274">
        <f>IF(AA274="","",IF(COUNTIFS(Log!$D$6:$D$1505,D274,Log!$AA$6:$AA$1505,"&gt;"&amp;AA274)=0,1,0))</f>
        <v/>
      </c>
      <c r="AC274">
        <f>IF(S274="New best",AA274,"")</f>
        <v/>
      </c>
      <c r="AD274">
        <f>ROW()</f>
        <v/>
      </c>
    </row>
    <row r="275">
      <c r="A275" s="1" t="n"/>
      <c r="B275" s="21" t="n">
        <v>46287</v>
      </c>
      <c r="C275" s="22" t="inlineStr">
        <is>
          <t>Pull</t>
        </is>
      </c>
      <c r="D275" s="23" t="inlineStr">
        <is>
          <t>Pull-up</t>
        </is>
      </c>
      <c r="E275" s="24" t="n"/>
      <c r="F275" s="24" t="n">
        <v>9</v>
      </c>
      <c r="G275" s="24" t="n"/>
      <c r="H275" s="24" t="n">
        <v>8</v>
      </c>
      <c r="I275" s="24" t="n"/>
      <c r="J275" s="24" t="n">
        <v>6</v>
      </c>
      <c r="K275" s="24" t="n"/>
      <c r="L275" s="24" t="n"/>
      <c r="M275" s="24" t="n"/>
      <c r="N275" s="24" t="n"/>
      <c r="O275" s="15">
        <f>IF(D275="","",COUNT(F275,H275,J275,L275,N275))</f>
        <v/>
      </c>
      <c r="P275" s="25">
        <f>IF(D275="","",N(E275)*N(F275)+N(G275)*N(H275)+N(I275)*N(J275)+N(K275)*N(L275)+N(M275)*N(N275))</f>
        <v/>
      </c>
      <c r="Q275" s="18">
        <f>IF(N(X275)=0,"",IF(IF(N(F275)=0,0,IF(N(E275)&gt;0,E275*(1+F275/30),F275))=X275,IF(N(E275)&gt;0,E275&amp;" x "&amp;F275,F275&amp;" reps"),IF(IF(N(H275)=0,0,IF(N(G275)&gt;0,G275*(1+H275/30),H275))=X275,IF(N(G275)&gt;0,G275&amp;" x "&amp;H275,H275&amp;" reps"),IF(IF(N(J275)=0,0,IF(N(I275)&gt;0,I275*(1+J275/30),J275))=X275,IF(N(I275)&gt;0,I275&amp;" x "&amp;J275,J275&amp;" reps"),IF(IF(N(L275)=0,0,IF(N(K275)&gt;0,K275*(1+L275/30),L275))=X275,IF(N(K275)&gt;0,K275&amp;" x "&amp;L275,L275&amp;" reps"),IF(IF(N(N275)=0,0,IF(N(M275)&gt;0,M275*(1+N275/30),N275))=X275,IF(N(M275)&gt;0,M275&amp;" x "&amp;N275,N275&amp;" reps"),""))))))</f>
        <v/>
      </c>
      <c r="R275" s="20">
        <f>IF(N(X275)=0,"",ROUND(X275,1))</f>
        <v/>
      </c>
      <c r="S275" s="18">
        <f>IF(N(X275)=0,"",IF(AND(COUNTIFS(Log!$D$6:$D$1505,D275,Log!$B$6:$B$1505,"&lt;"&amp;B275)&gt;0,COUNTIFS(Log!$D$6:$D$1505,D275,Log!$B$6:$B$1505,"&lt;"&amp;B275,Log!$X$6:$X$1505,"&gt;="&amp;X275)=0),"New best",""))</f>
        <v/>
      </c>
      <c r="T275" s="26" t="n"/>
      <c r="U275" s="1">
        <f>IF(D275="","",IFERROR(INDEX(Exercises!$C$6:$C$105,MATCH(D275,Exercises!$B$6:$B$105,0)),"Other"))</f>
        <v/>
      </c>
      <c r="V275">
        <f>IF(B275="","",IF(COUNTIF($B$6:B275,B275)=1,1,0))</f>
        <v/>
      </c>
      <c r="W275">
        <f>IF(B275="","",B275-WEEKDAY(B275,3))</f>
        <v/>
      </c>
      <c r="X275">
        <f>IF(D275="","",MAX(IF(N(F275)=0,0,IF(N(E275)&gt;0,E275*(1+F275/30),F275)),IF(N(H275)=0,0,IF(N(G275)&gt;0,G275*(1+H275/30),H275)),IF(N(J275)=0,0,IF(N(I275)&gt;0,I275*(1+J275/30),J275)),IF(N(L275)=0,0,IF(N(K275)&gt;0,K275*(1+L275/30),L275)),IF(N(N275)=0,0,IF(N(M275)&gt;0,M275*(1+N275/30),N275))))</f>
        <v/>
      </c>
      <c r="Y275">
        <f>IF(N(X275)=0,"",X275+ROW()/1000000000)</f>
        <v/>
      </c>
      <c r="Z275">
        <f>IF(Y275="","",IF(COUNTIFS(Log!$D$6:$D$1505,D275,Log!$Y$6:$Y$1505,"&gt;"&amp;Y275)=0,1,0))</f>
        <v/>
      </c>
      <c r="AA275">
        <f>IF(OR(B275="",D275=""),"",B275+ROW()/10000000)</f>
        <v/>
      </c>
      <c r="AB275">
        <f>IF(AA275="","",IF(COUNTIFS(Log!$D$6:$D$1505,D275,Log!$AA$6:$AA$1505,"&gt;"&amp;AA275)=0,1,0))</f>
        <v/>
      </c>
      <c r="AC275">
        <f>IF(S275="New best",AA275,"")</f>
        <v/>
      </c>
      <c r="AD275">
        <f>ROW()</f>
        <v/>
      </c>
    </row>
    <row r="276">
      <c r="A276" s="1" t="n"/>
      <c r="B276" s="21" t="n">
        <v>46287</v>
      </c>
      <c r="C276" s="22" t="inlineStr">
        <is>
          <t>Pull</t>
        </is>
      </c>
      <c r="D276" s="23" t="inlineStr">
        <is>
          <t>Barbell row</t>
        </is>
      </c>
      <c r="E276" s="24" t="n">
        <v>130</v>
      </c>
      <c r="F276" s="24" t="n">
        <v>10</v>
      </c>
      <c r="G276" s="24" t="n">
        <v>130</v>
      </c>
      <c r="H276" s="24" t="n">
        <v>9</v>
      </c>
      <c r="I276" s="24" t="n">
        <v>130</v>
      </c>
      <c r="J276" s="24" t="n">
        <v>8</v>
      </c>
      <c r="K276" s="24" t="n"/>
      <c r="L276" s="24" t="n"/>
      <c r="M276" s="24" t="n"/>
      <c r="N276" s="24" t="n"/>
      <c r="O276" s="15">
        <f>IF(D276="","",COUNT(F276,H276,J276,L276,N276))</f>
        <v/>
      </c>
      <c r="P276" s="25">
        <f>IF(D276="","",N(E276)*N(F276)+N(G276)*N(H276)+N(I276)*N(J276)+N(K276)*N(L276)+N(M276)*N(N276))</f>
        <v/>
      </c>
      <c r="Q276" s="18">
        <f>IF(N(X276)=0,"",IF(IF(N(F276)=0,0,IF(N(E276)&gt;0,E276*(1+F276/30),F276))=X276,IF(N(E276)&gt;0,E276&amp;" x "&amp;F276,F276&amp;" reps"),IF(IF(N(H276)=0,0,IF(N(G276)&gt;0,G276*(1+H276/30),H276))=X276,IF(N(G276)&gt;0,G276&amp;" x "&amp;H276,H276&amp;" reps"),IF(IF(N(J276)=0,0,IF(N(I276)&gt;0,I276*(1+J276/30),J276))=X276,IF(N(I276)&gt;0,I276&amp;" x "&amp;J276,J276&amp;" reps"),IF(IF(N(L276)=0,0,IF(N(K276)&gt;0,K276*(1+L276/30),L276))=X276,IF(N(K276)&gt;0,K276&amp;" x "&amp;L276,L276&amp;" reps"),IF(IF(N(N276)=0,0,IF(N(M276)&gt;0,M276*(1+N276/30),N276))=X276,IF(N(M276)&gt;0,M276&amp;" x "&amp;N276,N276&amp;" reps"),""))))))</f>
        <v/>
      </c>
      <c r="R276" s="20">
        <f>IF(N(X276)=0,"",ROUND(X276,1))</f>
        <v/>
      </c>
      <c r="S276" s="18">
        <f>IF(N(X276)=0,"",IF(AND(COUNTIFS(Log!$D$6:$D$1505,D276,Log!$B$6:$B$1505,"&lt;"&amp;B276)&gt;0,COUNTIFS(Log!$D$6:$D$1505,D276,Log!$B$6:$B$1505,"&lt;"&amp;B276,Log!$X$6:$X$1505,"&gt;="&amp;X276)=0),"New best",""))</f>
        <v/>
      </c>
      <c r="T276" s="26" t="inlineStr">
        <is>
          <t>Slept badly</t>
        </is>
      </c>
      <c r="U276" s="1">
        <f>IF(D276="","",IFERROR(INDEX(Exercises!$C$6:$C$105,MATCH(D276,Exercises!$B$6:$B$105,0)),"Other"))</f>
        <v/>
      </c>
      <c r="V276">
        <f>IF(B276="","",IF(COUNTIF($B$6:B276,B276)=1,1,0))</f>
        <v/>
      </c>
      <c r="W276">
        <f>IF(B276="","",B276-WEEKDAY(B276,3))</f>
        <v/>
      </c>
      <c r="X276">
        <f>IF(D276="","",MAX(IF(N(F276)=0,0,IF(N(E276)&gt;0,E276*(1+F276/30),F276)),IF(N(H276)=0,0,IF(N(G276)&gt;0,G276*(1+H276/30),H276)),IF(N(J276)=0,0,IF(N(I276)&gt;0,I276*(1+J276/30),J276)),IF(N(L276)=0,0,IF(N(K276)&gt;0,K276*(1+L276/30),L276)),IF(N(N276)=0,0,IF(N(M276)&gt;0,M276*(1+N276/30),N276))))</f>
        <v/>
      </c>
      <c r="Y276">
        <f>IF(N(X276)=0,"",X276+ROW()/1000000000)</f>
        <v/>
      </c>
      <c r="Z276">
        <f>IF(Y276="","",IF(COUNTIFS(Log!$D$6:$D$1505,D276,Log!$Y$6:$Y$1505,"&gt;"&amp;Y276)=0,1,0))</f>
        <v/>
      </c>
      <c r="AA276">
        <f>IF(OR(B276="",D276=""),"",B276+ROW()/10000000)</f>
        <v/>
      </c>
      <c r="AB276">
        <f>IF(AA276="","",IF(COUNTIFS(Log!$D$6:$D$1505,D276,Log!$AA$6:$AA$1505,"&gt;"&amp;AA276)=0,1,0))</f>
        <v/>
      </c>
      <c r="AC276">
        <f>IF(S276="New best",AA276,"")</f>
        <v/>
      </c>
      <c r="AD276">
        <f>ROW()</f>
        <v/>
      </c>
    </row>
    <row r="277">
      <c r="A277" s="1" t="n"/>
      <c r="B277" s="21" t="n">
        <v>46287</v>
      </c>
      <c r="C277" s="22" t="inlineStr">
        <is>
          <t>Pull</t>
        </is>
      </c>
      <c r="D277" s="23" t="inlineStr">
        <is>
          <t>Lat pulldown</t>
        </is>
      </c>
      <c r="E277" s="24" t="n">
        <v>115</v>
      </c>
      <c r="F277" s="24" t="n">
        <v>11</v>
      </c>
      <c r="G277" s="24" t="n">
        <v>115</v>
      </c>
      <c r="H277" s="24" t="n">
        <v>11</v>
      </c>
      <c r="I277" s="24" t="n">
        <v>115</v>
      </c>
      <c r="J277" s="24" t="n">
        <v>10</v>
      </c>
      <c r="K277" s="24" t="n"/>
      <c r="L277" s="24" t="n"/>
      <c r="M277" s="24" t="n"/>
      <c r="N277" s="24" t="n"/>
      <c r="O277" s="15">
        <f>IF(D277="","",COUNT(F277,H277,J277,L277,N277))</f>
        <v/>
      </c>
      <c r="P277" s="25">
        <f>IF(D277="","",N(E277)*N(F277)+N(G277)*N(H277)+N(I277)*N(J277)+N(K277)*N(L277)+N(M277)*N(N277))</f>
        <v/>
      </c>
      <c r="Q277" s="18">
        <f>IF(N(X277)=0,"",IF(IF(N(F277)=0,0,IF(N(E277)&gt;0,E277*(1+F277/30),F277))=X277,IF(N(E277)&gt;0,E277&amp;" x "&amp;F277,F277&amp;" reps"),IF(IF(N(H277)=0,0,IF(N(G277)&gt;0,G277*(1+H277/30),H277))=X277,IF(N(G277)&gt;0,G277&amp;" x "&amp;H277,H277&amp;" reps"),IF(IF(N(J277)=0,0,IF(N(I277)&gt;0,I277*(1+J277/30),J277))=X277,IF(N(I277)&gt;0,I277&amp;" x "&amp;J277,J277&amp;" reps"),IF(IF(N(L277)=0,0,IF(N(K277)&gt;0,K277*(1+L277/30),L277))=X277,IF(N(K277)&gt;0,K277&amp;" x "&amp;L277,L277&amp;" reps"),IF(IF(N(N277)=0,0,IF(N(M277)&gt;0,M277*(1+N277/30),N277))=X277,IF(N(M277)&gt;0,M277&amp;" x "&amp;N277,N277&amp;" reps"),""))))))</f>
        <v/>
      </c>
      <c r="R277" s="20">
        <f>IF(N(X277)=0,"",ROUND(X277,1))</f>
        <v/>
      </c>
      <c r="S277" s="18">
        <f>IF(N(X277)=0,"",IF(AND(COUNTIFS(Log!$D$6:$D$1505,D277,Log!$B$6:$B$1505,"&lt;"&amp;B277)&gt;0,COUNTIFS(Log!$D$6:$D$1505,D277,Log!$B$6:$B$1505,"&lt;"&amp;B277,Log!$X$6:$X$1505,"&gt;="&amp;X277)=0),"New best",""))</f>
        <v/>
      </c>
      <c r="T277" s="26" t="n"/>
      <c r="U277" s="1">
        <f>IF(D277="","",IFERROR(INDEX(Exercises!$C$6:$C$105,MATCH(D277,Exercises!$B$6:$B$105,0)),"Other"))</f>
        <v/>
      </c>
      <c r="V277">
        <f>IF(B277="","",IF(COUNTIF($B$6:B277,B277)=1,1,0))</f>
        <v/>
      </c>
      <c r="W277">
        <f>IF(B277="","",B277-WEEKDAY(B277,3))</f>
        <v/>
      </c>
      <c r="X277">
        <f>IF(D277="","",MAX(IF(N(F277)=0,0,IF(N(E277)&gt;0,E277*(1+F277/30),F277)),IF(N(H277)=0,0,IF(N(G277)&gt;0,G277*(1+H277/30),H277)),IF(N(J277)=0,0,IF(N(I277)&gt;0,I277*(1+J277/30),J277)),IF(N(L277)=0,0,IF(N(K277)&gt;0,K277*(1+L277/30),L277)),IF(N(N277)=0,0,IF(N(M277)&gt;0,M277*(1+N277/30),N277))))</f>
        <v/>
      </c>
      <c r="Y277">
        <f>IF(N(X277)=0,"",X277+ROW()/1000000000)</f>
        <v/>
      </c>
      <c r="Z277">
        <f>IF(Y277="","",IF(COUNTIFS(Log!$D$6:$D$1505,D277,Log!$Y$6:$Y$1505,"&gt;"&amp;Y277)=0,1,0))</f>
        <v/>
      </c>
      <c r="AA277">
        <f>IF(OR(B277="",D277=""),"",B277+ROW()/10000000)</f>
        <v/>
      </c>
      <c r="AB277">
        <f>IF(AA277="","",IF(COUNTIFS(Log!$D$6:$D$1505,D277,Log!$AA$6:$AA$1505,"&gt;"&amp;AA277)=0,1,0))</f>
        <v/>
      </c>
      <c r="AC277">
        <f>IF(S277="New best",AA277,"")</f>
        <v/>
      </c>
      <c r="AD277">
        <f>ROW()</f>
        <v/>
      </c>
    </row>
    <row r="278">
      <c r="A278" s="1" t="n"/>
      <c r="B278" s="21" t="n">
        <v>46287</v>
      </c>
      <c r="C278" s="22" t="inlineStr">
        <is>
          <t>Pull</t>
        </is>
      </c>
      <c r="D278" s="23" t="inlineStr">
        <is>
          <t>Biceps curl</t>
        </is>
      </c>
      <c r="E278" s="24" t="n">
        <v>32.5</v>
      </c>
      <c r="F278" s="24" t="n">
        <v>12</v>
      </c>
      <c r="G278" s="24" t="n">
        <v>32.5</v>
      </c>
      <c r="H278" s="24" t="n">
        <v>11</v>
      </c>
      <c r="I278" s="24" t="n">
        <v>32.5</v>
      </c>
      <c r="J278" s="24" t="n">
        <v>10</v>
      </c>
      <c r="K278" s="24" t="n"/>
      <c r="L278" s="24" t="n"/>
      <c r="M278" s="24" t="n"/>
      <c r="N278" s="24" t="n"/>
      <c r="O278" s="15">
        <f>IF(D278="","",COUNT(F278,H278,J278,L278,N278))</f>
        <v/>
      </c>
      <c r="P278" s="25">
        <f>IF(D278="","",N(E278)*N(F278)+N(G278)*N(H278)+N(I278)*N(J278)+N(K278)*N(L278)+N(M278)*N(N278))</f>
        <v/>
      </c>
      <c r="Q278" s="18">
        <f>IF(N(X278)=0,"",IF(IF(N(F278)=0,0,IF(N(E278)&gt;0,E278*(1+F278/30),F278))=X278,IF(N(E278)&gt;0,E278&amp;" x "&amp;F278,F278&amp;" reps"),IF(IF(N(H278)=0,0,IF(N(G278)&gt;0,G278*(1+H278/30),H278))=X278,IF(N(G278)&gt;0,G278&amp;" x "&amp;H278,H278&amp;" reps"),IF(IF(N(J278)=0,0,IF(N(I278)&gt;0,I278*(1+J278/30),J278))=X278,IF(N(I278)&gt;0,I278&amp;" x "&amp;J278,J278&amp;" reps"),IF(IF(N(L278)=0,0,IF(N(K278)&gt;0,K278*(1+L278/30),L278))=X278,IF(N(K278)&gt;0,K278&amp;" x "&amp;L278,L278&amp;" reps"),IF(IF(N(N278)=0,0,IF(N(M278)&gt;0,M278*(1+N278/30),N278))=X278,IF(N(M278)&gt;0,M278&amp;" x "&amp;N278,N278&amp;" reps"),""))))))</f>
        <v/>
      </c>
      <c r="R278" s="20">
        <f>IF(N(X278)=0,"",ROUND(X278,1))</f>
        <v/>
      </c>
      <c r="S278" s="18">
        <f>IF(N(X278)=0,"",IF(AND(COUNTIFS(Log!$D$6:$D$1505,D278,Log!$B$6:$B$1505,"&lt;"&amp;B278)&gt;0,COUNTIFS(Log!$D$6:$D$1505,D278,Log!$B$6:$B$1505,"&lt;"&amp;B278,Log!$X$6:$X$1505,"&gt;="&amp;X278)=0),"New best",""))</f>
        <v/>
      </c>
      <c r="T278" s="26" t="n"/>
      <c r="U278" s="1">
        <f>IF(D278="","",IFERROR(INDEX(Exercises!$C$6:$C$105,MATCH(D278,Exercises!$B$6:$B$105,0)),"Other"))</f>
        <v/>
      </c>
      <c r="V278">
        <f>IF(B278="","",IF(COUNTIF($B$6:B278,B278)=1,1,0))</f>
        <v/>
      </c>
      <c r="W278">
        <f>IF(B278="","",B278-WEEKDAY(B278,3))</f>
        <v/>
      </c>
      <c r="X278">
        <f>IF(D278="","",MAX(IF(N(F278)=0,0,IF(N(E278)&gt;0,E278*(1+F278/30),F278)),IF(N(H278)=0,0,IF(N(G278)&gt;0,G278*(1+H278/30),H278)),IF(N(J278)=0,0,IF(N(I278)&gt;0,I278*(1+J278/30),J278)),IF(N(L278)=0,0,IF(N(K278)&gt;0,K278*(1+L278/30),L278)),IF(N(N278)=0,0,IF(N(M278)&gt;0,M278*(1+N278/30),N278))))</f>
        <v/>
      </c>
      <c r="Y278">
        <f>IF(N(X278)=0,"",X278+ROW()/1000000000)</f>
        <v/>
      </c>
      <c r="Z278">
        <f>IF(Y278="","",IF(COUNTIFS(Log!$D$6:$D$1505,D278,Log!$Y$6:$Y$1505,"&gt;"&amp;Y278)=0,1,0))</f>
        <v/>
      </c>
      <c r="AA278">
        <f>IF(OR(B278="",D278=""),"",B278+ROW()/10000000)</f>
        <v/>
      </c>
      <c r="AB278">
        <f>IF(AA278="","",IF(COUNTIFS(Log!$D$6:$D$1505,D278,Log!$AA$6:$AA$1505,"&gt;"&amp;AA278)=0,1,0))</f>
        <v/>
      </c>
      <c r="AC278">
        <f>IF(S278="New best",AA278,"")</f>
        <v/>
      </c>
      <c r="AD278">
        <f>ROW()</f>
        <v/>
      </c>
    </row>
    <row r="279">
      <c r="A279" s="1" t="n"/>
      <c r="B279" s="21" t="n">
        <v>46288</v>
      </c>
      <c r="C279" s="22" t="inlineStr">
        <is>
          <t>Legs</t>
        </is>
      </c>
      <c r="D279" s="23" t="inlineStr">
        <is>
          <t>Squat</t>
        </is>
      </c>
      <c r="E279" s="24" t="n">
        <v>215</v>
      </c>
      <c r="F279" s="24" t="n">
        <v>5</v>
      </c>
      <c r="G279" s="24" t="n">
        <v>215</v>
      </c>
      <c r="H279" s="24" t="n">
        <v>5</v>
      </c>
      <c r="I279" s="24" t="n">
        <v>215</v>
      </c>
      <c r="J279" s="24" t="n">
        <v>5</v>
      </c>
      <c r="K279" s="24" t="n">
        <v>215</v>
      </c>
      <c r="L279" s="24" t="n">
        <v>5</v>
      </c>
      <c r="M279" s="24" t="n"/>
      <c r="N279" s="24" t="n"/>
      <c r="O279" s="15">
        <f>IF(D279="","",COUNT(F279,H279,J279,L279,N279))</f>
        <v/>
      </c>
      <c r="P279" s="25">
        <f>IF(D279="","",N(E279)*N(F279)+N(G279)*N(H279)+N(I279)*N(J279)+N(K279)*N(L279)+N(M279)*N(N279))</f>
        <v/>
      </c>
      <c r="Q279" s="18">
        <f>IF(N(X279)=0,"",IF(IF(N(F279)=0,0,IF(N(E279)&gt;0,E279*(1+F279/30),F279))=X279,IF(N(E279)&gt;0,E279&amp;" x "&amp;F279,F279&amp;" reps"),IF(IF(N(H279)=0,0,IF(N(G279)&gt;0,G279*(1+H279/30),H279))=X279,IF(N(G279)&gt;0,G279&amp;" x "&amp;H279,H279&amp;" reps"),IF(IF(N(J279)=0,0,IF(N(I279)&gt;0,I279*(1+J279/30),J279))=X279,IF(N(I279)&gt;0,I279&amp;" x "&amp;J279,J279&amp;" reps"),IF(IF(N(L279)=0,0,IF(N(K279)&gt;0,K279*(1+L279/30),L279))=X279,IF(N(K279)&gt;0,K279&amp;" x "&amp;L279,L279&amp;" reps"),IF(IF(N(N279)=0,0,IF(N(M279)&gt;0,M279*(1+N279/30),N279))=X279,IF(N(M279)&gt;0,M279&amp;" x "&amp;N279,N279&amp;" reps"),""))))))</f>
        <v/>
      </c>
      <c r="R279" s="20">
        <f>IF(N(X279)=0,"",ROUND(X279,1))</f>
        <v/>
      </c>
      <c r="S279" s="18">
        <f>IF(N(X279)=0,"",IF(AND(COUNTIFS(Log!$D$6:$D$1505,D279,Log!$B$6:$B$1505,"&lt;"&amp;B279)&gt;0,COUNTIFS(Log!$D$6:$D$1505,D279,Log!$B$6:$B$1505,"&lt;"&amp;B279,Log!$X$6:$X$1505,"&gt;="&amp;X279)=0),"New best",""))</f>
        <v/>
      </c>
      <c r="T279" s="26" t="n"/>
      <c r="U279" s="1">
        <f>IF(D279="","",IFERROR(INDEX(Exercises!$C$6:$C$105,MATCH(D279,Exercises!$B$6:$B$105,0)),"Other"))</f>
        <v/>
      </c>
      <c r="V279">
        <f>IF(B279="","",IF(COUNTIF($B$6:B279,B279)=1,1,0))</f>
        <v/>
      </c>
      <c r="W279">
        <f>IF(B279="","",B279-WEEKDAY(B279,3))</f>
        <v/>
      </c>
      <c r="X279">
        <f>IF(D279="","",MAX(IF(N(F279)=0,0,IF(N(E279)&gt;0,E279*(1+F279/30),F279)),IF(N(H279)=0,0,IF(N(G279)&gt;0,G279*(1+H279/30),H279)),IF(N(J279)=0,0,IF(N(I279)&gt;0,I279*(1+J279/30),J279)),IF(N(L279)=0,0,IF(N(K279)&gt;0,K279*(1+L279/30),L279)),IF(N(N279)=0,0,IF(N(M279)&gt;0,M279*(1+N279/30),N279))))</f>
        <v/>
      </c>
      <c r="Y279">
        <f>IF(N(X279)=0,"",X279+ROW()/1000000000)</f>
        <v/>
      </c>
      <c r="Z279">
        <f>IF(Y279="","",IF(COUNTIFS(Log!$D$6:$D$1505,D279,Log!$Y$6:$Y$1505,"&gt;"&amp;Y279)=0,1,0))</f>
        <v/>
      </c>
      <c r="AA279">
        <f>IF(OR(B279="",D279=""),"",B279+ROW()/10000000)</f>
        <v/>
      </c>
      <c r="AB279">
        <f>IF(AA279="","",IF(COUNTIFS(Log!$D$6:$D$1505,D279,Log!$AA$6:$AA$1505,"&gt;"&amp;AA279)=0,1,0))</f>
        <v/>
      </c>
      <c r="AC279">
        <f>IF(S279="New best",AA279,"")</f>
        <v/>
      </c>
      <c r="AD279">
        <f>ROW()</f>
        <v/>
      </c>
    </row>
    <row r="280">
      <c r="A280" s="1" t="n"/>
      <c r="B280" s="21" t="n">
        <v>46288</v>
      </c>
      <c r="C280" s="22" t="inlineStr">
        <is>
          <t>Legs</t>
        </is>
      </c>
      <c r="D280" s="23" t="inlineStr">
        <is>
          <t>Romanian deadlift</t>
        </is>
      </c>
      <c r="E280" s="24" t="n">
        <v>185</v>
      </c>
      <c r="F280" s="24" t="n">
        <v>9</v>
      </c>
      <c r="G280" s="24" t="n">
        <v>185</v>
      </c>
      <c r="H280" s="24" t="n">
        <v>8</v>
      </c>
      <c r="I280" s="24" t="n">
        <v>185</v>
      </c>
      <c r="J280" s="24" t="n">
        <v>8</v>
      </c>
      <c r="K280" s="24" t="n"/>
      <c r="L280" s="24" t="n"/>
      <c r="M280" s="24" t="n"/>
      <c r="N280" s="24" t="n"/>
      <c r="O280" s="15">
        <f>IF(D280="","",COUNT(F280,H280,J280,L280,N280))</f>
        <v/>
      </c>
      <c r="P280" s="25">
        <f>IF(D280="","",N(E280)*N(F280)+N(G280)*N(H280)+N(I280)*N(J280)+N(K280)*N(L280)+N(M280)*N(N280))</f>
        <v/>
      </c>
      <c r="Q280" s="18">
        <f>IF(N(X280)=0,"",IF(IF(N(F280)=0,0,IF(N(E280)&gt;0,E280*(1+F280/30),F280))=X280,IF(N(E280)&gt;0,E280&amp;" x "&amp;F280,F280&amp;" reps"),IF(IF(N(H280)=0,0,IF(N(G280)&gt;0,G280*(1+H280/30),H280))=X280,IF(N(G280)&gt;0,G280&amp;" x "&amp;H280,H280&amp;" reps"),IF(IF(N(J280)=0,0,IF(N(I280)&gt;0,I280*(1+J280/30),J280))=X280,IF(N(I280)&gt;0,I280&amp;" x "&amp;J280,J280&amp;" reps"),IF(IF(N(L280)=0,0,IF(N(K280)&gt;0,K280*(1+L280/30),L280))=X280,IF(N(K280)&gt;0,K280&amp;" x "&amp;L280,L280&amp;" reps"),IF(IF(N(N280)=0,0,IF(N(M280)&gt;0,M280*(1+N280/30),N280))=X280,IF(N(M280)&gt;0,M280&amp;" x "&amp;N280,N280&amp;" reps"),""))))))</f>
        <v/>
      </c>
      <c r="R280" s="20">
        <f>IF(N(X280)=0,"",ROUND(X280,1))</f>
        <v/>
      </c>
      <c r="S280" s="18">
        <f>IF(N(X280)=0,"",IF(AND(COUNTIFS(Log!$D$6:$D$1505,D280,Log!$B$6:$B$1505,"&lt;"&amp;B280)&gt;0,COUNTIFS(Log!$D$6:$D$1505,D280,Log!$B$6:$B$1505,"&lt;"&amp;B280,Log!$X$6:$X$1505,"&gt;="&amp;X280)=0),"New best",""))</f>
        <v/>
      </c>
      <c r="T280" s="26" t="n"/>
      <c r="U280" s="1">
        <f>IF(D280="","",IFERROR(INDEX(Exercises!$C$6:$C$105,MATCH(D280,Exercises!$B$6:$B$105,0)),"Other"))</f>
        <v/>
      </c>
      <c r="V280">
        <f>IF(B280="","",IF(COUNTIF($B$6:B280,B280)=1,1,0))</f>
        <v/>
      </c>
      <c r="W280">
        <f>IF(B280="","",B280-WEEKDAY(B280,3))</f>
        <v/>
      </c>
      <c r="X280">
        <f>IF(D280="","",MAX(IF(N(F280)=0,0,IF(N(E280)&gt;0,E280*(1+F280/30),F280)),IF(N(H280)=0,0,IF(N(G280)&gt;0,G280*(1+H280/30),H280)),IF(N(J280)=0,0,IF(N(I280)&gt;0,I280*(1+J280/30),J280)),IF(N(L280)=0,0,IF(N(K280)&gt;0,K280*(1+L280/30),L280)),IF(N(N280)=0,0,IF(N(M280)&gt;0,M280*(1+N280/30),N280))))</f>
        <v/>
      </c>
      <c r="Y280">
        <f>IF(N(X280)=0,"",X280+ROW()/1000000000)</f>
        <v/>
      </c>
      <c r="Z280">
        <f>IF(Y280="","",IF(COUNTIFS(Log!$D$6:$D$1505,D280,Log!$Y$6:$Y$1505,"&gt;"&amp;Y280)=0,1,0))</f>
        <v/>
      </c>
      <c r="AA280">
        <f>IF(OR(B280="",D280=""),"",B280+ROW()/10000000)</f>
        <v/>
      </c>
      <c r="AB280">
        <f>IF(AA280="","",IF(COUNTIFS(Log!$D$6:$D$1505,D280,Log!$AA$6:$AA$1505,"&gt;"&amp;AA280)=0,1,0))</f>
        <v/>
      </c>
      <c r="AC280">
        <f>IF(S280="New best",AA280,"")</f>
        <v/>
      </c>
      <c r="AD280">
        <f>ROW()</f>
        <v/>
      </c>
    </row>
    <row r="281">
      <c r="A281" s="1" t="n"/>
      <c r="B281" s="21" t="n">
        <v>46288</v>
      </c>
      <c r="C281" s="22" t="inlineStr">
        <is>
          <t>Legs</t>
        </is>
      </c>
      <c r="D281" s="23" t="inlineStr">
        <is>
          <t>Leg press</t>
        </is>
      </c>
      <c r="E281" s="24" t="n">
        <v>330</v>
      </c>
      <c r="F281" s="24" t="n">
        <v>12</v>
      </c>
      <c r="G281" s="24" t="n">
        <v>330</v>
      </c>
      <c r="H281" s="24" t="n">
        <v>11</v>
      </c>
      <c r="I281" s="24" t="n">
        <v>330</v>
      </c>
      <c r="J281" s="24" t="n">
        <v>10</v>
      </c>
      <c r="K281" s="24" t="n"/>
      <c r="L281" s="24" t="n"/>
      <c r="M281" s="24" t="n"/>
      <c r="N281" s="24" t="n"/>
      <c r="O281" s="15">
        <f>IF(D281="","",COUNT(F281,H281,J281,L281,N281))</f>
        <v/>
      </c>
      <c r="P281" s="25">
        <f>IF(D281="","",N(E281)*N(F281)+N(G281)*N(H281)+N(I281)*N(J281)+N(K281)*N(L281)+N(M281)*N(N281))</f>
        <v/>
      </c>
      <c r="Q281" s="18">
        <f>IF(N(X281)=0,"",IF(IF(N(F281)=0,0,IF(N(E281)&gt;0,E281*(1+F281/30),F281))=X281,IF(N(E281)&gt;0,E281&amp;" x "&amp;F281,F281&amp;" reps"),IF(IF(N(H281)=0,0,IF(N(G281)&gt;0,G281*(1+H281/30),H281))=X281,IF(N(G281)&gt;0,G281&amp;" x "&amp;H281,H281&amp;" reps"),IF(IF(N(J281)=0,0,IF(N(I281)&gt;0,I281*(1+J281/30),J281))=X281,IF(N(I281)&gt;0,I281&amp;" x "&amp;J281,J281&amp;" reps"),IF(IF(N(L281)=0,0,IF(N(K281)&gt;0,K281*(1+L281/30),L281))=X281,IF(N(K281)&gt;0,K281&amp;" x "&amp;L281,L281&amp;" reps"),IF(IF(N(N281)=0,0,IF(N(M281)&gt;0,M281*(1+N281/30),N281))=X281,IF(N(M281)&gt;0,M281&amp;" x "&amp;N281,N281&amp;" reps"),""))))))</f>
        <v/>
      </c>
      <c r="R281" s="20">
        <f>IF(N(X281)=0,"",ROUND(X281,1))</f>
        <v/>
      </c>
      <c r="S281" s="18">
        <f>IF(N(X281)=0,"",IF(AND(COUNTIFS(Log!$D$6:$D$1505,D281,Log!$B$6:$B$1505,"&lt;"&amp;B281)&gt;0,COUNTIFS(Log!$D$6:$D$1505,D281,Log!$B$6:$B$1505,"&lt;"&amp;B281,Log!$X$6:$X$1505,"&gt;="&amp;X281)=0),"New best",""))</f>
        <v/>
      </c>
      <c r="T281" s="26" t="n"/>
      <c r="U281" s="1">
        <f>IF(D281="","",IFERROR(INDEX(Exercises!$C$6:$C$105,MATCH(D281,Exercises!$B$6:$B$105,0)),"Other"))</f>
        <v/>
      </c>
      <c r="V281">
        <f>IF(B281="","",IF(COUNTIF($B$6:B281,B281)=1,1,0))</f>
        <v/>
      </c>
      <c r="W281">
        <f>IF(B281="","",B281-WEEKDAY(B281,3))</f>
        <v/>
      </c>
      <c r="X281">
        <f>IF(D281="","",MAX(IF(N(F281)=0,0,IF(N(E281)&gt;0,E281*(1+F281/30),F281)),IF(N(H281)=0,0,IF(N(G281)&gt;0,G281*(1+H281/30),H281)),IF(N(J281)=0,0,IF(N(I281)&gt;0,I281*(1+J281/30),J281)),IF(N(L281)=0,0,IF(N(K281)&gt;0,K281*(1+L281/30),L281)),IF(N(N281)=0,0,IF(N(M281)&gt;0,M281*(1+N281/30),N281))))</f>
        <v/>
      </c>
      <c r="Y281">
        <f>IF(N(X281)=0,"",X281+ROW()/1000000000)</f>
        <v/>
      </c>
      <c r="Z281">
        <f>IF(Y281="","",IF(COUNTIFS(Log!$D$6:$D$1505,D281,Log!$Y$6:$Y$1505,"&gt;"&amp;Y281)=0,1,0))</f>
        <v/>
      </c>
      <c r="AA281">
        <f>IF(OR(B281="",D281=""),"",B281+ROW()/10000000)</f>
        <v/>
      </c>
      <c r="AB281">
        <f>IF(AA281="","",IF(COUNTIFS(Log!$D$6:$D$1505,D281,Log!$AA$6:$AA$1505,"&gt;"&amp;AA281)=0,1,0))</f>
        <v/>
      </c>
      <c r="AC281">
        <f>IF(S281="New best",AA281,"")</f>
        <v/>
      </c>
      <c r="AD281">
        <f>ROW()</f>
        <v/>
      </c>
    </row>
    <row r="282">
      <c r="A282" s="1" t="n"/>
      <c r="B282" s="21" t="n">
        <v>46288</v>
      </c>
      <c r="C282" s="22" t="inlineStr">
        <is>
          <t>Legs</t>
        </is>
      </c>
      <c r="D282" s="23" t="inlineStr">
        <is>
          <t>Leg curl</t>
        </is>
      </c>
      <c r="E282" s="24" t="n">
        <v>85</v>
      </c>
      <c r="F282" s="24" t="n">
        <v>11</v>
      </c>
      <c r="G282" s="24" t="n">
        <v>85</v>
      </c>
      <c r="H282" s="24" t="n">
        <v>10</v>
      </c>
      <c r="I282" s="24" t="n">
        <v>85</v>
      </c>
      <c r="J282" s="24" t="n">
        <v>10</v>
      </c>
      <c r="K282" s="24" t="n"/>
      <c r="L282" s="24" t="n"/>
      <c r="M282" s="24" t="n"/>
      <c r="N282" s="24" t="n"/>
      <c r="O282" s="15">
        <f>IF(D282="","",COUNT(F282,H282,J282,L282,N282))</f>
        <v/>
      </c>
      <c r="P282" s="25">
        <f>IF(D282="","",N(E282)*N(F282)+N(G282)*N(H282)+N(I282)*N(J282)+N(K282)*N(L282)+N(M282)*N(N282))</f>
        <v/>
      </c>
      <c r="Q282" s="18">
        <f>IF(N(X282)=0,"",IF(IF(N(F282)=0,0,IF(N(E282)&gt;0,E282*(1+F282/30),F282))=X282,IF(N(E282)&gt;0,E282&amp;" x "&amp;F282,F282&amp;" reps"),IF(IF(N(H282)=0,0,IF(N(G282)&gt;0,G282*(1+H282/30),H282))=X282,IF(N(G282)&gt;0,G282&amp;" x "&amp;H282,H282&amp;" reps"),IF(IF(N(J282)=0,0,IF(N(I282)&gt;0,I282*(1+J282/30),J282))=X282,IF(N(I282)&gt;0,I282&amp;" x "&amp;J282,J282&amp;" reps"),IF(IF(N(L282)=0,0,IF(N(K282)&gt;0,K282*(1+L282/30),L282))=X282,IF(N(K282)&gt;0,K282&amp;" x "&amp;L282,L282&amp;" reps"),IF(IF(N(N282)=0,0,IF(N(M282)&gt;0,M282*(1+N282/30),N282))=X282,IF(N(M282)&gt;0,M282&amp;" x "&amp;N282,N282&amp;" reps"),""))))))</f>
        <v/>
      </c>
      <c r="R282" s="20">
        <f>IF(N(X282)=0,"",ROUND(X282,1))</f>
        <v/>
      </c>
      <c r="S282" s="18">
        <f>IF(N(X282)=0,"",IF(AND(COUNTIFS(Log!$D$6:$D$1505,D282,Log!$B$6:$B$1505,"&lt;"&amp;B282)&gt;0,COUNTIFS(Log!$D$6:$D$1505,D282,Log!$B$6:$B$1505,"&lt;"&amp;B282,Log!$X$6:$X$1505,"&gt;="&amp;X282)=0),"New best",""))</f>
        <v/>
      </c>
      <c r="T282" s="26" t="n"/>
      <c r="U282" s="1">
        <f>IF(D282="","",IFERROR(INDEX(Exercises!$C$6:$C$105,MATCH(D282,Exercises!$B$6:$B$105,0)),"Other"))</f>
        <v/>
      </c>
      <c r="V282">
        <f>IF(B282="","",IF(COUNTIF($B$6:B282,B282)=1,1,0))</f>
        <v/>
      </c>
      <c r="W282">
        <f>IF(B282="","",B282-WEEKDAY(B282,3))</f>
        <v/>
      </c>
      <c r="X282">
        <f>IF(D282="","",MAX(IF(N(F282)=0,0,IF(N(E282)&gt;0,E282*(1+F282/30),F282)),IF(N(H282)=0,0,IF(N(G282)&gt;0,G282*(1+H282/30),H282)),IF(N(J282)=0,0,IF(N(I282)&gt;0,I282*(1+J282/30),J282)),IF(N(L282)=0,0,IF(N(K282)&gt;0,K282*(1+L282/30),L282)),IF(N(N282)=0,0,IF(N(M282)&gt;0,M282*(1+N282/30),N282))))</f>
        <v/>
      </c>
      <c r="Y282">
        <f>IF(N(X282)=0,"",X282+ROW()/1000000000)</f>
        <v/>
      </c>
      <c r="Z282">
        <f>IF(Y282="","",IF(COUNTIFS(Log!$D$6:$D$1505,D282,Log!$Y$6:$Y$1505,"&gt;"&amp;Y282)=0,1,0))</f>
        <v/>
      </c>
      <c r="AA282">
        <f>IF(OR(B282="",D282=""),"",B282+ROW()/10000000)</f>
        <v/>
      </c>
      <c r="AB282">
        <f>IF(AA282="","",IF(COUNTIFS(Log!$D$6:$D$1505,D282,Log!$AA$6:$AA$1505,"&gt;"&amp;AA282)=0,1,0))</f>
        <v/>
      </c>
      <c r="AC282">
        <f>IF(S282="New best",AA282,"")</f>
        <v/>
      </c>
      <c r="AD282">
        <f>ROW()</f>
        <v/>
      </c>
    </row>
    <row r="283">
      <c r="A283" s="1" t="n"/>
      <c r="B283" s="21" t="n">
        <v>46288</v>
      </c>
      <c r="C283" s="22" t="inlineStr">
        <is>
          <t>Legs</t>
        </is>
      </c>
      <c r="D283" s="23" t="inlineStr">
        <is>
          <t>Calf raise</t>
        </is>
      </c>
      <c r="E283" s="24" t="n">
        <v>120</v>
      </c>
      <c r="F283" s="24" t="n">
        <v>14</v>
      </c>
      <c r="G283" s="24" t="n">
        <v>120</v>
      </c>
      <c r="H283" s="24" t="n">
        <v>13</v>
      </c>
      <c r="I283" s="24" t="n">
        <v>120</v>
      </c>
      <c r="J283" s="24" t="n">
        <v>12</v>
      </c>
      <c r="K283" s="24" t="n">
        <v>120</v>
      </c>
      <c r="L283" s="24" t="n">
        <v>12</v>
      </c>
      <c r="M283" s="24" t="n"/>
      <c r="N283" s="24" t="n"/>
      <c r="O283" s="15">
        <f>IF(D283="","",COUNT(F283,H283,J283,L283,N283))</f>
        <v/>
      </c>
      <c r="P283" s="25">
        <f>IF(D283="","",N(E283)*N(F283)+N(G283)*N(H283)+N(I283)*N(J283)+N(K283)*N(L283)+N(M283)*N(N283))</f>
        <v/>
      </c>
      <c r="Q283" s="18">
        <f>IF(N(X283)=0,"",IF(IF(N(F283)=0,0,IF(N(E283)&gt;0,E283*(1+F283/30),F283))=X283,IF(N(E283)&gt;0,E283&amp;" x "&amp;F283,F283&amp;" reps"),IF(IF(N(H283)=0,0,IF(N(G283)&gt;0,G283*(1+H283/30),H283))=X283,IF(N(G283)&gt;0,G283&amp;" x "&amp;H283,H283&amp;" reps"),IF(IF(N(J283)=0,0,IF(N(I283)&gt;0,I283*(1+J283/30),J283))=X283,IF(N(I283)&gt;0,I283&amp;" x "&amp;J283,J283&amp;" reps"),IF(IF(N(L283)=0,0,IF(N(K283)&gt;0,K283*(1+L283/30),L283))=X283,IF(N(K283)&gt;0,K283&amp;" x "&amp;L283,L283&amp;" reps"),IF(IF(N(N283)=0,0,IF(N(M283)&gt;0,M283*(1+N283/30),N283))=X283,IF(N(M283)&gt;0,M283&amp;" x "&amp;N283,N283&amp;" reps"),""))))))</f>
        <v/>
      </c>
      <c r="R283" s="20">
        <f>IF(N(X283)=0,"",ROUND(X283,1))</f>
        <v/>
      </c>
      <c r="S283" s="18">
        <f>IF(N(X283)=0,"",IF(AND(COUNTIFS(Log!$D$6:$D$1505,D283,Log!$B$6:$B$1505,"&lt;"&amp;B283)&gt;0,COUNTIFS(Log!$D$6:$D$1505,D283,Log!$B$6:$B$1505,"&lt;"&amp;B283,Log!$X$6:$X$1505,"&gt;="&amp;X283)=0),"New best",""))</f>
        <v/>
      </c>
      <c r="T283" s="26" t="n"/>
      <c r="U283" s="1">
        <f>IF(D283="","",IFERROR(INDEX(Exercises!$C$6:$C$105,MATCH(D283,Exercises!$B$6:$B$105,0)),"Other"))</f>
        <v/>
      </c>
      <c r="V283">
        <f>IF(B283="","",IF(COUNTIF($B$6:B283,B283)=1,1,0))</f>
        <v/>
      </c>
      <c r="W283">
        <f>IF(B283="","",B283-WEEKDAY(B283,3))</f>
        <v/>
      </c>
      <c r="X283">
        <f>IF(D283="","",MAX(IF(N(F283)=0,0,IF(N(E283)&gt;0,E283*(1+F283/30),F283)),IF(N(H283)=0,0,IF(N(G283)&gt;0,G283*(1+H283/30),H283)),IF(N(J283)=0,0,IF(N(I283)&gt;0,I283*(1+J283/30),J283)),IF(N(L283)=0,0,IF(N(K283)&gt;0,K283*(1+L283/30),L283)),IF(N(N283)=0,0,IF(N(M283)&gt;0,M283*(1+N283/30),N283))))</f>
        <v/>
      </c>
      <c r="Y283">
        <f>IF(N(X283)=0,"",X283+ROW()/1000000000)</f>
        <v/>
      </c>
      <c r="Z283">
        <f>IF(Y283="","",IF(COUNTIFS(Log!$D$6:$D$1505,D283,Log!$Y$6:$Y$1505,"&gt;"&amp;Y283)=0,1,0))</f>
        <v/>
      </c>
      <c r="AA283">
        <f>IF(OR(B283="",D283=""),"",B283+ROW()/10000000)</f>
        <v/>
      </c>
      <c r="AB283">
        <f>IF(AA283="","",IF(COUNTIFS(Log!$D$6:$D$1505,D283,Log!$AA$6:$AA$1505,"&gt;"&amp;AA283)=0,1,0))</f>
        <v/>
      </c>
      <c r="AC283">
        <f>IF(S283="New best",AA283,"")</f>
        <v/>
      </c>
      <c r="AD283">
        <f>ROW()</f>
        <v/>
      </c>
    </row>
    <row r="284">
      <c r="A284" s="1" t="n"/>
      <c r="B284" s="21" t="n">
        <v>46290</v>
      </c>
      <c r="C284" s="22" t="inlineStr">
        <is>
          <t>Upper</t>
        </is>
      </c>
      <c r="D284" s="23" t="inlineStr">
        <is>
          <t>Bench press</t>
        </is>
      </c>
      <c r="E284" s="24" t="n">
        <v>135</v>
      </c>
      <c r="F284" s="24" t="n">
        <v>10</v>
      </c>
      <c r="G284" s="24" t="n">
        <v>135</v>
      </c>
      <c r="H284" s="24" t="n">
        <v>8</v>
      </c>
      <c r="I284" s="24" t="n">
        <v>135</v>
      </c>
      <c r="J284" s="24" t="n">
        <v>8</v>
      </c>
      <c r="K284" s="24" t="n"/>
      <c r="L284" s="24" t="n"/>
      <c r="M284" s="24" t="n"/>
      <c r="N284" s="24" t="n"/>
      <c r="O284" s="15">
        <f>IF(D284="","",COUNT(F284,H284,J284,L284,N284))</f>
        <v/>
      </c>
      <c r="P284" s="25">
        <f>IF(D284="","",N(E284)*N(F284)+N(G284)*N(H284)+N(I284)*N(J284)+N(K284)*N(L284)+N(M284)*N(N284))</f>
        <v/>
      </c>
      <c r="Q284" s="18">
        <f>IF(N(X284)=0,"",IF(IF(N(F284)=0,0,IF(N(E284)&gt;0,E284*(1+F284/30),F284))=X284,IF(N(E284)&gt;0,E284&amp;" x "&amp;F284,F284&amp;" reps"),IF(IF(N(H284)=0,0,IF(N(G284)&gt;0,G284*(1+H284/30),H284))=X284,IF(N(G284)&gt;0,G284&amp;" x "&amp;H284,H284&amp;" reps"),IF(IF(N(J284)=0,0,IF(N(I284)&gt;0,I284*(1+J284/30),J284))=X284,IF(N(I284)&gt;0,I284&amp;" x "&amp;J284,J284&amp;" reps"),IF(IF(N(L284)=0,0,IF(N(K284)&gt;0,K284*(1+L284/30),L284))=X284,IF(N(K284)&gt;0,K284&amp;" x "&amp;L284,L284&amp;" reps"),IF(IF(N(N284)=0,0,IF(N(M284)&gt;0,M284*(1+N284/30),N284))=X284,IF(N(M284)&gt;0,M284&amp;" x "&amp;N284,N284&amp;" reps"),""))))))</f>
        <v/>
      </c>
      <c r="R284" s="20">
        <f>IF(N(X284)=0,"",ROUND(X284,1))</f>
        <v/>
      </c>
      <c r="S284" s="18">
        <f>IF(N(X284)=0,"",IF(AND(COUNTIFS(Log!$D$6:$D$1505,D284,Log!$B$6:$B$1505,"&lt;"&amp;B284)&gt;0,COUNTIFS(Log!$D$6:$D$1505,D284,Log!$B$6:$B$1505,"&lt;"&amp;B284,Log!$X$6:$X$1505,"&gt;="&amp;X284)=0),"New best",""))</f>
        <v/>
      </c>
      <c r="T284" s="26" t="n"/>
      <c r="U284" s="1">
        <f>IF(D284="","",IFERROR(INDEX(Exercises!$C$6:$C$105,MATCH(D284,Exercises!$B$6:$B$105,0)),"Other"))</f>
        <v/>
      </c>
      <c r="V284">
        <f>IF(B284="","",IF(COUNTIF($B$6:B284,B284)=1,1,0))</f>
        <v/>
      </c>
      <c r="W284">
        <f>IF(B284="","",B284-WEEKDAY(B284,3))</f>
        <v/>
      </c>
      <c r="X284">
        <f>IF(D284="","",MAX(IF(N(F284)=0,0,IF(N(E284)&gt;0,E284*(1+F284/30),F284)),IF(N(H284)=0,0,IF(N(G284)&gt;0,G284*(1+H284/30),H284)),IF(N(J284)=0,0,IF(N(I284)&gt;0,I284*(1+J284/30),J284)),IF(N(L284)=0,0,IF(N(K284)&gt;0,K284*(1+L284/30),L284)),IF(N(N284)=0,0,IF(N(M284)&gt;0,M284*(1+N284/30),N284))))</f>
        <v/>
      </c>
      <c r="Y284">
        <f>IF(N(X284)=0,"",X284+ROW()/1000000000)</f>
        <v/>
      </c>
      <c r="Z284">
        <f>IF(Y284="","",IF(COUNTIFS(Log!$D$6:$D$1505,D284,Log!$Y$6:$Y$1505,"&gt;"&amp;Y284)=0,1,0))</f>
        <v/>
      </c>
      <c r="AA284">
        <f>IF(OR(B284="",D284=""),"",B284+ROW()/10000000)</f>
        <v/>
      </c>
      <c r="AB284">
        <f>IF(AA284="","",IF(COUNTIFS(Log!$D$6:$D$1505,D284,Log!$AA$6:$AA$1505,"&gt;"&amp;AA284)=0,1,0))</f>
        <v/>
      </c>
      <c r="AC284">
        <f>IF(S284="New best",AA284,"")</f>
        <v/>
      </c>
      <c r="AD284">
        <f>ROW()</f>
        <v/>
      </c>
    </row>
    <row r="285">
      <c r="A285" s="1" t="n"/>
      <c r="B285" s="21" t="n">
        <v>46290</v>
      </c>
      <c r="C285" s="22" t="inlineStr">
        <is>
          <t>Upper</t>
        </is>
      </c>
      <c r="D285" s="23" t="inlineStr">
        <is>
          <t>Barbell row</t>
        </is>
      </c>
      <c r="E285" s="24" t="n">
        <v>115</v>
      </c>
      <c r="F285" s="24" t="n">
        <v>9</v>
      </c>
      <c r="G285" s="24" t="n">
        <v>115</v>
      </c>
      <c r="H285" s="24" t="n">
        <v>9</v>
      </c>
      <c r="I285" s="24" t="n">
        <v>115</v>
      </c>
      <c r="J285" s="24" t="n">
        <v>8</v>
      </c>
      <c r="K285" s="24" t="n"/>
      <c r="L285" s="24" t="n"/>
      <c r="M285" s="24" t="n"/>
      <c r="N285" s="24" t="n"/>
      <c r="O285" s="15">
        <f>IF(D285="","",COUNT(F285,H285,J285,L285,N285))</f>
        <v/>
      </c>
      <c r="P285" s="25">
        <f>IF(D285="","",N(E285)*N(F285)+N(G285)*N(H285)+N(I285)*N(J285)+N(K285)*N(L285)+N(M285)*N(N285))</f>
        <v/>
      </c>
      <c r="Q285" s="18">
        <f>IF(N(X285)=0,"",IF(IF(N(F285)=0,0,IF(N(E285)&gt;0,E285*(1+F285/30),F285))=X285,IF(N(E285)&gt;0,E285&amp;" x "&amp;F285,F285&amp;" reps"),IF(IF(N(H285)=0,0,IF(N(G285)&gt;0,G285*(1+H285/30),H285))=X285,IF(N(G285)&gt;0,G285&amp;" x "&amp;H285,H285&amp;" reps"),IF(IF(N(J285)=0,0,IF(N(I285)&gt;0,I285*(1+J285/30),J285))=X285,IF(N(I285)&gt;0,I285&amp;" x "&amp;J285,J285&amp;" reps"),IF(IF(N(L285)=0,0,IF(N(K285)&gt;0,K285*(1+L285/30),L285))=X285,IF(N(K285)&gt;0,K285&amp;" x "&amp;L285,L285&amp;" reps"),IF(IF(N(N285)=0,0,IF(N(M285)&gt;0,M285*(1+N285/30),N285))=X285,IF(N(M285)&gt;0,M285&amp;" x "&amp;N285,N285&amp;" reps"),""))))))</f>
        <v/>
      </c>
      <c r="R285" s="20">
        <f>IF(N(X285)=0,"",ROUND(X285,1))</f>
        <v/>
      </c>
      <c r="S285" s="18">
        <f>IF(N(X285)=0,"",IF(AND(COUNTIFS(Log!$D$6:$D$1505,D285,Log!$B$6:$B$1505,"&lt;"&amp;B285)&gt;0,COUNTIFS(Log!$D$6:$D$1505,D285,Log!$B$6:$B$1505,"&lt;"&amp;B285,Log!$X$6:$X$1505,"&gt;="&amp;X285)=0),"New best",""))</f>
        <v/>
      </c>
      <c r="T285" s="26" t="n"/>
      <c r="U285" s="1">
        <f>IF(D285="","",IFERROR(INDEX(Exercises!$C$6:$C$105,MATCH(D285,Exercises!$B$6:$B$105,0)),"Other"))</f>
        <v/>
      </c>
      <c r="V285">
        <f>IF(B285="","",IF(COUNTIF($B$6:B285,B285)=1,1,0))</f>
        <v/>
      </c>
      <c r="W285">
        <f>IF(B285="","",B285-WEEKDAY(B285,3))</f>
        <v/>
      </c>
      <c r="X285">
        <f>IF(D285="","",MAX(IF(N(F285)=0,0,IF(N(E285)&gt;0,E285*(1+F285/30),F285)),IF(N(H285)=0,0,IF(N(G285)&gt;0,G285*(1+H285/30),H285)),IF(N(J285)=0,0,IF(N(I285)&gt;0,I285*(1+J285/30),J285)),IF(N(L285)=0,0,IF(N(K285)&gt;0,K285*(1+L285/30),L285)),IF(N(N285)=0,0,IF(N(M285)&gt;0,M285*(1+N285/30),N285))))</f>
        <v/>
      </c>
      <c r="Y285">
        <f>IF(N(X285)=0,"",X285+ROW()/1000000000)</f>
        <v/>
      </c>
      <c r="Z285">
        <f>IF(Y285="","",IF(COUNTIFS(Log!$D$6:$D$1505,D285,Log!$Y$6:$Y$1505,"&gt;"&amp;Y285)=0,1,0))</f>
        <v/>
      </c>
      <c r="AA285">
        <f>IF(OR(B285="",D285=""),"",B285+ROW()/10000000)</f>
        <v/>
      </c>
      <c r="AB285">
        <f>IF(AA285="","",IF(COUNTIFS(Log!$D$6:$D$1505,D285,Log!$AA$6:$AA$1505,"&gt;"&amp;AA285)=0,1,0))</f>
        <v/>
      </c>
      <c r="AC285">
        <f>IF(S285="New best",AA285,"")</f>
        <v/>
      </c>
      <c r="AD285">
        <f>ROW()</f>
        <v/>
      </c>
    </row>
    <row r="286">
      <c r="A286" s="1" t="n"/>
      <c r="B286" s="21" t="n">
        <v>46290</v>
      </c>
      <c r="C286" s="22" t="inlineStr">
        <is>
          <t>Upper</t>
        </is>
      </c>
      <c r="D286" s="23" t="inlineStr">
        <is>
          <t>Overhead press</t>
        </is>
      </c>
      <c r="E286" s="24" t="n">
        <v>90</v>
      </c>
      <c r="F286" s="24" t="n">
        <v>10</v>
      </c>
      <c r="G286" s="24" t="n">
        <v>90</v>
      </c>
      <c r="H286" s="24" t="n">
        <v>8</v>
      </c>
      <c r="I286" s="24" t="n">
        <v>90</v>
      </c>
      <c r="J286" s="24" t="n">
        <v>8</v>
      </c>
      <c r="K286" s="24" t="n"/>
      <c r="L286" s="24" t="n"/>
      <c r="M286" s="24" t="n"/>
      <c r="N286" s="24" t="n"/>
      <c r="O286" s="15">
        <f>IF(D286="","",COUNT(F286,H286,J286,L286,N286))</f>
        <v/>
      </c>
      <c r="P286" s="25">
        <f>IF(D286="","",N(E286)*N(F286)+N(G286)*N(H286)+N(I286)*N(J286)+N(K286)*N(L286)+N(M286)*N(N286))</f>
        <v/>
      </c>
      <c r="Q286" s="18">
        <f>IF(N(X286)=0,"",IF(IF(N(F286)=0,0,IF(N(E286)&gt;0,E286*(1+F286/30),F286))=X286,IF(N(E286)&gt;0,E286&amp;" x "&amp;F286,F286&amp;" reps"),IF(IF(N(H286)=0,0,IF(N(G286)&gt;0,G286*(1+H286/30),H286))=X286,IF(N(G286)&gt;0,G286&amp;" x "&amp;H286,H286&amp;" reps"),IF(IF(N(J286)=0,0,IF(N(I286)&gt;0,I286*(1+J286/30),J286))=X286,IF(N(I286)&gt;0,I286&amp;" x "&amp;J286,J286&amp;" reps"),IF(IF(N(L286)=0,0,IF(N(K286)&gt;0,K286*(1+L286/30),L286))=X286,IF(N(K286)&gt;0,K286&amp;" x "&amp;L286,L286&amp;" reps"),IF(IF(N(N286)=0,0,IF(N(M286)&gt;0,M286*(1+N286/30),N286))=X286,IF(N(M286)&gt;0,M286&amp;" x "&amp;N286,N286&amp;" reps"),""))))))</f>
        <v/>
      </c>
      <c r="R286" s="20">
        <f>IF(N(X286)=0,"",ROUND(X286,1))</f>
        <v/>
      </c>
      <c r="S286" s="18">
        <f>IF(N(X286)=0,"",IF(AND(COUNTIFS(Log!$D$6:$D$1505,D286,Log!$B$6:$B$1505,"&lt;"&amp;B286)&gt;0,COUNTIFS(Log!$D$6:$D$1505,D286,Log!$B$6:$B$1505,"&lt;"&amp;B286,Log!$X$6:$X$1505,"&gt;="&amp;X286)=0),"New best",""))</f>
        <v/>
      </c>
      <c r="T286" s="26" t="inlineStr">
        <is>
          <t>Felt strong</t>
        </is>
      </c>
      <c r="U286" s="1">
        <f>IF(D286="","",IFERROR(INDEX(Exercises!$C$6:$C$105,MATCH(D286,Exercises!$B$6:$B$105,0)),"Other"))</f>
        <v/>
      </c>
      <c r="V286">
        <f>IF(B286="","",IF(COUNTIF($B$6:B286,B286)=1,1,0))</f>
        <v/>
      </c>
      <c r="W286">
        <f>IF(B286="","",B286-WEEKDAY(B286,3))</f>
        <v/>
      </c>
      <c r="X286">
        <f>IF(D286="","",MAX(IF(N(F286)=0,0,IF(N(E286)&gt;0,E286*(1+F286/30),F286)),IF(N(H286)=0,0,IF(N(G286)&gt;0,G286*(1+H286/30),H286)),IF(N(J286)=0,0,IF(N(I286)&gt;0,I286*(1+J286/30),J286)),IF(N(L286)=0,0,IF(N(K286)&gt;0,K286*(1+L286/30),L286)),IF(N(N286)=0,0,IF(N(M286)&gt;0,M286*(1+N286/30),N286))))</f>
        <v/>
      </c>
      <c r="Y286">
        <f>IF(N(X286)=0,"",X286+ROW()/1000000000)</f>
        <v/>
      </c>
      <c r="Z286">
        <f>IF(Y286="","",IF(COUNTIFS(Log!$D$6:$D$1505,D286,Log!$Y$6:$Y$1505,"&gt;"&amp;Y286)=0,1,0))</f>
        <v/>
      </c>
      <c r="AA286">
        <f>IF(OR(B286="",D286=""),"",B286+ROW()/10000000)</f>
        <v/>
      </c>
      <c r="AB286">
        <f>IF(AA286="","",IF(COUNTIFS(Log!$D$6:$D$1505,D286,Log!$AA$6:$AA$1505,"&gt;"&amp;AA286)=0,1,0))</f>
        <v/>
      </c>
      <c r="AC286">
        <f>IF(S286="New best",AA286,"")</f>
        <v/>
      </c>
      <c r="AD286">
        <f>ROW()</f>
        <v/>
      </c>
    </row>
    <row r="287">
      <c r="A287" s="1" t="n"/>
      <c r="B287" s="21" t="n">
        <v>46290</v>
      </c>
      <c r="C287" s="22" t="inlineStr">
        <is>
          <t>Upper</t>
        </is>
      </c>
      <c r="D287" s="23" t="inlineStr">
        <is>
          <t>Pull-up</t>
        </is>
      </c>
      <c r="E287" s="24" t="n"/>
      <c r="F287" s="24" t="n">
        <v>8</v>
      </c>
      <c r="G287" s="24" t="n"/>
      <c r="H287" s="24" t="n">
        <v>7</v>
      </c>
      <c r="I287" s="24" t="n"/>
      <c r="J287" s="24" t="n">
        <v>7</v>
      </c>
      <c r="K287" s="24" t="n"/>
      <c r="L287" s="24" t="n"/>
      <c r="M287" s="24" t="n"/>
      <c r="N287" s="24" t="n"/>
      <c r="O287" s="15">
        <f>IF(D287="","",COUNT(F287,H287,J287,L287,N287))</f>
        <v/>
      </c>
      <c r="P287" s="25">
        <f>IF(D287="","",N(E287)*N(F287)+N(G287)*N(H287)+N(I287)*N(J287)+N(K287)*N(L287)+N(M287)*N(N287))</f>
        <v/>
      </c>
      <c r="Q287" s="18">
        <f>IF(N(X287)=0,"",IF(IF(N(F287)=0,0,IF(N(E287)&gt;0,E287*(1+F287/30),F287))=X287,IF(N(E287)&gt;0,E287&amp;" x "&amp;F287,F287&amp;" reps"),IF(IF(N(H287)=0,0,IF(N(G287)&gt;0,G287*(1+H287/30),H287))=X287,IF(N(G287)&gt;0,G287&amp;" x "&amp;H287,H287&amp;" reps"),IF(IF(N(J287)=0,0,IF(N(I287)&gt;0,I287*(1+J287/30),J287))=X287,IF(N(I287)&gt;0,I287&amp;" x "&amp;J287,J287&amp;" reps"),IF(IF(N(L287)=0,0,IF(N(K287)&gt;0,K287*(1+L287/30),L287))=X287,IF(N(K287)&gt;0,K287&amp;" x "&amp;L287,L287&amp;" reps"),IF(IF(N(N287)=0,0,IF(N(M287)&gt;0,M287*(1+N287/30),N287))=X287,IF(N(M287)&gt;0,M287&amp;" x "&amp;N287,N287&amp;" reps"),""))))))</f>
        <v/>
      </c>
      <c r="R287" s="20">
        <f>IF(N(X287)=0,"",ROUND(X287,1))</f>
        <v/>
      </c>
      <c r="S287" s="18">
        <f>IF(N(X287)=0,"",IF(AND(COUNTIFS(Log!$D$6:$D$1505,D287,Log!$B$6:$B$1505,"&lt;"&amp;B287)&gt;0,COUNTIFS(Log!$D$6:$D$1505,D287,Log!$B$6:$B$1505,"&lt;"&amp;B287,Log!$X$6:$X$1505,"&gt;="&amp;X287)=0),"New best",""))</f>
        <v/>
      </c>
      <c r="T287" s="26" t="n"/>
      <c r="U287" s="1">
        <f>IF(D287="","",IFERROR(INDEX(Exercises!$C$6:$C$105,MATCH(D287,Exercises!$B$6:$B$105,0)),"Other"))</f>
        <v/>
      </c>
      <c r="V287">
        <f>IF(B287="","",IF(COUNTIF($B$6:B287,B287)=1,1,0))</f>
        <v/>
      </c>
      <c r="W287">
        <f>IF(B287="","",B287-WEEKDAY(B287,3))</f>
        <v/>
      </c>
      <c r="X287">
        <f>IF(D287="","",MAX(IF(N(F287)=0,0,IF(N(E287)&gt;0,E287*(1+F287/30),F287)),IF(N(H287)=0,0,IF(N(G287)&gt;0,G287*(1+H287/30),H287)),IF(N(J287)=0,0,IF(N(I287)&gt;0,I287*(1+J287/30),J287)),IF(N(L287)=0,0,IF(N(K287)&gt;0,K287*(1+L287/30),L287)),IF(N(N287)=0,0,IF(N(M287)&gt;0,M287*(1+N287/30),N287))))</f>
        <v/>
      </c>
      <c r="Y287">
        <f>IF(N(X287)=0,"",X287+ROW()/1000000000)</f>
        <v/>
      </c>
      <c r="Z287">
        <f>IF(Y287="","",IF(COUNTIFS(Log!$D$6:$D$1505,D287,Log!$Y$6:$Y$1505,"&gt;"&amp;Y287)=0,1,0))</f>
        <v/>
      </c>
      <c r="AA287">
        <f>IF(OR(B287="",D287=""),"",B287+ROW()/10000000)</f>
        <v/>
      </c>
      <c r="AB287">
        <f>IF(AA287="","",IF(COUNTIFS(Log!$D$6:$D$1505,D287,Log!$AA$6:$AA$1505,"&gt;"&amp;AA287)=0,1,0))</f>
        <v/>
      </c>
      <c r="AC287">
        <f>IF(S287="New best",AA287,"")</f>
        <v/>
      </c>
      <c r="AD287">
        <f>ROW()</f>
        <v/>
      </c>
    </row>
    <row r="288">
      <c r="A288" s="1" t="n"/>
      <c r="B288" s="21" t="n">
        <v>46290</v>
      </c>
      <c r="C288" s="22" t="inlineStr">
        <is>
          <t>Upper</t>
        </is>
      </c>
      <c r="D288" s="23" t="inlineStr">
        <is>
          <t>Biceps curl</t>
        </is>
      </c>
      <c r="E288" s="24" t="n">
        <v>30</v>
      </c>
      <c r="F288" s="24" t="n">
        <v>11</v>
      </c>
      <c r="G288" s="24" t="n">
        <v>30</v>
      </c>
      <c r="H288" s="24" t="n">
        <v>10</v>
      </c>
      <c r="I288" s="24" t="n"/>
      <c r="J288" s="24" t="n"/>
      <c r="K288" s="24" t="n"/>
      <c r="L288" s="24" t="n"/>
      <c r="M288" s="24" t="n"/>
      <c r="N288" s="24" t="n"/>
      <c r="O288" s="15">
        <f>IF(D288="","",COUNT(F288,H288,J288,L288,N288))</f>
        <v/>
      </c>
      <c r="P288" s="25">
        <f>IF(D288="","",N(E288)*N(F288)+N(G288)*N(H288)+N(I288)*N(J288)+N(K288)*N(L288)+N(M288)*N(N288))</f>
        <v/>
      </c>
      <c r="Q288" s="18">
        <f>IF(N(X288)=0,"",IF(IF(N(F288)=0,0,IF(N(E288)&gt;0,E288*(1+F288/30),F288))=X288,IF(N(E288)&gt;0,E288&amp;" x "&amp;F288,F288&amp;" reps"),IF(IF(N(H288)=0,0,IF(N(G288)&gt;0,G288*(1+H288/30),H288))=X288,IF(N(G288)&gt;0,G288&amp;" x "&amp;H288,H288&amp;" reps"),IF(IF(N(J288)=0,0,IF(N(I288)&gt;0,I288*(1+J288/30),J288))=X288,IF(N(I288)&gt;0,I288&amp;" x "&amp;J288,J288&amp;" reps"),IF(IF(N(L288)=0,0,IF(N(K288)&gt;0,K288*(1+L288/30),L288))=X288,IF(N(K288)&gt;0,K288&amp;" x "&amp;L288,L288&amp;" reps"),IF(IF(N(N288)=0,0,IF(N(M288)&gt;0,M288*(1+N288/30),N288))=X288,IF(N(M288)&gt;0,M288&amp;" x "&amp;N288,N288&amp;" reps"),""))))))</f>
        <v/>
      </c>
      <c r="R288" s="20">
        <f>IF(N(X288)=0,"",ROUND(X288,1))</f>
        <v/>
      </c>
      <c r="S288" s="18">
        <f>IF(N(X288)=0,"",IF(AND(COUNTIFS(Log!$D$6:$D$1505,D288,Log!$B$6:$B$1505,"&lt;"&amp;B288)&gt;0,COUNTIFS(Log!$D$6:$D$1505,D288,Log!$B$6:$B$1505,"&lt;"&amp;B288,Log!$X$6:$X$1505,"&gt;="&amp;X288)=0),"New best",""))</f>
        <v/>
      </c>
      <c r="T288" s="26" t="n"/>
      <c r="U288" s="1">
        <f>IF(D288="","",IFERROR(INDEX(Exercises!$C$6:$C$105,MATCH(D288,Exercises!$B$6:$B$105,0)),"Other"))</f>
        <v/>
      </c>
      <c r="V288">
        <f>IF(B288="","",IF(COUNTIF($B$6:B288,B288)=1,1,0))</f>
        <v/>
      </c>
      <c r="W288">
        <f>IF(B288="","",B288-WEEKDAY(B288,3))</f>
        <v/>
      </c>
      <c r="X288">
        <f>IF(D288="","",MAX(IF(N(F288)=0,0,IF(N(E288)&gt;0,E288*(1+F288/30),F288)),IF(N(H288)=0,0,IF(N(G288)&gt;0,G288*(1+H288/30),H288)),IF(N(J288)=0,0,IF(N(I288)&gt;0,I288*(1+J288/30),J288)),IF(N(L288)=0,0,IF(N(K288)&gt;0,K288*(1+L288/30),L288)),IF(N(N288)=0,0,IF(N(M288)&gt;0,M288*(1+N288/30),N288))))</f>
        <v/>
      </c>
      <c r="Y288">
        <f>IF(N(X288)=0,"",X288+ROW()/1000000000)</f>
        <v/>
      </c>
      <c r="Z288">
        <f>IF(Y288="","",IF(COUNTIFS(Log!$D$6:$D$1505,D288,Log!$Y$6:$Y$1505,"&gt;"&amp;Y288)=0,1,0))</f>
        <v/>
      </c>
      <c r="AA288">
        <f>IF(OR(B288="",D288=""),"",B288+ROW()/10000000)</f>
        <v/>
      </c>
      <c r="AB288">
        <f>IF(AA288="","",IF(COUNTIFS(Log!$D$6:$D$1505,D288,Log!$AA$6:$AA$1505,"&gt;"&amp;AA288)=0,1,0))</f>
        <v/>
      </c>
      <c r="AC288">
        <f>IF(S288="New best",AA288,"")</f>
        <v/>
      </c>
      <c r="AD288">
        <f>ROW()</f>
        <v/>
      </c>
    </row>
    <row r="289">
      <c r="A289" s="1" t="n"/>
      <c r="B289" s="21" t="n">
        <v>46290</v>
      </c>
      <c r="C289" s="22" t="inlineStr">
        <is>
          <t>Upper</t>
        </is>
      </c>
      <c r="D289" s="23" t="inlineStr">
        <is>
          <t>Triceps pushdown</t>
        </is>
      </c>
      <c r="E289" s="24" t="n">
        <v>50</v>
      </c>
      <c r="F289" s="24" t="n">
        <v>12</v>
      </c>
      <c r="G289" s="24" t="n">
        <v>50</v>
      </c>
      <c r="H289" s="24" t="n">
        <v>11</v>
      </c>
      <c r="I289" s="24" t="n"/>
      <c r="J289" s="24" t="n"/>
      <c r="K289" s="24" t="n"/>
      <c r="L289" s="24" t="n"/>
      <c r="M289" s="24" t="n"/>
      <c r="N289" s="24" t="n"/>
      <c r="O289" s="15">
        <f>IF(D289="","",COUNT(F289,H289,J289,L289,N289))</f>
        <v/>
      </c>
      <c r="P289" s="25">
        <f>IF(D289="","",N(E289)*N(F289)+N(G289)*N(H289)+N(I289)*N(J289)+N(K289)*N(L289)+N(M289)*N(N289))</f>
        <v/>
      </c>
      <c r="Q289" s="18">
        <f>IF(N(X289)=0,"",IF(IF(N(F289)=0,0,IF(N(E289)&gt;0,E289*(1+F289/30),F289))=X289,IF(N(E289)&gt;0,E289&amp;" x "&amp;F289,F289&amp;" reps"),IF(IF(N(H289)=0,0,IF(N(G289)&gt;0,G289*(1+H289/30),H289))=X289,IF(N(G289)&gt;0,G289&amp;" x "&amp;H289,H289&amp;" reps"),IF(IF(N(J289)=0,0,IF(N(I289)&gt;0,I289*(1+J289/30),J289))=X289,IF(N(I289)&gt;0,I289&amp;" x "&amp;J289,J289&amp;" reps"),IF(IF(N(L289)=0,0,IF(N(K289)&gt;0,K289*(1+L289/30),L289))=X289,IF(N(K289)&gt;0,K289&amp;" x "&amp;L289,L289&amp;" reps"),IF(IF(N(N289)=0,0,IF(N(M289)&gt;0,M289*(1+N289/30),N289))=X289,IF(N(M289)&gt;0,M289&amp;" x "&amp;N289,N289&amp;" reps"),""))))))</f>
        <v/>
      </c>
      <c r="R289" s="20">
        <f>IF(N(X289)=0,"",ROUND(X289,1))</f>
        <v/>
      </c>
      <c r="S289" s="18">
        <f>IF(N(X289)=0,"",IF(AND(COUNTIFS(Log!$D$6:$D$1505,D289,Log!$B$6:$B$1505,"&lt;"&amp;B289)&gt;0,COUNTIFS(Log!$D$6:$D$1505,D289,Log!$B$6:$B$1505,"&lt;"&amp;B289,Log!$X$6:$X$1505,"&gt;="&amp;X289)=0),"New best",""))</f>
        <v/>
      </c>
      <c r="T289" s="26" t="n"/>
      <c r="U289" s="1">
        <f>IF(D289="","",IFERROR(INDEX(Exercises!$C$6:$C$105,MATCH(D289,Exercises!$B$6:$B$105,0)),"Other"))</f>
        <v/>
      </c>
      <c r="V289">
        <f>IF(B289="","",IF(COUNTIF($B$6:B289,B289)=1,1,0))</f>
        <v/>
      </c>
      <c r="W289">
        <f>IF(B289="","",B289-WEEKDAY(B289,3))</f>
        <v/>
      </c>
      <c r="X289">
        <f>IF(D289="","",MAX(IF(N(F289)=0,0,IF(N(E289)&gt;0,E289*(1+F289/30),F289)),IF(N(H289)=0,0,IF(N(G289)&gt;0,G289*(1+H289/30),H289)),IF(N(J289)=0,0,IF(N(I289)&gt;0,I289*(1+J289/30),J289)),IF(N(L289)=0,0,IF(N(K289)&gt;0,K289*(1+L289/30),L289)),IF(N(N289)=0,0,IF(N(M289)&gt;0,M289*(1+N289/30),N289))))</f>
        <v/>
      </c>
      <c r="Y289">
        <f>IF(N(X289)=0,"",X289+ROW()/1000000000)</f>
        <v/>
      </c>
      <c r="Z289">
        <f>IF(Y289="","",IF(COUNTIFS(Log!$D$6:$D$1505,D289,Log!$Y$6:$Y$1505,"&gt;"&amp;Y289)=0,1,0))</f>
        <v/>
      </c>
      <c r="AA289">
        <f>IF(OR(B289="",D289=""),"",B289+ROW()/10000000)</f>
        <v/>
      </c>
      <c r="AB289">
        <f>IF(AA289="","",IF(COUNTIFS(Log!$D$6:$D$1505,D289,Log!$AA$6:$AA$1505,"&gt;"&amp;AA289)=0,1,0))</f>
        <v/>
      </c>
      <c r="AC289">
        <f>IF(S289="New best",AA289,"")</f>
        <v/>
      </c>
      <c r="AD289">
        <f>ROW()</f>
        <v/>
      </c>
    </row>
    <row r="290">
      <c r="A290" s="1" t="n"/>
      <c r="B290" s="21" t="n">
        <v>46291</v>
      </c>
      <c r="C290" s="22" t="inlineStr">
        <is>
          <t>Lower</t>
        </is>
      </c>
      <c r="D290" s="23" t="inlineStr">
        <is>
          <t>Squat</t>
        </is>
      </c>
      <c r="E290" s="24" t="n">
        <v>195</v>
      </c>
      <c r="F290" s="24" t="n">
        <v>8</v>
      </c>
      <c r="G290" s="24" t="n">
        <v>195</v>
      </c>
      <c r="H290" s="24" t="n">
        <v>8</v>
      </c>
      <c r="I290" s="24" t="n">
        <v>195</v>
      </c>
      <c r="J290" s="24" t="n">
        <v>8</v>
      </c>
      <c r="K290" s="24" t="n"/>
      <c r="L290" s="24" t="n"/>
      <c r="M290" s="24" t="n"/>
      <c r="N290" s="24" t="n"/>
      <c r="O290" s="15">
        <f>IF(D290="","",COUNT(F290,H290,J290,L290,N290))</f>
        <v/>
      </c>
      <c r="P290" s="25">
        <f>IF(D290="","",N(E290)*N(F290)+N(G290)*N(H290)+N(I290)*N(J290)+N(K290)*N(L290)+N(M290)*N(N290))</f>
        <v/>
      </c>
      <c r="Q290" s="18">
        <f>IF(N(X290)=0,"",IF(IF(N(F290)=0,0,IF(N(E290)&gt;0,E290*(1+F290/30),F290))=X290,IF(N(E290)&gt;0,E290&amp;" x "&amp;F290,F290&amp;" reps"),IF(IF(N(H290)=0,0,IF(N(G290)&gt;0,G290*(1+H290/30),H290))=X290,IF(N(G290)&gt;0,G290&amp;" x "&amp;H290,H290&amp;" reps"),IF(IF(N(J290)=0,0,IF(N(I290)&gt;0,I290*(1+J290/30),J290))=X290,IF(N(I290)&gt;0,I290&amp;" x "&amp;J290,J290&amp;" reps"),IF(IF(N(L290)=0,0,IF(N(K290)&gt;0,K290*(1+L290/30),L290))=X290,IF(N(K290)&gt;0,K290&amp;" x "&amp;L290,L290&amp;" reps"),IF(IF(N(N290)=0,0,IF(N(M290)&gt;0,M290*(1+N290/30),N290))=X290,IF(N(M290)&gt;0,M290&amp;" x "&amp;N290,N290&amp;" reps"),""))))))</f>
        <v/>
      </c>
      <c r="R290" s="20">
        <f>IF(N(X290)=0,"",ROUND(X290,1))</f>
        <v/>
      </c>
      <c r="S290" s="18">
        <f>IF(N(X290)=0,"",IF(AND(COUNTIFS(Log!$D$6:$D$1505,D290,Log!$B$6:$B$1505,"&lt;"&amp;B290)&gt;0,COUNTIFS(Log!$D$6:$D$1505,D290,Log!$B$6:$B$1505,"&lt;"&amp;B290,Log!$X$6:$X$1505,"&gt;="&amp;X290)=0),"New best",""))</f>
        <v/>
      </c>
      <c r="T290" s="26" t="n"/>
      <c r="U290" s="1">
        <f>IF(D290="","",IFERROR(INDEX(Exercises!$C$6:$C$105,MATCH(D290,Exercises!$B$6:$B$105,0)),"Other"))</f>
        <v/>
      </c>
      <c r="V290">
        <f>IF(B290="","",IF(COUNTIF($B$6:B290,B290)=1,1,0))</f>
        <v/>
      </c>
      <c r="W290">
        <f>IF(B290="","",B290-WEEKDAY(B290,3))</f>
        <v/>
      </c>
      <c r="X290">
        <f>IF(D290="","",MAX(IF(N(F290)=0,0,IF(N(E290)&gt;0,E290*(1+F290/30),F290)),IF(N(H290)=0,0,IF(N(G290)&gt;0,G290*(1+H290/30),H290)),IF(N(J290)=0,0,IF(N(I290)&gt;0,I290*(1+J290/30),J290)),IF(N(L290)=0,0,IF(N(K290)&gt;0,K290*(1+L290/30),L290)),IF(N(N290)=0,0,IF(N(M290)&gt;0,M290*(1+N290/30),N290))))</f>
        <v/>
      </c>
      <c r="Y290">
        <f>IF(N(X290)=0,"",X290+ROW()/1000000000)</f>
        <v/>
      </c>
      <c r="Z290">
        <f>IF(Y290="","",IF(COUNTIFS(Log!$D$6:$D$1505,D290,Log!$Y$6:$Y$1505,"&gt;"&amp;Y290)=0,1,0))</f>
        <v/>
      </c>
      <c r="AA290">
        <f>IF(OR(B290="",D290=""),"",B290+ROW()/10000000)</f>
        <v/>
      </c>
      <c r="AB290">
        <f>IF(AA290="","",IF(COUNTIFS(Log!$D$6:$D$1505,D290,Log!$AA$6:$AA$1505,"&gt;"&amp;AA290)=0,1,0))</f>
        <v/>
      </c>
      <c r="AC290">
        <f>IF(S290="New best",AA290,"")</f>
        <v/>
      </c>
      <c r="AD290">
        <f>ROW()</f>
        <v/>
      </c>
    </row>
    <row r="291">
      <c r="A291" s="1" t="n"/>
      <c r="B291" s="21" t="n">
        <v>46291</v>
      </c>
      <c r="C291" s="22" t="inlineStr">
        <is>
          <t>Lower</t>
        </is>
      </c>
      <c r="D291" s="23" t="inlineStr">
        <is>
          <t>Romanian deadlift</t>
        </is>
      </c>
      <c r="E291" s="24" t="n">
        <v>165</v>
      </c>
      <c r="F291" s="24" t="n">
        <v>10</v>
      </c>
      <c r="G291" s="24" t="n">
        <v>165</v>
      </c>
      <c r="H291" s="24" t="n">
        <v>9</v>
      </c>
      <c r="I291" s="24" t="n">
        <v>165</v>
      </c>
      <c r="J291" s="24" t="n">
        <v>8</v>
      </c>
      <c r="K291" s="24" t="n"/>
      <c r="L291" s="24" t="n"/>
      <c r="M291" s="24" t="n"/>
      <c r="N291" s="24" t="n"/>
      <c r="O291" s="15">
        <f>IF(D291="","",COUNT(F291,H291,J291,L291,N291))</f>
        <v/>
      </c>
      <c r="P291" s="25">
        <f>IF(D291="","",N(E291)*N(F291)+N(G291)*N(H291)+N(I291)*N(J291)+N(K291)*N(L291)+N(M291)*N(N291))</f>
        <v/>
      </c>
      <c r="Q291" s="18">
        <f>IF(N(X291)=0,"",IF(IF(N(F291)=0,0,IF(N(E291)&gt;0,E291*(1+F291/30),F291))=X291,IF(N(E291)&gt;0,E291&amp;" x "&amp;F291,F291&amp;" reps"),IF(IF(N(H291)=0,0,IF(N(G291)&gt;0,G291*(1+H291/30),H291))=X291,IF(N(G291)&gt;0,G291&amp;" x "&amp;H291,H291&amp;" reps"),IF(IF(N(J291)=0,0,IF(N(I291)&gt;0,I291*(1+J291/30),J291))=X291,IF(N(I291)&gt;0,I291&amp;" x "&amp;J291,J291&amp;" reps"),IF(IF(N(L291)=0,0,IF(N(K291)&gt;0,K291*(1+L291/30),L291))=X291,IF(N(K291)&gt;0,K291&amp;" x "&amp;L291,L291&amp;" reps"),IF(IF(N(N291)=0,0,IF(N(M291)&gt;0,M291*(1+N291/30),N291))=X291,IF(N(M291)&gt;0,M291&amp;" x "&amp;N291,N291&amp;" reps"),""))))))</f>
        <v/>
      </c>
      <c r="R291" s="20">
        <f>IF(N(X291)=0,"",ROUND(X291,1))</f>
        <v/>
      </c>
      <c r="S291" s="18">
        <f>IF(N(X291)=0,"",IF(AND(COUNTIFS(Log!$D$6:$D$1505,D291,Log!$B$6:$B$1505,"&lt;"&amp;B291)&gt;0,COUNTIFS(Log!$D$6:$D$1505,D291,Log!$B$6:$B$1505,"&lt;"&amp;B291,Log!$X$6:$X$1505,"&gt;="&amp;X291)=0),"New best",""))</f>
        <v/>
      </c>
      <c r="T291" s="26" t="inlineStr">
        <is>
          <t>Felt strong</t>
        </is>
      </c>
      <c r="U291" s="1">
        <f>IF(D291="","",IFERROR(INDEX(Exercises!$C$6:$C$105,MATCH(D291,Exercises!$B$6:$B$105,0)),"Other"))</f>
        <v/>
      </c>
      <c r="V291">
        <f>IF(B291="","",IF(COUNTIF($B$6:B291,B291)=1,1,0))</f>
        <v/>
      </c>
      <c r="W291">
        <f>IF(B291="","",B291-WEEKDAY(B291,3))</f>
        <v/>
      </c>
      <c r="X291">
        <f>IF(D291="","",MAX(IF(N(F291)=0,0,IF(N(E291)&gt;0,E291*(1+F291/30),F291)),IF(N(H291)=0,0,IF(N(G291)&gt;0,G291*(1+H291/30),H291)),IF(N(J291)=0,0,IF(N(I291)&gt;0,I291*(1+J291/30),J291)),IF(N(L291)=0,0,IF(N(K291)&gt;0,K291*(1+L291/30),L291)),IF(N(N291)=0,0,IF(N(M291)&gt;0,M291*(1+N291/30),N291))))</f>
        <v/>
      </c>
      <c r="Y291">
        <f>IF(N(X291)=0,"",X291+ROW()/1000000000)</f>
        <v/>
      </c>
      <c r="Z291">
        <f>IF(Y291="","",IF(COUNTIFS(Log!$D$6:$D$1505,D291,Log!$Y$6:$Y$1505,"&gt;"&amp;Y291)=0,1,0))</f>
        <v/>
      </c>
      <c r="AA291">
        <f>IF(OR(B291="",D291=""),"",B291+ROW()/10000000)</f>
        <v/>
      </c>
      <c r="AB291">
        <f>IF(AA291="","",IF(COUNTIFS(Log!$D$6:$D$1505,D291,Log!$AA$6:$AA$1505,"&gt;"&amp;AA291)=0,1,0))</f>
        <v/>
      </c>
      <c r="AC291">
        <f>IF(S291="New best",AA291,"")</f>
        <v/>
      </c>
      <c r="AD291">
        <f>ROW()</f>
        <v/>
      </c>
    </row>
    <row r="292">
      <c r="A292" s="1" t="n"/>
      <c r="B292" s="21" t="n">
        <v>46291</v>
      </c>
      <c r="C292" s="22" t="inlineStr">
        <is>
          <t>Lower</t>
        </is>
      </c>
      <c r="D292" s="23" t="inlineStr">
        <is>
          <t>Leg press</t>
        </is>
      </c>
      <c r="E292" s="24" t="n">
        <v>295</v>
      </c>
      <c r="F292" s="24" t="n">
        <v>14</v>
      </c>
      <c r="G292" s="24" t="n">
        <v>295</v>
      </c>
      <c r="H292" s="24" t="n">
        <v>13</v>
      </c>
      <c r="I292" s="24" t="n">
        <v>295</v>
      </c>
      <c r="J292" s="24" t="n">
        <v>13</v>
      </c>
      <c r="K292" s="24" t="n"/>
      <c r="L292" s="24" t="n"/>
      <c r="M292" s="24" t="n"/>
      <c r="N292" s="24" t="n"/>
      <c r="O292" s="15">
        <f>IF(D292="","",COUNT(F292,H292,J292,L292,N292))</f>
        <v/>
      </c>
      <c r="P292" s="25">
        <f>IF(D292="","",N(E292)*N(F292)+N(G292)*N(H292)+N(I292)*N(J292)+N(K292)*N(L292)+N(M292)*N(N292))</f>
        <v/>
      </c>
      <c r="Q292" s="18">
        <f>IF(N(X292)=0,"",IF(IF(N(F292)=0,0,IF(N(E292)&gt;0,E292*(1+F292/30),F292))=X292,IF(N(E292)&gt;0,E292&amp;" x "&amp;F292,F292&amp;" reps"),IF(IF(N(H292)=0,0,IF(N(G292)&gt;0,G292*(1+H292/30),H292))=X292,IF(N(G292)&gt;0,G292&amp;" x "&amp;H292,H292&amp;" reps"),IF(IF(N(J292)=0,0,IF(N(I292)&gt;0,I292*(1+J292/30),J292))=X292,IF(N(I292)&gt;0,I292&amp;" x "&amp;J292,J292&amp;" reps"),IF(IF(N(L292)=0,0,IF(N(K292)&gt;0,K292*(1+L292/30),L292))=X292,IF(N(K292)&gt;0,K292&amp;" x "&amp;L292,L292&amp;" reps"),IF(IF(N(N292)=0,0,IF(N(M292)&gt;0,M292*(1+N292/30),N292))=X292,IF(N(M292)&gt;0,M292&amp;" x "&amp;N292,N292&amp;" reps"),""))))))</f>
        <v/>
      </c>
      <c r="R292" s="20">
        <f>IF(N(X292)=0,"",ROUND(X292,1))</f>
        <v/>
      </c>
      <c r="S292" s="18">
        <f>IF(N(X292)=0,"",IF(AND(COUNTIFS(Log!$D$6:$D$1505,D292,Log!$B$6:$B$1505,"&lt;"&amp;B292)&gt;0,COUNTIFS(Log!$D$6:$D$1505,D292,Log!$B$6:$B$1505,"&lt;"&amp;B292,Log!$X$6:$X$1505,"&gt;="&amp;X292)=0),"New best",""))</f>
        <v/>
      </c>
      <c r="T292" s="26" t="inlineStr">
        <is>
          <t>Short on time</t>
        </is>
      </c>
      <c r="U292" s="1">
        <f>IF(D292="","",IFERROR(INDEX(Exercises!$C$6:$C$105,MATCH(D292,Exercises!$B$6:$B$105,0)),"Other"))</f>
        <v/>
      </c>
      <c r="V292">
        <f>IF(B292="","",IF(COUNTIF($B$6:B292,B292)=1,1,0))</f>
        <v/>
      </c>
      <c r="W292">
        <f>IF(B292="","",B292-WEEKDAY(B292,3))</f>
        <v/>
      </c>
      <c r="X292">
        <f>IF(D292="","",MAX(IF(N(F292)=0,0,IF(N(E292)&gt;0,E292*(1+F292/30),F292)),IF(N(H292)=0,0,IF(N(G292)&gt;0,G292*(1+H292/30),H292)),IF(N(J292)=0,0,IF(N(I292)&gt;0,I292*(1+J292/30),J292)),IF(N(L292)=0,0,IF(N(K292)&gt;0,K292*(1+L292/30),L292)),IF(N(N292)=0,0,IF(N(M292)&gt;0,M292*(1+N292/30),N292))))</f>
        <v/>
      </c>
      <c r="Y292">
        <f>IF(N(X292)=0,"",X292+ROW()/1000000000)</f>
        <v/>
      </c>
      <c r="Z292">
        <f>IF(Y292="","",IF(COUNTIFS(Log!$D$6:$D$1505,D292,Log!$Y$6:$Y$1505,"&gt;"&amp;Y292)=0,1,0))</f>
        <v/>
      </c>
      <c r="AA292">
        <f>IF(OR(B292="",D292=""),"",B292+ROW()/10000000)</f>
        <v/>
      </c>
      <c r="AB292">
        <f>IF(AA292="","",IF(COUNTIFS(Log!$D$6:$D$1505,D292,Log!$AA$6:$AA$1505,"&gt;"&amp;AA292)=0,1,0))</f>
        <v/>
      </c>
      <c r="AC292">
        <f>IF(S292="New best",AA292,"")</f>
        <v/>
      </c>
      <c r="AD292">
        <f>ROW()</f>
        <v/>
      </c>
    </row>
    <row r="293">
      <c r="A293" s="1" t="n"/>
      <c r="B293" s="21" t="n">
        <v>46291</v>
      </c>
      <c r="C293" s="22" t="inlineStr">
        <is>
          <t>Lower</t>
        </is>
      </c>
      <c r="D293" s="23" t="inlineStr">
        <is>
          <t>Calf raise</t>
        </is>
      </c>
      <c r="E293" s="24" t="n">
        <v>110</v>
      </c>
      <c r="F293" s="24" t="n">
        <v>15</v>
      </c>
      <c r="G293" s="24" t="n">
        <v>110</v>
      </c>
      <c r="H293" s="24" t="n">
        <v>15</v>
      </c>
      <c r="I293" s="24" t="n">
        <v>110</v>
      </c>
      <c r="J293" s="24" t="n">
        <v>15</v>
      </c>
      <c r="K293" s="24" t="n"/>
      <c r="L293" s="24" t="n"/>
      <c r="M293" s="24" t="n"/>
      <c r="N293" s="24" t="n"/>
      <c r="O293" s="15">
        <f>IF(D293="","",COUNT(F293,H293,J293,L293,N293))</f>
        <v/>
      </c>
      <c r="P293" s="25">
        <f>IF(D293="","",N(E293)*N(F293)+N(G293)*N(H293)+N(I293)*N(J293)+N(K293)*N(L293)+N(M293)*N(N293))</f>
        <v/>
      </c>
      <c r="Q293" s="18">
        <f>IF(N(X293)=0,"",IF(IF(N(F293)=0,0,IF(N(E293)&gt;0,E293*(1+F293/30),F293))=X293,IF(N(E293)&gt;0,E293&amp;" x "&amp;F293,F293&amp;" reps"),IF(IF(N(H293)=0,0,IF(N(G293)&gt;0,G293*(1+H293/30),H293))=X293,IF(N(G293)&gt;0,G293&amp;" x "&amp;H293,H293&amp;" reps"),IF(IF(N(J293)=0,0,IF(N(I293)&gt;0,I293*(1+J293/30),J293))=X293,IF(N(I293)&gt;0,I293&amp;" x "&amp;J293,J293&amp;" reps"),IF(IF(N(L293)=0,0,IF(N(K293)&gt;0,K293*(1+L293/30),L293))=X293,IF(N(K293)&gt;0,K293&amp;" x "&amp;L293,L293&amp;" reps"),IF(IF(N(N293)=0,0,IF(N(M293)&gt;0,M293*(1+N293/30),N293))=X293,IF(N(M293)&gt;0,M293&amp;" x "&amp;N293,N293&amp;" reps"),""))))))</f>
        <v/>
      </c>
      <c r="R293" s="20">
        <f>IF(N(X293)=0,"",ROUND(X293,1))</f>
        <v/>
      </c>
      <c r="S293" s="18">
        <f>IF(N(X293)=0,"",IF(AND(COUNTIFS(Log!$D$6:$D$1505,D293,Log!$B$6:$B$1505,"&lt;"&amp;B293)&gt;0,COUNTIFS(Log!$D$6:$D$1505,D293,Log!$B$6:$B$1505,"&lt;"&amp;B293,Log!$X$6:$X$1505,"&gt;="&amp;X293)=0),"New best",""))</f>
        <v/>
      </c>
      <c r="T293" s="26" t="n"/>
      <c r="U293" s="1">
        <f>IF(D293="","",IFERROR(INDEX(Exercises!$C$6:$C$105,MATCH(D293,Exercises!$B$6:$B$105,0)),"Other"))</f>
        <v/>
      </c>
      <c r="V293">
        <f>IF(B293="","",IF(COUNTIF($B$6:B293,B293)=1,1,0))</f>
        <v/>
      </c>
      <c r="W293">
        <f>IF(B293="","",B293-WEEKDAY(B293,3))</f>
        <v/>
      </c>
      <c r="X293">
        <f>IF(D293="","",MAX(IF(N(F293)=0,0,IF(N(E293)&gt;0,E293*(1+F293/30),F293)),IF(N(H293)=0,0,IF(N(G293)&gt;0,G293*(1+H293/30),H293)),IF(N(J293)=0,0,IF(N(I293)&gt;0,I293*(1+J293/30),J293)),IF(N(L293)=0,0,IF(N(K293)&gt;0,K293*(1+L293/30),L293)),IF(N(N293)=0,0,IF(N(M293)&gt;0,M293*(1+N293/30),N293))))</f>
        <v/>
      </c>
      <c r="Y293">
        <f>IF(N(X293)=0,"",X293+ROW()/1000000000)</f>
        <v/>
      </c>
      <c r="Z293">
        <f>IF(Y293="","",IF(COUNTIFS(Log!$D$6:$D$1505,D293,Log!$Y$6:$Y$1505,"&gt;"&amp;Y293)=0,1,0))</f>
        <v/>
      </c>
      <c r="AA293">
        <f>IF(OR(B293="",D293=""),"",B293+ROW()/10000000)</f>
        <v/>
      </c>
      <c r="AB293">
        <f>IF(AA293="","",IF(COUNTIFS(Log!$D$6:$D$1505,D293,Log!$AA$6:$AA$1505,"&gt;"&amp;AA293)=0,1,0))</f>
        <v/>
      </c>
      <c r="AC293">
        <f>IF(S293="New best",AA293,"")</f>
        <v/>
      </c>
      <c r="AD293">
        <f>ROW()</f>
        <v/>
      </c>
    </row>
    <row r="294">
      <c r="A294" s="1" t="n"/>
      <c r="B294" s="21" t="n">
        <v>46293</v>
      </c>
      <c r="C294" s="22" t="inlineStr">
        <is>
          <t>Push</t>
        </is>
      </c>
      <c r="D294" s="23" t="inlineStr">
        <is>
          <t>Bench press</t>
        </is>
      </c>
      <c r="E294" s="24" t="n">
        <v>155</v>
      </c>
      <c r="F294" s="24" t="n">
        <v>8</v>
      </c>
      <c r="G294" s="24" t="n">
        <v>155</v>
      </c>
      <c r="H294" s="24" t="n">
        <v>7</v>
      </c>
      <c r="I294" s="24" t="n">
        <v>155</v>
      </c>
      <c r="J294" s="24" t="n">
        <v>6</v>
      </c>
      <c r="K294" s="24" t="n">
        <v>155</v>
      </c>
      <c r="L294" s="24" t="n">
        <v>6</v>
      </c>
      <c r="M294" s="24" t="n"/>
      <c r="N294" s="24" t="n"/>
      <c r="O294" s="15">
        <f>IF(D294="","",COUNT(F294,H294,J294,L294,N294))</f>
        <v/>
      </c>
      <c r="P294" s="25">
        <f>IF(D294="","",N(E294)*N(F294)+N(G294)*N(H294)+N(I294)*N(J294)+N(K294)*N(L294)+N(M294)*N(N294))</f>
        <v/>
      </c>
      <c r="Q294" s="18">
        <f>IF(N(X294)=0,"",IF(IF(N(F294)=0,0,IF(N(E294)&gt;0,E294*(1+F294/30),F294))=X294,IF(N(E294)&gt;0,E294&amp;" x "&amp;F294,F294&amp;" reps"),IF(IF(N(H294)=0,0,IF(N(G294)&gt;0,G294*(1+H294/30),H294))=X294,IF(N(G294)&gt;0,G294&amp;" x "&amp;H294,H294&amp;" reps"),IF(IF(N(J294)=0,0,IF(N(I294)&gt;0,I294*(1+J294/30),J294))=X294,IF(N(I294)&gt;0,I294&amp;" x "&amp;J294,J294&amp;" reps"),IF(IF(N(L294)=0,0,IF(N(K294)&gt;0,K294*(1+L294/30),L294))=X294,IF(N(K294)&gt;0,K294&amp;" x "&amp;L294,L294&amp;" reps"),IF(IF(N(N294)=0,0,IF(N(M294)&gt;0,M294*(1+N294/30),N294))=X294,IF(N(M294)&gt;0,M294&amp;" x "&amp;N294,N294&amp;" reps"),""))))))</f>
        <v/>
      </c>
      <c r="R294" s="20">
        <f>IF(N(X294)=0,"",ROUND(X294,1))</f>
        <v/>
      </c>
      <c r="S294" s="18">
        <f>IF(N(X294)=0,"",IF(AND(COUNTIFS(Log!$D$6:$D$1505,D294,Log!$B$6:$B$1505,"&lt;"&amp;B294)&gt;0,COUNTIFS(Log!$D$6:$D$1505,D294,Log!$B$6:$B$1505,"&lt;"&amp;B294,Log!$X$6:$X$1505,"&gt;="&amp;X294)=0),"New best",""))</f>
        <v/>
      </c>
      <c r="T294" s="26" t="inlineStr">
        <is>
          <t>Short on time</t>
        </is>
      </c>
      <c r="U294" s="1">
        <f>IF(D294="","",IFERROR(INDEX(Exercises!$C$6:$C$105,MATCH(D294,Exercises!$B$6:$B$105,0)),"Other"))</f>
        <v/>
      </c>
      <c r="V294">
        <f>IF(B294="","",IF(COUNTIF($B$6:B294,B294)=1,1,0))</f>
        <v/>
      </c>
      <c r="W294">
        <f>IF(B294="","",B294-WEEKDAY(B294,3))</f>
        <v/>
      </c>
      <c r="X294">
        <f>IF(D294="","",MAX(IF(N(F294)=0,0,IF(N(E294)&gt;0,E294*(1+F294/30),F294)),IF(N(H294)=0,0,IF(N(G294)&gt;0,G294*(1+H294/30),H294)),IF(N(J294)=0,0,IF(N(I294)&gt;0,I294*(1+J294/30),J294)),IF(N(L294)=0,0,IF(N(K294)&gt;0,K294*(1+L294/30),L294)),IF(N(N294)=0,0,IF(N(M294)&gt;0,M294*(1+N294/30),N294))))</f>
        <v/>
      </c>
      <c r="Y294">
        <f>IF(N(X294)=0,"",X294+ROW()/1000000000)</f>
        <v/>
      </c>
      <c r="Z294">
        <f>IF(Y294="","",IF(COUNTIFS(Log!$D$6:$D$1505,D294,Log!$Y$6:$Y$1505,"&gt;"&amp;Y294)=0,1,0))</f>
        <v/>
      </c>
      <c r="AA294">
        <f>IF(OR(B294="",D294=""),"",B294+ROW()/10000000)</f>
        <v/>
      </c>
      <c r="AB294">
        <f>IF(AA294="","",IF(COUNTIFS(Log!$D$6:$D$1505,D294,Log!$AA$6:$AA$1505,"&gt;"&amp;AA294)=0,1,0))</f>
        <v/>
      </c>
      <c r="AC294">
        <f>IF(S294="New best",AA294,"")</f>
        <v/>
      </c>
      <c r="AD294">
        <f>ROW()</f>
        <v/>
      </c>
    </row>
    <row r="295">
      <c r="A295" s="1" t="n"/>
      <c r="B295" s="21" t="n">
        <v>46293</v>
      </c>
      <c r="C295" s="22" t="inlineStr">
        <is>
          <t>Push</t>
        </is>
      </c>
      <c r="D295" s="23" t="inlineStr">
        <is>
          <t>Overhead press</t>
        </is>
      </c>
      <c r="E295" s="24" t="n">
        <v>105</v>
      </c>
      <c r="F295" s="24" t="n">
        <v>9</v>
      </c>
      <c r="G295" s="24" t="n">
        <v>105</v>
      </c>
      <c r="H295" s="24" t="n">
        <v>8</v>
      </c>
      <c r="I295" s="24" t="n">
        <v>105</v>
      </c>
      <c r="J295" s="24" t="n">
        <v>8</v>
      </c>
      <c r="K295" s="24" t="n"/>
      <c r="L295" s="24" t="n"/>
      <c r="M295" s="24" t="n"/>
      <c r="N295" s="24" t="n"/>
      <c r="O295" s="15">
        <f>IF(D295="","",COUNT(F295,H295,J295,L295,N295))</f>
        <v/>
      </c>
      <c r="P295" s="25">
        <f>IF(D295="","",N(E295)*N(F295)+N(G295)*N(H295)+N(I295)*N(J295)+N(K295)*N(L295)+N(M295)*N(N295))</f>
        <v/>
      </c>
      <c r="Q295" s="18">
        <f>IF(N(X295)=0,"",IF(IF(N(F295)=0,0,IF(N(E295)&gt;0,E295*(1+F295/30),F295))=X295,IF(N(E295)&gt;0,E295&amp;" x "&amp;F295,F295&amp;" reps"),IF(IF(N(H295)=0,0,IF(N(G295)&gt;0,G295*(1+H295/30),H295))=X295,IF(N(G295)&gt;0,G295&amp;" x "&amp;H295,H295&amp;" reps"),IF(IF(N(J295)=0,0,IF(N(I295)&gt;0,I295*(1+J295/30),J295))=X295,IF(N(I295)&gt;0,I295&amp;" x "&amp;J295,J295&amp;" reps"),IF(IF(N(L295)=0,0,IF(N(K295)&gt;0,K295*(1+L295/30),L295))=X295,IF(N(K295)&gt;0,K295&amp;" x "&amp;L295,L295&amp;" reps"),IF(IF(N(N295)=0,0,IF(N(M295)&gt;0,M295*(1+N295/30),N295))=X295,IF(N(M295)&gt;0,M295&amp;" x "&amp;N295,N295&amp;" reps"),""))))))</f>
        <v/>
      </c>
      <c r="R295" s="20">
        <f>IF(N(X295)=0,"",ROUND(X295,1))</f>
        <v/>
      </c>
      <c r="S295" s="18">
        <f>IF(N(X295)=0,"",IF(AND(COUNTIFS(Log!$D$6:$D$1505,D295,Log!$B$6:$B$1505,"&lt;"&amp;B295)&gt;0,COUNTIFS(Log!$D$6:$D$1505,D295,Log!$B$6:$B$1505,"&lt;"&amp;B295,Log!$X$6:$X$1505,"&gt;="&amp;X295)=0),"New best",""))</f>
        <v/>
      </c>
      <c r="T295" s="26" t="n"/>
      <c r="U295" s="1">
        <f>IF(D295="","",IFERROR(INDEX(Exercises!$C$6:$C$105,MATCH(D295,Exercises!$B$6:$B$105,0)),"Other"))</f>
        <v/>
      </c>
      <c r="V295">
        <f>IF(B295="","",IF(COUNTIF($B$6:B295,B295)=1,1,0))</f>
        <v/>
      </c>
      <c r="W295">
        <f>IF(B295="","",B295-WEEKDAY(B295,3))</f>
        <v/>
      </c>
      <c r="X295">
        <f>IF(D295="","",MAX(IF(N(F295)=0,0,IF(N(E295)&gt;0,E295*(1+F295/30),F295)),IF(N(H295)=0,0,IF(N(G295)&gt;0,G295*(1+H295/30),H295)),IF(N(J295)=0,0,IF(N(I295)&gt;0,I295*(1+J295/30),J295)),IF(N(L295)=0,0,IF(N(K295)&gt;0,K295*(1+L295/30),L295)),IF(N(N295)=0,0,IF(N(M295)&gt;0,M295*(1+N295/30),N295))))</f>
        <v/>
      </c>
      <c r="Y295">
        <f>IF(N(X295)=0,"",X295+ROW()/1000000000)</f>
        <v/>
      </c>
      <c r="Z295">
        <f>IF(Y295="","",IF(COUNTIFS(Log!$D$6:$D$1505,D295,Log!$Y$6:$Y$1505,"&gt;"&amp;Y295)=0,1,0))</f>
        <v/>
      </c>
      <c r="AA295">
        <f>IF(OR(B295="",D295=""),"",B295+ROW()/10000000)</f>
        <v/>
      </c>
      <c r="AB295">
        <f>IF(AA295="","",IF(COUNTIFS(Log!$D$6:$D$1505,D295,Log!$AA$6:$AA$1505,"&gt;"&amp;AA295)=0,1,0))</f>
        <v/>
      </c>
      <c r="AC295">
        <f>IF(S295="New best",AA295,"")</f>
        <v/>
      </c>
      <c r="AD295">
        <f>ROW()</f>
        <v/>
      </c>
    </row>
    <row r="296">
      <c r="A296" s="1" t="n"/>
      <c r="B296" s="21" t="n">
        <v>46293</v>
      </c>
      <c r="C296" s="22" t="inlineStr">
        <is>
          <t>Push</t>
        </is>
      </c>
      <c r="D296" s="23" t="inlineStr">
        <is>
          <t>Incline dumbbell press</t>
        </is>
      </c>
      <c r="E296" s="24" t="n">
        <v>65</v>
      </c>
      <c r="F296" s="24" t="n">
        <v>11</v>
      </c>
      <c r="G296" s="24" t="n">
        <v>65</v>
      </c>
      <c r="H296" s="24" t="n">
        <v>11</v>
      </c>
      <c r="I296" s="24" t="n">
        <v>65</v>
      </c>
      <c r="J296" s="24" t="n">
        <v>9</v>
      </c>
      <c r="K296" s="24" t="n"/>
      <c r="L296" s="24" t="n"/>
      <c r="M296" s="24" t="n"/>
      <c r="N296" s="24" t="n"/>
      <c r="O296" s="15">
        <f>IF(D296="","",COUNT(F296,H296,J296,L296,N296))</f>
        <v/>
      </c>
      <c r="P296" s="25">
        <f>IF(D296="","",N(E296)*N(F296)+N(G296)*N(H296)+N(I296)*N(J296)+N(K296)*N(L296)+N(M296)*N(N296))</f>
        <v/>
      </c>
      <c r="Q296" s="18">
        <f>IF(N(X296)=0,"",IF(IF(N(F296)=0,0,IF(N(E296)&gt;0,E296*(1+F296/30),F296))=X296,IF(N(E296)&gt;0,E296&amp;" x "&amp;F296,F296&amp;" reps"),IF(IF(N(H296)=0,0,IF(N(G296)&gt;0,G296*(1+H296/30),H296))=X296,IF(N(G296)&gt;0,G296&amp;" x "&amp;H296,H296&amp;" reps"),IF(IF(N(J296)=0,0,IF(N(I296)&gt;0,I296*(1+J296/30),J296))=X296,IF(N(I296)&gt;0,I296&amp;" x "&amp;J296,J296&amp;" reps"),IF(IF(N(L296)=0,0,IF(N(K296)&gt;0,K296*(1+L296/30),L296))=X296,IF(N(K296)&gt;0,K296&amp;" x "&amp;L296,L296&amp;" reps"),IF(IF(N(N296)=0,0,IF(N(M296)&gt;0,M296*(1+N296/30),N296))=X296,IF(N(M296)&gt;0,M296&amp;" x "&amp;N296,N296&amp;" reps"),""))))))</f>
        <v/>
      </c>
      <c r="R296" s="20">
        <f>IF(N(X296)=0,"",ROUND(X296,1))</f>
        <v/>
      </c>
      <c r="S296" s="18">
        <f>IF(N(X296)=0,"",IF(AND(COUNTIFS(Log!$D$6:$D$1505,D296,Log!$B$6:$B$1505,"&lt;"&amp;B296)&gt;0,COUNTIFS(Log!$D$6:$D$1505,D296,Log!$B$6:$B$1505,"&lt;"&amp;B296,Log!$X$6:$X$1505,"&gt;="&amp;X296)=0),"New best",""))</f>
        <v/>
      </c>
      <c r="T296" s="26" t="n"/>
      <c r="U296" s="1">
        <f>IF(D296="","",IFERROR(INDEX(Exercises!$C$6:$C$105,MATCH(D296,Exercises!$B$6:$B$105,0)),"Other"))</f>
        <v/>
      </c>
      <c r="V296">
        <f>IF(B296="","",IF(COUNTIF($B$6:B296,B296)=1,1,0))</f>
        <v/>
      </c>
      <c r="W296">
        <f>IF(B296="","",B296-WEEKDAY(B296,3))</f>
        <v/>
      </c>
      <c r="X296">
        <f>IF(D296="","",MAX(IF(N(F296)=0,0,IF(N(E296)&gt;0,E296*(1+F296/30),F296)),IF(N(H296)=0,0,IF(N(G296)&gt;0,G296*(1+H296/30),H296)),IF(N(J296)=0,0,IF(N(I296)&gt;0,I296*(1+J296/30),J296)),IF(N(L296)=0,0,IF(N(K296)&gt;0,K296*(1+L296/30),L296)),IF(N(N296)=0,0,IF(N(M296)&gt;0,M296*(1+N296/30),N296))))</f>
        <v/>
      </c>
      <c r="Y296">
        <f>IF(N(X296)=0,"",X296+ROW()/1000000000)</f>
        <v/>
      </c>
      <c r="Z296">
        <f>IF(Y296="","",IF(COUNTIFS(Log!$D$6:$D$1505,D296,Log!$Y$6:$Y$1505,"&gt;"&amp;Y296)=0,1,0))</f>
        <v/>
      </c>
      <c r="AA296">
        <f>IF(OR(B296="",D296=""),"",B296+ROW()/10000000)</f>
        <v/>
      </c>
      <c r="AB296">
        <f>IF(AA296="","",IF(COUNTIFS(Log!$D$6:$D$1505,D296,Log!$AA$6:$AA$1505,"&gt;"&amp;AA296)=0,1,0))</f>
        <v/>
      </c>
      <c r="AC296">
        <f>IF(S296="New best",AA296,"")</f>
        <v/>
      </c>
      <c r="AD296">
        <f>ROW()</f>
        <v/>
      </c>
    </row>
    <row r="297">
      <c r="A297" s="1" t="n"/>
      <c r="B297" s="21" t="n">
        <v>46293</v>
      </c>
      <c r="C297" s="22" t="inlineStr">
        <is>
          <t>Push</t>
        </is>
      </c>
      <c r="D297" s="23" t="inlineStr">
        <is>
          <t>Lateral raise</t>
        </is>
      </c>
      <c r="E297" s="24" t="n">
        <v>25</v>
      </c>
      <c r="F297" s="24" t="n">
        <v>14</v>
      </c>
      <c r="G297" s="24" t="n">
        <v>25</v>
      </c>
      <c r="H297" s="24" t="n">
        <v>13</v>
      </c>
      <c r="I297" s="24" t="n">
        <v>25</v>
      </c>
      <c r="J297" s="24" t="n">
        <v>13</v>
      </c>
      <c r="K297" s="24" t="n"/>
      <c r="L297" s="24" t="n"/>
      <c r="M297" s="24" t="n"/>
      <c r="N297" s="24" t="n"/>
      <c r="O297" s="15">
        <f>IF(D297="","",COUNT(F297,H297,J297,L297,N297))</f>
        <v/>
      </c>
      <c r="P297" s="25">
        <f>IF(D297="","",N(E297)*N(F297)+N(G297)*N(H297)+N(I297)*N(J297)+N(K297)*N(L297)+N(M297)*N(N297))</f>
        <v/>
      </c>
      <c r="Q297" s="18">
        <f>IF(N(X297)=0,"",IF(IF(N(F297)=0,0,IF(N(E297)&gt;0,E297*(1+F297/30),F297))=X297,IF(N(E297)&gt;0,E297&amp;" x "&amp;F297,F297&amp;" reps"),IF(IF(N(H297)=0,0,IF(N(G297)&gt;0,G297*(1+H297/30),H297))=X297,IF(N(G297)&gt;0,G297&amp;" x "&amp;H297,H297&amp;" reps"),IF(IF(N(J297)=0,0,IF(N(I297)&gt;0,I297*(1+J297/30),J297))=X297,IF(N(I297)&gt;0,I297&amp;" x "&amp;J297,J297&amp;" reps"),IF(IF(N(L297)=0,0,IF(N(K297)&gt;0,K297*(1+L297/30),L297))=X297,IF(N(K297)&gt;0,K297&amp;" x "&amp;L297,L297&amp;" reps"),IF(IF(N(N297)=0,0,IF(N(M297)&gt;0,M297*(1+N297/30),N297))=X297,IF(N(M297)&gt;0,M297&amp;" x "&amp;N297,N297&amp;" reps"),""))))))</f>
        <v/>
      </c>
      <c r="R297" s="20">
        <f>IF(N(X297)=0,"",ROUND(X297,1))</f>
        <v/>
      </c>
      <c r="S297" s="18">
        <f>IF(N(X297)=0,"",IF(AND(COUNTIFS(Log!$D$6:$D$1505,D297,Log!$B$6:$B$1505,"&lt;"&amp;B297)&gt;0,COUNTIFS(Log!$D$6:$D$1505,D297,Log!$B$6:$B$1505,"&lt;"&amp;B297,Log!$X$6:$X$1505,"&gt;="&amp;X297)=0),"New best",""))</f>
        <v/>
      </c>
      <c r="T297" s="26" t="n"/>
      <c r="U297" s="1">
        <f>IF(D297="","",IFERROR(INDEX(Exercises!$C$6:$C$105,MATCH(D297,Exercises!$B$6:$B$105,0)),"Other"))</f>
        <v/>
      </c>
      <c r="V297">
        <f>IF(B297="","",IF(COUNTIF($B$6:B297,B297)=1,1,0))</f>
        <v/>
      </c>
      <c r="W297">
        <f>IF(B297="","",B297-WEEKDAY(B297,3))</f>
        <v/>
      </c>
      <c r="X297">
        <f>IF(D297="","",MAX(IF(N(F297)=0,0,IF(N(E297)&gt;0,E297*(1+F297/30),F297)),IF(N(H297)=0,0,IF(N(G297)&gt;0,G297*(1+H297/30),H297)),IF(N(J297)=0,0,IF(N(I297)&gt;0,I297*(1+J297/30),J297)),IF(N(L297)=0,0,IF(N(K297)&gt;0,K297*(1+L297/30),L297)),IF(N(N297)=0,0,IF(N(M297)&gt;0,M297*(1+N297/30),N297))))</f>
        <v/>
      </c>
      <c r="Y297">
        <f>IF(N(X297)=0,"",X297+ROW()/1000000000)</f>
        <v/>
      </c>
      <c r="Z297">
        <f>IF(Y297="","",IF(COUNTIFS(Log!$D$6:$D$1505,D297,Log!$Y$6:$Y$1505,"&gt;"&amp;Y297)=0,1,0))</f>
        <v/>
      </c>
      <c r="AA297">
        <f>IF(OR(B297="",D297=""),"",B297+ROW()/10000000)</f>
        <v/>
      </c>
      <c r="AB297">
        <f>IF(AA297="","",IF(COUNTIFS(Log!$D$6:$D$1505,D297,Log!$AA$6:$AA$1505,"&gt;"&amp;AA297)=0,1,0))</f>
        <v/>
      </c>
      <c r="AC297">
        <f>IF(S297="New best",AA297,"")</f>
        <v/>
      </c>
      <c r="AD297">
        <f>ROW()</f>
        <v/>
      </c>
    </row>
    <row r="298">
      <c r="A298" s="1" t="n"/>
      <c r="B298" s="21" t="n">
        <v>46293</v>
      </c>
      <c r="C298" s="22" t="inlineStr">
        <is>
          <t>Push</t>
        </is>
      </c>
      <c r="D298" s="23" t="inlineStr">
        <is>
          <t>Triceps pushdown</t>
        </is>
      </c>
      <c r="E298" s="24" t="n">
        <v>60</v>
      </c>
      <c r="F298" s="24" t="n">
        <v>12</v>
      </c>
      <c r="G298" s="24" t="n">
        <v>60</v>
      </c>
      <c r="H298" s="24" t="n">
        <v>11</v>
      </c>
      <c r="I298" s="24" t="n">
        <v>60</v>
      </c>
      <c r="J298" s="24" t="n">
        <v>10</v>
      </c>
      <c r="K298" s="24" t="n"/>
      <c r="L298" s="24" t="n"/>
      <c r="M298" s="24" t="n"/>
      <c r="N298" s="24" t="n"/>
      <c r="O298" s="15">
        <f>IF(D298="","",COUNT(F298,H298,J298,L298,N298))</f>
        <v/>
      </c>
      <c r="P298" s="25">
        <f>IF(D298="","",N(E298)*N(F298)+N(G298)*N(H298)+N(I298)*N(J298)+N(K298)*N(L298)+N(M298)*N(N298))</f>
        <v/>
      </c>
      <c r="Q298" s="18">
        <f>IF(N(X298)=0,"",IF(IF(N(F298)=0,0,IF(N(E298)&gt;0,E298*(1+F298/30),F298))=X298,IF(N(E298)&gt;0,E298&amp;" x "&amp;F298,F298&amp;" reps"),IF(IF(N(H298)=0,0,IF(N(G298)&gt;0,G298*(1+H298/30),H298))=X298,IF(N(G298)&gt;0,G298&amp;" x "&amp;H298,H298&amp;" reps"),IF(IF(N(J298)=0,0,IF(N(I298)&gt;0,I298*(1+J298/30),J298))=X298,IF(N(I298)&gt;0,I298&amp;" x "&amp;J298,J298&amp;" reps"),IF(IF(N(L298)=0,0,IF(N(K298)&gt;0,K298*(1+L298/30),L298))=X298,IF(N(K298)&gt;0,K298&amp;" x "&amp;L298,L298&amp;" reps"),IF(IF(N(N298)=0,0,IF(N(M298)&gt;0,M298*(1+N298/30),N298))=X298,IF(N(M298)&gt;0,M298&amp;" x "&amp;N298,N298&amp;" reps"),""))))))</f>
        <v/>
      </c>
      <c r="R298" s="20">
        <f>IF(N(X298)=0,"",ROUND(X298,1))</f>
        <v/>
      </c>
      <c r="S298" s="18">
        <f>IF(N(X298)=0,"",IF(AND(COUNTIFS(Log!$D$6:$D$1505,D298,Log!$B$6:$B$1505,"&lt;"&amp;B298)&gt;0,COUNTIFS(Log!$D$6:$D$1505,D298,Log!$B$6:$B$1505,"&lt;"&amp;B298,Log!$X$6:$X$1505,"&gt;="&amp;X298)=0),"New best",""))</f>
        <v/>
      </c>
      <c r="T298" s="26" t="inlineStr">
        <is>
          <t>Short on time</t>
        </is>
      </c>
      <c r="U298" s="1">
        <f>IF(D298="","",IFERROR(INDEX(Exercises!$C$6:$C$105,MATCH(D298,Exercises!$B$6:$B$105,0)),"Other"))</f>
        <v/>
      </c>
      <c r="V298">
        <f>IF(B298="","",IF(COUNTIF($B$6:B298,B298)=1,1,0))</f>
        <v/>
      </c>
      <c r="W298">
        <f>IF(B298="","",B298-WEEKDAY(B298,3))</f>
        <v/>
      </c>
      <c r="X298">
        <f>IF(D298="","",MAX(IF(N(F298)=0,0,IF(N(E298)&gt;0,E298*(1+F298/30),F298)),IF(N(H298)=0,0,IF(N(G298)&gt;0,G298*(1+H298/30),H298)),IF(N(J298)=0,0,IF(N(I298)&gt;0,I298*(1+J298/30),J298)),IF(N(L298)=0,0,IF(N(K298)&gt;0,K298*(1+L298/30),L298)),IF(N(N298)=0,0,IF(N(M298)&gt;0,M298*(1+N298/30),N298))))</f>
        <v/>
      </c>
      <c r="Y298">
        <f>IF(N(X298)=0,"",X298+ROW()/1000000000)</f>
        <v/>
      </c>
      <c r="Z298">
        <f>IF(Y298="","",IF(COUNTIFS(Log!$D$6:$D$1505,D298,Log!$Y$6:$Y$1505,"&gt;"&amp;Y298)=0,1,0))</f>
        <v/>
      </c>
      <c r="AA298">
        <f>IF(OR(B298="",D298=""),"",B298+ROW()/10000000)</f>
        <v/>
      </c>
      <c r="AB298">
        <f>IF(AA298="","",IF(COUNTIFS(Log!$D$6:$D$1505,D298,Log!$AA$6:$AA$1505,"&gt;"&amp;AA298)=0,1,0))</f>
        <v/>
      </c>
      <c r="AC298">
        <f>IF(S298="New best",AA298,"")</f>
        <v/>
      </c>
      <c r="AD298">
        <f>ROW()</f>
        <v/>
      </c>
    </row>
    <row r="299">
      <c r="A299" s="1" t="n"/>
      <c r="B299" s="21" t="n"/>
      <c r="C299" s="22" t="n"/>
      <c r="D299" s="23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15">
        <f>IF(D299="","",COUNT(F299,H299,J299,L299,N299))</f>
        <v/>
      </c>
      <c r="P299" s="25">
        <f>IF(D299="","",N(E299)*N(F299)+N(G299)*N(H299)+N(I299)*N(J299)+N(K299)*N(L299)+N(M299)*N(N299))</f>
        <v/>
      </c>
      <c r="Q299" s="18">
        <f>IF(N(X299)=0,"",IF(IF(N(F299)=0,0,IF(N(E299)&gt;0,E299*(1+F299/30),F299))=X299,IF(N(E299)&gt;0,E299&amp;" x "&amp;F299,F299&amp;" reps"),IF(IF(N(H299)=0,0,IF(N(G299)&gt;0,G299*(1+H299/30),H299))=X299,IF(N(G299)&gt;0,G299&amp;" x "&amp;H299,H299&amp;" reps"),IF(IF(N(J299)=0,0,IF(N(I299)&gt;0,I299*(1+J299/30),J299))=X299,IF(N(I299)&gt;0,I299&amp;" x "&amp;J299,J299&amp;" reps"),IF(IF(N(L299)=0,0,IF(N(K299)&gt;0,K299*(1+L299/30),L299))=X299,IF(N(K299)&gt;0,K299&amp;" x "&amp;L299,L299&amp;" reps"),IF(IF(N(N299)=0,0,IF(N(M299)&gt;0,M299*(1+N299/30),N299))=X299,IF(N(M299)&gt;0,M299&amp;" x "&amp;N299,N299&amp;" reps"),""))))))</f>
        <v/>
      </c>
      <c r="R299" s="20">
        <f>IF(N(X299)=0,"",ROUND(X299,1))</f>
        <v/>
      </c>
      <c r="S299" s="18">
        <f>IF(N(X299)=0,"",IF(AND(COUNTIFS(Log!$D$6:$D$1505,D299,Log!$B$6:$B$1505,"&lt;"&amp;B299)&gt;0,COUNTIFS(Log!$D$6:$D$1505,D299,Log!$B$6:$B$1505,"&lt;"&amp;B299,Log!$X$6:$X$1505,"&gt;="&amp;X299)=0),"New best",""))</f>
        <v/>
      </c>
      <c r="T299" s="26" t="n"/>
      <c r="U299" s="1">
        <f>IF(D299="","",IFERROR(INDEX(Exercises!$C$6:$C$105,MATCH(D299,Exercises!$B$6:$B$105,0)),"Other"))</f>
        <v/>
      </c>
      <c r="V299">
        <f>IF(B299="","",IF(COUNTIF($B$6:B299,B299)=1,1,0))</f>
        <v/>
      </c>
      <c r="W299">
        <f>IF(B299="","",B299-WEEKDAY(B299,3))</f>
        <v/>
      </c>
      <c r="X299">
        <f>IF(D299="","",MAX(IF(N(F299)=0,0,IF(N(E299)&gt;0,E299*(1+F299/30),F299)),IF(N(H299)=0,0,IF(N(G299)&gt;0,G299*(1+H299/30),H299)),IF(N(J299)=0,0,IF(N(I299)&gt;0,I299*(1+J299/30),J299)),IF(N(L299)=0,0,IF(N(K299)&gt;0,K299*(1+L299/30),L299)),IF(N(N299)=0,0,IF(N(M299)&gt;0,M299*(1+N299/30),N299))))</f>
        <v/>
      </c>
      <c r="Y299">
        <f>IF(N(X299)=0,"",X299+ROW()/1000000000)</f>
        <v/>
      </c>
      <c r="Z299">
        <f>IF(Y299="","",IF(COUNTIFS(Log!$D$6:$D$1505,D299,Log!$Y$6:$Y$1505,"&gt;"&amp;Y299)=0,1,0))</f>
        <v/>
      </c>
      <c r="AA299">
        <f>IF(OR(B299="",D299=""),"",B299+ROW()/10000000)</f>
        <v/>
      </c>
      <c r="AB299">
        <f>IF(AA299="","",IF(COUNTIFS(Log!$D$6:$D$1505,D299,Log!$AA$6:$AA$1505,"&gt;"&amp;AA299)=0,1,0))</f>
        <v/>
      </c>
      <c r="AC299">
        <f>IF(S299="New best",AA299,"")</f>
        <v/>
      </c>
      <c r="AD299">
        <f>ROW()</f>
        <v/>
      </c>
    </row>
    <row r="300">
      <c r="A300" s="1" t="n"/>
      <c r="B300" s="21" t="n"/>
      <c r="C300" s="22" t="n"/>
      <c r="D300" s="23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15">
        <f>IF(D300="","",COUNT(F300,H300,J300,L300,N300))</f>
        <v/>
      </c>
      <c r="P300" s="25">
        <f>IF(D300="","",N(E300)*N(F300)+N(G300)*N(H300)+N(I300)*N(J300)+N(K300)*N(L300)+N(M300)*N(N300))</f>
        <v/>
      </c>
      <c r="Q300" s="18">
        <f>IF(N(X300)=0,"",IF(IF(N(F300)=0,0,IF(N(E300)&gt;0,E300*(1+F300/30),F300))=X300,IF(N(E300)&gt;0,E300&amp;" x "&amp;F300,F300&amp;" reps"),IF(IF(N(H300)=0,0,IF(N(G300)&gt;0,G300*(1+H300/30),H300))=X300,IF(N(G300)&gt;0,G300&amp;" x "&amp;H300,H300&amp;" reps"),IF(IF(N(J300)=0,0,IF(N(I300)&gt;0,I300*(1+J300/30),J300))=X300,IF(N(I300)&gt;0,I300&amp;" x "&amp;J300,J300&amp;" reps"),IF(IF(N(L300)=0,0,IF(N(K300)&gt;0,K300*(1+L300/30),L300))=X300,IF(N(K300)&gt;0,K300&amp;" x "&amp;L300,L300&amp;" reps"),IF(IF(N(N300)=0,0,IF(N(M300)&gt;0,M300*(1+N300/30),N300))=X300,IF(N(M300)&gt;0,M300&amp;" x "&amp;N300,N300&amp;" reps"),""))))))</f>
        <v/>
      </c>
      <c r="R300" s="20">
        <f>IF(N(X300)=0,"",ROUND(X300,1))</f>
        <v/>
      </c>
      <c r="S300" s="18">
        <f>IF(N(X300)=0,"",IF(AND(COUNTIFS(Log!$D$6:$D$1505,D300,Log!$B$6:$B$1505,"&lt;"&amp;B300)&gt;0,COUNTIFS(Log!$D$6:$D$1505,D300,Log!$B$6:$B$1505,"&lt;"&amp;B300,Log!$X$6:$X$1505,"&gt;="&amp;X300)=0),"New best",""))</f>
        <v/>
      </c>
      <c r="T300" s="26" t="n"/>
      <c r="U300" s="1">
        <f>IF(D300="","",IFERROR(INDEX(Exercises!$C$6:$C$105,MATCH(D300,Exercises!$B$6:$B$105,0)),"Other"))</f>
        <v/>
      </c>
      <c r="V300">
        <f>IF(B300="","",IF(COUNTIF($B$6:B300,B300)=1,1,0))</f>
        <v/>
      </c>
      <c r="W300">
        <f>IF(B300="","",B300-WEEKDAY(B300,3))</f>
        <v/>
      </c>
      <c r="X300">
        <f>IF(D300="","",MAX(IF(N(F300)=0,0,IF(N(E300)&gt;0,E300*(1+F300/30),F300)),IF(N(H300)=0,0,IF(N(G300)&gt;0,G300*(1+H300/30),H300)),IF(N(J300)=0,0,IF(N(I300)&gt;0,I300*(1+J300/30),J300)),IF(N(L300)=0,0,IF(N(K300)&gt;0,K300*(1+L300/30),L300)),IF(N(N300)=0,0,IF(N(M300)&gt;0,M300*(1+N300/30),N300))))</f>
        <v/>
      </c>
      <c r="Y300">
        <f>IF(N(X300)=0,"",X300+ROW()/1000000000)</f>
        <v/>
      </c>
      <c r="Z300">
        <f>IF(Y300="","",IF(COUNTIFS(Log!$D$6:$D$1505,D300,Log!$Y$6:$Y$1505,"&gt;"&amp;Y300)=0,1,0))</f>
        <v/>
      </c>
      <c r="AA300">
        <f>IF(OR(B300="",D300=""),"",B300+ROW()/10000000)</f>
        <v/>
      </c>
      <c r="AB300">
        <f>IF(AA300="","",IF(COUNTIFS(Log!$D$6:$D$1505,D300,Log!$AA$6:$AA$1505,"&gt;"&amp;AA300)=0,1,0))</f>
        <v/>
      </c>
      <c r="AC300">
        <f>IF(S300="New best",AA300,"")</f>
        <v/>
      </c>
      <c r="AD300">
        <f>ROW()</f>
        <v/>
      </c>
    </row>
    <row r="301">
      <c r="A301" s="1" t="n"/>
      <c r="B301" s="21" t="n"/>
      <c r="C301" s="22" t="n"/>
      <c r="D301" s="23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15">
        <f>IF(D301="","",COUNT(F301,H301,J301,L301,N301))</f>
        <v/>
      </c>
      <c r="P301" s="25">
        <f>IF(D301="","",N(E301)*N(F301)+N(G301)*N(H301)+N(I301)*N(J301)+N(K301)*N(L301)+N(M301)*N(N301))</f>
        <v/>
      </c>
      <c r="Q301" s="18">
        <f>IF(N(X301)=0,"",IF(IF(N(F301)=0,0,IF(N(E301)&gt;0,E301*(1+F301/30),F301))=X301,IF(N(E301)&gt;0,E301&amp;" x "&amp;F301,F301&amp;" reps"),IF(IF(N(H301)=0,0,IF(N(G301)&gt;0,G301*(1+H301/30),H301))=X301,IF(N(G301)&gt;0,G301&amp;" x "&amp;H301,H301&amp;" reps"),IF(IF(N(J301)=0,0,IF(N(I301)&gt;0,I301*(1+J301/30),J301))=X301,IF(N(I301)&gt;0,I301&amp;" x "&amp;J301,J301&amp;" reps"),IF(IF(N(L301)=0,0,IF(N(K301)&gt;0,K301*(1+L301/30),L301))=X301,IF(N(K301)&gt;0,K301&amp;" x "&amp;L301,L301&amp;" reps"),IF(IF(N(N301)=0,0,IF(N(M301)&gt;0,M301*(1+N301/30),N301))=X301,IF(N(M301)&gt;0,M301&amp;" x "&amp;N301,N301&amp;" reps"),""))))))</f>
        <v/>
      </c>
      <c r="R301" s="20">
        <f>IF(N(X301)=0,"",ROUND(X301,1))</f>
        <v/>
      </c>
      <c r="S301" s="18">
        <f>IF(N(X301)=0,"",IF(AND(COUNTIFS(Log!$D$6:$D$1505,D301,Log!$B$6:$B$1505,"&lt;"&amp;B301)&gt;0,COUNTIFS(Log!$D$6:$D$1505,D301,Log!$B$6:$B$1505,"&lt;"&amp;B301,Log!$X$6:$X$1505,"&gt;="&amp;X301)=0),"New best",""))</f>
        <v/>
      </c>
      <c r="T301" s="26" t="n"/>
      <c r="U301" s="1">
        <f>IF(D301="","",IFERROR(INDEX(Exercises!$C$6:$C$105,MATCH(D301,Exercises!$B$6:$B$105,0)),"Other"))</f>
        <v/>
      </c>
      <c r="V301">
        <f>IF(B301="","",IF(COUNTIF($B$6:B301,B301)=1,1,0))</f>
        <v/>
      </c>
      <c r="W301">
        <f>IF(B301="","",B301-WEEKDAY(B301,3))</f>
        <v/>
      </c>
      <c r="X301">
        <f>IF(D301="","",MAX(IF(N(F301)=0,0,IF(N(E301)&gt;0,E301*(1+F301/30),F301)),IF(N(H301)=0,0,IF(N(G301)&gt;0,G301*(1+H301/30),H301)),IF(N(J301)=0,0,IF(N(I301)&gt;0,I301*(1+J301/30),J301)),IF(N(L301)=0,0,IF(N(K301)&gt;0,K301*(1+L301/30),L301)),IF(N(N301)=0,0,IF(N(M301)&gt;0,M301*(1+N301/30),N301))))</f>
        <v/>
      </c>
      <c r="Y301">
        <f>IF(N(X301)=0,"",X301+ROW()/1000000000)</f>
        <v/>
      </c>
      <c r="Z301">
        <f>IF(Y301="","",IF(COUNTIFS(Log!$D$6:$D$1505,D301,Log!$Y$6:$Y$1505,"&gt;"&amp;Y301)=0,1,0))</f>
        <v/>
      </c>
      <c r="AA301">
        <f>IF(OR(B301="",D301=""),"",B301+ROW()/10000000)</f>
        <v/>
      </c>
      <c r="AB301">
        <f>IF(AA301="","",IF(COUNTIFS(Log!$D$6:$D$1505,D301,Log!$AA$6:$AA$1505,"&gt;"&amp;AA301)=0,1,0))</f>
        <v/>
      </c>
      <c r="AC301">
        <f>IF(S301="New best",AA301,"")</f>
        <v/>
      </c>
      <c r="AD301">
        <f>ROW()</f>
        <v/>
      </c>
    </row>
    <row r="302">
      <c r="A302" s="1" t="n"/>
      <c r="B302" s="21" t="n"/>
      <c r="C302" s="22" t="n"/>
      <c r="D302" s="23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15">
        <f>IF(D302="","",COUNT(F302,H302,J302,L302,N302))</f>
        <v/>
      </c>
      <c r="P302" s="25">
        <f>IF(D302="","",N(E302)*N(F302)+N(G302)*N(H302)+N(I302)*N(J302)+N(K302)*N(L302)+N(M302)*N(N302))</f>
        <v/>
      </c>
      <c r="Q302" s="18">
        <f>IF(N(X302)=0,"",IF(IF(N(F302)=0,0,IF(N(E302)&gt;0,E302*(1+F302/30),F302))=X302,IF(N(E302)&gt;0,E302&amp;" x "&amp;F302,F302&amp;" reps"),IF(IF(N(H302)=0,0,IF(N(G302)&gt;0,G302*(1+H302/30),H302))=X302,IF(N(G302)&gt;0,G302&amp;" x "&amp;H302,H302&amp;" reps"),IF(IF(N(J302)=0,0,IF(N(I302)&gt;0,I302*(1+J302/30),J302))=X302,IF(N(I302)&gt;0,I302&amp;" x "&amp;J302,J302&amp;" reps"),IF(IF(N(L302)=0,0,IF(N(K302)&gt;0,K302*(1+L302/30),L302))=X302,IF(N(K302)&gt;0,K302&amp;" x "&amp;L302,L302&amp;" reps"),IF(IF(N(N302)=0,0,IF(N(M302)&gt;0,M302*(1+N302/30),N302))=X302,IF(N(M302)&gt;0,M302&amp;" x "&amp;N302,N302&amp;" reps"),""))))))</f>
        <v/>
      </c>
      <c r="R302" s="20">
        <f>IF(N(X302)=0,"",ROUND(X302,1))</f>
        <v/>
      </c>
      <c r="S302" s="18">
        <f>IF(N(X302)=0,"",IF(AND(COUNTIFS(Log!$D$6:$D$1505,D302,Log!$B$6:$B$1505,"&lt;"&amp;B302)&gt;0,COUNTIFS(Log!$D$6:$D$1505,D302,Log!$B$6:$B$1505,"&lt;"&amp;B302,Log!$X$6:$X$1505,"&gt;="&amp;X302)=0),"New best",""))</f>
        <v/>
      </c>
      <c r="T302" s="26" t="n"/>
      <c r="U302" s="1">
        <f>IF(D302="","",IFERROR(INDEX(Exercises!$C$6:$C$105,MATCH(D302,Exercises!$B$6:$B$105,0)),"Other"))</f>
        <v/>
      </c>
      <c r="V302">
        <f>IF(B302="","",IF(COUNTIF($B$6:B302,B302)=1,1,0))</f>
        <v/>
      </c>
      <c r="W302">
        <f>IF(B302="","",B302-WEEKDAY(B302,3))</f>
        <v/>
      </c>
      <c r="X302">
        <f>IF(D302="","",MAX(IF(N(F302)=0,0,IF(N(E302)&gt;0,E302*(1+F302/30),F302)),IF(N(H302)=0,0,IF(N(G302)&gt;0,G302*(1+H302/30),H302)),IF(N(J302)=0,0,IF(N(I302)&gt;0,I302*(1+J302/30),J302)),IF(N(L302)=0,0,IF(N(K302)&gt;0,K302*(1+L302/30),L302)),IF(N(N302)=0,0,IF(N(M302)&gt;0,M302*(1+N302/30),N302))))</f>
        <v/>
      </c>
      <c r="Y302">
        <f>IF(N(X302)=0,"",X302+ROW()/1000000000)</f>
        <v/>
      </c>
      <c r="Z302">
        <f>IF(Y302="","",IF(COUNTIFS(Log!$D$6:$D$1505,D302,Log!$Y$6:$Y$1505,"&gt;"&amp;Y302)=0,1,0))</f>
        <v/>
      </c>
      <c r="AA302">
        <f>IF(OR(B302="",D302=""),"",B302+ROW()/10000000)</f>
        <v/>
      </c>
      <c r="AB302">
        <f>IF(AA302="","",IF(COUNTIFS(Log!$D$6:$D$1505,D302,Log!$AA$6:$AA$1505,"&gt;"&amp;AA302)=0,1,0))</f>
        <v/>
      </c>
      <c r="AC302">
        <f>IF(S302="New best",AA302,"")</f>
        <v/>
      </c>
      <c r="AD302">
        <f>ROW()</f>
        <v/>
      </c>
    </row>
    <row r="303">
      <c r="A303" s="1" t="n"/>
      <c r="B303" s="21" t="n"/>
      <c r="C303" s="22" t="n"/>
      <c r="D303" s="23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15">
        <f>IF(D303="","",COUNT(F303,H303,J303,L303,N303))</f>
        <v/>
      </c>
      <c r="P303" s="25">
        <f>IF(D303="","",N(E303)*N(F303)+N(G303)*N(H303)+N(I303)*N(J303)+N(K303)*N(L303)+N(M303)*N(N303))</f>
        <v/>
      </c>
      <c r="Q303" s="18">
        <f>IF(N(X303)=0,"",IF(IF(N(F303)=0,0,IF(N(E303)&gt;0,E303*(1+F303/30),F303))=X303,IF(N(E303)&gt;0,E303&amp;" x "&amp;F303,F303&amp;" reps"),IF(IF(N(H303)=0,0,IF(N(G303)&gt;0,G303*(1+H303/30),H303))=X303,IF(N(G303)&gt;0,G303&amp;" x "&amp;H303,H303&amp;" reps"),IF(IF(N(J303)=0,0,IF(N(I303)&gt;0,I303*(1+J303/30),J303))=X303,IF(N(I303)&gt;0,I303&amp;" x "&amp;J303,J303&amp;" reps"),IF(IF(N(L303)=0,0,IF(N(K303)&gt;0,K303*(1+L303/30),L303))=X303,IF(N(K303)&gt;0,K303&amp;" x "&amp;L303,L303&amp;" reps"),IF(IF(N(N303)=0,0,IF(N(M303)&gt;0,M303*(1+N303/30),N303))=X303,IF(N(M303)&gt;0,M303&amp;" x "&amp;N303,N303&amp;" reps"),""))))))</f>
        <v/>
      </c>
      <c r="R303" s="20">
        <f>IF(N(X303)=0,"",ROUND(X303,1))</f>
        <v/>
      </c>
      <c r="S303" s="18">
        <f>IF(N(X303)=0,"",IF(AND(COUNTIFS(Log!$D$6:$D$1505,D303,Log!$B$6:$B$1505,"&lt;"&amp;B303)&gt;0,COUNTIFS(Log!$D$6:$D$1505,D303,Log!$B$6:$B$1505,"&lt;"&amp;B303,Log!$X$6:$X$1505,"&gt;="&amp;X303)=0),"New best",""))</f>
        <v/>
      </c>
      <c r="T303" s="26" t="n"/>
      <c r="U303" s="1">
        <f>IF(D303="","",IFERROR(INDEX(Exercises!$C$6:$C$105,MATCH(D303,Exercises!$B$6:$B$105,0)),"Other"))</f>
        <v/>
      </c>
      <c r="V303">
        <f>IF(B303="","",IF(COUNTIF($B$6:B303,B303)=1,1,0))</f>
        <v/>
      </c>
      <c r="W303">
        <f>IF(B303="","",B303-WEEKDAY(B303,3))</f>
        <v/>
      </c>
      <c r="X303">
        <f>IF(D303="","",MAX(IF(N(F303)=0,0,IF(N(E303)&gt;0,E303*(1+F303/30),F303)),IF(N(H303)=0,0,IF(N(G303)&gt;0,G303*(1+H303/30),H303)),IF(N(J303)=0,0,IF(N(I303)&gt;0,I303*(1+J303/30),J303)),IF(N(L303)=0,0,IF(N(K303)&gt;0,K303*(1+L303/30),L303)),IF(N(N303)=0,0,IF(N(M303)&gt;0,M303*(1+N303/30),N303))))</f>
        <v/>
      </c>
      <c r="Y303">
        <f>IF(N(X303)=0,"",X303+ROW()/1000000000)</f>
        <v/>
      </c>
      <c r="Z303">
        <f>IF(Y303="","",IF(COUNTIFS(Log!$D$6:$D$1505,D303,Log!$Y$6:$Y$1505,"&gt;"&amp;Y303)=0,1,0))</f>
        <v/>
      </c>
      <c r="AA303">
        <f>IF(OR(B303="",D303=""),"",B303+ROW()/10000000)</f>
        <v/>
      </c>
      <c r="AB303">
        <f>IF(AA303="","",IF(COUNTIFS(Log!$D$6:$D$1505,D303,Log!$AA$6:$AA$1505,"&gt;"&amp;AA303)=0,1,0))</f>
        <v/>
      </c>
      <c r="AC303">
        <f>IF(S303="New best",AA303,"")</f>
        <v/>
      </c>
      <c r="AD303">
        <f>ROW()</f>
        <v/>
      </c>
    </row>
    <row r="304">
      <c r="A304" s="1" t="n"/>
      <c r="B304" s="21" t="n"/>
      <c r="C304" s="22" t="n"/>
      <c r="D304" s="23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15">
        <f>IF(D304="","",COUNT(F304,H304,J304,L304,N304))</f>
        <v/>
      </c>
      <c r="P304" s="25">
        <f>IF(D304="","",N(E304)*N(F304)+N(G304)*N(H304)+N(I304)*N(J304)+N(K304)*N(L304)+N(M304)*N(N304))</f>
        <v/>
      </c>
      <c r="Q304" s="18">
        <f>IF(N(X304)=0,"",IF(IF(N(F304)=0,0,IF(N(E304)&gt;0,E304*(1+F304/30),F304))=X304,IF(N(E304)&gt;0,E304&amp;" x "&amp;F304,F304&amp;" reps"),IF(IF(N(H304)=0,0,IF(N(G304)&gt;0,G304*(1+H304/30),H304))=X304,IF(N(G304)&gt;0,G304&amp;" x "&amp;H304,H304&amp;" reps"),IF(IF(N(J304)=0,0,IF(N(I304)&gt;0,I304*(1+J304/30),J304))=X304,IF(N(I304)&gt;0,I304&amp;" x "&amp;J304,J304&amp;" reps"),IF(IF(N(L304)=0,0,IF(N(K304)&gt;0,K304*(1+L304/30),L304))=X304,IF(N(K304)&gt;0,K304&amp;" x "&amp;L304,L304&amp;" reps"),IF(IF(N(N304)=0,0,IF(N(M304)&gt;0,M304*(1+N304/30),N304))=X304,IF(N(M304)&gt;0,M304&amp;" x "&amp;N304,N304&amp;" reps"),""))))))</f>
        <v/>
      </c>
      <c r="R304" s="20">
        <f>IF(N(X304)=0,"",ROUND(X304,1))</f>
        <v/>
      </c>
      <c r="S304" s="18">
        <f>IF(N(X304)=0,"",IF(AND(COUNTIFS(Log!$D$6:$D$1505,D304,Log!$B$6:$B$1505,"&lt;"&amp;B304)&gt;0,COUNTIFS(Log!$D$6:$D$1505,D304,Log!$B$6:$B$1505,"&lt;"&amp;B304,Log!$X$6:$X$1505,"&gt;="&amp;X304)=0),"New best",""))</f>
        <v/>
      </c>
      <c r="T304" s="26" t="n"/>
      <c r="U304" s="1">
        <f>IF(D304="","",IFERROR(INDEX(Exercises!$C$6:$C$105,MATCH(D304,Exercises!$B$6:$B$105,0)),"Other"))</f>
        <v/>
      </c>
      <c r="V304">
        <f>IF(B304="","",IF(COUNTIF($B$6:B304,B304)=1,1,0))</f>
        <v/>
      </c>
      <c r="W304">
        <f>IF(B304="","",B304-WEEKDAY(B304,3))</f>
        <v/>
      </c>
      <c r="X304">
        <f>IF(D304="","",MAX(IF(N(F304)=0,0,IF(N(E304)&gt;0,E304*(1+F304/30),F304)),IF(N(H304)=0,0,IF(N(G304)&gt;0,G304*(1+H304/30),H304)),IF(N(J304)=0,0,IF(N(I304)&gt;0,I304*(1+J304/30),J304)),IF(N(L304)=0,0,IF(N(K304)&gt;0,K304*(1+L304/30),L304)),IF(N(N304)=0,0,IF(N(M304)&gt;0,M304*(1+N304/30),N304))))</f>
        <v/>
      </c>
      <c r="Y304">
        <f>IF(N(X304)=0,"",X304+ROW()/1000000000)</f>
        <v/>
      </c>
      <c r="Z304">
        <f>IF(Y304="","",IF(COUNTIFS(Log!$D$6:$D$1505,D304,Log!$Y$6:$Y$1505,"&gt;"&amp;Y304)=0,1,0))</f>
        <v/>
      </c>
      <c r="AA304">
        <f>IF(OR(B304="",D304=""),"",B304+ROW()/10000000)</f>
        <v/>
      </c>
      <c r="AB304">
        <f>IF(AA304="","",IF(COUNTIFS(Log!$D$6:$D$1505,D304,Log!$AA$6:$AA$1505,"&gt;"&amp;AA304)=0,1,0))</f>
        <v/>
      </c>
      <c r="AC304">
        <f>IF(S304="New best",AA304,"")</f>
        <v/>
      </c>
      <c r="AD304">
        <f>ROW()</f>
        <v/>
      </c>
    </row>
    <row r="305">
      <c r="A305" s="1" t="n"/>
      <c r="B305" s="21" t="n"/>
      <c r="C305" s="22" t="n"/>
      <c r="D305" s="23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15">
        <f>IF(D305="","",COUNT(F305,H305,J305,L305,N305))</f>
        <v/>
      </c>
      <c r="P305" s="25">
        <f>IF(D305="","",N(E305)*N(F305)+N(G305)*N(H305)+N(I305)*N(J305)+N(K305)*N(L305)+N(M305)*N(N305))</f>
        <v/>
      </c>
      <c r="Q305" s="18">
        <f>IF(N(X305)=0,"",IF(IF(N(F305)=0,0,IF(N(E305)&gt;0,E305*(1+F305/30),F305))=X305,IF(N(E305)&gt;0,E305&amp;" x "&amp;F305,F305&amp;" reps"),IF(IF(N(H305)=0,0,IF(N(G305)&gt;0,G305*(1+H305/30),H305))=X305,IF(N(G305)&gt;0,G305&amp;" x "&amp;H305,H305&amp;" reps"),IF(IF(N(J305)=0,0,IF(N(I305)&gt;0,I305*(1+J305/30),J305))=X305,IF(N(I305)&gt;0,I305&amp;" x "&amp;J305,J305&amp;" reps"),IF(IF(N(L305)=0,0,IF(N(K305)&gt;0,K305*(1+L305/30),L305))=X305,IF(N(K305)&gt;0,K305&amp;" x "&amp;L305,L305&amp;" reps"),IF(IF(N(N305)=0,0,IF(N(M305)&gt;0,M305*(1+N305/30),N305))=X305,IF(N(M305)&gt;0,M305&amp;" x "&amp;N305,N305&amp;" reps"),""))))))</f>
        <v/>
      </c>
      <c r="R305" s="20">
        <f>IF(N(X305)=0,"",ROUND(X305,1))</f>
        <v/>
      </c>
      <c r="S305" s="18">
        <f>IF(N(X305)=0,"",IF(AND(COUNTIFS(Log!$D$6:$D$1505,D305,Log!$B$6:$B$1505,"&lt;"&amp;B305)&gt;0,COUNTIFS(Log!$D$6:$D$1505,D305,Log!$B$6:$B$1505,"&lt;"&amp;B305,Log!$X$6:$X$1505,"&gt;="&amp;X305)=0),"New best",""))</f>
        <v/>
      </c>
      <c r="T305" s="26" t="n"/>
      <c r="U305" s="1">
        <f>IF(D305="","",IFERROR(INDEX(Exercises!$C$6:$C$105,MATCH(D305,Exercises!$B$6:$B$105,0)),"Other"))</f>
        <v/>
      </c>
      <c r="V305">
        <f>IF(B305="","",IF(COUNTIF($B$6:B305,B305)=1,1,0))</f>
        <v/>
      </c>
      <c r="W305">
        <f>IF(B305="","",B305-WEEKDAY(B305,3))</f>
        <v/>
      </c>
      <c r="X305">
        <f>IF(D305="","",MAX(IF(N(F305)=0,0,IF(N(E305)&gt;0,E305*(1+F305/30),F305)),IF(N(H305)=0,0,IF(N(G305)&gt;0,G305*(1+H305/30),H305)),IF(N(J305)=0,0,IF(N(I305)&gt;0,I305*(1+J305/30),J305)),IF(N(L305)=0,0,IF(N(K305)&gt;0,K305*(1+L305/30),L305)),IF(N(N305)=0,0,IF(N(M305)&gt;0,M305*(1+N305/30),N305))))</f>
        <v/>
      </c>
      <c r="Y305">
        <f>IF(N(X305)=0,"",X305+ROW()/1000000000)</f>
        <v/>
      </c>
      <c r="Z305">
        <f>IF(Y305="","",IF(COUNTIFS(Log!$D$6:$D$1505,D305,Log!$Y$6:$Y$1505,"&gt;"&amp;Y305)=0,1,0))</f>
        <v/>
      </c>
      <c r="AA305">
        <f>IF(OR(B305="",D305=""),"",B305+ROW()/10000000)</f>
        <v/>
      </c>
      <c r="AB305">
        <f>IF(AA305="","",IF(COUNTIFS(Log!$D$6:$D$1505,D305,Log!$AA$6:$AA$1505,"&gt;"&amp;AA305)=0,1,0))</f>
        <v/>
      </c>
      <c r="AC305">
        <f>IF(S305="New best",AA305,"")</f>
        <v/>
      </c>
      <c r="AD305">
        <f>ROW()</f>
        <v/>
      </c>
    </row>
    <row r="306">
      <c r="A306" s="1" t="n"/>
      <c r="B306" s="21" t="n"/>
      <c r="C306" s="22" t="n"/>
      <c r="D306" s="23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15">
        <f>IF(D306="","",COUNT(F306,H306,J306,L306,N306))</f>
        <v/>
      </c>
      <c r="P306" s="25">
        <f>IF(D306="","",N(E306)*N(F306)+N(G306)*N(H306)+N(I306)*N(J306)+N(K306)*N(L306)+N(M306)*N(N306))</f>
        <v/>
      </c>
      <c r="Q306" s="18">
        <f>IF(N(X306)=0,"",IF(IF(N(F306)=0,0,IF(N(E306)&gt;0,E306*(1+F306/30),F306))=X306,IF(N(E306)&gt;0,E306&amp;" x "&amp;F306,F306&amp;" reps"),IF(IF(N(H306)=0,0,IF(N(G306)&gt;0,G306*(1+H306/30),H306))=X306,IF(N(G306)&gt;0,G306&amp;" x "&amp;H306,H306&amp;" reps"),IF(IF(N(J306)=0,0,IF(N(I306)&gt;0,I306*(1+J306/30),J306))=X306,IF(N(I306)&gt;0,I306&amp;" x "&amp;J306,J306&amp;" reps"),IF(IF(N(L306)=0,0,IF(N(K306)&gt;0,K306*(1+L306/30),L306))=X306,IF(N(K306)&gt;0,K306&amp;" x "&amp;L306,L306&amp;" reps"),IF(IF(N(N306)=0,0,IF(N(M306)&gt;0,M306*(1+N306/30),N306))=X306,IF(N(M306)&gt;0,M306&amp;" x "&amp;N306,N306&amp;" reps"),""))))))</f>
        <v/>
      </c>
      <c r="R306" s="20">
        <f>IF(N(X306)=0,"",ROUND(X306,1))</f>
        <v/>
      </c>
      <c r="S306" s="18">
        <f>IF(N(X306)=0,"",IF(AND(COUNTIFS(Log!$D$6:$D$1505,D306,Log!$B$6:$B$1505,"&lt;"&amp;B306)&gt;0,COUNTIFS(Log!$D$6:$D$1505,D306,Log!$B$6:$B$1505,"&lt;"&amp;B306,Log!$X$6:$X$1505,"&gt;="&amp;X306)=0),"New best",""))</f>
        <v/>
      </c>
      <c r="T306" s="26" t="n"/>
      <c r="U306" s="1">
        <f>IF(D306="","",IFERROR(INDEX(Exercises!$C$6:$C$105,MATCH(D306,Exercises!$B$6:$B$105,0)),"Other"))</f>
        <v/>
      </c>
      <c r="V306">
        <f>IF(B306="","",IF(COUNTIF($B$6:B306,B306)=1,1,0))</f>
        <v/>
      </c>
      <c r="W306">
        <f>IF(B306="","",B306-WEEKDAY(B306,3))</f>
        <v/>
      </c>
      <c r="X306">
        <f>IF(D306="","",MAX(IF(N(F306)=0,0,IF(N(E306)&gt;0,E306*(1+F306/30),F306)),IF(N(H306)=0,0,IF(N(G306)&gt;0,G306*(1+H306/30),H306)),IF(N(J306)=0,0,IF(N(I306)&gt;0,I306*(1+J306/30),J306)),IF(N(L306)=0,0,IF(N(K306)&gt;0,K306*(1+L306/30),L306)),IF(N(N306)=0,0,IF(N(M306)&gt;0,M306*(1+N306/30),N306))))</f>
        <v/>
      </c>
      <c r="Y306">
        <f>IF(N(X306)=0,"",X306+ROW()/1000000000)</f>
        <v/>
      </c>
      <c r="Z306">
        <f>IF(Y306="","",IF(COUNTIFS(Log!$D$6:$D$1505,D306,Log!$Y$6:$Y$1505,"&gt;"&amp;Y306)=0,1,0))</f>
        <v/>
      </c>
      <c r="AA306">
        <f>IF(OR(B306="",D306=""),"",B306+ROW()/10000000)</f>
        <v/>
      </c>
      <c r="AB306">
        <f>IF(AA306="","",IF(COUNTIFS(Log!$D$6:$D$1505,D306,Log!$AA$6:$AA$1505,"&gt;"&amp;AA306)=0,1,0))</f>
        <v/>
      </c>
      <c r="AC306">
        <f>IF(S306="New best",AA306,"")</f>
        <v/>
      </c>
      <c r="AD306">
        <f>ROW()</f>
        <v/>
      </c>
    </row>
    <row r="307">
      <c r="A307" s="1" t="n"/>
      <c r="B307" s="21" t="n"/>
      <c r="C307" s="22" t="n"/>
      <c r="D307" s="23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15">
        <f>IF(D307="","",COUNT(F307,H307,J307,L307,N307))</f>
        <v/>
      </c>
      <c r="P307" s="25">
        <f>IF(D307="","",N(E307)*N(F307)+N(G307)*N(H307)+N(I307)*N(J307)+N(K307)*N(L307)+N(M307)*N(N307))</f>
        <v/>
      </c>
      <c r="Q307" s="18">
        <f>IF(N(X307)=0,"",IF(IF(N(F307)=0,0,IF(N(E307)&gt;0,E307*(1+F307/30),F307))=X307,IF(N(E307)&gt;0,E307&amp;" x "&amp;F307,F307&amp;" reps"),IF(IF(N(H307)=0,0,IF(N(G307)&gt;0,G307*(1+H307/30),H307))=X307,IF(N(G307)&gt;0,G307&amp;" x "&amp;H307,H307&amp;" reps"),IF(IF(N(J307)=0,0,IF(N(I307)&gt;0,I307*(1+J307/30),J307))=X307,IF(N(I307)&gt;0,I307&amp;" x "&amp;J307,J307&amp;" reps"),IF(IF(N(L307)=0,0,IF(N(K307)&gt;0,K307*(1+L307/30),L307))=X307,IF(N(K307)&gt;0,K307&amp;" x "&amp;L307,L307&amp;" reps"),IF(IF(N(N307)=0,0,IF(N(M307)&gt;0,M307*(1+N307/30),N307))=X307,IF(N(M307)&gt;0,M307&amp;" x "&amp;N307,N307&amp;" reps"),""))))))</f>
        <v/>
      </c>
      <c r="R307" s="20">
        <f>IF(N(X307)=0,"",ROUND(X307,1))</f>
        <v/>
      </c>
      <c r="S307" s="18">
        <f>IF(N(X307)=0,"",IF(AND(COUNTIFS(Log!$D$6:$D$1505,D307,Log!$B$6:$B$1505,"&lt;"&amp;B307)&gt;0,COUNTIFS(Log!$D$6:$D$1505,D307,Log!$B$6:$B$1505,"&lt;"&amp;B307,Log!$X$6:$X$1505,"&gt;="&amp;X307)=0),"New best",""))</f>
        <v/>
      </c>
      <c r="T307" s="26" t="n"/>
      <c r="U307" s="1">
        <f>IF(D307="","",IFERROR(INDEX(Exercises!$C$6:$C$105,MATCH(D307,Exercises!$B$6:$B$105,0)),"Other"))</f>
        <v/>
      </c>
      <c r="V307">
        <f>IF(B307="","",IF(COUNTIF($B$6:B307,B307)=1,1,0))</f>
        <v/>
      </c>
      <c r="W307">
        <f>IF(B307="","",B307-WEEKDAY(B307,3))</f>
        <v/>
      </c>
      <c r="X307">
        <f>IF(D307="","",MAX(IF(N(F307)=0,0,IF(N(E307)&gt;0,E307*(1+F307/30),F307)),IF(N(H307)=0,0,IF(N(G307)&gt;0,G307*(1+H307/30),H307)),IF(N(J307)=0,0,IF(N(I307)&gt;0,I307*(1+J307/30),J307)),IF(N(L307)=0,0,IF(N(K307)&gt;0,K307*(1+L307/30),L307)),IF(N(N307)=0,0,IF(N(M307)&gt;0,M307*(1+N307/30),N307))))</f>
        <v/>
      </c>
      <c r="Y307">
        <f>IF(N(X307)=0,"",X307+ROW()/1000000000)</f>
        <v/>
      </c>
      <c r="Z307">
        <f>IF(Y307="","",IF(COUNTIFS(Log!$D$6:$D$1505,D307,Log!$Y$6:$Y$1505,"&gt;"&amp;Y307)=0,1,0))</f>
        <v/>
      </c>
      <c r="AA307">
        <f>IF(OR(B307="",D307=""),"",B307+ROW()/10000000)</f>
        <v/>
      </c>
      <c r="AB307">
        <f>IF(AA307="","",IF(COUNTIFS(Log!$D$6:$D$1505,D307,Log!$AA$6:$AA$1505,"&gt;"&amp;AA307)=0,1,0))</f>
        <v/>
      </c>
      <c r="AC307">
        <f>IF(S307="New best",AA307,"")</f>
        <v/>
      </c>
      <c r="AD307">
        <f>ROW()</f>
        <v/>
      </c>
    </row>
    <row r="308">
      <c r="A308" s="1" t="n"/>
      <c r="B308" s="21" t="n"/>
      <c r="C308" s="22" t="n"/>
      <c r="D308" s="23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15">
        <f>IF(D308="","",COUNT(F308,H308,J308,L308,N308))</f>
        <v/>
      </c>
      <c r="P308" s="25">
        <f>IF(D308="","",N(E308)*N(F308)+N(G308)*N(H308)+N(I308)*N(J308)+N(K308)*N(L308)+N(M308)*N(N308))</f>
        <v/>
      </c>
      <c r="Q308" s="18">
        <f>IF(N(X308)=0,"",IF(IF(N(F308)=0,0,IF(N(E308)&gt;0,E308*(1+F308/30),F308))=X308,IF(N(E308)&gt;0,E308&amp;" x "&amp;F308,F308&amp;" reps"),IF(IF(N(H308)=0,0,IF(N(G308)&gt;0,G308*(1+H308/30),H308))=X308,IF(N(G308)&gt;0,G308&amp;" x "&amp;H308,H308&amp;" reps"),IF(IF(N(J308)=0,0,IF(N(I308)&gt;0,I308*(1+J308/30),J308))=X308,IF(N(I308)&gt;0,I308&amp;" x "&amp;J308,J308&amp;" reps"),IF(IF(N(L308)=0,0,IF(N(K308)&gt;0,K308*(1+L308/30),L308))=X308,IF(N(K308)&gt;0,K308&amp;" x "&amp;L308,L308&amp;" reps"),IF(IF(N(N308)=0,0,IF(N(M308)&gt;0,M308*(1+N308/30),N308))=X308,IF(N(M308)&gt;0,M308&amp;" x "&amp;N308,N308&amp;" reps"),""))))))</f>
        <v/>
      </c>
      <c r="R308" s="20">
        <f>IF(N(X308)=0,"",ROUND(X308,1))</f>
        <v/>
      </c>
      <c r="S308" s="18">
        <f>IF(N(X308)=0,"",IF(AND(COUNTIFS(Log!$D$6:$D$1505,D308,Log!$B$6:$B$1505,"&lt;"&amp;B308)&gt;0,COUNTIFS(Log!$D$6:$D$1505,D308,Log!$B$6:$B$1505,"&lt;"&amp;B308,Log!$X$6:$X$1505,"&gt;="&amp;X308)=0),"New best",""))</f>
        <v/>
      </c>
      <c r="T308" s="26" t="n"/>
      <c r="U308" s="1">
        <f>IF(D308="","",IFERROR(INDEX(Exercises!$C$6:$C$105,MATCH(D308,Exercises!$B$6:$B$105,0)),"Other"))</f>
        <v/>
      </c>
      <c r="V308">
        <f>IF(B308="","",IF(COUNTIF($B$6:B308,B308)=1,1,0))</f>
        <v/>
      </c>
      <c r="W308">
        <f>IF(B308="","",B308-WEEKDAY(B308,3))</f>
        <v/>
      </c>
      <c r="X308">
        <f>IF(D308="","",MAX(IF(N(F308)=0,0,IF(N(E308)&gt;0,E308*(1+F308/30),F308)),IF(N(H308)=0,0,IF(N(G308)&gt;0,G308*(1+H308/30),H308)),IF(N(J308)=0,0,IF(N(I308)&gt;0,I308*(1+J308/30),J308)),IF(N(L308)=0,0,IF(N(K308)&gt;0,K308*(1+L308/30),L308)),IF(N(N308)=0,0,IF(N(M308)&gt;0,M308*(1+N308/30),N308))))</f>
        <v/>
      </c>
      <c r="Y308">
        <f>IF(N(X308)=0,"",X308+ROW()/1000000000)</f>
        <v/>
      </c>
      <c r="Z308">
        <f>IF(Y308="","",IF(COUNTIFS(Log!$D$6:$D$1505,D308,Log!$Y$6:$Y$1505,"&gt;"&amp;Y308)=0,1,0))</f>
        <v/>
      </c>
      <c r="AA308">
        <f>IF(OR(B308="",D308=""),"",B308+ROW()/10000000)</f>
        <v/>
      </c>
      <c r="AB308">
        <f>IF(AA308="","",IF(COUNTIFS(Log!$D$6:$D$1505,D308,Log!$AA$6:$AA$1505,"&gt;"&amp;AA308)=0,1,0))</f>
        <v/>
      </c>
      <c r="AC308">
        <f>IF(S308="New best",AA308,"")</f>
        <v/>
      </c>
      <c r="AD308">
        <f>ROW()</f>
        <v/>
      </c>
    </row>
    <row r="309">
      <c r="A309" s="1" t="n"/>
      <c r="B309" s="21" t="n"/>
      <c r="C309" s="22" t="n"/>
      <c r="D309" s="23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15">
        <f>IF(D309="","",COUNT(F309,H309,J309,L309,N309))</f>
        <v/>
      </c>
      <c r="P309" s="25">
        <f>IF(D309="","",N(E309)*N(F309)+N(G309)*N(H309)+N(I309)*N(J309)+N(K309)*N(L309)+N(M309)*N(N309))</f>
        <v/>
      </c>
      <c r="Q309" s="18">
        <f>IF(N(X309)=0,"",IF(IF(N(F309)=0,0,IF(N(E309)&gt;0,E309*(1+F309/30),F309))=X309,IF(N(E309)&gt;0,E309&amp;" x "&amp;F309,F309&amp;" reps"),IF(IF(N(H309)=0,0,IF(N(G309)&gt;0,G309*(1+H309/30),H309))=X309,IF(N(G309)&gt;0,G309&amp;" x "&amp;H309,H309&amp;" reps"),IF(IF(N(J309)=0,0,IF(N(I309)&gt;0,I309*(1+J309/30),J309))=X309,IF(N(I309)&gt;0,I309&amp;" x "&amp;J309,J309&amp;" reps"),IF(IF(N(L309)=0,0,IF(N(K309)&gt;0,K309*(1+L309/30),L309))=X309,IF(N(K309)&gt;0,K309&amp;" x "&amp;L309,L309&amp;" reps"),IF(IF(N(N309)=0,0,IF(N(M309)&gt;0,M309*(1+N309/30),N309))=X309,IF(N(M309)&gt;0,M309&amp;" x "&amp;N309,N309&amp;" reps"),""))))))</f>
        <v/>
      </c>
      <c r="R309" s="20">
        <f>IF(N(X309)=0,"",ROUND(X309,1))</f>
        <v/>
      </c>
      <c r="S309" s="18">
        <f>IF(N(X309)=0,"",IF(AND(COUNTIFS(Log!$D$6:$D$1505,D309,Log!$B$6:$B$1505,"&lt;"&amp;B309)&gt;0,COUNTIFS(Log!$D$6:$D$1505,D309,Log!$B$6:$B$1505,"&lt;"&amp;B309,Log!$X$6:$X$1505,"&gt;="&amp;X309)=0),"New best",""))</f>
        <v/>
      </c>
      <c r="T309" s="26" t="n"/>
      <c r="U309" s="1">
        <f>IF(D309="","",IFERROR(INDEX(Exercises!$C$6:$C$105,MATCH(D309,Exercises!$B$6:$B$105,0)),"Other"))</f>
        <v/>
      </c>
      <c r="V309">
        <f>IF(B309="","",IF(COUNTIF($B$6:B309,B309)=1,1,0))</f>
        <v/>
      </c>
      <c r="W309">
        <f>IF(B309="","",B309-WEEKDAY(B309,3))</f>
        <v/>
      </c>
      <c r="X309">
        <f>IF(D309="","",MAX(IF(N(F309)=0,0,IF(N(E309)&gt;0,E309*(1+F309/30),F309)),IF(N(H309)=0,0,IF(N(G309)&gt;0,G309*(1+H309/30),H309)),IF(N(J309)=0,0,IF(N(I309)&gt;0,I309*(1+J309/30),J309)),IF(N(L309)=0,0,IF(N(K309)&gt;0,K309*(1+L309/30),L309)),IF(N(N309)=0,0,IF(N(M309)&gt;0,M309*(1+N309/30),N309))))</f>
        <v/>
      </c>
      <c r="Y309">
        <f>IF(N(X309)=0,"",X309+ROW()/1000000000)</f>
        <v/>
      </c>
      <c r="Z309">
        <f>IF(Y309="","",IF(COUNTIFS(Log!$D$6:$D$1505,D309,Log!$Y$6:$Y$1505,"&gt;"&amp;Y309)=0,1,0))</f>
        <v/>
      </c>
      <c r="AA309">
        <f>IF(OR(B309="",D309=""),"",B309+ROW()/10000000)</f>
        <v/>
      </c>
      <c r="AB309">
        <f>IF(AA309="","",IF(COUNTIFS(Log!$D$6:$D$1505,D309,Log!$AA$6:$AA$1505,"&gt;"&amp;AA309)=0,1,0))</f>
        <v/>
      </c>
      <c r="AC309">
        <f>IF(S309="New best",AA309,"")</f>
        <v/>
      </c>
      <c r="AD309">
        <f>ROW()</f>
        <v/>
      </c>
    </row>
    <row r="310">
      <c r="A310" s="1" t="n"/>
      <c r="B310" s="21" t="n"/>
      <c r="C310" s="22" t="n"/>
      <c r="D310" s="23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15">
        <f>IF(D310="","",COUNT(F310,H310,J310,L310,N310))</f>
        <v/>
      </c>
      <c r="P310" s="25">
        <f>IF(D310="","",N(E310)*N(F310)+N(G310)*N(H310)+N(I310)*N(J310)+N(K310)*N(L310)+N(M310)*N(N310))</f>
        <v/>
      </c>
      <c r="Q310" s="18">
        <f>IF(N(X310)=0,"",IF(IF(N(F310)=0,0,IF(N(E310)&gt;0,E310*(1+F310/30),F310))=X310,IF(N(E310)&gt;0,E310&amp;" x "&amp;F310,F310&amp;" reps"),IF(IF(N(H310)=0,0,IF(N(G310)&gt;0,G310*(1+H310/30),H310))=X310,IF(N(G310)&gt;0,G310&amp;" x "&amp;H310,H310&amp;" reps"),IF(IF(N(J310)=0,0,IF(N(I310)&gt;0,I310*(1+J310/30),J310))=X310,IF(N(I310)&gt;0,I310&amp;" x "&amp;J310,J310&amp;" reps"),IF(IF(N(L310)=0,0,IF(N(K310)&gt;0,K310*(1+L310/30),L310))=X310,IF(N(K310)&gt;0,K310&amp;" x "&amp;L310,L310&amp;" reps"),IF(IF(N(N310)=0,0,IF(N(M310)&gt;0,M310*(1+N310/30),N310))=X310,IF(N(M310)&gt;0,M310&amp;" x "&amp;N310,N310&amp;" reps"),""))))))</f>
        <v/>
      </c>
      <c r="R310" s="20">
        <f>IF(N(X310)=0,"",ROUND(X310,1))</f>
        <v/>
      </c>
      <c r="S310" s="18">
        <f>IF(N(X310)=0,"",IF(AND(COUNTIFS(Log!$D$6:$D$1505,D310,Log!$B$6:$B$1505,"&lt;"&amp;B310)&gt;0,COUNTIFS(Log!$D$6:$D$1505,D310,Log!$B$6:$B$1505,"&lt;"&amp;B310,Log!$X$6:$X$1505,"&gt;="&amp;X310)=0),"New best",""))</f>
        <v/>
      </c>
      <c r="T310" s="26" t="n"/>
      <c r="U310" s="1">
        <f>IF(D310="","",IFERROR(INDEX(Exercises!$C$6:$C$105,MATCH(D310,Exercises!$B$6:$B$105,0)),"Other"))</f>
        <v/>
      </c>
      <c r="V310">
        <f>IF(B310="","",IF(COUNTIF($B$6:B310,B310)=1,1,0))</f>
        <v/>
      </c>
      <c r="W310">
        <f>IF(B310="","",B310-WEEKDAY(B310,3))</f>
        <v/>
      </c>
      <c r="X310">
        <f>IF(D310="","",MAX(IF(N(F310)=0,0,IF(N(E310)&gt;0,E310*(1+F310/30),F310)),IF(N(H310)=0,0,IF(N(G310)&gt;0,G310*(1+H310/30),H310)),IF(N(J310)=0,0,IF(N(I310)&gt;0,I310*(1+J310/30),J310)),IF(N(L310)=0,0,IF(N(K310)&gt;0,K310*(1+L310/30),L310)),IF(N(N310)=0,0,IF(N(M310)&gt;0,M310*(1+N310/30),N310))))</f>
        <v/>
      </c>
      <c r="Y310">
        <f>IF(N(X310)=0,"",X310+ROW()/1000000000)</f>
        <v/>
      </c>
      <c r="Z310">
        <f>IF(Y310="","",IF(COUNTIFS(Log!$D$6:$D$1505,D310,Log!$Y$6:$Y$1505,"&gt;"&amp;Y310)=0,1,0))</f>
        <v/>
      </c>
      <c r="AA310">
        <f>IF(OR(B310="",D310=""),"",B310+ROW()/10000000)</f>
        <v/>
      </c>
      <c r="AB310">
        <f>IF(AA310="","",IF(COUNTIFS(Log!$D$6:$D$1505,D310,Log!$AA$6:$AA$1505,"&gt;"&amp;AA310)=0,1,0))</f>
        <v/>
      </c>
      <c r="AC310">
        <f>IF(S310="New best",AA310,"")</f>
        <v/>
      </c>
      <c r="AD310">
        <f>ROW()</f>
        <v/>
      </c>
    </row>
    <row r="311">
      <c r="A311" s="1" t="n"/>
      <c r="B311" s="21" t="n"/>
      <c r="C311" s="22" t="n"/>
      <c r="D311" s="23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15">
        <f>IF(D311="","",COUNT(F311,H311,J311,L311,N311))</f>
        <v/>
      </c>
      <c r="P311" s="25">
        <f>IF(D311="","",N(E311)*N(F311)+N(G311)*N(H311)+N(I311)*N(J311)+N(K311)*N(L311)+N(M311)*N(N311))</f>
        <v/>
      </c>
      <c r="Q311" s="18">
        <f>IF(N(X311)=0,"",IF(IF(N(F311)=0,0,IF(N(E311)&gt;0,E311*(1+F311/30),F311))=X311,IF(N(E311)&gt;0,E311&amp;" x "&amp;F311,F311&amp;" reps"),IF(IF(N(H311)=0,0,IF(N(G311)&gt;0,G311*(1+H311/30),H311))=X311,IF(N(G311)&gt;0,G311&amp;" x "&amp;H311,H311&amp;" reps"),IF(IF(N(J311)=0,0,IF(N(I311)&gt;0,I311*(1+J311/30),J311))=X311,IF(N(I311)&gt;0,I311&amp;" x "&amp;J311,J311&amp;" reps"),IF(IF(N(L311)=0,0,IF(N(K311)&gt;0,K311*(1+L311/30),L311))=X311,IF(N(K311)&gt;0,K311&amp;" x "&amp;L311,L311&amp;" reps"),IF(IF(N(N311)=0,0,IF(N(M311)&gt;0,M311*(1+N311/30),N311))=X311,IF(N(M311)&gt;0,M311&amp;" x "&amp;N311,N311&amp;" reps"),""))))))</f>
        <v/>
      </c>
      <c r="R311" s="20">
        <f>IF(N(X311)=0,"",ROUND(X311,1))</f>
        <v/>
      </c>
      <c r="S311" s="18">
        <f>IF(N(X311)=0,"",IF(AND(COUNTIFS(Log!$D$6:$D$1505,D311,Log!$B$6:$B$1505,"&lt;"&amp;B311)&gt;0,COUNTIFS(Log!$D$6:$D$1505,D311,Log!$B$6:$B$1505,"&lt;"&amp;B311,Log!$X$6:$X$1505,"&gt;="&amp;X311)=0),"New best",""))</f>
        <v/>
      </c>
      <c r="T311" s="26" t="n"/>
      <c r="U311" s="1">
        <f>IF(D311="","",IFERROR(INDEX(Exercises!$C$6:$C$105,MATCH(D311,Exercises!$B$6:$B$105,0)),"Other"))</f>
        <v/>
      </c>
      <c r="V311">
        <f>IF(B311="","",IF(COUNTIF($B$6:B311,B311)=1,1,0))</f>
        <v/>
      </c>
      <c r="W311">
        <f>IF(B311="","",B311-WEEKDAY(B311,3))</f>
        <v/>
      </c>
      <c r="X311">
        <f>IF(D311="","",MAX(IF(N(F311)=0,0,IF(N(E311)&gt;0,E311*(1+F311/30),F311)),IF(N(H311)=0,0,IF(N(G311)&gt;0,G311*(1+H311/30),H311)),IF(N(J311)=0,0,IF(N(I311)&gt;0,I311*(1+J311/30),J311)),IF(N(L311)=0,0,IF(N(K311)&gt;0,K311*(1+L311/30),L311)),IF(N(N311)=0,0,IF(N(M311)&gt;0,M311*(1+N311/30),N311))))</f>
        <v/>
      </c>
      <c r="Y311">
        <f>IF(N(X311)=0,"",X311+ROW()/1000000000)</f>
        <v/>
      </c>
      <c r="Z311">
        <f>IF(Y311="","",IF(COUNTIFS(Log!$D$6:$D$1505,D311,Log!$Y$6:$Y$1505,"&gt;"&amp;Y311)=0,1,0))</f>
        <v/>
      </c>
      <c r="AA311">
        <f>IF(OR(B311="",D311=""),"",B311+ROW()/10000000)</f>
        <v/>
      </c>
      <c r="AB311">
        <f>IF(AA311="","",IF(COUNTIFS(Log!$D$6:$D$1505,D311,Log!$AA$6:$AA$1505,"&gt;"&amp;AA311)=0,1,0))</f>
        <v/>
      </c>
      <c r="AC311">
        <f>IF(S311="New best",AA311,"")</f>
        <v/>
      </c>
      <c r="AD311">
        <f>ROW()</f>
        <v/>
      </c>
    </row>
    <row r="312">
      <c r="A312" s="1" t="n"/>
      <c r="B312" s="21" t="n"/>
      <c r="C312" s="22" t="n"/>
      <c r="D312" s="23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15">
        <f>IF(D312="","",COUNT(F312,H312,J312,L312,N312))</f>
        <v/>
      </c>
      <c r="P312" s="25">
        <f>IF(D312="","",N(E312)*N(F312)+N(G312)*N(H312)+N(I312)*N(J312)+N(K312)*N(L312)+N(M312)*N(N312))</f>
        <v/>
      </c>
      <c r="Q312" s="18">
        <f>IF(N(X312)=0,"",IF(IF(N(F312)=0,0,IF(N(E312)&gt;0,E312*(1+F312/30),F312))=X312,IF(N(E312)&gt;0,E312&amp;" x "&amp;F312,F312&amp;" reps"),IF(IF(N(H312)=0,0,IF(N(G312)&gt;0,G312*(1+H312/30),H312))=X312,IF(N(G312)&gt;0,G312&amp;" x "&amp;H312,H312&amp;" reps"),IF(IF(N(J312)=0,0,IF(N(I312)&gt;0,I312*(1+J312/30),J312))=X312,IF(N(I312)&gt;0,I312&amp;" x "&amp;J312,J312&amp;" reps"),IF(IF(N(L312)=0,0,IF(N(K312)&gt;0,K312*(1+L312/30),L312))=X312,IF(N(K312)&gt;0,K312&amp;" x "&amp;L312,L312&amp;" reps"),IF(IF(N(N312)=0,0,IF(N(M312)&gt;0,M312*(1+N312/30),N312))=X312,IF(N(M312)&gt;0,M312&amp;" x "&amp;N312,N312&amp;" reps"),""))))))</f>
        <v/>
      </c>
      <c r="R312" s="20">
        <f>IF(N(X312)=0,"",ROUND(X312,1))</f>
        <v/>
      </c>
      <c r="S312" s="18">
        <f>IF(N(X312)=0,"",IF(AND(COUNTIFS(Log!$D$6:$D$1505,D312,Log!$B$6:$B$1505,"&lt;"&amp;B312)&gt;0,COUNTIFS(Log!$D$6:$D$1505,D312,Log!$B$6:$B$1505,"&lt;"&amp;B312,Log!$X$6:$X$1505,"&gt;="&amp;X312)=0),"New best",""))</f>
        <v/>
      </c>
      <c r="T312" s="26" t="n"/>
      <c r="U312" s="1">
        <f>IF(D312="","",IFERROR(INDEX(Exercises!$C$6:$C$105,MATCH(D312,Exercises!$B$6:$B$105,0)),"Other"))</f>
        <v/>
      </c>
      <c r="V312">
        <f>IF(B312="","",IF(COUNTIF($B$6:B312,B312)=1,1,0))</f>
        <v/>
      </c>
      <c r="W312">
        <f>IF(B312="","",B312-WEEKDAY(B312,3))</f>
        <v/>
      </c>
      <c r="X312">
        <f>IF(D312="","",MAX(IF(N(F312)=0,0,IF(N(E312)&gt;0,E312*(1+F312/30),F312)),IF(N(H312)=0,0,IF(N(G312)&gt;0,G312*(1+H312/30),H312)),IF(N(J312)=0,0,IF(N(I312)&gt;0,I312*(1+J312/30),J312)),IF(N(L312)=0,0,IF(N(K312)&gt;0,K312*(1+L312/30),L312)),IF(N(N312)=0,0,IF(N(M312)&gt;0,M312*(1+N312/30),N312))))</f>
        <v/>
      </c>
      <c r="Y312">
        <f>IF(N(X312)=0,"",X312+ROW()/1000000000)</f>
        <v/>
      </c>
      <c r="Z312">
        <f>IF(Y312="","",IF(COUNTIFS(Log!$D$6:$D$1505,D312,Log!$Y$6:$Y$1505,"&gt;"&amp;Y312)=0,1,0))</f>
        <v/>
      </c>
      <c r="AA312">
        <f>IF(OR(B312="",D312=""),"",B312+ROW()/10000000)</f>
        <v/>
      </c>
      <c r="AB312">
        <f>IF(AA312="","",IF(COUNTIFS(Log!$D$6:$D$1505,D312,Log!$AA$6:$AA$1505,"&gt;"&amp;AA312)=0,1,0))</f>
        <v/>
      </c>
      <c r="AC312">
        <f>IF(S312="New best",AA312,"")</f>
        <v/>
      </c>
      <c r="AD312">
        <f>ROW()</f>
        <v/>
      </c>
    </row>
    <row r="313">
      <c r="A313" s="1" t="n"/>
      <c r="B313" s="21" t="n"/>
      <c r="C313" s="22" t="n"/>
      <c r="D313" s="23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15">
        <f>IF(D313="","",COUNT(F313,H313,J313,L313,N313))</f>
        <v/>
      </c>
      <c r="P313" s="25">
        <f>IF(D313="","",N(E313)*N(F313)+N(G313)*N(H313)+N(I313)*N(J313)+N(K313)*N(L313)+N(M313)*N(N313))</f>
        <v/>
      </c>
      <c r="Q313" s="18">
        <f>IF(N(X313)=0,"",IF(IF(N(F313)=0,0,IF(N(E313)&gt;0,E313*(1+F313/30),F313))=X313,IF(N(E313)&gt;0,E313&amp;" x "&amp;F313,F313&amp;" reps"),IF(IF(N(H313)=0,0,IF(N(G313)&gt;0,G313*(1+H313/30),H313))=X313,IF(N(G313)&gt;0,G313&amp;" x "&amp;H313,H313&amp;" reps"),IF(IF(N(J313)=0,0,IF(N(I313)&gt;0,I313*(1+J313/30),J313))=X313,IF(N(I313)&gt;0,I313&amp;" x "&amp;J313,J313&amp;" reps"),IF(IF(N(L313)=0,0,IF(N(K313)&gt;0,K313*(1+L313/30),L313))=X313,IF(N(K313)&gt;0,K313&amp;" x "&amp;L313,L313&amp;" reps"),IF(IF(N(N313)=0,0,IF(N(M313)&gt;0,M313*(1+N313/30),N313))=X313,IF(N(M313)&gt;0,M313&amp;" x "&amp;N313,N313&amp;" reps"),""))))))</f>
        <v/>
      </c>
      <c r="R313" s="20">
        <f>IF(N(X313)=0,"",ROUND(X313,1))</f>
        <v/>
      </c>
      <c r="S313" s="18">
        <f>IF(N(X313)=0,"",IF(AND(COUNTIFS(Log!$D$6:$D$1505,D313,Log!$B$6:$B$1505,"&lt;"&amp;B313)&gt;0,COUNTIFS(Log!$D$6:$D$1505,D313,Log!$B$6:$B$1505,"&lt;"&amp;B313,Log!$X$6:$X$1505,"&gt;="&amp;X313)=0),"New best",""))</f>
        <v/>
      </c>
      <c r="T313" s="26" t="n"/>
      <c r="U313" s="1">
        <f>IF(D313="","",IFERROR(INDEX(Exercises!$C$6:$C$105,MATCH(D313,Exercises!$B$6:$B$105,0)),"Other"))</f>
        <v/>
      </c>
      <c r="V313">
        <f>IF(B313="","",IF(COUNTIF($B$6:B313,B313)=1,1,0))</f>
        <v/>
      </c>
      <c r="W313">
        <f>IF(B313="","",B313-WEEKDAY(B313,3))</f>
        <v/>
      </c>
      <c r="X313">
        <f>IF(D313="","",MAX(IF(N(F313)=0,0,IF(N(E313)&gt;0,E313*(1+F313/30),F313)),IF(N(H313)=0,0,IF(N(G313)&gt;0,G313*(1+H313/30),H313)),IF(N(J313)=0,0,IF(N(I313)&gt;0,I313*(1+J313/30),J313)),IF(N(L313)=0,0,IF(N(K313)&gt;0,K313*(1+L313/30),L313)),IF(N(N313)=0,0,IF(N(M313)&gt;0,M313*(1+N313/30),N313))))</f>
        <v/>
      </c>
      <c r="Y313">
        <f>IF(N(X313)=0,"",X313+ROW()/1000000000)</f>
        <v/>
      </c>
      <c r="Z313">
        <f>IF(Y313="","",IF(COUNTIFS(Log!$D$6:$D$1505,D313,Log!$Y$6:$Y$1505,"&gt;"&amp;Y313)=0,1,0))</f>
        <v/>
      </c>
      <c r="AA313">
        <f>IF(OR(B313="",D313=""),"",B313+ROW()/10000000)</f>
        <v/>
      </c>
      <c r="AB313">
        <f>IF(AA313="","",IF(COUNTIFS(Log!$D$6:$D$1505,D313,Log!$AA$6:$AA$1505,"&gt;"&amp;AA313)=0,1,0))</f>
        <v/>
      </c>
      <c r="AC313">
        <f>IF(S313="New best",AA313,"")</f>
        <v/>
      </c>
      <c r="AD313">
        <f>ROW()</f>
        <v/>
      </c>
    </row>
    <row r="314">
      <c r="A314" s="1" t="n"/>
      <c r="B314" s="21" t="n"/>
      <c r="C314" s="22" t="n"/>
      <c r="D314" s="23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15">
        <f>IF(D314="","",COUNT(F314,H314,J314,L314,N314))</f>
        <v/>
      </c>
      <c r="P314" s="25">
        <f>IF(D314="","",N(E314)*N(F314)+N(G314)*N(H314)+N(I314)*N(J314)+N(K314)*N(L314)+N(M314)*N(N314))</f>
        <v/>
      </c>
      <c r="Q314" s="18">
        <f>IF(N(X314)=0,"",IF(IF(N(F314)=0,0,IF(N(E314)&gt;0,E314*(1+F314/30),F314))=X314,IF(N(E314)&gt;0,E314&amp;" x "&amp;F314,F314&amp;" reps"),IF(IF(N(H314)=0,0,IF(N(G314)&gt;0,G314*(1+H314/30),H314))=X314,IF(N(G314)&gt;0,G314&amp;" x "&amp;H314,H314&amp;" reps"),IF(IF(N(J314)=0,0,IF(N(I314)&gt;0,I314*(1+J314/30),J314))=X314,IF(N(I314)&gt;0,I314&amp;" x "&amp;J314,J314&amp;" reps"),IF(IF(N(L314)=0,0,IF(N(K314)&gt;0,K314*(1+L314/30),L314))=X314,IF(N(K314)&gt;0,K314&amp;" x "&amp;L314,L314&amp;" reps"),IF(IF(N(N314)=0,0,IF(N(M314)&gt;0,M314*(1+N314/30),N314))=X314,IF(N(M314)&gt;0,M314&amp;" x "&amp;N314,N314&amp;" reps"),""))))))</f>
        <v/>
      </c>
      <c r="R314" s="20">
        <f>IF(N(X314)=0,"",ROUND(X314,1))</f>
        <v/>
      </c>
      <c r="S314" s="18">
        <f>IF(N(X314)=0,"",IF(AND(COUNTIFS(Log!$D$6:$D$1505,D314,Log!$B$6:$B$1505,"&lt;"&amp;B314)&gt;0,COUNTIFS(Log!$D$6:$D$1505,D314,Log!$B$6:$B$1505,"&lt;"&amp;B314,Log!$X$6:$X$1505,"&gt;="&amp;X314)=0),"New best",""))</f>
        <v/>
      </c>
      <c r="T314" s="26" t="n"/>
      <c r="U314" s="1">
        <f>IF(D314="","",IFERROR(INDEX(Exercises!$C$6:$C$105,MATCH(D314,Exercises!$B$6:$B$105,0)),"Other"))</f>
        <v/>
      </c>
      <c r="V314">
        <f>IF(B314="","",IF(COUNTIF($B$6:B314,B314)=1,1,0))</f>
        <v/>
      </c>
      <c r="W314">
        <f>IF(B314="","",B314-WEEKDAY(B314,3))</f>
        <v/>
      </c>
      <c r="X314">
        <f>IF(D314="","",MAX(IF(N(F314)=0,0,IF(N(E314)&gt;0,E314*(1+F314/30),F314)),IF(N(H314)=0,0,IF(N(G314)&gt;0,G314*(1+H314/30),H314)),IF(N(J314)=0,0,IF(N(I314)&gt;0,I314*(1+J314/30),J314)),IF(N(L314)=0,0,IF(N(K314)&gt;0,K314*(1+L314/30),L314)),IF(N(N314)=0,0,IF(N(M314)&gt;0,M314*(1+N314/30),N314))))</f>
        <v/>
      </c>
      <c r="Y314">
        <f>IF(N(X314)=0,"",X314+ROW()/1000000000)</f>
        <v/>
      </c>
      <c r="Z314">
        <f>IF(Y314="","",IF(COUNTIFS(Log!$D$6:$D$1505,D314,Log!$Y$6:$Y$1505,"&gt;"&amp;Y314)=0,1,0))</f>
        <v/>
      </c>
      <c r="AA314">
        <f>IF(OR(B314="",D314=""),"",B314+ROW()/10000000)</f>
        <v/>
      </c>
      <c r="AB314">
        <f>IF(AA314="","",IF(COUNTIFS(Log!$D$6:$D$1505,D314,Log!$AA$6:$AA$1505,"&gt;"&amp;AA314)=0,1,0))</f>
        <v/>
      </c>
      <c r="AC314">
        <f>IF(S314="New best",AA314,"")</f>
        <v/>
      </c>
      <c r="AD314">
        <f>ROW()</f>
        <v/>
      </c>
    </row>
    <row r="315">
      <c r="A315" s="1" t="n"/>
      <c r="B315" s="21" t="n"/>
      <c r="C315" s="22" t="n"/>
      <c r="D315" s="23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15">
        <f>IF(D315="","",COUNT(F315,H315,J315,L315,N315))</f>
        <v/>
      </c>
      <c r="P315" s="25">
        <f>IF(D315="","",N(E315)*N(F315)+N(G315)*N(H315)+N(I315)*N(J315)+N(K315)*N(L315)+N(M315)*N(N315))</f>
        <v/>
      </c>
      <c r="Q315" s="18">
        <f>IF(N(X315)=0,"",IF(IF(N(F315)=0,0,IF(N(E315)&gt;0,E315*(1+F315/30),F315))=X315,IF(N(E315)&gt;0,E315&amp;" x "&amp;F315,F315&amp;" reps"),IF(IF(N(H315)=0,0,IF(N(G315)&gt;0,G315*(1+H315/30),H315))=X315,IF(N(G315)&gt;0,G315&amp;" x "&amp;H315,H315&amp;" reps"),IF(IF(N(J315)=0,0,IF(N(I315)&gt;0,I315*(1+J315/30),J315))=X315,IF(N(I315)&gt;0,I315&amp;" x "&amp;J315,J315&amp;" reps"),IF(IF(N(L315)=0,0,IF(N(K315)&gt;0,K315*(1+L315/30),L315))=X315,IF(N(K315)&gt;0,K315&amp;" x "&amp;L315,L315&amp;" reps"),IF(IF(N(N315)=0,0,IF(N(M315)&gt;0,M315*(1+N315/30),N315))=X315,IF(N(M315)&gt;0,M315&amp;" x "&amp;N315,N315&amp;" reps"),""))))))</f>
        <v/>
      </c>
      <c r="R315" s="20">
        <f>IF(N(X315)=0,"",ROUND(X315,1))</f>
        <v/>
      </c>
      <c r="S315" s="18">
        <f>IF(N(X315)=0,"",IF(AND(COUNTIFS(Log!$D$6:$D$1505,D315,Log!$B$6:$B$1505,"&lt;"&amp;B315)&gt;0,COUNTIFS(Log!$D$6:$D$1505,D315,Log!$B$6:$B$1505,"&lt;"&amp;B315,Log!$X$6:$X$1505,"&gt;="&amp;X315)=0),"New best",""))</f>
        <v/>
      </c>
      <c r="T315" s="26" t="n"/>
      <c r="U315" s="1">
        <f>IF(D315="","",IFERROR(INDEX(Exercises!$C$6:$C$105,MATCH(D315,Exercises!$B$6:$B$105,0)),"Other"))</f>
        <v/>
      </c>
      <c r="V315">
        <f>IF(B315="","",IF(COUNTIF($B$6:B315,B315)=1,1,0))</f>
        <v/>
      </c>
      <c r="W315">
        <f>IF(B315="","",B315-WEEKDAY(B315,3))</f>
        <v/>
      </c>
      <c r="X315">
        <f>IF(D315="","",MAX(IF(N(F315)=0,0,IF(N(E315)&gt;0,E315*(1+F315/30),F315)),IF(N(H315)=0,0,IF(N(G315)&gt;0,G315*(1+H315/30),H315)),IF(N(J315)=0,0,IF(N(I315)&gt;0,I315*(1+J315/30),J315)),IF(N(L315)=0,0,IF(N(K315)&gt;0,K315*(1+L315/30),L315)),IF(N(N315)=0,0,IF(N(M315)&gt;0,M315*(1+N315/30),N315))))</f>
        <v/>
      </c>
      <c r="Y315">
        <f>IF(N(X315)=0,"",X315+ROW()/1000000000)</f>
        <v/>
      </c>
      <c r="Z315">
        <f>IF(Y315="","",IF(COUNTIFS(Log!$D$6:$D$1505,D315,Log!$Y$6:$Y$1505,"&gt;"&amp;Y315)=0,1,0))</f>
        <v/>
      </c>
      <c r="AA315">
        <f>IF(OR(B315="",D315=""),"",B315+ROW()/10000000)</f>
        <v/>
      </c>
      <c r="AB315">
        <f>IF(AA315="","",IF(COUNTIFS(Log!$D$6:$D$1505,D315,Log!$AA$6:$AA$1505,"&gt;"&amp;AA315)=0,1,0))</f>
        <v/>
      </c>
      <c r="AC315">
        <f>IF(S315="New best",AA315,"")</f>
        <v/>
      </c>
      <c r="AD315">
        <f>ROW()</f>
        <v/>
      </c>
    </row>
    <row r="316">
      <c r="A316" s="1" t="n"/>
      <c r="B316" s="21" t="n"/>
      <c r="C316" s="22" t="n"/>
      <c r="D316" s="23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15">
        <f>IF(D316="","",COUNT(F316,H316,J316,L316,N316))</f>
        <v/>
      </c>
      <c r="P316" s="25">
        <f>IF(D316="","",N(E316)*N(F316)+N(G316)*N(H316)+N(I316)*N(J316)+N(K316)*N(L316)+N(M316)*N(N316))</f>
        <v/>
      </c>
      <c r="Q316" s="18">
        <f>IF(N(X316)=0,"",IF(IF(N(F316)=0,0,IF(N(E316)&gt;0,E316*(1+F316/30),F316))=X316,IF(N(E316)&gt;0,E316&amp;" x "&amp;F316,F316&amp;" reps"),IF(IF(N(H316)=0,0,IF(N(G316)&gt;0,G316*(1+H316/30),H316))=X316,IF(N(G316)&gt;0,G316&amp;" x "&amp;H316,H316&amp;" reps"),IF(IF(N(J316)=0,0,IF(N(I316)&gt;0,I316*(1+J316/30),J316))=X316,IF(N(I316)&gt;0,I316&amp;" x "&amp;J316,J316&amp;" reps"),IF(IF(N(L316)=0,0,IF(N(K316)&gt;0,K316*(1+L316/30),L316))=X316,IF(N(K316)&gt;0,K316&amp;" x "&amp;L316,L316&amp;" reps"),IF(IF(N(N316)=0,0,IF(N(M316)&gt;0,M316*(1+N316/30),N316))=X316,IF(N(M316)&gt;0,M316&amp;" x "&amp;N316,N316&amp;" reps"),""))))))</f>
        <v/>
      </c>
      <c r="R316" s="20">
        <f>IF(N(X316)=0,"",ROUND(X316,1))</f>
        <v/>
      </c>
      <c r="S316" s="18">
        <f>IF(N(X316)=0,"",IF(AND(COUNTIFS(Log!$D$6:$D$1505,D316,Log!$B$6:$B$1505,"&lt;"&amp;B316)&gt;0,COUNTIFS(Log!$D$6:$D$1505,D316,Log!$B$6:$B$1505,"&lt;"&amp;B316,Log!$X$6:$X$1505,"&gt;="&amp;X316)=0),"New best",""))</f>
        <v/>
      </c>
      <c r="T316" s="26" t="n"/>
      <c r="U316" s="1">
        <f>IF(D316="","",IFERROR(INDEX(Exercises!$C$6:$C$105,MATCH(D316,Exercises!$B$6:$B$105,0)),"Other"))</f>
        <v/>
      </c>
      <c r="V316">
        <f>IF(B316="","",IF(COUNTIF($B$6:B316,B316)=1,1,0))</f>
        <v/>
      </c>
      <c r="W316">
        <f>IF(B316="","",B316-WEEKDAY(B316,3))</f>
        <v/>
      </c>
      <c r="X316">
        <f>IF(D316="","",MAX(IF(N(F316)=0,0,IF(N(E316)&gt;0,E316*(1+F316/30),F316)),IF(N(H316)=0,0,IF(N(G316)&gt;0,G316*(1+H316/30),H316)),IF(N(J316)=0,0,IF(N(I316)&gt;0,I316*(1+J316/30),J316)),IF(N(L316)=0,0,IF(N(K316)&gt;0,K316*(1+L316/30),L316)),IF(N(N316)=0,0,IF(N(M316)&gt;0,M316*(1+N316/30),N316))))</f>
        <v/>
      </c>
      <c r="Y316">
        <f>IF(N(X316)=0,"",X316+ROW()/1000000000)</f>
        <v/>
      </c>
      <c r="Z316">
        <f>IF(Y316="","",IF(COUNTIFS(Log!$D$6:$D$1505,D316,Log!$Y$6:$Y$1505,"&gt;"&amp;Y316)=0,1,0))</f>
        <v/>
      </c>
      <c r="AA316">
        <f>IF(OR(B316="",D316=""),"",B316+ROW()/10000000)</f>
        <v/>
      </c>
      <c r="AB316">
        <f>IF(AA316="","",IF(COUNTIFS(Log!$D$6:$D$1505,D316,Log!$AA$6:$AA$1505,"&gt;"&amp;AA316)=0,1,0))</f>
        <v/>
      </c>
      <c r="AC316">
        <f>IF(S316="New best",AA316,"")</f>
        <v/>
      </c>
      <c r="AD316">
        <f>ROW()</f>
        <v/>
      </c>
    </row>
    <row r="317">
      <c r="A317" s="1" t="n"/>
      <c r="B317" s="21" t="n"/>
      <c r="C317" s="22" t="n"/>
      <c r="D317" s="23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15">
        <f>IF(D317="","",COUNT(F317,H317,J317,L317,N317))</f>
        <v/>
      </c>
      <c r="P317" s="25">
        <f>IF(D317="","",N(E317)*N(F317)+N(G317)*N(H317)+N(I317)*N(J317)+N(K317)*N(L317)+N(M317)*N(N317))</f>
        <v/>
      </c>
      <c r="Q317" s="18">
        <f>IF(N(X317)=0,"",IF(IF(N(F317)=0,0,IF(N(E317)&gt;0,E317*(1+F317/30),F317))=X317,IF(N(E317)&gt;0,E317&amp;" x "&amp;F317,F317&amp;" reps"),IF(IF(N(H317)=0,0,IF(N(G317)&gt;0,G317*(1+H317/30),H317))=X317,IF(N(G317)&gt;0,G317&amp;" x "&amp;H317,H317&amp;" reps"),IF(IF(N(J317)=0,0,IF(N(I317)&gt;0,I317*(1+J317/30),J317))=X317,IF(N(I317)&gt;0,I317&amp;" x "&amp;J317,J317&amp;" reps"),IF(IF(N(L317)=0,0,IF(N(K317)&gt;0,K317*(1+L317/30),L317))=X317,IF(N(K317)&gt;0,K317&amp;" x "&amp;L317,L317&amp;" reps"),IF(IF(N(N317)=0,0,IF(N(M317)&gt;0,M317*(1+N317/30),N317))=X317,IF(N(M317)&gt;0,M317&amp;" x "&amp;N317,N317&amp;" reps"),""))))))</f>
        <v/>
      </c>
      <c r="R317" s="20">
        <f>IF(N(X317)=0,"",ROUND(X317,1))</f>
        <v/>
      </c>
      <c r="S317" s="18">
        <f>IF(N(X317)=0,"",IF(AND(COUNTIFS(Log!$D$6:$D$1505,D317,Log!$B$6:$B$1505,"&lt;"&amp;B317)&gt;0,COUNTIFS(Log!$D$6:$D$1505,D317,Log!$B$6:$B$1505,"&lt;"&amp;B317,Log!$X$6:$X$1505,"&gt;="&amp;X317)=0),"New best",""))</f>
        <v/>
      </c>
      <c r="T317" s="26" t="n"/>
      <c r="U317" s="1">
        <f>IF(D317="","",IFERROR(INDEX(Exercises!$C$6:$C$105,MATCH(D317,Exercises!$B$6:$B$105,0)),"Other"))</f>
        <v/>
      </c>
      <c r="V317">
        <f>IF(B317="","",IF(COUNTIF($B$6:B317,B317)=1,1,0))</f>
        <v/>
      </c>
      <c r="W317">
        <f>IF(B317="","",B317-WEEKDAY(B317,3))</f>
        <v/>
      </c>
      <c r="X317">
        <f>IF(D317="","",MAX(IF(N(F317)=0,0,IF(N(E317)&gt;0,E317*(1+F317/30),F317)),IF(N(H317)=0,0,IF(N(G317)&gt;0,G317*(1+H317/30),H317)),IF(N(J317)=0,0,IF(N(I317)&gt;0,I317*(1+J317/30),J317)),IF(N(L317)=0,0,IF(N(K317)&gt;0,K317*(1+L317/30),L317)),IF(N(N317)=0,0,IF(N(M317)&gt;0,M317*(1+N317/30),N317))))</f>
        <v/>
      </c>
      <c r="Y317">
        <f>IF(N(X317)=0,"",X317+ROW()/1000000000)</f>
        <v/>
      </c>
      <c r="Z317">
        <f>IF(Y317="","",IF(COUNTIFS(Log!$D$6:$D$1505,D317,Log!$Y$6:$Y$1505,"&gt;"&amp;Y317)=0,1,0))</f>
        <v/>
      </c>
      <c r="AA317">
        <f>IF(OR(B317="",D317=""),"",B317+ROW()/10000000)</f>
        <v/>
      </c>
      <c r="AB317">
        <f>IF(AA317="","",IF(COUNTIFS(Log!$D$6:$D$1505,D317,Log!$AA$6:$AA$1505,"&gt;"&amp;AA317)=0,1,0))</f>
        <v/>
      </c>
      <c r="AC317">
        <f>IF(S317="New best",AA317,"")</f>
        <v/>
      </c>
      <c r="AD317">
        <f>ROW()</f>
        <v/>
      </c>
    </row>
    <row r="318">
      <c r="A318" s="1" t="n"/>
      <c r="B318" s="21" t="n"/>
      <c r="C318" s="22" t="n"/>
      <c r="D318" s="23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15">
        <f>IF(D318="","",COUNT(F318,H318,J318,L318,N318))</f>
        <v/>
      </c>
      <c r="P318" s="25">
        <f>IF(D318="","",N(E318)*N(F318)+N(G318)*N(H318)+N(I318)*N(J318)+N(K318)*N(L318)+N(M318)*N(N318))</f>
        <v/>
      </c>
      <c r="Q318" s="18">
        <f>IF(N(X318)=0,"",IF(IF(N(F318)=0,0,IF(N(E318)&gt;0,E318*(1+F318/30),F318))=X318,IF(N(E318)&gt;0,E318&amp;" x "&amp;F318,F318&amp;" reps"),IF(IF(N(H318)=0,0,IF(N(G318)&gt;0,G318*(1+H318/30),H318))=X318,IF(N(G318)&gt;0,G318&amp;" x "&amp;H318,H318&amp;" reps"),IF(IF(N(J318)=0,0,IF(N(I318)&gt;0,I318*(1+J318/30),J318))=X318,IF(N(I318)&gt;0,I318&amp;" x "&amp;J318,J318&amp;" reps"),IF(IF(N(L318)=0,0,IF(N(K318)&gt;0,K318*(1+L318/30),L318))=X318,IF(N(K318)&gt;0,K318&amp;" x "&amp;L318,L318&amp;" reps"),IF(IF(N(N318)=0,0,IF(N(M318)&gt;0,M318*(1+N318/30),N318))=X318,IF(N(M318)&gt;0,M318&amp;" x "&amp;N318,N318&amp;" reps"),""))))))</f>
        <v/>
      </c>
      <c r="R318" s="20">
        <f>IF(N(X318)=0,"",ROUND(X318,1))</f>
        <v/>
      </c>
      <c r="S318" s="18">
        <f>IF(N(X318)=0,"",IF(AND(COUNTIFS(Log!$D$6:$D$1505,D318,Log!$B$6:$B$1505,"&lt;"&amp;B318)&gt;0,COUNTIFS(Log!$D$6:$D$1505,D318,Log!$B$6:$B$1505,"&lt;"&amp;B318,Log!$X$6:$X$1505,"&gt;="&amp;X318)=0),"New best",""))</f>
        <v/>
      </c>
      <c r="T318" s="26" t="n"/>
      <c r="U318" s="1">
        <f>IF(D318="","",IFERROR(INDEX(Exercises!$C$6:$C$105,MATCH(D318,Exercises!$B$6:$B$105,0)),"Other"))</f>
        <v/>
      </c>
      <c r="V318">
        <f>IF(B318="","",IF(COUNTIF($B$6:B318,B318)=1,1,0))</f>
        <v/>
      </c>
      <c r="W318">
        <f>IF(B318="","",B318-WEEKDAY(B318,3))</f>
        <v/>
      </c>
      <c r="X318">
        <f>IF(D318="","",MAX(IF(N(F318)=0,0,IF(N(E318)&gt;0,E318*(1+F318/30),F318)),IF(N(H318)=0,0,IF(N(G318)&gt;0,G318*(1+H318/30),H318)),IF(N(J318)=0,0,IF(N(I318)&gt;0,I318*(1+J318/30),J318)),IF(N(L318)=0,0,IF(N(K318)&gt;0,K318*(1+L318/30),L318)),IF(N(N318)=0,0,IF(N(M318)&gt;0,M318*(1+N318/30),N318))))</f>
        <v/>
      </c>
      <c r="Y318">
        <f>IF(N(X318)=0,"",X318+ROW()/1000000000)</f>
        <v/>
      </c>
      <c r="Z318">
        <f>IF(Y318="","",IF(COUNTIFS(Log!$D$6:$D$1505,D318,Log!$Y$6:$Y$1505,"&gt;"&amp;Y318)=0,1,0))</f>
        <v/>
      </c>
      <c r="AA318">
        <f>IF(OR(B318="",D318=""),"",B318+ROW()/10000000)</f>
        <v/>
      </c>
      <c r="AB318">
        <f>IF(AA318="","",IF(COUNTIFS(Log!$D$6:$D$1505,D318,Log!$AA$6:$AA$1505,"&gt;"&amp;AA318)=0,1,0))</f>
        <v/>
      </c>
      <c r="AC318">
        <f>IF(S318="New best",AA318,"")</f>
        <v/>
      </c>
      <c r="AD318">
        <f>ROW()</f>
        <v/>
      </c>
    </row>
    <row r="319">
      <c r="A319" s="1" t="n"/>
      <c r="B319" s="21" t="n"/>
      <c r="C319" s="22" t="n"/>
      <c r="D319" s="23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15">
        <f>IF(D319="","",COUNT(F319,H319,J319,L319,N319))</f>
        <v/>
      </c>
      <c r="P319" s="25">
        <f>IF(D319="","",N(E319)*N(F319)+N(G319)*N(H319)+N(I319)*N(J319)+N(K319)*N(L319)+N(M319)*N(N319))</f>
        <v/>
      </c>
      <c r="Q319" s="18">
        <f>IF(N(X319)=0,"",IF(IF(N(F319)=0,0,IF(N(E319)&gt;0,E319*(1+F319/30),F319))=X319,IF(N(E319)&gt;0,E319&amp;" x "&amp;F319,F319&amp;" reps"),IF(IF(N(H319)=0,0,IF(N(G319)&gt;0,G319*(1+H319/30),H319))=X319,IF(N(G319)&gt;0,G319&amp;" x "&amp;H319,H319&amp;" reps"),IF(IF(N(J319)=0,0,IF(N(I319)&gt;0,I319*(1+J319/30),J319))=X319,IF(N(I319)&gt;0,I319&amp;" x "&amp;J319,J319&amp;" reps"),IF(IF(N(L319)=0,0,IF(N(K319)&gt;0,K319*(1+L319/30),L319))=X319,IF(N(K319)&gt;0,K319&amp;" x "&amp;L319,L319&amp;" reps"),IF(IF(N(N319)=0,0,IF(N(M319)&gt;0,M319*(1+N319/30),N319))=X319,IF(N(M319)&gt;0,M319&amp;" x "&amp;N319,N319&amp;" reps"),""))))))</f>
        <v/>
      </c>
      <c r="R319" s="20">
        <f>IF(N(X319)=0,"",ROUND(X319,1))</f>
        <v/>
      </c>
      <c r="S319" s="18">
        <f>IF(N(X319)=0,"",IF(AND(COUNTIFS(Log!$D$6:$D$1505,D319,Log!$B$6:$B$1505,"&lt;"&amp;B319)&gt;0,COUNTIFS(Log!$D$6:$D$1505,D319,Log!$B$6:$B$1505,"&lt;"&amp;B319,Log!$X$6:$X$1505,"&gt;="&amp;X319)=0),"New best",""))</f>
        <v/>
      </c>
      <c r="T319" s="26" t="n"/>
      <c r="U319" s="1">
        <f>IF(D319="","",IFERROR(INDEX(Exercises!$C$6:$C$105,MATCH(D319,Exercises!$B$6:$B$105,0)),"Other"))</f>
        <v/>
      </c>
      <c r="V319">
        <f>IF(B319="","",IF(COUNTIF($B$6:B319,B319)=1,1,0))</f>
        <v/>
      </c>
      <c r="W319">
        <f>IF(B319="","",B319-WEEKDAY(B319,3))</f>
        <v/>
      </c>
      <c r="X319">
        <f>IF(D319="","",MAX(IF(N(F319)=0,0,IF(N(E319)&gt;0,E319*(1+F319/30),F319)),IF(N(H319)=0,0,IF(N(G319)&gt;0,G319*(1+H319/30),H319)),IF(N(J319)=0,0,IF(N(I319)&gt;0,I319*(1+J319/30),J319)),IF(N(L319)=0,0,IF(N(K319)&gt;0,K319*(1+L319/30),L319)),IF(N(N319)=0,0,IF(N(M319)&gt;0,M319*(1+N319/30),N319))))</f>
        <v/>
      </c>
      <c r="Y319">
        <f>IF(N(X319)=0,"",X319+ROW()/1000000000)</f>
        <v/>
      </c>
      <c r="Z319">
        <f>IF(Y319="","",IF(COUNTIFS(Log!$D$6:$D$1505,D319,Log!$Y$6:$Y$1505,"&gt;"&amp;Y319)=0,1,0))</f>
        <v/>
      </c>
      <c r="AA319">
        <f>IF(OR(B319="",D319=""),"",B319+ROW()/10000000)</f>
        <v/>
      </c>
      <c r="AB319">
        <f>IF(AA319="","",IF(COUNTIFS(Log!$D$6:$D$1505,D319,Log!$AA$6:$AA$1505,"&gt;"&amp;AA319)=0,1,0))</f>
        <v/>
      </c>
      <c r="AC319">
        <f>IF(S319="New best",AA319,"")</f>
        <v/>
      </c>
      <c r="AD319">
        <f>ROW()</f>
        <v/>
      </c>
    </row>
    <row r="320">
      <c r="A320" s="1" t="n"/>
      <c r="B320" s="21" t="n"/>
      <c r="C320" s="22" t="n"/>
      <c r="D320" s="23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15">
        <f>IF(D320="","",COUNT(F320,H320,J320,L320,N320))</f>
        <v/>
      </c>
      <c r="P320" s="25">
        <f>IF(D320="","",N(E320)*N(F320)+N(G320)*N(H320)+N(I320)*N(J320)+N(K320)*N(L320)+N(M320)*N(N320))</f>
        <v/>
      </c>
      <c r="Q320" s="18">
        <f>IF(N(X320)=0,"",IF(IF(N(F320)=0,0,IF(N(E320)&gt;0,E320*(1+F320/30),F320))=X320,IF(N(E320)&gt;0,E320&amp;" x "&amp;F320,F320&amp;" reps"),IF(IF(N(H320)=0,0,IF(N(G320)&gt;0,G320*(1+H320/30),H320))=X320,IF(N(G320)&gt;0,G320&amp;" x "&amp;H320,H320&amp;" reps"),IF(IF(N(J320)=0,0,IF(N(I320)&gt;0,I320*(1+J320/30),J320))=X320,IF(N(I320)&gt;0,I320&amp;" x "&amp;J320,J320&amp;" reps"),IF(IF(N(L320)=0,0,IF(N(K320)&gt;0,K320*(1+L320/30),L320))=X320,IF(N(K320)&gt;0,K320&amp;" x "&amp;L320,L320&amp;" reps"),IF(IF(N(N320)=0,0,IF(N(M320)&gt;0,M320*(1+N320/30),N320))=X320,IF(N(M320)&gt;0,M320&amp;" x "&amp;N320,N320&amp;" reps"),""))))))</f>
        <v/>
      </c>
      <c r="R320" s="20">
        <f>IF(N(X320)=0,"",ROUND(X320,1))</f>
        <v/>
      </c>
      <c r="S320" s="18">
        <f>IF(N(X320)=0,"",IF(AND(COUNTIFS(Log!$D$6:$D$1505,D320,Log!$B$6:$B$1505,"&lt;"&amp;B320)&gt;0,COUNTIFS(Log!$D$6:$D$1505,D320,Log!$B$6:$B$1505,"&lt;"&amp;B320,Log!$X$6:$X$1505,"&gt;="&amp;X320)=0),"New best",""))</f>
        <v/>
      </c>
      <c r="T320" s="26" t="n"/>
      <c r="U320" s="1">
        <f>IF(D320="","",IFERROR(INDEX(Exercises!$C$6:$C$105,MATCH(D320,Exercises!$B$6:$B$105,0)),"Other"))</f>
        <v/>
      </c>
      <c r="V320">
        <f>IF(B320="","",IF(COUNTIF($B$6:B320,B320)=1,1,0))</f>
        <v/>
      </c>
      <c r="W320">
        <f>IF(B320="","",B320-WEEKDAY(B320,3))</f>
        <v/>
      </c>
      <c r="X320">
        <f>IF(D320="","",MAX(IF(N(F320)=0,0,IF(N(E320)&gt;0,E320*(1+F320/30),F320)),IF(N(H320)=0,0,IF(N(G320)&gt;0,G320*(1+H320/30),H320)),IF(N(J320)=0,0,IF(N(I320)&gt;0,I320*(1+J320/30),J320)),IF(N(L320)=0,0,IF(N(K320)&gt;0,K320*(1+L320/30),L320)),IF(N(N320)=0,0,IF(N(M320)&gt;0,M320*(1+N320/30),N320))))</f>
        <v/>
      </c>
      <c r="Y320">
        <f>IF(N(X320)=0,"",X320+ROW()/1000000000)</f>
        <v/>
      </c>
      <c r="Z320">
        <f>IF(Y320="","",IF(COUNTIFS(Log!$D$6:$D$1505,D320,Log!$Y$6:$Y$1505,"&gt;"&amp;Y320)=0,1,0))</f>
        <v/>
      </c>
      <c r="AA320">
        <f>IF(OR(B320="",D320=""),"",B320+ROW()/10000000)</f>
        <v/>
      </c>
      <c r="AB320">
        <f>IF(AA320="","",IF(COUNTIFS(Log!$D$6:$D$1505,D320,Log!$AA$6:$AA$1505,"&gt;"&amp;AA320)=0,1,0))</f>
        <v/>
      </c>
      <c r="AC320">
        <f>IF(S320="New best",AA320,"")</f>
        <v/>
      </c>
      <c r="AD320">
        <f>ROW()</f>
        <v/>
      </c>
    </row>
    <row r="321">
      <c r="A321" s="1" t="n"/>
      <c r="B321" s="21" t="n"/>
      <c r="C321" s="22" t="n"/>
      <c r="D321" s="23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15">
        <f>IF(D321="","",COUNT(F321,H321,J321,L321,N321))</f>
        <v/>
      </c>
      <c r="P321" s="25">
        <f>IF(D321="","",N(E321)*N(F321)+N(G321)*N(H321)+N(I321)*N(J321)+N(K321)*N(L321)+N(M321)*N(N321))</f>
        <v/>
      </c>
      <c r="Q321" s="18">
        <f>IF(N(X321)=0,"",IF(IF(N(F321)=0,0,IF(N(E321)&gt;0,E321*(1+F321/30),F321))=X321,IF(N(E321)&gt;0,E321&amp;" x "&amp;F321,F321&amp;" reps"),IF(IF(N(H321)=0,0,IF(N(G321)&gt;0,G321*(1+H321/30),H321))=X321,IF(N(G321)&gt;0,G321&amp;" x "&amp;H321,H321&amp;" reps"),IF(IF(N(J321)=0,0,IF(N(I321)&gt;0,I321*(1+J321/30),J321))=X321,IF(N(I321)&gt;0,I321&amp;" x "&amp;J321,J321&amp;" reps"),IF(IF(N(L321)=0,0,IF(N(K321)&gt;0,K321*(1+L321/30),L321))=X321,IF(N(K321)&gt;0,K321&amp;" x "&amp;L321,L321&amp;" reps"),IF(IF(N(N321)=0,0,IF(N(M321)&gt;0,M321*(1+N321/30),N321))=X321,IF(N(M321)&gt;0,M321&amp;" x "&amp;N321,N321&amp;" reps"),""))))))</f>
        <v/>
      </c>
      <c r="R321" s="20">
        <f>IF(N(X321)=0,"",ROUND(X321,1))</f>
        <v/>
      </c>
      <c r="S321" s="18">
        <f>IF(N(X321)=0,"",IF(AND(COUNTIFS(Log!$D$6:$D$1505,D321,Log!$B$6:$B$1505,"&lt;"&amp;B321)&gt;0,COUNTIFS(Log!$D$6:$D$1505,D321,Log!$B$6:$B$1505,"&lt;"&amp;B321,Log!$X$6:$X$1505,"&gt;="&amp;X321)=0),"New best",""))</f>
        <v/>
      </c>
      <c r="T321" s="26" t="n"/>
      <c r="U321" s="1">
        <f>IF(D321="","",IFERROR(INDEX(Exercises!$C$6:$C$105,MATCH(D321,Exercises!$B$6:$B$105,0)),"Other"))</f>
        <v/>
      </c>
      <c r="V321">
        <f>IF(B321="","",IF(COUNTIF($B$6:B321,B321)=1,1,0))</f>
        <v/>
      </c>
      <c r="W321">
        <f>IF(B321="","",B321-WEEKDAY(B321,3))</f>
        <v/>
      </c>
      <c r="X321">
        <f>IF(D321="","",MAX(IF(N(F321)=0,0,IF(N(E321)&gt;0,E321*(1+F321/30),F321)),IF(N(H321)=0,0,IF(N(G321)&gt;0,G321*(1+H321/30),H321)),IF(N(J321)=0,0,IF(N(I321)&gt;0,I321*(1+J321/30),J321)),IF(N(L321)=0,0,IF(N(K321)&gt;0,K321*(1+L321/30),L321)),IF(N(N321)=0,0,IF(N(M321)&gt;0,M321*(1+N321/30),N321))))</f>
        <v/>
      </c>
      <c r="Y321">
        <f>IF(N(X321)=0,"",X321+ROW()/1000000000)</f>
        <v/>
      </c>
      <c r="Z321">
        <f>IF(Y321="","",IF(COUNTIFS(Log!$D$6:$D$1505,D321,Log!$Y$6:$Y$1505,"&gt;"&amp;Y321)=0,1,0))</f>
        <v/>
      </c>
      <c r="AA321">
        <f>IF(OR(B321="",D321=""),"",B321+ROW()/10000000)</f>
        <v/>
      </c>
      <c r="AB321">
        <f>IF(AA321="","",IF(COUNTIFS(Log!$D$6:$D$1505,D321,Log!$AA$6:$AA$1505,"&gt;"&amp;AA321)=0,1,0))</f>
        <v/>
      </c>
      <c r="AC321">
        <f>IF(S321="New best",AA321,"")</f>
        <v/>
      </c>
      <c r="AD321">
        <f>ROW()</f>
        <v/>
      </c>
    </row>
    <row r="322">
      <c r="A322" s="1" t="n"/>
      <c r="B322" s="21" t="n"/>
      <c r="C322" s="22" t="n"/>
      <c r="D322" s="23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15">
        <f>IF(D322="","",COUNT(F322,H322,J322,L322,N322))</f>
        <v/>
      </c>
      <c r="P322" s="25">
        <f>IF(D322="","",N(E322)*N(F322)+N(G322)*N(H322)+N(I322)*N(J322)+N(K322)*N(L322)+N(M322)*N(N322))</f>
        <v/>
      </c>
      <c r="Q322" s="18">
        <f>IF(N(X322)=0,"",IF(IF(N(F322)=0,0,IF(N(E322)&gt;0,E322*(1+F322/30),F322))=X322,IF(N(E322)&gt;0,E322&amp;" x "&amp;F322,F322&amp;" reps"),IF(IF(N(H322)=0,0,IF(N(G322)&gt;0,G322*(1+H322/30),H322))=X322,IF(N(G322)&gt;0,G322&amp;" x "&amp;H322,H322&amp;" reps"),IF(IF(N(J322)=0,0,IF(N(I322)&gt;0,I322*(1+J322/30),J322))=X322,IF(N(I322)&gt;0,I322&amp;" x "&amp;J322,J322&amp;" reps"),IF(IF(N(L322)=0,0,IF(N(K322)&gt;0,K322*(1+L322/30),L322))=X322,IF(N(K322)&gt;0,K322&amp;" x "&amp;L322,L322&amp;" reps"),IF(IF(N(N322)=0,0,IF(N(M322)&gt;0,M322*(1+N322/30),N322))=X322,IF(N(M322)&gt;0,M322&amp;" x "&amp;N322,N322&amp;" reps"),""))))))</f>
        <v/>
      </c>
      <c r="R322" s="20">
        <f>IF(N(X322)=0,"",ROUND(X322,1))</f>
        <v/>
      </c>
      <c r="S322" s="18">
        <f>IF(N(X322)=0,"",IF(AND(COUNTIFS(Log!$D$6:$D$1505,D322,Log!$B$6:$B$1505,"&lt;"&amp;B322)&gt;0,COUNTIFS(Log!$D$6:$D$1505,D322,Log!$B$6:$B$1505,"&lt;"&amp;B322,Log!$X$6:$X$1505,"&gt;="&amp;X322)=0),"New best",""))</f>
        <v/>
      </c>
      <c r="T322" s="26" t="n"/>
      <c r="U322" s="1">
        <f>IF(D322="","",IFERROR(INDEX(Exercises!$C$6:$C$105,MATCH(D322,Exercises!$B$6:$B$105,0)),"Other"))</f>
        <v/>
      </c>
      <c r="V322">
        <f>IF(B322="","",IF(COUNTIF($B$6:B322,B322)=1,1,0))</f>
        <v/>
      </c>
      <c r="W322">
        <f>IF(B322="","",B322-WEEKDAY(B322,3))</f>
        <v/>
      </c>
      <c r="X322">
        <f>IF(D322="","",MAX(IF(N(F322)=0,0,IF(N(E322)&gt;0,E322*(1+F322/30),F322)),IF(N(H322)=0,0,IF(N(G322)&gt;0,G322*(1+H322/30),H322)),IF(N(J322)=0,0,IF(N(I322)&gt;0,I322*(1+J322/30),J322)),IF(N(L322)=0,0,IF(N(K322)&gt;0,K322*(1+L322/30),L322)),IF(N(N322)=0,0,IF(N(M322)&gt;0,M322*(1+N322/30),N322))))</f>
        <v/>
      </c>
      <c r="Y322">
        <f>IF(N(X322)=0,"",X322+ROW()/1000000000)</f>
        <v/>
      </c>
      <c r="Z322">
        <f>IF(Y322="","",IF(COUNTIFS(Log!$D$6:$D$1505,D322,Log!$Y$6:$Y$1505,"&gt;"&amp;Y322)=0,1,0))</f>
        <v/>
      </c>
      <c r="AA322">
        <f>IF(OR(B322="",D322=""),"",B322+ROW()/10000000)</f>
        <v/>
      </c>
      <c r="AB322">
        <f>IF(AA322="","",IF(COUNTIFS(Log!$D$6:$D$1505,D322,Log!$AA$6:$AA$1505,"&gt;"&amp;AA322)=0,1,0))</f>
        <v/>
      </c>
      <c r="AC322">
        <f>IF(S322="New best",AA322,"")</f>
        <v/>
      </c>
      <c r="AD322">
        <f>ROW()</f>
        <v/>
      </c>
    </row>
    <row r="323">
      <c r="A323" s="1" t="n"/>
      <c r="B323" s="21" t="n"/>
      <c r="C323" s="22" t="n"/>
      <c r="D323" s="23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15">
        <f>IF(D323="","",COUNT(F323,H323,J323,L323,N323))</f>
        <v/>
      </c>
      <c r="P323" s="25">
        <f>IF(D323="","",N(E323)*N(F323)+N(G323)*N(H323)+N(I323)*N(J323)+N(K323)*N(L323)+N(M323)*N(N323))</f>
        <v/>
      </c>
      <c r="Q323" s="18">
        <f>IF(N(X323)=0,"",IF(IF(N(F323)=0,0,IF(N(E323)&gt;0,E323*(1+F323/30),F323))=X323,IF(N(E323)&gt;0,E323&amp;" x "&amp;F323,F323&amp;" reps"),IF(IF(N(H323)=0,0,IF(N(G323)&gt;0,G323*(1+H323/30),H323))=X323,IF(N(G323)&gt;0,G323&amp;" x "&amp;H323,H323&amp;" reps"),IF(IF(N(J323)=0,0,IF(N(I323)&gt;0,I323*(1+J323/30),J323))=X323,IF(N(I323)&gt;0,I323&amp;" x "&amp;J323,J323&amp;" reps"),IF(IF(N(L323)=0,0,IF(N(K323)&gt;0,K323*(1+L323/30),L323))=X323,IF(N(K323)&gt;0,K323&amp;" x "&amp;L323,L323&amp;" reps"),IF(IF(N(N323)=0,0,IF(N(M323)&gt;0,M323*(1+N323/30),N323))=X323,IF(N(M323)&gt;0,M323&amp;" x "&amp;N323,N323&amp;" reps"),""))))))</f>
        <v/>
      </c>
      <c r="R323" s="20">
        <f>IF(N(X323)=0,"",ROUND(X323,1))</f>
        <v/>
      </c>
      <c r="S323" s="18">
        <f>IF(N(X323)=0,"",IF(AND(COUNTIFS(Log!$D$6:$D$1505,D323,Log!$B$6:$B$1505,"&lt;"&amp;B323)&gt;0,COUNTIFS(Log!$D$6:$D$1505,D323,Log!$B$6:$B$1505,"&lt;"&amp;B323,Log!$X$6:$X$1505,"&gt;="&amp;X323)=0),"New best",""))</f>
        <v/>
      </c>
      <c r="T323" s="26" t="n"/>
      <c r="U323" s="1">
        <f>IF(D323="","",IFERROR(INDEX(Exercises!$C$6:$C$105,MATCH(D323,Exercises!$B$6:$B$105,0)),"Other"))</f>
        <v/>
      </c>
      <c r="V323">
        <f>IF(B323="","",IF(COUNTIF($B$6:B323,B323)=1,1,0))</f>
        <v/>
      </c>
      <c r="W323">
        <f>IF(B323="","",B323-WEEKDAY(B323,3))</f>
        <v/>
      </c>
      <c r="X323">
        <f>IF(D323="","",MAX(IF(N(F323)=0,0,IF(N(E323)&gt;0,E323*(1+F323/30),F323)),IF(N(H323)=0,0,IF(N(G323)&gt;0,G323*(1+H323/30),H323)),IF(N(J323)=0,0,IF(N(I323)&gt;0,I323*(1+J323/30),J323)),IF(N(L323)=0,0,IF(N(K323)&gt;0,K323*(1+L323/30),L323)),IF(N(N323)=0,0,IF(N(M323)&gt;0,M323*(1+N323/30),N323))))</f>
        <v/>
      </c>
      <c r="Y323">
        <f>IF(N(X323)=0,"",X323+ROW()/1000000000)</f>
        <v/>
      </c>
      <c r="Z323">
        <f>IF(Y323="","",IF(COUNTIFS(Log!$D$6:$D$1505,D323,Log!$Y$6:$Y$1505,"&gt;"&amp;Y323)=0,1,0))</f>
        <v/>
      </c>
      <c r="AA323">
        <f>IF(OR(B323="",D323=""),"",B323+ROW()/10000000)</f>
        <v/>
      </c>
      <c r="AB323">
        <f>IF(AA323="","",IF(COUNTIFS(Log!$D$6:$D$1505,D323,Log!$AA$6:$AA$1505,"&gt;"&amp;AA323)=0,1,0))</f>
        <v/>
      </c>
      <c r="AC323">
        <f>IF(S323="New best",AA323,"")</f>
        <v/>
      </c>
      <c r="AD323">
        <f>ROW()</f>
        <v/>
      </c>
    </row>
    <row r="324">
      <c r="A324" s="1" t="n"/>
      <c r="B324" s="21" t="n"/>
      <c r="C324" s="22" t="n"/>
      <c r="D324" s="23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15">
        <f>IF(D324="","",COUNT(F324,H324,J324,L324,N324))</f>
        <v/>
      </c>
      <c r="P324" s="25">
        <f>IF(D324="","",N(E324)*N(F324)+N(G324)*N(H324)+N(I324)*N(J324)+N(K324)*N(L324)+N(M324)*N(N324))</f>
        <v/>
      </c>
      <c r="Q324" s="18">
        <f>IF(N(X324)=0,"",IF(IF(N(F324)=0,0,IF(N(E324)&gt;0,E324*(1+F324/30),F324))=X324,IF(N(E324)&gt;0,E324&amp;" x "&amp;F324,F324&amp;" reps"),IF(IF(N(H324)=0,0,IF(N(G324)&gt;0,G324*(1+H324/30),H324))=X324,IF(N(G324)&gt;0,G324&amp;" x "&amp;H324,H324&amp;" reps"),IF(IF(N(J324)=0,0,IF(N(I324)&gt;0,I324*(1+J324/30),J324))=X324,IF(N(I324)&gt;0,I324&amp;" x "&amp;J324,J324&amp;" reps"),IF(IF(N(L324)=0,0,IF(N(K324)&gt;0,K324*(1+L324/30),L324))=X324,IF(N(K324)&gt;0,K324&amp;" x "&amp;L324,L324&amp;" reps"),IF(IF(N(N324)=0,0,IF(N(M324)&gt;0,M324*(1+N324/30),N324))=X324,IF(N(M324)&gt;0,M324&amp;" x "&amp;N324,N324&amp;" reps"),""))))))</f>
        <v/>
      </c>
      <c r="R324" s="20">
        <f>IF(N(X324)=0,"",ROUND(X324,1))</f>
        <v/>
      </c>
      <c r="S324" s="18">
        <f>IF(N(X324)=0,"",IF(AND(COUNTIFS(Log!$D$6:$D$1505,D324,Log!$B$6:$B$1505,"&lt;"&amp;B324)&gt;0,COUNTIFS(Log!$D$6:$D$1505,D324,Log!$B$6:$B$1505,"&lt;"&amp;B324,Log!$X$6:$X$1505,"&gt;="&amp;X324)=0),"New best",""))</f>
        <v/>
      </c>
      <c r="T324" s="26" t="n"/>
      <c r="U324" s="1">
        <f>IF(D324="","",IFERROR(INDEX(Exercises!$C$6:$C$105,MATCH(D324,Exercises!$B$6:$B$105,0)),"Other"))</f>
        <v/>
      </c>
      <c r="V324">
        <f>IF(B324="","",IF(COUNTIF($B$6:B324,B324)=1,1,0))</f>
        <v/>
      </c>
      <c r="W324">
        <f>IF(B324="","",B324-WEEKDAY(B324,3))</f>
        <v/>
      </c>
      <c r="X324">
        <f>IF(D324="","",MAX(IF(N(F324)=0,0,IF(N(E324)&gt;0,E324*(1+F324/30),F324)),IF(N(H324)=0,0,IF(N(G324)&gt;0,G324*(1+H324/30),H324)),IF(N(J324)=0,0,IF(N(I324)&gt;0,I324*(1+J324/30),J324)),IF(N(L324)=0,0,IF(N(K324)&gt;0,K324*(1+L324/30),L324)),IF(N(N324)=0,0,IF(N(M324)&gt;0,M324*(1+N324/30),N324))))</f>
        <v/>
      </c>
      <c r="Y324">
        <f>IF(N(X324)=0,"",X324+ROW()/1000000000)</f>
        <v/>
      </c>
      <c r="Z324">
        <f>IF(Y324="","",IF(COUNTIFS(Log!$D$6:$D$1505,D324,Log!$Y$6:$Y$1505,"&gt;"&amp;Y324)=0,1,0))</f>
        <v/>
      </c>
      <c r="AA324">
        <f>IF(OR(B324="",D324=""),"",B324+ROW()/10000000)</f>
        <v/>
      </c>
      <c r="AB324">
        <f>IF(AA324="","",IF(COUNTIFS(Log!$D$6:$D$1505,D324,Log!$AA$6:$AA$1505,"&gt;"&amp;AA324)=0,1,0))</f>
        <v/>
      </c>
      <c r="AC324">
        <f>IF(S324="New best",AA324,"")</f>
        <v/>
      </c>
      <c r="AD324">
        <f>ROW()</f>
        <v/>
      </c>
    </row>
    <row r="325">
      <c r="A325" s="1" t="n"/>
      <c r="B325" s="21" t="n"/>
      <c r="C325" s="22" t="n"/>
      <c r="D325" s="23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15">
        <f>IF(D325="","",COUNT(F325,H325,J325,L325,N325))</f>
        <v/>
      </c>
      <c r="P325" s="25">
        <f>IF(D325="","",N(E325)*N(F325)+N(G325)*N(H325)+N(I325)*N(J325)+N(K325)*N(L325)+N(M325)*N(N325))</f>
        <v/>
      </c>
      <c r="Q325" s="18">
        <f>IF(N(X325)=0,"",IF(IF(N(F325)=0,0,IF(N(E325)&gt;0,E325*(1+F325/30),F325))=X325,IF(N(E325)&gt;0,E325&amp;" x "&amp;F325,F325&amp;" reps"),IF(IF(N(H325)=0,0,IF(N(G325)&gt;0,G325*(1+H325/30),H325))=X325,IF(N(G325)&gt;0,G325&amp;" x "&amp;H325,H325&amp;" reps"),IF(IF(N(J325)=0,0,IF(N(I325)&gt;0,I325*(1+J325/30),J325))=X325,IF(N(I325)&gt;0,I325&amp;" x "&amp;J325,J325&amp;" reps"),IF(IF(N(L325)=0,0,IF(N(K325)&gt;0,K325*(1+L325/30),L325))=X325,IF(N(K325)&gt;0,K325&amp;" x "&amp;L325,L325&amp;" reps"),IF(IF(N(N325)=0,0,IF(N(M325)&gt;0,M325*(1+N325/30),N325))=X325,IF(N(M325)&gt;0,M325&amp;" x "&amp;N325,N325&amp;" reps"),""))))))</f>
        <v/>
      </c>
      <c r="R325" s="20">
        <f>IF(N(X325)=0,"",ROUND(X325,1))</f>
        <v/>
      </c>
      <c r="S325" s="18">
        <f>IF(N(X325)=0,"",IF(AND(COUNTIFS(Log!$D$6:$D$1505,D325,Log!$B$6:$B$1505,"&lt;"&amp;B325)&gt;0,COUNTIFS(Log!$D$6:$D$1505,D325,Log!$B$6:$B$1505,"&lt;"&amp;B325,Log!$X$6:$X$1505,"&gt;="&amp;X325)=0),"New best",""))</f>
        <v/>
      </c>
      <c r="T325" s="26" t="n"/>
      <c r="U325" s="1">
        <f>IF(D325="","",IFERROR(INDEX(Exercises!$C$6:$C$105,MATCH(D325,Exercises!$B$6:$B$105,0)),"Other"))</f>
        <v/>
      </c>
      <c r="V325">
        <f>IF(B325="","",IF(COUNTIF($B$6:B325,B325)=1,1,0))</f>
        <v/>
      </c>
      <c r="W325">
        <f>IF(B325="","",B325-WEEKDAY(B325,3))</f>
        <v/>
      </c>
      <c r="X325">
        <f>IF(D325="","",MAX(IF(N(F325)=0,0,IF(N(E325)&gt;0,E325*(1+F325/30),F325)),IF(N(H325)=0,0,IF(N(G325)&gt;0,G325*(1+H325/30),H325)),IF(N(J325)=0,0,IF(N(I325)&gt;0,I325*(1+J325/30),J325)),IF(N(L325)=0,0,IF(N(K325)&gt;0,K325*(1+L325/30),L325)),IF(N(N325)=0,0,IF(N(M325)&gt;0,M325*(1+N325/30),N325))))</f>
        <v/>
      </c>
      <c r="Y325">
        <f>IF(N(X325)=0,"",X325+ROW()/1000000000)</f>
        <v/>
      </c>
      <c r="Z325">
        <f>IF(Y325="","",IF(COUNTIFS(Log!$D$6:$D$1505,D325,Log!$Y$6:$Y$1505,"&gt;"&amp;Y325)=0,1,0))</f>
        <v/>
      </c>
      <c r="AA325">
        <f>IF(OR(B325="",D325=""),"",B325+ROW()/10000000)</f>
        <v/>
      </c>
      <c r="AB325">
        <f>IF(AA325="","",IF(COUNTIFS(Log!$D$6:$D$1505,D325,Log!$AA$6:$AA$1505,"&gt;"&amp;AA325)=0,1,0))</f>
        <v/>
      </c>
      <c r="AC325">
        <f>IF(S325="New best",AA325,"")</f>
        <v/>
      </c>
      <c r="AD325">
        <f>ROW()</f>
        <v/>
      </c>
    </row>
    <row r="326">
      <c r="A326" s="1" t="n"/>
      <c r="B326" s="21" t="n"/>
      <c r="C326" s="22" t="n"/>
      <c r="D326" s="23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15">
        <f>IF(D326="","",COUNT(F326,H326,J326,L326,N326))</f>
        <v/>
      </c>
      <c r="P326" s="25">
        <f>IF(D326="","",N(E326)*N(F326)+N(G326)*N(H326)+N(I326)*N(J326)+N(K326)*N(L326)+N(M326)*N(N326))</f>
        <v/>
      </c>
      <c r="Q326" s="18">
        <f>IF(N(X326)=0,"",IF(IF(N(F326)=0,0,IF(N(E326)&gt;0,E326*(1+F326/30),F326))=X326,IF(N(E326)&gt;0,E326&amp;" x "&amp;F326,F326&amp;" reps"),IF(IF(N(H326)=0,0,IF(N(G326)&gt;0,G326*(1+H326/30),H326))=X326,IF(N(G326)&gt;0,G326&amp;" x "&amp;H326,H326&amp;" reps"),IF(IF(N(J326)=0,0,IF(N(I326)&gt;0,I326*(1+J326/30),J326))=X326,IF(N(I326)&gt;0,I326&amp;" x "&amp;J326,J326&amp;" reps"),IF(IF(N(L326)=0,0,IF(N(K326)&gt;0,K326*(1+L326/30),L326))=X326,IF(N(K326)&gt;0,K326&amp;" x "&amp;L326,L326&amp;" reps"),IF(IF(N(N326)=0,0,IF(N(M326)&gt;0,M326*(1+N326/30),N326))=X326,IF(N(M326)&gt;0,M326&amp;" x "&amp;N326,N326&amp;" reps"),""))))))</f>
        <v/>
      </c>
      <c r="R326" s="20">
        <f>IF(N(X326)=0,"",ROUND(X326,1))</f>
        <v/>
      </c>
      <c r="S326" s="18">
        <f>IF(N(X326)=0,"",IF(AND(COUNTIFS(Log!$D$6:$D$1505,D326,Log!$B$6:$B$1505,"&lt;"&amp;B326)&gt;0,COUNTIFS(Log!$D$6:$D$1505,D326,Log!$B$6:$B$1505,"&lt;"&amp;B326,Log!$X$6:$X$1505,"&gt;="&amp;X326)=0),"New best",""))</f>
        <v/>
      </c>
      <c r="T326" s="26" t="n"/>
      <c r="U326" s="1">
        <f>IF(D326="","",IFERROR(INDEX(Exercises!$C$6:$C$105,MATCH(D326,Exercises!$B$6:$B$105,0)),"Other"))</f>
        <v/>
      </c>
      <c r="V326">
        <f>IF(B326="","",IF(COUNTIF($B$6:B326,B326)=1,1,0))</f>
        <v/>
      </c>
      <c r="W326">
        <f>IF(B326="","",B326-WEEKDAY(B326,3))</f>
        <v/>
      </c>
      <c r="X326">
        <f>IF(D326="","",MAX(IF(N(F326)=0,0,IF(N(E326)&gt;0,E326*(1+F326/30),F326)),IF(N(H326)=0,0,IF(N(G326)&gt;0,G326*(1+H326/30),H326)),IF(N(J326)=0,0,IF(N(I326)&gt;0,I326*(1+J326/30),J326)),IF(N(L326)=0,0,IF(N(K326)&gt;0,K326*(1+L326/30),L326)),IF(N(N326)=0,0,IF(N(M326)&gt;0,M326*(1+N326/30),N326))))</f>
        <v/>
      </c>
      <c r="Y326">
        <f>IF(N(X326)=0,"",X326+ROW()/1000000000)</f>
        <v/>
      </c>
      <c r="Z326">
        <f>IF(Y326="","",IF(COUNTIFS(Log!$D$6:$D$1505,D326,Log!$Y$6:$Y$1505,"&gt;"&amp;Y326)=0,1,0))</f>
        <v/>
      </c>
      <c r="AA326">
        <f>IF(OR(B326="",D326=""),"",B326+ROW()/10000000)</f>
        <v/>
      </c>
      <c r="AB326">
        <f>IF(AA326="","",IF(COUNTIFS(Log!$D$6:$D$1505,D326,Log!$AA$6:$AA$1505,"&gt;"&amp;AA326)=0,1,0))</f>
        <v/>
      </c>
      <c r="AC326">
        <f>IF(S326="New best",AA326,"")</f>
        <v/>
      </c>
      <c r="AD326">
        <f>ROW()</f>
        <v/>
      </c>
    </row>
    <row r="327">
      <c r="A327" s="1" t="n"/>
      <c r="B327" s="21" t="n"/>
      <c r="C327" s="22" t="n"/>
      <c r="D327" s="23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15">
        <f>IF(D327="","",COUNT(F327,H327,J327,L327,N327))</f>
        <v/>
      </c>
      <c r="P327" s="25">
        <f>IF(D327="","",N(E327)*N(F327)+N(G327)*N(H327)+N(I327)*N(J327)+N(K327)*N(L327)+N(M327)*N(N327))</f>
        <v/>
      </c>
      <c r="Q327" s="18">
        <f>IF(N(X327)=0,"",IF(IF(N(F327)=0,0,IF(N(E327)&gt;0,E327*(1+F327/30),F327))=X327,IF(N(E327)&gt;0,E327&amp;" x "&amp;F327,F327&amp;" reps"),IF(IF(N(H327)=0,0,IF(N(G327)&gt;0,G327*(1+H327/30),H327))=X327,IF(N(G327)&gt;0,G327&amp;" x "&amp;H327,H327&amp;" reps"),IF(IF(N(J327)=0,0,IF(N(I327)&gt;0,I327*(1+J327/30),J327))=X327,IF(N(I327)&gt;0,I327&amp;" x "&amp;J327,J327&amp;" reps"),IF(IF(N(L327)=0,0,IF(N(K327)&gt;0,K327*(1+L327/30),L327))=X327,IF(N(K327)&gt;0,K327&amp;" x "&amp;L327,L327&amp;" reps"),IF(IF(N(N327)=0,0,IF(N(M327)&gt;0,M327*(1+N327/30),N327))=X327,IF(N(M327)&gt;0,M327&amp;" x "&amp;N327,N327&amp;" reps"),""))))))</f>
        <v/>
      </c>
      <c r="R327" s="20">
        <f>IF(N(X327)=0,"",ROUND(X327,1))</f>
        <v/>
      </c>
      <c r="S327" s="18">
        <f>IF(N(X327)=0,"",IF(AND(COUNTIFS(Log!$D$6:$D$1505,D327,Log!$B$6:$B$1505,"&lt;"&amp;B327)&gt;0,COUNTIFS(Log!$D$6:$D$1505,D327,Log!$B$6:$B$1505,"&lt;"&amp;B327,Log!$X$6:$X$1505,"&gt;="&amp;X327)=0),"New best",""))</f>
        <v/>
      </c>
      <c r="T327" s="26" t="n"/>
      <c r="U327" s="1">
        <f>IF(D327="","",IFERROR(INDEX(Exercises!$C$6:$C$105,MATCH(D327,Exercises!$B$6:$B$105,0)),"Other"))</f>
        <v/>
      </c>
      <c r="V327">
        <f>IF(B327="","",IF(COUNTIF($B$6:B327,B327)=1,1,0))</f>
        <v/>
      </c>
      <c r="W327">
        <f>IF(B327="","",B327-WEEKDAY(B327,3))</f>
        <v/>
      </c>
      <c r="X327">
        <f>IF(D327="","",MAX(IF(N(F327)=0,0,IF(N(E327)&gt;0,E327*(1+F327/30),F327)),IF(N(H327)=0,0,IF(N(G327)&gt;0,G327*(1+H327/30),H327)),IF(N(J327)=0,0,IF(N(I327)&gt;0,I327*(1+J327/30),J327)),IF(N(L327)=0,0,IF(N(K327)&gt;0,K327*(1+L327/30),L327)),IF(N(N327)=0,0,IF(N(M327)&gt;0,M327*(1+N327/30),N327))))</f>
        <v/>
      </c>
      <c r="Y327">
        <f>IF(N(X327)=0,"",X327+ROW()/1000000000)</f>
        <v/>
      </c>
      <c r="Z327">
        <f>IF(Y327="","",IF(COUNTIFS(Log!$D$6:$D$1505,D327,Log!$Y$6:$Y$1505,"&gt;"&amp;Y327)=0,1,0))</f>
        <v/>
      </c>
      <c r="AA327">
        <f>IF(OR(B327="",D327=""),"",B327+ROW()/10000000)</f>
        <v/>
      </c>
      <c r="AB327">
        <f>IF(AA327="","",IF(COUNTIFS(Log!$D$6:$D$1505,D327,Log!$AA$6:$AA$1505,"&gt;"&amp;AA327)=0,1,0))</f>
        <v/>
      </c>
      <c r="AC327">
        <f>IF(S327="New best",AA327,"")</f>
        <v/>
      </c>
      <c r="AD327">
        <f>ROW()</f>
        <v/>
      </c>
    </row>
    <row r="328">
      <c r="A328" s="1" t="n"/>
      <c r="B328" s="21" t="n"/>
      <c r="C328" s="22" t="n"/>
      <c r="D328" s="23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15">
        <f>IF(D328="","",COUNT(F328,H328,J328,L328,N328))</f>
        <v/>
      </c>
      <c r="P328" s="25">
        <f>IF(D328="","",N(E328)*N(F328)+N(G328)*N(H328)+N(I328)*N(J328)+N(K328)*N(L328)+N(M328)*N(N328))</f>
        <v/>
      </c>
      <c r="Q328" s="18">
        <f>IF(N(X328)=0,"",IF(IF(N(F328)=0,0,IF(N(E328)&gt;0,E328*(1+F328/30),F328))=X328,IF(N(E328)&gt;0,E328&amp;" x "&amp;F328,F328&amp;" reps"),IF(IF(N(H328)=0,0,IF(N(G328)&gt;0,G328*(1+H328/30),H328))=X328,IF(N(G328)&gt;0,G328&amp;" x "&amp;H328,H328&amp;" reps"),IF(IF(N(J328)=0,0,IF(N(I328)&gt;0,I328*(1+J328/30),J328))=X328,IF(N(I328)&gt;0,I328&amp;" x "&amp;J328,J328&amp;" reps"),IF(IF(N(L328)=0,0,IF(N(K328)&gt;0,K328*(1+L328/30),L328))=X328,IF(N(K328)&gt;0,K328&amp;" x "&amp;L328,L328&amp;" reps"),IF(IF(N(N328)=0,0,IF(N(M328)&gt;0,M328*(1+N328/30),N328))=X328,IF(N(M328)&gt;0,M328&amp;" x "&amp;N328,N328&amp;" reps"),""))))))</f>
        <v/>
      </c>
      <c r="R328" s="20">
        <f>IF(N(X328)=0,"",ROUND(X328,1))</f>
        <v/>
      </c>
      <c r="S328" s="18">
        <f>IF(N(X328)=0,"",IF(AND(COUNTIFS(Log!$D$6:$D$1505,D328,Log!$B$6:$B$1505,"&lt;"&amp;B328)&gt;0,COUNTIFS(Log!$D$6:$D$1505,D328,Log!$B$6:$B$1505,"&lt;"&amp;B328,Log!$X$6:$X$1505,"&gt;="&amp;X328)=0),"New best",""))</f>
        <v/>
      </c>
      <c r="T328" s="26" t="n"/>
      <c r="U328" s="1">
        <f>IF(D328="","",IFERROR(INDEX(Exercises!$C$6:$C$105,MATCH(D328,Exercises!$B$6:$B$105,0)),"Other"))</f>
        <v/>
      </c>
      <c r="V328">
        <f>IF(B328="","",IF(COUNTIF($B$6:B328,B328)=1,1,0))</f>
        <v/>
      </c>
      <c r="W328">
        <f>IF(B328="","",B328-WEEKDAY(B328,3))</f>
        <v/>
      </c>
      <c r="X328">
        <f>IF(D328="","",MAX(IF(N(F328)=0,0,IF(N(E328)&gt;0,E328*(1+F328/30),F328)),IF(N(H328)=0,0,IF(N(G328)&gt;0,G328*(1+H328/30),H328)),IF(N(J328)=0,0,IF(N(I328)&gt;0,I328*(1+J328/30),J328)),IF(N(L328)=0,0,IF(N(K328)&gt;0,K328*(1+L328/30),L328)),IF(N(N328)=0,0,IF(N(M328)&gt;0,M328*(1+N328/30),N328))))</f>
        <v/>
      </c>
      <c r="Y328">
        <f>IF(N(X328)=0,"",X328+ROW()/1000000000)</f>
        <v/>
      </c>
      <c r="Z328">
        <f>IF(Y328="","",IF(COUNTIFS(Log!$D$6:$D$1505,D328,Log!$Y$6:$Y$1505,"&gt;"&amp;Y328)=0,1,0))</f>
        <v/>
      </c>
      <c r="AA328">
        <f>IF(OR(B328="",D328=""),"",B328+ROW()/10000000)</f>
        <v/>
      </c>
      <c r="AB328">
        <f>IF(AA328="","",IF(COUNTIFS(Log!$D$6:$D$1505,D328,Log!$AA$6:$AA$1505,"&gt;"&amp;AA328)=0,1,0))</f>
        <v/>
      </c>
      <c r="AC328">
        <f>IF(S328="New best",AA328,"")</f>
        <v/>
      </c>
      <c r="AD328">
        <f>ROW()</f>
        <v/>
      </c>
    </row>
    <row r="329">
      <c r="A329" s="1" t="n"/>
      <c r="B329" s="21" t="n"/>
      <c r="C329" s="22" t="n"/>
      <c r="D329" s="23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15">
        <f>IF(D329="","",COUNT(F329,H329,J329,L329,N329))</f>
        <v/>
      </c>
      <c r="P329" s="25">
        <f>IF(D329="","",N(E329)*N(F329)+N(G329)*N(H329)+N(I329)*N(J329)+N(K329)*N(L329)+N(M329)*N(N329))</f>
        <v/>
      </c>
      <c r="Q329" s="18">
        <f>IF(N(X329)=0,"",IF(IF(N(F329)=0,0,IF(N(E329)&gt;0,E329*(1+F329/30),F329))=X329,IF(N(E329)&gt;0,E329&amp;" x "&amp;F329,F329&amp;" reps"),IF(IF(N(H329)=0,0,IF(N(G329)&gt;0,G329*(1+H329/30),H329))=X329,IF(N(G329)&gt;0,G329&amp;" x "&amp;H329,H329&amp;" reps"),IF(IF(N(J329)=0,0,IF(N(I329)&gt;0,I329*(1+J329/30),J329))=X329,IF(N(I329)&gt;0,I329&amp;" x "&amp;J329,J329&amp;" reps"),IF(IF(N(L329)=0,0,IF(N(K329)&gt;0,K329*(1+L329/30),L329))=X329,IF(N(K329)&gt;0,K329&amp;" x "&amp;L329,L329&amp;" reps"),IF(IF(N(N329)=0,0,IF(N(M329)&gt;0,M329*(1+N329/30),N329))=X329,IF(N(M329)&gt;0,M329&amp;" x "&amp;N329,N329&amp;" reps"),""))))))</f>
        <v/>
      </c>
      <c r="R329" s="20">
        <f>IF(N(X329)=0,"",ROUND(X329,1))</f>
        <v/>
      </c>
      <c r="S329" s="18">
        <f>IF(N(X329)=0,"",IF(AND(COUNTIFS(Log!$D$6:$D$1505,D329,Log!$B$6:$B$1505,"&lt;"&amp;B329)&gt;0,COUNTIFS(Log!$D$6:$D$1505,D329,Log!$B$6:$B$1505,"&lt;"&amp;B329,Log!$X$6:$X$1505,"&gt;="&amp;X329)=0),"New best",""))</f>
        <v/>
      </c>
      <c r="T329" s="26" t="n"/>
      <c r="U329" s="1">
        <f>IF(D329="","",IFERROR(INDEX(Exercises!$C$6:$C$105,MATCH(D329,Exercises!$B$6:$B$105,0)),"Other"))</f>
        <v/>
      </c>
      <c r="V329">
        <f>IF(B329="","",IF(COUNTIF($B$6:B329,B329)=1,1,0))</f>
        <v/>
      </c>
      <c r="W329">
        <f>IF(B329="","",B329-WEEKDAY(B329,3))</f>
        <v/>
      </c>
      <c r="X329">
        <f>IF(D329="","",MAX(IF(N(F329)=0,0,IF(N(E329)&gt;0,E329*(1+F329/30),F329)),IF(N(H329)=0,0,IF(N(G329)&gt;0,G329*(1+H329/30),H329)),IF(N(J329)=0,0,IF(N(I329)&gt;0,I329*(1+J329/30),J329)),IF(N(L329)=0,0,IF(N(K329)&gt;0,K329*(1+L329/30),L329)),IF(N(N329)=0,0,IF(N(M329)&gt;0,M329*(1+N329/30),N329))))</f>
        <v/>
      </c>
      <c r="Y329">
        <f>IF(N(X329)=0,"",X329+ROW()/1000000000)</f>
        <v/>
      </c>
      <c r="Z329">
        <f>IF(Y329="","",IF(COUNTIFS(Log!$D$6:$D$1505,D329,Log!$Y$6:$Y$1505,"&gt;"&amp;Y329)=0,1,0))</f>
        <v/>
      </c>
      <c r="AA329">
        <f>IF(OR(B329="",D329=""),"",B329+ROW()/10000000)</f>
        <v/>
      </c>
      <c r="AB329">
        <f>IF(AA329="","",IF(COUNTIFS(Log!$D$6:$D$1505,D329,Log!$AA$6:$AA$1505,"&gt;"&amp;AA329)=0,1,0))</f>
        <v/>
      </c>
      <c r="AC329">
        <f>IF(S329="New best",AA329,"")</f>
        <v/>
      </c>
      <c r="AD329">
        <f>ROW()</f>
        <v/>
      </c>
    </row>
    <row r="330">
      <c r="A330" s="1" t="n"/>
      <c r="B330" s="21" t="n"/>
      <c r="C330" s="22" t="n"/>
      <c r="D330" s="23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15">
        <f>IF(D330="","",COUNT(F330,H330,J330,L330,N330))</f>
        <v/>
      </c>
      <c r="P330" s="25">
        <f>IF(D330="","",N(E330)*N(F330)+N(G330)*N(H330)+N(I330)*N(J330)+N(K330)*N(L330)+N(M330)*N(N330))</f>
        <v/>
      </c>
      <c r="Q330" s="18">
        <f>IF(N(X330)=0,"",IF(IF(N(F330)=0,0,IF(N(E330)&gt;0,E330*(1+F330/30),F330))=X330,IF(N(E330)&gt;0,E330&amp;" x "&amp;F330,F330&amp;" reps"),IF(IF(N(H330)=0,0,IF(N(G330)&gt;0,G330*(1+H330/30),H330))=X330,IF(N(G330)&gt;0,G330&amp;" x "&amp;H330,H330&amp;" reps"),IF(IF(N(J330)=0,0,IF(N(I330)&gt;0,I330*(1+J330/30),J330))=X330,IF(N(I330)&gt;0,I330&amp;" x "&amp;J330,J330&amp;" reps"),IF(IF(N(L330)=0,0,IF(N(K330)&gt;0,K330*(1+L330/30),L330))=X330,IF(N(K330)&gt;0,K330&amp;" x "&amp;L330,L330&amp;" reps"),IF(IF(N(N330)=0,0,IF(N(M330)&gt;0,M330*(1+N330/30),N330))=X330,IF(N(M330)&gt;0,M330&amp;" x "&amp;N330,N330&amp;" reps"),""))))))</f>
        <v/>
      </c>
      <c r="R330" s="20">
        <f>IF(N(X330)=0,"",ROUND(X330,1))</f>
        <v/>
      </c>
      <c r="S330" s="18">
        <f>IF(N(X330)=0,"",IF(AND(COUNTIFS(Log!$D$6:$D$1505,D330,Log!$B$6:$B$1505,"&lt;"&amp;B330)&gt;0,COUNTIFS(Log!$D$6:$D$1505,D330,Log!$B$6:$B$1505,"&lt;"&amp;B330,Log!$X$6:$X$1505,"&gt;="&amp;X330)=0),"New best",""))</f>
        <v/>
      </c>
      <c r="T330" s="26" t="n"/>
      <c r="U330" s="1">
        <f>IF(D330="","",IFERROR(INDEX(Exercises!$C$6:$C$105,MATCH(D330,Exercises!$B$6:$B$105,0)),"Other"))</f>
        <v/>
      </c>
      <c r="V330">
        <f>IF(B330="","",IF(COUNTIF($B$6:B330,B330)=1,1,0))</f>
        <v/>
      </c>
      <c r="W330">
        <f>IF(B330="","",B330-WEEKDAY(B330,3))</f>
        <v/>
      </c>
      <c r="X330">
        <f>IF(D330="","",MAX(IF(N(F330)=0,0,IF(N(E330)&gt;0,E330*(1+F330/30),F330)),IF(N(H330)=0,0,IF(N(G330)&gt;0,G330*(1+H330/30),H330)),IF(N(J330)=0,0,IF(N(I330)&gt;0,I330*(1+J330/30),J330)),IF(N(L330)=0,0,IF(N(K330)&gt;0,K330*(1+L330/30),L330)),IF(N(N330)=0,0,IF(N(M330)&gt;0,M330*(1+N330/30),N330))))</f>
        <v/>
      </c>
      <c r="Y330">
        <f>IF(N(X330)=0,"",X330+ROW()/1000000000)</f>
        <v/>
      </c>
      <c r="Z330">
        <f>IF(Y330="","",IF(COUNTIFS(Log!$D$6:$D$1505,D330,Log!$Y$6:$Y$1505,"&gt;"&amp;Y330)=0,1,0))</f>
        <v/>
      </c>
      <c r="AA330">
        <f>IF(OR(B330="",D330=""),"",B330+ROW()/10000000)</f>
        <v/>
      </c>
      <c r="AB330">
        <f>IF(AA330="","",IF(COUNTIFS(Log!$D$6:$D$1505,D330,Log!$AA$6:$AA$1505,"&gt;"&amp;AA330)=0,1,0))</f>
        <v/>
      </c>
      <c r="AC330">
        <f>IF(S330="New best",AA330,"")</f>
        <v/>
      </c>
      <c r="AD330">
        <f>ROW()</f>
        <v/>
      </c>
    </row>
    <row r="331">
      <c r="A331" s="1" t="n"/>
      <c r="B331" s="21" t="n"/>
      <c r="C331" s="22" t="n"/>
      <c r="D331" s="23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15">
        <f>IF(D331="","",COUNT(F331,H331,J331,L331,N331))</f>
        <v/>
      </c>
      <c r="P331" s="25">
        <f>IF(D331="","",N(E331)*N(F331)+N(G331)*N(H331)+N(I331)*N(J331)+N(K331)*N(L331)+N(M331)*N(N331))</f>
        <v/>
      </c>
      <c r="Q331" s="18">
        <f>IF(N(X331)=0,"",IF(IF(N(F331)=0,0,IF(N(E331)&gt;0,E331*(1+F331/30),F331))=X331,IF(N(E331)&gt;0,E331&amp;" x "&amp;F331,F331&amp;" reps"),IF(IF(N(H331)=0,0,IF(N(G331)&gt;0,G331*(1+H331/30),H331))=X331,IF(N(G331)&gt;0,G331&amp;" x "&amp;H331,H331&amp;" reps"),IF(IF(N(J331)=0,0,IF(N(I331)&gt;0,I331*(1+J331/30),J331))=X331,IF(N(I331)&gt;0,I331&amp;" x "&amp;J331,J331&amp;" reps"),IF(IF(N(L331)=0,0,IF(N(K331)&gt;0,K331*(1+L331/30),L331))=X331,IF(N(K331)&gt;0,K331&amp;" x "&amp;L331,L331&amp;" reps"),IF(IF(N(N331)=0,0,IF(N(M331)&gt;0,M331*(1+N331/30),N331))=X331,IF(N(M331)&gt;0,M331&amp;" x "&amp;N331,N331&amp;" reps"),""))))))</f>
        <v/>
      </c>
      <c r="R331" s="20">
        <f>IF(N(X331)=0,"",ROUND(X331,1))</f>
        <v/>
      </c>
      <c r="S331" s="18">
        <f>IF(N(X331)=0,"",IF(AND(COUNTIFS(Log!$D$6:$D$1505,D331,Log!$B$6:$B$1505,"&lt;"&amp;B331)&gt;0,COUNTIFS(Log!$D$6:$D$1505,D331,Log!$B$6:$B$1505,"&lt;"&amp;B331,Log!$X$6:$X$1505,"&gt;="&amp;X331)=0),"New best",""))</f>
        <v/>
      </c>
      <c r="T331" s="26" t="n"/>
      <c r="U331" s="1">
        <f>IF(D331="","",IFERROR(INDEX(Exercises!$C$6:$C$105,MATCH(D331,Exercises!$B$6:$B$105,0)),"Other"))</f>
        <v/>
      </c>
      <c r="V331">
        <f>IF(B331="","",IF(COUNTIF($B$6:B331,B331)=1,1,0))</f>
        <v/>
      </c>
      <c r="W331">
        <f>IF(B331="","",B331-WEEKDAY(B331,3))</f>
        <v/>
      </c>
      <c r="X331">
        <f>IF(D331="","",MAX(IF(N(F331)=0,0,IF(N(E331)&gt;0,E331*(1+F331/30),F331)),IF(N(H331)=0,0,IF(N(G331)&gt;0,G331*(1+H331/30),H331)),IF(N(J331)=0,0,IF(N(I331)&gt;0,I331*(1+J331/30),J331)),IF(N(L331)=0,0,IF(N(K331)&gt;0,K331*(1+L331/30),L331)),IF(N(N331)=0,0,IF(N(M331)&gt;0,M331*(1+N331/30),N331))))</f>
        <v/>
      </c>
      <c r="Y331">
        <f>IF(N(X331)=0,"",X331+ROW()/1000000000)</f>
        <v/>
      </c>
      <c r="Z331">
        <f>IF(Y331="","",IF(COUNTIFS(Log!$D$6:$D$1505,D331,Log!$Y$6:$Y$1505,"&gt;"&amp;Y331)=0,1,0))</f>
        <v/>
      </c>
      <c r="AA331">
        <f>IF(OR(B331="",D331=""),"",B331+ROW()/10000000)</f>
        <v/>
      </c>
      <c r="AB331">
        <f>IF(AA331="","",IF(COUNTIFS(Log!$D$6:$D$1505,D331,Log!$AA$6:$AA$1505,"&gt;"&amp;AA331)=0,1,0))</f>
        <v/>
      </c>
      <c r="AC331">
        <f>IF(S331="New best",AA331,"")</f>
        <v/>
      </c>
      <c r="AD331">
        <f>ROW()</f>
        <v/>
      </c>
    </row>
    <row r="332">
      <c r="A332" s="1" t="n"/>
      <c r="B332" s="21" t="n"/>
      <c r="C332" s="22" t="n"/>
      <c r="D332" s="23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15">
        <f>IF(D332="","",COUNT(F332,H332,J332,L332,N332))</f>
        <v/>
      </c>
      <c r="P332" s="25">
        <f>IF(D332="","",N(E332)*N(F332)+N(G332)*N(H332)+N(I332)*N(J332)+N(K332)*N(L332)+N(M332)*N(N332))</f>
        <v/>
      </c>
      <c r="Q332" s="18">
        <f>IF(N(X332)=0,"",IF(IF(N(F332)=0,0,IF(N(E332)&gt;0,E332*(1+F332/30),F332))=X332,IF(N(E332)&gt;0,E332&amp;" x "&amp;F332,F332&amp;" reps"),IF(IF(N(H332)=0,0,IF(N(G332)&gt;0,G332*(1+H332/30),H332))=X332,IF(N(G332)&gt;0,G332&amp;" x "&amp;H332,H332&amp;" reps"),IF(IF(N(J332)=0,0,IF(N(I332)&gt;0,I332*(1+J332/30),J332))=X332,IF(N(I332)&gt;0,I332&amp;" x "&amp;J332,J332&amp;" reps"),IF(IF(N(L332)=0,0,IF(N(K332)&gt;0,K332*(1+L332/30),L332))=X332,IF(N(K332)&gt;0,K332&amp;" x "&amp;L332,L332&amp;" reps"),IF(IF(N(N332)=0,0,IF(N(M332)&gt;0,M332*(1+N332/30),N332))=X332,IF(N(M332)&gt;0,M332&amp;" x "&amp;N332,N332&amp;" reps"),""))))))</f>
        <v/>
      </c>
      <c r="R332" s="20">
        <f>IF(N(X332)=0,"",ROUND(X332,1))</f>
        <v/>
      </c>
      <c r="S332" s="18">
        <f>IF(N(X332)=0,"",IF(AND(COUNTIFS(Log!$D$6:$D$1505,D332,Log!$B$6:$B$1505,"&lt;"&amp;B332)&gt;0,COUNTIFS(Log!$D$6:$D$1505,D332,Log!$B$6:$B$1505,"&lt;"&amp;B332,Log!$X$6:$X$1505,"&gt;="&amp;X332)=0),"New best",""))</f>
        <v/>
      </c>
      <c r="T332" s="26" t="n"/>
      <c r="U332" s="1">
        <f>IF(D332="","",IFERROR(INDEX(Exercises!$C$6:$C$105,MATCH(D332,Exercises!$B$6:$B$105,0)),"Other"))</f>
        <v/>
      </c>
      <c r="V332">
        <f>IF(B332="","",IF(COUNTIF($B$6:B332,B332)=1,1,0))</f>
        <v/>
      </c>
      <c r="W332">
        <f>IF(B332="","",B332-WEEKDAY(B332,3))</f>
        <v/>
      </c>
      <c r="X332">
        <f>IF(D332="","",MAX(IF(N(F332)=0,0,IF(N(E332)&gt;0,E332*(1+F332/30),F332)),IF(N(H332)=0,0,IF(N(G332)&gt;0,G332*(1+H332/30),H332)),IF(N(J332)=0,0,IF(N(I332)&gt;0,I332*(1+J332/30),J332)),IF(N(L332)=0,0,IF(N(K332)&gt;0,K332*(1+L332/30),L332)),IF(N(N332)=0,0,IF(N(M332)&gt;0,M332*(1+N332/30),N332))))</f>
        <v/>
      </c>
      <c r="Y332">
        <f>IF(N(X332)=0,"",X332+ROW()/1000000000)</f>
        <v/>
      </c>
      <c r="Z332">
        <f>IF(Y332="","",IF(COUNTIFS(Log!$D$6:$D$1505,D332,Log!$Y$6:$Y$1505,"&gt;"&amp;Y332)=0,1,0))</f>
        <v/>
      </c>
      <c r="AA332">
        <f>IF(OR(B332="",D332=""),"",B332+ROW()/10000000)</f>
        <v/>
      </c>
      <c r="AB332">
        <f>IF(AA332="","",IF(COUNTIFS(Log!$D$6:$D$1505,D332,Log!$AA$6:$AA$1505,"&gt;"&amp;AA332)=0,1,0))</f>
        <v/>
      </c>
      <c r="AC332">
        <f>IF(S332="New best",AA332,"")</f>
        <v/>
      </c>
      <c r="AD332">
        <f>ROW()</f>
        <v/>
      </c>
    </row>
    <row r="333">
      <c r="A333" s="1" t="n"/>
      <c r="B333" s="21" t="n"/>
      <c r="C333" s="22" t="n"/>
      <c r="D333" s="23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15">
        <f>IF(D333="","",COUNT(F333,H333,J333,L333,N333))</f>
        <v/>
      </c>
      <c r="P333" s="25">
        <f>IF(D333="","",N(E333)*N(F333)+N(G333)*N(H333)+N(I333)*N(J333)+N(K333)*N(L333)+N(M333)*N(N333))</f>
        <v/>
      </c>
      <c r="Q333" s="18">
        <f>IF(N(X333)=0,"",IF(IF(N(F333)=0,0,IF(N(E333)&gt;0,E333*(1+F333/30),F333))=X333,IF(N(E333)&gt;0,E333&amp;" x "&amp;F333,F333&amp;" reps"),IF(IF(N(H333)=0,0,IF(N(G333)&gt;0,G333*(1+H333/30),H333))=X333,IF(N(G333)&gt;0,G333&amp;" x "&amp;H333,H333&amp;" reps"),IF(IF(N(J333)=0,0,IF(N(I333)&gt;0,I333*(1+J333/30),J333))=X333,IF(N(I333)&gt;0,I333&amp;" x "&amp;J333,J333&amp;" reps"),IF(IF(N(L333)=0,0,IF(N(K333)&gt;0,K333*(1+L333/30),L333))=X333,IF(N(K333)&gt;0,K333&amp;" x "&amp;L333,L333&amp;" reps"),IF(IF(N(N333)=0,0,IF(N(M333)&gt;0,M333*(1+N333/30),N333))=X333,IF(N(M333)&gt;0,M333&amp;" x "&amp;N333,N333&amp;" reps"),""))))))</f>
        <v/>
      </c>
      <c r="R333" s="20">
        <f>IF(N(X333)=0,"",ROUND(X333,1))</f>
        <v/>
      </c>
      <c r="S333" s="18">
        <f>IF(N(X333)=0,"",IF(AND(COUNTIFS(Log!$D$6:$D$1505,D333,Log!$B$6:$B$1505,"&lt;"&amp;B333)&gt;0,COUNTIFS(Log!$D$6:$D$1505,D333,Log!$B$6:$B$1505,"&lt;"&amp;B333,Log!$X$6:$X$1505,"&gt;="&amp;X333)=0),"New best",""))</f>
        <v/>
      </c>
      <c r="T333" s="26" t="n"/>
      <c r="U333" s="1">
        <f>IF(D333="","",IFERROR(INDEX(Exercises!$C$6:$C$105,MATCH(D333,Exercises!$B$6:$B$105,0)),"Other"))</f>
        <v/>
      </c>
      <c r="V333">
        <f>IF(B333="","",IF(COUNTIF($B$6:B333,B333)=1,1,0))</f>
        <v/>
      </c>
      <c r="W333">
        <f>IF(B333="","",B333-WEEKDAY(B333,3))</f>
        <v/>
      </c>
      <c r="X333">
        <f>IF(D333="","",MAX(IF(N(F333)=0,0,IF(N(E333)&gt;0,E333*(1+F333/30),F333)),IF(N(H333)=0,0,IF(N(G333)&gt;0,G333*(1+H333/30),H333)),IF(N(J333)=0,0,IF(N(I333)&gt;0,I333*(1+J333/30),J333)),IF(N(L333)=0,0,IF(N(K333)&gt;0,K333*(1+L333/30),L333)),IF(N(N333)=0,0,IF(N(M333)&gt;0,M333*(1+N333/30),N333))))</f>
        <v/>
      </c>
      <c r="Y333">
        <f>IF(N(X333)=0,"",X333+ROW()/1000000000)</f>
        <v/>
      </c>
      <c r="Z333">
        <f>IF(Y333="","",IF(COUNTIFS(Log!$D$6:$D$1505,D333,Log!$Y$6:$Y$1505,"&gt;"&amp;Y333)=0,1,0))</f>
        <v/>
      </c>
      <c r="AA333">
        <f>IF(OR(B333="",D333=""),"",B333+ROW()/10000000)</f>
        <v/>
      </c>
      <c r="AB333">
        <f>IF(AA333="","",IF(COUNTIFS(Log!$D$6:$D$1505,D333,Log!$AA$6:$AA$1505,"&gt;"&amp;AA333)=0,1,0))</f>
        <v/>
      </c>
      <c r="AC333">
        <f>IF(S333="New best",AA333,"")</f>
        <v/>
      </c>
      <c r="AD333">
        <f>ROW()</f>
        <v/>
      </c>
    </row>
    <row r="334">
      <c r="A334" s="1" t="n"/>
      <c r="B334" s="21" t="n"/>
      <c r="C334" s="22" t="n"/>
      <c r="D334" s="23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15">
        <f>IF(D334="","",COUNT(F334,H334,J334,L334,N334))</f>
        <v/>
      </c>
      <c r="P334" s="25">
        <f>IF(D334="","",N(E334)*N(F334)+N(G334)*N(H334)+N(I334)*N(J334)+N(K334)*N(L334)+N(M334)*N(N334))</f>
        <v/>
      </c>
      <c r="Q334" s="18">
        <f>IF(N(X334)=0,"",IF(IF(N(F334)=0,0,IF(N(E334)&gt;0,E334*(1+F334/30),F334))=X334,IF(N(E334)&gt;0,E334&amp;" x "&amp;F334,F334&amp;" reps"),IF(IF(N(H334)=0,0,IF(N(G334)&gt;0,G334*(1+H334/30),H334))=X334,IF(N(G334)&gt;0,G334&amp;" x "&amp;H334,H334&amp;" reps"),IF(IF(N(J334)=0,0,IF(N(I334)&gt;0,I334*(1+J334/30),J334))=X334,IF(N(I334)&gt;0,I334&amp;" x "&amp;J334,J334&amp;" reps"),IF(IF(N(L334)=0,0,IF(N(K334)&gt;0,K334*(1+L334/30),L334))=X334,IF(N(K334)&gt;0,K334&amp;" x "&amp;L334,L334&amp;" reps"),IF(IF(N(N334)=0,0,IF(N(M334)&gt;0,M334*(1+N334/30),N334))=X334,IF(N(M334)&gt;0,M334&amp;" x "&amp;N334,N334&amp;" reps"),""))))))</f>
        <v/>
      </c>
      <c r="R334" s="20">
        <f>IF(N(X334)=0,"",ROUND(X334,1))</f>
        <v/>
      </c>
      <c r="S334" s="18">
        <f>IF(N(X334)=0,"",IF(AND(COUNTIFS(Log!$D$6:$D$1505,D334,Log!$B$6:$B$1505,"&lt;"&amp;B334)&gt;0,COUNTIFS(Log!$D$6:$D$1505,D334,Log!$B$6:$B$1505,"&lt;"&amp;B334,Log!$X$6:$X$1505,"&gt;="&amp;X334)=0),"New best",""))</f>
        <v/>
      </c>
      <c r="T334" s="26" t="n"/>
      <c r="U334" s="1">
        <f>IF(D334="","",IFERROR(INDEX(Exercises!$C$6:$C$105,MATCH(D334,Exercises!$B$6:$B$105,0)),"Other"))</f>
        <v/>
      </c>
      <c r="V334">
        <f>IF(B334="","",IF(COUNTIF($B$6:B334,B334)=1,1,0))</f>
        <v/>
      </c>
      <c r="W334">
        <f>IF(B334="","",B334-WEEKDAY(B334,3))</f>
        <v/>
      </c>
      <c r="X334">
        <f>IF(D334="","",MAX(IF(N(F334)=0,0,IF(N(E334)&gt;0,E334*(1+F334/30),F334)),IF(N(H334)=0,0,IF(N(G334)&gt;0,G334*(1+H334/30),H334)),IF(N(J334)=0,0,IF(N(I334)&gt;0,I334*(1+J334/30),J334)),IF(N(L334)=0,0,IF(N(K334)&gt;0,K334*(1+L334/30),L334)),IF(N(N334)=0,0,IF(N(M334)&gt;0,M334*(1+N334/30),N334))))</f>
        <v/>
      </c>
      <c r="Y334">
        <f>IF(N(X334)=0,"",X334+ROW()/1000000000)</f>
        <v/>
      </c>
      <c r="Z334">
        <f>IF(Y334="","",IF(COUNTIFS(Log!$D$6:$D$1505,D334,Log!$Y$6:$Y$1505,"&gt;"&amp;Y334)=0,1,0))</f>
        <v/>
      </c>
      <c r="AA334">
        <f>IF(OR(B334="",D334=""),"",B334+ROW()/10000000)</f>
        <v/>
      </c>
      <c r="AB334">
        <f>IF(AA334="","",IF(COUNTIFS(Log!$D$6:$D$1505,D334,Log!$AA$6:$AA$1505,"&gt;"&amp;AA334)=0,1,0))</f>
        <v/>
      </c>
      <c r="AC334">
        <f>IF(S334="New best",AA334,"")</f>
        <v/>
      </c>
      <c r="AD334">
        <f>ROW()</f>
        <v/>
      </c>
    </row>
    <row r="335">
      <c r="A335" s="1" t="n"/>
      <c r="B335" s="21" t="n"/>
      <c r="C335" s="22" t="n"/>
      <c r="D335" s="23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15">
        <f>IF(D335="","",COUNT(F335,H335,J335,L335,N335))</f>
        <v/>
      </c>
      <c r="P335" s="25">
        <f>IF(D335="","",N(E335)*N(F335)+N(G335)*N(H335)+N(I335)*N(J335)+N(K335)*N(L335)+N(M335)*N(N335))</f>
        <v/>
      </c>
      <c r="Q335" s="18">
        <f>IF(N(X335)=0,"",IF(IF(N(F335)=0,0,IF(N(E335)&gt;0,E335*(1+F335/30),F335))=X335,IF(N(E335)&gt;0,E335&amp;" x "&amp;F335,F335&amp;" reps"),IF(IF(N(H335)=0,0,IF(N(G335)&gt;0,G335*(1+H335/30),H335))=X335,IF(N(G335)&gt;0,G335&amp;" x "&amp;H335,H335&amp;" reps"),IF(IF(N(J335)=0,0,IF(N(I335)&gt;0,I335*(1+J335/30),J335))=X335,IF(N(I335)&gt;0,I335&amp;" x "&amp;J335,J335&amp;" reps"),IF(IF(N(L335)=0,0,IF(N(K335)&gt;0,K335*(1+L335/30),L335))=X335,IF(N(K335)&gt;0,K335&amp;" x "&amp;L335,L335&amp;" reps"),IF(IF(N(N335)=0,0,IF(N(M335)&gt;0,M335*(1+N335/30),N335))=X335,IF(N(M335)&gt;0,M335&amp;" x "&amp;N335,N335&amp;" reps"),""))))))</f>
        <v/>
      </c>
      <c r="R335" s="20">
        <f>IF(N(X335)=0,"",ROUND(X335,1))</f>
        <v/>
      </c>
      <c r="S335" s="18">
        <f>IF(N(X335)=0,"",IF(AND(COUNTIFS(Log!$D$6:$D$1505,D335,Log!$B$6:$B$1505,"&lt;"&amp;B335)&gt;0,COUNTIFS(Log!$D$6:$D$1505,D335,Log!$B$6:$B$1505,"&lt;"&amp;B335,Log!$X$6:$X$1505,"&gt;="&amp;X335)=0),"New best",""))</f>
        <v/>
      </c>
      <c r="T335" s="26" t="n"/>
      <c r="U335" s="1">
        <f>IF(D335="","",IFERROR(INDEX(Exercises!$C$6:$C$105,MATCH(D335,Exercises!$B$6:$B$105,0)),"Other"))</f>
        <v/>
      </c>
      <c r="V335">
        <f>IF(B335="","",IF(COUNTIF($B$6:B335,B335)=1,1,0))</f>
        <v/>
      </c>
      <c r="W335">
        <f>IF(B335="","",B335-WEEKDAY(B335,3))</f>
        <v/>
      </c>
      <c r="X335">
        <f>IF(D335="","",MAX(IF(N(F335)=0,0,IF(N(E335)&gt;0,E335*(1+F335/30),F335)),IF(N(H335)=0,0,IF(N(G335)&gt;0,G335*(1+H335/30),H335)),IF(N(J335)=0,0,IF(N(I335)&gt;0,I335*(1+J335/30),J335)),IF(N(L335)=0,0,IF(N(K335)&gt;0,K335*(1+L335/30),L335)),IF(N(N335)=0,0,IF(N(M335)&gt;0,M335*(1+N335/30),N335))))</f>
        <v/>
      </c>
      <c r="Y335">
        <f>IF(N(X335)=0,"",X335+ROW()/1000000000)</f>
        <v/>
      </c>
      <c r="Z335">
        <f>IF(Y335="","",IF(COUNTIFS(Log!$D$6:$D$1505,D335,Log!$Y$6:$Y$1505,"&gt;"&amp;Y335)=0,1,0))</f>
        <v/>
      </c>
      <c r="AA335">
        <f>IF(OR(B335="",D335=""),"",B335+ROW()/10000000)</f>
        <v/>
      </c>
      <c r="AB335">
        <f>IF(AA335="","",IF(COUNTIFS(Log!$D$6:$D$1505,D335,Log!$AA$6:$AA$1505,"&gt;"&amp;AA335)=0,1,0))</f>
        <v/>
      </c>
      <c r="AC335">
        <f>IF(S335="New best",AA335,"")</f>
        <v/>
      </c>
      <c r="AD335">
        <f>ROW()</f>
        <v/>
      </c>
    </row>
    <row r="336">
      <c r="A336" s="1" t="n"/>
      <c r="B336" s="21" t="n"/>
      <c r="C336" s="22" t="n"/>
      <c r="D336" s="23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15">
        <f>IF(D336="","",COUNT(F336,H336,J336,L336,N336))</f>
        <v/>
      </c>
      <c r="P336" s="25">
        <f>IF(D336="","",N(E336)*N(F336)+N(G336)*N(H336)+N(I336)*N(J336)+N(K336)*N(L336)+N(M336)*N(N336))</f>
        <v/>
      </c>
      <c r="Q336" s="18">
        <f>IF(N(X336)=0,"",IF(IF(N(F336)=0,0,IF(N(E336)&gt;0,E336*(1+F336/30),F336))=X336,IF(N(E336)&gt;0,E336&amp;" x "&amp;F336,F336&amp;" reps"),IF(IF(N(H336)=0,0,IF(N(G336)&gt;0,G336*(1+H336/30),H336))=X336,IF(N(G336)&gt;0,G336&amp;" x "&amp;H336,H336&amp;" reps"),IF(IF(N(J336)=0,0,IF(N(I336)&gt;0,I336*(1+J336/30),J336))=X336,IF(N(I336)&gt;0,I336&amp;" x "&amp;J336,J336&amp;" reps"),IF(IF(N(L336)=0,0,IF(N(K336)&gt;0,K336*(1+L336/30),L336))=X336,IF(N(K336)&gt;0,K336&amp;" x "&amp;L336,L336&amp;" reps"),IF(IF(N(N336)=0,0,IF(N(M336)&gt;0,M336*(1+N336/30),N336))=X336,IF(N(M336)&gt;0,M336&amp;" x "&amp;N336,N336&amp;" reps"),""))))))</f>
        <v/>
      </c>
      <c r="R336" s="20">
        <f>IF(N(X336)=0,"",ROUND(X336,1))</f>
        <v/>
      </c>
      <c r="S336" s="18">
        <f>IF(N(X336)=0,"",IF(AND(COUNTIFS(Log!$D$6:$D$1505,D336,Log!$B$6:$B$1505,"&lt;"&amp;B336)&gt;0,COUNTIFS(Log!$D$6:$D$1505,D336,Log!$B$6:$B$1505,"&lt;"&amp;B336,Log!$X$6:$X$1505,"&gt;="&amp;X336)=0),"New best",""))</f>
        <v/>
      </c>
      <c r="T336" s="26" t="n"/>
      <c r="U336" s="1">
        <f>IF(D336="","",IFERROR(INDEX(Exercises!$C$6:$C$105,MATCH(D336,Exercises!$B$6:$B$105,0)),"Other"))</f>
        <v/>
      </c>
      <c r="V336">
        <f>IF(B336="","",IF(COUNTIF($B$6:B336,B336)=1,1,0))</f>
        <v/>
      </c>
      <c r="W336">
        <f>IF(B336="","",B336-WEEKDAY(B336,3))</f>
        <v/>
      </c>
      <c r="X336">
        <f>IF(D336="","",MAX(IF(N(F336)=0,0,IF(N(E336)&gt;0,E336*(1+F336/30),F336)),IF(N(H336)=0,0,IF(N(G336)&gt;0,G336*(1+H336/30),H336)),IF(N(J336)=0,0,IF(N(I336)&gt;0,I336*(1+J336/30),J336)),IF(N(L336)=0,0,IF(N(K336)&gt;0,K336*(1+L336/30),L336)),IF(N(N336)=0,0,IF(N(M336)&gt;0,M336*(1+N336/30),N336))))</f>
        <v/>
      </c>
      <c r="Y336">
        <f>IF(N(X336)=0,"",X336+ROW()/1000000000)</f>
        <v/>
      </c>
      <c r="Z336">
        <f>IF(Y336="","",IF(COUNTIFS(Log!$D$6:$D$1505,D336,Log!$Y$6:$Y$1505,"&gt;"&amp;Y336)=0,1,0))</f>
        <v/>
      </c>
      <c r="AA336">
        <f>IF(OR(B336="",D336=""),"",B336+ROW()/10000000)</f>
        <v/>
      </c>
      <c r="AB336">
        <f>IF(AA336="","",IF(COUNTIFS(Log!$D$6:$D$1505,D336,Log!$AA$6:$AA$1505,"&gt;"&amp;AA336)=0,1,0))</f>
        <v/>
      </c>
      <c r="AC336">
        <f>IF(S336="New best",AA336,"")</f>
        <v/>
      </c>
      <c r="AD336">
        <f>ROW()</f>
        <v/>
      </c>
    </row>
    <row r="337">
      <c r="A337" s="1" t="n"/>
      <c r="B337" s="21" t="n"/>
      <c r="C337" s="22" t="n"/>
      <c r="D337" s="23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15">
        <f>IF(D337="","",COUNT(F337,H337,J337,L337,N337))</f>
        <v/>
      </c>
      <c r="P337" s="25">
        <f>IF(D337="","",N(E337)*N(F337)+N(G337)*N(H337)+N(I337)*N(J337)+N(K337)*N(L337)+N(M337)*N(N337))</f>
        <v/>
      </c>
      <c r="Q337" s="18">
        <f>IF(N(X337)=0,"",IF(IF(N(F337)=0,0,IF(N(E337)&gt;0,E337*(1+F337/30),F337))=X337,IF(N(E337)&gt;0,E337&amp;" x "&amp;F337,F337&amp;" reps"),IF(IF(N(H337)=0,0,IF(N(G337)&gt;0,G337*(1+H337/30),H337))=X337,IF(N(G337)&gt;0,G337&amp;" x "&amp;H337,H337&amp;" reps"),IF(IF(N(J337)=0,0,IF(N(I337)&gt;0,I337*(1+J337/30),J337))=X337,IF(N(I337)&gt;0,I337&amp;" x "&amp;J337,J337&amp;" reps"),IF(IF(N(L337)=0,0,IF(N(K337)&gt;0,K337*(1+L337/30),L337))=X337,IF(N(K337)&gt;0,K337&amp;" x "&amp;L337,L337&amp;" reps"),IF(IF(N(N337)=0,0,IF(N(M337)&gt;0,M337*(1+N337/30),N337))=X337,IF(N(M337)&gt;0,M337&amp;" x "&amp;N337,N337&amp;" reps"),""))))))</f>
        <v/>
      </c>
      <c r="R337" s="20">
        <f>IF(N(X337)=0,"",ROUND(X337,1))</f>
        <v/>
      </c>
      <c r="S337" s="18">
        <f>IF(N(X337)=0,"",IF(AND(COUNTIFS(Log!$D$6:$D$1505,D337,Log!$B$6:$B$1505,"&lt;"&amp;B337)&gt;0,COUNTIFS(Log!$D$6:$D$1505,D337,Log!$B$6:$B$1505,"&lt;"&amp;B337,Log!$X$6:$X$1505,"&gt;="&amp;X337)=0),"New best",""))</f>
        <v/>
      </c>
      <c r="T337" s="26" t="n"/>
      <c r="U337" s="1">
        <f>IF(D337="","",IFERROR(INDEX(Exercises!$C$6:$C$105,MATCH(D337,Exercises!$B$6:$B$105,0)),"Other"))</f>
        <v/>
      </c>
      <c r="V337">
        <f>IF(B337="","",IF(COUNTIF($B$6:B337,B337)=1,1,0))</f>
        <v/>
      </c>
      <c r="W337">
        <f>IF(B337="","",B337-WEEKDAY(B337,3))</f>
        <v/>
      </c>
      <c r="X337">
        <f>IF(D337="","",MAX(IF(N(F337)=0,0,IF(N(E337)&gt;0,E337*(1+F337/30),F337)),IF(N(H337)=0,0,IF(N(G337)&gt;0,G337*(1+H337/30),H337)),IF(N(J337)=0,0,IF(N(I337)&gt;0,I337*(1+J337/30),J337)),IF(N(L337)=0,0,IF(N(K337)&gt;0,K337*(1+L337/30),L337)),IF(N(N337)=0,0,IF(N(M337)&gt;0,M337*(1+N337/30),N337))))</f>
        <v/>
      </c>
      <c r="Y337">
        <f>IF(N(X337)=0,"",X337+ROW()/1000000000)</f>
        <v/>
      </c>
      <c r="Z337">
        <f>IF(Y337="","",IF(COUNTIFS(Log!$D$6:$D$1505,D337,Log!$Y$6:$Y$1505,"&gt;"&amp;Y337)=0,1,0))</f>
        <v/>
      </c>
      <c r="AA337">
        <f>IF(OR(B337="",D337=""),"",B337+ROW()/10000000)</f>
        <v/>
      </c>
      <c r="AB337">
        <f>IF(AA337="","",IF(COUNTIFS(Log!$D$6:$D$1505,D337,Log!$AA$6:$AA$1505,"&gt;"&amp;AA337)=0,1,0))</f>
        <v/>
      </c>
      <c r="AC337">
        <f>IF(S337="New best",AA337,"")</f>
        <v/>
      </c>
      <c r="AD337">
        <f>ROW()</f>
        <v/>
      </c>
    </row>
    <row r="338">
      <c r="A338" s="1" t="n"/>
      <c r="B338" s="21" t="n"/>
      <c r="C338" s="22" t="n"/>
      <c r="D338" s="23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15">
        <f>IF(D338="","",COUNT(F338,H338,J338,L338,N338))</f>
        <v/>
      </c>
      <c r="P338" s="25">
        <f>IF(D338="","",N(E338)*N(F338)+N(G338)*N(H338)+N(I338)*N(J338)+N(K338)*N(L338)+N(M338)*N(N338))</f>
        <v/>
      </c>
      <c r="Q338" s="18">
        <f>IF(N(X338)=0,"",IF(IF(N(F338)=0,0,IF(N(E338)&gt;0,E338*(1+F338/30),F338))=X338,IF(N(E338)&gt;0,E338&amp;" x "&amp;F338,F338&amp;" reps"),IF(IF(N(H338)=0,0,IF(N(G338)&gt;0,G338*(1+H338/30),H338))=X338,IF(N(G338)&gt;0,G338&amp;" x "&amp;H338,H338&amp;" reps"),IF(IF(N(J338)=0,0,IF(N(I338)&gt;0,I338*(1+J338/30),J338))=X338,IF(N(I338)&gt;0,I338&amp;" x "&amp;J338,J338&amp;" reps"),IF(IF(N(L338)=0,0,IF(N(K338)&gt;0,K338*(1+L338/30),L338))=X338,IF(N(K338)&gt;0,K338&amp;" x "&amp;L338,L338&amp;" reps"),IF(IF(N(N338)=0,0,IF(N(M338)&gt;0,M338*(1+N338/30),N338))=X338,IF(N(M338)&gt;0,M338&amp;" x "&amp;N338,N338&amp;" reps"),""))))))</f>
        <v/>
      </c>
      <c r="R338" s="20">
        <f>IF(N(X338)=0,"",ROUND(X338,1))</f>
        <v/>
      </c>
      <c r="S338" s="18">
        <f>IF(N(X338)=0,"",IF(AND(COUNTIFS(Log!$D$6:$D$1505,D338,Log!$B$6:$B$1505,"&lt;"&amp;B338)&gt;0,COUNTIFS(Log!$D$6:$D$1505,D338,Log!$B$6:$B$1505,"&lt;"&amp;B338,Log!$X$6:$X$1505,"&gt;="&amp;X338)=0),"New best",""))</f>
        <v/>
      </c>
      <c r="T338" s="26" t="n"/>
      <c r="U338" s="1">
        <f>IF(D338="","",IFERROR(INDEX(Exercises!$C$6:$C$105,MATCH(D338,Exercises!$B$6:$B$105,0)),"Other"))</f>
        <v/>
      </c>
      <c r="V338">
        <f>IF(B338="","",IF(COUNTIF($B$6:B338,B338)=1,1,0))</f>
        <v/>
      </c>
      <c r="W338">
        <f>IF(B338="","",B338-WEEKDAY(B338,3))</f>
        <v/>
      </c>
      <c r="X338">
        <f>IF(D338="","",MAX(IF(N(F338)=0,0,IF(N(E338)&gt;0,E338*(1+F338/30),F338)),IF(N(H338)=0,0,IF(N(G338)&gt;0,G338*(1+H338/30),H338)),IF(N(J338)=0,0,IF(N(I338)&gt;0,I338*(1+J338/30),J338)),IF(N(L338)=0,0,IF(N(K338)&gt;0,K338*(1+L338/30),L338)),IF(N(N338)=0,0,IF(N(M338)&gt;0,M338*(1+N338/30),N338))))</f>
        <v/>
      </c>
      <c r="Y338">
        <f>IF(N(X338)=0,"",X338+ROW()/1000000000)</f>
        <v/>
      </c>
      <c r="Z338">
        <f>IF(Y338="","",IF(COUNTIFS(Log!$D$6:$D$1505,D338,Log!$Y$6:$Y$1505,"&gt;"&amp;Y338)=0,1,0))</f>
        <v/>
      </c>
      <c r="AA338">
        <f>IF(OR(B338="",D338=""),"",B338+ROW()/10000000)</f>
        <v/>
      </c>
      <c r="AB338">
        <f>IF(AA338="","",IF(COUNTIFS(Log!$D$6:$D$1505,D338,Log!$AA$6:$AA$1505,"&gt;"&amp;AA338)=0,1,0))</f>
        <v/>
      </c>
      <c r="AC338">
        <f>IF(S338="New best",AA338,"")</f>
        <v/>
      </c>
      <c r="AD338">
        <f>ROW()</f>
        <v/>
      </c>
    </row>
    <row r="339">
      <c r="A339" s="1" t="n"/>
      <c r="B339" s="21" t="n"/>
      <c r="C339" s="22" t="n"/>
      <c r="D339" s="23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15">
        <f>IF(D339="","",COUNT(F339,H339,J339,L339,N339))</f>
        <v/>
      </c>
      <c r="P339" s="25">
        <f>IF(D339="","",N(E339)*N(F339)+N(G339)*N(H339)+N(I339)*N(J339)+N(K339)*N(L339)+N(M339)*N(N339))</f>
        <v/>
      </c>
      <c r="Q339" s="18">
        <f>IF(N(X339)=0,"",IF(IF(N(F339)=0,0,IF(N(E339)&gt;0,E339*(1+F339/30),F339))=X339,IF(N(E339)&gt;0,E339&amp;" x "&amp;F339,F339&amp;" reps"),IF(IF(N(H339)=0,0,IF(N(G339)&gt;0,G339*(1+H339/30),H339))=X339,IF(N(G339)&gt;0,G339&amp;" x "&amp;H339,H339&amp;" reps"),IF(IF(N(J339)=0,0,IF(N(I339)&gt;0,I339*(1+J339/30),J339))=X339,IF(N(I339)&gt;0,I339&amp;" x "&amp;J339,J339&amp;" reps"),IF(IF(N(L339)=0,0,IF(N(K339)&gt;0,K339*(1+L339/30),L339))=X339,IF(N(K339)&gt;0,K339&amp;" x "&amp;L339,L339&amp;" reps"),IF(IF(N(N339)=0,0,IF(N(M339)&gt;0,M339*(1+N339/30),N339))=X339,IF(N(M339)&gt;0,M339&amp;" x "&amp;N339,N339&amp;" reps"),""))))))</f>
        <v/>
      </c>
      <c r="R339" s="20">
        <f>IF(N(X339)=0,"",ROUND(X339,1))</f>
        <v/>
      </c>
      <c r="S339" s="18">
        <f>IF(N(X339)=0,"",IF(AND(COUNTIFS(Log!$D$6:$D$1505,D339,Log!$B$6:$B$1505,"&lt;"&amp;B339)&gt;0,COUNTIFS(Log!$D$6:$D$1505,D339,Log!$B$6:$B$1505,"&lt;"&amp;B339,Log!$X$6:$X$1505,"&gt;="&amp;X339)=0),"New best",""))</f>
        <v/>
      </c>
      <c r="T339" s="26" t="n"/>
      <c r="U339" s="1">
        <f>IF(D339="","",IFERROR(INDEX(Exercises!$C$6:$C$105,MATCH(D339,Exercises!$B$6:$B$105,0)),"Other"))</f>
        <v/>
      </c>
      <c r="V339">
        <f>IF(B339="","",IF(COUNTIF($B$6:B339,B339)=1,1,0))</f>
        <v/>
      </c>
      <c r="W339">
        <f>IF(B339="","",B339-WEEKDAY(B339,3))</f>
        <v/>
      </c>
      <c r="X339">
        <f>IF(D339="","",MAX(IF(N(F339)=0,0,IF(N(E339)&gt;0,E339*(1+F339/30),F339)),IF(N(H339)=0,0,IF(N(G339)&gt;0,G339*(1+H339/30),H339)),IF(N(J339)=0,0,IF(N(I339)&gt;0,I339*(1+J339/30),J339)),IF(N(L339)=0,0,IF(N(K339)&gt;0,K339*(1+L339/30),L339)),IF(N(N339)=0,0,IF(N(M339)&gt;0,M339*(1+N339/30),N339))))</f>
        <v/>
      </c>
      <c r="Y339">
        <f>IF(N(X339)=0,"",X339+ROW()/1000000000)</f>
        <v/>
      </c>
      <c r="Z339">
        <f>IF(Y339="","",IF(COUNTIFS(Log!$D$6:$D$1505,D339,Log!$Y$6:$Y$1505,"&gt;"&amp;Y339)=0,1,0))</f>
        <v/>
      </c>
      <c r="AA339">
        <f>IF(OR(B339="",D339=""),"",B339+ROW()/10000000)</f>
        <v/>
      </c>
      <c r="AB339">
        <f>IF(AA339="","",IF(COUNTIFS(Log!$D$6:$D$1505,D339,Log!$AA$6:$AA$1505,"&gt;"&amp;AA339)=0,1,0))</f>
        <v/>
      </c>
      <c r="AC339">
        <f>IF(S339="New best",AA339,"")</f>
        <v/>
      </c>
      <c r="AD339">
        <f>ROW()</f>
        <v/>
      </c>
    </row>
    <row r="340">
      <c r="A340" s="1" t="n"/>
      <c r="B340" s="21" t="n"/>
      <c r="C340" s="22" t="n"/>
      <c r="D340" s="23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15">
        <f>IF(D340="","",COUNT(F340,H340,J340,L340,N340))</f>
        <v/>
      </c>
      <c r="P340" s="25">
        <f>IF(D340="","",N(E340)*N(F340)+N(G340)*N(H340)+N(I340)*N(J340)+N(K340)*N(L340)+N(M340)*N(N340))</f>
        <v/>
      </c>
      <c r="Q340" s="18">
        <f>IF(N(X340)=0,"",IF(IF(N(F340)=0,0,IF(N(E340)&gt;0,E340*(1+F340/30),F340))=X340,IF(N(E340)&gt;0,E340&amp;" x "&amp;F340,F340&amp;" reps"),IF(IF(N(H340)=0,0,IF(N(G340)&gt;0,G340*(1+H340/30),H340))=X340,IF(N(G340)&gt;0,G340&amp;" x "&amp;H340,H340&amp;" reps"),IF(IF(N(J340)=0,0,IF(N(I340)&gt;0,I340*(1+J340/30),J340))=X340,IF(N(I340)&gt;0,I340&amp;" x "&amp;J340,J340&amp;" reps"),IF(IF(N(L340)=0,0,IF(N(K340)&gt;0,K340*(1+L340/30),L340))=X340,IF(N(K340)&gt;0,K340&amp;" x "&amp;L340,L340&amp;" reps"),IF(IF(N(N340)=0,0,IF(N(M340)&gt;0,M340*(1+N340/30),N340))=X340,IF(N(M340)&gt;0,M340&amp;" x "&amp;N340,N340&amp;" reps"),""))))))</f>
        <v/>
      </c>
      <c r="R340" s="20">
        <f>IF(N(X340)=0,"",ROUND(X340,1))</f>
        <v/>
      </c>
      <c r="S340" s="18">
        <f>IF(N(X340)=0,"",IF(AND(COUNTIFS(Log!$D$6:$D$1505,D340,Log!$B$6:$B$1505,"&lt;"&amp;B340)&gt;0,COUNTIFS(Log!$D$6:$D$1505,D340,Log!$B$6:$B$1505,"&lt;"&amp;B340,Log!$X$6:$X$1505,"&gt;="&amp;X340)=0),"New best",""))</f>
        <v/>
      </c>
      <c r="T340" s="26" t="n"/>
      <c r="U340" s="1">
        <f>IF(D340="","",IFERROR(INDEX(Exercises!$C$6:$C$105,MATCH(D340,Exercises!$B$6:$B$105,0)),"Other"))</f>
        <v/>
      </c>
      <c r="V340">
        <f>IF(B340="","",IF(COUNTIF($B$6:B340,B340)=1,1,0))</f>
        <v/>
      </c>
      <c r="W340">
        <f>IF(B340="","",B340-WEEKDAY(B340,3))</f>
        <v/>
      </c>
      <c r="X340">
        <f>IF(D340="","",MAX(IF(N(F340)=0,0,IF(N(E340)&gt;0,E340*(1+F340/30),F340)),IF(N(H340)=0,0,IF(N(G340)&gt;0,G340*(1+H340/30),H340)),IF(N(J340)=0,0,IF(N(I340)&gt;0,I340*(1+J340/30),J340)),IF(N(L340)=0,0,IF(N(K340)&gt;0,K340*(1+L340/30),L340)),IF(N(N340)=0,0,IF(N(M340)&gt;0,M340*(1+N340/30),N340))))</f>
        <v/>
      </c>
      <c r="Y340">
        <f>IF(N(X340)=0,"",X340+ROW()/1000000000)</f>
        <v/>
      </c>
      <c r="Z340">
        <f>IF(Y340="","",IF(COUNTIFS(Log!$D$6:$D$1505,D340,Log!$Y$6:$Y$1505,"&gt;"&amp;Y340)=0,1,0))</f>
        <v/>
      </c>
      <c r="AA340">
        <f>IF(OR(B340="",D340=""),"",B340+ROW()/10000000)</f>
        <v/>
      </c>
      <c r="AB340">
        <f>IF(AA340="","",IF(COUNTIFS(Log!$D$6:$D$1505,D340,Log!$AA$6:$AA$1505,"&gt;"&amp;AA340)=0,1,0))</f>
        <v/>
      </c>
      <c r="AC340">
        <f>IF(S340="New best",AA340,"")</f>
        <v/>
      </c>
      <c r="AD340">
        <f>ROW()</f>
        <v/>
      </c>
    </row>
    <row r="341">
      <c r="A341" s="1" t="n"/>
      <c r="B341" s="21" t="n"/>
      <c r="C341" s="22" t="n"/>
      <c r="D341" s="23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15">
        <f>IF(D341="","",COUNT(F341,H341,J341,L341,N341))</f>
        <v/>
      </c>
      <c r="P341" s="25">
        <f>IF(D341="","",N(E341)*N(F341)+N(G341)*N(H341)+N(I341)*N(J341)+N(K341)*N(L341)+N(M341)*N(N341))</f>
        <v/>
      </c>
      <c r="Q341" s="18">
        <f>IF(N(X341)=0,"",IF(IF(N(F341)=0,0,IF(N(E341)&gt;0,E341*(1+F341/30),F341))=X341,IF(N(E341)&gt;0,E341&amp;" x "&amp;F341,F341&amp;" reps"),IF(IF(N(H341)=0,0,IF(N(G341)&gt;0,G341*(1+H341/30),H341))=X341,IF(N(G341)&gt;0,G341&amp;" x "&amp;H341,H341&amp;" reps"),IF(IF(N(J341)=0,0,IF(N(I341)&gt;0,I341*(1+J341/30),J341))=X341,IF(N(I341)&gt;0,I341&amp;" x "&amp;J341,J341&amp;" reps"),IF(IF(N(L341)=0,0,IF(N(K341)&gt;0,K341*(1+L341/30),L341))=X341,IF(N(K341)&gt;0,K341&amp;" x "&amp;L341,L341&amp;" reps"),IF(IF(N(N341)=0,0,IF(N(M341)&gt;0,M341*(1+N341/30),N341))=X341,IF(N(M341)&gt;0,M341&amp;" x "&amp;N341,N341&amp;" reps"),""))))))</f>
        <v/>
      </c>
      <c r="R341" s="20">
        <f>IF(N(X341)=0,"",ROUND(X341,1))</f>
        <v/>
      </c>
      <c r="S341" s="18">
        <f>IF(N(X341)=0,"",IF(AND(COUNTIFS(Log!$D$6:$D$1505,D341,Log!$B$6:$B$1505,"&lt;"&amp;B341)&gt;0,COUNTIFS(Log!$D$6:$D$1505,D341,Log!$B$6:$B$1505,"&lt;"&amp;B341,Log!$X$6:$X$1505,"&gt;="&amp;X341)=0),"New best",""))</f>
        <v/>
      </c>
      <c r="T341" s="26" t="n"/>
      <c r="U341" s="1">
        <f>IF(D341="","",IFERROR(INDEX(Exercises!$C$6:$C$105,MATCH(D341,Exercises!$B$6:$B$105,0)),"Other"))</f>
        <v/>
      </c>
      <c r="V341">
        <f>IF(B341="","",IF(COUNTIF($B$6:B341,B341)=1,1,0))</f>
        <v/>
      </c>
      <c r="W341">
        <f>IF(B341="","",B341-WEEKDAY(B341,3))</f>
        <v/>
      </c>
      <c r="X341">
        <f>IF(D341="","",MAX(IF(N(F341)=0,0,IF(N(E341)&gt;0,E341*(1+F341/30),F341)),IF(N(H341)=0,0,IF(N(G341)&gt;0,G341*(1+H341/30),H341)),IF(N(J341)=0,0,IF(N(I341)&gt;0,I341*(1+J341/30),J341)),IF(N(L341)=0,0,IF(N(K341)&gt;0,K341*(1+L341/30),L341)),IF(N(N341)=0,0,IF(N(M341)&gt;0,M341*(1+N341/30),N341))))</f>
        <v/>
      </c>
      <c r="Y341">
        <f>IF(N(X341)=0,"",X341+ROW()/1000000000)</f>
        <v/>
      </c>
      <c r="Z341">
        <f>IF(Y341="","",IF(COUNTIFS(Log!$D$6:$D$1505,D341,Log!$Y$6:$Y$1505,"&gt;"&amp;Y341)=0,1,0))</f>
        <v/>
      </c>
      <c r="AA341">
        <f>IF(OR(B341="",D341=""),"",B341+ROW()/10000000)</f>
        <v/>
      </c>
      <c r="AB341">
        <f>IF(AA341="","",IF(COUNTIFS(Log!$D$6:$D$1505,D341,Log!$AA$6:$AA$1505,"&gt;"&amp;AA341)=0,1,0))</f>
        <v/>
      </c>
      <c r="AC341">
        <f>IF(S341="New best",AA341,"")</f>
        <v/>
      </c>
      <c r="AD341">
        <f>ROW()</f>
        <v/>
      </c>
    </row>
    <row r="342">
      <c r="A342" s="1" t="n"/>
      <c r="B342" s="21" t="n"/>
      <c r="C342" s="22" t="n"/>
      <c r="D342" s="23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15">
        <f>IF(D342="","",COUNT(F342,H342,J342,L342,N342))</f>
        <v/>
      </c>
      <c r="P342" s="25">
        <f>IF(D342="","",N(E342)*N(F342)+N(G342)*N(H342)+N(I342)*N(J342)+N(K342)*N(L342)+N(M342)*N(N342))</f>
        <v/>
      </c>
      <c r="Q342" s="18">
        <f>IF(N(X342)=0,"",IF(IF(N(F342)=0,0,IF(N(E342)&gt;0,E342*(1+F342/30),F342))=X342,IF(N(E342)&gt;0,E342&amp;" x "&amp;F342,F342&amp;" reps"),IF(IF(N(H342)=0,0,IF(N(G342)&gt;0,G342*(1+H342/30),H342))=X342,IF(N(G342)&gt;0,G342&amp;" x "&amp;H342,H342&amp;" reps"),IF(IF(N(J342)=0,0,IF(N(I342)&gt;0,I342*(1+J342/30),J342))=X342,IF(N(I342)&gt;0,I342&amp;" x "&amp;J342,J342&amp;" reps"),IF(IF(N(L342)=0,0,IF(N(K342)&gt;0,K342*(1+L342/30),L342))=X342,IF(N(K342)&gt;0,K342&amp;" x "&amp;L342,L342&amp;" reps"),IF(IF(N(N342)=0,0,IF(N(M342)&gt;0,M342*(1+N342/30),N342))=X342,IF(N(M342)&gt;0,M342&amp;" x "&amp;N342,N342&amp;" reps"),""))))))</f>
        <v/>
      </c>
      <c r="R342" s="20">
        <f>IF(N(X342)=0,"",ROUND(X342,1))</f>
        <v/>
      </c>
      <c r="S342" s="18">
        <f>IF(N(X342)=0,"",IF(AND(COUNTIFS(Log!$D$6:$D$1505,D342,Log!$B$6:$B$1505,"&lt;"&amp;B342)&gt;0,COUNTIFS(Log!$D$6:$D$1505,D342,Log!$B$6:$B$1505,"&lt;"&amp;B342,Log!$X$6:$X$1505,"&gt;="&amp;X342)=0),"New best",""))</f>
        <v/>
      </c>
      <c r="T342" s="26" t="n"/>
      <c r="U342" s="1">
        <f>IF(D342="","",IFERROR(INDEX(Exercises!$C$6:$C$105,MATCH(D342,Exercises!$B$6:$B$105,0)),"Other"))</f>
        <v/>
      </c>
      <c r="V342">
        <f>IF(B342="","",IF(COUNTIF($B$6:B342,B342)=1,1,0))</f>
        <v/>
      </c>
      <c r="W342">
        <f>IF(B342="","",B342-WEEKDAY(B342,3))</f>
        <v/>
      </c>
      <c r="X342">
        <f>IF(D342="","",MAX(IF(N(F342)=0,0,IF(N(E342)&gt;0,E342*(1+F342/30),F342)),IF(N(H342)=0,0,IF(N(G342)&gt;0,G342*(1+H342/30),H342)),IF(N(J342)=0,0,IF(N(I342)&gt;0,I342*(1+J342/30),J342)),IF(N(L342)=0,0,IF(N(K342)&gt;0,K342*(1+L342/30),L342)),IF(N(N342)=0,0,IF(N(M342)&gt;0,M342*(1+N342/30),N342))))</f>
        <v/>
      </c>
      <c r="Y342">
        <f>IF(N(X342)=0,"",X342+ROW()/1000000000)</f>
        <v/>
      </c>
      <c r="Z342">
        <f>IF(Y342="","",IF(COUNTIFS(Log!$D$6:$D$1505,D342,Log!$Y$6:$Y$1505,"&gt;"&amp;Y342)=0,1,0))</f>
        <v/>
      </c>
      <c r="AA342">
        <f>IF(OR(B342="",D342=""),"",B342+ROW()/10000000)</f>
        <v/>
      </c>
      <c r="AB342">
        <f>IF(AA342="","",IF(COUNTIFS(Log!$D$6:$D$1505,D342,Log!$AA$6:$AA$1505,"&gt;"&amp;AA342)=0,1,0))</f>
        <v/>
      </c>
      <c r="AC342">
        <f>IF(S342="New best",AA342,"")</f>
        <v/>
      </c>
      <c r="AD342">
        <f>ROW()</f>
        <v/>
      </c>
    </row>
    <row r="343">
      <c r="A343" s="1" t="n"/>
      <c r="B343" s="21" t="n"/>
      <c r="C343" s="22" t="n"/>
      <c r="D343" s="23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15">
        <f>IF(D343="","",COUNT(F343,H343,J343,L343,N343))</f>
        <v/>
      </c>
      <c r="P343" s="25">
        <f>IF(D343="","",N(E343)*N(F343)+N(G343)*N(H343)+N(I343)*N(J343)+N(K343)*N(L343)+N(M343)*N(N343))</f>
        <v/>
      </c>
      <c r="Q343" s="18">
        <f>IF(N(X343)=0,"",IF(IF(N(F343)=0,0,IF(N(E343)&gt;0,E343*(1+F343/30),F343))=X343,IF(N(E343)&gt;0,E343&amp;" x "&amp;F343,F343&amp;" reps"),IF(IF(N(H343)=0,0,IF(N(G343)&gt;0,G343*(1+H343/30),H343))=X343,IF(N(G343)&gt;0,G343&amp;" x "&amp;H343,H343&amp;" reps"),IF(IF(N(J343)=0,0,IF(N(I343)&gt;0,I343*(1+J343/30),J343))=X343,IF(N(I343)&gt;0,I343&amp;" x "&amp;J343,J343&amp;" reps"),IF(IF(N(L343)=0,0,IF(N(K343)&gt;0,K343*(1+L343/30),L343))=X343,IF(N(K343)&gt;0,K343&amp;" x "&amp;L343,L343&amp;" reps"),IF(IF(N(N343)=0,0,IF(N(M343)&gt;0,M343*(1+N343/30),N343))=X343,IF(N(M343)&gt;0,M343&amp;" x "&amp;N343,N343&amp;" reps"),""))))))</f>
        <v/>
      </c>
      <c r="R343" s="20">
        <f>IF(N(X343)=0,"",ROUND(X343,1))</f>
        <v/>
      </c>
      <c r="S343" s="18">
        <f>IF(N(X343)=0,"",IF(AND(COUNTIFS(Log!$D$6:$D$1505,D343,Log!$B$6:$B$1505,"&lt;"&amp;B343)&gt;0,COUNTIFS(Log!$D$6:$D$1505,D343,Log!$B$6:$B$1505,"&lt;"&amp;B343,Log!$X$6:$X$1505,"&gt;="&amp;X343)=0),"New best",""))</f>
        <v/>
      </c>
      <c r="T343" s="26" t="n"/>
      <c r="U343" s="1">
        <f>IF(D343="","",IFERROR(INDEX(Exercises!$C$6:$C$105,MATCH(D343,Exercises!$B$6:$B$105,0)),"Other"))</f>
        <v/>
      </c>
      <c r="V343">
        <f>IF(B343="","",IF(COUNTIF($B$6:B343,B343)=1,1,0))</f>
        <v/>
      </c>
      <c r="W343">
        <f>IF(B343="","",B343-WEEKDAY(B343,3))</f>
        <v/>
      </c>
      <c r="X343">
        <f>IF(D343="","",MAX(IF(N(F343)=0,0,IF(N(E343)&gt;0,E343*(1+F343/30),F343)),IF(N(H343)=0,0,IF(N(G343)&gt;0,G343*(1+H343/30),H343)),IF(N(J343)=0,0,IF(N(I343)&gt;0,I343*(1+J343/30),J343)),IF(N(L343)=0,0,IF(N(K343)&gt;0,K343*(1+L343/30),L343)),IF(N(N343)=0,0,IF(N(M343)&gt;0,M343*(1+N343/30),N343))))</f>
        <v/>
      </c>
      <c r="Y343">
        <f>IF(N(X343)=0,"",X343+ROW()/1000000000)</f>
        <v/>
      </c>
      <c r="Z343">
        <f>IF(Y343="","",IF(COUNTIFS(Log!$D$6:$D$1505,D343,Log!$Y$6:$Y$1505,"&gt;"&amp;Y343)=0,1,0))</f>
        <v/>
      </c>
      <c r="AA343">
        <f>IF(OR(B343="",D343=""),"",B343+ROW()/10000000)</f>
        <v/>
      </c>
      <c r="AB343">
        <f>IF(AA343="","",IF(COUNTIFS(Log!$D$6:$D$1505,D343,Log!$AA$6:$AA$1505,"&gt;"&amp;AA343)=0,1,0))</f>
        <v/>
      </c>
      <c r="AC343">
        <f>IF(S343="New best",AA343,"")</f>
        <v/>
      </c>
      <c r="AD343">
        <f>ROW()</f>
        <v/>
      </c>
    </row>
    <row r="344">
      <c r="A344" s="1" t="n"/>
      <c r="B344" s="21" t="n"/>
      <c r="C344" s="22" t="n"/>
      <c r="D344" s="23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15">
        <f>IF(D344="","",COUNT(F344,H344,J344,L344,N344))</f>
        <v/>
      </c>
      <c r="P344" s="25">
        <f>IF(D344="","",N(E344)*N(F344)+N(G344)*N(H344)+N(I344)*N(J344)+N(K344)*N(L344)+N(M344)*N(N344))</f>
        <v/>
      </c>
      <c r="Q344" s="18">
        <f>IF(N(X344)=0,"",IF(IF(N(F344)=0,0,IF(N(E344)&gt;0,E344*(1+F344/30),F344))=X344,IF(N(E344)&gt;0,E344&amp;" x "&amp;F344,F344&amp;" reps"),IF(IF(N(H344)=0,0,IF(N(G344)&gt;0,G344*(1+H344/30),H344))=X344,IF(N(G344)&gt;0,G344&amp;" x "&amp;H344,H344&amp;" reps"),IF(IF(N(J344)=0,0,IF(N(I344)&gt;0,I344*(1+J344/30),J344))=X344,IF(N(I344)&gt;0,I344&amp;" x "&amp;J344,J344&amp;" reps"),IF(IF(N(L344)=0,0,IF(N(K344)&gt;0,K344*(1+L344/30),L344))=X344,IF(N(K344)&gt;0,K344&amp;" x "&amp;L344,L344&amp;" reps"),IF(IF(N(N344)=0,0,IF(N(M344)&gt;0,M344*(1+N344/30),N344))=X344,IF(N(M344)&gt;0,M344&amp;" x "&amp;N344,N344&amp;" reps"),""))))))</f>
        <v/>
      </c>
      <c r="R344" s="20">
        <f>IF(N(X344)=0,"",ROUND(X344,1))</f>
        <v/>
      </c>
      <c r="S344" s="18">
        <f>IF(N(X344)=0,"",IF(AND(COUNTIFS(Log!$D$6:$D$1505,D344,Log!$B$6:$B$1505,"&lt;"&amp;B344)&gt;0,COUNTIFS(Log!$D$6:$D$1505,D344,Log!$B$6:$B$1505,"&lt;"&amp;B344,Log!$X$6:$X$1505,"&gt;="&amp;X344)=0),"New best",""))</f>
        <v/>
      </c>
      <c r="T344" s="26" t="n"/>
      <c r="U344" s="1">
        <f>IF(D344="","",IFERROR(INDEX(Exercises!$C$6:$C$105,MATCH(D344,Exercises!$B$6:$B$105,0)),"Other"))</f>
        <v/>
      </c>
      <c r="V344">
        <f>IF(B344="","",IF(COUNTIF($B$6:B344,B344)=1,1,0))</f>
        <v/>
      </c>
      <c r="W344">
        <f>IF(B344="","",B344-WEEKDAY(B344,3))</f>
        <v/>
      </c>
      <c r="X344">
        <f>IF(D344="","",MAX(IF(N(F344)=0,0,IF(N(E344)&gt;0,E344*(1+F344/30),F344)),IF(N(H344)=0,0,IF(N(G344)&gt;0,G344*(1+H344/30),H344)),IF(N(J344)=0,0,IF(N(I344)&gt;0,I344*(1+J344/30),J344)),IF(N(L344)=0,0,IF(N(K344)&gt;0,K344*(1+L344/30),L344)),IF(N(N344)=0,0,IF(N(M344)&gt;0,M344*(1+N344/30),N344))))</f>
        <v/>
      </c>
      <c r="Y344">
        <f>IF(N(X344)=0,"",X344+ROW()/1000000000)</f>
        <v/>
      </c>
      <c r="Z344">
        <f>IF(Y344="","",IF(COUNTIFS(Log!$D$6:$D$1505,D344,Log!$Y$6:$Y$1505,"&gt;"&amp;Y344)=0,1,0))</f>
        <v/>
      </c>
      <c r="AA344">
        <f>IF(OR(B344="",D344=""),"",B344+ROW()/10000000)</f>
        <v/>
      </c>
      <c r="AB344">
        <f>IF(AA344="","",IF(COUNTIFS(Log!$D$6:$D$1505,D344,Log!$AA$6:$AA$1505,"&gt;"&amp;AA344)=0,1,0))</f>
        <v/>
      </c>
      <c r="AC344">
        <f>IF(S344="New best",AA344,"")</f>
        <v/>
      </c>
      <c r="AD344">
        <f>ROW()</f>
        <v/>
      </c>
    </row>
    <row r="345">
      <c r="A345" s="1" t="n"/>
      <c r="B345" s="21" t="n"/>
      <c r="C345" s="22" t="n"/>
      <c r="D345" s="23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15">
        <f>IF(D345="","",COUNT(F345,H345,J345,L345,N345))</f>
        <v/>
      </c>
      <c r="P345" s="25">
        <f>IF(D345="","",N(E345)*N(F345)+N(G345)*N(H345)+N(I345)*N(J345)+N(K345)*N(L345)+N(M345)*N(N345))</f>
        <v/>
      </c>
      <c r="Q345" s="18">
        <f>IF(N(X345)=0,"",IF(IF(N(F345)=0,0,IF(N(E345)&gt;0,E345*(1+F345/30),F345))=X345,IF(N(E345)&gt;0,E345&amp;" x "&amp;F345,F345&amp;" reps"),IF(IF(N(H345)=0,0,IF(N(G345)&gt;0,G345*(1+H345/30),H345))=X345,IF(N(G345)&gt;0,G345&amp;" x "&amp;H345,H345&amp;" reps"),IF(IF(N(J345)=0,0,IF(N(I345)&gt;0,I345*(1+J345/30),J345))=X345,IF(N(I345)&gt;0,I345&amp;" x "&amp;J345,J345&amp;" reps"),IF(IF(N(L345)=0,0,IF(N(K345)&gt;0,K345*(1+L345/30),L345))=X345,IF(N(K345)&gt;0,K345&amp;" x "&amp;L345,L345&amp;" reps"),IF(IF(N(N345)=0,0,IF(N(M345)&gt;0,M345*(1+N345/30),N345))=X345,IF(N(M345)&gt;0,M345&amp;" x "&amp;N345,N345&amp;" reps"),""))))))</f>
        <v/>
      </c>
      <c r="R345" s="20">
        <f>IF(N(X345)=0,"",ROUND(X345,1))</f>
        <v/>
      </c>
      <c r="S345" s="18">
        <f>IF(N(X345)=0,"",IF(AND(COUNTIFS(Log!$D$6:$D$1505,D345,Log!$B$6:$B$1505,"&lt;"&amp;B345)&gt;0,COUNTIFS(Log!$D$6:$D$1505,D345,Log!$B$6:$B$1505,"&lt;"&amp;B345,Log!$X$6:$X$1505,"&gt;="&amp;X345)=0),"New best",""))</f>
        <v/>
      </c>
      <c r="T345" s="26" t="n"/>
      <c r="U345" s="1">
        <f>IF(D345="","",IFERROR(INDEX(Exercises!$C$6:$C$105,MATCH(D345,Exercises!$B$6:$B$105,0)),"Other"))</f>
        <v/>
      </c>
      <c r="V345">
        <f>IF(B345="","",IF(COUNTIF($B$6:B345,B345)=1,1,0))</f>
        <v/>
      </c>
      <c r="W345">
        <f>IF(B345="","",B345-WEEKDAY(B345,3))</f>
        <v/>
      </c>
      <c r="X345">
        <f>IF(D345="","",MAX(IF(N(F345)=0,0,IF(N(E345)&gt;0,E345*(1+F345/30),F345)),IF(N(H345)=0,0,IF(N(G345)&gt;0,G345*(1+H345/30),H345)),IF(N(J345)=0,0,IF(N(I345)&gt;0,I345*(1+J345/30),J345)),IF(N(L345)=0,0,IF(N(K345)&gt;0,K345*(1+L345/30),L345)),IF(N(N345)=0,0,IF(N(M345)&gt;0,M345*(1+N345/30),N345))))</f>
        <v/>
      </c>
      <c r="Y345">
        <f>IF(N(X345)=0,"",X345+ROW()/1000000000)</f>
        <v/>
      </c>
      <c r="Z345">
        <f>IF(Y345="","",IF(COUNTIFS(Log!$D$6:$D$1505,D345,Log!$Y$6:$Y$1505,"&gt;"&amp;Y345)=0,1,0))</f>
        <v/>
      </c>
      <c r="AA345">
        <f>IF(OR(B345="",D345=""),"",B345+ROW()/10000000)</f>
        <v/>
      </c>
      <c r="AB345">
        <f>IF(AA345="","",IF(COUNTIFS(Log!$D$6:$D$1505,D345,Log!$AA$6:$AA$1505,"&gt;"&amp;AA345)=0,1,0))</f>
        <v/>
      </c>
      <c r="AC345">
        <f>IF(S345="New best",AA345,"")</f>
        <v/>
      </c>
      <c r="AD345">
        <f>ROW()</f>
        <v/>
      </c>
    </row>
    <row r="346">
      <c r="A346" s="1" t="n"/>
      <c r="B346" s="21" t="n"/>
      <c r="C346" s="22" t="n"/>
      <c r="D346" s="23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15">
        <f>IF(D346="","",COUNT(F346,H346,J346,L346,N346))</f>
        <v/>
      </c>
      <c r="P346" s="25">
        <f>IF(D346="","",N(E346)*N(F346)+N(G346)*N(H346)+N(I346)*N(J346)+N(K346)*N(L346)+N(M346)*N(N346))</f>
        <v/>
      </c>
      <c r="Q346" s="18">
        <f>IF(N(X346)=0,"",IF(IF(N(F346)=0,0,IF(N(E346)&gt;0,E346*(1+F346/30),F346))=X346,IF(N(E346)&gt;0,E346&amp;" x "&amp;F346,F346&amp;" reps"),IF(IF(N(H346)=0,0,IF(N(G346)&gt;0,G346*(1+H346/30),H346))=X346,IF(N(G346)&gt;0,G346&amp;" x "&amp;H346,H346&amp;" reps"),IF(IF(N(J346)=0,0,IF(N(I346)&gt;0,I346*(1+J346/30),J346))=X346,IF(N(I346)&gt;0,I346&amp;" x "&amp;J346,J346&amp;" reps"),IF(IF(N(L346)=0,0,IF(N(K346)&gt;0,K346*(1+L346/30),L346))=X346,IF(N(K346)&gt;0,K346&amp;" x "&amp;L346,L346&amp;" reps"),IF(IF(N(N346)=0,0,IF(N(M346)&gt;0,M346*(1+N346/30),N346))=X346,IF(N(M346)&gt;0,M346&amp;" x "&amp;N346,N346&amp;" reps"),""))))))</f>
        <v/>
      </c>
      <c r="R346" s="20">
        <f>IF(N(X346)=0,"",ROUND(X346,1))</f>
        <v/>
      </c>
      <c r="S346" s="18">
        <f>IF(N(X346)=0,"",IF(AND(COUNTIFS(Log!$D$6:$D$1505,D346,Log!$B$6:$B$1505,"&lt;"&amp;B346)&gt;0,COUNTIFS(Log!$D$6:$D$1505,D346,Log!$B$6:$B$1505,"&lt;"&amp;B346,Log!$X$6:$X$1505,"&gt;="&amp;X346)=0),"New best",""))</f>
        <v/>
      </c>
      <c r="T346" s="26" t="n"/>
      <c r="U346" s="1">
        <f>IF(D346="","",IFERROR(INDEX(Exercises!$C$6:$C$105,MATCH(D346,Exercises!$B$6:$B$105,0)),"Other"))</f>
        <v/>
      </c>
      <c r="V346">
        <f>IF(B346="","",IF(COUNTIF($B$6:B346,B346)=1,1,0))</f>
        <v/>
      </c>
      <c r="W346">
        <f>IF(B346="","",B346-WEEKDAY(B346,3))</f>
        <v/>
      </c>
      <c r="X346">
        <f>IF(D346="","",MAX(IF(N(F346)=0,0,IF(N(E346)&gt;0,E346*(1+F346/30),F346)),IF(N(H346)=0,0,IF(N(G346)&gt;0,G346*(1+H346/30),H346)),IF(N(J346)=0,0,IF(N(I346)&gt;0,I346*(1+J346/30),J346)),IF(N(L346)=0,0,IF(N(K346)&gt;0,K346*(1+L346/30),L346)),IF(N(N346)=0,0,IF(N(M346)&gt;0,M346*(1+N346/30),N346))))</f>
        <v/>
      </c>
      <c r="Y346">
        <f>IF(N(X346)=0,"",X346+ROW()/1000000000)</f>
        <v/>
      </c>
      <c r="Z346">
        <f>IF(Y346="","",IF(COUNTIFS(Log!$D$6:$D$1505,D346,Log!$Y$6:$Y$1505,"&gt;"&amp;Y346)=0,1,0))</f>
        <v/>
      </c>
      <c r="AA346">
        <f>IF(OR(B346="",D346=""),"",B346+ROW()/10000000)</f>
        <v/>
      </c>
      <c r="AB346">
        <f>IF(AA346="","",IF(COUNTIFS(Log!$D$6:$D$1505,D346,Log!$AA$6:$AA$1505,"&gt;"&amp;AA346)=0,1,0))</f>
        <v/>
      </c>
      <c r="AC346">
        <f>IF(S346="New best",AA346,"")</f>
        <v/>
      </c>
      <c r="AD346">
        <f>ROW()</f>
        <v/>
      </c>
    </row>
    <row r="347">
      <c r="A347" s="1" t="n"/>
      <c r="B347" s="21" t="n"/>
      <c r="C347" s="22" t="n"/>
      <c r="D347" s="23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15">
        <f>IF(D347="","",COUNT(F347,H347,J347,L347,N347))</f>
        <v/>
      </c>
      <c r="P347" s="25">
        <f>IF(D347="","",N(E347)*N(F347)+N(G347)*N(H347)+N(I347)*N(J347)+N(K347)*N(L347)+N(M347)*N(N347))</f>
        <v/>
      </c>
      <c r="Q347" s="18">
        <f>IF(N(X347)=0,"",IF(IF(N(F347)=0,0,IF(N(E347)&gt;0,E347*(1+F347/30),F347))=X347,IF(N(E347)&gt;0,E347&amp;" x "&amp;F347,F347&amp;" reps"),IF(IF(N(H347)=0,0,IF(N(G347)&gt;0,G347*(1+H347/30),H347))=X347,IF(N(G347)&gt;0,G347&amp;" x "&amp;H347,H347&amp;" reps"),IF(IF(N(J347)=0,0,IF(N(I347)&gt;0,I347*(1+J347/30),J347))=X347,IF(N(I347)&gt;0,I347&amp;" x "&amp;J347,J347&amp;" reps"),IF(IF(N(L347)=0,0,IF(N(K347)&gt;0,K347*(1+L347/30),L347))=X347,IF(N(K347)&gt;0,K347&amp;" x "&amp;L347,L347&amp;" reps"),IF(IF(N(N347)=0,0,IF(N(M347)&gt;0,M347*(1+N347/30),N347))=X347,IF(N(M347)&gt;0,M347&amp;" x "&amp;N347,N347&amp;" reps"),""))))))</f>
        <v/>
      </c>
      <c r="R347" s="20">
        <f>IF(N(X347)=0,"",ROUND(X347,1))</f>
        <v/>
      </c>
      <c r="S347" s="18">
        <f>IF(N(X347)=0,"",IF(AND(COUNTIFS(Log!$D$6:$D$1505,D347,Log!$B$6:$B$1505,"&lt;"&amp;B347)&gt;0,COUNTIFS(Log!$D$6:$D$1505,D347,Log!$B$6:$B$1505,"&lt;"&amp;B347,Log!$X$6:$X$1505,"&gt;="&amp;X347)=0),"New best",""))</f>
        <v/>
      </c>
      <c r="T347" s="26" t="n"/>
      <c r="U347" s="1">
        <f>IF(D347="","",IFERROR(INDEX(Exercises!$C$6:$C$105,MATCH(D347,Exercises!$B$6:$B$105,0)),"Other"))</f>
        <v/>
      </c>
      <c r="V347">
        <f>IF(B347="","",IF(COUNTIF($B$6:B347,B347)=1,1,0))</f>
        <v/>
      </c>
      <c r="W347">
        <f>IF(B347="","",B347-WEEKDAY(B347,3))</f>
        <v/>
      </c>
      <c r="X347">
        <f>IF(D347="","",MAX(IF(N(F347)=0,0,IF(N(E347)&gt;0,E347*(1+F347/30),F347)),IF(N(H347)=0,0,IF(N(G347)&gt;0,G347*(1+H347/30),H347)),IF(N(J347)=0,0,IF(N(I347)&gt;0,I347*(1+J347/30),J347)),IF(N(L347)=0,0,IF(N(K347)&gt;0,K347*(1+L347/30),L347)),IF(N(N347)=0,0,IF(N(M347)&gt;0,M347*(1+N347/30),N347))))</f>
        <v/>
      </c>
      <c r="Y347">
        <f>IF(N(X347)=0,"",X347+ROW()/1000000000)</f>
        <v/>
      </c>
      <c r="Z347">
        <f>IF(Y347="","",IF(COUNTIFS(Log!$D$6:$D$1505,D347,Log!$Y$6:$Y$1505,"&gt;"&amp;Y347)=0,1,0))</f>
        <v/>
      </c>
      <c r="AA347">
        <f>IF(OR(B347="",D347=""),"",B347+ROW()/10000000)</f>
        <v/>
      </c>
      <c r="AB347">
        <f>IF(AA347="","",IF(COUNTIFS(Log!$D$6:$D$1505,D347,Log!$AA$6:$AA$1505,"&gt;"&amp;AA347)=0,1,0))</f>
        <v/>
      </c>
      <c r="AC347">
        <f>IF(S347="New best",AA347,"")</f>
        <v/>
      </c>
      <c r="AD347">
        <f>ROW()</f>
        <v/>
      </c>
    </row>
    <row r="348">
      <c r="A348" s="1" t="n"/>
      <c r="B348" s="21" t="n"/>
      <c r="C348" s="22" t="n"/>
      <c r="D348" s="23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15">
        <f>IF(D348="","",COUNT(F348,H348,J348,L348,N348))</f>
        <v/>
      </c>
      <c r="P348" s="25">
        <f>IF(D348="","",N(E348)*N(F348)+N(G348)*N(H348)+N(I348)*N(J348)+N(K348)*N(L348)+N(M348)*N(N348))</f>
        <v/>
      </c>
      <c r="Q348" s="18">
        <f>IF(N(X348)=0,"",IF(IF(N(F348)=0,0,IF(N(E348)&gt;0,E348*(1+F348/30),F348))=X348,IF(N(E348)&gt;0,E348&amp;" x "&amp;F348,F348&amp;" reps"),IF(IF(N(H348)=0,0,IF(N(G348)&gt;0,G348*(1+H348/30),H348))=X348,IF(N(G348)&gt;0,G348&amp;" x "&amp;H348,H348&amp;" reps"),IF(IF(N(J348)=0,0,IF(N(I348)&gt;0,I348*(1+J348/30),J348))=X348,IF(N(I348)&gt;0,I348&amp;" x "&amp;J348,J348&amp;" reps"),IF(IF(N(L348)=0,0,IF(N(K348)&gt;0,K348*(1+L348/30),L348))=X348,IF(N(K348)&gt;0,K348&amp;" x "&amp;L348,L348&amp;" reps"),IF(IF(N(N348)=0,0,IF(N(M348)&gt;0,M348*(1+N348/30),N348))=X348,IF(N(M348)&gt;0,M348&amp;" x "&amp;N348,N348&amp;" reps"),""))))))</f>
        <v/>
      </c>
      <c r="R348" s="20">
        <f>IF(N(X348)=0,"",ROUND(X348,1))</f>
        <v/>
      </c>
      <c r="S348" s="18">
        <f>IF(N(X348)=0,"",IF(AND(COUNTIFS(Log!$D$6:$D$1505,D348,Log!$B$6:$B$1505,"&lt;"&amp;B348)&gt;0,COUNTIFS(Log!$D$6:$D$1505,D348,Log!$B$6:$B$1505,"&lt;"&amp;B348,Log!$X$6:$X$1505,"&gt;="&amp;X348)=0),"New best",""))</f>
        <v/>
      </c>
      <c r="T348" s="26" t="n"/>
      <c r="U348" s="1">
        <f>IF(D348="","",IFERROR(INDEX(Exercises!$C$6:$C$105,MATCH(D348,Exercises!$B$6:$B$105,0)),"Other"))</f>
        <v/>
      </c>
      <c r="V348">
        <f>IF(B348="","",IF(COUNTIF($B$6:B348,B348)=1,1,0))</f>
        <v/>
      </c>
      <c r="W348">
        <f>IF(B348="","",B348-WEEKDAY(B348,3))</f>
        <v/>
      </c>
      <c r="X348">
        <f>IF(D348="","",MAX(IF(N(F348)=0,0,IF(N(E348)&gt;0,E348*(1+F348/30),F348)),IF(N(H348)=0,0,IF(N(G348)&gt;0,G348*(1+H348/30),H348)),IF(N(J348)=0,0,IF(N(I348)&gt;0,I348*(1+J348/30),J348)),IF(N(L348)=0,0,IF(N(K348)&gt;0,K348*(1+L348/30),L348)),IF(N(N348)=0,0,IF(N(M348)&gt;0,M348*(1+N348/30),N348))))</f>
        <v/>
      </c>
      <c r="Y348">
        <f>IF(N(X348)=0,"",X348+ROW()/1000000000)</f>
        <v/>
      </c>
      <c r="Z348">
        <f>IF(Y348="","",IF(COUNTIFS(Log!$D$6:$D$1505,D348,Log!$Y$6:$Y$1505,"&gt;"&amp;Y348)=0,1,0))</f>
        <v/>
      </c>
      <c r="AA348">
        <f>IF(OR(B348="",D348=""),"",B348+ROW()/10000000)</f>
        <v/>
      </c>
      <c r="AB348">
        <f>IF(AA348="","",IF(COUNTIFS(Log!$D$6:$D$1505,D348,Log!$AA$6:$AA$1505,"&gt;"&amp;AA348)=0,1,0))</f>
        <v/>
      </c>
      <c r="AC348">
        <f>IF(S348="New best",AA348,"")</f>
        <v/>
      </c>
      <c r="AD348">
        <f>ROW()</f>
        <v/>
      </c>
    </row>
    <row r="349">
      <c r="A349" s="1" t="n"/>
      <c r="B349" s="21" t="n"/>
      <c r="C349" s="22" t="n"/>
      <c r="D349" s="23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15">
        <f>IF(D349="","",COUNT(F349,H349,J349,L349,N349))</f>
        <v/>
      </c>
      <c r="P349" s="25">
        <f>IF(D349="","",N(E349)*N(F349)+N(G349)*N(H349)+N(I349)*N(J349)+N(K349)*N(L349)+N(M349)*N(N349))</f>
        <v/>
      </c>
      <c r="Q349" s="18">
        <f>IF(N(X349)=0,"",IF(IF(N(F349)=0,0,IF(N(E349)&gt;0,E349*(1+F349/30),F349))=X349,IF(N(E349)&gt;0,E349&amp;" x "&amp;F349,F349&amp;" reps"),IF(IF(N(H349)=0,0,IF(N(G349)&gt;0,G349*(1+H349/30),H349))=X349,IF(N(G349)&gt;0,G349&amp;" x "&amp;H349,H349&amp;" reps"),IF(IF(N(J349)=0,0,IF(N(I349)&gt;0,I349*(1+J349/30),J349))=X349,IF(N(I349)&gt;0,I349&amp;" x "&amp;J349,J349&amp;" reps"),IF(IF(N(L349)=0,0,IF(N(K349)&gt;0,K349*(1+L349/30),L349))=X349,IF(N(K349)&gt;0,K349&amp;" x "&amp;L349,L349&amp;" reps"),IF(IF(N(N349)=0,0,IF(N(M349)&gt;0,M349*(1+N349/30),N349))=X349,IF(N(M349)&gt;0,M349&amp;" x "&amp;N349,N349&amp;" reps"),""))))))</f>
        <v/>
      </c>
      <c r="R349" s="20">
        <f>IF(N(X349)=0,"",ROUND(X349,1))</f>
        <v/>
      </c>
      <c r="S349" s="18">
        <f>IF(N(X349)=0,"",IF(AND(COUNTIFS(Log!$D$6:$D$1505,D349,Log!$B$6:$B$1505,"&lt;"&amp;B349)&gt;0,COUNTIFS(Log!$D$6:$D$1505,D349,Log!$B$6:$B$1505,"&lt;"&amp;B349,Log!$X$6:$X$1505,"&gt;="&amp;X349)=0),"New best",""))</f>
        <v/>
      </c>
      <c r="T349" s="26" t="n"/>
      <c r="U349" s="1">
        <f>IF(D349="","",IFERROR(INDEX(Exercises!$C$6:$C$105,MATCH(D349,Exercises!$B$6:$B$105,0)),"Other"))</f>
        <v/>
      </c>
      <c r="V349">
        <f>IF(B349="","",IF(COUNTIF($B$6:B349,B349)=1,1,0))</f>
        <v/>
      </c>
      <c r="W349">
        <f>IF(B349="","",B349-WEEKDAY(B349,3))</f>
        <v/>
      </c>
      <c r="X349">
        <f>IF(D349="","",MAX(IF(N(F349)=0,0,IF(N(E349)&gt;0,E349*(1+F349/30),F349)),IF(N(H349)=0,0,IF(N(G349)&gt;0,G349*(1+H349/30),H349)),IF(N(J349)=0,0,IF(N(I349)&gt;0,I349*(1+J349/30),J349)),IF(N(L349)=0,0,IF(N(K349)&gt;0,K349*(1+L349/30),L349)),IF(N(N349)=0,0,IF(N(M349)&gt;0,M349*(1+N349/30),N349))))</f>
        <v/>
      </c>
      <c r="Y349">
        <f>IF(N(X349)=0,"",X349+ROW()/1000000000)</f>
        <v/>
      </c>
      <c r="Z349">
        <f>IF(Y349="","",IF(COUNTIFS(Log!$D$6:$D$1505,D349,Log!$Y$6:$Y$1505,"&gt;"&amp;Y349)=0,1,0))</f>
        <v/>
      </c>
      <c r="AA349">
        <f>IF(OR(B349="",D349=""),"",B349+ROW()/10000000)</f>
        <v/>
      </c>
      <c r="AB349">
        <f>IF(AA349="","",IF(COUNTIFS(Log!$D$6:$D$1505,D349,Log!$AA$6:$AA$1505,"&gt;"&amp;AA349)=0,1,0))</f>
        <v/>
      </c>
      <c r="AC349">
        <f>IF(S349="New best",AA349,"")</f>
        <v/>
      </c>
      <c r="AD349">
        <f>ROW()</f>
        <v/>
      </c>
    </row>
    <row r="350">
      <c r="A350" s="1" t="n"/>
      <c r="B350" s="21" t="n"/>
      <c r="C350" s="22" t="n"/>
      <c r="D350" s="23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15">
        <f>IF(D350="","",COUNT(F350,H350,J350,L350,N350))</f>
        <v/>
      </c>
      <c r="P350" s="25">
        <f>IF(D350="","",N(E350)*N(F350)+N(G350)*N(H350)+N(I350)*N(J350)+N(K350)*N(L350)+N(M350)*N(N350))</f>
        <v/>
      </c>
      <c r="Q350" s="18">
        <f>IF(N(X350)=0,"",IF(IF(N(F350)=0,0,IF(N(E350)&gt;0,E350*(1+F350/30),F350))=X350,IF(N(E350)&gt;0,E350&amp;" x "&amp;F350,F350&amp;" reps"),IF(IF(N(H350)=0,0,IF(N(G350)&gt;0,G350*(1+H350/30),H350))=X350,IF(N(G350)&gt;0,G350&amp;" x "&amp;H350,H350&amp;" reps"),IF(IF(N(J350)=0,0,IF(N(I350)&gt;0,I350*(1+J350/30),J350))=X350,IF(N(I350)&gt;0,I350&amp;" x "&amp;J350,J350&amp;" reps"),IF(IF(N(L350)=0,0,IF(N(K350)&gt;0,K350*(1+L350/30),L350))=X350,IF(N(K350)&gt;0,K350&amp;" x "&amp;L350,L350&amp;" reps"),IF(IF(N(N350)=0,0,IF(N(M350)&gt;0,M350*(1+N350/30),N350))=X350,IF(N(M350)&gt;0,M350&amp;" x "&amp;N350,N350&amp;" reps"),""))))))</f>
        <v/>
      </c>
      <c r="R350" s="20">
        <f>IF(N(X350)=0,"",ROUND(X350,1))</f>
        <v/>
      </c>
      <c r="S350" s="18">
        <f>IF(N(X350)=0,"",IF(AND(COUNTIFS(Log!$D$6:$D$1505,D350,Log!$B$6:$B$1505,"&lt;"&amp;B350)&gt;0,COUNTIFS(Log!$D$6:$D$1505,D350,Log!$B$6:$B$1505,"&lt;"&amp;B350,Log!$X$6:$X$1505,"&gt;="&amp;X350)=0),"New best",""))</f>
        <v/>
      </c>
      <c r="T350" s="26" t="n"/>
      <c r="U350" s="1">
        <f>IF(D350="","",IFERROR(INDEX(Exercises!$C$6:$C$105,MATCH(D350,Exercises!$B$6:$B$105,0)),"Other"))</f>
        <v/>
      </c>
      <c r="V350">
        <f>IF(B350="","",IF(COUNTIF($B$6:B350,B350)=1,1,0))</f>
        <v/>
      </c>
      <c r="W350">
        <f>IF(B350="","",B350-WEEKDAY(B350,3))</f>
        <v/>
      </c>
      <c r="X350">
        <f>IF(D350="","",MAX(IF(N(F350)=0,0,IF(N(E350)&gt;0,E350*(1+F350/30),F350)),IF(N(H350)=0,0,IF(N(G350)&gt;0,G350*(1+H350/30),H350)),IF(N(J350)=0,0,IF(N(I350)&gt;0,I350*(1+J350/30),J350)),IF(N(L350)=0,0,IF(N(K350)&gt;0,K350*(1+L350/30),L350)),IF(N(N350)=0,0,IF(N(M350)&gt;0,M350*(1+N350/30),N350))))</f>
        <v/>
      </c>
      <c r="Y350">
        <f>IF(N(X350)=0,"",X350+ROW()/1000000000)</f>
        <v/>
      </c>
      <c r="Z350">
        <f>IF(Y350="","",IF(COUNTIFS(Log!$D$6:$D$1505,D350,Log!$Y$6:$Y$1505,"&gt;"&amp;Y350)=0,1,0))</f>
        <v/>
      </c>
      <c r="AA350">
        <f>IF(OR(B350="",D350=""),"",B350+ROW()/10000000)</f>
        <v/>
      </c>
      <c r="AB350">
        <f>IF(AA350="","",IF(COUNTIFS(Log!$D$6:$D$1505,D350,Log!$AA$6:$AA$1505,"&gt;"&amp;AA350)=0,1,0))</f>
        <v/>
      </c>
      <c r="AC350">
        <f>IF(S350="New best",AA350,"")</f>
        <v/>
      </c>
      <c r="AD350">
        <f>ROW()</f>
        <v/>
      </c>
    </row>
    <row r="351">
      <c r="A351" s="1" t="n"/>
      <c r="B351" s="21" t="n"/>
      <c r="C351" s="22" t="n"/>
      <c r="D351" s="23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15">
        <f>IF(D351="","",COUNT(F351,H351,J351,L351,N351))</f>
        <v/>
      </c>
      <c r="P351" s="25">
        <f>IF(D351="","",N(E351)*N(F351)+N(G351)*N(H351)+N(I351)*N(J351)+N(K351)*N(L351)+N(M351)*N(N351))</f>
        <v/>
      </c>
      <c r="Q351" s="18">
        <f>IF(N(X351)=0,"",IF(IF(N(F351)=0,0,IF(N(E351)&gt;0,E351*(1+F351/30),F351))=X351,IF(N(E351)&gt;0,E351&amp;" x "&amp;F351,F351&amp;" reps"),IF(IF(N(H351)=0,0,IF(N(G351)&gt;0,G351*(1+H351/30),H351))=X351,IF(N(G351)&gt;0,G351&amp;" x "&amp;H351,H351&amp;" reps"),IF(IF(N(J351)=0,0,IF(N(I351)&gt;0,I351*(1+J351/30),J351))=X351,IF(N(I351)&gt;0,I351&amp;" x "&amp;J351,J351&amp;" reps"),IF(IF(N(L351)=0,0,IF(N(K351)&gt;0,K351*(1+L351/30),L351))=X351,IF(N(K351)&gt;0,K351&amp;" x "&amp;L351,L351&amp;" reps"),IF(IF(N(N351)=0,0,IF(N(M351)&gt;0,M351*(1+N351/30),N351))=X351,IF(N(M351)&gt;0,M351&amp;" x "&amp;N351,N351&amp;" reps"),""))))))</f>
        <v/>
      </c>
      <c r="R351" s="20">
        <f>IF(N(X351)=0,"",ROUND(X351,1))</f>
        <v/>
      </c>
      <c r="S351" s="18">
        <f>IF(N(X351)=0,"",IF(AND(COUNTIFS(Log!$D$6:$D$1505,D351,Log!$B$6:$B$1505,"&lt;"&amp;B351)&gt;0,COUNTIFS(Log!$D$6:$D$1505,D351,Log!$B$6:$B$1505,"&lt;"&amp;B351,Log!$X$6:$X$1505,"&gt;="&amp;X351)=0),"New best",""))</f>
        <v/>
      </c>
      <c r="T351" s="26" t="n"/>
      <c r="U351" s="1">
        <f>IF(D351="","",IFERROR(INDEX(Exercises!$C$6:$C$105,MATCH(D351,Exercises!$B$6:$B$105,0)),"Other"))</f>
        <v/>
      </c>
      <c r="V351">
        <f>IF(B351="","",IF(COUNTIF($B$6:B351,B351)=1,1,0))</f>
        <v/>
      </c>
      <c r="W351">
        <f>IF(B351="","",B351-WEEKDAY(B351,3))</f>
        <v/>
      </c>
      <c r="X351">
        <f>IF(D351="","",MAX(IF(N(F351)=0,0,IF(N(E351)&gt;0,E351*(1+F351/30),F351)),IF(N(H351)=0,0,IF(N(G351)&gt;0,G351*(1+H351/30),H351)),IF(N(J351)=0,0,IF(N(I351)&gt;0,I351*(1+J351/30),J351)),IF(N(L351)=0,0,IF(N(K351)&gt;0,K351*(1+L351/30),L351)),IF(N(N351)=0,0,IF(N(M351)&gt;0,M351*(1+N351/30),N351))))</f>
        <v/>
      </c>
      <c r="Y351">
        <f>IF(N(X351)=0,"",X351+ROW()/1000000000)</f>
        <v/>
      </c>
      <c r="Z351">
        <f>IF(Y351="","",IF(COUNTIFS(Log!$D$6:$D$1505,D351,Log!$Y$6:$Y$1505,"&gt;"&amp;Y351)=0,1,0))</f>
        <v/>
      </c>
      <c r="AA351">
        <f>IF(OR(B351="",D351=""),"",B351+ROW()/10000000)</f>
        <v/>
      </c>
      <c r="AB351">
        <f>IF(AA351="","",IF(COUNTIFS(Log!$D$6:$D$1505,D351,Log!$AA$6:$AA$1505,"&gt;"&amp;AA351)=0,1,0))</f>
        <v/>
      </c>
      <c r="AC351">
        <f>IF(S351="New best",AA351,"")</f>
        <v/>
      </c>
      <c r="AD351">
        <f>ROW()</f>
        <v/>
      </c>
    </row>
    <row r="352">
      <c r="A352" s="1" t="n"/>
      <c r="B352" s="21" t="n"/>
      <c r="C352" s="22" t="n"/>
      <c r="D352" s="23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15">
        <f>IF(D352="","",COUNT(F352,H352,J352,L352,N352))</f>
        <v/>
      </c>
      <c r="P352" s="25">
        <f>IF(D352="","",N(E352)*N(F352)+N(G352)*N(H352)+N(I352)*N(J352)+N(K352)*N(L352)+N(M352)*N(N352))</f>
        <v/>
      </c>
      <c r="Q352" s="18">
        <f>IF(N(X352)=0,"",IF(IF(N(F352)=0,0,IF(N(E352)&gt;0,E352*(1+F352/30),F352))=X352,IF(N(E352)&gt;0,E352&amp;" x "&amp;F352,F352&amp;" reps"),IF(IF(N(H352)=0,0,IF(N(G352)&gt;0,G352*(1+H352/30),H352))=X352,IF(N(G352)&gt;0,G352&amp;" x "&amp;H352,H352&amp;" reps"),IF(IF(N(J352)=0,0,IF(N(I352)&gt;0,I352*(1+J352/30),J352))=X352,IF(N(I352)&gt;0,I352&amp;" x "&amp;J352,J352&amp;" reps"),IF(IF(N(L352)=0,0,IF(N(K352)&gt;0,K352*(1+L352/30),L352))=X352,IF(N(K352)&gt;0,K352&amp;" x "&amp;L352,L352&amp;" reps"),IF(IF(N(N352)=0,0,IF(N(M352)&gt;0,M352*(1+N352/30),N352))=X352,IF(N(M352)&gt;0,M352&amp;" x "&amp;N352,N352&amp;" reps"),""))))))</f>
        <v/>
      </c>
      <c r="R352" s="20">
        <f>IF(N(X352)=0,"",ROUND(X352,1))</f>
        <v/>
      </c>
      <c r="S352" s="18">
        <f>IF(N(X352)=0,"",IF(AND(COUNTIFS(Log!$D$6:$D$1505,D352,Log!$B$6:$B$1505,"&lt;"&amp;B352)&gt;0,COUNTIFS(Log!$D$6:$D$1505,D352,Log!$B$6:$B$1505,"&lt;"&amp;B352,Log!$X$6:$X$1505,"&gt;="&amp;X352)=0),"New best",""))</f>
        <v/>
      </c>
      <c r="T352" s="26" t="n"/>
      <c r="U352" s="1">
        <f>IF(D352="","",IFERROR(INDEX(Exercises!$C$6:$C$105,MATCH(D352,Exercises!$B$6:$B$105,0)),"Other"))</f>
        <v/>
      </c>
      <c r="V352">
        <f>IF(B352="","",IF(COUNTIF($B$6:B352,B352)=1,1,0))</f>
        <v/>
      </c>
      <c r="W352">
        <f>IF(B352="","",B352-WEEKDAY(B352,3))</f>
        <v/>
      </c>
      <c r="X352">
        <f>IF(D352="","",MAX(IF(N(F352)=0,0,IF(N(E352)&gt;0,E352*(1+F352/30),F352)),IF(N(H352)=0,0,IF(N(G352)&gt;0,G352*(1+H352/30),H352)),IF(N(J352)=0,0,IF(N(I352)&gt;0,I352*(1+J352/30),J352)),IF(N(L352)=0,0,IF(N(K352)&gt;0,K352*(1+L352/30),L352)),IF(N(N352)=0,0,IF(N(M352)&gt;0,M352*(1+N352/30),N352))))</f>
        <v/>
      </c>
      <c r="Y352">
        <f>IF(N(X352)=0,"",X352+ROW()/1000000000)</f>
        <v/>
      </c>
      <c r="Z352">
        <f>IF(Y352="","",IF(COUNTIFS(Log!$D$6:$D$1505,D352,Log!$Y$6:$Y$1505,"&gt;"&amp;Y352)=0,1,0))</f>
        <v/>
      </c>
      <c r="AA352">
        <f>IF(OR(B352="",D352=""),"",B352+ROW()/10000000)</f>
        <v/>
      </c>
      <c r="AB352">
        <f>IF(AA352="","",IF(COUNTIFS(Log!$D$6:$D$1505,D352,Log!$AA$6:$AA$1505,"&gt;"&amp;AA352)=0,1,0))</f>
        <v/>
      </c>
      <c r="AC352">
        <f>IF(S352="New best",AA352,"")</f>
        <v/>
      </c>
      <c r="AD352">
        <f>ROW()</f>
        <v/>
      </c>
    </row>
    <row r="353">
      <c r="A353" s="1" t="n"/>
      <c r="B353" s="21" t="n"/>
      <c r="C353" s="22" t="n"/>
      <c r="D353" s="23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15">
        <f>IF(D353="","",COUNT(F353,H353,J353,L353,N353))</f>
        <v/>
      </c>
      <c r="P353" s="25">
        <f>IF(D353="","",N(E353)*N(F353)+N(G353)*N(H353)+N(I353)*N(J353)+N(K353)*N(L353)+N(M353)*N(N353))</f>
        <v/>
      </c>
      <c r="Q353" s="18">
        <f>IF(N(X353)=0,"",IF(IF(N(F353)=0,0,IF(N(E353)&gt;0,E353*(1+F353/30),F353))=X353,IF(N(E353)&gt;0,E353&amp;" x "&amp;F353,F353&amp;" reps"),IF(IF(N(H353)=0,0,IF(N(G353)&gt;0,G353*(1+H353/30),H353))=X353,IF(N(G353)&gt;0,G353&amp;" x "&amp;H353,H353&amp;" reps"),IF(IF(N(J353)=0,0,IF(N(I353)&gt;0,I353*(1+J353/30),J353))=X353,IF(N(I353)&gt;0,I353&amp;" x "&amp;J353,J353&amp;" reps"),IF(IF(N(L353)=0,0,IF(N(K353)&gt;0,K353*(1+L353/30),L353))=X353,IF(N(K353)&gt;0,K353&amp;" x "&amp;L353,L353&amp;" reps"),IF(IF(N(N353)=0,0,IF(N(M353)&gt;0,M353*(1+N353/30),N353))=X353,IF(N(M353)&gt;0,M353&amp;" x "&amp;N353,N353&amp;" reps"),""))))))</f>
        <v/>
      </c>
      <c r="R353" s="20">
        <f>IF(N(X353)=0,"",ROUND(X353,1))</f>
        <v/>
      </c>
      <c r="S353" s="18">
        <f>IF(N(X353)=0,"",IF(AND(COUNTIFS(Log!$D$6:$D$1505,D353,Log!$B$6:$B$1505,"&lt;"&amp;B353)&gt;0,COUNTIFS(Log!$D$6:$D$1505,D353,Log!$B$6:$B$1505,"&lt;"&amp;B353,Log!$X$6:$X$1505,"&gt;="&amp;X353)=0),"New best",""))</f>
        <v/>
      </c>
      <c r="T353" s="26" t="n"/>
      <c r="U353" s="1">
        <f>IF(D353="","",IFERROR(INDEX(Exercises!$C$6:$C$105,MATCH(D353,Exercises!$B$6:$B$105,0)),"Other"))</f>
        <v/>
      </c>
      <c r="V353">
        <f>IF(B353="","",IF(COUNTIF($B$6:B353,B353)=1,1,0))</f>
        <v/>
      </c>
      <c r="W353">
        <f>IF(B353="","",B353-WEEKDAY(B353,3))</f>
        <v/>
      </c>
      <c r="X353">
        <f>IF(D353="","",MAX(IF(N(F353)=0,0,IF(N(E353)&gt;0,E353*(1+F353/30),F353)),IF(N(H353)=0,0,IF(N(G353)&gt;0,G353*(1+H353/30),H353)),IF(N(J353)=0,0,IF(N(I353)&gt;0,I353*(1+J353/30),J353)),IF(N(L353)=0,0,IF(N(K353)&gt;0,K353*(1+L353/30),L353)),IF(N(N353)=0,0,IF(N(M353)&gt;0,M353*(1+N353/30),N353))))</f>
        <v/>
      </c>
      <c r="Y353">
        <f>IF(N(X353)=0,"",X353+ROW()/1000000000)</f>
        <v/>
      </c>
      <c r="Z353">
        <f>IF(Y353="","",IF(COUNTIFS(Log!$D$6:$D$1505,D353,Log!$Y$6:$Y$1505,"&gt;"&amp;Y353)=0,1,0))</f>
        <v/>
      </c>
      <c r="AA353">
        <f>IF(OR(B353="",D353=""),"",B353+ROW()/10000000)</f>
        <v/>
      </c>
      <c r="AB353">
        <f>IF(AA353="","",IF(COUNTIFS(Log!$D$6:$D$1505,D353,Log!$AA$6:$AA$1505,"&gt;"&amp;AA353)=0,1,0))</f>
        <v/>
      </c>
      <c r="AC353">
        <f>IF(S353="New best",AA353,"")</f>
        <v/>
      </c>
      <c r="AD353">
        <f>ROW()</f>
        <v/>
      </c>
    </row>
    <row r="354">
      <c r="A354" s="1" t="n"/>
      <c r="B354" s="21" t="n"/>
      <c r="C354" s="22" t="n"/>
      <c r="D354" s="23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15">
        <f>IF(D354="","",COUNT(F354,H354,J354,L354,N354))</f>
        <v/>
      </c>
      <c r="P354" s="25">
        <f>IF(D354="","",N(E354)*N(F354)+N(G354)*N(H354)+N(I354)*N(J354)+N(K354)*N(L354)+N(M354)*N(N354))</f>
        <v/>
      </c>
      <c r="Q354" s="18">
        <f>IF(N(X354)=0,"",IF(IF(N(F354)=0,0,IF(N(E354)&gt;0,E354*(1+F354/30),F354))=X354,IF(N(E354)&gt;0,E354&amp;" x "&amp;F354,F354&amp;" reps"),IF(IF(N(H354)=0,0,IF(N(G354)&gt;0,G354*(1+H354/30),H354))=X354,IF(N(G354)&gt;0,G354&amp;" x "&amp;H354,H354&amp;" reps"),IF(IF(N(J354)=0,0,IF(N(I354)&gt;0,I354*(1+J354/30),J354))=X354,IF(N(I354)&gt;0,I354&amp;" x "&amp;J354,J354&amp;" reps"),IF(IF(N(L354)=0,0,IF(N(K354)&gt;0,K354*(1+L354/30),L354))=X354,IF(N(K354)&gt;0,K354&amp;" x "&amp;L354,L354&amp;" reps"),IF(IF(N(N354)=0,0,IF(N(M354)&gt;0,M354*(1+N354/30),N354))=X354,IF(N(M354)&gt;0,M354&amp;" x "&amp;N354,N354&amp;" reps"),""))))))</f>
        <v/>
      </c>
      <c r="R354" s="20">
        <f>IF(N(X354)=0,"",ROUND(X354,1))</f>
        <v/>
      </c>
      <c r="S354" s="18">
        <f>IF(N(X354)=0,"",IF(AND(COUNTIFS(Log!$D$6:$D$1505,D354,Log!$B$6:$B$1505,"&lt;"&amp;B354)&gt;0,COUNTIFS(Log!$D$6:$D$1505,D354,Log!$B$6:$B$1505,"&lt;"&amp;B354,Log!$X$6:$X$1505,"&gt;="&amp;X354)=0),"New best",""))</f>
        <v/>
      </c>
      <c r="T354" s="26" t="n"/>
      <c r="U354" s="1">
        <f>IF(D354="","",IFERROR(INDEX(Exercises!$C$6:$C$105,MATCH(D354,Exercises!$B$6:$B$105,0)),"Other"))</f>
        <v/>
      </c>
      <c r="V354">
        <f>IF(B354="","",IF(COUNTIF($B$6:B354,B354)=1,1,0))</f>
        <v/>
      </c>
      <c r="W354">
        <f>IF(B354="","",B354-WEEKDAY(B354,3))</f>
        <v/>
      </c>
      <c r="X354">
        <f>IF(D354="","",MAX(IF(N(F354)=0,0,IF(N(E354)&gt;0,E354*(1+F354/30),F354)),IF(N(H354)=0,0,IF(N(G354)&gt;0,G354*(1+H354/30),H354)),IF(N(J354)=0,0,IF(N(I354)&gt;0,I354*(1+J354/30),J354)),IF(N(L354)=0,0,IF(N(K354)&gt;0,K354*(1+L354/30),L354)),IF(N(N354)=0,0,IF(N(M354)&gt;0,M354*(1+N354/30),N354))))</f>
        <v/>
      </c>
      <c r="Y354">
        <f>IF(N(X354)=0,"",X354+ROW()/1000000000)</f>
        <v/>
      </c>
      <c r="Z354">
        <f>IF(Y354="","",IF(COUNTIFS(Log!$D$6:$D$1505,D354,Log!$Y$6:$Y$1505,"&gt;"&amp;Y354)=0,1,0))</f>
        <v/>
      </c>
      <c r="AA354">
        <f>IF(OR(B354="",D354=""),"",B354+ROW()/10000000)</f>
        <v/>
      </c>
      <c r="AB354">
        <f>IF(AA354="","",IF(COUNTIFS(Log!$D$6:$D$1505,D354,Log!$AA$6:$AA$1505,"&gt;"&amp;AA354)=0,1,0))</f>
        <v/>
      </c>
      <c r="AC354">
        <f>IF(S354="New best",AA354,"")</f>
        <v/>
      </c>
      <c r="AD354">
        <f>ROW()</f>
        <v/>
      </c>
    </row>
    <row r="355">
      <c r="A355" s="1" t="n"/>
      <c r="B355" s="21" t="n"/>
      <c r="C355" s="22" t="n"/>
      <c r="D355" s="23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15">
        <f>IF(D355="","",COUNT(F355,H355,J355,L355,N355))</f>
        <v/>
      </c>
      <c r="P355" s="25">
        <f>IF(D355="","",N(E355)*N(F355)+N(G355)*N(H355)+N(I355)*N(J355)+N(K355)*N(L355)+N(M355)*N(N355))</f>
        <v/>
      </c>
      <c r="Q355" s="18">
        <f>IF(N(X355)=0,"",IF(IF(N(F355)=0,0,IF(N(E355)&gt;0,E355*(1+F355/30),F355))=X355,IF(N(E355)&gt;0,E355&amp;" x "&amp;F355,F355&amp;" reps"),IF(IF(N(H355)=0,0,IF(N(G355)&gt;0,G355*(1+H355/30),H355))=X355,IF(N(G355)&gt;0,G355&amp;" x "&amp;H355,H355&amp;" reps"),IF(IF(N(J355)=0,0,IF(N(I355)&gt;0,I355*(1+J355/30),J355))=X355,IF(N(I355)&gt;0,I355&amp;" x "&amp;J355,J355&amp;" reps"),IF(IF(N(L355)=0,0,IF(N(K355)&gt;0,K355*(1+L355/30),L355))=X355,IF(N(K355)&gt;0,K355&amp;" x "&amp;L355,L355&amp;" reps"),IF(IF(N(N355)=0,0,IF(N(M355)&gt;0,M355*(1+N355/30),N355))=X355,IF(N(M355)&gt;0,M355&amp;" x "&amp;N355,N355&amp;" reps"),""))))))</f>
        <v/>
      </c>
      <c r="R355" s="20">
        <f>IF(N(X355)=0,"",ROUND(X355,1))</f>
        <v/>
      </c>
      <c r="S355" s="18">
        <f>IF(N(X355)=0,"",IF(AND(COUNTIFS(Log!$D$6:$D$1505,D355,Log!$B$6:$B$1505,"&lt;"&amp;B355)&gt;0,COUNTIFS(Log!$D$6:$D$1505,D355,Log!$B$6:$B$1505,"&lt;"&amp;B355,Log!$X$6:$X$1505,"&gt;="&amp;X355)=0),"New best",""))</f>
        <v/>
      </c>
      <c r="T355" s="26" t="n"/>
      <c r="U355" s="1">
        <f>IF(D355="","",IFERROR(INDEX(Exercises!$C$6:$C$105,MATCH(D355,Exercises!$B$6:$B$105,0)),"Other"))</f>
        <v/>
      </c>
      <c r="V355">
        <f>IF(B355="","",IF(COUNTIF($B$6:B355,B355)=1,1,0))</f>
        <v/>
      </c>
      <c r="W355">
        <f>IF(B355="","",B355-WEEKDAY(B355,3))</f>
        <v/>
      </c>
      <c r="X355">
        <f>IF(D355="","",MAX(IF(N(F355)=0,0,IF(N(E355)&gt;0,E355*(1+F355/30),F355)),IF(N(H355)=0,0,IF(N(G355)&gt;0,G355*(1+H355/30),H355)),IF(N(J355)=0,0,IF(N(I355)&gt;0,I355*(1+J355/30),J355)),IF(N(L355)=0,0,IF(N(K355)&gt;0,K355*(1+L355/30),L355)),IF(N(N355)=0,0,IF(N(M355)&gt;0,M355*(1+N355/30),N355))))</f>
        <v/>
      </c>
      <c r="Y355">
        <f>IF(N(X355)=0,"",X355+ROW()/1000000000)</f>
        <v/>
      </c>
      <c r="Z355">
        <f>IF(Y355="","",IF(COUNTIFS(Log!$D$6:$D$1505,D355,Log!$Y$6:$Y$1505,"&gt;"&amp;Y355)=0,1,0))</f>
        <v/>
      </c>
      <c r="AA355">
        <f>IF(OR(B355="",D355=""),"",B355+ROW()/10000000)</f>
        <v/>
      </c>
      <c r="AB355">
        <f>IF(AA355="","",IF(COUNTIFS(Log!$D$6:$D$1505,D355,Log!$AA$6:$AA$1505,"&gt;"&amp;AA355)=0,1,0))</f>
        <v/>
      </c>
      <c r="AC355">
        <f>IF(S355="New best",AA355,"")</f>
        <v/>
      </c>
      <c r="AD355">
        <f>ROW()</f>
        <v/>
      </c>
    </row>
    <row r="356">
      <c r="A356" s="1" t="n"/>
      <c r="B356" s="21" t="n"/>
      <c r="C356" s="22" t="n"/>
      <c r="D356" s="23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15">
        <f>IF(D356="","",COUNT(F356,H356,J356,L356,N356))</f>
        <v/>
      </c>
      <c r="P356" s="25">
        <f>IF(D356="","",N(E356)*N(F356)+N(G356)*N(H356)+N(I356)*N(J356)+N(K356)*N(L356)+N(M356)*N(N356))</f>
        <v/>
      </c>
      <c r="Q356" s="18">
        <f>IF(N(X356)=0,"",IF(IF(N(F356)=0,0,IF(N(E356)&gt;0,E356*(1+F356/30),F356))=X356,IF(N(E356)&gt;0,E356&amp;" x "&amp;F356,F356&amp;" reps"),IF(IF(N(H356)=0,0,IF(N(G356)&gt;0,G356*(1+H356/30),H356))=X356,IF(N(G356)&gt;0,G356&amp;" x "&amp;H356,H356&amp;" reps"),IF(IF(N(J356)=0,0,IF(N(I356)&gt;0,I356*(1+J356/30),J356))=X356,IF(N(I356)&gt;0,I356&amp;" x "&amp;J356,J356&amp;" reps"),IF(IF(N(L356)=0,0,IF(N(K356)&gt;0,K356*(1+L356/30),L356))=X356,IF(N(K356)&gt;0,K356&amp;" x "&amp;L356,L356&amp;" reps"),IF(IF(N(N356)=0,0,IF(N(M356)&gt;0,M356*(1+N356/30),N356))=X356,IF(N(M356)&gt;0,M356&amp;" x "&amp;N356,N356&amp;" reps"),""))))))</f>
        <v/>
      </c>
      <c r="R356" s="20">
        <f>IF(N(X356)=0,"",ROUND(X356,1))</f>
        <v/>
      </c>
      <c r="S356" s="18">
        <f>IF(N(X356)=0,"",IF(AND(COUNTIFS(Log!$D$6:$D$1505,D356,Log!$B$6:$B$1505,"&lt;"&amp;B356)&gt;0,COUNTIFS(Log!$D$6:$D$1505,D356,Log!$B$6:$B$1505,"&lt;"&amp;B356,Log!$X$6:$X$1505,"&gt;="&amp;X356)=0),"New best",""))</f>
        <v/>
      </c>
      <c r="T356" s="26" t="n"/>
      <c r="U356" s="1">
        <f>IF(D356="","",IFERROR(INDEX(Exercises!$C$6:$C$105,MATCH(D356,Exercises!$B$6:$B$105,0)),"Other"))</f>
        <v/>
      </c>
      <c r="V356">
        <f>IF(B356="","",IF(COUNTIF($B$6:B356,B356)=1,1,0))</f>
        <v/>
      </c>
      <c r="W356">
        <f>IF(B356="","",B356-WEEKDAY(B356,3))</f>
        <v/>
      </c>
      <c r="X356">
        <f>IF(D356="","",MAX(IF(N(F356)=0,0,IF(N(E356)&gt;0,E356*(1+F356/30),F356)),IF(N(H356)=0,0,IF(N(G356)&gt;0,G356*(1+H356/30),H356)),IF(N(J356)=0,0,IF(N(I356)&gt;0,I356*(1+J356/30),J356)),IF(N(L356)=0,0,IF(N(K356)&gt;0,K356*(1+L356/30),L356)),IF(N(N356)=0,0,IF(N(M356)&gt;0,M356*(1+N356/30),N356))))</f>
        <v/>
      </c>
      <c r="Y356">
        <f>IF(N(X356)=0,"",X356+ROW()/1000000000)</f>
        <v/>
      </c>
      <c r="Z356">
        <f>IF(Y356="","",IF(COUNTIFS(Log!$D$6:$D$1505,D356,Log!$Y$6:$Y$1505,"&gt;"&amp;Y356)=0,1,0))</f>
        <v/>
      </c>
      <c r="AA356">
        <f>IF(OR(B356="",D356=""),"",B356+ROW()/10000000)</f>
        <v/>
      </c>
      <c r="AB356">
        <f>IF(AA356="","",IF(COUNTIFS(Log!$D$6:$D$1505,D356,Log!$AA$6:$AA$1505,"&gt;"&amp;AA356)=0,1,0))</f>
        <v/>
      </c>
      <c r="AC356">
        <f>IF(S356="New best",AA356,"")</f>
        <v/>
      </c>
      <c r="AD356">
        <f>ROW()</f>
        <v/>
      </c>
    </row>
    <row r="357">
      <c r="A357" s="1" t="n"/>
      <c r="B357" s="21" t="n"/>
      <c r="C357" s="22" t="n"/>
      <c r="D357" s="23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15">
        <f>IF(D357="","",COUNT(F357,H357,J357,L357,N357))</f>
        <v/>
      </c>
      <c r="P357" s="25">
        <f>IF(D357="","",N(E357)*N(F357)+N(G357)*N(H357)+N(I357)*N(J357)+N(K357)*N(L357)+N(M357)*N(N357))</f>
        <v/>
      </c>
      <c r="Q357" s="18">
        <f>IF(N(X357)=0,"",IF(IF(N(F357)=0,0,IF(N(E357)&gt;0,E357*(1+F357/30),F357))=X357,IF(N(E357)&gt;0,E357&amp;" x "&amp;F357,F357&amp;" reps"),IF(IF(N(H357)=0,0,IF(N(G357)&gt;0,G357*(1+H357/30),H357))=X357,IF(N(G357)&gt;0,G357&amp;" x "&amp;H357,H357&amp;" reps"),IF(IF(N(J357)=0,0,IF(N(I357)&gt;0,I357*(1+J357/30),J357))=X357,IF(N(I357)&gt;0,I357&amp;" x "&amp;J357,J357&amp;" reps"),IF(IF(N(L357)=0,0,IF(N(K357)&gt;0,K357*(1+L357/30),L357))=X357,IF(N(K357)&gt;0,K357&amp;" x "&amp;L357,L357&amp;" reps"),IF(IF(N(N357)=0,0,IF(N(M357)&gt;0,M357*(1+N357/30),N357))=X357,IF(N(M357)&gt;0,M357&amp;" x "&amp;N357,N357&amp;" reps"),""))))))</f>
        <v/>
      </c>
      <c r="R357" s="20">
        <f>IF(N(X357)=0,"",ROUND(X357,1))</f>
        <v/>
      </c>
      <c r="S357" s="18">
        <f>IF(N(X357)=0,"",IF(AND(COUNTIFS(Log!$D$6:$D$1505,D357,Log!$B$6:$B$1505,"&lt;"&amp;B357)&gt;0,COUNTIFS(Log!$D$6:$D$1505,D357,Log!$B$6:$B$1505,"&lt;"&amp;B357,Log!$X$6:$X$1505,"&gt;="&amp;X357)=0),"New best",""))</f>
        <v/>
      </c>
      <c r="T357" s="26" t="n"/>
      <c r="U357" s="1">
        <f>IF(D357="","",IFERROR(INDEX(Exercises!$C$6:$C$105,MATCH(D357,Exercises!$B$6:$B$105,0)),"Other"))</f>
        <v/>
      </c>
      <c r="V357">
        <f>IF(B357="","",IF(COUNTIF($B$6:B357,B357)=1,1,0))</f>
        <v/>
      </c>
      <c r="W357">
        <f>IF(B357="","",B357-WEEKDAY(B357,3))</f>
        <v/>
      </c>
      <c r="X357">
        <f>IF(D357="","",MAX(IF(N(F357)=0,0,IF(N(E357)&gt;0,E357*(1+F357/30),F357)),IF(N(H357)=0,0,IF(N(G357)&gt;0,G357*(1+H357/30),H357)),IF(N(J357)=0,0,IF(N(I357)&gt;0,I357*(1+J357/30),J357)),IF(N(L357)=0,0,IF(N(K357)&gt;0,K357*(1+L357/30),L357)),IF(N(N357)=0,0,IF(N(M357)&gt;0,M357*(1+N357/30),N357))))</f>
        <v/>
      </c>
      <c r="Y357">
        <f>IF(N(X357)=0,"",X357+ROW()/1000000000)</f>
        <v/>
      </c>
      <c r="Z357">
        <f>IF(Y357="","",IF(COUNTIFS(Log!$D$6:$D$1505,D357,Log!$Y$6:$Y$1505,"&gt;"&amp;Y357)=0,1,0))</f>
        <v/>
      </c>
      <c r="AA357">
        <f>IF(OR(B357="",D357=""),"",B357+ROW()/10000000)</f>
        <v/>
      </c>
      <c r="AB357">
        <f>IF(AA357="","",IF(COUNTIFS(Log!$D$6:$D$1505,D357,Log!$AA$6:$AA$1505,"&gt;"&amp;AA357)=0,1,0))</f>
        <v/>
      </c>
      <c r="AC357">
        <f>IF(S357="New best",AA357,"")</f>
        <v/>
      </c>
      <c r="AD357">
        <f>ROW()</f>
        <v/>
      </c>
    </row>
    <row r="358">
      <c r="A358" s="1" t="n"/>
      <c r="B358" s="21" t="n"/>
      <c r="C358" s="22" t="n"/>
      <c r="D358" s="23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15">
        <f>IF(D358="","",COUNT(F358,H358,J358,L358,N358))</f>
        <v/>
      </c>
      <c r="P358" s="25">
        <f>IF(D358="","",N(E358)*N(F358)+N(G358)*N(H358)+N(I358)*N(J358)+N(K358)*N(L358)+N(M358)*N(N358))</f>
        <v/>
      </c>
      <c r="Q358" s="18">
        <f>IF(N(X358)=0,"",IF(IF(N(F358)=0,0,IF(N(E358)&gt;0,E358*(1+F358/30),F358))=X358,IF(N(E358)&gt;0,E358&amp;" x "&amp;F358,F358&amp;" reps"),IF(IF(N(H358)=0,0,IF(N(G358)&gt;0,G358*(1+H358/30),H358))=X358,IF(N(G358)&gt;0,G358&amp;" x "&amp;H358,H358&amp;" reps"),IF(IF(N(J358)=0,0,IF(N(I358)&gt;0,I358*(1+J358/30),J358))=X358,IF(N(I358)&gt;0,I358&amp;" x "&amp;J358,J358&amp;" reps"),IF(IF(N(L358)=0,0,IF(N(K358)&gt;0,K358*(1+L358/30),L358))=X358,IF(N(K358)&gt;0,K358&amp;" x "&amp;L358,L358&amp;" reps"),IF(IF(N(N358)=0,0,IF(N(M358)&gt;0,M358*(1+N358/30),N358))=X358,IF(N(M358)&gt;0,M358&amp;" x "&amp;N358,N358&amp;" reps"),""))))))</f>
        <v/>
      </c>
      <c r="R358" s="20">
        <f>IF(N(X358)=0,"",ROUND(X358,1))</f>
        <v/>
      </c>
      <c r="S358" s="18">
        <f>IF(N(X358)=0,"",IF(AND(COUNTIFS(Log!$D$6:$D$1505,D358,Log!$B$6:$B$1505,"&lt;"&amp;B358)&gt;0,COUNTIFS(Log!$D$6:$D$1505,D358,Log!$B$6:$B$1505,"&lt;"&amp;B358,Log!$X$6:$X$1505,"&gt;="&amp;X358)=0),"New best",""))</f>
        <v/>
      </c>
      <c r="T358" s="26" t="n"/>
      <c r="U358" s="1">
        <f>IF(D358="","",IFERROR(INDEX(Exercises!$C$6:$C$105,MATCH(D358,Exercises!$B$6:$B$105,0)),"Other"))</f>
        <v/>
      </c>
      <c r="V358">
        <f>IF(B358="","",IF(COUNTIF($B$6:B358,B358)=1,1,0))</f>
        <v/>
      </c>
      <c r="W358">
        <f>IF(B358="","",B358-WEEKDAY(B358,3))</f>
        <v/>
      </c>
      <c r="X358">
        <f>IF(D358="","",MAX(IF(N(F358)=0,0,IF(N(E358)&gt;0,E358*(1+F358/30),F358)),IF(N(H358)=0,0,IF(N(G358)&gt;0,G358*(1+H358/30),H358)),IF(N(J358)=0,0,IF(N(I358)&gt;0,I358*(1+J358/30),J358)),IF(N(L358)=0,0,IF(N(K358)&gt;0,K358*(1+L358/30),L358)),IF(N(N358)=0,0,IF(N(M358)&gt;0,M358*(1+N358/30),N358))))</f>
        <v/>
      </c>
      <c r="Y358">
        <f>IF(N(X358)=0,"",X358+ROW()/1000000000)</f>
        <v/>
      </c>
      <c r="Z358">
        <f>IF(Y358="","",IF(COUNTIFS(Log!$D$6:$D$1505,D358,Log!$Y$6:$Y$1505,"&gt;"&amp;Y358)=0,1,0))</f>
        <v/>
      </c>
      <c r="AA358">
        <f>IF(OR(B358="",D358=""),"",B358+ROW()/10000000)</f>
        <v/>
      </c>
      <c r="AB358">
        <f>IF(AA358="","",IF(COUNTIFS(Log!$D$6:$D$1505,D358,Log!$AA$6:$AA$1505,"&gt;"&amp;AA358)=0,1,0))</f>
        <v/>
      </c>
      <c r="AC358">
        <f>IF(S358="New best",AA358,"")</f>
        <v/>
      </c>
      <c r="AD358">
        <f>ROW()</f>
        <v/>
      </c>
    </row>
    <row r="359">
      <c r="A359" s="1" t="n"/>
      <c r="B359" s="21" t="n"/>
      <c r="C359" s="22" t="n"/>
      <c r="D359" s="23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15">
        <f>IF(D359="","",COUNT(F359,H359,J359,L359,N359))</f>
        <v/>
      </c>
      <c r="P359" s="25">
        <f>IF(D359="","",N(E359)*N(F359)+N(G359)*N(H359)+N(I359)*N(J359)+N(K359)*N(L359)+N(M359)*N(N359))</f>
        <v/>
      </c>
      <c r="Q359" s="18">
        <f>IF(N(X359)=0,"",IF(IF(N(F359)=0,0,IF(N(E359)&gt;0,E359*(1+F359/30),F359))=X359,IF(N(E359)&gt;0,E359&amp;" x "&amp;F359,F359&amp;" reps"),IF(IF(N(H359)=0,0,IF(N(G359)&gt;0,G359*(1+H359/30),H359))=X359,IF(N(G359)&gt;0,G359&amp;" x "&amp;H359,H359&amp;" reps"),IF(IF(N(J359)=0,0,IF(N(I359)&gt;0,I359*(1+J359/30),J359))=X359,IF(N(I359)&gt;0,I359&amp;" x "&amp;J359,J359&amp;" reps"),IF(IF(N(L359)=0,0,IF(N(K359)&gt;0,K359*(1+L359/30),L359))=X359,IF(N(K359)&gt;0,K359&amp;" x "&amp;L359,L359&amp;" reps"),IF(IF(N(N359)=0,0,IF(N(M359)&gt;0,M359*(1+N359/30),N359))=X359,IF(N(M359)&gt;0,M359&amp;" x "&amp;N359,N359&amp;" reps"),""))))))</f>
        <v/>
      </c>
      <c r="R359" s="20">
        <f>IF(N(X359)=0,"",ROUND(X359,1))</f>
        <v/>
      </c>
      <c r="S359" s="18">
        <f>IF(N(X359)=0,"",IF(AND(COUNTIFS(Log!$D$6:$D$1505,D359,Log!$B$6:$B$1505,"&lt;"&amp;B359)&gt;0,COUNTIFS(Log!$D$6:$D$1505,D359,Log!$B$6:$B$1505,"&lt;"&amp;B359,Log!$X$6:$X$1505,"&gt;="&amp;X359)=0),"New best",""))</f>
        <v/>
      </c>
      <c r="T359" s="26" t="n"/>
      <c r="U359" s="1">
        <f>IF(D359="","",IFERROR(INDEX(Exercises!$C$6:$C$105,MATCH(D359,Exercises!$B$6:$B$105,0)),"Other"))</f>
        <v/>
      </c>
      <c r="V359">
        <f>IF(B359="","",IF(COUNTIF($B$6:B359,B359)=1,1,0))</f>
        <v/>
      </c>
      <c r="W359">
        <f>IF(B359="","",B359-WEEKDAY(B359,3))</f>
        <v/>
      </c>
      <c r="X359">
        <f>IF(D359="","",MAX(IF(N(F359)=0,0,IF(N(E359)&gt;0,E359*(1+F359/30),F359)),IF(N(H359)=0,0,IF(N(G359)&gt;0,G359*(1+H359/30),H359)),IF(N(J359)=0,0,IF(N(I359)&gt;0,I359*(1+J359/30),J359)),IF(N(L359)=0,0,IF(N(K359)&gt;0,K359*(1+L359/30),L359)),IF(N(N359)=0,0,IF(N(M359)&gt;0,M359*(1+N359/30),N359))))</f>
        <v/>
      </c>
      <c r="Y359">
        <f>IF(N(X359)=0,"",X359+ROW()/1000000000)</f>
        <v/>
      </c>
      <c r="Z359">
        <f>IF(Y359="","",IF(COUNTIFS(Log!$D$6:$D$1505,D359,Log!$Y$6:$Y$1505,"&gt;"&amp;Y359)=0,1,0))</f>
        <v/>
      </c>
      <c r="AA359">
        <f>IF(OR(B359="",D359=""),"",B359+ROW()/10000000)</f>
        <v/>
      </c>
      <c r="AB359">
        <f>IF(AA359="","",IF(COUNTIFS(Log!$D$6:$D$1505,D359,Log!$AA$6:$AA$1505,"&gt;"&amp;AA359)=0,1,0))</f>
        <v/>
      </c>
      <c r="AC359">
        <f>IF(S359="New best",AA359,"")</f>
        <v/>
      </c>
      <c r="AD359">
        <f>ROW()</f>
        <v/>
      </c>
    </row>
    <row r="360">
      <c r="A360" s="1" t="n"/>
      <c r="B360" s="21" t="n"/>
      <c r="C360" s="22" t="n"/>
      <c r="D360" s="23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15">
        <f>IF(D360="","",COUNT(F360,H360,J360,L360,N360))</f>
        <v/>
      </c>
      <c r="P360" s="25">
        <f>IF(D360="","",N(E360)*N(F360)+N(G360)*N(H360)+N(I360)*N(J360)+N(K360)*N(L360)+N(M360)*N(N360))</f>
        <v/>
      </c>
      <c r="Q360" s="18">
        <f>IF(N(X360)=0,"",IF(IF(N(F360)=0,0,IF(N(E360)&gt;0,E360*(1+F360/30),F360))=X360,IF(N(E360)&gt;0,E360&amp;" x "&amp;F360,F360&amp;" reps"),IF(IF(N(H360)=0,0,IF(N(G360)&gt;0,G360*(1+H360/30),H360))=X360,IF(N(G360)&gt;0,G360&amp;" x "&amp;H360,H360&amp;" reps"),IF(IF(N(J360)=0,0,IF(N(I360)&gt;0,I360*(1+J360/30),J360))=X360,IF(N(I360)&gt;0,I360&amp;" x "&amp;J360,J360&amp;" reps"),IF(IF(N(L360)=0,0,IF(N(K360)&gt;0,K360*(1+L360/30),L360))=X360,IF(N(K360)&gt;0,K360&amp;" x "&amp;L360,L360&amp;" reps"),IF(IF(N(N360)=0,0,IF(N(M360)&gt;0,M360*(1+N360/30),N360))=X360,IF(N(M360)&gt;0,M360&amp;" x "&amp;N360,N360&amp;" reps"),""))))))</f>
        <v/>
      </c>
      <c r="R360" s="20">
        <f>IF(N(X360)=0,"",ROUND(X360,1))</f>
        <v/>
      </c>
      <c r="S360" s="18">
        <f>IF(N(X360)=0,"",IF(AND(COUNTIFS(Log!$D$6:$D$1505,D360,Log!$B$6:$B$1505,"&lt;"&amp;B360)&gt;0,COUNTIFS(Log!$D$6:$D$1505,D360,Log!$B$6:$B$1505,"&lt;"&amp;B360,Log!$X$6:$X$1505,"&gt;="&amp;X360)=0),"New best",""))</f>
        <v/>
      </c>
      <c r="T360" s="26" t="n"/>
      <c r="U360" s="1">
        <f>IF(D360="","",IFERROR(INDEX(Exercises!$C$6:$C$105,MATCH(D360,Exercises!$B$6:$B$105,0)),"Other"))</f>
        <v/>
      </c>
      <c r="V360">
        <f>IF(B360="","",IF(COUNTIF($B$6:B360,B360)=1,1,0))</f>
        <v/>
      </c>
      <c r="W360">
        <f>IF(B360="","",B360-WEEKDAY(B360,3))</f>
        <v/>
      </c>
      <c r="X360">
        <f>IF(D360="","",MAX(IF(N(F360)=0,0,IF(N(E360)&gt;0,E360*(1+F360/30),F360)),IF(N(H360)=0,0,IF(N(G360)&gt;0,G360*(1+H360/30),H360)),IF(N(J360)=0,0,IF(N(I360)&gt;0,I360*(1+J360/30),J360)),IF(N(L360)=0,0,IF(N(K360)&gt;0,K360*(1+L360/30),L360)),IF(N(N360)=0,0,IF(N(M360)&gt;0,M360*(1+N360/30),N360))))</f>
        <v/>
      </c>
      <c r="Y360">
        <f>IF(N(X360)=0,"",X360+ROW()/1000000000)</f>
        <v/>
      </c>
      <c r="Z360">
        <f>IF(Y360="","",IF(COUNTIFS(Log!$D$6:$D$1505,D360,Log!$Y$6:$Y$1505,"&gt;"&amp;Y360)=0,1,0))</f>
        <v/>
      </c>
      <c r="AA360">
        <f>IF(OR(B360="",D360=""),"",B360+ROW()/10000000)</f>
        <v/>
      </c>
      <c r="AB360">
        <f>IF(AA360="","",IF(COUNTIFS(Log!$D$6:$D$1505,D360,Log!$AA$6:$AA$1505,"&gt;"&amp;AA360)=0,1,0))</f>
        <v/>
      </c>
      <c r="AC360">
        <f>IF(S360="New best",AA360,"")</f>
        <v/>
      </c>
      <c r="AD360">
        <f>ROW()</f>
        <v/>
      </c>
    </row>
    <row r="361">
      <c r="A361" s="1" t="n"/>
      <c r="B361" s="21" t="n"/>
      <c r="C361" s="22" t="n"/>
      <c r="D361" s="23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15">
        <f>IF(D361="","",COUNT(F361,H361,J361,L361,N361))</f>
        <v/>
      </c>
      <c r="P361" s="25">
        <f>IF(D361="","",N(E361)*N(F361)+N(G361)*N(H361)+N(I361)*N(J361)+N(K361)*N(L361)+N(M361)*N(N361))</f>
        <v/>
      </c>
      <c r="Q361" s="18">
        <f>IF(N(X361)=0,"",IF(IF(N(F361)=0,0,IF(N(E361)&gt;0,E361*(1+F361/30),F361))=X361,IF(N(E361)&gt;0,E361&amp;" x "&amp;F361,F361&amp;" reps"),IF(IF(N(H361)=0,0,IF(N(G361)&gt;0,G361*(1+H361/30),H361))=X361,IF(N(G361)&gt;0,G361&amp;" x "&amp;H361,H361&amp;" reps"),IF(IF(N(J361)=0,0,IF(N(I361)&gt;0,I361*(1+J361/30),J361))=X361,IF(N(I361)&gt;0,I361&amp;" x "&amp;J361,J361&amp;" reps"),IF(IF(N(L361)=0,0,IF(N(K361)&gt;0,K361*(1+L361/30),L361))=X361,IF(N(K361)&gt;0,K361&amp;" x "&amp;L361,L361&amp;" reps"),IF(IF(N(N361)=0,0,IF(N(M361)&gt;0,M361*(1+N361/30),N361))=X361,IF(N(M361)&gt;0,M361&amp;" x "&amp;N361,N361&amp;" reps"),""))))))</f>
        <v/>
      </c>
      <c r="R361" s="20">
        <f>IF(N(X361)=0,"",ROUND(X361,1))</f>
        <v/>
      </c>
      <c r="S361" s="18">
        <f>IF(N(X361)=0,"",IF(AND(COUNTIFS(Log!$D$6:$D$1505,D361,Log!$B$6:$B$1505,"&lt;"&amp;B361)&gt;0,COUNTIFS(Log!$D$6:$D$1505,D361,Log!$B$6:$B$1505,"&lt;"&amp;B361,Log!$X$6:$X$1505,"&gt;="&amp;X361)=0),"New best",""))</f>
        <v/>
      </c>
      <c r="T361" s="26" t="n"/>
      <c r="U361" s="1">
        <f>IF(D361="","",IFERROR(INDEX(Exercises!$C$6:$C$105,MATCH(D361,Exercises!$B$6:$B$105,0)),"Other"))</f>
        <v/>
      </c>
      <c r="V361">
        <f>IF(B361="","",IF(COUNTIF($B$6:B361,B361)=1,1,0))</f>
        <v/>
      </c>
      <c r="W361">
        <f>IF(B361="","",B361-WEEKDAY(B361,3))</f>
        <v/>
      </c>
      <c r="X361">
        <f>IF(D361="","",MAX(IF(N(F361)=0,0,IF(N(E361)&gt;0,E361*(1+F361/30),F361)),IF(N(H361)=0,0,IF(N(G361)&gt;0,G361*(1+H361/30),H361)),IF(N(J361)=0,0,IF(N(I361)&gt;0,I361*(1+J361/30),J361)),IF(N(L361)=0,0,IF(N(K361)&gt;0,K361*(1+L361/30),L361)),IF(N(N361)=0,0,IF(N(M361)&gt;0,M361*(1+N361/30),N361))))</f>
        <v/>
      </c>
      <c r="Y361">
        <f>IF(N(X361)=0,"",X361+ROW()/1000000000)</f>
        <v/>
      </c>
      <c r="Z361">
        <f>IF(Y361="","",IF(COUNTIFS(Log!$D$6:$D$1505,D361,Log!$Y$6:$Y$1505,"&gt;"&amp;Y361)=0,1,0))</f>
        <v/>
      </c>
      <c r="AA361">
        <f>IF(OR(B361="",D361=""),"",B361+ROW()/10000000)</f>
        <v/>
      </c>
      <c r="AB361">
        <f>IF(AA361="","",IF(COUNTIFS(Log!$D$6:$D$1505,D361,Log!$AA$6:$AA$1505,"&gt;"&amp;AA361)=0,1,0))</f>
        <v/>
      </c>
      <c r="AC361">
        <f>IF(S361="New best",AA361,"")</f>
        <v/>
      </c>
      <c r="AD361">
        <f>ROW()</f>
        <v/>
      </c>
    </row>
    <row r="362">
      <c r="A362" s="1" t="n"/>
      <c r="B362" s="21" t="n"/>
      <c r="C362" s="22" t="n"/>
      <c r="D362" s="23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15">
        <f>IF(D362="","",COUNT(F362,H362,J362,L362,N362))</f>
        <v/>
      </c>
      <c r="P362" s="25">
        <f>IF(D362="","",N(E362)*N(F362)+N(G362)*N(H362)+N(I362)*N(J362)+N(K362)*N(L362)+N(M362)*N(N362))</f>
        <v/>
      </c>
      <c r="Q362" s="18">
        <f>IF(N(X362)=0,"",IF(IF(N(F362)=0,0,IF(N(E362)&gt;0,E362*(1+F362/30),F362))=X362,IF(N(E362)&gt;0,E362&amp;" x "&amp;F362,F362&amp;" reps"),IF(IF(N(H362)=0,0,IF(N(G362)&gt;0,G362*(1+H362/30),H362))=X362,IF(N(G362)&gt;0,G362&amp;" x "&amp;H362,H362&amp;" reps"),IF(IF(N(J362)=0,0,IF(N(I362)&gt;0,I362*(1+J362/30),J362))=X362,IF(N(I362)&gt;0,I362&amp;" x "&amp;J362,J362&amp;" reps"),IF(IF(N(L362)=0,0,IF(N(K362)&gt;0,K362*(1+L362/30),L362))=X362,IF(N(K362)&gt;0,K362&amp;" x "&amp;L362,L362&amp;" reps"),IF(IF(N(N362)=0,0,IF(N(M362)&gt;0,M362*(1+N362/30),N362))=X362,IF(N(M362)&gt;0,M362&amp;" x "&amp;N362,N362&amp;" reps"),""))))))</f>
        <v/>
      </c>
      <c r="R362" s="20">
        <f>IF(N(X362)=0,"",ROUND(X362,1))</f>
        <v/>
      </c>
      <c r="S362" s="18">
        <f>IF(N(X362)=0,"",IF(AND(COUNTIFS(Log!$D$6:$D$1505,D362,Log!$B$6:$B$1505,"&lt;"&amp;B362)&gt;0,COUNTIFS(Log!$D$6:$D$1505,D362,Log!$B$6:$B$1505,"&lt;"&amp;B362,Log!$X$6:$X$1505,"&gt;="&amp;X362)=0),"New best",""))</f>
        <v/>
      </c>
      <c r="T362" s="26" t="n"/>
      <c r="U362" s="1">
        <f>IF(D362="","",IFERROR(INDEX(Exercises!$C$6:$C$105,MATCH(D362,Exercises!$B$6:$B$105,0)),"Other"))</f>
        <v/>
      </c>
      <c r="V362">
        <f>IF(B362="","",IF(COUNTIF($B$6:B362,B362)=1,1,0))</f>
        <v/>
      </c>
      <c r="W362">
        <f>IF(B362="","",B362-WEEKDAY(B362,3))</f>
        <v/>
      </c>
      <c r="X362">
        <f>IF(D362="","",MAX(IF(N(F362)=0,0,IF(N(E362)&gt;0,E362*(1+F362/30),F362)),IF(N(H362)=0,0,IF(N(G362)&gt;0,G362*(1+H362/30),H362)),IF(N(J362)=0,0,IF(N(I362)&gt;0,I362*(1+J362/30),J362)),IF(N(L362)=0,0,IF(N(K362)&gt;0,K362*(1+L362/30),L362)),IF(N(N362)=0,0,IF(N(M362)&gt;0,M362*(1+N362/30),N362))))</f>
        <v/>
      </c>
      <c r="Y362">
        <f>IF(N(X362)=0,"",X362+ROW()/1000000000)</f>
        <v/>
      </c>
      <c r="Z362">
        <f>IF(Y362="","",IF(COUNTIFS(Log!$D$6:$D$1505,D362,Log!$Y$6:$Y$1505,"&gt;"&amp;Y362)=0,1,0))</f>
        <v/>
      </c>
      <c r="AA362">
        <f>IF(OR(B362="",D362=""),"",B362+ROW()/10000000)</f>
        <v/>
      </c>
      <c r="AB362">
        <f>IF(AA362="","",IF(COUNTIFS(Log!$D$6:$D$1505,D362,Log!$AA$6:$AA$1505,"&gt;"&amp;AA362)=0,1,0))</f>
        <v/>
      </c>
      <c r="AC362">
        <f>IF(S362="New best",AA362,"")</f>
        <v/>
      </c>
      <c r="AD362">
        <f>ROW()</f>
        <v/>
      </c>
    </row>
    <row r="363">
      <c r="A363" s="1" t="n"/>
      <c r="B363" s="21" t="n"/>
      <c r="C363" s="22" t="n"/>
      <c r="D363" s="23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15">
        <f>IF(D363="","",COUNT(F363,H363,J363,L363,N363))</f>
        <v/>
      </c>
      <c r="P363" s="25">
        <f>IF(D363="","",N(E363)*N(F363)+N(G363)*N(H363)+N(I363)*N(J363)+N(K363)*N(L363)+N(M363)*N(N363))</f>
        <v/>
      </c>
      <c r="Q363" s="18">
        <f>IF(N(X363)=0,"",IF(IF(N(F363)=0,0,IF(N(E363)&gt;0,E363*(1+F363/30),F363))=X363,IF(N(E363)&gt;0,E363&amp;" x "&amp;F363,F363&amp;" reps"),IF(IF(N(H363)=0,0,IF(N(G363)&gt;0,G363*(1+H363/30),H363))=X363,IF(N(G363)&gt;0,G363&amp;" x "&amp;H363,H363&amp;" reps"),IF(IF(N(J363)=0,0,IF(N(I363)&gt;0,I363*(1+J363/30),J363))=X363,IF(N(I363)&gt;0,I363&amp;" x "&amp;J363,J363&amp;" reps"),IF(IF(N(L363)=0,0,IF(N(K363)&gt;0,K363*(1+L363/30),L363))=X363,IF(N(K363)&gt;0,K363&amp;" x "&amp;L363,L363&amp;" reps"),IF(IF(N(N363)=0,0,IF(N(M363)&gt;0,M363*(1+N363/30),N363))=X363,IF(N(M363)&gt;0,M363&amp;" x "&amp;N363,N363&amp;" reps"),""))))))</f>
        <v/>
      </c>
      <c r="R363" s="20">
        <f>IF(N(X363)=0,"",ROUND(X363,1))</f>
        <v/>
      </c>
      <c r="S363" s="18">
        <f>IF(N(X363)=0,"",IF(AND(COUNTIFS(Log!$D$6:$D$1505,D363,Log!$B$6:$B$1505,"&lt;"&amp;B363)&gt;0,COUNTIFS(Log!$D$6:$D$1505,D363,Log!$B$6:$B$1505,"&lt;"&amp;B363,Log!$X$6:$X$1505,"&gt;="&amp;X363)=0),"New best",""))</f>
        <v/>
      </c>
      <c r="T363" s="26" t="n"/>
      <c r="U363" s="1">
        <f>IF(D363="","",IFERROR(INDEX(Exercises!$C$6:$C$105,MATCH(D363,Exercises!$B$6:$B$105,0)),"Other"))</f>
        <v/>
      </c>
      <c r="V363">
        <f>IF(B363="","",IF(COUNTIF($B$6:B363,B363)=1,1,0))</f>
        <v/>
      </c>
      <c r="W363">
        <f>IF(B363="","",B363-WEEKDAY(B363,3))</f>
        <v/>
      </c>
      <c r="X363">
        <f>IF(D363="","",MAX(IF(N(F363)=0,0,IF(N(E363)&gt;0,E363*(1+F363/30),F363)),IF(N(H363)=0,0,IF(N(G363)&gt;0,G363*(1+H363/30),H363)),IF(N(J363)=0,0,IF(N(I363)&gt;0,I363*(1+J363/30),J363)),IF(N(L363)=0,0,IF(N(K363)&gt;0,K363*(1+L363/30),L363)),IF(N(N363)=0,0,IF(N(M363)&gt;0,M363*(1+N363/30),N363))))</f>
        <v/>
      </c>
      <c r="Y363">
        <f>IF(N(X363)=0,"",X363+ROW()/1000000000)</f>
        <v/>
      </c>
      <c r="Z363">
        <f>IF(Y363="","",IF(COUNTIFS(Log!$D$6:$D$1505,D363,Log!$Y$6:$Y$1505,"&gt;"&amp;Y363)=0,1,0))</f>
        <v/>
      </c>
      <c r="AA363">
        <f>IF(OR(B363="",D363=""),"",B363+ROW()/10000000)</f>
        <v/>
      </c>
      <c r="AB363">
        <f>IF(AA363="","",IF(COUNTIFS(Log!$D$6:$D$1505,D363,Log!$AA$6:$AA$1505,"&gt;"&amp;AA363)=0,1,0))</f>
        <v/>
      </c>
      <c r="AC363">
        <f>IF(S363="New best",AA363,"")</f>
        <v/>
      </c>
      <c r="AD363">
        <f>ROW()</f>
        <v/>
      </c>
    </row>
    <row r="364">
      <c r="A364" s="1" t="n"/>
      <c r="B364" s="21" t="n"/>
      <c r="C364" s="22" t="n"/>
      <c r="D364" s="23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15">
        <f>IF(D364="","",COUNT(F364,H364,J364,L364,N364))</f>
        <v/>
      </c>
      <c r="P364" s="25">
        <f>IF(D364="","",N(E364)*N(F364)+N(G364)*N(H364)+N(I364)*N(J364)+N(K364)*N(L364)+N(M364)*N(N364))</f>
        <v/>
      </c>
      <c r="Q364" s="18">
        <f>IF(N(X364)=0,"",IF(IF(N(F364)=0,0,IF(N(E364)&gt;0,E364*(1+F364/30),F364))=X364,IF(N(E364)&gt;0,E364&amp;" x "&amp;F364,F364&amp;" reps"),IF(IF(N(H364)=0,0,IF(N(G364)&gt;0,G364*(1+H364/30),H364))=X364,IF(N(G364)&gt;0,G364&amp;" x "&amp;H364,H364&amp;" reps"),IF(IF(N(J364)=0,0,IF(N(I364)&gt;0,I364*(1+J364/30),J364))=X364,IF(N(I364)&gt;0,I364&amp;" x "&amp;J364,J364&amp;" reps"),IF(IF(N(L364)=0,0,IF(N(K364)&gt;0,K364*(1+L364/30),L364))=X364,IF(N(K364)&gt;0,K364&amp;" x "&amp;L364,L364&amp;" reps"),IF(IF(N(N364)=0,0,IF(N(M364)&gt;0,M364*(1+N364/30),N364))=X364,IF(N(M364)&gt;0,M364&amp;" x "&amp;N364,N364&amp;" reps"),""))))))</f>
        <v/>
      </c>
      <c r="R364" s="20">
        <f>IF(N(X364)=0,"",ROUND(X364,1))</f>
        <v/>
      </c>
      <c r="S364" s="18">
        <f>IF(N(X364)=0,"",IF(AND(COUNTIFS(Log!$D$6:$D$1505,D364,Log!$B$6:$B$1505,"&lt;"&amp;B364)&gt;0,COUNTIFS(Log!$D$6:$D$1505,D364,Log!$B$6:$B$1505,"&lt;"&amp;B364,Log!$X$6:$X$1505,"&gt;="&amp;X364)=0),"New best",""))</f>
        <v/>
      </c>
      <c r="T364" s="26" t="n"/>
      <c r="U364" s="1">
        <f>IF(D364="","",IFERROR(INDEX(Exercises!$C$6:$C$105,MATCH(D364,Exercises!$B$6:$B$105,0)),"Other"))</f>
        <v/>
      </c>
      <c r="V364">
        <f>IF(B364="","",IF(COUNTIF($B$6:B364,B364)=1,1,0))</f>
        <v/>
      </c>
      <c r="W364">
        <f>IF(B364="","",B364-WEEKDAY(B364,3))</f>
        <v/>
      </c>
      <c r="X364">
        <f>IF(D364="","",MAX(IF(N(F364)=0,0,IF(N(E364)&gt;0,E364*(1+F364/30),F364)),IF(N(H364)=0,0,IF(N(G364)&gt;0,G364*(1+H364/30),H364)),IF(N(J364)=0,0,IF(N(I364)&gt;0,I364*(1+J364/30),J364)),IF(N(L364)=0,0,IF(N(K364)&gt;0,K364*(1+L364/30),L364)),IF(N(N364)=0,0,IF(N(M364)&gt;0,M364*(1+N364/30),N364))))</f>
        <v/>
      </c>
      <c r="Y364">
        <f>IF(N(X364)=0,"",X364+ROW()/1000000000)</f>
        <v/>
      </c>
      <c r="Z364">
        <f>IF(Y364="","",IF(COUNTIFS(Log!$D$6:$D$1505,D364,Log!$Y$6:$Y$1505,"&gt;"&amp;Y364)=0,1,0))</f>
        <v/>
      </c>
      <c r="AA364">
        <f>IF(OR(B364="",D364=""),"",B364+ROW()/10000000)</f>
        <v/>
      </c>
      <c r="AB364">
        <f>IF(AA364="","",IF(COUNTIFS(Log!$D$6:$D$1505,D364,Log!$AA$6:$AA$1505,"&gt;"&amp;AA364)=0,1,0))</f>
        <v/>
      </c>
      <c r="AC364">
        <f>IF(S364="New best",AA364,"")</f>
        <v/>
      </c>
      <c r="AD364">
        <f>ROW()</f>
        <v/>
      </c>
    </row>
    <row r="365">
      <c r="A365" s="1" t="n"/>
      <c r="B365" s="21" t="n"/>
      <c r="C365" s="22" t="n"/>
      <c r="D365" s="23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15">
        <f>IF(D365="","",COUNT(F365,H365,J365,L365,N365))</f>
        <v/>
      </c>
      <c r="P365" s="25">
        <f>IF(D365="","",N(E365)*N(F365)+N(G365)*N(H365)+N(I365)*N(J365)+N(K365)*N(L365)+N(M365)*N(N365))</f>
        <v/>
      </c>
      <c r="Q365" s="18">
        <f>IF(N(X365)=0,"",IF(IF(N(F365)=0,0,IF(N(E365)&gt;0,E365*(1+F365/30),F365))=X365,IF(N(E365)&gt;0,E365&amp;" x "&amp;F365,F365&amp;" reps"),IF(IF(N(H365)=0,0,IF(N(G365)&gt;0,G365*(1+H365/30),H365))=X365,IF(N(G365)&gt;0,G365&amp;" x "&amp;H365,H365&amp;" reps"),IF(IF(N(J365)=0,0,IF(N(I365)&gt;0,I365*(1+J365/30),J365))=X365,IF(N(I365)&gt;0,I365&amp;" x "&amp;J365,J365&amp;" reps"),IF(IF(N(L365)=0,0,IF(N(K365)&gt;0,K365*(1+L365/30),L365))=X365,IF(N(K365)&gt;0,K365&amp;" x "&amp;L365,L365&amp;" reps"),IF(IF(N(N365)=0,0,IF(N(M365)&gt;0,M365*(1+N365/30),N365))=X365,IF(N(M365)&gt;0,M365&amp;" x "&amp;N365,N365&amp;" reps"),""))))))</f>
        <v/>
      </c>
      <c r="R365" s="20">
        <f>IF(N(X365)=0,"",ROUND(X365,1))</f>
        <v/>
      </c>
      <c r="S365" s="18">
        <f>IF(N(X365)=0,"",IF(AND(COUNTIFS(Log!$D$6:$D$1505,D365,Log!$B$6:$B$1505,"&lt;"&amp;B365)&gt;0,COUNTIFS(Log!$D$6:$D$1505,D365,Log!$B$6:$B$1505,"&lt;"&amp;B365,Log!$X$6:$X$1505,"&gt;="&amp;X365)=0),"New best",""))</f>
        <v/>
      </c>
      <c r="T365" s="26" t="n"/>
      <c r="U365" s="1">
        <f>IF(D365="","",IFERROR(INDEX(Exercises!$C$6:$C$105,MATCH(D365,Exercises!$B$6:$B$105,0)),"Other"))</f>
        <v/>
      </c>
      <c r="V365">
        <f>IF(B365="","",IF(COUNTIF($B$6:B365,B365)=1,1,0))</f>
        <v/>
      </c>
      <c r="W365">
        <f>IF(B365="","",B365-WEEKDAY(B365,3))</f>
        <v/>
      </c>
      <c r="X365">
        <f>IF(D365="","",MAX(IF(N(F365)=0,0,IF(N(E365)&gt;0,E365*(1+F365/30),F365)),IF(N(H365)=0,0,IF(N(G365)&gt;0,G365*(1+H365/30),H365)),IF(N(J365)=0,0,IF(N(I365)&gt;0,I365*(1+J365/30),J365)),IF(N(L365)=0,0,IF(N(K365)&gt;0,K365*(1+L365/30),L365)),IF(N(N365)=0,0,IF(N(M365)&gt;0,M365*(1+N365/30),N365))))</f>
        <v/>
      </c>
      <c r="Y365">
        <f>IF(N(X365)=0,"",X365+ROW()/1000000000)</f>
        <v/>
      </c>
      <c r="Z365">
        <f>IF(Y365="","",IF(COUNTIFS(Log!$D$6:$D$1505,D365,Log!$Y$6:$Y$1505,"&gt;"&amp;Y365)=0,1,0))</f>
        <v/>
      </c>
      <c r="AA365">
        <f>IF(OR(B365="",D365=""),"",B365+ROW()/10000000)</f>
        <v/>
      </c>
      <c r="AB365">
        <f>IF(AA365="","",IF(COUNTIFS(Log!$D$6:$D$1505,D365,Log!$AA$6:$AA$1505,"&gt;"&amp;AA365)=0,1,0))</f>
        <v/>
      </c>
      <c r="AC365">
        <f>IF(S365="New best",AA365,"")</f>
        <v/>
      </c>
      <c r="AD365">
        <f>ROW()</f>
        <v/>
      </c>
    </row>
    <row r="366">
      <c r="A366" s="1" t="n"/>
      <c r="B366" s="21" t="n"/>
      <c r="C366" s="22" t="n"/>
      <c r="D366" s="23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15">
        <f>IF(D366="","",COUNT(F366,H366,J366,L366,N366))</f>
        <v/>
      </c>
      <c r="P366" s="25">
        <f>IF(D366="","",N(E366)*N(F366)+N(G366)*N(H366)+N(I366)*N(J366)+N(K366)*N(L366)+N(M366)*N(N366))</f>
        <v/>
      </c>
      <c r="Q366" s="18">
        <f>IF(N(X366)=0,"",IF(IF(N(F366)=0,0,IF(N(E366)&gt;0,E366*(1+F366/30),F366))=X366,IF(N(E366)&gt;0,E366&amp;" x "&amp;F366,F366&amp;" reps"),IF(IF(N(H366)=0,0,IF(N(G366)&gt;0,G366*(1+H366/30),H366))=X366,IF(N(G366)&gt;0,G366&amp;" x "&amp;H366,H366&amp;" reps"),IF(IF(N(J366)=0,0,IF(N(I366)&gt;0,I366*(1+J366/30),J366))=X366,IF(N(I366)&gt;0,I366&amp;" x "&amp;J366,J366&amp;" reps"),IF(IF(N(L366)=0,0,IF(N(K366)&gt;0,K366*(1+L366/30),L366))=X366,IF(N(K366)&gt;0,K366&amp;" x "&amp;L366,L366&amp;" reps"),IF(IF(N(N366)=0,0,IF(N(M366)&gt;0,M366*(1+N366/30),N366))=X366,IF(N(M366)&gt;0,M366&amp;" x "&amp;N366,N366&amp;" reps"),""))))))</f>
        <v/>
      </c>
      <c r="R366" s="20">
        <f>IF(N(X366)=0,"",ROUND(X366,1))</f>
        <v/>
      </c>
      <c r="S366" s="18">
        <f>IF(N(X366)=0,"",IF(AND(COUNTIFS(Log!$D$6:$D$1505,D366,Log!$B$6:$B$1505,"&lt;"&amp;B366)&gt;0,COUNTIFS(Log!$D$6:$D$1505,D366,Log!$B$6:$B$1505,"&lt;"&amp;B366,Log!$X$6:$X$1505,"&gt;="&amp;X366)=0),"New best",""))</f>
        <v/>
      </c>
      <c r="T366" s="26" t="n"/>
      <c r="U366" s="1">
        <f>IF(D366="","",IFERROR(INDEX(Exercises!$C$6:$C$105,MATCH(D366,Exercises!$B$6:$B$105,0)),"Other"))</f>
        <v/>
      </c>
      <c r="V366">
        <f>IF(B366="","",IF(COUNTIF($B$6:B366,B366)=1,1,0))</f>
        <v/>
      </c>
      <c r="W366">
        <f>IF(B366="","",B366-WEEKDAY(B366,3))</f>
        <v/>
      </c>
      <c r="X366">
        <f>IF(D366="","",MAX(IF(N(F366)=0,0,IF(N(E366)&gt;0,E366*(1+F366/30),F366)),IF(N(H366)=0,0,IF(N(G366)&gt;0,G366*(1+H366/30),H366)),IF(N(J366)=0,0,IF(N(I366)&gt;0,I366*(1+J366/30),J366)),IF(N(L366)=0,0,IF(N(K366)&gt;0,K366*(1+L366/30),L366)),IF(N(N366)=0,0,IF(N(M366)&gt;0,M366*(1+N366/30),N366))))</f>
        <v/>
      </c>
      <c r="Y366">
        <f>IF(N(X366)=0,"",X366+ROW()/1000000000)</f>
        <v/>
      </c>
      <c r="Z366">
        <f>IF(Y366="","",IF(COUNTIFS(Log!$D$6:$D$1505,D366,Log!$Y$6:$Y$1505,"&gt;"&amp;Y366)=0,1,0))</f>
        <v/>
      </c>
      <c r="AA366">
        <f>IF(OR(B366="",D366=""),"",B366+ROW()/10000000)</f>
        <v/>
      </c>
      <c r="AB366">
        <f>IF(AA366="","",IF(COUNTIFS(Log!$D$6:$D$1505,D366,Log!$AA$6:$AA$1505,"&gt;"&amp;AA366)=0,1,0))</f>
        <v/>
      </c>
      <c r="AC366">
        <f>IF(S366="New best",AA366,"")</f>
        <v/>
      </c>
      <c r="AD366">
        <f>ROW()</f>
        <v/>
      </c>
    </row>
    <row r="367">
      <c r="A367" s="1" t="n"/>
      <c r="B367" s="21" t="n"/>
      <c r="C367" s="22" t="n"/>
      <c r="D367" s="23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15">
        <f>IF(D367="","",COUNT(F367,H367,J367,L367,N367))</f>
        <v/>
      </c>
      <c r="P367" s="25">
        <f>IF(D367="","",N(E367)*N(F367)+N(G367)*N(H367)+N(I367)*N(J367)+N(K367)*N(L367)+N(M367)*N(N367))</f>
        <v/>
      </c>
      <c r="Q367" s="18">
        <f>IF(N(X367)=0,"",IF(IF(N(F367)=0,0,IF(N(E367)&gt;0,E367*(1+F367/30),F367))=X367,IF(N(E367)&gt;0,E367&amp;" x "&amp;F367,F367&amp;" reps"),IF(IF(N(H367)=0,0,IF(N(G367)&gt;0,G367*(1+H367/30),H367))=X367,IF(N(G367)&gt;0,G367&amp;" x "&amp;H367,H367&amp;" reps"),IF(IF(N(J367)=0,0,IF(N(I367)&gt;0,I367*(1+J367/30),J367))=X367,IF(N(I367)&gt;0,I367&amp;" x "&amp;J367,J367&amp;" reps"),IF(IF(N(L367)=0,0,IF(N(K367)&gt;0,K367*(1+L367/30),L367))=X367,IF(N(K367)&gt;0,K367&amp;" x "&amp;L367,L367&amp;" reps"),IF(IF(N(N367)=0,0,IF(N(M367)&gt;0,M367*(1+N367/30),N367))=X367,IF(N(M367)&gt;0,M367&amp;" x "&amp;N367,N367&amp;" reps"),""))))))</f>
        <v/>
      </c>
      <c r="R367" s="20">
        <f>IF(N(X367)=0,"",ROUND(X367,1))</f>
        <v/>
      </c>
      <c r="S367" s="18">
        <f>IF(N(X367)=0,"",IF(AND(COUNTIFS(Log!$D$6:$D$1505,D367,Log!$B$6:$B$1505,"&lt;"&amp;B367)&gt;0,COUNTIFS(Log!$D$6:$D$1505,D367,Log!$B$6:$B$1505,"&lt;"&amp;B367,Log!$X$6:$X$1505,"&gt;="&amp;X367)=0),"New best",""))</f>
        <v/>
      </c>
      <c r="T367" s="26" t="n"/>
      <c r="U367" s="1">
        <f>IF(D367="","",IFERROR(INDEX(Exercises!$C$6:$C$105,MATCH(D367,Exercises!$B$6:$B$105,0)),"Other"))</f>
        <v/>
      </c>
      <c r="V367">
        <f>IF(B367="","",IF(COUNTIF($B$6:B367,B367)=1,1,0))</f>
        <v/>
      </c>
      <c r="W367">
        <f>IF(B367="","",B367-WEEKDAY(B367,3))</f>
        <v/>
      </c>
      <c r="X367">
        <f>IF(D367="","",MAX(IF(N(F367)=0,0,IF(N(E367)&gt;0,E367*(1+F367/30),F367)),IF(N(H367)=0,0,IF(N(G367)&gt;0,G367*(1+H367/30),H367)),IF(N(J367)=0,0,IF(N(I367)&gt;0,I367*(1+J367/30),J367)),IF(N(L367)=0,0,IF(N(K367)&gt;0,K367*(1+L367/30),L367)),IF(N(N367)=0,0,IF(N(M367)&gt;0,M367*(1+N367/30),N367))))</f>
        <v/>
      </c>
      <c r="Y367">
        <f>IF(N(X367)=0,"",X367+ROW()/1000000000)</f>
        <v/>
      </c>
      <c r="Z367">
        <f>IF(Y367="","",IF(COUNTIFS(Log!$D$6:$D$1505,D367,Log!$Y$6:$Y$1505,"&gt;"&amp;Y367)=0,1,0))</f>
        <v/>
      </c>
      <c r="AA367">
        <f>IF(OR(B367="",D367=""),"",B367+ROW()/10000000)</f>
        <v/>
      </c>
      <c r="AB367">
        <f>IF(AA367="","",IF(COUNTIFS(Log!$D$6:$D$1505,D367,Log!$AA$6:$AA$1505,"&gt;"&amp;AA367)=0,1,0))</f>
        <v/>
      </c>
      <c r="AC367">
        <f>IF(S367="New best",AA367,"")</f>
        <v/>
      </c>
      <c r="AD367">
        <f>ROW()</f>
        <v/>
      </c>
    </row>
    <row r="368">
      <c r="A368" s="1" t="n"/>
      <c r="B368" s="21" t="n"/>
      <c r="C368" s="22" t="n"/>
      <c r="D368" s="23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15">
        <f>IF(D368="","",COUNT(F368,H368,J368,L368,N368))</f>
        <v/>
      </c>
      <c r="P368" s="25">
        <f>IF(D368="","",N(E368)*N(F368)+N(G368)*N(H368)+N(I368)*N(J368)+N(K368)*N(L368)+N(M368)*N(N368))</f>
        <v/>
      </c>
      <c r="Q368" s="18">
        <f>IF(N(X368)=0,"",IF(IF(N(F368)=0,0,IF(N(E368)&gt;0,E368*(1+F368/30),F368))=X368,IF(N(E368)&gt;0,E368&amp;" x "&amp;F368,F368&amp;" reps"),IF(IF(N(H368)=0,0,IF(N(G368)&gt;0,G368*(1+H368/30),H368))=X368,IF(N(G368)&gt;0,G368&amp;" x "&amp;H368,H368&amp;" reps"),IF(IF(N(J368)=0,0,IF(N(I368)&gt;0,I368*(1+J368/30),J368))=X368,IF(N(I368)&gt;0,I368&amp;" x "&amp;J368,J368&amp;" reps"),IF(IF(N(L368)=0,0,IF(N(K368)&gt;0,K368*(1+L368/30),L368))=X368,IF(N(K368)&gt;0,K368&amp;" x "&amp;L368,L368&amp;" reps"),IF(IF(N(N368)=0,0,IF(N(M368)&gt;0,M368*(1+N368/30),N368))=X368,IF(N(M368)&gt;0,M368&amp;" x "&amp;N368,N368&amp;" reps"),""))))))</f>
        <v/>
      </c>
      <c r="R368" s="20">
        <f>IF(N(X368)=0,"",ROUND(X368,1))</f>
        <v/>
      </c>
      <c r="S368" s="18">
        <f>IF(N(X368)=0,"",IF(AND(COUNTIFS(Log!$D$6:$D$1505,D368,Log!$B$6:$B$1505,"&lt;"&amp;B368)&gt;0,COUNTIFS(Log!$D$6:$D$1505,D368,Log!$B$6:$B$1505,"&lt;"&amp;B368,Log!$X$6:$X$1505,"&gt;="&amp;X368)=0),"New best",""))</f>
        <v/>
      </c>
      <c r="T368" s="26" t="n"/>
      <c r="U368" s="1">
        <f>IF(D368="","",IFERROR(INDEX(Exercises!$C$6:$C$105,MATCH(D368,Exercises!$B$6:$B$105,0)),"Other"))</f>
        <v/>
      </c>
      <c r="V368">
        <f>IF(B368="","",IF(COUNTIF($B$6:B368,B368)=1,1,0))</f>
        <v/>
      </c>
      <c r="W368">
        <f>IF(B368="","",B368-WEEKDAY(B368,3))</f>
        <v/>
      </c>
      <c r="X368">
        <f>IF(D368="","",MAX(IF(N(F368)=0,0,IF(N(E368)&gt;0,E368*(1+F368/30),F368)),IF(N(H368)=0,0,IF(N(G368)&gt;0,G368*(1+H368/30),H368)),IF(N(J368)=0,0,IF(N(I368)&gt;0,I368*(1+J368/30),J368)),IF(N(L368)=0,0,IF(N(K368)&gt;0,K368*(1+L368/30),L368)),IF(N(N368)=0,0,IF(N(M368)&gt;0,M368*(1+N368/30),N368))))</f>
        <v/>
      </c>
      <c r="Y368">
        <f>IF(N(X368)=0,"",X368+ROW()/1000000000)</f>
        <v/>
      </c>
      <c r="Z368">
        <f>IF(Y368="","",IF(COUNTIFS(Log!$D$6:$D$1505,D368,Log!$Y$6:$Y$1505,"&gt;"&amp;Y368)=0,1,0))</f>
        <v/>
      </c>
      <c r="AA368">
        <f>IF(OR(B368="",D368=""),"",B368+ROW()/10000000)</f>
        <v/>
      </c>
      <c r="AB368">
        <f>IF(AA368="","",IF(COUNTIFS(Log!$D$6:$D$1505,D368,Log!$AA$6:$AA$1505,"&gt;"&amp;AA368)=0,1,0))</f>
        <v/>
      </c>
      <c r="AC368">
        <f>IF(S368="New best",AA368,"")</f>
        <v/>
      </c>
      <c r="AD368">
        <f>ROW()</f>
        <v/>
      </c>
    </row>
    <row r="369">
      <c r="A369" s="1" t="n"/>
      <c r="B369" s="21" t="n"/>
      <c r="C369" s="22" t="n"/>
      <c r="D369" s="23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15">
        <f>IF(D369="","",COUNT(F369,H369,J369,L369,N369))</f>
        <v/>
      </c>
      <c r="P369" s="25">
        <f>IF(D369="","",N(E369)*N(F369)+N(G369)*N(H369)+N(I369)*N(J369)+N(K369)*N(L369)+N(M369)*N(N369))</f>
        <v/>
      </c>
      <c r="Q369" s="18">
        <f>IF(N(X369)=0,"",IF(IF(N(F369)=0,0,IF(N(E369)&gt;0,E369*(1+F369/30),F369))=X369,IF(N(E369)&gt;0,E369&amp;" x "&amp;F369,F369&amp;" reps"),IF(IF(N(H369)=0,0,IF(N(G369)&gt;0,G369*(1+H369/30),H369))=X369,IF(N(G369)&gt;0,G369&amp;" x "&amp;H369,H369&amp;" reps"),IF(IF(N(J369)=0,0,IF(N(I369)&gt;0,I369*(1+J369/30),J369))=X369,IF(N(I369)&gt;0,I369&amp;" x "&amp;J369,J369&amp;" reps"),IF(IF(N(L369)=0,0,IF(N(K369)&gt;0,K369*(1+L369/30),L369))=X369,IF(N(K369)&gt;0,K369&amp;" x "&amp;L369,L369&amp;" reps"),IF(IF(N(N369)=0,0,IF(N(M369)&gt;0,M369*(1+N369/30),N369))=X369,IF(N(M369)&gt;0,M369&amp;" x "&amp;N369,N369&amp;" reps"),""))))))</f>
        <v/>
      </c>
      <c r="R369" s="20">
        <f>IF(N(X369)=0,"",ROUND(X369,1))</f>
        <v/>
      </c>
      <c r="S369" s="18">
        <f>IF(N(X369)=0,"",IF(AND(COUNTIFS(Log!$D$6:$D$1505,D369,Log!$B$6:$B$1505,"&lt;"&amp;B369)&gt;0,COUNTIFS(Log!$D$6:$D$1505,D369,Log!$B$6:$B$1505,"&lt;"&amp;B369,Log!$X$6:$X$1505,"&gt;="&amp;X369)=0),"New best",""))</f>
        <v/>
      </c>
      <c r="T369" s="26" t="n"/>
      <c r="U369" s="1">
        <f>IF(D369="","",IFERROR(INDEX(Exercises!$C$6:$C$105,MATCH(D369,Exercises!$B$6:$B$105,0)),"Other"))</f>
        <v/>
      </c>
      <c r="V369">
        <f>IF(B369="","",IF(COUNTIF($B$6:B369,B369)=1,1,0))</f>
        <v/>
      </c>
      <c r="W369">
        <f>IF(B369="","",B369-WEEKDAY(B369,3))</f>
        <v/>
      </c>
      <c r="X369">
        <f>IF(D369="","",MAX(IF(N(F369)=0,0,IF(N(E369)&gt;0,E369*(1+F369/30),F369)),IF(N(H369)=0,0,IF(N(G369)&gt;0,G369*(1+H369/30),H369)),IF(N(J369)=0,0,IF(N(I369)&gt;0,I369*(1+J369/30),J369)),IF(N(L369)=0,0,IF(N(K369)&gt;0,K369*(1+L369/30),L369)),IF(N(N369)=0,0,IF(N(M369)&gt;0,M369*(1+N369/30),N369))))</f>
        <v/>
      </c>
      <c r="Y369">
        <f>IF(N(X369)=0,"",X369+ROW()/1000000000)</f>
        <v/>
      </c>
      <c r="Z369">
        <f>IF(Y369="","",IF(COUNTIFS(Log!$D$6:$D$1505,D369,Log!$Y$6:$Y$1505,"&gt;"&amp;Y369)=0,1,0))</f>
        <v/>
      </c>
      <c r="AA369">
        <f>IF(OR(B369="",D369=""),"",B369+ROW()/10000000)</f>
        <v/>
      </c>
      <c r="AB369">
        <f>IF(AA369="","",IF(COUNTIFS(Log!$D$6:$D$1505,D369,Log!$AA$6:$AA$1505,"&gt;"&amp;AA369)=0,1,0))</f>
        <v/>
      </c>
      <c r="AC369">
        <f>IF(S369="New best",AA369,"")</f>
        <v/>
      </c>
      <c r="AD369">
        <f>ROW()</f>
        <v/>
      </c>
    </row>
    <row r="370">
      <c r="A370" s="1" t="n"/>
      <c r="B370" s="21" t="n"/>
      <c r="C370" s="22" t="n"/>
      <c r="D370" s="23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15">
        <f>IF(D370="","",COUNT(F370,H370,J370,L370,N370))</f>
        <v/>
      </c>
      <c r="P370" s="25">
        <f>IF(D370="","",N(E370)*N(F370)+N(G370)*N(H370)+N(I370)*N(J370)+N(K370)*N(L370)+N(M370)*N(N370))</f>
        <v/>
      </c>
      <c r="Q370" s="18">
        <f>IF(N(X370)=0,"",IF(IF(N(F370)=0,0,IF(N(E370)&gt;0,E370*(1+F370/30),F370))=X370,IF(N(E370)&gt;0,E370&amp;" x "&amp;F370,F370&amp;" reps"),IF(IF(N(H370)=0,0,IF(N(G370)&gt;0,G370*(1+H370/30),H370))=X370,IF(N(G370)&gt;0,G370&amp;" x "&amp;H370,H370&amp;" reps"),IF(IF(N(J370)=0,0,IF(N(I370)&gt;0,I370*(1+J370/30),J370))=X370,IF(N(I370)&gt;0,I370&amp;" x "&amp;J370,J370&amp;" reps"),IF(IF(N(L370)=0,0,IF(N(K370)&gt;0,K370*(1+L370/30),L370))=X370,IF(N(K370)&gt;0,K370&amp;" x "&amp;L370,L370&amp;" reps"),IF(IF(N(N370)=0,0,IF(N(M370)&gt;0,M370*(1+N370/30),N370))=X370,IF(N(M370)&gt;0,M370&amp;" x "&amp;N370,N370&amp;" reps"),""))))))</f>
        <v/>
      </c>
      <c r="R370" s="20">
        <f>IF(N(X370)=0,"",ROUND(X370,1))</f>
        <v/>
      </c>
      <c r="S370" s="18">
        <f>IF(N(X370)=0,"",IF(AND(COUNTIFS(Log!$D$6:$D$1505,D370,Log!$B$6:$B$1505,"&lt;"&amp;B370)&gt;0,COUNTIFS(Log!$D$6:$D$1505,D370,Log!$B$6:$B$1505,"&lt;"&amp;B370,Log!$X$6:$X$1505,"&gt;="&amp;X370)=0),"New best",""))</f>
        <v/>
      </c>
      <c r="T370" s="26" t="n"/>
      <c r="U370" s="1">
        <f>IF(D370="","",IFERROR(INDEX(Exercises!$C$6:$C$105,MATCH(D370,Exercises!$B$6:$B$105,0)),"Other"))</f>
        <v/>
      </c>
      <c r="V370">
        <f>IF(B370="","",IF(COUNTIF($B$6:B370,B370)=1,1,0))</f>
        <v/>
      </c>
      <c r="W370">
        <f>IF(B370="","",B370-WEEKDAY(B370,3))</f>
        <v/>
      </c>
      <c r="X370">
        <f>IF(D370="","",MAX(IF(N(F370)=0,0,IF(N(E370)&gt;0,E370*(1+F370/30),F370)),IF(N(H370)=0,0,IF(N(G370)&gt;0,G370*(1+H370/30),H370)),IF(N(J370)=0,0,IF(N(I370)&gt;0,I370*(1+J370/30),J370)),IF(N(L370)=0,0,IF(N(K370)&gt;0,K370*(1+L370/30),L370)),IF(N(N370)=0,0,IF(N(M370)&gt;0,M370*(1+N370/30),N370))))</f>
        <v/>
      </c>
      <c r="Y370">
        <f>IF(N(X370)=0,"",X370+ROW()/1000000000)</f>
        <v/>
      </c>
      <c r="Z370">
        <f>IF(Y370="","",IF(COUNTIFS(Log!$D$6:$D$1505,D370,Log!$Y$6:$Y$1505,"&gt;"&amp;Y370)=0,1,0))</f>
        <v/>
      </c>
      <c r="AA370">
        <f>IF(OR(B370="",D370=""),"",B370+ROW()/10000000)</f>
        <v/>
      </c>
      <c r="AB370">
        <f>IF(AA370="","",IF(COUNTIFS(Log!$D$6:$D$1505,D370,Log!$AA$6:$AA$1505,"&gt;"&amp;AA370)=0,1,0))</f>
        <v/>
      </c>
      <c r="AC370">
        <f>IF(S370="New best",AA370,"")</f>
        <v/>
      </c>
      <c r="AD370">
        <f>ROW()</f>
        <v/>
      </c>
    </row>
    <row r="371">
      <c r="A371" s="1" t="n"/>
      <c r="B371" s="21" t="n"/>
      <c r="C371" s="22" t="n"/>
      <c r="D371" s="23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15">
        <f>IF(D371="","",COUNT(F371,H371,J371,L371,N371))</f>
        <v/>
      </c>
      <c r="P371" s="25">
        <f>IF(D371="","",N(E371)*N(F371)+N(G371)*N(H371)+N(I371)*N(J371)+N(K371)*N(L371)+N(M371)*N(N371))</f>
        <v/>
      </c>
      <c r="Q371" s="18">
        <f>IF(N(X371)=0,"",IF(IF(N(F371)=0,0,IF(N(E371)&gt;0,E371*(1+F371/30),F371))=X371,IF(N(E371)&gt;0,E371&amp;" x "&amp;F371,F371&amp;" reps"),IF(IF(N(H371)=0,0,IF(N(G371)&gt;0,G371*(1+H371/30),H371))=X371,IF(N(G371)&gt;0,G371&amp;" x "&amp;H371,H371&amp;" reps"),IF(IF(N(J371)=0,0,IF(N(I371)&gt;0,I371*(1+J371/30),J371))=X371,IF(N(I371)&gt;0,I371&amp;" x "&amp;J371,J371&amp;" reps"),IF(IF(N(L371)=0,0,IF(N(K371)&gt;0,K371*(1+L371/30),L371))=X371,IF(N(K371)&gt;0,K371&amp;" x "&amp;L371,L371&amp;" reps"),IF(IF(N(N371)=0,0,IF(N(M371)&gt;0,M371*(1+N371/30),N371))=X371,IF(N(M371)&gt;0,M371&amp;" x "&amp;N371,N371&amp;" reps"),""))))))</f>
        <v/>
      </c>
      <c r="R371" s="20">
        <f>IF(N(X371)=0,"",ROUND(X371,1))</f>
        <v/>
      </c>
      <c r="S371" s="18">
        <f>IF(N(X371)=0,"",IF(AND(COUNTIFS(Log!$D$6:$D$1505,D371,Log!$B$6:$B$1505,"&lt;"&amp;B371)&gt;0,COUNTIFS(Log!$D$6:$D$1505,D371,Log!$B$6:$B$1505,"&lt;"&amp;B371,Log!$X$6:$X$1505,"&gt;="&amp;X371)=0),"New best",""))</f>
        <v/>
      </c>
      <c r="T371" s="26" t="n"/>
      <c r="U371" s="1">
        <f>IF(D371="","",IFERROR(INDEX(Exercises!$C$6:$C$105,MATCH(D371,Exercises!$B$6:$B$105,0)),"Other"))</f>
        <v/>
      </c>
      <c r="V371">
        <f>IF(B371="","",IF(COUNTIF($B$6:B371,B371)=1,1,0))</f>
        <v/>
      </c>
      <c r="W371">
        <f>IF(B371="","",B371-WEEKDAY(B371,3))</f>
        <v/>
      </c>
      <c r="X371">
        <f>IF(D371="","",MAX(IF(N(F371)=0,0,IF(N(E371)&gt;0,E371*(1+F371/30),F371)),IF(N(H371)=0,0,IF(N(G371)&gt;0,G371*(1+H371/30),H371)),IF(N(J371)=0,0,IF(N(I371)&gt;0,I371*(1+J371/30),J371)),IF(N(L371)=0,0,IF(N(K371)&gt;0,K371*(1+L371/30),L371)),IF(N(N371)=0,0,IF(N(M371)&gt;0,M371*(1+N371/30),N371))))</f>
        <v/>
      </c>
      <c r="Y371">
        <f>IF(N(X371)=0,"",X371+ROW()/1000000000)</f>
        <v/>
      </c>
      <c r="Z371">
        <f>IF(Y371="","",IF(COUNTIFS(Log!$D$6:$D$1505,D371,Log!$Y$6:$Y$1505,"&gt;"&amp;Y371)=0,1,0))</f>
        <v/>
      </c>
      <c r="AA371">
        <f>IF(OR(B371="",D371=""),"",B371+ROW()/10000000)</f>
        <v/>
      </c>
      <c r="AB371">
        <f>IF(AA371="","",IF(COUNTIFS(Log!$D$6:$D$1505,D371,Log!$AA$6:$AA$1505,"&gt;"&amp;AA371)=0,1,0))</f>
        <v/>
      </c>
      <c r="AC371">
        <f>IF(S371="New best",AA371,"")</f>
        <v/>
      </c>
      <c r="AD371">
        <f>ROW()</f>
        <v/>
      </c>
    </row>
    <row r="372">
      <c r="A372" s="1" t="n"/>
      <c r="B372" s="21" t="n"/>
      <c r="C372" s="22" t="n"/>
      <c r="D372" s="23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15">
        <f>IF(D372="","",COUNT(F372,H372,J372,L372,N372))</f>
        <v/>
      </c>
      <c r="P372" s="25">
        <f>IF(D372="","",N(E372)*N(F372)+N(G372)*N(H372)+N(I372)*N(J372)+N(K372)*N(L372)+N(M372)*N(N372))</f>
        <v/>
      </c>
      <c r="Q372" s="18">
        <f>IF(N(X372)=0,"",IF(IF(N(F372)=0,0,IF(N(E372)&gt;0,E372*(1+F372/30),F372))=X372,IF(N(E372)&gt;0,E372&amp;" x "&amp;F372,F372&amp;" reps"),IF(IF(N(H372)=0,0,IF(N(G372)&gt;0,G372*(1+H372/30),H372))=X372,IF(N(G372)&gt;0,G372&amp;" x "&amp;H372,H372&amp;" reps"),IF(IF(N(J372)=0,0,IF(N(I372)&gt;0,I372*(1+J372/30),J372))=X372,IF(N(I372)&gt;0,I372&amp;" x "&amp;J372,J372&amp;" reps"),IF(IF(N(L372)=0,0,IF(N(K372)&gt;0,K372*(1+L372/30),L372))=X372,IF(N(K372)&gt;0,K372&amp;" x "&amp;L372,L372&amp;" reps"),IF(IF(N(N372)=0,0,IF(N(M372)&gt;0,M372*(1+N372/30),N372))=X372,IF(N(M372)&gt;0,M372&amp;" x "&amp;N372,N372&amp;" reps"),""))))))</f>
        <v/>
      </c>
      <c r="R372" s="20">
        <f>IF(N(X372)=0,"",ROUND(X372,1))</f>
        <v/>
      </c>
      <c r="S372" s="18">
        <f>IF(N(X372)=0,"",IF(AND(COUNTIFS(Log!$D$6:$D$1505,D372,Log!$B$6:$B$1505,"&lt;"&amp;B372)&gt;0,COUNTIFS(Log!$D$6:$D$1505,D372,Log!$B$6:$B$1505,"&lt;"&amp;B372,Log!$X$6:$X$1505,"&gt;="&amp;X372)=0),"New best",""))</f>
        <v/>
      </c>
      <c r="T372" s="26" t="n"/>
      <c r="U372" s="1">
        <f>IF(D372="","",IFERROR(INDEX(Exercises!$C$6:$C$105,MATCH(D372,Exercises!$B$6:$B$105,0)),"Other"))</f>
        <v/>
      </c>
      <c r="V372">
        <f>IF(B372="","",IF(COUNTIF($B$6:B372,B372)=1,1,0))</f>
        <v/>
      </c>
      <c r="W372">
        <f>IF(B372="","",B372-WEEKDAY(B372,3))</f>
        <v/>
      </c>
      <c r="X372">
        <f>IF(D372="","",MAX(IF(N(F372)=0,0,IF(N(E372)&gt;0,E372*(1+F372/30),F372)),IF(N(H372)=0,0,IF(N(G372)&gt;0,G372*(1+H372/30),H372)),IF(N(J372)=0,0,IF(N(I372)&gt;0,I372*(1+J372/30),J372)),IF(N(L372)=0,0,IF(N(K372)&gt;0,K372*(1+L372/30),L372)),IF(N(N372)=0,0,IF(N(M372)&gt;0,M372*(1+N372/30),N372))))</f>
        <v/>
      </c>
      <c r="Y372">
        <f>IF(N(X372)=0,"",X372+ROW()/1000000000)</f>
        <v/>
      </c>
      <c r="Z372">
        <f>IF(Y372="","",IF(COUNTIFS(Log!$D$6:$D$1505,D372,Log!$Y$6:$Y$1505,"&gt;"&amp;Y372)=0,1,0))</f>
        <v/>
      </c>
      <c r="AA372">
        <f>IF(OR(B372="",D372=""),"",B372+ROW()/10000000)</f>
        <v/>
      </c>
      <c r="AB372">
        <f>IF(AA372="","",IF(COUNTIFS(Log!$D$6:$D$1505,D372,Log!$AA$6:$AA$1505,"&gt;"&amp;AA372)=0,1,0))</f>
        <v/>
      </c>
      <c r="AC372">
        <f>IF(S372="New best",AA372,"")</f>
        <v/>
      </c>
      <c r="AD372">
        <f>ROW()</f>
        <v/>
      </c>
    </row>
    <row r="373">
      <c r="A373" s="1" t="n"/>
      <c r="B373" s="21" t="n"/>
      <c r="C373" s="22" t="n"/>
      <c r="D373" s="23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15">
        <f>IF(D373="","",COUNT(F373,H373,J373,L373,N373))</f>
        <v/>
      </c>
      <c r="P373" s="25">
        <f>IF(D373="","",N(E373)*N(F373)+N(G373)*N(H373)+N(I373)*N(J373)+N(K373)*N(L373)+N(M373)*N(N373))</f>
        <v/>
      </c>
      <c r="Q373" s="18">
        <f>IF(N(X373)=0,"",IF(IF(N(F373)=0,0,IF(N(E373)&gt;0,E373*(1+F373/30),F373))=X373,IF(N(E373)&gt;0,E373&amp;" x "&amp;F373,F373&amp;" reps"),IF(IF(N(H373)=0,0,IF(N(G373)&gt;0,G373*(1+H373/30),H373))=X373,IF(N(G373)&gt;0,G373&amp;" x "&amp;H373,H373&amp;" reps"),IF(IF(N(J373)=0,0,IF(N(I373)&gt;0,I373*(1+J373/30),J373))=X373,IF(N(I373)&gt;0,I373&amp;" x "&amp;J373,J373&amp;" reps"),IF(IF(N(L373)=0,0,IF(N(K373)&gt;0,K373*(1+L373/30),L373))=X373,IF(N(K373)&gt;0,K373&amp;" x "&amp;L373,L373&amp;" reps"),IF(IF(N(N373)=0,0,IF(N(M373)&gt;0,M373*(1+N373/30),N373))=X373,IF(N(M373)&gt;0,M373&amp;" x "&amp;N373,N373&amp;" reps"),""))))))</f>
        <v/>
      </c>
      <c r="R373" s="20">
        <f>IF(N(X373)=0,"",ROUND(X373,1))</f>
        <v/>
      </c>
      <c r="S373" s="18">
        <f>IF(N(X373)=0,"",IF(AND(COUNTIFS(Log!$D$6:$D$1505,D373,Log!$B$6:$B$1505,"&lt;"&amp;B373)&gt;0,COUNTIFS(Log!$D$6:$D$1505,D373,Log!$B$6:$B$1505,"&lt;"&amp;B373,Log!$X$6:$X$1505,"&gt;="&amp;X373)=0),"New best",""))</f>
        <v/>
      </c>
      <c r="T373" s="26" t="n"/>
      <c r="U373" s="1">
        <f>IF(D373="","",IFERROR(INDEX(Exercises!$C$6:$C$105,MATCH(D373,Exercises!$B$6:$B$105,0)),"Other"))</f>
        <v/>
      </c>
      <c r="V373">
        <f>IF(B373="","",IF(COUNTIF($B$6:B373,B373)=1,1,0))</f>
        <v/>
      </c>
      <c r="W373">
        <f>IF(B373="","",B373-WEEKDAY(B373,3))</f>
        <v/>
      </c>
      <c r="X373">
        <f>IF(D373="","",MAX(IF(N(F373)=0,0,IF(N(E373)&gt;0,E373*(1+F373/30),F373)),IF(N(H373)=0,0,IF(N(G373)&gt;0,G373*(1+H373/30),H373)),IF(N(J373)=0,0,IF(N(I373)&gt;0,I373*(1+J373/30),J373)),IF(N(L373)=0,0,IF(N(K373)&gt;0,K373*(1+L373/30),L373)),IF(N(N373)=0,0,IF(N(M373)&gt;0,M373*(1+N373/30),N373))))</f>
        <v/>
      </c>
      <c r="Y373">
        <f>IF(N(X373)=0,"",X373+ROW()/1000000000)</f>
        <v/>
      </c>
      <c r="Z373">
        <f>IF(Y373="","",IF(COUNTIFS(Log!$D$6:$D$1505,D373,Log!$Y$6:$Y$1505,"&gt;"&amp;Y373)=0,1,0))</f>
        <v/>
      </c>
      <c r="AA373">
        <f>IF(OR(B373="",D373=""),"",B373+ROW()/10000000)</f>
        <v/>
      </c>
      <c r="AB373">
        <f>IF(AA373="","",IF(COUNTIFS(Log!$D$6:$D$1505,D373,Log!$AA$6:$AA$1505,"&gt;"&amp;AA373)=0,1,0))</f>
        <v/>
      </c>
      <c r="AC373">
        <f>IF(S373="New best",AA373,"")</f>
        <v/>
      </c>
      <c r="AD373">
        <f>ROW()</f>
        <v/>
      </c>
    </row>
    <row r="374">
      <c r="A374" s="1" t="n"/>
      <c r="B374" s="21" t="n"/>
      <c r="C374" s="22" t="n"/>
      <c r="D374" s="23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15">
        <f>IF(D374="","",COUNT(F374,H374,J374,L374,N374))</f>
        <v/>
      </c>
      <c r="P374" s="25">
        <f>IF(D374="","",N(E374)*N(F374)+N(G374)*N(H374)+N(I374)*N(J374)+N(K374)*N(L374)+N(M374)*N(N374))</f>
        <v/>
      </c>
      <c r="Q374" s="18">
        <f>IF(N(X374)=0,"",IF(IF(N(F374)=0,0,IF(N(E374)&gt;0,E374*(1+F374/30),F374))=X374,IF(N(E374)&gt;0,E374&amp;" x "&amp;F374,F374&amp;" reps"),IF(IF(N(H374)=0,0,IF(N(G374)&gt;0,G374*(1+H374/30),H374))=X374,IF(N(G374)&gt;0,G374&amp;" x "&amp;H374,H374&amp;" reps"),IF(IF(N(J374)=0,0,IF(N(I374)&gt;0,I374*(1+J374/30),J374))=X374,IF(N(I374)&gt;0,I374&amp;" x "&amp;J374,J374&amp;" reps"),IF(IF(N(L374)=0,0,IF(N(K374)&gt;0,K374*(1+L374/30),L374))=X374,IF(N(K374)&gt;0,K374&amp;" x "&amp;L374,L374&amp;" reps"),IF(IF(N(N374)=0,0,IF(N(M374)&gt;0,M374*(1+N374/30),N374))=X374,IF(N(M374)&gt;0,M374&amp;" x "&amp;N374,N374&amp;" reps"),""))))))</f>
        <v/>
      </c>
      <c r="R374" s="20">
        <f>IF(N(X374)=0,"",ROUND(X374,1))</f>
        <v/>
      </c>
      <c r="S374" s="18">
        <f>IF(N(X374)=0,"",IF(AND(COUNTIFS(Log!$D$6:$D$1505,D374,Log!$B$6:$B$1505,"&lt;"&amp;B374)&gt;0,COUNTIFS(Log!$D$6:$D$1505,D374,Log!$B$6:$B$1505,"&lt;"&amp;B374,Log!$X$6:$X$1505,"&gt;="&amp;X374)=0),"New best",""))</f>
        <v/>
      </c>
      <c r="T374" s="26" t="n"/>
      <c r="U374" s="1">
        <f>IF(D374="","",IFERROR(INDEX(Exercises!$C$6:$C$105,MATCH(D374,Exercises!$B$6:$B$105,0)),"Other"))</f>
        <v/>
      </c>
      <c r="V374">
        <f>IF(B374="","",IF(COUNTIF($B$6:B374,B374)=1,1,0))</f>
        <v/>
      </c>
      <c r="W374">
        <f>IF(B374="","",B374-WEEKDAY(B374,3))</f>
        <v/>
      </c>
      <c r="X374">
        <f>IF(D374="","",MAX(IF(N(F374)=0,0,IF(N(E374)&gt;0,E374*(1+F374/30),F374)),IF(N(H374)=0,0,IF(N(G374)&gt;0,G374*(1+H374/30),H374)),IF(N(J374)=0,0,IF(N(I374)&gt;0,I374*(1+J374/30),J374)),IF(N(L374)=0,0,IF(N(K374)&gt;0,K374*(1+L374/30),L374)),IF(N(N374)=0,0,IF(N(M374)&gt;0,M374*(1+N374/30),N374))))</f>
        <v/>
      </c>
      <c r="Y374">
        <f>IF(N(X374)=0,"",X374+ROW()/1000000000)</f>
        <v/>
      </c>
      <c r="Z374">
        <f>IF(Y374="","",IF(COUNTIFS(Log!$D$6:$D$1505,D374,Log!$Y$6:$Y$1505,"&gt;"&amp;Y374)=0,1,0))</f>
        <v/>
      </c>
      <c r="AA374">
        <f>IF(OR(B374="",D374=""),"",B374+ROW()/10000000)</f>
        <v/>
      </c>
      <c r="AB374">
        <f>IF(AA374="","",IF(COUNTIFS(Log!$D$6:$D$1505,D374,Log!$AA$6:$AA$1505,"&gt;"&amp;AA374)=0,1,0))</f>
        <v/>
      </c>
      <c r="AC374">
        <f>IF(S374="New best",AA374,"")</f>
        <v/>
      </c>
      <c r="AD374">
        <f>ROW()</f>
        <v/>
      </c>
    </row>
    <row r="375">
      <c r="A375" s="1" t="n"/>
      <c r="B375" s="21" t="n"/>
      <c r="C375" s="22" t="n"/>
      <c r="D375" s="23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15">
        <f>IF(D375="","",COUNT(F375,H375,J375,L375,N375))</f>
        <v/>
      </c>
      <c r="P375" s="25">
        <f>IF(D375="","",N(E375)*N(F375)+N(G375)*N(H375)+N(I375)*N(J375)+N(K375)*N(L375)+N(M375)*N(N375))</f>
        <v/>
      </c>
      <c r="Q375" s="18">
        <f>IF(N(X375)=0,"",IF(IF(N(F375)=0,0,IF(N(E375)&gt;0,E375*(1+F375/30),F375))=X375,IF(N(E375)&gt;0,E375&amp;" x "&amp;F375,F375&amp;" reps"),IF(IF(N(H375)=0,0,IF(N(G375)&gt;0,G375*(1+H375/30),H375))=X375,IF(N(G375)&gt;0,G375&amp;" x "&amp;H375,H375&amp;" reps"),IF(IF(N(J375)=0,0,IF(N(I375)&gt;0,I375*(1+J375/30),J375))=X375,IF(N(I375)&gt;0,I375&amp;" x "&amp;J375,J375&amp;" reps"),IF(IF(N(L375)=0,0,IF(N(K375)&gt;0,K375*(1+L375/30),L375))=X375,IF(N(K375)&gt;0,K375&amp;" x "&amp;L375,L375&amp;" reps"),IF(IF(N(N375)=0,0,IF(N(M375)&gt;0,M375*(1+N375/30),N375))=X375,IF(N(M375)&gt;0,M375&amp;" x "&amp;N375,N375&amp;" reps"),""))))))</f>
        <v/>
      </c>
      <c r="R375" s="20">
        <f>IF(N(X375)=0,"",ROUND(X375,1))</f>
        <v/>
      </c>
      <c r="S375" s="18">
        <f>IF(N(X375)=0,"",IF(AND(COUNTIFS(Log!$D$6:$D$1505,D375,Log!$B$6:$B$1505,"&lt;"&amp;B375)&gt;0,COUNTIFS(Log!$D$6:$D$1505,D375,Log!$B$6:$B$1505,"&lt;"&amp;B375,Log!$X$6:$X$1505,"&gt;="&amp;X375)=0),"New best",""))</f>
        <v/>
      </c>
      <c r="T375" s="26" t="n"/>
      <c r="U375" s="1">
        <f>IF(D375="","",IFERROR(INDEX(Exercises!$C$6:$C$105,MATCH(D375,Exercises!$B$6:$B$105,0)),"Other"))</f>
        <v/>
      </c>
      <c r="V375">
        <f>IF(B375="","",IF(COUNTIF($B$6:B375,B375)=1,1,0))</f>
        <v/>
      </c>
      <c r="W375">
        <f>IF(B375="","",B375-WEEKDAY(B375,3))</f>
        <v/>
      </c>
      <c r="X375">
        <f>IF(D375="","",MAX(IF(N(F375)=0,0,IF(N(E375)&gt;0,E375*(1+F375/30),F375)),IF(N(H375)=0,0,IF(N(G375)&gt;0,G375*(1+H375/30),H375)),IF(N(J375)=0,0,IF(N(I375)&gt;0,I375*(1+J375/30),J375)),IF(N(L375)=0,0,IF(N(K375)&gt;0,K375*(1+L375/30),L375)),IF(N(N375)=0,0,IF(N(M375)&gt;0,M375*(1+N375/30),N375))))</f>
        <v/>
      </c>
      <c r="Y375">
        <f>IF(N(X375)=0,"",X375+ROW()/1000000000)</f>
        <v/>
      </c>
      <c r="Z375">
        <f>IF(Y375="","",IF(COUNTIFS(Log!$D$6:$D$1505,D375,Log!$Y$6:$Y$1505,"&gt;"&amp;Y375)=0,1,0))</f>
        <v/>
      </c>
      <c r="AA375">
        <f>IF(OR(B375="",D375=""),"",B375+ROW()/10000000)</f>
        <v/>
      </c>
      <c r="AB375">
        <f>IF(AA375="","",IF(COUNTIFS(Log!$D$6:$D$1505,D375,Log!$AA$6:$AA$1505,"&gt;"&amp;AA375)=0,1,0))</f>
        <v/>
      </c>
      <c r="AC375">
        <f>IF(S375="New best",AA375,"")</f>
        <v/>
      </c>
      <c r="AD375">
        <f>ROW()</f>
        <v/>
      </c>
    </row>
    <row r="376">
      <c r="A376" s="1" t="n"/>
      <c r="B376" s="21" t="n"/>
      <c r="C376" s="22" t="n"/>
      <c r="D376" s="23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15">
        <f>IF(D376="","",COUNT(F376,H376,J376,L376,N376))</f>
        <v/>
      </c>
      <c r="P376" s="25">
        <f>IF(D376="","",N(E376)*N(F376)+N(G376)*N(H376)+N(I376)*N(J376)+N(K376)*N(L376)+N(M376)*N(N376))</f>
        <v/>
      </c>
      <c r="Q376" s="18">
        <f>IF(N(X376)=0,"",IF(IF(N(F376)=0,0,IF(N(E376)&gt;0,E376*(1+F376/30),F376))=X376,IF(N(E376)&gt;0,E376&amp;" x "&amp;F376,F376&amp;" reps"),IF(IF(N(H376)=0,0,IF(N(G376)&gt;0,G376*(1+H376/30),H376))=X376,IF(N(G376)&gt;0,G376&amp;" x "&amp;H376,H376&amp;" reps"),IF(IF(N(J376)=0,0,IF(N(I376)&gt;0,I376*(1+J376/30),J376))=X376,IF(N(I376)&gt;0,I376&amp;" x "&amp;J376,J376&amp;" reps"),IF(IF(N(L376)=0,0,IF(N(K376)&gt;0,K376*(1+L376/30),L376))=X376,IF(N(K376)&gt;0,K376&amp;" x "&amp;L376,L376&amp;" reps"),IF(IF(N(N376)=0,0,IF(N(M376)&gt;0,M376*(1+N376/30),N376))=X376,IF(N(M376)&gt;0,M376&amp;" x "&amp;N376,N376&amp;" reps"),""))))))</f>
        <v/>
      </c>
      <c r="R376" s="20">
        <f>IF(N(X376)=0,"",ROUND(X376,1))</f>
        <v/>
      </c>
      <c r="S376" s="18">
        <f>IF(N(X376)=0,"",IF(AND(COUNTIFS(Log!$D$6:$D$1505,D376,Log!$B$6:$B$1505,"&lt;"&amp;B376)&gt;0,COUNTIFS(Log!$D$6:$D$1505,D376,Log!$B$6:$B$1505,"&lt;"&amp;B376,Log!$X$6:$X$1505,"&gt;="&amp;X376)=0),"New best",""))</f>
        <v/>
      </c>
      <c r="T376" s="26" t="n"/>
      <c r="U376" s="1">
        <f>IF(D376="","",IFERROR(INDEX(Exercises!$C$6:$C$105,MATCH(D376,Exercises!$B$6:$B$105,0)),"Other"))</f>
        <v/>
      </c>
      <c r="V376">
        <f>IF(B376="","",IF(COUNTIF($B$6:B376,B376)=1,1,0))</f>
        <v/>
      </c>
      <c r="W376">
        <f>IF(B376="","",B376-WEEKDAY(B376,3))</f>
        <v/>
      </c>
      <c r="X376">
        <f>IF(D376="","",MAX(IF(N(F376)=0,0,IF(N(E376)&gt;0,E376*(1+F376/30),F376)),IF(N(H376)=0,0,IF(N(G376)&gt;0,G376*(1+H376/30),H376)),IF(N(J376)=0,0,IF(N(I376)&gt;0,I376*(1+J376/30),J376)),IF(N(L376)=0,0,IF(N(K376)&gt;0,K376*(1+L376/30),L376)),IF(N(N376)=0,0,IF(N(M376)&gt;0,M376*(1+N376/30),N376))))</f>
        <v/>
      </c>
      <c r="Y376">
        <f>IF(N(X376)=0,"",X376+ROW()/1000000000)</f>
        <v/>
      </c>
      <c r="Z376">
        <f>IF(Y376="","",IF(COUNTIFS(Log!$D$6:$D$1505,D376,Log!$Y$6:$Y$1505,"&gt;"&amp;Y376)=0,1,0))</f>
        <v/>
      </c>
      <c r="AA376">
        <f>IF(OR(B376="",D376=""),"",B376+ROW()/10000000)</f>
        <v/>
      </c>
      <c r="AB376">
        <f>IF(AA376="","",IF(COUNTIFS(Log!$D$6:$D$1505,D376,Log!$AA$6:$AA$1505,"&gt;"&amp;AA376)=0,1,0))</f>
        <v/>
      </c>
      <c r="AC376">
        <f>IF(S376="New best",AA376,"")</f>
        <v/>
      </c>
      <c r="AD376">
        <f>ROW()</f>
        <v/>
      </c>
    </row>
    <row r="377">
      <c r="A377" s="1" t="n"/>
      <c r="B377" s="21" t="n"/>
      <c r="C377" s="22" t="n"/>
      <c r="D377" s="23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15">
        <f>IF(D377="","",COUNT(F377,H377,J377,L377,N377))</f>
        <v/>
      </c>
      <c r="P377" s="25">
        <f>IF(D377="","",N(E377)*N(F377)+N(G377)*N(H377)+N(I377)*N(J377)+N(K377)*N(L377)+N(M377)*N(N377))</f>
        <v/>
      </c>
      <c r="Q377" s="18">
        <f>IF(N(X377)=0,"",IF(IF(N(F377)=0,0,IF(N(E377)&gt;0,E377*(1+F377/30),F377))=X377,IF(N(E377)&gt;0,E377&amp;" x "&amp;F377,F377&amp;" reps"),IF(IF(N(H377)=0,0,IF(N(G377)&gt;0,G377*(1+H377/30),H377))=X377,IF(N(G377)&gt;0,G377&amp;" x "&amp;H377,H377&amp;" reps"),IF(IF(N(J377)=0,0,IF(N(I377)&gt;0,I377*(1+J377/30),J377))=X377,IF(N(I377)&gt;0,I377&amp;" x "&amp;J377,J377&amp;" reps"),IF(IF(N(L377)=0,0,IF(N(K377)&gt;0,K377*(1+L377/30),L377))=X377,IF(N(K377)&gt;0,K377&amp;" x "&amp;L377,L377&amp;" reps"),IF(IF(N(N377)=0,0,IF(N(M377)&gt;0,M377*(1+N377/30),N377))=X377,IF(N(M377)&gt;0,M377&amp;" x "&amp;N377,N377&amp;" reps"),""))))))</f>
        <v/>
      </c>
      <c r="R377" s="20">
        <f>IF(N(X377)=0,"",ROUND(X377,1))</f>
        <v/>
      </c>
      <c r="S377" s="18">
        <f>IF(N(X377)=0,"",IF(AND(COUNTIFS(Log!$D$6:$D$1505,D377,Log!$B$6:$B$1505,"&lt;"&amp;B377)&gt;0,COUNTIFS(Log!$D$6:$D$1505,D377,Log!$B$6:$B$1505,"&lt;"&amp;B377,Log!$X$6:$X$1505,"&gt;="&amp;X377)=0),"New best",""))</f>
        <v/>
      </c>
      <c r="T377" s="26" t="n"/>
      <c r="U377" s="1">
        <f>IF(D377="","",IFERROR(INDEX(Exercises!$C$6:$C$105,MATCH(D377,Exercises!$B$6:$B$105,0)),"Other"))</f>
        <v/>
      </c>
      <c r="V377">
        <f>IF(B377="","",IF(COUNTIF($B$6:B377,B377)=1,1,0))</f>
        <v/>
      </c>
      <c r="W377">
        <f>IF(B377="","",B377-WEEKDAY(B377,3))</f>
        <v/>
      </c>
      <c r="X377">
        <f>IF(D377="","",MAX(IF(N(F377)=0,0,IF(N(E377)&gt;0,E377*(1+F377/30),F377)),IF(N(H377)=0,0,IF(N(G377)&gt;0,G377*(1+H377/30),H377)),IF(N(J377)=0,0,IF(N(I377)&gt;0,I377*(1+J377/30),J377)),IF(N(L377)=0,0,IF(N(K377)&gt;0,K377*(1+L377/30),L377)),IF(N(N377)=0,0,IF(N(M377)&gt;0,M377*(1+N377/30),N377))))</f>
        <v/>
      </c>
      <c r="Y377">
        <f>IF(N(X377)=0,"",X377+ROW()/1000000000)</f>
        <v/>
      </c>
      <c r="Z377">
        <f>IF(Y377="","",IF(COUNTIFS(Log!$D$6:$D$1505,D377,Log!$Y$6:$Y$1505,"&gt;"&amp;Y377)=0,1,0))</f>
        <v/>
      </c>
      <c r="AA377">
        <f>IF(OR(B377="",D377=""),"",B377+ROW()/10000000)</f>
        <v/>
      </c>
      <c r="AB377">
        <f>IF(AA377="","",IF(COUNTIFS(Log!$D$6:$D$1505,D377,Log!$AA$6:$AA$1505,"&gt;"&amp;AA377)=0,1,0))</f>
        <v/>
      </c>
      <c r="AC377">
        <f>IF(S377="New best",AA377,"")</f>
        <v/>
      </c>
      <c r="AD377">
        <f>ROW()</f>
        <v/>
      </c>
    </row>
    <row r="378">
      <c r="A378" s="1" t="n"/>
      <c r="B378" s="21" t="n"/>
      <c r="C378" s="22" t="n"/>
      <c r="D378" s="23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15">
        <f>IF(D378="","",COUNT(F378,H378,J378,L378,N378))</f>
        <v/>
      </c>
      <c r="P378" s="25">
        <f>IF(D378="","",N(E378)*N(F378)+N(G378)*N(H378)+N(I378)*N(J378)+N(K378)*N(L378)+N(M378)*N(N378))</f>
        <v/>
      </c>
      <c r="Q378" s="18">
        <f>IF(N(X378)=0,"",IF(IF(N(F378)=0,0,IF(N(E378)&gt;0,E378*(1+F378/30),F378))=X378,IF(N(E378)&gt;0,E378&amp;" x "&amp;F378,F378&amp;" reps"),IF(IF(N(H378)=0,0,IF(N(G378)&gt;0,G378*(1+H378/30),H378))=X378,IF(N(G378)&gt;0,G378&amp;" x "&amp;H378,H378&amp;" reps"),IF(IF(N(J378)=0,0,IF(N(I378)&gt;0,I378*(1+J378/30),J378))=X378,IF(N(I378)&gt;0,I378&amp;" x "&amp;J378,J378&amp;" reps"),IF(IF(N(L378)=0,0,IF(N(K378)&gt;0,K378*(1+L378/30),L378))=X378,IF(N(K378)&gt;0,K378&amp;" x "&amp;L378,L378&amp;" reps"),IF(IF(N(N378)=0,0,IF(N(M378)&gt;0,M378*(1+N378/30),N378))=X378,IF(N(M378)&gt;0,M378&amp;" x "&amp;N378,N378&amp;" reps"),""))))))</f>
        <v/>
      </c>
      <c r="R378" s="20">
        <f>IF(N(X378)=0,"",ROUND(X378,1))</f>
        <v/>
      </c>
      <c r="S378" s="18">
        <f>IF(N(X378)=0,"",IF(AND(COUNTIFS(Log!$D$6:$D$1505,D378,Log!$B$6:$B$1505,"&lt;"&amp;B378)&gt;0,COUNTIFS(Log!$D$6:$D$1505,D378,Log!$B$6:$B$1505,"&lt;"&amp;B378,Log!$X$6:$X$1505,"&gt;="&amp;X378)=0),"New best",""))</f>
        <v/>
      </c>
      <c r="T378" s="26" t="n"/>
      <c r="U378" s="1">
        <f>IF(D378="","",IFERROR(INDEX(Exercises!$C$6:$C$105,MATCH(D378,Exercises!$B$6:$B$105,0)),"Other"))</f>
        <v/>
      </c>
      <c r="V378">
        <f>IF(B378="","",IF(COUNTIF($B$6:B378,B378)=1,1,0))</f>
        <v/>
      </c>
      <c r="W378">
        <f>IF(B378="","",B378-WEEKDAY(B378,3))</f>
        <v/>
      </c>
      <c r="X378">
        <f>IF(D378="","",MAX(IF(N(F378)=0,0,IF(N(E378)&gt;0,E378*(1+F378/30),F378)),IF(N(H378)=0,0,IF(N(G378)&gt;0,G378*(1+H378/30),H378)),IF(N(J378)=0,0,IF(N(I378)&gt;0,I378*(1+J378/30),J378)),IF(N(L378)=0,0,IF(N(K378)&gt;0,K378*(1+L378/30),L378)),IF(N(N378)=0,0,IF(N(M378)&gt;0,M378*(1+N378/30),N378))))</f>
        <v/>
      </c>
      <c r="Y378">
        <f>IF(N(X378)=0,"",X378+ROW()/1000000000)</f>
        <v/>
      </c>
      <c r="Z378">
        <f>IF(Y378="","",IF(COUNTIFS(Log!$D$6:$D$1505,D378,Log!$Y$6:$Y$1505,"&gt;"&amp;Y378)=0,1,0))</f>
        <v/>
      </c>
      <c r="AA378">
        <f>IF(OR(B378="",D378=""),"",B378+ROW()/10000000)</f>
        <v/>
      </c>
      <c r="AB378">
        <f>IF(AA378="","",IF(COUNTIFS(Log!$D$6:$D$1505,D378,Log!$AA$6:$AA$1505,"&gt;"&amp;AA378)=0,1,0))</f>
        <v/>
      </c>
      <c r="AC378">
        <f>IF(S378="New best",AA378,"")</f>
        <v/>
      </c>
      <c r="AD378">
        <f>ROW()</f>
        <v/>
      </c>
    </row>
    <row r="379">
      <c r="A379" s="1" t="n"/>
      <c r="B379" s="21" t="n"/>
      <c r="C379" s="22" t="n"/>
      <c r="D379" s="23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15">
        <f>IF(D379="","",COUNT(F379,H379,J379,L379,N379))</f>
        <v/>
      </c>
      <c r="P379" s="25">
        <f>IF(D379="","",N(E379)*N(F379)+N(G379)*N(H379)+N(I379)*N(J379)+N(K379)*N(L379)+N(M379)*N(N379))</f>
        <v/>
      </c>
      <c r="Q379" s="18">
        <f>IF(N(X379)=0,"",IF(IF(N(F379)=0,0,IF(N(E379)&gt;0,E379*(1+F379/30),F379))=X379,IF(N(E379)&gt;0,E379&amp;" x "&amp;F379,F379&amp;" reps"),IF(IF(N(H379)=0,0,IF(N(G379)&gt;0,G379*(1+H379/30),H379))=X379,IF(N(G379)&gt;0,G379&amp;" x "&amp;H379,H379&amp;" reps"),IF(IF(N(J379)=0,0,IF(N(I379)&gt;0,I379*(1+J379/30),J379))=X379,IF(N(I379)&gt;0,I379&amp;" x "&amp;J379,J379&amp;" reps"),IF(IF(N(L379)=0,0,IF(N(K379)&gt;0,K379*(1+L379/30),L379))=X379,IF(N(K379)&gt;0,K379&amp;" x "&amp;L379,L379&amp;" reps"),IF(IF(N(N379)=0,0,IF(N(M379)&gt;0,M379*(1+N379/30),N379))=X379,IF(N(M379)&gt;0,M379&amp;" x "&amp;N379,N379&amp;" reps"),""))))))</f>
        <v/>
      </c>
      <c r="R379" s="20">
        <f>IF(N(X379)=0,"",ROUND(X379,1))</f>
        <v/>
      </c>
      <c r="S379" s="18">
        <f>IF(N(X379)=0,"",IF(AND(COUNTIFS(Log!$D$6:$D$1505,D379,Log!$B$6:$B$1505,"&lt;"&amp;B379)&gt;0,COUNTIFS(Log!$D$6:$D$1505,D379,Log!$B$6:$B$1505,"&lt;"&amp;B379,Log!$X$6:$X$1505,"&gt;="&amp;X379)=0),"New best",""))</f>
        <v/>
      </c>
      <c r="T379" s="26" t="n"/>
      <c r="U379" s="1">
        <f>IF(D379="","",IFERROR(INDEX(Exercises!$C$6:$C$105,MATCH(D379,Exercises!$B$6:$B$105,0)),"Other"))</f>
        <v/>
      </c>
      <c r="V379">
        <f>IF(B379="","",IF(COUNTIF($B$6:B379,B379)=1,1,0))</f>
        <v/>
      </c>
      <c r="W379">
        <f>IF(B379="","",B379-WEEKDAY(B379,3))</f>
        <v/>
      </c>
      <c r="X379">
        <f>IF(D379="","",MAX(IF(N(F379)=0,0,IF(N(E379)&gt;0,E379*(1+F379/30),F379)),IF(N(H379)=0,0,IF(N(G379)&gt;0,G379*(1+H379/30),H379)),IF(N(J379)=0,0,IF(N(I379)&gt;0,I379*(1+J379/30),J379)),IF(N(L379)=0,0,IF(N(K379)&gt;0,K379*(1+L379/30),L379)),IF(N(N379)=0,0,IF(N(M379)&gt;0,M379*(1+N379/30),N379))))</f>
        <v/>
      </c>
      <c r="Y379">
        <f>IF(N(X379)=0,"",X379+ROW()/1000000000)</f>
        <v/>
      </c>
      <c r="Z379">
        <f>IF(Y379="","",IF(COUNTIFS(Log!$D$6:$D$1505,D379,Log!$Y$6:$Y$1505,"&gt;"&amp;Y379)=0,1,0))</f>
        <v/>
      </c>
      <c r="AA379">
        <f>IF(OR(B379="",D379=""),"",B379+ROW()/10000000)</f>
        <v/>
      </c>
      <c r="AB379">
        <f>IF(AA379="","",IF(COUNTIFS(Log!$D$6:$D$1505,D379,Log!$AA$6:$AA$1505,"&gt;"&amp;AA379)=0,1,0))</f>
        <v/>
      </c>
      <c r="AC379">
        <f>IF(S379="New best",AA379,"")</f>
        <v/>
      </c>
      <c r="AD379">
        <f>ROW()</f>
        <v/>
      </c>
    </row>
    <row r="380">
      <c r="A380" s="1" t="n"/>
      <c r="B380" s="21" t="n"/>
      <c r="C380" s="22" t="n"/>
      <c r="D380" s="23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15">
        <f>IF(D380="","",COUNT(F380,H380,J380,L380,N380))</f>
        <v/>
      </c>
      <c r="P380" s="25">
        <f>IF(D380="","",N(E380)*N(F380)+N(G380)*N(H380)+N(I380)*N(J380)+N(K380)*N(L380)+N(M380)*N(N380))</f>
        <v/>
      </c>
      <c r="Q380" s="18">
        <f>IF(N(X380)=0,"",IF(IF(N(F380)=0,0,IF(N(E380)&gt;0,E380*(1+F380/30),F380))=X380,IF(N(E380)&gt;0,E380&amp;" x "&amp;F380,F380&amp;" reps"),IF(IF(N(H380)=0,0,IF(N(G380)&gt;0,G380*(1+H380/30),H380))=X380,IF(N(G380)&gt;0,G380&amp;" x "&amp;H380,H380&amp;" reps"),IF(IF(N(J380)=0,0,IF(N(I380)&gt;0,I380*(1+J380/30),J380))=X380,IF(N(I380)&gt;0,I380&amp;" x "&amp;J380,J380&amp;" reps"),IF(IF(N(L380)=0,0,IF(N(K380)&gt;0,K380*(1+L380/30),L380))=X380,IF(N(K380)&gt;0,K380&amp;" x "&amp;L380,L380&amp;" reps"),IF(IF(N(N380)=0,0,IF(N(M380)&gt;0,M380*(1+N380/30),N380))=X380,IF(N(M380)&gt;0,M380&amp;" x "&amp;N380,N380&amp;" reps"),""))))))</f>
        <v/>
      </c>
      <c r="R380" s="20">
        <f>IF(N(X380)=0,"",ROUND(X380,1))</f>
        <v/>
      </c>
      <c r="S380" s="18">
        <f>IF(N(X380)=0,"",IF(AND(COUNTIFS(Log!$D$6:$D$1505,D380,Log!$B$6:$B$1505,"&lt;"&amp;B380)&gt;0,COUNTIFS(Log!$D$6:$D$1505,D380,Log!$B$6:$B$1505,"&lt;"&amp;B380,Log!$X$6:$X$1505,"&gt;="&amp;X380)=0),"New best",""))</f>
        <v/>
      </c>
      <c r="T380" s="26" t="n"/>
      <c r="U380" s="1">
        <f>IF(D380="","",IFERROR(INDEX(Exercises!$C$6:$C$105,MATCH(D380,Exercises!$B$6:$B$105,0)),"Other"))</f>
        <v/>
      </c>
      <c r="V380">
        <f>IF(B380="","",IF(COUNTIF($B$6:B380,B380)=1,1,0))</f>
        <v/>
      </c>
      <c r="W380">
        <f>IF(B380="","",B380-WEEKDAY(B380,3))</f>
        <v/>
      </c>
      <c r="X380">
        <f>IF(D380="","",MAX(IF(N(F380)=0,0,IF(N(E380)&gt;0,E380*(1+F380/30),F380)),IF(N(H380)=0,0,IF(N(G380)&gt;0,G380*(1+H380/30),H380)),IF(N(J380)=0,0,IF(N(I380)&gt;0,I380*(1+J380/30),J380)),IF(N(L380)=0,0,IF(N(K380)&gt;0,K380*(1+L380/30),L380)),IF(N(N380)=0,0,IF(N(M380)&gt;0,M380*(1+N380/30),N380))))</f>
        <v/>
      </c>
      <c r="Y380">
        <f>IF(N(X380)=0,"",X380+ROW()/1000000000)</f>
        <v/>
      </c>
      <c r="Z380">
        <f>IF(Y380="","",IF(COUNTIFS(Log!$D$6:$D$1505,D380,Log!$Y$6:$Y$1505,"&gt;"&amp;Y380)=0,1,0))</f>
        <v/>
      </c>
      <c r="AA380">
        <f>IF(OR(B380="",D380=""),"",B380+ROW()/10000000)</f>
        <v/>
      </c>
      <c r="AB380">
        <f>IF(AA380="","",IF(COUNTIFS(Log!$D$6:$D$1505,D380,Log!$AA$6:$AA$1505,"&gt;"&amp;AA380)=0,1,0))</f>
        <v/>
      </c>
      <c r="AC380">
        <f>IF(S380="New best",AA380,"")</f>
        <v/>
      </c>
      <c r="AD380">
        <f>ROW()</f>
        <v/>
      </c>
    </row>
    <row r="381">
      <c r="A381" s="1" t="n"/>
      <c r="B381" s="21" t="n"/>
      <c r="C381" s="22" t="n"/>
      <c r="D381" s="23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15">
        <f>IF(D381="","",COUNT(F381,H381,J381,L381,N381))</f>
        <v/>
      </c>
      <c r="P381" s="25">
        <f>IF(D381="","",N(E381)*N(F381)+N(G381)*N(H381)+N(I381)*N(J381)+N(K381)*N(L381)+N(M381)*N(N381))</f>
        <v/>
      </c>
      <c r="Q381" s="18">
        <f>IF(N(X381)=0,"",IF(IF(N(F381)=0,0,IF(N(E381)&gt;0,E381*(1+F381/30),F381))=X381,IF(N(E381)&gt;0,E381&amp;" x "&amp;F381,F381&amp;" reps"),IF(IF(N(H381)=0,0,IF(N(G381)&gt;0,G381*(1+H381/30),H381))=X381,IF(N(G381)&gt;0,G381&amp;" x "&amp;H381,H381&amp;" reps"),IF(IF(N(J381)=0,0,IF(N(I381)&gt;0,I381*(1+J381/30),J381))=X381,IF(N(I381)&gt;0,I381&amp;" x "&amp;J381,J381&amp;" reps"),IF(IF(N(L381)=0,0,IF(N(K381)&gt;0,K381*(1+L381/30),L381))=X381,IF(N(K381)&gt;0,K381&amp;" x "&amp;L381,L381&amp;" reps"),IF(IF(N(N381)=0,0,IF(N(M381)&gt;0,M381*(1+N381/30),N381))=X381,IF(N(M381)&gt;0,M381&amp;" x "&amp;N381,N381&amp;" reps"),""))))))</f>
        <v/>
      </c>
      <c r="R381" s="20">
        <f>IF(N(X381)=0,"",ROUND(X381,1))</f>
        <v/>
      </c>
      <c r="S381" s="18">
        <f>IF(N(X381)=0,"",IF(AND(COUNTIFS(Log!$D$6:$D$1505,D381,Log!$B$6:$B$1505,"&lt;"&amp;B381)&gt;0,COUNTIFS(Log!$D$6:$D$1505,D381,Log!$B$6:$B$1505,"&lt;"&amp;B381,Log!$X$6:$X$1505,"&gt;="&amp;X381)=0),"New best",""))</f>
        <v/>
      </c>
      <c r="T381" s="26" t="n"/>
      <c r="U381" s="1">
        <f>IF(D381="","",IFERROR(INDEX(Exercises!$C$6:$C$105,MATCH(D381,Exercises!$B$6:$B$105,0)),"Other"))</f>
        <v/>
      </c>
      <c r="V381">
        <f>IF(B381="","",IF(COUNTIF($B$6:B381,B381)=1,1,0))</f>
        <v/>
      </c>
      <c r="W381">
        <f>IF(B381="","",B381-WEEKDAY(B381,3))</f>
        <v/>
      </c>
      <c r="X381">
        <f>IF(D381="","",MAX(IF(N(F381)=0,0,IF(N(E381)&gt;0,E381*(1+F381/30),F381)),IF(N(H381)=0,0,IF(N(G381)&gt;0,G381*(1+H381/30),H381)),IF(N(J381)=0,0,IF(N(I381)&gt;0,I381*(1+J381/30),J381)),IF(N(L381)=0,0,IF(N(K381)&gt;0,K381*(1+L381/30),L381)),IF(N(N381)=0,0,IF(N(M381)&gt;0,M381*(1+N381/30),N381))))</f>
        <v/>
      </c>
      <c r="Y381">
        <f>IF(N(X381)=0,"",X381+ROW()/1000000000)</f>
        <v/>
      </c>
      <c r="Z381">
        <f>IF(Y381="","",IF(COUNTIFS(Log!$D$6:$D$1505,D381,Log!$Y$6:$Y$1505,"&gt;"&amp;Y381)=0,1,0))</f>
        <v/>
      </c>
      <c r="AA381">
        <f>IF(OR(B381="",D381=""),"",B381+ROW()/10000000)</f>
        <v/>
      </c>
      <c r="AB381">
        <f>IF(AA381="","",IF(COUNTIFS(Log!$D$6:$D$1505,D381,Log!$AA$6:$AA$1505,"&gt;"&amp;AA381)=0,1,0))</f>
        <v/>
      </c>
      <c r="AC381">
        <f>IF(S381="New best",AA381,"")</f>
        <v/>
      </c>
      <c r="AD381">
        <f>ROW()</f>
        <v/>
      </c>
    </row>
    <row r="382">
      <c r="A382" s="1" t="n"/>
      <c r="B382" s="21" t="n"/>
      <c r="C382" s="22" t="n"/>
      <c r="D382" s="23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15">
        <f>IF(D382="","",COUNT(F382,H382,J382,L382,N382))</f>
        <v/>
      </c>
      <c r="P382" s="25">
        <f>IF(D382="","",N(E382)*N(F382)+N(G382)*N(H382)+N(I382)*N(J382)+N(K382)*N(L382)+N(M382)*N(N382))</f>
        <v/>
      </c>
      <c r="Q382" s="18">
        <f>IF(N(X382)=0,"",IF(IF(N(F382)=0,0,IF(N(E382)&gt;0,E382*(1+F382/30),F382))=X382,IF(N(E382)&gt;0,E382&amp;" x "&amp;F382,F382&amp;" reps"),IF(IF(N(H382)=0,0,IF(N(G382)&gt;0,G382*(1+H382/30),H382))=X382,IF(N(G382)&gt;0,G382&amp;" x "&amp;H382,H382&amp;" reps"),IF(IF(N(J382)=0,0,IF(N(I382)&gt;0,I382*(1+J382/30),J382))=X382,IF(N(I382)&gt;0,I382&amp;" x "&amp;J382,J382&amp;" reps"),IF(IF(N(L382)=0,0,IF(N(K382)&gt;0,K382*(1+L382/30),L382))=X382,IF(N(K382)&gt;0,K382&amp;" x "&amp;L382,L382&amp;" reps"),IF(IF(N(N382)=0,0,IF(N(M382)&gt;0,M382*(1+N382/30),N382))=X382,IF(N(M382)&gt;0,M382&amp;" x "&amp;N382,N382&amp;" reps"),""))))))</f>
        <v/>
      </c>
      <c r="R382" s="20">
        <f>IF(N(X382)=0,"",ROUND(X382,1))</f>
        <v/>
      </c>
      <c r="S382" s="18">
        <f>IF(N(X382)=0,"",IF(AND(COUNTIFS(Log!$D$6:$D$1505,D382,Log!$B$6:$B$1505,"&lt;"&amp;B382)&gt;0,COUNTIFS(Log!$D$6:$D$1505,D382,Log!$B$6:$B$1505,"&lt;"&amp;B382,Log!$X$6:$X$1505,"&gt;="&amp;X382)=0),"New best",""))</f>
        <v/>
      </c>
      <c r="T382" s="26" t="n"/>
      <c r="U382" s="1">
        <f>IF(D382="","",IFERROR(INDEX(Exercises!$C$6:$C$105,MATCH(D382,Exercises!$B$6:$B$105,0)),"Other"))</f>
        <v/>
      </c>
      <c r="V382">
        <f>IF(B382="","",IF(COUNTIF($B$6:B382,B382)=1,1,0))</f>
        <v/>
      </c>
      <c r="W382">
        <f>IF(B382="","",B382-WEEKDAY(B382,3))</f>
        <v/>
      </c>
      <c r="X382">
        <f>IF(D382="","",MAX(IF(N(F382)=0,0,IF(N(E382)&gt;0,E382*(1+F382/30),F382)),IF(N(H382)=0,0,IF(N(G382)&gt;0,G382*(1+H382/30),H382)),IF(N(J382)=0,0,IF(N(I382)&gt;0,I382*(1+J382/30),J382)),IF(N(L382)=0,0,IF(N(K382)&gt;0,K382*(1+L382/30),L382)),IF(N(N382)=0,0,IF(N(M382)&gt;0,M382*(1+N382/30),N382))))</f>
        <v/>
      </c>
      <c r="Y382">
        <f>IF(N(X382)=0,"",X382+ROW()/1000000000)</f>
        <v/>
      </c>
      <c r="Z382">
        <f>IF(Y382="","",IF(COUNTIFS(Log!$D$6:$D$1505,D382,Log!$Y$6:$Y$1505,"&gt;"&amp;Y382)=0,1,0))</f>
        <v/>
      </c>
      <c r="AA382">
        <f>IF(OR(B382="",D382=""),"",B382+ROW()/10000000)</f>
        <v/>
      </c>
      <c r="AB382">
        <f>IF(AA382="","",IF(COUNTIFS(Log!$D$6:$D$1505,D382,Log!$AA$6:$AA$1505,"&gt;"&amp;AA382)=0,1,0))</f>
        <v/>
      </c>
      <c r="AC382">
        <f>IF(S382="New best",AA382,"")</f>
        <v/>
      </c>
      <c r="AD382">
        <f>ROW()</f>
        <v/>
      </c>
    </row>
    <row r="383">
      <c r="A383" s="1" t="n"/>
      <c r="B383" s="21" t="n"/>
      <c r="C383" s="22" t="n"/>
      <c r="D383" s="23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15">
        <f>IF(D383="","",COUNT(F383,H383,J383,L383,N383))</f>
        <v/>
      </c>
      <c r="P383" s="25">
        <f>IF(D383="","",N(E383)*N(F383)+N(G383)*N(H383)+N(I383)*N(J383)+N(K383)*N(L383)+N(M383)*N(N383))</f>
        <v/>
      </c>
      <c r="Q383" s="18">
        <f>IF(N(X383)=0,"",IF(IF(N(F383)=0,0,IF(N(E383)&gt;0,E383*(1+F383/30),F383))=X383,IF(N(E383)&gt;0,E383&amp;" x "&amp;F383,F383&amp;" reps"),IF(IF(N(H383)=0,0,IF(N(G383)&gt;0,G383*(1+H383/30),H383))=X383,IF(N(G383)&gt;0,G383&amp;" x "&amp;H383,H383&amp;" reps"),IF(IF(N(J383)=0,0,IF(N(I383)&gt;0,I383*(1+J383/30),J383))=X383,IF(N(I383)&gt;0,I383&amp;" x "&amp;J383,J383&amp;" reps"),IF(IF(N(L383)=0,0,IF(N(K383)&gt;0,K383*(1+L383/30),L383))=X383,IF(N(K383)&gt;0,K383&amp;" x "&amp;L383,L383&amp;" reps"),IF(IF(N(N383)=0,0,IF(N(M383)&gt;0,M383*(1+N383/30),N383))=X383,IF(N(M383)&gt;0,M383&amp;" x "&amp;N383,N383&amp;" reps"),""))))))</f>
        <v/>
      </c>
      <c r="R383" s="20">
        <f>IF(N(X383)=0,"",ROUND(X383,1))</f>
        <v/>
      </c>
      <c r="S383" s="18">
        <f>IF(N(X383)=0,"",IF(AND(COUNTIFS(Log!$D$6:$D$1505,D383,Log!$B$6:$B$1505,"&lt;"&amp;B383)&gt;0,COUNTIFS(Log!$D$6:$D$1505,D383,Log!$B$6:$B$1505,"&lt;"&amp;B383,Log!$X$6:$X$1505,"&gt;="&amp;X383)=0),"New best",""))</f>
        <v/>
      </c>
      <c r="T383" s="26" t="n"/>
      <c r="U383" s="1">
        <f>IF(D383="","",IFERROR(INDEX(Exercises!$C$6:$C$105,MATCH(D383,Exercises!$B$6:$B$105,0)),"Other"))</f>
        <v/>
      </c>
      <c r="V383">
        <f>IF(B383="","",IF(COUNTIF($B$6:B383,B383)=1,1,0))</f>
        <v/>
      </c>
      <c r="W383">
        <f>IF(B383="","",B383-WEEKDAY(B383,3))</f>
        <v/>
      </c>
      <c r="X383">
        <f>IF(D383="","",MAX(IF(N(F383)=0,0,IF(N(E383)&gt;0,E383*(1+F383/30),F383)),IF(N(H383)=0,0,IF(N(G383)&gt;0,G383*(1+H383/30),H383)),IF(N(J383)=0,0,IF(N(I383)&gt;0,I383*(1+J383/30),J383)),IF(N(L383)=0,0,IF(N(K383)&gt;0,K383*(1+L383/30),L383)),IF(N(N383)=0,0,IF(N(M383)&gt;0,M383*(1+N383/30),N383))))</f>
        <v/>
      </c>
      <c r="Y383">
        <f>IF(N(X383)=0,"",X383+ROW()/1000000000)</f>
        <v/>
      </c>
      <c r="Z383">
        <f>IF(Y383="","",IF(COUNTIFS(Log!$D$6:$D$1505,D383,Log!$Y$6:$Y$1505,"&gt;"&amp;Y383)=0,1,0))</f>
        <v/>
      </c>
      <c r="AA383">
        <f>IF(OR(B383="",D383=""),"",B383+ROW()/10000000)</f>
        <v/>
      </c>
      <c r="AB383">
        <f>IF(AA383="","",IF(COUNTIFS(Log!$D$6:$D$1505,D383,Log!$AA$6:$AA$1505,"&gt;"&amp;AA383)=0,1,0))</f>
        <v/>
      </c>
      <c r="AC383">
        <f>IF(S383="New best",AA383,"")</f>
        <v/>
      </c>
      <c r="AD383">
        <f>ROW()</f>
        <v/>
      </c>
    </row>
    <row r="384">
      <c r="A384" s="1" t="n"/>
      <c r="B384" s="21" t="n"/>
      <c r="C384" s="22" t="n"/>
      <c r="D384" s="23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15">
        <f>IF(D384="","",COUNT(F384,H384,J384,L384,N384))</f>
        <v/>
      </c>
      <c r="P384" s="25">
        <f>IF(D384="","",N(E384)*N(F384)+N(G384)*N(H384)+N(I384)*N(J384)+N(K384)*N(L384)+N(M384)*N(N384))</f>
        <v/>
      </c>
      <c r="Q384" s="18">
        <f>IF(N(X384)=0,"",IF(IF(N(F384)=0,0,IF(N(E384)&gt;0,E384*(1+F384/30),F384))=X384,IF(N(E384)&gt;0,E384&amp;" x "&amp;F384,F384&amp;" reps"),IF(IF(N(H384)=0,0,IF(N(G384)&gt;0,G384*(1+H384/30),H384))=X384,IF(N(G384)&gt;0,G384&amp;" x "&amp;H384,H384&amp;" reps"),IF(IF(N(J384)=0,0,IF(N(I384)&gt;0,I384*(1+J384/30),J384))=X384,IF(N(I384)&gt;0,I384&amp;" x "&amp;J384,J384&amp;" reps"),IF(IF(N(L384)=0,0,IF(N(K384)&gt;0,K384*(1+L384/30),L384))=X384,IF(N(K384)&gt;0,K384&amp;" x "&amp;L384,L384&amp;" reps"),IF(IF(N(N384)=0,0,IF(N(M384)&gt;0,M384*(1+N384/30),N384))=X384,IF(N(M384)&gt;0,M384&amp;" x "&amp;N384,N384&amp;" reps"),""))))))</f>
        <v/>
      </c>
      <c r="R384" s="20">
        <f>IF(N(X384)=0,"",ROUND(X384,1))</f>
        <v/>
      </c>
      <c r="S384" s="18">
        <f>IF(N(X384)=0,"",IF(AND(COUNTIFS(Log!$D$6:$D$1505,D384,Log!$B$6:$B$1505,"&lt;"&amp;B384)&gt;0,COUNTIFS(Log!$D$6:$D$1505,D384,Log!$B$6:$B$1505,"&lt;"&amp;B384,Log!$X$6:$X$1505,"&gt;="&amp;X384)=0),"New best",""))</f>
        <v/>
      </c>
      <c r="T384" s="26" t="n"/>
      <c r="U384" s="1">
        <f>IF(D384="","",IFERROR(INDEX(Exercises!$C$6:$C$105,MATCH(D384,Exercises!$B$6:$B$105,0)),"Other"))</f>
        <v/>
      </c>
      <c r="V384">
        <f>IF(B384="","",IF(COUNTIF($B$6:B384,B384)=1,1,0))</f>
        <v/>
      </c>
      <c r="W384">
        <f>IF(B384="","",B384-WEEKDAY(B384,3))</f>
        <v/>
      </c>
      <c r="X384">
        <f>IF(D384="","",MAX(IF(N(F384)=0,0,IF(N(E384)&gt;0,E384*(1+F384/30),F384)),IF(N(H384)=0,0,IF(N(G384)&gt;0,G384*(1+H384/30),H384)),IF(N(J384)=0,0,IF(N(I384)&gt;0,I384*(1+J384/30),J384)),IF(N(L384)=0,0,IF(N(K384)&gt;0,K384*(1+L384/30),L384)),IF(N(N384)=0,0,IF(N(M384)&gt;0,M384*(1+N384/30),N384))))</f>
        <v/>
      </c>
      <c r="Y384">
        <f>IF(N(X384)=0,"",X384+ROW()/1000000000)</f>
        <v/>
      </c>
      <c r="Z384">
        <f>IF(Y384="","",IF(COUNTIFS(Log!$D$6:$D$1505,D384,Log!$Y$6:$Y$1505,"&gt;"&amp;Y384)=0,1,0))</f>
        <v/>
      </c>
      <c r="AA384">
        <f>IF(OR(B384="",D384=""),"",B384+ROW()/10000000)</f>
        <v/>
      </c>
      <c r="AB384">
        <f>IF(AA384="","",IF(COUNTIFS(Log!$D$6:$D$1505,D384,Log!$AA$6:$AA$1505,"&gt;"&amp;AA384)=0,1,0))</f>
        <v/>
      </c>
      <c r="AC384">
        <f>IF(S384="New best",AA384,"")</f>
        <v/>
      </c>
      <c r="AD384">
        <f>ROW()</f>
        <v/>
      </c>
    </row>
    <row r="385">
      <c r="A385" s="1" t="n"/>
      <c r="B385" s="21" t="n"/>
      <c r="C385" s="22" t="n"/>
      <c r="D385" s="23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15">
        <f>IF(D385="","",COUNT(F385,H385,J385,L385,N385))</f>
        <v/>
      </c>
      <c r="P385" s="25">
        <f>IF(D385="","",N(E385)*N(F385)+N(G385)*N(H385)+N(I385)*N(J385)+N(K385)*N(L385)+N(M385)*N(N385))</f>
        <v/>
      </c>
      <c r="Q385" s="18">
        <f>IF(N(X385)=0,"",IF(IF(N(F385)=0,0,IF(N(E385)&gt;0,E385*(1+F385/30),F385))=X385,IF(N(E385)&gt;0,E385&amp;" x "&amp;F385,F385&amp;" reps"),IF(IF(N(H385)=0,0,IF(N(G385)&gt;0,G385*(1+H385/30),H385))=X385,IF(N(G385)&gt;0,G385&amp;" x "&amp;H385,H385&amp;" reps"),IF(IF(N(J385)=0,0,IF(N(I385)&gt;0,I385*(1+J385/30),J385))=X385,IF(N(I385)&gt;0,I385&amp;" x "&amp;J385,J385&amp;" reps"),IF(IF(N(L385)=0,0,IF(N(K385)&gt;0,K385*(1+L385/30),L385))=X385,IF(N(K385)&gt;0,K385&amp;" x "&amp;L385,L385&amp;" reps"),IF(IF(N(N385)=0,0,IF(N(M385)&gt;0,M385*(1+N385/30),N385))=X385,IF(N(M385)&gt;0,M385&amp;" x "&amp;N385,N385&amp;" reps"),""))))))</f>
        <v/>
      </c>
      <c r="R385" s="20">
        <f>IF(N(X385)=0,"",ROUND(X385,1))</f>
        <v/>
      </c>
      <c r="S385" s="18">
        <f>IF(N(X385)=0,"",IF(AND(COUNTIFS(Log!$D$6:$D$1505,D385,Log!$B$6:$B$1505,"&lt;"&amp;B385)&gt;0,COUNTIFS(Log!$D$6:$D$1505,D385,Log!$B$6:$B$1505,"&lt;"&amp;B385,Log!$X$6:$X$1505,"&gt;="&amp;X385)=0),"New best",""))</f>
        <v/>
      </c>
      <c r="T385" s="26" t="n"/>
      <c r="U385" s="1">
        <f>IF(D385="","",IFERROR(INDEX(Exercises!$C$6:$C$105,MATCH(D385,Exercises!$B$6:$B$105,0)),"Other"))</f>
        <v/>
      </c>
      <c r="V385">
        <f>IF(B385="","",IF(COUNTIF($B$6:B385,B385)=1,1,0))</f>
        <v/>
      </c>
      <c r="W385">
        <f>IF(B385="","",B385-WEEKDAY(B385,3))</f>
        <v/>
      </c>
      <c r="X385">
        <f>IF(D385="","",MAX(IF(N(F385)=0,0,IF(N(E385)&gt;0,E385*(1+F385/30),F385)),IF(N(H385)=0,0,IF(N(G385)&gt;0,G385*(1+H385/30),H385)),IF(N(J385)=0,0,IF(N(I385)&gt;0,I385*(1+J385/30),J385)),IF(N(L385)=0,0,IF(N(K385)&gt;0,K385*(1+L385/30),L385)),IF(N(N385)=0,0,IF(N(M385)&gt;0,M385*(1+N385/30),N385))))</f>
        <v/>
      </c>
      <c r="Y385">
        <f>IF(N(X385)=0,"",X385+ROW()/1000000000)</f>
        <v/>
      </c>
      <c r="Z385">
        <f>IF(Y385="","",IF(COUNTIFS(Log!$D$6:$D$1505,D385,Log!$Y$6:$Y$1505,"&gt;"&amp;Y385)=0,1,0))</f>
        <v/>
      </c>
      <c r="AA385">
        <f>IF(OR(B385="",D385=""),"",B385+ROW()/10000000)</f>
        <v/>
      </c>
      <c r="AB385">
        <f>IF(AA385="","",IF(COUNTIFS(Log!$D$6:$D$1505,D385,Log!$AA$6:$AA$1505,"&gt;"&amp;AA385)=0,1,0))</f>
        <v/>
      </c>
      <c r="AC385">
        <f>IF(S385="New best",AA385,"")</f>
        <v/>
      </c>
      <c r="AD385">
        <f>ROW()</f>
        <v/>
      </c>
    </row>
    <row r="386">
      <c r="A386" s="1" t="n"/>
      <c r="B386" s="21" t="n"/>
      <c r="C386" s="22" t="n"/>
      <c r="D386" s="23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15">
        <f>IF(D386="","",COUNT(F386,H386,J386,L386,N386))</f>
        <v/>
      </c>
      <c r="P386" s="25">
        <f>IF(D386="","",N(E386)*N(F386)+N(G386)*N(H386)+N(I386)*N(J386)+N(K386)*N(L386)+N(M386)*N(N386))</f>
        <v/>
      </c>
      <c r="Q386" s="18">
        <f>IF(N(X386)=0,"",IF(IF(N(F386)=0,0,IF(N(E386)&gt;0,E386*(1+F386/30),F386))=X386,IF(N(E386)&gt;0,E386&amp;" x "&amp;F386,F386&amp;" reps"),IF(IF(N(H386)=0,0,IF(N(G386)&gt;0,G386*(1+H386/30),H386))=X386,IF(N(G386)&gt;0,G386&amp;" x "&amp;H386,H386&amp;" reps"),IF(IF(N(J386)=0,0,IF(N(I386)&gt;0,I386*(1+J386/30),J386))=X386,IF(N(I386)&gt;0,I386&amp;" x "&amp;J386,J386&amp;" reps"),IF(IF(N(L386)=0,0,IF(N(K386)&gt;0,K386*(1+L386/30),L386))=X386,IF(N(K386)&gt;0,K386&amp;" x "&amp;L386,L386&amp;" reps"),IF(IF(N(N386)=0,0,IF(N(M386)&gt;0,M386*(1+N386/30),N386))=X386,IF(N(M386)&gt;0,M386&amp;" x "&amp;N386,N386&amp;" reps"),""))))))</f>
        <v/>
      </c>
      <c r="R386" s="20">
        <f>IF(N(X386)=0,"",ROUND(X386,1))</f>
        <v/>
      </c>
      <c r="S386" s="18">
        <f>IF(N(X386)=0,"",IF(AND(COUNTIFS(Log!$D$6:$D$1505,D386,Log!$B$6:$B$1505,"&lt;"&amp;B386)&gt;0,COUNTIFS(Log!$D$6:$D$1505,D386,Log!$B$6:$B$1505,"&lt;"&amp;B386,Log!$X$6:$X$1505,"&gt;="&amp;X386)=0),"New best",""))</f>
        <v/>
      </c>
      <c r="T386" s="26" t="n"/>
      <c r="U386" s="1">
        <f>IF(D386="","",IFERROR(INDEX(Exercises!$C$6:$C$105,MATCH(D386,Exercises!$B$6:$B$105,0)),"Other"))</f>
        <v/>
      </c>
      <c r="V386">
        <f>IF(B386="","",IF(COUNTIF($B$6:B386,B386)=1,1,0))</f>
        <v/>
      </c>
      <c r="W386">
        <f>IF(B386="","",B386-WEEKDAY(B386,3))</f>
        <v/>
      </c>
      <c r="X386">
        <f>IF(D386="","",MAX(IF(N(F386)=0,0,IF(N(E386)&gt;0,E386*(1+F386/30),F386)),IF(N(H386)=0,0,IF(N(G386)&gt;0,G386*(1+H386/30),H386)),IF(N(J386)=0,0,IF(N(I386)&gt;0,I386*(1+J386/30),J386)),IF(N(L386)=0,0,IF(N(K386)&gt;0,K386*(1+L386/30),L386)),IF(N(N386)=0,0,IF(N(M386)&gt;0,M386*(1+N386/30),N386))))</f>
        <v/>
      </c>
      <c r="Y386">
        <f>IF(N(X386)=0,"",X386+ROW()/1000000000)</f>
        <v/>
      </c>
      <c r="Z386">
        <f>IF(Y386="","",IF(COUNTIFS(Log!$D$6:$D$1505,D386,Log!$Y$6:$Y$1505,"&gt;"&amp;Y386)=0,1,0))</f>
        <v/>
      </c>
      <c r="AA386">
        <f>IF(OR(B386="",D386=""),"",B386+ROW()/10000000)</f>
        <v/>
      </c>
      <c r="AB386">
        <f>IF(AA386="","",IF(COUNTIFS(Log!$D$6:$D$1505,D386,Log!$AA$6:$AA$1505,"&gt;"&amp;AA386)=0,1,0))</f>
        <v/>
      </c>
      <c r="AC386">
        <f>IF(S386="New best",AA386,"")</f>
        <v/>
      </c>
      <c r="AD386">
        <f>ROW()</f>
        <v/>
      </c>
    </row>
    <row r="387">
      <c r="A387" s="1" t="n"/>
      <c r="B387" s="21" t="n"/>
      <c r="C387" s="22" t="n"/>
      <c r="D387" s="23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15">
        <f>IF(D387="","",COUNT(F387,H387,J387,L387,N387))</f>
        <v/>
      </c>
      <c r="P387" s="25">
        <f>IF(D387="","",N(E387)*N(F387)+N(G387)*N(H387)+N(I387)*N(J387)+N(K387)*N(L387)+N(M387)*N(N387))</f>
        <v/>
      </c>
      <c r="Q387" s="18">
        <f>IF(N(X387)=0,"",IF(IF(N(F387)=0,0,IF(N(E387)&gt;0,E387*(1+F387/30),F387))=X387,IF(N(E387)&gt;0,E387&amp;" x "&amp;F387,F387&amp;" reps"),IF(IF(N(H387)=0,0,IF(N(G387)&gt;0,G387*(1+H387/30),H387))=X387,IF(N(G387)&gt;0,G387&amp;" x "&amp;H387,H387&amp;" reps"),IF(IF(N(J387)=0,0,IF(N(I387)&gt;0,I387*(1+J387/30),J387))=X387,IF(N(I387)&gt;0,I387&amp;" x "&amp;J387,J387&amp;" reps"),IF(IF(N(L387)=0,0,IF(N(K387)&gt;0,K387*(1+L387/30),L387))=X387,IF(N(K387)&gt;0,K387&amp;" x "&amp;L387,L387&amp;" reps"),IF(IF(N(N387)=0,0,IF(N(M387)&gt;0,M387*(1+N387/30),N387))=X387,IF(N(M387)&gt;0,M387&amp;" x "&amp;N387,N387&amp;" reps"),""))))))</f>
        <v/>
      </c>
      <c r="R387" s="20">
        <f>IF(N(X387)=0,"",ROUND(X387,1))</f>
        <v/>
      </c>
      <c r="S387" s="18">
        <f>IF(N(X387)=0,"",IF(AND(COUNTIFS(Log!$D$6:$D$1505,D387,Log!$B$6:$B$1505,"&lt;"&amp;B387)&gt;0,COUNTIFS(Log!$D$6:$D$1505,D387,Log!$B$6:$B$1505,"&lt;"&amp;B387,Log!$X$6:$X$1505,"&gt;="&amp;X387)=0),"New best",""))</f>
        <v/>
      </c>
      <c r="T387" s="26" t="n"/>
      <c r="U387" s="1">
        <f>IF(D387="","",IFERROR(INDEX(Exercises!$C$6:$C$105,MATCH(D387,Exercises!$B$6:$B$105,0)),"Other"))</f>
        <v/>
      </c>
      <c r="V387">
        <f>IF(B387="","",IF(COUNTIF($B$6:B387,B387)=1,1,0))</f>
        <v/>
      </c>
      <c r="W387">
        <f>IF(B387="","",B387-WEEKDAY(B387,3))</f>
        <v/>
      </c>
      <c r="X387">
        <f>IF(D387="","",MAX(IF(N(F387)=0,0,IF(N(E387)&gt;0,E387*(1+F387/30),F387)),IF(N(H387)=0,0,IF(N(G387)&gt;0,G387*(1+H387/30),H387)),IF(N(J387)=0,0,IF(N(I387)&gt;0,I387*(1+J387/30),J387)),IF(N(L387)=0,0,IF(N(K387)&gt;0,K387*(1+L387/30),L387)),IF(N(N387)=0,0,IF(N(M387)&gt;0,M387*(1+N387/30),N387))))</f>
        <v/>
      </c>
      <c r="Y387">
        <f>IF(N(X387)=0,"",X387+ROW()/1000000000)</f>
        <v/>
      </c>
      <c r="Z387">
        <f>IF(Y387="","",IF(COUNTIFS(Log!$D$6:$D$1505,D387,Log!$Y$6:$Y$1505,"&gt;"&amp;Y387)=0,1,0))</f>
        <v/>
      </c>
      <c r="AA387">
        <f>IF(OR(B387="",D387=""),"",B387+ROW()/10000000)</f>
        <v/>
      </c>
      <c r="AB387">
        <f>IF(AA387="","",IF(COUNTIFS(Log!$D$6:$D$1505,D387,Log!$AA$6:$AA$1505,"&gt;"&amp;AA387)=0,1,0))</f>
        <v/>
      </c>
      <c r="AC387">
        <f>IF(S387="New best",AA387,"")</f>
        <v/>
      </c>
      <c r="AD387">
        <f>ROW()</f>
        <v/>
      </c>
    </row>
    <row r="388">
      <c r="A388" s="1" t="n"/>
      <c r="B388" s="21" t="n"/>
      <c r="C388" s="22" t="n"/>
      <c r="D388" s="23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15">
        <f>IF(D388="","",COUNT(F388,H388,J388,L388,N388))</f>
        <v/>
      </c>
      <c r="P388" s="25">
        <f>IF(D388="","",N(E388)*N(F388)+N(G388)*N(H388)+N(I388)*N(J388)+N(K388)*N(L388)+N(M388)*N(N388))</f>
        <v/>
      </c>
      <c r="Q388" s="18">
        <f>IF(N(X388)=0,"",IF(IF(N(F388)=0,0,IF(N(E388)&gt;0,E388*(1+F388/30),F388))=X388,IF(N(E388)&gt;0,E388&amp;" x "&amp;F388,F388&amp;" reps"),IF(IF(N(H388)=0,0,IF(N(G388)&gt;0,G388*(1+H388/30),H388))=X388,IF(N(G388)&gt;0,G388&amp;" x "&amp;H388,H388&amp;" reps"),IF(IF(N(J388)=0,0,IF(N(I388)&gt;0,I388*(1+J388/30),J388))=X388,IF(N(I388)&gt;0,I388&amp;" x "&amp;J388,J388&amp;" reps"),IF(IF(N(L388)=0,0,IF(N(K388)&gt;0,K388*(1+L388/30),L388))=X388,IF(N(K388)&gt;0,K388&amp;" x "&amp;L388,L388&amp;" reps"),IF(IF(N(N388)=0,0,IF(N(M388)&gt;0,M388*(1+N388/30),N388))=X388,IF(N(M388)&gt;0,M388&amp;" x "&amp;N388,N388&amp;" reps"),""))))))</f>
        <v/>
      </c>
      <c r="R388" s="20">
        <f>IF(N(X388)=0,"",ROUND(X388,1))</f>
        <v/>
      </c>
      <c r="S388" s="18">
        <f>IF(N(X388)=0,"",IF(AND(COUNTIFS(Log!$D$6:$D$1505,D388,Log!$B$6:$B$1505,"&lt;"&amp;B388)&gt;0,COUNTIFS(Log!$D$6:$D$1505,D388,Log!$B$6:$B$1505,"&lt;"&amp;B388,Log!$X$6:$X$1505,"&gt;="&amp;X388)=0),"New best",""))</f>
        <v/>
      </c>
      <c r="T388" s="26" t="n"/>
      <c r="U388" s="1">
        <f>IF(D388="","",IFERROR(INDEX(Exercises!$C$6:$C$105,MATCH(D388,Exercises!$B$6:$B$105,0)),"Other"))</f>
        <v/>
      </c>
      <c r="V388">
        <f>IF(B388="","",IF(COUNTIF($B$6:B388,B388)=1,1,0))</f>
        <v/>
      </c>
      <c r="W388">
        <f>IF(B388="","",B388-WEEKDAY(B388,3))</f>
        <v/>
      </c>
      <c r="X388">
        <f>IF(D388="","",MAX(IF(N(F388)=0,0,IF(N(E388)&gt;0,E388*(1+F388/30),F388)),IF(N(H388)=0,0,IF(N(G388)&gt;0,G388*(1+H388/30),H388)),IF(N(J388)=0,0,IF(N(I388)&gt;0,I388*(1+J388/30),J388)),IF(N(L388)=0,0,IF(N(K388)&gt;0,K388*(1+L388/30),L388)),IF(N(N388)=0,0,IF(N(M388)&gt;0,M388*(1+N388/30),N388))))</f>
        <v/>
      </c>
      <c r="Y388">
        <f>IF(N(X388)=0,"",X388+ROW()/1000000000)</f>
        <v/>
      </c>
      <c r="Z388">
        <f>IF(Y388="","",IF(COUNTIFS(Log!$D$6:$D$1505,D388,Log!$Y$6:$Y$1505,"&gt;"&amp;Y388)=0,1,0))</f>
        <v/>
      </c>
      <c r="AA388">
        <f>IF(OR(B388="",D388=""),"",B388+ROW()/10000000)</f>
        <v/>
      </c>
      <c r="AB388">
        <f>IF(AA388="","",IF(COUNTIFS(Log!$D$6:$D$1505,D388,Log!$AA$6:$AA$1505,"&gt;"&amp;AA388)=0,1,0))</f>
        <v/>
      </c>
      <c r="AC388">
        <f>IF(S388="New best",AA388,"")</f>
        <v/>
      </c>
      <c r="AD388">
        <f>ROW()</f>
        <v/>
      </c>
    </row>
    <row r="389">
      <c r="A389" s="1" t="n"/>
      <c r="B389" s="21" t="n"/>
      <c r="C389" s="22" t="n"/>
      <c r="D389" s="23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15">
        <f>IF(D389="","",COUNT(F389,H389,J389,L389,N389))</f>
        <v/>
      </c>
      <c r="P389" s="25">
        <f>IF(D389="","",N(E389)*N(F389)+N(G389)*N(H389)+N(I389)*N(J389)+N(K389)*N(L389)+N(M389)*N(N389))</f>
        <v/>
      </c>
      <c r="Q389" s="18">
        <f>IF(N(X389)=0,"",IF(IF(N(F389)=0,0,IF(N(E389)&gt;0,E389*(1+F389/30),F389))=X389,IF(N(E389)&gt;0,E389&amp;" x "&amp;F389,F389&amp;" reps"),IF(IF(N(H389)=0,0,IF(N(G389)&gt;0,G389*(1+H389/30),H389))=X389,IF(N(G389)&gt;0,G389&amp;" x "&amp;H389,H389&amp;" reps"),IF(IF(N(J389)=0,0,IF(N(I389)&gt;0,I389*(1+J389/30),J389))=X389,IF(N(I389)&gt;0,I389&amp;" x "&amp;J389,J389&amp;" reps"),IF(IF(N(L389)=0,0,IF(N(K389)&gt;0,K389*(1+L389/30),L389))=X389,IF(N(K389)&gt;0,K389&amp;" x "&amp;L389,L389&amp;" reps"),IF(IF(N(N389)=0,0,IF(N(M389)&gt;0,M389*(1+N389/30),N389))=X389,IF(N(M389)&gt;0,M389&amp;" x "&amp;N389,N389&amp;" reps"),""))))))</f>
        <v/>
      </c>
      <c r="R389" s="20">
        <f>IF(N(X389)=0,"",ROUND(X389,1))</f>
        <v/>
      </c>
      <c r="S389" s="18">
        <f>IF(N(X389)=0,"",IF(AND(COUNTIFS(Log!$D$6:$D$1505,D389,Log!$B$6:$B$1505,"&lt;"&amp;B389)&gt;0,COUNTIFS(Log!$D$6:$D$1505,D389,Log!$B$6:$B$1505,"&lt;"&amp;B389,Log!$X$6:$X$1505,"&gt;="&amp;X389)=0),"New best",""))</f>
        <v/>
      </c>
      <c r="T389" s="26" t="n"/>
      <c r="U389" s="1">
        <f>IF(D389="","",IFERROR(INDEX(Exercises!$C$6:$C$105,MATCH(D389,Exercises!$B$6:$B$105,0)),"Other"))</f>
        <v/>
      </c>
      <c r="V389">
        <f>IF(B389="","",IF(COUNTIF($B$6:B389,B389)=1,1,0))</f>
        <v/>
      </c>
      <c r="W389">
        <f>IF(B389="","",B389-WEEKDAY(B389,3))</f>
        <v/>
      </c>
      <c r="X389">
        <f>IF(D389="","",MAX(IF(N(F389)=0,0,IF(N(E389)&gt;0,E389*(1+F389/30),F389)),IF(N(H389)=0,0,IF(N(G389)&gt;0,G389*(1+H389/30),H389)),IF(N(J389)=0,0,IF(N(I389)&gt;0,I389*(1+J389/30),J389)),IF(N(L389)=0,0,IF(N(K389)&gt;0,K389*(1+L389/30),L389)),IF(N(N389)=0,0,IF(N(M389)&gt;0,M389*(1+N389/30),N389))))</f>
        <v/>
      </c>
      <c r="Y389">
        <f>IF(N(X389)=0,"",X389+ROW()/1000000000)</f>
        <v/>
      </c>
      <c r="Z389">
        <f>IF(Y389="","",IF(COUNTIFS(Log!$D$6:$D$1505,D389,Log!$Y$6:$Y$1505,"&gt;"&amp;Y389)=0,1,0))</f>
        <v/>
      </c>
      <c r="AA389">
        <f>IF(OR(B389="",D389=""),"",B389+ROW()/10000000)</f>
        <v/>
      </c>
      <c r="AB389">
        <f>IF(AA389="","",IF(COUNTIFS(Log!$D$6:$D$1505,D389,Log!$AA$6:$AA$1505,"&gt;"&amp;AA389)=0,1,0))</f>
        <v/>
      </c>
      <c r="AC389">
        <f>IF(S389="New best",AA389,"")</f>
        <v/>
      </c>
      <c r="AD389">
        <f>ROW()</f>
        <v/>
      </c>
    </row>
    <row r="390">
      <c r="A390" s="1" t="n"/>
      <c r="B390" s="21" t="n"/>
      <c r="C390" s="22" t="n"/>
      <c r="D390" s="23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15">
        <f>IF(D390="","",COUNT(F390,H390,J390,L390,N390))</f>
        <v/>
      </c>
      <c r="P390" s="25">
        <f>IF(D390="","",N(E390)*N(F390)+N(G390)*N(H390)+N(I390)*N(J390)+N(K390)*N(L390)+N(M390)*N(N390))</f>
        <v/>
      </c>
      <c r="Q390" s="18">
        <f>IF(N(X390)=0,"",IF(IF(N(F390)=0,0,IF(N(E390)&gt;0,E390*(1+F390/30),F390))=X390,IF(N(E390)&gt;0,E390&amp;" x "&amp;F390,F390&amp;" reps"),IF(IF(N(H390)=0,0,IF(N(G390)&gt;0,G390*(1+H390/30),H390))=X390,IF(N(G390)&gt;0,G390&amp;" x "&amp;H390,H390&amp;" reps"),IF(IF(N(J390)=0,0,IF(N(I390)&gt;0,I390*(1+J390/30),J390))=X390,IF(N(I390)&gt;0,I390&amp;" x "&amp;J390,J390&amp;" reps"),IF(IF(N(L390)=0,0,IF(N(K390)&gt;0,K390*(1+L390/30),L390))=X390,IF(N(K390)&gt;0,K390&amp;" x "&amp;L390,L390&amp;" reps"),IF(IF(N(N390)=0,0,IF(N(M390)&gt;0,M390*(1+N390/30),N390))=X390,IF(N(M390)&gt;0,M390&amp;" x "&amp;N390,N390&amp;" reps"),""))))))</f>
        <v/>
      </c>
      <c r="R390" s="20">
        <f>IF(N(X390)=0,"",ROUND(X390,1))</f>
        <v/>
      </c>
      <c r="S390" s="18">
        <f>IF(N(X390)=0,"",IF(AND(COUNTIFS(Log!$D$6:$D$1505,D390,Log!$B$6:$B$1505,"&lt;"&amp;B390)&gt;0,COUNTIFS(Log!$D$6:$D$1505,D390,Log!$B$6:$B$1505,"&lt;"&amp;B390,Log!$X$6:$X$1505,"&gt;="&amp;X390)=0),"New best",""))</f>
        <v/>
      </c>
      <c r="T390" s="26" t="n"/>
      <c r="U390" s="1">
        <f>IF(D390="","",IFERROR(INDEX(Exercises!$C$6:$C$105,MATCH(D390,Exercises!$B$6:$B$105,0)),"Other"))</f>
        <v/>
      </c>
      <c r="V390">
        <f>IF(B390="","",IF(COUNTIF($B$6:B390,B390)=1,1,0))</f>
        <v/>
      </c>
      <c r="W390">
        <f>IF(B390="","",B390-WEEKDAY(B390,3))</f>
        <v/>
      </c>
      <c r="X390">
        <f>IF(D390="","",MAX(IF(N(F390)=0,0,IF(N(E390)&gt;0,E390*(1+F390/30),F390)),IF(N(H390)=0,0,IF(N(G390)&gt;0,G390*(1+H390/30),H390)),IF(N(J390)=0,0,IF(N(I390)&gt;0,I390*(1+J390/30),J390)),IF(N(L390)=0,0,IF(N(K390)&gt;0,K390*(1+L390/30),L390)),IF(N(N390)=0,0,IF(N(M390)&gt;0,M390*(1+N390/30),N390))))</f>
        <v/>
      </c>
      <c r="Y390">
        <f>IF(N(X390)=0,"",X390+ROW()/1000000000)</f>
        <v/>
      </c>
      <c r="Z390">
        <f>IF(Y390="","",IF(COUNTIFS(Log!$D$6:$D$1505,D390,Log!$Y$6:$Y$1505,"&gt;"&amp;Y390)=0,1,0))</f>
        <v/>
      </c>
      <c r="AA390">
        <f>IF(OR(B390="",D390=""),"",B390+ROW()/10000000)</f>
        <v/>
      </c>
      <c r="AB390">
        <f>IF(AA390="","",IF(COUNTIFS(Log!$D$6:$D$1505,D390,Log!$AA$6:$AA$1505,"&gt;"&amp;AA390)=0,1,0))</f>
        <v/>
      </c>
      <c r="AC390">
        <f>IF(S390="New best",AA390,"")</f>
        <v/>
      </c>
      <c r="AD390">
        <f>ROW()</f>
        <v/>
      </c>
    </row>
    <row r="391">
      <c r="A391" s="1" t="n"/>
      <c r="B391" s="21" t="n"/>
      <c r="C391" s="22" t="n"/>
      <c r="D391" s="23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15">
        <f>IF(D391="","",COUNT(F391,H391,J391,L391,N391))</f>
        <v/>
      </c>
      <c r="P391" s="25">
        <f>IF(D391="","",N(E391)*N(F391)+N(G391)*N(H391)+N(I391)*N(J391)+N(K391)*N(L391)+N(M391)*N(N391))</f>
        <v/>
      </c>
      <c r="Q391" s="18">
        <f>IF(N(X391)=0,"",IF(IF(N(F391)=0,0,IF(N(E391)&gt;0,E391*(1+F391/30),F391))=X391,IF(N(E391)&gt;0,E391&amp;" x "&amp;F391,F391&amp;" reps"),IF(IF(N(H391)=0,0,IF(N(G391)&gt;0,G391*(1+H391/30),H391))=X391,IF(N(G391)&gt;0,G391&amp;" x "&amp;H391,H391&amp;" reps"),IF(IF(N(J391)=0,0,IF(N(I391)&gt;0,I391*(1+J391/30),J391))=X391,IF(N(I391)&gt;0,I391&amp;" x "&amp;J391,J391&amp;" reps"),IF(IF(N(L391)=0,0,IF(N(K391)&gt;0,K391*(1+L391/30),L391))=X391,IF(N(K391)&gt;0,K391&amp;" x "&amp;L391,L391&amp;" reps"),IF(IF(N(N391)=0,0,IF(N(M391)&gt;0,M391*(1+N391/30),N391))=X391,IF(N(M391)&gt;0,M391&amp;" x "&amp;N391,N391&amp;" reps"),""))))))</f>
        <v/>
      </c>
      <c r="R391" s="20">
        <f>IF(N(X391)=0,"",ROUND(X391,1))</f>
        <v/>
      </c>
      <c r="S391" s="18">
        <f>IF(N(X391)=0,"",IF(AND(COUNTIFS(Log!$D$6:$D$1505,D391,Log!$B$6:$B$1505,"&lt;"&amp;B391)&gt;0,COUNTIFS(Log!$D$6:$D$1505,D391,Log!$B$6:$B$1505,"&lt;"&amp;B391,Log!$X$6:$X$1505,"&gt;="&amp;X391)=0),"New best",""))</f>
        <v/>
      </c>
      <c r="T391" s="26" t="n"/>
      <c r="U391" s="1">
        <f>IF(D391="","",IFERROR(INDEX(Exercises!$C$6:$C$105,MATCH(D391,Exercises!$B$6:$B$105,0)),"Other"))</f>
        <v/>
      </c>
      <c r="V391">
        <f>IF(B391="","",IF(COUNTIF($B$6:B391,B391)=1,1,0))</f>
        <v/>
      </c>
      <c r="W391">
        <f>IF(B391="","",B391-WEEKDAY(B391,3))</f>
        <v/>
      </c>
      <c r="X391">
        <f>IF(D391="","",MAX(IF(N(F391)=0,0,IF(N(E391)&gt;0,E391*(1+F391/30),F391)),IF(N(H391)=0,0,IF(N(G391)&gt;0,G391*(1+H391/30),H391)),IF(N(J391)=0,0,IF(N(I391)&gt;0,I391*(1+J391/30),J391)),IF(N(L391)=0,0,IF(N(K391)&gt;0,K391*(1+L391/30),L391)),IF(N(N391)=0,0,IF(N(M391)&gt;0,M391*(1+N391/30),N391))))</f>
        <v/>
      </c>
      <c r="Y391">
        <f>IF(N(X391)=0,"",X391+ROW()/1000000000)</f>
        <v/>
      </c>
      <c r="Z391">
        <f>IF(Y391="","",IF(COUNTIFS(Log!$D$6:$D$1505,D391,Log!$Y$6:$Y$1505,"&gt;"&amp;Y391)=0,1,0))</f>
        <v/>
      </c>
      <c r="AA391">
        <f>IF(OR(B391="",D391=""),"",B391+ROW()/10000000)</f>
        <v/>
      </c>
      <c r="AB391">
        <f>IF(AA391="","",IF(COUNTIFS(Log!$D$6:$D$1505,D391,Log!$AA$6:$AA$1505,"&gt;"&amp;AA391)=0,1,0))</f>
        <v/>
      </c>
      <c r="AC391">
        <f>IF(S391="New best",AA391,"")</f>
        <v/>
      </c>
      <c r="AD391">
        <f>ROW()</f>
        <v/>
      </c>
    </row>
    <row r="392">
      <c r="A392" s="1" t="n"/>
      <c r="B392" s="21" t="n"/>
      <c r="C392" s="22" t="n"/>
      <c r="D392" s="23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15">
        <f>IF(D392="","",COUNT(F392,H392,J392,L392,N392))</f>
        <v/>
      </c>
      <c r="P392" s="25">
        <f>IF(D392="","",N(E392)*N(F392)+N(G392)*N(H392)+N(I392)*N(J392)+N(K392)*N(L392)+N(M392)*N(N392))</f>
        <v/>
      </c>
      <c r="Q392" s="18">
        <f>IF(N(X392)=0,"",IF(IF(N(F392)=0,0,IF(N(E392)&gt;0,E392*(1+F392/30),F392))=X392,IF(N(E392)&gt;0,E392&amp;" x "&amp;F392,F392&amp;" reps"),IF(IF(N(H392)=0,0,IF(N(G392)&gt;0,G392*(1+H392/30),H392))=X392,IF(N(G392)&gt;0,G392&amp;" x "&amp;H392,H392&amp;" reps"),IF(IF(N(J392)=0,0,IF(N(I392)&gt;0,I392*(1+J392/30),J392))=X392,IF(N(I392)&gt;0,I392&amp;" x "&amp;J392,J392&amp;" reps"),IF(IF(N(L392)=0,0,IF(N(K392)&gt;0,K392*(1+L392/30),L392))=X392,IF(N(K392)&gt;0,K392&amp;" x "&amp;L392,L392&amp;" reps"),IF(IF(N(N392)=0,0,IF(N(M392)&gt;0,M392*(1+N392/30),N392))=X392,IF(N(M392)&gt;0,M392&amp;" x "&amp;N392,N392&amp;" reps"),""))))))</f>
        <v/>
      </c>
      <c r="R392" s="20">
        <f>IF(N(X392)=0,"",ROUND(X392,1))</f>
        <v/>
      </c>
      <c r="S392" s="18">
        <f>IF(N(X392)=0,"",IF(AND(COUNTIFS(Log!$D$6:$D$1505,D392,Log!$B$6:$B$1505,"&lt;"&amp;B392)&gt;0,COUNTIFS(Log!$D$6:$D$1505,D392,Log!$B$6:$B$1505,"&lt;"&amp;B392,Log!$X$6:$X$1505,"&gt;="&amp;X392)=0),"New best",""))</f>
        <v/>
      </c>
      <c r="T392" s="26" t="n"/>
      <c r="U392" s="1">
        <f>IF(D392="","",IFERROR(INDEX(Exercises!$C$6:$C$105,MATCH(D392,Exercises!$B$6:$B$105,0)),"Other"))</f>
        <v/>
      </c>
      <c r="V392">
        <f>IF(B392="","",IF(COUNTIF($B$6:B392,B392)=1,1,0))</f>
        <v/>
      </c>
      <c r="W392">
        <f>IF(B392="","",B392-WEEKDAY(B392,3))</f>
        <v/>
      </c>
      <c r="X392">
        <f>IF(D392="","",MAX(IF(N(F392)=0,0,IF(N(E392)&gt;0,E392*(1+F392/30),F392)),IF(N(H392)=0,0,IF(N(G392)&gt;0,G392*(1+H392/30),H392)),IF(N(J392)=0,0,IF(N(I392)&gt;0,I392*(1+J392/30),J392)),IF(N(L392)=0,0,IF(N(K392)&gt;0,K392*(1+L392/30),L392)),IF(N(N392)=0,0,IF(N(M392)&gt;0,M392*(1+N392/30),N392))))</f>
        <v/>
      </c>
      <c r="Y392">
        <f>IF(N(X392)=0,"",X392+ROW()/1000000000)</f>
        <v/>
      </c>
      <c r="Z392">
        <f>IF(Y392="","",IF(COUNTIFS(Log!$D$6:$D$1505,D392,Log!$Y$6:$Y$1505,"&gt;"&amp;Y392)=0,1,0))</f>
        <v/>
      </c>
      <c r="AA392">
        <f>IF(OR(B392="",D392=""),"",B392+ROW()/10000000)</f>
        <v/>
      </c>
      <c r="AB392">
        <f>IF(AA392="","",IF(COUNTIFS(Log!$D$6:$D$1505,D392,Log!$AA$6:$AA$1505,"&gt;"&amp;AA392)=0,1,0))</f>
        <v/>
      </c>
      <c r="AC392">
        <f>IF(S392="New best",AA392,"")</f>
        <v/>
      </c>
      <c r="AD392">
        <f>ROW()</f>
        <v/>
      </c>
    </row>
    <row r="393">
      <c r="A393" s="1" t="n"/>
      <c r="B393" s="21" t="n"/>
      <c r="C393" s="22" t="n"/>
      <c r="D393" s="23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15">
        <f>IF(D393="","",COUNT(F393,H393,J393,L393,N393))</f>
        <v/>
      </c>
      <c r="P393" s="25">
        <f>IF(D393="","",N(E393)*N(F393)+N(G393)*N(H393)+N(I393)*N(J393)+N(K393)*N(L393)+N(M393)*N(N393))</f>
        <v/>
      </c>
      <c r="Q393" s="18">
        <f>IF(N(X393)=0,"",IF(IF(N(F393)=0,0,IF(N(E393)&gt;0,E393*(1+F393/30),F393))=X393,IF(N(E393)&gt;0,E393&amp;" x "&amp;F393,F393&amp;" reps"),IF(IF(N(H393)=0,0,IF(N(G393)&gt;0,G393*(1+H393/30),H393))=X393,IF(N(G393)&gt;0,G393&amp;" x "&amp;H393,H393&amp;" reps"),IF(IF(N(J393)=0,0,IF(N(I393)&gt;0,I393*(1+J393/30),J393))=X393,IF(N(I393)&gt;0,I393&amp;" x "&amp;J393,J393&amp;" reps"),IF(IF(N(L393)=0,0,IF(N(K393)&gt;0,K393*(1+L393/30),L393))=X393,IF(N(K393)&gt;0,K393&amp;" x "&amp;L393,L393&amp;" reps"),IF(IF(N(N393)=0,0,IF(N(M393)&gt;0,M393*(1+N393/30),N393))=X393,IF(N(M393)&gt;0,M393&amp;" x "&amp;N393,N393&amp;" reps"),""))))))</f>
        <v/>
      </c>
      <c r="R393" s="20">
        <f>IF(N(X393)=0,"",ROUND(X393,1))</f>
        <v/>
      </c>
      <c r="S393" s="18">
        <f>IF(N(X393)=0,"",IF(AND(COUNTIFS(Log!$D$6:$D$1505,D393,Log!$B$6:$B$1505,"&lt;"&amp;B393)&gt;0,COUNTIFS(Log!$D$6:$D$1505,D393,Log!$B$6:$B$1505,"&lt;"&amp;B393,Log!$X$6:$X$1505,"&gt;="&amp;X393)=0),"New best",""))</f>
        <v/>
      </c>
      <c r="T393" s="26" t="n"/>
      <c r="U393" s="1">
        <f>IF(D393="","",IFERROR(INDEX(Exercises!$C$6:$C$105,MATCH(D393,Exercises!$B$6:$B$105,0)),"Other"))</f>
        <v/>
      </c>
      <c r="V393">
        <f>IF(B393="","",IF(COUNTIF($B$6:B393,B393)=1,1,0))</f>
        <v/>
      </c>
      <c r="W393">
        <f>IF(B393="","",B393-WEEKDAY(B393,3))</f>
        <v/>
      </c>
      <c r="X393">
        <f>IF(D393="","",MAX(IF(N(F393)=0,0,IF(N(E393)&gt;0,E393*(1+F393/30),F393)),IF(N(H393)=0,0,IF(N(G393)&gt;0,G393*(1+H393/30),H393)),IF(N(J393)=0,0,IF(N(I393)&gt;0,I393*(1+J393/30),J393)),IF(N(L393)=0,0,IF(N(K393)&gt;0,K393*(1+L393/30),L393)),IF(N(N393)=0,0,IF(N(M393)&gt;0,M393*(1+N393/30),N393))))</f>
        <v/>
      </c>
      <c r="Y393">
        <f>IF(N(X393)=0,"",X393+ROW()/1000000000)</f>
        <v/>
      </c>
      <c r="Z393">
        <f>IF(Y393="","",IF(COUNTIFS(Log!$D$6:$D$1505,D393,Log!$Y$6:$Y$1505,"&gt;"&amp;Y393)=0,1,0))</f>
        <v/>
      </c>
      <c r="AA393">
        <f>IF(OR(B393="",D393=""),"",B393+ROW()/10000000)</f>
        <v/>
      </c>
      <c r="AB393">
        <f>IF(AA393="","",IF(COUNTIFS(Log!$D$6:$D$1505,D393,Log!$AA$6:$AA$1505,"&gt;"&amp;AA393)=0,1,0))</f>
        <v/>
      </c>
      <c r="AC393">
        <f>IF(S393="New best",AA393,"")</f>
        <v/>
      </c>
      <c r="AD393">
        <f>ROW()</f>
        <v/>
      </c>
    </row>
    <row r="394">
      <c r="A394" s="1" t="n"/>
      <c r="B394" s="21" t="n"/>
      <c r="C394" s="22" t="n"/>
      <c r="D394" s="23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15">
        <f>IF(D394="","",COUNT(F394,H394,J394,L394,N394))</f>
        <v/>
      </c>
      <c r="P394" s="25">
        <f>IF(D394="","",N(E394)*N(F394)+N(G394)*N(H394)+N(I394)*N(J394)+N(K394)*N(L394)+N(M394)*N(N394))</f>
        <v/>
      </c>
      <c r="Q394" s="18">
        <f>IF(N(X394)=0,"",IF(IF(N(F394)=0,0,IF(N(E394)&gt;0,E394*(1+F394/30),F394))=X394,IF(N(E394)&gt;0,E394&amp;" x "&amp;F394,F394&amp;" reps"),IF(IF(N(H394)=0,0,IF(N(G394)&gt;0,G394*(1+H394/30),H394))=X394,IF(N(G394)&gt;0,G394&amp;" x "&amp;H394,H394&amp;" reps"),IF(IF(N(J394)=0,0,IF(N(I394)&gt;0,I394*(1+J394/30),J394))=X394,IF(N(I394)&gt;0,I394&amp;" x "&amp;J394,J394&amp;" reps"),IF(IF(N(L394)=0,0,IF(N(K394)&gt;0,K394*(1+L394/30),L394))=X394,IF(N(K394)&gt;0,K394&amp;" x "&amp;L394,L394&amp;" reps"),IF(IF(N(N394)=0,0,IF(N(M394)&gt;0,M394*(1+N394/30),N394))=X394,IF(N(M394)&gt;0,M394&amp;" x "&amp;N394,N394&amp;" reps"),""))))))</f>
        <v/>
      </c>
      <c r="R394" s="20">
        <f>IF(N(X394)=0,"",ROUND(X394,1))</f>
        <v/>
      </c>
      <c r="S394" s="18">
        <f>IF(N(X394)=0,"",IF(AND(COUNTIFS(Log!$D$6:$D$1505,D394,Log!$B$6:$B$1505,"&lt;"&amp;B394)&gt;0,COUNTIFS(Log!$D$6:$D$1505,D394,Log!$B$6:$B$1505,"&lt;"&amp;B394,Log!$X$6:$X$1505,"&gt;="&amp;X394)=0),"New best",""))</f>
        <v/>
      </c>
      <c r="T394" s="26" t="n"/>
      <c r="U394" s="1">
        <f>IF(D394="","",IFERROR(INDEX(Exercises!$C$6:$C$105,MATCH(D394,Exercises!$B$6:$B$105,0)),"Other"))</f>
        <v/>
      </c>
      <c r="V394">
        <f>IF(B394="","",IF(COUNTIF($B$6:B394,B394)=1,1,0))</f>
        <v/>
      </c>
      <c r="W394">
        <f>IF(B394="","",B394-WEEKDAY(B394,3))</f>
        <v/>
      </c>
      <c r="X394">
        <f>IF(D394="","",MAX(IF(N(F394)=0,0,IF(N(E394)&gt;0,E394*(1+F394/30),F394)),IF(N(H394)=0,0,IF(N(G394)&gt;0,G394*(1+H394/30),H394)),IF(N(J394)=0,0,IF(N(I394)&gt;0,I394*(1+J394/30),J394)),IF(N(L394)=0,0,IF(N(K394)&gt;0,K394*(1+L394/30),L394)),IF(N(N394)=0,0,IF(N(M394)&gt;0,M394*(1+N394/30),N394))))</f>
        <v/>
      </c>
      <c r="Y394">
        <f>IF(N(X394)=0,"",X394+ROW()/1000000000)</f>
        <v/>
      </c>
      <c r="Z394">
        <f>IF(Y394="","",IF(COUNTIFS(Log!$D$6:$D$1505,D394,Log!$Y$6:$Y$1505,"&gt;"&amp;Y394)=0,1,0))</f>
        <v/>
      </c>
      <c r="AA394">
        <f>IF(OR(B394="",D394=""),"",B394+ROW()/10000000)</f>
        <v/>
      </c>
      <c r="AB394">
        <f>IF(AA394="","",IF(COUNTIFS(Log!$D$6:$D$1505,D394,Log!$AA$6:$AA$1505,"&gt;"&amp;AA394)=0,1,0))</f>
        <v/>
      </c>
      <c r="AC394">
        <f>IF(S394="New best",AA394,"")</f>
        <v/>
      </c>
      <c r="AD394">
        <f>ROW()</f>
        <v/>
      </c>
    </row>
    <row r="395">
      <c r="A395" s="1" t="n"/>
      <c r="B395" s="21" t="n"/>
      <c r="C395" s="22" t="n"/>
      <c r="D395" s="23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15">
        <f>IF(D395="","",COUNT(F395,H395,J395,L395,N395))</f>
        <v/>
      </c>
      <c r="P395" s="25">
        <f>IF(D395="","",N(E395)*N(F395)+N(G395)*N(H395)+N(I395)*N(J395)+N(K395)*N(L395)+N(M395)*N(N395))</f>
        <v/>
      </c>
      <c r="Q395" s="18">
        <f>IF(N(X395)=0,"",IF(IF(N(F395)=0,0,IF(N(E395)&gt;0,E395*(1+F395/30),F395))=X395,IF(N(E395)&gt;0,E395&amp;" x "&amp;F395,F395&amp;" reps"),IF(IF(N(H395)=0,0,IF(N(G395)&gt;0,G395*(1+H395/30),H395))=X395,IF(N(G395)&gt;0,G395&amp;" x "&amp;H395,H395&amp;" reps"),IF(IF(N(J395)=0,0,IF(N(I395)&gt;0,I395*(1+J395/30),J395))=X395,IF(N(I395)&gt;0,I395&amp;" x "&amp;J395,J395&amp;" reps"),IF(IF(N(L395)=0,0,IF(N(K395)&gt;0,K395*(1+L395/30),L395))=X395,IF(N(K395)&gt;0,K395&amp;" x "&amp;L395,L395&amp;" reps"),IF(IF(N(N395)=0,0,IF(N(M395)&gt;0,M395*(1+N395/30),N395))=X395,IF(N(M395)&gt;0,M395&amp;" x "&amp;N395,N395&amp;" reps"),""))))))</f>
        <v/>
      </c>
      <c r="R395" s="20">
        <f>IF(N(X395)=0,"",ROUND(X395,1))</f>
        <v/>
      </c>
      <c r="S395" s="18">
        <f>IF(N(X395)=0,"",IF(AND(COUNTIFS(Log!$D$6:$D$1505,D395,Log!$B$6:$B$1505,"&lt;"&amp;B395)&gt;0,COUNTIFS(Log!$D$6:$D$1505,D395,Log!$B$6:$B$1505,"&lt;"&amp;B395,Log!$X$6:$X$1505,"&gt;="&amp;X395)=0),"New best",""))</f>
        <v/>
      </c>
      <c r="T395" s="26" t="n"/>
      <c r="U395" s="1">
        <f>IF(D395="","",IFERROR(INDEX(Exercises!$C$6:$C$105,MATCH(D395,Exercises!$B$6:$B$105,0)),"Other"))</f>
        <v/>
      </c>
      <c r="V395">
        <f>IF(B395="","",IF(COUNTIF($B$6:B395,B395)=1,1,0))</f>
        <v/>
      </c>
      <c r="W395">
        <f>IF(B395="","",B395-WEEKDAY(B395,3))</f>
        <v/>
      </c>
      <c r="X395">
        <f>IF(D395="","",MAX(IF(N(F395)=0,0,IF(N(E395)&gt;0,E395*(1+F395/30),F395)),IF(N(H395)=0,0,IF(N(G395)&gt;0,G395*(1+H395/30),H395)),IF(N(J395)=0,0,IF(N(I395)&gt;0,I395*(1+J395/30),J395)),IF(N(L395)=0,0,IF(N(K395)&gt;0,K395*(1+L395/30),L395)),IF(N(N395)=0,0,IF(N(M395)&gt;0,M395*(1+N395/30),N395))))</f>
        <v/>
      </c>
      <c r="Y395">
        <f>IF(N(X395)=0,"",X395+ROW()/1000000000)</f>
        <v/>
      </c>
      <c r="Z395">
        <f>IF(Y395="","",IF(COUNTIFS(Log!$D$6:$D$1505,D395,Log!$Y$6:$Y$1505,"&gt;"&amp;Y395)=0,1,0))</f>
        <v/>
      </c>
      <c r="AA395">
        <f>IF(OR(B395="",D395=""),"",B395+ROW()/10000000)</f>
        <v/>
      </c>
      <c r="AB395">
        <f>IF(AA395="","",IF(COUNTIFS(Log!$D$6:$D$1505,D395,Log!$AA$6:$AA$1505,"&gt;"&amp;AA395)=0,1,0))</f>
        <v/>
      </c>
      <c r="AC395">
        <f>IF(S395="New best",AA395,"")</f>
        <v/>
      </c>
      <c r="AD395">
        <f>ROW()</f>
        <v/>
      </c>
    </row>
    <row r="396">
      <c r="A396" s="1" t="n"/>
      <c r="B396" s="21" t="n"/>
      <c r="C396" s="22" t="n"/>
      <c r="D396" s="23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15">
        <f>IF(D396="","",COUNT(F396,H396,J396,L396,N396))</f>
        <v/>
      </c>
      <c r="P396" s="25">
        <f>IF(D396="","",N(E396)*N(F396)+N(G396)*N(H396)+N(I396)*N(J396)+N(K396)*N(L396)+N(M396)*N(N396))</f>
        <v/>
      </c>
      <c r="Q396" s="18">
        <f>IF(N(X396)=0,"",IF(IF(N(F396)=0,0,IF(N(E396)&gt;0,E396*(1+F396/30),F396))=X396,IF(N(E396)&gt;0,E396&amp;" x "&amp;F396,F396&amp;" reps"),IF(IF(N(H396)=0,0,IF(N(G396)&gt;0,G396*(1+H396/30),H396))=X396,IF(N(G396)&gt;0,G396&amp;" x "&amp;H396,H396&amp;" reps"),IF(IF(N(J396)=0,0,IF(N(I396)&gt;0,I396*(1+J396/30),J396))=X396,IF(N(I396)&gt;0,I396&amp;" x "&amp;J396,J396&amp;" reps"),IF(IF(N(L396)=0,0,IF(N(K396)&gt;0,K396*(1+L396/30),L396))=X396,IF(N(K396)&gt;0,K396&amp;" x "&amp;L396,L396&amp;" reps"),IF(IF(N(N396)=0,0,IF(N(M396)&gt;0,M396*(1+N396/30),N396))=X396,IF(N(M396)&gt;0,M396&amp;" x "&amp;N396,N396&amp;" reps"),""))))))</f>
        <v/>
      </c>
      <c r="R396" s="20">
        <f>IF(N(X396)=0,"",ROUND(X396,1))</f>
        <v/>
      </c>
      <c r="S396" s="18">
        <f>IF(N(X396)=0,"",IF(AND(COUNTIFS(Log!$D$6:$D$1505,D396,Log!$B$6:$B$1505,"&lt;"&amp;B396)&gt;0,COUNTIFS(Log!$D$6:$D$1505,D396,Log!$B$6:$B$1505,"&lt;"&amp;B396,Log!$X$6:$X$1505,"&gt;="&amp;X396)=0),"New best",""))</f>
        <v/>
      </c>
      <c r="T396" s="26" t="n"/>
      <c r="U396" s="1">
        <f>IF(D396="","",IFERROR(INDEX(Exercises!$C$6:$C$105,MATCH(D396,Exercises!$B$6:$B$105,0)),"Other"))</f>
        <v/>
      </c>
      <c r="V396">
        <f>IF(B396="","",IF(COUNTIF($B$6:B396,B396)=1,1,0))</f>
        <v/>
      </c>
      <c r="W396">
        <f>IF(B396="","",B396-WEEKDAY(B396,3))</f>
        <v/>
      </c>
      <c r="X396">
        <f>IF(D396="","",MAX(IF(N(F396)=0,0,IF(N(E396)&gt;0,E396*(1+F396/30),F396)),IF(N(H396)=0,0,IF(N(G396)&gt;0,G396*(1+H396/30),H396)),IF(N(J396)=0,0,IF(N(I396)&gt;0,I396*(1+J396/30),J396)),IF(N(L396)=0,0,IF(N(K396)&gt;0,K396*(1+L396/30),L396)),IF(N(N396)=0,0,IF(N(M396)&gt;0,M396*(1+N396/30),N396))))</f>
        <v/>
      </c>
      <c r="Y396">
        <f>IF(N(X396)=0,"",X396+ROW()/1000000000)</f>
        <v/>
      </c>
      <c r="Z396">
        <f>IF(Y396="","",IF(COUNTIFS(Log!$D$6:$D$1505,D396,Log!$Y$6:$Y$1505,"&gt;"&amp;Y396)=0,1,0))</f>
        <v/>
      </c>
      <c r="AA396">
        <f>IF(OR(B396="",D396=""),"",B396+ROW()/10000000)</f>
        <v/>
      </c>
      <c r="AB396">
        <f>IF(AA396="","",IF(COUNTIFS(Log!$D$6:$D$1505,D396,Log!$AA$6:$AA$1505,"&gt;"&amp;AA396)=0,1,0))</f>
        <v/>
      </c>
      <c r="AC396">
        <f>IF(S396="New best",AA396,"")</f>
        <v/>
      </c>
      <c r="AD396">
        <f>ROW()</f>
        <v/>
      </c>
    </row>
    <row r="397">
      <c r="A397" s="1" t="n"/>
      <c r="B397" s="21" t="n"/>
      <c r="C397" s="22" t="n"/>
      <c r="D397" s="23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15">
        <f>IF(D397="","",COUNT(F397,H397,J397,L397,N397))</f>
        <v/>
      </c>
      <c r="P397" s="25">
        <f>IF(D397="","",N(E397)*N(F397)+N(G397)*N(H397)+N(I397)*N(J397)+N(K397)*N(L397)+N(M397)*N(N397))</f>
        <v/>
      </c>
      <c r="Q397" s="18">
        <f>IF(N(X397)=0,"",IF(IF(N(F397)=0,0,IF(N(E397)&gt;0,E397*(1+F397/30),F397))=X397,IF(N(E397)&gt;0,E397&amp;" x "&amp;F397,F397&amp;" reps"),IF(IF(N(H397)=0,0,IF(N(G397)&gt;0,G397*(1+H397/30),H397))=X397,IF(N(G397)&gt;0,G397&amp;" x "&amp;H397,H397&amp;" reps"),IF(IF(N(J397)=0,0,IF(N(I397)&gt;0,I397*(1+J397/30),J397))=X397,IF(N(I397)&gt;0,I397&amp;" x "&amp;J397,J397&amp;" reps"),IF(IF(N(L397)=0,0,IF(N(K397)&gt;0,K397*(1+L397/30),L397))=X397,IF(N(K397)&gt;0,K397&amp;" x "&amp;L397,L397&amp;" reps"),IF(IF(N(N397)=0,0,IF(N(M397)&gt;0,M397*(1+N397/30),N397))=X397,IF(N(M397)&gt;0,M397&amp;" x "&amp;N397,N397&amp;" reps"),""))))))</f>
        <v/>
      </c>
      <c r="R397" s="20">
        <f>IF(N(X397)=0,"",ROUND(X397,1))</f>
        <v/>
      </c>
      <c r="S397" s="18">
        <f>IF(N(X397)=0,"",IF(AND(COUNTIFS(Log!$D$6:$D$1505,D397,Log!$B$6:$B$1505,"&lt;"&amp;B397)&gt;0,COUNTIFS(Log!$D$6:$D$1505,D397,Log!$B$6:$B$1505,"&lt;"&amp;B397,Log!$X$6:$X$1505,"&gt;="&amp;X397)=0),"New best",""))</f>
        <v/>
      </c>
      <c r="T397" s="26" t="n"/>
      <c r="U397" s="1">
        <f>IF(D397="","",IFERROR(INDEX(Exercises!$C$6:$C$105,MATCH(D397,Exercises!$B$6:$B$105,0)),"Other"))</f>
        <v/>
      </c>
      <c r="V397">
        <f>IF(B397="","",IF(COUNTIF($B$6:B397,B397)=1,1,0))</f>
        <v/>
      </c>
      <c r="W397">
        <f>IF(B397="","",B397-WEEKDAY(B397,3))</f>
        <v/>
      </c>
      <c r="X397">
        <f>IF(D397="","",MAX(IF(N(F397)=0,0,IF(N(E397)&gt;0,E397*(1+F397/30),F397)),IF(N(H397)=0,0,IF(N(G397)&gt;0,G397*(1+H397/30),H397)),IF(N(J397)=0,0,IF(N(I397)&gt;0,I397*(1+J397/30),J397)),IF(N(L397)=0,0,IF(N(K397)&gt;0,K397*(1+L397/30),L397)),IF(N(N397)=0,0,IF(N(M397)&gt;0,M397*(1+N397/30),N397))))</f>
        <v/>
      </c>
      <c r="Y397">
        <f>IF(N(X397)=0,"",X397+ROW()/1000000000)</f>
        <v/>
      </c>
      <c r="Z397">
        <f>IF(Y397="","",IF(COUNTIFS(Log!$D$6:$D$1505,D397,Log!$Y$6:$Y$1505,"&gt;"&amp;Y397)=0,1,0))</f>
        <v/>
      </c>
      <c r="AA397">
        <f>IF(OR(B397="",D397=""),"",B397+ROW()/10000000)</f>
        <v/>
      </c>
      <c r="AB397">
        <f>IF(AA397="","",IF(COUNTIFS(Log!$D$6:$D$1505,D397,Log!$AA$6:$AA$1505,"&gt;"&amp;AA397)=0,1,0))</f>
        <v/>
      </c>
      <c r="AC397">
        <f>IF(S397="New best",AA397,"")</f>
        <v/>
      </c>
      <c r="AD397">
        <f>ROW()</f>
        <v/>
      </c>
    </row>
    <row r="398">
      <c r="A398" s="1" t="n"/>
      <c r="B398" s="21" t="n"/>
      <c r="C398" s="22" t="n"/>
      <c r="D398" s="23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15">
        <f>IF(D398="","",COUNT(F398,H398,J398,L398,N398))</f>
        <v/>
      </c>
      <c r="P398" s="25">
        <f>IF(D398="","",N(E398)*N(F398)+N(G398)*N(H398)+N(I398)*N(J398)+N(K398)*N(L398)+N(M398)*N(N398))</f>
        <v/>
      </c>
      <c r="Q398" s="18">
        <f>IF(N(X398)=0,"",IF(IF(N(F398)=0,0,IF(N(E398)&gt;0,E398*(1+F398/30),F398))=X398,IF(N(E398)&gt;0,E398&amp;" x "&amp;F398,F398&amp;" reps"),IF(IF(N(H398)=0,0,IF(N(G398)&gt;0,G398*(1+H398/30),H398))=X398,IF(N(G398)&gt;0,G398&amp;" x "&amp;H398,H398&amp;" reps"),IF(IF(N(J398)=0,0,IF(N(I398)&gt;0,I398*(1+J398/30),J398))=X398,IF(N(I398)&gt;0,I398&amp;" x "&amp;J398,J398&amp;" reps"),IF(IF(N(L398)=0,0,IF(N(K398)&gt;0,K398*(1+L398/30),L398))=X398,IF(N(K398)&gt;0,K398&amp;" x "&amp;L398,L398&amp;" reps"),IF(IF(N(N398)=0,0,IF(N(M398)&gt;0,M398*(1+N398/30),N398))=X398,IF(N(M398)&gt;0,M398&amp;" x "&amp;N398,N398&amp;" reps"),""))))))</f>
        <v/>
      </c>
      <c r="R398" s="20">
        <f>IF(N(X398)=0,"",ROUND(X398,1))</f>
        <v/>
      </c>
      <c r="S398" s="18">
        <f>IF(N(X398)=0,"",IF(AND(COUNTIFS(Log!$D$6:$D$1505,D398,Log!$B$6:$B$1505,"&lt;"&amp;B398)&gt;0,COUNTIFS(Log!$D$6:$D$1505,D398,Log!$B$6:$B$1505,"&lt;"&amp;B398,Log!$X$6:$X$1505,"&gt;="&amp;X398)=0),"New best",""))</f>
        <v/>
      </c>
      <c r="T398" s="26" t="n"/>
      <c r="U398" s="1">
        <f>IF(D398="","",IFERROR(INDEX(Exercises!$C$6:$C$105,MATCH(D398,Exercises!$B$6:$B$105,0)),"Other"))</f>
        <v/>
      </c>
      <c r="V398">
        <f>IF(B398="","",IF(COUNTIF($B$6:B398,B398)=1,1,0))</f>
        <v/>
      </c>
      <c r="W398">
        <f>IF(B398="","",B398-WEEKDAY(B398,3))</f>
        <v/>
      </c>
      <c r="X398">
        <f>IF(D398="","",MAX(IF(N(F398)=0,0,IF(N(E398)&gt;0,E398*(1+F398/30),F398)),IF(N(H398)=0,0,IF(N(G398)&gt;0,G398*(1+H398/30),H398)),IF(N(J398)=0,0,IF(N(I398)&gt;0,I398*(1+J398/30),J398)),IF(N(L398)=0,0,IF(N(K398)&gt;0,K398*(1+L398/30),L398)),IF(N(N398)=0,0,IF(N(M398)&gt;0,M398*(1+N398/30),N398))))</f>
        <v/>
      </c>
      <c r="Y398">
        <f>IF(N(X398)=0,"",X398+ROW()/1000000000)</f>
        <v/>
      </c>
      <c r="Z398">
        <f>IF(Y398="","",IF(COUNTIFS(Log!$D$6:$D$1505,D398,Log!$Y$6:$Y$1505,"&gt;"&amp;Y398)=0,1,0))</f>
        <v/>
      </c>
      <c r="AA398">
        <f>IF(OR(B398="",D398=""),"",B398+ROW()/10000000)</f>
        <v/>
      </c>
      <c r="AB398">
        <f>IF(AA398="","",IF(COUNTIFS(Log!$D$6:$D$1505,D398,Log!$AA$6:$AA$1505,"&gt;"&amp;AA398)=0,1,0))</f>
        <v/>
      </c>
      <c r="AC398">
        <f>IF(S398="New best",AA398,"")</f>
        <v/>
      </c>
      <c r="AD398">
        <f>ROW()</f>
        <v/>
      </c>
    </row>
    <row r="399">
      <c r="A399" s="1" t="n"/>
      <c r="B399" s="21" t="n"/>
      <c r="C399" s="22" t="n"/>
      <c r="D399" s="23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15">
        <f>IF(D399="","",COUNT(F399,H399,J399,L399,N399))</f>
        <v/>
      </c>
      <c r="P399" s="25">
        <f>IF(D399="","",N(E399)*N(F399)+N(G399)*N(H399)+N(I399)*N(J399)+N(K399)*N(L399)+N(M399)*N(N399))</f>
        <v/>
      </c>
      <c r="Q399" s="18">
        <f>IF(N(X399)=0,"",IF(IF(N(F399)=0,0,IF(N(E399)&gt;0,E399*(1+F399/30),F399))=X399,IF(N(E399)&gt;0,E399&amp;" x "&amp;F399,F399&amp;" reps"),IF(IF(N(H399)=0,0,IF(N(G399)&gt;0,G399*(1+H399/30),H399))=X399,IF(N(G399)&gt;0,G399&amp;" x "&amp;H399,H399&amp;" reps"),IF(IF(N(J399)=0,0,IF(N(I399)&gt;0,I399*(1+J399/30),J399))=X399,IF(N(I399)&gt;0,I399&amp;" x "&amp;J399,J399&amp;" reps"),IF(IF(N(L399)=0,0,IF(N(K399)&gt;0,K399*(1+L399/30),L399))=X399,IF(N(K399)&gt;0,K399&amp;" x "&amp;L399,L399&amp;" reps"),IF(IF(N(N399)=0,0,IF(N(M399)&gt;0,M399*(1+N399/30),N399))=X399,IF(N(M399)&gt;0,M399&amp;" x "&amp;N399,N399&amp;" reps"),""))))))</f>
        <v/>
      </c>
      <c r="R399" s="20">
        <f>IF(N(X399)=0,"",ROUND(X399,1))</f>
        <v/>
      </c>
      <c r="S399" s="18">
        <f>IF(N(X399)=0,"",IF(AND(COUNTIFS(Log!$D$6:$D$1505,D399,Log!$B$6:$B$1505,"&lt;"&amp;B399)&gt;0,COUNTIFS(Log!$D$6:$D$1505,D399,Log!$B$6:$B$1505,"&lt;"&amp;B399,Log!$X$6:$X$1505,"&gt;="&amp;X399)=0),"New best",""))</f>
        <v/>
      </c>
      <c r="T399" s="26" t="n"/>
      <c r="U399" s="1">
        <f>IF(D399="","",IFERROR(INDEX(Exercises!$C$6:$C$105,MATCH(D399,Exercises!$B$6:$B$105,0)),"Other"))</f>
        <v/>
      </c>
      <c r="V399">
        <f>IF(B399="","",IF(COUNTIF($B$6:B399,B399)=1,1,0))</f>
        <v/>
      </c>
      <c r="W399">
        <f>IF(B399="","",B399-WEEKDAY(B399,3))</f>
        <v/>
      </c>
      <c r="X399">
        <f>IF(D399="","",MAX(IF(N(F399)=0,0,IF(N(E399)&gt;0,E399*(1+F399/30),F399)),IF(N(H399)=0,0,IF(N(G399)&gt;0,G399*(1+H399/30),H399)),IF(N(J399)=0,0,IF(N(I399)&gt;0,I399*(1+J399/30),J399)),IF(N(L399)=0,0,IF(N(K399)&gt;0,K399*(1+L399/30),L399)),IF(N(N399)=0,0,IF(N(M399)&gt;0,M399*(1+N399/30),N399))))</f>
        <v/>
      </c>
      <c r="Y399">
        <f>IF(N(X399)=0,"",X399+ROW()/1000000000)</f>
        <v/>
      </c>
      <c r="Z399">
        <f>IF(Y399="","",IF(COUNTIFS(Log!$D$6:$D$1505,D399,Log!$Y$6:$Y$1505,"&gt;"&amp;Y399)=0,1,0))</f>
        <v/>
      </c>
      <c r="AA399">
        <f>IF(OR(B399="",D399=""),"",B399+ROW()/10000000)</f>
        <v/>
      </c>
      <c r="AB399">
        <f>IF(AA399="","",IF(COUNTIFS(Log!$D$6:$D$1505,D399,Log!$AA$6:$AA$1505,"&gt;"&amp;AA399)=0,1,0))</f>
        <v/>
      </c>
      <c r="AC399">
        <f>IF(S399="New best",AA399,"")</f>
        <v/>
      </c>
      <c r="AD399">
        <f>ROW()</f>
        <v/>
      </c>
    </row>
    <row r="400">
      <c r="A400" s="1" t="n"/>
      <c r="B400" s="21" t="n"/>
      <c r="C400" s="22" t="n"/>
      <c r="D400" s="23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15">
        <f>IF(D400="","",COUNT(F400,H400,J400,L400,N400))</f>
        <v/>
      </c>
      <c r="P400" s="25">
        <f>IF(D400="","",N(E400)*N(F400)+N(G400)*N(H400)+N(I400)*N(J400)+N(K400)*N(L400)+N(M400)*N(N400))</f>
        <v/>
      </c>
      <c r="Q400" s="18">
        <f>IF(N(X400)=0,"",IF(IF(N(F400)=0,0,IF(N(E400)&gt;0,E400*(1+F400/30),F400))=X400,IF(N(E400)&gt;0,E400&amp;" x "&amp;F400,F400&amp;" reps"),IF(IF(N(H400)=0,0,IF(N(G400)&gt;0,G400*(1+H400/30),H400))=X400,IF(N(G400)&gt;0,G400&amp;" x "&amp;H400,H400&amp;" reps"),IF(IF(N(J400)=0,0,IF(N(I400)&gt;0,I400*(1+J400/30),J400))=X400,IF(N(I400)&gt;0,I400&amp;" x "&amp;J400,J400&amp;" reps"),IF(IF(N(L400)=0,0,IF(N(K400)&gt;0,K400*(1+L400/30),L400))=X400,IF(N(K400)&gt;0,K400&amp;" x "&amp;L400,L400&amp;" reps"),IF(IF(N(N400)=0,0,IF(N(M400)&gt;0,M400*(1+N400/30),N400))=X400,IF(N(M400)&gt;0,M400&amp;" x "&amp;N400,N400&amp;" reps"),""))))))</f>
        <v/>
      </c>
      <c r="R400" s="20">
        <f>IF(N(X400)=0,"",ROUND(X400,1))</f>
        <v/>
      </c>
      <c r="S400" s="18">
        <f>IF(N(X400)=0,"",IF(AND(COUNTIFS(Log!$D$6:$D$1505,D400,Log!$B$6:$B$1505,"&lt;"&amp;B400)&gt;0,COUNTIFS(Log!$D$6:$D$1505,D400,Log!$B$6:$B$1505,"&lt;"&amp;B400,Log!$X$6:$X$1505,"&gt;="&amp;X400)=0),"New best",""))</f>
        <v/>
      </c>
      <c r="T400" s="26" t="n"/>
      <c r="U400" s="1">
        <f>IF(D400="","",IFERROR(INDEX(Exercises!$C$6:$C$105,MATCH(D400,Exercises!$B$6:$B$105,0)),"Other"))</f>
        <v/>
      </c>
      <c r="V400">
        <f>IF(B400="","",IF(COUNTIF($B$6:B400,B400)=1,1,0))</f>
        <v/>
      </c>
      <c r="W400">
        <f>IF(B400="","",B400-WEEKDAY(B400,3))</f>
        <v/>
      </c>
      <c r="X400">
        <f>IF(D400="","",MAX(IF(N(F400)=0,0,IF(N(E400)&gt;0,E400*(1+F400/30),F400)),IF(N(H400)=0,0,IF(N(G400)&gt;0,G400*(1+H400/30),H400)),IF(N(J400)=0,0,IF(N(I400)&gt;0,I400*(1+J400/30),J400)),IF(N(L400)=0,0,IF(N(K400)&gt;0,K400*(1+L400/30),L400)),IF(N(N400)=0,0,IF(N(M400)&gt;0,M400*(1+N400/30),N400))))</f>
        <v/>
      </c>
      <c r="Y400">
        <f>IF(N(X400)=0,"",X400+ROW()/1000000000)</f>
        <v/>
      </c>
      <c r="Z400">
        <f>IF(Y400="","",IF(COUNTIFS(Log!$D$6:$D$1505,D400,Log!$Y$6:$Y$1505,"&gt;"&amp;Y400)=0,1,0))</f>
        <v/>
      </c>
      <c r="AA400">
        <f>IF(OR(B400="",D400=""),"",B400+ROW()/10000000)</f>
        <v/>
      </c>
      <c r="AB400">
        <f>IF(AA400="","",IF(COUNTIFS(Log!$D$6:$D$1505,D400,Log!$AA$6:$AA$1505,"&gt;"&amp;AA400)=0,1,0))</f>
        <v/>
      </c>
      <c r="AC400">
        <f>IF(S400="New best",AA400,"")</f>
        <v/>
      </c>
      <c r="AD400">
        <f>ROW()</f>
        <v/>
      </c>
    </row>
    <row r="401">
      <c r="A401" s="1" t="n"/>
      <c r="B401" s="21" t="n"/>
      <c r="C401" s="22" t="n"/>
      <c r="D401" s="23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15">
        <f>IF(D401="","",COUNT(F401,H401,J401,L401,N401))</f>
        <v/>
      </c>
      <c r="P401" s="25">
        <f>IF(D401="","",N(E401)*N(F401)+N(G401)*N(H401)+N(I401)*N(J401)+N(K401)*N(L401)+N(M401)*N(N401))</f>
        <v/>
      </c>
      <c r="Q401" s="18">
        <f>IF(N(X401)=0,"",IF(IF(N(F401)=0,0,IF(N(E401)&gt;0,E401*(1+F401/30),F401))=X401,IF(N(E401)&gt;0,E401&amp;" x "&amp;F401,F401&amp;" reps"),IF(IF(N(H401)=0,0,IF(N(G401)&gt;0,G401*(1+H401/30),H401))=X401,IF(N(G401)&gt;0,G401&amp;" x "&amp;H401,H401&amp;" reps"),IF(IF(N(J401)=0,0,IF(N(I401)&gt;0,I401*(1+J401/30),J401))=X401,IF(N(I401)&gt;0,I401&amp;" x "&amp;J401,J401&amp;" reps"),IF(IF(N(L401)=0,0,IF(N(K401)&gt;0,K401*(1+L401/30),L401))=X401,IF(N(K401)&gt;0,K401&amp;" x "&amp;L401,L401&amp;" reps"),IF(IF(N(N401)=0,0,IF(N(M401)&gt;0,M401*(1+N401/30),N401))=X401,IF(N(M401)&gt;0,M401&amp;" x "&amp;N401,N401&amp;" reps"),""))))))</f>
        <v/>
      </c>
      <c r="R401" s="20">
        <f>IF(N(X401)=0,"",ROUND(X401,1))</f>
        <v/>
      </c>
      <c r="S401" s="18">
        <f>IF(N(X401)=0,"",IF(AND(COUNTIFS(Log!$D$6:$D$1505,D401,Log!$B$6:$B$1505,"&lt;"&amp;B401)&gt;0,COUNTIFS(Log!$D$6:$D$1505,D401,Log!$B$6:$B$1505,"&lt;"&amp;B401,Log!$X$6:$X$1505,"&gt;="&amp;X401)=0),"New best",""))</f>
        <v/>
      </c>
      <c r="T401" s="26" t="n"/>
      <c r="U401" s="1">
        <f>IF(D401="","",IFERROR(INDEX(Exercises!$C$6:$C$105,MATCH(D401,Exercises!$B$6:$B$105,0)),"Other"))</f>
        <v/>
      </c>
      <c r="V401">
        <f>IF(B401="","",IF(COUNTIF($B$6:B401,B401)=1,1,0))</f>
        <v/>
      </c>
      <c r="W401">
        <f>IF(B401="","",B401-WEEKDAY(B401,3))</f>
        <v/>
      </c>
      <c r="X401">
        <f>IF(D401="","",MAX(IF(N(F401)=0,0,IF(N(E401)&gt;0,E401*(1+F401/30),F401)),IF(N(H401)=0,0,IF(N(G401)&gt;0,G401*(1+H401/30),H401)),IF(N(J401)=0,0,IF(N(I401)&gt;0,I401*(1+J401/30),J401)),IF(N(L401)=0,0,IF(N(K401)&gt;0,K401*(1+L401/30),L401)),IF(N(N401)=0,0,IF(N(M401)&gt;0,M401*(1+N401/30),N401))))</f>
        <v/>
      </c>
      <c r="Y401">
        <f>IF(N(X401)=0,"",X401+ROW()/1000000000)</f>
        <v/>
      </c>
      <c r="Z401">
        <f>IF(Y401="","",IF(COUNTIFS(Log!$D$6:$D$1505,D401,Log!$Y$6:$Y$1505,"&gt;"&amp;Y401)=0,1,0))</f>
        <v/>
      </c>
      <c r="AA401">
        <f>IF(OR(B401="",D401=""),"",B401+ROW()/10000000)</f>
        <v/>
      </c>
      <c r="AB401">
        <f>IF(AA401="","",IF(COUNTIFS(Log!$D$6:$D$1505,D401,Log!$AA$6:$AA$1505,"&gt;"&amp;AA401)=0,1,0))</f>
        <v/>
      </c>
      <c r="AC401">
        <f>IF(S401="New best",AA401,"")</f>
        <v/>
      </c>
      <c r="AD401">
        <f>ROW()</f>
        <v/>
      </c>
    </row>
    <row r="402">
      <c r="A402" s="1" t="n"/>
      <c r="B402" s="21" t="n"/>
      <c r="C402" s="22" t="n"/>
      <c r="D402" s="23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15">
        <f>IF(D402="","",COUNT(F402,H402,J402,L402,N402))</f>
        <v/>
      </c>
      <c r="P402" s="25">
        <f>IF(D402="","",N(E402)*N(F402)+N(G402)*N(H402)+N(I402)*N(J402)+N(K402)*N(L402)+N(M402)*N(N402))</f>
        <v/>
      </c>
      <c r="Q402" s="18">
        <f>IF(N(X402)=0,"",IF(IF(N(F402)=0,0,IF(N(E402)&gt;0,E402*(1+F402/30),F402))=X402,IF(N(E402)&gt;0,E402&amp;" x "&amp;F402,F402&amp;" reps"),IF(IF(N(H402)=0,0,IF(N(G402)&gt;0,G402*(1+H402/30),H402))=X402,IF(N(G402)&gt;0,G402&amp;" x "&amp;H402,H402&amp;" reps"),IF(IF(N(J402)=0,0,IF(N(I402)&gt;0,I402*(1+J402/30),J402))=X402,IF(N(I402)&gt;0,I402&amp;" x "&amp;J402,J402&amp;" reps"),IF(IF(N(L402)=0,0,IF(N(K402)&gt;0,K402*(1+L402/30),L402))=X402,IF(N(K402)&gt;0,K402&amp;" x "&amp;L402,L402&amp;" reps"),IF(IF(N(N402)=0,0,IF(N(M402)&gt;0,M402*(1+N402/30),N402))=X402,IF(N(M402)&gt;0,M402&amp;" x "&amp;N402,N402&amp;" reps"),""))))))</f>
        <v/>
      </c>
      <c r="R402" s="20">
        <f>IF(N(X402)=0,"",ROUND(X402,1))</f>
        <v/>
      </c>
      <c r="S402" s="18">
        <f>IF(N(X402)=0,"",IF(AND(COUNTIFS(Log!$D$6:$D$1505,D402,Log!$B$6:$B$1505,"&lt;"&amp;B402)&gt;0,COUNTIFS(Log!$D$6:$D$1505,D402,Log!$B$6:$B$1505,"&lt;"&amp;B402,Log!$X$6:$X$1505,"&gt;="&amp;X402)=0),"New best",""))</f>
        <v/>
      </c>
      <c r="T402" s="26" t="n"/>
      <c r="U402" s="1">
        <f>IF(D402="","",IFERROR(INDEX(Exercises!$C$6:$C$105,MATCH(D402,Exercises!$B$6:$B$105,0)),"Other"))</f>
        <v/>
      </c>
      <c r="V402">
        <f>IF(B402="","",IF(COUNTIF($B$6:B402,B402)=1,1,0))</f>
        <v/>
      </c>
      <c r="W402">
        <f>IF(B402="","",B402-WEEKDAY(B402,3))</f>
        <v/>
      </c>
      <c r="X402">
        <f>IF(D402="","",MAX(IF(N(F402)=0,0,IF(N(E402)&gt;0,E402*(1+F402/30),F402)),IF(N(H402)=0,0,IF(N(G402)&gt;0,G402*(1+H402/30),H402)),IF(N(J402)=0,0,IF(N(I402)&gt;0,I402*(1+J402/30),J402)),IF(N(L402)=0,0,IF(N(K402)&gt;0,K402*(1+L402/30),L402)),IF(N(N402)=0,0,IF(N(M402)&gt;0,M402*(1+N402/30),N402))))</f>
        <v/>
      </c>
      <c r="Y402">
        <f>IF(N(X402)=0,"",X402+ROW()/1000000000)</f>
        <v/>
      </c>
      <c r="Z402">
        <f>IF(Y402="","",IF(COUNTIFS(Log!$D$6:$D$1505,D402,Log!$Y$6:$Y$1505,"&gt;"&amp;Y402)=0,1,0))</f>
        <v/>
      </c>
      <c r="AA402">
        <f>IF(OR(B402="",D402=""),"",B402+ROW()/10000000)</f>
        <v/>
      </c>
      <c r="AB402">
        <f>IF(AA402="","",IF(COUNTIFS(Log!$D$6:$D$1505,D402,Log!$AA$6:$AA$1505,"&gt;"&amp;AA402)=0,1,0))</f>
        <v/>
      </c>
      <c r="AC402">
        <f>IF(S402="New best",AA402,"")</f>
        <v/>
      </c>
      <c r="AD402">
        <f>ROW()</f>
        <v/>
      </c>
    </row>
    <row r="403">
      <c r="A403" s="1" t="n"/>
      <c r="B403" s="21" t="n"/>
      <c r="C403" s="22" t="n"/>
      <c r="D403" s="23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15">
        <f>IF(D403="","",COUNT(F403,H403,J403,L403,N403))</f>
        <v/>
      </c>
      <c r="P403" s="25">
        <f>IF(D403="","",N(E403)*N(F403)+N(G403)*N(H403)+N(I403)*N(J403)+N(K403)*N(L403)+N(M403)*N(N403))</f>
        <v/>
      </c>
      <c r="Q403" s="18">
        <f>IF(N(X403)=0,"",IF(IF(N(F403)=0,0,IF(N(E403)&gt;0,E403*(1+F403/30),F403))=X403,IF(N(E403)&gt;0,E403&amp;" x "&amp;F403,F403&amp;" reps"),IF(IF(N(H403)=0,0,IF(N(G403)&gt;0,G403*(1+H403/30),H403))=X403,IF(N(G403)&gt;0,G403&amp;" x "&amp;H403,H403&amp;" reps"),IF(IF(N(J403)=0,0,IF(N(I403)&gt;0,I403*(1+J403/30),J403))=X403,IF(N(I403)&gt;0,I403&amp;" x "&amp;J403,J403&amp;" reps"),IF(IF(N(L403)=0,0,IF(N(K403)&gt;0,K403*(1+L403/30),L403))=X403,IF(N(K403)&gt;0,K403&amp;" x "&amp;L403,L403&amp;" reps"),IF(IF(N(N403)=0,0,IF(N(M403)&gt;0,M403*(1+N403/30),N403))=X403,IF(N(M403)&gt;0,M403&amp;" x "&amp;N403,N403&amp;" reps"),""))))))</f>
        <v/>
      </c>
      <c r="R403" s="20">
        <f>IF(N(X403)=0,"",ROUND(X403,1))</f>
        <v/>
      </c>
      <c r="S403" s="18">
        <f>IF(N(X403)=0,"",IF(AND(COUNTIFS(Log!$D$6:$D$1505,D403,Log!$B$6:$B$1505,"&lt;"&amp;B403)&gt;0,COUNTIFS(Log!$D$6:$D$1505,D403,Log!$B$6:$B$1505,"&lt;"&amp;B403,Log!$X$6:$X$1505,"&gt;="&amp;X403)=0),"New best",""))</f>
        <v/>
      </c>
      <c r="T403" s="26" t="n"/>
      <c r="U403" s="1">
        <f>IF(D403="","",IFERROR(INDEX(Exercises!$C$6:$C$105,MATCH(D403,Exercises!$B$6:$B$105,0)),"Other"))</f>
        <v/>
      </c>
      <c r="V403">
        <f>IF(B403="","",IF(COUNTIF($B$6:B403,B403)=1,1,0))</f>
        <v/>
      </c>
      <c r="W403">
        <f>IF(B403="","",B403-WEEKDAY(B403,3))</f>
        <v/>
      </c>
      <c r="X403">
        <f>IF(D403="","",MAX(IF(N(F403)=0,0,IF(N(E403)&gt;0,E403*(1+F403/30),F403)),IF(N(H403)=0,0,IF(N(G403)&gt;0,G403*(1+H403/30),H403)),IF(N(J403)=0,0,IF(N(I403)&gt;0,I403*(1+J403/30),J403)),IF(N(L403)=0,0,IF(N(K403)&gt;0,K403*(1+L403/30),L403)),IF(N(N403)=0,0,IF(N(M403)&gt;0,M403*(1+N403/30),N403))))</f>
        <v/>
      </c>
      <c r="Y403">
        <f>IF(N(X403)=0,"",X403+ROW()/1000000000)</f>
        <v/>
      </c>
      <c r="Z403">
        <f>IF(Y403="","",IF(COUNTIFS(Log!$D$6:$D$1505,D403,Log!$Y$6:$Y$1505,"&gt;"&amp;Y403)=0,1,0))</f>
        <v/>
      </c>
      <c r="AA403">
        <f>IF(OR(B403="",D403=""),"",B403+ROW()/10000000)</f>
        <v/>
      </c>
      <c r="AB403">
        <f>IF(AA403="","",IF(COUNTIFS(Log!$D$6:$D$1505,D403,Log!$AA$6:$AA$1505,"&gt;"&amp;AA403)=0,1,0))</f>
        <v/>
      </c>
      <c r="AC403">
        <f>IF(S403="New best",AA403,"")</f>
        <v/>
      </c>
      <c r="AD403">
        <f>ROW()</f>
        <v/>
      </c>
    </row>
    <row r="404">
      <c r="A404" s="1" t="n"/>
      <c r="B404" s="21" t="n"/>
      <c r="C404" s="22" t="n"/>
      <c r="D404" s="23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15">
        <f>IF(D404="","",COUNT(F404,H404,J404,L404,N404))</f>
        <v/>
      </c>
      <c r="P404" s="25">
        <f>IF(D404="","",N(E404)*N(F404)+N(G404)*N(H404)+N(I404)*N(J404)+N(K404)*N(L404)+N(M404)*N(N404))</f>
        <v/>
      </c>
      <c r="Q404" s="18">
        <f>IF(N(X404)=0,"",IF(IF(N(F404)=0,0,IF(N(E404)&gt;0,E404*(1+F404/30),F404))=X404,IF(N(E404)&gt;0,E404&amp;" x "&amp;F404,F404&amp;" reps"),IF(IF(N(H404)=0,0,IF(N(G404)&gt;0,G404*(1+H404/30),H404))=X404,IF(N(G404)&gt;0,G404&amp;" x "&amp;H404,H404&amp;" reps"),IF(IF(N(J404)=0,0,IF(N(I404)&gt;0,I404*(1+J404/30),J404))=X404,IF(N(I404)&gt;0,I404&amp;" x "&amp;J404,J404&amp;" reps"),IF(IF(N(L404)=0,0,IF(N(K404)&gt;0,K404*(1+L404/30),L404))=X404,IF(N(K404)&gt;0,K404&amp;" x "&amp;L404,L404&amp;" reps"),IF(IF(N(N404)=0,0,IF(N(M404)&gt;0,M404*(1+N404/30),N404))=X404,IF(N(M404)&gt;0,M404&amp;" x "&amp;N404,N404&amp;" reps"),""))))))</f>
        <v/>
      </c>
      <c r="R404" s="20">
        <f>IF(N(X404)=0,"",ROUND(X404,1))</f>
        <v/>
      </c>
      <c r="S404" s="18">
        <f>IF(N(X404)=0,"",IF(AND(COUNTIFS(Log!$D$6:$D$1505,D404,Log!$B$6:$B$1505,"&lt;"&amp;B404)&gt;0,COUNTIFS(Log!$D$6:$D$1505,D404,Log!$B$6:$B$1505,"&lt;"&amp;B404,Log!$X$6:$X$1505,"&gt;="&amp;X404)=0),"New best",""))</f>
        <v/>
      </c>
      <c r="T404" s="26" t="n"/>
      <c r="U404" s="1">
        <f>IF(D404="","",IFERROR(INDEX(Exercises!$C$6:$C$105,MATCH(D404,Exercises!$B$6:$B$105,0)),"Other"))</f>
        <v/>
      </c>
      <c r="V404">
        <f>IF(B404="","",IF(COUNTIF($B$6:B404,B404)=1,1,0))</f>
        <v/>
      </c>
      <c r="W404">
        <f>IF(B404="","",B404-WEEKDAY(B404,3))</f>
        <v/>
      </c>
      <c r="X404">
        <f>IF(D404="","",MAX(IF(N(F404)=0,0,IF(N(E404)&gt;0,E404*(1+F404/30),F404)),IF(N(H404)=0,0,IF(N(G404)&gt;0,G404*(1+H404/30),H404)),IF(N(J404)=0,0,IF(N(I404)&gt;0,I404*(1+J404/30),J404)),IF(N(L404)=0,0,IF(N(K404)&gt;0,K404*(1+L404/30),L404)),IF(N(N404)=0,0,IF(N(M404)&gt;0,M404*(1+N404/30),N404))))</f>
        <v/>
      </c>
      <c r="Y404">
        <f>IF(N(X404)=0,"",X404+ROW()/1000000000)</f>
        <v/>
      </c>
      <c r="Z404">
        <f>IF(Y404="","",IF(COUNTIFS(Log!$D$6:$D$1505,D404,Log!$Y$6:$Y$1505,"&gt;"&amp;Y404)=0,1,0))</f>
        <v/>
      </c>
      <c r="AA404">
        <f>IF(OR(B404="",D404=""),"",B404+ROW()/10000000)</f>
        <v/>
      </c>
      <c r="AB404">
        <f>IF(AA404="","",IF(COUNTIFS(Log!$D$6:$D$1505,D404,Log!$AA$6:$AA$1505,"&gt;"&amp;AA404)=0,1,0))</f>
        <v/>
      </c>
      <c r="AC404">
        <f>IF(S404="New best",AA404,"")</f>
        <v/>
      </c>
      <c r="AD404">
        <f>ROW()</f>
        <v/>
      </c>
    </row>
    <row r="405">
      <c r="A405" s="1" t="n"/>
      <c r="B405" s="21" t="n"/>
      <c r="C405" s="22" t="n"/>
      <c r="D405" s="23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15">
        <f>IF(D405="","",COUNT(F405,H405,J405,L405,N405))</f>
        <v/>
      </c>
      <c r="P405" s="25">
        <f>IF(D405="","",N(E405)*N(F405)+N(G405)*N(H405)+N(I405)*N(J405)+N(K405)*N(L405)+N(M405)*N(N405))</f>
        <v/>
      </c>
      <c r="Q405" s="18">
        <f>IF(N(X405)=0,"",IF(IF(N(F405)=0,0,IF(N(E405)&gt;0,E405*(1+F405/30),F405))=X405,IF(N(E405)&gt;0,E405&amp;" x "&amp;F405,F405&amp;" reps"),IF(IF(N(H405)=0,0,IF(N(G405)&gt;0,G405*(1+H405/30),H405))=X405,IF(N(G405)&gt;0,G405&amp;" x "&amp;H405,H405&amp;" reps"),IF(IF(N(J405)=0,0,IF(N(I405)&gt;0,I405*(1+J405/30),J405))=X405,IF(N(I405)&gt;0,I405&amp;" x "&amp;J405,J405&amp;" reps"),IF(IF(N(L405)=0,0,IF(N(K405)&gt;0,K405*(1+L405/30),L405))=X405,IF(N(K405)&gt;0,K405&amp;" x "&amp;L405,L405&amp;" reps"),IF(IF(N(N405)=0,0,IF(N(M405)&gt;0,M405*(1+N405/30),N405))=X405,IF(N(M405)&gt;0,M405&amp;" x "&amp;N405,N405&amp;" reps"),""))))))</f>
        <v/>
      </c>
      <c r="R405" s="20">
        <f>IF(N(X405)=0,"",ROUND(X405,1))</f>
        <v/>
      </c>
      <c r="S405" s="18">
        <f>IF(N(X405)=0,"",IF(AND(COUNTIFS(Log!$D$6:$D$1505,D405,Log!$B$6:$B$1505,"&lt;"&amp;B405)&gt;0,COUNTIFS(Log!$D$6:$D$1505,D405,Log!$B$6:$B$1505,"&lt;"&amp;B405,Log!$X$6:$X$1505,"&gt;="&amp;X405)=0),"New best",""))</f>
        <v/>
      </c>
      <c r="T405" s="26" t="n"/>
      <c r="U405" s="1">
        <f>IF(D405="","",IFERROR(INDEX(Exercises!$C$6:$C$105,MATCH(D405,Exercises!$B$6:$B$105,0)),"Other"))</f>
        <v/>
      </c>
      <c r="V405">
        <f>IF(B405="","",IF(COUNTIF($B$6:B405,B405)=1,1,0))</f>
        <v/>
      </c>
      <c r="W405">
        <f>IF(B405="","",B405-WEEKDAY(B405,3))</f>
        <v/>
      </c>
      <c r="X405">
        <f>IF(D405="","",MAX(IF(N(F405)=0,0,IF(N(E405)&gt;0,E405*(1+F405/30),F405)),IF(N(H405)=0,0,IF(N(G405)&gt;0,G405*(1+H405/30),H405)),IF(N(J405)=0,0,IF(N(I405)&gt;0,I405*(1+J405/30),J405)),IF(N(L405)=0,0,IF(N(K405)&gt;0,K405*(1+L405/30),L405)),IF(N(N405)=0,0,IF(N(M405)&gt;0,M405*(1+N405/30),N405))))</f>
        <v/>
      </c>
      <c r="Y405">
        <f>IF(N(X405)=0,"",X405+ROW()/1000000000)</f>
        <v/>
      </c>
      <c r="Z405">
        <f>IF(Y405="","",IF(COUNTIFS(Log!$D$6:$D$1505,D405,Log!$Y$6:$Y$1505,"&gt;"&amp;Y405)=0,1,0))</f>
        <v/>
      </c>
      <c r="AA405">
        <f>IF(OR(B405="",D405=""),"",B405+ROW()/10000000)</f>
        <v/>
      </c>
      <c r="AB405">
        <f>IF(AA405="","",IF(COUNTIFS(Log!$D$6:$D$1505,D405,Log!$AA$6:$AA$1505,"&gt;"&amp;AA405)=0,1,0))</f>
        <v/>
      </c>
      <c r="AC405">
        <f>IF(S405="New best",AA405,"")</f>
        <v/>
      </c>
      <c r="AD405">
        <f>ROW()</f>
        <v/>
      </c>
    </row>
    <row r="406">
      <c r="A406" s="1" t="n"/>
      <c r="B406" s="21" t="n"/>
      <c r="C406" s="22" t="n"/>
      <c r="D406" s="23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15">
        <f>IF(D406="","",COUNT(F406,H406,J406,L406,N406))</f>
        <v/>
      </c>
      <c r="P406" s="25">
        <f>IF(D406="","",N(E406)*N(F406)+N(G406)*N(H406)+N(I406)*N(J406)+N(K406)*N(L406)+N(M406)*N(N406))</f>
        <v/>
      </c>
      <c r="Q406" s="18">
        <f>IF(N(X406)=0,"",IF(IF(N(F406)=0,0,IF(N(E406)&gt;0,E406*(1+F406/30),F406))=X406,IF(N(E406)&gt;0,E406&amp;" x "&amp;F406,F406&amp;" reps"),IF(IF(N(H406)=0,0,IF(N(G406)&gt;0,G406*(1+H406/30),H406))=X406,IF(N(G406)&gt;0,G406&amp;" x "&amp;H406,H406&amp;" reps"),IF(IF(N(J406)=0,0,IF(N(I406)&gt;0,I406*(1+J406/30),J406))=X406,IF(N(I406)&gt;0,I406&amp;" x "&amp;J406,J406&amp;" reps"),IF(IF(N(L406)=0,0,IF(N(K406)&gt;0,K406*(1+L406/30),L406))=X406,IF(N(K406)&gt;0,K406&amp;" x "&amp;L406,L406&amp;" reps"),IF(IF(N(N406)=0,0,IF(N(M406)&gt;0,M406*(1+N406/30),N406))=X406,IF(N(M406)&gt;0,M406&amp;" x "&amp;N406,N406&amp;" reps"),""))))))</f>
        <v/>
      </c>
      <c r="R406" s="20">
        <f>IF(N(X406)=0,"",ROUND(X406,1))</f>
        <v/>
      </c>
      <c r="S406" s="18">
        <f>IF(N(X406)=0,"",IF(AND(COUNTIFS(Log!$D$6:$D$1505,D406,Log!$B$6:$B$1505,"&lt;"&amp;B406)&gt;0,COUNTIFS(Log!$D$6:$D$1505,D406,Log!$B$6:$B$1505,"&lt;"&amp;B406,Log!$X$6:$X$1505,"&gt;="&amp;X406)=0),"New best",""))</f>
        <v/>
      </c>
      <c r="T406" s="26" t="n"/>
      <c r="U406" s="1">
        <f>IF(D406="","",IFERROR(INDEX(Exercises!$C$6:$C$105,MATCH(D406,Exercises!$B$6:$B$105,0)),"Other"))</f>
        <v/>
      </c>
      <c r="V406">
        <f>IF(B406="","",IF(COUNTIF($B$6:B406,B406)=1,1,0))</f>
        <v/>
      </c>
      <c r="W406">
        <f>IF(B406="","",B406-WEEKDAY(B406,3))</f>
        <v/>
      </c>
      <c r="X406">
        <f>IF(D406="","",MAX(IF(N(F406)=0,0,IF(N(E406)&gt;0,E406*(1+F406/30),F406)),IF(N(H406)=0,0,IF(N(G406)&gt;0,G406*(1+H406/30),H406)),IF(N(J406)=0,0,IF(N(I406)&gt;0,I406*(1+J406/30),J406)),IF(N(L406)=0,0,IF(N(K406)&gt;0,K406*(1+L406/30),L406)),IF(N(N406)=0,0,IF(N(M406)&gt;0,M406*(1+N406/30),N406))))</f>
        <v/>
      </c>
      <c r="Y406">
        <f>IF(N(X406)=0,"",X406+ROW()/1000000000)</f>
        <v/>
      </c>
      <c r="Z406">
        <f>IF(Y406="","",IF(COUNTIFS(Log!$D$6:$D$1505,D406,Log!$Y$6:$Y$1505,"&gt;"&amp;Y406)=0,1,0))</f>
        <v/>
      </c>
      <c r="AA406">
        <f>IF(OR(B406="",D406=""),"",B406+ROW()/10000000)</f>
        <v/>
      </c>
      <c r="AB406">
        <f>IF(AA406="","",IF(COUNTIFS(Log!$D$6:$D$1505,D406,Log!$AA$6:$AA$1505,"&gt;"&amp;AA406)=0,1,0))</f>
        <v/>
      </c>
      <c r="AC406">
        <f>IF(S406="New best",AA406,"")</f>
        <v/>
      </c>
      <c r="AD406">
        <f>ROW()</f>
        <v/>
      </c>
    </row>
    <row r="407">
      <c r="A407" s="1" t="n"/>
      <c r="B407" s="21" t="n"/>
      <c r="C407" s="22" t="n"/>
      <c r="D407" s="23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15">
        <f>IF(D407="","",COUNT(F407,H407,J407,L407,N407))</f>
        <v/>
      </c>
      <c r="P407" s="25">
        <f>IF(D407="","",N(E407)*N(F407)+N(G407)*N(H407)+N(I407)*N(J407)+N(K407)*N(L407)+N(M407)*N(N407))</f>
        <v/>
      </c>
      <c r="Q407" s="18">
        <f>IF(N(X407)=0,"",IF(IF(N(F407)=0,0,IF(N(E407)&gt;0,E407*(1+F407/30),F407))=X407,IF(N(E407)&gt;0,E407&amp;" x "&amp;F407,F407&amp;" reps"),IF(IF(N(H407)=0,0,IF(N(G407)&gt;0,G407*(1+H407/30),H407))=X407,IF(N(G407)&gt;0,G407&amp;" x "&amp;H407,H407&amp;" reps"),IF(IF(N(J407)=0,0,IF(N(I407)&gt;0,I407*(1+J407/30),J407))=X407,IF(N(I407)&gt;0,I407&amp;" x "&amp;J407,J407&amp;" reps"),IF(IF(N(L407)=0,0,IF(N(K407)&gt;0,K407*(1+L407/30),L407))=X407,IF(N(K407)&gt;0,K407&amp;" x "&amp;L407,L407&amp;" reps"),IF(IF(N(N407)=0,0,IF(N(M407)&gt;0,M407*(1+N407/30),N407))=X407,IF(N(M407)&gt;0,M407&amp;" x "&amp;N407,N407&amp;" reps"),""))))))</f>
        <v/>
      </c>
      <c r="R407" s="20">
        <f>IF(N(X407)=0,"",ROUND(X407,1))</f>
        <v/>
      </c>
      <c r="S407" s="18">
        <f>IF(N(X407)=0,"",IF(AND(COUNTIFS(Log!$D$6:$D$1505,D407,Log!$B$6:$B$1505,"&lt;"&amp;B407)&gt;0,COUNTIFS(Log!$D$6:$D$1505,D407,Log!$B$6:$B$1505,"&lt;"&amp;B407,Log!$X$6:$X$1505,"&gt;="&amp;X407)=0),"New best",""))</f>
        <v/>
      </c>
      <c r="T407" s="26" t="n"/>
      <c r="U407" s="1">
        <f>IF(D407="","",IFERROR(INDEX(Exercises!$C$6:$C$105,MATCH(D407,Exercises!$B$6:$B$105,0)),"Other"))</f>
        <v/>
      </c>
      <c r="V407">
        <f>IF(B407="","",IF(COUNTIF($B$6:B407,B407)=1,1,0))</f>
        <v/>
      </c>
      <c r="W407">
        <f>IF(B407="","",B407-WEEKDAY(B407,3))</f>
        <v/>
      </c>
      <c r="X407">
        <f>IF(D407="","",MAX(IF(N(F407)=0,0,IF(N(E407)&gt;0,E407*(1+F407/30),F407)),IF(N(H407)=0,0,IF(N(G407)&gt;0,G407*(1+H407/30),H407)),IF(N(J407)=0,0,IF(N(I407)&gt;0,I407*(1+J407/30),J407)),IF(N(L407)=0,0,IF(N(K407)&gt;0,K407*(1+L407/30),L407)),IF(N(N407)=0,0,IF(N(M407)&gt;0,M407*(1+N407/30),N407))))</f>
        <v/>
      </c>
      <c r="Y407">
        <f>IF(N(X407)=0,"",X407+ROW()/1000000000)</f>
        <v/>
      </c>
      <c r="Z407">
        <f>IF(Y407="","",IF(COUNTIFS(Log!$D$6:$D$1505,D407,Log!$Y$6:$Y$1505,"&gt;"&amp;Y407)=0,1,0))</f>
        <v/>
      </c>
      <c r="AA407">
        <f>IF(OR(B407="",D407=""),"",B407+ROW()/10000000)</f>
        <v/>
      </c>
      <c r="AB407">
        <f>IF(AA407="","",IF(COUNTIFS(Log!$D$6:$D$1505,D407,Log!$AA$6:$AA$1505,"&gt;"&amp;AA407)=0,1,0))</f>
        <v/>
      </c>
      <c r="AC407">
        <f>IF(S407="New best",AA407,"")</f>
        <v/>
      </c>
      <c r="AD407">
        <f>ROW()</f>
        <v/>
      </c>
    </row>
    <row r="408">
      <c r="A408" s="1" t="n"/>
      <c r="B408" s="21" t="n"/>
      <c r="C408" s="22" t="n"/>
      <c r="D408" s="23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15">
        <f>IF(D408="","",COUNT(F408,H408,J408,L408,N408))</f>
        <v/>
      </c>
      <c r="P408" s="25">
        <f>IF(D408="","",N(E408)*N(F408)+N(G408)*N(H408)+N(I408)*N(J408)+N(K408)*N(L408)+N(M408)*N(N408))</f>
        <v/>
      </c>
      <c r="Q408" s="18">
        <f>IF(N(X408)=0,"",IF(IF(N(F408)=0,0,IF(N(E408)&gt;0,E408*(1+F408/30),F408))=X408,IF(N(E408)&gt;0,E408&amp;" x "&amp;F408,F408&amp;" reps"),IF(IF(N(H408)=0,0,IF(N(G408)&gt;0,G408*(1+H408/30),H408))=X408,IF(N(G408)&gt;0,G408&amp;" x "&amp;H408,H408&amp;" reps"),IF(IF(N(J408)=0,0,IF(N(I408)&gt;0,I408*(1+J408/30),J408))=X408,IF(N(I408)&gt;0,I408&amp;" x "&amp;J408,J408&amp;" reps"),IF(IF(N(L408)=0,0,IF(N(K408)&gt;0,K408*(1+L408/30),L408))=X408,IF(N(K408)&gt;0,K408&amp;" x "&amp;L408,L408&amp;" reps"),IF(IF(N(N408)=0,0,IF(N(M408)&gt;0,M408*(1+N408/30),N408))=X408,IF(N(M408)&gt;0,M408&amp;" x "&amp;N408,N408&amp;" reps"),""))))))</f>
        <v/>
      </c>
      <c r="R408" s="20">
        <f>IF(N(X408)=0,"",ROUND(X408,1))</f>
        <v/>
      </c>
      <c r="S408" s="18">
        <f>IF(N(X408)=0,"",IF(AND(COUNTIFS(Log!$D$6:$D$1505,D408,Log!$B$6:$B$1505,"&lt;"&amp;B408)&gt;0,COUNTIFS(Log!$D$6:$D$1505,D408,Log!$B$6:$B$1505,"&lt;"&amp;B408,Log!$X$6:$X$1505,"&gt;="&amp;X408)=0),"New best",""))</f>
        <v/>
      </c>
      <c r="T408" s="26" t="n"/>
      <c r="U408" s="1">
        <f>IF(D408="","",IFERROR(INDEX(Exercises!$C$6:$C$105,MATCH(D408,Exercises!$B$6:$B$105,0)),"Other"))</f>
        <v/>
      </c>
      <c r="V408">
        <f>IF(B408="","",IF(COUNTIF($B$6:B408,B408)=1,1,0))</f>
        <v/>
      </c>
      <c r="W408">
        <f>IF(B408="","",B408-WEEKDAY(B408,3))</f>
        <v/>
      </c>
      <c r="X408">
        <f>IF(D408="","",MAX(IF(N(F408)=0,0,IF(N(E408)&gt;0,E408*(1+F408/30),F408)),IF(N(H408)=0,0,IF(N(G408)&gt;0,G408*(1+H408/30),H408)),IF(N(J408)=0,0,IF(N(I408)&gt;0,I408*(1+J408/30),J408)),IF(N(L408)=0,0,IF(N(K408)&gt;0,K408*(1+L408/30),L408)),IF(N(N408)=0,0,IF(N(M408)&gt;0,M408*(1+N408/30),N408))))</f>
        <v/>
      </c>
      <c r="Y408">
        <f>IF(N(X408)=0,"",X408+ROW()/1000000000)</f>
        <v/>
      </c>
      <c r="Z408">
        <f>IF(Y408="","",IF(COUNTIFS(Log!$D$6:$D$1505,D408,Log!$Y$6:$Y$1505,"&gt;"&amp;Y408)=0,1,0))</f>
        <v/>
      </c>
      <c r="AA408">
        <f>IF(OR(B408="",D408=""),"",B408+ROW()/10000000)</f>
        <v/>
      </c>
      <c r="AB408">
        <f>IF(AA408="","",IF(COUNTIFS(Log!$D$6:$D$1505,D408,Log!$AA$6:$AA$1505,"&gt;"&amp;AA408)=0,1,0))</f>
        <v/>
      </c>
      <c r="AC408">
        <f>IF(S408="New best",AA408,"")</f>
        <v/>
      </c>
      <c r="AD408">
        <f>ROW()</f>
        <v/>
      </c>
    </row>
    <row r="409">
      <c r="A409" s="1" t="n"/>
      <c r="B409" s="21" t="n"/>
      <c r="C409" s="22" t="n"/>
      <c r="D409" s="23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15">
        <f>IF(D409="","",COUNT(F409,H409,J409,L409,N409))</f>
        <v/>
      </c>
      <c r="P409" s="25">
        <f>IF(D409="","",N(E409)*N(F409)+N(G409)*N(H409)+N(I409)*N(J409)+N(K409)*N(L409)+N(M409)*N(N409))</f>
        <v/>
      </c>
      <c r="Q409" s="18">
        <f>IF(N(X409)=0,"",IF(IF(N(F409)=0,0,IF(N(E409)&gt;0,E409*(1+F409/30),F409))=X409,IF(N(E409)&gt;0,E409&amp;" x "&amp;F409,F409&amp;" reps"),IF(IF(N(H409)=0,0,IF(N(G409)&gt;0,G409*(1+H409/30),H409))=X409,IF(N(G409)&gt;0,G409&amp;" x "&amp;H409,H409&amp;" reps"),IF(IF(N(J409)=0,0,IF(N(I409)&gt;0,I409*(1+J409/30),J409))=X409,IF(N(I409)&gt;0,I409&amp;" x "&amp;J409,J409&amp;" reps"),IF(IF(N(L409)=0,0,IF(N(K409)&gt;0,K409*(1+L409/30),L409))=X409,IF(N(K409)&gt;0,K409&amp;" x "&amp;L409,L409&amp;" reps"),IF(IF(N(N409)=0,0,IF(N(M409)&gt;0,M409*(1+N409/30),N409))=X409,IF(N(M409)&gt;0,M409&amp;" x "&amp;N409,N409&amp;" reps"),""))))))</f>
        <v/>
      </c>
      <c r="R409" s="20">
        <f>IF(N(X409)=0,"",ROUND(X409,1))</f>
        <v/>
      </c>
      <c r="S409" s="18">
        <f>IF(N(X409)=0,"",IF(AND(COUNTIFS(Log!$D$6:$D$1505,D409,Log!$B$6:$B$1505,"&lt;"&amp;B409)&gt;0,COUNTIFS(Log!$D$6:$D$1505,D409,Log!$B$6:$B$1505,"&lt;"&amp;B409,Log!$X$6:$X$1505,"&gt;="&amp;X409)=0),"New best",""))</f>
        <v/>
      </c>
      <c r="T409" s="26" t="n"/>
      <c r="U409" s="1">
        <f>IF(D409="","",IFERROR(INDEX(Exercises!$C$6:$C$105,MATCH(D409,Exercises!$B$6:$B$105,0)),"Other"))</f>
        <v/>
      </c>
      <c r="V409">
        <f>IF(B409="","",IF(COUNTIF($B$6:B409,B409)=1,1,0))</f>
        <v/>
      </c>
      <c r="W409">
        <f>IF(B409="","",B409-WEEKDAY(B409,3))</f>
        <v/>
      </c>
      <c r="X409">
        <f>IF(D409="","",MAX(IF(N(F409)=0,0,IF(N(E409)&gt;0,E409*(1+F409/30),F409)),IF(N(H409)=0,0,IF(N(G409)&gt;0,G409*(1+H409/30),H409)),IF(N(J409)=0,0,IF(N(I409)&gt;0,I409*(1+J409/30),J409)),IF(N(L409)=0,0,IF(N(K409)&gt;0,K409*(1+L409/30),L409)),IF(N(N409)=0,0,IF(N(M409)&gt;0,M409*(1+N409/30),N409))))</f>
        <v/>
      </c>
      <c r="Y409">
        <f>IF(N(X409)=0,"",X409+ROW()/1000000000)</f>
        <v/>
      </c>
      <c r="Z409">
        <f>IF(Y409="","",IF(COUNTIFS(Log!$D$6:$D$1505,D409,Log!$Y$6:$Y$1505,"&gt;"&amp;Y409)=0,1,0))</f>
        <v/>
      </c>
      <c r="AA409">
        <f>IF(OR(B409="",D409=""),"",B409+ROW()/10000000)</f>
        <v/>
      </c>
      <c r="AB409">
        <f>IF(AA409="","",IF(COUNTIFS(Log!$D$6:$D$1505,D409,Log!$AA$6:$AA$1505,"&gt;"&amp;AA409)=0,1,0))</f>
        <v/>
      </c>
      <c r="AC409">
        <f>IF(S409="New best",AA409,"")</f>
        <v/>
      </c>
      <c r="AD409">
        <f>ROW()</f>
        <v/>
      </c>
    </row>
    <row r="410">
      <c r="A410" s="1" t="n"/>
      <c r="B410" s="21" t="n"/>
      <c r="C410" s="22" t="n"/>
      <c r="D410" s="23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15">
        <f>IF(D410="","",COUNT(F410,H410,J410,L410,N410))</f>
        <v/>
      </c>
      <c r="P410" s="25">
        <f>IF(D410="","",N(E410)*N(F410)+N(G410)*N(H410)+N(I410)*N(J410)+N(K410)*N(L410)+N(M410)*N(N410))</f>
        <v/>
      </c>
      <c r="Q410" s="18">
        <f>IF(N(X410)=0,"",IF(IF(N(F410)=0,0,IF(N(E410)&gt;0,E410*(1+F410/30),F410))=X410,IF(N(E410)&gt;0,E410&amp;" x "&amp;F410,F410&amp;" reps"),IF(IF(N(H410)=0,0,IF(N(G410)&gt;0,G410*(1+H410/30),H410))=X410,IF(N(G410)&gt;0,G410&amp;" x "&amp;H410,H410&amp;" reps"),IF(IF(N(J410)=0,0,IF(N(I410)&gt;0,I410*(1+J410/30),J410))=X410,IF(N(I410)&gt;0,I410&amp;" x "&amp;J410,J410&amp;" reps"),IF(IF(N(L410)=0,0,IF(N(K410)&gt;0,K410*(1+L410/30),L410))=X410,IF(N(K410)&gt;0,K410&amp;" x "&amp;L410,L410&amp;" reps"),IF(IF(N(N410)=0,0,IF(N(M410)&gt;0,M410*(1+N410/30),N410))=X410,IF(N(M410)&gt;0,M410&amp;" x "&amp;N410,N410&amp;" reps"),""))))))</f>
        <v/>
      </c>
      <c r="R410" s="20">
        <f>IF(N(X410)=0,"",ROUND(X410,1))</f>
        <v/>
      </c>
      <c r="S410" s="18">
        <f>IF(N(X410)=0,"",IF(AND(COUNTIFS(Log!$D$6:$D$1505,D410,Log!$B$6:$B$1505,"&lt;"&amp;B410)&gt;0,COUNTIFS(Log!$D$6:$D$1505,D410,Log!$B$6:$B$1505,"&lt;"&amp;B410,Log!$X$6:$X$1505,"&gt;="&amp;X410)=0),"New best",""))</f>
        <v/>
      </c>
      <c r="T410" s="26" t="n"/>
      <c r="U410" s="1">
        <f>IF(D410="","",IFERROR(INDEX(Exercises!$C$6:$C$105,MATCH(D410,Exercises!$B$6:$B$105,0)),"Other"))</f>
        <v/>
      </c>
      <c r="V410">
        <f>IF(B410="","",IF(COUNTIF($B$6:B410,B410)=1,1,0))</f>
        <v/>
      </c>
      <c r="W410">
        <f>IF(B410="","",B410-WEEKDAY(B410,3))</f>
        <v/>
      </c>
      <c r="X410">
        <f>IF(D410="","",MAX(IF(N(F410)=0,0,IF(N(E410)&gt;0,E410*(1+F410/30),F410)),IF(N(H410)=0,0,IF(N(G410)&gt;0,G410*(1+H410/30),H410)),IF(N(J410)=0,0,IF(N(I410)&gt;0,I410*(1+J410/30),J410)),IF(N(L410)=0,0,IF(N(K410)&gt;0,K410*(1+L410/30),L410)),IF(N(N410)=0,0,IF(N(M410)&gt;0,M410*(1+N410/30),N410))))</f>
        <v/>
      </c>
      <c r="Y410">
        <f>IF(N(X410)=0,"",X410+ROW()/1000000000)</f>
        <v/>
      </c>
      <c r="Z410">
        <f>IF(Y410="","",IF(COUNTIFS(Log!$D$6:$D$1505,D410,Log!$Y$6:$Y$1505,"&gt;"&amp;Y410)=0,1,0))</f>
        <v/>
      </c>
      <c r="AA410">
        <f>IF(OR(B410="",D410=""),"",B410+ROW()/10000000)</f>
        <v/>
      </c>
      <c r="AB410">
        <f>IF(AA410="","",IF(COUNTIFS(Log!$D$6:$D$1505,D410,Log!$AA$6:$AA$1505,"&gt;"&amp;AA410)=0,1,0))</f>
        <v/>
      </c>
      <c r="AC410">
        <f>IF(S410="New best",AA410,"")</f>
        <v/>
      </c>
      <c r="AD410">
        <f>ROW()</f>
        <v/>
      </c>
    </row>
    <row r="411">
      <c r="A411" s="1" t="n"/>
      <c r="B411" s="21" t="n"/>
      <c r="C411" s="22" t="n"/>
      <c r="D411" s="23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15">
        <f>IF(D411="","",COUNT(F411,H411,J411,L411,N411))</f>
        <v/>
      </c>
      <c r="P411" s="25">
        <f>IF(D411="","",N(E411)*N(F411)+N(G411)*N(H411)+N(I411)*N(J411)+N(K411)*N(L411)+N(M411)*N(N411))</f>
        <v/>
      </c>
      <c r="Q411" s="18">
        <f>IF(N(X411)=0,"",IF(IF(N(F411)=0,0,IF(N(E411)&gt;0,E411*(1+F411/30),F411))=X411,IF(N(E411)&gt;0,E411&amp;" x "&amp;F411,F411&amp;" reps"),IF(IF(N(H411)=0,0,IF(N(G411)&gt;0,G411*(1+H411/30),H411))=X411,IF(N(G411)&gt;0,G411&amp;" x "&amp;H411,H411&amp;" reps"),IF(IF(N(J411)=0,0,IF(N(I411)&gt;0,I411*(1+J411/30),J411))=X411,IF(N(I411)&gt;0,I411&amp;" x "&amp;J411,J411&amp;" reps"),IF(IF(N(L411)=0,0,IF(N(K411)&gt;0,K411*(1+L411/30),L411))=X411,IF(N(K411)&gt;0,K411&amp;" x "&amp;L411,L411&amp;" reps"),IF(IF(N(N411)=0,0,IF(N(M411)&gt;0,M411*(1+N411/30),N411))=X411,IF(N(M411)&gt;0,M411&amp;" x "&amp;N411,N411&amp;" reps"),""))))))</f>
        <v/>
      </c>
      <c r="R411" s="20">
        <f>IF(N(X411)=0,"",ROUND(X411,1))</f>
        <v/>
      </c>
      <c r="S411" s="18">
        <f>IF(N(X411)=0,"",IF(AND(COUNTIFS(Log!$D$6:$D$1505,D411,Log!$B$6:$B$1505,"&lt;"&amp;B411)&gt;0,COUNTIFS(Log!$D$6:$D$1505,D411,Log!$B$6:$B$1505,"&lt;"&amp;B411,Log!$X$6:$X$1505,"&gt;="&amp;X411)=0),"New best",""))</f>
        <v/>
      </c>
      <c r="T411" s="26" t="n"/>
      <c r="U411" s="1">
        <f>IF(D411="","",IFERROR(INDEX(Exercises!$C$6:$C$105,MATCH(D411,Exercises!$B$6:$B$105,0)),"Other"))</f>
        <v/>
      </c>
      <c r="V411">
        <f>IF(B411="","",IF(COUNTIF($B$6:B411,B411)=1,1,0))</f>
        <v/>
      </c>
      <c r="W411">
        <f>IF(B411="","",B411-WEEKDAY(B411,3))</f>
        <v/>
      </c>
      <c r="X411">
        <f>IF(D411="","",MAX(IF(N(F411)=0,0,IF(N(E411)&gt;0,E411*(1+F411/30),F411)),IF(N(H411)=0,0,IF(N(G411)&gt;0,G411*(1+H411/30),H411)),IF(N(J411)=0,0,IF(N(I411)&gt;0,I411*(1+J411/30),J411)),IF(N(L411)=0,0,IF(N(K411)&gt;0,K411*(1+L411/30),L411)),IF(N(N411)=0,0,IF(N(M411)&gt;0,M411*(1+N411/30),N411))))</f>
        <v/>
      </c>
      <c r="Y411">
        <f>IF(N(X411)=0,"",X411+ROW()/1000000000)</f>
        <v/>
      </c>
      <c r="Z411">
        <f>IF(Y411="","",IF(COUNTIFS(Log!$D$6:$D$1505,D411,Log!$Y$6:$Y$1505,"&gt;"&amp;Y411)=0,1,0))</f>
        <v/>
      </c>
      <c r="AA411">
        <f>IF(OR(B411="",D411=""),"",B411+ROW()/10000000)</f>
        <v/>
      </c>
      <c r="AB411">
        <f>IF(AA411="","",IF(COUNTIFS(Log!$D$6:$D$1505,D411,Log!$AA$6:$AA$1505,"&gt;"&amp;AA411)=0,1,0))</f>
        <v/>
      </c>
      <c r="AC411">
        <f>IF(S411="New best",AA411,"")</f>
        <v/>
      </c>
      <c r="AD411">
        <f>ROW()</f>
        <v/>
      </c>
    </row>
    <row r="412">
      <c r="A412" s="1" t="n"/>
      <c r="B412" s="21" t="n"/>
      <c r="C412" s="22" t="n"/>
      <c r="D412" s="23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15">
        <f>IF(D412="","",COUNT(F412,H412,J412,L412,N412))</f>
        <v/>
      </c>
      <c r="P412" s="25">
        <f>IF(D412="","",N(E412)*N(F412)+N(G412)*N(H412)+N(I412)*N(J412)+N(K412)*N(L412)+N(M412)*N(N412))</f>
        <v/>
      </c>
      <c r="Q412" s="18">
        <f>IF(N(X412)=0,"",IF(IF(N(F412)=0,0,IF(N(E412)&gt;0,E412*(1+F412/30),F412))=X412,IF(N(E412)&gt;0,E412&amp;" x "&amp;F412,F412&amp;" reps"),IF(IF(N(H412)=0,0,IF(N(G412)&gt;0,G412*(1+H412/30),H412))=X412,IF(N(G412)&gt;0,G412&amp;" x "&amp;H412,H412&amp;" reps"),IF(IF(N(J412)=0,0,IF(N(I412)&gt;0,I412*(1+J412/30),J412))=X412,IF(N(I412)&gt;0,I412&amp;" x "&amp;J412,J412&amp;" reps"),IF(IF(N(L412)=0,0,IF(N(K412)&gt;0,K412*(1+L412/30),L412))=X412,IF(N(K412)&gt;0,K412&amp;" x "&amp;L412,L412&amp;" reps"),IF(IF(N(N412)=0,0,IF(N(M412)&gt;0,M412*(1+N412/30),N412))=X412,IF(N(M412)&gt;0,M412&amp;" x "&amp;N412,N412&amp;" reps"),""))))))</f>
        <v/>
      </c>
      <c r="R412" s="20">
        <f>IF(N(X412)=0,"",ROUND(X412,1))</f>
        <v/>
      </c>
      <c r="S412" s="18">
        <f>IF(N(X412)=0,"",IF(AND(COUNTIFS(Log!$D$6:$D$1505,D412,Log!$B$6:$B$1505,"&lt;"&amp;B412)&gt;0,COUNTIFS(Log!$D$6:$D$1505,D412,Log!$B$6:$B$1505,"&lt;"&amp;B412,Log!$X$6:$X$1505,"&gt;="&amp;X412)=0),"New best",""))</f>
        <v/>
      </c>
      <c r="T412" s="26" t="n"/>
      <c r="U412" s="1">
        <f>IF(D412="","",IFERROR(INDEX(Exercises!$C$6:$C$105,MATCH(D412,Exercises!$B$6:$B$105,0)),"Other"))</f>
        <v/>
      </c>
      <c r="V412">
        <f>IF(B412="","",IF(COUNTIF($B$6:B412,B412)=1,1,0))</f>
        <v/>
      </c>
      <c r="W412">
        <f>IF(B412="","",B412-WEEKDAY(B412,3))</f>
        <v/>
      </c>
      <c r="X412">
        <f>IF(D412="","",MAX(IF(N(F412)=0,0,IF(N(E412)&gt;0,E412*(1+F412/30),F412)),IF(N(H412)=0,0,IF(N(G412)&gt;0,G412*(1+H412/30),H412)),IF(N(J412)=0,0,IF(N(I412)&gt;0,I412*(1+J412/30),J412)),IF(N(L412)=0,0,IF(N(K412)&gt;0,K412*(1+L412/30),L412)),IF(N(N412)=0,0,IF(N(M412)&gt;0,M412*(1+N412/30),N412))))</f>
        <v/>
      </c>
      <c r="Y412">
        <f>IF(N(X412)=0,"",X412+ROW()/1000000000)</f>
        <v/>
      </c>
      <c r="Z412">
        <f>IF(Y412="","",IF(COUNTIFS(Log!$D$6:$D$1505,D412,Log!$Y$6:$Y$1505,"&gt;"&amp;Y412)=0,1,0))</f>
        <v/>
      </c>
      <c r="AA412">
        <f>IF(OR(B412="",D412=""),"",B412+ROW()/10000000)</f>
        <v/>
      </c>
      <c r="AB412">
        <f>IF(AA412="","",IF(COUNTIFS(Log!$D$6:$D$1505,D412,Log!$AA$6:$AA$1505,"&gt;"&amp;AA412)=0,1,0))</f>
        <v/>
      </c>
      <c r="AC412">
        <f>IF(S412="New best",AA412,"")</f>
        <v/>
      </c>
      <c r="AD412">
        <f>ROW()</f>
        <v/>
      </c>
    </row>
    <row r="413">
      <c r="A413" s="1" t="n"/>
      <c r="B413" s="21" t="n"/>
      <c r="C413" s="22" t="n"/>
      <c r="D413" s="23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15">
        <f>IF(D413="","",COUNT(F413,H413,J413,L413,N413))</f>
        <v/>
      </c>
      <c r="P413" s="25">
        <f>IF(D413="","",N(E413)*N(F413)+N(G413)*N(H413)+N(I413)*N(J413)+N(K413)*N(L413)+N(M413)*N(N413))</f>
        <v/>
      </c>
      <c r="Q413" s="18">
        <f>IF(N(X413)=0,"",IF(IF(N(F413)=0,0,IF(N(E413)&gt;0,E413*(1+F413/30),F413))=X413,IF(N(E413)&gt;0,E413&amp;" x "&amp;F413,F413&amp;" reps"),IF(IF(N(H413)=0,0,IF(N(G413)&gt;0,G413*(1+H413/30),H413))=X413,IF(N(G413)&gt;0,G413&amp;" x "&amp;H413,H413&amp;" reps"),IF(IF(N(J413)=0,0,IF(N(I413)&gt;0,I413*(1+J413/30),J413))=X413,IF(N(I413)&gt;0,I413&amp;" x "&amp;J413,J413&amp;" reps"),IF(IF(N(L413)=0,0,IF(N(K413)&gt;0,K413*(1+L413/30),L413))=X413,IF(N(K413)&gt;0,K413&amp;" x "&amp;L413,L413&amp;" reps"),IF(IF(N(N413)=0,0,IF(N(M413)&gt;0,M413*(1+N413/30),N413))=X413,IF(N(M413)&gt;0,M413&amp;" x "&amp;N413,N413&amp;" reps"),""))))))</f>
        <v/>
      </c>
      <c r="R413" s="20">
        <f>IF(N(X413)=0,"",ROUND(X413,1))</f>
        <v/>
      </c>
      <c r="S413" s="18">
        <f>IF(N(X413)=0,"",IF(AND(COUNTIFS(Log!$D$6:$D$1505,D413,Log!$B$6:$B$1505,"&lt;"&amp;B413)&gt;0,COUNTIFS(Log!$D$6:$D$1505,D413,Log!$B$6:$B$1505,"&lt;"&amp;B413,Log!$X$6:$X$1505,"&gt;="&amp;X413)=0),"New best",""))</f>
        <v/>
      </c>
      <c r="T413" s="26" t="n"/>
      <c r="U413" s="1">
        <f>IF(D413="","",IFERROR(INDEX(Exercises!$C$6:$C$105,MATCH(D413,Exercises!$B$6:$B$105,0)),"Other"))</f>
        <v/>
      </c>
      <c r="V413">
        <f>IF(B413="","",IF(COUNTIF($B$6:B413,B413)=1,1,0))</f>
        <v/>
      </c>
      <c r="W413">
        <f>IF(B413="","",B413-WEEKDAY(B413,3))</f>
        <v/>
      </c>
      <c r="X413">
        <f>IF(D413="","",MAX(IF(N(F413)=0,0,IF(N(E413)&gt;0,E413*(1+F413/30),F413)),IF(N(H413)=0,0,IF(N(G413)&gt;0,G413*(1+H413/30),H413)),IF(N(J413)=0,0,IF(N(I413)&gt;0,I413*(1+J413/30),J413)),IF(N(L413)=0,0,IF(N(K413)&gt;0,K413*(1+L413/30),L413)),IF(N(N413)=0,0,IF(N(M413)&gt;0,M413*(1+N413/30),N413))))</f>
        <v/>
      </c>
      <c r="Y413">
        <f>IF(N(X413)=0,"",X413+ROW()/1000000000)</f>
        <v/>
      </c>
      <c r="Z413">
        <f>IF(Y413="","",IF(COUNTIFS(Log!$D$6:$D$1505,D413,Log!$Y$6:$Y$1505,"&gt;"&amp;Y413)=0,1,0))</f>
        <v/>
      </c>
      <c r="AA413">
        <f>IF(OR(B413="",D413=""),"",B413+ROW()/10000000)</f>
        <v/>
      </c>
      <c r="AB413">
        <f>IF(AA413="","",IF(COUNTIFS(Log!$D$6:$D$1505,D413,Log!$AA$6:$AA$1505,"&gt;"&amp;AA413)=0,1,0))</f>
        <v/>
      </c>
      <c r="AC413">
        <f>IF(S413="New best",AA413,"")</f>
        <v/>
      </c>
      <c r="AD413">
        <f>ROW()</f>
        <v/>
      </c>
    </row>
    <row r="414">
      <c r="A414" s="1" t="n"/>
      <c r="B414" s="21" t="n"/>
      <c r="C414" s="22" t="n"/>
      <c r="D414" s="23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15">
        <f>IF(D414="","",COUNT(F414,H414,J414,L414,N414))</f>
        <v/>
      </c>
      <c r="P414" s="25">
        <f>IF(D414="","",N(E414)*N(F414)+N(G414)*N(H414)+N(I414)*N(J414)+N(K414)*N(L414)+N(M414)*N(N414))</f>
        <v/>
      </c>
      <c r="Q414" s="18">
        <f>IF(N(X414)=0,"",IF(IF(N(F414)=0,0,IF(N(E414)&gt;0,E414*(1+F414/30),F414))=X414,IF(N(E414)&gt;0,E414&amp;" x "&amp;F414,F414&amp;" reps"),IF(IF(N(H414)=0,0,IF(N(G414)&gt;0,G414*(1+H414/30),H414))=X414,IF(N(G414)&gt;0,G414&amp;" x "&amp;H414,H414&amp;" reps"),IF(IF(N(J414)=0,0,IF(N(I414)&gt;0,I414*(1+J414/30),J414))=X414,IF(N(I414)&gt;0,I414&amp;" x "&amp;J414,J414&amp;" reps"),IF(IF(N(L414)=0,0,IF(N(K414)&gt;0,K414*(1+L414/30),L414))=X414,IF(N(K414)&gt;0,K414&amp;" x "&amp;L414,L414&amp;" reps"),IF(IF(N(N414)=0,0,IF(N(M414)&gt;0,M414*(1+N414/30),N414))=X414,IF(N(M414)&gt;0,M414&amp;" x "&amp;N414,N414&amp;" reps"),""))))))</f>
        <v/>
      </c>
      <c r="R414" s="20">
        <f>IF(N(X414)=0,"",ROUND(X414,1))</f>
        <v/>
      </c>
      <c r="S414" s="18">
        <f>IF(N(X414)=0,"",IF(AND(COUNTIFS(Log!$D$6:$D$1505,D414,Log!$B$6:$B$1505,"&lt;"&amp;B414)&gt;0,COUNTIFS(Log!$D$6:$D$1505,D414,Log!$B$6:$B$1505,"&lt;"&amp;B414,Log!$X$6:$X$1505,"&gt;="&amp;X414)=0),"New best",""))</f>
        <v/>
      </c>
      <c r="T414" s="26" t="n"/>
      <c r="U414" s="1">
        <f>IF(D414="","",IFERROR(INDEX(Exercises!$C$6:$C$105,MATCH(D414,Exercises!$B$6:$B$105,0)),"Other"))</f>
        <v/>
      </c>
      <c r="V414">
        <f>IF(B414="","",IF(COUNTIF($B$6:B414,B414)=1,1,0))</f>
        <v/>
      </c>
      <c r="W414">
        <f>IF(B414="","",B414-WEEKDAY(B414,3))</f>
        <v/>
      </c>
      <c r="X414">
        <f>IF(D414="","",MAX(IF(N(F414)=0,0,IF(N(E414)&gt;0,E414*(1+F414/30),F414)),IF(N(H414)=0,0,IF(N(G414)&gt;0,G414*(1+H414/30),H414)),IF(N(J414)=0,0,IF(N(I414)&gt;0,I414*(1+J414/30),J414)),IF(N(L414)=0,0,IF(N(K414)&gt;0,K414*(1+L414/30),L414)),IF(N(N414)=0,0,IF(N(M414)&gt;0,M414*(1+N414/30),N414))))</f>
        <v/>
      </c>
      <c r="Y414">
        <f>IF(N(X414)=0,"",X414+ROW()/1000000000)</f>
        <v/>
      </c>
      <c r="Z414">
        <f>IF(Y414="","",IF(COUNTIFS(Log!$D$6:$D$1505,D414,Log!$Y$6:$Y$1505,"&gt;"&amp;Y414)=0,1,0))</f>
        <v/>
      </c>
      <c r="AA414">
        <f>IF(OR(B414="",D414=""),"",B414+ROW()/10000000)</f>
        <v/>
      </c>
      <c r="AB414">
        <f>IF(AA414="","",IF(COUNTIFS(Log!$D$6:$D$1505,D414,Log!$AA$6:$AA$1505,"&gt;"&amp;AA414)=0,1,0))</f>
        <v/>
      </c>
      <c r="AC414">
        <f>IF(S414="New best",AA414,"")</f>
        <v/>
      </c>
      <c r="AD414">
        <f>ROW()</f>
        <v/>
      </c>
    </row>
    <row r="415">
      <c r="A415" s="1" t="n"/>
      <c r="B415" s="21" t="n"/>
      <c r="C415" s="22" t="n"/>
      <c r="D415" s="23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15">
        <f>IF(D415="","",COUNT(F415,H415,J415,L415,N415))</f>
        <v/>
      </c>
      <c r="P415" s="25">
        <f>IF(D415="","",N(E415)*N(F415)+N(G415)*N(H415)+N(I415)*N(J415)+N(K415)*N(L415)+N(M415)*N(N415))</f>
        <v/>
      </c>
      <c r="Q415" s="18">
        <f>IF(N(X415)=0,"",IF(IF(N(F415)=0,0,IF(N(E415)&gt;0,E415*(1+F415/30),F415))=X415,IF(N(E415)&gt;0,E415&amp;" x "&amp;F415,F415&amp;" reps"),IF(IF(N(H415)=0,0,IF(N(G415)&gt;0,G415*(1+H415/30),H415))=X415,IF(N(G415)&gt;0,G415&amp;" x "&amp;H415,H415&amp;" reps"),IF(IF(N(J415)=0,0,IF(N(I415)&gt;0,I415*(1+J415/30),J415))=X415,IF(N(I415)&gt;0,I415&amp;" x "&amp;J415,J415&amp;" reps"),IF(IF(N(L415)=0,0,IF(N(K415)&gt;0,K415*(1+L415/30),L415))=X415,IF(N(K415)&gt;0,K415&amp;" x "&amp;L415,L415&amp;" reps"),IF(IF(N(N415)=0,0,IF(N(M415)&gt;0,M415*(1+N415/30),N415))=X415,IF(N(M415)&gt;0,M415&amp;" x "&amp;N415,N415&amp;" reps"),""))))))</f>
        <v/>
      </c>
      <c r="R415" s="20">
        <f>IF(N(X415)=0,"",ROUND(X415,1))</f>
        <v/>
      </c>
      <c r="S415" s="18">
        <f>IF(N(X415)=0,"",IF(AND(COUNTIFS(Log!$D$6:$D$1505,D415,Log!$B$6:$B$1505,"&lt;"&amp;B415)&gt;0,COUNTIFS(Log!$D$6:$D$1505,D415,Log!$B$6:$B$1505,"&lt;"&amp;B415,Log!$X$6:$X$1505,"&gt;="&amp;X415)=0),"New best",""))</f>
        <v/>
      </c>
      <c r="T415" s="26" t="n"/>
      <c r="U415" s="1">
        <f>IF(D415="","",IFERROR(INDEX(Exercises!$C$6:$C$105,MATCH(D415,Exercises!$B$6:$B$105,0)),"Other"))</f>
        <v/>
      </c>
      <c r="V415">
        <f>IF(B415="","",IF(COUNTIF($B$6:B415,B415)=1,1,0))</f>
        <v/>
      </c>
      <c r="W415">
        <f>IF(B415="","",B415-WEEKDAY(B415,3))</f>
        <v/>
      </c>
      <c r="X415">
        <f>IF(D415="","",MAX(IF(N(F415)=0,0,IF(N(E415)&gt;0,E415*(1+F415/30),F415)),IF(N(H415)=0,0,IF(N(G415)&gt;0,G415*(1+H415/30),H415)),IF(N(J415)=0,0,IF(N(I415)&gt;0,I415*(1+J415/30),J415)),IF(N(L415)=0,0,IF(N(K415)&gt;0,K415*(1+L415/30),L415)),IF(N(N415)=0,0,IF(N(M415)&gt;0,M415*(1+N415/30),N415))))</f>
        <v/>
      </c>
      <c r="Y415">
        <f>IF(N(X415)=0,"",X415+ROW()/1000000000)</f>
        <v/>
      </c>
      <c r="Z415">
        <f>IF(Y415="","",IF(COUNTIFS(Log!$D$6:$D$1505,D415,Log!$Y$6:$Y$1505,"&gt;"&amp;Y415)=0,1,0))</f>
        <v/>
      </c>
      <c r="AA415">
        <f>IF(OR(B415="",D415=""),"",B415+ROW()/10000000)</f>
        <v/>
      </c>
      <c r="AB415">
        <f>IF(AA415="","",IF(COUNTIFS(Log!$D$6:$D$1505,D415,Log!$AA$6:$AA$1505,"&gt;"&amp;AA415)=0,1,0))</f>
        <v/>
      </c>
      <c r="AC415">
        <f>IF(S415="New best",AA415,"")</f>
        <v/>
      </c>
      <c r="AD415">
        <f>ROW()</f>
        <v/>
      </c>
    </row>
    <row r="416">
      <c r="A416" s="1" t="n"/>
      <c r="B416" s="21" t="n"/>
      <c r="C416" s="22" t="n"/>
      <c r="D416" s="23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15">
        <f>IF(D416="","",COUNT(F416,H416,J416,L416,N416))</f>
        <v/>
      </c>
      <c r="P416" s="25">
        <f>IF(D416="","",N(E416)*N(F416)+N(G416)*N(H416)+N(I416)*N(J416)+N(K416)*N(L416)+N(M416)*N(N416))</f>
        <v/>
      </c>
      <c r="Q416" s="18">
        <f>IF(N(X416)=0,"",IF(IF(N(F416)=0,0,IF(N(E416)&gt;0,E416*(1+F416/30),F416))=X416,IF(N(E416)&gt;0,E416&amp;" x "&amp;F416,F416&amp;" reps"),IF(IF(N(H416)=0,0,IF(N(G416)&gt;0,G416*(1+H416/30),H416))=X416,IF(N(G416)&gt;0,G416&amp;" x "&amp;H416,H416&amp;" reps"),IF(IF(N(J416)=0,0,IF(N(I416)&gt;0,I416*(1+J416/30),J416))=X416,IF(N(I416)&gt;0,I416&amp;" x "&amp;J416,J416&amp;" reps"),IF(IF(N(L416)=0,0,IF(N(K416)&gt;0,K416*(1+L416/30),L416))=X416,IF(N(K416)&gt;0,K416&amp;" x "&amp;L416,L416&amp;" reps"),IF(IF(N(N416)=0,0,IF(N(M416)&gt;0,M416*(1+N416/30),N416))=X416,IF(N(M416)&gt;0,M416&amp;" x "&amp;N416,N416&amp;" reps"),""))))))</f>
        <v/>
      </c>
      <c r="R416" s="20">
        <f>IF(N(X416)=0,"",ROUND(X416,1))</f>
        <v/>
      </c>
      <c r="S416" s="18">
        <f>IF(N(X416)=0,"",IF(AND(COUNTIFS(Log!$D$6:$D$1505,D416,Log!$B$6:$B$1505,"&lt;"&amp;B416)&gt;0,COUNTIFS(Log!$D$6:$D$1505,D416,Log!$B$6:$B$1505,"&lt;"&amp;B416,Log!$X$6:$X$1505,"&gt;="&amp;X416)=0),"New best",""))</f>
        <v/>
      </c>
      <c r="T416" s="26" t="n"/>
      <c r="U416" s="1">
        <f>IF(D416="","",IFERROR(INDEX(Exercises!$C$6:$C$105,MATCH(D416,Exercises!$B$6:$B$105,0)),"Other"))</f>
        <v/>
      </c>
      <c r="V416">
        <f>IF(B416="","",IF(COUNTIF($B$6:B416,B416)=1,1,0))</f>
        <v/>
      </c>
      <c r="W416">
        <f>IF(B416="","",B416-WEEKDAY(B416,3))</f>
        <v/>
      </c>
      <c r="X416">
        <f>IF(D416="","",MAX(IF(N(F416)=0,0,IF(N(E416)&gt;0,E416*(1+F416/30),F416)),IF(N(H416)=0,0,IF(N(G416)&gt;0,G416*(1+H416/30),H416)),IF(N(J416)=0,0,IF(N(I416)&gt;0,I416*(1+J416/30),J416)),IF(N(L416)=0,0,IF(N(K416)&gt;0,K416*(1+L416/30),L416)),IF(N(N416)=0,0,IF(N(M416)&gt;0,M416*(1+N416/30),N416))))</f>
        <v/>
      </c>
      <c r="Y416">
        <f>IF(N(X416)=0,"",X416+ROW()/1000000000)</f>
        <v/>
      </c>
      <c r="Z416">
        <f>IF(Y416="","",IF(COUNTIFS(Log!$D$6:$D$1505,D416,Log!$Y$6:$Y$1505,"&gt;"&amp;Y416)=0,1,0))</f>
        <v/>
      </c>
      <c r="AA416">
        <f>IF(OR(B416="",D416=""),"",B416+ROW()/10000000)</f>
        <v/>
      </c>
      <c r="AB416">
        <f>IF(AA416="","",IF(COUNTIFS(Log!$D$6:$D$1505,D416,Log!$AA$6:$AA$1505,"&gt;"&amp;AA416)=0,1,0))</f>
        <v/>
      </c>
      <c r="AC416">
        <f>IF(S416="New best",AA416,"")</f>
        <v/>
      </c>
      <c r="AD416">
        <f>ROW()</f>
        <v/>
      </c>
    </row>
    <row r="417">
      <c r="A417" s="1" t="n"/>
      <c r="B417" s="21" t="n"/>
      <c r="C417" s="22" t="n"/>
      <c r="D417" s="23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15">
        <f>IF(D417="","",COUNT(F417,H417,J417,L417,N417))</f>
        <v/>
      </c>
      <c r="P417" s="25">
        <f>IF(D417="","",N(E417)*N(F417)+N(G417)*N(H417)+N(I417)*N(J417)+N(K417)*N(L417)+N(M417)*N(N417))</f>
        <v/>
      </c>
      <c r="Q417" s="18">
        <f>IF(N(X417)=0,"",IF(IF(N(F417)=0,0,IF(N(E417)&gt;0,E417*(1+F417/30),F417))=X417,IF(N(E417)&gt;0,E417&amp;" x "&amp;F417,F417&amp;" reps"),IF(IF(N(H417)=0,0,IF(N(G417)&gt;0,G417*(1+H417/30),H417))=X417,IF(N(G417)&gt;0,G417&amp;" x "&amp;H417,H417&amp;" reps"),IF(IF(N(J417)=0,0,IF(N(I417)&gt;0,I417*(1+J417/30),J417))=X417,IF(N(I417)&gt;0,I417&amp;" x "&amp;J417,J417&amp;" reps"),IF(IF(N(L417)=0,0,IF(N(K417)&gt;0,K417*(1+L417/30),L417))=X417,IF(N(K417)&gt;0,K417&amp;" x "&amp;L417,L417&amp;" reps"),IF(IF(N(N417)=0,0,IF(N(M417)&gt;0,M417*(1+N417/30),N417))=X417,IF(N(M417)&gt;0,M417&amp;" x "&amp;N417,N417&amp;" reps"),""))))))</f>
        <v/>
      </c>
      <c r="R417" s="20">
        <f>IF(N(X417)=0,"",ROUND(X417,1))</f>
        <v/>
      </c>
      <c r="S417" s="18">
        <f>IF(N(X417)=0,"",IF(AND(COUNTIFS(Log!$D$6:$D$1505,D417,Log!$B$6:$B$1505,"&lt;"&amp;B417)&gt;0,COUNTIFS(Log!$D$6:$D$1505,D417,Log!$B$6:$B$1505,"&lt;"&amp;B417,Log!$X$6:$X$1505,"&gt;="&amp;X417)=0),"New best",""))</f>
        <v/>
      </c>
      <c r="T417" s="26" t="n"/>
      <c r="U417" s="1">
        <f>IF(D417="","",IFERROR(INDEX(Exercises!$C$6:$C$105,MATCH(D417,Exercises!$B$6:$B$105,0)),"Other"))</f>
        <v/>
      </c>
      <c r="V417">
        <f>IF(B417="","",IF(COUNTIF($B$6:B417,B417)=1,1,0))</f>
        <v/>
      </c>
      <c r="W417">
        <f>IF(B417="","",B417-WEEKDAY(B417,3))</f>
        <v/>
      </c>
      <c r="X417">
        <f>IF(D417="","",MAX(IF(N(F417)=0,0,IF(N(E417)&gt;0,E417*(1+F417/30),F417)),IF(N(H417)=0,0,IF(N(G417)&gt;0,G417*(1+H417/30),H417)),IF(N(J417)=0,0,IF(N(I417)&gt;0,I417*(1+J417/30),J417)),IF(N(L417)=0,0,IF(N(K417)&gt;0,K417*(1+L417/30),L417)),IF(N(N417)=0,0,IF(N(M417)&gt;0,M417*(1+N417/30),N417))))</f>
        <v/>
      </c>
      <c r="Y417">
        <f>IF(N(X417)=0,"",X417+ROW()/1000000000)</f>
        <v/>
      </c>
      <c r="Z417">
        <f>IF(Y417="","",IF(COUNTIFS(Log!$D$6:$D$1505,D417,Log!$Y$6:$Y$1505,"&gt;"&amp;Y417)=0,1,0))</f>
        <v/>
      </c>
      <c r="AA417">
        <f>IF(OR(B417="",D417=""),"",B417+ROW()/10000000)</f>
        <v/>
      </c>
      <c r="AB417">
        <f>IF(AA417="","",IF(COUNTIFS(Log!$D$6:$D$1505,D417,Log!$AA$6:$AA$1505,"&gt;"&amp;AA417)=0,1,0))</f>
        <v/>
      </c>
      <c r="AC417">
        <f>IF(S417="New best",AA417,"")</f>
        <v/>
      </c>
      <c r="AD417">
        <f>ROW()</f>
        <v/>
      </c>
    </row>
    <row r="418">
      <c r="A418" s="1" t="n"/>
      <c r="B418" s="21" t="n"/>
      <c r="C418" s="22" t="n"/>
      <c r="D418" s="23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15">
        <f>IF(D418="","",COUNT(F418,H418,J418,L418,N418))</f>
        <v/>
      </c>
      <c r="P418" s="25">
        <f>IF(D418="","",N(E418)*N(F418)+N(G418)*N(H418)+N(I418)*N(J418)+N(K418)*N(L418)+N(M418)*N(N418))</f>
        <v/>
      </c>
      <c r="Q418" s="18">
        <f>IF(N(X418)=0,"",IF(IF(N(F418)=0,0,IF(N(E418)&gt;0,E418*(1+F418/30),F418))=X418,IF(N(E418)&gt;0,E418&amp;" x "&amp;F418,F418&amp;" reps"),IF(IF(N(H418)=0,0,IF(N(G418)&gt;0,G418*(1+H418/30),H418))=X418,IF(N(G418)&gt;0,G418&amp;" x "&amp;H418,H418&amp;" reps"),IF(IF(N(J418)=0,0,IF(N(I418)&gt;0,I418*(1+J418/30),J418))=X418,IF(N(I418)&gt;0,I418&amp;" x "&amp;J418,J418&amp;" reps"),IF(IF(N(L418)=0,0,IF(N(K418)&gt;0,K418*(1+L418/30),L418))=X418,IF(N(K418)&gt;0,K418&amp;" x "&amp;L418,L418&amp;" reps"),IF(IF(N(N418)=0,0,IF(N(M418)&gt;0,M418*(1+N418/30),N418))=X418,IF(N(M418)&gt;0,M418&amp;" x "&amp;N418,N418&amp;" reps"),""))))))</f>
        <v/>
      </c>
      <c r="R418" s="20">
        <f>IF(N(X418)=0,"",ROUND(X418,1))</f>
        <v/>
      </c>
      <c r="S418" s="18">
        <f>IF(N(X418)=0,"",IF(AND(COUNTIFS(Log!$D$6:$D$1505,D418,Log!$B$6:$B$1505,"&lt;"&amp;B418)&gt;0,COUNTIFS(Log!$D$6:$D$1505,D418,Log!$B$6:$B$1505,"&lt;"&amp;B418,Log!$X$6:$X$1505,"&gt;="&amp;X418)=0),"New best",""))</f>
        <v/>
      </c>
      <c r="T418" s="26" t="n"/>
      <c r="U418" s="1">
        <f>IF(D418="","",IFERROR(INDEX(Exercises!$C$6:$C$105,MATCH(D418,Exercises!$B$6:$B$105,0)),"Other"))</f>
        <v/>
      </c>
      <c r="V418">
        <f>IF(B418="","",IF(COUNTIF($B$6:B418,B418)=1,1,0))</f>
        <v/>
      </c>
      <c r="W418">
        <f>IF(B418="","",B418-WEEKDAY(B418,3))</f>
        <v/>
      </c>
      <c r="X418">
        <f>IF(D418="","",MAX(IF(N(F418)=0,0,IF(N(E418)&gt;0,E418*(1+F418/30),F418)),IF(N(H418)=0,0,IF(N(G418)&gt;0,G418*(1+H418/30),H418)),IF(N(J418)=0,0,IF(N(I418)&gt;0,I418*(1+J418/30),J418)),IF(N(L418)=0,0,IF(N(K418)&gt;0,K418*(1+L418/30),L418)),IF(N(N418)=0,0,IF(N(M418)&gt;0,M418*(1+N418/30),N418))))</f>
        <v/>
      </c>
      <c r="Y418">
        <f>IF(N(X418)=0,"",X418+ROW()/1000000000)</f>
        <v/>
      </c>
      <c r="Z418">
        <f>IF(Y418="","",IF(COUNTIFS(Log!$D$6:$D$1505,D418,Log!$Y$6:$Y$1505,"&gt;"&amp;Y418)=0,1,0))</f>
        <v/>
      </c>
      <c r="AA418">
        <f>IF(OR(B418="",D418=""),"",B418+ROW()/10000000)</f>
        <v/>
      </c>
      <c r="AB418">
        <f>IF(AA418="","",IF(COUNTIFS(Log!$D$6:$D$1505,D418,Log!$AA$6:$AA$1505,"&gt;"&amp;AA418)=0,1,0))</f>
        <v/>
      </c>
      <c r="AC418">
        <f>IF(S418="New best",AA418,"")</f>
        <v/>
      </c>
      <c r="AD418">
        <f>ROW()</f>
        <v/>
      </c>
    </row>
    <row r="419">
      <c r="A419" s="1" t="n"/>
      <c r="B419" s="21" t="n"/>
      <c r="C419" s="22" t="n"/>
      <c r="D419" s="23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15">
        <f>IF(D419="","",COUNT(F419,H419,J419,L419,N419))</f>
        <v/>
      </c>
      <c r="P419" s="25">
        <f>IF(D419="","",N(E419)*N(F419)+N(G419)*N(H419)+N(I419)*N(J419)+N(K419)*N(L419)+N(M419)*N(N419))</f>
        <v/>
      </c>
      <c r="Q419" s="18">
        <f>IF(N(X419)=0,"",IF(IF(N(F419)=0,0,IF(N(E419)&gt;0,E419*(1+F419/30),F419))=X419,IF(N(E419)&gt;0,E419&amp;" x "&amp;F419,F419&amp;" reps"),IF(IF(N(H419)=0,0,IF(N(G419)&gt;0,G419*(1+H419/30),H419))=X419,IF(N(G419)&gt;0,G419&amp;" x "&amp;H419,H419&amp;" reps"),IF(IF(N(J419)=0,0,IF(N(I419)&gt;0,I419*(1+J419/30),J419))=X419,IF(N(I419)&gt;0,I419&amp;" x "&amp;J419,J419&amp;" reps"),IF(IF(N(L419)=0,0,IF(N(K419)&gt;0,K419*(1+L419/30),L419))=X419,IF(N(K419)&gt;0,K419&amp;" x "&amp;L419,L419&amp;" reps"),IF(IF(N(N419)=0,0,IF(N(M419)&gt;0,M419*(1+N419/30),N419))=X419,IF(N(M419)&gt;0,M419&amp;" x "&amp;N419,N419&amp;" reps"),""))))))</f>
        <v/>
      </c>
      <c r="R419" s="20">
        <f>IF(N(X419)=0,"",ROUND(X419,1))</f>
        <v/>
      </c>
      <c r="S419" s="18">
        <f>IF(N(X419)=0,"",IF(AND(COUNTIFS(Log!$D$6:$D$1505,D419,Log!$B$6:$B$1505,"&lt;"&amp;B419)&gt;0,COUNTIFS(Log!$D$6:$D$1505,D419,Log!$B$6:$B$1505,"&lt;"&amp;B419,Log!$X$6:$X$1505,"&gt;="&amp;X419)=0),"New best",""))</f>
        <v/>
      </c>
      <c r="T419" s="26" t="n"/>
      <c r="U419" s="1">
        <f>IF(D419="","",IFERROR(INDEX(Exercises!$C$6:$C$105,MATCH(D419,Exercises!$B$6:$B$105,0)),"Other"))</f>
        <v/>
      </c>
      <c r="V419">
        <f>IF(B419="","",IF(COUNTIF($B$6:B419,B419)=1,1,0))</f>
        <v/>
      </c>
      <c r="W419">
        <f>IF(B419="","",B419-WEEKDAY(B419,3))</f>
        <v/>
      </c>
      <c r="X419">
        <f>IF(D419="","",MAX(IF(N(F419)=0,0,IF(N(E419)&gt;0,E419*(1+F419/30),F419)),IF(N(H419)=0,0,IF(N(G419)&gt;0,G419*(1+H419/30),H419)),IF(N(J419)=0,0,IF(N(I419)&gt;0,I419*(1+J419/30),J419)),IF(N(L419)=0,0,IF(N(K419)&gt;0,K419*(1+L419/30),L419)),IF(N(N419)=0,0,IF(N(M419)&gt;0,M419*(1+N419/30),N419))))</f>
        <v/>
      </c>
      <c r="Y419">
        <f>IF(N(X419)=0,"",X419+ROW()/1000000000)</f>
        <v/>
      </c>
      <c r="Z419">
        <f>IF(Y419="","",IF(COUNTIFS(Log!$D$6:$D$1505,D419,Log!$Y$6:$Y$1505,"&gt;"&amp;Y419)=0,1,0))</f>
        <v/>
      </c>
      <c r="AA419">
        <f>IF(OR(B419="",D419=""),"",B419+ROW()/10000000)</f>
        <v/>
      </c>
      <c r="AB419">
        <f>IF(AA419="","",IF(COUNTIFS(Log!$D$6:$D$1505,D419,Log!$AA$6:$AA$1505,"&gt;"&amp;AA419)=0,1,0))</f>
        <v/>
      </c>
      <c r="AC419">
        <f>IF(S419="New best",AA419,"")</f>
        <v/>
      </c>
      <c r="AD419">
        <f>ROW()</f>
        <v/>
      </c>
    </row>
    <row r="420">
      <c r="A420" s="1" t="n"/>
      <c r="B420" s="21" t="n"/>
      <c r="C420" s="22" t="n"/>
      <c r="D420" s="23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15">
        <f>IF(D420="","",COUNT(F420,H420,J420,L420,N420))</f>
        <v/>
      </c>
      <c r="P420" s="25">
        <f>IF(D420="","",N(E420)*N(F420)+N(G420)*N(H420)+N(I420)*N(J420)+N(K420)*N(L420)+N(M420)*N(N420))</f>
        <v/>
      </c>
      <c r="Q420" s="18">
        <f>IF(N(X420)=0,"",IF(IF(N(F420)=0,0,IF(N(E420)&gt;0,E420*(1+F420/30),F420))=X420,IF(N(E420)&gt;0,E420&amp;" x "&amp;F420,F420&amp;" reps"),IF(IF(N(H420)=0,0,IF(N(G420)&gt;0,G420*(1+H420/30),H420))=X420,IF(N(G420)&gt;0,G420&amp;" x "&amp;H420,H420&amp;" reps"),IF(IF(N(J420)=0,0,IF(N(I420)&gt;0,I420*(1+J420/30),J420))=X420,IF(N(I420)&gt;0,I420&amp;" x "&amp;J420,J420&amp;" reps"),IF(IF(N(L420)=0,0,IF(N(K420)&gt;0,K420*(1+L420/30),L420))=X420,IF(N(K420)&gt;0,K420&amp;" x "&amp;L420,L420&amp;" reps"),IF(IF(N(N420)=0,0,IF(N(M420)&gt;0,M420*(1+N420/30),N420))=X420,IF(N(M420)&gt;0,M420&amp;" x "&amp;N420,N420&amp;" reps"),""))))))</f>
        <v/>
      </c>
      <c r="R420" s="20">
        <f>IF(N(X420)=0,"",ROUND(X420,1))</f>
        <v/>
      </c>
      <c r="S420" s="18">
        <f>IF(N(X420)=0,"",IF(AND(COUNTIFS(Log!$D$6:$D$1505,D420,Log!$B$6:$B$1505,"&lt;"&amp;B420)&gt;0,COUNTIFS(Log!$D$6:$D$1505,D420,Log!$B$6:$B$1505,"&lt;"&amp;B420,Log!$X$6:$X$1505,"&gt;="&amp;X420)=0),"New best",""))</f>
        <v/>
      </c>
      <c r="T420" s="26" t="n"/>
      <c r="U420" s="1">
        <f>IF(D420="","",IFERROR(INDEX(Exercises!$C$6:$C$105,MATCH(D420,Exercises!$B$6:$B$105,0)),"Other"))</f>
        <v/>
      </c>
      <c r="V420">
        <f>IF(B420="","",IF(COUNTIF($B$6:B420,B420)=1,1,0))</f>
        <v/>
      </c>
      <c r="W420">
        <f>IF(B420="","",B420-WEEKDAY(B420,3))</f>
        <v/>
      </c>
      <c r="X420">
        <f>IF(D420="","",MAX(IF(N(F420)=0,0,IF(N(E420)&gt;0,E420*(1+F420/30),F420)),IF(N(H420)=0,0,IF(N(G420)&gt;0,G420*(1+H420/30),H420)),IF(N(J420)=0,0,IF(N(I420)&gt;0,I420*(1+J420/30),J420)),IF(N(L420)=0,0,IF(N(K420)&gt;0,K420*(1+L420/30),L420)),IF(N(N420)=0,0,IF(N(M420)&gt;0,M420*(1+N420/30),N420))))</f>
        <v/>
      </c>
      <c r="Y420">
        <f>IF(N(X420)=0,"",X420+ROW()/1000000000)</f>
        <v/>
      </c>
      <c r="Z420">
        <f>IF(Y420="","",IF(COUNTIFS(Log!$D$6:$D$1505,D420,Log!$Y$6:$Y$1505,"&gt;"&amp;Y420)=0,1,0))</f>
        <v/>
      </c>
      <c r="AA420">
        <f>IF(OR(B420="",D420=""),"",B420+ROW()/10000000)</f>
        <v/>
      </c>
      <c r="AB420">
        <f>IF(AA420="","",IF(COUNTIFS(Log!$D$6:$D$1505,D420,Log!$AA$6:$AA$1505,"&gt;"&amp;AA420)=0,1,0))</f>
        <v/>
      </c>
      <c r="AC420">
        <f>IF(S420="New best",AA420,"")</f>
        <v/>
      </c>
      <c r="AD420">
        <f>ROW()</f>
        <v/>
      </c>
    </row>
    <row r="421">
      <c r="A421" s="1" t="n"/>
      <c r="B421" s="21" t="n"/>
      <c r="C421" s="22" t="n"/>
      <c r="D421" s="23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15">
        <f>IF(D421="","",COUNT(F421,H421,J421,L421,N421))</f>
        <v/>
      </c>
      <c r="P421" s="25">
        <f>IF(D421="","",N(E421)*N(F421)+N(G421)*N(H421)+N(I421)*N(J421)+N(K421)*N(L421)+N(M421)*N(N421))</f>
        <v/>
      </c>
      <c r="Q421" s="18">
        <f>IF(N(X421)=0,"",IF(IF(N(F421)=0,0,IF(N(E421)&gt;0,E421*(1+F421/30),F421))=X421,IF(N(E421)&gt;0,E421&amp;" x "&amp;F421,F421&amp;" reps"),IF(IF(N(H421)=0,0,IF(N(G421)&gt;0,G421*(1+H421/30),H421))=X421,IF(N(G421)&gt;0,G421&amp;" x "&amp;H421,H421&amp;" reps"),IF(IF(N(J421)=0,0,IF(N(I421)&gt;0,I421*(1+J421/30),J421))=X421,IF(N(I421)&gt;0,I421&amp;" x "&amp;J421,J421&amp;" reps"),IF(IF(N(L421)=0,0,IF(N(K421)&gt;0,K421*(1+L421/30),L421))=X421,IF(N(K421)&gt;0,K421&amp;" x "&amp;L421,L421&amp;" reps"),IF(IF(N(N421)=0,0,IF(N(M421)&gt;0,M421*(1+N421/30),N421))=X421,IF(N(M421)&gt;0,M421&amp;" x "&amp;N421,N421&amp;" reps"),""))))))</f>
        <v/>
      </c>
      <c r="R421" s="20">
        <f>IF(N(X421)=0,"",ROUND(X421,1))</f>
        <v/>
      </c>
      <c r="S421" s="18">
        <f>IF(N(X421)=0,"",IF(AND(COUNTIFS(Log!$D$6:$D$1505,D421,Log!$B$6:$B$1505,"&lt;"&amp;B421)&gt;0,COUNTIFS(Log!$D$6:$D$1505,D421,Log!$B$6:$B$1505,"&lt;"&amp;B421,Log!$X$6:$X$1505,"&gt;="&amp;X421)=0),"New best",""))</f>
        <v/>
      </c>
      <c r="T421" s="26" t="n"/>
      <c r="U421" s="1">
        <f>IF(D421="","",IFERROR(INDEX(Exercises!$C$6:$C$105,MATCH(D421,Exercises!$B$6:$B$105,0)),"Other"))</f>
        <v/>
      </c>
      <c r="V421">
        <f>IF(B421="","",IF(COUNTIF($B$6:B421,B421)=1,1,0))</f>
        <v/>
      </c>
      <c r="W421">
        <f>IF(B421="","",B421-WEEKDAY(B421,3))</f>
        <v/>
      </c>
      <c r="X421">
        <f>IF(D421="","",MAX(IF(N(F421)=0,0,IF(N(E421)&gt;0,E421*(1+F421/30),F421)),IF(N(H421)=0,0,IF(N(G421)&gt;0,G421*(1+H421/30),H421)),IF(N(J421)=0,0,IF(N(I421)&gt;0,I421*(1+J421/30),J421)),IF(N(L421)=0,0,IF(N(K421)&gt;0,K421*(1+L421/30),L421)),IF(N(N421)=0,0,IF(N(M421)&gt;0,M421*(1+N421/30),N421))))</f>
        <v/>
      </c>
      <c r="Y421">
        <f>IF(N(X421)=0,"",X421+ROW()/1000000000)</f>
        <v/>
      </c>
      <c r="Z421">
        <f>IF(Y421="","",IF(COUNTIFS(Log!$D$6:$D$1505,D421,Log!$Y$6:$Y$1505,"&gt;"&amp;Y421)=0,1,0))</f>
        <v/>
      </c>
      <c r="AA421">
        <f>IF(OR(B421="",D421=""),"",B421+ROW()/10000000)</f>
        <v/>
      </c>
      <c r="AB421">
        <f>IF(AA421="","",IF(COUNTIFS(Log!$D$6:$D$1505,D421,Log!$AA$6:$AA$1505,"&gt;"&amp;AA421)=0,1,0))</f>
        <v/>
      </c>
      <c r="AC421">
        <f>IF(S421="New best",AA421,"")</f>
        <v/>
      </c>
      <c r="AD421">
        <f>ROW()</f>
        <v/>
      </c>
    </row>
    <row r="422">
      <c r="A422" s="1" t="n"/>
      <c r="B422" s="21" t="n"/>
      <c r="C422" s="22" t="n"/>
      <c r="D422" s="23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15">
        <f>IF(D422="","",COUNT(F422,H422,J422,L422,N422))</f>
        <v/>
      </c>
      <c r="P422" s="25">
        <f>IF(D422="","",N(E422)*N(F422)+N(G422)*N(H422)+N(I422)*N(J422)+N(K422)*N(L422)+N(M422)*N(N422))</f>
        <v/>
      </c>
      <c r="Q422" s="18">
        <f>IF(N(X422)=0,"",IF(IF(N(F422)=0,0,IF(N(E422)&gt;0,E422*(1+F422/30),F422))=X422,IF(N(E422)&gt;0,E422&amp;" x "&amp;F422,F422&amp;" reps"),IF(IF(N(H422)=0,0,IF(N(G422)&gt;0,G422*(1+H422/30),H422))=X422,IF(N(G422)&gt;0,G422&amp;" x "&amp;H422,H422&amp;" reps"),IF(IF(N(J422)=0,0,IF(N(I422)&gt;0,I422*(1+J422/30),J422))=X422,IF(N(I422)&gt;0,I422&amp;" x "&amp;J422,J422&amp;" reps"),IF(IF(N(L422)=0,0,IF(N(K422)&gt;0,K422*(1+L422/30),L422))=X422,IF(N(K422)&gt;0,K422&amp;" x "&amp;L422,L422&amp;" reps"),IF(IF(N(N422)=0,0,IF(N(M422)&gt;0,M422*(1+N422/30),N422))=X422,IF(N(M422)&gt;0,M422&amp;" x "&amp;N422,N422&amp;" reps"),""))))))</f>
        <v/>
      </c>
      <c r="R422" s="20">
        <f>IF(N(X422)=0,"",ROUND(X422,1))</f>
        <v/>
      </c>
      <c r="S422" s="18">
        <f>IF(N(X422)=0,"",IF(AND(COUNTIFS(Log!$D$6:$D$1505,D422,Log!$B$6:$B$1505,"&lt;"&amp;B422)&gt;0,COUNTIFS(Log!$D$6:$D$1505,D422,Log!$B$6:$B$1505,"&lt;"&amp;B422,Log!$X$6:$X$1505,"&gt;="&amp;X422)=0),"New best",""))</f>
        <v/>
      </c>
      <c r="T422" s="26" t="n"/>
      <c r="U422" s="1">
        <f>IF(D422="","",IFERROR(INDEX(Exercises!$C$6:$C$105,MATCH(D422,Exercises!$B$6:$B$105,0)),"Other"))</f>
        <v/>
      </c>
      <c r="V422">
        <f>IF(B422="","",IF(COUNTIF($B$6:B422,B422)=1,1,0))</f>
        <v/>
      </c>
      <c r="W422">
        <f>IF(B422="","",B422-WEEKDAY(B422,3))</f>
        <v/>
      </c>
      <c r="X422">
        <f>IF(D422="","",MAX(IF(N(F422)=0,0,IF(N(E422)&gt;0,E422*(1+F422/30),F422)),IF(N(H422)=0,0,IF(N(G422)&gt;0,G422*(1+H422/30),H422)),IF(N(J422)=0,0,IF(N(I422)&gt;0,I422*(1+J422/30),J422)),IF(N(L422)=0,0,IF(N(K422)&gt;0,K422*(1+L422/30),L422)),IF(N(N422)=0,0,IF(N(M422)&gt;0,M422*(1+N422/30),N422))))</f>
        <v/>
      </c>
      <c r="Y422">
        <f>IF(N(X422)=0,"",X422+ROW()/1000000000)</f>
        <v/>
      </c>
      <c r="Z422">
        <f>IF(Y422="","",IF(COUNTIFS(Log!$D$6:$D$1505,D422,Log!$Y$6:$Y$1505,"&gt;"&amp;Y422)=0,1,0))</f>
        <v/>
      </c>
      <c r="AA422">
        <f>IF(OR(B422="",D422=""),"",B422+ROW()/10000000)</f>
        <v/>
      </c>
      <c r="AB422">
        <f>IF(AA422="","",IF(COUNTIFS(Log!$D$6:$D$1505,D422,Log!$AA$6:$AA$1505,"&gt;"&amp;AA422)=0,1,0))</f>
        <v/>
      </c>
      <c r="AC422">
        <f>IF(S422="New best",AA422,"")</f>
        <v/>
      </c>
      <c r="AD422">
        <f>ROW()</f>
        <v/>
      </c>
    </row>
    <row r="423">
      <c r="A423" s="1" t="n"/>
      <c r="B423" s="21" t="n"/>
      <c r="C423" s="22" t="n"/>
      <c r="D423" s="23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15">
        <f>IF(D423="","",COUNT(F423,H423,J423,L423,N423))</f>
        <v/>
      </c>
      <c r="P423" s="25">
        <f>IF(D423="","",N(E423)*N(F423)+N(G423)*N(H423)+N(I423)*N(J423)+N(K423)*N(L423)+N(M423)*N(N423))</f>
        <v/>
      </c>
      <c r="Q423" s="18">
        <f>IF(N(X423)=0,"",IF(IF(N(F423)=0,0,IF(N(E423)&gt;0,E423*(1+F423/30),F423))=X423,IF(N(E423)&gt;0,E423&amp;" x "&amp;F423,F423&amp;" reps"),IF(IF(N(H423)=0,0,IF(N(G423)&gt;0,G423*(1+H423/30),H423))=X423,IF(N(G423)&gt;0,G423&amp;" x "&amp;H423,H423&amp;" reps"),IF(IF(N(J423)=0,0,IF(N(I423)&gt;0,I423*(1+J423/30),J423))=X423,IF(N(I423)&gt;0,I423&amp;" x "&amp;J423,J423&amp;" reps"),IF(IF(N(L423)=0,0,IF(N(K423)&gt;0,K423*(1+L423/30),L423))=X423,IF(N(K423)&gt;0,K423&amp;" x "&amp;L423,L423&amp;" reps"),IF(IF(N(N423)=0,0,IF(N(M423)&gt;0,M423*(1+N423/30),N423))=X423,IF(N(M423)&gt;0,M423&amp;" x "&amp;N423,N423&amp;" reps"),""))))))</f>
        <v/>
      </c>
      <c r="R423" s="20">
        <f>IF(N(X423)=0,"",ROUND(X423,1))</f>
        <v/>
      </c>
      <c r="S423" s="18">
        <f>IF(N(X423)=0,"",IF(AND(COUNTIFS(Log!$D$6:$D$1505,D423,Log!$B$6:$B$1505,"&lt;"&amp;B423)&gt;0,COUNTIFS(Log!$D$6:$D$1505,D423,Log!$B$6:$B$1505,"&lt;"&amp;B423,Log!$X$6:$X$1505,"&gt;="&amp;X423)=0),"New best",""))</f>
        <v/>
      </c>
      <c r="T423" s="26" t="n"/>
      <c r="U423" s="1">
        <f>IF(D423="","",IFERROR(INDEX(Exercises!$C$6:$C$105,MATCH(D423,Exercises!$B$6:$B$105,0)),"Other"))</f>
        <v/>
      </c>
      <c r="V423">
        <f>IF(B423="","",IF(COUNTIF($B$6:B423,B423)=1,1,0))</f>
        <v/>
      </c>
      <c r="W423">
        <f>IF(B423="","",B423-WEEKDAY(B423,3))</f>
        <v/>
      </c>
      <c r="X423">
        <f>IF(D423="","",MAX(IF(N(F423)=0,0,IF(N(E423)&gt;0,E423*(1+F423/30),F423)),IF(N(H423)=0,0,IF(N(G423)&gt;0,G423*(1+H423/30),H423)),IF(N(J423)=0,0,IF(N(I423)&gt;0,I423*(1+J423/30),J423)),IF(N(L423)=0,0,IF(N(K423)&gt;0,K423*(1+L423/30),L423)),IF(N(N423)=0,0,IF(N(M423)&gt;0,M423*(1+N423/30),N423))))</f>
        <v/>
      </c>
      <c r="Y423">
        <f>IF(N(X423)=0,"",X423+ROW()/1000000000)</f>
        <v/>
      </c>
      <c r="Z423">
        <f>IF(Y423="","",IF(COUNTIFS(Log!$D$6:$D$1505,D423,Log!$Y$6:$Y$1505,"&gt;"&amp;Y423)=0,1,0))</f>
        <v/>
      </c>
      <c r="AA423">
        <f>IF(OR(B423="",D423=""),"",B423+ROW()/10000000)</f>
        <v/>
      </c>
      <c r="AB423">
        <f>IF(AA423="","",IF(COUNTIFS(Log!$D$6:$D$1505,D423,Log!$AA$6:$AA$1505,"&gt;"&amp;AA423)=0,1,0))</f>
        <v/>
      </c>
      <c r="AC423">
        <f>IF(S423="New best",AA423,"")</f>
        <v/>
      </c>
      <c r="AD423">
        <f>ROW()</f>
        <v/>
      </c>
    </row>
    <row r="424">
      <c r="A424" s="1" t="n"/>
      <c r="B424" s="21" t="n"/>
      <c r="C424" s="22" t="n"/>
      <c r="D424" s="23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15">
        <f>IF(D424="","",COUNT(F424,H424,J424,L424,N424))</f>
        <v/>
      </c>
      <c r="P424" s="25">
        <f>IF(D424="","",N(E424)*N(F424)+N(G424)*N(H424)+N(I424)*N(J424)+N(K424)*N(L424)+N(M424)*N(N424))</f>
        <v/>
      </c>
      <c r="Q424" s="18">
        <f>IF(N(X424)=0,"",IF(IF(N(F424)=0,0,IF(N(E424)&gt;0,E424*(1+F424/30),F424))=X424,IF(N(E424)&gt;0,E424&amp;" x "&amp;F424,F424&amp;" reps"),IF(IF(N(H424)=0,0,IF(N(G424)&gt;0,G424*(1+H424/30),H424))=X424,IF(N(G424)&gt;0,G424&amp;" x "&amp;H424,H424&amp;" reps"),IF(IF(N(J424)=0,0,IF(N(I424)&gt;0,I424*(1+J424/30),J424))=X424,IF(N(I424)&gt;0,I424&amp;" x "&amp;J424,J424&amp;" reps"),IF(IF(N(L424)=0,0,IF(N(K424)&gt;0,K424*(1+L424/30),L424))=X424,IF(N(K424)&gt;0,K424&amp;" x "&amp;L424,L424&amp;" reps"),IF(IF(N(N424)=0,0,IF(N(M424)&gt;0,M424*(1+N424/30),N424))=X424,IF(N(M424)&gt;0,M424&amp;" x "&amp;N424,N424&amp;" reps"),""))))))</f>
        <v/>
      </c>
      <c r="R424" s="20">
        <f>IF(N(X424)=0,"",ROUND(X424,1))</f>
        <v/>
      </c>
      <c r="S424" s="18">
        <f>IF(N(X424)=0,"",IF(AND(COUNTIFS(Log!$D$6:$D$1505,D424,Log!$B$6:$B$1505,"&lt;"&amp;B424)&gt;0,COUNTIFS(Log!$D$6:$D$1505,D424,Log!$B$6:$B$1505,"&lt;"&amp;B424,Log!$X$6:$X$1505,"&gt;="&amp;X424)=0),"New best",""))</f>
        <v/>
      </c>
      <c r="T424" s="26" t="n"/>
      <c r="U424" s="1">
        <f>IF(D424="","",IFERROR(INDEX(Exercises!$C$6:$C$105,MATCH(D424,Exercises!$B$6:$B$105,0)),"Other"))</f>
        <v/>
      </c>
      <c r="V424">
        <f>IF(B424="","",IF(COUNTIF($B$6:B424,B424)=1,1,0))</f>
        <v/>
      </c>
      <c r="W424">
        <f>IF(B424="","",B424-WEEKDAY(B424,3))</f>
        <v/>
      </c>
      <c r="X424">
        <f>IF(D424="","",MAX(IF(N(F424)=0,0,IF(N(E424)&gt;0,E424*(1+F424/30),F424)),IF(N(H424)=0,0,IF(N(G424)&gt;0,G424*(1+H424/30),H424)),IF(N(J424)=0,0,IF(N(I424)&gt;0,I424*(1+J424/30),J424)),IF(N(L424)=0,0,IF(N(K424)&gt;0,K424*(1+L424/30),L424)),IF(N(N424)=0,0,IF(N(M424)&gt;0,M424*(1+N424/30),N424))))</f>
        <v/>
      </c>
      <c r="Y424">
        <f>IF(N(X424)=0,"",X424+ROW()/1000000000)</f>
        <v/>
      </c>
      <c r="Z424">
        <f>IF(Y424="","",IF(COUNTIFS(Log!$D$6:$D$1505,D424,Log!$Y$6:$Y$1505,"&gt;"&amp;Y424)=0,1,0))</f>
        <v/>
      </c>
      <c r="AA424">
        <f>IF(OR(B424="",D424=""),"",B424+ROW()/10000000)</f>
        <v/>
      </c>
      <c r="AB424">
        <f>IF(AA424="","",IF(COUNTIFS(Log!$D$6:$D$1505,D424,Log!$AA$6:$AA$1505,"&gt;"&amp;AA424)=0,1,0))</f>
        <v/>
      </c>
      <c r="AC424">
        <f>IF(S424="New best",AA424,"")</f>
        <v/>
      </c>
      <c r="AD424">
        <f>ROW()</f>
        <v/>
      </c>
    </row>
    <row r="425">
      <c r="A425" s="1" t="n"/>
      <c r="B425" s="21" t="n"/>
      <c r="C425" s="22" t="n"/>
      <c r="D425" s="23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15">
        <f>IF(D425="","",COUNT(F425,H425,J425,L425,N425))</f>
        <v/>
      </c>
      <c r="P425" s="25">
        <f>IF(D425="","",N(E425)*N(F425)+N(G425)*N(H425)+N(I425)*N(J425)+N(K425)*N(L425)+N(M425)*N(N425))</f>
        <v/>
      </c>
      <c r="Q425" s="18">
        <f>IF(N(X425)=0,"",IF(IF(N(F425)=0,0,IF(N(E425)&gt;0,E425*(1+F425/30),F425))=X425,IF(N(E425)&gt;0,E425&amp;" x "&amp;F425,F425&amp;" reps"),IF(IF(N(H425)=0,0,IF(N(G425)&gt;0,G425*(1+H425/30),H425))=X425,IF(N(G425)&gt;0,G425&amp;" x "&amp;H425,H425&amp;" reps"),IF(IF(N(J425)=0,0,IF(N(I425)&gt;0,I425*(1+J425/30),J425))=X425,IF(N(I425)&gt;0,I425&amp;" x "&amp;J425,J425&amp;" reps"),IF(IF(N(L425)=0,0,IF(N(K425)&gt;0,K425*(1+L425/30),L425))=X425,IF(N(K425)&gt;0,K425&amp;" x "&amp;L425,L425&amp;" reps"),IF(IF(N(N425)=0,0,IF(N(M425)&gt;0,M425*(1+N425/30),N425))=X425,IF(N(M425)&gt;0,M425&amp;" x "&amp;N425,N425&amp;" reps"),""))))))</f>
        <v/>
      </c>
      <c r="R425" s="20">
        <f>IF(N(X425)=0,"",ROUND(X425,1))</f>
        <v/>
      </c>
      <c r="S425" s="18">
        <f>IF(N(X425)=0,"",IF(AND(COUNTIFS(Log!$D$6:$D$1505,D425,Log!$B$6:$B$1505,"&lt;"&amp;B425)&gt;0,COUNTIFS(Log!$D$6:$D$1505,D425,Log!$B$6:$B$1505,"&lt;"&amp;B425,Log!$X$6:$X$1505,"&gt;="&amp;X425)=0),"New best",""))</f>
        <v/>
      </c>
      <c r="T425" s="26" t="n"/>
      <c r="U425" s="1">
        <f>IF(D425="","",IFERROR(INDEX(Exercises!$C$6:$C$105,MATCH(D425,Exercises!$B$6:$B$105,0)),"Other"))</f>
        <v/>
      </c>
      <c r="V425">
        <f>IF(B425="","",IF(COUNTIF($B$6:B425,B425)=1,1,0))</f>
        <v/>
      </c>
      <c r="W425">
        <f>IF(B425="","",B425-WEEKDAY(B425,3))</f>
        <v/>
      </c>
      <c r="X425">
        <f>IF(D425="","",MAX(IF(N(F425)=0,0,IF(N(E425)&gt;0,E425*(1+F425/30),F425)),IF(N(H425)=0,0,IF(N(G425)&gt;0,G425*(1+H425/30),H425)),IF(N(J425)=0,0,IF(N(I425)&gt;0,I425*(1+J425/30),J425)),IF(N(L425)=0,0,IF(N(K425)&gt;0,K425*(1+L425/30),L425)),IF(N(N425)=0,0,IF(N(M425)&gt;0,M425*(1+N425/30),N425))))</f>
        <v/>
      </c>
      <c r="Y425">
        <f>IF(N(X425)=0,"",X425+ROW()/1000000000)</f>
        <v/>
      </c>
      <c r="Z425">
        <f>IF(Y425="","",IF(COUNTIFS(Log!$D$6:$D$1505,D425,Log!$Y$6:$Y$1505,"&gt;"&amp;Y425)=0,1,0))</f>
        <v/>
      </c>
      <c r="AA425">
        <f>IF(OR(B425="",D425=""),"",B425+ROW()/10000000)</f>
        <v/>
      </c>
      <c r="AB425">
        <f>IF(AA425="","",IF(COUNTIFS(Log!$D$6:$D$1505,D425,Log!$AA$6:$AA$1505,"&gt;"&amp;AA425)=0,1,0))</f>
        <v/>
      </c>
      <c r="AC425">
        <f>IF(S425="New best",AA425,"")</f>
        <v/>
      </c>
      <c r="AD425">
        <f>ROW()</f>
        <v/>
      </c>
    </row>
    <row r="426">
      <c r="A426" s="1" t="n"/>
      <c r="B426" s="21" t="n"/>
      <c r="C426" s="22" t="n"/>
      <c r="D426" s="23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15">
        <f>IF(D426="","",COUNT(F426,H426,J426,L426,N426))</f>
        <v/>
      </c>
      <c r="P426" s="25">
        <f>IF(D426="","",N(E426)*N(F426)+N(G426)*N(H426)+N(I426)*N(J426)+N(K426)*N(L426)+N(M426)*N(N426))</f>
        <v/>
      </c>
      <c r="Q426" s="18">
        <f>IF(N(X426)=0,"",IF(IF(N(F426)=0,0,IF(N(E426)&gt;0,E426*(1+F426/30),F426))=X426,IF(N(E426)&gt;0,E426&amp;" x "&amp;F426,F426&amp;" reps"),IF(IF(N(H426)=0,0,IF(N(G426)&gt;0,G426*(1+H426/30),H426))=X426,IF(N(G426)&gt;0,G426&amp;" x "&amp;H426,H426&amp;" reps"),IF(IF(N(J426)=0,0,IF(N(I426)&gt;0,I426*(1+J426/30),J426))=X426,IF(N(I426)&gt;0,I426&amp;" x "&amp;J426,J426&amp;" reps"),IF(IF(N(L426)=0,0,IF(N(K426)&gt;0,K426*(1+L426/30),L426))=X426,IF(N(K426)&gt;0,K426&amp;" x "&amp;L426,L426&amp;" reps"),IF(IF(N(N426)=0,0,IF(N(M426)&gt;0,M426*(1+N426/30),N426))=X426,IF(N(M426)&gt;0,M426&amp;" x "&amp;N426,N426&amp;" reps"),""))))))</f>
        <v/>
      </c>
      <c r="R426" s="20">
        <f>IF(N(X426)=0,"",ROUND(X426,1))</f>
        <v/>
      </c>
      <c r="S426" s="18">
        <f>IF(N(X426)=0,"",IF(AND(COUNTIFS(Log!$D$6:$D$1505,D426,Log!$B$6:$B$1505,"&lt;"&amp;B426)&gt;0,COUNTIFS(Log!$D$6:$D$1505,D426,Log!$B$6:$B$1505,"&lt;"&amp;B426,Log!$X$6:$X$1505,"&gt;="&amp;X426)=0),"New best",""))</f>
        <v/>
      </c>
      <c r="T426" s="26" t="n"/>
      <c r="U426" s="1">
        <f>IF(D426="","",IFERROR(INDEX(Exercises!$C$6:$C$105,MATCH(D426,Exercises!$B$6:$B$105,0)),"Other"))</f>
        <v/>
      </c>
      <c r="V426">
        <f>IF(B426="","",IF(COUNTIF($B$6:B426,B426)=1,1,0))</f>
        <v/>
      </c>
      <c r="W426">
        <f>IF(B426="","",B426-WEEKDAY(B426,3))</f>
        <v/>
      </c>
      <c r="X426">
        <f>IF(D426="","",MAX(IF(N(F426)=0,0,IF(N(E426)&gt;0,E426*(1+F426/30),F426)),IF(N(H426)=0,0,IF(N(G426)&gt;0,G426*(1+H426/30),H426)),IF(N(J426)=0,0,IF(N(I426)&gt;0,I426*(1+J426/30),J426)),IF(N(L426)=0,0,IF(N(K426)&gt;0,K426*(1+L426/30),L426)),IF(N(N426)=0,0,IF(N(M426)&gt;0,M426*(1+N426/30),N426))))</f>
        <v/>
      </c>
      <c r="Y426">
        <f>IF(N(X426)=0,"",X426+ROW()/1000000000)</f>
        <v/>
      </c>
      <c r="Z426">
        <f>IF(Y426="","",IF(COUNTIFS(Log!$D$6:$D$1505,D426,Log!$Y$6:$Y$1505,"&gt;"&amp;Y426)=0,1,0))</f>
        <v/>
      </c>
      <c r="AA426">
        <f>IF(OR(B426="",D426=""),"",B426+ROW()/10000000)</f>
        <v/>
      </c>
      <c r="AB426">
        <f>IF(AA426="","",IF(COUNTIFS(Log!$D$6:$D$1505,D426,Log!$AA$6:$AA$1505,"&gt;"&amp;AA426)=0,1,0))</f>
        <v/>
      </c>
      <c r="AC426">
        <f>IF(S426="New best",AA426,"")</f>
        <v/>
      </c>
      <c r="AD426">
        <f>ROW()</f>
        <v/>
      </c>
    </row>
    <row r="427">
      <c r="A427" s="1" t="n"/>
      <c r="B427" s="21" t="n"/>
      <c r="C427" s="22" t="n"/>
      <c r="D427" s="23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15">
        <f>IF(D427="","",COUNT(F427,H427,J427,L427,N427))</f>
        <v/>
      </c>
      <c r="P427" s="25">
        <f>IF(D427="","",N(E427)*N(F427)+N(G427)*N(H427)+N(I427)*N(J427)+N(K427)*N(L427)+N(M427)*N(N427))</f>
        <v/>
      </c>
      <c r="Q427" s="18">
        <f>IF(N(X427)=0,"",IF(IF(N(F427)=0,0,IF(N(E427)&gt;0,E427*(1+F427/30),F427))=X427,IF(N(E427)&gt;0,E427&amp;" x "&amp;F427,F427&amp;" reps"),IF(IF(N(H427)=0,0,IF(N(G427)&gt;0,G427*(1+H427/30),H427))=X427,IF(N(G427)&gt;0,G427&amp;" x "&amp;H427,H427&amp;" reps"),IF(IF(N(J427)=0,0,IF(N(I427)&gt;0,I427*(1+J427/30),J427))=X427,IF(N(I427)&gt;0,I427&amp;" x "&amp;J427,J427&amp;" reps"),IF(IF(N(L427)=0,0,IF(N(K427)&gt;0,K427*(1+L427/30),L427))=X427,IF(N(K427)&gt;0,K427&amp;" x "&amp;L427,L427&amp;" reps"),IF(IF(N(N427)=0,0,IF(N(M427)&gt;0,M427*(1+N427/30),N427))=X427,IF(N(M427)&gt;0,M427&amp;" x "&amp;N427,N427&amp;" reps"),""))))))</f>
        <v/>
      </c>
      <c r="R427" s="20">
        <f>IF(N(X427)=0,"",ROUND(X427,1))</f>
        <v/>
      </c>
      <c r="S427" s="18">
        <f>IF(N(X427)=0,"",IF(AND(COUNTIFS(Log!$D$6:$D$1505,D427,Log!$B$6:$B$1505,"&lt;"&amp;B427)&gt;0,COUNTIFS(Log!$D$6:$D$1505,D427,Log!$B$6:$B$1505,"&lt;"&amp;B427,Log!$X$6:$X$1505,"&gt;="&amp;X427)=0),"New best",""))</f>
        <v/>
      </c>
      <c r="T427" s="26" t="n"/>
      <c r="U427" s="1">
        <f>IF(D427="","",IFERROR(INDEX(Exercises!$C$6:$C$105,MATCH(D427,Exercises!$B$6:$B$105,0)),"Other"))</f>
        <v/>
      </c>
      <c r="V427">
        <f>IF(B427="","",IF(COUNTIF($B$6:B427,B427)=1,1,0))</f>
        <v/>
      </c>
      <c r="W427">
        <f>IF(B427="","",B427-WEEKDAY(B427,3))</f>
        <v/>
      </c>
      <c r="X427">
        <f>IF(D427="","",MAX(IF(N(F427)=0,0,IF(N(E427)&gt;0,E427*(1+F427/30),F427)),IF(N(H427)=0,0,IF(N(G427)&gt;0,G427*(1+H427/30),H427)),IF(N(J427)=0,0,IF(N(I427)&gt;0,I427*(1+J427/30),J427)),IF(N(L427)=0,0,IF(N(K427)&gt;0,K427*(1+L427/30),L427)),IF(N(N427)=0,0,IF(N(M427)&gt;0,M427*(1+N427/30),N427))))</f>
        <v/>
      </c>
      <c r="Y427">
        <f>IF(N(X427)=0,"",X427+ROW()/1000000000)</f>
        <v/>
      </c>
      <c r="Z427">
        <f>IF(Y427="","",IF(COUNTIFS(Log!$D$6:$D$1505,D427,Log!$Y$6:$Y$1505,"&gt;"&amp;Y427)=0,1,0))</f>
        <v/>
      </c>
      <c r="AA427">
        <f>IF(OR(B427="",D427=""),"",B427+ROW()/10000000)</f>
        <v/>
      </c>
      <c r="AB427">
        <f>IF(AA427="","",IF(COUNTIFS(Log!$D$6:$D$1505,D427,Log!$AA$6:$AA$1505,"&gt;"&amp;AA427)=0,1,0))</f>
        <v/>
      </c>
      <c r="AC427">
        <f>IF(S427="New best",AA427,"")</f>
        <v/>
      </c>
      <c r="AD427">
        <f>ROW()</f>
        <v/>
      </c>
    </row>
    <row r="428">
      <c r="A428" s="1" t="n"/>
      <c r="B428" s="21" t="n"/>
      <c r="C428" s="22" t="n"/>
      <c r="D428" s="23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15">
        <f>IF(D428="","",COUNT(F428,H428,J428,L428,N428))</f>
        <v/>
      </c>
      <c r="P428" s="25">
        <f>IF(D428="","",N(E428)*N(F428)+N(G428)*N(H428)+N(I428)*N(J428)+N(K428)*N(L428)+N(M428)*N(N428))</f>
        <v/>
      </c>
      <c r="Q428" s="18">
        <f>IF(N(X428)=0,"",IF(IF(N(F428)=0,0,IF(N(E428)&gt;0,E428*(1+F428/30),F428))=X428,IF(N(E428)&gt;0,E428&amp;" x "&amp;F428,F428&amp;" reps"),IF(IF(N(H428)=0,0,IF(N(G428)&gt;0,G428*(1+H428/30),H428))=X428,IF(N(G428)&gt;0,G428&amp;" x "&amp;H428,H428&amp;" reps"),IF(IF(N(J428)=0,0,IF(N(I428)&gt;0,I428*(1+J428/30),J428))=X428,IF(N(I428)&gt;0,I428&amp;" x "&amp;J428,J428&amp;" reps"),IF(IF(N(L428)=0,0,IF(N(K428)&gt;0,K428*(1+L428/30),L428))=X428,IF(N(K428)&gt;0,K428&amp;" x "&amp;L428,L428&amp;" reps"),IF(IF(N(N428)=0,0,IF(N(M428)&gt;0,M428*(1+N428/30),N428))=X428,IF(N(M428)&gt;0,M428&amp;" x "&amp;N428,N428&amp;" reps"),""))))))</f>
        <v/>
      </c>
      <c r="R428" s="20">
        <f>IF(N(X428)=0,"",ROUND(X428,1))</f>
        <v/>
      </c>
      <c r="S428" s="18">
        <f>IF(N(X428)=0,"",IF(AND(COUNTIFS(Log!$D$6:$D$1505,D428,Log!$B$6:$B$1505,"&lt;"&amp;B428)&gt;0,COUNTIFS(Log!$D$6:$D$1505,D428,Log!$B$6:$B$1505,"&lt;"&amp;B428,Log!$X$6:$X$1505,"&gt;="&amp;X428)=0),"New best",""))</f>
        <v/>
      </c>
      <c r="T428" s="26" t="n"/>
      <c r="U428" s="1">
        <f>IF(D428="","",IFERROR(INDEX(Exercises!$C$6:$C$105,MATCH(D428,Exercises!$B$6:$B$105,0)),"Other"))</f>
        <v/>
      </c>
      <c r="V428">
        <f>IF(B428="","",IF(COUNTIF($B$6:B428,B428)=1,1,0))</f>
        <v/>
      </c>
      <c r="W428">
        <f>IF(B428="","",B428-WEEKDAY(B428,3))</f>
        <v/>
      </c>
      <c r="X428">
        <f>IF(D428="","",MAX(IF(N(F428)=0,0,IF(N(E428)&gt;0,E428*(1+F428/30),F428)),IF(N(H428)=0,0,IF(N(G428)&gt;0,G428*(1+H428/30),H428)),IF(N(J428)=0,0,IF(N(I428)&gt;0,I428*(1+J428/30),J428)),IF(N(L428)=0,0,IF(N(K428)&gt;0,K428*(1+L428/30),L428)),IF(N(N428)=0,0,IF(N(M428)&gt;0,M428*(1+N428/30),N428))))</f>
        <v/>
      </c>
      <c r="Y428">
        <f>IF(N(X428)=0,"",X428+ROW()/1000000000)</f>
        <v/>
      </c>
      <c r="Z428">
        <f>IF(Y428="","",IF(COUNTIFS(Log!$D$6:$D$1505,D428,Log!$Y$6:$Y$1505,"&gt;"&amp;Y428)=0,1,0))</f>
        <v/>
      </c>
      <c r="AA428">
        <f>IF(OR(B428="",D428=""),"",B428+ROW()/10000000)</f>
        <v/>
      </c>
      <c r="AB428">
        <f>IF(AA428="","",IF(COUNTIFS(Log!$D$6:$D$1505,D428,Log!$AA$6:$AA$1505,"&gt;"&amp;AA428)=0,1,0))</f>
        <v/>
      </c>
      <c r="AC428">
        <f>IF(S428="New best",AA428,"")</f>
        <v/>
      </c>
      <c r="AD428">
        <f>ROW()</f>
        <v/>
      </c>
    </row>
    <row r="429">
      <c r="A429" s="1" t="n"/>
      <c r="B429" s="21" t="n"/>
      <c r="C429" s="22" t="n"/>
      <c r="D429" s="23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15">
        <f>IF(D429="","",COUNT(F429,H429,J429,L429,N429))</f>
        <v/>
      </c>
      <c r="P429" s="25">
        <f>IF(D429="","",N(E429)*N(F429)+N(G429)*N(H429)+N(I429)*N(J429)+N(K429)*N(L429)+N(M429)*N(N429))</f>
        <v/>
      </c>
      <c r="Q429" s="18">
        <f>IF(N(X429)=0,"",IF(IF(N(F429)=0,0,IF(N(E429)&gt;0,E429*(1+F429/30),F429))=X429,IF(N(E429)&gt;0,E429&amp;" x "&amp;F429,F429&amp;" reps"),IF(IF(N(H429)=0,0,IF(N(G429)&gt;0,G429*(1+H429/30),H429))=X429,IF(N(G429)&gt;0,G429&amp;" x "&amp;H429,H429&amp;" reps"),IF(IF(N(J429)=0,0,IF(N(I429)&gt;0,I429*(1+J429/30),J429))=X429,IF(N(I429)&gt;0,I429&amp;" x "&amp;J429,J429&amp;" reps"),IF(IF(N(L429)=0,0,IF(N(K429)&gt;0,K429*(1+L429/30),L429))=X429,IF(N(K429)&gt;0,K429&amp;" x "&amp;L429,L429&amp;" reps"),IF(IF(N(N429)=0,0,IF(N(M429)&gt;0,M429*(1+N429/30),N429))=X429,IF(N(M429)&gt;0,M429&amp;" x "&amp;N429,N429&amp;" reps"),""))))))</f>
        <v/>
      </c>
      <c r="R429" s="20">
        <f>IF(N(X429)=0,"",ROUND(X429,1))</f>
        <v/>
      </c>
      <c r="S429" s="18">
        <f>IF(N(X429)=0,"",IF(AND(COUNTIFS(Log!$D$6:$D$1505,D429,Log!$B$6:$B$1505,"&lt;"&amp;B429)&gt;0,COUNTIFS(Log!$D$6:$D$1505,D429,Log!$B$6:$B$1505,"&lt;"&amp;B429,Log!$X$6:$X$1505,"&gt;="&amp;X429)=0),"New best",""))</f>
        <v/>
      </c>
      <c r="T429" s="26" t="n"/>
      <c r="U429" s="1">
        <f>IF(D429="","",IFERROR(INDEX(Exercises!$C$6:$C$105,MATCH(D429,Exercises!$B$6:$B$105,0)),"Other"))</f>
        <v/>
      </c>
      <c r="V429">
        <f>IF(B429="","",IF(COUNTIF($B$6:B429,B429)=1,1,0))</f>
        <v/>
      </c>
      <c r="W429">
        <f>IF(B429="","",B429-WEEKDAY(B429,3))</f>
        <v/>
      </c>
      <c r="X429">
        <f>IF(D429="","",MAX(IF(N(F429)=0,0,IF(N(E429)&gt;0,E429*(1+F429/30),F429)),IF(N(H429)=0,0,IF(N(G429)&gt;0,G429*(1+H429/30),H429)),IF(N(J429)=0,0,IF(N(I429)&gt;0,I429*(1+J429/30),J429)),IF(N(L429)=0,0,IF(N(K429)&gt;0,K429*(1+L429/30),L429)),IF(N(N429)=0,0,IF(N(M429)&gt;0,M429*(1+N429/30),N429))))</f>
        <v/>
      </c>
      <c r="Y429">
        <f>IF(N(X429)=0,"",X429+ROW()/1000000000)</f>
        <v/>
      </c>
      <c r="Z429">
        <f>IF(Y429="","",IF(COUNTIFS(Log!$D$6:$D$1505,D429,Log!$Y$6:$Y$1505,"&gt;"&amp;Y429)=0,1,0))</f>
        <v/>
      </c>
      <c r="AA429">
        <f>IF(OR(B429="",D429=""),"",B429+ROW()/10000000)</f>
        <v/>
      </c>
      <c r="AB429">
        <f>IF(AA429="","",IF(COUNTIFS(Log!$D$6:$D$1505,D429,Log!$AA$6:$AA$1505,"&gt;"&amp;AA429)=0,1,0))</f>
        <v/>
      </c>
      <c r="AC429">
        <f>IF(S429="New best",AA429,"")</f>
        <v/>
      </c>
      <c r="AD429">
        <f>ROW()</f>
        <v/>
      </c>
    </row>
    <row r="430">
      <c r="A430" s="1" t="n"/>
      <c r="B430" s="21" t="n"/>
      <c r="C430" s="22" t="n"/>
      <c r="D430" s="23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15">
        <f>IF(D430="","",COUNT(F430,H430,J430,L430,N430))</f>
        <v/>
      </c>
      <c r="P430" s="25">
        <f>IF(D430="","",N(E430)*N(F430)+N(G430)*N(H430)+N(I430)*N(J430)+N(K430)*N(L430)+N(M430)*N(N430))</f>
        <v/>
      </c>
      <c r="Q430" s="18">
        <f>IF(N(X430)=0,"",IF(IF(N(F430)=0,0,IF(N(E430)&gt;0,E430*(1+F430/30),F430))=X430,IF(N(E430)&gt;0,E430&amp;" x "&amp;F430,F430&amp;" reps"),IF(IF(N(H430)=0,0,IF(N(G430)&gt;0,G430*(1+H430/30),H430))=X430,IF(N(G430)&gt;0,G430&amp;" x "&amp;H430,H430&amp;" reps"),IF(IF(N(J430)=0,0,IF(N(I430)&gt;0,I430*(1+J430/30),J430))=X430,IF(N(I430)&gt;0,I430&amp;" x "&amp;J430,J430&amp;" reps"),IF(IF(N(L430)=0,0,IF(N(K430)&gt;0,K430*(1+L430/30),L430))=X430,IF(N(K430)&gt;0,K430&amp;" x "&amp;L430,L430&amp;" reps"),IF(IF(N(N430)=0,0,IF(N(M430)&gt;0,M430*(1+N430/30),N430))=X430,IF(N(M430)&gt;0,M430&amp;" x "&amp;N430,N430&amp;" reps"),""))))))</f>
        <v/>
      </c>
      <c r="R430" s="20">
        <f>IF(N(X430)=0,"",ROUND(X430,1))</f>
        <v/>
      </c>
      <c r="S430" s="18">
        <f>IF(N(X430)=0,"",IF(AND(COUNTIFS(Log!$D$6:$D$1505,D430,Log!$B$6:$B$1505,"&lt;"&amp;B430)&gt;0,COUNTIFS(Log!$D$6:$D$1505,D430,Log!$B$6:$B$1505,"&lt;"&amp;B430,Log!$X$6:$X$1505,"&gt;="&amp;X430)=0),"New best",""))</f>
        <v/>
      </c>
      <c r="T430" s="26" t="n"/>
      <c r="U430" s="1">
        <f>IF(D430="","",IFERROR(INDEX(Exercises!$C$6:$C$105,MATCH(D430,Exercises!$B$6:$B$105,0)),"Other"))</f>
        <v/>
      </c>
      <c r="V430">
        <f>IF(B430="","",IF(COUNTIF($B$6:B430,B430)=1,1,0))</f>
        <v/>
      </c>
      <c r="W430">
        <f>IF(B430="","",B430-WEEKDAY(B430,3))</f>
        <v/>
      </c>
      <c r="X430">
        <f>IF(D430="","",MAX(IF(N(F430)=0,0,IF(N(E430)&gt;0,E430*(1+F430/30),F430)),IF(N(H430)=0,0,IF(N(G430)&gt;0,G430*(1+H430/30),H430)),IF(N(J430)=0,0,IF(N(I430)&gt;0,I430*(1+J430/30),J430)),IF(N(L430)=0,0,IF(N(K430)&gt;0,K430*(1+L430/30),L430)),IF(N(N430)=0,0,IF(N(M430)&gt;0,M430*(1+N430/30),N430))))</f>
        <v/>
      </c>
      <c r="Y430">
        <f>IF(N(X430)=0,"",X430+ROW()/1000000000)</f>
        <v/>
      </c>
      <c r="Z430">
        <f>IF(Y430="","",IF(COUNTIFS(Log!$D$6:$D$1505,D430,Log!$Y$6:$Y$1505,"&gt;"&amp;Y430)=0,1,0))</f>
        <v/>
      </c>
      <c r="AA430">
        <f>IF(OR(B430="",D430=""),"",B430+ROW()/10000000)</f>
        <v/>
      </c>
      <c r="AB430">
        <f>IF(AA430="","",IF(COUNTIFS(Log!$D$6:$D$1505,D430,Log!$AA$6:$AA$1505,"&gt;"&amp;AA430)=0,1,0))</f>
        <v/>
      </c>
      <c r="AC430">
        <f>IF(S430="New best",AA430,"")</f>
        <v/>
      </c>
      <c r="AD430">
        <f>ROW()</f>
        <v/>
      </c>
    </row>
    <row r="431">
      <c r="A431" s="1" t="n"/>
      <c r="B431" s="21" t="n"/>
      <c r="C431" s="22" t="n"/>
      <c r="D431" s="23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15">
        <f>IF(D431="","",COUNT(F431,H431,J431,L431,N431))</f>
        <v/>
      </c>
      <c r="P431" s="25">
        <f>IF(D431="","",N(E431)*N(F431)+N(G431)*N(H431)+N(I431)*N(J431)+N(K431)*N(L431)+N(M431)*N(N431))</f>
        <v/>
      </c>
      <c r="Q431" s="18">
        <f>IF(N(X431)=0,"",IF(IF(N(F431)=0,0,IF(N(E431)&gt;0,E431*(1+F431/30),F431))=X431,IF(N(E431)&gt;0,E431&amp;" x "&amp;F431,F431&amp;" reps"),IF(IF(N(H431)=0,0,IF(N(G431)&gt;0,G431*(1+H431/30),H431))=X431,IF(N(G431)&gt;0,G431&amp;" x "&amp;H431,H431&amp;" reps"),IF(IF(N(J431)=0,0,IF(N(I431)&gt;0,I431*(1+J431/30),J431))=X431,IF(N(I431)&gt;0,I431&amp;" x "&amp;J431,J431&amp;" reps"),IF(IF(N(L431)=0,0,IF(N(K431)&gt;0,K431*(1+L431/30),L431))=X431,IF(N(K431)&gt;0,K431&amp;" x "&amp;L431,L431&amp;" reps"),IF(IF(N(N431)=0,0,IF(N(M431)&gt;0,M431*(1+N431/30),N431))=X431,IF(N(M431)&gt;0,M431&amp;" x "&amp;N431,N431&amp;" reps"),""))))))</f>
        <v/>
      </c>
      <c r="R431" s="20">
        <f>IF(N(X431)=0,"",ROUND(X431,1))</f>
        <v/>
      </c>
      <c r="S431" s="18">
        <f>IF(N(X431)=0,"",IF(AND(COUNTIFS(Log!$D$6:$D$1505,D431,Log!$B$6:$B$1505,"&lt;"&amp;B431)&gt;0,COUNTIFS(Log!$D$6:$D$1505,D431,Log!$B$6:$B$1505,"&lt;"&amp;B431,Log!$X$6:$X$1505,"&gt;="&amp;X431)=0),"New best",""))</f>
        <v/>
      </c>
      <c r="T431" s="26" t="n"/>
      <c r="U431" s="1">
        <f>IF(D431="","",IFERROR(INDEX(Exercises!$C$6:$C$105,MATCH(D431,Exercises!$B$6:$B$105,0)),"Other"))</f>
        <v/>
      </c>
      <c r="V431">
        <f>IF(B431="","",IF(COUNTIF($B$6:B431,B431)=1,1,0))</f>
        <v/>
      </c>
      <c r="W431">
        <f>IF(B431="","",B431-WEEKDAY(B431,3))</f>
        <v/>
      </c>
      <c r="X431">
        <f>IF(D431="","",MAX(IF(N(F431)=0,0,IF(N(E431)&gt;0,E431*(1+F431/30),F431)),IF(N(H431)=0,0,IF(N(G431)&gt;0,G431*(1+H431/30),H431)),IF(N(J431)=0,0,IF(N(I431)&gt;0,I431*(1+J431/30),J431)),IF(N(L431)=0,0,IF(N(K431)&gt;0,K431*(1+L431/30),L431)),IF(N(N431)=0,0,IF(N(M431)&gt;0,M431*(1+N431/30),N431))))</f>
        <v/>
      </c>
      <c r="Y431">
        <f>IF(N(X431)=0,"",X431+ROW()/1000000000)</f>
        <v/>
      </c>
      <c r="Z431">
        <f>IF(Y431="","",IF(COUNTIFS(Log!$D$6:$D$1505,D431,Log!$Y$6:$Y$1505,"&gt;"&amp;Y431)=0,1,0))</f>
        <v/>
      </c>
      <c r="AA431">
        <f>IF(OR(B431="",D431=""),"",B431+ROW()/10000000)</f>
        <v/>
      </c>
      <c r="AB431">
        <f>IF(AA431="","",IF(COUNTIFS(Log!$D$6:$D$1505,D431,Log!$AA$6:$AA$1505,"&gt;"&amp;AA431)=0,1,0))</f>
        <v/>
      </c>
      <c r="AC431">
        <f>IF(S431="New best",AA431,"")</f>
        <v/>
      </c>
      <c r="AD431">
        <f>ROW()</f>
        <v/>
      </c>
    </row>
    <row r="432">
      <c r="A432" s="1" t="n"/>
      <c r="B432" s="21" t="n"/>
      <c r="C432" s="22" t="n"/>
      <c r="D432" s="23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15">
        <f>IF(D432="","",COUNT(F432,H432,J432,L432,N432))</f>
        <v/>
      </c>
      <c r="P432" s="25">
        <f>IF(D432="","",N(E432)*N(F432)+N(G432)*N(H432)+N(I432)*N(J432)+N(K432)*N(L432)+N(M432)*N(N432))</f>
        <v/>
      </c>
      <c r="Q432" s="18">
        <f>IF(N(X432)=0,"",IF(IF(N(F432)=0,0,IF(N(E432)&gt;0,E432*(1+F432/30),F432))=X432,IF(N(E432)&gt;0,E432&amp;" x "&amp;F432,F432&amp;" reps"),IF(IF(N(H432)=0,0,IF(N(G432)&gt;0,G432*(1+H432/30),H432))=X432,IF(N(G432)&gt;0,G432&amp;" x "&amp;H432,H432&amp;" reps"),IF(IF(N(J432)=0,0,IF(N(I432)&gt;0,I432*(1+J432/30),J432))=X432,IF(N(I432)&gt;0,I432&amp;" x "&amp;J432,J432&amp;" reps"),IF(IF(N(L432)=0,0,IF(N(K432)&gt;0,K432*(1+L432/30),L432))=X432,IF(N(K432)&gt;0,K432&amp;" x "&amp;L432,L432&amp;" reps"),IF(IF(N(N432)=0,0,IF(N(M432)&gt;0,M432*(1+N432/30),N432))=X432,IF(N(M432)&gt;0,M432&amp;" x "&amp;N432,N432&amp;" reps"),""))))))</f>
        <v/>
      </c>
      <c r="R432" s="20">
        <f>IF(N(X432)=0,"",ROUND(X432,1))</f>
        <v/>
      </c>
      <c r="S432" s="18">
        <f>IF(N(X432)=0,"",IF(AND(COUNTIFS(Log!$D$6:$D$1505,D432,Log!$B$6:$B$1505,"&lt;"&amp;B432)&gt;0,COUNTIFS(Log!$D$6:$D$1505,D432,Log!$B$6:$B$1505,"&lt;"&amp;B432,Log!$X$6:$X$1505,"&gt;="&amp;X432)=0),"New best",""))</f>
        <v/>
      </c>
      <c r="T432" s="26" t="n"/>
      <c r="U432" s="1">
        <f>IF(D432="","",IFERROR(INDEX(Exercises!$C$6:$C$105,MATCH(D432,Exercises!$B$6:$B$105,0)),"Other"))</f>
        <v/>
      </c>
      <c r="V432">
        <f>IF(B432="","",IF(COUNTIF($B$6:B432,B432)=1,1,0))</f>
        <v/>
      </c>
      <c r="W432">
        <f>IF(B432="","",B432-WEEKDAY(B432,3))</f>
        <v/>
      </c>
      <c r="X432">
        <f>IF(D432="","",MAX(IF(N(F432)=0,0,IF(N(E432)&gt;0,E432*(1+F432/30),F432)),IF(N(H432)=0,0,IF(N(G432)&gt;0,G432*(1+H432/30),H432)),IF(N(J432)=0,0,IF(N(I432)&gt;0,I432*(1+J432/30),J432)),IF(N(L432)=0,0,IF(N(K432)&gt;0,K432*(1+L432/30),L432)),IF(N(N432)=0,0,IF(N(M432)&gt;0,M432*(1+N432/30),N432))))</f>
        <v/>
      </c>
      <c r="Y432">
        <f>IF(N(X432)=0,"",X432+ROW()/1000000000)</f>
        <v/>
      </c>
      <c r="Z432">
        <f>IF(Y432="","",IF(COUNTIFS(Log!$D$6:$D$1505,D432,Log!$Y$6:$Y$1505,"&gt;"&amp;Y432)=0,1,0))</f>
        <v/>
      </c>
      <c r="AA432">
        <f>IF(OR(B432="",D432=""),"",B432+ROW()/10000000)</f>
        <v/>
      </c>
      <c r="AB432">
        <f>IF(AA432="","",IF(COUNTIFS(Log!$D$6:$D$1505,D432,Log!$AA$6:$AA$1505,"&gt;"&amp;AA432)=0,1,0))</f>
        <v/>
      </c>
      <c r="AC432">
        <f>IF(S432="New best",AA432,"")</f>
        <v/>
      </c>
      <c r="AD432">
        <f>ROW()</f>
        <v/>
      </c>
    </row>
    <row r="433">
      <c r="A433" s="1" t="n"/>
      <c r="B433" s="21" t="n"/>
      <c r="C433" s="22" t="n"/>
      <c r="D433" s="23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15">
        <f>IF(D433="","",COUNT(F433,H433,J433,L433,N433))</f>
        <v/>
      </c>
      <c r="P433" s="25">
        <f>IF(D433="","",N(E433)*N(F433)+N(G433)*N(H433)+N(I433)*N(J433)+N(K433)*N(L433)+N(M433)*N(N433))</f>
        <v/>
      </c>
      <c r="Q433" s="18">
        <f>IF(N(X433)=0,"",IF(IF(N(F433)=0,0,IF(N(E433)&gt;0,E433*(1+F433/30),F433))=X433,IF(N(E433)&gt;0,E433&amp;" x "&amp;F433,F433&amp;" reps"),IF(IF(N(H433)=0,0,IF(N(G433)&gt;0,G433*(1+H433/30),H433))=X433,IF(N(G433)&gt;0,G433&amp;" x "&amp;H433,H433&amp;" reps"),IF(IF(N(J433)=0,0,IF(N(I433)&gt;0,I433*(1+J433/30),J433))=X433,IF(N(I433)&gt;0,I433&amp;" x "&amp;J433,J433&amp;" reps"),IF(IF(N(L433)=0,0,IF(N(K433)&gt;0,K433*(1+L433/30),L433))=X433,IF(N(K433)&gt;0,K433&amp;" x "&amp;L433,L433&amp;" reps"),IF(IF(N(N433)=0,0,IF(N(M433)&gt;0,M433*(1+N433/30),N433))=X433,IF(N(M433)&gt;0,M433&amp;" x "&amp;N433,N433&amp;" reps"),""))))))</f>
        <v/>
      </c>
      <c r="R433" s="20">
        <f>IF(N(X433)=0,"",ROUND(X433,1))</f>
        <v/>
      </c>
      <c r="S433" s="18">
        <f>IF(N(X433)=0,"",IF(AND(COUNTIFS(Log!$D$6:$D$1505,D433,Log!$B$6:$B$1505,"&lt;"&amp;B433)&gt;0,COUNTIFS(Log!$D$6:$D$1505,D433,Log!$B$6:$B$1505,"&lt;"&amp;B433,Log!$X$6:$X$1505,"&gt;="&amp;X433)=0),"New best",""))</f>
        <v/>
      </c>
      <c r="T433" s="26" t="n"/>
      <c r="U433" s="1">
        <f>IF(D433="","",IFERROR(INDEX(Exercises!$C$6:$C$105,MATCH(D433,Exercises!$B$6:$B$105,0)),"Other"))</f>
        <v/>
      </c>
      <c r="V433">
        <f>IF(B433="","",IF(COUNTIF($B$6:B433,B433)=1,1,0))</f>
        <v/>
      </c>
      <c r="W433">
        <f>IF(B433="","",B433-WEEKDAY(B433,3))</f>
        <v/>
      </c>
      <c r="X433">
        <f>IF(D433="","",MAX(IF(N(F433)=0,0,IF(N(E433)&gt;0,E433*(1+F433/30),F433)),IF(N(H433)=0,0,IF(N(G433)&gt;0,G433*(1+H433/30),H433)),IF(N(J433)=0,0,IF(N(I433)&gt;0,I433*(1+J433/30),J433)),IF(N(L433)=0,0,IF(N(K433)&gt;0,K433*(1+L433/30),L433)),IF(N(N433)=0,0,IF(N(M433)&gt;0,M433*(1+N433/30),N433))))</f>
        <v/>
      </c>
      <c r="Y433">
        <f>IF(N(X433)=0,"",X433+ROW()/1000000000)</f>
        <v/>
      </c>
      <c r="Z433">
        <f>IF(Y433="","",IF(COUNTIFS(Log!$D$6:$D$1505,D433,Log!$Y$6:$Y$1505,"&gt;"&amp;Y433)=0,1,0))</f>
        <v/>
      </c>
      <c r="AA433">
        <f>IF(OR(B433="",D433=""),"",B433+ROW()/10000000)</f>
        <v/>
      </c>
      <c r="AB433">
        <f>IF(AA433="","",IF(COUNTIFS(Log!$D$6:$D$1505,D433,Log!$AA$6:$AA$1505,"&gt;"&amp;AA433)=0,1,0))</f>
        <v/>
      </c>
      <c r="AC433">
        <f>IF(S433="New best",AA433,"")</f>
        <v/>
      </c>
      <c r="AD433">
        <f>ROW()</f>
        <v/>
      </c>
    </row>
    <row r="434">
      <c r="A434" s="1" t="n"/>
      <c r="B434" s="21" t="n"/>
      <c r="C434" s="22" t="n"/>
      <c r="D434" s="23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15">
        <f>IF(D434="","",COUNT(F434,H434,J434,L434,N434))</f>
        <v/>
      </c>
      <c r="P434" s="25">
        <f>IF(D434="","",N(E434)*N(F434)+N(G434)*N(H434)+N(I434)*N(J434)+N(K434)*N(L434)+N(M434)*N(N434))</f>
        <v/>
      </c>
      <c r="Q434" s="18">
        <f>IF(N(X434)=0,"",IF(IF(N(F434)=0,0,IF(N(E434)&gt;0,E434*(1+F434/30),F434))=X434,IF(N(E434)&gt;0,E434&amp;" x "&amp;F434,F434&amp;" reps"),IF(IF(N(H434)=0,0,IF(N(G434)&gt;0,G434*(1+H434/30),H434))=X434,IF(N(G434)&gt;0,G434&amp;" x "&amp;H434,H434&amp;" reps"),IF(IF(N(J434)=0,0,IF(N(I434)&gt;0,I434*(1+J434/30),J434))=X434,IF(N(I434)&gt;0,I434&amp;" x "&amp;J434,J434&amp;" reps"),IF(IF(N(L434)=0,0,IF(N(K434)&gt;0,K434*(1+L434/30),L434))=X434,IF(N(K434)&gt;0,K434&amp;" x "&amp;L434,L434&amp;" reps"),IF(IF(N(N434)=0,0,IF(N(M434)&gt;0,M434*(1+N434/30),N434))=X434,IF(N(M434)&gt;0,M434&amp;" x "&amp;N434,N434&amp;" reps"),""))))))</f>
        <v/>
      </c>
      <c r="R434" s="20">
        <f>IF(N(X434)=0,"",ROUND(X434,1))</f>
        <v/>
      </c>
      <c r="S434" s="18">
        <f>IF(N(X434)=0,"",IF(AND(COUNTIFS(Log!$D$6:$D$1505,D434,Log!$B$6:$B$1505,"&lt;"&amp;B434)&gt;0,COUNTIFS(Log!$D$6:$D$1505,D434,Log!$B$6:$B$1505,"&lt;"&amp;B434,Log!$X$6:$X$1505,"&gt;="&amp;X434)=0),"New best",""))</f>
        <v/>
      </c>
      <c r="T434" s="26" t="n"/>
      <c r="U434" s="1">
        <f>IF(D434="","",IFERROR(INDEX(Exercises!$C$6:$C$105,MATCH(D434,Exercises!$B$6:$B$105,0)),"Other"))</f>
        <v/>
      </c>
      <c r="V434">
        <f>IF(B434="","",IF(COUNTIF($B$6:B434,B434)=1,1,0))</f>
        <v/>
      </c>
      <c r="W434">
        <f>IF(B434="","",B434-WEEKDAY(B434,3))</f>
        <v/>
      </c>
      <c r="X434">
        <f>IF(D434="","",MAX(IF(N(F434)=0,0,IF(N(E434)&gt;0,E434*(1+F434/30),F434)),IF(N(H434)=0,0,IF(N(G434)&gt;0,G434*(1+H434/30),H434)),IF(N(J434)=0,0,IF(N(I434)&gt;0,I434*(1+J434/30),J434)),IF(N(L434)=0,0,IF(N(K434)&gt;0,K434*(1+L434/30),L434)),IF(N(N434)=0,0,IF(N(M434)&gt;0,M434*(1+N434/30),N434))))</f>
        <v/>
      </c>
      <c r="Y434">
        <f>IF(N(X434)=0,"",X434+ROW()/1000000000)</f>
        <v/>
      </c>
      <c r="Z434">
        <f>IF(Y434="","",IF(COUNTIFS(Log!$D$6:$D$1505,D434,Log!$Y$6:$Y$1505,"&gt;"&amp;Y434)=0,1,0))</f>
        <v/>
      </c>
      <c r="AA434">
        <f>IF(OR(B434="",D434=""),"",B434+ROW()/10000000)</f>
        <v/>
      </c>
      <c r="AB434">
        <f>IF(AA434="","",IF(COUNTIFS(Log!$D$6:$D$1505,D434,Log!$AA$6:$AA$1505,"&gt;"&amp;AA434)=0,1,0))</f>
        <v/>
      </c>
      <c r="AC434">
        <f>IF(S434="New best",AA434,"")</f>
        <v/>
      </c>
      <c r="AD434">
        <f>ROW()</f>
        <v/>
      </c>
    </row>
    <row r="435">
      <c r="A435" s="1" t="n"/>
      <c r="B435" s="21" t="n"/>
      <c r="C435" s="22" t="n"/>
      <c r="D435" s="23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15">
        <f>IF(D435="","",COUNT(F435,H435,J435,L435,N435))</f>
        <v/>
      </c>
      <c r="P435" s="25">
        <f>IF(D435="","",N(E435)*N(F435)+N(G435)*N(H435)+N(I435)*N(J435)+N(K435)*N(L435)+N(M435)*N(N435))</f>
        <v/>
      </c>
      <c r="Q435" s="18">
        <f>IF(N(X435)=0,"",IF(IF(N(F435)=0,0,IF(N(E435)&gt;0,E435*(1+F435/30),F435))=X435,IF(N(E435)&gt;0,E435&amp;" x "&amp;F435,F435&amp;" reps"),IF(IF(N(H435)=0,0,IF(N(G435)&gt;0,G435*(1+H435/30),H435))=X435,IF(N(G435)&gt;0,G435&amp;" x "&amp;H435,H435&amp;" reps"),IF(IF(N(J435)=0,0,IF(N(I435)&gt;0,I435*(1+J435/30),J435))=X435,IF(N(I435)&gt;0,I435&amp;" x "&amp;J435,J435&amp;" reps"),IF(IF(N(L435)=0,0,IF(N(K435)&gt;0,K435*(1+L435/30),L435))=X435,IF(N(K435)&gt;0,K435&amp;" x "&amp;L435,L435&amp;" reps"),IF(IF(N(N435)=0,0,IF(N(M435)&gt;0,M435*(1+N435/30),N435))=X435,IF(N(M435)&gt;0,M435&amp;" x "&amp;N435,N435&amp;" reps"),""))))))</f>
        <v/>
      </c>
      <c r="R435" s="20">
        <f>IF(N(X435)=0,"",ROUND(X435,1))</f>
        <v/>
      </c>
      <c r="S435" s="18">
        <f>IF(N(X435)=0,"",IF(AND(COUNTIFS(Log!$D$6:$D$1505,D435,Log!$B$6:$B$1505,"&lt;"&amp;B435)&gt;0,COUNTIFS(Log!$D$6:$D$1505,D435,Log!$B$6:$B$1505,"&lt;"&amp;B435,Log!$X$6:$X$1505,"&gt;="&amp;X435)=0),"New best",""))</f>
        <v/>
      </c>
      <c r="T435" s="26" t="n"/>
      <c r="U435" s="1">
        <f>IF(D435="","",IFERROR(INDEX(Exercises!$C$6:$C$105,MATCH(D435,Exercises!$B$6:$B$105,0)),"Other"))</f>
        <v/>
      </c>
      <c r="V435">
        <f>IF(B435="","",IF(COUNTIF($B$6:B435,B435)=1,1,0))</f>
        <v/>
      </c>
      <c r="W435">
        <f>IF(B435="","",B435-WEEKDAY(B435,3))</f>
        <v/>
      </c>
      <c r="X435">
        <f>IF(D435="","",MAX(IF(N(F435)=0,0,IF(N(E435)&gt;0,E435*(1+F435/30),F435)),IF(N(H435)=0,0,IF(N(G435)&gt;0,G435*(1+H435/30),H435)),IF(N(J435)=0,0,IF(N(I435)&gt;0,I435*(1+J435/30),J435)),IF(N(L435)=0,0,IF(N(K435)&gt;0,K435*(1+L435/30),L435)),IF(N(N435)=0,0,IF(N(M435)&gt;0,M435*(1+N435/30),N435))))</f>
        <v/>
      </c>
      <c r="Y435">
        <f>IF(N(X435)=0,"",X435+ROW()/1000000000)</f>
        <v/>
      </c>
      <c r="Z435">
        <f>IF(Y435="","",IF(COUNTIFS(Log!$D$6:$D$1505,D435,Log!$Y$6:$Y$1505,"&gt;"&amp;Y435)=0,1,0))</f>
        <v/>
      </c>
      <c r="AA435">
        <f>IF(OR(B435="",D435=""),"",B435+ROW()/10000000)</f>
        <v/>
      </c>
      <c r="AB435">
        <f>IF(AA435="","",IF(COUNTIFS(Log!$D$6:$D$1505,D435,Log!$AA$6:$AA$1505,"&gt;"&amp;AA435)=0,1,0))</f>
        <v/>
      </c>
      <c r="AC435">
        <f>IF(S435="New best",AA435,"")</f>
        <v/>
      </c>
      <c r="AD435">
        <f>ROW()</f>
        <v/>
      </c>
    </row>
    <row r="436">
      <c r="A436" s="1" t="n"/>
      <c r="B436" s="21" t="n"/>
      <c r="C436" s="22" t="n"/>
      <c r="D436" s="23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15">
        <f>IF(D436="","",COUNT(F436,H436,J436,L436,N436))</f>
        <v/>
      </c>
      <c r="P436" s="25">
        <f>IF(D436="","",N(E436)*N(F436)+N(G436)*N(H436)+N(I436)*N(J436)+N(K436)*N(L436)+N(M436)*N(N436))</f>
        <v/>
      </c>
      <c r="Q436" s="18">
        <f>IF(N(X436)=0,"",IF(IF(N(F436)=0,0,IF(N(E436)&gt;0,E436*(1+F436/30),F436))=X436,IF(N(E436)&gt;0,E436&amp;" x "&amp;F436,F436&amp;" reps"),IF(IF(N(H436)=0,0,IF(N(G436)&gt;0,G436*(1+H436/30),H436))=X436,IF(N(G436)&gt;0,G436&amp;" x "&amp;H436,H436&amp;" reps"),IF(IF(N(J436)=0,0,IF(N(I436)&gt;0,I436*(1+J436/30),J436))=X436,IF(N(I436)&gt;0,I436&amp;" x "&amp;J436,J436&amp;" reps"),IF(IF(N(L436)=0,0,IF(N(K436)&gt;0,K436*(1+L436/30),L436))=X436,IF(N(K436)&gt;0,K436&amp;" x "&amp;L436,L436&amp;" reps"),IF(IF(N(N436)=0,0,IF(N(M436)&gt;0,M436*(1+N436/30),N436))=X436,IF(N(M436)&gt;0,M436&amp;" x "&amp;N436,N436&amp;" reps"),""))))))</f>
        <v/>
      </c>
      <c r="R436" s="20">
        <f>IF(N(X436)=0,"",ROUND(X436,1))</f>
        <v/>
      </c>
      <c r="S436" s="18">
        <f>IF(N(X436)=0,"",IF(AND(COUNTIFS(Log!$D$6:$D$1505,D436,Log!$B$6:$B$1505,"&lt;"&amp;B436)&gt;0,COUNTIFS(Log!$D$6:$D$1505,D436,Log!$B$6:$B$1505,"&lt;"&amp;B436,Log!$X$6:$X$1505,"&gt;="&amp;X436)=0),"New best",""))</f>
        <v/>
      </c>
      <c r="T436" s="26" t="n"/>
      <c r="U436" s="1">
        <f>IF(D436="","",IFERROR(INDEX(Exercises!$C$6:$C$105,MATCH(D436,Exercises!$B$6:$B$105,0)),"Other"))</f>
        <v/>
      </c>
      <c r="V436">
        <f>IF(B436="","",IF(COUNTIF($B$6:B436,B436)=1,1,0))</f>
        <v/>
      </c>
      <c r="W436">
        <f>IF(B436="","",B436-WEEKDAY(B436,3))</f>
        <v/>
      </c>
      <c r="X436">
        <f>IF(D436="","",MAX(IF(N(F436)=0,0,IF(N(E436)&gt;0,E436*(1+F436/30),F436)),IF(N(H436)=0,0,IF(N(G436)&gt;0,G436*(1+H436/30),H436)),IF(N(J436)=0,0,IF(N(I436)&gt;0,I436*(1+J436/30),J436)),IF(N(L436)=0,0,IF(N(K436)&gt;0,K436*(1+L436/30),L436)),IF(N(N436)=0,0,IF(N(M436)&gt;0,M436*(1+N436/30),N436))))</f>
        <v/>
      </c>
      <c r="Y436">
        <f>IF(N(X436)=0,"",X436+ROW()/1000000000)</f>
        <v/>
      </c>
      <c r="Z436">
        <f>IF(Y436="","",IF(COUNTIFS(Log!$D$6:$D$1505,D436,Log!$Y$6:$Y$1505,"&gt;"&amp;Y436)=0,1,0))</f>
        <v/>
      </c>
      <c r="AA436">
        <f>IF(OR(B436="",D436=""),"",B436+ROW()/10000000)</f>
        <v/>
      </c>
      <c r="AB436">
        <f>IF(AA436="","",IF(COUNTIFS(Log!$D$6:$D$1505,D436,Log!$AA$6:$AA$1505,"&gt;"&amp;AA436)=0,1,0))</f>
        <v/>
      </c>
      <c r="AC436">
        <f>IF(S436="New best",AA436,"")</f>
        <v/>
      </c>
      <c r="AD436">
        <f>ROW()</f>
        <v/>
      </c>
    </row>
    <row r="437">
      <c r="A437" s="1" t="n"/>
      <c r="B437" s="21" t="n"/>
      <c r="C437" s="22" t="n"/>
      <c r="D437" s="23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15">
        <f>IF(D437="","",COUNT(F437,H437,J437,L437,N437))</f>
        <v/>
      </c>
      <c r="P437" s="25">
        <f>IF(D437="","",N(E437)*N(F437)+N(G437)*N(H437)+N(I437)*N(J437)+N(K437)*N(L437)+N(M437)*N(N437))</f>
        <v/>
      </c>
      <c r="Q437" s="18">
        <f>IF(N(X437)=0,"",IF(IF(N(F437)=0,0,IF(N(E437)&gt;0,E437*(1+F437/30),F437))=X437,IF(N(E437)&gt;0,E437&amp;" x "&amp;F437,F437&amp;" reps"),IF(IF(N(H437)=0,0,IF(N(G437)&gt;0,G437*(1+H437/30),H437))=X437,IF(N(G437)&gt;0,G437&amp;" x "&amp;H437,H437&amp;" reps"),IF(IF(N(J437)=0,0,IF(N(I437)&gt;0,I437*(1+J437/30),J437))=X437,IF(N(I437)&gt;0,I437&amp;" x "&amp;J437,J437&amp;" reps"),IF(IF(N(L437)=0,0,IF(N(K437)&gt;0,K437*(1+L437/30),L437))=X437,IF(N(K437)&gt;0,K437&amp;" x "&amp;L437,L437&amp;" reps"),IF(IF(N(N437)=0,0,IF(N(M437)&gt;0,M437*(1+N437/30),N437))=X437,IF(N(M437)&gt;0,M437&amp;" x "&amp;N437,N437&amp;" reps"),""))))))</f>
        <v/>
      </c>
      <c r="R437" s="20">
        <f>IF(N(X437)=0,"",ROUND(X437,1))</f>
        <v/>
      </c>
      <c r="S437" s="18">
        <f>IF(N(X437)=0,"",IF(AND(COUNTIFS(Log!$D$6:$D$1505,D437,Log!$B$6:$B$1505,"&lt;"&amp;B437)&gt;0,COUNTIFS(Log!$D$6:$D$1505,D437,Log!$B$6:$B$1505,"&lt;"&amp;B437,Log!$X$6:$X$1505,"&gt;="&amp;X437)=0),"New best",""))</f>
        <v/>
      </c>
      <c r="T437" s="26" t="n"/>
      <c r="U437" s="1">
        <f>IF(D437="","",IFERROR(INDEX(Exercises!$C$6:$C$105,MATCH(D437,Exercises!$B$6:$B$105,0)),"Other"))</f>
        <v/>
      </c>
      <c r="V437">
        <f>IF(B437="","",IF(COUNTIF($B$6:B437,B437)=1,1,0))</f>
        <v/>
      </c>
      <c r="W437">
        <f>IF(B437="","",B437-WEEKDAY(B437,3))</f>
        <v/>
      </c>
      <c r="X437">
        <f>IF(D437="","",MAX(IF(N(F437)=0,0,IF(N(E437)&gt;0,E437*(1+F437/30),F437)),IF(N(H437)=0,0,IF(N(G437)&gt;0,G437*(1+H437/30),H437)),IF(N(J437)=0,0,IF(N(I437)&gt;0,I437*(1+J437/30),J437)),IF(N(L437)=0,0,IF(N(K437)&gt;0,K437*(1+L437/30),L437)),IF(N(N437)=0,0,IF(N(M437)&gt;0,M437*(1+N437/30),N437))))</f>
        <v/>
      </c>
      <c r="Y437">
        <f>IF(N(X437)=0,"",X437+ROW()/1000000000)</f>
        <v/>
      </c>
      <c r="Z437">
        <f>IF(Y437="","",IF(COUNTIFS(Log!$D$6:$D$1505,D437,Log!$Y$6:$Y$1505,"&gt;"&amp;Y437)=0,1,0))</f>
        <v/>
      </c>
      <c r="AA437">
        <f>IF(OR(B437="",D437=""),"",B437+ROW()/10000000)</f>
        <v/>
      </c>
      <c r="AB437">
        <f>IF(AA437="","",IF(COUNTIFS(Log!$D$6:$D$1505,D437,Log!$AA$6:$AA$1505,"&gt;"&amp;AA437)=0,1,0))</f>
        <v/>
      </c>
      <c r="AC437">
        <f>IF(S437="New best",AA437,"")</f>
        <v/>
      </c>
      <c r="AD437">
        <f>ROW()</f>
        <v/>
      </c>
    </row>
    <row r="438">
      <c r="A438" s="1" t="n"/>
      <c r="B438" s="21" t="n"/>
      <c r="C438" s="22" t="n"/>
      <c r="D438" s="23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15">
        <f>IF(D438="","",COUNT(F438,H438,J438,L438,N438))</f>
        <v/>
      </c>
      <c r="P438" s="25">
        <f>IF(D438="","",N(E438)*N(F438)+N(G438)*N(H438)+N(I438)*N(J438)+N(K438)*N(L438)+N(M438)*N(N438))</f>
        <v/>
      </c>
      <c r="Q438" s="18">
        <f>IF(N(X438)=0,"",IF(IF(N(F438)=0,0,IF(N(E438)&gt;0,E438*(1+F438/30),F438))=X438,IF(N(E438)&gt;0,E438&amp;" x "&amp;F438,F438&amp;" reps"),IF(IF(N(H438)=0,0,IF(N(G438)&gt;0,G438*(1+H438/30),H438))=X438,IF(N(G438)&gt;0,G438&amp;" x "&amp;H438,H438&amp;" reps"),IF(IF(N(J438)=0,0,IF(N(I438)&gt;0,I438*(1+J438/30),J438))=X438,IF(N(I438)&gt;0,I438&amp;" x "&amp;J438,J438&amp;" reps"),IF(IF(N(L438)=0,0,IF(N(K438)&gt;0,K438*(1+L438/30),L438))=X438,IF(N(K438)&gt;0,K438&amp;" x "&amp;L438,L438&amp;" reps"),IF(IF(N(N438)=0,0,IF(N(M438)&gt;0,M438*(1+N438/30),N438))=X438,IF(N(M438)&gt;0,M438&amp;" x "&amp;N438,N438&amp;" reps"),""))))))</f>
        <v/>
      </c>
      <c r="R438" s="20">
        <f>IF(N(X438)=0,"",ROUND(X438,1))</f>
        <v/>
      </c>
      <c r="S438" s="18">
        <f>IF(N(X438)=0,"",IF(AND(COUNTIFS(Log!$D$6:$D$1505,D438,Log!$B$6:$B$1505,"&lt;"&amp;B438)&gt;0,COUNTIFS(Log!$D$6:$D$1505,D438,Log!$B$6:$B$1505,"&lt;"&amp;B438,Log!$X$6:$X$1505,"&gt;="&amp;X438)=0),"New best",""))</f>
        <v/>
      </c>
      <c r="T438" s="26" t="n"/>
      <c r="U438" s="1">
        <f>IF(D438="","",IFERROR(INDEX(Exercises!$C$6:$C$105,MATCH(D438,Exercises!$B$6:$B$105,0)),"Other"))</f>
        <v/>
      </c>
      <c r="V438">
        <f>IF(B438="","",IF(COUNTIF($B$6:B438,B438)=1,1,0))</f>
        <v/>
      </c>
      <c r="W438">
        <f>IF(B438="","",B438-WEEKDAY(B438,3))</f>
        <v/>
      </c>
      <c r="X438">
        <f>IF(D438="","",MAX(IF(N(F438)=0,0,IF(N(E438)&gt;0,E438*(1+F438/30),F438)),IF(N(H438)=0,0,IF(N(G438)&gt;0,G438*(1+H438/30),H438)),IF(N(J438)=0,0,IF(N(I438)&gt;0,I438*(1+J438/30),J438)),IF(N(L438)=0,0,IF(N(K438)&gt;0,K438*(1+L438/30),L438)),IF(N(N438)=0,0,IF(N(M438)&gt;0,M438*(1+N438/30),N438))))</f>
        <v/>
      </c>
      <c r="Y438">
        <f>IF(N(X438)=0,"",X438+ROW()/1000000000)</f>
        <v/>
      </c>
      <c r="Z438">
        <f>IF(Y438="","",IF(COUNTIFS(Log!$D$6:$D$1505,D438,Log!$Y$6:$Y$1505,"&gt;"&amp;Y438)=0,1,0))</f>
        <v/>
      </c>
      <c r="AA438">
        <f>IF(OR(B438="",D438=""),"",B438+ROW()/10000000)</f>
        <v/>
      </c>
      <c r="AB438">
        <f>IF(AA438="","",IF(COUNTIFS(Log!$D$6:$D$1505,D438,Log!$AA$6:$AA$1505,"&gt;"&amp;AA438)=0,1,0))</f>
        <v/>
      </c>
      <c r="AC438">
        <f>IF(S438="New best",AA438,"")</f>
        <v/>
      </c>
      <c r="AD438">
        <f>ROW()</f>
        <v/>
      </c>
    </row>
    <row r="439">
      <c r="A439" s="1" t="n"/>
      <c r="B439" s="21" t="n"/>
      <c r="C439" s="22" t="n"/>
      <c r="D439" s="23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15">
        <f>IF(D439="","",COUNT(F439,H439,J439,L439,N439))</f>
        <v/>
      </c>
      <c r="P439" s="25">
        <f>IF(D439="","",N(E439)*N(F439)+N(G439)*N(H439)+N(I439)*N(J439)+N(K439)*N(L439)+N(M439)*N(N439))</f>
        <v/>
      </c>
      <c r="Q439" s="18">
        <f>IF(N(X439)=0,"",IF(IF(N(F439)=0,0,IF(N(E439)&gt;0,E439*(1+F439/30),F439))=X439,IF(N(E439)&gt;0,E439&amp;" x "&amp;F439,F439&amp;" reps"),IF(IF(N(H439)=0,0,IF(N(G439)&gt;0,G439*(1+H439/30),H439))=X439,IF(N(G439)&gt;0,G439&amp;" x "&amp;H439,H439&amp;" reps"),IF(IF(N(J439)=0,0,IF(N(I439)&gt;0,I439*(1+J439/30),J439))=X439,IF(N(I439)&gt;0,I439&amp;" x "&amp;J439,J439&amp;" reps"),IF(IF(N(L439)=0,0,IF(N(K439)&gt;0,K439*(1+L439/30),L439))=X439,IF(N(K439)&gt;0,K439&amp;" x "&amp;L439,L439&amp;" reps"),IF(IF(N(N439)=0,0,IF(N(M439)&gt;0,M439*(1+N439/30),N439))=X439,IF(N(M439)&gt;0,M439&amp;" x "&amp;N439,N439&amp;" reps"),""))))))</f>
        <v/>
      </c>
      <c r="R439" s="20">
        <f>IF(N(X439)=0,"",ROUND(X439,1))</f>
        <v/>
      </c>
      <c r="S439" s="18">
        <f>IF(N(X439)=0,"",IF(AND(COUNTIFS(Log!$D$6:$D$1505,D439,Log!$B$6:$B$1505,"&lt;"&amp;B439)&gt;0,COUNTIFS(Log!$D$6:$D$1505,D439,Log!$B$6:$B$1505,"&lt;"&amp;B439,Log!$X$6:$X$1505,"&gt;="&amp;X439)=0),"New best",""))</f>
        <v/>
      </c>
      <c r="T439" s="26" t="n"/>
      <c r="U439" s="1">
        <f>IF(D439="","",IFERROR(INDEX(Exercises!$C$6:$C$105,MATCH(D439,Exercises!$B$6:$B$105,0)),"Other"))</f>
        <v/>
      </c>
      <c r="V439">
        <f>IF(B439="","",IF(COUNTIF($B$6:B439,B439)=1,1,0))</f>
        <v/>
      </c>
      <c r="W439">
        <f>IF(B439="","",B439-WEEKDAY(B439,3))</f>
        <v/>
      </c>
      <c r="X439">
        <f>IF(D439="","",MAX(IF(N(F439)=0,0,IF(N(E439)&gt;0,E439*(1+F439/30),F439)),IF(N(H439)=0,0,IF(N(G439)&gt;0,G439*(1+H439/30),H439)),IF(N(J439)=0,0,IF(N(I439)&gt;0,I439*(1+J439/30),J439)),IF(N(L439)=0,0,IF(N(K439)&gt;0,K439*(1+L439/30),L439)),IF(N(N439)=0,0,IF(N(M439)&gt;0,M439*(1+N439/30),N439))))</f>
        <v/>
      </c>
      <c r="Y439">
        <f>IF(N(X439)=0,"",X439+ROW()/1000000000)</f>
        <v/>
      </c>
      <c r="Z439">
        <f>IF(Y439="","",IF(COUNTIFS(Log!$D$6:$D$1505,D439,Log!$Y$6:$Y$1505,"&gt;"&amp;Y439)=0,1,0))</f>
        <v/>
      </c>
      <c r="AA439">
        <f>IF(OR(B439="",D439=""),"",B439+ROW()/10000000)</f>
        <v/>
      </c>
      <c r="AB439">
        <f>IF(AA439="","",IF(COUNTIFS(Log!$D$6:$D$1505,D439,Log!$AA$6:$AA$1505,"&gt;"&amp;AA439)=0,1,0))</f>
        <v/>
      </c>
      <c r="AC439">
        <f>IF(S439="New best",AA439,"")</f>
        <v/>
      </c>
      <c r="AD439">
        <f>ROW()</f>
        <v/>
      </c>
    </row>
    <row r="440">
      <c r="A440" s="1" t="n"/>
      <c r="B440" s="21" t="n"/>
      <c r="C440" s="22" t="n"/>
      <c r="D440" s="23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15">
        <f>IF(D440="","",COUNT(F440,H440,J440,L440,N440))</f>
        <v/>
      </c>
      <c r="P440" s="25">
        <f>IF(D440="","",N(E440)*N(F440)+N(G440)*N(H440)+N(I440)*N(J440)+N(K440)*N(L440)+N(M440)*N(N440))</f>
        <v/>
      </c>
      <c r="Q440" s="18">
        <f>IF(N(X440)=0,"",IF(IF(N(F440)=0,0,IF(N(E440)&gt;0,E440*(1+F440/30),F440))=X440,IF(N(E440)&gt;0,E440&amp;" x "&amp;F440,F440&amp;" reps"),IF(IF(N(H440)=0,0,IF(N(G440)&gt;0,G440*(1+H440/30),H440))=X440,IF(N(G440)&gt;0,G440&amp;" x "&amp;H440,H440&amp;" reps"),IF(IF(N(J440)=0,0,IF(N(I440)&gt;0,I440*(1+J440/30),J440))=X440,IF(N(I440)&gt;0,I440&amp;" x "&amp;J440,J440&amp;" reps"),IF(IF(N(L440)=0,0,IF(N(K440)&gt;0,K440*(1+L440/30),L440))=X440,IF(N(K440)&gt;0,K440&amp;" x "&amp;L440,L440&amp;" reps"),IF(IF(N(N440)=0,0,IF(N(M440)&gt;0,M440*(1+N440/30),N440))=X440,IF(N(M440)&gt;0,M440&amp;" x "&amp;N440,N440&amp;" reps"),""))))))</f>
        <v/>
      </c>
      <c r="R440" s="20">
        <f>IF(N(X440)=0,"",ROUND(X440,1))</f>
        <v/>
      </c>
      <c r="S440" s="18">
        <f>IF(N(X440)=0,"",IF(AND(COUNTIFS(Log!$D$6:$D$1505,D440,Log!$B$6:$B$1505,"&lt;"&amp;B440)&gt;0,COUNTIFS(Log!$D$6:$D$1505,D440,Log!$B$6:$B$1505,"&lt;"&amp;B440,Log!$X$6:$X$1505,"&gt;="&amp;X440)=0),"New best",""))</f>
        <v/>
      </c>
      <c r="T440" s="26" t="n"/>
      <c r="U440" s="1">
        <f>IF(D440="","",IFERROR(INDEX(Exercises!$C$6:$C$105,MATCH(D440,Exercises!$B$6:$B$105,0)),"Other"))</f>
        <v/>
      </c>
      <c r="V440">
        <f>IF(B440="","",IF(COUNTIF($B$6:B440,B440)=1,1,0))</f>
        <v/>
      </c>
      <c r="W440">
        <f>IF(B440="","",B440-WEEKDAY(B440,3))</f>
        <v/>
      </c>
      <c r="X440">
        <f>IF(D440="","",MAX(IF(N(F440)=0,0,IF(N(E440)&gt;0,E440*(1+F440/30),F440)),IF(N(H440)=0,0,IF(N(G440)&gt;0,G440*(1+H440/30),H440)),IF(N(J440)=0,0,IF(N(I440)&gt;0,I440*(1+J440/30),J440)),IF(N(L440)=0,0,IF(N(K440)&gt;0,K440*(1+L440/30),L440)),IF(N(N440)=0,0,IF(N(M440)&gt;0,M440*(1+N440/30),N440))))</f>
        <v/>
      </c>
      <c r="Y440">
        <f>IF(N(X440)=0,"",X440+ROW()/1000000000)</f>
        <v/>
      </c>
      <c r="Z440">
        <f>IF(Y440="","",IF(COUNTIFS(Log!$D$6:$D$1505,D440,Log!$Y$6:$Y$1505,"&gt;"&amp;Y440)=0,1,0))</f>
        <v/>
      </c>
      <c r="AA440">
        <f>IF(OR(B440="",D440=""),"",B440+ROW()/10000000)</f>
        <v/>
      </c>
      <c r="AB440">
        <f>IF(AA440="","",IF(COUNTIFS(Log!$D$6:$D$1505,D440,Log!$AA$6:$AA$1505,"&gt;"&amp;AA440)=0,1,0))</f>
        <v/>
      </c>
      <c r="AC440">
        <f>IF(S440="New best",AA440,"")</f>
        <v/>
      </c>
      <c r="AD440">
        <f>ROW()</f>
        <v/>
      </c>
    </row>
    <row r="441">
      <c r="A441" s="1" t="n"/>
      <c r="B441" s="21" t="n"/>
      <c r="C441" s="22" t="n"/>
      <c r="D441" s="23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15">
        <f>IF(D441="","",COUNT(F441,H441,J441,L441,N441))</f>
        <v/>
      </c>
      <c r="P441" s="25">
        <f>IF(D441="","",N(E441)*N(F441)+N(G441)*N(H441)+N(I441)*N(J441)+N(K441)*N(L441)+N(M441)*N(N441))</f>
        <v/>
      </c>
      <c r="Q441" s="18">
        <f>IF(N(X441)=0,"",IF(IF(N(F441)=0,0,IF(N(E441)&gt;0,E441*(1+F441/30),F441))=X441,IF(N(E441)&gt;0,E441&amp;" x "&amp;F441,F441&amp;" reps"),IF(IF(N(H441)=0,0,IF(N(G441)&gt;0,G441*(1+H441/30),H441))=X441,IF(N(G441)&gt;0,G441&amp;" x "&amp;H441,H441&amp;" reps"),IF(IF(N(J441)=0,0,IF(N(I441)&gt;0,I441*(1+J441/30),J441))=X441,IF(N(I441)&gt;0,I441&amp;" x "&amp;J441,J441&amp;" reps"),IF(IF(N(L441)=0,0,IF(N(K441)&gt;0,K441*(1+L441/30),L441))=X441,IF(N(K441)&gt;0,K441&amp;" x "&amp;L441,L441&amp;" reps"),IF(IF(N(N441)=0,0,IF(N(M441)&gt;0,M441*(1+N441/30),N441))=X441,IF(N(M441)&gt;0,M441&amp;" x "&amp;N441,N441&amp;" reps"),""))))))</f>
        <v/>
      </c>
      <c r="R441" s="20">
        <f>IF(N(X441)=0,"",ROUND(X441,1))</f>
        <v/>
      </c>
      <c r="S441" s="18">
        <f>IF(N(X441)=0,"",IF(AND(COUNTIFS(Log!$D$6:$D$1505,D441,Log!$B$6:$B$1505,"&lt;"&amp;B441)&gt;0,COUNTIFS(Log!$D$6:$D$1505,D441,Log!$B$6:$B$1505,"&lt;"&amp;B441,Log!$X$6:$X$1505,"&gt;="&amp;X441)=0),"New best",""))</f>
        <v/>
      </c>
      <c r="T441" s="26" t="n"/>
      <c r="U441" s="1">
        <f>IF(D441="","",IFERROR(INDEX(Exercises!$C$6:$C$105,MATCH(D441,Exercises!$B$6:$B$105,0)),"Other"))</f>
        <v/>
      </c>
      <c r="V441">
        <f>IF(B441="","",IF(COUNTIF($B$6:B441,B441)=1,1,0))</f>
        <v/>
      </c>
      <c r="W441">
        <f>IF(B441="","",B441-WEEKDAY(B441,3))</f>
        <v/>
      </c>
      <c r="X441">
        <f>IF(D441="","",MAX(IF(N(F441)=0,0,IF(N(E441)&gt;0,E441*(1+F441/30),F441)),IF(N(H441)=0,0,IF(N(G441)&gt;0,G441*(1+H441/30),H441)),IF(N(J441)=0,0,IF(N(I441)&gt;0,I441*(1+J441/30),J441)),IF(N(L441)=0,0,IF(N(K441)&gt;0,K441*(1+L441/30),L441)),IF(N(N441)=0,0,IF(N(M441)&gt;0,M441*(1+N441/30),N441))))</f>
        <v/>
      </c>
      <c r="Y441">
        <f>IF(N(X441)=0,"",X441+ROW()/1000000000)</f>
        <v/>
      </c>
      <c r="Z441">
        <f>IF(Y441="","",IF(COUNTIFS(Log!$D$6:$D$1505,D441,Log!$Y$6:$Y$1505,"&gt;"&amp;Y441)=0,1,0))</f>
        <v/>
      </c>
      <c r="AA441">
        <f>IF(OR(B441="",D441=""),"",B441+ROW()/10000000)</f>
        <v/>
      </c>
      <c r="AB441">
        <f>IF(AA441="","",IF(COUNTIFS(Log!$D$6:$D$1505,D441,Log!$AA$6:$AA$1505,"&gt;"&amp;AA441)=0,1,0))</f>
        <v/>
      </c>
      <c r="AC441">
        <f>IF(S441="New best",AA441,"")</f>
        <v/>
      </c>
      <c r="AD441">
        <f>ROW()</f>
        <v/>
      </c>
    </row>
    <row r="442">
      <c r="A442" s="1" t="n"/>
      <c r="B442" s="21" t="n"/>
      <c r="C442" s="22" t="n"/>
      <c r="D442" s="23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15">
        <f>IF(D442="","",COUNT(F442,H442,J442,L442,N442))</f>
        <v/>
      </c>
      <c r="P442" s="25">
        <f>IF(D442="","",N(E442)*N(F442)+N(G442)*N(H442)+N(I442)*N(J442)+N(K442)*N(L442)+N(M442)*N(N442))</f>
        <v/>
      </c>
      <c r="Q442" s="18">
        <f>IF(N(X442)=0,"",IF(IF(N(F442)=0,0,IF(N(E442)&gt;0,E442*(1+F442/30),F442))=X442,IF(N(E442)&gt;0,E442&amp;" x "&amp;F442,F442&amp;" reps"),IF(IF(N(H442)=0,0,IF(N(G442)&gt;0,G442*(1+H442/30),H442))=X442,IF(N(G442)&gt;0,G442&amp;" x "&amp;H442,H442&amp;" reps"),IF(IF(N(J442)=0,0,IF(N(I442)&gt;0,I442*(1+J442/30),J442))=X442,IF(N(I442)&gt;0,I442&amp;" x "&amp;J442,J442&amp;" reps"),IF(IF(N(L442)=0,0,IF(N(K442)&gt;0,K442*(1+L442/30),L442))=X442,IF(N(K442)&gt;0,K442&amp;" x "&amp;L442,L442&amp;" reps"),IF(IF(N(N442)=0,0,IF(N(M442)&gt;0,M442*(1+N442/30),N442))=X442,IF(N(M442)&gt;0,M442&amp;" x "&amp;N442,N442&amp;" reps"),""))))))</f>
        <v/>
      </c>
      <c r="R442" s="20">
        <f>IF(N(X442)=0,"",ROUND(X442,1))</f>
        <v/>
      </c>
      <c r="S442" s="18">
        <f>IF(N(X442)=0,"",IF(AND(COUNTIFS(Log!$D$6:$D$1505,D442,Log!$B$6:$B$1505,"&lt;"&amp;B442)&gt;0,COUNTIFS(Log!$D$6:$D$1505,D442,Log!$B$6:$B$1505,"&lt;"&amp;B442,Log!$X$6:$X$1505,"&gt;="&amp;X442)=0),"New best",""))</f>
        <v/>
      </c>
      <c r="T442" s="26" t="n"/>
      <c r="U442" s="1">
        <f>IF(D442="","",IFERROR(INDEX(Exercises!$C$6:$C$105,MATCH(D442,Exercises!$B$6:$B$105,0)),"Other"))</f>
        <v/>
      </c>
      <c r="V442">
        <f>IF(B442="","",IF(COUNTIF($B$6:B442,B442)=1,1,0))</f>
        <v/>
      </c>
      <c r="W442">
        <f>IF(B442="","",B442-WEEKDAY(B442,3))</f>
        <v/>
      </c>
      <c r="X442">
        <f>IF(D442="","",MAX(IF(N(F442)=0,0,IF(N(E442)&gt;0,E442*(1+F442/30),F442)),IF(N(H442)=0,0,IF(N(G442)&gt;0,G442*(1+H442/30),H442)),IF(N(J442)=0,0,IF(N(I442)&gt;0,I442*(1+J442/30),J442)),IF(N(L442)=0,0,IF(N(K442)&gt;0,K442*(1+L442/30),L442)),IF(N(N442)=0,0,IF(N(M442)&gt;0,M442*(1+N442/30),N442))))</f>
        <v/>
      </c>
      <c r="Y442">
        <f>IF(N(X442)=0,"",X442+ROW()/1000000000)</f>
        <v/>
      </c>
      <c r="Z442">
        <f>IF(Y442="","",IF(COUNTIFS(Log!$D$6:$D$1505,D442,Log!$Y$6:$Y$1505,"&gt;"&amp;Y442)=0,1,0))</f>
        <v/>
      </c>
      <c r="AA442">
        <f>IF(OR(B442="",D442=""),"",B442+ROW()/10000000)</f>
        <v/>
      </c>
      <c r="AB442">
        <f>IF(AA442="","",IF(COUNTIFS(Log!$D$6:$D$1505,D442,Log!$AA$6:$AA$1505,"&gt;"&amp;AA442)=0,1,0))</f>
        <v/>
      </c>
      <c r="AC442">
        <f>IF(S442="New best",AA442,"")</f>
        <v/>
      </c>
      <c r="AD442">
        <f>ROW()</f>
        <v/>
      </c>
    </row>
    <row r="443">
      <c r="A443" s="1" t="n"/>
      <c r="B443" s="21" t="n"/>
      <c r="C443" s="22" t="n"/>
      <c r="D443" s="23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15">
        <f>IF(D443="","",COUNT(F443,H443,J443,L443,N443))</f>
        <v/>
      </c>
      <c r="P443" s="25">
        <f>IF(D443="","",N(E443)*N(F443)+N(G443)*N(H443)+N(I443)*N(J443)+N(K443)*N(L443)+N(M443)*N(N443))</f>
        <v/>
      </c>
      <c r="Q443" s="18">
        <f>IF(N(X443)=0,"",IF(IF(N(F443)=0,0,IF(N(E443)&gt;0,E443*(1+F443/30),F443))=X443,IF(N(E443)&gt;0,E443&amp;" x "&amp;F443,F443&amp;" reps"),IF(IF(N(H443)=0,0,IF(N(G443)&gt;0,G443*(1+H443/30),H443))=X443,IF(N(G443)&gt;0,G443&amp;" x "&amp;H443,H443&amp;" reps"),IF(IF(N(J443)=0,0,IF(N(I443)&gt;0,I443*(1+J443/30),J443))=X443,IF(N(I443)&gt;0,I443&amp;" x "&amp;J443,J443&amp;" reps"),IF(IF(N(L443)=0,0,IF(N(K443)&gt;0,K443*(1+L443/30),L443))=X443,IF(N(K443)&gt;0,K443&amp;" x "&amp;L443,L443&amp;" reps"),IF(IF(N(N443)=0,0,IF(N(M443)&gt;0,M443*(1+N443/30),N443))=X443,IF(N(M443)&gt;0,M443&amp;" x "&amp;N443,N443&amp;" reps"),""))))))</f>
        <v/>
      </c>
      <c r="R443" s="20">
        <f>IF(N(X443)=0,"",ROUND(X443,1))</f>
        <v/>
      </c>
      <c r="S443" s="18">
        <f>IF(N(X443)=0,"",IF(AND(COUNTIFS(Log!$D$6:$D$1505,D443,Log!$B$6:$B$1505,"&lt;"&amp;B443)&gt;0,COUNTIFS(Log!$D$6:$D$1505,D443,Log!$B$6:$B$1505,"&lt;"&amp;B443,Log!$X$6:$X$1505,"&gt;="&amp;X443)=0),"New best",""))</f>
        <v/>
      </c>
      <c r="T443" s="26" t="n"/>
      <c r="U443" s="1">
        <f>IF(D443="","",IFERROR(INDEX(Exercises!$C$6:$C$105,MATCH(D443,Exercises!$B$6:$B$105,0)),"Other"))</f>
        <v/>
      </c>
      <c r="V443">
        <f>IF(B443="","",IF(COUNTIF($B$6:B443,B443)=1,1,0))</f>
        <v/>
      </c>
      <c r="W443">
        <f>IF(B443="","",B443-WEEKDAY(B443,3))</f>
        <v/>
      </c>
      <c r="X443">
        <f>IF(D443="","",MAX(IF(N(F443)=0,0,IF(N(E443)&gt;0,E443*(1+F443/30),F443)),IF(N(H443)=0,0,IF(N(G443)&gt;0,G443*(1+H443/30),H443)),IF(N(J443)=0,0,IF(N(I443)&gt;0,I443*(1+J443/30),J443)),IF(N(L443)=0,0,IF(N(K443)&gt;0,K443*(1+L443/30),L443)),IF(N(N443)=0,0,IF(N(M443)&gt;0,M443*(1+N443/30),N443))))</f>
        <v/>
      </c>
      <c r="Y443">
        <f>IF(N(X443)=0,"",X443+ROW()/1000000000)</f>
        <v/>
      </c>
      <c r="Z443">
        <f>IF(Y443="","",IF(COUNTIFS(Log!$D$6:$D$1505,D443,Log!$Y$6:$Y$1505,"&gt;"&amp;Y443)=0,1,0))</f>
        <v/>
      </c>
      <c r="AA443">
        <f>IF(OR(B443="",D443=""),"",B443+ROW()/10000000)</f>
        <v/>
      </c>
      <c r="AB443">
        <f>IF(AA443="","",IF(COUNTIFS(Log!$D$6:$D$1505,D443,Log!$AA$6:$AA$1505,"&gt;"&amp;AA443)=0,1,0))</f>
        <v/>
      </c>
      <c r="AC443">
        <f>IF(S443="New best",AA443,"")</f>
        <v/>
      </c>
      <c r="AD443">
        <f>ROW()</f>
        <v/>
      </c>
    </row>
    <row r="444">
      <c r="A444" s="1" t="n"/>
      <c r="B444" s="21" t="n"/>
      <c r="C444" s="22" t="n"/>
      <c r="D444" s="23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15">
        <f>IF(D444="","",COUNT(F444,H444,J444,L444,N444))</f>
        <v/>
      </c>
      <c r="P444" s="25">
        <f>IF(D444="","",N(E444)*N(F444)+N(G444)*N(H444)+N(I444)*N(J444)+N(K444)*N(L444)+N(M444)*N(N444))</f>
        <v/>
      </c>
      <c r="Q444" s="18">
        <f>IF(N(X444)=0,"",IF(IF(N(F444)=0,0,IF(N(E444)&gt;0,E444*(1+F444/30),F444))=X444,IF(N(E444)&gt;0,E444&amp;" x "&amp;F444,F444&amp;" reps"),IF(IF(N(H444)=0,0,IF(N(G444)&gt;0,G444*(1+H444/30),H444))=X444,IF(N(G444)&gt;0,G444&amp;" x "&amp;H444,H444&amp;" reps"),IF(IF(N(J444)=0,0,IF(N(I444)&gt;0,I444*(1+J444/30),J444))=X444,IF(N(I444)&gt;0,I444&amp;" x "&amp;J444,J444&amp;" reps"),IF(IF(N(L444)=0,0,IF(N(K444)&gt;0,K444*(1+L444/30),L444))=X444,IF(N(K444)&gt;0,K444&amp;" x "&amp;L444,L444&amp;" reps"),IF(IF(N(N444)=0,0,IF(N(M444)&gt;0,M444*(1+N444/30),N444))=X444,IF(N(M444)&gt;0,M444&amp;" x "&amp;N444,N444&amp;" reps"),""))))))</f>
        <v/>
      </c>
      <c r="R444" s="20">
        <f>IF(N(X444)=0,"",ROUND(X444,1))</f>
        <v/>
      </c>
      <c r="S444" s="18">
        <f>IF(N(X444)=0,"",IF(AND(COUNTIFS(Log!$D$6:$D$1505,D444,Log!$B$6:$B$1505,"&lt;"&amp;B444)&gt;0,COUNTIFS(Log!$D$6:$D$1505,D444,Log!$B$6:$B$1505,"&lt;"&amp;B444,Log!$X$6:$X$1505,"&gt;="&amp;X444)=0),"New best",""))</f>
        <v/>
      </c>
      <c r="T444" s="26" t="n"/>
      <c r="U444" s="1">
        <f>IF(D444="","",IFERROR(INDEX(Exercises!$C$6:$C$105,MATCH(D444,Exercises!$B$6:$B$105,0)),"Other"))</f>
        <v/>
      </c>
      <c r="V444">
        <f>IF(B444="","",IF(COUNTIF($B$6:B444,B444)=1,1,0))</f>
        <v/>
      </c>
      <c r="W444">
        <f>IF(B444="","",B444-WEEKDAY(B444,3))</f>
        <v/>
      </c>
      <c r="X444">
        <f>IF(D444="","",MAX(IF(N(F444)=0,0,IF(N(E444)&gt;0,E444*(1+F444/30),F444)),IF(N(H444)=0,0,IF(N(G444)&gt;0,G444*(1+H444/30),H444)),IF(N(J444)=0,0,IF(N(I444)&gt;0,I444*(1+J444/30),J444)),IF(N(L444)=0,0,IF(N(K444)&gt;0,K444*(1+L444/30),L444)),IF(N(N444)=0,0,IF(N(M444)&gt;0,M444*(1+N444/30),N444))))</f>
        <v/>
      </c>
      <c r="Y444">
        <f>IF(N(X444)=0,"",X444+ROW()/1000000000)</f>
        <v/>
      </c>
      <c r="Z444">
        <f>IF(Y444="","",IF(COUNTIFS(Log!$D$6:$D$1505,D444,Log!$Y$6:$Y$1505,"&gt;"&amp;Y444)=0,1,0))</f>
        <v/>
      </c>
      <c r="AA444">
        <f>IF(OR(B444="",D444=""),"",B444+ROW()/10000000)</f>
        <v/>
      </c>
      <c r="AB444">
        <f>IF(AA444="","",IF(COUNTIFS(Log!$D$6:$D$1505,D444,Log!$AA$6:$AA$1505,"&gt;"&amp;AA444)=0,1,0))</f>
        <v/>
      </c>
      <c r="AC444">
        <f>IF(S444="New best",AA444,"")</f>
        <v/>
      </c>
      <c r="AD444">
        <f>ROW()</f>
        <v/>
      </c>
    </row>
    <row r="445">
      <c r="A445" s="1" t="n"/>
      <c r="B445" s="21" t="n"/>
      <c r="C445" s="22" t="n"/>
      <c r="D445" s="23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15">
        <f>IF(D445="","",COUNT(F445,H445,J445,L445,N445))</f>
        <v/>
      </c>
      <c r="P445" s="25">
        <f>IF(D445="","",N(E445)*N(F445)+N(G445)*N(H445)+N(I445)*N(J445)+N(K445)*N(L445)+N(M445)*N(N445))</f>
        <v/>
      </c>
      <c r="Q445" s="18">
        <f>IF(N(X445)=0,"",IF(IF(N(F445)=0,0,IF(N(E445)&gt;0,E445*(1+F445/30),F445))=X445,IF(N(E445)&gt;0,E445&amp;" x "&amp;F445,F445&amp;" reps"),IF(IF(N(H445)=0,0,IF(N(G445)&gt;0,G445*(1+H445/30),H445))=X445,IF(N(G445)&gt;0,G445&amp;" x "&amp;H445,H445&amp;" reps"),IF(IF(N(J445)=0,0,IF(N(I445)&gt;0,I445*(1+J445/30),J445))=X445,IF(N(I445)&gt;0,I445&amp;" x "&amp;J445,J445&amp;" reps"),IF(IF(N(L445)=0,0,IF(N(K445)&gt;0,K445*(1+L445/30),L445))=X445,IF(N(K445)&gt;0,K445&amp;" x "&amp;L445,L445&amp;" reps"),IF(IF(N(N445)=0,0,IF(N(M445)&gt;0,M445*(1+N445/30),N445))=X445,IF(N(M445)&gt;0,M445&amp;" x "&amp;N445,N445&amp;" reps"),""))))))</f>
        <v/>
      </c>
      <c r="R445" s="20">
        <f>IF(N(X445)=0,"",ROUND(X445,1))</f>
        <v/>
      </c>
      <c r="S445" s="18">
        <f>IF(N(X445)=0,"",IF(AND(COUNTIFS(Log!$D$6:$D$1505,D445,Log!$B$6:$B$1505,"&lt;"&amp;B445)&gt;0,COUNTIFS(Log!$D$6:$D$1505,D445,Log!$B$6:$B$1505,"&lt;"&amp;B445,Log!$X$6:$X$1505,"&gt;="&amp;X445)=0),"New best",""))</f>
        <v/>
      </c>
      <c r="T445" s="26" t="n"/>
      <c r="U445" s="1">
        <f>IF(D445="","",IFERROR(INDEX(Exercises!$C$6:$C$105,MATCH(D445,Exercises!$B$6:$B$105,0)),"Other"))</f>
        <v/>
      </c>
      <c r="V445">
        <f>IF(B445="","",IF(COUNTIF($B$6:B445,B445)=1,1,0))</f>
        <v/>
      </c>
      <c r="W445">
        <f>IF(B445="","",B445-WEEKDAY(B445,3))</f>
        <v/>
      </c>
      <c r="X445">
        <f>IF(D445="","",MAX(IF(N(F445)=0,0,IF(N(E445)&gt;0,E445*(1+F445/30),F445)),IF(N(H445)=0,0,IF(N(G445)&gt;0,G445*(1+H445/30),H445)),IF(N(J445)=0,0,IF(N(I445)&gt;0,I445*(1+J445/30),J445)),IF(N(L445)=0,0,IF(N(K445)&gt;0,K445*(1+L445/30),L445)),IF(N(N445)=0,0,IF(N(M445)&gt;0,M445*(1+N445/30),N445))))</f>
        <v/>
      </c>
      <c r="Y445">
        <f>IF(N(X445)=0,"",X445+ROW()/1000000000)</f>
        <v/>
      </c>
      <c r="Z445">
        <f>IF(Y445="","",IF(COUNTIFS(Log!$D$6:$D$1505,D445,Log!$Y$6:$Y$1505,"&gt;"&amp;Y445)=0,1,0))</f>
        <v/>
      </c>
      <c r="AA445">
        <f>IF(OR(B445="",D445=""),"",B445+ROW()/10000000)</f>
        <v/>
      </c>
      <c r="AB445">
        <f>IF(AA445="","",IF(COUNTIFS(Log!$D$6:$D$1505,D445,Log!$AA$6:$AA$1505,"&gt;"&amp;AA445)=0,1,0))</f>
        <v/>
      </c>
      <c r="AC445">
        <f>IF(S445="New best",AA445,"")</f>
        <v/>
      </c>
      <c r="AD445">
        <f>ROW()</f>
        <v/>
      </c>
    </row>
    <row r="446">
      <c r="A446" s="1" t="n"/>
      <c r="B446" s="21" t="n"/>
      <c r="C446" s="22" t="n"/>
      <c r="D446" s="23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15">
        <f>IF(D446="","",COUNT(F446,H446,J446,L446,N446))</f>
        <v/>
      </c>
      <c r="P446" s="25">
        <f>IF(D446="","",N(E446)*N(F446)+N(G446)*N(H446)+N(I446)*N(J446)+N(K446)*N(L446)+N(M446)*N(N446))</f>
        <v/>
      </c>
      <c r="Q446" s="18">
        <f>IF(N(X446)=0,"",IF(IF(N(F446)=0,0,IF(N(E446)&gt;0,E446*(1+F446/30),F446))=X446,IF(N(E446)&gt;0,E446&amp;" x "&amp;F446,F446&amp;" reps"),IF(IF(N(H446)=0,0,IF(N(G446)&gt;0,G446*(1+H446/30),H446))=X446,IF(N(G446)&gt;0,G446&amp;" x "&amp;H446,H446&amp;" reps"),IF(IF(N(J446)=0,0,IF(N(I446)&gt;0,I446*(1+J446/30),J446))=X446,IF(N(I446)&gt;0,I446&amp;" x "&amp;J446,J446&amp;" reps"),IF(IF(N(L446)=0,0,IF(N(K446)&gt;0,K446*(1+L446/30),L446))=X446,IF(N(K446)&gt;0,K446&amp;" x "&amp;L446,L446&amp;" reps"),IF(IF(N(N446)=0,0,IF(N(M446)&gt;0,M446*(1+N446/30),N446))=X446,IF(N(M446)&gt;0,M446&amp;" x "&amp;N446,N446&amp;" reps"),""))))))</f>
        <v/>
      </c>
      <c r="R446" s="20">
        <f>IF(N(X446)=0,"",ROUND(X446,1))</f>
        <v/>
      </c>
      <c r="S446" s="18">
        <f>IF(N(X446)=0,"",IF(AND(COUNTIFS(Log!$D$6:$D$1505,D446,Log!$B$6:$B$1505,"&lt;"&amp;B446)&gt;0,COUNTIFS(Log!$D$6:$D$1505,D446,Log!$B$6:$B$1505,"&lt;"&amp;B446,Log!$X$6:$X$1505,"&gt;="&amp;X446)=0),"New best",""))</f>
        <v/>
      </c>
      <c r="T446" s="26" t="n"/>
      <c r="U446" s="1">
        <f>IF(D446="","",IFERROR(INDEX(Exercises!$C$6:$C$105,MATCH(D446,Exercises!$B$6:$B$105,0)),"Other"))</f>
        <v/>
      </c>
      <c r="V446">
        <f>IF(B446="","",IF(COUNTIF($B$6:B446,B446)=1,1,0))</f>
        <v/>
      </c>
      <c r="W446">
        <f>IF(B446="","",B446-WEEKDAY(B446,3))</f>
        <v/>
      </c>
      <c r="X446">
        <f>IF(D446="","",MAX(IF(N(F446)=0,0,IF(N(E446)&gt;0,E446*(1+F446/30),F446)),IF(N(H446)=0,0,IF(N(G446)&gt;0,G446*(1+H446/30),H446)),IF(N(J446)=0,0,IF(N(I446)&gt;0,I446*(1+J446/30),J446)),IF(N(L446)=0,0,IF(N(K446)&gt;0,K446*(1+L446/30),L446)),IF(N(N446)=0,0,IF(N(M446)&gt;0,M446*(1+N446/30),N446))))</f>
        <v/>
      </c>
      <c r="Y446">
        <f>IF(N(X446)=0,"",X446+ROW()/1000000000)</f>
        <v/>
      </c>
      <c r="Z446">
        <f>IF(Y446="","",IF(COUNTIFS(Log!$D$6:$D$1505,D446,Log!$Y$6:$Y$1505,"&gt;"&amp;Y446)=0,1,0))</f>
        <v/>
      </c>
      <c r="AA446">
        <f>IF(OR(B446="",D446=""),"",B446+ROW()/10000000)</f>
        <v/>
      </c>
      <c r="AB446">
        <f>IF(AA446="","",IF(COUNTIFS(Log!$D$6:$D$1505,D446,Log!$AA$6:$AA$1505,"&gt;"&amp;AA446)=0,1,0))</f>
        <v/>
      </c>
      <c r="AC446">
        <f>IF(S446="New best",AA446,"")</f>
        <v/>
      </c>
      <c r="AD446">
        <f>ROW()</f>
        <v/>
      </c>
    </row>
    <row r="447">
      <c r="A447" s="1" t="n"/>
      <c r="B447" s="21" t="n"/>
      <c r="C447" s="22" t="n"/>
      <c r="D447" s="23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15">
        <f>IF(D447="","",COUNT(F447,H447,J447,L447,N447))</f>
        <v/>
      </c>
      <c r="P447" s="25">
        <f>IF(D447="","",N(E447)*N(F447)+N(G447)*N(H447)+N(I447)*N(J447)+N(K447)*N(L447)+N(M447)*N(N447))</f>
        <v/>
      </c>
      <c r="Q447" s="18">
        <f>IF(N(X447)=0,"",IF(IF(N(F447)=0,0,IF(N(E447)&gt;0,E447*(1+F447/30),F447))=X447,IF(N(E447)&gt;0,E447&amp;" x "&amp;F447,F447&amp;" reps"),IF(IF(N(H447)=0,0,IF(N(G447)&gt;0,G447*(1+H447/30),H447))=X447,IF(N(G447)&gt;0,G447&amp;" x "&amp;H447,H447&amp;" reps"),IF(IF(N(J447)=0,0,IF(N(I447)&gt;0,I447*(1+J447/30),J447))=X447,IF(N(I447)&gt;0,I447&amp;" x "&amp;J447,J447&amp;" reps"),IF(IF(N(L447)=0,0,IF(N(K447)&gt;0,K447*(1+L447/30),L447))=X447,IF(N(K447)&gt;0,K447&amp;" x "&amp;L447,L447&amp;" reps"),IF(IF(N(N447)=0,0,IF(N(M447)&gt;0,M447*(1+N447/30),N447))=X447,IF(N(M447)&gt;0,M447&amp;" x "&amp;N447,N447&amp;" reps"),""))))))</f>
        <v/>
      </c>
      <c r="R447" s="20">
        <f>IF(N(X447)=0,"",ROUND(X447,1))</f>
        <v/>
      </c>
      <c r="S447" s="18">
        <f>IF(N(X447)=0,"",IF(AND(COUNTIFS(Log!$D$6:$D$1505,D447,Log!$B$6:$B$1505,"&lt;"&amp;B447)&gt;0,COUNTIFS(Log!$D$6:$D$1505,D447,Log!$B$6:$B$1505,"&lt;"&amp;B447,Log!$X$6:$X$1505,"&gt;="&amp;X447)=0),"New best",""))</f>
        <v/>
      </c>
      <c r="T447" s="26" t="n"/>
      <c r="U447" s="1">
        <f>IF(D447="","",IFERROR(INDEX(Exercises!$C$6:$C$105,MATCH(D447,Exercises!$B$6:$B$105,0)),"Other"))</f>
        <v/>
      </c>
      <c r="V447">
        <f>IF(B447="","",IF(COUNTIF($B$6:B447,B447)=1,1,0))</f>
        <v/>
      </c>
      <c r="W447">
        <f>IF(B447="","",B447-WEEKDAY(B447,3))</f>
        <v/>
      </c>
      <c r="X447">
        <f>IF(D447="","",MAX(IF(N(F447)=0,0,IF(N(E447)&gt;0,E447*(1+F447/30),F447)),IF(N(H447)=0,0,IF(N(G447)&gt;0,G447*(1+H447/30),H447)),IF(N(J447)=0,0,IF(N(I447)&gt;0,I447*(1+J447/30),J447)),IF(N(L447)=0,0,IF(N(K447)&gt;0,K447*(1+L447/30),L447)),IF(N(N447)=0,0,IF(N(M447)&gt;0,M447*(1+N447/30),N447))))</f>
        <v/>
      </c>
      <c r="Y447">
        <f>IF(N(X447)=0,"",X447+ROW()/1000000000)</f>
        <v/>
      </c>
      <c r="Z447">
        <f>IF(Y447="","",IF(COUNTIFS(Log!$D$6:$D$1505,D447,Log!$Y$6:$Y$1505,"&gt;"&amp;Y447)=0,1,0))</f>
        <v/>
      </c>
      <c r="AA447">
        <f>IF(OR(B447="",D447=""),"",B447+ROW()/10000000)</f>
        <v/>
      </c>
      <c r="AB447">
        <f>IF(AA447="","",IF(COUNTIFS(Log!$D$6:$D$1505,D447,Log!$AA$6:$AA$1505,"&gt;"&amp;AA447)=0,1,0))</f>
        <v/>
      </c>
      <c r="AC447">
        <f>IF(S447="New best",AA447,"")</f>
        <v/>
      </c>
      <c r="AD447">
        <f>ROW()</f>
        <v/>
      </c>
    </row>
    <row r="448">
      <c r="A448" s="1" t="n"/>
      <c r="B448" s="21" t="n"/>
      <c r="C448" s="22" t="n"/>
      <c r="D448" s="23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15">
        <f>IF(D448="","",COUNT(F448,H448,J448,L448,N448))</f>
        <v/>
      </c>
      <c r="P448" s="25">
        <f>IF(D448="","",N(E448)*N(F448)+N(G448)*N(H448)+N(I448)*N(J448)+N(K448)*N(L448)+N(M448)*N(N448))</f>
        <v/>
      </c>
      <c r="Q448" s="18">
        <f>IF(N(X448)=0,"",IF(IF(N(F448)=0,0,IF(N(E448)&gt;0,E448*(1+F448/30),F448))=X448,IF(N(E448)&gt;0,E448&amp;" x "&amp;F448,F448&amp;" reps"),IF(IF(N(H448)=0,0,IF(N(G448)&gt;0,G448*(1+H448/30),H448))=X448,IF(N(G448)&gt;0,G448&amp;" x "&amp;H448,H448&amp;" reps"),IF(IF(N(J448)=0,0,IF(N(I448)&gt;0,I448*(1+J448/30),J448))=X448,IF(N(I448)&gt;0,I448&amp;" x "&amp;J448,J448&amp;" reps"),IF(IF(N(L448)=0,0,IF(N(K448)&gt;0,K448*(1+L448/30),L448))=X448,IF(N(K448)&gt;0,K448&amp;" x "&amp;L448,L448&amp;" reps"),IF(IF(N(N448)=0,0,IF(N(M448)&gt;0,M448*(1+N448/30),N448))=X448,IF(N(M448)&gt;0,M448&amp;" x "&amp;N448,N448&amp;" reps"),""))))))</f>
        <v/>
      </c>
      <c r="R448" s="20">
        <f>IF(N(X448)=0,"",ROUND(X448,1))</f>
        <v/>
      </c>
      <c r="S448" s="18">
        <f>IF(N(X448)=0,"",IF(AND(COUNTIFS(Log!$D$6:$D$1505,D448,Log!$B$6:$B$1505,"&lt;"&amp;B448)&gt;0,COUNTIFS(Log!$D$6:$D$1505,D448,Log!$B$6:$B$1505,"&lt;"&amp;B448,Log!$X$6:$X$1505,"&gt;="&amp;X448)=0),"New best",""))</f>
        <v/>
      </c>
      <c r="T448" s="26" t="n"/>
      <c r="U448" s="1">
        <f>IF(D448="","",IFERROR(INDEX(Exercises!$C$6:$C$105,MATCH(D448,Exercises!$B$6:$B$105,0)),"Other"))</f>
        <v/>
      </c>
      <c r="V448">
        <f>IF(B448="","",IF(COUNTIF($B$6:B448,B448)=1,1,0))</f>
        <v/>
      </c>
      <c r="W448">
        <f>IF(B448="","",B448-WEEKDAY(B448,3))</f>
        <v/>
      </c>
      <c r="X448">
        <f>IF(D448="","",MAX(IF(N(F448)=0,0,IF(N(E448)&gt;0,E448*(1+F448/30),F448)),IF(N(H448)=0,0,IF(N(G448)&gt;0,G448*(1+H448/30),H448)),IF(N(J448)=0,0,IF(N(I448)&gt;0,I448*(1+J448/30),J448)),IF(N(L448)=0,0,IF(N(K448)&gt;0,K448*(1+L448/30),L448)),IF(N(N448)=0,0,IF(N(M448)&gt;0,M448*(1+N448/30),N448))))</f>
        <v/>
      </c>
      <c r="Y448">
        <f>IF(N(X448)=0,"",X448+ROW()/1000000000)</f>
        <v/>
      </c>
      <c r="Z448">
        <f>IF(Y448="","",IF(COUNTIFS(Log!$D$6:$D$1505,D448,Log!$Y$6:$Y$1505,"&gt;"&amp;Y448)=0,1,0))</f>
        <v/>
      </c>
      <c r="AA448">
        <f>IF(OR(B448="",D448=""),"",B448+ROW()/10000000)</f>
        <v/>
      </c>
      <c r="AB448">
        <f>IF(AA448="","",IF(COUNTIFS(Log!$D$6:$D$1505,D448,Log!$AA$6:$AA$1505,"&gt;"&amp;AA448)=0,1,0))</f>
        <v/>
      </c>
      <c r="AC448">
        <f>IF(S448="New best",AA448,"")</f>
        <v/>
      </c>
      <c r="AD448">
        <f>ROW()</f>
        <v/>
      </c>
    </row>
    <row r="449">
      <c r="A449" s="1" t="n"/>
      <c r="B449" s="21" t="n"/>
      <c r="C449" s="22" t="n"/>
      <c r="D449" s="23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15">
        <f>IF(D449="","",COUNT(F449,H449,J449,L449,N449))</f>
        <v/>
      </c>
      <c r="P449" s="25">
        <f>IF(D449="","",N(E449)*N(F449)+N(G449)*N(H449)+N(I449)*N(J449)+N(K449)*N(L449)+N(M449)*N(N449))</f>
        <v/>
      </c>
      <c r="Q449" s="18">
        <f>IF(N(X449)=0,"",IF(IF(N(F449)=0,0,IF(N(E449)&gt;0,E449*(1+F449/30),F449))=X449,IF(N(E449)&gt;0,E449&amp;" x "&amp;F449,F449&amp;" reps"),IF(IF(N(H449)=0,0,IF(N(G449)&gt;0,G449*(1+H449/30),H449))=X449,IF(N(G449)&gt;0,G449&amp;" x "&amp;H449,H449&amp;" reps"),IF(IF(N(J449)=0,0,IF(N(I449)&gt;0,I449*(1+J449/30),J449))=X449,IF(N(I449)&gt;0,I449&amp;" x "&amp;J449,J449&amp;" reps"),IF(IF(N(L449)=0,0,IF(N(K449)&gt;0,K449*(1+L449/30),L449))=X449,IF(N(K449)&gt;0,K449&amp;" x "&amp;L449,L449&amp;" reps"),IF(IF(N(N449)=0,0,IF(N(M449)&gt;0,M449*(1+N449/30),N449))=X449,IF(N(M449)&gt;0,M449&amp;" x "&amp;N449,N449&amp;" reps"),""))))))</f>
        <v/>
      </c>
      <c r="R449" s="20">
        <f>IF(N(X449)=0,"",ROUND(X449,1))</f>
        <v/>
      </c>
      <c r="S449" s="18">
        <f>IF(N(X449)=0,"",IF(AND(COUNTIFS(Log!$D$6:$D$1505,D449,Log!$B$6:$B$1505,"&lt;"&amp;B449)&gt;0,COUNTIFS(Log!$D$6:$D$1505,D449,Log!$B$6:$B$1505,"&lt;"&amp;B449,Log!$X$6:$X$1505,"&gt;="&amp;X449)=0),"New best",""))</f>
        <v/>
      </c>
      <c r="T449" s="26" t="n"/>
      <c r="U449" s="1">
        <f>IF(D449="","",IFERROR(INDEX(Exercises!$C$6:$C$105,MATCH(D449,Exercises!$B$6:$B$105,0)),"Other"))</f>
        <v/>
      </c>
      <c r="V449">
        <f>IF(B449="","",IF(COUNTIF($B$6:B449,B449)=1,1,0))</f>
        <v/>
      </c>
      <c r="W449">
        <f>IF(B449="","",B449-WEEKDAY(B449,3))</f>
        <v/>
      </c>
      <c r="X449">
        <f>IF(D449="","",MAX(IF(N(F449)=0,0,IF(N(E449)&gt;0,E449*(1+F449/30),F449)),IF(N(H449)=0,0,IF(N(G449)&gt;0,G449*(1+H449/30),H449)),IF(N(J449)=0,0,IF(N(I449)&gt;0,I449*(1+J449/30),J449)),IF(N(L449)=0,0,IF(N(K449)&gt;0,K449*(1+L449/30),L449)),IF(N(N449)=0,0,IF(N(M449)&gt;0,M449*(1+N449/30),N449))))</f>
        <v/>
      </c>
      <c r="Y449">
        <f>IF(N(X449)=0,"",X449+ROW()/1000000000)</f>
        <v/>
      </c>
      <c r="Z449">
        <f>IF(Y449="","",IF(COUNTIFS(Log!$D$6:$D$1505,D449,Log!$Y$6:$Y$1505,"&gt;"&amp;Y449)=0,1,0))</f>
        <v/>
      </c>
      <c r="AA449">
        <f>IF(OR(B449="",D449=""),"",B449+ROW()/10000000)</f>
        <v/>
      </c>
      <c r="AB449">
        <f>IF(AA449="","",IF(COUNTIFS(Log!$D$6:$D$1505,D449,Log!$AA$6:$AA$1505,"&gt;"&amp;AA449)=0,1,0))</f>
        <v/>
      </c>
      <c r="AC449">
        <f>IF(S449="New best",AA449,"")</f>
        <v/>
      </c>
      <c r="AD449">
        <f>ROW()</f>
        <v/>
      </c>
    </row>
    <row r="450">
      <c r="A450" s="1" t="n"/>
      <c r="B450" s="21" t="n"/>
      <c r="C450" s="22" t="n"/>
      <c r="D450" s="23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15">
        <f>IF(D450="","",COUNT(F450,H450,J450,L450,N450))</f>
        <v/>
      </c>
      <c r="P450" s="25">
        <f>IF(D450="","",N(E450)*N(F450)+N(G450)*N(H450)+N(I450)*N(J450)+N(K450)*N(L450)+N(M450)*N(N450))</f>
        <v/>
      </c>
      <c r="Q450" s="18">
        <f>IF(N(X450)=0,"",IF(IF(N(F450)=0,0,IF(N(E450)&gt;0,E450*(1+F450/30),F450))=X450,IF(N(E450)&gt;0,E450&amp;" x "&amp;F450,F450&amp;" reps"),IF(IF(N(H450)=0,0,IF(N(G450)&gt;0,G450*(1+H450/30),H450))=X450,IF(N(G450)&gt;0,G450&amp;" x "&amp;H450,H450&amp;" reps"),IF(IF(N(J450)=0,0,IF(N(I450)&gt;0,I450*(1+J450/30),J450))=X450,IF(N(I450)&gt;0,I450&amp;" x "&amp;J450,J450&amp;" reps"),IF(IF(N(L450)=0,0,IF(N(K450)&gt;0,K450*(1+L450/30),L450))=X450,IF(N(K450)&gt;0,K450&amp;" x "&amp;L450,L450&amp;" reps"),IF(IF(N(N450)=0,0,IF(N(M450)&gt;0,M450*(1+N450/30),N450))=X450,IF(N(M450)&gt;0,M450&amp;" x "&amp;N450,N450&amp;" reps"),""))))))</f>
        <v/>
      </c>
      <c r="R450" s="20">
        <f>IF(N(X450)=0,"",ROUND(X450,1))</f>
        <v/>
      </c>
      <c r="S450" s="18">
        <f>IF(N(X450)=0,"",IF(AND(COUNTIFS(Log!$D$6:$D$1505,D450,Log!$B$6:$B$1505,"&lt;"&amp;B450)&gt;0,COUNTIFS(Log!$D$6:$D$1505,D450,Log!$B$6:$B$1505,"&lt;"&amp;B450,Log!$X$6:$X$1505,"&gt;="&amp;X450)=0),"New best",""))</f>
        <v/>
      </c>
      <c r="T450" s="26" t="n"/>
      <c r="U450" s="1">
        <f>IF(D450="","",IFERROR(INDEX(Exercises!$C$6:$C$105,MATCH(D450,Exercises!$B$6:$B$105,0)),"Other"))</f>
        <v/>
      </c>
      <c r="V450">
        <f>IF(B450="","",IF(COUNTIF($B$6:B450,B450)=1,1,0))</f>
        <v/>
      </c>
      <c r="W450">
        <f>IF(B450="","",B450-WEEKDAY(B450,3))</f>
        <v/>
      </c>
      <c r="X450">
        <f>IF(D450="","",MAX(IF(N(F450)=0,0,IF(N(E450)&gt;0,E450*(1+F450/30),F450)),IF(N(H450)=0,0,IF(N(G450)&gt;0,G450*(1+H450/30),H450)),IF(N(J450)=0,0,IF(N(I450)&gt;0,I450*(1+J450/30),J450)),IF(N(L450)=0,0,IF(N(K450)&gt;0,K450*(1+L450/30),L450)),IF(N(N450)=0,0,IF(N(M450)&gt;0,M450*(1+N450/30),N450))))</f>
        <v/>
      </c>
      <c r="Y450">
        <f>IF(N(X450)=0,"",X450+ROW()/1000000000)</f>
        <v/>
      </c>
      <c r="Z450">
        <f>IF(Y450="","",IF(COUNTIFS(Log!$D$6:$D$1505,D450,Log!$Y$6:$Y$1505,"&gt;"&amp;Y450)=0,1,0))</f>
        <v/>
      </c>
      <c r="AA450">
        <f>IF(OR(B450="",D450=""),"",B450+ROW()/10000000)</f>
        <v/>
      </c>
      <c r="AB450">
        <f>IF(AA450="","",IF(COUNTIFS(Log!$D$6:$D$1505,D450,Log!$AA$6:$AA$1505,"&gt;"&amp;AA450)=0,1,0))</f>
        <v/>
      </c>
      <c r="AC450">
        <f>IF(S450="New best",AA450,"")</f>
        <v/>
      </c>
      <c r="AD450">
        <f>ROW()</f>
        <v/>
      </c>
    </row>
    <row r="451">
      <c r="A451" s="1" t="n"/>
      <c r="B451" s="21" t="n"/>
      <c r="C451" s="22" t="n"/>
      <c r="D451" s="23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15">
        <f>IF(D451="","",COUNT(F451,H451,J451,L451,N451))</f>
        <v/>
      </c>
      <c r="P451" s="25">
        <f>IF(D451="","",N(E451)*N(F451)+N(G451)*N(H451)+N(I451)*N(J451)+N(K451)*N(L451)+N(M451)*N(N451))</f>
        <v/>
      </c>
      <c r="Q451" s="18">
        <f>IF(N(X451)=0,"",IF(IF(N(F451)=0,0,IF(N(E451)&gt;0,E451*(1+F451/30),F451))=X451,IF(N(E451)&gt;0,E451&amp;" x "&amp;F451,F451&amp;" reps"),IF(IF(N(H451)=0,0,IF(N(G451)&gt;0,G451*(1+H451/30),H451))=X451,IF(N(G451)&gt;0,G451&amp;" x "&amp;H451,H451&amp;" reps"),IF(IF(N(J451)=0,0,IF(N(I451)&gt;0,I451*(1+J451/30),J451))=X451,IF(N(I451)&gt;0,I451&amp;" x "&amp;J451,J451&amp;" reps"),IF(IF(N(L451)=0,0,IF(N(K451)&gt;0,K451*(1+L451/30),L451))=X451,IF(N(K451)&gt;0,K451&amp;" x "&amp;L451,L451&amp;" reps"),IF(IF(N(N451)=0,0,IF(N(M451)&gt;0,M451*(1+N451/30),N451))=X451,IF(N(M451)&gt;0,M451&amp;" x "&amp;N451,N451&amp;" reps"),""))))))</f>
        <v/>
      </c>
      <c r="R451" s="20">
        <f>IF(N(X451)=0,"",ROUND(X451,1))</f>
        <v/>
      </c>
      <c r="S451" s="18">
        <f>IF(N(X451)=0,"",IF(AND(COUNTIFS(Log!$D$6:$D$1505,D451,Log!$B$6:$B$1505,"&lt;"&amp;B451)&gt;0,COUNTIFS(Log!$D$6:$D$1505,D451,Log!$B$6:$B$1505,"&lt;"&amp;B451,Log!$X$6:$X$1505,"&gt;="&amp;X451)=0),"New best",""))</f>
        <v/>
      </c>
      <c r="T451" s="26" t="n"/>
      <c r="U451" s="1">
        <f>IF(D451="","",IFERROR(INDEX(Exercises!$C$6:$C$105,MATCH(D451,Exercises!$B$6:$B$105,0)),"Other"))</f>
        <v/>
      </c>
      <c r="V451">
        <f>IF(B451="","",IF(COUNTIF($B$6:B451,B451)=1,1,0))</f>
        <v/>
      </c>
      <c r="W451">
        <f>IF(B451="","",B451-WEEKDAY(B451,3))</f>
        <v/>
      </c>
      <c r="X451">
        <f>IF(D451="","",MAX(IF(N(F451)=0,0,IF(N(E451)&gt;0,E451*(1+F451/30),F451)),IF(N(H451)=0,0,IF(N(G451)&gt;0,G451*(1+H451/30),H451)),IF(N(J451)=0,0,IF(N(I451)&gt;0,I451*(1+J451/30),J451)),IF(N(L451)=0,0,IF(N(K451)&gt;0,K451*(1+L451/30),L451)),IF(N(N451)=0,0,IF(N(M451)&gt;0,M451*(1+N451/30),N451))))</f>
        <v/>
      </c>
      <c r="Y451">
        <f>IF(N(X451)=0,"",X451+ROW()/1000000000)</f>
        <v/>
      </c>
      <c r="Z451">
        <f>IF(Y451="","",IF(COUNTIFS(Log!$D$6:$D$1505,D451,Log!$Y$6:$Y$1505,"&gt;"&amp;Y451)=0,1,0))</f>
        <v/>
      </c>
      <c r="AA451">
        <f>IF(OR(B451="",D451=""),"",B451+ROW()/10000000)</f>
        <v/>
      </c>
      <c r="AB451">
        <f>IF(AA451="","",IF(COUNTIFS(Log!$D$6:$D$1505,D451,Log!$AA$6:$AA$1505,"&gt;"&amp;AA451)=0,1,0))</f>
        <v/>
      </c>
      <c r="AC451">
        <f>IF(S451="New best",AA451,"")</f>
        <v/>
      </c>
      <c r="AD451">
        <f>ROW()</f>
        <v/>
      </c>
    </row>
    <row r="452">
      <c r="A452" s="1" t="n"/>
      <c r="B452" s="21" t="n"/>
      <c r="C452" s="22" t="n"/>
      <c r="D452" s="23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15">
        <f>IF(D452="","",COUNT(F452,H452,J452,L452,N452))</f>
        <v/>
      </c>
      <c r="P452" s="25">
        <f>IF(D452="","",N(E452)*N(F452)+N(G452)*N(H452)+N(I452)*N(J452)+N(K452)*N(L452)+N(M452)*N(N452))</f>
        <v/>
      </c>
      <c r="Q452" s="18">
        <f>IF(N(X452)=0,"",IF(IF(N(F452)=0,0,IF(N(E452)&gt;0,E452*(1+F452/30),F452))=X452,IF(N(E452)&gt;0,E452&amp;" x "&amp;F452,F452&amp;" reps"),IF(IF(N(H452)=0,0,IF(N(G452)&gt;0,G452*(1+H452/30),H452))=X452,IF(N(G452)&gt;0,G452&amp;" x "&amp;H452,H452&amp;" reps"),IF(IF(N(J452)=0,0,IF(N(I452)&gt;0,I452*(1+J452/30),J452))=X452,IF(N(I452)&gt;0,I452&amp;" x "&amp;J452,J452&amp;" reps"),IF(IF(N(L452)=0,0,IF(N(K452)&gt;0,K452*(1+L452/30),L452))=X452,IF(N(K452)&gt;0,K452&amp;" x "&amp;L452,L452&amp;" reps"),IF(IF(N(N452)=0,0,IF(N(M452)&gt;0,M452*(1+N452/30),N452))=X452,IF(N(M452)&gt;0,M452&amp;" x "&amp;N452,N452&amp;" reps"),""))))))</f>
        <v/>
      </c>
      <c r="R452" s="20">
        <f>IF(N(X452)=0,"",ROUND(X452,1))</f>
        <v/>
      </c>
      <c r="S452" s="18">
        <f>IF(N(X452)=0,"",IF(AND(COUNTIFS(Log!$D$6:$D$1505,D452,Log!$B$6:$B$1505,"&lt;"&amp;B452)&gt;0,COUNTIFS(Log!$D$6:$D$1505,D452,Log!$B$6:$B$1505,"&lt;"&amp;B452,Log!$X$6:$X$1505,"&gt;="&amp;X452)=0),"New best",""))</f>
        <v/>
      </c>
      <c r="T452" s="26" t="n"/>
      <c r="U452" s="1">
        <f>IF(D452="","",IFERROR(INDEX(Exercises!$C$6:$C$105,MATCH(D452,Exercises!$B$6:$B$105,0)),"Other"))</f>
        <v/>
      </c>
      <c r="V452">
        <f>IF(B452="","",IF(COUNTIF($B$6:B452,B452)=1,1,0))</f>
        <v/>
      </c>
      <c r="W452">
        <f>IF(B452="","",B452-WEEKDAY(B452,3))</f>
        <v/>
      </c>
      <c r="X452">
        <f>IF(D452="","",MAX(IF(N(F452)=0,0,IF(N(E452)&gt;0,E452*(1+F452/30),F452)),IF(N(H452)=0,0,IF(N(G452)&gt;0,G452*(1+H452/30),H452)),IF(N(J452)=0,0,IF(N(I452)&gt;0,I452*(1+J452/30),J452)),IF(N(L452)=0,0,IF(N(K452)&gt;0,K452*(1+L452/30),L452)),IF(N(N452)=0,0,IF(N(M452)&gt;0,M452*(1+N452/30),N452))))</f>
        <v/>
      </c>
      <c r="Y452">
        <f>IF(N(X452)=0,"",X452+ROW()/1000000000)</f>
        <v/>
      </c>
      <c r="Z452">
        <f>IF(Y452="","",IF(COUNTIFS(Log!$D$6:$D$1505,D452,Log!$Y$6:$Y$1505,"&gt;"&amp;Y452)=0,1,0))</f>
        <v/>
      </c>
      <c r="AA452">
        <f>IF(OR(B452="",D452=""),"",B452+ROW()/10000000)</f>
        <v/>
      </c>
      <c r="AB452">
        <f>IF(AA452="","",IF(COUNTIFS(Log!$D$6:$D$1505,D452,Log!$AA$6:$AA$1505,"&gt;"&amp;AA452)=0,1,0))</f>
        <v/>
      </c>
      <c r="AC452">
        <f>IF(S452="New best",AA452,"")</f>
        <v/>
      </c>
      <c r="AD452">
        <f>ROW()</f>
        <v/>
      </c>
    </row>
    <row r="453">
      <c r="A453" s="1" t="n"/>
      <c r="B453" s="21" t="n"/>
      <c r="C453" s="22" t="n"/>
      <c r="D453" s="23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15">
        <f>IF(D453="","",COUNT(F453,H453,J453,L453,N453))</f>
        <v/>
      </c>
      <c r="P453" s="25">
        <f>IF(D453="","",N(E453)*N(F453)+N(G453)*N(H453)+N(I453)*N(J453)+N(K453)*N(L453)+N(M453)*N(N453))</f>
        <v/>
      </c>
      <c r="Q453" s="18">
        <f>IF(N(X453)=0,"",IF(IF(N(F453)=0,0,IF(N(E453)&gt;0,E453*(1+F453/30),F453))=X453,IF(N(E453)&gt;0,E453&amp;" x "&amp;F453,F453&amp;" reps"),IF(IF(N(H453)=0,0,IF(N(G453)&gt;0,G453*(1+H453/30),H453))=X453,IF(N(G453)&gt;0,G453&amp;" x "&amp;H453,H453&amp;" reps"),IF(IF(N(J453)=0,0,IF(N(I453)&gt;0,I453*(1+J453/30),J453))=X453,IF(N(I453)&gt;0,I453&amp;" x "&amp;J453,J453&amp;" reps"),IF(IF(N(L453)=0,0,IF(N(K453)&gt;0,K453*(1+L453/30),L453))=X453,IF(N(K453)&gt;0,K453&amp;" x "&amp;L453,L453&amp;" reps"),IF(IF(N(N453)=0,0,IF(N(M453)&gt;0,M453*(1+N453/30),N453))=X453,IF(N(M453)&gt;0,M453&amp;" x "&amp;N453,N453&amp;" reps"),""))))))</f>
        <v/>
      </c>
      <c r="R453" s="20">
        <f>IF(N(X453)=0,"",ROUND(X453,1))</f>
        <v/>
      </c>
      <c r="S453" s="18">
        <f>IF(N(X453)=0,"",IF(AND(COUNTIFS(Log!$D$6:$D$1505,D453,Log!$B$6:$B$1505,"&lt;"&amp;B453)&gt;0,COUNTIFS(Log!$D$6:$D$1505,D453,Log!$B$6:$B$1505,"&lt;"&amp;B453,Log!$X$6:$X$1505,"&gt;="&amp;X453)=0),"New best",""))</f>
        <v/>
      </c>
      <c r="T453" s="26" t="n"/>
      <c r="U453" s="1">
        <f>IF(D453="","",IFERROR(INDEX(Exercises!$C$6:$C$105,MATCH(D453,Exercises!$B$6:$B$105,0)),"Other"))</f>
        <v/>
      </c>
      <c r="V453">
        <f>IF(B453="","",IF(COUNTIF($B$6:B453,B453)=1,1,0))</f>
        <v/>
      </c>
      <c r="W453">
        <f>IF(B453="","",B453-WEEKDAY(B453,3))</f>
        <v/>
      </c>
      <c r="X453">
        <f>IF(D453="","",MAX(IF(N(F453)=0,0,IF(N(E453)&gt;0,E453*(1+F453/30),F453)),IF(N(H453)=0,0,IF(N(G453)&gt;0,G453*(1+H453/30),H453)),IF(N(J453)=0,0,IF(N(I453)&gt;0,I453*(1+J453/30),J453)),IF(N(L453)=0,0,IF(N(K453)&gt;0,K453*(1+L453/30),L453)),IF(N(N453)=0,0,IF(N(M453)&gt;0,M453*(1+N453/30),N453))))</f>
        <v/>
      </c>
      <c r="Y453">
        <f>IF(N(X453)=0,"",X453+ROW()/1000000000)</f>
        <v/>
      </c>
      <c r="Z453">
        <f>IF(Y453="","",IF(COUNTIFS(Log!$D$6:$D$1505,D453,Log!$Y$6:$Y$1505,"&gt;"&amp;Y453)=0,1,0))</f>
        <v/>
      </c>
      <c r="AA453">
        <f>IF(OR(B453="",D453=""),"",B453+ROW()/10000000)</f>
        <v/>
      </c>
      <c r="AB453">
        <f>IF(AA453="","",IF(COUNTIFS(Log!$D$6:$D$1505,D453,Log!$AA$6:$AA$1505,"&gt;"&amp;AA453)=0,1,0))</f>
        <v/>
      </c>
      <c r="AC453">
        <f>IF(S453="New best",AA453,"")</f>
        <v/>
      </c>
      <c r="AD453">
        <f>ROW()</f>
        <v/>
      </c>
    </row>
    <row r="454">
      <c r="A454" s="1" t="n"/>
      <c r="B454" s="21" t="n"/>
      <c r="C454" s="22" t="n"/>
      <c r="D454" s="23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15">
        <f>IF(D454="","",COUNT(F454,H454,J454,L454,N454))</f>
        <v/>
      </c>
      <c r="P454" s="25">
        <f>IF(D454="","",N(E454)*N(F454)+N(G454)*N(H454)+N(I454)*N(J454)+N(K454)*N(L454)+N(M454)*N(N454))</f>
        <v/>
      </c>
      <c r="Q454" s="18">
        <f>IF(N(X454)=0,"",IF(IF(N(F454)=0,0,IF(N(E454)&gt;0,E454*(1+F454/30),F454))=X454,IF(N(E454)&gt;0,E454&amp;" x "&amp;F454,F454&amp;" reps"),IF(IF(N(H454)=0,0,IF(N(G454)&gt;0,G454*(1+H454/30),H454))=X454,IF(N(G454)&gt;0,G454&amp;" x "&amp;H454,H454&amp;" reps"),IF(IF(N(J454)=0,0,IF(N(I454)&gt;0,I454*(1+J454/30),J454))=X454,IF(N(I454)&gt;0,I454&amp;" x "&amp;J454,J454&amp;" reps"),IF(IF(N(L454)=0,0,IF(N(K454)&gt;0,K454*(1+L454/30),L454))=X454,IF(N(K454)&gt;0,K454&amp;" x "&amp;L454,L454&amp;" reps"),IF(IF(N(N454)=0,0,IF(N(M454)&gt;0,M454*(1+N454/30),N454))=X454,IF(N(M454)&gt;0,M454&amp;" x "&amp;N454,N454&amp;" reps"),""))))))</f>
        <v/>
      </c>
      <c r="R454" s="20">
        <f>IF(N(X454)=0,"",ROUND(X454,1))</f>
        <v/>
      </c>
      <c r="S454" s="18">
        <f>IF(N(X454)=0,"",IF(AND(COUNTIFS(Log!$D$6:$D$1505,D454,Log!$B$6:$B$1505,"&lt;"&amp;B454)&gt;0,COUNTIFS(Log!$D$6:$D$1505,D454,Log!$B$6:$B$1505,"&lt;"&amp;B454,Log!$X$6:$X$1505,"&gt;="&amp;X454)=0),"New best",""))</f>
        <v/>
      </c>
      <c r="T454" s="26" t="n"/>
      <c r="U454" s="1">
        <f>IF(D454="","",IFERROR(INDEX(Exercises!$C$6:$C$105,MATCH(D454,Exercises!$B$6:$B$105,0)),"Other"))</f>
        <v/>
      </c>
      <c r="V454">
        <f>IF(B454="","",IF(COUNTIF($B$6:B454,B454)=1,1,0))</f>
        <v/>
      </c>
      <c r="W454">
        <f>IF(B454="","",B454-WEEKDAY(B454,3))</f>
        <v/>
      </c>
      <c r="X454">
        <f>IF(D454="","",MAX(IF(N(F454)=0,0,IF(N(E454)&gt;0,E454*(1+F454/30),F454)),IF(N(H454)=0,0,IF(N(G454)&gt;0,G454*(1+H454/30),H454)),IF(N(J454)=0,0,IF(N(I454)&gt;0,I454*(1+J454/30),J454)),IF(N(L454)=0,0,IF(N(K454)&gt;0,K454*(1+L454/30),L454)),IF(N(N454)=0,0,IF(N(M454)&gt;0,M454*(1+N454/30),N454))))</f>
        <v/>
      </c>
      <c r="Y454">
        <f>IF(N(X454)=0,"",X454+ROW()/1000000000)</f>
        <v/>
      </c>
      <c r="Z454">
        <f>IF(Y454="","",IF(COUNTIFS(Log!$D$6:$D$1505,D454,Log!$Y$6:$Y$1505,"&gt;"&amp;Y454)=0,1,0))</f>
        <v/>
      </c>
      <c r="AA454">
        <f>IF(OR(B454="",D454=""),"",B454+ROW()/10000000)</f>
        <v/>
      </c>
      <c r="AB454">
        <f>IF(AA454="","",IF(COUNTIFS(Log!$D$6:$D$1505,D454,Log!$AA$6:$AA$1505,"&gt;"&amp;AA454)=0,1,0))</f>
        <v/>
      </c>
      <c r="AC454">
        <f>IF(S454="New best",AA454,"")</f>
        <v/>
      </c>
      <c r="AD454">
        <f>ROW()</f>
        <v/>
      </c>
    </row>
    <row r="455">
      <c r="A455" s="1" t="n"/>
      <c r="B455" s="21" t="n"/>
      <c r="C455" s="22" t="n"/>
      <c r="D455" s="23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15">
        <f>IF(D455="","",COUNT(F455,H455,J455,L455,N455))</f>
        <v/>
      </c>
      <c r="P455" s="25">
        <f>IF(D455="","",N(E455)*N(F455)+N(G455)*N(H455)+N(I455)*N(J455)+N(K455)*N(L455)+N(M455)*N(N455))</f>
        <v/>
      </c>
      <c r="Q455" s="18">
        <f>IF(N(X455)=0,"",IF(IF(N(F455)=0,0,IF(N(E455)&gt;0,E455*(1+F455/30),F455))=X455,IF(N(E455)&gt;0,E455&amp;" x "&amp;F455,F455&amp;" reps"),IF(IF(N(H455)=0,0,IF(N(G455)&gt;0,G455*(1+H455/30),H455))=X455,IF(N(G455)&gt;0,G455&amp;" x "&amp;H455,H455&amp;" reps"),IF(IF(N(J455)=0,0,IF(N(I455)&gt;0,I455*(1+J455/30),J455))=X455,IF(N(I455)&gt;0,I455&amp;" x "&amp;J455,J455&amp;" reps"),IF(IF(N(L455)=0,0,IF(N(K455)&gt;0,K455*(1+L455/30),L455))=X455,IF(N(K455)&gt;0,K455&amp;" x "&amp;L455,L455&amp;" reps"),IF(IF(N(N455)=0,0,IF(N(M455)&gt;0,M455*(1+N455/30),N455))=X455,IF(N(M455)&gt;0,M455&amp;" x "&amp;N455,N455&amp;" reps"),""))))))</f>
        <v/>
      </c>
      <c r="R455" s="20">
        <f>IF(N(X455)=0,"",ROUND(X455,1))</f>
        <v/>
      </c>
      <c r="S455" s="18">
        <f>IF(N(X455)=0,"",IF(AND(COUNTIFS(Log!$D$6:$D$1505,D455,Log!$B$6:$B$1505,"&lt;"&amp;B455)&gt;0,COUNTIFS(Log!$D$6:$D$1505,D455,Log!$B$6:$B$1505,"&lt;"&amp;B455,Log!$X$6:$X$1505,"&gt;="&amp;X455)=0),"New best",""))</f>
        <v/>
      </c>
      <c r="T455" s="26" t="n"/>
      <c r="U455" s="1">
        <f>IF(D455="","",IFERROR(INDEX(Exercises!$C$6:$C$105,MATCH(D455,Exercises!$B$6:$B$105,0)),"Other"))</f>
        <v/>
      </c>
      <c r="V455">
        <f>IF(B455="","",IF(COUNTIF($B$6:B455,B455)=1,1,0))</f>
        <v/>
      </c>
      <c r="W455">
        <f>IF(B455="","",B455-WEEKDAY(B455,3))</f>
        <v/>
      </c>
      <c r="X455">
        <f>IF(D455="","",MAX(IF(N(F455)=0,0,IF(N(E455)&gt;0,E455*(1+F455/30),F455)),IF(N(H455)=0,0,IF(N(G455)&gt;0,G455*(1+H455/30),H455)),IF(N(J455)=0,0,IF(N(I455)&gt;0,I455*(1+J455/30),J455)),IF(N(L455)=0,0,IF(N(K455)&gt;0,K455*(1+L455/30),L455)),IF(N(N455)=0,0,IF(N(M455)&gt;0,M455*(1+N455/30),N455))))</f>
        <v/>
      </c>
      <c r="Y455">
        <f>IF(N(X455)=0,"",X455+ROW()/1000000000)</f>
        <v/>
      </c>
      <c r="Z455">
        <f>IF(Y455="","",IF(COUNTIFS(Log!$D$6:$D$1505,D455,Log!$Y$6:$Y$1505,"&gt;"&amp;Y455)=0,1,0))</f>
        <v/>
      </c>
      <c r="AA455">
        <f>IF(OR(B455="",D455=""),"",B455+ROW()/10000000)</f>
        <v/>
      </c>
      <c r="AB455">
        <f>IF(AA455="","",IF(COUNTIFS(Log!$D$6:$D$1505,D455,Log!$AA$6:$AA$1505,"&gt;"&amp;AA455)=0,1,0))</f>
        <v/>
      </c>
      <c r="AC455">
        <f>IF(S455="New best",AA455,"")</f>
        <v/>
      </c>
      <c r="AD455">
        <f>ROW()</f>
        <v/>
      </c>
    </row>
    <row r="456">
      <c r="A456" s="1" t="n"/>
      <c r="B456" s="21" t="n"/>
      <c r="C456" s="22" t="n"/>
      <c r="D456" s="23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15">
        <f>IF(D456="","",COUNT(F456,H456,J456,L456,N456))</f>
        <v/>
      </c>
      <c r="P456" s="25">
        <f>IF(D456="","",N(E456)*N(F456)+N(G456)*N(H456)+N(I456)*N(J456)+N(K456)*N(L456)+N(M456)*N(N456))</f>
        <v/>
      </c>
      <c r="Q456" s="18">
        <f>IF(N(X456)=0,"",IF(IF(N(F456)=0,0,IF(N(E456)&gt;0,E456*(1+F456/30),F456))=X456,IF(N(E456)&gt;0,E456&amp;" x "&amp;F456,F456&amp;" reps"),IF(IF(N(H456)=0,0,IF(N(G456)&gt;0,G456*(1+H456/30),H456))=X456,IF(N(G456)&gt;0,G456&amp;" x "&amp;H456,H456&amp;" reps"),IF(IF(N(J456)=0,0,IF(N(I456)&gt;0,I456*(1+J456/30),J456))=X456,IF(N(I456)&gt;0,I456&amp;" x "&amp;J456,J456&amp;" reps"),IF(IF(N(L456)=0,0,IF(N(K456)&gt;0,K456*(1+L456/30),L456))=X456,IF(N(K456)&gt;0,K456&amp;" x "&amp;L456,L456&amp;" reps"),IF(IF(N(N456)=0,0,IF(N(M456)&gt;0,M456*(1+N456/30),N456))=X456,IF(N(M456)&gt;0,M456&amp;" x "&amp;N456,N456&amp;" reps"),""))))))</f>
        <v/>
      </c>
      <c r="R456" s="20">
        <f>IF(N(X456)=0,"",ROUND(X456,1))</f>
        <v/>
      </c>
      <c r="S456" s="18">
        <f>IF(N(X456)=0,"",IF(AND(COUNTIFS(Log!$D$6:$D$1505,D456,Log!$B$6:$B$1505,"&lt;"&amp;B456)&gt;0,COUNTIFS(Log!$D$6:$D$1505,D456,Log!$B$6:$B$1505,"&lt;"&amp;B456,Log!$X$6:$X$1505,"&gt;="&amp;X456)=0),"New best",""))</f>
        <v/>
      </c>
      <c r="T456" s="26" t="n"/>
      <c r="U456" s="1">
        <f>IF(D456="","",IFERROR(INDEX(Exercises!$C$6:$C$105,MATCH(D456,Exercises!$B$6:$B$105,0)),"Other"))</f>
        <v/>
      </c>
      <c r="V456">
        <f>IF(B456="","",IF(COUNTIF($B$6:B456,B456)=1,1,0))</f>
        <v/>
      </c>
      <c r="W456">
        <f>IF(B456="","",B456-WEEKDAY(B456,3))</f>
        <v/>
      </c>
      <c r="X456">
        <f>IF(D456="","",MAX(IF(N(F456)=0,0,IF(N(E456)&gt;0,E456*(1+F456/30),F456)),IF(N(H456)=0,0,IF(N(G456)&gt;0,G456*(1+H456/30),H456)),IF(N(J456)=0,0,IF(N(I456)&gt;0,I456*(1+J456/30),J456)),IF(N(L456)=0,0,IF(N(K456)&gt;0,K456*(1+L456/30),L456)),IF(N(N456)=0,0,IF(N(M456)&gt;0,M456*(1+N456/30),N456))))</f>
        <v/>
      </c>
      <c r="Y456">
        <f>IF(N(X456)=0,"",X456+ROW()/1000000000)</f>
        <v/>
      </c>
      <c r="Z456">
        <f>IF(Y456="","",IF(COUNTIFS(Log!$D$6:$D$1505,D456,Log!$Y$6:$Y$1505,"&gt;"&amp;Y456)=0,1,0))</f>
        <v/>
      </c>
      <c r="AA456">
        <f>IF(OR(B456="",D456=""),"",B456+ROW()/10000000)</f>
        <v/>
      </c>
      <c r="AB456">
        <f>IF(AA456="","",IF(COUNTIFS(Log!$D$6:$D$1505,D456,Log!$AA$6:$AA$1505,"&gt;"&amp;AA456)=0,1,0))</f>
        <v/>
      </c>
      <c r="AC456">
        <f>IF(S456="New best",AA456,"")</f>
        <v/>
      </c>
      <c r="AD456">
        <f>ROW()</f>
        <v/>
      </c>
    </row>
    <row r="457">
      <c r="A457" s="1" t="n"/>
      <c r="B457" s="21" t="n"/>
      <c r="C457" s="22" t="n"/>
      <c r="D457" s="23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15">
        <f>IF(D457="","",COUNT(F457,H457,J457,L457,N457))</f>
        <v/>
      </c>
      <c r="P457" s="25">
        <f>IF(D457="","",N(E457)*N(F457)+N(G457)*N(H457)+N(I457)*N(J457)+N(K457)*N(L457)+N(M457)*N(N457))</f>
        <v/>
      </c>
      <c r="Q457" s="18">
        <f>IF(N(X457)=0,"",IF(IF(N(F457)=0,0,IF(N(E457)&gt;0,E457*(1+F457/30),F457))=X457,IF(N(E457)&gt;0,E457&amp;" x "&amp;F457,F457&amp;" reps"),IF(IF(N(H457)=0,0,IF(N(G457)&gt;0,G457*(1+H457/30),H457))=X457,IF(N(G457)&gt;0,G457&amp;" x "&amp;H457,H457&amp;" reps"),IF(IF(N(J457)=0,0,IF(N(I457)&gt;0,I457*(1+J457/30),J457))=X457,IF(N(I457)&gt;0,I457&amp;" x "&amp;J457,J457&amp;" reps"),IF(IF(N(L457)=0,0,IF(N(K457)&gt;0,K457*(1+L457/30),L457))=X457,IF(N(K457)&gt;0,K457&amp;" x "&amp;L457,L457&amp;" reps"),IF(IF(N(N457)=0,0,IF(N(M457)&gt;0,M457*(1+N457/30),N457))=X457,IF(N(M457)&gt;0,M457&amp;" x "&amp;N457,N457&amp;" reps"),""))))))</f>
        <v/>
      </c>
      <c r="R457" s="20">
        <f>IF(N(X457)=0,"",ROUND(X457,1))</f>
        <v/>
      </c>
      <c r="S457" s="18">
        <f>IF(N(X457)=0,"",IF(AND(COUNTIFS(Log!$D$6:$D$1505,D457,Log!$B$6:$B$1505,"&lt;"&amp;B457)&gt;0,COUNTIFS(Log!$D$6:$D$1505,D457,Log!$B$6:$B$1505,"&lt;"&amp;B457,Log!$X$6:$X$1505,"&gt;="&amp;X457)=0),"New best",""))</f>
        <v/>
      </c>
      <c r="T457" s="26" t="n"/>
      <c r="U457" s="1">
        <f>IF(D457="","",IFERROR(INDEX(Exercises!$C$6:$C$105,MATCH(D457,Exercises!$B$6:$B$105,0)),"Other"))</f>
        <v/>
      </c>
      <c r="V457">
        <f>IF(B457="","",IF(COUNTIF($B$6:B457,B457)=1,1,0))</f>
        <v/>
      </c>
      <c r="W457">
        <f>IF(B457="","",B457-WEEKDAY(B457,3))</f>
        <v/>
      </c>
      <c r="X457">
        <f>IF(D457="","",MAX(IF(N(F457)=0,0,IF(N(E457)&gt;0,E457*(1+F457/30),F457)),IF(N(H457)=0,0,IF(N(G457)&gt;0,G457*(1+H457/30),H457)),IF(N(J457)=0,0,IF(N(I457)&gt;0,I457*(1+J457/30),J457)),IF(N(L457)=0,0,IF(N(K457)&gt;0,K457*(1+L457/30),L457)),IF(N(N457)=0,0,IF(N(M457)&gt;0,M457*(1+N457/30),N457))))</f>
        <v/>
      </c>
      <c r="Y457">
        <f>IF(N(X457)=0,"",X457+ROW()/1000000000)</f>
        <v/>
      </c>
      <c r="Z457">
        <f>IF(Y457="","",IF(COUNTIFS(Log!$D$6:$D$1505,D457,Log!$Y$6:$Y$1505,"&gt;"&amp;Y457)=0,1,0))</f>
        <v/>
      </c>
      <c r="AA457">
        <f>IF(OR(B457="",D457=""),"",B457+ROW()/10000000)</f>
        <v/>
      </c>
      <c r="AB457">
        <f>IF(AA457="","",IF(COUNTIFS(Log!$D$6:$D$1505,D457,Log!$AA$6:$AA$1505,"&gt;"&amp;AA457)=0,1,0))</f>
        <v/>
      </c>
      <c r="AC457">
        <f>IF(S457="New best",AA457,"")</f>
        <v/>
      </c>
      <c r="AD457">
        <f>ROW()</f>
        <v/>
      </c>
    </row>
    <row r="458">
      <c r="A458" s="1" t="n"/>
      <c r="B458" s="21" t="n"/>
      <c r="C458" s="22" t="n"/>
      <c r="D458" s="23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15">
        <f>IF(D458="","",COUNT(F458,H458,J458,L458,N458))</f>
        <v/>
      </c>
      <c r="P458" s="25">
        <f>IF(D458="","",N(E458)*N(F458)+N(G458)*N(H458)+N(I458)*N(J458)+N(K458)*N(L458)+N(M458)*N(N458))</f>
        <v/>
      </c>
      <c r="Q458" s="18">
        <f>IF(N(X458)=0,"",IF(IF(N(F458)=0,0,IF(N(E458)&gt;0,E458*(1+F458/30),F458))=X458,IF(N(E458)&gt;0,E458&amp;" x "&amp;F458,F458&amp;" reps"),IF(IF(N(H458)=0,0,IF(N(G458)&gt;0,G458*(1+H458/30),H458))=X458,IF(N(G458)&gt;0,G458&amp;" x "&amp;H458,H458&amp;" reps"),IF(IF(N(J458)=0,0,IF(N(I458)&gt;0,I458*(1+J458/30),J458))=X458,IF(N(I458)&gt;0,I458&amp;" x "&amp;J458,J458&amp;" reps"),IF(IF(N(L458)=0,0,IF(N(K458)&gt;0,K458*(1+L458/30),L458))=X458,IF(N(K458)&gt;0,K458&amp;" x "&amp;L458,L458&amp;" reps"),IF(IF(N(N458)=0,0,IF(N(M458)&gt;0,M458*(1+N458/30),N458))=X458,IF(N(M458)&gt;0,M458&amp;" x "&amp;N458,N458&amp;" reps"),""))))))</f>
        <v/>
      </c>
      <c r="R458" s="20">
        <f>IF(N(X458)=0,"",ROUND(X458,1))</f>
        <v/>
      </c>
      <c r="S458" s="18">
        <f>IF(N(X458)=0,"",IF(AND(COUNTIFS(Log!$D$6:$D$1505,D458,Log!$B$6:$B$1505,"&lt;"&amp;B458)&gt;0,COUNTIFS(Log!$D$6:$D$1505,D458,Log!$B$6:$B$1505,"&lt;"&amp;B458,Log!$X$6:$X$1505,"&gt;="&amp;X458)=0),"New best",""))</f>
        <v/>
      </c>
      <c r="T458" s="26" t="n"/>
      <c r="U458" s="1">
        <f>IF(D458="","",IFERROR(INDEX(Exercises!$C$6:$C$105,MATCH(D458,Exercises!$B$6:$B$105,0)),"Other"))</f>
        <v/>
      </c>
      <c r="V458">
        <f>IF(B458="","",IF(COUNTIF($B$6:B458,B458)=1,1,0))</f>
        <v/>
      </c>
      <c r="W458">
        <f>IF(B458="","",B458-WEEKDAY(B458,3))</f>
        <v/>
      </c>
      <c r="X458">
        <f>IF(D458="","",MAX(IF(N(F458)=0,0,IF(N(E458)&gt;0,E458*(1+F458/30),F458)),IF(N(H458)=0,0,IF(N(G458)&gt;0,G458*(1+H458/30),H458)),IF(N(J458)=0,0,IF(N(I458)&gt;0,I458*(1+J458/30),J458)),IF(N(L458)=0,0,IF(N(K458)&gt;0,K458*(1+L458/30),L458)),IF(N(N458)=0,0,IF(N(M458)&gt;0,M458*(1+N458/30),N458))))</f>
        <v/>
      </c>
      <c r="Y458">
        <f>IF(N(X458)=0,"",X458+ROW()/1000000000)</f>
        <v/>
      </c>
      <c r="Z458">
        <f>IF(Y458="","",IF(COUNTIFS(Log!$D$6:$D$1505,D458,Log!$Y$6:$Y$1505,"&gt;"&amp;Y458)=0,1,0))</f>
        <v/>
      </c>
      <c r="AA458">
        <f>IF(OR(B458="",D458=""),"",B458+ROW()/10000000)</f>
        <v/>
      </c>
      <c r="AB458">
        <f>IF(AA458="","",IF(COUNTIFS(Log!$D$6:$D$1505,D458,Log!$AA$6:$AA$1505,"&gt;"&amp;AA458)=0,1,0))</f>
        <v/>
      </c>
      <c r="AC458">
        <f>IF(S458="New best",AA458,"")</f>
        <v/>
      </c>
      <c r="AD458">
        <f>ROW()</f>
        <v/>
      </c>
    </row>
    <row r="459">
      <c r="A459" s="1" t="n"/>
      <c r="B459" s="21" t="n"/>
      <c r="C459" s="22" t="n"/>
      <c r="D459" s="23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15">
        <f>IF(D459="","",COUNT(F459,H459,J459,L459,N459))</f>
        <v/>
      </c>
      <c r="P459" s="25">
        <f>IF(D459="","",N(E459)*N(F459)+N(G459)*N(H459)+N(I459)*N(J459)+N(K459)*N(L459)+N(M459)*N(N459))</f>
        <v/>
      </c>
      <c r="Q459" s="18">
        <f>IF(N(X459)=0,"",IF(IF(N(F459)=0,0,IF(N(E459)&gt;0,E459*(1+F459/30),F459))=X459,IF(N(E459)&gt;0,E459&amp;" x "&amp;F459,F459&amp;" reps"),IF(IF(N(H459)=0,0,IF(N(G459)&gt;0,G459*(1+H459/30),H459))=X459,IF(N(G459)&gt;0,G459&amp;" x "&amp;H459,H459&amp;" reps"),IF(IF(N(J459)=0,0,IF(N(I459)&gt;0,I459*(1+J459/30),J459))=X459,IF(N(I459)&gt;0,I459&amp;" x "&amp;J459,J459&amp;" reps"),IF(IF(N(L459)=0,0,IF(N(K459)&gt;0,K459*(1+L459/30),L459))=X459,IF(N(K459)&gt;0,K459&amp;" x "&amp;L459,L459&amp;" reps"),IF(IF(N(N459)=0,0,IF(N(M459)&gt;0,M459*(1+N459/30),N459))=X459,IF(N(M459)&gt;0,M459&amp;" x "&amp;N459,N459&amp;" reps"),""))))))</f>
        <v/>
      </c>
      <c r="R459" s="20">
        <f>IF(N(X459)=0,"",ROUND(X459,1))</f>
        <v/>
      </c>
      <c r="S459" s="18">
        <f>IF(N(X459)=0,"",IF(AND(COUNTIFS(Log!$D$6:$D$1505,D459,Log!$B$6:$B$1505,"&lt;"&amp;B459)&gt;0,COUNTIFS(Log!$D$6:$D$1505,D459,Log!$B$6:$B$1505,"&lt;"&amp;B459,Log!$X$6:$X$1505,"&gt;="&amp;X459)=0),"New best",""))</f>
        <v/>
      </c>
      <c r="T459" s="26" t="n"/>
      <c r="U459" s="1">
        <f>IF(D459="","",IFERROR(INDEX(Exercises!$C$6:$C$105,MATCH(D459,Exercises!$B$6:$B$105,0)),"Other"))</f>
        <v/>
      </c>
      <c r="V459">
        <f>IF(B459="","",IF(COUNTIF($B$6:B459,B459)=1,1,0))</f>
        <v/>
      </c>
      <c r="W459">
        <f>IF(B459="","",B459-WEEKDAY(B459,3))</f>
        <v/>
      </c>
      <c r="X459">
        <f>IF(D459="","",MAX(IF(N(F459)=0,0,IF(N(E459)&gt;0,E459*(1+F459/30),F459)),IF(N(H459)=0,0,IF(N(G459)&gt;0,G459*(1+H459/30),H459)),IF(N(J459)=0,0,IF(N(I459)&gt;0,I459*(1+J459/30),J459)),IF(N(L459)=0,0,IF(N(K459)&gt;0,K459*(1+L459/30),L459)),IF(N(N459)=0,0,IF(N(M459)&gt;0,M459*(1+N459/30),N459))))</f>
        <v/>
      </c>
      <c r="Y459">
        <f>IF(N(X459)=0,"",X459+ROW()/1000000000)</f>
        <v/>
      </c>
      <c r="Z459">
        <f>IF(Y459="","",IF(COUNTIFS(Log!$D$6:$D$1505,D459,Log!$Y$6:$Y$1505,"&gt;"&amp;Y459)=0,1,0))</f>
        <v/>
      </c>
      <c r="AA459">
        <f>IF(OR(B459="",D459=""),"",B459+ROW()/10000000)</f>
        <v/>
      </c>
      <c r="AB459">
        <f>IF(AA459="","",IF(COUNTIFS(Log!$D$6:$D$1505,D459,Log!$AA$6:$AA$1505,"&gt;"&amp;AA459)=0,1,0))</f>
        <v/>
      </c>
      <c r="AC459">
        <f>IF(S459="New best",AA459,"")</f>
        <v/>
      </c>
      <c r="AD459">
        <f>ROW()</f>
        <v/>
      </c>
    </row>
    <row r="460">
      <c r="A460" s="1" t="n"/>
      <c r="B460" s="21" t="n"/>
      <c r="C460" s="22" t="n"/>
      <c r="D460" s="23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15">
        <f>IF(D460="","",COUNT(F460,H460,J460,L460,N460))</f>
        <v/>
      </c>
      <c r="P460" s="25">
        <f>IF(D460="","",N(E460)*N(F460)+N(G460)*N(H460)+N(I460)*N(J460)+N(K460)*N(L460)+N(M460)*N(N460))</f>
        <v/>
      </c>
      <c r="Q460" s="18">
        <f>IF(N(X460)=0,"",IF(IF(N(F460)=0,0,IF(N(E460)&gt;0,E460*(1+F460/30),F460))=X460,IF(N(E460)&gt;0,E460&amp;" x "&amp;F460,F460&amp;" reps"),IF(IF(N(H460)=0,0,IF(N(G460)&gt;0,G460*(1+H460/30),H460))=X460,IF(N(G460)&gt;0,G460&amp;" x "&amp;H460,H460&amp;" reps"),IF(IF(N(J460)=0,0,IF(N(I460)&gt;0,I460*(1+J460/30),J460))=X460,IF(N(I460)&gt;0,I460&amp;" x "&amp;J460,J460&amp;" reps"),IF(IF(N(L460)=0,0,IF(N(K460)&gt;0,K460*(1+L460/30),L460))=X460,IF(N(K460)&gt;0,K460&amp;" x "&amp;L460,L460&amp;" reps"),IF(IF(N(N460)=0,0,IF(N(M460)&gt;0,M460*(1+N460/30),N460))=X460,IF(N(M460)&gt;0,M460&amp;" x "&amp;N460,N460&amp;" reps"),""))))))</f>
        <v/>
      </c>
      <c r="R460" s="20">
        <f>IF(N(X460)=0,"",ROUND(X460,1))</f>
        <v/>
      </c>
      <c r="S460" s="18">
        <f>IF(N(X460)=0,"",IF(AND(COUNTIFS(Log!$D$6:$D$1505,D460,Log!$B$6:$B$1505,"&lt;"&amp;B460)&gt;0,COUNTIFS(Log!$D$6:$D$1505,D460,Log!$B$6:$B$1505,"&lt;"&amp;B460,Log!$X$6:$X$1505,"&gt;="&amp;X460)=0),"New best",""))</f>
        <v/>
      </c>
      <c r="T460" s="26" t="n"/>
      <c r="U460" s="1">
        <f>IF(D460="","",IFERROR(INDEX(Exercises!$C$6:$C$105,MATCH(D460,Exercises!$B$6:$B$105,0)),"Other"))</f>
        <v/>
      </c>
      <c r="V460">
        <f>IF(B460="","",IF(COUNTIF($B$6:B460,B460)=1,1,0))</f>
        <v/>
      </c>
      <c r="W460">
        <f>IF(B460="","",B460-WEEKDAY(B460,3))</f>
        <v/>
      </c>
      <c r="X460">
        <f>IF(D460="","",MAX(IF(N(F460)=0,0,IF(N(E460)&gt;0,E460*(1+F460/30),F460)),IF(N(H460)=0,0,IF(N(G460)&gt;0,G460*(1+H460/30),H460)),IF(N(J460)=0,0,IF(N(I460)&gt;0,I460*(1+J460/30),J460)),IF(N(L460)=0,0,IF(N(K460)&gt;0,K460*(1+L460/30),L460)),IF(N(N460)=0,0,IF(N(M460)&gt;0,M460*(1+N460/30),N460))))</f>
        <v/>
      </c>
      <c r="Y460">
        <f>IF(N(X460)=0,"",X460+ROW()/1000000000)</f>
        <v/>
      </c>
      <c r="Z460">
        <f>IF(Y460="","",IF(COUNTIFS(Log!$D$6:$D$1505,D460,Log!$Y$6:$Y$1505,"&gt;"&amp;Y460)=0,1,0))</f>
        <v/>
      </c>
      <c r="AA460">
        <f>IF(OR(B460="",D460=""),"",B460+ROW()/10000000)</f>
        <v/>
      </c>
      <c r="AB460">
        <f>IF(AA460="","",IF(COUNTIFS(Log!$D$6:$D$1505,D460,Log!$AA$6:$AA$1505,"&gt;"&amp;AA460)=0,1,0))</f>
        <v/>
      </c>
      <c r="AC460">
        <f>IF(S460="New best",AA460,"")</f>
        <v/>
      </c>
      <c r="AD460">
        <f>ROW()</f>
        <v/>
      </c>
    </row>
    <row r="461">
      <c r="A461" s="1" t="n"/>
      <c r="B461" s="21" t="n"/>
      <c r="C461" s="22" t="n"/>
      <c r="D461" s="23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15">
        <f>IF(D461="","",COUNT(F461,H461,J461,L461,N461))</f>
        <v/>
      </c>
      <c r="P461" s="25">
        <f>IF(D461="","",N(E461)*N(F461)+N(G461)*N(H461)+N(I461)*N(J461)+N(K461)*N(L461)+N(M461)*N(N461))</f>
        <v/>
      </c>
      <c r="Q461" s="18">
        <f>IF(N(X461)=0,"",IF(IF(N(F461)=0,0,IF(N(E461)&gt;0,E461*(1+F461/30),F461))=X461,IF(N(E461)&gt;0,E461&amp;" x "&amp;F461,F461&amp;" reps"),IF(IF(N(H461)=0,0,IF(N(G461)&gt;0,G461*(1+H461/30),H461))=X461,IF(N(G461)&gt;0,G461&amp;" x "&amp;H461,H461&amp;" reps"),IF(IF(N(J461)=0,0,IF(N(I461)&gt;0,I461*(1+J461/30),J461))=X461,IF(N(I461)&gt;0,I461&amp;" x "&amp;J461,J461&amp;" reps"),IF(IF(N(L461)=0,0,IF(N(K461)&gt;0,K461*(1+L461/30),L461))=X461,IF(N(K461)&gt;0,K461&amp;" x "&amp;L461,L461&amp;" reps"),IF(IF(N(N461)=0,0,IF(N(M461)&gt;0,M461*(1+N461/30),N461))=X461,IF(N(M461)&gt;0,M461&amp;" x "&amp;N461,N461&amp;" reps"),""))))))</f>
        <v/>
      </c>
      <c r="R461" s="20">
        <f>IF(N(X461)=0,"",ROUND(X461,1))</f>
        <v/>
      </c>
      <c r="S461" s="18">
        <f>IF(N(X461)=0,"",IF(AND(COUNTIFS(Log!$D$6:$D$1505,D461,Log!$B$6:$B$1505,"&lt;"&amp;B461)&gt;0,COUNTIFS(Log!$D$6:$D$1505,D461,Log!$B$6:$B$1505,"&lt;"&amp;B461,Log!$X$6:$X$1505,"&gt;="&amp;X461)=0),"New best",""))</f>
        <v/>
      </c>
      <c r="T461" s="26" t="n"/>
      <c r="U461" s="1">
        <f>IF(D461="","",IFERROR(INDEX(Exercises!$C$6:$C$105,MATCH(D461,Exercises!$B$6:$B$105,0)),"Other"))</f>
        <v/>
      </c>
      <c r="V461">
        <f>IF(B461="","",IF(COUNTIF($B$6:B461,B461)=1,1,0))</f>
        <v/>
      </c>
      <c r="W461">
        <f>IF(B461="","",B461-WEEKDAY(B461,3))</f>
        <v/>
      </c>
      <c r="X461">
        <f>IF(D461="","",MAX(IF(N(F461)=0,0,IF(N(E461)&gt;0,E461*(1+F461/30),F461)),IF(N(H461)=0,0,IF(N(G461)&gt;0,G461*(1+H461/30),H461)),IF(N(J461)=0,0,IF(N(I461)&gt;0,I461*(1+J461/30),J461)),IF(N(L461)=0,0,IF(N(K461)&gt;0,K461*(1+L461/30),L461)),IF(N(N461)=0,0,IF(N(M461)&gt;0,M461*(1+N461/30),N461))))</f>
        <v/>
      </c>
      <c r="Y461">
        <f>IF(N(X461)=0,"",X461+ROW()/1000000000)</f>
        <v/>
      </c>
      <c r="Z461">
        <f>IF(Y461="","",IF(COUNTIFS(Log!$D$6:$D$1505,D461,Log!$Y$6:$Y$1505,"&gt;"&amp;Y461)=0,1,0))</f>
        <v/>
      </c>
      <c r="AA461">
        <f>IF(OR(B461="",D461=""),"",B461+ROW()/10000000)</f>
        <v/>
      </c>
      <c r="AB461">
        <f>IF(AA461="","",IF(COUNTIFS(Log!$D$6:$D$1505,D461,Log!$AA$6:$AA$1505,"&gt;"&amp;AA461)=0,1,0))</f>
        <v/>
      </c>
      <c r="AC461">
        <f>IF(S461="New best",AA461,"")</f>
        <v/>
      </c>
      <c r="AD461">
        <f>ROW()</f>
        <v/>
      </c>
    </row>
    <row r="462">
      <c r="A462" s="1" t="n"/>
      <c r="B462" s="21" t="n"/>
      <c r="C462" s="22" t="n"/>
      <c r="D462" s="23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15">
        <f>IF(D462="","",COUNT(F462,H462,J462,L462,N462))</f>
        <v/>
      </c>
      <c r="P462" s="25">
        <f>IF(D462="","",N(E462)*N(F462)+N(G462)*N(H462)+N(I462)*N(J462)+N(K462)*N(L462)+N(M462)*N(N462))</f>
        <v/>
      </c>
      <c r="Q462" s="18">
        <f>IF(N(X462)=0,"",IF(IF(N(F462)=0,0,IF(N(E462)&gt;0,E462*(1+F462/30),F462))=X462,IF(N(E462)&gt;0,E462&amp;" x "&amp;F462,F462&amp;" reps"),IF(IF(N(H462)=0,0,IF(N(G462)&gt;0,G462*(1+H462/30),H462))=X462,IF(N(G462)&gt;0,G462&amp;" x "&amp;H462,H462&amp;" reps"),IF(IF(N(J462)=0,0,IF(N(I462)&gt;0,I462*(1+J462/30),J462))=X462,IF(N(I462)&gt;0,I462&amp;" x "&amp;J462,J462&amp;" reps"),IF(IF(N(L462)=0,0,IF(N(K462)&gt;0,K462*(1+L462/30),L462))=X462,IF(N(K462)&gt;0,K462&amp;" x "&amp;L462,L462&amp;" reps"),IF(IF(N(N462)=0,0,IF(N(M462)&gt;0,M462*(1+N462/30),N462))=X462,IF(N(M462)&gt;0,M462&amp;" x "&amp;N462,N462&amp;" reps"),""))))))</f>
        <v/>
      </c>
      <c r="R462" s="20">
        <f>IF(N(X462)=0,"",ROUND(X462,1))</f>
        <v/>
      </c>
      <c r="S462" s="18">
        <f>IF(N(X462)=0,"",IF(AND(COUNTIFS(Log!$D$6:$D$1505,D462,Log!$B$6:$B$1505,"&lt;"&amp;B462)&gt;0,COUNTIFS(Log!$D$6:$D$1505,D462,Log!$B$6:$B$1505,"&lt;"&amp;B462,Log!$X$6:$X$1505,"&gt;="&amp;X462)=0),"New best",""))</f>
        <v/>
      </c>
      <c r="T462" s="26" t="n"/>
      <c r="U462" s="1">
        <f>IF(D462="","",IFERROR(INDEX(Exercises!$C$6:$C$105,MATCH(D462,Exercises!$B$6:$B$105,0)),"Other"))</f>
        <v/>
      </c>
      <c r="V462">
        <f>IF(B462="","",IF(COUNTIF($B$6:B462,B462)=1,1,0))</f>
        <v/>
      </c>
      <c r="W462">
        <f>IF(B462="","",B462-WEEKDAY(B462,3))</f>
        <v/>
      </c>
      <c r="X462">
        <f>IF(D462="","",MAX(IF(N(F462)=0,0,IF(N(E462)&gt;0,E462*(1+F462/30),F462)),IF(N(H462)=0,0,IF(N(G462)&gt;0,G462*(1+H462/30),H462)),IF(N(J462)=0,0,IF(N(I462)&gt;0,I462*(1+J462/30),J462)),IF(N(L462)=0,0,IF(N(K462)&gt;0,K462*(1+L462/30),L462)),IF(N(N462)=0,0,IF(N(M462)&gt;0,M462*(1+N462/30),N462))))</f>
        <v/>
      </c>
      <c r="Y462">
        <f>IF(N(X462)=0,"",X462+ROW()/1000000000)</f>
        <v/>
      </c>
      <c r="Z462">
        <f>IF(Y462="","",IF(COUNTIFS(Log!$D$6:$D$1505,D462,Log!$Y$6:$Y$1505,"&gt;"&amp;Y462)=0,1,0))</f>
        <v/>
      </c>
      <c r="AA462">
        <f>IF(OR(B462="",D462=""),"",B462+ROW()/10000000)</f>
        <v/>
      </c>
      <c r="AB462">
        <f>IF(AA462="","",IF(COUNTIFS(Log!$D$6:$D$1505,D462,Log!$AA$6:$AA$1505,"&gt;"&amp;AA462)=0,1,0))</f>
        <v/>
      </c>
      <c r="AC462">
        <f>IF(S462="New best",AA462,"")</f>
        <v/>
      </c>
      <c r="AD462">
        <f>ROW()</f>
        <v/>
      </c>
    </row>
    <row r="463">
      <c r="A463" s="1" t="n"/>
      <c r="B463" s="21" t="n"/>
      <c r="C463" s="22" t="n"/>
      <c r="D463" s="23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15">
        <f>IF(D463="","",COUNT(F463,H463,J463,L463,N463))</f>
        <v/>
      </c>
      <c r="P463" s="25">
        <f>IF(D463="","",N(E463)*N(F463)+N(G463)*N(H463)+N(I463)*N(J463)+N(K463)*N(L463)+N(M463)*N(N463))</f>
        <v/>
      </c>
      <c r="Q463" s="18">
        <f>IF(N(X463)=0,"",IF(IF(N(F463)=0,0,IF(N(E463)&gt;0,E463*(1+F463/30),F463))=X463,IF(N(E463)&gt;0,E463&amp;" x "&amp;F463,F463&amp;" reps"),IF(IF(N(H463)=0,0,IF(N(G463)&gt;0,G463*(1+H463/30),H463))=X463,IF(N(G463)&gt;0,G463&amp;" x "&amp;H463,H463&amp;" reps"),IF(IF(N(J463)=0,0,IF(N(I463)&gt;0,I463*(1+J463/30),J463))=X463,IF(N(I463)&gt;0,I463&amp;" x "&amp;J463,J463&amp;" reps"),IF(IF(N(L463)=0,0,IF(N(K463)&gt;0,K463*(1+L463/30),L463))=X463,IF(N(K463)&gt;0,K463&amp;" x "&amp;L463,L463&amp;" reps"),IF(IF(N(N463)=0,0,IF(N(M463)&gt;0,M463*(1+N463/30),N463))=X463,IF(N(M463)&gt;0,M463&amp;" x "&amp;N463,N463&amp;" reps"),""))))))</f>
        <v/>
      </c>
      <c r="R463" s="20">
        <f>IF(N(X463)=0,"",ROUND(X463,1))</f>
        <v/>
      </c>
      <c r="S463" s="18">
        <f>IF(N(X463)=0,"",IF(AND(COUNTIFS(Log!$D$6:$D$1505,D463,Log!$B$6:$B$1505,"&lt;"&amp;B463)&gt;0,COUNTIFS(Log!$D$6:$D$1505,D463,Log!$B$6:$B$1505,"&lt;"&amp;B463,Log!$X$6:$X$1505,"&gt;="&amp;X463)=0),"New best",""))</f>
        <v/>
      </c>
      <c r="T463" s="26" t="n"/>
      <c r="U463" s="1">
        <f>IF(D463="","",IFERROR(INDEX(Exercises!$C$6:$C$105,MATCH(D463,Exercises!$B$6:$B$105,0)),"Other"))</f>
        <v/>
      </c>
      <c r="V463">
        <f>IF(B463="","",IF(COUNTIF($B$6:B463,B463)=1,1,0))</f>
        <v/>
      </c>
      <c r="W463">
        <f>IF(B463="","",B463-WEEKDAY(B463,3))</f>
        <v/>
      </c>
      <c r="X463">
        <f>IF(D463="","",MAX(IF(N(F463)=0,0,IF(N(E463)&gt;0,E463*(1+F463/30),F463)),IF(N(H463)=0,0,IF(N(G463)&gt;0,G463*(1+H463/30),H463)),IF(N(J463)=0,0,IF(N(I463)&gt;0,I463*(1+J463/30),J463)),IF(N(L463)=0,0,IF(N(K463)&gt;0,K463*(1+L463/30),L463)),IF(N(N463)=0,0,IF(N(M463)&gt;0,M463*(1+N463/30),N463))))</f>
        <v/>
      </c>
      <c r="Y463">
        <f>IF(N(X463)=0,"",X463+ROW()/1000000000)</f>
        <v/>
      </c>
      <c r="Z463">
        <f>IF(Y463="","",IF(COUNTIFS(Log!$D$6:$D$1505,D463,Log!$Y$6:$Y$1505,"&gt;"&amp;Y463)=0,1,0))</f>
        <v/>
      </c>
      <c r="AA463">
        <f>IF(OR(B463="",D463=""),"",B463+ROW()/10000000)</f>
        <v/>
      </c>
      <c r="AB463">
        <f>IF(AA463="","",IF(COUNTIFS(Log!$D$6:$D$1505,D463,Log!$AA$6:$AA$1505,"&gt;"&amp;AA463)=0,1,0))</f>
        <v/>
      </c>
      <c r="AC463">
        <f>IF(S463="New best",AA463,"")</f>
        <v/>
      </c>
      <c r="AD463">
        <f>ROW()</f>
        <v/>
      </c>
    </row>
    <row r="464">
      <c r="A464" s="1" t="n"/>
      <c r="B464" s="21" t="n"/>
      <c r="C464" s="22" t="n"/>
      <c r="D464" s="23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15">
        <f>IF(D464="","",COUNT(F464,H464,J464,L464,N464))</f>
        <v/>
      </c>
      <c r="P464" s="25">
        <f>IF(D464="","",N(E464)*N(F464)+N(G464)*N(H464)+N(I464)*N(J464)+N(K464)*N(L464)+N(M464)*N(N464))</f>
        <v/>
      </c>
      <c r="Q464" s="18">
        <f>IF(N(X464)=0,"",IF(IF(N(F464)=0,0,IF(N(E464)&gt;0,E464*(1+F464/30),F464))=X464,IF(N(E464)&gt;0,E464&amp;" x "&amp;F464,F464&amp;" reps"),IF(IF(N(H464)=0,0,IF(N(G464)&gt;0,G464*(1+H464/30),H464))=X464,IF(N(G464)&gt;0,G464&amp;" x "&amp;H464,H464&amp;" reps"),IF(IF(N(J464)=0,0,IF(N(I464)&gt;0,I464*(1+J464/30),J464))=X464,IF(N(I464)&gt;0,I464&amp;" x "&amp;J464,J464&amp;" reps"),IF(IF(N(L464)=0,0,IF(N(K464)&gt;0,K464*(1+L464/30),L464))=X464,IF(N(K464)&gt;0,K464&amp;" x "&amp;L464,L464&amp;" reps"),IF(IF(N(N464)=0,0,IF(N(M464)&gt;0,M464*(1+N464/30),N464))=X464,IF(N(M464)&gt;0,M464&amp;" x "&amp;N464,N464&amp;" reps"),""))))))</f>
        <v/>
      </c>
      <c r="R464" s="20">
        <f>IF(N(X464)=0,"",ROUND(X464,1))</f>
        <v/>
      </c>
      <c r="S464" s="18">
        <f>IF(N(X464)=0,"",IF(AND(COUNTIFS(Log!$D$6:$D$1505,D464,Log!$B$6:$B$1505,"&lt;"&amp;B464)&gt;0,COUNTIFS(Log!$D$6:$D$1505,D464,Log!$B$6:$B$1505,"&lt;"&amp;B464,Log!$X$6:$X$1505,"&gt;="&amp;X464)=0),"New best",""))</f>
        <v/>
      </c>
      <c r="T464" s="26" t="n"/>
      <c r="U464" s="1">
        <f>IF(D464="","",IFERROR(INDEX(Exercises!$C$6:$C$105,MATCH(D464,Exercises!$B$6:$B$105,0)),"Other"))</f>
        <v/>
      </c>
      <c r="V464">
        <f>IF(B464="","",IF(COUNTIF($B$6:B464,B464)=1,1,0))</f>
        <v/>
      </c>
      <c r="W464">
        <f>IF(B464="","",B464-WEEKDAY(B464,3))</f>
        <v/>
      </c>
      <c r="X464">
        <f>IF(D464="","",MAX(IF(N(F464)=0,0,IF(N(E464)&gt;0,E464*(1+F464/30),F464)),IF(N(H464)=0,0,IF(N(G464)&gt;0,G464*(1+H464/30),H464)),IF(N(J464)=0,0,IF(N(I464)&gt;0,I464*(1+J464/30),J464)),IF(N(L464)=0,0,IF(N(K464)&gt;0,K464*(1+L464/30),L464)),IF(N(N464)=0,0,IF(N(M464)&gt;0,M464*(1+N464/30),N464))))</f>
        <v/>
      </c>
      <c r="Y464">
        <f>IF(N(X464)=0,"",X464+ROW()/1000000000)</f>
        <v/>
      </c>
      <c r="Z464">
        <f>IF(Y464="","",IF(COUNTIFS(Log!$D$6:$D$1505,D464,Log!$Y$6:$Y$1505,"&gt;"&amp;Y464)=0,1,0))</f>
        <v/>
      </c>
      <c r="AA464">
        <f>IF(OR(B464="",D464=""),"",B464+ROW()/10000000)</f>
        <v/>
      </c>
      <c r="AB464">
        <f>IF(AA464="","",IF(COUNTIFS(Log!$D$6:$D$1505,D464,Log!$AA$6:$AA$1505,"&gt;"&amp;AA464)=0,1,0))</f>
        <v/>
      </c>
      <c r="AC464">
        <f>IF(S464="New best",AA464,"")</f>
        <v/>
      </c>
      <c r="AD464">
        <f>ROW()</f>
        <v/>
      </c>
    </row>
    <row r="465">
      <c r="A465" s="1" t="n"/>
      <c r="B465" s="21" t="n"/>
      <c r="C465" s="22" t="n"/>
      <c r="D465" s="23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15">
        <f>IF(D465="","",COUNT(F465,H465,J465,L465,N465))</f>
        <v/>
      </c>
      <c r="P465" s="25">
        <f>IF(D465="","",N(E465)*N(F465)+N(G465)*N(H465)+N(I465)*N(J465)+N(K465)*N(L465)+N(M465)*N(N465))</f>
        <v/>
      </c>
      <c r="Q465" s="18">
        <f>IF(N(X465)=0,"",IF(IF(N(F465)=0,0,IF(N(E465)&gt;0,E465*(1+F465/30),F465))=X465,IF(N(E465)&gt;0,E465&amp;" x "&amp;F465,F465&amp;" reps"),IF(IF(N(H465)=0,0,IF(N(G465)&gt;0,G465*(1+H465/30),H465))=X465,IF(N(G465)&gt;0,G465&amp;" x "&amp;H465,H465&amp;" reps"),IF(IF(N(J465)=0,0,IF(N(I465)&gt;0,I465*(1+J465/30),J465))=X465,IF(N(I465)&gt;0,I465&amp;" x "&amp;J465,J465&amp;" reps"),IF(IF(N(L465)=0,0,IF(N(K465)&gt;0,K465*(1+L465/30),L465))=X465,IF(N(K465)&gt;0,K465&amp;" x "&amp;L465,L465&amp;" reps"),IF(IF(N(N465)=0,0,IF(N(M465)&gt;0,M465*(1+N465/30),N465))=X465,IF(N(M465)&gt;0,M465&amp;" x "&amp;N465,N465&amp;" reps"),""))))))</f>
        <v/>
      </c>
      <c r="R465" s="20">
        <f>IF(N(X465)=0,"",ROUND(X465,1))</f>
        <v/>
      </c>
      <c r="S465" s="18">
        <f>IF(N(X465)=0,"",IF(AND(COUNTIFS(Log!$D$6:$D$1505,D465,Log!$B$6:$B$1505,"&lt;"&amp;B465)&gt;0,COUNTIFS(Log!$D$6:$D$1505,D465,Log!$B$6:$B$1505,"&lt;"&amp;B465,Log!$X$6:$X$1505,"&gt;="&amp;X465)=0),"New best",""))</f>
        <v/>
      </c>
      <c r="T465" s="26" t="n"/>
      <c r="U465" s="1">
        <f>IF(D465="","",IFERROR(INDEX(Exercises!$C$6:$C$105,MATCH(D465,Exercises!$B$6:$B$105,0)),"Other"))</f>
        <v/>
      </c>
      <c r="V465">
        <f>IF(B465="","",IF(COUNTIF($B$6:B465,B465)=1,1,0))</f>
        <v/>
      </c>
      <c r="W465">
        <f>IF(B465="","",B465-WEEKDAY(B465,3))</f>
        <v/>
      </c>
      <c r="X465">
        <f>IF(D465="","",MAX(IF(N(F465)=0,0,IF(N(E465)&gt;0,E465*(1+F465/30),F465)),IF(N(H465)=0,0,IF(N(G465)&gt;0,G465*(1+H465/30),H465)),IF(N(J465)=0,0,IF(N(I465)&gt;0,I465*(1+J465/30),J465)),IF(N(L465)=0,0,IF(N(K465)&gt;0,K465*(1+L465/30),L465)),IF(N(N465)=0,0,IF(N(M465)&gt;0,M465*(1+N465/30),N465))))</f>
        <v/>
      </c>
      <c r="Y465">
        <f>IF(N(X465)=0,"",X465+ROW()/1000000000)</f>
        <v/>
      </c>
      <c r="Z465">
        <f>IF(Y465="","",IF(COUNTIFS(Log!$D$6:$D$1505,D465,Log!$Y$6:$Y$1505,"&gt;"&amp;Y465)=0,1,0))</f>
        <v/>
      </c>
      <c r="AA465">
        <f>IF(OR(B465="",D465=""),"",B465+ROW()/10000000)</f>
        <v/>
      </c>
      <c r="AB465">
        <f>IF(AA465="","",IF(COUNTIFS(Log!$D$6:$D$1505,D465,Log!$AA$6:$AA$1505,"&gt;"&amp;AA465)=0,1,0))</f>
        <v/>
      </c>
      <c r="AC465">
        <f>IF(S465="New best",AA465,"")</f>
        <v/>
      </c>
      <c r="AD465">
        <f>ROW()</f>
        <v/>
      </c>
    </row>
    <row r="466">
      <c r="A466" s="1" t="n"/>
      <c r="B466" s="21" t="n"/>
      <c r="C466" s="22" t="n"/>
      <c r="D466" s="23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15">
        <f>IF(D466="","",COUNT(F466,H466,J466,L466,N466))</f>
        <v/>
      </c>
      <c r="P466" s="25">
        <f>IF(D466="","",N(E466)*N(F466)+N(G466)*N(H466)+N(I466)*N(J466)+N(K466)*N(L466)+N(M466)*N(N466))</f>
        <v/>
      </c>
      <c r="Q466" s="18">
        <f>IF(N(X466)=0,"",IF(IF(N(F466)=0,0,IF(N(E466)&gt;0,E466*(1+F466/30),F466))=X466,IF(N(E466)&gt;0,E466&amp;" x "&amp;F466,F466&amp;" reps"),IF(IF(N(H466)=0,0,IF(N(G466)&gt;0,G466*(1+H466/30),H466))=X466,IF(N(G466)&gt;0,G466&amp;" x "&amp;H466,H466&amp;" reps"),IF(IF(N(J466)=0,0,IF(N(I466)&gt;0,I466*(1+J466/30),J466))=X466,IF(N(I466)&gt;0,I466&amp;" x "&amp;J466,J466&amp;" reps"),IF(IF(N(L466)=0,0,IF(N(K466)&gt;0,K466*(1+L466/30),L466))=X466,IF(N(K466)&gt;0,K466&amp;" x "&amp;L466,L466&amp;" reps"),IF(IF(N(N466)=0,0,IF(N(M466)&gt;0,M466*(1+N466/30),N466))=X466,IF(N(M466)&gt;0,M466&amp;" x "&amp;N466,N466&amp;" reps"),""))))))</f>
        <v/>
      </c>
      <c r="R466" s="20">
        <f>IF(N(X466)=0,"",ROUND(X466,1))</f>
        <v/>
      </c>
      <c r="S466" s="18">
        <f>IF(N(X466)=0,"",IF(AND(COUNTIFS(Log!$D$6:$D$1505,D466,Log!$B$6:$B$1505,"&lt;"&amp;B466)&gt;0,COUNTIFS(Log!$D$6:$D$1505,D466,Log!$B$6:$B$1505,"&lt;"&amp;B466,Log!$X$6:$X$1505,"&gt;="&amp;X466)=0),"New best",""))</f>
        <v/>
      </c>
      <c r="T466" s="26" t="n"/>
      <c r="U466" s="1">
        <f>IF(D466="","",IFERROR(INDEX(Exercises!$C$6:$C$105,MATCH(D466,Exercises!$B$6:$B$105,0)),"Other"))</f>
        <v/>
      </c>
      <c r="V466">
        <f>IF(B466="","",IF(COUNTIF($B$6:B466,B466)=1,1,0))</f>
        <v/>
      </c>
      <c r="W466">
        <f>IF(B466="","",B466-WEEKDAY(B466,3))</f>
        <v/>
      </c>
      <c r="X466">
        <f>IF(D466="","",MAX(IF(N(F466)=0,0,IF(N(E466)&gt;0,E466*(1+F466/30),F466)),IF(N(H466)=0,0,IF(N(G466)&gt;0,G466*(1+H466/30),H466)),IF(N(J466)=0,0,IF(N(I466)&gt;0,I466*(1+J466/30),J466)),IF(N(L466)=0,0,IF(N(K466)&gt;0,K466*(1+L466/30),L466)),IF(N(N466)=0,0,IF(N(M466)&gt;0,M466*(1+N466/30),N466))))</f>
        <v/>
      </c>
      <c r="Y466">
        <f>IF(N(X466)=0,"",X466+ROW()/1000000000)</f>
        <v/>
      </c>
      <c r="Z466">
        <f>IF(Y466="","",IF(COUNTIFS(Log!$D$6:$D$1505,D466,Log!$Y$6:$Y$1505,"&gt;"&amp;Y466)=0,1,0))</f>
        <v/>
      </c>
      <c r="AA466">
        <f>IF(OR(B466="",D466=""),"",B466+ROW()/10000000)</f>
        <v/>
      </c>
      <c r="AB466">
        <f>IF(AA466="","",IF(COUNTIFS(Log!$D$6:$D$1505,D466,Log!$AA$6:$AA$1505,"&gt;"&amp;AA466)=0,1,0))</f>
        <v/>
      </c>
      <c r="AC466">
        <f>IF(S466="New best",AA466,"")</f>
        <v/>
      </c>
      <c r="AD466">
        <f>ROW()</f>
        <v/>
      </c>
    </row>
    <row r="467">
      <c r="A467" s="1" t="n"/>
      <c r="B467" s="21" t="n"/>
      <c r="C467" s="22" t="n"/>
      <c r="D467" s="23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15">
        <f>IF(D467="","",COUNT(F467,H467,J467,L467,N467))</f>
        <v/>
      </c>
      <c r="P467" s="25">
        <f>IF(D467="","",N(E467)*N(F467)+N(G467)*N(H467)+N(I467)*N(J467)+N(K467)*N(L467)+N(M467)*N(N467))</f>
        <v/>
      </c>
      <c r="Q467" s="18">
        <f>IF(N(X467)=0,"",IF(IF(N(F467)=0,0,IF(N(E467)&gt;0,E467*(1+F467/30),F467))=X467,IF(N(E467)&gt;0,E467&amp;" x "&amp;F467,F467&amp;" reps"),IF(IF(N(H467)=0,0,IF(N(G467)&gt;0,G467*(1+H467/30),H467))=X467,IF(N(G467)&gt;0,G467&amp;" x "&amp;H467,H467&amp;" reps"),IF(IF(N(J467)=0,0,IF(N(I467)&gt;0,I467*(1+J467/30),J467))=X467,IF(N(I467)&gt;0,I467&amp;" x "&amp;J467,J467&amp;" reps"),IF(IF(N(L467)=0,0,IF(N(K467)&gt;0,K467*(1+L467/30),L467))=X467,IF(N(K467)&gt;0,K467&amp;" x "&amp;L467,L467&amp;" reps"),IF(IF(N(N467)=0,0,IF(N(M467)&gt;0,M467*(1+N467/30),N467))=X467,IF(N(M467)&gt;0,M467&amp;" x "&amp;N467,N467&amp;" reps"),""))))))</f>
        <v/>
      </c>
      <c r="R467" s="20">
        <f>IF(N(X467)=0,"",ROUND(X467,1))</f>
        <v/>
      </c>
      <c r="S467" s="18">
        <f>IF(N(X467)=0,"",IF(AND(COUNTIFS(Log!$D$6:$D$1505,D467,Log!$B$6:$B$1505,"&lt;"&amp;B467)&gt;0,COUNTIFS(Log!$D$6:$D$1505,D467,Log!$B$6:$B$1505,"&lt;"&amp;B467,Log!$X$6:$X$1505,"&gt;="&amp;X467)=0),"New best",""))</f>
        <v/>
      </c>
      <c r="T467" s="26" t="n"/>
      <c r="U467" s="1">
        <f>IF(D467="","",IFERROR(INDEX(Exercises!$C$6:$C$105,MATCH(D467,Exercises!$B$6:$B$105,0)),"Other"))</f>
        <v/>
      </c>
      <c r="V467">
        <f>IF(B467="","",IF(COUNTIF($B$6:B467,B467)=1,1,0))</f>
        <v/>
      </c>
      <c r="W467">
        <f>IF(B467="","",B467-WEEKDAY(B467,3))</f>
        <v/>
      </c>
      <c r="X467">
        <f>IF(D467="","",MAX(IF(N(F467)=0,0,IF(N(E467)&gt;0,E467*(1+F467/30),F467)),IF(N(H467)=0,0,IF(N(G467)&gt;0,G467*(1+H467/30),H467)),IF(N(J467)=0,0,IF(N(I467)&gt;0,I467*(1+J467/30),J467)),IF(N(L467)=0,0,IF(N(K467)&gt;0,K467*(1+L467/30),L467)),IF(N(N467)=0,0,IF(N(M467)&gt;0,M467*(1+N467/30),N467))))</f>
        <v/>
      </c>
      <c r="Y467">
        <f>IF(N(X467)=0,"",X467+ROW()/1000000000)</f>
        <v/>
      </c>
      <c r="Z467">
        <f>IF(Y467="","",IF(COUNTIFS(Log!$D$6:$D$1505,D467,Log!$Y$6:$Y$1505,"&gt;"&amp;Y467)=0,1,0))</f>
        <v/>
      </c>
      <c r="AA467">
        <f>IF(OR(B467="",D467=""),"",B467+ROW()/10000000)</f>
        <v/>
      </c>
      <c r="AB467">
        <f>IF(AA467="","",IF(COUNTIFS(Log!$D$6:$D$1505,D467,Log!$AA$6:$AA$1505,"&gt;"&amp;AA467)=0,1,0))</f>
        <v/>
      </c>
      <c r="AC467">
        <f>IF(S467="New best",AA467,"")</f>
        <v/>
      </c>
      <c r="AD467">
        <f>ROW()</f>
        <v/>
      </c>
    </row>
    <row r="468">
      <c r="A468" s="1" t="n"/>
      <c r="B468" s="21" t="n"/>
      <c r="C468" s="22" t="n"/>
      <c r="D468" s="23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15">
        <f>IF(D468="","",COUNT(F468,H468,J468,L468,N468))</f>
        <v/>
      </c>
      <c r="P468" s="25">
        <f>IF(D468="","",N(E468)*N(F468)+N(G468)*N(H468)+N(I468)*N(J468)+N(K468)*N(L468)+N(M468)*N(N468))</f>
        <v/>
      </c>
      <c r="Q468" s="18">
        <f>IF(N(X468)=0,"",IF(IF(N(F468)=0,0,IF(N(E468)&gt;0,E468*(1+F468/30),F468))=X468,IF(N(E468)&gt;0,E468&amp;" x "&amp;F468,F468&amp;" reps"),IF(IF(N(H468)=0,0,IF(N(G468)&gt;0,G468*(1+H468/30),H468))=X468,IF(N(G468)&gt;0,G468&amp;" x "&amp;H468,H468&amp;" reps"),IF(IF(N(J468)=0,0,IF(N(I468)&gt;0,I468*(1+J468/30),J468))=X468,IF(N(I468)&gt;0,I468&amp;" x "&amp;J468,J468&amp;" reps"),IF(IF(N(L468)=0,0,IF(N(K468)&gt;0,K468*(1+L468/30),L468))=X468,IF(N(K468)&gt;0,K468&amp;" x "&amp;L468,L468&amp;" reps"),IF(IF(N(N468)=0,0,IF(N(M468)&gt;0,M468*(1+N468/30),N468))=X468,IF(N(M468)&gt;0,M468&amp;" x "&amp;N468,N468&amp;" reps"),""))))))</f>
        <v/>
      </c>
      <c r="R468" s="20">
        <f>IF(N(X468)=0,"",ROUND(X468,1))</f>
        <v/>
      </c>
      <c r="S468" s="18">
        <f>IF(N(X468)=0,"",IF(AND(COUNTIFS(Log!$D$6:$D$1505,D468,Log!$B$6:$B$1505,"&lt;"&amp;B468)&gt;0,COUNTIFS(Log!$D$6:$D$1505,D468,Log!$B$6:$B$1505,"&lt;"&amp;B468,Log!$X$6:$X$1505,"&gt;="&amp;X468)=0),"New best",""))</f>
        <v/>
      </c>
      <c r="T468" s="26" t="n"/>
      <c r="U468" s="1">
        <f>IF(D468="","",IFERROR(INDEX(Exercises!$C$6:$C$105,MATCH(D468,Exercises!$B$6:$B$105,0)),"Other"))</f>
        <v/>
      </c>
      <c r="V468">
        <f>IF(B468="","",IF(COUNTIF($B$6:B468,B468)=1,1,0))</f>
        <v/>
      </c>
      <c r="W468">
        <f>IF(B468="","",B468-WEEKDAY(B468,3))</f>
        <v/>
      </c>
      <c r="X468">
        <f>IF(D468="","",MAX(IF(N(F468)=0,0,IF(N(E468)&gt;0,E468*(1+F468/30),F468)),IF(N(H468)=0,0,IF(N(G468)&gt;0,G468*(1+H468/30),H468)),IF(N(J468)=0,0,IF(N(I468)&gt;0,I468*(1+J468/30),J468)),IF(N(L468)=0,0,IF(N(K468)&gt;0,K468*(1+L468/30),L468)),IF(N(N468)=0,0,IF(N(M468)&gt;0,M468*(1+N468/30),N468))))</f>
        <v/>
      </c>
      <c r="Y468">
        <f>IF(N(X468)=0,"",X468+ROW()/1000000000)</f>
        <v/>
      </c>
      <c r="Z468">
        <f>IF(Y468="","",IF(COUNTIFS(Log!$D$6:$D$1505,D468,Log!$Y$6:$Y$1505,"&gt;"&amp;Y468)=0,1,0))</f>
        <v/>
      </c>
      <c r="AA468">
        <f>IF(OR(B468="",D468=""),"",B468+ROW()/10000000)</f>
        <v/>
      </c>
      <c r="AB468">
        <f>IF(AA468="","",IF(COUNTIFS(Log!$D$6:$D$1505,D468,Log!$AA$6:$AA$1505,"&gt;"&amp;AA468)=0,1,0))</f>
        <v/>
      </c>
      <c r="AC468">
        <f>IF(S468="New best",AA468,"")</f>
        <v/>
      </c>
      <c r="AD468">
        <f>ROW()</f>
        <v/>
      </c>
    </row>
    <row r="469">
      <c r="A469" s="1" t="n"/>
      <c r="B469" s="21" t="n"/>
      <c r="C469" s="22" t="n"/>
      <c r="D469" s="23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15">
        <f>IF(D469="","",COUNT(F469,H469,J469,L469,N469))</f>
        <v/>
      </c>
      <c r="P469" s="25">
        <f>IF(D469="","",N(E469)*N(F469)+N(G469)*N(H469)+N(I469)*N(J469)+N(K469)*N(L469)+N(M469)*N(N469))</f>
        <v/>
      </c>
      <c r="Q469" s="18">
        <f>IF(N(X469)=0,"",IF(IF(N(F469)=0,0,IF(N(E469)&gt;0,E469*(1+F469/30),F469))=X469,IF(N(E469)&gt;0,E469&amp;" x "&amp;F469,F469&amp;" reps"),IF(IF(N(H469)=0,0,IF(N(G469)&gt;0,G469*(1+H469/30),H469))=X469,IF(N(G469)&gt;0,G469&amp;" x "&amp;H469,H469&amp;" reps"),IF(IF(N(J469)=0,0,IF(N(I469)&gt;0,I469*(1+J469/30),J469))=X469,IF(N(I469)&gt;0,I469&amp;" x "&amp;J469,J469&amp;" reps"),IF(IF(N(L469)=0,0,IF(N(K469)&gt;0,K469*(1+L469/30),L469))=X469,IF(N(K469)&gt;0,K469&amp;" x "&amp;L469,L469&amp;" reps"),IF(IF(N(N469)=0,0,IF(N(M469)&gt;0,M469*(1+N469/30),N469))=X469,IF(N(M469)&gt;0,M469&amp;" x "&amp;N469,N469&amp;" reps"),""))))))</f>
        <v/>
      </c>
      <c r="R469" s="20">
        <f>IF(N(X469)=0,"",ROUND(X469,1))</f>
        <v/>
      </c>
      <c r="S469" s="18">
        <f>IF(N(X469)=0,"",IF(AND(COUNTIFS(Log!$D$6:$D$1505,D469,Log!$B$6:$B$1505,"&lt;"&amp;B469)&gt;0,COUNTIFS(Log!$D$6:$D$1505,D469,Log!$B$6:$B$1505,"&lt;"&amp;B469,Log!$X$6:$X$1505,"&gt;="&amp;X469)=0),"New best",""))</f>
        <v/>
      </c>
      <c r="T469" s="26" t="n"/>
      <c r="U469" s="1">
        <f>IF(D469="","",IFERROR(INDEX(Exercises!$C$6:$C$105,MATCH(D469,Exercises!$B$6:$B$105,0)),"Other"))</f>
        <v/>
      </c>
      <c r="V469">
        <f>IF(B469="","",IF(COUNTIF($B$6:B469,B469)=1,1,0))</f>
        <v/>
      </c>
      <c r="W469">
        <f>IF(B469="","",B469-WEEKDAY(B469,3))</f>
        <v/>
      </c>
      <c r="X469">
        <f>IF(D469="","",MAX(IF(N(F469)=0,0,IF(N(E469)&gt;0,E469*(1+F469/30),F469)),IF(N(H469)=0,0,IF(N(G469)&gt;0,G469*(1+H469/30),H469)),IF(N(J469)=0,0,IF(N(I469)&gt;0,I469*(1+J469/30),J469)),IF(N(L469)=0,0,IF(N(K469)&gt;0,K469*(1+L469/30),L469)),IF(N(N469)=0,0,IF(N(M469)&gt;0,M469*(1+N469/30),N469))))</f>
        <v/>
      </c>
      <c r="Y469">
        <f>IF(N(X469)=0,"",X469+ROW()/1000000000)</f>
        <v/>
      </c>
      <c r="Z469">
        <f>IF(Y469="","",IF(COUNTIFS(Log!$D$6:$D$1505,D469,Log!$Y$6:$Y$1505,"&gt;"&amp;Y469)=0,1,0))</f>
        <v/>
      </c>
      <c r="AA469">
        <f>IF(OR(B469="",D469=""),"",B469+ROW()/10000000)</f>
        <v/>
      </c>
      <c r="AB469">
        <f>IF(AA469="","",IF(COUNTIFS(Log!$D$6:$D$1505,D469,Log!$AA$6:$AA$1505,"&gt;"&amp;AA469)=0,1,0))</f>
        <v/>
      </c>
      <c r="AC469">
        <f>IF(S469="New best",AA469,"")</f>
        <v/>
      </c>
      <c r="AD469">
        <f>ROW()</f>
        <v/>
      </c>
    </row>
    <row r="470">
      <c r="A470" s="1" t="n"/>
      <c r="B470" s="21" t="n"/>
      <c r="C470" s="22" t="n"/>
      <c r="D470" s="23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15">
        <f>IF(D470="","",COUNT(F470,H470,J470,L470,N470))</f>
        <v/>
      </c>
      <c r="P470" s="25">
        <f>IF(D470="","",N(E470)*N(F470)+N(G470)*N(H470)+N(I470)*N(J470)+N(K470)*N(L470)+N(M470)*N(N470))</f>
        <v/>
      </c>
      <c r="Q470" s="18">
        <f>IF(N(X470)=0,"",IF(IF(N(F470)=0,0,IF(N(E470)&gt;0,E470*(1+F470/30),F470))=X470,IF(N(E470)&gt;0,E470&amp;" x "&amp;F470,F470&amp;" reps"),IF(IF(N(H470)=0,0,IF(N(G470)&gt;0,G470*(1+H470/30),H470))=X470,IF(N(G470)&gt;0,G470&amp;" x "&amp;H470,H470&amp;" reps"),IF(IF(N(J470)=0,0,IF(N(I470)&gt;0,I470*(1+J470/30),J470))=X470,IF(N(I470)&gt;0,I470&amp;" x "&amp;J470,J470&amp;" reps"),IF(IF(N(L470)=0,0,IF(N(K470)&gt;0,K470*(1+L470/30),L470))=X470,IF(N(K470)&gt;0,K470&amp;" x "&amp;L470,L470&amp;" reps"),IF(IF(N(N470)=0,0,IF(N(M470)&gt;0,M470*(1+N470/30),N470))=X470,IF(N(M470)&gt;0,M470&amp;" x "&amp;N470,N470&amp;" reps"),""))))))</f>
        <v/>
      </c>
      <c r="R470" s="20">
        <f>IF(N(X470)=0,"",ROUND(X470,1))</f>
        <v/>
      </c>
      <c r="S470" s="18">
        <f>IF(N(X470)=0,"",IF(AND(COUNTIFS(Log!$D$6:$D$1505,D470,Log!$B$6:$B$1505,"&lt;"&amp;B470)&gt;0,COUNTIFS(Log!$D$6:$D$1505,D470,Log!$B$6:$B$1505,"&lt;"&amp;B470,Log!$X$6:$X$1505,"&gt;="&amp;X470)=0),"New best",""))</f>
        <v/>
      </c>
      <c r="T470" s="26" t="n"/>
      <c r="U470" s="1">
        <f>IF(D470="","",IFERROR(INDEX(Exercises!$C$6:$C$105,MATCH(D470,Exercises!$B$6:$B$105,0)),"Other"))</f>
        <v/>
      </c>
      <c r="V470">
        <f>IF(B470="","",IF(COUNTIF($B$6:B470,B470)=1,1,0))</f>
        <v/>
      </c>
      <c r="W470">
        <f>IF(B470="","",B470-WEEKDAY(B470,3))</f>
        <v/>
      </c>
      <c r="X470">
        <f>IF(D470="","",MAX(IF(N(F470)=0,0,IF(N(E470)&gt;0,E470*(1+F470/30),F470)),IF(N(H470)=0,0,IF(N(G470)&gt;0,G470*(1+H470/30),H470)),IF(N(J470)=0,0,IF(N(I470)&gt;0,I470*(1+J470/30),J470)),IF(N(L470)=0,0,IF(N(K470)&gt;0,K470*(1+L470/30),L470)),IF(N(N470)=0,0,IF(N(M470)&gt;0,M470*(1+N470/30),N470))))</f>
        <v/>
      </c>
      <c r="Y470">
        <f>IF(N(X470)=0,"",X470+ROW()/1000000000)</f>
        <v/>
      </c>
      <c r="Z470">
        <f>IF(Y470="","",IF(COUNTIFS(Log!$D$6:$D$1505,D470,Log!$Y$6:$Y$1505,"&gt;"&amp;Y470)=0,1,0))</f>
        <v/>
      </c>
      <c r="AA470">
        <f>IF(OR(B470="",D470=""),"",B470+ROW()/10000000)</f>
        <v/>
      </c>
      <c r="AB470">
        <f>IF(AA470="","",IF(COUNTIFS(Log!$D$6:$D$1505,D470,Log!$AA$6:$AA$1505,"&gt;"&amp;AA470)=0,1,0))</f>
        <v/>
      </c>
      <c r="AC470">
        <f>IF(S470="New best",AA470,"")</f>
        <v/>
      </c>
      <c r="AD470">
        <f>ROW()</f>
        <v/>
      </c>
    </row>
    <row r="471">
      <c r="A471" s="1" t="n"/>
      <c r="B471" s="21" t="n"/>
      <c r="C471" s="22" t="n"/>
      <c r="D471" s="23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15">
        <f>IF(D471="","",COUNT(F471,H471,J471,L471,N471))</f>
        <v/>
      </c>
      <c r="P471" s="25">
        <f>IF(D471="","",N(E471)*N(F471)+N(G471)*N(H471)+N(I471)*N(J471)+N(K471)*N(L471)+N(M471)*N(N471))</f>
        <v/>
      </c>
      <c r="Q471" s="18">
        <f>IF(N(X471)=0,"",IF(IF(N(F471)=0,0,IF(N(E471)&gt;0,E471*(1+F471/30),F471))=X471,IF(N(E471)&gt;0,E471&amp;" x "&amp;F471,F471&amp;" reps"),IF(IF(N(H471)=0,0,IF(N(G471)&gt;0,G471*(1+H471/30),H471))=X471,IF(N(G471)&gt;0,G471&amp;" x "&amp;H471,H471&amp;" reps"),IF(IF(N(J471)=0,0,IF(N(I471)&gt;0,I471*(1+J471/30),J471))=X471,IF(N(I471)&gt;0,I471&amp;" x "&amp;J471,J471&amp;" reps"),IF(IF(N(L471)=0,0,IF(N(K471)&gt;0,K471*(1+L471/30),L471))=X471,IF(N(K471)&gt;0,K471&amp;" x "&amp;L471,L471&amp;" reps"),IF(IF(N(N471)=0,0,IF(N(M471)&gt;0,M471*(1+N471/30),N471))=X471,IF(N(M471)&gt;0,M471&amp;" x "&amp;N471,N471&amp;" reps"),""))))))</f>
        <v/>
      </c>
      <c r="R471" s="20">
        <f>IF(N(X471)=0,"",ROUND(X471,1))</f>
        <v/>
      </c>
      <c r="S471" s="18">
        <f>IF(N(X471)=0,"",IF(AND(COUNTIFS(Log!$D$6:$D$1505,D471,Log!$B$6:$B$1505,"&lt;"&amp;B471)&gt;0,COUNTIFS(Log!$D$6:$D$1505,D471,Log!$B$6:$B$1505,"&lt;"&amp;B471,Log!$X$6:$X$1505,"&gt;="&amp;X471)=0),"New best",""))</f>
        <v/>
      </c>
      <c r="T471" s="26" t="n"/>
      <c r="U471" s="1">
        <f>IF(D471="","",IFERROR(INDEX(Exercises!$C$6:$C$105,MATCH(D471,Exercises!$B$6:$B$105,0)),"Other"))</f>
        <v/>
      </c>
      <c r="V471">
        <f>IF(B471="","",IF(COUNTIF($B$6:B471,B471)=1,1,0))</f>
        <v/>
      </c>
      <c r="W471">
        <f>IF(B471="","",B471-WEEKDAY(B471,3))</f>
        <v/>
      </c>
      <c r="X471">
        <f>IF(D471="","",MAX(IF(N(F471)=0,0,IF(N(E471)&gt;0,E471*(1+F471/30),F471)),IF(N(H471)=0,0,IF(N(G471)&gt;0,G471*(1+H471/30),H471)),IF(N(J471)=0,0,IF(N(I471)&gt;0,I471*(1+J471/30),J471)),IF(N(L471)=0,0,IF(N(K471)&gt;0,K471*(1+L471/30),L471)),IF(N(N471)=0,0,IF(N(M471)&gt;0,M471*(1+N471/30),N471))))</f>
        <v/>
      </c>
      <c r="Y471">
        <f>IF(N(X471)=0,"",X471+ROW()/1000000000)</f>
        <v/>
      </c>
      <c r="Z471">
        <f>IF(Y471="","",IF(COUNTIFS(Log!$D$6:$D$1505,D471,Log!$Y$6:$Y$1505,"&gt;"&amp;Y471)=0,1,0))</f>
        <v/>
      </c>
      <c r="AA471">
        <f>IF(OR(B471="",D471=""),"",B471+ROW()/10000000)</f>
        <v/>
      </c>
      <c r="AB471">
        <f>IF(AA471="","",IF(COUNTIFS(Log!$D$6:$D$1505,D471,Log!$AA$6:$AA$1505,"&gt;"&amp;AA471)=0,1,0))</f>
        <v/>
      </c>
      <c r="AC471">
        <f>IF(S471="New best",AA471,"")</f>
        <v/>
      </c>
      <c r="AD471">
        <f>ROW()</f>
        <v/>
      </c>
    </row>
    <row r="472">
      <c r="A472" s="1" t="n"/>
      <c r="B472" s="21" t="n"/>
      <c r="C472" s="22" t="n"/>
      <c r="D472" s="23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15">
        <f>IF(D472="","",COUNT(F472,H472,J472,L472,N472))</f>
        <v/>
      </c>
      <c r="P472" s="25">
        <f>IF(D472="","",N(E472)*N(F472)+N(G472)*N(H472)+N(I472)*N(J472)+N(K472)*N(L472)+N(M472)*N(N472))</f>
        <v/>
      </c>
      <c r="Q472" s="18">
        <f>IF(N(X472)=0,"",IF(IF(N(F472)=0,0,IF(N(E472)&gt;0,E472*(1+F472/30),F472))=X472,IF(N(E472)&gt;0,E472&amp;" x "&amp;F472,F472&amp;" reps"),IF(IF(N(H472)=0,0,IF(N(G472)&gt;0,G472*(1+H472/30),H472))=X472,IF(N(G472)&gt;0,G472&amp;" x "&amp;H472,H472&amp;" reps"),IF(IF(N(J472)=0,0,IF(N(I472)&gt;0,I472*(1+J472/30),J472))=X472,IF(N(I472)&gt;0,I472&amp;" x "&amp;J472,J472&amp;" reps"),IF(IF(N(L472)=0,0,IF(N(K472)&gt;0,K472*(1+L472/30),L472))=X472,IF(N(K472)&gt;0,K472&amp;" x "&amp;L472,L472&amp;" reps"),IF(IF(N(N472)=0,0,IF(N(M472)&gt;0,M472*(1+N472/30),N472))=X472,IF(N(M472)&gt;0,M472&amp;" x "&amp;N472,N472&amp;" reps"),""))))))</f>
        <v/>
      </c>
      <c r="R472" s="20">
        <f>IF(N(X472)=0,"",ROUND(X472,1))</f>
        <v/>
      </c>
      <c r="S472" s="18">
        <f>IF(N(X472)=0,"",IF(AND(COUNTIFS(Log!$D$6:$D$1505,D472,Log!$B$6:$B$1505,"&lt;"&amp;B472)&gt;0,COUNTIFS(Log!$D$6:$D$1505,D472,Log!$B$6:$B$1505,"&lt;"&amp;B472,Log!$X$6:$X$1505,"&gt;="&amp;X472)=0),"New best",""))</f>
        <v/>
      </c>
      <c r="T472" s="26" t="n"/>
      <c r="U472" s="1">
        <f>IF(D472="","",IFERROR(INDEX(Exercises!$C$6:$C$105,MATCH(D472,Exercises!$B$6:$B$105,0)),"Other"))</f>
        <v/>
      </c>
      <c r="V472">
        <f>IF(B472="","",IF(COUNTIF($B$6:B472,B472)=1,1,0))</f>
        <v/>
      </c>
      <c r="W472">
        <f>IF(B472="","",B472-WEEKDAY(B472,3))</f>
        <v/>
      </c>
      <c r="X472">
        <f>IF(D472="","",MAX(IF(N(F472)=0,0,IF(N(E472)&gt;0,E472*(1+F472/30),F472)),IF(N(H472)=0,0,IF(N(G472)&gt;0,G472*(1+H472/30),H472)),IF(N(J472)=0,0,IF(N(I472)&gt;0,I472*(1+J472/30),J472)),IF(N(L472)=0,0,IF(N(K472)&gt;0,K472*(1+L472/30),L472)),IF(N(N472)=0,0,IF(N(M472)&gt;0,M472*(1+N472/30),N472))))</f>
        <v/>
      </c>
      <c r="Y472">
        <f>IF(N(X472)=0,"",X472+ROW()/1000000000)</f>
        <v/>
      </c>
      <c r="Z472">
        <f>IF(Y472="","",IF(COUNTIFS(Log!$D$6:$D$1505,D472,Log!$Y$6:$Y$1505,"&gt;"&amp;Y472)=0,1,0))</f>
        <v/>
      </c>
      <c r="AA472">
        <f>IF(OR(B472="",D472=""),"",B472+ROW()/10000000)</f>
        <v/>
      </c>
      <c r="AB472">
        <f>IF(AA472="","",IF(COUNTIFS(Log!$D$6:$D$1505,D472,Log!$AA$6:$AA$1505,"&gt;"&amp;AA472)=0,1,0))</f>
        <v/>
      </c>
      <c r="AC472">
        <f>IF(S472="New best",AA472,"")</f>
        <v/>
      </c>
      <c r="AD472">
        <f>ROW()</f>
        <v/>
      </c>
    </row>
    <row r="473">
      <c r="A473" s="1" t="n"/>
      <c r="B473" s="21" t="n"/>
      <c r="C473" s="22" t="n"/>
      <c r="D473" s="23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15">
        <f>IF(D473="","",COUNT(F473,H473,J473,L473,N473))</f>
        <v/>
      </c>
      <c r="P473" s="25">
        <f>IF(D473="","",N(E473)*N(F473)+N(G473)*N(H473)+N(I473)*N(J473)+N(K473)*N(L473)+N(M473)*N(N473))</f>
        <v/>
      </c>
      <c r="Q473" s="18">
        <f>IF(N(X473)=0,"",IF(IF(N(F473)=0,0,IF(N(E473)&gt;0,E473*(1+F473/30),F473))=X473,IF(N(E473)&gt;0,E473&amp;" x "&amp;F473,F473&amp;" reps"),IF(IF(N(H473)=0,0,IF(N(G473)&gt;0,G473*(1+H473/30),H473))=X473,IF(N(G473)&gt;0,G473&amp;" x "&amp;H473,H473&amp;" reps"),IF(IF(N(J473)=0,0,IF(N(I473)&gt;0,I473*(1+J473/30),J473))=X473,IF(N(I473)&gt;0,I473&amp;" x "&amp;J473,J473&amp;" reps"),IF(IF(N(L473)=0,0,IF(N(K473)&gt;0,K473*(1+L473/30),L473))=X473,IF(N(K473)&gt;0,K473&amp;" x "&amp;L473,L473&amp;" reps"),IF(IF(N(N473)=0,0,IF(N(M473)&gt;0,M473*(1+N473/30),N473))=X473,IF(N(M473)&gt;0,M473&amp;" x "&amp;N473,N473&amp;" reps"),""))))))</f>
        <v/>
      </c>
      <c r="R473" s="20">
        <f>IF(N(X473)=0,"",ROUND(X473,1))</f>
        <v/>
      </c>
      <c r="S473" s="18">
        <f>IF(N(X473)=0,"",IF(AND(COUNTIFS(Log!$D$6:$D$1505,D473,Log!$B$6:$B$1505,"&lt;"&amp;B473)&gt;0,COUNTIFS(Log!$D$6:$D$1505,D473,Log!$B$6:$B$1505,"&lt;"&amp;B473,Log!$X$6:$X$1505,"&gt;="&amp;X473)=0),"New best",""))</f>
        <v/>
      </c>
      <c r="T473" s="26" t="n"/>
      <c r="U473" s="1">
        <f>IF(D473="","",IFERROR(INDEX(Exercises!$C$6:$C$105,MATCH(D473,Exercises!$B$6:$B$105,0)),"Other"))</f>
        <v/>
      </c>
      <c r="V473">
        <f>IF(B473="","",IF(COUNTIF($B$6:B473,B473)=1,1,0))</f>
        <v/>
      </c>
      <c r="W473">
        <f>IF(B473="","",B473-WEEKDAY(B473,3))</f>
        <v/>
      </c>
      <c r="X473">
        <f>IF(D473="","",MAX(IF(N(F473)=0,0,IF(N(E473)&gt;0,E473*(1+F473/30),F473)),IF(N(H473)=0,0,IF(N(G473)&gt;0,G473*(1+H473/30),H473)),IF(N(J473)=0,0,IF(N(I473)&gt;0,I473*(1+J473/30),J473)),IF(N(L473)=0,0,IF(N(K473)&gt;0,K473*(1+L473/30),L473)),IF(N(N473)=0,0,IF(N(M473)&gt;0,M473*(1+N473/30),N473))))</f>
        <v/>
      </c>
      <c r="Y473">
        <f>IF(N(X473)=0,"",X473+ROW()/1000000000)</f>
        <v/>
      </c>
      <c r="Z473">
        <f>IF(Y473="","",IF(COUNTIFS(Log!$D$6:$D$1505,D473,Log!$Y$6:$Y$1505,"&gt;"&amp;Y473)=0,1,0))</f>
        <v/>
      </c>
      <c r="AA473">
        <f>IF(OR(B473="",D473=""),"",B473+ROW()/10000000)</f>
        <v/>
      </c>
      <c r="AB473">
        <f>IF(AA473="","",IF(COUNTIFS(Log!$D$6:$D$1505,D473,Log!$AA$6:$AA$1505,"&gt;"&amp;AA473)=0,1,0))</f>
        <v/>
      </c>
      <c r="AC473">
        <f>IF(S473="New best",AA473,"")</f>
        <v/>
      </c>
      <c r="AD473">
        <f>ROW()</f>
        <v/>
      </c>
    </row>
    <row r="474">
      <c r="A474" s="1" t="n"/>
      <c r="B474" s="21" t="n"/>
      <c r="C474" s="22" t="n"/>
      <c r="D474" s="23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15">
        <f>IF(D474="","",COUNT(F474,H474,J474,L474,N474))</f>
        <v/>
      </c>
      <c r="P474" s="25">
        <f>IF(D474="","",N(E474)*N(F474)+N(G474)*N(H474)+N(I474)*N(J474)+N(K474)*N(L474)+N(M474)*N(N474))</f>
        <v/>
      </c>
      <c r="Q474" s="18">
        <f>IF(N(X474)=0,"",IF(IF(N(F474)=0,0,IF(N(E474)&gt;0,E474*(1+F474/30),F474))=X474,IF(N(E474)&gt;0,E474&amp;" x "&amp;F474,F474&amp;" reps"),IF(IF(N(H474)=0,0,IF(N(G474)&gt;0,G474*(1+H474/30),H474))=X474,IF(N(G474)&gt;0,G474&amp;" x "&amp;H474,H474&amp;" reps"),IF(IF(N(J474)=0,0,IF(N(I474)&gt;0,I474*(1+J474/30),J474))=X474,IF(N(I474)&gt;0,I474&amp;" x "&amp;J474,J474&amp;" reps"),IF(IF(N(L474)=0,0,IF(N(K474)&gt;0,K474*(1+L474/30),L474))=X474,IF(N(K474)&gt;0,K474&amp;" x "&amp;L474,L474&amp;" reps"),IF(IF(N(N474)=0,0,IF(N(M474)&gt;0,M474*(1+N474/30),N474))=X474,IF(N(M474)&gt;0,M474&amp;" x "&amp;N474,N474&amp;" reps"),""))))))</f>
        <v/>
      </c>
      <c r="R474" s="20">
        <f>IF(N(X474)=0,"",ROUND(X474,1))</f>
        <v/>
      </c>
      <c r="S474" s="18">
        <f>IF(N(X474)=0,"",IF(AND(COUNTIFS(Log!$D$6:$D$1505,D474,Log!$B$6:$B$1505,"&lt;"&amp;B474)&gt;0,COUNTIFS(Log!$D$6:$D$1505,D474,Log!$B$6:$B$1505,"&lt;"&amp;B474,Log!$X$6:$X$1505,"&gt;="&amp;X474)=0),"New best",""))</f>
        <v/>
      </c>
      <c r="T474" s="26" t="n"/>
      <c r="U474" s="1">
        <f>IF(D474="","",IFERROR(INDEX(Exercises!$C$6:$C$105,MATCH(D474,Exercises!$B$6:$B$105,0)),"Other"))</f>
        <v/>
      </c>
      <c r="V474">
        <f>IF(B474="","",IF(COUNTIF($B$6:B474,B474)=1,1,0))</f>
        <v/>
      </c>
      <c r="W474">
        <f>IF(B474="","",B474-WEEKDAY(B474,3))</f>
        <v/>
      </c>
      <c r="X474">
        <f>IF(D474="","",MAX(IF(N(F474)=0,0,IF(N(E474)&gt;0,E474*(1+F474/30),F474)),IF(N(H474)=0,0,IF(N(G474)&gt;0,G474*(1+H474/30),H474)),IF(N(J474)=0,0,IF(N(I474)&gt;0,I474*(1+J474/30),J474)),IF(N(L474)=0,0,IF(N(K474)&gt;0,K474*(1+L474/30),L474)),IF(N(N474)=0,0,IF(N(M474)&gt;0,M474*(1+N474/30),N474))))</f>
        <v/>
      </c>
      <c r="Y474">
        <f>IF(N(X474)=0,"",X474+ROW()/1000000000)</f>
        <v/>
      </c>
      <c r="Z474">
        <f>IF(Y474="","",IF(COUNTIFS(Log!$D$6:$D$1505,D474,Log!$Y$6:$Y$1505,"&gt;"&amp;Y474)=0,1,0))</f>
        <v/>
      </c>
      <c r="AA474">
        <f>IF(OR(B474="",D474=""),"",B474+ROW()/10000000)</f>
        <v/>
      </c>
      <c r="AB474">
        <f>IF(AA474="","",IF(COUNTIFS(Log!$D$6:$D$1505,D474,Log!$AA$6:$AA$1505,"&gt;"&amp;AA474)=0,1,0))</f>
        <v/>
      </c>
      <c r="AC474">
        <f>IF(S474="New best",AA474,"")</f>
        <v/>
      </c>
      <c r="AD474">
        <f>ROW()</f>
        <v/>
      </c>
    </row>
    <row r="475">
      <c r="A475" s="1" t="n"/>
      <c r="B475" s="21" t="n"/>
      <c r="C475" s="22" t="n"/>
      <c r="D475" s="23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15">
        <f>IF(D475="","",COUNT(F475,H475,J475,L475,N475))</f>
        <v/>
      </c>
      <c r="P475" s="25">
        <f>IF(D475="","",N(E475)*N(F475)+N(G475)*N(H475)+N(I475)*N(J475)+N(K475)*N(L475)+N(M475)*N(N475))</f>
        <v/>
      </c>
      <c r="Q475" s="18">
        <f>IF(N(X475)=0,"",IF(IF(N(F475)=0,0,IF(N(E475)&gt;0,E475*(1+F475/30),F475))=X475,IF(N(E475)&gt;0,E475&amp;" x "&amp;F475,F475&amp;" reps"),IF(IF(N(H475)=0,0,IF(N(G475)&gt;0,G475*(1+H475/30),H475))=X475,IF(N(G475)&gt;0,G475&amp;" x "&amp;H475,H475&amp;" reps"),IF(IF(N(J475)=0,0,IF(N(I475)&gt;0,I475*(1+J475/30),J475))=X475,IF(N(I475)&gt;0,I475&amp;" x "&amp;J475,J475&amp;" reps"),IF(IF(N(L475)=0,0,IF(N(K475)&gt;0,K475*(1+L475/30),L475))=X475,IF(N(K475)&gt;0,K475&amp;" x "&amp;L475,L475&amp;" reps"),IF(IF(N(N475)=0,0,IF(N(M475)&gt;0,M475*(1+N475/30),N475))=X475,IF(N(M475)&gt;0,M475&amp;" x "&amp;N475,N475&amp;" reps"),""))))))</f>
        <v/>
      </c>
      <c r="R475" s="20">
        <f>IF(N(X475)=0,"",ROUND(X475,1))</f>
        <v/>
      </c>
      <c r="S475" s="18">
        <f>IF(N(X475)=0,"",IF(AND(COUNTIFS(Log!$D$6:$D$1505,D475,Log!$B$6:$B$1505,"&lt;"&amp;B475)&gt;0,COUNTIFS(Log!$D$6:$D$1505,D475,Log!$B$6:$B$1505,"&lt;"&amp;B475,Log!$X$6:$X$1505,"&gt;="&amp;X475)=0),"New best",""))</f>
        <v/>
      </c>
      <c r="T475" s="26" t="n"/>
      <c r="U475" s="1">
        <f>IF(D475="","",IFERROR(INDEX(Exercises!$C$6:$C$105,MATCH(D475,Exercises!$B$6:$B$105,0)),"Other"))</f>
        <v/>
      </c>
      <c r="V475">
        <f>IF(B475="","",IF(COUNTIF($B$6:B475,B475)=1,1,0))</f>
        <v/>
      </c>
      <c r="W475">
        <f>IF(B475="","",B475-WEEKDAY(B475,3))</f>
        <v/>
      </c>
      <c r="X475">
        <f>IF(D475="","",MAX(IF(N(F475)=0,0,IF(N(E475)&gt;0,E475*(1+F475/30),F475)),IF(N(H475)=0,0,IF(N(G475)&gt;0,G475*(1+H475/30),H475)),IF(N(J475)=0,0,IF(N(I475)&gt;0,I475*(1+J475/30),J475)),IF(N(L475)=0,0,IF(N(K475)&gt;0,K475*(1+L475/30),L475)),IF(N(N475)=0,0,IF(N(M475)&gt;0,M475*(1+N475/30),N475))))</f>
        <v/>
      </c>
      <c r="Y475">
        <f>IF(N(X475)=0,"",X475+ROW()/1000000000)</f>
        <v/>
      </c>
      <c r="Z475">
        <f>IF(Y475="","",IF(COUNTIFS(Log!$D$6:$D$1505,D475,Log!$Y$6:$Y$1505,"&gt;"&amp;Y475)=0,1,0))</f>
        <v/>
      </c>
      <c r="AA475">
        <f>IF(OR(B475="",D475=""),"",B475+ROW()/10000000)</f>
        <v/>
      </c>
      <c r="AB475">
        <f>IF(AA475="","",IF(COUNTIFS(Log!$D$6:$D$1505,D475,Log!$AA$6:$AA$1505,"&gt;"&amp;AA475)=0,1,0))</f>
        <v/>
      </c>
      <c r="AC475">
        <f>IF(S475="New best",AA475,"")</f>
        <v/>
      </c>
      <c r="AD475">
        <f>ROW()</f>
        <v/>
      </c>
    </row>
    <row r="476">
      <c r="A476" s="1" t="n"/>
      <c r="B476" s="21" t="n"/>
      <c r="C476" s="22" t="n"/>
      <c r="D476" s="23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15">
        <f>IF(D476="","",COUNT(F476,H476,J476,L476,N476))</f>
        <v/>
      </c>
      <c r="P476" s="25">
        <f>IF(D476="","",N(E476)*N(F476)+N(G476)*N(H476)+N(I476)*N(J476)+N(K476)*N(L476)+N(M476)*N(N476))</f>
        <v/>
      </c>
      <c r="Q476" s="18">
        <f>IF(N(X476)=0,"",IF(IF(N(F476)=0,0,IF(N(E476)&gt;0,E476*(1+F476/30),F476))=X476,IF(N(E476)&gt;0,E476&amp;" x "&amp;F476,F476&amp;" reps"),IF(IF(N(H476)=0,0,IF(N(G476)&gt;0,G476*(1+H476/30),H476))=X476,IF(N(G476)&gt;0,G476&amp;" x "&amp;H476,H476&amp;" reps"),IF(IF(N(J476)=0,0,IF(N(I476)&gt;0,I476*(1+J476/30),J476))=X476,IF(N(I476)&gt;0,I476&amp;" x "&amp;J476,J476&amp;" reps"),IF(IF(N(L476)=0,0,IF(N(K476)&gt;0,K476*(1+L476/30),L476))=X476,IF(N(K476)&gt;0,K476&amp;" x "&amp;L476,L476&amp;" reps"),IF(IF(N(N476)=0,0,IF(N(M476)&gt;0,M476*(1+N476/30),N476))=X476,IF(N(M476)&gt;0,M476&amp;" x "&amp;N476,N476&amp;" reps"),""))))))</f>
        <v/>
      </c>
      <c r="R476" s="20">
        <f>IF(N(X476)=0,"",ROUND(X476,1))</f>
        <v/>
      </c>
      <c r="S476" s="18">
        <f>IF(N(X476)=0,"",IF(AND(COUNTIFS(Log!$D$6:$D$1505,D476,Log!$B$6:$B$1505,"&lt;"&amp;B476)&gt;0,COUNTIFS(Log!$D$6:$D$1505,D476,Log!$B$6:$B$1505,"&lt;"&amp;B476,Log!$X$6:$X$1505,"&gt;="&amp;X476)=0),"New best",""))</f>
        <v/>
      </c>
      <c r="T476" s="26" t="n"/>
      <c r="U476" s="1">
        <f>IF(D476="","",IFERROR(INDEX(Exercises!$C$6:$C$105,MATCH(D476,Exercises!$B$6:$B$105,0)),"Other"))</f>
        <v/>
      </c>
      <c r="V476">
        <f>IF(B476="","",IF(COUNTIF($B$6:B476,B476)=1,1,0))</f>
        <v/>
      </c>
      <c r="W476">
        <f>IF(B476="","",B476-WEEKDAY(B476,3))</f>
        <v/>
      </c>
      <c r="X476">
        <f>IF(D476="","",MAX(IF(N(F476)=0,0,IF(N(E476)&gt;0,E476*(1+F476/30),F476)),IF(N(H476)=0,0,IF(N(G476)&gt;0,G476*(1+H476/30),H476)),IF(N(J476)=0,0,IF(N(I476)&gt;0,I476*(1+J476/30),J476)),IF(N(L476)=0,0,IF(N(K476)&gt;0,K476*(1+L476/30),L476)),IF(N(N476)=0,0,IF(N(M476)&gt;0,M476*(1+N476/30),N476))))</f>
        <v/>
      </c>
      <c r="Y476">
        <f>IF(N(X476)=0,"",X476+ROW()/1000000000)</f>
        <v/>
      </c>
      <c r="Z476">
        <f>IF(Y476="","",IF(COUNTIFS(Log!$D$6:$D$1505,D476,Log!$Y$6:$Y$1505,"&gt;"&amp;Y476)=0,1,0))</f>
        <v/>
      </c>
      <c r="AA476">
        <f>IF(OR(B476="",D476=""),"",B476+ROW()/10000000)</f>
        <v/>
      </c>
      <c r="AB476">
        <f>IF(AA476="","",IF(COUNTIFS(Log!$D$6:$D$1505,D476,Log!$AA$6:$AA$1505,"&gt;"&amp;AA476)=0,1,0))</f>
        <v/>
      </c>
      <c r="AC476">
        <f>IF(S476="New best",AA476,"")</f>
        <v/>
      </c>
      <c r="AD476">
        <f>ROW()</f>
        <v/>
      </c>
    </row>
    <row r="477">
      <c r="A477" s="1" t="n"/>
      <c r="B477" s="21" t="n"/>
      <c r="C477" s="22" t="n"/>
      <c r="D477" s="23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15">
        <f>IF(D477="","",COUNT(F477,H477,J477,L477,N477))</f>
        <v/>
      </c>
      <c r="P477" s="25">
        <f>IF(D477="","",N(E477)*N(F477)+N(G477)*N(H477)+N(I477)*N(J477)+N(K477)*N(L477)+N(M477)*N(N477))</f>
        <v/>
      </c>
      <c r="Q477" s="18">
        <f>IF(N(X477)=0,"",IF(IF(N(F477)=0,0,IF(N(E477)&gt;0,E477*(1+F477/30),F477))=X477,IF(N(E477)&gt;0,E477&amp;" x "&amp;F477,F477&amp;" reps"),IF(IF(N(H477)=0,0,IF(N(G477)&gt;0,G477*(1+H477/30),H477))=X477,IF(N(G477)&gt;0,G477&amp;" x "&amp;H477,H477&amp;" reps"),IF(IF(N(J477)=0,0,IF(N(I477)&gt;0,I477*(1+J477/30),J477))=X477,IF(N(I477)&gt;0,I477&amp;" x "&amp;J477,J477&amp;" reps"),IF(IF(N(L477)=0,0,IF(N(K477)&gt;0,K477*(1+L477/30),L477))=X477,IF(N(K477)&gt;0,K477&amp;" x "&amp;L477,L477&amp;" reps"),IF(IF(N(N477)=0,0,IF(N(M477)&gt;0,M477*(1+N477/30),N477))=X477,IF(N(M477)&gt;0,M477&amp;" x "&amp;N477,N477&amp;" reps"),""))))))</f>
        <v/>
      </c>
      <c r="R477" s="20">
        <f>IF(N(X477)=0,"",ROUND(X477,1))</f>
        <v/>
      </c>
      <c r="S477" s="18">
        <f>IF(N(X477)=0,"",IF(AND(COUNTIFS(Log!$D$6:$D$1505,D477,Log!$B$6:$B$1505,"&lt;"&amp;B477)&gt;0,COUNTIFS(Log!$D$6:$D$1505,D477,Log!$B$6:$B$1505,"&lt;"&amp;B477,Log!$X$6:$X$1505,"&gt;="&amp;X477)=0),"New best",""))</f>
        <v/>
      </c>
      <c r="T477" s="26" t="n"/>
      <c r="U477" s="1">
        <f>IF(D477="","",IFERROR(INDEX(Exercises!$C$6:$C$105,MATCH(D477,Exercises!$B$6:$B$105,0)),"Other"))</f>
        <v/>
      </c>
      <c r="V477">
        <f>IF(B477="","",IF(COUNTIF($B$6:B477,B477)=1,1,0))</f>
        <v/>
      </c>
      <c r="W477">
        <f>IF(B477="","",B477-WEEKDAY(B477,3))</f>
        <v/>
      </c>
      <c r="X477">
        <f>IF(D477="","",MAX(IF(N(F477)=0,0,IF(N(E477)&gt;0,E477*(1+F477/30),F477)),IF(N(H477)=0,0,IF(N(G477)&gt;0,G477*(1+H477/30),H477)),IF(N(J477)=0,0,IF(N(I477)&gt;0,I477*(1+J477/30),J477)),IF(N(L477)=0,0,IF(N(K477)&gt;0,K477*(1+L477/30),L477)),IF(N(N477)=0,0,IF(N(M477)&gt;0,M477*(1+N477/30),N477))))</f>
        <v/>
      </c>
      <c r="Y477">
        <f>IF(N(X477)=0,"",X477+ROW()/1000000000)</f>
        <v/>
      </c>
      <c r="Z477">
        <f>IF(Y477="","",IF(COUNTIFS(Log!$D$6:$D$1505,D477,Log!$Y$6:$Y$1505,"&gt;"&amp;Y477)=0,1,0))</f>
        <v/>
      </c>
      <c r="AA477">
        <f>IF(OR(B477="",D477=""),"",B477+ROW()/10000000)</f>
        <v/>
      </c>
      <c r="AB477">
        <f>IF(AA477="","",IF(COUNTIFS(Log!$D$6:$D$1505,D477,Log!$AA$6:$AA$1505,"&gt;"&amp;AA477)=0,1,0))</f>
        <v/>
      </c>
      <c r="AC477">
        <f>IF(S477="New best",AA477,"")</f>
        <v/>
      </c>
      <c r="AD477">
        <f>ROW()</f>
        <v/>
      </c>
    </row>
    <row r="478">
      <c r="A478" s="1" t="n"/>
      <c r="B478" s="21" t="n"/>
      <c r="C478" s="22" t="n"/>
      <c r="D478" s="23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15">
        <f>IF(D478="","",COUNT(F478,H478,J478,L478,N478))</f>
        <v/>
      </c>
      <c r="P478" s="25">
        <f>IF(D478="","",N(E478)*N(F478)+N(G478)*N(H478)+N(I478)*N(J478)+N(K478)*N(L478)+N(M478)*N(N478))</f>
        <v/>
      </c>
      <c r="Q478" s="18">
        <f>IF(N(X478)=0,"",IF(IF(N(F478)=0,0,IF(N(E478)&gt;0,E478*(1+F478/30),F478))=X478,IF(N(E478)&gt;0,E478&amp;" x "&amp;F478,F478&amp;" reps"),IF(IF(N(H478)=0,0,IF(N(G478)&gt;0,G478*(1+H478/30),H478))=X478,IF(N(G478)&gt;0,G478&amp;" x "&amp;H478,H478&amp;" reps"),IF(IF(N(J478)=0,0,IF(N(I478)&gt;0,I478*(1+J478/30),J478))=X478,IF(N(I478)&gt;0,I478&amp;" x "&amp;J478,J478&amp;" reps"),IF(IF(N(L478)=0,0,IF(N(K478)&gt;0,K478*(1+L478/30),L478))=X478,IF(N(K478)&gt;0,K478&amp;" x "&amp;L478,L478&amp;" reps"),IF(IF(N(N478)=0,0,IF(N(M478)&gt;0,M478*(1+N478/30),N478))=X478,IF(N(M478)&gt;0,M478&amp;" x "&amp;N478,N478&amp;" reps"),""))))))</f>
        <v/>
      </c>
      <c r="R478" s="20">
        <f>IF(N(X478)=0,"",ROUND(X478,1))</f>
        <v/>
      </c>
      <c r="S478" s="18">
        <f>IF(N(X478)=0,"",IF(AND(COUNTIFS(Log!$D$6:$D$1505,D478,Log!$B$6:$B$1505,"&lt;"&amp;B478)&gt;0,COUNTIFS(Log!$D$6:$D$1505,D478,Log!$B$6:$B$1505,"&lt;"&amp;B478,Log!$X$6:$X$1505,"&gt;="&amp;X478)=0),"New best",""))</f>
        <v/>
      </c>
      <c r="T478" s="26" t="n"/>
      <c r="U478" s="1">
        <f>IF(D478="","",IFERROR(INDEX(Exercises!$C$6:$C$105,MATCH(D478,Exercises!$B$6:$B$105,0)),"Other"))</f>
        <v/>
      </c>
      <c r="V478">
        <f>IF(B478="","",IF(COUNTIF($B$6:B478,B478)=1,1,0))</f>
        <v/>
      </c>
      <c r="W478">
        <f>IF(B478="","",B478-WEEKDAY(B478,3))</f>
        <v/>
      </c>
      <c r="X478">
        <f>IF(D478="","",MAX(IF(N(F478)=0,0,IF(N(E478)&gt;0,E478*(1+F478/30),F478)),IF(N(H478)=0,0,IF(N(G478)&gt;0,G478*(1+H478/30),H478)),IF(N(J478)=0,0,IF(N(I478)&gt;0,I478*(1+J478/30),J478)),IF(N(L478)=0,0,IF(N(K478)&gt;0,K478*(1+L478/30),L478)),IF(N(N478)=0,0,IF(N(M478)&gt;0,M478*(1+N478/30),N478))))</f>
        <v/>
      </c>
      <c r="Y478">
        <f>IF(N(X478)=0,"",X478+ROW()/1000000000)</f>
        <v/>
      </c>
      <c r="Z478">
        <f>IF(Y478="","",IF(COUNTIFS(Log!$D$6:$D$1505,D478,Log!$Y$6:$Y$1505,"&gt;"&amp;Y478)=0,1,0))</f>
        <v/>
      </c>
      <c r="AA478">
        <f>IF(OR(B478="",D478=""),"",B478+ROW()/10000000)</f>
        <v/>
      </c>
      <c r="AB478">
        <f>IF(AA478="","",IF(COUNTIFS(Log!$D$6:$D$1505,D478,Log!$AA$6:$AA$1505,"&gt;"&amp;AA478)=0,1,0))</f>
        <v/>
      </c>
      <c r="AC478">
        <f>IF(S478="New best",AA478,"")</f>
        <v/>
      </c>
      <c r="AD478">
        <f>ROW()</f>
        <v/>
      </c>
    </row>
    <row r="479">
      <c r="A479" s="1" t="n"/>
      <c r="B479" s="21" t="n"/>
      <c r="C479" s="22" t="n"/>
      <c r="D479" s="23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15">
        <f>IF(D479="","",COUNT(F479,H479,J479,L479,N479))</f>
        <v/>
      </c>
      <c r="P479" s="25">
        <f>IF(D479="","",N(E479)*N(F479)+N(G479)*N(H479)+N(I479)*N(J479)+N(K479)*N(L479)+N(M479)*N(N479))</f>
        <v/>
      </c>
      <c r="Q479" s="18">
        <f>IF(N(X479)=0,"",IF(IF(N(F479)=0,0,IF(N(E479)&gt;0,E479*(1+F479/30),F479))=X479,IF(N(E479)&gt;0,E479&amp;" x "&amp;F479,F479&amp;" reps"),IF(IF(N(H479)=0,0,IF(N(G479)&gt;0,G479*(1+H479/30),H479))=X479,IF(N(G479)&gt;0,G479&amp;" x "&amp;H479,H479&amp;" reps"),IF(IF(N(J479)=0,0,IF(N(I479)&gt;0,I479*(1+J479/30),J479))=X479,IF(N(I479)&gt;0,I479&amp;" x "&amp;J479,J479&amp;" reps"),IF(IF(N(L479)=0,0,IF(N(K479)&gt;0,K479*(1+L479/30),L479))=X479,IF(N(K479)&gt;0,K479&amp;" x "&amp;L479,L479&amp;" reps"),IF(IF(N(N479)=0,0,IF(N(M479)&gt;0,M479*(1+N479/30),N479))=X479,IF(N(M479)&gt;0,M479&amp;" x "&amp;N479,N479&amp;" reps"),""))))))</f>
        <v/>
      </c>
      <c r="R479" s="20">
        <f>IF(N(X479)=0,"",ROUND(X479,1))</f>
        <v/>
      </c>
      <c r="S479" s="18">
        <f>IF(N(X479)=0,"",IF(AND(COUNTIFS(Log!$D$6:$D$1505,D479,Log!$B$6:$B$1505,"&lt;"&amp;B479)&gt;0,COUNTIFS(Log!$D$6:$D$1505,D479,Log!$B$6:$B$1505,"&lt;"&amp;B479,Log!$X$6:$X$1505,"&gt;="&amp;X479)=0),"New best",""))</f>
        <v/>
      </c>
      <c r="T479" s="26" t="n"/>
      <c r="U479" s="1">
        <f>IF(D479="","",IFERROR(INDEX(Exercises!$C$6:$C$105,MATCH(D479,Exercises!$B$6:$B$105,0)),"Other"))</f>
        <v/>
      </c>
      <c r="V479">
        <f>IF(B479="","",IF(COUNTIF($B$6:B479,B479)=1,1,0))</f>
        <v/>
      </c>
      <c r="W479">
        <f>IF(B479="","",B479-WEEKDAY(B479,3))</f>
        <v/>
      </c>
      <c r="X479">
        <f>IF(D479="","",MAX(IF(N(F479)=0,0,IF(N(E479)&gt;0,E479*(1+F479/30),F479)),IF(N(H479)=0,0,IF(N(G479)&gt;0,G479*(1+H479/30),H479)),IF(N(J479)=0,0,IF(N(I479)&gt;0,I479*(1+J479/30),J479)),IF(N(L479)=0,0,IF(N(K479)&gt;0,K479*(1+L479/30),L479)),IF(N(N479)=0,0,IF(N(M479)&gt;0,M479*(1+N479/30),N479))))</f>
        <v/>
      </c>
      <c r="Y479">
        <f>IF(N(X479)=0,"",X479+ROW()/1000000000)</f>
        <v/>
      </c>
      <c r="Z479">
        <f>IF(Y479="","",IF(COUNTIFS(Log!$D$6:$D$1505,D479,Log!$Y$6:$Y$1505,"&gt;"&amp;Y479)=0,1,0))</f>
        <v/>
      </c>
      <c r="AA479">
        <f>IF(OR(B479="",D479=""),"",B479+ROW()/10000000)</f>
        <v/>
      </c>
      <c r="AB479">
        <f>IF(AA479="","",IF(COUNTIFS(Log!$D$6:$D$1505,D479,Log!$AA$6:$AA$1505,"&gt;"&amp;AA479)=0,1,0))</f>
        <v/>
      </c>
      <c r="AC479">
        <f>IF(S479="New best",AA479,"")</f>
        <v/>
      </c>
      <c r="AD479">
        <f>ROW()</f>
        <v/>
      </c>
    </row>
    <row r="480">
      <c r="A480" s="1" t="n"/>
      <c r="B480" s="21" t="n"/>
      <c r="C480" s="22" t="n"/>
      <c r="D480" s="23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15">
        <f>IF(D480="","",COUNT(F480,H480,J480,L480,N480))</f>
        <v/>
      </c>
      <c r="P480" s="25">
        <f>IF(D480="","",N(E480)*N(F480)+N(G480)*N(H480)+N(I480)*N(J480)+N(K480)*N(L480)+N(M480)*N(N480))</f>
        <v/>
      </c>
      <c r="Q480" s="18">
        <f>IF(N(X480)=0,"",IF(IF(N(F480)=0,0,IF(N(E480)&gt;0,E480*(1+F480/30),F480))=X480,IF(N(E480)&gt;0,E480&amp;" x "&amp;F480,F480&amp;" reps"),IF(IF(N(H480)=0,0,IF(N(G480)&gt;0,G480*(1+H480/30),H480))=X480,IF(N(G480)&gt;0,G480&amp;" x "&amp;H480,H480&amp;" reps"),IF(IF(N(J480)=0,0,IF(N(I480)&gt;0,I480*(1+J480/30),J480))=X480,IF(N(I480)&gt;0,I480&amp;" x "&amp;J480,J480&amp;" reps"),IF(IF(N(L480)=0,0,IF(N(K480)&gt;0,K480*(1+L480/30),L480))=X480,IF(N(K480)&gt;0,K480&amp;" x "&amp;L480,L480&amp;" reps"),IF(IF(N(N480)=0,0,IF(N(M480)&gt;0,M480*(1+N480/30),N480))=X480,IF(N(M480)&gt;0,M480&amp;" x "&amp;N480,N480&amp;" reps"),""))))))</f>
        <v/>
      </c>
      <c r="R480" s="20">
        <f>IF(N(X480)=0,"",ROUND(X480,1))</f>
        <v/>
      </c>
      <c r="S480" s="18">
        <f>IF(N(X480)=0,"",IF(AND(COUNTIFS(Log!$D$6:$D$1505,D480,Log!$B$6:$B$1505,"&lt;"&amp;B480)&gt;0,COUNTIFS(Log!$D$6:$D$1505,D480,Log!$B$6:$B$1505,"&lt;"&amp;B480,Log!$X$6:$X$1505,"&gt;="&amp;X480)=0),"New best",""))</f>
        <v/>
      </c>
      <c r="T480" s="26" t="n"/>
      <c r="U480" s="1">
        <f>IF(D480="","",IFERROR(INDEX(Exercises!$C$6:$C$105,MATCH(D480,Exercises!$B$6:$B$105,0)),"Other"))</f>
        <v/>
      </c>
      <c r="V480">
        <f>IF(B480="","",IF(COUNTIF($B$6:B480,B480)=1,1,0))</f>
        <v/>
      </c>
      <c r="W480">
        <f>IF(B480="","",B480-WEEKDAY(B480,3))</f>
        <v/>
      </c>
      <c r="X480">
        <f>IF(D480="","",MAX(IF(N(F480)=0,0,IF(N(E480)&gt;0,E480*(1+F480/30),F480)),IF(N(H480)=0,0,IF(N(G480)&gt;0,G480*(1+H480/30),H480)),IF(N(J480)=0,0,IF(N(I480)&gt;0,I480*(1+J480/30),J480)),IF(N(L480)=0,0,IF(N(K480)&gt;0,K480*(1+L480/30),L480)),IF(N(N480)=0,0,IF(N(M480)&gt;0,M480*(1+N480/30),N480))))</f>
        <v/>
      </c>
      <c r="Y480">
        <f>IF(N(X480)=0,"",X480+ROW()/1000000000)</f>
        <v/>
      </c>
      <c r="Z480">
        <f>IF(Y480="","",IF(COUNTIFS(Log!$D$6:$D$1505,D480,Log!$Y$6:$Y$1505,"&gt;"&amp;Y480)=0,1,0))</f>
        <v/>
      </c>
      <c r="AA480">
        <f>IF(OR(B480="",D480=""),"",B480+ROW()/10000000)</f>
        <v/>
      </c>
      <c r="AB480">
        <f>IF(AA480="","",IF(COUNTIFS(Log!$D$6:$D$1505,D480,Log!$AA$6:$AA$1505,"&gt;"&amp;AA480)=0,1,0))</f>
        <v/>
      </c>
      <c r="AC480">
        <f>IF(S480="New best",AA480,"")</f>
        <v/>
      </c>
      <c r="AD480">
        <f>ROW()</f>
        <v/>
      </c>
    </row>
    <row r="481">
      <c r="A481" s="1" t="n"/>
      <c r="B481" s="21" t="n"/>
      <c r="C481" s="22" t="n"/>
      <c r="D481" s="23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15">
        <f>IF(D481="","",COUNT(F481,H481,J481,L481,N481))</f>
        <v/>
      </c>
      <c r="P481" s="25">
        <f>IF(D481="","",N(E481)*N(F481)+N(G481)*N(H481)+N(I481)*N(J481)+N(K481)*N(L481)+N(M481)*N(N481))</f>
        <v/>
      </c>
      <c r="Q481" s="18">
        <f>IF(N(X481)=0,"",IF(IF(N(F481)=0,0,IF(N(E481)&gt;0,E481*(1+F481/30),F481))=X481,IF(N(E481)&gt;0,E481&amp;" x "&amp;F481,F481&amp;" reps"),IF(IF(N(H481)=0,0,IF(N(G481)&gt;0,G481*(1+H481/30),H481))=X481,IF(N(G481)&gt;0,G481&amp;" x "&amp;H481,H481&amp;" reps"),IF(IF(N(J481)=0,0,IF(N(I481)&gt;0,I481*(1+J481/30),J481))=X481,IF(N(I481)&gt;0,I481&amp;" x "&amp;J481,J481&amp;" reps"),IF(IF(N(L481)=0,0,IF(N(K481)&gt;0,K481*(1+L481/30),L481))=X481,IF(N(K481)&gt;0,K481&amp;" x "&amp;L481,L481&amp;" reps"),IF(IF(N(N481)=0,0,IF(N(M481)&gt;0,M481*(1+N481/30),N481))=X481,IF(N(M481)&gt;0,M481&amp;" x "&amp;N481,N481&amp;" reps"),""))))))</f>
        <v/>
      </c>
      <c r="R481" s="20">
        <f>IF(N(X481)=0,"",ROUND(X481,1))</f>
        <v/>
      </c>
      <c r="S481" s="18">
        <f>IF(N(X481)=0,"",IF(AND(COUNTIFS(Log!$D$6:$D$1505,D481,Log!$B$6:$B$1505,"&lt;"&amp;B481)&gt;0,COUNTIFS(Log!$D$6:$D$1505,D481,Log!$B$6:$B$1505,"&lt;"&amp;B481,Log!$X$6:$X$1505,"&gt;="&amp;X481)=0),"New best",""))</f>
        <v/>
      </c>
      <c r="T481" s="26" t="n"/>
      <c r="U481" s="1">
        <f>IF(D481="","",IFERROR(INDEX(Exercises!$C$6:$C$105,MATCH(D481,Exercises!$B$6:$B$105,0)),"Other"))</f>
        <v/>
      </c>
      <c r="V481">
        <f>IF(B481="","",IF(COUNTIF($B$6:B481,B481)=1,1,0))</f>
        <v/>
      </c>
      <c r="W481">
        <f>IF(B481="","",B481-WEEKDAY(B481,3))</f>
        <v/>
      </c>
      <c r="X481">
        <f>IF(D481="","",MAX(IF(N(F481)=0,0,IF(N(E481)&gt;0,E481*(1+F481/30),F481)),IF(N(H481)=0,0,IF(N(G481)&gt;0,G481*(1+H481/30),H481)),IF(N(J481)=0,0,IF(N(I481)&gt;0,I481*(1+J481/30),J481)),IF(N(L481)=0,0,IF(N(K481)&gt;0,K481*(1+L481/30),L481)),IF(N(N481)=0,0,IF(N(M481)&gt;0,M481*(1+N481/30),N481))))</f>
        <v/>
      </c>
      <c r="Y481">
        <f>IF(N(X481)=0,"",X481+ROW()/1000000000)</f>
        <v/>
      </c>
      <c r="Z481">
        <f>IF(Y481="","",IF(COUNTIFS(Log!$D$6:$D$1505,D481,Log!$Y$6:$Y$1505,"&gt;"&amp;Y481)=0,1,0))</f>
        <v/>
      </c>
      <c r="AA481">
        <f>IF(OR(B481="",D481=""),"",B481+ROW()/10000000)</f>
        <v/>
      </c>
      <c r="AB481">
        <f>IF(AA481="","",IF(COUNTIFS(Log!$D$6:$D$1505,D481,Log!$AA$6:$AA$1505,"&gt;"&amp;AA481)=0,1,0))</f>
        <v/>
      </c>
      <c r="AC481">
        <f>IF(S481="New best",AA481,"")</f>
        <v/>
      </c>
      <c r="AD481">
        <f>ROW()</f>
        <v/>
      </c>
    </row>
    <row r="482">
      <c r="A482" s="1" t="n"/>
      <c r="B482" s="21" t="n"/>
      <c r="C482" s="22" t="n"/>
      <c r="D482" s="23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15">
        <f>IF(D482="","",COUNT(F482,H482,J482,L482,N482))</f>
        <v/>
      </c>
      <c r="P482" s="25">
        <f>IF(D482="","",N(E482)*N(F482)+N(G482)*N(H482)+N(I482)*N(J482)+N(K482)*N(L482)+N(M482)*N(N482))</f>
        <v/>
      </c>
      <c r="Q482" s="18">
        <f>IF(N(X482)=0,"",IF(IF(N(F482)=0,0,IF(N(E482)&gt;0,E482*(1+F482/30),F482))=X482,IF(N(E482)&gt;0,E482&amp;" x "&amp;F482,F482&amp;" reps"),IF(IF(N(H482)=0,0,IF(N(G482)&gt;0,G482*(1+H482/30),H482))=X482,IF(N(G482)&gt;0,G482&amp;" x "&amp;H482,H482&amp;" reps"),IF(IF(N(J482)=0,0,IF(N(I482)&gt;0,I482*(1+J482/30),J482))=X482,IF(N(I482)&gt;0,I482&amp;" x "&amp;J482,J482&amp;" reps"),IF(IF(N(L482)=0,0,IF(N(K482)&gt;0,K482*(1+L482/30),L482))=X482,IF(N(K482)&gt;0,K482&amp;" x "&amp;L482,L482&amp;" reps"),IF(IF(N(N482)=0,0,IF(N(M482)&gt;0,M482*(1+N482/30),N482))=X482,IF(N(M482)&gt;0,M482&amp;" x "&amp;N482,N482&amp;" reps"),""))))))</f>
        <v/>
      </c>
      <c r="R482" s="20">
        <f>IF(N(X482)=0,"",ROUND(X482,1))</f>
        <v/>
      </c>
      <c r="S482" s="18">
        <f>IF(N(X482)=0,"",IF(AND(COUNTIFS(Log!$D$6:$D$1505,D482,Log!$B$6:$B$1505,"&lt;"&amp;B482)&gt;0,COUNTIFS(Log!$D$6:$D$1505,D482,Log!$B$6:$B$1505,"&lt;"&amp;B482,Log!$X$6:$X$1505,"&gt;="&amp;X482)=0),"New best",""))</f>
        <v/>
      </c>
      <c r="T482" s="26" t="n"/>
      <c r="U482" s="1">
        <f>IF(D482="","",IFERROR(INDEX(Exercises!$C$6:$C$105,MATCH(D482,Exercises!$B$6:$B$105,0)),"Other"))</f>
        <v/>
      </c>
      <c r="V482">
        <f>IF(B482="","",IF(COUNTIF($B$6:B482,B482)=1,1,0))</f>
        <v/>
      </c>
      <c r="W482">
        <f>IF(B482="","",B482-WEEKDAY(B482,3))</f>
        <v/>
      </c>
      <c r="X482">
        <f>IF(D482="","",MAX(IF(N(F482)=0,0,IF(N(E482)&gt;0,E482*(1+F482/30),F482)),IF(N(H482)=0,0,IF(N(G482)&gt;0,G482*(1+H482/30),H482)),IF(N(J482)=0,0,IF(N(I482)&gt;0,I482*(1+J482/30),J482)),IF(N(L482)=0,0,IF(N(K482)&gt;0,K482*(1+L482/30),L482)),IF(N(N482)=0,0,IF(N(M482)&gt;0,M482*(1+N482/30),N482))))</f>
        <v/>
      </c>
      <c r="Y482">
        <f>IF(N(X482)=0,"",X482+ROW()/1000000000)</f>
        <v/>
      </c>
      <c r="Z482">
        <f>IF(Y482="","",IF(COUNTIFS(Log!$D$6:$D$1505,D482,Log!$Y$6:$Y$1505,"&gt;"&amp;Y482)=0,1,0))</f>
        <v/>
      </c>
      <c r="AA482">
        <f>IF(OR(B482="",D482=""),"",B482+ROW()/10000000)</f>
        <v/>
      </c>
      <c r="AB482">
        <f>IF(AA482="","",IF(COUNTIFS(Log!$D$6:$D$1505,D482,Log!$AA$6:$AA$1505,"&gt;"&amp;AA482)=0,1,0))</f>
        <v/>
      </c>
      <c r="AC482">
        <f>IF(S482="New best",AA482,"")</f>
        <v/>
      </c>
      <c r="AD482">
        <f>ROW()</f>
        <v/>
      </c>
    </row>
    <row r="483">
      <c r="A483" s="1" t="n"/>
      <c r="B483" s="21" t="n"/>
      <c r="C483" s="22" t="n"/>
      <c r="D483" s="23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15">
        <f>IF(D483="","",COUNT(F483,H483,J483,L483,N483))</f>
        <v/>
      </c>
      <c r="P483" s="25">
        <f>IF(D483="","",N(E483)*N(F483)+N(G483)*N(H483)+N(I483)*N(J483)+N(K483)*N(L483)+N(M483)*N(N483))</f>
        <v/>
      </c>
      <c r="Q483" s="18">
        <f>IF(N(X483)=0,"",IF(IF(N(F483)=0,0,IF(N(E483)&gt;0,E483*(1+F483/30),F483))=X483,IF(N(E483)&gt;0,E483&amp;" x "&amp;F483,F483&amp;" reps"),IF(IF(N(H483)=0,0,IF(N(G483)&gt;0,G483*(1+H483/30),H483))=X483,IF(N(G483)&gt;0,G483&amp;" x "&amp;H483,H483&amp;" reps"),IF(IF(N(J483)=0,0,IF(N(I483)&gt;0,I483*(1+J483/30),J483))=X483,IF(N(I483)&gt;0,I483&amp;" x "&amp;J483,J483&amp;" reps"),IF(IF(N(L483)=0,0,IF(N(K483)&gt;0,K483*(1+L483/30),L483))=X483,IF(N(K483)&gt;0,K483&amp;" x "&amp;L483,L483&amp;" reps"),IF(IF(N(N483)=0,0,IF(N(M483)&gt;0,M483*(1+N483/30),N483))=X483,IF(N(M483)&gt;0,M483&amp;" x "&amp;N483,N483&amp;" reps"),""))))))</f>
        <v/>
      </c>
      <c r="R483" s="20">
        <f>IF(N(X483)=0,"",ROUND(X483,1))</f>
        <v/>
      </c>
      <c r="S483" s="18">
        <f>IF(N(X483)=0,"",IF(AND(COUNTIFS(Log!$D$6:$D$1505,D483,Log!$B$6:$B$1505,"&lt;"&amp;B483)&gt;0,COUNTIFS(Log!$D$6:$D$1505,D483,Log!$B$6:$B$1505,"&lt;"&amp;B483,Log!$X$6:$X$1505,"&gt;="&amp;X483)=0),"New best",""))</f>
        <v/>
      </c>
      <c r="T483" s="26" t="n"/>
      <c r="U483" s="1">
        <f>IF(D483="","",IFERROR(INDEX(Exercises!$C$6:$C$105,MATCH(D483,Exercises!$B$6:$B$105,0)),"Other"))</f>
        <v/>
      </c>
      <c r="V483">
        <f>IF(B483="","",IF(COUNTIF($B$6:B483,B483)=1,1,0))</f>
        <v/>
      </c>
      <c r="W483">
        <f>IF(B483="","",B483-WEEKDAY(B483,3))</f>
        <v/>
      </c>
      <c r="X483">
        <f>IF(D483="","",MAX(IF(N(F483)=0,0,IF(N(E483)&gt;0,E483*(1+F483/30),F483)),IF(N(H483)=0,0,IF(N(G483)&gt;0,G483*(1+H483/30),H483)),IF(N(J483)=0,0,IF(N(I483)&gt;0,I483*(1+J483/30),J483)),IF(N(L483)=0,0,IF(N(K483)&gt;0,K483*(1+L483/30),L483)),IF(N(N483)=0,0,IF(N(M483)&gt;0,M483*(1+N483/30),N483))))</f>
        <v/>
      </c>
      <c r="Y483">
        <f>IF(N(X483)=0,"",X483+ROW()/1000000000)</f>
        <v/>
      </c>
      <c r="Z483">
        <f>IF(Y483="","",IF(COUNTIFS(Log!$D$6:$D$1505,D483,Log!$Y$6:$Y$1505,"&gt;"&amp;Y483)=0,1,0))</f>
        <v/>
      </c>
      <c r="AA483">
        <f>IF(OR(B483="",D483=""),"",B483+ROW()/10000000)</f>
        <v/>
      </c>
      <c r="AB483">
        <f>IF(AA483="","",IF(COUNTIFS(Log!$D$6:$D$1505,D483,Log!$AA$6:$AA$1505,"&gt;"&amp;AA483)=0,1,0))</f>
        <v/>
      </c>
      <c r="AC483">
        <f>IF(S483="New best",AA483,"")</f>
        <v/>
      </c>
      <c r="AD483">
        <f>ROW()</f>
        <v/>
      </c>
    </row>
    <row r="484">
      <c r="A484" s="1" t="n"/>
      <c r="B484" s="21" t="n"/>
      <c r="C484" s="22" t="n"/>
      <c r="D484" s="23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15">
        <f>IF(D484="","",COUNT(F484,H484,J484,L484,N484))</f>
        <v/>
      </c>
      <c r="P484" s="25">
        <f>IF(D484="","",N(E484)*N(F484)+N(G484)*N(H484)+N(I484)*N(J484)+N(K484)*N(L484)+N(M484)*N(N484))</f>
        <v/>
      </c>
      <c r="Q484" s="18">
        <f>IF(N(X484)=0,"",IF(IF(N(F484)=0,0,IF(N(E484)&gt;0,E484*(1+F484/30),F484))=X484,IF(N(E484)&gt;0,E484&amp;" x "&amp;F484,F484&amp;" reps"),IF(IF(N(H484)=0,0,IF(N(G484)&gt;0,G484*(1+H484/30),H484))=X484,IF(N(G484)&gt;0,G484&amp;" x "&amp;H484,H484&amp;" reps"),IF(IF(N(J484)=0,0,IF(N(I484)&gt;0,I484*(1+J484/30),J484))=X484,IF(N(I484)&gt;0,I484&amp;" x "&amp;J484,J484&amp;" reps"),IF(IF(N(L484)=0,0,IF(N(K484)&gt;0,K484*(1+L484/30),L484))=X484,IF(N(K484)&gt;0,K484&amp;" x "&amp;L484,L484&amp;" reps"),IF(IF(N(N484)=0,0,IF(N(M484)&gt;0,M484*(1+N484/30),N484))=X484,IF(N(M484)&gt;0,M484&amp;" x "&amp;N484,N484&amp;" reps"),""))))))</f>
        <v/>
      </c>
      <c r="R484" s="20">
        <f>IF(N(X484)=0,"",ROUND(X484,1))</f>
        <v/>
      </c>
      <c r="S484" s="18">
        <f>IF(N(X484)=0,"",IF(AND(COUNTIFS(Log!$D$6:$D$1505,D484,Log!$B$6:$B$1505,"&lt;"&amp;B484)&gt;0,COUNTIFS(Log!$D$6:$D$1505,D484,Log!$B$6:$B$1505,"&lt;"&amp;B484,Log!$X$6:$X$1505,"&gt;="&amp;X484)=0),"New best",""))</f>
        <v/>
      </c>
      <c r="T484" s="26" t="n"/>
      <c r="U484" s="1">
        <f>IF(D484="","",IFERROR(INDEX(Exercises!$C$6:$C$105,MATCH(D484,Exercises!$B$6:$B$105,0)),"Other"))</f>
        <v/>
      </c>
      <c r="V484">
        <f>IF(B484="","",IF(COUNTIF($B$6:B484,B484)=1,1,0))</f>
        <v/>
      </c>
      <c r="W484">
        <f>IF(B484="","",B484-WEEKDAY(B484,3))</f>
        <v/>
      </c>
      <c r="X484">
        <f>IF(D484="","",MAX(IF(N(F484)=0,0,IF(N(E484)&gt;0,E484*(1+F484/30),F484)),IF(N(H484)=0,0,IF(N(G484)&gt;0,G484*(1+H484/30),H484)),IF(N(J484)=0,0,IF(N(I484)&gt;0,I484*(1+J484/30),J484)),IF(N(L484)=0,0,IF(N(K484)&gt;0,K484*(1+L484/30),L484)),IF(N(N484)=0,0,IF(N(M484)&gt;0,M484*(1+N484/30),N484))))</f>
        <v/>
      </c>
      <c r="Y484">
        <f>IF(N(X484)=0,"",X484+ROW()/1000000000)</f>
        <v/>
      </c>
      <c r="Z484">
        <f>IF(Y484="","",IF(COUNTIFS(Log!$D$6:$D$1505,D484,Log!$Y$6:$Y$1505,"&gt;"&amp;Y484)=0,1,0))</f>
        <v/>
      </c>
      <c r="AA484">
        <f>IF(OR(B484="",D484=""),"",B484+ROW()/10000000)</f>
        <v/>
      </c>
      <c r="AB484">
        <f>IF(AA484="","",IF(COUNTIFS(Log!$D$6:$D$1505,D484,Log!$AA$6:$AA$1505,"&gt;"&amp;AA484)=0,1,0))</f>
        <v/>
      </c>
      <c r="AC484">
        <f>IF(S484="New best",AA484,"")</f>
        <v/>
      </c>
      <c r="AD484">
        <f>ROW()</f>
        <v/>
      </c>
    </row>
    <row r="485">
      <c r="A485" s="1" t="n"/>
      <c r="B485" s="21" t="n"/>
      <c r="C485" s="22" t="n"/>
      <c r="D485" s="23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15">
        <f>IF(D485="","",COUNT(F485,H485,J485,L485,N485))</f>
        <v/>
      </c>
      <c r="P485" s="25">
        <f>IF(D485="","",N(E485)*N(F485)+N(G485)*N(H485)+N(I485)*N(J485)+N(K485)*N(L485)+N(M485)*N(N485))</f>
        <v/>
      </c>
      <c r="Q485" s="18">
        <f>IF(N(X485)=0,"",IF(IF(N(F485)=0,0,IF(N(E485)&gt;0,E485*(1+F485/30),F485))=X485,IF(N(E485)&gt;0,E485&amp;" x "&amp;F485,F485&amp;" reps"),IF(IF(N(H485)=0,0,IF(N(G485)&gt;0,G485*(1+H485/30),H485))=X485,IF(N(G485)&gt;0,G485&amp;" x "&amp;H485,H485&amp;" reps"),IF(IF(N(J485)=0,0,IF(N(I485)&gt;0,I485*(1+J485/30),J485))=X485,IF(N(I485)&gt;0,I485&amp;" x "&amp;J485,J485&amp;" reps"),IF(IF(N(L485)=0,0,IF(N(K485)&gt;0,K485*(1+L485/30),L485))=X485,IF(N(K485)&gt;0,K485&amp;" x "&amp;L485,L485&amp;" reps"),IF(IF(N(N485)=0,0,IF(N(M485)&gt;0,M485*(1+N485/30),N485))=X485,IF(N(M485)&gt;0,M485&amp;" x "&amp;N485,N485&amp;" reps"),""))))))</f>
        <v/>
      </c>
      <c r="R485" s="20">
        <f>IF(N(X485)=0,"",ROUND(X485,1))</f>
        <v/>
      </c>
      <c r="S485" s="18">
        <f>IF(N(X485)=0,"",IF(AND(COUNTIFS(Log!$D$6:$D$1505,D485,Log!$B$6:$B$1505,"&lt;"&amp;B485)&gt;0,COUNTIFS(Log!$D$6:$D$1505,D485,Log!$B$6:$B$1505,"&lt;"&amp;B485,Log!$X$6:$X$1505,"&gt;="&amp;X485)=0),"New best",""))</f>
        <v/>
      </c>
      <c r="T485" s="26" t="n"/>
      <c r="U485" s="1">
        <f>IF(D485="","",IFERROR(INDEX(Exercises!$C$6:$C$105,MATCH(D485,Exercises!$B$6:$B$105,0)),"Other"))</f>
        <v/>
      </c>
      <c r="V485">
        <f>IF(B485="","",IF(COUNTIF($B$6:B485,B485)=1,1,0))</f>
        <v/>
      </c>
      <c r="W485">
        <f>IF(B485="","",B485-WEEKDAY(B485,3))</f>
        <v/>
      </c>
      <c r="X485">
        <f>IF(D485="","",MAX(IF(N(F485)=0,0,IF(N(E485)&gt;0,E485*(1+F485/30),F485)),IF(N(H485)=0,0,IF(N(G485)&gt;0,G485*(1+H485/30),H485)),IF(N(J485)=0,0,IF(N(I485)&gt;0,I485*(1+J485/30),J485)),IF(N(L485)=0,0,IF(N(K485)&gt;0,K485*(1+L485/30),L485)),IF(N(N485)=0,0,IF(N(M485)&gt;0,M485*(1+N485/30),N485))))</f>
        <v/>
      </c>
      <c r="Y485">
        <f>IF(N(X485)=0,"",X485+ROW()/1000000000)</f>
        <v/>
      </c>
      <c r="Z485">
        <f>IF(Y485="","",IF(COUNTIFS(Log!$D$6:$D$1505,D485,Log!$Y$6:$Y$1505,"&gt;"&amp;Y485)=0,1,0))</f>
        <v/>
      </c>
      <c r="AA485">
        <f>IF(OR(B485="",D485=""),"",B485+ROW()/10000000)</f>
        <v/>
      </c>
      <c r="AB485">
        <f>IF(AA485="","",IF(COUNTIFS(Log!$D$6:$D$1505,D485,Log!$AA$6:$AA$1505,"&gt;"&amp;AA485)=0,1,0))</f>
        <v/>
      </c>
      <c r="AC485">
        <f>IF(S485="New best",AA485,"")</f>
        <v/>
      </c>
      <c r="AD485">
        <f>ROW()</f>
        <v/>
      </c>
    </row>
    <row r="486">
      <c r="A486" s="1" t="n"/>
      <c r="B486" s="21" t="n"/>
      <c r="C486" s="22" t="n"/>
      <c r="D486" s="23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15">
        <f>IF(D486="","",COUNT(F486,H486,J486,L486,N486))</f>
        <v/>
      </c>
      <c r="P486" s="25">
        <f>IF(D486="","",N(E486)*N(F486)+N(G486)*N(H486)+N(I486)*N(J486)+N(K486)*N(L486)+N(M486)*N(N486))</f>
        <v/>
      </c>
      <c r="Q486" s="18">
        <f>IF(N(X486)=0,"",IF(IF(N(F486)=0,0,IF(N(E486)&gt;0,E486*(1+F486/30),F486))=X486,IF(N(E486)&gt;0,E486&amp;" x "&amp;F486,F486&amp;" reps"),IF(IF(N(H486)=0,0,IF(N(G486)&gt;0,G486*(1+H486/30),H486))=X486,IF(N(G486)&gt;0,G486&amp;" x "&amp;H486,H486&amp;" reps"),IF(IF(N(J486)=0,0,IF(N(I486)&gt;0,I486*(1+J486/30),J486))=X486,IF(N(I486)&gt;0,I486&amp;" x "&amp;J486,J486&amp;" reps"),IF(IF(N(L486)=0,0,IF(N(K486)&gt;0,K486*(1+L486/30),L486))=X486,IF(N(K486)&gt;0,K486&amp;" x "&amp;L486,L486&amp;" reps"),IF(IF(N(N486)=0,0,IF(N(M486)&gt;0,M486*(1+N486/30),N486))=X486,IF(N(M486)&gt;0,M486&amp;" x "&amp;N486,N486&amp;" reps"),""))))))</f>
        <v/>
      </c>
      <c r="R486" s="20">
        <f>IF(N(X486)=0,"",ROUND(X486,1))</f>
        <v/>
      </c>
      <c r="S486" s="18">
        <f>IF(N(X486)=0,"",IF(AND(COUNTIFS(Log!$D$6:$D$1505,D486,Log!$B$6:$B$1505,"&lt;"&amp;B486)&gt;0,COUNTIFS(Log!$D$6:$D$1505,D486,Log!$B$6:$B$1505,"&lt;"&amp;B486,Log!$X$6:$X$1505,"&gt;="&amp;X486)=0),"New best",""))</f>
        <v/>
      </c>
      <c r="T486" s="26" t="n"/>
      <c r="U486" s="1">
        <f>IF(D486="","",IFERROR(INDEX(Exercises!$C$6:$C$105,MATCH(D486,Exercises!$B$6:$B$105,0)),"Other"))</f>
        <v/>
      </c>
      <c r="V486">
        <f>IF(B486="","",IF(COUNTIF($B$6:B486,B486)=1,1,0))</f>
        <v/>
      </c>
      <c r="W486">
        <f>IF(B486="","",B486-WEEKDAY(B486,3))</f>
        <v/>
      </c>
      <c r="X486">
        <f>IF(D486="","",MAX(IF(N(F486)=0,0,IF(N(E486)&gt;0,E486*(1+F486/30),F486)),IF(N(H486)=0,0,IF(N(G486)&gt;0,G486*(1+H486/30),H486)),IF(N(J486)=0,0,IF(N(I486)&gt;0,I486*(1+J486/30),J486)),IF(N(L486)=0,0,IF(N(K486)&gt;0,K486*(1+L486/30),L486)),IF(N(N486)=0,0,IF(N(M486)&gt;0,M486*(1+N486/30),N486))))</f>
        <v/>
      </c>
      <c r="Y486">
        <f>IF(N(X486)=0,"",X486+ROW()/1000000000)</f>
        <v/>
      </c>
      <c r="Z486">
        <f>IF(Y486="","",IF(COUNTIFS(Log!$D$6:$D$1505,D486,Log!$Y$6:$Y$1505,"&gt;"&amp;Y486)=0,1,0))</f>
        <v/>
      </c>
      <c r="AA486">
        <f>IF(OR(B486="",D486=""),"",B486+ROW()/10000000)</f>
        <v/>
      </c>
      <c r="AB486">
        <f>IF(AA486="","",IF(COUNTIFS(Log!$D$6:$D$1505,D486,Log!$AA$6:$AA$1505,"&gt;"&amp;AA486)=0,1,0))</f>
        <v/>
      </c>
      <c r="AC486">
        <f>IF(S486="New best",AA486,"")</f>
        <v/>
      </c>
      <c r="AD486">
        <f>ROW()</f>
        <v/>
      </c>
    </row>
    <row r="487">
      <c r="A487" s="1" t="n"/>
      <c r="B487" s="21" t="n"/>
      <c r="C487" s="22" t="n"/>
      <c r="D487" s="23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15">
        <f>IF(D487="","",COUNT(F487,H487,J487,L487,N487))</f>
        <v/>
      </c>
      <c r="P487" s="25">
        <f>IF(D487="","",N(E487)*N(F487)+N(G487)*N(H487)+N(I487)*N(J487)+N(K487)*N(L487)+N(M487)*N(N487))</f>
        <v/>
      </c>
      <c r="Q487" s="18">
        <f>IF(N(X487)=0,"",IF(IF(N(F487)=0,0,IF(N(E487)&gt;0,E487*(1+F487/30),F487))=X487,IF(N(E487)&gt;0,E487&amp;" x "&amp;F487,F487&amp;" reps"),IF(IF(N(H487)=0,0,IF(N(G487)&gt;0,G487*(1+H487/30),H487))=X487,IF(N(G487)&gt;0,G487&amp;" x "&amp;H487,H487&amp;" reps"),IF(IF(N(J487)=0,0,IF(N(I487)&gt;0,I487*(1+J487/30),J487))=X487,IF(N(I487)&gt;0,I487&amp;" x "&amp;J487,J487&amp;" reps"),IF(IF(N(L487)=0,0,IF(N(K487)&gt;0,K487*(1+L487/30),L487))=X487,IF(N(K487)&gt;0,K487&amp;" x "&amp;L487,L487&amp;" reps"),IF(IF(N(N487)=0,0,IF(N(M487)&gt;0,M487*(1+N487/30),N487))=X487,IF(N(M487)&gt;0,M487&amp;" x "&amp;N487,N487&amp;" reps"),""))))))</f>
        <v/>
      </c>
      <c r="R487" s="20">
        <f>IF(N(X487)=0,"",ROUND(X487,1))</f>
        <v/>
      </c>
      <c r="S487" s="18">
        <f>IF(N(X487)=0,"",IF(AND(COUNTIFS(Log!$D$6:$D$1505,D487,Log!$B$6:$B$1505,"&lt;"&amp;B487)&gt;0,COUNTIFS(Log!$D$6:$D$1505,D487,Log!$B$6:$B$1505,"&lt;"&amp;B487,Log!$X$6:$X$1505,"&gt;="&amp;X487)=0),"New best",""))</f>
        <v/>
      </c>
      <c r="T487" s="26" t="n"/>
      <c r="U487" s="1">
        <f>IF(D487="","",IFERROR(INDEX(Exercises!$C$6:$C$105,MATCH(D487,Exercises!$B$6:$B$105,0)),"Other"))</f>
        <v/>
      </c>
      <c r="V487">
        <f>IF(B487="","",IF(COUNTIF($B$6:B487,B487)=1,1,0))</f>
        <v/>
      </c>
      <c r="W487">
        <f>IF(B487="","",B487-WEEKDAY(B487,3))</f>
        <v/>
      </c>
      <c r="X487">
        <f>IF(D487="","",MAX(IF(N(F487)=0,0,IF(N(E487)&gt;0,E487*(1+F487/30),F487)),IF(N(H487)=0,0,IF(N(G487)&gt;0,G487*(1+H487/30),H487)),IF(N(J487)=0,0,IF(N(I487)&gt;0,I487*(1+J487/30),J487)),IF(N(L487)=0,0,IF(N(K487)&gt;0,K487*(1+L487/30),L487)),IF(N(N487)=0,0,IF(N(M487)&gt;0,M487*(1+N487/30),N487))))</f>
        <v/>
      </c>
      <c r="Y487">
        <f>IF(N(X487)=0,"",X487+ROW()/1000000000)</f>
        <v/>
      </c>
      <c r="Z487">
        <f>IF(Y487="","",IF(COUNTIFS(Log!$D$6:$D$1505,D487,Log!$Y$6:$Y$1505,"&gt;"&amp;Y487)=0,1,0))</f>
        <v/>
      </c>
      <c r="AA487">
        <f>IF(OR(B487="",D487=""),"",B487+ROW()/10000000)</f>
        <v/>
      </c>
      <c r="AB487">
        <f>IF(AA487="","",IF(COUNTIFS(Log!$D$6:$D$1505,D487,Log!$AA$6:$AA$1505,"&gt;"&amp;AA487)=0,1,0))</f>
        <v/>
      </c>
      <c r="AC487">
        <f>IF(S487="New best",AA487,"")</f>
        <v/>
      </c>
      <c r="AD487">
        <f>ROW()</f>
        <v/>
      </c>
    </row>
    <row r="488">
      <c r="A488" s="1" t="n"/>
      <c r="B488" s="21" t="n"/>
      <c r="C488" s="22" t="n"/>
      <c r="D488" s="23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15">
        <f>IF(D488="","",COUNT(F488,H488,J488,L488,N488))</f>
        <v/>
      </c>
      <c r="P488" s="25">
        <f>IF(D488="","",N(E488)*N(F488)+N(G488)*N(H488)+N(I488)*N(J488)+N(K488)*N(L488)+N(M488)*N(N488))</f>
        <v/>
      </c>
      <c r="Q488" s="18">
        <f>IF(N(X488)=0,"",IF(IF(N(F488)=0,0,IF(N(E488)&gt;0,E488*(1+F488/30),F488))=X488,IF(N(E488)&gt;0,E488&amp;" x "&amp;F488,F488&amp;" reps"),IF(IF(N(H488)=0,0,IF(N(G488)&gt;0,G488*(1+H488/30),H488))=X488,IF(N(G488)&gt;0,G488&amp;" x "&amp;H488,H488&amp;" reps"),IF(IF(N(J488)=0,0,IF(N(I488)&gt;0,I488*(1+J488/30),J488))=X488,IF(N(I488)&gt;0,I488&amp;" x "&amp;J488,J488&amp;" reps"),IF(IF(N(L488)=0,0,IF(N(K488)&gt;0,K488*(1+L488/30),L488))=X488,IF(N(K488)&gt;0,K488&amp;" x "&amp;L488,L488&amp;" reps"),IF(IF(N(N488)=0,0,IF(N(M488)&gt;0,M488*(1+N488/30),N488))=X488,IF(N(M488)&gt;0,M488&amp;" x "&amp;N488,N488&amp;" reps"),""))))))</f>
        <v/>
      </c>
      <c r="R488" s="20">
        <f>IF(N(X488)=0,"",ROUND(X488,1))</f>
        <v/>
      </c>
      <c r="S488" s="18">
        <f>IF(N(X488)=0,"",IF(AND(COUNTIFS(Log!$D$6:$D$1505,D488,Log!$B$6:$B$1505,"&lt;"&amp;B488)&gt;0,COUNTIFS(Log!$D$6:$D$1505,D488,Log!$B$6:$B$1505,"&lt;"&amp;B488,Log!$X$6:$X$1505,"&gt;="&amp;X488)=0),"New best",""))</f>
        <v/>
      </c>
      <c r="T488" s="26" t="n"/>
      <c r="U488" s="1">
        <f>IF(D488="","",IFERROR(INDEX(Exercises!$C$6:$C$105,MATCH(D488,Exercises!$B$6:$B$105,0)),"Other"))</f>
        <v/>
      </c>
      <c r="V488">
        <f>IF(B488="","",IF(COUNTIF($B$6:B488,B488)=1,1,0))</f>
        <v/>
      </c>
      <c r="W488">
        <f>IF(B488="","",B488-WEEKDAY(B488,3))</f>
        <v/>
      </c>
      <c r="X488">
        <f>IF(D488="","",MAX(IF(N(F488)=0,0,IF(N(E488)&gt;0,E488*(1+F488/30),F488)),IF(N(H488)=0,0,IF(N(G488)&gt;0,G488*(1+H488/30),H488)),IF(N(J488)=0,0,IF(N(I488)&gt;0,I488*(1+J488/30),J488)),IF(N(L488)=0,0,IF(N(K488)&gt;0,K488*(1+L488/30),L488)),IF(N(N488)=0,0,IF(N(M488)&gt;0,M488*(1+N488/30),N488))))</f>
        <v/>
      </c>
      <c r="Y488">
        <f>IF(N(X488)=0,"",X488+ROW()/1000000000)</f>
        <v/>
      </c>
      <c r="Z488">
        <f>IF(Y488="","",IF(COUNTIFS(Log!$D$6:$D$1505,D488,Log!$Y$6:$Y$1505,"&gt;"&amp;Y488)=0,1,0))</f>
        <v/>
      </c>
      <c r="AA488">
        <f>IF(OR(B488="",D488=""),"",B488+ROW()/10000000)</f>
        <v/>
      </c>
      <c r="AB488">
        <f>IF(AA488="","",IF(COUNTIFS(Log!$D$6:$D$1505,D488,Log!$AA$6:$AA$1505,"&gt;"&amp;AA488)=0,1,0))</f>
        <v/>
      </c>
      <c r="AC488">
        <f>IF(S488="New best",AA488,"")</f>
        <v/>
      </c>
      <c r="AD488">
        <f>ROW()</f>
        <v/>
      </c>
    </row>
    <row r="489">
      <c r="A489" s="1" t="n"/>
      <c r="B489" s="21" t="n"/>
      <c r="C489" s="22" t="n"/>
      <c r="D489" s="23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15">
        <f>IF(D489="","",COUNT(F489,H489,J489,L489,N489))</f>
        <v/>
      </c>
      <c r="P489" s="25">
        <f>IF(D489="","",N(E489)*N(F489)+N(G489)*N(H489)+N(I489)*N(J489)+N(K489)*N(L489)+N(M489)*N(N489))</f>
        <v/>
      </c>
      <c r="Q489" s="18">
        <f>IF(N(X489)=0,"",IF(IF(N(F489)=0,0,IF(N(E489)&gt;0,E489*(1+F489/30),F489))=X489,IF(N(E489)&gt;0,E489&amp;" x "&amp;F489,F489&amp;" reps"),IF(IF(N(H489)=0,0,IF(N(G489)&gt;0,G489*(1+H489/30),H489))=X489,IF(N(G489)&gt;0,G489&amp;" x "&amp;H489,H489&amp;" reps"),IF(IF(N(J489)=0,0,IF(N(I489)&gt;0,I489*(1+J489/30),J489))=X489,IF(N(I489)&gt;0,I489&amp;" x "&amp;J489,J489&amp;" reps"),IF(IF(N(L489)=0,0,IF(N(K489)&gt;0,K489*(1+L489/30),L489))=X489,IF(N(K489)&gt;0,K489&amp;" x "&amp;L489,L489&amp;" reps"),IF(IF(N(N489)=0,0,IF(N(M489)&gt;0,M489*(1+N489/30),N489))=X489,IF(N(M489)&gt;0,M489&amp;" x "&amp;N489,N489&amp;" reps"),""))))))</f>
        <v/>
      </c>
      <c r="R489" s="20">
        <f>IF(N(X489)=0,"",ROUND(X489,1))</f>
        <v/>
      </c>
      <c r="S489" s="18">
        <f>IF(N(X489)=0,"",IF(AND(COUNTIFS(Log!$D$6:$D$1505,D489,Log!$B$6:$B$1505,"&lt;"&amp;B489)&gt;0,COUNTIFS(Log!$D$6:$D$1505,D489,Log!$B$6:$B$1505,"&lt;"&amp;B489,Log!$X$6:$X$1505,"&gt;="&amp;X489)=0),"New best",""))</f>
        <v/>
      </c>
      <c r="T489" s="26" t="n"/>
      <c r="U489" s="1">
        <f>IF(D489="","",IFERROR(INDEX(Exercises!$C$6:$C$105,MATCH(D489,Exercises!$B$6:$B$105,0)),"Other"))</f>
        <v/>
      </c>
      <c r="V489">
        <f>IF(B489="","",IF(COUNTIF($B$6:B489,B489)=1,1,0))</f>
        <v/>
      </c>
      <c r="W489">
        <f>IF(B489="","",B489-WEEKDAY(B489,3))</f>
        <v/>
      </c>
      <c r="X489">
        <f>IF(D489="","",MAX(IF(N(F489)=0,0,IF(N(E489)&gt;0,E489*(1+F489/30),F489)),IF(N(H489)=0,0,IF(N(G489)&gt;0,G489*(1+H489/30),H489)),IF(N(J489)=0,0,IF(N(I489)&gt;0,I489*(1+J489/30),J489)),IF(N(L489)=0,0,IF(N(K489)&gt;0,K489*(1+L489/30),L489)),IF(N(N489)=0,0,IF(N(M489)&gt;0,M489*(1+N489/30),N489))))</f>
        <v/>
      </c>
      <c r="Y489">
        <f>IF(N(X489)=0,"",X489+ROW()/1000000000)</f>
        <v/>
      </c>
      <c r="Z489">
        <f>IF(Y489="","",IF(COUNTIFS(Log!$D$6:$D$1505,D489,Log!$Y$6:$Y$1505,"&gt;"&amp;Y489)=0,1,0))</f>
        <v/>
      </c>
      <c r="AA489">
        <f>IF(OR(B489="",D489=""),"",B489+ROW()/10000000)</f>
        <v/>
      </c>
      <c r="AB489">
        <f>IF(AA489="","",IF(COUNTIFS(Log!$D$6:$D$1505,D489,Log!$AA$6:$AA$1505,"&gt;"&amp;AA489)=0,1,0))</f>
        <v/>
      </c>
      <c r="AC489">
        <f>IF(S489="New best",AA489,"")</f>
        <v/>
      </c>
      <c r="AD489">
        <f>ROW()</f>
        <v/>
      </c>
    </row>
    <row r="490">
      <c r="A490" s="1" t="n"/>
      <c r="B490" s="21" t="n"/>
      <c r="C490" s="22" t="n"/>
      <c r="D490" s="23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15">
        <f>IF(D490="","",COUNT(F490,H490,J490,L490,N490))</f>
        <v/>
      </c>
      <c r="P490" s="25">
        <f>IF(D490="","",N(E490)*N(F490)+N(G490)*N(H490)+N(I490)*N(J490)+N(K490)*N(L490)+N(M490)*N(N490))</f>
        <v/>
      </c>
      <c r="Q490" s="18">
        <f>IF(N(X490)=0,"",IF(IF(N(F490)=0,0,IF(N(E490)&gt;0,E490*(1+F490/30),F490))=X490,IF(N(E490)&gt;0,E490&amp;" x "&amp;F490,F490&amp;" reps"),IF(IF(N(H490)=0,0,IF(N(G490)&gt;0,G490*(1+H490/30),H490))=X490,IF(N(G490)&gt;0,G490&amp;" x "&amp;H490,H490&amp;" reps"),IF(IF(N(J490)=0,0,IF(N(I490)&gt;0,I490*(1+J490/30),J490))=X490,IF(N(I490)&gt;0,I490&amp;" x "&amp;J490,J490&amp;" reps"),IF(IF(N(L490)=0,0,IF(N(K490)&gt;0,K490*(1+L490/30),L490))=X490,IF(N(K490)&gt;0,K490&amp;" x "&amp;L490,L490&amp;" reps"),IF(IF(N(N490)=0,0,IF(N(M490)&gt;0,M490*(1+N490/30),N490))=X490,IF(N(M490)&gt;0,M490&amp;" x "&amp;N490,N490&amp;" reps"),""))))))</f>
        <v/>
      </c>
      <c r="R490" s="20">
        <f>IF(N(X490)=0,"",ROUND(X490,1))</f>
        <v/>
      </c>
      <c r="S490" s="18">
        <f>IF(N(X490)=0,"",IF(AND(COUNTIFS(Log!$D$6:$D$1505,D490,Log!$B$6:$B$1505,"&lt;"&amp;B490)&gt;0,COUNTIFS(Log!$D$6:$D$1505,D490,Log!$B$6:$B$1505,"&lt;"&amp;B490,Log!$X$6:$X$1505,"&gt;="&amp;X490)=0),"New best",""))</f>
        <v/>
      </c>
      <c r="T490" s="26" t="n"/>
      <c r="U490" s="1">
        <f>IF(D490="","",IFERROR(INDEX(Exercises!$C$6:$C$105,MATCH(D490,Exercises!$B$6:$B$105,0)),"Other"))</f>
        <v/>
      </c>
      <c r="V490">
        <f>IF(B490="","",IF(COUNTIF($B$6:B490,B490)=1,1,0))</f>
        <v/>
      </c>
      <c r="W490">
        <f>IF(B490="","",B490-WEEKDAY(B490,3))</f>
        <v/>
      </c>
      <c r="X490">
        <f>IF(D490="","",MAX(IF(N(F490)=0,0,IF(N(E490)&gt;0,E490*(1+F490/30),F490)),IF(N(H490)=0,0,IF(N(G490)&gt;0,G490*(1+H490/30),H490)),IF(N(J490)=0,0,IF(N(I490)&gt;0,I490*(1+J490/30),J490)),IF(N(L490)=0,0,IF(N(K490)&gt;0,K490*(1+L490/30),L490)),IF(N(N490)=0,0,IF(N(M490)&gt;0,M490*(1+N490/30),N490))))</f>
        <v/>
      </c>
      <c r="Y490">
        <f>IF(N(X490)=0,"",X490+ROW()/1000000000)</f>
        <v/>
      </c>
      <c r="Z490">
        <f>IF(Y490="","",IF(COUNTIFS(Log!$D$6:$D$1505,D490,Log!$Y$6:$Y$1505,"&gt;"&amp;Y490)=0,1,0))</f>
        <v/>
      </c>
      <c r="AA490">
        <f>IF(OR(B490="",D490=""),"",B490+ROW()/10000000)</f>
        <v/>
      </c>
      <c r="AB490">
        <f>IF(AA490="","",IF(COUNTIFS(Log!$D$6:$D$1505,D490,Log!$AA$6:$AA$1505,"&gt;"&amp;AA490)=0,1,0))</f>
        <v/>
      </c>
      <c r="AC490">
        <f>IF(S490="New best",AA490,"")</f>
        <v/>
      </c>
      <c r="AD490">
        <f>ROW()</f>
        <v/>
      </c>
    </row>
    <row r="491">
      <c r="A491" s="1" t="n"/>
      <c r="B491" s="21" t="n"/>
      <c r="C491" s="22" t="n"/>
      <c r="D491" s="23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15">
        <f>IF(D491="","",COUNT(F491,H491,J491,L491,N491))</f>
        <v/>
      </c>
      <c r="P491" s="25">
        <f>IF(D491="","",N(E491)*N(F491)+N(G491)*N(H491)+N(I491)*N(J491)+N(K491)*N(L491)+N(M491)*N(N491))</f>
        <v/>
      </c>
      <c r="Q491" s="18">
        <f>IF(N(X491)=0,"",IF(IF(N(F491)=0,0,IF(N(E491)&gt;0,E491*(1+F491/30),F491))=X491,IF(N(E491)&gt;0,E491&amp;" x "&amp;F491,F491&amp;" reps"),IF(IF(N(H491)=0,0,IF(N(G491)&gt;0,G491*(1+H491/30),H491))=X491,IF(N(G491)&gt;0,G491&amp;" x "&amp;H491,H491&amp;" reps"),IF(IF(N(J491)=0,0,IF(N(I491)&gt;0,I491*(1+J491/30),J491))=X491,IF(N(I491)&gt;0,I491&amp;" x "&amp;J491,J491&amp;" reps"),IF(IF(N(L491)=0,0,IF(N(K491)&gt;0,K491*(1+L491/30),L491))=X491,IF(N(K491)&gt;0,K491&amp;" x "&amp;L491,L491&amp;" reps"),IF(IF(N(N491)=0,0,IF(N(M491)&gt;0,M491*(1+N491/30),N491))=X491,IF(N(M491)&gt;0,M491&amp;" x "&amp;N491,N491&amp;" reps"),""))))))</f>
        <v/>
      </c>
      <c r="R491" s="20">
        <f>IF(N(X491)=0,"",ROUND(X491,1))</f>
        <v/>
      </c>
      <c r="S491" s="18">
        <f>IF(N(X491)=0,"",IF(AND(COUNTIFS(Log!$D$6:$D$1505,D491,Log!$B$6:$B$1505,"&lt;"&amp;B491)&gt;0,COUNTIFS(Log!$D$6:$D$1505,D491,Log!$B$6:$B$1505,"&lt;"&amp;B491,Log!$X$6:$X$1505,"&gt;="&amp;X491)=0),"New best",""))</f>
        <v/>
      </c>
      <c r="T491" s="26" t="n"/>
      <c r="U491" s="1">
        <f>IF(D491="","",IFERROR(INDEX(Exercises!$C$6:$C$105,MATCH(D491,Exercises!$B$6:$B$105,0)),"Other"))</f>
        <v/>
      </c>
      <c r="V491">
        <f>IF(B491="","",IF(COUNTIF($B$6:B491,B491)=1,1,0))</f>
        <v/>
      </c>
      <c r="W491">
        <f>IF(B491="","",B491-WEEKDAY(B491,3))</f>
        <v/>
      </c>
      <c r="X491">
        <f>IF(D491="","",MAX(IF(N(F491)=0,0,IF(N(E491)&gt;0,E491*(1+F491/30),F491)),IF(N(H491)=0,0,IF(N(G491)&gt;0,G491*(1+H491/30),H491)),IF(N(J491)=0,0,IF(N(I491)&gt;0,I491*(1+J491/30),J491)),IF(N(L491)=0,0,IF(N(K491)&gt;0,K491*(1+L491/30),L491)),IF(N(N491)=0,0,IF(N(M491)&gt;0,M491*(1+N491/30),N491))))</f>
        <v/>
      </c>
      <c r="Y491">
        <f>IF(N(X491)=0,"",X491+ROW()/1000000000)</f>
        <v/>
      </c>
      <c r="Z491">
        <f>IF(Y491="","",IF(COUNTIFS(Log!$D$6:$D$1505,D491,Log!$Y$6:$Y$1505,"&gt;"&amp;Y491)=0,1,0))</f>
        <v/>
      </c>
      <c r="AA491">
        <f>IF(OR(B491="",D491=""),"",B491+ROW()/10000000)</f>
        <v/>
      </c>
      <c r="AB491">
        <f>IF(AA491="","",IF(COUNTIFS(Log!$D$6:$D$1505,D491,Log!$AA$6:$AA$1505,"&gt;"&amp;AA491)=0,1,0))</f>
        <v/>
      </c>
      <c r="AC491">
        <f>IF(S491="New best",AA491,"")</f>
        <v/>
      </c>
      <c r="AD491">
        <f>ROW()</f>
        <v/>
      </c>
    </row>
    <row r="492">
      <c r="A492" s="1" t="n"/>
      <c r="B492" s="21" t="n"/>
      <c r="C492" s="22" t="n"/>
      <c r="D492" s="23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15">
        <f>IF(D492="","",COUNT(F492,H492,J492,L492,N492))</f>
        <v/>
      </c>
      <c r="P492" s="25">
        <f>IF(D492="","",N(E492)*N(F492)+N(G492)*N(H492)+N(I492)*N(J492)+N(K492)*N(L492)+N(M492)*N(N492))</f>
        <v/>
      </c>
      <c r="Q492" s="18">
        <f>IF(N(X492)=0,"",IF(IF(N(F492)=0,0,IF(N(E492)&gt;0,E492*(1+F492/30),F492))=X492,IF(N(E492)&gt;0,E492&amp;" x "&amp;F492,F492&amp;" reps"),IF(IF(N(H492)=0,0,IF(N(G492)&gt;0,G492*(1+H492/30),H492))=X492,IF(N(G492)&gt;0,G492&amp;" x "&amp;H492,H492&amp;" reps"),IF(IF(N(J492)=0,0,IF(N(I492)&gt;0,I492*(1+J492/30),J492))=X492,IF(N(I492)&gt;0,I492&amp;" x "&amp;J492,J492&amp;" reps"),IF(IF(N(L492)=0,0,IF(N(K492)&gt;0,K492*(1+L492/30),L492))=X492,IF(N(K492)&gt;0,K492&amp;" x "&amp;L492,L492&amp;" reps"),IF(IF(N(N492)=0,0,IF(N(M492)&gt;0,M492*(1+N492/30),N492))=X492,IF(N(M492)&gt;0,M492&amp;" x "&amp;N492,N492&amp;" reps"),""))))))</f>
        <v/>
      </c>
      <c r="R492" s="20">
        <f>IF(N(X492)=0,"",ROUND(X492,1))</f>
        <v/>
      </c>
      <c r="S492" s="18">
        <f>IF(N(X492)=0,"",IF(AND(COUNTIFS(Log!$D$6:$D$1505,D492,Log!$B$6:$B$1505,"&lt;"&amp;B492)&gt;0,COUNTIFS(Log!$D$6:$D$1505,D492,Log!$B$6:$B$1505,"&lt;"&amp;B492,Log!$X$6:$X$1505,"&gt;="&amp;X492)=0),"New best",""))</f>
        <v/>
      </c>
      <c r="T492" s="26" t="n"/>
      <c r="U492" s="1">
        <f>IF(D492="","",IFERROR(INDEX(Exercises!$C$6:$C$105,MATCH(D492,Exercises!$B$6:$B$105,0)),"Other"))</f>
        <v/>
      </c>
      <c r="V492">
        <f>IF(B492="","",IF(COUNTIF($B$6:B492,B492)=1,1,0))</f>
        <v/>
      </c>
      <c r="W492">
        <f>IF(B492="","",B492-WEEKDAY(B492,3))</f>
        <v/>
      </c>
      <c r="X492">
        <f>IF(D492="","",MAX(IF(N(F492)=0,0,IF(N(E492)&gt;0,E492*(1+F492/30),F492)),IF(N(H492)=0,0,IF(N(G492)&gt;0,G492*(1+H492/30),H492)),IF(N(J492)=0,0,IF(N(I492)&gt;0,I492*(1+J492/30),J492)),IF(N(L492)=0,0,IF(N(K492)&gt;0,K492*(1+L492/30),L492)),IF(N(N492)=0,0,IF(N(M492)&gt;0,M492*(1+N492/30),N492))))</f>
        <v/>
      </c>
      <c r="Y492">
        <f>IF(N(X492)=0,"",X492+ROW()/1000000000)</f>
        <v/>
      </c>
      <c r="Z492">
        <f>IF(Y492="","",IF(COUNTIFS(Log!$D$6:$D$1505,D492,Log!$Y$6:$Y$1505,"&gt;"&amp;Y492)=0,1,0))</f>
        <v/>
      </c>
      <c r="AA492">
        <f>IF(OR(B492="",D492=""),"",B492+ROW()/10000000)</f>
        <v/>
      </c>
      <c r="AB492">
        <f>IF(AA492="","",IF(COUNTIFS(Log!$D$6:$D$1505,D492,Log!$AA$6:$AA$1505,"&gt;"&amp;AA492)=0,1,0))</f>
        <v/>
      </c>
      <c r="AC492">
        <f>IF(S492="New best",AA492,"")</f>
        <v/>
      </c>
      <c r="AD492">
        <f>ROW()</f>
        <v/>
      </c>
    </row>
    <row r="493">
      <c r="A493" s="1" t="n"/>
      <c r="B493" s="21" t="n"/>
      <c r="C493" s="22" t="n"/>
      <c r="D493" s="23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15">
        <f>IF(D493="","",COUNT(F493,H493,J493,L493,N493))</f>
        <v/>
      </c>
      <c r="P493" s="25">
        <f>IF(D493="","",N(E493)*N(F493)+N(G493)*N(H493)+N(I493)*N(J493)+N(K493)*N(L493)+N(M493)*N(N493))</f>
        <v/>
      </c>
      <c r="Q493" s="18">
        <f>IF(N(X493)=0,"",IF(IF(N(F493)=0,0,IF(N(E493)&gt;0,E493*(1+F493/30),F493))=X493,IF(N(E493)&gt;0,E493&amp;" x "&amp;F493,F493&amp;" reps"),IF(IF(N(H493)=0,0,IF(N(G493)&gt;0,G493*(1+H493/30),H493))=X493,IF(N(G493)&gt;0,G493&amp;" x "&amp;H493,H493&amp;" reps"),IF(IF(N(J493)=0,0,IF(N(I493)&gt;0,I493*(1+J493/30),J493))=X493,IF(N(I493)&gt;0,I493&amp;" x "&amp;J493,J493&amp;" reps"),IF(IF(N(L493)=0,0,IF(N(K493)&gt;0,K493*(1+L493/30),L493))=X493,IF(N(K493)&gt;0,K493&amp;" x "&amp;L493,L493&amp;" reps"),IF(IF(N(N493)=0,0,IF(N(M493)&gt;0,M493*(1+N493/30),N493))=X493,IF(N(M493)&gt;0,M493&amp;" x "&amp;N493,N493&amp;" reps"),""))))))</f>
        <v/>
      </c>
      <c r="R493" s="20">
        <f>IF(N(X493)=0,"",ROUND(X493,1))</f>
        <v/>
      </c>
      <c r="S493" s="18">
        <f>IF(N(X493)=0,"",IF(AND(COUNTIFS(Log!$D$6:$D$1505,D493,Log!$B$6:$B$1505,"&lt;"&amp;B493)&gt;0,COUNTIFS(Log!$D$6:$D$1505,D493,Log!$B$6:$B$1505,"&lt;"&amp;B493,Log!$X$6:$X$1505,"&gt;="&amp;X493)=0),"New best",""))</f>
        <v/>
      </c>
      <c r="T493" s="26" t="n"/>
      <c r="U493" s="1">
        <f>IF(D493="","",IFERROR(INDEX(Exercises!$C$6:$C$105,MATCH(D493,Exercises!$B$6:$B$105,0)),"Other"))</f>
        <v/>
      </c>
      <c r="V493">
        <f>IF(B493="","",IF(COUNTIF($B$6:B493,B493)=1,1,0))</f>
        <v/>
      </c>
      <c r="W493">
        <f>IF(B493="","",B493-WEEKDAY(B493,3))</f>
        <v/>
      </c>
      <c r="X493">
        <f>IF(D493="","",MAX(IF(N(F493)=0,0,IF(N(E493)&gt;0,E493*(1+F493/30),F493)),IF(N(H493)=0,0,IF(N(G493)&gt;0,G493*(1+H493/30),H493)),IF(N(J493)=0,0,IF(N(I493)&gt;0,I493*(1+J493/30),J493)),IF(N(L493)=0,0,IF(N(K493)&gt;0,K493*(1+L493/30),L493)),IF(N(N493)=0,0,IF(N(M493)&gt;0,M493*(1+N493/30),N493))))</f>
        <v/>
      </c>
      <c r="Y493">
        <f>IF(N(X493)=0,"",X493+ROW()/1000000000)</f>
        <v/>
      </c>
      <c r="Z493">
        <f>IF(Y493="","",IF(COUNTIFS(Log!$D$6:$D$1505,D493,Log!$Y$6:$Y$1505,"&gt;"&amp;Y493)=0,1,0))</f>
        <v/>
      </c>
      <c r="AA493">
        <f>IF(OR(B493="",D493=""),"",B493+ROW()/10000000)</f>
        <v/>
      </c>
      <c r="AB493">
        <f>IF(AA493="","",IF(COUNTIFS(Log!$D$6:$D$1505,D493,Log!$AA$6:$AA$1505,"&gt;"&amp;AA493)=0,1,0))</f>
        <v/>
      </c>
      <c r="AC493">
        <f>IF(S493="New best",AA493,"")</f>
        <v/>
      </c>
      <c r="AD493">
        <f>ROW()</f>
        <v/>
      </c>
    </row>
    <row r="494">
      <c r="A494" s="1" t="n"/>
      <c r="B494" s="21" t="n"/>
      <c r="C494" s="22" t="n"/>
      <c r="D494" s="23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15">
        <f>IF(D494="","",COUNT(F494,H494,J494,L494,N494))</f>
        <v/>
      </c>
      <c r="P494" s="25">
        <f>IF(D494="","",N(E494)*N(F494)+N(G494)*N(H494)+N(I494)*N(J494)+N(K494)*N(L494)+N(M494)*N(N494))</f>
        <v/>
      </c>
      <c r="Q494" s="18">
        <f>IF(N(X494)=0,"",IF(IF(N(F494)=0,0,IF(N(E494)&gt;0,E494*(1+F494/30),F494))=X494,IF(N(E494)&gt;0,E494&amp;" x "&amp;F494,F494&amp;" reps"),IF(IF(N(H494)=0,0,IF(N(G494)&gt;0,G494*(1+H494/30),H494))=X494,IF(N(G494)&gt;0,G494&amp;" x "&amp;H494,H494&amp;" reps"),IF(IF(N(J494)=0,0,IF(N(I494)&gt;0,I494*(1+J494/30),J494))=X494,IF(N(I494)&gt;0,I494&amp;" x "&amp;J494,J494&amp;" reps"),IF(IF(N(L494)=0,0,IF(N(K494)&gt;0,K494*(1+L494/30),L494))=X494,IF(N(K494)&gt;0,K494&amp;" x "&amp;L494,L494&amp;" reps"),IF(IF(N(N494)=0,0,IF(N(M494)&gt;0,M494*(1+N494/30),N494))=X494,IF(N(M494)&gt;0,M494&amp;" x "&amp;N494,N494&amp;" reps"),""))))))</f>
        <v/>
      </c>
      <c r="R494" s="20">
        <f>IF(N(X494)=0,"",ROUND(X494,1))</f>
        <v/>
      </c>
      <c r="S494" s="18">
        <f>IF(N(X494)=0,"",IF(AND(COUNTIFS(Log!$D$6:$D$1505,D494,Log!$B$6:$B$1505,"&lt;"&amp;B494)&gt;0,COUNTIFS(Log!$D$6:$D$1505,D494,Log!$B$6:$B$1505,"&lt;"&amp;B494,Log!$X$6:$X$1505,"&gt;="&amp;X494)=0),"New best",""))</f>
        <v/>
      </c>
      <c r="T494" s="26" t="n"/>
      <c r="U494" s="1">
        <f>IF(D494="","",IFERROR(INDEX(Exercises!$C$6:$C$105,MATCH(D494,Exercises!$B$6:$B$105,0)),"Other"))</f>
        <v/>
      </c>
      <c r="V494">
        <f>IF(B494="","",IF(COUNTIF($B$6:B494,B494)=1,1,0))</f>
        <v/>
      </c>
      <c r="W494">
        <f>IF(B494="","",B494-WEEKDAY(B494,3))</f>
        <v/>
      </c>
      <c r="X494">
        <f>IF(D494="","",MAX(IF(N(F494)=0,0,IF(N(E494)&gt;0,E494*(1+F494/30),F494)),IF(N(H494)=0,0,IF(N(G494)&gt;0,G494*(1+H494/30),H494)),IF(N(J494)=0,0,IF(N(I494)&gt;0,I494*(1+J494/30),J494)),IF(N(L494)=0,0,IF(N(K494)&gt;0,K494*(1+L494/30),L494)),IF(N(N494)=0,0,IF(N(M494)&gt;0,M494*(1+N494/30),N494))))</f>
        <v/>
      </c>
      <c r="Y494">
        <f>IF(N(X494)=0,"",X494+ROW()/1000000000)</f>
        <v/>
      </c>
      <c r="Z494">
        <f>IF(Y494="","",IF(COUNTIFS(Log!$D$6:$D$1505,D494,Log!$Y$6:$Y$1505,"&gt;"&amp;Y494)=0,1,0))</f>
        <v/>
      </c>
      <c r="AA494">
        <f>IF(OR(B494="",D494=""),"",B494+ROW()/10000000)</f>
        <v/>
      </c>
      <c r="AB494">
        <f>IF(AA494="","",IF(COUNTIFS(Log!$D$6:$D$1505,D494,Log!$AA$6:$AA$1505,"&gt;"&amp;AA494)=0,1,0))</f>
        <v/>
      </c>
      <c r="AC494">
        <f>IF(S494="New best",AA494,"")</f>
        <v/>
      </c>
      <c r="AD494">
        <f>ROW()</f>
        <v/>
      </c>
    </row>
    <row r="495">
      <c r="A495" s="1" t="n"/>
      <c r="B495" s="21" t="n"/>
      <c r="C495" s="22" t="n"/>
      <c r="D495" s="23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15">
        <f>IF(D495="","",COUNT(F495,H495,J495,L495,N495))</f>
        <v/>
      </c>
      <c r="P495" s="25">
        <f>IF(D495="","",N(E495)*N(F495)+N(G495)*N(H495)+N(I495)*N(J495)+N(K495)*N(L495)+N(M495)*N(N495))</f>
        <v/>
      </c>
      <c r="Q495" s="18">
        <f>IF(N(X495)=0,"",IF(IF(N(F495)=0,0,IF(N(E495)&gt;0,E495*(1+F495/30),F495))=X495,IF(N(E495)&gt;0,E495&amp;" x "&amp;F495,F495&amp;" reps"),IF(IF(N(H495)=0,0,IF(N(G495)&gt;0,G495*(1+H495/30),H495))=X495,IF(N(G495)&gt;0,G495&amp;" x "&amp;H495,H495&amp;" reps"),IF(IF(N(J495)=0,0,IF(N(I495)&gt;0,I495*(1+J495/30),J495))=X495,IF(N(I495)&gt;0,I495&amp;" x "&amp;J495,J495&amp;" reps"),IF(IF(N(L495)=0,0,IF(N(K495)&gt;0,K495*(1+L495/30),L495))=X495,IF(N(K495)&gt;0,K495&amp;" x "&amp;L495,L495&amp;" reps"),IF(IF(N(N495)=0,0,IF(N(M495)&gt;0,M495*(1+N495/30),N495))=X495,IF(N(M495)&gt;0,M495&amp;" x "&amp;N495,N495&amp;" reps"),""))))))</f>
        <v/>
      </c>
      <c r="R495" s="20">
        <f>IF(N(X495)=0,"",ROUND(X495,1))</f>
        <v/>
      </c>
      <c r="S495" s="18">
        <f>IF(N(X495)=0,"",IF(AND(COUNTIFS(Log!$D$6:$D$1505,D495,Log!$B$6:$B$1505,"&lt;"&amp;B495)&gt;0,COUNTIFS(Log!$D$6:$D$1505,D495,Log!$B$6:$B$1505,"&lt;"&amp;B495,Log!$X$6:$X$1505,"&gt;="&amp;X495)=0),"New best",""))</f>
        <v/>
      </c>
      <c r="T495" s="26" t="n"/>
      <c r="U495" s="1">
        <f>IF(D495="","",IFERROR(INDEX(Exercises!$C$6:$C$105,MATCH(D495,Exercises!$B$6:$B$105,0)),"Other"))</f>
        <v/>
      </c>
      <c r="V495">
        <f>IF(B495="","",IF(COUNTIF($B$6:B495,B495)=1,1,0))</f>
        <v/>
      </c>
      <c r="W495">
        <f>IF(B495="","",B495-WEEKDAY(B495,3))</f>
        <v/>
      </c>
      <c r="X495">
        <f>IF(D495="","",MAX(IF(N(F495)=0,0,IF(N(E495)&gt;0,E495*(1+F495/30),F495)),IF(N(H495)=0,0,IF(N(G495)&gt;0,G495*(1+H495/30),H495)),IF(N(J495)=0,0,IF(N(I495)&gt;0,I495*(1+J495/30),J495)),IF(N(L495)=0,0,IF(N(K495)&gt;0,K495*(1+L495/30),L495)),IF(N(N495)=0,0,IF(N(M495)&gt;0,M495*(1+N495/30),N495))))</f>
        <v/>
      </c>
      <c r="Y495">
        <f>IF(N(X495)=0,"",X495+ROW()/1000000000)</f>
        <v/>
      </c>
      <c r="Z495">
        <f>IF(Y495="","",IF(COUNTIFS(Log!$D$6:$D$1505,D495,Log!$Y$6:$Y$1505,"&gt;"&amp;Y495)=0,1,0))</f>
        <v/>
      </c>
      <c r="AA495">
        <f>IF(OR(B495="",D495=""),"",B495+ROW()/10000000)</f>
        <v/>
      </c>
      <c r="AB495">
        <f>IF(AA495="","",IF(COUNTIFS(Log!$D$6:$D$1505,D495,Log!$AA$6:$AA$1505,"&gt;"&amp;AA495)=0,1,0))</f>
        <v/>
      </c>
      <c r="AC495">
        <f>IF(S495="New best",AA495,"")</f>
        <v/>
      </c>
      <c r="AD495">
        <f>ROW()</f>
        <v/>
      </c>
    </row>
    <row r="496">
      <c r="A496" s="1" t="n"/>
      <c r="B496" s="21" t="n"/>
      <c r="C496" s="22" t="n"/>
      <c r="D496" s="23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15">
        <f>IF(D496="","",COUNT(F496,H496,J496,L496,N496))</f>
        <v/>
      </c>
      <c r="P496" s="25">
        <f>IF(D496="","",N(E496)*N(F496)+N(G496)*N(H496)+N(I496)*N(J496)+N(K496)*N(L496)+N(M496)*N(N496))</f>
        <v/>
      </c>
      <c r="Q496" s="18">
        <f>IF(N(X496)=0,"",IF(IF(N(F496)=0,0,IF(N(E496)&gt;0,E496*(1+F496/30),F496))=X496,IF(N(E496)&gt;0,E496&amp;" x "&amp;F496,F496&amp;" reps"),IF(IF(N(H496)=0,0,IF(N(G496)&gt;0,G496*(1+H496/30),H496))=X496,IF(N(G496)&gt;0,G496&amp;" x "&amp;H496,H496&amp;" reps"),IF(IF(N(J496)=0,0,IF(N(I496)&gt;0,I496*(1+J496/30),J496))=X496,IF(N(I496)&gt;0,I496&amp;" x "&amp;J496,J496&amp;" reps"),IF(IF(N(L496)=0,0,IF(N(K496)&gt;0,K496*(1+L496/30),L496))=X496,IF(N(K496)&gt;0,K496&amp;" x "&amp;L496,L496&amp;" reps"),IF(IF(N(N496)=0,0,IF(N(M496)&gt;0,M496*(1+N496/30),N496))=X496,IF(N(M496)&gt;0,M496&amp;" x "&amp;N496,N496&amp;" reps"),""))))))</f>
        <v/>
      </c>
      <c r="R496" s="20">
        <f>IF(N(X496)=0,"",ROUND(X496,1))</f>
        <v/>
      </c>
      <c r="S496" s="18">
        <f>IF(N(X496)=0,"",IF(AND(COUNTIFS(Log!$D$6:$D$1505,D496,Log!$B$6:$B$1505,"&lt;"&amp;B496)&gt;0,COUNTIFS(Log!$D$6:$D$1505,D496,Log!$B$6:$B$1505,"&lt;"&amp;B496,Log!$X$6:$X$1505,"&gt;="&amp;X496)=0),"New best",""))</f>
        <v/>
      </c>
      <c r="T496" s="26" t="n"/>
      <c r="U496" s="1">
        <f>IF(D496="","",IFERROR(INDEX(Exercises!$C$6:$C$105,MATCH(D496,Exercises!$B$6:$B$105,0)),"Other"))</f>
        <v/>
      </c>
      <c r="V496">
        <f>IF(B496="","",IF(COUNTIF($B$6:B496,B496)=1,1,0))</f>
        <v/>
      </c>
      <c r="W496">
        <f>IF(B496="","",B496-WEEKDAY(B496,3))</f>
        <v/>
      </c>
      <c r="X496">
        <f>IF(D496="","",MAX(IF(N(F496)=0,0,IF(N(E496)&gt;0,E496*(1+F496/30),F496)),IF(N(H496)=0,0,IF(N(G496)&gt;0,G496*(1+H496/30),H496)),IF(N(J496)=0,0,IF(N(I496)&gt;0,I496*(1+J496/30),J496)),IF(N(L496)=0,0,IF(N(K496)&gt;0,K496*(1+L496/30),L496)),IF(N(N496)=0,0,IF(N(M496)&gt;0,M496*(1+N496/30),N496))))</f>
        <v/>
      </c>
      <c r="Y496">
        <f>IF(N(X496)=0,"",X496+ROW()/1000000000)</f>
        <v/>
      </c>
      <c r="Z496">
        <f>IF(Y496="","",IF(COUNTIFS(Log!$D$6:$D$1505,D496,Log!$Y$6:$Y$1505,"&gt;"&amp;Y496)=0,1,0))</f>
        <v/>
      </c>
      <c r="AA496">
        <f>IF(OR(B496="",D496=""),"",B496+ROW()/10000000)</f>
        <v/>
      </c>
      <c r="AB496">
        <f>IF(AA496="","",IF(COUNTIFS(Log!$D$6:$D$1505,D496,Log!$AA$6:$AA$1505,"&gt;"&amp;AA496)=0,1,0))</f>
        <v/>
      </c>
      <c r="AC496">
        <f>IF(S496="New best",AA496,"")</f>
        <v/>
      </c>
      <c r="AD496">
        <f>ROW()</f>
        <v/>
      </c>
    </row>
    <row r="497">
      <c r="A497" s="1" t="n"/>
      <c r="B497" s="21" t="n"/>
      <c r="C497" s="22" t="n"/>
      <c r="D497" s="23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15">
        <f>IF(D497="","",COUNT(F497,H497,J497,L497,N497))</f>
        <v/>
      </c>
      <c r="P497" s="25">
        <f>IF(D497="","",N(E497)*N(F497)+N(G497)*N(H497)+N(I497)*N(J497)+N(K497)*N(L497)+N(M497)*N(N497))</f>
        <v/>
      </c>
      <c r="Q497" s="18">
        <f>IF(N(X497)=0,"",IF(IF(N(F497)=0,0,IF(N(E497)&gt;0,E497*(1+F497/30),F497))=X497,IF(N(E497)&gt;0,E497&amp;" x "&amp;F497,F497&amp;" reps"),IF(IF(N(H497)=0,0,IF(N(G497)&gt;0,G497*(1+H497/30),H497))=X497,IF(N(G497)&gt;0,G497&amp;" x "&amp;H497,H497&amp;" reps"),IF(IF(N(J497)=0,0,IF(N(I497)&gt;0,I497*(1+J497/30),J497))=X497,IF(N(I497)&gt;0,I497&amp;" x "&amp;J497,J497&amp;" reps"),IF(IF(N(L497)=0,0,IF(N(K497)&gt;0,K497*(1+L497/30),L497))=X497,IF(N(K497)&gt;0,K497&amp;" x "&amp;L497,L497&amp;" reps"),IF(IF(N(N497)=0,0,IF(N(M497)&gt;0,M497*(1+N497/30),N497))=X497,IF(N(M497)&gt;0,M497&amp;" x "&amp;N497,N497&amp;" reps"),""))))))</f>
        <v/>
      </c>
      <c r="R497" s="20">
        <f>IF(N(X497)=0,"",ROUND(X497,1))</f>
        <v/>
      </c>
      <c r="S497" s="18">
        <f>IF(N(X497)=0,"",IF(AND(COUNTIFS(Log!$D$6:$D$1505,D497,Log!$B$6:$B$1505,"&lt;"&amp;B497)&gt;0,COUNTIFS(Log!$D$6:$D$1505,D497,Log!$B$6:$B$1505,"&lt;"&amp;B497,Log!$X$6:$X$1505,"&gt;="&amp;X497)=0),"New best",""))</f>
        <v/>
      </c>
      <c r="T497" s="26" t="n"/>
      <c r="U497" s="1">
        <f>IF(D497="","",IFERROR(INDEX(Exercises!$C$6:$C$105,MATCH(D497,Exercises!$B$6:$B$105,0)),"Other"))</f>
        <v/>
      </c>
      <c r="V497">
        <f>IF(B497="","",IF(COUNTIF($B$6:B497,B497)=1,1,0))</f>
        <v/>
      </c>
      <c r="W497">
        <f>IF(B497="","",B497-WEEKDAY(B497,3))</f>
        <v/>
      </c>
      <c r="X497">
        <f>IF(D497="","",MAX(IF(N(F497)=0,0,IF(N(E497)&gt;0,E497*(1+F497/30),F497)),IF(N(H497)=0,0,IF(N(G497)&gt;0,G497*(1+H497/30),H497)),IF(N(J497)=0,0,IF(N(I497)&gt;0,I497*(1+J497/30),J497)),IF(N(L497)=0,0,IF(N(K497)&gt;0,K497*(1+L497/30),L497)),IF(N(N497)=0,0,IF(N(M497)&gt;0,M497*(1+N497/30),N497))))</f>
        <v/>
      </c>
      <c r="Y497">
        <f>IF(N(X497)=0,"",X497+ROW()/1000000000)</f>
        <v/>
      </c>
      <c r="Z497">
        <f>IF(Y497="","",IF(COUNTIFS(Log!$D$6:$D$1505,D497,Log!$Y$6:$Y$1505,"&gt;"&amp;Y497)=0,1,0))</f>
        <v/>
      </c>
      <c r="AA497">
        <f>IF(OR(B497="",D497=""),"",B497+ROW()/10000000)</f>
        <v/>
      </c>
      <c r="AB497">
        <f>IF(AA497="","",IF(COUNTIFS(Log!$D$6:$D$1505,D497,Log!$AA$6:$AA$1505,"&gt;"&amp;AA497)=0,1,0))</f>
        <v/>
      </c>
      <c r="AC497">
        <f>IF(S497="New best",AA497,"")</f>
        <v/>
      </c>
      <c r="AD497">
        <f>ROW()</f>
        <v/>
      </c>
    </row>
    <row r="498">
      <c r="A498" s="1" t="n"/>
      <c r="B498" s="21" t="n"/>
      <c r="C498" s="22" t="n"/>
      <c r="D498" s="23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15">
        <f>IF(D498="","",COUNT(F498,H498,J498,L498,N498))</f>
        <v/>
      </c>
      <c r="P498" s="25">
        <f>IF(D498="","",N(E498)*N(F498)+N(G498)*N(H498)+N(I498)*N(J498)+N(K498)*N(L498)+N(M498)*N(N498))</f>
        <v/>
      </c>
      <c r="Q498" s="18">
        <f>IF(N(X498)=0,"",IF(IF(N(F498)=0,0,IF(N(E498)&gt;0,E498*(1+F498/30),F498))=X498,IF(N(E498)&gt;0,E498&amp;" x "&amp;F498,F498&amp;" reps"),IF(IF(N(H498)=0,0,IF(N(G498)&gt;0,G498*(1+H498/30),H498))=X498,IF(N(G498)&gt;0,G498&amp;" x "&amp;H498,H498&amp;" reps"),IF(IF(N(J498)=0,0,IF(N(I498)&gt;0,I498*(1+J498/30),J498))=X498,IF(N(I498)&gt;0,I498&amp;" x "&amp;J498,J498&amp;" reps"),IF(IF(N(L498)=0,0,IF(N(K498)&gt;0,K498*(1+L498/30),L498))=X498,IF(N(K498)&gt;0,K498&amp;" x "&amp;L498,L498&amp;" reps"),IF(IF(N(N498)=0,0,IF(N(M498)&gt;0,M498*(1+N498/30),N498))=X498,IF(N(M498)&gt;0,M498&amp;" x "&amp;N498,N498&amp;" reps"),""))))))</f>
        <v/>
      </c>
      <c r="R498" s="20">
        <f>IF(N(X498)=0,"",ROUND(X498,1))</f>
        <v/>
      </c>
      <c r="S498" s="18">
        <f>IF(N(X498)=0,"",IF(AND(COUNTIFS(Log!$D$6:$D$1505,D498,Log!$B$6:$B$1505,"&lt;"&amp;B498)&gt;0,COUNTIFS(Log!$D$6:$D$1505,D498,Log!$B$6:$B$1505,"&lt;"&amp;B498,Log!$X$6:$X$1505,"&gt;="&amp;X498)=0),"New best",""))</f>
        <v/>
      </c>
      <c r="T498" s="26" t="n"/>
      <c r="U498" s="1">
        <f>IF(D498="","",IFERROR(INDEX(Exercises!$C$6:$C$105,MATCH(D498,Exercises!$B$6:$B$105,0)),"Other"))</f>
        <v/>
      </c>
      <c r="V498">
        <f>IF(B498="","",IF(COUNTIF($B$6:B498,B498)=1,1,0))</f>
        <v/>
      </c>
      <c r="W498">
        <f>IF(B498="","",B498-WEEKDAY(B498,3))</f>
        <v/>
      </c>
      <c r="X498">
        <f>IF(D498="","",MAX(IF(N(F498)=0,0,IF(N(E498)&gt;0,E498*(1+F498/30),F498)),IF(N(H498)=0,0,IF(N(G498)&gt;0,G498*(1+H498/30),H498)),IF(N(J498)=0,0,IF(N(I498)&gt;0,I498*(1+J498/30),J498)),IF(N(L498)=0,0,IF(N(K498)&gt;0,K498*(1+L498/30),L498)),IF(N(N498)=0,0,IF(N(M498)&gt;0,M498*(1+N498/30),N498))))</f>
        <v/>
      </c>
      <c r="Y498">
        <f>IF(N(X498)=0,"",X498+ROW()/1000000000)</f>
        <v/>
      </c>
      <c r="Z498">
        <f>IF(Y498="","",IF(COUNTIFS(Log!$D$6:$D$1505,D498,Log!$Y$6:$Y$1505,"&gt;"&amp;Y498)=0,1,0))</f>
        <v/>
      </c>
      <c r="AA498">
        <f>IF(OR(B498="",D498=""),"",B498+ROW()/10000000)</f>
        <v/>
      </c>
      <c r="AB498">
        <f>IF(AA498="","",IF(COUNTIFS(Log!$D$6:$D$1505,D498,Log!$AA$6:$AA$1505,"&gt;"&amp;AA498)=0,1,0))</f>
        <v/>
      </c>
      <c r="AC498">
        <f>IF(S498="New best",AA498,"")</f>
        <v/>
      </c>
      <c r="AD498">
        <f>ROW()</f>
        <v/>
      </c>
    </row>
    <row r="499">
      <c r="A499" s="1" t="n"/>
      <c r="B499" s="21" t="n"/>
      <c r="C499" s="22" t="n"/>
      <c r="D499" s="23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15">
        <f>IF(D499="","",COUNT(F499,H499,J499,L499,N499))</f>
        <v/>
      </c>
      <c r="P499" s="25">
        <f>IF(D499="","",N(E499)*N(F499)+N(G499)*N(H499)+N(I499)*N(J499)+N(K499)*N(L499)+N(M499)*N(N499))</f>
        <v/>
      </c>
      <c r="Q499" s="18">
        <f>IF(N(X499)=0,"",IF(IF(N(F499)=0,0,IF(N(E499)&gt;0,E499*(1+F499/30),F499))=X499,IF(N(E499)&gt;0,E499&amp;" x "&amp;F499,F499&amp;" reps"),IF(IF(N(H499)=0,0,IF(N(G499)&gt;0,G499*(1+H499/30),H499))=X499,IF(N(G499)&gt;0,G499&amp;" x "&amp;H499,H499&amp;" reps"),IF(IF(N(J499)=0,0,IF(N(I499)&gt;0,I499*(1+J499/30),J499))=X499,IF(N(I499)&gt;0,I499&amp;" x "&amp;J499,J499&amp;" reps"),IF(IF(N(L499)=0,0,IF(N(K499)&gt;0,K499*(1+L499/30),L499))=X499,IF(N(K499)&gt;0,K499&amp;" x "&amp;L499,L499&amp;" reps"),IF(IF(N(N499)=0,0,IF(N(M499)&gt;0,M499*(1+N499/30),N499))=X499,IF(N(M499)&gt;0,M499&amp;" x "&amp;N499,N499&amp;" reps"),""))))))</f>
        <v/>
      </c>
      <c r="R499" s="20">
        <f>IF(N(X499)=0,"",ROUND(X499,1))</f>
        <v/>
      </c>
      <c r="S499" s="18">
        <f>IF(N(X499)=0,"",IF(AND(COUNTIFS(Log!$D$6:$D$1505,D499,Log!$B$6:$B$1505,"&lt;"&amp;B499)&gt;0,COUNTIFS(Log!$D$6:$D$1505,D499,Log!$B$6:$B$1505,"&lt;"&amp;B499,Log!$X$6:$X$1505,"&gt;="&amp;X499)=0),"New best",""))</f>
        <v/>
      </c>
      <c r="T499" s="26" t="n"/>
      <c r="U499" s="1">
        <f>IF(D499="","",IFERROR(INDEX(Exercises!$C$6:$C$105,MATCH(D499,Exercises!$B$6:$B$105,0)),"Other"))</f>
        <v/>
      </c>
      <c r="V499">
        <f>IF(B499="","",IF(COUNTIF($B$6:B499,B499)=1,1,0))</f>
        <v/>
      </c>
      <c r="W499">
        <f>IF(B499="","",B499-WEEKDAY(B499,3))</f>
        <v/>
      </c>
      <c r="X499">
        <f>IF(D499="","",MAX(IF(N(F499)=0,0,IF(N(E499)&gt;0,E499*(1+F499/30),F499)),IF(N(H499)=0,0,IF(N(G499)&gt;0,G499*(1+H499/30),H499)),IF(N(J499)=0,0,IF(N(I499)&gt;0,I499*(1+J499/30),J499)),IF(N(L499)=0,0,IF(N(K499)&gt;0,K499*(1+L499/30),L499)),IF(N(N499)=0,0,IF(N(M499)&gt;0,M499*(1+N499/30),N499))))</f>
        <v/>
      </c>
      <c r="Y499">
        <f>IF(N(X499)=0,"",X499+ROW()/1000000000)</f>
        <v/>
      </c>
      <c r="Z499">
        <f>IF(Y499="","",IF(COUNTIFS(Log!$D$6:$D$1505,D499,Log!$Y$6:$Y$1505,"&gt;"&amp;Y499)=0,1,0))</f>
        <v/>
      </c>
      <c r="AA499">
        <f>IF(OR(B499="",D499=""),"",B499+ROW()/10000000)</f>
        <v/>
      </c>
      <c r="AB499">
        <f>IF(AA499="","",IF(COUNTIFS(Log!$D$6:$D$1505,D499,Log!$AA$6:$AA$1505,"&gt;"&amp;AA499)=0,1,0))</f>
        <v/>
      </c>
      <c r="AC499">
        <f>IF(S499="New best",AA499,"")</f>
        <v/>
      </c>
      <c r="AD499">
        <f>ROW()</f>
        <v/>
      </c>
    </row>
    <row r="500">
      <c r="A500" s="1" t="n"/>
      <c r="B500" s="21" t="n"/>
      <c r="C500" s="22" t="n"/>
      <c r="D500" s="23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15">
        <f>IF(D500="","",COUNT(F500,H500,J500,L500,N500))</f>
        <v/>
      </c>
      <c r="P500" s="25">
        <f>IF(D500="","",N(E500)*N(F500)+N(G500)*N(H500)+N(I500)*N(J500)+N(K500)*N(L500)+N(M500)*N(N500))</f>
        <v/>
      </c>
      <c r="Q500" s="18">
        <f>IF(N(X500)=0,"",IF(IF(N(F500)=0,0,IF(N(E500)&gt;0,E500*(1+F500/30),F500))=X500,IF(N(E500)&gt;0,E500&amp;" x "&amp;F500,F500&amp;" reps"),IF(IF(N(H500)=0,0,IF(N(G500)&gt;0,G500*(1+H500/30),H500))=X500,IF(N(G500)&gt;0,G500&amp;" x "&amp;H500,H500&amp;" reps"),IF(IF(N(J500)=0,0,IF(N(I500)&gt;0,I500*(1+J500/30),J500))=X500,IF(N(I500)&gt;0,I500&amp;" x "&amp;J500,J500&amp;" reps"),IF(IF(N(L500)=0,0,IF(N(K500)&gt;0,K500*(1+L500/30),L500))=X500,IF(N(K500)&gt;0,K500&amp;" x "&amp;L500,L500&amp;" reps"),IF(IF(N(N500)=0,0,IF(N(M500)&gt;0,M500*(1+N500/30),N500))=X500,IF(N(M500)&gt;0,M500&amp;" x "&amp;N500,N500&amp;" reps"),""))))))</f>
        <v/>
      </c>
      <c r="R500" s="20">
        <f>IF(N(X500)=0,"",ROUND(X500,1))</f>
        <v/>
      </c>
      <c r="S500" s="18">
        <f>IF(N(X500)=0,"",IF(AND(COUNTIFS(Log!$D$6:$D$1505,D500,Log!$B$6:$B$1505,"&lt;"&amp;B500)&gt;0,COUNTIFS(Log!$D$6:$D$1505,D500,Log!$B$6:$B$1505,"&lt;"&amp;B500,Log!$X$6:$X$1505,"&gt;="&amp;X500)=0),"New best",""))</f>
        <v/>
      </c>
      <c r="T500" s="26" t="n"/>
      <c r="U500" s="1">
        <f>IF(D500="","",IFERROR(INDEX(Exercises!$C$6:$C$105,MATCH(D500,Exercises!$B$6:$B$105,0)),"Other"))</f>
        <v/>
      </c>
      <c r="V500">
        <f>IF(B500="","",IF(COUNTIF($B$6:B500,B500)=1,1,0))</f>
        <v/>
      </c>
      <c r="W500">
        <f>IF(B500="","",B500-WEEKDAY(B500,3))</f>
        <v/>
      </c>
      <c r="X500">
        <f>IF(D500="","",MAX(IF(N(F500)=0,0,IF(N(E500)&gt;0,E500*(1+F500/30),F500)),IF(N(H500)=0,0,IF(N(G500)&gt;0,G500*(1+H500/30),H500)),IF(N(J500)=0,0,IF(N(I500)&gt;0,I500*(1+J500/30),J500)),IF(N(L500)=0,0,IF(N(K500)&gt;0,K500*(1+L500/30),L500)),IF(N(N500)=0,0,IF(N(M500)&gt;0,M500*(1+N500/30),N500))))</f>
        <v/>
      </c>
      <c r="Y500">
        <f>IF(N(X500)=0,"",X500+ROW()/1000000000)</f>
        <v/>
      </c>
      <c r="Z500">
        <f>IF(Y500="","",IF(COUNTIFS(Log!$D$6:$D$1505,D500,Log!$Y$6:$Y$1505,"&gt;"&amp;Y500)=0,1,0))</f>
        <v/>
      </c>
      <c r="AA500">
        <f>IF(OR(B500="",D500=""),"",B500+ROW()/10000000)</f>
        <v/>
      </c>
      <c r="AB500">
        <f>IF(AA500="","",IF(COUNTIFS(Log!$D$6:$D$1505,D500,Log!$AA$6:$AA$1505,"&gt;"&amp;AA500)=0,1,0))</f>
        <v/>
      </c>
      <c r="AC500">
        <f>IF(S500="New best",AA500,"")</f>
        <v/>
      </c>
      <c r="AD500">
        <f>ROW()</f>
        <v/>
      </c>
    </row>
    <row r="501">
      <c r="A501" s="1" t="n"/>
      <c r="B501" s="21" t="n"/>
      <c r="C501" s="22" t="n"/>
      <c r="D501" s="23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15">
        <f>IF(D501="","",COUNT(F501,H501,J501,L501,N501))</f>
        <v/>
      </c>
      <c r="P501" s="25">
        <f>IF(D501="","",N(E501)*N(F501)+N(G501)*N(H501)+N(I501)*N(J501)+N(K501)*N(L501)+N(M501)*N(N501))</f>
        <v/>
      </c>
      <c r="Q501" s="18">
        <f>IF(N(X501)=0,"",IF(IF(N(F501)=0,0,IF(N(E501)&gt;0,E501*(1+F501/30),F501))=X501,IF(N(E501)&gt;0,E501&amp;" x "&amp;F501,F501&amp;" reps"),IF(IF(N(H501)=0,0,IF(N(G501)&gt;0,G501*(1+H501/30),H501))=X501,IF(N(G501)&gt;0,G501&amp;" x "&amp;H501,H501&amp;" reps"),IF(IF(N(J501)=0,0,IF(N(I501)&gt;0,I501*(1+J501/30),J501))=X501,IF(N(I501)&gt;0,I501&amp;" x "&amp;J501,J501&amp;" reps"),IF(IF(N(L501)=0,0,IF(N(K501)&gt;0,K501*(1+L501/30),L501))=X501,IF(N(K501)&gt;0,K501&amp;" x "&amp;L501,L501&amp;" reps"),IF(IF(N(N501)=0,0,IF(N(M501)&gt;0,M501*(1+N501/30),N501))=X501,IF(N(M501)&gt;0,M501&amp;" x "&amp;N501,N501&amp;" reps"),""))))))</f>
        <v/>
      </c>
      <c r="R501" s="20">
        <f>IF(N(X501)=0,"",ROUND(X501,1))</f>
        <v/>
      </c>
      <c r="S501" s="18">
        <f>IF(N(X501)=0,"",IF(AND(COUNTIFS(Log!$D$6:$D$1505,D501,Log!$B$6:$B$1505,"&lt;"&amp;B501)&gt;0,COUNTIFS(Log!$D$6:$D$1505,D501,Log!$B$6:$B$1505,"&lt;"&amp;B501,Log!$X$6:$X$1505,"&gt;="&amp;X501)=0),"New best",""))</f>
        <v/>
      </c>
      <c r="T501" s="26" t="n"/>
      <c r="U501" s="1">
        <f>IF(D501="","",IFERROR(INDEX(Exercises!$C$6:$C$105,MATCH(D501,Exercises!$B$6:$B$105,0)),"Other"))</f>
        <v/>
      </c>
      <c r="V501">
        <f>IF(B501="","",IF(COUNTIF($B$6:B501,B501)=1,1,0))</f>
        <v/>
      </c>
      <c r="W501">
        <f>IF(B501="","",B501-WEEKDAY(B501,3))</f>
        <v/>
      </c>
      <c r="X501">
        <f>IF(D501="","",MAX(IF(N(F501)=0,0,IF(N(E501)&gt;0,E501*(1+F501/30),F501)),IF(N(H501)=0,0,IF(N(G501)&gt;0,G501*(1+H501/30),H501)),IF(N(J501)=0,0,IF(N(I501)&gt;0,I501*(1+J501/30),J501)),IF(N(L501)=0,0,IF(N(K501)&gt;0,K501*(1+L501/30),L501)),IF(N(N501)=0,0,IF(N(M501)&gt;0,M501*(1+N501/30),N501))))</f>
        <v/>
      </c>
      <c r="Y501">
        <f>IF(N(X501)=0,"",X501+ROW()/1000000000)</f>
        <v/>
      </c>
      <c r="Z501">
        <f>IF(Y501="","",IF(COUNTIFS(Log!$D$6:$D$1505,D501,Log!$Y$6:$Y$1505,"&gt;"&amp;Y501)=0,1,0))</f>
        <v/>
      </c>
      <c r="AA501">
        <f>IF(OR(B501="",D501=""),"",B501+ROW()/10000000)</f>
        <v/>
      </c>
      <c r="AB501">
        <f>IF(AA501="","",IF(COUNTIFS(Log!$D$6:$D$1505,D501,Log!$AA$6:$AA$1505,"&gt;"&amp;AA501)=0,1,0))</f>
        <v/>
      </c>
      <c r="AC501">
        <f>IF(S501="New best",AA501,"")</f>
        <v/>
      </c>
      <c r="AD501">
        <f>ROW()</f>
        <v/>
      </c>
    </row>
    <row r="502">
      <c r="A502" s="1" t="n"/>
      <c r="B502" s="21" t="n"/>
      <c r="C502" s="22" t="n"/>
      <c r="D502" s="23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15">
        <f>IF(D502="","",COUNT(F502,H502,J502,L502,N502))</f>
        <v/>
      </c>
      <c r="P502" s="25">
        <f>IF(D502="","",N(E502)*N(F502)+N(G502)*N(H502)+N(I502)*N(J502)+N(K502)*N(L502)+N(M502)*N(N502))</f>
        <v/>
      </c>
      <c r="Q502" s="18">
        <f>IF(N(X502)=0,"",IF(IF(N(F502)=0,0,IF(N(E502)&gt;0,E502*(1+F502/30),F502))=X502,IF(N(E502)&gt;0,E502&amp;" x "&amp;F502,F502&amp;" reps"),IF(IF(N(H502)=0,0,IF(N(G502)&gt;0,G502*(1+H502/30),H502))=X502,IF(N(G502)&gt;0,G502&amp;" x "&amp;H502,H502&amp;" reps"),IF(IF(N(J502)=0,0,IF(N(I502)&gt;0,I502*(1+J502/30),J502))=X502,IF(N(I502)&gt;0,I502&amp;" x "&amp;J502,J502&amp;" reps"),IF(IF(N(L502)=0,0,IF(N(K502)&gt;0,K502*(1+L502/30),L502))=X502,IF(N(K502)&gt;0,K502&amp;" x "&amp;L502,L502&amp;" reps"),IF(IF(N(N502)=0,0,IF(N(M502)&gt;0,M502*(1+N502/30),N502))=X502,IF(N(M502)&gt;0,M502&amp;" x "&amp;N502,N502&amp;" reps"),""))))))</f>
        <v/>
      </c>
      <c r="R502" s="20">
        <f>IF(N(X502)=0,"",ROUND(X502,1))</f>
        <v/>
      </c>
      <c r="S502" s="18">
        <f>IF(N(X502)=0,"",IF(AND(COUNTIFS(Log!$D$6:$D$1505,D502,Log!$B$6:$B$1505,"&lt;"&amp;B502)&gt;0,COUNTIFS(Log!$D$6:$D$1505,D502,Log!$B$6:$B$1505,"&lt;"&amp;B502,Log!$X$6:$X$1505,"&gt;="&amp;X502)=0),"New best",""))</f>
        <v/>
      </c>
      <c r="T502" s="26" t="n"/>
      <c r="U502" s="1">
        <f>IF(D502="","",IFERROR(INDEX(Exercises!$C$6:$C$105,MATCH(D502,Exercises!$B$6:$B$105,0)),"Other"))</f>
        <v/>
      </c>
      <c r="V502">
        <f>IF(B502="","",IF(COUNTIF($B$6:B502,B502)=1,1,0))</f>
        <v/>
      </c>
      <c r="W502">
        <f>IF(B502="","",B502-WEEKDAY(B502,3))</f>
        <v/>
      </c>
      <c r="X502">
        <f>IF(D502="","",MAX(IF(N(F502)=0,0,IF(N(E502)&gt;0,E502*(1+F502/30),F502)),IF(N(H502)=0,0,IF(N(G502)&gt;0,G502*(1+H502/30),H502)),IF(N(J502)=0,0,IF(N(I502)&gt;0,I502*(1+J502/30),J502)),IF(N(L502)=0,0,IF(N(K502)&gt;0,K502*(1+L502/30),L502)),IF(N(N502)=0,0,IF(N(M502)&gt;0,M502*(1+N502/30),N502))))</f>
        <v/>
      </c>
      <c r="Y502">
        <f>IF(N(X502)=0,"",X502+ROW()/1000000000)</f>
        <v/>
      </c>
      <c r="Z502">
        <f>IF(Y502="","",IF(COUNTIFS(Log!$D$6:$D$1505,D502,Log!$Y$6:$Y$1505,"&gt;"&amp;Y502)=0,1,0))</f>
        <v/>
      </c>
      <c r="AA502">
        <f>IF(OR(B502="",D502=""),"",B502+ROW()/10000000)</f>
        <v/>
      </c>
      <c r="AB502">
        <f>IF(AA502="","",IF(COUNTIFS(Log!$D$6:$D$1505,D502,Log!$AA$6:$AA$1505,"&gt;"&amp;AA502)=0,1,0))</f>
        <v/>
      </c>
      <c r="AC502">
        <f>IF(S502="New best",AA502,"")</f>
        <v/>
      </c>
      <c r="AD502">
        <f>ROW()</f>
        <v/>
      </c>
    </row>
    <row r="503">
      <c r="A503" s="1" t="n"/>
      <c r="B503" s="21" t="n"/>
      <c r="C503" s="22" t="n"/>
      <c r="D503" s="23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15">
        <f>IF(D503="","",COUNT(F503,H503,J503,L503,N503))</f>
        <v/>
      </c>
      <c r="P503" s="25">
        <f>IF(D503="","",N(E503)*N(F503)+N(G503)*N(H503)+N(I503)*N(J503)+N(K503)*N(L503)+N(M503)*N(N503))</f>
        <v/>
      </c>
      <c r="Q503" s="18">
        <f>IF(N(X503)=0,"",IF(IF(N(F503)=0,0,IF(N(E503)&gt;0,E503*(1+F503/30),F503))=X503,IF(N(E503)&gt;0,E503&amp;" x "&amp;F503,F503&amp;" reps"),IF(IF(N(H503)=0,0,IF(N(G503)&gt;0,G503*(1+H503/30),H503))=X503,IF(N(G503)&gt;0,G503&amp;" x "&amp;H503,H503&amp;" reps"),IF(IF(N(J503)=0,0,IF(N(I503)&gt;0,I503*(1+J503/30),J503))=X503,IF(N(I503)&gt;0,I503&amp;" x "&amp;J503,J503&amp;" reps"),IF(IF(N(L503)=0,0,IF(N(K503)&gt;0,K503*(1+L503/30),L503))=X503,IF(N(K503)&gt;0,K503&amp;" x "&amp;L503,L503&amp;" reps"),IF(IF(N(N503)=0,0,IF(N(M503)&gt;0,M503*(1+N503/30),N503))=X503,IF(N(M503)&gt;0,M503&amp;" x "&amp;N503,N503&amp;" reps"),""))))))</f>
        <v/>
      </c>
      <c r="R503" s="20">
        <f>IF(N(X503)=0,"",ROUND(X503,1))</f>
        <v/>
      </c>
      <c r="S503" s="18">
        <f>IF(N(X503)=0,"",IF(AND(COUNTIFS(Log!$D$6:$D$1505,D503,Log!$B$6:$B$1505,"&lt;"&amp;B503)&gt;0,COUNTIFS(Log!$D$6:$D$1505,D503,Log!$B$6:$B$1505,"&lt;"&amp;B503,Log!$X$6:$X$1505,"&gt;="&amp;X503)=0),"New best",""))</f>
        <v/>
      </c>
      <c r="T503" s="26" t="n"/>
      <c r="U503" s="1">
        <f>IF(D503="","",IFERROR(INDEX(Exercises!$C$6:$C$105,MATCH(D503,Exercises!$B$6:$B$105,0)),"Other"))</f>
        <v/>
      </c>
      <c r="V503">
        <f>IF(B503="","",IF(COUNTIF($B$6:B503,B503)=1,1,0))</f>
        <v/>
      </c>
      <c r="W503">
        <f>IF(B503="","",B503-WEEKDAY(B503,3))</f>
        <v/>
      </c>
      <c r="X503">
        <f>IF(D503="","",MAX(IF(N(F503)=0,0,IF(N(E503)&gt;0,E503*(1+F503/30),F503)),IF(N(H503)=0,0,IF(N(G503)&gt;0,G503*(1+H503/30),H503)),IF(N(J503)=0,0,IF(N(I503)&gt;0,I503*(1+J503/30),J503)),IF(N(L503)=0,0,IF(N(K503)&gt;0,K503*(1+L503/30),L503)),IF(N(N503)=0,0,IF(N(M503)&gt;0,M503*(1+N503/30),N503))))</f>
        <v/>
      </c>
      <c r="Y503">
        <f>IF(N(X503)=0,"",X503+ROW()/1000000000)</f>
        <v/>
      </c>
      <c r="Z503">
        <f>IF(Y503="","",IF(COUNTIFS(Log!$D$6:$D$1505,D503,Log!$Y$6:$Y$1505,"&gt;"&amp;Y503)=0,1,0))</f>
        <v/>
      </c>
      <c r="AA503">
        <f>IF(OR(B503="",D503=""),"",B503+ROW()/10000000)</f>
        <v/>
      </c>
      <c r="AB503">
        <f>IF(AA503="","",IF(COUNTIFS(Log!$D$6:$D$1505,D503,Log!$AA$6:$AA$1505,"&gt;"&amp;AA503)=0,1,0))</f>
        <v/>
      </c>
      <c r="AC503">
        <f>IF(S503="New best",AA503,"")</f>
        <v/>
      </c>
      <c r="AD503">
        <f>ROW()</f>
        <v/>
      </c>
    </row>
    <row r="504">
      <c r="A504" s="1" t="n"/>
      <c r="B504" s="21" t="n"/>
      <c r="C504" s="22" t="n"/>
      <c r="D504" s="23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15">
        <f>IF(D504="","",COUNT(F504,H504,J504,L504,N504))</f>
        <v/>
      </c>
      <c r="P504" s="25">
        <f>IF(D504="","",N(E504)*N(F504)+N(G504)*N(H504)+N(I504)*N(J504)+N(K504)*N(L504)+N(M504)*N(N504))</f>
        <v/>
      </c>
      <c r="Q504" s="18">
        <f>IF(N(X504)=0,"",IF(IF(N(F504)=0,0,IF(N(E504)&gt;0,E504*(1+F504/30),F504))=X504,IF(N(E504)&gt;0,E504&amp;" x "&amp;F504,F504&amp;" reps"),IF(IF(N(H504)=0,0,IF(N(G504)&gt;0,G504*(1+H504/30),H504))=X504,IF(N(G504)&gt;0,G504&amp;" x "&amp;H504,H504&amp;" reps"),IF(IF(N(J504)=0,0,IF(N(I504)&gt;0,I504*(1+J504/30),J504))=X504,IF(N(I504)&gt;0,I504&amp;" x "&amp;J504,J504&amp;" reps"),IF(IF(N(L504)=0,0,IF(N(K504)&gt;0,K504*(1+L504/30),L504))=X504,IF(N(K504)&gt;0,K504&amp;" x "&amp;L504,L504&amp;" reps"),IF(IF(N(N504)=0,0,IF(N(M504)&gt;0,M504*(1+N504/30),N504))=X504,IF(N(M504)&gt;0,M504&amp;" x "&amp;N504,N504&amp;" reps"),""))))))</f>
        <v/>
      </c>
      <c r="R504" s="20">
        <f>IF(N(X504)=0,"",ROUND(X504,1))</f>
        <v/>
      </c>
      <c r="S504" s="18">
        <f>IF(N(X504)=0,"",IF(AND(COUNTIFS(Log!$D$6:$D$1505,D504,Log!$B$6:$B$1505,"&lt;"&amp;B504)&gt;0,COUNTIFS(Log!$D$6:$D$1505,D504,Log!$B$6:$B$1505,"&lt;"&amp;B504,Log!$X$6:$X$1505,"&gt;="&amp;X504)=0),"New best",""))</f>
        <v/>
      </c>
      <c r="T504" s="26" t="n"/>
      <c r="U504" s="1">
        <f>IF(D504="","",IFERROR(INDEX(Exercises!$C$6:$C$105,MATCH(D504,Exercises!$B$6:$B$105,0)),"Other"))</f>
        <v/>
      </c>
      <c r="V504">
        <f>IF(B504="","",IF(COUNTIF($B$6:B504,B504)=1,1,0))</f>
        <v/>
      </c>
      <c r="W504">
        <f>IF(B504="","",B504-WEEKDAY(B504,3))</f>
        <v/>
      </c>
      <c r="X504">
        <f>IF(D504="","",MAX(IF(N(F504)=0,0,IF(N(E504)&gt;0,E504*(1+F504/30),F504)),IF(N(H504)=0,0,IF(N(G504)&gt;0,G504*(1+H504/30),H504)),IF(N(J504)=0,0,IF(N(I504)&gt;0,I504*(1+J504/30),J504)),IF(N(L504)=0,0,IF(N(K504)&gt;0,K504*(1+L504/30),L504)),IF(N(N504)=0,0,IF(N(M504)&gt;0,M504*(1+N504/30),N504))))</f>
        <v/>
      </c>
      <c r="Y504">
        <f>IF(N(X504)=0,"",X504+ROW()/1000000000)</f>
        <v/>
      </c>
      <c r="Z504">
        <f>IF(Y504="","",IF(COUNTIFS(Log!$D$6:$D$1505,D504,Log!$Y$6:$Y$1505,"&gt;"&amp;Y504)=0,1,0))</f>
        <v/>
      </c>
      <c r="AA504">
        <f>IF(OR(B504="",D504=""),"",B504+ROW()/10000000)</f>
        <v/>
      </c>
      <c r="AB504">
        <f>IF(AA504="","",IF(COUNTIFS(Log!$D$6:$D$1505,D504,Log!$AA$6:$AA$1505,"&gt;"&amp;AA504)=0,1,0))</f>
        <v/>
      </c>
      <c r="AC504">
        <f>IF(S504="New best",AA504,"")</f>
        <v/>
      </c>
      <c r="AD504">
        <f>ROW()</f>
        <v/>
      </c>
    </row>
    <row r="505">
      <c r="A505" s="1" t="n"/>
      <c r="B505" s="21" t="n"/>
      <c r="C505" s="22" t="n"/>
      <c r="D505" s="23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15">
        <f>IF(D505="","",COUNT(F505,H505,J505,L505,N505))</f>
        <v/>
      </c>
      <c r="P505" s="25">
        <f>IF(D505="","",N(E505)*N(F505)+N(G505)*N(H505)+N(I505)*N(J505)+N(K505)*N(L505)+N(M505)*N(N505))</f>
        <v/>
      </c>
      <c r="Q505" s="18">
        <f>IF(N(X505)=0,"",IF(IF(N(F505)=0,0,IF(N(E505)&gt;0,E505*(1+F505/30),F505))=X505,IF(N(E505)&gt;0,E505&amp;" x "&amp;F505,F505&amp;" reps"),IF(IF(N(H505)=0,0,IF(N(G505)&gt;0,G505*(1+H505/30),H505))=X505,IF(N(G505)&gt;0,G505&amp;" x "&amp;H505,H505&amp;" reps"),IF(IF(N(J505)=0,0,IF(N(I505)&gt;0,I505*(1+J505/30),J505))=X505,IF(N(I505)&gt;0,I505&amp;" x "&amp;J505,J505&amp;" reps"),IF(IF(N(L505)=0,0,IF(N(K505)&gt;0,K505*(1+L505/30),L505))=X505,IF(N(K505)&gt;0,K505&amp;" x "&amp;L505,L505&amp;" reps"),IF(IF(N(N505)=0,0,IF(N(M505)&gt;0,M505*(1+N505/30),N505))=X505,IF(N(M505)&gt;0,M505&amp;" x "&amp;N505,N505&amp;" reps"),""))))))</f>
        <v/>
      </c>
      <c r="R505" s="20">
        <f>IF(N(X505)=0,"",ROUND(X505,1))</f>
        <v/>
      </c>
      <c r="S505" s="18">
        <f>IF(N(X505)=0,"",IF(AND(COUNTIFS(Log!$D$6:$D$1505,D505,Log!$B$6:$B$1505,"&lt;"&amp;B505)&gt;0,COUNTIFS(Log!$D$6:$D$1505,D505,Log!$B$6:$B$1505,"&lt;"&amp;B505,Log!$X$6:$X$1505,"&gt;="&amp;X505)=0),"New best",""))</f>
        <v/>
      </c>
      <c r="T505" s="26" t="n"/>
      <c r="U505" s="1">
        <f>IF(D505="","",IFERROR(INDEX(Exercises!$C$6:$C$105,MATCH(D505,Exercises!$B$6:$B$105,0)),"Other"))</f>
        <v/>
      </c>
      <c r="V505">
        <f>IF(B505="","",IF(COUNTIF($B$6:B505,B505)=1,1,0))</f>
        <v/>
      </c>
      <c r="W505">
        <f>IF(B505="","",B505-WEEKDAY(B505,3))</f>
        <v/>
      </c>
      <c r="X505">
        <f>IF(D505="","",MAX(IF(N(F505)=0,0,IF(N(E505)&gt;0,E505*(1+F505/30),F505)),IF(N(H505)=0,0,IF(N(G505)&gt;0,G505*(1+H505/30),H505)),IF(N(J505)=0,0,IF(N(I505)&gt;0,I505*(1+J505/30),J505)),IF(N(L505)=0,0,IF(N(K505)&gt;0,K505*(1+L505/30),L505)),IF(N(N505)=0,0,IF(N(M505)&gt;0,M505*(1+N505/30),N505))))</f>
        <v/>
      </c>
      <c r="Y505">
        <f>IF(N(X505)=0,"",X505+ROW()/1000000000)</f>
        <v/>
      </c>
      <c r="Z505">
        <f>IF(Y505="","",IF(COUNTIFS(Log!$D$6:$D$1505,D505,Log!$Y$6:$Y$1505,"&gt;"&amp;Y505)=0,1,0))</f>
        <v/>
      </c>
      <c r="AA505">
        <f>IF(OR(B505="",D505=""),"",B505+ROW()/10000000)</f>
        <v/>
      </c>
      <c r="AB505">
        <f>IF(AA505="","",IF(COUNTIFS(Log!$D$6:$D$1505,D505,Log!$AA$6:$AA$1505,"&gt;"&amp;AA505)=0,1,0))</f>
        <v/>
      </c>
      <c r="AC505">
        <f>IF(S505="New best",AA505,"")</f>
        <v/>
      </c>
      <c r="AD505">
        <f>ROW()</f>
        <v/>
      </c>
    </row>
    <row r="506">
      <c r="A506" s="1" t="n"/>
      <c r="B506" s="21" t="n"/>
      <c r="C506" s="22" t="n"/>
      <c r="D506" s="23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15">
        <f>IF(D506="","",COUNT(F506,H506,J506,L506,N506))</f>
        <v/>
      </c>
      <c r="P506" s="25">
        <f>IF(D506="","",N(E506)*N(F506)+N(G506)*N(H506)+N(I506)*N(J506)+N(K506)*N(L506)+N(M506)*N(N506))</f>
        <v/>
      </c>
      <c r="Q506" s="18">
        <f>IF(N(X506)=0,"",IF(IF(N(F506)=0,0,IF(N(E506)&gt;0,E506*(1+F506/30),F506))=X506,IF(N(E506)&gt;0,E506&amp;" x "&amp;F506,F506&amp;" reps"),IF(IF(N(H506)=0,0,IF(N(G506)&gt;0,G506*(1+H506/30),H506))=X506,IF(N(G506)&gt;0,G506&amp;" x "&amp;H506,H506&amp;" reps"),IF(IF(N(J506)=0,0,IF(N(I506)&gt;0,I506*(1+J506/30),J506))=X506,IF(N(I506)&gt;0,I506&amp;" x "&amp;J506,J506&amp;" reps"),IF(IF(N(L506)=0,0,IF(N(K506)&gt;0,K506*(1+L506/30),L506))=X506,IF(N(K506)&gt;0,K506&amp;" x "&amp;L506,L506&amp;" reps"),IF(IF(N(N506)=0,0,IF(N(M506)&gt;0,M506*(1+N506/30),N506))=X506,IF(N(M506)&gt;0,M506&amp;" x "&amp;N506,N506&amp;" reps"),""))))))</f>
        <v/>
      </c>
      <c r="R506" s="20">
        <f>IF(N(X506)=0,"",ROUND(X506,1))</f>
        <v/>
      </c>
      <c r="S506" s="18">
        <f>IF(N(X506)=0,"",IF(AND(COUNTIFS(Log!$D$6:$D$1505,D506,Log!$B$6:$B$1505,"&lt;"&amp;B506)&gt;0,COUNTIFS(Log!$D$6:$D$1505,D506,Log!$B$6:$B$1505,"&lt;"&amp;B506,Log!$X$6:$X$1505,"&gt;="&amp;X506)=0),"New best",""))</f>
        <v/>
      </c>
      <c r="T506" s="26" t="n"/>
      <c r="U506" s="1">
        <f>IF(D506="","",IFERROR(INDEX(Exercises!$C$6:$C$105,MATCH(D506,Exercises!$B$6:$B$105,0)),"Other"))</f>
        <v/>
      </c>
      <c r="V506">
        <f>IF(B506="","",IF(COUNTIF($B$6:B506,B506)=1,1,0))</f>
        <v/>
      </c>
      <c r="W506">
        <f>IF(B506="","",B506-WEEKDAY(B506,3))</f>
        <v/>
      </c>
      <c r="X506">
        <f>IF(D506="","",MAX(IF(N(F506)=0,0,IF(N(E506)&gt;0,E506*(1+F506/30),F506)),IF(N(H506)=0,0,IF(N(G506)&gt;0,G506*(1+H506/30),H506)),IF(N(J506)=0,0,IF(N(I506)&gt;0,I506*(1+J506/30),J506)),IF(N(L506)=0,0,IF(N(K506)&gt;0,K506*(1+L506/30),L506)),IF(N(N506)=0,0,IF(N(M506)&gt;0,M506*(1+N506/30),N506))))</f>
        <v/>
      </c>
      <c r="Y506">
        <f>IF(N(X506)=0,"",X506+ROW()/1000000000)</f>
        <v/>
      </c>
      <c r="Z506">
        <f>IF(Y506="","",IF(COUNTIFS(Log!$D$6:$D$1505,D506,Log!$Y$6:$Y$1505,"&gt;"&amp;Y506)=0,1,0))</f>
        <v/>
      </c>
      <c r="AA506">
        <f>IF(OR(B506="",D506=""),"",B506+ROW()/10000000)</f>
        <v/>
      </c>
      <c r="AB506">
        <f>IF(AA506="","",IF(COUNTIFS(Log!$D$6:$D$1505,D506,Log!$AA$6:$AA$1505,"&gt;"&amp;AA506)=0,1,0))</f>
        <v/>
      </c>
      <c r="AC506">
        <f>IF(S506="New best",AA506,"")</f>
        <v/>
      </c>
      <c r="AD506">
        <f>ROW()</f>
        <v/>
      </c>
    </row>
    <row r="507">
      <c r="A507" s="1" t="n"/>
      <c r="B507" s="21" t="n"/>
      <c r="C507" s="22" t="n"/>
      <c r="D507" s="23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15">
        <f>IF(D507="","",COUNT(F507,H507,J507,L507,N507))</f>
        <v/>
      </c>
      <c r="P507" s="25">
        <f>IF(D507="","",N(E507)*N(F507)+N(G507)*N(H507)+N(I507)*N(J507)+N(K507)*N(L507)+N(M507)*N(N507))</f>
        <v/>
      </c>
      <c r="Q507" s="18">
        <f>IF(N(X507)=0,"",IF(IF(N(F507)=0,0,IF(N(E507)&gt;0,E507*(1+F507/30),F507))=X507,IF(N(E507)&gt;0,E507&amp;" x "&amp;F507,F507&amp;" reps"),IF(IF(N(H507)=0,0,IF(N(G507)&gt;0,G507*(1+H507/30),H507))=X507,IF(N(G507)&gt;0,G507&amp;" x "&amp;H507,H507&amp;" reps"),IF(IF(N(J507)=0,0,IF(N(I507)&gt;0,I507*(1+J507/30),J507))=X507,IF(N(I507)&gt;0,I507&amp;" x "&amp;J507,J507&amp;" reps"),IF(IF(N(L507)=0,0,IF(N(K507)&gt;0,K507*(1+L507/30),L507))=X507,IF(N(K507)&gt;0,K507&amp;" x "&amp;L507,L507&amp;" reps"),IF(IF(N(N507)=0,0,IF(N(M507)&gt;0,M507*(1+N507/30),N507))=X507,IF(N(M507)&gt;0,M507&amp;" x "&amp;N507,N507&amp;" reps"),""))))))</f>
        <v/>
      </c>
      <c r="R507" s="20">
        <f>IF(N(X507)=0,"",ROUND(X507,1))</f>
        <v/>
      </c>
      <c r="S507" s="18">
        <f>IF(N(X507)=0,"",IF(AND(COUNTIFS(Log!$D$6:$D$1505,D507,Log!$B$6:$B$1505,"&lt;"&amp;B507)&gt;0,COUNTIFS(Log!$D$6:$D$1505,D507,Log!$B$6:$B$1505,"&lt;"&amp;B507,Log!$X$6:$X$1505,"&gt;="&amp;X507)=0),"New best",""))</f>
        <v/>
      </c>
      <c r="T507" s="26" t="n"/>
      <c r="U507" s="1">
        <f>IF(D507="","",IFERROR(INDEX(Exercises!$C$6:$C$105,MATCH(D507,Exercises!$B$6:$B$105,0)),"Other"))</f>
        <v/>
      </c>
      <c r="V507">
        <f>IF(B507="","",IF(COUNTIF($B$6:B507,B507)=1,1,0))</f>
        <v/>
      </c>
      <c r="W507">
        <f>IF(B507="","",B507-WEEKDAY(B507,3))</f>
        <v/>
      </c>
      <c r="X507">
        <f>IF(D507="","",MAX(IF(N(F507)=0,0,IF(N(E507)&gt;0,E507*(1+F507/30),F507)),IF(N(H507)=0,0,IF(N(G507)&gt;0,G507*(1+H507/30),H507)),IF(N(J507)=0,0,IF(N(I507)&gt;0,I507*(1+J507/30),J507)),IF(N(L507)=0,0,IF(N(K507)&gt;0,K507*(1+L507/30),L507)),IF(N(N507)=0,0,IF(N(M507)&gt;0,M507*(1+N507/30),N507))))</f>
        <v/>
      </c>
      <c r="Y507">
        <f>IF(N(X507)=0,"",X507+ROW()/1000000000)</f>
        <v/>
      </c>
      <c r="Z507">
        <f>IF(Y507="","",IF(COUNTIFS(Log!$D$6:$D$1505,D507,Log!$Y$6:$Y$1505,"&gt;"&amp;Y507)=0,1,0))</f>
        <v/>
      </c>
      <c r="AA507">
        <f>IF(OR(B507="",D507=""),"",B507+ROW()/10000000)</f>
        <v/>
      </c>
      <c r="AB507">
        <f>IF(AA507="","",IF(COUNTIFS(Log!$D$6:$D$1505,D507,Log!$AA$6:$AA$1505,"&gt;"&amp;AA507)=0,1,0))</f>
        <v/>
      </c>
      <c r="AC507">
        <f>IF(S507="New best",AA507,"")</f>
        <v/>
      </c>
      <c r="AD507">
        <f>ROW()</f>
        <v/>
      </c>
    </row>
    <row r="508">
      <c r="A508" s="1" t="n"/>
      <c r="B508" s="21" t="n"/>
      <c r="C508" s="22" t="n"/>
      <c r="D508" s="23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15">
        <f>IF(D508="","",COUNT(F508,H508,J508,L508,N508))</f>
        <v/>
      </c>
      <c r="P508" s="25">
        <f>IF(D508="","",N(E508)*N(F508)+N(G508)*N(H508)+N(I508)*N(J508)+N(K508)*N(L508)+N(M508)*N(N508))</f>
        <v/>
      </c>
      <c r="Q508" s="18">
        <f>IF(N(X508)=0,"",IF(IF(N(F508)=0,0,IF(N(E508)&gt;0,E508*(1+F508/30),F508))=X508,IF(N(E508)&gt;0,E508&amp;" x "&amp;F508,F508&amp;" reps"),IF(IF(N(H508)=0,0,IF(N(G508)&gt;0,G508*(1+H508/30),H508))=X508,IF(N(G508)&gt;0,G508&amp;" x "&amp;H508,H508&amp;" reps"),IF(IF(N(J508)=0,0,IF(N(I508)&gt;0,I508*(1+J508/30),J508))=X508,IF(N(I508)&gt;0,I508&amp;" x "&amp;J508,J508&amp;" reps"),IF(IF(N(L508)=0,0,IF(N(K508)&gt;0,K508*(1+L508/30),L508))=X508,IF(N(K508)&gt;0,K508&amp;" x "&amp;L508,L508&amp;" reps"),IF(IF(N(N508)=0,0,IF(N(M508)&gt;0,M508*(1+N508/30),N508))=X508,IF(N(M508)&gt;0,M508&amp;" x "&amp;N508,N508&amp;" reps"),""))))))</f>
        <v/>
      </c>
      <c r="R508" s="20">
        <f>IF(N(X508)=0,"",ROUND(X508,1))</f>
        <v/>
      </c>
      <c r="S508" s="18">
        <f>IF(N(X508)=0,"",IF(AND(COUNTIFS(Log!$D$6:$D$1505,D508,Log!$B$6:$B$1505,"&lt;"&amp;B508)&gt;0,COUNTIFS(Log!$D$6:$D$1505,D508,Log!$B$6:$B$1505,"&lt;"&amp;B508,Log!$X$6:$X$1505,"&gt;="&amp;X508)=0),"New best",""))</f>
        <v/>
      </c>
      <c r="T508" s="26" t="n"/>
      <c r="U508" s="1">
        <f>IF(D508="","",IFERROR(INDEX(Exercises!$C$6:$C$105,MATCH(D508,Exercises!$B$6:$B$105,0)),"Other"))</f>
        <v/>
      </c>
      <c r="V508">
        <f>IF(B508="","",IF(COUNTIF($B$6:B508,B508)=1,1,0))</f>
        <v/>
      </c>
      <c r="W508">
        <f>IF(B508="","",B508-WEEKDAY(B508,3))</f>
        <v/>
      </c>
      <c r="X508">
        <f>IF(D508="","",MAX(IF(N(F508)=0,0,IF(N(E508)&gt;0,E508*(1+F508/30),F508)),IF(N(H508)=0,0,IF(N(G508)&gt;0,G508*(1+H508/30),H508)),IF(N(J508)=0,0,IF(N(I508)&gt;0,I508*(1+J508/30),J508)),IF(N(L508)=0,0,IF(N(K508)&gt;0,K508*(1+L508/30),L508)),IF(N(N508)=0,0,IF(N(M508)&gt;0,M508*(1+N508/30),N508))))</f>
        <v/>
      </c>
      <c r="Y508">
        <f>IF(N(X508)=0,"",X508+ROW()/1000000000)</f>
        <v/>
      </c>
      <c r="Z508">
        <f>IF(Y508="","",IF(COUNTIFS(Log!$D$6:$D$1505,D508,Log!$Y$6:$Y$1505,"&gt;"&amp;Y508)=0,1,0))</f>
        <v/>
      </c>
      <c r="AA508">
        <f>IF(OR(B508="",D508=""),"",B508+ROW()/10000000)</f>
        <v/>
      </c>
      <c r="AB508">
        <f>IF(AA508="","",IF(COUNTIFS(Log!$D$6:$D$1505,D508,Log!$AA$6:$AA$1505,"&gt;"&amp;AA508)=0,1,0))</f>
        <v/>
      </c>
      <c r="AC508">
        <f>IF(S508="New best",AA508,"")</f>
        <v/>
      </c>
      <c r="AD508">
        <f>ROW()</f>
        <v/>
      </c>
    </row>
    <row r="509">
      <c r="A509" s="1" t="n"/>
      <c r="B509" s="21" t="n"/>
      <c r="C509" s="22" t="n"/>
      <c r="D509" s="23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15">
        <f>IF(D509="","",COUNT(F509,H509,J509,L509,N509))</f>
        <v/>
      </c>
      <c r="P509" s="25">
        <f>IF(D509="","",N(E509)*N(F509)+N(G509)*N(H509)+N(I509)*N(J509)+N(K509)*N(L509)+N(M509)*N(N509))</f>
        <v/>
      </c>
      <c r="Q509" s="18">
        <f>IF(N(X509)=0,"",IF(IF(N(F509)=0,0,IF(N(E509)&gt;0,E509*(1+F509/30),F509))=X509,IF(N(E509)&gt;0,E509&amp;" x "&amp;F509,F509&amp;" reps"),IF(IF(N(H509)=0,0,IF(N(G509)&gt;0,G509*(1+H509/30),H509))=X509,IF(N(G509)&gt;0,G509&amp;" x "&amp;H509,H509&amp;" reps"),IF(IF(N(J509)=0,0,IF(N(I509)&gt;0,I509*(1+J509/30),J509))=X509,IF(N(I509)&gt;0,I509&amp;" x "&amp;J509,J509&amp;" reps"),IF(IF(N(L509)=0,0,IF(N(K509)&gt;0,K509*(1+L509/30),L509))=X509,IF(N(K509)&gt;0,K509&amp;" x "&amp;L509,L509&amp;" reps"),IF(IF(N(N509)=0,0,IF(N(M509)&gt;0,M509*(1+N509/30),N509))=X509,IF(N(M509)&gt;0,M509&amp;" x "&amp;N509,N509&amp;" reps"),""))))))</f>
        <v/>
      </c>
      <c r="R509" s="20">
        <f>IF(N(X509)=0,"",ROUND(X509,1))</f>
        <v/>
      </c>
      <c r="S509" s="18">
        <f>IF(N(X509)=0,"",IF(AND(COUNTIFS(Log!$D$6:$D$1505,D509,Log!$B$6:$B$1505,"&lt;"&amp;B509)&gt;0,COUNTIFS(Log!$D$6:$D$1505,D509,Log!$B$6:$B$1505,"&lt;"&amp;B509,Log!$X$6:$X$1505,"&gt;="&amp;X509)=0),"New best",""))</f>
        <v/>
      </c>
      <c r="T509" s="26" t="n"/>
      <c r="U509" s="1">
        <f>IF(D509="","",IFERROR(INDEX(Exercises!$C$6:$C$105,MATCH(D509,Exercises!$B$6:$B$105,0)),"Other"))</f>
        <v/>
      </c>
      <c r="V509">
        <f>IF(B509="","",IF(COUNTIF($B$6:B509,B509)=1,1,0))</f>
        <v/>
      </c>
      <c r="W509">
        <f>IF(B509="","",B509-WEEKDAY(B509,3))</f>
        <v/>
      </c>
      <c r="X509">
        <f>IF(D509="","",MAX(IF(N(F509)=0,0,IF(N(E509)&gt;0,E509*(1+F509/30),F509)),IF(N(H509)=0,0,IF(N(G509)&gt;0,G509*(1+H509/30),H509)),IF(N(J509)=0,0,IF(N(I509)&gt;0,I509*(1+J509/30),J509)),IF(N(L509)=0,0,IF(N(K509)&gt;0,K509*(1+L509/30),L509)),IF(N(N509)=0,0,IF(N(M509)&gt;0,M509*(1+N509/30),N509))))</f>
        <v/>
      </c>
      <c r="Y509">
        <f>IF(N(X509)=0,"",X509+ROW()/1000000000)</f>
        <v/>
      </c>
      <c r="Z509">
        <f>IF(Y509="","",IF(COUNTIFS(Log!$D$6:$D$1505,D509,Log!$Y$6:$Y$1505,"&gt;"&amp;Y509)=0,1,0))</f>
        <v/>
      </c>
      <c r="AA509">
        <f>IF(OR(B509="",D509=""),"",B509+ROW()/10000000)</f>
        <v/>
      </c>
      <c r="AB509">
        <f>IF(AA509="","",IF(COUNTIFS(Log!$D$6:$D$1505,D509,Log!$AA$6:$AA$1505,"&gt;"&amp;AA509)=0,1,0))</f>
        <v/>
      </c>
      <c r="AC509">
        <f>IF(S509="New best",AA509,"")</f>
        <v/>
      </c>
      <c r="AD509">
        <f>ROW()</f>
        <v/>
      </c>
    </row>
    <row r="510">
      <c r="A510" s="1" t="n"/>
      <c r="B510" s="21" t="n"/>
      <c r="C510" s="22" t="n"/>
      <c r="D510" s="23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15">
        <f>IF(D510="","",COUNT(F510,H510,J510,L510,N510))</f>
        <v/>
      </c>
      <c r="P510" s="25">
        <f>IF(D510="","",N(E510)*N(F510)+N(G510)*N(H510)+N(I510)*N(J510)+N(K510)*N(L510)+N(M510)*N(N510))</f>
        <v/>
      </c>
      <c r="Q510" s="18">
        <f>IF(N(X510)=0,"",IF(IF(N(F510)=0,0,IF(N(E510)&gt;0,E510*(1+F510/30),F510))=X510,IF(N(E510)&gt;0,E510&amp;" x "&amp;F510,F510&amp;" reps"),IF(IF(N(H510)=0,0,IF(N(G510)&gt;0,G510*(1+H510/30),H510))=X510,IF(N(G510)&gt;0,G510&amp;" x "&amp;H510,H510&amp;" reps"),IF(IF(N(J510)=0,0,IF(N(I510)&gt;0,I510*(1+J510/30),J510))=X510,IF(N(I510)&gt;0,I510&amp;" x "&amp;J510,J510&amp;" reps"),IF(IF(N(L510)=0,0,IF(N(K510)&gt;0,K510*(1+L510/30),L510))=X510,IF(N(K510)&gt;0,K510&amp;" x "&amp;L510,L510&amp;" reps"),IF(IF(N(N510)=0,0,IF(N(M510)&gt;0,M510*(1+N510/30),N510))=X510,IF(N(M510)&gt;0,M510&amp;" x "&amp;N510,N510&amp;" reps"),""))))))</f>
        <v/>
      </c>
      <c r="R510" s="20">
        <f>IF(N(X510)=0,"",ROUND(X510,1))</f>
        <v/>
      </c>
      <c r="S510" s="18">
        <f>IF(N(X510)=0,"",IF(AND(COUNTIFS(Log!$D$6:$D$1505,D510,Log!$B$6:$B$1505,"&lt;"&amp;B510)&gt;0,COUNTIFS(Log!$D$6:$D$1505,D510,Log!$B$6:$B$1505,"&lt;"&amp;B510,Log!$X$6:$X$1505,"&gt;="&amp;X510)=0),"New best",""))</f>
        <v/>
      </c>
      <c r="T510" s="26" t="n"/>
      <c r="U510" s="1">
        <f>IF(D510="","",IFERROR(INDEX(Exercises!$C$6:$C$105,MATCH(D510,Exercises!$B$6:$B$105,0)),"Other"))</f>
        <v/>
      </c>
      <c r="V510">
        <f>IF(B510="","",IF(COUNTIF($B$6:B510,B510)=1,1,0))</f>
        <v/>
      </c>
      <c r="W510">
        <f>IF(B510="","",B510-WEEKDAY(B510,3))</f>
        <v/>
      </c>
      <c r="X510">
        <f>IF(D510="","",MAX(IF(N(F510)=0,0,IF(N(E510)&gt;0,E510*(1+F510/30),F510)),IF(N(H510)=0,0,IF(N(G510)&gt;0,G510*(1+H510/30),H510)),IF(N(J510)=0,0,IF(N(I510)&gt;0,I510*(1+J510/30),J510)),IF(N(L510)=0,0,IF(N(K510)&gt;0,K510*(1+L510/30),L510)),IF(N(N510)=0,0,IF(N(M510)&gt;0,M510*(1+N510/30),N510))))</f>
        <v/>
      </c>
      <c r="Y510">
        <f>IF(N(X510)=0,"",X510+ROW()/1000000000)</f>
        <v/>
      </c>
      <c r="Z510">
        <f>IF(Y510="","",IF(COUNTIFS(Log!$D$6:$D$1505,D510,Log!$Y$6:$Y$1505,"&gt;"&amp;Y510)=0,1,0))</f>
        <v/>
      </c>
      <c r="AA510">
        <f>IF(OR(B510="",D510=""),"",B510+ROW()/10000000)</f>
        <v/>
      </c>
      <c r="AB510">
        <f>IF(AA510="","",IF(COUNTIFS(Log!$D$6:$D$1505,D510,Log!$AA$6:$AA$1505,"&gt;"&amp;AA510)=0,1,0))</f>
        <v/>
      </c>
      <c r="AC510">
        <f>IF(S510="New best",AA510,"")</f>
        <v/>
      </c>
      <c r="AD510">
        <f>ROW()</f>
        <v/>
      </c>
    </row>
    <row r="511">
      <c r="A511" s="1" t="n"/>
      <c r="B511" s="21" t="n"/>
      <c r="C511" s="22" t="n"/>
      <c r="D511" s="23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15">
        <f>IF(D511="","",COUNT(F511,H511,J511,L511,N511))</f>
        <v/>
      </c>
      <c r="P511" s="25">
        <f>IF(D511="","",N(E511)*N(F511)+N(G511)*N(H511)+N(I511)*N(J511)+N(K511)*N(L511)+N(M511)*N(N511))</f>
        <v/>
      </c>
      <c r="Q511" s="18">
        <f>IF(N(X511)=0,"",IF(IF(N(F511)=0,0,IF(N(E511)&gt;0,E511*(1+F511/30),F511))=X511,IF(N(E511)&gt;0,E511&amp;" x "&amp;F511,F511&amp;" reps"),IF(IF(N(H511)=0,0,IF(N(G511)&gt;0,G511*(1+H511/30),H511))=X511,IF(N(G511)&gt;0,G511&amp;" x "&amp;H511,H511&amp;" reps"),IF(IF(N(J511)=0,0,IF(N(I511)&gt;0,I511*(1+J511/30),J511))=X511,IF(N(I511)&gt;0,I511&amp;" x "&amp;J511,J511&amp;" reps"),IF(IF(N(L511)=0,0,IF(N(K511)&gt;0,K511*(1+L511/30),L511))=X511,IF(N(K511)&gt;0,K511&amp;" x "&amp;L511,L511&amp;" reps"),IF(IF(N(N511)=0,0,IF(N(M511)&gt;0,M511*(1+N511/30),N511))=X511,IF(N(M511)&gt;0,M511&amp;" x "&amp;N511,N511&amp;" reps"),""))))))</f>
        <v/>
      </c>
      <c r="R511" s="20">
        <f>IF(N(X511)=0,"",ROUND(X511,1))</f>
        <v/>
      </c>
      <c r="S511" s="18">
        <f>IF(N(X511)=0,"",IF(AND(COUNTIFS(Log!$D$6:$D$1505,D511,Log!$B$6:$B$1505,"&lt;"&amp;B511)&gt;0,COUNTIFS(Log!$D$6:$D$1505,D511,Log!$B$6:$B$1505,"&lt;"&amp;B511,Log!$X$6:$X$1505,"&gt;="&amp;X511)=0),"New best",""))</f>
        <v/>
      </c>
      <c r="T511" s="26" t="n"/>
      <c r="U511" s="1">
        <f>IF(D511="","",IFERROR(INDEX(Exercises!$C$6:$C$105,MATCH(D511,Exercises!$B$6:$B$105,0)),"Other"))</f>
        <v/>
      </c>
      <c r="V511">
        <f>IF(B511="","",IF(COUNTIF($B$6:B511,B511)=1,1,0))</f>
        <v/>
      </c>
      <c r="W511">
        <f>IF(B511="","",B511-WEEKDAY(B511,3))</f>
        <v/>
      </c>
      <c r="X511">
        <f>IF(D511="","",MAX(IF(N(F511)=0,0,IF(N(E511)&gt;0,E511*(1+F511/30),F511)),IF(N(H511)=0,0,IF(N(G511)&gt;0,G511*(1+H511/30),H511)),IF(N(J511)=0,0,IF(N(I511)&gt;0,I511*(1+J511/30),J511)),IF(N(L511)=0,0,IF(N(K511)&gt;0,K511*(1+L511/30),L511)),IF(N(N511)=0,0,IF(N(M511)&gt;0,M511*(1+N511/30),N511))))</f>
        <v/>
      </c>
      <c r="Y511">
        <f>IF(N(X511)=0,"",X511+ROW()/1000000000)</f>
        <v/>
      </c>
      <c r="Z511">
        <f>IF(Y511="","",IF(COUNTIFS(Log!$D$6:$D$1505,D511,Log!$Y$6:$Y$1505,"&gt;"&amp;Y511)=0,1,0))</f>
        <v/>
      </c>
      <c r="AA511">
        <f>IF(OR(B511="",D511=""),"",B511+ROW()/10000000)</f>
        <v/>
      </c>
      <c r="AB511">
        <f>IF(AA511="","",IF(COUNTIFS(Log!$D$6:$D$1505,D511,Log!$AA$6:$AA$1505,"&gt;"&amp;AA511)=0,1,0))</f>
        <v/>
      </c>
      <c r="AC511">
        <f>IF(S511="New best",AA511,"")</f>
        <v/>
      </c>
      <c r="AD511">
        <f>ROW()</f>
        <v/>
      </c>
    </row>
    <row r="512">
      <c r="A512" s="1" t="n"/>
      <c r="B512" s="21" t="n"/>
      <c r="C512" s="22" t="n"/>
      <c r="D512" s="23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15">
        <f>IF(D512="","",COUNT(F512,H512,J512,L512,N512))</f>
        <v/>
      </c>
      <c r="P512" s="25">
        <f>IF(D512="","",N(E512)*N(F512)+N(G512)*N(H512)+N(I512)*N(J512)+N(K512)*N(L512)+N(M512)*N(N512))</f>
        <v/>
      </c>
      <c r="Q512" s="18">
        <f>IF(N(X512)=0,"",IF(IF(N(F512)=0,0,IF(N(E512)&gt;0,E512*(1+F512/30),F512))=X512,IF(N(E512)&gt;0,E512&amp;" x "&amp;F512,F512&amp;" reps"),IF(IF(N(H512)=0,0,IF(N(G512)&gt;0,G512*(1+H512/30),H512))=X512,IF(N(G512)&gt;0,G512&amp;" x "&amp;H512,H512&amp;" reps"),IF(IF(N(J512)=0,0,IF(N(I512)&gt;0,I512*(1+J512/30),J512))=X512,IF(N(I512)&gt;0,I512&amp;" x "&amp;J512,J512&amp;" reps"),IF(IF(N(L512)=0,0,IF(N(K512)&gt;0,K512*(1+L512/30),L512))=X512,IF(N(K512)&gt;0,K512&amp;" x "&amp;L512,L512&amp;" reps"),IF(IF(N(N512)=0,0,IF(N(M512)&gt;0,M512*(1+N512/30),N512))=X512,IF(N(M512)&gt;0,M512&amp;" x "&amp;N512,N512&amp;" reps"),""))))))</f>
        <v/>
      </c>
      <c r="R512" s="20">
        <f>IF(N(X512)=0,"",ROUND(X512,1))</f>
        <v/>
      </c>
      <c r="S512" s="18">
        <f>IF(N(X512)=0,"",IF(AND(COUNTIFS(Log!$D$6:$D$1505,D512,Log!$B$6:$B$1505,"&lt;"&amp;B512)&gt;0,COUNTIFS(Log!$D$6:$D$1505,D512,Log!$B$6:$B$1505,"&lt;"&amp;B512,Log!$X$6:$X$1505,"&gt;="&amp;X512)=0),"New best",""))</f>
        <v/>
      </c>
      <c r="T512" s="26" t="n"/>
      <c r="U512" s="1">
        <f>IF(D512="","",IFERROR(INDEX(Exercises!$C$6:$C$105,MATCH(D512,Exercises!$B$6:$B$105,0)),"Other"))</f>
        <v/>
      </c>
      <c r="V512">
        <f>IF(B512="","",IF(COUNTIF($B$6:B512,B512)=1,1,0))</f>
        <v/>
      </c>
      <c r="W512">
        <f>IF(B512="","",B512-WEEKDAY(B512,3))</f>
        <v/>
      </c>
      <c r="X512">
        <f>IF(D512="","",MAX(IF(N(F512)=0,0,IF(N(E512)&gt;0,E512*(1+F512/30),F512)),IF(N(H512)=0,0,IF(N(G512)&gt;0,G512*(1+H512/30),H512)),IF(N(J512)=0,0,IF(N(I512)&gt;0,I512*(1+J512/30),J512)),IF(N(L512)=0,0,IF(N(K512)&gt;0,K512*(1+L512/30),L512)),IF(N(N512)=0,0,IF(N(M512)&gt;0,M512*(1+N512/30),N512))))</f>
        <v/>
      </c>
      <c r="Y512">
        <f>IF(N(X512)=0,"",X512+ROW()/1000000000)</f>
        <v/>
      </c>
      <c r="Z512">
        <f>IF(Y512="","",IF(COUNTIFS(Log!$D$6:$D$1505,D512,Log!$Y$6:$Y$1505,"&gt;"&amp;Y512)=0,1,0))</f>
        <v/>
      </c>
      <c r="AA512">
        <f>IF(OR(B512="",D512=""),"",B512+ROW()/10000000)</f>
        <v/>
      </c>
      <c r="AB512">
        <f>IF(AA512="","",IF(COUNTIFS(Log!$D$6:$D$1505,D512,Log!$AA$6:$AA$1505,"&gt;"&amp;AA512)=0,1,0))</f>
        <v/>
      </c>
      <c r="AC512">
        <f>IF(S512="New best",AA512,"")</f>
        <v/>
      </c>
      <c r="AD512">
        <f>ROW()</f>
        <v/>
      </c>
    </row>
    <row r="513">
      <c r="A513" s="1" t="n"/>
      <c r="B513" s="21" t="n"/>
      <c r="C513" s="22" t="n"/>
      <c r="D513" s="23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15">
        <f>IF(D513="","",COUNT(F513,H513,J513,L513,N513))</f>
        <v/>
      </c>
      <c r="P513" s="25">
        <f>IF(D513="","",N(E513)*N(F513)+N(G513)*N(H513)+N(I513)*N(J513)+N(K513)*N(L513)+N(M513)*N(N513))</f>
        <v/>
      </c>
      <c r="Q513" s="18">
        <f>IF(N(X513)=0,"",IF(IF(N(F513)=0,0,IF(N(E513)&gt;0,E513*(1+F513/30),F513))=X513,IF(N(E513)&gt;0,E513&amp;" x "&amp;F513,F513&amp;" reps"),IF(IF(N(H513)=0,0,IF(N(G513)&gt;0,G513*(1+H513/30),H513))=X513,IF(N(G513)&gt;0,G513&amp;" x "&amp;H513,H513&amp;" reps"),IF(IF(N(J513)=0,0,IF(N(I513)&gt;0,I513*(1+J513/30),J513))=X513,IF(N(I513)&gt;0,I513&amp;" x "&amp;J513,J513&amp;" reps"),IF(IF(N(L513)=0,0,IF(N(K513)&gt;0,K513*(1+L513/30),L513))=X513,IF(N(K513)&gt;0,K513&amp;" x "&amp;L513,L513&amp;" reps"),IF(IF(N(N513)=0,0,IF(N(M513)&gt;0,M513*(1+N513/30),N513))=X513,IF(N(M513)&gt;0,M513&amp;" x "&amp;N513,N513&amp;" reps"),""))))))</f>
        <v/>
      </c>
      <c r="R513" s="20">
        <f>IF(N(X513)=0,"",ROUND(X513,1))</f>
        <v/>
      </c>
      <c r="S513" s="18">
        <f>IF(N(X513)=0,"",IF(AND(COUNTIFS(Log!$D$6:$D$1505,D513,Log!$B$6:$B$1505,"&lt;"&amp;B513)&gt;0,COUNTIFS(Log!$D$6:$D$1505,D513,Log!$B$6:$B$1505,"&lt;"&amp;B513,Log!$X$6:$X$1505,"&gt;="&amp;X513)=0),"New best",""))</f>
        <v/>
      </c>
      <c r="T513" s="26" t="n"/>
      <c r="U513" s="1">
        <f>IF(D513="","",IFERROR(INDEX(Exercises!$C$6:$C$105,MATCH(D513,Exercises!$B$6:$B$105,0)),"Other"))</f>
        <v/>
      </c>
      <c r="V513">
        <f>IF(B513="","",IF(COUNTIF($B$6:B513,B513)=1,1,0))</f>
        <v/>
      </c>
      <c r="W513">
        <f>IF(B513="","",B513-WEEKDAY(B513,3))</f>
        <v/>
      </c>
      <c r="X513">
        <f>IF(D513="","",MAX(IF(N(F513)=0,0,IF(N(E513)&gt;0,E513*(1+F513/30),F513)),IF(N(H513)=0,0,IF(N(G513)&gt;0,G513*(1+H513/30),H513)),IF(N(J513)=0,0,IF(N(I513)&gt;0,I513*(1+J513/30),J513)),IF(N(L513)=0,0,IF(N(K513)&gt;0,K513*(1+L513/30),L513)),IF(N(N513)=0,0,IF(N(M513)&gt;0,M513*(1+N513/30),N513))))</f>
        <v/>
      </c>
      <c r="Y513">
        <f>IF(N(X513)=0,"",X513+ROW()/1000000000)</f>
        <v/>
      </c>
      <c r="Z513">
        <f>IF(Y513="","",IF(COUNTIFS(Log!$D$6:$D$1505,D513,Log!$Y$6:$Y$1505,"&gt;"&amp;Y513)=0,1,0))</f>
        <v/>
      </c>
      <c r="AA513">
        <f>IF(OR(B513="",D513=""),"",B513+ROW()/10000000)</f>
        <v/>
      </c>
      <c r="AB513">
        <f>IF(AA513="","",IF(COUNTIFS(Log!$D$6:$D$1505,D513,Log!$AA$6:$AA$1505,"&gt;"&amp;AA513)=0,1,0))</f>
        <v/>
      </c>
      <c r="AC513">
        <f>IF(S513="New best",AA513,"")</f>
        <v/>
      </c>
      <c r="AD513">
        <f>ROW()</f>
        <v/>
      </c>
    </row>
    <row r="514">
      <c r="A514" s="1" t="n"/>
      <c r="B514" s="21" t="n"/>
      <c r="C514" s="22" t="n"/>
      <c r="D514" s="23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15">
        <f>IF(D514="","",COUNT(F514,H514,J514,L514,N514))</f>
        <v/>
      </c>
      <c r="P514" s="25">
        <f>IF(D514="","",N(E514)*N(F514)+N(G514)*N(H514)+N(I514)*N(J514)+N(K514)*N(L514)+N(M514)*N(N514))</f>
        <v/>
      </c>
      <c r="Q514" s="18">
        <f>IF(N(X514)=0,"",IF(IF(N(F514)=0,0,IF(N(E514)&gt;0,E514*(1+F514/30),F514))=X514,IF(N(E514)&gt;0,E514&amp;" x "&amp;F514,F514&amp;" reps"),IF(IF(N(H514)=0,0,IF(N(G514)&gt;0,G514*(1+H514/30),H514))=X514,IF(N(G514)&gt;0,G514&amp;" x "&amp;H514,H514&amp;" reps"),IF(IF(N(J514)=0,0,IF(N(I514)&gt;0,I514*(1+J514/30),J514))=X514,IF(N(I514)&gt;0,I514&amp;" x "&amp;J514,J514&amp;" reps"),IF(IF(N(L514)=0,0,IF(N(K514)&gt;0,K514*(1+L514/30),L514))=X514,IF(N(K514)&gt;0,K514&amp;" x "&amp;L514,L514&amp;" reps"),IF(IF(N(N514)=0,0,IF(N(M514)&gt;0,M514*(1+N514/30),N514))=X514,IF(N(M514)&gt;0,M514&amp;" x "&amp;N514,N514&amp;" reps"),""))))))</f>
        <v/>
      </c>
      <c r="R514" s="20">
        <f>IF(N(X514)=0,"",ROUND(X514,1))</f>
        <v/>
      </c>
      <c r="S514" s="18">
        <f>IF(N(X514)=0,"",IF(AND(COUNTIFS(Log!$D$6:$D$1505,D514,Log!$B$6:$B$1505,"&lt;"&amp;B514)&gt;0,COUNTIFS(Log!$D$6:$D$1505,D514,Log!$B$6:$B$1505,"&lt;"&amp;B514,Log!$X$6:$X$1505,"&gt;="&amp;X514)=0),"New best",""))</f>
        <v/>
      </c>
      <c r="T514" s="26" t="n"/>
      <c r="U514" s="1">
        <f>IF(D514="","",IFERROR(INDEX(Exercises!$C$6:$C$105,MATCH(D514,Exercises!$B$6:$B$105,0)),"Other"))</f>
        <v/>
      </c>
      <c r="V514">
        <f>IF(B514="","",IF(COUNTIF($B$6:B514,B514)=1,1,0))</f>
        <v/>
      </c>
      <c r="W514">
        <f>IF(B514="","",B514-WEEKDAY(B514,3))</f>
        <v/>
      </c>
      <c r="X514">
        <f>IF(D514="","",MAX(IF(N(F514)=0,0,IF(N(E514)&gt;0,E514*(1+F514/30),F514)),IF(N(H514)=0,0,IF(N(G514)&gt;0,G514*(1+H514/30),H514)),IF(N(J514)=0,0,IF(N(I514)&gt;0,I514*(1+J514/30),J514)),IF(N(L514)=0,0,IF(N(K514)&gt;0,K514*(1+L514/30),L514)),IF(N(N514)=0,0,IF(N(M514)&gt;0,M514*(1+N514/30),N514))))</f>
        <v/>
      </c>
      <c r="Y514">
        <f>IF(N(X514)=0,"",X514+ROW()/1000000000)</f>
        <v/>
      </c>
      <c r="Z514">
        <f>IF(Y514="","",IF(COUNTIFS(Log!$D$6:$D$1505,D514,Log!$Y$6:$Y$1505,"&gt;"&amp;Y514)=0,1,0))</f>
        <v/>
      </c>
      <c r="AA514">
        <f>IF(OR(B514="",D514=""),"",B514+ROW()/10000000)</f>
        <v/>
      </c>
      <c r="AB514">
        <f>IF(AA514="","",IF(COUNTIFS(Log!$D$6:$D$1505,D514,Log!$AA$6:$AA$1505,"&gt;"&amp;AA514)=0,1,0))</f>
        <v/>
      </c>
      <c r="AC514">
        <f>IF(S514="New best",AA514,"")</f>
        <v/>
      </c>
      <c r="AD514">
        <f>ROW()</f>
        <v/>
      </c>
    </row>
    <row r="515">
      <c r="A515" s="1" t="n"/>
      <c r="B515" s="21" t="n"/>
      <c r="C515" s="22" t="n"/>
      <c r="D515" s="23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15">
        <f>IF(D515="","",COUNT(F515,H515,J515,L515,N515))</f>
        <v/>
      </c>
      <c r="P515" s="25">
        <f>IF(D515="","",N(E515)*N(F515)+N(G515)*N(H515)+N(I515)*N(J515)+N(K515)*N(L515)+N(M515)*N(N515))</f>
        <v/>
      </c>
      <c r="Q515" s="18">
        <f>IF(N(X515)=0,"",IF(IF(N(F515)=0,0,IF(N(E515)&gt;0,E515*(1+F515/30),F515))=X515,IF(N(E515)&gt;0,E515&amp;" x "&amp;F515,F515&amp;" reps"),IF(IF(N(H515)=0,0,IF(N(G515)&gt;0,G515*(1+H515/30),H515))=X515,IF(N(G515)&gt;0,G515&amp;" x "&amp;H515,H515&amp;" reps"),IF(IF(N(J515)=0,0,IF(N(I515)&gt;0,I515*(1+J515/30),J515))=X515,IF(N(I515)&gt;0,I515&amp;" x "&amp;J515,J515&amp;" reps"),IF(IF(N(L515)=0,0,IF(N(K515)&gt;0,K515*(1+L515/30),L515))=X515,IF(N(K515)&gt;0,K515&amp;" x "&amp;L515,L515&amp;" reps"),IF(IF(N(N515)=0,0,IF(N(M515)&gt;0,M515*(1+N515/30),N515))=X515,IF(N(M515)&gt;0,M515&amp;" x "&amp;N515,N515&amp;" reps"),""))))))</f>
        <v/>
      </c>
      <c r="R515" s="20">
        <f>IF(N(X515)=0,"",ROUND(X515,1))</f>
        <v/>
      </c>
      <c r="S515" s="18">
        <f>IF(N(X515)=0,"",IF(AND(COUNTIFS(Log!$D$6:$D$1505,D515,Log!$B$6:$B$1505,"&lt;"&amp;B515)&gt;0,COUNTIFS(Log!$D$6:$D$1505,D515,Log!$B$6:$B$1505,"&lt;"&amp;B515,Log!$X$6:$X$1505,"&gt;="&amp;X515)=0),"New best",""))</f>
        <v/>
      </c>
      <c r="T515" s="26" t="n"/>
      <c r="U515" s="1">
        <f>IF(D515="","",IFERROR(INDEX(Exercises!$C$6:$C$105,MATCH(D515,Exercises!$B$6:$B$105,0)),"Other"))</f>
        <v/>
      </c>
      <c r="V515">
        <f>IF(B515="","",IF(COUNTIF($B$6:B515,B515)=1,1,0))</f>
        <v/>
      </c>
      <c r="W515">
        <f>IF(B515="","",B515-WEEKDAY(B515,3))</f>
        <v/>
      </c>
      <c r="X515">
        <f>IF(D515="","",MAX(IF(N(F515)=0,0,IF(N(E515)&gt;0,E515*(1+F515/30),F515)),IF(N(H515)=0,0,IF(N(G515)&gt;0,G515*(1+H515/30),H515)),IF(N(J515)=0,0,IF(N(I515)&gt;0,I515*(1+J515/30),J515)),IF(N(L515)=0,0,IF(N(K515)&gt;0,K515*(1+L515/30),L515)),IF(N(N515)=0,0,IF(N(M515)&gt;0,M515*(1+N515/30),N515))))</f>
        <v/>
      </c>
      <c r="Y515">
        <f>IF(N(X515)=0,"",X515+ROW()/1000000000)</f>
        <v/>
      </c>
      <c r="Z515">
        <f>IF(Y515="","",IF(COUNTIFS(Log!$D$6:$D$1505,D515,Log!$Y$6:$Y$1505,"&gt;"&amp;Y515)=0,1,0))</f>
        <v/>
      </c>
      <c r="AA515">
        <f>IF(OR(B515="",D515=""),"",B515+ROW()/10000000)</f>
        <v/>
      </c>
      <c r="AB515">
        <f>IF(AA515="","",IF(COUNTIFS(Log!$D$6:$D$1505,D515,Log!$AA$6:$AA$1505,"&gt;"&amp;AA515)=0,1,0))</f>
        <v/>
      </c>
      <c r="AC515">
        <f>IF(S515="New best",AA515,"")</f>
        <v/>
      </c>
      <c r="AD515">
        <f>ROW()</f>
        <v/>
      </c>
    </row>
    <row r="516">
      <c r="A516" s="1" t="n"/>
      <c r="B516" s="21" t="n"/>
      <c r="C516" s="22" t="n"/>
      <c r="D516" s="23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15">
        <f>IF(D516="","",COUNT(F516,H516,J516,L516,N516))</f>
        <v/>
      </c>
      <c r="P516" s="25">
        <f>IF(D516="","",N(E516)*N(F516)+N(G516)*N(H516)+N(I516)*N(J516)+N(K516)*N(L516)+N(M516)*N(N516))</f>
        <v/>
      </c>
      <c r="Q516" s="18">
        <f>IF(N(X516)=0,"",IF(IF(N(F516)=0,0,IF(N(E516)&gt;0,E516*(1+F516/30),F516))=X516,IF(N(E516)&gt;0,E516&amp;" x "&amp;F516,F516&amp;" reps"),IF(IF(N(H516)=0,0,IF(N(G516)&gt;0,G516*(1+H516/30),H516))=X516,IF(N(G516)&gt;0,G516&amp;" x "&amp;H516,H516&amp;" reps"),IF(IF(N(J516)=0,0,IF(N(I516)&gt;0,I516*(1+J516/30),J516))=X516,IF(N(I516)&gt;0,I516&amp;" x "&amp;J516,J516&amp;" reps"),IF(IF(N(L516)=0,0,IF(N(K516)&gt;0,K516*(1+L516/30),L516))=X516,IF(N(K516)&gt;0,K516&amp;" x "&amp;L516,L516&amp;" reps"),IF(IF(N(N516)=0,0,IF(N(M516)&gt;0,M516*(1+N516/30),N516))=X516,IF(N(M516)&gt;0,M516&amp;" x "&amp;N516,N516&amp;" reps"),""))))))</f>
        <v/>
      </c>
      <c r="R516" s="20">
        <f>IF(N(X516)=0,"",ROUND(X516,1))</f>
        <v/>
      </c>
      <c r="S516" s="18">
        <f>IF(N(X516)=0,"",IF(AND(COUNTIFS(Log!$D$6:$D$1505,D516,Log!$B$6:$B$1505,"&lt;"&amp;B516)&gt;0,COUNTIFS(Log!$D$6:$D$1505,D516,Log!$B$6:$B$1505,"&lt;"&amp;B516,Log!$X$6:$X$1505,"&gt;="&amp;X516)=0),"New best",""))</f>
        <v/>
      </c>
      <c r="T516" s="26" t="n"/>
      <c r="U516" s="1">
        <f>IF(D516="","",IFERROR(INDEX(Exercises!$C$6:$C$105,MATCH(D516,Exercises!$B$6:$B$105,0)),"Other"))</f>
        <v/>
      </c>
      <c r="V516">
        <f>IF(B516="","",IF(COUNTIF($B$6:B516,B516)=1,1,0))</f>
        <v/>
      </c>
      <c r="W516">
        <f>IF(B516="","",B516-WEEKDAY(B516,3))</f>
        <v/>
      </c>
      <c r="X516">
        <f>IF(D516="","",MAX(IF(N(F516)=0,0,IF(N(E516)&gt;0,E516*(1+F516/30),F516)),IF(N(H516)=0,0,IF(N(G516)&gt;0,G516*(1+H516/30),H516)),IF(N(J516)=0,0,IF(N(I516)&gt;0,I516*(1+J516/30),J516)),IF(N(L516)=0,0,IF(N(K516)&gt;0,K516*(1+L516/30),L516)),IF(N(N516)=0,0,IF(N(M516)&gt;0,M516*(1+N516/30),N516))))</f>
        <v/>
      </c>
      <c r="Y516">
        <f>IF(N(X516)=0,"",X516+ROW()/1000000000)</f>
        <v/>
      </c>
      <c r="Z516">
        <f>IF(Y516="","",IF(COUNTIFS(Log!$D$6:$D$1505,D516,Log!$Y$6:$Y$1505,"&gt;"&amp;Y516)=0,1,0))</f>
        <v/>
      </c>
      <c r="AA516">
        <f>IF(OR(B516="",D516=""),"",B516+ROW()/10000000)</f>
        <v/>
      </c>
      <c r="AB516">
        <f>IF(AA516="","",IF(COUNTIFS(Log!$D$6:$D$1505,D516,Log!$AA$6:$AA$1505,"&gt;"&amp;AA516)=0,1,0))</f>
        <v/>
      </c>
      <c r="AC516">
        <f>IF(S516="New best",AA516,"")</f>
        <v/>
      </c>
      <c r="AD516">
        <f>ROW()</f>
        <v/>
      </c>
    </row>
    <row r="517">
      <c r="A517" s="1" t="n"/>
      <c r="B517" s="21" t="n"/>
      <c r="C517" s="22" t="n"/>
      <c r="D517" s="23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15">
        <f>IF(D517="","",COUNT(F517,H517,J517,L517,N517))</f>
        <v/>
      </c>
      <c r="P517" s="25">
        <f>IF(D517="","",N(E517)*N(F517)+N(G517)*N(H517)+N(I517)*N(J517)+N(K517)*N(L517)+N(M517)*N(N517))</f>
        <v/>
      </c>
      <c r="Q517" s="18">
        <f>IF(N(X517)=0,"",IF(IF(N(F517)=0,0,IF(N(E517)&gt;0,E517*(1+F517/30),F517))=X517,IF(N(E517)&gt;0,E517&amp;" x "&amp;F517,F517&amp;" reps"),IF(IF(N(H517)=0,0,IF(N(G517)&gt;0,G517*(1+H517/30),H517))=X517,IF(N(G517)&gt;0,G517&amp;" x "&amp;H517,H517&amp;" reps"),IF(IF(N(J517)=0,0,IF(N(I517)&gt;0,I517*(1+J517/30),J517))=X517,IF(N(I517)&gt;0,I517&amp;" x "&amp;J517,J517&amp;" reps"),IF(IF(N(L517)=0,0,IF(N(K517)&gt;0,K517*(1+L517/30),L517))=X517,IF(N(K517)&gt;0,K517&amp;" x "&amp;L517,L517&amp;" reps"),IF(IF(N(N517)=0,0,IF(N(M517)&gt;0,M517*(1+N517/30),N517))=X517,IF(N(M517)&gt;0,M517&amp;" x "&amp;N517,N517&amp;" reps"),""))))))</f>
        <v/>
      </c>
      <c r="R517" s="20">
        <f>IF(N(X517)=0,"",ROUND(X517,1))</f>
        <v/>
      </c>
      <c r="S517" s="18">
        <f>IF(N(X517)=0,"",IF(AND(COUNTIFS(Log!$D$6:$D$1505,D517,Log!$B$6:$B$1505,"&lt;"&amp;B517)&gt;0,COUNTIFS(Log!$D$6:$D$1505,D517,Log!$B$6:$B$1505,"&lt;"&amp;B517,Log!$X$6:$X$1505,"&gt;="&amp;X517)=0),"New best",""))</f>
        <v/>
      </c>
      <c r="T517" s="26" t="n"/>
      <c r="U517" s="1">
        <f>IF(D517="","",IFERROR(INDEX(Exercises!$C$6:$C$105,MATCH(D517,Exercises!$B$6:$B$105,0)),"Other"))</f>
        <v/>
      </c>
      <c r="V517">
        <f>IF(B517="","",IF(COUNTIF($B$6:B517,B517)=1,1,0))</f>
        <v/>
      </c>
      <c r="W517">
        <f>IF(B517="","",B517-WEEKDAY(B517,3))</f>
        <v/>
      </c>
      <c r="X517">
        <f>IF(D517="","",MAX(IF(N(F517)=0,0,IF(N(E517)&gt;0,E517*(1+F517/30),F517)),IF(N(H517)=0,0,IF(N(G517)&gt;0,G517*(1+H517/30),H517)),IF(N(J517)=0,0,IF(N(I517)&gt;0,I517*(1+J517/30),J517)),IF(N(L517)=0,0,IF(N(K517)&gt;0,K517*(1+L517/30),L517)),IF(N(N517)=0,0,IF(N(M517)&gt;0,M517*(1+N517/30),N517))))</f>
        <v/>
      </c>
      <c r="Y517">
        <f>IF(N(X517)=0,"",X517+ROW()/1000000000)</f>
        <v/>
      </c>
      <c r="Z517">
        <f>IF(Y517="","",IF(COUNTIFS(Log!$D$6:$D$1505,D517,Log!$Y$6:$Y$1505,"&gt;"&amp;Y517)=0,1,0))</f>
        <v/>
      </c>
      <c r="AA517">
        <f>IF(OR(B517="",D517=""),"",B517+ROW()/10000000)</f>
        <v/>
      </c>
      <c r="AB517">
        <f>IF(AA517="","",IF(COUNTIFS(Log!$D$6:$D$1505,D517,Log!$AA$6:$AA$1505,"&gt;"&amp;AA517)=0,1,0))</f>
        <v/>
      </c>
      <c r="AC517">
        <f>IF(S517="New best",AA517,"")</f>
        <v/>
      </c>
      <c r="AD517">
        <f>ROW()</f>
        <v/>
      </c>
    </row>
    <row r="518">
      <c r="A518" s="1" t="n"/>
      <c r="B518" s="21" t="n"/>
      <c r="C518" s="22" t="n"/>
      <c r="D518" s="23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15">
        <f>IF(D518="","",COUNT(F518,H518,J518,L518,N518))</f>
        <v/>
      </c>
      <c r="P518" s="25">
        <f>IF(D518="","",N(E518)*N(F518)+N(G518)*N(H518)+N(I518)*N(J518)+N(K518)*N(L518)+N(M518)*N(N518))</f>
        <v/>
      </c>
      <c r="Q518" s="18">
        <f>IF(N(X518)=0,"",IF(IF(N(F518)=0,0,IF(N(E518)&gt;0,E518*(1+F518/30),F518))=X518,IF(N(E518)&gt;0,E518&amp;" x "&amp;F518,F518&amp;" reps"),IF(IF(N(H518)=0,0,IF(N(G518)&gt;0,G518*(1+H518/30),H518))=X518,IF(N(G518)&gt;0,G518&amp;" x "&amp;H518,H518&amp;" reps"),IF(IF(N(J518)=0,0,IF(N(I518)&gt;0,I518*(1+J518/30),J518))=X518,IF(N(I518)&gt;0,I518&amp;" x "&amp;J518,J518&amp;" reps"),IF(IF(N(L518)=0,0,IF(N(K518)&gt;0,K518*(1+L518/30),L518))=X518,IF(N(K518)&gt;0,K518&amp;" x "&amp;L518,L518&amp;" reps"),IF(IF(N(N518)=0,0,IF(N(M518)&gt;0,M518*(1+N518/30),N518))=X518,IF(N(M518)&gt;0,M518&amp;" x "&amp;N518,N518&amp;" reps"),""))))))</f>
        <v/>
      </c>
      <c r="R518" s="20">
        <f>IF(N(X518)=0,"",ROUND(X518,1))</f>
        <v/>
      </c>
      <c r="S518" s="18">
        <f>IF(N(X518)=0,"",IF(AND(COUNTIFS(Log!$D$6:$D$1505,D518,Log!$B$6:$B$1505,"&lt;"&amp;B518)&gt;0,COUNTIFS(Log!$D$6:$D$1505,D518,Log!$B$6:$B$1505,"&lt;"&amp;B518,Log!$X$6:$X$1505,"&gt;="&amp;X518)=0),"New best",""))</f>
        <v/>
      </c>
      <c r="T518" s="26" t="n"/>
      <c r="U518" s="1">
        <f>IF(D518="","",IFERROR(INDEX(Exercises!$C$6:$C$105,MATCH(D518,Exercises!$B$6:$B$105,0)),"Other"))</f>
        <v/>
      </c>
      <c r="V518">
        <f>IF(B518="","",IF(COUNTIF($B$6:B518,B518)=1,1,0))</f>
        <v/>
      </c>
      <c r="W518">
        <f>IF(B518="","",B518-WEEKDAY(B518,3))</f>
        <v/>
      </c>
      <c r="X518">
        <f>IF(D518="","",MAX(IF(N(F518)=0,0,IF(N(E518)&gt;0,E518*(1+F518/30),F518)),IF(N(H518)=0,0,IF(N(G518)&gt;0,G518*(1+H518/30),H518)),IF(N(J518)=0,0,IF(N(I518)&gt;0,I518*(1+J518/30),J518)),IF(N(L518)=0,0,IF(N(K518)&gt;0,K518*(1+L518/30),L518)),IF(N(N518)=0,0,IF(N(M518)&gt;0,M518*(1+N518/30),N518))))</f>
        <v/>
      </c>
      <c r="Y518">
        <f>IF(N(X518)=0,"",X518+ROW()/1000000000)</f>
        <v/>
      </c>
      <c r="Z518">
        <f>IF(Y518="","",IF(COUNTIFS(Log!$D$6:$D$1505,D518,Log!$Y$6:$Y$1505,"&gt;"&amp;Y518)=0,1,0))</f>
        <v/>
      </c>
      <c r="AA518">
        <f>IF(OR(B518="",D518=""),"",B518+ROW()/10000000)</f>
        <v/>
      </c>
      <c r="AB518">
        <f>IF(AA518="","",IF(COUNTIFS(Log!$D$6:$D$1505,D518,Log!$AA$6:$AA$1505,"&gt;"&amp;AA518)=0,1,0))</f>
        <v/>
      </c>
      <c r="AC518">
        <f>IF(S518="New best",AA518,"")</f>
        <v/>
      </c>
      <c r="AD518">
        <f>ROW()</f>
        <v/>
      </c>
    </row>
    <row r="519">
      <c r="A519" s="1" t="n"/>
      <c r="B519" s="21" t="n"/>
      <c r="C519" s="22" t="n"/>
      <c r="D519" s="23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15">
        <f>IF(D519="","",COUNT(F519,H519,J519,L519,N519))</f>
        <v/>
      </c>
      <c r="P519" s="25">
        <f>IF(D519="","",N(E519)*N(F519)+N(G519)*N(H519)+N(I519)*N(J519)+N(K519)*N(L519)+N(M519)*N(N519))</f>
        <v/>
      </c>
      <c r="Q519" s="18">
        <f>IF(N(X519)=0,"",IF(IF(N(F519)=0,0,IF(N(E519)&gt;0,E519*(1+F519/30),F519))=X519,IF(N(E519)&gt;0,E519&amp;" x "&amp;F519,F519&amp;" reps"),IF(IF(N(H519)=0,0,IF(N(G519)&gt;0,G519*(1+H519/30),H519))=X519,IF(N(G519)&gt;0,G519&amp;" x "&amp;H519,H519&amp;" reps"),IF(IF(N(J519)=0,0,IF(N(I519)&gt;0,I519*(1+J519/30),J519))=X519,IF(N(I519)&gt;0,I519&amp;" x "&amp;J519,J519&amp;" reps"),IF(IF(N(L519)=0,0,IF(N(K519)&gt;0,K519*(1+L519/30),L519))=X519,IF(N(K519)&gt;0,K519&amp;" x "&amp;L519,L519&amp;" reps"),IF(IF(N(N519)=0,0,IF(N(M519)&gt;0,M519*(1+N519/30),N519))=X519,IF(N(M519)&gt;0,M519&amp;" x "&amp;N519,N519&amp;" reps"),""))))))</f>
        <v/>
      </c>
      <c r="R519" s="20">
        <f>IF(N(X519)=0,"",ROUND(X519,1))</f>
        <v/>
      </c>
      <c r="S519" s="18">
        <f>IF(N(X519)=0,"",IF(AND(COUNTIFS(Log!$D$6:$D$1505,D519,Log!$B$6:$B$1505,"&lt;"&amp;B519)&gt;0,COUNTIFS(Log!$D$6:$D$1505,D519,Log!$B$6:$B$1505,"&lt;"&amp;B519,Log!$X$6:$X$1505,"&gt;="&amp;X519)=0),"New best",""))</f>
        <v/>
      </c>
      <c r="T519" s="26" t="n"/>
      <c r="U519" s="1">
        <f>IF(D519="","",IFERROR(INDEX(Exercises!$C$6:$C$105,MATCH(D519,Exercises!$B$6:$B$105,0)),"Other"))</f>
        <v/>
      </c>
      <c r="V519">
        <f>IF(B519="","",IF(COUNTIF($B$6:B519,B519)=1,1,0))</f>
        <v/>
      </c>
      <c r="W519">
        <f>IF(B519="","",B519-WEEKDAY(B519,3))</f>
        <v/>
      </c>
      <c r="X519">
        <f>IF(D519="","",MAX(IF(N(F519)=0,0,IF(N(E519)&gt;0,E519*(1+F519/30),F519)),IF(N(H519)=0,0,IF(N(G519)&gt;0,G519*(1+H519/30),H519)),IF(N(J519)=0,0,IF(N(I519)&gt;0,I519*(1+J519/30),J519)),IF(N(L519)=0,0,IF(N(K519)&gt;0,K519*(1+L519/30),L519)),IF(N(N519)=0,0,IF(N(M519)&gt;0,M519*(1+N519/30),N519))))</f>
        <v/>
      </c>
      <c r="Y519">
        <f>IF(N(X519)=0,"",X519+ROW()/1000000000)</f>
        <v/>
      </c>
      <c r="Z519">
        <f>IF(Y519="","",IF(COUNTIFS(Log!$D$6:$D$1505,D519,Log!$Y$6:$Y$1505,"&gt;"&amp;Y519)=0,1,0))</f>
        <v/>
      </c>
      <c r="AA519">
        <f>IF(OR(B519="",D519=""),"",B519+ROW()/10000000)</f>
        <v/>
      </c>
      <c r="AB519">
        <f>IF(AA519="","",IF(COUNTIFS(Log!$D$6:$D$1505,D519,Log!$AA$6:$AA$1505,"&gt;"&amp;AA519)=0,1,0))</f>
        <v/>
      </c>
      <c r="AC519">
        <f>IF(S519="New best",AA519,"")</f>
        <v/>
      </c>
      <c r="AD519">
        <f>ROW()</f>
        <v/>
      </c>
    </row>
    <row r="520">
      <c r="A520" s="1" t="n"/>
      <c r="B520" s="21" t="n"/>
      <c r="C520" s="22" t="n"/>
      <c r="D520" s="23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15">
        <f>IF(D520="","",COUNT(F520,H520,J520,L520,N520))</f>
        <v/>
      </c>
      <c r="P520" s="25">
        <f>IF(D520="","",N(E520)*N(F520)+N(G520)*N(H520)+N(I520)*N(J520)+N(K520)*N(L520)+N(M520)*N(N520))</f>
        <v/>
      </c>
      <c r="Q520" s="18">
        <f>IF(N(X520)=0,"",IF(IF(N(F520)=0,0,IF(N(E520)&gt;0,E520*(1+F520/30),F520))=X520,IF(N(E520)&gt;0,E520&amp;" x "&amp;F520,F520&amp;" reps"),IF(IF(N(H520)=0,0,IF(N(G520)&gt;0,G520*(1+H520/30),H520))=X520,IF(N(G520)&gt;0,G520&amp;" x "&amp;H520,H520&amp;" reps"),IF(IF(N(J520)=0,0,IF(N(I520)&gt;0,I520*(1+J520/30),J520))=X520,IF(N(I520)&gt;0,I520&amp;" x "&amp;J520,J520&amp;" reps"),IF(IF(N(L520)=0,0,IF(N(K520)&gt;0,K520*(1+L520/30),L520))=X520,IF(N(K520)&gt;0,K520&amp;" x "&amp;L520,L520&amp;" reps"),IF(IF(N(N520)=0,0,IF(N(M520)&gt;0,M520*(1+N520/30),N520))=X520,IF(N(M520)&gt;0,M520&amp;" x "&amp;N520,N520&amp;" reps"),""))))))</f>
        <v/>
      </c>
      <c r="R520" s="20">
        <f>IF(N(X520)=0,"",ROUND(X520,1))</f>
        <v/>
      </c>
      <c r="S520" s="18">
        <f>IF(N(X520)=0,"",IF(AND(COUNTIFS(Log!$D$6:$D$1505,D520,Log!$B$6:$B$1505,"&lt;"&amp;B520)&gt;0,COUNTIFS(Log!$D$6:$D$1505,D520,Log!$B$6:$B$1505,"&lt;"&amp;B520,Log!$X$6:$X$1505,"&gt;="&amp;X520)=0),"New best",""))</f>
        <v/>
      </c>
      <c r="T520" s="26" t="n"/>
      <c r="U520" s="1">
        <f>IF(D520="","",IFERROR(INDEX(Exercises!$C$6:$C$105,MATCH(D520,Exercises!$B$6:$B$105,0)),"Other"))</f>
        <v/>
      </c>
      <c r="V520">
        <f>IF(B520="","",IF(COUNTIF($B$6:B520,B520)=1,1,0))</f>
        <v/>
      </c>
      <c r="W520">
        <f>IF(B520="","",B520-WEEKDAY(B520,3))</f>
        <v/>
      </c>
      <c r="X520">
        <f>IF(D520="","",MAX(IF(N(F520)=0,0,IF(N(E520)&gt;0,E520*(1+F520/30),F520)),IF(N(H520)=0,0,IF(N(G520)&gt;0,G520*(1+H520/30),H520)),IF(N(J520)=0,0,IF(N(I520)&gt;0,I520*(1+J520/30),J520)),IF(N(L520)=0,0,IF(N(K520)&gt;0,K520*(1+L520/30),L520)),IF(N(N520)=0,0,IF(N(M520)&gt;0,M520*(1+N520/30),N520))))</f>
        <v/>
      </c>
      <c r="Y520">
        <f>IF(N(X520)=0,"",X520+ROW()/1000000000)</f>
        <v/>
      </c>
      <c r="Z520">
        <f>IF(Y520="","",IF(COUNTIFS(Log!$D$6:$D$1505,D520,Log!$Y$6:$Y$1505,"&gt;"&amp;Y520)=0,1,0))</f>
        <v/>
      </c>
      <c r="AA520">
        <f>IF(OR(B520="",D520=""),"",B520+ROW()/10000000)</f>
        <v/>
      </c>
      <c r="AB520">
        <f>IF(AA520="","",IF(COUNTIFS(Log!$D$6:$D$1505,D520,Log!$AA$6:$AA$1505,"&gt;"&amp;AA520)=0,1,0))</f>
        <v/>
      </c>
      <c r="AC520">
        <f>IF(S520="New best",AA520,"")</f>
        <v/>
      </c>
      <c r="AD520">
        <f>ROW()</f>
        <v/>
      </c>
    </row>
    <row r="521">
      <c r="A521" s="1" t="n"/>
      <c r="B521" s="21" t="n"/>
      <c r="C521" s="22" t="n"/>
      <c r="D521" s="23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15">
        <f>IF(D521="","",COUNT(F521,H521,J521,L521,N521))</f>
        <v/>
      </c>
      <c r="P521" s="25">
        <f>IF(D521="","",N(E521)*N(F521)+N(G521)*N(H521)+N(I521)*N(J521)+N(K521)*N(L521)+N(M521)*N(N521))</f>
        <v/>
      </c>
      <c r="Q521" s="18">
        <f>IF(N(X521)=0,"",IF(IF(N(F521)=0,0,IF(N(E521)&gt;0,E521*(1+F521/30),F521))=X521,IF(N(E521)&gt;0,E521&amp;" x "&amp;F521,F521&amp;" reps"),IF(IF(N(H521)=0,0,IF(N(G521)&gt;0,G521*(1+H521/30),H521))=X521,IF(N(G521)&gt;0,G521&amp;" x "&amp;H521,H521&amp;" reps"),IF(IF(N(J521)=0,0,IF(N(I521)&gt;0,I521*(1+J521/30),J521))=X521,IF(N(I521)&gt;0,I521&amp;" x "&amp;J521,J521&amp;" reps"),IF(IF(N(L521)=0,0,IF(N(K521)&gt;0,K521*(1+L521/30),L521))=X521,IF(N(K521)&gt;0,K521&amp;" x "&amp;L521,L521&amp;" reps"),IF(IF(N(N521)=0,0,IF(N(M521)&gt;0,M521*(1+N521/30),N521))=X521,IF(N(M521)&gt;0,M521&amp;" x "&amp;N521,N521&amp;" reps"),""))))))</f>
        <v/>
      </c>
      <c r="R521" s="20">
        <f>IF(N(X521)=0,"",ROUND(X521,1))</f>
        <v/>
      </c>
      <c r="S521" s="18">
        <f>IF(N(X521)=0,"",IF(AND(COUNTIFS(Log!$D$6:$D$1505,D521,Log!$B$6:$B$1505,"&lt;"&amp;B521)&gt;0,COUNTIFS(Log!$D$6:$D$1505,D521,Log!$B$6:$B$1505,"&lt;"&amp;B521,Log!$X$6:$X$1505,"&gt;="&amp;X521)=0),"New best",""))</f>
        <v/>
      </c>
      <c r="T521" s="26" t="n"/>
      <c r="U521" s="1">
        <f>IF(D521="","",IFERROR(INDEX(Exercises!$C$6:$C$105,MATCH(D521,Exercises!$B$6:$B$105,0)),"Other"))</f>
        <v/>
      </c>
      <c r="V521">
        <f>IF(B521="","",IF(COUNTIF($B$6:B521,B521)=1,1,0))</f>
        <v/>
      </c>
      <c r="W521">
        <f>IF(B521="","",B521-WEEKDAY(B521,3))</f>
        <v/>
      </c>
      <c r="X521">
        <f>IF(D521="","",MAX(IF(N(F521)=0,0,IF(N(E521)&gt;0,E521*(1+F521/30),F521)),IF(N(H521)=0,0,IF(N(G521)&gt;0,G521*(1+H521/30),H521)),IF(N(J521)=0,0,IF(N(I521)&gt;0,I521*(1+J521/30),J521)),IF(N(L521)=0,0,IF(N(K521)&gt;0,K521*(1+L521/30),L521)),IF(N(N521)=0,0,IF(N(M521)&gt;0,M521*(1+N521/30),N521))))</f>
        <v/>
      </c>
      <c r="Y521">
        <f>IF(N(X521)=0,"",X521+ROW()/1000000000)</f>
        <v/>
      </c>
      <c r="Z521">
        <f>IF(Y521="","",IF(COUNTIFS(Log!$D$6:$D$1505,D521,Log!$Y$6:$Y$1505,"&gt;"&amp;Y521)=0,1,0))</f>
        <v/>
      </c>
      <c r="AA521">
        <f>IF(OR(B521="",D521=""),"",B521+ROW()/10000000)</f>
        <v/>
      </c>
      <c r="AB521">
        <f>IF(AA521="","",IF(COUNTIFS(Log!$D$6:$D$1505,D521,Log!$AA$6:$AA$1505,"&gt;"&amp;AA521)=0,1,0))</f>
        <v/>
      </c>
      <c r="AC521">
        <f>IF(S521="New best",AA521,"")</f>
        <v/>
      </c>
      <c r="AD521">
        <f>ROW()</f>
        <v/>
      </c>
    </row>
    <row r="522">
      <c r="A522" s="1" t="n"/>
      <c r="B522" s="21" t="n"/>
      <c r="C522" s="22" t="n"/>
      <c r="D522" s="23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15">
        <f>IF(D522="","",COUNT(F522,H522,J522,L522,N522))</f>
        <v/>
      </c>
      <c r="P522" s="25">
        <f>IF(D522="","",N(E522)*N(F522)+N(G522)*N(H522)+N(I522)*N(J522)+N(K522)*N(L522)+N(M522)*N(N522))</f>
        <v/>
      </c>
      <c r="Q522" s="18">
        <f>IF(N(X522)=0,"",IF(IF(N(F522)=0,0,IF(N(E522)&gt;0,E522*(1+F522/30),F522))=X522,IF(N(E522)&gt;0,E522&amp;" x "&amp;F522,F522&amp;" reps"),IF(IF(N(H522)=0,0,IF(N(G522)&gt;0,G522*(1+H522/30),H522))=X522,IF(N(G522)&gt;0,G522&amp;" x "&amp;H522,H522&amp;" reps"),IF(IF(N(J522)=0,0,IF(N(I522)&gt;0,I522*(1+J522/30),J522))=X522,IF(N(I522)&gt;0,I522&amp;" x "&amp;J522,J522&amp;" reps"),IF(IF(N(L522)=0,0,IF(N(K522)&gt;0,K522*(1+L522/30),L522))=X522,IF(N(K522)&gt;0,K522&amp;" x "&amp;L522,L522&amp;" reps"),IF(IF(N(N522)=0,0,IF(N(M522)&gt;0,M522*(1+N522/30),N522))=X522,IF(N(M522)&gt;0,M522&amp;" x "&amp;N522,N522&amp;" reps"),""))))))</f>
        <v/>
      </c>
      <c r="R522" s="20">
        <f>IF(N(X522)=0,"",ROUND(X522,1))</f>
        <v/>
      </c>
      <c r="S522" s="18">
        <f>IF(N(X522)=0,"",IF(AND(COUNTIFS(Log!$D$6:$D$1505,D522,Log!$B$6:$B$1505,"&lt;"&amp;B522)&gt;0,COUNTIFS(Log!$D$6:$D$1505,D522,Log!$B$6:$B$1505,"&lt;"&amp;B522,Log!$X$6:$X$1505,"&gt;="&amp;X522)=0),"New best",""))</f>
        <v/>
      </c>
      <c r="T522" s="26" t="n"/>
      <c r="U522" s="1">
        <f>IF(D522="","",IFERROR(INDEX(Exercises!$C$6:$C$105,MATCH(D522,Exercises!$B$6:$B$105,0)),"Other"))</f>
        <v/>
      </c>
      <c r="V522">
        <f>IF(B522="","",IF(COUNTIF($B$6:B522,B522)=1,1,0))</f>
        <v/>
      </c>
      <c r="W522">
        <f>IF(B522="","",B522-WEEKDAY(B522,3))</f>
        <v/>
      </c>
      <c r="X522">
        <f>IF(D522="","",MAX(IF(N(F522)=0,0,IF(N(E522)&gt;0,E522*(1+F522/30),F522)),IF(N(H522)=0,0,IF(N(G522)&gt;0,G522*(1+H522/30),H522)),IF(N(J522)=0,0,IF(N(I522)&gt;0,I522*(1+J522/30),J522)),IF(N(L522)=0,0,IF(N(K522)&gt;0,K522*(1+L522/30),L522)),IF(N(N522)=0,0,IF(N(M522)&gt;0,M522*(1+N522/30),N522))))</f>
        <v/>
      </c>
      <c r="Y522">
        <f>IF(N(X522)=0,"",X522+ROW()/1000000000)</f>
        <v/>
      </c>
      <c r="Z522">
        <f>IF(Y522="","",IF(COUNTIFS(Log!$D$6:$D$1505,D522,Log!$Y$6:$Y$1505,"&gt;"&amp;Y522)=0,1,0))</f>
        <v/>
      </c>
      <c r="AA522">
        <f>IF(OR(B522="",D522=""),"",B522+ROW()/10000000)</f>
        <v/>
      </c>
      <c r="AB522">
        <f>IF(AA522="","",IF(COUNTIFS(Log!$D$6:$D$1505,D522,Log!$AA$6:$AA$1505,"&gt;"&amp;AA522)=0,1,0))</f>
        <v/>
      </c>
      <c r="AC522">
        <f>IF(S522="New best",AA522,"")</f>
        <v/>
      </c>
      <c r="AD522">
        <f>ROW()</f>
        <v/>
      </c>
    </row>
    <row r="523">
      <c r="A523" s="1" t="n"/>
      <c r="B523" s="21" t="n"/>
      <c r="C523" s="22" t="n"/>
      <c r="D523" s="23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15">
        <f>IF(D523="","",COUNT(F523,H523,J523,L523,N523))</f>
        <v/>
      </c>
      <c r="P523" s="25">
        <f>IF(D523="","",N(E523)*N(F523)+N(G523)*N(H523)+N(I523)*N(J523)+N(K523)*N(L523)+N(M523)*N(N523))</f>
        <v/>
      </c>
      <c r="Q523" s="18">
        <f>IF(N(X523)=0,"",IF(IF(N(F523)=0,0,IF(N(E523)&gt;0,E523*(1+F523/30),F523))=X523,IF(N(E523)&gt;0,E523&amp;" x "&amp;F523,F523&amp;" reps"),IF(IF(N(H523)=0,0,IF(N(G523)&gt;0,G523*(1+H523/30),H523))=X523,IF(N(G523)&gt;0,G523&amp;" x "&amp;H523,H523&amp;" reps"),IF(IF(N(J523)=0,0,IF(N(I523)&gt;0,I523*(1+J523/30),J523))=X523,IF(N(I523)&gt;0,I523&amp;" x "&amp;J523,J523&amp;" reps"),IF(IF(N(L523)=0,0,IF(N(K523)&gt;0,K523*(1+L523/30),L523))=X523,IF(N(K523)&gt;0,K523&amp;" x "&amp;L523,L523&amp;" reps"),IF(IF(N(N523)=0,0,IF(N(M523)&gt;0,M523*(1+N523/30),N523))=X523,IF(N(M523)&gt;0,M523&amp;" x "&amp;N523,N523&amp;" reps"),""))))))</f>
        <v/>
      </c>
      <c r="R523" s="20">
        <f>IF(N(X523)=0,"",ROUND(X523,1))</f>
        <v/>
      </c>
      <c r="S523" s="18">
        <f>IF(N(X523)=0,"",IF(AND(COUNTIFS(Log!$D$6:$D$1505,D523,Log!$B$6:$B$1505,"&lt;"&amp;B523)&gt;0,COUNTIFS(Log!$D$6:$D$1505,D523,Log!$B$6:$B$1505,"&lt;"&amp;B523,Log!$X$6:$X$1505,"&gt;="&amp;X523)=0),"New best",""))</f>
        <v/>
      </c>
      <c r="T523" s="26" t="n"/>
      <c r="U523" s="1">
        <f>IF(D523="","",IFERROR(INDEX(Exercises!$C$6:$C$105,MATCH(D523,Exercises!$B$6:$B$105,0)),"Other"))</f>
        <v/>
      </c>
      <c r="V523">
        <f>IF(B523="","",IF(COUNTIF($B$6:B523,B523)=1,1,0))</f>
        <v/>
      </c>
      <c r="W523">
        <f>IF(B523="","",B523-WEEKDAY(B523,3))</f>
        <v/>
      </c>
      <c r="X523">
        <f>IF(D523="","",MAX(IF(N(F523)=0,0,IF(N(E523)&gt;0,E523*(1+F523/30),F523)),IF(N(H523)=0,0,IF(N(G523)&gt;0,G523*(1+H523/30),H523)),IF(N(J523)=0,0,IF(N(I523)&gt;0,I523*(1+J523/30),J523)),IF(N(L523)=0,0,IF(N(K523)&gt;0,K523*(1+L523/30),L523)),IF(N(N523)=0,0,IF(N(M523)&gt;0,M523*(1+N523/30),N523))))</f>
        <v/>
      </c>
      <c r="Y523">
        <f>IF(N(X523)=0,"",X523+ROW()/1000000000)</f>
        <v/>
      </c>
      <c r="Z523">
        <f>IF(Y523="","",IF(COUNTIFS(Log!$D$6:$D$1505,D523,Log!$Y$6:$Y$1505,"&gt;"&amp;Y523)=0,1,0))</f>
        <v/>
      </c>
      <c r="AA523">
        <f>IF(OR(B523="",D523=""),"",B523+ROW()/10000000)</f>
        <v/>
      </c>
      <c r="AB523">
        <f>IF(AA523="","",IF(COUNTIFS(Log!$D$6:$D$1505,D523,Log!$AA$6:$AA$1505,"&gt;"&amp;AA523)=0,1,0))</f>
        <v/>
      </c>
      <c r="AC523">
        <f>IF(S523="New best",AA523,"")</f>
        <v/>
      </c>
      <c r="AD523">
        <f>ROW()</f>
        <v/>
      </c>
    </row>
    <row r="524">
      <c r="A524" s="1" t="n"/>
      <c r="B524" s="21" t="n"/>
      <c r="C524" s="22" t="n"/>
      <c r="D524" s="23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15">
        <f>IF(D524="","",COUNT(F524,H524,J524,L524,N524))</f>
        <v/>
      </c>
      <c r="P524" s="25">
        <f>IF(D524="","",N(E524)*N(F524)+N(G524)*N(H524)+N(I524)*N(J524)+N(K524)*N(L524)+N(M524)*N(N524))</f>
        <v/>
      </c>
      <c r="Q524" s="18">
        <f>IF(N(X524)=0,"",IF(IF(N(F524)=0,0,IF(N(E524)&gt;0,E524*(1+F524/30),F524))=X524,IF(N(E524)&gt;0,E524&amp;" x "&amp;F524,F524&amp;" reps"),IF(IF(N(H524)=0,0,IF(N(G524)&gt;0,G524*(1+H524/30),H524))=X524,IF(N(G524)&gt;0,G524&amp;" x "&amp;H524,H524&amp;" reps"),IF(IF(N(J524)=0,0,IF(N(I524)&gt;0,I524*(1+J524/30),J524))=X524,IF(N(I524)&gt;0,I524&amp;" x "&amp;J524,J524&amp;" reps"),IF(IF(N(L524)=0,0,IF(N(K524)&gt;0,K524*(1+L524/30),L524))=X524,IF(N(K524)&gt;0,K524&amp;" x "&amp;L524,L524&amp;" reps"),IF(IF(N(N524)=0,0,IF(N(M524)&gt;0,M524*(1+N524/30),N524))=X524,IF(N(M524)&gt;0,M524&amp;" x "&amp;N524,N524&amp;" reps"),""))))))</f>
        <v/>
      </c>
      <c r="R524" s="20">
        <f>IF(N(X524)=0,"",ROUND(X524,1))</f>
        <v/>
      </c>
      <c r="S524" s="18">
        <f>IF(N(X524)=0,"",IF(AND(COUNTIFS(Log!$D$6:$D$1505,D524,Log!$B$6:$B$1505,"&lt;"&amp;B524)&gt;0,COUNTIFS(Log!$D$6:$D$1505,D524,Log!$B$6:$B$1505,"&lt;"&amp;B524,Log!$X$6:$X$1505,"&gt;="&amp;X524)=0),"New best",""))</f>
        <v/>
      </c>
      <c r="T524" s="26" t="n"/>
      <c r="U524" s="1">
        <f>IF(D524="","",IFERROR(INDEX(Exercises!$C$6:$C$105,MATCH(D524,Exercises!$B$6:$B$105,0)),"Other"))</f>
        <v/>
      </c>
      <c r="V524">
        <f>IF(B524="","",IF(COUNTIF($B$6:B524,B524)=1,1,0))</f>
        <v/>
      </c>
      <c r="W524">
        <f>IF(B524="","",B524-WEEKDAY(B524,3))</f>
        <v/>
      </c>
      <c r="X524">
        <f>IF(D524="","",MAX(IF(N(F524)=0,0,IF(N(E524)&gt;0,E524*(1+F524/30),F524)),IF(N(H524)=0,0,IF(N(G524)&gt;0,G524*(1+H524/30),H524)),IF(N(J524)=0,0,IF(N(I524)&gt;0,I524*(1+J524/30),J524)),IF(N(L524)=0,0,IF(N(K524)&gt;0,K524*(1+L524/30),L524)),IF(N(N524)=0,0,IF(N(M524)&gt;0,M524*(1+N524/30),N524))))</f>
        <v/>
      </c>
      <c r="Y524">
        <f>IF(N(X524)=0,"",X524+ROW()/1000000000)</f>
        <v/>
      </c>
      <c r="Z524">
        <f>IF(Y524="","",IF(COUNTIFS(Log!$D$6:$D$1505,D524,Log!$Y$6:$Y$1505,"&gt;"&amp;Y524)=0,1,0))</f>
        <v/>
      </c>
      <c r="AA524">
        <f>IF(OR(B524="",D524=""),"",B524+ROW()/10000000)</f>
        <v/>
      </c>
      <c r="AB524">
        <f>IF(AA524="","",IF(COUNTIFS(Log!$D$6:$D$1505,D524,Log!$AA$6:$AA$1505,"&gt;"&amp;AA524)=0,1,0))</f>
        <v/>
      </c>
      <c r="AC524">
        <f>IF(S524="New best",AA524,"")</f>
        <v/>
      </c>
      <c r="AD524">
        <f>ROW()</f>
        <v/>
      </c>
    </row>
    <row r="525">
      <c r="A525" s="1" t="n"/>
      <c r="B525" s="21" t="n"/>
      <c r="C525" s="22" t="n"/>
      <c r="D525" s="23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15">
        <f>IF(D525="","",COUNT(F525,H525,J525,L525,N525))</f>
        <v/>
      </c>
      <c r="P525" s="25">
        <f>IF(D525="","",N(E525)*N(F525)+N(G525)*N(H525)+N(I525)*N(J525)+N(K525)*N(L525)+N(M525)*N(N525))</f>
        <v/>
      </c>
      <c r="Q525" s="18">
        <f>IF(N(X525)=0,"",IF(IF(N(F525)=0,0,IF(N(E525)&gt;0,E525*(1+F525/30),F525))=X525,IF(N(E525)&gt;0,E525&amp;" x "&amp;F525,F525&amp;" reps"),IF(IF(N(H525)=0,0,IF(N(G525)&gt;0,G525*(1+H525/30),H525))=X525,IF(N(G525)&gt;0,G525&amp;" x "&amp;H525,H525&amp;" reps"),IF(IF(N(J525)=0,0,IF(N(I525)&gt;0,I525*(1+J525/30),J525))=X525,IF(N(I525)&gt;0,I525&amp;" x "&amp;J525,J525&amp;" reps"),IF(IF(N(L525)=0,0,IF(N(K525)&gt;0,K525*(1+L525/30),L525))=X525,IF(N(K525)&gt;0,K525&amp;" x "&amp;L525,L525&amp;" reps"),IF(IF(N(N525)=0,0,IF(N(M525)&gt;0,M525*(1+N525/30),N525))=X525,IF(N(M525)&gt;0,M525&amp;" x "&amp;N525,N525&amp;" reps"),""))))))</f>
        <v/>
      </c>
      <c r="R525" s="20">
        <f>IF(N(X525)=0,"",ROUND(X525,1))</f>
        <v/>
      </c>
      <c r="S525" s="18">
        <f>IF(N(X525)=0,"",IF(AND(COUNTIFS(Log!$D$6:$D$1505,D525,Log!$B$6:$B$1505,"&lt;"&amp;B525)&gt;0,COUNTIFS(Log!$D$6:$D$1505,D525,Log!$B$6:$B$1505,"&lt;"&amp;B525,Log!$X$6:$X$1505,"&gt;="&amp;X525)=0),"New best",""))</f>
        <v/>
      </c>
      <c r="T525" s="26" t="n"/>
      <c r="U525" s="1">
        <f>IF(D525="","",IFERROR(INDEX(Exercises!$C$6:$C$105,MATCH(D525,Exercises!$B$6:$B$105,0)),"Other"))</f>
        <v/>
      </c>
      <c r="V525">
        <f>IF(B525="","",IF(COUNTIF($B$6:B525,B525)=1,1,0))</f>
        <v/>
      </c>
      <c r="W525">
        <f>IF(B525="","",B525-WEEKDAY(B525,3))</f>
        <v/>
      </c>
      <c r="X525">
        <f>IF(D525="","",MAX(IF(N(F525)=0,0,IF(N(E525)&gt;0,E525*(1+F525/30),F525)),IF(N(H525)=0,0,IF(N(G525)&gt;0,G525*(1+H525/30),H525)),IF(N(J525)=0,0,IF(N(I525)&gt;0,I525*(1+J525/30),J525)),IF(N(L525)=0,0,IF(N(K525)&gt;0,K525*(1+L525/30),L525)),IF(N(N525)=0,0,IF(N(M525)&gt;0,M525*(1+N525/30),N525))))</f>
        <v/>
      </c>
      <c r="Y525">
        <f>IF(N(X525)=0,"",X525+ROW()/1000000000)</f>
        <v/>
      </c>
      <c r="Z525">
        <f>IF(Y525="","",IF(COUNTIFS(Log!$D$6:$D$1505,D525,Log!$Y$6:$Y$1505,"&gt;"&amp;Y525)=0,1,0))</f>
        <v/>
      </c>
      <c r="AA525">
        <f>IF(OR(B525="",D525=""),"",B525+ROW()/10000000)</f>
        <v/>
      </c>
      <c r="AB525">
        <f>IF(AA525="","",IF(COUNTIFS(Log!$D$6:$D$1505,D525,Log!$AA$6:$AA$1505,"&gt;"&amp;AA525)=0,1,0))</f>
        <v/>
      </c>
      <c r="AC525">
        <f>IF(S525="New best",AA525,"")</f>
        <v/>
      </c>
      <c r="AD525">
        <f>ROW()</f>
        <v/>
      </c>
    </row>
    <row r="526">
      <c r="A526" s="1" t="n"/>
      <c r="B526" s="21" t="n"/>
      <c r="C526" s="22" t="n"/>
      <c r="D526" s="23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15">
        <f>IF(D526="","",COUNT(F526,H526,J526,L526,N526))</f>
        <v/>
      </c>
      <c r="P526" s="25">
        <f>IF(D526="","",N(E526)*N(F526)+N(G526)*N(H526)+N(I526)*N(J526)+N(K526)*N(L526)+N(M526)*N(N526))</f>
        <v/>
      </c>
      <c r="Q526" s="18">
        <f>IF(N(X526)=0,"",IF(IF(N(F526)=0,0,IF(N(E526)&gt;0,E526*(1+F526/30),F526))=X526,IF(N(E526)&gt;0,E526&amp;" x "&amp;F526,F526&amp;" reps"),IF(IF(N(H526)=0,0,IF(N(G526)&gt;0,G526*(1+H526/30),H526))=X526,IF(N(G526)&gt;0,G526&amp;" x "&amp;H526,H526&amp;" reps"),IF(IF(N(J526)=0,0,IF(N(I526)&gt;0,I526*(1+J526/30),J526))=X526,IF(N(I526)&gt;0,I526&amp;" x "&amp;J526,J526&amp;" reps"),IF(IF(N(L526)=0,0,IF(N(K526)&gt;0,K526*(1+L526/30),L526))=X526,IF(N(K526)&gt;0,K526&amp;" x "&amp;L526,L526&amp;" reps"),IF(IF(N(N526)=0,0,IF(N(M526)&gt;0,M526*(1+N526/30),N526))=X526,IF(N(M526)&gt;0,M526&amp;" x "&amp;N526,N526&amp;" reps"),""))))))</f>
        <v/>
      </c>
      <c r="R526" s="20">
        <f>IF(N(X526)=0,"",ROUND(X526,1))</f>
        <v/>
      </c>
      <c r="S526" s="18">
        <f>IF(N(X526)=0,"",IF(AND(COUNTIFS(Log!$D$6:$D$1505,D526,Log!$B$6:$B$1505,"&lt;"&amp;B526)&gt;0,COUNTIFS(Log!$D$6:$D$1505,D526,Log!$B$6:$B$1505,"&lt;"&amp;B526,Log!$X$6:$X$1505,"&gt;="&amp;X526)=0),"New best",""))</f>
        <v/>
      </c>
      <c r="T526" s="26" t="n"/>
      <c r="U526" s="1">
        <f>IF(D526="","",IFERROR(INDEX(Exercises!$C$6:$C$105,MATCH(D526,Exercises!$B$6:$B$105,0)),"Other"))</f>
        <v/>
      </c>
      <c r="V526">
        <f>IF(B526="","",IF(COUNTIF($B$6:B526,B526)=1,1,0))</f>
        <v/>
      </c>
      <c r="W526">
        <f>IF(B526="","",B526-WEEKDAY(B526,3))</f>
        <v/>
      </c>
      <c r="X526">
        <f>IF(D526="","",MAX(IF(N(F526)=0,0,IF(N(E526)&gt;0,E526*(1+F526/30),F526)),IF(N(H526)=0,0,IF(N(G526)&gt;0,G526*(1+H526/30),H526)),IF(N(J526)=0,0,IF(N(I526)&gt;0,I526*(1+J526/30),J526)),IF(N(L526)=0,0,IF(N(K526)&gt;0,K526*(1+L526/30),L526)),IF(N(N526)=0,0,IF(N(M526)&gt;0,M526*(1+N526/30),N526))))</f>
        <v/>
      </c>
      <c r="Y526">
        <f>IF(N(X526)=0,"",X526+ROW()/1000000000)</f>
        <v/>
      </c>
      <c r="Z526">
        <f>IF(Y526="","",IF(COUNTIFS(Log!$D$6:$D$1505,D526,Log!$Y$6:$Y$1505,"&gt;"&amp;Y526)=0,1,0))</f>
        <v/>
      </c>
      <c r="AA526">
        <f>IF(OR(B526="",D526=""),"",B526+ROW()/10000000)</f>
        <v/>
      </c>
      <c r="AB526">
        <f>IF(AA526="","",IF(COUNTIFS(Log!$D$6:$D$1505,D526,Log!$AA$6:$AA$1505,"&gt;"&amp;AA526)=0,1,0))</f>
        <v/>
      </c>
      <c r="AC526">
        <f>IF(S526="New best",AA526,"")</f>
        <v/>
      </c>
      <c r="AD526">
        <f>ROW()</f>
        <v/>
      </c>
    </row>
    <row r="527">
      <c r="A527" s="1" t="n"/>
      <c r="B527" s="21" t="n"/>
      <c r="C527" s="22" t="n"/>
      <c r="D527" s="23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15">
        <f>IF(D527="","",COUNT(F527,H527,J527,L527,N527))</f>
        <v/>
      </c>
      <c r="P527" s="25">
        <f>IF(D527="","",N(E527)*N(F527)+N(G527)*N(H527)+N(I527)*N(J527)+N(K527)*N(L527)+N(M527)*N(N527))</f>
        <v/>
      </c>
      <c r="Q527" s="18">
        <f>IF(N(X527)=0,"",IF(IF(N(F527)=0,0,IF(N(E527)&gt;0,E527*(1+F527/30),F527))=X527,IF(N(E527)&gt;0,E527&amp;" x "&amp;F527,F527&amp;" reps"),IF(IF(N(H527)=0,0,IF(N(G527)&gt;0,G527*(1+H527/30),H527))=X527,IF(N(G527)&gt;0,G527&amp;" x "&amp;H527,H527&amp;" reps"),IF(IF(N(J527)=0,0,IF(N(I527)&gt;0,I527*(1+J527/30),J527))=X527,IF(N(I527)&gt;0,I527&amp;" x "&amp;J527,J527&amp;" reps"),IF(IF(N(L527)=0,0,IF(N(K527)&gt;0,K527*(1+L527/30),L527))=X527,IF(N(K527)&gt;0,K527&amp;" x "&amp;L527,L527&amp;" reps"),IF(IF(N(N527)=0,0,IF(N(M527)&gt;0,M527*(1+N527/30),N527))=X527,IF(N(M527)&gt;0,M527&amp;" x "&amp;N527,N527&amp;" reps"),""))))))</f>
        <v/>
      </c>
      <c r="R527" s="20">
        <f>IF(N(X527)=0,"",ROUND(X527,1))</f>
        <v/>
      </c>
      <c r="S527" s="18">
        <f>IF(N(X527)=0,"",IF(AND(COUNTIFS(Log!$D$6:$D$1505,D527,Log!$B$6:$B$1505,"&lt;"&amp;B527)&gt;0,COUNTIFS(Log!$D$6:$D$1505,D527,Log!$B$6:$B$1505,"&lt;"&amp;B527,Log!$X$6:$X$1505,"&gt;="&amp;X527)=0),"New best",""))</f>
        <v/>
      </c>
      <c r="T527" s="26" t="n"/>
      <c r="U527" s="1">
        <f>IF(D527="","",IFERROR(INDEX(Exercises!$C$6:$C$105,MATCH(D527,Exercises!$B$6:$B$105,0)),"Other"))</f>
        <v/>
      </c>
      <c r="V527">
        <f>IF(B527="","",IF(COUNTIF($B$6:B527,B527)=1,1,0))</f>
        <v/>
      </c>
      <c r="W527">
        <f>IF(B527="","",B527-WEEKDAY(B527,3))</f>
        <v/>
      </c>
      <c r="X527">
        <f>IF(D527="","",MAX(IF(N(F527)=0,0,IF(N(E527)&gt;0,E527*(1+F527/30),F527)),IF(N(H527)=0,0,IF(N(G527)&gt;0,G527*(1+H527/30),H527)),IF(N(J527)=0,0,IF(N(I527)&gt;0,I527*(1+J527/30),J527)),IF(N(L527)=0,0,IF(N(K527)&gt;0,K527*(1+L527/30),L527)),IF(N(N527)=0,0,IF(N(M527)&gt;0,M527*(1+N527/30),N527))))</f>
        <v/>
      </c>
      <c r="Y527">
        <f>IF(N(X527)=0,"",X527+ROW()/1000000000)</f>
        <v/>
      </c>
      <c r="Z527">
        <f>IF(Y527="","",IF(COUNTIFS(Log!$D$6:$D$1505,D527,Log!$Y$6:$Y$1505,"&gt;"&amp;Y527)=0,1,0))</f>
        <v/>
      </c>
      <c r="AA527">
        <f>IF(OR(B527="",D527=""),"",B527+ROW()/10000000)</f>
        <v/>
      </c>
      <c r="AB527">
        <f>IF(AA527="","",IF(COUNTIFS(Log!$D$6:$D$1505,D527,Log!$AA$6:$AA$1505,"&gt;"&amp;AA527)=0,1,0))</f>
        <v/>
      </c>
      <c r="AC527">
        <f>IF(S527="New best",AA527,"")</f>
        <v/>
      </c>
      <c r="AD527">
        <f>ROW()</f>
        <v/>
      </c>
    </row>
    <row r="528">
      <c r="A528" s="1" t="n"/>
      <c r="B528" s="21" t="n"/>
      <c r="C528" s="22" t="n"/>
      <c r="D528" s="23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15">
        <f>IF(D528="","",COUNT(F528,H528,J528,L528,N528))</f>
        <v/>
      </c>
      <c r="P528" s="25">
        <f>IF(D528="","",N(E528)*N(F528)+N(G528)*N(H528)+N(I528)*N(J528)+N(K528)*N(L528)+N(M528)*N(N528))</f>
        <v/>
      </c>
      <c r="Q528" s="18">
        <f>IF(N(X528)=0,"",IF(IF(N(F528)=0,0,IF(N(E528)&gt;0,E528*(1+F528/30),F528))=X528,IF(N(E528)&gt;0,E528&amp;" x "&amp;F528,F528&amp;" reps"),IF(IF(N(H528)=0,0,IF(N(G528)&gt;0,G528*(1+H528/30),H528))=X528,IF(N(G528)&gt;0,G528&amp;" x "&amp;H528,H528&amp;" reps"),IF(IF(N(J528)=0,0,IF(N(I528)&gt;0,I528*(1+J528/30),J528))=X528,IF(N(I528)&gt;0,I528&amp;" x "&amp;J528,J528&amp;" reps"),IF(IF(N(L528)=0,0,IF(N(K528)&gt;0,K528*(1+L528/30),L528))=X528,IF(N(K528)&gt;0,K528&amp;" x "&amp;L528,L528&amp;" reps"),IF(IF(N(N528)=0,0,IF(N(M528)&gt;0,M528*(1+N528/30),N528))=X528,IF(N(M528)&gt;0,M528&amp;" x "&amp;N528,N528&amp;" reps"),""))))))</f>
        <v/>
      </c>
      <c r="R528" s="20">
        <f>IF(N(X528)=0,"",ROUND(X528,1))</f>
        <v/>
      </c>
      <c r="S528" s="18">
        <f>IF(N(X528)=0,"",IF(AND(COUNTIFS(Log!$D$6:$D$1505,D528,Log!$B$6:$B$1505,"&lt;"&amp;B528)&gt;0,COUNTIFS(Log!$D$6:$D$1505,D528,Log!$B$6:$B$1505,"&lt;"&amp;B528,Log!$X$6:$X$1505,"&gt;="&amp;X528)=0),"New best",""))</f>
        <v/>
      </c>
      <c r="T528" s="26" t="n"/>
      <c r="U528" s="1">
        <f>IF(D528="","",IFERROR(INDEX(Exercises!$C$6:$C$105,MATCH(D528,Exercises!$B$6:$B$105,0)),"Other"))</f>
        <v/>
      </c>
      <c r="V528">
        <f>IF(B528="","",IF(COUNTIF($B$6:B528,B528)=1,1,0))</f>
        <v/>
      </c>
      <c r="W528">
        <f>IF(B528="","",B528-WEEKDAY(B528,3))</f>
        <v/>
      </c>
      <c r="X528">
        <f>IF(D528="","",MAX(IF(N(F528)=0,0,IF(N(E528)&gt;0,E528*(1+F528/30),F528)),IF(N(H528)=0,0,IF(N(G528)&gt;0,G528*(1+H528/30),H528)),IF(N(J528)=0,0,IF(N(I528)&gt;0,I528*(1+J528/30),J528)),IF(N(L528)=0,0,IF(N(K528)&gt;0,K528*(1+L528/30),L528)),IF(N(N528)=0,0,IF(N(M528)&gt;0,M528*(1+N528/30),N528))))</f>
        <v/>
      </c>
      <c r="Y528">
        <f>IF(N(X528)=0,"",X528+ROW()/1000000000)</f>
        <v/>
      </c>
      <c r="Z528">
        <f>IF(Y528="","",IF(COUNTIFS(Log!$D$6:$D$1505,D528,Log!$Y$6:$Y$1505,"&gt;"&amp;Y528)=0,1,0))</f>
        <v/>
      </c>
      <c r="AA528">
        <f>IF(OR(B528="",D528=""),"",B528+ROW()/10000000)</f>
        <v/>
      </c>
      <c r="AB528">
        <f>IF(AA528="","",IF(COUNTIFS(Log!$D$6:$D$1505,D528,Log!$AA$6:$AA$1505,"&gt;"&amp;AA528)=0,1,0))</f>
        <v/>
      </c>
      <c r="AC528">
        <f>IF(S528="New best",AA528,"")</f>
        <v/>
      </c>
      <c r="AD528">
        <f>ROW()</f>
        <v/>
      </c>
    </row>
    <row r="529">
      <c r="A529" s="1" t="n"/>
      <c r="B529" s="21" t="n"/>
      <c r="C529" s="22" t="n"/>
      <c r="D529" s="23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15">
        <f>IF(D529="","",COUNT(F529,H529,J529,L529,N529))</f>
        <v/>
      </c>
      <c r="P529" s="25">
        <f>IF(D529="","",N(E529)*N(F529)+N(G529)*N(H529)+N(I529)*N(J529)+N(K529)*N(L529)+N(M529)*N(N529))</f>
        <v/>
      </c>
      <c r="Q529" s="18">
        <f>IF(N(X529)=0,"",IF(IF(N(F529)=0,0,IF(N(E529)&gt;0,E529*(1+F529/30),F529))=X529,IF(N(E529)&gt;0,E529&amp;" x "&amp;F529,F529&amp;" reps"),IF(IF(N(H529)=0,0,IF(N(G529)&gt;0,G529*(1+H529/30),H529))=X529,IF(N(G529)&gt;0,G529&amp;" x "&amp;H529,H529&amp;" reps"),IF(IF(N(J529)=0,0,IF(N(I529)&gt;0,I529*(1+J529/30),J529))=X529,IF(N(I529)&gt;0,I529&amp;" x "&amp;J529,J529&amp;" reps"),IF(IF(N(L529)=0,0,IF(N(K529)&gt;0,K529*(1+L529/30),L529))=X529,IF(N(K529)&gt;0,K529&amp;" x "&amp;L529,L529&amp;" reps"),IF(IF(N(N529)=0,0,IF(N(M529)&gt;0,M529*(1+N529/30),N529))=X529,IF(N(M529)&gt;0,M529&amp;" x "&amp;N529,N529&amp;" reps"),""))))))</f>
        <v/>
      </c>
      <c r="R529" s="20">
        <f>IF(N(X529)=0,"",ROUND(X529,1))</f>
        <v/>
      </c>
      <c r="S529" s="18">
        <f>IF(N(X529)=0,"",IF(AND(COUNTIFS(Log!$D$6:$D$1505,D529,Log!$B$6:$B$1505,"&lt;"&amp;B529)&gt;0,COUNTIFS(Log!$D$6:$D$1505,D529,Log!$B$6:$B$1505,"&lt;"&amp;B529,Log!$X$6:$X$1505,"&gt;="&amp;X529)=0),"New best",""))</f>
        <v/>
      </c>
      <c r="T529" s="26" t="n"/>
      <c r="U529" s="1">
        <f>IF(D529="","",IFERROR(INDEX(Exercises!$C$6:$C$105,MATCH(D529,Exercises!$B$6:$B$105,0)),"Other"))</f>
        <v/>
      </c>
      <c r="V529">
        <f>IF(B529="","",IF(COUNTIF($B$6:B529,B529)=1,1,0))</f>
        <v/>
      </c>
      <c r="W529">
        <f>IF(B529="","",B529-WEEKDAY(B529,3))</f>
        <v/>
      </c>
      <c r="X529">
        <f>IF(D529="","",MAX(IF(N(F529)=0,0,IF(N(E529)&gt;0,E529*(1+F529/30),F529)),IF(N(H529)=0,0,IF(N(G529)&gt;0,G529*(1+H529/30),H529)),IF(N(J529)=0,0,IF(N(I529)&gt;0,I529*(1+J529/30),J529)),IF(N(L529)=0,0,IF(N(K529)&gt;0,K529*(1+L529/30),L529)),IF(N(N529)=0,0,IF(N(M529)&gt;0,M529*(1+N529/30),N529))))</f>
        <v/>
      </c>
      <c r="Y529">
        <f>IF(N(X529)=0,"",X529+ROW()/1000000000)</f>
        <v/>
      </c>
      <c r="Z529">
        <f>IF(Y529="","",IF(COUNTIFS(Log!$D$6:$D$1505,D529,Log!$Y$6:$Y$1505,"&gt;"&amp;Y529)=0,1,0))</f>
        <v/>
      </c>
      <c r="AA529">
        <f>IF(OR(B529="",D529=""),"",B529+ROW()/10000000)</f>
        <v/>
      </c>
      <c r="AB529">
        <f>IF(AA529="","",IF(COUNTIFS(Log!$D$6:$D$1505,D529,Log!$AA$6:$AA$1505,"&gt;"&amp;AA529)=0,1,0))</f>
        <v/>
      </c>
      <c r="AC529">
        <f>IF(S529="New best",AA529,"")</f>
        <v/>
      </c>
      <c r="AD529">
        <f>ROW()</f>
        <v/>
      </c>
    </row>
    <row r="530">
      <c r="A530" s="1" t="n"/>
      <c r="B530" s="21" t="n"/>
      <c r="C530" s="22" t="n"/>
      <c r="D530" s="23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15">
        <f>IF(D530="","",COUNT(F530,H530,J530,L530,N530))</f>
        <v/>
      </c>
      <c r="P530" s="25">
        <f>IF(D530="","",N(E530)*N(F530)+N(G530)*N(H530)+N(I530)*N(J530)+N(K530)*N(L530)+N(M530)*N(N530))</f>
        <v/>
      </c>
      <c r="Q530" s="18">
        <f>IF(N(X530)=0,"",IF(IF(N(F530)=0,0,IF(N(E530)&gt;0,E530*(1+F530/30),F530))=X530,IF(N(E530)&gt;0,E530&amp;" x "&amp;F530,F530&amp;" reps"),IF(IF(N(H530)=0,0,IF(N(G530)&gt;0,G530*(1+H530/30),H530))=X530,IF(N(G530)&gt;0,G530&amp;" x "&amp;H530,H530&amp;" reps"),IF(IF(N(J530)=0,0,IF(N(I530)&gt;0,I530*(1+J530/30),J530))=X530,IF(N(I530)&gt;0,I530&amp;" x "&amp;J530,J530&amp;" reps"),IF(IF(N(L530)=0,0,IF(N(K530)&gt;0,K530*(1+L530/30),L530))=X530,IF(N(K530)&gt;0,K530&amp;" x "&amp;L530,L530&amp;" reps"),IF(IF(N(N530)=0,0,IF(N(M530)&gt;0,M530*(1+N530/30),N530))=X530,IF(N(M530)&gt;0,M530&amp;" x "&amp;N530,N530&amp;" reps"),""))))))</f>
        <v/>
      </c>
      <c r="R530" s="20">
        <f>IF(N(X530)=0,"",ROUND(X530,1))</f>
        <v/>
      </c>
      <c r="S530" s="18">
        <f>IF(N(X530)=0,"",IF(AND(COUNTIFS(Log!$D$6:$D$1505,D530,Log!$B$6:$B$1505,"&lt;"&amp;B530)&gt;0,COUNTIFS(Log!$D$6:$D$1505,D530,Log!$B$6:$B$1505,"&lt;"&amp;B530,Log!$X$6:$X$1505,"&gt;="&amp;X530)=0),"New best",""))</f>
        <v/>
      </c>
      <c r="T530" s="26" t="n"/>
      <c r="U530" s="1">
        <f>IF(D530="","",IFERROR(INDEX(Exercises!$C$6:$C$105,MATCH(D530,Exercises!$B$6:$B$105,0)),"Other"))</f>
        <v/>
      </c>
      <c r="V530">
        <f>IF(B530="","",IF(COUNTIF($B$6:B530,B530)=1,1,0))</f>
        <v/>
      </c>
      <c r="W530">
        <f>IF(B530="","",B530-WEEKDAY(B530,3))</f>
        <v/>
      </c>
      <c r="X530">
        <f>IF(D530="","",MAX(IF(N(F530)=0,0,IF(N(E530)&gt;0,E530*(1+F530/30),F530)),IF(N(H530)=0,0,IF(N(G530)&gt;0,G530*(1+H530/30),H530)),IF(N(J530)=0,0,IF(N(I530)&gt;0,I530*(1+J530/30),J530)),IF(N(L530)=0,0,IF(N(K530)&gt;0,K530*(1+L530/30),L530)),IF(N(N530)=0,0,IF(N(M530)&gt;0,M530*(1+N530/30),N530))))</f>
        <v/>
      </c>
      <c r="Y530">
        <f>IF(N(X530)=0,"",X530+ROW()/1000000000)</f>
        <v/>
      </c>
      <c r="Z530">
        <f>IF(Y530="","",IF(COUNTIFS(Log!$D$6:$D$1505,D530,Log!$Y$6:$Y$1505,"&gt;"&amp;Y530)=0,1,0))</f>
        <v/>
      </c>
      <c r="AA530">
        <f>IF(OR(B530="",D530=""),"",B530+ROW()/10000000)</f>
        <v/>
      </c>
      <c r="AB530">
        <f>IF(AA530="","",IF(COUNTIFS(Log!$D$6:$D$1505,D530,Log!$AA$6:$AA$1505,"&gt;"&amp;AA530)=0,1,0))</f>
        <v/>
      </c>
      <c r="AC530">
        <f>IF(S530="New best",AA530,"")</f>
        <v/>
      </c>
      <c r="AD530">
        <f>ROW()</f>
        <v/>
      </c>
    </row>
    <row r="531">
      <c r="A531" s="1" t="n"/>
      <c r="B531" s="21" t="n"/>
      <c r="C531" s="22" t="n"/>
      <c r="D531" s="23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15">
        <f>IF(D531="","",COUNT(F531,H531,J531,L531,N531))</f>
        <v/>
      </c>
      <c r="P531" s="25">
        <f>IF(D531="","",N(E531)*N(F531)+N(G531)*N(H531)+N(I531)*N(J531)+N(K531)*N(L531)+N(M531)*N(N531))</f>
        <v/>
      </c>
      <c r="Q531" s="18">
        <f>IF(N(X531)=0,"",IF(IF(N(F531)=0,0,IF(N(E531)&gt;0,E531*(1+F531/30),F531))=X531,IF(N(E531)&gt;0,E531&amp;" x "&amp;F531,F531&amp;" reps"),IF(IF(N(H531)=0,0,IF(N(G531)&gt;0,G531*(1+H531/30),H531))=X531,IF(N(G531)&gt;0,G531&amp;" x "&amp;H531,H531&amp;" reps"),IF(IF(N(J531)=0,0,IF(N(I531)&gt;0,I531*(1+J531/30),J531))=X531,IF(N(I531)&gt;0,I531&amp;" x "&amp;J531,J531&amp;" reps"),IF(IF(N(L531)=0,0,IF(N(K531)&gt;0,K531*(1+L531/30),L531))=X531,IF(N(K531)&gt;0,K531&amp;" x "&amp;L531,L531&amp;" reps"),IF(IF(N(N531)=0,0,IF(N(M531)&gt;0,M531*(1+N531/30),N531))=X531,IF(N(M531)&gt;0,M531&amp;" x "&amp;N531,N531&amp;" reps"),""))))))</f>
        <v/>
      </c>
      <c r="R531" s="20">
        <f>IF(N(X531)=0,"",ROUND(X531,1))</f>
        <v/>
      </c>
      <c r="S531" s="18">
        <f>IF(N(X531)=0,"",IF(AND(COUNTIFS(Log!$D$6:$D$1505,D531,Log!$B$6:$B$1505,"&lt;"&amp;B531)&gt;0,COUNTIFS(Log!$D$6:$D$1505,D531,Log!$B$6:$B$1505,"&lt;"&amp;B531,Log!$X$6:$X$1505,"&gt;="&amp;X531)=0),"New best",""))</f>
        <v/>
      </c>
      <c r="T531" s="26" t="n"/>
      <c r="U531" s="1">
        <f>IF(D531="","",IFERROR(INDEX(Exercises!$C$6:$C$105,MATCH(D531,Exercises!$B$6:$B$105,0)),"Other"))</f>
        <v/>
      </c>
      <c r="V531">
        <f>IF(B531="","",IF(COUNTIF($B$6:B531,B531)=1,1,0))</f>
        <v/>
      </c>
      <c r="W531">
        <f>IF(B531="","",B531-WEEKDAY(B531,3))</f>
        <v/>
      </c>
      <c r="X531">
        <f>IF(D531="","",MAX(IF(N(F531)=0,0,IF(N(E531)&gt;0,E531*(1+F531/30),F531)),IF(N(H531)=0,0,IF(N(G531)&gt;0,G531*(1+H531/30),H531)),IF(N(J531)=0,0,IF(N(I531)&gt;0,I531*(1+J531/30),J531)),IF(N(L531)=0,0,IF(N(K531)&gt;0,K531*(1+L531/30),L531)),IF(N(N531)=0,0,IF(N(M531)&gt;0,M531*(1+N531/30),N531))))</f>
        <v/>
      </c>
      <c r="Y531">
        <f>IF(N(X531)=0,"",X531+ROW()/1000000000)</f>
        <v/>
      </c>
      <c r="Z531">
        <f>IF(Y531="","",IF(COUNTIFS(Log!$D$6:$D$1505,D531,Log!$Y$6:$Y$1505,"&gt;"&amp;Y531)=0,1,0))</f>
        <v/>
      </c>
      <c r="AA531">
        <f>IF(OR(B531="",D531=""),"",B531+ROW()/10000000)</f>
        <v/>
      </c>
      <c r="AB531">
        <f>IF(AA531="","",IF(COUNTIFS(Log!$D$6:$D$1505,D531,Log!$AA$6:$AA$1505,"&gt;"&amp;AA531)=0,1,0))</f>
        <v/>
      </c>
      <c r="AC531">
        <f>IF(S531="New best",AA531,"")</f>
        <v/>
      </c>
      <c r="AD531">
        <f>ROW()</f>
        <v/>
      </c>
    </row>
    <row r="532">
      <c r="A532" s="1" t="n"/>
      <c r="B532" s="21" t="n"/>
      <c r="C532" s="22" t="n"/>
      <c r="D532" s="23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15">
        <f>IF(D532="","",COUNT(F532,H532,J532,L532,N532))</f>
        <v/>
      </c>
      <c r="P532" s="25">
        <f>IF(D532="","",N(E532)*N(F532)+N(G532)*N(H532)+N(I532)*N(J532)+N(K532)*N(L532)+N(M532)*N(N532))</f>
        <v/>
      </c>
      <c r="Q532" s="18">
        <f>IF(N(X532)=0,"",IF(IF(N(F532)=0,0,IF(N(E532)&gt;0,E532*(1+F532/30),F532))=X532,IF(N(E532)&gt;0,E532&amp;" x "&amp;F532,F532&amp;" reps"),IF(IF(N(H532)=0,0,IF(N(G532)&gt;0,G532*(1+H532/30),H532))=X532,IF(N(G532)&gt;0,G532&amp;" x "&amp;H532,H532&amp;" reps"),IF(IF(N(J532)=0,0,IF(N(I532)&gt;0,I532*(1+J532/30),J532))=X532,IF(N(I532)&gt;0,I532&amp;" x "&amp;J532,J532&amp;" reps"),IF(IF(N(L532)=0,0,IF(N(K532)&gt;0,K532*(1+L532/30),L532))=X532,IF(N(K532)&gt;0,K532&amp;" x "&amp;L532,L532&amp;" reps"),IF(IF(N(N532)=0,0,IF(N(M532)&gt;0,M532*(1+N532/30),N532))=X532,IF(N(M532)&gt;0,M532&amp;" x "&amp;N532,N532&amp;" reps"),""))))))</f>
        <v/>
      </c>
      <c r="R532" s="20">
        <f>IF(N(X532)=0,"",ROUND(X532,1))</f>
        <v/>
      </c>
      <c r="S532" s="18">
        <f>IF(N(X532)=0,"",IF(AND(COUNTIFS(Log!$D$6:$D$1505,D532,Log!$B$6:$B$1505,"&lt;"&amp;B532)&gt;0,COUNTIFS(Log!$D$6:$D$1505,D532,Log!$B$6:$B$1505,"&lt;"&amp;B532,Log!$X$6:$X$1505,"&gt;="&amp;X532)=0),"New best",""))</f>
        <v/>
      </c>
      <c r="T532" s="26" t="n"/>
      <c r="U532" s="1">
        <f>IF(D532="","",IFERROR(INDEX(Exercises!$C$6:$C$105,MATCH(D532,Exercises!$B$6:$B$105,0)),"Other"))</f>
        <v/>
      </c>
      <c r="V532">
        <f>IF(B532="","",IF(COUNTIF($B$6:B532,B532)=1,1,0))</f>
        <v/>
      </c>
      <c r="W532">
        <f>IF(B532="","",B532-WEEKDAY(B532,3))</f>
        <v/>
      </c>
      <c r="X532">
        <f>IF(D532="","",MAX(IF(N(F532)=0,0,IF(N(E532)&gt;0,E532*(1+F532/30),F532)),IF(N(H532)=0,0,IF(N(G532)&gt;0,G532*(1+H532/30),H532)),IF(N(J532)=0,0,IF(N(I532)&gt;0,I532*(1+J532/30),J532)),IF(N(L532)=0,0,IF(N(K532)&gt;0,K532*(1+L532/30),L532)),IF(N(N532)=0,0,IF(N(M532)&gt;0,M532*(1+N532/30),N532))))</f>
        <v/>
      </c>
      <c r="Y532">
        <f>IF(N(X532)=0,"",X532+ROW()/1000000000)</f>
        <v/>
      </c>
      <c r="Z532">
        <f>IF(Y532="","",IF(COUNTIFS(Log!$D$6:$D$1505,D532,Log!$Y$6:$Y$1505,"&gt;"&amp;Y532)=0,1,0))</f>
        <v/>
      </c>
      <c r="AA532">
        <f>IF(OR(B532="",D532=""),"",B532+ROW()/10000000)</f>
        <v/>
      </c>
      <c r="AB532">
        <f>IF(AA532="","",IF(COUNTIFS(Log!$D$6:$D$1505,D532,Log!$AA$6:$AA$1505,"&gt;"&amp;AA532)=0,1,0))</f>
        <v/>
      </c>
      <c r="AC532">
        <f>IF(S532="New best",AA532,"")</f>
        <v/>
      </c>
      <c r="AD532">
        <f>ROW()</f>
        <v/>
      </c>
    </row>
    <row r="533">
      <c r="A533" s="1" t="n"/>
      <c r="B533" s="21" t="n"/>
      <c r="C533" s="22" t="n"/>
      <c r="D533" s="23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15">
        <f>IF(D533="","",COUNT(F533,H533,J533,L533,N533))</f>
        <v/>
      </c>
      <c r="P533" s="25">
        <f>IF(D533="","",N(E533)*N(F533)+N(G533)*N(H533)+N(I533)*N(J533)+N(K533)*N(L533)+N(M533)*N(N533))</f>
        <v/>
      </c>
      <c r="Q533" s="18">
        <f>IF(N(X533)=0,"",IF(IF(N(F533)=0,0,IF(N(E533)&gt;0,E533*(1+F533/30),F533))=X533,IF(N(E533)&gt;0,E533&amp;" x "&amp;F533,F533&amp;" reps"),IF(IF(N(H533)=0,0,IF(N(G533)&gt;0,G533*(1+H533/30),H533))=X533,IF(N(G533)&gt;0,G533&amp;" x "&amp;H533,H533&amp;" reps"),IF(IF(N(J533)=0,0,IF(N(I533)&gt;0,I533*(1+J533/30),J533))=X533,IF(N(I533)&gt;0,I533&amp;" x "&amp;J533,J533&amp;" reps"),IF(IF(N(L533)=0,0,IF(N(K533)&gt;0,K533*(1+L533/30),L533))=X533,IF(N(K533)&gt;0,K533&amp;" x "&amp;L533,L533&amp;" reps"),IF(IF(N(N533)=0,0,IF(N(M533)&gt;0,M533*(1+N533/30),N533))=X533,IF(N(M533)&gt;0,M533&amp;" x "&amp;N533,N533&amp;" reps"),""))))))</f>
        <v/>
      </c>
      <c r="R533" s="20">
        <f>IF(N(X533)=0,"",ROUND(X533,1))</f>
        <v/>
      </c>
      <c r="S533" s="18">
        <f>IF(N(X533)=0,"",IF(AND(COUNTIFS(Log!$D$6:$D$1505,D533,Log!$B$6:$B$1505,"&lt;"&amp;B533)&gt;0,COUNTIFS(Log!$D$6:$D$1505,D533,Log!$B$6:$B$1505,"&lt;"&amp;B533,Log!$X$6:$X$1505,"&gt;="&amp;X533)=0),"New best",""))</f>
        <v/>
      </c>
      <c r="T533" s="26" t="n"/>
      <c r="U533" s="1">
        <f>IF(D533="","",IFERROR(INDEX(Exercises!$C$6:$C$105,MATCH(D533,Exercises!$B$6:$B$105,0)),"Other"))</f>
        <v/>
      </c>
      <c r="V533">
        <f>IF(B533="","",IF(COUNTIF($B$6:B533,B533)=1,1,0))</f>
        <v/>
      </c>
      <c r="W533">
        <f>IF(B533="","",B533-WEEKDAY(B533,3))</f>
        <v/>
      </c>
      <c r="X533">
        <f>IF(D533="","",MAX(IF(N(F533)=0,0,IF(N(E533)&gt;0,E533*(1+F533/30),F533)),IF(N(H533)=0,0,IF(N(G533)&gt;0,G533*(1+H533/30),H533)),IF(N(J533)=0,0,IF(N(I533)&gt;0,I533*(1+J533/30),J533)),IF(N(L533)=0,0,IF(N(K533)&gt;0,K533*(1+L533/30),L533)),IF(N(N533)=0,0,IF(N(M533)&gt;0,M533*(1+N533/30),N533))))</f>
        <v/>
      </c>
      <c r="Y533">
        <f>IF(N(X533)=0,"",X533+ROW()/1000000000)</f>
        <v/>
      </c>
      <c r="Z533">
        <f>IF(Y533="","",IF(COUNTIFS(Log!$D$6:$D$1505,D533,Log!$Y$6:$Y$1505,"&gt;"&amp;Y533)=0,1,0))</f>
        <v/>
      </c>
      <c r="AA533">
        <f>IF(OR(B533="",D533=""),"",B533+ROW()/10000000)</f>
        <v/>
      </c>
      <c r="AB533">
        <f>IF(AA533="","",IF(COUNTIFS(Log!$D$6:$D$1505,D533,Log!$AA$6:$AA$1505,"&gt;"&amp;AA533)=0,1,0))</f>
        <v/>
      </c>
      <c r="AC533">
        <f>IF(S533="New best",AA533,"")</f>
        <v/>
      </c>
      <c r="AD533">
        <f>ROW()</f>
        <v/>
      </c>
    </row>
    <row r="534">
      <c r="A534" s="1" t="n"/>
      <c r="B534" s="21" t="n"/>
      <c r="C534" s="22" t="n"/>
      <c r="D534" s="23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15">
        <f>IF(D534="","",COUNT(F534,H534,J534,L534,N534))</f>
        <v/>
      </c>
      <c r="P534" s="25">
        <f>IF(D534="","",N(E534)*N(F534)+N(G534)*N(H534)+N(I534)*N(J534)+N(K534)*N(L534)+N(M534)*N(N534))</f>
        <v/>
      </c>
      <c r="Q534" s="18">
        <f>IF(N(X534)=0,"",IF(IF(N(F534)=0,0,IF(N(E534)&gt;0,E534*(1+F534/30),F534))=X534,IF(N(E534)&gt;0,E534&amp;" x "&amp;F534,F534&amp;" reps"),IF(IF(N(H534)=0,0,IF(N(G534)&gt;0,G534*(1+H534/30),H534))=X534,IF(N(G534)&gt;0,G534&amp;" x "&amp;H534,H534&amp;" reps"),IF(IF(N(J534)=0,0,IF(N(I534)&gt;0,I534*(1+J534/30),J534))=X534,IF(N(I534)&gt;0,I534&amp;" x "&amp;J534,J534&amp;" reps"),IF(IF(N(L534)=0,0,IF(N(K534)&gt;0,K534*(1+L534/30),L534))=X534,IF(N(K534)&gt;0,K534&amp;" x "&amp;L534,L534&amp;" reps"),IF(IF(N(N534)=0,0,IF(N(M534)&gt;0,M534*(1+N534/30),N534))=X534,IF(N(M534)&gt;0,M534&amp;" x "&amp;N534,N534&amp;" reps"),""))))))</f>
        <v/>
      </c>
      <c r="R534" s="20">
        <f>IF(N(X534)=0,"",ROUND(X534,1))</f>
        <v/>
      </c>
      <c r="S534" s="18">
        <f>IF(N(X534)=0,"",IF(AND(COUNTIFS(Log!$D$6:$D$1505,D534,Log!$B$6:$B$1505,"&lt;"&amp;B534)&gt;0,COUNTIFS(Log!$D$6:$D$1505,D534,Log!$B$6:$B$1505,"&lt;"&amp;B534,Log!$X$6:$X$1505,"&gt;="&amp;X534)=0),"New best",""))</f>
        <v/>
      </c>
      <c r="T534" s="26" t="n"/>
      <c r="U534" s="1">
        <f>IF(D534="","",IFERROR(INDEX(Exercises!$C$6:$C$105,MATCH(D534,Exercises!$B$6:$B$105,0)),"Other"))</f>
        <v/>
      </c>
      <c r="V534">
        <f>IF(B534="","",IF(COUNTIF($B$6:B534,B534)=1,1,0))</f>
        <v/>
      </c>
      <c r="W534">
        <f>IF(B534="","",B534-WEEKDAY(B534,3))</f>
        <v/>
      </c>
      <c r="X534">
        <f>IF(D534="","",MAX(IF(N(F534)=0,0,IF(N(E534)&gt;0,E534*(1+F534/30),F534)),IF(N(H534)=0,0,IF(N(G534)&gt;0,G534*(1+H534/30),H534)),IF(N(J534)=0,0,IF(N(I534)&gt;0,I534*(1+J534/30),J534)),IF(N(L534)=0,0,IF(N(K534)&gt;0,K534*(1+L534/30),L534)),IF(N(N534)=0,0,IF(N(M534)&gt;0,M534*(1+N534/30),N534))))</f>
        <v/>
      </c>
      <c r="Y534">
        <f>IF(N(X534)=0,"",X534+ROW()/1000000000)</f>
        <v/>
      </c>
      <c r="Z534">
        <f>IF(Y534="","",IF(COUNTIFS(Log!$D$6:$D$1505,D534,Log!$Y$6:$Y$1505,"&gt;"&amp;Y534)=0,1,0))</f>
        <v/>
      </c>
      <c r="AA534">
        <f>IF(OR(B534="",D534=""),"",B534+ROW()/10000000)</f>
        <v/>
      </c>
      <c r="AB534">
        <f>IF(AA534="","",IF(COUNTIFS(Log!$D$6:$D$1505,D534,Log!$AA$6:$AA$1505,"&gt;"&amp;AA534)=0,1,0))</f>
        <v/>
      </c>
      <c r="AC534">
        <f>IF(S534="New best",AA534,"")</f>
        <v/>
      </c>
      <c r="AD534">
        <f>ROW()</f>
        <v/>
      </c>
    </row>
    <row r="535">
      <c r="A535" s="1" t="n"/>
      <c r="B535" s="21" t="n"/>
      <c r="C535" s="22" t="n"/>
      <c r="D535" s="23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15">
        <f>IF(D535="","",COUNT(F535,H535,J535,L535,N535))</f>
        <v/>
      </c>
      <c r="P535" s="25">
        <f>IF(D535="","",N(E535)*N(F535)+N(G535)*N(H535)+N(I535)*N(J535)+N(K535)*N(L535)+N(M535)*N(N535))</f>
        <v/>
      </c>
      <c r="Q535" s="18">
        <f>IF(N(X535)=0,"",IF(IF(N(F535)=0,0,IF(N(E535)&gt;0,E535*(1+F535/30),F535))=X535,IF(N(E535)&gt;0,E535&amp;" x "&amp;F535,F535&amp;" reps"),IF(IF(N(H535)=0,0,IF(N(G535)&gt;0,G535*(1+H535/30),H535))=X535,IF(N(G535)&gt;0,G535&amp;" x "&amp;H535,H535&amp;" reps"),IF(IF(N(J535)=0,0,IF(N(I535)&gt;0,I535*(1+J535/30),J535))=X535,IF(N(I535)&gt;0,I535&amp;" x "&amp;J535,J535&amp;" reps"),IF(IF(N(L535)=0,0,IF(N(K535)&gt;0,K535*(1+L535/30),L535))=X535,IF(N(K535)&gt;0,K535&amp;" x "&amp;L535,L535&amp;" reps"),IF(IF(N(N535)=0,0,IF(N(M535)&gt;0,M535*(1+N535/30),N535))=X535,IF(N(M535)&gt;0,M535&amp;" x "&amp;N535,N535&amp;" reps"),""))))))</f>
        <v/>
      </c>
      <c r="R535" s="20">
        <f>IF(N(X535)=0,"",ROUND(X535,1))</f>
        <v/>
      </c>
      <c r="S535" s="18">
        <f>IF(N(X535)=0,"",IF(AND(COUNTIFS(Log!$D$6:$D$1505,D535,Log!$B$6:$B$1505,"&lt;"&amp;B535)&gt;0,COUNTIFS(Log!$D$6:$D$1505,D535,Log!$B$6:$B$1505,"&lt;"&amp;B535,Log!$X$6:$X$1505,"&gt;="&amp;X535)=0),"New best",""))</f>
        <v/>
      </c>
      <c r="T535" s="26" t="n"/>
      <c r="U535" s="1">
        <f>IF(D535="","",IFERROR(INDEX(Exercises!$C$6:$C$105,MATCH(D535,Exercises!$B$6:$B$105,0)),"Other"))</f>
        <v/>
      </c>
      <c r="V535">
        <f>IF(B535="","",IF(COUNTIF($B$6:B535,B535)=1,1,0))</f>
        <v/>
      </c>
      <c r="W535">
        <f>IF(B535="","",B535-WEEKDAY(B535,3))</f>
        <v/>
      </c>
      <c r="X535">
        <f>IF(D535="","",MAX(IF(N(F535)=0,0,IF(N(E535)&gt;0,E535*(1+F535/30),F535)),IF(N(H535)=0,0,IF(N(G535)&gt;0,G535*(1+H535/30),H535)),IF(N(J535)=0,0,IF(N(I535)&gt;0,I535*(1+J535/30),J535)),IF(N(L535)=0,0,IF(N(K535)&gt;0,K535*(1+L535/30),L535)),IF(N(N535)=0,0,IF(N(M535)&gt;0,M535*(1+N535/30),N535))))</f>
        <v/>
      </c>
      <c r="Y535">
        <f>IF(N(X535)=0,"",X535+ROW()/1000000000)</f>
        <v/>
      </c>
      <c r="Z535">
        <f>IF(Y535="","",IF(COUNTIFS(Log!$D$6:$D$1505,D535,Log!$Y$6:$Y$1505,"&gt;"&amp;Y535)=0,1,0))</f>
        <v/>
      </c>
      <c r="AA535">
        <f>IF(OR(B535="",D535=""),"",B535+ROW()/10000000)</f>
        <v/>
      </c>
      <c r="AB535">
        <f>IF(AA535="","",IF(COUNTIFS(Log!$D$6:$D$1505,D535,Log!$AA$6:$AA$1505,"&gt;"&amp;AA535)=0,1,0))</f>
        <v/>
      </c>
      <c r="AC535">
        <f>IF(S535="New best",AA535,"")</f>
        <v/>
      </c>
      <c r="AD535">
        <f>ROW()</f>
        <v/>
      </c>
    </row>
    <row r="536">
      <c r="A536" s="1" t="n"/>
      <c r="B536" s="21" t="n"/>
      <c r="C536" s="22" t="n"/>
      <c r="D536" s="23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15">
        <f>IF(D536="","",COUNT(F536,H536,J536,L536,N536))</f>
        <v/>
      </c>
      <c r="P536" s="25">
        <f>IF(D536="","",N(E536)*N(F536)+N(G536)*N(H536)+N(I536)*N(J536)+N(K536)*N(L536)+N(M536)*N(N536))</f>
        <v/>
      </c>
      <c r="Q536" s="18">
        <f>IF(N(X536)=0,"",IF(IF(N(F536)=0,0,IF(N(E536)&gt;0,E536*(1+F536/30),F536))=X536,IF(N(E536)&gt;0,E536&amp;" x "&amp;F536,F536&amp;" reps"),IF(IF(N(H536)=0,0,IF(N(G536)&gt;0,G536*(1+H536/30),H536))=X536,IF(N(G536)&gt;0,G536&amp;" x "&amp;H536,H536&amp;" reps"),IF(IF(N(J536)=0,0,IF(N(I536)&gt;0,I536*(1+J536/30),J536))=X536,IF(N(I536)&gt;0,I536&amp;" x "&amp;J536,J536&amp;" reps"),IF(IF(N(L536)=0,0,IF(N(K536)&gt;0,K536*(1+L536/30),L536))=X536,IF(N(K536)&gt;0,K536&amp;" x "&amp;L536,L536&amp;" reps"),IF(IF(N(N536)=0,0,IF(N(M536)&gt;0,M536*(1+N536/30),N536))=X536,IF(N(M536)&gt;0,M536&amp;" x "&amp;N536,N536&amp;" reps"),""))))))</f>
        <v/>
      </c>
      <c r="R536" s="20">
        <f>IF(N(X536)=0,"",ROUND(X536,1))</f>
        <v/>
      </c>
      <c r="S536" s="18">
        <f>IF(N(X536)=0,"",IF(AND(COUNTIFS(Log!$D$6:$D$1505,D536,Log!$B$6:$B$1505,"&lt;"&amp;B536)&gt;0,COUNTIFS(Log!$D$6:$D$1505,D536,Log!$B$6:$B$1505,"&lt;"&amp;B536,Log!$X$6:$X$1505,"&gt;="&amp;X536)=0),"New best",""))</f>
        <v/>
      </c>
      <c r="T536" s="26" t="n"/>
      <c r="U536" s="1">
        <f>IF(D536="","",IFERROR(INDEX(Exercises!$C$6:$C$105,MATCH(D536,Exercises!$B$6:$B$105,0)),"Other"))</f>
        <v/>
      </c>
      <c r="V536">
        <f>IF(B536="","",IF(COUNTIF($B$6:B536,B536)=1,1,0))</f>
        <v/>
      </c>
      <c r="W536">
        <f>IF(B536="","",B536-WEEKDAY(B536,3))</f>
        <v/>
      </c>
      <c r="X536">
        <f>IF(D536="","",MAX(IF(N(F536)=0,0,IF(N(E536)&gt;0,E536*(1+F536/30),F536)),IF(N(H536)=0,0,IF(N(G536)&gt;0,G536*(1+H536/30),H536)),IF(N(J536)=0,0,IF(N(I536)&gt;0,I536*(1+J536/30),J536)),IF(N(L536)=0,0,IF(N(K536)&gt;0,K536*(1+L536/30),L536)),IF(N(N536)=0,0,IF(N(M536)&gt;0,M536*(1+N536/30),N536))))</f>
        <v/>
      </c>
      <c r="Y536">
        <f>IF(N(X536)=0,"",X536+ROW()/1000000000)</f>
        <v/>
      </c>
      <c r="Z536">
        <f>IF(Y536="","",IF(COUNTIFS(Log!$D$6:$D$1505,D536,Log!$Y$6:$Y$1505,"&gt;"&amp;Y536)=0,1,0))</f>
        <v/>
      </c>
      <c r="AA536">
        <f>IF(OR(B536="",D536=""),"",B536+ROW()/10000000)</f>
        <v/>
      </c>
      <c r="AB536">
        <f>IF(AA536="","",IF(COUNTIFS(Log!$D$6:$D$1505,D536,Log!$AA$6:$AA$1505,"&gt;"&amp;AA536)=0,1,0))</f>
        <v/>
      </c>
      <c r="AC536">
        <f>IF(S536="New best",AA536,"")</f>
        <v/>
      </c>
      <c r="AD536">
        <f>ROW()</f>
        <v/>
      </c>
    </row>
    <row r="537">
      <c r="A537" s="1" t="n"/>
      <c r="B537" s="21" t="n"/>
      <c r="C537" s="22" t="n"/>
      <c r="D537" s="23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15">
        <f>IF(D537="","",COUNT(F537,H537,J537,L537,N537))</f>
        <v/>
      </c>
      <c r="P537" s="25">
        <f>IF(D537="","",N(E537)*N(F537)+N(G537)*N(H537)+N(I537)*N(J537)+N(K537)*N(L537)+N(M537)*N(N537))</f>
        <v/>
      </c>
      <c r="Q537" s="18">
        <f>IF(N(X537)=0,"",IF(IF(N(F537)=0,0,IF(N(E537)&gt;0,E537*(1+F537/30),F537))=X537,IF(N(E537)&gt;0,E537&amp;" x "&amp;F537,F537&amp;" reps"),IF(IF(N(H537)=0,0,IF(N(G537)&gt;0,G537*(1+H537/30),H537))=X537,IF(N(G537)&gt;0,G537&amp;" x "&amp;H537,H537&amp;" reps"),IF(IF(N(J537)=0,0,IF(N(I537)&gt;0,I537*(1+J537/30),J537))=X537,IF(N(I537)&gt;0,I537&amp;" x "&amp;J537,J537&amp;" reps"),IF(IF(N(L537)=0,0,IF(N(K537)&gt;0,K537*(1+L537/30),L537))=X537,IF(N(K537)&gt;0,K537&amp;" x "&amp;L537,L537&amp;" reps"),IF(IF(N(N537)=0,0,IF(N(M537)&gt;0,M537*(1+N537/30),N537))=X537,IF(N(M537)&gt;0,M537&amp;" x "&amp;N537,N537&amp;" reps"),""))))))</f>
        <v/>
      </c>
      <c r="R537" s="20">
        <f>IF(N(X537)=0,"",ROUND(X537,1))</f>
        <v/>
      </c>
      <c r="S537" s="18">
        <f>IF(N(X537)=0,"",IF(AND(COUNTIFS(Log!$D$6:$D$1505,D537,Log!$B$6:$B$1505,"&lt;"&amp;B537)&gt;0,COUNTIFS(Log!$D$6:$D$1505,D537,Log!$B$6:$B$1505,"&lt;"&amp;B537,Log!$X$6:$X$1505,"&gt;="&amp;X537)=0),"New best",""))</f>
        <v/>
      </c>
      <c r="T537" s="26" t="n"/>
      <c r="U537" s="1">
        <f>IF(D537="","",IFERROR(INDEX(Exercises!$C$6:$C$105,MATCH(D537,Exercises!$B$6:$B$105,0)),"Other"))</f>
        <v/>
      </c>
      <c r="V537">
        <f>IF(B537="","",IF(COUNTIF($B$6:B537,B537)=1,1,0))</f>
        <v/>
      </c>
      <c r="W537">
        <f>IF(B537="","",B537-WEEKDAY(B537,3))</f>
        <v/>
      </c>
      <c r="X537">
        <f>IF(D537="","",MAX(IF(N(F537)=0,0,IF(N(E537)&gt;0,E537*(1+F537/30),F537)),IF(N(H537)=0,0,IF(N(G537)&gt;0,G537*(1+H537/30),H537)),IF(N(J537)=0,0,IF(N(I537)&gt;0,I537*(1+J537/30),J537)),IF(N(L537)=0,0,IF(N(K537)&gt;0,K537*(1+L537/30),L537)),IF(N(N537)=0,0,IF(N(M537)&gt;0,M537*(1+N537/30),N537))))</f>
        <v/>
      </c>
      <c r="Y537">
        <f>IF(N(X537)=0,"",X537+ROW()/1000000000)</f>
        <v/>
      </c>
      <c r="Z537">
        <f>IF(Y537="","",IF(COUNTIFS(Log!$D$6:$D$1505,D537,Log!$Y$6:$Y$1505,"&gt;"&amp;Y537)=0,1,0))</f>
        <v/>
      </c>
      <c r="AA537">
        <f>IF(OR(B537="",D537=""),"",B537+ROW()/10000000)</f>
        <v/>
      </c>
      <c r="AB537">
        <f>IF(AA537="","",IF(COUNTIFS(Log!$D$6:$D$1505,D537,Log!$AA$6:$AA$1505,"&gt;"&amp;AA537)=0,1,0))</f>
        <v/>
      </c>
      <c r="AC537">
        <f>IF(S537="New best",AA537,"")</f>
        <v/>
      </c>
      <c r="AD537">
        <f>ROW()</f>
        <v/>
      </c>
    </row>
    <row r="538">
      <c r="A538" s="1" t="n"/>
      <c r="B538" s="21" t="n"/>
      <c r="C538" s="22" t="n"/>
      <c r="D538" s="23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15">
        <f>IF(D538="","",COUNT(F538,H538,J538,L538,N538))</f>
        <v/>
      </c>
      <c r="P538" s="25">
        <f>IF(D538="","",N(E538)*N(F538)+N(G538)*N(H538)+N(I538)*N(J538)+N(K538)*N(L538)+N(M538)*N(N538))</f>
        <v/>
      </c>
      <c r="Q538" s="18">
        <f>IF(N(X538)=0,"",IF(IF(N(F538)=0,0,IF(N(E538)&gt;0,E538*(1+F538/30),F538))=X538,IF(N(E538)&gt;0,E538&amp;" x "&amp;F538,F538&amp;" reps"),IF(IF(N(H538)=0,0,IF(N(G538)&gt;0,G538*(1+H538/30),H538))=X538,IF(N(G538)&gt;0,G538&amp;" x "&amp;H538,H538&amp;" reps"),IF(IF(N(J538)=0,0,IF(N(I538)&gt;0,I538*(1+J538/30),J538))=X538,IF(N(I538)&gt;0,I538&amp;" x "&amp;J538,J538&amp;" reps"),IF(IF(N(L538)=0,0,IF(N(K538)&gt;0,K538*(1+L538/30),L538))=X538,IF(N(K538)&gt;0,K538&amp;" x "&amp;L538,L538&amp;" reps"),IF(IF(N(N538)=0,0,IF(N(M538)&gt;0,M538*(1+N538/30),N538))=X538,IF(N(M538)&gt;0,M538&amp;" x "&amp;N538,N538&amp;" reps"),""))))))</f>
        <v/>
      </c>
      <c r="R538" s="20">
        <f>IF(N(X538)=0,"",ROUND(X538,1))</f>
        <v/>
      </c>
      <c r="S538" s="18">
        <f>IF(N(X538)=0,"",IF(AND(COUNTIFS(Log!$D$6:$D$1505,D538,Log!$B$6:$B$1505,"&lt;"&amp;B538)&gt;0,COUNTIFS(Log!$D$6:$D$1505,D538,Log!$B$6:$B$1505,"&lt;"&amp;B538,Log!$X$6:$X$1505,"&gt;="&amp;X538)=0),"New best",""))</f>
        <v/>
      </c>
      <c r="T538" s="26" t="n"/>
      <c r="U538" s="1">
        <f>IF(D538="","",IFERROR(INDEX(Exercises!$C$6:$C$105,MATCH(D538,Exercises!$B$6:$B$105,0)),"Other"))</f>
        <v/>
      </c>
      <c r="V538">
        <f>IF(B538="","",IF(COUNTIF($B$6:B538,B538)=1,1,0))</f>
        <v/>
      </c>
      <c r="W538">
        <f>IF(B538="","",B538-WEEKDAY(B538,3))</f>
        <v/>
      </c>
      <c r="X538">
        <f>IF(D538="","",MAX(IF(N(F538)=0,0,IF(N(E538)&gt;0,E538*(1+F538/30),F538)),IF(N(H538)=0,0,IF(N(G538)&gt;0,G538*(1+H538/30),H538)),IF(N(J538)=0,0,IF(N(I538)&gt;0,I538*(1+J538/30),J538)),IF(N(L538)=0,0,IF(N(K538)&gt;0,K538*(1+L538/30),L538)),IF(N(N538)=0,0,IF(N(M538)&gt;0,M538*(1+N538/30),N538))))</f>
        <v/>
      </c>
      <c r="Y538">
        <f>IF(N(X538)=0,"",X538+ROW()/1000000000)</f>
        <v/>
      </c>
      <c r="Z538">
        <f>IF(Y538="","",IF(COUNTIFS(Log!$D$6:$D$1505,D538,Log!$Y$6:$Y$1505,"&gt;"&amp;Y538)=0,1,0))</f>
        <v/>
      </c>
      <c r="AA538">
        <f>IF(OR(B538="",D538=""),"",B538+ROW()/10000000)</f>
        <v/>
      </c>
      <c r="AB538">
        <f>IF(AA538="","",IF(COUNTIFS(Log!$D$6:$D$1505,D538,Log!$AA$6:$AA$1505,"&gt;"&amp;AA538)=0,1,0))</f>
        <v/>
      </c>
      <c r="AC538">
        <f>IF(S538="New best",AA538,"")</f>
        <v/>
      </c>
      <c r="AD538">
        <f>ROW()</f>
        <v/>
      </c>
    </row>
    <row r="539">
      <c r="A539" s="1" t="n"/>
      <c r="B539" s="21" t="n"/>
      <c r="C539" s="22" t="n"/>
      <c r="D539" s="23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15">
        <f>IF(D539="","",COUNT(F539,H539,J539,L539,N539))</f>
        <v/>
      </c>
      <c r="P539" s="25">
        <f>IF(D539="","",N(E539)*N(F539)+N(G539)*N(H539)+N(I539)*N(J539)+N(K539)*N(L539)+N(M539)*N(N539))</f>
        <v/>
      </c>
      <c r="Q539" s="18">
        <f>IF(N(X539)=0,"",IF(IF(N(F539)=0,0,IF(N(E539)&gt;0,E539*(1+F539/30),F539))=X539,IF(N(E539)&gt;0,E539&amp;" x "&amp;F539,F539&amp;" reps"),IF(IF(N(H539)=0,0,IF(N(G539)&gt;0,G539*(1+H539/30),H539))=X539,IF(N(G539)&gt;0,G539&amp;" x "&amp;H539,H539&amp;" reps"),IF(IF(N(J539)=0,0,IF(N(I539)&gt;0,I539*(1+J539/30),J539))=X539,IF(N(I539)&gt;0,I539&amp;" x "&amp;J539,J539&amp;" reps"),IF(IF(N(L539)=0,0,IF(N(K539)&gt;0,K539*(1+L539/30),L539))=X539,IF(N(K539)&gt;0,K539&amp;" x "&amp;L539,L539&amp;" reps"),IF(IF(N(N539)=0,0,IF(N(M539)&gt;0,M539*(1+N539/30),N539))=X539,IF(N(M539)&gt;0,M539&amp;" x "&amp;N539,N539&amp;" reps"),""))))))</f>
        <v/>
      </c>
      <c r="R539" s="20">
        <f>IF(N(X539)=0,"",ROUND(X539,1))</f>
        <v/>
      </c>
      <c r="S539" s="18">
        <f>IF(N(X539)=0,"",IF(AND(COUNTIFS(Log!$D$6:$D$1505,D539,Log!$B$6:$B$1505,"&lt;"&amp;B539)&gt;0,COUNTIFS(Log!$D$6:$D$1505,D539,Log!$B$6:$B$1505,"&lt;"&amp;B539,Log!$X$6:$X$1505,"&gt;="&amp;X539)=0),"New best",""))</f>
        <v/>
      </c>
      <c r="T539" s="26" t="n"/>
      <c r="U539" s="1">
        <f>IF(D539="","",IFERROR(INDEX(Exercises!$C$6:$C$105,MATCH(D539,Exercises!$B$6:$B$105,0)),"Other"))</f>
        <v/>
      </c>
      <c r="V539">
        <f>IF(B539="","",IF(COUNTIF($B$6:B539,B539)=1,1,0))</f>
        <v/>
      </c>
      <c r="W539">
        <f>IF(B539="","",B539-WEEKDAY(B539,3))</f>
        <v/>
      </c>
      <c r="X539">
        <f>IF(D539="","",MAX(IF(N(F539)=0,0,IF(N(E539)&gt;0,E539*(1+F539/30),F539)),IF(N(H539)=0,0,IF(N(G539)&gt;0,G539*(1+H539/30),H539)),IF(N(J539)=0,0,IF(N(I539)&gt;0,I539*(1+J539/30),J539)),IF(N(L539)=0,0,IF(N(K539)&gt;0,K539*(1+L539/30),L539)),IF(N(N539)=0,0,IF(N(M539)&gt;0,M539*(1+N539/30),N539))))</f>
        <v/>
      </c>
      <c r="Y539">
        <f>IF(N(X539)=0,"",X539+ROW()/1000000000)</f>
        <v/>
      </c>
      <c r="Z539">
        <f>IF(Y539="","",IF(COUNTIFS(Log!$D$6:$D$1505,D539,Log!$Y$6:$Y$1505,"&gt;"&amp;Y539)=0,1,0))</f>
        <v/>
      </c>
      <c r="AA539">
        <f>IF(OR(B539="",D539=""),"",B539+ROW()/10000000)</f>
        <v/>
      </c>
      <c r="AB539">
        <f>IF(AA539="","",IF(COUNTIFS(Log!$D$6:$D$1505,D539,Log!$AA$6:$AA$1505,"&gt;"&amp;AA539)=0,1,0))</f>
        <v/>
      </c>
      <c r="AC539">
        <f>IF(S539="New best",AA539,"")</f>
        <v/>
      </c>
      <c r="AD539">
        <f>ROW()</f>
        <v/>
      </c>
    </row>
    <row r="540">
      <c r="A540" s="1" t="n"/>
      <c r="B540" s="21" t="n"/>
      <c r="C540" s="22" t="n"/>
      <c r="D540" s="23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15">
        <f>IF(D540="","",COUNT(F540,H540,J540,L540,N540))</f>
        <v/>
      </c>
      <c r="P540" s="25">
        <f>IF(D540="","",N(E540)*N(F540)+N(G540)*N(H540)+N(I540)*N(J540)+N(K540)*N(L540)+N(M540)*N(N540))</f>
        <v/>
      </c>
      <c r="Q540" s="18">
        <f>IF(N(X540)=0,"",IF(IF(N(F540)=0,0,IF(N(E540)&gt;0,E540*(1+F540/30),F540))=X540,IF(N(E540)&gt;0,E540&amp;" x "&amp;F540,F540&amp;" reps"),IF(IF(N(H540)=0,0,IF(N(G540)&gt;0,G540*(1+H540/30),H540))=X540,IF(N(G540)&gt;0,G540&amp;" x "&amp;H540,H540&amp;" reps"),IF(IF(N(J540)=0,0,IF(N(I540)&gt;0,I540*(1+J540/30),J540))=X540,IF(N(I540)&gt;0,I540&amp;" x "&amp;J540,J540&amp;" reps"),IF(IF(N(L540)=0,0,IF(N(K540)&gt;0,K540*(1+L540/30),L540))=X540,IF(N(K540)&gt;0,K540&amp;" x "&amp;L540,L540&amp;" reps"),IF(IF(N(N540)=0,0,IF(N(M540)&gt;0,M540*(1+N540/30),N540))=X540,IF(N(M540)&gt;0,M540&amp;" x "&amp;N540,N540&amp;" reps"),""))))))</f>
        <v/>
      </c>
      <c r="R540" s="20">
        <f>IF(N(X540)=0,"",ROUND(X540,1))</f>
        <v/>
      </c>
      <c r="S540" s="18">
        <f>IF(N(X540)=0,"",IF(AND(COUNTIFS(Log!$D$6:$D$1505,D540,Log!$B$6:$B$1505,"&lt;"&amp;B540)&gt;0,COUNTIFS(Log!$D$6:$D$1505,D540,Log!$B$6:$B$1505,"&lt;"&amp;B540,Log!$X$6:$X$1505,"&gt;="&amp;X540)=0),"New best",""))</f>
        <v/>
      </c>
      <c r="T540" s="26" t="n"/>
      <c r="U540" s="1">
        <f>IF(D540="","",IFERROR(INDEX(Exercises!$C$6:$C$105,MATCH(D540,Exercises!$B$6:$B$105,0)),"Other"))</f>
        <v/>
      </c>
      <c r="V540">
        <f>IF(B540="","",IF(COUNTIF($B$6:B540,B540)=1,1,0))</f>
        <v/>
      </c>
      <c r="W540">
        <f>IF(B540="","",B540-WEEKDAY(B540,3))</f>
        <v/>
      </c>
      <c r="X540">
        <f>IF(D540="","",MAX(IF(N(F540)=0,0,IF(N(E540)&gt;0,E540*(1+F540/30),F540)),IF(N(H540)=0,0,IF(N(G540)&gt;0,G540*(1+H540/30),H540)),IF(N(J540)=0,0,IF(N(I540)&gt;0,I540*(1+J540/30),J540)),IF(N(L540)=0,0,IF(N(K540)&gt;0,K540*(1+L540/30),L540)),IF(N(N540)=0,0,IF(N(M540)&gt;0,M540*(1+N540/30),N540))))</f>
        <v/>
      </c>
      <c r="Y540">
        <f>IF(N(X540)=0,"",X540+ROW()/1000000000)</f>
        <v/>
      </c>
      <c r="Z540">
        <f>IF(Y540="","",IF(COUNTIFS(Log!$D$6:$D$1505,D540,Log!$Y$6:$Y$1505,"&gt;"&amp;Y540)=0,1,0))</f>
        <v/>
      </c>
      <c r="AA540">
        <f>IF(OR(B540="",D540=""),"",B540+ROW()/10000000)</f>
        <v/>
      </c>
      <c r="AB540">
        <f>IF(AA540="","",IF(COUNTIFS(Log!$D$6:$D$1505,D540,Log!$AA$6:$AA$1505,"&gt;"&amp;AA540)=0,1,0))</f>
        <v/>
      </c>
      <c r="AC540">
        <f>IF(S540="New best",AA540,"")</f>
        <v/>
      </c>
      <c r="AD540">
        <f>ROW()</f>
        <v/>
      </c>
    </row>
    <row r="541">
      <c r="A541" s="1" t="n"/>
      <c r="B541" s="21" t="n"/>
      <c r="C541" s="22" t="n"/>
      <c r="D541" s="23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15">
        <f>IF(D541="","",COUNT(F541,H541,J541,L541,N541))</f>
        <v/>
      </c>
      <c r="P541" s="25">
        <f>IF(D541="","",N(E541)*N(F541)+N(G541)*N(H541)+N(I541)*N(J541)+N(K541)*N(L541)+N(M541)*N(N541))</f>
        <v/>
      </c>
      <c r="Q541" s="18">
        <f>IF(N(X541)=0,"",IF(IF(N(F541)=0,0,IF(N(E541)&gt;0,E541*(1+F541/30),F541))=X541,IF(N(E541)&gt;0,E541&amp;" x "&amp;F541,F541&amp;" reps"),IF(IF(N(H541)=0,0,IF(N(G541)&gt;0,G541*(1+H541/30),H541))=X541,IF(N(G541)&gt;0,G541&amp;" x "&amp;H541,H541&amp;" reps"),IF(IF(N(J541)=0,0,IF(N(I541)&gt;0,I541*(1+J541/30),J541))=X541,IF(N(I541)&gt;0,I541&amp;" x "&amp;J541,J541&amp;" reps"),IF(IF(N(L541)=0,0,IF(N(K541)&gt;0,K541*(1+L541/30),L541))=X541,IF(N(K541)&gt;0,K541&amp;" x "&amp;L541,L541&amp;" reps"),IF(IF(N(N541)=0,0,IF(N(M541)&gt;0,M541*(1+N541/30),N541))=X541,IF(N(M541)&gt;0,M541&amp;" x "&amp;N541,N541&amp;" reps"),""))))))</f>
        <v/>
      </c>
      <c r="R541" s="20">
        <f>IF(N(X541)=0,"",ROUND(X541,1))</f>
        <v/>
      </c>
      <c r="S541" s="18">
        <f>IF(N(X541)=0,"",IF(AND(COUNTIFS(Log!$D$6:$D$1505,D541,Log!$B$6:$B$1505,"&lt;"&amp;B541)&gt;0,COUNTIFS(Log!$D$6:$D$1505,D541,Log!$B$6:$B$1505,"&lt;"&amp;B541,Log!$X$6:$X$1505,"&gt;="&amp;X541)=0),"New best",""))</f>
        <v/>
      </c>
      <c r="T541" s="26" t="n"/>
      <c r="U541" s="1">
        <f>IF(D541="","",IFERROR(INDEX(Exercises!$C$6:$C$105,MATCH(D541,Exercises!$B$6:$B$105,0)),"Other"))</f>
        <v/>
      </c>
      <c r="V541">
        <f>IF(B541="","",IF(COUNTIF($B$6:B541,B541)=1,1,0))</f>
        <v/>
      </c>
      <c r="W541">
        <f>IF(B541="","",B541-WEEKDAY(B541,3))</f>
        <v/>
      </c>
      <c r="X541">
        <f>IF(D541="","",MAX(IF(N(F541)=0,0,IF(N(E541)&gt;0,E541*(1+F541/30),F541)),IF(N(H541)=0,0,IF(N(G541)&gt;0,G541*(1+H541/30),H541)),IF(N(J541)=0,0,IF(N(I541)&gt;0,I541*(1+J541/30),J541)),IF(N(L541)=0,0,IF(N(K541)&gt;0,K541*(1+L541/30),L541)),IF(N(N541)=0,0,IF(N(M541)&gt;0,M541*(1+N541/30),N541))))</f>
        <v/>
      </c>
      <c r="Y541">
        <f>IF(N(X541)=0,"",X541+ROW()/1000000000)</f>
        <v/>
      </c>
      <c r="Z541">
        <f>IF(Y541="","",IF(COUNTIFS(Log!$D$6:$D$1505,D541,Log!$Y$6:$Y$1505,"&gt;"&amp;Y541)=0,1,0))</f>
        <v/>
      </c>
      <c r="AA541">
        <f>IF(OR(B541="",D541=""),"",B541+ROW()/10000000)</f>
        <v/>
      </c>
      <c r="AB541">
        <f>IF(AA541="","",IF(COUNTIFS(Log!$D$6:$D$1505,D541,Log!$AA$6:$AA$1505,"&gt;"&amp;AA541)=0,1,0))</f>
        <v/>
      </c>
      <c r="AC541">
        <f>IF(S541="New best",AA541,"")</f>
        <v/>
      </c>
      <c r="AD541">
        <f>ROW()</f>
        <v/>
      </c>
    </row>
    <row r="542">
      <c r="A542" s="1" t="n"/>
      <c r="B542" s="21" t="n"/>
      <c r="C542" s="22" t="n"/>
      <c r="D542" s="23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15">
        <f>IF(D542="","",COUNT(F542,H542,J542,L542,N542))</f>
        <v/>
      </c>
      <c r="P542" s="25">
        <f>IF(D542="","",N(E542)*N(F542)+N(G542)*N(H542)+N(I542)*N(J542)+N(K542)*N(L542)+N(M542)*N(N542))</f>
        <v/>
      </c>
      <c r="Q542" s="18">
        <f>IF(N(X542)=0,"",IF(IF(N(F542)=0,0,IF(N(E542)&gt;0,E542*(1+F542/30),F542))=X542,IF(N(E542)&gt;0,E542&amp;" x "&amp;F542,F542&amp;" reps"),IF(IF(N(H542)=0,0,IF(N(G542)&gt;0,G542*(1+H542/30),H542))=X542,IF(N(G542)&gt;0,G542&amp;" x "&amp;H542,H542&amp;" reps"),IF(IF(N(J542)=0,0,IF(N(I542)&gt;0,I542*(1+J542/30),J542))=X542,IF(N(I542)&gt;0,I542&amp;" x "&amp;J542,J542&amp;" reps"),IF(IF(N(L542)=0,0,IF(N(K542)&gt;0,K542*(1+L542/30),L542))=X542,IF(N(K542)&gt;0,K542&amp;" x "&amp;L542,L542&amp;" reps"),IF(IF(N(N542)=0,0,IF(N(M542)&gt;0,M542*(1+N542/30),N542))=X542,IF(N(M542)&gt;0,M542&amp;" x "&amp;N542,N542&amp;" reps"),""))))))</f>
        <v/>
      </c>
      <c r="R542" s="20">
        <f>IF(N(X542)=0,"",ROUND(X542,1))</f>
        <v/>
      </c>
      <c r="S542" s="18">
        <f>IF(N(X542)=0,"",IF(AND(COUNTIFS(Log!$D$6:$D$1505,D542,Log!$B$6:$B$1505,"&lt;"&amp;B542)&gt;0,COUNTIFS(Log!$D$6:$D$1505,D542,Log!$B$6:$B$1505,"&lt;"&amp;B542,Log!$X$6:$X$1505,"&gt;="&amp;X542)=0),"New best",""))</f>
        <v/>
      </c>
      <c r="T542" s="26" t="n"/>
      <c r="U542" s="1">
        <f>IF(D542="","",IFERROR(INDEX(Exercises!$C$6:$C$105,MATCH(D542,Exercises!$B$6:$B$105,0)),"Other"))</f>
        <v/>
      </c>
      <c r="V542">
        <f>IF(B542="","",IF(COUNTIF($B$6:B542,B542)=1,1,0))</f>
        <v/>
      </c>
      <c r="W542">
        <f>IF(B542="","",B542-WEEKDAY(B542,3))</f>
        <v/>
      </c>
      <c r="X542">
        <f>IF(D542="","",MAX(IF(N(F542)=0,0,IF(N(E542)&gt;0,E542*(1+F542/30),F542)),IF(N(H542)=0,0,IF(N(G542)&gt;0,G542*(1+H542/30),H542)),IF(N(J542)=0,0,IF(N(I542)&gt;0,I542*(1+J542/30),J542)),IF(N(L542)=0,0,IF(N(K542)&gt;0,K542*(1+L542/30),L542)),IF(N(N542)=0,0,IF(N(M542)&gt;0,M542*(1+N542/30),N542))))</f>
        <v/>
      </c>
      <c r="Y542">
        <f>IF(N(X542)=0,"",X542+ROW()/1000000000)</f>
        <v/>
      </c>
      <c r="Z542">
        <f>IF(Y542="","",IF(COUNTIFS(Log!$D$6:$D$1505,D542,Log!$Y$6:$Y$1505,"&gt;"&amp;Y542)=0,1,0))</f>
        <v/>
      </c>
      <c r="AA542">
        <f>IF(OR(B542="",D542=""),"",B542+ROW()/10000000)</f>
        <v/>
      </c>
      <c r="AB542">
        <f>IF(AA542="","",IF(COUNTIFS(Log!$D$6:$D$1505,D542,Log!$AA$6:$AA$1505,"&gt;"&amp;AA542)=0,1,0))</f>
        <v/>
      </c>
      <c r="AC542">
        <f>IF(S542="New best",AA542,"")</f>
        <v/>
      </c>
      <c r="AD542">
        <f>ROW()</f>
        <v/>
      </c>
    </row>
    <row r="543">
      <c r="A543" s="1" t="n"/>
      <c r="B543" s="21" t="n"/>
      <c r="C543" s="22" t="n"/>
      <c r="D543" s="23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15">
        <f>IF(D543="","",COUNT(F543,H543,J543,L543,N543))</f>
        <v/>
      </c>
      <c r="P543" s="25">
        <f>IF(D543="","",N(E543)*N(F543)+N(G543)*N(H543)+N(I543)*N(J543)+N(K543)*N(L543)+N(M543)*N(N543))</f>
        <v/>
      </c>
      <c r="Q543" s="18">
        <f>IF(N(X543)=0,"",IF(IF(N(F543)=0,0,IF(N(E543)&gt;0,E543*(1+F543/30),F543))=X543,IF(N(E543)&gt;0,E543&amp;" x "&amp;F543,F543&amp;" reps"),IF(IF(N(H543)=0,0,IF(N(G543)&gt;0,G543*(1+H543/30),H543))=X543,IF(N(G543)&gt;0,G543&amp;" x "&amp;H543,H543&amp;" reps"),IF(IF(N(J543)=0,0,IF(N(I543)&gt;0,I543*(1+J543/30),J543))=X543,IF(N(I543)&gt;0,I543&amp;" x "&amp;J543,J543&amp;" reps"),IF(IF(N(L543)=0,0,IF(N(K543)&gt;0,K543*(1+L543/30),L543))=X543,IF(N(K543)&gt;0,K543&amp;" x "&amp;L543,L543&amp;" reps"),IF(IF(N(N543)=0,0,IF(N(M543)&gt;0,M543*(1+N543/30),N543))=X543,IF(N(M543)&gt;0,M543&amp;" x "&amp;N543,N543&amp;" reps"),""))))))</f>
        <v/>
      </c>
      <c r="R543" s="20">
        <f>IF(N(X543)=0,"",ROUND(X543,1))</f>
        <v/>
      </c>
      <c r="S543" s="18">
        <f>IF(N(X543)=0,"",IF(AND(COUNTIFS(Log!$D$6:$D$1505,D543,Log!$B$6:$B$1505,"&lt;"&amp;B543)&gt;0,COUNTIFS(Log!$D$6:$D$1505,D543,Log!$B$6:$B$1505,"&lt;"&amp;B543,Log!$X$6:$X$1505,"&gt;="&amp;X543)=0),"New best",""))</f>
        <v/>
      </c>
      <c r="T543" s="26" t="n"/>
      <c r="U543" s="1">
        <f>IF(D543="","",IFERROR(INDEX(Exercises!$C$6:$C$105,MATCH(D543,Exercises!$B$6:$B$105,0)),"Other"))</f>
        <v/>
      </c>
      <c r="V543">
        <f>IF(B543="","",IF(COUNTIF($B$6:B543,B543)=1,1,0))</f>
        <v/>
      </c>
      <c r="W543">
        <f>IF(B543="","",B543-WEEKDAY(B543,3))</f>
        <v/>
      </c>
      <c r="X543">
        <f>IF(D543="","",MAX(IF(N(F543)=0,0,IF(N(E543)&gt;0,E543*(1+F543/30),F543)),IF(N(H543)=0,0,IF(N(G543)&gt;0,G543*(1+H543/30),H543)),IF(N(J543)=0,0,IF(N(I543)&gt;0,I543*(1+J543/30),J543)),IF(N(L543)=0,0,IF(N(K543)&gt;0,K543*(1+L543/30),L543)),IF(N(N543)=0,0,IF(N(M543)&gt;0,M543*(1+N543/30),N543))))</f>
        <v/>
      </c>
      <c r="Y543">
        <f>IF(N(X543)=0,"",X543+ROW()/1000000000)</f>
        <v/>
      </c>
      <c r="Z543">
        <f>IF(Y543="","",IF(COUNTIFS(Log!$D$6:$D$1505,D543,Log!$Y$6:$Y$1505,"&gt;"&amp;Y543)=0,1,0))</f>
        <v/>
      </c>
      <c r="AA543">
        <f>IF(OR(B543="",D543=""),"",B543+ROW()/10000000)</f>
        <v/>
      </c>
      <c r="AB543">
        <f>IF(AA543="","",IF(COUNTIFS(Log!$D$6:$D$1505,D543,Log!$AA$6:$AA$1505,"&gt;"&amp;AA543)=0,1,0))</f>
        <v/>
      </c>
      <c r="AC543">
        <f>IF(S543="New best",AA543,"")</f>
        <v/>
      </c>
      <c r="AD543">
        <f>ROW()</f>
        <v/>
      </c>
    </row>
    <row r="544">
      <c r="A544" s="1" t="n"/>
      <c r="B544" s="21" t="n"/>
      <c r="C544" s="22" t="n"/>
      <c r="D544" s="23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15">
        <f>IF(D544="","",COUNT(F544,H544,J544,L544,N544))</f>
        <v/>
      </c>
      <c r="P544" s="25">
        <f>IF(D544="","",N(E544)*N(F544)+N(G544)*N(H544)+N(I544)*N(J544)+N(K544)*N(L544)+N(M544)*N(N544))</f>
        <v/>
      </c>
      <c r="Q544" s="18">
        <f>IF(N(X544)=0,"",IF(IF(N(F544)=0,0,IF(N(E544)&gt;0,E544*(1+F544/30),F544))=X544,IF(N(E544)&gt;0,E544&amp;" x "&amp;F544,F544&amp;" reps"),IF(IF(N(H544)=0,0,IF(N(G544)&gt;0,G544*(1+H544/30),H544))=X544,IF(N(G544)&gt;0,G544&amp;" x "&amp;H544,H544&amp;" reps"),IF(IF(N(J544)=0,0,IF(N(I544)&gt;0,I544*(1+J544/30),J544))=X544,IF(N(I544)&gt;0,I544&amp;" x "&amp;J544,J544&amp;" reps"),IF(IF(N(L544)=0,0,IF(N(K544)&gt;0,K544*(1+L544/30),L544))=X544,IF(N(K544)&gt;0,K544&amp;" x "&amp;L544,L544&amp;" reps"),IF(IF(N(N544)=0,0,IF(N(M544)&gt;0,M544*(1+N544/30),N544))=X544,IF(N(M544)&gt;0,M544&amp;" x "&amp;N544,N544&amp;" reps"),""))))))</f>
        <v/>
      </c>
      <c r="R544" s="20">
        <f>IF(N(X544)=0,"",ROUND(X544,1))</f>
        <v/>
      </c>
      <c r="S544" s="18">
        <f>IF(N(X544)=0,"",IF(AND(COUNTIFS(Log!$D$6:$D$1505,D544,Log!$B$6:$B$1505,"&lt;"&amp;B544)&gt;0,COUNTIFS(Log!$D$6:$D$1505,D544,Log!$B$6:$B$1505,"&lt;"&amp;B544,Log!$X$6:$X$1505,"&gt;="&amp;X544)=0),"New best",""))</f>
        <v/>
      </c>
      <c r="T544" s="26" t="n"/>
      <c r="U544" s="1">
        <f>IF(D544="","",IFERROR(INDEX(Exercises!$C$6:$C$105,MATCH(D544,Exercises!$B$6:$B$105,0)),"Other"))</f>
        <v/>
      </c>
      <c r="V544">
        <f>IF(B544="","",IF(COUNTIF($B$6:B544,B544)=1,1,0))</f>
        <v/>
      </c>
      <c r="W544">
        <f>IF(B544="","",B544-WEEKDAY(B544,3))</f>
        <v/>
      </c>
      <c r="X544">
        <f>IF(D544="","",MAX(IF(N(F544)=0,0,IF(N(E544)&gt;0,E544*(1+F544/30),F544)),IF(N(H544)=0,0,IF(N(G544)&gt;0,G544*(1+H544/30),H544)),IF(N(J544)=0,0,IF(N(I544)&gt;0,I544*(1+J544/30),J544)),IF(N(L544)=0,0,IF(N(K544)&gt;0,K544*(1+L544/30),L544)),IF(N(N544)=0,0,IF(N(M544)&gt;0,M544*(1+N544/30),N544))))</f>
        <v/>
      </c>
      <c r="Y544">
        <f>IF(N(X544)=0,"",X544+ROW()/1000000000)</f>
        <v/>
      </c>
      <c r="Z544">
        <f>IF(Y544="","",IF(COUNTIFS(Log!$D$6:$D$1505,D544,Log!$Y$6:$Y$1505,"&gt;"&amp;Y544)=0,1,0))</f>
        <v/>
      </c>
      <c r="AA544">
        <f>IF(OR(B544="",D544=""),"",B544+ROW()/10000000)</f>
        <v/>
      </c>
      <c r="AB544">
        <f>IF(AA544="","",IF(COUNTIFS(Log!$D$6:$D$1505,D544,Log!$AA$6:$AA$1505,"&gt;"&amp;AA544)=0,1,0))</f>
        <v/>
      </c>
      <c r="AC544">
        <f>IF(S544="New best",AA544,"")</f>
        <v/>
      </c>
      <c r="AD544">
        <f>ROW()</f>
        <v/>
      </c>
    </row>
    <row r="545">
      <c r="A545" s="1" t="n"/>
      <c r="B545" s="21" t="n"/>
      <c r="C545" s="22" t="n"/>
      <c r="D545" s="23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15">
        <f>IF(D545="","",COUNT(F545,H545,J545,L545,N545))</f>
        <v/>
      </c>
      <c r="P545" s="25">
        <f>IF(D545="","",N(E545)*N(F545)+N(G545)*N(H545)+N(I545)*N(J545)+N(K545)*N(L545)+N(M545)*N(N545))</f>
        <v/>
      </c>
      <c r="Q545" s="18">
        <f>IF(N(X545)=0,"",IF(IF(N(F545)=0,0,IF(N(E545)&gt;0,E545*(1+F545/30),F545))=X545,IF(N(E545)&gt;0,E545&amp;" x "&amp;F545,F545&amp;" reps"),IF(IF(N(H545)=0,0,IF(N(G545)&gt;0,G545*(1+H545/30),H545))=X545,IF(N(G545)&gt;0,G545&amp;" x "&amp;H545,H545&amp;" reps"),IF(IF(N(J545)=0,0,IF(N(I545)&gt;0,I545*(1+J545/30),J545))=X545,IF(N(I545)&gt;0,I545&amp;" x "&amp;J545,J545&amp;" reps"),IF(IF(N(L545)=0,0,IF(N(K545)&gt;0,K545*(1+L545/30),L545))=X545,IF(N(K545)&gt;0,K545&amp;" x "&amp;L545,L545&amp;" reps"),IF(IF(N(N545)=0,0,IF(N(M545)&gt;0,M545*(1+N545/30),N545))=X545,IF(N(M545)&gt;0,M545&amp;" x "&amp;N545,N545&amp;" reps"),""))))))</f>
        <v/>
      </c>
      <c r="R545" s="20">
        <f>IF(N(X545)=0,"",ROUND(X545,1))</f>
        <v/>
      </c>
      <c r="S545" s="18">
        <f>IF(N(X545)=0,"",IF(AND(COUNTIFS(Log!$D$6:$D$1505,D545,Log!$B$6:$B$1505,"&lt;"&amp;B545)&gt;0,COUNTIFS(Log!$D$6:$D$1505,D545,Log!$B$6:$B$1505,"&lt;"&amp;B545,Log!$X$6:$X$1505,"&gt;="&amp;X545)=0),"New best",""))</f>
        <v/>
      </c>
      <c r="T545" s="26" t="n"/>
      <c r="U545" s="1">
        <f>IF(D545="","",IFERROR(INDEX(Exercises!$C$6:$C$105,MATCH(D545,Exercises!$B$6:$B$105,0)),"Other"))</f>
        <v/>
      </c>
      <c r="V545">
        <f>IF(B545="","",IF(COUNTIF($B$6:B545,B545)=1,1,0))</f>
        <v/>
      </c>
      <c r="W545">
        <f>IF(B545="","",B545-WEEKDAY(B545,3))</f>
        <v/>
      </c>
      <c r="X545">
        <f>IF(D545="","",MAX(IF(N(F545)=0,0,IF(N(E545)&gt;0,E545*(1+F545/30),F545)),IF(N(H545)=0,0,IF(N(G545)&gt;0,G545*(1+H545/30),H545)),IF(N(J545)=0,0,IF(N(I545)&gt;0,I545*(1+J545/30),J545)),IF(N(L545)=0,0,IF(N(K545)&gt;0,K545*(1+L545/30),L545)),IF(N(N545)=0,0,IF(N(M545)&gt;0,M545*(1+N545/30),N545))))</f>
        <v/>
      </c>
      <c r="Y545">
        <f>IF(N(X545)=0,"",X545+ROW()/1000000000)</f>
        <v/>
      </c>
      <c r="Z545">
        <f>IF(Y545="","",IF(COUNTIFS(Log!$D$6:$D$1505,D545,Log!$Y$6:$Y$1505,"&gt;"&amp;Y545)=0,1,0))</f>
        <v/>
      </c>
      <c r="AA545">
        <f>IF(OR(B545="",D545=""),"",B545+ROW()/10000000)</f>
        <v/>
      </c>
      <c r="AB545">
        <f>IF(AA545="","",IF(COUNTIFS(Log!$D$6:$D$1505,D545,Log!$AA$6:$AA$1505,"&gt;"&amp;AA545)=0,1,0))</f>
        <v/>
      </c>
      <c r="AC545">
        <f>IF(S545="New best",AA545,"")</f>
        <v/>
      </c>
      <c r="AD545">
        <f>ROW()</f>
        <v/>
      </c>
    </row>
    <row r="546">
      <c r="A546" s="1" t="n"/>
      <c r="B546" s="21" t="n"/>
      <c r="C546" s="22" t="n"/>
      <c r="D546" s="23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15">
        <f>IF(D546="","",COUNT(F546,H546,J546,L546,N546))</f>
        <v/>
      </c>
      <c r="P546" s="25">
        <f>IF(D546="","",N(E546)*N(F546)+N(G546)*N(H546)+N(I546)*N(J546)+N(K546)*N(L546)+N(M546)*N(N546))</f>
        <v/>
      </c>
      <c r="Q546" s="18">
        <f>IF(N(X546)=0,"",IF(IF(N(F546)=0,0,IF(N(E546)&gt;0,E546*(1+F546/30),F546))=X546,IF(N(E546)&gt;0,E546&amp;" x "&amp;F546,F546&amp;" reps"),IF(IF(N(H546)=0,0,IF(N(G546)&gt;0,G546*(1+H546/30),H546))=X546,IF(N(G546)&gt;0,G546&amp;" x "&amp;H546,H546&amp;" reps"),IF(IF(N(J546)=0,0,IF(N(I546)&gt;0,I546*(1+J546/30),J546))=X546,IF(N(I546)&gt;0,I546&amp;" x "&amp;J546,J546&amp;" reps"),IF(IF(N(L546)=0,0,IF(N(K546)&gt;0,K546*(1+L546/30),L546))=X546,IF(N(K546)&gt;0,K546&amp;" x "&amp;L546,L546&amp;" reps"),IF(IF(N(N546)=0,0,IF(N(M546)&gt;0,M546*(1+N546/30),N546))=X546,IF(N(M546)&gt;0,M546&amp;" x "&amp;N546,N546&amp;" reps"),""))))))</f>
        <v/>
      </c>
      <c r="R546" s="20">
        <f>IF(N(X546)=0,"",ROUND(X546,1))</f>
        <v/>
      </c>
      <c r="S546" s="18">
        <f>IF(N(X546)=0,"",IF(AND(COUNTIFS(Log!$D$6:$D$1505,D546,Log!$B$6:$B$1505,"&lt;"&amp;B546)&gt;0,COUNTIFS(Log!$D$6:$D$1505,D546,Log!$B$6:$B$1505,"&lt;"&amp;B546,Log!$X$6:$X$1505,"&gt;="&amp;X546)=0),"New best",""))</f>
        <v/>
      </c>
      <c r="T546" s="26" t="n"/>
      <c r="U546" s="1">
        <f>IF(D546="","",IFERROR(INDEX(Exercises!$C$6:$C$105,MATCH(D546,Exercises!$B$6:$B$105,0)),"Other"))</f>
        <v/>
      </c>
      <c r="V546">
        <f>IF(B546="","",IF(COUNTIF($B$6:B546,B546)=1,1,0))</f>
        <v/>
      </c>
      <c r="W546">
        <f>IF(B546="","",B546-WEEKDAY(B546,3))</f>
        <v/>
      </c>
      <c r="X546">
        <f>IF(D546="","",MAX(IF(N(F546)=0,0,IF(N(E546)&gt;0,E546*(1+F546/30),F546)),IF(N(H546)=0,0,IF(N(G546)&gt;0,G546*(1+H546/30),H546)),IF(N(J546)=0,0,IF(N(I546)&gt;0,I546*(1+J546/30),J546)),IF(N(L546)=0,0,IF(N(K546)&gt;0,K546*(1+L546/30),L546)),IF(N(N546)=0,0,IF(N(M546)&gt;0,M546*(1+N546/30),N546))))</f>
        <v/>
      </c>
      <c r="Y546">
        <f>IF(N(X546)=0,"",X546+ROW()/1000000000)</f>
        <v/>
      </c>
      <c r="Z546">
        <f>IF(Y546="","",IF(COUNTIFS(Log!$D$6:$D$1505,D546,Log!$Y$6:$Y$1505,"&gt;"&amp;Y546)=0,1,0))</f>
        <v/>
      </c>
      <c r="AA546">
        <f>IF(OR(B546="",D546=""),"",B546+ROW()/10000000)</f>
        <v/>
      </c>
      <c r="AB546">
        <f>IF(AA546="","",IF(COUNTIFS(Log!$D$6:$D$1505,D546,Log!$AA$6:$AA$1505,"&gt;"&amp;AA546)=0,1,0))</f>
        <v/>
      </c>
      <c r="AC546">
        <f>IF(S546="New best",AA546,"")</f>
        <v/>
      </c>
      <c r="AD546">
        <f>ROW()</f>
        <v/>
      </c>
    </row>
    <row r="547">
      <c r="A547" s="1" t="n"/>
      <c r="B547" s="21" t="n"/>
      <c r="C547" s="22" t="n"/>
      <c r="D547" s="23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15">
        <f>IF(D547="","",COUNT(F547,H547,J547,L547,N547))</f>
        <v/>
      </c>
      <c r="P547" s="25">
        <f>IF(D547="","",N(E547)*N(F547)+N(G547)*N(H547)+N(I547)*N(J547)+N(K547)*N(L547)+N(M547)*N(N547))</f>
        <v/>
      </c>
      <c r="Q547" s="18">
        <f>IF(N(X547)=0,"",IF(IF(N(F547)=0,0,IF(N(E547)&gt;0,E547*(1+F547/30),F547))=X547,IF(N(E547)&gt;0,E547&amp;" x "&amp;F547,F547&amp;" reps"),IF(IF(N(H547)=0,0,IF(N(G547)&gt;0,G547*(1+H547/30),H547))=X547,IF(N(G547)&gt;0,G547&amp;" x "&amp;H547,H547&amp;" reps"),IF(IF(N(J547)=0,0,IF(N(I547)&gt;0,I547*(1+J547/30),J547))=X547,IF(N(I547)&gt;0,I547&amp;" x "&amp;J547,J547&amp;" reps"),IF(IF(N(L547)=0,0,IF(N(K547)&gt;0,K547*(1+L547/30),L547))=X547,IF(N(K547)&gt;0,K547&amp;" x "&amp;L547,L547&amp;" reps"),IF(IF(N(N547)=0,0,IF(N(M547)&gt;0,M547*(1+N547/30),N547))=X547,IF(N(M547)&gt;0,M547&amp;" x "&amp;N547,N547&amp;" reps"),""))))))</f>
        <v/>
      </c>
      <c r="R547" s="20">
        <f>IF(N(X547)=0,"",ROUND(X547,1))</f>
        <v/>
      </c>
      <c r="S547" s="18">
        <f>IF(N(X547)=0,"",IF(AND(COUNTIFS(Log!$D$6:$D$1505,D547,Log!$B$6:$B$1505,"&lt;"&amp;B547)&gt;0,COUNTIFS(Log!$D$6:$D$1505,D547,Log!$B$6:$B$1505,"&lt;"&amp;B547,Log!$X$6:$X$1505,"&gt;="&amp;X547)=0),"New best",""))</f>
        <v/>
      </c>
      <c r="T547" s="26" t="n"/>
      <c r="U547" s="1">
        <f>IF(D547="","",IFERROR(INDEX(Exercises!$C$6:$C$105,MATCH(D547,Exercises!$B$6:$B$105,0)),"Other"))</f>
        <v/>
      </c>
      <c r="V547">
        <f>IF(B547="","",IF(COUNTIF($B$6:B547,B547)=1,1,0))</f>
        <v/>
      </c>
      <c r="W547">
        <f>IF(B547="","",B547-WEEKDAY(B547,3))</f>
        <v/>
      </c>
      <c r="X547">
        <f>IF(D547="","",MAX(IF(N(F547)=0,0,IF(N(E547)&gt;0,E547*(1+F547/30),F547)),IF(N(H547)=0,0,IF(N(G547)&gt;0,G547*(1+H547/30),H547)),IF(N(J547)=0,0,IF(N(I547)&gt;0,I547*(1+J547/30),J547)),IF(N(L547)=0,0,IF(N(K547)&gt;0,K547*(1+L547/30),L547)),IF(N(N547)=0,0,IF(N(M547)&gt;0,M547*(1+N547/30),N547))))</f>
        <v/>
      </c>
      <c r="Y547">
        <f>IF(N(X547)=0,"",X547+ROW()/1000000000)</f>
        <v/>
      </c>
      <c r="Z547">
        <f>IF(Y547="","",IF(COUNTIFS(Log!$D$6:$D$1505,D547,Log!$Y$6:$Y$1505,"&gt;"&amp;Y547)=0,1,0))</f>
        <v/>
      </c>
      <c r="AA547">
        <f>IF(OR(B547="",D547=""),"",B547+ROW()/10000000)</f>
        <v/>
      </c>
      <c r="AB547">
        <f>IF(AA547="","",IF(COUNTIFS(Log!$D$6:$D$1505,D547,Log!$AA$6:$AA$1505,"&gt;"&amp;AA547)=0,1,0))</f>
        <v/>
      </c>
      <c r="AC547">
        <f>IF(S547="New best",AA547,"")</f>
        <v/>
      </c>
      <c r="AD547">
        <f>ROW()</f>
        <v/>
      </c>
    </row>
    <row r="548">
      <c r="A548" s="1" t="n"/>
      <c r="B548" s="21" t="n"/>
      <c r="C548" s="22" t="n"/>
      <c r="D548" s="23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15">
        <f>IF(D548="","",COUNT(F548,H548,J548,L548,N548))</f>
        <v/>
      </c>
      <c r="P548" s="25">
        <f>IF(D548="","",N(E548)*N(F548)+N(G548)*N(H548)+N(I548)*N(J548)+N(K548)*N(L548)+N(M548)*N(N548))</f>
        <v/>
      </c>
      <c r="Q548" s="18">
        <f>IF(N(X548)=0,"",IF(IF(N(F548)=0,0,IF(N(E548)&gt;0,E548*(1+F548/30),F548))=X548,IF(N(E548)&gt;0,E548&amp;" x "&amp;F548,F548&amp;" reps"),IF(IF(N(H548)=0,0,IF(N(G548)&gt;0,G548*(1+H548/30),H548))=X548,IF(N(G548)&gt;0,G548&amp;" x "&amp;H548,H548&amp;" reps"),IF(IF(N(J548)=0,0,IF(N(I548)&gt;0,I548*(1+J548/30),J548))=X548,IF(N(I548)&gt;0,I548&amp;" x "&amp;J548,J548&amp;" reps"),IF(IF(N(L548)=0,0,IF(N(K548)&gt;0,K548*(1+L548/30),L548))=X548,IF(N(K548)&gt;0,K548&amp;" x "&amp;L548,L548&amp;" reps"),IF(IF(N(N548)=0,0,IF(N(M548)&gt;0,M548*(1+N548/30),N548))=X548,IF(N(M548)&gt;0,M548&amp;" x "&amp;N548,N548&amp;" reps"),""))))))</f>
        <v/>
      </c>
      <c r="R548" s="20">
        <f>IF(N(X548)=0,"",ROUND(X548,1))</f>
        <v/>
      </c>
      <c r="S548" s="18">
        <f>IF(N(X548)=0,"",IF(AND(COUNTIFS(Log!$D$6:$D$1505,D548,Log!$B$6:$B$1505,"&lt;"&amp;B548)&gt;0,COUNTIFS(Log!$D$6:$D$1505,D548,Log!$B$6:$B$1505,"&lt;"&amp;B548,Log!$X$6:$X$1505,"&gt;="&amp;X548)=0),"New best",""))</f>
        <v/>
      </c>
      <c r="T548" s="26" t="n"/>
      <c r="U548" s="1">
        <f>IF(D548="","",IFERROR(INDEX(Exercises!$C$6:$C$105,MATCH(D548,Exercises!$B$6:$B$105,0)),"Other"))</f>
        <v/>
      </c>
      <c r="V548">
        <f>IF(B548="","",IF(COUNTIF($B$6:B548,B548)=1,1,0))</f>
        <v/>
      </c>
      <c r="W548">
        <f>IF(B548="","",B548-WEEKDAY(B548,3))</f>
        <v/>
      </c>
      <c r="X548">
        <f>IF(D548="","",MAX(IF(N(F548)=0,0,IF(N(E548)&gt;0,E548*(1+F548/30),F548)),IF(N(H548)=0,0,IF(N(G548)&gt;0,G548*(1+H548/30),H548)),IF(N(J548)=0,0,IF(N(I548)&gt;0,I548*(1+J548/30),J548)),IF(N(L548)=0,0,IF(N(K548)&gt;0,K548*(1+L548/30),L548)),IF(N(N548)=0,0,IF(N(M548)&gt;0,M548*(1+N548/30),N548))))</f>
        <v/>
      </c>
      <c r="Y548">
        <f>IF(N(X548)=0,"",X548+ROW()/1000000000)</f>
        <v/>
      </c>
      <c r="Z548">
        <f>IF(Y548="","",IF(COUNTIFS(Log!$D$6:$D$1505,D548,Log!$Y$6:$Y$1505,"&gt;"&amp;Y548)=0,1,0))</f>
        <v/>
      </c>
      <c r="AA548">
        <f>IF(OR(B548="",D548=""),"",B548+ROW()/10000000)</f>
        <v/>
      </c>
      <c r="AB548">
        <f>IF(AA548="","",IF(COUNTIFS(Log!$D$6:$D$1505,D548,Log!$AA$6:$AA$1505,"&gt;"&amp;AA548)=0,1,0))</f>
        <v/>
      </c>
      <c r="AC548">
        <f>IF(S548="New best",AA548,"")</f>
        <v/>
      </c>
      <c r="AD548">
        <f>ROW()</f>
        <v/>
      </c>
    </row>
    <row r="549">
      <c r="A549" s="1" t="n"/>
      <c r="B549" s="21" t="n"/>
      <c r="C549" s="22" t="n"/>
      <c r="D549" s="23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15">
        <f>IF(D549="","",COUNT(F549,H549,J549,L549,N549))</f>
        <v/>
      </c>
      <c r="P549" s="25">
        <f>IF(D549="","",N(E549)*N(F549)+N(G549)*N(H549)+N(I549)*N(J549)+N(K549)*N(L549)+N(M549)*N(N549))</f>
        <v/>
      </c>
      <c r="Q549" s="18">
        <f>IF(N(X549)=0,"",IF(IF(N(F549)=0,0,IF(N(E549)&gt;0,E549*(1+F549/30),F549))=X549,IF(N(E549)&gt;0,E549&amp;" x "&amp;F549,F549&amp;" reps"),IF(IF(N(H549)=0,0,IF(N(G549)&gt;0,G549*(1+H549/30),H549))=X549,IF(N(G549)&gt;0,G549&amp;" x "&amp;H549,H549&amp;" reps"),IF(IF(N(J549)=0,0,IF(N(I549)&gt;0,I549*(1+J549/30),J549))=X549,IF(N(I549)&gt;0,I549&amp;" x "&amp;J549,J549&amp;" reps"),IF(IF(N(L549)=0,0,IF(N(K549)&gt;0,K549*(1+L549/30),L549))=X549,IF(N(K549)&gt;0,K549&amp;" x "&amp;L549,L549&amp;" reps"),IF(IF(N(N549)=0,0,IF(N(M549)&gt;0,M549*(1+N549/30),N549))=X549,IF(N(M549)&gt;0,M549&amp;" x "&amp;N549,N549&amp;" reps"),""))))))</f>
        <v/>
      </c>
      <c r="R549" s="20">
        <f>IF(N(X549)=0,"",ROUND(X549,1))</f>
        <v/>
      </c>
      <c r="S549" s="18">
        <f>IF(N(X549)=0,"",IF(AND(COUNTIFS(Log!$D$6:$D$1505,D549,Log!$B$6:$B$1505,"&lt;"&amp;B549)&gt;0,COUNTIFS(Log!$D$6:$D$1505,D549,Log!$B$6:$B$1505,"&lt;"&amp;B549,Log!$X$6:$X$1505,"&gt;="&amp;X549)=0),"New best",""))</f>
        <v/>
      </c>
      <c r="T549" s="26" t="n"/>
      <c r="U549" s="1">
        <f>IF(D549="","",IFERROR(INDEX(Exercises!$C$6:$C$105,MATCH(D549,Exercises!$B$6:$B$105,0)),"Other"))</f>
        <v/>
      </c>
      <c r="V549">
        <f>IF(B549="","",IF(COUNTIF($B$6:B549,B549)=1,1,0))</f>
        <v/>
      </c>
      <c r="W549">
        <f>IF(B549="","",B549-WEEKDAY(B549,3))</f>
        <v/>
      </c>
      <c r="X549">
        <f>IF(D549="","",MAX(IF(N(F549)=0,0,IF(N(E549)&gt;0,E549*(1+F549/30),F549)),IF(N(H549)=0,0,IF(N(G549)&gt;0,G549*(1+H549/30),H549)),IF(N(J549)=0,0,IF(N(I549)&gt;0,I549*(1+J549/30),J549)),IF(N(L549)=0,0,IF(N(K549)&gt;0,K549*(1+L549/30),L549)),IF(N(N549)=0,0,IF(N(M549)&gt;0,M549*(1+N549/30),N549))))</f>
        <v/>
      </c>
      <c r="Y549">
        <f>IF(N(X549)=0,"",X549+ROW()/1000000000)</f>
        <v/>
      </c>
      <c r="Z549">
        <f>IF(Y549="","",IF(COUNTIFS(Log!$D$6:$D$1505,D549,Log!$Y$6:$Y$1505,"&gt;"&amp;Y549)=0,1,0))</f>
        <v/>
      </c>
      <c r="AA549">
        <f>IF(OR(B549="",D549=""),"",B549+ROW()/10000000)</f>
        <v/>
      </c>
      <c r="AB549">
        <f>IF(AA549="","",IF(COUNTIFS(Log!$D$6:$D$1505,D549,Log!$AA$6:$AA$1505,"&gt;"&amp;AA549)=0,1,0))</f>
        <v/>
      </c>
      <c r="AC549">
        <f>IF(S549="New best",AA549,"")</f>
        <v/>
      </c>
      <c r="AD549">
        <f>ROW()</f>
        <v/>
      </c>
    </row>
    <row r="550">
      <c r="A550" s="1" t="n"/>
      <c r="B550" s="21" t="n"/>
      <c r="C550" s="22" t="n"/>
      <c r="D550" s="23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15">
        <f>IF(D550="","",COUNT(F550,H550,J550,L550,N550))</f>
        <v/>
      </c>
      <c r="P550" s="25">
        <f>IF(D550="","",N(E550)*N(F550)+N(G550)*N(H550)+N(I550)*N(J550)+N(K550)*N(L550)+N(M550)*N(N550))</f>
        <v/>
      </c>
      <c r="Q550" s="18">
        <f>IF(N(X550)=0,"",IF(IF(N(F550)=0,0,IF(N(E550)&gt;0,E550*(1+F550/30),F550))=X550,IF(N(E550)&gt;0,E550&amp;" x "&amp;F550,F550&amp;" reps"),IF(IF(N(H550)=0,0,IF(N(G550)&gt;0,G550*(1+H550/30),H550))=X550,IF(N(G550)&gt;0,G550&amp;" x "&amp;H550,H550&amp;" reps"),IF(IF(N(J550)=0,0,IF(N(I550)&gt;0,I550*(1+J550/30),J550))=X550,IF(N(I550)&gt;0,I550&amp;" x "&amp;J550,J550&amp;" reps"),IF(IF(N(L550)=0,0,IF(N(K550)&gt;0,K550*(1+L550/30),L550))=X550,IF(N(K550)&gt;0,K550&amp;" x "&amp;L550,L550&amp;" reps"),IF(IF(N(N550)=0,0,IF(N(M550)&gt;0,M550*(1+N550/30),N550))=X550,IF(N(M550)&gt;0,M550&amp;" x "&amp;N550,N550&amp;" reps"),""))))))</f>
        <v/>
      </c>
      <c r="R550" s="20">
        <f>IF(N(X550)=0,"",ROUND(X550,1))</f>
        <v/>
      </c>
      <c r="S550" s="18">
        <f>IF(N(X550)=0,"",IF(AND(COUNTIFS(Log!$D$6:$D$1505,D550,Log!$B$6:$B$1505,"&lt;"&amp;B550)&gt;0,COUNTIFS(Log!$D$6:$D$1505,D550,Log!$B$6:$B$1505,"&lt;"&amp;B550,Log!$X$6:$X$1505,"&gt;="&amp;X550)=0),"New best",""))</f>
        <v/>
      </c>
      <c r="T550" s="26" t="n"/>
      <c r="U550" s="1">
        <f>IF(D550="","",IFERROR(INDEX(Exercises!$C$6:$C$105,MATCH(D550,Exercises!$B$6:$B$105,0)),"Other"))</f>
        <v/>
      </c>
      <c r="V550">
        <f>IF(B550="","",IF(COUNTIF($B$6:B550,B550)=1,1,0))</f>
        <v/>
      </c>
      <c r="W550">
        <f>IF(B550="","",B550-WEEKDAY(B550,3))</f>
        <v/>
      </c>
      <c r="X550">
        <f>IF(D550="","",MAX(IF(N(F550)=0,0,IF(N(E550)&gt;0,E550*(1+F550/30),F550)),IF(N(H550)=0,0,IF(N(G550)&gt;0,G550*(1+H550/30),H550)),IF(N(J550)=0,0,IF(N(I550)&gt;0,I550*(1+J550/30),J550)),IF(N(L550)=0,0,IF(N(K550)&gt;0,K550*(1+L550/30),L550)),IF(N(N550)=0,0,IF(N(M550)&gt;0,M550*(1+N550/30),N550))))</f>
        <v/>
      </c>
      <c r="Y550">
        <f>IF(N(X550)=0,"",X550+ROW()/1000000000)</f>
        <v/>
      </c>
      <c r="Z550">
        <f>IF(Y550="","",IF(COUNTIFS(Log!$D$6:$D$1505,D550,Log!$Y$6:$Y$1505,"&gt;"&amp;Y550)=0,1,0))</f>
        <v/>
      </c>
      <c r="AA550">
        <f>IF(OR(B550="",D550=""),"",B550+ROW()/10000000)</f>
        <v/>
      </c>
      <c r="AB550">
        <f>IF(AA550="","",IF(COUNTIFS(Log!$D$6:$D$1505,D550,Log!$AA$6:$AA$1505,"&gt;"&amp;AA550)=0,1,0))</f>
        <v/>
      </c>
      <c r="AC550">
        <f>IF(S550="New best",AA550,"")</f>
        <v/>
      </c>
      <c r="AD550">
        <f>ROW()</f>
        <v/>
      </c>
    </row>
    <row r="551">
      <c r="A551" s="1" t="n"/>
      <c r="B551" s="21" t="n"/>
      <c r="C551" s="22" t="n"/>
      <c r="D551" s="23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15">
        <f>IF(D551="","",COUNT(F551,H551,J551,L551,N551))</f>
        <v/>
      </c>
      <c r="P551" s="25">
        <f>IF(D551="","",N(E551)*N(F551)+N(G551)*N(H551)+N(I551)*N(J551)+N(K551)*N(L551)+N(M551)*N(N551))</f>
        <v/>
      </c>
      <c r="Q551" s="18">
        <f>IF(N(X551)=0,"",IF(IF(N(F551)=0,0,IF(N(E551)&gt;0,E551*(1+F551/30),F551))=X551,IF(N(E551)&gt;0,E551&amp;" x "&amp;F551,F551&amp;" reps"),IF(IF(N(H551)=0,0,IF(N(G551)&gt;0,G551*(1+H551/30),H551))=X551,IF(N(G551)&gt;0,G551&amp;" x "&amp;H551,H551&amp;" reps"),IF(IF(N(J551)=0,0,IF(N(I551)&gt;0,I551*(1+J551/30),J551))=X551,IF(N(I551)&gt;0,I551&amp;" x "&amp;J551,J551&amp;" reps"),IF(IF(N(L551)=0,0,IF(N(K551)&gt;0,K551*(1+L551/30),L551))=X551,IF(N(K551)&gt;0,K551&amp;" x "&amp;L551,L551&amp;" reps"),IF(IF(N(N551)=0,0,IF(N(M551)&gt;0,M551*(1+N551/30),N551))=X551,IF(N(M551)&gt;0,M551&amp;" x "&amp;N551,N551&amp;" reps"),""))))))</f>
        <v/>
      </c>
      <c r="R551" s="20">
        <f>IF(N(X551)=0,"",ROUND(X551,1))</f>
        <v/>
      </c>
      <c r="S551" s="18">
        <f>IF(N(X551)=0,"",IF(AND(COUNTIFS(Log!$D$6:$D$1505,D551,Log!$B$6:$B$1505,"&lt;"&amp;B551)&gt;0,COUNTIFS(Log!$D$6:$D$1505,D551,Log!$B$6:$B$1505,"&lt;"&amp;B551,Log!$X$6:$X$1505,"&gt;="&amp;X551)=0),"New best",""))</f>
        <v/>
      </c>
      <c r="T551" s="26" t="n"/>
      <c r="U551" s="1">
        <f>IF(D551="","",IFERROR(INDEX(Exercises!$C$6:$C$105,MATCH(D551,Exercises!$B$6:$B$105,0)),"Other"))</f>
        <v/>
      </c>
      <c r="V551">
        <f>IF(B551="","",IF(COUNTIF($B$6:B551,B551)=1,1,0))</f>
        <v/>
      </c>
      <c r="W551">
        <f>IF(B551="","",B551-WEEKDAY(B551,3))</f>
        <v/>
      </c>
      <c r="X551">
        <f>IF(D551="","",MAX(IF(N(F551)=0,0,IF(N(E551)&gt;0,E551*(1+F551/30),F551)),IF(N(H551)=0,0,IF(N(G551)&gt;0,G551*(1+H551/30),H551)),IF(N(J551)=0,0,IF(N(I551)&gt;0,I551*(1+J551/30),J551)),IF(N(L551)=0,0,IF(N(K551)&gt;0,K551*(1+L551/30),L551)),IF(N(N551)=0,0,IF(N(M551)&gt;0,M551*(1+N551/30),N551))))</f>
        <v/>
      </c>
      <c r="Y551">
        <f>IF(N(X551)=0,"",X551+ROW()/1000000000)</f>
        <v/>
      </c>
      <c r="Z551">
        <f>IF(Y551="","",IF(COUNTIFS(Log!$D$6:$D$1505,D551,Log!$Y$6:$Y$1505,"&gt;"&amp;Y551)=0,1,0))</f>
        <v/>
      </c>
      <c r="AA551">
        <f>IF(OR(B551="",D551=""),"",B551+ROW()/10000000)</f>
        <v/>
      </c>
      <c r="AB551">
        <f>IF(AA551="","",IF(COUNTIFS(Log!$D$6:$D$1505,D551,Log!$AA$6:$AA$1505,"&gt;"&amp;AA551)=0,1,0))</f>
        <v/>
      </c>
      <c r="AC551">
        <f>IF(S551="New best",AA551,"")</f>
        <v/>
      </c>
      <c r="AD551">
        <f>ROW()</f>
        <v/>
      </c>
    </row>
    <row r="552">
      <c r="A552" s="1" t="n"/>
      <c r="B552" s="21" t="n"/>
      <c r="C552" s="22" t="n"/>
      <c r="D552" s="23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15">
        <f>IF(D552="","",COUNT(F552,H552,J552,L552,N552))</f>
        <v/>
      </c>
      <c r="P552" s="25">
        <f>IF(D552="","",N(E552)*N(F552)+N(G552)*N(H552)+N(I552)*N(J552)+N(K552)*N(L552)+N(M552)*N(N552))</f>
        <v/>
      </c>
      <c r="Q552" s="18">
        <f>IF(N(X552)=0,"",IF(IF(N(F552)=0,0,IF(N(E552)&gt;0,E552*(1+F552/30),F552))=X552,IF(N(E552)&gt;0,E552&amp;" x "&amp;F552,F552&amp;" reps"),IF(IF(N(H552)=0,0,IF(N(G552)&gt;0,G552*(1+H552/30),H552))=X552,IF(N(G552)&gt;0,G552&amp;" x "&amp;H552,H552&amp;" reps"),IF(IF(N(J552)=0,0,IF(N(I552)&gt;0,I552*(1+J552/30),J552))=X552,IF(N(I552)&gt;0,I552&amp;" x "&amp;J552,J552&amp;" reps"),IF(IF(N(L552)=0,0,IF(N(K552)&gt;0,K552*(1+L552/30),L552))=X552,IF(N(K552)&gt;0,K552&amp;" x "&amp;L552,L552&amp;" reps"),IF(IF(N(N552)=0,0,IF(N(M552)&gt;0,M552*(1+N552/30),N552))=X552,IF(N(M552)&gt;0,M552&amp;" x "&amp;N552,N552&amp;" reps"),""))))))</f>
        <v/>
      </c>
      <c r="R552" s="20">
        <f>IF(N(X552)=0,"",ROUND(X552,1))</f>
        <v/>
      </c>
      <c r="S552" s="18">
        <f>IF(N(X552)=0,"",IF(AND(COUNTIFS(Log!$D$6:$D$1505,D552,Log!$B$6:$B$1505,"&lt;"&amp;B552)&gt;0,COUNTIFS(Log!$D$6:$D$1505,D552,Log!$B$6:$B$1505,"&lt;"&amp;B552,Log!$X$6:$X$1505,"&gt;="&amp;X552)=0),"New best",""))</f>
        <v/>
      </c>
      <c r="T552" s="26" t="n"/>
      <c r="U552" s="1">
        <f>IF(D552="","",IFERROR(INDEX(Exercises!$C$6:$C$105,MATCH(D552,Exercises!$B$6:$B$105,0)),"Other"))</f>
        <v/>
      </c>
      <c r="V552">
        <f>IF(B552="","",IF(COUNTIF($B$6:B552,B552)=1,1,0))</f>
        <v/>
      </c>
      <c r="W552">
        <f>IF(B552="","",B552-WEEKDAY(B552,3))</f>
        <v/>
      </c>
      <c r="X552">
        <f>IF(D552="","",MAX(IF(N(F552)=0,0,IF(N(E552)&gt;0,E552*(1+F552/30),F552)),IF(N(H552)=0,0,IF(N(G552)&gt;0,G552*(1+H552/30),H552)),IF(N(J552)=0,0,IF(N(I552)&gt;0,I552*(1+J552/30),J552)),IF(N(L552)=0,0,IF(N(K552)&gt;0,K552*(1+L552/30),L552)),IF(N(N552)=0,0,IF(N(M552)&gt;0,M552*(1+N552/30),N552))))</f>
        <v/>
      </c>
      <c r="Y552">
        <f>IF(N(X552)=0,"",X552+ROW()/1000000000)</f>
        <v/>
      </c>
      <c r="Z552">
        <f>IF(Y552="","",IF(COUNTIFS(Log!$D$6:$D$1505,D552,Log!$Y$6:$Y$1505,"&gt;"&amp;Y552)=0,1,0))</f>
        <v/>
      </c>
      <c r="AA552">
        <f>IF(OR(B552="",D552=""),"",B552+ROW()/10000000)</f>
        <v/>
      </c>
      <c r="AB552">
        <f>IF(AA552="","",IF(COUNTIFS(Log!$D$6:$D$1505,D552,Log!$AA$6:$AA$1505,"&gt;"&amp;AA552)=0,1,0))</f>
        <v/>
      </c>
      <c r="AC552">
        <f>IF(S552="New best",AA552,"")</f>
        <v/>
      </c>
      <c r="AD552">
        <f>ROW()</f>
        <v/>
      </c>
    </row>
    <row r="553">
      <c r="A553" s="1" t="n"/>
      <c r="B553" s="21" t="n"/>
      <c r="C553" s="22" t="n"/>
      <c r="D553" s="23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15">
        <f>IF(D553="","",COUNT(F553,H553,J553,L553,N553))</f>
        <v/>
      </c>
      <c r="P553" s="25">
        <f>IF(D553="","",N(E553)*N(F553)+N(G553)*N(H553)+N(I553)*N(J553)+N(K553)*N(L553)+N(M553)*N(N553))</f>
        <v/>
      </c>
      <c r="Q553" s="18">
        <f>IF(N(X553)=0,"",IF(IF(N(F553)=0,0,IF(N(E553)&gt;0,E553*(1+F553/30),F553))=X553,IF(N(E553)&gt;0,E553&amp;" x "&amp;F553,F553&amp;" reps"),IF(IF(N(H553)=0,0,IF(N(G553)&gt;0,G553*(1+H553/30),H553))=X553,IF(N(G553)&gt;0,G553&amp;" x "&amp;H553,H553&amp;" reps"),IF(IF(N(J553)=0,0,IF(N(I553)&gt;0,I553*(1+J553/30),J553))=X553,IF(N(I553)&gt;0,I553&amp;" x "&amp;J553,J553&amp;" reps"),IF(IF(N(L553)=0,0,IF(N(K553)&gt;0,K553*(1+L553/30),L553))=X553,IF(N(K553)&gt;0,K553&amp;" x "&amp;L553,L553&amp;" reps"),IF(IF(N(N553)=0,0,IF(N(M553)&gt;0,M553*(1+N553/30),N553))=X553,IF(N(M553)&gt;0,M553&amp;" x "&amp;N553,N553&amp;" reps"),""))))))</f>
        <v/>
      </c>
      <c r="R553" s="20">
        <f>IF(N(X553)=0,"",ROUND(X553,1))</f>
        <v/>
      </c>
      <c r="S553" s="18">
        <f>IF(N(X553)=0,"",IF(AND(COUNTIFS(Log!$D$6:$D$1505,D553,Log!$B$6:$B$1505,"&lt;"&amp;B553)&gt;0,COUNTIFS(Log!$D$6:$D$1505,D553,Log!$B$6:$B$1505,"&lt;"&amp;B553,Log!$X$6:$X$1505,"&gt;="&amp;X553)=0),"New best",""))</f>
        <v/>
      </c>
      <c r="T553" s="26" t="n"/>
      <c r="U553" s="1">
        <f>IF(D553="","",IFERROR(INDEX(Exercises!$C$6:$C$105,MATCH(D553,Exercises!$B$6:$B$105,0)),"Other"))</f>
        <v/>
      </c>
      <c r="V553">
        <f>IF(B553="","",IF(COUNTIF($B$6:B553,B553)=1,1,0))</f>
        <v/>
      </c>
      <c r="W553">
        <f>IF(B553="","",B553-WEEKDAY(B553,3))</f>
        <v/>
      </c>
      <c r="X553">
        <f>IF(D553="","",MAX(IF(N(F553)=0,0,IF(N(E553)&gt;0,E553*(1+F553/30),F553)),IF(N(H553)=0,0,IF(N(G553)&gt;0,G553*(1+H553/30),H553)),IF(N(J553)=0,0,IF(N(I553)&gt;0,I553*(1+J553/30),J553)),IF(N(L553)=0,0,IF(N(K553)&gt;0,K553*(1+L553/30),L553)),IF(N(N553)=0,0,IF(N(M553)&gt;0,M553*(1+N553/30),N553))))</f>
        <v/>
      </c>
      <c r="Y553">
        <f>IF(N(X553)=0,"",X553+ROW()/1000000000)</f>
        <v/>
      </c>
      <c r="Z553">
        <f>IF(Y553="","",IF(COUNTIFS(Log!$D$6:$D$1505,D553,Log!$Y$6:$Y$1505,"&gt;"&amp;Y553)=0,1,0))</f>
        <v/>
      </c>
      <c r="AA553">
        <f>IF(OR(B553="",D553=""),"",B553+ROW()/10000000)</f>
        <v/>
      </c>
      <c r="AB553">
        <f>IF(AA553="","",IF(COUNTIFS(Log!$D$6:$D$1505,D553,Log!$AA$6:$AA$1505,"&gt;"&amp;AA553)=0,1,0))</f>
        <v/>
      </c>
      <c r="AC553">
        <f>IF(S553="New best",AA553,"")</f>
        <v/>
      </c>
      <c r="AD553">
        <f>ROW()</f>
        <v/>
      </c>
    </row>
    <row r="554">
      <c r="A554" s="1" t="n"/>
      <c r="B554" s="21" t="n"/>
      <c r="C554" s="22" t="n"/>
      <c r="D554" s="23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15">
        <f>IF(D554="","",COUNT(F554,H554,J554,L554,N554))</f>
        <v/>
      </c>
      <c r="P554" s="25">
        <f>IF(D554="","",N(E554)*N(F554)+N(G554)*N(H554)+N(I554)*N(J554)+N(K554)*N(L554)+N(M554)*N(N554))</f>
        <v/>
      </c>
      <c r="Q554" s="18">
        <f>IF(N(X554)=0,"",IF(IF(N(F554)=0,0,IF(N(E554)&gt;0,E554*(1+F554/30),F554))=X554,IF(N(E554)&gt;0,E554&amp;" x "&amp;F554,F554&amp;" reps"),IF(IF(N(H554)=0,0,IF(N(G554)&gt;0,G554*(1+H554/30),H554))=X554,IF(N(G554)&gt;0,G554&amp;" x "&amp;H554,H554&amp;" reps"),IF(IF(N(J554)=0,0,IF(N(I554)&gt;0,I554*(1+J554/30),J554))=X554,IF(N(I554)&gt;0,I554&amp;" x "&amp;J554,J554&amp;" reps"),IF(IF(N(L554)=0,0,IF(N(K554)&gt;0,K554*(1+L554/30),L554))=X554,IF(N(K554)&gt;0,K554&amp;" x "&amp;L554,L554&amp;" reps"),IF(IF(N(N554)=0,0,IF(N(M554)&gt;0,M554*(1+N554/30),N554))=X554,IF(N(M554)&gt;0,M554&amp;" x "&amp;N554,N554&amp;" reps"),""))))))</f>
        <v/>
      </c>
      <c r="R554" s="20">
        <f>IF(N(X554)=0,"",ROUND(X554,1))</f>
        <v/>
      </c>
      <c r="S554" s="18">
        <f>IF(N(X554)=0,"",IF(AND(COUNTIFS(Log!$D$6:$D$1505,D554,Log!$B$6:$B$1505,"&lt;"&amp;B554)&gt;0,COUNTIFS(Log!$D$6:$D$1505,D554,Log!$B$6:$B$1505,"&lt;"&amp;B554,Log!$X$6:$X$1505,"&gt;="&amp;X554)=0),"New best",""))</f>
        <v/>
      </c>
      <c r="T554" s="26" t="n"/>
      <c r="U554" s="1">
        <f>IF(D554="","",IFERROR(INDEX(Exercises!$C$6:$C$105,MATCH(D554,Exercises!$B$6:$B$105,0)),"Other"))</f>
        <v/>
      </c>
      <c r="V554">
        <f>IF(B554="","",IF(COUNTIF($B$6:B554,B554)=1,1,0))</f>
        <v/>
      </c>
      <c r="W554">
        <f>IF(B554="","",B554-WEEKDAY(B554,3))</f>
        <v/>
      </c>
      <c r="X554">
        <f>IF(D554="","",MAX(IF(N(F554)=0,0,IF(N(E554)&gt;0,E554*(1+F554/30),F554)),IF(N(H554)=0,0,IF(N(G554)&gt;0,G554*(1+H554/30),H554)),IF(N(J554)=0,0,IF(N(I554)&gt;0,I554*(1+J554/30),J554)),IF(N(L554)=0,0,IF(N(K554)&gt;0,K554*(1+L554/30),L554)),IF(N(N554)=0,0,IF(N(M554)&gt;0,M554*(1+N554/30),N554))))</f>
        <v/>
      </c>
      <c r="Y554">
        <f>IF(N(X554)=0,"",X554+ROW()/1000000000)</f>
        <v/>
      </c>
      <c r="Z554">
        <f>IF(Y554="","",IF(COUNTIFS(Log!$D$6:$D$1505,D554,Log!$Y$6:$Y$1505,"&gt;"&amp;Y554)=0,1,0))</f>
        <v/>
      </c>
      <c r="AA554">
        <f>IF(OR(B554="",D554=""),"",B554+ROW()/10000000)</f>
        <v/>
      </c>
      <c r="AB554">
        <f>IF(AA554="","",IF(COUNTIFS(Log!$D$6:$D$1505,D554,Log!$AA$6:$AA$1505,"&gt;"&amp;AA554)=0,1,0))</f>
        <v/>
      </c>
      <c r="AC554">
        <f>IF(S554="New best",AA554,"")</f>
        <v/>
      </c>
      <c r="AD554">
        <f>ROW()</f>
        <v/>
      </c>
    </row>
    <row r="555">
      <c r="A555" s="1" t="n"/>
      <c r="B555" s="21" t="n"/>
      <c r="C555" s="22" t="n"/>
      <c r="D555" s="23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15">
        <f>IF(D555="","",COUNT(F555,H555,J555,L555,N555))</f>
        <v/>
      </c>
      <c r="P555" s="25">
        <f>IF(D555="","",N(E555)*N(F555)+N(G555)*N(H555)+N(I555)*N(J555)+N(K555)*N(L555)+N(M555)*N(N555))</f>
        <v/>
      </c>
      <c r="Q555" s="18">
        <f>IF(N(X555)=0,"",IF(IF(N(F555)=0,0,IF(N(E555)&gt;0,E555*(1+F555/30),F555))=X555,IF(N(E555)&gt;0,E555&amp;" x "&amp;F555,F555&amp;" reps"),IF(IF(N(H555)=0,0,IF(N(G555)&gt;0,G555*(1+H555/30),H555))=X555,IF(N(G555)&gt;0,G555&amp;" x "&amp;H555,H555&amp;" reps"),IF(IF(N(J555)=0,0,IF(N(I555)&gt;0,I555*(1+J555/30),J555))=X555,IF(N(I555)&gt;0,I555&amp;" x "&amp;J555,J555&amp;" reps"),IF(IF(N(L555)=0,0,IF(N(K555)&gt;0,K555*(1+L555/30),L555))=X555,IF(N(K555)&gt;0,K555&amp;" x "&amp;L555,L555&amp;" reps"),IF(IF(N(N555)=0,0,IF(N(M555)&gt;0,M555*(1+N555/30),N555))=X555,IF(N(M555)&gt;0,M555&amp;" x "&amp;N555,N555&amp;" reps"),""))))))</f>
        <v/>
      </c>
      <c r="R555" s="20">
        <f>IF(N(X555)=0,"",ROUND(X555,1))</f>
        <v/>
      </c>
      <c r="S555" s="18">
        <f>IF(N(X555)=0,"",IF(AND(COUNTIFS(Log!$D$6:$D$1505,D555,Log!$B$6:$B$1505,"&lt;"&amp;B555)&gt;0,COUNTIFS(Log!$D$6:$D$1505,D555,Log!$B$6:$B$1505,"&lt;"&amp;B555,Log!$X$6:$X$1505,"&gt;="&amp;X555)=0),"New best",""))</f>
        <v/>
      </c>
      <c r="T555" s="26" t="n"/>
      <c r="U555" s="1">
        <f>IF(D555="","",IFERROR(INDEX(Exercises!$C$6:$C$105,MATCH(D555,Exercises!$B$6:$B$105,0)),"Other"))</f>
        <v/>
      </c>
      <c r="V555">
        <f>IF(B555="","",IF(COUNTIF($B$6:B555,B555)=1,1,0))</f>
        <v/>
      </c>
      <c r="W555">
        <f>IF(B555="","",B555-WEEKDAY(B555,3))</f>
        <v/>
      </c>
      <c r="X555">
        <f>IF(D555="","",MAX(IF(N(F555)=0,0,IF(N(E555)&gt;0,E555*(1+F555/30),F555)),IF(N(H555)=0,0,IF(N(G555)&gt;0,G555*(1+H555/30),H555)),IF(N(J555)=0,0,IF(N(I555)&gt;0,I555*(1+J555/30),J555)),IF(N(L555)=0,0,IF(N(K555)&gt;0,K555*(1+L555/30),L555)),IF(N(N555)=0,0,IF(N(M555)&gt;0,M555*(1+N555/30),N555))))</f>
        <v/>
      </c>
      <c r="Y555">
        <f>IF(N(X555)=0,"",X555+ROW()/1000000000)</f>
        <v/>
      </c>
      <c r="Z555">
        <f>IF(Y555="","",IF(COUNTIFS(Log!$D$6:$D$1505,D555,Log!$Y$6:$Y$1505,"&gt;"&amp;Y555)=0,1,0))</f>
        <v/>
      </c>
      <c r="AA555">
        <f>IF(OR(B555="",D555=""),"",B555+ROW()/10000000)</f>
        <v/>
      </c>
      <c r="AB555">
        <f>IF(AA555="","",IF(COUNTIFS(Log!$D$6:$D$1505,D555,Log!$AA$6:$AA$1505,"&gt;"&amp;AA555)=0,1,0))</f>
        <v/>
      </c>
      <c r="AC555">
        <f>IF(S555="New best",AA555,"")</f>
        <v/>
      </c>
      <c r="AD555">
        <f>ROW()</f>
        <v/>
      </c>
    </row>
    <row r="556">
      <c r="A556" s="1" t="n"/>
      <c r="B556" s="21" t="n"/>
      <c r="C556" s="22" t="n"/>
      <c r="D556" s="23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15">
        <f>IF(D556="","",COUNT(F556,H556,J556,L556,N556))</f>
        <v/>
      </c>
      <c r="P556" s="25">
        <f>IF(D556="","",N(E556)*N(F556)+N(G556)*N(H556)+N(I556)*N(J556)+N(K556)*N(L556)+N(M556)*N(N556))</f>
        <v/>
      </c>
      <c r="Q556" s="18">
        <f>IF(N(X556)=0,"",IF(IF(N(F556)=0,0,IF(N(E556)&gt;0,E556*(1+F556/30),F556))=X556,IF(N(E556)&gt;0,E556&amp;" x "&amp;F556,F556&amp;" reps"),IF(IF(N(H556)=0,0,IF(N(G556)&gt;0,G556*(1+H556/30),H556))=X556,IF(N(G556)&gt;0,G556&amp;" x "&amp;H556,H556&amp;" reps"),IF(IF(N(J556)=0,0,IF(N(I556)&gt;0,I556*(1+J556/30),J556))=X556,IF(N(I556)&gt;0,I556&amp;" x "&amp;J556,J556&amp;" reps"),IF(IF(N(L556)=0,0,IF(N(K556)&gt;0,K556*(1+L556/30),L556))=X556,IF(N(K556)&gt;0,K556&amp;" x "&amp;L556,L556&amp;" reps"),IF(IF(N(N556)=0,0,IF(N(M556)&gt;0,M556*(1+N556/30),N556))=X556,IF(N(M556)&gt;0,M556&amp;" x "&amp;N556,N556&amp;" reps"),""))))))</f>
        <v/>
      </c>
      <c r="R556" s="20">
        <f>IF(N(X556)=0,"",ROUND(X556,1))</f>
        <v/>
      </c>
      <c r="S556" s="18">
        <f>IF(N(X556)=0,"",IF(AND(COUNTIFS(Log!$D$6:$D$1505,D556,Log!$B$6:$B$1505,"&lt;"&amp;B556)&gt;0,COUNTIFS(Log!$D$6:$D$1505,D556,Log!$B$6:$B$1505,"&lt;"&amp;B556,Log!$X$6:$X$1505,"&gt;="&amp;X556)=0),"New best",""))</f>
        <v/>
      </c>
      <c r="T556" s="26" t="n"/>
      <c r="U556" s="1">
        <f>IF(D556="","",IFERROR(INDEX(Exercises!$C$6:$C$105,MATCH(D556,Exercises!$B$6:$B$105,0)),"Other"))</f>
        <v/>
      </c>
      <c r="V556">
        <f>IF(B556="","",IF(COUNTIF($B$6:B556,B556)=1,1,0))</f>
        <v/>
      </c>
      <c r="W556">
        <f>IF(B556="","",B556-WEEKDAY(B556,3))</f>
        <v/>
      </c>
      <c r="X556">
        <f>IF(D556="","",MAX(IF(N(F556)=0,0,IF(N(E556)&gt;0,E556*(1+F556/30),F556)),IF(N(H556)=0,0,IF(N(G556)&gt;0,G556*(1+H556/30),H556)),IF(N(J556)=0,0,IF(N(I556)&gt;0,I556*(1+J556/30),J556)),IF(N(L556)=0,0,IF(N(K556)&gt;0,K556*(1+L556/30),L556)),IF(N(N556)=0,0,IF(N(M556)&gt;0,M556*(1+N556/30),N556))))</f>
        <v/>
      </c>
      <c r="Y556">
        <f>IF(N(X556)=0,"",X556+ROW()/1000000000)</f>
        <v/>
      </c>
      <c r="Z556">
        <f>IF(Y556="","",IF(COUNTIFS(Log!$D$6:$D$1505,D556,Log!$Y$6:$Y$1505,"&gt;"&amp;Y556)=0,1,0))</f>
        <v/>
      </c>
      <c r="AA556">
        <f>IF(OR(B556="",D556=""),"",B556+ROW()/10000000)</f>
        <v/>
      </c>
      <c r="AB556">
        <f>IF(AA556="","",IF(COUNTIFS(Log!$D$6:$D$1505,D556,Log!$AA$6:$AA$1505,"&gt;"&amp;AA556)=0,1,0))</f>
        <v/>
      </c>
      <c r="AC556">
        <f>IF(S556="New best",AA556,"")</f>
        <v/>
      </c>
      <c r="AD556">
        <f>ROW()</f>
        <v/>
      </c>
    </row>
    <row r="557">
      <c r="A557" s="1" t="n"/>
      <c r="B557" s="21" t="n"/>
      <c r="C557" s="22" t="n"/>
      <c r="D557" s="23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15">
        <f>IF(D557="","",COUNT(F557,H557,J557,L557,N557))</f>
        <v/>
      </c>
      <c r="P557" s="25">
        <f>IF(D557="","",N(E557)*N(F557)+N(G557)*N(H557)+N(I557)*N(J557)+N(K557)*N(L557)+N(M557)*N(N557))</f>
        <v/>
      </c>
      <c r="Q557" s="18">
        <f>IF(N(X557)=0,"",IF(IF(N(F557)=0,0,IF(N(E557)&gt;0,E557*(1+F557/30),F557))=X557,IF(N(E557)&gt;0,E557&amp;" x "&amp;F557,F557&amp;" reps"),IF(IF(N(H557)=0,0,IF(N(G557)&gt;0,G557*(1+H557/30),H557))=X557,IF(N(G557)&gt;0,G557&amp;" x "&amp;H557,H557&amp;" reps"),IF(IF(N(J557)=0,0,IF(N(I557)&gt;0,I557*(1+J557/30),J557))=X557,IF(N(I557)&gt;0,I557&amp;" x "&amp;J557,J557&amp;" reps"),IF(IF(N(L557)=0,0,IF(N(K557)&gt;0,K557*(1+L557/30),L557))=X557,IF(N(K557)&gt;0,K557&amp;" x "&amp;L557,L557&amp;" reps"),IF(IF(N(N557)=0,0,IF(N(M557)&gt;0,M557*(1+N557/30),N557))=X557,IF(N(M557)&gt;0,M557&amp;" x "&amp;N557,N557&amp;" reps"),""))))))</f>
        <v/>
      </c>
      <c r="R557" s="20">
        <f>IF(N(X557)=0,"",ROUND(X557,1))</f>
        <v/>
      </c>
      <c r="S557" s="18">
        <f>IF(N(X557)=0,"",IF(AND(COUNTIFS(Log!$D$6:$D$1505,D557,Log!$B$6:$B$1505,"&lt;"&amp;B557)&gt;0,COUNTIFS(Log!$D$6:$D$1505,D557,Log!$B$6:$B$1505,"&lt;"&amp;B557,Log!$X$6:$X$1505,"&gt;="&amp;X557)=0),"New best",""))</f>
        <v/>
      </c>
      <c r="T557" s="26" t="n"/>
      <c r="U557" s="1">
        <f>IF(D557="","",IFERROR(INDEX(Exercises!$C$6:$C$105,MATCH(D557,Exercises!$B$6:$B$105,0)),"Other"))</f>
        <v/>
      </c>
      <c r="V557">
        <f>IF(B557="","",IF(COUNTIF($B$6:B557,B557)=1,1,0))</f>
        <v/>
      </c>
      <c r="W557">
        <f>IF(B557="","",B557-WEEKDAY(B557,3))</f>
        <v/>
      </c>
      <c r="X557">
        <f>IF(D557="","",MAX(IF(N(F557)=0,0,IF(N(E557)&gt;0,E557*(1+F557/30),F557)),IF(N(H557)=0,0,IF(N(G557)&gt;0,G557*(1+H557/30),H557)),IF(N(J557)=0,0,IF(N(I557)&gt;0,I557*(1+J557/30),J557)),IF(N(L557)=0,0,IF(N(K557)&gt;0,K557*(1+L557/30),L557)),IF(N(N557)=0,0,IF(N(M557)&gt;0,M557*(1+N557/30),N557))))</f>
        <v/>
      </c>
      <c r="Y557">
        <f>IF(N(X557)=0,"",X557+ROW()/1000000000)</f>
        <v/>
      </c>
      <c r="Z557">
        <f>IF(Y557="","",IF(COUNTIFS(Log!$D$6:$D$1505,D557,Log!$Y$6:$Y$1505,"&gt;"&amp;Y557)=0,1,0))</f>
        <v/>
      </c>
      <c r="AA557">
        <f>IF(OR(B557="",D557=""),"",B557+ROW()/10000000)</f>
        <v/>
      </c>
      <c r="AB557">
        <f>IF(AA557="","",IF(COUNTIFS(Log!$D$6:$D$1505,D557,Log!$AA$6:$AA$1505,"&gt;"&amp;AA557)=0,1,0))</f>
        <v/>
      </c>
      <c r="AC557">
        <f>IF(S557="New best",AA557,"")</f>
        <v/>
      </c>
      <c r="AD557">
        <f>ROW()</f>
        <v/>
      </c>
    </row>
    <row r="558">
      <c r="A558" s="1" t="n"/>
      <c r="B558" s="21" t="n"/>
      <c r="C558" s="22" t="n"/>
      <c r="D558" s="23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15">
        <f>IF(D558="","",COUNT(F558,H558,J558,L558,N558))</f>
        <v/>
      </c>
      <c r="P558" s="25">
        <f>IF(D558="","",N(E558)*N(F558)+N(G558)*N(H558)+N(I558)*N(J558)+N(K558)*N(L558)+N(M558)*N(N558))</f>
        <v/>
      </c>
      <c r="Q558" s="18">
        <f>IF(N(X558)=0,"",IF(IF(N(F558)=0,0,IF(N(E558)&gt;0,E558*(1+F558/30),F558))=X558,IF(N(E558)&gt;0,E558&amp;" x "&amp;F558,F558&amp;" reps"),IF(IF(N(H558)=0,0,IF(N(G558)&gt;0,G558*(1+H558/30),H558))=X558,IF(N(G558)&gt;0,G558&amp;" x "&amp;H558,H558&amp;" reps"),IF(IF(N(J558)=0,0,IF(N(I558)&gt;0,I558*(1+J558/30),J558))=X558,IF(N(I558)&gt;0,I558&amp;" x "&amp;J558,J558&amp;" reps"),IF(IF(N(L558)=0,0,IF(N(K558)&gt;0,K558*(1+L558/30),L558))=X558,IF(N(K558)&gt;0,K558&amp;" x "&amp;L558,L558&amp;" reps"),IF(IF(N(N558)=0,0,IF(N(M558)&gt;0,M558*(1+N558/30),N558))=X558,IF(N(M558)&gt;0,M558&amp;" x "&amp;N558,N558&amp;" reps"),""))))))</f>
        <v/>
      </c>
      <c r="R558" s="20">
        <f>IF(N(X558)=0,"",ROUND(X558,1))</f>
        <v/>
      </c>
      <c r="S558" s="18">
        <f>IF(N(X558)=0,"",IF(AND(COUNTIFS(Log!$D$6:$D$1505,D558,Log!$B$6:$B$1505,"&lt;"&amp;B558)&gt;0,COUNTIFS(Log!$D$6:$D$1505,D558,Log!$B$6:$B$1505,"&lt;"&amp;B558,Log!$X$6:$X$1505,"&gt;="&amp;X558)=0),"New best",""))</f>
        <v/>
      </c>
      <c r="T558" s="26" t="n"/>
      <c r="U558" s="1">
        <f>IF(D558="","",IFERROR(INDEX(Exercises!$C$6:$C$105,MATCH(D558,Exercises!$B$6:$B$105,0)),"Other"))</f>
        <v/>
      </c>
      <c r="V558">
        <f>IF(B558="","",IF(COUNTIF($B$6:B558,B558)=1,1,0))</f>
        <v/>
      </c>
      <c r="W558">
        <f>IF(B558="","",B558-WEEKDAY(B558,3))</f>
        <v/>
      </c>
      <c r="X558">
        <f>IF(D558="","",MAX(IF(N(F558)=0,0,IF(N(E558)&gt;0,E558*(1+F558/30),F558)),IF(N(H558)=0,0,IF(N(G558)&gt;0,G558*(1+H558/30),H558)),IF(N(J558)=0,0,IF(N(I558)&gt;0,I558*(1+J558/30),J558)),IF(N(L558)=0,0,IF(N(K558)&gt;0,K558*(1+L558/30),L558)),IF(N(N558)=0,0,IF(N(M558)&gt;0,M558*(1+N558/30),N558))))</f>
        <v/>
      </c>
      <c r="Y558">
        <f>IF(N(X558)=0,"",X558+ROW()/1000000000)</f>
        <v/>
      </c>
      <c r="Z558">
        <f>IF(Y558="","",IF(COUNTIFS(Log!$D$6:$D$1505,D558,Log!$Y$6:$Y$1505,"&gt;"&amp;Y558)=0,1,0))</f>
        <v/>
      </c>
      <c r="AA558">
        <f>IF(OR(B558="",D558=""),"",B558+ROW()/10000000)</f>
        <v/>
      </c>
      <c r="AB558">
        <f>IF(AA558="","",IF(COUNTIFS(Log!$D$6:$D$1505,D558,Log!$AA$6:$AA$1505,"&gt;"&amp;AA558)=0,1,0))</f>
        <v/>
      </c>
      <c r="AC558">
        <f>IF(S558="New best",AA558,"")</f>
        <v/>
      </c>
      <c r="AD558">
        <f>ROW()</f>
        <v/>
      </c>
    </row>
    <row r="559">
      <c r="A559" s="1" t="n"/>
      <c r="B559" s="21" t="n"/>
      <c r="C559" s="22" t="n"/>
      <c r="D559" s="23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15">
        <f>IF(D559="","",COUNT(F559,H559,J559,L559,N559))</f>
        <v/>
      </c>
      <c r="P559" s="25">
        <f>IF(D559="","",N(E559)*N(F559)+N(G559)*N(H559)+N(I559)*N(J559)+N(K559)*N(L559)+N(M559)*N(N559))</f>
        <v/>
      </c>
      <c r="Q559" s="18">
        <f>IF(N(X559)=0,"",IF(IF(N(F559)=0,0,IF(N(E559)&gt;0,E559*(1+F559/30),F559))=X559,IF(N(E559)&gt;0,E559&amp;" x "&amp;F559,F559&amp;" reps"),IF(IF(N(H559)=0,0,IF(N(G559)&gt;0,G559*(1+H559/30),H559))=X559,IF(N(G559)&gt;0,G559&amp;" x "&amp;H559,H559&amp;" reps"),IF(IF(N(J559)=0,0,IF(N(I559)&gt;0,I559*(1+J559/30),J559))=X559,IF(N(I559)&gt;0,I559&amp;" x "&amp;J559,J559&amp;" reps"),IF(IF(N(L559)=0,0,IF(N(K559)&gt;0,K559*(1+L559/30),L559))=X559,IF(N(K559)&gt;0,K559&amp;" x "&amp;L559,L559&amp;" reps"),IF(IF(N(N559)=0,0,IF(N(M559)&gt;0,M559*(1+N559/30),N559))=X559,IF(N(M559)&gt;0,M559&amp;" x "&amp;N559,N559&amp;" reps"),""))))))</f>
        <v/>
      </c>
      <c r="R559" s="20">
        <f>IF(N(X559)=0,"",ROUND(X559,1))</f>
        <v/>
      </c>
      <c r="S559" s="18">
        <f>IF(N(X559)=0,"",IF(AND(COUNTIFS(Log!$D$6:$D$1505,D559,Log!$B$6:$B$1505,"&lt;"&amp;B559)&gt;0,COUNTIFS(Log!$D$6:$D$1505,D559,Log!$B$6:$B$1505,"&lt;"&amp;B559,Log!$X$6:$X$1505,"&gt;="&amp;X559)=0),"New best",""))</f>
        <v/>
      </c>
      <c r="T559" s="26" t="n"/>
      <c r="U559" s="1">
        <f>IF(D559="","",IFERROR(INDEX(Exercises!$C$6:$C$105,MATCH(D559,Exercises!$B$6:$B$105,0)),"Other"))</f>
        <v/>
      </c>
      <c r="V559">
        <f>IF(B559="","",IF(COUNTIF($B$6:B559,B559)=1,1,0))</f>
        <v/>
      </c>
      <c r="W559">
        <f>IF(B559="","",B559-WEEKDAY(B559,3))</f>
        <v/>
      </c>
      <c r="X559">
        <f>IF(D559="","",MAX(IF(N(F559)=0,0,IF(N(E559)&gt;0,E559*(1+F559/30),F559)),IF(N(H559)=0,0,IF(N(G559)&gt;0,G559*(1+H559/30),H559)),IF(N(J559)=0,0,IF(N(I559)&gt;0,I559*(1+J559/30),J559)),IF(N(L559)=0,0,IF(N(K559)&gt;0,K559*(1+L559/30),L559)),IF(N(N559)=0,0,IF(N(M559)&gt;0,M559*(1+N559/30),N559))))</f>
        <v/>
      </c>
      <c r="Y559">
        <f>IF(N(X559)=0,"",X559+ROW()/1000000000)</f>
        <v/>
      </c>
      <c r="Z559">
        <f>IF(Y559="","",IF(COUNTIFS(Log!$D$6:$D$1505,D559,Log!$Y$6:$Y$1505,"&gt;"&amp;Y559)=0,1,0))</f>
        <v/>
      </c>
      <c r="AA559">
        <f>IF(OR(B559="",D559=""),"",B559+ROW()/10000000)</f>
        <v/>
      </c>
      <c r="AB559">
        <f>IF(AA559="","",IF(COUNTIFS(Log!$D$6:$D$1505,D559,Log!$AA$6:$AA$1505,"&gt;"&amp;AA559)=0,1,0))</f>
        <v/>
      </c>
      <c r="AC559">
        <f>IF(S559="New best",AA559,"")</f>
        <v/>
      </c>
      <c r="AD559">
        <f>ROW()</f>
        <v/>
      </c>
    </row>
    <row r="560">
      <c r="A560" s="1" t="n"/>
      <c r="B560" s="21" t="n"/>
      <c r="C560" s="22" t="n"/>
      <c r="D560" s="23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15">
        <f>IF(D560="","",COUNT(F560,H560,J560,L560,N560))</f>
        <v/>
      </c>
      <c r="P560" s="25">
        <f>IF(D560="","",N(E560)*N(F560)+N(G560)*N(H560)+N(I560)*N(J560)+N(K560)*N(L560)+N(M560)*N(N560))</f>
        <v/>
      </c>
      <c r="Q560" s="18">
        <f>IF(N(X560)=0,"",IF(IF(N(F560)=0,0,IF(N(E560)&gt;0,E560*(1+F560/30),F560))=X560,IF(N(E560)&gt;0,E560&amp;" x "&amp;F560,F560&amp;" reps"),IF(IF(N(H560)=0,0,IF(N(G560)&gt;0,G560*(1+H560/30),H560))=X560,IF(N(G560)&gt;0,G560&amp;" x "&amp;H560,H560&amp;" reps"),IF(IF(N(J560)=0,0,IF(N(I560)&gt;0,I560*(1+J560/30),J560))=X560,IF(N(I560)&gt;0,I560&amp;" x "&amp;J560,J560&amp;" reps"),IF(IF(N(L560)=0,0,IF(N(K560)&gt;0,K560*(1+L560/30),L560))=X560,IF(N(K560)&gt;0,K560&amp;" x "&amp;L560,L560&amp;" reps"),IF(IF(N(N560)=0,0,IF(N(M560)&gt;0,M560*(1+N560/30),N560))=X560,IF(N(M560)&gt;0,M560&amp;" x "&amp;N560,N560&amp;" reps"),""))))))</f>
        <v/>
      </c>
      <c r="R560" s="20">
        <f>IF(N(X560)=0,"",ROUND(X560,1))</f>
        <v/>
      </c>
      <c r="S560" s="18">
        <f>IF(N(X560)=0,"",IF(AND(COUNTIFS(Log!$D$6:$D$1505,D560,Log!$B$6:$B$1505,"&lt;"&amp;B560)&gt;0,COUNTIFS(Log!$D$6:$D$1505,D560,Log!$B$6:$B$1505,"&lt;"&amp;B560,Log!$X$6:$X$1505,"&gt;="&amp;X560)=0),"New best",""))</f>
        <v/>
      </c>
      <c r="T560" s="26" t="n"/>
      <c r="U560" s="1">
        <f>IF(D560="","",IFERROR(INDEX(Exercises!$C$6:$C$105,MATCH(D560,Exercises!$B$6:$B$105,0)),"Other"))</f>
        <v/>
      </c>
      <c r="V560">
        <f>IF(B560="","",IF(COUNTIF($B$6:B560,B560)=1,1,0))</f>
        <v/>
      </c>
      <c r="W560">
        <f>IF(B560="","",B560-WEEKDAY(B560,3))</f>
        <v/>
      </c>
      <c r="X560">
        <f>IF(D560="","",MAX(IF(N(F560)=0,0,IF(N(E560)&gt;0,E560*(1+F560/30),F560)),IF(N(H560)=0,0,IF(N(G560)&gt;0,G560*(1+H560/30),H560)),IF(N(J560)=0,0,IF(N(I560)&gt;0,I560*(1+J560/30),J560)),IF(N(L560)=0,0,IF(N(K560)&gt;0,K560*(1+L560/30),L560)),IF(N(N560)=0,0,IF(N(M560)&gt;0,M560*(1+N560/30),N560))))</f>
        <v/>
      </c>
      <c r="Y560">
        <f>IF(N(X560)=0,"",X560+ROW()/1000000000)</f>
        <v/>
      </c>
      <c r="Z560">
        <f>IF(Y560="","",IF(COUNTIFS(Log!$D$6:$D$1505,D560,Log!$Y$6:$Y$1505,"&gt;"&amp;Y560)=0,1,0))</f>
        <v/>
      </c>
      <c r="AA560">
        <f>IF(OR(B560="",D560=""),"",B560+ROW()/10000000)</f>
        <v/>
      </c>
      <c r="AB560">
        <f>IF(AA560="","",IF(COUNTIFS(Log!$D$6:$D$1505,D560,Log!$AA$6:$AA$1505,"&gt;"&amp;AA560)=0,1,0))</f>
        <v/>
      </c>
      <c r="AC560">
        <f>IF(S560="New best",AA560,"")</f>
        <v/>
      </c>
      <c r="AD560">
        <f>ROW()</f>
        <v/>
      </c>
    </row>
    <row r="561">
      <c r="A561" s="1" t="n"/>
      <c r="B561" s="21" t="n"/>
      <c r="C561" s="22" t="n"/>
      <c r="D561" s="23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15">
        <f>IF(D561="","",COUNT(F561,H561,J561,L561,N561))</f>
        <v/>
      </c>
      <c r="P561" s="25">
        <f>IF(D561="","",N(E561)*N(F561)+N(G561)*N(H561)+N(I561)*N(J561)+N(K561)*N(L561)+N(M561)*N(N561))</f>
        <v/>
      </c>
      <c r="Q561" s="18">
        <f>IF(N(X561)=0,"",IF(IF(N(F561)=0,0,IF(N(E561)&gt;0,E561*(1+F561/30),F561))=X561,IF(N(E561)&gt;0,E561&amp;" x "&amp;F561,F561&amp;" reps"),IF(IF(N(H561)=0,0,IF(N(G561)&gt;0,G561*(1+H561/30),H561))=X561,IF(N(G561)&gt;0,G561&amp;" x "&amp;H561,H561&amp;" reps"),IF(IF(N(J561)=0,0,IF(N(I561)&gt;0,I561*(1+J561/30),J561))=X561,IF(N(I561)&gt;0,I561&amp;" x "&amp;J561,J561&amp;" reps"),IF(IF(N(L561)=0,0,IF(N(K561)&gt;0,K561*(1+L561/30),L561))=X561,IF(N(K561)&gt;0,K561&amp;" x "&amp;L561,L561&amp;" reps"),IF(IF(N(N561)=0,0,IF(N(M561)&gt;0,M561*(1+N561/30),N561))=X561,IF(N(M561)&gt;0,M561&amp;" x "&amp;N561,N561&amp;" reps"),""))))))</f>
        <v/>
      </c>
      <c r="R561" s="20">
        <f>IF(N(X561)=0,"",ROUND(X561,1))</f>
        <v/>
      </c>
      <c r="S561" s="18">
        <f>IF(N(X561)=0,"",IF(AND(COUNTIFS(Log!$D$6:$D$1505,D561,Log!$B$6:$B$1505,"&lt;"&amp;B561)&gt;0,COUNTIFS(Log!$D$6:$D$1505,D561,Log!$B$6:$B$1505,"&lt;"&amp;B561,Log!$X$6:$X$1505,"&gt;="&amp;X561)=0),"New best",""))</f>
        <v/>
      </c>
      <c r="T561" s="26" t="n"/>
      <c r="U561" s="1">
        <f>IF(D561="","",IFERROR(INDEX(Exercises!$C$6:$C$105,MATCH(D561,Exercises!$B$6:$B$105,0)),"Other"))</f>
        <v/>
      </c>
      <c r="V561">
        <f>IF(B561="","",IF(COUNTIF($B$6:B561,B561)=1,1,0))</f>
        <v/>
      </c>
      <c r="W561">
        <f>IF(B561="","",B561-WEEKDAY(B561,3))</f>
        <v/>
      </c>
      <c r="X561">
        <f>IF(D561="","",MAX(IF(N(F561)=0,0,IF(N(E561)&gt;0,E561*(1+F561/30),F561)),IF(N(H561)=0,0,IF(N(G561)&gt;0,G561*(1+H561/30),H561)),IF(N(J561)=0,0,IF(N(I561)&gt;0,I561*(1+J561/30),J561)),IF(N(L561)=0,0,IF(N(K561)&gt;0,K561*(1+L561/30),L561)),IF(N(N561)=0,0,IF(N(M561)&gt;0,M561*(1+N561/30),N561))))</f>
        <v/>
      </c>
      <c r="Y561">
        <f>IF(N(X561)=0,"",X561+ROW()/1000000000)</f>
        <v/>
      </c>
      <c r="Z561">
        <f>IF(Y561="","",IF(COUNTIFS(Log!$D$6:$D$1505,D561,Log!$Y$6:$Y$1505,"&gt;"&amp;Y561)=0,1,0))</f>
        <v/>
      </c>
      <c r="AA561">
        <f>IF(OR(B561="",D561=""),"",B561+ROW()/10000000)</f>
        <v/>
      </c>
      <c r="AB561">
        <f>IF(AA561="","",IF(COUNTIFS(Log!$D$6:$D$1505,D561,Log!$AA$6:$AA$1505,"&gt;"&amp;AA561)=0,1,0))</f>
        <v/>
      </c>
      <c r="AC561">
        <f>IF(S561="New best",AA561,"")</f>
        <v/>
      </c>
      <c r="AD561">
        <f>ROW()</f>
        <v/>
      </c>
    </row>
    <row r="562">
      <c r="A562" s="1" t="n"/>
      <c r="B562" s="21" t="n"/>
      <c r="C562" s="22" t="n"/>
      <c r="D562" s="23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15">
        <f>IF(D562="","",COUNT(F562,H562,J562,L562,N562))</f>
        <v/>
      </c>
      <c r="P562" s="25">
        <f>IF(D562="","",N(E562)*N(F562)+N(G562)*N(H562)+N(I562)*N(J562)+N(K562)*N(L562)+N(M562)*N(N562))</f>
        <v/>
      </c>
      <c r="Q562" s="18">
        <f>IF(N(X562)=0,"",IF(IF(N(F562)=0,0,IF(N(E562)&gt;0,E562*(1+F562/30),F562))=X562,IF(N(E562)&gt;0,E562&amp;" x "&amp;F562,F562&amp;" reps"),IF(IF(N(H562)=0,0,IF(N(G562)&gt;0,G562*(1+H562/30),H562))=X562,IF(N(G562)&gt;0,G562&amp;" x "&amp;H562,H562&amp;" reps"),IF(IF(N(J562)=0,0,IF(N(I562)&gt;0,I562*(1+J562/30),J562))=X562,IF(N(I562)&gt;0,I562&amp;" x "&amp;J562,J562&amp;" reps"),IF(IF(N(L562)=0,0,IF(N(K562)&gt;0,K562*(1+L562/30),L562))=X562,IF(N(K562)&gt;0,K562&amp;" x "&amp;L562,L562&amp;" reps"),IF(IF(N(N562)=0,0,IF(N(M562)&gt;0,M562*(1+N562/30),N562))=X562,IF(N(M562)&gt;0,M562&amp;" x "&amp;N562,N562&amp;" reps"),""))))))</f>
        <v/>
      </c>
      <c r="R562" s="20">
        <f>IF(N(X562)=0,"",ROUND(X562,1))</f>
        <v/>
      </c>
      <c r="S562" s="18">
        <f>IF(N(X562)=0,"",IF(AND(COUNTIFS(Log!$D$6:$D$1505,D562,Log!$B$6:$B$1505,"&lt;"&amp;B562)&gt;0,COUNTIFS(Log!$D$6:$D$1505,D562,Log!$B$6:$B$1505,"&lt;"&amp;B562,Log!$X$6:$X$1505,"&gt;="&amp;X562)=0),"New best",""))</f>
        <v/>
      </c>
      <c r="T562" s="26" t="n"/>
      <c r="U562" s="1">
        <f>IF(D562="","",IFERROR(INDEX(Exercises!$C$6:$C$105,MATCH(D562,Exercises!$B$6:$B$105,0)),"Other"))</f>
        <v/>
      </c>
      <c r="V562">
        <f>IF(B562="","",IF(COUNTIF($B$6:B562,B562)=1,1,0))</f>
        <v/>
      </c>
      <c r="W562">
        <f>IF(B562="","",B562-WEEKDAY(B562,3))</f>
        <v/>
      </c>
      <c r="X562">
        <f>IF(D562="","",MAX(IF(N(F562)=0,0,IF(N(E562)&gt;0,E562*(1+F562/30),F562)),IF(N(H562)=0,0,IF(N(G562)&gt;0,G562*(1+H562/30),H562)),IF(N(J562)=0,0,IF(N(I562)&gt;0,I562*(1+J562/30),J562)),IF(N(L562)=0,0,IF(N(K562)&gt;0,K562*(1+L562/30),L562)),IF(N(N562)=0,0,IF(N(M562)&gt;0,M562*(1+N562/30),N562))))</f>
        <v/>
      </c>
      <c r="Y562">
        <f>IF(N(X562)=0,"",X562+ROW()/1000000000)</f>
        <v/>
      </c>
      <c r="Z562">
        <f>IF(Y562="","",IF(COUNTIFS(Log!$D$6:$D$1505,D562,Log!$Y$6:$Y$1505,"&gt;"&amp;Y562)=0,1,0))</f>
        <v/>
      </c>
      <c r="AA562">
        <f>IF(OR(B562="",D562=""),"",B562+ROW()/10000000)</f>
        <v/>
      </c>
      <c r="AB562">
        <f>IF(AA562="","",IF(COUNTIFS(Log!$D$6:$D$1505,D562,Log!$AA$6:$AA$1505,"&gt;"&amp;AA562)=0,1,0))</f>
        <v/>
      </c>
      <c r="AC562">
        <f>IF(S562="New best",AA562,"")</f>
        <v/>
      </c>
      <c r="AD562">
        <f>ROW()</f>
        <v/>
      </c>
    </row>
    <row r="563">
      <c r="A563" s="1" t="n"/>
      <c r="B563" s="21" t="n"/>
      <c r="C563" s="22" t="n"/>
      <c r="D563" s="23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15">
        <f>IF(D563="","",COUNT(F563,H563,J563,L563,N563))</f>
        <v/>
      </c>
      <c r="P563" s="25">
        <f>IF(D563="","",N(E563)*N(F563)+N(G563)*N(H563)+N(I563)*N(J563)+N(K563)*N(L563)+N(M563)*N(N563))</f>
        <v/>
      </c>
      <c r="Q563" s="18">
        <f>IF(N(X563)=0,"",IF(IF(N(F563)=0,0,IF(N(E563)&gt;0,E563*(1+F563/30),F563))=X563,IF(N(E563)&gt;0,E563&amp;" x "&amp;F563,F563&amp;" reps"),IF(IF(N(H563)=0,0,IF(N(G563)&gt;0,G563*(1+H563/30),H563))=X563,IF(N(G563)&gt;0,G563&amp;" x "&amp;H563,H563&amp;" reps"),IF(IF(N(J563)=0,0,IF(N(I563)&gt;0,I563*(1+J563/30),J563))=X563,IF(N(I563)&gt;0,I563&amp;" x "&amp;J563,J563&amp;" reps"),IF(IF(N(L563)=0,0,IF(N(K563)&gt;0,K563*(1+L563/30),L563))=X563,IF(N(K563)&gt;0,K563&amp;" x "&amp;L563,L563&amp;" reps"),IF(IF(N(N563)=0,0,IF(N(M563)&gt;0,M563*(1+N563/30),N563))=X563,IF(N(M563)&gt;0,M563&amp;" x "&amp;N563,N563&amp;" reps"),""))))))</f>
        <v/>
      </c>
      <c r="R563" s="20">
        <f>IF(N(X563)=0,"",ROUND(X563,1))</f>
        <v/>
      </c>
      <c r="S563" s="18">
        <f>IF(N(X563)=0,"",IF(AND(COUNTIFS(Log!$D$6:$D$1505,D563,Log!$B$6:$B$1505,"&lt;"&amp;B563)&gt;0,COUNTIFS(Log!$D$6:$D$1505,D563,Log!$B$6:$B$1505,"&lt;"&amp;B563,Log!$X$6:$X$1505,"&gt;="&amp;X563)=0),"New best",""))</f>
        <v/>
      </c>
      <c r="T563" s="26" t="n"/>
      <c r="U563" s="1">
        <f>IF(D563="","",IFERROR(INDEX(Exercises!$C$6:$C$105,MATCH(D563,Exercises!$B$6:$B$105,0)),"Other"))</f>
        <v/>
      </c>
      <c r="V563">
        <f>IF(B563="","",IF(COUNTIF($B$6:B563,B563)=1,1,0))</f>
        <v/>
      </c>
      <c r="W563">
        <f>IF(B563="","",B563-WEEKDAY(B563,3))</f>
        <v/>
      </c>
      <c r="X563">
        <f>IF(D563="","",MAX(IF(N(F563)=0,0,IF(N(E563)&gt;0,E563*(1+F563/30),F563)),IF(N(H563)=0,0,IF(N(G563)&gt;0,G563*(1+H563/30),H563)),IF(N(J563)=0,0,IF(N(I563)&gt;0,I563*(1+J563/30),J563)),IF(N(L563)=0,0,IF(N(K563)&gt;0,K563*(1+L563/30),L563)),IF(N(N563)=0,0,IF(N(M563)&gt;0,M563*(1+N563/30),N563))))</f>
        <v/>
      </c>
      <c r="Y563">
        <f>IF(N(X563)=0,"",X563+ROW()/1000000000)</f>
        <v/>
      </c>
      <c r="Z563">
        <f>IF(Y563="","",IF(COUNTIFS(Log!$D$6:$D$1505,D563,Log!$Y$6:$Y$1505,"&gt;"&amp;Y563)=0,1,0))</f>
        <v/>
      </c>
      <c r="AA563">
        <f>IF(OR(B563="",D563=""),"",B563+ROW()/10000000)</f>
        <v/>
      </c>
      <c r="AB563">
        <f>IF(AA563="","",IF(COUNTIFS(Log!$D$6:$D$1505,D563,Log!$AA$6:$AA$1505,"&gt;"&amp;AA563)=0,1,0))</f>
        <v/>
      </c>
      <c r="AC563">
        <f>IF(S563="New best",AA563,"")</f>
        <v/>
      </c>
      <c r="AD563">
        <f>ROW()</f>
        <v/>
      </c>
    </row>
    <row r="564">
      <c r="A564" s="1" t="n"/>
      <c r="B564" s="21" t="n"/>
      <c r="C564" s="22" t="n"/>
      <c r="D564" s="23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15">
        <f>IF(D564="","",COUNT(F564,H564,J564,L564,N564))</f>
        <v/>
      </c>
      <c r="P564" s="25">
        <f>IF(D564="","",N(E564)*N(F564)+N(G564)*N(H564)+N(I564)*N(J564)+N(K564)*N(L564)+N(M564)*N(N564))</f>
        <v/>
      </c>
      <c r="Q564" s="18">
        <f>IF(N(X564)=0,"",IF(IF(N(F564)=0,0,IF(N(E564)&gt;0,E564*(1+F564/30),F564))=X564,IF(N(E564)&gt;0,E564&amp;" x "&amp;F564,F564&amp;" reps"),IF(IF(N(H564)=0,0,IF(N(G564)&gt;0,G564*(1+H564/30),H564))=X564,IF(N(G564)&gt;0,G564&amp;" x "&amp;H564,H564&amp;" reps"),IF(IF(N(J564)=0,0,IF(N(I564)&gt;0,I564*(1+J564/30),J564))=X564,IF(N(I564)&gt;0,I564&amp;" x "&amp;J564,J564&amp;" reps"),IF(IF(N(L564)=0,0,IF(N(K564)&gt;0,K564*(1+L564/30),L564))=X564,IF(N(K564)&gt;0,K564&amp;" x "&amp;L564,L564&amp;" reps"),IF(IF(N(N564)=0,0,IF(N(M564)&gt;0,M564*(1+N564/30),N564))=X564,IF(N(M564)&gt;0,M564&amp;" x "&amp;N564,N564&amp;" reps"),""))))))</f>
        <v/>
      </c>
      <c r="R564" s="20">
        <f>IF(N(X564)=0,"",ROUND(X564,1))</f>
        <v/>
      </c>
      <c r="S564" s="18">
        <f>IF(N(X564)=0,"",IF(AND(COUNTIFS(Log!$D$6:$D$1505,D564,Log!$B$6:$B$1505,"&lt;"&amp;B564)&gt;0,COUNTIFS(Log!$D$6:$D$1505,D564,Log!$B$6:$B$1505,"&lt;"&amp;B564,Log!$X$6:$X$1505,"&gt;="&amp;X564)=0),"New best",""))</f>
        <v/>
      </c>
      <c r="T564" s="26" t="n"/>
      <c r="U564" s="1">
        <f>IF(D564="","",IFERROR(INDEX(Exercises!$C$6:$C$105,MATCH(D564,Exercises!$B$6:$B$105,0)),"Other"))</f>
        <v/>
      </c>
      <c r="V564">
        <f>IF(B564="","",IF(COUNTIF($B$6:B564,B564)=1,1,0))</f>
        <v/>
      </c>
      <c r="W564">
        <f>IF(B564="","",B564-WEEKDAY(B564,3))</f>
        <v/>
      </c>
      <c r="X564">
        <f>IF(D564="","",MAX(IF(N(F564)=0,0,IF(N(E564)&gt;0,E564*(1+F564/30),F564)),IF(N(H564)=0,0,IF(N(G564)&gt;0,G564*(1+H564/30),H564)),IF(N(J564)=0,0,IF(N(I564)&gt;0,I564*(1+J564/30),J564)),IF(N(L564)=0,0,IF(N(K564)&gt;0,K564*(1+L564/30),L564)),IF(N(N564)=0,0,IF(N(M564)&gt;0,M564*(1+N564/30),N564))))</f>
        <v/>
      </c>
      <c r="Y564">
        <f>IF(N(X564)=0,"",X564+ROW()/1000000000)</f>
        <v/>
      </c>
      <c r="Z564">
        <f>IF(Y564="","",IF(COUNTIFS(Log!$D$6:$D$1505,D564,Log!$Y$6:$Y$1505,"&gt;"&amp;Y564)=0,1,0))</f>
        <v/>
      </c>
      <c r="AA564">
        <f>IF(OR(B564="",D564=""),"",B564+ROW()/10000000)</f>
        <v/>
      </c>
      <c r="AB564">
        <f>IF(AA564="","",IF(COUNTIFS(Log!$D$6:$D$1505,D564,Log!$AA$6:$AA$1505,"&gt;"&amp;AA564)=0,1,0))</f>
        <v/>
      </c>
      <c r="AC564">
        <f>IF(S564="New best",AA564,"")</f>
        <v/>
      </c>
      <c r="AD564">
        <f>ROW()</f>
        <v/>
      </c>
    </row>
    <row r="565">
      <c r="A565" s="1" t="n"/>
      <c r="B565" s="21" t="n"/>
      <c r="C565" s="22" t="n"/>
      <c r="D565" s="23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15">
        <f>IF(D565="","",COUNT(F565,H565,J565,L565,N565))</f>
        <v/>
      </c>
      <c r="P565" s="25">
        <f>IF(D565="","",N(E565)*N(F565)+N(G565)*N(H565)+N(I565)*N(J565)+N(K565)*N(L565)+N(M565)*N(N565))</f>
        <v/>
      </c>
      <c r="Q565" s="18">
        <f>IF(N(X565)=0,"",IF(IF(N(F565)=0,0,IF(N(E565)&gt;0,E565*(1+F565/30),F565))=X565,IF(N(E565)&gt;0,E565&amp;" x "&amp;F565,F565&amp;" reps"),IF(IF(N(H565)=0,0,IF(N(G565)&gt;0,G565*(1+H565/30),H565))=X565,IF(N(G565)&gt;0,G565&amp;" x "&amp;H565,H565&amp;" reps"),IF(IF(N(J565)=0,0,IF(N(I565)&gt;0,I565*(1+J565/30),J565))=X565,IF(N(I565)&gt;0,I565&amp;" x "&amp;J565,J565&amp;" reps"),IF(IF(N(L565)=0,0,IF(N(K565)&gt;0,K565*(1+L565/30),L565))=X565,IF(N(K565)&gt;0,K565&amp;" x "&amp;L565,L565&amp;" reps"),IF(IF(N(N565)=0,0,IF(N(M565)&gt;0,M565*(1+N565/30),N565))=X565,IF(N(M565)&gt;0,M565&amp;" x "&amp;N565,N565&amp;" reps"),""))))))</f>
        <v/>
      </c>
      <c r="R565" s="20">
        <f>IF(N(X565)=0,"",ROUND(X565,1))</f>
        <v/>
      </c>
      <c r="S565" s="18">
        <f>IF(N(X565)=0,"",IF(AND(COUNTIFS(Log!$D$6:$D$1505,D565,Log!$B$6:$B$1505,"&lt;"&amp;B565)&gt;0,COUNTIFS(Log!$D$6:$D$1505,D565,Log!$B$6:$B$1505,"&lt;"&amp;B565,Log!$X$6:$X$1505,"&gt;="&amp;X565)=0),"New best",""))</f>
        <v/>
      </c>
      <c r="T565" s="26" t="n"/>
      <c r="U565" s="1">
        <f>IF(D565="","",IFERROR(INDEX(Exercises!$C$6:$C$105,MATCH(D565,Exercises!$B$6:$B$105,0)),"Other"))</f>
        <v/>
      </c>
      <c r="V565">
        <f>IF(B565="","",IF(COUNTIF($B$6:B565,B565)=1,1,0))</f>
        <v/>
      </c>
      <c r="W565">
        <f>IF(B565="","",B565-WEEKDAY(B565,3))</f>
        <v/>
      </c>
      <c r="X565">
        <f>IF(D565="","",MAX(IF(N(F565)=0,0,IF(N(E565)&gt;0,E565*(1+F565/30),F565)),IF(N(H565)=0,0,IF(N(G565)&gt;0,G565*(1+H565/30),H565)),IF(N(J565)=0,0,IF(N(I565)&gt;0,I565*(1+J565/30),J565)),IF(N(L565)=0,0,IF(N(K565)&gt;0,K565*(1+L565/30),L565)),IF(N(N565)=0,0,IF(N(M565)&gt;0,M565*(1+N565/30),N565))))</f>
        <v/>
      </c>
      <c r="Y565">
        <f>IF(N(X565)=0,"",X565+ROW()/1000000000)</f>
        <v/>
      </c>
      <c r="Z565">
        <f>IF(Y565="","",IF(COUNTIFS(Log!$D$6:$D$1505,D565,Log!$Y$6:$Y$1505,"&gt;"&amp;Y565)=0,1,0))</f>
        <v/>
      </c>
      <c r="AA565">
        <f>IF(OR(B565="",D565=""),"",B565+ROW()/10000000)</f>
        <v/>
      </c>
      <c r="AB565">
        <f>IF(AA565="","",IF(COUNTIFS(Log!$D$6:$D$1505,D565,Log!$AA$6:$AA$1505,"&gt;"&amp;AA565)=0,1,0))</f>
        <v/>
      </c>
      <c r="AC565">
        <f>IF(S565="New best",AA565,"")</f>
        <v/>
      </c>
      <c r="AD565">
        <f>ROW()</f>
        <v/>
      </c>
    </row>
    <row r="566">
      <c r="A566" s="1" t="n"/>
      <c r="B566" s="21" t="n"/>
      <c r="C566" s="22" t="n"/>
      <c r="D566" s="23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15">
        <f>IF(D566="","",COUNT(F566,H566,J566,L566,N566))</f>
        <v/>
      </c>
      <c r="P566" s="25">
        <f>IF(D566="","",N(E566)*N(F566)+N(G566)*N(H566)+N(I566)*N(J566)+N(K566)*N(L566)+N(M566)*N(N566))</f>
        <v/>
      </c>
      <c r="Q566" s="18">
        <f>IF(N(X566)=0,"",IF(IF(N(F566)=0,0,IF(N(E566)&gt;0,E566*(1+F566/30),F566))=X566,IF(N(E566)&gt;0,E566&amp;" x "&amp;F566,F566&amp;" reps"),IF(IF(N(H566)=0,0,IF(N(G566)&gt;0,G566*(1+H566/30),H566))=X566,IF(N(G566)&gt;0,G566&amp;" x "&amp;H566,H566&amp;" reps"),IF(IF(N(J566)=0,0,IF(N(I566)&gt;0,I566*(1+J566/30),J566))=X566,IF(N(I566)&gt;0,I566&amp;" x "&amp;J566,J566&amp;" reps"),IF(IF(N(L566)=0,0,IF(N(K566)&gt;0,K566*(1+L566/30),L566))=X566,IF(N(K566)&gt;0,K566&amp;" x "&amp;L566,L566&amp;" reps"),IF(IF(N(N566)=0,0,IF(N(M566)&gt;0,M566*(1+N566/30),N566))=X566,IF(N(M566)&gt;0,M566&amp;" x "&amp;N566,N566&amp;" reps"),""))))))</f>
        <v/>
      </c>
      <c r="R566" s="20">
        <f>IF(N(X566)=0,"",ROUND(X566,1))</f>
        <v/>
      </c>
      <c r="S566" s="18">
        <f>IF(N(X566)=0,"",IF(AND(COUNTIFS(Log!$D$6:$D$1505,D566,Log!$B$6:$B$1505,"&lt;"&amp;B566)&gt;0,COUNTIFS(Log!$D$6:$D$1505,D566,Log!$B$6:$B$1505,"&lt;"&amp;B566,Log!$X$6:$X$1505,"&gt;="&amp;X566)=0),"New best",""))</f>
        <v/>
      </c>
      <c r="T566" s="26" t="n"/>
      <c r="U566" s="1">
        <f>IF(D566="","",IFERROR(INDEX(Exercises!$C$6:$C$105,MATCH(D566,Exercises!$B$6:$B$105,0)),"Other"))</f>
        <v/>
      </c>
      <c r="V566">
        <f>IF(B566="","",IF(COUNTIF($B$6:B566,B566)=1,1,0))</f>
        <v/>
      </c>
      <c r="W566">
        <f>IF(B566="","",B566-WEEKDAY(B566,3))</f>
        <v/>
      </c>
      <c r="X566">
        <f>IF(D566="","",MAX(IF(N(F566)=0,0,IF(N(E566)&gt;0,E566*(1+F566/30),F566)),IF(N(H566)=0,0,IF(N(G566)&gt;0,G566*(1+H566/30),H566)),IF(N(J566)=0,0,IF(N(I566)&gt;0,I566*(1+J566/30),J566)),IF(N(L566)=0,0,IF(N(K566)&gt;0,K566*(1+L566/30),L566)),IF(N(N566)=0,0,IF(N(M566)&gt;0,M566*(1+N566/30),N566))))</f>
        <v/>
      </c>
      <c r="Y566">
        <f>IF(N(X566)=0,"",X566+ROW()/1000000000)</f>
        <v/>
      </c>
      <c r="Z566">
        <f>IF(Y566="","",IF(COUNTIFS(Log!$D$6:$D$1505,D566,Log!$Y$6:$Y$1505,"&gt;"&amp;Y566)=0,1,0))</f>
        <v/>
      </c>
      <c r="AA566">
        <f>IF(OR(B566="",D566=""),"",B566+ROW()/10000000)</f>
        <v/>
      </c>
      <c r="AB566">
        <f>IF(AA566="","",IF(COUNTIFS(Log!$D$6:$D$1505,D566,Log!$AA$6:$AA$1505,"&gt;"&amp;AA566)=0,1,0))</f>
        <v/>
      </c>
      <c r="AC566">
        <f>IF(S566="New best",AA566,"")</f>
        <v/>
      </c>
      <c r="AD566">
        <f>ROW()</f>
        <v/>
      </c>
    </row>
    <row r="567">
      <c r="A567" s="1" t="n"/>
      <c r="B567" s="21" t="n"/>
      <c r="C567" s="22" t="n"/>
      <c r="D567" s="23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15">
        <f>IF(D567="","",COUNT(F567,H567,J567,L567,N567))</f>
        <v/>
      </c>
      <c r="P567" s="25">
        <f>IF(D567="","",N(E567)*N(F567)+N(G567)*N(H567)+N(I567)*N(J567)+N(K567)*N(L567)+N(M567)*N(N567))</f>
        <v/>
      </c>
      <c r="Q567" s="18">
        <f>IF(N(X567)=0,"",IF(IF(N(F567)=0,0,IF(N(E567)&gt;0,E567*(1+F567/30),F567))=X567,IF(N(E567)&gt;0,E567&amp;" x "&amp;F567,F567&amp;" reps"),IF(IF(N(H567)=0,0,IF(N(G567)&gt;0,G567*(1+H567/30),H567))=X567,IF(N(G567)&gt;0,G567&amp;" x "&amp;H567,H567&amp;" reps"),IF(IF(N(J567)=0,0,IF(N(I567)&gt;0,I567*(1+J567/30),J567))=X567,IF(N(I567)&gt;0,I567&amp;" x "&amp;J567,J567&amp;" reps"),IF(IF(N(L567)=0,0,IF(N(K567)&gt;0,K567*(1+L567/30),L567))=X567,IF(N(K567)&gt;0,K567&amp;" x "&amp;L567,L567&amp;" reps"),IF(IF(N(N567)=0,0,IF(N(M567)&gt;0,M567*(1+N567/30),N567))=X567,IF(N(M567)&gt;0,M567&amp;" x "&amp;N567,N567&amp;" reps"),""))))))</f>
        <v/>
      </c>
      <c r="R567" s="20">
        <f>IF(N(X567)=0,"",ROUND(X567,1))</f>
        <v/>
      </c>
      <c r="S567" s="18">
        <f>IF(N(X567)=0,"",IF(AND(COUNTIFS(Log!$D$6:$D$1505,D567,Log!$B$6:$B$1505,"&lt;"&amp;B567)&gt;0,COUNTIFS(Log!$D$6:$D$1505,D567,Log!$B$6:$B$1505,"&lt;"&amp;B567,Log!$X$6:$X$1505,"&gt;="&amp;X567)=0),"New best",""))</f>
        <v/>
      </c>
      <c r="T567" s="26" t="n"/>
      <c r="U567" s="1">
        <f>IF(D567="","",IFERROR(INDEX(Exercises!$C$6:$C$105,MATCH(D567,Exercises!$B$6:$B$105,0)),"Other"))</f>
        <v/>
      </c>
      <c r="V567">
        <f>IF(B567="","",IF(COUNTIF($B$6:B567,B567)=1,1,0))</f>
        <v/>
      </c>
      <c r="W567">
        <f>IF(B567="","",B567-WEEKDAY(B567,3))</f>
        <v/>
      </c>
      <c r="X567">
        <f>IF(D567="","",MAX(IF(N(F567)=0,0,IF(N(E567)&gt;0,E567*(1+F567/30),F567)),IF(N(H567)=0,0,IF(N(G567)&gt;0,G567*(1+H567/30),H567)),IF(N(J567)=0,0,IF(N(I567)&gt;0,I567*(1+J567/30),J567)),IF(N(L567)=0,0,IF(N(K567)&gt;0,K567*(1+L567/30),L567)),IF(N(N567)=0,0,IF(N(M567)&gt;0,M567*(1+N567/30),N567))))</f>
        <v/>
      </c>
      <c r="Y567">
        <f>IF(N(X567)=0,"",X567+ROW()/1000000000)</f>
        <v/>
      </c>
      <c r="Z567">
        <f>IF(Y567="","",IF(COUNTIFS(Log!$D$6:$D$1505,D567,Log!$Y$6:$Y$1505,"&gt;"&amp;Y567)=0,1,0))</f>
        <v/>
      </c>
      <c r="AA567">
        <f>IF(OR(B567="",D567=""),"",B567+ROW()/10000000)</f>
        <v/>
      </c>
      <c r="AB567">
        <f>IF(AA567="","",IF(COUNTIFS(Log!$D$6:$D$1505,D567,Log!$AA$6:$AA$1505,"&gt;"&amp;AA567)=0,1,0))</f>
        <v/>
      </c>
      <c r="AC567">
        <f>IF(S567="New best",AA567,"")</f>
        <v/>
      </c>
      <c r="AD567">
        <f>ROW()</f>
        <v/>
      </c>
    </row>
    <row r="568">
      <c r="A568" s="1" t="n"/>
      <c r="B568" s="21" t="n"/>
      <c r="C568" s="22" t="n"/>
      <c r="D568" s="23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15">
        <f>IF(D568="","",COUNT(F568,H568,J568,L568,N568))</f>
        <v/>
      </c>
      <c r="P568" s="25">
        <f>IF(D568="","",N(E568)*N(F568)+N(G568)*N(H568)+N(I568)*N(J568)+N(K568)*N(L568)+N(M568)*N(N568))</f>
        <v/>
      </c>
      <c r="Q568" s="18">
        <f>IF(N(X568)=0,"",IF(IF(N(F568)=0,0,IF(N(E568)&gt;0,E568*(1+F568/30),F568))=X568,IF(N(E568)&gt;0,E568&amp;" x "&amp;F568,F568&amp;" reps"),IF(IF(N(H568)=0,0,IF(N(G568)&gt;0,G568*(1+H568/30),H568))=X568,IF(N(G568)&gt;0,G568&amp;" x "&amp;H568,H568&amp;" reps"),IF(IF(N(J568)=0,0,IF(N(I568)&gt;0,I568*(1+J568/30),J568))=X568,IF(N(I568)&gt;0,I568&amp;" x "&amp;J568,J568&amp;" reps"),IF(IF(N(L568)=0,0,IF(N(K568)&gt;0,K568*(1+L568/30),L568))=X568,IF(N(K568)&gt;0,K568&amp;" x "&amp;L568,L568&amp;" reps"),IF(IF(N(N568)=0,0,IF(N(M568)&gt;0,M568*(1+N568/30),N568))=X568,IF(N(M568)&gt;0,M568&amp;" x "&amp;N568,N568&amp;" reps"),""))))))</f>
        <v/>
      </c>
      <c r="R568" s="20">
        <f>IF(N(X568)=0,"",ROUND(X568,1))</f>
        <v/>
      </c>
      <c r="S568" s="18">
        <f>IF(N(X568)=0,"",IF(AND(COUNTIFS(Log!$D$6:$D$1505,D568,Log!$B$6:$B$1505,"&lt;"&amp;B568)&gt;0,COUNTIFS(Log!$D$6:$D$1505,D568,Log!$B$6:$B$1505,"&lt;"&amp;B568,Log!$X$6:$X$1505,"&gt;="&amp;X568)=0),"New best",""))</f>
        <v/>
      </c>
      <c r="T568" s="26" t="n"/>
      <c r="U568" s="1">
        <f>IF(D568="","",IFERROR(INDEX(Exercises!$C$6:$C$105,MATCH(D568,Exercises!$B$6:$B$105,0)),"Other"))</f>
        <v/>
      </c>
      <c r="V568">
        <f>IF(B568="","",IF(COUNTIF($B$6:B568,B568)=1,1,0))</f>
        <v/>
      </c>
      <c r="W568">
        <f>IF(B568="","",B568-WEEKDAY(B568,3))</f>
        <v/>
      </c>
      <c r="X568">
        <f>IF(D568="","",MAX(IF(N(F568)=0,0,IF(N(E568)&gt;0,E568*(1+F568/30),F568)),IF(N(H568)=0,0,IF(N(G568)&gt;0,G568*(1+H568/30),H568)),IF(N(J568)=0,0,IF(N(I568)&gt;0,I568*(1+J568/30),J568)),IF(N(L568)=0,0,IF(N(K568)&gt;0,K568*(1+L568/30),L568)),IF(N(N568)=0,0,IF(N(M568)&gt;0,M568*(1+N568/30),N568))))</f>
        <v/>
      </c>
      <c r="Y568">
        <f>IF(N(X568)=0,"",X568+ROW()/1000000000)</f>
        <v/>
      </c>
      <c r="Z568">
        <f>IF(Y568="","",IF(COUNTIFS(Log!$D$6:$D$1505,D568,Log!$Y$6:$Y$1505,"&gt;"&amp;Y568)=0,1,0))</f>
        <v/>
      </c>
      <c r="AA568">
        <f>IF(OR(B568="",D568=""),"",B568+ROW()/10000000)</f>
        <v/>
      </c>
      <c r="AB568">
        <f>IF(AA568="","",IF(COUNTIFS(Log!$D$6:$D$1505,D568,Log!$AA$6:$AA$1505,"&gt;"&amp;AA568)=0,1,0))</f>
        <v/>
      </c>
      <c r="AC568">
        <f>IF(S568="New best",AA568,"")</f>
        <v/>
      </c>
      <c r="AD568">
        <f>ROW()</f>
        <v/>
      </c>
    </row>
    <row r="569">
      <c r="A569" s="1" t="n"/>
      <c r="B569" s="21" t="n"/>
      <c r="C569" s="22" t="n"/>
      <c r="D569" s="23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15">
        <f>IF(D569="","",COUNT(F569,H569,J569,L569,N569))</f>
        <v/>
      </c>
      <c r="P569" s="25">
        <f>IF(D569="","",N(E569)*N(F569)+N(G569)*N(H569)+N(I569)*N(J569)+N(K569)*N(L569)+N(M569)*N(N569))</f>
        <v/>
      </c>
      <c r="Q569" s="18">
        <f>IF(N(X569)=0,"",IF(IF(N(F569)=0,0,IF(N(E569)&gt;0,E569*(1+F569/30),F569))=X569,IF(N(E569)&gt;0,E569&amp;" x "&amp;F569,F569&amp;" reps"),IF(IF(N(H569)=0,0,IF(N(G569)&gt;0,G569*(1+H569/30),H569))=X569,IF(N(G569)&gt;0,G569&amp;" x "&amp;H569,H569&amp;" reps"),IF(IF(N(J569)=0,0,IF(N(I569)&gt;0,I569*(1+J569/30),J569))=X569,IF(N(I569)&gt;0,I569&amp;" x "&amp;J569,J569&amp;" reps"),IF(IF(N(L569)=0,0,IF(N(K569)&gt;0,K569*(1+L569/30),L569))=X569,IF(N(K569)&gt;0,K569&amp;" x "&amp;L569,L569&amp;" reps"),IF(IF(N(N569)=0,0,IF(N(M569)&gt;0,M569*(1+N569/30),N569))=X569,IF(N(M569)&gt;0,M569&amp;" x "&amp;N569,N569&amp;" reps"),""))))))</f>
        <v/>
      </c>
      <c r="R569" s="20">
        <f>IF(N(X569)=0,"",ROUND(X569,1))</f>
        <v/>
      </c>
      <c r="S569" s="18">
        <f>IF(N(X569)=0,"",IF(AND(COUNTIFS(Log!$D$6:$D$1505,D569,Log!$B$6:$B$1505,"&lt;"&amp;B569)&gt;0,COUNTIFS(Log!$D$6:$D$1505,D569,Log!$B$6:$B$1505,"&lt;"&amp;B569,Log!$X$6:$X$1505,"&gt;="&amp;X569)=0),"New best",""))</f>
        <v/>
      </c>
      <c r="T569" s="26" t="n"/>
      <c r="U569" s="1">
        <f>IF(D569="","",IFERROR(INDEX(Exercises!$C$6:$C$105,MATCH(D569,Exercises!$B$6:$B$105,0)),"Other"))</f>
        <v/>
      </c>
      <c r="V569">
        <f>IF(B569="","",IF(COUNTIF($B$6:B569,B569)=1,1,0))</f>
        <v/>
      </c>
      <c r="W569">
        <f>IF(B569="","",B569-WEEKDAY(B569,3))</f>
        <v/>
      </c>
      <c r="X569">
        <f>IF(D569="","",MAX(IF(N(F569)=0,0,IF(N(E569)&gt;0,E569*(1+F569/30),F569)),IF(N(H569)=0,0,IF(N(G569)&gt;0,G569*(1+H569/30),H569)),IF(N(J569)=0,0,IF(N(I569)&gt;0,I569*(1+J569/30),J569)),IF(N(L569)=0,0,IF(N(K569)&gt;0,K569*(1+L569/30),L569)),IF(N(N569)=0,0,IF(N(M569)&gt;0,M569*(1+N569/30),N569))))</f>
        <v/>
      </c>
      <c r="Y569">
        <f>IF(N(X569)=0,"",X569+ROW()/1000000000)</f>
        <v/>
      </c>
      <c r="Z569">
        <f>IF(Y569="","",IF(COUNTIFS(Log!$D$6:$D$1505,D569,Log!$Y$6:$Y$1505,"&gt;"&amp;Y569)=0,1,0))</f>
        <v/>
      </c>
      <c r="AA569">
        <f>IF(OR(B569="",D569=""),"",B569+ROW()/10000000)</f>
        <v/>
      </c>
      <c r="AB569">
        <f>IF(AA569="","",IF(COUNTIFS(Log!$D$6:$D$1505,D569,Log!$AA$6:$AA$1505,"&gt;"&amp;AA569)=0,1,0))</f>
        <v/>
      </c>
      <c r="AC569">
        <f>IF(S569="New best",AA569,"")</f>
        <v/>
      </c>
      <c r="AD569">
        <f>ROW()</f>
        <v/>
      </c>
    </row>
    <row r="570">
      <c r="A570" s="1" t="n"/>
      <c r="B570" s="21" t="n"/>
      <c r="C570" s="22" t="n"/>
      <c r="D570" s="23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15">
        <f>IF(D570="","",COUNT(F570,H570,J570,L570,N570))</f>
        <v/>
      </c>
      <c r="P570" s="25">
        <f>IF(D570="","",N(E570)*N(F570)+N(G570)*N(H570)+N(I570)*N(J570)+N(K570)*N(L570)+N(M570)*N(N570))</f>
        <v/>
      </c>
      <c r="Q570" s="18">
        <f>IF(N(X570)=0,"",IF(IF(N(F570)=0,0,IF(N(E570)&gt;0,E570*(1+F570/30),F570))=X570,IF(N(E570)&gt;0,E570&amp;" x "&amp;F570,F570&amp;" reps"),IF(IF(N(H570)=0,0,IF(N(G570)&gt;0,G570*(1+H570/30),H570))=X570,IF(N(G570)&gt;0,G570&amp;" x "&amp;H570,H570&amp;" reps"),IF(IF(N(J570)=0,0,IF(N(I570)&gt;0,I570*(1+J570/30),J570))=X570,IF(N(I570)&gt;0,I570&amp;" x "&amp;J570,J570&amp;" reps"),IF(IF(N(L570)=0,0,IF(N(K570)&gt;0,K570*(1+L570/30),L570))=X570,IF(N(K570)&gt;0,K570&amp;" x "&amp;L570,L570&amp;" reps"),IF(IF(N(N570)=0,0,IF(N(M570)&gt;0,M570*(1+N570/30),N570))=X570,IF(N(M570)&gt;0,M570&amp;" x "&amp;N570,N570&amp;" reps"),""))))))</f>
        <v/>
      </c>
      <c r="R570" s="20">
        <f>IF(N(X570)=0,"",ROUND(X570,1))</f>
        <v/>
      </c>
      <c r="S570" s="18">
        <f>IF(N(X570)=0,"",IF(AND(COUNTIFS(Log!$D$6:$D$1505,D570,Log!$B$6:$B$1505,"&lt;"&amp;B570)&gt;0,COUNTIFS(Log!$D$6:$D$1505,D570,Log!$B$6:$B$1505,"&lt;"&amp;B570,Log!$X$6:$X$1505,"&gt;="&amp;X570)=0),"New best",""))</f>
        <v/>
      </c>
      <c r="T570" s="26" t="n"/>
      <c r="U570" s="1">
        <f>IF(D570="","",IFERROR(INDEX(Exercises!$C$6:$C$105,MATCH(D570,Exercises!$B$6:$B$105,0)),"Other"))</f>
        <v/>
      </c>
      <c r="V570">
        <f>IF(B570="","",IF(COUNTIF($B$6:B570,B570)=1,1,0))</f>
        <v/>
      </c>
      <c r="W570">
        <f>IF(B570="","",B570-WEEKDAY(B570,3))</f>
        <v/>
      </c>
      <c r="X570">
        <f>IF(D570="","",MAX(IF(N(F570)=0,0,IF(N(E570)&gt;0,E570*(1+F570/30),F570)),IF(N(H570)=0,0,IF(N(G570)&gt;0,G570*(1+H570/30),H570)),IF(N(J570)=0,0,IF(N(I570)&gt;0,I570*(1+J570/30),J570)),IF(N(L570)=0,0,IF(N(K570)&gt;0,K570*(1+L570/30),L570)),IF(N(N570)=0,0,IF(N(M570)&gt;0,M570*(1+N570/30),N570))))</f>
        <v/>
      </c>
      <c r="Y570">
        <f>IF(N(X570)=0,"",X570+ROW()/1000000000)</f>
        <v/>
      </c>
      <c r="Z570">
        <f>IF(Y570="","",IF(COUNTIFS(Log!$D$6:$D$1505,D570,Log!$Y$6:$Y$1505,"&gt;"&amp;Y570)=0,1,0))</f>
        <v/>
      </c>
      <c r="AA570">
        <f>IF(OR(B570="",D570=""),"",B570+ROW()/10000000)</f>
        <v/>
      </c>
      <c r="AB570">
        <f>IF(AA570="","",IF(COUNTIFS(Log!$D$6:$D$1505,D570,Log!$AA$6:$AA$1505,"&gt;"&amp;AA570)=0,1,0))</f>
        <v/>
      </c>
      <c r="AC570">
        <f>IF(S570="New best",AA570,"")</f>
        <v/>
      </c>
      <c r="AD570">
        <f>ROW()</f>
        <v/>
      </c>
    </row>
    <row r="571">
      <c r="A571" s="1" t="n"/>
      <c r="B571" s="21" t="n"/>
      <c r="C571" s="22" t="n"/>
      <c r="D571" s="23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15">
        <f>IF(D571="","",COUNT(F571,H571,J571,L571,N571))</f>
        <v/>
      </c>
      <c r="P571" s="25">
        <f>IF(D571="","",N(E571)*N(F571)+N(G571)*N(H571)+N(I571)*N(J571)+N(K571)*N(L571)+N(M571)*N(N571))</f>
        <v/>
      </c>
      <c r="Q571" s="18">
        <f>IF(N(X571)=0,"",IF(IF(N(F571)=0,0,IF(N(E571)&gt;0,E571*(1+F571/30),F571))=X571,IF(N(E571)&gt;0,E571&amp;" x "&amp;F571,F571&amp;" reps"),IF(IF(N(H571)=0,0,IF(N(G571)&gt;0,G571*(1+H571/30),H571))=X571,IF(N(G571)&gt;0,G571&amp;" x "&amp;H571,H571&amp;" reps"),IF(IF(N(J571)=0,0,IF(N(I571)&gt;0,I571*(1+J571/30),J571))=X571,IF(N(I571)&gt;0,I571&amp;" x "&amp;J571,J571&amp;" reps"),IF(IF(N(L571)=0,0,IF(N(K571)&gt;0,K571*(1+L571/30),L571))=X571,IF(N(K571)&gt;0,K571&amp;" x "&amp;L571,L571&amp;" reps"),IF(IF(N(N571)=0,0,IF(N(M571)&gt;0,M571*(1+N571/30),N571))=X571,IF(N(M571)&gt;0,M571&amp;" x "&amp;N571,N571&amp;" reps"),""))))))</f>
        <v/>
      </c>
      <c r="R571" s="20">
        <f>IF(N(X571)=0,"",ROUND(X571,1))</f>
        <v/>
      </c>
      <c r="S571" s="18">
        <f>IF(N(X571)=0,"",IF(AND(COUNTIFS(Log!$D$6:$D$1505,D571,Log!$B$6:$B$1505,"&lt;"&amp;B571)&gt;0,COUNTIFS(Log!$D$6:$D$1505,D571,Log!$B$6:$B$1505,"&lt;"&amp;B571,Log!$X$6:$X$1505,"&gt;="&amp;X571)=0),"New best",""))</f>
        <v/>
      </c>
      <c r="T571" s="26" t="n"/>
      <c r="U571" s="1">
        <f>IF(D571="","",IFERROR(INDEX(Exercises!$C$6:$C$105,MATCH(D571,Exercises!$B$6:$B$105,0)),"Other"))</f>
        <v/>
      </c>
      <c r="V571">
        <f>IF(B571="","",IF(COUNTIF($B$6:B571,B571)=1,1,0))</f>
        <v/>
      </c>
      <c r="W571">
        <f>IF(B571="","",B571-WEEKDAY(B571,3))</f>
        <v/>
      </c>
      <c r="X571">
        <f>IF(D571="","",MAX(IF(N(F571)=0,0,IF(N(E571)&gt;0,E571*(1+F571/30),F571)),IF(N(H571)=0,0,IF(N(G571)&gt;0,G571*(1+H571/30),H571)),IF(N(J571)=0,0,IF(N(I571)&gt;0,I571*(1+J571/30),J571)),IF(N(L571)=0,0,IF(N(K571)&gt;0,K571*(1+L571/30),L571)),IF(N(N571)=0,0,IF(N(M571)&gt;0,M571*(1+N571/30),N571))))</f>
        <v/>
      </c>
      <c r="Y571">
        <f>IF(N(X571)=0,"",X571+ROW()/1000000000)</f>
        <v/>
      </c>
      <c r="Z571">
        <f>IF(Y571="","",IF(COUNTIFS(Log!$D$6:$D$1505,D571,Log!$Y$6:$Y$1505,"&gt;"&amp;Y571)=0,1,0))</f>
        <v/>
      </c>
      <c r="AA571">
        <f>IF(OR(B571="",D571=""),"",B571+ROW()/10000000)</f>
        <v/>
      </c>
      <c r="AB571">
        <f>IF(AA571="","",IF(COUNTIFS(Log!$D$6:$D$1505,D571,Log!$AA$6:$AA$1505,"&gt;"&amp;AA571)=0,1,0))</f>
        <v/>
      </c>
      <c r="AC571">
        <f>IF(S571="New best",AA571,"")</f>
        <v/>
      </c>
      <c r="AD571">
        <f>ROW()</f>
        <v/>
      </c>
    </row>
    <row r="572">
      <c r="A572" s="1" t="n"/>
      <c r="B572" s="21" t="n"/>
      <c r="C572" s="22" t="n"/>
      <c r="D572" s="23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15">
        <f>IF(D572="","",COUNT(F572,H572,J572,L572,N572))</f>
        <v/>
      </c>
      <c r="P572" s="25">
        <f>IF(D572="","",N(E572)*N(F572)+N(G572)*N(H572)+N(I572)*N(J572)+N(K572)*N(L572)+N(M572)*N(N572))</f>
        <v/>
      </c>
      <c r="Q572" s="18">
        <f>IF(N(X572)=0,"",IF(IF(N(F572)=0,0,IF(N(E572)&gt;0,E572*(1+F572/30),F572))=X572,IF(N(E572)&gt;0,E572&amp;" x "&amp;F572,F572&amp;" reps"),IF(IF(N(H572)=0,0,IF(N(G572)&gt;0,G572*(1+H572/30),H572))=X572,IF(N(G572)&gt;0,G572&amp;" x "&amp;H572,H572&amp;" reps"),IF(IF(N(J572)=0,0,IF(N(I572)&gt;0,I572*(1+J572/30),J572))=X572,IF(N(I572)&gt;0,I572&amp;" x "&amp;J572,J572&amp;" reps"),IF(IF(N(L572)=0,0,IF(N(K572)&gt;0,K572*(1+L572/30),L572))=X572,IF(N(K572)&gt;0,K572&amp;" x "&amp;L572,L572&amp;" reps"),IF(IF(N(N572)=0,0,IF(N(M572)&gt;0,M572*(1+N572/30),N572))=X572,IF(N(M572)&gt;0,M572&amp;" x "&amp;N572,N572&amp;" reps"),""))))))</f>
        <v/>
      </c>
      <c r="R572" s="20">
        <f>IF(N(X572)=0,"",ROUND(X572,1))</f>
        <v/>
      </c>
      <c r="S572" s="18">
        <f>IF(N(X572)=0,"",IF(AND(COUNTIFS(Log!$D$6:$D$1505,D572,Log!$B$6:$B$1505,"&lt;"&amp;B572)&gt;0,COUNTIFS(Log!$D$6:$D$1505,D572,Log!$B$6:$B$1505,"&lt;"&amp;B572,Log!$X$6:$X$1505,"&gt;="&amp;X572)=0),"New best",""))</f>
        <v/>
      </c>
      <c r="T572" s="26" t="n"/>
      <c r="U572" s="1">
        <f>IF(D572="","",IFERROR(INDEX(Exercises!$C$6:$C$105,MATCH(D572,Exercises!$B$6:$B$105,0)),"Other"))</f>
        <v/>
      </c>
      <c r="V572">
        <f>IF(B572="","",IF(COUNTIF($B$6:B572,B572)=1,1,0))</f>
        <v/>
      </c>
      <c r="W572">
        <f>IF(B572="","",B572-WEEKDAY(B572,3))</f>
        <v/>
      </c>
      <c r="X572">
        <f>IF(D572="","",MAX(IF(N(F572)=0,0,IF(N(E572)&gt;0,E572*(1+F572/30),F572)),IF(N(H572)=0,0,IF(N(G572)&gt;0,G572*(1+H572/30),H572)),IF(N(J572)=0,0,IF(N(I572)&gt;0,I572*(1+J572/30),J572)),IF(N(L572)=0,0,IF(N(K572)&gt;0,K572*(1+L572/30),L572)),IF(N(N572)=0,0,IF(N(M572)&gt;0,M572*(1+N572/30),N572))))</f>
        <v/>
      </c>
      <c r="Y572">
        <f>IF(N(X572)=0,"",X572+ROW()/1000000000)</f>
        <v/>
      </c>
      <c r="Z572">
        <f>IF(Y572="","",IF(COUNTIFS(Log!$D$6:$D$1505,D572,Log!$Y$6:$Y$1505,"&gt;"&amp;Y572)=0,1,0))</f>
        <v/>
      </c>
      <c r="AA572">
        <f>IF(OR(B572="",D572=""),"",B572+ROW()/10000000)</f>
        <v/>
      </c>
      <c r="AB572">
        <f>IF(AA572="","",IF(COUNTIFS(Log!$D$6:$D$1505,D572,Log!$AA$6:$AA$1505,"&gt;"&amp;AA572)=0,1,0))</f>
        <v/>
      </c>
      <c r="AC572">
        <f>IF(S572="New best",AA572,"")</f>
        <v/>
      </c>
      <c r="AD572">
        <f>ROW()</f>
        <v/>
      </c>
    </row>
    <row r="573">
      <c r="A573" s="1" t="n"/>
      <c r="B573" s="21" t="n"/>
      <c r="C573" s="22" t="n"/>
      <c r="D573" s="23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15">
        <f>IF(D573="","",COUNT(F573,H573,J573,L573,N573))</f>
        <v/>
      </c>
      <c r="P573" s="25">
        <f>IF(D573="","",N(E573)*N(F573)+N(G573)*N(H573)+N(I573)*N(J573)+N(K573)*N(L573)+N(M573)*N(N573))</f>
        <v/>
      </c>
      <c r="Q573" s="18">
        <f>IF(N(X573)=0,"",IF(IF(N(F573)=0,0,IF(N(E573)&gt;0,E573*(1+F573/30),F573))=X573,IF(N(E573)&gt;0,E573&amp;" x "&amp;F573,F573&amp;" reps"),IF(IF(N(H573)=0,0,IF(N(G573)&gt;0,G573*(1+H573/30),H573))=X573,IF(N(G573)&gt;0,G573&amp;" x "&amp;H573,H573&amp;" reps"),IF(IF(N(J573)=0,0,IF(N(I573)&gt;0,I573*(1+J573/30),J573))=X573,IF(N(I573)&gt;0,I573&amp;" x "&amp;J573,J573&amp;" reps"),IF(IF(N(L573)=0,0,IF(N(K573)&gt;0,K573*(1+L573/30),L573))=X573,IF(N(K573)&gt;0,K573&amp;" x "&amp;L573,L573&amp;" reps"),IF(IF(N(N573)=0,0,IF(N(M573)&gt;0,M573*(1+N573/30),N573))=X573,IF(N(M573)&gt;0,M573&amp;" x "&amp;N573,N573&amp;" reps"),""))))))</f>
        <v/>
      </c>
      <c r="R573" s="20">
        <f>IF(N(X573)=0,"",ROUND(X573,1))</f>
        <v/>
      </c>
      <c r="S573" s="18">
        <f>IF(N(X573)=0,"",IF(AND(COUNTIFS(Log!$D$6:$D$1505,D573,Log!$B$6:$B$1505,"&lt;"&amp;B573)&gt;0,COUNTIFS(Log!$D$6:$D$1505,D573,Log!$B$6:$B$1505,"&lt;"&amp;B573,Log!$X$6:$X$1505,"&gt;="&amp;X573)=0),"New best",""))</f>
        <v/>
      </c>
      <c r="T573" s="26" t="n"/>
      <c r="U573" s="1">
        <f>IF(D573="","",IFERROR(INDEX(Exercises!$C$6:$C$105,MATCH(D573,Exercises!$B$6:$B$105,0)),"Other"))</f>
        <v/>
      </c>
      <c r="V573">
        <f>IF(B573="","",IF(COUNTIF($B$6:B573,B573)=1,1,0))</f>
        <v/>
      </c>
      <c r="W573">
        <f>IF(B573="","",B573-WEEKDAY(B573,3))</f>
        <v/>
      </c>
      <c r="X573">
        <f>IF(D573="","",MAX(IF(N(F573)=0,0,IF(N(E573)&gt;0,E573*(1+F573/30),F573)),IF(N(H573)=0,0,IF(N(G573)&gt;0,G573*(1+H573/30),H573)),IF(N(J573)=0,0,IF(N(I573)&gt;0,I573*(1+J573/30),J573)),IF(N(L573)=0,0,IF(N(K573)&gt;0,K573*(1+L573/30),L573)),IF(N(N573)=0,0,IF(N(M573)&gt;0,M573*(1+N573/30),N573))))</f>
        <v/>
      </c>
      <c r="Y573">
        <f>IF(N(X573)=0,"",X573+ROW()/1000000000)</f>
        <v/>
      </c>
      <c r="Z573">
        <f>IF(Y573="","",IF(COUNTIFS(Log!$D$6:$D$1505,D573,Log!$Y$6:$Y$1505,"&gt;"&amp;Y573)=0,1,0))</f>
        <v/>
      </c>
      <c r="AA573">
        <f>IF(OR(B573="",D573=""),"",B573+ROW()/10000000)</f>
        <v/>
      </c>
      <c r="AB573">
        <f>IF(AA573="","",IF(COUNTIFS(Log!$D$6:$D$1505,D573,Log!$AA$6:$AA$1505,"&gt;"&amp;AA573)=0,1,0))</f>
        <v/>
      </c>
      <c r="AC573">
        <f>IF(S573="New best",AA573,"")</f>
        <v/>
      </c>
      <c r="AD573">
        <f>ROW()</f>
        <v/>
      </c>
    </row>
    <row r="574">
      <c r="A574" s="1" t="n"/>
      <c r="B574" s="21" t="n"/>
      <c r="C574" s="22" t="n"/>
      <c r="D574" s="23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15">
        <f>IF(D574="","",COUNT(F574,H574,J574,L574,N574))</f>
        <v/>
      </c>
      <c r="P574" s="25">
        <f>IF(D574="","",N(E574)*N(F574)+N(G574)*N(H574)+N(I574)*N(J574)+N(K574)*N(L574)+N(M574)*N(N574))</f>
        <v/>
      </c>
      <c r="Q574" s="18">
        <f>IF(N(X574)=0,"",IF(IF(N(F574)=0,0,IF(N(E574)&gt;0,E574*(1+F574/30),F574))=X574,IF(N(E574)&gt;0,E574&amp;" x "&amp;F574,F574&amp;" reps"),IF(IF(N(H574)=0,0,IF(N(G574)&gt;0,G574*(1+H574/30),H574))=X574,IF(N(G574)&gt;0,G574&amp;" x "&amp;H574,H574&amp;" reps"),IF(IF(N(J574)=0,0,IF(N(I574)&gt;0,I574*(1+J574/30),J574))=X574,IF(N(I574)&gt;0,I574&amp;" x "&amp;J574,J574&amp;" reps"),IF(IF(N(L574)=0,0,IF(N(K574)&gt;0,K574*(1+L574/30),L574))=X574,IF(N(K574)&gt;0,K574&amp;" x "&amp;L574,L574&amp;" reps"),IF(IF(N(N574)=0,0,IF(N(M574)&gt;0,M574*(1+N574/30),N574))=X574,IF(N(M574)&gt;0,M574&amp;" x "&amp;N574,N574&amp;" reps"),""))))))</f>
        <v/>
      </c>
      <c r="R574" s="20">
        <f>IF(N(X574)=0,"",ROUND(X574,1))</f>
        <v/>
      </c>
      <c r="S574" s="18">
        <f>IF(N(X574)=0,"",IF(AND(COUNTIFS(Log!$D$6:$D$1505,D574,Log!$B$6:$B$1505,"&lt;"&amp;B574)&gt;0,COUNTIFS(Log!$D$6:$D$1505,D574,Log!$B$6:$B$1505,"&lt;"&amp;B574,Log!$X$6:$X$1505,"&gt;="&amp;X574)=0),"New best",""))</f>
        <v/>
      </c>
      <c r="T574" s="26" t="n"/>
      <c r="U574" s="1">
        <f>IF(D574="","",IFERROR(INDEX(Exercises!$C$6:$C$105,MATCH(D574,Exercises!$B$6:$B$105,0)),"Other"))</f>
        <v/>
      </c>
      <c r="V574">
        <f>IF(B574="","",IF(COUNTIF($B$6:B574,B574)=1,1,0))</f>
        <v/>
      </c>
      <c r="W574">
        <f>IF(B574="","",B574-WEEKDAY(B574,3))</f>
        <v/>
      </c>
      <c r="X574">
        <f>IF(D574="","",MAX(IF(N(F574)=0,0,IF(N(E574)&gt;0,E574*(1+F574/30),F574)),IF(N(H574)=0,0,IF(N(G574)&gt;0,G574*(1+H574/30),H574)),IF(N(J574)=0,0,IF(N(I574)&gt;0,I574*(1+J574/30),J574)),IF(N(L574)=0,0,IF(N(K574)&gt;0,K574*(1+L574/30),L574)),IF(N(N574)=0,0,IF(N(M574)&gt;0,M574*(1+N574/30),N574))))</f>
        <v/>
      </c>
      <c r="Y574">
        <f>IF(N(X574)=0,"",X574+ROW()/1000000000)</f>
        <v/>
      </c>
      <c r="Z574">
        <f>IF(Y574="","",IF(COUNTIFS(Log!$D$6:$D$1505,D574,Log!$Y$6:$Y$1505,"&gt;"&amp;Y574)=0,1,0))</f>
        <v/>
      </c>
      <c r="AA574">
        <f>IF(OR(B574="",D574=""),"",B574+ROW()/10000000)</f>
        <v/>
      </c>
      <c r="AB574">
        <f>IF(AA574="","",IF(COUNTIFS(Log!$D$6:$D$1505,D574,Log!$AA$6:$AA$1505,"&gt;"&amp;AA574)=0,1,0))</f>
        <v/>
      </c>
      <c r="AC574">
        <f>IF(S574="New best",AA574,"")</f>
        <v/>
      </c>
      <c r="AD574">
        <f>ROW()</f>
        <v/>
      </c>
    </row>
    <row r="575">
      <c r="A575" s="1" t="n"/>
      <c r="B575" s="21" t="n"/>
      <c r="C575" s="22" t="n"/>
      <c r="D575" s="23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15">
        <f>IF(D575="","",COUNT(F575,H575,J575,L575,N575))</f>
        <v/>
      </c>
      <c r="P575" s="25">
        <f>IF(D575="","",N(E575)*N(F575)+N(G575)*N(H575)+N(I575)*N(J575)+N(K575)*N(L575)+N(M575)*N(N575))</f>
        <v/>
      </c>
      <c r="Q575" s="18">
        <f>IF(N(X575)=0,"",IF(IF(N(F575)=0,0,IF(N(E575)&gt;0,E575*(1+F575/30),F575))=X575,IF(N(E575)&gt;0,E575&amp;" x "&amp;F575,F575&amp;" reps"),IF(IF(N(H575)=0,0,IF(N(G575)&gt;0,G575*(1+H575/30),H575))=X575,IF(N(G575)&gt;0,G575&amp;" x "&amp;H575,H575&amp;" reps"),IF(IF(N(J575)=0,0,IF(N(I575)&gt;0,I575*(1+J575/30),J575))=X575,IF(N(I575)&gt;0,I575&amp;" x "&amp;J575,J575&amp;" reps"),IF(IF(N(L575)=0,0,IF(N(K575)&gt;0,K575*(1+L575/30),L575))=X575,IF(N(K575)&gt;0,K575&amp;" x "&amp;L575,L575&amp;" reps"),IF(IF(N(N575)=0,0,IF(N(M575)&gt;0,M575*(1+N575/30),N575))=X575,IF(N(M575)&gt;0,M575&amp;" x "&amp;N575,N575&amp;" reps"),""))))))</f>
        <v/>
      </c>
      <c r="R575" s="20">
        <f>IF(N(X575)=0,"",ROUND(X575,1))</f>
        <v/>
      </c>
      <c r="S575" s="18">
        <f>IF(N(X575)=0,"",IF(AND(COUNTIFS(Log!$D$6:$D$1505,D575,Log!$B$6:$B$1505,"&lt;"&amp;B575)&gt;0,COUNTIFS(Log!$D$6:$D$1505,D575,Log!$B$6:$B$1505,"&lt;"&amp;B575,Log!$X$6:$X$1505,"&gt;="&amp;X575)=0),"New best",""))</f>
        <v/>
      </c>
      <c r="T575" s="26" t="n"/>
      <c r="U575" s="1">
        <f>IF(D575="","",IFERROR(INDEX(Exercises!$C$6:$C$105,MATCH(D575,Exercises!$B$6:$B$105,0)),"Other"))</f>
        <v/>
      </c>
      <c r="V575">
        <f>IF(B575="","",IF(COUNTIF($B$6:B575,B575)=1,1,0))</f>
        <v/>
      </c>
      <c r="W575">
        <f>IF(B575="","",B575-WEEKDAY(B575,3))</f>
        <v/>
      </c>
      <c r="X575">
        <f>IF(D575="","",MAX(IF(N(F575)=0,0,IF(N(E575)&gt;0,E575*(1+F575/30),F575)),IF(N(H575)=0,0,IF(N(G575)&gt;0,G575*(1+H575/30),H575)),IF(N(J575)=0,0,IF(N(I575)&gt;0,I575*(1+J575/30),J575)),IF(N(L575)=0,0,IF(N(K575)&gt;0,K575*(1+L575/30),L575)),IF(N(N575)=0,0,IF(N(M575)&gt;0,M575*(1+N575/30),N575))))</f>
        <v/>
      </c>
      <c r="Y575">
        <f>IF(N(X575)=0,"",X575+ROW()/1000000000)</f>
        <v/>
      </c>
      <c r="Z575">
        <f>IF(Y575="","",IF(COUNTIFS(Log!$D$6:$D$1505,D575,Log!$Y$6:$Y$1505,"&gt;"&amp;Y575)=0,1,0))</f>
        <v/>
      </c>
      <c r="AA575">
        <f>IF(OR(B575="",D575=""),"",B575+ROW()/10000000)</f>
        <v/>
      </c>
      <c r="AB575">
        <f>IF(AA575="","",IF(COUNTIFS(Log!$D$6:$D$1505,D575,Log!$AA$6:$AA$1505,"&gt;"&amp;AA575)=0,1,0))</f>
        <v/>
      </c>
      <c r="AC575">
        <f>IF(S575="New best",AA575,"")</f>
        <v/>
      </c>
      <c r="AD575">
        <f>ROW()</f>
        <v/>
      </c>
    </row>
    <row r="576">
      <c r="A576" s="1" t="n"/>
      <c r="B576" s="21" t="n"/>
      <c r="C576" s="22" t="n"/>
      <c r="D576" s="23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15">
        <f>IF(D576="","",COUNT(F576,H576,J576,L576,N576))</f>
        <v/>
      </c>
      <c r="P576" s="25">
        <f>IF(D576="","",N(E576)*N(F576)+N(G576)*N(H576)+N(I576)*N(J576)+N(K576)*N(L576)+N(M576)*N(N576))</f>
        <v/>
      </c>
      <c r="Q576" s="18">
        <f>IF(N(X576)=0,"",IF(IF(N(F576)=0,0,IF(N(E576)&gt;0,E576*(1+F576/30),F576))=X576,IF(N(E576)&gt;0,E576&amp;" x "&amp;F576,F576&amp;" reps"),IF(IF(N(H576)=0,0,IF(N(G576)&gt;0,G576*(1+H576/30),H576))=X576,IF(N(G576)&gt;0,G576&amp;" x "&amp;H576,H576&amp;" reps"),IF(IF(N(J576)=0,0,IF(N(I576)&gt;0,I576*(1+J576/30),J576))=X576,IF(N(I576)&gt;0,I576&amp;" x "&amp;J576,J576&amp;" reps"),IF(IF(N(L576)=0,0,IF(N(K576)&gt;0,K576*(1+L576/30),L576))=X576,IF(N(K576)&gt;0,K576&amp;" x "&amp;L576,L576&amp;" reps"),IF(IF(N(N576)=0,0,IF(N(M576)&gt;0,M576*(1+N576/30),N576))=X576,IF(N(M576)&gt;0,M576&amp;" x "&amp;N576,N576&amp;" reps"),""))))))</f>
        <v/>
      </c>
      <c r="R576" s="20">
        <f>IF(N(X576)=0,"",ROUND(X576,1))</f>
        <v/>
      </c>
      <c r="S576" s="18">
        <f>IF(N(X576)=0,"",IF(AND(COUNTIFS(Log!$D$6:$D$1505,D576,Log!$B$6:$B$1505,"&lt;"&amp;B576)&gt;0,COUNTIFS(Log!$D$6:$D$1505,D576,Log!$B$6:$B$1505,"&lt;"&amp;B576,Log!$X$6:$X$1505,"&gt;="&amp;X576)=0),"New best",""))</f>
        <v/>
      </c>
      <c r="T576" s="26" t="n"/>
      <c r="U576" s="1">
        <f>IF(D576="","",IFERROR(INDEX(Exercises!$C$6:$C$105,MATCH(D576,Exercises!$B$6:$B$105,0)),"Other"))</f>
        <v/>
      </c>
      <c r="V576">
        <f>IF(B576="","",IF(COUNTIF($B$6:B576,B576)=1,1,0))</f>
        <v/>
      </c>
      <c r="W576">
        <f>IF(B576="","",B576-WEEKDAY(B576,3))</f>
        <v/>
      </c>
      <c r="X576">
        <f>IF(D576="","",MAX(IF(N(F576)=0,0,IF(N(E576)&gt;0,E576*(1+F576/30),F576)),IF(N(H576)=0,0,IF(N(G576)&gt;0,G576*(1+H576/30),H576)),IF(N(J576)=0,0,IF(N(I576)&gt;0,I576*(1+J576/30),J576)),IF(N(L576)=0,0,IF(N(K576)&gt;0,K576*(1+L576/30),L576)),IF(N(N576)=0,0,IF(N(M576)&gt;0,M576*(1+N576/30),N576))))</f>
        <v/>
      </c>
      <c r="Y576">
        <f>IF(N(X576)=0,"",X576+ROW()/1000000000)</f>
        <v/>
      </c>
      <c r="Z576">
        <f>IF(Y576="","",IF(COUNTIFS(Log!$D$6:$D$1505,D576,Log!$Y$6:$Y$1505,"&gt;"&amp;Y576)=0,1,0))</f>
        <v/>
      </c>
      <c r="AA576">
        <f>IF(OR(B576="",D576=""),"",B576+ROW()/10000000)</f>
        <v/>
      </c>
      <c r="AB576">
        <f>IF(AA576="","",IF(COUNTIFS(Log!$D$6:$D$1505,D576,Log!$AA$6:$AA$1505,"&gt;"&amp;AA576)=0,1,0))</f>
        <v/>
      </c>
      <c r="AC576">
        <f>IF(S576="New best",AA576,"")</f>
        <v/>
      </c>
      <c r="AD576">
        <f>ROW()</f>
        <v/>
      </c>
    </row>
    <row r="577">
      <c r="A577" s="1" t="n"/>
      <c r="B577" s="21" t="n"/>
      <c r="C577" s="22" t="n"/>
      <c r="D577" s="23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15">
        <f>IF(D577="","",COUNT(F577,H577,J577,L577,N577))</f>
        <v/>
      </c>
      <c r="P577" s="25">
        <f>IF(D577="","",N(E577)*N(F577)+N(G577)*N(H577)+N(I577)*N(J577)+N(K577)*N(L577)+N(M577)*N(N577))</f>
        <v/>
      </c>
      <c r="Q577" s="18">
        <f>IF(N(X577)=0,"",IF(IF(N(F577)=0,0,IF(N(E577)&gt;0,E577*(1+F577/30),F577))=X577,IF(N(E577)&gt;0,E577&amp;" x "&amp;F577,F577&amp;" reps"),IF(IF(N(H577)=0,0,IF(N(G577)&gt;0,G577*(1+H577/30),H577))=X577,IF(N(G577)&gt;0,G577&amp;" x "&amp;H577,H577&amp;" reps"),IF(IF(N(J577)=0,0,IF(N(I577)&gt;0,I577*(1+J577/30),J577))=X577,IF(N(I577)&gt;0,I577&amp;" x "&amp;J577,J577&amp;" reps"),IF(IF(N(L577)=0,0,IF(N(K577)&gt;0,K577*(1+L577/30),L577))=X577,IF(N(K577)&gt;0,K577&amp;" x "&amp;L577,L577&amp;" reps"),IF(IF(N(N577)=0,0,IF(N(M577)&gt;0,M577*(1+N577/30),N577))=X577,IF(N(M577)&gt;0,M577&amp;" x "&amp;N577,N577&amp;" reps"),""))))))</f>
        <v/>
      </c>
      <c r="R577" s="20">
        <f>IF(N(X577)=0,"",ROUND(X577,1))</f>
        <v/>
      </c>
      <c r="S577" s="18">
        <f>IF(N(X577)=0,"",IF(AND(COUNTIFS(Log!$D$6:$D$1505,D577,Log!$B$6:$B$1505,"&lt;"&amp;B577)&gt;0,COUNTIFS(Log!$D$6:$D$1505,D577,Log!$B$6:$B$1505,"&lt;"&amp;B577,Log!$X$6:$X$1505,"&gt;="&amp;X577)=0),"New best",""))</f>
        <v/>
      </c>
      <c r="T577" s="26" t="n"/>
      <c r="U577" s="1">
        <f>IF(D577="","",IFERROR(INDEX(Exercises!$C$6:$C$105,MATCH(D577,Exercises!$B$6:$B$105,0)),"Other"))</f>
        <v/>
      </c>
      <c r="V577">
        <f>IF(B577="","",IF(COUNTIF($B$6:B577,B577)=1,1,0))</f>
        <v/>
      </c>
      <c r="W577">
        <f>IF(B577="","",B577-WEEKDAY(B577,3))</f>
        <v/>
      </c>
      <c r="X577">
        <f>IF(D577="","",MAX(IF(N(F577)=0,0,IF(N(E577)&gt;0,E577*(1+F577/30),F577)),IF(N(H577)=0,0,IF(N(G577)&gt;0,G577*(1+H577/30),H577)),IF(N(J577)=0,0,IF(N(I577)&gt;0,I577*(1+J577/30),J577)),IF(N(L577)=0,0,IF(N(K577)&gt;0,K577*(1+L577/30),L577)),IF(N(N577)=0,0,IF(N(M577)&gt;0,M577*(1+N577/30),N577))))</f>
        <v/>
      </c>
      <c r="Y577">
        <f>IF(N(X577)=0,"",X577+ROW()/1000000000)</f>
        <v/>
      </c>
      <c r="Z577">
        <f>IF(Y577="","",IF(COUNTIFS(Log!$D$6:$D$1505,D577,Log!$Y$6:$Y$1505,"&gt;"&amp;Y577)=0,1,0))</f>
        <v/>
      </c>
      <c r="AA577">
        <f>IF(OR(B577="",D577=""),"",B577+ROW()/10000000)</f>
        <v/>
      </c>
      <c r="AB577">
        <f>IF(AA577="","",IF(COUNTIFS(Log!$D$6:$D$1505,D577,Log!$AA$6:$AA$1505,"&gt;"&amp;AA577)=0,1,0))</f>
        <v/>
      </c>
      <c r="AC577">
        <f>IF(S577="New best",AA577,"")</f>
        <v/>
      </c>
      <c r="AD577">
        <f>ROW()</f>
        <v/>
      </c>
    </row>
    <row r="578">
      <c r="A578" s="1" t="n"/>
      <c r="B578" s="21" t="n"/>
      <c r="C578" s="22" t="n"/>
      <c r="D578" s="23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15">
        <f>IF(D578="","",COUNT(F578,H578,J578,L578,N578))</f>
        <v/>
      </c>
      <c r="P578" s="25">
        <f>IF(D578="","",N(E578)*N(F578)+N(G578)*N(H578)+N(I578)*N(J578)+N(K578)*N(L578)+N(M578)*N(N578))</f>
        <v/>
      </c>
      <c r="Q578" s="18">
        <f>IF(N(X578)=0,"",IF(IF(N(F578)=0,0,IF(N(E578)&gt;0,E578*(1+F578/30),F578))=X578,IF(N(E578)&gt;0,E578&amp;" x "&amp;F578,F578&amp;" reps"),IF(IF(N(H578)=0,0,IF(N(G578)&gt;0,G578*(1+H578/30),H578))=X578,IF(N(G578)&gt;0,G578&amp;" x "&amp;H578,H578&amp;" reps"),IF(IF(N(J578)=0,0,IF(N(I578)&gt;0,I578*(1+J578/30),J578))=X578,IF(N(I578)&gt;0,I578&amp;" x "&amp;J578,J578&amp;" reps"),IF(IF(N(L578)=0,0,IF(N(K578)&gt;0,K578*(1+L578/30),L578))=X578,IF(N(K578)&gt;0,K578&amp;" x "&amp;L578,L578&amp;" reps"),IF(IF(N(N578)=0,0,IF(N(M578)&gt;0,M578*(1+N578/30),N578))=X578,IF(N(M578)&gt;0,M578&amp;" x "&amp;N578,N578&amp;" reps"),""))))))</f>
        <v/>
      </c>
      <c r="R578" s="20">
        <f>IF(N(X578)=0,"",ROUND(X578,1))</f>
        <v/>
      </c>
      <c r="S578" s="18">
        <f>IF(N(X578)=0,"",IF(AND(COUNTIFS(Log!$D$6:$D$1505,D578,Log!$B$6:$B$1505,"&lt;"&amp;B578)&gt;0,COUNTIFS(Log!$D$6:$D$1505,D578,Log!$B$6:$B$1505,"&lt;"&amp;B578,Log!$X$6:$X$1505,"&gt;="&amp;X578)=0),"New best",""))</f>
        <v/>
      </c>
      <c r="T578" s="26" t="n"/>
      <c r="U578" s="1">
        <f>IF(D578="","",IFERROR(INDEX(Exercises!$C$6:$C$105,MATCH(D578,Exercises!$B$6:$B$105,0)),"Other"))</f>
        <v/>
      </c>
      <c r="V578">
        <f>IF(B578="","",IF(COUNTIF($B$6:B578,B578)=1,1,0))</f>
        <v/>
      </c>
      <c r="W578">
        <f>IF(B578="","",B578-WEEKDAY(B578,3))</f>
        <v/>
      </c>
      <c r="X578">
        <f>IF(D578="","",MAX(IF(N(F578)=0,0,IF(N(E578)&gt;0,E578*(1+F578/30),F578)),IF(N(H578)=0,0,IF(N(G578)&gt;0,G578*(1+H578/30),H578)),IF(N(J578)=0,0,IF(N(I578)&gt;0,I578*(1+J578/30),J578)),IF(N(L578)=0,0,IF(N(K578)&gt;0,K578*(1+L578/30),L578)),IF(N(N578)=0,0,IF(N(M578)&gt;0,M578*(1+N578/30),N578))))</f>
        <v/>
      </c>
      <c r="Y578">
        <f>IF(N(X578)=0,"",X578+ROW()/1000000000)</f>
        <v/>
      </c>
      <c r="Z578">
        <f>IF(Y578="","",IF(COUNTIFS(Log!$D$6:$D$1505,D578,Log!$Y$6:$Y$1505,"&gt;"&amp;Y578)=0,1,0))</f>
        <v/>
      </c>
      <c r="AA578">
        <f>IF(OR(B578="",D578=""),"",B578+ROW()/10000000)</f>
        <v/>
      </c>
      <c r="AB578">
        <f>IF(AA578="","",IF(COUNTIFS(Log!$D$6:$D$1505,D578,Log!$AA$6:$AA$1505,"&gt;"&amp;AA578)=0,1,0))</f>
        <v/>
      </c>
      <c r="AC578">
        <f>IF(S578="New best",AA578,"")</f>
        <v/>
      </c>
      <c r="AD578">
        <f>ROW()</f>
        <v/>
      </c>
    </row>
    <row r="579">
      <c r="A579" s="1" t="n"/>
      <c r="B579" s="21" t="n"/>
      <c r="C579" s="22" t="n"/>
      <c r="D579" s="23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15">
        <f>IF(D579="","",COUNT(F579,H579,J579,L579,N579))</f>
        <v/>
      </c>
      <c r="P579" s="25">
        <f>IF(D579="","",N(E579)*N(F579)+N(G579)*N(H579)+N(I579)*N(J579)+N(K579)*N(L579)+N(M579)*N(N579))</f>
        <v/>
      </c>
      <c r="Q579" s="18">
        <f>IF(N(X579)=0,"",IF(IF(N(F579)=0,0,IF(N(E579)&gt;0,E579*(1+F579/30),F579))=X579,IF(N(E579)&gt;0,E579&amp;" x "&amp;F579,F579&amp;" reps"),IF(IF(N(H579)=0,0,IF(N(G579)&gt;0,G579*(1+H579/30),H579))=X579,IF(N(G579)&gt;0,G579&amp;" x "&amp;H579,H579&amp;" reps"),IF(IF(N(J579)=0,0,IF(N(I579)&gt;0,I579*(1+J579/30),J579))=X579,IF(N(I579)&gt;0,I579&amp;" x "&amp;J579,J579&amp;" reps"),IF(IF(N(L579)=0,0,IF(N(K579)&gt;0,K579*(1+L579/30),L579))=X579,IF(N(K579)&gt;0,K579&amp;" x "&amp;L579,L579&amp;" reps"),IF(IF(N(N579)=0,0,IF(N(M579)&gt;0,M579*(1+N579/30),N579))=X579,IF(N(M579)&gt;0,M579&amp;" x "&amp;N579,N579&amp;" reps"),""))))))</f>
        <v/>
      </c>
      <c r="R579" s="20">
        <f>IF(N(X579)=0,"",ROUND(X579,1))</f>
        <v/>
      </c>
      <c r="S579" s="18">
        <f>IF(N(X579)=0,"",IF(AND(COUNTIFS(Log!$D$6:$D$1505,D579,Log!$B$6:$B$1505,"&lt;"&amp;B579)&gt;0,COUNTIFS(Log!$D$6:$D$1505,D579,Log!$B$6:$B$1505,"&lt;"&amp;B579,Log!$X$6:$X$1505,"&gt;="&amp;X579)=0),"New best",""))</f>
        <v/>
      </c>
      <c r="T579" s="26" t="n"/>
      <c r="U579" s="1">
        <f>IF(D579="","",IFERROR(INDEX(Exercises!$C$6:$C$105,MATCH(D579,Exercises!$B$6:$B$105,0)),"Other"))</f>
        <v/>
      </c>
      <c r="V579">
        <f>IF(B579="","",IF(COUNTIF($B$6:B579,B579)=1,1,0))</f>
        <v/>
      </c>
      <c r="W579">
        <f>IF(B579="","",B579-WEEKDAY(B579,3))</f>
        <v/>
      </c>
      <c r="X579">
        <f>IF(D579="","",MAX(IF(N(F579)=0,0,IF(N(E579)&gt;0,E579*(1+F579/30),F579)),IF(N(H579)=0,0,IF(N(G579)&gt;0,G579*(1+H579/30),H579)),IF(N(J579)=0,0,IF(N(I579)&gt;0,I579*(1+J579/30),J579)),IF(N(L579)=0,0,IF(N(K579)&gt;0,K579*(1+L579/30),L579)),IF(N(N579)=0,0,IF(N(M579)&gt;0,M579*(1+N579/30),N579))))</f>
        <v/>
      </c>
      <c r="Y579">
        <f>IF(N(X579)=0,"",X579+ROW()/1000000000)</f>
        <v/>
      </c>
      <c r="Z579">
        <f>IF(Y579="","",IF(COUNTIFS(Log!$D$6:$D$1505,D579,Log!$Y$6:$Y$1505,"&gt;"&amp;Y579)=0,1,0))</f>
        <v/>
      </c>
      <c r="AA579">
        <f>IF(OR(B579="",D579=""),"",B579+ROW()/10000000)</f>
        <v/>
      </c>
      <c r="AB579">
        <f>IF(AA579="","",IF(COUNTIFS(Log!$D$6:$D$1505,D579,Log!$AA$6:$AA$1505,"&gt;"&amp;AA579)=0,1,0))</f>
        <v/>
      </c>
      <c r="AC579">
        <f>IF(S579="New best",AA579,"")</f>
        <v/>
      </c>
      <c r="AD579">
        <f>ROW()</f>
        <v/>
      </c>
    </row>
    <row r="580">
      <c r="A580" s="1" t="n"/>
      <c r="B580" s="21" t="n"/>
      <c r="C580" s="22" t="n"/>
      <c r="D580" s="23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15">
        <f>IF(D580="","",COUNT(F580,H580,J580,L580,N580))</f>
        <v/>
      </c>
      <c r="P580" s="25">
        <f>IF(D580="","",N(E580)*N(F580)+N(G580)*N(H580)+N(I580)*N(J580)+N(K580)*N(L580)+N(M580)*N(N580))</f>
        <v/>
      </c>
      <c r="Q580" s="18">
        <f>IF(N(X580)=0,"",IF(IF(N(F580)=0,0,IF(N(E580)&gt;0,E580*(1+F580/30),F580))=X580,IF(N(E580)&gt;0,E580&amp;" x "&amp;F580,F580&amp;" reps"),IF(IF(N(H580)=0,0,IF(N(G580)&gt;0,G580*(1+H580/30),H580))=X580,IF(N(G580)&gt;0,G580&amp;" x "&amp;H580,H580&amp;" reps"),IF(IF(N(J580)=0,0,IF(N(I580)&gt;0,I580*(1+J580/30),J580))=X580,IF(N(I580)&gt;0,I580&amp;" x "&amp;J580,J580&amp;" reps"),IF(IF(N(L580)=0,0,IF(N(K580)&gt;0,K580*(1+L580/30),L580))=X580,IF(N(K580)&gt;0,K580&amp;" x "&amp;L580,L580&amp;" reps"),IF(IF(N(N580)=0,0,IF(N(M580)&gt;0,M580*(1+N580/30),N580))=X580,IF(N(M580)&gt;0,M580&amp;" x "&amp;N580,N580&amp;" reps"),""))))))</f>
        <v/>
      </c>
      <c r="R580" s="20">
        <f>IF(N(X580)=0,"",ROUND(X580,1))</f>
        <v/>
      </c>
      <c r="S580" s="18">
        <f>IF(N(X580)=0,"",IF(AND(COUNTIFS(Log!$D$6:$D$1505,D580,Log!$B$6:$B$1505,"&lt;"&amp;B580)&gt;0,COUNTIFS(Log!$D$6:$D$1505,D580,Log!$B$6:$B$1505,"&lt;"&amp;B580,Log!$X$6:$X$1505,"&gt;="&amp;X580)=0),"New best",""))</f>
        <v/>
      </c>
      <c r="T580" s="26" t="n"/>
      <c r="U580" s="1">
        <f>IF(D580="","",IFERROR(INDEX(Exercises!$C$6:$C$105,MATCH(D580,Exercises!$B$6:$B$105,0)),"Other"))</f>
        <v/>
      </c>
      <c r="V580">
        <f>IF(B580="","",IF(COUNTIF($B$6:B580,B580)=1,1,0))</f>
        <v/>
      </c>
      <c r="W580">
        <f>IF(B580="","",B580-WEEKDAY(B580,3))</f>
        <v/>
      </c>
      <c r="X580">
        <f>IF(D580="","",MAX(IF(N(F580)=0,0,IF(N(E580)&gt;0,E580*(1+F580/30),F580)),IF(N(H580)=0,0,IF(N(G580)&gt;0,G580*(1+H580/30),H580)),IF(N(J580)=0,0,IF(N(I580)&gt;0,I580*(1+J580/30),J580)),IF(N(L580)=0,0,IF(N(K580)&gt;0,K580*(1+L580/30),L580)),IF(N(N580)=0,0,IF(N(M580)&gt;0,M580*(1+N580/30),N580))))</f>
        <v/>
      </c>
      <c r="Y580">
        <f>IF(N(X580)=0,"",X580+ROW()/1000000000)</f>
        <v/>
      </c>
      <c r="Z580">
        <f>IF(Y580="","",IF(COUNTIFS(Log!$D$6:$D$1505,D580,Log!$Y$6:$Y$1505,"&gt;"&amp;Y580)=0,1,0))</f>
        <v/>
      </c>
      <c r="AA580">
        <f>IF(OR(B580="",D580=""),"",B580+ROW()/10000000)</f>
        <v/>
      </c>
      <c r="AB580">
        <f>IF(AA580="","",IF(COUNTIFS(Log!$D$6:$D$1505,D580,Log!$AA$6:$AA$1505,"&gt;"&amp;AA580)=0,1,0))</f>
        <v/>
      </c>
      <c r="AC580">
        <f>IF(S580="New best",AA580,"")</f>
        <v/>
      </c>
      <c r="AD580">
        <f>ROW()</f>
        <v/>
      </c>
    </row>
    <row r="581">
      <c r="A581" s="1" t="n"/>
      <c r="B581" s="21" t="n"/>
      <c r="C581" s="22" t="n"/>
      <c r="D581" s="23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15">
        <f>IF(D581="","",COUNT(F581,H581,J581,L581,N581))</f>
        <v/>
      </c>
      <c r="P581" s="25">
        <f>IF(D581="","",N(E581)*N(F581)+N(G581)*N(H581)+N(I581)*N(J581)+N(K581)*N(L581)+N(M581)*N(N581))</f>
        <v/>
      </c>
      <c r="Q581" s="18">
        <f>IF(N(X581)=0,"",IF(IF(N(F581)=0,0,IF(N(E581)&gt;0,E581*(1+F581/30),F581))=X581,IF(N(E581)&gt;0,E581&amp;" x "&amp;F581,F581&amp;" reps"),IF(IF(N(H581)=0,0,IF(N(G581)&gt;0,G581*(1+H581/30),H581))=X581,IF(N(G581)&gt;0,G581&amp;" x "&amp;H581,H581&amp;" reps"),IF(IF(N(J581)=0,0,IF(N(I581)&gt;0,I581*(1+J581/30),J581))=X581,IF(N(I581)&gt;0,I581&amp;" x "&amp;J581,J581&amp;" reps"),IF(IF(N(L581)=0,0,IF(N(K581)&gt;0,K581*(1+L581/30),L581))=X581,IF(N(K581)&gt;0,K581&amp;" x "&amp;L581,L581&amp;" reps"),IF(IF(N(N581)=0,0,IF(N(M581)&gt;0,M581*(1+N581/30),N581))=X581,IF(N(M581)&gt;0,M581&amp;" x "&amp;N581,N581&amp;" reps"),""))))))</f>
        <v/>
      </c>
      <c r="R581" s="20">
        <f>IF(N(X581)=0,"",ROUND(X581,1))</f>
        <v/>
      </c>
      <c r="S581" s="18">
        <f>IF(N(X581)=0,"",IF(AND(COUNTIFS(Log!$D$6:$D$1505,D581,Log!$B$6:$B$1505,"&lt;"&amp;B581)&gt;0,COUNTIFS(Log!$D$6:$D$1505,D581,Log!$B$6:$B$1505,"&lt;"&amp;B581,Log!$X$6:$X$1505,"&gt;="&amp;X581)=0),"New best",""))</f>
        <v/>
      </c>
      <c r="T581" s="26" t="n"/>
      <c r="U581" s="1">
        <f>IF(D581="","",IFERROR(INDEX(Exercises!$C$6:$C$105,MATCH(D581,Exercises!$B$6:$B$105,0)),"Other"))</f>
        <v/>
      </c>
      <c r="V581">
        <f>IF(B581="","",IF(COUNTIF($B$6:B581,B581)=1,1,0))</f>
        <v/>
      </c>
      <c r="W581">
        <f>IF(B581="","",B581-WEEKDAY(B581,3))</f>
        <v/>
      </c>
      <c r="X581">
        <f>IF(D581="","",MAX(IF(N(F581)=0,0,IF(N(E581)&gt;0,E581*(1+F581/30),F581)),IF(N(H581)=0,0,IF(N(G581)&gt;0,G581*(1+H581/30),H581)),IF(N(J581)=0,0,IF(N(I581)&gt;0,I581*(1+J581/30),J581)),IF(N(L581)=0,0,IF(N(K581)&gt;0,K581*(1+L581/30),L581)),IF(N(N581)=0,0,IF(N(M581)&gt;0,M581*(1+N581/30),N581))))</f>
        <v/>
      </c>
      <c r="Y581">
        <f>IF(N(X581)=0,"",X581+ROW()/1000000000)</f>
        <v/>
      </c>
      <c r="Z581">
        <f>IF(Y581="","",IF(COUNTIFS(Log!$D$6:$D$1505,D581,Log!$Y$6:$Y$1505,"&gt;"&amp;Y581)=0,1,0))</f>
        <v/>
      </c>
      <c r="AA581">
        <f>IF(OR(B581="",D581=""),"",B581+ROW()/10000000)</f>
        <v/>
      </c>
      <c r="AB581">
        <f>IF(AA581="","",IF(COUNTIFS(Log!$D$6:$D$1505,D581,Log!$AA$6:$AA$1505,"&gt;"&amp;AA581)=0,1,0))</f>
        <v/>
      </c>
      <c r="AC581">
        <f>IF(S581="New best",AA581,"")</f>
        <v/>
      </c>
      <c r="AD581">
        <f>ROW()</f>
        <v/>
      </c>
    </row>
    <row r="582">
      <c r="A582" s="1" t="n"/>
      <c r="B582" s="21" t="n"/>
      <c r="C582" s="22" t="n"/>
      <c r="D582" s="23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15">
        <f>IF(D582="","",COUNT(F582,H582,J582,L582,N582))</f>
        <v/>
      </c>
      <c r="P582" s="25">
        <f>IF(D582="","",N(E582)*N(F582)+N(G582)*N(H582)+N(I582)*N(J582)+N(K582)*N(L582)+N(M582)*N(N582))</f>
        <v/>
      </c>
      <c r="Q582" s="18">
        <f>IF(N(X582)=0,"",IF(IF(N(F582)=0,0,IF(N(E582)&gt;0,E582*(1+F582/30),F582))=X582,IF(N(E582)&gt;0,E582&amp;" x "&amp;F582,F582&amp;" reps"),IF(IF(N(H582)=0,0,IF(N(G582)&gt;0,G582*(1+H582/30),H582))=X582,IF(N(G582)&gt;0,G582&amp;" x "&amp;H582,H582&amp;" reps"),IF(IF(N(J582)=0,0,IF(N(I582)&gt;0,I582*(1+J582/30),J582))=X582,IF(N(I582)&gt;0,I582&amp;" x "&amp;J582,J582&amp;" reps"),IF(IF(N(L582)=0,0,IF(N(K582)&gt;0,K582*(1+L582/30),L582))=X582,IF(N(K582)&gt;0,K582&amp;" x "&amp;L582,L582&amp;" reps"),IF(IF(N(N582)=0,0,IF(N(M582)&gt;0,M582*(1+N582/30),N582))=X582,IF(N(M582)&gt;0,M582&amp;" x "&amp;N582,N582&amp;" reps"),""))))))</f>
        <v/>
      </c>
      <c r="R582" s="20">
        <f>IF(N(X582)=0,"",ROUND(X582,1))</f>
        <v/>
      </c>
      <c r="S582" s="18">
        <f>IF(N(X582)=0,"",IF(AND(COUNTIFS(Log!$D$6:$D$1505,D582,Log!$B$6:$B$1505,"&lt;"&amp;B582)&gt;0,COUNTIFS(Log!$D$6:$D$1505,D582,Log!$B$6:$B$1505,"&lt;"&amp;B582,Log!$X$6:$X$1505,"&gt;="&amp;X582)=0),"New best",""))</f>
        <v/>
      </c>
      <c r="T582" s="26" t="n"/>
      <c r="U582" s="1">
        <f>IF(D582="","",IFERROR(INDEX(Exercises!$C$6:$C$105,MATCH(D582,Exercises!$B$6:$B$105,0)),"Other"))</f>
        <v/>
      </c>
      <c r="V582">
        <f>IF(B582="","",IF(COUNTIF($B$6:B582,B582)=1,1,0))</f>
        <v/>
      </c>
      <c r="W582">
        <f>IF(B582="","",B582-WEEKDAY(B582,3))</f>
        <v/>
      </c>
      <c r="X582">
        <f>IF(D582="","",MAX(IF(N(F582)=0,0,IF(N(E582)&gt;0,E582*(1+F582/30),F582)),IF(N(H582)=0,0,IF(N(G582)&gt;0,G582*(1+H582/30),H582)),IF(N(J582)=0,0,IF(N(I582)&gt;0,I582*(1+J582/30),J582)),IF(N(L582)=0,0,IF(N(K582)&gt;0,K582*(1+L582/30),L582)),IF(N(N582)=0,0,IF(N(M582)&gt;0,M582*(1+N582/30),N582))))</f>
        <v/>
      </c>
      <c r="Y582">
        <f>IF(N(X582)=0,"",X582+ROW()/1000000000)</f>
        <v/>
      </c>
      <c r="Z582">
        <f>IF(Y582="","",IF(COUNTIFS(Log!$D$6:$D$1505,D582,Log!$Y$6:$Y$1505,"&gt;"&amp;Y582)=0,1,0))</f>
        <v/>
      </c>
      <c r="AA582">
        <f>IF(OR(B582="",D582=""),"",B582+ROW()/10000000)</f>
        <v/>
      </c>
      <c r="AB582">
        <f>IF(AA582="","",IF(COUNTIFS(Log!$D$6:$D$1505,D582,Log!$AA$6:$AA$1505,"&gt;"&amp;AA582)=0,1,0))</f>
        <v/>
      </c>
      <c r="AC582">
        <f>IF(S582="New best",AA582,"")</f>
        <v/>
      </c>
      <c r="AD582">
        <f>ROW()</f>
        <v/>
      </c>
    </row>
    <row r="583">
      <c r="A583" s="1" t="n"/>
      <c r="B583" s="21" t="n"/>
      <c r="C583" s="22" t="n"/>
      <c r="D583" s="23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15">
        <f>IF(D583="","",COUNT(F583,H583,J583,L583,N583))</f>
        <v/>
      </c>
      <c r="P583" s="25">
        <f>IF(D583="","",N(E583)*N(F583)+N(G583)*N(H583)+N(I583)*N(J583)+N(K583)*N(L583)+N(M583)*N(N583))</f>
        <v/>
      </c>
      <c r="Q583" s="18">
        <f>IF(N(X583)=0,"",IF(IF(N(F583)=0,0,IF(N(E583)&gt;0,E583*(1+F583/30),F583))=X583,IF(N(E583)&gt;0,E583&amp;" x "&amp;F583,F583&amp;" reps"),IF(IF(N(H583)=0,0,IF(N(G583)&gt;0,G583*(1+H583/30),H583))=X583,IF(N(G583)&gt;0,G583&amp;" x "&amp;H583,H583&amp;" reps"),IF(IF(N(J583)=0,0,IF(N(I583)&gt;0,I583*(1+J583/30),J583))=X583,IF(N(I583)&gt;0,I583&amp;" x "&amp;J583,J583&amp;" reps"),IF(IF(N(L583)=0,0,IF(N(K583)&gt;0,K583*(1+L583/30),L583))=X583,IF(N(K583)&gt;0,K583&amp;" x "&amp;L583,L583&amp;" reps"),IF(IF(N(N583)=0,0,IF(N(M583)&gt;0,M583*(1+N583/30),N583))=X583,IF(N(M583)&gt;0,M583&amp;" x "&amp;N583,N583&amp;" reps"),""))))))</f>
        <v/>
      </c>
      <c r="R583" s="20">
        <f>IF(N(X583)=0,"",ROUND(X583,1))</f>
        <v/>
      </c>
      <c r="S583" s="18">
        <f>IF(N(X583)=0,"",IF(AND(COUNTIFS(Log!$D$6:$D$1505,D583,Log!$B$6:$B$1505,"&lt;"&amp;B583)&gt;0,COUNTIFS(Log!$D$6:$D$1505,D583,Log!$B$6:$B$1505,"&lt;"&amp;B583,Log!$X$6:$X$1505,"&gt;="&amp;X583)=0),"New best",""))</f>
        <v/>
      </c>
      <c r="T583" s="26" t="n"/>
      <c r="U583" s="1">
        <f>IF(D583="","",IFERROR(INDEX(Exercises!$C$6:$C$105,MATCH(D583,Exercises!$B$6:$B$105,0)),"Other"))</f>
        <v/>
      </c>
      <c r="V583">
        <f>IF(B583="","",IF(COUNTIF($B$6:B583,B583)=1,1,0))</f>
        <v/>
      </c>
      <c r="W583">
        <f>IF(B583="","",B583-WEEKDAY(B583,3))</f>
        <v/>
      </c>
      <c r="X583">
        <f>IF(D583="","",MAX(IF(N(F583)=0,0,IF(N(E583)&gt;0,E583*(1+F583/30),F583)),IF(N(H583)=0,0,IF(N(G583)&gt;0,G583*(1+H583/30),H583)),IF(N(J583)=0,0,IF(N(I583)&gt;0,I583*(1+J583/30),J583)),IF(N(L583)=0,0,IF(N(K583)&gt;0,K583*(1+L583/30),L583)),IF(N(N583)=0,0,IF(N(M583)&gt;0,M583*(1+N583/30),N583))))</f>
        <v/>
      </c>
      <c r="Y583">
        <f>IF(N(X583)=0,"",X583+ROW()/1000000000)</f>
        <v/>
      </c>
      <c r="Z583">
        <f>IF(Y583="","",IF(COUNTIFS(Log!$D$6:$D$1505,D583,Log!$Y$6:$Y$1505,"&gt;"&amp;Y583)=0,1,0))</f>
        <v/>
      </c>
      <c r="AA583">
        <f>IF(OR(B583="",D583=""),"",B583+ROW()/10000000)</f>
        <v/>
      </c>
      <c r="AB583">
        <f>IF(AA583="","",IF(COUNTIFS(Log!$D$6:$D$1505,D583,Log!$AA$6:$AA$1505,"&gt;"&amp;AA583)=0,1,0))</f>
        <v/>
      </c>
      <c r="AC583">
        <f>IF(S583="New best",AA583,"")</f>
        <v/>
      </c>
      <c r="AD583">
        <f>ROW()</f>
        <v/>
      </c>
    </row>
    <row r="584">
      <c r="A584" s="1" t="n"/>
      <c r="B584" s="21" t="n"/>
      <c r="C584" s="22" t="n"/>
      <c r="D584" s="23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15">
        <f>IF(D584="","",COUNT(F584,H584,J584,L584,N584))</f>
        <v/>
      </c>
      <c r="P584" s="25">
        <f>IF(D584="","",N(E584)*N(F584)+N(G584)*N(H584)+N(I584)*N(J584)+N(K584)*N(L584)+N(M584)*N(N584))</f>
        <v/>
      </c>
      <c r="Q584" s="18">
        <f>IF(N(X584)=0,"",IF(IF(N(F584)=0,0,IF(N(E584)&gt;0,E584*(1+F584/30),F584))=X584,IF(N(E584)&gt;0,E584&amp;" x "&amp;F584,F584&amp;" reps"),IF(IF(N(H584)=0,0,IF(N(G584)&gt;0,G584*(1+H584/30),H584))=X584,IF(N(G584)&gt;0,G584&amp;" x "&amp;H584,H584&amp;" reps"),IF(IF(N(J584)=0,0,IF(N(I584)&gt;0,I584*(1+J584/30),J584))=X584,IF(N(I584)&gt;0,I584&amp;" x "&amp;J584,J584&amp;" reps"),IF(IF(N(L584)=0,0,IF(N(K584)&gt;0,K584*(1+L584/30),L584))=X584,IF(N(K584)&gt;0,K584&amp;" x "&amp;L584,L584&amp;" reps"),IF(IF(N(N584)=0,0,IF(N(M584)&gt;0,M584*(1+N584/30),N584))=X584,IF(N(M584)&gt;0,M584&amp;" x "&amp;N584,N584&amp;" reps"),""))))))</f>
        <v/>
      </c>
      <c r="R584" s="20">
        <f>IF(N(X584)=0,"",ROUND(X584,1))</f>
        <v/>
      </c>
      <c r="S584" s="18">
        <f>IF(N(X584)=0,"",IF(AND(COUNTIFS(Log!$D$6:$D$1505,D584,Log!$B$6:$B$1505,"&lt;"&amp;B584)&gt;0,COUNTIFS(Log!$D$6:$D$1505,D584,Log!$B$6:$B$1505,"&lt;"&amp;B584,Log!$X$6:$X$1505,"&gt;="&amp;X584)=0),"New best",""))</f>
        <v/>
      </c>
      <c r="T584" s="26" t="n"/>
      <c r="U584" s="1">
        <f>IF(D584="","",IFERROR(INDEX(Exercises!$C$6:$C$105,MATCH(D584,Exercises!$B$6:$B$105,0)),"Other"))</f>
        <v/>
      </c>
      <c r="V584">
        <f>IF(B584="","",IF(COUNTIF($B$6:B584,B584)=1,1,0))</f>
        <v/>
      </c>
      <c r="W584">
        <f>IF(B584="","",B584-WEEKDAY(B584,3))</f>
        <v/>
      </c>
      <c r="X584">
        <f>IF(D584="","",MAX(IF(N(F584)=0,0,IF(N(E584)&gt;0,E584*(1+F584/30),F584)),IF(N(H584)=0,0,IF(N(G584)&gt;0,G584*(1+H584/30),H584)),IF(N(J584)=0,0,IF(N(I584)&gt;0,I584*(1+J584/30),J584)),IF(N(L584)=0,0,IF(N(K584)&gt;0,K584*(1+L584/30),L584)),IF(N(N584)=0,0,IF(N(M584)&gt;0,M584*(1+N584/30),N584))))</f>
        <v/>
      </c>
      <c r="Y584">
        <f>IF(N(X584)=0,"",X584+ROW()/1000000000)</f>
        <v/>
      </c>
      <c r="Z584">
        <f>IF(Y584="","",IF(COUNTIFS(Log!$D$6:$D$1505,D584,Log!$Y$6:$Y$1505,"&gt;"&amp;Y584)=0,1,0))</f>
        <v/>
      </c>
      <c r="AA584">
        <f>IF(OR(B584="",D584=""),"",B584+ROW()/10000000)</f>
        <v/>
      </c>
      <c r="AB584">
        <f>IF(AA584="","",IF(COUNTIFS(Log!$D$6:$D$1505,D584,Log!$AA$6:$AA$1505,"&gt;"&amp;AA584)=0,1,0))</f>
        <v/>
      </c>
      <c r="AC584">
        <f>IF(S584="New best",AA584,"")</f>
        <v/>
      </c>
      <c r="AD584">
        <f>ROW()</f>
        <v/>
      </c>
    </row>
    <row r="585">
      <c r="A585" s="1" t="n"/>
      <c r="B585" s="21" t="n"/>
      <c r="C585" s="22" t="n"/>
      <c r="D585" s="23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15">
        <f>IF(D585="","",COUNT(F585,H585,J585,L585,N585))</f>
        <v/>
      </c>
      <c r="P585" s="25">
        <f>IF(D585="","",N(E585)*N(F585)+N(G585)*N(H585)+N(I585)*N(J585)+N(K585)*N(L585)+N(M585)*N(N585))</f>
        <v/>
      </c>
      <c r="Q585" s="18">
        <f>IF(N(X585)=0,"",IF(IF(N(F585)=0,0,IF(N(E585)&gt;0,E585*(1+F585/30),F585))=X585,IF(N(E585)&gt;0,E585&amp;" x "&amp;F585,F585&amp;" reps"),IF(IF(N(H585)=0,0,IF(N(G585)&gt;0,G585*(1+H585/30),H585))=X585,IF(N(G585)&gt;0,G585&amp;" x "&amp;H585,H585&amp;" reps"),IF(IF(N(J585)=0,0,IF(N(I585)&gt;0,I585*(1+J585/30),J585))=X585,IF(N(I585)&gt;0,I585&amp;" x "&amp;J585,J585&amp;" reps"),IF(IF(N(L585)=0,0,IF(N(K585)&gt;0,K585*(1+L585/30),L585))=X585,IF(N(K585)&gt;0,K585&amp;" x "&amp;L585,L585&amp;" reps"),IF(IF(N(N585)=0,0,IF(N(M585)&gt;0,M585*(1+N585/30),N585))=X585,IF(N(M585)&gt;0,M585&amp;" x "&amp;N585,N585&amp;" reps"),""))))))</f>
        <v/>
      </c>
      <c r="R585" s="20">
        <f>IF(N(X585)=0,"",ROUND(X585,1))</f>
        <v/>
      </c>
      <c r="S585" s="18">
        <f>IF(N(X585)=0,"",IF(AND(COUNTIFS(Log!$D$6:$D$1505,D585,Log!$B$6:$B$1505,"&lt;"&amp;B585)&gt;0,COUNTIFS(Log!$D$6:$D$1505,D585,Log!$B$6:$B$1505,"&lt;"&amp;B585,Log!$X$6:$X$1505,"&gt;="&amp;X585)=0),"New best",""))</f>
        <v/>
      </c>
      <c r="T585" s="26" t="n"/>
      <c r="U585" s="1">
        <f>IF(D585="","",IFERROR(INDEX(Exercises!$C$6:$C$105,MATCH(D585,Exercises!$B$6:$B$105,0)),"Other"))</f>
        <v/>
      </c>
      <c r="V585">
        <f>IF(B585="","",IF(COUNTIF($B$6:B585,B585)=1,1,0))</f>
        <v/>
      </c>
      <c r="W585">
        <f>IF(B585="","",B585-WEEKDAY(B585,3))</f>
        <v/>
      </c>
      <c r="X585">
        <f>IF(D585="","",MAX(IF(N(F585)=0,0,IF(N(E585)&gt;0,E585*(1+F585/30),F585)),IF(N(H585)=0,0,IF(N(G585)&gt;0,G585*(1+H585/30),H585)),IF(N(J585)=0,0,IF(N(I585)&gt;0,I585*(1+J585/30),J585)),IF(N(L585)=0,0,IF(N(K585)&gt;0,K585*(1+L585/30),L585)),IF(N(N585)=0,0,IF(N(M585)&gt;0,M585*(1+N585/30),N585))))</f>
        <v/>
      </c>
      <c r="Y585">
        <f>IF(N(X585)=0,"",X585+ROW()/1000000000)</f>
        <v/>
      </c>
      <c r="Z585">
        <f>IF(Y585="","",IF(COUNTIFS(Log!$D$6:$D$1505,D585,Log!$Y$6:$Y$1505,"&gt;"&amp;Y585)=0,1,0))</f>
        <v/>
      </c>
      <c r="AA585">
        <f>IF(OR(B585="",D585=""),"",B585+ROW()/10000000)</f>
        <v/>
      </c>
      <c r="AB585">
        <f>IF(AA585="","",IF(COUNTIFS(Log!$D$6:$D$1505,D585,Log!$AA$6:$AA$1505,"&gt;"&amp;AA585)=0,1,0))</f>
        <v/>
      </c>
      <c r="AC585">
        <f>IF(S585="New best",AA585,"")</f>
        <v/>
      </c>
      <c r="AD585">
        <f>ROW()</f>
        <v/>
      </c>
    </row>
    <row r="586">
      <c r="A586" s="1" t="n"/>
      <c r="B586" s="21" t="n"/>
      <c r="C586" s="22" t="n"/>
      <c r="D586" s="23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15">
        <f>IF(D586="","",COUNT(F586,H586,J586,L586,N586))</f>
        <v/>
      </c>
      <c r="P586" s="25">
        <f>IF(D586="","",N(E586)*N(F586)+N(G586)*N(H586)+N(I586)*N(J586)+N(K586)*N(L586)+N(M586)*N(N586))</f>
        <v/>
      </c>
      <c r="Q586" s="18">
        <f>IF(N(X586)=0,"",IF(IF(N(F586)=0,0,IF(N(E586)&gt;0,E586*(1+F586/30),F586))=X586,IF(N(E586)&gt;0,E586&amp;" x "&amp;F586,F586&amp;" reps"),IF(IF(N(H586)=0,0,IF(N(G586)&gt;0,G586*(1+H586/30),H586))=X586,IF(N(G586)&gt;0,G586&amp;" x "&amp;H586,H586&amp;" reps"),IF(IF(N(J586)=0,0,IF(N(I586)&gt;0,I586*(1+J586/30),J586))=X586,IF(N(I586)&gt;0,I586&amp;" x "&amp;J586,J586&amp;" reps"),IF(IF(N(L586)=0,0,IF(N(K586)&gt;0,K586*(1+L586/30),L586))=X586,IF(N(K586)&gt;0,K586&amp;" x "&amp;L586,L586&amp;" reps"),IF(IF(N(N586)=0,0,IF(N(M586)&gt;0,M586*(1+N586/30),N586))=X586,IF(N(M586)&gt;0,M586&amp;" x "&amp;N586,N586&amp;" reps"),""))))))</f>
        <v/>
      </c>
      <c r="R586" s="20">
        <f>IF(N(X586)=0,"",ROUND(X586,1))</f>
        <v/>
      </c>
      <c r="S586" s="18">
        <f>IF(N(X586)=0,"",IF(AND(COUNTIFS(Log!$D$6:$D$1505,D586,Log!$B$6:$B$1505,"&lt;"&amp;B586)&gt;0,COUNTIFS(Log!$D$6:$D$1505,D586,Log!$B$6:$B$1505,"&lt;"&amp;B586,Log!$X$6:$X$1505,"&gt;="&amp;X586)=0),"New best",""))</f>
        <v/>
      </c>
      <c r="T586" s="26" t="n"/>
      <c r="U586" s="1">
        <f>IF(D586="","",IFERROR(INDEX(Exercises!$C$6:$C$105,MATCH(D586,Exercises!$B$6:$B$105,0)),"Other"))</f>
        <v/>
      </c>
      <c r="V586">
        <f>IF(B586="","",IF(COUNTIF($B$6:B586,B586)=1,1,0))</f>
        <v/>
      </c>
      <c r="W586">
        <f>IF(B586="","",B586-WEEKDAY(B586,3))</f>
        <v/>
      </c>
      <c r="X586">
        <f>IF(D586="","",MAX(IF(N(F586)=0,0,IF(N(E586)&gt;0,E586*(1+F586/30),F586)),IF(N(H586)=0,0,IF(N(G586)&gt;0,G586*(1+H586/30),H586)),IF(N(J586)=0,0,IF(N(I586)&gt;0,I586*(1+J586/30),J586)),IF(N(L586)=0,0,IF(N(K586)&gt;0,K586*(1+L586/30),L586)),IF(N(N586)=0,0,IF(N(M586)&gt;0,M586*(1+N586/30),N586))))</f>
        <v/>
      </c>
      <c r="Y586">
        <f>IF(N(X586)=0,"",X586+ROW()/1000000000)</f>
        <v/>
      </c>
      <c r="Z586">
        <f>IF(Y586="","",IF(COUNTIFS(Log!$D$6:$D$1505,D586,Log!$Y$6:$Y$1505,"&gt;"&amp;Y586)=0,1,0))</f>
        <v/>
      </c>
      <c r="AA586">
        <f>IF(OR(B586="",D586=""),"",B586+ROW()/10000000)</f>
        <v/>
      </c>
      <c r="AB586">
        <f>IF(AA586="","",IF(COUNTIFS(Log!$D$6:$D$1505,D586,Log!$AA$6:$AA$1505,"&gt;"&amp;AA586)=0,1,0))</f>
        <v/>
      </c>
      <c r="AC586">
        <f>IF(S586="New best",AA586,"")</f>
        <v/>
      </c>
      <c r="AD586">
        <f>ROW()</f>
        <v/>
      </c>
    </row>
    <row r="587">
      <c r="A587" s="1" t="n"/>
      <c r="B587" s="21" t="n"/>
      <c r="C587" s="22" t="n"/>
      <c r="D587" s="23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15">
        <f>IF(D587="","",COUNT(F587,H587,J587,L587,N587))</f>
        <v/>
      </c>
      <c r="P587" s="25">
        <f>IF(D587="","",N(E587)*N(F587)+N(G587)*N(H587)+N(I587)*N(J587)+N(K587)*N(L587)+N(M587)*N(N587))</f>
        <v/>
      </c>
      <c r="Q587" s="18">
        <f>IF(N(X587)=0,"",IF(IF(N(F587)=0,0,IF(N(E587)&gt;0,E587*(1+F587/30),F587))=X587,IF(N(E587)&gt;0,E587&amp;" x "&amp;F587,F587&amp;" reps"),IF(IF(N(H587)=0,0,IF(N(G587)&gt;0,G587*(1+H587/30),H587))=X587,IF(N(G587)&gt;0,G587&amp;" x "&amp;H587,H587&amp;" reps"),IF(IF(N(J587)=0,0,IF(N(I587)&gt;0,I587*(1+J587/30),J587))=X587,IF(N(I587)&gt;0,I587&amp;" x "&amp;J587,J587&amp;" reps"),IF(IF(N(L587)=0,0,IF(N(K587)&gt;0,K587*(1+L587/30),L587))=X587,IF(N(K587)&gt;0,K587&amp;" x "&amp;L587,L587&amp;" reps"),IF(IF(N(N587)=0,0,IF(N(M587)&gt;0,M587*(1+N587/30),N587))=X587,IF(N(M587)&gt;0,M587&amp;" x "&amp;N587,N587&amp;" reps"),""))))))</f>
        <v/>
      </c>
      <c r="R587" s="20">
        <f>IF(N(X587)=0,"",ROUND(X587,1))</f>
        <v/>
      </c>
      <c r="S587" s="18">
        <f>IF(N(X587)=0,"",IF(AND(COUNTIFS(Log!$D$6:$D$1505,D587,Log!$B$6:$B$1505,"&lt;"&amp;B587)&gt;0,COUNTIFS(Log!$D$6:$D$1505,D587,Log!$B$6:$B$1505,"&lt;"&amp;B587,Log!$X$6:$X$1505,"&gt;="&amp;X587)=0),"New best",""))</f>
        <v/>
      </c>
      <c r="T587" s="26" t="n"/>
      <c r="U587" s="1">
        <f>IF(D587="","",IFERROR(INDEX(Exercises!$C$6:$C$105,MATCH(D587,Exercises!$B$6:$B$105,0)),"Other"))</f>
        <v/>
      </c>
      <c r="V587">
        <f>IF(B587="","",IF(COUNTIF($B$6:B587,B587)=1,1,0))</f>
        <v/>
      </c>
      <c r="W587">
        <f>IF(B587="","",B587-WEEKDAY(B587,3))</f>
        <v/>
      </c>
      <c r="X587">
        <f>IF(D587="","",MAX(IF(N(F587)=0,0,IF(N(E587)&gt;0,E587*(1+F587/30),F587)),IF(N(H587)=0,0,IF(N(G587)&gt;0,G587*(1+H587/30),H587)),IF(N(J587)=0,0,IF(N(I587)&gt;0,I587*(1+J587/30),J587)),IF(N(L587)=0,0,IF(N(K587)&gt;0,K587*(1+L587/30),L587)),IF(N(N587)=0,0,IF(N(M587)&gt;0,M587*(1+N587/30),N587))))</f>
        <v/>
      </c>
      <c r="Y587">
        <f>IF(N(X587)=0,"",X587+ROW()/1000000000)</f>
        <v/>
      </c>
      <c r="Z587">
        <f>IF(Y587="","",IF(COUNTIFS(Log!$D$6:$D$1505,D587,Log!$Y$6:$Y$1505,"&gt;"&amp;Y587)=0,1,0))</f>
        <v/>
      </c>
      <c r="AA587">
        <f>IF(OR(B587="",D587=""),"",B587+ROW()/10000000)</f>
        <v/>
      </c>
      <c r="AB587">
        <f>IF(AA587="","",IF(COUNTIFS(Log!$D$6:$D$1505,D587,Log!$AA$6:$AA$1505,"&gt;"&amp;AA587)=0,1,0))</f>
        <v/>
      </c>
      <c r="AC587">
        <f>IF(S587="New best",AA587,"")</f>
        <v/>
      </c>
      <c r="AD587">
        <f>ROW()</f>
        <v/>
      </c>
    </row>
    <row r="588">
      <c r="A588" s="1" t="n"/>
      <c r="B588" s="21" t="n"/>
      <c r="C588" s="22" t="n"/>
      <c r="D588" s="23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15">
        <f>IF(D588="","",COUNT(F588,H588,J588,L588,N588))</f>
        <v/>
      </c>
      <c r="P588" s="25">
        <f>IF(D588="","",N(E588)*N(F588)+N(G588)*N(H588)+N(I588)*N(J588)+N(K588)*N(L588)+N(M588)*N(N588))</f>
        <v/>
      </c>
      <c r="Q588" s="18">
        <f>IF(N(X588)=0,"",IF(IF(N(F588)=0,0,IF(N(E588)&gt;0,E588*(1+F588/30),F588))=X588,IF(N(E588)&gt;0,E588&amp;" x "&amp;F588,F588&amp;" reps"),IF(IF(N(H588)=0,0,IF(N(G588)&gt;0,G588*(1+H588/30),H588))=X588,IF(N(G588)&gt;0,G588&amp;" x "&amp;H588,H588&amp;" reps"),IF(IF(N(J588)=0,0,IF(N(I588)&gt;0,I588*(1+J588/30),J588))=X588,IF(N(I588)&gt;0,I588&amp;" x "&amp;J588,J588&amp;" reps"),IF(IF(N(L588)=0,0,IF(N(K588)&gt;0,K588*(1+L588/30),L588))=X588,IF(N(K588)&gt;0,K588&amp;" x "&amp;L588,L588&amp;" reps"),IF(IF(N(N588)=0,0,IF(N(M588)&gt;0,M588*(1+N588/30),N588))=X588,IF(N(M588)&gt;0,M588&amp;" x "&amp;N588,N588&amp;" reps"),""))))))</f>
        <v/>
      </c>
      <c r="R588" s="20">
        <f>IF(N(X588)=0,"",ROUND(X588,1))</f>
        <v/>
      </c>
      <c r="S588" s="18">
        <f>IF(N(X588)=0,"",IF(AND(COUNTIFS(Log!$D$6:$D$1505,D588,Log!$B$6:$B$1505,"&lt;"&amp;B588)&gt;0,COUNTIFS(Log!$D$6:$D$1505,D588,Log!$B$6:$B$1505,"&lt;"&amp;B588,Log!$X$6:$X$1505,"&gt;="&amp;X588)=0),"New best",""))</f>
        <v/>
      </c>
      <c r="T588" s="26" t="n"/>
      <c r="U588" s="1">
        <f>IF(D588="","",IFERROR(INDEX(Exercises!$C$6:$C$105,MATCH(D588,Exercises!$B$6:$B$105,0)),"Other"))</f>
        <v/>
      </c>
      <c r="V588">
        <f>IF(B588="","",IF(COUNTIF($B$6:B588,B588)=1,1,0))</f>
        <v/>
      </c>
      <c r="W588">
        <f>IF(B588="","",B588-WEEKDAY(B588,3))</f>
        <v/>
      </c>
      <c r="X588">
        <f>IF(D588="","",MAX(IF(N(F588)=0,0,IF(N(E588)&gt;0,E588*(1+F588/30),F588)),IF(N(H588)=0,0,IF(N(G588)&gt;0,G588*(1+H588/30),H588)),IF(N(J588)=0,0,IF(N(I588)&gt;0,I588*(1+J588/30),J588)),IF(N(L588)=0,0,IF(N(K588)&gt;0,K588*(1+L588/30),L588)),IF(N(N588)=0,0,IF(N(M588)&gt;0,M588*(1+N588/30),N588))))</f>
        <v/>
      </c>
      <c r="Y588">
        <f>IF(N(X588)=0,"",X588+ROW()/1000000000)</f>
        <v/>
      </c>
      <c r="Z588">
        <f>IF(Y588="","",IF(COUNTIFS(Log!$D$6:$D$1505,D588,Log!$Y$6:$Y$1505,"&gt;"&amp;Y588)=0,1,0))</f>
        <v/>
      </c>
      <c r="AA588">
        <f>IF(OR(B588="",D588=""),"",B588+ROW()/10000000)</f>
        <v/>
      </c>
      <c r="AB588">
        <f>IF(AA588="","",IF(COUNTIFS(Log!$D$6:$D$1505,D588,Log!$AA$6:$AA$1505,"&gt;"&amp;AA588)=0,1,0))</f>
        <v/>
      </c>
      <c r="AC588">
        <f>IF(S588="New best",AA588,"")</f>
        <v/>
      </c>
      <c r="AD588">
        <f>ROW()</f>
        <v/>
      </c>
    </row>
    <row r="589">
      <c r="A589" s="1" t="n"/>
      <c r="B589" s="21" t="n"/>
      <c r="C589" s="22" t="n"/>
      <c r="D589" s="23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15">
        <f>IF(D589="","",COUNT(F589,H589,J589,L589,N589))</f>
        <v/>
      </c>
      <c r="P589" s="25">
        <f>IF(D589="","",N(E589)*N(F589)+N(G589)*N(H589)+N(I589)*N(J589)+N(K589)*N(L589)+N(M589)*N(N589))</f>
        <v/>
      </c>
      <c r="Q589" s="18">
        <f>IF(N(X589)=0,"",IF(IF(N(F589)=0,0,IF(N(E589)&gt;0,E589*(1+F589/30),F589))=X589,IF(N(E589)&gt;0,E589&amp;" x "&amp;F589,F589&amp;" reps"),IF(IF(N(H589)=0,0,IF(N(G589)&gt;0,G589*(1+H589/30),H589))=X589,IF(N(G589)&gt;0,G589&amp;" x "&amp;H589,H589&amp;" reps"),IF(IF(N(J589)=0,0,IF(N(I589)&gt;0,I589*(1+J589/30),J589))=X589,IF(N(I589)&gt;0,I589&amp;" x "&amp;J589,J589&amp;" reps"),IF(IF(N(L589)=0,0,IF(N(K589)&gt;0,K589*(1+L589/30),L589))=X589,IF(N(K589)&gt;0,K589&amp;" x "&amp;L589,L589&amp;" reps"),IF(IF(N(N589)=0,0,IF(N(M589)&gt;0,M589*(1+N589/30),N589))=X589,IF(N(M589)&gt;0,M589&amp;" x "&amp;N589,N589&amp;" reps"),""))))))</f>
        <v/>
      </c>
      <c r="R589" s="20">
        <f>IF(N(X589)=0,"",ROUND(X589,1))</f>
        <v/>
      </c>
      <c r="S589" s="18">
        <f>IF(N(X589)=0,"",IF(AND(COUNTIFS(Log!$D$6:$D$1505,D589,Log!$B$6:$B$1505,"&lt;"&amp;B589)&gt;0,COUNTIFS(Log!$D$6:$D$1505,D589,Log!$B$6:$B$1505,"&lt;"&amp;B589,Log!$X$6:$X$1505,"&gt;="&amp;X589)=0),"New best",""))</f>
        <v/>
      </c>
      <c r="T589" s="26" t="n"/>
      <c r="U589" s="1">
        <f>IF(D589="","",IFERROR(INDEX(Exercises!$C$6:$C$105,MATCH(D589,Exercises!$B$6:$B$105,0)),"Other"))</f>
        <v/>
      </c>
      <c r="V589">
        <f>IF(B589="","",IF(COUNTIF($B$6:B589,B589)=1,1,0))</f>
        <v/>
      </c>
      <c r="W589">
        <f>IF(B589="","",B589-WEEKDAY(B589,3))</f>
        <v/>
      </c>
      <c r="X589">
        <f>IF(D589="","",MAX(IF(N(F589)=0,0,IF(N(E589)&gt;0,E589*(1+F589/30),F589)),IF(N(H589)=0,0,IF(N(G589)&gt;0,G589*(1+H589/30),H589)),IF(N(J589)=0,0,IF(N(I589)&gt;0,I589*(1+J589/30),J589)),IF(N(L589)=0,0,IF(N(K589)&gt;0,K589*(1+L589/30),L589)),IF(N(N589)=0,0,IF(N(M589)&gt;0,M589*(1+N589/30),N589))))</f>
        <v/>
      </c>
      <c r="Y589">
        <f>IF(N(X589)=0,"",X589+ROW()/1000000000)</f>
        <v/>
      </c>
      <c r="Z589">
        <f>IF(Y589="","",IF(COUNTIFS(Log!$D$6:$D$1505,D589,Log!$Y$6:$Y$1505,"&gt;"&amp;Y589)=0,1,0))</f>
        <v/>
      </c>
      <c r="AA589">
        <f>IF(OR(B589="",D589=""),"",B589+ROW()/10000000)</f>
        <v/>
      </c>
      <c r="AB589">
        <f>IF(AA589="","",IF(COUNTIFS(Log!$D$6:$D$1505,D589,Log!$AA$6:$AA$1505,"&gt;"&amp;AA589)=0,1,0))</f>
        <v/>
      </c>
      <c r="AC589">
        <f>IF(S589="New best",AA589,"")</f>
        <v/>
      </c>
      <c r="AD589">
        <f>ROW()</f>
        <v/>
      </c>
    </row>
    <row r="590">
      <c r="A590" s="1" t="n"/>
      <c r="B590" s="21" t="n"/>
      <c r="C590" s="22" t="n"/>
      <c r="D590" s="23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15">
        <f>IF(D590="","",COUNT(F590,H590,J590,L590,N590))</f>
        <v/>
      </c>
      <c r="P590" s="25">
        <f>IF(D590="","",N(E590)*N(F590)+N(G590)*N(H590)+N(I590)*N(J590)+N(K590)*N(L590)+N(M590)*N(N590))</f>
        <v/>
      </c>
      <c r="Q590" s="18">
        <f>IF(N(X590)=0,"",IF(IF(N(F590)=0,0,IF(N(E590)&gt;0,E590*(1+F590/30),F590))=X590,IF(N(E590)&gt;0,E590&amp;" x "&amp;F590,F590&amp;" reps"),IF(IF(N(H590)=0,0,IF(N(G590)&gt;0,G590*(1+H590/30),H590))=X590,IF(N(G590)&gt;0,G590&amp;" x "&amp;H590,H590&amp;" reps"),IF(IF(N(J590)=0,0,IF(N(I590)&gt;0,I590*(1+J590/30),J590))=X590,IF(N(I590)&gt;0,I590&amp;" x "&amp;J590,J590&amp;" reps"),IF(IF(N(L590)=0,0,IF(N(K590)&gt;0,K590*(1+L590/30),L590))=X590,IF(N(K590)&gt;0,K590&amp;" x "&amp;L590,L590&amp;" reps"),IF(IF(N(N590)=0,0,IF(N(M590)&gt;0,M590*(1+N590/30),N590))=X590,IF(N(M590)&gt;0,M590&amp;" x "&amp;N590,N590&amp;" reps"),""))))))</f>
        <v/>
      </c>
      <c r="R590" s="20">
        <f>IF(N(X590)=0,"",ROUND(X590,1))</f>
        <v/>
      </c>
      <c r="S590" s="18">
        <f>IF(N(X590)=0,"",IF(AND(COUNTIFS(Log!$D$6:$D$1505,D590,Log!$B$6:$B$1505,"&lt;"&amp;B590)&gt;0,COUNTIFS(Log!$D$6:$D$1505,D590,Log!$B$6:$B$1505,"&lt;"&amp;B590,Log!$X$6:$X$1505,"&gt;="&amp;X590)=0),"New best",""))</f>
        <v/>
      </c>
      <c r="T590" s="26" t="n"/>
      <c r="U590" s="1">
        <f>IF(D590="","",IFERROR(INDEX(Exercises!$C$6:$C$105,MATCH(D590,Exercises!$B$6:$B$105,0)),"Other"))</f>
        <v/>
      </c>
      <c r="V590">
        <f>IF(B590="","",IF(COUNTIF($B$6:B590,B590)=1,1,0))</f>
        <v/>
      </c>
      <c r="W590">
        <f>IF(B590="","",B590-WEEKDAY(B590,3))</f>
        <v/>
      </c>
      <c r="X590">
        <f>IF(D590="","",MAX(IF(N(F590)=0,0,IF(N(E590)&gt;0,E590*(1+F590/30),F590)),IF(N(H590)=0,0,IF(N(G590)&gt;0,G590*(1+H590/30),H590)),IF(N(J590)=0,0,IF(N(I590)&gt;0,I590*(1+J590/30),J590)),IF(N(L590)=0,0,IF(N(K590)&gt;0,K590*(1+L590/30),L590)),IF(N(N590)=0,0,IF(N(M590)&gt;0,M590*(1+N590/30),N590))))</f>
        <v/>
      </c>
      <c r="Y590">
        <f>IF(N(X590)=0,"",X590+ROW()/1000000000)</f>
        <v/>
      </c>
      <c r="Z590">
        <f>IF(Y590="","",IF(COUNTIFS(Log!$D$6:$D$1505,D590,Log!$Y$6:$Y$1505,"&gt;"&amp;Y590)=0,1,0))</f>
        <v/>
      </c>
      <c r="AA590">
        <f>IF(OR(B590="",D590=""),"",B590+ROW()/10000000)</f>
        <v/>
      </c>
      <c r="AB590">
        <f>IF(AA590="","",IF(COUNTIFS(Log!$D$6:$D$1505,D590,Log!$AA$6:$AA$1505,"&gt;"&amp;AA590)=0,1,0))</f>
        <v/>
      </c>
      <c r="AC590">
        <f>IF(S590="New best",AA590,"")</f>
        <v/>
      </c>
      <c r="AD590">
        <f>ROW()</f>
        <v/>
      </c>
    </row>
    <row r="591">
      <c r="A591" s="1" t="n"/>
      <c r="B591" s="21" t="n"/>
      <c r="C591" s="22" t="n"/>
      <c r="D591" s="23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15">
        <f>IF(D591="","",COUNT(F591,H591,J591,L591,N591))</f>
        <v/>
      </c>
      <c r="P591" s="25">
        <f>IF(D591="","",N(E591)*N(F591)+N(G591)*N(H591)+N(I591)*N(J591)+N(K591)*N(L591)+N(M591)*N(N591))</f>
        <v/>
      </c>
      <c r="Q591" s="18">
        <f>IF(N(X591)=0,"",IF(IF(N(F591)=0,0,IF(N(E591)&gt;0,E591*(1+F591/30),F591))=X591,IF(N(E591)&gt;0,E591&amp;" x "&amp;F591,F591&amp;" reps"),IF(IF(N(H591)=0,0,IF(N(G591)&gt;0,G591*(1+H591/30),H591))=X591,IF(N(G591)&gt;0,G591&amp;" x "&amp;H591,H591&amp;" reps"),IF(IF(N(J591)=0,0,IF(N(I591)&gt;0,I591*(1+J591/30),J591))=X591,IF(N(I591)&gt;0,I591&amp;" x "&amp;J591,J591&amp;" reps"),IF(IF(N(L591)=0,0,IF(N(K591)&gt;0,K591*(1+L591/30),L591))=X591,IF(N(K591)&gt;0,K591&amp;" x "&amp;L591,L591&amp;" reps"),IF(IF(N(N591)=0,0,IF(N(M591)&gt;0,M591*(1+N591/30),N591))=X591,IF(N(M591)&gt;0,M591&amp;" x "&amp;N591,N591&amp;" reps"),""))))))</f>
        <v/>
      </c>
      <c r="R591" s="20">
        <f>IF(N(X591)=0,"",ROUND(X591,1))</f>
        <v/>
      </c>
      <c r="S591" s="18">
        <f>IF(N(X591)=0,"",IF(AND(COUNTIFS(Log!$D$6:$D$1505,D591,Log!$B$6:$B$1505,"&lt;"&amp;B591)&gt;0,COUNTIFS(Log!$D$6:$D$1505,D591,Log!$B$6:$B$1505,"&lt;"&amp;B591,Log!$X$6:$X$1505,"&gt;="&amp;X591)=0),"New best",""))</f>
        <v/>
      </c>
      <c r="T591" s="26" t="n"/>
      <c r="U591" s="1">
        <f>IF(D591="","",IFERROR(INDEX(Exercises!$C$6:$C$105,MATCH(D591,Exercises!$B$6:$B$105,0)),"Other"))</f>
        <v/>
      </c>
      <c r="V591">
        <f>IF(B591="","",IF(COUNTIF($B$6:B591,B591)=1,1,0))</f>
        <v/>
      </c>
      <c r="W591">
        <f>IF(B591="","",B591-WEEKDAY(B591,3))</f>
        <v/>
      </c>
      <c r="X591">
        <f>IF(D591="","",MAX(IF(N(F591)=0,0,IF(N(E591)&gt;0,E591*(1+F591/30),F591)),IF(N(H591)=0,0,IF(N(G591)&gt;0,G591*(1+H591/30),H591)),IF(N(J591)=0,0,IF(N(I591)&gt;0,I591*(1+J591/30),J591)),IF(N(L591)=0,0,IF(N(K591)&gt;0,K591*(1+L591/30),L591)),IF(N(N591)=0,0,IF(N(M591)&gt;0,M591*(1+N591/30),N591))))</f>
        <v/>
      </c>
      <c r="Y591">
        <f>IF(N(X591)=0,"",X591+ROW()/1000000000)</f>
        <v/>
      </c>
      <c r="Z591">
        <f>IF(Y591="","",IF(COUNTIFS(Log!$D$6:$D$1505,D591,Log!$Y$6:$Y$1505,"&gt;"&amp;Y591)=0,1,0))</f>
        <v/>
      </c>
      <c r="AA591">
        <f>IF(OR(B591="",D591=""),"",B591+ROW()/10000000)</f>
        <v/>
      </c>
      <c r="AB591">
        <f>IF(AA591="","",IF(COUNTIFS(Log!$D$6:$D$1505,D591,Log!$AA$6:$AA$1505,"&gt;"&amp;AA591)=0,1,0))</f>
        <v/>
      </c>
      <c r="AC591">
        <f>IF(S591="New best",AA591,"")</f>
        <v/>
      </c>
      <c r="AD591">
        <f>ROW()</f>
        <v/>
      </c>
    </row>
    <row r="592">
      <c r="A592" s="1" t="n"/>
      <c r="B592" s="21" t="n"/>
      <c r="C592" s="22" t="n"/>
      <c r="D592" s="23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15">
        <f>IF(D592="","",COUNT(F592,H592,J592,L592,N592))</f>
        <v/>
      </c>
      <c r="P592" s="25">
        <f>IF(D592="","",N(E592)*N(F592)+N(G592)*N(H592)+N(I592)*N(J592)+N(K592)*N(L592)+N(M592)*N(N592))</f>
        <v/>
      </c>
      <c r="Q592" s="18">
        <f>IF(N(X592)=0,"",IF(IF(N(F592)=0,0,IF(N(E592)&gt;0,E592*(1+F592/30),F592))=X592,IF(N(E592)&gt;0,E592&amp;" x "&amp;F592,F592&amp;" reps"),IF(IF(N(H592)=0,0,IF(N(G592)&gt;0,G592*(1+H592/30),H592))=X592,IF(N(G592)&gt;0,G592&amp;" x "&amp;H592,H592&amp;" reps"),IF(IF(N(J592)=0,0,IF(N(I592)&gt;0,I592*(1+J592/30),J592))=X592,IF(N(I592)&gt;0,I592&amp;" x "&amp;J592,J592&amp;" reps"),IF(IF(N(L592)=0,0,IF(N(K592)&gt;0,K592*(1+L592/30),L592))=X592,IF(N(K592)&gt;0,K592&amp;" x "&amp;L592,L592&amp;" reps"),IF(IF(N(N592)=0,0,IF(N(M592)&gt;0,M592*(1+N592/30),N592))=X592,IF(N(M592)&gt;0,M592&amp;" x "&amp;N592,N592&amp;" reps"),""))))))</f>
        <v/>
      </c>
      <c r="R592" s="20">
        <f>IF(N(X592)=0,"",ROUND(X592,1))</f>
        <v/>
      </c>
      <c r="S592" s="18">
        <f>IF(N(X592)=0,"",IF(AND(COUNTIFS(Log!$D$6:$D$1505,D592,Log!$B$6:$B$1505,"&lt;"&amp;B592)&gt;0,COUNTIFS(Log!$D$6:$D$1505,D592,Log!$B$6:$B$1505,"&lt;"&amp;B592,Log!$X$6:$X$1505,"&gt;="&amp;X592)=0),"New best",""))</f>
        <v/>
      </c>
      <c r="T592" s="26" t="n"/>
      <c r="U592" s="1">
        <f>IF(D592="","",IFERROR(INDEX(Exercises!$C$6:$C$105,MATCH(D592,Exercises!$B$6:$B$105,0)),"Other"))</f>
        <v/>
      </c>
      <c r="V592">
        <f>IF(B592="","",IF(COUNTIF($B$6:B592,B592)=1,1,0))</f>
        <v/>
      </c>
      <c r="W592">
        <f>IF(B592="","",B592-WEEKDAY(B592,3))</f>
        <v/>
      </c>
      <c r="X592">
        <f>IF(D592="","",MAX(IF(N(F592)=0,0,IF(N(E592)&gt;0,E592*(1+F592/30),F592)),IF(N(H592)=0,0,IF(N(G592)&gt;0,G592*(1+H592/30),H592)),IF(N(J592)=0,0,IF(N(I592)&gt;0,I592*(1+J592/30),J592)),IF(N(L592)=0,0,IF(N(K592)&gt;0,K592*(1+L592/30),L592)),IF(N(N592)=0,0,IF(N(M592)&gt;0,M592*(1+N592/30),N592))))</f>
        <v/>
      </c>
      <c r="Y592">
        <f>IF(N(X592)=0,"",X592+ROW()/1000000000)</f>
        <v/>
      </c>
      <c r="Z592">
        <f>IF(Y592="","",IF(COUNTIFS(Log!$D$6:$D$1505,D592,Log!$Y$6:$Y$1505,"&gt;"&amp;Y592)=0,1,0))</f>
        <v/>
      </c>
      <c r="AA592">
        <f>IF(OR(B592="",D592=""),"",B592+ROW()/10000000)</f>
        <v/>
      </c>
      <c r="AB592">
        <f>IF(AA592="","",IF(COUNTIFS(Log!$D$6:$D$1505,D592,Log!$AA$6:$AA$1505,"&gt;"&amp;AA592)=0,1,0))</f>
        <v/>
      </c>
      <c r="AC592">
        <f>IF(S592="New best",AA592,"")</f>
        <v/>
      </c>
      <c r="AD592">
        <f>ROW()</f>
        <v/>
      </c>
    </row>
    <row r="593">
      <c r="A593" s="1" t="n"/>
      <c r="B593" s="21" t="n"/>
      <c r="C593" s="22" t="n"/>
      <c r="D593" s="23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15">
        <f>IF(D593="","",COUNT(F593,H593,J593,L593,N593))</f>
        <v/>
      </c>
      <c r="P593" s="25">
        <f>IF(D593="","",N(E593)*N(F593)+N(G593)*N(H593)+N(I593)*N(J593)+N(K593)*N(L593)+N(M593)*N(N593))</f>
        <v/>
      </c>
      <c r="Q593" s="18">
        <f>IF(N(X593)=0,"",IF(IF(N(F593)=0,0,IF(N(E593)&gt;0,E593*(1+F593/30),F593))=X593,IF(N(E593)&gt;0,E593&amp;" x "&amp;F593,F593&amp;" reps"),IF(IF(N(H593)=0,0,IF(N(G593)&gt;0,G593*(1+H593/30),H593))=X593,IF(N(G593)&gt;0,G593&amp;" x "&amp;H593,H593&amp;" reps"),IF(IF(N(J593)=0,0,IF(N(I593)&gt;0,I593*(1+J593/30),J593))=X593,IF(N(I593)&gt;0,I593&amp;" x "&amp;J593,J593&amp;" reps"),IF(IF(N(L593)=0,0,IF(N(K593)&gt;0,K593*(1+L593/30),L593))=X593,IF(N(K593)&gt;0,K593&amp;" x "&amp;L593,L593&amp;" reps"),IF(IF(N(N593)=0,0,IF(N(M593)&gt;0,M593*(1+N593/30),N593))=X593,IF(N(M593)&gt;0,M593&amp;" x "&amp;N593,N593&amp;" reps"),""))))))</f>
        <v/>
      </c>
      <c r="R593" s="20">
        <f>IF(N(X593)=0,"",ROUND(X593,1))</f>
        <v/>
      </c>
      <c r="S593" s="18">
        <f>IF(N(X593)=0,"",IF(AND(COUNTIFS(Log!$D$6:$D$1505,D593,Log!$B$6:$B$1505,"&lt;"&amp;B593)&gt;0,COUNTIFS(Log!$D$6:$D$1505,D593,Log!$B$6:$B$1505,"&lt;"&amp;B593,Log!$X$6:$X$1505,"&gt;="&amp;X593)=0),"New best",""))</f>
        <v/>
      </c>
      <c r="T593" s="26" t="n"/>
      <c r="U593" s="1">
        <f>IF(D593="","",IFERROR(INDEX(Exercises!$C$6:$C$105,MATCH(D593,Exercises!$B$6:$B$105,0)),"Other"))</f>
        <v/>
      </c>
      <c r="V593">
        <f>IF(B593="","",IF(COUNTIF($B$6:B593,B593)=1,1,0))</f>
        <v/>
      </c>
      <c r="W593">
        <f>IF(B593="","",B593-WEEKDAY(B593,3))</f>
        <v/>
      </c>
      <c r="X593">
        <f>IF(D593="","",MAX(IF(N(F593)=0,0,IF(N(E593)&gt;0,E593*(1+F593/30),F593)),IF(N(H593)=0,0,IF(N(G593)&gt;0,G593*(1+H593/30),H593)),IF(N(J593)=0,0,IF(N(I593)&gt;0,I593*(1+J593/30),J593)),IF(N(L593)=0,0,IF(N(K593)&gt;0,K593*(1+L593/30),L593)),IF(N(N593)=0,0,IF(N(M593)&gt;0,M593*(1+N593/30),N593))))</f>
        <v/>
      </c>
      <c r="Y593">
        <f>IF(N(X593)=0,"",X593+ROW()/1000000000)</f>
        <v/>
      </c>
      <c r="Z593">
        <f>IF(Y593="","",IF(COUNTIFS(Log!$D$6:$D$1505,D593,Log!$Y$6:$Y$1505,"&gt;"&amp;Y593)=0,1,0))</f>
        <v/>
      </c>
      <c r="AA593">
        <f>IF(OR(B593="",D593=""),"",B593+ROW()/10000000)</f>
        <v/>
      </c>
      <c r="AB593">
        <f>IF(AA593="","",IF(COUNTIFS(Log!$D$6:$D$1505,D593,Log!$AA$6:$AA$1505,"&gt;"&amp;AA593)=0,1,0))</f>
        <v/>
      </c>
      <c r="AC593">
        <f>IF(S593="New best",AA593,"")</f>
        <v/>
      </c>
      <c r="AD593">
        <f>ROW()</f>
        <v/>
      </c>
    </row>
    <row r="594">
      <c r="A594" s="1" t="n"/>
      <c r="B594" s="21" t="n"/>
      <c r="C594" s="22" t="n"/>
      <c r="D594" s="23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15">
        <f>IF(D594="","",COUNT(F594,H594,J594,L594,N594))</f>
        <v/>
      </c>
      <c r="P594" s="25">
        <f>IF(D594="","",N(E594)*N(F594)+N(G594)*N(H594)+N(I594)*N(J594)+N(K594)*N(L594)+N(M594)*N(N594))</f>
        <v/>
      </c>
      <c r="Q594" s="18">
        <f>IF(N(X594)=0,"",IF(IF(N(F594)=0,0,IF(N(E594)&gt;0,E594*(1+F594/30),F594))=X594,IF(N(E594)&gt;0,E594&amp;" x "&amp;F594,F594&amp;" reps"),IF(IF(N(H594)=0,0,IF(N(G594)&gt;0,G594*(1+H594/30),H594))=X594,IF(N(G594)&gt;0,G594&amp;" x "&amp;H594,H594&amp;" reps"),IF(IF(N(J594)=0,0,IF(N(I594)&gt;0,I594*(1+J594/30),J594))=X594,IF(N(I594)&gt;0,I594&amp;" x "&amp;J594,J594&amp;" reps"),IF(IF(N(L594)=0,0,IF(N(K594)&gt;0,K594*(1+L594/30),L594))=X594,IF(N(K594)&gt;0,K594&amp;" x "&amp;L594,L594&amp;" reps"),IF(IF(N(N594)=0,0,IF(N(M594)&gt;0,M594*(1+N594/30),N594))=X594,IF(N(M594)&gt;0,M594&amp;" x "&amp;N594,N594&amp;" reps"),""))))))</f>
        <v/>
      </c>
      <c r="R594" s="20">
        <f>IF(N(X594)=0,"",ROUND(X594,1))</f>
        <v/>
      </c>
      <c r="S594" s="18">
        <f>IF(N(X594)=0,"",IF(AND(COUNTIFS(Log!$D$6:$D$1505,D594,Log!$B$6:$B$1505,"&lt;"&amp;B594)&gt;0,COUNTIFS(Log!$D$6:$D$1505,D594,Log!$B$6:$B$1505,"&lt;"&amp;B594,Log!$X$6:$X$1505,"&gt;="&amp;X594)=0),"New best",""))</f>
        <v/>
      </c>
      <c r="T594" s="26" t="n"/>
      <c r="U594" s="1">
        <f>IF(D594="","",IFERROR(INDEX(Exercises!$C$6:$C$105,MATCH(D594,Exercises!$B$6:$B$105,0)),"Other"))</f>
        <v/>
      </c>
      <c r="V594">
        <f>IF(B594="","",IF(COUNTIF($B$6:B594,B594)=1,1,0))</f>
        <v/>
      </c>
      <c r="W594">
        <f>IF(B594="","",B594-WEEKDAY(B594,3))</f>
        <v/>
      </c>
      <c r="X594">
        <f>IF(D594="","",MAX(IF(N(F594)=0,0,IF(N(E594)&gt;0,E594*(1+F594/30),F594)),IF(N(H594)=0,0,IF(N(G594)&gt;0,G594*(1+H594/30),H594)),IF(N(J594)=0,0,IF(N(I594)&gt;0,I594*(1+J594/30),J594)),IF(N(L594)=0,0,IF(N(K594)&gt;0,K594*(1+L594/30),L594)),IF(N(N594)=0,0,IF(N(M594)&gt;0,M594*(1+N594/30),N594))))</f>
        <v/>
      </c>
      <c r="Y594">
        <f>IF(N(X594)=0,"",X594+ROW()/1000000000)</f>
        <v/>
      </c>
      <c r="Z594">
        <f>IF(Y594="","",IF(COUNTIFS(Log!$D$6:$D$1505,D594,Log!$Y$6:$Y$1505,"&gt;"&amp;Y594)=0,1,0))</f>
        <v/>
      </c>
      <c r="AA594">
        <f>IF(OR(B594="",D594=""),"",B594+ROW()/10000000)</f>
        <v/>
      </c>
      <c r="AB594">
        <f>IF(AA594="","",IF(COUNTIFS(Log!$D$6:$D$1505,D594,Log!$AA$6:$AA$1505,"&gt;"&amp;AA594)=0,1,0))</f>
        <v/>
      </c>
      <c r="AC594">
        <f>IF(S594="New best",AA594,"")</f>
        <v/>
      </c>
      <c r="AD594">
        <f>ROW()</f>
        <v/>
      </c>
    </row>
    <row r="595">
      <c r="A595" s="1" t="n"/>
      <c r="B595" s="21" t="n"/>
      <c r="C595" s="22" t="n"/>
      <c r="D595" s="23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15">
        <f>IF(D595="","",COUNT(F595,H595,J595,L595,N595))</f>
        <v/>
      </c>
      <c r="P595" s="25">
        <f>IF(D595="","",N(E595)*N(F595)+N(G595)*N(H595)+N(I595)*N(J595)+N(K595)*N(L595)+N(M595)*N(N595))</f>
        <v/>
      </c>
      <c r="Q595" s="18">
        <f>IF(N(X595)=0,"",IF(IF(N(F595)=0,0,IF(N(E595)&gt;0,E595*(1+F595/30),F595))=X595,IF(N(E595)&gt;0,E595&amp;" x "&amp;F595,F595&amp;" reps"),IF(IF(N(H595)=0,0,IF(N(G595)&gt;0,G595*(1+H595/30),H595))=X595,IF(N(G595)&gt;0,G595&amp;" x "&amp;H595,H595&amp;" reps"),IF(IF(N(J595)=0,0,IF(N(I595)&gt;0,I595*(1+J595/30),J595))=X595,IF(N(I595)&gt;0,I595&amp;" x "&amp;J595,J595&amp;" reps"),IF(IF(N(L595)=0,0,IF(N(K595)&gt;0,K595*(1+L595/30),L595))=X595,IF(N(K595)&gt;0,K595&amp;" x "&amp;L595,L595&amp;" reps"),IF(IF(N(N595)=0,0,IF(N(M595)&gt;0,M595*(1+N595/30),N595))=X595,IF(N(M595)&gt;0,M595&amp;" x "&amp;N595,N595&amp;" reps"),""))))))</f>
        <v/>
      </c>
      <c r="R595" s="20">
        <f>IF(N(X595)=0,"",ROUND(X595,1))</f>
        <v/>
      </c>
      <c r="S595" s="18">
        <f>IF(N(X595)=0,"",IF(AND(COUNTIFS(Log!$D$6:$D$1505,D595,Log!$B$6:$B$1505,"&lt;"&amp;B595)&gt;0,COUNTIFS(Log!$D$6:$D$1505,D595,Log!$B$6:$B$1505,"&lt;"&amp;B595,Log!$X$6:$X$1505,"&gt;="&amp;X595)=0),"New best",""))</f>
        <v/>
      </c>
      <c r="T595" s="26" t="n"/>
      <c r="U595" s="1">
        <f>IF(D595="","",IFERROR(INDEX(Exercises!$C$6:$C$105,MATCH(D595,Exercises!$B$6:$B$105,0)),"Other"))</f>
        <v/>
      </c>
      <c r="V595">
        <f>IF(B595="","",IF(COUNTIF($B$6:B595,B595)=1,1,0))</f>
        <v/>
      </c>
      <c r="W595">
        <f>IF(B595="","",B595-WEEKDAY(B595,3))</f>
        <v/>
      </c>
      <c r="X595">
        <f>IF(D595="","",MAX(IF(N(F595)=0,0,IF(N(E595)&gt;0,E595*(1+F595/30),F595)),IF(N(H595)=0,0,IF(N(G595)&gt;0,G595*(1+H595/30),H595)),IF(N(J595)=0,0,IF(N(I595)&gt;0,I595*(1+J595/30),J595)),IF(N(L595)=0,0,IF(N(K595)&gt;0,K595*(1+L595/30),L595)),IF(N(N595)=0,0,IF(N(M595)&gt;0,M595*(1+N595/30),N595))))</f>
        <v/>
      </c>
      <c r="Y595">
        <f>IF(N(X595)=0,"",X595+ROW()/1000000000)</f>
        <v/>
      </c>
      <c r="Z595">
        <f>IF(Y595="","",IF(COUNTIFS(Log!$D$6:$D$1505,D595,Log!$Y$6:$Y$1505,"&gt;"&amp;Y595)=0,1,0))</f>
        <v/>
      </c>
      <c r="AA595">
        <f>IF(OR(B595="",D595=""),"",B595+ROW()/10000000)</f>
        <v/>
      </c>
      <c r="AB595">
        <f>IF(AA595="","",IF(COUNTIFS(Log!$D$6:$D$1505,D595,Log!$AA$6:$AA$1505,"&gt;"&amp;AA595)=0,1,0))</f>
        <v/>
      </c>
      <c r="AC595">
        <f>IF(S595="New best",AA595,"")</f>
        <v/>
      </c>
      <c r="AD595">
        <f>ROW()</f>
        <v/>
      </c>
    </row>
    <row r="596">
      <c r="A596" s="1" t="n"/>
      <c r="B596" s="21" t="n"/>
      <c r="C596" s="22" t="n"/>
      <c r="D596" s="23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15">
        <f>IF(D596="","",COUNT(F596,H596,J596,L596,N596))</f>
        <v/>
      </c>
      <c r="P596" s="25">
        <f>IF(D596="","",N(E596)*N(F596)+N(G596)*N(H596)+N(I596)*N(J596)+N(K596)*N(L596)+N(M596)*N(N596))</f>
        <v/>
      </c>
      <c r="Q596" s="18">
        <f>IF(N(X596)=0,"",IF(IF(N(F596)=0,0,IF(N(E596)&gt;0,E596*(1+F596/30),F596))=X596,IF(N(E596)&gt;0,E596&amp;" x "&amp;F596,F596&amp;" reps"),IF(IF(N(H596)=0,0,IF(N(G596)&gt;0,G596*(1+H596/30),H596))=X596,IF(N(G596)&gt;0,G596&amp;" x "&amp;H596,H596&amp;" reps"),IF(IF(N(J596)=0,0,IF(N(I596)&gt;0,I596*(1+J596/30),J596))=X596,IF(N(I596)&gt;0,I596&amp;" x "&amp;J596,J596&amp;" reps"),IF(IF(N(L596)=0,0,IF(N(K596)&gt;0,K596*(1+L596/30),L596))=X596,IF(N(K596)&gt;0,K596&amp;" x "&amp;L596,L596&amp;" reps"),IF(IF(N(N596)=0,0,IF(N(M596)&gt;0,M596*(1+N596/30),N596))=X596,IF(N(M596)&gt;0,M596&amp;" x "&amp;N596,N596&amp;" reps"),""))))))</f>
        <v/>
      </c>
      <c r="R596" s="20">
        <f>IF(N(X596)=0,"",ROUND(X596,1))</f>
        <v/>
      </c>
      <c r="S596" s="18">
        <f>IF(N(X596)=0,"",IF(AND(COUNTIFS(Log!$D$6:$D$1505,D596,Log!$B$6:$B$1505,"&lt;"&amp;B596)&gt;0,COUNTIFS(Log!$D$6:$D$1505,D596,Log!$B$6:$B$1505,"&lt;"&amp;B596,Log!$X$6:$X$1505,"&gt;="&amp;X596)=0),"New best",""))</f>
        <v/>
      </c>
      <c r="T596" s="26" t="n"/>
      <c r="U596" s="1">
        <f>IF(D596="","",IFERROR(INDEX(Exercises!$C$6:$C$105,MATCH(D596,Exercises!$B$6:$B$105,0)),"Other"))</f>
        <v/>
      </c>
      <c r="V596">
        <f>IF(B596="","",IF(COUNTIF($B$6:B596,B596)=1,1,0))</f>
        <v/>
      </c>
      <c r="W596">
        <f>IF(B596="","",B596-WEEKDAY(B596,3))</f>
        <v/>
      </c>
      <c r="X596">
        <f>IF(D596="","",MAX(IF(N(F596)=0,0,IF(N(E596)&gt;0,E596*(1+F596/30),F596)),IF(N(H596)=0,0,IF(N(G596)&gt;0,G596*(1+H596/30),H596)),IF(N(J596)=0,0,IF(N(I596)&gt;0,I596*(1+J596/30),J596)),IF(N(L596)=0,0,IF(N(K596)&gt;0,K596*(1+L596/30),L596)),IF(N(N596)=0,0,IF(N(M596)&gt;0,M596*(1+N596/30),N596))))</f>
        <v/>
      </c>
      <c r="Y596">
        <f>IF(N(X596)=0,"",X596+ROW()/1000000000)</f>
        <v/>
      </c>
      <c r="Z596">
        <f>IF(Y596="","",IF(COUNTIFS(Log!$D$6:$D$1505,D596,Log!$Y$6:$Y$1505,"&gt;"&amp;Y596)=0,1,0))</f>
        <v/>
      </c>
      <c r="AA596">
        <f>IF(OR(B596="",D596=""),"",B596+ROW()/10000000)</f>
        <v/>
      </c>
      <c r="AB596">
        <f>IF(AA596="","",IF(COUNTIFS(Log!$D$6:$D$1505,D596,Log!$AA$6:$AA$1505,"&gt;"&amp;AA596)=0,1,0))</f>
        <v/>
      </c>
      <c r="AC596">
        <f>IF(S596="New best",AA596,"")</f>
        <v/>
      </c>
      <c r="AD596">
        <f>ROW()</f>
        <v/>
      </c>
    </row>
    <row r="597">
      <c r="A597" s="1" t="n"/>
      <c r="B597" s="21" t="n"/>
      <c r="C597" s="22" t="n"/>
      <c r="D597" s="23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15">
        <f>IF(D597="","",COUNT(F597,H597,J597,L597,N597))</f>
        <v/>
      </c>
      <c r="P597" s="25">
        <f>IF(D597="","",N(E597)*N(F597)+N(G597)*N(H597)+N(I597)*N(J597)+N(K597)*N(L597)+N(M597)*N(N597))</f>
        <v/>
      </c>
      <c r="Q597" s="18">
        <f>IF(N(X597)=0,"",IF(IF(N(F597)=0,0,IF(N(E597)&gt;0,E597*(1+F597/30),F597))=X597,IF(N(E597)&gt;0,E597&amp;" x "&amp;F597,F597&amp;" reps"),IF(IF(N(H597)=0,0,IF(N(G597)&gt;0,G597*(1+H597/30),H597))=X597,IF(N(G597)&gt;0,G597&amp;" x "&amp;H597,H597&amp;" reps"),IF(IF(N(J597)=0,0,IF(N(I597)&gt;0,I597*(1+J597/30),J597))=X597,IF(N(I597)&gt;0,I597&amp;" x "&amp;J597,J597&amp;" reps"),IF(IF(N(L597)=0,0,IF(N(K597)&gt;0,K597*(1+L597/30),L597))=X597,IF(N(K597)&gt;0,K597&amp;" x "&amp;L597,L597&amp;" reps"),IF(IF(N(N597)=0,0,IF(N(M597)&gt;0,M597*(1+N597/30),N597))=X597,IF(N(M597)&gt;0,M597&amp;" x "&amp;N597,N597&amp;" reps"),""))))))</f>
        <v/>
      </c>
      <c r="R597" s="20">
        <f>IF(N(X597)=0,"",ROUND(X597,1))</f>
        <v/>
      </c>
      <c r="S597" s="18">
        <f>IF(N(X597)=0,"",IF(AND(COUNTIFS(Log!$D$6:$D$1505,D597,Log!$B$6:$B$1505,"&lt;"&amp;B597)&gt;0,COUNTIFS(Log!$D$6:$D$1505,D597,Log!$B$6:$B$1505,"&lt;"&amp;B597,Log!$X$6:$X$1505,"&gt;="&amp;X597)=0),"New best",""))</f>
        <v/>
      </c>
      <c r="T597" s="26" t="n"/>
      <c r="U597" s="1">
        <f>IF(D597="","",IFERROR(INDEX(Exercises!$C$6:$C$105,MATCH(D597,Exercises!$B$6:$B$105,0)),"Other"))</f>
        <v/>
      </c>
      <c r="V597">
        <f>IF(B597="","",IF(COUNTIF($B$6:B597,B597)=1,1,0))</f>
        <v/>
      </c>
      <c r="W597">
        <f>IF(B597="","",B597-WEEKDAY(B597,3))</f>
        <v/>
      </c>
      <c r="X597">
        <f>IF(D597="","",MAX(IF(N(F597)=0,0,IF(N(E597)&gt;0,E597*(1+F597/30),F597)),IF(N(H597)=0,0,IF(N(G597)&gt;0,G597*(1+H597/30),H597)),IF(N(J597)=0,0,IF(N(I597)&gt;0,I597*(1+J597/30),J597)),IF(N(L597)=0,0,IF(N(K597)&gt;0,K597*(1+L597/30),L597)),IF(N(N597)=0,0,IF(N(M597)&gt;0,M597*(1+N597/30),N597))))</f>
        <v/>
      </c>
      <c r="Y597">
        <f>IF(N(X597)=0,"",X597+ROW()/1000000000)</f>
        <v/>
      </c>
      <c r="Z597">
        <f>IF(Y597="","",IF(COUNTIFS(Log!$D$6:$D$1505,D597,Log!$Y$6:$Y$1505,"&gt;"&amp;Y597)=0,1,0))</f>
        <v/>
      </c>
      <c r="AA597">
        <f>IF(OR(B597="",D597=""),"",B597+ROW()/10000000)</f>
        <v/>
      </c>
      <c r="AB597">
        <f>IF(AA597="","",IF(COUNTIFS(Log!$D$6:$D$1505,D597,Log!$AA$6:$AA$1505,"&gt;"&amp;AA597)=0,1,0))</f>
        <v/>
      </c>
      <c r="AC597">
        <f>IF(S597="New best",AA597,"")</f>
        <v/>
      </c>
      <c r="AD597">
        <f>ROW()</f>
        <v/>
      </c>
    </row>
    <row r="598">
      <c r="A598" s="1" t="n"/>
      <c r="B598" s="21" t="n"/>
      <c r="C598" s="22" t="n"/>
      <c r="D598" s="23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15">
        <f>IF(D598="","",COUNT(F598,H598,J598,L598,N598))</f>
        <v/>
      </c>
      <c r="P598" s="25">
        <f>IF(D598="","",N(E598)*N(F598)+N(G598)*N(H598)+N(I598)*N(J598)+N(K598)*N(L598)+N(M598)*N(N598))</f>
        <v/>
      </c>
      <c r="Q598" s="18">
        <f>IF(N(X598)=0,"",IF(IF(N(F598)=0,0,IF(N(E598)&gt;0,E598*(1+F598/30),F598))=X598,IF(N(E598)&gt;0,E598&amp;" x "&amp;F598,F598&amp;" reps"),IF(IF(N(H598)=0,0,IF(N(G598)&gt;0,G598*(1+H598/30),H598))=X598,IF(N(G598)&gt;0,G598&amp;" x "&amp;H598,H598&amp;" reps"),IF(IF(N(J598)=0,0,IF(N(I598)&gt;0,I598*(1+J598/30),J598))=X598,IF(N(I598)&gt;0,I598&amp;" x "&amp;J598,J598&amp;" reps"),IF(IF(N(L598)=0,0,IF(N(K598)&gt;0,K598*(1+L598/30),L598))=X598,IF(N(K598)&gt;0,K598&amp;" x "&amp;L598,L598&amp;" reps"),IF(IF(N(N598)=0,0,IF(N(M598)&gt;0,M598*(1+N598/30),N598))=X598,IF(N(M598)&gt;0,M598&amp;" x "&amp;N598,N598&amp;" reps"),""))))))</f>
        <v/>
      </c>
      <c r="R598" s="20">
        <f>IF(N(X598)=0,"",ROUND(X598,1))</f>
        <v/>
      </c>
      <c r="S598" s="18">
        <f>IF(N(X598)=0,"",IF(AND(COUNTIFS(Log!$D$6:$D$1505,D598,Log!$B$6:$B$1505,"&lt;"&amp;B598)&gt;0,COUNTIFS(Log!$D$6:$D$1505,D598,Log!$B$6:$B$1505,"&lt;"&amp;B598,Log!$X$6:$X$1505,"&gt;="&amp;X598)=0),"New best",""))</f>
        <v/>
      </c>
      <c r="T598" s="26" t="n"/>
      <c r="U598" s="1">
        <f>IF(D598="","",IFERROR(INDEX(Exercises!$C$6:$C$105,MATCH(D598,Exercises!$B$6:$B$105,0)),"Other"))</f>
        <v/>
      </c>
      <c r="V598">
        <f>IF(B598="","",IF(COUNTIF($B$6:B598,B598)=1,1,0))</f>
        <v/>
      </c>
      <c r="W598">
        <f>IF(B598="","",B598-WEEKDAY(B598,3))</f>
        <v/>
      </c>
      <c r="X598">
        <f>IF(D598="","",MAX(IF(N(F598)=0,0,IF(N(E598)&gt;0,E598*(1+F598/30),F598)),IF(N(H598)=0,0,IF(N(G598)&gt;0,G598*(1+H598/30),H598)),IF(N(J598)=0,0,IF(N(I598)&gt;0,I598*(1+J598/30),J598)),IF(N(L598)=0,0,IF(N(K598)&gt;0,K598*(1+L598/30),L598)),IF(N(N598)=0,0,IF(N(M598)&gt;0,M598*(1+N598/30),N598))))</f>
        <v/>
      </c>
      <c r="Y598">
        <f>IF(N(X598)=0,"",X598+ROW()/1000000000)</f>
        <v/>
      </c>
      <c r="Z598">
        <f>IF(Y598="","",IF(COUNTIFS(Log!$D$6:$D$1505,D598,Log!$Y$6:$Y$1505,"&gt;"&amp;Y598)=0,1,0))</f>
        <v/>
      </c>
      <c r="AA598">
        <f>IF(OR(B598="",D598=""),"",B598+ROW()/10000000)</f>
        <v/>
      </c>
      <c r="AB598">
        <f>IF(AA598="","",IF(COUNTIFS(Log!$D$6:$D$1505,D598,Log!$AA$6:$AA$1505,"&gt;"&amp;AA598)=0,1,0))</f>
        <v/>
      </c>
      <c r="AC598">
        <f>IF(S598="New best",AA598,"")</f>
        <v/>
      </c>
      <c r="AD598">
        <f>ROW()</f>
        <v/>
      </c>
    </row>
    <row r="599">
      <c r="A599" s="1" t="n"/>
      <c r="B599" s="21" t="n"/>
      <c r="C599" s="22" t="n"/>
      <c r="D599" s="23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15">
        <f>IF(D599="","",COUNT(F599,H599,J599,L599,N599))</f>
        <v/>
      </c>
      <c r="P599" s="25">
        <f>IF(D599="","",N(E599)*N(F599)+N(G599)*N(H599)+N(I599)*N(J599)+N(K599)*N(L599)+N(M599)*N(N599))</f>
        <v/>
      </c>
      <c r="Q599" s="18">
        <f>IF(N(X599)=0,"",IF(IF(N(F599)=0,0,IF(N(E599)&gt;0,E599*(1+F599/30),F599))=X599,IF(N(E599)&gt;0,E599&amp;" x "&amp;F599,F599&amp;" reps"),IF(IF(N(H599)=0,0,IF(N(G599)&gt;0,G599*(1+H599/30),H599))=X599,IF(N(G599)&gt;0,G599&amp;" x "&amp;H599,H599&amp;" reps"),IF(IF(N(J599)=0,0,IF(N(I599)&gt;0,I599*(1+J599/30),J599))=X599,IF(N(I599)&gt;0,I599&amp;" x "&amp;J599,J599&amp;" reps"),IF(IF(N(L599)=0,0,IF(N(K599)&gt;0,K599*(1+L599/30),L599))=X599,IF(N(K599)&gt;0,K599&amp;" x "&amp;L599,L599&amp;" reps"),IF(IF(N(N599)=0,0,IF(N(M599)&gt;0,M599*(1+N599/30),N599))=X599,IF(N(M599)&gt;0,M599&amp;" x "&amp;N599,N599&amp;" reps"),""))))))</f>
        <v/>
      </c>
      <c r="R599" s="20">
        <f>IF(N(X599)=0,"",ROUND(X599,1))</f>
        <v/>
      </c>
      <c r="S599" s="18">
        <f>IF(N(X599)=0,"",IF(AND(COUNTIFS(Log!$D$6:$D$1505,D599,Log!$B$6:$B$1505,"&lt;"&amp;B599)&gt;0,COUNTIFS(Log!$D$6:$D$1505,D599,Log!$B$6:$B$1505,"&lt;"&amp;B599,Log!$X$6:$X$1505,"&gt;="&amp;X599)=0),"New best",""))</f>
        <v/>
      </c>
      <c r="T599" s="26" t="n"/>
      <c r="U599" s="1">
        <f>IF(D599="","",IFERROR(INDEX(Exercises!$C$6:$C$105,MATCH(D599,Exercises!$B$6:$B$105,0)),"Other"))</f>
        <v/>
      </c>
      <c r="V599">
        <f>IF(B599="","",IF(COUNTIF($B$6:B599,B599)=1,1,0))</f>
        <v/>
      </c>
      <c r="W599">
        <f>IF(B599="","",B599-WEEKDAY(B599,3))</f>
        <v/>
      </c>
      <c r="X599">
        <f>IF(D599="","",MAX(IF(N(F599)=0,0,IF(N(E599)&gt;0,E599*(1+F599/30),F599)),IF(N(H599)=0,0,IF(N(G599)&gt;0,G599*(1+H599/30),H599)),IF(N(J599)=0,0,IF(N(I599)&gt;0,I599*(1+J599/30),J599)),IF(N(L599)=0,0,IF(N(K599)&gt;0,K599*(1+L599/30),L599)),IF(N(N599)=0,0,IF(N(M599)&gt;0,M599*(1+N599/30),N599))))</f>
        <v/>
      </c>
      <c r="Y599">
        <f>IF(N(X599)=0,"",X599+ROW()/1000000000)</f>
        <v/>
      </c>
      <c r="Z599">
        <f>IF(Y599="","",IF(COUNTIFS(Log!$D$6:$D$1505,D599,Log!$Y$6:$Y$1505,"&gt;"&amp;Y599)=0,1,0))</f>
        <v/>
      </c>
      <c r="AA599">
        <f>IF(OR(B599="",D599=""),"",B599+ROW()/10000000)</f>
        <v/>
      </c>
      <c r="AB599">
        <f>IF(AA599="","",IF(COUNTIFS(Log!$D$6:$D$1505,D599,Log!$AA$6:$AA$1505,"&gt;"&amp;AA599)=0,1,0))</f>
        <v/>
      </c>
      <c r="AC599">
        <f>IF(S599="New best",AA599,"")</f>
        <v/>
      </c>
      <c r="AD599">
        <f>ROW()</f>
        <v/>
      </c>
    </row>
    <row r="600">
      <c r="A600" s="1" t="n"/>
      <c r="B600" s="21" t="n"/>
      <c r="C600" s="22" t="n"/>
      <c r="D600" s="23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15">
        <f>IF(D600="","",COUNT(F600,H600,J600,L600,N600))</f>
        <v/>
      </c>
      <c r="P600" s="25">
        <f>IF(D600="","",N(E600)*N(F600)+N(G600)*N(H600)+N(I600)*N(J600)+N(K600)*N(L600)+N(M600)*N(N600))</f>
        <v/>
      </c>
      <c r="Q600" s="18">
        <f>IF(N(X600)=0,"",IF(IF(N(F600)=0,0,IF(N(E600)&gt;0,E600*(1+F600/30),F600))=X600,IF(N(E600)&gt;0,E600&amp;" x "&amp;F600,F600&amp;" reps"),IF(IF(N(H600)=0,0,IF(N(G600)&gt;0,G600*(1+H600/30),H600))=X600,IF(N(G600)&gt;0,G600&amp;" x "&amp;H600,H600&amp;" reps"),IF(IF(N(J600)=0,0,IF(N(I600)&gt;0,I600*(1+J600/30),J600))=X600,IF(N(I600)&gt;0,I600&amp;" x "&amp;J600,J600&amp;" reps"),IF(IF(N(L600)=0,0,IF(N(K600)&gt;0,K600*(1+L600/30),L600))=X600,IF(N(K600)&gt;0,K600&amp;" x "&amp;L600,L600&amp;" reps"),IF(IF(N(N600)=0,0,IF(N(M600)&gt;0,M600*(1+N600/30),N600))=X600,IF(N(M600)&gt;0,M600&amp;" x "&amp;N600,N600&amp;" reps"),""))))))</f>
        <v/>
      </c>
      <c r="R600" s="20">
        <f>IF(N(X600)=0,"",ROUND(X600,1))</f>
        <v/>
      </c>
      <c r="S600" s="18">
        <f>IF(N(X600)=0,"",IF(AND(COUNTIFS(Log!$D$6:$D$1505,D600,Log!$B$6:$B$1505,"&lt;"&amp;B600)&gt;0,COUNTIFS(Log!$D$6:$D$1505,D600,Log!$B$6:$B$1505,"&lt;"&amp;B600,Log!$X$6:$X$1505,"&gt;="&amp;X600)=0),"New best",""))</f>
        <v/>
      </c>
      <c r="T600" s="26" t="n"/>
      <c r="U600" s="1">
        <f>IF(D600="","",IFERROR(INDEX(Exercises!$C$6:$C$105,MATCH(D600,Exercises!$B$6:$B$105,0)),"Other"))</f>
        <v/>
      </c>
      <c r="V600">
        <f>IF(B600="","",IF(COUNTIF($B$6:B600,B600)=1,1,0))</f>
        <v/>
      </c>
      <c r="W600">
        <f>IF(B600="","",B600-WEEKDAY(B600,3))</f>
        <v/>
      </c>
      <c r="X600">
        <f>IF(D600="","",MAX(IF(N(F600)=0,0,IF(N(E600)&gt;0,E600*(1+F600/30),F600)),IF(N(H600)=0,0,IF(N(G600)&gt;0,G600*(1+H600/30),H600)),IF(N(J600)=0,0,IF(N(I600)&gt;0,I600*(1+J600/30),J600)),IF(N(L600)=0,0,IF(N(K600)&gt;0,K600*(1+L600/30),L600)),IF(N(N600)=0,0,IF(N(M600)&gt;0,M600*(1+N600/30),N600))))</f>
        <v/>
      </c>
      <c r="Y600">
        <f>IF(N(X600)=0,"",X600+ROW()/1000000000)</f>
        <v/>
      </c>
      <c r="Z600">
        <f>IF(Y600="","",IF(COUNTIFS(Log!$D$6:$D$1505,D600,Log!$Y$6:$Y$1505,"&gt;"&amp;Y600)=0,1,0))</f>
        <v/>
      </c>
      <c r="AA600">
        <f>IF(OR(B600="",D600=""),"",B600+ROW()/10000000)</f>
        <v/>
      </c>
      <c r="AB600">
        <f>IF(AA600="","",IF(COUNTIFS(Log!$D$6:$D$1505,D600,Log!$AA$6:$AA$1505,"&gt;"&amp;AA600)=0,1,0))</f>
        <v/>
      </c>
      <c r="AC600">
        <f>IF(S600="New best",AA600,"")</f>
        <v/>
      </c>
      <c r="AD600">
        <f>ROW()</f>
        <v/>
      </c>
    </row>
    <row r="601">
      <c r="A601" s="1" t="n"/>
      <c r="B601" s="21" t="n"/>
      <c r="C601" s="22" t="n"/>
      <c r="D601" s="23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15">
        <f>IF(D601="","",COUNT(F601,H601,J601,L601,N601))</f>
        <v/>
      </c>
      <c r="P601" s="25">
        <f>IF(D601="","",N(E601)*N(F601)+N(G601)*N(H601)+N(I601)*N(J601)+N(K601)*N(L601)+N(M601)*N(N601))</f>
        <v/>
      </c>
      <c r="Q601" s="18">
        <f>IF(N(X601)=0,"",IF(IF(N(F601)=0,0,IF(N(E601)&gt;0,E601*(1+F601/30),F601))=X601,IF(N(E601)&gt;0,E601&amp;" x "&amp;F601,F601&amp;" reps"),IF(IF(N(H601)=0,0,IF(N(G601)&gt;0,G601*(1+H601/30),H601))=X601,IF(N(G601)&gt;0,G601&amp;" x "&amp;H601,H601&amp;" reps"),IF(IF(N(J601)=0,0,IF(N(I601)&gt;0,I601*(1+J601/30),J601))=X601,IF(N(I601)&gt;0,I601&amp;" x "&amp;J601,J601&amp;" reps"),IF(IF(N(L601)=0,0,IF(N(K601)&gt;0,K601*(1+L601/30),L601))=X601,IF(N(K601)&gt;0,K601&amp;" x "&amp;L601,L601&amp;" reps"),IF(IF(N(N601)=0,0,IF(N(M601)&gt;0,M601*(1+N601/30),N601))=X601,IF(N(M601)&gt;0,M601&amp;" x "&amp;N601,N601&amp;" reps"),""))))))</f>
        <v/>
      </c>
      <c r="R601" s="20">
        <f>IF(N(X601)=0,"",ROUND(X601,1))</f>
        <v/>
      </c>
      <c r="S601" s="18">
        <f>IF(N(X601)=0,"",IF(AND(COUNTIFS(Log!$D$6:$D$1505,D601,Log!$B$6:$B$1505,"&lt;"&amp;B601)&gt;0,COUNTIFS(Log!$D$6:$D$1505,D601,Log!$B$6:$B$1505,"&lt;"&amp;B601,Log!$X$6:$X$1505,"&gt;="&amp;X601)=0),"New best",""))</f>
        <v/>
      </c>
      <c r="T601" s="26" t="n"/>
      <c r="U601" s="1">
        <f>IF(D601="","",IFERROR(INDEX(Exercises!$C$6:$C$105,MATCH(D601,Exercises!$B$6:$B$105,0)),"Other"))</f>
        <v/>
      </c>
      <c r="V601">
        <f>IF(B601="","",IF(COUNTIF($B$6:B601,B601)=1,1,0))</f>
        <v/>
      </c>
      <c r="W601">
        <f>IF(B601="","",B601-WEEKDAY(B601,3))</f>
        <v/>
      </c>
      <c r="X601">
        <f>IF(D601="","",MAX(IF(N(F601)=0,0,IF(N(E601)&gt;0,E601*(1+F601/30),F601)),IF(N(H601)=0,0,IF(N(G601)&gt;0,G601*(1+H601/30),H601)),IF(N(J601)=0,0,IF(N(I601)&gt;0,I601*(1+J601/30),J601)),IF(N(L601)=0,0,IF(N(K601)&gt;0,K601*(1+L601/30),L601)),IF(N(N601)=0,0,IF(N(M601)&gt;0,M601*(1+N601/30),N601))))</f>
        <v/>
      </c>
      <c r="Y601">
        <f>IF(N(X601)=0,"",X601+ROW()/1000000000)</f>
        <v/>
      </c>
      <c r="Z601">
        <f>IF(Y601="","",IF(COUNTIFS(Log!$D$6:$D$1505,D601,Log!$Y$6:$Y$1505,"&gt;"&amp;Y601)=0,1,0))</f>
        <v/>
      </c>
      <c r="AA601">
        <f>IF(OR(B601="",D601=""),"",B601+ROW()/10000000)</f>
        <v/>
      </c>
      <c r="AB601">
        <f>IF(AA601="","",IF(COUNTIFS(Log!$D$6:$D$1505,D601,Log!$AA$6:$AA$1505,"&gt;"&amp;AA601)=0,1,0))</f>
        <v/>
      </c>
      <c r="AC601">
        <f>IF(S601="New best",AA601,"")</f>
        <v/>
      </c>
      <c r="AD601">
        <f>ROW()</f>
        <v/>
      </c>
    </row>
    <row r="602">
      <c r="A602" s="1" t="n"/>
      <c r="B602" s="21" t="n"/>
      <c r="C602" s="22" t="n"/>
      <c r="D602" s="23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15">
        <f>IF(D602="","",COUNT(F602,H602,J602,L602,N602))</f>
        <v/>
      </c>
      <c r="P602" s="25">
        <f>IF(D602="","",N(E602)*N(F602)+N(G602)*N(H602)+N(I602)*N(J602)+N(K602)*N(L602)+N(M602)*N(N602))</f>
        <v/>
      </c>
      <c r="Q602" s="18">
        <f>IF(N(X602)=0,"",IF(IF(N(F602)=0,0,IF(N(E602)&gt;0,E602*(1+F602/30),F602))=X602,IF(N(E602)&gt;0,E602&amp;" x "&amp;F602,F602&amp;" reps"),IF(IF(N(H602)=0,0,IF(N(G602)&gt;0,G602*(1+H602/30),H602))=X602,IF(N(G602)&gt;0,G602&amp;" x "&amp;H602,H602&amp;" reps"),IF(IF(N(J602)=0,0,IF(N(I602)&gt;0,I602*(1+J602/30),J602))=X602,IF(N(I602)&gt;0,I602&amp;" x "&amp;J602,J602&amp;" reps"),IF(IF(N(L602)=0,0,IF(N(K602)&gt;0,K602*(1+L602/30),L602))=X602,IF(N(K602)&gt;0,K602&amp;" x "&amp;L602,L602&amp;" reps"),IF(IF(N(N602)=0,0,IF(N(M602)&gt;0,M602*(1+N602/30),N602))=X602,IF(N(M602)&gt;0,M602&amp;" x "&amp;N602,N602&amp;" reps"),""))))))</f>
        <v/>
      </c>
      <c r="R602" s="20">
        <f>IF(N(X602)=0,"",ROUND(X602,1))</f>
        <v/>
      </c>
      <c r="S602" s="18">
        <f>IF(N(X602)=0,"",IF(AND(COUNTIFS(Log!$D$6:$D$1505,D602,Log!$B$6:$B$1505,"&lt;"&amp;B602)&gt;0,COUNTIFS(Log!$D$6:$D$1505,D602,Log!$B$6:$B$1505,"&lt;"&amp;B602,Log!$X$6:$X$1505,"&gt;="&amp;X602)=0),"New best",""))</f>
        <v/>
      </c>
      <c r="T602" s="26" t="n"/>
      <c r="U602" s="1">
        <f>IF(D602="","",IFERROR(INDEX(Exercises!$C$6:$C$105,MATCH(D602,Exercises!$B$6:$B$105,0)),"Other"))</f>
        <v/>
      </c>
      <c r="V602">
        <f>IF(B602="","",IF(COUNTIF($B$6:B602,B602)=1,1,0))</f>
        <v/>
      </c>
      <c r="W602">
        <f>IF(B602="","",B602-WEEKDAY(B602,3))</f>
        <v/>
      </c>
      <c r="X602">
        <f>IF(D602="","",MAX(IF(N(F602)=0,0,IF(N(E602)&gt;0,E602*(1+F602/30),F602)),IF(N(H602)=0,0,IF(N(G602)&gt;0,G602*(1+H602/30),H602)),IF(N(J602)=0,0,IF(N(I602)&gt;0,I602*(1+J602/30),J602)),IF(N(L602)=0,0,IF(N(K602)&gt;0,K602*(1+L602/30),L602)),IF(N(N602)=0,0,IF(N(M602)&gt;0,M602*(1+N602/30),N602))))</f>
        <v/>
      </c>
      <c r="Y602">
        <f>IF(N(X602)=0,"",X602+ROW()/1000000000)</f>
        <v/>
      </c>
      <c r="Z602">
        <f>IF(Y602="","",IF(COUNTIFS(Log!$D$6:$D$1505,D602,Log!$Y$6:$Y$1505,"&gt;"&amp;Y602)=0,1,0))</f>
        <v/>
      </c>
      <c r="AA602">
        <f>IF(OR(B602="",D602=""),"",B602+ROW()/10000000)</f>
        <v/>
      </c>
      <c r="AB602">
        <f>IF(AA602="","",IF(COUNTIFS(Log!$D$6:$D$1505,D602,Log!$AA$6:$AA$1505,"&gt;"&amp;AA602)=0,1,0))</f>
        <v/>
      </c>
      <c r="AC602">
        <f>IF(S602="New best",AA602,"")</f>
        <v/>
      </c>
      <c r="AD602">
        <f>ROW()</f>
        <v/>
      </c>
    </row>
    <row r="603">
      <c r="A603" s="1" t="n"/>
      <c r="B603" s="21" t="n"/>
      <c r="C603" s="22" t="n"/>
      <c r="D603" s="23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15">
        <f>IF(D603="","",COUNT(F603,H603,J603,L603,N603))</f>
        <v/>
      </c>
      <c r="P603" s="25">
        <f>IF(D603="","",N(E603)*N(F603)+N(G603)*N(H603)+N(I603)*N(J603)+N(K603)*N(L603)+N(M603)*N(N603))</f>
        <v/>
      </c>
      <c r="Q603" s="18">
        <f>IF(N(X603)=0,"",IF(IF(N(F603)=0,0,IF(N(E603)&gt;0,E603*(1+F603/30),F603))=X603,IF(N(E603)&gt;0,E603&amp;" x "&amp;F603,F603&amp;" reps"),IF(IF(N(H603)=0,0,IF(N(G603)&gt;0,G603*(1+H603/30),H603))=X603,IF(N(G603)&gt;0,G603&amp;" x "&amp;H603,H603&amp;" reps"),IF(IF(N(J603)=0,0,IF(N(I603)&gt;0,I603*(1+J603/30),J603))=X603,IF(N(I603)&gt;0,I603&amp;" x "&amp;J603,J603&amp;" reps"),IF(IF(N(L603)=0,0,IF(N(K603)&gt;0,K603*(1+L603/30),L603))=X603,IF(N(K603)&gt;0,K603&amp;" x "&amp;L603,L603&amp;" reps"),IF(IF(N(N603)=0,0,IF(N(M603)&gt;0,M603*(1+N603/30),N603))=X603,IF(N(M603)&gt;0,M603&amp;" x "&amp;N603,N603&amp;" reps"),""))))))</f>
        <v/>
      </c>
      <c r="R603" s="20">
        <f>IF(N(X603)=0,"",ROUND(X603,1))</f>
        <v/>
      </c>
      <c r="S603" s="18">
        <f>IF(N(X603)=0,"",IF(AND(COUNTIFS(Log!$D$6:$D$1505,D603,Log!$B$6:$B$1505,"&lt;"&amp;B603)&gt;0,COUNTIFS(Log!$D$6:$D$1505,D603,Log!$B$6:$B$1505,"&lt;"&amp;B603,Log!$X$6:$X$1505,"&gt;="&amp;X603)=0),"New best",""))</f>
        <v/>
      </c>
      <c r="T603" s="26" t="n"/>
      <c r="U603" s="1">
        <f>IF(D603="","",IFERROR(INDEX(Exercises!$C$6:$C$105,MATCH(D603,Exercises!$B$6:$B$105,0)),"Other"))</f>
        <v/>
      </c>
      <c r="V603">
        <f>IF(B603="","",IF(COUNTIF($B$6:B603,B603)=1,1,0))</f>
        <v/>
      </c>
      <c r="W603">
        <f>IF(B603="","",B603-WEEKDAY(B603,3))</f>
        <v/>
      </c>
      <c r="X603">
        <f>IF(D603="","",MAX(IF(N(F603)=0,0,IF(N(E603)&gt;0,E603*(1+F603/30),F603)),IF(N(H603)=0,0,IF(N(G603)&gt;0,G603*(1+H603/30),H603)),IF(N(J603)=0,0,IF(N(I603)&gt;0,I603*(1+J603/30),J603)),IF(N(L603)=0,0,IF(N(K603)&gt;0,K603*(1+L603/30),L603)),IF(N(N603)=0,0,IF(N(M603)&gt;0,M603*(1+N603/30),N603))))</f>
        <v/>
      </c>
      <c r="Y603">
        <f>IF(N(X603)=0,"",X603+ROW()/1000000000)</f>
        <v/>
      </c>
      <c r="Z603">
        <f>IF(Y603="","",IF(COUNTIFS(Log!$D$6:$D$1505,D603,Log!$Y$6:$Y$1505,"&gt;"&amp;Y603)=0,1,0))</f>
        <v/>
      </c>
      <c r="AA603">
        <f>IF(OR(B603="",D603=""),"",B603+ROW()/10000000)</f>
        <v/>
      </c>
      <c r="AB603">
        <f>IF(AA603="","",IF(COUNTIFS(Log!$D$6:$D$1505,D603,Log!$AA$6:$AA$1505,"&gt;"&amp;AA603)=0,1,0))</f>
        <v/>
      </c>
      <c r="AC603">
        <f>IF(S603="New best",AA603,"")</f>
        <v/>
      </c>
      <c r="AD603">
        <f>ROW()</f>
        <v/>
      </c>
    </row>
    <row r="604">
      <c r="A604" s="1" t="n"/>
      <c r="B604" s="21" t="n"/>
      <c r="C604" s="22" t="n"/>
      <c r="D604" s="23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15">
        <f>IF(D604="","",COUNT(F604,H604,J604,L604,N604))</f>
        <v/>
      </c>
      <c r="P604" s="25">
        <f>IF(D604="","",N(E604)*N(F604)+N(G604)*N(H604)+N(I604)*N(J604)+N(K604)*N(L604)+N(M604)*N(N604))</f>
        <v/>
      </c>
      <c r="Q604" s="18">
        <f>IF(N(X604)=0,"",IF(IF(N(F604)=0,0,IF(N(E604)&gt;0,E604*(1+F604/30),F604))=X604,IF(N(E604)&gt;0,E604&amp;" x "&amp;F604,F604&amp;" reps"),IF(IF(N(H604)=0,0,IF(N(G604)&gt;0,G604*(1+H604/30),H604))=X604,IF(N(G604)&gt;0,G604&amp;" x "&amp;H604,H604&amp;" reps"),IF(IF(N(J604)=0,0,IF(N(I604)&gt;0,I604*(1+J604/30),J604))=X604,IF(N(I604)&gt;0,I604&amp;" x "&amp;J604,J604&amp;" reps"),IF(IF(N(L604)=0,0,IF(N(K604)&gt;0,K604*(1+L604/30),L604))=X604,IF(N(K604)&gt;0,K604&amp;" x "&amp;L604,L604&amp;" reps"),IF(IF(N(N604)=0,0,IF(N(M604)&gt;0,M604*(1+N604/30),N604))=X604,IF(N(M604)&gt;0,M604&amp;" x "&amp;N604,N604&amp;" reps"),""))))))</f>
        <v/>
      </c>
      <c r="R604" s="20">
        <f>IF(N(X604)=0,"",ROUND(X604,1))</f>
        <v/>
      </c>
      <c r="S604" s="18">
        <f>IF(N(X604)=0,"",IF(AND(COUNTIFS(Log!$D$6:$D$1505,D604,Log!$B$6:$B$1505,"&lt;"&amp;B604)&gt;0,COUNTIFS(Log!$D$6:$D$1505,D604,Log!$B$6:$B$1505,"&lt;"&amp;B604,Log!$X$6:$X$1505,"&gt;="&amp;X604)=0),"New best",""))</f>
        <v/>
      </c>
      <c r="T604" s="26" t="n"/>
      <c r="U604" s="1">
        <f>IF(D604="","",IFERROR(INDEX(Exercises!$C$6:$C$105,MATCH(D604,Exercises!$B$6:$B$105,0)),"Other"))</f>
        <v/>
      </c>
      <c r="V604">
        <f>IF(B604="","",IF(COUNTIF($B$6:B604,B604)=1,1,0))</f>
        <v/>
      </c>
      <c r="W604">
        <f>IF(B604="","",B604-WEEKDAY(B604,3))</f>
        <v/>
      </c>
      <c r="X604">
        <f>IF(D604="","",MAX(IF(N(F604)=0,0,IF(N(E604)&gt;0,E604*(1+F604/30),F604)),IF(N(H604)=0,0,IF(N(G604)&gt;0,G604*(1+H604/30),H604)),IF(N(J604)=0,0,IF(N(I604)&gt;0,I604*(1+J604/30),J604)),IF(N(L604)=0,0,IF(N(K604)&gt;0,K604*(1+L604/30),L604)),IF(N(N604)=0,0,IF(N(M604)&gt;0,M604*(1+N604/30),N604))))</f>
        <v/>
      </c>
      <c r="Y604">
        <f>IF(N(X604)=0,"",X604+ROW()/1000000000)</f>
        <v/>
      </c>
      <c r="Z604">
        <f>IF(Y604="","",IF(COUNTIFS(Log!$D$6:$D$1505,D604,Log!$Y$6:$Y$1505,"&gt;"&amp;Y604)=0,1,0))</f>
        <v/>
      </c>
      <c r="AA604">
        <f>IF(OR(B604="",D604=""),"",B604+ROW()/10000000)</f>
        <v/>
      </c>
      <c r="AB604">
        <f>IF(AA604="","",IF(COUNTIFS(Log!$D$6:$D$1505,D604,Log!$AA$6:$AA$1505,"&gt;"&amp;AA604)=0,1,0))</f>
        <v/>
      </c>
      <c r="AC604">
        <f>IF(S604="New best",AA604,"")</f>
        <v/>
      </c>
      <c r="AD604">
        <f>ROW()</f>
        <v/>
      </c>
    </row>
    <row r="605">
      <c r="A605" s="1" t="n"/>
      <c r="B605" s="21" t="n"/>
      <c r="C605" s="22" t="n"/>
      <c r="D605" s="23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15">
        <f>IF(D605="","",COUNT(F605,H605,J605,L605,N605))</f>
        <v/>
      </c>
      <c r="P605" s="25">
        <f>IF(D605="","",N(E605)*N(F605)+N(G605)*N(H605)+N(I605)*N(J605)+N(K605)*N(L605)+N(M605)*N(N605))</f>
        <v/>
      </c>
      <c r="Q605" s="18">
        <f>IF(N(X605)=0,"",IF(IF(N(F605)=0,0,IF(N(E605)&gt;0,E605*(1+F605/30),F605))=X605,IF(N(E605)&gt;0,E605&amp;" x "&amp;F605,F605&amp;" reps"),IF(IF(N(H605)=0,0,IF(N(G605)&gt;0,G605*(1+H605/30),H605))=X605,IF(N(G605)&gt;0,G605&amp;" x "&amp;H605,H605&amp;" reps"),IF(IF(N(J605)=0,0,IF(N(I605)&gt;0,I605*(1+J605/30),J605))=X605,IF(N(I605)&gt;0,I605&amp;" x "&amp;J605,J605&amp;" reps"),IF(IF(N(L605)=0,0,IF(N(K605)&gt;0,K605*(1+L605/30),L605))=X605,IF(N(K605)&gt;0,K605&amp;" x "&amp;L605,L605&amp;" reps"),IF(IF(N(N605)=0,0,IF(N(M605)&gt;0,M605*(1+N605/30),N605))=X605,IF(N(M605)&gt;0,M605&amp;" x "&amp;N605,N605&amp;" reps"),""))))))</f>
        <v/>
      </c>
      <c r="R605" s="20">
        <f>IF(N(X605)=0,"",ROUND(X605,1))</f>
        <v/>
      </c>
      <c r="S605" s="18">
        <f>IF(N(X605)=0,"",IF(AND(COUNTIFS(Log!$D$6:$D$1505,D605,Log!$B$6:$B$1505,"&lt;"&amp;B605)&gt;0,COUNTIFS(Log!$D$6:$D$1505,D605,Log!$B$6:$B$1505,"&lt;"&amp;B605,Log!$X$6:$X$1505,"&gt;="&amp;X605)=0),"New best",""))</f>
        <v/>
      </c>
      <c r="T605" s="26" t="n"/>
      <c r="U605" s="1">
        <f>IF(D605="","",IFERROR(INDEX(Exercises!$C$6:$C$105,MATCH(D605,Exercises!$B$6:$B$105,0)),"Other"))</f>
        <v/>
      </c>
      <c r="V605">
        <f>IF(B605="","",IF(COUNTIF($B$6:B605,B605)=1,1,0))</f>
        <v/>
      </c>
      <c r="W605">
        <f>IF(B605="","",B605-WEEKDAY(B605,3))</f>
        <v/>
      </c>
      <c r="X605">
        <f>IF(D605="","",MAX(IF(N(F605)=0,0,IF(N(E605)&gt;0,E605*(1+F605/30),F605)),IF(N(H605)=0,0,IF(N(G605)&gt;0,G605*(1+H605/30),H605)),IF(N(J605)=0,0,IF(N(I605)&gt;0,I605*(1+J605/30),J605)),IF(N(L605)=0,0,IF(N(K605)&gt;0,K605*(1+L605/30),L605)),IF(N(N605)=0,0,IF(N(M605)&gt;0,M605*(1+N605/30),N605))))</f>
        <v/>
      </c>
      <c r="Y605">
        <f>IF(N(X605)=0,"",X605+ROW()/1000000000)</f>
        <v/>
      </c>
      <c r="Z605">
        <f>IF(Y605="","",IF(COUNTIFS(Log!$D$6:$D$1505,D605,Log!$Y$6:$Y$1505,"&gt;"&amp;Y605)=0,1,0))</f>
        <v/>
      </c>
      <c r="AA605">
        <f>IF(OR(B605="",D605=""),"",B605+ROW()/10000000)</f>
        <v/>
      </c>
      <c r="AB605">
        <f>IF(AA605="","",IF(COUNTIFS(Log!$D$6:$D$1505,D605,Log!$AA$6:$AA$1505,"&gt;"&amp;AA605)=0,1,0))</f>
        <v/>
      </c>
      <c r="AC605">
        <f>IF(S605="New best",AA605,"")</f>
        <v/>
      </c>
      <c r="AD605">
        <f>ROW()</f>
        <v/>
      </c>
    </row>
    <row r="606">
      <c r="A606" s="1" t="n"/>
      <c r="B606" s="21" t="n"/>
      <c r="C606" s="22" t="n"/>
      <c r="D606" s="23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15">
        <f>IF(D606="","",COUNT(F606,H606,J606,L606,N606))</f>
        <v/>
      </c>
      <c r="P606" s="25">
        <f>IF(D606="","",N(E606)*N(F606)+N(G606)*N(H606)+N(I606)*N(J606)+N(K606)*N(L606)+N(M606)*N(N606))</f>
        <v/>
      </c>
      <c r="Q606" s="18">
        <f>IF(N(X606)=0,"",IF(IF(N(F606)=0,0,IF(N(E606)&gt;0,E606*(1+F606/30),F606))=X606,IF(N(E606)&gt;0,E606&amp;" x "&amp;F606,F606&amp;" reps"),IF(IF(N(H606)=0,0,IF(N(G606)&gt;0,G606*(1+H606/30),H606))=X606,IF(N(G606)&gt;0,G606&amp;" x "&amp;H606,H606&amp;" reps"),IF(IF(N(J606)=0,0,IF(N(I606)&gt;0,I606*(1+J606/30),J606))=X606,IF(N(I606)&gt;0,I606&amp;" x "&amp;J606,J606&amp;" reps"),IF(IF(N(L606)=0,0,IF(N(K606)&gt;0,K606*(1+L606/30),L606))=X606,IF(N(K606)&gt;0,K606&amp;" x "&amp;L606,L606&amp;" reps"),IF(IF(N(N606)=0,0,IF(N(M606)&gt;0,M606*(1+N606/30),N606))=X606,IF(N(M606)&gt;0,M606&amp;" x "&amp;N606,N606&amp;" reps"),""))))))</f>
        <v/>
      </c>
      <c r="R606" s="20">
        <f>IF(N(X606)=0,"",ROUND(X606,1))</f>
        <v/>
      </c>
      <c r="S606" s="18">
        <f>IF(N(X606)=0,"",IF(AND(COUNTIFS(Log!$D$6:$D$1505,D606,Log!$B$6:$B$1505,"&lt;"&amp;B606)&gt;0,COUNTIFS(Log!$D$6:$D$1505,D606,Log!$B$6:$B$1505,"&lt;"&amp;B606,Log!$X$6:$X$1505,"&gt;="&amp;X606)=0),"New best",""))</f>
        <v/>
      </c>
      <c r="T606" s="26" t="n"/>
      <c r="U606" s="1">
        <f>IF(D606="","",IFERROR(INDEX(Exercises!$C$6:$C$105,MATCH(D606,Exercises!$B$6:$B$105,0)),"Other"))</f>
        <v/>
      </c>
      <c r="V606">
        <f>IF(B606="","",IF(COUNTIF($B$6:B606,B606)=1,1,0))</f>
        <v/>
      </c>
      <c r="W606">
        <f>IF(B606="","",B606-WEEKDAY(B606,3))</f>
        <v/>
      </c>
      <c r="X606">
        <f>IF(D606="","",MAX(IF(N(F606)=0,0,IF(N(E606)&gt;0,E606*(1+F606/30),F606)),IF(N(H606)=0,0,IF(N(G606)&gt;0,G606*(1+H606/30),H606)),IF(N(J606)=0,0,IF(N(I606)&gt;0,I606*(1+J606/30),J606)),IF(N(L606)=0,0,IF(N(K606)&gt;0,K606*(1+L606/30),L606)),IF(N(N606)=0,0,IF(N(M606)&gt;0,M606*(1+N606/30),N606))))</f>
        <v/>
      </c>
      <c r="Y606">
        <f>IF(N(X606)=0,"",X606+ROW()/1000000000)</f>
        <v/>
      </c>
      <c r="Z606">
        <f>IF(Y606="","",IF(COUNTIFS(Log!$D$6:$D$1505,D606,Log!$Y$6:$Y$1505,"&gt;"&amp;Y606)=0,1,0))</f>
        <v/>
      </c>
      <c r="AA606">
        <f>IF(OR(B606="",D606=""),"",B606+ROW()/10000000)</f>
        <v/>
      </c>
      <c r="AB606">
        <f>IF(AA606="","",IF(COUNTIFS(Log!$D$6:$D$1505,D606,Log!$AA$6:$AA$1505,"&gt;"&amp;AA606)=0,1,0))</f>
        <v/>
      </c>
      <c r="AC606">
        <f>IF(S606="New best",AA606,"")</f>
        <v/>
      </c>
      <c r="AD606">
        <f>ROW()</f>
        <v/>
      </c>
    </row>
    <row r="607">
      <c r="A607" s="1" t="n"/>
      <c r="B607" s="21" t="n"/>
      <c r="C607" s="22" t="n"/>
      <c r="D607" s="23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15">
        <f>IF(D607="","",COUNT(F607,H607,J607,L607,N607))</f>
        <v/>
      </c>
      <c r="P607" s="25">
        <f>IF(D607="","",N(E607)*N(F607)+N(G607)*N(H607)+N(I607)*N(J607)+N(K607)*N(L607)+N(M607)*N(N607))</f>
        <v/>
      </c>
      <c r="Q607" s="18">
        <f>IF(N(X607)=0,"",IF(IF(N(F607)=0,0,IF(N(E607)&gt;0,E607*(1+F607/30),F607))=X607,IF(N(E607)&gt;0,E607&amp;" x "&amp;F607,F607&amp;" reps"),IF(IF(N(H607)=0,0,IF(N(G607)&gt;0,G607*(1+H607/30),H607))=X607,IF(N(G607)&gt;0,G607&amp;" x "&amp;H607,H607&amp;" reps"),IF(IF(N(J607)=0,0,IF(N(I607)&gt;0,I607*(1+J607/30),J607))=X607,IF(N(I607)&gt;0,I607&amp;" x "&amp;J607,J607&amp;" reps"),IF(IF(N(L607)=0,0,IF(N(K607)&gt;0,K607*(1+L607/30),L607))=X607,IF(N(K607)&gt;0,K607&amp;" x "&amp;L607,L607&amp;" reps"),IF(IF(N(N607)=0,0,IF(N(M607)&gt;0,M607*(1+N607/30),N607))=X607,IF(N(M607)&gt;0,M607&amp;" x "&amp;N607,N607&amp;" reps"),""))))))</f>
        <v/>
      </c>
      <c r="R607" s="20">
        <f>IF(N(X607)=0,"",ROUND(X607,1))</f>
        <v/>
      </c>
      <c r="S607" s="18">
        <f>IF(N(X607)=0,"",IF(AND(COUNTIFS(Log!$D$6:$D$1505,D607,Log!$B$6:$B$1505,"&lt;"&amp;B607)&gt;0,COUNTIFS(Log!$D$6:$D$1505,D607,Log!$B$6:$B$1505,"&lt;"&amp;B607,Log!$X$6:$X$1505,"&gt;="&amp;X607)=0),"New best",""))</f>
        <v/>
      </c>
      <c r="T607" s="26" t="n"/>
      <c r="U607" s="1">
        <f>IF(D607="","",IFERROR(INDEX(Exercises!$C$6:$C$105,MATCH(D607,Exercises!$B$6:$B$105,0)),"Other"))</f>
        <v/>
      </c>
      <c r="V607">
        <f>IF(B607="","",IF(COUNTIF($B$6:B607,B607)=1,1,0))</f>
        <v/>
      </c>
      <c r="W607">
        <f>IF(B607="","",B607-WEEKDAY(B607,3))</f>
        <v/>
      </c>
      <c r="X607">
        <f>IF(D607="","",MAX(IF(N(F607)=0,0,IF(N(E607)&gt;0,E607*(1+F607/30),F607)),IF(N(H607)=0,0,IF(N(G607)&gt;0,G607*(1+H607/30),H607)),IF(N(J607)=0,0,IF(N(I607)&gt;0,I607*(1+J607/30),J607)),IF(N(L607)=0,0,IF(N(K607)&gt;0,K607*(1+L607/30),L607)),IF(N(N607)=0,0,IF(N(M607)&gt;0,M607*(1+N607/30),N607))))</f>
        <v/>
      </c>
      <c r="Y607">
        <f>IF(N(X607)=0,"",X607+ROW()/1000000000)</f>
        <v/>
      </c>
      <c r="Z607">
        <f>IF(Y607="","",IF(COUNTIFS(Log!$D$6:$D$1505,D607,Log!$Y$6:$Y$1505,"&gt;"&amp;Y607)=0,1,0))</f>
        <v/>
      </c>
      <c r="AA607">
        <f>IF(OR(B607="",D607=""),"",B607+ROW()/10000000)</f>
        <v/>
      </c>
      <c r="AB607">
        <f>IF(AA607="","",IF(COUNTIFS(Log!$D$6:$D$1505,D607,Log!$AA$6:$AA$1505,"&gt;"&amp;AA607)=0,1,0))</f>
        <v/>
      </c>
      <c r="AC607">
        <f>IF(S607="New best",AA607,"")</f>
        <v/>
      </c>
      <c r="AD607">
        <f>ROW()</f>
        <v/>
      </c>
    </row>
    <row r="608">
      <c r="A608" s="1" t="n"/>
      <c r="B608" s="21" t="n"/>
      <c r="C608" s="22" t="n"/>
      <c r="D608" s="23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15">
        <f>IF(D608="","",COUNT(F608,H608,J608,L608,N608))</f>
        <v/>
      </c>
      <c r="P608" s="25">
        <f>IF(D608="","",N(E608)*N(F608)+N(G608)*N(H608)+N(I608)*N(J608)+N(K608)*N(L608)+N(M608)*N(N608))</f>
        <v/>
      </c>
      <c r="Q608" s="18">
        <f>IF(N(X608)=0,"",IF(IF(N(F608)=0,0,IF(N(E608)&gt;0,E608*(1+F608/30),F608))=X608,IF(N(E608)&gt;0,E608&amp;" x "&amp;F608,F608&amp;" reps"),IF(IF(N(H608)=0,0,IF(N(G608)&gt;0,G608*(1+H608/30),H608))=X608,IF(N(G608)&gt;0,G608&amp;" x "&amp;H608,H608&amp;" reps"),IF(IF(N(J608)=0,0,IF(N(I608)&gt;0,I608*(1+J608/30),J608))=X608,IF(N(I608)&gt;0,I608&amp;" x "&amp;J608,J608&amp;" reps"),IF(IF(N(L608)=0,0,IF(N(K608)&gt;0,K608*(1+L608/30),L608))=X608,IF(N(K608)&gt;0,K608&amp;" x "&amp;L608,L608&amp;" reps"),IF(IF(N(N608)=0,0,IF(N(M608)&gt;0,M608*(1+N608/30),N608))=X608,IF(N(M608)&gt;0,M608&amp;" x "&amp;N608,N608&amp;" reps"),""))))))</f>
        <v/>
      </c>
      <c r="R608" s="20">
        <f>IF(N(X608)=0,"",ROUND(X608,1))</f>
        <v/>
      </c>
      <c r="S608" s="18">
        <f>IF(N(X608)=0,"",IF(AND(COUNTIFS(Log!$D$6:$D$1505,D608,Log!$B$6:$B$1505,"&lt;"&amp;B608)&gt;0,COUNTIFS(Log!$D$6:$D$1505,D608,Log!$B$6:$B$1505,"&lt;"&amp;B608,Log!$X$6:$X$1505,"&gt;="&amp;X608)=0),"New best",""))</f>
        <v/>
      </c>
      <c r="T608" s="26" t="n"/>
      <c r="U608" s="1">
        <f>IF(D608="","",IFERROR(INDEX(Exercises!$C$6:$C$105,MATCH(D608,Exercises!$B$6:$B$105,0)),"Other"))</f>
        <v/>
      </c>
      <c r="V608">
        <f>IF(B608="","",IF(COUNTIF($B$6:B608,B608)=1,1,0))</f>
        <v/>
      </c>
      <c r="W608">
        <f>IF(B608="","",B608-WEEKDAY(B608,3))</f>
        <v/>
      </c>
      <c r="X608">
        <f>IF(D608="","",MAX(IF(N(F608)=0,0,IF(N(E608)&gt;0,E608*(1+F608/30),F608)),IF(N(H608)=0,0,IF(N(G608)&gt;0,G608*(1+H608/30),H608)),IF(N(J608)=0,0,IF(N(I608)&gt;0,I608*(1+J608/30),J608)),IF(N(L608)=0,0,IF(N(K608)&gt;0,K608*(1+L608/30),L608)),IF(N(N608)=0,0,IF(N(M608)&gt;0,M608*(1+N608/30),N608))))</f>
        <v/>
      </c>
      <c r="Y608">
        <f>IF(N(X608)=0,"",X608+ROW()/1000000000)</f>
        <v/>
      </c>
      <c r="Z608">
        <f>IF(Y608="","",IF(COUNTIFS(Log!$D$6:$D$1505,D608,Log!$Y$6:$Y$1505,"&gt;"&amp;Y608)=0,1,0))</f>
        <v/>
      </c>
      <c r="AA608">
        <f>IF(OR(B608="",D608=""),"",B608+ROW()/10000000)</f>
        <v/>
      </c>
      <c r="AB608">
        <f>IF(AA608="","",IF(COUNTIFS(Log!$D$6:$D$1505,D608,Log!$AA$6:$AA$1505,"&gt;"&amp;AA608)=0,1,0))</f>
        <v/>
      </c>
      <c r="AC608">
        <f>IF(S608="New best",AA608,"")</f>
        <v/>
      </c>
      <c r="AD608">
        <f>ROW()</f>
        <v/>
      </c>
    </row>
    <row r="609">
      <c r="A609" s="1" t="n"/>
      <c r="B609" s="21" t="n"/>
      <c r="C609" s="22" t="n"/>
      <c r="D609" s="23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15">
        <f>IF(D609="","",COUNT(F609,H609,J609,L609,N609))</f>
        <v/>
      </c>
      <c r="P609" s="25">
        <f>IF(D609="","",N(E609)*N(F609)+N(G609)*N(H609)+N(I609)*N(J609)+N(K609)*N(L609)+N(M609)*N(N609))</f>
        <v/>
      </c>
      <c r="Q609" s="18">
        <f>IF(N(X609)=0,"",IF(IF(N(F609)=0,0,IF(N(E609)&gt;0,E609*(1+F609/30),F609))=X609,IF(N(E609)&gt;0,E609&amp;" x "&amp;F609,F609&amp;" reps"),IF(IF(N(H609)=0,0,IF(N(G609)&gt;0,G609*(1+H609/30),H609))=X609,IF(N(G609)&gt;0,G609&amp;" x "&amp;H609,H609&amp;" reps"),IF(IF(N(J609)=0,0,IF(N(I609)&gt;0,I609*(1+J609/30),J609))=X609,IF(N(I609)&gt;0,I609&amp;" x "&amp;J609,J609&amp;" reps"),IF(IF(N(L609)=0,0,IF(N(K609)&gt;0,K609*(1+L609/30),L609))=X609,IF(N(K609)&gt;0,K609&amp;" x "&amp;L609,L609&amp;" reps"),IF(IF(N(N609)=0,0,IF(N(M609)&gt;0,M609*(1+N609/30),N609))=X609,IF(N(M609)&gt;0,M609&amp;" x "&amp;N609,N609&amp;" reps"),""))))))</f>
        <v/>
      </c>
      <c r="R609" s="20">
        <f>IF(N(X609)=0,"",ROUND(X609,1))</f>
        <v/>
      </c>
      <c r="S609" s="18">
        <f>IF(N(X609)=0,"",IF(AND(COUNTIFS(Log!$D$6:$D$1505,D609,Log!$B$6:$B$1505,"&lt;"&amp;B609)&gt;0,COUNTIFS(Log!$D$6:$D$1505,D609,Log!$B$6:$B$1505,"&lt;"&amp;B609,Log!$X$6:$X$1505,"&gt;="&amp;X609)=0),"New best",""))</f>
        <v/>
      </c>
      <c r="T609" s="26" t="n"/>
      <c r="U609" s="1">
        <f>IF(D609="","",IFERROR(INDEX(Exercises!$C$6:$C$105,MATCH(D609,Exercises!$B$6:$B$105,0)),"Other"))</f>
        <v/>
      </c>
      <c r="V609">
        <f>IF(B609="","",IF(COUNTIF($B$6:B609,B609)=1,1,0))</f>
        <v/>
      </c>
      <c r="W609">
        <f>IF(B609="","",B609-WEEKDAY(B609,3))</f>
        <v/>
      </c>
      <c r="X609">
        <f>IF(D609="","",MAX(IF(N(F609)=0,0,IF(N(E609)&gt;0,E609*(1+F609/30),F609)),IF(N(H609)=0,0,IF(N(G609)&gt;0,G609*(1+H609/30),H609)),IF(N(J609)=0,0,IF(N(I609)&gt;0,I609*(1+J609/30),J609)),IF(N(L609)=0,0,IF(N(K609)&gt;0,K609*(1+L609/30),L609)),IF(N(N609)=0,0,IF(N(M609)&gt;0,M609*(1+N609/30),N609))))</f>
        <v/>
      </c>
      <c r="Y609">
        <f>IF(N(X609)=0,"",X609+ROW()/1000000000)</f>
        <v/>
      </c>
      <c r="Z609">
        <f>IF(Y609="","",IF(COUNTIFS(Log!$D$6:$D$1505,D609,Log!$Y$6:$Y$1505,"&gt;"&amp;Y609)=0,1,0))</f>
        <v/>
      </c>
      <c r="AA609">
        <f>IF(OR(B609="",D609=""),"",B609+ROW()/10000000)</f>
        <v/>
      </c>
      <c r="AB609">
        <f>IF(AA609="","",IF(COUNTIFS(Log!$D$6:$D$1505,D609,Log!$AA$6:$AA$1505,"&gt;"&amp;AA609)=0,1,0))</f>
        <v/>
      </c>
      <c r="AC609">
        <f>IF(S609="New best",AA609,"")</f>
        <v/>
      </c>
      <c r="AD609">
        <f>ROW()</f>
        <v/>
      </c>
    </row>
    <row r="610">
      <c r="A610" s="1" t="n"/>
      <c r="B610" s="21" t="n"/>
      <c r="C610" s="22" t="n"/>
      <c r="D610" s="23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15">
        <f>IF(D610="","",COUNT(F610,H610,J610,L610,N610))</f>
        <v/>
      </c>
      <c r="P610" s="25">
        <f>IF(D610="","",N(E610)*N(F610)+N(G610)*N(H610)+N(I610)*N(J610)+N(K610)*N(L610)+N(M610)*N(N610))</f>
        <v/>
      </c>
      <c r="Q610" s="18">
        <f>IF(N(X610)=0,"",IF(IF(N(F610)=0,0,IF(N(E610)&gt;0,E610*(1+F610/30),F610))=X610,IF(N(E610)&gt;0,E610&amp;" x "&amp;F610,F610&amp;" reps"),IF(IF(N(H610)=0,0,IF(N(G610)&gt;0,G610*(1+H610/30),H610))=X610,IF(N(G610)&gt;0,G610&amp;" x "&amp;H610,H610&amp;" reps"),IF(IF(N(J610)=0,0,IF(N(I610)&gt;0,I610*(1+J610/30),J610))=X610,IF(N(I610)&gt;0,I610&amp;" x "&amp;J610,J610&amp;" reps"),IF(IF(N(L610)=0,0,IF(N(K610)&gt;0,K610*(1+L610/30),L610))=X610,IF(N(K610)&gt;0,K610&amp;" x "&amp;L610,L610&amp;" reps"),IF(IF(N(N610)=0,0,IF(N(M610)&gt;0,M610*(1+N610/30),N610))=X610,IF(N(M610)&gt;0,M610&amp;" x "&amp;N610,N610&amp;" reps"),""))))))</f>
        <v/>
      </c>
      <c r="R610" s="20">
        <f>IF(N(X610)=0,"",ROUND(X610,1))</f>
        <v/>
      </c>
      <c r="S610" s="18">
        <f>IF(N(X610)=0,"",IF(AND(COUNTIFS(Log!$D$6:$D$1505,D610,Log!$B$6:$B$1505,"&lt;"&amp;B610)&gt;0,COUNTIFS(Log!$D$6:$D$1505,D610,Log!$B$6:$B$1505,"&lt;"&amp;B610,Log!$X$6:$X$1505,"&gt;="&amp;X610)=0),"New best",""))</f>
        <v/>
      </c>
      <c r="T610" s="26" t="n"/>
      <c r="U610" s="1">
        <f>IF(D610="","",IFERROR(INDEX(Exercises!$C$6:$C$105,MATCH(D610,Exercises!$B$6:$B$105,0)),"Other"))</f>
        <v/>
      </c>
      <c r="V610">
        <f>IF(B610="","",IF(COUNTIF($B$6:B610,B610)=1,1,0))</f>
        <v/>
      </c>
      <c r="W610">
        <f>IF(B610="","",B610-WEEKDAY(B610,3))</f>
        <v/>
      </c>
      <c r="X610">
        <f>IF(D610="","",MAX(IF(N(F610)=0,0,IF(N(E610)&gt;0,E610*(1+F610/30),F610)),IF(N(H610)=0,0,IF(N(G610)&gt;0,G610*(1+H610/30),H610)),IF(N(J610)=0,0,IF(N(I610)&gt;0,I610*(1+J610/30),J610)),IF(N(L610)=0,0,IF(N(K610)&gt;0,K610*(1+L610/30),L610)),IF(N(N610)=0,0,IF(N(M610)&gt;0,M610*(1+N610/30),N610))))</f>
        <v/>
      </c>
      <c r="Y610">
        <f>IF(N(X610)=0,"",X610+ROW()/1000000000)</f>
        <v/>
      </c>
      <c r="Z610">
        <f>IF(Y610="","",IF(COUNTIFS(Log!$D$6:$D$1505,D610,Log!$Y$6:$Y$1505,"&gt;"&amp;Y610)=0,1,0))</f>
        <v/>
      </c>
      <c r="AA610">
        <f>IF(OR(B610="",D610=""),"",B610+ROW()/10000000)</f>
        <v/>
      </c>
      <c r="AB610">
        <f>IF(AA610="","",IF(COUNTIFS(Log!$D$6:$D$1505,D610,Log!$AA$6:$AA$1505,"&gt;"&amp;AA610)=0,1,0))</f>
        <v/>
      </c>
      <c r="AC610">
        <f>IF(S610="New best",AA610,"")</f>
        <v/>
      </c>
      <c r="AD610">
        <f>ROW()</f>
        <v/>
      </c>
    </row>
    <row r="611">
      <c r="A611" s="1" t="n"/>
      <c r="B611" s="21" t="n"/>
      <c r="C611" s="22" t="n"/>
      <c r="D611" s="23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15">
        <f>IF(D611="","",COUNT(F611,H611,J611,L611,N611))</f>
        <v/>
      </c>
      <c r="P611" s="25">
        <f>IF(D611="","",N(E611)*N(F611)+N(G611)*N(H611)+N(I611)*N(J611)+N(K611)*N(L611)+N(M611)*N(N611))</f>
        <v/>
      </c>
      <c r="Q611" s="18">
        <f>IF(N(X611)=0,"",IF(IF(N(F611)=0,0,IF(N(E611)&gt;0,E611*(1+F611/30),F611))=X611,IF(N(E611)&gt;0,E611&amp;" x "&amp;F611,F611&amp;" reps"),IF(IF(N(H611)=0,0,IF(N(G611)&gt;0,G611*(1+H611/30),H611))=X611,IF(N(G611)&gt;0,G611&amp;" x "&amp;H611,H611&amp;" reps"),IF(IF(N(J611)=0,0,IF(N(I611)&gt;0,I611*(1+J611/30),J611))=X611,IF(N(I611)&gt;0,I611&amp;" x "&amp;J611,J611&amp;" reps"),IF(IF(N(L611)=0,0,IF(N(K611)&gt;0,K611*(1+L611/30),L611))=X611,IF(N(K611)&gt;0,K611&amp;" x "&amp;L611,L611&amp;" reps"),IF(IF(N(N611)=0,0,IF(N(M611)&gt;0,M611*(1+N611/30),N611))=X611,IF(N(M611)&gt;0,M611&amp;" x "&amp;N611,N611&amp;" reps"),""))))))</f>
        <v/>
      </c>
      <c r="R611" s="20">
        <f>IF(N(X611)=0,"",ROUND(X611,1))</f>
        <v/>
      </c>
      <c r="S611" s="18">
        <f>IF(N(X611)=0,"",IF(AND(COUNTIFS(Log!$D$6:$D$1505,D611,Log!$B$6:$B$1505,"&lt;"&amp;B611)&gt;0,COUNTIFS(Log!$D$6:$D$1505,D611,Log!$B$6:$B$1505,"&lt;"&amp;B611,Log!$X$6:$X$1505,"&gt;="&amp;X611)=0),"New best",""))</f>
        <v/>
      </c>
      <c r="T611" s="26" t="n"/>
      <c r="U611" s="1">
        <f>IF(D611="","",IFERROR(INDEX(Exercises!$C$6:$C$105,MATCH(D611,Exercises!$B$6:$B$105,0)),"Other"))</f>
        <v/>
      </c>
      <c r="V611">
        <f>IF(B611="","",IF(COUNTIF($B$6:B611,B611)=1,1,0))</f>
        <v/>
      </c>
      <c r="W611">
        <f>IF(B611="","",B611-WEEKDAY(B611,3))</f>
        <v/>
      </c>
      <c r="X611">
        <f>IF(D611="","",MAX(IF(N(F611)=0,0,IF(N(E611)&gt;0,E611*(1+F611/30),F611)),IF(N(H611)=0,0,IF(N(G611)&gt;0,G611*(1+H611/30),H611)),IF(N(J611)=0,0,IF(N(I611)&gt;0,I611*(1+J611/30),J611)),IF(N(L611)=0,0,IF(N(K611)&gt;0,K611*(1+L611/30),L611)),IF(N(N611)=0,0,IF(N(M611)&gt;0,M611*(1+N611/30),N611))))</f>
        <v/>
      </c>
      <c r="Y611">
        <f>IF(N(X611)=0,"",X611+ROW()/1000000000)</f>
        <v/>
      </c>
      <c r="Z611">
        <f>IF(Y611="","",IF(COUNTIFS(Log!$D$6:$D$1505,D611,Log!$Y$6:$Y$1505,"&gt;"&amp;Y611)=0,1,0))</f>
        <v/>
      </c>
      <c r="AA611">
        <f>IF(OR(B611="",D611=""),"",B611+ROW()/10000000)</f>
        <v/>
      </c>
      <c r="AB611">
        <f>IF(AA611="","",IF(COUNTIFS(Log!$D$6:$D$1505,D611,Log!$AA$6:$AA$1505,"&gt;"&amp;AA611)=0,1,0))</f>
        <v/>
      </c>
      <c r="AC611">
        <f>IF(S611="New best",AA611,"")</f>
        <v/>
      </c>
      <c r="AD611">
        <f>ROW()</f>
        <v/>
      </c>
    </row>
    <row r="612">
      <c r="A612" s="1" t="n"/>
      <c r="B612" s="21" t="n"/>
      <c r="C612" s="22" t="n"/>
      <c r="D612" s="23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15">
        <f>IF(D612="","",COUNT(F612,H612,J612,L612,N612))</f>
        <v/>
      </c>
      <c r="P612" s="25">
        <f>IF(D612="","",N(E612)*N(F612)+N(G612)*N(H612)+N(I612)*N(J612)+N(K612)*N(L612)+N(M612)*N(N612))</f>
        <v/>
      </c>
      <c r="Q612" s="18">
        <f>IF(N(X612)=0,"",IF(IF(N(F612)=0,0,IF(N(E612)&gt;0,E612*(1+F612/30),F612))=X612,IF(N(E612)&gt;0,E612&amp;" x "&amp;F612,F612&amp;" reps"),IF(IF(N(H612)=0,0,IF(N(G612)&gt;0,G612*(1+H612/30),H612))=X612,IF(N(G612)&gt;0,G612&amp;" x "&amp;H612,H612&amp;" reps"),IF(IF(N(J612)=0,0,IF(N(I612)&gt;0,I612*(1+J612/30),J612))=X612,IF(N(I612)&gt;0,I612&amp;" x "&amp;J612,J612&amp;" reps"),IF(IF(N(L612)=0,0,IF(N(K612)&gt;0,K612*(1+L612/30),L612))=X612,IF(N(K612)&gt;0,K612&amp;" x "&amp;L612,L612&amp;" reps"),IF(IF(N(N612)=0,0,IF(N(M612)&gt;0,M612*(1+N612/30),N612))=X612,IF(N(M612)&gt;0,M612&amp;" x "&amp;N612,N612&amp;" reps"),""))))))</f>
        <v/>
      </c>
      <c r="R612" s="20">
        <f>IF(N(X612)=0,"",ROUND(X612,1))</f>
        <v/>
      </c>
      <c r="S612" s="18">
        <f>IF(N(X612)=0,"",IF(AND(COUNTIFS(Log!$D$6:$D$1505,D612,Log!$B$6:$B$1505,"&lt;"&amp;B612)&gt;0,COUNTIFS(Log!$D$6:$D$1505,D612,Log!$B$6:$B$1505,"&lt;"&amp;B612,Log!$X$6:$X$1505,"&gt;="&amp;X612)=0),"New best",""))</f>
        <v/>
      </c>
      <c r="T612" s="26" t="n"/>
      <c r="U612" s="1">
        <f>IF(D612="","",IFERROR(INDEX(Exercises!$C$6:$C$105,MATCH(D612,Exercises!$B$6:$B$105,0)),"Other"))</f>
        <v/>
      </c>
      <c r="V612">
        <f>IF(B612="","",IF(COUNTIF($B$6:B612,B612)=1,1,0))</f>
        <v/>
      </c>
      <c r="W612">
        <f>IF(B612="","",B612-WEEKDAY(B612,3))</f>
        <v/>
      </c>
      <c r="X612">
        <f>IF(D612="","",MAX(IF(N(F612)=0,0,IF(N(E612)&gt;0,E612*(1+F612/30),F612)),IF(N(H612)=0,0,IF(N(G612)&gt;0,G612*(1+H612/30),H612)),IF(N(J612)=0,0,IF(N(I612)&gt;0,I612*(1+J612/30),J612)),IF(N(L612)=0,0,IF(N(K612)&gt;0,K612*(1+L612/30),L612)),IF(N(N612)=0,0,IF(N(M612)&gt;0,M612*(1+N612/30),N612))))</f>
        <v/>
      </c>
      <c r="Y612">
        <f>IF(N(X612)=0,"",X612+ROW()/1000000000)</f>
        <v/>
      </c>
      <c r="Z612">
        <f>IF(Y612="","",IF(COUNTIFS(Log!$D$6:$D$1505,D612,Log!$Y$6:$Y$1505,"&gt;"&amp;Y612)=0,1,0))</f>
        <v/>
      </c>
      <c r="AA612">
        <f>IF(OR(B612="",D612=""),"",B612+ROW()/10000000)</f>
        <v/>
      </c>
      <c r="AB612">
        <f>IF(AA612="","",IF(COUNTIFS(Log!$D$6:$D$1505,D612,Log!$AA$6:$AA$1505,"&gt;"&amp;AA612)=0,1,0))</f>
        <v/>
      </c>
      <c r="AC612">
        <f>IF(S612="New best",AA612,"")</f>
        <v/>
      </c>
      <c r="AD612">
        <f>ROW()</f>
        <v/>
      </c>
    </row>
    <row r="613">
      <c r="A613" s="1" t="n"/>
      <c r="B613" s="21" t="n"/>
      <c r="C613" s="22" t="n"/>
      <c r="D613" s="23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15">
        <f>IF(D613="","",COUNT(F613,H613,J613,L613,N613))</f>
        <v/>
      </c>
      <c r="P613" s="25">
        <f>IF(D613="","",N(E613)*N(F613)+N(G613)*N(H613)+N(I613)*N(J613)+N(K613)*N(L613)+N(M613)*N(N613))</f>
        <v/>
      </c>
      <c r="Q613" s="18">
        <f>IF(N(X613)=0,"",IF(IF(N(F613)=0,0,IF(N(E613)&gt;0,E613*(1+F613/30),F613))=X613,IF(N(E613)&gt;0,E613&amp;" x "&amp;F613,F613&amp;" reps"),IF(IF(N(H613)=0,0,IF(N(G613)&gt;0,G613*(1+H613/30),H613))=X613,IF(N(G613)&gt;0,G613&amp;" x "&amp;H613,H613&amp;" reps"),IF(IF(N(J613)=0,0,IF(N(I613)&gt;0,I613*(1+J613/30),J613))=X613,IF(N(I613)&gt;0,I613&amp;" x "&amp;J613,J613&amp;" reps"),IF(IF(N(L613)=0,0,IF(N(K613)&gt;0,K613*(1+L613/30),L613))=X613,IF(N(K613)&gt;0,K613&amp;" x "&amp;L613,L613&amp;" reps"),IF(IF(N(N613)=0,0,IF(N(M613)&gt;0,M613*(1+N613/30),N613))=X613,IF(N(M613)&gt;0,M613&amp;" x "&amp;N613,N613&amp;" reps"),""))))))</f>
        <v/>
      </c>
      <c r="R613" s="20">
        <f>IF(N(X613)=0,"",ROUND(X613,1))</f>
        <v/>
      </c>
      <c r="S613" s="18">
        <f>IF(N(X613)=0,"",IF(AND(COUNTIFS(Log!$D$6:$D$1505,D613,Log!$B$6:$B$1505,"&lt;"&amp;B613)&gt;0,COUNTIFS(Log!$D$6:$D$1505,D613,Log!$B$6:$B$1505,"&lt;"&amp;B613,Log!$X$6:$X$1505,"&gt;="&amp;X613)=0),"New best",""))</f>
        <v/>
      </c>
      <c r="T613" s="26" t="n"/>
      <c r="U613" s="1">
        <f>IF(D613="","",IFERROR(INDEX(Exercises!$C$6:$C$105,MATCH(D613,Exercises!$B$6:$B$105,0)),"Other"))</f>
        <v/>
      </c>
      <c r="V613">
        <f>IF(B613="","",IF(COUNTIF($B$6:B613,B613)=1,1,0))</f>
        <v/>
      </c>
      <c r="W613">
        <f>IF(B613="","",B613-WEEKDAY(B613,3))</f>
        <v/>
      </c>
      <c r="X613">
        <f>IF(D613="","",MAX(IF(N(F613)=0,0,IF(N(E613)&gt;0,E613*(1+F613/30),F613)),IF(N(H613)=0,0,IF(N(G613)&gt;0,G613*(1+H613/30),H613)),IF(N(J613)=0,0,IF(N(I613)&gt;0,I613*(1+J613/30),J613)),IF(N(L613)=0,0,IF(N(K613)&gt;0,K613*(1+L613/30),L613)),IF(N(N613)=0,0,IF(N(M613)&gt;0,M613*(1+N613/30),N613))))</f>
        <v/>
      </c>
      <c r="Y613">
        <f>IF(N(X613)=0,"",X613+ROW()/1000000000)</f>
        <v/>
      </c>
      <c r="Z613">
        <f>IF(Y613="","",IF(COUNTIFS(Log!$D$6:$D$1505,D613,Log!$Y$6:$Y$1505,"&gt;"&amp;Y613)=0,1,0))</f>
        <v/>
      </c>
      <c r="AA613">
        <f>IF(OR(B613="",D613=""),"",B613+ROW()/10000000)</f>
        <v/>
      </c>
      <c r="AB613">
        <f>IF(AA613="","",IF(COUNTIFS(Log!$D$6:$D$1505,D613,Log!$AA$6:$AA$1505,"&gt;"&amp;AA613)=0,1,0))</f>
        <v/>
      </c>
      <c r="AC613">
        <f>IF(S613="New best",AA613,"")</f>
        <v/>
      </c>
      <c r="AD613">
        <f>ROW()</f>
        <v/>
      </c>
    </row>
    <row r="614">
      <c r="A614" s="1" t="n"/>
      <c r="B614" s="21" t="n"/>
      <c r="C614" s="22" t="n"/>
      <c r="D614" s="23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15">
        <f>IF(D614="","",COUNT(F614,H614,J614,L614,N614))</f>
        <v/>
      </c>
      <c r="P614" s="25">
        <f>IF(D614="","",N(E614)*N(F614)+N(G614)*N(H614)+N(I614)*N(J614)+N(K614)*N(L614)+N(M614)*N(N614))</f>
        <v/>
      </c>
      <c r="Q614" s="18">
        <f>IF(N(X614)=0,"",IF(IF(N(F614)=0,0,IF(N(E614)&gt;0,E614*(1+F614/30),F614))=X614,IF(N(E614)&gt;0,E614&amp;" x "&amp;F614,F614&amp;" reps"),IF(IF(N(H614)=0,0,IF(N(G614)&gt;0,G614*(1+H614/30),H614))=X614,IF(N(G614)&gt;0,G614&amp;" x "&amp;H614,H614&amp;" reps"),IF(IF(N(J614)=0,0,IF(N(I614)&gt;0,I614*(1+J614/30),J614))=X614,IF(N(I614)&gt;0,I614&amp;" x "&amp;J614,J614&amp;" reps"),IF(IF(N(L614)=0,0,IF(N(K614)&gt;0,K614*(1+L614/30),L614))=X614,IF(N(K614)&gt;0,K614&amp;" x "&amp;L614,L614&amp;" reps"),IF(IF(N(N614)=0,0,IF(N(M614)&gt;0,M614*(1+N614/30),N614))=X614,IF(N(M614)&gt;0,M614&amp;" x "&amp;N614,N614&amp;" reps"),""))))))</f>
        <v/>
      </c>
      <c r="R614" s="20">
        <f>IF(N(X614)=0,"",ROUND(X614,1))</f>
        <v/>
      </c>
      <c r="S614" s="18">
        <f>IF(N(X614)=0,"",IF(AND(COUNTIFS(Log!$D$6:$D$1505,D614,Log!$B$6:$B$1505,"&lt;"&amp;B614)&gt;0,COUNTIFS(Log!$D$6:$D$1505,D614,Log!$B$6:$B$1505,"&lt;"&amp;B614,Log!$X$6:$X$1505,"&gt;="&amp;X614)=0),"New best",""))</f>
        <v/>
      </c>
      <c r="T614" s="26" t="n"/>
      <c r="U614" s="1">
        <f>IF(D614="","",IFERROR(INDEX(Exercises!$C$6:$C$105,MATCH(D614,Exercises!$B$6:$B$105,0)),"Other"))</f>
        <v/>
      </c>
      <c r="V614">
        <f>IF(B614="","",IF(COUNTIF($B$6:B614,B614)=1,1,0))</f>
        <v/>
      </c>
      <c r="W614">
        <f>IF(B614="","",B614-WEEKDAY(B614,3))</f>
        <v/>
      </c>
      <c r="X614">
        <f>IF(D614="","",MAX(IF(N(F614)=0,0,IF(N(E614)&gt;0,E614*(1+F614/30),F614)),IF(N(H614)=0,0,IF(N(G614)&gt;0,G614*(1+H614/30),H614)),IF(N(J614)=0,0,IF(N(I614)&gt;0,I614*(1+J614/30),J614)),IF(N(L614)=0,0,IF(N(K614)&gt;0,K614*(1+L614/30),L614)),IF(N(N614)=0,0,IF(N(M614)&gt;0,M614*(1+N614/30),N614))))</f>
        <v/>
      </c>
      <c r="Y614">
        <f>IF(N(X614)=0,"",X614+ROW()/1000000000)</f>
        <v/>
      </c>
      <c r="Z614">
        <f>IF(Y614="","",IF(COUNTIFS(Log!$D$6:$D$1505,D614,Log!$Y$6:$Y$1505,"&gt;"&amp;Y614)=0,1,0))</f>
        <v/>
      </c>
      <c r="AA614">
        <f>IF(OR(B614="",D614=""),"",B614+ROW()/10000000)</f>
        <v/>
      </c>
      <c r="AB614">
        <f>IF(AA614="","",IF(COUNTIFS(Log!$D$6:$D$1505,D614,Log!$AA$6:$AA$1505,"&gt;"&amp;AA614)=0,1,0))</f>
        <v/>
      </c>
      <c r="AC614">
        <f>IF(S614="New best",AA614,"")</f>
        <v/>
      </c>
      <c r="AD614">
        <f>ROW()</f>
        <v/>
      </c>
    </row>
    <row r="615">
      <c r="A615" s="1" t="n"/>
      <c r="B615" s="21" t="n"/>
      <c r="C615" s="22" t="n"/>
      <c r="D615" s="23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15">
        <f>IF(D615="","",COUNT(F615,H615,J615,L615,N615))</f>
        <v/>
      </c>
      <c r="P615" s="25">
        <f>IF(D615="","",N(E615)*N(F615)+N(G615)*N(H615)+N(I615)*N(J615)+N(K615)*N(L615)+N(M615)*N(N615))</f>
        <v/>
      </c>
      <c r="Q615" s="18">
        <f>IF(N(X615)=0,"",IF(IF(N(F615)=0,0,IF(N(E615)&gt;0,E615*(1+F615/30),F615))=X615,IF(N(E615)&gt;0,E615&amp;" x "&amp;F615,F615&amp;" reps"),IF(IF(N(H615)=0,0,IF(N(G615)&gt;0,G615*(1+H615/30),H615))=X615,IF(N(G615)&gt;0,G615&amp;" x "&amp;H615,H615&amp;" reps"),IF(IF(N(J615)=0,0,IF(N(I615)&gt;0,I615*(1+J615/30),J615))=X615,IF(N(I615)&gt;0,I615&amp;" x "&amp;J615,J615&amp;" reps"),IF(IF(N(L615)=0,0,IF(N(K615)&gt;0,K615*(1+L615/30),L615))=X615,IF(N(K615)&gt;0,K615&amp;" x "&amp;L615,L615&amp;" reps"),IF(IF(N(N615)=0,0,IF(N(M615)&gt;0,M615*(1+N615/30),N615))=X615,IF(N(M615)&gt;0,M615&amp;" x "&amp;N615,N615&amp;" reps"),""))))))</f>
        <v/>
      </c>
      <c r="R615" s="20">
        <f>IF(N(X615)=0,"",ROUND(X615,1))</f>
        <v/>
      </c>
      <c r="S615" s="18">
        <f>IF(N(X615)=0,"",IF(AND(COUNTIFS(Log!$D$6:$D$1505,D615,Log!$B$6:$B$1505,"&lt;"&amp;B615)&gt;0,COUNTIFS(Log!$D$6:$D$1505,D615,Log!$B$6:$B$1505,"&lt;"&amp;B615,Log!$X$6:$X$1505,"&gt;="&amp;X615)=0),"New best",""))</f>
        <v/>
      </c>
      <c r="T615" s="26" t="n"/>
      <c r="U615" s="1">
        <f>IF(D615="","",IFERROR(INDEX(Exercises!$C$6:$C$105,MATCH(D615,Exercises!$B$6:$B$105,0)),"Other"))</f>
        <v/>
      </c>
      <c r="V615">
        <f>IF(B615="","",IF(COUNTIF($B$6:B615,B615)=1,1,0))</f>
        <v/>
      </c>
      <c r="W615">
        <f>IF(B615="","",B615-WEEKDAY(B615,3))</f>
        <v/>
      </c>
      <c r="X615">
        <f>IF(D615="","",MAX(IF(N(F615)=0,0,IF(N(E615)&gt;0,E615*(1+F615/30),F615)),IF(N(H615)=0,0,IF(N(G615)&gt;0,G615*(1+H615/30),H615)),IF(N(J615)=0,0,IF(N(I615)&gt;0,I615*(1+J615/30),J615)),IF(N(L615)=0,0,IF(N(K615)&gt;0,K615*(1+L615/30),L615)),IF(N(N615)=0,0,IF(N(M615)&gt;0,M615*(1+N615/30),N615))))</f>
        <v/>
      </c>
      <c r="Y615">
        <f>IF(N(X615)=0,"",X615+ROW()/1000000000)</f>
        <v/>
      </c>
      <c r="Z615">
        <f>IF(Y615="","",IF(COUNTIFS(Log!$D$6:$D$1505,D615,Log!$Y$6:$Y$1505,"&gt;"&amp;Y615)=0,1,0))</f>
        <v/>
      </c>
      <c r="AA615">
        <f>IF(OR(B615="",D615=""),"",B615+ROW()/10000000)</f>
        <v/>
      </c>
      <c r="AB615">
        <f>IF(AA615="","",IF(COUNTIFS(Log!$D$6:$D$1505,D615,Log!$AA$6:$AA$1505,"&gt;"&amp;AA615)=0,1,0))</f>
        <v/>
      </c>
      <c r="AC615">
        <f>IF(S615="New best",AA615,"")</f>
        <v/>
      </c>
      <c r="AD615">
        <f>ROW()</f>
        <v/>
      </c>
    </row>
    <row r="616">
      <c r="A616" s="1" t="n"/>
      <c r="B616" s="21" t="n"/>
      <c r="C616" s="22" t="n"/>
      <c r="D616" s="23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15">
        <f>IF(D616="","",COUNT(F616,H616,J616,L616,N616))</f>
        <v/>
      </c>
      <c r="P616" s="25">
        <f>IF(D616="","",N(E616)*N(F616)+N(G616)*N(H616)+N(I616)*N(J616)+N(K616)*N(L616)+N(M616)*N(N616))</f>
        <v/>
      </c>
      <c r="Q616" s="18">
        <f>IF(N(X616)=0,"",IF(IF(N(F616)=0,0,IF(N(E616)&gt;0,E616*(1+F616/30),F616))=X616,IF(N(E616)&gt;0,E616&amp;" x "&amp;F616,F616&amp;" reps"),IF(IF(N(H616)=0,0,IF(N(G616)&gt;0,G616*(1+H616/30),H616))=X616,IF(N(G616)&gt;0,G616&amp;" x "&amp;H616,H616&amp;" reps"),IF(IF(N(J616)=0,0,IF(N(I616)&gt;0,I616*(1+J616/30),J616))=X616,IF(N(I616)&gt;0,I616&amp;" x "&amp;J616,J616&amp;" reps"),IF(IF(N(L616)=0,0,IF(N(K616)&gt;0,K616*(1+L616/30),L616))=X616,IF(N(K616)&gt;0,K616&amp;" x "&amp;L616,L616&amp;" reps"),IF(IF(N(N616)=0,0,IF(N(M616)&gt;0,M616*(1+N616/30),N616))=X616,IF(N(M616)&gt;0,M616&amp;" x "&amp;N616,N616&amp;" reps"),""))))))</f>
        <v/>
      </c>
      <c r="R616" s="20">
        <f>IF(N(X616)=0,"",ROUND(X616,1))</f>
        <v/>
      </c>
      <c r="S616" s="18">
        <f>IF(N(X616)=0,"",IF(AND(COUNTIFS(Log!$D$6:$D$1505,D616,Log!$B$6:$B$1505,"&lt;"&amp;B616)&gt;0,COUNTIFS(Log!$D$6:$D$1505,D616,Log!$B$6:$B$1505,"&lt;"&amp;B616,Log!$X$6:$X$1505,"&gt;="&amp;X616)=0),"New best",""))</f>
        <v/>
      </c>
      <c r="T616" s="26" t="n"/>
      <c r="U616" s="1">
        <f>IF(D616="","",IFERROR(INDEX(Exercises!$C$6:$C$105,MATCH(D616,Exercises!$B$6:$B$105,0)),"Other"))</f>
        <v/>
      </c>
      <c r="V616">
        <f>IF(B616="","",IF(COUNTIF($B$6:B616,B616)=1,1,0))</f>
        <v/>
      </c>
      <c r="W616">
        <f>IF(B616="","",B616-WEEKDAY(B616,3))</f>
        <v/>
      </c>
      <c r="X616">
        <f>IF(D616="","",MAX(IF(N(F616)=0,0,IF(N(E616)&gt;0,E616*(1+F616/30),F616)),IF(N(H616)=0,0,IF(N(G616)&gt;0,G616*(1+H616/30),H616)),IF(N(J616)=0,0,IF(N(I616)&gt;0,I616*(1+J616/30),J616)),IF(N(L616)=0,0,IF(N(K616)&gt;0,K616*(1+L616/30),L616)),IF(N(N616)=0,0,IF(N(M616)&gt;0,M616*(1+N616/30),N616))))</f>
        <v/>
      </c>
      <c r="Y616">
        <f>IF(N(X616)=0,"",X616+ROW()/1000000000)</f>
        <v/>
      </c>
      <c r="Z616">
        <f>IF(Y616="","",IF(COUNTIFS(Log!$D$6:$D$1505,D616,Log!$Y$6:$Y$1505,"&gt;"&amp;Y616)=0,1,0))</f>
        <v/>
      </c>
      <c r="AA616">
        <f>IF(OR(B616="",D616=""),"",B616+ROW()/10000000)</f>
        <v/>
      </c>
      <c r="AB616">
        <f>IF(AA616="","",IF(COUNTIFS(Log!$D$6:$D$1505,D616,Log!$AA$6:$AA$1505,"&gt;"&amp;AA616)=0,1,0))</f>
        <v/>
      </c>
      <c r="AC616">
        <f>IF(S616="New best",AA616,"")</f>
        <v/>
      </c>
      <c r="AD616">
        <f>ROW()</f>
        <v/>
      </c>
    </row>
    <row r="617">
      <c r="A617" s="1" t="n"/>
      <c r="B617" s="21" t="n"/>
      <c r="C617" s="22" t="n"/>
      <c r="D617" s="23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15">
        <f>IF(D617="","",COUNT(F617,H617,J617,L617,N617))</f>
        <v/>
      </c>
      <c r="P617" s="25">
        <f>IF(D617="","",N(E617)*N(F617)+N(G617)*N(H617)+N(I617)*N(J617)+N(K617)*N(L617)+N(M617)*N(N617))</f>
        <v/>
      </c>
      <c r="Q617" s="18">
        <f>IF(N(X617)=0,"",IF(IF(N(F617)=0,0,IF(N(E617)&gt;0,E617*(1+F617/30),F617))=X617,IF(N(E617)&gt;0,E617&amp;" x "&amp;F617,F617&amp;" reps"),IF(IF(N(H617)=0,0,IF(N(G617)&gt;0,G617*(1+H617/30),H617))=X617,IF(N(G617)&gt;0,G617&amp;" x "&amp;H617,H617&amp;" reps"),IF(IF(N(J617)=0,0,IF(N(I617)&gt;0,I617*(1+J617/30),J617))=X617,IF(N(I617)&gt;0,I617&amp;" x "&amp;J617,J617&amp;" reps"),IF(IF(N(L617)=0,0,IF(N(K617)&gt;0,K617*(1+L617/30),L617))=X617,IF(N(K617)&gt;0,K617&amp;" x "&amp;L617,L617&amp;" reps"),IF(IF(N(N617)=0,0,IF(N(M617)&gt;0,M617*(1+N617/30),N617))=X617,IF(N(M617)&gt;0,M617&amp;" x "&amp;N617,N617&amp;" reps"),""))))))</f>
        <v/>
      </c>
      <c r="R617" s="20">
        <f>IF(N(X617)=0,"",ROUND(X617,1))</f>
        <v/>
      </c>
      <c r="S617" s="18">
        <f>IF(N(X617)=0,"",IF(AND(COUNTIFS(Log!$D$6:$D$1505,D617,Log!$B$6:$B$1505,"&lt;"&amp;B617)&gt;0,COUNTIFS(Log!$D$6:$D$1505,D617,Log!$B$6:$B$1505,"&lt;"&amp;B617,Log!$X$6:$X$1505,"&gt;="&amp;X617)=0),"New best",""))</f>
        <v/>
      </c>
      <c r="T617" s="26" t="n"/>
      <c r="U617" s="1">
        <f>IF(D617="","",IFERROR(INDEX(Exercises!$C$6:$C$105,MATCH(D617,Exercises!$B$6:$B$105,0)),"Other"))</f>
        <v/>
      </c>
      <c r="V617">
        <f>IF(B617="","",IF(COUNTIF($B$6:B617,B617)=1,1,0))</f>
        <v/>
      </c>
      <c r="W617">
        <f>IF(B617="","",B617-WEEKDAY(B617,3))</f>
        <v/>
      </c>
      <c r="X617">
        <f>IF(D617="","",MAX(IF(N(F617)=0,0,IF(N(E617)&gt;0,E617*(1+F617/30),F617)),IF(N(H617)=0,0,IF(N(G617)&gt;0,G617*(1+H617/30),H617)),IF(N(J617)=0,0,IF(N(I617)&gt;0,I617*(1+J617/30),J617)),IF(N(L617)=0,0,IF(N(K617)&gt;0,K617*(1+L617/30),L617)),IF(N(N617)=0,0,IF(N(M617)&gt;0,M617*(1+N617/30),N617))))</f>
        <v/>
      </c>
      <c r="Y617">
        <f>IF(N(X617)=0,"",X617+ROW()/1000000000)</f>
        <v/>
      </c>
      <c r="Z617">
        <f>IF(Y617="","",IF(COUNTIFS(Log!$D$6:$D$1505,D617,Log!$Y$6:$Y$1505,"&gt;"&amp;Y617)=0,1,0))</f>
        <v/>
      </c>
      <c r="AA617">
        <f>IF(OR(B617="",D617=""),"",B617+ROW()/10000000)</f>
        <v/>
      </c>
      <c r="AB617">
        <f>IF(AA617="","",IF(COUNTIFS(Log!$D$6:$D$1505,D617,Log!$AA$6:$AA$1505,"&gt;"&amp;AA617)=0,1,0))</f>
        <v/>
      </c>
      <c r="AC617">
        <f>IF(S617="New best",AA617,"")</f>
        <v/>
      </c>
      <c r="AD617">
        <f>ROW()</f>
        <v/>
      </c>
    </row>
    <row r="618">
      <c r="A618" s="1" t="n"/>
      <c r="B618" s="21" t="n"/>
      <c r="C618" s="22" t="n"/>
      <c r="D618" s="23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15">
        <f>IF(D618="","",COUNT(F618,H618,J618,L618,N618))</f>
        <v/>
      </c>
      <c r="P618" s="25">
        <f>IF(D618="","",N(E618)*N(F618)+N(G618)*N(H618)+N(I618)*N(J618)+N(K618)*N(L618)+N(M618)*N(N618))</f>
        <v/>
      </c>
      <c r="Q618" s="18">
        <f>IF(N(X618)=0,"",IF(IF(N(F618)=0,0,IF(N(E618)&gt;0,E618*(1+F618/30),F618))=X618,IF(N(E618)&gt;0,E618&amp;" x "&amp;F618,F618&amp;" reps"),IF(IF(N(H618)=0,0,IF(N(G618)&gt;0,G618*(1+H618/30),H618))=X618,IF(N(G618)&gt;0,G618&amp;" x "&amp;H618,H618&amp;" reps"),IF(IF(N(J618)=0,0,IF(N(I618)&gt;0,I618*(1+J618/30),J618))=X618,IF(N(I618)&gt;0,I618&amp;" x "&amp;J618,J618&amp;" reps"),IF(IF(N(L618)=0,0,IF(N(K618)&gt;0,K618*(1+L618/30),L618))=X618,IF(N(K618)&gt;0,K618&amp;" x "&amp;L618,L618&amp;" reps"),IF(IF(N(N618)=0,0,IF(N(M618)&gt;0,M618*(1+N618/30),N618))=X618,IF(N(M618)&gt;0,M618&amp;" x "&amp;N618,N618&amp;" reps"),""))))))</f>
        <v/>
      </c>
      <c r="R618" s="20">
        <f>IF(N(X618)=0,"",ROUND(X618,1))</f>
        <v/>
      </c>
      <c r="S618" s="18">
        <f>IF(N(X618)=0,"",IF(AND(COUNTIFS(Log!$D$6:$D$1505,D618,Log!$B$6:$B$1505,"&lt;"&amp;B618)&gt;0,COUNTIFS(Log!$D$6:$D$1505,D618,Log!$B$6:$B$1505,"&lt;"&amp;B618,Log!$X$6:$X$1505,"&gt;="&amp;X618)=0),"New best",""))</f>
        <v/>
      </c>
      <c r="T618" s="26" t="n"/>
      <c r="U618" s="1">
        <f>IF(D618="","",IFERROR(INDEX(Exercises!$C$6:$C$105,MATCH(D618,Exercises!$B$6:$B$105,0)),"Other"))</f>
        <v/>
      </c>
      <c r="V618">
        <f>IF(B618="","",IF(COUNTIF($B$6:B618,B618)=1,1,0))</f>
        <v/>
      </c>
      <c r="W618">
        <f>IF(B618="","",B618-WEEKDAY(B618,3))</f>
        <v/>
      </c>
      <c r="X618">
        <f>IF(D618="","",MAX(IF(N(F618)=0,0,IF(N(E618)&gt;0,E618*(1+F618/30),F618)),IF(N(H618)=0,0,IF(N(G618)&gt;0,G618*(1+H618/30),H618)),IF(N(J618)=0,0,IF(N(I618)&gt;0,I618*(1+J618/30),J618)),IF(N(L618)=0,0,IF(N(K618)&gt;0,K618*(1+L618/30),L618)),IF(N(N618)=0,0,IF(N(M618)&gt;0,M618*(1+N618/30),N618))))</f>
        <v/>
      </c>
      <c r="Y618">
        <f>IF(N(X618)=0,"",X618+ROW()/1000000000)</f>
        <v/>
      </c>
      <c r="Z618">
        <f>IF(Y618="","",IF(COUNTIFS(Log!$D$6:$D$1505,D618,Log!$Y$6:$Y$1505,"&gt;"&amp;Y618)=0,1,0))</f>
        <v/>
      </c>
      <c r="AA618">
        <f>IF(OR(B618="",D618=""),"",B618+ROW()/10000000)</f>
        <v/>
      </c>
      <c r="AB618">
        <f>IF(AA618="","",IF(COUNTIFS(Log!$D$6:$D$1505,D618,Log!$AA$6:$AA$1505,"&gt;"&amp;AA618)=0,1,0))</f>
        <v/>
      </c>
      <c r="AC618">
        <f>IF(S618="New best",AA618,"")</f>
        <v/>
      </c>
      <c r="AD618">
        <f>ROW()</f>
        <v/>
      </c>
    </row>
    <row r="619">
      <c r="A619" s="1" t="n"/>
      <c r="B619" s="21" t="n"/>
      <c r="C619" s="22" t="n"/>
      <c r="D619" s="23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15">
        <f>IF(D619="","",COUNT(F619,H619,J619,L619,N619))</f>
        <v/>
      </c>
      <c r="P619" s="25">
        <f>IF(D619="","",N(E619)*N(F619)+N(G619)*N(H619)+N(I619)*N(J619)+N(K619)*N(L619)+N(M619)*N(N619))</f>
        <v/>
      </c>
      <c r="Q619" s="18">
        <f>IF(N(X619)=0,"",IF(IF(N(F619)=0,0,IF(N(E619)&gt;0,E619*(1+F619/30),F619))=X619,IF(N(E619)&gt;0,E619&amp;" x "&amp;F619,F619&amp;" reps"),IF(IF(N(H619)=0,0,IF(N(G619)&gt;0,G619*(1+H619/30),H619))=X619,IF(N(G619)&gt;0,G619&amp;" x "&amp;H619,H619&amp;" reps"),IF(IF(N(J619)=0,0,IF(N(I619)&gt;0,I619*(1+J619/30),J619))=X619,IF(N(I619)&gt;0,I619&amp;" x "&amp;J619,J619&amp;" reps"),IF(IF(N(L619)=0,0,IF(N(K619)&gt;0,K619*(1+L619/30),L619))=X619,IF(N(K619)&gt;0,K619&amp;" x "&amp;L619,L619&amp;" reps"),IF(IF(N(N619)=0,0,IF(N(M619)&gt;0,M619*(1+N619/30),N619))=X619,IF(N(M619)&gt;0,M619&amp;" x "&amp;N619,N619&amp;" reps"),""))))))</f>
        <v/>
      </c>
      <c r="R619" s="20">
        <f>IF(N(X619)=0,"",ROUND(X619,1))</f>
        <v/>
      </c>
      <c r="S619" s="18">
        <f>IF(N(X619)=0,"",IF(AND(COUNTIFS(Log!$D$6:$D$1505,D619,Log!$B$6:$B$1505,"&lt;"&amp;B619)&gt;0,COUNTIFS(Log!$D$6:$D$1505,D619,Log!$B$6:$B$1505,"&lt;"&amp;B619,Log!$X$6:$X$1505,"&gt;="&amp;X619)=0),"New best",""))</f>
        <v/>
      </c>
      <c r="T619" s="26" t="n"/>
      <c r="U619" s="1">
        <f>IF(D619="","",IFERROR(INDEX(Exercises!$C$6:$C$105,MATCH(D619,Exercises!$B$6:$B$105,0)),"Other"))</f>
        <v/>
      </c>
      <c r="V619">
        <f>IF(B619="","",IF(COUNTIF($B$6:B619,B619)=1,1,0))</f>
        <v/>
      </c>
      <c r="W619">
        <f>IF(B619="","",B619-WEEKDAY(B619,3))</f>
        <v/>
      </c>
      <c r="X619">
        <f>IF(D619="","",MAX(IF(N(F619)=0,0,IF(N(E619)&gt;0,E619*(1+F619/30),F619)),IF(N(H619)=0,0,IF(N(G619)&gt;0,G619*(1+H619/30),H619)),IF(N(J619)=0,0,IF(N(I619)&gt;0,I619*(1+J619/30),J619)),IF(N(L619)=0,0,IF(N(K619)&gt;0,K619*(1+L619/30),L619)),IF(N(N619)=0,0,IF(N(M619)&gt;0,M619*(1+N619/30),N619))))</f>
        <v/>
      </c>
      <c r="Y619">
        <f>IF(N(X619)=0,"",X619+ROW()/1000000000)</f>
        <v/>
      </c>
      <c r="Z619">
        <f>IF(Y619="","",IF(COUNTIFS(Log!$D$6:$D$1505,D619,Log!$Y$6:$Y$1505,"&gt;"&amp;Y619)=0,1,0))</f>
        <v/>
      </c>
      <c r="AA619">
        <f>IF(OR(B619="",D619=""),"",B619+ROW()/10000000)</f>
        <v/>
      </c>
      <c r="AB619">
        <f>IF(AA619="","",IF(COUNTIFS(Log!$D$6:$D$1505,D619,Log!$AA$6:$AA$1505,"&gt;"&amp;AA619)=0,1,0))</f>
        <v/>
      </c>
      <c r="AC619">
        <f>IF(S619="New best",AA619,"")</f>
        <v/>
      </c>
      <c r="AD619">
        <f>ROW()</f>
        <v/>
      </c>
    </row>
    <row r="620">
      <c r="A620" s="1" t="n"/>
      <c r="B620" s="21" t="n"/>
      <c r="C620" s="22" t="n"/>
      <c r="D620" s="23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15">
        <f>IF(D620="","",COUNT(F620,H620,J620,L620,N620))</f>
        <v/>
      </c>
      <c r="P620" s="25">
        <f>IF(D620="","",N(E620)*N(F620)+N(G620)*N(H620)+N(I620)*N(J620)+N(K620)*N(L620)+N(M620)*N(N620))</f>
        <v/>
      </c>
      <c r="Q620" s="18">
        <f>IF(N(X620)=0,"",IF(IF(N(F620)=0,0,IF(N(E620)&gt;0,E620*(1+F620/30),F620))=X620,IF(N(E620)&gt;0,E620&amp;" x "&amp;F620,F620&amp;" reps"),IF(IF(N(H620)=0,0,IF(N(G620)&gt;0,G620*(1+H620/30),H620))=X620,IF(N(G620)&gt;0,G620&amp;" x "&amp;H620,H620&amp;" reps"),IF(IF(N(J620)=0,0,IF(N(I620)&gt;0,I620*(1+J620/30),J620))=X620,IF(N(I620)&gt;0,I620&amp;" x "&amp;J620,J620&amp;" reps"),IF(IF(N(L620)=0,0,IF(N(K620)&gt;0,K620*(1+L620/30),L620))=X620,IF(N(K620)&gt;0,K620&amp;" x "&amp;L620,L620&amp;" reps"),IF(IF(N(N620)=0,0,IF(N(M620)&gt;0,M620*(1+N620/30),N620))=X620,IF(N(M620)&gt;0,M620&amp;" x "&amp;N620,N620&amp;" reps"),""))))))</f>
        <v/>
      </c>
      <c r="R620" s="20">
        <f>IF(N(X620)=0,"",ROUND(X620,1))</f>
        <v/>
      </c>
      <c r="S620" s="18">
        <f>IF(N(X620)=0,"",IF(AND(COUNTIFS(Log!$D$6:$D$1505,D620,Log!$B$6:$B$1505,"&lt;"&amp;B620)&gt;0,COUNTIFS(Log!$D$6:$D$1505,D620,Log!$B$6:$B$1505,"&lt;"&amp;B620,Log!$X$6:$X$1505,"&gt;="&amp;X620)=0),"New best",""))</f>
        <v/>
      </c>
      <c r="T620" s="26" t="n"/>
      <c r="U620" s="1">
        <f>IF(D620="","",IFERROR(INDEX(Exercises!$C$6:$C$105,MATCH(D620,Exercises!$B$6:$B$105,0)),"Other"))</f>
        <v/>
      </c>
      <c r="V620">
        <f>IF(B620="","",IF(COUNTIF($B$6:B620,B620)=1,1,0))</f>
        <v/>
      </c>
      <c r="W620">
        <f>IF(B620="","",B620-WEEKDAY(B620,3))</f>
        <v/>
      </c>
      <c r="X620">
        <f>IF(D620="","",MAX(IF(N(F620)=0,0,IF(N(E620)&gt;0,E620*(1+F620/30),F620)),IF(N(H620)=0,0,IF(N(G620)&gt;0,G620*(1+H620/30),H620)),IF(N(J620)=0,0,IF(N(I620)&gt;0,I620*(1+J620/30),J620)),IF(N(L620)=0,0,IF(N(K620)&gt;0,K620*(1+L620/30),L620)),IF(N(N620)=0,0,IF(N(M620)&gt;0,M620*(1+N620/30),N620))))</f>
        <v/>
      </c>
      <c r="Y620">
        <f>IF(N(X620)=0,"",X620+ROW()/1000000000)</f>
        <v/>
      </c>
      <c r="Z620">
        <f>IF(Y620="","",IF(COUNTIFS(Log!$D$6:$D$1505,D620,Log!$Y$6:$Y$1505,"&gt;"&amp;Y620)=0,1,0))</f>
        <v/>
      </c>
      <c r="AA620">
        <f>IF(OR(B620="",D620=""),"",B620+ROW()/10000000)</f>
        <v/>
      </c>
      <c r="AB620">
        <f>IF(AA620="","",IF(COUNTIFS(Log!$D$6:$D$1505,D620,Log!$AA$6:$AA$1505,"&gt;"&amp;AA620)=0,1,0))</f>
        <v/>
      </c>
      <c r="AC620">
        <f>IF(S620="New best",AA620,"")</f>
        <v/>
      </c>
      <c r="AD620">
        <f>ROW()</f>
        <v/>
      </c>
    </row>
    <row r="621">
      <c r="A621" s="1" t="n"/>
      <c r="B621" s="21" t="n"/>
      <c r="C621" s="22" t="n"/>
      <c r="D621" s="23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15">
        <f>IF(D621="","",COUNT(F621,H621,J621,L621,N621))</f>
        <v/>
      </c>
      <c r="P621" s="25">
        <f>IF(D621="","",N(E621)*N(F621)+N(G621)*N(H621)+N(I621)*N(J621)+N(K621)*N(L621)+N(M621)*N(N621))</f>
        <v/>
      </c>
      <c r="Q621" s="18">
        <f>IF(N(X621)=0,"",IF(IF(N(F621)=0,0,IF(N(E621)&gt;0,E621*(1+F621/30),F621))=X621,IF(N(E621)&gt;0,E621&amp;" x "&amp;F621,F621&amp;" reps"),IF(IF(N(H621)=0,0,IF(N(G621)&gt;0,G621*(1+H621/30),H621))=X621,IF(N(G621)&gt;0,G621&amp;" x "&amp;H621,H621&amp;" reps"),IF(IF(N(J621)=0,0,IF(N(I621)&gt;0,I621*(1+J621/30),J621))=X621,IF(N(I621)&gt;0,I621&amp;" x "&amp;J621,J621&amp;" reps"),IF(IF(N(L621)=0,0,IF(N(K621)&gt;0,K621*(1+L621/30),L621))=X621,IF(N(K621)&gt;0,K621&amp;" x "&amp;L621,L621&amp;" reps"),IF(IF(N(N621)=0,0,IF(N(M621)&gt;0,M621*(1+N621/30),N621))=X621,IF(N(M621)&gt;0,M621&amp;" x "&amp;N621,N621&amp;" reps"),""))))))</f>
        <v/>
      </c>
      <c r="R621" s="20">
        <f>IF(N(X621)=0,"",ROUND(X621,1))</f>
        <v/>
      </c>
      <c r="S621" s="18">
        <f>IF(N(X621)=0,"",IF(AND(COUNTIFS(Log!$D$6:$D$1505,D621,Log!$B$6:$B$1505,"&lt;"&amp;B621)&gt;0,COUNTIFS(Log!$D$6:$D$1505,D621,Log!$B$6:$B$1505,"&lt;"&amp;B621,Log!$X$6:$X$1505,"&gt;="&amp;X621)=0),"New best",""))</f>
        <v/>
      </c>
      <c r="T621" s="26" t="n"/>
      <c r="U621" s="1">
        <f>IF(D621="","",IFERROR(INDEX(Exercises!$C$6:$C$105,MATCH(D621,Exercises!$B$6:$B$105,0)),"Other"))</f>
        <v/>
      </c>
      <c r="V621">
        <f>IF(B621="","",IF(COUNTIF($B$6:B621,B621)=1,1,0))</f>
        <v/>
      </c>
      <c r="W621">
        <f>IF(B621="","",B621-WEEKDAY(B621,3))</f>
        <v/>
      </c>
      <c r="X621">
        <f>IF(D621="","",MAX(IF(N(F621)=0,0,IF(N(E621)&gt;0,E621*(1+F621/30),F621)),IF(N(H621)=0,0,IF(N(G621)&gt;0,G621*(1+H621/30),H621)),IF(N(J621)=0,0,IF(N(I621)&gt;0,I621*(1+J621/30),J621)),IF(N(L621)=0,0,IF(N(K621)&gt;0,K621*(1+L621/30),L621)),IF(N(N621)=0,0,IF(N(M621)&gt;0,M621*(1+N621/30),N621))))</f>
        <v/>
      </c>
      <c r="Y621">
        <f>IF(N(X621)=0,"",X621+ROW()/1000000000)</f>
        <v/>
      </c>
      <c r="Z621">
        <f>IF(Y621="","",IF(COUNTIFS(Log!$D$6:$D$1505,D621,Log!$Y$6:$Y$1505,"&gt;"&amp;Y621)=0,1,0))</f>
        <v/>
      </c>
      <c r="AA621">
        <f>IF(OR(B621="",D621=""),"",B621+ROW()/10000000)</f>
        <v/>
      </c>
      <c r="AB621">
        <f>IF(AA621="","",IF(COUNTIFS(Log!$D$6:$D$1505,D621,Log!$AA$6:$AA$1505,"&gt;"&amp;AA621)=0,1,0))</f>
        <v/>
      </c>
      <c r="AC621">
        <f>IF(S621="New best",AA621,"")</f>
        <v/>
      </c>
      <c r="AD621">
        <f>ROW()</f>
        <v/>
      </c>
    </row>
    <row r="622">
      <c r="A622" s="1" t="n"/>
      <c r="B622" s="21" t="n"/>
      <c r="C622" s="22" t="n"/>
      <c r="D622" s="23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15">
        <f>IF(D622="","",COUNT(F622,H622,J622,L622,N622))</f>
        <v/>
      </c>
      <c r="P622" s="25">
        <f>IF(D622="","",N(E622)*N(F622)+N(G622)*N(H622)+N(I622)*N(J622)+N(K622)*N(L622)+N(M622)*N(N622))</f>
        <v/>
      </c>
      <c r="Q622" s="18">
        <f>IF(N(X622)=0,"",IF(IF(N(F622)=0,0,IF(N(E622)&gt;0,E622*(1+F622/30),F622))=X622,IF(N(E622)&gt;0,E622&amp;" x "&amp;F622,F622&amp;" reps"),IF(IF(N(H622)=0,0,IF(N(G622)&gt;0,G622*(1+H622/30),H622))=X622,IF(N(G622)&gt;0,G622&amp;" x "&amp;H622,H622&amp;" reps"),IF(IF(N(J622)=0,0,IF(N(I622)&gt;0,I622*(1+J622/30),J622))=X622,IF(N(I622)&gt;0,I622&amp;" x "&amp;J622,J622&amp;" reps"),IF(IF(N(L622)=0,0,IF(N(K622)&gt;0,K622*(1+L622/30),L622))=X622,IF(N(K622)&gt;0,K622&amp;" x "&amp;L622,L622&amp;" reps"),IF(IF(N(N622)=0,0,IF(N(M622)&gt;0,M622*(1+N622/30),N622))=X622,IF(N(M622)&gt;0,M622&amp;" x "&amp;N622,N622&amp;" reps"),""))))))</f>
        <v/>
      </c>
      <c r="R622" s="20">
        <f>IF(N(X622)=0,"",ROUND(X622,1))</f>
        <v/>
      </c>
      <c r="S622" s="18">
        <f>IF(N(X622)=0,"",IF(AND(COUNTIFS(Log!$D$6:$D$1505,D622,Log!$B$6:$B$1505,"&lt;"&amp;B622)&gt;0,COUNTIFS(Log!$D$6:$D$1505,D622,Log!$B$6:$B$1505,"&lt;"&amp;B622,Log!$X$6:$X$1505,"&gt;="&amp;X622)=0),"New best",""))</f>
        <v/>
      </c>
      <c r="T622" s="26" t="n"/>
      <c r="U622" s="1">
        <f>IF(D622="","",IFERROR(INDEX(Exercises!$C$6:$C$105,MATCH(D622,Exercises!$B$6:$B$105,0)),"Other"))</f>
        <v/>
      </c>
      <c r="V622">
        <f>IF(B622="","",IF(COUNTIF($B$6:B622,B622)=1,1,0))</f>
        <v/>
      </c>
      <c r="W622">
        <f>IF(B622="","",B622-WEEKDAY(B622,3))</f>
        <v/>
      </c>
      <c r="X622">
        <f>IF(D622="","",MAX(IF(N(F622)=0,0,IF(N(E622)&gt;0,E622*(1+F622/30),F622)),IF(N(H622)=0,0,IF(N(G622)&gt;0,G622*(1+H622/30),H622)),IF(N(J622)=0,0,IF(N(I622)&gt;0,I622*(1+J622/30),J622)),IF(N(L622)=0,0,IF(N(K622)&gt;0,K622*(1+L622/30),L622)),IF(N(N622)=0,0,IF(N(M622)&gt;0,M622*(1+N622/30),N622))))</f>
        <v/>
      </c>
      <c r="Y622">
        <f>IF(N(X622)=0,"",X622+ROW()/1000000000)</f>
        <v/>
      </c>
      <c r="Z622">
        <f>IF(Y622="","",IF(COUNTIFS(Log!$D$6:$D$1505,D622,Log!$Y$6:$Y$1505,"&gt;"&amp;Y622)=0,1,0))</f>
        <v/>
      </c>
      <c r="AA622">
        <f>IF(OR(B622="",D622=""),"",B622+ROW()/10000000)</f>
        <v/>
      </c>
      <c r="AB622">
        <f>IF(AA622="","",IF(COUNTIFS(Log!$D$6:$D$1505,D622,Log!$AA$6:$AA$1505,"&gt;"&amp;AA622)=0,1,0))</f>
        <v/>
      </c>
      <c r="AC622">
        <f>IF(S622="New best",AA622,"")</f>
        <v/>
      </c>
      <c r="AD622">
        <f>ROW()</f>
        <v/>
      </c>
    </row>
    <row r="623">
      <c r="A623" s="1" t="n"/>
      <c r="B623" s="21" t="n"/>
      <c r="C623" s="22" t="n"/>
      <c r="D623" s="23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15">
        <f>IF(D623="","",COUNT(F623,H623,J623,L623,N623))</f>
        <v/>
      </c>
      <c r="P623" s="25">
        <f>IF(D623="","",N(E623)*N(F623)+N(G623)*N(H623)+N(I623)*N(J623)+N(K623)*N(L623)+N(M623)*N(N623))</f>
        <v/>
      </c>
      <c r="Q623" s="18">
        <f>IF(N(X623)=0,"",IF(IF(N(F623)=0,0,IF(N(E623)&gt;0,E623*(1+F623/30),F623))=X623,IF(N(E623)&gt;0,E623&amp;" x "&amp;F623,F623&amp;" reps"),IF(IF(N(H623)=0,0,IF(N(G623)&gt;0,G623*(1+H623/30),H623))=X623,IF(N(G623)&gt;0,G623&amp;" x "&amp;H623,H623&amp;" reps"),IF(IF(N(J623)=0,0,IF(N(I623)&gt;0,I623*(1+J623/30),J623))=X623,IF(N(I623)&gt;0,I623&amp;" x "&amp;J623,J623&amp;" reps"),IF(IF(N(L623)=0,0,IF(N(K623)&gt;0,K623*(1+L623/30),L623))=X623,IF(N(K623)&gt;0,K623&amp;" x "&amp;L623,L623&amp;" reps"),IF(IF(N(N623)=0,0,IF(N(M623)&gt;0,M623*(1+N623/30),N623))=X623,IF(N(M623)&gt;0,M623&amp;" x "&amp;N623,N623&amp;" reps"),""))))))</f>
        <v/>
      </c>
      <c r="R623" s="20">
        <f>IF(N(X623)=0,"",ROUND(X623,1))</f>
        <v/>
      </c>
      <c r="S623" s="18">
        <f>IF(N(X623)=0,"",IF(AND(COUNTIFS(Log!$D$6:$D$1505,D623,Log!$B$6:$B$1505,"&lt;"&amp;B623)&gt;0,COUNTIFS(Log!$D$6:$D$1505,D623,Log!$B$6:$B$1505,"&lt;"&amp;B623,Log!$X$6:$X$1505,"&gt;="&amp;X623)=0),"New best",""))</f>
        <v/>
      </c>
      <c r="T623" s="26" t="n"/>
      <c r="U623" s="1">
        <f>IF(D623="","",IFERROR(INDEX(Exercises!$C$6:$C$105,MATCH(D623,Exercises!$B$6:$B$105,0)),"Other"))</f>
        <v/>
      </c>
      <c r="V623">
        <f>IF(B623="","",IF(COUNTIF($B$6:B623,B623)=1,1,0))</f>
        <v/>
      </c>
      <c r="W623">
        <f>IF(B623="","",B623-WEEKDAY(B623,3))</f>
        <v/>
      </c>
      <c r="X623">
        <f>IF(D623="","",MAX(IF(N(F623)=0,0,IF(N(E623)&gt;0,E623*(1+F623/30),F623)),IF(N(H623)=0,0,IF(N(G623)&gt;0,G623*(1+H623/30),H623)),IF(N(J623)=0,0,IF(N(I623)&gt;0,I623*(1+J623/30),J623)),IF(N(L623)=0,0,IF(N(K623)&gt;0,K623*(1+L623/30),L623)),IF(N(N623)=0,0,IF(N(M623)&gt;0,M623*(1+N623/30),N623))))</f>
        <v/>
      </c>
      <c r="Y623">
        <f>IF(N(X623)=0,"",X623+ROW()/1000000000)</f>
        <v/>
      </c>
      <c r="Z623">
        <f>IF(Y623="","",IF(COUNTIFS(Log!$D$6:$D$1505,D623,Log!$Y$6:$Y$1505,"&gt;"&amp;Y623)=0,1,0))</f>
        <v/>
      </c>
      <c r="AA623">
        <f>IF(OR(B623="",D623=""),"",B623+ROW()/10000000)</f>
        <v/>
      </c>
      <c r="AB623">
        <f>IF(AA623="","",IF(COUNTIFS(Log!$D$6:$D$1505,D623,Log!$AA$6:$AA$1505,"&gt;"&amp;AA623)=0,1,0))</f>
        <v/>
      </c>
      <c r="AC623">
        <f>IF(S623="New best",AA623,"")</f>
        <v/>
      </c>
      <c r="AD623">
        <f>ROW()</f>
        <v/>
      </c>
    </row>
    <row r="624">
      <c r="A624" s="1" t="n"/>
      <c r="B624" s="21" t="n"/>
      <c r="C624" s="22" t="n"/>
      <c r="D624" s="23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15">
        <f>IF(D624="","",COUNT(F624,H624,J624,L624,N624))</f>
        <v/>
      </c>
      <c r="P624" s="25">
        <f>IF(D624="","",N(E624)*N(F624)+N(G624)*N(H624)+N(I624)*N(J624)+N(K624)*N(L624)+N(M624)*N(N624))</f>
        <v/>
      </c>
      <c r="Q624" s="18">
        <f>IF(N(X624)=0,"",IF(IF(N(F624)=0,0,IF(N(E624)&gt;0,E624*(1+F624/30),F624))=X624,IF(N(E624)&gt;0,E624&amp;" x "&amp;F624,F624&amp;" reps"),IF(IF(N(H624)=0,0,IF(N(G624)&gt;0,G624*(1+H624/30),H624))=X624,IF(N(G624)&gt;0,G624&amp;" x "&amp;H624,H624&amp;" reps"),IF(IF(N(J624)=0,0,IF(N(I624)&gt;0,I624*(1+J624/30),J624))=X624,IF(N(I624)&gt;0,I624&amp;" x "&amp;J624,J624&amp;" reps"),IF(IF(N(L624)=0,0,IF(N(K624)&gt;0,K624*(1+L624/30),L624))=X624,IF(N(K624)&gt;0,K624&amp;" x "&amp;L624,L624&amp;" reps"),IF(IF(N(N624)=0,0,IF(N(M624)&gt;0,M624*(1+N624/30),N624))=X624,IF(N(M624)&gt;0,M624&amp;" x "&amp;N624,N624&amp;" reps"),""))))))</f>
        <v/>
      </c>
      <c r="R624" s="20">
        <f>IF(N(X624)=0,"",ROUND(X624,1))</f>
        <v/>
      </c>
      <c r="S624" s="18">
        <f>IF(N(X624)=0,"",IF(AND(COUNTIFS(Log!$D$6:$D$1505,D624,Log!$B$6:$B$1505,"&lt;"&amp;B624)&gt;0,COUNTIFS(Log!$D$6:$D$1505,D624,Log!$B$6:$B$1505,"&lt;"&amp;B624,Log!$X$6:$X$1505,"&gt;="&amp;X624)=0),"New best",""))</f>
        <v/>
      </c>
      <c r="T624" s="26" t="n"/>
      <c r="U624" s="1">
        <f>IF(D624="","",IFERROR(INDEX(Exercises!$C$6:$C$105,MATCH(D624,Exercises!$B$6:$B$105,0)),"Other"))</f>
        <v/>
      </c>
      <c r="V624">
        <f>IF(B624="","",IF(COUNTIF($B$6:B624,B624)=1,1,0))</f>
        <v/>
      </c>
      <c r="W624">
        <f>IF(B624="","",B624-WEEKDAY(B624,3))</f>
        <v/>
      </c>
      <c r="X624">
        <f>IF(D624="","",MAX(IF(N(F624)=0,0,IF(N(E624)&gt;0,E624*(1+F624/30),F624)),IF(N(H624)=0,0,IF(N(G624)&gt;0,G624*(1+H624/30),H624)),IF(N(J624)=0,0,IF(N(I624)&gt;0,I624*(1+J624/30),J624)),IF(N(L624)=0,0,IF(N(K624)&gt;0,K624*(1+L624/30),L624)),IF(N(N624)=0,0,IF(N(M624)&gt;0,M624*(1+N624/30),N624))))</f>
        <v/>
      </c>
      <c r="Y624">
        <f>IF(N(X624)=0,"",X624+ROW()/1000000000)</f>
        <v/>
      </c>
      <c r="Z624">
        <f>IF(Y624="","",IF(COUNTIFS(Log!$D$6:$D$1505,D624,Log!$Y$6:$Y$1505,"&gt;"&amp;Y624)=0,1,0))</f>
        <v/>
      </c>
      <c r="AA624">
        <f>IF(OR(B624="",D624=""),"",B624+ROW()/10000000)</f>
        <v/>
      </c>
      <c r="AB624">
        <f>IF(AA624="","",IF(COUNTIFS(Log!$D$6:$D$1505,D624,Log!$AA$6:$AA$1505,"&gt;"&amp;AA624)=0,1,0))</f>
        <v/>
      </c>
      <c r="AC624">
        <f>IF(S624="New best",AA624,"")</f>
        <v/>
      </c>
      <c r="AD624">
        <f>ROW()</f>
        <v/>
      </c>
    </row>
    <row r="625">
      <c r="A625" s="1" t="n"/>
      <c r="B625" s="21" t="n"/>
      <c r="C625" s="22" t="n"/>
      <c r="D625" s="23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15">
        <f>IF(D625="","",COUNT(F625,H625,J625,L625,N625))</f>
        <v/>
      </c>
      <c r="P625" s="25">
        <f>IF(D625="","",N(E625)*N(F625)+N(G625)*N(H625)+N(I625)*N(J625)+N(K625)*N(L625)+N(M625)*N(N625))</f>
        <v/>
      </c>
      <c r="Q625" s="18">
        <f>IF(N(X625)=0,"",IF(IF(N(F625)=0,0,IF(N(E625)&gt;0,E625*(1+F625/30),F625))=X625,IF(N(E625)&gt;0,E625&amp;" x "&amp;F625,F625&amp;" reps"),IF(IF(N(H625)=0,0,IF(N(G625)&gt;0,G625*(1+H625/30),H625))=X625,IF(N(G625)&gt;0,G625&amp;" x "&amp;H625,H625&amp;" reps"),IF(IF(N(J625)=0,0,IF(N(I625)&gt;0,I625*(1+J625/30),J625))=X625,IF(N(I625)&gt;0,I625&amp;" x "&amp;J625,J625&amp;" reps"),IF(IF(N(L625)=0,0,IF(N(K625)&gt;0,K625*(1+L625/30),L625))=X625,IF(N(K625)&gt;0,K625&amp;" x "&amp;L625,L625&amp;" reps"),IF(IF(N(N625)=0,0,IF(N(M625)&gt;0,M625*(1+N625/30),N625))=X625,IF(N(M625)&gt;0,M625&amp;" x "&amp;N625,N625&amp;" reps"),""))))))</f>
        <v/>
      </c>
      <c r="R625" s="20">
        <f>IF(N(X625)=0,"",ROUND(X625,1))</f>
        <v/>
      </c>
      <c r="S625" s="18">
        <f>IF(N(X625)=0,"",IF(AND(COUNTIFS(Log!$D$6:$D$1505,D625,Log!$B$6:$B$1505,"&lt;"&amp;B625)&gt;0,COUNTIFS(Log!$D$6:$D$1505,D625,Log!$B$6:$B$1505,"&lt;"&amp;B625,Log!$X$6:$X$1505,"&gt;="&amp;X625)=0),"New best",""))</f>
        <v/>
      </c>
      <c r="T625" s="26" t="n"/>
      <c r="U625" s="1">
        <f>IF(D625="","",IFERROR(INDEX(Exercises!$C$6:$C$105,MATCH(D625,Exercises!$B$6:$B$105,0)),"Other"))</f>
        <v/>
      </c>
      <c r="V625">
        <f>IF(B625="","",IF(COUNTIF($B$6:B625,B625)=1,1,0))</f>
        <v/>
      </c>
      <c r="W625">
        <f>IF(B625="","",B625-WEEKDAY(B625,3))</f>
        <v/>
      </c>
      <c r="X625">
        <f>IF(D625="","",MAX(IF(N(F625)=0,0,IF(N(E625)&gt;0,E625*(1+F625/30),F625)),IF(N(H625)=0,0,IF(N(G625)&gt;0,G625*(1+H625/30),H625)),IF(N(J625)=0,0,IF(N(I625)&gt;0,I625*(1+J625/30),J625)),IF(N(L625)=0,0,IF(N(K625)&gt;0,K625*(1+L625/30),L625)),IF(N(N625)=0,0,IF(N(M625)&gt;0,M625*(1+N625/30),N625))))</f>
        <v/>
      </c>
      <c r="Y625">
        <f>IF(N(X625)=0,"",X625+ROW()/1000000000)</f>
        <v/>
      </c>
      <c r="Z625">
        <f>IF(Y625="","",IF(COUNTIFS(Log!$D$6:$D$1505,D625,Log!$Y$6:$Y$1505,"&gt;"&amp;Y625)=0,1,0))</f>
        <v/>
      </c>
      <c r="AA625">
        <f>IF(OR(B625="",D625=""),"",B625+ROW()/10000000)</f>
        <v/>
      </c>
      <c r="AB625">
        <f>IF(AA625="","",IF(COUNTIFS(Log!$D$6:$D$1505,D625,Log!$AA$6:$AA$1505,"&gt;"&amp;AA625)=0,1,0))</f>
        <v/>
      </c>
      <c r="AC625">
        <f>IF(S625="New best",AA625,"")</f>
        <v/>
      </c>
      <c r="AD625">
        <f>ROW()</f>
        <v/>
      </c>
    </row>
    <row r="626">
      <c r="A626" s="1" t="n"/>
      <c r="B626" s="21" t="n"/>
      <c r="C626" s="22" t="n"/>
      <c r="D626" s="23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15">
        <f>IF(D626="","",COUNT(F626,H626,J626,L626,N626))</f>
        <v/>
      </c>
      <c r="P626" s="25">
        <f>IF(D626="","",N(E626)*N(F626)+N(G626)*N(H626)+N(I626)*N(J626)+N(K626)*N(L626)+N(M626)*N(N626))</f>
        <v/>
      </c>
      <c r="Q626" s="18">
        <f>IF(N(X626)=0,"",IF(IF(N(F626)=0,0,IF(N(E626)&gt;0,E626*(1+F626/30),F626))=X626,IF(N(E626)&gt;0,E626&amp;" x "&amp;F626,F626&amp;" reps"),IF(IF(N(H626)=0,0,IF(N(G626)&gt;0,G626*(1+H626/30),H626))=X626,IF(N(G626)&gt;0,G626&amp;" x "&amp;H626,H626&amp;" reps"),IF(IF(N(J626)=0,0,IF(N(I626)&gt;0,I626*(1+J626/30),J626))=X626,IF(N(I626)&gt;0,I626&amp;" x "&amp;J626,J626&amp;" reps"),IF(IF(N(L626)=0,0,IF(N(K626)&gt;0,K626*(1+L626/30),L626))=X626,IF(N(K626)&gt;0,K626&amp;" x "&amp;L626,L626&amp;" reps"),IF(IF(N(N626)=0,0,IF(N(M626)&gt;0,M626*(1+N626/30),N626))=X626,IF(N(M626)&gt;0,M626&amp;" x "&amp;N626,N626&amp;" reps"),""))))))</f>
        <v/>
      </c>
      <c r="R626" s="20">
        <f>IF(N(X626)=0,"",ROUND(X626,1))</f>
        <v/>
      </c>
      <c r="S626" s="18">
        <f>IF(N(X626)=0,"",IF(AND(COUNTIFS(Log!$D$6:$D$1505,D626,Log!$B$6:$B$1505,"&lt;"&amp;B626)&gt;0,COUNTIFS(Log!$D$6:$D$1505,D626,Log!$B$6:$B$1505,"&lt;"&amp;B626,Log!$X$6:$X$1505,"&gt;="&amp;X626)=0),"New best",""))</f>
        <v/>
      </c>
      <c r="T626" s="26" t="n"/>
      <c r="U626" s="1">
        <f>IF(D626="","",IFERROR(INDEX(Exercises!$C$6:$C$105,MATCH(D626,Exercises!$B$6:$B$105,0)),"Other"))</f>
        <v/>
      </c>
      <c r="V626">
        <f>IF(B626="","",IF(COUNTIF($B$6:B626,B626)=1,1,0))</f>
        <v/>
      </c>
      <c r="W626">
        <f>IF(B626="","",B626-WEEKDAY(B626,3))</f>
        <v/>
      </c>
      <c r="X626">
        <f>IF(D626="","",MAX(IF(N(F626)=0,0,IF(N(E626)&gt;0,E626*(1+F626/30),F626)),IF(N(H626)=0,0,IF(N(G626)&gt;0,G626*(1+H626/30),H626)),IF(N(J626)=0,0,IF(N(I626)&gt;0,I626*(1+J626/30),J626)),IF(N(L626)=0,0,IF(N(K626)&gt;0,K626*(1+L626/30),L626)),IF(N(N626)=0,0,IF(N(M626)&gt;0,M626*(1+N626/30),N626))))</f>
        <v/>
      </c>
      <c r="Y626">
        <f>IF(N(X626)=0,"",X626+ROW()/1000000000)</f>
        <v/>
      </c>
      <c r="Z626">
        <f>IF(Y626="","",IF(COUNTIFS(Log!$D$6:$D$1505,D626,Log!$Y$6:$Y$1505,"&gt;"&amp;Y626)=0,1,0))</f>
        <v/>
      </c>
      <c r="AA626">
        <f>IF(OR(B626="",D626=""),"",B626+ROW()/10000000)</f>
        <v/>
      </c>
      <c r="AB626">
        <f>IF(AA626="","",IF(COUNTIFS(Log!$D$6:$D$1505,D626,Log!$AA$6:$AA$1505,"&gt;"&amp;AA626)=0,1,0))</f>
        <v/>
      </c>
      <c r="AC626">
        <f>IF(S626="New best",AA626,"")</f>
        <v/>
      </c>
      <c r="AD626">
        <f>ROW()</f>
        <v/>
      </c>
    </row>
    <row r="627">
      <c r="A627" s="1" t="n"/>
      <c r="B627" s="21" t="n"/>
      <c r="C627" s="22" t="n"/>
      <c r="D627" s="23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15">
        <f>IF(D627="","",COUNT(F627,H627,J627,L627,N627))</f>
        <v/>
      </c>
      <c r="P627" s="25">
        <f>IF(D627="","",N(E627)*N(F627)+N(G627)*N(H627)+N(I627)*N(J627)+N(K627)*N(L627)+N(M627)*N(N627))</f>
        <v/>
      </c>
      <c r="Q627" s="18">
        <f>IF(N(X627)=0,"",IF(IF(N(F627)=0,0,IF(N(E627)&gt;0,E627*(1+F627/30),F627))=X627,IF(N(E627)&gt;0,E627&amp;" x "&amp;F627,F627&amp;" reps"),IF(IF(N(H627)=0,0,IF(N(G627)&gt;0,G627*(1+H627/30),H627))=X627,IF(N(G627)&gt;0,G627&amp;" x "&amp;H627,H627&amp;" reps"),IF(IF(N(J627)=0,0,IF(N(I627)&gt;0,I627*(1+J627/30),J627))=X627,IF(N(I627)&gt;0,I627&amp;" x "&amp;J627,J627&amp;" reps"),IF(IF(N(L627)=0,0,IF(N(K627)&gt;0,K627*(1+L627/30),L627))=X627,IF(N(K627)&gt;0,K627&amp;" x "&amp;L627,L627&amp;" reps"),IF(IF(N(N627)=0,0,IF(N(M627)&gt;0,M627*(1+N627/30),N627))=X627,IF(N(M627)&gt;0,M627&amp;" x "&amp;N627,N627&amp;" reps"),""))))))</f>
        <v/>
      </c>
      <c r="R627" s="20">
        <f>IF(N(X627)=0,"",ROUND(X627,1))</f>
        <v/>
      </c>
      <c r="S627" s="18">
        <f>IF(N(X627)=0,"",IF(AND(COUNTIFS(Log!$D$6:$D$1505,D627,Log!$B$6:$B$1505,"&lt;"&amp;B627)&gt;0,COUNTIFS(Log!$D$6:$D$1505,D627,Log!$B$6:$B$1505,"&lt;"&amp;B627,Log!$X$6:$X$1505,"&gt;="&amp;X627)=0),"New best",""))</f>
        <v/>
      </c>
      <c r="T627" s="26" t="n"/>
      <c r="U627" s="1">
        <f>IF(D627="","",IFERROR(INDEX(Exercises!$C$6:$C$105,MATCH(D627,Exercises!$B$6:$B$105,0)),"Other"))</f>
        <v/>
      </c>
      <c r="V627">
        <f>IF(B627="","",IF(COUNTIF($B$6:B627,B627)=1,1,0))</f>
        <v/>
      </c>
      <c r="W627">
        <f>IF(B627="","",B627-WEEKDAY(B627,3))</f>
        <v/>
      </c>
      <c r="X627">
        <f>IF(D627="","",MAX(IF(N(F627)=0,0,IF(N(E627)&gt;0,E627*(1+F627/30),F627)),IF(N(H627)=0,0,IF(N(G627)&gt;0,G627*(1+H627/30),H627)),IF(N(J627)=0,0,IF(N(I627)&gt;0,I627*(1+J627/30),J627)),IF(N(L627)=0,0,IF(N(K627)&gt;0,K627*(1+L627/30),L627)),IF(N(N627)=0,0,IF(N(M627)&gt;0,M627*(1+N627/30),N627))))</f>
        <v/>
      </c>
      <c r="Y627">
        <f>IF(N(X627)=0,"",X627+ROW()/1000000000)</f>
        <v/>
      </c>
      <c r="Z627">
        <f>IF(Y627="","",IF(COUNTIFS(Log!$D$6:$D$1505,D627,Log!$Y$6:$Y$1505,"&gt;"&amp;Y627)=0,1,0))</f>
        <v/>
      </c>
      <c r="AA627">
        <f>IF(OR(B627="",D627=""),"",B627+ROW()/10000000)</f>
        <v/>
      </c>
      <c r="AB627">
        <f>IF(AA627="","",IF(COUNTIFS(Log!$D$6:$D$1505,D627,Log!$AA$6:$AA$1505,"&gt;"&amp;AA627)=0,1,0))</f>
        <v/>
      </c>
      <c r="AC627">
        <f>IF(S627="New best",AA627,"")</f>
        <v/>
      </c>
      <c r="AD627">
        <f>ROW()</f>
        <v/>
      </c>
    </row>
    <row r="628">
      <c r="A628" s="1" t="n"/>
      <c r="B628" s="21" t="n"/>
      <c r="C628" s="22" t="n"/>
      <c r="D628" s="23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15">
        <f>IF(D628="","",COUNT(F628,H628,J628,L628,N628))</f>
        <v/>
      </c>
      <c r="P628" s="25">
        <f>IF(D628="","",N(E628)*N(F628)+N(G628)*N(H628)+N(I628)*N(J628)+N(K628)*N(L628)+N(M628)*N(N628))</f>
        <v/>
      </c>
      <c r="Q628" s="18">
        <f>IF(N(X628)=0,"",IF(IF(N(F628)=0,0,IF(N(E628)&gt;0,E628*(1+F628/30),F628))=X628,IF(N(E628)&gt;0,E628&amp;" x "&amp;F628,F628&amp;" reps"),IF(IF(N(H628)=0,0,IF(N(G628)&gt;0,G628*(1+H628/30),H628))=X628,IF(N(G628)&gt;0,G628&amp;" x "&amp;H628,H628&amp;" reps"),IF(IF(N(J628)=0,0,IF(N(I628)&gt;0,I628*(1+J628/30),J628))=X628,IF(N(I628)&gt;0,I628&amp;" x "&amp;J628,J628&amp;" reps"),IF(IF(N(L628)=0,0,IF(N(K628)&gt;0,K628*(1+L628/30),L628))=X628,IF(N(K628)&gt;0,K628&amp;" x "&amp;L628,L628&amp;" reps"),IF(IF(N(N628)=0,0,IF(N(M628)&gt;0,M628*(1+N628/30),N628))=X628,IF(N(M628)&gt;0,M628&amp;" x "&amp;N628,N628&amp;" reps"),""))))))</f>
        <v/>
      </c>
      <c r="R628" s="20">
        <f>IF(N(X628)=0,"",ROUND(X628,1))</f>
        <v/>
      </c>
      <c r="S628" s="18">
        <f>IF(N(X628)=0,"",IF(AND(COUNTIFS(Log!$D$6:$D$1505,D628,Log!$B$6:$B$1505,"&lt;"&amp;B628)&gt;0,COUNTIFS(Log!$D$6:$D$1505,D628,Log!$B$6:$B$1505,"&lt;"&amp;B628,Log!$X$6:$X$1505,"&gt;="&amp;X628)=0),"New best",""))</f>
        <v/>
      </c>
      <c r="T628" s="26" t="n"/>
      <c r="U628" s="1">
        <f>IF(D628="","",IFERROR(INDEX(Exercises!$C$6:$C$105,MATCH(D628,Exercises!$B$6:$B$105,0)),"Other"))</f>
        <v/>
      </c>
      <c r="V628">
        <f>IF(B628="","",IF(COUNTIF($B$6:B628,B628)=1,1,0))</f>
        <v/>
      </c>
      <c r="W628">
        <f>IF(B628="","",B628-WEEKDAY(B628,3))</f>
        <v/>
      </c>
      <c r="X628">
        <f>IF(D628="","",MAX(IF(N(F628)=0,0,IF(N(E628)&gt;0,E628*(1+F628/30),F628)),IF(N(H628)=0,0,IF(N(G628)&gt;0,G628*(1+H628/30),H628)),IF(N(J628)=0,0,IF(N(I628)&gt;0,I628*(1+J628/30),J628)),IF(N(L628)=0,0,IF(N(K628)&gt;0,K628*(1+L628/30),L628)),IF(N(N628)=0,0,IF(N(M628)&gt;0,M628*(1+N628/30),N628))))</f>
        <v/>
      </c>
      <c r="Y628">
        <f>IF(N(X628)=0,"",X628+ROW()/1000000000)</f>
        <v/>
      </c>
      <c r="Z628">
        <f>IF(Y628="","",IF(COUNTIFS(Log!$D$6:$D$1505,D628,Log!$Y$6:$Y$1505,"&gt;"&amp;Y628)=0,1,0))</f>
        <v/>
      </c>
      <c r="AA628">
        <f>IF(OR(B628="",D628=""),"",B628+ROW()/10000000)</f>
        <v/>
      </c>
      <c r="AB628">
        <f>IF(AA628="","",IF(COUNTIFS(Log!$D$6:$D$1505,D628,Log!$AA$6:$AA$1505,"&gt;"&amp;AA628)=0,1,0))</f>
        <v/>
      </c>
      <c r="AC628">
        <f>IF(S628="New best",AA628,"")</f>
        <v/>
      </c>
      <c r="AD628">
        <f>ROW()</f>
        <v/>
      </c>
    </row>
    <row r="629">
      <c r="A629" s="1" t="n"/>
      <c r="B629" s="21" t="n"/>
      <c r="C629" s="22" t="n"/>
      <c r="D629" s="23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15">
        <f>IF(D629="","",COUNT(F629,H629,J629,L629,N629))</f>
        <v/>
      </c>
      <c r="P629" s="25">
        <f>IF(D629="","",N(E629)*N(F629)+N(G629)*N(H629)+N(I629)*N(J629)+N(K629)*N(L629)+N(M629)*N(N629))</f>
        <v/>
      </c>
      <c r="Q629" s="18">
        <f>IF(N(X629)=0,"",IF(IF(N(F629)=0,0,IF(N(E629)&gt;0,E629*(1+F629/30),F629))=X629,IF(N(E629)&gt;0,E629&amp;" x "&amp;F629,F629&amp;" reps"),IF(IF(N(H629)=0,0,IF(N(G629)&gt;0,G629*(1+H629/30),H629))=X629,IF(N(G629)&gt;0,G629&amp;" x "&amp;H629,H629&amp;" reps"),IF(IF(N(J629)=0,0,IF(N(I629)&gt;0,I629*(1+J629/30),J629))=X629,IF(N(I629)&gt;0,I629&amp;" x "&amp;J629,J629&amp;" reps"),IF(IF(N(L629)=0,0,IF(N(K629)&gt;0,K629*(1+L629/30),L629))=X629,IF(N(K629)&gt;0,K629&amp;" x "&amp;L629,L629&amp;" reps"),IF(IF(N(N629)=0,0,IF(N(M629)&gt;0,M629*(1+N629/30),N629))=X629,IF(N(M629)&gt;0,M629&amp;" x "&amp;N629,N629&amp;" reps"),""))))))</f>
        <v/>
      </c>
      <c r="R629" s="20">
        <f>IF(N(X629)=0,"",ROUND(X629,1))</f>
        <v/>
      </c>
      <c r="S629" s="18">
        <f>IF(N(X629)=0,"",IF(AND(COUNTIFS(Log!$D$6:$D$1505,D629,Log!$B$6:$B$1505,"&lt;"&amp;B629)&gt;0,COUNTIFS(Log!$D$6:$D$1505,D629,Log!$B$6:$B$1505,"&lt;"&amp;B629,Log!$X$6:$X$1505,"&gt;="&amp;X629)=0),"New best",""))</f>
        <v/>
      </c>
      <c r="T629" s="26" t="n"/>
      <c r="U629" s="1">
        <f>IF(D629="","",IFERROR(INDEX(Exercises!$C$6:$C$105,MATCH(D629,Exercises!$B$6:$B$105,0)),"Other"))</f>
        <v/>
      </c>
      <c r="V629">
        <f>IF(B629="","",IF(COUNTIF($B$6:B629,B629)=1,1,0))</f>
        <v/>
      </c>
      <c r="W629">
        <f>IF(B629="","",B629-WEEKDAY(B629,3))</f>
        <v/>
      </c>
      <c r="X629">
        <f>IF(D629="","",MAX(IF(N(F629)=0,0,IF(N(E629)&gt;0,E629*(1+F629/30),F629)),IF(N(H629)=0,0,IF(N(G629)&gt;0,G629*(1+H629/30),H629)),IF(N(J629)=0,0,IF(N(I629)&gt;0,I629*(1+J629/30),J629)),IF(N(L629)=0,0,IF(N(K629)&gt;0,K629*(1+L629/30),L629)),IF(N(N629)=0,0,IF(N(M629)&gt;0,M629*(1+N629/30),N629))))</f>
        <v/>
      </c>
      <c r="Y629">
        <f>IF(N(X629)=0,"",X629+ROW()/1000000000)</f>
        <v/>
      </c>
      <c r="Z629">
        <f>IF(Y629="","",IF(COUNTIFS(Log!$D$6:$D$1505,D629,Log!$Y$6:$Y$1505,"&gt;"&amp;Y629)=0,1,0))</f>
        <v/>
      </c>
      <c r="AA629">
        <f>IF(OR(B629="",D629=""),"",B629+ROW()/10000000)</f>
        <v/>
      </c>
      <c r="AB629">
        <f>IF(AA629="","",IF(COUNTIFS(Log!$D$6:$D$1505,D629,Log!$AA$6:$AA$1505,"&gt;"&amp;AA629)=0,1,0))</f>
        <v/>
      </c>
      <c r="AC629">
        <f>IF(S629="New best",AA629,"")</f>
        <v/>
      </c>
      <c r="AD629">
        <f>ROW()</f>
        <v/>
      </c>
    </row>
    <row r="630">
      <c r="A630" s="1" t="n"/>
      <c r="B630" s="21" t="n"/>
      <c r="C630" s="22" t="n"/>
      <c r="D630" s="23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15">
        <f>IF(D630="","",COUNT(F630,H630,J630,L630,N630))</f>
        <v/>
      </c>
      <c r="P630" s="25">
        <f>IF(D630="","",N(E630)*N(F630)+N(G630)*N(H630)+N(I630)*N(J630)+N(K630)*N(L630)+N(M630)*N(N630))</f>
        <v/>
      </c>
      <c r="Q630" s="18">
        <f>IF(N(X630)=0,"",IF(IF(N(F630)=0,0,IF(N(E630)&gt;0,E630*(1+F630/30),F630))=X630,IF(N(E630)&gt;0,E630&amp;" x "&amp;F630,F630&amp;" reps"),IF(IF(N(H630)=0,0,IF(N(G630)&gt;0,G630*(1+H630/30),H630))=X630,IF(N(G630)&gt;0,G630&amp;" x "&amp;H630,H630&amp;" reps"),IF(IF(N(J630)=0,0,IF(N(I630)&gt;0,I630*(1+J630/30),J630))=X630,IF(N(I630)&gt;0,I630&amp;" x "&amp;J630,J630&amp;" reps"),IF(IF(N(L630)=0,0,IF(N(K630)&gt;0,K630*(1+L630/30),L630))=X630,IF(N(K630)&gt;0,K630&amp;" x "&amp;L630,L630&amp;" reps"),IF(IF(N(N630)=0,0,IF(N(M630)&gt;0,M630*(1+N630/30),N630))=X630,IF(N(M630)&gt;0,M630&amp;" x "&amp;N630,N630&amp;" reps"),""))))))</f>
        <v/>
      </c>
      <c r="R630" s="20">
        <f>IF(N(X630)=0,"",ROUND(X630,1))</f>
        <v/>
      </c>
      <c r="S630" s="18">
        <f>IF(N(X630)=0,"",IF(AND(COUNTIFS(Log!$D$6:$D$1505,D630,Log!$B$6:$B$1505,"&lt;"&amp;B630)&gt;0,COUNTIFS(Log!$D$6:$D$1505,D630,Log!$B$6:$B$1505,"&lt;"&amp;B630,Log!$X$6:$X$1505,"&gt;="&amp;X630)=0),"New best",""))</f>
        <v/>
      </c>
      <c r="T630" s="26" t="n"/>
      <c r="U630" s="1">
        <f>IF(D630="","",IFERROR(INDEX(Exercises!$C$6:$C$105,MATCH(D630,Exercises!$B$6:$B$105,0)),"Other"))</f>
        <v/>
      </c>
      <c r="V630">
        <f>IF(B630="","",IF(COUNTIF($B$6:B630,B630)=1,1,0))</f>
        <v/>
      </c>
      <c r="W630">
        <f>IF(B630="","",B630-WEEKDAY(B630,3))</f>
        <v/>
      </c>
      <c r="X630">
        <f>IF(D630="","",MAX(IF(N(F630)=0,0,IF(N(E630)&gt;0,E630*(1+F630/30),F630)),IF(N(H630)=0,0,IF(N(G630)&gt;0,G630*(1+H630/30),H630)),IF(N(J630)=0,0,IF(N(I630)&gt;0,I630*(1+J630/30),J630)),IF(N(L630)=0,0,IF(N(K630)&gt;0,K630*(1+L630/30),L630)),IF(N(N630)=0,0,IF(N(M630)&gt;0,M630*(1+N630/30),N630))))</f>
        <v/>
      </c>
      <c r="Y630">
        <f>IF(N(X630)=0,"",X630+ROW()/1000000000)</f>
        <v/>
      </c>
      <c r="Z630">
        <f>IF(Y630="","",IF(COUNTIFS(Log!$D$6:$D$1505,D630,Log!$Y$6:$Y$1505,"&gt;"&amp;Y630)=0,1,0))</f>
        <v/>
      </c>
      <c r="AA630">
        <f>IF(OR(B630="",D630=""),"",B630+ROW()/10000000)</f>
        <v/>
      </c>
      <c r="AB630">
        <f>IF(AA630="","",IF(COUNTIFS(Log!$D$6:$D$1505,D630,Log!$AA$6:$AA$1505,"&gt;"&amp;AA630)=0,1,0))</f>
        <v/>
      </c>
      <c r="AC630">
        <f>IF(S630="New best",AA630,"")</f>
        <v/>
      </c>
      <c r="AD630">
        <f>ROW()</f>
        <v/>
      </c>
    </row>
    <row r="631">
      <c r="A631" s="1" t="n"/>
      <c r="B631" s="21" t="n"/>
      <c r="C631" s="22" t="n"/>
      <c r="D631" s="23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15">
        <f>IF(D631="","",COUNT(F631,H631,J631,L631,N631))</f>
        <v/>
      </c>
      <c r="P631" s="25">
        <f>IF(D631="","",N(E631)*N(F631)+N(G631)*N(H631)+N(I631)*N(J631)+N(K631)*N(L631)+N(M631)*N(N631))</f>
        <v/>
      </c>
      <c r="Q631" s="18">
        <f>IF(N(X631)=0,"",IF(IF(N(F631)=0,0,IF(N(E631)&gt;0,E631*(1+F631/30),F631))=X631,IF(N(E631)&gt;0,E631&amp;" x "&amp;F631,F631&amp;" reps"),IF(IF(N(H631)=0,0,IF(N(G631)&gt;0,G631*(1+H631/30),H631))=X631,IF(N(G631)&gt;0,G631&amp;" x "&amp;H631,H631&amp;" reps"),IF(IF(N(J631)=0,0,IF(N(I631)&gt;0,I631*(1+J631/30),J631))=X631,IF(N(I631)&gt;0,I631&amp;" x "&amp;J631,J631&amp;" reps"),IF(IF(N(L631)=0,0,IF(N(K631)&gt;0,K631*(1+L631/30),L631))=X631,IF(N(K631)&gt;0,K631&amp;" x "&amp;L631,L631&amp;" reps"),IF(IF(N(N631)=0,0,IF(N(M631)&gt;0,M631*(1+N631/30),N631))=X631,IF(N(M631)&gt;0,M631&amp;" x "&amp;N631,N631&amp;" reps"),""))))))</f>
        <v/>
      </c>
      <c r="R631" s="20">
        <f>IF(N(X631)=0,"",ROUND(X631,1))</f>
        <v/>
      </c>
      <c r="S631" s="18">
        <f>IF(N(X631)=0,"",IF(AND(COUNTIFS(Log!$D$6:$D$1505,D631,Log!$B$6:$B$1505,"&lt;"&amp;B631)&gt;0,COUNTIFS(Log!$D$6:$D$1505,D631,Log!$B$6:$B$1505,"&lt;"&amp;B631,Log!$X$6:$X$1505,"&gt;="&amp;X631)=0),"New best",""))</f>
        <v/>
      </c>
      <c r="T631" s="26" t="n"/>
      <c r="U631" s="1">
        <f>IF(D631="","",IFERROR(INDEX(Exercises!$C$6:$C$105,MATCH(D631,Exercises!$B$6:$B$105,0)),"Other"))</f>
        <v/>
      </c>
      <c r="V631">
        <f>IF(B631="","",IF(COUNTIF($B$6:B631,B631)=1,1,0))</f>
        <v/>
      </c>
      <c r="W631">
        <f>IF(B631="","",B631-WEEKDAY(B631,3))</f>
        <v/>
      </c>
      <c r="X631">
        <f>IF(D631="","",MAX(IF(N(F631)=0,0,IF(N(E631)&gt;0,E631*(1+F631/30),F631)),IF(N(H631)=0,0,IF(N(G631)&gt;0,G631*(1+H631/30),H631)),IF(N(J631)=0,0,IF(N(I631)&gt;0,I631*(1+J631/30),J631)),IF(N(L631)=0,0,IF(N(K631)&gt;0,K631*(1+L631/30),L631)),IF(N(N631)=0,0,IF(N(M631)&gt;0,M631*(1+N631/30),N631))))</f>
        <v/>
      </c>
      <c r="Y631">
        <f>IF(N(X631)=0,"",X631+ROW()/1000000000)</f>
        <v/>
      </c>
      <c r="Z631">
        <f>IF(Y631="","",IF(COUNTIFS(Log!$D$6:$D$1505,D631,Log!$Y$6:$Y$1505,"&gt;"&amp;Y631)=0,1,0))</f>
        <v/>
      </c>
      <c r="AA631">
        <f>IF(OR(B631="",D631=""),"",B631+ROW()/10000000)</f>
        <v/>
      </c>
      <c r="AB631">
        <f>IF(AA631="","",IF(COUNTIFS(Log!$D$6:$D$1505,D631,Log!$AA$6:$AA$1505,"&gt;"&amp;AA631)=0,1,0))</f>
        <v/>
      </c>
      <c r="AC631">
        <f>IF(S631="New best",AA631,"")</f>
        <v/>
      </c>
      <c r="AD631">
        <f>ROW()</f>
        <v/>
      </c>
    </row>
    <row r="632">
      <c r="A632" s="1" t="n"/>
      <c r="B632" s="21" t="n"/>
      <c r="C632" s="22" t="n"/>
      <c r="D632" s="23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15">
        <f>IF(D632="","",COUNT(F632,H632,J632,L632,N632))</f>
        <v/>
      </c>
      <c r="P632" s="25">
        <f>IF(D632="","",N(E632)*N(F632)+N(G632)*N(H632)+N(I632)*N(J632)+N(K632)*N(L632)+N(M632)*N(N632))</f>
        <v/>
      </c>
      <c r="Q632" s="18">
        <f>IF(N(X632)=0,"",IF(IF(N(F632)=0,0,IF(N(E632)&gt;0,E632*(1+F632/30),F632))=X632,IF(N(E632)&gt;0,E632&amp;" x "&amp;F632,F632&amp;" reps"),IF(IF(N(H632)=0,0,IF(N(G632)&gt;0,G632*(1+H632/30),H632))=X632,IF(N(G632)&gt;0,G632&amp;" x "&amp;H632,H632&amp;" reps"),IF(IF(N(J632)=0,0,IF(N(I632)&gt;0,I632*(1+J632/30),J632))=X632,IF(N(I632)&gt;0,I632&amp;" x "&amp;J632,J632&amp;" reps"),IF(IF(N(L632)=0,0,IF(N(K632)&gt;0,K632*(1+L632/30),L632))=X632,IF(N(K632)&gt;0,K632&amp;" x "&amp;L632,L632&amp;" reps"),IF(IF(N(N632)=0,0,IF(N(M632)&gt;0,M632*(1+N632/30),N632))=X632,IF(N(M632)&gt;0,M632&amp;" x "&amp;N632,N632&amp;" reps"),""))))))</f>
        <v/>
      </c>
      <c r="R632" s="20">
        <f>IF(N(X632)=0,"",ROUND(X632,1))</f>
        <v/>
      </c>
      <c r="S632" s="18">
        <f>IF(N(X632)=0,"",IF(AND(COUNTIFS(Log!$D$6:$D$1505,D632,Log!$B$6:$B$1505,"&lt;"&amp;B632)&gt;0,COUNTIFS(Log!$D$6:$D$1505,D632,Log!$B$6:$B$1505,"&lt;"&amp;B632,Log!$X$6:$X$1505,"&gt;="&amp;X632)=0),"New best",""))</f>
        <v/>
      </c>
      <c r="T632" s="26" t="n"/>
      <c r="U632" s="1">
        <f>IF(D632="","",IFERROR(INDEX(Exercises!$C$6:$C$105,MATCH(D632,Exercises!$B$6:$B$105,0)),"Other"))</f>
        <v/>
      </c>
      <c r="V632">
        <f>IF(B632="","",IF(COUNTIF($B$6:B632,B632)=1,1,0))</f>
        <v/>
      </c>
      <c r="W632">
        <f>IF(B632="","",B632-WEEKDAY(B632,3))</f>
        <v/>
      </c>
      <c r="X632">
        <f>IF(D632="","",MAX(IF(N(F632)=0,0,IF(N(E632)&gt;0,E632*(1+F632/30),F632)),IF(N(H632)=0,0,IF(N(G632)&gt;0,G632*(1+H632/30),H632)),IF(N(J632)=0,0,IF(N(I632)&gt;0,I632*(1+J632/30),J632)),IF(N(L632)=0,0,IF(N(K632)&gt;0,K632*(1+L632/30),L632)),IF(N(N632)=0,0,IF(N(M632)&gt;0,M632*(1+N632/30),N632))))</f>
        <v/>
      </c>
      <c r="Y632">
        <f>IF(N(X632)=0,"",X632+ROW()/1000000000)</f>
        <v/>
      </c>
      <c r="Z632">
        <f>IF(Y632="","",IF(COUNTIFS(Log!$D$6:$D$1505,D632,Log!$Y$6:$Y$1505,"&gt;"&amp;Y632)=0,1,0))</f>
        <v/>
      </c>
      <c r="AA632">
        <f>IF(OR(B632="",D632=""),"",B632+ROW()/10000000)</f>
        <v/>
      </c>
      <c r="AB632">
        <f>IF(AA632="","",IF(COUNTIFS(Log!$D$6:$D$1505,D632,Log!$AA$6:$AA$1505,"&gt;"&amp;AA632)=0,1,0))</f>
        <v/>
      </c>
      <c r="AC632">
        <f>IF(S632="New best",AA632,"")</f>
        <v/>
      </c>
      <c r="AD632">
        <f>ROW()</f>
        <v/>
      </c>
    </row>
    <row r="633">
      <c r="A633" s="1" t="n"/>
      <c r="B633" s="21" t="n"/>
      <c r="C633" s="22" t="n"/>
      <c r="D633" s="23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15">
        <f>IF(D633="","",COUNT(F633,H633,J633,L633,N633))</f>
        <v/>
      </c>
      <c r="P633" s="25">
        <f>IF(D633="","",N(E633)*N(F633)+N(G633)*N(H633)+N(I633)*N(J633)+N(K633)*N(L633)+N(M633)*N(N633))</f>
        <v/>
      </c>
      <c r="Q633" s="18">
        <f>IF(N(X633)=0,"",IF(IF(N(F633)=0,0,IF(N(E633)&gt;0,E633*(1+F633/30),F633))=X633,IF(N(E633)&gt;0,E633&amp;" x "&amp;F633,F633&amp;" reps"),IF(IF(N(H633)=0,0,IF(N(G633)&gt;0,G633*(1+H633/30),H633))=X633,IF(N(G633)&gt;0,G633&amp;" x "&amp;H633,H633&amp;" reps"),IF(IF(N(J633)=0,0,IF(N(I633)&gt;0,I633*(1+J633/30),J633))=X633,IF(N(I633)&gt;0,I633&amp;" x "&amp;J633,J633&amp;" reps"),IF(IF(N(L633)=0,0,IF(N(K633)&gt;0,K633*(1+L633/30),L633))=X633,IF(N(K633)&gt;0,K633&amp;" x "&amp;L633,L633&amp;" reps"),IF(IF(N(N633)=0,0,IF(N(M633)&gt;0,M633*(1+N633/30),N633))=X633,IF(N(M633)&gt;0,M633&amp;" x "&amp;N633,N633&amp;" reps"),""))))))</f>
        <v/>
      </c>
      <c r="R633" s="20">
        <f>IF(N(X633)=0,"",ROUND(X633,1))</f>
        <v/>
      </c>
      <c r="S633" s="18">
        <f>IF(N(X633)=0,"",IF(AND(COUNTIFS(Log!$D$6:$D$1505,D633,Log!$B$6:$B$1505,"&lt;"&amp;B633)&gt;0,COUNTIFS(Log!$D$6:$D$1505,D633,Log!$B$6:$B$1505,"&lt;"&amp;B633,Log!$X$6:$X$1505,"&gt;="&amp;X633)=0),"New best",""))</f>
        <v/>
      </c>
      <c r="T633" s="26" t="n"/>
      <c r="U633" s="1">
        <f>IF(D633="","",IFERROR(INDEX(Exercises!$C$6:$C$105,MATCH(D633,Exercises!$B$6:$B$105,0)),"Other"))</f>
        <v/>
      </c>
      <c r="V633">
        <f>IF(B633="","",IF(COUNTIF($B$6:B633,B633)=1,1,0))</f>
        <v/>
      </c>
      <c r="W633">
        <f>IF(B633="","",B633-WEEKDAY(B633,3))</f>
        <v/>
      </c>
      <c r="X633">
        <f>IF(D633="","",MAX(IF(N(F633)=0,0,IF(N(E633)&gt;0,E633*(1+F633/30),F633)),IF(N(H633)=0,0,IF(N(G633)&gt;0,G633*(1+H633/30),H633)),IF(N(J633)=0,0,IF(N(I633)&gt;0,I633*(1+J633/30),J633)),IF(N(L633)=0,0,IF(N(K633)&gt;0,K633*(1+L633/30),L633)),IF(N(N633)=0,0,IF(N(M633)&gt;0,M633*(1+N633/30),N633))))</f>
        <v/>
      </c>
      <c r="Y633">
        <f>IF(N(X633)=0,"",X633+ROW()/1000000000)</f>
        <v/>
      </c>
      <c r="Z633">
        <f>IF(Y633="","",IF(COUNTIFS(Log!$D$6:$D$1505,D633,Log!$Y$6:$Y$1505,"&gt;"&amp;Y633)=0,1,0))</f>
        <v/>
      </c>
      <c r="AA633">
        <f>IF(OR(B633="",D633=""),"",B633+ROW()/10000000)</f>
        <v/>
      </c>
      <c r="AB633">
        <f>IF(AA633="","",IF(COUNTIFS(Log!$D$6:$D$1505,D633,Log!$AA$6:$AA$1505,"&gt;"&amp;AA633)=0,1,0))</f>
        <v/>
      </c>
      <c r="AC633">
        <f>IF(S633="New best",AA633,"")</f>
        <v/>
      </c>
      <c r="AD633">
        <f>ROW()</f>
        <v/>
      </c>
    </row>
    <row r="634">
      <c r="A634" s="1" t="n"/>
      <c r="B634" s="21" t="n"/>
      <c r="C634" s="22" t="n"/>
      <c r="D634" s="23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15">
        <f>IF(D634="","",COUNT(F634,H634,J634,L634,N634))</f>
        <v/>
      </c>
      <c r="P634" s="25">
        <f>IF(D634="","",N(E634)*N(F634)+N(G634)*N(H634)+N(I634)*N(J634)+N(K634)*N(L634)+N(M634)*N(N634))</f>
        <v/>
      </c>
      <c r="Q634" s="18">
        <f>IF(N(X634)=0,"",IF(IF(N(F634)=0,0,IF(N(E634)&gt;0,E634*(1+F634/30),F634))=X634,IF(N(E634)&gt;0,E634&amp;" x "&amp;F634,F634&amp;" reps"),IF(IF(N(H634)=0,0,IF(N(G634)&gt;0,G634*(1+H634/30),H634))=X634,IF(N(G634)&gt;0,G634&amp;" x "&amp;H634,H634&amp;" reps"),IF(IF(N(J634)=0,0,IF(N(I634)&gt;0,I634*(1+J634/30),J634))=X634,IF(N(I634)&gt;0,I634&amp;" x "&amp;J634,J634&amp;" reps"),IF(IF(N(L634)=0,0,IF(N(K634)&gt;0,K634*(1+L634/30),L634))=X634,IF(N(K634)&gt;0,K634&amp;" x "&amp;L634,L634&amp;" reps"),IF(IF(N(N634)=0,0,IF(N(M634)&gt;0,M634*(1+N634/30),N634))=X634,IF(N(M634)&gt;0,M634&amp;" x "&amp;N634,N634&amp;" reps"),""))))))</f>
        <v/>
      </c>
      <c r="R634" s="20">
        <f>IF(N(X634)=0,"",ROUND(X634,1))</f>
        <v/>
      </c>
      <c r="S634" s="18">
        <f>IF(N(X634)=0,"",IF(AND(COUNTIFS(Log!$D$6:$D$1505,D634,Log!$B$6:$B$1505,"&lt;"&amp;B634)&gt;0,COUNTIFS(Log!$D$6:$D$1505,D634,Log!$B$6:$B$1505,"&lt;"&amp;B634,Log!$X$6:$X$1505,"&gt;="&amp;X634)=0),"New best",""))</f>
        <v/>
      </c>
      <c r="T634" s="26" t="n"/>
      <c r="U634" s="1">
        <f>IF(D634="","",IFERROR(INDEX(Exercises!$C$6:$C$105,MATCH(D634,Exercises!$B$6:$B$105,0)),"Other"))</f>
        <v/>
      </c>
      <c r="V634">
        <f>IF(B634="","",IF(COUNTIF($B$6:B634,B634)=1,1,0))</f>
        <v/>
      </c>
      <c r="W634">
        <f>IF(B634="","",B634-WEEKDAY(B634,3))</f>
        <v/>
      </c>
      <c r="X634">
        <f>IF(D634="","",MAX(IF(N(F634)=0,0,IF(N(E634)&gt;0,E634*(1+F634/30),F634)),IF(N(H634)=0,0,IF(N(G634)&gt;0,G634*(1+H634/30),H634)),IF(N(J634)=0,0,IF(N(I634)&gt;0,I634*(1+J634/30),J634)),IF(N(L634)=0,0,IF(N(K634)&gt;0,K634*(1+L634/30),L634)),IF(N(N634)=0,0,IF(N(M634)&gt;0,M634*(1+N634/30),N634))))</f>
        <v/>
      </c>
      <c r="Y634">
        <f>IF(N(X634)=0,"",X634+ROW()/1000000000)</f>
        <v/>
      </c>
      <c r="Z634">
        <f>IF(Y634="","",IF(COUNTIFS(Log!$D$6:$D$1505,D634,Log!$Y$6:$Y$1505,"&gt;"&amp;Y634)=0,1,0))</f>
        <v/>
      </c>
      <c r="AA634">
        <f>IF(OR(B634="",D634=""),"",B634+ROW()/10000000)</f>
        <v/>
      </c>
      <c r="AB634">
        <f>IF(AA634="","",IF(COUNTIFS(Log!$D$6:$D$1505,D634,Log!$AA$6:$AA$1505,"&gt;"&amp;AA634)=0,1,0))</f>
        <v/>
      </c>
      <c r="AC634">
        <f>IF(S634="New best",AA634,"")</f>
        <v/>
      </c>
      <c r="AD634">
        <f>ROW()</f>
        <v/>
      </c>
    </row>
    <row r="635">
      <c r="A635" s="1" t="n"/>
      <c r="B635" s="21" t="n"/>
      <c r="C635" s="22" t="n"/>
      <c r="D635" s="23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15">
        <f>IF(D635="","",COUNT(F635,H635,J635,L635,N635))</f>
        <v/>
      </c>
      <c r="P635" s="25">
        <f>IF(D635="","",N(E635)*N(F635)+N(G635)*N(H635)+N(I635)*N(J635)+N(K635)*N(L635)+N(M635)*N(N635))</f>
        <v/>
      </c>
      <c r="Q635" s="18">
        <f>IF(N(X635)=0,"",IF(IF(N(F635)=0,0,IF(N(E635)&gt;0,E635*(1+F635/30),F635))=X635,IF(N(E635)&gt;0,E635&amp;" x "&amp;F635,F635&amp;" reps"),IF(IF(N(H635)=0,0,IF(N(G635)&gt;0,G635*(1+H635/30),H635))=X635,IF(N(G635)&gt;0,G635&amp;" x "&amp;H635,H635&amp;" reps"),IF(IF(N(J635)=0,0,IF(N(I635)&gt;0,I635*(1+J635/30),J635))=X635,IF(N(I635)&gt;0,I635&amp;" x "&amp;J635,J635&amp;" reps"),IF(IF(N(L635)=0,0,IF(N(K635)&gt;0,K635*(1+L635/30),L635))=X635,IF(N(K635)&gt;0,K635&amp;" x "&amp;L635,L635&amp;" reps"),IF(IF(N(N635)=0,0,IF(N(M635)&gt;0,M635*(1+N635/30),N635))=X635,IF(N(M635)&gt;0,M635&amp;" x "&amp;N635,N635&amp;" reps"),""))))))</f>
        <v/>
      </c>
      <c r="R635" s="20">
        <f>IF(N(X635)=0,"",ROUND(X635,1))</f>
        <v/>
      </c>
      <c r="S635" s="18">
        <f>IF(N(X635)=0,"",IF(AND(COUNTIFS(Log!$D$6:$D$1505,D635,Log!$B$6:$B$1505,"&lt;"&amp;B635)&gt;0,COUNTIFS(Log!$D$6:$D$1505,D635,Log!$B$6:$B$1505,"&lt;"&amp;B635,Log!$X$6:$X$1505,"&gt;="&amp;X635)=0),"New best",""))</f>
        <v/>
      </c>
      <c r="T635" s="26" t="n"/>
      <c r="U635" s="1">
        <f>IF(D635="","",IFERROR(INDEX(Exercises!$C$6:$C$105,MATCH(D635,Exercises!$B$6:$B$105,0)),"Other"))</f>
        <v/>
      </c>
      <c r="V635">
        <f>IF(B635="","",IF(COUNTIF($B$6:B635,B635)=1,1,0))</f>
        <v/>
      </c>
      <c r="W635">
        <f>IF(B635="","",B635-WEEKDAY(B635,3))</f>
        <v/>
      </c>
      <c r="X635">
        <f>IF(D635="","",MAX(IF(N(F635)=0,0,IF(N(E635)&gt;0,E635*(1+F635/30),F635)),IF(N(H635)=0,0,IF(N(G635)&gt;0,G635*(1+H635/30),H635)),IF(N(J635)=0,0,IF(N(I635)&gt;0,I635*(1+J635/30),J635)),IF(N(L635)=0,0,IF(N(K635)&gt;0,K635*(1+L635/30),L635)),IF(N(N635)=0,0,IF(N(M635)&gt;0,M635*(1+N635/30),N635))))</f>
        <v/>
      </c>
      <c r="Y635">
        <f>IF(N(X635)=0,"",X635+ROW()/1000000000)</f>
        <v/>
      </c>
      <c r="Z635">
        <f>IF(Y635="","",IF(COUNTIFS(Log!$D$6:$D$1505,D635,Log!$Y$6:$Y$1505,"&gt;"&amp;Y635)=0,1,0))</f>
        <v/>
      </c>
      <c r="AA635">
        <f>IF(OR(B635="",D635=""),"",B635+ROW()/10000000)</f>
        <v/>
      </c>
      <c r="AB635">
        <f>IF(AA635="","",IF(COUNTIFS(Log!$D$6:$D$1505,D635,Log!$AA$6:$AA$1505,"&gt;"&amp;AA635)=0,1,0))</f>
        <v/>
      </c>
      <c r="AC635">
        <f>IF(S635="New best",AA635,"")</f>
        <v/>
      </c>
      <c r="AD635">
        <f>ROW()</f>
        <v/>
      </c>
    </row>
    <row r="636">
      <c r="A636" s="1" t="n"/>
      <c r="B636" s="21" t="n"/>
      <c r="C636" s="22" t="n"/>
      <c r="D636" s="23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15">
        <f>IF(D636="","",COUNT(F636,H636,J636,L636,N636))</f>
        <v/>
      </c>
      <c r="P636" s="25">
        <f>IF(D636="","",N(E636)*N(F636)+N(G636)*N(H636)+N(I636)*N(J636)+N(K636)*N(L636)+N(M636)*N(N636))</f>
        <v/>
      </c>
      <c r="Q636" s="18">
        <f>IF(N(X636)=0,"",IF(IF(N(F636)=0,0,IF(N(E636)&gt;0,E636*(1+F636/30),F636))=X636,IF(N(E636)&gt;0,E636&amp;" x "&amp;F636,F636&amp;" reps"),IF(IF(N(H636)=0,0,IF(N(G636)&gt;0,G636*(1+H636/30),H636))=X636,IF(N(G636)&gt;0,G636&amp;" x "&amp;H636,H636&amp;" reps"),IF(IF(N(J636)=0,0,IF(N(I636)&gt;0,I636*(1+J636/30),J636))=X636,IF(N(I636)&gt;0,I636&amp;" x "&amp;J636,J636&amp;" reps"),IF(IF(N(L636)=0,0,IF(N(K636)&gt;0,K636*(1+L636/30),L636))=X636,IF(N(K636)&gt;0,K636&amp;" x "&amp;L636,L636&amp;" reps"),IF(IF(N(N636)=0,0,IF(N(M636)&gt;0,M636*(1+N636/30),N636))=X636,IF(N(M636)&gt;0,M636&amp;" x "&amp;N636,N636&amp;" reps"),""))))))</f>
        <v/>
      </c>
      <c r="R636" s="20">
        <f>IF(N(X636)=0,"",ROUND(X636,1))</f>
        <v/>
      </c>
      <c r="S636" s="18">
        <f>IF(N(X636)=0,"",IF(AND(COUNTIFS(Log!$D$6:$D$1505,D636,Log!$B$6:$B$1505,"&lt;"&amp;B636)&gt;0,COUNTIFS(Log!$D$6:$D$1505,D636,Log!$B$6:$B$1505,"&lt;"&amp;B636,Log!$X$6:$X$1505,"&gt;="&amp;X636)=0),"New best",""))</f>
        <v/>
      </c>
      <c r="T636" s="26" t="n"/>
      <c r="U636" s="1">
        <f>IF(D636="","",IFERROR(INDEX(Exercises!$C$6:$C$105,MATCH(D636,Exercises!$B$6:$B$105,0)),"Other"))</f>
        <v/>
      </c>
      <c r="V636">
        <f>IF(B636="","",IF(COUNTIF($B$6:B636,B636)=1,1,0))</f>
        <v/>
      </c>
      <c r="W636">
        <f>IF(B636="","",B636-WEEKDAY(B636,3))</f>
        <v/>
      </c>
      <c r="X636">
        <f>IF(D636="","",MAX(IF(N(F636)=0,0,IF(N(E636)&gt;0,E636*(1+F636/30),F636)),IF(N(H636)=0,0,IF(N(G636)&gt;0,G636*(1+H636/30),H636)),IF(N(J636)=0,0,IF(N(I636)&gt;0,I636*(1+J636/30),J636)),IF(N(L636)=0,0,IF(N(K636)&gt;0,K636*(1+L636/30),L636)),IF(N(N636)=0,0,IF(N(M636)&gt;0,M636*(1+N636/30),N636))))</f>
        <v/>
      </c>
      <c r="Y636">
        <f>IF(N(X636)=0,"",X636+ROW()/1000000000)</f>
        <v/>
      </c>
      <c r="Z636">
        <f>IF(Y636="","",IF(COUNTIFS(Log!$D$6:$D$1505,D636,Log!$Y$6:$Y$1505,"&gt;"&amp;Y636)=0,1,0))</f>
        <v/>
      </c>
      <c r="AA636">
        <f>IF(OR(B636="",D636=""),"",B636+ROW()/10000000)</f>
        <v/>
      </c>
      <c r="AB636">
        <f>IF(AA636="","",IF(COUNTIFS(Log!$D$6:$D$1505,D636,Log!$AA$6:$AA$1505,"&gt;"&amp;AA636)=0,1,0))</f>
        <v/>
      </c>
      <c r="AC636">
        <f>IF(S636="New best",AA636,"")</f>
        <v/>
      </c>
      <c r="AD636">
        <f>ROW()</f>
        <v/>
      </c>
    </row>
    <row r="637">
      <c r="A637" s="1" t="n"/>
      <c r="B637" s="21" t="n"/>
      <c r="C637" s="22" t="n"/>
      <c r="D637" s="23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15">
        <f>IF(D637="","",COUNT(F637,H637,J637,L637,N637))</f>
        <v/>
      </c>
      <c r="P637" s="25">
        <f>IF(D637="","",N(E637)*N(F637)+N(G637)*N(H637)+N(I637)*N(J637)+N(K637)*N(L637)+N(M637)*N(N637))</f>
        <v/>
      </c>
      <c r="Q637" s="18">
        <f>IF(N(X637)=0,"",IF(IF(N(F637)=0,0,IF(N(E637)&gt;0,E637*(1+F637/30),F637))=X637,IF(N(E637)&gt;0,E637&amp;" x "&amp;F637,F637&amp;" reps"),IF(IF(N(H637)=0,0,IF(N(G637)&gt;0,G637*(1+H637/30),H637))=X637,IF(N(G637)&gt;0,G637&amp;" x "&amp;H637,H637&amp;" reps"),IF(IF(N(J637)=0,0,IF(N(I637)&gt;0,I637*(1+J637/30),J637))=X637,IF(N(I637)&gt;0,I637&amp;" x "&amp;J637,J637&amp;" reps"),IF(IF(N(L637)=0,0,IF(N(K637)&gt;0,K637*(1+L637/30),L637))=X637,IF(N(K637)&gt;0,K637&amp;" x "&amp;L637,L637&amp;" reps"),IF(IF(N(N637)=0,0,IF(N(M637)&gt;0,M637*(1+N637/30),N637))=X637,IF(N(M637)&gt;0,M637&amp;" x "&amp;N637,N637&amp;" reps"),""))))))</f>
        <v/>
      </c>
      <c r="R637" s="20">
        <f>IF(N(X637)=0,"",ROUND(X637,1))</f>
        <v/>
      </c>
      <c r="S637" s="18">
        <f>IF(N(X637)=0,"",IF(AND(COUNTIFS(Log!$D$6:$D$1505,D637,Log!$B$6:$B$1505,"&lt;"&amp;B637)&gt;0,COUNTIFS(Log!$D$6:$D$1505,D637,Log!$B$6:$B$1505,"&lt;"&amp;B637,Log!$X$6:$X$1505,"&gt;="&amp;X637)=0),"New best",""))</f>
        <v/>
      </c>
      <c r="T637" s="26" t="n"/>
      <c r="U637" s="1">
        <f>IF(D637="","",IFERROR(INDEX(Exercises!$C$6:$C$105,MATCH(D637,Exercises!$B$6:$B$105,0)),"Other"))</f>
        <v/>
      </c>
      <c r="V637">
        <f>IF(B637="","",IF(COUNTIF($B$6:B637,B637)=1,1,0))</f>
        <v/>
      </c>
      <c r="W637">
        <f>IF(B637="","",B637-WEEKDAY(B637,3))</f>
        <v/>
      </c>
      <c r="X637">
        <f>IF(D637="","",MAX(IF(N(F637)=0,0,IF(N(E637)&gt;0,E637*(1+F637/30),F637)),IF(N(H637)=0,0,IF(N(G637)&gt;0,G637*(1+H637/30),H637)),IF(N(J637)=0,0,IF(N(I637)&gt;0,I637*(1+J637/30),J637)),IF(N(L637)=0,0,IF(N(K637)&gt;0,K637*(1+L637/30),L637)),IF(N(N637)=0,0,IF(N(M637)&gt;0,M637*(1+N637/30),N637))))</f>
        <v/>
      </c>
      <c r="Y637">
        <f>IF(N(X637)=0,"",X637+ROW()/1000000000)</f>
        <v/>
      </c>
      <c r="Z637">
        <f>IF(Y637="","",IF(COUNTIFS(Log!$D$6:$D$1505,D637,Log!$Y$6:$Y$1505,"&gt;"&amp;Y637)=0,1,0))</f>
        <v/>
      </c>
      <c r="AA637">
        <f>IF(OR(B637="",D637=""),"",B637+ROW()/10000000)</f>
        <v/>
      </c>
      <c r="AB637">
        <f>IF(AA637="","",IF(COUNTIFS(Log!$D$6:$D$1505,D637,Log!$AA$6:$AA$1505,"&gt;"&amp;AA637)=0,1,0))</f>
        <v/>
      </c>
      <c r="AC637">
        <f>IF(S637="New best",AA637,"")</f>
        <v/>
      </c>
      <c r="AD637">
        <f>ROW()</f>
        <v/>
      </c>
    </row>
    <row r="638">
      <c r="A638" s="1" t="n"/>
      <c r="B638" s="21" t="n"/>
      <c r="C638" s="22" t="n"/>
      <c r="D638" s="23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15">
        <f>IF(D638="","",COUNT(F638,H638,J638,L638,N638))</f>
        <v/>
      </c>
      <c r="P638" s="25">
        <f>IF(D638="","",N(E638)*N(F638)+N(G638)*N(H638)+N(I638)*N(J638)+N(K638)*N(L638)+N(M638)*N(N638))</f>
        <v/>
      </c>
      <c r="Q638" s="18">
        <f>IF(N(X638)=0,"",IF(IF(N(F638)=0,0,IF(N(E638)&gt;0,E638*(1+F638/30),F638))=X638,IF(N(E638)&gt;0,E638&amp;" x "&amp;F638,F638&amp;" reps"),IF(IF(N(H638)=0,0,IF(N(G638)&gt;0,G638*(1+H638/30),H638))=X638,IF(N(G638)&gt;0,G638&amp;" x "&amp;H638,H638&amp;" reps"),IF(IF(N(J638)=0,0,IF(N(I638)&gt;0,I638*(1+J638/30),J638))=X638,IF(N(I638)&gt;0,I638&amp;" x "&amp;J638,J638&amp;" reps"),IF(IF(N(L638)=0,0,IF(N(K638)&gt;0,K638*(1+L638/30),L638))=X638,IF(N(K638)&gt;0,K638&amp;" x "&amp;L638,L638&amp;" reps"),IF(IF(N(N638)=0,0,IF(N(M638)&gt;0,M638*(1+N638/30),N638))=X638,IF(N(M638)&gt;0,M638&amp;" x "&amp;N638,N638&amp;" reps"),""))))))</f>
        <v/>
      </c>
      <c r="R638" s="20">
        <f>IF(N(X638)=0,"",ROUND(X638,1))</f>
        <v/>
      </c>
      <c r="S638" s="18">
        <f>IF(N(X638)=0,"",IF(AND(COUNTIFS(Log!$D$6:$D$1505,D638,Log!$B$6:$B$1505,"&lt;"&amp;B638)&gt;0,COUNTIFS(Log!$D$6:$D$1505,D638,Log!$B$6:$B$1505,"&lt;"&amp;B638,Log!$X$6:$X$1505,"&gt;="&amp;X638)=0),"New best",""))</f>
        <v/>
      </c>
      <c r="T638" s="26" t="n"/>
      <c r="U638" s="1">
        <f>IF(D638="","",IFERROR(INDEX(Exercises!$C$6:$C$105,MATCH(D638,Exercises!$B$6:$B$105,0)),"Other"))</f>
        <v/>
      </c>
      <c r="V638">
        <f>IF(B638="","",IF(COUNTIF($B$6:B638,B638)=1,1,0))</f>
        <v/>
      </c>
      <c r="W638">
        <f>IF(B638="","",B638-WEEKDAY(B638,3))</f>
        <v/>
      </c>
      <c r="X638">
        <f>IF(D638="","",MAX(IF(N(F638)=0,0,IF(N(E638)&gt;0,E638*(1+F638/30),F638)),IF(N(H638)=0,0,IF(N(G638)&gt;0,G638*(1+H638/30),H638)),IF(N(J638)=0,0,IF(N(I638)&gt;0,I638*(1+J638/30),J638)),IF(N(L638)=0,0,IF(N(K638)&gt;0,K638*(1+L638/30),L638)),IF(N(N638)=0,0,IF(N(M638)&gt;0,M638*(1+N638/30),N638))))</f>
        <v/>
      </c>
      <c r="Y638">
        <f>IF(N(X638)=0,"",X638+ROW()/1000000000)</f>
        <v/>
      </c>
      <c r="Z638">
        <f>IF(Y638="","",IF(COUNTIFS(Log!$D$6:$D$1505,D638,Log!$Y$6:$Y$1505,"&gt;"&amp;Y638)=0,1,0))</f>
        <v/>
      </c>
      <c r="AA638">
        <f>IF(OR(B638="",D638=""),"",B638+ROW()/10000000)</f>
        <v/>
      </c>
      <c r="AB638">
        <f>IF(AA638="","",IF(COUNTIFS(Log!$D$6:$D$1505,D638,Log!$AA$6:$AA$1505,"&gt;"&amp;AA638)=0,1,0))</f>
        <v/>
      </c>
      <c r="AC638">
        <f>IF(S638="New best",AA638,"")</f>
        <v/>
      </c>
      <c r="AD638">
        <f>ROW()</f>
        <v/>
      </c>
    </row>
    <row r="639">
      <c r="A639" s="1" t="n"/>
      <c r="B639" s="21" t="n"/>
      <c r="C639" s="22" t="n"/>
      <c r="D639" s="23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15">
        <f>IF(D639="","",COUNT(F639,H639,J639,L639,N639))</f>
        <v/>
      </c>
      <c r="P639" s="25">
        <f>IF(D639="","",N(E639)*N(F639)+N(G639)*N(H639)+N(I639)*N(J639)+N(K639)*N(L639)+N(M639)*N(N639))</f>
        <v/>
      </c>
      <c r="Q639" s="18">
        <f>IF(N(X639)=0,"",IF(IF(N(F639)=0,0,IF(N(E639)&gt;0,E639*(1+F639/30),F639))=X639,IF(N(E639)&gt;0,E639&amp;" x "&amp;F639,F639&amp;" reps"),IF(IF(N(H639)=0,0,IF(N(G639)&gt;0,G639*(1+H639/30),H639))=X639,IF(N(G639)&gt;0,G639&amp;" x "&amp;H639,H639&amp;" reps"),IF(IF(N(J639)=0,0,IF(N(I639)&gt;0,I639*(1+J639/30),J639))=X639,IF(N(I639)&gt;0,I639&amp;" x "&amp;J639,J639&amp;" reps"),IF(IF(N(L639)=0,0,IF(N(K639)&gt;0,K639*(1+L639/30),L639))=X639,IF(N(K639)&gt;0,K639&amp;" x "&amp;L639,L639&amp;" reps"),IF(IF(N(N639)=0,0,IF(N(M639)&gt;0,M639*(1+N639/30),N639))=X639,IF(N(M639)&gt;0,M639&amp;" x "&amp;N639,N639&amp;" reps"),""))))))</f>
        <v/>
      </c>
      <c r="R639" s="20">
        <f>IF(N(X639)=0,"",ROUND(X639,1))</f>
        <v/>
      </c>
      <c r="S639" s="18">
        <f>IF(N(X639)=0,"",IF(AND(COUNTIFS(Log!$D$6:$D$1505,D639,Log!$B$6:$B$1505,"&lt;"&amp;B639)&gt;0,COUNTIFS(Log!$D$6:$D$1505,D639,Log!$B$6:$B$1505,"&lt;"&amp;B639,Log!$X$6:$X$1505,"&gt;="&amp;X639)=0),"New best",""))</f>
        <v/>
      </c>
      <c r="T639" s="26" t="n"/>
      <c r="U639" s="1">
        <f>IF(D639="","",IFERROR(INDEX(Exercises!$C$6:$C$105,MATCH(D639,Exercises!$B$6:$B$105,0)),"Other"))</f>
        <v/>
      </c>
      <c r="V639">
        <f>IF(B639="","",IF(COUNTIF($B$6:B639,B639)=1,1,0))</f>
        <v/>
      </c>
      <c r="W639">
        <f>IF(B639="","",B639-WEEKDAY(B639,3))</f>
        <v/>
      </c>
      <c r="X639">
        <f>IF(D639="","",MAX(IF(N(F639)=0,0,IF(N(E639)&gt;0,E639*(1+F639/30),F639)),IF(N(H639)=0,0,IF(N(G639)&gt;0,G639*(1+H639/30),H639)),IF(N(J639)=0,0,IF(N(I639)&gt;0,I639*(1+J639/30),J639)),IF(N(L639)=0,0,IF(N(K639)&gt;0,K639*(1+L639/30),L639)),IF(N(N639)=0,0,IF(N(M639)&gt;0,M639*(1+N639/30),N639))))</f>
        <v/>
      </c>
      <c r="Y639">
        <f>IF(N(X639)=0,"",X639+ROW()/1000000000)</f>
        <v/>
      </c>
      <c r="Z639">
        <f>IF(Y639="","",IF(COUNTIFS(Log!$D$6:$D$1505,D639,Log!$Y$6:$Y$1505,"&gt;"&amp;Y639)=0,1,0))</f>
        <v/>
      </c>
      <c r="AA639">
        <f>IF(OR(B639="",D639=""),"",B639+ROW()/10000000)</f>
        <v/>
      </c>
      <c r="AB639">
        <f>IF(AA639="","",IF(COUNTIFS(Log!$D$6:$D$1505,D639,Log!$AA$6:$AA$1505,"&gt;"&amp;AA639)=0,1,0))</f>
        <v/>
      </c>
      <c r="AC639">
        <f>IF(S639="New best",AA639,"")</f>
        <v/>
      </c>
      <c r="AD639">
        <f>ROW()</f>
        <v/>
      </c>
    </row>
    <row r="640">
      <c r="A640" s="1" t="n"/>
      <c r="B640" s="21" t="n"/>
      <c r="C640" s="22" t="n"/>
      <c r="D640" s="23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15">
        <f>IF(D640="","",COUNT(F640,H640,J640,L640,N640))</f>
        <v/>
      </c>
      <c r="P640" s="25">
        <f>IF(D640="","",N(E640)*N(F640)+N(G640)*N(H640)+N(I640)*N(J640)+N(K640)*N(L640)+N(M640)*N(N640))</f>
        <v/>
      </c>
      <c r="Q640" s="18">
        <f>IF(N(X640)=0,"",IF(IF(N(F640)=0,0,IF(N(E640)&gt;0,E640*(1+F640/30),F640))=X640,IF(N(E640)&gt;0,E640&amp;" x "&amp;F640,F640&amp;" reps"),IF(IF(N(H640)=0,0,IF(N(G640)&gt;0,G640*(1+H640/30),H640))=X640,IF(N(G640)&gt;0,G640&amp;" x "&amp;H640,H640&amp;" reps"),IF(IF(N(J640)=0,0,IF(N(I640)&gt;0,I640*(1+J640/30),J640))=X640,IF(N(I640)&gt;0,I640&amp;" x "&amp;J640,J640&amp;" reps"),IF(IF(N(L640)=0,0,IF(N(K640)&gt;0,K640*(1+L640/30),L640))=X640,IF(N(K640)&gt;0,K640&amp;" x "&amp;L640,L640&amp;" reps"),IF(IF(N(N640)=0,0,IF(N(M640)&gt;0,M640*(1+N640/30),N640))=X640,IF(N(M640)&gt;0,M640&amp;" x "&amp;N640,N640&amp;" reps"),""))))))</f>
        <v/>
      </c>
      <c r="R640" s="20">
        <f>IF(N(X640)=0,"",ROUND(X640,1))</f>
        <v/>
      </c>
      <c r="S640" s="18">
        <f>IF(N(X640)=0,"",IF(AND(COUNTIFS(Log!$D$6:$D$1505,D640,Log!$B$6:$B$1505,"&lt;"&amp;B640)&gt;0,COUNTIFS(Log!$D$6:$D$1505,D640,Log!$B$6:$B$1505,"&lt;"&amp;B640,Log!$X$6:$X$1505,"&gt;="&amp;X640)=0),"New best",""))</f>
        <v/>
      </c>
      <c r="T640" s="26" t="n"/>
      <c r="U640" s="1">
        <f>IF(D640="","",IFERROR(INDEX(Exercises!$C$6:$C$105,MATCH(D640,Exercises!$B$6:$B$105,0)),"Other"))</f>
        <v/>
      </c>
      <c r="V640">
        <f>IF(B640="","",IF(COUNTIF($B$6:B640,B640)=1,1,0))</f>
        <v/>
      </c>
      <c r="W640">
        <f>IF(B640="","",B640-WEEKDAY(B640,3))</f>
        <v/>
      </c>
      <c r="X640">
        <f>IF(D640="","",MAX(IF(N(F640)=0,0,IF(N(E640)&gt;0,E640*(1+F640/30),F640)),IF(N(H640)=0,0,IF(N(G640)&gt;0,G640*(1+H640/30),H640)),IF(N(J640)=0,0,IF(N(I640)&gt;0,I640*(1+J640/30),J640)),IF(N(L640)=0,0,IF(N(K640)&gt;0,K640*(1+L640/30),L640)),IF(N(N640)=0,0,IF(N(M640)&gt;0,M640*(1+N640/30),N640))))</f>
        <v/>
      </c>
      <c r="Y640">
        <f>IF(N(X640)=0,"",X640+ROW()/1000000000)</f>
        <v/>
      </c>
      <c r="Z640">
        <f>IF(Y640="","",IF(COUNTIFS(Log!$D$6:$D$1505,D640,Log!$Y$6:$Y$1505,"&gt;"&amp;Y640)=0,1,0))</f>
        <v/>
      </c>
      <c r="AA640">
        <f>IF(OR(B640="",D640=""),"",B640+ROW()/10000000)</f>
        <v/>
      </c>
      <c r="AB640">
        <f>IF(AA640="","",IF(COUNTIFS(Log!$D$6:$D$1505,D640,Log!$AA$6:$AA$1505,"&gt;"&amp;AA640)=0,1,0))</f>
        <v/>
      </c>
      <c r="AC640">
        <f>IF(S640="New best",AA640,"")</f>
        <v/>
      </c>
      <c r="AD640">
        <f>ROW()</f>
        <v/>
      </c>
    </row>
    <row r="641">
      <c r="A641" s="1" t="n"/>
      <c r="B641" s="21" t="n"/>
      <c r="C641" s="22" t="n"/>
      <c r="D641" s="23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15">
        <f>IF(D641="","",COUNT(F641,H641,J641,L641,N641))</f>
        <v/>
      </c>
      <c r="P641" s="25">
        <f>IF(D641="","",N(E641)*N(F641)+N(G641)*N(H641)+N(I641)*N(J641)+N(K641)*N(L641)+N(M641)*N(N641))</f>
        <v/>
      </c>
      <c r="Q641" s="18">
        <f>IF(N(X641)=0,"",IF(IF(N(F641)=0,0,IF(N(E641)&gt;0,E641*(1+F641/30),F641))=X641,IF(N(E641)&gt;0,E641&amp;" x "&amp;F641,F641&amp;" reps"),IF(IF(N(H641)=0,0,IF(N(G641)&gt;0,G641*(1+H641/30),H641))=X641,IF(N(G641)&gt;0,G641&amp;" x "&amp;H641,H641&amp;" reps"),IF(IF(N(J641)=0,0,IF(N(I641)&gt;0,I641*(1+J641/30),J641))=X641,IF(N(I641)&gt;0,I641&amp;" x "&amp;J641,J641&amp;" reps"),IF(IF(N(L641)=0,0,IF(N(K641)&gt;0,K641*(1+L641/30),L641))=X641,IF(N(K641)&gt;0,K641&amp;" x "&amp;L641,L641&amp;" reps"),IF(IF(N(N641)=0,0,IF(N(M641)&gt;0,M641*(1+N641/30),N641))=X641,IF(N(M641)&gt;0,M641&amp;" x "&amp;N641,N641&amp;" reps"),""))))))</f>
        <v/>
      </c>
      <c r="R641" s="20">
        <f>IF(N(X641)=0,"",ROUND(X641,1))</f>
        <v/>
      </c>
      <c r="S641" s="18">
        <f>IF(N(X641)=0,"",IF(AND(COUNTIFS(Log!$D$6:$D$1505,D641,Log!$B$6:$B$1505,"&lt;"&amp;B641)&gt;0,COUNTIFS(Log!$D$6:$D$1505,D641,Log!$B$6:$B$1505,"&lt;"&amp;B641,Log!$X$6:$X$1505,"&gt;="&amp;X641)=0),"New best",""))</f>
        <v/>
      </c>
      <c r="T641" s="26" t="n"/>
      <c r="U641" s="1">
        <f>IF(D641="","",IFERROR(INDEX(Exercises!$C$6:$C$105,MATCH(D641,Exercises!$B$6:$B$105,0)),"Other"))</f>
        <v/>
      </c>
      <c r="V641">
        <f>IF(B641="","",IF(COUNTIF($B$6:B641,B641)=1,1,0))</f>
        <v/>
      </c>
      <c r="W641">
        <f>IF(B641="","",B641-WEEKDAY(B641,3))</f>
        <v/>
      </c>
      <c r="X641">
        <f>IF(D641="","",MAX(IF(N(F641)=0,0,IF(N(E641)&gt;0,E641*(1+F641/30),F641)),IF(N(H641)=0,0,IF(N(G641)&gt;0,G641*(1+H641/30),H641)),IF(N(J641)=0,0,IF(N(I641)&gt;0,I641*(1+J641/30),J641)),IF(N(L641)=0,0,IF(N(K641)&gt;0,K641*(1+L641/30),L641)),IF(N(N641)=0,0,IF(N(M641)&gt;0,M641*(1+N641/30),N641))))</f>
        <v/>
      </c>
      <c r="Y641">
        <f>IF(N(X641)=0,"",X641+ROW()/1000000000)</f>
        <v/>
      </c>
      <c r="Z641">
        <f>IF(Y641="","",IF(COUNTIFS(Log!$D$6:$D$1505,D641,Log!$Y$6:$Y$1505,"&gt;"&amp;Y641)=0,1,0))</f>
        <v/>
      </c>
      <c r="AA641">
        <f>IF(OR(B641="",D641=""),"",B641+ROW()/10000000)</f>
        <v/>
      </c>
      <c r="AB641">
        <f>IF(AA641="","",IF(COUNTIFS(Log!$D$6:$D$1505,D641,Log!$AA$6:$AA$1505,"&gt;"&amp;AA641)=0,1,0))</f>
        <v/>
      </c>
      <c r="AC641">
        <f>IF(S641="New best",AA641,"")</f>
        <v/>
      </c>
      <c r="AD641">
        <f>ROW()</f>
        <v/>
      </c>
    </row>
    <row r="642">
      <c r="A642" s="1" t="n"/>
      <c r="B642" s="21" t="n"/>
      <c r="C642" s="22" t="n"/>
      <c r="D642" s="23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15">
        <f>IF(D642="","",COUNT(F642,H642,J642,L642,N642))</f>
        <v/>
      </c>
      <c r="P642" s="25">
        <f>IF(D642="","",N(E642)*N(F642)+N(G642)*N(H642)+N(I642)*N(J642)+N(K642)*N(L642)+N(M642)*N(N642))</f>
        <v/>
      </c>
      <c r="Q642" s="18">
        <f>IF(N(X642)=0,"",IF(IF(N(F642)=0,0,IF(N(E642)&gt;0,E642*(1+F642/30),F642))=X642,IF(N(E642)&gt;0,E642&amp;" x "&amp;F642,F642&amp;" reps"),IF(IF(N(H642)=0,0,IF(N(G642)&gt;0,G642*(1+H642/30),H642))=X642,IF(N(G642)&gt;0,G642&amp;" x "&amp;H642,H642&amp;" reps"),IF(IF(N(J642)=0,0,IF(N(I642)&gt;0,I642*(1+J642/30),J642))=X642,IF(N(I642)&gt;0,I642&amp;" x "&amp;J642,J642&amp;" reps"),IF(IF(N(L642)=0,0,IF(N(K642)&gt;0,K642*(1+L642/30),L642))=X642,IF(N(K642)&gt;0,K642&amp;" x "&amp;L642,L642&amp;" reps"),IF(IF(N(N642)=0,0,IF(N(M642)&gt;0,M642*(1+N642/30),N642))=X642,IF(N(M642)&gt;0,M642&amp;" x "&amp;N642,N642&amp;" reps"),""))))))</f>
        <v/>
      </c>
      <c r="R642" s="20">
        <f>IF(N(X642)=0,"",ROUND(X642,1))</f>
        <v/>
      </c>
      <c r="S642" s="18">
        <f>IF(N(X642)=0,"",IF(AND(COUNTIFS(Log!$D$6:$D$1505,D642,Log!$B$6:$B$1505,"&lt;"&amp;B642)&gt;0,COUNTIFS(Log!$D$6:$D$1505,D642,Log!$B$6:$B$1505,"&lt;"&amp;B642,Log!$X$6:$X$1505,"&gt;="&amp;X642)=0),"New best",""))</f>
        <v/>
      </c>
      <c r="T642" s="26" t="n"/>
      <c r="U642" s="1">
        <f>IF(D642="","",IFERROR(INDEX(Exercises!$C$6:$C$105,MATCH(D642,Exercises!$B$6:$B$105,0)),"Other"))</f>
        <v/>
      </c>
      <c r="V642">
        <f>IF(B642="","",IF(COUNTIF($B$6:B642,B642)=1,1,0))</f>
        <v/>
      </c>
      <c r="W642">
        <f>IF(B642="","",B642-WEEKDAY(B642,3))</f>
        <v/>
      </c>
      <c r="X642">
        <f>IF(D642="","",MAX(IF(N(F642)=0,0,IF(N(E642)&gt;0,E642*(1+F642/30),F642)),IF(N(H642)=0,0,IF(N(G642)&gt;0,G642*(1+H642/30),H642)),IF(N(J642)=0,0,IF(N(I642)&gt;0,I642*(1+J642/30),J642)),IF(N(L642)=0,0,IF(N(K642)&gt;0,K642*(1+L642/30),L642)),IF(N(N642)=0,0,IF(N(M642)&gt;0,M642*(1+N642/30),N642))))</f>
        <v/>
      </c>
      <c r="Y642">
        <f>IF(N(X642)=0,"",X642+ROW()/1000000000)</f>
        <v/>
      </c>
      <c r="Z642">
        <f>IF(Y642="","",IF(COUNTIFS(Log!$D$6:$D$1505,D642,Log!$Y$6:$Y$1505,"&gt;"&amp;Y642)=0,1,0))</f>
        <v/>
      </c>
      <c r="AA642">
        <f>IF(OR(B642="",D642=""),"",B642+ROW()/10000000)</f>
        <v/>
      </c>
      <c r="AB642">
        <f>IF(AA642="","",IF(COUNTIFS(Log!$D$6:$D$1505,D642,Log!$AA$6:$AA$1505,"&gt;"&amp;AA642)=0,1,0))</f>
        <v/>
      </c>
      <c r="AC642">
        <f>IF(S642="New best",AA642,"")</f>
        <v/>
      </c>
      <c r="AD642">
        <f>ROW()</f>
        <v/>
      </c>
    </row>
    <row r="643">
      <c r="A643" s="1" t="n"/>
      <c r="B643" s="21" t="n"/>
      <c r="C643" s="22" t="n"/>
      <c r="D643" s="23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15">
        <f>IF(D643="","",COUNT(F643,H643,J643,L643,N643))</f>
        <v/>
      </c>
      <c r="P643" s="25">
        <f>IF(D643="","",N(E643)*N(F643)+N(G643)*N(H643)+N(I643)*N(J643)+N(K643)*N(L643)+N(M643)*N(N643))</f>
        <v/>
      </c>
      <c r="Q643" s="18">
        <f>IF(N(X643)=0,"",IF(IF(N(F643)=0,0,IF(N(E643)&gt;0,E643*(1+F643/30),F643))=X643,IF(N(E643)&gt;0,E643&amp;" x "&amp;F643,F643&amp;" reps"),IF(IF(N(H643)=0,0,IF(N(G643)&gt;0,G643*(1+H643/30),H643))=X643,IF(N(G643)&gt;0,G643&amp;" x "&amp;H643,H643&amp;" reps"),IF(IF(N(J643)=0,0,IF(N(I643)&gt;0,I643*(1+J643/30),J643))=X643,IF(N(I643)&gt;0,I643&amp;" x "&amp;J643,J643&amp;" reps"),IF(IF(N(L643)=0,0,IF(N(K643)&gt;0,K643*(1+L643/30),L643))=X643,IF(N(K643)&gt;0,K643&amp;" x "&amp;L643,L643&amp;" reps"),IF(IF(N(N643)=0,0,IF(N(M643)&gt;0,M643*(1+N643/30),N643))=X643,IF(N(M643)&gt;0,M643&amp;" x "&amp;N643,N643&amp;" reps"),""))))))</f>
        <v/>
      </c>
      <c r="R643" s="20">
        <f>IF(N(X643)=0,"",ROUND(X643,1))</f>
        <v/>
      </c>
      <c r="S643" s="18">
        <f>IF(N(X643)=0,"",IF(AND(COUNTIFS(Log!$D$6:$D$1505,D643,Log!$B$6:$B$1505,"&lt;"&amp;B643)&gt;0,COUNTIFS(Log!$D$6:$D$1505,D643,Log!$B$6:$B$1505,"&lt;"&amp;B643,Log!$X$6:$X$1505,"&gt;="&amp;X643)=0),"New best",""))</f>
        <v/>
      </c>
      <c r="T643" s="26" t="n"/>
      <c r="U643" s="1">
        <f>IF(D643="","",IFERROR(INDEX(Exercises!$C$6:$C$105,MATCH(D643,Exercises!$B$6:$B$105,0)),"Other"))</f>
        <v/>
      </c>
      <c r="V643">
        <f>IF(B643="","",IF(COUNTIF($B$6:B643,B643)=1,1,0))</f>
        <v/>
      </c>
      <c r="W643">
        <f>IF(B643="","",B643-WEEKDAY(B643,3))</f>
        <v/>
      </c>
      <c r="X643">
        <f>IF(D643="","",MAX(IF(N(F643)=0,0,IF(N(E643)&gt;0,E643*(1+F643/30),F643)),IF(N(H643)=0,0,IF(N(G643)&gt;0,G643*(1+H643/30),H643)),IF(N(J643)=0,0,IF(N(I643)&gt;0,I643*(1+J643/30),J643)),IF(N(L643)=0,0,IF(N(K643)&gt;0,K643*(1+L643/30),L643)),IF(N(N643)=0,0,IF(N(M643)&gt;0,M643*(1+N643/30),N643))))</f>
        <v/>
      </c>
      <c r="Y643">
        <f>IF(N(X643)=0,"",X643+ROW()/1000000000)</f>
        <v/>
      </c>
      <c r="Z643">
        <f>IF(Y643="","",IF(COUNTIFS(Log!$D$6:$D$1505,D643,Log!$Y$6:$Y$1505,"&gt;"&amp;Y643)=0,1,0))</f>
        <v/>
      </c>
      <c r="AA643">
        <f>IF(OR(B643="",D643=""),"",B643+ROW()/10000000)</f>
        <v/>
      </c>
      <c r="AB643">
        <f>IF(AA643="","",IF(COUNTIFS(Log!$D$6:$D$1505,D643,Log!$AA$6:$AA$1505,"&gt;"&amp;AA643)=0,1,0))</f>
        <v/>
      </c>
      <c r="AC643">
        <f>IF(S643="New best",AA643,"")</f>
        <v/>
      </c>
      <c r="AD643">
        <f>ROW()</f>
        <v/>
      </c>
    </row>
    <row r="644">
      <c r="A644" s="1" t="n"/>
      <c r="B644" s="21" t="n"/>
      <c r="C644" s="22" t="n"/>
      <c r="D644" s="23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15">
        <f>IF(D644="","",COUNT(F644,H644,J644,L644,N644))</f>
        <v/>
      </c>
      <c r="P644" s="25">
        <f>IF(D644="","",N(E644)*N(F644)+N(G644)*N(H644)+N(I644)*N(J644)+N(K644)*N(L644)+N(M644)*N(N644))</f>
        <v/>
      </c>
      <c r="Q644" s="18">
        <f>IF(N(X644)=0,"",IF(IF(N(F644)=0,0,IF(N(E644)&gt;0,E644*(1+F644/30),F644))=X644,IF(N(E644)&gt;0,E644&amp;" x "&amp;F644,F644&amp;" reps"),IF(IF(N(H644)=0,0,IF(N(G644)&gt;0,G644*(1+H644/30),H644))=X644,IF(N(G644)&gt;0,G644&amp;" x "&amp;H644,H644&amp;" reps"),IF(IF(N(J644)=0,0,IF(N(I644)&gt;0,I644*(1+J644/30),J644))=X644,IF(N(I644)&gt;0,I644&amp;" x "&amp;J644,J644&amp;" reps"),IF(IF(N(L644)=0,0,IF(N(K644)&gt;0,K644*(1+L644/30),L644))=X644,IF(N(K644)&gt;0,K644&amp;" x "&amp;L644,L644&amp;" reps"),IF(IF(N(N644)=0,0,IF(N(M644)&gt;0,M644*(1+N644/30),N644))=X644,IF(N(M644)&gt;0,M644&amp;" x "&amp;N644,N644&amp;" reps"),""))))))</f>
        <v/>
      </c>
      <c r="R644" s="20">
        <f>IF(N(X644)=0,"",ROUND(X644,1))</f>
        <v/>
      </c>
      <c r="S644" s="18">
        <f>IF(N(X644)=0,"",IF(AND(COUNTIFS(Log!$D$6:$D$1505,D644,Log!$B$6:$B$1505,"&lt;"&amp;B644)&gt;0,COUNTIFS(Log!$D$6:$D$1505,D644,Log!$B$6:$B$1505,"&lt;"&amp;B644,Log!$X$6:$X$1505,"&gt;="&amp;X644)=0),"New best",""))</f>
        <v/>
      </c>
      <c r="T644" s="26" t="n"/>
      <c r="U644" s="1">
        <f>IF(D644="","",IFERROR(INDEX(Exercises!$C$6:$C$105,MATCH(D644,Exercises!$B$6:$B$105,0)),"Other"))</f>
        <v/>
      </c>
      <c r="V644">
        <f>IF(B644="","",IF(COUNTIF($B$6:B644,B644)=1,1,0))</f>
        <v/>
      </c>
      <c r="W644">
        <f>IF(B644="","",B644-WEEKDAY(B644,3))</f>
        <v/>
      </c>
      <c r="X644">
        <f>IF(D644="","",MAX(IF(N(F644)=0,0,IF(N(E644)&gt;0,E644*(1+F644/30),F644)),IF(N(H644)=0,0,IF(N(G644)&gt;0,G644*(1+H644/30),H644)),IF(N(J644)=0,0,IF(N(I644)&gt;0,I644*(1+J644/30),J644)),IF(N(L644)=0,0,IF(N(K644)&gt;0,K644*(1+L644/30),L644)),IF(N(N644)=0,0,IF(N(M644)&gt;0,M644*(1+N644/30),N644))))</f>
        <v/>
      </c>
      <c r="Y644">
        <f>IF(N(X644)=0,"",X644+ROW()/1000000000)</f>
        <v/>
      </c>
      <c r="Z644">
        <f>IF(Y644="","",IF(COUNTIFS(Log!$D$6:$D$1505,D644,Log!$Y$6:$Y$1505,"&gt;"&amp;Y644)=0,1,0))</f>
        <v/>
      </c>
      <c r="AA644">
        <f>IF(OR(B644="",D644=""),"",B644+ROW()/10000000)</f>
        <v/>
      </c>
      <c r="AB644">
        <f>IF(AA644="","",IF(COUNTIFS(Log!$D$6:$D$1505,D644,Log!$AA$6:$AA$1505,"&gt;"&amp;AA644)=0,1,0))</f>
        <v/>
      </c>
      <c r="AC644">
        <f>IF(S644="New best",AA644,"")</f>
        <v/>
      </c>
      <c r="AD644">
        <f>ROW()</f>
        <v/>
      </c>
    </row>
    <row r="645">
      <c r="A645" s="1" t="n"/>
      <c r="B645" s="21" t="n"/>
      <c r="C645" s="22" t="n"/>
      <c r="D645" s="23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15">
        <f>IF(D645="","",COUNT(F645,H645,J645,L645,N645))</f>
        <v/>
      </c>
      <c r="P645" s="25">
        <f>IF(D645="","",N(E645)*N(F645)+N(G645)*N(H645)+N(I645)*N(J645)+N(K645)*N(L645)+N(M645)*N(N645))</f>
        <v/>
      </c>
      <c r="Q645" s="18">
        <f>IF(N(X645)=0,"",IF(IF(N(F645)=0,0,IF(N(E645)&gt;0,E645*(1+F645/30),F645))=X645,IF(N(E645)&gt;0,E645&amp;" x "&amp;F645,F645&amp;" reps"),IF(IF(N(H645)=0,0,IF(N(G645)&gt;0,G645*(1+H645/30),H645))=X645,IF(N(G645)&gt;0,G645&amp;" x "&amp;H645,H645&amp;" reps"),IF(IF(N(J645)=0,0,IF(N(I645)&gt;0,I645*(1+J645/30),J645))=X645,IF(N(I645)&gt;0,I645&amp;" x "&amp;J645,J645&amp;" reps"),IF(IF(N(L645)=0,0,IF(N(K645)&gt;0,K645*(1+L645/30),L645))=X645,IF(N(K645)&gt;0,K645&amp;" x "&amp;L645,L645&amp;" reps"),IF(IF(N(N645)=0,0,IF(N(M645)&gt;0,M645*(1+N645/30),N645))=X645,IF(N(M645)&gt;0,M645&amp;" x "&amp;N645,N645&amp;" reps"),""))))))</f>
        <v/>
      </c>
      <c r="R645" s="20">
        <f>IF(N(X645)=0,"",ROUND(X645,1))</f>
        <v/>
      </c>
      <c r="S645" s="18">
        <f>IF(N(X645)=0,"",IF(AND(COUNTIFS(Log!$D$6:$D$1505,D645,Log!$B$6:$B$1505,"&lt;"&amp;B645)&gt;0,COUNTIFS(Log!$D$6:$D$1505,D645,Log!$B$6:$B$1505,"&lt;"&amp;B645,Log!$X$6:$X$1505,"&gt;="&amp;X645)=0),"New best",""))</f>
        <v/>
      </c>
      <c r="T645" s="26" t="n"/>
      <c r="U645" s="1">
        <f>IF(D645="","",IFERROR(INDEX(Exercises!$C$6:$C$105,MATCH(D645,Exercises!$B$6:$B$105,0)),"Other"))</f>
        <v/>
      </c>
      <c r="V645">
        <f>IF(B645="","",IF(COUNTIF($B$6:B645,B645)=1,1,0))</f>
        <v/>
      </c>
      <c r="W645">
        <f>IF(B645="","",B645-WEEKDAY(B645,3))</f>
        <v/>
      </c>
      <c r="X645">
        <f>IF(D645="","",MAX(IF(N(F645)=0,0,IF(N(E645)&gt;0,E645*(1+F645/30),F645)),IF(N(H645)=0,0,IF(N(G645)&gt;0,G645*(1+H645/30),H645)),IF(N(J645)=0,0,IF(N(I645)&gt;0,I645*(1+J645/30),J645)),IF(N(L645)=0,0,IF(N(K645)&gt;0,K645*(1+L645/30),L645)),IF(N(N645)=0,0,IF(N(M645)&gt;0,M645*(1+N645/30),N645))))</f>
        <v/>
      </c>
      <c r="Y645">
        <f>IF(N(X645)=0,"",X645+ROW()/1000000000)</f>
        <v/>
      </c>
      <c r="Z645">
        <f>IF(Y645="","",IF(COUNTIFS(Log!$D$6:$D$1505,D645,Log!$Y$6:$Y$1505,"&gt;"&amp;Y645)=0,1,0))</f>
        <v/>
      </c>
      <c r="AA645">
        <f>IF(OR(B645="",D645=""),"",B645+ROW()/10000000)</f>
        <v/>
      </c>
      <c r="AB645">
        <f>IF(AA645="","",IF(COUNTIFS(Log!$D$6:$D$1505,D645,Log!$AA$6:$AA$1505,"&gt;"&amp;AA645)=0,1,0))</f>
        <v/>
      </c>
      <c r="AC645">
        <f>IF(S645="New best",AA645,"")</f>
        <v/>
      </c>
      <c r="AD645">
        <f>ROW()</f>
        <v/>
      </c>
    </row>
    <row r="646">
      <c r="A646" s="1" t="n"/>
      <c r="B646" s="21" t="n"/>
      <c r="C646" s="22" t="n"/>
      <c r="D646" s="23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15">
        <f>IF(D646="","",COUNT(F646,H646,J646,L646,N646))</f>
        <v/>
      </c>
      <c r="P646" s="25">
        <f>IF(D646="","",N(E646)*N(F646)+N(G646)*N(H646)+N(I646)*N(J646)+N(K646)*N(L646)+N(M646)*N(N646))</f>
        <v/>
      </c>
      <c r="Q646" s="18">
        <f>IF(N(X646)=0,"",IF(IF(N(F646)=0,0,IF(N(E646)&gt;0,E646*(1+F646/30),F646))=X646,IF(N(E646)&gt;0,E646&amp;" x "&amp;F646,F646&amp;" reps"),IF(IF(N(H646)=0,0,IF(N(G646)&gt;0,G646*(1+H646/30),H646))=X646,IF(N(G646)&gt;0,G646&amp;" x "&amp;H646,H646&amp;" reps"),IF(IF(N(J646)=0,0,IF(N(I646)&gt;0,I646*(1+J646/30),J646))=X646,IF(N(I646)&gt;0,I646&amp;" x "&amp;J646,J646&amp;" reps"),IF(IF(N(L646)=0,0,IF(N(K646)&gt;0,K646*(1+L646/30),L646))=X646,IF(N(K646)&gt;0,K646&amp;" x "&amp;L646,L646&amp;" reps"),IF(IF(N(N646)=0,0,IF(N(M646)&gt;0,M646*(1+N646/30),N646))=X646,IF(N(M646)&gt;0,M646&amp;" x "&amp;N646,N646&amp;" reps"),""))))))</f>
        <v/>
      </c>
      <c r="R646" s="20">
        <f>IF(N(X646)=0,"",ROUND(X646,1))</f>
        <v/>
      </c>
      <c r="S646" s="18">
        <f>IF(N(X646)=0,"",IF(AND(COUNTIFS(Log!$D$6:$D$1505,D646,Log!$B$6:$B$1505,"&lt;"&amp;B646)&gt;0,COUNTIFS(Log!$D$6:$D$1505,D646,Log!$B$6:$B$1505,"&lt;"&amp;B646,Log!$X$6:$X$1505,"&gt;="&amp;X646)=0),"New best",""))</f>
        <v/>
      </c>
      <c r="T646" s="26" t="n"/>
      <c r="U646" s="1">
        <f>IF(D646="","",IFERROR(INDEX(Exercises!$C$6:$C$105,MATCH(D646,Exercises!$B$6:$B$105,0)),"Other"))</f>
        <v/>
      </c>
      <c r="V646">
        <f>IF(B646="","",IF(COUNTIF($B$6:B646,B646)=1,1,0))</f>
        <v/>
      </c>
      <c r="W646">
        <f>IF(B646="","",B646-WEEKDAY(B646,3))</f>
        <v/>
      </c>
      <c r="X646">
        <f>IF(D646="","",MAX(IF(N(F646)=0,0,IF(N(E646)&gt;0,E646*(1+F646/30),F646)),IF(N(H646)=0,0,IF(N(G646)&gt;0,G646*(1+H646/30),H646)),IF(N(J646)=0,0,IF(N(I646)&gt;0,I646*(1+J646/30),J646)),IF(N(L646)=0,0,IF(N(K646)&gt;0,K646*(1+L646/30),L646)),IF(N(N646)=0,0,IF(N(M646)&gt;0,M646*(1+N646/30),N646))))</f>
        <v/>
      </c>
      <c r="Y646">
        <f>IF(N(X646)=0,"",X646+ROW()/1000000000)</f>
        <v/>
      </c>
      <c r="Z646">
        <f>IF(Y646="","",IF(COUNTIFS(Log!$D$6:$D$1505,D646,Log!$Y$6:$Y$1505,"&gt;"&amp;Y646)=0,1,0))</f>
        <v/>
      </c>
      <c r="AA646">
        <f>IF(OR(B646="",D646=""),"",B646+ROW()/10000000)</f>
        <v/>
      </c>
      <c r="AB646">
        <f>IF(AA646="","",IF(COUNTIFS(Log!$D$6:$D$1505,D646,Log!$AA$6:$AA$1505,"&gt;"&amp;AA646)=0,1,0))</f>
        <v/>
      </c>
      <c r="AC646">
        <f>IF(S646="New best",AA646,"")</f>
        <v/>
      </c>
      <c r="AD646">
        <f>ROW()</f>
        <v/>
      </c>
    </row>
    <row r="647">
      <c r="A647" s="1" t="n"/>
      <c r="B647" s="21" t="n"/>
      <c r="C647" s="22" t="n"/>
      <c r="D647" s="23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15">
        <f>IF(D647="","",COUNT(F647,H647,J647,L647,N647))</f>
        <v/>
      </c>
      <c r="P647" s="25">
        <f>IF(D647="","",N(E647)*N(F647)+N(G647)*N(H647)+N(I647)*N(J647)+N(K647)*N(L647)+N(M647)*N(N647))</f>
        <v/>
      </c>
      <c r="Q647" s="18">
        <f>IF(N(X647)=0,"",IF(IF(N(F647)=0,0,IF(N(E647)&gt;0,E647*(1+F647/30),F647))=X647,IF(N(E647)&gt;0,E647&amp;" x "&amp;F647,F647&amp;" reps"),IF(IF(N(H647)=0,0,IF(N(G647)&gt;0,G647*(1+H647/30),H647))=X647,IF(N(G647)&gt;0,G647&amp;" x "&amp;H647,H647&amp;" reps"),IF(IF(N(J647)=0,0,IF(N(I647)&gt;0,I647*(1+J647/30),J647))=X647,IF(N(I647)&gt;0,I647&amp;" x "&amp;J647,J647&amp;" reps"),IF(IF(N(L647)=0,0,IF(N(K647)&gt;0,K647*(1+L647/30),L647))=X647,IF(N(K647)&gt;0,K647&amp;" x "&amp;L647,L647&amp;" reps"),IF(IF(N(N647)=0,0,IF(N(M647)&gt;0,M647*(1+N647/30),N647))=X647,IF(N(M647)&gt;0,M647&amp;" x "&amp;N647,N647&amp;" reps"),""))))))</f>
        <v/>
      </c>
      <c r="R647" s="20">
        <f>IF(N(X647)=0,"",ROUND(X647,1))</f>
        <v/>
      </c>
      <c r="S647" s="18">
        <f>IF(N(X647)=0,"",IF(AND(COUNTIFS(Log!$D$6:$D$1505,D647,Log!$B$6:$B$1505,"&lt;"&amp;B647)&gt;0,COUNTIFS(Log!$D$6:$D$1505,D647,Log!$B$6:$B$1505,"&lt;"&amp;B647,Log!$X$6:$X$1505,"&gt;="&amp;X647)=0),"New best",""))</f>
        <v/>
      </c>
      <c r="T647" s="26" t="n"/>
      <c r="U647" s="1">
        <f>IF(D647="","",IFERROR(INDEX(Exercises!$C$6:$C$105,MATCH(D647,Exercises!$B$6:$B$105,0)),"Other"))</f>
        <v/>
      </c>
      <c r="V647">
        <f>IF(B647="","",IF(COUNTIF($B$6:B647,B647)=1,1,0))</f>
        <v/>
      </c>
      <c r="W647">
        <f>IF(B647="","",B647-WEEKDAY(B647,3))</f>
        <v/>
      </c>
      <c r="X647">
        <f>IF(D647="","",MAX(IF(N(F647)=0,0,IF(N(E647)&gt;0,E647*(1+F647/30),F647)),IF(N(H647)=0,0,IF(N(G647)&gt;0,G647*(1+H647/30),H647)),IF(N(J647)=0,0,IF(N(I647)&gt;0,I647*(1+J647/30),J647)),IF(N(L647)=0,0,IF(N(K647)&gt;0,K647*(1+L647/30),L647)),IF(N(N647)=0,0,IF(N(M647)&gt;0,M647*(1+N647/30),N647))))</f>
        <v/>
      </c>
      <c r="Y647">
        <f>IF(N(X647)=0,"",X647+ROW()/1000000000)</f>
        <v/>
      </c>
      <c r="Z647">
        <f>IF(Y647="","",IF(COUNTIFS(Log!$D$6:$D$1505,D647,Log!$Y$6:$Y$1505,"&gt;"&amp;Y647)=0,1,0))</f>
        <v/>
      </c>
      <c r="AA647">
        <f>IF(OR(B647="",D647=""),"",B647+ROW()/10000000)</f>
        <v/>
      </c>
      <c r="AB647">
        <f>IF(AA647="","",IF(COUNTIFS(Log!$D$6:$D$1505,D647,Log!$AA$6:$AA$1505,"&gt;"&amp;AA647)=0,1,0))</f>
        <v/>
      </c>
      <c r="AC647">
        <f>IF(S647="New best",AA647,"")</f>
        <v/>
      </c>
      <c r="AD647">
        <f>ROW()</f>
        <v/>
      </c>
    </row>
    <row r="648">
      <c r="A648" s="1" t="n"/>
      <c r="B648" s="21" t="n"/>
      <c r="C648" s="22" t="n"/>
      <c r="D648" s="23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15">
        <f>IF(D648="","",COUNT(F648,H648,J648,L648,N648))</f>
        <v/>
      </c>
      <c r="P648" s="25">
        <f>IF(D648="","",N(E648)*N(F648)+N(G648)*N(H648)+N(I648)*N(J648)+N(K648)*N(L648)+N(M648)*N(N648))</f>
        <v/>
      </c>
      <c r="Q648" s="18">
        <f>IF(N(X648)=0,"",IF(IF(N(F648)=0,0,IF(N(E648)&gt;0,E648*(1+F648/30),F648))=X648,IF(N(E648)&gt;0,E648&amp;" x "&amp;F648,F648&amp;" reps"),IF(IF(N(H648)=0,0,IF(N(G648)&gt;0,G648*(1+H648/30),H648))=X648,IF(N(G648)&gt;0,G648&amp;" x "&amp;H648,H648&amp;" reps"),IF(IF(N(J648)=0,0,IF(N(I648)&gt;0,I648*(1+J648/30),J648))=X648,IF(N(I648)&gt;0,I648&amp;" x "&amp;J648,J648&amp;" reps"),IF(IF(N(L648)=0,0,IF(N(K648)&gt;0,K648*(1+L648/30),L648))=X648,IF(N(K648)&gt;0,K648&amp;" x "&amp;L648,L648&amp;" reps"),IF(IF(N(N648)=0,0,IF(N(M648)&gt;0,M648*(1+N648/30),N648))=X648,IF(N(M648)&gt;0,M648&amp;" x "&amp;N648,N648&amp;" reps"),""))))))</f>
        <v/>
      </c>
      <c r="R648" s="20">
        <f>IF(N(X648)=0,"",ROUND(X648,1))</f>
        <v/>
      </c>
      <c r="S648" s="18">
        <f>IF(N(X648)=0,"",IF(AND(COUNTIFS(Log!$D$6:$D$1505,D648,Log!$B$6:$B$1505,"&lt;"&amp;B648)&gt;0,COUNTIFS(Log!$D$6:$D$1505,D648,Log!$B$6:$B$1505,"&lt;"&amp;B648,Log!$X$6:$X$1505,"&gt;="&amp;X648)=0),"New best",""))</f>
        <v/>
      </c>
      <c r="T648" s="26" t="n"/>
      <c r="U648" s="1">
        <f>IF(D648="","",IFERROR(INDEX(Exercises!$C$6:$C$105,MATCH(D648,Exercises!$B$6:$B$105,0)),"Other"))</f>
        <v/>
      </c>
      <c r="V648">
        <f>IF(B648="","",IF(COUNTIF($B$6:B648,B648)=1,1,0))</f>
        <v/>
      </c>
      <c r="W648">
        <f>IF(B648="","",B648-WEEKDAY(B648,3))</f>
        <v/>
      </c>
      <c r="X648">
        <f>IF(D648="","",MAX(IF(N(F648)=0,0,IF(N(E648)&gt;0,E648*(1+F648/30),F648)),IF(N(H648)=0,0,IF(N(G648)&gt;0,G648*(1+H648/30),H648)),IF(N(J648)=0,0,IF(N(I648)&gt;0,I648*(1+J648/30),J648)),IF(N(L648)=0,0,IF(N(K648)&gt;0,K648*(1+L648/30),L648)),IF(N(N648)=0,0,IF(N(M648)&gt;0,M648*(1+N648/30),N648))))</f>
        <v/>
      </c>
      <c r="Y648">
        <f>IF(N(X648)=0,"",X648+ROW()/1000000000)</f>
        <v/>
      </c>
      <c r="Z648">
        <f>IF(Y648="","",IF(COUNTIFS(Log!$D$6:$D$1505,D648,Log!$Y$6:$Y$1505,"&gt;"&amp;Y648)=0,1,0))</f>
        <v/>
      </c>
      <c r="AA648">
        <f>IF(OR(B648="",D648=""),"",B648+ROW()/10000000)</f>
        <v/>
      </c>
      <c r="AB648">
        <f>IF(AA648="","",IF(COUNTIFS(Log!$D$6:$D$1505,D648,Log!$AA$6:$AA$1505,"&gt;"&amp;AA648)=0,1,0))</f>
        <v/>
      </c>
      <c r="AC648">
        <f>IF(S648="New best",AA648,"")</f>
        <v/>
      </c>
      <c r="AD648">
        <f>ROW()</f>
        <v/>
      </c>
    </row>
    <row r="649">
      <c r="A649" s="1" t="n"/>
      <c r="B649" s="21" t="n"/>
      <c r="C649" s="22" t="n"/>
      <c r="D649" s="23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15">
        <f>IF(D649="","",COUNT(F649,H649,J649,L649,N649))</f>
        <v/>
      </c>
      <c r="P649" s="25">
        <f>IF(D649="","",N(E649)*N(F649)+N(G649)*N(H649)+N(I649)*N(J649)+N(K649)*N(L649)+N(M649)*N(N649))</f>
        <v/>
      </c>
      <c r="Q649" s="18">
        <f>IF(N(X649)=0,"",IF(IF(N(F649)=0,0,IF(N(E649)&gt;0,E649*(1+F649/30),F649))=X649,IF(N(E649)&gt;0,E649&amp;" x "&amp;F649,F649&amp;" reps"),IF(IF(N(H649)=0,0,IF(N(G649)&gt;0,G649*(1+H649/30),H649))=X649,IF(N(G649)&gt;0,G649&amp;" x "&amp;H649,H649&amp;" reps"),IF(IF(N(J649)=0,0,IF(N(I649)&gt;0,I649*(1+J649/30),J649))=X649,IF(N(I649)&gt;0,I649&amp;" x "&amp;J649,J649&amp;" reps"),IF(IF(N(L649)=0,0,IF(N(K649)&gt;0,K649*(1+L649/30),L649))=X649,IF(N(K649)&gt;0,K649&amp;" x "&amp;L649,L649&amp;" reps"),IF(IF(N(N649)=0,0,IF(N(M649)&gt;0,M649*(1+N649/30),N649))=X649,IF(N(M649)&gt;0,M649&amp;" x "&amp;N649,N649&amp;" reps"),""))))))</f>
        <v/>
      </c>
      <c r="R649" s="20">
        <f>IF(N(X649)=0,"",ROUND(X649,1))</f>
        <v/>
      </c>
      <c r="S649" s="18">
        <f>IF(N(X649)=0,"",IF(AND(COUNTIFS(Log!$D$6:$D$1505,D649,Log!$B$6:$B$1505,"&lt;"&amp;B649)&gt;0,COUNTIFS(Log!$D$6:$D$1505,D649,Log!$B$6:$B$1505,"&lt;"&amp;B649,Log!$X$6:$X$1505,"&gt;="&amp;X649)=0),"New best",""))</f>
        <v/>
      </c>
      <c r="T649" s="26" t="n"/>
      <c r="U649" s="1">
        <f>IF(D649="","",IFERROR(INDEX(Exercises!$C$6:$C$105,MATCH(D649,Exercises!$B$6:$B$105,0)),"Other"))</f>
        <v/>
      </c>
      <c r="V649">
        <f>IF(B649="","",IF(COUNTIF($B$6:B649,B649)=1,1,0))</f>
        <v/>
      </c>
      <c r="W649">
        <f>IF(B649="","",B649-WEEKDAY(B649,3))</f>
        <v/>
      </c>
      <c r="X649">
        <f>IF(D649="","",MAX(IF(N(F649)=0,0,IF(N(E649)&gt;0,E649*(1+F649/30),F649)),IF(N(H649)=0,0,IF(N(G649)&gt;0,G649*(1+H649/30),H649)),IF(N(J649)=0,0,IF(N(I649)&gt;0,I649*(1+J649/30),J649)),IF(N(L649)=0,0,IF(N(K649)&gt;0,K649*(1+L649/30),L649)),IF(N(N649)=0,0,IF(N(M649)&gt;0,M649*(1+N649/30),N649))))</f>
        <v/>
      </c>
      <c r="Y649">
        <f>IF(N(X649)=0,"",X649+ROW()/1000000000)</f>
        <v/>
      </c>
      <c r="Z649">
        <f>IF(Y649="","",IF(COUNTIFS(Log!$D$6:$D$1505,D649,Log!$Y$6:$Y$1505,"&gt;"&amp;Y649)=0,1,0))</f>
        <v/>
      </c>
      <c r="AA649">
        <f>IF(OR(B649="",D649=""),"",B649+ROW()/10000000)</f>
        <v/>
      </c>
      <c r="AB649">
        <f>IF(AA649="","",IF(COUNTIFS(Log!$D$6:$D$1505,D649,Log!$AA$6:$AA$1505,"&gt;"&amp;AA649)=0,1,0))</f>
        <v/>
      </c>
      <c r="AC649">
        <f>IF(S649="New best",AA649,"")</f>
        <v/>
      </c>
      <c r="AD649">
        <f>ROW()</f>
        <v/>
      </c>
    </row>
    <row r="650">
      <c r="A650" s="1" t="n"/>
      <c r="B650" s="21" t="n"/>
      <c r="C650" s="22" t="n"/>
      <c r="D650" s="23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15">
        <f>IF(D650="","",COUNT(F650,H650,J650,L650,N650))</f>
        <v/>
      </c>
      <c r="P650" s="25">
        <f>IF(D650="","",N(E650)*N(F650)+N(G650)*N(H650)+N(I650)*N(J650)+N(K650)*N(L650)+N(M650)*N(N650))</f>
        <v/>
      </c>
      <c r="Q650" s="18">
        <f>IF(N(X650)=0,"",IF(IF(N(F650)=0,0,IF(N(E650)&gt;0,E650*(1+F650/30),F650))=X650,IF(N(E650)&gt;0,E650&amp;" x "&amp;F650,F650&amp;" reps"),IF(IF(N(H650)=0,0,IF(N(G650)&gt;0,G650*(1+H650/30),H650))=X650,IF(N(G650)&gt;0,G650&amp;" x "&amp;H650,H650&amp;" reps"),IF(IF(N(J650)=0,0,IF(N(I650)&gt;0,I650*(1+J650/30),J650))=X650,IF(N(I650)&gt;0,I650&amp;" x "&amp;J650,J650&amp;" reps"),IF(IF(N(L650)=0,0,IF(N(K650)&gt;0,K650*(1+L650/30),L650))=X650,IF(N(K650)&gt;0,K650&amp;" x "&amp;L650,L650&amp;" reps"),IF(IF(N(N650)=0,0,IF(N(M650)&gt;0,M650*(1+N650/30),N650))=X650,IF(N(M650)&gt;0,M650&amp;" x "&amp;N650,N650&amp;" reps"),""))))))</f>
        <v/>
      </c>
      <c r="R650" s="20">
        <f>IF(N(X650)=0,"",ROUND(X650,1))</f>
        <v/>
      </c>
      <c r="S650" s="18">
        <f>IF(N(X650)=0,"",IF(AND(COUNTIFS(Log!$D$6:$D$1505,D650,Log!$B$6:$B$1505,"&lt;"&amp;B650)&gt;0,COUNTIFS(Log!$D$6:$D$1505,D650,Log!$B$6:$B$1505,"&lt;"&amp;B650,Log!$X$6:$X$1505,"&gt;="&amp;X650)=0),"New best",""))</f>
        <v/>
      </c>
      <c r="T650" s="26" t="n"/>
      <c r="U650" s="1">
        <f>IF(D650="","",IFERROR(INDEX(Exercises!$C$6:$C$105,MATCH(D650,Exercises!$B$6:$B$105,0)),"Other"))</f>
        <v/>
      </c>
      <c r="V650">
        <f>IF(B650="","",IF(COUNTIF($B$6:B650,B650)=1,1,0))</f>
        <v/>
      </c>
      <c r="W650">
        <f>IF(B650="","",B650-WEEKDAY(B650,3))</f>
        <v/>
      </c>
      <c r="X650">
        <f>IF(D650="","",MAX(IF(N(F650)=0,0,IF(N(E650)&gt;0,E650*(1+F650/30),F650)),IF(N(H650)=0,0,IF(N(G650)&gt;0,G650*(1+H650/30),H650)),IF(N(J650)=0,0,IF(N(I650)&gt;0,I650*(1+J650/30),J650)),IF(N(L650)=0,0,IF(N(K650)&gt;0,K650*(1+L650/30),L650)),IF(N(N650)=0,0,IF(N(M650)&gt;0,M650*(1+N650/30),N650))))</f>
        <v/>
      </c>
      <c r="Y650">
        <f>IF(N(X650)=0,"",X650+ROW()/1000000000)</f>
        <v/>
      </c>
      <c r="Z650">
        <f>IF(Y650="","",IF(COUNTIFS(Log!$D$6:$D$1505,D650,Log!$Y$6:$Y$1505,"&gt;"&amp;Y650)=0,1,0))</f>
        <v/>
      </c>
      <c r="AA650">
        <f>IF(OR(B650="",D650=""),"",B650+ROW()/10000000)</f>
        <v/>
      </c>
      <c r="AB650">
        <f>IF(AA650="","",IF(COUNTIFS(Log!$D$6:$D$1505,D650,Log!$AA$6:$AA$1505,"&gt;"&amp;AA650)=0,1,0))</f>
        <v/>
      </c>
      <c r="AC650">
        <f>IF(S650="New best",AA650,"")</f>
        <v/>
      </c>
      <c r="AD650">
        <f>ROW()</f>
        <v/>
      </c>
    </row>
    <row r="651">
      <c r="A651" s="1" t="n"/>
      <c r="B651" s="21" t="n"/>
      <c r="C651" s="22" t="n"/>
      <c r="D651" s="23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15">
        <f>IF(D651="","",COUNT(F651,H651,J651,L651,N651))</f>
        <v/>
      </c>
      <c r="P651" s="25">
        <f>IF(D651="","",N(E651)*N(F651)+N(G651)*N(H651)+N(I651)*N(J651)+N(K651)*N(L651)+N(M651)*N(N651))</f>
        <v/>
      </c>
      <c r="Q651" s="18">
        <f>IF(N(X651)=0,"",IF(IF(N(F651)=0,0,IF(N(E651)&gt;0,E651*(1+F651/30),F651))=X651,IF(N(E651)&gt;0,E651&amp;" x "&amp;F651,F651&amp;" reps"),IF(IF(N(H651)=0,0,IF(N(G651)&gt;0,G651*(1+H651/30),H651))=X651,IF(N(G651)&gt;0,G651&amp;" x "&amp;H651,H651&amp;" reps"),IF(IF(N(J651)=0,0,IF(N(I651)&gt;0,I651*(1+J651/30),J651))=X651,IF(N(I651)&gt;0,I651&amp;" x "&amp;J651,J651&amp;" reps"),IF(IF(N(L651)=0,0,IF(N(K651)&gt;0,K651*(1+L651/30),L651))=X651,IF(N(K651)&gt;0,K651&amp;" x "&amp;L651,L651&amp;" reps"),IF(IF(N(N651)=0,0,IF(N(M651)&gt;0,M651*(1+N651/30),N651))=X651,IF(N(M651)&gt;0,M651&amp;" x "&amp;N651,N651&amp;" reps"),""))))))</f>
        <v/>
      </c>
      <c r="R651" s="20">
        <f>IF(N(X651)=0,"",ROUND(X651,1))</f>
        <v/>
      </c>
      <c r="S651" s="18">
        <f>IF(N(X651)=0,"",IF(AND(COUNTIFS(Log!$D$6:$D$1505,D651,Log!$B$6:$B$1505,"&lt;"&amp;B651)&gt;0,COUNTIFS(Log!$D$6:$D$1505,D651,Log!$B$6:$B$1505,"&lt;"&amp;B651,Log!$X$6:$X$1505,"&gt;="&amp;X651)=0),"New best",""))</f>
        <v/>
      </c>
      <c r="T651" s="26" t="n"/>
      <c r="U651" s="1">
        <f>IF(D651="","",IFERROR(INDEX(Exercises!$C$6:$C$105,MATCH(D651,Exercises!$B$6:$B$105,0)),"Other"))</f>
        <v/>
      </c>
      <c r="V651">
        <f>IF(B651="","",IF(COUNTIF($B$6:B651,B651)=1,1,0))</f>
        <v/>
      </c>
      <c r="W651">
        <f>IF(B651="","",B651-WEEKDAY(B651,3))</f>
        <v/>
      </c>
      <c r="X651">
        <f>IF(D651="","",MAX(IF(N(F651)=0,0,IF(N(E651)&gt;0,E651*(1+F651/30),F651)),IF(N(H651)=0,0,IF(N(G651)&gt;0,G651*(1+H651/30),H651)),IF(N(J651)=0,0,IF(N(I651)&gt;0,I651*(1+J651/30),J651)),IF(N(L651)=0,0,IF(N(K651)&gt;0,K651*(1+L651/30),L651)),IF(N(N651)=0,0,IF(N(M651)&gt;0,M651*(1+N651/30),N651))))</f>
        <v/>
      </c>
      <c r="Y651">
        <f>IF(N(X651)=0,"",X651+ROW()/1000000000)</f>
        <v/>
      </c>
      <c r="Z651">
        <f>IF(Y651="","",IF(COUNTIFS(Log!$D$6:$D$1505,D651,Log!$Y$6:$Y$1505,"&gt;"&amp;Y651)=0,1,0))</f>
        <v/>
      </c>
      <c r="AA651">
        <f>IF(OR(B651="",D651=""),"",B651+ROW()/10000000)</f>
        <v/>
      </c>
      <c r="AB651">
        <f>IF(AA651="","",IF(COUNTIFS(Log!$D$6:$D$1505,D651,Log!$AA$6:$AA$1505,"&gt;"&amp;AA651)=0,1,0))</f>
        <v/>
      </c>
      <c r="AC651">
        <f>IF(S651="New best",AA651,"")</f>
        <v/>
      </c>
      <c r="AD651">
        <f>ROW()</f>
        <v/>
      </c>
    </row>
    <row r="652">
      <c r="A652" s="1" t="n"/>
      <c r="B652" s="21" t="n"/>
      <c r="C652" s="22" t="n"/>
      <c r="D652" s="23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15">
        <f>IF(D652="","",COUNT(F652,H652,J652,L652,N652))</f>
        <v/>
      </c>
      <c r="P652" s="25">
        <f>IF(D652="","",N(E652)*N(F652)+N(G652)*N(H652)+N(I652)*N(J652)+N(K652)*N(L652)+N(M652)*N(N652))</f>
        <v/>
      </c>
      <c r="Q652" s="18">
        <f>IF(N(X652)=0,"",IF(IF(N(F652)=0,0,IF(N(E652)&gt;0,E652*(1+F652/30),F652))=X652,IF(N(E652)&gt;0,E652&amp;" x "&amp;F652,F652&amp;" reps"),IF(IF(N(H652)=0,0,IF(N(G652)&gt;0,G652*(1+H652/30),H652))=X652,IF(N(G652)&gt;0,G652&amp;" x "&amp;H652,H652&amp;" reps"),IF(IF(N(J652)=0,0,IF(N(I652)&gt;0,I652*(1+J652/30),J652))=X652,IF(N(I652)&gt;0,I652&amp;" x "&amp;J652,J652&amp;" reps"),IF(IF(N(L652)=0,0,IF(N(K652)&gt;0,K652*(1+L652/30),L652))=X652,IF(N(K652)&gt;0,K652&amp;" x "&amp;L652,L652&amp;" reps"),IF(IF(N(N652)=0,0,IF(N(M652)&gt;0,M652*(1+N652/30),N652))=X652,IF(N(M652)&gt;0,M652&amp;" x "&amp;N652,N652&amp;" reps"),""))))))</f>
        <v/>
      </c>
      <c r="R652" s="20">
        <f>IF(N(X652)=0,"",ROUND(X652,1))</f>
        <v/>
      </c>
      <c r="S652" s="18">
        <f>IF(N(X652)=0,"",IF(AND(COUNTIFS(Log!$D$6:$D$1505,D652,Log!$B$6:$B$1505,"&lt;"&amp;B652)&gt;0,COUNTIFS(Log!$D$6:$D$1505,D652,Log!$B$6:$B$1505,"&lt;"&amp;B652,Log!$X$6:$X$1505,"&gt;="&amp;X652)=0),"New best",""))</f>
        <v/>
      </c>
      <c r="T652" s="26" t="n"/>
      <c r="U652" s="1">
        <f>IF(D652="","",IFERROR(INDEX(Exercises!$C$6:$C$105,MATCH(D652,Exercises!$B$6:$B$105,0)),"Other"))</f>
        <v/>
      </c>
      <c r="V652">
        <f>IF(B652="","",IF(COUNTIF($B$6:B652,B652)=1,1,0))</f>
        <v/>
      </c>
      <c r="W652">
        <f>IF(B652="","",B652-WEEKDAY(B652,3))</f>
        <v/>
      </c>
      <c r="X652">
        <f>IF(D652="","",MAX(IF(N(F652)=0,0,IF(N(E652)&gt;0,E652*(1+F652/30),F652)),IF(N(H652)=0,0,IF(N(G652)&gt;0,G652*(1+H652/30),H652)),IF(N(J652)=0,0,IF(N(I652)&gt;0,I652*(1+J652/30),J652)),IF(N(L652)=0,0,IF(N(K652)&gt;0,K652*(1+L652/30),L652)),IF(N(N652)=0,0,IF(N(M652)&gt;0,M652*(1+N652/30),N652))))</f>
        <v/>
      </c>
      <c r="Y652">
        <f>IF(N(X652)=0,"",X652+ROW()/1000000000)</f>
        <v/>
      </c>
      <c r="Z652">
        <f>IF(Y652="","",IF(COUNTIFS(Log!$D$6:$D$1505,D652,Log!$Y$6:$Y$1505,"&gt;"&amp;Y652)=0,1,0))</f>
        <v/>
      </c>
      <c r="AA652">
        <f>IF(OR(B652="",D652=""),"",B652+ROW()/10000000)</f>
        <v/>
      </c>
      <c r="AB652">
        <f>IF(AA652="","",IF(COUNTIFS(Log!$D$6:$D$1505,D652,Log!$AA$6:$AA$1505,"&gt;"&amp;AA652)=0,1,0))</f>
        <v/>
      </c>
      <c r="AC652">
        <f>IF(S652="New best",AA652,"")</f>
        <v/>
      </c>
      <c r="AD652">
        <f>ROW()</f>
        <v/>
      </c>
    </row>
    <row r="653">
      <c r="A653" s="1" t="n"/>
      <c r="B653" s="21" t="n"/>
      <c r="C653" s="22" t="n"/>
      <c r="D653" s="23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15">
        <f>IF(D653="","",COUNT(F653,H653,J653,L653,N653))</f>
        <v/>
      </c>
      <c r="P653" s="25">
        <f>IF(D653="","",N(E653)*N(F653)+N(G653)*N(H653)+N(I653)*N(J653)+N(K653)*N(L653)+N(M653)*N(N653))</f>
        <v/>
      </c>
      <c r="Q653" s="18">
        <f>IF(N(X653)=0,"",IF(IF(N(F653)=0,0,IF(N(E653)&gt;0,E653*(1+F653/30),F653))=X653,IF(N(E653)&gt;0,E653&amp;" x "&amp;F653,F653&amp;" reps"),IF(IF(N(H653)=0,0,IF(N(G653)&gt;0,G653*(1+H653/30),H653))=X653,IF(N(G653)&gt;0,G653&amp;" x "&amp;H653,H653&amp;" reps"),IF(IF(N(J653)=0,0,IF(N(I653)&gt;0,I653*(1+J653/30),J653))=X653,IF(N(I653)&gt;0,I653&amp;" x "&amp;J653,J653&amp;" reps"),IF(IF(N(L653)=0,0,IF(N(K653)&gt;0,K653*(1+L653/30),L653))=X653,IF(N(K653)&gt;0,K653&amp;" x "&amp;L653,L653&amp;" reps"),IF(IF(N(N653)=0,0,IF(N(M653)&gt;0,M653*(1+N653/30),N653))=X653,IF(N(M653)&gt;0,M653&amp;" x "&amp;N653,N653&amp;" reps"),""))))))</f>
        <v/>
      </c>
      <c r="R653" s="20">
        <f>IF(N(X653)=0,"",ROUND(X653,1))</f>
        <v/>
      </c>
      <c r="S653" s="18">
        <f>IF(N(X653)=0,"",IF(AND(COUNTIFS(Log!$D$6:$D$1505,D653,Log!$B$6:$B$1505,"&lt;"&amp;B653)&gt;0,COUNTIFS(Log!$D$6:$D$1505,D653,Log!$B$6:$B$1505,"&lt;"&amp;B653,Log!$X$6:$X$1505,"&gt;="&amp;X653)=0),"New best",""))</f>
        <v/>
      </c>
      <c r="T653" s="26" t="n"/>
      <c r="U653" s="1">
        <f>IF(D653="","",IFERROR(INDEX(Exercises!$C$6:$C$105,MATCH(D653,Exercises!$B$6:$B$105,0)),"Other"))</f>
        <v/>
      </c>
      <c r="V653">
        <f>IF(B653="","",IF(COUNTIF($B$6:B653,B653)=1,1,0))</f>
        <v/>
      </c>
      <c r="W653">
        <f>IF(B653="","",B653-WEEKDAY(B653,3))</f>
        <v/>
      </c>
      <c r="X653">
        <f>IF(D653="","",MAX(IF(N(F653)=0,0,IF(N(E653)&gt;0,E653*(1+F653/30),F653)),IF(N(H653)=0,0,IF(N(G653)&gt;0,G653*(1+H653/30),H653)),IF(N(J653)=0,0,IF(N(I653)&gt;0,I653*(1+J653/30),J653)),IF(N(L653)=0,0,IF(N(K653)&gt;0,K653*(1+L653/30),L653)),IF(N(N653)=0,0,IF(N(M653)&gt;0,M653*(1+N653/30),N653))))</f>
        <v/>
      </c>
      <c r="Y653">
        <f>IF(N(X653)=0,"",X653+ROW()/1000000000)</f>
        <v/>
      </c>
      <c r="Z653">
        <f>IF(Y653="","",IF(COUNTIFS(Log!$D$6:$D$1505,D653,Log!$Y$6:$Y$1505,"&gt;"&amp;Y653)=0,1,0))</f>
        <v/>
      </c>
      <c r="AA653">
        <f>IF(OR(B653="",D653=""),"",B653+ROW()/10000000)</f>
        <v/>
      </c>
      <c r="AB653">
        <f>IF(AA653="","",IF(COUNTIFS(Log!$D$6:$D$1505,D653,Log!$AA$6:$AA$1505,"&gt;"&amp;AA653)=0,1,0))</f>
        <v/>
      </c>
      <c r="AC653">
        <f>IF(S653="New best",AA653,"")</f>
        <v/>
      </c>
      <c r="AD653">
        <f>ROW()</f>
        <v/>
      </c>
    </row>
    <row r="654">
      <c r="A654" s="1" t="n"/>
      <c r="B654" s="21" t="n"/>
      <c r="C654" s="22" t="n"/>
      <c r="D654" s="23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15">
        <f>IF(D654="","",COUNT(F654,H654,J654,L654,N654))</f>
        <v/>
      </c>
      <c r="P654" s="25">
        <f>IF(D654="","",N(E654)*N(F654)+N(G654)*N(H654)+N(I654)*N(J654)+N(K654)*N(L654)+N(M654)*N(N654))</f>
        <v/>
      </c>
      <c r="Q654" s="18">
        <f>IF(N(X654)=0,"",IF(IF(N(F654)=0,0,IF(N(E654)&gt;0,E654*(1+F654/30),F654))=X654,IF(N(E654)&gt;0,E654&amp;" x "&amp;F654,F654&amp;" reps"),IF(IF(N(H654)=0,0,IF(N(G654)&gt;0,G654*(1+H654/30),H654))=X654,IF(N(G654)&gt;0,G654&amp;" x "&amp;H654,H654&amp;" reps"),IF(IF(N(J654)=0,0,IF(N(I654)&gt;0,I654*(1+J654/30),J654))=X654,IF(N(I654)&gt;0,I654&amp;" x "&amp;J654,J654&amp;" reps"),IF(IF(N(L654)=0,0,IF(N(K654)&gt;0,K654*(1+L654/30),L654))=X654,IF(N(K654)&gt;0,K654&amp;" x "&amp;L654,L654&amp;" reps"),IF(IF(N(N654)=0,0,IF(N(M654)&gt;0,M654*(1+N654/30),N654))=X654,IF(N(M654)&gt;0,M654&amp;" x "&amp;N654,N654&amp;" reps"),""))))))</f>
        <v/>
      </c>
      <c r="R654" s="20">
        <f>IF(N(X654)=0,"",ROUND(X654,1))</f>
        <v/>
      </c>
      <c r="S654" s="18">
        <f>IF(N(X654)=0,"",IF(AND(COUNTIFS(Log!$D$6:$D$1505,D654,Log!$B$6:$B$1505,"&lt;"&amp;B654)&gt;0,COUNTIFS(Log!$D$6:$D$1505,D654,Log!$B$6:$B$1505,"&lt;"&amp;B654,Log!$X$6:$X$1505,"&gt;="&amp;X654)=0),"New best",""))</f>
        <v/>
      </c>
      <c r="T654" s="26" t="n"/>
      <c r="U654" s="1">
        <f>IF(D654="","",IFERROR(INDEX(Exercises!$C$6:$C$105,MATCH(D654,Exercises!$B$6:$B$105,0)),"Other"))</f>
        <v/>
      </c>
      <c r="V654">
        <f>IF(B654="","",IF(COUNTIF($B$6:B654,B654)=1,1,0))</f>
        <v/>
      </c>
      <c r="W654">
        <f>IF(B654="","",B654-WEEKDAY(B654,3))</f>
        <v/>
      </c>
      <c r="X654">
        <f>IF(D654="","",MAX(IF(N(F654)=0,0,IF(N(E654)&gt;0,E654*(1+F654/30),F654)),IF(N(H654)=0,0,IF(N(G654)&gt;0,G654*(1+H654/30),H654)),IF(N(J654)=0,0,IF(N(I654)&gt;0,I654*(1+J654/30),J654)),IF(N(L654)=0,0,IF(N(K654)&gt;0,K654*(1+L654/30),L654)),IF(N(N654)=0,0,IF(N(M654)&gt;0,M654*(1+N654/30),N654))))</f>
        <v/>
      </c>
      <c r="Y654">
        <f>IF(N(X654)=0,"",X654+ROW()/1000000000)</f>
        <v/>
      </c>
      <c r="Z654">
        <f>IF(Y654="","",IF(COUNTIFS(Log!$D$6:$D$1505,D654,Log!$Y$6:$Y$1505,"&gt;"&amp;Y654)=0,1,0))</f>
        <v/>
      </c>
      <c r="AA654">
        <f>IF(OR(B654="",D654=""),"",B654+ROW()/10000000)</f>
        <v/>
      </c>
      <c r="AB654">
        <f>IF(AA654="","",IF(COUNTIFS(Log!$D$6:$D$1505,D654,Log!$AA$6:$AA$1505,"&gt;"&amp;AA654)=0,1,0))</f>
        <v/>
      </c>
      <c r="AC654">
        <f>IF(S654="New best",AA654,"")</f>
        <v/>
      </c>
      <c r="AD654">
        <f>ROW()</f>
        <v/>
      </c>
    </row>
    <row r="655">
      <c r="A655" s="1" t="n"/>
      <c r="B655" s="21" t="n"/>
      <c r="C655" s="22" t="n"/>
      <c r="D655" s="23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15">
        <f>IF(D655="","",COUNT(F655,H655,J655,L655,N655))</f>
        <v/>
      </c>
      <c r="P655" s="25">
        <f>IF(D655="","",N(E655)*N(F655)+N(G655)*N(H655)+N(I655)*N(J655)+N(K655)*N(L655)+N(M655)*N(N655))</f>
        <v/>
      </c>
      <c r="Q655" s="18">
        <f>IF(N(X655)=0,"",IF(IF(N(F655)=0,0,IF(N(E655)&gt;0,E655*(1+F655/30),F655))=X655,IF(N(E655)&gt;0,E655&amp;" x "&amp;F655,F655&amp;" reps"),IF(IF(N(H655)=0,0,IF(N(G655)&gt;0,G655*(1+H655/30),H655))=X655,IF(N(G655)&gt;0,G655&amp;" x "&amp;H655,H655&amp;" reps"),IF(IF(N(J655)=0,0,IF(N(I655)&gt;0,I655*(1+J655/30),J655))=X655,IF(N(I655)&gt;0,I655&amp;" x "&amp;J655,J655&amp;" reps"),IF(IF(N(L655)=0,0,IF(N(K655)&gt;0,K655*(1+L655/30),L655))=X655,IF(N(K655)&gt;0,K655&amp;" x "&amp;L655,L655&amp;" reps"),IF(IF(N(N655)=0,0,IF(N(M655)&gt;0,M655*(1+N655/30),N655))=X655,IF(N(M655)&gt;0,M655&amp;" x "&amp;N655,N655&amp;" reps"),""))))))</f>
        <v/>
      </c>
      <c r="R655" s="20">
        <f>IF(N(X655)=0,"",ROUND(X655,1))</f>
        <v/>
      </c>
      <c r="S655" s="18">
        <f>IF(N(X655)=0,"",IF(AND(COUNTIFS(Log!$D$6:$D$1505,D655,Log!$B$6:$B$1505,"&lt;"&amp;B655)&gt;0,COUNTIFS(Log!$D$6:$D$1505,D655,Log!$B$6:$B$1505,"&lt;"&amp;B655,Log!$X$6:$X$1505,"&gt;="&amp;X655)=0),"New best",""))</f>
        <v/>
      </c>
      <c r="T655" s="26" t="n"/>
      <c r="U655" s="1">
        <f>IF(D655="","",IFERROR(INDEX(Exercises!$C$6:$C$105,MATCH(D655,Exercises!$B$6:$B$105,0)),"Other"))</f>
        <v/>
      </c>
      <c r="V655">
        <f>IF(B655="","",IF(COUNTIF($B$6:B655,B655)=1,1,0))</f>
        <v/>
      </c>
      <c r="W655">
        <f>IF(B655="","",B655-WEEKDAY(B655,3))</f>
        <v/>
      </c>
      <c r="X655">
        <f>IF(D655="","",MAX(IF(N(F655)=0,0,IF(N(E655)&gt;0,E655*(1+F655/30),F655)),IF(N(H655)=0,0,IF(N(G655)&gt;0,G655*(1+H655/30),H655)),IF(N(J655)=0,0,IF(N(I655)&gt;0,I655*(1+J655/30),J655)),IF(N(L655)=0,0,IF(N(K655)&gt;0,K655*(1+L655/30),L655)),IF(N(N655)=0,0,IF(N(M655)&gt;0,M655*(1+N655/30),N655))))</f>
        <v/>
      </c>
      <c r="Y655">
        <f>IF(N(X655)=0,"",X655+ROW()/1000000000)</f>
        <v/>
      </c>
      <c r="Z655">
        <f>IF(Y655="","",IF(COUNTIFS(Log!$D$6:$D$1505,D655,Log!$Y$6:$Y$1505,"&gt;"&amp;Y655)=0,1,0))</f>
        <v/>
      </c>
      <c r="AA655">
        <f>IF(OR(B655="",D655=""),"",B655+ROW()/10000000)</f>
        <v/>
      </c>
      <c r="AB655">
        <f>IF(AA655="","",IF(COUNTIFS(Log!$D$6:$D$1505,D655,Log!$AA$6:$AA$1505,"&gt;"&amp;AA655)=0,1,0))</f>
        <v/>
      </c>
      <c r="AC655">
        <f>IF(S655="New best",AA655,"")</f>
        <v/>
      </c>
      <c r="AD655">
        <f>ROW()</f>
        <v/>
      </c>
    </row>
    <row r="656">
      <c r="A656" s="1" t="n"/>
      <c r="B656" s="21" t="n"/>
      <c r="C656" s="22" t="n"/>
      <c r="D656" s="23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15">
        <f>IF(D656="","",COUNT(F656,H656,J656,L656,N656))</f>
        <v/>
      </c>
      <c r="P656" s="25">
        <f>IF(D656="","",N(E656)*N(F656)+N(G656)*N(H656)+N(I656)*N(J656)+N(K656)*N(L656)+N(M656)*N(N656))</f>
        <v/>
      </c>
      <c r="Q656" s="18">
        <f>IF(N(X656)=0,"",IF(IF(N(F656)=0,0,IF(N(E656)&gt;0,E656*(1+F656/30),F656))=X656,IF(N(E656)&gt;0,E656&amp;" x "&amp;F656,F656&amp;" reps"),IF(IF(N(H656)=0,0,IF(N(G656)&gt;0,G656*(1+H656/30),H656))=X656,IF(N(G656)&gt;0,G656&amp;" x "&amp;H656,H656&amp;" reps"),IF(IF(N(J656)=0,0,IF(N(I656)&gt;0,I656*(1+J656/30),J656))=X656,IF(N(I656)&gt;0,I656&amp;" x "&amp;J656,J656&amp;" reps"),IF(IF(N(L656)=0,0,IF(N(K656)&gt;0,K656*(1+L656/30),L656))=X656,IF(N(K656)&gt;0,K656&amp;" x "&amp;L656,L656&amp;" reps"),IF(IF(N(N656)=0,0,IF(N(M656)&gt;0,M656*(1+N656/30),N656))=X656,IF(N(M656)&gt;0,M656&amp;" x "&amp;N656,N656&amp;" reps"),""))))))</f>
        <v/>
      </c>
      <c r="R656" s="20">
        <f>IF(N(X656)=0,"",ROUND(X656,1))</f>
        <v/>
      </c>
      <c r="S656" s="18">
        <f>IF(N(X656)=0,"",IF(AND(COUNTIFS(Log!$D$6:$D$1505,D656,Log!$B$6:$B$1505,"&lt;"&amp;B656)&gt;0,COUNTIFS(Log!$D$6:$D$1505,D656,Log!$B$6:$B$1505,"&lt;"&amp;B656,Log!$X$6:$X$1505,"&gt;="&amp;X656)=0),"New best",""))</f>
        <v/>
      </c>
      <c r="T656" s="26" t="n"/>
      <c r="U656" s="1">
        <f>IF(D656="","",IFERROR(INDEX(Exercises!$C$6:$C$105,MATCH(D656,Exercises!$B$6:$B$105,0)),"Other"))</f>
        <v/>
      </c>
      <c r="V656">
        <f>IF(B656="","",IF(COUNTIF($B$6:B656,B656)=1,1,0))</f>
        <v/>
      </c>
      <c r="W656">
        <f>IF(B656="","",B656-WEEKDAY(B656,3))</f>
        <v/>
      </c>
      <c r="X656">
        <f>IF(D656="","",MAX(IF(N(F656)=0,0,IF(N(E656)&gt;0,E656*(1+F656/30),F656)),IF(N(H656)=0,0,IF(N(G656)&gt;0,G656*(1+H656/30),H656)),IF(N(J656)=0,0,IF(N(I656)&gt;0,I656*(1+J656/30),J656)),IF(N(L656)=0,0,IF(N(K656)&gt;0,K656*(1+L656/30),L656)),IF(N(N656)=0,0,IF(N(M656)&gt;0,M656*(1+N656/30),N656))))</f>
        <v/>
      </c>
      <c r="Y656">
        <f>IF(N(X656)=0,"",X656+ROW()/1000000000)</f>
        <v/>
      </c>
      <c r="Z656">
        <f>IF(Y656="","",IF(COUNTIFS(Log!$D$6:$D$1505,D656,Log!$Y$6:$Y$1505,"&gt;"&amp;Y656)=0,1,0))</f>
        <v/>
      </c>
      <c r="AA656">
        <f>IF(OR(B656="",D656=""),"",B656+ROW()/10000000)</f>
        <v/>
      </c>
      <c r="AB656">
        <f>IF(AA656="","",IF(COUNTIFS(Log!$D$6:$D$1505,D656,Log!$AA$6:$AA$1505,"&gt;"&amp;AA656)=0,1,0))</f>
        <v/>
      </c>
      <c r="AC656">
        <f>IF(S656="New best",AA656,"")</f>
        <v/>
      </c>
      <c r="AD656">
        <f>ROW()</f>
        <v/>
      </c>
    </row>
    <row r="657">
      <c r="A657" s="1" t="n"/>
      <c r="B657" s="21" t="n"/>
      <c r="C657" s="22" t="n"/>
      <c r="D657" s="23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15">
        <f>IF(D657="","",COUNT(F657,H657,J657,L657,N657))</f>
        <v/>
      </c>
      <c r="P657" s="25">
        <f>IF(D657="","",N(E657)*N(F657)+N(G657)*N(H657)+N(I657)*N(J657)+N(K657)*N(L657)+N(M657)*N(N657))</f>
        <v/>
      </c>
      <c r="Q657" s="18">
        <f>IF(N(X657)=0,"",IF(IF(N(F657)=0,0,IF(N(E657)&gt;0,E657*(1+F657/30),F657))=X657,IF(N(E657)&gt;0,E657&amp;" x "&amp;F657,F657&amp;" reps"),IF(IF(N(H657)=0,0,IF(N(G657)&gt;0,G657*(1+H657/30),H657))=X657,IF(N(G657)&gt;0,G657&amp;" x "&amp;H657,H657&amp;" reps"),IF(IF(N(J657)=0,0,IF(N(I657)&gt;0,I657*(1+J657/30),J657))=X657,IF(N(I657)&gt;0,I657&amp;" x "&amp;J657,J657&amp;" reps"),IF(IF(N(L657)=0,0,IF(N(K657)&gt;0,K657*(1+L657/30),L657))=X657,IF(N(K657)&gt;0,K657&amp;" x "&amp;L657,L657&amp;" reps"),IF(IF(N(N657)=0,0,IF(N(M657)&gt;0,M657*(1+N657/30),N657))=X657,IF(N(M657)&gt;0,M657&amp;" x "&amp;N657,N657&amp;" reps"),""))))))</f>
        <v/>
      </c>
      <c r="R657" s="20">
        <f>IF(N(X657)=0,"",ROUND(X657,1))</f>
        <v/>
      </c>
      <c r="S657" s="18">
        <f>IF(N(X657)=0,"",IF(AND(COUNTIFS(Log!$D$6:$D$1505,D657,Log!$B$6:$B$1505,"&lt;"&amp;B657)&gt;0,COUNTIFS(Log!$D$6:$D$1505,D657,Log!$B$6:$B$1505,"&lt;"&amp;B657,Log!$X$6:$X$1505,"&gt;="&amp;X657)=0),"New best",""))</f>
        <v/>
      </c>
      <c r="T657" s="26" t="n"/>
      <c r="U657" s="1">
        <f>IF(D657="","",IFERROR(INDEX(Exercises!$C$6:$C$105,MATCH(D657,Exercises!$B$6:$B$105,0)),"Other"))</f>
        <v/>
      </c>
      <c r="V657">
        <f>IF(B657="","",IF(COUNTIF($B$6:B657,B657)=1,1,0))</f>
        <v/>
      </c>
      <c r="W657">
        <f>IF(B657="","",B657-WEEKDAY(B657,3))</f>
        <v/>
      </c>
      <c r="X657">
        <f>IF(D657="","",MAX(IF(N(F657)=0,0,IF(N(E657)&gt;0,E657*(1+F657/30),F657)),IF(N(H657)=0,0,IF(N(G657)&gt;0,G657*(1+H657/30),H657)),IF(N(J657)=0,0,IF(N(I657)&gt;0,I657*(1+J657/30),J657)),IF(N(L657)=0,0,IF(N(K657)&gt;0,K657*(1+L657/30),L657)),IF(N(N657)=0,0,IF(N(M657)&gt;0,M657*(1+N657/30),N657))))</f>
        <v/>
      </c>
      <c r="Y657">
        <f>IF(N(X657)=0,"",X657+ROW()/1000000000)</f>
        <v/>
      </c>
      <c r="Z657">
        <f>IF(Y657="","",IF(COUNTIFS(Log!$D$6:$D$1505,D657,Log!$Y$6:$Y$1505,"&gt;"&amp;Y657)=0,1,0))</f>
        <v/>
      </c>
      <c r="AA657">
        <f>IF(OR(B657="",D657=""),"",B657+ROW()/10000000)</f>
        <v/>
      </c>
      <c r="AB657">
        <f>IF(AA657="","",IF(COUNTIFS(Log!$D$6:$D$1505,D657,Log!$AA$6:$AA$1505,"&gt;"&amp;AA657)=0,1,0))</f>
        <v/>
      </c>
      <c r="AC657">
        <f>IF(S657="New best",AA657,"")</f>
        <v/>
      </c>
      <c r="AD657">
        <f>ROW()</f>
        <v/>
      </c>
    </row>
    <row r="658">
      <c r="A658" s="1" t="n"/>
      <c r="B658" s="21" t="n"/>
      <c r="C658" s="22" t="n"/>
      <c r="D658" s="23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15">
        <f>IF(D658="","",COUNT(F658,H658,J658,L658,N658))</f>
        <v/>
      </c>
      <c r="P658" s="25">
        <f>IF(D658="","",N(E658)*N(F658)+N(G658)*N(H658)+N(I658)*N(J658)+N(K658)*N(L658)+N(M658)*N(N658))</f>
        <v/>
      </c>
      <c r="Q658" s="18">
        <f>IF(N(X658)=0,"",IF(IF(N(F658)=0,0,IF(N(E658)&gt;0,E658*(1+F658/30),F658))=X658,IF(N(E658)&gt;0,E658&amp;" x "&amp;F658,F658&amp;" reps"),IF(IF(N(H658)=0,0,IF(N(G658)&gt;0,G658*(1+H658/30),H658))=X658,IF(N(G658)&gt;0,G658&amp;" x "&amp;H658,H658&amp;" reps"),IF(IF(N(J658)=0,0,IF(N(I658)&gt;0,I658*(1+J658/30),J658))=X658,IF(N(I658)&gt;0,I658&amp;" x "&amp;J658,J658&amp;" reps"),IF(IF(N(L658)=0,0,IF(N(K658)&gt;0,K658*(1+L658/30),L658))=X658,IF(N(K658)&gt;0,K658&amp;" x "&amp;L658,L658&amp;" reps"),IF(IF(N(N658)=0,0,IF(N(M658)&gt;0,M658*(1+N658/30),N658))=X658,IF(N(M658)&gt;0,M658&amp;" x "&amp;N658,N658&amp;" reps"),""))))))</f>
        <v/>
      </c>
      <c r="R658" s="20">
        <f>IF(N(X658)=0,"",ROUND(X658,1))</f>
        <v/>
      </c>
      <c r="S658" s="18">
        <f>IF(N(X658)=0,"",IF(AND(COUNTIFS(Log!$D$6:$D$1505,D658,Log!$B$6:$B$1505,"&lt;"&amp;B658)&gt;0,COUNTIFS(Log!$D$6:$D$1505,D658,Log!$B$6:$B$1505,"&lt;"&amp;B658,Log!$X$6:$X$1505,"&gt;="&amp;X658)=0),"New best",""))</f>
        <v/>
      </c>
      <c r="T658" s="26" t="n"/>
      <c r="U658" s="1">
        <f>IF(D658="","",IFERROR(INDEX(Exercises!$C$6:$C$105,MATCH(D658,Exercises!$B$6:$B$105,0)),"Other"))</f>
        <v/>
      </c>
      <c r="V658">
        <f>IF(B658="","",IF(COUNTIF($B$6:B658,B658)=1,1,0))</f>
        <v/>
      </c>
      <c r="W658">
        <f>IF(B658="","",B658-WEEKDAY(B658,3))</f>
        <v/>
      </c>
      <c r="X658">
        <f>IF(D658="","",MAX(IF(N(F658)=0,0,IF(N(E658)&gt;0,E658*(1+F658/30),F658)),IF(N(H658)=0,0,IF(N(G658)&gt;0,G658*(1+H658/30),H658)),IF(N(J658)=0,0,IF(N(I658)&gt;0,I658*(1+J658/30),J658)),IF(N(L658)=0,0,IF(N(K658)&gt;0,K658*(1+L658/30),L658)),IF(N(N658)=0,0,IF(N(M658)&gt;0,M658*(1+N658/30),N658))))</f>
        <v/>
      </c>
      <c r="Y658">
        <f>IF(N(X658)=0,"",X658+ROW()/1000000000)</f>
        <v/>
      </c>
      <c r="Z658">
        <f>IF(Y658="","",IF(COUNTIFS(Log!$D$6:$D$1505,D658,Log!$Y$6:$Y$1505,"&gt;"&amp;Y658)=0,1,0))</f>
        <v/>
      </c>
      <c r="AA658">
        <f>IF(OR(B658="",D658=""),"",B658+ROW()/10000000)</f>
        <v/>
      </c>
      <c r="AB658">
        <f>IF(AA658="","",IF(COUNTIFS(Log!$D$6:$D$1505,D658,Log!$AA$6:$AA$1505,"&gt;"&amp;AA658)=0,1,0))</f>
        <v/>
      </c>
      <c r="AC658">
        <f>IF(S658="New best",AA658,"")</f>
        <v/>
      </c>
      <c r="AD658">
        <f>ROW()</f>
        <v/>
      </c>
    </row>
    <row r="659">
      <c r="A659" s="1" t="n"/>
      <c r="B659" s="21" t="n"/>
      <c r="C659" s="22" t="n"/>
      <c r="D659" s="23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15">
        <f>IF(D659="","",COUNT(F659,H659,J659,L659,N659))</f>
        <v/>
      </c>
      <c r="P659" s="25">
        <f>IF(D659="","",N(E659)*N(F659)+N(G659)*N(H659)+N(I659)*N(J659)+N(K659)*N(L659)+N(M659)*N(N659))</f>
        <v/>
      </c>
      <c r="Q659" s="18">
        <f>IF(N(X659)=0,"",IF(IF(N(F659)=0,0,IF(N(E659)&gt;0,E659*(1+F659/30),F659))=X659,IF(N(E659)&gt;0,E659&amp;" x "&amp;F659,F659&amp;" reps"),IF(IF(N(H659)=0,0,IF(N(G659)&gt;0,G659*(1+H659/30),H659))=X659,IF(N(G659)&gt;0,G659&amp;" x "&amp;H659,H659&amp;" reps"),IF(IF(N(J659)=0,0,IF(N(I659)&gt;0,I659*(1+J659/30),J659))=X659,IF(N(I659)&gt;0,I659&amp;" x "&amp;J659,J659&amp;" reps"),IF(IF(N(L659)=0,0,IF(N(K659)&gt;0,K659*(1+L659/30),L659))=X659,IF(N(K659)&gt;0,K659&amp;" x "&amp;L659,L659&amp;" reps"),IF(IF(N(N659)=0,0,IF(N(M659)&gt;0,M659*(1+N659/30),N659))=X659,IF(N(M659)&gt;0,M659&amp;" x "&amp;N659,N659&amp;" reps"),""))))))</f>
        <v/>
      </c>
      <c r="R659" s="20">
        <f>IF(N(X659)=0,"",ROUND(X659,1))</f>
        <v/>
      </c>
      <c r="S659" s="18">
        <f>IF(N(X659)=0,"",IF(AND(COUNTIFS(Log!$D$6:$D$1505,D659,Log!$B$6:$B$1505,"&lt;"&amp;B659)&gt;0,COUNTIFS(Log!$D$6:$D$1505,D659,Log!$B$6:$B$1505,"&lt;"&amp;B659,Log!$X$6:$X$1505,"&gt;="&amp;X659)=0),"New best",""))</f>
        <v/>
      </c>
      <c r="T659" s="26" t="n"/>
      <c r="U659" s="1">
        <f>IF(D659="","",IFERROR(INDEX(Exercises!$C$6:$C$105,MATCH(D659,Exercises!$B$6:$B$105,0)),"Other"))</f>
        <v/>
      </c>
      <c r="V659">
        <f>IF(B659="","",IF(COUNTIF($B$6:B659,B659)=1,1,0))</f>
        <v/>
      </c>
      <c r="W659">
        <f>IF(B659="","",B659-WEEKDAY(B659,3))</f>
        <v/>
      </c>
      <c r="X659">
        <f>IF(D659="","",MAX(IF(N(F659)=0,0,IF(N(E659)&gt;0,E659*(1+F659/30),F659)),IF(N(H659)=0,0,IF(N(G659)&gt;0,G659*(1+H659/30),H659)),IF(N(J659)=0,0,IF(N(I659)&gt;0,I659*(1+J659/30),J659)),IF(N(L659)=0,0,IF(N(K659)&gt;0,K659*(1+L659/30),L659)),IF(N(N659)=0,0,IF(N(M659)&gt;0,M659*(1+N659/30),N659))))</f>
        <v/>
      </c>
      <c r="Y659">
        <f>IF(N(X659)=0,"",X659+ROW()/1000000000)</f>
        <v/>
      </c>
      <c r="Z659">
        <f>IF(Y659="","",IF(COUNTIFS(Log!$D$6:$D$1505,D659,Log!$Y$6:$Y$1505,"&gt;"&amp;Y659)=0,1,0))</f>
        <v/>
      </c>
      <c r="AA659">
        <f>IF(OR(B659="",D659=""),"",B659+ROW()/10000000)</f>
        <v/>
      </c>
      <c r="AB659">
        <f>IF(AA659="","",IF(COUNTIFS(Log!$D$6:$D$1505,D659,Log!$AA$6:$AA$1505,"&gt;"&amp;AA659)=0,1,0))</f>
        <v/>
      </c>
      <c r="AC659">
        <f>IF(S659="New best",AA659,"")</f>
        <v/>
      </c>
      <c r="AD659">
        <f>ROW()</f>
        <v/>
      </c>
    </row>
    <row r="660">
      <c r="A660" s="1" t="n"/>
      <c r="B660" s="21" t="n"/>
      <c r="C660" s="22" t="n"/>
      <c r="D660" s="23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15">
        <f>IF(D660="","",COUNT(F660,H660,J660,L660,N660))</f>
        <v/>
      </c>
      <c r="P660" s="25">
        <f>IF(D660="","",N(E660)*N(F660)+N(G660)*N(H660)+N(I660)*N(J660)+N(K660)*N(L660)+N(M660)*N(N660))</f>
        <v/>
      </c>
      <c r="Q660" s="18">
        <f>IF(N(X660)=0,"",IF(IF(N(F660)=0,0,IF(N(E660)&gt;0,E660*(1+F660/30),F660))=X660,IF(N(E660)&gt;0,E660&amp;" x "&amp;F660,F660&amp;" reps"),IF(IF(N(H660)=0,0,IF(N(G660)&gt;0,G660*(1+H660/30),H660))=X660,IF(N(G660)&gt;0,G660&amp;" x "&amp;H660,H660&amp;" reps"),IF(IF(N(J660)=0,0,IF(N(I660)&gt;0,I660*(1+J660/30),J660))=X660,IF(N(I660)&gt;0,I660&amp;" x "&amp;J660,J660&amp;" reps"),IF(IF(N(L660)=0,0,IF(N(K660)&gt;0,K660*(1+L660/30),L660))=X660,IF(N(K660)&gt;0,K660&amp;" x "&amp;L660,L660&amp;" reps"),IF(IF(N(N660)=0,0,IF(N(M660)&gt;0,M660*(1+N660/30),N660))=X660,IF(N(M660)&gt;0,M660&amp;" x "&amp;N660,N660&amp;" reps"),""))))))</f>
        <v/>
      </c>
      <c r="R660" s="20">
        <f>IF(N(X660)=0,"",ROUND(X660,1))</f>
        <v/>
      </c>
      <c r="S660" s="18">
        <f>IF(N(X660)=0,"",IF(AND(COUNTIFS(Log!$D$6:$D$1505,D660,Log!$B$6:$B$1505,"&lt;"&amp;B660)&gt;0,COUNTIFS(Log!$D$6:$D$1505,D660,Log!$B$6:$B$1505,"&lt;"&amp;B660,Log!$X$6:$X$1505,"&gt;="&amp;X660)=0),"New best",""))</f>
        <v/>
      </c>
      <c r="T660" s="26" t="n"/>
      <c r="U660" s="1">
        <f>IF(D660="","",IFERROR(INDEX(Exercises!$C$6:$C$105,MATCH(D660,Exercises!$B$6:$B$105,0)),"Other"))</f>
        <v/>
      </c>
      <c r="V660">
        <f>IF(B660="","",IF(COUNTIF($B$6:B660,B660)=1,1,0))</f>
        <v/>
      </c>
      <c r="W660">
        <f>IF(B660="","",B660-WEEKDAY(B660,3))</f>
        <v/>
      </c>
      <c r="X660">
        <f>IF(D660="","",MAX(IF(N(F660)=0,0,IF(N(E660)&gt;0,E660*(1+F660/30),F660)),IF(N(H660)=0,0,IF(N(G660)&gt;0,G660*(1+H660/30),H660)),IF(N(J660)=0,0,IF(N(I660)&gt;0,I660*(1+J660/30),J660)),IF(N(L660)=0,0,IF(N(K660)&gt;0,K660*(1+L660/30),L660)),IF(N(N660)=0,0,IF(N(M660)&gt;0,M660*(1+N660/30),N660))))</f>
        <v/>
      </c>
      <c r="Y660">
        <f>IF(N(X660)=0,"",X660+ROW()/1000000000)</f>
        <v/>
      </c>
      <c r="Z660">
        <f>IF(Y660="","",IF(COUNTIFS(Log!$D$6:$D$1505,D660,Log!$Y$6:$Y$1505,"&gt;"&amp;Y660)=0,1,0))</f>
        <v/>
      </c>
      <c r="AA660">
        <f>IF(OR(B660="",D660=""),"",B660+ROW()/10000000)</f>
        <v/>
      </c>
      <c r="AB660">
        <f>IF(AA660="","",IF(COUNTIFS(Log!$D$6:$D$1505,D660,Log!$AA$6:$AA$1505,"&gt;"&amp;AA660)=0,1,0))</f>
        <v/>
      </c>
      <c r="AC660">
        <f>IF(S660="New best",AA660,"")</f>
        <v/>
      </c>
      <c r="AD660">
        <f>ROW()</f>
        <v/>
      </c>
    </row>
    <row r="661">
      <c r="A661" s="1" t="n"/>
      <c r="B661" s="21" t="n"/>
      <c r="C661" s="22" t="n"/>
      <c r="D661" s="23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15">
        <f>IF(D661="","",COUNT(F661,H661,J661,L661,N661))</f>
        <v/>
      </c>
      <c r="P661" s="25">
        <f>IF(D661="","",N(E661)*N(F661)+N(G661)*N(H661)+N(I661)*N(J661)+N(K661)*N(L661)+N(M661)*N(N661))</f>
        <v/>
      </c>
      <c r="Q661" s="18">
        <f>IF(N(X661)=0,"",IF(IF(N(F661)=0,0,IF(N(E661)&gt;0,E661*(1+F661/30),F661))=X661,IF(N(E661)&gt;0,E661&amp;" x "&amp;F661,F661&amp;" reps"),IF(IF(N(H661)=0,0,IF(N(G661)&gt;0,G661*(1+H661/30),H661))=X661,IF(N(G661)&gt;0,G661&amp;" x "&amp;H661,H661&amp;" reps"),IF(IF(N(J661)=0,0,IF(N(I661)&gt;0,I661*(1+J661/30),J661))=X661,IF(N(I661)&gt;0,I661&amp;" x "&amp;J661,J661&amp;" reps"),IF(IF(N(L661)=0,0,IF(N(K661)&gt;0,K661*(1+L661/30),L661))=X661,IF(N(K661)&gt;0,K661&amp;" x "&amp;L661,L661&amp;" reps"),IF(IF(N(N661)=0,0,IF(N(M661)&gt;0,M661*(1+N661/30),N661))=X661,IF(N(M661)&gt;0,M661&amp;" x "&amp;N661,N661&amp;" reps"),""))))))</f>
        <v/>
      </c>
      <c r="R661" s="20">
        <f>IF(N(X661)=0,"",ROUND(X661,1))</f>
        <v/>
      </c>
      <c r="S661" s="18">
        <f>IF(N(X661)=0,"",IF(AND(COUNTIFS(Log!$D$6:$D$1505,D661,Log!$B$6:$B$1505,"&lt;"&amp;B661)&gt;0,COUNTIFS(Log!$D$6:$D$1505,D661,Log!$B$6:$B$1505,"&lt;"&amp;B661,Log!$X$6:$X$1505,"&gt;="&amp;X661)=0),"New best",""))</f>
        <v/>
      </c>
      <c r="T661" s="26" t="n"/>
      <c r="U661" s="1">
        <f>IF(D661="","",IFERROR(INDEX(Exercises!$C$6:$C$105,MATCH(D661,Exercises!$B$6:$B$105,0)),"Other"))</f>
        <v/>
      </c>
      <c r="V661">
        <f>IF(B661="","",IF(COUNTIF($B$6:B661,B661)=1,1,0))</f>
        <v/>
      </c>
      <c r="W661">
        <f>IF(B661="","",B661-WEEKDAY(B661,3))</f>
        <v/>
      </c>
      <c r="X661">
        <f>IF(D661="","",MAX(IF(N(F661)=0,0,IF(N(E661)&gt;0,E661*(1+F661/30),F661)),IF(N(H661)=0,0,IF(N(G661)&gt;0,G661*(1+H661/30),H661)),IF(N(J661)=0,0,IF(N(I661)&gt;0,I661*(1+J661/30),J661)),IF(N(L661)=0,0,IF(N(K661)&gt;0,K661*(1+L661/30),L661)),IF(N(N661)=0,0,IF(N(M661)&gt;0,M661*(1+N661/30),N661))))</f>
        <v/>
      </c>
      <c r="Y661">
        <f>IF(N(X661)=0,"",X661+ROW()/1000000000)</f>
        <v/>
      </c>
      <c r="Z661">
        <f>IF(Y661="","",IF(COUNTIFS(Log!$D$6:$D$1505,D661,Log!$Y$6:$Y$1505,"&gt;"&amp;Y661)=0,1,0))</f>
        <v/>
      </c>
      <c r="AA661">
        <f>IF(OR(B661="",D661=""),"",B661+ROW()/10000000)</f>
        <v/>
      </c>
      <c r="AB661">
        <f>IF(AA661="","",IF(COUNTIFS(Log!$D$6:$D$1505,D661,Log!$AA$6:$AA$1505,"&gt;"&amp;AA661)=0,1,0))</f>
        <v/>
      </c>
      <c r="AC661">
        <f>IF(S661="New best",AA661,"")</f>
        <v/>
      </c>
      <c r="AD661">
        <f>ROW()</f>
        <v/>
      </c>
    </row>
    <row r="662">
      <c r="A662" s="1" t="n"/>
      <c r="B662" s="21" t="n"/>
      <c r="C662" s="22" t="n"/>
      <c r="D662" s="23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15">
        <f>IF(D662="","",COUNT(F662,H662,J662,L662,N662))</f>
        <v/>
      </c>
      <c r="P662" s="25">
        <f>IF(D662="","",N(E662)*N(F662)+N(G662)*N(H662)+N(I662)*N(J662)+N(K662)*N(L662)+N(M662)*N(N662))</f>
        <v/>
      </c>
      <c r="Q662" s="18">
        <f>IF(N(X662)=0,"",IF(IF(N(F662)=0,0,IF(N(E662)&gt;0,E662*(1+F662/30),F662))=X662,IF(N(E662)&gt;0,E662&amp;" x "&amp;F662,F662&amp;" reps"),IF(IF(N(H662)=0,0,IF(N(G662)&gt;0,G662*(1+H662/30),H662))=X662,IF(N(G662)&gt;0,G662&amp;" x "&amp;H662,H662&amp;" reps"),IF(IF(N(J662)=0,0,IF(N(I662)&gt;0,I662*(1+J662/30),J662))=X662,IF(N(I662)&gt;0,I662&amp;" x "&amp;J662,J662&amp;" reps"),IF(IF(N(L662)=0,0,IF(N(K662)&gt;0,K662*(1+L662/30),L662))=X662,IF(N(K662)&gt;0,K662&amp;" x "&amp;L662,L662&amp;" reps"),IF(IF(N(N662)=0,0,IF(N(M662)&gt;0,M662*(1+N662/30),N662))=X662,IF(N(M662)&gt;0,M662&amp;" x "&amp;N662,N662&amp;" reps"),""))))))</f>
        <v/>
      </c>
      <c r="R662" s="20">
        <f>IF(N(X662)=0,"",ROUND(X662,1))</f>
        <v/>
      </c>
      <c r="S662" s="18">
        <f>IF(N(X662)=0,"",IF(AND(COUNTIFS(Log!$D$6:$D$1505,D662,Log!$B$6:$B$1505,"&lt;"&amp;B662)&gt;0,COUNTIFS(Log!$D$6:$D$1505,D662,Log!$B$6:$B$1505,"&lt;"&amp;B662,Log!$X$6:$X$1505,"&gt;="&amp;X662)=0),"New best",""))</f>
        <v/>
      </c>
      <c r="T662" s="26" t="n"/>
      <c r="U662" s="1">
        <f>IF(D662="","",IFERROR(INDEX(Exercises!$C$6:$C$105,MATCH(D662,Exercises!$B$6:$B$105,0)),"Other"))</f>
        <v/>
      </c>
      <c r="V662">
        <f>IF(B662="","",IF(COUNTIF($B$6:B662,B662)=1,1,0))</f>
        <v/>
      </c>
      <c r="W662">
        <f>IF(B662="","",B662-WEEKDAY(B662,3))</f>
        <v/>
      </c>
      <c r="X662">
        <f>IF(D662="","",MAX(IF(N(F662)=0,0,IF(N(E662)&gt;0,E662*(1+F662/30),F662)),IF(N(H662)=0,0,IF(N(G662)&gt;0,G662*(1+H662/30),H662)),IF(N(J662)=0,0,IF(N(I662)&gt;0,I662*(1+J662/30),J662)),IF(N(L662)=0,0,IF(N(K662)&gt;0,K662*(1+L662/30),L662)),IF(N(N662)=0,0,IF(N(M662)&gt;0,M662*(1+N662/30),N662))))</f>
        <v/>
      </c>
      <c r="Y662">
        <f>IF(N(X662)=0,"",X662+ROW()/1000000000)</f>
        <v/>
      </c>
      <c r="Z662">
        <f>IF(Y662="","",IF(COUNTIFS(Log!$D$6:$D$1505,D662,Log!$Y$6:$Y$1505,"&gt;"&amp;Y662)=0,1,0))</f>
        <v/>
      </c>
      <c r="AA662">
        <f>IF(OR(B662="",D662=""),"",B662+ROW()/10000000)</f>
        <v/>
      </c>
      <c r="AB662">
        <f>IF(AA662="","",IF(COUNTIFS(Log!$D$6:$D$1505,D662,Log!$AA$6:$AA$1505,"&gt;"&amp;AA662)=0,1,0))</f>
        <v/>
      </c>
      <c r="AC662">
        <f>IF(S662="New best",AA662,"")</f>
        <v/>
      </c>
      <c r="AD662">
        <f>ROW()</f>
        <v/>
      </c>
    </row>
    <row r="663">
      <c r="A663" s="1" t="n"/>
      <c r="B663" s="21" t="n"/>
      <c r="C663" s="22" t="n"/>
      <c r="D663" s="23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15">
        <f>IF(D663="","",COUNT(F663,H663,J663,L663,N663))</f>
        <v/>
      </c>
      <c r="P663" s="25">
        <f>IF(D663="","",N(E663)*N(F663)+N(G663)*N(H663)+N(I663)*N(J663)+N(K663)*N(L663)+N(M663)*N(N663))</f>
        <v/>
      </c>
      <c r="Q663" s="18">
        <f>IF(N(X663)=0,"",IF(IF(N(F663)=0,0,IF(N(E663)&gt;0,E663*(1+F663/30),F663))=X663,IF(N(E663)&gt;0,E663&amp;" x "&amp;F663,F663&amp;" reps"),IF(IF(N(H663)=0,0,IF(N(G663)&gt;0,G663*(1+H663/30),H663))=X663,IF(N(G663)&gt;0,G663&amp;" x "&amp;H663,H663&amp;" reps"),IF(IF(N(J663)=0,0,IF(N(I663)&gt;0,I663*(1+J663/30),J663))=X663,IF(N(I663)&gt;0,I663&amp;" x "&amp;J663,J663&amp;" reps"),IF(IF(N(L663)=0,0,IF(N(K663)&gt;0,K663*(1+L663/30),L663))=X663,IF(N(K663)&gt;0,K663&amp;" x "&amp;L663,L663&amp;" reps"),IF(IF(N(N663)=0,0,IF(N(M663)&gt;0,M663*(1+N663/30),N663))=X663,IF(N(M663)&gt;0,M663&amp;" x "&amp;N663,N663&amp;" reps"),""))))))</f>
        <v/>
      </c>
      <c r="R663" s="20">
        <f>IF(N(X663)=0,"",ROUND(X663,1))</f>
        <v/>
      </c>
      <c r="S663" s="18">
        <f>IF(N(X663)=0,"",IF(AND(COUNTIFS(Log!$D$6:$D$1505,D663,Log!$B$6:$B$1505,"&lt;"&amp;B663)&gt;0,COUNTIFS(Log!$D$6:$D$1505,D663,Log!$B$6:$B$1505,"&lt;"&amp;B663,Log!$X$6:$X$1505,"&gt;="&amp;X663)=0),"New best",""))</f>
        <v/>
      </c>
      <c r="T663" s="26" t="n"/>
      <c r="U663" s="1">
        <f>IF(D663="","",IFERROR(INDEX(Exercises!$C$6:$C$105,MATCH(D663,Exercises!$B$6:$B$105,0)),"Other"))</f>
        <v/>
      </c>
      <c r="V663">
        <f>IF(B663="","",IF(COUNTIF($B$6:B663,B663)=1,1,0))</f>
        <v/>
      </c>
      <c r="W663">
        <f>IF(B663="","",B663-WEEKDAY(B663,3))</f>
        <v/>
      </c>
      <c r="X663">
        <f>IF(D663="","",MAX(IF(N(F663)=0,0,IF(N(E663)&gt;0,E663*(1+F663/30),F663)),IF(N(H663)=0,0,IF(N(G663)&gt;0,G663*(1+H663/30),H663)),IF(N(J663)=0,0,IF(N(I663)&gt;0,I663*(1+J663/30),J663)),IF(N(L663)=0,0,IF(N(K663)&gt;0,K663*(1+L663/30),L663)),IF(N(N663)=0,0,IF(N(M663)&gt;0,M663*(1+N663/30),N663))))</f>
        <v/>
      </c>
      <c r="Y663">
        <f>IF(N(X663)=0,"",X663+ROW()/1000000000)</f>
        <v/>
      </c>
      <c r="Z663">
        <f>IF(Y663="","",IF(COUNTIFS(Log!$D$6:$D$1505,D663,Log!$Y$6:$Y$1505,"&gt;"&amp;Y663)=0,1,0))</f>
        <v/>
      </c>
      <c r="AA663">
        <f>IF(OR(B663="",D663=""),"",B663+ROW()/10000000)</f>
        <v/>
      </c>
      <c r="AB663">
        <f>IF(AA663="","",IF(COUNTIFS(Log!$D$6:$D$1505,D663,Log!$AA$6:$AA$1505,"&gt;"&amp;AA663)=0,1,0))</f>
        <v/>
      </c>
      <c r="AC663">
        <f>IF(S663="New best",AA663,"")</f>
        <v/>
      </c>
      <c r="AD663">
        <f>ROW()</f>
        <v/>
      </c>
    </row>
    <row r="664">
      <c r="A664" s="1" t="n"/>
      <c r="B664" s="21" t="n"/>
      <c r="C664" s="22" t="n"/>
      <c r="D664" s="23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15">
        <f>IF(D664="","",COUNT(F664,H664,J664,L664,N664))</f>
        <v/>
      </c>
      <c r="P664" s="25">
        <f>IF(D664="","",N(E664)*N(F664)+N(G664)*N(H664)+N(I664)*N(J664)+N(K664)*N(L664)+N(M664)*N(N664))</f>
        <v/>
      </c>
      <c r="Q664" s="18">
        <f>IF(N(X664)=0,"",IF(IF(N(F664)=0,0,IF(N(E664)&gt;0,E664*(1+F664/30),F664))=X664,IF(N(E664)&gt;0,E664&amp;" x "&amp;F664,F664&amp;" reps"),IF(IF(N(H664)=0,0,IF(N(G664)&gt;0,G664*(1+H664/30),H664))=X664,IF(N(G664)&gt;0,G664&amp;" x "&amp;H664,H664&amp;" reps"),IF(IF(N(J664)=0,0,IF(N(I664)&gt;0,I664*(1+J664/30),J664))=X664,IF(N(I664)&gt;0,I664&amp;" x "&amp;J664,J664&amp;" reps"),IF(IF(N(L664)=0,0,IF(N(K664)&gt;0,K664*(1+L664/30),L664))=X664,IF(N(K664)&gt;0,K664&amp;" x "&amp;L664,L664&amp;" reps"),IF(IF(N(N664)=0,0,IF(N(M664)&gt;0,M664*(1+N664/30),N664))=X664,IF(N(M664)&gt;0,M664&amp;" x "&amp;N664,N664&amp;" reps"),""))))))</f>
        <v/>
      </c>
      <c r="R664" s="20">
        <f>IF(N(X664)=0,"",ROUND(X664,1))</f>
        <v/>
      </c>
      <c r="S664" s="18">
        <f>IF(N(X664)=0,"",IF(AND(COUNTIFS(Log!$D$6:$D$1505,D664,Log!$B$6:$B$1505,"&lt;"&amp;B664)&gt;0,COUNTIFS(Log!$D$6:$D$1505,D664,Log!$B$6:$B$1505,"&lt;"&amp;B664,Log!$X$6:$X$1505,"&gt;="&amp;X664)=0),"New best",""))</f>
        <v/>
      </c>
      <c r="T664" s="26" t="n"/>
      <c r="U664" s="1">
        <f>IF(D664="","",IFERROR(INDEX(Exercises!$C$6:$C$105,MATCH(D664,Exercises!$B$6:$B$105,0)),"Other"))</f>
        <v/>
      </c>
      <c r="V664">
        <f>IF(B664="","",IF(COUNTIF($B$6:B664,B664)=1,1,0))</f>
        <v/>
      </c>
      <c r="W664">
        <f>IF(B664="","",B664-WEEKDAY(B664,3))</f>
        <v/>
      </c>
      <c r="X664">
        <f>IF(D664="","",MAX(IF(N(F664)=0,0,IF(N(E664)&gt;0,E664*(1+F664/30),F664)),IF(N(H664)=0,0,IF(N(G664)&gt;0,G664*(1+H664/30),H664)),IF(N(J664)=0,0,IF(N(I664)&gt;0,I664*(1+J664/30),J664)),IF(N(L664)=0,0,IF(N(K664)&gt;0,K664*(1+L664/30),L664)),IF(N(N664)=0,0,IF(N(M664)&gt;0,M664*(1+N664/30),N664))))</f>
        <v/>
      </c>
      <c r="Y664">
        <f>IF(N(X664)=0,"",X664+ROW()/1000000000)</f>
        <v/>
      </c>
      <c r="Z664">
        <f>IF(Y664="","",IF(COUNTIFS(Log!$D$6:$D$1505,D664,Log!$Y$6:$Y$1505,"&gt;"&amp;Y664)=0,1,0))</f>
        <v/>
      </c>
      <c r="AA664">
        <f>IF(OR(B664="",D664=""),"",B664+ROW()/10000000)</f>
        <v/>
      </c>
      <c r="AB664">
        <f>IF(AA664="","",IF(COUNTIFS(Log!$D$6:$D$1505,D664,Log!$AA$6:$AA$1505,"&gt;"&amp;AA664)=0,1,0))</f>
        <v/>
      </c>
      <c r="AC664">
        <f>IF(S664="New best",AA664,"")</f>
        <v/>
      </c>
      <c r="AD664">
        <f>ROW()</f>
        <v/>
      </c>
    </row>
    <row r="665">
      <c r="A665" s="1" t="n"/>
      <c r="B665" s="21" t="n"/>
      <c r="C665" s="22" t="n"/>
      <c r="D665" s="23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15">
        <f>IF(D665="","",COUNT(F665,H665,J665,L665,N665))</f>
        <v/>
      </c>
      <c r="P665" s="25">
        <f>IF(D665="","",N(E665)*N(F665)+N(G665)*N(H665)+N(I665)*N(J665)+N(K665)*N(L665)+N(M665)*N(N665))</f>
        <v/>
      </c>
      <c r="Q665" s="18">
        <f>IF(N(X665)=0,"",IF(IF(N(F665)=0,0,IF(N(E665)&gt;0,E665*(1+F665/30),F665))=X665,IF(N(E665)&gt;0,E665&amp;" x "&amp;F665,F665&amp;" reps"),IF(IF(N(H665)=0,0,IF(N(G665)&gt;0,G665*(1+H665/30),H665))=X665,IF(N(G665)&gt;0,G665&amp;" x "&amp;H665,H665&amp;" reps"),IF(IF(N(J665)=0,0,IF(N(I665)&gt;0,I665*(1+J665/30),J665))=X665,IF(N(I665)&gt;0,I665&amp;" x "&amp;J665,J665&amp;" reps"),IF(IF(N(L665)=0,0,IF(N(K665)&gt;0,K665*(1+L665/30),L665))=X665,IF(N(K665)&gt;0,K665&amp;" x "&amp;L665,L665&amp;" reps"),IF(IF(N(N665)=0,0,IF(N(M665)&gt;0,M665*(1+N665/30),N665))=X665,IF(N(M665)&gt;0,M665&amp;" x "&amp;N665,N665&amp;" reps"),""))))))</f>
        <v/>
      </c>
      <c r="R665" s="20">
        <f>IF(N(X665)=0,"",ROUND(X665,1))</f>
        <v/>
      </c>
      <c r="S665" s="18">
        <f>IF(N(X665)=0,"",IF(AND(COUNTIFS(Log!$D$6:$D$1505,D665,Log!$B$6:$B$1505,"&lt;"&amp;B665)&gt;0,COUNTIFS(Log!$D$6:$D$1505,D665,Log!$B$6:$B$1505,"&lt;"&amp;B665,Log!$X$6:$X$1505,"&gt;="&amp;X665)=0),"New best",""))</f>
        <v/>
      </c>
      <c r="T665" s="26" t="n"/>
      <c r="U665" s="1">
        <f>IF(D665="","",IFERROR(INDEX(Exercises!$C$6:$C$105,MATCH(D665,Exercises!$B$6:$B$105,0)),"Other"))</f>
        <v/>
      </c>
      <c r="V665">
        <f>IF(B665="","",IF(COUNTIF($B$6:B665,B665)=1,1,0))</f>
        <v/>
      </c>
      <c r="W665">
        <f>IF(B665="","",B665-WEEKDAY(B665,3))</f>
        <v/>
      </c>
      <c r="X665">
        <f>IF(D665="","",MAX(IF(N(F665)=0,0,IF(N(E665)&gt;0,E665*(1+F665/30),F665)),IF(N(H665)=0,0,IF(N(G665)&gt;0,G665*(1+H665/30),H665)),IF(N(J665)=0,0,IF(N(I665)&gt;0,I665*(1+J665/30),J665)),IF(N(L665)=0,0,IF(N(K665)&gt;0,K665*(1+L665/30),L665)),IF(N(N665)=0,0,IF(N(M665)&gt;0,M665*(1+N665/30),N665))))</f>
        <v/>
      </c>
      <c r="Y665">
        <f>IF(N(X665)=0,"",X665+ROW()/1000000000)</f>
        <v/>
      </c>
      <c r="Z665">
        <f>IF(Y665="","",IF(COUNTIFS(Log!$D$6:$D$1505,D665,Log!$Y$6:$Y$1505,"&gt;"&amp;Y665)=0,1,0))</f>
        <v/>
      </c>
      <c r="AA665">
        <f>IF(OR(B665="",D665=""),"",B665+ROW()/10000000)</f>
        <v/>
      </c>
      <c r="AB665">
        <f>IF(AA665="","",IF(COUNTIFS(Log!$D$6:$D$1505,D665,Log!$AA$6:$AA$1505,"&gt;"&amp;AA665)=0,1,0))</f>
        <v/>
      </c>
      <c r="AC665">
        <f>IF(S665="New best",AA665,"")</f>
        <v/>
      </c>
      <c r="AD665">
        <f>ROW()</f>
        <v/>
      </c>
    </row>
    <row r="666">
      <c r="A666" s="1" t="n"/>
      <c r="B666" s="21" t="n"/>
      <c r="C666" s="22" t="n"/>
      <c r="D666" s="23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15">
        <f>IF(D666="","",COUNT(F666,H666,J666,L666,N666))</f>
        <v/>
      </c>
      <c r="P666" s="25">
        <f>IF(D666="","",N(E666)*N(F666)+N(G666)*N(H666)+N(I666)*N(J666)+N(K666)*N(L666)+N(M666)*N(N666))</f>
        <v/>
      </c>
      <c r="Q666" s="18">
        <f>IF(N(X666)=0,"",IF(IF(N(F666)=0,0,IF(N(E666)&gt;0,E666*(1+F666/30),F666))=X666,IF(N(E666)&gt;0,E666&amp;" x "&amp;F666,F666&amp;" reps"),IF(IF(N(H666)=0,0,IF(N(G666)&gt;0,G666*(1+H666/30),H666))=X666,IF(N(G666)&gt;0,G666&amp;" x "&amp;H666,H666&amp;" reps"),IF(IF(N(J666)=0,0,IF(N(I666)&gt;0,I666*(1+J666/30),J666))=X666,IF(N(I666)&gt;0,I666&amp;" x "&amp;J666,J666&amp;" reps"),IF(IF(N(L666)=0,0,IF(N(K666)&gt;0,K666*(1+L666/30),L666))=X666,IF(N(K666)&gt;0,K666&amp;" x "&amp;L666,L666&amp;" reps"),IF(IF(N(N666)=0,0,IF(N(M666)&gt;0,M666*(1+N666/30),N666))=X666,IF(N(M666)&gt;0,M666&amp;" x "&amp;N666,N666&amp;" reps"),""))))))</f>
        <v/>
      </c>
      <c r="R666" s="20">
        <f>IF(N(X666)=0,"",ROUND(X666,1))</f>
        <v/>
      </c>
      <c r="S666" s="18">
        <f>IF(N(X666)=0,"",IF(AND(COUNTIFS(Log!$D$6:$D$1505,D666,Log!$B$6:$B$1505,"&lt;"&amp;B666)&gt;0,COUNTIFS(Log!$D$6:$D$1505,D666,Log!$B$6:$B$1505,"&lt;"&amp;B666,Log!$X$6:$X$1505,"&gt;="&amp;X666)=0),"New best",""))</f>
        <v/>
      </c>
      <c r="T666" s="26" t="n"/>
      <c r="U666" s="1">
        <f>IF(D666="","",IFERROR(INDEX(Exercises!$C$6:$C$105,MATCH(D666,Exercises!$B$6:$B$105,0)),"Other"))</f>
        <v/>
      </c>
      <c r="V666">
        <f>IF(B666="","",IF(COUNTIF($B$6:B666,B666)=1,1,0))</f>
        <v/>
      </c>
      <c r="W666">
        <f>IF(B666="","",B666-WEEKDAY(B666,3))</f>
        <v/>
      </c>
      <c r="X666">
        <f>IF(D666="","",MAX(IF(N(F666)=0,0,IF(N(E666)&gt;0,E666*(1+F666/30),F666)),IF(N(H666)=0,0,IF(N(G666)&gt;0,G666*(1+H666/30),H666)),IF(N(J666)=0,0,IF(N(I666)&gt;0,I666*(1+J666/30),J666)),IF(N(L666)=0,0,IF(N(K666)&gt;0,K666*(1+L666/30),L666)),IF(N(N666)=0,0,IF(N(M666)&gt;0,M666*(1+N666/30),N666))))</f>
        <v/>
      </c>
      <c r="Y666">
        <f>IF(N(X666)=0,"",X666+ROW()/1000000000)</f>
        <v/>
      </c>
      <c r="Z666">
        <f>IF(Y666="","",IF(COUNTIFS(Log!$D$6:$D$1505,D666,Log!$Y$6:$Y$1505,"&gt;"&amp;Y666)=0,1,0))</f>
        <v/>
      </c>
      <c r="AA666">
        <f>IF(OR(B666="",D666=""),"",B666+ROW()/10000000)</f>
        <v/>
      </c>
      <c r="AB666">
        <f>IF(AA666="","",IF(COUNTIFS(Log!$D$6:$D$1505,D666,Log!$AA$6:$AA$1505,"&gt;"&amp;AA666)=0,1,0))</f>
        <v/>
      </c>
      <c r="AC666">
        <f>IF(S666="New best",AA666,"")</f>
        <v/>
      </c>
      <c r="AD666">
        <f>ROW()</f>
        <v/>
      </c>
    </row>
    <row r="667">
      <c r="A667" s="1" t="n"/>
      <c r="B667" s="21" t="n"/>
      <c r="C667" s="22" t="n"/>
      <c r="D667" s="23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15">
        <f>IF(D667="","",COUNT(F667,H667,J667,L667,N667))</f>
        <v/>
      </c>
      <c r="P667" s="25">
        <f>IF(D667="","",N(E667)*N(F667)+N(G667)*N(H667)+N(I667)*N(J667)+N(K667)*N(L667)+N(M667)*N(N667))</f>
        <v/>
      </c>
      <c r="Q667" s="18">
        <f>IF(N(X667)=0,"",IF(IF(N(F667)=0,0,IF(N(E667)&gt;0,E667*(1+F667/30),F667))=X667,IF(N(E667)&gt;0,E667&amp;" x "&amp;F667,F667&amp;" reps"),IF(IF(N(H667)=0,0,IF(N(G667)&gt;0,G667*(1+H667/30),H667))=X667,IF(N(G667)&gt;0,G667&amp;" x "&amp;H667,H667&amp;" reps"),IF(IF(N(J667)=0,0,IF(N(I667)&gt;0,I667*(1+J667/30),J667))=X667,IF(N(I667)&gt;0,I667&amp;" x "&amp;J667,J667&amp;" reps"),IF(IF(N(L667)=0,0,IF(N(K667)&gt;0,K667*(1+L667/30),L667))=X667,IF(N(K667)&gt;0,K667&amp;" x "&amp;L667,L667&amp;" reps"),IF(IF(N(N667)=0,0,IF(N(M667)&gt;0,M667*(1+N667/30),N667))=X667,IF(N(M667)&gt;0,M667&amp;" x "&amp;N667,N667&amp;" reps"),""))))))</f>
        <v/>
      </c>
      <c r="R667" s="20">
        <f>IF(N(X667)=0,"",ROUND(X667,1))</f>
        <v/>
      </c>
      <c r="S667" s="18">
        <f>IF(N(X667)=0,"",IF(AND(COUNTIFS(Log!$D$6:$D$1505,D667,Log!$B$6:$B$1505,"&lt;"&amp;B667)&gt;0,COUNTIFS(Log!$D$6:$D$1505,D667,Log!$B$6:$B$1505,"&lt;"&amp;B667,Log!$X$6:$X$1505,"&gt;="&amp;X667)=0),"New best",""))</f>
        <v/>
      </c>
      <c r="T667" s="26" t="n"/>
      <c r="U667" s="1">
        <f>IF(D667="","",IFERROR(INDEX(Exercises!$C$6:$C$105,MATCH(D667,Exercises!$B$6:$B$105,0)),"Other"))</f>
        <v/>
      </c>
      <c r="V667">
        <f>IF(B667="","",IF(COUNTIF($B$6:B667,B667)=1,1,0))</f>
        <v/>
      </c>
      <c r="W667">
        <f>IF(B667="","",B667-WEEKDAY(B667,3))</f>
        <v/>
      </c>
      <c r="X667">
        <f>IF(D667="","",MAX(IF(N(F667)=0,0,IF(N(E667)&gt;0,E667*(1+F667/30),F667)),IF(N(H667)=0,0,IF(N(G667)&gt;0,G667*(1+H667/30),H667)),IF(N(J667)=0,0,IF(N(I667)&gt;0,I667*(1+J667/30),J667)),IF(N(L667)=0,0,IF(N(K667)&gt;0,K667*(1+L667/30),L667)),IF(N(N667)=0,0,IF(N(M667)&gt;0,M667*(1+N667/30),N667))))</f>
        <v/>
      </c>
      <c r="Y667">
        <f>IF(N(X667)=0,"",X667+ROW()/1000000000)</f>
        <v/>
      </c>
      <c r="Z667">
        <f>IF(Y667="","",IF(COUNTIFS(Log!$D$6:$D$1505,D667,Log!$Y$6:$Y$1505,"&gt;"&amp;Y667)=0,1,0))</f>
        <v/>
      </c>
      <c r="AA667">
        <f>IF(OR(B667="",D667=""),"",B667+ROW()/10000000)</f>
        <v/>
      </c>
      <c r="AB667">
        <f>IF(AA667="","",IF(COUNTIFS(Log!$D$6:$D$1505,D667,Log!$AA$6:$AA$1505,"&gt;"&amp;AA667)=0,1,0))</f>
        <v/>
      </c>
      <c r="AC667">
        <f>IF(S667="New best",AA667,"")</f>
        <v/>
      </c>
      <c r="AD667">
        <f>ROW()</f>
        <v/>
      </c>
    </row>
    <row r="668">
      <c r="A668" s="1" t="n"/>
      <c r="B668" s="21" t="n"/>
      <c r="C668" s="22" t="n"/>
      <c r="D668" s="23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15">
        <f>IF(D668="","",COUNT(F668,H668,J668,L668,N668))</f>
        <v/>
      </c>
      <c r="P668" s="25">
        <f>IF(D668="","",N(E668)*N(F668)+N(G668)*N(H668)+N(I668)*N(J668)+N(K668)*N(L668)+N(M668)*N(N668))</f>
        <v/>
      </c>
      <c r="Q668" s="18">
        <f>IF(N(X668)=0,"",IF(IF(N(F668)=0,0,IF(N(E668)&gt;0,E668*(1+F668/30),F668))=X668,IF(N(E668)&gt;0,E668&amp;" x "&amp;F668,F668&amp;" reps"),IF(IF(N(H668)=0,0,IF(N(G668)&gt;0,G668*(1+H668/30),H668))=X668,IF(N(G668)&gt;0,G668&amp;" x "&amp;H668,H668&amp;" reps"),IF(IF(N(J668)=0,0,IF(N(I668)&gt;0,I668*(1+J668/30),J668))=X668,IF(N(I668)&gt;0,I668&amp;" x "&amp;J668,J668&amp;" reps"),IF(IF(N(L668)=0,0,IF(N(K668)&gt;0,K668*(1+L668/30),L668))=X668,IF(N(K668)&gt;0,K668&amp;" x "&amp;L668,L668&amp;" reps"),IF(IF(N(N668)=0,0,IF(N(M668)&gt;0,M668*(1+N668/30),N668))=X668,IF(N(M668)&gt;0,M668&amp;" x "&amp;N668,N668&amp;" reps"),""))))))</f>
        <v/>
      </c>
      <c r="R668" s="20">
        <f>IF(N(X668)=0,"",ROUND(X668,1))</f>
        <v/>
      </c>
      <c r="S668" s="18">
        <f>IF(N(X668)=0,"",IF(AND(COUNTIFS(Log!$D$6:$D$1505,D668,Log!$B$6:$B$1505,"&lt;"&amp;B668)&gt;0,COUNTIFS(Log!$D$6:$D$1505,D668,Log!$B$6:$B$1505,"&lt;"&amp;B668,Log!$X$6:$X$1505,"&gt;="&amp;X668)=0),"New best",""))</f>
        <v/>
      </c>
      <c r="T668" s="26" t="n"/>
      <c r="U668" s="1">
        <f>IF(D668="","",IFERROR(INDEX(Exercises!$C$6:$C$105,MATCH(D668,Exercises!$B$6:$B$105,0)),"Other"))</f>
        <v/>
      </c>
      <c r="V668">
        <f>IF(B668="","",IF(COUNTIF($B$6:B668,B668)=1,1,0))</f>
        <v/>
      </c>
      <c r="W668">
        <f>IF(B668="","",B668-WEEKDAY(B668,3))</f>
        <v/>
      </c>
      <c r="X668">
        <f>IF(D668="","",MAX(IF(N(F668)=0,0,IF(N(E668)&gt;0,E668*(1+F668/30),F668)),IF(N(H668)=0,0,IF(N(G668)&gt;0,G668*(1+H668/30),H668)),IF(N(J668)=0,0,IF(N(I668)&gt;0,I668*(1+J668/30),J668)),IF(N(L668)=0,0,IF(N(K668)&gt;0,K668*(1+L668/30),L668)),IF(N(N668)=0,0,IF(N(M668)&gt;0,M668*(1+N668/30),N668))))</f>
        <v/>
      </c>
      <c r="Y668">
        <f>IF(N(X668)=0,"",X668+ROW()/1000000000)</f>
        <v/>
      </c>
      <c r="Z668">
        <f>IF(Y668="","",IF(COUNTIFS(Log!$D$6:$D$1505,D668,Log!$Y$6:$Y$1505,"&gt;"&amp;Y668)=0,1,0))</f>
        <v/>
      </c>
      <c r="AA668">
        <f>IF(OR(B668="",D668=""),"",B668+ROW()/10000000)</f>
        <v/>
      </c>
      <c r="AB668">
        <f>IF(AA668="","",IF(COUNTIFS(Log!$D$6:$D$1505,D668,Log!$AA$6:$AA$1505,"&gt;"&amp;AA668)=0,1,0))</f>
        <v/>
      </c>
      <c r="AC668">
        <f>IF(S668="New best",AA668,"")</f>
        <v/>
      </c>
      <c r="AD668">
        <f>ROW()</f>
        <v/>
      </c>
    </row>
    <row r="669">
      <c r="A669" s="1" t="n"/>
      <c r="B669" s="21" t="n"/>
      <c r="C669" s="22" t="n"/>
      <c r="D669" s="23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15">
        <f>IF(D669="","",COUNT(F669,H669,J669,L669,N669))</f>
        <v/>
      </c>
      <c r="P669" s="25">
        <f>IF(D669="","",N(E669)*N(F669)+N(G669)*N(H669)+N(I669)*N(J669)+N(K669)*N(L669)+N(M669)*N(N669))</f>
        <v/>
      </c>
      <c r="Q669" s="18">
        <f>IF(N(X669)=0,"",IF(IF(N(F669)=0,0,IF(N(E669)&gt;0,E669*(1+F669/30),F669))=X669,IF(N(E669)&gt;0,E669&amp;" x "&amp;F669,F669&amp;" reps"),IF(IF(N(H669)=0,0,IF(N(G669)&gt;0,G669*(1+H669/30),H669))=X669,IF(N(G669)&gt;0,G669&amp;" x "&amp;H669,H669&amp;" reps"),IF(IF(N(J669)=0,0,IF(N(I669)&gt;0,I669*(1+J669/30),J669))=X669,IF(N(I669)&gt;0,I669&amp;" x "&amp;J669,J669&amp;" reps"),IF(IF(N(L669)=0,0,IF(N(K669)&gt;0,K669*(1+L669/30),L669))=X669,IF(N(K669)&gt;0,K669&amp;" x "&amp;L669,L669&amp;" reps"),IF(IF(N(N669)=0,0,IF(N(M669)&gt;0,M669*(1+N669/30),N669))=X669,IF(N(M669)&gt;0,M669&amp;" x "&amp;N669,N669&amp;" reps"),""))))))</f>
        <v/>
      </c>
      <c r="R669" s="20">
        <f>IF(N(X669)=0,"",ROUND(X669,1))</f>
        <v/>
      </c>
      <c r="S669" s="18">
        <f>IF(N(X669)=0,"",IF(AND(COUNTIFS(Log!$D$6:$D$1505,D669,Log!$B$6:$B$1505,"&lt;"&amp;B669)&gt;0,COUNTIFS(Log!$D$6:$D$1505,D669,Log!$B$6:$B$1505,"&lt;"&amp;B669,Log!$X$6:$X$1505,"&gt;="&amp;X669)=0),"New best",""))</f>
        <v/>
      </c>
      <c r="T669" s="26" t="n"/>
      <c r="U669" s="1">
        <f>IF(D669="","",IFERROR(INDEX(Exercises!$C$6:$C$105,MATCH(D669,Exercises!$B$6:$B$105,0)),"Other"))</f>
        <v/>
      </c>
      <c r="V669">
        <f>IF(B669="","",IF(COUNTIF($B$6:B669,B669)=1,1,0))</f>
        <v/>
      </c>
      <c r="W669">
        <f>IF(B669="","",B669-WEEKDAY(B669,3))</f>
        <v/>
      </c>
      <c r="X669">
        <f>IF(D669="","",MAX(IF(N(F669)=0,0,IF(N(E669)&gt;0,E669*(1+F669/30),F669)),IF(N(H669)=0,0,IF(N(G669)&gt;0,G669*(1+H669/30),H669)),IF(N(J669)=0,0,IF(N(I669)&gt;0,I669*(1+J669/30),J669)),IF(N(L669)=0,0,IF(N(K669)&gt;0,K669*(1+L669/30),L669)),IF(N(N669)=0,0,IF(N(M669)&gt;0,M669*(1+N669/30),N669))))</f>
        <v/>
      </c>
      <c r="Y669">
        <f>IF(N(X669)=0,"",X669+ROW()/1000000000)</f>
        <v/>
      </c>
      <c r="Z669">
        <f>IF(Y669="","",IF(COUNTIFS(Log!$D$6:$D$1505,D669,Log!$Y$6:$Y$1505,"&gt;"&amp;Y669)=0,1,0))</f>
        <v/>
      </c>
      <c r="AA669">
        <f>IF(OR(B669="",D669=""),"",B669+ROW()/10000000)</f>
        <v/>
      </c>
      <c r="AB669">
        <f>IF(AA669="","",IF(COUNTIFS(Log!$D$6:$D$1505,D669,Log!$AA$6:$AA$1505,"&gt;"&amp;AA669)=0,1,0))</f>
        <v/>
      </c>
      <c r="AC669">
        <f>IF(S669="New best",AA669,"")</f>
        <v/>
      </c>
      <c r="AD669">
        <f>ROW()</f>
        <v/>
      </c>
    </row>
    <row r="670">
      <c r="A670" s="1" t="n"/>
      <c r="B670" s="21" t="n"/>
      <c r="C670" s="22" t="n"/>
      <c r="D670" s="23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15">
        <f>IF(D670="","",COUNT(F670,H670,J670,L670,N670))</f>
        <v/>
      </c>
      <c r="P670" s="25">
        <f>IF(D670="","",N(E670)*N(F670)+N(G670)*N(H670)+N(I670)*N(J670)+N(K670)*N(L670)+N(M670)*N(N670))</f>
        <v/>
      </c>
      <c r="Q670" s="18">
        <f>IF(N(X670)=0,"",IF(IF(N(F670)=0,0,IF(N(E670)&gt;0,E670*(1+F670/30),F670))=X670,IF(N(E670)&gt;0,E670&amp;" x "&amp;F670,F670&amp;" reps"),IF(IF(N(H670)=0,0,IF(N(G670)&gt;0,G670*(1+H670/30),H670))=X670,IF(N(G670)&gt;0,G670&amp;" x "&amp;H670,H670&amp;" reps"),IF(IF(N(J670)=0,0,IF(N(I670)&gt;0,I670*(1+J670/30),J670))=X670,IF(N(I670)&gt;0,I670&amp;" x "&amp;J670,J670&amp;" reps"),IF(IF(N(L670)=0,0,IF(N(K670)&gt;0,K670*(1+L670/30),L670))=X670,IF(N(K670)&gt;0,K670&amp;" x "&amp;L670,L670&amp;" reps"),IF(IF(N(N670)=0,0,IF(N(M670)&gt;0,M670*(1+N670/30),N670))=X670,IF(N(M670)&gt;0,M670&amp;" x "&amp;N670,N670&amp;" reps"),""))))))</f>
        <v/>
      </c>
      <c r="R670" s="20">
        <f>IF(N(X670)=0,"",ROUND(X670,1))</f>
        <v/>
      </c>
      <c r="S670" s="18">
        <f>IF(N(X670)=0,"",IF(AND(COUNTIFS(Log!$D$6:$D$1505,D670,Log!$B$6:$B$1505,"&lt;"&amp;B670)&gt;0,COUNTIFS(Log!$D$6:$D$1505,D670,Log!$B$6:$B$1505,"&lt;"&amp;B670,Log!$X$6:$X$1505,"&gt;="&amp;X670)=0),"New best",""))</f>
        <v/>
      </c>
      <c r="T670" s="26" t="n"/>
      <c r="U670" s="1">
        <f>IF(D670="","",IFERROR(INDEX(Exercises!$C$6:$C$105,MATCH(D670,Exercises!$B$6:$B$105,0)),"Other"))</f>
        <v/>
      </c>
      <c r="V670">
        <f>IF(B670="","",IF(COUNTIF($B$6:B670,B670)=1,1,0))</f>
        <v/>
      </c>
      <c r="W670">
        <f>IF(B670="","",B670-WEEKDAY(B670,3))</f>
        <v/>
      </c>
      <c r="X670">
        <f>IF(D670="","",MAX(IF(N(F670)=0,0,IF(N(E670)&gt;0,E670*(1+F670/30),F670)),IF(N(H670)=0,0,IF(N(G670)&gt;0,G670*(1+H670/30),H670)),IF(N(J670)=0,0,IF(N(I670)&gt;0,I670*(1+J670/30),J670)),IF(N(L670)=0,0,IF(N(K670)&gt;0,K670*(1+L670/30),L670)),IF(N(N670)=0,0,IF(N(M670)&gt;0,M670*(1+N670/30),N670))))</f>
        <v/>
      </c>
      <c r="Y670">
        <f>IF(N(X670)=0,"",X670+ROW()/1000000000)</f>
        <v/>
      </c>
      <c r="Z670">
        <f>IF(Y670="","",IF(COUNTIFS(Log!$D$6:$D$1505,D670,Log!$Y$6:$Y$1505,"&gt;"&amp;Y670)=0,1,0))</f>
        <v/>
      </c>
      <c r="AA670">
        <f>IF(OR(B670="",D670=""),"",B670+ROW()/10000000)</f>
        <v/>
      </c>
      <c r="AB670">
        <f>IF(AA670="","",IF(COUNTIFS(Log!$D$6:$D$1505,D670,Log!$AA$6:$AA$1505,"&gt;"&amp;AA670)=0,1,0))</f>
        <v/>
      </c>
      <c r="AC670">
        <f>IF(S670="New best",AA670,"")</f>
        <v/>
      </c>
      <c r="AD670">
        <f>ROW()</f>
        <v/>
      </c>
    </row>
    <row r="671">
      <c r="A671" s="1" t="n"/>
      <c r="B671" s="21" t="n"/>
      <c r="C671" s="22" t="n"/>
      <c r="D671" s="23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15">
        <f>IF(D671="","",COUNT(F671,H671,J671,L671,N671))</f>
        <v/>
      </c>
      <c r="P671" s="25">
        <f>IF(D671="","",N(E671)*N(F671)+N(G671)*N(H671)+N(I671)*N(J671)+N(K671)*N(L671)+N(M671)*N(N671))</f>
        <v/>
      </c>
      <c r="Q671" s="18">
        <f>IF(N(X671)=0,"",IF(IF(N(F671)=0,0,IF(N(E671)&gt;0,E671*(1+F671/30),F671))=X671,IF(N(E671)&gt;0,E671&amp;" x "&amp;F671,F671&amp;" reps"),IF(IF(N(H671)=0,0,IF(N(G671)&gt;0,G671*(1+H671/30),H671))=X671,IF(N(G671)&gt;0,G671&amp;" x "&amp;H671,H671&amp;" reps"),IF(IF(N(J671)=0,0,IF(N(I671)&gt;0,I671*(1+J671/30),J671))=X671,IF(N(I671)&gt;0,I671&amp;" x "&amp;J671,J671&amp;" reps"),IF(IF(N(L671)=0,0,IF(N(K671)&gt;0,K671*(1+L671/30),L671))=X671,IF(N(K671)&gt;0,K671&amp;" x "&amp;L671,L671&amp;" reps"),IF(IF(N(N671)=0,0,IF(N(M671)&gt;0,M671*(1+N671/30),N671))=X671,IF(N(M671)&gt;0,M671&amp;" x "&amp;N671,N671&amp;" reps"),""))))))</f>
        <v/>
      </c>
      <c r="R671" s="20">
        <f>IF(N(X671)=0,"",ROUND(X671,1))</f>
        <v/>
      </c>
      <c r="S671" s="18">
        <f>IF(N(X671)=0,"",IF(AND(COUNTIFS(Log!$D$6:$D$1505,D671,Log!$B$6:$B$1505,"&lt;"&amp;B671)&gt;0,COUNTIFS(Log!$D$6:$D$1505,D671,Log!$B$6:$B$1505,"&lt;"&amp;B671,Log!$X$6:$X$1505,"&gt;="&amp;X671)=0),"New best",""))</f>
        <v/>
      </c>
      <c r="T671" s="26" t="n"/>
      <c r="U671" s="1">
        <f>IF(D671="","",IFERROR(INDEX(Exercises!$C$6:$C$105,MATCH(D671,Exercises!$B$6:$B$105,0)),"Other"))</f>
        <v/>
      </c>
      <c r="V671">
        <f>IF(B671="","",IF(COUNTIF($B$6:B671,B671)=1,1,0))</f>
        <v/>
      </c>
      <c r="W671">
        <f>IF(B671="","",B671-WEEKDAY(B671,3))</f>
        <v/>
      </c>
      <c r="X671">
        <f>IF(D671="","",MAX(IF(N(F671)=0,0,IF(N(E671)&gt;0,E671*(1+F671/30),F671)),IF(N(H671)=0,0,IF(N(G671)&gt;0,G671*(1+H671/30),H671)),IF(N(J671)=0,0,IF(N(I671)&gt;0,I671*(1+J671/30),J671)),IF(N(L671)=0,0,IF(N(K671)&gt;0,K671*(1+L671/30),L671)),IF(N(N671)=0,0,IF(N(M671)&gt;0,M671*(1+N671/30),N671))))</f>
        <v/>
      </c>
      <c r="Y671">
        <f>IF(N(X671)=0,"",X671+ROW()/1000000000)</f>
        <v/>
      </c>
      <c r="Z671">
        <f>IF(Y671="","",IF(COUNTIFS(Log!$D$6:$D$1505,D671,Log!$Y$6:$Y$1505,"&gt;"&amp;Y671)=0,1,0))</f>
        <v/>
      </c>
      <c r="AA671">
        <f>IF(OR(B671="",D671=""),"",B671+ROW()/10000000)</f>
        <v/>
      </c>
      <c r="AB671">
        <f>IF(AA671="","",IF(COUNTIFS(Log!$D$6:$D$1505,D671,Log!$AA$6:$AA$1505,"&gt;"&amp;AA671)=0,1,0))</f>
        <v/>
      </c>
      <c r="AC671">
        <f>IF(S671="New best",AA671,"")</f>
        <v/>
      </c>
      <c r="AD671">
        <f>ROW()</f>
        <v/>
      </c>
    </row>
    <row r="672">
      <c r="A672" s="1" t="n"/>
      <c r="B672" s="21" t="n"/>
      <c r="C672" s="22" t="n"/>
      <c r="D672" s="23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15">
        <f>IF(D672="","",COUNT(F672,H672,J672,L672,N672))</f>
        <v/>
      </c>
      <c r="P672" s="25">
        <f>IF(D672="","",N(E672)*N(F672)+N(G672)*N(H672)+N(I672)*N(J672)+N(K672)*N(L672)+N(M672)*N(N672))</f>
        <v/>
      </c>
      <c r="Q672" s="18">
        <f>IF(N(X672)=0,"",IF(IF(N(F672)=0,0,IF(N(E672)&gt;0,E672*(1+F672/30),F672))=X672,IF(N(E672)&gt;0,E672&amp;" x "&amp;F672,F672&amp;" reps"),IF(IF(N(H672)=0,0,IF(N(G672)&gt;0,G672*(1+H672/30),H672))=X672,IF(N(G672)&gt;0,G672&amp;" x "&amp;H672,H672&amp;" reps"),IF(IF(N(J672)=0,0,IF(N(I672)&gt;0,I672*(1+J672/30),J672))=X672,IF(N(I672)&gt;0,I672&amp;" x "&amp;J672,J672&amp;" reps"),IF(IF(N(L672)=0,0,IF(N(K672)&gt;0,K672*(1+L672/30),L672))=X672,IF(N(K672)&gt;0,K672&amp;" x "&amp;L672,L672&amp;" reps"),IF(IF(N(N672)=0,0,IF(N(M672)&gt;0,M672*(1+N672/30),N672))=X672,IF(N(M672)&gt;0,M672&amp;" x "&amp;N672,N672&amp;" reps"),""))))))</f>
        <v/>
      </c>
      <c r="R672" s="20">
        <f>IF(N(X672)=0,"",ROUND(X672,1))</f>
        <v/>
      </c>
      <c r="S672" s="18">
        <f>IF(N(X672)=0,"",IF(AND(COUNTIFS(Log!$D$6:$D$1505,D672,Log!$B$6:$B$1505,"&lt;"&amp;B672)&gt;0,COUNTIFS(Log!$D$6:$D$1505,D672,Log!$B$6:$B$1505,"&lt;"&amp;B672,Log!$X$6:$X$1505,"&gt;="&amp;X672)=0),"New best",""))</f>
        <v/>
      </c>
      <c r="T672" s="26" t="n"/>
      <c r="U672" s="1">
        <f>IF(D672="","",IFERROR(INDEX(Exercises!$C$6:$C$105,MATCH(D672,Exercises!$B$6:$B$105,0)),"Other"))</f>
        <v/>
      </c>
      <c r="V672">
        <f>IF(B672="","",IF(COUNTIF($B$6:B672,B672)=1,1,0))</f>
        <v/>
      </c>
      <c r="W672">
        <f>IF(B672="","",B672-WEEKDAY(B672,3))</f>
        <v/>
      </c>
      <c r="X672">
        <f>IF(D672="","",MAX(IF(N(F672)=0,0,IF(N(E672)&gt;0,E672*(1+F672/30),F672)),IF(N(H672)=0,0,IF(N(G672)&gt;0,G672*(1+H672/30),H672)),IF(N(J672)=0,0,IF(N(I672)&gt;0,I672*(1+J672/30),J672)),IF(N(L672)=0,0,IF(N(K672)&gt;0,K672*(1+L672/30),L672)),IF(N(N672)=0,0,IF(N(M672)&gt;0,M672*(1+N672/30),N672))))</f>
        <v/>
      </c>
      <c r="Y672">
        <f>IF(N(X672)=0,"",X672+ROW()/1000000000)</f>
        <v/>
      </c>
      <c r="Z672">
        <f>IF(Y672="","",IF(COUNTIFS(Log!$D$6:$D$1505,D672,Log!$Y$6:$Y$1505,"&gt;"&amp;Y672)=0,1,0))</f>
        <v/>
      </c>
      <c r="AA672">
        <f>IF(OR(B672="",D672=""),"",B672+ROW()/10000000)</f>
        <v/>
      </c>
      <c r="AB672">
        <f>IF(AA672="","",IF(COUNTIFS(Log!$D$6:$D$1505,D672,Log!$AA$6:$AA$1505,"&gt;"&amp;AA672)=0,1,0))</f>
        <v/>
      </c>
      <c r="AC672">
        <f>IF(S672="New best",AA672,"")</f>
        <v/>
      </c>
      <c r="AD672">
        <f>ROW()</f>
        <v/>
      </c>
    </row>
    <row r="673">
      <c r="A673" s="1" t="n"/>
      <c r="B673" s="21" t="n"/>
      <c r="C673" s="22" t="n"/>
      <c r="D673" s="23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15">
        <f>IF(D673="","",COUNT(F673,H673,J673,L673,N673))</f>
        <v/>
      </c>
      <c r="P673" s="25">
        <f>IF(D673="","",N(E673)*N(F673)+N(G673)*N(H673)+N(I673)*N(J673)+N(K673)*N(L673)+N(M673)*N(N673))</f>
        <v/>
      </c>
      <c r="Q673" s="18">
        <f>IF(N(X673)=0,"",IF(IF(N(F673)=0,0,IF(N(E673)&gt;0,E673*(1+F673/30),F673))=X673,IF(N(E673)&gt;0,E673&amp;" x "&amp;F673,F673&amp;" reps"),IF(IF(N(H673)=0,0,IF(N(G673)&gt;0,G673*(1+H673/30),H673))=X673,IF(N(G673)&gt;0,G673&amp;" x "&amp;H673,H673&amp;" reps"),IF(IF(N(J673)=0,0,IF(N(I673)&gt;0,I673*(1+J673/30),J673))=X673,IF(N(I673)&gt;0,I673&amp;" x "&amp;J673,J673&amp;" reps"),IF(IF(N(L673)=0,0,IF(N(K673)&gt;0,K673*(1+L673/30),L673))=X673,IF(N(K673)&gt;0,K673&amp;" x "&amp;L673,L673&amp;" reps"),IF(IF(N(N673)=0,0,IF(N(M673)&gt;0,M673*(1+N673/30),N673))=X673,IF(N(M673)&gt;0,M673&amp;" x "&amp;N673,N673&amp;" reps"),""))))))</f>
        <v/>
      </c>
      <c r="R673" s="20">
        <f>IF(N(X673)=0,"",ROUND(X673,1))</f>
        <v/>
      </c>
      <c r="S673" s="18">
        <f>IF(N(X673)=0,"",IF(AND(COUNTIFS(Log!$D$6:$D$1505,D673,Log!$B$6:$B$1505,"&lt;"&amp;B673)&gt;0,COUNTIFS(Log!$D$6:$D$1505,D673,Log!$B$6:$B$1505,"&lt;"&amp;B673,Log!$X$6:$X$1505,"&gt;="&amp;X673)=0),"New best",""))</f>
        <v/>
      </c>
      <c r="T673" s="26" t="n"/>
      <c r="U673" s="1">
        <f>IF(D673="","",IFERROR(INDEX(Exercises!$C$6:$C$105,MATCH(D673,Exercises!$B$6:$B$105,0)),"Other"))</f>
        <v/>
      </c>
      <c r="V673">
        <f>IF(B673="","",IF(COUNTIF($B$6:B673,B673)=1,1,0))</f>
        <v/>
      </c>
      <c r="W673">
        <f>IF(B673="","",B673-WEEKDAY(B673,3))</f>
        <v/>
      </c>
      <c r="X673">
        <f>IF(D673="","",MAX(IF(N(F673)=0,0,IF(N(E673)&gt;0,E673*(1+F673/30),F673)),IF(N(H673)=0,0,IF(N(G673)&gt;0,G673*(1+H673/30),H673)),IF(N(J673)=0,0,IF(N(I673)&gt;0,I673*(1+J673/30),J673)),IF(N(L673)=0,0,IF(N(K673)&gt;0,K673*(1+L673/30),L673)),IF(N(N673)=0,0,IF(N(M673)&gt;0,M673*(1+N673/30),N673))))</f>
        <v/>
      </c>
      <c r="Y673">
        <f>IF(N(X673)=0,"",X673+ROW()/1000000000)</f>
        <v/>
      </c>
      <c r="Z673">
        <f>IF(Y673="","",IF(COUNTIFS(Log!$D$6:$D$1505,D673,Log!$Y$6:$Y$1505,"&gt;"&amp;Y673)=0,1,0))</f>
        <v/>
      </c>
      <c r="AA673">
        <f>IF(OR(B673="",D673=""),"",B673+ROW()/10000000)</f>
        <v/>
      </c>
      <c r="AB673">
        <f>IF(AA673="","",IF(COUNTIFS(Log!$D$6:$D$1505,D673,Log!$AA$6:$AA$1505,"&gt;"&amp;AA673)=0,1,0))</f>
        <v/>
      </c>
      <c r="AC673">
        <f>IF(S673="New best",AA673,"")</f>
        <v/>
      </c>
      <c r="AD673">
        <f>ROW()</f>
        <v/>
      </c>
    </row>
    <row r="674">
      <c r="A674" s="1" t="n"/>
      <c r="B674" s="21" t="n"/>
      <c r="C674" s="22" t="n"/>
      <c r="D674" s="23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15">
        <f>IF(D674="","",COUNT(F674,H674,J674,L674,N674))</f>
        <v/>
      </c>
      <c r="P674" s="25">
        <f>IF(D674="","",N(E674)*N(F674)+N(G674)*N(H674)+N(I674)*N(J674)+N(K674)*N(L674)+N(M674)*N(N674))</f>
        <v/>
      </c>
      <c r="Q674" s="18">
        <f>IF(N(X674)=0,"",IF(IF(N(F674)=0,0,IF(N(E674)&gt;0,E674*(1+F674/30),F674))=X674,IF(N(E674)&gt;0,E674&amp;" x "&amp;F674,F674&amp;" reps"),IF(IF(N(H674)=0,0,IF(N(G674)&gt;0,G674*(1+H674/30),H674))=X674,IF(N(G674)&gt;0,G674&amp;" x "&amp;H674,H674&amp;" reps"),IF(IF(N(J674)=0,0,IF(N(I674)&gt;0,I674*(1+J674/30),J674))=X674,IF(N(I674)&gt;0,I674&amp;" x "&amp;J674,J674&amp;" reps"),IF(IF(N(L674)=0,0,IF(N(K674)&gt;0,K674*(1+L674/30),L674))=X674,IF(N(K674)&gt;0,K674&amp;" x "&amp;L674,L674&amp;" reps"),IF(IF(N(N674)=0,0,IF(N(M674)&gt;0,M674*(1+N674/30),N674))=X674,IF(N(M674)&gt;0,M674&amp;" x "&amp;N674,N674&amp;" reps"),""))))))</f>
        <v/>
      </c>
      <c r="R674" s="20">
        <f>IF(N(X674)=0,"",ROUND(X674,1))</f>
        <v/>
      </c>
      <c r="S674" s="18">
        <f>IF(N(X674)=0,"",IF(AND(COUNTIFS(Log!$D$6:$D$1505,D674,Log!$B$6:$B$1505,"&lt;"&amp;B674)&gt;0,COUNTIFS(Log!$D$6:$D$1505,D674,Log!$B$6:$B$1505,"&lt;"&amp;B674,Log!$X$6:$X$1505,"&gt;="&amp;X674)=0),"New best",""))</f>
        <v/>
      </c>
      <c r="T674" s="26" t="n"/>
      <c r="U674" s="1">
        <f>IF(D674="","",IFERROR(INDEX(Exercises!$C$6:$C$105,MATCH(D674,Exercises!$B$6:$B$105,0)),"Other"))</f>
        <v/>
      </c>
      <c r="V674">
        <f>IF(B674="","",IF(COUNTIF($B$6:B674,B674)=1,1,0))</f>
        <v/>
      </c>
      <c r="W674">
        <f>IF(B674="","",B674-WEEKDAY(B674,3))</f>
        <v/>
      </c>
      <c r="X674">
        <f>IF(D674="","",MAX(IF(N(F674)=0,0,IF(N(E674)&gt;0,E674*(1+F674/30),F674)),IF(N(H674)=0,0,IF(N(G674)&gt;0,G674*(1+H674/30),H674)),IF(N(J674)=0,0,IF(N(I674)&gt;0,I674*(1+J674/30),J674)),IF(N(L674)=0,0,IF(N(K674)&gt;0,K674*(1+L674/30),L674)),IF(N(N674)=0,0,IF(N(M674)&gt;0,M674*(1+N674/30),N674))))</f>
        <v/>
      </c>
      <c r="Y674">
        <f>IF(N(X674)=0,"",X674+ROW()/1000000000)</f>
        <v/>
      </c>
      <c r="Z674">
        <f>IF(Y674="","",IF(COUNTIFS(Log!$D$6:$D$1505,D674,Log!$Y$6:$Y$1505,"&gt;"&amp;Y674)=0,1,0))</f>
        <v/>
      </c>
      <c r="AA674">
        <f>IF(OR(B674="",D674=""),"",B674+ROW()/10000000)</f>
        <v/>
      </c>
      <c r="AB674">
        <f>IF(AA674="","",IF(COUNTIFS(Log!$D$6:$D$1505,D674,Log!$AA$6:$AA$1505,"&gt;"&amp;AA674)=0,1,0))</f>
        <v/>
      </c>
      <c r="AC674">
        <f>IF(S674="New best",AA674,"")</f>
        <v/>
      </c>
      <c r="AD674">
        <f>ROW()</f>
        <v/>
      </c>
    </row>
    <row r="675">
      <c r="A675" s="1" t="n"/>
      <c r="B675" s="21" t="n"/>
      <c r="C675" s="22" t="n"/>
      <c r="D675" s="23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15">
        <f>IF(D675="","",COUNT(F675,H675,J675,L675,N675))</f>
        <v/>
      </c>
      <c r="P675" s="25">
        <f>IF(D675="","",N(E675)*N(F675)+N(G675)*N(H675)+N(I675)*N(J675)+N(K675)*N(L675)+N(M675)*N(N675))</f>
        <v/>
      </c>
      <c r="Q675" s="18">
        <f>IF(N(X675)=0,"",IF(IF(N(F675)=0,0,IF(N(E675)&gt;0,E675*(1+F675/30),F675))=X675,IF(N(E675)&gt;0,E675&amp;" x "&amp;F675,F675&amp;" reps"),IF(IF(N(H675)=0,0,IF(N(G675)&gt;0,G675*(1+H675/30),H675))=X675,IF(N(G675)&gt;0,G675&amp;" x "&amp;H675,H675&amp;" reps"),IF(IF(N(J675)=0,0,IF(N(I675)&gt;0,I675*(1+J675/30),J675))=X675,IF(N(I675)&gt;0,I675&amp;" x "&amp;J675,J675&amp;" reps"),IF(IF(N(L675)=0,0,IF(N(K675)&gt;0,K675*(1+L675/30),L675))=X675,IF(N(K675)&gt;0,K675&amp;" x "&amp;L675,L675&amp;" reps"),IF(IF(N(N675)=0,0,IF(N(M675)&gt;0,M675*(1+N675/30),N675))=X675,IF(N(M675)&gt;0,M675&amp;" x "&amp;N675,N675&amp;" reps"),""))))))</f>
        <v/>
      </c>
      <c r="R675" s="20">
        <f>IF(N(X675)=0,"",ROUND(X675,1))</f>
        <v/>
      </c>
      <c r="S675" s="18">
        <f>IF(N(X675)=0,"",IF(AND(COUNTIFS(Log!$D$6:$D$1505,D675,Log!$B$6:$B$1505,"&lt;"&amp;B675)&gt;0,COUNTIFS(Log!$D$6:$D$1505,D675,Log!$B$6:$B$1505,"&lt;"&amp;B675,Log!$X$6:$X$1505,"&gt;="&amp;X675)=0),"New best",""))</f>
        <v/>
      </c>
      <c r="T675" s="26" t="n"/>
      <c r="U675" s="1">
        <f>IF(D675="","",IFERROR(INDEX(Exercises!$C$6:$C$105,MATCH(D675,Exercises!$B$6:$B$105,0)),"Other"))</f>
        <v/>
      </c>
      <c r="V675">
        <f>IF(B675="","",IF(COUNTIF($B$6:B675,B675)=1,1,0))</f>
        <v/>
      </c>
      <c r="W675">
        <f>IF(B675="","",B675-WEEKDAY(B675,3))</f>
        <v/>
      </c>
      <c r="X675">
        <f>IF(D675="","",MAX(IF(N(F675)=0,0,IF(N(E675)&gt;0,E675*(1+F675/30),F675)),IF(N(H675)=0,0,IF(N(G675)&gt;0,G675*(1+H675/30),H675)),IF(N(J675)=0,0,IF(N(I675)&gt;0,I675*(1+J675/30),J675)),IF(N(L675)=0,0,IF(N(K675)&gt;0,K675*(1+L675/30),L675)),IF(N(N675)=0,0,IF(N(M675)&gt;0,M675*(1+N675/30),N675))))</f>
        <v/>
      </c>
      <c r="Y675">
        <f>IF(N(X675)=0,"",X675+ROW()/1000000000)</f>
        <v/>
      </c>
      <c r="Z675">
        <f>IF(Y675="","",IF(COUNTIFS(Log!$D$6:$D$1505,D675,Log!$Y$6:$Y$1505,"&gt;"&amp;Y675)=0,1,0))</f>
        <v/>
      </c>
      <c r="AA675">
        <f>IF(OR(B675="",D675=""),"",B675+ROW()/10000000)</f>
        <v/>
      </c>
      <c r="AB675">
        <f>IF(AA675="","",IF(COUNTIFS(Log!$D$6:$D$1505,D675,Log!$AA$6:$AA$1505,"&gt;"&amp;AA675)=0,1,0))</f>
        <v/>
      </c>
      <c r="AC675">
        <f>IF(S675="New best",AA675,"")</f>
        <v/>
      </c>
      <c r="AD675">
        <f>ROW()</f>
        <v/>
      </c>
    </row>
    <row r="676">
      <c r="A676" s="1" t="n"/>
      <c r="B676" s="21" t="n"/>
      <c r="C676" s="22" t="n"/>
      <c r="D676" s="23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15">
        <f>IF(D676="","",COUNT(F676,H676,J676,L676,N676))</f>
        <v/>
      </c>
      <c r="P676" s="25">
        <f>IF(D676="","",N(E676)*N(F676)+N(G676)*N(H676)+N(I676)*N(J676)+N(K676)*N(L676)+N(M676)*N(N676))</f>
        <v/>
      </c>
      <c r="Q676" s="18">
        <f>IF(N(X676)=0,"",IF(IF(N(F676)=0,0,IF(N(E676)&gt;0,E676*(1+F676/30),F676))=X676,IF(N(E676)&gt;0,E676&amp;" x "&amp;F676,F676&amp;" reps"),IF(IF(N(H676)=0,0,IF(N(G676)&gt;0,G676*(1+H676/30),H676))=X676,IF(N(G676)&gt;0,G676&amp;" x "&amp;H676,H676&amp;" reps"),IF(IF(N(J676)=0,0,IF(N(I676)&gt;0,I676*(1+J676/30),J676))=X676,IF(N(I676)&gt;0,I676&amp;" x "&amp;J676,J676&amp;" reps"),IF(IF(N(L676)=0,0,IF(N(K676)&gt;0,K676*(1+L676/30),L676))=X676,IF(N(K676)&gt;0,K676&amp;" x "&amp;L676,L676&amp;" reps"),IF(IF(N(N676)=0,0,IF(N(M676)&gt;0,M676*(1+N676/30),N676))=X676,IF(N(M676)&gt;0,M676&amp;" x "&amp;N676,N676&amp;" reps"),""))))))</f>
        <v/>
      </c>
      <c r="R676" s="20">
        <f>IF(N(X676)=0,"",ROUND(X676,1))</f>
        <v/>
      </c>
      <c r="S676" s="18">
        <f>IF(N(X676)=0,"",IF(AND(COUNTIFS(Log!$D$6:$D$1505,D676,Log!$B$6:$B$1505,"&lt;"&amp;B676)&gt;0,COUNTIFS(Log!$D$6:$D$1505,D676,Log!$B$6:$B$1505,"&lt;"&amp;B676,Log!$X$6:$X$1505,"&gt;="&amp;X676)=0),"New best",""))</f>
        <v/>
      </c>
      <c r="T676" s="26" t="n"/>
      <c r="U676" s="1">
        <f>IF(D676="","",IFERROR(INDEX(Exercises!$C$6:$C$105,MATCH(D676,Exercises!$B$6:$B$105,0)),"Other"))</f>
        <v/>
      </c>
      <c r="V676">
        <f>IF(B676="","",IF(COUNTIF($B$6:B676,B676)=1,1,0))</f>
        <v/>
      </c>
      <c r="W676">
        <f>IF(B676="","",B676-WEEKDAY(B676,3))</f>
        <v/>
      </c>
      <c r="X676">
        <f>IF(D676="","",MAX(IF(N(F676)=0,0,IF(N(E676)&gt;0,E676*(1+F676/30),F676)),IF(N(H676)=0,0,IF(N(G676)&gt;0,G676*(1+H676/30),H676)),IF(N(J676)=0,0,IF(N(I676)&gt;0,I676*(1+J676/30),J676)),IF(N(L676)=0,0,IF(N(K676)&gt;0,K676*(1+L676/30),L676)),IF(N(N676)=0,0,IF(N(M676)&gt;0,M676*(1+N676/30),N676))))</f>
        <v/>
      </c>
      <c r="Y676">
        <f>IF(N(X676)=0,"",X676+ROW()/1000000000)</f>
        <v/>
      </c>
      <c r="Z676">
        <f>IF(Y676="","",IF(COUNTIFS(Log!$D$6:$D$1505,D676,Log!$Y$6:$Y$1505,"&gt;"&amp;Y676)=0,1,0))</f>
        <v/>
      </c>
      <c r="AA676">
        <f>IF(OR(B676="",D676=""),"",B676+ROW()/10000000)</f>
        <v/>
      </c>
      <c r="AB676">
        <f>IF(AA676="","",IF(COUNTIFS(Log!$D$6:$D$1505,D676,Log!$AA$6:$AA$1505,"&gt;"&amp;AA676)=0,1,0))</f>
        <v/>
      </c>
      <c r="AC676">
        <f>IF(S676="New best",AA676,"")</f>
        <v/>
      </c>
      <c r="AD676">
        <f>ROW()</f>
        <v/>
      </c>
    </row>
    <row r="677">
      <c r="A677" s="1" t="n"/>
      <c r="B677" s="21" t="n"/>
      <c r="C677" s="22" t="n"/>
      <c r="D677" s="23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15">
        <f>IF(D677="","",COUNT(F677,H677,J677,L677,N677))</f>
        <v/>
      </c>
      <c r="P677" s="25">
        <f>IF(D677="","",N(E677)*N(F677)+N(G677)*N(H677)+N(I677)*N(J677)+N(K677)*N(L677)+N(M677)*N(N677))</f>
        <v/>
      </c>
      <c r="Q677" s="18">
        <f>IF(N(X677)=0,"",IF(IF(N(F677)=0,0,IF(N(E677)&gt;0,E677*(1+F677/30),F677))=X677,IF(N(E677)&gt;0,E677&amp;" x "&amp;F677,F677&amp;" reps"),IF(IF(N(H677)=0,0,IF(N(G677)&gt;0,G677*(1+H677/30),H677))=X677,IF(N(G677)&gt;0,G677&amp;" x "&amp;H677,H677&amp;" reps"),IF(IF(N(J677)=0,0,IF(N(I677)&gt;0,I677*(1+J677/30),J677))=X677,IF(N(I677)&gt;0,I677&amp;" x "&amp;J677,J677&amp;" reps"),IF(IF(N(L677)=0,0,IF(N(K677)&gt;0,K677*(1+L677/30),L677))=X677,IF(N(K677)&gt;0,K677&amp;" x "&amp;L677,L677&amp;" reps"),IF(IF(N(N677)=0,0,IF(N(M677)&gt;0,M677*(1+N677/30),N677))=X677,IF(N(M677)&gt;0,M677&amp;" x "&amp;N677,N677&amp;" reps"),""))))))</f>
        <v/>
      </c>
      <c r="R677" s="20">
        <f>IF(N(X677)=0,"",ROUND(X677,1))</f>
        <v/>
      </c>
      <c r="S677" s="18">
        <f>IF(N(X677)=0,"",IF(AND(COUNTIFS(Log!$D$6:$D$1505,D677,Log!$B$6:$B$1505,"&lt;"&amp;B677)&gt;0,COUNTIFS(Log!$D$6:$D$1505,D677,Log!$B$6:$B$1505,"&lt;"&amp;B677,Log!$X$6:$X$1505,"&gt;="&amp;X677)=0),"New best",""))</f>
        <v/>
      </c>
      <c r="T677" s="26" t="n"/>
      <c r="U677" s="1">
        <f>IF(D677="","",IFERROR(INDEX(Exercises!$C$6:$C$105,MATCH(D677,Exercises!$B$6:$B$105,0)),"Other"))</f>
        <v/>
      </c>
      <c r="V677">
        <f>IF(B677="","",IF(COUNTIF($B$6:B677,B677)=1,1,0))</f>
        <v/>
      </c>
      <c r="W677">
        <f>IF(B677="","",B677-WEEKDAY(B677,3))</f>
        <v/>
      </c>
      <c r="X677">
        <f>IF(D677="","",MAX(IF(N(F677)=0,0,IF(N(E677)&gt;0,E677*(1+F677/30),F677)),IF(N(H677)=0,0,IF(N(G677)&gt;0,G677*(1+H677/30),H677)),IF(N(J677)=0,0,IF(N(I677)&gt;0,I677*(1+J677/30),J677)),IF(N(L677)=0,0,IF(N(K677)&gt;0,K677*(1+L677/30),L677)),IF(N(N677)=0,0,IF(N(M677)&gt;0,M677*(1+N677/30),N677))))</f>
        <v/>
      </c>
      <c r="Y677">
        <f>IF(N(X677)=0,"",X677+ROW()/1000000000)</f>
        <v/>
      </c>
      <c r="Z677">
        <f>IF(Y677="","",IF(COUNTIFS(Log!$D$6:$D$1505,D677,Log!$Y$6:$Y$1505,"&gt;"&amp;Y677)=0,1,0))</f>
        <v/>
      </c>
      <c r="AA677">
        <f>IF(OR(B677="",D677=""),"",B677+ROW()/10000000)</f>
        <v/>
      </c>
      <c r="AB677">
        <f>IF(AA677="","",IF(COUNTIFS(Log!$D$6:$D$1505,D677,Log!$AA$6:$AA$1505,"&gt;"&amp;AA677)=0,1,0))</f>
        <v/>
      </c>
      <c r="AC677">
        <f>IF(S677="New best",AA677,"")</f>
        <v/>
      </c>
      <c r="AD677">
        <f>ROW()</f>
        <v/>
      </c>
    </row>
    <row r="678">
      <c r="A678" s="1" t="n"/>
      <c r="B678" s="21" t="n"/>
      <c r="C678" s="22" t="n"/>
      <c r="D678" s="23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15">
        <f>IF(D678="","",COUNT(F678,H678,J678,L678,N678))</f>
        <v/>
      </c>
      <c r="P678" s="25">
        <f>IF(D678="","",N(E678)*N(F678)+N(G678)*N(H678)+N(I678)*N(J678)+N(K678)*N(L678)+N(M678)*N(N678))</f>
        <v/>
      </c>
      <c r="Q678" s="18">
        <f>IF(N(X678)=0,"",IF(IF(N(F678)=0,0,IF(N(E678)&gt;0,E678*(1+F678/30),F678))=X678,IF(N(E678)&gt;0,E678&amp;" x "&amp;F678,F678&amp;" reps"),IF(IF(N(H678)=0,0,IF(N(G678)&gt;0,G678*(1+H678/30),H678))=X678,IF(N(G678)&gt;0,G678&amp;" x "&amp;H678,H678&amp;" reps"),IF(IF(N(J678)=0,0,IF(N(I678)&gt;0,I678*(1+J678/30),J678))=X678,IF(N(I678)&gt;0,I678&amp;" x "&amp;J678,J678&amp;" reps"),IF(IF(N(L678)=0,0,IF(N(K678)&gt;0,K678*(1+L678/30),L678))=X678,IF(N(K678)&gt;0,K678&amp;" x "&amp;L678,L678&amp;" reps"),IF(IF(N(N678)=0,0,IF(N(M678)&gt;0,M678*(1+N678/30),N678))=X678,IF(N(M678)&gt;0,M678&amp;" x "&amp;N678,N678&amp;" reps"),""))))))</f>
        <v/>
      </c>
      <c r="R678" s="20">
        <f>IF(N(X678)=0,"",ROUND(X678,1))</f>
        <v/>
      </c>
      <c r="S678" s="18">
        <f>IF(N(X678)=0,"",IF(AND(COUNTIFS(Log!$D$6:$D$1505,D678,Log!$B$6:$B$1505,"&lt;"&amp;B678)&gt;0,COUNTIFS(Log!$D$6:$D$1505,D678,Log!$B$6:$B$1505,"&lt;"&amp;B678,Log!$X$6:$X$1505,"&gt;="&amp;X678)=0),"New best",""))</f>
        <v/>
      </c>
      <c r="T678" s="26" t="n"/>
      <c r="U678" s="1">
        <f>IF(D678="","",IFERROR(INDEX(Exercises!$C$6:$C$105,MATCH(D678,Exercises!$B$6:$B$105,0)),"Other"))</f>
        <v/>
      </c>
      <c r="V678">
        <f>IF(B678="","",IF(COUNTIF($B$6:B678,B678)=1,1,0))</f>
        <v/>
      </c>
      <c r="W678">
        <f>IF(B678="","",B678-WEEKDAY(B678,3))</f>
        <v/>
      </c>
      <c r="X678">
        <f>IF(D678="","",MAX(IF(N(F678)=0,0,IF(N(E678)&gt;0,E678*(1+F678/30),F678)),IF(N(H678)=0,0,IF(N(G678)&gt;0,G678*(1+H678/30),H678)),IF(N(J678)=0,0,IF(N(I678)&gt;0,I678*(1+J678/30),J678)),IF(N(L678)=0,0,IF(N(K678)&gt;0,K678*(1+L678/30),L678)),IF(N(N678)=0,0,IF(N(M678)&gt;0,M678*(1+N678/30),N678))))</f>
        <v/>
      </c>
      <c r="Y678">
        <f>IF(N(X678)=0,"",X678+ROW()/1000000000)</f>
        <v/>
      </c>
      <c r="Z678">
        <f>IF(Y678="","",IF(COUNTIFS(Log!$D$6:$D$1505,D678,Log!$Y$6:$Y$1505,"&gt;"&amp;Y678)=0,1,0))</f>
        <v/>
      </c>
      <c r="AA678">
        <f>IF(OR(B678="",D678=""),"",B678+ROW()/10000000)</f>
        <v/>
      </c>
      <c r="AB678">
        <f>IF(AA678="","",IF(COUNTIFS(Log!$D$6:$D$1505,D678,Log!$AA$6:$AA$1505,"&gt;"&amp;AA678)=0,1,0))</f>
        <v/>
      </c>
      <c r="AC678">
        <f>IF(S678="New best",AA678,"")</f>
        <v/>
      </c>
      <c r="AD678">
        <f>ROW()</f>
        <v/>
      </c>
    </row>
    <row r="679">
      <c r="A679" s="1" t="n"/>
      <c r="B679" s="21" t="n"/>
      <c r="C679" s="22" t="n"/>
      <c r="D679" s="23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15">
        <f>IF(D679="","",COUNT(F679,H679,J679,L679,N679))</f>
        <v/>
      </c>
      <c r="P679" s="25">
        <f>IF(D679="","",N(E679)*N(F679)+N(G679)*N(H679)+N(I679)*N(J679)+N(K679)*N(L679)+N(M679)*N(N679))</f>
        <v/>
      </c>
      <c r="Q679" s="18">
        <f>IF(N(X679)=0,"",IF(IF(N(F679)=0,0,IF(N(E679)&gt;0,E679*(1+F679/30),F679))=X679,IF(N(E679)&gt;0,E679&amp;" x "&amp;F679,F679&amp;" reps"),IF(IF(N(H679)=0,0,IF(N(G679)&gt;0,G679*(1+H679/30),H679))=X679,IF(N(G679)&gt;0,G679&amp;" x "&amp;H679,H679&amp;" reps"),IF(IF(N(J679)=0,0,IF(N(I679)&gt;0,I679*(1+J679/30),J679))=X679,IF(N(I679)&gt;0,I679&amp;" x "&amp;J679,J679&amp;" reps"),IF(IF(N(L679)=0,0,IF(N(K679)&gt;0,K679*(1+L679/30),L679))=X679,IF(N(K679)&gt;0,K679&amp;" x "&amp;L679,L679&amp;" reps"),IF(IF(N(N679)=0,0,IF(N(M679)&gt;0,M679*(1+N679/30),N679))=X679,IF(N(M679)&gt;0,M679&amp;" x "&amp;N679,N679&amp;" reps"),""))))))</f>
        <v/>
      </c>
      <c r="R679" s="20">
        <f>IF(N(X679)=0,"",ROUND(X679,1))</f>
        <v/>
      </c>
      <c r="S679" s="18">
        <f>IF(N(X679)=0,"",IF(AND(COUNTIFS(Log!$D$6:$D$1505,D679,Log!$B$6:$B$1505,"&lt;"&amp;B679)&gt;0,COUNTIFS(Log!$D$6:$D$1505,D679,Log!$B$6:$B$1505,"&lt;"&amp;B679,Log!$X$6:$X$1505,"&gt;="&amp;X679)=0),"New best",""))</f>
        <v/>
      </c>
      <c r="T679" s="26" t="n"/>
      <c r="U679" s="1">
        <f>IF(D679="","",IFERROR(INDEX(Exercises!$C$6:$C$105,MATCH(D679,Exercises!$B$6:$B$105,0)),"Other"))</f>
        <v/>
      </c>
      <c r="V679">
        <f>IF(B679="","",IF(COUNTIF($B$6:B679,B679)=1,1,0))</f>
        <v/>
      </c>
      <c r="W679">
        <f>IF(B679="","",B679-WEEKDAY(B679,3))</f>
        <v/>
      </c>
      <c r="X679">
        <f>IF(D679="","",MAX(IF(N(F679)=0,0,IF(N(E679)&gt;0,E679*(1+F679/30),F679)),IF(N(H679)=0,0,IF(N(G679)&gt;0,G679*(1+H679/30),H679)),IF(N(J679)=0,0,IF(N(I679)&gt;0,I679*(1+J679/30),J679)),IF(N(L679)=0,0,IF(N(K679)&gt;0,K679*(1+L679/30),L679)),IF(N(N679)=0,0,IF(N(M679)&gt;0,M679*(1+N679/30),N679))))</f>
        <v/>
      </c>
      <c r="Y679">
        <f>IF(N(X679)=0,"",X679+ROW()/1000000000)</f>
        <v/>
      </c>
      <c r="Z679">
        <f>IF(Y679="","",IF(COUNTIFS(Log!$D$6:$D$1505,D679,Log!$Y$6:$Y$1505,"&gt;"&amp;Y679)=0,1,0))</f>
        <v/>
      </c>
      <c r="AA679">
        <f>IF(OR(B679="",D679=""),"",B679+ROW()/10000000)</f>
        <v/>
      </c>
      <c r="AB679">
        <f>IF(AA679="","",IF(COUNTIFS(Log!$D$6:$D$1505,D679,Log!$AA$6:$AA$1505,"&gt;"&amp;AA679)=0,1,0))</f>
        <v/>
      </c>
      <c r="AC679">
        <f>IF(S679="New best",AA679,"")</f>
        <v/>
      </c>
      <c r="AD679">
        <f>ROW()</f>
        <v/>
      </c>
    </row>
    <row r="680">
      <c r="A680" s="1" t="n"/>
      <c r="B680" s="21" t="n"/>
      <c r="C680" s="22" t="n"/>
      <c r="D680" s="23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15">
        <f>IF(D680="","",COUNT(F680,H680,J680,L680,N680))</f>
        <v/>
      </c>
      <c r="P680" s="25">
        <f>IF(D680="","",N(E680)*N(F680)+N(G680)*N(H680)+N(I680)*N(J680)+N(K680)*N(L680)+N(M680)*N(N680))</f>
        <v/>
      </c>
      <c r="Q680" s="18">
        <f>IF(N(X680)=0,"",IF(IF(N(F680)=0,0,IF(N(E680)&gt;0,E680*(1+F680/30),F680))=X680,IF(N(E680)&gt;0,E680&amp;" x "&amp;F680,F680&amp;" reps"),IF(IF(N(H680)=0,0,IF(N(G680)&gt;0,G680*(1+H680/30),H680))=X680,IF(N(G680)&gt;0,G680&amp;" x "&amp;H680,H680&amp;" reps"),IF(IF(N(J680)=0,0,IF(N(I680)&gt;0,I680*(1+J680/30),J680))=X680,IF(N(I680)&gt;0,I680&amp;" x "&amp;J680,J680&amp;" reps"),IF(IF(N(L680)=0,0,IF(N(K680)&gt;0,K680*(1+L680/30),L680))=X680,IF(N(K680)&gt;0,K680&amp;" x "&amp;L680,L680&amp;" reps"),IF(IF(N(N680)=0,0,IF(N(M680)&gt;0,M680*(1+N680/30),N680))=X680,IF(N(M680)&gt;0,M680&amp;" x "&amp;N680,N680&amp;" reps"),""))))))</f>
        <v/>
      </c>
      <c r="R680" s="20">
        <f>IF(N(X680)=0,"",ROUND(X680,1))</f>
        <v/>
      </c>
      <c r="S680" s="18">
        <f>IF(N(X680)=0,"",IF(AND(COUNTIFS(Log!$D$6:$D$1505,D680,Log!$B$6:$B$1505,"&lt;"&amp;B680)&gt;0,COUNTIFS(Log!$D$6:$D$1505,D680,Log!$B$6:$B$1505,"&lt;"&amp;B680,Log!$X$6:$X$1505,"&gt;="&amp;X680)=0),"New best",""))</f>
        <v/>
      </c>
      <c r="T680" s="26" t="n"/>
      <c r="U680" s="1">
        <f>IF(D680="","",IFERROR(INDEX(Exercises!$C$6:$C$105,MATCH(D680,Exercises!$B$6:$B$105,0)),"Other"))</f>
        <v/>
      </c>
      <c r="V680">
        <f>IF(B680="","",IF(COUNTIF($B$6:B680,B680)=1,1,0))</f>
        <v/>
      </c>
      <c r="W680">
        <f>IF(B680="","",B680-WEEKDAY(B680,3))</f>
        <v/>
      </c>
      <c r="X680">
        <f>IF(D680="","",MAX(IF(N(F680)=0,0,IF(N(E680)&gt;0,E680*(1+F680/30),F680)),IF(N(H680)=0,0,IF(N(G680)&gt;0,G680*(1+H680/30),H680)),IF(N(J680)=0,0,IF(N(I680)&gt;0,I680*(1+J680/30),J680)),IF(N(L680)=0,0,IF(N(K680)&gt;0,K680*(1+L680/30),L680)),IF(N(N680)=0,0,IF(N(M680)&gt;0,M680*(1+N680/30),N680))))</f>
        <v/>
      </c>
      <c r="Y680">
        <f>IF(N(X680)=0,"",X680+ROW()/1000000000)</f>
        <v/>
      </c>
      <c r="Z680">
        <f>IF(Y680="","",IF(COUNTIFS(Log!$D$6:$D$1505,D680,Log!$Y$6:$Y$1505,"&gt;"&amp;Y680)=0,1,0))</f>
        <v/>
      </c>
      <c r="AA680">
        <f>IF(OR(B680="",D680=""),"",B680+ROW()/10000000)</f>
        <v/>
      </c>
      <c r="AB680">
        <f>IF(AA680="","",IF(COUNTIFS(Log!$D$6:$D$1505,D680,Log!$AA$6:$AA$1505,"&gt;"&amp;AA680)=0,1,0))</f>
        <v/>
      </c>
      <c r="AC680">
        <f>IF(S680="New best",AA680,"")</f>
        <v/>
      </c>
      <c r="AD680">
        <f>ROW()</f>
        <v/>
      </c>
    </row>
    <row r="681">
      <c r="A681" s="1" t="n"/>
      <c r="B681" s="21" t="n"/>
      <c r="C681" s="22" t="n"/>
      <c r="D681" s="23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15">
        <f>IF(D681="","",COUNT(F681,H681,J681,L681,N681))</f>
        <v/>
      </c>
      <c r="P681" s="25">
        <f>IF(D681="","",N(E681)*N(F681)+N(G681)*N(H681)+N(I681)*N(J681)+N(K681)*N(L681)+N(M681)*N(N681))</f>
        <v/>
      </c>
      <c r="Q681" s="18">
        <f>IF(N(X681)=0,"",IF(IF(N(F681)=0,0,IF(N(E681)&gt;0,E681*(1+F681/30),F681))=X681,IF(N(E681)&gt;0,E681&amp;" x "&amp;F681,F681&amp;" reps"),IF(IF(N(H681)=0,0,IF(N(G681)&gt;0,G681*(1+H681/30),H681))=X681,IF(N(G681)&gt;0,G681&amp;" x "&amp;H681,H681&amp;" reps"),IF(IF(N(J681)=0,0,IF(N(I681)&gt;0,I681*(1+J681/30),J681))=X681,IF(N(I681)&gt;0,I681&amp;" x "&amp;J681,J681&amp;" reps"),IF(IF(N(L681)=0,0,IF(N(K681)&gt;0,K681*(1+L681/30),L681))=X681,IF(N(K681)&gt;0,K681&amp;" x "&amp;L681,L681&amp;" reps"),IF(IF(N(N681)=0,0,IF(N(M681)&gt;0,M681*(1+N681/30),N681))=X681,IF(N(M681)&gt;0,M681&amp;" x "&amp;N681,N681&amp;" reps"),""))))))</f>
        <v/>
      </c>
      <c r="R681" s="20">
        <f>IF(N(X681)=0,"",ROUND(X681,1))</f>
        <v/>
      </c>
      <c r="S681" s="18">
        <f>IF(N(X681)=0,"",IF(AND(COUNTIFS(Log!$D$6:$D$1505,D681,Log!$B$6:$B$1505,"&lt;"&amp;B681)&gt;0,COUNTIFS(Log!$D$6:$D$1505,D681,Log!$B$6:$B$1505,"&lt;"&amp;B681,Log!$X$6:$X$1505,"&gt;="&amp;X681)=0),"New best",""))</f>
        <v/>
      </c>
      <c r="T681" s="26" t="n"/>
      <c r="U681" s="1">
        <f>IF(D681="","",IFERROR(INDEX(Exercises!$C$6:$C$105,MATCH(D681,Exercises!$B$6:$B$105,0)),"Other"))</f>
        <v/>
      </c>
      <c r="V681">
        <f>IF(B681="","",IF(COUNTIF($B$6:B681,B681)=1,1,0))</f>
        <v/>
      </c>
      <c r="W681">
        <f>IF(B681="","",B681-WEEKDAY(B681,3))</f>
        <v/>
      </c>
      <c r="X681">
        <f>IF(D681="","",MAX(IF(N(F681)=0,0,IF(N(E681)&gt;0,E681*(1+F681/30),F681)),IF(N(H681)=0,0,IF(N(G681)&gt;0,G681*(1+H681/30),H681)),IF(N(J681)=0,0,IF(N(I681)&gt;0,I681*(1+J681/30),J681)),IF(N(L681)=0,0,IF(N(K681)&gt;0,K681*(1+L681/30),L681)),IF(N(N681)=0,0,IF(N(M681)&gt;0,M681*(1+N681/30),N681))))</f>
        <v/>
      </c>
      <c r="Y681">
        <f>IF(N(X681)=0,"",X681+ROW()/1000000000)</f>
        <v/>
      </c>
      <c r="Z681">
        <f>IF(Y681="","",IF(COUNTIFS(Log!$D$6:$D$1505,D681,Log!$Y$6:$Y$1505,"&gt;"&amp;Y681)=0,1,0))</f>
        <v/>
      </c>
      <c r="AA681">
        <f>IF(OR(B681="",D681=""),"",B681+ROW()/10000000)</f>
        <v/>
      </c>
      <c r="AB681">
        <f>IF(AA681="","",IF(COUNTIFS(Log!$D$6:$D$1505,D681,Log!$AA$6:$AA$1505,"&gt;"&amp;AA681)=0,1,0))</f>
        <v/>
      </c>
      <c r="AC681">
        <f>IF(S681="New best",AA681,"")</f>
        <v/>
      </c>
      <c r="AD681">
        <f>ROW()</f>
        <v/>
      </c>
    </row>
    <row r="682">
      <c r="A682" s="1" t="n"/>
      <c r="B682" s="21" t="n"/>
      <c r="C682" s="22" t="n"/>
      <c r="D682" s="23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15">
        <f>IF(D682="","",COUNT(F682,H682,J682,L682,N682))</f>
        <v/>
      </c>
      <c r="P682" s="25">
        <f>IF(D682="","",N(E682)*N(F682)+N(G682)*N(H682)+N(I682)*N(J682)+N(K682)*N(L682)+N(M682)*N(N682))</f>
        <v/>
      </c>
      <c r="Q682" s="18">
        <f>IF(N(X682)=0,"",IF(IF(N(F682)=0,0,IF(N(E682)&gt;0,E682*(1+F682/30),F682))=X682,IF(N(E682)&gt;0,E682&amp;" x "&amp;F682,F682&amp;" reps"),IF(IF(N(H682)=0,0,IF(N(G682)&gt;0,G682*(1+H682/30),H682))=X682,IF(N(G682)&gt;0,G682&amp;" x "&amp;H682,H682&amp;" reps"),IF(IF(N(J682)=0,0,IF(N(I682)&gt;0,I682*(1+J682/30),J682))=X682,IF(N(I682)&gt;0,I682&amp;" x "&amp;J682,J682&amp;" reps"),IF(IF(N(L682)=0,0,IF(N(K682)&gt;0,K682*(1+L682/30),L682))=X682,IF(N(K682)&gt;0,K682&amp;" x "&amp;L682,L682&amp;" reps"),IF(IF(N(N682)=0,0,IF(N(M682)&gt;0,M682*(1+N682/30),N682))=X682,IF(N(M682)&gt;0,M682&amp;" x "&amp;N682,N682&amp;" reps"),""))))))</f>
        <v/>
      </c>
      <c r="R682" s="20">
        <f>IF(N(X682)=0,"",ROUND(X682,1))</f>
        <v/>
      </c>
      <c r="S682" s="18">
        <f>IF(N(X682)=0,"",IF(AND(COUNTIFS(Log!$D$6:$D$1505,D682,Log!$B$6:$B$1505,"&lt;"&amp;B682)&gt;0,COUNTIFS(Log!$D$6:$D$1505,D682,Log!$B$6:$B$1505,"&lt;"&amp;B682,Log!$X$6:$X$1505,"&gt;="&amp;X682)=0),"New best",""))</f>
        <v/>
      </c>
      <c r="T682" s="26" t="n"/>
      <c r="U682" s="1">
        <f>IF(D682="","",IFERROR(INDEX(Exercises!$C$6:$C$105,MATCH(D682,Exercises!$B$6:$B$105,0)),"Other"))</f>
        <v/>
      </c>
      <c r="V682">
        <f>IF(B682="","",IF(COUNTIF($B$6:B682,B682)=1,1,0))</f>
        <v/>
      </c>
      <c r="W682">
        <f>IF(B682="","",B682-WEEKDAY(B682,3))</f>
        <v/>
      </c>
      <c r="X682">
        <f>IF(D682="","",MAX(IF(N(F682)=0,0,IF(N(E682)&gt;0,E682*(1+F682/30),F682)),IF(N(H682)=0,0,IF(N(G682)&gt;0,G682*(1+H682/30),H682)),IF(N(J682)=0,0,IF(N(I682)&gt;0,I682*(1+J682/30),J682)),IF(N(L682)=0,0,IF(N(K682)&gt;0,K682*(1+L682/30),L682)),IF(N(N682)=0,0,IF(N(M682)&gt;0,M682*(1+N682/30),N682))))</f>
        <v/>
      </c>
      <c r="Y682">
        <f>IF(N(X682)=0,"",X682+ROW()/1000000000)</f>
        <v/>
      </c>
      <c r="Z682">
        <f>IF(Y682="","",IF(COUNTIFS(Log!$D$6:$D$1505,D682,Log!$Y$6:$Y$1505,"&gt;"&amp;Y682)=0,1,0))</f>
        <v/>
      </c>
      <c r="AA682">
        <f>IF(OR(B682="",D682=""),"",B682+ROW()/10000000)</f>
        <v/>
      </c>
      <c r="AB682">
        <f>IF(AA682="","",IF(COUNTIFS(Log!$D$6:$D$1505,D682,Log!$AA$6:$AA$1505,"&gt;"&amp;AA682)=0,1,0))</f>
        <v/>
      </c>
      <c r="AC682">
        <f>IF(S682="New best",AA682,"")</f>
        <v/>
      </c>
      <c r="AD682">
        <f>ROW()</f>
        <v/>
      </c>
    </row>
    <row r="683">
      <c r="A683" s="1" t="n"/>
      <c r="B683" s="21" t="n"/>
      <c r="C683" s="22" t="n"/>
      <c r="D683" s="23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15">
        <f>IF(D683="","",COUNT(F683,H683,J683,L683,N683))</f>
        <v/>
      </c>
      <c r="P683" s="25">
        <f>IF(D683="","",N(E683)*N(F683)+N(G683)*N(H683)+N(I683)*N(J683)+N(K683)*N(L683)+N(M683)*N(N683))</f>
        <v/>
      </c>
      <c r="Q683" s="18">
        <f>IF(N(X683)=0,"",IF(IF(N(F683)=0,0,IF(N(E683)&gt;0,E683*(1+F683/30),F683))=X683,IF(N(E683)&gt;0,E683&amp;" x "&amp;F683,F683&amp;" reps"),IF(IF(N(H683)=0,0,IF(N(G683)&gt;0,G683*(1+H683/30),H683))=X683,IF(N(G683)&gt;0,G683&amp;" x "&amp;H683,H683&amp;" reps"),IF(IF(N(J683)=0,0,IF(N(I683)&gt;0,I683*(1+J683/30),J683))=X683,IF(N(I683)&gt;0,I683&amp;" x "&amp;J683,J683&amp;" reps"),IF(IF(N(L683)=0,0,IF(N(K683)&gt;0,K683*(1+L683/30),L683))=X683,IF(N(K683)&gt;0,K683&amp;" x "&amp;L683,L683&amp;" reps"),IF(IF(N(N683)=0,0,IF(N(M683)&gt;0,M683*(1+N683/30),N683))=X683,IF(N(M683)&gt;0,M683&amp;" x "&amp;N683,N683&amp;" reps"),""))))))</f>
        <v/>
      </c>
      <c r="R683" s="20">
        <f>IF(N(X683)=0,"",ROUND(X683,1))</f>
        <v/>
      </c>
      <c r="S683" s="18">
        <f>IF(N(X683)=0,"",IF(AND(COUNTIFS(Log!$D$6:$D$1505,D683,Log!$B$6:$B$1505,"&lt;"&amp;B683)&gt;0,COUNTIFS(Log!$D$6:$D$1505,D683,Log!$B$6:$B$1505,"&lt;"&amp;B683,Log!$X$6:$X$1505,"&gt;="&amp;X683)=0),"New best",""))</f>
        <v/>
      </c>
      <c r="T683" s="26" t="n"/>
      <c r="U683" s="1">
        <f>IF(D683="","",IFERROR(INDEX(Exercises!$C$6:$C$105,MATCH(D683,Exercises!$B$6:$B$105,0)),"Other"))</f>
        <v/>
      </c>
      <c r="V683">
        <f>IF(B683="","",IF(COUNTIF($B$6:B683,B683)=1,1,0))</f>
        <v/>
      </c>
      <c r="W683">
        <f>IF(B683="","",B683-WEEKDAY(B683,3))</f>
        <v/>
      </c>
      <c r="X683">
        <f>IF(D683="","",MAX(IF(N(F683)=0,0,IF(N(E683)&gt;0,E683*(1+F683/30),F683)),IF(N(H683)=0,0,IF(N(G683)&gt;0,G683*(1+H683/30),H683)),IF(N(J683)=0,0,IF(N(I683)&gt;0,I683*(1+J683/30),J683)),IF(N(L683)=0,0,IF(N(K683)&gt;0,K683*(1+L683/30),L683)),IF(N(N683)=0,0,IF(N(M683)&gt;0,M683*(1+N683/30),N683))))</f>
        <v/>
      </c>
      <c r="Y683">
        <f>IF(N(X683)=0,"",X683+ROW()/1000000000)</f>
        <v/>
      </c>
      <c r="Z683">
        <f>IF(Y683="","",IF(COUNTIFS(Log!$D$6:$D$1505,D683,Log!$Y$6:$Y$1505,"&gt;"&amp;Y683)=0,1,0))</f>
        <v/>
      </c>
      <c r="AA683">
        <f>IF(OR(B683="",D683=""),"",B683+ROW()/10000000)</f>
        <v/>
      </c>
      <c r="AB683">
        <f>IF(AA683="","",IF(COUNTIFS(Log!$D$6:$D$1505,D683,Log!$AA$6:$AA$1505,"&gt;"&amp;AA683)=0,1,0))</f>
        <v/>
      </c>
      <c r="AC683">
        <f>IF(S683="New best",AA683,"")</f>
        <v/>
      </c>
      <c r="AD683">
        <f>ROW()</f>
        <v/>
      </c>
    </row>
    <row r="684">
      <c r="A684" s="1" t="n"/>
      <c r="B684" s="21" t="n"/>
      <c r="C684" s="22" t="n"/>
      <c r="D684" s="23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15">
        <f>IF(D684="","",COUNT(F684,H684,J684,L684,N684))</f>
        <v/>
      </c>
      <c r="P684" s="25">
        <f>IF(D684="","",N(E684)*N(F684)+N(G684)*N(H684)+N(I684)*N(J684)+N(K684)*N(L684)+N(M684)*N(N684))</f>
        <v/>
      </c>
      <c r="Q684" s="18">
        <f>IF(N(X684)=0,"",IF(IF(N(F684)=0,0,IF(N(E684)&gt;0,E684*(1+F684/30),F684))=X684,IF(N(E684)&gt;0,E684&amp;" x "&amp;F684,F684&amp;" reps"),IF(IF(N(H684)=0,0,IF(N(G684)&gt;0,G684*(1+H684/30),H684))=X684,IF(N(G684)&gt;0,G684&amp;" x "&amp;H684,H684&amp;" reps"),IF(IF(N(J684)=0,0,IF(N(I684)&gt;0,I684*(1+J684/30),J684))=X684,IF(N(I684)&gt;0,I684&amp;" x "&amp;J684,J684&amp;" reps"),IF(IF(N(L684)=0,0,IF(N(K684)&gt;0,K684*(1+L684/30),L684))=X684,IF(N(K684)&gt;0,K684&amp;" x "&amp;L684,L684&amp;" reps"),IF(IF(N(N684)=0,0,IF(N(M684)&gt;0,M684*(1+N684/30),N684))=X684,IF(N(M684)&gt;0,M684&amp;" x "&amp;N684,N684&amp;" reps"),""))))))</f>
        <v/>
      </c>
      <c r="R684" s="20">
        <f>IF(N(X684)=0,"",ROUND(X684,1))</f>
        <v/>
      </c>
      <c r="S684" s="18">
        <f>IF(N(X684)=0,"",IF(AND(COUNTIFS(Log!$D$6:$D$1505,D684,Log!$B$6:$B$1505,"&lt;"&amp;B684)&gt;0,COUNTIFS(Log!$D$6:$D$1505,D684,Log!$B$6:$B$1505,"&lt;"&amp;B684,Log!$X$6:$X$1505,"&gt;="&amp;X684)=0),"New best",""))</f>
        <v/>
      </c>
      <c r="T684" s="26" t="n"/>
      <c r="U684" s="1">
        <f>IF(D684="","",IFERROR(INDEX(Exercises!$C$6:$C$105,MATCH(D684,Exercises!$B$6:$B$105,0)),"Other"))</f>
        <v/>
      </c>
      <c r="V684">
        <f>IF(B684="","",IF(COUNTIF($B$6:B684,B684)=1,1,0))</f>
        <v/>
      </c>
      <c r="W684">
        <f>IF(B684="","",B684-WEEKDAY(B684,3))</f>
        <v/>
      </c>
      <c r="X684">
        <f>IF(D684="","",MAX(IF(N(F684)=0,0,IF(N(E684)&gt;0,E684*(1+F684/30),F684)),IF(N(H684)=0,0,IF(N(G684)&gt;0,G684*(1+H684/30),H684)),IF(N(J684)=0,0,IF(N(I684)&gt;0,I684*(1+J684/30),J684)),IF(N(L684)=0,0,IF(N(K684)&gt;0,K684*(1+L684/30),L684)),IF(N(N684)=0,0,IF(N(M684)&gt;0,M684*(1+N684/30),N684))))</f>
        <v/>
      </c>
      <c r="Y684">
        <f>IF(N(X684)=0,"",X684+ROW()/1000000000)</f>
        <v/>
      </c>
      <c r="Z684">
        <f>IF(Y684="","",IF(COUNTIFS(Log!$D$6:$D$1505,D684,Log!$Y$6:$Y$1505,"&gt;"&amp;Y684)=0,1,0))</f>
        <v/>
      </c>
      <c r="AA684">
        <f>IF(OR(B684="",D684=""),"",B684+ROW()/10000000)</f>
        <v/>
      </c>
      <c r="AB684">
        <f>IF(AA684="","",IF(COUNTIFS(Log!$D$6:$D$1505,D684,Log!$AA$6:$AA$1505,"&gt;"&amp;AA684)=0,1,0))</f>
        <v/>
      </c>
      <c r="AC684">
        <f>IF(S684="New best",AA684,"")</f>
        <v/>
      </c>
      <c r="AD684">
        <f>ROW()</f>
        <v/>
      </c>
    </row>
    <row r="685">
      <c r="A685" s="1" t="n"/>
      <c r="B685" s="21" t="n"/>
      <c r="C685" s="22" t="n"/>
      <c r="D685" s="23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15">
        <f>IF(D685="","",COUNT(F685,H685,J685,L685,N685))</f>
        <v/>
      </c>
      <c r="P685" s="25">
        <f>IF(D685="","",N(E685)*N(F685)+N(G685)*N(H685)+N(I685)*N(J685)+N(K685)*N(L685)+N(M685)*N(N685))</f>
        <v/>
      </c>
      <c r="Q685" s="18">
        <f>IF(N(X685)=0,"",IF(IF(N(F685)=0,0,IF(N(E685)&gt;0,E685*(1+F685/30),F685))=X685,IF(N(E685)&gt;0,E685&amp;" x "&amp;F685,F685&amp;" reps"),IF(IF(N(H685)=0,0,IF(N(G685)&gt;0,G685*(1+H685/30),H685))=X685,IF(N(G685)&gt;0,G685&amp;" x "&amp;H685,H685&amp;" reps"),IF(IF(N(J685)=0,0,IF(N(I685)&gt;0,I685*(1+J685/30),J685))=X685,IF(N(I685)&gt;0,I685&amp;" x "&amp;J685,J685&amp;" reps"),IF(IF(N(L685)=0,0,IF(N(K685)&gt;0,K685*(1+L685/30),L685))=X685,IF(N(K685)&gt;0,K685&amp;" x "&amp;L685,L685&amp;" reps"),IF(IF(N(N685)=0,0,IF(N(M685)&gt;0,M685*(1+N685/30),N685))=X685,IF(N(M685)&gt;0,M685&amp;" x "&amp;N685,N685&amp;" reps"),""))))))</f>
        <v/>
      </c>
      <c r="R685" s="20">
        <f>IF(N(X685)=0,"",ROUND(X685,1))</f>
        <v/>
      </c>
      <c r="S685" s="18">
        <f>IF(N(X685)=0,"",IF(AND(COUNTIFS(Log!$D$6:$D$1505,D685,Log!$B$6:$B$1505,"&lt;"&amp;B685)&gt;0,COUNTIFS(Log!$D$6:$D$1505,D685,Log!$B$6:$B$1505,"&lt;"&amp;B685,Log!$X$6:$X$1505,"&gt;="&amp;X685)=0),"New best",""))</f>
        <v/>
      </c>
      <c r="T685" s="26" t="n"/>
      <c r="U685" s="1">
        <f>IF(D685="","",IFERROR(INDEX(Exercises!$C$6:$C$105,MATCH(D685,Exercises!$B$6:$B$105,0)),"Other"))</f>
        <v/>
      </c>
      <c r="V685">
        <f>IF(B685="","",IF(COUNTIF($B$6:B685,B685)=1,1,0))</f>
        <v/>
      </c>
      <c r="W685">
        <f>IF(B685="","",B685-WEEKDAY(B685,3))</f>
        <v/>
      </c>
      <c r="X685">
        <f>IF(D685="","",MAX(IF(N(F685)=0,0,IF(N(E685)&gt;0,E685*(1+F685/30),F685)),IF(N(H685)=0,0,IF(N(G685)&gt;0,G685*(1+H685/30),H685)),IF(N(J685)=0,0,IF(N(I685)&gt;0,I685*(1+J685/30),J685)),IF(N(L685)=0,0,IF(N(K685)&gt;0,K685*(1+L685/30),L685)),IF(N(N685)=0,0,IF(N(M685)&gt;0,M685*(1+N685/30),N685))))</f>
        <v/>
      </c>
      <c r="Y685">
        <f>IF(N(X685)=0,"",X685+ROW()/1000000000)</f>
        <v/>
      </c>
      <c r="Z685">
        <f>IF(Y685="","",IF(COUNTIFS(Log!$D$6:$D$1505,D685,Log!$Y$6:$Y$1505,"&gt;"&amp;Y685)=0,1,0))</f>
        <v/>
      </c>
      <c r="AA685">
        <f>IF(OR(B685="",D685=""),"",B685+ROW()/10000000)</f>
        <v/>
      </c>
      <c r="AB685">
        <f>IF(AA685="","",IF(COUNTIFS(Log!$D$6:$D$1505,D685,Log!$AA$6:$AA$1505,"&gt;"&amp;AA685)=0,1,0))</f>
        <v/>
      </c>
      <c r="AC685">
        <f>IF(S685="New best",AA685,"")</f>
        <v/>
      </c>
      <c r="AD685">
        <f>ROW()</f>
        <v/>
      </c>
    </row>
    <row r="686">
      <c r="A686" s="1" t="n"/>
      <c r="B686" s="21" t="n"/>
      <c r="C686" s="22" t="n"/>
      <c r="D686" s="23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15">
        <f>IF(D686="","",COUNT(F686,H686,J686,L686,N686))</f>
        <v/>
      </c>
      <c r="P686" s="25">
        <f>IF(D686="","",N(E686)*N(F686)+N(G686)*N(H686)+N(I686)*N(J686)+N(K686)*N(L686)+N(M686)*N(N686))</f>
        <v/>
      </c>
      <c r="Q686" s="18">
        <f>IF(N(X686)=0,"",IF(IF(N(F686)=0,0,IF(N(E686)&gt;0,E686*(1+F686/30),F686))=X686,IF(N(E686)&gt;0,E686&amp;" x "&amp;F686,F686&amp;" reps"),IF(IF(N(H686)=0,0,IF(N(G686)&gt;0,G686*(1+H686/30),H686))=X686,IF(N(G686)&gt;0,G686&amp;" x "&amp;H686,H686&amp;" reps"),IF(IF(N(J686)=0,0,IF(N(I686)&gt;0,I686*(1+J686/30),J686))=X686,IF(N(I686)&gt;0,I686&amp;" x "&amp;J686,J686&amp;" reps"),IF(IF(N(L686)=0,0,IF(N(K686)&gt;0,K686*(1+L686/30),L686))=X686,IF(N(K686)&gt;0,K686&amp;" x "&amp;L686,L686&amp;" reps"),IF(IF(N(N686)=0,0,IF(N(M686)&gt;0,M686*(1+N686/30),N686))=X686,IF(N(M686)&gt;0,M686&amp;" x "&amp;N686,N686&amp;" reps"),""))))))</f>
        <v/>
      </c>
      <c r="R686" s="20">
        <f>IF(N(X686)=0,"",ROUND(X686,1))</f>
        <v/>
      </c>
      <c r="S686" s="18">
        <f>IF(N(X686)=0,"",IF(AND(COUNTIFS(Log!$D$6:$D$1505,D686,Log!$B$6:$B$1505,"&lt;"&amp;B686)&gt;0,COUNTIFS(Log!$D$6:$D$1505,D686,Log!$B$6:$B$1505,"&lt;"&amp;B686,Log!$X$6:$X$1505,"&gt;="&amp;X686)=0),"New best",""))</f>
        <v/>
      </c>
      <c r="T686" s="26" t="n"/>
      <c r="U686" s="1">
        <f>IF(D686="","",IFERROR(INDEX(Exercises!$C$6:$C$105,MATCH(D686,Exercises!$B$6:$B$105,0)),"Other"))</f>
        <v/>
      </c>
      <c r="V686">
        <f>IF(B686="","",IF(COUNTIF($B$6:B686,B686)=1,1,0))</f>
        <v/>
      </c>
      <c r="W686">
        <f>IF(B686="","",B686-WEEKDAY(B686,3))</f>
        <v/>
      </c>
      <c r="X686">
        <f>IF(D686="","",MAX(IF(N(F686)=0,0,IF(N(E686)&gt;0,E686*(1+F686/30),F686)),IF(N(H686)=0,0,IF(N(G686)&gt;0,G686*(1+H686/30),H686)),IF(N(J686)=0,0,IF(N(I686)&gt;0,I686*(1+J686/30),J686)),IF(N(L686)=0,0,IF(N(K686)&gt;0,K686*(1+L686/30),L686)),IF(N(N686)=0,0,IF(N(M686)&gt;0,M686*(1+N686/30),N686))))</f>
        <v/>
      </c>
      <c r="Y686">
        <f>IF(N(X686)=0,"",X686+ROW()/1000000000)</f>
        <v/>
      </c>
      <c r="Z686">
        <f>IF(Y686="","",IF(COUNTIFS(Log!$D$6:$D$1505,D686,Log!$Y$6:$Y$1505,"&gt;"&amp;Y686)=0,1,0))</f>
        <v/>
      </c>
      <c r="AA686">
        <f>IF(OR(B686="",D686=""),"",B686+ROW()/10000000)</f>
        <v/>
      </c>
      <c r="AB686">
        <f>IF(AA686="","",IF(COUNTIFS(Log!$D$6:$D$1505,D686,Log!$AA$6:$AA$1505,"&gt;"&amp;AA686)=0,1,0))</f>
        <v/>
      </c>
      <c r="AC686">
        <f>IF(S686="New best",AA686,"")</f>
        <v/>
      </c>
      <c r="AD686">
        <f>ROW()</f>
        <v/>
      </c>
    </row>
    <row r="687">
      <c r="A687" s="1" t="n"/>
      <c r="B687" s="21" t="n"/>
      <c r="C687" s="22" t="n"/>
      <c r="D687" s="23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15">
        <f>IF(D687="","",COUNT(F687,H687,J687,L687,N687))</f>
        <v/>
      </c>
      <c r="P687" s="25">
        <f>IF(D687="","",N(E687)*N(F687)+N(G687)*N(H687)+N(I687)*N(J687)+N(K687)*N(L687)+N(M687)*N(N687))</f>
        <v/>
      </c>
      <c r="Q687" s="18">
        <f>IF(N(X687)=0,"",IF(IF(N(F687)=0,0,IF(N(E687)&gt;0,E687*(1+F687/30),F687))=X687,IF(N(E687)&gt;0,E687&amp;" x "&amp;F687,F687&amp;" reps"),IF(IF(N(H687)=0,0,IF(N(G687)&gt;0,G687*(1+H687/30),H687))=X687,IF(N(G687)&gt;0,G687&amp;" x "&amp;H687,H687&amp;" reps"),IF(IF(N(J687)=0,0,IF(N(I687)&gt;0,I687*(1+J687/30),J687))=X687,IF(N(I687)&gt;0,I687&amp;" x "&amp;J687,J687&amp;" reps"),IF(IF(N(L687)=0,0,IF(N(K687)&gt;0,K687*(1+L687/30),L687))=X687,IF(N(K687)&gt;0,K687&amp;" x "&amp;L687,L687&amp;" reps"),IF(IF(N(N687)=0,0,IF(N(M687)&gt;0,M687*(1+N687/30),N687))=X687,IF(N(M687)&gt;0,M687&amp;" x "&amp;N687,N687&amp;" reps"),""))))))</f>
        <v/>
      </c>
      <c r="R687" s="20">
        <f>IF(N(X687)=0,"",ROUND(X687,1))</f>
        <v/>
      </c>
      <c r="S687" s="18">
        <f>IF(N(X687)=0,"",IF(AND(COUNTIFS(Log!$D$6:$D$1505,D687,Log!$B$6:$B$1505,"&lt;"&amp;B687)&gt;0,COUNTIFS(Log!$D$6:$D$1505,D687,Log!$B$6:$B$1505,"&lt;"&amp;B687,Log!$X$6:$X$1505,"&gt;="&amp;X687)=0),"New best",""))</f>
        <v/>
      </c>
      <c r="T687" s="26" t="n"/>
      <c r="U687" s="1">
        <f>IF(D687="","",IFERROR(INDEX(Exercises!$C$6:$C$105,MATCH(D687,Exercises!$B$6:$B$105,0)),"Other"))</f>
        <v/>
      </c>
      <c r="V687">
        <f>IF(B687="","",IF(COUNTIF($B$6:B687,B687)=1,1,0))</f>
        <v/>
      </c>
      <c r="W687">
        <f>IF(B687="","",B687-WEEKDAY(B687,3))</f>
        <v/>
      </c>
      <c r="X687">
        <f>IF(D687="","",MAX(IF(N(F687)=0,0,IF(N(E687)&gt;0,E687*(1+F687/30),F687)),IF(N(H687)=0,0,IF(N(G687)&gt;0,G687*(1+H687/30),H687)),IF(N(J687)=0,0,IF(N(I687)&gt;0,I687*(1+J687/30),J687)),IF(N(L687)=0,0,IF(N(K687)&gt;0,K687*(1+L687/30),L687)),IF(N(N687)=0,0,IF(N(M687)&gt;0,M687*(1+N687/30),N687))))</f>
        <v/>
      </c>
      <c r="Y687">
        <f>IF(N(X687)=0,"",X687+ROW()/1000000000)</f>
        <v/>
      </c>
      <c r="Z687">
        <f>IF(Y687="","",IF(COUNTIFS(Log!$D$6:$D$1505,D687,Log!$Y$6:$Y$1505,"&gt;"&amp;Y687)=0,1,0))</f>
        <v/>
      </c>
      <c r="AA687">
        <f>IF(OR(B687="",D687=""),"",B687+ROW()/10000000)</f>
        <v/>
      </c>
      <c r="AB687">
        <f>IF(AA687="","",IF(COUNTIFS(Log!$D$6:$D$1505,D687,Log!$AA$6:$AA$1505,"&gt;"&amp;AA687)=0,1,0))</f>
        <v/>
      </c>
      <c r="AC687">
        <f>IF(S687="New best",AA687,"")</f>
        <v/>
      </c>
      <c r="AD687">
        <f>ROW()</f>
        <v/>
      </c>
    </row>
    <row r="688">
      <c r="A688" s="1" t="n"/>
      <c r="B688" s="21" t="n"/>
      <c r="C688" s="22" t="n"/>
      <c r="D688" s="23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15">
        <f>IF(D688="","",COUNT(F688,H688,J688,L688,N688))</f>
        <v/>
      </c>
      <c r="P688" s="25">
        <f>IF(D688="","",N(E688)*N(F688)+N(G688)*N(H688)+N(I688)*N(J688)+N(K688)*N(L688)+N(M688)*N(N688))</f>
        <v/>
      </c>
      <c r="Q688" s="18">
        <f>IF(N(X688)=0,"",IF(IF(N(F688)=0,0,IF(N(E688)&gt;0,E688*(1+F688/30),F688))=X688,IF(N(E688)&gt;0,E688&amp;" x "&amp;F688,F688&amp;" reps"),IF(IF(N(H688)=0,0,IF(N(G688)&gt;0,G688*(1+H688/30),H688))=X688,IF(N(G688)&gt;0,G688&amp;" x "&amp;H688,H688&amp;" reps"),IF(IF(N(J688)=0,0,IF(N(I688)&gt;0,I688*(1+J688/30),J688))=X688,IF(N(I688)&gt;0,I688&amp;" x "&amp;J688,J688&amp;" reps"),IF(IF(N(L688)=0,0,IF(N(K688)&gt;0,K688*(1+L688/30),L688))=X688,IF(N(K688)&gt;0,K688&amp;" x "&amp;L688,L688&amp;" reps"),IF(IF(N(N688)=0,0,IF(N(M688)&gt;0,M688*(1+N688/30),N688))=X688,IF(N(M688)&gt;0,M688&amp;" x "&amp;N688,N688&amp;" reps"),""))))))</f>
        <v/>
      </c>
      <c r="R688" s="20">
        <f>IF(N(X688)=0,"",ROUND(X688,1))</f>
        <v/>
      </c>
      <c r="S688" s="18">
        <f>IF(N(X688)=0,"",IF(AND(COUNTIFS(Log!$D$6:$D$1505,D688,Log!$B$6:$B$1505,"&lt;"&amp;B688)&gt;0,COUNTIFS(Log!$D$6:$D$1505,D688,Log!$B$6:$B$1505,"&lt;"&amp;B688,Log!$X$6:$X$1505,"&gt;="&amp;X688)=0),"New best",""))</f>
        <v/>
      </c>
      <c r="T688" s="26" t="n"/>
      <c r="U688" s="1">
        <f>IF(D688="","",IFERROR(INDEX(Exercises!$C$6:$C$105,MATCH(D688,Exercises!$B$6:$B$105,0)),"Other"))</f>
        <v/>
      </c>
      <c r="V688">
        <f>IF(B688="","",IF(COUNTIF($B$6:B688,B688)=1,1,0))</f>
        <v/>
      </c>
      <c r="W688">
        <f>IF(B688="","",B688-WEEKDAY(B688,3))</f>
        <v/>
      </c>
      <c r="X688">
        <f>IF(D688="","",MAX(IF(N(F688)=0,0,IF(N(E688)&gt;0,E688*(1+F688/30),F688)),IF(N(H688)=0,0,IF(N(G688)&gt;0,G688*(1+H688/30),H688)),IF(N(J688)=0,0,IF(N(I688)&gt;0,I688*(1+J688/30),J688)),IF(N(L688)=0,0,IF(N(K688)&gt;0,K688*(1+L688/30),L688)),IF(N(N688)=0,0,IF(N(M688)&gt;0,M688*(1+N688/30),N688))))</f>
        <v/>
      </c>
      <c r="Y688">
        <f>IF(N(X688)=0,"",X688+ROW()/1000000000)</f>
        <v/>
      </c>
      <c r="Z688">
        <f>IF(Y688="","",IF(COUNTIFS(Log!$D$6:$D$1505,D688,Log!$Y$6:$Y$1505,"&gt;"&amp;Y688)=0,1,0))</f>
        <v/>
      </c>
      <c r="AA688">
        <f>IF(OR(B688="",D688=""),"",B688+ROW()/10000000)</f>
        <v/>
      </c>
      <c r="AB688">
        <f>IF(AA688="","",IF(COUNTIFS(Log!$D$6:$D$1505,D688,Log!$AA$6:$AA$1505,"&gt;"&amp;AA688)=0,1,0))</f>
        <v/>
      </c>
      <c r="AC688">
        <f>IF(S688="New best",AA688,"")</f>
        <v/>
      </c>
      <c r="AD688">
        <f>ROW()</f>
        <v/>
      </c>
    </row>
    <row r="689">
      <c r="A689" s="1" t="n"/>
      <c r="B689" s="21" t="n"/>
      <c r="C689" s="22" t="n"/>
      <c r="D689" s="23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15">
        <f>IF(D689="","",COUNT(F689,H689,J689,L689,N689))</f>
        <v/>
      </c>
      <c r="P689" s="25">
        <f>IF(D689="","",N(E689)*N(F689)+N(G689)*N(H689)+N(I689)*N(J689)+N(K689)*N(L689)+N(M689)*N(N689))</f>
        <v/>
      </c>
      <c r="Q689" s="18">
        <f>IF(N(X689)=0,"",IF(IF(N(F689)=0,0,IF(N(E689)&gt;0,E689*(1+F689/30),F689))=X689,IF(N(E689)&gt;0,E689&amp;" x "&amp;F689,F689&amp;" reps"),IF(IF(N(H689)=0,0,IF(N(G689)&gt;0,G689*(1+H689/30),H689))=X689,IF(N(G689)&gt;0,G689&amp;" x "&amp;H689,H689&amp;" reps"),IF(IF(N(J689)=0,0,IF(N(I689)&gt;0,I689*(1+J689/30),J689))=X689,IF(N(I689)&gt;0,I689&amp;" x "&amp;J689,J689&amp;" reps"),IF(IF(N(L689)=0,0,IF(N(K689)&gt;0,K689*(1+L689/30),L689))=X689,IF(N(K689)&gt;0,K689&amp;" x "&amp;L689,L689&amp;" reps"),IF(IF(N(N689)=0,0,IF(N(M689)&gt;0,M689*(1+N689/30),N689))=X689,IF(N(M689)&gt;0,M689&amp;" x "&amp;N689,N689&amp;" reps"),""))))))</f>
        <v/>
      </c>
      <c r="R689" s="20">
        <f>IF(N(X689)=0,"",ROUND(X689,1))</f>
        <v/>
      </c>
      <c r="S689" s="18">
        <f>IF(N(X689)=0,"",IF(AND(COUNTIFS(Log!$D$6:$D$1505,D689,Log!$B$6:$B$1505,"&lt;"&amp;B689)&gt;0,COUNTIFS(Log!$D$6:$D$1505,D689,Log!$B$6:$B$1505,"&lt;"&amp;B689,Log!$X$6:$X$1505,"&gt;="&amp;X689)=0),"New best",""))</f>
        <v/>
      </c>
      <c r="T689" s="26" t="n"/>
      <c r="U689" s="1">
        <f>IF(D689="","",IFERROR(INDEX(Exercises!$C$6:$C$105,MATCH(D689,Exercises!$B$6:$B$105,0)),"Other"))</f>
        <v/>
      </c>
      <c r="V689">
        <f>IF(B689="","",IF(COUNTIF($B$6:B689,B689)=1,1,0))</f>
        <v/>
      </c>
      <c r="W689">
        <f>IF(B689="","",B689-WEEKDAY(B689,3))</f>
        <v/>
      </c>
      <c r="X689">
        <f>IF(D689="","",MAX(IF(N(F689)=0,0,IF(N(E689)&gt;0,E689*(1+F689/30),F689)),IF(N(H689)=0,0,IF(N(G689)&gt;0,G689*(1+H689/30),H689)),IF(N(J689)=0,0,IF(N(I689)&gt;0,I689*(1+J689/30),J689)),IF(N(L689)=0,0,IF(N(K689)&gt;0,K689*(1+L689/30),L689)),IF(N(N689)=0,0,IF(N(M689)&gt;0,M689*(1+N689/30),N689))))</f>
        <v/>
      </c>
      <c r="Y689">
        <f>IF(N(X689)=0,"",X689+ROW()/1000000000)</f>
        <v/>
      </c>
      <c r="Z689">
        <f>IF(Y689="","",IF(COUNTIFS(Log!$D$6:$D$1505,D689,Log!$Y$6:$Y$1505,"&gt;"&amp;Y689)=0,1,0))</f>
        <v/>
      </c>
      <c r="AA689">
        <f>IF(OR(B689="",D689=""),"",B689+ROW()/10000000)</f>
        <v/>
      </c>
      <c r="AB689">
        <f>IF(AA689="","",IF(COUNTIFS(Log!$D$6:$D$1505,D689,Log!$AA$6:$AA$1505,"&gt;"&amp;AA689)=0,1,0))</f>
        <v/>
      </c>
      <c r="AC689">
        <f>IF(S689="New best",AA689,"")</f>
        <v/>
      </c>
      <c r="AD689">
        <f>ROW()</f>
        <v/>
      </c>
    </row>
    <row r="690">
      <c r="A690" s="1" t="n"/>
      <c r="B690" s="21" t="n"/>
      <c r="C690" s="22" t="n"/>
      <c r="D690" s="23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15">
        <f>IF(D690="","",COUNT(F690,H690,J690,L690,N690))</f>
        <v/>
      </c>
      <c r="P690" s="25">
        <f>IF(D690="","",N(E690)*N(F690)+N(G690)*N(H690)+N(I690)*N(J690)+N(K690)*N(L690)+N(M690)*N(N690))</f>
        <v/>
      </c>
      <c r="Q690" s="18">
        <f>IF(N(X690)=0,"",IF(IF(N(F690)=0,0,IF(N(E690)&gt;0,E690*(1+F690/30),F690))=X690,IF(N(E690)&gt;0,E690&amp;" x "&amp;F690,F690&amp;" reps"),IF(IF(N(H690)=0,0,IF(N(G690)&gt;0,G690*(1+H690/30),H690))=X690,IF(N(G690)&gt;0,G690&amp;" x "&amp;H690,H690&amp;" reps"),IF(IF(N(J690)=0,0,IF(N(I690)&gt;0,I690*(1+J690/30),J690))=X690,IF(N(I690)&gt;0,I690&amp;" x "&amp;J690,J690&amp;" reps"),IF(IF(N(L690)=0,0,IF(N(K690)&gt;0,K690*(1+L690/30),L690))=X690,IF(N(K690)&gt;0,K690&amp;" x "&amp;L690,L690&amp;" reps"),IF(IF(N(N690)=0,0,IF(N(M690)&gt;0,M690*(1+N690/30),N690))=X690,IF(N(M690)&gt;0,M690&amp;" x "&amp;N690,N690&amp;" reps"),""))))))</f>
        <v/>
      </c>
      <c r="R690" s="20">
        <f>IF(N(X690)=0,"",ROUND(X690,1))</f>
        <v/>
      </c>
      <c r="S690" s="18">
        <f>IF(N(X690)=0,"",IF(AND(COUNTIFS(Log!$D$6:$D$1505,D690,Log!$B$6:$B$1505,"&lt;"&amp;B690)&gt;0,COUNTIFS(Log!$D$6:$D$1505,D690,Log!$B$6:$B$1505,"&lt;"&amp;B690,Log!$X$6:$X$1505,"&gt;="&amp;X690)=0),"New best",""))</f>
        <v/>
      </c>
      <c r="T690" s="26" t="n"/>
      <c r="U690" s="1">
        <f>IF(D690="","",IFERROR(INDEX(Exercises!$C$6:$C$105,MATCH(D690,Exercises!$B$6:$B$105,0)),"Other"))</f>
        <v/>
      </c>
      <c r="V690">
        <f>IF(B690="","",IF(COUNTIF($B$6:B690,B690)=1,1,0))</f>
        <v/>
      </c>
      <c r="W690">
        <f>IF(B690="","",B690-WEEKDAY(B690,3))</f>
        <v/>
      </c>
      <c r="X690">
        <f>IF(D690="","",MAX(IF(N(F690)=0,0,IF(N(E690)&gt;0,E690*(1+F690/30),F690)),IF(N(H690)=0,0,IF(N(G690)&gt;0,G690*(1+H690/30),H690)),IF(N(J690)=0,0,IF(N(I690)&gt;0,I690*(1+J690/30),J690)),IF(N(L690)=0,0,IF(N(K690)&gt;0,K690*(1+L690/30),L690)),IF(N(N690)=0,0,IF(N(M690)&gt;0,M690*(1+N690/30),N690))))</f>
        <v/>
      </c>
      <c r="Y690">
        <f>IF(N(X690)=0,"",X690+ROW()/1000000000)</f>
        <v/>
      </c>
      <c r="Z690">
        <f>IF(Y690="","",IF(COUNTIFS(Log!$D$6:$D$1505,D690,Log!$Y$6:$Y$1505,"&gt;"&amp;Y690)=0,1,0))</f>
        <v/>
      </c>
      <c r="AA690">
        <f>IF(OR(B690="",D690=""),"",B690+ROW()/10000000)</f>
        <v/>
      </c>
      <c r="AB690">
        <f>IF(AA690="","",IF(COUNTIFS(Log!$D$6:$D$1505,D690,Log!$AA$6:$AA$1505,"&gt;"&amp;AA690)=0,1,0))</f>
        <v/>
      </c>
      <c r="AC690">
        <f>IF(S690="New best",AA690,"")</f>
        <v/>
      </c>
      <c r="AD690">
        <f>ROW()</f>
        <v/>
      </c>
    </row>
    <row r="691">
      <c r="A691" s="1" t="n"/>
      <c r="B691" s="21" t="n"/>
      <c r="C691" s="22" t="n"/>
      <c r="D691" s="23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15">
        <f>IF(D691="","",COUNT(F691,H691,J691,L691,N691))</f>
        <v/>
      </c>
      <c r="P691" s="25">
        <f>IF(D691="","",N(E691)*N(F691)+N(G691)*N(H691)+N(I691)*N(J691)+N(K691)*N(L691)+N(M691)*N(N691))</f>
        <v/>
      </c>
      <c r="Q691" s="18">
        <f>IF(N(X691)=0,"",IF(IF(N(F691)=0,0,IF(N(E691)&gt;0,E691*(1+F691/30),F691))=X691,IF(N(E691)&gt;0,E691&amp;" x "&amp;F691,F691&amp;" reps"),IF(IF(N(H691)=0,0,IF(N(G691)&gt;0,G691*(1+H691/30),H691))=X691,IF(N(G691)&gt;0,G691&amp;" x "&amp;H691,H691&amp;" reps"),IF(IF(N(J691)=0,0,IF(N(I691)&gt;0,I691*(1+J691/30),J691))=X691,IF(N(I691)&gt;0,I691&amp;" x "&amp;J691,J691&amp;" reps"),IF(IF(N(L691)=0,0,IF(N(K691)&gt;0,K691*(1+L691/30),L691))=X691,IF(N(K691)&gt;0,K691&amp;" x "&amp;L691,L691&amp;" reps"),IF(IF(N(N691)=0,0,IF(N(M691)&gt;0,M691*(1+N691/30),N691))=X691,IF(N(M691)&gt;0,M691&amp;" x "&amp;N691,N691&amp;" reps"),""))))))</f>
        <v/>
      </c>
      <c r="R691" s="20">
        <f>IF(N(X691)=0,"",ROUND(X691,1))</f>
        <v/>
      </c>
      <c r="S691" s="18">
        <f>IF(N(X691)=0,"",IF(AND(COUNTIFS(Log!$D$6:$D$1505,D691,Log!$B$6:$B$1505,"&lt;"&amp;B691)&gt;0,COUNTIFS(Log!$D$6:$D$1505,D691,Log!$B$6:$B$1505,"&lt;"&amp;B691,Log!$X$6:$X$1505,"&gt;="&amp;X691)=0),"New best",""))</f>
        <v/>
      </c>
      <c r="T691" s="26" t="n"/>
      <c r="U691" s="1">
        <f>IF(D691="","",IFERROR(INDEX(Exercises!$C$6:$C$105,MATCH(D691,Exercises!$B$6:$B$105,0)),"Other"))</f>
        <v/>
      </c>
      <c r="V691">
        <f>IF(B691="","",IF(COUNTIF($B$6:B691,B691)=1,1,0))</f>
        <v/>
      </c>
      <c r="W691">
        <f>IF(B691="","",B691-WEEKDAY(B691,3))</f>
        <v/>
      </c>
      <c r="X691">
        <f>IF(D691="","",MAX(IF(N(F691)=0,0,IF(N(E691)&gt;0,E691*(1+F691/30),F691)),IF(N(H691)=0,0,IF(N(G691)&gt;0,G691*(1+H691/30),H691)),IF(N(J691)=0,0,IF(N(I691)&gt;0,I691*(1+J691/30),J691)),IF(N(L691)=0,0,IF(N(K691)&gt;0,K691*(1+L691/30),L691)),IF(N(N691)=0,0,IF(N(M691)&gt;0,M691*(1+N691/30),N691))))</f>
        <v/>
      </c>
      <c r="Y691">
        <f>IF(N(X691)=0,"",X691+ROW()/1000000000)</f>
        <v/>
      </c>
      <c r="Z691">
        <f>IF(Y691="","",IF(COUNTIFS(Log!$D$6:$D$1505,D691,Log!$Y$6:$Y$1505,"&gt;"&amp;Y691)=0,1,0))</f>
        <v/>
      </c>
      <c r="AA691">
        <f>IF(OR(B691="",D691=""),"",B691+ROW()/10000000)</f>
        <v/>
      </c>
      <c r="AB691">
        <f>IF(AA691="","",IF(COUNTIFS(Log!$D$6:$D$1505,D691,Log!$AA$6:$AA$1505,"&gt;"&amp;AA691)=0,1,0))</f>
        <v/>
      </c>
      <c r="AC691">
        <f>IF(S691="New best",AA691,"")</f>
        <v/>
      </c>
      <c r="AD691">
        <f>ROW()</f>
        <v/>
      </c>
    </row>
    <row r="692">
      <c r="A692" s="1" t="n"/>
      <c r="B692" s="21" t="n"/>
      <c r="C692" s="22" t="n"/>
      <c r="D692" s="23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15">
        <f>IF(D692="","",COUNT(F692,H692,J692,L692,N692))</f>
        <v/>
      </c>
      <c r="P692" s="25">
        <f>IF(D692="","",N(E692)*N(F692)+N(G692)*N(H692)+N(I692)*N(J692)+N(K692)*N(L692)+N(M692)*N(N692))</f>
        <v/>
      </c>
      <c r="Q692" s="18">
        <f>IF(N(X692)=0,"",IF(IF(N(F692)=0,0,IF(N(E692)&gt;0,E692*(1+F692/30),F692))=X692,IF(N(E692)&gt;0,E692&amp;" x "&amp;F692,F692&amp;" reps"),IF(IF(N(H692)=0,0,IF(N(G692)&gt;0,G692*(1+H692/30),H692))=X692,IF(N(G692)&gt;0,G692&amp;" x "&amp;H692,H692&amp;" reps"),IF(IF(N(J692)=0,0,IF(N(I692)&gt;0,I692*(1+J692/30),J692))=X692,IF(N(I692)&gt;0,I692&amp;" x "&amp;J692,J692&amp;" reps"),IF(IF(N(L692)=0,0,IF(N(K692)&gt;0,K692*(1+L692/30),L692))=X692,IF(N(K692)&gt;0,K692&amp;" x "&amp;L692,L692&amp;" reps"),IF(IF(N(N692)=0,0,IF(N(M692)&gt;0,M692*(1+N692/30),N692))=X692,IF(N(M692)&gt;0,M692&amp;" x "&amp;N692,N692&amp;" reps"),""))))))</f>
        <v/>
      </c>
      <c r="R692" s="20">
        <f>IF(N(X692)=0,"",ROUND(X692,1))</f>
        <v/>
      </c>
      <c r="S692" s="18">
        <f>IF(N(X692)=0,"",IF(AND(COUNTIFS(Log!$D$6:$D$1505,D692,Log!$B$6:$B$1505,"&lt;"&amp;B692)&gt;0,COUNTIFS(Log!$D$6:$D$1505,D692,Log!$B$6:$B$1505,"&lt;"&amp;B692,Log!$X$6:$X$1505,"&gt;="&amp;X692)=0),"New best",""))</f>
        <v/>
      </c>
      <c r="T692" s="26" t="n"/>
      <c r="U692" s="1">
        <f>IF(D692="","",IFERROR(INDEX(Exercises!$C$6:$C$105,MATCH(D692,Exercises!$B$6:$B$105,0)),"Other"))</f>
        <v/>
      </c>
      <c r="V692">
        <f>IF(B692="","",IF(COUNTIF($B$6:B692,B692)=1,1,0))</f>
        <v/>
      </c>
      <c r="W692">
        <f>IF(B692="","",B692-WEEKDAY(B692,3))</f>
        <v/>
      </c>
      <c r="X692">
        <f>IF(D692="","",MAX(IF(N(F692)=0,0,IF(N(E692)&gt;0,E692*(1+F692/30),F692)),IF(N(H692)=0,0,IF(N(G692)&gt;0,G692*(1+H692/30),H692)),IF(N(J692)=0,0,IF(N(I692)&gt;0,I692*(1+J692/30),J692)),IF(N(L692)=0,0,IF(N(K692)&gt;0,K692*(1+L692/30),L692)),IF(N(N692)=0,0,IF(N(M692)&gt;0,M692*(1+N692/30),N692))))</f>
        <v/>
      </c>
      <c r="Y692">
        <f>IF(N(X692)=0,"",X692+ROW()/1000000000)</f>
        <v/>
      </c>
      <c r="Z692">
        <f>IF(Y692="","",IF(COUNTIFS(Log!$D$6:$D$1505,D692,Log!$Y$6:$Y$1505,"&gt;"&amp;Y692)=0,1,0))</f>
        <v/>
      </c>
      <c r="AA692">
        <f>IF(OR(B692="",D692=""),"",B692+ROW()/10000000)</f>
        <v/>
      </c>
      <c r="AB692">
        <f>IF(AA692="","",IF(COUNTIFS(Log!$D$6:$D$1505,D692,Log!$AA$6:$AA$1505,"&gt;"&amp;AA692)=0,1,0))</f>
        <v/>
      </c>
      <c r="AC692">
        <f>IF(S692="New best",AA692,"")</f>
        <v/>
      </c>
      <c r="AD692">
        <f>ROW()</f>
        <v/>
      </c>
    </row>
    <row r="693">
      <c r="A693" s="1" t="n"/>
      <c r="B693" s="21" t="n"/>
      <c r="C693" s="22" t="n"/>
      <c r="D693" s="23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15">
        <f>IF(D693="","",COUNT(F693,H693,J693,L693,N693))</f>
        <v/>
      </c>
      <c r="P693" s="25">
        <f>IF(D693="","",N(E693)*N(F693)+N(G693)*N(H693)+N(I693)*N(J693)+N(K693)*N(L693)+N(M693)*N(N693))</f>
        <v/>
      </c>
      <c r="Q693" s="18">
        <f>IF(N(X693)=0,"",IF(IF(N(F693)=0,0,IF(N(E693)&gt;0,E693*(1+F693/30),F693))=X693,IF(N(E693)&gt;0,E693&amp;" x "&amp;F693,F693&amp;" reps"),IF(IF(N(H693)=0,0,IF(N(G693)&gt;0,G693*(1+H693/30),H693))=X693,IF(N(G693)&gt;0,G693&amp;" x "&amp;H693,H693&amp;" reps"),IF(IF(N(J693)=0,0,IF(N(I693)&gt;0,I693*(1+J693/30),J693))=X693,IF(N(I693)&gt;0,I693&amp;" x "&amp;J693,J693&amp;" reps"),IF(IF(N(L693)=0,0,IF(N(K693)&gt;0,K693*(1+L693/30),L693))=X693,IF(N(K693)&gt;0,K693&amp;" x "&amp;L693,L693&amp;" reps"),IF(IF(N(N693)=0,0,IF(N(M693)&gt;0,M693*(1+N693/30),N693))=X693,IF(N(M693)&gt;0,M693&amp;" x "&amp;N693,N693&amp;" reps"),""))))))</f>
        <v/>
      </c>
      <c r="R693" s="20">
        <f>IF(N(X693)=0,"",ROUND(X693,1))</f>
        <v/>
      </c>
      <c r="S693" s="18">
        <f>IF(N(X693)=0,"",IF(AND(COUNTIFS(Log!$D$6:$D$1505,D693,Log!$B$6:$B$1505,"&lt;"&amp;B693)&gt;0,COUNTIFS(Log!$D$6:$D$1505,D693,Log!$B$6:$B$1505,"&lt;"&amp;B693,Log!$X$6:$X$1505,"&gt;="&amp;X693)=0),"New best",""))</f>
        <v/>
      </c>
      <c r="T693" s="26" t="n"/>
      <c r="U693" s="1">
        <f>IF(D693="","",IFERROR(INDEX(Exercises!$C$6:$C$105,MATCH(D693,Exercises!$B$6:$B$105,0)),"Other"))</f>
        <v/>
      </c>
      <c r="V693">
        <f>IF(B693="","",IF(COUNTIF($B$6:B693,B693)=1,1,0))</f>
        <v/>
      </c>
      <c r="W693">
        <f>IF(B693="","",B693-WEEKDAY(B693,3))</f>
        <v/>
      </c>
      <c r="X693">
        <f>IF(D693="","",MAX(IF(N(F693)=0,0,IF(N(E693)&gt;0,E693*(1+F693/30),F693)),IF(N(H693)=0,0,IF(N(G693)&gt;0,G693*(1+H693/30),H693)),IF(N(J693)=0,0,IF(N(I693)&gt;0,I693*(1+J693/30),J693)),IF(N(L693)=0,0,IF(N(K693)&gt;0,K693*(1+L693/30),L693)),IF(N(N693)=0,0,IF(N(M693)&gt;0,M693*(1+N693/30),N693))))</f>
        <v/>
      </c>
      <c r="Y693">
        <f>IF(N(X693)=0,"",X693+ROW()/1000000000)</f>
        <v/>
      </c>
      <c r="Z693">
        <f>IF(Y693="","",IF(COUNTIFS(Log!$D$6:$D$1505,D693,Log!$Y$6:$Y$1505,"&gt;"&amp;Y693)=0,1,0))</f>
        <v/>
      </c>
      <c r="AA693">
        <f>IF(OR(B693="",D693=""),"",B693+ROW()/10000000)</f>
        <v/>
      </c>
      <c r="AB693">
        <f>IF(AA693="","",IF(COUNTIFS(Log!$D$6:$D$1505,D693,Log!$AA$6:$AA$1505,"&gt;"&amp;AA693)=0,1,0))</f>
        <v/>
      </c>
      <c r="AC693">
        <f>IF(S693="New best",AA693,"")</f>
        <v/>
      </c>
      <c r="AD693">
        <f>ROW()</f>
        <v/>
      </c>
    </row>
    <row r="694">
      <c r="A694" s="1" t="n"/>
      <c r="B694" s="21" t="n"/>
      <c r="C694" s="22" t="n"/>
      <c r="D694" s="23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15">
        <f>IF(D694="","",COUNT(F694,H694,J694,L694,N694))</f>
        <v/>
      </c>
      <c r="P694" s="25">
        <f>IF(D694="","",N(E694)*N(F694)+N(G694)*N(H694)+N(I694)*N(J694)+N(K694)*N(L694)+N(M694)*N(N694))</f>
        <v/>
      </c>
      <c r="Q694" s="18">
        <f>IF(N(X694)=0,"",IF(IF(N(F694)=0,0,IF(N(E694)&gt;0,E694*(1+F694/30),F694))=X694,IF(N(E694)&gt;0,E694&amp;" x "&amp;F694,F694&amp;" reps"),IF(IF(N(H694)=0,0,IF(N(G694)&gt;0,G694*(1+H694/30),H694))=X694,IF(N(G694)&gt;0,G694&amp;" x "&amp;H694,H694&amp;" reps"),IF(IF(N(J694)=0,0,IF(N(I694)&gt;0,I694*(1+J694/30),J694))=X694,IF(N(I694)&gt;0,I694&amp;" x "&amp;J694,J694&amp;" reps"),IF(IF(N(L694)=0,0,IF(N(K694)&gt;0,K694*(1+L694/30),L694))=X694,IF(N(K694)&gt;0,K694&amp;" x "&amp;L694,L694&amp;" reps"),IF(IF(N(N694)=0,0,IF(N(M694)&gt;0,M694*(1+N694/30),N694))=X694,IF(N(M694)&gt;0,M694&amp;" x "&amp;N694,N694&amp;" reps"),""))))))</f>
        <v/>
      </c>
      <c r="R694" s="20">
        <f>IF(N(X694)=0,"",ROUND(X694,1))</f>
        <v/>
      </c>
      <c r="S694" s="18">
        <f>IF(N(X694)=0,"",IF(AND(COUNTIFS(Log!$D$6:$D$1505,D694,Log!$B$6:$B$1505,"&lt;"&amp;B694)&gt;0,COUNTIFS(Log!$D$6:$D$1505,D694,Log!$B$6:$B$1505,"&lt;"&amp;B694,Log!$X$6:$X$1505,"&gt;="&amp;X694)=0),"New best",""))</f>
        <v/>
      </c>
      <c r="T694" s="26" t="n"/>
      <c r="U694" s="1">
        <f>IF(D694="","",IFERROR(INDEX(Exercises!$C$6:$C$105,MATCH(D694,Exercises!$B$6:$B$105,0)),"Other"))</f>
        <v/>
      </c>
      <c r="V694">
        <f>IF(B694="","",IF(COUNTIF($B$6:B694,B694)=1,1,0))</f>
        <v/>
      </c>
      <c r="W694">
        <f>IF(B694="","",B694-WEEKDAY(B694,3))</f>
        <v/>
      </c>
      <c r="X694">
        <f>IF(D694="","",MAX(IF(N(F694)=0,0,IF(N(E694)&gt;0,E694*(1+F694/30),F694)),IF(N(H694)=0,0,IF(N(G694)&gt;0,G694*(1+H694/30),H694)),IF(N(J694)=0,0,IF(N(I694)&gt;0,I694*(1+J694/30),J694)),IF(N(L694)=0,0,IF(N(K694)&gt;0,K694*(1+L694/30),L694)),IF(N(N694)=0,0,IF(N(M694)&gt;0,M694*(1+N694/30),N694))))</f>
        <v/>
      </c>
      <c r="Y694">
        <f>IF(N(X694)=0,"",X694+ROW()/1000000000)</f>
        <v/>
      </c>
      <c r="Z694">
        <f>IF(Y694="","",IF(COUNTIFS(Log!$D$6:$D$1505,D694,Log!$Y$6:$Y$1505,"&gt;"&amp;Y694)=0,1,0))</f>
        <v/>
      </c>
      <c r="AA694">
        <f>IF(OR(B694="",D694=""),"",B694+ROW()/10000000)</f>
        <v/>
      </c>
      <c r="AB694">
        <f>IF(AA694="","",IF(COUNTIFS(Log!$D$6:$D$1505,D694,Log!$AA$6:$AA$1505,"&gt;"&amp;AA694)=0,1,0))</f>
        <v/>
      </c>
      <c r="AC694">
        <f>IF(S694="New best",AA694,"")</f>
        <v/>
      </c>
      <c r="AD694">
        <f>ROW()</f>
        <v/>
      </c>
    </row>
    <row r="695">
      <c r="A695" s="1" t="n"/>
      <c r="B695" s="21" t="n"/>
      <c r="C695" s="22" t="n"/>
      <c r="D695" s="23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15">
        <f>IF(D695="","",COUNT(F695,H695,J695,L695,N695))</f>
        <v/>
      </c>
      <c r="P695" s="25">
        <f>IF(D695="","",N(E695)*N(F695)+N(G695)*N(H695)+N(I695)*N(J695)+N(K695)*N(L695)+N(M695)*N(N695))</f>
        <v/>
      </c>
      <c r="Q695" s="18">
        <f>IF(N(X695)=0,"",IF(IF(N(F695)=0,0,IF(N(E695)&gt;0,E695*(1+F695/30),F695))=X695,IF(N(E695)&gt;0,E695&amp;" x "&amp;F695,F695&amp;" reps"),IF(IF(N(H695)=0,0,IF(N(G695)&gt;0,G695*(1+H695/30),H695))=X695,IF(N(G695)&gt;0,G695&amp;" x "&amp;H695,H695&amp;" reps"),IF(IF(N(J695)=0,0,IF(N(I695)&gt;0,I695*(1+J695/30),J695))=X695,IF(N(I695)&gt;0,I695&amp;" x "&amp;J695,J695&amp;" reps"),IF(IF(N(L695)=0,0,IF(N(K695)&gt;0,K695*(1+L695/30),L695))=X695,IF(N(K695)&gt;0,K695&amp;" x "&amp;L695,L695&amp;" reps"),IF(IF(N(N695)=0,0,IF(N(M695)&gt;0,M695*(1+N695/30),N695))=X695,IF(N(M695)&gt;0,M695&amp;" x "&amp;N695,N695&amp;" reps"),""))))))</f>
        <v/>
      </c>
      <c r="R695" s="20">
        <f>IF(N(X695)=0,"",ROUND(X695,1))</f>
        <v/>
      </c>
      <c r="S695" s="18">
        <f>IF(N(X695)=0,"",IF(AND(COUNTIFS(Log!$D$6:$D$1505,D695,Log!$B$6:$B$1505,"&lt;"&amp;B695)&gt;0,COUNTIFS(Log!$D$6:$D$1505,D695,Log!$B$6:$B$1505,"&lt;"&amp;B695,Log!$X$6:$X$1505,"&gt;="&amp;X695)=0),"New best",""))</f>
        <v/>
      </c>
      <c r="T695" s="26" t="n"/>
      <c r="U695" s="1">
        <f>IF(D695="","",IFERROR(INDEX(Exercises!$C$6:$C$105,MATCH(D695,Exercises!$B$6:$B$105,0)),"Other"))</f>
        <v/>
      </c>
      <c r="V695">
        <f>IF(B695="","",IF(COUNTIF($B$6:B695,B695)=1,1,0))</f>
        <v/>
      </c>
      <c r="W695">
        <f>IF(B695="","",B695-WEEKDAY(B695,3))</f>
        <v/>
      </c>
      <c r="X695">
        <f>IF(D695="","",MAX(IF(N(F695)=0,0,IF(N(E695)&gt;0,E695*(1+F695/30),F695)),IF(N(H695)=0,0,IF(N(G695)&gt;0,G695*(1+H695/30),H695)),IF(N(J695)=0,0,IF(N(I695)&gt;0,I695*(1+J695/30),J695)),IF(N(L695)=0,0,IF(N(K695)&gt;0,K695*(1+L695/30),L695)),IF(N(N695)=0,0,IF(N(M695)&gt;0,M695*(1+N695/30),N695))))</f>
        <v/>
      </c>
      <c r="Y695">
        <f>IF(N(X695)=0,"",X695+ROW()/1000000000)</f>
        <v/>
      </c>
      <c r="Z695">
        <f>IF(Y695="","",IF(COUNTIFS(Log!$D$6:$D$1505,D695,Log!$Y$6:$Y$1505,"&gt;"&amp;Y695)=0,1,0))</f>
        <v/>
      </c>
      <c r="AA695">
        <f>IF(OR(B695="",D695=""),"",B695+ROW()/10000000)</f>
        <v/>
      </c>
      <c r="AB695">
        <f>IF(AA695="","",IF(COUNTIFS(Log!$D$6:$D$1505,D695,Log!$AA$6:$AA$1505,"&gt;"&amp;AA695)=0,1,0))</f>
        <v/>
      </c>
      <c r="AC695">
        <f>IF(S695="New best",AA695,"")</f>
        <v/>
      </c>
      <c r="AD695">
        <f>ROW()</f>
        <v/>
      </c>
    </row>
    <row r="696">
      <c r="A696" s="1" t="n"/>
      <c r="B696" s="21" t="n"/>
      <c r="C696" s="22" t="n"/>
      <c r="D696" s="23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15">
        <f>IF(D696="","",COUNT(F696,H696,J696,L696,N696))</f>
        <v/>
      </c>
      <c r="P696" s="25">
        <f>IF(D696="","",N(E696)*N(F696)+N(G696)*N(H696)+N(I696)*N(J696)+N(K696)*N(L696)+N(M696)*N(N696))</f>
        <v/>
      </c>
      <c r="Q696" s="18">
        <f>IF(N(X696)=0,"",IF(IF(N(F696)=0,0,IF(N(E696)&gt;0,E696*(1+F696/30),F696))=X696,IF(N(E696)&gt;0,E696&amp;" x "&amp;F696,F696&amp;" reps"),IF(IF(N(H696)=0,0,IF(N(G696)&gt;0,G696*(1+H696/30),H696))=X696,IF(N(G696)&gt;0,G696&amp;" x "&amp;H696,H696&amp;" reps"),IF(IF(N(J696)=0,0,IF(N(I696)&gt;0,I696*(1+J696/30),J696))=X696,IF(N(I696)&gt;0,I696&amp;" x "&amp;J696,J696&amp;" reps"),IF(IF(N(L696)=0,0,IF(N(K696)&gt;0,K696*(1+L696/30),L696))=X696,IF(N(K696)&gt;0,K696&amp;" x "&amp;L696,L696&amp;" reps"),IF(IF(N(N696)=0,0,IF(N(M696)&gt;0,M696*(1+N696/30),N696))=X696,IF(N(M696)&gt;0,M696&amp;" x "&amp;N696,N696&amp;" reps"),""))))))</f>
        <v/>
      </c>
      <c r="R696" s="20">
        <f>IF(N(X696)=0,"",ROUND(X696,1))</f>
        <v/>
      </c>
      <c r="S696" s="18">
        <f>IF(N(X696)=0,"",IF(AND(COUNTIFS(Log!$D$6:$D$1505,D696,Log!$B$6:$B$1505,"&lt;"&amp;B696)&gt;0,COUNTIFS(Log!$D$6:$D$1505,D696,Log!$B$6:$B$1505,"&lt;"&amp;B696,Log!$X$6:$X$1505,"&gt;="&amp;X696)=0),"New best",""))</f>
        <v/>
      </c>
      <c r="T696" s="26" t="n"/>
      <c r="U696" s="1">
        <f>IF(D696="","",IFERROR(INDEX(Exercises!$C$6:$C$105,MATCH(D696,Exercises!$B$6:$B$105,0)),"Other"))</f>
        <v/>
      </c>
      <c r="V696">
        <f>IF(B696="","",IF(COUNTIF($B$6:B696,B696)=1,1,0))</f>
        <v/>
      </c>
      <c r="W696">
        <f>IF(B696="","",B696-WEEKDAY(B696,3))</f>
        <v/>
      </c>
      <c r="X696">
        <f>IF(D696="","",MAX(IF(N(F696)=0,0,IF(N(E696)&gt;0,E696*(1+F696/30),F696)),IF(N(H696)=0,0,IF(N(G696)&gt;0,G696*(1+H696/30),H696)),IF(N(J696)=0,0,IF(N(I696)&gt;0,I696*(1+J696/30),J696)),IF(N(L696)=0,0,IF(N(K696)&gt;0,K696*(1+L696/30),L696)),IF(N(N696)=0,0,IF(N(M696)&gt;0,M696*(1+N696/30),N696))))</f>
        <v/>
      </c>
      <c r="Y696">
        <f>IF(N(X696)=0,"",X696+ROW()/1000000000)</f>
        <v/>
      </c>
      <c r="Z696">
        <f>IF(Y696="","",IF(COUNTIFS(Log!$D$6:$D$1505,D696,Log!$Y$6:$Y$1505,"&gt;"&amp;Y696)=0,1,0))</f>
        <v/>
      </c>
      <c r="AA696">
        <f>IF(OR(B696="",D696=""),"",B696+ROW()/10000000)</f>
        <v/>
      </c>
      <c r="AB696">
        <f>IF(AA696="","",IF(COUNTIFS(Log!$D$6:$D$1505,D696,Log!$AA$6:$AA$1505,"&gt;"&amp;AA696)=0,1,0))</f>
        <v/>
      </c>
      <c r="AC696">
        <f>IF(S696="New best",AA696,"")</f>
        <v/>
      </c>
      <c r="AD696">
        <f>ROW()</f>
        <v/>
      </c>
    </row>
    <row r="697">
      <c r="A697" s="1" t="n"/>
      <c r="B697" s="21" t="n"/>
      <c r="C697" s="22" t="n"/>
      <c r="D697" s="23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15">
        <f>IF(D697="","",COUNT(F697,H697,J697,L697,N697))</f>
        <v/>
      </c>
      <c r="P697" s="25">
        <f>IF(D697="","",N(E697)*N(F697)+N(G697)*N(H697)+N(I697)*N(J697)+N(K697)*N(L697)+N(M697)*N(N697))</f>
        <v/>
      </c>
      <c r="Q697" s="18">
        <f>IF(N(X697)=0,"",IF(IF(N(F697)=0,0,IF(N(E697)&gt;0,E697*(1+F697/30),F697))=X697,IF(N(E697)&gt;0,E697&amp;" x "&amp;F697,F697&amp;" reps"),IF(IF(N(H697)=0,0,IF(N(G697)&gt;0,G697*(1+H697/30),H697))=X697,IF(N(G697)&gt;0,G697&amp;" x "&amp;H697,H697&amp;" reps"),IF(IF(N(J697)=0,0,IF(N(I697)&gt;0,I697*(1+J697/30),J697))=X697,IF(N(I697)&gt;0,I697&amp;" x "&amp;J697,J697&amp;" reps"),IF(IF(N(L697)=0,0,IF(N(K697)&gt;0,K697*(1+L697/30),L697))=X697,IF(N(K697)&gt;0,K697&amp;" x "&amp;L697,L697&amp;" reps"),IF(IF(N(N697)=0,0,IF(N(M697)&gt;0,M697*(1+N697/30),N697))=X697,IF(N(M697)&gt;0,M697&amp;" x "&amp;N697,N697&amp;" reps"),""))))))</f>
        <v/>
      </c>
      <c r="R697" s="20">
        <f>IF(N(X697)=0,"",ROUND(X697,1))</f>
        <v/>
      </c>
      <c r="S697" s="18">
        <f>IF(N(X697)=0,"",IF(AND(COUNTIFS(Log!$D$6:$D$1505,D697,Log!$B$6:$B$1505,"&lt;"&amp;B697)&gt;0,COUNTIFS(Log!$D$6:$D$1505,D697,Log!$B$6:$B$1505,"&lt;"&amp;B697,Log!$X$6:$X$1505,"&gt;="&amp;X697)=0),"New best",""))</f>
        <v/>
      </c>
      <c r="T697" s="26" t="n"/>
      <c r="U697" s="1">
        <f>IF(D697="","",IFERROR(INDEX(Exercises!$C$6:$C$105,MATCH(D697,Exercises!$B$6:$B$105,0)),"Other"))</f>
        <v/>
      </c>
      <c r="V697">
        <f>IF(B697="","",IF(COUNTIF($B$6:B697,B697)=1,1,0))</f>
        <v/>
      </c>
      <c r="W697">
        <f>IF(B697="","",B697-WEEKDAY(B697,3))</f>
        <v/>
      </c>
      <c r="X697">
        <f>IF(D697="","",MAX(IF(N(F697)=0,0,IF(N(E697)&gt;0,E697*(1+F697/30),F697)),IF(N(H697)=0,0,IF(N(G697)&gt;0,G697*(1+H697/30),H697)),IF(N(J697)=0,0,IF(N(I697)&gt;0,I697*(1+J697/30),J697)),IF(N(L697)=0,0,IF(N(K697)&gt;0,K697*(1+L697/30),L697)),IF(N(N697)=0,0,IF(N(M697)&gt;0,M697*(1+N697/30),N697))))</f>
        <v/>
      </c>
      <c r="Y697">
        <f>IF(N(X697)=0,"",X697+ROW()/1000000000)</f>
        <v/>
      </c>
      <c r="Z697">
        <f>IF(Y697="","",IF(COUNTIFS(Log!$D$6:$D$1505,D697,Log!$Y$6:$Y$1505,"&gt;"&amp;Y697)=0,1,0))</f>
        <v/>
      </c>
      <c r="AA697">
        <f>IF(OR(B697="",D697=""),"",B697+ROW()/10000000)</f>
        <v/>
      </c>
      <c r="AB697">
        <f>IF(AA697="","",IF(COUNTIFS(Log!$D$6:$D$1505,D697,Log!$AA$6:$AA$1505,"&gt;"&amp;AA697)=0,1,0))</f>
        <v/>
      </c>
      <c r="AC697">
        <f>IF(S697="New best",AA697,"")</f>
        <v/>
      </c>
      <c r="AD697">
        <f>ROW()</f>
        <v/>
      </c>
    </row>
    <row r="698">
      <c r="A698" s="1" t="n"/>
      <c r="B698" s="21" t="n"/>
      <c r="C698" s="22" t="n"/>
      <c r="D698" s="23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15">
        <f>IF(D698="","",COUNT(F698,H698,J698,L698,N698))</f>
        <v/>
      </c>
      <c r="P698" s="25">
        <f>IF(D698="","",N(E698)*N(F698)+N(G698)*N(H698)+N(I698)*N(J698)+N(K698)*N(L698)+N(M698)*N(N698))</f>
        <v/>
      </c>
      <c r="Q698" s="18">
        <f>IF(N(X698)=0,"",IF(IF(N(F698)=0,0,IF(N(E698)&gt;0,E698*(1+F698/30),F698))=X698,IF(N(E698)&gt;0,E698&amp;" x "&amp;F698,F698&amp;" reps"),IF(IF(N(H698)=0,0,IF(N(G698)&gt;0,G698*(1+H698/30),H698))=X698,IF(N(G698)&gt;0,G698&amp;" x "&amp;H698,H698&amp;" reps"),IF(IF(N(J698)=0,0,IF(N(I698)&gt;0,I698*(1+J698/30),J698))=X698,IF(N(I698)&gt;0,I698&amp;" x "&amp;J698,J698&amp;" reps"),IF(IF(N(L698)=0,0,IF(N(K698)&gt;0,K698*(1+L698/30),L698))=X698,IF(N(K698)&gt;0,K698&amp;" x "&amp;L698,L698&amp;" reps"),IF(IF(N(N698)=0,0,IF(N(M698)&gt;0,M698*(1+N698/30),N698))=X698,IF(N(M698)&gt;0,M698&amp;" x "&amp;N698,N698&amp;" reps"),""))))))</f>
        <v/>
      </c>
      <c r="R698" s="20">
        <f>IF(N(X698)=0,"",ROUND(X698,1))</f>
        <v/>
      </c>
      <c r="S698" s="18">
        <f>IF(N(X698)=0,"",IF(AND(COUNTIFS(Log!$D$6:$D$1505,D698,Log!$B$6:$B$1505,"&lt;"&amp;B698)&gt;0,COUNTIFS(Log!$D$6:$D$1505,D698,Log!$B$6:$B$1505,"&lt;"&amp;B698,Log!$X$6:$X$1505,"&gt;="&amp;X698)=0),"New best",""))</f>
        <v/>
      </c>
      <c r="T698" s="26" t="n"/>
      <c r="U698" s="1">
        <f>IF(D698="","",IFERROR(INDEX(Exercises!$C$6:$C$105,MATCH(D698,Exercises!$B$6:$B$105,0)),"Other"))</f>
        <v/>
      </c>
      <c r="V698">
        <f>IF(B698="","",IF(COUNTIF($B$6:B698,B698)=1,1,0))</f>
        <v/>
      </c>
      <c r="W698">
        <f>IF(B698="","",B698-WEEKDAY(B698,3))</f>
        <v/>
      </c>
      <c r="X698">
        <f>IF(D698="","",MAX(IF(N(F698)=0,0,IF(N(E698)&gt;0,E698*(1+F698/30),F698)),IF(N(H698)=0,0,IF(N(G698)&gt;0,G698*(1+H698/30),H698)),IF(N(J698)=0,0,IF(N(I698)&gt;0,I698*(1+J698/30),J698)),IF(N(L698)=0,0,IF(N(K698)&gt;0,K698*(1+L698/30),L698)),IF(N(N698)=0,0,IF(N(M698)&gt;0,M698*(1+N698/30),N698))))</f>
        <v/>
      </c>
      <c r="Y698">
        <f>IF(N(X698)=0,"",X698+ROW()/1000000000)</f>
        <v/>
      </c>
      <c r="Z698">
        <f>IF(Y698="","",IF(COUNTIFS(Log!$D$6:$D$1505,D698,Log!$Y$6:$Y$1505,"&gt;"&amp;Y698)=0,1,0))</f>
        <v/>
      </c>
      <c r="AA698">
        <f>IF(OR(B698="",D698=""),"",B698+ROW()/10000000)</f>
        <v/>
      </c>
      <c r="AB698">
        <f>IF(AA698="","",IF(COUNTIFS(Log!$D$6:$D$1505,D698,Log!$AA$6:$AA$1505,"&gt;"&amp;AA698)=0,1,0))</f>
        <v/>
      </c>
      <c r="AC698">
        <f>IF(S698="New best",AA698,"")</f>
        <v/>
      </c>
      <c r="AD698">
        <f>ROW()</f>
        <v/>
      </c>
    </row>
    <row r="699">
      <c r="A699" s="1" t="n"/>
      <c r="B699" s="21" t="n"/>
      <c r="C699" s="22" t="n"/>
      <c r="D699" s="23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15">
        <f>IF(D699="","",COUNT(F699,H699,J699,L699,N699))</f>
        <v/>
      </c>
      <c r="P699" s="25">
        <f>IF(D699="","",N(E699)*N(F699)+N(G699)*N(H699)+N(I699)*N(J699)+N(K699)*N(L699)+N(M699)*N(N699))</f>
        <v/>
      </c>
      <c r="Q699" s="18">
        <f>IF(N(X699)=0,"",IF(IF(N(F699)=0,0,IF(N(E699)&gt;0,E699*(1+F699/30),F699))=X699,IF(N(E699)&gt;0,E699&amp;" x "&amp;F699,F699&amp;" reps"),IF(IF(N(H699)=0,0,IF(N(G699)&gt;0,G699*(1+H699/30),H699))=X699,IF(N(G699)&gt;0,G699&amp;" x "&amp;H699,H699&amp;" reps"),IF(IF(N(J699)=0,0,IF(N(I699)&gt;0,I699*(1+J699/30),J699))=X699,IF(N(I699)&gt;0,I699&amp;" x "&amp;J699,J699&amp;" reps"),IF(IF(N(L699)=0,0,IF(N(K699)&gt;0,K699*(1+L699/30),L699))=X699,IF(N(K699)&gt;0,K699&amp;" x "&amp;L699,L699&amp;" reps"),IF(IF(N(N699)=0,0,IF(N(M699)&gt;0,M699*(1+N699/30),N699))=X699,IF(N(M699)&gt;0,M699&amp;" x "&amp;N699,N699&amp;" reps"),""))))))</f>
        <v/>
      </c>
      <c r="R699" s="20">
        <f>IF(N(X699)=0,"",ROUND(X699,1))</f>
        <v/>
      </c>
      <c r="S699" s="18">
        <f>IF(N(X699)=0,"",IF(AND(COUNTIFS(Log!$D$6:$D$1505,D699,Log!$B$6:$B$1505,"&lt;"&amp;B699)&gt;0,COUNTIFS(Log!$D$6:$D$1505,D699,Log!$B$6:$B$1505,"&lt;"&amp;B699,Log!$X$6:$X$1505,"&gt;="&amp;X699)=0),"New best",""))</f>
        <v/>
      </c>
      <c r="T699" s="26" t="n"/>
      <c r="U699" s="1">
        <f>IF(D699="","",IFERROR(INDEX(Exercises!$C$6:$C$105,MATCH(D699,Exercises!$B$6:$B$105,0)),"Other"))</f>
        <v/>
      </c>
      <c r="V699">
        <f>IF(B699="","",IF(COUNTIF($B$6:B699,B699)=1,1,0))</f>
        <v/>
      </c>
      <c r="W699">
        <f>IF(B699="","",B699-WEEKDAY(B699,3))</f>
        <v/>
      </c>
      <c r="X699">
        <f>IF(D699="","",MAX(IF(N(F699)=0,0,IF(N(E699)&gt;0,E699*(1+F699/30),F699)),IF(N(H699)=0,0,IF(N(G699)&gt;0,G699*(1+H699/30),H699)),IF(N(J699)=0,0,IF(N(I699)&gt;0,I699*(1+J699/30),J699)),IF(N(L699)=0,0,IF(N(K699)&gt;0,K699*(1+L699/30),L699)),IF(N(N699)=0,0,IF(N(M699)&gt;0,M699*(1+N699/30),N699))))</f>
        <v/>
      </c>
      <c r="Y699">
        <f>IF(N(X699)=0,"",X699+ROW()/1000000000)</f>
        <v/>
      </c>
      <c r="Z699">
        <f>IF(Y699="","",IF(COUNTIFS(Log!$D$6:$D$1505,D699,Log!$Y$6:$Y$1505,"&gt;"&amp;Y699)=0,1,0))</f>
        <v/>
      </c>
      <c r="AA699">
        <f>IF(OR(B699="",D699=""),"",B699+ROW()/10000000)</f>
        <v/>
      </c>
      <c r="AB699">
        <f>IF(AA699="","",IF(COUNTIFS(Log!$D$6:$D$1505,D699,Log!$AA$6:$AA$1505,"&gt;"&amp;AA699)=0,1,0))</f>
        <v/>
      </c>
      <c r="AC699">
        <f>IF(S699="New best",AA699,"")</f>
        <v/>
      </c>
      <c r="AD699">
        <f>ROW()</f>
        <v/>
      </c>
    </row>
    <row r="700">
      <c r="A700" s="1" t="n"/>
      <c r="B700" s="21" t="n"/>
      <c r="C700" s="22" t="n"/>
      <c r="D700" s="23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15">
        <f>IF(D700="","",COUNT(F700,H700,J700,L700,N700))</f>
        <v/>
      </c>
      <c r="P700" s="25">
        <f>IF(D700="","",N(E700)*N(F700)+N(G700)*N(H700)+N(I700)*N(J700)+N(K700)*N(L700)+N(M700)*N(N700))</f>
        <v/>
      </c>
      <c r="Q700" s="18">
        <f>IF(N(X700)=0,"",IF(IF(N(F700)=0,0,IF(N(E700)&gt;0,E700*(1+F700/30),F700))=X700,IF(N(E700)&gt;0,E700&amp;" x "&amp;F700,F700&amp;" reps"),IF(IF(N(H700)=0,0,IF(N(G700)&gt;0,G700*(1+H700/30),H700))=X700,IF(N(G700)&gt;0,G700&amp;" x "&amp;H700,H700&amp;" reps"),IF(IF(N(J700)=0,0,IF(N(I700)&gt;0,I700*(1+J700/30),J700))=X700,IF(N(I700)&gt;0,I700&amp;" x "&amp;J700,J700&amp;" reps"),IF(IF(N(L700)=0,0,IF(N(K700)&gt;0,K700*(1+L700/30),L700))=X700,IF(N(K700)&gt;0,K700&amp;" x "&amp;L700,L700&amp;" reps"),IF(IF(N(N700)=0,0,IF(N(M700)&gt;0,M700*(1+N700/30),N700))=X700,IF(N(M700)&gt;0,M700&amp;" x "&amp;N700,N700&amp;" reps"),""))))))</f>
        <v/>
      </c>
      <c r="R700" s="20">
        <f>IF(N(X700)=0,"",ROUND(X700,1))</f>
        <v/>
      </c>
      <c r="S700" s="18">
        <f>IF(N(X700)=0,"",IF(AND(COUNTIFS(Log!$D$6:$D$1505,D700,Log!$B$6:$B$1505,"&lt;"&amp;B700)&gt;0,COUNTIFS(Log!$D$6:$D$1505,D700,Log!$B$6:$B$1505,"&lt;"&amp;B700,Log!$X$6:$X$1505,"&gt;="&amp;X700)=0),"New best",""))</f>
        <v/>
      </c>
      <c r="T700" s="26" t="n"/>
      <c r="U700" s="1">
        <f>IF(D700="","",IFERROR(INDEX(Exercises!$C$6:$C$105,MATCH(D700,Exercises!$B$6:$B$105,0)),"Other"))</f>
        <v/>
      </c>
      <c r="V700">
        <f>IF(B700="","",IF(COUNTIF($B$6:B700,B700)=1,1,0))</f>
        <v/>
      </c>
      <c r="W700">
        <f>IF(B700="","",B700-WEEKDAY(B700,3))</f>
        <v/>
      </c>
      <c r="X700">
        <f>IF(D700="","",MAX(IF(N(F700)=0,0,IF(N(E700)&gt;0,E700*(1+F700/30),F700)),IF(N(H700)=0,0,IF(N(G700)&gt;0,G700*(1+H700/30),H700)),IF(N(J700)=0,0,IF(N(I700)&gt;0,I700*(1+J700/30),J700)),IF(N(L700)=0,0,IF(N(K700)&gt;0,K700*(1+L700/30),L700)),IF(N(N700)=0,0,IF(N(M700)&gt;0,M700*(1+N700/30),N700))))</f>
        <v/>
      </c>
      <c r="Y700">
        <f>IF(N(X700)=0,"",X700+ROW()/1000000000)</f>
        <v/>
      </c>
      <c r="Z700">
        <f>IF(Y700="","",IF(COUNTIFS(Log!$D$6:$D$1505,D700,Log!$Y$6:$Y$1505,"&gt;"&amp;Y700)=0,1,0))</f>
        <v/>
      </c>
      <c r="AA700">
        <f>IF(OR(B700="",D700=""),"",B700+ROW()/10000000)</f>
        <v/>
      </c>
      <c r="AB700">
        <f>IF(AA700="","",IF(COUNTIFS(Log!$D$6:$D$1505,D700,Log!$AA$6:$AA$1505,"&gt;"&amp;AA700)=0,1,0))</f>
        <v/>
      </c>
      <c r="AC700">
        <f>IF(S700="New best",AA700,"")</f>
        <v/>
      </c>
      <c r="AD700">
        <f>ROW()</f>
        <v/>
      </c>
    </row>
    <row r="701">
      <c r="A701" s="1" t="n"/>
      <c r="B701" s="21" t="n"/>
      <c r="C701" s="22" t="n"/>
      <c r="D701" s="23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15">
        <f>IF(D701="","",COUNT(F701,H701,J701,L701,N701))</f>
        <v/>
      </c>
      <c r="P701" s="25">
        <f>IF(D701="","",N(E701)*N(F701)+N(G701)*N(H701)+N(I701)*N(J701)+N(K701)*N(L701)+N(M701)*N(N701))</f>
        <v/>
      </c>
      <c r="Q701" s="18">
        <f>IF(N(X701)=0,"",IF(IF(N(F701)=0,0,IF(N(E701)&gt;0,E701*(1+F701/30),F701))=X701,IF(N(E701)&gt;0,E701&amp;" x "&amp;F701,F701&amp;" reps"),IF(IF(N(H701)=0,0,IF(N(G701)&gt;0,G701*(1+H701/30),H701))=X701,IF(N(G701)&gt;0,G701&amp;" x "&amp;H701,H701&amp;" reps"),IF(IF(N(J701)=0,0,IF(N(I701)&gt;0,I701*(1+J701/30),J701))=X701,IF(N(I701)&gt;0,I701&amp;" x "&amp;J701,J701&amp;" reps"),IF(IF(N(L701)=0,0,IF(N(K701)&gt;0,K701*(1+L701/30),L701))=X701,IF(N(K701)&gt;0,K701&amp;" x "&amp;L701,L701&amp;" reps"),IF(IF(N(N701)=0,0,IF(N(M701)&gt;0,M701*(1+N701/30),N701))=X701,IF(N(M701)&gt;0,M701&amp;" x "&amp;N701,N701&amp;" reps"),""))))))</f>
        <v/>
      </c>
      <c r="R701" s="20">
        <f>IF(N(X701)=0,"",ROUND(X701,1))</f>
        <v/>
      </c>
      <c r="S701" s="18">
        <f>IF(N(X701)=0,"",IF(AND(COUNTIFS(Log!$D$6:$D$1505,D701,Log!$B$6:$B$1505,"&lt;"&amp;B701)&gt;0,COUNTIFS(Log!$D$6:$D$1505,D701,Log!$B$6:$B$1505,"&lt;"&amp;B701,Log!$X$6:$X$1505,"&gt;="&amp;X701)=0),"New best",""))</f>
        <v/>
      </c>
      <c r="T701" s="26" t="n"/>
      <c r="U701" s="1">
        <f>IF(D701="","",IFERROR(INDEX(Exercises!$C$6:$C$105,MATCH(D701,Exercises!$B$6:$B$105,0)),"Other"))</f>
        <v/>
      </c>
      <c r="V701">
        <f>IF(B701="","",IF(COUNTIF($B$6:B701,B701)=1,1,0))</f>
        <v/>
      </c>
      <c r="W701">
        <f>IF(B701="","",B701-WEEKDAY(B701,3))</f>
        <v/>
      </c>
      <c r="X701">
        <f>IF(D701="","",MAX(IF(N(F701)=0,0,IF(N(E701)&gt;0,E701*(1+F701/30),F701)),IF(N(H701)=0,0,IF(N(G701)&gt;0,G701*(1+H701/30),H701)),IF(N(J701)=0,0,IF(N(I701)&gt;0,I701*(1+J701/30),J701)),IF(N(L701)=0,0,IF(N(K701)&gt;0,K701*(1+L701/30),L701)),IF(N(N701)=0,0,IF(N(M701)&gt;0,M701*(1+N701/30),N701))))</f>
        <v/>
      </c>
      <c r="Y701">
        <f>IF(N(X701)=0,"",X701+ROW()/1000000000)</f>
        <v/>
      </c>
      <c r="Z701">
        <f>IF(Y701="","",IF(COUNTIFS(Log!$D$6:$D$1505,D701,Log!$Y$6:$Y$1505,"&gt;"&amp;Y701)=0,1,0))</f>
        <v/>
      </c>
      <c r="AA701">
        <f>IF(OR(B701="",D701=""),"",B701+ROW()/10000000)</f>
        <v/>
      </c>
      <c r="AB701">
        <f>IF(AA701="","",IF(COUNTIFS(Log!$D$6:$D$1505,D701,Log!$AA$6:$AA$1505,"&gt;"&amp;AA701)=0,1,0))</f>
        <v/>
      </c>
      <c r="AC701">
        <f>IF(S701="New best",AA701,"")</f>
        <v/>
      </c>
      <c r="AD701">
        <f>ROW()</f>
        <v/>
      </c>
    </row>
    <row r="702">
      <c r="A702" s="1" t="n"/>
      <c r="B702" s="21" t="n"/>
      <c r="C702" s="22" t="n"/>
      <c r="D702" s="23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15">
        <f>IF(D702="","",COUNT(F702,H702,J702,L702,N702))</f>
        <v/>
      </c>
      <c r="P702" s="25">
        <f>IF(D702="","",N(E702)*N(F702)+N(G702)*N(H702)+N(I702)*N(J702)+N(K702)*N(L702)+N(M702)*N(N702))</f>
        <v/>
      </c>
      <c r="Q702" s="18">
        <f>IF(N(X702)=0,"",IF(IF(N(F702)=0,0,IF(N(E702)&gt;0,E702*(1+F702/30),F702))=X702,IF(N(E702)&gt;0,E702&amp;" x "&amp;F702,F702&amp;" reps"),IF(IF(N(H702)=0,0,IF(N(G702)&gt;0,G702*(1+H702/30),H702))=X702,IF(N(G702)&gt;0,G702&amp;" x "&amp;H702,H702&amp;" reps"),IF(IF(N(J702)=0,0,IF(N(I702)&gt;0,I702*(1+J702/30),J702))=X702,IF(N(I702)&gt;0,I702&amp;" x "&amp;J702,J702&amp;" reps"),IF(IF(N(L702)=0,0,IF(N(K702)&gt;0,K702*(1+L702/30),L702))=X702,IF(N(K702)&gt;0,K702&amp;" x "&amp;L702,L702&amp;" reps"),IF(IF(N(N702)=0,0,IF(N(M702)&gt;0,M702*(1+N702/30),N702))=X702,IF(N(M702)&gt;0,M702&amp;" x "&amp;N702,N702&amp;" reps"),""))))))</f>
        <v/>
      </c>
      <c r="R702" s="20">
        <f>IF(N(X702)=0,"",ROUND(X702,1))</f>
        <v/>
      </c>
      <c r="S702" s="18">
        <f>IF(N(X702)=0,"",IF(AND(COUNTIFS(Log!$D$6:$D$1505,D702,Log!$B$6:$B$1505,"&lt;"&amp;B702)&gt;0,COUNTIFS(Log!$D$6:$D$1505,D702,Log!$B$6:$B$1505,"&lt;"&amp;B702,Log!$X$6:$X$1505,"&gt;="&amp;X702)=0),"New best",""))</f>
        <v/>
      </c>
      <c r="T702" s="26" t="n"/>
      <c r="U702" s="1">
        <f>IF(D702="","",IFERROR(INDEX(Exercises!$C$6:$C$105,MATCH(D702,Exercises!$B$6:$B$105,0)),"Other"))</f>
        <v/>
      </c>
      <c r="V702">
        <f>IF(B702="","",IF(COUNTIF($B$6:B702,B702)=1,1,0))</f>
        <v/>
      </c>
      <c r="W702">
        <f>IF(B702="","",B702-WEEKDAY(B702,3))</f>
        <v/>
      </c>
      <c r="X702">
        <f>IF(D702="","",MAX(IF(N(F702)=0,0,IF(N(E702)&gt;0,E702*(1+F702/30),F702)),IF(N(H702)=0,0,IF(N(G702)&gt;0,G702*(1+H702/30),H702)),IF(N(J702)=0,0,IF(N(I702)&gt;0,I702*(1+J702/30),J702)),IF(N(L702)=0,0,IF(N(K702)&gt;0,K702*(1+L702/30),L702)),IF(N(N702)=0,0,IF(N(M702)&gt;0,M702*(1+N702/30),N702))))</f>
        <v/>
      </c>
      <c r="Y702">
        <f>IF(N(X702)=0,"",X702+ROW()/1000000000)</f>
        <v/>
      </c>
      <c r="Z702">
        <f>IF(Y702="","",IF(COUNTIFS(Log!$D$6:$D$1505,D702,Log!$Y$6:$Y$1505,"&gt;"&amp;Y702)=0,1,0))</f>
        <v/>
      </c>
      <c r="AA702">
        <f>IF(OR(B702="",D702=""),"",B702+ROW()/10000000)</f>
        <v/>
      </c>
      <c r="AB702">
        <f>IF(AA702="","",IF(COUNTIFS(Log!$D$6:$D$1505,D702,Log!$AA$6:$AA$1505,"&gt;"&amp;AA702)=0,1,0))</f>
        <v/>
      </c>
      <c r="AC702">
        <f>IF(S702="New best",AA702,"")</f>
        <v/>
      </c>
      <c r="AD702">
        <f>ROW()</f>
        <v/>
      </c>
    </row>
    <row r="703">
      <c r="A703" s="1" t="n"/>
      <c r="B703" s="21" t="n"/>
      <c r="C703" s="22" t="n"/>
      <c r="D703" s="23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15">
        <f>IF(D703="","",COUNT(F703,H703,J703,L703,N703))</f>
        <v/>
      </c>
      <c r="P703" s="25">
        <f>IF(D703="","",N(E703)*N(F703)+N(G703)*N(H703)+N(I703)*N(J703)+N(K703)*N(L703)+N(M703)*N(N703))</f>
        <v/>
      </c>
      <c r="Q703" s="18">
        <f>IF(N(X703)=0,"",IF(IF(N(F703)=0,0,IF(N(E703)&gt;0,E703*(1+F703/30),F703))=X703,IF(N(E703)&gt;0,E703&amp;" x "&amp;F703,F703&amp;" reps"),IF(IF(N(H703)=0,0,IF(N(G703)&gt;0,G703*(1+H703/30),H703))=X703,IF(N(G703)&gt;0,G703&amp;" x "&amp;H703,H703&amp;" reps"),IF(IF(N(J703)=0,0,IF(N(I703)&gt;0,I703*(1+J703/30),J703))=X703,IF(N(I703)&gt;0,I703&amp;" x "&amp;J703,J703&amp;" reps"),IF(IF(N(L703)=0,0,IF(N(K703)&gt;0,K703*(1+L703/30),L703))=X703,IF(N(K703)&gt;0,K703&amp;" x "&amp;L703,L703&amp;" reps"),IF(IF(N(N703)=0,0,IF(N(M703)&gt;0,M703*(1+N703/30),N703))=X703,IF(N(M703)&gt;0,M703&amp;" x "&amp;N703,N703&amp;" reps"),""))))))</f>
        <v/>
      </c>
      <c r="R703" s="20">
        <f>IF(N(X703)=0,"",ROUND(X703,1))</f>
        <v/>
      </c>
      <c r="S703" s="18">
        <f>IF(N(X703)=0,"",IF(AND(COUNTIFS(Log!$D$6:$D$1505,D703,Log!$B$6:$B$1505,"&lt;"&amp;B703)&gt;0,COUNTIFS(Log!$D$6:$D$1505,D703,Log!$B$6:$B$1505,"&lt;"&amp;B703,Log!$X$6:$X$1505,"&gt;="&amp;X703)=0),"New best",""))</f>
        <v/>
      </c>
      <c r="T703" s="26" t="n"/>
      <c r="U703" s="1">
        <f>IF(D703="","",IFERROR(INDEX(Exercises!$C$6:$C$105,MATCH(D703,Exercises!$B$6:$B$105,0)),"Other"))</f>
        <v/>
      </c>
      <c r="V703">
        <f>IF(B703="","",IF(COUNTIF($B$6:B703,B703)=1,1,0))</f>
        <v/>
      </c>
      <c r="W703">
        <f>IF(B703="","",B703-WEEKDAY(B703,3))</f>
        <v/>
      </c>
      <c r="X703">
        <f>IF(D703="","",MAX(IF(N(F703)=0,0,IF(N(E703)&gt;0,E703*(1+F703/30),F703)),IF(N(H703)=0,0,IF(N(G703)&gt;0,G703*(1+H703/30),H703)),IF(N(J703)=0,0,IF(N(I703)&gt;0,I703*(1+J703/30),J703)),IF(N(L703)=0,0,IF(N(K703)&gt;0,K703*(1+L703/30),L703)),IF(N(N703)=0,0,IF(N(M703)&gt;0,M703*(1+N703/30),N703))))</f>
        <v/>
      </c>
      <c r="Y703">
        <f>IF(N(X703)=0,"",X703+ROW()/1000000000)</f>
        <v/>
      </c>
      <c r="Z703">
        <f>IF(Y703="","",IF(COUNTIFS(Log!$D$6:$D$1505,D703,Log!$Y$6:$Y$1505,"&gt;"&amp;Y703)=0,1,0))</f>
        <v/>
      </c>
      <c r="AA703">
        <f>IF(OR(B703="",D703=""),"",B703+ROW()/10000000)</f>
        <v/>
      </c>
      <c r="AB703">
        <f>IF(AA703="","",IF(COUNTIFS(Log!$D$6:$D$1505,D703,Log!$AA$6:$AA$1505,"&gt;"&amp;AA703)=0,1,0))</f>
        <v/>
      </c>
      <c r="AC703">
        <f>IF(S703="New best",AA703,"")</f>
        <v/>
      </c>
      <c r="AD703">
        <f>ROW()</f>
        <v/>
      </c>
    </row>
    <row r="704">
      <c r="A704" s="1" t="n"/>
      <c r="B704" s="21" t="n"/>
      <c r="C704" s="22" t="n"/>
      <c r="D704" s="23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15">
        <f>IF(D704="","",COUNT(F704,H704,J704,L704,N704))</f>
        <v/>
      </c>
      <c r="P704" s="25">
        <f>IF(D704="","",N(E704)*N(F704)+N(G704)*N(H704)+N(I704)*N(J704)+N(K704)*N(L704)+N(M704)*N(N704))</f>
        <v/>
      </c>
      <c r="Q704" s="18">
        <f>IF(N(X704)=0,"",IF(IF(N(F704)=0,0,IF(N(E704)&gt;0,E704*(1+F704/30),F704))=X704,IF(N(E704)&gt;0,E704&amp;" x "&amp;F704,F704&amp;" reps"),IF(IF(N(H704)=0,0,IF(N(G704)&gt;0,G704*(1+H704/30),H704))=X704,IF(N(G704)&gt;0,G704&amp;" x "&amp;H704,H704&amp;" reps"),IF(IF(N(J704)=0,0,IF(N(I704)&gt;0,I704*(1+J704/30),J704))=X704,IF(N(I704)&gt;0,I704&amp;" x "&amp;J704,J704&amp;" reps"),IF(IF(N(L704)=0,0,IF(N(K704)&gt;0,K704*(1+L704/30),L704))=X704,IF(N(K704)&gt;0,K704&amp;" x "&amp;L704,L704&amp;" reps"),IF(IF(N(N704)=0,0,IF(N(M704)&gt;0,M704*(1+N704/30),N704))=X704,IF(N(M704)&gt;0,M704&amp;" x "&amp;N704,N704&amp;" reps"),""))))))</f>
        <v/>
      </c>
      <c r="R704" s="20">
        <f>IF(N(X704)=0,"",ROUND(X704,1))</f>
        <v/>
      </c>
      <c r="S704" s="18">
        <f>IF(N(X704)=0,"",IF(AND(COUNTIFS(Log!$D$6:$D$1505,D704,Log!$B$6:$B$1505,"&lt;"&amp;B704)&gt;0,COUNTIFS(Log!$D$6:$D$1505,D704,Log!$B$6:$B$1505,"&lt;"&amp;B704,Log!$X$6:$X$1505,"&gt;="&amp;X704)=0),"New best",""))</f>
        <v/>
      </c>
      <c r="T704" s="26" t="n"/>
      <c r="U704" s="1">
        <f>IF(D704="","",IFERROR(INDEX(Exercises!$C$6:$C$105,MATCH(D704,Exercises!$B$6:$B$105,0)),"Other"))</f>
        <v/>
      </c>
      <c r="V704">
        <f>IF(B704="","",IF(COUNTIF($B$6:B704,B704)=1,1,0))</f>
        <v/>
      </c>
      <c r="W704">
        <f>IF(B704="","",B704-WEEKDAY(B704,3))</f>
        <v/>
      </c>
      <c r="X704">
        <f>IF(D704="","",MAX(IF(N(F704)=0,0,IF(N(E704)&gt;0,E704*(1+F704/30),F704)),IF(N(H704)=0,0,IF(N(G704)&gt;0,G704*(1+H704/30),H704)),IF(N(J704)=0,0,IF(N(I704)&gt;0,I704*(1+J704/30),J704)),IF(N(L704)=0,0,IF(N(K704)&gt;0,K704*(1+L704/30),L704)),IF(N(N704)=0,0,IF(N(M704)&gt;0,M704*(1+N704/30),N704))))</f>
        <v/>
      </c>
      <c r="Y704">
        <f>IF(N(X704)=0,"",X704+ROW()/1000000000)</f>
        <v/>
      </c>
      <c r="Z704">
        <f>IF(Y704="","",IF(COUNTIFS(Log!$D$6:$D$1505,D704,Log!$Y$6:$Y$1505,"&gt;"&amp;Y704)=0,1,0))</f>
        <v/>
      </c>
      <c r="AA704">
        <f>IF(OR(B704="",D704=""),"",B704+ROW()/10000000)</f>
        <v/>
      </c>
      <c r="AB704">
        <f>IF(AA704="","",IF(COUNTIFS(Log!$D$6:$D$1505,D704,Log!$AA$6:$AA$1505,"&gt;"&amp;AA704)=0,1,0))</f>
        <v/>
      </c>
      <c r="AC704">
        <f>IF(S704="New best",AA704,"")</f>
        <v/>
      </c>
      <c r="AD704">
        <f>ROW()</f>
        <v/>
      </c>
    </row>
    <row r="705">
      <c r="A705" s="1" t="n"/>
      <c r="B705" s="21" t="n"/>
      <c r="C705" s="22" t="n"/>
      <c r="D705" s="23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15">
        <f>IF(D705="","",COUNT(F705,H705,J705,L705,N705))</f>
        <v/>
      </c>
      <c r="P705" s="25">
        <f>IF(D705="","",N(E705)*N(F705)+N(G705)*N(H705)+N(I705)*N(J705)+N(K705)*N(L705)+N(M705)*N(N705))</f>
        <v/>
      </c>
      <c r="Q705" s="18">
        <f>IF(N(X705)=0,"",IF(IF(N(F705)=0,0,IF(N(E705)&gt;0,E705*(1+F705/30),F705))=X705,IF(N(E705)&gt;0,E705&amp;" x "&amp;F705,F705&amp;" reps"),IF(IF(N(H705)=0,0,IF(N(G705)&gt;0,G705*(1+H705/30),H705))=X705,IF(N(G705)&gt;0,G705&amp;" x "&amp;H705,H705&amp;" reps"),IF(IF(N(J705)=0,0,IF(N(I705)&gt;0,I705*(1+J705/30),J705))=X705,IF(N(I705)&gt;0,I705&amp;" x "&amp;J705,J705&amp;" reps"),IF(IF(N(L705)=0,0,IF(N(K705)&gt;0,K705*(1+L705/30),L705))=X705,IF(N(K705)&gt;0,K705&amp;" x "&amp;L705,L705&amp;" reps"),IF(IF(N(N705)=0,0,IF(N(M705)&gt;0,M705*(1+N705/30),N705))=X705,IF(N(M705)&gt;0,M705&amp;" x "&amp;N705,N705&amp;" reps"),""))))))</f>
        <v/>
      </c>
      <c r="R705" s="20">
        <f>IF(N(X705)=0,"",ROUND(X705,1))</f>
        <v/>
      </c>
      <c r="S705" s="18">
        <f>IF(N(X705)=0,"",IF(AND(COUNTIFS(Log!$D$6:$D$1505,D705,Log!$B$6:$B$1505,"&lt;"&amp;B705)&gt;0,COUNTIFS(Log!$D$6:$D$1505,D705,Log!$B$6:$B$1505,"&lt;"&amp;B705,Log!$X$6:$X$1505,"&gt;="&amp;X705)=0),"New best",""))</f>
        <v/>
      </c>
      <c r="T705" s="26" t="n"/>
      <c r="U705" s="1">
        <f>IF(D705="","",IFERROR(INDEX(Exercises!$C$6:$C$105,MATCH(D705,Exercises!$B$6:$B$105,0)),"Other"))</f>
        <v/>
      </c>
      <c r="V705">
        <f>IF(B705="","",IF(COUNTIF($B$6:B705,B705)=1,1,0))</f>
        <v/>
      </c>
      <c r="W705">
        <f>IF(B705="","",B705-WEEKDAY(B705,3))</f>
        <v/>
      </c>
      <c r="X705">
        <f>IF(D705="","",MAX(IF(N(F705)=0,0,IF(N(E705)&gt;0,E705*(1+F705/30),F705)),IF(N(H705)=0,0,IF(N(G705)&gt;0,G705*(1+H705/30),H705)),IF(N(J705)=0,0,IF(N(I705)&gt;0,I705*(1+J705/30),J705)),IF(N(L705)=0,0,IF(N(K705)&gt;0,K705*(1+L705/30),L705)),IF(N(N705)=0,0,IF(N(M705)&gt;0,M705*(1+N705/30),N705))))</f>
        <v/>
      </c>
      <c r="Y705">
        <f>IF(N(X705)=0,"",X705+ROW()/1000000000)</f>
        <v/>
      </c>
      <c r="Z705">
        <f>IF(Y705="","",IF(COUNTIFS(Log!$D$6:$D$1505,D705,Log!$Y$6:$Y$1505,"&gt;"&amp;Y705)=0,1,0))</f>
        <v/>
      </c>
      <c r="AA705">
        <f>IF(OR(B705="",D705=""),"",B705+ROW()/10000000)</f>
        <v/>
      </c>
      <c r="AB705">
        <f>IF(AA705="","",IF(COUNTIFS(Log!$D$6:$D$1505,D705,Log!$AA$6:$AA$1505,"&gt;"&amp;AA705)=0,1,0))</f>
        <v/>
      </c>
      <c r="AC705">
        <f>IF(S705="New best",AA705,"")</f>
        <v/>
      </c>
      <c r="AD705">
        <f>ROW()</f>
        <v/>
      </c>
    </row>
    <row r="706">
      <c r="A706" s="1" t="n"/>
      <c r="B706" s="21" t="n"/>
      <c r="C706" s="22" t="n"/>
      <c r="D706" s="23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15">
        <f>IF(D706="","",COUNT(F706,H706,J706,L706,N706))</f>
        <v/>
      </c>
      <c r="P706" s="25">
        <f>IF(D706="","",N(E706)*N(F706)+N(G706)*N(H706)+N(I706)*N(J706)+N(K706)*N(L706)+N(M706)*N(N706))</f>
        <v/>
      </c>
      <c r="Q706" s="18">
        <f>IF(N(X706)=0,"",IF(IF(N(F706)=0,0,IF(N(E706)&gt;0,E706*(1+F706/30),F706))=X706,IF(N(E706)&gt;0,E706&amp;" x "&amp;F706,F706&amp;" reps"),IF(IF(N(H706)=0,0,IF(N(G706)&gt;0,G706*(1+H706/30),H706))=X706,IF(N(G706)&gt;0,G706&amp;" x "&amp;H706,H706&amp;" reps"),IF(IF(N(J706)=0,0,IF(N(I706)&gt;0,I706*(1+J706/30),J706))=X706,IF(N(I706)&gt;0,I706&amp;" x "&amp;J706,J706&amp;" reps"),IF(IF(N(L706)=0,0,IF(N(K706)&gt;0,K706*(1+L706/30),L706))=X706,IF(N(K706)&gt;0,K706&amp;" x "&amp;L706,L706&amp;" reps"),IF(IF(N(N706)=0,0,IF(N(M706)&gt;0,M706*(1+N706/30),N706))=X706,IF(N(M706)&gt;0,M706&amp;" x "&amp;N706,N706&amp;" reps"),""))))))</f>
        <v/>
      </c>
      <c r="R706" s="20">
        <f>IF(N(X706)=0,"",ROUND(X706,1))</f>
        <v/>
      </c>
      <c r="S706" s="18">
        <f>IF(N(X706)=0,"",IF(AND(COUNTIFS(Log!$D$6:$D$1505,D706,Log!$B$6:$B$1505,"&lt;"&amp;B706)&gt;0,COUNTIFS(Log!$D$6:$D$1505,D706,Log!$B$6:$B$1505,"&lt;"&amp;B706,Log!$X$6:$X$1505,"&gt;="&amp;X706)=0),"New best",""))</f>
        <v/>
      </c>
      <c r="T706" s="26" t="n"/>
      <c r="U706" s="1">
        <f>IF(D706="","",IFERROR(INDEX(Exercises!$C$6:$C$105,MATCH(D706,Exercises!$B$6:$B$105,0)),"Other"))</f>
        <v/>
      </c>
      <c r="V706">
        <f>IF(B706="","",IF(COUNTIF($B$6:B706,B706)=1,1,0))</f>
        <v/>
      </c>
      <c r="W706">
        <f>IF(B706="","",B706-WEEKDAY(B706,3))</f>
        <v/>
      </c>
      <c r="X706">
        <f>IF(D706="","",MAX(IF(N(F706)=0,0,IF(N(E706)&gt;0,E706*(1+F706/30),F706)),IF(N(H706)=0,0,IF(N(G706)&gt;0,G706*(1+H706/30),H706)),IF(N(J706)=0,0,IF(N(I706)&gt;0,I706*(1+J706/30),J706)),IF(N(L706)=0,0,IF(N(K706)&gt;0,K706*(1+L706/30),L706)),IF(N(N706)=0,0,IF(N(M706)&gt;0,M706*(1+N706/30),N706))))</f>
        <v/>
      </c>
      <c r="Y706">
        <f>IF(N(X706)=0,"",X706+ROW()/1000000000)</f>
        <v/>
      </c>
      <c r="Z706">
        <f>IF(Y706="","",IF(COUNTIFS(Log!$D$6:$D$1505,D706,Log!$Y$6:$Y$1505,"&gt;"&amp;Y706)=0,1,0))</f>
        <v/>
      </c>
      <c r="AA706">
        <f>IF(OR(B706="",D706=""),"",B706+ROW()/10000000)</f>
        <v/>
      </c>
      <c r="AB706">
        <f>IF(AA706="","",IF(COUNTIFS(Log!$D$6:$D$1505,D706,Log!$AA$6:$AA$1505,"&gt;"&amp;AA706)=0,1,0))</f>
        <v/>
      </c>
      <c r="AC706">
        <f>IF(S706="New best",AA706,"")</f>
        <v/>
      </c>
      <c r="AD706">
        <f>ROW()</f>
        <v/>
      </c>
    </row>
    <row r="707">
      <c r="A707" s="1" t="n"/>
      <c r="B707" s="21" t="n"/>
      <c r="C707" s="22" t="n"/>
      <c r="D707" s="23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15">
        <f>IF(D707="","",COUNT(F707,H707,J707,L707,N707))</f>
        <v/>
      </c>
      <c r="P707" s="25">
        <f>IF(D707="","",N(E707)*N(F707)+N(G707)*N(H707)+N(I707)*N(J707)+N(K707)*N(L707)+N(M707)*N(N707))</f>
        <v/>
      </c>
      <c r="Q707" s="18">
        <f>IF(N(X707)=0,"",IF(IF(N(F707)=0,0,IF(N(E707)&gt;0,E707*(1+F707/30),F707))=X707,IF(N(E707)&gt;0,E707&amp;" x "&amp;F707,F707&amp;" reps"),IF(IF(N(H707)=0,0,IF(N(G707)&gt;0,G707*(1+H707/30),H707))=X707,IF(N(G707)&gt;0,G707&amp;" x "&amp;H707,H707&amp;" reps"),IF(IF(N(J707)=0,0,IF(N(I707)&gt;0,I707*(1+J707/30),J707))=X707,IF(N(I707)&gt;0,I707&amp;" x "&amp;J707,J707&amp;" reps"),IF(IF(N(L707)=0,0,IF(N(K707)&gt;0,K707*(1+L707/30),L707))=X707,IF(N(K707)&gt;0,K707&amp;" x "&amp;L707,L707&amp;" reps"),IF(IF(N(N707)=0,0,IF(N(M707)&gt;0,M707*(1+N707/30),N707))=X707,IF(N(M707)&gt;0,M707&amp;" x "&amp;N707,N707&amp;" reps"),""))))))</f>
        <v/>
      </c>
      <c r="R707" s="20">
        <f>IF(N(X707)=0,"",ROUND(X707,1))</f>
        <v/>
      </c>
      <c r="S707" s="18">
        <f>IF(N(X707)=0,"",IF(AND(COUNTIFS(Log!$D$6:$D$1505,D707,Log!$B$6:$B$1505,"&lt;"&amp;B707)&gt;0,COUNTIFS(Log!$D$6:$D$1505,D707,Log!$B$6:$B$1505,"&lt;"&amp;B707,Log!$X$6:$X$1505,"&gt;="&amp;X707)=0),"New best",""))</f>
        <v/>
      </c>
      <c r="T707" s="26" t="n"/>
      <c r="U707" s="1">
        <f>IF(D707="","",IFERROR(INDEX(Exercises!$C$6:$C$105,MATCH(D707,Exercises!$B$6:$B$105,0)),"Other"))</f>
        <v/>
      </c>
      <c r="V707">
        <f>IF(B707="","",IF(COUNTIF($B$6:B707,B707)=1,1,0))</f>
        <v/>
      </c>
      <c r="W707">
        <f>IF(B707="","",B707-WEEKDAY(B707,3))</f>
        <v/>
      </c>
      <c r="X707">
        <f>IF(D707="","",MAX(IF(N(F707)=0,0,IF(N(E707)&gt;0,E707*(1+F707/30),F707)),IF(N(H707)=0,0,IF(N(G707)&gt;0,G707*(1+H707/30),H707)),IF(N(J707)=0,0,IF(N(I707)&gt;0,I707*(1+J707/30),J707)),IF(N(L707)=0,0,IF(N(K707)&gt;0,K707*(1+L707/30),L707)),IF(N(N707)=0,0,IF(N(M707)&gt;0,M707*(1+N707/30),N707))))</f>
        <v/>
      </c>
      <c r="Y707">
        <f>IF(N(X707)=0,"",X707+ROW()/1000000000)</f>
        <v/>
      </c>
      <c r="Z707">
        <f>IF(Y707="","",IF(COUNTIFS(Log!$D$6:$D$1505,D707,Log!$Y$6:$Y$1505,"&gt;"&amp;Y707)=0,1,0))</f>
        <v/>
      </c>
      <c r="AA707">
        <f>IF(OR(B707="",D707=""),"",B707+ROW()/10000000)</f>
        <v/>
      </c>
      <c r="AB707">
        <f>IF(AA707="","",IF(COUNTIFS(Log!$D$6:$D$1505,D707,Log!$AA$6:$AA$1505,"&gt;"&amp;AA707)=0,1,0))</f>
        <v/>
      </c>
      <c r="AC707">
        <f>IF(S707="New best",AA707,"")</f>
        <v/>
      </c>
      <c r="AD707">
        <f>ROW()</f>
        <v/>
      </c>
    </row>
    <row r="708">
      <c r="A708" s="1" t="n"/>
      <c r="B708" s="21" t="n"/>
      <c r="C708" s="22" t="n"/>
      <c r="D708" s="23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15">
        <f>IF(D708="","",COUNT(F708,H708,J708,L708,N708))</f>
        <v/>
      </c>
      <c r="P708" s="25">
        <f>IF(D708="","",N(E708)*N(F708)+N(G708)*N(H708)+N(I708)*N(J708)+N(K708)*N(L708)+N(M708)*N(N708))</f>
        <v/>
      </c>
      <c r="Q708" s="18">
        <f>IF(N(X708)=0,"",IF(IF(N(F708)=0,0,IF(N(E708)&gt;0,E708*(1+F708/30),F708))=X708,IF(N(E708)&gt;0,E708&amp;" x "&amp;F708,F708&amp;" reps"),IF(IF(N(H708)=0,0,IF(N(G708)&gt;0,G708*(1+H708/30),H708))=X708,IF(N(G708)&gt;0,G708&amp;" x "&amp;H708,H708&amp;" reps"),IF(IF(N(J708)=0,0,IF(N(I708)&gt;0,I708*(1+J708/30),J708))=X708,IF(N(I708)&gt;0,I708&amp;" x "&amp;J708,J708&amp;" reps"),IF(IF(N(L708)=0,0,IF(N(K708)&gt;0,K708*(1+L708/30),L708))=X708,IF(N(K708)&gt;0,K708&amp;" x "&amp;L708,L708&amp;" reps"),IF(IF(N(N708)=0,0,IF(N(M708)&gt;0,M708*(1+N708/30),N708))=X708,IF(N(M708)&gt;0,M708&amp;" x "&amp;N708,N708&amp;" reps"),""))))))</f>
        <v/>
      </c>
      <c r="R708" s="20">
        <f>IF(N(X708)=0,"",ROUND(X708,1))</f>
        <v/>
      </c>
      <c r="S708" s="18">
        <f>IF(N(X708)=0,"",IF(AND(COUNTIFS(Log!$D$6:$D$1505,D708,Log!$B$6:$B$1505,"&lt;"&amp;B708)&gt;0,COUNTIFS(Log!$D$6:$D$1505,D708,Log!$B$6:$B$1505,"&lt;"&amp;B708,Log!$X$6:$X$1505,"&gt;="&amp;X708)=0),"New best",""))</f>
        <v/>
      </c>
      <c r="T708" s="26" t="n"/>
      <c r="U708" s="1">
        <f>IF(D708="","",IFERROR(INDEX(Exercises!$C$6:$C$105,MATCH(D708,Exercises!$B$6:$B$105,0)),"Other"))</f>
        <v/>
      </c>
      <c r="V708">
        <f>IF(B708="","",IF(COUNTIF($B$6:B708,B708)=1,1,0))</f>
        <v/>
      </c>
      <c r="W708">
        <f>IF(B708="","",B708-WEEKDAY(B708,3))</f>
        <v/>
      </c>
      <c r="X708">
        <f>IF(D708="","",MAX(IF(N(F708)=0,0,IF(N(E708)&gt;0,E708*(1+F708/30),F708)),IF(N(H708)=0,0,IF(N(G708)&gt;0,G708*(1+H708/30),H708)),IF(N(J708)=0,0,IF(N(I708)&gt;0,I708*(1+J708/30),J708)),IF(N(L708)=0,0,IF(N(K708)&gt;0,K708*(1+L708/30),L708)),IF(N(N708)=0,0,IF(N(M708)&gt;0,M708*(1+N708/30),N708))))</f>
        <v/>
      </c>
      <c r="Y708">
        <f>IF(N(X708)=0,"",X708+ROW()/1000000000)</f>
        <v/>
      </c>
      <c r="Z708">
        <f>IF(Y708="","",IF(COUNTIFS(Log!$D$6:$D$1505,D708,Log!$Y$6:$Y$1505,"&gt;"&amp;Y708)=0,1,0))</f>
        <v/>
      </c>
      <c r="AA708">
        <f>IF(OR(B708="",D708=""),"",B708+ROW()/10000000)</f>
        <v/>
      </c>
      <c r="AB708">
        <f>IF(AA708="","",IF(COUNTIFS(Log!$D$6:$D$1505,D708,Log!$AA$6:$AA$1505,"&gt;"&amp;AA708)=0,1,0))</f>
        <v/>
      </c>
      <c r="AC708">
        <f>IF(S708="New best",AA708,"")</f>
        <v/>
      </c>
      <c r="AD708">
        <f>ROW()</f>
        <v/>
      </c>
    </row>
    <row r="709">
      <c r="A709" s="1" t="n"/>
      <c r="B709" s="21" t="n"/>
      <c r="C709" s="22" t="n"/>
      <c r="D709" s="23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15">
        <f>IF(D709="","",COUNT(F709,H709,J709,L709,N709))</f>
        <v/>
      </c>
      <c r="P709" s="25">
        <f>IF(D709="","",N(E709)*N(F709)+N(G709)*N(H709)+N(I709)*N(J709)+N(K709)*N(L709)+N(M709)*N(N709))</f>
        <v/>
      </c>
      <c r="Q709" s="18">
        <f>IF(N(X709)=0,"",IF(IF(N(F709)=0,0,IF(N(E709)&gt;0,E709*(1+F709/30),F709))=X709,IF(N(E709)&gt;0,E709&amp;" x "&amp;F709,F709&amp;" reps"),IF(IF(N(H709)=0,0,IF(N(G709)&gt;0,G709*(1+H709/30),H709))=X709,IF(N(G709)&gt;0,G709&amp;" x "&amp;H709,H709&amp;" reps"),IF(IF(N(J709)=0,0,IF(N(I709)&gt;0,I709*(1+J709/30),J709))=X709,IF(N(I709)&gt;0,I709&amp;" x "&amp;J709,J709&amp;" reps"),IF(IF(N(L709)=0,0,IF(N(K709)&gt;0,K709*(1+L709/30),L709))=X709,IF(N(K709)&gt;0,K709&amp;" x "&amp;L709,L709&amp;" reps"),IF(IF(N(N709)=0,0,IF(N(M709)&gt;0,M709*(1+N709/30),N709))=X709,IF(N(M709)&gt;0,M709&amp;" x "&amp;N709,N709&amp;" reps"),""))))))</f>
        <v/>
      </c>
      <c r="R709" s="20">
        <f>IF(N(X709)=0,"",ROUND(X709,1))</f>
        <v/>
      </c>
      <c r="S709" s="18">
        <f>IF(N(X709)=0,"",IF(AND(COUNTIFS(Log!$D$6:$D$1505,D709,Log!$B$6:$B$1505,"&lt;"&amp;B709)&gt;0,COUNTIFS(Log!$D$6:$D$1505,D709,Log!$B$6:$B$1505,"&lt;"&amp;B709,Log!$X$6:$X$1505,"&gt;="&amp;X709)=0),"New best",""))</f>
        <v/>
      </c>
      <c r="T709" s="26" t="n"/>
      <c r="U709" s="1">
        <f>IF(D709="","",IFERROR(INDEX(Exercises!$C$6:$C$105,MATCH(D709,Exercises!$B$6:$B$105,0)),"Other"))</f>
        <v/>
      </c>
      <c r="V709">
        <f>IF(B709="","",IF(COUNTIF($B$6:B709,B709)=1,1,0))</f>
        <v/>
      </c>
      <c r="W709">
        <f>IF(B709="","",B709-WEEKDAY(B709,3))</f>
        <v/>
      </c>
      <c r="X709">
        <f>IF(D709="","",MAX(IF(N(F709)=0,0,IF(N(E709)&gt;0,E709*(1+F709/30),F709)),IF(N(H709)=0,0,IF(N(G709)&gt;0,G709*(1+H709/30),H709)),IF(N(J709)=0,0,IF(N(I709)&gt;0,I709*(1+J709/30),J709)),IF(N(L709)=0,0,IF(N(K709)&gt;0,K709*(1+L709/30),L709)),IF(N(N709)=0,0,IF(N(M709)&gt;0,M709*(1+N709/30),N709))))</f>
        <v/>
      </c>
      <c r="Y709">
        <f>IF(N(X709)=0,"",X709+ROW()/1000000000)</f>
        <v/>
      </c>
      <c r="Z709">
        <f>IF(Y709="","",IF(COUNTIFS(Log!$D$6:$D$1505,D709,Log!$Y$6:$Y$1505,"&gt;"&amp;Y709)=0,1,0))</f>
        <v/>
      </c>
      <c r="AA709">
        <f>IF(OR(B709="",D709=""),"",B709+ROW()/10000000)</f>
        <v/>
      </c>
      <c r="AB709">
        <f>IF(AA709="","",IF(COUNTIFS(Log!$D$6:$D$1505,D709,Log!$AA$6:$AA$1505,"&gt;"&amp;AA709)=0,1,0))</f>
        <v/>
      </c>
      <c r="AC709">
        <f>IF(S709="New best",AA709,"")</f>
        <v/>
      </c>
      <c r="AD709">
        <f>ROW()</f>
        <v/>
      </c>
    </row>
    <row r="710">
      <c r="A710" s="1" t="n"/>
      <c r="B710" s="21" t="n"/>
      <c r="C710" s="22" t="n"/>
      <c r="D710" s="23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15">
        <f>IF(D710="","",COUNT(F710,H710,J710,L710,N710))</f>
        <v/>
      </c>
      <c r="P710" s="25">
        <f>IF(D710="","",N(E710)*N(F710)+N(G710)*N(H710)+N(I710)*N(J710)+N(K710)*N(L710)+N(M710)*N(N710))</f>
        <v/>
      </c>
      <c r="Q710" s="18">
        <f>IF(N(X710)=0,"",IF(IF(N(F710)=0,0,IF(N(E710)&gt;0,E710*(1+F710/30),F710))=X710,IF(N(E710)&gt;0,E710&amp;" x "&amp;F710,F710&amp;" reps"),IF(IF(N(H710)=0,0,IF(N(G710)&gt;0,G710*(1+H710/30),H710))=X710,IF(N(G710)&gt;0,G710&amp;" x "&amp;H710,H710&amp;" reps"),IF(IF(N(J710)=0,0,IF(N(I710)&gt;0,I710*(1+J710/30),J710))=X710,IF(N(I710)&gt;0,I710&amp;" x "&amp;J710,J710&amp;" reps"),IF(IF(N(L710)=0,0,IF(N(K710)&gt;0,K710*(1+L710/30),L710))=X710,IF(N(K710)&gt;0,K710&amp;" x "&amp;L710,L710&amp;" reps"),IF(IF(N(N710)=0,0,IF(N(M710)&gt;0,M710*(1+N710/30),N710))=X710,IF(N(M710)&gt;0,M710&amp;" x "&amp;N710,N710&amp;" reps"),""))))))</f>
        <v/>
      </c>
      <c r="R710" s="20">
        <f>IF(N(X710)=0,"",ROUND(X710,1))</f>
        <v/>
      </c>
      <c r="S710" s="18">
        <f>IF(N(X710)=0,"",IF(AND(COUNTIFS(Log!$D$6:$D$1505,D710,Log!$B$6:$B$1505,"&lt;"&amp;B710)&gt;0,COUNTIFS(Log!$D$6:$D$1505,D710,Log!$B$6:$B$1505,"&lt;"&amp;B710,Log!$X$6:$X$1505,"&gt;="&amp;X710)=0),"New best",""))</f>
        <v/>
      </c>
      <c r="T710" s="26" t="n"/>
      <c r="U710" s="1">
        <f>IF(D710="","",IFERROR(INDEX(Exercises!$C$6:$C$105,MATCH(D710,Exercises!$B$6:$B$105,0)),"Other"))</f>
        <v/>
      </c>
      <c r="V710">
        <f>IF(B710="","",IF(COUNTIF($B$6:B710,B710)=1,1,0))</f>
        <v/>
      </c>
      <c r="W710">
        <f>IF(B710="","",B710-WEEKDAY(B710,3))</f>
        <v/>
      </c>
      <c r="X710">
        <f>IF(D710="","",MAX(IF(N(F710)=0,0,IF(N(E710)&gt;0,E710*(1+F710/30),F710)),IF(N(H710)=0,0,IF(N(G710)&gt;0,G710*(1+H710/30),H710)),IF(N(J710)=0,0,IF(N(I710)&gt;0,I710*(1+J710/30),J710)),IF(N(L710)=0,0,IF(N(K710)&gt;0,K710*(1+L710/30),L710)),IF(N(N710)=0,0,IF(N(M710)&gt;0,M710*(1+N710/30),N710))))</f>
        <v/>
      </c>
      <c r="Y710">
        <f>IF(N(X710)=0,"",X710+ROW()/1000000000)</f>
        <v/>
      </c>
      <c r="Z710">
        <f>IF(Y710="","",IF(COUNTIFS(Log!$D$6:$D$1505,D710,Log!$Y$6:$Y$1505,"&gt;"&amp;Y710)=0,1,0))</f>
        <v/>
      </c>
      <c r="AA710">
        <f>IF(OR(B710="",D710=""),"",B710+ROW()/10000000)</f>
        <v/>
      </c>
      <c r="AB710">
        <f>IF(AA710="","",IF(COUNTIFS(Log!$D$6:$D$1505,D710,Log!$AA$6:$AA$1505,"&gt;"&amp;AA710)=0,1,0))</f>
        <v/>
      </c>
      <c r="AC710">
        <f>IF(S710="New best",AA710,"")</f>
        <v/>
      </c>
      <c r="AD710">
        <f>ROW()</f>
        <v/>
      </c>
    </row>
    <row r="711">
      <c r="A711" s="1" t="n"/>
      <c r="B711" s="21" t="n"/>
      <c r="C711" s="22" t="n"/>
      <c r="D711" s="23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15">
        <f>IF(D711="","",COUNT(F711,H711,J711,L711,N711))</f>
        <v/>
      </c>
      <c r="P711" s="25">
        <f>IF(D711="","",N(E711)*N(F711)+N(G711)*N(H711)+N(I711)*N(J711)+N(K711)*N(L711)+N(M711)*N(N711))</f>
        <v/>
      </c>
      <c r="Q711" s="18">
        <f>IF(N(X711)=0,"",IF(IF(N(F711)=0,0,IF(N(E711)&gt;0,E711*(1+F711/30),F711))=X711,IF(N(E711)&gt;0,E711&amp;" x "&amp;F711,F711&amp;" reps"),IF(IF(N(H711)=0,0,IF(N(G711)&gt;0,G711*(1+H711/30),H711))=X711,IF(N(G711)&gt;0,G711&amp;" x "&amp;H711,H711&amp;" reps"),IF(IF(N(J711)=0,0,IF(N(I711)&gt;0,I711*(1+J711/30),J711))=X711,IF(N(I711)&gt;0,I711&amp;" x "&amp;J711,J711&amp;" reps"),IF(IF(N(L711)=0,0,IF(N(K711)&gt;0,K711*(1+L711/30),L711))=X711,IF(N(K711)&gt;0,K711&amp;" x "&amp;L711,L711&amp;" reps"),IF(IF(N(N711)=0,0,IF(N(M711)&gt;0,M711*(1+N711/30),N711))=X711,IF(N(M711)&gt;0,M711&amp;" x "&amp;N711,N711&amp;" reps"),""))))))</f>
        <v/>
      </c>
      <c r="R711" s="20">
        <f>IF(N(X711)=0,"",ROUND(X711,1))</f>
        <v/>
      </c>
      <c r="S711" s="18">
        <f>IF(N(X711)=0,"",IF(AND(COUNTIFS(Log!$D$6:$D$1505,D711,Log!$B$6:$B$1505,"&lt;"&amp;B711)&gt;0,COUNTIFS(Log!$D$6:$D$1505,D711,Log!$B$6:$B$1505,"&lt;"&amp;B711,Log!$X$6:$X$1505,"&gt;="&amp;X711)=0),"New best",""))</f>
        <v/>
      </c>
      <c r="T711" s="26" t="n"/>
      <c r="U711" s="1">
        <f>IF(D711="","",IFERROR(INDEX(Exercises!$C$6:$C$105,MATCH(D711,Exercises!$B$6:$B$105,0)),"Other"))</f>
        <v/>
      </c>
      <c r="V711">
        <f>IF(B711="","",IF(COUNTIF($B$6:B711,B711)=1,1,0))</f>
        <v/>
      </c>
      <c r="W711">
        <f>IF(B711="","",B711-WEEKDAY(B711,3))</f>
        <v/>
      </c>
      <c r="X711">
        <f>IF(D711="","",MAX(IF(N(F711)=0,0,IF(N(E711)&gt;0,E711*(1+F711/30),F711)),IF(N(H711)=0,0,IF(N(G711)&gt;0,G711*(1+H711/30),H711)),IF(N(J711)=0,0,IF(N(I711)&gt;0,I711*(1+J711/30),J711)),IF(N(L711)=0,0,IF(N(K711)&gt;0,K711*(1+L711/30),L711)),IF(N(N711)=0,0,IF(N(M711)&gt;0,M711*(1+N711/30),N711))))</f>
        <v/>
      </c>
      <c r="Y711">
        <f>IF(N(X711)=0,"",X711+ROW()/1000000000)</f>
        <v/>
      </c>
      <c r="Z711">
        <f>IF(Y711="","",IF(COUNTIFS(Log!$D$6:$D$1505,D711,Log!$Y$6:$Y$1505,"&gt;"&amp;Y711)=0,1,0))</f>
        <v/>
      </c>
      <c r="AA711">
        <f>IF(OR(B711="",D711=""),"",B711+ROW()/10000000)</f>
        <v/>
      </c>
      <c r="AB711">
        <f>IF(AA711="","",IF(COUNTIFS(Log!$D$6:$D$1505,D711,Log!$AA$6:$AA$1505,"&gt;"&amp;AA711)=0,1,0))</f>
        <v/>
      </c>
      <c r="AC711">
        <f>IF(S711="New best",AA711,"")</f>
        <v/>
      </c>
      <c r="AD711">
        <f>ROW()</f>
        <v/>
      </c>
    </row>
    <row r="712">
      <c r="A712" s="1" t="n"/>
      <c r="B712" s="21" t="n"/>
      <c r="C712" s="22" t="n"/>
      <c r="D712" s="23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15">
        <f>IF(D712="","",COUNT(F712,H712,J712,L712,N712))</f>
        <v/>
      </c>
      <c r="P712" s="25">
        <f>IF(D712="","",N(E712)*N(F712)+N(G712)*N(H712)+N(I712)*N(J712)+N(K712)*N(L712)+N(M712)*N(N712))</f>
        <v/>
      </c>
      <c r="Q712" s="18">
        <f>IF(N(X712)=0,"",IF(IF(N(F712)=0,0,IF(N(E712)&gt;0,E712*(1+F712/30),F712))=X712,IF(N(E712)&gt;0,E712&amp;" x "&amp;F712,F712&amp;" reps"),IF(IF(N(H712)=0,0,IF(N(G712)&gt;0,G712*(1+H712/30),H712))=X712,IF(N(G712)&gt;0,G712&amp;" x "&amp;H712,H712&amp;" reps"),IF(IF(N(J712)=0,0,IF(N(I712)&gt;0,I712*(1+J712/30),J712))=X712,IF(N(I712)&gt;0,I712&amp;" x "&amp;J712,J712&amp;" reps"),IF(IF(N(L712)=0,0,IF(N(K712)&gt;0,K712*(1+L712/30),L712))=X712,IF(N(K712)&gt;0,K712&amp;" x "&amp;L712,L712&amp;" reps"),IF(IF(N(N712)=0,0,IF(N(M712)&gt;0,M712*(1+N712/30),N712))=X712,IF(N(M712)&gt;0,M712&amp;" x "&amp;N712,N712&amp;" reps"),""))))))</f>
        <v/>
      </c>
      <c r="R712" s="20">
        <f>IF(N(X712)=0,"",ROUND(X712,1))</f>
        <v/>
      </c>
      <c r="S712" s="18">
        <f>IF(N(X712)=0,"",IF(AND(COUNTIFS(Log!$D$6:$D$1505,D712,Log!$B$6:$B$1505,"&lt;"&amp;B712)&gt;0,COUNTIFS(Log!$D$6:$D$1505,D712,Log!$B$6:$B$1505,"&lt;"&amp;B712,Log!$X$6:$X$1505,"&gt;="&amp;X712)=0),"New best",""))</f>
        <v/>
      </c>
      <c r="T712" s="26" t="n"/>
      <c r="U712" s="1">
        <f>IF(D712="","",IFERROR(INDEX(Exercises!$C$6:$C$105,MATCH(D712,Exercises!$B$6:$B$105,0)),"Other"))</f>
        <v/>
      </c>
      <c r="V712">
        <f>IF(B712="","",IF(COUNTIF($B$6:B712,B712)=1,1,0))</f>
        <v/>
      </c>
      <c r="W712">
        <f>IF(B712="","",B712-WEEKDAY(B712,3))</f>
        <v/>
      </c>
      <c r="X712">
        <f>IF(D712="","",MAX(IF(N(F712)=0,0,IF(N(E712)&gt;0,E712*(1+F712/30),F712)),IF(N(H712)=0,0,IF(N(G712)&gt;0,G712*(1+H712/30),H712)),IF(N(J712)=0,0,IF(N(I712)&gt;0,I712*(1+J712/30),J712)),IF(N(L712)=0,0,IF(N(K712)&gt;0,K712*(1+L712/30),L712)),IF(N(N712)=0,0,IF(N(M712)&gt;0,M712*(1+N712/30),N712))))</f>
        <v/>
      </c>
      <c r="Y712">
        <f>IF(N(X712)=0,"",X712+ROW()/1000000000)</f>
        <v/>
      </c>
      <c r="Z712">
        <f>IF(Y712="","",IF(COUNTIFS(Log!$D$6:$D$1505,D712,Log!$Y$6:$Y$1505,"&gt;"&amp;Y712)=0,1,0))</f>
        <v/>
      </c>
      <c r="AA712">
        <f>IF(OR(B712="",D712=""),"",B712+ROW()/10000000)</f>
        <v/>
      </c>
      <c r="AB712">
        <f>IF(AA712="","",IF(COUNTIFS(Log!$D$6:$D$1505,D712,Log!$AA$6:$AA$1505,"&gt;"&amp;AA712)=0,1,0))</f>
        <v/>
      </c>
      <c r="AC712">
        <f>IF(S712="New best",AA712,"")</f>
        <v/>
      </c>
      <c r="AD712">
        <f>ROW()</f>
        <v/>
      </c>
    </row>
    <row r="713">
      <c r="A713" s="1" t="n"/>
      <c r="B713" s="21" t="n"/>
      <c r="C713" s="22" t="n"/>
      <c r="D713" s="23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15">
        <f>IF(D713="","",COUNT(F713,H713,J713,L713,N713))</f>
        <v/>
      </c>
      <c r="P713" s="25">
        <f>IF(D713="","",N(E713)*N(F713)+N(G713)*N(H713)+N(I713)*N(J713)+N(K713)*N(L713)+N(M713)*N(N713))</f>
        <v/>
      </c>
      <c r="Q713" s="18">
        <f>IF(N(X713)=0,"",IF(IF(N(F713)=0,0,IF(N(E713)&gt;0,E713*(1+F713/30),F713))=X713,IF(N(E713)&gt;0,E713&amp;" x "&amp;F713,F713&amp;" reps"),IF(IF(N(H713)=0,0,IF(N(G713)&gt;0,G713*(1+H713/30),H713))=X713,IF(N(G713)&gt;0,G713&amp;" x "&amp;H713,H713&amp;" reps"),IF(IF(N(J713)=0,0,IF(N(I713)&gt;0,I713*(1+J713/30),J713))=X713,IF(N(I713)&gt;0,I713&amp;" x "&amp;J713,J713&amp;" reps"),IF(IF(N(L713)=0,0,IF(N(K713)&gt;0,K713*(1+L713/30),L713))=X713,IF(N(K713)&gt;0,K713&amp;" x "&amp;L713,L713&amp;" reps"),IF(IF(N(N713)=0,0,IF(N(M713)&gt;0,M713*(1+N713/30),N713))=X713,IF(N(M713)&gt;0,M713&amp;" x "&amp;N713,N713&amp;" reps"),""))))))</f>
        <v/>
      </c>
      <c r="R713" s="20">
        <f>IF(N(X713)=0,"",ROUND(X713,1))</f>
        <v/>
      </c>
      <c r="S713" s="18">
        <f>IF(N(X713)=0,"",IF(AND(COUNTIFS(Log!$D$6:$D$1505,D713,Log!$B$6:$B$1505,"&lt;"&amp;B713)&gt;0,COUNTIFS(Log!$D$6:$D$1505,D713,Log!$B$6:$B$1505,"&lt;"&amp;B713,Log!$X$6:$X$1505,"&gt;="&amp;X713)=0),"New best",""))</f>
        <v/>
      </c>
      <c r="T713" s="26" t="n"/>
      <c r="U713" s="1">
        <f>IF(D713="","",IFERROR(INDEX(Exercises!$C$6:$C$105,MATCH(D713,Exercises!$B$6:$B$105,0)),"Other"))</f>
        <v/>
      </c>
      <c r="V713">
        <f>IF(B713="","",IF(COUNTIF($B$6:B713,B713)=1,1,0))</f>
        <v/>
      </c>
      <c r="W713">
        <f>IF(B713="","",B713-WEEKDAY(B713,3))</f>
        <v/>
      </c>
      <c r="X713">
        <f>IF(D713="","",MAX(IF(N(F713)=0,0,IF(N(E713)&gt;0,E713*(1+F713/30),F713)),IF(N(H713)=0,0,IF(N(G713)&gt;0,G713*(1+H713/30),H713)),IF(N(J713)=0,0,IF(N(I713)&gt;0,I713*(1+J713/30),J713)),IF(N(L713)=0,0,IF(N(K713)&gt;0,K713*(1+L713/30),L713)),IF(N(N713)=0,0,IF(N(M713)&gt;0,M713*(1+N713/30),N713))))</f>
        <v/>
      </c>
      <c r="Y713">
        <f>IF(N(X713)=0,"",X713+ROW()/1000000000)</f>
        <v/>
      </c>
      <c r="Z713">
        <f>IF(Y713="","",IF(COUNTIFS(Log!$D$6:$D$1505,D713,Log!$Y$6:$Y$1505,"&gt;"&amp;Y713)=0,1,0))</f>
        <v/>
      </c>
      <c r="AA713">
        <f>IF(OR(B713="",D713=""),"",B713+ROW()/10000000)</f>
        <v/>
      </c>
      <c r="AB713">
        <f>IF(AA713="","",IF(COUNTIFS(Log!$D$6:$D$1505,D713,Log!$AA$6:$AA$1505,"&gt;"&amp;AA713)=0,1,0))</f>
        <v/>
      </c>
      <c r="AC713">
        <f>IF(S713="New best",AA713,"")</f>
        <v/>
      </c>
      <c r="AD713">
        <f>ROW()</f>
        <v/>
      </c>
    </row>
    <row r="714">
      <c r="A714" s="1" t="n"/>
      <c r="B714" s="21" t="n"/>
      <c r="C714" s="22" t="n"/>
      <c r="D714" s="23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15">
        <f>IF(D714="","",COUNT(F714,H714,J714,L714,N714))</f>
        <v/>
      </c>
      <c r="P714" s="25">
        <f>IF(D714="","",N(E714)*N(F714)+N(G714)*N(H714)+N(I714)*N(J714)+N(K714)*N(L714)+N(M714)*N(N714))</f>
        <v/>
      </c>
      <c r="Q714" s="18">
        <f>IF(N(X714)=0,"",IF(IF(N(F714)=0,0,IF(N(E714)&gt;0,E714*(1+F714/30),F714))=X714,IF(N(E714)&gt;0,E714&amp;" x "&amp;F714,F714&amp;" reps"),IF(IF(N(H714)=0,0,IF(N(G714)&gt;0,G714*(1+H714/30),H714))=X714,IF(N(G714)&gt;0,G714&amp;" x "&amp;H714,H714&amp;" reps"),IF(IF(N(J714)=0,0,IF(N(I714)&gt;0,I714*(1+J714/30),J714))=X714,IF(N(I714)&gt;0,I714&amp;" x "&amp;J714,J714&amp;" reps"),IF(IF(N(L714)=0,0,IF(N(K714)&gt;0,K714*(1+L714/30),L714))=X714,IF(N(K714)&gt;0,K714&amp;" x "&amp;L714,L714&amp;" reps"),IF(IF(N(N714)=0,0,IF(N(M714)&gt;0,M714*(1+N714/30),N714))=X714,IF(N(M714)&gt;0,M714&amp;" x "&amp;N714,N714&amp;" reps"),""))))))</f>
        <v/>
      </c>
      <c r="R714" s="20">
        <f>IF(N(X714)=0,"",ROUND(X714,1))</f>
        <v/>
      </c>
      <c r="S714" s="18">
        <f>IF(N(X714)=0,"",IF(AND(COUNTIFS(Log!$D$6:$D$1505,D714,Log!$B$6:$B$1505,"&lt;"&amp;B714)&gt;0,COUNTIFS(Log!$D$6:$D$1505,D714,Log!$B$6:$B$1505,"&lt;"&amp;B714,Log!$X$6:$X$1505,"&gt;="&amp;X714)=0),"New best",""))</f>
        <v/>
      </c>
      <c r="T714" s="26" t="n"/>
      <c r="U714" s="1">
        <f>IF(D714="","",IFERROR(INDEX(Exercises!$C$6:$C$105,MATCH(D714,Exercises!$B$6:$B$105,0)),"Other"))</f>
        <v/>
      </c>
      <c r="V714">
        <f>IF(B714="","",IF(COUNTIF($B$6:B714,B714)=1,1,0))</f>
        <v/>
      </c>
      <c r="W714">
        <f>IF(B714="","",B714-WEEKDAY(B714,3))</f>
        <v/>
      </c>
      <c r="X714">
        <f>IF(D714="","",MAX(IF(N(F714)=0,0,IF(N(E714)&gt;0,E714*(1+F714/30),F714)),IF(N(H714)=0,0,IF(N(G714)&gt;0,G714*(1+H714/30),H714)),IF(N(J714)=0,0,IF(N(I714)&gt;0,I714*(1+J714/30),J714)),IF(N(L714)=0,0,IF(N(K714)&gt;0,K714*(1+L714/30),L714)),IF(N(N714)=0,0,IF(N(M714)&gt;0,M714*(1+N714/30),N714))))</f>
        <v/>
      </c>
      <c r="Y714">
        <f>IF(N(X714)=0,"",X714+ROW()/1000000000)</f>
        <v/>
      </c>
      <c r="Z714">
        <f>IF(Y714="","",IF(COUNTIFS(Log!$D$6:$D$1505,D714,Log!$Y$6:$Y$1505,"&gt;"&amp;Y714)=0,1,0))</f>
        <v/>
      </c>
      <c r="AA714">
        <f>IF(OR(B714="",D714=""),"",B714+ROW()/10000000)</f>
        <v/>
      </c>
      <c r="AB714">
        <f>IF(AA714="","",IF(COUNTIFS(Log!$D$6:$D$1505,D714,Log!$AA$6:$AA$1505,"&gt;"&amp;AA714)=0,1,0))</f>
        <v/>
      </c>
      <c r="AC714">
        <f>IF(S714="New best",AA714,"")</f>
        <v/>
      </c>
      <c r="AD714">
        <f>ROW()</f>
        <v/>
      </c>
    </row>
    <row r="715">
      <c r="A715" s="1" t="n"/>
      <c r="B715" s="21" t="n"/>
      <c r="C715" s="22" t="n"/>
      <c r="D715" s="23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15">
        <f>IF(D715="","",COUNT(F715,H715,J715,L715,N715))</f>
        <v/>
      </c>
      <c r="P715" s="25">
        <f>IF(D715="","",N(E715)*N(F715)+N(G715)*N(H715)+N(I715)*N(J715)+N(K715)*N(L715)+N(M715)*N(N715))</f>
        <v/>
      </c>
      <c r="Q715" s="18">
        <f>IF(N(X715)=0,"",IF(IF(N(F715)=0,0,IF(N(E715)&gt;0,E715*(1+F715/30),F715))=X715,IF(N(E715)&gt;0,E715&amp;" x "&amp;F715,F715&amp;" reps"),IF(IF(N(H715)=0,0,IF(N(G715)&gt;0,G715*(1+H715/30),H715))=X715,IF(N(G715)&gt;0,G715&amp;" x "&amp;H715,H715&amp;" reps"),IF(IF(N(J715)=0,0,IF(N(I715)&gt;0,I715*(1+J715/30),J715))=X715,IF(N(I715)&gt;0,I715&amp;" x "&amp;J715,J715&amp;" reps"),IF(IF(N(L715)=0,0,IF(N(K715)&gt;0,K715*(1+L715/30),L715))=X715,IF(N(K715)&gt;0,K715&amp;" x "&amp;L715,L715&amp;" reps"),IF(IF(N(N715)=0,0,IF(N(M715)&gt;0,M715*(1+N715/30),N715))=X715,IF(N(M715)&gt;0,M715&amp;" x "&amp;N715,N715&amp;" reps"),""))))))</f>
        <v/>
      </c>
      <c r="R715" s="20">
        <f>IF(N(X715)=0,"",ROUND(X715,1))</f>
        <v/>
      </c>
      <c r="S715" s="18">
        <f>IF(N(X715)=0,"",IF(AND(COUNTIFS(Log!$D$6:$D$1505,D715,Log!$B$6:$B$1505,"&lt;"&amp;B715)&gt;0,COUNTIFS(Log!$D$6:$D$1505,D715,Log!$B$6:$B$1505,"&lt;"&amp;B715,Log!$X$6:$X$1505,"&gt;="&amp;X715)=0),"New best",""))</f>
        <v/>
      </c>
      <c r="T715" s="26" t="n"/>
      <c r="U715" s="1">
        <f>IF(D715="","",IFERROR(INDEX(Exercises!$C$6:$C$105,MATCH(D715,Exercises!$B$6:$B$105,0)),"Other"))</f>
        <v/>
      </c>
      <c r="V715">
        <f>IF(B715="","",IF(COUNTIF($B$6:B715,B715)=1,1,0))</f>
        <v/>
      </c>
      <c r="W715">
        <f>IF(B715="","",B715-WEEKDAY(B715,3))</f>
        <v/>
      </c>
      <c r="X715">
        <f>IF(D715="","",MAX(IF(N(F715)=0,0,IF(N(E715)&gt;0,E715*(1+F715/30),F715)),IF(N(H715)=0,0,IF(N(G715)&gt;0,G715*(1+H715/30),H715)),IF(N(J715)=0,0,IF(N(I715)&gt;0,I715*(1+J715/30),J715)),IF(N(L715)=0,0,IF(N(K715)&gt;0,K715*(1+L715/30),L715)),IF(N(N715)=0,0,IF(N(M715)&gt;0,M715*(1+N715/30),N715))))</f>
        <v/>
      </c>
      <c r="Y715">
        <f>IF(N(X715)=0,"",X715+ROW()/1000000000)</f>
        <v/>
      </c>
      <c r="Z715">
        <f>IF(Y715="","",IF(COUNTIFS(Log!$D$6:$D$1505,D715,Log!$Y$6:$Y$1505,"&gt;"&amp;Y715)=0,1,0))</f>
        <v/>
      </c>
      <c r="AA715">
        <f>IF(OR(B715="",D715=""),"",B715+ROW()/10000000)</f>
        <v/>
      </c>
      <c r="AB715">
        <f>IF(AA715="","",IF(COUNTIFS(Log!$D$6:$D$1505,D715,Log!$AA$6:$AA$1505,"&gt;"&amp;AA715)=0,1,0))</f>
        <v/>
      </c>
      <c r="AC715">
        <f>IF(S715="New best",AA715,"")</f>
        <v/>
      </c>
      <c r="AD715">
        <f>ROW()</f>
        <v/>
      </c>
    </row>
    <row r="716">
      <c r="A716" s="1" t="n"/>
      <c r="B716" s="21" t="n"/>
      <c r="C716" s="22" t="n"/>
      <c r="D716" s="23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15">
        <f>IF(D716="","",COUNT(F716,H716,J716,L716,N716))</f>
        <v/>
      </c>
      <c r="P716" s="25">
        <f>IF(D716="","",N(E716)*N(F716)+N(G716)*N(H716)+N(I716)*N(J716)+N(K716)*N(L716)+N(M716)*N(N716))</f>
        <v/>
      </c>
      <c r="Q716" s="18">
        <f>IF(N(X716)=0,"",IF(IF(N(F716)=0,0,IF(N(E716)&gt;0,E716*(1+F716/30),F716))=X716,IF(N(E716)&gt;0,E716&amp;" x "&amp;F716,F716&amp;" reps"),IF(IF(N(H716)=0,0,IF(N(G716)&gt;0,G716*(1+H716/30),H716))=X716,IF(N(G716)&gt;0,G716&amp;" x "&amp;H716,H716&amp;" reps"),IF(IF(N(J716)=0,0,IF(N(I716)&gt;0,I716*(1+J716/30),J716))=X716,IF(N(I716)&gt;0,I716&amp;" x "&amp;J716,J716&amp;" reps"),IF(IF(N(L716)=0,0,IF(N(K716)&gt;0,K716*(1+L716/30),L716))=X716,IF(N(K716)&gt;0,K716&amp;" x "&amp;L716,L716&amp;" reps"),IF(IF(N(N716)=0,0,IF(N(M716)&gt;0,M716*(1+N716/30),N716))=X716,IF(N(M716)&gt;0,M716&amp;" x "&amp;N716,N716&amp;" reps"),""))))))</f>
        <v/>
      </c>
      <c r="R716" s="20">
        <f>IF(N(X716)=0,"",ROUND(X716,1))</f>
        <v/>
      </c>
      <c r="S716" s="18">
        <f>IF(N(X716)=0,"",IF(AND(COUNTIFS(Log!$D$6:$D$1505,D716,Log!$B$6:$B$1505,"&lt;"&amp;B716)&gt;0,COUNTIFS(Log!$D$6:$D$1505,D716,Log!$B$6:$B$1505,"&lt;"&amp;B716,Log!$X$6:$X$1505,"&gt;="&amp;X716)=0),"New best",""))</f>
        <v/>
      </c>
      <c r="T716" s="26" t="n"/>
      <c r="U716" s="1">
        <f>IF(D716="","",IFERROR(INDEX(Exercises!$C$6:$C$105,MATCH(D716,Exercises!$B$6:$B$105,0)),"Other"))</f>
        <v/>
      </c>
      <c r="V716">
        <f>IF(B716="","",IF(COUNTIF($B$6:B716,B716)=1,1,0))</f>
        <v/>
      </c>
      <c r="W716">
        <f>IF(B716="","",B716-WEEKDAY(B716,3))</f>
        <v/>
      </c>
      <c r="X716">
        <f>IF(D716="","",MAX(IF(N(F716)=0,0,IF(N(E716)&gt;0,E716*(1+F716/30),F716)),IF(N(H716)=0,0,IF(N(G716)&gt;0,G716*(1+H716/30),H716)),IF(N(J716)=0,0,IF(N(I716)&gt;0,I716*(1+J716/30),J716)),IF(N(L716)=0,0,IF(N(K716)&gt;0,K716*(1+L716/30),L716)),IF(N(N716)=0,0,IF(N(M716)&gt;0,M716*(1+N716/30),N716))))</f>
        <v/>
      </c>
      <c r="Y716">
        <f>IF(N(X716)=0,"",X716+ROW()/1000000000)</f>
        <v/>
      </c>
      <c r="Z716">
        <f>IF(Y716="","",IF(COUNTIFS(Log!$D$6:$D$1505,D716,Log!$Y$6:$Y$1505,"&gt;"&amp;Y716)=0,1,0))</f>
        <v/>
      </c>
      <c r="AA716">
        <f>IF(OR(B716="",D716=""),"",B716+ROW()/10000000)</f>
        <v/>
      </c>
      <c r="AB716">
        <f>IF(AA716="","",IF(COUNTIFS(Log!$D$6:$D$1505,D716,Log!$AA$6:$AA$1505,"&gt;"&amp;AA716)=0,1,0))</f>
        <v/>
      </c>
      <c r="AC716">
        <f>IF(S716="New best",AA716,"")</f>
        <v/>
      </c>
      <c r="AD716">
        <f>ROW()</f>
        <v/>
      </c>
    </row>
    <row r="717">
      <c r="A717" s="1" t="n"/>
      <c r="B717" s="21" t="n"/>
      <c r="C717" s="22" t="n"/>
      <c r="D717" s="23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15">
        <f>IF(D717="","",COUNT(F717,H717,J717,L717,N717))</f>
        <v/>
      </c>
      <c r="P717" s="25">
        <f>IF(D717="","",N(E717)*N(F717)+N(G717)*N(H717)+N(I717)*N(J717)+N(K717)*N(L717)+N(M717)*N(N717))</f>
        <v/>
      </c>
      <c r="Q717" s="18">
        <f>IF(N(X717)=0,"",IF(IF(N(F717)=0,0,IF(N(E717)&gt;0,E717*(1+F717/30),F717))=X717,IF(N(E717)&gt;0,E717&amp;" x "&amp;F717,F717&amp;" reps"),IF(IF(N(H717)=0,0,IF(N(G717)&gt;0,G717*(1+H717/30),H717))=X717,IF(N(G717)&gt;0,G717&amp;" x "&amp;H717,H717&amp;" reps"),IF(IF(N(J717)=0,0,IF(N(I717)&gt;0,I717*(1+J717/30),J717))=X717,IF(N(I717)&gt;0,I717&amp;" x "&amp;J717,J717&amp;" reps"),IF(IF(N(L717)=0,0,IF(N(K717)&gt;0,K717*(1+L717/30),L717))=X717,IF(N(K717)&gt;0,K717&amp;" x "&amp;L717,L717&amp;" reps"),IF(IF(N(N717)=0,0,IF(N(M717)&gt;0,M717*(1+N717/30),N717))=X717,IF(N(M717)&gt;0,M717&amp;" x "&amp;N717,N717&amp;" reps"),""))))))</f>
        <v/>
      </c>
      <c r="R717" s="20">
        <f>IF(N(X717)=0,"",ROUND(X717,1))</f>
        <v/>
      </c>
      <c r="S717" s="18">
        <f>IF(N(X717)=0,"",IF(AND(COUNTIFS(Log!$D$6:$D$1505,D717,Log!$B$6:$B$1505,"&lt;"&amp;B717)&gt;0,COUNTIFS(Log!$D$6:$D$1505,D717,Log!$B$6:$B$1505,"&lt;"&amp;B717,Log!$X$6:$X$1505,"&gt;="&amp;X717)=0),"New best",""))</f>
        <v/>
      </c>
      <c r="T717" s="26" t="n"/>
      <c r="U717" s="1">
        <f>IF(D717="","",IFERROR(INDEX(Exercises!$C$6:$C$105,MATCH(D717,Exercises!$B$6:$B$105,0)),"Other"))</f>
        <v/>
      </c>
      <c r="V717">
        <f>IF(B717="","",IF(COUNTIF($B$6:B717,B717)=1,1,0))</f>
        <v/>
      </c>
      <c r="W717">
        <f>IF(B717="","",B717-WEEKDAY(B717,3))</f>
        <v/>
      </c>
      <c r="X717">
        <f>IF(D717="","",MAX(IF(N(F717)=0,0,IF(N(E717)&gt;0,E717*(1+F717/30),F717)),IF(N(H717)=0,0,IF(N(G717)&gt;0,G717*(1+H717/30),H717)),IF(N(J717)=0,0,IF(N(I717)&gt;0,I717*(1+J717/30),J717)),IF(N(L717)=0,0,IF(N(K717)&gt;0,K717*(1+L717/30),L717)),IF(N(N717)=0,0,IF(N(M717)&gt;0,M717*(1+N717/30),N717))))</f>
        <v/>
      </c>
      <c r="Y717">
        <f>IF(N(X717)=0,"",X717+ROW()/1000000000)</f>
        <v/>
      </c>
      <c r="Z717">
        <f>IF(Y717="","",IF(COUNTIFS(Log!$D$6:$D$1505,D717,Log!$Y$6:$Y$1505,"&gt;"&amp;Y717)=0,1,0))</f>
        <v/>
      </c>
      <c r="AA717">
        <f>IF(OR(B717="",D717=""),"",B717+ROW()/10000000)</f>
        <v/>
      </c>
      <c r="AB717">
        <f>IF(AA717="","",IF(COUNTIFS(Log!$D$6:$D$1505,D717,Log!$AA$6:$AA$1505,"&gt;"&amp;AA717)=0,1,0))</f>
        <v/>
      </c>
      <c r="AC717">
        <f>IF(S717="New best",AA717,"")</f>
        <v/>
      </c>
      <c r="AD717">
        <f>ROW()</f>
        <v/>
      </c>
    </row>
    <row r="718">
      <c r="A718" s="1" t="n"/>
      <c r="B718" s="21" t="n"/>
      <c r="C718" s="22" t="n"/>
      <c r="D718" s="23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15">
        <f>IF(D718="","",COUNT(F718,H718,J718,L718,N718))</f>
        <v/>
      </c>
      <c r="P718" s="25">
        <f>IF(D718="","",N(E718)*N(F718)+N(G718)*N(H718)+N(I718)*N(J718)+N(K718)*N(L718)+N(M718)*N(N718))</f>
        <v/>
      </c>
      <c r="Q718" s="18">
        <f>IF(N(X718)=0,"",IF(IF(N(F718)=0,0,IF(N(E718)&gt;0,E718*(1+F718/30),F718))=X718,IF(N(E718)&gt;0,E718&amp;" x "&amp;F718,F718&amp;" reps"),IF(IF(N(H718)=0,0,IF(N(G718)&gt;0,G718*(1+H718/30),H718))=X718,IF(N(G718)&gt;0,G718&amp;" x "&amp;H718,H718&amp;" reps"),IF(IF(N(J718)=0,0,IF(N(I718)&gt;0,I718*(1+J718/30),J718))=X718,IF(N(I718)&gt;0,I718&amp;" x "&amp;J718,J718&amp;" reps"),IF(IF(N(L718)=0,0,IF(N(K718)&gt;0,K718*(1+L718/30),L718))=X718,IF(N(K718)&gt;0,K718&amp;" x "&amp;L718,L718&amp;" reps"),IF(IF(N(N718)=0,0,IF(N(M718)&gt;0,M718*(1+N718/30),N718))=X718,IF(N(M718)&gt;0,M718&amp;" x "&amp;N718,N718&amp;" reps"),""))))))</f>
        <v/>
      </c>
      <c r="R718" s="20">
        <f>IF(N(X718)=0,"",ROUND(X718,1))</f>
        <v/>
      </c>
      <c r="S718" s="18">
        <f>IF(N(X718)=0,"",IF(AND(COUNTIFS(Log!$D$6:$D$1505,D718,Log!$B$6:$B$1505,"&lt;"&amp;B718)&gt;0,COUNTIFS(Log!$D$6:$D$1505,D718,Log!$B$6:$B$1505,"&lt;"&amp;B718,Log!$X$6:$X$1505,"&gt;="&amp;X718)=0),"New best",""))</f>
        <v/>
      </c>
      <c r="T718" s="26" t="n"/>
      <c r="U718" s="1">
        <f>IF(D718="","",IFERROR(INDEX(Exercises!$C$6:$C$105,MATCH(D718,Exercises!$B$6:$B$105,0)),"Other"))</f>
        <v/>
      </c>
      <c r="V718">
        <f>IF(B718="","",IF(COUNTIF($B$6:B718,B718)=1,1,0))</f>
        <v/>
      </c>
      <c r="W718">
        <f>IF(B718="","",B718-WEEKDAY(B718,3))</f>
        <v/>
      </c>
      <c r="X718">
        <f>IF(D718="","",MAX(IF(N(F718)=0,0,IF(N(E718)&gt;0,E718*(1+F718/30),F718)),IF(N(H718)=0,0,IF(N(G718)&gt;0,G718*(1+H718/30),H718)),IF(N(J718)=0,0,IF(N(I718)&gt;0,I718*(1+J718/30),J718)),IF(N(L718)=0,0,IF(N(K718)&gt;0,K718*(1+L718/30),L718)),IF(N(N718)=0,0,IF(N(M718)&gt;0,M718*(1+N718/30),N718))))</f>
        <v/>
      </c>
      <c r="Y718">
        <f>IF(N(X718)=0,"",X718+ROW()/1000000000)</f>
        <v/>
      </c>
      <c r="Z718">
        <f>IF(Y718="","",IF(COUNTIFS(Log!$D$6:$D$1505,D718,Log!$Y$6:$Y$1505,"&gt;"&amp;Y718)=0,1,0))</f>
        <v/>
      </c>
      <c r="AA718">
        <f>IF(OR(B718="",D718=""),"",B718+ROW()/10000000)</f>
        <v/>
      </c>
      <c r="AB718">
        <f>IF(AA718="","",IF(COUNTIFS(Log!$D$6:$D$1505,D718,Log!$AA$6:$AA$1505,"&gt;"&amp;AA718)=0,1,0))</f>
        <v/>
      </c>
      <c r="AC718">
        <f>IF(S718="New best",AA718,"")</f>
        <v/>
      </c>
      <c r="AD718">
        <f>ROW()</f>
        <v/>
      </c>
    </row>
    <row r="719">
      <c r="A719" s="1" t="n"/>
      <c r="B719" s="21" t="n"/>
      <c r="C719" s="22" t="n"/>
      <c r="D719" s="23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15">
        <f>IF(D719="","",COUNT(F719,H719,J719,L719,N719))</f>
        <v/>
      </c>
      <c r="P719" s="25">
        <f>IF(D719="","",N(E719)*N(F719)+N(G719)*N(H719)+N(I719)*N(J719)+N(K719)*N(L719)+N(M719)*N(N719))</f>
        <v/>
      </c>
      <c r="Q719" s="18">
        <f>IF(N(X719)=0,"",IF(IF(N(F719)=0,0,IF(N(E719)&gt;0,E719*(1+F719/30),F719))=X719,IF(N(E719)&gt;0,E719&amp;" x "&amp;F719,F719&amp;" reps"),IF(IF(N(H719)=0,0,IF(N(G719)&gt;0,G719*(1+H719/30),H719))=X719,IF(N(G719)&gt;0,G719&amp;" x "&amp;H719,H719&amp;" reps"),IF(IF(N(J719)=0,0,IF(N(I719)&gt;0,I719*(1+J719/30),J719))=X719,IF(N(I719)&gt;0,I719&amp;" x "&amp;J719,J719&amp;" reps"),IF(IF(N(L719)=0,0,IF(N(K719)&gt;0,K719*(1+L719/30),L719))=X719,IF(N(K719)&gt;0,K719&amp;" x "&amp;L719,L719&amp;" reps"),IF(IF(N(N719)=0,0,IF(N(M719)&gt;0,M719*(1+N719/30),N719))=X719,IF(N(M719)&gt;0,M719&amp;" x "&amp;N719,N719&amp;" reps"),""))))))</f>
        <v/>
      </c>
      <c r="R719" s="20">
        <f>IF(N(X719)=0,"",ROUND(X719,1))</f>
        <v/>
      </c>
      <c r="S719" s="18">
        <f>IF(N(X719)=0,"",IF(AND(COUNTIFS(Log!$D$6:$D$1505,D719,Log!$B$6:$B$1505,"&lt;"&amp;B719)&gt;0,COUNTIFS(Log!$D$6:$D$1505,D719,Log!$B$6:$B$1505,"&lt;"&amp;B719,Log!$X$6:$X$1505,"&gt;="&amp;X719)=0),"New best",""))</f>
        <v/>
      </c>
      <c r="T719" s="26" t="n"/>
      <c r="U719" s="1">
        <f>IF(D719="","",IFERROR(INDEX(Exercises!$C$6:$C$105,MATCH(D719,Exercises!$B$6:$B$105,0)),"Other"))</f>
        <v/>
      </c>
      <c r="V719">
        <f>IF(B719="","",IF(COUNTIF($B$6:B719,B719)=1,1,0))</f>
        <v/>
      </c>
      <c r="W719">
        <f>IF(B719="","",B719-WEEKDAY(B719,3))</f>
        <v/>
      </c>
      <c r="X719">
        <f>IF(D719="","",MAX(IF(N(F719)=0,0,IF(N(E719)&gt;0,E719*(1+F719/30),F719)),IF(N(H719)=0,0,IF(N(G719)&gt;0,G719*(1+H719/30),H719)),IF(N(J719)=0,0,IF(N(I719)&gt;0,I719*(1+J719/30),J719)),IF(N(L719)=0,0,IF(N(K719)&gt;0,K719*(1+L719/30),L719)),IF(N(N719)=0,0,IF(N(M719)&gt;0,M719*(1+N719/30),N719))))</f>
        <v/>
      </c>
      <c r="Y719">
        <f>IF(N(X719)=0,"",X719+ROW()/1000000000)</f>
        <v/>
      </c>
      <c r="Z719">
        <f>IF(Y719="","",IF(COUNTIFS(Log!$D$6:$D$1505,D719,Log!$Y$6:$Y$1505,"&gt;"&amp;Y719)=0,1,0))</f>
        <v/>
      </c>
      <c r="AA719">
        <f>IF(OR(B719="",D719=""),"",B719+ROW()/10000000)</f>
        <v/>
      </c>
      <c r="AB719">
        <f>IF(AA719="","",IF(COUNTIFS(Log!$D$6:$D$1505,D719,Log!$AA$6:$AA$1505,"&gt;"&amp;AA719)=0,1,0))</f>
        <v/>
      </c>
      <c r="AC719">
        <f>IF(S719="New best",AA719,"")</f>
        <v/>
      </c>
      <c r="AD719">
        <f>ROW()</f>
        <v/>
      </c>
    </row>
    <row r="720">
      <c r="A720" s="1" t="n"/>
      <c r="B720" s="21" t="n"/>
      <c r="C720" s="22" t="n"/>
      <c r="D720" s="23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15">
        <f>IF(D720="","",COUNT(F720,H720,J720,L720,N720))</f>
        <v/>
      </c>
      <c r="P720" s="25">
        <f>IF(D720="","",N(E720)*N(F720)+N(G720)*N(H720)+N(I720)*N(J720)+N(K720)*N(L720)+N(M720)*N(N720))</f>
        <v/>
      </c>
      <c r="Q720" s="18">
        <f>IF(N(X720)=0,"",IF(IF(N(F720)=0,0,IF(N(E720)&gt;0,E720*(1+F720/30),F720))=X720,IF(N(E720)&gt;0,E720&amp;" x "&amp;F720,F720&amp;" reps"),IF(IF(N(H720)=0,0,IF(N(G720)&gt;0,G720*(1+H720/30),H720))=X720,IF(N(G720)&gt;0,G720&amp;" x "&amp;H720,H720&amp;" reps"),IF(IF(N(J720)=0,0,IF(N(I720)&gt;0,I720*(1+J720/30),J720))=X720,IF(N(I720)&gt;0,I720&amp;" x "&amp;J720,J720&amp;" reps"),IF(IF(N(L720)=0,0,IF(N(K720)&gt;0,K720*(1+L720/30),L720))=X720,IF(N(K720)&gt;0,K720&amp;" x "&amp;L720,L720&amp;" reps"),IF(IF(N(N720)=0,0,IF(N(M720)&gt;0,M720*(1+N720/30),N720))=X720,IF(N(M720)&gt;0,M720&amp;" x "&amp;N720,N720&amp;" reps"),""))))))</f>
        <v/>
      </c>
      <c r="R720" s="20">
        <f>IF(N(X720)=0,"",ROUND(X720,1))</f>
        <v/>
      </c>
      <c r="S720" s="18">
        <f>IF(N(X720)=0,"",IF(AND(COUNTIFS(Log!$D$6:$D$1505,D720,Log!$B$6:$B$1505,"&lt;"&amp;B720)&gt;0,COUNTIFS(Log!$D$6:$D$1505,D720,Log!$B$6:$B$1505,"&lt;"&amp;B720,Log!$X$6:$X$1505,"&gt;="&amp;X720)=0),"New best",""))</f>
        <v/>
      </c>
      <c r="T720" s="26" t="n"/>
      <c r="U720" s="1">
        <f>IF(D720="","",IFERROR(INDEX(Exercises!$C$6:$C$105,MATCH(D720,Exercises!$B$6:$B$105,0)),"Other"))</f>
        <v/>
      </c>
      <c r="V720">
        <f>IF(B720="","",IF(COUNTIF($B$6:B720,B720)=1,1,0))</f>
        <v/>
      </c>
      <c r="W720">
        <f>IF(B720="","",B720-WEEKDAY(B720,3))</f>
        <v/>
      </c>
      <c r="X720">
        <f>IF(D720="","",MAX(IF(N(F720)=0,0,IF(N(E720)&gt;0,E720*(1+F720/30),F720)),IF(N(H720)=0,0,IF(N(G720)&gt;0,G720*(1+H720/30),H720)),IF(N(J720)=0,0,IF(N(I720)&gt;0,I720*(1+J720/30),J720)),IF(N(L720)=0,0,IF(N(K720)&gt;0,K720*(1+L720/30),L720)),IF(N(N720)=0,0,IF(N(M720)&gt;0,M720*(1+N720/30),N720))))</f>
        <v/>
      </c>
      <c r="Y720">
        <f>IF(N(X720)=0,"",X720+ROW()/1000000000)</f>
        <v/>
      </c>
      <c r="Z720">
        <f>IF(Y720="","",IF(COUNTIFS(Log!$D$6:$D$1505,D720,Log!$Y$6:$Y$1505,"&gt;"&amp;Y720)=0,1,0))</f>
        <v/>
      </c>
      <c r="AA720">
        <f>IF(OR(B720="",D720=""),"",B720+ROW()/10000000)</f>
        <v/>
      </c>
      <c r="AB720">
        <f>IF(AA720="","",IF(COUNTIFS(Log!$D$6:$D$1505,D720,Log!$AA$6:$AA$1505,"&gt;"&amp;AA720)=0,1,0))</f>
        <v/>
      </c>
      <c r="AC720">
        <f>IF(S720="New best",AA720,"")</f>
        <v/>
      </c>
      <c r="AD720">
        <f>ROW()</f>
        <v/>
      </c>
    </row>
    <row r="721">
      <c r="A721" s="1" t="n"/>
      <c r="B721" s="21" t="n"/>
      <c r="C721" s="22" t="n"/>
      <c r="D721" s="23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15">
        <f>IF(D721="","",COUNT(F721,H721,J721,L721,N721))</f>
        <v/>
      </c>
      <c r="P721" s="25">
        <f>IF(D721="","",N(E721)*N(F721)+N(G721)*N(H721)+N(I721)*N(J721)+N(K721)*N(L721)+N(M721)*N(N721))</f>
        <v/>
      </c>
      <c r="Q721" s="18">
        <f>IF(N(X721)=0,"",IF(IF(N(F721)=0,0,IF(N(E721)&gt;0,E721*(1+F721/30),F721))=X721,IF(N(E721)&gt;0,E721&amp;" x "&amp;F721,F721&amp;" reps"),IF(IF(N(H721)=0,0,IF(N(G721)&gt;0,G721*(1+H721/30),H721))=X721,IF(N(G721)&gt;0,G721&amp;" x "&amp;H721,H721&amp;" reps"),IF(IF(N(J721)=0,0,IF(N(I721)&gt;0,I721*(1+J721/30),J721))=X721,IF(N(I721)&gt;0,I721&amp;" x "&amp;J721,J721&amp;" reps"),IF(IF(N(L721)=0,0,IF(N(K721)&gt;0,K721*(1+L721/30),L721))=X721,IF(N(K721)&gt;0,K721&amp;" x "&amp;L721,L721&amp;" reps"),IF(IF(N(N721)=0,0,IF(N(M721)&gt;0,M721*(1+N721/30),N721))=X721,IF(N(M721)&gt;0,M721&amp;" x "&amp;N721,N721&amp;" reps"),""))))))</f>
        <v/>
      </c>
      <c r="R721" s="20">
        <f>IF(N(X721)=0,"",ROUND(X721,1))</f>
        <v/>
      </c>
      <c r="S721" s="18">
        <f>IF(N(X721)=0,"",IF(AND(COUNTIFS(Log!$D$6:$D$1505,D721,Log!$B$6:$B$1505,"&lt;"&amp;B721)&gt;0,COUNTIFS(Log!$D$6:$D$1505,D721,Log!$B$6:$B$1505,"&lt;"&amp;B721,Log!$X$6:$X$1505,"&gt;="&amp;X721)=0),"New best",""))</f>
        <v/>
      </c>
      <c r="T721" s="26" t="n"/>
      <c r="U721" s="1">
        <f>IF(D721="","",IFERROR(INDEX(Exercises!$C$6:$C$105,MATCH(D721,Exercises!$B$6:$B$105,0)),"Other"))</f>
        <v/>
      </c>
      <c r="V721">
        <f>IF(B721="","",IF(COUNTIF($B$6:B721,B721)=1,1,0))</f>
        <v/>
      </c>
      <c r="W721">
        <f>IF(B721="","",B721-WEEKDAY(B721,3))</f>
        <v/>
      </c>
      <c r="X721">
        <f>IF(D721="","",MAX(IF(N(F721)=0,0,IF(N(E721)&gt;0,E721*(1+F721/30),F721)),IF(N(H721)=0,0,IF(N(G721)&gt;0,G721*(1+H721/30),H721)),IF(N(J721)=0,0,IF(N(I721)&gt;0,I721*(1+J721/30),J721)),IF(N(L721)=0,0,IF(N(K721)&gt;0,K721*(1+L721/30),L721)),IF(N(N721)=0,0,IF(N(M721)&gt;0,M721*(1+N721/30),N721))))</f>
        <v/>
      </c>
      <c r="Y721">
        <f>IF(N(X721)=0,"",X721+ROW()/1000000000)</f>
        <v/>
      </c>
      <c r="Z721">
        <f>IF(Y721="","",IF(COUNTIFS(Log!$D$6:$D$1505,D721,Log!$Y$6:$Y$1505,"&gt;"&amp;Y721)=0,1,0))</f>
        <v/>
      </c>
      <c r="AA721">
        <f>IF(OR(B721="",D721=""),"",B721+ROW()/10000000)</f>
        <v/>
      </c>
      <c r="AB721">
        <f>IF(AA721="","",IF(COUNTIFS(Log!$D$6:$D$1505,D721,Log!$AA$6:$AA$1505,"&gt;"&amp;AA721)=0,1,0))</f>
        <v/>
      </c>
      <c r="AC721">
        <f>IF(S721="New best",AA721,"")</f>
        <v/>
      </c>
      <c r="AD721">
        <f>ROW()</f>
        <v/>
      </c>
    </row>
    <row r="722">
      <c r="A722" s="1" t="n"/>
      <c r="B722" s="21" t="n"/>
      <c r="C722" s="22" t="n"/>
      <c r="D722" s="23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15">
        <f>IF(D722="","",COUNT(F722,H722,J722,L722,N722))</f>
        <v/>
      </c>
      <c r="P722" s="25">
        <f>IF(D722="","",N(E722)*N(F722)+N(G722)*N(H722)+N(I722)*N(J722)+N(K722)*N(L722)+N(M722)*N(N722))</f>
        <v/>
      </c>
      <c r="Q722" s="18">
        <f>IF(N(X722)=0,"",IF(IF(N(F722)=0,0,IF(N(E722)&gt;0,E722*(1+F722/30),F722))=X722,IF(N(E722)&gt;0,E722&amp;" x "&amp;F722,F722&amp;" reps"),IF(IF(N(H722)=0,0,IF(N(G722)&gt;0,G722*(1+H722/30),H722))=X722,IF(N(G722)&gt;0,G722&amp;" x "&amp;H722,H722&amp;" reps"),IF(IF(N(J722)=0,0,IF(N(I722)&gt;0,I722*(1+J722/30),J722))=X722,IF(N(I722)&gt;0,I722&amp;" x "&amp;J722,J722&amp;" reps"),IF(IF(N(L722)=0,0,IF(N(K722)&gt;0,K722*(1+L722/30),L722))=X722,IF(N(K722)&gt;0,K722&amp;" x "&amp;L722,L722&amp;" reps"),IF(IF(N(N722)=0,0,IF(N(M722)&gt;0,M722*(1+N722/30),N722))=X722,IF(N(M722)&gt;0,M722&amp;" x "&amp;N722,N722&amp;" reps"),""))))))</f>
        <v/>
      </c>
      <c r="R722" s="20">
        <f>IF(N(X722)=0,"",ROUND(X722,1))</f>
        <v/>
      </c>
      <c r="S722" s="18">
        <f>IF(N(X722)=0,"",IF(AND(COUNTIFS(Log!$D$6:$D$1505,D722,Log!$B$6:$B$1505,"&lt;"&amp;B722)&gt;0,COUNTIFS(Log!$D$6:$D$1505,D722,Log!$B$6:$B$1505,"&lt;"&amp;B722,Log!$X$6:$X$1505,"&gt;="&amp;X722)=0),"New best",""))</f>
        <v/>
      </c>
      <c r="T722" s="26" t="n"/>
      <c r="U722" s="1">
        <f>IF(D722="","",IFERROR(INDEX(Exercises!$C$6:$C$105,MATCH(D722,Exercises!$B$6:$B$105,0)),"Other"))</f>
        <v/>
      </c>
      <c r="V722">
        <f>IF(B722="","",IF(COUNTIF($B$6:B722,B722)=1,1,0))</f>
        <v/>
      </c>
      <c r="W722">
        <f>IF(B722="","",B722-WEEKDAY(B722,3))</f>
        <v/>
      </c>
      <c r="X722">
        <f>IF(D722="","",MAX(IF(N(F722)=0,0,IF(N(E722)&gt;0,E722*(1+F722/30),F722)),IF(N(H722)=0,0,IF(N(G722)&gt;0,G722*(1+H722/30),H722)),IF(N(J722)=0,0,IF(N(I722)&gt;0,I722*(1+J722/30),J722)),IF(N(L722)=0,0,IF(N(K722)&gt;0,K722*(1+L722/30),L722)),IF(N(N722)=0,0,IF(N(M722)&gt;0,M722*(1+N722/30),N722))))</f>
        <v/>
      </c>
      <c r="Y722">
        <f>IF(N(X722)=0,"",X722+ROW()/1000000000)</f>
        <v/>
      </c>
      <c r="Z722">
        <f>IF(Y722="","",IF(COUNTIFS(Log!$D$6:$D$1505,D722,Log!$Y$6:$Y$1505,"&gt;"&amp;Y722)=0,1,0))</f>
        <v/>
      </c>
      <c r="AA722">
        <f>IF(OR(B722="",D722=""),"",B722+ROW()/10000000)</f>
        <v/>
      </c>
      <c r="AB722">
        <f>IF(AA722="","",IF(COUNTIFS(Log!$D$6:$D$1505,D722,Log!$AA$6:$AA$1505,"&gt;"&amp;AA722)=0,1,0))</f>
        <v/>
      </c>
      <c r="AC722">
        <f>IF(S722="New best",AA722,"")</f>
        <v/>
      </c>
      <c r="AD722">
        <f>ROW()</f>
        <v/>
      </c>
    </row>
    <row r="723">
      <c r="A723" s="1" t="n"/>
      <c r="B723" s="21" t="n"/>
      <c r="C723" s="22" t="n"/>
      <c r="D723" s="23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15">
        <f>IF(D723="","",COUNT(F723,H723,J723,L723,N723))</f>
        <v/>
      </c>
      <c r="P723" s="25">
        <f>IF(D723="","",N(E723)*N(F723)+N(G723)*N(H723)+N(I723)*N(J723)+N(K723)*N(L723)+N(M723)*N(N723))</f>
        <v/>
      </c>
      <c r="Q723" s="18">
        <f>IF(N(X723)=0,"",IF(IF(N(F723)=0,0,IF(N(E723)&gt;0,E723*(1+F723/30),F723))=X723,IF(N(E723)&gt;0,E723&amp;" x "&amp;F723,F723&amp;" reps"),IF(IF(N(H723)=0,0,IF(N(G723)&gt;0,G723*(1+H723/30),H723))=X723,IF(N(G723)&gt;0,G723&amp;" x "&amp;H723,H723&amp;" reps"),IF(IF(N(J723)=0,0,IF(N(I723)&gt;0,I723*(1+J723/30),J723))=X723,IF(N(I723)&gt;0,I723&amp;" x "&amp;J723,J723&amp;" reps"),IF(IF(N(L723)=0,0,IF(N(K723)&gt;0,K723*(1+L723/30),L723))=X723,IF(N(K723)&gt;0,K723&amp;" x "&amp;L723,L723&amp;" reps"),IF(IF(N(N723)=0,0,IF(N(M723)&gt;0,M723*(1+N723/30),N723))=X723,IF(N(M723)&gt;0,M723&amp;" x "&amp;N723,N723&amp;" reps"),""))))))</f>
        <v/>
      </c>
      <c r="R723" s="20">
        <f>IF(N(X723)=0,"",ROUND(X723,1))</f>
        <v/>
      </c>
      <c r="S723" s="18">
        <f>IF(N(X723)=0,"",IF(AND(COUNTIFS(Log!$D$6:$D$1505,D723,Log!$B$6:$B$1505,"&lt;"&amp;B723)&gt;0,COUNTIFS(Log!$D$6:$D$1505,D723,Log!$B$6:$B$1505,"&lt;"&amp;B723,Log!$X$6:$X$1505,"&gt;="&amp;X723)=0),"New best",""))</f>
        <v/>
      </c>
      <c r="T723" s="26" t="n"/>
      <c r="U723" s="1">
        <f>IF(D723="","",IFERROR(INDEX(Exercises!$C$6:$C$105,MATCH(D723,Exercises!$B$6:$B$105,0)),"Other"))</f>
        <v/>
      </c>
      <c r="V723">
        <f>IF(B723="","",IF(COUNTIF($B$6:B723,B723)=1,1,0))</f>
        <v/>
      </c>
      <c r="W723">
        <f>IF(B723="","",B723-WEEKDAY(B723,3))</f>
        <v/>
      </c>
      <c r="X723">
        <f>IF(D723="","",MAX(IF(N(F723)=0,0,IF(N(E723)&gt;0,E723*(1+F723/30),F723)),IF(N(H723)=0,0,IF(N(G723)&gt;0,G723*(1+H723/30),H723)),IF(N(J723)=0,0,IF(N(I723)&gt;0,I723*(1+J723/30),J723)),IF(N(L723)=0,0,IF(N(K723)&gt;0,K723*(1+L723/30),L723)),IF(N(N723)=0,0,IF(N(M723)&gt;0,M723*(1+N723/30),N723))))</f>
        <v/>
      </c>
      <c r="Y723">
        <f>IF(N(X723)=0,"",X723+ROW()/1000000000)</f>
        <v/>
      </c>
      <c r="Z723">
        <f>IF(Y723="","",IF(COUNTIFS(Log!$D$6:$D$1505,D723,Log!$Y$6:$Y$1505,"&gt;"&amp;Y723)=0,1,0))</f>
        <v/>
      </c>
      <c r="AA723">
        <f>IF(OR(B723="",D723=""),"",B723+ROW()/10000000)</f>
        <v/>
      </c>
      <c r="AB723">
        <f>IF(AA723="","",IF(COUNTIFS(Log!$D$6:$D$1505,D723,Log!$AA$6:$AA$1505,"&gt;"&amp;AA723)=0,1,0))</f>
        <v/>
      </c>
      <c r="AC723">
        <f>IF(S723="New best",AA723,"")</f>
        <v/>
      </c>
      <c r="AD723">
        <f>ROW()</f>
        <v/>
      </c>
    </row>
    <row r="724">
      <c r="A724" s="1" t="n"/>
      <c r="B724" s="21" t="n"/>
      <c r="C724" s="22" t="n"/>
      <c r="D724" s="23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15">
        <f>IF(D724="","",COUNT(F724,H724,J724,L724,N724))</f>
        <v/>
      </c>
      <c r="P724" s="25">
        <f>IF(D724="","",N(E724)*N(F724)+N(G724)*N(H724)+N(I724)*N(J724)+N(K724)*N(L724)+N(M724)*N(N724))</f>
        <v/>
      </c>
      <c r="Q724" s="18">
        <f>IF(N(X724)=0,"",IF(IF(N(F724)=0,0,IF(N(E724)&gt;0,E724*(1+F724/30),F724))=X724,IF(N(E724)&gt;0,E724&amp;" x "&amp;F724,F724&amp;" reps"),IF(IF(N(H724)=0,0,IF(N(G724)&gt;0,G724*(1+H724/30),H724))=X724,IF(N(G724)&gt;0,G724&amp;" x "&amp;H724,H724&amp;" reps"),IF(IF(N(J724)=0,0,IF(N(I724)&gt;0,I724*(1+J724/30),J724))=X724,IF(N(I724)&gt;0,I724&amp;" x "&amp;J724,J724&amp;" reps"),IF(IF(N(L724)=0,0,IF(N(K724)&gt;0,K724*(1+L724/30),L724))=X724,IF(N(K724)&gt;0,K724&amp;" x "&amp;L724,L724&amp;" reps"),IF(IF(N(N724)=0,0,IF(N(M724)&gt;0,M724*(1+N724/30),N724))=X724,IF(N(M724)&gt;0,M724&amp;" x "&amp;N724,N724&amp;" reps"),""))))))</f>
        <v/>
      </c>
      <c r="R724" s="20">
        <f>IF(N(X724)=0,"",ROUND(X724,1))</f>
        <v/>
      </c>
      <c r="S724" s="18">
        <f>IF(N(X724)=0,"",IF(AND(COUNTIFS(Log!$D$6:$D$1505,D724,Log!$B$6:$B$1505,"&lt;"&amp;B724)&gt;0,COUNTIFS(Log!$D$6:$D$1505,D724,Log!$B$6:$B$1505,"&lt;"&amp;B724,Log!$X$6:$X$1505,"&gt;="&amp;X724)=0),"New best",""))</f>
        <v/>
      </c>
      <c r="T724" s="26" t="n"/>
      <c r="U724" s="1">
        <f>IF(D724="","",IFERROR(INDEX(Exercises!$C$6:$C$105,MATCH(D724,Exercises!$B$6:$B$105,0)),"Other"))</f>
        <v/>
      </c>
      <c r="V724">
        <f>IF(B724="","",IF(COUNTIF($B$6:B724,B724)=1,1,0))</f>
        <v/>
      </c>
      <c r="W724">
        <f>IF(B724="","",B724-WEEKDAY(B724,3))</f>
        <v/>
      </c>
      <c r="X724">
        <f>IF(D724="","",MAX(IF(N(F724)=0,0,IF(N(E724)&gt;0,E724*(1+F724/30),F724)),IF(N(H724)=0,0,IF(N(G724)&gt;0,G724*(1+H724/30),H724)),IF(N(J724)=0,0,IF(N(I724)&gt;0,I724*(1+J724/30),J724)),IF(N(L724)=0,0,IF(N(K724)&gt;0,K724*(1+L724/30),L724)),IF(N(N724)=0,0,IF(N(M724)&gt;0,M724*(1+N724/30),N724))))</f>
        <v/>
      </c>
      <c r="Y724">
        <f>IF(N(X724)=0,"",X724+ROW()/1000000000)</f>
        <v/>
      </c>
      <c r="Z724">
        <f>IF(Y724="","",IF(COUNTIFS(Log!$D$6:$D$1505,D724,Log!$Y$6:$Y$1505,"&gt;"&amp;Y724)=0,1,0))</f>
        <v/>
      </c>
      <c r="AA724">
        <f>IF(OR(B724="",D724=""),"",B724+ROW()/10000000)</f>
        <v/>
      </c>
      <c r="AB724">
        <f>IF(AA724="","",IF(COUNTIFS(Log!$D$6:$D$1505,D724,Log!$AA$6:$AA$1505,"&gt;"&amp;AA724)=0,1,0))</f>
        <v/>
      </c>
      <c r="AC724">
        <f>IF(S724="New best",AA724,"")</f>
        <v/>
      </c>
      <c r="AD724">
        <f>ROW()</f>
        <v/>
      </c>
    </row>
    <row r="725">
      <c r="A725" s="1" t="n"/>
      <c r="B725" s="21" t="n"/>
      <c r="C725" s="22" t="n"/>
      <c r="D725" s="23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15">
        <f>IF(D725="","",COUNT(F725,H725,J725,L725,N725))</f>
        <v/>
      </c>
      <c r="P725" s="25">
        <f>IF(D725="","",N(E725)*N(F725)+N(G725)*N(H725)+N(I725)*N(J725)+N(K725)*N(L725)+N(M725)*N(N725))</f>
        <v/>
      </c>
      <c r="Q725" s="18">
        <f>IF(N(X725)=0,"",IF(IF(N(F725)=0,0,IF(N(E725)&gt;0,E725*(1+F725/30),F725))=X725,IF(N(E725)&gt;0,E725&amp;" x "&amp;F725,F725&amp;" reps"),IF(IF(N(H725)=0,0,IF(N(G725)&gt;0,G725*(1+H725/30),H725))=X725,IF(N(G725)&gt;0,G725&amp;" x "&amp;H725,H725&amp;" reps"),IF(IF(N(J725)=0,0,IF(N(I725)&gt;0,I725*(1+J725/30),J725))=X725,IF(N(I725)&gt;0,I725&amp;" x "&amp;J725,J725&amp;" reps"),IF(IF(N(L725)=0,0,IF(N(K725)&gt;0,K725*(1+L725/30),L725))=X725,IF(N(K725)&gt;0,K725&amp;" x "&amp;L725,L725&amp;" reps"),IF(IF(N(N725)=0,0,IF(N(M725)&gt;0,M725*(1+N725/30),N725))=X725,IF(N(M725)&gt;0,M725&amp;" x "&amp;N725,N725&amp;" reps"),""))))))</f>
        <v/>
      </c>
      <c r="R725" s="20">
        <f>IF(N(X725)=0,"",ROUND(X725,1))</f>
        <v/>
      </c>
      <c r="S725" s="18">
        <f>IF(N(X725)=0,"",IF(AND(COUNTIFS(Log!$D$6:$D$1505,D725,Log!$B$6:$B$1505,"&lt;"&amp;B725)&gt;0,COUNTIFS(Log!$D$6:$D$1505,D725,Log!$B$6:$B$1505,"&lt;"&amp;B725,Log!$X$6:$X$1505,"&gt;="&amp;X725)=0),"New best",""))</f>
        <v/>
      </c>
      <c r="T725" s="26" t="n"/>
      <c r="U725" s="1">
        <f>IF(D725="","",IFERROR(INDEX(Exercises!$C$6:$C$105,MATCH(D725,Exercises!$B$6:$B$105,0)),"Other"))</f>
        <v/>
      </c>
      <c r="V725">
        <f>IF(B725="","",IF(COUNTIF($B$6:B725,B725)=1,1,0))</f>
        <v/>
      </c>
      <c r="W725">
        <f>IF(B725="","",B725-WEEKDAY(B725,3))</f>
        <v/>
      </c>
      <c r="X725">
        <f>IF(D725="","",MAX(IF(N(F725)=0,0,IF(N(E725)&gt;0,E725*(1+F725/30),F725)),IF(N(H725)=0,0,IF(N(G725)&gt;0,G725*(1+H725/30),H725)),IF(N(J725)=0,0,IF(N(I725)&gt;0,I725*(1+J725/30),J725)),IF(N(L725)=0,0,IF(N(K725)&gt;0,K725*(1+L725/30),L725)),IF(N(N725)=0,0,IF(N(M725)&gt;0,M725*(1+N725/30),N725))))</f>
        <v/>
      </c>
      <c r="Y725">
        <f>IF(N(X725)=0,"",X725+ROW()/1000000000)</f>
        <v/>
      </c>
      <c r="Z725">
        <f>IF(Y725="","",IF(COUNTIFS(Log!$D$6:$D$1505,D725,Log!$Y$6:$Y$1505,"&gt;"&amp;Y725)=0,1,0))</f>
        <v/>
      </c>
      <c r="AA725">
        <f>IF(OR(B725="",D725=""),"",B725+ROW()/10000000)</f>
        <v/>
      </c>
      <c r="AB725">
        <f>IF(AA725="","",IF(COUNTIFS(Log!$D$6:$D$1505,D725,Log!$AA$6:$AA$1505,"&gt;"&amp;AA725)=0,1,0))</f>
        <v/>
      </c>
      <c r="AC725">
        <f>IF(S725="New best",AA725,"")</f>
        <v/>
      </c>
      <c r="AD725">
        <f>ROW()</f>
        <v/>
      </c>
    </row>
    <row r="726">
      <c r="A726" s="1" t="n"/>
      <c r="B726" s="21" t="n"/>
      <c r="C726" s="22" t="n"/>
      <c r="D726" s="23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15">
        <f>IF(D726="","",COUNT(F726,H726,J726,L726,N726))</f>
        <v/>
      </c>
      <c r="P726" s="25">
        <f>IF(D726="","",N(E726)*N(F726)+N(G726)*N(H726)+N(I726)*N(J726)+N(K726)*N(L726)+N(M726)*N(N726))</f>
        <v/>
      </c>
      <c r="Q726" s="18">
        <f>IF(N(X726)=0,"",IF(IF(N(F726)=0,0,IF(N(E726)&gt;0,E726*(1+F726/30),F726))=X726,IF(N(E726)&gt;0,E726&amp;" x "&amp;F726,F726&amp;" reps"),IF(IF(N(H726)=0,0,IF(N(G726)&gt;0,G726*(1+H726/30),H726))=X726,IF(N(G726)&gt;0,G726&amp;" x "&amp;H726,H726&amp;" reps"),IF(IF(N(J726)=0,0,IF(N(I726)&gt;0,I726*(1+J726/30),J726))=X726,IF(N(I726)&gt;0,I726&amp;" x "&amp;J726,J726&amp;" reps"),IF(IF(N(L726)=0,0,IF(N(K726)&gt;0,K726*(1+L726/30),L726))=X726,IF(N(K726)&gt;0,K726&amp;" x "&amp;L726,L726&amp;" reps"),IF(IF(N(N726)=0,0,IF(N(M726)&gt;0,M726*(1+N726/30),N726))=X726,IF(N(M726)&gt;0,M726&amp;" x "&amp;N726,N726&amp;" reps"),""))))))</f>
        <v/>
      </c>
      <c r="R726" s="20">
        <f>IF(N(X726)=0,"",ROUND(X726,1))</f>
        <v/>
      </c>
      <c r="S726" s="18">
        <f>IF(N(X726)=0,"",IF(AND(COUNTIFS(Log!$D$6:$D$1505,D726,Log!$B$6:$B$1505,"&lt;"&amp;B726)&gt;0,COUNTIFS(Log!$D$6:$D$1505,D726,Log!$B$6:$B$1505,"&lt;"&amp;B726,Log!$X$6:$X$1505,"&gt;="&amp;X726)=0),"New best",""))</f>
        <v/>
      </c>
      <c r="T726" s="26" t="n"/>
      <c r="U726" s="1">
        <f>IF(D726="","",IFERROR(INDEX(Exercises!$C$6:$C$105,MATCH(D726,Exercises!$B$6:$B$105,0)),"Other"))</f>
        <v/>
      </c>
      <c r="V726">
        <f>IF(B726="","",IF(COUNTIF($B$6:B726,B726)=1,1,0))</f>
        <v/>
      </c>
      <c r="W726">
        <f>IF(B726="","",B726-WEEKDAY(B726,3))</f>
        <v/>
      </c>
      <c r="X726">
        <f>IF(D726="","",MAX(IF(N(F726)=0,0,IF(N(E726)&gt;0,E726*(1+F726/30),F726)),IF(N(H726)=0,0,IF(N(G726)&gt;0,G726*(1+H726/30),H726)),IF(N(J726)=0,0,IF(N(I726)&gt;0,I726*(1+J726/30),J726)),IF(N(L726)=0,0,IF(N(K726)&gt;0,K726*(1+L726/30),L726)),IF(N(N726)=0,0,IF(N(M726)&gt;0,M726*(1+N726/30),N726))))</f>
        <v/>
      </c>
      <c r="Y726">
        <f>IF(N(X726)=0,"",X726+ROW()/1000000000)</f>
        <v/>
      </c>
      <c r="Z726">
        <f>IF(Y726="","",IF(COUNTIFS(Log!$D$6:$D$1505,D726,Log!$Y$6:$Y$1505,"&gt;"&amp;Y726)=0,1,0))</f>
        <v/>
      </c>
      <c r="AA726">
        <f>IF(OR(B726="",D726=""),"",B726+ROW()/10000000)</f>
        <v/>
      </c>
      <c r="AB726">
        <f>IF(AA726="","",IF(COUNTIFS(Log!$D$6:$D$1505,D726,Log!$AA$6:$AA$1505,"&gt;"&amp;AA726)=0,1,0))</f>
        <v/>
      </c>
      <c r="AC726">
        <f>IF(S726="New best",AA726,"")</f>
        <v/>
      </c>
      <c r="AD726">
        <f>ROW()</f>
        <v/>
      </c>
    </row>
    <row r="727">
      <c r="A727" s="1" t="n"/>
      <c r="B727" s="21" t="n"/>
      <c r="C727" s="22" t="n"/>
      <c r="D727" s="23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15">
        <f>IF(D727="","",COUNT(F727,H727,J727,L727,N727))</f>
        <v/>
      </c>
      <c r="P727" s="25">
        <f>IF(D727="","",N(E727)*N(F727)+N(G727)*N(H727)+N(I727)*N(J727)+N(K727)*N(L727)+N(M727)*N(N727))</f>
        <v/>
      </c>
      <c r="Q727" s="18">
        <f>IF(N(X727)=0,"",IF(IF(N(F727)=0,0,IF(N(E727)&gt;0,E727*(1+F727/30),F727))=X727,IF(N(E727)&gt;0,E727&amp;" x "&amp;F727,F727&amp;" reps"),IF(IF(N(H727)=0,0,IF(N(G727)&gt;0,G727*(1+H727/30),H727))=X727,IF(N(G727)&gt;0,G727&amp;" x "&amp;H727,H727&amp;" reps"),IF(IF(N(J727)=0,0,IF(N(I727)&gt;0,I727*(1+J727/30),J727))=X727,IF(N(I727)&gt;0,I727&amp;" x "&amp;J727,J727&amp;" reps"),IF(IF(N(L727)=0,0,IF(N(K727)&gt;0,K727*(1+L727/30),L727))=X727,IF(N(K727)&gt;0,K727&amp;" x "&amp;L727,L727&amp;" reps"),IF(IF(N(N727)=0,0,IF(N(M727)&gt;0,M727*(1+N727/30),N727))=X727,IF(N(M727)&gt;0,M727&amp;" x "&amp;N727,N727&amp;" reps"),""))))))</f>
        <v/>
      </c>
      <c r="R727" s="20">
        <f>IF(N(X727)=0,"",ROUND(X727,1))</f>
        <v/>
      </c>
      <c r="S727" s="18">
        <f>IF(N(X727)=0,"",IF(AND(COUNTIFS(Log!$D$6:$D$1505,D727,Log!$B$6:$B$1505,"&lt;"&amp;B727)&gt;0,COUNTIFS(Log!$D$6:$D$1505,D727,Log!$B$6:$B$1505,"&lt;"&amp;B727,Log!$X$6:$X$1505,"&gt;="&amp;X727)=0),"New best",""))</f>
        <v/>
      </c>
      <c r="T727" s="26" t="n"/>
      <c r="U727" s="1">
        <f>IF(D727="","",IFERROR(INDEX(Exercises!$C$6:$C$105,MATCH(D727,Exercises!$B$6:$B$105,0)),"Other"))</f>
        <v/>
      </c>
      <c r="V727">
        <f>IF(B727="","",IF(COUNTIF($B$6:B727,B727)=1,1,0))</f>
        <v/>
      </c>
      <c r="W727">
        <f>IF(B727="","",B727-WEEKDAY(B727,3))</f>
        <v/>
      </c>
      <c r="X727">
        <f>IF(D727="","",MAX(IF(N(F727)=0,0,IF(N(E727)&gt;0,E727*(1+F727/30),F727)),IF(N(H727)=0,0,IF(N(G727)&gt;0,G727*(1+H727/30),H727)),IF(N(J727)=0,0,IF(N(I727)&gt;0,I727*(1+J727/30),J727)),IF(N(L727)=0,0,IF(N(K727)&gt;0,K727*(1+L727/30),L727)),IF(N(N727)=0,0,IF(N(M727)&gt;0,M727*(1+N727/30),N727))))</f>
        <v/>
      </c>
      <c r="Y727">
        <f>IF(N(X727)=0,"",X727+ROW()/1000000000)</f>
        <v/>
      </c>
      <c r="Z727">
        <f>IF(Y727="","",IF(COUNTIFS(Log!$D$6:$D$1505,D727,Log!$Y$6:$Y$1505,"&gt;"&amp;Y727)=0,1,0))</f>
        <v/>
      </c>
      <c r="AA727">
        <f>IF(OR(B727="",D727=""),"",B727+ROW()/10000000)</f>
        <v/>
      </c>
      <c r="AB727">
        <f>IF(AA727="","",IF(COUNTIFS(Log!$D$6:$D$1505,D727,Log!$AA$6:$AA$1505,"&gt;"&amp;AA727)=0,1,0))</f>
        <v/>
      </c>
      <c r="AC727">
        <f>IF(S727="New best",AA727,"")</f>
        <v/>
      </c>
      <c r="AD727">
        <f>ROW()</f>
        <v/>
      </c>
    </row>
    <row r="728">
      <c r="A728" s="1" t="n"/>
      <c r="B728" s="21" t="n"/>
      <c r="C728" s="22" t="n"/>
      <c r="D728" s="23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15">
        <f>IF(D728="","",COUNT(F728,H728,J728,L728,N728))</f>
        <v/>
      </c>
      <c r="P728" s="25">
        <f>IF(D728="","",N(E728)*N(F728)+N(G728)*N(H728)+N(I728)*N(J728)+N(K728)*N(L728)+N(M728)*N(N728))</f>
        <v/>
      </c>
      <c r="Q728" s="18">
        <f>IF(N(X728)=0,"",IF(IF(N(F728)=0,0,IF(N(E728)&gt;0,E728*(1+F728/30),F728))=X728,IF(N(E728)&gt;0,E728&amp;" x "&amp;F728,F728&amp;" reps"),IF(IF(N(H728)=0,0,IF(N(G728)&gt;0,G728*(1+H728/30),H728))=X728,IF(N(G728)&gt;0,G728&amp;" x "&amp;H728,H728&amp;" reps"),IF(IF(N(J728)=0,0,IF(N(I728)&gt;0,I728*(1+J728/30),J728))=X728,IF(N(I728)&gt;0,I728&amp;" x "&amp;J728,J728&amp;" reps"),IF(IF(N(L728)=0,0,IF(N(K728)&gt;0,K728*(1+L728/30),L728))=X728,IF(N(K728)&gt;0,K728&amp;" x "&amp;L728,L728&amp;" reps"),IF(IF(N(N728)=0,0,IF(N(M728)&gt;0,M728*(1+N728/30),N728))=X728,IF(N(M728)&gt;0,M728&amp;" x "&amp;N728,N728&amp;" reps"),""))))))</f>
        <v/>
      </c>
      <c r="R728" s="20">
        <f>IF(N(X728)=0,"",ROUND(X728,1))</f>
        <v/>
      </c>
      <c r="S728" s="18">
        <f>IF(N(X728)=0,"",IF(AND(COUNTIFS(Log!$D$6:$D$1505,D728,Log!$B$6:$B$1505,"&lt;"&amp;B728)&gt;0,COUNTIFS(Log!$D$6:$D$1505,D728,Log!$B$6:$B$1505,"&lt;"&amp;B728,Log!$X$6:$X$1505,"&gt;="&amp;X728)=0),"New best",""))</f>
        <v/>
      </c>
      <c r="T728" s="26" t="n"/>
      <c r="U728" s="1">
        <f>IF(D728="","",IFERROR(INDEX(Exercises!$C$6:$C$105,MATCH(D728,Exercises!$B$6:$B$105,0)),"Other"))</f>
        <v/>
      </c>
      <c r="V728">
        <f>IF(B728="","",IF(COUNTIF($B$6:B728,B728)=1,1,0))</f>
        <v/>
      </c>
      <c r="W728">
        <f>IF(B728="","",B728-WEEKDAY(B728,3))</f>
        <v/>
      </c>
      <c r="X728">
        <f>IF(D728="","",MAX(IF(N(F728)=0,0,IF(N(E728)&gt;0,E728*(1+F728/30),F728)),IF(N(H728)=0,0,IF(N(G728)&gt;0,G728*(1+H728/30),H728)),IF(N(J728)=0,0,IF(N(I728)&gt;0,I728*(1+J728/30),J728)),IF(N(L728)=0,0,IF(N(K728)&gt;0,K728*(1+L728/30),L728)),IF(N(N728)=0,0,IF(N(M728)&gt;0,M728*(1+N728/30),N728))))</f>
        <v/>
      </c>
      <c r="Y728">
        <f>IF(N(X728)=0,"",X728+ROW()/1000000000)</f>
        <v/>
      </c>
      <c r="Z728">
        <f>IF(Y728="","",IF(COUNTIFS(Log!$D$6:$D$1505,D728,Log!$Y$6:$Y$1505,"&gt;"&amp;Y728)=0,1,0))</f>
        <v/>
      </c>
      <c r="AA728">
        <f>IF(OR(B728="",D728=""),"",B728+ROW()/10000000)</f>
        <v/>
      </c>
      <c r="AB728">
        <f>IF(AA728="","",IF(COUNTIFS(Log!$D$6:$D$1505,D728,Log!$AA$6:$AA$1505,"&gt;"&amp;AA728)=0,1,0))</f>
        <v/>
      </c>
      <c r="AC728">
        <f>IF(S728="New best",AA728,"")</f>
        <v/>
      </c>
      <c r="AD728">
        <f>ROW()</f>
        <v/>
      </c>
    </row>
    <row r="729">
      <c r="A729" s="1" t="n"/>
      <c r="B729" s="21" t="n"/>
      <c r="C729" s="22" t="n"/>
      <c r="D729" s="23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15">
        <f>IF(D729="","",COUNT(F729,H729,J729,L729,N729))</f>
        <v/>
      </c>
      <c r="P729" s="25">
        <f>IF(D729="","",N(E729)*N(F729)+N(G729)*N(H729)+N(I729)*N(J729)+N(K729)*N(L729)+N(M729)*N(N729))</f>
        <v/>
      </c>
      <c r="Q729" s="18">
        <f>IF(N(X729)=0,"",IF(IF(N(F729)=0,0,IF(N(E729)&gt;0,E729*(1+F729/30),F729))=X729,IF(N(E729)&gt;0,E729&amp;" x "&amp;F729,F729&amp;" reps"),IF(IF(N(H729)=0,0,IF(N(G729)&gt;0,G729*(1+H729/30),H729))=X729,IF(N(G729)&gt;0,G729&amp;" x "&amp;H729,H729&amp;" reps"),IF(IF(N(J729)=0,0,IF(N(I729)&gt;0,I729*(1+J729/30),J729))=X729,IF(N(I729)&gt;0,I729&amp;" x "&amp;J729,J729&amp;" reps"),IF(IF(N(L729)=0,0,IF(N(K729)&gt;0,K729*(1+L729/30),L729))=X729,IF(N(K729)&gt;0,K729&amp;" x "&amp;L729,L729&amp;" reps"),IF(IF(N(N729)=0,0,IF(N(M729)&gt;0,M729*(1+N729/30),N729))=X729,IF(N(M729)&gt;0,M729&amp;" x "&amp;N729,N729&amp;" reps"),""))))))</f>
        <v/>
      </c>
      <c r="R729" s="20">
        <f>IF(N(X729)=0,"",ROUND(X729,1))</f>
        <v/>
      </c>
      <c r="S729" s="18">
        <f>IF(N(X729)=0,"",IF(AND(COUNTIFS(Log!$D$6:$D$1505,D729,Log!$B$6:$B$1505,"&lt;"&amp;B729)&gt;0,COUNTIFS(Log!$D$6:$D$1505,D729,Log!$B$6:$B$1505,"&lt;"&amp;B729,Log!$X$6:$X$1505,"&gt;="&amp;X729)=0),"New best",""))</f>
        <v/>
      </c>
      <c r="T729" s="26" t="n"/>
      <c r="U729" s="1">
        <f>IF(D729="","",IFERROR(INDEX(Exercises!$C$6:$C$105,MATCH(D729,Exercises!$B$6:$B$105,0)),"Other"))</f>
        <v/>
      </c>
      <c r="V729">
        <f>IF(B729="","",IF(COUNTIF($B$6:B729,B729)=1,1,0))</f>
        <v/>
      </c>
      <c r="W729">
        <f>IF(B729="","",B729-WEEKDAY(B729,3))</f>
        <v/>
      </c>
      <c r="X729">
        <f>IF(D729="","",MAX(IF(N(F729)=0,0,IF(N(E729)&gt;0,E729*(1+F729/30),F729)),IF(N(H729)=0,0,IF(N(G729)&gt;0,G729*(1+H729/30),H729)),IF(N(J729)=0,0,IF(N(I729)&gt;0,I729*(1+J729/30),J729)),IF(N(L729)=0,0,IF(N(K729)&gt;0,K729*(1+L729/30),L729)),IF(N(N729)=0,0,IF(N(M729)&gt;0,M729*(1+N729/30),N729))))</f>
        <v/>
      </c>
      <c r="Y729">
        <f>IF(N(X729)=0,"",X729+ROW()/1000000000)</f>
        <v/>
      </c>
      <c r="Z729">
        <f>IF(Y729="","",IF(COUNTIFS(Log!$D$6:$D$1505,D729,Log!$Y$6:$Y$1505,"&gt;"&amp;Y729)=0,1,0))</f>
        <v/>
      </c>
      <c r="AA729">
        <f>IF(OR(B729="",D729=""),"",B729+ROW()/10000000)</f>
        <v/>
      </c>
      <c r="AB729">
        <f>IF(AA729="","",IF(COUNTIFS(Log!$D$6:$D$1505,D729,Log!$AA$6:$AA$1505,"&gt;"&amp;AA729)=0,1,0))</f>
        <v/>
      </c>
      <c r="AC729">
        <f>IF(S729="New best",AA729,"")</f>
        <v/>
      </c>
      <c r="AD729">
        <f>ROW()</f>
        <v/>
      </c>
    </row>
    <row r="730">
      <c r="A730" s="1" t="n"/>
      <c r="B730" s="21" t="n"/>
      <c r="C730" s="22" t="n"/>
      <c r="D730" s="23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15">
        <f>IF(D730="","",COUNT(F730,H730,J730,L730,N730))</f>
        <v/>
      </c>
      <c r="P730" s="25">
        <f>IF(D730="","",N(E730)*N(F730)+N(G730)*N(H730)+N(I730)*N(J730)+N(K730)*N(L730)+N(M730)*N(N730))</f>
        <v/>
      </c>
      <c r="Q730" s="18">
        <f>IF(N(X730)=0,"",IF(IF(N(F730)=0,0,IF(N(E730)&gt;0,E730*(1+F730/30),F730))=X730,IF(N(E730)&gt;0,E730&amp;" x "&amp;F730,F730&amp;" reps"),IF(IF(N(H730)=0,0,IF(N(G730)&gt;0,G730*(1+H730/30),H730))=X730,IF(N(G730)&gt;0,G730&amp;" x "&amp;H730,H730&amp;" reps"),IF(IF(N(J730)=0,0,IF(N(I730)&gt;0,I730*(1+J730/30),J730))=X730,IF(N(I730)&gt;0,I730&amp;" x "&amp;J730,J730&amp;" reps"),IF(IF(N(L730)=0,0,IF(N(K730)&gt;0,K730*(1+L730/30),L730))=X730,IF(N(K730)&gt;0,K730&amp;" x "&amp;L730,L730&amp;" reps"),IF(IF(N(N730)=0,0,IF(N(M730)&gt;0,M730*(1+N730/30),N730))=X730,IF(N(M730)&gt;0,M730&amp;" x "&amp;N730,N730&amp;" reps"),""))))))</f>
        <v/>
      </c>
      <c r="R730" s="20">
        <f>IF(N(X730)=0,"",ROUND(X730,1))</f>
        <v/>
      </c>
      <c r="S730" s="18">
        <f>IF(N(X730)=0,"",IF(AND(COUNTIFS(Log!$D$6:$D$1505,D730,Log!$B$6:$B$1505,"&lt;"&amp;B730)&gt;0,COUNTIFS(Log!$D$6:$D$1505,D730,Log!$B$6:$B$1505,"&lt;"&amp;B730,Log!$X$6:$X$1505,"&gt;="&amp;X730)=0),"New best",""))</f>
        <v/>
      </c>
      <c r="T730" s="26" t="n"/>
      <c r="U730" s="1">
        <f>IF(D730="","",IFERROR(INDEX(Exercises!$C$6:$C$105,MATCH(D730,Exercises!$B$6:$B$105,0)),"Other"))</f>
        <v/>
      </c>
      <c r="V730">
        <f>IF(B730="","",IF(COUNTIF($B$6:B730,B730)=1,1,0))</f>
        <v/>
      </c>
      <c r="W730">
        <f>IF(B730="","",B730-WEEKDAY(B730,3))</f>
        <v/>
      </c>
      <c r="X730">
        <f>IF(D730="","",MAX(IF(N(F730)=0,0,IF(N(E730)&gt;0,E730*(1+F730/30),F730)),IF(N(H730)=0,0,IF(N(G730)&gt;0,G730*(1+H730/30),H730)),IF(N(J730)=0,0,IF(N(I730)&gt;0,I730*(1+J730/30),J730)),IF(N(L730)=0,0,IF(N(K730)&gt;0,K730*(1+L730/30),L730)),IF(N(N730)=0,0,IF(N(M730)&gt;0,M730*(1+N730/30),N730))))</f>
        <v/>
      </c>
      <c r="Y730">
        <f>IF(N(X730)=0,"",X730+ROW()/1000000000)</f>
        <v/>
      </c>
      <c r="Z730">
        <f>IF(Y730="","",IF(COUNTIFS(Log!$D$6:$D$1505,D730,Log!$Y$6:$Y$1505,"&gt;"&amp;Y730)=0,1,0))</f>
        <v/>
      </c>
      <c r="AA730">
        <f>IF(OR(B730="",D730=""),"",B730+ROW()/10000000)</f>
        <v/>
      </c>
      <c r="AB730">
        <f>IF(AA730="","",IF(COUNTIFS(Log!$D$6:$D$1505,D730,Log!$AA$6:$AA$1505,"&gt;"&amp;AA730)=0,1,0))</f>
        <v/>
      </c>
      <c r="AC730">
        <f>IF(S730="New best",AA730,"")</f>
        <v/>
      </c>
      <c r="AD730">
        <f>ROW()</f>
        <v/>
      </c>
    </row>
    <row r="731">
      <c r="A731" s="1" t="n"/>
      <c r="B731" s="21" t="n"/>
      <c r="C731" s="22" t="n"/>
      <c r="D731" s="23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15">
        <f>IF(D731="","",COUNT(F731,H731,J731,L731,N731))</f>
        <v/>
      </c>
      <c r="P731" s="25">
        <f>IF(D731="","",N(E731)*N(F731)+N(G731)*N(H731)+N(I731)*N(J731)+N(K731)*N(L731)+N(M731)*N(N731))</f>
        <v/>
      </c>
      <c r="Q731" s="18">
        <f>IF(N(X731)=0,"",IF(IF(N(F731)=0,0,IF(N(E731)&gt;0,E731*(1+F731/30),F731))=X731,IF(N(E731)&gt;0,E731&amp;" x "&amp;F731,F731&amp;" reps"),IF(IF(N(H731)=0,0,IF(N(G731)&gt;0,G731*(1+H731/30),H731))=X731,IF(N(G731)&gt;0,G731&amp;" x "&amp;H731,H731&amp;" reps"),IF(IF(N(J731)=0,0,IF(N(I731)&gt;0,I731*(1+J731/30),J731))=X731,IF(N(I731)&gt;0,I731&amp;" x "&amp;J731,J731&amp;" reps"),IF(IF(N(L731)=0,0,IF(N(K731)&gt;0,K731*(1+L731/30),L731))=X731,IF(N(K731)&gt;0,K731&amp;" x "&amp;L731,L731&amp;" reps"),IF(IF(N(N731)=0,0,IF(N(M731)&gt;0,M731*(1+N731/30),N731))=X731,IF(N(M731)&gt;0,M731&amp;" x "&amp;N731,N731&amp;" reps"),""))))))</f>
        <v/>
      </c>
      <c r="R731" s="20">
        <f>IF(N(X731)=0,"",ROUND(X731,1))</f>
        <v/>
      </c>
      <c r="S731" s="18">
        <f>IF(N(X731)=0,"",IF(AND(COUNTIFS(Log!$D$6:$D$1505,D731,Log!$B$6:$B$1505,"&lt;"&amp;B731)&gt;0,COUNTIFS(Log!$D$6:$D$1505,D731,Log!$B$6:$B$1505,"&lt;"&amp;B731,Log!$X$6:$X$1505,"&gt;="&amp;X731)=0),"New best",""))</f>
        <v/>
      </c>
      <c r="T731" s="26" t="n"/>
      <c r="U731" s="1">
        <f>IF(D731="","",IFERROR(INDEX(Exercises!$C$6:$C$105,MATCH(D731,Exercises!$B$6:$B$105,0)),"Other"))</f>
        <v/>
      </c>
      <c r="V731">
        <f>IF(B731="","",IF(COUNTIF($B$6:B731,B731)=1,1,0))</f>
        <v/>
      </c>
      <c r="W731">
        <f>IF(B731="","",B731-WEEKDAY(B731,3))</f>
        <v/>
      </c>
      <c r="X731">
        <f>IF(D731="","",MAX(IF(N(F731)=0,0,IF(N(E731)&gt;0,E731*(1+F731/30),F731)),IF(N(H731)=0,0,IF(N(G731)&gt;0,G731*(1+H731/30),H731)),IF(N(J731)=0,0,IF(N(I731)&gt;0,I731*(1+J731/30),J731)),IF(N(L731)=0,0,IF(N(K731)&gt;0,K731*(1+L731/30),L731)),IF(N(N731)=0,0,IF(N(M731)&gt;0,M731*(1+N731/30),N731))))</f>
        <v/>
      </c>
      <c r="Y731">
        <f>IF(N(X731)=0,"",X731+ROW()/1000000000)</f>
        <v/>
      </c>
      <c r="Z731">
        <f>IF(Y731="","",IF(COUNTIFS(Log!$D$6:$D$1505,D731,Log!$Y$6:$Y$1505,"&gt;"&amp;Y731)=0,1,0))</f>
        <v/>
      </c>
      <c r="AA731">
        <f>IF(OR(B731="",D731=""),"",B731+ROW()/10000000)</f>
        <v/>
      </c>
      <c r="AB731">
        <f>IF(AA731="","",IF(COUNTIFS(Log!$D$6:$D$1505,D731,Log!$AA$6:$AA$1505,"&gt;"&amp;AA731)=0,1,0))</f>
        <v/>
      </c>
      <c r="AC731">
        <f>IF(S731="New best",AA731,"")</f>
        <v/>
      </c>
      <c r="AD731">
        <f>ROW()</f>
        <v/>
      </c>
    </row>
    <row r="732">
      <c r="A732" s="1" t="n"/>
      <c r="B732" s="21" t="n"/>
      <c r="C732" s="22" t="n"/>
      <c r="D732" s="23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15">
        <f>IF(D732="","",COUNT(F732,H732,J732,L732,N732))</f>
        <v/>
      </c>
      <c r="P732" s="25">
        <f>IF(D732="","",N(E732)*N(F732)+N(G732)*N(H732)+N(I732)*N(J732)+N(K732)*N(L732)+N(M732)*N(N732))</f>
        <v/>
      </c>
      <c r="Q732" s="18">
        <f>IF(N(X732)=0,"",IF(IF(N(F732)=0,0,IF(N(E732)&gt;0,E732*(1+F732/30),F732))=X732,IF(N(E732)&gt;0,E732&amp;" x "&amp;F732,F732&amp;" reps"),IF(IF(N(H732)=0,0,IF(N(G732)&gt;0,G732*(1+H732/30),H732))=X732,IF(N(G732)&gt;0,G732&amp;" x "&amp;H732,H732&amp;" reps"),IF(IF(N(J732)=0,0,IF(N(I732)&gt;0,I732*(1+J732/30),J732))=X732,IF(N(I732)&gt;0,I732&amp;" x "&amp;J732,J732&amp;" reps"),IF(IF(N(L732)=0,0,IF(N(K732)&gt;0,K732*(1+L732/30),L732))=X732,IF(N(K732)&gt;0,K732&amp;" x "&amp;L732,L732&amp;" reps"),IF(IF(N(N732)=0,0,IF(N(M732)&gt;0,M732*(1+N732/30),N732))=X732,IF(N(M732)&gt;0,M732&amp;" x "&amp;N732,N732&amp;" reps"),""))))))</f>
        <v/>
      </c>
      <c r="R732" s="20">
        <f>IF(N(X732)=0,"",ROUND(X732,1))</f>
        <v/>
      </c>
      <c r="S732" s="18">
        <f>IF(N(X732)=0,"",IF(AND(COUNTIFS(Log!$D$6:$D$1505,D732,Log!$B$6:$B$1505,"&lt;"&amp;B732)&gt;0,COUNTIFS(Log!$D$6:$D$1505,D732,Log!$B$6:$B$1505,"&lt;"&amp;B732,Log!$X$6:$X$1505,"&gt;="&amp;X732)=0),"New best",""))</f>
        <v/>
      </c>
      <c r="T732" s="26" t="n"/>
      <c r="U732" s="1">
        <f>IF(D732="","",IFERROR(INDEX(Exercises!$C$6:$C$105,MATCH(D732,Exercises!$B$6:$B$105,0)),"Other"))</f>
        <v/>
      </c>
      <c r="V732">
        <f>IF(B732="","",IF(COUNTIF($B$6:B732,B732)=1,1,0))</f>
        <v/>
      </c>
      <c r="W732">
        <f>IF(B732="","",B732-WEEKDAY(B732,3))</f>
        <v/>
      </c>
      <c r="X732">
        <f>IF(D732="","",MAX(IF(N(F732)=0,0,IF(N(E732)&gt;0,E732*(1+F732/30),F732)),IF(N(H732)=0,0,IF(N(G732)&gt;0,G732*(1+H732/30),H732)),IF(N(J732)=0,0,IF(N(I732)&gt;0,I732*(1+J732/30),J732)),IF(N(L732)=0,0,IF(N(K732)&gt;0,K732*(1+L732/30),L732)),IF(N(N732)=0,0,IF(N(M732)&gt;0,M732*(1+N732/30),N732))))</f>
        <v/>
      </c>
      <c r="Y732">
        <f>IF(N(X732)=0,"",X732+ROW()/1000000000)</f>
        <v/>
      </c>
      <c r="Z732">
        <f>IF(Y732="","",IF(COUNTIFS(Log!$D$6:$D$1505,D732,Log!$Y$6:$Y$1505,"&gt;"&amp;Y732)=0,1,0))</f>
        <v/>
      </c>
      <c r="AA732">
        <f>IF(OR(B732="",D732=""),"",B732+ROW()/10000000)</f>
        <v/>
      </c>
      <c r="AB732">
        <f>IF(AA732="","",IF(COUNTIFS(Log!$D$6:$D$1505,D732,Log!$AA$6:$AA$1505,"&gt;"&amp;AA732)=0,1,0))</f>
        <v/>
      </c>
      <c r="AC732">
        <f>IF(S732="New best",AA732,"")</f>
        <v/>
      </c>
      <c r="AD732">
        <f>ROW()</f>
        <v/>
      </c>
    </row>
    <row r="733">
      <c r="A733" s="1" t="n"/>
      <c r="B733" s="21" t="n"/>
      <c r="C733" s="22" t="n"/>
      <c r="D733" s="23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15">
        <f>IF(D733="","",COUNT(F733,H733,J733,L733,N733))</f>
        <v/>
      </c>
      <c r="P733" s="25">
        <f>IF(D733="","",N(E733)*N(F733)+N(G733)*N(H733)+N(I733)*N(J733)+N(K733)*N(L733)+N(M733)*N(N733))</f>
        <v/>
      </c>
      <c r="Q733" s="18">
        <f>IF(N(X733)=0,"",IF(IF(N(F733)=0,0,IF(N(E733)&gt;0,E733*(1+F733/30),F733))=X733,IF(N(E733)&gt;0,E733&amp;" x "&amp;F733,F733&amp;" reps"),IF(IF(N(H733)=0,0,IF(N(G733)&gt;0,G733*(1+H733/30),H733))=X733,IF(N(G733)&gt;0,G733&amp;" x "&amp;H733,H733&amp;" reps"),IF(IF(N(J733)=0,0,IF(N(I733)&gt;0,I733*(1+J733/30),J733))=X733,IF(N(I733)&gt;0,I733&amp;" x "&amp;J733,J733&amp;" reps"),IF(IF(N(L733)=0,0,IF(N(K733)&gt;0,K733*(1+L733/30),L733))=X733,IF(N(K733)&gt;0,K733&amp;" x "&amp;L733,L733&amp;" reps"),IF(IF(N(N733)=0,0,IF(N(M733)&gt;0,M733*(1+N733/30),N733))=X733,IF(N(M733)&gt;0,M733&amp;" x "&amp;N733,N733&amp;" reps"),""))))))</f>
        <v/>
      </c>
      <c r="R733" s="20">
        <f>IF(N(X733)=0,"",ROUND(X733,1))</f>
        <v/>
      </c>
      <c r="S733" s="18">
        <f>IF(N(X733)=0,"",IF(AND(COUNTIFS(Log!$D$6:$D$1505,D733,Log!$B$6:$B$1505,"&lt;"&amp;B733)&gt;0,COUNTIFS(Log!$D$6:$D$1505,D733,Log!$B$6:$B$1505,"&lt;"&amp;B733,Log!$X$6:$X$1505,"&gt;="&amp;X733)=0),"New best",""))</f>
        <v/>
      </c>
      <c r="T733" s="26" t="n"/>
      <c r="U733" s="1">
        <f>IF(D733="","",IFERROR(INDEX(Exercises!$C$6:$C$105,MATCH(D733,Exercises!$B$6:$B$105,0)),"Other"))</f>
        <v/>
      </c>
      <c r="V733">
        <f>IF(B733="","",IF(COUNTIF($B$6:B733,B733)=1,1,0))</f>
        <v/>
      </c>
      <c r="W733">
        <f>IF(B733="","",B733-WEEKDAY(B733,3))</f>
        <v/>
      </c>
      <c r="X733">
        <f>IF(D733="","",MAX(IF(N(F733)=0,0,IF(N(E733)&gt;0,E733*(1+F733/30),F733)),IF(N(H733)=0,0,IF(N(G733)&gt;0,G733*(1+H733/30),H733)),IF(N(J733)=0,0,IF(N(I733)&gt;0,I733*(1+J733/30),J733)),IF(N(L733)=0,0,IF(N(K733)&gt;0,K733*(1+L733/30),L733)),IF(N(N733)=0,0,IF(N(M733)&gt;0,M733*(1+N733/30),N733))))</f>
        <v/>
      </c>
      <c r="Y733">
        <f>IF(N(X733)=0,"",X733+ROW()/1000000000)</f>
        <v/>
      </c>
      <c r="Z733">
        <f>IF(Y733="","",IF(COUNTIFS(Log!$D$6:$D$1505,D733,Log!$Y$6:$Y$1505,"&gt;"&amp;Y733)=0,1,0))</f>
        <v/>
      </c>
      <c r="AA733">
        <f>IF(OR(B733="",D733=""),"",B733+ROW()/10000000)</f>
        <v/>
      </c>
      <c r="AB733">
        <f>IF(AA733="","",IF(COUNTIFS(Log!$D$6:$D$1505,D733,Log!$AA$6:$AA$1505,"&gt;"&amp;AA733)=0,1,0))</f>
        <v/>
      </c>
      <c r="AC733">
        <f>IF(S733="New best",AA733,"")</f>
        <v/>
      </c>
      <c r="AD733">
        <f>ROW()</f>
        <v/>
      </c>
    </row>
    <row r="734">
      <c r="A734" s="1" t="n"/>
      <c r="B734" s="21" t="n"/>
      <c r="C734" s="22" t="n"/>
      <c r="D734" s="23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15">
        <f>IF(D734="","",COUNT(F734,H734,J734,L734,N734))</f>
        <v/>
      </c>
      <c r="P734" s="25">
        <f>IF(D734="","",N(E734)*N(F734)+N(G734)*N(H734)+N(I734)*N(J734)+N(K734)*N(L734)+N(M734)*N(N734))</f>
        <v/>
      </c>
      <c r="Q734" s="18">
        <f>IF(N(X734)=0,"",IF(IF(N(F734)=0,0,IF(N(E734)&gt;0,E734*(1+F734/30),F734))=X734,IF(N(E734)&gt;0,E734&amp;" x "&amp;F734,F734&amp;" reps"),IF(IF(N(H734)=0,0,IF(N(G734)&gt;0,G734*(1+H734/30),H734))=X734,IF(N(G734)&gt;0,G734&amp;" x "&amp;H734,H734&amp;" reps"),IF(IF(N(J734)=0,0,IF(N(I734)&gt;0,I734*(1+J734/30),J734))=X734,IF(N(I734)&gt;0,I734&amp;" x "&amp;J734,J734&amp;" reps"),IF(IF(N(L734)=0,0,IF(N(K734)&gt;0,K734*(1+L734/30),L734))=X734,IF(N(K734)&gt;0,K734&amp;" x "&amp;L734,L734&amp;" reps"),IF(IF(N(N734)=0,0,IF(N(M734)&gt;0,M734*(1+N734/30),N734))=X734,IF(N(M734)&gt;0,M734&amp;" x "&amp;N734,N734&amp;" reps"),""))))))</f>
        <v/>
      </c>
      <c r="R734" s="20">
        <f>IF(N(X734)=0,"",ROUND(X734,1))</f>
        <v/>
      </c>
      <c r="S734" s="18">
        <f>IF(N(X734)=0,"",IF(AND(COUNTIFS(Log!$D$6:$D$1505,D734,Log!$B$6:$B$1505,"&lt;"&amp;B734)&gt;0,COUNTIFS(Log!$D$6:$D$1505,D734,Log!$B$6:$B$1505,"&lt;"&amp;B734,Log!$X$6:$X$1505,"&gt;="&amp;X734)=0),"New best",""))</f>
        <v/>
      </c>
      <c r="T734" s="26" t="n"/>
      <c r="U734" s="1">
        <f>IF(D734="","",IFERROR(INDEX(Exercises!$C$6:$C$105,MATCH(D734,Exercises!$B$6:$B$105,0)),"Other"))</f>
        <v/>
      </c>
      <c r="V734">
        <f>IF(B734="","",IF(COUNTIF($B$6:B734,B734)=1,1,0))</f>
        <v/>
      </c>
      <c r="W734">
        <f>IF(B734="","",B734-WEEKDAY(B734,3))</f>
        <v/>
      </c>
      <c r="X734">
        <f>IF(D734="","",MAX(IF(N(F734)=0,0,IF(N(E734)&gt;0,E734*(1+F734/30),F734)),IF(N(H734)=0,0,IF(N(G734)&gt;0,G734*(1+H734/30),H734)),IF(N(J734)=0,0,IF(N(I734)&gt;0,I734*(1+J734/30),J734)),IF(N(L734)=0,0,IF(N(K734)&gt;0,K734*(1+L734/30),L734)),IF(N(N734)=0,0,IF(N(M734)&gt;0,M734*(1+N734/30),N734))))</f>
        <v/>
      </c>
      <c r="Y734">
        <f>IF(N(X734)=0,"",X734+ROW()/1000000000)</f>
        <v/>
      </c>
      <c r="Z734">
        <f>IF(Y734="","",IF(COUNTIFS(Log!$D$6:$D$1505,D734,Log!$Y$6:$Y$1505,"&gt;"&amp;Y734)=0,1,0))</f>
        <v/>
      </c>
      <c r="AA734">
        <f>IF(OR(B734="",D734=""),"",B734+ROW()/10000000)</f>
        <v/>
      </c>
      <c r="AB734">
        <f>IF(AA734="","",IF(COUNTIFS(Log!$D$6:$D$1505,D734,Log!$AA$6:$AA$1505,"&gt;"&amp;AA734)=0,1,0))</f>
        <v/>
      </c>
      <c r="AC734">
        <f>IF(S734="New best",AA734,"")</f>
        <v/>
      </c>
      <c r="AD734">
        <f>ROW()</f>
        <v/>
      </c>
    </row>
    <row r="735">
      <c r="A735" s="1" t="n"/>
      <c r="B735" s="21" t="n"/>
      <c r="C735" s="22" t="n"/>
      <c r="D735" s="23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15">
        <f>IF(D735="","",COUNT(F735,H735,J735,L735,N735))</f>
        <v/>
      </c>
      <c r="P735" s="25">
        <f>IF(D735="","",N(E735)*N(F735)+N(G735)*N(H735)+N(I735)*N(J735)+N(K735)*N(L735)+N(M735)*N(N735))</f>
        <v/>
      </c>
      <c r="Q735" s="18">
        <f>IF(N(X735)=0,"",IF(IF(N(F735)=0,0,IF(N(E735)&gt;0,E735*(1+F735/30),F735))=X735,IF(N(E735)&gt;0,E735&amp;" x "&amp;F735,F735&amp;" reps"),IF(IF(N(H735)=0,0,IF(N(G735)&gt;0,G735*(1+H735/30),H735))=X735,IF(N(G735)&gt;0,G735&amp;" x "&amp;H735,H735&amp;" reps"),IF(IF(N(J735)=0,0,IF(N(I735)&gt;0,I735*(1+J735/30),J735))=X735,IF(N(I735)&gt;0,I735&amp;" x "&amp;J735,J735&amp;" reps"),IF(IF(N(L735)=0,0,IF(N(K735)&gt;0,K735*(1+L735/30),L735))=X735,IF(N(K735)&gt;0,K735&amp;" x "&amp;L735,L735&amp;" reps"),IF(IF(N(N735)=0,0,IF(N(M735)&gt;0,M735*(1+N735/30),N735))=X735,IF(N(M735)&gt;0,M735&amp;" x "&amp;N735,N735&amp;" reps"),""))))))</f>
        <v/>
      </c>
      <c r="R735" s="20">
        <f>IF(N(X735)=0,"",ROUND(X735,1))</f>
        <v/>
      </c>
      <c r="S735" s="18">
        <f>IF(N(X735)=0,"",IF(AND(COUNTIFS(Log!$D$6:$D$1505,D735,Log!$B$6:$B$1505,"&lt;"&amp;B735)&gt;0,COUNTIFS(Log!$D$6:$D$1505,D735,Log!$B$6:$B$1505,"&lt;"&amp;B735,Log!$X$6:$X$1505,"&gt;="&amp;X735)=0),"New best",""))</f>
        <v/>
      </c>
      <c r="T735" s="26" t="n"/>
      <c r="U735" s="1">
        <f>IF(D735="","",IFERROR(INDEX(Exercises!$C$6:$C$105,MATCH(D735,Exercises!$B$6:$B$105,0)),"Other"))</f>
        <v/>
      </c>
      <c r="V735">
        <f>IF(B735="","",IF(COUNTIF($B$6:B735,B735)=1,1,0))</f>
        <v/>
      </c>
      <c r="W735">
        <f>IF(B735="","",B735-WEEKDAY(B735,3))</f>
        <v/>
      </c>
      <c r="X735">
        <f>IF(D735="","",MAX(IF(N(F735)=0,0,IF(N(E735)&gt;0,E735*(1+F735/30),F735)),IF(N(H735)=0,0,IF(N(G735)&gt;0,G735*(1+H735/30),H735)),IF(N(J735)=0,0,IF(N(I735)&gt;0,I735*(1+J735/30),J735)),IF(N(L735)=0,0,IF(N(K735)&gt;0,K735*(1+L735/30),L735)),IF(N(N735)=0,0,IF(N(M735)&gt;0,M735*(1+N735/30),N735))))</f>
        <v/>
      </c>
      <c r="Y735">
        <f>IF(N(X735)=0,"",X735+ROW()/1000000000)</f>
        <v/>
      </c>
      <c r="Z735">
        <f>IF(Y735="","",IF(COUNTIFS(Log!$D$6:$D$1505,D735,Log!$Y$6:$Y$1505,"&gt;"&amp;Y735)=0,1,0))</f>
        <v/>
      </c>
      <c r="AA735">
        <f>IF(OR(B735="",D735=""),"",B735+ROW()/10000000)</f>
        <v/>
      </c>
      <c r="AB735">
        <f>IF(AA735="","",IF(COUNTIFS(Log!$D$6:$D$1505,D735,Log!$AA$6:$AA$1505,"&gt;"&amp;AA735)=0,1,0))</f>
        <v/>
      </c>
      <c r="AC735">
        <f>IF(S735="New best",AA735,"")</f>
        <v/>
      </c>
      <c r="AD735">
        <f>ROW()</f>
        <v/>
      </c>
    </row>
    <row r="736">
      <c r="A736" s="1" t="n"/>
      <c r="B736" s="21" t="n"/>
      <c r="C736" s="22" t="n"/>
      <c r="D736" s="23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15">
        <f>IF(D736="","",COUNT(F736,H736,J736,L736,N736))</f>
        <v/>
      </c>
      <c r="P736" s="25">
        <f>IF(D736="","",N(E736)*N(F736)+N(G736)*N(H736)+N(I736)*N(J736)+N(K736)*N(L736)+N(M736)*N(N736))</f>
        <v/>
      </c>
      <c r="Q736" s="18">
        <f>IF(N(X736)=0,"",IF(IF(N(F736)=0,0,IF(N(E736)&gt;0,E736*(1+F736/30),F736))=X736,IF(N(E736)&gt;0,E736&amp;" x "&amp;F736,F736&amp;" reps"),IF(IF(N(H736)=0,0,IF(N(G736)&gt;0,G736*(1+H736/30),H736))=X736,IF(N(G736)&gt;0,G736&amp;" x "&amp;H736,H736&amp;" reps"),IF(IF(N(J736)=0,0,IF(N(I736)&gt;0,I736*(1+J736/30),J736))=X736,IF(N(I736)&gt;0,I736&amp;" x "&amp;J736,J736&amp;" reps"),IF(IF(N(L736)=0,0,IF(N(K736)&gt;0,K736*(1+L736/30),L736))=X736,IF(N(K736)&gt;0,K736&amp;" x "&amp;L736,L736&amp;" reps"),IF(IF(N(N736)=0,0,IF(N(M736)&gt;0,M736*(1+N736/30),N736))=X736,IF(N(M736)&gt;0,M736&amp;" x "&amp;N736,N736&amp;" reps"),""))))))</f>
        <v/>
      </c>
      <c r="R736" s="20">
        <f>IF(N(X736)=0,"",ROUND(X736,1))</f>
        <v/>
      </c>
      <c r="S736" s="18">
        <f>IF(N(X736)=0,"",IF(AND(COUNTIFS(Log!$D$6:$D$1505,D736,Log!$B$6:$B$1505,"&lt;"&amp;B736)&gt;0,COUNTIFS(Log!$D$6:$D$1505,D736,Log!$B$6:$B$1505,"&lt;"&amp;B736,Log!$X$6:$X$1505,"&gt;="&amp;X736)=0),"New best",""))</f>
        <v/>
      </c>
      <c r="T736" s="26" t="n"/>
      <c r="U736" s="1">
        <f>IF(D736="","",IFERROR(INDEX(Exercises!$C$6:$C$105,MATCH(D736,Exercises!$B$6:$B$105,0)),"Other"))</f>
        <v/>
      </c>
      <c r="V736">
        <f>IF(B736="","",IF(COUNTIF($B$6:B736,B736)=1,1,0))</f>
        <v/>
      </c>
      <c r="W736">
        <f>IF(B736="","",B736-WEEKDAY(B736,3))</f>
        <v/>
      </c>
      <c r="X736">
        <f>IF(D736="","",MAX(IF(N(F736)=0,0,IF(N(E736)&gt;0,E736*(1+F736/30),F736)),IF(N(H736)=0,0,IF(N(G736)&gt;0,G736*(1+H736/30),H736)),IF(N(J736)=0,0,IF(N(I736)&gt;0,I736*(1+J736/30),J736)),IF(N(L736)=0,0,IF(N(K736)&gt;0,K736*(1+L736/30),L736)),IF(N(N736)=0,0,IF(N(M736)&gt;0,M736*(1+N736/30),N736))))</f>
        <v/>
      </c>
      <c r="Y736">
        <f>IF(N(X736)=0,"",X736+ROW()/1000000000)</f>
        <v/>
      </c>
      <c r="Z736">
        <f>IF(Y736="","",IF(COUNTIFS(Log!$D$6:$D$1505,D736,Log!$Y$6:$Y$1505,"&gt;"&amp;Y736)=0,1,0))</f>
        <v/>
      </c>
      <c r="AA736">
        <f>IF(OR(B736="",D736=""),"",B736+ROW()/10000000)</f>
        <v/>
      </c>
      <c r="AB736">
        <f>IF(AA736="","",IF(COUNTIFS(Log!$D$6:$D$1505,D736,Log!$AA$6:$AA$1505,"&gt;"&amp;AA736)=0,1,0))</f>
        <v/>
      </c>
      <c r="AC736">
        <f>IF(S736="New best",AA736,"")</f>
        <v/>
      </c>
      <c r="AD736">
        <f>ROW()</f>
        <v/>
      </c>
    </row>
    <row r="737">
      <c r="A737" s="1" t="n"/>
      <c r="B737" s="21" t="n"/>
      <c r="C737" s="22" t="n"/>
      <c r="D737" s="23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15">
        <f>IF(D737="","",COUNT(F737,H737,J737,L737,N737))</f>
        <v/>
      </c>
      <c r="P737" s="25">
        <f>IF(D737="","",N(E737)*N(F737)+N(G737)*N(H737)+N(I737)*N(J737)+N(K737)*N(L737)+N(M737)*N(N737))</f>
        <v/>
      </c>
      <c r="Q737" s="18">
        <f>IF(N(X737)=0,"",IF(IF(N(F737)=0,0,IF(N(E737)&gt;0,E737*(1+F737/30),F737))=X737,IF(N(E737)&gt;0,E737&amp;" x "&amp;F737,F737&amp;" reps"),IF(IF(N(H737)=0,0,IF(N(G737)&gt;0,G737*(1+H737/30),H737))=X737,IF(N(G737)&gt;0,G737&amp;" x "&amp;H737,H737&amp;" reps"),IF(IF(N(J737)=0,0,IF(N(I737)&gt;0,I737*(1+J737/30),J737))=X737,IF(N(I737)&gt;0,I737&amp;" x "&amp;J737,J737&amp;" reps"),IF(IF(N(L737)=0,0,IF(N(K737)&gt;0,K737*(1+L737/30),L737))=X737,IF(N(K737)&gt;0,K737&amp;" x "&amp;L737,L737&amp;" reps"),IF(IF(N(N737)=0,0,IF(N(M737)&gt;0,M737*(1+N737/30),N737))=X737,IF(N(M737)&gt;0,M737&amp;" x "&amp;N737,N737&amp;" reps"),""))))))</f>
        <v/>
      </c>
      <c r="R737" s="20">
        <f>IF(N(X737)=0,"",ROUND(X737,1))</f>
        <v/>
      </c>
      <c r="S737" s="18">
        <f>IF(N(X737)=0,"",IF(AND(COUNTIFS(Log!$D$6:$D$1505,D737,Log!$B$6:$B$1505,"&lt;"&amp;B737)&gt;0,COUNTIFS(Log!$D$6:$D$1505,D737,Log!$B$6:$B$1505,"&lt;"&amp;B737,Log!$X$6:$X$1505,"&gt;="&amp;X737)=0),"New best",""))</f>
        <v/>
      </c>
      <c r="T737" s="26" t="n"/>
      <c r="U737" s="1">
        <f>IF(D737="","",IFERROR(INDEX(Exercises!$C$6:$C$105,MATCH(D737,Exercises!$B$6:$B$105,0)),"Other"))</f>
        <v/>
      </c>
      <c r="V737">
        <f>IF(B737="","",IF(COUNTIF($B$6:B737,B737)=1,1,0))</f>
        <v/>
      </c>
      <c r="W737">
        <f>IF(B737="","",B737-WEEKDAY(B737,3))</f>
        <v/>
      </c>
      <c r="X737">
        <f>IF(D737="","",MAX(IF(N(F737)=0,0,IF(N(E737)&gt;0,E737*(1+F737/30),F737)),IF(N(H737)=0,0,IF(N(G737)&gt;0,G737*(1+H737/30),H737)),IF(N(J737)=0,0,IF(N(I737)&gt;0,I737*(1+J737/30),J737)),IF(N(L737)=0,0,IF(N(K737)&gt;0,K737*(1+L737/30),L737)),IF(N(N737)=0,0,IF(N(M737)&gt;0,M737*(1+N737/30),N737))))</f>
        <v/>
      </c>
      <c r="Y737">
        <f>IF(N(X737)=0,"",X737+ROW()/1000000000)</f>
        <v/>
      </c>
      <c r="Z737">
        <f>IF(Y737="","",IF(COUNTIFS(Log!$D$6:$D$1505,D737,Log!$Y$6:$Y$1505,"&gt;"&amp;Y737)=0,1,0))</f>
        <v/>
      </c>
      <c r="AA737">
        <f>IF(OR(B737="",D737=""),"",B737+ROW()/10000000)</f>
        <v/>
      </c>
      <c r="AB737">
        <f>IF(AA737="","",IF(COUNTIFS(Log!$D$6:$D$1505,D737,Log!$AA$6:$AA$1505,"&gt;"&amp;AA737)=0,1,0))</f>
        <v/>
      </c>
      <c r="AC737">
        <f>IF(S737="New best",AA737,"")</f>
        <v/>
      </c>
      <c r="AD737">
        <f>ROW()</f>
        <v/>
      </c>
    </row>
    <row r="738">
      <c r="A738" s="1" t="n"/>
      <c r="B738" s="21" t="n"/>
      <c r="C738" s="22" t="n"/>
      <c r="D738" s="23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15">
        <f>IF(D738="","",COUNT(F738,H738,J738,L738,N738))</f>
        <v/>
      </c>
      <c r="P738" s="25">
        <f>IF(D738="","",N(E738)*N(F738)+N(G738)*N(H738)+N(I738)*N(J738)+N(K738)*N(L738)+N(M738)*N(N738))</f>
        <v/>
      </c>
      <c r="Q738" s="18">
        <f>IF(N(X738)=0,"",IF(IF(N(F738)=0,0,IF(N(E738)&gt;0,E738*(1+F738/30),F738))=X738,IF(N(E738)&gt;0,E738&amp;" x "&amp;F738,F738&amp;" reps"),IF(IF(N(H738)=0,0,IF(N(G738)&gt;0,G738*(1+H738/30),H738))=X738,IF(N(G738)&gt;0,G738&amp;" x "&amp;H738,H738&amp;" reps"),IF(IF(N(J738)=0,0,IF(N(I738)&gt;0,I738*(1+J738/30),J738))=X738,IF(N(I738)&gt;0,I738&amp;" x "&amp;J738,J738&amp;" reps"),IF(IF(N(L738)=0,0,IF(N(K738)&gt;0,K738*(1+L738/30),L738))=X738,IF(N(K738)&gt;0,K738&amp;" x "&amp;L738,L738&amp;" reps"),IF(IF(N(N738)=0,0,IF(N(M738)&gt;0,M738*(1+N738/30),N738))=X738,IF(N(M738)&gt;0,M738&amp;" x "&amp;N738,N738&amp;" reps"),""))))))</f>
        <v/>
      </c>
      <c r="R738" s="20">
        <f>IF(N(X738)=0,"",ROUND(X738,1))</f>
        <v/>
      </c>
      <c r="S738" s="18">
        <f>IF(N(X738)=0,"",IF(AND(COUNTIFS(Log!$D$6:$D$1505,D738,Log!$B$6:$B$1505,"&lt;"&amp;B738)&gt;0,COUNTIFS(Log!$D$6:$D$1505,D738,Log!$B$6:$B$1505,"&lt;"&amp;B738,Log!$X$6:$X$1505,"&gt;="&amp;X738)=0),"New best",""))</f>
        <v/>
      </c>
      <c r="T738" s="26" t="n"/>
      <c r="U738" s="1">
        <f>IF(D738="","",IFERROR(INDEX(Exercises!$C$6:$C$105,MATCH(D738,Exercises!$B$6:$B$105,0)),"Other"))</f>
        <v/>
      </c>
      <c r="V738">
        <f>IF(B738="","",IF(COUNTIF($B$6:B738,B738)=1,1,0))</f>
        <v/>
      </c>
      <c r="W738">
        <f>IF(B738="","",B738-WEEKDAY(B738,3))</f>
        <v/>
      </c>
      <c r="X738">
        <f>IF(D738="","",MAX(IF(N(F738)=0,0,IF(N(E738)&gt;0,E738*(1+F738/30),F738)),IF(N(H738)=0,0,IF(N(G738)&gt;0,G738*(1+H738/30),H738)),IF(N(J738)=0,0,IF(N(I738)&gt;0,I738*(1+J738/30),J738)),IF(N(L738)=0,0,IF(N(K738)&gt;0,K738*(1+L738/30),L738)),IF(N(N738)=0,0,IF(N(M738)&gt;0,M738*(1+N738/30),N738))))</f>
        <v/>
      </c>
      <c r="Y738">
        <f>IF(N(X738)=0,"",X738+ROW()/1000000000)</f>
        <v/>
      </c>
      <c r="Z738">
        <f>IF(Y738="","",IF(COUNTIFS(Log!$D$6:$D$1505,D738,Log!$Y$6:$Y$1505,"&gt;"&amp;Y738)=0,1,0))</f>
        <v/>
      </c>
      <c r="AA738">
        <f>IF(OR(B738="",D738=""),"",B738+ROW()/10000000)</f>
        <v/>
      </c>
      <c r="AB738">
        <f>IF(AA738="","",IF(COUNTIFS(Log!$D$6:$D$1505,D738,Log!$AA$6:$AA$1505,"&gt;"&amp;AA738)=0,1,0))</f>
        <v/>
      </c>
      <c r="AC738">
        <f>IF(S738="New best",AA738,"")</f>
        <v/>
      </c>
      <c r="AD738">
        <f>ROW()</f>
        <v/>
      </c>
    </row>
    <row r="739">
      <c r="A739" s="1" t="n"/>
      <c r="B739" s="21" t="n"/>
      <c r="C739" s="22" t="n"/>
      <c r="D739" s="23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15">
        <f>IF(D739="","",COUNT(F739,H739,J739,L739,N739))</f>
        <v/>
      </c>
      <c r="P739" s="25">
        <f>IF(D739="","",N(E739)*N(F739)+N(G739)*N(H739)+N(I739)*N(J739)+N(K739)*N(L739)+N(M739)*N(N739))</f>
        <v/>
      </c>
      <c r="Q739" s="18">
        <f>IF(N(X739)=0,"",IF(IF(N(F739)=0,0,IF(N(E739)&gt;0,E739*(1+F739/30),F739))=X739,IF(N(E739)&gt;0,E739&amp;" x "&amp;F739,F739&amp;" reps"),IF(IF(N(H739)=0,0,IF(N(G739)&gt;0,G739*(1+H739/30),H739))=X739,IF(N(G739)&gt;0,G739&amp;" x "&amp;H739,H739&amp;" reps"),IF(IF(N(J739)=0,0,IF(N(I739)&gt;0,I739*(1+J739/30),J739))=X739,IF(N(I739)&gt;0,I739&amp;" x "&amp;J739,J739&amp;" reps"),IF(IF(N(L739)=0,0,IF(N(K739)&gt;0,K739*(1+L739/30),L739))=X739,IF(N(K739)&gt;0,K739&amp;" x "&amp;L739,L739&amp;" reps"),IF(IF(N(N739)=0,0,IF(N(M739)&gt;0,M739*(1+N739/30),N739))=X739,IF(N(M739)&gt;0,M739&amp;" x "&amp;N739,N739&amp;" reps"),""))))))</f>
        <v/>
      </c>
      <c r="R739" s="20">
        <f>IF(N(X739)=0,"",ROUND(X739,1))</f>
        <v/>
      </c>
      <c r="S739" s="18">
        <f>IF(N(X739)=0,"",IF(AND(COUNTIFS(Log!$D$6:$D$1505,D739,Log!$B$6:$B$1505,"&lt;"&amp;B739)&gt;0,COUNTIFS(Log!$D$6:$D$1505,D739,Log!$B$6:$B$1505,"&lt;"&amp;B739,Log!$X$6:$X$1505,"&gt;="&amp;X739)=0),"New best",""))</f>
        <v/>
      </c>
      <c r="T739" s="26" t="n"/>
      <c r="U739" s="1">
        <f>IF(D739="","",IFERROR(INDEX(Exercises!$C$6:$C$105,MATCH(D739,Exercises!$B$6:$B$105,0)),"Other"))</f>
        <v/>
      </c>
      <c r="V739">
        <f>IF(B739="","",IF(COUNTIF($B$6:B739,B739)=1,1,0))</f>
        <v/>
      </c>
      <c r="W739">
        <f>IF(B739="","",B739-WEEKDAY(B739,3))</f>
        <v/>
      </c>
      <c r="X739">
        <f>IF(D739="","",MAX(IF(N(F739)=0,0,IF(N(E739)&gt;0,E739*(1+F739/30),F739)),IF(N(H739)=0,0,IF(N(G739)&gt;0,G739*(1+H739/30),H739)),IF(N(J739)=0,0,IF(N(I739)&gt;0,I739*(1+J739/30),J739)),IF(N(L739)=0,0,IF(N(K739)&gt;0,K739*(1+L739/30),L739)),IF(N(N739)=0,0,IF(N(M739)&gt;0,M739*(1+N739/30),N739))))</f>
        <v/>
      </c>
      <c r="Y739">
        <f>IF(N(X739)=0,"",X739+ROW()/1000000000)</f>
        <v/>
      </c>
      <c r="Z739">
        <f>IF(Y739="","",IF(COUNTIFS(Log!$D$6:$D$1505,D739,Log!$Y$6:$Y$1505,"&gt;"&amp;Y739)=0,1,0))</f>
        <v/>
      </c>
      <c r="AA739">
        <f>IF(OR(B739="",D739=""),"",B739+ROW()/10000000)</f>
        <v/>
      </c>
      <c r="AB739">
        <f>IF(AA739="","",IF(COUNTIFS(Log!$D$6:$D$1505,D739,Log!$AA$6:$AA$1505,"&gt;"&amp;AA739)=0,1,0))</f>
        <v/>
      </c>
      <c r="AC739">
        <f>IF(S739="New best",AA739,"")</f>
        <v/>
      </c>
      <c r="AD739">
        <f>ROW()</f>
        <v/>
      </c>
    </row>
    <row r="740">
      <c r="A740" s="1" t="n"/>
      <c r="B740" s="21" t="n"/>
      <c r="C740" s="22" t="n"/>
      <c r="D740" s="23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15">
        <f>IF(D740="","",COUNT(F740,H740,J740,L740,N740))</f>
        <v/>
      </c>
      <c r="P740" s="25">
        <f>IF(D740="","",N(E740)*N(F740)+N(G740)*N(H740)+N(I740)*N(J740)+N(K740)*N(L740)+N(M740)*N(N740))</f>
        <v/>
      </c>
      <c r="Q740" s="18">
        <f>IF(N(X740)=0,"",IF(IF(N(F740)=0,0,IF(N(E740)&gt;0,E740*(1+F740/30),F740))=X740,IF(N(E740)&gt;0,E740&amp;" x "&amp;F740,F740&amp;" reps"),IF(IF(N(H740)=0,0,IF(N(G740)&gt;0,G740*(1+H740/30),H740))=X740,IF(N(G740)&gt;0,G740&amp;" x "&amp;H740,H740&amp;" reps"),IF(IF(N(J740)=0,0,IF(N(I740)&gt;0,I740*(1+J740/30),J740))=X740,IF(N(I740)&gt;0,I740&amp;" x "&amp;J740,J740&amp;" reps"),IF(IF(N(L740)=0,0,IF(N(K740)&gt;0,K740*(1+L740/30),L740))=X740,IF(N(K740)&gt;0,K740&amp;" x "&amp;L740,L740&amp;" reps"),IF(IF(N(N740)=0,0,IF(N(M740)&gt;0,M740*(1+N740/30),N740))=X740,IF(N(M740)&gt;0,M740&amp;" x "&amp;N740,N740&amp;" reps"),""))))))</f>
        <v/>
      </c>
      <c r="R740" s="20">
        <f>IF(N(X740)=0,"",ROUND(X740,1))</f>
        <v/>
      </c>
      <c r="S740" s="18">
        <f>IF(N(X740)=0,"",IF(AND(COUNTIFS(Log!$D$6:$D$1505,D740,Log!$B$6:$B$1505,"&lt;"&amp;B740)&gt;0,COUNTIFS(Log!$D$6:$D$1505,D740,Log!$B$6:$B$1505,"&lt;"&amp;B740,Log!$X$6:$X$1505,"&gt;="&amp;X740)=0),"New best",""))</f>
        <v/>
      </c>
      <c r="T740" s="26" t="n"/>
      <c r="U740" s="1">
        <f>IF(D740="","",IFERROR(INDEX(Exercises!$C$6:$C$105,MATCH(D740,Exercises!$B$6:$B$105,0)),"Other"))</f>
        <v/>
      </c>
      <c r="V740">
        <f>IF(B740="","",IF(COUNTIF($B$6:B740,B740)=1,1,0))</f>
        <v/>
      </c>
      <c r="W740">
        <f>IF(B740="","",B740-WEEKDAY(B740,3))</f>
        <v/>
      </c>
      <c r="X740">
        <f>IF(D740="","",MAX(IF(N(F740)=0,0,IF(N(E740)&gt;0,E740*(1+F740/30),F740)),IF(N(H740)=0,0,IF(N(G740)&gt;0,G740*(1+H740/30),H740)),IF(N(J740)=0,0,IF(N(I740)&gt;0,I740*(1+J740/30),J740)),IF(N(L740)=0,0,IF(N(K740)&gt;0,K740*(1+L740/30),L740)),IF(N(N740)=0,0,IF(N(M740)&gt;0,M740*(1+N740/30),N740))))</f>
        <v/>
      </c>
      <c r="Y740">
        <f>IF(N(X740)=0,"",X740+ROW()/1000000000)</f>
        <v/>
      </c>
      <c r="Z740">
        <f>IF(Y740="","",IF(COUNTIFS(Log!$D$6:$D$1505,D740,Log!$Y$6:$Y$1505,"&gt;"&amp;Y740)=0,1,0))</f>
        <v/>
      </c>
      <c r="AA740">
        <f>IF(OR(B740="",D740=""),"",B740+ROW()/10000000)</f>
        <v/>
      </c>
      <c r="AB740">
        <f>IF(AA740="","",IF(COUNTIFS(Log!$D$6:$D$1505,D740,Log!$AA$6:$AA$1505,"&gt;"&amp;AA740)=0,1,0))</f>
        <v/>
      </c>
      <c r="AC740">
        <f>IF(S740="New best",AA740,"")</f>
        <v/>
      </c>
      <c r="AD740">
        <f>ROW()</f>
        <v/>
      </c>
    </row>
    <row r="741">
      <c r="A741" s="1" t="n"/>
      <c r="B741" s="21" t="n"/>
      <c r="C741" s="22" t="n"/>
      <c r="D741" s="23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15">
        <f>IF(D741="","",COUNT(F741,H741,J741,L741,N741))</f>
        <v/>
      </c>
      <c r="P741" s="25">
        <f>IF(D741="","",N(E741)*N(F741)+N(G741)*N(H741)+N(I741)*N(J741)+N(K741)*N(L741)+N(M741)*N(N741))</f>
        <v/>
      </c>
      <c r="Q741" s="18">
        <f>IF(N(X741)=0,"",IF(IF(N(F741)=0,0,IF(N(E741)&gt;0,E741*(1+F741/30),F741))=X741,IF(N(E741)&gt;0,E741&amp;" x "&amp;F741,F741&amp;" reps"),IF(IF(N(H741)=0,0,IF(N(G741)&gt;0,G741*(1+H741/30),H741))=X741,IF(N(G741)&gt;0,G741&amp;" x "&amp;H741,H741&amp;" reps"),IF(IF(N(J741)=0,0,IF(N(I741)&gt;0,I741*(1+J741/30),J741))=X741,IF(N(I741)&gt;0,I741&amp;" x "&amp;J741,J741&amp;" reps"),IF(IF(N(L741)=0,0,IF(N(K741)&gt;0,K741*(1+L741/30),L741))=X741,IF(N(K741)&gt;0,K741&amp;" x "&amp;L741,L741&amp;" reps"),IF(IF(N(N741)=0,0,IF(N(M741)&gt;0,M741*(1+N741/30),N741))=X741,IF(N(M741)&gt;0,M741&amp;" x "&amp;N741,N741&amp;" reps"),""))))))</f>
        <v/>
      </c>
      <c r="R741" s="20">
        <f>IF(N(X741)=0,"",ROUND(X741,1))</f>
        <v/>
      </c>
      <c r="S741" s="18">
        <f>IF(N(X741)=0,"",IF(AND(COUNTIFS(Log!$D$6:$D$1505,D741,Log!$B$6:$B$1505,"&lt;"&amp;B741)&gt;0,COUNTIFS(Log!$D$6:$D$1505,D741,Log!$B$6:$B$1505,"&lt;"&amp;B741,Log!$X$6:$X$1505,"&gt;="&amp;X741)=0),"New best",""))</f>
        <v/>
      </c>
      <c r="T741" s="26" t="n"/>
      <c r="U741" s="1">
        <f>IF(D741="","",IFERROR(INDEX(Exercises!$C$6:$C$105,MATCH(D741,Exercises!$B$6:$B$105,0)),"Other"))</f>
        <v/>
      </c>
      <c r="V741">
        <f>IF(B741="","",IF(COUNTIF($B$6:B741,B741)=1,1,0))</f>
        <v/>
      </c>
      <c r="W741">
        <f>IF(B741="","",B741-WEEKDAY(B741,3))</f>
        <v/>
      </c>
      <c r="X741">
        <f>IF(D741="","",MAX(IF(N(F741)=0,0,IF(N(E741)&gt;0,E741*(1+F741/30),F741)),IF(N(H741)=0,0,IF(N(G741)&gt;0,G741*(1+H741/30),H741)),IF(N(J741)=0,0,IF(N(I741)&gt;0,I741*(1+J741/30),J741)),IF(N(L741)=0,0,IF(N(K741)&gt;0,K741*(1+L741/30),L741)),IF(N(N741)=0,0,IF(N(M741)&gt;0,M741*(1+N741/30),N741))))</f>
        <v/>
      </c>
      <c r="Y741">
        <f>IF(N(X741)=0,"",X741+ROW()/1000000000)</f>
        <v/>
      </c>
      <c r="Z741">
        <f>IF(Y741="","",IF(COUNTIFS(Log!$D$6:$D$1505,D741,Log!$Y$6:$Y$1505,"&gt;"&amp;Y741)=0,1,0))</f>
        <v/>
      </c>
      <c r="AA741">
        <f>IF(OR(B741="",D741=""),"",B741+ROW()/10000000)</f>
        <v/>
      </c>
      <c r="AB741">
        <f>IF(AA741="","",IF(COUNTIFS(Log!$D$6:$D$1505,D741,Log!$AA$6:$AA$1505,"&gt;"&amp;AA741)=0,1,0))</f>
        <v/>
      </c>
      <c r="AC741">
        <f>IF(S741="New best",AA741,"")</f>
        <v/>
      </c>
      <c r="AD741">
        <f>ROW()</f>
        <v/>
      </c>
    </row>
    <row r="742">
      <c r="A742" s="1" t="n"/>
      <c r="B742" s="21" t="n"/>
      <c r="C742" s="22" t="n"/>
      <c r="D742" s="23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15">
        <f>IF(D742="","",COUNT(F742,H742,J742,L742,N742))</f>
        <v/>
      </c>
      <c r="P742" s="25">
        <f>IF(D742="","",N(E742)*N(F742)+N(G742)*N(H742)+N(I742)*N(J742)+N(K742)*N(L742)+N(M742)*N(N742))</f>
        <v/>
      </c>
      <c r="Q742" s="18">
        <f>IF(N(X742)=0,"",IF(IF(N(F742)=0,0,IF(N(E742)&gt;0,E742*(1+F742/30),F742))=X742,IF(N(E742)&gt;0,E742&amp;" x "&amp;F742,F742&amp;" reps"),IF(IF(N(H742)=0,0,IF(N(G742)&gt;0,G742*(1+H742/30),H742))=X742,IF(N(G742)&gt;0,G742&amp;" x "&amp;H742,H742&amp;" reps"),IF(IF(N(J742)=0,0,IF(N(I742)&gt;0,I742*(1+J742/30),J742))=X742,IF(N(I742)&gt;0,I742&amp;" x "&amp;J742,J742&amp;" reps"),IF(IF(N(L742)=0,0,IF(N(K742)&gt;0,K742*(1+L742/30),L742))=X742,IF(N(K742)&gt;0,K742&amp;" x "&amp;L742,L742&amp;" reps"),IF(IF(N(N742)=0,0,IF(N(M742)&gt;0,M742*(1+N742/30),N742))=X742,IF(N(M742)&gt;0,M742&amp;" x "&amp;N742,N742&amp;" reps"),""))))))</f>
        <v/>
      </c>
      <c r="R742" s="20">
        <f>IF(N(X742)=0,"",ROUND(X742,1))</f>
        <v/>
      </c>
      <c r="S742" s="18">
        <f>IF(N(X742)=0,"",IF(AND(COUNTIFS(Log!$D$6:$D$1505,D742,Log!$B$6:$B$1505,"&lt;"&amp;B742)&gt;0,COUNTIFS(Log!$D$6:$D$1505,D742,Log!$B$6:$B$1505,"&lt;"&amp;B742,Log!$X$6:$X$1505,"&gt;="&amp;X742)=0),"New best",""))</f>
        <v/>
      </c>
      <c r="T742" s="26" t="n"/>
      <c r="U742" s="1">
        <f>IF(D742="","",IFERROR(INDEX(Exercises!$C$6:$C$105,MATCH(D742,Exercises!$B$6:$B$105,0)),"Other"))</f>
        <v/>
      </c>
      <c r="V742">
        <f>IF(B742="","",IF(COUNTIF($B$6:B742,B742)=1,1,0))</f>
        <v/>
      </c>
      <c r="W742">
        <f>IF(B742="","",B742-WEEKDAY(B742,3))</f>
        <v/>
      </c>
      <c r="X742">
        <f>IF(D742="","",MAX(IF(N(F742)=0,0,IF(N(E742)&gt;0,E742*(1+F742/30),F742)),IF(N(H742)=0,0,IF(N(G742)&gt;0,G742*(1+H742/30),H742)),IF(N(J742)=0,0,IF(N(I742)&gt;0,I742*(1+J742/30),J742)),IF(N(L742)=0,0,IF(N(K742)&gt;0,K742*(1+L742/30),L742)),IF(N(N742)=0,0,IF(N(M742)&gt;0,M742*(1+N742/30),N742))))</f>
        <v/>
      </c>
      <c r="Y742">
        <f>IF(N(X742)=0,"",X742+ROW()/1000000000)</f>
        <v/>
      </c>
      <c r="Z742">
        <f>IF(Y742="","",IF(COUNTIFS(Log!$D$6:$D$1505,D742,Log!$Y$6:$Y$1505,"&gt;"&amp;Y742)=0,1,0))</f>
        <v/>
      </c>
      <c r="AA742">
        <f>IF(OR(B742="",D742=""),"",B742+ROW()/10000000)</f>
        <v/>
      </c>
      <c r="AB742">
        <f>IF(AA742="","",IF(COUNTIFS(Log!$D$6:$D$1505,D742,Log!$AA$6:$AA$1505,"&gt;"&amp;AA742)=0,1,0))</f>
        <v/>
      </c>
      <c r="AC742">
        <f>IF(S742="New best",AA742,"")</f>
        <v/>
      </c>
      <c r="AD742">
        <f>ROW()</f>
        <v/>
      </c>
    </row>
    <row r="743">
      <c r="A743" s="1" t="n"/>
      <c r="B743" s="21" t="n"/>
      <c r="C743" s="22" t="n"/>
      <c r="D743" s="23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15">
        <f>IF(D743="","",COUNT(F743,H743,J743,L743,N743))</f>
        <v/>
      </c>
      <c r="P743" s="25">
        <f>IF(D743="","",N(E743)*N(F743)+N(G743)*N(H743)+N(I743)*N(J743)+N(K743)*N(L743)+N(M743)*N(N743))</f>
        <v/>
      </c>
      <c r="Q743" s="18">
        <f>IF(N(X743)=0,"",IF(IF(N(F743)=0,0,IF(N(E743)&gt;0,E743*(1+F743/30),F743))=X743,IF(N(E743)&gt;0,E743&amp;" x "&amp;F743,F743&amp;" reps"),IF(IF(N(H743)=0,0,IF(N(G743)&gt;0,G743*(1+H743/30),H743))=X743,IF(N(G743)&gt;0,G743&amp;" x "&amp;H743,H743&amp;" reps"),IF(IF(N(J743)=0,0,IF(N(I743)&gt;0,I743*(1+J743/30),J743))=X743,IF(N(I743)&gt;0,I743&amp;" x "&amp;J743,J743&amp;" reps"),IF(IF(N(L743)=0,0,IF(N(K743)&gt;0,K743*(1+L743/30),L743))=X743,IF(N(K743)&gt;0,K743&amp;" x "&amp;L743,L743&amp;" reps"),IF(IF(N(N743)=0,0,IF(N(M743)&gt;0,M743*(1+N743/30),N743))=X743,IF(N(M743)&gt;0,M743&amp;" x "&amp;N743,N743&amp;" reps"),""))))))</f>
        <v/>
      </c>
      <c r="R743" s="20">
        <f>IF(N(X743)=0,"",ROUND(X743,1))</f>
        <v/>
      </c>
      <c r="S743" s="18">
        <f>IF(N(X743)=0,"",IF(AND(COUNTIFS(Log!$D$6:$D$1505,D743,Log!$B$6:$B$1505,"&lt;"&amp;B743)&gt;0,COUNTIFS(Log!$D$6:$D$1505,D743,Log!$B$6:$B$1505,"&lt;"&amp;B743,Log!$X$6:$X$1505,"&gt;="&amp;X743)=0),"New best",""))</f>
        <v/>
      </c>
      <c r="T743" s="26" t="n"/>
      <c r="U743" s="1">
        <f>IF(D743="","",IFERROR(INDEX(Exercises!$C$6:$C$105,MATCH(D743,Exercises!$B$6:$B$105,0)),"Other"))</f>
        <v/>
      </c>
      <c r="V743">
        <f>IF(B743="","",IF(COUNTIF($B$6:B743,B743)=1,1,0))</f>
        <v/>
      </c>
      <c r="W743">
        <f>IF(B743="","",B743-WEEKDAY(B743,3))</f>
        <v/>
      </c>
      <c r="X743">
        <f>IF(D743="","",MAX(IF(N(F743)=0,0,IF(N(E743)&gt;0,E743*(1+F743/30),F743)),IF(N(H743)=0,0,IF(N(G743)&gt;0,G743*(1+H743/30),H743)),IF(N(J743)=0,0,IF(N(I743)&gt;0,I743*(1+J743/30),J743)),IF(N(L743)=0,0,IF(N(K743)&gt;0,K743*(1+L743/30),L743)),IF(N(N743)=0,0,IF(N(M743)&gt;0,M743*(1+N743/30),N743))))</f>
        <v/>
      </c>
      <c r="Y743">
        <f>IF(N(X743)=0,"",X743+ROW()/1000000000)</f>
        <v/>
      </c>
      <c r="Z743">
        <f>IF(Y743="","",IF(COUNTIFS(Log!$D$6:$D$1505,D743,Log!$Y$6:$Y$1505,"&gt;"&amp;Y743)=0,1,0))</f>
        <v/>
      </c>
      <c r="AA743">
        <f>IF(OR(B743="",D743=""),"",B743+ROW()/10000000)</f>
        <v/>
      </c>
      <c r="AB743">
        <f>IF(AA743="","",IF(COUNTIFS(Log!$D$6:$D$1505,D743,Log!$AA$6:$AA$1505,"&gt;"&amp;AA743)=0,1,0))</f>
        <v/>
      </c>
      <c r="AC743">
        <f>IF(S743="New best",AA743,"")</f>
        <v/>
      </c>
      <c r="AD743">
        <f>ROW()</f>
        <v/>
      </c>
    </row>
    <row r="744">
      <c r="A744" s="1" t="n"/>
      <c r="B744" s="21" t="n"/>
      <c r="C744" s="22" t="n"/>
      <c r="D744" s="23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15">
        <f>IF(D744="","",COUNT(F744,H744,J744,L744,N744))</f>
        <v/>
      </c>
      <c r="P744" s="25">
        <f>IF(D744="","",N(E744)*N(F744)+N(G744)*N(H744)+N(I744)*N(J744)+N(K744)*N(L744)+N(M744)*N(N744))</f>
        <v/>
      </c>
      <c r="Q744" s="18">
        <f>IF(N(X744)=0,"",IF(IF(N(F744)=0,0,IF(N(E744)&gt;0,E744*(1+F744/30),F744))=X744,IF(N(E744)&gt;0,E744&amp;" x "&amp;F744,F744&amp;" reps"),IF(IF(N(H744)=0,0,IF(N(G744)&gt;0,G744*(1+H744/30),H744))=X744,IF(N(G744)&gt;0,G744&amp;" x "&amp;H744,H744&amp;" reps"),IF(IF(N(J744)=0,0,IF(N(I744)&gt;0,I744*(1+J744/30),J744))=X744,IF(N(I744)&gt;0,I744&amp;" x "&amp;J744,J744&amp;" reps"),IF(IF(N(L744)=0,0,IF(N(K744)&gt;0,K744*(1+L744/30),L744))=X744,IF(N(K744)&gt;0,K744&amp;" x "&amp;L744,L744&amp;" reps"),IF(IF(N(N744)=0,0,IF(N(M744)&gt;0,M744*(1+N744/30),N744))=X744,IF(N(M744)&gt;0,M744&amp;" x "&amp;N744,N744&amp;" reps"),""))))))</f>
        <v/>
      </c>
      <c r="R744" s="20">
        <f>IF(N(X744)=0,"",ROUND(X744,1))</f>
        <v/>
      </c>
      <c r="S744" s="18">
        <f>IF(N(X744)=0,"",IF(AND(COUNTIFS(Log!$D$6:$D$1505,D744,Log!$B$6:$B$1505,"&lt;"&amp;B744)&gt;0,COUNTIFS(Log!$D$6:$D$1505,D744,Log!$B$6:$B$1505,"&lt;"&amp;B744,Log!$X$6:$X$1505,"&gt;="&amp;X744)=0),"New best",""))</f>
        <v/>
      </c>
      <c r="T744" s="26" t="n"/>
      <c r="U744" s="1">
        <f>IF(D744="","",IFERROR(INDEX(Exercises!$C$6:$C$105,MATCH(D744,Exercises!$B$6:$B$105,0)),"Other"))</f>
        <v/>
      </c>
      <c r="V744">
        <f>IF(B744="","",IF(COUNTIF($B$6:B744,B744)=1,1,0))</f>
        <v/>
      </c>
      <c r="W744">
        <f>IF(B744="","",B744-WEEKDAY(B744,3))</f>
        <v/>
      </c>
      <c r="X744">
        <f>IF(D744="","",MAX(IF(N(F744)=0,0,IF(N(E744)&gt;0,E744*(1+F744/30),F744)),IF(N(H744)=0,0,IF(N(G744)&gt;0,G744*(1+H744/30),H744)),IF(N(J744)=0,0,IF(N(I744)&gt;0,I744*(1+J744/30),J744)),IF(N(L744)=0,0,IF(N(K744)&gt;0,K744*(1+L744/30),L744)),IF(N(N744)=0,0,IF(N(M744)&gt;0,M744*(1+N744/30),N744))))</f>
        <v/>
      </c>
      <c r="Y744">
        <f>IF(N(X744)=0,"",X744+ROW()/1000000000)</f>
        <v/>
      </c>
      <c r="Z744">
        <f>IF(Y744="","",IF(COUNTIFS(Log!$D$6:$D$1505,D744,Log!$Y$6:$Y$1505,"&gt;"&amp;Y744)=0,1,0))</f>
        <v/>
      </c>
      <c r="AA744">
        <f>IF(OR(B744="",D744=""),"",B744+ROW()/10000000)</f>
        <v/>
      </c>
      <c r="AB744">
        <f>IF(AA744="","",IF(COUNTIFS(Log!$D$6:$D$1505,D744,Log!$AA$6:$AA$1505,"&gt;"&amp;AA744)=0,1,0))</f>
        <v/>
      </c>
      <c r="AC744">
        <f>IF(S744="New best",AA744,"")</f>
        <v/>
      </c>
      <c r="AD744">
        <f>ROW()</f>
        <v/>
      </c>
    </row>
    <row r="745">
      <c r="A745" s="1" t="n"/>
      <c r="B745" s="21" t="n"/>
      <c r="C745" s="22" t="n"/>
      <c r="D745" s="23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15">
        <f>IF(D745="","",COUNT(F745,H745,J745,L745,N745))</f>
        <v/>
      </c>
      <c r="P745" s="25">
        <f>IF(D745="","",N(E745)*N(F745)+N(G745)*N(H745)+N(I745)*N(J745)+N(K745)*N(L745)+N(M745)*N(N745))</f>
        <v/>
      </c>
      <c r="Q745" s="18">
        <f>IF(N(X745)=0,"",IF(IF(N(F745)=0,0,IF(N(E745)&gt;0,E745*(1+F745/30),F745))=X745,IF(N(E745)&gt;0,E745&amp;" x "&amp;F745,F745&amp;" reps"),IF(IF(N(H745)=0,0,IF(N(G745)&gt;0,G745*(1+H745/30),H745))=X745,IF(N(G745)&gt;0,G745&amp;" x "&amp;H745,H745&amp;" reps"),IF(IF(N(J745)=0,0,IF(N(I745)&gt;0,I745*(1+J745/30),J745))=X745,IF(N(I745)&gt;0,I745&amp;" x "&amp;J745,J745&amp;" reps"),IF(IF(N(L745)=0,0,IF(N(K745)&gt;0,K745*(1+L745/30),L745))=X745,IF(N(K745)&gt;0,K745&amp;" x "&amp;L745,L745&amp;" reps"),IF(IF(N(N745)=0,0,IF(N(M745)&gt;0,M745*(1+N745/30),N745))=X745,IF(N(M745)&gt;0,M745&amp;" x "&amp;N745,N745&amp;" reps"),""))))))</f>
        <v/>
      </c>
      <c r="R745" s="20">
        <f>IF(N(X745)=0,"",ROUND(X745,1))</f>
        <v/>
      </c>
      <c r="S745" s="18">
        <f>IF(N(X745)=0,"",IF(AND(COUNTIFS(Log!$D$6:$D$1505,D745,Log!$B$6:$B$1505,"&lt;"&amp;B745)&gt;0,COUNTIFS(Log!$D$6:$D$1505,D745,Log!$B$6:$B$1505,"&lt;"&amp;B745,Log!$X$6:$X$1505,"&gt;="&amp;X745)=0),"New best",""))</f>
        <v/>
      </c>
      <c r="T745" s="26" t="n"/>
      <c r="U745" s="1">
        <f>IF(D745="","",IFERROR(INDEX(Exercises!$C$6:$C$105,MATCH(D745,Exercises!$B$6:$B$105,0)),"Other"))</f>
        <v/>
      </c>
      <c r="V745">
        <f>IF(B745="","",IF(COUNTIF($B$6:B745,B745)=1,1,0))</f>
        <v/>
      </c>
      <c r="W745">
        <f>IF(B745="","",B745-WEEKDAY(B745,3))</f>
        <v/>
      </c>
      <c r="X745">
        <f>IF(D745="","",MAX(IF(N(F745)=0,0,IF(N(E745)&gt;0,E745*(1+F745/30),F745)),IF(N(H745)=0,0,IF(N(G745)&gt;0,G745*(1+H745/30),H745)),IF(N(J745)=0,0,IF(N(I745)&gt;0,I745*(1+J745/30),J745)),IF(N(L745)=0,0,IF(N(K745)&gt;0,K745*(1+L745/30),L745)),IF(N(N745)=0,0,IF(N(M745)&gt;0,M745*(1+N745/30),N745))))</f>
        <v/>
      </c>
      <c r="Y745">
        <f>IF(N(X745)=0,"",X745+ROW()/1000000000)</f>
        <v/>
      </c>
      <c r="Z745">
        <f>IF(Y745="","",IF(COUNTIFS(Log!$D$6:$D$1505,D745,Log!$Y$6:$Y$1505,"&gt;"&amp;Y745)=0,1,0))</f>
        <v/>
      </c>
      <c r="AA745">
        <f>IF(OR(B745="",D745=""),"",B745+ROW()/10000000)</f>
        <v/>
      </c>
      <c r="AB745">
        <f>IF(AA745="","",IF(COUNTIFS(Log!$D$6:$D$1505,D745,Log!$AA$6:$AA$1505,"&gt;"&amp;AA745)=0,1,0))</f>
        <v/>
      </c>
      <c r="AC745">
        <f>IF(S745="New best",AA745,"")</f>
        <v/>
      </c>
      <c r="AD745">
        <f>ROW()</f>
        <v/>
      </c>
    </row>
    <row r="746">
      <c r="A746" s="1" t="n"/>
      <c r="B746" s="21" t="n"/>
      <c r="C746" s="22" t="n"/>
      <c r="D746" s="23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15">
        <f>IF(D746="","",COUNT(F746,H746,J746,L746,N746))</f>
        <v/>
      </c>
      <c r="P746" s="25">
        <f>IF(D746="","",N(E746)*N(F746)+N(G746)*N(H746)+N(I746)*N(J746)+N(K746)*N(L746)+N(M746)*N(N746))</f>
        <v/>
      </c>
      <c r="Q746" s="18">
        <f>IF(N(X746)=0,"",IF(IF(N(F746)=0,0,IF(N(E746)&gt;0,E746*(1+F746/30),F746))=X746,IF(N(E746)&gt;0,E746&amp;" x "&amp;F746,F746&amp;" reps"),IF(IF(N(H746)=0,0,IF(N(G746)&gt;0,G746*(1+H746/30),H746))=X746,IF(N(G746)&gt;0,G746&amp;" x "&amp;H746,H746&amp;" reps"),IF(IF(N(J746)=0,0,IF(N(I746)&gt;0,I746*(1+J746/30),J746))=X746,IF(N(I746)&gt;0,I746&amp;" x "&amp;J746,J746&amp;" reps"),IF(IF(N(L746)=0,0,IF(N(K746)&gt;0,K746*(1+L746/30),L746))=X746,IF(N(K746)&gt;0,K746&amp;" x "&amp;L746,L746&amp;" reps"),IF(IF(N(N746)=0,0,IF(N(M746)&gt;0,M746*(1+N746/30),N746))=X746,IF(N(M746)&gt;0,M746&amp;" x "&amp;N746,N746&amp;" reps"),""))))))</f>
        <v/>
      </c>
      <c r="R746" s="20">
        <f>IF(N(X746)=0,"",ROUND(X746,1))</f>
        <v/>
      </c>
      <c r="S746" s="18">
        <f>IF(N(X746)=0,"",IF(AND(COUNTIFS(Log!$D$6:$D$1505,D746,Log!$B$6:$B$1505,"&lt;"&amp;B746)&gt;0,COUNTIFS(Log!$D$6:$D$1505,D746,Log!$B$6:$B$1505,"&lt;"&amp;B746,Log!$X$6:$X$1505,"&gt;="&amp;X746)=0),"New best",""))</f>
        <v/>
      </c>
      <c r="T746" s="26" t="n"/>
      <c r="U746" s="1">
        <f>IF(D746="","",IFERROR(INDEX(Exercises!$C$6:$C$105,MATCH(D746,Exercises!$B$6:$B$105,0)),"Other"))</f>
        <v/>
      </c>
      <c r="V746">
        <f>IF(B746="","",IF(COUNTIF($B$6:B746,B746)=1,1,0))</f>
        <v/>
      </c>
      <c r="W746">
        <f>IF(B746="","",B746-WEEKDAY(B746,3))</f>
        <v/>
      </c>
      <c r="X746">
        <f>IF(D746="","",MAX(IF(N(F746)=0,0,IF(N(E746)&gt;0,E746*(1+F746/30),F746)),IF(N(H746)=0,0,IF(N(G746)&gt;0,G746*(1+H746/30),H746)),IF(N(J746)=0,0,IF(N(I746)&gt;0,I746*(1+J746/30),J746)),IF(N(L746)=0,0,IF(N(K746)&gt;0,K746*(1+L746/30),L746)),IF(N(N746)=0,0,IF(N(M746)&gt;0,M746*(1+N746/30),N746))))</f>
        <v/>
      </c>
      <c r="Y746">
        <f>IF(N(X746)=0,"",X746+ROW()/1000000000)</f>
        <v/>
      </c>
      <c r="Z746">
        <f>IF(Y746="","",IF(COUNTIFS(Log!$D$6:$D$1505,D746,Log!$Y$6:$Y$1505,"&gt;"&amp;Y746)=0,1,0))</f>
        <v/>
      </c>
      <c r="AA746">
        <f>IF(OR(B746="",D746=""),"",B746+ROW()/10000000)</f>
        <v/>
      </c>
      <c r="AB746">
        <f>IF(AA746="","",IF(COUNTIFS(Log!$D$6:$D$1505,D746,Log!$AA$6:$AA$1505,"&gt;"&amp;AA746)=0,1,0))</f>
        <v/>
      </c>
      <c r="AC746">
        <f>IF(S746="New best",AA746,"")</f>
        <v/>
      </c>
      <c r="AD746">
        <f>ROW()</f>
        <v/>
      </c>
    </row>
    <row r="747">
      <c r="A747" s="1" t="n"/>
      <c r="B747" s="21" t="n"/>
      <c r="C747" s="22" t="n"/>
      <c r="D747" s="23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15">
        <f>IF(D747="","",COUNT(F747,H747,J747,L747,N747))</f>
        <v/>
      </c>
      <c r="P747" s="25">
        <f>IF(D747="","",N(E747)*N(F747)+N(G747)*N(H747)+N(I747)*N(J747)+N(K747)*N(L747)+N(M747)*N(N747))</f>
        <v/>
      </c>
      <c r="Q747" s="18">
        <f>IF(N(X747)=0,"",IF(IF(N(F747)=0,0,IF(N(E747)&gt;0,E747*(1+F747/30),F747))=X747,IF(N(E747)&gt;0,E747&amp;" x "&amp;F747,F747&amp;" reps"),IF(IF(N(H747)=0,0,IF(N(G747)&gt;0,G747*(1+H747/30),H747))=X747,IF(N(G747)&gt;0,G747&amp;" x "&amp;H747,H747&amp;" reps"),IF(IF(N(J747)=0,0,IF(N(I747)&gt;0,I747*(1+J747/30),J747))=X747,IF(N(I747)&gt;0,I747&amp;" x "&amp;J747,J747&amp;" reps"),IF(IF(N(L747)=0,0,IF(N(K747)&gt;0,K747*(1+L747/30),L747))=X747,IF(N(K747)&gt;0,K747&amp;" x "&amp;L747,L747&amp;" reps"),IF(IF(N(N747)=0,0,IF(N(M747)&gt;0,M747*(1+N747/30),N747))=X747,IF(N(M747)&gt;0,M747&amp;" x "&amp;N747,N747&amp;" reps"),""))))))</f>
        <v/>
      </c>
      <c r="R747" s="20">
        <f>IF(N(X747)=0,"",ROUND(X747,1))</f>
        <v/>
      </c>
      <c r="S747" s="18">
        <f>IF(N(X747)=0,"",IF(AND(COUNTIFS(Log!$D$6:$D$1505,D747,Log!$B$6:$B$1505,"&lt;"&amp;B747)&gt;0,COUNTIFS(Log!$D$6:$D$1505,D747,Log!$B$6:$B$1505,"&lt;"&amp;B747,Log!$X$6:$X$1505,"&gt;="&amp;X747)=0),"New best",""))</f>
        <v/>
      </c>
      <c r="T747" s="26" t="n"/>
      <c r="U747" s="1">
        <f>IF(D747="","",IFERROR(INDEX(Exercises!$C$6:$C$105,MATCH(D747,Exercises!$B$6:$B$105,0)),"Other"))</f>
        <v/>
      </c>
      <c r="V747">
        <f>IF(B747="","",IF(COUNTIF($B$6:B747,B747)=1,1,0))</f>
        <v/>
      </c>
      <c r="W747">
        <f>IF(B747="","",B747-WEEKDAY(B747,3))</f>
        <v/>
      </c>
      <c r="X747">
        <f>IF(D747="","",MAX(IF(N(F747)=0,0,IF(N(E747)&gt;0,E747*(1+F747/30),F747)),IF(N(H747)=0,0,IF(N(G747)&gt;0,G747*(1+H747/30),H747)),IF(N(J747)=0,0,IF(N(I747)&gt;0,I747*(1+J747/30),J747)),IF(N(L747)=0,0,IF(N(K747)&gt;0,K747*(1+L747/30),L747)),IF(N(N747)=0,0,IF(N(M747)&gt;0,M747*(1+N747/30),N747))))</f>
        <v/>
      </c>
      <c r="Y747">
        <f>IF(N(X747)=0,"",X747+ROW()/1000000000)</f>
        <v/>
      </c>
      <c r="Z747">
        <f>IF(Y747="","",IF(COUNTIFS(Log!$D$6:$D$1505,D747,Log!$Y$6:$Y$1505,"&gt;"&amp;Y747)=0,1,0))</f>
        <v/>
      </c>
      <c r="AA747">
        <f>IF(OR(B747="",D747=""),"",B747+ROW()/10000000)</f>
        <v/>
      </c>
      <c r="AB747">
        <f>IF(AA747="","",IF(COUNTIFS(Log!$D$6:$D$1505,D747,Log!$AA$6:$AA$1505,"&gt;"&amp;AA747)=0,1,0))</f>
        <v/>
      </c>
      <c r="AC747">
        <f>IF(S747="New best",AA747,"")</f>
        <v/>
      </c>
      <c r="AD747">
        <f>ROW()</f>
        <v/>
      </c>
    </row>
    <row r="748">
      <c r="A748" s="1" t="n"/>
      <c r="B748" s="21" t="n"/>
      <c r="C748" s="22" t="n"/>
      <c r="D748" s="23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15">
        <f>IF(D748="","",COUNT(F748,H748,J748,L748,N748))</f>
        <v/>
      </c>
      <c r="P748" s="25">
        <f>IF(D748="","",N(E748)*N(F748)+N(G748)*N(H748)+N(I748)*N(J748)+N(K748)*N(L748)+N(M748)*N(N748))</f>
        <v/>
      </c>
      <c r="Q748" s="18">
        <f>IF(N(X748)=0,"",IF(IF(N(F748)=0,0,IF(N(E748)&gt;0,E748*(1+F748/30),F748))=X748,IF(N(E748)&gt;0,E748&amp;" x "&amp;F748,F748&amp;" reps"),IF(IF(N(H748)=0,0,IF(N(G748)&gt;0,G748*(1+H748/30),H748))=X748,IF(N(G748)&gt;0,G748&amp;" x "&amp;H748,H748&amp;" reps"),IF(IF(N(J748)=0,0,IF(N(I748)&gt;0,I748*(1+J748/30),J748))=X748,IF(N(I748)&gt;0,I748&amp;" x "&amp;J748,J748&amp;" reps"),IF(IF(N(L748)=0,0,IF(N(K748)&gt;0,K748*(1+L748/30),L748))=X748,IF(N(K748)&gt;0,K748&amp;" x "&amp;L748,L748&amp;" reps"),IF(IF(N(N748)=0,0,IF(N(M748)&gt;0,M748*(1+N748/30),N748))=X748,IF(N(M748)&gt;0,M748&amp;" x "&amp;N748,N748&amp;" reps"),""))))))</f>
        <v/>
      </c>
      <c r="R748" s="20">
        <f>IF(N(X748)=0,"",ROUND(X748,1))</f>
        <v/>
      </c>
      <c r="S748" s="18">
        <f>IF(N(X748)=0,"",IF(AND(COUNTIFS(Log!$D$6:$D$1505,D748,Log!$B$6:$B$1505,"&lt;"&amp;B748)&gt;0,COUNTIFS(Log!$D$6:$D$1505,D748,Log!$B$6:$B$1505,"&lt;"&amp;B748,Log!$X$6:$X$1505,"&gt;="&amp;X748)=0),"New best",""))</f>
        <v/>
      </c>
      <c r="T748" s="26" t="n"/>
      <c r="U748" s="1">
        <f>IF(D748="","",IFERROR(INDEX(Exercises!$C$6:$C$105,MATCH(D748,Exercises!$B$6:$B$105,0)),"Other"))</f>
        <v/>
      </c>
      <c r="V748">
        <f>IF(B748="","",IF(COUNTIF($B$6:B748,B748)=1,1,0))</f>
        <v/>
      </c>
      <c r="W748">
        <f>IF(B748="","",B748-WEEKDAY(B748,3))</f>
        <v/>
      </c>
      <c r="X748">
        <f>IF(D748="","",MAX(IF(N(F748)=0,0,IF(N(E748)&gt;0,E748*(1+F748/30),F748)),IF(N(H748)=0,0,IF(N(G748)&gt;0,G748*(1+H748/30),H748)),IF(N(J748)=0,0,IF(N(I748)&gt;0,I748*(1+J748/30),J748)),IF(N(L748)=0,0,IF(N(K748)&gt;0,K748*(1+L748/30),L748)),IF(N(N748)=0,0,IF(N(M748)&gt;0,M748*(1+N748/30),N748))))</f>
        <v/>
      </c>
      <c r="Y748">
        <f>IF(N(X748)=0,"",X748+ROW()/1000000000)</f>
        <v/>
      </c>
      <c r="Z748">
        <f>IF(Y748="","",IF(COUNTIFS(Log!$D$6:$D$1505,D748,Log!$Y$6:$Y$1505,"&gt;"&amp;Y748)=0,1,0))</f>
        <v/>
      </c>
      <c r="AA748">
        <f>IF(OR(B748="",D748=""),"",B748+ROW()/10000000)</f>
        <v/>
      </c>
      <c r="AB748">
        <f>IF(AA748="","",IF(COUNTIFS(Log!$D$6:$D$1505,D748,Log!$AA$6:$AA$1505,"&gt;"&amp;AA748)=0,1,0))</f>
        <v/>
      </c>
      <c r="AC748">
        <f>IF(S748="New best",AA748,"")</f>
        <v/>
      </c>
      <c r="AD748">
        <f>ROW()</f>
        <v/>
      </c>
    </row>
    <row r="749">
      <c r="A749" s="1" t="n"/>
      <c r="B749" s="21" t="n"/>
      <c r="C749" s="22" t="n"/>
      <c r="D749" s="23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15">
        <f>IF(D749="","",COUNT(F749,H749,J749,L749,N749))</f>
        <v/>
      </c>
      <c r="P749" s="25">
        <f>IF(D749="","",N(E749)*N(F749)+N(G749)*N(H749)+N(I749)*N(J749)+N(K749)*N(L749)+N(M749)*N(N749))</f>
        <v/>
      </c>
      <c r="Q749" s="18">
        <f>IF(N(X749)=0,"",IF(IF(N(F749)=0,0,IF(N(E749)&gt;0,E749*(1+F749/30),F749))=X749,IF(N(E749)&gt;0,E749&amp;" x "&amp;F749,F749&amp;" reps"),IF(IF(N(H749)=0,0,IF(N(G749)&gt;0,G749*(1+H749/30),H749))=X749,IF(N(G749)&gt;0,G749&amp;" x "&amp;H749,H749&amp;" reps"),IF(IF(N(J749)=0,0,IF(N(I749)&gt;0,I749*(1+J749/30),J749))=X749,IF(N(I749)&gt;0,I749&amp;" x "&amp;J749,J749&amp;" reps"),IF(IF(N(L749)=0,0,IF(N(K749)&gt;0,K749*(1+L749/30),L749))=X749,IF(N(K749)&gt;0,K749&amp;" x "&amp;L749,L749&amp;" reps"),IF(IF(N(N749)=0,0,IF(N(M749)&gt;0,M749*(1+N749/30),N749))=X749,IF(N(M749)&gt;0,M749&amp;" x "&amp;N749,N749&amp;" reps"),""))))))</f>
        <v/>
      </c>
      <c r="R749" s="20">
        <f>IF(N(X749)=0,"",ROUND(X749,1))</f>
        <v/>
      </c>
      <c r="S749" s="18">
        <f>IF(N(X749)=0,"",IF(AND(COUNTIFS(Log!$D$6:$D$1505,D749,Log!$B$6:$B$1505,"&lt;"&amp;B749)&gt;0,COUNTIFS(Log!$D$6:$D$1505,D749,Log!$B$6:$B$1505,"&lt;"&amp;B749,Log!$X$6:$X$1505,"&gt;="&amp;X749)=0),"New best",""))</f>
        <v/>
      </c>
      <c r="T749" s="26" t="n"/>
      <c r="U749" s="1">
        <f>IF(D749="","",IFERROR(INDEX(Exercises!$C$6:$C$105,MATCH(D749,Exercises!$B$6:$B$105,0)),"Other"))</f>
        <v/>
      </c>
      <c r="V749">
        <f>IF(B749="","",IF(COUNTIF($B$6:B749,B749)=1,1,0))</f>
        <v/>
      </c>
      <c r="W749">
        <f>IF(B749="","",B749-WEEKDAY(B749,3))</f>
        <v/>
      </c>
      <c r="X749">
        <f>IF(D749="","",MAX(IF(N(F749)=0,0,IF(N(E749)&gt;0,E749*(1+F749/30),F749)),IF(N(H749)=0,0,IF(N(G749)&gt;0,G749*(1+H749/30),H749)),IF(N(J749)=0,0,IF(N(I749)&gt;0,I749*(1+J749/30),J749)),IF(N(L749)=0,0,IF(N(K749)&gt;0,K749*(1+L749/30),L749)),IF(N(N749)=0,0,IF(N(M749)&gt;0,M749*(1+N749/30),N749))))</f>
        <v/>
      </c>
      <c r="Y749">
        <f>IF(N(X749)=0,"",X749+ROW()/1000000000)</f>
        <v/>
      </c>
      <c r="Z749">
        <f>IF(Y749="","",IF(COUNTIFS(Log!$D$6:$D$1505,D749,Log!$Y$6:$Y$1505,"&gt;"&amp;Y749)=0,1,0))</f>
        <v/>
      </c>
      <c r="AA749">
        <f>IF(OR(B749="",D749=""),"",B749+ROW()/10000000)</f>
        <v/>
      </c>
      <c r="AB749">
        <f>IF(AA749="","",IF(COUNTIFS(Log!$D$6:$D$1505,D749,Log!$AA$6:$AA$1505,"&gt;"&amp;AA749)=0,1,0))</f>
        <v/>
      </c>
      <c r="AC749">
        <f>IF(S749="New best",AA749,"")</f>
        <v/>
      </c>
      <c r="AD749">
        <f>ROW()</f>
        <v/>
      </c>
    </row>
    <row r="750">
      <c r="A750" s="1" t="n"/>
      <c r="B750" s="21" t="n"/>
      <c r="C750" s="22" t="n"/>
      <c r="D750" s="23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15">
        <f>IF(D750="","",COUNT(F750,H750,J750,L750,N750))</f>
        <v/>
      </c>
      <c r="P750" s="25">
        <f>IF(D750="","",N(E750)*N(F750)+N(G750)*N(H750)+N(I750)*N(J750)+N(K750)*N(L750)+N(M750)*N(N750))</f>
        <v/>
      </c>
      <c r="Q750" s="18">
        <f>IF(N(X750)=0,"",IF(IF(N(F750)=0,0,IF(N(E750)&gt;0,E750*(1+F750/30),F750))=X750,IF(N(E750)&gt;0,E750&amp;" x "&amp;F750,F750&amp;" reps"),IF(IF(N(H750)=0,0,IF(N(G750)&gt;0,G750*(1+H750/30),H750))=X750,IF(N(G750)&gt;0,G750&amp;" x "&amp;H750,H750&amp;" reps"),IF(IF(N(J750)=0,0,IF(N(I750)&gt;0,I750*(1+J750/30),J750))=X750,IF(N(I750)&gt;0,I750&amp;" x "&amp;J750,J750&amp;" reps"),IF(IF(N(L750)=0,0,IF(N(K750)&gt;0,K750*(1+L750/30),L750))=X750,IF(N(K750)&gt;0,K750&amp;" x "&amp;L750,L750&amp;" reps"),IF(IF(N(N750)=0,0,IF(N(M750)&gt;0,M750*(1+N750/30),N750))=X750,IF(N(M750)&gt;0,M750&amp;" x "&amp;N750,N750&amp;" reps"),""))))))</f>
        <v/>
      </c>
      <c r="R750" s="20">
        <f>IF(N(X750)=0,"",ROUND(X750,1))</f>
        <v/>
      </c>
      <c r="S750" s="18">
        <f>IF(N(X750)=0,"",IF(AND(COUNTIFS(Log!$D$6:$D$1505,D750,Log!$B$6:$B$1505,"&lt;"&amp;B750)&gt;0,COUNTIFS(Log!$D$6:$D$1505,D750,Log!$B$6:$B$1505,"&lt;"&amp;B750,Log!$X$6:$X$1505,"&gt;="&amp;X750)=0),"New best",""))</f>
        <v/>
      </c>
      <c r="T750" s="26" t="n"/>
      <c r="U750" s="1">
        <f>IF(D750="","",IFERROR(INDEX(Exercises!$C$6:$C$105,MATCH(D750,Exercises!$B$6:$B$105,0)),"Other"))</f>
        <v/>
      </c>
      <c r="V750">
        <f>IF(B750="","",IF(COUNTIF($B$6:B750,B750)=1,1,0))</f>
        <v/>
      </c>
      <c r="W750">
        <f>IF(B750="","",B750-WEEKDAY(B750,3))</f>
        <v/>
      </c>
      <c r="X750">
        <f>IF(D750="","",MAX(IF(N(F750)=0,0,IF(N(E750)&gt;0,E750*(1+F750/30),F750)),IF(N(H750)=0,0,IF(N(G750)&gt;0,G750*(1+H750/30),H750)),IF(N(J750)=0,0,IF(N(I750)&gt;0,I750*(1+J750/30),J750)),IF(N(L750)=0,0,IF(N(K750)&gt;0,K750*(1+L750/30),L750)),IF(N(N750)=0,0,IF(N(M750)&gt;0,M750*(1+N750/30),N750))))</f>
        <v/>
      </c>
      <c r="Y750">
        <f>IF(N(X750)=0,"",X750+ROW()/1000000000)</f>
        <v/>
      </c>
      <c r="Z750">
        <f>IF(Y750="","",IF(COUNTIFS(Log!$D$6:$D$1505,D750,Log!$Y$6:$Y$1505,"&gt;"&amp;Y750)=0,1,0))</f>
        <v/>
      </c>
      <c r="AA750">
        <f>IF(OR(B750="",D750=""),"",B750+ROW()/10000000)</f>
        <v/>
      </c>
      <c r="AB750">
        <f>IF(AA750="","",IF(COUNTIFS(Log!$D$6:$D$1505,D750,Log!$AA$6:$AA$1505,"&gt;"&amp;AA750)=0,1,0))</f>
        <v/>
      </c>
      <c r="AC750">
        <f>IF(S750="New best",AA750,"")</f>
        <v/>
      </c>
      <c r="AD750">
        <f>ROW()</f>
        <v/>
      </c>
    </row>
    <row r="751">
      <c r="A751" s="1" t="n"/>
      <c r="B751" s="21" t="n"/>
      <c r="C751" s="22" t="n"/>
      <c r="D751" s="23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15">
        <f>IF(D751="","",COUNT(F751,H751,J751,L751,N751))</f>
        <v/>
      </c>
      <c r="P751" s="25">
        <f>IF(D751="","",N(E751)*N(F751)+N(G751)*N(H751)+N(I751)*N(J751)+N(K751)*N(L751)+N(M751)*N(N751))</f>
        <v/>
      </c>
      <c r="Q751" s="18">
        <f>IF(N(X751)=0,"",IF(IF(N(F751)=0,0,IF(N(E751)&gt;0,E751*(1+F751/30),F751))=X751,IF(N(E751)&gt;0,E751&amp;" x "&amp;F751,F751&amp;" reps"),IF(IF(N(H751)=0,0,IF(N(G751)&gt;0,G751*(1+H751/30),H751))=X751,IF(N(G751)&gt;0,G751&amp;" x "&amp;H751,H751&amp;" reps"),IF(IF(N(J751)=0,0,IF(N(I751)&gt;0,I751*(1+J751/30),J751))=X751,IF(N(I751)&gt;0,I751&amp;" x "&amp;J751,J751&amp;" reps"),IF(IF(N(L751)=0,0,IF(N(K751)&gt;0,K751*(1+L751/30),L751))=X751,IF(N(K751)&gt;0,K751&amp;" x "&amp;L751,L751&amp;" reps"),IF(IF(N(N751)=0,0,IF(N(M751)&gt;0,M751*(1+N751/30),N751))=X751,IF(N(M751)&gt;0,M751&amp;" x "&amp;N751,N751&amp;" reps"),""))))))</f>
        <v/>
      </c>
      <c r="R751" s="20">
        <f>IF(N(X751)=0,"",ROUND(X751,1))</f>
        <v/>
      </c>
      <c r="S751" s="18">
        <f>IF(N(X751)=0,"",IF(AND(COUNTIFS(Log!$D$6:$D$1505,D751,Log!$B$6:$B$1505,"&lt;"&amp;B751)&gt;0,COUNTIFS(Log!$D$6:$D$1505,D751,Log!$B$6:$B$1505,"&lt;"&amp;B751,Log!$X$6:$X$1505,"&gt;="&amp;X751)=0),"New best",""))</f>
        <v/>
      </c>
      <c r="T751" s="26" t="n"/>
      <c r="U751" s="1">
        <f>IF(D751="","",IFERROR(INDEX(Exercises!$C$6:$C$105,MATCH(D751,Exercises!$B$6:$B$105,0)),"Other"))</f>
        <v/>
      </c>
      <c r="V751">
        <f>IF(B751="","",IF(COUNTIF($B$6:B751,B751)=1,1,0))</f>
        <v/>
      </c>
      <c r="W751">
        <f>IF(B751="","",B751-WEEKDAY(B751,3))</f>
        <v/>
      </c>
      <c r="X751">
        <f>IF(D751="","",MAX(IF(N(F751)=0,0,IF(N(E751)&gt;0,E751*(1+F751/30),F751)),IF(N(H751)=0,0,IF(N(G751)&gt;0,G751*(1+H751/30),H751)),IF(N(J751)=0,0,IF(N(I751)&gt;0,I751*(1+J751/30),J751)),IF(N(L751)=0,0,IF(N(K751)&gt;0,K751*(1+L751/30),L751)),IF(N(N751)=0,0,IF(N(M751)&gt;0,M751*(1+N751/30),N751))))</f>
        <v/>
      </c>
      <c r="Y751">
        <f>IF(N(X751)=0,"",X751+ROW()/1000000000)</f>
        <v/>
      </c>
      <c r="Z751">
        <f>IF(Y751="","",IF(COUNTIFS(Log!$D$6:$D$1505,D751,Log!$Y$6:$Y$1505,"&gt;"&amp;Y751)=0,1,0))</f>
        <v/>
      </c>
      <c r="AA751">
        <f>IF(OR(B751="",D751=""),"",B751+ROW()/10000000)</f>
        <v/>
      </c>
      <c r="AB751">
        <f>IF(AA751="","",IF(COUNTIFS(Log!$D$6:$D$1505,D751,Log!$AA$6:$AA$1505,"&gt;"&amp;AA751)=0,1,0))</f>
        <v/>
      </c>
      <c r="AC751">
        <f>IF(S751="New best",AA751,"")</f>
        <v/>
      </c>
      <c r="AD751">
        <f>ROW()</f>
        <v/>
      </c>
    </row>
    <row r="752">
      <c r="A752" s="1" t="n"/>
      <c r="B752" s="21" t="n"/>
      <c r="C752" s="22" t="n"/>
      <c r="D752" s="23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15">
        <f>IF(D752="","",COUNT(F752,H752,J752,L752,N752))</f>
        <v/>
      </c>
      <c r="P752" s="25">
        <f>IF(D752="","",N(E752)*N(F752)+N(G752)*N(H752)+N(I752)*N(J752)+N(K752)*N(L752)+N(M752)*N(N752))</f>
        <v/>
      </c>
      <c r="Q752" s="18">
        <f>IF(N(X752)=0,"",IF(IF(N(F752)=0,0,IF(N(E752)&gt;0,E752*(1+F752/30),F752))=X752,IF(N(E752)&gt;0,E752&amp;" x "&amp;F752,F752&amp;" reps"),IF(IF(N(H752)=0,0,IF(N(G752)&gt;0,G752*(1+H752/30),H752))=X752,IF(N(G752)&gt;0,G752&amp;" x "&amp;H752,H752&amp;" reps"),IF(IF(N(J752)=0,0,IF(N(I752)&gt;0,I752*(1+J752/30),J752))=X752,IF(N(I752)&gt;0,I752&amp;" x "&amp;J752,J752&amp;" reps"),IF(IF(N(L752)=0,0,IF(N(K752)&gt;0,K752*(1+L752/30),L752))=X752,IF(N(K752)&gt;0,K752&amp;" x "&amp;L752,L752&amp;" reps"),IF(IF(N(N752)=0,0,IF(N(M752)&gt;0,M752*(1+N752/30),N752))=X752,IF(N(M752)&gt;0,M752&amp;" x "&amp;N752,N752&amp;" reps"),""))))))</f>
        <v/>
      </c>
      <c r="R752" s="20">
        <f>IF(N(X752)=0,"",ROUND(X752,1))</f>
        <v/>
      </c>
      <c r="S752" s="18">
        <f>IF(N(X752)=0,"",IF(AND(COUNTIFS(Log!$D$6:$D$1505,D752,Log!$B$6:$B$1505,"&lt;"&amp;B752)&gt;0,COUNTIFS(Log!$D$6:$D$1505,D752,Log!$B$6:$B$1505,"&lt;"&amp;B752,Log!$X$6:$X$1505,"&gt;="&amp;X752)=0),"New best",""))</f>
        <v/>
      </c>
      <c r="T752" s="26" t="n"/>
      <c r="U752" s="1">
        <f>IF(D752="","",IFERROR(INDEX(Exercises!$C$6:$C$105,MATCH(D752,Exercises!$B$6:$B$105,0)),"Other"))</f>
        <v/>
      </c>
      <c r="V752">
        <f>IF(B752="","",IF(COUNTIF($B$6:B752,B752)=1,1,0))</f>
        <v/>
      </c>
      <c r="W752">
        <f>IF(B752="","",B752-WEEKDAY(B752,3))</f>
        <v/>
      </c>
      <c r="X752">
        <f>IF(D752="","",MAX(IF(N(F752)=0,0,IF(N(E752)&gt;0,E752*(1+F752/30),F752)),IF(N(H752)=0,0,IF(N(G752)&gt;0,G752*(1+H752/30),H752)),IF(N(J752)=0,0,IF(N(I752)&gt;0,I752*(1+J752/30),J752)),IF(N(L752)=0,0,IF(N(K752)&gt;0,K752*(1+L752/30),L752)),IF(N(N752)=0,0,IF(N(M752)&gt;0,M752*(1+N752/30),N752))))</f>
        <v/>
      </c>
      <c r="Y752">
        <f>IF(N(X752)=0,"",X752+ROW()/1000000000)</f>
        <v/>
      </c>
      <c r="Z752">
        <f>IF(Y752="","",IF(COUNTIFS(Log!$D$6:$D$1505,D752,Log!$Y$6:$Y$1505,"&gt;"&amp;Y752)=0,1,0))</f>
        <v/>
      </c>
      <c r="AA752">
        <f>IF(OR(B752="",D752=""),"",B752+ROW()/10000000)</f>
        <v/>
      </c>
      <c r="AB752">
        <f>IF(AA752="","",IF(COUNTIFS(Log!$D$6:$D$1505,D752,Log!$AA$6:$AA$1505,"&gt;"&amp;AA752)=0,1,0))</f>
        <v/>
      </c>
      <c r="AC752">
        <f>IF(S752="New best",AA752,"")</f>
        <v/>
      </c>
      <c r="AD752">
        <f>ROW()</f>
        <v/>
      </c>
    </row>
    <row r="753">
      <c r="A753" s="1" t="n"/>
      <c r="B753" s="21" t="n"/>
      <c r="C753" s="22" t="n"/>
      <c r="D753" s="23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15">
        <f>IF(D753="","",COUNT(F753,H753,J753,L753,N753))</f>
        <v/>
      </c>
      <c r="P753" s="25">
        <f>IF(D753="","",N(E753)*N(F753)+N(G753)*N(H753)+N(I753)*N(J753)+N(K753)*N(L753)+N(M753)*N(N753))</f>
        <v/>
      </c>
      <c r="Q753" s="18">
        <f>IF(N(X753)=0,"",IF(IF(N(F753)=0,0,IF(N(E753)&gt;0,E753*(1+F753/30),F753))=X753,IF(N(E753)&gt;0,E753&amp;" x "&amp;F753,F753&amp;" reps"),IF(IF(N(H753)=0,0,IF(N(G753)&gt;0,G753*(1+H753/30),H753))=X753,IF(N(G753)&gt;0,G753&amp;" x "&amp;H753,H753&amp;" reps"),IF(IF(N(J753)=0,0,IF(N(I753)&gt;0,I753*(1+J753/30),J753))=X753,IF(N(I753)&gt;0,I753&amp;" x "&amp;J753,J753&amp;" reps"),IF(IF(N(L753)=0,0,IF(N(K753)&gt;0,K753*(1+L753/30),L753))=X753,IF(N(K753)&gt;0,K753&amp;" x "&amp;L753,L753&amp;" reps"),IF(IF(N(N753)=0,0,IF(N(M753)&gt;0,M753*(1+N753/30),N753))=X753,IF(N(M753)&gt;0,M753&amp;" x "&amp;N753,N753&amp;" reps"),""))))))</f>
        <v/>
      </c>
      <c r="R753" s="20">
        <f>IF(N(X753)=0,"",ROUND(X753,1))</f>
        <v/>
      </c>
      <c r="S753" s="18">
        <f>IF(N(X753)=0,"",IF(AND(COUNTIFS(Log!$D$6:$D$1505,D753,Log!$B$6:$B$1505,"&lt;"&amp;B753)&gt;0,COUNTIFS(Log!$D$6:$D$1505,D753,Log!$B$6:$B$1505,"&lt;"&amp;B753,Log!$X$6:$X$1505,"&gt;="&amp;X753)=0),"New best",""))</f>
        <v/>
      </c>
      <c r="T753" s="26" t="n"/>
      <c r="U753" s="1">
        <f>IF(D753="","",IFERROR(INDEX(Exercises!$C$6:$C$105,MATCH(D753,Exercises!$B$6:$B$105,0)),"Other"))</f>
        <v/>
      </c>
      <c r="V753">
        <f>IF(B753="","",IF(COUNTIF($B$6:B753,B753)=1,1,0))</f>
        <v/>
      </c>
      <c r="W753">
        <f>IF(B753="","",B753-WEEKDAY(B753,3))</f>
        <v/>
      </c>
      <c r="X753">
        <f>IF(D753="","",MAX(IF(N(F753)=0,0,IF(N(E753)&gt;0,E753*(1+F753/30),F753)),IF(N(H753)=0,0,IF(N(G753)&gt;0,G753*(1+H753/30),H753)),IF(N(J753)=0,0,IF(N(I753)&gt;0,I753*(1+J753/30),J753)),IF(N(L753)=0,0,IF(N(K753)&gt;0,K753*(1+L753/30),L753)),IF(N(N753)=0,0,IF(N(M753)&gt;0,M753*(1+N753/30),N753))))</f>
        <v/>
      </c>
      <c r="Y753">
        <f>IF(N(X753)=0,"",X753+ROW()/1000000000)</f>
        <v/>
      </c>
      <c r="Z753">
        <f>IF(Y753="","",IF(COUNTIFS(Log!$D$6:$D$1505,D753,Log!$Y$6:$Y$1505,"&gt;"&amp;Y753)=0,1,0))</f>
        <v/>
      </c>
      <c r="AA753">
        <f>IF(OR(B753="",D753=""),"",B753+ROW()/10000000)</f>
        <v/>
      </c>
      <c r="AB753">
        <f>IF(AA753="","",IF(COUNTIFS(Log!$D$6:$D$1505,D753,Log!$AA$6:$AA$1505,"&gt;"&amp;AA753)=0,1,0))</f>
        <v/>
      </c>
      <c r="AC753">
        <f>IF(S753="New best",AA753,"")</f>
        <v/>
      </c>
      <c r="AD753">
        <f>ROW()</f>
        <v/>
      </c>
    </row>
    <row r="754">
      <c r="A754" s="1" t="n"/>
      <c r="B754" s="21" t="n"/>
      <c r="C754" s="22" t="n"/>
      <c r="D754" s="23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15">
        <f>IF(D754="","",COUNT(F754,H754,J754,L754,N754))</f>
        <v/>
      </c>
      <c r="P754" s="25">
        <f>IF(D754="","",N(E754)*N(F754)+N(G754)*N(H754)+N(I754)*N(J754)+N(K754)*N(L754)+N(M754)*N(N754))</f>
        <v/>
      </c>
      <c r="Q754" s="18">
        <f>IF(N(X754)=0,"",IF(IF(N(F754)=0,0,IF(N(E754)&gt;0,E754*(1+F754/30),F754))=X754,IF(N(E754)&gt;0,E754&amp;" x "&amp;F754,F754&amp;" reps"),IF(IF(N(H754)=0,0,IF(N(G754)&gt;0,G754*(1+H754/30),H754))=X754,IF(N(G754)&gt;0,G754&amp;" x "&amp;H754,H754&amp;" reps"),IF(IF(N(J754)=0,0,IF(N(I754)&gt;0,I754*(1+J754/30),J754))=X754,IF(N(I754)&gt;0,I754&amp;" x "&amp;J754,J754&amp;" reps"),IF(IF(N(L754)=0,0,IF(N(K754)&gt;0,K754*(1+L754/30),L754))=X754,IF(N(K754)&gt;0,K754&amp;" x "&amp;L754,L754&amp;" reps"),IF(IF(N(N754)=0,0,IF(N(M754)&gt;0,M754*(1+N754/30),N754))=X754,IF(N(M754)&gt;0,M754&amp;" x "&amp;N754,N754&amp;" reps"),""))))))</f>
        <v/>
      </c>
      <c r="R754" s="20">
        <f>IF(N(X754)=0,"",ROUND(X754,1))</f>
        <v/>
      </c>
      <c r="S754" s="18">
        <f>IF(N(X754)=0,"",IF(AND(COUNTIFS(Log!$D$6:$D$1505,D754,Log!$B$6:$B$1505,"&lt;"&amp;B754)&gt;0,COUNTIFS(Log!$D$6:$D$1505,D754,Log!$B$6:$B$1505,"&lt;"&amp;B754,Log!$X$6:$X$1505,"&gt;="&amp;X754)=0),"New best",""))</f>
        <v/>
      </c>
      <c r="T754" s="26" t="n"/>
      <c r="U754" s="1">
        <f>IF(D754="","",IFERROR(INDEX(Exercises!$C$6:$C$105,MATCH(D754,Exercises!$B$6:$B$105,0)),"Other"))</f>
        <v/>
      </c>
      <c r="V754">
        <f>IF(B754="","",IF(COUNTIF($B$6:B754,B754)=1,1,0))</f>
        <v/>
      </c>
      <c r="W754">
        <f>IF(B754="","",B754-WEEKDAY(B754,3))</f>
        <v/>
      </c>
      <c r="X754">
        <f>IF(D754="","",MAX(IF(N(F754)=0,0,IF(N(E754)&gt;0,E754*(1+F754/30),F754)),IF(N(H754)=0,0,IF(N(G754)&gt;0,G754*(1+H754/30),H754)),IF(N(J754)=0,0,IF(N(I754)&gt;0,I754*(1+J754/30),J754)),IF(N(L754)=0,0,IF(N(K754)&gt;0,K754*(1+L754/30),L754)),IF(N(N754)=0,0,IF(N(M754)&gt;0,M754*(1+N754/30),N754))))</f>
        <v/>
      </c>
      <c r="Y754">
        <f>IF(N(X754)=0,"",X754+ROW()/1000000000)</f>
        <v/>
      </c>
      <c r="Z754">
        <f>IF(Y754="","",IF(COUNTIFS(Log!$D$6:$D$1505,D754,Log!$Y$6:$Y$1505,"&gt;"&amp;Y754)=0,1,0))</f>
        <v/>
      </c>
      <c r="AA754">
        <f>IF(OR(B754="",D754=""),"",B754+ROW()/10000000)</f>
        <v/>
      </c>
      <c r="AB754">
        <f>IF(AA754="","",IF(COUNTIFS(Log!$D$6:$D$1505,D754,Log!$AA$6:$AA$1505,"&gt;"&amp;AA754)=0,1,0))</f>
        <v/>
      </c>
      <c r="AC754">
        <f>IF(S754="New best",AA754,"")</f>
        <v/>
      </c>
      <c r="AD754">
        <f>ROW()</f>
        <v/>
      </c>
    </row>
    <row r="755">
      <c r="A755" s="1" t="n"/>
      <c r="B755" s="21" t="n"/>
      <c r="C755" s="22" t="n"/>
      <c r="D755" s="23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15">
        <f>IF(D755="","",COUNT(F755,H755,J755,L755,N755))</f>
        <v/>
      </c>
      <c r="P755" s="25">
        <f>IF(D755="","",N(E755)*N(F755)+N(G755)*N(H755)+N(I755)*N(J755)+N(K755)*N(L755)+N(M755)*N(N755))</f>
        <v/>
      </c>
      <c r="Q755" s="18">
        <f>IF(N(X755)=0,"",IF(IF(N(F755)=0,0,IF(N(E755)&gt;0,E755*(1+F755/30),F755))=X755,IF(N(E755)&gt;0,E755&amp;" x "&amp;F755,F755&amp;" reps"),IF(IF(N(H755)=0,0,IF(N(G755)&gt;0,G755*(1+H755/30),H755))=X755,IF(N(G755)&gt;0,G755&amp;" x "&amp;H755,H755&amp;" reps"),IF(IF(N(J755)=0,0,IF(N(I755)&gt;0,I755*(1+J755/30),J755))=X755,IF(N(I755)&gt;0,I755&amp;" x "&amp;J755,J755&amp;" reps"),IF(IF(N(L755)=0,0,IF(N(K755)&gt;0,K755*(1+L755/30),L755))=X755,IF(N(K755)&gt;0,K755&amp;" x "&amp;L755,L755&amp;" reps"),IF(IF(N(N755)=0,0,IF(N(M755)&gt;0,M755*(1+N755/30),N755))=X755,IF(N(M755)&gt;0,M755&amp;" x "&amp;N755,N755&amp;" reps"),""))))))</f>
        <v/>
      </c>
      <c r="R755" s="20">
        <f>IF(N(X755)=0,"",ROUND(X755,1))</f>
        <v/>
      </c>
      <c r="S755" s="18">
        <f>IF(N(X755)=0,"",IF(AND(COUNTIFS(Log!$D$6:$D$1505,D755,Log!$B$6:$B$1505,"&lt;"&amp;B755)&gt;0,COUNTIFS(Log!$D$6:$D$1505,D755,Log!$B$6:$B$1505,"&lt;"&amp;B755,Log!$X$6:$X$1505,"&gt;="&amp;X755)=0),"New best",""))</f>
        <v/>
      </c>
      <c r="T755" s="26" t="n"/>
      <c r="U755" s="1">
        <f>IF(D755="","",IFERROR(INDEX(Exercises!$C$6:$C$105,MATCH(D755,Exercises!$B$6:$B$105,0)),"Other"))</f>
        <v/>
      </c>
      <c r="V755">
        <f>IF(B755="","",IF(COUNTIF($B$6:B755,B755)=1,1,0))</f>
        <v/>
      </c>
      <c r="W755">
        <f>IF(B755="","",B755-WEEKDAY(B755,3))</f>
        <v/>
      </c>
      <c r="X755">
        <f>IF(D755="","",MAX(IF(N(F755)=0,0,IF(N(E755)&gt;0,E755*(1+F755/30),F755)),IF(N(H755)=0,0,IF(N(G755)&gt;0,G755*(1+H755/30),H755)),IF(N(J755)=0,0,IF(N(I755)&gt;0,I755*(1+J755/30),J755)),IF(N(L755)=0,0,IF(N(K755)&gt;0,K755*(1+L755/30),L755)),IF(N(N755)=0,0,IF(N(M755)&gt;0,M755*(1+N755/30),N755))))</f>
        <v/>
      </c>
      <c r="Y755">
        <f>IF(N(X755)=0,"",X755+ROW()/1000000000)</f>
        <v/>
      </c>
      <c r="Z755">
        <f>IF(Y755="","",IF(COUNTIFS(Log!$D$6:$D$1505,D755,Log!$Y$6:$Y$1505,"&gt;"&amp;Y755)=0,1,0))</f>
        <v/>
      </c>
      <c r="AA755">
        <f>IF(OR(B755="",D755=""),"",B755+ROW()/10000000)</f>
        <v/>
      </c>
      <c r="AB755">
        <f>IF(AA755="","",IF(COUNTIFS(Log!$D$6:$D$1505,D755,Log!$AA$6:$AA$1505,"&gt;"&amp;AA755)=0,1,0))</f>
        <v/>
      </c>
      <c r="AC755">
        <f>IF(S755="New best",AA755,"")</f>
        <v/>
      </c>
      <c r="AD755">
        <f>ROW()</f>
        <v/>
      </c>
    </row>
    <row r="756">
      <c r="A756" s="1" t="n"/>
      <c r="B756" s="21" t="n"/>
      <c r="C756" s="22" t="n"/>
      <c r="D756" s="23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15">
        <f>IF(D756="","",COUNT(F756,H756,J756,L756,N756))</f>
        <v/>
      </c>
      <c r="P756" s="25">
        <f>IF(D756="","",N(E756)*N(F756)+N(G756)*N(H756)+N(I756)*N(J756)+N(K756)*N(L756)+N(M756)*N(N756))</f>
        <v/>
      </c>
      <c r="Q756" s="18">
        <f>IF(N(X756)=0,"",IF(IF(N(F756)=0,0,IF(N(E756)&gt;0,E756*(1+F756/30),F756))=X756,IF(N(E756)&gt;0,E756&amp;" x "&amp;F756,F756&amp;" reps"),IF(IF(N(H756)=0,0,IF(N(G756)&gt;0,G756*(1+H756/30),H756))=X756,IF(N(G756)&gt;0,G756&amp;" x "&amp;H756,H756&amp;" reps"),IF(IF(N(J756)=0,0,IF(N(I756)&gt;0,I756*(1+J756/30),J756))=X756,IF(N(I756)&gt;0,I756&amp;" x "&amp;J756,J756&amp;" reps"),IF(IF(N(L756)=0,0,IF(N(K756)&gt;0,K756*(1+L756/30),L756))=X756,IF(N(K756)&gt;0,K756&amp;" x "&amp;L756,L756&amp;" reps"),IF(IF(N(N756)=0,0,IF(N(M756)&gt;0,M756*(1+N756/30),N756))=X756,IF(N(M756)&gt;0,M756&amp;" x "&amp;N756,N756&amp;" reps"),""))))))</f>
        <v/>
      </c>
      <c r="R756" s="20">
        <f>IF(N(X756)=0,"",ROUND(X756,1))</f>
        <v/>
      </c>
      <c r="S756" s="18">
        <f>IF(N(X756)=0,"",IF(AND(COUNTIFS(Log!$D$6:$D$1505,D756,Log!$B$6:$B$1505,"&lt;"&amp;B756)&gt;0,COUNTIFS(Log!$D$6:$D$1505,D756,Log!$B$6:$B$1505,"&lt;"&amp;B756,Log!$X$6:$X$1505,"&gt;="&amp;X756)=0),"New best",""))</f>
        <v/>
      </c>
      <c r="T756" s="26" t="n"/>
      <c r="U756" s="1">
        <f>IF(D756="","",IFERROR(INDEX(Exercises!$C$6:$C$105,MATCH(D756,Exercises!$B$6:$B$105,0)),"Other"))</f>
        <v/>
      </c>
      <c r="V756">
        <f>IF(B756="","",IF(COUNTIF($B$6:B756,B756)=1,1,0))</f>
        <v/>
      </c>
      <c r="W756">
        <f>IF(B756="","",B756-WEEKDAY(B756,3))</f>
        <v/>
      </c>
      <c r="X756">
        <f>IF(D756="","",MAX(IF(N(F756)=0,0,IF(N(E756)&gt;0,E756*(1+F756/30),F756)),IF(N(H756)=0,0,IF(N(G756)&gt;0,G756*(1+H756/30),H756)),IF(N(J756)=0,0,IF(N(I756)&gt;0,I756*(1+J756/30),J756)),IF(N(L756)=0,0,IF(N(K756)&gt;0,K756*(1+L756/30),L756)),IF(N(N756)=0,0,IF(N(M756)&gt;0,M756*(1+N756/30),N756))))</f>
        <v/>
      </c>
      <c r="Y756">
        <f>IF(N(X756)=0,"",X756+ROW()/1000000000)</f>
        <v/>
      </c>
      <c r="Z756">
        <f>IF(Y756="","",IF(COUNTIFS(Log!$D$6:$D$1505,D756,Log!$Y$6:$Y$1505,"&gt;"&amp;Y756)=0,1,0))</f>
        <v/>
      </c>
      <c r="AA756">
        <f>IF(OR(B756="",D756=""),"",B756+ROW()/10000000)</f>
        <v/>
      </c>
      <c r="AB756">
        <f>IF(AA756="","",IF(COUNTIFS(Log!$D$6:$D$1505,D756,Log!$AA$6:$AA$1505,"&gt;"&amp;AA756)=0,1,0))</f>
        <v/>
      </c>
      <c r="AC756">
        <f>IF(S756="New best",AA756,"")</f>
        <v/>
      </c>
      <c r="AD756">
        <f>ROW()</f>
        <v/>
      </c>
    </row>
    <row r="757">
      <c r="A757" s="1" t="n"/>
      <c r="B757" s="21" t="n"/>
      <c r="C757" s="22" t="n"/>
      <c r="D757" s="23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15">
        <f>IF(D757="","",COUNT(F757,H757,J757,L757,N757))</f>
        <v/>
      </c>
      <c r="P757" s="25">
        <f>IF(D757="","",N(E757)*N(F757)+N(G757)*N(H757)+N(I757)*N(J757)+N(K757)*N(L757)+N(M757)*N(N757))</f>
        <v/>
      </c>
      <c r="Q757" s="18">
        <f>IF(N(X757)=0,"",IF(IF(N(F757)=0,0,IF(N(E757)&gt;0,E757*(1+F757/30),F757))=X757,IF(N(E757)&gt;0,E757&amp;" x "&amp;F757,F757&amp;" reps"),IF(IF(N(H757)=0,0,IF(N(G757)&gt;0,G757*(1+H757/30),H757))=X757,IF(N(G757)&gt;0,G757&amp;" x "&amp;H757,H757&amp;" reps"),IF(IF(N(J757)=0,0,IF(N(I757)&gt;0,I757*(1+J757/30),J757))=X757,IF(N(I757)&gt;0,I757&amp;" x "&amp;J757,J757&amp;" reps"),IF(IF(N(L757)=0,0,IF(N(K757)&gt;0,K757*(1+L757/30),L757))=X757,IF(N(K757)&gt;0,K757&amp;" x "&amp;L757,L757&amp;" reps"),IF(IF(N(N757)=0,0,IF(N(M757)&gt;0,M757*(1+N757/30),N757))=X757,IF(N(M757)&gt;0,M757&amp;" x "&amp;N757,N757&amp;" reps"),""))))))</f>
        <v/>
      </c>
      <c r="R757" s="20">
        <f>IF(N(X757)=0,"",ROUND(X757,1))</f>
        <v/>
      </c>
      <c r="S757" s="18">
        <f>IF(N(X757)=0,"",IF(AND(COUNTIFS(Log!$D$6:$D$1505,D757,Log!$B$6:$B$1505,"&lt;"&amp;B757)&gt;0,COUNTIFS(Log!$D$6:$D$1505,D757,Log!$B$6:$B$1505,"&lt;"&amp;B757,Log!$X$6:$X$1505,"&gt;="&amp;X757)=0),"New best",""))</f>
        <v/>
      </c>
      <c r="T757" s="26" t="n"/>
      <c r="U757" s="1">
        <f>IF(D757="","",IFERROR(INDEX(Exercises!$C$6:$C$105,MATCH(D757,Exercises!$B$6:$B$105,0)),"Other"))</f>
        <v/>
      </c>
      <c r="V757">
        <f>IF(B757="","",IF(COUNTIF($B$6:B757,B757)=1,1,0))</f>
        <v/>
      </c>
      <c r="W757">
        <f>IF(B757="","",B757-WEEKDAY(B757,3))</f>
        <v/>
      </c>
      <c r="X757">
        <f>IF(D757="","",MAX(IF(N(F757)=0,0,IF(N(E757)&gt;0,E757*(1+F757/30),F757)),IF(N(H757)=0,0,IF(N(G757)&gt;0,G757*(1+H757/30),H757)),IF(N(J757)=0,0,IF(N(I757)&gt;0,I757*(1+J757/30),J757)),IF(N(L757)=0,0,IF(N(K757)&gt;0,K757*(1+L757/30),L757)),IF(N(N757)=0,0,IF(N(M757)&gt;0,M757*(1+N757/30),N757))))</f>
        <v/>
      </c>
      <c r="Y757">
        <f>IF(N(X757)=0,"",X757+ROW()/1000000000)</f>
        <v/>
      </c>
      <c r="Z757">
        <f>IF(Y757="","",IF(COUNTIFS(Log!$D$6:$D$1505,D757,Log!$Y$6:$Y$1505,"&gt;"&amp;Y757)=0,1,0))</f>
        <v/>
      </c>
      <c r="AA757">
        <f>IF(OR(B757="",D757=""),"",B757+ROW()/10000000)</f>
        <v/>
      </c>
      <c r="AB757">
        <f>IF(AA757="","",IF(COUNTIFS(Log!$D$6:$D$1505,D757,Log!$AA$6:$AA$1505,"&gt;"&amp;AA757)=0,1,0))</f>
        <v/>
      </c>
      <c r="AC757">
        <f>IF(S757="New best",AA757,"")</f>
        <v/>
      </c>
      <c r="AD757">
        <f>ROW()</f>
        <v/>
      </c>
    </row>
    <row r="758">
      <c r="A758" s="1" t="n"/>
      <c r="B758" s="21" t="n"/>
      <c r="C758" s="22" t="n"/>
      <c r="D758" s="23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15">
        <f>IF(D758="","",COUNT(F758,H758,J758,L758,N758))</f>
        <v/>
      </c>
      <c r="P758" s="25">
        <f>IF(D758="","",N(E758)*N(F758)+N(G758)*N(H758)+N(I758)*N(J758)+N(K758)*N(L758)+N(M758)*N(N758))</f>
        <v/>
      </c>
      <c r="Q758" s="18">
        <f>IF(N(X758)=0,"",IF(IF(N(F758)=0,0,IF(N(E758)&gt;0,E758*(1+F758/30),F758))=X758,IF(N(E758)&gt;0,E758&amp;" x "&amp;F758,F758&amp;" reps"),IF(IF(N(H758)=0,0,IF(N(G758)&gt;0,G758*(1+H758/30),H758))=X758,IF(N(G758)&gt;0,G758&amp;" x "&amp;H758,H758&amp;" reps"),IF(IF(N(J758)=0,0,IF(N(I758)&gt;0,I758*(1+J758/30),J758))=X758,IF(N(I758)&gt;0,I758&amp;" x "&amp;J758,J758&amp;" reps"),IF(IF(N(L758)=0,0,IF(N(K758)&gt;0,K758*(1+L758/30),L758))=X758,IF(N(K758)&gt;0,K758&amp;" x "&amp;L758,L758&amp;" reps"),IF(IF(N(N758)=0,0,IF(N(M758)&gt;0,M758*(1+N758/30),N758))=X758,IF(N(M758)&gt;0,M758&amp;" x "&amp;N758,N758&amp;" reps"),""))))))</f>
        <v/>
      </c>
      <c r="R758" s="20">
        <f>IF(N(X758)=0,"",ROUND(X758,1))</f>
        <v/>
      </c>
      <c r="S758" s="18">
        <f>IF(N(X758)=0,"",IF(AND(COUNTIFS(Log!$D$6:$D$1505,D758,Log!$B$6:$B$1505,"&lt;"&amp;B758)&gt;0,COUNTIFS(Log!$D$6:$D$1505,D758,Log!$B$6:$B$1505,"&lt;"&amp;B758,Log!$X$6:$X$1505,"&gt;="&amp;X758)=0),"New best",""))</f>
        <v/>
      </c>
      <c r="T758" s="26" t="n"/>
      <c r="U758" s="1">
        <f>IF(D758="","",IFERROR(INDEX(Exercises!$C$6:$C$105,MATCH(D758,Exercises!$B$6:$B$105,0)),"Other"))</f>
        <v/>
      </c>
      <c r="V758">
        <f>IF(B758="","",IF(COUNTIF($B$6:B758,B758)=1,1,0))</f>
        <v/>
      </c>
      <c r="W758">
        <f>IF(B758="","",B758-WEEKDAY(B758,3))</f>
        <v/>
      </c>
      <c r="X758">
        <f>IF(D758="","",MAX(IF(N(F758)=0,0,IF(N(E758)&gt;0,E758*(1+F758/30),F758)),IF(N(H758)=0,0,IF(N(G758)&gt;0,G758*(1+H758/30),H758)),IF(N(J758)=0,0,IF(N(I758)&gt;0,I758*(1+J758/30),J758)),IF(N(L758)=0,0,IF(N(K758)&gt;0,K758*(1+L758/30),L758)),IF(N(N758)=0,0,IF(N(M758)&gt;0,M758*(1+N758/30),N758))))</f>
        <v/>
      </c>
      <c r="Y758">
        <f>IF(N(X758)=0,"",X758+ROW()/1000000000)</f>
        <v/>
      </c>
      <c r="Z758">
        <f>IF(Y758="","",IF(COUNTIFS(Log!$D$6:$D$1505,D758,Log!$Y$6:$Y$1505,"&gt;"&amp;Y758)=0,1,0))</f>
        <v/>
      </c>
      <c r="AA758">
        <f>IF(OR(B758="",D758=""),"",B758+ROW()/10000000)</f>
        <v/>
      </c>
      <c r="AB758">
        <f>IF(AA758="","",IF(COUNTIFS(Log!$D$6:$D$1505,D758,Log!$AA$6:$AA$1505,"&gt;"&amp;AA758)=0,1,0))</f>
        <v/>
      </c>
      <c r="AC758">
        <f>IF(S758="New best",AA758,"")</f>
        <v/>
      </c>
      <c r="AD758">
        <f>ROW()</f>
        <v/>
      </c>
    </row>
    <row r="759">
      <c r="A759" s="1" t="n"/>
      <c r="B759" s="21" t="n"/>
      <c r="C759" s="22" t="n"/>
      <c r="D759" s="23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15">
        <f>IF(D759="","",COUNT(F759,H759,J759,L759,N759))</f>
        <v/>
      </c>
      <c r="P759" s="25">
        <f>IF(D759="","",N(E759)*N(F759)+N(G759)*N(H759)+N(I759)*N(J759)+N(K759)*N(L759)+N(M759)*N(N759))</f>
        <v/>
      </c>
      <c r="Q759" s="18">
        <f>IF(N(X759)=0,"",IF(IF(N(F759)=0,0,IF(N(E759)&gt;0,E759*(1+F759/30),F759))=X759,IF(N(E759)&gt;0,E759&amp;" x "&amp;F759,F759&amp;" reps"),IF(IF(N(H759)=0,0,IF(N(G759)&gt;0,G759*(1+H759/30),H759))=X759,IF(N(G759)&gt;0,G759&amp;" x "&amp;H759,H759&amp;" reps"),IF(IF(N(J759)=0,0,IF(N(I759)&gt;0,I759*(1+J759/30),J759))=X759,IF(N(I759)&gt;0,I759&amp;" x "&amp;J759,J759&amp;" reps"),IF(IF(N(L759)=0,0,IF(N(K759)&gt;0,K759*(1+L759/30),L759))=X759,IF(N(K759)&gt;0,K759&amp;" x "&amp;L759,L759&amp;" reps"),IF(IF(N(N759)=0,0,IF(N(M759)&gt;0,M759*(1+N759/30),N759))=X759,IF(N(M759)&gt;0,M759&amp;" x "&amp;N759,N759&amp;" reps"),""))))))</f>
        <v/>
      </c>
      <c r="R759" s="20">
        <f>IF(N(X759)=0,"",ROUND(X759,1))</f>
        <v/>
      </c>
      <c r="S759" s="18">
        <f>IF(N(X759)=0,"",IF(AND(COUNTIFS(Log!$D$6:$D$1505,D759,Log!$B$6:$B$1505,"&lt;"&amp;B759)&gt;0,COUNTIFS(Log!$D$6:$D$1505,D759,Log!$B$6:$B$1505,"&lt;"&amp;B759,Log!$X$6:$X$1505,"&gt;="&amp;X759)=0),"New best",""))</f>
        <v/>
      </c>
      <c r="T759" s="26" t="n"/>
      <c r="U759" s="1">
        <f>IF(D759="","",IFERROR(INDEX(Exercises!$C$6:$C$105,MATCH(D759,Exercises!$B$6:$B$105,0)),"Other"))</f>
        <v/>
      </c>
      <c r="V759">
        <f>IF(B759="","",IF(COUNTIF($B$6:B759,B759)=1,1,0))</f>
        <v/>
      </c>
      <c r="W759">
        <f>IF(B759="","",B759-WEEKDAY(B759,3))</f>
        <v/>
      </c>
      <c r="X759">
        <f>IF(D759="","",MAX(IF(N(F759)=0,0,IF(N(E759)&gt;0,E759*(1+F759/30),F759)),IF(N(H759)=0,0,IF(N(G759)&gt;0,G759*(1+H759/30),H759)),IF(N(J759)=0,0,IF(N(I759)&gt;0,I759*(1+J759/30),J759)),IF(N(L759)=0,0,IF(N(K759)&gt;0,K759*(1+L759/30),L759)),IF(N(N759)=0,0,IF(N(M759)&gt;0,M759*(1+N759/30),N759))))</f>
        <v/>
      </c>
      <c r="Y759">
        <f>IF(N(X759)=0,"",X759+ROW()/1000000000)</f>
        <v/>
      </c>
      <c r="Z759">
        <f>IF(Y759="","",IF(COUNTIFS(Log!$D$6:$D$1505,D759,Log!$Y$6:$Y$1505,"&gt;"&amp;Y759)=0,1,0))</f>
        <v/>
      </c>
      <c r="AA759">
        <f>IF(OR(B759="",D759=""),"",B759+ROW()/10000000)</f>
        <v/>
      </c>
      <c r="AB759">
        <f>IF(AA759="","",IF(COUNTIFS(Log!$D$6:$D$1505,D759,Log!$AA$6:$AA$1505,"&gt;"&amp;AA759)=0,1,0))</f>
        <v/>
      </c>
      <c r="AC759">
        <f>IF(S759="New best",AA759,"")</f>
        <v/>
      </c>
      <c r="AD759">
        <f>ROW()</f>
        <v/>
      </c>
    </row>
    <row r="760">
      <c r="A760" s="1" t="n"/>
      <c r="B760" s="21" t="n"/>
      <c r="C760" s="22" t="n"/>
      <c r="D760" s="23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15">
        <f>IF(D760="","",COUNT(F760,H760,J760,L760,N760))</f>
        <v/>
      </c>
      <c r="P760" s="25">
        <f>IF(D760="","",N(E760)*N(F760)+N(G760)*N(H760)+N(I760)*N(J760)+N(K760)*N(L760)+N(M760)*N(N760))</f>
        <v/>
      </c>
      <c r="Q760" s="18">
        <f>IF(N(X760)=0,"",IF(IF(N(F760)=0,0,IF(N(E760)&gt;0,E760*(1+F760/30),F760))=X760,IF(N(E760)&gt;0,E760&amp;" x "&amp;F760,F760&amp;" reps"),IF(IF(N(H760)=0,0,IF(N(G760)&gt;0,G760*(1+H760/30),H760))=X760,IF(N(G760)&gt;0,G760&amp;" x "&amp;H760,H760&amp;" reps"),IF(IF(N(J760)=0,0,IF(N(I760)&gt;0,I760*(1+J760/30),J760))=X760,IF(N(I760)&gt;0,I760&amp;" x "&amp;J760,J760&amp;" reps"),IF(IF(N(L760)=0,0,IF(N(K760)&gt;0,K760*(1+L760/30),L760))=X760,IF(N(K760)&gt;0,K760&amp;" x "&amp;L760,L760&amp;" reps"),IF(IF(N(N760)=0,0,IF(N(M760)&gt;0,M760*(1+N760/30),N760))=X760,IF(N(M760)&gt;0,M760&amp;" x "&amp;N760,N760&amp;" reps"),""))))))</f>
        <v/>
      </c>
      <c r="R760" s="20">
        <f>IF(N(X760)=0,"",ROUND(X760,1))</f>
        <v/>
      </c>
      <c r="S760" s="18">
        <f>IF(N(X760)=0,"",IF(AND(COUNTIFS(Log!$D$6:$D$1505,D760,Log!$B$6:$B$1505,"&lt;"&amp;B760)&gt;0,COUNTIFS(Log!$D$6:$D$1505,D760,Log!$B$6:$B$1505,"&lt;"&amp;B760,Log!$X$6:$X$1505,"&gt;="&amp;X760)=0),"New best",""))</f>
        <v/>
      </c>
      <c r="T760" s="26" t="n"/>
      <c r="U760" s="1">
        <f>IF(D760="","",IFERROR(INDEX(Exercises!$C$6:$C$105,MATCH(D760,Exercises!$B$6:$B$105,0)),"Other"))</f>
        <v/>
      </c>
      <c r="V760">
        <f>IF(B760="","",IF(COUNTIF($B$6:B760,B760)=1,1,0))</f>
        <v/>
      </c>
      <c r="W760">
        <f>IF(B760="","",B760-WEEKDAY(B760,3))</f>
        <v/>
      </c>
      <c r="X760">
        <f>IF(D760="","",MAX(IF(N(F760)=0,0,IF(N(E760)&gt;0,E760*(1+F760/30),F760)),IF(N(H760)=0,0,IF(N(G760)&gt;0,G760*(1+H760/30),H760)),IF(N(J760)=0,0,IF(N(I760)&gt;0,I760*(1+J760/30),J760)),IF(N(L760)=0,0,IF(N(K760)&gt;0,K760*(1+L760/30),L760)),IF(N(N760)=0,0,IF(N(M760)&gt;0,M760*(1+N760/30),N760))))</f>
        <v/>
      </c>
      <c r="Y760">
        <f>IF(N(X760)=0,"",X760+ROW()/1000000000)</f>
        <v/>
      </c>
      <c r="Z760">
        <f>IF(Y760="","",IF(COUNTIFS(Log!$D$6:$D$1505,D760,Log!$Y$6:$Y$1505,"&gt;"&amp;Y760)=0,1,0))</f>
        <v/>
      </c>
      <c r="AA760">
        <f>IF(OR(B760="",D760=""),"",B760+ROW()/10000000)</f>
        <v/>
      </c>
      <c r="AB760">
        <f>IF(AA760="","",IF(COUNTIFS(Log!$D$6:$D$1505,D760,Log!$AA$6:$AA$1505,"&gt;"&amp;AA760)=0,1,0))</f>
        <v/>
      </c>
      <c r="AC760">
        <f>IF(S760="New best",AA760,"")</f>
        <v/>
      </c>
      <c r="AD760">
        <f>ROW()</f>
        <v/>
      </c>
    </row>
    <row r="761">
      <c r="A761" s="1" t="n"/>
      <c r="B761" s="21" t="n"/>
      <c r="C761" s="22" t="n"/>
      <c r="D761" s="23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15">
        <f>IF(D761="","",COUNT(F761,H761,J761,L761,N761))</f>
        <v/>
      </c>
      <c r="P761" s="25">
        <f>IF(D761="","",N(E761)*N(F761)+N(G761)*N(H761)+N(I761)*N(J761)+N(K761)*N(L761)+N(M761)*N(N761))</f>
        <v/>
      </c>
      <c r="Q761" s="18">
        <f>IF(N(X761)=0,"",IF(IF(N(F761)=0,0,IF(N(E761)&gt;0,E761*(1+F761/30),F761))=X761,IF(N(E761)&gt;0,E761&amp;" x "&amp;F761,F761&amp;" reps"),IF(IF(N(H761)=0,0,IF(N(G761)&gt;0,G761*(1+H761/30),H761))=X761,IF(N(G761)&gt;0,G761&amp;" x "&amp;H761,H761&amp;" reps"),IF(IF(N(J761)=0,0,IF(N(I761)&gt;0,I761*(1+J761/30),J761))=X761,IF(N(I761)&gt;0,I761&amp;" x "&amp;J761,J761&amp;" reps"),IF(IF(N(L761)=0,0,IF(N(K761)&gt;0,K761*(1+L761/30),L761))=X761,IF(N(K761)&gt;0,K761&amp;" x "&amp;L761,L761&amp;" reps"),IF(IF(N(N761)=0,0,IF(N(M761)&gt;0,M761*(1+N761/30),N761))=X761,IF(N(M761)&gt;0,M761&amp;" x "&amp;N761,N761&amp;" reps"),""))))))</f>
        <v/>
      </c>
      <c r="R761" s="20">
        <f>IF(N(X761)=0,"",ROUND(X761,1))</f>
        <v/>
      </c>
      <c r="S761" s="18">
        <f>IF(N(X761)=0,"",IF(AND(COUNTIFS(Log!$D$6:$D$1505,D761,Log!$B$6:$B$1505,"&lt;"&amp;B761)&gt;0,COUNTIFS(Log!$D$6:$D$1505,D761,Log!$B$6:$B$1505,"&lt;"&amp;B761,Log!$X$6:$X$1505,"&gt;="&amp;X761)=0),"New best",""))</f>
        <v/>
      </c>
      <c r="T761" s="26" t="n"/>
      <c r="U761" s="1">
        <f>IF(D761="","",IFERROR(INDEX(Exercises!$C$6:$C$105,MATCH(D761,Exercises!$B$6:$B$105,0)),"Other"))</f>
        <v/>
      </c>
      <c r="V761">
        <f>IF(B761="","",IF(COUNTIF($B$6:B761,B761)=1,1,0))</f>
        <v/>
      </c>
      <c r="W761">
        <f>IF(B761="","",B761-WEEKDAY(B761,3))</f>
        <v/>
      </c>
      <c r="X761">
        <f>IF(D761="","",MAX(IF(N(F761)=0,0,IF(N(E761)&gt;0,E761*(1+F761/30),F761)),IF(N(H761)=0,0,IF(N(G761)&gt;0,G761*(1+H761/30),H761)),IF(N(J761)=0,0,IF(N(I761)&gt;0,I761*(1+J761/30),J761)),IF(N(L761)=0,0,IF(N(K761)&gt;0,K761*(1+L761/30),L761)),IF(N(N761)=0,0,IF(N(M761)&gt;0,M761*(1+N761/30),N761))))</f>
        <v/>
      </c>
      <c r="Y761">
        <f>IF(N(X761)=0,"",X761+ROW()/1000000000)</f>
        <v/>
      </c>
      <c r="Z761">
        <f>IF(Y761="","",IF(COUNTIFS(Log!$D$6:$D$1505,D761,Log!$Y$6:$Y$1505,"&gt;"&amp;Y761)=0,1,0))</f>
        <v/>
      </c>
      <c r="AA761">
        <f>IF(OR(B761="",D761=""),"",B761+ROW()/10000000)</f>
        <v/>
      </c>
      <c r="AB761">
        <f>IF(AA761="","",IF(COUNTIFS(Log!$D$6:$D$1505,D761,Log!$AA$6:$AA$1505,"&gt;"&amp;AA761)=0,1,0))</f>
        <v/>
      </c>
      <c r="AC761">
        <f>IF(S761="New best",AA761,"")</f>
        <v/>
      </c>
      <c r="AD761">
        <f>ROW()</f>
        <v/>
      </c>
    </row>
    <row r="762">
      <c r="A762" s="1" t="n"/>
      <c r="B762" s="21" t="n"/>
      <c r="C762" s="22" t="n"/>
      <c r="D762" s="23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15">
        <f>IF(D762="","",COUNT(F762,H762,J762,L762,N762))</f>
        <v/>
      </c>
      <c r="P762" s="25">
        <f>IF(D762="","",N(E762)*N(F762)+N(G762)*N(H762)+N(I762)*N(J762)+N(K762)*N(L762)+N(M762)*N(N762))</f>
        <v/>
      </c>
      <c r="Q762" s="18">
        <f>IF(N(X762)=0,"",IF(IF(N(F762)=0,0,IF(N(E762)&gt;0,E762*(1+F762/30),F762))=X762,IF(N(E762)&gt;0,E762&amp;" x "&amp;F762,F762&amp;" reps"),IF(IF(N(H762)=0,0,IF(N(G762)&gt;0,G762*(1+H762/30),H762))=X762,IF(N(G762)&gt;0,G762&amp;" x "&amp;H762,H762&amp;" reps"),IF(IF(N(J762)=0,0,IF(N(I762)&gt;0,I762*(1+J762/30),J762))=X762,IF(N(I762)&gt;0,I762&amp;" x "&amp;J762,J762&amp;" reps"),IF(IF(N(L762)=0,0,IF(N(K762)&gt;0,K762*(1+L762/30),L762))=X762,IF(N(K762)&gt;0,K762&amp;" x "&amp;L762,L762&amp;" reps"),IF(IF(N(N762)=0,0,IF(N(M762)&gt;0,M762*(1+N762/30),N762))=X762,IF(N(M762)&gt;0,M762&amp;" x "&amp;N762,N762&amp;" reps"),""))))))</f>
        <v/>
      </c>
      <c r="R762" s="20">
        <f>IF(N(X762)=0,"",ROUND(X762,1))</f>
        <v/>
      </c>
      <c r="S762" s="18">
        <f>IF(N(X762)=0,"",IF(AND(COUNTIFS(Log!$D$6:$D$1505,D762,Log!$B$6:$B$1505,"&lt;"&amp;B762)&gt;0,COUNTIFS(Log!$D$6:$D$1505,D762,Log!$B$6:$B$1505,"&lt;"&amp;B762,Log!$X$6:$X$1505,"&gt;="&amp;X762)=0),"New best",""))</f>
        <v/>
      </c>
      <c r="T762" s="26" t="n"/>
      <c r="U762" s="1">
        <f>IF(D762="","",IFERROR(INDEX(Exercises!$C$6:$C$105,MATCH(D762,Exercises!$B$6:$B$105,0)),"Other"))</f>
        <v/>
      </c>
      <c r="V762">
        <f>IF(B762="","",IF(COUNTIF($B$6:B762,B762)=1,1,0))</f>
        <v/>
      </c>
      <c r="W762">
        <f>IF(B762="","",B762-WEEKDAY(B762,3))</f>
        <v/>
      </c>
      <c r="X762">
        <f>IF(D762="","",MAX(IF(N(F762)=0,0,IF(N(E762)&gt;0,E762*(1+F762/30),F762)),IF(N(H762)=0,0,IF(N(G762)&gt;0,G762*(1+H762/30),H762)),IF(N(J762)=0,0,IF(N(I762)&gt;0,I762*(1+J762/30),J762)),IF(N(L762)=0,0,IF(N(K762)&gt;0,K762*(1+L762/30),L762)),IF(N(N762)=0,0,IF(N(M762)&gt;0,M762*(1+N762/30),N762))))</f>
        <v/>
      </c>
      <c r="Y762">
        <f>IF(N(X762)=0,"",X762+ROW()/1000000000)</f>
        <v/>
      </c>
      <c r="Z762">
        <f>IF(Y762="","",IF(COUNTIFS(Log!$D$6:$D$1505,D762,Log!$Y$6:$Y$1505,"&gt;"&amp;Y762)=0,1,0))</f>
        <v/>
      </c>
      <c r="AA762">
        <f>IF(OR(B762="",D762=""),"",B762+ROW()/10000000)</f>
        <v/>
      </c>
      <c r="AB762">
        <f>IF(AA762="","",IF(COUNTIFS(Log!$D$6:$D$1505,D762,Log!$AA$6:$AA$1505,"&gt;"&amp;AA762)=0,1,0))</f>
        <v/>
      </c>
      <c r="AC762">
        <f>IF(S762="New best",AA762,"")</f>
        <v/>
      </c>
      <c r="AD762">
        <f>ROW()</f>
        <v/>
      </c>
    </row>
    <row r="763">
      <c r="A763" s="1" t="n"/>
      <c r="B763" s="21" t="n"/>
      <c r="C763" s="22" t="n"/>
      <c r="D763" s="23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15">
        <f>IF(D763="","",COUNT(F763,H763,J763,L763,N763))</f>
        <v/>
      </c>
      <c r="P763" s="25">
        <f>IF(D763="","",N(E763)*N(F763)+N(G763)*N(H763)+N(I763)*N(J763)+N(K763)*N(L763)+N(M763)*N(N763))</f>
        <v/>
      </c>
      <c r="Q763" s="18">
        <f>IF(N(X763)=0,"",IF(IF(N(F763)=0,0,IF(N(E763)&gt;0,E763*(1+F763/30),F763))=X763,IF(N(E763)&gt;0,E763&amp;" x "&amp;F763,F763&amp;" reps"),IF(IF(N(H763)=0,0,IF(N(G763)&gt;0,G763*(1+H763/30),H763))=X763,IF(N(G763)&gt;0,G763&amp;" x "&amp;H763,H763&amp;" reps"),IF(IF(N(J763)=0,0,IF(N(I763)&gt;0,I763*(1+J763/30),J763))=X763,IF(N(I763)&gt;0,I763&amp;" x "&amp;J763,J763&amp;" reps"),IF(IF(N(L763)=0,0,IF(N(K763)&gt;0,K763*(1+L763/30),L763))=X763,IF(N(K763)&gt;0,K763&amp;" x "&amp;L763,L763&amp;" reps"),IF(IF(N(N763)=0,0,IF(N(M763)&gt;0,M763*(1+N763/30),N763))=X763,IF(N(M763)&gt;0,M763&amp;" x "&amp;N763,N763&amp;" reps"),""))))))</f>
        <v/>
      </c>
      <c r="R763" s="20">
        <f>IF(N(X763)=0,"",ROUND(X763,1))</f>
        <v/>
      </c>
      <c r="S763" s="18">
        <f>IF(N(X763)=0,"",IF(AND(COUNTIFS(Log!$D$6:$D$1505,D763,Log!$B$6:$B$1505,"&lt;"&amp;B763)&gt;0,COUNTIFS(Log!$D$6:$D$1505,D763,Log!$B$6:$B$1505,"&lt;"&amp;B763,Log!$X$6:$X$1505,"&gt;="&amp;X763)=0),"New best",""))</f>
        <v/>
      </c>
      <c r="T763" s="26" t="n"/>
      <c r="U763" s="1">
        <f>IF(D763="","",IFERROR(INDEX(Exercises!$C$6:$C$105,MATCH(D763,Exercises!$B$6:$B$105,0)),"Other"))</f>
        <v/>
      </c>
      <c r="V763">
        <f>IF(B763="","",IF(COUNTIF($B$6:B763,B763)=1,1,0))</f>
        <v/>
      </c>
      <c r="W763">
        <f>IF(B763="","",B763-WEEKDAY(B763,3))</f>
        <v/>
      </c>
      <c r="X763">
        <f>IF(D763="","",MAX(IF(N(F763)=0,0,IF(N(E763)&gt;0,E763*(1+F763/30),F763)),IF(N(H763)=0,0,IF(N(G763)&gt;0,G763*(1+H763/30),H763)),IF(N(J763)=0,0,IF(N(I763)&gt;0,I763*(1+J763/30),J763)),IF(N(L763)=0,0,IF(N(K763)&gt;0,K763*(1+L763/30),L763)),IF(N(N763)=0,0,IF(N(M763)&gt;0,M763*(1+N763/30),N763))))</f>
        <v/>
      </c>
      <c r="Y763">
        <f>IF(N(X763)=0,"",X763+ROW()/1000000000)</f>
        <v/>
      </c>
      <c r="Z763">
        <f>IF(Y763="","",IF(COUNTIFS(Log!$D$6:$D$1505,D763,Log!$Y$6:$Y$1505,"&gt;"&amp;Y763)=0,1,0))</f>
        <v/>
      </c>
      <c r="AA763">
        <f>IF(OR(B763="",D763=""),"",B763+ROW()/10000000)</f>
        <v/>
      </c>
      <c r="AB763">
        <f>IF(AA763="","",IF(COUNTIFS(Log!$D$6:$D$1505,D763,Log!$AA$6:$AA$1505,"&gt;"&amp;AA763)=0,1,0))</f>
        <v/>
      </c>
      <c r="AC763">
        <f>IF(S763="New best",AA763,"")</f>
        <v/>
      </c>
      <c r="AD763">
        <f>ROW()</f>
        <v/>
      </c>
    </row>
    <row r="764">
      <c r="A764" s="1" t="n"/>
      <c r="B764" s="21" t="n"/>
      <c r="C764" s="22" t="n"/>
      <c r="D764" s="23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15">
        <f>IF(D764="","",COUNT(F764,H764,J764,L764,N764))</f>
        <v/>
      </c>
      <c r="P764" s="25">
        <f>IF(D764="","",N(E764)*N(F764)+N(G764)*N(H764)+N(I764)*N(J764)+N(K764)*N(L764)+N(M764)*N(N764))</f>
        <v/>
      </c>
      <c r="Q764" s="18">
        <f>IF(N(X764)=0,"",IF(IF(N(F764)=0,0,IF(N(E764)&gt;0,E764*(1+F764/30),F764))=X764,IF(N(E764)&gt;0,E764&amp;" x "&amp;F764,F764&amp;" reps"),IF(IF(N(H764)=0,0,IF(N(G764)&gt;0,G764*(1+H764/30),H764))=X764,IF(N(G764)&gt;0,G764&amp;" x "&amp;H764,H764&amp;" reps"),IF(IF(N(J764)=0,0,IF(N(I764)&gt;0,I764*(1+J764/30),J764))=X764,IF(N(I764)&gt;0,I764&amp;" x "&amp;J764,J764&amp;" reps"),IF(IF(N(L764)=0,0,IF(N(K764)&gt;0,K764*(1+L764/30),L764))=X764,IF(N(K764)&gt;0,K764&amp;" x "&amp;L764,L764&amp;" reps"),IF(IF(N(N764)=0,0,IF(N(M764)&gt;0,M764*(1+N764/30),N764))=X764,IF(N(M764)&gt;0,M764&amp;" x "&amp;N764,N764&amp;" reps"),""))))))</f>
        <v/>
      </c>
      <c r="R764" s="20">
        <f>IF(N(X764)=0,"",ROUND(X764,1))</f>
        <v/>
      </c>
      <c r="S764" s="18">
        <f>IF(N(X764)=0,"",IF(AND(COUNTIFS(Log!$D$6:$D$1505,D764,Log!$B$6:$B$1505,"&lt;"&amp;B764)&gt;0,COUNTIFS(Log!$D$6:$D$1505,D764,Log!$B$6:$B$1505,"&lt;"&amp;B764,Log!$X$6:$X$1505,"&gt;="&amp;X764)=0),"New best",""))</f>
        <v/>
      </c>
      <c r="T764" s="26" t="n"/>
      <c r="U764" s="1">
        <f>IF(D764="","",IFERROR(INDEX(Exercises!$C$6:$C$105,MATCH(D764,Exercises!$B$6:$B$105,0)),"Other"))</f>
        <v/>
      </c>
      <c r="V764">
        <f>IF(B764="","",IF(COUNTIF($B$6:B764,B764)=1,1,0))</f>
        <v/>
      </c>
      <c r="W764">
        <f>IF(B764="","",B764-WEEKDAY(B764,3))</f>
        <v/>
      </c>
      <c r="X764">
        <f>IF(D764="","",MAX(IF(N(F764)=0,0,IF(N(E764)&gt;0,E764*(1+F764/30),F764)),IF(N(H764)=0,0,IF(N(G764)&gt;0,G764*(1+H764/30),H764)),IF(N(J764)=0,0,IF(N(I764)&gt;0,I764*(1+J764/30),J764)),IF(N(L764)=0,0,IF(N(K764)&gt;0,K764*(1+L764/30),L764)),IF(N(N764)=0,0,IF(N(M764)&gt;0,M764*(1+N764/30),N764))))</f>
        <v/>
      </c>
      <c r="Y764">
        <f>IF(N(X764)=0,"",X764+ROW()/1000000000)</f>
        <v/>
      </c>
      <c r="Z764">
        <f>IF(Y764="","",IF(COUNTIFS(Log!$D$6:$D$1505,D764,Log!$Y$6:$Y$1505,"&gt;"&amp;Y764)=0,1,0))</f>
        <v/>
      </c>
      <c r="AA764">
        <f>IF(OR(B764="",D764=""),"",B764+ROW()/10000000)</f>
        <v/>
      </c>
      <c r="AB764">
        <f>IF(AA764="","",IF(COUNTIFS(Log!$D$6:$D$1505,D764,Log!$AA$6:$AA$1505,"&gt;"&amp;AA764)=0,1,0))</f>
        <v/>
      </c>
      <c r="AC764">
        <f>IF(S764="New best",AA764,"")</f>
        <v/>
      </c>
      <c r="AD764">
        <f>ROW()</f>
        <v/>
      </c>
    </row>
    <row r="765">
      <c r="A765" s="1" t="n"/>
      <c r="B765" s="21" t="n"/>
      <c r="C765" s="22" t="n"/>
      <c r="D765" s="23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15">
        <f>IF(D765="","",COUNT(F765,H765,J765,L765,N765))</f>
        <v/>
      </c>
      <c r="P765" s="25">
        <f>IF(D765="","",N(E765)*N(F765)+N(G765)*N(H765)+N(I765)*N(J765)+N(K765)*N(L765)+N(M765)*N(N765))</f>
        <v/>
      </c>
      <c r="Q765" s="18">
        <f>IF(N(X765)=0,"",IF(IF(N(F765)=0,0,IF(N(E765)&gt;0,E765*(1+F765/30),F765))=X765,IF(N(E765)&gt;0,E765&amp;" x "&amp;F765,F765&amp;" reps"),IF(IF(N(H765)=0,0,IF(N(G765)&gt;0,G765*(1+H765/30),H765))=X765,IF(N(G765)&gt;0,G765&amp;" x "&amp;H765,H765&amp;" reps"),IF(IF(N(J765)=0,0,IF(N(I765)&gt;0,I765*(1+J765/30),J765))=X765,IF(N(I765)&gt;0,I765&amp;" x "&amp;J765,J765&amp;" reps"),IF(IF(N(L765)=0,0,IF(N(K765)&gt;0,K765*(1+L765/30),L765))=X765,IF(N(K765)&gt;0,K765&amp;" x "&amp;L765,L765&amp;" reps"),IF(IF(N(N765)=0,0,IF(N(M765)&gt;0,M765*(1+N765/30),N765))=X765,IF(N(M765)&gt;0,M765&amp;" x "&amp;N765,N765&amp;" reps"),""))))))</f>
        <v/>
      </c>
      <c r="R765" s="20">
        <f>IF(N(X765)=0,"",ROUND(X765,1))</f>
        <v/>
      </c>
      <c r="S765" s="18">
        <f>IF(N(X765)=0,"",IF(AND(COUNTIFS(Log!$D$6:$D$1505,D765,Log!$B$6:$B$1505,"&lt;"&amp;B765)&gt;0,COUNTIFS(Log!$D$6:$D$1505,D765,Log!$B$6:$B$1505,"&lt;"&amp;B765,Log!$X$6:$X$1505,"&gt;="&amp;X765)=0),"New best",""))</f>
        <v/>
      </c>
      <c r="T765" s="26" t="n"/>
      <c r="U765" s="1">
        <f>IF(D765="","",IFERROR(INDEX(Exercises!$C$6:$C$105,MATCH(D765,Exercises!$B$6:$B$105,0)),"Other"))</f>
        <v/>
      </c>
      <c r="V765">
        <f>IF(B765="","",IF(COUNTIF($B$6:B765,B765)=1,1,0))</f>
        <v/>
      </c>
      <c r="W765">
        <f>IF(B765="","",B765-WEEKDAY(B765,3))</f>
        <v/>
      </c>
      <c r="X765">
        <f>IF(D765="","",MAX(IF(N(F765)=0,0,IF(N(E765)&gt;0,E765*(1+F765/30),F765)),IF(N(H765)=0,0,IF(N(G765)&gt;0,G765*(1+H765/30),H765)),IF(N(J765)=0,0,IF(N(I765)&gt;0,I765*(1+J765/30),J765)),IF(N(L765)=0,0,IF(N(K765)&gt;0,K765*(1+L765/30),L765)),IF(N(N765)=0,0,IF(N(M765)&gt;0,M765*(1+N765/30),N765))))</f>
        <v/>
      </c>
      <c r="Y765">
        <f>IF(N(X765)=0,"",X765+ROW()/1000000000)</f>
        <v/>
      </c>
      <c r="Z765">
        <f>IF(Y765="","",IF(COUNTIFS(Log!$D$6:$D$1505,D765,Log!$Y$6:$Y$1505,"&gt;"&amp;Y765)=0,1,0))</f>
        <v/>
      </c>
      <c r="AA765">
        <f>IF(OR(B765="",D765=""),"",B765+ROW()/10000000)</f>
        <v/>
      </c>
      <c r="AB765">
        <f>IF(AA765="","",IF(COUNTIFS(Log!$D$6:$D$1505,D765,Log!$AA$6:$AA$1505,"&gt;"&amp;AA765)=0,1,0))</f>
        <v/>
      </c>
      <c r="AC765">
        <f>IF(S765="New best",AA765,"")</f>
        <v/>
      </c>
      <c r="AD765">
        <f>ROW()</f>
        <v/>
      </c>
    </row>
    <row r="766">
      <c r="A766" s="1" t="n"/>
      <c r="B766" s="21" t="n"/>
      <c r="C766" s="22" t="n"/>
      <c r="D766" s="23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15">
        <f>IF(D766="","",COUNT(F766,H766,J766,L766,N766))</f>
        <v/>
      </c>
      <c r="P766" s="25">
        <f>IF(D766="","",N(E766)*N(F766)+N(G766)*N(H766)+N(I766)*N(J766)+N(K766)*N(L766)+N(M766)*N(N766))</f>
        <v/>
      </c>
      <c r="Q766" s="18">
        <f>IF(N(X766)=0,"",IF(IF(N(F766)=0,0,IF(N(E766)&gt;0,E766*(1+F766/30),F766))=X766,IF(N(E766)&gt;0,E766&amp;" x "&amp;F766,F766&amp;" reps"),IF(IF(N(H766)=0,0,IF(N(G766)&gt;0,G766*(1+H766/30),H766))=X766,IF(N(G766)&gt;0,G766&amp;" x "&amp;H766,H766&amp;" reps"),IF(IF(N(J766)=0,0,IF(N(I766)&gt;0,I766*(1+J766/30),J766))=X766,IF(N(I766)&gt;0,I766&amp;" x "&amp;J766,J766&amp;" reps"),IF(IF(N(L766)=0,0,IF(N(K766)&gt;0,K766*(1+L766/30),L766))=X766,IF(N(K766)&gt;0,K766&amp;" x "&amp;L766,L766&amp;" reps"),IF(IF(N(N766)=0,0,IF(N(M766)&gt;0,M766*(1+N766/30),N766))=X766,IF(N(M766)&gt;0,M766&amp;" x "&amp;N766,N766&amp;" reps"),""))))))</f>
        <v/>
      </c>
      <c r="R766" s="20">
        <f>IF(N(X766)=0,"",ROUND(X766,1))</f>
        <v/>
      </c>
      <c r="S766" s="18">
        <f>IF(N(X766)=0,"",IF(AND(COUNTIFS(Log!$D$6:$D$1505,D766,Log!$B$6:$B$1505,"&lt;"&amp;B766)&gt;0,COUNTIFS(Log!$D$6:$D$1505,D766,Log!$B$6:$B$1505,"&lt;"&amp;B766,Log!$X$6:$X$1505,"&gt;="&amp;X766)=0),"New best",""))</f>
        <v/>
      </c>
      <c r="T766" s="26" t="n"/>
      <c r="U766" s="1">
        <f>IF(D766="","",IFERROR(INDEX(Exercises!$C$6:$C$105,MATCH(D766,Exercises!$B$6:$B$105,0)),"Other"))</f>
        <v/>
      </c>
      <c r="V766">
        <f>IF(B766="","",IF(COUNTIF($B$6:B766,B766)=1,1,0))</f>
        <v/>
      </c>
      <c r="W766">
        <f>IF(B766="","",B766-WEEKDAY(B766,3))</f>
        <v/>
      </c>
      <c r="X766">
        <f>IF(D766="","",MAX(IF(N(F766)=0,0,IF(N(E766)&gt;0,E766*(1+F766/30),F766)),IF(N(H766)=0,0,IF(N(G766)&gt;0,G766*(1+H766/30),H766)),IF(N(J766)=0,0,IF(N(I766)&gt;0,I766*(1+J766/30),J766)),IF(N(L766)=0,0,IF(N(K766)&gt;0,K766*(1+L766/30),L766)),IF(N(N766)=0,0,IF(N(M766)&gt;0,M766*(1+N766/30),N766))))</f>
        <v/>
      </c>
      <c r="Y766">
        <f>IF(N(X766)=0,"",X766+ROW()/1000000000)</f>
        <v/>
      </c>
      <c r="Z766">
        <f>IF(Y766="","",IF(COUNTIFS(Log!$D$6:$D$1505,D766,Log!$Y$6:$Y$1505,"&gt;"&amp;Y766)=0,1,0))</f>
        <v/>
      </c>
      <c r="AA766">
        <f>IF(OR(B766="",D766=""),"",B766+ROW()/10000000)</f>
        <v/>
      </c>
      <c r="AB766">
        <f>IF(AA766="","",IF(COUNTIFS(Log!$D$6:$D$1505,D766,Log!$AA$6:$AA$1505,"&gt;"&amp;AA766)=0,1,0))</f>
        <v/>
      </c>
      <c r="AC766">
        <f>IF(S766="New best",AA766,"")</f>
        <v/>
      </c>
      <c r="AD766">
        <f>ROW()</f>
        <v/>
      </c>
    </row>
    <row r="767">
      <c r="A767" s="1" t="n"/>
      <c r="B767" s="21" t="n"/>
      <c r="C767" s="22" t="n"/>
      <c r="D767" s="23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15">
        <f>IF(D767="","",COUNT(F767,H767,J767,L767,N767))</f>
        <v/>
      </c>
      <c r="P767" s="25">
        <f>IF(D767="","",N(E767)*N(F767)+N(G767)*N(H767)+N(I767)*N(J767)+N(K767)*N(L767)+N(M767)*N(N767))</f>
        <v/>
      </c>
      <c r="Q767" s="18">
        <f>IF(N(X767)=0,"",IF(IF(N(F767)=0,0,IF(N(E767)&gt;0,E767*(1+F767/30),F767))=X767,IF(N(E767)&gt;0,E767&amp;" x "&amp;F767,F767&amp;" reps"),IF(IF(N(H767)=0,0,IF(N(G767)&gt;0,G767*(1+H767/30),H767))=X767,IF(N(G767)&gt;0,G767&amp;" x "&amp;H767,H767&amp;" reps"),IF(IF(N(J767)=0,0,IF(N(I767)&gt;0,I767*(1+J767/30),J767))=X767,IF(N(I767)&gt;0,I767&amp;" x "&amp;J767,J767&amp;" reps"),IF(IF(N(L767)=0,0,IF(N(K767)&gt;0,K767*(1+L767/30),L767))=X767,IF(N(K767)&gt;0,K767&amp;" x "&amp;L767,L767&amp;" reps"),IF(IF(N(N767)=0,0,IF(N(M767)&gt;0,M767*(1+N767/30),N767))=X767,IF(N(M767)&gt;0,M767&amp;" x "&amp;N767,N767&amp;" reps"),""))))))</f>
        <v/>
      </c>
      <c r="R767" s="20">
        <f>IF(N(X767)=0,"",ROUND(X767,1))</f>
        <v/>
      </c>
      <c r="S767" s="18">
        <f>IF(N(X767)=0,"",IF(AND(COUNTIFS(Log!$D$6:$D$1505,D767,Log!$B$6:$B$1505,"&lt;"&amp;B767)&gt;0,COUNTIFS(Log!$D$6:$D$1505,D767,Log!$B$6:$B$1505,"&lt;"&amp;B767,Log!$X$6:$X$1505,"&gt;="&amp;X767)=0),"New best",""))</f>
        <v/>
      </c>
      <c r="T767" s="26" t="n"/>
      <c r="U767" s="1">
        <f>IF(D767="","",IFERROR(INDEX(Exercises!$C$6:$C$105,MATCH(D767,Exercises!$B$6:$B$105,0)),"Other"))</f>
        <v/>
      </c>
      <c r="V767">
        <f>IF(B767="","",IF(COUNTIF($B$6:B767,B767)=1,1,0))</f>
        <v/>
      </c>
      <c r="W767">
        <f>IF(B767="","",B767-WEEKDAY(B767,3))</f>
        <v/>
      </c>
      <c r="X767">
        <f>IF(D767="","",MAX(IF(N(F767)=0,0,IF(N(E767)&gt;0,E767*(1+F767/30),F767)),IF(N(H767)=0,0,IF(N(G767)&gt;0,G767*(1+H767/30),H767)),IF(N(J767)=0,0,IF(N(I767)&gt;0,I767*(1+J767/30),J767)),IF(N(L767)=0,0,IF(N(K767)&gt;0,K767*(1+L767/30),L767)),IF(N(N767)=0,0,IF(N(M767)&gt;0,M767*(1+N767/30),N767))))</f>
        <v/>
      </c>
      <c r="Y767">
        <f>IF(N(X767)=0,"",X767+ROW()/1000000000)</f>
        <v/>
      </c>
      <c r="Z767">
        <f>IF(Y767="","",IF(COUNTIFS(Log!$D$6:$D$1505,D767,Log!$Y$6:$Y$1505,"&gt;"&amp;Y767)=0,1,0))</f>
        <v/>
      </c>
      <c r="AA767">
        <f>IF(OR(B767="",D767=""),"",B767+ROW()/10000000)</f>
        <v/>
      </c>
      <c r="AB767">
        <f>IF(AA767="","",IF(COUNTIFS(Log!$D$6:$D$1505,D767,Log!$AA$6:$AA$1505,"&gt;"&amp;AA767)=0,1,0))</f>
        <v/>
      </c>
      <c r="AC767">
        <f>IF(S767="New best",AA767,"")</f>
        <v/>
      </c>
      <c r="AD767">
        <f>ROW()</f>
        <v/>
      </c>
    </row>
    <row r="768">
      <c r="A768" s="1" t="n"/>
      <c r="B768" s="21" t="n"/>
      <c r="C768" s="22" t="n"/>
      <c r="D768" s="23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15">
        <f>IF(D768="","",COUNT(F768,H768,J768,L768,N768))</f>
        <v/>
      </c>
      <c r="P768" s="25">
        <f>IF(D768="","",N(E768)*N(F768)+N(G768)*N(H768)+N(I768)*N(J768)+N(K768)*N(L768)+N(M768)*N(N768))</f>
        <v/>
      </c>
      <c r="Q768" s="18">
        <f>IF(N(X768)=0,"",IF(IF(N(F768)=0,0,IF(N(E768)&gt;0,E768*(1+F768/30),F768))=X768,IF(N(E768)&gt;0,E768&amp;" x "&amp;F768,F768&amp;" reps"),IF(IF(N(H768)=0,0,IF(N(G768)&gt;0,G768*(1+H768/30),H768))=X768,IF(N(G768)&gt;0,G768&amp;" x "&amp;H768,H768&amp;" reps"),IF(IF(N(J768)=0,0,IF(N(I768)&gt;0,I768*(1+J768/30),J768))=X768,IF(N(I768)&gt;0,I768&amp;" x "&amp;J768,J768&amp;" reps"),IF(IF(N(L768)=0,0,IF(N(K768)&gt;0,K768*(1+L768/30),L768))=X768,IF(N(K768)&gt;0,K768&amp;" x "&amp;L768,L768&amp;" reps"),IF(IF(N(N768)=0,0,IF(N(M768)&gt;0,M768*(1+N768/30),N768))=X768,IF(N(M768)&gt;0,M768&amp;" x "&amp;N768,N768&amp;" reps"),""))))))</f>
        <v/>
      </c>
      <c r="R768" s="20">
        <f>IF(N(X768)=0,"",ROUND(X768,1))</f>
        <v/>
      </c>
      <c r="S768" s="18">
        <f>IF(N(X768)=0,"",IF(AND(COUNTIFS(Log!$D$6:$D$1505,D768,Log!$B$6:$B$1505,"&lt;"&amp;B768)&gt;0,COUNTIFS(Log!$D$6:$D$1505,D768,Log!$B$6:$B$1505,"&lt;"&amp;B768,Log!$X$6:$X$1505,"&gt;="&amp;X768)=0),"New best",""))</f>
        <v/>
      </c>
      <c r="T768" s="26" t="n"/>
      <c r="U768" s="1">
        <f>IF(D768="","",IFERROR(INDEX(Exercises!$C$6:$C$105,MATCH(D768,Exercises!$B$6:$B$105,0)),"Other"))</f>
        <v/>
      </c>
      <c r="V768">
        <f>IF(B768="","",IF(COUNTIF($B$6:B768,B768)=1,1,0))</f>
        <v/>
      </c>
      <c r="W768">
        <f>IF(B768="","",B768-WEEKDAY(B768,3))</f>
        <v/>
      </c>
      <c r="X768">
        <f>IF(D768="","",MAX(IF(N(F768)=0,0,IF(N(E768)&gt;0,E768*(1+F768/30),F768)),IF(N(H768)=0,0,IF(N(G768)&gt;0,G768*(1+H768/30),H768)),IF(N(J768)=0,0,IF(N(I768)&gt;0,I768*(1+J768/30),J768)),IF(N(L768)=0,0,IF(N(K768)&gt;0,K768*(1+L768/30),L768)),IF(N(N768)=0,0,IF(N(M768)&gt;0,M768*(1+N768/30),N768))))</f>
        <v/>
      </c>
      <c r="Y768">
        <f>IF(N(X768)=0,"",X768+ROW()/1000000000)</f>
        <v/>
      </c>
      <c r="Z768">
        <f>IF(Y768="","",IF(COUNTIFS(Log!$D$6:$D$1505,D768,Log!$Y$6:$Y$1505,"&gt;"&amp;Y768)=0,1,0))</f>
        <v/>
      </c>
      <c r="AA768">
        <f>IF(OR(B768="",D768=""),"",B768+ROW()/10000000)</f>
        <v/>
      </c>
      <c r="AB768">
        <f>IF(AA768="","",IF(COUNTIFS(Log!$D$6:$D$1505,D768,Log!$AA$6:$AA$1505,"&gt;"&amp;AA768)=0,1,0))</f>
        <v/>
      </c>
      <c r="AC768">
        <f>IF(S768="New best",AA768,"")</f>
        <v/>
      </c>
      <c r="AD768">
        <f>ROW()</f>
        <v/>
      </c>
    </row>
    <row r="769">
      <c r="A769" s="1" t="n"/>
      <c r="B769" s="21" t="n"/>
      <c r="C769" s="22" t="n"/>
      <c r="D769" s="23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15">
        <f>IF(D769="","",COUNT(F769,H769,J769,L769,N769))</f>
        <v/>
      </c>
      <c r="P769" s="25">
        <f>IF(D769="","",N(E769)*N(F769)+N(G769)*N(H769)+N(I769)*N(J769)+N(K769)*N(L769)+N(M769)*N(N769))</f>
        <v/>
      </c>
      <c r="Q769" s="18">
        <f>IF(N(X769)=0,"",IF(IF(N(F769)=0,0,IF(N(E769)&gt;0,E769*(1+F769/30),F769))=X769,IF(N(E769)&gt;0,E769&amp;" x "&amp;F769,F769&amp;" reps"),IF(IF(N(H769)=0,0,IF(N(G769)&gt;0,G769*(1+H769/30),H769))=X769,IF(N(G769)&gt;0,G769&amp;" x "&amp;H769,H769&amp;" reps"),IF(IF(N(J769)=0,0,IF(N(I769)&gt;0,I769*(1+J769/30),J769))=X769,IF(N(I769)&gt;0,I769&amp;" x "&amp;J769,J769&amp;" reps"),IF(IF(N(L769)=0,0,IF(N(K769)&gt;0,K769*(1+L769/30),L769))=X769,IF(N(K769)&gt;0,K769&amp;" x "&amp;L769,L769&amp;" reps"),IF(IF(N(N769)=0,0,IF(N(M769)&gt;0,M769*(1+N769/30),N769))=X769,IF(N(M769)&gt;0,M769&amp;" x "&amp;N769,N769&amp;" reps"),""))))))</f>
        <v/>
      </c>
      <c r="R769" s="20">
        <f>IF(N(X769)=0,"",ROUND(X769,1))</f>
        <v/>
      </c>
      <c r="S769" s="18">
        <f>IF(N(X769)=0,"",IF(AND(COUNTIFS(Log!$D$6:$D$1505,D769,Log!$B$6:$B$1505,"&lt;"&amp;B769)&gt;0,COUNTIFS(Log!$D$6:$D$1505,D769,Log!$B$6:$B$1505,"&lt;"&amp;B769,Log!$X$6:$X$1505,"&gt;="&amp;X769)=0),"New best",""))</f>
        <v/>
      </c>
      <c r="T769" s="26" t="n"/>
      <c r="U769" s="1">
        <f>IF(D769="","",IFERROR(INDEX(Exercises!$C$6:$C$105,MATCH(D769,Exercises!$B$6:$B$105,0)),"Other"))</f>
        <v/>
      </c>
      <c r="V769">
        <f>IF(B769="","",IF(COUNTIF($B$6:B769,B769)=1,1,0))</f>
        <v/>
      </c>
      <c r="W769">
        <f>IF(B769="","",B769-WEEKDAY(B769,3))</f>
        <v/>
      </c>
      <c r="X769">
        <f>IF(D769="","",MAX(IF(N(F769)=0,0,IF(N(E769)&gt;0,E769*(1+F769/30),F769)),IF(N(H769)=0,0,IF(N(G769)&gt;0,G769*(1+H769/30),H769)),IF(N(J769)=0,0,IF(N(I769)&gt;0,I769*(1+J769/30),J769)),IF(N(L769)=0,0,IF(N(K769)&gt;0,K769*(1+L769/30),L769)),IF(N(N769)=0,0,IF(N(M769)&gt;0,M769*(1+N769/30),N769))))</f>
        <v/>
      </c>
      <c r="Y769">
        <f>IF(N(X769)=0,"",X769+ROW()/1000000000)</f>
        <v/>
      </c>
      <c r="Z769">
        <f>IF(Y769="","",IF(COUNTIFS(Log!$D$6:$D$1505,D769,Log!$Y$6:$Y$1505,"&gt;"&amp;Y769)=0,1,0))</f>
        <v/>
      </c>
      <c r="AA769">
        <f>IF(OR(B769="",D769=""),"",B769+ROW()/10000000)</f>
        <v/>
      </c>
      <c r="AB769">
        <f>IF(AA769="","",IF(COUNTIFS(Log!$D$6:$D$1505,D769,Log!$AA$6:$AA$1505,"&gt;"&amp;AA769)=0,1,0))</f>
        <v/>
      </c>
      <c r="AC769">
        <f>IF(S769="New best",AA769,"")</f>
        <v/>
      </c>
      <c r="AD769">
        <f>ROW()</f>
        <v/>
      </c>
    </row>
    <row r="770">
      <c r="A770" s="1" t="n"/>
      <c r="B770" s="21" t="n"/>
      <c r="C770" s="22" t="n"/>
      <c r="D770" s="23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15">
        <f>IF(D770="","",COUNT(F770,H770,J770,L770,N770))</f>
        <v/>
      </c>
      <c r="P770" s="25">
        <f>IF(D770="","",N(E770)*N(F770)+N(G770)*N(H770)+N(I770)*N(J770)+N(K770)*N(L770)+N(M770)*N(N770))</f>
        <v/>
      </c>
      <c r="Q770" s="18">
        <f>IF(N(X770)=0,"",IF(IF(N(F770)=0,0,IF(N(E770)&gt;0,E770*(1+F770/30),F770))=X770,IF(N(E770)&gt;0,E770&amp;" x "&amp;F770,F770&amp;" reps"),IF(IF(N(H770)=0,0,IF(N(G770)&gt;0,G770*(1+H770/30),H770))=X770,IF(N(G770)&gt;0,G770&amp;" x "&amp;H770,H770&amp;" reps"),IF(IF(N(J770)=0,0,IF(N(I770)&gt;0,I770*(1+J770/30),J770))=X770,IF(N(I770)&gt;0,I770&amp;" x "&amp;J770,J770&amp;" reps"),IF(IF(N(L770)=0,0,IF(N(K770)&gt;0,K770*(1+L770/30),L770))=X770,IF(N(K770)&gt;0,K770&amp;" x "&amp;L770,L770&amp;" reps"),IF(IF(N(N770)=0,0,IF(N(M770)&gt;0,M770*(1+N770/30),N770))=X770,IF(N(M770)&gt;0,M770&amp;" x "&amp;N770,N770&amp;" reps"),""))))))</f>
        <v/>
      </c>
      <c r="R770" s="20">
        <f>IF(N(X770)=0,"",ROUND(X770,1))</f>
        <v/>
      </c>
      <c r="S770" s="18">
        <f>IF(N(X770)=0,"",IF(AND(COUNTIFS(Log!$D$6:$D$1505,D770,Log!$B$6:$B$1505,"&lt;"&amp;B770)&gt;0,COUNTIFS(Log!$D$6:$D$1505,D770,Log!$B$6:$B$1505,"&lt;"&amp;B770,Log!$X$6:$X$1505,"&gt;="&amp;X770)=0),"New best",""))</f>
        <v/>
      </c>
      <c r="T770" s="26" t="n"/>
      <c r="U770" s="1">
        <f>IF(D770="","",IFERROR(INDEX(Exercises!$C$6:$C$105,MATCH(D770,Exercises!$B$6:$B$105,0)),"Other"))</f>
        <v/>
      </c>
      <c r="V770">
        <f>IF(B770="","",IF(COUNTIF($B$6:B770,B770)=1,1,0))</f>
        <v/>
      </c>
      <c r="W770">
        <f>IF(B770="","",B770-WEEKDAY(B770,3))</f>
        <v/>
      </c>
      <c r="X770">
        <f>IF(D770="","",MAX(IF(N(F770)=0,0,IF(N(E770)&gt;0,E770*(1+F770/30),F770)),IF(N(H770)=0,0,IF(N(G770)&gt;0,G770*(1+H770/30),H770)),IF(N(J770)=0,0,IF(N(I770)&gt;0,I770*(1+J770/30),J770)),IF(N(L770)=0,0,IF(N(K770)&gt;0,K770*(1+L770/30),L770)),IF(N(N770)=0,0,IF(N(M770)&gt;0,M770*(1+N770/30),N770))))</f>
        <v/>
      </c>
      <c r="Y770">
        <f>IF(N(X770)=0,"",X770+ROW()/1000000000)</f>
        <v/>
      </c>
      <c r="Z770">
        <f>IF(Y770="","",IF(COUNTIFS(Log!$D$6:$D$1505,D770,Log!$Y$6:$Y$1505,"&gt;"&amp;Y770)=0,1,0))</f>
        <v/>
      </c>
      <c r="AA770">
        <f>IF(OR(B770="",D770=""),"",B770+ROW()/10000000)</f>
        <v/>
      </c>
      <c r="AB770">
        <f>IF(AA770="","",IF(COUNTIFS(Log!$D$6:$D$1505,D770,Log!$AA$6:$AA$1505,"&gt;"&amp;AA770)=0,1,0))</f>
        <v/>
      </c>
      <c r="AC770">
        <f>IF(S770="New best",AA770,"")</f>
        <v/>
      </c>
      <c r="AD770">
        <f>ROW()</f>
        <v/>
      </c>
    </row>
    <row r="771">
      <c r="A771" s="1" t="n"/>
      <c r="B771" s="21" t="n"/>
      <c r="C771" s="22" t="n"/>
      <c r="D771" s="23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15">
        <f>IF(D771="","",COUNT(F771,H771,J771,L771,N771))</f>
        <v/>
      </c>
      <c r="P771" s="25">
        <f>IF(D771="","",N(E771)*N(F771)+N(G771)*N(H771)+N(I771)*N(J771)+N(K771)*N(L771)+N(M771)*N(N771))</f>
        <v/>
      </c>
      <c r="Q771" s="18">
        <f>IF(N(X771)=0,"",IF(IF(N(F771)=0,0,IF(N(E771)&gt;0,E771*(1+F771/30),F771))=X771,IF(N(E771)&gt;0,E771&amp;" x "&amp;F771,F771&amp;" reps"),IF(IF(N(H771)=0,0,IF(N(G771)&gt;0,G771*(1+H771/30),H771))=X771,IF(N(G771)&gt;0,G771&amp;" x "&amp;H771,H771&amp;" reps"),IF(IF(N(J771)=0,0,IF(N(I771)&gt;0,I771*(1+J771/30),J771))=X771,IF(N(I771)&gt;0,I771&amp;" x "&amp;J771,J771&amp;" reps"),IF(IF(N(L771)=0,0,IF(N(K771)&gt;0,K771*(1+L771/30),L771))=X771,IF(N(K771)&gt;0,K771&amp;" x "&amp;L771,L771&amp;" reps"),IF(IF(N(N771)=0,0,IF(N(M771)&gt;0,M771*(1+N771/30),N771))=X771,IF(N(M771)&gt;0,M771&amp;" x "&amp;N771,N771&amp;" reps"),""))))))</f>
        <v/>
      </c>
      <c r="R771" s="20">
        <f>IF(N(X771)=0,"",ROUND(X771,1))</f>
        <v/>
      </c>
      <c r="S771" s="18">
        <f>IF(N(X771)=0,"",IF(AND(COUNTIFS(Log!$D$6:$D$1505,D771,Log!$B$6:$B$1505,"&lt;"&amp;B771)&gt;0,COUNTIFS(Log!$D$6:$D$1505,D771,Log!$B$6:$B$1505,"&lt;"&amp;B771,Log!$X$6:$X$1505,"&gt;="&amp;X771)=0),"New best",""))</f>
        <v/>
      </c>
      <c r="T771" s="26" t="n"/>
      <c r="U771" s="1">
        <f>IF(D771="","",IFERROR(INDEX(Exercises!$C$6:$C$105,MATCH(D771,Exercises!$B$6:$B$105,0)),"Other"))</f>
        <v/>
      </c>
      <c r="V771">
        <f>IF(B771="","",IF(COUNTIF($B$6:B771,B771)=1,1,0))</f>
        <v/>
      </c>
      <c r="W771">
        <f>IF(B771="","",B771-WEEKDAY(B771,3))</f>
        <v/>
      </c>
      <c r="X771">
        <f>IF(D771="","",MAX(IF(N(F771)=0,0,IF(N(E771)&gt;0,E771*(1+F771/30),F771)),IF(N(H771)=0,0,IF(N(G771)&gt;0,G771*(1+H771/30),H771)),IF(N(J771)=0,0,IF(N(I771)&gt;0,I771*(1+J771/30),J771)),IF(N(L771)=0,0,IF(N(K771)&gt;0,K771*(1+L771/30),L771)),IF(N(N771)=0,0,IF(N(M771)&gt;0,M771*(1+N771/30),N771))))</f>
        <v/>
      </c>
      <c r="Y771">
        <f>IF(N(X771)=0,"",X771+ROW()/1000000000)</f>
        <v/>
      </c>
      <c r="Z771">
        <f>IF(Y771="","",IF(COUNTIFS(Log!$D$6:$D$1505,D771,Log!$Y$6:$Y$1505,"&gt;"&amp;Y771)=0,1,0))</f>
        <v/>
      </c>
      <c r="AA771">
        <f>IF(OR(B771="",D771=""),"",B771+ROW()/10000000)</f>
        <v/>
      </c>
      <c r="AB771">
        <f>IF(AA771="","",IF(COUNTIFS(Log!$D$6:$D$1505,D771,Log!$AA$6:$AA$1505,"&gt;"&amp;AA771)=0,1,0))</f>
        <v/>
      </c>
      <c r="AC771">
        <f>IF(S771="New best",AA771,"")</f>
        <v/>
      </c>
      <c r="AD771">
        <f>ROW()</f>
        <v/>
      </c>
    </row>
    <row r="772">
      <c r="A772" s="1" t="n"/>
      <c r="B772" s="21" t="n"/>
      <c r="C772" s="22" t="n"/>
      <c r="D772" s="23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15">
        <f>IF(D772="","",COUNT(F772,H772,J772,L772,N772))</f>
        <v/>
      </c>
      <c r="P772" s="25">
        <f>IF(D772="","",N(E772)*N(F772)+N(G772)*N(H772)+N(I772)*N(J772)+N(K772)*N(L772)+N(M772)*N(N772))</f>
        <v/>
      </c>
      <c r="Q772" s="18">
        <f>IF(N(X772)=0,"",IF(IF(N(F772)=0,0,IF(N(E772)&gt;0,E772*(1+F772/30),F772))=X772,IF(N(E772)&gt;0,E772&amp;" x "&amp;F772,F772&amp;" reps"),IF(IF(N(H772)=0,0,IF(N(G772)&gt;0,G772*(1+H772/30),H772))=X772,IF(N(G772)&gt;0,G772&amp;" x "&amp;H772,H772&amp;" reps"),IF(IF(N(J772)=0,0,IF(N(I772)&gt;0,I772*(1+J772/30),J772))=X772,IF(N(I772)&gt;0,I772&amp;" x "&amp;J772,J772&amp;" reps"),IF(IF(N(L772)=0,0,IF(N(K772)&gt;0,K772*(1+L772/30),L772))=X772,IF(N(K772)&gt;0,K772&amp;" x "&amp;L772,L772&amp;" reps"),IF(IF(N(N772)=0,0,IF(N(M772)&gt;0,M772*(1+N772/30),N772))=X772,IF(N(M772)&gt;0,M772&amp;" x "&amp;N772,N772&amp;" reps"),""))))))</f>
        <v/>
      </c>
      <c r="R772" s="20">
        <f>IF(N(X772)=0,"",ROUND(X772,1))</f>
        <v/>
      </c>
      <c r="S772" s="18">
        <f>IF(N(X772)=0,"",IF(AND(COUNTIFS(Log!$D$6:$D$1505,D772,Log!$B$6:$B$1505,"&lt;"&amp;B772)&gt;0,COUNTIFS(Log!$D$6:$D$1505,D772,Log!$B$6:$B$1505,"&lt;"&amp;B772,Log!$X$6:$X$1505,"&gt;="&amp;X772)=0),"New best",""))</f>
        <v/>
      </c>
      <c r="T772" s="26" t="n"/>
      <c r="U772" s="1">
        <f>IF(D772="","",IFERROR(INDEX(Exercises!$C$6:$C$105,MATCH(D772,Exercises!$B$6:$B$105,0)),"Other"))</f>
        <v/>
      </c>
      <c r="V772">
        <f>IF(B772="","",IF(COUNTIF($B$6:B772,B772)=1,1,0))</f>
        <v/>
      </c>
      <c r="W772">
        <f>IF(B772="","",B772-WEEKDAY(B772,3))</f>
        <v/>
      </c>
      <c r="X772">
        <f>IF(D772="","",MAX(IF(N(F772)=0,0,IF(N(E772)&gt;0,E772*(1+F772/30),F772)),IF(N(H772)=0,0,IF(N(G772)&gt;0,G772*(1+H772/30),H772)),IF(N(J772)=0,0,IF(N(I772)&gt;0,I772*(1+J772/30),J772)),IF(N(L772)=0,0,IF(N(K772)&gt;0,K772*(1+L772/30),L772)),IF(N(N772)=0,0,IF(N(M772)&gt;0,M772*(1+N772/30),N772))))</f>
        <v/>
      </c>
      <c r="Y772">
        <f>IF(N(X772)=0,"",X772+ROW()/1000000000)</f>
        <v/>
      </c>
      <c r="Z772">
        <f>IF(Y772="","",IF(COUNTIFS(Log!$D$6:$D$1505,D772,Log!$Y$6:$Y$1505,"&gt;"&amp;Y772)=0,1,0))</f>
        <v/>
      </c>
      <c r="AA772">
        <f>IF(OR(B772="",D772=""),"",B772+ROW()/10000000)</f>
        <v/>
      </c>
      <c r="AB772">
        <f>IF(AA772="","",IF(COUNTIFS(Log!$D$6:$D$1505,D772,Log!$AA$6:$AA$1505,"&gt;"&amp;AA772)=0,1,0))</f>
        <v/>
      </c>
      <c r="AC772">
        <f>IF(S772="New best",AA772,"")</f>
        <v/>
      </c>
      <c r="AD772">
        <f>ROW()</f>
        <v/>
      </c>
    </row>
    <row r="773">
      <c r="A773" s="1" t="n"/>
      <c r="B773" s="21" t="n"/>
      <c r="C773" s="22" t="n"/>
      <c r="D773" s="23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15">
        <f>IF(D773="","",COUNT(F773,H773,J773,L773,N773))</f>
        <v/>
      </c>
      <c r="P773" s="25">
        <f>IF(D773="","",N(E773)*N(F773)+N(G773)*N(H773)+N(I773)*N(J773)+N(K773)*N(L773)+N(M773)*N(N773))</f>
        <v/>
      </c>
      <c r="Q773" s="18">
        <f>IF(N(X773)=0,"",IF(IF(N(F773)=0,0,IF(N(E773)&gt;0,E773*(1+F773/30),F773))=X773,IF(N(E773)&gt;0,E773&amp;" x "&amp;F773,F773&amp;" reps"),IF(IF(N(H773)=0,0,IF(N(G773)&gt;0,G773*(1+H773/30),H773))=X773,IF(N(G773)&gt;0,G773&amp;" x "&amp;H773,H773&amp;" reps"),IF(IF(N(J773)=0,0,IF(N(I773)&gt;0,I773*(1+J773/30),J773))=X773,IF(N(I773)&gt;0,I773&amp;" x "&amp;J773,J773&amp;" reps"),IF(IF(N(L773)=0,0,IF(N(K773)&gt;0,K773*(1+L773/30),L773))=X773,IF(N(K773)&gt;0,K773&amp;" x "&amp;L773,L773&amp;" reps"),IF(IF(N(N773)=0,0,IF(N(M773)&gt;0,M773*(1+N773/30),N773))=X773,IF(N(M773)&gt;0,M773&amp;" x "&amp;N773,N773&amp;" reps"),""))))))</f>
        <v/>
      </c>
      <c r="R773" s="20">
        <f>IF(N(X773)=0,"",ROUND(X773,1))</f>
        <v/>
      </c>
      <c r="S773" s="18">
        <f>IF(N(X773)=0,"",IF(AND(COUNTIFS(Log!$D$6:$D$1505,D773,Log!$B$6:$B$1505,"&lt;"&amp;B773)&gt;0,COUNTIFS(Log!$D$6:$D$1505,D773,Log!$B$6:$B$1505,"&lt;"&amp;B773,Log!$X$6:$X$1505,"&gt;="&amp;X773)=0),"New best",""))</f>
        <v/>
      </c>
      <c r="T773" s="26" t="n"/>
      <c r="U773" s="1">
        <f>IF(D773="","",IFERROR(INDEX(Exercises!$C$6:$C$105,MATCH(D773,Exercises!$B$6:$B$105,0)),"Other"))</f>
        <v/>
      </c>
      <c r="V773">
        <f>IF(B773="","",IF(COUNTIF($B$6:B773,B773)=1,1,0))</f>
        <v/>
      </c>
      <c r="W773">
        <f>IF(B773="","",B773-WEEKDAY(B773,3))</f>
        <v/>
      </c>
      <c r="X773">
        <f>IF(D773="","",MAX(IF(N(F773)=0,0,IF(N(E773)&gt;0,E773*(1+F773/30),F773)),IF(N(H773)=0,0,IF(N(G773)&gt;0,G773*(1+H773/30),H773)),IF(N(J773)=0,0,IF(N(I773)&gt;0,I773*(1+J773/30),J773)),IF(N(L773)=0,0,IF(N(K773)&gt;0,K773*(1+L773/30),L773)),IF(N(N773)=0,0,IF(N(M773)&gt;0,M773*(1+N773/30),N773))))</f>
        <v/>
      </c>
      <c r="Y773">
        <f>IF(N(X773)=0,"",X773+ROW()/1000000000)</f>
        <v/>
      </c>
      <c r="Z773">
        <f>IF(Y773="","",IF(COUNTIFS(Log!$D$6:$D$1505,D773,Log!$Y$6:$Y$1505,"&gt;"&amp;Y773)=0,1,0))</f>
        <v/>
      </c>
      <c r="AA773">
        <f>IF(OR(B773="",D773=""),"",B773+ROW()/10000000)</f>
        <v/>
      </c>
      <c r="AB773">
        <f>IF(AA773="","",IF(COUNTIFS(Log!$D$6:$D$1505,D773,Log!$AA$6:$AA$1505,"&gt;"&amp;AA773)=0,1,0))</f>
        <v/>
      </c>
      <c r="AC773">
        <f>IF(S773="New best",AA773,"")</f>
        <v/>
      </c>
      <c r="AD773">
        <f>ROW()</f>
        <v/>
      </c>
    </row>
    <row r="774">
      <c r="A774" s="1" t="n"/>
      <c r="B774" s="21" t="n"/>
      <c r="C774" s="22" t="n"/>
      <c r="D774" s="23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15">
        <f>IF(D774="","",COUNT(F774,H774,J774,L774,N774))</f>
        <v/>
      </c>
      <c r="P774" s="25">
        <f>IF(D774="","",N(E774)*N(F774)+N(G774)*N(H774)+N(I774)*N(J774)+N(K774)*N(L774)+N(M774)*N(N774))</f>
        <v/>
      </c>
      <c r="Q774" s="18">
        <f>IF(N(X774)=0,"",IF(IF(N(F774)=0,0,IF(N(E774)&gt;0,E774*(1+F774/30),F774))=X774,IF(N(E774)&gt;0,E774&amp;" x "&amp;F774,F774&amp;" reps"),IF(IF(N(H774)=0,0,IF(N(G774)&gt;0,G774*(1+H774/30),H774))=X774,IF(N(G774)&gt;0,G774&amp;" x "&amp;H774,H774&amp;" reps"),IF(IF(N(J774)=0,0,IF(N(I774)&gt;0,I774*(1+J774/30),J774))=X774,IF(N(I774)&gt;0,I774&amp;" x "&amp;J774,J774&amp;" reps"),IF(IF(N(L774)=0,0,IF(N(K774)&gt;0,K774*(1+L774/30),L774))=X774,IF(N(K774)&gt;0,K774&amp;" x "&amp;L774,L774&amp;" reps"),IF(IF(N(N774)=0,0,IF(N(M774)&gt;0,M774*(1+N774/30),N774))=X774,IF(N(M774)&gt;0,M774&amp;" x "&amp;N774,N774&amp;" reps"),""))))))</f>
        <v/>
      </c>
      <c r="R774" s="20">
        <f>IF(N(X774)=0,"",ROUND(X774,1))</f>
        <v/>
      </c>
      <c r="S774" s="18">
        <f>IF(N(X774)=0,"",IF(AND(COUNTIFS(Log!$D$6:$D$1505,D774,Log!$B$6:$B$1505,"&lt;"&amp;B774)&gt;0,COUNTIFS(Log!$D$6:$D$1505,D774,Log!$B$6:$B$1505,"&lt;"&amp;B774,Log!$X$6:$X$1505,"&gt;="&amp;X774)=0),"New best",""))</f>
        <v/>
      </c>
      <c r="T774" s="26" t="n"/>
      <c r="U774" s="1">
        <f>IF(D774="","",IFERROR(INDEX(Exercises!$C$6:$C$105,MATCH(D774,Exercises!$B$6:$B$105,0)),"Other"))</f>
        <v/>
      </c>
      <c r="V774">
        <f>IF(B774="","",IF(COUNTIF($B$6:B774,B774)=1,1,0))</f>
        <v/>
      </c>
      <c r="W774">
        <f>IF(B774="","",B774-WEEKDAY(B774,3))</f>
        <v/>
      </c>
      <c r="X774">
        <f>IF(D774="","",MAX(IF(N(F774)=0,0,IF(N(E774)&gt;0,E774*(1+F774/30),F774)),IF(N(H774)=0,0,IF(N(G774)&gt;0,G774*(1+H774/30),H774)),IF(N(J774)=0,0,IF(N(I774)&gt;0,I774*(1+J774/30),J774)),IF(N(L774)=0,0,IF(N(K774)&gt;0,K774*(1+L774/30),L774)),IF(N(N774)=0,0,IF(N(M774)&gt;0,M774*(1+N774/30),N774))))</f>
        <v/>
      </c>
      <c r="Y774">
        <f>IF(N(X774)=0,"",X774+ROW()/1000000000)</f>
        <v/>
      </c>
      <c r="Z774">
        <f>IF(Y774="","",IF(COUNTIFS(Log!$D$6:$D$1505,D774,Log!$Y$6:$Y$1505,"&gt;"&amp;Y774)=0,1,0))</f>
        <v/>
      </c>
      <c r="AA774">
        <f>IF(OR(B774="",D774=""),"",B774+ROW()/10000000)</f>
        <v/>
      </c>
      <c r="AB774">
        <f>IF(AA774="","",IF(COUNTIFS(Log!$D$6:$D$1505,D774,Log!$AA$6:$AA$1505,"&gt;"&amp;AA774)=0,1,0))</f>
        <v/>
      </c>
      <c r="AC774">
        <f>IF(S774="New best",AA774,"")</f>
        <v/>
      </c>
      <c r="AD774">
        <f>ROW()</f>
        <v/>
      </c>
    </row>
    <row r="775">
      <c r="A775" s="1" t="n"/>
      <c r="B775" s="21" t="n"/>
      <c r="C775" s="22" t="n"/>
      <c r="D775" s="23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15">
        <f>IF(D775="","",COUNT(F775,H775,J775,L775,N775))</f>
        <v/>
      </c>
      <c r="P775" s="25">
        <f>IF(D775="","",N(E775)*N(F775)+N(G775)*N(H775)+N(I775)*N(J775)+N(K775)*N(L775)+N(M775)*N(N775))</f>
        <v/>
      </c>
      <c r="Q775" s="18">
        <f>IF(N(X775)=0,"",IF(IF(N(F775)=0,0,IF(N(E775)&gt;0,E775*(1+F775/30),F775))=X775,IF(N(E775)&gt;0,E775&amp;" x "&amp;F775,F775&amp;" reps"),IF(IF(N(H775)=0,0,IF(N(G775)&gt;0,G775*(1+H775/30),H775))=X775,IF(N(G775)&gt;0,G775&amp;" x "&amp;H775,H775&amp;" reps"),IF(IF(N(J775)=0,0,IF(N(I775)&gt;0,I775*(1+J775/30),J775))=X775,IF(N(I775)&gt;0,I775&amp;" x "&amp;J775,J775&amp;" reps"),IF(IF(N(L775)=0,0,IF(N(K775)&gt;0,K775*(1+L775/30),L775))=X775,IF(N(K775)&gt;0,K775&amp;" x "&amp;L775,L775&amp;" reps"),IF(IF(N(N775)=0,0,IF(N(M775)&gt;0,M775*(1+N775/30),N775))=X775,IF(N(M775)&gt;0,M775&amp;" x "&amp;N775,N775&amp;" reps"),""))))))</f>
        <v/>
      </c>
      <c r="R775" s="20">
        <f>IF(N(X775)=0,"",ROUND(X775,1))</f>
        <v/>
      </c>
      <c r="S775" s="18">
        <f>IF(N(X775)=0,"",IF(AND(COUNTIFS(Log!$D$6:$D$1505,D775,Log!$B$6:$B$1505,"&lt;"&amp;B775)&gt;0,COUNTIFS(Log!$D$6:$D$1505,D775,Log!$B$6:$B$1505,"&lt;"&amp;B775,Log!$X$6:$X$1505,"&gt;="&amp;X775)=0),"New best",""))</f>
        <v/>
      </c>
      <c r="T775" s="26" t="n"/>
      <c r="U775" s="1">
        <f>IF(D775="","",IFERROR(INDEX(Exercises!$C$6:$C$105,MATCH(D775,Exercises!$B$6:$B$105,0)),"Other"))</f>
        <v/>
      </c>
      <c r="V775">
        <f>IF(B775="","",IF(COUNTIF($B$6:B775,B775)=1,1,0))</f>
        <v/>
      </c>
      <c r="W775">
        <f>IF(B775="","",B775-WEEKDAY(B775,3))</f>
        <v/>
      </c>
      <c r="X775">
        <f>IF(D775="","",MAX(IF(N(F775)=0,0,IF(N(E775)&gt;0,E775*(1+F775/30),F775)),IF(N(H775)=0,0,IF(N(G775)&gt;0,G775*(1+H775/30),H775)),IF(N(J775)=0,0,IF(N(I775)&gt;0,I775*(1+J775/30),J775)),IF(N(L775)=0,0,IF(N(K775)&gt;0,K775*(1+L775/30),L775)),IF(N(N775)=0,0,IF(N(M775)&gt;0,M775*(1+N775/30),N775))))</f>
        <v/>
      </c>
      <c r="Y775">
        <f>IF(N(X775)=0,"",X775+ROW()/1000000000)</f>
        <v/>
      </c>
      <c r="Z775">
        <f>IF(Y775="","",IF(COUNTIFS(Log!$D$6:$D$1505,D775,Log!$Y$6:$Y$1505,"&gt;"&amp;Y775)=0,1,0))</f>
        <v/>
      </c>
      <c r="AA775">
        <f>IF(OR(B775="",D775=""),"",B775+ROW()/10000000)</f>
        <v/>
      </c>
      <c r="AB775">
        <f>IF(AA775="","",IF(COUNTIFS(Log!$D$6:$D$1505,D775,Log!$AA$6:$AA$1505,"&gt;"&amp;AA775)=0,1,0))</f>
        <v/>
      </c>
      <c r="AC775">
        <f>IF(S775="New best",AA775,"")</f>
        <v/>
      </c>
      <c r="AD775">
        <f>ROW()</f>
        <v/>
      </c>
    </row>
    <row r="776">
      <c r="A776" s="1" t="n"/>
      <c r="B776" s="21" t="n"/>
      <c r="C776" s="22" t="n"/>
      <c r="D776" s="23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15">
        <f>IF(D776="","",COUNT(F776,H776,J776,L776,N776))</f>
        <v/>
      </c>
      <c r="P776" s="25">
        <f>IF(D776="","",N(E776)*N(F776)+N(G776)*N(H776)+N(I776)*N(J776)+N(K776)*N(L776)+N(M776)*N(N776))</f>
        <v/>
      </c>
      <c r="Q776" s="18">
        <f>IF(N(X776)=0,"",IF(IF(N(F776)=0,0,IF(N(E776)&gt;0,E776*(1+F776/30),F776))=X776,IF(N(E776)&gt;0,E776&amp;" x "&amp;F776,F776&amp;" reps"),IF(IF(N(H776)=0,0,IF(N(G776)&gt;0,G776*(1+H776/30),H776))=X776,IF(N(G776)&gt;0,G776&amp;" x "&amp;H776,H776&amp;" reps"),IF(IF(N(J776)=0,0,IF(N(I776)&gt;0,I776*(1+J776/30),J776))=X776,IF(N(I776)&gt;0,I776&amp;" x "&amp;J776,J776&amp;" reps"),IF(IF(N(L776)=0,0,IF(N(K776)&gt;0,K776*(1+L776/30),L776))=X776,IF(N(K776)&gt;0,K776&amp;" x "&amp;L776,L776&amp;" reps"),IF(IF(N(N776)=0,0,IF(N(M776)&gt;0,M776*(1+N776/30),N776))=X776,IF(N(M776)&gt;0,M776&amp;" x "&amp;N776,N776&amp;" reps"),""))))))</f>
        <v/>
      </c>
      <c r="R776" s="20">
        <f>IF(N(X776)=0,"",ROUND(X776,1))</f>
        <v/>
      </c>
      <c r="S776" s="18">
        <f>IF(N(X776)=0,"",IF(AND(COUNTIFS(Log!$D$6:$D$1505,D776,Log!$B$6:$B$1505,"&lt;"&amp;B776)&gt;0,COUNTIFS(Log!$D$6:$D$1505,D776,Log!$B$6:$B$1505,"&lt;"&amp;B776,Log!$X$6:$X$1505,"&gt;="&amp;X776)=0),"New best",""))</f>
        <v/>
      </c>
      <c r="T776" s="26" t="n"/>
      <c r="U776" s="1">
        <f>IF(D776="","",IFERROR(INDEX(Exercises!$C$6:$C$105,MATCH(D776,Exercises!$B$6:$B$105,0)),"Other"))</f>
        <v/>
      </c>
      <c r="V776">
        <f>IF(B776="","",IF(COUNTIF($B$6:B776,B776)=1,1,0))</f>
        <v/>
      </c>
      <c r="W776">
        <f>IF(B776="","",B776-WEEKDAY(B776,3))</f>
        <v/>
      </c>
      <c r="X776">
        <f>IF(D776="","",MAX(IF(N(F776)=0,0,IF(N(E776)&gt;0,E776*(1+F776/30),F776)),IF(N(H776)=0,0,IF(N(G776)&gt;0,G776*(1+H776/30),H776)),IF(N(J776)=0,0,IF(N(I776)&gt;0,I776*(1+J776/30),J776)),IF(N(L776)=0,0,IF(N(K776)&gt;0,K776*(1+L776/30),L776)),IF(N(N776)=0,0,IF(N(M776)&gt;0,M776*(1+N776/30),N776))))</f>
        <v/>
      </c>
      <c r="Y776">
        <f>IF(N(X776)=0,"",X776+ROW()/1000000000)</f>
        <v/>
      </c>
      <c r="Z776">
        <f>IF(Y776="","",IF(COUNTIFS(Log!$D$6:$D$1505,D776,Log!$Y$6:$Y$1505,"&gt;"&amp;Y776)=0,1,0))</f>
        <v/>
      </c>
      <c r="AA776">
        <f>IF(OR(B776="",D776=""),"",B776+ROW()/10000000)</f>
        <v/>
      </c>
      <c r="AB776">
        <f>IF(AA776="","",IF(COUNTIFS(Log!$D$6:$D$1505,D776,Log!$AA$6:$AA$1505,"&gt;"&amp;AA776)=0,1,0))</f>
        <v/>
      </c>
      <c r="AC776">
        <f>IF(S776="New best",AA776,"")</f>
        <v/>
      </c>
      <c r="AD776">
        <f>ROW()</f>
        <v/>
      </c>
    </row>
    <row r="777">
      <c r="A777" s="1" t="n"/>
      <c r="B777" s="21" t="n"/>
      <c r="C777" s="22" t="n"/>
      <c r="D777" s="23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15">
        <f>IF(D777="","",COUNT(F777,H777,J777,L777,N777))</f>
        <v/>
      </c>
      <c r="P777" s="25">
        <f>IF(D777="","",N(E777)*N(F777)+N(G777)*N(H777)+N(I777)*N(J777)+N(K777)*N(L777)+N(M777)*N(N777))</f>
        <v/>
      </c>
      <c r="Q777" s="18">
        <f>IF(N(X777)=0,"",IF(IF(N(F777)=0,0,IF(N(E777)&gt;0,E777*(1+F777/30),F777))=X777,IF(N(E777)&gt;0,E777&amp;" x "&amp;F777,F777&amp;" reps"),IF(IF(N(H777)=0,0,IF(N(G777)&gt;0,G777*(1+H777/30),H777))=X777,IF(N(G777)&gt;0,G777&amp;" x "&amp;H777,H777&amp;" reps"),IF(IF(N(J777)=0,0,IF(N(I777)&gt;0,I777*(1+J777/30),J777))=X777,IF(N(I777)&gt;0,I777&amp;" x "&amp;J777,J777&amp;" reps"),IF(IF(N(L777)=0,0,IF(N(K777)&gt;0,K777*(1+L777/30),L777))=X777,IF(N(K777)&gt;0,K777&amp;" x "&amp;L777,L777&amp;" reps"),IF(IF(N(N777)=0,0,IF(N(M777)&gt;0,M777*(1+N777/30),N777))=X777,IF(N(M777)&gt;0,M777&amp;" x "&amp;N777,N777&amp;" reps"),""))))))</f>
        <v/>
      </c>
      <c r="R777" s="20">
        <f>IF(N(X777)=0,"",ROUND(X777,1))</f>
        <v/>
      </c>
      <c r="S777" s="18">
        <f>IF(N(X777)=0,"",IF(AND(COUNTIFS(Log!$D$6:$D$1505,D777,Log!$B$6:$B$1505,"&lt;"&amp;B777)&gt;0,COUNTIFS(Log!$D$6:$D$1505,D777,Log!$B$6:$B$1505,"&lt;"&amp;B777,Log!$X$6:$X$1505,"&gt;="&amp;X777)=0),"New best",""))</f>
        <v/>
      </c>
      <c r="T777" s="26" t="n"/>
      <c r="U777" s="1">
        <f>IF(D777="","",IFERROR(INDEX(Exercises!$C$6:$C$105,MATCH(D777,Exercises!$B$6:$B$105,0)),"Other"))</f>
        <v/>
      </c>
      <c r="V777">
        <f>IF(B777="","",IF(COUNTIF($B$6:B777,B777)=1,1,0))</f>
        <v/>
      </c>
      <c r="W777">
        <f>IF(B777="","",B777-WEEKDAY(B777,3))</f>
        <v/>
      </c>
      <c r="X777">
        <f>IF(D777="","",MAX(IF(N(F777)=0,0,IF(N(E777)&gt;0,E777*(1+F777/30),F777)),IF(N(H777)=0,0,IF(N(G777)&gt;0,G777*(1+H777/30),H777)),IF(N(J777)=0,0,IF(N(I777)&gt;0,I777*(1+J777/30),J777)),IF(N(L777)=0,0,IF(N(K777)&gt;0,K777*(1+L777/30),L777)),IF(N(N777)=0,0,IF(N(M777)&gt;0,M777*(1+N777/30),N777))))</f>
        <v/>
      </c>
      <c r="Y777">
        <f>IF(N(X777)=0,"",X777+ROW()/1000000000)</f>
        <v/>
      </c>
      <c r="Z777">
        <f>IF(Y777="","",IF(COUNTIFS(Log!$D$6:$D$1505,D777,Log!$Y$6:$Y$1505,"&gt;"&amp;Y777)=0,1,0))</f>
        <v/>
      </c>
      <c r="AA777">
        <f>IF(OR(B777="",D777=""),"",B777+ROW()/10000000)</f>
        <v/>
      </c>
      <c r="AB777">
        <f>IF(AA777="","",IF(COUNTIFS(Log!$D$6:$D$1505,D777,Log!$AA$6:$AA$1505,"&gt;"&amp;AA777)=0,1,0))</f>
        <v/>
      </c>
      <c r="AC777">
        <f>IF(S777="New best",AA777,"")</f>
        <v/>
      </c>
      <c r="AD777">
        <f>ROW()</f>
        <v/>
      </c>
    </row>
    <row r="778">
      <c r="A778" s="1" t="n"/>
      <c r="B778" s="21" t="n"/>
      <c r="C778" s="22" t="n"/>
      <c r="D778" s="23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15">
        <f>IF(D778="","",COUNT(F778,H778,J778,L778,N778))</f>
        <v/>
      </c>
      <c r="P778" s="25">
        <f>IF(D778="","",N(E778)*N(F778)+N(G778)*N(H778)+N(I778)*N(J778)+N(K778)*N(L778)+N(M778)*N(N778))</f>
        <v/>
      </c>
      <c r="Q778" s="18">
        <f>IF(N(X778)=0,"",IF(IF(N(F778)=0,0,IF(N(E778)&gt;0,E778*(1+F778/30),F778))=X778,IF(N(E778)&gt;0,E778&amp;" x "&amp;F778,F778&amp;" reps"),IF(IF(N(H778)=0,0,IF(N(G778)&gt;0,G778*(1+H778/30),H778))=X778,IF(N(G778)&gt;0,G778&amp;" x "&amp;H778,H778&amp;" reps"),IF(IF(N(J778)=0,0,IF(N(I778)&gt;0,I778*(1+J778/30),J778))=X778,IF(N(I778)&gt;0,I778&amp;" x "&amp;J778,J778&amp;" reps"),IF(IF(N(L778)=0,0,IF(N(K778)&gt;0,K778*(1+L778/30),L778))=X778,IF(N(K778)&gt;0,K778&amp;" x "&amp;L778,L778&amp;" reps"),IF(IF(N(N778)=0,0,IF(N(M778)&gt;0,M778*(1+N778/30),N778))=X778,IF(N(M778)&gt;0,M778&amp;" x "&amp;N778,N778&amp;" reps"),""))))))</f>
        <v/>
      </c>
      <c r="R778" s="20">
        <f>IF(N(X778)=0,"",ROUND(X778,1))</f>
        <v/>
      </c>
      <c r="S778" s="18">
        <f>IF(N(X778)=0,"",IF(AND(COUNTIFS(Log!$D$6:$D$1505,D778,Log!$B$6:$B$1505,"&lt;"&amp;B778)&gt;0,COUNTIFS(Log!$D$6:$D$1505,D778,Log!$B$6:$B$1505,"&lt;"&amp;B778,Log!$X$6:$X$1505,"&gt;="&amp;X778)=0),"New best",""))</f>
        <v/>
      </c>
      <c r="T778" s="26" t="n"/>
      <c r="U778" s="1">
        <f>IF(D778="","",IFERROR(INDEX(Exercises!$C$6:$C$105,MATCH(D778,Exercises!$B$6:$B$105,0)),"Other"))</f>
        <v/>
      </c>
      <c r="V778">
        <f>IF(B778="","",IF(COUNTIF($B$6:B778,B778)=1,1,0))</f>
        <v/>
      </c>
      <c r="W778">
        <f>IF(B778="","",B778-WEEKDAY(B778,3))</f>
        <v/>
      </c>
      <c r="X778">
        <f>IF(D778="","",MAX(IF(N(F778)=0,0,IF(N(E778)&gt;0,E778*(1+F778/30),F778)),IF(N(H778)=0,0,IF(N(G778)&gt;0,G778*(1+H778/30),H778)),IF(N(J778)=0,0,IF(N(I778)&gt;0,I778*(1+J778/30),J778)),IF(N(L778)=0,0,IF(N(K778)&gt;0,K778*(1+L778/30),L778)),IF(N(N778)=0,0,IF(N(M778)&gt;0,M778*(1+N778/30),N778))))</f>
        <v/>
      </c>
      <c r="Y778">
        <f>IF(N(X778)=0,"",X778+ROW()/1000000000)</f>
        <v/>
      </c>
      <c r="Z778">
        <f>IF(Y778="","",IF(COUNTIFS(Log!$D$6:$D$1505,D778,Log!$Y$6:$Y$1505,"&gt;"&amp;Y778)=0,1,0))</f>
        <v/>
      </c>
      <c r="AA778">
        <f>IF(OR(B778="",D778=""),"",B778+ROW()/10000000)</f>
        <v/>
      </c>
      <c r="AB778">
        <f>IF(AA778="","",IF(COUNTIFS(Log!$D$6:$D$1505,D778,Log!$AA$6:$AA$1505,"&gt;"&amp;AA778)=0,1,0))</f>
        <v/>
      </c>
      <c r="AC778">
        <f>IF(S778="New best",AA778,"")</f>
        <v/>
      </c>
      <c r="AD778">
        <f>ROW()</f>
        <v/>
      </c>
    </row>
    <row r="779">
      <c r="A779" s="1" t="n"/>
      <c r="B779" s="21" t="n"/>
      <c r="C779" s="22" t="n"/>
      <c r="D779" s="23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15">
        <f>IF(D779="","",COUNT(F779,H779,J779,L779,N779))</f>
        <v/>
      </c>
      <c r="P779" s="25">
        <f>IF(D779="","",N(E779)*N(F779)+N(G779)*N(H779)+N(I779)*N(J779)+N(K779)*N(L779)+N(M779)*N(N779))</f>
        <v/>
      </c>
      <c r="Q779" s="18">
        <f>IF(N(X779)=0,"",IF(IF(N(F779)=0,0,IF(N(E779)&gt;0,E779*(1+F779/30),F779))=X779,IF(N(E779)&gt;0,E779&amp;" x "&amp;F779,F779&amp;" reps"),IF(IF(N(H779)=0,0,IF(N(G779)&gt;0,G779*(1+H779/30),H779))=X779,IF(N(G779)&gt;0,G779&amp;" x "&amp;H779,H779&amp;" reps"),IF(IF(N(J779)=0,0,IF(N(I779)&gt;0,I779*(1+J779/30),J779))=X779,IF(N(I779)&gt;0,I779&amp;" x "&amp;J779,J779&amp;" reps"),IF(IF(N(L779)=0,0,IF(N(K779)&gt;0,K779*(1+L779/30),L779))=X779,IF(N(K779)&gt;0,K779&amp;" x "&amp;L779,L779&amp;" reps"),IF(IF(N(N779)=0,0,IF(N(M779)&gt;0,M779*(1+N779/30),N779))=X779,IF(N(M779)&gt;0,M779&amp;" x "&amp;N779,N779&amp;" reps"),""))))))</f>
        <v/>
      </c>
      <c r="R779" s="20">
        <f>IF(N(X779)=0,"",ROUND(X779,1))</f>
        <v/>
      </c>
      <c r="S779" s="18">
        <f>IF(N(X779)=0,"",IF(AND(COUNTIFS(Log!$D$6:$D$1505,D779,Log!$B$6:$B$1505,"&lt;"&amp;B779)&gt;0,COUNTIFS(Log!$D$6:$D$1505,D779,Log!$B$6:$B$1505,"&lt;"&amp;B779,Log!$X$6:$X$1505,"&gt;="&amp;X779)=0),"New best",""))</f>
        <v/>
      </c>
      <c r="T779" s="26" t="n"/>
      <c r="U779" s="1">
        <f>IF(D779="","",IFERROR(INDEX(Exercises!$C$6:$C$105,MATCH(D779,Exercises!$B$6:$B$105,0)),"Other"))</f>
        <v/>
      </c>
      <c r="V779">
        <f>IF(B779="","",IF(COUNTIF($B$6:B779,B779)=1,1,0))</f>
        <v/>
      </c>
      <c r="W779">
        <f>IF(B779="","",B779-WEEKDAY(B779,3))</f>
        <v/>
      </c>
      <c r="X779">
        <f>IF(D779="","",MAX(IF(N(F779)=0,0,IF(N(E779)&gt;0,E779*(1+F779/30),F779)),IF(N(H779)=0,0,IF(N(G779)&gt;0,G779*(1+H779/30),H779)),IF(N(J779)=0,0,IF(N(I779)&gt;0,I779*(1+J779/30),J779)),IF(N(L779)=0,0,IF(N(K779)&gt;0,K779*(1+L779/30),L779)),IF(N(N779)=0,0,IF(N(M779)&gt;0,M779*(1+N779/30),N779))))</f>
        <v/>
      </c>
      <c r="Y779">
        <f>IF(N(X779)=0,"",X779+ROW()/1000000000)</f>
        <v/>
      </c>
      <c r="Z779">
        <f>IF(Y779="","",IF(COUNTIFS(Log!$D$6:$D$1505,D779,Log!$Y$6:$Y$1505,"&gt;"&amp;Y779)=0,1,0))</f>
        <v/>
      </c>
      <c r="AA779">
        <f>IF(OR(B779="",D779=""),"",B779+ROW()/10000000)</f>
        <v/>
      </c>
      <c r="AB779">
        <f>IF(AA779="","",IF(COUNTIFS(Log!$D$6:$D$1505,D779,Log!$AA$6:$AA$1505,"&gt;"&amp;AA779)=0,1,0))</f>
        <v/>
      </c>
      <c r="AC779">
        <f>IF(S779="New best",AA779,"")</f>
        <v/>
      </c>
      <c r="AD779">
        <f>ROW()</f>
        <v/>
      </c>
    </row>
    <row r="780">
      <c r="A780" s="1" t="n"/>
      <c r="B780" s="21" t="n"/>
      <c r="C780" s="22" t="n"/>
      <c r="D780" s="23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15">
        <f>IF(D780="","",COUNT(F780,H780,J780,L780,N780))</f>
        <v/>
      </c>
      <c r="P780" s="25">
        <f>IF(D780="","",N(E780)*N(F780)+N(G780)*N(H780)+N(I780)*N(J780)+N(K780)*N(L780)+N(M780)*N(N780))</f>
        <v/>
      </c>
      <c r="Q780" s="18">
        <f>IF(N(X780)=0,"",IF(IF(N(F780)=0,0,IF(N(E780)&gt;0,E780*(1+F780/30),F780))=X780,IF(N(E780)&gt;0,E780&amp;" x "&amp;F780,F780&amp;" reps"),IF(IF(N(H780)=0,0,IF(N(G780)&gt;0,G780*(1+H780/30),H780))=X780,IF(N(G780)&gt;0,G780&amp;" x "&amp;H780,H780&amp;" reps"),IF(IF(N(J780)=0,0,IF(N(I780)&gt;0,I780*(1+J780/30),J780))=X780,IF(N(I780)&gt;0,I780&amp;" x "&amp;J780,J780&amp;" reps"),IF(IF(N(L780)=0,0,IF(N(K780)&gt;0,K780*(1+L780/30),L780))=X780,IF(N(K780)&gt;0,K780&amp;" x "&amp;L780,L780&amp;" reps"),IF(IF(N(N780)=0,0,IF(N(M780)&gt;0,M780*(1+N780/30),N780))=X780,IF(N(M780)&gt;0,M780&amp;" x "&amp;N780,N780&amp;" reps"),""))))))</f>
        <v/>
      </c>
      <c r="R780" s="20">
        <f>IF(N(X780)=0,"",ROUND(X780,1))</f>
        <v/>
      </c>
      <c r="S780" s="18">
        <f>IF(N(X780)=0,"",IF(AND(COUNTIFS(Log!$D$6:$D$1505,D780,Log!$B$6:$B$1505,"&lt;"&amp;B780)&gt;0,COUNTIFS(Log!$D$6:$D$1505,D780,Log!$B$6:$B$1505,"&lt;"&amp;B780,Log!$X$6:$X$1505,"&gt;="&amp;X780)=0),"New best",""))</f>
        <v/>
      </c>
      <c r="T780" s="26" t="n"/>
      <c r="U780" s="1">
        <f>IF(D780="","",IFERROR(INDEX(Exercises!$C$6:$C$105,MATCH(D780,Exercises!$B$6:$B$105,0)),"Other"))</f>
        <v/>
      </c>
      <c r="V780">
        <f>IF(B780="","",IF(COUNTIF($B$6:B780,B780)=1,1,0))</f>
        <v/>
      </c>
      <c r="W780">
        <f>IF(B780="","",B780-WEEKDAY(B780,3))</f>
        <v/>
      </c>
      <c r="X780">
        <f>IF(D780="","",MAX(IF(N(F780)=0,0,IF(N(E780)&gt;0,E780*(1+F780/30),F780)),IF(N(H780)=0,0,IF(N(G780)&gt;0,G780*(1+H780/30),H780)),IF(N(J780)=0,0,IF(N(I780)&gt;0,I780*(1+J780/30),J780)),IF(N(L780)=0,0,IF(N(K780)&gt;0,K780*(1+L780/30),L780)),IF(N(N780)=0,0,IF(N(M780)&gt;0,M780*(1+N780/30),N780))))</f>
        <v/>
      </c>
      <c r="Y780">
        <f>IF(N(X780)=0,"",X780+ROW()/1000000000)</f>
        <v/>
      </c>
      <c r="Z780">
        <f>IF(Y780="","",IF(COUNTIFS(Log!$D$6:$D$1505,D780,Log!$Y$6:$Y$1505,"&gt;"&amp;Y780)=0,1,0))</f>
        <v/>
      </c>
      <c r="AA780">
        <f>IF(OR(B780="",D780=""),"",B780+ROW()/10000000)</f>
        <v/>
      </c>
      <c r="AB780">
        <f>IF(AA780="","",IF(COUNTIFS(Log!$D$6:$D$1505,D780,Log!$AA$6:$AA$1505,"&gt;"&amp;AA780)=0,1,0))</f>
        <v/>
      </c>
      <c r="AC780">
        <f>IF(S780="New best",AA780,"")</f>
        <v/>
      </c>
      <c r="AD780">
        <f>ROW()</f>
        <v/>
      </c>
    </row>
    <row r="781">
      <c r="A781" s="1" t="n"/>
      <c r="B781" s="21" t="n"/>
      <c r="C781" s="22" t="n"/>
      <c r="D781" s="23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15">
        <f>IF(D781="","",COUNT(F781,H781,J781,L781,N781))</f>
        <v/>
      </c>
      <c r="P781" s="25">
        <f>IF(D781="","",N(E781)*N(F781)+N(G781)*N(H781)+N(I781)*N(J781)+N(K781)*N(L781)+N(M781)*N(N781))</f>
        <v/>
      </c>
      <c r="Q781" s="18">
        <f>IF(N(X781)=0,"",IF(IF(N(F781)=0,0,IF(N(E781)&gt;0,E781*(1+F781/30),F781))=X781,IF(N(E781)&gt;0,E781&amp;" x "&amp;F781,F781&amp;" reps"),IF(IF(N(H781)=0,0,IF(N(G781)&gt;0,G781*(1+H781/30),H781))=X781,IF(N(G781)&gt;0,G781&amp;" x "&amp;H781,H781&amp;" reps"),IF(IF(N(J781)=0,0,IF(N(I781)&gt;0,I781*(1+J781/30),J781))=X781,IF(N(I781)&gt;0,I781&amp;" x "&amp;J781,J781&amp;" reps"),IF(IF(N(L781)=0,0,IF(N(K781)&gt;0,K781*(1+L781/30),L781))=X781,IF(N(K781)&gt;0,K781&amp;" x "&amp;L781,L781&amp;" reps"),IF(IF(N(N781)=0,0,IF(N(M781)&gt;0,M781*(1+N781/30),N781))=X781,IF(N(M781)&gt;0,M781&amp;" x "&amp;N781,N781&amp;" reps"),""))))))</f>
        <v/>
      </c>
      <c r="R781" s="20">
        <f>IF(N(X781)=0,"",ROUND(X781,1))</f>
        <v/>
      </c>
      <c r="S781" s="18">
        <f>IF(N(X781)=0,"",IF(AND(COUNTIFS(Log!$D$6:$D$1505,D781,Log!$B$6:$B$1505,"&lt;"&amp;B781)&gt;0,COUNTIFS(Log!$D$6:$D$1505,D781,Log!$B$6:$B$1505,"&lt;"&amp;B781,Log!$X$6:$X$1505,"&gt;="&amp;X781)=0),"New best",""))</f>
        <v/>
      </c>
      <c r="T781" s="26" t="n"/>
      <c r="U781" s="1">
        <f>IF(D781="","",IFERROR(INDEX(Exercises!$C$6:$C$105,MATCH(D781,Exercises!$B$6:$B$105,0)),"Other"))</f>
        <v/>
      </c>
      <c r="V781">
        <f>IF(B781="","",IF(COUNTIF($B$6:B781,B781)=1,1,0))</f>
        <v/>
      </c>
      <c r="W781">
        <f>IF(B781="","",B781-WEEKDAY(B781,3))</f>
        <v/>
      </c>
      <c r="X781">
        <f>IF(D781="","",MAX(IF(N(F781)=0,0,IF(N(E781)&gt;0,E781*(1+F781/30),F781)),IF(N(H781)=0,0,IF(N(G781)&gt;0,G781*(1+H781/30),H781)),IF(N(J781)=0,0,IF(N(I781)&gt;0,I781*(1+J781/30),J781)),IF(N(L781)=0,0,IF(N(K781)&gt;0,K781*(1+L781/30),L781)),IF(N(N781)=0,0,IF(N(M781)&gt;0,M781*(1+N781/30),N781))))</f>
        <v/>
      </c>
      <c r="Y781">
        <f>IF(N(X781)=0,"",X781+ROW()/1000000000)</f>
        <v/>
      </c>
      <c r="Z781">
        <f>IF(Y781="","",IF(COUNTIFS(Log!$D$6:$D$1505,D781,Log!$Y$6:$Y$1505,"&gt;"&amp;Y781)=0,1,0))</f>
        <v/>
      </c>
      <c r="AA781">
        <f>IF(OR(B781="",D781=""),"",B781+ROW()/10000000)</f>
        <v/>
      </c>
      <c r="AB781">
        <f>IF(AA781="","",IF(COUNTIFS(Log!$D$6:$D$1505,D781,Log!$AA$6:$AA$1505,"&gt;"&amp;AA781)=0,1,0))</f>
        <v/>
      </c>
      <c r="AC781">
        <f>IF(S781="New best",AA781,"")</f>
        <v/>
      </c>
      <c r="AD781">
        <f>ROW()</f>
        <v/>
      </c>
    </row>
    <row r="782">
      <c r="A782" s="1" t="n"/>
      <c r="B782" s="21" t="n"/>
      <c r="C782" s="22" t="n"/>
      <c r="D782" s="23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15">
        <f>IF(D782="","",COUNT(F782,H782,J782,L782,N782))</f>
        <v/>
      </c>
      <c r="P782" s="25">
        <f>IF(D782="","",N(E782)*N(F782)+N(G782)*N(H782)+N(I782)*N(J782)+N(K782)*N(L782)+N(M782)*N(N782))</f>
        <v/>
      </c>
      <c r="Q782" s="18">
        <f>IF(N(X782)=0,"",IF(IF(N(F782)=0,0,IF(N(E782)&gt;0,E782*(1+F782/30),F782))=X782,IF(N(E782)&gt;0,E782&amp;" x "&amp;F782,F782&amp;" reps"),IF(IF(N(H782)=0,0,IF(N(G782)&gt;0,G782*(1+H782/30),H782))=X782,IF(N(G782)&gt;0,G782&amp;" x "&amp;H782,H782&amp;" reps"),IF(IF(N(J782)=0,0,IF(N(I782)&gt;0,I782*(1+J782/30),J782))=X782,IF(N(I782)&gt;0,I782&amp;" x "&amp;J782,J782&amp;" reps"),IF(IF(N(L782)=0,0,IF(N(K782)&gt;0,K782*(1+L782/30),L782))=X782,IF(N(K782)&gt;0,K782&amp;" x "&amp;L782,L782&amp;" reps"),IF(IF(N(N782)=0,0,IF(N(M782)&gt;0,M782*(1+N782/30),N782))=X782,IF(N(M782)&gt;0,M782&amp;" x "&amp;N782,N782&amp;" reps"),""))))))</f>
        <v/>
      </c>
      <c r="R782" s="20">
        <f>IF(N(X782)=0,"",ROUND(X782,1))</f>
        <v/>
      </c>
      <c r="S782" s="18">
        <f>IF(N(X782)=0,"",IF(AND(COUNTIFS(Log!$D$6:$D$1505,D782,Log!$B$6:$B$1505,"&lt;"&amp;B782)&gt;0,COUNTIFS(Log!$D$6:$D$1505,D782,Log!$B$6:$B$1505,"&lt;"&amp;B782,Log!$X$6:$X$1505,"&gt;="&amp;X782)=0),"New best",""))</f>
        <v/>
      </c>
      <c r="T782" s="26" t="n"/>
      <c r="U782" s="1">
        <f>IF(D782="","",IFERROR(INDEX(Exercises!$C$6:$C$105,MATCH(D782,Exercises!$B$6:$B$105,0)),"Other"))</f>
        <v/>
      </c>
      <c r="V782">
        <f>IF(B782="","",IF(COUNTIF($B$6:B782,B782)=1,1,0))</f>
        <v/>
      </c>
      <c r="W782">
        <f>IF(B782="","",B782-WEEKDAY(B782,3))</f>
        <v/>
      </c>
      <c r="X782">
        <f>IF(D782="","",MAX(IF(N(F782)=0,0,IF(N(E782)&gt;0,E782*(1+F782/30),F782)),IF(N(H782)=0,0,IF(N(G782)&gt;0,G782*(1+H782/30),H782)),IF(N(J782)=0,0,IF(N(I782)&gt;0,I782*(1+J782/30),J782)),IF(N(L782)=0,0,IF(N(K782)&gt;0,K782*(1+L782/30),L782)),IF(N(N782)=0,0,IF(N(M782)&gt;0,M782*(1+N782/30),N782))))</f>
        <v/>
      </c>
      <c r="Y782">
        <f>IF(N(X782)=0,"",X782+ROW()/1000000000)</f>
        <v/>
      </c>
      <c r="Z782">
        <f>IF(Y782="","",IF(COUNTIFS(Log!$D$6:$D$1505,D782,Log!$Y$6:$Y$1505,"&gt;"&amp;Y782)=0,1,0))</f>
        <v/>
      </c>
      <c r="AA782">
        <f>IF(OR(B782="",D782=""),"",B782+ROW()/10000000)</f>
        <v/>
      </c>
      <c r="AB782">
        <f>IF(AA782="","",IF(COUNTIFS(Log!$D$6:$D$1505,D782,Log!$AA$6:$AA$1505,"&gt;"&amp;AA782)=0,1,0))</f>
        <v/>
      </c>
      <c r="AC782">
        <f>IF(S782="New best",AA782,"")</f>
        <v/>
      </c>
      <c r="AD782">
        <f>ROW()</f>
        <v/>
      </c>
    </row>
    <row r="783">
      <c r="A783" s="1" t="n"/>
      <c r="B783" s="21" t="n"/>
      <c r="C783" s="22" t="n"/>
      <c r="D783" s="23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15">
        <f>IF(D783="","",COUNT(F783,H783,J783,L783,N783))</f>
        <v/>
      </c>
      <c r="P783" s="25">
        <f>IF(D783="","",N(E783)*N(F783)+N(G783)*N(H783)+N(I783)*N(J783)+N(K783)*N(L783)+N(M783)*N(N783))</f>
        <v/>
      </c>
      <c r="Q783" s="18">
        <f>IF(N(X783)=0,"",IF(IF(N(F783)=0,0,IF(N(E783)&gt;0,E783*(1+F783/30),F783))=X783,IF(N(E783)&gt;0,E783&amp;" x "&amp;F783,F783&amp;" reps"),IF(IF(N(H783)=0,0,IF(N(G783)&gt;0,G783*(1+H783/30),H783))=X783,IF(N(G783)&gt;0,G783&amp;" x "&amp;H783,H783&amp;" reps"),IF(IF(N(J783)=0,0,IF(N(I783)&gt;0,I783*(1+J783/30),J783))=X783,IF(N(I783)&gt;0,I783&amp;" x "&amp;J783,J783&amp;" reps"),IF(IF(N(L783)=0,0,IF(N(K783)&gt;0,K783*(1+L783/30),L783))=X783,IF(N(K783)&gt;0,K783&amp;" x "&amp;L783,L783&amp;" reps"),IF(IF(N(N783)=0,0,IF(N(M783)&gt;0,M783*(1+N783/30),N783))=X783,IF(N(M783)&gt;0,M783&amp;" x "&amp;N783,N783&amp;" reps"),""))))))</f>
        <v/>
      </c>
      <c r="R783" s="20">
        <f>IF(N(X783)=0,"",ROUND(X783,1))</f>
        <v/>
      </c>
      <c r="S783" s="18">
        <f>IF(N(X783)=0,"",IF(AND(COUNTIFS(Log!$D$6:$D$1505,D783,Log!$B$6:$B$1505,"&lt;"&amp;B783)&gt;0,COUNTIFS(Log!$D$6:$D$1505,D783,Log!$B$6:$B$1505,"&lt;"&amp;B783,Log!$X$6:$X$1505,"&gt;="&amp;X783)=0),"New best",""))</f>
        <v/>
      </c>
      <c r="T783" s="26" t="n"/>
      <c r="U783" s="1">
        <f>IF(D783="","",IFERROR(INDEX(Exercises!$C$6:$C$105,MATCH(D783,Exercises!$B$6:$B$105,0)),"Other"))</f>
        <v/>
      </c>
      <c r="V783">
        <f>IF(B783="","",IF(COUNTIF($B$6:B783,B783)=1,1,0))</f>
        <v/>
      </c>
      <c r="W783">
        <f>IF(B783="","",B783-WEEKDAY(B783,3))</f>
        <v/>
      </c>
      <c r="X783">
        <f>IF(D783="","",MAX(IF(N(F783)=0,0,IF(N(E783)&gt;0,E783*(1+F783/30),F783)),IF(N(H783)=0,0,IF(N(G783)&gt;0,G783*(1+H783/30),H783)),IF(N(J783)=0,0,IF(N(I783)&gt;0,I783*(1+J783/30),J783)),IF(N(L783)=0,0,IF(N(K783)&gt;0,K783*(1+L783/30),L783)),IF(N(N783)=0,0,IF(N(M783)&gt;0,M783*(1+N783/30),N783))))</f>
        <v/>
      </c>
      <c r="Y783">
        <f>IF(N(X783)=0,"",X783+ROW()/1000000000)</f>
        <v/>
      </c>
      <c r="Z783">
        <f>IF(Y783="","",IF(COUNTIFS(Log!$D$6:$D$1505,D783,Log!$Y$6:$Y$1505,"&gt;"&amp;Y783)=0,1,0))</f>
        <v/>
      </c>
      <c r="AA783">
        <f>IF(OR(B783="",D783=""),"",B783+ROW()/10000000)</f>
        <v/>
      </c>
      <c r="AB783">
        <f>IF(AA783="","",IF(COUNTIFS(Log!$D$6:$D$1505,D783,Log!$AA$6:$AA$1505,"&gt;"&amp;AA783)=0,1,0))</f>
        <v/>
      </c>
      <c r="AC783">
        <f>IF(S783="New best",AA783,"")</f>
        <v/>
      </c>
      <c r="AD783">
        <f>ROW()</f>
        <v/>
      </c>
    </row>
    <row r="784">
      <c r="A784" s="1" t="n"/>
      <c r="B784" s="21" t="n"/>
      <c r="C784" s="22" t="n"/>
      <c r="D784" s="23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15">
        <f>IF(D784="","",COUNT(F784,H784,J784,L784,N784))</f>
        <v/>
      </c>
      <c r="P784" s="25">
        <f>IF(D784="","",N(E784)*N(F784)+N(G784)*N(H784)+N(I784)*N(J784)+N(K784)*N(L784)+N(M784)*N(N784))</f>
        <v/>
      </c>
      <c r="Q784" s="18">
        <f>IF(N(X784)=0,"",IF(IF(N(F784)=0,0,IF(N(E784)&gt;0,E784*(1+F784/30),F784))=X784,IF(N(E784)&gt;0,E784&amp;" x "&amp;F784,F784&amp;" reps"),IF(IF(N(H784)=0,0,IF(N(G784)&gt;0,G784*(1+H784/30),H784))=X784,IF(N(G784)&gt;0,G784&amp;" x "&amp;H784,H784&amp;" reps"),IF(IF(N(J784)=0,0,IF(N(I784)&gt;0,I784*(1+J784/30),J784))=X784,IF(N(I784)&gt;0,I784&amp;" x "&amp;J784,J784&amp;" reps"),IF(IF(N(L784)=0,0,IF(N(K784)&gt;0,K784*(1+L784/30),L784))=X784,IF(N(K784)&gt;0,K784&amp;" x "&amp;L784,L784&amp;" reps"),IF(IF(N(N784)=0,0,IF(N(M784)&gt;0,M784*(1+N784/30),N784))=X784,IF(N(M784)&gt;0,M784&amp;" x "&amp;N784,N784&amp;" reps"),""))))))</f>
        <v/>
      </c>
      <c r="R784" s="20">
        <f>IF(N(X784)=0,"",ROUND(X784,1))</f>
        <v/>
      </c>
      <c r="S784" s="18">
        <f>IF(N(X784)=0,"",IF(AND(COUNTIFS(Log!$D$6:$D$1505,D784,Log!$B$6:$B$1505,"&lt;"&amp;B784)&gt;0,COUNTIFS(Log!$D$6:$D$1505,D784,Log!$B$6:$B$1505,"&lt;"&amp;B784,Log!$X$6:$X$1505,"&gt;="&amp;X784)=0),"New best",""))</f>
        <v/>
      </c>
      <c r="T784" s="26" t="n"/>
      <c r="U784" s="1">
        <f>IF(D784="","",IFERROR(INDEX(Exercises!$C$6:$C$105,MATCH(D784,Exercises!$B$6:$B$105,0)),"Other"))</f>
        <v/>
      </c>
      <c r="V784">
        <f>IF(B784="","",IF(COUNTIF($B$6:B784,B784)=1,1,0))</f>
        <v/>
      </c>
      <c r="W784">
        <f>IF(B784="","",B784-WEEKDAY(B784,3))</f>
        <v/>
      </c>
      <c r="X784">
        <f>IF(D784="","",MAX(IF(N(F784)=0,0,IF(N(E784)&gt;0,E784*(1+F784/30),F784)),IF(N(H784)=0,0,IF(N(G784)&gt;0,G784*(1+H784/30),H784)),IF(N(J784)=0,0,IF(N(I784)&gt;0,I784*(1+J784/30),J784)),IF(N(L784)=0,0,IF(N(K784)&gt;0,K784*(1+L784/30),L784)),IF(N(N784)=0,0,IF(N(M784)&gt;0,M784*(1+N784/30),N784))))</f>
        <v/>
      </c>
      <c r="Y784">
        <f>IF(N(X784)=0,"",X784+ROW()/1000000000)</f>
        <v/>
      </c>
      <c r="Z784">
        <f>IF(Y784="","",IF(COUNTIFS(Log!$D$6:$D$1505,D784,Log!$Y$6:$Y$1505,"&gt;"&amp;Y784)=0,1,0))</f>
        <v/>
      </c>
      <c r="AA784">
        <f>IF(OR(B784="",D784=""),"",B784+ROW()/10000000)</f>
        <v/>
      </c>
      <c r="AB784">
        <f>IF(AA784="","",IF(COUNTIFS(Log!$D$6:$D$1505,D784,Log!$AA$6:$AA$1505,"&gt;"&amp;AA784)=0,1,0))</f>
        <v/>
      </c>
      <c r="AC784">
        <f>IF(S784="New best",AA784,"")</f>
        <v/>
      </c>
      <c r="AD784">
        <f>ROW()</f>
        <v/>
      </c>
    </row>
    <row r="785">
      <c r="A785" s="1" t="n"/>
      <c r="B785" s="21" t="n"/>
      <c r="C785" s="22" t="n"/>
      <c r="D785" s="23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15">
        <f>IF(D785="","",COUNT(F785,H785,J785,L785,N785))</f>
        <v/>
      </c>
      <c r="P785" s="25">
        <f>IF(D785="","",N(E785)*N(F785)+N(G785)*N(H785)+N(I785)*N(J785)+N(K785)*N(L785)+N(M785)*N(N785))</f>
        <v/>
      </c>
      <c r="Q785" s="18">
        <f>IF(N(X785)=0,"",IF(IF(N(F785)=0,0,IF(N(E785)&gt;0,E785*(1+F785/30),F785))=X785,IF(N(E785)&gt;0,E785&amp;" x "&amp;F785,F785&amp;" reps"),IF(IF(N(H785)=0,0,IF(N(G785)&gt;0,G785*(1+H785/30),H785))=X785,IF(N(G785)&gt;0,G785&amp;" x "&amp;H785,H785&amp;" reps"),IF(IF(N(J785)=0,0,IF(N(I785)&gt;0,I785*(1+J785/30),J785))=X785,IF(N(I785)&gt;0,I785&amp;" x "&amp;J785,J785&amp;" reps"),IF(IF(N(L785)=0,0,IF(N(K785)&gt;0,K785*(1+L785/30),L785))=X785,IF(N(K785)&gt;0,K785&amp;" x "&amp;L785,L785&amp;" reps"),IF(IF(N(N785)=0,0,IF(N(M785)&gt;0,M785*(1+N785/30),N785))=X785,IF(N(M785)&gt;0,M785&amp;" x "&amp;N785,N785&amp;" reps"),""))))))</f>
        <v/>
      </c>
      <c r="R785" s="20">
        <f>IF(N(X785)=0,"",ROUND(X785,1))</f>
        <v/>
      </c>
      <c r="S785" s="18">
        <f>IF(N(X785)=0,"",IF(AND(COUNTIFS(Log!$D$6:$D$1505,D785,Log!$B$6:$B$1505,"&lt;"&amp;B785)&gt;0,COUNTIFS(Log!$D$6:$D$1505,D785,Log!$B$6:$B$1505,"&lt;"&amp;B785,Log!$X$6:$X$1505,"&gt;="&amp;X785)=0),"New best",""))</f>
        <v/>
      </c>
      <c r="T785" s="26" t="n"/>
      <c r="U785" s="1">
        <f>IF(D785="","",IFERROR(INDEX(Exercises!$C$6:$C$105,MATCH(D785,Exercises!$B$6:$B$105,0)),"Other"))</f>
        <v/>
      </c>
      <c r="V785">
        <f>IF(B785="","",IF(COUNTIF($B$6:B785,B785)=1,1,0))</f>
        <v/>
      </c>
      <c r="W785">
        <f>IF(B785="","",B785-WEEKDAY(B785,3))</f>
        <v/>
      </c>
      <c r="X785">
        <f>IF(D785="","",MAX(IF(N(F785)=0,0,IF(N(E785)&gt;0,E785*(1+F785/30),F785)),IF(N(H785)=0,0,IF(N(G785)&gt;0,G785*(1+H785/30),H785)),IF(N(J785)=0,0,IF(N(I785)&gt;0,I785*(1+J785/30),J785)),IF(N(L785)=0,0,IF(N(K785)&gt;0,K785*(1+L785/30),L785)),IF(N(N785)=0,0,IF(N(M785)&gt;0,M785*(1+N785/30),N785))))</f>
        <v/>
      </c>
      <c r="Y785">
        <f>IF(N(X785)=0,"",X785+ROW()/1000000000)</f>
        <v/>
      </c>
      <c r="Z785">
        <f>IF(Y785="","",IF(COUNTIFS(Log!$D$6:$D$1505,D785,Log!$Y$6:$Y$1505,"&gt;"&amp;Y785)=0,1,0))</f>
        <v/>
      </c>
      <c r="AA785">
        <f>IF(OR(B785="",D785=""),"",B785+ROW()/10000000)</f>
        <v/>
      </c>
      <c r="AB785">
        <f>IF(AA785="","",IF(COUNTIFS(Log!$D$6:$D$1505,D785,Log!$AA$6:$AA$1505,"&gt;"&amp;AA785)=0,1,0))</f>
        <v/>
      </c>
      <c r="AC785">
        <f>IF(S785="New best",AA785,"")</f>
        <v/>
      </c>
      <c r="AD785">
        <f>ROW()</f>
        <v/>
      </c>
    </row>
    <row r="786">
      <c r="A786" s="1" t="n"/>
      <c r="B786" s="21" t="n"/>
      <c r="C786" s="22" t="n"/>
      <c r="D786" s="23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15">
        <f>IF(D786="","",COUNT(F786,H786,J786,L786,N786))</f>
        <v/>
      </c>
      <c r="P786" s="25">
        <f>IF(D786="","",N(E786)*N(F786)+N(G786)*N(H786)+N(I786)*N(J786)+N(K786)*N(L786)+N(M786)*N(N786))</f>
        <v/>
      </c>
      <c r="Q786" s="18">
        <f>IF(N(X786)=0,"",IF(IF(N(F786)=0,0,IF(N(E786)&gt;0,E786*(1+F786/30),F786))=X786,IF(N(E786)&gt;0,E786&amp;" x "&amp;F786,F786&amp;" reps"),IF(IF(N(H786)=0,0,IF(N(G786)&gt;0,G786*(1+H786/30),H786))=X786,IF(N(G786)&gt;0,G786&amp;" x "&amp;H786,H786&amp;" reps"),IF(IF(N(J786)=0,0,IF(N(I786)&gt;0,I786*(1+J786/30),J786))=X786,IF(N(I786)&gt;0,I786&amp;" x "&amp;J786,J786&amp;" reps"),IF(IF(N(L786)=0,0,IF(N(K786)&gt;0,K786*(1+L786/30),L786))=X786,IF(N(K786)&gt;0,K786&amp;" x "&amp;L786,L786&amp;" reps"),IF(IF(N(N786)=0,0,IF(N(M786)&gt;0,M786*(1+N786/30),N786))=X786,IF(N(M786)&gt;0,M786&amp;" x "&amp;N786,N786&amp;" reps"),""))))))</f>
        <v/>
      </c>
      <c r="R786" s="20">
        <f>IF(N(X786)=0,"",ROUND(X786,1))</f>
        <v/>
      </c>
      <c r="S786" s="18">
        <f>IF(N(X786)=0,"",IF(AND(COUNTIFS(Log!$D$6:$D$1505,D786,Log!$B$6:$B$1505,"&lt;"&amp;B786)&gt;0,COUNTIFS(Log!$D$6:$D$1505,D786,Log!$B$6:$B$1505,"&lt;"&amp;B786,Log!$X$6:$X$1505,"&gt;="&amp;X786)=0),"New best",""))</f>
        <v/>
      </c>
      <c r="T786" s="26" t="n"/>
      <c r="U786" s="1">
        <f>IF(D786="","",IFERROR(INDEX(Exercises!$C$6:$C$105,MATCH(D786,Exercises!$B$6:$B$105,0)),"Other"))</f>
        <v/>
      </c>
      <c r="V786">
        <f>IF(B786="","",IF(COUNTIF($B$6:B786,B786)=1,1,0))</f>
        <v/>
      </c>
      <c r="W786">
        <f>IF(B786="","",B786-WEEKDAY(B786,3))</f>
        <v/>
      </c>
      <c r="X786">
        <f>IF(D786="","",MAX(IF(N(F786)=0,0,IF(N(E786)&gt;0,E786*(1+F786/30),F786)),IF(N(H786)=0,0,IF(N(G786)&gt;0,G786*(1+H786/30),H786)),IF(N(J786)=0,0,IF(N(I786)&gt;0,I786*(1+J786/30),J786)),IF(N(L786)=0,0,IF(N(K786)&gt;0,K786*(1+L786/30),L786)),IF(N(N786)=0,0,IF(N(M786)&gt;0,M786*(1+N786/30),N786))))</f>
        <v/>
      </c>
      <c r="Y786">
        <f>IF(N(X786)=0,"",X786+ROW()/1000000000)</f>
        <v/>
      </c>
      <c r="Z786">
        <f>IF(Y786="","",IF(COUNTIFS(Log!$D$6:$D$1505,D786,Log!$Y$6:$Y$1505,"&gt;"&amp;Y786)=0,1,0))</f>
        <v/>
      </c>
      <c r="AA786">
        <f>IF(OR(B786="",D786=""),"",B786+ROW()/10000000)</f>
        <v/>
      </c>
      <c r="AB786">
        <f>IF(AA786="","",IF(COUNTIFS(Log!$D$6:$D$1505,D786,Log!$AA$6:$AA$1505,"&gt;"&amp;AA786)=0,1,0))</f>
        <v/>
      </c>
      <c r="AC786">
        <f>IF(S786="New best",AA786,"")</f>
        <v/>
      </c>
      <c r="AD786">
        <f>ROW()</f>
        <v/>
      </c>
    </row>
    <row r="787">
      <c r="A787" s="1" t="n"/>
      <c r="B787" s="21" t="n"/>
      <c r="C787" s="22" t="n"/>
      <c r="D787" s="23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15">
        <f>IF(D787="","",COUNT(F787,H787,J787,L787,N787))</f>
        <v/>
      </c>
      <c r="P787" s="25">
        <f>IF(D787="","",N(E787)*N(F787)+N(G787)*N(H787)+N(I787)*N(J787)+N(K787)*N(L787)+N(M787)*N(N787))</f>
        <v/>
      </c>
      <c r="Q787" s="18">
        <f>IF(N(X787)=0,"",IF(IF(N(F787)=0,0,IF(N(E787)&gt;0,E787*(1+F787/30),F787))=X787,IF(N(E787)&gt;0,E787&amp;" x "&amp;F787,F787&amp;" reps"),IF(IF(N(H787)=0,0,IF(N(G787)&gt;0,G787*(1+H787/30),H787))=X787,IF(N(G787)&gt;0,G787&amp;" x "&amp;H787,H787&amp;" reps"),IF(IF(N(J787)=0,0,IF(N(I787)&gt;0,I787*(1+J787/30),J787))=X787,IF(N(I787)&gt;0,I787&amp;" x "&amp;J787,J787&amp;" reps"),IF(IF(N(L787)=0,0,IF(N(K787)&gt;0,K787*(1+L787/30),L787))=X787,IF(N(K787)&gt;0,K787&amp;" x "&amp;L787,L787&amp;" reps"),IF(IF(N(N787)=0,0,IF(N(M787)&gt;0,M787*(1+N787/30),N787))=X787,IF(N(M787)&gt;0,M787&amp;" x "&amp;N787,N787&amp;" reps"),""))))))</f>
        <v/>
      </c>
      <c r="R787" s="20">
        <f>IF(N(X787)=0,"",ROUND(X787,1))</f>
        <v/>
      </c>
      <c r="S787" s="18">
        <f>IF(N(X787)=0,"",IF(AND(COUNTIFS(Log!$D$6:$D$1505,D787,Log!$B$6:$B$1505,"&lt;"&amp;B787)&gt;0,COUNTIFS(Log!$D$6:$D$1505,D787,Log!$B$6:$B$1505,"&lt;"&amp;B787,Log!$X$6:$X$1505,"&gt;="&amp;X787)=0),"New best",""))</f>
        <v/>
      </c>
      <c r="T787" s="26" t="n"/>
      <c r="U787" s="1">
        <f>IF(D787="","",IFERROR(INDEX(Exercises!$C$6:$C$105,MATCH(D787,Exercises!$B$6:$B$105,0)),"Other"))</f>
        <v/>
      </c>
      <c r="V787">
        <f>IF(B787="","",IF(COUNTIF($B$6:B787,B787)=1,1,0))</f>
        <v/>
      </c>
      <c r="W787">
        <f>IF(B787="","",B787-WEEKDAY(B787,3))</f>
        <v/>
      </c>
      <c r="X787">
        <f>IF(D787="","",MAX(IF(N(F787)=0,0,IF(N(E787)&gt;0,E787*(1+F787/30),F787)),IF(N(H787)=0,0,IF(N(G787)&gt;0,G787*(1+H787/30),H787)),IF(N(J787)=0,0,IF(N(I787)&gt;0,I787*(1+J787/30),J787)),IF(N(L787)=0,0,IF(N(K787)&gt;0,K787*(1+L787/30),L787)),IF(N(N787)=0,0,IF(N(M787)&gt;0,M787*(1+N787/30),N787))))</f>
        <v/>
      </c>
      <c r="Y787">
        <f>IF(N(X787)=0,"",X787+ROW()/1000000000)</f>
        <v/>
      </c>
      <c r="Z787">
        <f>IF(Y787="","",IF(COUNTIFS(Log!$D$6:$D$1505,D787,Log!$Y$6:$Y$1505,"&gt;"&amp;Y787)=0,1,0))</f>
        <v/>
      </c>
      <c r="AA787">
        <f>IF(OR(B787="",D787=""),"",B787+ROW()/10000000)</f>
        <v/>
      </c>
      <c r="AB787">
        <f>IF(AA787="","",IF(COUNTIFS(Log!$D$6:$D$1505,D787,Log!$AA$6:$AA$1505,"&gt;"&amp;AA787)=0,1,0))</f>
        <v/>
      </c>
      <c r="AC787">
        <f>IF(S787="New best",AA787,"")</f>
        <v/>
      </c>
      <c r="AD787">
        <f>ROW()</f>
        <v/>
      </c>
    </row>
    <row r="788">
      <c r="A788" s="1" t="n"/>
      <c r="B788" s="21" t="n"/>
      <c r="C788" s="22" t="n"/>
      <c r="D788" s="23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15">
        <f>IF(D788="","",COUNT(F788,H788,J788,L788,N788))</f>
        <v/>
      </c>
      <c r="P788" s="25">
        <f>IF(D788="","",N(E788)*N(F788)+N(G788)*N(H788)+N(I788)*N(J788)+N(K788)*N(L788)+N(M788)*N(N788))</f>
        <v/>
      </c>
      <c r="Q788" s="18">
        <f>IF(N(X788)=0,"",IF(IF(N(F788)=0,0,IF(N(E788)&gt;0,E788*(1+F788/30),F788))=X788,IF(N(E788)&gt;0,E788&amp;" x "&amp;F788,F788&amp;" reps"),IF(IF(N(H788)=0,0,IF(N(G788)&gt;0,G788*(1+H788/30),H788))=X788,IF(N(G788)&gt;0,G788&amp;" x "&amp;H788,H788&amp;" reps"),IF(IF(N(J788)=0,0,IF(N(I788)&gt;0,I788*(1+J788/30),J788))=X788,IF(N(I788)&gt;0,I788&amp;" x "&amp;J788,J788&amp;" reps"),IF(IF(N(L788)=0,0,IF(N(K788)&gt;0,K788*(1+L788/30),L788))=X788,IF(N(K788)&gt;0,K788&amp;" x "&amp;L788,L788&amp;" reps"),IF(IF(N(N788)=0,0,IF(N(M788)&gt;0,M788*(1+N788/30),N788))=X788,IF(N(M788)&gt;0,M788&amp;" x "&amp;N788,N788&amp;" reps"),""))))))</f>
        <v/>
      </c>
      <c r="R788" s="20">
        <f>IF(N(X788)=0,"",ROUND(X788,1))</f>
        <v/>
      </c>
      <c r="S788" s="18">
        <f>IF(N(X788)=0,"",IF(AND(COUNTIFS(Log!$D$6:$D$1505,D788,Log!$B$6:$B$1505,"&lt;"&amp;B788)&gt;0,COUNTIFS(Log!$D$6:$D$1505,D788,Log!$B$6:$B$1505,"&lt;"&amp;B788,Log!$X$6:$X$1505,"&gt;="&amp;X788)=0),"New best",""))</f>
        <v/>
      </c>
      <c r="T788" s="26" t="n"/>
      <c r="U788" s="1">
        <f>IF(D788="","",IFERROR(INDEX(Exercises!$C$6:$C$105,MATCH(D788,Exercises!$B$6:$B$105,0)),"Other"))</f>
        <v/>
      </c>
      <c r="V788">
        <f>IF(B788="","",IF(COUNTIF($B$6:B788,B788)=1,1,0))</f>
        <v/>
      </c>
      <c r="W788">
        <f>IF(B788="","",B788-WEEKDAY(B788,3))</f>
        <v/>
      </c>
      <c r="X788">
        <f>IF(D788="","",MAX(IF(N(F788)=0,0,IF(N(E788)&gt;0,E788*(1+F788/30),F788)),IF(N(H788)=0,0,IF(N(G788)&gt;0,G788*(1+H788/30),H788)),IF(N(J788)=0,0,IF(N(I788)&gt;0,I788*(1+J788/30),J788)),IF(N(L788)=0,0,IF(N(K788)&gt;0,K788*(1+L788/30),L788)),IF(N(N788)=0,0,IF(N(M788)&gt;0,M788*(1+N788/30),N788))))</f>
        <v/>
      </c>
      <c r="Y788">
        <f>IF(N(X788)=0,"",X788+ROW()/1000000000)</f>
        <v/>
      </c>
      <c r="Z788">
        <f>IF(Y788="","",IF(COUNTIFS(Log!$D$6:$D$1505,D788,Log!$Y$6:$Y$1505,"&gt;"&amp;Y788)=0,1,0))</f>
        <v/>
      </c>
      <c r="AA788">
        <f>IF(OR(B788="",D788=""),"",B788+ROW()/10000000)</f>
        <v/>
      </c>
      <c r="AB788">
        <f>IF(AA788="","",IF(COUNTIFS(Log!$D$6:$D$1505,D788,Log!$AA$6:$AA$1505,"&gt;"&amp;AA788)=0,1,0))</f>
        <v/>
      </c>
      <c r="AC788">
        <f>IF(S788="New best",AA788,"")</f>
        <v/>
      </c>
      <c r="AD788">
        <f>ROW()</f>
        <v/>
      </c>
    </row>
    <row r="789">
      <c r="A789" s="1" t="n"/>
      <c r="B789" s="21" t="n"/>
      <c r="C789" s="22" t="n"/>
      <c r="D789" s="23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15">
        <f>IF(D789="","",COUNT(F789,H789,J789,L789,N789))</f>
        <v/>
      </c>
      <c r="P789" s="25">
        <f>IF(D789="","",N(E789)*N(F789)+N(G789)*N(H789)+N(I789)*N(J789)+N(K789)*N(L789)+N(M789)*N(N789))</f>
        <v/>
      </c>
      <c r="Q789" s="18">
        <f>IF(N(X789)=0,"",IF(IF(N(F789)=0,0,IF(N(E789)&gt;0,E789*(1+F789/30),F789))=X789,IF(N(E789)&gt;0,E789&amp;" x "&amp;F789,F789&amp;" reps"),IF(IF(N(H789)=0,0,IF(N(G789)&gt;0,G789*(1+H789/30),H789))=X789,IF(N(G789)&gt;0,G789&amp;" x "&amp;H789,H789&amp;" reps"),IF(IF(N(J789)=0,0,IF(N(I789)&gt;0,I789*(1+J789/30),J789))=X789,IF(N(I789)&gt;0,I789&amp;" x "&amp;J789,J789&amp;" reps"),IF(IF(N(L789)=0,0,IF(N(K789)&gt;0,K789*(1+L789/30),L789))=X789,IF(N(K789)&gt;0,K789&amp;" x "&amp;L789,L789&amp;" reps"),IF(IF(N(N789)=0,0,IF(N(M789)&gt;0,M789*(1+N789/30),N789))=X789,IF(N(M789)&gt;0,M789&amp;" x "&amp;N789,N789&amp;" reps"),""))))))</f>
        <v/>
      </c>
      <c r="R789" s="20">
        <f>IF(N(X789)=0,"",ROUND(X789,1))</f>
        <v/>
      </c>
      <c r="S789" s="18">
        <f>IF(N(X789)=0,"",IF(AND(COUNTIFS(Log!$D$6:$D$1505,D789,Log!$B$6:$B$1505,"&lt;"&amp;B789)&gt;0,COUNTIFS(Log!$D$6:$D$1505,D789,Log!$B$6:$B$1505,"&lt;"&amp;B789,Log!$X$6:$X$1505,"&gt;="&amp;X789)=0),"New best",""))</f>
        <v/>
      </c>
      <c r="T789" s="26" t="n"/>
      <c r="U789" s="1">
        <f>IF(D789="","",IFERROR(INDEX(Exercises!$C$6:$C$105,MATCH(D789,Exercises!$B$6:$B$105,0)),"Other"))</f>
        <v/>
      </c>
      <c r="V789">
        <f>IF(B789="","",IF(COUNTIF($B$6:B789,B789)=1,1,0))</f>
        <v/>
      </c>
      <c r="W789">
        <f>IF(B789="","",B789-WEEKDAY(B789,3))</f>
        <v/>
      </c>
      <c r="X789">
        <f>IF(D789="","",MAX(IF(N(F789)=0,0,IF(N(E789)&gt;0,E789*(1+F789/30),F789)),IF(N(H789)=0,0,IF(N(G789)&gt;0,G789*(1+H789/30),H789)),IF(N(J789)=0,0,IF(N(I789)&gt;0,I789*(1+J789/30),J789)),IF(N(L789)=0,0,IF(N(K789)&gt;0,K789*(1+L789/30),L789)),IF(N(N789)=0,0,IF(N(M789)&gt;0,M789*(1+N789/30),N789))))</f>
        <v/>
      </c>
      <c r="Y789">
        <f>IF(N(X789)=0,"",X789+ROW()/1000000000)</f>
        <v/>
      </c>
      <c r="Z789">
        <f>IF(Y789="","",IF(COUNTIFS(Log!$D$6:$D$1505,D789,Log!$Y$6:$Y$1505,"&gt;"&amp;Y789)=0,1,0))</f>
        <v/>
      </c>
      <c r="AA789">
        <f>IF(OR(B789="",D789=""),"",B789+ROW()/10000000)</f>
        <v/>
      </c>
      <c r="AB789">
        <f>IF(AA789="","",IF(COUNTIFS(Log!$D$6:$D$1505,D789,Log!$AA$6:$AA$1505,"&gt;"&amp;AA789)=0,1,0))</f>
        <v/>
      </c>
      <c r="AC789">
        <f>IF(S789="New best",AA789,"")</f>
        <v/>
      </c>
      <c r="AD789">
        <f>ROW()</f>
        <v/>
      </c>
    </row>
    <row r="790">
      <c r="A790" s="1" t="n"/>
      <c r="B790" s="21" t="n"/>
      <c r="C790" s="22" t="n"/>
      <c r="D790" s="23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15">
        <f>IF(D790="","",COUNT(F790,H790,J790,L790,N790))</f>
        <v/>
      </c>
      <c r="P790" s="25">
        <f>IF(D790="","",N(E790)*N(F790)+N(G790)*N(H790)+N(I790)*N(J790)+N(K790)*N(L790)+N(M790)*N(N790))</f>
        <v/>
      </c>
      <c r="Q790" s="18">
        <f>IF(N(X790)=0,"",IF(IF(N(F790)=0,0,IF(N(E790)&gt;0,E790*(1+F790/30),F790))=X790,IF(N(E790)&gt;0,E790&amp;" x "&amp;F790,F790&amp;" reps"),IF(IF(N(H790)=0,0,IF(N(G790)&gt;0,G790*(1+H790/30),H790))=X790,IF(N(G790)&gt;0,G790&amp;" x "&amp;H790,H790&amp;" reps"),IF(IF(N(J790)=0,0,IF(N(I790)&gt;0,I790*(1+J790/30),J790))=X790,IF(N(I790)&gt;0,I790&amp;" x "&amp;J790,J790&amp;" reps"),IF(IF(N(L790)=0,0,IF(N(K790)&gt;0,K790*(1+L790/30),L790))=X790,IF(N(K790)&gt;0,K790&amp;" x "&amp;L790,L790&amp;" reps"),IF(IF(N(N790)=0,0,IF(N(M790)&gt;0,M790*(1+N790/30),N790))=X790,IF(N(M790)&gt;0,M790&amp;" x "&amp;N790,N790&amp;" reps"),""))))))</f>
        <v/>
      </c>
      <c r="R790" s="20">
        <f>IF(N(X790)=0,"",ROUND(X790,1))</f>
        <v/>
      </c>
      <c r="S790" s="18">
        <f>IF(N(X790)=0,"",IF(AND(COUNTIFS(Log!$D$6:$D$1505,D790,Log!$B$6:$B$1505,"&lt;"&amp;B790)&gt;0,COUNTIFS(Log!$D$6:$D$1505,D790,Log!$B$6:$B$1505,"&lt;"&amp;B790,Log!$X$6:$X$1505,"&gt;="&amp;X790)=0),"New best",""))</f>
        <v/>
      </c>
      <c r="T790" s="26" t="n"/>
      <c r="U790" s="1">
        <f>IF(D790="","",IFERROR(INDEX(Exercises!$C$6:$C$105,MATCH(D790,Exercises!$B$6:$B$105,0)),"Other"))</f>
        <v/>
      </c>
      <c r="V790">
        <f>IF(B790="","",IF(COUNTIF($B$6:B790,B790)=1,1,0))</f>
        <v/>
      </c>
      <c r="W790">
        <f>IF(B790="","",B790-WEEKDAY(B790,3))</f>
        <v/>
      </c>
      <c r="X790">
        <f>IF(D790="","",MAX(IF(N(F790)=0,0,IF(N(E790)&gt;0,E790*(1+F790/30),F790)),IF(N(H790)=0,0,IF(N(G790)&gt;0,G790*(1+H790/30),H790)),IF(N(J790)=0,0,IF(N(I790)&gt;0,I790*(1+J790/30),J790)),IF(N(L790)=0,0,IF(N(K790)&gt;0,K790*(1+L790/30),L790)),IF(N(N790)=0,0,IF(N(M790)&gt;0,M790*(1+N790/30),N790))))</f>
        <v/>
      </c>
      <c r="Y790">
        <f>IF(N(X790)=0,"",X790+ROW()/1000000000)</f>
        <v/>
      </c>
      <c r="Z790">
        <f>IF(Y790="","",IF(COUNTIFS(Log!$D$6:$D$1505,D790,Log!$Y$6:$Y$1505,"&gt;"&amp;Y790)=0,1,0))</f>
        <v/>
      </c>
      <c r="AA790">
        <f>IF(OR(B790="",D790=""),"",B790+ROW()/10000000)</f>
        <v/>
      </c>
      <c r="AB790">
        <f>IF(AA790="","",IF(COUNTIFS(Log!$D$6:$D$1505,D790,Log!$AA$6:$AA$1505,"&gt;"&amp;AA790)=0,1,0))</f>
        <v/>
      </c>
      <c r="AC790">
        <f>IF(S790="New best",AA790,"")</f>
        <v/>
      </c>
      <c r="AD790">
        <f>ROW()</f>
        <v/>
      </c>
    </row>
    <row r="791">
      <c r="A791" s="1" t="n"/>
      <c r="B791" s="21" t="n"/>
      <c r="C791" s="22" t="n"/>
      <c r="D791" s="23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15">
        <f>IF(D791="","",COUNT(F791,H791,J791,L791,N791))</f>
        <v/>
      </c>
      <c r="P791" s="25">
        <f>IF(D791="","",N(E791)*N(F791)+N(G791)*N(H791)+N(I791)*N(J791)+N(K791)*N(L791)+N(M791)*N(N791))</f>
        <v/>
      </c>
      <c r="Q791" s="18">
        <f>IF(N(X791)=0,"",IF(IF(N(F791)=0,0,IF(N(E791)&gt;0,E791*(1+F791/30),F791))=X791,IF(N(E791)&gt;0,E791&amp;" x "&amp;F791,F791&amp;" reps"),IF(IF(N(H791)=0,0,IF(N(G791)&gt;0,G791*(1+H791/30),H791))=X791,IF(N(G791)&gt;0,G791&amp;" x "&amp;H791,H791&amp;" reps"),IF(IF(N(J791)=0,0,IF(N(I791)&gt;0,I791*(1+J791/30),J791))=X791,IF(N(I791)&gt;0,I791&amp;" x "&amp;J791,J791&amp;" reps"),IF(IF(N(L791)=0,0,IF(N(K791)&gt;0,K791*(1+L791/30),L791))=X791,IF(N(K791)&gt;0,K791&amp;" x "&amp;L791,L791&amp;" reps"),IF(IF(N(N791)=0,0,IF(N(M791)&gt;0,M791*(1+N791/30),N791))=X791,IF(N(M791)&gt;0,M791&amp;" x "&amp;N791,N791&amp;" reps"),""))))))</f>
        <v/>
      </c>
      <c r="R791" s="20">
        <f>IF(N(X791)=0,"",ROUND(X791,1))</f>
        <v/>
      </c>
      <c r="S791" s="18">
        <f>IF(N(X791)=0,"",IF(AND(COUNTIFS(Log!$D$6:$D$1505,D791,Log!$B$6:$B$1505,"&lt;"&amp;B791)&gt;0,COUNTIFS(Log!$D$6:$D$1505,D791,Log!$B$6:$B$1505,"&lt;"&amp;B791,Log!$X$6:$X$1505,"&gt;="&amp;X791)=0),"New best",""))</f>
        <v/>
      </c>
      <c r="T791" s="26" t="n"/>
      <c r="U791" s="1">
        <f>IF(D791="","",IFERROR(INDEX(Exercises!$C$6:$C$105,MATCH(D791,Exercises!$B$6:$B$105,0)),"Other"))</f>
        <v/>
      </c>
      <c r="V791">
        <f>IF(B791="","",IF(COUNTIF($B$6:B791,B791)=1,1,0))</f>
        <v/>
      </c>
      <c r="W791">
        <f>IF(B791="","",B791-WEEKDAY(B791,3))</f>
        <v/>
      </c>
      <c r="X791">
        <f>IF(D791="","",MAX(IF(N(F791)=0,0,IF(N(E791)&gt;0,E791*(1+F791/30),F791)),IF(N(H791)=0,0,IF(N(G791)&gt;0,G791*(1+H791/30),H791)),IF(N(J791)=0,0,IF(N(I791)&gt;0,I791*(1+J791/30),J791)),IF(N(L791)=0,0,IF(N(K791)&gt;0,K791*(1+L791/30),L791)),IF(N(N791)=0,0,IF(N(M791)&gt;0,M791*(1+N791/30),N791))))</f>
        <v/>
      </c>
      <c r="Y791">
        <f>IF(N(X791)=0,"",X791+ROW()/1000000000)</f>
        <v/>
      </c>
      <c r="Z791">
        <f>IF(Y791="","",IF(COUNTIFS(Log!$D$6:$D$1505,D791,Log!$Y$6:$Y$1505,"&gt;"&amp;Y791)=0,1,0))</f>
        <v/>
      </c>
      <c r="AA791">
        <f>IF(OR(B791="",D791=""),"",B791+ROW()/10000000)</f>
        <v/>
      </c>
      <c r="AB791">
        <f>IF(AA791="","",IF(COUNTIFS(Log!$D$6:$D$1505,D791,Log!$AA$6:$AA$1505,"&gt;"&amp;AA791)=0,1,0))</f>
        <v/>
      </c>
      <c r="AC791">
        <f>IF(S791="New best",AA791,"")</f>
        <v/>
      </c>
      <c r="AD791">
        <f>ROW()</f>
        <v/>
      </c>
    </row>
    <row r="792">
      <c r="A792" s="1" t="n"/>
      <c r="B792" s="21" t="n"/>
      <c r="C792" s="22" t="n"/>
      <c r="D792" s="23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15">
        <f>IF(D792="","",COUNT(F792,H792,J792,L792,N792))</f>
        <v/>
      </c>
      <c r="P792" s="25">
        <f>IF(D792="","",N(E792)*N(F792)+N(G792)*N(H792)+N(I792)*N(J792)+N(K792)*N(L792)+N(M792)*N(N792))</f>
        <v/>
      </c>
      <c r="Q792" s="18">
        <f>IF(N(X792)=0,"",IF(IF(N(F792)=0,0,IF(N(E792)&gt;0,E792*(1+F792/30),F792))=X792,IF(N(E792)&gt;0,E792&amp;" x "&amp;F792,F792&amp;" reps"),IF(IF(N(H792)=0,0,IF(N(G792)&gt;0,G792*(1+H792/30),H792))=X792,IF(N(G792)&gt;0,G792&amp;" x "&amp;H792,H792&amp;" reps"),IF(IF(N(J792)=0,0,IF(N(I792)&gt;0,I792*(1+J792/30),J792))=X792,IF(N(I792)&gt;0,I792&amp;" x "&amp;J792,J792&amp;" reps"),IF(IF(N(L792)=0,0,IF(N(K792)&gt;0,K792*(1+L792/30),L792))=X792,IF(N(K792)&gt;0,K792&amp;" x "&amp;L792,L792&amp;" reps"),IF(IF(N(N792)=0,0,IF(N(M792)&gt;0,M792*(1+N792/30),N792))=X792,IF(N(M792)&gt;0,M792&amp;" x "&amp;N792,N792&amp;" reps"),""))))))</f>
        <v/>
      </c>
      <c r="R792" s="20">
        <f>IF(N(X792)=0,"",ROUND(X792,1))</f>
        <v/>
      </c>
      <c r="S792" s="18">
        <f>IF(N(X792)=0,"",IF(AND(COUNTIFS(Log!$D$6:$D$1505,D792,Log!$B$6:$B$1505,"&lt;"&amp;B792)&gt;0,COUNTIFS(Log!$D$6:$D$1505,D792,Log!$B$6:$B$1505,"&lt;"&amp;B792,Log!$X$6:$X$1505,"&gt;="&amp;X792)=0),"New best",""))</f>
        <v/>
      </c>
      <c r="T792" s="26" t="n"/>
      <c r="U792" s="1">
        <f>IF(D792="","",IFERROR(INDEX(Exercises!$C$6:$C$105,MATCH(D792,Exercises!$B$6:$B$105,0)),"Other"))</f>
        <v/>
      </c>
      <c r="V792">
        <f>IF(B792="","",IF(COUNTIF($B$6:B792,B792)=1,1,0))</f>
        <v/>
      </c>
      <c r="W792">
        <f>IF(B792="","",B792-WEEKDAY(B792,3))</f>
        <v/>
      </c>
      <c r="X792">
        <f>IF(D792="","",MAX(IF(N(F792)=0,0,IF(N(E792)&gt;0,E792*(1+F792/30),F792)),IF(N(H792)=0,0,IF(N(G792)&gt;0,G792*(1+H792/30),H792)),IF(N(J792)=0,0,IF(N(I792)&gt;0,I792*(1+J792/30),J792)),IF(N(L792)=0,0,IF(N(K792)&gt;0,K792*(1+L792/30),L792)),IF(N(N792)=0,0,IF(N(M792)&gt;0,M792*(1+N792/30),N792))))</f>
        <v/>
      </c>
      <c r="Y792">
        <f>IF(N(X792)=0,"",X792+ROW()/1000000000)</f>
        <v/>
      </c>
      <c r="Z792">
        <f>IF(Y792="","",IF(COUNTIFS(Log!$D$6:$D$1505,D792,Log!$Y$6:$Y$1505,"&gt;"&amp;Y792)=0,1,0))</f>
        <v/>
      </c>
      <c r="AA792">
        <f>IF(OR(B792="",D792=""),"",B792+ROW()/10000000)</f>
        <v/>
      </c>
      <c r="AB792">
        <f>IF(AA792="","",IF(COUNTIFS(Log!$D$6:$D$1505,D792,Log!$AA$6:$AA$1505,"&gt;"&amp;AA792)=0,1,0))</f>
        <v/>
      </c>
      <c r="AC792">
        <f>IF(S792="New best",AA792,"")</f>
        <v/>
      </c>
      <c r="AD792">
        <f>ROW()</f>
        <v/>
      </c>
    </row>
    <row r="793">
      <c r="A793" s="1" t="n"/>
      <c r="B793" s="21" t="n"/>
      <c r="C793" s="22" t="n"/>
      <c r="D793" s="23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15">
        <f>IF(D793="","",COUNT(F793,H793,J793,L793,N793))</f>
        <v/>
      </c>
      <c r="P793" s="25">
        <f>IF(D793="","",N(E793)*N(F793)+N(G793)*N(H793)+N(I793)*N(J793)+N(K793)*N(L793)+N(M793)*N(N793))</f>
        <v/>
      </c>
      <c r="Q793" s="18">
        <f>IF(N(X793)=0,"",IF(IF(N(F793)=0,0,IF(N(E793)&gt;0,E793*(1+F793/30),F793))=X793,IF(N(E793)&gt;0,E793&amp;" x "&amp;F793,F793&amp;" reps"),IF(IF(N(H793)=0,0,IF(N(G793)&gt;0,G793*(1+H793/30),H793))=X793,IF(N(G793)&gt;0,G793&amp;" x "&amp;H793,H793&amp;" reps"),IF(IF(N(J793)=0,0,IF(N(I793)&gt;0,I793*(1+J793/30),J793))=X793,IF(N(I793)&gt;0,I793&amp;" x "&amp;J793,J793&amp;" reps"),IF(IF(N(L793)=0,0,IF(N(K793)&gt;0,K793*(1+L793/30),L793))=X793,IF(N(K793)&gt;0,K793&amp;" x "&amp;L793,L793&amp;" reps"),IF(IF(N(N793)=0,0,IF(N(M793)&gt;0,M793*(1+N793/30),N793))=X793,IF(N(M793)&gt;0,M793&amp;" x "&amp;N793,N793&amp;" reps"),""))))))</f>
        <v/>
      </c>
      <c r="R793" s="20">
        <f>IF(N(X793)=0,"",ROUND(X793,1))</f>
        <v/>
      </c>
      <c r="S793" s="18">
        <f>IF(N(X793)=0,"",IF(AND(COUNTIFS(Log!$D$6:$D$1505,D793,Log!$B$6:$B$1505,"&lt;"&amp;B793)&gt;0,COUNTIFS(Log!$D$6:$D$1505,D793,Log!$B$6:$B$1505,"&lt;"&amp;B793,Log!$X$6:$X$1505,"&gt;="&amp;X793)=0),"New best",""))</f>
        <v/>
      </c>
      <c r="T793" s="26" t="n"/>
      <c r="U793" s="1">
        <f>IF(D793="","",IFERROR(INDEX(Exercises!$C$6:$C$105,MATCH(D793,Exercises!$B$6:$B$105,0)),"Other"))</f>
        <v/>
      </c>
      <c r="V793">
        <f>IF(B793="","",IF(COUNTIF($B$6:B793,B793)=1,1,0))</f>
        <v/>
      </c>
      <c r="W793">
        <f>IF(B793="","",B793-WEEKDAY(B793,3))</f>
        <v/>
      </c>
      <c r="X793">
        <f>IF(D793="","",MAX(IF(N(F793)=0,0,IF(N(E793)&gt;0,E793*(1+F793/30),F793)),IF(N(H793)=0,0,IF(N(G793)&gt;0,G793*(1+H793/30),H793)),IF(N(J793)=0,0,IF(N(I793)&gt;0,I793*(1+J793/30),J793)),IF(N(L793)=0,0,IF(N(K793)&gt;0,K793*(1+L793/30),L793)),IF(N(N793)=0,0,IF(N(M793)&gt;0,M793*(1+N793/30),N793))))</f>
        <v/>
      </c>
      <c r="Y793">
        <f>IF(N(X793)=0,"",X793+ROW()/1000000000)</f>
        <v/>
      </c>
      <c r="Z793">
        <f>IF(Y793="","",IF(COUNTIFS(Log!$D$6:$D$1505,D793,Log!$Y$6:$Y$1505,"&gt;"&amp;Y793)=0,1,0))</f>
        <v/>
      </c>
      <c r="AA793">
        <f>IF(OR(B793="",D793=""),"",B793+ROW()/10000000)</f>
        <v/>
      </c>
      <c r="AB793">
        <f>IF(AA793="","",IF(COUNTIFS(Log!$D$6:$D$1505,D793,Log!$AA$6:$AA$1505,"&gt;"&amp;AA793)=0,1,0))</f>
        <v/>
      </c>
      <c r="AC793">
        <f>IF(S793="New best",AA793,"")</f>
        <v/>
      </c>
      <c r="AD793">
        <f>ROW()</f>
        <v/>
      </c>
    </row>
    <row r="794">
      <c r="A794" s="1" t="n"/>
      <c r="B794" s="21" t="n"/>
      <c r="C794" s="22" t="n"/>
      <c r="D794" s="23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15">
        <f>IF(D794="","",COUNT(F794,H794,J794,L794,N794))</f>
        <v/>
      </c>
      <c r="P794" s="25">
        <f>IF(D794="","",N(E794)*N(F794)+N(G794)*N(H794)+N(I794)*N(J794)+N(K794)*N(L794)+N(M794)*N(N794))</f>
        <v/>
      </c>
      <c r="Q794" s="18">
        <f>IF(N(X794)=0,"",IF(IF(N(F794)=0,0,IF(N(E794)&gt;0,E794*(1+F794/30),F794))=X794,IF(N(E794)&gt;0,E794&amp;" x "&amp;F794,F794&amp;" reps"),IF(IF(N(H794)=0,0,IF(N(G794)&gt;0,G794*(1+H794/30),H794))=X794,IF(N(G794)&gt;0,G794&amp;" x "&amp;H794,H794&amp;" reps"),IF(IF(N(J794)=0,0,IF(N(I794)&gt;0,I794*(1+J794/30),J794))=X794,IF(N(I794)&gt;0,I794&amp;" x "&amp;J794,J794&amp;" reps"),IF(IF(N(L794)=0,0,IF(N(K794)&gt;0,K794*(1+L794/30),L794))=X794,IF(N(K794)&gt;0,K794&amp;" x "&amp;L794,L794&amp;" reps"),IF(IF(N(N794)=0,0,IF(N(M794)&gt;0,M794*(1+N794/30),N794))=X794,IF(N(M794)&gt;0,M794&amp;" x "&amp;N794,N794&amp;" reps"),""))))))</f>
        <v/>
      </c>
      <c r="R794" s="20">
        <f>IF(N(X794)=0,"",ROUND(X794,1))</f>
        <v/>
      </c>
      <c r="S794" s="18">
        <f>IF(N(X794)=0,"",IF(AND(COUNTIFS(Log!$D$6:$D$1505,D794,Log!$B$6:$B$1505,"&lt;"&amp;B794)&gt;0,COUNTIFS(Log!$D$6:$D$1505,D794,Log!$B$6:$B$1505,"&lt;"&amp;B794,Log!$X$6:$X$1505,"&gt;="&amp;X794)=0),"New best",""))</f>
        <v/>
      </c>
      <c r="T794" s="26" t="n"/>
      <c r="U794" s="1">
        <f>IF(D794="","",IFERROR(INDEX(Exercises!$C$6:$C$105,MATCH(D794,Exercises!$B$6:$B$105,0)),"Other"))</f>
        <v/>
      </c>
      <c r="V794">
        <f>IF(B794="","",IF(COUNTIF($B$6:B794,B794)=1,1,0))</f>
        <v/>
      </c>
      <c r="W794">
        <f>IF(B794="","",B794-WEEKDAY(B794,3))</f>
        <v/>
      </c>
      <c r="X794">
        <f>IF(D794="","",MAX(IF(N(F794)=0,0,IF(N(E794)&gt;0,E794*(1+F794/30),F794)),IF(N(H794)=0,0,IF(N(G794)&gt;0,G794*(1+H794/30),H794)),IF(N(J794)=0,0,IF(N(I794)&gt;0,I794*(1+J794/30),J794)),IF(N(L794)=0,0,IF(N(K794)&gt;0,K794*(1+L794/30),L794)),IF(N(N794)=0,0,IF(N(M794)&gt;0,M794*(1+N794/30),N794))))</f>
        <v/>
      </c>
      <c r="Y794">
        <f>IF(N(X794)=0,"",X794+ROW()/1000000000)</f>
        <v/>
      </c>
      <c r="Z794">
        <f>IF(Y794="","",IF(COUNTIFS(Log!$D$6:$D$1505,D794,Log!$Y$6:$Y$1505,"&gt;"&amp;Y794)=0,1,0))</f>
        <v/>
      </c>
      <c r="AA794">
        <f>IF(OR(B794="",D794=""),"",B794+ROW()/10000000)</f>
        <v/>
      </c>
      <c r="AB794">
        <f>IF(AA794="","",IF(COUNTIFS(Log!$D$6:$D$1505,D794,Log!$AA$6:$AA$1505,"&gt;"&amp;AA794)=0,1,0))</f>
        <v/>
      </c>
      <c r="AC794">
        <f>IF(S794="New best",AA794,"")</f>
        <v/>
      </c>
      <c r="AD794">
        <f>ROW()</f>
        <v/>
      </c>
    </row>
    <row r="795">
      <c r="A795" s="1" t="n"/>
      <c r="B795" s="21" t="n"/>
      <c r="C795" s="22" t="n"/>
      <c r="D795" s="23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15">
        <f>IF(D795="","",COUNT(F795,H795,J795,L795,N795))</f>
        <v/>
      </c>
      <c r="P795" s="25">
        <f>IF(D795="","",N(E795)*N(F795)+N(G795)*N(H795)+N(I795)*N(J795)+N(K795)*N(L795)+N(M795)*N(N795))</f>
        <v/>
      </c>
      <c r="Q795" s="18">
        <f>IF(N(X795)=0,"",IF(IF(N(F795)=0,0,IF(N(E795)&gt;0,E795*(1+F795/30),F795))=X795,IF(N(E795)&gt;0,E795&amp;" x "&amp;F795,F795&amp;" reps"),IF(IF(N(H795)=0,0,IF(N(G795)&gt;0,G795*(1+H795/30),H795))=X795,IF(N(G795)&gt;0,G795&amp;" x "&amp;H795,H795&amp;" reps"),IF(IF(N(J795)=0,0,IF(N(I795)&gt;0,I795*(1+J795/30),J795))=X795,IF(N(I795)&gt;0,I795&amp;" x "&amp;J795,J795&amp;" reps"),IF(IF(N(L795)=0,0,IF(N(K795)&gt;0,K795*(1+L795/30),L795))=X795,IF(N(K795)&gt;0,K795&amp;" x "&amp;L795,L795&amp;" reps"),IF(IF(N(N795)=0,0,IF(N(M795)&gt;0,M795*(1+N795/30),N795))=X795,IF(N(M795)&gt;0,M795&amp;" x "&amp;N795,N795&amp;" reps"),""))))))</f>
        <v/>
      </c>
      <c r="R795" s="20">
        <f>IF(N(X795)=0,"",ROUND(X795,1))</f>
        <v/>
      </c>
      <c r="S795" s="18">
        <f>IF(N(X795)=0,"",IF(AND(COUNTIFS(Log!$D$6:$D$1505,D795,Log!$B$6:$B$1505,"&lt;"&amp;B795)&gt;0,COUNTIFS(Log!$D$6:$D$1505,D795,Log!$B$6:$B$1505,"&lt;"&amp;B795,Log!$X$6:$X$1505,"&gt;="&amp;X795)=0),"New best",""))</f>
        <v/>
      </c>
      <c r="T795" s="26" t="n"/>
      <c r="U795" s="1">
        <f>IF(D795="","",IFERROR(INDEX(Exercises!$C$6:$C$105,MATCH(D795,Exercises!$B$6:$B$105,0)),"Other"))</f>
        <v/>
      </c>
      <c r="V795">
        <f>IF(B795="","",IF(COUNTIF($B$6:B795,B795)=1,1,0))</f>
        <v/>
      </c>
      <c r="W795">
        <f>IF(B795="","",B795-WEEKDAY(B795,3))</f>
        <v/>
      </c>
      <c r="X795">
        <f>IF(D795="","",MAX(IF(N(F795)=0,0,IF(N(E795)&gt;0,E795*(1+F795/30),F795)),IF(N(H795)=0,0,IF(N(G795)&gt;0,G795*(1+H795/30),H795)),IF(N(J795)=0,0,IF(N(I795)&gt;0,I795*(1+J795/30),J795)),IF(N(L795)=0,0,IF(N(K795)&gt;0,K795*(1+L795/30),L795)),IF(N(N795)=0,0,IF(N(M795)&gt;0,M795*(1+N795/30),N795))))</f>
        <v/>
      </c>
      <c r="Y795">
        <f>IF(N(X795)=0,"",X795+ROW()/1000000000)</f>
        <v/>
      </c>
      <c r="Z795">
        <f>IF(Y795="","",IF(COUNTIFS(Log!$D$6:$D$1505,D795,Log!$Y$6:$Y$1505,"&gt;"&amp;Y795)=0,1,0))</f>
        <v/>
      </c>
      <c r="AA795">
        <f>IF(OR(B795="",D795=""),"",B795+ROW()/10000000)</f>
        <v/>
      </c>
      <c r="AB795">
        <f>IF(AA795="","",IF(COUNTIFS(Log!$D$6:$D$1505,D795,Log!$AA$6:$AA$1505,"&gt;"&amp;AA795)=0,1,0))</f>
        <v/>
      </c>
      <c r="AC795">
        <f>IF(S795="New best",AA795,"")</f>
        <v/>
      </c>
      <c r="AD795">
        <f>ROW()</f>
        <v/>
      </c>
    </row>
    <row r="796">
      <c r="A796" s="1" t="n"/>
      <c r="B796" s="21" t="n"/>
      <c r="C796" s="22" t="n"/>
      <c r="D796" s="23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15">
        <f>IF(D796="","",COUNT(F796,H796,J796,L796,N796))</f>
        <v/>
      </c>
      <c r="P796" s="25">
        <f>IF(D796="","",N(E796)*N(F796)+N(G796)*N(H796)+N(I796)*N(J796)+N(K796)*N(L796)+N(M796)*N(N796))</f>
        <v/>
      </c>
      <c r="Q796" s="18">
        <f>IF(N(X796)=0,"",IF(IF(N(F796)=0,0,IF(N(E796)&gt;0,E796*(1+F796/30),F796))=X796,IF(N(E796)&gt;0,E796&amp;" x "&amp;F796,F796&amp;" reps"),IF(IF(N(H796)=0,0,IF(N(G796)&gt;0,G796*(1+H796/30),H796))=X796,IF(N(G796)&gt;0,G796&amp;" x "&amp;H796,H796&amp;" reps"),IF(IF(N(J796)=0,0,IF(N(I796)&gt;0,I796*(1+J796/30),J796))=X796,IF(N(I796)&gt;0,I796&amp;" x "&amp;J796,J796&amp;" reps"),IF(IF(N(L796)=0,0,IF(N(K796)&gt;0,K796*(1+L796/30),L796))=X796,IF(N(K796)&gt;0,K796&amp;" x "&amp;L796,L796&amp;" reps"),IF(IF(N(N796)=0,0,IF(N(M796)&gt;0,M796*(1+N796/30),N796))=X796,IF(N(M796)&gt;0,M796&amp;" x "&amp;N796,N796&amp;" reps"),""))))))</f>
        <v/>
      </c>
      <c r="R796" s="20">
        <f>IF(N(X796)=0,"",ROUND(X796,1))</f>
        <v/>
      </c>
      <c r="S796" s="18">
        <f>IF(N(X796)=0,"",IF(AND(COUNTIFS(Log!$D$6:$D$1505,D796,Log!$B$6:$B$1505,"&lt;"&amp;B796)&gt;0,COUNTIFS(Log!$D$6:$D$1505,D796,Log!$B$6:$B$1505,"&lt;"&amp;B796,Log!$X$6:$X$1505,"&gt;="&amp;X796)=0),"New best",""))</f>
        <v/>
      </c>
      <c r="T796" s="26" t="n"/>
      <c r="U796" s="1">
        <f>IF(D796="","",IFERROR(INDEX(Exercises!$C$6:$C$105,MATCH(D796,Exercises!$B$6:$B$105,0)),"Other"))</f>
        <v/>
      </c>
      <c r="V796">
        <f>IF(B796="","",IF(COUNTIF($B$6:B796,B796)=1,1,0))</f>
        <v/>
      </c>
      <c r="W796">
        <f>IF(B796="","",B796-WEEKDAY(B796,3))</f>
        <v/>
      </c>
      <c r="X796">
        <f>IF(D796="","",MAX(IF(N(F796)=0,0,IF(N(E796)&gt;0,E796*(1+F796/30),F796)),IF(N(H796)=0,0,IF(N(G796)&gt;0,G796*(1+H796/30),H796)),IF(N(J796)=0,0,IF(N(I796)&gt;0,I796*(1+J796/30),J796)),IF(N(L796)=0,0,IF(N(K796)&gt;0,K796*(1+L796/30),L796)),IF(N(N796)=0,0,IF(N(M796)&gt;0,M796*(1+N796/30),N796))))</f>
        <v/>
      </c>
      <c r="Y796">
        <f>IF(N(X796)=0,"",X796+ROW()/1000000000)</f>
        <v/>
      </c>
      <c r="Z796">
        <f>IF(Y796="","",IF(COUNTIFS(Log!$D$6:$D$1505,D796,Log!$Y$6:$Y$1505,"&gt;"&amp;Y796)=0,1,0))</f>
        <v/>
      </c>
      <c r="AA796">
        <f>IF(OR(B796="",D796=""),"",B796+ROW()/10000000)</f>
        <v/>
      </c>
      <c r="AB796">
        <f>IF(AA796="","",IF(COUNTIFS(Log!$D$6:$D$1505,D796,Log!$AA$6:$AA$1505,"&gt;"&amp;AA796)=0,1,0))</f>
        <v/>
      </c>
      <c r="AC796">
        <f>IF(S796="New best",AA796,"")</f>
        <v/>
      </c>
      <c r="AD796">
        <f>ROW()</f>
        <v/>
      </c>
    </row>
    <row r="797">
      <c r="A797" s="1" t="n"/>
      <c r="B797" s="21" t="n"/>
      <c r="C797" s="22" t="n"/>
      <c r="D797" s="23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15">
        <f>IF(D797="","",COUNT(F797,H797,J797,L797,N797))</f>
        <v/>
      </c>
      <c r="P797" s="25">
        <f>IF(D797="","",N(E797)*N(F797)+N(G797)*N(H797)+N(I797)*N(J797)+N(K797)*N(L797)+N(M797)*N(N797))</f>
        <v/>
      </c>
      <c r="Q797" s="18">
        <f>IF(N(X797)=0,"",IF(IF(N(F797)=0,0,IF(N(E797)&gt;0,E797*(1+F797/30),F797))=X797,IF(N(E797)&gt;0,E797&amp;" x "&amp;F797,F797&amp;" reps"),IF(IF(N(H797)=0,0,IF(N(G797)&gt;0,G797*(1+H797/30),H797))=X797,IF(N(G797)&gt;0,G797&amp;" x "&amp;H797,H797&amp;" reps"),IF(IF(N(J797)=0,0,IF(N(I797)&gt;0,I797*(1+J797/30),J797))=X797,IF(N(I797)&gt;0,I797&amp;" x "&amp;J797,J797&amp;" reps"),IF(IF(N(L797)=0,0,IF(N(K797)&gt;0,K797*(1+L797/30),L797))=X797,IF(N(K797)&gt;0,K797&amp;" x "&amp;L797,L797&amp;" reps"),IF(IF(N(N797)=0,0,IF(N(M797)&gt;0,M797*(1+N797/30),N797))=X797,IF(N(M797)&gt;0,M797&amp;" x "&amp;N797,N797&amp;" reps"),""))))))</f>
        <v/>
      </c>
      <c r="R797" s="20">
        <f>IF(N(X797)=0,"",ROUND(X797,1))</f>
        <v/>
      </c>
      <c r="S797" s="18">
        <f>IF(N(X797)=0,"",IF(AND(COUNTIFS(Log!$D$6:$D$1505,D797,Log!$B$6:$B$1505,"&lt;"&amp;B797)&gt;0,COUNTIFS(Log!$D$6:$D$1505,D797,Log!$B$6:$B$1505,"&lt;"&amp;B797,Log!$X$6:$X$1505,"&gt;="&amp;X797)=0),"New best",""))</f>
        <v/>
      </c>
      <c r="T797" s="26" t="n"/>
      <c r="U797" s="1">
        <f>IF(D797="","",IFERROR(INDEX(Exercises!$C$6:$C$105,MATCH(D797,Exercises!$B$6:$B$105,0)),"Other"))</f>
        <v/>
      </c>
      <c r="V797">
        <f>IF(B797="","",IF(COUNTIF($B$6:B797,B797)=1,1,0))</f>
        <v/>
      </c>
      <c r="W797">
        <f>IF(B797="","",B797-WEEKDAY(B797,3))</f>
        <v/>
      </c>
      <c r="X797">
        <f>IF(D797="","",MAX(IF(N(F797)=0,0,IF(N(E797)&gt;0,E797*(1+F797/30),F797)),IF(N(H797)=0,0,IF(N(G797)&gt;0,G797*(1+H797/30),H797)),IF(N(J797)=0,0,IF(N(I797)&gt;0,I797*(1+J797/30),J797)),IF(N(L797)=0,0,IF(N(K797)&gt;0,K797*(1+L797/30),L797)),IF(N(N797)=0,0,IF(N(M797)&gt;0,M797*(1+N797/30),N797))))</f>
        <v/>
      </c>
      <c r="Y797">
        <f>IF(N(X797)=0,"",X797+ROW()/1000000000)</f>
        <v/>
      </c>
      <c r="Z797">
        <f>IF(Y797="","",IF(COUNTIFS(Log!$D$6:$D$1505,D797,Log!$Y$6:$Y$1505,"&gt;"&amp;Y797)=0,1,0))</f>
        <v/>
      </c>
      <c r="AA797">
        <f>IF(OR(B797="",D797=""),"",B797+ROW()/10000000)</f>
        <v/>
      </c>
      <c r="AB797">
        <f>IF(AA797="","",IF(COUNTIFS(Log!$D$6:$D$1505,D797,Log!$AA$6:$AA$1505,"&gt;"&amp;AA797)=0,1,0))</f>
        <v/>
      </c>
      <c r="AC797">
        <f>IF(S797="New best",AA797,"")</f>
        <v/>
      </c>
      <c r="AD797">
        <f>ROW()</f>
        <v/>
      </c>
    </row>
    <row r="798">
      <c r="A798" s="1" t="n"/>
      <c r="B798" s="21" t="n"/>
      <c r="C798" s="22" t="n"/>
      <c r="D798" s="23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15">
        <f>IF(D798="","",COUNT(F798,H798,J798,L798,N798))</f>
        <v/>
      </c>
      <c r="P798" s="25">
        <f>IF(D798="","",N(E798)*N(F798)+N(G798)*N(H798)+N(I798)*N(J798)+N(K798)*N(L798)+N(M798)*N(N798))</f>
        <v/>
      </c>
      <c r="Q798" s="18">
        <f>IF(N(X798)=0,"",IF(IF(N(F798)=0,0,IF(N(E798)&gt;0,E798*(1+F798/30),F798))=X798,IF(N(E798)&gt;0,E798&amp;" x "&amp;F798,F798&amp;" reps"),IF(IF(N(H798)=0,0,IF(N(G798)&gt;0,G798*(1+H798/30),H798))=X798,IF(N(G798)&gt;0,G798&amp;" x "&amp;H798,H798&amp;" reps"),IF(IF(N(J798)=0,0,IF(N(I798)&gt;0,I798*(1+J798/30),J798))=X798,IF(N(I798)&gt;0,I798&amp;" x "&amp;J798,J798&amp;" reps"),IF(IF(N(L798)=0,0,IF(N(K798)&gt;0,K798*(1+L798/30),L798))=X798,IF(N(K798)&gt;0,K798&amp;" x "&amp;L798,L798&amp;" reps"),IF(IF(N(N798)=0,0,IF(N(M798)&gt;0,M798*(1+N798/30),N798))=X798,IF(N(M798)&gt;0,M798&amp;" x "&amp;N798,N798&amp;" reps"),""))))))</f>
        <v/>
      </c>
      <c r="R798" s="20">
        <f>IF(N(X798)=0,"",ROUND(X798,1))</f>
        <v/>
      </c>
      <c r="S798" s="18">
        <f>IF(N(X798)=0,"",IF(AND(COUNTIFS(Log!$D$6:$D$1505,D798,Log!$B$6:$B$1505,"&lt;"&amp;B798)&gt;0,COUNTIFS(Log!$D$6:$D$1505,D798,Log!$B$6:$B$1505,"&lt;"&amp;B798,Log!$X$6:$X$1505,"&gt;="&amp;X798)=0),"New best",""))</f>
        <v/>
      </c>
      <c r="T798" s="26" t="n"/>
      <c r="U798" s="1">
        <f>IF(D798="","",IFERROR(INDEX(Exercises!$C$6:$C$105,MATCH(D798,Exercises!$B$6:$B$105,0)),"Other"))</f>
        <v/>
      </c>
      <c r="V798">
        <f>IF(B798="","",IF(COUNTIF($B$6:B798,B798)=1,1,0))</f>
        <v/>
      </c>
      <c r="W798">
        <f>IF(B798="","",B798-WEEKDAY(B798,3))</f>
        <v/>
      </c>
      <c r="X798">
        <f>IF(D798="","",MAX(IF(N(F798)=0,0,IF(N(E798)&gt;0,E798*(1+F798/30),F798)),IF(N(H798)=0,0,IF(N(G798)&gt;0,G798*(1+H798/30),H798)),IF(N(J798)=0,0,IF(N(I798)&gt;0,I798*(1+J798/30),J798)),IF(N(L798)=0,0,IF(N(K798)&gt;0,K798*(1+L798/30),L798)),IF(N(N798)=0,0,IF(N(M798)&gt;0,M798*(1+N798/30),N798))))</f>
        <v/>
      </c>
      <c r="Y798">
        <f>IF(N(X798)=0,"",X798+ROW()/1000000000)</f>
        <v/>
      </c>
      <c r="Z798">
        <f>IF(Y798="","",IF(COUNTIFS(Log!$D$6:$D$1505,D798,Log!$Y$6:$Y$1505,"&gt;"&amp;Y798)=0,1,0))</f>
        <v/>
      </c>
      <c r="AA798">
        <f>IF(OR(B798="",D798=""),"",B798+ROW()/10000000)</f>
        <v/>
      </c>
      <c r="AB798">
        <f>IF(AA798="","",IF(COUNTIFS(Log!$D$6:$D$1505,D798,Log!$AA$6:$AA$1505,"&gt;"&amp;AA798)=0,1,0))</f>
        <v/>
      </c>
      <c r="AC798">
        <f>IF(S798="New best",AA798,"")</f>
        <v/>
      </c>
      <c r="AD798">
        <f>ROW()</f>
        <v/>
      </c>
    </row>
    <row r="799">
      <c r="A799" s="1" t="n"/>
      <c r="B799" s="21" t="n"/>
      <c r="C799" s="22" t="n"/>
      <c r="D799" s="23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15">
        <f>IF(D799="","",COUNT(F799,H799,J799,L799,N799))</f>
        <v/>
      </c>
      <c r="P799" s="25">
        <f>IF(D799="","",N(E799)*N(F799)+N(G799)*N(H799)+N(I799)*N(J799)+N(K799)*N(L799)+N(M799)*N(N799))</f>
        <v/>
      </c>
      <c r="Q799" s="18">
        <f>IF(N(X799)=0,"",IF(IF(N(F799)=0,0,IF(N(E799)&gt;0,E799*(1+F799/30),F799))=X799,IF(N(E799)&gt;0,E799&amp;" x "&amp;F799,F799&amp;" reps"),IF(IF(N(H799)=0,0,IF(N(G799)&gt;0,G799*(1+H799/30),H799))=X799,IF(N(G799)&gt;0,G799&amp;" x "&amp;H799,H799&amp;" reps"),IF(IF(N(J799)=0,0,IF(N(I799)&gt;0,I799*(1+J799/30),J799))=X799,IF(N(I799)&gt;0,I799&amp;" x "&amp;J799,J799&amp;" reps"),IF(IF(N(L799)=0,0,IF(N(K799)&gt;0,K799*(1+L799/30),L799))=X799,IF(N(K799)&gt;0,K799&amp;" x "&amp;L799,L799&amp;" reps"),IF(IF(N(N799)=0,0,IF(N(M799)&gt;0,M799*(1+N799/30),N799))=X799,IF(N(M799)&gt;0,M799&amp;" x "&amp;N799,N799&amp;" reps"),""))))))</f>
        <v/>
      </c>
      <c r="R799" s="20">
        <f>IF(N(X799)=0,"",ROUND(X799,1))</f>
        <v/>
      </c>
      <c r="S799" s="18">
        <f>IF(N(X799)=0,"",IF(AND(COUNTIFS(Log!$D$6:$D$1505,D799,Log!$B$6:$B$1505,"&lt;"&amp;B799)&gt;0,COUNTIFS(Log!$D$6:$D$1505,D799,Log!$B$6:$B$1505,"&lt;"&amp;B799,Log!$X$6:$X$1505,"&gt;="&amp;X799)=0),"New best",""))</f>
        <v/>
      </c>
      <c r="T799" s="26" t="n"/>
      <c r="U799" s="1">
        <f>IF(D799="","",IFERROR(INDEX(Exercises!$C$6:$C$105,MATCH(D799,Exercises!$B$6:$B$105,0)),"Other"))</f>
        <v/>
      </c>
      <c r="V799">
        <f>IF(B799="","",IF(COUNTIF($B$6:B799,B799)=1,1,0))</f>
        <v/>
      </c>
      <c r="W799">
        <f>IF(B799="","",B799-WEEKDAY(B799,3))</f>
        <v/>
      </c>
      <c r="X799">
        <f>IF(D799="","",MAX(IF(N(F799)=0,0,IF(N(E799)&gt;0,E799*(1+F799/30),F799)),IF(N(H799)=0,0,IF(N(G799)&gt;0,G799*(1+H799/30),H799)),IF(N(J799)=0,0,IF(N(I799)&gt;0,I799*(1+J799/30),J799)),IF(N(L799)=0,0,IF(N(K799)&gt;0,K799*(1+L799/30),L799)),IF(N(N799)=0,0,IF(N(M799)&gt;0,M799*(1+N799/30),N799))))</f>
        <v/>
      </c>
      <c r="Y799">
        <f>IF(N(X799)=0,"",X799+ROW()/1000000000)</f>
        <v/>
      </c>
      <c r="Z799">
        <f>IF(Y799="","",IF(COUNTIFS(Log!$D$6:$D$1505,D799,Log!$Y$6:$Y$1505,"&gt;"&amp;Y799)=0,1,0))</f>
        <v/>
      </c>
      <c r="AA799">
        <f>IF(OR(B799="",D799=""),"",B799+ROW()/10000000)</f>
        <v/>
      </c>
      <c r="AB799">
        <f>IF(AA799="","",IF(COUNTIFS(Log!$D$6:$D$1505,D799,Log!$AA$6:$AA$1505,"&gt;"&amp;AA799)=0,1,0))</f>
        <v/>
      </c>
      <c r="AC799">
        <f>IF(S799="New best",AA799,"")</f>
        <v/>
      </c>
      <c r="AD799">
        <f>ROW()</f>
        <v/>
      </c>
    </row>
    <row r="800">
      <c r="A800" s="1" t="n"/>
      <c r="B800" s="21" t="n"/>
      <c r="C800" s="22" t="n"/>
      <c r="D800" s="23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15">
        <f>IF(D800="","",COUNT(F800,H800,J800,L800,N800))</f>
        <v/>
      </c>
      <c r="P800" s="25">
        <f>IF(D800="","",N(E800)*N(F800)+N(G800)*N(H800)+N(I800)*N(J800)+N(K800)*N(L800)+N(M800)*N(N800))</f>
        <v/>
      </c>
      <c r="Q800" s="18">
        <f>IF(N(X800)=0,"",IF(IF(N(F800)=0,0,IF(N(E800)&gt;0,E800*(1+F800/30),F800))=X800,IF(N(E800)&gt;0,E800&amp;" x "&amp;F800,F800&amp;" reps"),IF(IF(N(H800)=0,0,IF(N(G800)&gt;0,G800*(1+H800/30),H800))=X800,IF(N(G800)&gt;0,G800&amp;" x "&amp;H800,H800&amp;" reps"),IF(IF(N(J800)=0,0,IF(N(I800)&gt;0,I800*(1+J800/30),J800))=X800,IF(N(I800)&gt;0,I800&amp;" x "&amp;J800,J800&amp;" reps"),IF(IF(N(L800)=0,0,IF(N(K800)&gt;0,K800*(1+L800/30),L800))=X800,IF(N(K800)&gt;0,K800&amp;" x "&amp;L800,L800&amp;" reps"),IF(IF(N(N800)=0,0,IF(N(M800)&gt;0,M800*(1+N800/30),N800))=X800,IF(N(M800)&gt;0,M800&amp;" x "&amp;N800,N800&amp;" reps"),""))))))</f>
        <v/>
      </c>
      <c r="R800" s="20">
        <f>IF(N(X800)=0,"",ROUND(X800,1))</f>
        <v/>
      </c>
      <c r="S800" s="18">
        <f>IF(N(X800)=0,"",IF(AND(COUNTIFS(Log!$D$6:$D$1505,D800,Log!$B$6:$B$1505,"&lt;"&amp;B800)&gt;0,COUNTIFS(Log!$D$6:$D$1505,D800,Log!$B$6:$B$1505,"&lt;"&amp;B800,Log!$X$6:$X$1505,"&gt;="&amp;X800)=0),"New best",""))</f>
        <v/>
      </c>
      <c r="T800" s="26" t="n"/>
      <c r="U800" s="1">
        <f>IF(D800="","",IFERROR(INDEX(Exercises!$C$6:$C$105,MATCH(D800,Exercises!$B$6:$B$105,0)),"Other"))</f>
        <v/>
      </c>
      <c r="V800">
        <f>IF(B800="","",IF(COUNTIF($B$6:B800,B800)=1,1,0))</f>
        <v/>
      </c>
      <c r="W800">
        <f>IF(B800="","",B800-WEEKDAY(B800,3))</f>
        <v/>
      </c>
      <c r="X800">
        <f>IF(D800="","",MAX(IF(N(F800)=0,0,IF(N(E800)&gt;0,E800*(1+F800/30),F800)),IF(N(H800)=0,0,IF(N(G800)&gt;0,G800*(1+H800/30),H800)),IF(N(J800)=0,0,IF(N(I800)&gt;0,I800*(1+J800/30),J800)),IF(N(L800)=0,0,IF(N(K800)&gt;0,K800*(1+L800/30),L800)),IF(N(N800)=0,0,IF(N(M800)&gt;0,M800*(1+N800/30),N800))))</f>
        <v/>
      </c>
      <c r="Y800">
        <f>IF(N(X800)=0,"",X800+ROW()/1000000000)</f>
        <v/>
      </c>
      <c r="Z800">
        <f>IF(Y800="","",IF(COUNTIFS(Log!$D$6:$D$1505,D800,Log!$Y$6:$Y$1505,"&gt;"&amp;Y800)=0,1,0))</f>
        <v/>
      </c>
      <c r="AA800">
        <f>IF(OR(B800="",D800=""),"",B800+ROW()/10000000)</f>
        <v/>
      </c>
      <c r="AB800">
        <f>IF(AA800="","",IF(COUNTIFS(Log!$D$6:$D$1505,D800,Log!$AA$6:$AA$1505,"&gt;"&amp;AA800)=0,1,0))</f>
        <v/>
      </c>
      <c r="AC800">
        <f>IF(S800="New best",AA800,"")</f>
        <v/>
      </c>
      <c r="AD800">
        <f>ROW()</f>
        <v/>
      </c>
    </row>
    <row r="801">
      <c r="A801" s="1" t="n"/>
      <c r="B801" s="21" t="n"/>
      <c r="C801" s="22" t="n"/>
      <c r="D801" s="23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15">
        <f>IF(D801="","",COUNT(F801,H801,J801,L801,N801))</f>
        <v/>
      </c>
      <c r="P801" s="25">
        <f>IF(D801="","",N(E801)*N(F801)+N(G801)*N(H801)+N(I801)*N(J801)+N(K801)*N(L801)+N(M801)*N(N801))</f>
        <v/>
      </c>
      <c r="Q801" s="18">
        <f>IF(N(X801)=0,"",IF(IF(N(F801)=0,0,IF(N(E801)&gt;0,E801*(1+F801/30),F801))=X801,IF(N(E801)&gt;0,E801&amp;" x "&amp;F801,F801&amp;" reps"),IF(IF(N(H801)=0,0,IF(N(G801)&gt;0,G801*(1+H801/30),H801))=X801,IF(N(G801)&gt;0,G801&amp;" x "&amp;H801,H801&amp;" reps"),IF(IF(N(J801)=0,0,IF(N(I801)&gt;0,I801*(1+J801/30),J801))=X801,IF(N(I801)&gt;0,I801&amp;" x "&amp;J801,J801&amp;" reps"),IF(IF(N(L801)=0,0,IF(N(K801)&gt;0,K801*(1+L801/30),L801))=X801,IF(N(K801)&gt;0,K801&amp;" x "&amp;L801,L801&amp;" reps"),IF(IF(N(N801)=0,0,IF(N(M801)&gt;0,M801*(1+N801/30),N801))=X801,IF(N(M801)&gt;0,M801&amp;" x "&amp;N801,N801&amp;" reps"),""))))))</f>
        <v/>
      </c>
      <c r="R801" s="20">
        <f>IF(N(X801)=0,"",ROUND(X801,1))</f>
        <v/>
      </c>
      <c r="S801" s="18">
        <f>IF(N(X801)=0,"",IF(AND(COUNTIFS(Log!$D$6:$D$1505,D801,Log!$B$6:$B$1505,"&lt;"&amp;B801)&gt;0,COUNTIFS(Log!$D$6:$D$1505,D801,Log!$B$6:$B$1505,"&lt;"&amp;B801,Log!$X$6:$X$1505,"&gt;="&amp;X801)=0),"New best",""))</f>
        <v/>
      </c>
      <c r="T801" s="26" t="n"/>
      <c r="U801" s="1">
        <f>IF(D801="","",IFERROR(INDEX(Exercises!$C$6:$C$105,MATCH(D801,Exercises!$B$6:$B$105,0)),"Other"))</f>
        <v/>
      </c>
      <c r="V801">
        <f>IF(B801="","",IF(COUNTIF($B$6:B801,B801)=1,1,0))</f>
        <v/>
      </c>
      <c r="W801">
        <f>IF(B801="","",B801-WEEKDAY(B801,3))</f>
        <v/>
      </c>
      <c r="X801">
        <f>IF(D801="","",MAX(IF(N(F801)=0,0,IF(N(E801)&gt;0,E801*(1+F801/30),F801)),IF(N(H801)=0,0,IF(N(G801)&gt;0,G801*(1+H801/30),H801)),IF(N(J801)=0,0,IF(N(I801)&gt;0,I801*(1+J801/30),J801)),IF(N(L801)=0,0,IF(N(K801)&gt;0,K801*(1+L801/30),L801)),IF(N(N801)=0,0,IF(N(M801)&gt;0,M801*(1+N801/30),N801))))</f>
        <v/>
      </c>
      <c r="Y801">
        <f>IF(N(X801)=0,"",X801+ROW()/1000000000)</f>
        <v/>
      </c>
      <c r="Z801">
        <f>IF(Y801="","",IF(COUNTIFS(Log!$D$6:$D$1505,D801,Log!$Y$6:$Y$1505,"&gt;"&amp;Y801)=0,1,0))</f>
        <v/>
      </c>
      <c r="AA801">
        <f>IF(OR(B801="",D801=""),"",B801+ROW()/10000000)</f>
        <v/>
      </c>
      <c r="AB801">
        <f>IF(AA801="","",IF(COUNTIFS(Log!$D$6:$D$1505,D801,Log!$AA$6:$AA$1505,"&gt;"&amp;AA801)=0,1,0))</f>
        <v/>
      </c>
      <c r="AC801">
        <f>IF(S801="New best",AA801,"")</f>
        <v/>
      </c>
      <c r="AD801">
        <f>ROW()</f>
        <v/>
      </c>
    </row>
    <row r="802">
      <c r="A802" s="1" t="n"/>
      <c r="B802" s="21" t="n"/>
      <c r="C802" s="22" t="n"/>
      <c r="D802" s="23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15">
        <f>IF(D802="","",COUNT(F802,H802,J802,L802,N802))</f>
        <v/>
      </c>
      <c r="P802" s="25">
        <f>IF(D802="","",N(E802)*N(F802)+N(G802)*N(H802)+N(I802)*N(J802)+N(K802)*N(L802)+N(M802)*N(N802))</f>
        <v/>
      </c>
      <c r="Q802" s="18">
        <f>IF(N(X802)=0,"",IF(IF(N(F802)=0,0,IF(N(E802)&gt;0,E802*(1+F802/30),F802))=X802,IF(N(E802)&gt;0,E802&amp;" x "&amp;F802,F802&amp;" reps"),IF(IF(N(H802)=0,0,IF(N(G802)&gt;0,G802*(1+H802/30),H802))=X802,IF(N(G802)&gt;0,G802&amp;" x "&amp;H802,H802&amp;" reps"),IF(IF(N(J802)=0,0,IF(N(I802)&gt;0,I802*(1+J802/30),J802))=X802,IF(N(I802)&gt;0,I802&amp;" x "&amp;J802,J802&amp;" reps"),IF(IF(N(L802)=0,0,IF(N(K802)&gt;0,K802*(1+L802/30),L802))=X802,IF(N(K802)&gt;0,K802&amp;" x "&amp;L802,L802&amp;" reps"),IF(IF(N(N802)=0,0,IF(N(M802)&gt;0,M802*(1+N802/30),N802))=X802,IF(N(M802)&gt;0,M802&amp;" x "&amp;N802,N802&amp;" reps"),""))))))</f>
        <v/>
      </c>
      <c r="R802" s="20">
        <f>IF(N(X802)=0,"",ROUND(X802,1))</f>
        <v/>
      </c>
      <c r="S802" s="18">
        <f>IF(N(X802)=0,"",IF(AND(COUNTIFS(Log!$D$6:$D$1505,D802,Log!$B$6:$B$1505,"&lt;"&amp;B802)&gt;0,COUNTIFS(Log!$D$6:$D$1505,D802,Log!$B$6:$B$1505,"&lt;"&amp;B802,Log!$X$6:$X$1505,"&gt;="&amp;X802)=0),"New best",""))</f>
        <v/>
      </c>
      <c r="T802" s="26" t="n"/>
      <c r="U802" s="1">
        <f>IF(D802="","",IFERROR(INDEX(Exercises!$C$6:$C$105,MATCH(D802,Exercises!$B$6:$B$105,0)),"Other"))</f>
        <v/>
      </c>
      <c r="V802">
        <f>IF(B802="","",IF(COUNTIF($B$6:B802,B802)=1,1,0))</f>
        <v/>
      </c>
      <c r="W802">
        <f>IF(B802="","",B802-WEEKDAY(B802,3))</f>
        <v/>
      </c>
      <c r="X802">
        <f>IF(D802="","",MAX(IF(N(F802)=0,0,IF(N(E802)&gt;0,E802*(1+F802/30),F802)),IF(N(H802)=0,0,IF(N(G802)&gt;0,G802*(1+H802/30),H802)),IF(N(J802)=0,0,IF(N(I802)&gt;0,I802*(1+J802/30),J802)),IF(N(L802)=0,0,IF(N(K802)&gt;0,K802*(1+L802/30),L802)),IF(N(N802)=0,0,IF(N(M802)&gt;0,M802*(1+N802/30),N802))))</f>
        <v/>
      </c>
      <c r="Y802">
        <f>IF(N(X802)=0,"",X802+ROW()/1000000000)</f>
        <v/>
      </c>
      <c r="Z802">
        <f>IF(Y802="","",IF(COUNTIFS(Log!$D$6:$D$1505,D802,Log!$Y$6:$Y$1505,"&gt;"&amp;Y802)=0,1,0))</f>
        <v/>
      </c>
      <c r="AA802">
        <f>IF(OR(B802="",D802=""),"",B802+ROW()/10000000)</f>
        <v/>
      </c>
      <c r="AB802">
        <f>IF(AA802="","",IF(COUNTIFS(Log!$D$6:$D$1505,D802,Log!$AA$6:$AA$1505,"&gt;"&amp;AA802)=0,1,0))</f>
        <v/>
      </c>
      <c r="AC802">
        <f>IF(S802="New best",AA802,"")</f>
        <v/>
      </c>
      <c r="AD802">
        <f>ROW()</f>
        <v/>
      </c>
    </row>
    <row r="803">
      <c r="A803" s="1" t="n"/>
      <c r="B803" s="21" t="n"/>
      <c r="C803" s="22" t="n"/>
      <c r="D803" s="23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15">
        <f>IF(D803="","",COUNT(F803,H803,J803,L803,N803))</f>
        <v/>
      </c>
      <c r="P803" s="25">
        <f>IF(D803="","",N(E803)*N(F803)+N(G803)*N(H803)+N(I803)*N(J803)+N(K803)*N(L803)+N(M803)*N(N803))</f>
        <v/>
      </c>
      <c r="Q803" s="18">
        <f>IF(N(X803)=0,"",IF(IF(N(F803)=0,0,IF(N(E803)&gt;0,E803*(1+F803/30),F803))=X803,IF(N(E803)&gt;0,E803&amp;" x "&amp;F803,F803&amp;" reps"),IF(IF(N(H803)=0,0,IF(N(G803)&gt;0,G803*(1+H803/30),H803))=X803,IF(N(G803)&gt;0,G803&amp;" x "&amp;H803,H803&amp;" reps"),IF(IF(N(J803)=0,0,IF(N(I803)&gt;0,I803*(1+J803/30),J803))=X803,IF(N(I803)&gt;0,I803&amp;" x "&amp;J803,J803&amp;" reps"),IF(IF(N(L803)=0,0,IF(N(K803)&gt;0,K803*(1+L803/30),L803))=X803,IF(N(K803)&gt;0,K803&amp;" x "&amp;L803,L803&amp;" reps"),IF(IF(N(N803)=0,0,IF(N(M803)&gt;0,M803*(1+N803/30),N803))=X803,IF(N(M803)&gt;0,M803&amp;" x "&amp;N803,N803&amp;" reps"),""))))))</f>
        <v/>
      </c>
      <c r="R803" s="20">
        <f>IF(N(X803)=0,"",ROUND(X803,1))</f>
        <v/>
      </c>
      <c r="S803" s="18">
        <f>IF(N(X803)=0,"",IF(AND(COUNTIFS(Log!$D$6:$D$1505,D803,Log!$B$6:$B$1505,"&lt;"&amp;B803)&gt;0,COUNTIFS(Log!$D$6:$D$1505,D803,Log!$B$6:$B$1505,"&lt;"&amp;B803,Log!$X$6:$X$1505,"&gt;="&amp;X803)=0),"New best",""))</f>
        <v/>
      </c>
      <c r="T803" s="26" t="n"/>
      <c r="U803" s="1">
        <f>IF(D803="","",IFERROR(INDEX(Exercises!$C$6:$C$105,MATCH(D803,Exercises!$B$6:$B$105,0)),"Other"))</f>
        <v/>
      </c>
      <c r="V803">
        <f>IF(B803="","",IF(COUNTIF($B$6:B803,B803)=1,1,0))</f>
        <v/>
      </c>
      <c r="W803">
        <f>IF(B803="","",B803-WEEKDAY(B803,3))</f>
        <v/>
      </c>
      <c r="X803">
        <f>IF(D803="","",MAX(IF(N(F803)=0,0,IF(N(E803)&gt;0,E803*(1+F803/30),F803)),IF(N(H803)=0,0,IF(N(G803)&gt;0,G803*(1+H803/30),H803)),IF(N(J803)=0,0,IF(N(I803)&gt;0,I803*(1+J803/30),J803)),IF(N(L803)=0,0,IF(N(K803)&gt;0,K803*(1+L803/30),L803)),IF(N(N803)=0,0,IF(N(M803)&gt;0,M803*(1+N803/30),N803))))</f>
        <v/>
      </c>
      <c r="Y803">
        <f>IF(N(X803)=0,"",X803+ROW()/1000000000)</f>
        <v/>
      </c>
      <c r="Z803">
        <f>IF(Y803="","",IF(COUNTIFS(Log!$D$6:$D$1505,D803,Log!$Y$6:$Y$1505,"&gt;"&amp;Y803)=0,1,0))</f>
        <v/>
      </c>
      <c r="AA803">
        <f>IF(OR(B803="",D803=""),"",B803+ROW()/10000000)</f>
        <v/>
      </c>
      <c r="AB803">
        <f>IF(AA803="","",IF(COUNTIFS(Log!$D$6:$D$1505,D803,Log!$AA$6:$AA$1505,"&gt;"&amp;AA803)=0,1,0))</f>
        <v/>
      </c>
      <c r="AC803">
        <f>IF(S803="New best",AA803,"")</f>
        <v/>
      </c>
      <c r="AD803">
        <f>ROW()</f>
        <v/>
      </c>
    </row>
    <row r="804">
      <c r="A804" s="1" t="n"/>
      <c r="B804" s="21" t="n"/>
      <c r="C804" s="22" t="n"/>
      <c r="D804" s="23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15">
        <f>IF(D804="","",COUNT(F804,H804,J804,L804,N804))</f>
        <v/>
      </c>
      <c r="P804" s="25">
        <f>IF(D804="","",N(E804)*N(F804)+N(G804)*N(H804)+N(I804)*N(J804)+N(K804)*N(L804)+N(M804)*N(N804))</f>
        <v/>
      </c>
      <c r="Q804" s="18">
        <f>IF(N(X804)=0,"",IF(IF(N(F804)=0,0,IF(N(E804)&gt;0,E804*(1+F804/30),F804))=X804,IF(N(E804)&gt;0,E804&amp;" x "&amp;F804,F804&amp;" reps"),IF(IF(N(H804)=0,0,IF(N(G804)&gt;0,G804*(1+H804/30),H804))=X804,IF(N(G804)&gt;0,G804&amp;" x "&amp;H804,H804&amp;" reps"),IF(IF(N(J804)=0,0,IF(N(I804)&gt;0,I804*(1+J804/30),J804))=X804,IF(N(I804)&gt;0,I804&amp;" x "&amp;J804,J804&amp;" reps"),IF(IF(N(L804)=0,0,IF(N(K804)&gt;0,K804*(1+L804/30),L804))=X804,IF(N(K804)&gt;0,K804&amp;" x "&amp;L804,L804&amp;" reps"),IF(IF(N(N804)=0,0,IF(N(M804)&gt;0,M804*(1+N804/30),N804))=X804,IF(N(M804)&gt;0,M804&amp;" x "&amp;N804,N804&amp;" reps"),""))))))</f>
        <v/>
      </c>
      <c r="R804" s="20">
        <f>IF(N(X804)=0,"",ROUND(X804,1))</f>
        <v/>
      </c>
      <c r="S804" s="18">
        <f>IF(N(X804)=0,"",IF(AND(COUNTIFS(Log!$D$6:$D$1505,D804,Log!$B$6:$B$1505,"&lt;"&amp;B804)&gt;0,COUNTIFS(Log!$D$6:$D$1505,D804,Log!$B$6:$B$1505,"&lt;"&amp;B804,Log!$X$6:$X$1505,"&gt;="&amp;X804)=0),"New best",""))</f>
        <v/>
      </c>
      <c r="T804" s="26" t="n"/>
      <c r="U804" s="1">
        <f>IF(D804="","",IFERROR(INDEX(Exercises!$C$6:$C$105,MATCH(D804,Exercises!$B$6:$B$105,0)),"Other"))</f>
        <v/>
      </c>
      <c r="V804">
        <f>IF(B804="","",IF(COUNTIF($B$6:B804,B804)=1,1,0))</f>
        <v/>
      </c>
      <c r="W804">
        <f>IF(B804="","",B804-WEEKDAY(B804,3))</f>
        <v/>
      </c>
      <c r="X804">
        <f>IF(D804="","",MAX(IF(N(F804)=0,0,IF(N(E804)&gt;0,E804*(1+F804/30),F804)),IF(N(H804)=0,0,IF(N(G804)&gt;0,G804*(1+H804/30),H804)),IF(N(J804)=0,0,IF(N(I804)&gt;0,I804*(1+J804/30),J804)),IF(N(L804)=0,0,IF(N(K804)&gt;0,K804*(1+L804/30),L804)),IF(N(N804)=0,0,IF(N(M804)&gt;0,M804*(1+N804/30),N804))))</f>
        <v/>
      </c>
      <c r="Y804">
        <f>IF(N(X804)=0,"",X804+ROW()/1000000000)</f>
        <v/>
      </c>
      <c r="Z804">
        <f>IF(Y804="","",IF(COUNTIFS(Log!$D$6:$D$1505,D804,Log!$Y$6:$Y$1505,"&gt;"&amp;Y804)=0,1,0))</f>
        <v/>
      </c>
      <c r="AA804">
        <f>IF(OR(B804="",D804=""),"",B804+ROW()/10000000)</f>
        <v/>
      </c>
      <c r="AB804">
        <f>IF(AA804="","",IF(COUNTIFS(Log!$D$6:$D$1505,D804,Log!$AA$6:$AA$1505,"&gt;"&amp;AA804)=0,1,0))</f>
        <v/>
      </c>
      <c r="AC804">
        <f>IF(S804="New best",AA804,"")</f>
        <v/>
      </c>
      <c r="AD804">
        <f>ROW()</f>
        <v/>
      </c>
    </row>
    <row r="805">
      <c r="A805" s="1" t="n"/>
      <c r="B805" s="21" t="n"/>
      <c r="C805" s="22" t="n"/>
      <c r="D805" s="23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15">
        <f>IF(D805="","",COUNT(F805,H805,J805,L805,N805))</f>
        <v/>
      </c>
      <c r="P805" s="25">
        <f>IF(D805="","",N(E805)*N(F805)+N(G805)*N(H805)+N(I805)*N(J805)+N(K805)*N(L805)+N(M805)*N(N805))</f>
        <v/>
      </c>
      <c r="Q805" s="18">
        <f>IF(N(X805)=0,"",IF(IF(N(F805)=0,0,IF(N(E805)&gt;0,E805*(1+F805/30),F805))=X805,IF(N(E805)&gt;0,E805&amp;" x "&amp;F805,F805&amp;" reps"),IF(IF(N(H805)=0,0,IF(N(G805)&gt;0,G805*(1+H805/30),H805))=X805,IF(N(G805)&gt;0,G805&amp;" x "&amp;H805,H805&amp;" reps"),IF(IF(N(J805)=0,0,IF(N(I805)&gt;0,I805*(1+J805/30),J805))=X805,IF(N(I805)&gt;0,I805&amp;" x "&amp;J805,J805&amp;" reps"),IF(IF(N(L805)=0,0,IF(N(K805)&gt;0,K805*(1+L805/30),L805))=X805,IF(N(K805)&gt;0,K805&amp;" x "&amp;L805,L805&amp;" reps"),IF(IF(N(N805)=0,0,IF(N(M805)&gt;0,M805*(1+N805/30),N805))=X805,IF(N(M805)&gt;0,M805&amp;" x "&amp;N805,N805&amp;" reps"),""))))))</f>
        <v/>
      </c>
      <c r="R805" s="20">
        <f>IF(N(X805)=0,"",ROUND(X805,1))</f>
        <v/>
      </c>
      <c r="S805" s="18">
        <f>IF(N(X805)=0,"",IF(AND(COUNTIFS(Log!$D$6:$D$1505,D805,Log!$B$6:$B$1505,"&lt;"&amp;B805)&gt;0,COUNTIFS(Log!$D$6:$D$1505,D805,Log!$B$6:$B$1505,"&lt;"&amp;B805,Log!$X$6:$X$1505,"&gt;="&amp;X805)=0),"New best",""))</f>
        <v/>
      </c>
      <c r="T805" s="26" t="n"/>
      <c r="U805" s="1">
        <f>IF(D805="","",IFERROR(INDEX(Exercises!$C$6:$C$105,MATCH(D805,Exercises!$B$6:$B$105,0)),"Other"))</f>
        <v/>
      </c>
      <c r="V805">
        <f>IF(B805="","",IF(COUNTIF($B$6:B805,B805)=1,1,0))</f>
        <v/>
      </c>
      <c r="W805">
        <f>IF(B805="","",B805-WEEKDAY(B805,3))</f>
        <v/>
      </c>
      <c r="X805">
        <f>IF(D805="","",MAX(IF(N(F805)=0,0,IF(N(E805)&gt;0,E805*(1+F805/30),F805)),IF(N(H805)=0,0,IF(N(G805)&gt;0,G805*(1+H805/30),H805)),IF(N(J805)=0,0,IF(N(I805)&gt;0,I805*(1+J805/30),J805)),IF(N(L805)=0,0,IF(N(K805)&gt;0,K805*(1+L805/30),L805)),IF(N(N805)=0,0,IF(N(M805)&gt;0,M805*(1+N805/30),N805))))</f>
        <v/>
      </c>
      <c r="Y805">
        <f>IF(N(X805)=0,"",X805+ROW()/1000000000)</f>
        <v/>
      </c>
      <c r="Z805">
        <f>IF(Y805="","",IF(COUNTIFS(Log!$D$6:$D$1505,D805,Log!$Y$6:$Y$1505,"&gt;"&amp;Y805)=0,1,0))</f>
        <v/>
      </c>
      <c r="AA805">
        <f>IF(OR(B805="",D805=""),"",B805+ROW()/10000000)</f>
        <v/>
      </c>
      <c r="AB805">
        <f>IF(AA805="","",IF(COUNTIFS(Log!$D$6:$D$1505,D805,Log!$AA$6:$AA$1505,"&gt;"&amp;AA805)=0,1,0))</f>
        <v/>
      </c>
      <c r="AC805">
        <f>IF(S805="New best",AA805,"")</f>
        <v/>
      </c>
      <c r="AD805">
        <f>ROW()</f>
        <v/>
      </c>
    </row>
    <row r="806">
      <c r="A806" s="1" t="n"/>
      <c r="B806" s="21" t="n"/>
      <c r="C806" s="22" t="n"/>
      <c r="D806" s="23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15">
        <f>IF(D806="","",COUNT(F806,H806,J806,L806,N806))</f>
        <v/>
      </c>
      <c r="P806" s="25">
        <f>IF(D806="","",N(E806)*N(F806)+N(G806)*N(H806)+N(I806)*N(J806)+N(K806)*N(L806)+N(M806)*N(N806))</f>
        <v/>
      </c>
      <c r="Q806" s="18">
        <f>IF(N(X806)=0,"",IF(IF(N(F806)=0,0,IF(N(E806)&gt;0,E806*(1+F806/30),F806))=X806,IF(N(E806)&gt;0,E806&amp;" x "&amp;F806,F806&amp;" reps"),IF(IF(N(H806)=0,0,IF(N(G806)&gt;0,G806*(1+H806/30),H806))=X806,IF(N(G806)&gt;0,G806&amp;" x "&amp;H806,H806&amp;" reps"),IF(IF(N(J806)=0,0,IF(N(I806)&gt;0,I806*(1+J806/30),J806))=X806,IF(N(I806)&gt;0,I806&amp;" x "&amp;J806,J806&amp;" reps"),IF(IF(N(L806)=0,0,IF(N(K806)&gt;0,K806*(1+L806/30),L806))=X806,IF(N(K806)&gt;0,K806&amp;" x "&amp;L806,L806&amp;" reps"),IF(IF(N(N806)=0,0,IF(N(M806)&gt;0,M806*(1+N806/30),N806))=X806,IF(N(M806)&gt;0,M806&amp;" x "&amp;N806,N806&amp;" reps"),""))))))</f>
        <v/>
      </c>
      <c r="R806" s="20">
        <f>IF(N(X806)=0,"",ROUND(X806,1))</f>
        <v/>
      </c>
      <c r="S806" s="18">
        <f>IF(N(X806)=0,"",IF(AND(COUNTIFS(Log!$D$6:$D$1505,D806,Log!$B$6:$B$1505,"&lt;"&amp;B806)&gt;0,COUNTIFS(Log!$D$6:$D$1505,D806,Log!$B$6:$B$1505,"&lt;"&amp;B806,Log!$X$6:$X$1505,"&gt;="&amp;X806)=0),"New best",""))</f>
        <v/>
      </c>
      <c r="T806" s="26" t="n"/>
      <c r="U806" s="1">
        <f>IF(D806="","",IFERROR(INDEX(Exercises!$C$6:$C$105,MATCH(D806,Exercises!$B$6:$B$105,0)),"Other"))</f>
        <v/>
      </c>
      <c r="V806">
        <f>IF(B806="","",IF(COUNTIF($B$6:B806,B806)=1,1,0))</f>
        <v/>
      </c>
      <c r="W806">
        <f>IF(B806="","",B806-WEEKDAY(B806,3))</f>
        <v/>
      </c>
      <c r="X806">
        <f>IF(D806="","",MAX(IF(N(F806)=0,0,IF(N(E806)&gt;0,E806*(1+F806/30),F806)),IF(N(H806)=0,0,IF(N(G806)&gt;0,G806*(1+H806/30),H806)),IF(N(J806)=0,0,IF(N(I806)&gt;0,I806*(1+J806/30),J806)),IF(N(L806)=0,0,IF(N(K806)&gt;0,K806*(1+L806/30),L806)),IF(N(N806)=0,0,IF(N(M806)&gt;0,M806*(1+N806/30),N806))))</f>
        <v/>
      </c>
      <c r="Y806">
        <f>IF(N(X806)=0,"",X806+ROW()/1000000000)</f>
        <v/>
      </c>
      <c r="Z806">
        <f>IF(Y806="","",IF(COUNTIFS(Log!$D$6:$D$1505,D806,Log!$Y$6:$Y$1505,"&gt;"&amp;Y806)=0,1,0))</f>
        <v/>
      </c>
      <c r="AA806">
        <f>IF(OR(B806="",D806=""),"",B806+ROW()/10000000)</f>
        <v/>
      </c>
      <c r="AB806">
        <f>IF(AA806="","",IF(COUNTIFS(Log!$D$6:$D$1505,D806,Log!$AA$6:$AA$1505,"&gt;"&amp;AA806)=0,1,0))</f>
        <v/>
      </c>
      <c r="AC806">
        <f>IF(S806="New best",AA806,"")</f>
        <v/>
      </c>
      <c r="AD806">
        <f>ROW()</f>
        <v/>
      </c>
    </row>
    <row r="807">
      <c r="A807" s="1" t="n"/>
      <c r="B807" s="21" t="n"/>
      <c r="C807" s="22" t="n"/>
      <c r="D807" s="23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15">
        <f>IF(D807="","",COUNT(F807,H807,J807,L807,N807))</f>
        <v/>
      </c>
      <c r="P807" s="25">
        <f>IF(D807="","",N(E807)*N(F807)+N(G807)*N(H807)+N(I807)*N(J807)+N(K807)*N(L807)+N(M807)*N(N807))</f>
        <v/>
      </c>
      <c r="Q807" s="18">
        <f>IF(N(X807)=0,"",IF(IF(N(F807)=0,0,IF(N(E807)&gt;0,E807*(1+F807/30),F807))=X807,IF(N(E807)&gt;0,E807&amp;" x "&amp;F807,F807&amp;" reps"),IF(IF(N(H807)=0,0,IF(N(G807)&gt;0,G807*(1+H807/30),H807))=X807,IF(N(G807)&gt;0,G807&amp;" x "&amp;H807,H807&amp;" reps"),IF(IF(N(J807)=0,0,IF(N(I807)&gt;0,I807*(1+J807/30),J807))=X807,IF(N(I807)&gt;0,I807&amp;" x "&amp;J807,J807&amp;" reps"),IF(IF(N(L807)=0,0,IF(N(K807)&gt;0,K807*(1+L807/30),L807))=X807,IF(N(K807)&gt;0,K807&amp;" x "&amp;L807,L807&amp;" reps"),IF(IF(N(N807)=0,0,IF(N(M807)&gt;0,M807*(1+N807/30),N807))=X807,IF(N(M807)&gt;0,M807&amp;" x "&amp;N807,N807&amp;" reps"),""))))))</f>
        <v/>
      </c>
      <c r="R807" s="20">
        <f>IF(N(X807)=0,"",ROUND(X807,1))</f>
        <v/>
      </c>
      <c r="S807" s="18">
        <f>IF(N(X807)=0,"",IF(AND(COUNTIFS(Log!$D$6:$D$1505,D807,Log!$B$6:$B$1505,"&lt;"&amp;B807)&gt;0,COUNTIFS(Log!$D$6:$D$1505,D807,Log!$B$6:$B$1505,"&lt;"&amp;B807,Log!$X$6:$X$1505,"&gt;="&amp;X807)=0),"New best",""))</f>
        <v/>
      </c>
      <c r="T807" s="26" t="n"/>
      <c r="U807" s="1">
        <f>IF(D807="","",IFERROR(INDEX(Exercises!$C$6:$C$105,MATCH(D807,Exercises!$B$6:$B$105,0)),"Other"))</f>
        <v/>
      </c>
      <c r="V807">
        <f>IF(B807="","",IF(COUNTIF($B$6:B807,B807)=1,1,0))</f>
        <v/>
      </c>
      <c r="W807">
        <f>IF(B807="","",B807-WEEKDAY(B807,3))</f>
        <v/>
      </c>
      <c r="X807">
        <f>IF(D807="","",MAX(IF(N(F807)=0,0,IF(N(E807)&gt;0,E807*(1+F807/30),F807)),IF(N(H807)=0,0,IF(N(G807)&gt;0,G807*(1+H807/30),H807)),IF(N(J807)=0,0,IF(N(I807)&gt;0,I807*(1+J807/30),J807)),IF(N(L807)=0,0,IF(N(K807)&gt;0,K807*(1+L807/30),L807)),IF(N(N807)=0,0,IF(N(M807)&gt;0,M807*(1+N807/30),N807))))</f>
        <v/>
      </c>
      <c r="Y807">
        <f>IF(N(X807)=0,"",X807+ROW()/1000000000)</f>
        <v/>
      </c>
      <c r="Z807">
        <f>IF(Y807="","",IF(COUNTIFS(Log!$D$6:$D$1505,D807,Log!$Y$6:$Y$1505,"&gt;"&amp;Y807)=0,1,0))</f>
        <v/>
      </c>
      <c r="AA807">
        <f>IF(OR(B807="",D807=""),"",B807+ROW()/10000000)</f>
        <v/>
      </c>
      <c r="AB807">
        <f>IF(AA807="","",IF(COUNTIFS(Log!$D$6:$D$1505,D807,Log!$AA$6:$AA$1505,"&gt;"&amp;AA807)=0,1,0))</f>
        <v/>
      </c>
      <c r="AC807">
        <f>IF(S807="New best",AA807,"")</f>
        <v/>
      </c>
      <c r="AD807">
        <f>ROW()</f>
        <v/>
      </c>
    </row>
    <row r="808">
      <c r="A808" s="1" t="n"/>
      <c r="B808" s="21" t="n"/>
      <c r="C808" s="22" t="n"/>
      <c r="D808" s="23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15">
        <f>IF(D808="","",COUNT(F808,H808,J808,L808,N808))</f>
        <v/>
      </c>
      <c r="P808" s="25">
        <f>IF(D808="","",N(E808)*N(F808)+N(G808)*N(H808)+N(I808)*N(J808)+N(K808)*N(L808)+N(M808)*N(N808))</f>
        <v/>
      </c>
      <c r="Q808" s="18">
        <f>IF(N(X808)=0,"",IF(IF(N(F808)=0,0,IF(N(E808)&gt;0,E808*(1+F808/30),F808))=X808,IF(N(E808)&gt;0,E808&amp;" x "&amp;F808,F808&amp;" reps"),IF(IF(N(H808)=0,0,IF(N(G808)&gt;0,G808*(1+H808/30),H808))=X808,IF(N(G808)&gt;0,G808&amp;" x "&amp;H808,H808&amp;" reps"),IF(IF(N(J808)=0,0,IF(N(I808)&gt;0,I808*(1+J808/30),J808))=X808,IF(N(I808)&gt;0,I808&amp;" x "&amp;J808,J808&amp;" reps"),IF(IF(N(L808)=0,0,IF(N(K808)&gt;0,K808*(1+L808/30),L808))=X808,IF(N(K808)&gt;0,K808&amp;" x "&amp;L808,L808&amp;" reps"),IF(IF(N(N808)=0,0,IF(N(M808)&gt;0,M808*(1+N808/30),N808))=X808,IF(N(M808)&gt;0,M808&amp;" x "&amp;N808,N808&amp;" reps"),""))))))</f>
        <v/>
      </c>
      <c r="R808" s="20">
        <f>IF(N(X808)=0,"",ROUND(X808,1))</f>
        <v/>
      </c>
      <c r="S808" s="18">
        <f>IF(N(X808)=0,"",IF(AND(COUNTIFS(Log!$D$6:$D$1505,D808,Log!$B$6:$B$1505,"&lt;"&amp;B808)&gt;0,COUNTIFS(Log!$D$6:$D$1505,D808,Log!$B$6:$B$1505,"&lt;"&amp;B808,Log!$X$6:$X$1505,"&gt;="&amp;X808)=0),"New best",""))</f>
        <v/>
      </c>
      <c r="T808" s="26" t="n"/>
      <c r="U808" s="1">
        <f>IF(D808="","",IFERROR(INDEX(Exercises!$C$6:$C$105,MATCH(D808,Exercises!$B$6:$B$105,0)),"Other"))</f>
        <v/>
      </c>
      <c r="V808">
        <f>IF(B808="","",IF(COUNTIF($B$6:B808,B808)=1,1,0))</f>
        <v/>
      </c>
      <c r="W808">
        <f>IF(B808="","",B808-WEEKDAY(B808,3))</f>
        <v/>
      </c>
      <c r="X808">
        <f>IF(D808="","",MAX(IF(N(F808)=0,0,IF(N(E808)&gt;0,E808*(1+F808/30),F808)),IF(N(H808)=0,0,IF(N(G808)&gt;0,G808*(1+H808/30),H808)),IF(N(J808)=0,0,IF(N(I808)&gt;0,I808*(1+J808/30),J808)),IF(N(L808)=0,0,IF(N(K808)&gt;0,K808*(1+L808/30),L808)),IF(N(N808)=0,0,IF(N(M808)&gt;0,M808*(1+N808/30),N808))))</f>
        <v/>
      </c>
      <c r="Y808">
        <f>IF(N(X808)=0,"",X808+ROW()/1000000000)</f>
        <v/>
      </c>
      <c r="Z808">
        <f>IF(Y808="","",IF(COUNTIFS(Log!$D$6:$D$1505,D808,Log!$Y$6:$Y$1505,"&gt;"&amp;Y808)=0,1,0))</f>
        <v/>
      </c>
      <c r="AA808">
        <f>IF(OR(B808="",D808=""),"",B808+ROW()/10000000)</f>
        <v/>
      </c>
      <c r="AB808">
        <f>IF(AA808="","",IF(COUNTIFS(Log!$D$6:$D$1505,D808,Log!$AA$6:$AA$1505,"&gt;"&amp;AA808)=0,1,0))</f>
        <v/>
      </c>
      <c r="AC808">
        <f>IF(S808="New best",AA808,"")</f>
        <v/>
      </c>
      <c r="AD808">
        <f>ROW()</f>
        <v/>
      </c>
    </row>
    <row r="809">
      <c r="A809" s="1" t="n"/>
      <c r="B809" s="21" t="n"/>
      <c r="C809" s="22" t="n"/>
      <c r="D809" s="23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15">
        <f>IF(D809="","",COUNT(F809,H809,J809,L809,N809))</f>
        <v/>
      </c>
      <c r="P809" s="25">
        <f>IF(D809="","",N(E809)*N(F809)+N(G809)*N(H809)+N(I809)*N(J809)+N(K809)*N(L809)+N(M809)*N(N809))</f>
        <v/>
      </c>
      <c r="Q809" s="18">
        <f>IF(N(X809)=0,"",IF(IF(N(F809)=0,0,IF(N(E809)&gt;0,E809*(1+F809/30),F809))=X809,IF(N(E809)&gt;0,E809&amp;" x "&amp;F809,F809&amp;" reps"),IF(IF(N(H809)=0,0,IF(N(G809)&gt;0,G809*(1+H809/30),H809))=X809,IF(N(G809)&gt;0,G809&amp;" x "&amp;H809,H809&amp;" reps"),IF(IF(N(J809)=0,0,IF(N(I809)&gt;0,I809*(1+J809/30),J809))=X809,IF(N(I809)&gt;0,I809&amp;" x "&amp;J809,J809&amp;" reps"),IF(IF(N(L809)=0,0,IF(N(K809)&gt;0,K809*(1+L809/30),L809))=X809,IF(N(K809)&gt;0,K809&amp;" x "&amp;L809,L809&amp;" reps"),IF(IF(N(N809)=0,0,IF(N(M809)&gt;0,M809*(1+N809/30),N809))=X809,IF(N(M809)&gt;0,M809&amp;" x "&amp;N809,N809&amp;" reps"),""))))))</f>
        <v/>
      </c>
      <c r="R809" s="20">
        <f>IF(N(X809)=0,"",ROUND(X809,1))</f>
        <v/>
      </c>
      <c r="S809" s="18">
        <f>IF(N(X809)=0,"",IF(AND(COUNTIFS(Log!$D$6:$D$1505,D809,Log!$B$6:$B$1505,"&lt;"&amp;B809)&gt;0,COUNTIFS(Log!$D$6:$D$1505,D809,Log!$B$6:$B$1505,"&lt;"&amp;B809,Log!$X$6:$X$1505,"&gt;="&amp;X809)=0),"New best",""))</f>
        <v/>
      </c>
      <c r="T809" s="26" t="n"/>
      <c r="U809" s="1">
        <f>IF(D809="","",IFERROR(INDEX(Exercises!$C$6:$C$105,MATCH(D809,Exercises!$B$6:$B$105,0)),"Other"))</f>
        <v/>
      </c>
      <c r="V809">
        <f>IF(B809="","",IF(COUNTIF($B$6:B809,B809)=1,1,0))</f>
        <v/>
      </c>
      <c r="W809">
        <f>IF(B809="","",B809-WEEKDAY(B809,3))</f>
        <v/>
      </c>
      <c r="X809">
        <f>IF(D809="","",MAX(IF(N(F809)=0,0,IF(N(E809)&gt;0,E809*(1+F809/30),F809)),IF(N(H809)=0,0,IF(N(G809)&gt;0,G809*(1+H809/30),H809)),IF(N(J809)=0,0,IF(N(I809)&gt;0,I809*(1+J809/30),J809)),IF(N(L809)=0,0,IF(N(K809)&gt;0,K809*(1+L809/30),L809)),IF(N(N809)=0,0,IF(N(M809)&gt;0,M809*(1+N809/30),N809))))</f>
        <v/>
      </c>
      <c r="Y809">
        <f>IF(N(X809)=0,"",X809+ROW()/1000000000)</f>
        <v/>
      </c>
      <c r="Z809">
        <f>IF(Y809="","",IF(COUNTIFS(Log!$D$6:$D$1505,D809,Log!$Y$6:$Y$1505,"&gt;"&amp;Y809)=0,1,0))</f>
        <v/>
      </c>
      <c r="AA809">
        <f>IF(OR(B809="",D809=""),"",B809+ROW()/10000000)</f>
        <v/>
      </c>
      <c r="AB809">
        <f>IF(AA809="","",IF(COUNTIFS(Log!$D$6:$D$1505,D809,Log!$AA$6:$AA$1505,"&gt;"&amp;AA809)=0,1,0))</f>
        <v/>
      </c>
      <c r="AC809">
        <f>IF(S809="New best",AA809,"")</f>
        <v/>
      </c>
      <c r="AD809">
        <f>ROW()</f>
        <v/>
      </c>
    </row>
    <row r="810">
      <c r="A810" s="1" t="n"/>
      <c r="B810" s="21" t="n"/>
      <c r="C810" s="22" t="n"/>
      <c r="D810" s="23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15">
        <f>IF(D810="","",COUNT(F810,H810,J810,L810,N810))</f>
        <v/>
      </c>
      <c r="P810" s="25">
        <f>IF(D810="","",N(E810)*N(F810)+N(G810)*N(H810)+N(I810)*N(J810)+N(K810)*N(L810)+N(M810)*N(N810))</f>
        <v/>
      </c>
      <c r="Q810" s="18">
        <f>IF(N(X810)=0,"",IF(IF(N(F810)=0,0,IF(N(E810)&gt;0,E810*(1+F810/30),F810))=X810,IF(N(E810)&gt;0,E810&amp;" x "&amp;F810,F810&amp;" reps"),IF(IF(N(H810)=0,0,IF(N(G810)&gt;0,G810*(1+H810/30),H810))=X810,IF(N(G810)&gt;0,G810&amp;" x "&amp;H810,H810&amp;" reps"),IF(IF(N(J810)=0,0,IF(N(I810)&gt;0,I810*(1+J810/30),J810))=X810,IF(N(I810)&gt;0,I810&amp;" x "&amp;J810,J810&amp;" reps"),IF(IF(N(L810)=0,0,IF(N(K810)&gt;0,K810*(1+L810/30),L810))=X810,IF(N(K810)&gt;0,K810&amp;" x "&amp;L810,L810&amp;" reps"),IF(IF(N(N810)=0,0,IF(N(M810)&gt;0,M810*(1+N810/30),N810))=X810,IF(N(M810)&gt;0,M810&amp;" x "&amp;N810,N810&amp;" reps"),""))))))</f>
        <v/>
      </c>
      <c r="R810" s="20">
        <f>IF(N(X810)=0,"",ROUND(X810,1))</f>
        <v/>
      </c>
      <c r="S810" s="18">
        <f>IF(N(X810)=0,"",IF(AND(COUNTIFS(Log!$D$6:$D$1505,D810,Log!$B$6:$B$1505,"&lt;"&amp;B810)&gt;0,COUNTIFS(Log!$D$6:$D$1505,D810,Log!$B$6:$B$1505,"&lt;"&amp;B810,Log!$X$6:$X$1505,"&gt;="&amp;X810)=0),"New best",""))</f>
        <v/>
      </c>
      <c r="T810" s="26" t="n"/>
      <c r="U810" s="1">
        <f>IF(D810="","",IFERROR(INDEX(Exercises!$C$6:$C$105,MATCH(D810,Exercises!$B$6:$B$105,0)),"Other"))</f>
        <v/>
      </c>
      <c r="V810">
        <f>IF(B810="","",IF(COUNTIF($B$6:B810,B810)=1,1,0))</f>
        <v/>
      </c>
      <c r="W810">
        <f>IF(B810="","",B810-WEEKDAY(B810,3))</f>
        <v/>
      </c>
      <c r="X810">
        <f>IF(D810="","",MAX(IF(N(F810)=0,0,IF(N(E810)&gt;0,E810*(1+F810/30),F810)),IF(N(H810)=0,0,IF(N(G810)&gt;0,G810*(1+H810/30),H810)),IF(N(J810)=0,0,IF(N(I810)&gt;0,I810*(1+J810/30),J810)),IF(N(L810)=0,0,IF(N(K810)&gt;0,K810*(1+L810/30),L810)),IF(N(N810)=0,0,IF(N(M810)&gt;0,M810*(1+N810/30),N810))))</f>
        <v/>
      </c>
      <c r="Y810">
        <f>IF(N(X810)=0,"",X810+ROW()/1000000000)</f>
        <v/>
      </c>
      <c r="Z810">
        <f>IF(Y810="","",IF(COUNTIFS(Log!$D$6:$D$1505,D810,Log!$Y$6:$Y$1505,"&gt;"&amp;Y810)=0,1,0))</f>
        <v/>
      </c>
      <c r="AA810">
        <f>IF(OR(B810="",D810=""),"",B810+ROW()/10000000)</f>
        <v/>
      </c>
      <c r="AB810">
        <f>IF(AA810="","",IF(COUNTIFS(Log!$D$6:$D$1505,D810,Log!$AA$6:$AA$1505,"&gt;"&amp;AA810)=0,1,0))</f>
        <v/>
      </c>
      <c r="AC810">
        <f>IF(S810="New best",AA810,"")</f>
        <v/>
      </c>
      <c r="AD810">
        <f>ROW()</f>
        <v/>
      </c>
    </row>
    <row r="811">
      <c r="A811" s="1" t="n"/>
      <c r="B811" s="21" t="n"/>
      <c r="C811" s="22" t="n"/>
      <c r="D811" s="23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15">
        <f>IF(D811="","",COUNT(F811,H811,J811,L811,N811))</f>
        <v/>
      </c>
      <c r="P811" s="25">
        <f>IF(D811="","",N(E811)*N(F811)+N(G811)*N(H811)+N(I811)*N(J811)+N(K811)*N(L811)+N(M811)*N(N811))</f>
        <v/>
      </c>
      <c r="Q811" s="18">
        <f>IF(N(X811)=0,"",IF(IF(N(F811)=0,0,IF(N(E811)&gt;0,E811*(1+F811/30),F811))=X811,IF(N(E811)&gt;0,E811&amp;" x "&amp;F811,F811&amp;" reps"),IF(IF(N(H811)=0,0,IF(N(G811)&gt;0,G811*(1+H811/30),H811))=X811,IF(N(G811)&gt;0,G811&amp;" x "&amp;H811,H811&amp;" reps"),IF(IF(N(J811)=0,0,IF(N(I811)&gt;0,I811*(1+J811/30),J811))=X811,IF(N(I811)&gt;0,I811&amp;" x "&amp;J811,J811&amp;" reps"),IF(IF(N(L811)=0,0,IF(N(K811)&gt;0,K811*(1+L811/30),L811))=X811,IF(N(K811)&gt;0,K811&amp;" x "&amp;L811,L811&amp;" reps"),IF(IF(N(N811)=0,0,IF(N(M811)&gt;0,M811*(1+N811/30),N811))=X811,IF(N(M811)&gt;0,M811&amp;" x "&amp;N811,N811&amp;" reps"),""))))))</f>
        <v/>
      </c>
      <c r="R811" s="20">
        <f>IF(N(X811)=0,"",ROUND(X811,1))</f>
        <v/>
      </c>
      <c r="S811" s="18">
        <f>IF(N(X811)=0,"",IF(AND(COUNTIFS(Log!$D$6:$D$1505,D811,Log!$B$6:$B$1505,"&lt;"&amp;B811)&gt;0,COUNTIFS(Log!$D$6:$D$1505,D811,Log!$B$6:$B$1505,"&lt;"&amp;B811,Log!$X$6:$X$1505,"&gt;="&amp;X811)=0),"New best",""))</f>
        <v/>
      </c>
      <c r="T811" s="26" t="n"/>
      <c r="U811" s="1">
        <f>IF(D811="","",IFERROR(INDEX(Exercises!$C$6:$C$105,MATCH(D811,Exercises!$B$6:$B$105,0)),"Other"))</f>
        <v/>
      </c>
      <c r="V811">
        <f>IF(B811="","",IF(COUNTIF($B$6:B811,B811)=1,1,0))</f>
        <v/>
      </c>
      <c r="W811">
        <f>IF(B811="","",B811-WEEKDAY(B811,3))</f>
        <v/>
      </c>
      <c r="X811">
        <f>IF(D811="","",MAX(IF(N(F811)=0,0,IF(N(E811)&gt;0,E811*(1+F811/30),F811)),IF(N(H811)=0,0,IF(N(G811)&gt;0,G811*(1+H811/30),H811)),IF(N(J811)=0,0,IF(N(I811)&gt;0,I811*(1+J811/30),J811)),IF(N(L811)=0,0,IF(N(K811)&gt;0,K811*(1+L811/30),L811)),IF(N(N811)=0,0,IF(N(M811)&gt;0,M811*(1+N811/30),N811))))</f>
        <v/>
      </c>
      <c r="Y811">
        <f>IF(N(X811)=0,"",X811+ROW()/1000000000)</f>
        <v/>
      </c>
      <c r="Z811">
        <f>IF(Y811="","",IF(COUNTIFS(Log!$D$6:$D$1505,D811,Log!$Y$6:$Y$1505,"&gt;"&amp;Y811)=0,1,0))</f>
        <v/>
      </c>
      <c r="AA811">
        <f>IF(OR(B811="",D811=""),"",B811+ROW()/10000000)</f>
        <v/>
      </c>
      <c r="AB811">
        <f>IF(AA811="","",IF(COUNTIFS(Log!$D$6:$D$1505,D811,Log!$AA$6:$AA$1505,"&gt;"&amp;AA811)=0,1,0))</f>
        <v/>
      </c>
      <c r="AC811">
        <f>IF(S811="New best",AA811,"")</f>
        <v/>
      </c>
      <c r="AD811">
        <f>ROW()</f>
        <v/>
      </c>
    </row>
    <row r="812">
      <c r="A812" s="1" t="n"/>
      <c r="B812" s="21" t="n"/>
      <c r="C812" s="22" t="n"/>
      <c r="D812" s="23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15">
        <f>IF(D812="","",COUNT(F812,H812,J812,L812,N812))</f>
        <v/>
      </c>
      <c r="P812" s="25">
        <f>IF(D812="","",N(E812)*N(F812)+N(G812)*N(H812)+N(I812)*N(J812)+N(K812)*N(L812)+N(M812)*N(N812))</f>
        <v/>
      </c>
      <c r="Q812" s="18">
        <f>IF(N(X812)=0,"",IF(IF(N(F812)=0,0,IF(N(E812)&gt;0,E812*(1+F812/30),F812))=X812,IF(N(E812)&gt;0,E812&amp;" x "&amp;F812,F812&amp;" reps"),IF(IF(N(H812)=0,0,IF(N(G812)&gt;0,G812*(1+H812/30),H812))=X812,IF(N(G812)&gt;0,G812&amp;" x "&amp;H812,H812&amp;" reps"),IF(IF(N(J812)=0,0,IF(N(I812)&gt;0,I812*(1+J812/30),J812))=X812,IF(N(I812)&gt;0,I812&amp;" x "&amp;J812,J812&amp;" reps"),IF(IF(N(L812)=0,0,IF(N(K812)&gt;0,K812*(1+L812/30),L812))=X812,IF(N(K812)&gt;0,K812&amp;" x "&amp;L812,L812&amp;" reps"),IF(IF(N(N812)=0,0,IF(N(M812)&gt;0,M812*(1+N812/30),N812))=X812,IF(N(M812)&gt;0,M812&amp;" x "&amp;N812,N812&amp;" reps"),""))))))</f>
        <v/>
      </c>
      <c r="R812" s="20">
        <f>IF(N(X812)=0,"",ROUND(X812,1))</f>
        <v/>
      </c>
      <c r="S812" s="18">
        <f>IF(N(X812)=0,"",IF(AND(COUNTIFS(Log!$D$6:$D$1505,D812,Log!$B$6:$B$1505,"&lt;"&amp;B812)&gt;0,COUNTIFS(Log!$D$6:$D$1505,D812,Log!$B$6:$B$1505,"&lt;"&amp;B812,Log!$X$6:$X$1505,"&gt;="&amp;X812)=0),"New best",""))</f>
        <v/>
      </c>
      <c r="T812" s="26" t="n"/>
      <c r="U812" s="1">
        <f>IF(D812="","",IFERROR(INDEX(Exercises!$C$6:$C$105,MATCH(D812,Exercises!$B$6:$B$105,0)),"Other"))</f>
        <v/>
      </c>
      <c r="V812">
        <f>IF(B812="","",IF(COUNTIF($B$6:B812,B812)=1,1,0))</f>
        <v/>
      </c>
      <c r="W812">
        <f>IF(B812="","",B812-WEEKDAY(B812,3))</f>
        <v/>
      </c>
      <c r="X812">
        <f>IF(D812="","",MAX(IF(N(F812)=0,0,IF(N(E812)&gt;0,E812*(1+F812/30),F812)),IF(N(H812)=0,0,IF(N(G812)&gt;0,G812*(1+H812/30),H812)),IF(N(J812)=0,0,IF(N(I812)&gt;0,I812*(1+J812/30),J812)),IF(N(L812)=0,0,IF(N(K812)&gt;0,K812*(1+L812/30),L812)),IF(N(N812)=0,0,IF(N(M812)&gt;0,M812*(1+N812/30),N812))))</f>
        <v/>
      </c>
      <c r="Y812">
        <f>IF(N(X812)=0,"",X812+ROW()/1000000000)</f>
        <v/>
      </c>
      <c r="Z812">
        <f>IF(Y812="","",IF(COUNTIFS(Log!$D$6:$D$1505,D812,Log!$Y$6:$Y$1505,"&gt;"&amp;Y812)=0,1,0))</f>
        <v/>
      </c>
      <c r="AA812">
        <f>IF(OR(B812="",D812=""),"",B812+ROW()/10000000)</f>
        <v/>
      </c>
      <c r="AB812">
        <f>IF(AA812="","",IF(COUNTIFS(Log!$D$6:$D$1505,D812,Log!$AA$6:$AA$1505,"&gt;"&amp;AA812)=0,1,0))</f>
        <v/>
      </c>
      <c r="AC812">
        <f>IF(S812="New best",AA812,"")</f>
        <v/>
      </c>
      <c r="AD812">
        <f>ROW()</f>
        <v/>
      </c>
    </row>
    <row r="813">
      <c r="A813" s="1" t="n"/>
      <c r="B813" s="21" t="n"/>
      <c r="C813" s="22" t="n"/>
      <c r="D813" s="23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15">
        <f>IF(D813="","",COUNT(F813,H813,J813,L813,N813))</f>
        <v/>
      </c>
      <c r="P813" s="25">
        <f>IF(D813="","",N(E813)*N(F813)+N(G813)*N(H813)+N(I813)*N(J813)+N(K813)*N(L813)+N(M813)*N(N813))</f>
        <v/>
      </c>
      <c r="Q813" s="18">
        <f>IF(N(X813)=0,"",IF(IF(N(F813)=0,0,IF(N(E813)&gt;0,E813*(1+F813/30),F813))=X813,IF(N(E813)&gt;0,E813&amp;" x "&amp;F813,F813&amp;" reps"),IF(IF(N(H813)=0,0,IF(N(G813)&gt;0,G813*(1+H813/30),H813))=X813,IF(N(G813)&gt;0,G813&amp;" x "&amp;H813,H813&amp;" reps"),IF(IF(N(J813)=0,0,IF(N(I813)&gt;0,I813*(1+J813/30),J813))=X813,IF(N(I813)&gt;0,I813&amp;" x "&amp;J813,J813&amp;" reps"),IF(IF(N(L813)=0,0,IF(N(K813)&gt;0,K813*(1+L813/30),L813))=X813,IF(N(K813)&gt;0,K813&amp;" x "&amp;L813,L813&amp;" reps"),IF(IF(N(N813)=0,0,IF(N(M813)&gt;0,M813*(1+N813/30),N813))=X813,IF(N(M813)&gt;0,M813&amp;" x "&amp;N813,N813&amp;" reps"),""))))))</f>
        <v/>
      </c>
      <c r="R813" s="20">
        <f>IF(N(X813)=0,"",ROUND(X813,1))</f>
        <v/>
      </c>
      <c r="S813" s="18">
        <f>IF(N(X813)=0,"",IF(AND(COUNTIFS(Log!$D$6:$D$1505,D813,Log!$B$6:$B$1505,"&lt;"&amp;B813)&gt;0,COUNTIFS(Log!$D$6:$D$1505,D813,Log!$B$6:$B$1505,"&lt;"&amp;B813,Log!$X$6:$X$1505,"&gt;="&amp;X813)=0),"New best",""))</f>
        <v/>
      </c>
      <c r="T813" s="26" t="n"/>
      <c r="U813" s="1">
        <f>IF(D813="","",IFERROR(INDEX(Exercises!$C$6:$C$105,MATCH(D813,Exercises!$B$6:$B$105,0)),"Other"))</f>
        <v/>
      </c>
      <c r="V813">
        <f>IF(B813="","",IF(COUNTIF($B$6:B813,B813)=1,1,0))</f>
        <v/>
      </c>
      <c r="W813">
        <f>IF(B813="","",B813-WEEKDAY(B813,3))</f>
        <v/>
      </c>
      <c r="X813">
        <f>IF(D813="","",MAX(IF(N(F813)=0,0,IF(N(E813)&gt;0,E813*(1+F813/30),F813)),IF(N(H813)=0,0,IF(N(G813)&gt;0,G813*(1+H813/30),H813)),IF(N(J813)=0,0,IF(N(I813)&gt;0,I813*(1+J813/30),J813)),IF(N(L813)=0,0,IF(N(K813)&gt;0,K813*(1+L813/30),L813)),IF(N(N813)=0,0,IF(N(M813)&gt;0,M813*(1+N813/30),N813))))</f>
        <v/>
      </c>
      <c r="Y813">
        <f>IF(N(X813)=0,"",X813+ROW()/1000000000)</f>
        <v/>
      </c>
      <c r="Z813">
        <f>IF(Y813="","",IF(COUNTIFS(Log!$D$6:$D$1505,D813,Log!$Y$6:$Y$1505,"&gt;"&amp;Y813)=0,1,0))</f>
        <v/>
      </c>
      <c r="AA813">
        <f>IF(OR(B813="",D813=""),"",B813+ROW()/10000000)</f>
        <v/>
      </c>
      <c r="AB813">
        <f>IF(AA813="","",IF(COUNTIFS(Log!$D$6:$D$1505,D813,Log!$AA$6:$AA$1505,"&gt;"&amp;AA813)=0,1,0))</f>
        <v/>
      </c>
      <c r="AC813">
        <f>IF(S813="New best",AA813,"")</f>
        <v/>
      </c>
      <c r="AD813">
        <f>ROW()</f>
        <v/>
      </c>
    </row>
    <row r="814">
      <c r="A814" s="1" t="n"/>
      <c r="B814" s="21" t="n"/>
      <c r="C814" s="22" t="n"/>
      <c r="D814" s="23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15">
        <f>IF(D814="","",COUNT(F814,H814,J814,L814,N814))</f>
        <v/>
      </c>
      <c r="P814" s="25">
        <f>IF(D814="","",N(E814)*N(F814)+N(G814)*N(H814)+N(I814)*N(J814)+N(K814)*N(L814)+N(M814)*N(N814))</f>
        <v/>
      </c>
      <c r="Q814" s="18">
        <f>IF(N(X814)=0,"",IF(IF(N(F814)=0,0,IF(N(E814)&gt;0,E814*(1+F814/30),F814))=X814,IF(N(E814)&gt;0,E814&amp;" x "&amp;F814,F814&amp;" reps"),IF(IF(N(H814)=0,0,IF(N(G814)&gt;0,G814*(1+H814/30),H814))=X814,IF(N(G814)&gt;0,G814&amp;" x "&amp;H814,H814&amp;" reps"),IF(IF(N(J814)=0,0,IF(N(I814)&gt;0,I814*(1+J814/30),J814))=X814,IF(N(I814)&gt;0,I814&amp;" x "&amp;J814,J814&amp;" reps"),IF(IF(N(L814)=0,0,IF(N(K814)&gt;0,K814*(1+L814/30),L814))=X814,IF(N(K814)&gt;0,K814&amp;" x "&amp;L814,L814&amp;" reps"),IF(IF(N(N814)=0,0,IF(N(M814)&gt;0,M814*(1+N814/30),N814))=X814,IF(N(M814)&gt;0,M814&amp;" x "&amp;N814,N814&amp;" reps"),""))))))</f>
        <v/>
      </c>
      <c r="R814" s="20">
        <f>IF(N(X814)=0,"",ROUND(X814,1))</f>
        <v/>
      </c>
      <c r="S814" s="18">
        <f>IF(N(X814)=0,"",IF(AND(COUNTIFS(Log!$D$6:$D$1505,D814,Log!$B$6:$B$1505,"&lt;"&amp;B814)&gt;0,COUNTIFS(Log!$D$6:$D$1505,D814,Log!$B$6:$B$1505,"&lt;"&amp;B814,Log!$X$6:$X$1505,"&gt;="&amp;X814)=0),"New best",""))</f>
        <v/>
      </c>
      <c r="T814" s="26" t="n"/>
      <c r="U814" s="1">
        <f>IF(D814="","",IFERROR(INDEX(Exercises!$C$6:$C$105,MATCH(D814,Exercises!$B$6:$B$105,0)),"Other"))</f>
        <v/>
      </c>
      <c r="V814">
        <f>IF(B814="","",IF(COUNTIF($B$6:B814,B814)=1,1,0))</f>
        <v/>
      </c>
      <c r="W814">
        <f>IF(B814="","",B814-WEEKDAY(B814,3))</f>
        <v/>
      </c>
      <c r="X814">
        <f>IF(D814="","",MAX(IF(N(F814)=0,0,IF(N(E814)&gt;0,E814*(1+F814/30),F814)),IF(N(H814)=0,0,IF(N(G814)&gt;0,G814*(1+H814/30),H814)),IF(N(J814)=0,0,IF(N(I814)&gt;0,I814*(1+J814/30),J814)),IF(N(L814)=0,0,IF(N(K814)&gt;0,K814*(1+L814/30),L814)),IF(N(N814)=0,0,IF(N(M814)&gt;0,M814*(1+N814/30),N814))))</f>
        <v/>
      </c>
      <c r="Y814">
        <f>IF(N(X814)=0,"",X814+ROW()/1000000000)</f>
        <v/>
      </c>
      <c r="Z814">
        <f>IF(Y814="","",IF(COUNTIFS(Log!$D$6:$D$1505,D814,Log!$Y$6:$Y$1505,"&gt;"&amp;Y814)=0,1,0))</f>
        <v/>
      </c>
      <c r="AA814">
        <f>IF(OR(B814="",D814=""),"",B814+ROW()/10000000)</f>
        <v/>
      </c>
      <c r="AB814">
        <f>IF(AA814="","",IF(COUNTIFS(Log!$D$6:$D$1505,D814,Log!$AA$6:$AA$1505,"&gt;"&amp;AA814)=0,1,0))</f>
        <v/>
      </c>
      <c r="AC814">
        <f>IF(S814="New best",AA814,"")</f>
        <v/>
      </c>
      <c r="AD814">
        <f>ROW()</f>
        <v/>
      </c>
    </row>
    <row r="815">
      <c r="A815" s="1" t="n"/>
      <c r="B815" s="21" t="n"/>
      <c r="C815" s="22" t="n"/>
      <c r="D815" s="23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15">
        <f>IF(D815="","",COUNT(F815,H815,J815,L815,N815))</f>
        <v/>
      </c>
      <c r="P815" s="25">
        <f>IF(D815="","",N(E815)*N(F815)+N(G815)*N(H815)+N(I815)*N(J815)+N(K815)*N(L815)+N(M815)*N(N815))</f>
        <v/>
      </c>
      <c r="Q815" s="18">
        <f>IF(N(X815)=0,"",IF(IF(N(F815)=0,0,IF(N(E815)&gt;0,E815*(1+F815/30),F815))=X815,IF(N(E815)&gt;0,E815&amp;" x "&amp;F815,F815&amp;" reps"),IF(IF(N(H815)=0,0,IF(N(G815)&gt;0,G815*(1+H815/30),H815))=X815,IF(N(G815)&gt;0,G815&amp;" x "&amp;H815,H815&amp;" reps"),IF(IF(N(J815)=0,0,IF(N(I815)&gt;0,I815*(1+J815/30),J815))=X815,IF(N(I815)&gt;0,I815&amp;" x "&amp;J815,J815&amp;" reps"),IF(IF(N(L815)=0,0,IF(N(K815)&gt;0,K815*(1+L815/30),L815))=X815,IF(N(K815)&gt;0,K815&amp;" x "&amp;L815,L815&amp;" reps"),IF(IF(N(N815)=0,0,IF(N(M815)&gt;0,M815*(1+N815/30),N815))=X815,IF(N(M815)&gt;0,M815&amp;" x "&amp;N815,N815&amp;" reps"),""))))))</f>
        <v/>
      </c>
      <c r="R815" s="20">
        <f>IF(N(X815)=0,"",ROUND(X815,1))</f>
        <v/>
      </c>
      <c r="S815" s="18">
        <f>IF(N(X815)=0,"",IF(AND(COUNTIFS(Log!$D$6:$D$1505,D815,Log!$B$6:$B$1505,"&lt;"&amp;B815)&gt;0,COUNTIFS(Log!$D$6:$D$1505,D815,Log!$B$6:$B$1505,"&lt;"&amp;B815,Log!$X$6:$X$1505,"&gt;="&amp;X815)=0),"New best",""))</f>
        <v/>
      </c>
      <c r="T815" s="26" t="n"/>
      <c r="U815" s="1">
        <f>IF(D815="","",IFERROR(INDEX(Exercises!$C$6:$C$105,MATCH(D815,Exercises!$B$6:$B$105,0)),"Other"))</f>
        <v/>
      </c>
      <c r="V815">
        <f>IF(B815="","",IF(COUNTIF($B$6:B815,B815)=1,1,0))</f>
        <v/>
      </c>
      <c r="W815">
        <f>IF(B815="","",B815-WEEKDAY(B815,3))</f>
        <v/>
      </c>
      <c r="X815">
        <f>IF(D815="","",MAX(IF(N(F815)=0,0,IF(N(E815)&gt;0,E815*(1+F815/30),F815)),IF(N(H815)=0,0,IF(N(G815)&gt;0,G815*(1+H815/30),H815)),IF(N(J815)=0,0,IF(N(I815)&gt;0,I815*(1+J815/30),J815)),IF(N(L815)=0,0,IF(N(K815)&gt;0,K815*(1+L815/30),L815)),IF(N(N815)=0,0,IF(N(M815)&gt;0,M815*(1+N815/30),N815))))</f>
        <v/>
      </c>
      <c r="Y815">
        <f>IF(N(X815)=0,"",X815+ROW()/1000000000)</f>
        <v/>
      </c>
      <c r="Z815">
        <f>IF(Y815="","",IF(COUNTIFS(Log!$D$6:$D$1505,D815,Log!$Y$6:$Y$1505,"&gt;"&amp;Y815)=0,1,0))</f>
        <v/>
      </c>
      <c r="AA815">
        <f>IF(OR(B815="",D815=""),"",B815+ROW()/10000000)</f>
        <v/>
      </c>
      <c r="AB815">
        <f>IF(AA815="","",IF(COUNTIFS(Log!$D$6:$D$1505,D815,Log!$AA$6:$AA$1505,"&gt;"&amp;AA815)=0,1,0))</f>
        <v/>
      </c>
      <c r="AC815">
        <f>IF(S815="New best",AA815,"")</f>
        <v/>
      </c>
      <c r="AD815">
        <f>ROW()</f>
        <v/>
      </c>
    </row>
    <row r="816">
      <c r="A816" s="1" t="n"/>
      <c r="B816" s="21" t="n"/>
      <c r="C816" s="22" t="n"/>
      <c r="D816" s="23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15">
        <f>IF(D816="","",COUNT(F816,H816,J816,L816,N816))</f>
        <v/>
      </c>
      <c r="P816" s="25">
        <f>IF(D816="","",N(E816)*N(F816)+N(G816)*N(H816)+N(I816)*N(J816)+N(K816)*N(L816)+N(M816)*N(N816))</f>
        <v/>
      </c>
      <c r="Q816" s="18">
        <f>IF(N(X816)=0,"",IF(IF(N(F816)=0,0,IF(N(E816)&gt;0,E816*(1+F816/30),F816))=X816,IF(N(E816)&gt;0,E816&amp;" x "&amp;F816,F816&amp;" reps"),IF(IF(N(H816)=0,0,IF(N(G816)&gt;0,G816*(1+H816/30),H816))=X816,IF(N(G816)&gt;0,G816&amp;" x "&amp;H816,H816&amp;" reps"),IF(IF(N(J816)=0,0,IF(N(I816)&gt;0,I816*(1+J816/30),J816))=X816,IF(N(I816)&gt;0,I816&amp;" x "&amp;J816,J816&amp;" reps"),IF(IF(N(L816)=0,0,IF(N(K816)&gt;0,K816*(1+L816/30),L816))=X816,IF(N(K816)&gt;0,K816&amp;" x "&amp;L816,L816&amp;" reps"),IF(IF(N(N816)=0,0,IF(N(M816)&gt;0,M816*(1+N816/30),N816))=X816,IF(N(M816)&gt;0,M816&amp;" x "&amp;N816,N816&amp;" reps"),""))))))</f>
        <v/>
      </c>
      <c r="R816" s="20">
        <f>IF(N(X816)=0,"",ROUND(X816,1))</f>
        <v/>
      </c>
      <c r="S816" s="18">
        <f>IF(N(X816)=0,"",IF(AND(COUNTIFS(Log!$D$6:$D$1505,D816,Log!$B$6:$B$1505,"&lt;"&amp;B816)&gt;0,COUNTIFS(Log!$D$6:$D$1505,D816,Log!$B$6:$B$1505,"&lt;"&amp;B816,Log!$X$6:$X$1505,"&gt;="&amp;X816)=0),"New best",""))</f>
        <v/>
      </c>
      <c r="T816" s="26" t="n"/>
      <c r="U816" s="1">
        <f>IF(D816="","",IFERROR(INDEX(Exercises!$C$6:$C$105,MATCH(D816,Exercises!$B$6:$B$105,0)),"Other"))</f>
        <v/>
      </c>
      <c r="V816">
        <f>IF(B816="","",IF(COUNTIF($B$6:B816,B816)=1,1,0))</f>
        <v/>
      </c>
      <c r="W816">
        <f>IF(B816="","",B816-WEEKDAY(B816,3))</f>
        <v/>
      </c>
      <c r="X816">
        <f>IF(D816="","",MAX(IF(N(F816)=0,0,IF(N(E816)&gt;0,E816*(1+F816/30),F816)),IF(N(H816)=0,0,IF(N(G816)&gt;0,G816*(1+H816/30),H816)),IF(N(J816)=0,0,IF(N(I816)&gt;0,I816*(1+J816/30),J816)),IF(N(L816)=0,0,IF(N(K816)&gt;0,K816*(1+L816/30),L816)),IF(N(N816)=0,0,IF(N(M816)&gt;0,M816*(1+N816/30),N816))))</f>
        <v/>
      </c>
      <c r="Y816">
        <f>IF(N(X816)=0,"",X816+ROW()/1000000000)</f>
        <v/>
      </c>
      <c r="Z816">
        <f>IF(Y816="","",IF(COUNTIFS(Log!$D$6:$D$1505,D816,Log!$Y$6:$Y$1505,"&gt;"&amp;Y816)=0,1,0))</f>
        <v/>
      </c>
      <c r="AA816">
        <f>IF(OR(B816="",D816=""),"",B816+ROW()/10000000)</f>
        <v/>
      </c>
      <c r="AB816">
        <f>IF(AA816="","",IF(COUNTIFS(Log!$D$6:$D$1505,D816,Log!$AA$6:$AA$1505,"&gt;"&amp;AA816)=0,1,0))</f>
        <v/>
      </c>
      <c r="AC816">
        <f>IF(S816="New best",AA816,"")</f>
        <v/>
      </c>
      <c r="AD816">
        <f>ROW()</f>
        <v/>
      </c>
    </row>
    <row r="817">
      <c r="A817" s="1" t="n"/>
      <c r="B817" s="21" t="n"/>
      <c r="C817" s="22" t="n"/>
      <c r="D817" s="23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15">
        <f>IF(D817="","",COUNT(F817,H817,J817,L817,N817))</f>
        <v/>
      </c>
      <c r="P817" s="25">
        <f>IF(D817="","",N(E817)*N(F817)+N(G817)*N(H817)+N(I817)*N(J817)+N(K817)*N(L817)+N(M817)*N(N817))</f>
        <v/>
      </c>
      <c r="Q817" s="18">
        <f>IF(N(X817)=0,"",IF(IF(N(F817)=0,0,IF(N(E817)&gt;0,E817*(1+F817/30),F817))=X817,IF(N(E817)&gt;0,E817&amp;" x "&amp;F817,F817&amp;" reps"),IF(IF(N(H817)=0,0,IF(N(G817)&gt;0,G817*(1+H817/30),H817))=X817,IF(N(G817)&gt;0,G817&amp;" x "&amp;H817,H817&amp;" reps"),IF(IF(N(J817)=0,0,IF(N(I817)&gt;0,I817*(1+J817/30),J817))=X817,IF(N(I817)&gt;0,I817&amp;" x "&amp;J817,J817&amp;" reps"),IF(IF(N(L817)=0,0,IF(N(K817)&gt;0,K817*(1+L817/30),L817))=X817,IF(N(K817)&gt;0,K817&amp;" x "&amp;L817,L817&amp;" reps"),IF(IF(N(N817)=0,0,IF(N(M817)&gt;0,M817*(1+N817/30),N817))=X817,IF(N(M817)&gt;0,M817&amp;" x "&amp;N817,N817&amp;" reps"),""))))))</f>
        <v/>
      </c>
      <c r="R817" s="20">
        <f>IF(N(X817)=0,"",ROUND(X817,1))</f>
        <v/>
      </c>
      <c r="S817" s="18">
        <f>IF(N(X817)=0,"",IF(AND(COUNTIFS(Log!$D$6:$D$1505,D817,Log!$B$6:$B$1505,"&lt;"&amp;B817)&gt;0,COUNTIFS(Log!$D$6:$D$1505,D817,Log!$B$6:$B$1505,"&lt;"&amp;B817,Log!$X$6:$X$1505,"&gt;="&amp;X817)=0),"New best",""))</f>
        <v/>
      </c>
      <c r="T817" s="26" t="n"/>
      <c r="U817" s="1">
        <f>IF(D817="","",IFERROR(INDEX(Exercises!$C$6:$C$105,MATCH(D817,Exercises!$B$6:$B$105,0)),"Other"))</f>
        <v/>
      </c>
      <c r="V817">
        <f>IF(B817="","",IF(COUNTIF($B$6:B817,B817)=1,1,0))</f>
        <v/>
      </c>
      <c r="W817">
        <f>IF(B817="","",B817-WEEKDAY(B817,3))</f>
        <v/>
      </c>
      <c r="X817">
        <f>IF(D817="","",MAX(IF(N(F817)=0,0,IF(N(E817)&gt;0,E817*(1+F817/30),F817)),IF(N(H817)=0,0,IF(N(G817)&gt;0,G817*(1+H817/30),H817)),IF(N(J817)=0,0,IF(N(I817)&gt;0,I817*(1+J817/30),J817)),IF(N(L817)=0,0,IF(N(K817)&gt;0,K817*(1+L817/30),L817)),IF(N(N817)=0,0,IF(N(M817)&gt;0,M817*(1+N817/30),N817))))</f>
        <v/>
      </c>
      <c r="Y817">
        <f>IF(N(X817)=0,"",X817+ROW()/1000000000)</f>
        <v/>
      </c>
      <c r="Z817">
        <f>IF(Y817="","",IF(COUNTIFS(Log!$D$6:$D$1505,D817,Log!$Y$6:$Y$1505,"&gt;"&amp;Y817)=0,1,0))</f>
        <v/>
      </c>
      <c r="AA817">
        <f>IF(OR(B817="",D817=""),"",B817+ROW()/10000000)</f>
        <v/>
      </c>
      <c r="AB817">
        <f>IF(AA817="","",IF(COUNTIFS(Log!$D$6:$D$1505,D817,Log!$AA$6:$AA$1505,"&gt;"&amp;AA817)=0,1,0))</f>
        <v/>
      </c>
      <c r="AC817">
        <f>IF(S817="New best",AA817,"")</f>
        <v/>
      </c>
      <c r="AD817">
        <f>ROW()</f>
        <v/>
      </c>
    </row>
    <row r="818">
      <c r="A818" s="1" t="n"/>
      <c r="B818" s="21" t="n"/>
      <c r="C818" s="22" t="n"/>
      <c r="D818" s="23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15">
        <f>IF(D818="","",COUNT(F818,H818,J818,L818,N818))</f>
        <v/>
      </c>
      <c r="P818" s="25">
        <f>IF(D818="","",N(E818)*N(F818)+N(G818)*N(H818)+N(I818)*N(J818)+N(K818)*N(L818)+N(M818)*N(N818))</f>
        <v/>
      </c>
      <c r="Q818" s="18">
        <f>IF(N(X818)=0,"",IF(IF(N(F818)=0,0,IF(N(E818)&gt;0,E818*(1+F818/30),F818))=X818,IF(N(E818)&gt;0,E818&amp;" x "&amp;F818,F818&amp;" reps"),IF(IF(N(H818)=0,0,IF(N(G818)&gt;0,G818*(1+H818/30),H818))=X818,IF(N(G818)&gt;0,G818&amp;" x "&amp;H818,H818&amp;" reps"),IF(IF(N(J818)=0,0,IF(N(I818)&gt;0,I818*(1+J818/30),J818))=X818,IF(N(I818)&gt;0,I818&amp;" x "&amp;J818,J818&amp;" reps"),IF(IF(N(L818)=0,0,IF(N(K818)&gt;0,K818*(1+L818/30),L818))=X818,IF(N(K818)&gt;0,K818&amp;" x "&amp;L818,L818&amp;" reps"),IF(IF(N(N818)=0,0,IF(N(M818)&gt;0,M818*(1+N818/30),N818))=X818,IF(N(M818)&gt;0,M818&amp;" x "&amp;N818,N818&amp;" reps"),""))))))</f>
        <v/>
      </c>
      <c r="R818" s="20">
        <f>IF(N(X818)=0,"",ROUND(X818,1))</f>
        <v/>
      </c>
      <c r="S818" s="18">
        <f>IF(N(X818)=0,"",IF(AND(COUNTIFS(Log!$D$6:$D$1505,D818,Log!$B$6:$B$1505,"&lt;"&amp;B818)&gt;0,COUNTIFS(Log!$D$6:$D$1505,D818,Log!$B$6:$B$1505,"&lt;"&amp;B818,Log!$X$6:$X$1505,"&gt;="&amp;X818)=0),"New best",""))</f>
        <v/>
      </c>
      <c r="T818" s="26" t="n"/>
      <c r="U818" s="1">
        <f>IF(D818="","",IFERROR(INDEX(Exercises!$C$6:$C$105,MATCH(D818,Exercises!$B$6:$B$105,0)),"Other"))</f>
        <v/>
      </c>
      <c r="V818">
        <f>IF(B818="","",IF(COUNTIF($B$6:B818,B818)=1,1,0))</f>
        <v/>
      </c>
      <c r="W818">
        <f>IF(B818="","",B818-WEEKDAY(B818,3))</f>
        <v/>
      </c>
      <c r="X818">
        <f>IF(D818="","",MAX(IF(N(F818)=0,0,IF(N(E818)&gt;0,E818*(1+F818/30),F818)),IF(N(H818)=0,0,IF(N(G818)&gt;0,G818*(1+H818/30),H818)),IF(N(J818)=0,0,IF(N(I818)&gt;0,I818*(1+J818/30),J818)),IF(N(L818)=0,0,IF(N(K818)&gt;0,K818*(1+L818/30),L818)),IF(N(N818)=0,0,IF(N(M818)&gt;0,M818*(1+N818/30),N818))))</f>
        <v/>
      </c>
      <c r="Y818">
        <f>IF(N(X818)=0,"",X818+ROW()/1000000000)</f>
        <v/>
      </c>
      <c r="Z818">
        <f>IF(Y818="","",IF(COUNTIFS(Log!$D$6:$D$1505,D818,Log!$Y$6:$Y$1505,"&gt;"&amp;Y818)=0,1,0))</f>
        <v/>
      </c>
      <c r="AA818">
        <f>IF(OR(B818="",D818=""),"",B818+ROW()/10000000)</f>
        <v/>
      </c>
      <c r="AB818">
        <f>IF(AA818="","",IF(COUNTIFS(Log!$D$6:$D$1505,D818,Log!$AA$6:$AA$1505,"&gt;"&amp;AA818)=0,1,0))</f>
        <v/>
      </c>
      <c r="AC818">
        <f>IF(S818="New best",AA818,"")</f>
        <v/>
      </c>
      <c r="AD818">
        <f>ROW()</f>
        <v/>
      </c>
    </row>
    <row r="819">
      <c r="A819" s="1" t="n"/>
      <c r="B819" s="21" t="n"/>
      <c r="C819" s="22" t="n"/>
      <c r="D819" s="23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15">
        <f>IF(D819="","",COUNT(F819,H819,J819,L819,N819))</f>
        <v/>
      </c>
      <c r="P819" s="25">
        <f>IF(D819="","",N(E819)*N(F819)+N(G819)*N(H819)+N(I819)*N(J819)+N(K819)*N(L819)+N(M819)*N(N819))</f>
        <v/>
      </c>
      <c r="Q819" s="18">
        <f>IF(N(X819)=0,"",IF(IF(N(F819)=0,0,IF(N(E819)&gt;0,E819*(1+F819/30),F819))=X819,IF(N(E819)&gt;0,E819&amp;" x "&amp;F819,F819&amp;" reps"),IF(IF(N(H819)=0,0,IF(N(G819)&gt;0,G819*(1+H819/30),H819))=X819,IF(N(G819)&gt;0,G819&amp;" x "&amp;H819,H819&amp;" reps"),IF(IF(N(J819)=0,0,IF(N(I819)&gt;0,I819*(1+J819/30),J819))=X819,IF(N(I819)&gt;0,I819&amp;" x "&amp;J819,J819&amp;" reps"),IF(IF(N(L819)=0,0,IF(N(K819)&gt;0,K819*(1+L819/30),L819))=X819,IF(N(K819)&gt;0,K819&amp;" x "&amp;L819,L819&amp;" reps"),IF(IF(N(N819)=0,0,IF(N(M819)&gt;0,M819*(1+N819/30),N819))=X819,IF(N(M819)&gt;0,M819&amp;" x "&amp;N819,N819&amp;" reps"),""))))))</f>
        <v/>
      </c>
      <c r="R819" s="20">
        <f>IF(N(X819)=0,"",ROUND(X819,1))</f>
        <v/>
      </c>
      <c r="S819" s="18">
        <f>IF(N(X819)=0,"",IF(AND(COUNTIFS(Log!$D$6:$D$1505,D819,Log!$B$6:$B$1505,"&lt;"&amp;B819)&gt;0,COUNTIFS(Log!$D$6:$D$1505,D819,Log!$B$6:$B$1505,"&lt;"&amp;B819,Log!$X$6:$X$1505,"&gt;="&amp;X819)=0),"New best",""))</f>
        <v/>
      </c>
      <c r="T819" s="26" t="n"/>
      <c r="U819" s="1">
        <f>IF(D819="","",IFERROR(INDEX(Exercises!$C$6:$C$105,MATCH(D819,Exercises!$B$6:$B$105,0)),"Other"))</f>
        <v/>
      </c>
      <c r="V819">
        <f>IF(B819="","",IF(COUNTIF($B$6:B819,B819)=1,1,0))</f>
        <v/>
      </c>
      <c r="W819">
        <f>IF(B819="","",B819-WEEKDAY(B819,3))</f>
        <v/>
      </c>
      <c r="X819">
        <f>IF(D819="","",MAX(IF(N(F819)=0,0,IF(N(E819)&gt;0,E819*(1+F819/30),F819)),IF(N(H819)=0,0,IF(N(G819)&gt;0,G819*(1+H819/30),H819)),IF(N(J819)=0,0,IF(N(I819)&gt;0,I819*(1+J819/30),J819)),IF(N(L819)=0,0,IF(N(K819)&gt;0,K819*(1+L819/30),L819)),IF(N(N819)=0,0,IF(N(M819)&gt;0,M819*(1+N819/30),N819))))</f>
        <v/>
      </c>
      <c r="Y819">
        <f>IF(N(X819)=0,"",X819+ROW()/1000000000)</f>
        <v/>
      </c>
      <c r="Z819">
        <f>IF(Y819="","",IF(COUNTIFS(Log!$D$6:$D$1505,D819,Log!$Y$6:$Y$1505,"&gt;"&amp;Y819)=0,1,0))</f>
        <v/>
      </c>
      <c r="AA819">
        <f>IF(OR(B819="",D819=""),"",B819+ROW()/10000000)</f>
        <v/>
      </c>
      <c r="AB819">
        <f>IF(AA819="","",IF(COUNTIFS(Log!$D$6:$D$1505,D819,Log!$AA$6:$AA$1505,"&gt;"&amp;AA819)=0,1,0))</f>
        <v/>
      </c>
      <c r="AC819">
        <f>IF(S819="New best",AA819,"")</f>
        <v/>
      </c>
      <c r="AD819">
        <f>ROW()</f>
        <v/>
      </c>
    </row>
    <row r="820">
      <c r="A820" s="1" t="n"/>
      <c r="B820" s="21" t="n"/>
      <c r="C820" s="22" t="n"/>
      <c r="D820" s="23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15">
        <f>IF(D820="","",COUNT(F820,H820,J820,L820,N820))</f>
        <v/>
      </c>
      <c r="P820" s="25">
        <f>IF(D820="","",N(E820)*N(F820)+N(G820)*N(H820)+N(I820)*N(J820)+N(K820)*N(L820)+N(M820)*N(N820))</f>
        <v/>
      </c>
      <c r="Q820" s="18">
        <f>IF(N(X820)=0,"",IF(IF(N(F820)=0,0,IF(N(E820)&gt;0,E820*(1+F820/30),F820))=X820,IF(N(E820)&gt;0,E820&amp;" x "&amp;F820,F820&amp;" reps"),IF(IF(N(H820)=0,0,IF(N(G820)&gt;0,G820*(1+H820/30),H820))=X820,IF(N(G820)&gt;0,G820&amp;" x "&amp;H820,H820&amp;" reps"),IF(IF(N(J820)=0,0,IF(N(I820)&gt;0,I820*(1+J820/30),J820))=X820,IF(N(I820)&gt;0,I820&amp;" x "&amp;J820,J820&amp;" reps"),IF(IF(N(L820)=0,0,IF(N(K820)&gt;0,K820*(1+L820/30),L820))=X820,IF(N(K820)&gt;0,K820&amp;" x "&amp;L820,L820&amp;" reps"),IF(IF(N(N820)=0,0,IF(N(M820)&gt;0,M820*(1+N820/30),N820))=X820,IF(N(M820)&gt;0,M820&amp;" x "&amp;N820,N820&amp;" reps"),""))))))</f>
        <v/>
      </c>
      <c r="R820" s="20">
        <f>IF(N(X820)=0,"",ROUND(X820,1))</f>
        <v/>
      </c>
      <c r="S820" s="18">
        <f>IF(N(X820)=0,"",IF(AND(COUNTIFS(Log!$D$6:$D$1505,D820,Log!$B$6:$B$1505,"&lt;"&amp;B820)&gt;0,COUNTIFS(Log!$D$6:$D$1505,D820,Log!$B$6:$B$1505,"&lt;"&amp;B820,Log!$X$6:$X$1505,"&gt;="&amp;X820)=0),"New best",""))</f>
        <v/>
      </c>
      <c r="T820" s="26" t="n"/>
      <c r="U820" s="1">
        <f>IF(D820="","",IFERROR(INDEX(Exercises!$C$6:$C$105,MATCH(D820,Exercises!$B$6:$B$105,0)),"Other"))</f>
        <v/>
      </c>
      <c r="V820">
        <f>IF(B820="","",IF(COUNTIF($B$6:B820,B820)=1,1,0))</f>
        <v/>
      </c>
      <c r="W820">
        <f>IF(B820="","",B820-WEEKDAY(B820,3))</f>
        <v/>
      </c>
      <c r="X820">
        <f>IF(D820="","",MAX(IF(N(F820)=0,0,IF(N(E820)&gt;0,E820*(1+F820/30),F820)),IF(N(H820)=0,0,IF(N(G820)&gt;0,G820*(1+H820/30),H820)),IF(N(J820)=0,0,IF(N(I820)&gt;0,I820*(1+J820/30),J820)),IF(N(L820)=0,0,IF(N(K820)&gt;0,K820*(1+L820/30),L820)),IF(N(N820)=0,0,IF(N(M820)&gt;0,M820*(1+N820/30),N820))))</f>
        <v/>
      </c>
      <c r="Y820">
        <f>IF(N(X820)=0,"",X820+ROW()/1000000000)</f>
        <v/>
      </c>
      <c r="Z820">
        <f>IF(Y820="","",IF(COUNTIFS(Log!$D$6:$D$1505,D820,Log!$Y$6:$Y$1505,"&gt;"&amp;Y820)=0,1,0))</f>
        <v/>
      </c>
      <c r="AA820">
        <f>IF(OR(B820="",D820=""),"",B820+ROW()/10000000)</f>
        <v/>
      </c>
      <c r="AB820">
        <f>IF(AA820="","",IF(COUNTIFS(Log!$D$6:$D$1505,D820,Log!$AA$6:$AA$1505,"&gt;"&amp;AA820)=0,1,0))</f>
        <v/>
      </c>
      <c r="AC820">
        <f>IF(S820="New best",AA820,"")</f>
        <v/>
      </c>
      <c r="AD820">
        <f>ROW()</f>
        <v/>
      </c>
    </row>
    <row r="821">
      <c r="A821" s="1" t="n"/>
      <c r="B821" s="21" t="n"/>
      <c r="C821" s="22" t="n"/>
      <c r="D821" s="23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15">
        <f>IF(D821="","",COUNT(F821,H821,J821,L821,N821))</f>
        <v/>
      </c>
      <c r="P821" s="25">
        <f>IF(D821="","",N(E821)*N(F821)+N(G821)*N(H821)+N(I821)*N(J821)+N(K821)*N(L821)+N(M821)*N(N821))</f>
        <v/>
      </c>
      <c r="Q821" s="18">
        <f>IF(N(X821)=0,"",IF(IF(N(F821)=0,0,IF(N(E821)&gt;0,E821*(1+F821/30),F821))=X821,IF(N(E821)&gt;0,E821&amp;" x "&amp;F821,F821&amp;" reps"),IF(IF(N(H821)=0,0,IF(N(G821)&gt;0,G821*(1+H821/30),H821))=X821,IF(N(G821)&gt;0,G821&amp;" x "&amp;H821,H821&amp;" reps"),IF(IF(N(J821)=0,0,IF(N(I821)&gt;0,I821*(1+J821/30),J821))=X821,IF(N(I821)&gt;0,I821&amp;" x "&amp;J821,J821&amp;" reps"),IF(IF(N(L821)=0,0,IF(N(K821)&gt;0,K821*(1+L821/30),L821))=X821,IF(N(K821)&gt;0,K821&amp;" x "&amp;L821,L821&amp;" reps"),IF(IF(N(N821)=0,0,IF(N(M821)&gt;0,M821*(1+N821/30),N821))=X821,IF(N(M821)&gt;0,M821&amp;" x "&amp;N821,N821&amp;" reps"),""))))))</f>
        <v/>
      </c>
      <c r="R821" s="20">
        <f>IF(N(X821)=0,"",ROUND(X821,1))</f>
        <v/>
      </c>
      <c r="S821" s="18">
        <f>IF(N(X821)=0,"",IF(AND(COUNTIFS(Log!$D$6:$D$1505,D821,Log!$B$6:$B$1505,"&lt;"&amp;B821)&gt;0,COUNTIFS(Log!$D$6:$D$1505,D821,Log!$B$6:$B$1505,"&lt;"&amp;B821,Log!$X$6:$X$1505,"&gt;="&amp;X821)=0),"New best",""))</f>
        <v/>
      </c>
      <c r="T821" s="26" t="n"/>
      <c r="U821" s="1">
        <f>IF(D821="","",IFERROR(INDEX(Exercises!$C$6:$C$105,MATCH(D821,Exercises!$B$6:$B$105,0)),"Other"))</f>
        <v/>
      </c>
      <c r="V821">
        <f>IF(B821="","",IF(COUNTIF($B$6:B821,B821)=1,1,0))</f>
        <v/>
      </c>
      <c r="W821">
        <f>IF(B821="","",B821-WEEKDAY(B821,3))</f>
        <v/>
      </c>
      <c r="X821">
        <f>IF(D821="","",MAX(IF(N(F821)=0,0,IF(N(E821)&gt;0,E821*(1+F821/30),F821)),IF(N(H821)=0,0,IF(N(G821)&gt;0,G821*(1+H821/30),H821)),IF(N(J821)=0,0,IF(N(I821)&gt;0,I821*(1+J821/30),J821)),IF(N(L821)=0,0,IF(N(K821)&gt;0,K821*(1+L821/30),L821)),IF(N(N821)=0,0,IF(N(M821)&gt;0,M821*(1+N821/30),N821))))</f>
        <v/>
      </c>
      <c r="Y821">
        <f>IF(N(X821)=0,"",X821+ROW()/1000000000)</f>
        <v/>
      </c>
      <c r="Z821">
        <f>IF(Y821="","",IF(COUNTIFS(Log!$D$6:$D$1505,D821,Log!$Y$6:$Y$1505,"&gt;"&amp;Y821)=0,1,0))</f>
        <v/>
      </c>
      <c r="AA821">
        <f>IF(OR(B821="",D821=""),"",B821+ROW()/10000000)</f>
        <v/>
      </c>
      <c r="AB821">
        <f>IF(AA821="","",IF(COUNTIFS(Log!$D$6:$D$1505,D821,Log!$AA$6:$AA$1505,"&gt;"&amp;AA821)=0,1,0))</f>
        <v/>
      </c>
      <c r="AC821">
        <f>IF(S821="New best",AA821,"")</f>
        <v/>
      </c>
      <c r="AD821">
        <f>ROW()</f>
        <v/>
      </c>
    </row>
    <row r="822">
      <c r="A822" s="1" t="n"/>
      <c r="B822" s="21" t="n"/>
      <c r="C822" s="22" t="n"/>
      <c r="D822" s="23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15">
        <f>IF(D822="","",COUNT(F822,H822,J822,L822,N822))</f>
        <v/>
      </c>
      <c r="P822" s="25">
        <f>IF(D822="","",N(E822)*N(F822)+N(G822)*N(H822)+N(I822)*N(J822)+N(K822)*N(L822)+N(M822)*N(N822))</f>
        <v/>
      </c>
      <c r="Q822" s="18">
        <f>IF(N(X822)=0,"",IF(IF(N(F822)=0,0,IF(N(E822)&gt;0,E822*(1+F822/30),F822))=X822,IF(N(E822)&gt;0,E822&amp;" x "&amp;F822,F822&amp;" reps"),IF(IF(N(H822)=0,0,IF(N(G822)&gt;0,G822*(1+H822/30),H822))=X822,IF(N(G822)&gt;0,G822&amp;" x "&amp;H822,H822&amp;" reps"),IF(IF(N(J822)=0,0,IF(N(I822)&gt;0,I822*(1+J822/30),J822))=X822,IF(N(I822)&gt;0,I822&amp;" x "&amp;J822,J822&amp;" reps"),IF(IF(N(L822)=0,0,IF(N(K822)&gt;0,K822*(1+L822/30),L822))=X822,IF(N(K822)&gt;0,K822&amp;" x "&amp;L822,L822&amp;" reps"),IF(IF(N(N822)=0,0,IF(N(M822)&gt;0,M822*(1+N822/30),N822))=X822,IF(N(M822)&gt;0,M822&amp;" x "&amp;N822,N822&amp;" reps"),""))))))</f>
        <v/>
      </c>
      <c r="R822" s="20">
        <f>IF(N(X822)=0,"",ROUND(X822,1))</f>
        <v/>
      </c>
      <c r="S822" s="18">
        <f>IF(N(X822)=0,"",IF(AND(COUNTIFS(Log!$D$6:$D$1505,D822,Log!$B$6:$B$1505,"&lt;"&amp;B822)&gt;0,COUNTIFS(Log!$D$6:$D$1505,D822,Log!$B$6:$B$1505,"&lt;"&amp;B822,Log!$X$6:$X$1505,"&gt;="&amp;X822)=0),"New best",""))</f>
        <v/>
      </c>
      <c r="T822" s="26" t="n"/>
      <c r="U822" s="1">
        <f>IF(D822="","",IFERROR(INDEX(Exercises!$C$6:$C$105,MATCH(D822,Exercises!$B$6:$B$105,0)),"Other"))</f>
        <v/>
      </c>
      <c r="V822">
        <f>IF(B822="","",IF(COUNTIF($B$6:B822,B822)=1,1,0))</f>
        <v/>
      </c>
      <c r="W822">
        <f>IF(B822="","",B822-WEEKDAY(B822,3))</f>
        <v/>
      </c>
      <c r="X822">
        <f>IF(D822="","",MAX(IF(N(F822)=0,0,IF(N(E822)&gt;0,E822*(1+F822/30),F822)),IF(N(H822)=0,0,IF(N(G822)&gt;0,G822*(1+H822/30),H822)),IF(N(J822)=0,0,IF(N(I822)&gt;0,I822*(1+J822/30),J822)),IF(N(L822)=0,0,IF(N(K822)&gt;0,K822*(1+L822/30),L822)),IF(N(N822)=0,0,IF(N(M822)&gt;0,M822*(1+N822/30),N822))))</f>
        <v/>
      </c>
      <c r="Y822">
        <f>IF(N(X822)=0,"",X822+ROW()/1000000000)</f>
        <v/>
      </c>
      <c r="Z822">
        <f>IF(Y822="","",IF(COUNTIFS(Log!$D$6:$D$1505,D822,Log!$Y$6:$Y$1505,"&gt;"&amp;Y822)=0,1,0))</f>
        <v/>
      </c>
      <c r="AA822">
        <f>IF(OR(B822="",D822=""),"",B822+ROW()/10000000)</f>
        <v/>
      </c>
      <c r="AB822">
        <f>IF(AA822="","",IF(COUNTIFS(Log!$D$6:$D$1505,D822,Log!$AA$6:$AA$1505,"&gt;"&amp;AA822)=0,1,0))</f>
        <v/>
      </c>
      <c r="AC822">
        <f>IF(S822="New best",AA822,"")</f>
        <v/>
      </c>
      <c r="AD822">
        <f>ROW()</f>
        <v/>
      </c>
    </row>
    <row r="823">
      <c r="A823" s="1" t="n"/>
      <c r="B823" s="21" t="n"/>
      <c r="C823" s="22" t="n"/>
      <c r="D823" s="23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15">
        <f>IF(D823="","",COUNT(F823,H823,J823,L823,N823))</f>
        <v/>
      </c>
      <c r="P823" s="25">
        <f>IF(D823="","",N(E823)*N(F823)+N(G823)*N(H823)+N(I823)*N(J823)+N(K823)*N(L823)+N(M823)*N(N823))</f>
        <v/>
      </c>
      <c r="Q823" s="18">
        <f>IF(N(X823)=0,"",IF(IF(N(F823)=0,0,IF(N(E823)&gt;0,E823*(1+F823/30),F823))=X823,IF(N(E823)&gt;0,E823&amp;" x "&amp;F823,F823&amp;" reps"),IF(IF(N(H823)=0,0,IF(N(G823)&gt;0,G823*(1+H823/30),H823))=X823,IF(N(G823)&gt;0,G823&amp;" x "&amp;H823,H823&amp;" reps"),IF(IF(N(J823)=0,0,IF(N(I823)&gt;0,I823*(1+J823/30),J823))=X823,IF(N(I823)&gt;0,I823&amp;" x "&amp;J823,J823&amp;" reps"),IF(IF(N(L823)=0,0,IF(N(K823)&gt;0,K823*(1+L823/30),L823))=X823,IF(N(K823)&gt;0,K823&amp;" x "&amp;L823,L823&amp;" reps"),IF(IF(N(N823)=0,0,IF(N(M823)&gt;0,M823*(1+N823/30),N823))=X823,IF(N(M823)&gt;0,M823&amp;" x "&amp;N823,N823&amp;" reps"),""))))))</f>
        <v/>
      </c>
      <c r="R823" s="20">
        <f>IF(N(X823)=0,"",ROUND(X823,1))</f>
        <v/>
      </c>
      <c r="S823" s="18">
        <f>IF(N(X823)=0,"",IF(AND(COUNTIFS(Log!$D$6:$D$1505,D823,Log!$B$6:$B$1505,"&lt;"&amp;B823)&gt;0,COUNTIFS(Log!$D$6:$D$1505,D823,Log!$B$6:$B$1505,"&lt;"&amp;B823,Log!$X$6:$X$1505,"&gt;="&amp;X823)=0),"New best",""))</f>
        <v/>
      </c>
      <c r="T823" s="26" t="n"/>
      <c r="U823" s="1">
        <f>IF(D823="","",IFERROR(INDEX(Exercises!$C$6:$C$105,MATCH(D823,Exercises!$B$6:$B$105,0)),"Other"))</f>
        <v/>
      </c>
      <c r="V823">
        <f>IF(B823="","",IF(COUNTIF($B$6:B823,B823)=1,1,0))</f>
        <v/>
      </c>
      <c r="W823">
        <f>IF(B823="","",B823-WEEKDAY(B823,3))</f>
        <v/>
      </c>
      <c r="X823">
        <f>IF(D823="","",MAX(IF(N(F823)=0,0,IF(N(E823)&gt;0,E823*(1+F823/30),F823)),IF(N(H823)=0,0,IF(N(G823)&gt;0,G823*(1+H823/30),H823)),IF(N(J823)=0,0,IF(N(I823)&gt;0,I823*(1+J823/30),J823)),IF(N(L823)=0,0,IF(N(K823)&gt;0,K823*(1+L823/30),L823)),IF(N(N823)=0,0,IF(N(M823)&gt;0,M823*(1+N823/30),N823))))</f>
        <v/>
      </c>
      <c r="Y823">
        <f>IF(N(X823)=0,"",X823+ROW()/1000000000)</f>
        <v/>
      </c>
      <c r="Z823">
        <f>IF(Y823="","",IF(COUNTIFS(Log!$D$6:$D$1505,D823,Log!$Y$6:$Y$1505,"&gt;"&amp;Y823)=0,1,0))</f>
        <v/>
      </c>
      <c r="AA823">
        <f>IF(OR(B823="",D823=""),"",B823+ROW()/10000000)</f>
        <v/>
      </c>
      <c r="AB823">
        <f>IF(AA823="","",IF(COUNTIFS(Log!$D$6:$D$1505,D823,Log!$AA$6:$AA$1505,"&gt;"&amp;AA823)=0,1,0))</f>
        <v/>
      </c>
      <c r="AC823">
        <f>IF(S823="New best",AA823,"")</f>
        <v/>
      </c>
      <c r="AD823">
        <f>ROW()</f>
        <v/>
      </c>
    </row>
    <row r="824">
      <c r="A824" s="1" t="n"/>
      <c r="B824" s="21" t="n"/>
      <c r="C824" s="22" t="n"/>
      <c r="D824" s="23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15">
        <f>IF(D824="","",COUNT(F824,H824,J824,L824,N824))</f>
        <v/>
      </c>
      <c r="P824" s="25">
        <f>IF(D824="","",N(E824)*N(F824)+N(G824)*N(H824)+N(I824)*N(J824)+N(K824)*N(L824)+N(M824)*N(N824))</f>
        <v/>
      </c>
      <c r="Q824" s="18">
        <f>IF(N(X824)=0,"",IF(IF(N(F824)=0,0,IF(N(E824)&gt;0,E824*(1+F824/30),F824))=X824,IF(N(E824)&gt;0,E824&amp;" x "&amp;F824,F824&amp;" reps"),IF(IF(N(H824)=0,0,IF(N(G824)&gt;0,G824*(1+H824/30),H824))=X824,IF(N(G824)&gt;0,G824&amp;" x "&amp;H824,H824&amp;" reps"),IF(IF(N(J824)=0,0,IF(N(I824)&gt;0,I824*(1+J824/30),J824))=X824,IF(N(I824)&gt;0,I824&amp;" x "&amp;J824,J824&amp;" reps"),IF(IF(N(L824)=0,0,IF(N(K824)&gt;0,K824*(1+L824/30),L824))=X824,IF(N(K824)&gt;0,K824&amp;" x "&amp;L824,L824&amp;" reps"),IF(IF(N(N824)=0,0,IF(N(M824)&gt;0,M824*(1+N824/30),N824))=X824,IF(N(M824)&gt;0,M824&amp;" x "&amp;N824,N824&amp;" reps"),""))))))</f>
        <v/>
      </c>
      <c r="R824" s="20">
        <f>IF(N(X824)=0,"",ROUND(X824,1))</f>
        <v/>
      </c>
      <c r="S824" s="18">
        <f>IF(N(X824)=0,"",IF(AND(COUNTIFS(Log!$D$6:$D$1505,D824,Log!$B$6:$B$1505,"&lt;"&amp;B824)&gt;0,COUNTIFS(Log!$D$6:$D$1505,D824,Log!$B$6:$B$1505,"&lt;"&amp;B824,Log!$X$6:$X$1505,"&gt;="&amp;X824)=0),"New best",""))</f>
        <v/>
      </c>
      <c r="T824" s="26" t="n"/>
      <c r="U824" s="1">
        <f>IF(D824="","",IFERROR(INDEX(Exercises!$C$6:$C$105,MATCH(D824,Exercises!$B$6:$B$105,0)),"Other"))</f>
        <v/>
      </c>
      <c r="V824">
        <f>IF(B824="","",IF(COUNTIF($B$6:B824,B824)=1,1,0))</f>
        <v/>
      </c>
      <c r="W824">
        <f>IF(B824="","",B824-WEEKDAY(B824,3))</f>
        <v/>
      </c>
      <c r="X824">
        <f>IF(D824="","",MAX(IF(N(F824)=0,0,IF(N(E824)&gt;0,E824*(1+F824/30),F824)),IF(N(H824)=0,0,IF(N(G824)&gt;0,G824*(1+H824/30),H824)),IF(N(J824)=0,0,IF(N(I824)&gt;0,I824*(1+J824/30),J824)),IF(N(L824)=0,0,IF(N(K824)&gt;0,K824*(1+L824/30),L824)),IF(N(N824)=0,0,IF(N(M824)&gt;0,M824*(1+N824/30),N824))))</f>
        <v/>
      </c>
      <c r="Y824">
        <f>IF(N(X824)=0,"",X824+ROW()/1000000000)</f>
        <v/>
      </c>
      <c r="Z824">
        <f>IF(Y824="","",IF(COUNTIFS(Log!$D$6:$D$1505,D824,Log!$Y$6:$Y$1505,"&gt;"&amp;Y824)=0,1,0))</f>
        <v/>
      </c>
      <c r="AA824">
        <f>IF(OR(B824="",D824=""),"",B824+ROW()/10000000)</f>
        <v/>
      </c>
      <c r="AB824">
        <f>IF(AA824="","",IF(COUNTIFS(Log!$D$6:$D$1505,D824,Log!$AA$6:$AA$1505,"&gt;"&amp;AA824)=0,1,0))</f>
        <v/>
      </c>
      <c r="AC824">
        <f>IF(S824="New best",AA824,"")</f>
        <v/>
      </c>
      <c r="AD824">
        <f>ROW()</f>
        <v/>
      </c>
    </row>
    <row r="825">
      <c r="A825" s="1" t="n"/>
      <c r="B825" s="21" t="n"/>
      <c r="C825" s="22" t="n"/>
      <c r="D825" s="23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15">
        <f>IF(D825="","",COUNT(F825,H825,J825,L825,N825))</f>
        <v/>
      </c>
      <c r="P825" s="25">
        <f>IF(D825="","",N(E825)*N(F825)+N(G825)*N(H825)+N(I825)*N(J825)+N(K825)*N(L825)+N(M825)*N(N825))</f>
        <v/>
      </c>
      <c r="Q825" s="18">
        <f>IF(N(X825)=0,"",IF(IF(N(F825)=0,0,IF(N(E825)&gt;0,E825*(1+F825/30),F825))=X825,IF(N(E825)&gt;0,E825&amp;" x "&amp;F825,F825&amp;" reps"),IF(IF(N(H825)=0,0,IF(N(G825)&gt;0,G825*(1+H825/30),H825))=X825,IF(N(G825)&gt;0,G825&amp;" x "&amp;H825,H825&amp;" reps"),IF(IF(N(J825)=0,0,IF(N(I825)&gt;0,I825*(1+J825/30),J825))=X825,IF(N(I825)&gt;0,I825&amp;" x "&amp;J825,J825&amp;" reps"),IF(IF(N(L825)=0,0,IF(N(K825)&gt;0,K825*(1+L825/30),L825))=X825,IF(N(K825)&gt;0,K825&amp;" x "&amp;L825,L825&amp;" reps"),IF(IF(N(N825)=0,0,IF(N(M825)&gt;0,M825*(1+N825/30),N825))=X825,IF(N(M825)&gt;0,M825&amp;" x "&amp;N825,N825&amp;" reps"),""))))))</f>
        <v/>
      </c>
      <c r="R825" s="20">
        <f>IF(N(X825)=0,"",ROUND(X825,1))</f>
        <v/>
      </c>
      <c r="S825" s="18">
        <f>IF(N(X825)=0,"",IF(AND(COUNTIFS(Log!$D$6:$D$1505,D825,Log!$B$6:$B$1505,"&lt;"&amp;B825)&gt;0,COUNTIFS(Log!$D$6:$D$1505,D825,Log!$B$6:$B$1505,"&lt;"&amp;B825,Log!$X$6:$X$1505,"&gt;="&amp;X825)=0),"New best",""))</f>
        <v/>
      </c>
      <c r="T825" s="26" t="n"/>
      <c r="U825" s="1">
        <f>IF(D825="","",IFERROR(INDEX(Exercises!$C$6:$C$105,MATCH(D825,Exercises!$B$6:$B$105,0)),"Other"))</f>
        <v/>
      </c>
      <c r="V825">
        <f>IF(B825="","",IF(COUNTIF($B$6:B825,B825)=1,1,0))</f>
        <v/>
      </c>
      <c r="W825">
        <f>IF(B825="","",B825-WEEKDAY(B825,3))</f>
        <v/>
      </c>
      <c r="X825">
        <f>IF(D825="","",MAX(IF(N(F825)=0,0,IF(N(E825)&gt;0,E825*(1+F825/30),F825)),IF(N(H825)=0,0,IF(N(G825)&gt;0,G825*(1+H825/30),H825)),IF(N(J825)=0,0,IF(N(I825)&gt;0,I825*(1+J825/30),J825)),IF(N(L825)=0,0,IF(N(K825)&gt;0,K825*(1+L825/30),L825)),IF(N(N825)=0,0,IF(N(M825)&gt;0,M825*(1+N825/30),N825))))</f>
        <v/>
      </c>
      <c r="Y825">
        <f>IF(N(X825)=0,"",X825+ROW()/1000000000)</f>
        <v/>
      </c>
      <c r="Z825">
        <f>IF(Y825="","",IF(COUNTIFS(Log!$D$6:$D$1505,D825,Log!$Y$6:$Y$1505,"&gt;"&amp;Y825)=0,1,0))</f>
        <v/>
      </c>
      <c r="AA825">
        <f>IF(OR(B825="",D825=""),"",B825+ROW()/10000000)</f>
        <v/>
      </c>
      <c r="AB825">
        <f>IF(AA825="","",IF(COUNTIFS(Log!$D$6:$D$1505,D825,Log!$AA$6:$AA$1505,"&gt;"&amp;AA825)=0,1,0))</f>
        <v/>
      </c>
      <c r="AC825">
        <f>IF(S825="New best",AA825,"")</f>
        <v/>
      </c>
      <c r="AD825">
        <f>ROW()</f>
        <v/>
      </c>
    </row>
    <row r="826">
      <c r="A826" s="1" t="n"/>
      <c r="B826" s="21" t="n"/>
      <c r="C826" s="22" t="n"/>
      <c r="D826" s="23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15">
        <f>IF(D826="","",COUNT(F826,H826,J826,L826,N826))</f>
        <v/>
      </c>
      <c r="P826" s="25">
        <f>IF(D826="","",N(E826)*N(F826)+N(G826)*N(H826)+N(I826)*N(J826)+N(K826)*N(L826)+N(M826)*N(N826))</f>
        <v/>
      </c>
      <c r="Q826" s="18">
        <f>IF(N(X826)=0,"",IF(IF(N(F826)=0,0,IF(N(E826)&gt;0,E826*(1+F826/30),F826))=X826,IF(N(E826)&gt;0,E826&amp;" x "&amp;F826,F826&amp;" reps"),IF(IF(N(H826)=0,0,IF(N(G826)&gt;0,G826*(1+H826/30),H826))=X826,IF(N(G826)&gt;0,G826&amp;" x "&amp;H826,H826&amp;" reps"),IF(IF(N(J826)=0,0,IF(N(I826)&gt;0,I826*(1+J826/30),J826))=X826,IF(N(I826)&gt;0,I826&amp;" x "&amp;J826,J826&amp;" reps"),IF(IF(N(L826)=0,0,IF(N(K826)&gt;0,K826*(1+L826/30),L826))=X826,IF(N(K826)&gt;0,K826&amp;" x "&amp;L826,L826&amp;" reps"),IF(IF(N(N826)=0,0,IF(N(M826)&gt;0,M826*(1+N826/30),N826))=X826,IF(N(M826)&gt;0,M826&amp;" x "&amp;N826,N826&amp;" reps"),""))))))</f>
        <v/>
      </c>
      <c r="R826" s="20">
        <f>IF(N(X826)=0,"",ROUND(X826,1))</f>
        <v/>
      </c>
      <c r="S826" s="18">
        <f>IF(N(X826)=0,"",IF(AND(COUNTIFS(Log!$D$6:$D$1505,D826,Log!$B$6:$B$1505,"&lt;"&amp;B826)&gt;0,COUNTIFS(Log!$D$6:$D$1505,D826,Log!$B$6:$B$1505,"&lt;"&amp;B826,Log!$X$6:$X$1505,"&gt;="&amp;X826)=0),"New best",""))</f>
        <v/>
      </c>
      <c r="T826" s="26" t="n"/>
      <c r="U826" s="1">
        <f>IF(D826="","",IFERROR(INDEX(Exercises!$C$6:$C$105,MATCH(D826,Exercises!$B$6:$B$105,0)),"Other"))</f>
        <v/>
      </c>
      <c r="V826">
        <f>IF(B826="","",IF(COUNTIF($B$6:B826,B826)=1,1,0))</f>
        <v/>
      </c>
      <c r="W826">
        <f>IF(B826="","",B826-WEEKDAY(B826,3))</f>
        <v/>
      </c>
      <c r="X826">
        <f>IF(D826="","",MAX(IF(N(F826)=0,0,IF(N(E826)&gt;0,E826*(1+F826/30),F826)),IF(N(H826)=0,0,IF(N(G826)&gt;0,G826*(1+H826/30),H826)),IF(N(J826)=0,0,IF(N(I826)&gt;0,I826*(1+J826/30),J826)),IF(N(L826)=0,0,IF(N(K826)&gt;0,K826*(1+L826/30),L826)),IF(N(N826)=0,0,IF(N(M826)&gt;0,M826*(1+N826/30),N826))))</f>
        <v/>
      </c>
      <c r="Y826">
        <f>IF(N(X826)=0,"",X826+ROW()/1000000000)</f>
        <v/>
      </c>
      <c r="Z826">
        <f>IF(Y826="","",IF(COUNTIFS(Log!$D$6:$D$1505,D826,Log!$Y$6:$Y$1505,"&gt;"&amp;Y826)=0,1,0))</f>
        <v/>
      </c>
      <c r="AA826">
        <f>IF(OR(B826="",D826=""),"",B826+ROW()/10000000)</f>
        <v/>
      </c>
      <c r="AB826">
        <f>IF(AA826="","",IF(COUNTIFS(Log!$D$6:$D$1505,D826,Log!$AA$6:$AA$1505,"&gt;"&amp;AA826)=0,1,0))</f>
        <v/>
      </c>
      <c r="AC826">
        <f>IF(S826="New best",AA826,"")</f>
        <v/>
      </c>
      <c r="AD826">
        <f>ROW()</f>
        <v/>
      </c>
    </row>
    <row r="827">
      <c r="A827" s="1" t="n"/>
      <c r="B827" s="21" t="n"/>
      <c r="C827" s="22" t="n"/>
      <c r="D827" s="23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15">
        <f>IF(D827="","",COUNT(F827,H827,J827,L827,N827))</f>
        <v/>
      </c>
      <c r="P827" s="25">
        <f>IF(D827="","",N(E827)*N(F827)+N(G827)*N(H827)+N(I827)*N(J827)+N(K827)*N(L827)+N(M827)*N(N827))</f>
        <v/>
      </c>
      <c r="Q827" s="18">
        <f>IF(N(X827)=0,"",IF(IF(N(F827)=0,0,IF(N(E827)&gt;0,E827*(1+F827/30),F827))=X827,IF(N(E827)&gt;0,E827&amp;" x "&amp;F827,F827&amp;" reps"),IF(IF(N(H827)=0,0,IF(N(G827)&gt;0,G827*(1+H827/30),H827))=X827,IF(N(G827)&gt;0,G827&amp;" x "&amp;H827,H827&amp;" reps"),IF(IF(N(J827)=0,0,IF(N(I827)&gt;0,I827*(1+J827/30),J827))=X827,IF(N(I827)&gt;0,I827&amp;" x "&amp;J827,J827&amp;" reps"),IF(IF(N(L827)=0,0,IF(N(K827)&gt;0,K827*(1+L827/30),L827))=X827,IF(N(K827)&gt;0,K827&amp;" x "&amp;L827,L827&amp;" reps"),IF(IF(N(N827)=0,0,IF(N(M827)&gt;0,M827*(1+N827/30),N827))=X827,IF(N(M827)&gt;0,M827&amp;" x "&amp;N827,N827&amp;" reps"),""))))))</f>
        <v/>
      </c>
      <c r="R827" s="20">
        <f>IF(N(X827)=0,"",ROUND(X827,1))</f>
        <v/>
      </c>
      <c r="S827" s="18">
        <f>IF(N(X827)=0,"",IF(AND(COUNTIFS(Log!$D$6:$D$1505,D827,Log!$B$6:$B$1505,"&lt;"&amp;B827)&gt;0,COUNTIFS(Log!$D$6:$D$1505,D827,Log!$B$6:$B$1505,"&lt;"&amp;B827,Log!$X$6:$X$1505,"&gt;="&amp;X827)=0),"New best",""))</f>
        <v/>
      </c>
      <c r="T827" s="26" t="n"/>
      <c r="U827" s="1">
        <f>IF(D827="","",IFERROR(INDEX(Exercises!$C$6:$C$105,MATCH(D827,Exercises!$B$6:$B$105,0)),"Other"))</f>
        <v/>
      </c>
      <c r="V827">
        <f>IF(B827="","",IF(COUNTIF($B$6:B827,B827)=1,1,0))</f>
        <v/>
      </c>
      <c r="W827">
        <f>IF(B827="","",B827-WEEKDAY(B827,3))</f>
        <v/>
      </c>
      <c r="X827">
        <f>IF(D827="","",MAX(IF(N(F827)=0,0,IF(N(E827)&gt;0,E827*(1+F827/30),F827)),IF(N(H827)=0,0,IF(N(G827)&gt;0,G827*(1+H827/30),H827)),IF(N(J827)=0,0,IF(N(I827)&gt;0,I827*(1+J827/30),J827)),IF(N(L827)=0,0,IF(N(K827)&gt;0,K827*(1+L827/30),L827)),IF(N(N827)=0,0,IF(N(M827)&gt;0,M827*(1+N827/30),N827))))</f>
        <v/>
      </c>
      <c r="Y827">
        <f>IF(N(X827)=0,"",X827+ROW()/1000000000)</f>
        <v/>
      </c>
      <c r="Z827">
        <f>IF(Y827="","",IF(COUNTIFS(Log!$D$6:$D$1505,D827,Log!$Y$6:$Y$1505,"&gt;"&amp;Y827)=0,1,0))</f>
        <v/>
      </c>
      <c r="AA827">
        <f>IF(OR(B827="",D827=""),"",B827+ROW()/10000000)</f>
        <v/>
      </c>
      <c r="AB827">
        <f>IF(AA827="","",IF(COUNTIFS(Log!$D$6:$D$1505,D827,Log!$AA$6:$AA$1505,"&gt;"&amp;AA827)=0,1,0))</f>
        <v/>
      </c>
      <c r="AC827">
        <f>IF(S827="New best",AA827,"")</f>
        <v/>
      </c>
      <c r="AD827">
        <f>ROW()</f>
        <v/>
      </c>
    </row>
    <row r="828">
      <c r="A828" s="1" t="n"/>
      <c r="B828" s="21" t="n"/>
      <c r="C828" s="22" t="n"/>
      <c r="D828" s="23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15">
        <f>IF(D828="","",COUNT(F828,H828,J828,L828,N828))</f>
        <v/>
      </c>
      <c r="P828" s="25">
        <f>IF(D828="","",N(E828)*N(F828)+N(G828)*N(H828)+N(I828)*N(J828)+N(K828)*N(L828)+N(M828)*N(N828))</f>
        <v/>
      </c>
      <c r="Q828" s="18">
        <f>IF(N(X828)=0,"",IF(IF(N(F828)=0,0,IF(N(E828)&gt;0,E828*(1+F828/30),F828))=X828,IF(N(E828)&gt;0,E828&amp;" x "&amp;F828,F828&amp;" reps"),IF(IF(N(H828)=0,0,IF(N(G828)&gt;0,G828*(1+H828/30),H828))=X828,IF(N(G828)&gt;0,G828&amp;" x "&amp;H828,H828&amp;" reps"),IF(IF(N(J828)=0,0,IF(N(I828)&gt;0,I828*(1+J828/30),J828))=X828,IF(N(I828)&gt;0,I828&amp;" x "&amp;J828,J828&amp;" reps"),IF(IF(N(L828)=0,0,IF(N(K828)&gt;0,K828*(1+L828/30),L828))=X828,IF(N(K828)&gt;0,K828&amp;" x "&amp;L828,L828&amp;" reps"),IF(IF(N(N828)=0,0,IF(N(M828)&gt;0,M828*(1+N828/30),N828))=X828,IF(N(M828)&gt;0,M828&amp;" x "&amp;N828,N828&amp;" reps"),""))))))</f>
        <v/>
      </c>
      <c r="R828" s="20">
        <f>IF(N(X828)=0,"",ROUND(X828,1))</f>
        <v/>
      </c>
      <c r="S828" s="18">
        <f>IF(N(X828)=0,"",IF(AND(COUNTIFS(Log!$D$6:$D$1505,D828,Log!$B$6:$B$1505,"&lt;"&amp;B828)&gt;0,COUNTIFS(Log!$D$6:$D$1505,D828,Log!$B$6:$B$1505,"&lt;"&amp;B828,Log!$X$6:$X$1505,"&gt;="&amp;X828)=0),"New best",""))</f>
        <v/>
      </c>
      <c r="T828" s="26" t="n"/>
      <c r="U828" s="1">
        <f>IF(D828="","",IFERROR(INDEX(Exercises!$C$6:$C$105,MATCH(D828,Exercises!$B$6:$B$105,0)),"Other"))</f>
        <v/>
      </c>
      <c r="V828">
        <f>IF(B828="","",IF(COUNTIF($B$6:B828,B828)=1,1,0))</f>
        <v/>
      </c>
      <c r="W828">
        <f>IF(B828="","",B828-WEEKDAY(B828,3))</f>
        <v/>
      </c>
      <c r="X828">
        <f>IF(D828="","",MAX(IF(N(F828)=0,0,IF(N(E828)&gt;0,E828*(1+F828/30),F828)),IF(N(H828)=0,0,IF(N(G828)&gt;0,G828*(1+H828/30),H828)),IF(N(J828)=0,0,IF(N(I828)&gt;0,I828*(1+J828/30),J828)),IF(N(L828)=0,0,IF(N(K828)&gt;0,K828*(1+L828/30),L828)),IF(N(N828)=0,0,IF(N(M828)&gt;0,M828*(1+N828/30),N828))))</f>
        <v/>
      </c>
      <c r="Y828">
        <f>IF(N(X828)=0,"",X828+ROW()/1000000000)</f>
        <v/>
      </c>
      <c r="Z828">
        <f>IF(Y828="","",IF(COUNTIFS(Log!$D$6:$D$1505,D828,Log!$Y$6:$Y$1505,"&gt;"&amp;Y828)=0,1,0))</f>
        <v/>
      </c>
      <c r="AA828">
        <f>IF(OR(B828="",D828=""),"",B828+ROW()/10000000)</f>
        <v/>
      </c>
      <c r="AB828">
        <f>IF(AA828="","",IF(COUNTIFS(Log!$D$6:$D$1505,D828,Log!$AA$6:$AA$1505,"&gt;"&amp;AA828)=0,1,0))</f>
        <v/>
      </c>
      <c r="AC828">
        <f>IF(S828="New best",AA828,"")</f>
        <v/>
      </c>
      <c r="AD828">
        <f>ROW()</f>
        <v/>
      </c>
    </row>
    <row r="829">
      <c r="A829" s="1" t="n"/>
      <c r="B829" s="21" t="n"/>
      <c r="C829" s="22" t="n"/>
      <c r="D829" s="23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15">
        <f>IF(D829="","",COUNT(F829,H829,J829,L829,N829))</f>
        <v/>
      </c>
      <c r="P829" s="25">
        <f>IF(D829="","",N(E829)*N(F829)+N(G829)*N(H829)+N(I829)*N(J829)+N(K829)*N(L829)+N(M829)*N(N829))</f>
        <v/>
      </c>
      <c r="Q829" s="18">
        <f>IF(N(X829)=0,"",IF(IF(N(F829)=0,0,IF(N(E829)&gt;0,E829*(1+F829/30),F829))=X829,IF(N(E829)&gt;0,E829&amp;" x "&amp;F829,F829&amp;" reps"),IF(IF(N(H829)=0,0,IF(N(G829)&gt;0,G829*(1+H829/30),H829))=X829,IF(N(G829)&gt;0,G829&amp;" x "&amp;H829,H829&amp;" reps"),IF(IF(N(J829)=0,0,IF(N(I829)&gt;0,I829*(1+J829/30),J829))=X829,IF(N(I829)&gt;0,I829&amp;" x "&amp;J829,J829&amp;" reps"),IF(IF(N(L829)=0,0,IF(N(K829)&gt;0,K829*(1+L829/30),L829))=X829,IF(N(K829)&gt;0,K829&amp;" x "&amp;L829,L829&amp;" reps"),IF(IF(N(N829)=0,0,IF(N(M829)&gt;0,M829*(1+N829/30),N829))=X829,IF(N(M829)&gt;0,M829&amp;" x "&amp;N829,N829&amp;" reps"),""))))))</f>
        <v/>
      </c>
      <c r="R829" s="20">
        <f>IF(N(X829)=0,"",ROUND(X829,1))</f>
        <v/>
      </c>
      <c r="S829" s="18">
        <f>IF(N(X829)=0,"",IF(AND(COUNTIFS(Log!$D$6:$D$1505,D829,Log!$B$6:$B$1505,"&lt;"&amp;B829)&gt;0,COUNTIFS(Log!$D$6:$D$1505,D829,Log!$B$6:$B$1505,"&lt;"&amp;B829,Log!$X$6:$X$1505,"&gt;="&amp;X829)=0),"New best",""))</f>
        <v/>
      </c>
      <c r="T829" s="26" t="n"/>
      <c r="U829" s="1">
        <f>IF(D829="","",IFERROR(INDEX(Exercises!$C$6:$C$105,MATCH(D829,Exercises!$B$6:$B$105,0)),"Other"))</f>
        <v/>
      </c>
      <c r="V829">
        <f>IF(B829="","",IF(COUNTIF($B$6:B829,B829)=1,1,0))</f>
        <v/>
      </c>
      <c r="W829">
        <f>IF(B829="","",B829-WEEKDAY(B829,3))</f>
        <v/>
      </c>
      <c r="X829">
        <f>IF(D829="","",MAX(IF(N(F829)=0,0,IF(N(E829)&gt;0,E829*(1+F829/30),F829)),IF(N(H829)=0,0,IF(N(G829)&gt;0,G829*(1+H829/30),H829)),IF(N(J829)=0,0,IF(N(I829)&gt;0,I829*(1+J829/30),J829)),IF(N(L829)=0,0,IF(N(K829)&gt;0,K829*(1+L829/30),L829)),IF(N(N829)=0,0,IF(N(M829)&gt;0,M829*(1+N829/30),N829))))</f>
        <v/>
      </c>
      <c r="Y829">
        <f>IF(N(X829)=0,"",X829+ROW()/1000000000)</f>
        <v/>
      </c>
      <c r="Z829">
        <f>IF(Y829="","",IF(COUNTIFS(Log!$D$6:$D$1505,D829,Log!$Y$6:$Y$1505,"&gt;"&amp;Y829)=0,1,0))</f>
        <v/>
      </c>
      <c r="AA829">
        <f>IF(OR(B829="",D829=""),"",B829+ROW()/10000000)</f>
        <v/>
      </c>
      <c r="AB829">
        <f>IF(AA829="","",IF(COUNTIFS(Log!$D$6:$D$1505,D829,Log!$AA$6:$AA$1505,"&gt;"&amp;AA829)=0,1,0))</f>
        <v/>
      </c>
      <c r="AC829">
        <f>IF(S829="New best",AA829,"")</f>
        <v/>
      </c>
      <c r="AD829">
        <f>ROW()</f>
        <v/>
      </c>
    </row>
    <row r="830">
      <c r="A830" s="1" t="n"/>
      <c r="B830" s="21" t="n"/>
      <c r="C830" s="22" t="n"/>
      <c r="D830" s="23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15">
        <f>IF(D830="","",COUNT(F830,H830,J830,L830,N830))</f>
        <v/>
      </c>
      <c r="P830" s="25">
        <f>IF(D830="","",N(E830)*N(F830)+N(G830)*N(H830)+N(I830)*N(J830)+N(K830)*N(L830)+N(M830)*N(N830))</f>
        <v/>
      </c>
      <c r="Q830" s="18">
        <f>IF(N(X830)=0,"",IF(IF(N(F830)=0,0,IF(N(E830)&gt;0,E830*(1+F830/30),F830))=X830,IF(N(E830)&gt;0,E830&amp;" x "&amp;F830,F830&amp;" reps"),IF(IF(N(H830)=0,0,IF(N(G830)&gt;0,G830*(1+H830/30),H830))=X830,IF(N(G830)&gt;0,G830&amp;" x "&amp;H830,H830&amp;" reps"),IF(IF(N(J830)=0,0,IF(N(I830)&gt;0,I830*(1+J830/30),J830))=X830,IF(N(I830)&gt;0,I830&amp;" x "&amp;J830,J830&amp;" reps"),IF(IF(N(L830)=0,0,IF(N(K830)&gt;0,K830*(1+L830/30),L830))=X830,IF(N(K830)&gt;0,K830&amp;" x "&amp;L830,L830&amp;" reps"),IF(IF(N(N830)=0,0,IF(N(M830)&gt;0,M830*(1+N830/30),N830))=X830,IF(N(M830)&gt;0,M830&amp;" x "&amp;N830,N830&amp;" reps"),""))))))</f>
        <v/>
      </c>
      <c r="R830" s="20">
        <f>IF(N(X830)=0,"",ROUND(X830,1))</f>
        <v/>
      </c>
      <c r="S830" s="18">
        <f>IF(N(X830)=0,"",IF(AND(COUNTIFS(Log!$D$6:$D$1505,D830,Log!$B$6:$B$1505,"&lt;"&amp;B830)&gt;0,COUNTIFS(Log!$D$6:$D$1505,D830,Log!$B$6:$B$1505,"&lt;"&amp;B830,Log!$X$6:$X$1505,"&gt;="&amp;X830)=0),"New best",""))</f>
        <v/>
      </c>
      <c r="T830" s="26" t="n"/>
      <c r="U830" s="1">
        <f>IF(D830="","",IFERROR(INDEX(Exercises!$C$6:$C$105,MATCH(D830,Exercises!$B$6:$B$105,0)),"Other"))</f>
        <v/>
      </c>
      <c r="V830">
        <f>IF(B830="","",IF(COUNTIF($B$6:B830,B830)=1,1,0))</f>
        <v/>
      </c>
      <c r="W830">
        <f>IF(B830="","",B830-WEEKDAY(B830,3))</f>
        <v/>
      </c>
      <c r="X830">
        <f>IF(D830="","",MAX(IF(N(F830)=0,0,IF(N(E830)&gt;0,E830*(1+F830/30),F830)),IF(N(H830)=0,0,IF(N(G830)&gt;0,G830*(1+H830/30),H830)),IF(N(J830)=0,0,IF(N(I830)&gt;0,I830*(1+J830/30),J830)),IF(N(L830)=0,0,IF(N(K830)&gt;0,K830*(1+L830/30),L830)),IF(N(N830)=0,0,IF(N(M830)&gt;0,M830*(1+N830/30),N830))))</f>
        <v/>
      </c>
      <c r="Y830">
        <f>IF(N(X830)=0,"",X830+ROW()/1000000000)</f>
        <v/>
      </c>
      <c r="Z830">
        <f>IF(Y830="","",IF(COUNTIFS(Log!$D$6:$D$1505,D830,Log!$Y$6:$Y$1505,"&gt;"&amp;Y830)=0,1,0))</f>
        <v/>
      </c>
      <c r="AA830">
        <f>IF(OR(B830="",D830=""),"",B830+ROW()/10000000)</f>
        <v/>
      </c>
      <c r="AB830">
        <f>IF(AA830="","",IF(COUNTIFS(Log!$D$6:$D$1505,D830,Log!$AA$6:$AA$1505,"&gt;"&amp;AA830)=0,1,0))</f>
        <v/>
      </c>
      <c r="AC830">
        <f>IF(S830="New best",AA830,"")</f>
        <v/>
      </c>
      <c r="AD830">
        <f>ROW()</f>
        <v/>
      </c>
    </row>
    <row r="831">
      <c r="A831" s="1" t="n"/>
      <c r="B831" s="21" t="n"/>
      <c r="C831" s="22" t="n"/>
      <c r="D831" s="23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15">
        <f>IF(D831="","",COUNT(F831,H831,J831,L831,N831))</f>
        <v/>
      </c>
      <c r="P831" s="25">
        <f>IF(D831="","",N(E831)*N(F831)+N(G831)*N(H831)+N(I831)*N(J831)+N(K831)*N(L831)+N(M831)*N(N831))</f>
        <v/>
      </c>
      <c r="Q831" s="18">
        <f>IF(N(X831)=0,"",IF(IF(N(F831)=0,0,IF(N(E831)&gt;0,E831*(1+F831/30),F831))=X831,IF(N(E831)&gt;0,E831&amp;" x "&amp;F831,F831&amp;" reps"),IF(IF(N(H831)=0,0,IF(N(G831)&gt;0,G831*(1+H831/30),H831))=X831,IF(N(G831)&gt;0,G831&amp;" x "&amp;H831,H831&amp;" reps"),IF(IF(N(J831)=0,0,IF(N(I831)&gt;0,I831*(1+J831/30),J831))=X831,IF(N(I831)&gt;0,I831&amp;" x "&amp;J831,J831&amp;" reps"),IF(IF(N(L831)=0,0,IF(N(K831)&gt;0,K831*(1+L831/30),L831))=X831,IF(N(K831)&gt;0,K831&amp;" x "&amp;L831,L831&amp;" reps"),IF(IF(N(N831)=0,0,IF(N(M831)&gt;0,M831*(1+N831/30),N831))=X831,IF(N(M831)&gt;0,M831&amp;" x "&amp;N831,N831&amp;" reps"),""))))))</f>
        <v/>
      </c>
      <c r="R831" s="20">
        <f>IF(N(X831)=0,"",ROUND(X831,1))</f>
        <v/>
      </c>
      <c r="S831" s="18">
        <f>IF(N(X831)=0,"",IF(AND(COUNTIFS(Log!$D$6:$D$1505,D831,Log!$B$6:$B$1505,"&lt;"&amp;B831)&gt;0,COUNTIFS(Log!$D$6:$D$1505,D831,Log!$B$6:$B$1505,"&lt;"&amp;B831,Log!$X$6:$X$1505,"&gt;="&amp;X831)=0),"New best",""))</f>
        <v/>
      </c>
      <c r="T831" s="26" t="n"/>
      <c r="U831" s="1">
        <f>IF(D831="","",IFERROR(INDEX(Exercises!$C$6:$C$105,MATCH(D831,Exercises!$B$6:$B$105,0)),"Other"))</f>
        <v/>
      </c>
      <c r="V831">
        <f>IF(B831="","",IF(COUNTIF($B$6:B831,B831)=1,1,0))</f>
        <v/>
      </c>
      <c r="W831">
        <f>IF(B831="","",B831-WEEKDAY(B831,3))</f>
        <v/>
      </c>
      <c r="X831">
        <f>IF(D831="","",MAX(IF(N(F831)=0,0,IF(N(E831)&gt;0,E831*(1+F831/30),F831)),IF(N(H831)=0,0,IF(N(G831)&gt;0,G831*(1+H831/30),H831)),IF(N(J831)=0,0,IF(N(I831)&gt;0,I831*(1+J831/30),J831)),IF(N(L831)=0,0,IF(N(K831)&gt;0,K831*(1+L831/30),L831)),IF(N(N831)=0,0,IF(N(M831)&gt;0,M831*(1+N831/30),N831))))</f>
        <v/>
      </c>
      <c r="Y831">
        <f>IF(N(X831)=0,"",X831+ROW()/1000000000)</f>
        <v/>
      </c>
      <c r="Z831">
        <f>IF(Y831="","",IF(COUNTIFS(Log!$D$6:$D$1505,D831,Log!$Y$6:$Y$1505,"&gt;"&amp;Y831)=0,1,0))</f>
        <v/>
      </c>
      <c r="AA831">
        <f>IF(OR(B831="",D831=""),"",B831+ROW()/10000000)</f>
        <v/>
      </c>
      <c r="AB831">
        <f>IF(AA831="","",IF(COUNTIFS(Log!$D$6:$D$1505,D831,Log!$AA$6:$AA$1505,"&gt;"&amp;AA831)=0,1,0))</f>
        <v/>
      </c>
      <c r="AC831">
        <f>IF(S831="New best",AA831,"")</f>
        <v/>
      </c>
      <c r="AD831">
        <f>ROW()</f>
        <v/>
      </c>
    </row>
    <row r="832">
      <c r="A832" s="1" t="n"/>
      <c r="B832" s="21" t="n"/>
      <c r="C832" s="22" t="n"/>
      <c r="D832" s="23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15">
        <f>IF(D832="","",COUNT(F832,H832,J832,L832,N832))</f>
        <v/>
      </c>
      <c r="P832" s="25">
        <f>IF(D832="","",N(E832)*N(F832)+N(G832)*N(H832)+N(I832)*N(J832)+N(K832)*N(L832)+N(M832)*N(N832))</f>
        <v/>
      </c>
      <c r="Q832" s="18">
        <f>IF(N(X832)=0,"",IF(IF(N(F832)=0,0,IF(N(E832)&gt;0,E832*(1+F832/30),F832))=X832,IF(N(E832)&gt;0,E832&amp;" x "&amp;F832,F832&amp;" reps"),IF(IF(N(H832)=0,0,IF(N(G832)&gt;0,G832*(1+H832/30),H832))=X832,IF(N(G832)&gt;0,G832&amp;" x "&amp;H832,H832&amp;" reps"),IF(IF(N(J832)=0,0,IF(N(I832)&gt;0,I832*(1+J832/30),J832))=X832,IF(N(I832)&gt;0,I832&amp;" x "&amp;J832,J832&amp;" reps"),IF(IF(N(L832)=0,0,IF(N(K832)&gt;0,K832*(1+L832/30),L832))=X832,IF(N(K832)&gt;0,K832&amp;" x "&amp;L832,L832&amp;" reps"),IF(IF(N(N832)=0,0,IF(N(M832)&gt;0,M832*(1+N832/30),N832))=X832,IF(N(M832)&gt;0,M832&amp;" x "&amp;N832,N832&amp;" reps"),""))))))</f>
        <v/>
      </c>
      <c r="R832" s="20">
        <f>IF(N(X832)=0,"",ROUND(X832,1))</f>
        <v/>
      </c>
      <c r="S832" s="18">
        <f>IF(N(X832)=0,"",IF(AND(COUNTIFS(Log!$D$6:$D$1505,D832,Log!$B$6:$B$1505,"&lt;"&amp;B832)&gt;0,COUNTIFS(Log!$D$6:$D$1505,D832,Log!$B$6:$B$1505,"&lt;"&amp;B832,Log!$X$6:$X$1505,"&gt;="&amp;X832)=0),"New best",""))</f>
        <v/>
      </c>
      <c r="T832" s="26" t="n"/>
      <c r="U832" s="1">
        <f>IF(D832="","",IFERROR(INDEX(Exercises!$C$6:$C$105,MATCH(D832,Exercises!$B$6:$B$105,0)),"Other"))</f>
        <v/>
      </c>
      <c r="V832">
        <f>IF(B832="","",IF(COUNTIF($B$6:B832,B832)=1,1,0))</f>
        <v/>
      </c>
      <c r="W832">
        <f>IF(B832="","",B832-WEEKDAY(B832,3))</f>
        <v/>
      </c>
      <c r="X832">
        <f>IF(D832="","",MAX(IF(N(F832)=0,0,IF(N(E832)&gt;0,E832*(1+F832/30),F832)),IF(N(H832)=0,0,IF(N(G832)&gt;0,G832*(1+H832/30),H832)),IF(N(J832)=0,0,IF(N(I832)&gt;0,I832*(1+J832/30),J832)),IF(N(L832)=0,0,IF(N(K832)&gt;0,K832*(1+L832/30),L832)),IF(N(N832)=0,0,IF(N(M832)&gt;0,M832*(1+N832/30),N832))))</f>
        <v/>
      </c>
      <c r="Y832">
        <f>IF(N(X832)=0,"",X832+ROW()/1000000000)</f>
        <v/>
      </c>
      <c r="Z832">
        <f>IF(Y832="","",IF(COUNTIFS(Log!$D$6:$D$1505,D832,Log!$Y$6:$Y$1505,"&gt;"&amp;Y832)=0,1,0))</f>
        <v/>
      </c>
      <c r="AA832">
        <f>IF(OR(B832="",D832=""),"",B832+ROW()/10000000)</f>
        <v/>
      </c>
      <c r="AB832">
        <f>IF(AA832="","",IF(COUNTIFS(Log!$D$6:$D$1505,D832,Log!$AA$6:$AA$1505,"&gt;"&amp;AA832)=0,1,0))</f>
        <v/>
      </c>
      <c r="AC832">
        <f>IF(S832="New best",AA832,"")</f>
        <v/>
      </c>
      <c r="AD832">
        <f>ROW()</f>
        <v/>
      </c>
    </row>
    <row r="833">
      <c r="A833" s="1" t="n"/>
      <c r="B833" s="21" t="n"/>
      <c r="C833" s="22" t="n"/>
      <c r="D833" s="23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15">
        <f>IF(D833="","",COUNT(F833,H833,J833,L833,N833))</f>
        <v/>
      </c>
      <c r="P833" s="25">
        <f>IF(D833="","",N(E833)*N(F833)+N(G833)*N(H833)+N(I833)*N(J833)+N(K833)*N(L833)+N(M833)*N(N833))</f>
        <v/>
      </c>
      <c r="Q833" s="18">
        <f>IF(N(X833)=0,"",IF(IF(N(F833)=0,0,IF(N(E833)&gt;0,E833*(1+F833/30),F833))=X833,IF(N(E833)&gt;0,E833&amp;" x "&amp;F833,F833&amp;" reps"),IF(IF(N(H833)=0,0,IF(N(G833)&gt;0,G833*(1+H833/30),H833))=X833,IF(N(G833)&gt;0,G833&amp;" x "&amp;H833,H833&amp;" reps"),IF(IF(N(J833)=0,0,IF(N(I833)&gt;0,I833*(1+J833/30),J833))=X833,IF(N(I833)&gt;0,I833&amp;" x "&amp;J833,J833&amp;" reps"),IF(IF(N(L833)=0,0,IF(N(K833)&gt;0,K833*(1+L833/30),L833))=X833,IF(N(K833)&gt;0,K833&amp;" x "&amp;L833,L833&amp;" reps"),IF(IF(N(N833)=0,0,IF(N(M833)&gt;0,M833*(1+N833/30),N833))=X833,IF(N(M833)&gt;0,M833&amp;" x "&amp;N833,N833&amp;" reps"),""))))))</f>
        <v/>
      </c>
      <c r="R833" s="20">
        <f>IF(N(X833)=0,"",ROUND(X833,1))</f>
        <v/>
      </c>
      <c r="S833" s="18">
        <f>IF(N(X833)=0,"",IF(AND(COUNTIFS(Log!$D$6:$D$1505,D833,Log!$B$6:$B$1505,"&lt;"&amp;B833)&gt;0,COUNTIFS(Log!$D$6:$D$1505,D833,Log!$B$6:$B$1505,"&lt;"&amp;B833,Log!$X$6:$X$1505,"&gt;="&amp;X833)=0),"New best",""))</f>
        <v/>
      </c>
      <c r="T833" s="26" t="n"/>
      <c r="U833" s="1">
        <f>IF(D833="","",IFERROR(INDEX(Exercises!$C$6:$C$105,MATCH(D833,Exercises!$B$6:$B$105,0)),"Other"))</f>
        <v/>
      </c>
      <c r="V833">
        <f>IF(B833="","",IF(COUNTIF($B$6:B833,B833)=1,1,0))</f>
        <v/>
      </c>
      <c r="W833">
        <f>IF(B833="","",B833-WEEKDAY(B833,3))</f>
        <v/>
      </c>
      <c r="X833">
        <f>IF(D833="","",MAX(IF(N(F833)=0,0,IF(N(E833)&gt;0,E833*(1+F833/30),F833)),IF(N(H833)=0,0,IF(N(G833)&gt;0,G833*(1+H833/30),H833)),IF(N(J833)=0,0,IF(N(I833)&gt;0,I833*(1+J833/30),J833)),IF(N(L833)=0,0,IF(N(K833)&gt;0,K833*(1+L833/30),L833)),IF(N(N833)=0,0,IF(N(M833)&gt;0,M833*(1+N833/30),N833))))</f>
        <v/>
      </c>
      <c r="Y833">
        <f>IF(N(X833)=0,"",X833+ROW()/1000000000)</f>
        <v/>
      </c>
      <c r="Z833">
        <f>IF(Y833="","",IF(COUNTIFS(Log!$D$6:$D$1505,D833,Log!$Y$6:$Y$1505,"&gt;"&amp;Y833)=0,1,0))</f>
        <v/>
      </c>
      <c r="AA833">
        <f>IF(OR(B833="",D833=""),"",B833+ROW()/10000000)</f>
        <v/>
      </c>
      <c r="AB833">
        <f>IF(AA833="","",IF(COUNTIFS(Log!$D$6:$D$1505,D833,Log!$AA$6:$AA$1505,"&gt;"&amp;AA833)=0,1,0))</f>
        <v/>
      </c>
      <c r="AC833">
        <f>IF(S833="New best",AA833,"")</f>
        <v/>
      </c>
      <c r="AD833">
        <f>ROW()</f>
        <v/>
      </c>
    </row>
    <row r="834">
      <c r="A834" s="1" t="n"/>
      <c r="B834" s="21" t="n"/>
      <c r="C834" s="22" t="n"/>
      <c r="D834" s="23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15">
        <f>IF(D834="","",COUNT(F834,H834,J834,L834,N834))</f>
        <v/>
      </c>
      <c r="P834" s="25">
        <f>IF(D834="","",N(E834)*N(F834)+N(G834)*N(H834)+N(I834)*N(J834)+N(K834)*N(L834)+N(M834)*N(N834))</f>
        <v/>
      </c>
      <c r="Q834" s="18">
        <f>IF(N(X834)=0,"",IF(IF(N(F834)=0,0,IF(N(E834)&gt;0,E834*(1+F834/30),F834))=X834,IF(N(E834)&gt;0,E834&amp;" x "&amp;F834,F834&amp;" reps"),IF(IF(N(H834)=0,0,IF(N(G834)&gt;0,G834*(1+H834/30),H834))=X834,IF(N(G834)&gt;0,G834&amp;" x "&amp;H834,H834&amp;" reps"),IF(IF(N(J834)=0,0,IF(N(I834)&gt;0,I834*(1+J834/30),J834))=X834,IF(N(I834)&gt;0,I834&amp;" x "&amp;J834,J834&amp;" reps"),IF(IF(N(L834)=0,0,IF(N(K834)&gt;0,K834*(1+L834/30),L834))=X834,IF(N(K834)&gt;0,K834&amp;" x "&amp;L834,L834&amp;" reps"),IF(IF(N(N834)=0,0,IF(N(M834)&gt;0,M834*(1+N834/30),N834))=X834,IF(N(M834)&gt;0,M834&amp;" x "&amp;N834,N834&amp;" reps"),""))))))</f>
        <v/>
      </c>
      <c r="R834" s="20">
        <f>IF(N(X834)=0,"",ROUND(X834,1))</f>
        <v/>
      </c>
      <c r="S834" s="18">
        <f>IF(N(X834)=0,"",IF(AND(COUNTIFS(Log!$D$6:$D$1505,D834,Log!$B$6:$B$1505,"&lt;"&amp;B834)&gt;0,COUNTIFS(Log!$D$6:$D$1505,D834,Log!$B$6:$B$1505,"&lt;"&amp;B834,Log!$X$6:$X$1505,"&gt;="&amp;X834)=0),"New best",""))</f>
        <v/>
      </c>
      <c r="T834" s="26" t="n"/>
      <c r="U834" s="1">
        <f>IF(D834="","",IFERROR(INDEX(Exercises!$C$6:$C$105,MATCH(D834,Exercises!$B$6:$B$105,0)),"Other"))</f>
        <v/>
      </c>
      <c r="V834">
        <f>IF(B834="","",IF(COUNTIF($B$6:B834,B834)=1,1,0))</f>
        <v/>
      </c>
      <c r="W834">
        <f>IF(B834="","",B834-WEEKDAY(B834,3))</f>
        <v/>
      </c>
      <c r="X834">
        <f>IF(D834="","",MAX(IF(N(F834)=0,0,IF(N(E834)&gt;0,E834*(1+F834/30),F834)),IF(N(H834)=0,0,IF(N(G834)&gt;0,G834*(1+H834/30),H834)),IF(N(J834)=0,0,IF(N(I834)&gt;0,I834*(1+J834/30),J834)),IF(N(L834)=0,0,IF(N(K834)&gt;0,K834*(1+L834/30),L834)),IF(N(N834)=0,0,IF(N(M834)&gt;0,M834*(1+N834/30),N834))))</f>
        <v/>
      </c>
      <c r="Y834">
        <f>IF(N(X834)=0,"",X834+ROW()/1000000000)</f>
        <v/>
      </c>
      <c r="Z834">
        <f>IF(Y834="","",IF(COUNTIFS(Log!$D$6:$D$1505,D834,Log!$Y$6:$Y$1505,"&gt;"&amp;Y834)=0,1,0))</f>
        <v/>
      </c>
      <c r="AA834">
        <f>IF(OR(B834="",D834=""),"",B834+ROW()/10000000)</f>
        <v/>
      </c>
      <c r="AB834">
        <f>IF(AA834="","",IF(COUNTIFS(Log!$D$6:$D$1505,D834,Log!$AA$6:$AA$1505,"&gt;"&amp;AA834)=0,1,0))</f>
        <v/>
      </c>
      <c r="AC834">
        <f>IF(S834="New best",AA834,"")</f>
        <v/>
      </c>
      <c r="AD834">
        <f>ROW()</f>
        <v/>
      </c>
    </row>
    <row r="835">
      <c r="A835" s="1" t="n"/>
      <c r="B835" s="21" t="n"/>
      <c r="C835" s="22" t="n"/>
      <c r="D835" s="23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15">
        <f>IF(D835="","",COUNT(F835,H835,J835,L835,N835))</f>
        <v/>
      </c>
      <c r="P835" s="25">
        <f>IF(D835="","",N(E835)*N(F835)+N(G835)*N(H835)+N(I835)*N(J835)+N(K835)*N(L835)+N(M835)*N(N835))</f>
        <v/>
      </c>
      <c r="Q835" s="18">
        <f>IF(N(X835)=0,"",IF(IF(N(F835)=0,0,IF(N(E835)&gt;0,E835*(1+F835/30),F835))=X835,IF(N(E835)&gt;0,E835&amp;" x "&amp;F835,F835&amp;" reps"),IF(IF(N(H835)=0,0,IF(N(G835)&gt;0,G835*(1+H835/30),H835))=X835,IF(N(G835)&gt;0,G835&amp;" x "&amp;H835,H835&amp;" reps"),IF(IF(N(J835)=0,0,IF(N(I835)&gt;0,I835*(1+J835/30),J835))=X835,IF(N(I835)&gt;0,I835&amp;" x "&amp;J835,J835&amp;" reps"),IF(IF(N(L835)=0,0,IF(N(K835)&gt;0,K835*(1+L835/30),L835))=X835,IF(N(K835)&gt;0,K835&amp;" x "&amp;L835,L835&amp;" reps"),IF(IF(N(N835)=0,0,IF(N(M835)&gt;0,M835*(1+N835/30),N835))=X835,IF(N(M835)&gt;0,M835&amp;" x "&amp;N835,N835&amp;" reps"),""))))))</f>
        <v/>
      </c>
      <c r="R835" s="20">
        <f>IF(N(X835)=0,"",ROUND(X835,1))</f>
        <v/>
      </c>
      <c r="S835" s="18">
        <f>IF(N(X835)=0,"",IF(AND(COUNTIFS(Log!$D$6:$D$1505,D835,Log!$B$6:$B$1505,"&lt;"&amp;B835)&gt;0,COUNTIFS(Log!$D$6:$D$1505,D835,Log!$B$6:$B$1505,"&lt;"&amp;B835,Log!$X$6:$X$1505,"&gt;="&amp;X835)=0),"New best",""))</f>
        <v/>
      </c>
      <c r="T835" s="26" t="n"/>
      <c r="U835" s="1">
        <f>IF(D835="","",IFERROR(INDEX(Exercises!$C$6:$C$105,MATCH(D835,Exercises!$B$6:$B$105,0)),"Other"))</f>
        <v/>
      </c>
      <c r="V835">
        <f>IF(B835="","",IF(COUNTIF($B$6:B835,B835)=1,1,0))</f>
        <v/>
      </c>
      <c r="W835">
        <f>IF(B835="","",B835-WEEKDAY(B835,3))</f>
        <v/>
      </c>
      <c r="X835">
        <f>IF(D835="","",MAX(IF(N(F835)=0,0,IF(N(E835)&gt;0,E835*(1+F835/30),F835)),IF(N(H835)=0,0,IF(N(G835)&gt;0,G835*(1+H835/30),H835)),IF(N(J835)=0,0,IF(N(I835)&gt;0,I835*(1+J835/30),J835)),IF(N(L835)=0,0,IF(N(K835)&gt;0,K835*(1+L835/30),L835)),IF(N(N835)=0,0,IF(N(M835)&gt;0,M835*(1+N835/30),N835))))</f>
        <v/>
      </c>
      <c r="Y835">
        <f>IF(N(X835)=0,"",X835+ROW()/1000000000)</f>
        <v/>
      </c>
      <c r="Z835">
        <f>IF(Y835="","",IF(COUNTIFS(Log!$D$6:$D$1505,D835,Log!$Y$6:$Y$1505,"&gt;"&amp;Y835)=0,1,0))</f>
        <v/>
      </c>
      <c r="AA835">
        <f>IF(OR(B835="",D835=""),"",B835+ROW()/10000000)</f>
        <v/>
      </c>
      <c r="AB835">
        <f>IF(AA835="","",IF(COUNTIFS(Log!$D$6:$D$1505,D835,Log!$AA$6:$AA$1505,"&gt;"&amp;AA835)=0,1,0))</f>
        <v/>
      </c>
      <c r="AC835">
        <f>IF(S835="New best",AA835,"")</f>
        <v/>
      </c>
      <c r="AD835">
        <f>ROW()</f>
        <v/>
      </c>
    </row>
    <row r="836">
      <c r="A836" s="1" t="n"/>
      <c r="B836" s="21" t="n"/>
      <c r="C836" s="22" t="n"/>
      <c r="D836" s="23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15">
        <f>IF(D836="","",COUNT(F836,H836,J836,L836,N836))</f>
        <v/>
      </c>
      <c r="P836" s="25">
        <f>IF(D836="","",N(E836)*N(F836)+N(G836)*N(H836)+N(I836)*N(J836)+N(K836)*N(L836)+N(M836)*N(N836))</f>
        <v/>
      </c>
      <c r="Q836" s="18">
        <f>IF(N(X836)=0,"",IF(IF(N(F836)=0,0,IF(N(E836)&gt;0,E836*(1+F836/30),F836))=X836,IF(N(E836)&gt;0,E836&amp;" x "&amp;F836,F836&amp;" reps"),IF(IF(N(H836)=0,0,IF(N(G836)&gt;0,G836*(1+H836/30),H836))=X836,IF(N(G836)&gt;0,G836&amp;" x "&amp;H836,H836&amp;" reps"),IF(IF(N(J836)=0,0,IF(N(I836)&gt;0,I836*(1+J836/30),J836))=X836,IF(N(I836)&gt;0,I836&amp;" x "&amp;J836,J836&amp;" reps"),IF(IF(N(L836)=0,0,IF(N(K836)&gt;0,K836*(1+L836/30),L836))=X836,IF(N(K836)&gt;0,K836&amp;" x "&amp;L836,L836&amp;" reps"),IF(IF(N(N836)=0,0,IF(N(M836)&gt;0,M836*(1+N836/30),N836))=X836,IF(N(M836)&gt;0,M836&amp;" x "&amp;N836,N836&amp;" reps"),""))))))</f>
        <v/>
      </c>
      <c r="R836" s="20">
        <f>IF(N(X836)=0,"",ROUND(X836,1))</f>
        <v/>
      </c>
      <c r="S836" s="18">
        <f>IF(N(X836)=0,"",IF(AND(COUNTIFS(Log!$D$6:$D$1505,D836,Log!$B$6:$B$1505,"&lt;"&amp;B836)&gt;0,COUNTIFS(Log!$D$6:$D$1505,D836,Log!$B$6:$B$1505,"&lt;"&amp;B836,Log!$X$6:$X$1505,"&gt;="&amp;X836)=0),"New best",""))</f>
        <v/>
      </c>
      <c r="T836" s="26" t="n"/>
      <c r="U836" s="1">
        <f>IF(D836="","",IFERROR(INDEX(Exercises!$C$6:$C$105,MATCH(D836,Exercises!$B$6:$B$105,0)),"Other"))</f>
        <v/>
      </c>
      <c r="V836">
        <f>IF(B836="","",IF(COUNTIF($B$6:B836,B836)=1,1,0))</f>
        <v/>
      </c>
      <c r="W836">
        <f>IF(B836="","",B836-WEEKDAY(B836,3))</f>
        <v/>
      </c>
      <c r="X836">
        <f>IF(D836="","",MAX(IF(N(F836)=0,0,IF(N(E836)&gt;0,E836*(1+F836/30),F836)),IF(N(H836)=0,0,IF(N(G836)&gt;0,G836*(1+H836/30),H836)),IF(N(J836)=0,0,IF(N(I836)&gt;0,I836*(1+J836/30),J836)),IF(N(L836)=0,0,IF(N(K836)&gt;0,K836*(1+L836/30),L836)),IF(N(N836)=0,0,IF(N(M836)&gt;0,M836*(1+N836/30),N836))))</f>
        <v/>
      </c>
      <c r="Y836">
        <f>IF(N(X836)=0,"",X836+ROW()/1000000000)</f>
        <v/>
      </c>
      <c r="Z836">
        <f>IF(Y836="","",IF(COUNTIFS(Log!$D$6:$D$1505,D836,Log!$Y$6:$Y$1505,"&gt;"&amp;Y836)=0,1,0))</f>
        <v/>
      </c>
      <c r="AA836">
        <f>IF(OR(B836="",D836=""),"",B836+ROW()/10000000)</f>
        <v/>
      </c>
      <c r="AB836">
        <f>IF(AA836="","",IF(COUNTIFS(Log!$D$6:$D$1505,D836,Log!$AA$6:$AA$1505,"&gt;"&amp;AA836)=0,1,0))</f>
        <v/>
      </c>
      <c r="AC836">
        <f>IF(S836="New best",AA836,"")</f>
        <v/>
      </c>
      <c r="AD836">
        <f>ROW()</f>
        <v/>
      </c>
    </row>
    <row r="837">
      <c r="A837" s="1" t="n"/>
      <c r="B837" s="21" t="n"/>
      <c r="C837" s="22" t="n"/>
      <c r="D837" s="23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15">
        <f>IF(D837="","",COUNT(F837,H837,J837,L837,N837))</f>
        <v/>
      </c>
      <c r="P837" s="25">
        <f>IF(D837="","",N(E837)*N(F837)+N(G837)*N(H837)+N(I837)*N(J837)+N(K837)*N(L837)+N(M837)*N(N837))</f>
        <v/>
      </c>
      <c r="Q837" s="18">
        <f>IF(N(X837)=0,"",IF(IF(N(F837)=0,0,IF(N(E837)&gt;0,E837*(1+F837/30),F837))=X837,IF(N(E837)&gt;0,E837&amp;" x "&amp;F837,F837&amp;" reps"),IF(IF(N(H837)=0,0,IF(N(G837)&gt;0,G837*(1+H837/30),H837))=X837,IF(N(G837)&gt;0,G837&amp;" x "&amp;H837,H837&amp;" reps"),IF(IF(N(J837)=0,0,IF(N(I837)&gt;0,I837*(1+J837/30),J837))=X837,IF(N(I837)&gt;0,I837&amp;" x "&amp;J837,J837&amp;" reps"),IF(IF(N(L837)=0,0,IF(N(K837)&gt;0,K837*(1+L837/30),L837))=X837,IF(N(K837)&gt;0,K837&amp;" x "&amp;L837,L837&amp;" reps"),IF(IF(N(N837)=0,0,IF(N(M837)&gt;0,M837*(1+N837/30),N837))=X837,IF(N(M837)&gt;0,M837&amp;" x "&amp;N837,N837&amp;" reps"),""))))))</f>
        <v/>
      </c>
      <c r="R837" s="20">
        <f>IF(N(X837)=0,"",ROUND(X837,1))</f>
        <v/>
      </c>
      <c r="S837" s="18">
        <f>IF(N(X837)=0,"",IF(AND(COUNTIFS(Log!$D$6:$D$1505,D837,Log!$B$6:$B$1505,"&lt;"&amp;B837)&gt;0,COUNTIFS(Log!$D$6:$D$1505,D837,Log!$B$6:$B$1505,"&lt;"&amp;B837,Log!$X$6:$X$1505,"&gt;="&amp;X837)=0),"New best",""))</f>
        <v/>
      </c>
      <c r="T837" s="26" t="n"/>
      <c r="U837" s="1">
        <f>IF(D837="","",IFERROR(INDEX(Exercises!$C$6:$C$105,MATCH(D837,Exercises!$B$6:$B$105,0)),"Other"))</f>
        <v/>
      </c>
      <c r="V837">
        <f>IF(B837="","",IF(COUNTIF($B$6:B837,B837)=1,1,0))</f>
        <v/>
      </c>
      <c r="W837">
        <f>IF(B837="","",B837-WEEKDAY(B837,3))</f>
        <v/>
      </c>
      <c r="X837">
        <f>IF(D837="","",MAX(IF(N(F837)=0,0,IF(N(E837)&gt;0,E837*(1+F837/30),F837)),IF(N(H837)=0,0,IF(N(G837)&gt;0,G837*(1+H837/30),H837)),IF(N(J837)=0,0,IF(N(I837)&gt;0,I837*(1+J837/30),J837)),IF(N(L837)=0,0,IF(N(K837)&gt;0,K837*(1+L837/30),L837)),IF(N(N837)=0,0,IF(N(M837)&gt;0,M837*(1+N837/30),N837))))</f>
        <v/>
      </c>
      <c r="Y837">
        <f>IF(N(X837)=0,"",X837+ROW()/1000000000)</f>
        <v/>
      </c>
      <c r="Z837">
        <f>IF(Y837="","",IF(COUNTIFS(Log!$D$6:$D$1505,D837,Log!$Y$6:$Y$1505,"&gt;"&amp;Y837)=0,1,0))</f>
        <v/>
      </c>
      <c r="AA837">
        <f>IF(OR(B837="",D837=""),"",B837+ROW()/10000000)</f>
        <v/>
      </c>
      <c r="AB837">
        <f>IF(AA837="","",IF(COUNTIFS(Log!$D$6:$D$1505,D837,Log!$AA$6:$AA$1505,"&gt;"&amp;AA837)=0,1,0))</f>
        <v/>
      </c>
      <c r="AC837">
        <f>IF(S837="New best",AA837,"")</f>
        <v/>
      </c>
      <c r="AD837">
        <f>ROW()</f>
        <v/>
      </c>
    </row>
    <row r="838">
      <c r="A838" s="1" t="n"/>
      <c r="B838" s="21" t="n"/>
      <c r="C838" s="22" t="n"/>
      <c r="D838" s="23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15">
        <f>IF(D838="","",COUNT(F838,H838,J838,L838,N838))</f>
        <v/>
      </c>
      <c r="P838" s="25">
        <f>IF(D838="","",N(E838)*N(F838)+N(G838)*N(H838)+N(I838)*N(J838)+N(K838)*N(L838)+N(M838)*N(N838))</f>
        <v/>
      </c>
      <c r="Q838" s="18">
        <f>IF(N(X838)=0,"",IF(IF(N(F838)=0,0,IF(N(E838)&gt;0,E838*(1+F838/30),F838))=X838,IF(N(E838)&gt;0,E838&amp;" x "&amp;F838,F838&amp;" reps"),IF(IF(N(H838)=0,0,IF(N(G838)&gt;0,G838*(1+H838/30),H838))=X838,IF(N(G838)&gt;0,G838&amp;" x "&amp;H838,H838&amp;" reps"),IF(IF(N(J838)=0,0,IF(N(I838)&gt;0,I838*(1+J838/30),J838))=X838,IF(N(I838)&gt;0,I838&amp;" x "&amp;J838,J838&amp;" reps"),IF(IF(N(L838)=0,0,IF(N(K838)&gt;0,K838*(1+L838/30),L838))=X838,IF(N(K838)&gt;0,K838&amp;" x "&amp;L838,L838&amp;" reps"),IF(IF(N(N838)=0,0,IF(N(M838)&gt;0,M838*(1+N838/30),N838))=X838,IF(N(M838)&gt;0,M838&amp;" x "&amp;N838,N838&amp;" reps"),""))))))</f>
        <v/>
      </c>
      <c r="R838" s="20">
        <f>IF(N(X838)=0,"",ROUND(X838,1))</f>
        <v/>
      </c>
      <c r="S838" s="18">
        <f>IF(N(X838)=0,"",IF(AND(COUNTIFS(Log!$D$6:$D$1505,D838,Log!$B$6:$B$1505,"&lt;"&amp;B838)&gt;0,COUNTIFS(Log!$D$6:$D$1505,D838,Log!$B$6:$B$1505,"&lt;"&amp;B838,Log!$X$6:$X$1505,"&gt;="&amp;X838)=0),"New best",""))</f>
        <v/>
      </c>
      <c r="T838" s="26" t="n"/>
      <c r="U838" s="1">
        <f>IF(D838="","",IFERROR(INDEX(Exercises!$C$6:$C$105,MATCH(D838,Exercises!$B$6:$B$105,0)),"Other"))</f>
        <v/>
      </c>
      <c r="V838">
        <f>IF(B838="","",IF(COUNTIF($B$6:B838,B838)=1,1,0))</f>
        <v/>
      </c>
      <c r="W838">
        <f>IF(B838="","",B838-WEEKDAY(B838,3))</f>
        <v/>
      </c>
      <c r="X838">
        <f>IF(D838="","",MAX(IF(N(F838)=0,0,IF(N(E838)&gt;0,E838*(1+F838/30),F838)),IF(N(H838)=0,0,IF(N(G838)&gt;0,G838*(1+H838/30),H838)),IF(N(J838)=0,0,IF(N(I838)&gt;0,I838*(1+J838/30),J838)),IF(N(L838)=0,0,IF(N(K838)&gt;0,K838*(1+L838/30),L838)),IF(N(N838)=0,0,IF(N(M838)&gt;0,M838*(1+N838/30),N838))))</f>
        <v/>
      </c>
      <c r="Y838">
        <f>IF(N(X838)=0,"",X838+ROW()/1000000000)</f>
        <v/>
      </c>
      <c r="Z838">
        <f>IF(Y838="","",IF(COUNTIFS(Log!$D$6:$D$1505,D838,Log!$Y$6:$Y$1505,"&gt;"&amp;Y838)=0,1,0))</f>
        <v/>
      </c>
      <c r="AA838">
        <f>IF(OR(B838="",D838=""),"",B838+ROW()/10000000)</f>
        <v/>
      </c>
      <c r="AB838">
        <f>IF(AA838="","",IF(COUNTIFS(Log!$D$6:$D$1505,D838,Log!$AA$6:$AA$1505,"&gt;"&amp;AA838)=0,1,0))</f>
        <v/>
      </c>
      <c r="AC838">
        <f>IF(S838="New best",AA838,"")</f>
        <v/>
      </c>
      <c r="AD838">
        <f>ROW()</f>
        <v/>
      </c>
    </row>
    <row r="839">
      <c r="A839" s="1" t="n"/>
      <c r="B839" s="21" t="n"/>
      <c r="C839" s="22" t="n"/>
      <c r="D839" s="23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15">
        <f>IF(D839="","",COUNT(F839,H839,J839,L839,N839))</f>
        <v/>
      </c>
      <c r="P839" s="25">
        <f>IF(D839="","",N(E839)*N(F839)+N(G839)*N(H839)+N(I839)*N(J839)+N(K839)*N(L839)+N(M839)*N(N839))</f>
        <v/>
      </c>
      <c r="Q839" s="18">
        <f>IF(N(X839)=0,"",IF(IF(N(F839)=0,0,IF(N(E839)&gt;0,E839*(1+F839/30),F839))=X839,IF(N(E839)&gt;0,E839&amp;" x "&amp;F839,F839&amp;" reps"),IF(IF(N(H839)=0,0,IF(N(G839)&gt;0,G839*(1+H839/30),H839))=X839,IF(N(G839)&gt;0,G839&amp;" x "&amp;H839,H839&amp;" reps"),IF(IF(N(J839)=0,0,IF(N(I839)&gt;0,I839*(1+J839/30),J839))=X839,IF(N(I839)&gt;0,I839&amp;" x "&amp;J839,J839&amp;" reps"),IF(IF(N(L839)=0,0,IF(N(K839)&gt;0,K839*(1+L839/30),L839))=X839,IF(N(K839)&gt;0,K839&amp;" x "&amp;L839,L839&amp;" reps"),IF(IF(N(N839)=0,0,IF(N(M839)&gt;0,M839*(1+N839/30),N839))=X839,IF(N(M839)&gt;0,M839&amp;" x "&amp;N839,N839&amp;" reps"),""))))))</f>
        <v/>
      </c>
      <c r="R839" s="20">
        <f>IF(N(X839)=0,"",ROUND(X839,1))</f>
        <v/>
      </c>
      <c r="S839" s="18">
        <f>IF(N(X839)=0,"",IF(AND(COUNTIFS(Log!$D$6:$D$1505,D839,Log!$B$6:$B$1505,"&lt;"&amp;B839)&gt;0,COUNTIFS(Log!$D$6:$D$1505,D839,Log!$B$6:$B$1505,"&lt;"&amp;B839,Log!$X$6:$X$1505,"&gt;="&amp;X839)=0),"New best",""))</f>
        <v/>
      </c>
      <c r="T839" s="26" t="n"/>
      <c r="U839" s="1">
        <f>IF(D839="","",IFERROR(INDEX(Exercises!$C$6:$C$105,MATCH(D839,Exercises!$B$6:$B$105,0)),"Other"))</f>
        <v/>
      </c>
      <c r="V839">
        <f>IF(B839="","",IF(COUNTIF($B$6:B839,B839)=1,1,0))</f>
        <v/>
      </c>
      <c r="W839">
        <f>IF(B839="","",B839-WEEKDAY(B839,3))</f>
        <v/>
      </c>
      <c r="X839">
        <f>IF(D839="","",MAX(IF(N(F839)=0,0,IF(N(E839)&gt;0,E839*(1+F839/30),F839)),IF(N(H839)=0,0,IF(N(G839)&gt;0,G839*(1+H839/30),H839)),IF(N(J839)=0,0,IF(N(I839)&gt;0,I839*(1+J839/30),J839)),IF(N(L839)=0,0,IF(N(K839)&gt;0,K839*(1+L839/30),L839)),IF(N(N839)=0,0,IF(N(M839)&gt;0,M839*(1+N839/30),N839))))</f>
        <v/>
      </c>
      <c r="Y839">
        <f>IF(N(X839)=0,"",X839+ROW()/1000000000)</f>
        <v/>
      </c>
      <c r="Z839">
        <f>IF(Y839="","",IF(COUNTIFS(Log!$D$6:$D$1505,D839,Log!$Y$6:$Y$1505,"&gt;"&amp;Y839)=0,1,0))</f>
        <v/>
      </c>
      <c r="AA839">
        <f>IF(OR(B839="",D839=""),"",B839+ROW()/10000000)</f>
        <v/>
      </c>
      <c r="AB839">
        <f>IF(AA839="","",IF(COUNTIFS(Log!$D$6:$D$1505,D839,Log!$AA$6:$AA$1505,"&gt;"&amp;AA839)=0,1,0))</f>
        <v/>
      </c>
      <c r="AC839">
        <f>IF(S839="New best",AA839,"")</f>
        <v/>
      </c>
      <c r="AD839">
        <f>ROW()</f>
        <v/>
      </c>
    </row>
    <row r="840">
      <c r="A840" s="1" t="n"/>
      <c r="B840" s="21" t="n"/>
      <c r="C840" s="22" t="n"/>
      <c r="D840" s="23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15">
        <f>IF(D840="","",COUNT(F840,H840,J840,L840,N840))</f>
        <v/>
      </c>
      <c r="P840" s="25">
        <f>IF(D840="","",N(E840)*N(F840)+N(G840)*N(H840)+N(I840)*N(J840)+N(K840)*N(L840)+N(M840)*N(N840))</f>
        <v/>
      </c>
      <c r="Q840" s="18">
        <f>IF(N(X840)=0,"",IF(IF(N(F840)=0,0,IF(N(E840)&gt;0,E840*(1+F840/30),F840))=X840,IF(N(E840)&gt;0,E840&amp;" x "&amp;F840,F840&amp;" reps"),IF(IF(N(H840)=0,0,IF(N(G840)&gt;0,G840*(1+H840/30),H840))=X840,IF(N(G840)&gt;0,G840&amp;" x "&amp;H840,H840&amp;" reps"),IF(IF(N(J840)=0,0,IF(N(I840)&gt;0,I840*(1+J840/30),J840))=X840,IF(N(I840)&gt;0,I840&amp;" x "&amp;J840,J840&amp;" reps"),IF(IF(N(L840)=0,0,IF(N(K840)&gt;0,K840*(1+L840/30),L840))=X840,IF(N(K840)&gt;0,K840&amp;" x "&amp;L840,L840&amp;" reps"),IF(IF(N(N840)=0,0,IF(N(M840)&gt;0,M840*(1+N840/30),N840))=X840,IF(N(M840)&gt;0,M840&amp;" x "&amp;N840,N840&amp;" reps"),""))))))</f>
        <v/>
      </c>
      <c r="R840" s="20">
        <f>IF(N(X840)=0,"",ROUND(X840,1))</f>
        <v/>
      </c>
      <c r="S840" s="18">
        <f>IF(N(X840)=0,"",IF(AND(COUNTIFS(Log!$D$6:$D$1505,D840,Log!$B$6:$B$1505,"&lt;"&amp;B840)&gt;0,COUNTIFS(Log!$D$6:$D$1505,D840,Log!$B$6:$B$1505,"&lt;"&amp;B840,Log!$X$6:$X$1505,"&gt;="&amp;X840)=0),"New best",""))</f>
        <v/>
      </c>
      <c r="T840" s="26" t="n"/>
      <c r="U840" s="1">
        <f>IF(D840="","",IFERROR(INDEX(Exercises!$C$6:$C$105,MATCH(D840,Exercises!$B$6:$B$105,0)),"Other"))</f>
        <v/>
      </c>
      <c r="V840">
        <f>IF(B840="","",IF(COUNTIF($B$6:B840,B840)=1,1,0))</f>
        <v/>
      </c>
      <c r="W840">
        <f>IF(B840="","",B840-WEEKDAY(B840,3))</f>
        <v/>
      </c>
      <c r="X840">
        <f>IF(D840="","",MAX(IF(N(F840)=0,0,IF(N(E840)&gt;0,E840*(1+F840/30),F840)),IF(N(H840)=0,0,IF(N(G840)&gt;0,G840*(1+H840/30),H840)),IF(N(J840)=0,0,IF(N(I840)&gt;0,I840*(1+J840/30),J840)),IF(N(L840)=0,0,IF(N(K840)&gt;0,K840*(1+L840/30),L840)),IF(N(N840)=0,0,IF(N(M840)&gt;0,M840*(1+N840/30),N840))))</f>
        <v/>
      </c>
      <c r="Y840">
        <f>IF(N(X840)=0,"",X840+ROW()/1000000000)</f>
        <v/>
      </c>
      <c r="Z840">
        <f>IF(Y840="","",IF(COUNTIFS(Log!$D$6:$D$1505,D840,Log!$Y$6:$Y$1505,"&gt;"&amp;Y840)=0,1,0))</f>
        <v/>
      </c>
      <c r="AA840">
        <f>IF(OR(B840="",D840=""),"",B840+ROW()/10000000)</f>
        <v/>
      </c>
      <c r="AB840">
        <f>IF(AA840="","",IF(COUNTIFS(Log!$D$6:$D$1505,D840,Log!$AA$6:$AA$1505,"&gt;"&amp;AA840)=0,1,0))</f>
        <v/>
      </c>
      <c r="AC840">
        <f>IF(S840="New best",AA840,"")</f>
        <v/>
      </c>
      <c r="AD840">
        <f>ROW()</f>
        <v/>
      </c>
    </row>
    <row r="841">
      <c r="A841" s="1" t="n"/>
      <c r="B841" s="21" t="n"/>
      <c r="C841" s="22" t="n"/>
      <c r="D841" s="23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15">
        <f>IF(D841="","",COUNT(F841,H841,J841,L841,N841))</f>
        <v/>
      </c>
      <c r="P841" s="25">
        <f>IF(D841="","",N(E841)*N(F841)+N(G841)*N(H841)+N(I841)*N(J841)+N(K841)*N(L841)+N(M841)*N(N841))</f>
        <v/>
      </c>
      <c r="Q841" s="18">
        <f>IF(N(X841)=0,"",IF(IF(N(F841)=0,0,IF(N(E841)&gt;0,E841*(1+F841/30),F841))=X841,IF(N(E841)&gt;0,E841&amp;" x "&amp;F841,F841&amp;" reps"),IF(IF(N(H841)=0,0,IF(N(G841)&gt;0,G841*(1+H841/30),H841))=X841,IF(N(G841)&gt;0,G841&amp;" x "&amp;H841,H841&amp;" reps"),IF(IF(N(J841)=0,0,IF(N(I841)&gt;0,I841*(1+J841/30),J841))=X841,IF(N(I841)&gt;0,I841&amp;" x "&amp;J841,J841&amp;" reps"),IF(IF(N(L841)=0,0,IF(N(K841)&gt;0,K841*(1+L841/30),L841))=X841,IF(N(K841)&gt;0,K841&amp;" x "&amp;L841,L841&amp;" reps"),IF(IF(N(N841)=0,0,IF(N(M841)&gt;0,M841*(1+N841/30),N841))=X841,IF(N(M841)&gt;0,M841&amp;" x "&amp;N841,N841&amp;" reps"),""))))))</f>
        <v/>
      </c>
      <c r="R841" s="20">
        <f>IF(N(X841)=0,"",ROUND(X841,1))</f>
        <v/>
      </c>
      <c r="S841" s="18">
        <f>IF(N(X841)=0,"",IF(AND(COUNTIFS(Log!$D$6:$D$1505,D841,Log!$B$6:$B$1505,"&lt;"&amp;B841)&gt;0,COUNTIFS(Log!$D$6:$D$1505,D841,Log!$B$6:$B$1505,"&lt;"&amp;B841,Log!$X$6:$X$1505,"&gt;="&amp;X841)=0),"New best",""))</f>
        <v/>
      </c>
      <c r="T841" s="26" t="n"/>
      <c r="U841" s="1">
        <f>IF(D841="","",IFERROR(INDEX(Exercises!$C$6:$C$105,MATCH(D841,Exercises!$B$6:$B$105,0)),"Other"))</f>
        <v/>
      </c>
      <c r="V841">
        <f>IF(B841="","",IF(COUNTIF($B$6:B841,B841)=1,1,0))</f>
        <v/>
      </c>
      <c r="W841">
        <f>IF(B841="","",B841-WEEKDAY(B841,3))</f>
        <v/>
      </c>
      <c r="X841">
        <f>IF(D841="","",MAX(IF(N(F841)=0,0,IF(N(E841)&gt;0,E841*(1+F841/30),F841)),IF(N(H841)=0,0,IF(N(G841)&gt;0,G841*(1+H841/30),H841)),IF(N(J841)=0,0,IF(N(I841)&gt;0,I841*(1+J841/30),J841)),IF(N(L841)=0,0,IF(N(K841)&gt;0,K841*(1+L841/30),L841)),IF(N(N841)=0,0,IF(N(M841)&gt;0,M841*(1+N841/30),N841))))</f>
        <v/>
      </c>
      <c r="Y841">
        <f>IF(N(X841)=0,"",X841+ROW()/1000000000)</f>
        <v/>
      </c>
      <c r="Z841">
        <f>IF(Y841="","",IF(COUNTIFS(Log!$D$6:$D$1505,D841,Log!$Y$6:$Y$1505,"&gt;"&amp;Y841)=0,1,0))</f>
        <v/>
      </c>
      <c r="AA841">
        <f>IF(OR(B841="",D841=""),"",B841+ROW()/10000000)</f>
        <v/>
      </c>
      <c r="AB841">
        <f>IF(AA841="","",IF(COUNTIFS(Log!$D$6:$D$1505,D841,Log!$AA$6:$AA$1505,"&gt;"&amp;AA841)=0,1,0))</f>
        <v/>
      </c>
      <c r="AC841">
        <f>IF(S841="New best",AA841,"")</f>
        <v/>
      </c>
      <c r="AD841">
        <f>ROW()</f>
        <v/>
      </c>
    </row>
    <row r="842">
      <c r="A842" s="1" t="n"/>
      <c r="B842" s="21" t="n"/>
      <c r="C842" s="22" t="n"/>
      <c r="D842" s="23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15">
        <f>IF(D842="","",COUNT(F842,H842,J842,L842,N842))</f>
        <v/>
      </c>
      <c r="P842" s="25">
        <f>IF(D842="","",N(E842)*N(F842)+N(G842)*N(H842)+N(I842)*N(J842)+N(K842)*N(L842)+N(M842)*N(N842))</f>
        <v/>
      </c>
      <c r="Q842" s="18">
        <f>IF(N(X842)=0,"",IF(IF(N(F842)=0,0,IF(N(E842)&gt;0,E842*(1+F842/30),F842))=X842,IF(N(E842)&gt;0,E842&amp;" x "&amp;F842,F842&amp;" reps"),IF(IF(N(H842)=0,0,IF(N(G842)&gt;0,G842*(1+H842/30),H842))=X842,IF(N(G842)&gt;0,G842&amp;" x "&amp;H842,H842&amp;" reps"),IF(IF(N(J842)=0,0,IF(N(I842)&gt;0,I842*(1+J842/30),J842))=X842,IF(N(I842)&gt;0,I842&amp;" x "&amp;J842,J842&amp;" reps"),IF(IF(N(L842)=0,0,IF(N(K842)&gt;0,K842*(1+L842/30),L842))=X842,IF(N(K842)&gt;0,K842&amp;" x "&amp;L842,L842&amp;" reps"),IF(IF(N(N842)=0,0,IF(N(M842)&gt;0,M842*(1+N842/30),N842))=X842,IF(N(M842)&gt;0,M842&amp;" x "&amp;N842,N842&amp;" reps"),""))))))</f>
        <v/>
      </c>
      <c r="R842" s="20">
        <f>IF(N(X842)=0,"",ROUND(X842,1))</f>
        <v/>
      </c>
      <c r="S842" s="18">
        <f>IF(N(X842)=0,"",IF(AND(COUNTIFS(Log!$D$6:$D$1505,D842,Log!$B$6:$B$1505,"&lt;"&amp;B842)&gt;0,COUNTIFS(Log!$D$6:$D$1505,D842,Log!$B$6:$B$1505,"&lt;"&amp;B842,Log!$X$6:$X$1505,"&gt;="&amp;X842)=0),"New best",""))</f>
        <v/>
      </c>
      <c r="T842" s="26" t="n"/>
      <c r="U842" s="1">
        <f>IF(D842="","",IFERROR(INDEX(Exercises!$C$6:$C$105,MATCH(D842,Exercises!$B$6:$B$105,0)),"Other"))</f>
        <v/>
      </c>
      <c r="V842">
        <f>IF(B842="","",IF(COUNTIF($B$6:B842,B842)=1,1,0))</f>
        <v/>
      </c>
      <c r="W842">
        <f>IF(B842="","",B842-WEEKDAY(B842,3))</f>
        <v/>
      </c>
      <c r="X842">
        <f>IF(D842="","",MAX(IF(N(F842)=0,0,IF(N(E842)&gt;0,E842*(1+F842/30),F842)),IF(N(H842)=0,0,IF(N(G842)&gt;0,G842*(1+H842/30),H842)),IF(N(J842)=0,0,IF(N(I842)&gt;0,I842*(1+J842/30),J842)),IF(N(L842)=0,0,IF(N(K842)&gt;0,K842*(1+L842/30),L842)),IF(N(N842)=0,0,IF(N(M842)&gt;0,M842*(1+N842/30),N842))))</f>
        <v/>
      </c>
      <c r="Y842">
        <f>IF(N(X842)=0,"",X842+ROW()/1000000000)</f>
        <v/>
      </c>
      <c r="Z842">
        <f>IF(Y842="","",IF(COUNTIFS(Log!$D$6:$D$1505,D842,Log!$Y$6:$Y$1505,"&gt;"&amp;Y842)=0,1,0))</f>
        <v/>
      </c>
      <c r="AA842">
        <f>IF(OR(B842="",D842=""),"",B842+ROW()/10000000)</f>
        <v/>
      </c>
      <c r="AB842">
        <f>IF(AA842="","",IF(COUNTIFS(Log!$D$6:$D$1505,D842,Log!$AA$6:$AA$1505,"&gt;"&amp;AA842)=0,1,0))</f>
        <v/>
      </c>
      <c r="AC842">
        <f>IF(S842="New best",AA842,"")</f>
        <v/>
      </c>
      <c r="AD842">
        <f>ROW()</f>
        <v/>
      </c>
    </row>
    <row r="843">
      <c r="A843" s="1" t="n"/>
      <c r="B843" s="21" t="n"/>
      <c r="C843" s="22" t="n"/>
      <c r="D843" s="23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15">
        <f>IF(D843="","",COUNT(F843,H843,J843,L843,N843))</f>
        <v/>
      </c>
      <c r="P843" s="25">
        <f>IF(D843="","",N(E843)*N(F843)+N(G843)*N(H843)+N(I843)*N(J843)+N(K843)*N(L843)+N(M843)*N(N843))</f>
        <v/>
      </c>
      <c r="Q843" s="18">
        <f>IF(N(X843)=0,"",IF(IF(N(F843)=0,0,IF(N(E843)&gt;0,E843*(1+F843/30),F843))=X843,IF(N(E843)&gt;0,E843&amp;" x "&amp;F843,F843&amp;" reps"),IF(IF(N(H843)=0,0,IF(N(G843)&gt;0,G843*(1+H843/30),H843))=X843,IF(N(G843)&gt;0,G843&amp;" x "&amp;H843,H843&amp;" reps"),IF(IF(N(J843)=0,0,IF(N(I843)&gt;0,I843*(1+J843/30),J843))=X843,IF(N(I843)&gt;0,I843&amp;" x "&amp;J843,J843&amp;" reps"),IF(IF(N(L843)=0,0,IF(N(K843)&gt;0,K843*(1+L843/30),L843))=X843,IF(N(K843)&gt;0,K843&amp;" x "&amp;L843,L843&amp;" reps"),IF(IF(N(N843)=0,0,IF(N(M843)&gt;0,M843*(1+N843/30),N843))=X843,IF(N(M843)&gt;0,M843&amp;" x "&amp;N843,N843&amp;" reps"),""))))))</f>
        <v/>
      </c>
      <c r="R843" s="20">
        <f>IF(N(X843)=0,"",ROUND(X843,1))</f>
        <v/>
      </c>
      <c r="S843" s="18">
        <f>IF(N(X843)=0,"",IF(AND(COUNTIFS(Log!$D$6:$D$1505,D843,Log!$B$6:$B$1505,"&lt;"&amp;B843)&gt;0,COUNTIFS(Log!$D$6:$D$1505,D843,Log!$B$6:$B$1505,"&lt;"&amp;B843,Log!$X$6:$X$1505,"&gt;="&amp;X843)=0),"New best",""))</f>
        <v/>
      </c>
      <c r="T843" s="26" t="n"/>
      <c r="U843" s="1">
        <f>IF(D843="","",IFERROR(INDEX(Exercises!$C$6:$C$105,MATCH(D843,Exercises!$B$6:$B$105,0)),"Other"))</f>
        <v/>
      </c>
      <c r="V843">
        <f>IF(B843="","",IF(COUNTIF($B$6:B843,B843)=1,1,0))</f>
        <v/>
      </c>
      <c r="W843">
        <f>IF(B843="","",B843-WEEKDAY(B843,3))</f>
        <v/>
      </c>
      <c r="X843">
        <f>IF(D843="","",MAX(IF(N(F843)=0,0,IF(N(E843)&gt;0,E843*(1+F843/30),F843)),IF(N(H843)=0,0,IF(N(G843)&gt;0,G843*(1+H843/30),H843)),IF(N(J843)=0,0,IF(N(I843)&gt;0,I843*(1+J843/30),J843)),IF(N(L843)=0,0,IF(N(K843)&gt;0,K843*(1+L843/30),L843)),IF(N(N843)=0,0,IF(N(M843)&gt;0,M843*(1+N843/30),N843))))</f>
        <v/>
      </c>
      <c r="Y843">
        <f>IF(N(X843)=0,"",X843+ROW()/1000000000)</f>
        <v/>
      </c>
      <c r="Z843">
        <f>IF(Y843="","",IF(COUNTIFS(Log!$D$6:$D$1505,D843,Log!$Y$6:$Y$1505,"&gt;"&amp;Y843)=0,1,0))</f>
        <v/>
      </c>
      <c r="AA843">
        <f>IF(OR(B843="",D843=""),"",B843+ROW()/10000000)</f>
        <v/>
      </c>
      <c r="AB843">
        <f>IF(AA843="","",IF(COUNTIFS(Log!$D$6:$D$1505,D843,Log!$AA$6:$AA$1505,"&gt;"&amp;AA843)=0,1,0))</f>
        <v/>
      </c>
      <c r="AC843">
        <f>IF(S843="New best",AA843,"")</f>
        <v/>
      </c>
      <c r="AD843">
        <f>ROW()</f>
        <v/>
      </c>
    </row>
    <row r="844">
      <c r="A844" s="1" t="n"/>
      <c r="B844" s="21" t="n"/>
      <c r="C844" s="22" t="n"/>
      <c r="D844" s="23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15">
        <f>IF(D844="","",COUNT(F844,H844,J844,L844,N844))</f>
        <v/>
      </c>
      <c r="P844" s="25">
        <f>IF(D844="","",N(E844)*N(F844)+N(G844)*N(H844)+N(I844)*N(J844)+N(K844)*N(L844)+N(M844)*N(N844))</f>
        <v/>
      </c>
      <c r="Q844" s="18">
        <f>IF(N(X844)=0,"",IF(IF(N(F844)=0,0,IF(N(E844)&gt;0,E844*(1+F844/30),F844))=X844,IF(N(E844)&gt;0,E844&amp;" x "&amp;F844,F844&amp;" reps"),IF(IF(N(H844)=0,0,IF(N(G844)&gt;0,G844*(1+H844/30),H844))=X844,IF(N(G844)&gt;0,G844&amp;" x "&amp;H844,H844&amp;" reps"),IF(IF(N(J844)=0,0,IF(N(I844)&gt;0,I844*(1+J844/30),J844))=X844,IF(N(I844)&gt;0,I844&amp;" x "&amp;J844,J844&amp;" reps"),IF(IF(N(L844)=0,0,IF(N(K844)&gt;0,K844*(1+L844/30),L844))=X844,IF(N(K844)&gt;0,K844&amp;" x "&amp;L844,L844&amp;" reps"),IF(IF(N(N844)=0,0,IF(N(M844)&gt;0,M844*(1+N844/30),N844))=X844,IF(N(M844)&gt;0,M844&amp;" x "&amp;N844,N844&amp;" reps"),""))))))</f>
        <v/>
      </c>
      <c r="R844" s="20">
        <f>IF(N(X844)=0,"",ROUND(X844,1))</f>
        <v/>
      </c>
      <c r="S844" s="18">
        <f>IF(N(X844)=0,"",IF(AND(COUNTIFS(Log!$D$6:$D$1505,D844,Log!$B$6:$B$1505,"&lt;"&amp;B844)&gt;0,COUNTIFS(Log!$D$6:$D$1505,D844,Log!$B$6:$B$1505,"&lt;"&amp;B844,Log!$X$6:$X$1505,"&gt;="&amp;X844)=0),"New best",""))</f>
        <v/>
      </c>
      <c r="T844" s="26" t="n"/>
      <c r="U844" s="1">
        <f>IF(D844="","",IFERROR(INDEX(Exercises!$C$6:$C$105,MATCH(D844,Exercises!$B$6:$B$105,0)),"Other"))</f>
        <v/>
      </c>
      <c r="V844">
        <f>IF(B844="","",IF(COUNTIF($B$6:B844,B844)=1,1,0))</f>
        <v/>
      </c>
      <c r="W844">
        <f>IF(B844="","",B844-WEEKDAY(B844,3))</f>
        <v/>
      </c>
      <c r="X844">
        <f>IF(D844="","",MAX(IF(N(F844)=0,0,IF(N(E844)&gt;0,E844*(1+F844/30),F844)),IF(N(H844)=0,0,IF(N(G844)&gt;0,G844*(1+H844/30),H844)),IF(N(J844)=0,0,IF(N(I844)&gt;0,I844*(1+J844/30),J844)),IF(N(L844)=0,0,IF(N(K844)&gt;0,K844*(1+L844/30),L844)),IF(N(N844)=0,0,IF(N(M844)&gt;0,M844*(1+N844/30),N844))))</f>
        <v/>
      </c>
      <c r="Y844">
        <f>IF(N(X844)=0,"",X844+ROW()/1000000000)</f>
        <v/>
      </c>
      <c r="Z844">
        <f>IF(Y844="","",IF(COUNTIFS(Log!$D$6:$D$1505,D844,Log!$Y$6:$Y$1505,"&gt;"&amp;Y844)=0,1,0))</f>
        <v/>
      </c>
      <c r="AA844">
        <f>IF(OR(B844="",D844=""),"",B844+ROW()/10000000)</f>
        <v/>
      </c>
      <c r="AB844">
        <f>IF(AA844="","",IF(COUNTIFS(Log!$D$6:$D$1505,D844,Log!$AA$6:$AA$1505,"&gt;"&amp;AA844)=0,1,0))</f>
        <v/>
      </c>
      <c r="AC844">
        <f>IF(S844="New best",AA844,"")</f>
        <v/>
      </c>
      <c r="AD844">
        <f>ROW()</f>
        <v/>
      </c>
    </row>
    <row r="845">
      <c r="A845" s="1" t="n"/>
      <c r="B845" s="21" t="n"/>
      <c r="C845" s="22" t="n"/>
      <c r="D845" s="23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15">
        <f>IF(D845="","",COUNT(F845,H845,J845,L845,N845))</f>
        <v/>
      </c>
      <c r="P845" s="25">
        <f>IF(D845="","",N(E845)*N(F845)+N(G845)*N(H845)+N(I845)*N(J845)+N(K845)*N(L845)+N(M845)*N(N845))</f>
        <v/>
      </c>
      <c r="Q845" s="18">
        <f>IF(N(X845)=0,"",IF(IF(N(F845)=0,0,IF(N(E845)&gt;0,E845*(1+F845/30),F845))=X845,IF(N(E845)&gt;0,E845&amp;" x "&amp;F845,F845&amp;" reps"),IF(IF(N(H845)=0,0,IF(N(G845)&gt;0,G845*(1+H845/30),H845))=X845,IF(N(G845)&gt;0,G845&amp;" x "&amp;H845,H845&amp;" reps"),IF(IF(N(J845)=0,0,IF(N(I845)&gt;0,I845*(1+J845/30),J845))=X845,IF(N(I845)&gt;0,I845&amp;" x "&amp;J845,J845&amp;" reps"),IF(IF(N(L845)=0,0,IF(N(K845)&gt;0,K845*(1+L845/30),L845))=X845,IF(N(K845)&gt;0,K845&amp;" x "&amp;L845,L845&amp;" reps"),IF(IF(N(N845)=0,0,IF(N(M845)&gt;0,M845*(1+N845/30),N845))=X845,IF(N(M845)&gt;0,M845&amp;" x "&amp;N845,N845&amp;" reps"),""))))))</f>
        <v/>
      </c>
      <c r="R845" s="20">
        <f>IF(N(X845)=0,"",ROUND(X845,1))</f>
        <v/>
      </c>
      <c r="S845" s="18">
        <f>IF(N(X845)=0,"",IF(AND(COUNTIFS(Log!$D$6:$D$1505,D845,Log!$B$6:$B$1505,"&lt;"&amp;B845)&gt;0,COUNTIFS(Log!$D$6:$D$1505,D845,Log!$B$6:$B$1505,"&lt;"&amp;B845,Log!$X$6:$X$1505,"&gt;="&amp;X845)=0),"New best",""))</f>
        <v/>
      </c>
      <c r="T845" s="26" t="n"/>
      <c r="U845" s="1">
        <f>IF(D845="","",IFERROR(INDEX(Exercises!$C$6:$C$105,MATCH(D845,Exercises!$B$6:$B$105,0)),"Other"))</f>
        <v/>
      </c>
      <c r="V845">
        <f>IF(B845="","",IF(COUNTIF($B$6:B845,B845)=1,1,0))</f>
        <v/>
      </c>
      <c r="W845">
        <f>IF(B845="","",B845-WEEKDAY(B845,3))</f>
        <v/>
      </c>
      <c r="X845">
        <f>IF(D845="","",MAX(IF(N(F845)=0,0,IF(N(E845)&gt;0,E845*(1+F845/30),F845)),IF(N(H845)=0,0,IF(N(G845)&gt;0,G845*(1+H845/30),H845)),IF(N(J845)=0,0,IF(N(I845)&gt;0,I845*(1+J845/30),J845)),IF(N(L845)=0,0,IF(N(K845)&gt;0,K845*(1+L845/30),L845)),IF(N(N845)=0,0,IF(N(M845)&gt;0,M845*(1+N845/30),N845))))</f>
        <v/>
      </c>
      <c r="Y845">
        <f>IF(N(X845)=0,"",X845+ROW()/1000000000)</f>
        <v/>
      </c>
      <c r="Z845">
        <f>IF(Y845="","",IF(COUNTIFS(Log!$D$6:$D$1505,D845,Log!$Y$6:$Y$1505,"&gt;"&amp;Y845)=0,1,0))</f>
        <v/>
      </c>
      <c r="AA845">
        <f>IF(OR(B845="",D845=""),"",B845+ROW()/10000000)</f>
        <v/>
      </c>
      <c r="AB845">
        <f>IF(AA845="","",IF(COUNTIFS(Log!$D$6:$D$1505,D845,Log!$AA$6:$AA$1505,"&gt;"&amp;AA845)=0,1,0))</f>
        <v/>
      </c>
      <c r="AC845">
        <f>IF(S845="New best",AA845,"")</f>
        <v/>
      </c>
      <c r="AD845">
        <f>ROW()</f>
        <v/>
      </c>
    </row>
    <row r="846">
      <c r="A846" s="1" t="n"/>
      <c r="B846" s="21" t="n"/>
      <c r="C846" s="22" t="n"/>
      <c r="D846" s="23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15">
        <f>IF(D846="","",COUNT(F846,H846,J846,L846,N846))</f>
        <v/>
      </c>
      <c r="P846" s="25">
        <f>IF(D846="","",N(E846)*N(F846)+N(G846)*N(H846)+N(I846)*N(J846)+N(K846)*N(L846)+N(M846)*N(N846))</f>
        <v/>
      </c>
      <c r="Q846" s="18">
        <f>IF(N(X846)=0,"",IF(IF(N(F846)=0,0,IF(N(E846)&gt;0,E846*(1+F846/30),F846))=X846,IF(N(E846)&gt;0,E846&amp;" x "&amp;F846,F846&amp;" reps"),IF(IF(N(H846)=0,0,IF(N(G846)&gt;0,G846*(1+H846/30),H846))=X846,IF(N(G846)&gt;0,G846&amp;" x "&amp;H846,H846&amp;" reps"),IF(IF(N(J846)=0,0,IF(N(I846)&gt;0,I846*(1+J846/30),J846))=X846,IF(N(I846)&gt;0,I846&amp;" x "&amp;J846,J846&amp;" reps"),IF(IF(N(L846)=0,0,IF(N(K846)&gt;0,K846*(1+L846/30),L846))=X846,IF(N(K846)&gt;0,K846&amp;" x "&amp;L846,L846&amp;" reps"),IF(IF(N(N846)=0,0,IF(N(M846)&gt;0,M846*(1+N846/30),N846))=X846,IF(N(M846)&gt;0,M846&amp;" x "&amp;N846,N846&amp;" reps"),""))))))</f>
        <v/>
      </c>
      <c r="R846" s="20">
        <f>IF(N(X846)=0,"",ROUND(X846,1))</f>
        <v/>
      </c>
      <c r="S846" s="18">
        <f>IF(N(X846)=0,"",IF(AND(COUNTIFS(Log!$D$6:$D$1505,D846,Log!$B$6:$B$1505,"&lt;"&amp;B846)&gt;0,COUNTIFS(Log!$D$6:$D$1505,D846,Log!$B$6:$B$1505,"&lt;"&amp;B846,Log!$X$6:$X$1505,"&gt;="&amp;X846)=0),"New best",""))</f>
        <v/>
      </c>
      <c r="T846" s="26" t="n"/>
      <c r="U846" s="1">
        <f>IF(D846="","",IFERROR(INDEX(Exercises!$C$6:$C$105,MATCH(D846,Exercises!$B$6:$B$105,0)),"Other"))</f>
        <v/>
      </c>
      <c r="V846">
        <f>IF(B846="","",IF(COUNTIF($B$6:B846,B846)=1,1,0))</f>
        <v/>
      </c>
      <c r="W846">
        <f>IF(B846="","",B846-WEEKDAY(B846,3))</f>
        <v/>
      </c>
      <c r="X846">
        <f>IF(D846="","",MAX(IF(N(F846)=0,0,IF(N(E846)&gt;0,E846*(1+F846/30),F846)),IF(N(H846)=0,0,IF(N(G846)&gt;0,G846*(1+H846/30),H846)),IF(N(J846)=0,0,IF(N(I846)&gt;0,I846*(1+J846/30),J846)),IF(N(L846)=0,0,IF(N(K846)&gt;0,K846*(1+L846/30),L846)),IF(N(N846)=0,0,IF(N(M846)&gt;0,M846*(1+N846/30),N846))))</f>
        <v/>
      </c>
      <c r="Y846">
        <f>IF(N(X846)=0,"",X846+ROW()/1000000000)</f>
        <v/>
      </c>
      <c r="Z846">
        <f>IF(Y846="","",IF(COUNTIFS(Log!$D$6:$D$1505,D846,Log!$Y$6:$Y$1505,"&gt;"&amp;Y846)=0,1,0))</f>
        <v/>
      </c>
      <c r="AA846">
        <f>IF(OR(B846="",D846=""),"",B846+ROW()/10000000)</f>
        <v/>
      </c>
      <c r="AB846">
        <f>IF(AA846="","",IF(COUNTIFS(Log!$D$6:$D$1505,D846,Log!$AA$6:$AA$1505,"&gt;"&amp;AA846)=0,1,0))</f>
        <v/>
      </c>
      <c r="AC846">
        <f>IF(S846="New best",AA846,"")</f>
        <v/>
      </c>
      <c r="AD846">
        <f>ROW()</f>
        <v/>
      </c>
    </row>
    <row r="847">
      <c r="A847" s="1" t="n"/>
      <c r="B847" s="21" t="n"/>
      <c r="C847" s="22" t="n"/>
      <c r="D847" s="23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15">
        <f>IF(D847="","",COUNT(F847,H847,J847,L847,N847))</f>
        <v/>
      </c>
      <c r="P847" s="25">
        <f>IF(D847="","",N(E847)*N(F847)+N(G847)*N(H847)+N(I847)*N(J847)+N(K847)*N(L847)+N(M847)*N(N847))</f>
        <v/>
      </c>
      <c r="Q847" s="18">
        <f>IF(N(X847)=0,"",IF(IF(N(F847)=0,0,IF(N(E847)&gt;0,E847*(1+F847/30),F847))=X847,IF(N(E847)&gt;0,E847&amp;" x "&amp;F847,F847&amp;" reps"),IF(IF(N(H847)=0,0,IF(N(G847)&gt;0,G847*(1+H847/30),H847))=X847,IF(N(G847)&gt;0,G847&amp;" x "&amp;H847,H847&amp;" reps"),IF(IF(N(J847)=0,0,IF(N(I847)&gt;0,I847*(1+J847/30),J847))=X847,IF(N(I847)&gt;0,I847&amp;" x "&amp;J847,J847&amp;" reps"),IF(IF(N(L847)=0,0,IF(N(K847)&gt;0,K847*(1+L847/30),L847))=X847,IF(N(K847)&gt;0,K847&amp;" x "&amp;L847,L847&amp;" reps"),IF(IF(N(N847)=0,0,IF(N(M847)&gt;0,M847*(1+N847/30),N847))=X847,IF(N(M847)&gt;0,M847&amp;" x "&amp;N847,N847&amp;" reps"),""))))))</f>
        <v/>
      </c>
      <c r="R847" s="20">
        <f>IF(N(X847)=0,"",ROUND(X847,1))</f>
        <v/>
      </c>
      <c r="S847" s="18">
        <f>IF(N(X847)=0,"",IF(AND(COUNTIFS(Log!$D$6:$D$1505,D847,Log!$B$6:$B$1505,"&lt;"&amp;B847)&gt;0,COUNTIFS(Log!$D$6:$D$1505,D847,Log!$B$6:$B$1505,"&lt;"&amp;B847,Log!$X$6:$X$1505,"&gt;="&amp;X847)=0),"New best",""))</f>
        <v/>
      </c>
      <c r="T847" s="26" t="n"/>
      <c r="U847" s="1">
        <f>IF(D847="","",IFERROR(INDEX(Exercises!$C$6:$C$105,MATCH(D847,Exercises!$B$6:$B$105,0)),"Other"))</f>
        <v/>
      </c>
      <c r="V847">
        <f>IF(B847="","",IF(COUNTIF($B$6:B847,B847)=1,1,0))</f>
        <v/>
      </c>
      <c r="W847">
        <f>IF(B847="","",B847-WEEKDAY(B847,3))</f>
        <v/>
      </c>
      <c r="X847">
        <f>IF(D847="","",MAX(IF(N(F847)=0,0,IF(N(E847)&gt;0,E847*(1+F847/30),F847)),IF(N(H847)=0,0,IF(N(G847)&gt;0,G847*(1+H847/30),H847)),IF(N(J847)=0,0,IF(N(I847)&gt;0,I847*(1+J847/30),J847)),IF(N(L847)=0,0,IF(N(K847)&gt;0,K847*(1+L847/30),L847)),IF(N(N847)=0,0,IF(N(M847)&gt;0,M847*(1+N847/30),N847))))</f>
        <v/>
      </c>
      <c r="Y847">
        <f>IF(N(X847)=0,"",X847+ROW()/1000000000)</f>
        <v/>
      </c>
      <c r="Z847">
        <f>IF(Y847="","",IF(COUNTIFS(Log!$D$6:$D$1505,D847,Log!$Y$6:$Y$1505,"&gt;"&amp;Y847)=0,1,0))</f>
        <v/>
      </c>
      <c r="AA847">
        <f>IF(OR(B847="",D847=""),"",B847+ROW()/10000000)</f>
        <v/>
      </c>
      <c r="AB847">
        <f>IF(AA847="","",IF(COUNTIFS(Log!$D$6:$D$1505,D847,Log!$AA$6:$AA$1505,"&gt;"&amp;AA847)=0,1,0))</f>
        <v/>
      </c>
      <c r="AC847">
        <f>IF(S847="New best",AA847,"")</f>
        <v/>
      </c>
      <c r="AD847">
        <f>ROW()</f>
        <v/>
      </c>
    </row>
    <row r="848">
      <c r="A848" s="1" t="n"/>
      <c r="B848" s="21" t="n"/>
      <c r="C848" s="22" t="n"/>
      <c r="D848" s="23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15">
        <f>IF(D848="","",COUNT(F848,H848,J848,L848,N848))</f>
        <v/>
      </c>
      <c r="P848" s="25">
        <f>IF(D848="","",N(E848)*N(F848)+N(G848)*N(H848)+N(I848)*N(J848)+N(K848)*N(L848)+N(M848)*N(N848))</f>
        <v/>
      </c>
      <c r="Q848" s="18">
        <f>IF(N(X848)=0,"",IF(IF(N(F848)=0,0,IF(N(E848)&gt;0,E848*(1+F848/30),F848))=X848,IF(N(E848)&gt;0,E848&amp;" x "&amp;F848,F848&amp;" reps"),IF(IF(N(H848)=0,0,IF(N(G848)&gt;0,G848*(1+H848/30),H848))=X848,IF(N(G848)&gt;0,G848&amp;" x "&amp;H848,H848&amp;" reps"),IF(IF(N(J848)=0,0,IF(N(I848)&gt;0,I848*(1+J848/30),J848))=X848,IF(N(I848)&gt;0,I848&amp;" x "&amp;J848,J848&amp;" reps"),IF(IF(N(L848)=0,0,IF(N(K848)&gt;0,K848*(1+L848/30),L848))=X848,IF(N(K848)&gt;0,K848&amp;" x "&amp;L848,L848&amp;" reps"),IF(IF(N(N848)=0,0,IF(N(M848)&gt;0,M848*(1+N848/30),N848))=X848,IF(N(M848)&gt;0,M848&amp;" x "&amp;N848,N848&amp;" reps"),""))))))</f>
        <v/>
      </c>
      <c r="R848" s="20">
        <f>IF(N(X848)=0,"",ROUND(X848,1))</f>
        <v/>
      </c>
      <c r="S848" s="18">
        <f>IF(N(X848)=0,"",IF(AND(COUNTIFS(Log!$D$6:$D$1505,D848,Log!$B$6:$B$1505,"&lt;"&amp;B848)&gt;0,COUNTIFS(Log!$D$6:$D$1505,D848,Log!$B$6:$B$1505,"&lt;"&amp;B848,Log!$X$6:$X$1505,"&gt;="&amp;X848)=0),"New best",""))</f>
        <v/>
      </c>
      <c r="T848" s="26" t="n"/>
      <c r="U848" s="1">
        <f>IF(D848="","",IFERROR(INDEX(Exercises!$C$6:$C$105,MATCH(D848,Exercises!$B$6:$B$105,0)),"Other"))</f>
        <v/>
      </c>
      <c r="V848">
        <f>IF(B848="","",IF(COUNTIF($B$6:B848,B848)=1,1,0))</f>
        <v/>
      </c>
      <c r="W848">
        <f>IF(B848="","",B848-WEEKDAY(B848,3))</f>
        <v/>
      </c>
      <c r="X848">
        <f>IF(D848="","",MAX(IF(N(F848)=0,0,IF(N(E848)&gt;0,E848*(1+F848/30),F848)),IF(N(H848)=0,0,IF(N(G848)&gt;0,G848*(1+H848/30),H848)),IF(N(J848)=0,0,IF(N(I848)&gt;0,I848*(1+J848/30),J848)),IF(N(L848)=0,0,IF(N(K848)&gt;0,K848*(1+L848/30),L848)),IF(N(N848)=0,0,IF(N(M848)&gt;0,M848*(1+N848/30),N848))))</f>
        <v/>
      </c>
      <c r="Y848">
        <f>IF(N(X848)=0,"",X848+ROW()/1000000000)</f>
        <v/>
      </c>
      <c r="Z848">
        <f>IF(Y848="","",IF(COUNTIFS(Log!$D$6:$D$1505,D848,Log!$Y$6:$Y$1505,"&gt;"&amp;Y848)=0,1,0))</f>
        <v/>
      </c>
      <c r="AA848">
        <f>IF(OR(B848="",D848=""),"",B848+ROW()/10000000)</f>
        <v/>
      </c>
      <c r="AB848">
        <f>IF(AA848="","",IF(COUNTIFS(Log!$D$6:$D$1505,D848,Log!$AA$6:$AA$1505,"&gt;"&amp;AA848)=0,1,0))</f>
        <v/>
      </c>
      <c r="AC848">
        <f>IF(S848="New best",AA848,"")</f>
        <v/>
      </c>
      <c r="AD848">
        <f>ROW()</f>
        <v/>
      </c>
    </row>
    <row r="849">
      <c r="A849" s="1" t="n"/>
      <c r="B849" s="21" t="n"/>
      <c r="C849" s="22" t="n"/>
      <c r="D849" s="23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15">
        <f>IF(D849="","",COUNT(F849,H849,J849,L849,N849))</f>
        <v/>
      </c>
      <c r="P849" s="25">
        <f>IF(D849="","",N(E849)*N(F849)+N(G849)*N(H849)+N(I849)*N(J849)+N(K849)*N(L849)+N(M849)*N(N849))</f>
        <v/>
      </c>
      <c r="Q849" s="18">
        <f>IF(N(X849)=0,"",IF(IF(N(F849)=0,0,IF(N(E849)&gt;0,E849*(1+F849/30),F849))=X849,IF(N(E849)&gt;0,E849&amp;" x "&amp;F849,F849&amp;" reps"),IF(IF(N(H849)=0,0,IF(N(G849)&gt;0,G849*(1+H849/30),H849))=X849,IF(N(G849)&gt;0,G849&amp;" x "&amp;H849,H849&amp;" reps"),IF(IF(N(J849)=0,0,IF(N(I849)&gt;0,I849*(1+J849/30),J849))=X849,IF(N(I849)&gt;0,I849&amp;" x "&amp;J849,J849&amp;" reps"),IF(IF(N(L849)=0,0,IF(N(K849)&gt;0,K849*(1+L849/30),L849))=X849,IF(N(K849)&gt;0,K849&amp;" x "&amp;L849,L849&amp;" reps"),IF(IF(N(N849)=0,0,IF(N(M849)&gt;0,M849*(1+N849/30),N849))=X849,IF(N(M849)&gt;0,M849&amp;" x "&amp;N849,N849&amp;" reps"),""))))))</f>
        <v/>
      </c>
      <c r="R849" s="20">
        <f>IF(N(X849)=0,"",ROUND(X849,1))</f>
        <v/>
      </c>
      <c r="S849" s="18">
        <f>IF(N(X849)=0,"",IF(AND(COUNTIFS(Log!$D$6:$D$1505,D849,Log!$B$6:$B$1505,"&lt;"&amp;B849)&gt;0,COUNTIFS(Log!$D$6:$D$1505,D849,Log!$B$6:$B$1505,"&lt;"&amp;B849,Log!$X$6:$X$1505,"&gt;="&amp;X849)=0),"New best",""))</f>
        <v/>
      </c>
      <c r="T849" s="26" t="n"/>
      <c r="U849" s="1">
        <f>IF(D849="","",IFERROR(INDEX(Exercises!$C$6:$C$105,MATCH(D849,Exercises!$B$6:$B$105,0)),"Other"))</f>
        <v/>
      </c>
      <c r="V849">
        <f>IF(B849="","",IF(COUNTIF($B$6:B849,B849)=1,1,0))</f>
        <v/>
      </c>
      <c r="W849">
        <f>IF(B849="","",B849-WEEKDAY(B849,3))</f>
        <v/>
      </c>
      <c r="X849">
        <f>IF(D849="","",MAX(IF(N(F849)=0,0,IF(N(E849)&gt;0,E849*(1+F849/30),F849)),IF(N(H849)=0,0,IF(N(G849)&gt;0,G849*(1+H849/30),H849)),IF(N(J849)=0,0,IF(N(I849)&gt;0,I849*(1+J849/30),J849)),IF(N(L849)=0,0,IF(N(K849)&gt;0,K849*(1+L849/30),L849)),IF(N(N849)=0,0,IF(N(M849)&gt;0,M849*(1+N849/30),N849))))</f>
        <v/>
      </c>
      <c r="Y849">
        <f>IF(N(X849)=0,"",X849+ROW()/1000000000)</f>
        <v/>
      </c>
      <c r="Z849">
        <f>IF(Y849="","",IF(COUNTIFS(Log!$D$6:$D$1505,D849,Log!$Y$6:$Y$1505,"&gt;"&amp;Y849)=0,1,0))</f>
        <v/>
      </c>
      <c r="AA849">
        <f>IF(OR(B849="",D849=""),"",B849+ROW()/10000000)</f>
        <v/>
      </c>
      <c r="AB849">
        <f>IF(AA849="","",IF(COUNTIFS(Log!$D$6:$D$1505,D849,Log!$AA$6:$AA$1505,"&gt;"&amp;AA849)=0,1,0))</f>
        <v/>
      </c>
      <c r="AC849">
        <f>IF(S849="New best",AA849,"")</f>
        <v/>
      </c>
      <c r="AD849">
        <f>ROW()</f>
        <v/>
      </c>
    </row>
    <row r="850">
      <c r="A850" s="1" t="n"/>
      <c r="B850" s="21" t="n"/>
      <c r="C850" s="22" t="n"/>
      <c r="D850" s="23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15">
        <f>IF(D850="","",COUNT(F850,H850,J850,L850,N850))</f>
        <v/>
      </c>
      <c r="P850" s="25">
        <f>IF(D850="","",N(E850)*N(F850)+N(G850)*N(H850)+N(I850)*N(J850)+N(K850)*N(L850)+N(M850)*N(N850))</f>
        <v/>
      </c>
      <c r="Q850" s="18">
        <f>IF(N(X850)=0,"",IF(IF(N(F850)=0,0,IF(N(E850)&gt;0,E850*(1+F850/30),F850))=X850,IF(N(E850)&gt;0,E850&amp;" x "&amp;F850,F850&amp;" reps"),IF(IF(N(H850)=0,0,IF(N(G850)&gt;0,G850*(1+H850/30),H850))=X850,IF(N(G850)&gt;0,G850&amp;" x "&amp;H850,H850&amp;" reps"),IF(IF(N(J850)=0,0,IF(N(I850)&gt;0,I850*(1+J850/30),J850))=X850,IF(N(I850)&gt;0,I850&amp;" x "&amp;J850,J850&amp;" reps"),IF(IF(N(L850)=0,0,IF(N(K850)&gt;0,K850*(1+L850/30),L850))=X850,IF(N(K850)&gt;0,K850&amp;" x "&amp;L850,L850&amp;" reps"),IF(IF(N(N850)=0,0,IF(N(M850)&gt;0,M850*(1+N850/30),N850))=X850,IF(N(M850)&gt;0,M850&amp;" x "&amp;N850,N850&amp;" reps"),""))))))</f>
        <v/>
      </c>
      <c r="R850" s="20">
        <f>IF(N(X850)=0,"",ROUND(X850,1))</f>
        <v/>
      </c>
      <c r="S850" s="18">
        <f>IF(N(X850)=0,"",IF(AND(COUNTIFS(Log!$D$6:$D$1505,D850,Log!$B$6:$B$1505,"&lt;"&amp;B850)&gt;0,COUNTIFS(Log!$D$6:$D$1505,D850,Log!$B$6:$B$1505,"&lt;"&amp;B850,Log!$X$6:$X$1505,"&gt;="&amp;X850)=0),"New best",""))</f>
        <v/>
      </c>
      <c r="T850" s="26" t="n"/>
      <c r="U850" s="1">
        <f>IF(D850="","",IFERROR(INDEX(Exercises!$C$6:$C$105,MATCH(D850,Exercises!$B$6:$B$105,0)),"Other"))</f>
        <v/>
      </c>
      <c r="V850">
        <f>IF(B850="","",IF(COUNTIF($B$6:B850,B850)=1,1,0))</f>
        <v/>
      </c>
      <c r="W850">
        <f>IF(B850="","",B850-WEEKDAY(B850,3))</f>
        <v/>
      </c>
      <c r="X850">
        <f>IF(D850="","",MAX(IF(N(F850)=0,0,IF(N(E850)&gt;0,E850*(1+F850/30),F850)),IF(N(H850)=0,0,IF(N(G850)&gt;0,G850*(1+H850/30),H850)),IF(N(J850)=0,0,IF(N(I850)&gt;0,I850*(1+J850/30),J850)),IF(N(L850)=0,0,IF(N(K850)&gt;0,K850*(1+L850/30),L850)),IF(N(N850)=0,0,IF(N(M850)&gt;0,M850*(1+N850/30),N850))))</f>
        <v/>
      </c>
      <c r="Y850">
        <f>IF(N(X850)=0,"",X850+ROW()/1000000000)</f>
        <v/>
      </c>
      <c r="Z850">
        <f>IF(Y850="","",IF(COUNTIFS(Log!$D$6:$D$1505,D850,Log!$Y$6:$Y$1505,"&gt;"&amp;Y850)=0,1,0))</f>
        <v/>
      </c>
      <c r="AA850">
        <f>IF(OR(B850="",D850=""),"",B850+ROW()/10000000)</f>
        <v/>
      </c>
      <c r="AB850">
        <f>IF(AA850="","",IF(COUNTIFS(Log!$D$6:$D$1505,D850,Log!$AA$6:$AA$1505,"&gt;"&amp;AA850)=0,1,0))</f>
        <v/>
      </c>
      <c r="AC850">
        <f>IF(S850="New best",AA850,"")</f>
        <v/>
      </c>
      <c r="AD850">
        <f>ROW()</f>
        <v/>
      </c>
    </row>
    <row r="851">
      <c r="A851" s="1" t="n"/>
      <c r="B851" s="21" t="n"/>
      <c r="C851" s="22" t="n"/>
      <c r="D851" s="23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15">
        <f>IF(D851="","",COUNT(F851,H851,J851,L851,N851))</f>
        <v/>
      </c>
      <c r="P851" s="25">
        <f>IF(D851="","",N(E851)*N(F851)+N(G851)*N(H851)+N(I851)*N(J851)+N(K851)*N(L851)+N(M851)*N(N851))</f>
        <v/>
      </c>
      <c r="Q851" s="18">
        <f>IF(N(X851)=0,"",IF(IF(N(F851)=0,0,IF(N(E851)&gt;0,E851*(1+F851/30),F851))=X851,IF(N(E851)&gt;0,E851&amp;" x "&amp;F851,F851&amp;" reps"),IF(IF(N(H851)=0,0,IF(N(G851)&gt;0,G851*(1+H851/30),H851))=X851,IF(N(G851)&gt;0,G851&amp;" x "&amp;H851,H851&amp;" reps"),IF(IF(N(J851)=0,0,IF(N(I851)&gt;0,I851*(1+J851/30),J851))=X851,IF(N(I851)&gt;0,I851&amp;" x "&amp;J851,J851&amp;" reps"),IF(IF(N(L851)=0,0,IF(N(K851)&gt;0,K851*(1+L851/30),L851))=X851,IF(N(K851)&gt;0,K851&amp;" x "&amp;L851,L851&amp;" reps"),IF(IF(N(N851)=0,0,IF(N(M851)&gt;0,M851*(1+N851/30),N851))=X851,IF(N(M851)&gt;0,M851&amp;" x "&amp;N851,N851&amp;" reps"),""))))))</f>
        <v/>
      </c>
      <c r="R851" s="20">
        <f>IF(N(X851)=0,"",ROUND(X851,1))</f>
        <v/>
      </c>
      <c r="S851" s="18">
        <f>IF(N(X851)=0,"",IF(AND(COUNTIFS(Log!$D$6:$D$1505,D851,Log!$B$6:$B$1505,"&lt;"&amp;B851)&gt;0,COUNTIFS(Log!$D$6:$D$1505,D851,Log!$B$6:$B$1505,"&lt;"&amp;B851,Log!$X$6:$X$1505,"&gt;="&amp;X851)=0),"New best",""))</f>
        <v/>
      </c>
      <c r="T851" s="26" t="n"/>
      <c r="U851" s="1">
        <f>IF(D851="","",IFERROR(INDEX(Exercises!$C$6:$C$105,MATCH(D851,Exercises!$B$6:$B$105,0)),"Other"))</f>
        <v/>
      </c>
      <c r="V851">
        <f>IF(B851="","",IF(COUNTIF($B$6:B851,B851)=1,1,0))</f>
        <v/>
      </c>
      <c r="W851">
        <f>IF(B851="","",B851-WEEKDAY(B851,3))</f>
        <v/>
      </c>
      <c r="X851">
        <f>IF(D851="","",MAX(IF(N(F851)=0,0,IF(N(E851)&gt;0,E851*(1+F851/30),F851)),IF(N(H851)=0,0,IF(N(G851)&gt;0,G851*(1+H851/30),H851)),IF(N(J851)=0,0,IF(N(I851)&gt;0,I851*(1+J851/30),J851)),IF(N(L851)=0,0,IF(N(K851)&gt;0,K851*(1+L851/30),L851)),IF(N(N851)=0,0,IF(N(M851)&gt;0,M851*(1+N851/30),N851))))</f>
        <v/>
      </c>
      <c r="Y851">
        <f>IF(N(X851)=0,"",X851+ROW()/1000000000)</f>
        <v/>
      </c>
      <c r="Z851">
        <f>IF(Y851="","",IF(COUNTIFS(Log!$D$6:$D$1505,D851,Log!$Y$6:$Y$1505,"&gt;"&amp;Y851)=0,1,0))</f>
        <v/>
      </c>
      <c r="AA851">
        <f>IF(OR(B851="",D851=""),"",B851+ROW()/10000000)</f>
        <v/>
      </c>
      <c r="AB851">
        <f>IF(AA851="","",IF(COUNTIFS(Log!$D$6:$D$1505,D851,Log!$AA$6:$AA$1505,"&gt;"&amp;AA851)=0,1,0))</f>
        <v/>
      </c>
      <c r="AC851">
        <f>IF(S851="New best",AA851,"")</f>
        <v/>
      </c>
      <c r="AD851">
        <f>ROW()</f>
        <v/>
      </c>
    </row>
    <row r="852">
      <c r="A852" s="1" t="n"/>
      <c r="B852" s="21" t="n"/>
      <c r="C852" s="22" t="n"/>
      <c r="D852" s="23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15">
        <f>IF(D852="","",COUNT(F852,H852,J852,L852,N852))</f>
        <v/>
      </c>
      <c r="P852" s="25">
        <f>IF(D852="","",N(E852)*N(F852)+N(G852)*N(H852)+N(I852)*N(J852)+N(K852)*N(L852)+N(M852)*N(N852))</f>
        <v/>
      </c>
      <c r="Q852" s="18">
        <f>IF(N(X852)=0,"",IF(IF(N(F852)=0,0,IF(N(E852)&gt;0,E852*(1+F852/30),F852))=X852,IF(N(E852)&gt;0,E852&amp;" x "&amp;F852,F852&amp;" reps"),IF(IF(N(H852)=0,0,IF(N(G852)&gt;0,G852*(1+H852/30),H852))=X852,IF(N(G852)&gt;0,G852&amp;" x "&amp;H852,H852&amp;" reps"),IF(IF(N(J852)=0,0,IF(N(I852)&gt;0,I852*(1+J852/30),J852))=X852,IF(N(I852)&gt;0,I852&amp;" x "&amp;J852,J852&amp;" reps"),IF(IF(N(L852)=0,0,IF(N(K852)&gt;0,K852*(1+L852/30),L852))=X852,IF(N(K852)&gt;0,K852&amp;" x "&amp;L852,L852&amp;" reps"),IF(IF(N(N852)=0,0,IF(N(M852)&gt;0,M852*(1+N852/30),N852))=X852,IF(N(M852)&gt;0,M852&amp;" x "&amp;N852,N852&amp;" reps"),""))))))</f>
        <v/>
      </c>
      <c r="R852" s="20">
        <f>IF(N(X852)=0,"",ROUND(X852,1))</f>
        <v/>
      </c>
      <c r="S852" s="18">
        <f>IF(N(X852)=0,"",IF(AND(COUNTIFS(Log!$D$6:$D$1505,D852,Log!$B$6:$B$1505,"&lt;"&amp;B852)&gt;0,COUNTIFS(Log!$D$6:$D$1505,D852,Log!$B$6:$B$1505,"&lt;"&amp;B852,Log!$X$6:$X$1505,"&gt;="&amp;X852)=0),"New best",""))</f>
        <v/>
      </c>
      <c r="T852" s="26" t="n"/>
      <c r="U852" s="1">
        <f>IF(D852="","",IFERROR(INDEX(Exercises!$C$6:$C$105,MATCH(D852,Exercises!$B$6:$B$105,0)),"Other"))</f>
        <v/>
      </c>
      <c r="V852">
        <f>IF(B852="","",IF(COUNTIF($B$6:B852,B852)=1,1,0))</f>
        <v/>
      </c>
      <c r="W852">
        <f>IF(B852="","",B852-WEEKDAY(B852,3))</f>
        <v/>
      </c>
      <c r="X852">
        <f>IF(D852="","",MAX(IF(N(F852)=0,0,IF(N(E852)&gt;0,E852*(1+F852/30),F852)),IF(N(H852)=0,0,IF(N(G852)&gt;0,G852*(1+H852/30),H852)),IF(N(J852)=0,0,IF(N(I852)&gt;0,I852*(1+J852/30),J852)),IF(N(L852)=0,0,IF(N(K852)&gt;0,K852*(1+L852/30),L852)),IF(N(N852)=0,0,IF(N(M852)&gt;0,M852*(1+N852/30),N852))))</f>
        <v/>
      </c>
      <c r="Y852">
        <f>IF(N(X852)=0,"",X852+ROW()/1000000000)</f>
        <v/>
      </c>
      <c r="Z852">
        <f>IF(Y852="","",IF(COUNTIFS(Log!$D$6:$D$1505,D852,Log!$Y$6:$Y$1505,"&gt;"&amp;Y852)=0,1,0))</f>
        <v/>
      </c>
      <c r="AA852">
        <f>IF(OR(B852="",D852=""),"",B852+ROW()/10000000)</f>
        <v/>
      </c>
      <c r="AB852">
        <f>IF(AA852="","",IF(COUNTIFS(Log!$D$6:$D$1505,D852,Log!$AA$6:$AA$1505,"&gt;"&amp;AA852)=0,1,0))</f>
        <v/>
      </c>
      <c r="AC852">
        <f>IF(S852="New best",AA852,"")</f>
        <v/>
      </c>
      <c r="AD852">
        <f>ROW()</f>
        <v/>
      </c>
    </row>
    <row r="853">
      <c r="A853" s="1" t="n"/>
      <c r="B853" s="21" t="n"/>
      <c r="C853" s="22" t="n"/>
      <c r="D853" s="23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15">
        <f>IF(D853="","",COUNT(F853,H853,J853,L853,N853))</f>
        <v/>
      </c>
      <c r="P853" s="25">
        <f>IF(D853="","",N(E853)*N(F853)+N(G853)*N(H853)+N(I853)*N(J853)+N(K853)*N(L853)+N(M853)*N(N853))</f>
        <v/>
      </c>
      <c r="Q853" s="18">
        <f>IF(N(X853)=0,"",IF(IF(N(F853)=0,0,IF(N(E853)&gt;0,E853*(1+F853/30),F853))=X853,IF(N(E853)&gt;0,E853&amp;" x "&amp;F853,F853&amp;" reps"),IF(IF(N(H853)=0,0,IF(N(G853)&gt;0,G853*(1+H853/30),H853))=X853,IF(N(G853)&gt;0,G853&amp;" x "&amp;H853,H853&amp;" reps"),IF(IF(N(J853)=0,0,IF(N(I853)&gt;0,I853*(1+J853/30),J853))=X853,IF(N(I853)&gt;0,I853&amp;" x "&amp;J853,J853&amp;" reps"),IF(IF(N(L853)=0,0,IF(N(K853)&gt;0,K853*(1+L853/30),L853))=X853,IF(N(K853)&gt;0,K853&amp;" x "&amp;L853,L853&amp;" reps"),IF(IF(N(N853)=0,0,IF(N(M853)&gt;0,M853*(1+N853/30),N853))=X853,IF(N(M853)&gt;0,M853&amp;" x "&amp;N853,N853&amp;" reps"),""))))))</f>
        <v/>
      </c>
      <c r="R853" s="20">
        <f>IF(N(X853)=0,"",ROUND(X853,1))</f>
        <v/>
      </c>
      <c r="S853" s="18">
        <f>IF(N(X853)=0,"",IF(AND(COUNTIFS(Log!$D$6:$D$1505,D853,Log!$B$6:$B$1505,"&lt;"&amp;B853)&gt;0,COUNTIFS(Log!$D$6:$D$1505,D853,Log!$B$6:$B$1505,"&lt;"&amp;B853,Log!$X$6:$X$1505,"&gt;="&amp;X853)=0),"New best",""))</f>
        <v/>
      </c>
      <c r="T853" s="26" t="n"/>
      <c r="U853" s="1">
        <f>IF(D853="","",IFERROR(INDEX(Exercises!$C$6:$C$105,MATCH(D853,Exercises!$B$6:$B$105,0)),"Other"))</f>
        <v/>
      </c>
      <c r="V853">
        <f>IF(B853="","",IF(COUNTIF($B$6:B853,B853)=1,1,0))</f>
        <v/>
      </c>
      <c r="W853">
        <f>IF(B853="","",B853-WEEKDAY(B853,3))</f>
        <v/>
      </c>
      <c r="X853">
        <f>IF(D853="","",MAX(IF(N(F853)=0,0,IF(N(E853)&gt;0,E853*(1+F853/30),F853)),IF(N(H853)=0,0,IF(N(G853)&gt;0,G853*(1+H853/30),H853)),IF(N(J853)=0,0,IF(N(I853)&gt;0,I853*(1+J853/30),J853)),IF(N(L853)=0,0,IF(N(K853)&gt;0,K853*(1+L853/30),L853)),IF(N(N853)=0,0,IF(N(M853)&gt;0,M853*(1+N853/30),N853))))</f>
        <v/>
      </c>
      <c r="Y853">
        <f>IF(N(X853)=0,"",X853+ROW()/1000000000)</f>
        <v/>
      </c>
      <c r="Z853">
        <f>IF(Y853="","",IF(COUNTIFS(Log!$D$6:$D$1505,D853,Log!$Y$6:$Y$1505,"&gt;"&amp;Y853)=0,1,0))</f>
        <v/>
      </c>
      <c r="AA853">
        <f>IF(OR(B853="",D853=""),"",B853+ROW()/10000000)</f>
        <v/>
      </c>
      <c r="AB853">
        <f>IF(AA853="","",IF(COUNTIFS(Log!$D$6:$D$1505,D853,Log!$AA$6:$AA$1505,"&gt;"&amp;AA853)=0,1,0))</f>
        <v/>
      </c>
      <c r="AC853">
        <f>IF(S853="New best",AA853,"")</f>
        <v/>
      </c>
      <c r="AD853">
        <f>ROW()</f>
        <v/>
      </c>
    </row>
    <row r="854">
      <c r="A854" s="1" t="n"/>
      <c r="B854" s="21" t="n"/>
      <c r="C854" s="22" t="n"/>
      <c r="D854" s="23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15">
        <f>IF(D854="","",COUNT(F854,H854,J854,L854,N854))</f>
        <v/>
      </c>
      <c r="P854" s="25">
        <f>IF(D854="","",N(E854)*N(F854)+N(G854)*N(H854)+N(I854)*N(J854)+N(K854)*N(L854)+N(M854)*N(N854))</f>
        <v/>
      </c>
      <c r="Q854" s="18">
        <f>IF(N(X854)=0,"",IF(IF(N(F854)=0,0,IF(N(E854)&gt;0,E854*(1+F854/30),F854))=X854,IF(N(E854)&gt;0,E854&amp;" x "&amp;F854,F854&amp;" reps"),IF(IF(N(H854)=0,0,IF(N(G854)&gt;0,G854*(1+H854/30),H854))=X854,IF(N(G854)&gt;0,G854&amp;" x "&amp;H854,H854&amp;" reps"),IF(IF(N(J854)=0,0,IF(N(I854)&gt;0,I854*(1+J854/30),J854))=X854,IF(N(I854)&gt;0,I854&amp;" x "&amp;J854,J854&amp;" reps"),IF(IF(N(L854)=0,0,IF(N(K854)&gt;0,K854*(1+L854/30),L854))=X854,IF(N(K854)&gt;0,K854&amp;" x "&amp;L854,L854&amp;" reps"),IF(IF(N(N854)=0,0,IF(N(M854)&gt;0,M854*(1+N854/30),N854))=X854,IF(N(M854)&gt;0,M854&amp;" x "&amp;N854,N854&amp;" reps"),""))))))</f>
        <v/>
      </c>
      <c r="R854" s="20">
        <f>IF(N(X854)=0,"",ROUND(X854,1))</f>
        <v/>
      </c>
      <c r="S854" s="18">
        <f>IF(N(X854)=0,"",IF(AND(COUNTIFS(Log!$D$6:$D$1505,D854,Log!$B$6:$B$1505,"&lt;"&amp;B854)&gt;0,COUNTIFS(Log!$D$6:$D$1505,D854,Log!$B$6:$B$1505,"&lt;"&amp;B854,Log!$X$6:$X$1505,"&gt;="&amp;X854)=0),"New best",""))</f>
        <v/>
      </c>
      <c r="T854" s="26" t="n"/>
      <c r="U854" s="1">
        <f>IF(D854="","",IFERROR(INDEX(Exercises!$C$6:$C$105,MATCH(D854,Exercises!$B$6:$B$105,0)),"Other"))</f>
        <v/>
      </c>
      <c r="V854">
        <f>IF(B854="","",IF(COUNTIF($B$6:B854,B854)=1,1,0))</f>
        <v/>
      </c>
      <c r="W854">
        <f>IF(B854="","",B854-WEEKDAY(B854,3))</f>
        <v/>
      </c>
      <c r="X854">
        <f>IF(D854="","",MAX(IF(N(F854)=0,0,IF(N(E854)&gt;0,E854*(1+F854/30),F854)),IF(N(H854)=0,0,IF(N(G854)&gt;0,G854*(1+H854/30),H854)),IF(N(J854)=0,0,IF(N(I854)&gt;0,I854*(1+J854/30),J854)),IF(N(L854)=0,0,IF(N(K854)&gt;0,K854*(1+L854/30),L854)),IF(N(N854)=0,0,IF(N(M854)&gt;0,M854*(1+N854/30),N854))))</f>
        <v/>
      </c>
      <c r="Y854">
        <f>IF(N(X854)=0,"",X854+ROW()/1000000000)</f>
        <v/>
      </c>
      <c r="Z854">
        <f>IF(Y854="","",IF(COUNTIFS(Log!$D$6:$D$1505,D854,Log!$Y$6:$Y$1505,"&gt;"&amp;Y854)=0,1,0))</f>
        <v/>
      </c>
      <c r="AA854">
        <f>IF(OR(B854="",D854=""),"",B854+ROW()/10000000)</f>
        <v/>
      </c>
      <c r="AB854">
        <f>IF(AA854="","",IF(COUNTIFS(Log!$D$6:$D$1505,D854,Log!$AA$6:$AA$1505,"&gt;"&amp;AA854)=0,1,0))</f>
        <v/>
      </c>
      <c r="AC854">
        <f>IF(S854="New best",AA854,"")</f>
        <v/>
      </c>
      <c r="AD854">
        <f>ROW()</f>
        <v/>
      </c>
    </row>
    <row r="855">
      <c r="A855" s="1" t="n"/>
      <c r="B855" s="21" t="n"/>
      <c r="C855" s="22" t="n"/>
      <c r="D855" s="23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15">
        <f>IF(D855="","",COUNT(F855,H855,J855,L855,N855))</f>
        <v/>
      </c>
      <c r="P855" s="25">
        <f>IF(D855="","",N(E855)*N(F855)+N(G855)*N(H855)+N(I855)*N(J855)+N(K855)*N(L855)+N(M855)*N(N855))</f>
        <v/>
      </c>
      <c r="Q855" s="18">
        <f>IF(N(X855)=0,"",IF(IF(N(F855)=0,0,IF(N(E855)&gt;0,E855*(1+F855/30),F855))=X855,IF(N(E855)&gt;0,E855&amp;" x "&amp;F855,F855&amp;" reps"),IF(IF(N(H855)=0,0,IF(N(G855)&gt;0,G855*(1+H855/30),H855))=X855,IF(N(G855)&gt;0,G855&amp;" x "&amp;H855,H855&amp;" reps"),IF(IF(N(J855)=0,0,IF(N(I855)&gt;0,I855*(1+J855/30),J855))=X855,IF(N(I855)&gt;0,I855&amp;" x "&amp;J855,J855&amp;" reps"),IF(IF(N(L855)=0,0,IF(N(K855)&gt;0,K855*(1+L855/30),L855))=X855,IF(N(K855)&gt;0,K855&amp;" x "&amp;L855,L855&amp;" reps"),IF(IF(N(N855)=0,0,IF(N(M855)&gt;0,M855*(1+N855/30),N855))=X855,IF(N(M855)&gt;0,M855&amp;" x "&amp;N855,N855&amp;" reps"),""))))))</f>
        <v/>
      </c>
      <c r="R855" s="20">
        <f>IF(N(X855)=0,"",ROUND(X855,1))</f>
        <v/>
      </c>
      <c r="S855" s="18">
        <f>IF(N(X855)=0,"",IF(AND(COUNTIFS(Log!$D$6:$D$1505,D855,Log!$B$6:$B$1505,"&lt;"&amp;B855)&gt;0,COUNTIFS(Log!$D$6:$D$1505,D855,Log!$B$6:$B$1505,"&lt;"&amp;B855,Log!$X$6:$X$1505,"&gt;="&amp;X855)=0),"New best",""))</f>
        <v/>
      </c>
      <c r="T855" s="26" t="n"/>
      <c r="U855" s="1">
        <f>IF(D855="","",IFERROR(INDEX(Exercises!$C$6:$C$105,MATCH(D855,Exercises!$B$6:$B$105,0)),"Other"))</f>
        <v/>
      </c>
      <c r="V855">
        <f>IF(B855="","",IF(COUNTIF($B$6:B855,B855)=1,1,0))</f>
        <v/>
      </c>
      <c r="W855">
        <f>IF(B855="","",B855-WEEKDAY(B855,3))</f>
        <v/>
      </c>
      <c r="X855">
        <f>IF(D855="","",MAX(IF(N(F855)=0,0,IF(N(E855)&gt;0,E855*(1+F855/30),F855)),IF(N(H855)=0,0,IF(N(G855)&gt;0,G855*(1+H855/30),H855)),IF(N(J855)=0,0,IF(N(I855)&gt;0,I855*(1+J855/30),J855)),IF(N(L855)=0,0,IF(N(K855)&gt;0,K855*(1+L855/30),L855)),IF(N(N855)=0,0,IF(N(M855)&gt;0,M855*(1+N855/30),N855))))</f>
        <v/>
      </c>
      <c r="Y855">
        <f>IF(N(X855)=0,"",X855+ROW()/1000000000)</f>
        <v/>
      </c>
      <c r="Z855">
        <f>IF(Y855="","",IF(COUNTIFS(Log!$D$6:$D$1505,D855,Log!$Y$6:$Y$1505,"&gt;"&amp;Y855)=0,1,0))</f>
        <v/>
      </c>
      <c r="AA855">
        <f>IF(OR(B855="",D855=""),"",B855+ROW()/10000000)</f>
        <v/>
      </c>
      <c r="AB855">
        <f>IF(AA855="","",IF(COUNTIFS(Log!$D$6:$D$1505,D855,Log!$AA$6:$AA$1505,"&gt;"&amp;AA855)=0,1,0))</f>
        <v/>
      </c>
      <c r="AC855">
        <f>IF(S855="New best",AA855,"")</f>
        <v/>
      </c>
      <c r="AD855">
        <f>ROW()</f>
        <v/>
      </c>
    </row>
    <row r="856">
      <c r="A856" s="1" t="n"/>
      <c r="B856" s="21" t="n"/>
      <c r="C856" s="22" t="n"/>
      <c r="D856" s="23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15">
        <f>IF(D856="","",COUNT(F856,H856,J856,L856,N856))</f>
        <v/>
      </c>
      <c r="P856" s="25">
        <f>IF(D856="","",N(E856)*N(F856)+N(G856)*N(H856)+N(I856)*N(J856)+N(K856)*N(L856)+N(M856)*N(N856))</f>
        <v/>
      </c>
      <c r="Q856" s="18">
        <f>IF(N(X856)=0,"",IF(IF(N(F856)=0,0,IF(N(E856)&gt;0,E856*(1+F856/30),F856))=X856,IF(N(E856)&gt;0,E856&amp;" x "&amp;F856,F856&amp;" reps"),IF(IF(N(H856)=0,0,IF(N(G856)&gt;0,G856*(1+H856/30),H856))=X856,IF(N(G856)&gt;0,G856&amp;" x "&amp;H856,H856&amp;" reps"),IF(IF(N(J856)=0,0,IF(N(I856)&gt;0,I856*(1+J856/30),J856))=X856,IF(N(I856)&gt;0,I856&amp;" x "&amp;J856,J856&amp;" reps"),IF(IF(N(L856)=0,0,IF(N(K856)&gt;0,K856*(1+L856/30),L856))=X856,IF(N(K856)&gt;0,K856&amp;" x "&amp;L856,L856&amp;" reps"),IF(IF(N(N856)=0,0,IF(N(M856)&gt;0,M856*(1+N856/30),N856))=X856,IF(N(M856)&gt;0,M856&amp;" x "&amp;N856,N856&amp;" reps"),""))))))</f>
        <v/>
      </c>
      <c r="R856" s="20">
        <f>IF(N(X856)=0,"",ROUND(X856,1))</f>
        <v/>
      </c>
      <c r="S856" s="18">
        <f>IF(N(X856)=0,"",IF(AND(COUNTIFS(Log!$D$6:$D$1505,D856,Log!$B$6:$B$1505,"&lt;"&amp;B856)&gt;0,COUNTIFS(Log!$D$6:$D$1505,D856,Log!$B$6:$B$1505,"&lt;"&amp;B856,Log!$X$6:$X$1505,"&gt;="&amp;X856)=0),"New best",""))</f>
        <v/>
      </c>
      <c r="T856" s="26" t="n"/>
      <c r="U856" s="1">
        <f>IF(D856="","",IFERROR(INDEX(Exercises!$C$6:$C$105,MATCH(D856,Exercises!$B$6:$B$105,0)),"Other"))</f>
        <v/>
      </c>
      <c r="V856">
        <f>IF(B856="","",IF(COUNTIF($B$6:B856,B856)=1,1,0))</f>
        <v/>
      </c>
      <c r="W856">
        <f>IF(B856="","",B856-WEEKDAY(B856,3))</f>
        <v/>
      </c>
      <c r="X856">
        <f>IF(D856="","",MAX(IF(N(F856)=0,0,IF(N(E856)&gt;0,E856*(1+F856/30),F856)),IF(N(H856)=0,0,IF(N(G856)&gt;0,G856*(1+H856/30),H856)),IF(N(J856)=0,0,IF(N(I856)&gt;0,I856*(1+J856/30),J856)),IF(N(L856)=0,0,IF(N(K856)&gt;0,K856*(1+L856/30),L856)),IF(N(N856)=0,0,IF(N(M856)&gt;0,M856*(1+N856/30),N856))))</f>
        <v/>
      </c>
      <c r="Y856">
        <f>IF(N(X856)=0,"",X856+ROW()/1000000000)</f>
        <v/>
      </c>
      <c r="Z856">
        <f>IF(Y856="","",IF(COUNTIFS(Log!$D$6:$D$1505,D856,Log!$Y$6:$Y$1505,"&gt;"&amp;Y856)=0,1,0))</f>
        <v/>
      </c>
      <c r="AA856">
        <f>IF(OR(B856="",D856=""),"",B856+ROW()/10000000)</f>
        <v/>
      </c>
      <c r="AB856">
        <f>IF(AA856="","",IF(COUNTIFS(Log!$D$6:$D$1505,D856,Log!$AA$6:$AA$1505,"&gt;"&amp;AA856)=0,1,0))</f>
        <v/>
      </c>
      <c r="AC856">
        <f>IF(S856="New best",AA856,"")</f>
        <v/>
      </c>
      <c r="AD856">
        <f>ROW()</f>
        <v/>
      </c>
    </row>
    <row r="857">
      <c r="A857" s="1" t="n"/>
      <c r="B857" s="21" t="n"/>
      <c r="C857" s="22" t="n"/>
      <c r="D857" s="23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15">
        <f>IF(D857="","",COUNT(F857,H857,J857,L857,N857))</f>
        <v/>
      </c>
      <c r="P857" s="25">
        <f>IF(D857="","",N(E857)*N(F857)+N(G857)*N(H857)+N(I857)*N(J857)+N(K857)*N(L857)+N(M857)*N(N857))</f>
        <v/>
      </c>
      <c r="Q857" s="18">
        <f>IF(N(X857)=0,"",IF(IF(N(F857)=0,0,IF(N(E857)&gt;0,E857*(1+F857/30),F857))=X857,IF(N(E857)&gt;0,E857&amp;" x "&amp;F857,F857&amp;" reps"),IF(IF(N(H857)=0,0,IF(N(G857)&gt;0,G857*(1+H857/30),H857))=X857,IF(N(G857)&gt;0,G857&amp;" x "&amp;H857,H857&amp;" reps"),IF(IF(N(J857)=0,0,IF(N(I857)&gt;0,I857*(1+J857/30),J857))=X857,IF(N(I857)&gt;0,I857&amp;" x "&amp;J857,J857&amp;" reps"),IF(IF(N(L857)=0,0,IF(N(K857)&gt;0,K857*(1+L857/30),L857))=X857,IF(N(K857)&gt;0,K857&amp;" x "&amp;L857,L857&amp;" reps"),IF(IF(N(N857)=0,0,IF(N(M857)&gt;0,M857*(1+N857/30),N857))=X857,IF(N(M857)&gt;0,M857&amp;" x "&amp;N857,N857&amp;" reps"),""))))))</f>
        <v/>
      </c>
      <c r="R857" s="20">
        <f>IF(N(X857)=0,"",ROUND(X857,1))</f>
        <v/>
      </c>
      <c r="S857" s="18">
        <f>IF(N(X857)=0,"",IF(AND(COUNTIFS(Log!$D$6:$D$1505,D857,Log!$B$6:$B$1505,"&lt;"&amp;B857)&gt;0,COUNTIFS(Log!$D$6:$D$1505,D857,Log!$B$6:$B$1505,"&lt;"&amp;B857,Log!$X$6:$X$1505,"&gt;="&amp;X857)=0),"New best",""))</f>
        <v/>
      </c>
      <c r="T857" s="26" t="n"/>
      <c r="U857" s="1">
        <f>IF(D857="","",IFERROR(INDEX(Exercises!$C$6:$C$105,MATCH(D857,Exercises!$B$6:$B$105,0)),"Other"))</f>
        <v/>
      </c>
      <c r="V857">
        <f>IF(B857="","",IF(COUNTIF($B$6:B857,B857)=1,1,0))</f>
        <v/>
      </c>
      <c r="W857">
        <f>IF(B857="","",B857-WEEKDAY(B857,3))</f>
        <v/>
      </c>
      <c r="X857">
        <f>IF(D857="","",MAX(IF(N(F857)=0,0,IF(N(E857)&gt;0,E857*(1+F857/30),F857)),IF(N(H857)=0,0,IF(N(G857)&gt;0,G857*(1+H857/30),H857)),IF(N(J857)=0,0,IF(N(I857)&gt;0,I857*(1+J857/30),J857)),IF(N(L857)=0,0,IF(N(K857)&gt;0,K857*(1+L857/30),L857)),IF(N(N857)=0,0,IF(N(M857)&gt;0,M857*(1+N857/30),N857))))</f>
        <v/>
      </c>
      <c r="Y857">
        <f>IF(N(X857)=0,"",X857+ROW()/1000000000)</f>
        <v/>
      </c>
      <c r="Z857">
        <f>IF(Y857="","",IF(COUNTIFS(Log!$D$6:$D$1505,D857,Log!$Y$6:$Y$1505,"&gt;"&amp;Y857)=0,1,0))</f>
        <v/>
      </c>
      <c r="AA857">
        <f>IF(OR(B857="",D857=""),"",B857+ROW()/10000000)</f>
        <v/>
      </c>
      <c r="AB857">
        <f>IF(AA857="","",IF(COUNTIFS(Log!$D$6:$D$1505,D857,Log!$AA$6:$AA$1505,"&gt;"&amp;AA857)=0,1,0))</f>
        <v/>
      </c>
      <c r="AC857">
        <f>IF(S857="New best",AA857,"")</f>
        <v/>
      </c>
      <c r="AD857">
        <f>ROW()</f>
        <v/>
      </c>
    </row>
    <row r="858">
      <c r="A858" s="1" t="n"/>
      <c r="B858" s="21" t="n"/>
      <c r="C858" s="22" t="n"/>
      <c r="D858" s="23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15">
        <f>IF(D858="","",COUNT(F858,H858,J858,L858,N858))</f>
        <v/>
      </c>
      <c r="P858" s="25">
        <f>IF(D858="","",N(E858)*N(F858)+N(G858)*N(H858)+N(I858)*N(J858)+N(K858)*N(L858)+N(M858)*N(N858))</f>
        <v/>
      </c>
      <c r="Q858" s="18">
        <f>IF(N(X858)=0,"",IF(IF(N(F858)=0,0,IF(N(E858)&gt;0,E858*(1+F858/30),F858))=X858,IF(N(E858)&gt;0,E858&amp;" x "&amp;F858,F858&amp;" reps"),IF(IF(N(H858)=0,0,IF(N(G858)&gt;0,G858*(1+H858/30),H858))=X858,IF(N(G858)&gt;0,G858&amp;" x "&amp;H858,H858&amp;" reps"),IF(IF(N(J858)=0,0,IF(N(I858)&gt;0,I858*(1+J858/30),J858))=X858,IF(N(I858)&gt;0,I858&amp;" x "&amp;J858,J858&amp;" reps"),IF(IF(N(L858)=0,0,IF(N(K858)&gt;0,K858*(1+L858/30),L858))=X858,IF(N(K858)&gt;0,K858&amp;" x "&amp;L858,L858&amp;" reps"),IF(IF(N(N858)=0,0,IF(N(M858)&gt;0,M858*(1+N858/30),N858))=X858,IF(N(M858)&gt;0,M858&amp;" x "&amp;N858,N858&amp;" reps"),""))))))</f>
        <v/>
      </c>
      <c r="R858" s="20">
        <f>IF(N(X858)=0,"",ROUND(X858,1))</f>
        <v/>
      </c>
      <c r="S858" s="18">
        <f>IF(N(X858)=0,"",IF(AND(COUNTIFS(Log!$D$6:$D$1505,D858,Log!$B$6:$B$1505,"&lt;"&amp;B858)&gt;0,COUNTIFS(Log!$D$6:$D$1505,D858,Log!$B$6:$B$1505,"&lt;"&amp;B858,Log!$X$6:$X$1505,"&gt;="&amp;X858)=0),"New best",""))</f>
        <v/>
      </c>
      <c r="T858" s="26" t="n"/>
      <c r="U858" s="1">
        <f>IF(D858="","",IFERROR(INDEX(Exercises!$C$6:$C$105,MATCH(D858,Exercises!$B$6:$B$105,0)),"Other"))</f>
        <v/>
      </c>
      <c r="V858">
        <f>IF(B858="","",IF(COUNTIF($B$6:B858,B858)=1,1,0))</f>
        <v/>
      </c>
      <c r="W858">
        <f>IF(B858="","",B858-WEEKDAY(B858,3))</f>
        <v/>
      </c>
      <c r="X858">
        <f>IF(D858="","",MAX(IF(N(F858)=0,0,IF(N(E858)&gt;0,E858*(1+F858/30),F858)),IF(N(H858)=0,0,IF(N(G858)&gt;0,G858*(1+H858/30),H858)),IF(N(J858)=0,0,IF(N(I858)&gt;0,I858*(1+J858/30),J858)),IF(N(L858)=0,0,IF(N(K858)&gt;0,K858*(1+L858/30),L858)),IF(N(N858)=0,0,IF(N(M858)&gt;0,M858*(1+N858/30),N858))))</f>
        <v/>
      </c>
      <c r="Y858">
        <f>IF(N(X858)=0,"",X858+ROW()/1000000000)</f>
        <v/>
      </c>
      <c r="Z858">
        <f>IF(Y858="","",IF(COUNTIFS(Log!$D$6:$D$1505,D858,Log!$Y$6:$Y$1505,"&gt;"&amp;Y858)=0,1,0))</f>
        <v/>
      </c>
      <c r="AA858">
        <f>IF(OR(B858="",D858=""),"",B858+ROW()/10000000)</f>
        <v/>
      </c>
      <c r="AB858">
        <f>IF(AA858="","",IF(COUNTIFS(Log!$D$6:$D$1505,D858,Log!$AA$6:$AA$1505,"&gt;"&amp;AA858)=0,1,0))</f>
        <v/>
      </c>
      <c r="AC858">
        <f>IF(S858="New best",AA858,"")</f>
        <v/>
      </c>
      <c r="AD858">
        <f>ROW()</f>
        <v/>
      </c>
    </row>
    <row r="859">
      <c r="A859" s="1" t="n"/>
      <c r="B859" s="21" t="n"/>
      <c r="C859" s="22" t="n"/>
      <c r="D859" s="23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15">
        <f>IF(D859="","",COUNT(F859,H859,J859,L859,N859))</f>
        <v/>
      </c>
      <c r="P859" s="25">
        <f>IF(D859="","",N(E859)*N(F859)+N(G859)*N(H859)+N(I859)*N(J859)+N(K859)*N(L859)+N(M859)*N(N859))</f>
        <v/>
      </c>
      <c r="Q859" s="18">
        <f>IF(N(X859)=0,"",IF(IF(N(F859)=0,0,IF(N(E859)&gt;0,E859*(1+F859/30),F859))=X859,IF(N(E859)&gt;0,E859&amp;" x "&amp;F859,F859&amp;" reps"),IF(IF(N(H859)=0,0,IF(N(G859)&gt;0,G859*(1+H859/30),H859))=X859,IF(N(G859)&gt;0,G859&amp;" x "&amp;H859,H859&amp;" reps"),IF(IF(N(J859)=0,0,IF(N(I859)&gt;0,I859*(1+J859/30),J859))=X859,IF(N(I859)&gt;0,I859&amp;" x "&amp;J859,J859&amp;" reps"),IF(IF(N(L859)=0,0,IF(N(K859)&gt;0,K859*(1+L859/30),L859))=X859,IF(N(K859)&gt;0,K859&amp;" x "&amp;L859,L859&amp;" reps"),IF(IF(N(N859)=0,0,IF(N(M859)&gt;0,M859*(1+N859/30),N859))=X859,IF(N(M859)&gt;0,M859&amp;" x "&amp;N859,N859&amp;" reps"),""))))))</f>
        <v/>
      </c>
      <c r="R859" s="20">
        <f>IF(N(X859)=0,"",ROUND(X859,1))</f>
        <v/>
      </c>
      <c r="S859" s="18">
        <f>IF(N(X859)=0,"",IF(AND(COUNTIFS(Log!$D$6:$D$1505,D859,Log!$B$6:$B$1505,"&lt;"&amp;B859)&gt;0,COUNTIFS(Log!$D$6:$D$1505,D859,Log!$B$6:$B$1505,"&lt;"&amp;B859,Log!$X$6:$X$1505,"&gt;="&amp;X859)=0),"New best",""))</f>
        <v/>
      </c>
      <c r="T859" s="26" t="n"/>
      <c r="U859" s="1">
        <f>IF(D859="","",IFERROR(INDEX(Exercises!$C$6:$C$105,MATCH(D859,Exercises!$B$6:$B$105,0)),"Other"))</f>
        <v/>
      </c>
      <c r="V859">
        <f>IF(B859="","",IF(COUNTIF($B$6:B859,B859)=1,1,0))</f>
        <v/>
      </c>
      <c r="W859">
        <f>IF(B859="","",B859-WEEKDAY(B859,3))</f>
        <v/>
      </c>
      <c r="X859">
        <f>IF(D859="","",MAX(IF(N(F859)=0,0,IF(N(E859)&gt;0,E859*(1+F859/30),F859)),IF(N(H859)=0,0,IF(N(G859)&gt;0,G859*(1+H859/30),H859)),IF(N(J859)=0,0,IF(N(I859)&gt;0,I859*(1+J859/30),J859)),IF(N(L859)=0,0,IF(N(K859)&gt;0,K859*(1+L859/30),L859)),IF(N(N859)=0,0,IF(N(M859)&gt;0,M859*(1+N859/30),N859))))</f>
        <v/>
      </c>
      <c r="Y859">
        <f>IF(N(X859)=0,"",X859+ROW()/1000000000)</f>
        <v/>
      </c>
      <c r="Z859">
        <f>IF(Y859="","",IF(COUNTIFS(Log!$D$6:$D$1505,D859,Log!$Y$6:$Y$1505,"&gt;"&amp;Y859)=0,1,0))</f>
        <v/>
      </c>
      <c r="AA859">
        <f>IF(OR(B859="",D859=""),"",B859+ROW()/10000000)</f>
        <v/>
      </c>
      <c r="AB859">
        <f>IF(AA859="","",IF(COUNTIFS(Log!$D$6:$D$1505,D859,Log!$AA$6:$AA$1505,"&gt;"&amp;AA859)=0,1,0))</f>
        <v/>
      </c>
      <c r="AC859">
        <f>IF(S859="New best",AA859,"")</f>
        <v/>
      </c>
      <c r="AD859">
        <f>ROW()</f>
        <v/>
      </c>
    </row>
    <row r="860">
      <c r="A860" s="1" t="n"/>
      <c r="B860" s="21" t="n"/>
      <c r="C860" s="22" t="n"/>
      <c r="D860" s="23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15">
        <f>IF(D860="","",COUNT(F860,H860,J860,L860,N860))</f>
        <v/>
      </c>
      <c r="P860" s="25">
        <f>IF(D860="","",N(E860)*N(F860)+N(G860)*N(H860)+N(I860)*N(J860)+N(K860)*N(L860)+N(M860)*N(N860))</f>
        <v/>
      </c>
      <c r="Q860" s="18">
        <f>IF(N(X860)=0,"",IF(IF(N(F860)=0,0,IF(N(E860)&gt;0,E860*(1+F860/30),F860))=X860,IF(N(E860)&gt;0,E860&amp;" x "&amp;F860,F860&amp;" reps"),IF(IF(N(H860)=0,0,IF(N(G860)&gt;0,G860*(1+H860/30),H860))=X860,IF(N(G860)&gt;0,G860&amp;" x "&amp;H860,H860&amp;" reps"),IF(IF(N(J860)=0,0,IF(N(I860)&gt;0,I860*(1+J860/30),J860))=X860,IF(N(I860)&gt;0,I860&amp;" x "&amp;J860,J860&amp;" reps"),IF(IF(N(L860)=0,0,IF(N(K860)&gt;0,K860*(1+L860/30),L860))=X860,IF(N(K860)&gt;0,K860&amp;" x "&amp;L860,L860&amp;" reps"),IF(IF(N(N860)=0,0,IF(N(M860)&gt;0,M860*(1+N860/30),N860))=X860,IF(N(M860)&gt;0,M860&amp;" x "&amp;N860,N860&amp;" reps"),""))))))</f>
        <v/>
      </c>
      <c r="R860" s="20">
        <f>IF(N(X860)=0,"",ROUND(X860,1))</f>
        <v/>
      </c>
      <c r="S860" s="18">
        <f>IF(N(X860)=0,"",IF(AND(COUNTIFS(Log!$D$6:$D$1505,D860,Log!$B$6:$B$1505,"&lt;"&amp;B860)&gt;0,COUNTIFS(Log!$D$6:$D$1505,D860,Log!$B$6:$B$1505,"&lt;"&amp;B860,Log!$X$6:$X$1505,"&gt;="&amp;X860)=0),"New best",""))</f>
        <v/>
      </c>
      <c r="T860" s="26" t="n"/>
      <c r="U860" s="1">
        <f>IF(D860="","",IFERROR(INDEX(Exercises!$C$6:$C$105,MATCH(D860,Exercises!$B$6:$B$105,0)),"Other"))</f>
        <v/>
      </c>
      <c r="V860">
        <f>IF(B860="","",IF(COUNTIF($B$6:B860,B860)=1,1,0))</f>
        <v/>
      </c>
      <c r="W860">
        <f>IF(B860="","",B860-WEEKDAY(B860,3))</f>
        <v/>
      </c>
      <c r="X860">
        <f>IF(D860="","",MAX(IF(N(F860)=0,0,IF(N(E860)&gt;0,E860*(1+F860/30),F860)),IF(N(H860)=0,0,IF(N(G860)&gt;0,G860*(1+H860/30),H860)),IF(N(J860)=0,0,IF(N(I860)&gt;0,I860*(1+J860/30),J860)),IF(N(L860)=0,0,IF(N(K860)&gt;0,K860*(1+L860/30),L860)),IF(N(N860)=0,0,IF(N(M860)&gt;0,M860*(1+N860/30),N860))))</f>
        <v/>
      </c>
      <c r="Y860">
        <f>IF(N(X860)=0,"",X860+ROW()/1000000000)</f>
        <v/>
      </c>
      <c r="Z860">
        <f>IF(Y860="","",IF(COUNTIFS(Log!$D$6:$D$1505,D860,Log!$Y$6:$Y$1505,"&gt;"&amp;Y860)=0,1,0))</f>
        <v/>
      </c>
      <c r="AA860">
        <f>IF(OR(B860="",D860=""),"",B860+ROW()/10000000)</f>
        <v/>
      </c>
      <c r="AB860">
        <f>IF(AA860="","",IF(COUNTIFS(Log!$D$6:$D$1505,D860,Log!$AA$6:$AA$1505,"&gt;"&amp;AA860)=0,1,0))</f>
        <v/>
      </c>
      <c r="AC860">
        <f>IF(S860="New best",AA860,"")</f>
        <v/>
      </c>
      <c r="AD860">
        <f>ROW()</f>
        <v/>
      </c>
    </row>
    <row r="861">
      <c r="A861" s="1" t="n"/>
      <c r="B861" s="21" t="n"/>
      <c r="C861" s="22" t="n"/>
      <c r="D861" s="23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15">
        <f>IF(D861="","",COUNT(F861,H861,J861,L861,N861))</f>
        <v/>
      </c>
      <c r="P861" s="25">
        <f>IF(D861="","",N(E861)*N(F861)+N(G861)*N(H861)+N(I861)*N(J861)+N(K861)*N(L861)+N(M861)*N(N861))</f>
        <v/>
      </c>
      <c r="Q861" s="18">
        <f>IF(N(X861)=0,"",IF(IF(N(F861)=0,0,IF(N(E861)&gt;0,E861*(1+F861/30),F861))=X861,IF(N(E861)&gt;0,E861&amp;" x "&amp;F861,F861&amp;" reps"),IF(IF(N(H861)=0,0,IF(N(G861)&gt;0,G861*(1+H861/30),H861))=X861,IF(N(G861)&gt;0,G861&amp;" x "&amp;H861,H861&amp;" reps"),IF(IF(N(J861)=0,0,IF(N(I861)&gt;0,I861*(1+J861/30),J861))=X861,IF(N(I861)&gt;0,I861&amp;" x "&amp;J861,J861&amp;" reps"),IF(IF(N(L861)=0,0,IF(N(K861)&gt;0,K861*(1+L861/30),L861))=X861,IF(N(K861)&gt;0,K861&amp;" x "&amp;L861,L861&amp;" reps"),IF(IF(N(N861)=0,0,IF(N(M861)&gt;0,M861*(1+N861/30),N861))=X861,IF(N(M861)&gt;0,M861&amp;" x "&amp;N861,N861&amp;" reps"),""))))))</f>
        <v/>
      </c>
      <c r="R861" s="20">
        <f>IF(N(X861)=0,"",ROUND(X861,1))</f>
        <v/>
      </c>
      <c r="S861" s="18">
        <f>IF(N(X861)=0,"",IF(AND(COUNTIFS(Log!$D$6:$D$1505,D861,Log!$B$6:$B$1505,"&lt;"&amp;B861)&gt;0,COUNTIFS(Log!$D$6:$D$1505,D861,Log!$B$6:$B$1505,"&lt;"&amp;B861,Log!$X$6:$X$1505,"&gt;="&amp;X861)=0),"New best",""))</f>
        <v/>
      </c>
      <c r="T861" s="26" t="n"/>
      <c r="U861" s="1">
        <f>IF(D861="","",IFERROR(INDEX(Exercises!$C$6:$C$105,MATCH(D861,Exercises!$B$6:$B$105,0)),"Other"))</f>
        <v/>
      </c>
      <c r="V861">
        <f>IF(B861="","",IF(COUNTIF($B$6:B861,B861)=1,1,0))</f>
        <v/>
      </c>
      <c r="W861">
        <f>IF(B861="","",B861-WEEKDAY(B861,3))</f>
        <v/>
      </c>
      <c r="X861">
        <f>IF(D861="","",MAX(IF(N(F861)=0,0,IF(N(E861)&gt;0,E861*(1+F861/30),F861)),IF(N(H861)=0,0,IF(N(G861)&gt;0,G861*(1+H861/30),H861)),IF(N(J861)=0,0,IF(N(I861)&gt;0,I861*(1+J861/30),J861)),IF(N(L861)=0,0,IF(N(K861)&gt;0,K861*(1+L861/30),L861)),IF(N(N861)=0,0,IF(N(M861)&gt;0,M861*(1+N861/30),N861))))</f>
        <v/>
      </c>
      <c r="Y861">
        <f>IF(N(X861)=0,"",X861+ROW()/1000000000)</f>
        <v/>
      </c>
      <c r="Z861">
        <f>IF(Y861="","",IF(COUNTIFS(Log!$D$6:$D$1505,D861,Log!$Y$6:$Y$1505,"&gt;"&amp;Y861)=0,1,0))</f>
        <v/>
      </c>
      <c r="AA861">
        <f>IF(OR(B861="",D861=""),"",B861+ROW()/10000000)</f>
        <v/>
      </c>
      <c r="AB861">
        <f>IF(AA861="","",IF(COUNTIFS(Log!$D$6:$D$1505,D861,Log!$AA$6:$AA$1505,"&gt;"&amp;AA861)=0,1,0))</f>
        <v/>
      </c>
      <c r="AC861">
        <f>IF(S861="New best",AA861,"")</f>
        <v/>
      </c>
      <c r="AD861">
        <f>ROW()</f>
        <v/>
      </c>
    </row>
    <row r="862">
      <c r="A862" s="1" t="n"/>
      <c r="B862" s="21" t="n"/>
      <c r="C862" s="22" t="n"/>
      <c r="D862" s="23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15">
        <f>IF(D862="","",COUNT(F862,H862,J862,L862,N862))</f>
        <v/>
      </c>
      <c r="P862" s="25">
        <f>IF(D862="","",N(E862)*N(F862)+N(G862)*N(H862)+N(I862)*N(J862)+N(K862)*N(L862)+N(M862)*N(N862))</f>
        <v/>
      </c>
      <c r="Q862" s="18">
        <f>IF(N(X862)=0,"",IF(IF(N(F862)=0,0,IF(N(E862)&gt;0,E862*(1+F862/30),F862))=X862,IF(N(E862)&gt;0,E862&amp;" x "&amp;F862,F862&amp;" reps"),IF(IF(N(H862)=0,0,IF(N(G862)&gt;0,G862*(1+H862/30),H862))=X862,IF(N(G862)&gt;0,G862&amp;" x "&amp;H862,H862&amp;" reps"),IF(IF(N(J862)=0,0,IF(N(I862)&gt;0,I862*(1+J862/30),J862))=X862,IF(N(I862)&gt;0,I862&amp;" x "&amp;J862,J862&amp;" reps"),IF(IF(N(L862)=0,0,IF(N(K862)&gt;0,K862*(1+L862/30),L862))=X862,IF(N(K862)&gt;0,K862&amp;" x "&amp;L862,L862&amp;" reps"),IF(IF(N(N862)=0,0,IF(N(M862)&gt;0,M862*(1+N862/30),N862))=X862,IF(N(M862)&gt;0,M862&amp;" x "&amp;N862,N862&amp;" reps"),""))))))</f>
        <v/>
      </c>
      <c r="R862" s="20">
        <f>IF(N(X862)=0,"",ROUND(X862,1))</f>
        <v/>
      </c>
      <c r="S862" s="18">
        <f>IF(N(X862)=0,"",IF(AND(COUNTIFS(Log!$D$6:$D$1505,D862,Log!$B$6:$B$1505,"&lt;"&amp;B862)&gt;0,COUNTIFS(Log!$D$6:$D$1505,D862,Log!$B$6:$B$1505,"&lt;"&amp;B862,Log!$X$6:$X$1505,"&gt;="&amp;X862)=0),"New best",""))</f>
        <v/>
      </c>
      <c r="T862" s="26" t="n"/>
      <c r="U862" s="1">
        <f>IF(D862="","",IFERROR(INDEX(Exercises!$C$6:$C$105,MATCH(D862,Exercises!$B$6:$B$105,0)),"Other"))</f>
        <v/>
      </c>
      <c r="V862">
        <f>IF(B862="","",IF(COUNTIF($B$6:B862,B862)=1,1,0))</f>
        <v/>
      </c>
      <c r="W862">
        <f>IF(B862="","",B862-WEEKDAY(B862,3))</f>
        <v/>
      </c>
      <c r="X862">
        <f>IF(D862="","",MAX(IF(N(F862)=0,0,IF(N(E862)&gt;0,E862*(1+F862/30),F862)),IF(N(H862)=0,0,IF(N(G862)&gt;0,G862*(1+H862/30),H862)),IF(N(J862)=0,0,IF(N(I862)&gt;0,I862*(1+J862/30),J862)),IF(N(L862)=0,0,IF(N(K862)&gt;0,K862*(1+L862/30),L862)),IF(N(N862)=0,0,IF(N(M862)&gt;0,M862*(1+N862/30),N862))))</f>
        <v/>
      </c>
      <c r="Y862">
        <f>IF(N(X862)=0,"",X862+ROW()/1000000000)</f>
        <v/>
      </c>
      <c r="Z862">
        <f>IF(Y862="","",IF(COUNTIFS(Log!$D$6:$D$1505,D862,Log!$Y$6:$Y$1505,"&gt;"&amp;Y862)=0,1,0))</f>
        <v/>
      </c>
      <c r="AA862">
        <f>IF(OR(B862="",D862=""),"",B862+ROW()/10000000)</f>
        <v/>
      </c>
      <c r="AB862">
        <f>IF(AA862="","",IF(COUNTIFS(Log!$D$6:$D$1505,D862,Log!$AA$6:$AA$1505,"&gt;"&amp;AA862)=0,1,0))</f>
        <v/>
      </c>
      <c r="AC862">
        <f>IF(S862="New best",AA862,"")</f>
        <v/>
      </c>
      <c r="AD862">
        <f>ROW()</f>
        <v/>
      </c>
    </row>
    <row r="863">
      <c r="A863" s="1" t="n"/>
      <c r="B863" s="21" t="n"/>
      <c r="C863" s="22" t="n"/>
      <c r="D863" s="23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15">
        <f>IF(D863="","",COUNT(F863,H863,J863,L863,N863))</f>
        <v/>
      </c>
      <c r="P863" s="25">
        <f>IF(D863="","",N(E863)*N(F863)+N(G863)*N(H863)+N(I863)*N(J863)+N(K863)*N(L863)+N(M863)*N(N863))</f>
        <v/>
      </c>
      <c r="Q863" s="18">
        <f>IF(N(X863)=0,"",IF(IF(N(F863)=0,0,IF(N(E863)&gt;0,E863*(1+F863/30),F863))=X863,IF(N(E863)&gt;0,E863&amp;" x "&amp;F863,F863&amp;" reps"),IF(IF(N(H863)=0,0,IF(N(G863)&gt;0,G863*(1+H863/30),H863))=X863,IF(N(G863)&gt;0,G863&amp;" x "&amp;H863,H863&amp;" reps"),IF(IF(N(J863)=0,0,IF(N(I863)&gt;0,I863*(1+J863/30),J863))=X863,IF(N(I863)&gt;0,I863&amp;" x "&amp;J863,J863&amp;" reps"),IF(IF(N(L863)=0,0,IF(N(K863)&gt;0,K863*(1+L863/30),L863))=X863,IF(N(K863)&gt;0,K863&amp;" x "&amp;L863,L863&amp;" reps"),IF(IF(N(N863)=0,0,IF(N(M863)&gt;0,M863*(1+N863/30),N863))=X863,IF(N(M863)&gt;0,M863&amp;" x "&amp;N863,N863&amp;" reps"),""))))))</f>
        <v/>
      </c>
      <c r="R863" s="20">
        <f>IF(N(X863)=0,"",ROUND(X863,1))</f>
        <v/>
      </c>
      <c r="S863" s="18">
        <f>IF(N(X863)=0,"",IF(AND(COUNTIFS(Log!$D$6:$D$1505,D863,Log!$B$6:$B$1505,"&lt;"&amp;B863)&gt;0,COUNTIFS(Log!$D$6:$D$1505,D863,Log!$B$6:$B$1505,"&lt;"&amp;B863,Log!$X$6:$X$1505,"&gt;="&amp;X863)=0),"New best",""))</f>
        <v/>
      </c>
      <c r="T863" s="26" t="n"/>
      <c r="U863" s="1">
        <f>IF(D863="","",IFERROR(INDEX(Exercises!$C$6:$C$105,MATCH(D863,Exercises!$B$6:$B$105,0)),"Other"))</f>
        <v/>
      </c>
      <c r="V863">
        <f>IF(B863="","",IF(COUNTIF($B$6:B863,B863)=1,1,0))</f>
        <v/>
      </c>
      <c r="W863">
        <f>IF(B863="","",B863-WEEKDAY(B863,3))</f>
        <v/>
      </c>
      <c r="X863">
        <f>IF(D863="","",MAX(IF(N(F863)=0,0,IF(N(E863)&gt;0,E863*(1+F863/30),F863)),IF(N(H863)=0,0,IF(N(G863)&gt;0,G863*(1+H863/30),H863)),IF(N(J863)=0,0,IF(N(I863)&gt;0,I863*(1+J863/30),J863)),IF(N(L863)=0,0,IF(N(K863)&gt;0,K863*(1+L863/30),L863)),IF(N(N863)=0,0,IF(N(M863)&gt;0,M863*(1+N863/30),N863))))</f>
        <v/>
      </c>
      <c r="Y863">
        <f>IF(N(X863)=0,"",X863+ROW()/1000000000)</f>
        <v/>
      </c>
      <c r="Z863">
        <f>IF(Y863="","",IF(COUNTIFS(Log!$D$6:$D$1505,D863,Log!$Y$6:$Y$1505,"&gt;"&amp;Y863)=0,1,0))</f>
        <v/>
      </c>
      <c r="AA863">
        <f>IF(OR(B863="",D863=""),"",B863+ROW()/10000000)</f>
        <v/>
      </c>
      <c r="AB863">
        <f>IF(AA863="","",IF(COUNTIFS(Log!$D$6:$D$1505,D863,Log!$AA$6:$AA$1505,"&gt;"&amp;AA863)=0,1,0))</f>
        <v/>
      </c>
      <c r="AC863">
        <f>IF(S863="New best",AA863,"")</f>
        <v/>
      </c>
      <c r="AD863">
        <f>ROW()</f>
        <v/>
      </c>
    </row>
    <row r="864">
      <c r="A864" s="1" t="n"/>
      <c r="B864" s="21" t="n"/>
      <c r="C864" s="22" t="n"/>
      <c r="D864" s="23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15">
        <f>IF(D864="","",COUNT(F864,H864,J864,L864,N864))</f>
        <v/>
      </c>
      <c r="P864" s="25">
        <f>IF(D864="","",N(E864)*N(F864)+N(G864)*N(H864)+N(I864)*N(J864)+N(K864)*N(L864)+N(M864)*N(N864))</f>
        <v/>
      </c>
      <c r="Q864" s="18">
        <f>IF(N(X864)=0,"",IF(IF(N(F864)=0,0,IF(N(E864)&gt;0,E864*(1+F864/30),F864))=X864,IF(N(E864)&gt;0,E864&amp;" x "&amp;F864,F864&amp;" reps"),IF(IF(N(H864)=0,0,IF(N(G864)&gt;0,G864*(1+H864/30),H864))=X864,IF(N(G864)&gt;0,G864&amp;" x "&amp;H864,H864&amp;" reps"),IF(IF(N(J864)=0,0,IF(N(I864)&gt;0,I864*(1+J864/30),J864))=X864,IF(N(I864)&gt;0,I864&amp;" x "&amp;J864,J864&amp;" reps"),IF(IF(N(L864)=0,0,IF(N(K864)&gt;0,K864*(1+L864/30),L864))=X864,IF(N(K864)&gt;0,K864&amp;" x "&amp;L864,L864&amp;" reps"),IF(IF(N(N864)=0,0,IF(N(M864)&gt;0,M864*(1+N864/30),N864))=X864,IF(N(M864)&gt;0,M864&amp;" x "&amp;N864,N864&amp;" reps"),""))))))</f>
        <v/>
      </c>
      <c r="R864" s="20">
        <f>IF(N(X864)=0,"",ROUND(X864,1))</f>
        <v/>
      </c>
      <c r="S864" s="18">
        <f>IF(N(X864)=0,"",IF(AND(COUNTIFS(Log!$D$6:$D$1505,D864,Log!$B$6:$B$1505,"&lt;"&amp;B864)&gt;0,COUNTIFS(Log!$D$6:$D$1505,D864,Log!$B$6:$B$1505,"&lt;"&amp;B864,Log!$X$6:$X$1505,"&gt;="&amp;X864)=0),"New best",""))</f>
        <v/>
      </c>
      <c r="T864" s="26" t="n"/>
      <c r="U864" s="1">
        <f>IF(D864="","",IFERROR(INDEX(Exercises!$C$6:$C$105,MATCH(D864,Exercises!$B$6:$B$105,0)),"Other"))</f>
        <v/>
      </c>
      <c r="V864">
        <f>IF(B864="","",IF(COUNTIF($B$6:B864,B864)=1,1,0))</f>
        <v/>
      </c>
      <c r="W864">
        <f>IF(B864="","",B864-WEEKDAY(B864,3))</f>
        <v/>
      </c>
      <c r="X864">
        <f>IF(D864="","",MAX(IF(N(F864)=0,0,IF(N(E864)&gt;0,E864*(1+F864/30),F864)),IF(N(H864)=0,0,IF(N(G864)&gt;0,G864*(1+H864/30),H864)),IF(N(J864)=0,0,IF(N(I864)&gt;0,I864*(1+J864/30),J864)),IF(N(L864)=0,0,IF(N(K864)&gt;0,K864*(1+L864/30),L864)),IF(N(N864)=0,0,IF(N(M864)&gt;0,M864*(1+N864/30),N864))))</f>
        <v/>
      </c>
      <c r="Y864">
        <f>IF(N(X864)=0,"",X864+ROW()/1000000000)</f>
        <v/>
      </c>
      <c r="Z864">
        <f>IF(Y864="","",IF(COUNTIFS(Log!$D$6:$D$1505,D864,Log!$Y$6:$Y$1505,"&gt;"&amp;Y864)=0,1,0))</f>
        <v/>
      </c>
      <c r="AA864">
        <f>IF(OR(B864="",D864=""),"",B864+ROW()/10000000)</f>
        <v/>
      </c>
      <c r="AB864">
        <f>IF(AA864="","",IF(COUNTIFS(Log!$D$6:$D$1505,D864,Log!$AA$6:$AA$1505,"&gt;"&amp;AA864)=0,1,0))</f>
        <v/>
      </c>
      <c r="AC864">
        <f>IF(S864="New best",AA864,"")</f>
        <v/>
      </c>
      <c r="AD864">
        <f>ROW()</f>
        <v/>
      </c>
    </row>
    <row r="865">
      <c r="A865" s="1" t="n"/>
      <c r="B865" s="21" t="n"/>
      <c r="C865" s="22" t="n"/>
      <c r="D865" s="23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15">
        <f>IF(D865="","",COUNT(F865,H865,J865,L865,N865))</f>
        <v/>
      </c>
      <c r="P865" s="25">
        <f>IF(D865="","",N(E865)*N(F865)+N(G865)*N(H865)+N(I865)*N(J865)+N(K865)*N(L865)+N(M865)*N(N865))</f>
        <v/>
      </c>
      <c r="Q865" s="18">
        <f>IF(N(X865)=0,"",IF(IF(N(F865)=0,0,IF(N(E865)&gt;0,E865*(1+F865/30),F865))=X865,IF(N(E865)&gt;0,E865&amp;" x "&amp;F865,F865&amp;" reps"),IF(IF(N(H865)=0,0,IF(N(G865)&gt;0,G865*(1+H865/30),H865))=X865,IF(N(G865)&gt;0,G865&amp;" x "&amp;H865,H865&amp;" reps"),IF(IF(N(J865)=0,0,IF(N(I865)&gt;0,I865*(1+J865/30),J865))=X865,IF(N(I865)&gt;0,I865&amp;" x "&amp;J865,J865&amp;" reps"),IF(IF(N(L865)=0,0,IF(N(K865)&gt;0,K865*(1+L865/30),L865))=X865,IF(N(K865)&gt;0,K865&amp;" x "&amp;L865,L865&amp;" reps"),IF(IF(N(N865)=0,0,IF(N(M865)&gt;0,M865*(1+N865/30),N865))=X865,IF(N(M865)&gt;0,M865&amp;" x "&amp;N865,N865&amp;" reps"),""))))))</f>
        <v/>
      </c>
      <c r="R865" s="20">
        <f>IF(N(X865)=0,"",ROUND(X865,1))</f>
        <v/>
      </c>
      <c r="S865" s="18">
        <f>IF(N(X865)=0,"",IF(AND(COUNTIFS(Log!$D$6:$D$1505,D865,Log!$B$6:$B$1505,"&lt;"&amp;B865)&gt;0,COUNTIFS(Log!$D$6:$D$1505,D865,Log!$B$6:$B$1505,"&lt;"&amp;B865,Log!$X$6:$X$1505,"&gt;="&amp;X865)=0),"New best",""))</f>
        <v/>
      </c>
      <c r="T865" s="26" t="n"/>
      <c r="U865" s="1">
        <f>IF(D865="","",IFERROR(INDEX(Exercises!$C$6:$C$105,MATCH(D865,Exercises!$B$6:$B$105,0)),"Other"))</f>
        <v/>
      </c>
      <c r="V865">
        <f>IF(B865="","",IF(COUNTIF($B$6:B865,B865)=1,1,0))</f>
        <v/>
      </c>
      <c r="W865">
        <f>IF(B865="","",B865-WEEKDAY(B865,3))</f>
        <v/>
      </c>
      <c r="X865">
        <f>IF(D865="","",MAX(IF(N(F865)=0,0,IF(N(E865)&gt;0,E865*(1+F865/30),F865)),IF(N(H865)=0,0,IF(N(G865)&gt;0,G865*(1+H865/30),H865)),IF(N(J865)=0,0,IF(N(I865)&gt;0,I865*(1+J865/30),J865)),IF(N(L865)=0,0,IF(N(K865)&gt;0,K865*(1+L865/30),L865)),IF(N(N865)=0,0,IF(N(M865)&gt;0,M865*(1+N865/30),N865))))</f>
        <v/>
      </c>
      <c r="Y865">
        <f>IF(N(X865)=0,"",X865+ROW()/1000000000)</f>
        <v/>
      </c>
      <c r="Z865">
        <f>IF(Y865="","",IF(COUNTIFS(Log!$D$6:$D$1505,D865,Log!$Y$6:$Y$1505,"&gt;"&amp;Y865)=0,1,0))</f>
        <v/>
      </c>
      <c r="AA865">
        <f>IF(OR(B865="",D865=""),"",B865+ROW()/10000000)</f>
        <v/>
      </c>
      <c r="AB865">
        <f>IF(AA865="","",IF(COUNTIFS(Log!$D$6:$D$1505,D865,Log!$AA$6:$AA$1505,"&gt;"&amp;AA865)=0,1,0))</f>
        <v/>
      </c>
      <c r="AC865">
        <f>IF(S865="New best",AA865,"")</f>
        <v/>
      </c>
      <c r="AD865">
        <f>ROW()</f>
        <v/>
      </c>
    </row>
    <row r="866">
      <c r="A866" s="1" t="n"/>
      <c r="B866" s="21" t="n"/>
      <c r="C866" s="22" t="n"/>
      <c r="D866" s="23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15">
        <f>IF(D866="","",COUNT(F866,H866,J866,L866,N866))</f>
        <v/>
      </c>
      <c r="P866" s="25">
        <f>IF(D866="","",N(E866)*N(F866)+N(G866)*N(H866)+N(I866)*N(J866)+N(K866)*N(L866)+N(M866)*N(N866))</f>
        <v/>
      </c>
      <c r="Q866" s="18">
        <f>IF(N(X866)=0,"",IF(IF(N(F866)=0,0,IF(N(E866)&gt;0,E866*(1+F866/30),F866))=X866,IF(N(E866)&gt;0,E866&amp;" x "&amp;F866,F866&amp;" reps"),IF(IF(N(H866)=0,0,IF(N(G866)&gt;0,G866*(1+H866/30),H866))=X866,IF(N(G866)&gt;0,G866&amp;" x "&amp;H866,H866&amp;" reps"),IF(IF(N(J866)=0,0,IF(N(I866)&gt;0,I866*(1+J866/30),J866))=X866,IF(N(I866)&gt;0,I866&amp;" x "&amp;J866,J866&amp;" reps"),IF(IF(N(L866)=0,0,IF(N(K866)&gt;0,K866*(1+L866/30),L866))=X866,IF(N(K866)&gt;0,K866&amp;" x "&amp;L866,L866&amp;" reps"),IF(IF(N(N866)=0,0,IF(N(M866)&gt;0,M866*(1+N866/30),N866))=X866,IF(N(M866)&gt;0,M866&amp;" x "&amp;N866,N866&amp;" reps"),""))))))</f>
        <v/>
      </c>
      <c r="R866" s="20">
        <f>IF(N(X866)=0,"",ROUND(X866,1))</f>
        <v/>
      </c>
      <c r="S866" s="18">
        <f>IF(N(X866)=0,"",IF(AND(COUNTIFS(Log!$D$6:$D$1505,D866,Log!$B$6:$B$1505,"&lt;"&amp;B866)&gt;0,COUNTIFS(Log!$D$6:$D$1505,D866,Log!$B$6:$B$1505,"&lt;"&amp;B866,Log!$X$6:$X$1505,"&gt;="&amp;X866)=0),"New best",""))</f>
        <v/>
      </c>
      <c r="T866" s="26" t="n"/>
      <c r="U866" s="1">
        <f>IF(D866="","",IFERROR(INDEX(Exercises!$C$6:$C$105,MATCH(D866,Exercises!$B$6:$B$105,0)),"Other"))</f>
        <v/>
      </c>
      <c r="V866">
        <f>IF(B866="","",IF(COUNTIF($B$6:B866,B866)=1,1,0))</f>
        <v/>
      </c>
      <c r="W866">
        <f>IF(B866="","",B866-WEEKDAY(B866,3))</f>
        <v/>
      </c>
      <c r="X866">
        <f>IF(D866="","",MAX(IF(N(F866)=0,0,IF(N(E866)&gt;0,E866*(1+F866/30),F866)),IF(N(H866)=0,0,IF(N(G866)&gt;0,G866*(1+H866/30),H866)),IF(N(J866)=0,0,IF(N(I866)&gt;0,I866*(1+J866/30),J866)),IF(N(L866)=0,0,IF(N(K866)&gt;0,K866*(1+L866/30),L866)),IF(N(N866)=0,0,IF(N(M866)&gt;0,M866*(1+N866/30),N866))))</f>
        <v/>
      </c>
      <c r="Y866">
        <f>IF(N(X866)=0,"",X866+ROW()/1000000000)</f>
        <v/>
      </c>
      <c r="Z866">
        <f>IF(Y866="","",IF(COUNTIFS(Log!$D$6:$D$1505,D866,Log!$Y$6:$Y$1505,"&gt;"&amp;Y866)=0,1,0))</f>
        <v/>
      </c>
      <c r="AA866">
        <f>IF(OR(B866="",D866=""),"",B866+ROW()/10000000)</f>
        <v/>
      </c>
      <c r="AB866">
        <f>IF(AA866="","",IF(COUNTIFS(Log!$D$6:$D$1505,D866,Log!$AA$6:$AA$1505,"&gt;"&amp;AA866)=0,1,0))</f>
        <v/>
      </c>
      <c r="AC866">
        <f>IF(S866="New best",AA866,"")</f>
        <v/>
      </c>
      <c r="AD866">
        <f>ROW()</f>
        <v/>
      </c>
    </row>
    <row r="867">
      <c r="A867" s="1" t="n"/>
      <c r="B867" s="21" t="n"/>
      <c r="C867" s="22" t="n"/>
      <c r="D867" s="23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15">
        <f>IF(D867="","",COUNT(F867,H867,J867,L867,N867))</f>
        <v/>
      </c>
      <c r="P867" s="25">
        <f>IF(D867="","",N(E867)*N(F867)+N(G867)*N(H867)+N(I867)*N(J867)+N(K867)*N(L867)+N(M867)*N(N867))</f>
        <v/>
      </c>
      <c r="Q867" s="18">
        <f>IF(N(X867)=0,"",IF(IF(N(F867)=0,0,IF(N(E867)&gt;0,E867*(1+F867/30),F867))=X867,IF(N(E867)&gt;0,E867&amp;" x "&amp;F867,F867&amp;" reps"),IF(IF(N(H867)=0,0,IF(N(G867)&gt;0,G867*(1+H867/30),H867))=X867,IF(N(G867)&gt;0,G867&amp;" x "&amp;H867,H867&amp;" reps"),IF(IF(N(J867)=0,0,IF(N(I867)&gt;0,I867*(1+J867/30),J867))=X867,IF(N(I867)&gt;0,I867&amp;" x "&amp;J867,J867&amp;" reps"),IF(IF(N(L867)=0,0,IF(N(K867)&gt;0,K867*(1+L867/30),L867))=X867,IF(N(K867)&gt;0,K867&amp;" x "&amp;L867,L867&amp;" reps"),IF(IF(N(N867)=0,0,IF(N(M867)&gt;0,M867*(1+N867/30),N867))=X867,IF(N(M867)&gt;0,M867&amp;" x "&amp;N867,N867&amp;" reps"),""))))))</f>
        <v/>
      </c>
      <c r="R867" s="20">
        <f>IF(N(X867)=0,"",ROUND(X867,1))</f>
        <v/>
      </c>
      <c r="S867" s="18">
        <f>IF(N(X867)=0,"",IF(AND(COUNTIFS(Log!$D$6:$D$1505,D867,Log!$B$6:$B$1505,"&lt;"&amp;B867)&gt;0,COUNTIFS(Log!$D$6:$D$1505,D867,Log!$B$6:$B$1505,"&lt;"&amp;B867,Log!$X$6:$X$1505,"&gt;="&amp;X867)=0),"New best",""))</f>
        <v/>
      </c>
      <c r="T867" s="26" t="n"/>
      <c r="U867" s="1">
        <f>IF(D867="","",IFERROR(INDEX(Exercises!$C$6:$C$105,MATCH(D867,Exercises!$B$6:$B$105,0)),"Other"))</f>
        <v/>
      </c>
      <c r="V867">
        <f>IF(B867="","",IF(COUNTIF($B$6:B867,B867)=1,1,0))</f>
        <v/>
      </c>
      <c r="W867">
        <f>IF(B867="","",B867-WEEKDAY(B867,3))</f>
        <v/>
      </c>
      <c r="X867">
        <f>IF(D867="","",MAX(IF(N(F867)=0,0,IF(N(E867)&gt;0,E867*(1+F867/30),F867)),IF(N(H867)=0,0,IF(N(G867)&gt;0,G867*(1+H867/30),H867)),IF(N(J867)=0,0,IF(N(I867)&gt;0,I867*(1+J867/30),J867)),IF(N(L867)=0,0,IF(N(K867)&gt;0,K867*(1+L867/30),L867)),IF(N(N867)=0,0,IF(N(M867)&gt;0,M867*(1+N867/30),N867))))</f>
        <v/>
      </c>
      <c r="Y867">
        <f>IF(N(X867)=0,"",X867+ROW()/1000000000)</f>
        <v/>
      </c>
      <c r="Z867">
        <f>IF(Y867="","",IF(COUNTIFS(Log!$D$6:$D$1505,D867,Log!$Y$6:$Y$1505,"&gt;"&amp;Y867)=0,1,0))</f>
        <v/>
      </c>
      <c r="AA867">
        <f>IF(OR(B867="",D867=""),"",B867+ROW()/10000000)</f>
        <v/>
      </c>
      <c r="AB867">
        <f>IF(AA867="","",IF(COUNTIFS(Log!$D$6:$D$1505,D867,Log!$AA$6:$AA$1505,"&gt;"&amp;AA867)=0,1,0))</f>
        <v/>
      </c>
      <c r="AC867">
        <f>IF(S867="New best",AA867,"")</f>
        <v/>
      </c>
      <c r="AD867">
        <f>ROW()</f>
        <v/>
      </c>
    </row>
    <row r="868">
      <c r="A868" s="1" t="n"/>
      <c r="B868" s="21" t="n"/>
      <c r="C868" s="22" t="n"/>
      <c r="D868" s="23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15">
        <f>IF(D868="","",COUNT(F868,H868,J868,L868,N868))</f>
        <v/>
      </c>
      <c r="P868" s="25">
        <f>IF(D868="","",N(E868)*N(F868)+N(G868)*N(H868)+N(I868)*N(J868)+N(K868)*N(L868)+N(M868)*N(N868))</f>
        <v/>
      </c>
      <c r="Q868" s="18">
        <f>IF(N(X868)=0,"",IF(IF(N(F868)=0,0,IF(N(E868)&gt;0,E868*(1+F868/30),F868))=X868,IF(N(E868)&gt;0,E868&amp;" x "&amp;F868,F868&amp;" reps"),IF(IF(N(H868)=0,0,IF(N(G868)&gt;0,G868*(1+H868/30),H868))=X868,IF(N(G868)&gt;0,G868&amp;" x "&amp;H868,H868&amp;" reps"),IF(IF(N(J868)=0,0,IF(N(I868)&gt;0,I868*(1+J868/30),J868))=X868,IF(N(I868)&gt;0,I868&amp;" x "&amp;J868,J868&amp;" reps"),IF(IF(N(L868)=0,0,IF(N(K868)&gt;0,K868*(1+L868/30),L868))=X868,IF(N(K868)&gt;0,K868&amp;" x "&amp;L868,L868&amp;" reps"),IF(IF(N(N868)=0,0,IF(N(M868)&gt;0,M868*(1+N868/30),N868))=X868,IF(N(M868)&gt;0,M868&amp;" x "&amp;N868,N868&amp;" reps"),""))))))</f>
        <v/>
      </c>
      <c r="R868" s="20">
        <f>IF(N(X868)=0,"",ROUND(X868,1))</f>
        <v/>
      </c>
      <c r="S868" s="18">
        <f>IF(N(X868)=0,"",IF(AND(COUNTIFS(Log!$D$6:$D$1505,D868,Log!$B$6:$B$1505,"&lt;"&amp;B868)&gt;0,COUNTIFS(Log!$D$6:$D$1505,D868,Log!$B$6:$B$1505,"&lt;"&amp;B868,Log!$X$6:$X$1505,"&gt;="&amp;X868)=0),"New best",""))</f>
        <v/>
      </c>
      <c r="T868" s="26" t="n"/>
      <c r="U868" s="1">
        <f>IF(D868="","",IFERROR(INDEX(Exercises!$C$6:$C$105,MATCH(D868,Exercises!$B$6:$B$105,0)),"Other"))</f>
        <v/>
      </c>
      <c r="V868">
        <f>IF(B868="","",IF(COUNTIF($B$6:B868,B868)=1,1,0))</f>
        <v/>
      </c>
      <c r="W868">
        <f>IF(B868="","",B868-WEEKDAY(B868,3))</f>
        <v/>
      </c>
      <c r="X868">
        <f>IF(D868="","",MAX(IF(N(F868)=0,0,IF(N(E868)&gt;0,E868*(1+F868/30),F868)),IF(N(H868)=0,0,IF(N(G868)&gt;0,G868*(1+H868/30),H868)),IF(N(J868)=0,0,IF(N(I868)&gt;0,I868*(1+J868/30),J868)),IF(N(L868)=0,0,IF(N(K868)&gt;0,K868*(1+L868/30),L868)),IF(N(N868)=0,0,IF(N(M868)&gt;0,M868*(1+N868/30),N868))))</f>
        <v/>
      </c>
      <c r="Y868">
        <f>IF(N(X868)=0,"",X868+ROW()/1000000000)</f>
        <v/>
      </c>
      <c r="Z868">
        <f>IF(Y868="","",IF(COUNTIFS(Log!$D$6:$D$1505,D868,Log!$Y$6:$Y$1505,"&gt;"&amp;Y868)=0,1,0))</f>
        <v/>
      </c>
      <c r="AA868">
        <f>IF(OR(B868="",D868=""),"",B868+ROW()/10000000)</f>
        <v/>
      </c>
      <c r="AB868">
        <f>IF(AA868="","",IF(COUNTIFS(Log!$D$6:$D$1505,D868,Log!$AA$6:$AA$1505,"&gt;"&amp;AA868)=0,1,0))</f>
        <v/>
      </c>
      <c r="AC868">
        <f>IF(S868="New best",AA868,"")</f>
        <v/>
      </c>
      <c r="AD868">
        <f>ROW()</f>
        <v/>
      </c>
    </row>
    <row r="869">
      <c r="A869" s="1" t="n"/>
      <c r="B869" s="21" t="n"/>
      <c r="C869" s="22" t="n"/>
      <c r="D869" s="23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15">
        <f>IF(D869="","",COUNT(F869,H869,J869,L869,N869))</f>
        <v/>
      </c>
      <c r="P869" s="25">
        <f>IF(D869="","",N(E869)*N(F869)+N(G869)*N(H869)+N(I869)*N(J869)+N(K869)*N(L869)+N(M869)*N(N869))</f>
        <v/>
      </c>
      <c r="Q869" s="18">
        <f>IF(N(X869)=0,"",IF(IF(N(F869)=0,0,IF(N(E869)&gt;0,E869*(1+F869/30),F869))=X869,IF(N(E869)&gt;0,E869&amp;" x "&amp;F869,F869&amp;" reps"),IF(IF(N(H869)=0,0,IF(N(G869)&gt;0,G869*(1+H869/30),H869))=X869,IF(N(G869)&gt;0,G869&amp;" x "&amp;H869,H869&amp;" reps"),IF(IF(N(J869)=0,0,IF(N(I869)&gt;0,I869*(1+J869/30),J869))=X869,IF(N(I869)&gt;0,I869&amp;" x "&amp;J869,J869&amp;" reps"),IF(IF(N(L869)=0,0,IF(N(K869)&gt;0,K869*(1+L869/30),L869))=X869,IF(N(K869)&gt;0,K869&amp;" x "&amp;L869,L869&amp;" reps"),IF(IF(N(N869)=0,0,IF(N(M869)&gt;0,M869*(1+N869/30),N869))=X869,IF(N(M869)&gt;0,M869&amp;" x "&amp;N869,N869&amp;" reps"),""))))))</f>
        <v/>
      </c>
      <c r="R869" s="20">
        <f>IF(N(X869)=0,"",ROUND(X869,1))</f>
        <v/>
      </c>
      <c r="S869" s="18">
        <f>IF(N(X869)=0,"",IF(AND(COUNTIFS(Log!$D$6:$D$1505,D869,Log!$B$6:$B$1505,"&lt;"&amp;B869)&gt;0,COUNTIFS(Log!$D$6:$D$1505,D869,Log!$B$6:$B$1505,"&lt;"&amp;B869,Log!$X$6:$X$1505,"&gt;="&amp;X869)=0),"New best",""))</f>
        <v/>
      </c>
      <c r="T869" s="26" t="n"/>
      <c r="U869" s="1">
        <f>IF(D869="","",IFERROR(INDEX(Exercises!$C$6:$C$105,MATCH(D869,Exercises!$B$6:$B$105,0)),"Other"))</f>
        <v/>
      </c>
      <c r="V869">
        <f>IF(B869="","",IF(COUNTIF($B$6:B869,B869)=1,1,0))</f>
        <v/>
      </c>
      <c r="W869">
        <f>IF(B869="","",B869-WEEKDAY(B869,3))</f>
        <v/>
      </c>
      <c r="X869">
        <f>IF(D869="","",MAX(IF(N(F869)=0,0,IF(N(E869)&gt;0,E869*(1+F869/30),F869)),IF(N(H869)=0,0,IF(N(G869)&gt;0,G869*(1+H869/30),H869)),IF(N(J869)=0,0,IF(N(I869)&gt;0,I869*(1+J869/30),J869)),IF(N(L869)=0,0,IF(N(K869)&gt;0,K869*(1+L869/30),L869)),IF(N(N869)=0,0,IF(N(M869)&gt;0,M869*(1+N869/30),N869))))</f>
        <v/>
      </c>
      <c r="Y869">
        <f>IF(N(X869)=0,"",X869+ROW()/1000000000)</f>
        <v/>
      </c>
      <c r="Z869">
        <f>IF(Y869="","",IF(COUNTIFS(Log!$D$6:$D$1505,D869,Log!$Y$6:$Y$1505,"&gt;"&amp;Y869)=0,1,0))</f>
        <v/>
      </c>
      <c r="AA869">
        <f>IF(OR(B869="",D869=""),"",B869+ROW()/10000000)</f>
        <v/>
      </c>
      <c r="AB869">
        <f>IF(AA869="","",IF(COUNTIFS(Log!$D$6:$D$1505,D869,Log!$AA$6:$AA$1505,"&gt;"&amp;AA869)=0,1,0))</f>
        <v/>
      </c>
      <c r="AC869">
        <f>IF(S869="New best",AA869,"")</f>
        <v/>
      </c>
      <c r="AD869">
        <f>ROW()</f>
        <v/>
      </c>
    </row>
    <row r="870">
      <c r="A870" s="1" t="n"/>
      <c r="B870" s="21" t="n"/>
      <c r="C870" s="22" t="n"/>
      <c r="D870" s="23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15">
        <f>IF(D870="","",COUNT(F870,H870,J870,L870,N870))</f>
        <v/>
      </c>
      <c r="P870" s="25">
        <f>IF(D870="","",N(E870)*N(F870)+N(G870)*N(H870)+N(I870)*N(J870)+N(K870)*N(L870)+N(M870)*N(N870))</f>
        <v/>
      </c>
      <c r="Q870" s="18">
        <f>IF(N(X870)=0,"",IF(IF(N(F870)=0,0,IF(N(E870)&gt;0,E870*(1+F870/30),F870))=X870,IF(N(E870)&gt;0,E870&amp;" x "&amp;F870,F870&amp;" reps"),IF(IF(N(H870)=0,0,IF(N(G870)&gt;0,G870*(1+H870/30),H870))=X870,IF(N(G870)&gt;0,G870&amp;" x "&amp;H870,H870&amp;" reps"),IF(IF(N(J870)=0,0,IF(N(I870)&gt;0,I870*(1+J870/30),J870))=X870,IF(N(I870)&gt;0,I870&amp;" x "&amp;J870,J870&amp;" reps"),IF(IF(N(L870)=0,0,IF(N(K870)&gt;0,K870*(1+L870/30),L870))=X870,IF(N(K870)&gt;0,K870&amp;" x "&amp;L870,L870&amp;" reps"),IF(IF(N(N870)=0,0,IF(N(M870)&gt;0,M870*(1+N870/30),N870))=X870,IF(N(M870)&gt;0,M870&amp;" x "&amp;N870,N870&amp;" reps"),""))))))</f>
        <v/>
      </c>
      <c r="R870" s="20">
        <f>IF(N(X870)=0,"",ROUND(X870,1))</f>
        <v/>
      </c>
      <c r="S870" s="18">
        <f>IF(N(X870)=0,"",IF(AND(COUNTIFS(Log!$D$6:$D$1505,D870,Log!$B$6:$B$1505,"&lt;"&amp;B870)&gt;0,COUNTIFS(Log!$D$6:$D$1505,D870,Log!$B$6:$B$1505,"&lt;"&amp;B870,Log!$X$6:$X$1505,"&gt;="&amp;X870)=0),"New best",""))</f>
        <v/>
      </c>
      <c r="T870" s="26" t="n"/>
      <c r="U870" s="1">
        <f>IF(D870="","",IFERROR(INDEX(Exercises!$C$6:$C$105,MATCH(D870,Exercises!$B$6:$B$105,0)),"Other"))</f>
        <v/>
      </c>
      <c r="V870">
        <f>IF(B870="","",IF(COUNTIF($B$6:B870,B870)=1,1,0))</f>
        <v/>
      </c>
      <c r="W870">
        <f>IF(B870="","",B870-WEEKDAY(B870,3))</f>
        <v/>
      </c>
      <c r="X870">
        <f>IF(D870="","",MAX(IF(N(F870)=0,0,IF(N(E870)&gt;0,E870*(1+F870/30),F870)),IF(N(H870)=0,0,IF(N(G870)&gt;0,G870*(1+H870/30),H870)),IF(N(J870)=0,0,IF(N(I870)&gt;0,I870*(1+J870/30),J870)),IF(N(L870)=0,0,IF(N(K870)&gt;0,K870*(1+L870/30),L870)),IF(N(N870)=0,0,IF(N(M870)&gt;0,M870*(1+N870/30),N870))))</f>
        <v/>
      </c>
      <c r="Y870">
        <f>IF(N(X870)=0,"",X870+ROW()/1000000000)</f>
        <v/>
      </c>
      <c r="Z870">
        <f>IF(Y870="","",IF(COUNTIFS(Log!$D$6:$D$1505,D870,Log!$Y$6:$Y$1505,"&gt;"&amp;Y870)=0,1,0))</f>
        <v/>
      </c>
      <c r="AA870">
        <f>IF(OR(B870="",D870=""),"",B870+ROW()/10000000)</f>
        <v/>
      </c>
      <c r="AB870">
        <f>IF(AA870="","",IF(COUNTIFS(Log!$D$6:$D$1505,D870,Log!$AA$6:$AA$1505,"&gt;"&amp;AA870)=0,1,0))</f>
        <v/>
      </c>
      <c r="AC870">
        <f>IF(S870="New best",AA870,"")</f>
        <v/>
      </c>
      <c r="AD870">
        <f>ROW()</f>
        <v/>
      </c>
    </row>
    <row r="871">
      <c r="A871" s="1" t="n"/>
      <c r="B871" s="21" t="n"/>
      <c r="C871" s="22" t="n"/>
      <c r="D871" s="23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15">
        <f>IF(D871="","",COUNT(F871,H871,J871,L871,N871))</f>
        <v/>
      </c>
      <c r="P871" s="25">
        <f>IF(D871="","",N(E871)*N(F871)+N(G871)*N(H871)+N(I871)*N(J871)+N(K871)*N(L871)+N(M871)*N(N871))</f>
        <v/>
      </c>
      <c r="Q871" s="18">
        <f>IF(N(X871)=0,"",IF(IF(N(F871)=0,0,IF(N(E871)&gt;0,E871*(1+F871/30),F871))=X871,IF(N(E871)&gt;0,E871&amp;" x "&amp;F871,F871&amp;" reps"),IF(IF(N(H871)=0,0,IF(N(G871)&gt;0,G871*(1+H871/30),H871))=X871,IF(N(G871)&gt;0,G871&amp;" x "&amp;H871,H871&amp;" reps"),IF(IF(N(J871)=0,0,IF(N(I871)&gt;0,I871*(1+J871/30),J871))=X871,IF(N(I871)&gt;0,I871&amp;" x "&amp;J871,J871&amp;" reps"),IF(IF(N(L871)=0,0,IF(N(K871)&gt;0,K871*(1+L871/30),L871))=X871,IF(N(K871)&gt;0,K871&amp;" x "&amp;L871,L871&amp;" reps"),IF(IF(N(N871)=0,0,IF(N(M871)&gt;0,M871*(1+N871/30),N871))=X871,IF(N(M871)&gt;0,M871&amp;" x "&amp;N871,N871&amp;" reps"),""))))))</f>
        <v/>
      </c>
      <c r="R871" s="20">
        <f>IF(N(X871)=0,"",ROUND(X871,1))</f>
        <v/>
      </c>
      <c r="S871" s="18">
        <f>IF(N(X871)=0,"",IF(AND(COUNTIFS(Log!$D$6:$D$1505,D871,Log!$B$6:$B$1505,"&lt;"&amp;B871)&gt;0,COUNTIFS(Log!$D$6:$D$1505,D871,Log!$B$6:$B$1505,"&lt;"&amp;B871,Log!$X$6:$X$1505,"&gt;="&amp;X871)=0),"New best",""))</f>
        <v/>
      </c>
      <c r="T871" s="26" t="n"/>
      <c r="U871" s="1">
        <f>IF(D871="","",IFERROR(INDEX(Exercises!$C$6:$C$105,MATCH(D871,Exercises!$B$6:$B$105,0)),"Other"))</f>
        <v/>
      </c>
      <c r="V871">
        <f>IF(B871="","",IF(COUNTIF($B$6:B871,B871)=1,1,0))</f>
        <v/>
      </c>
      <c r="W871">
        <f>IF(B871="","",B871-WEEKDAY(B871,3))</f>
        <v/>
      </c>
      <c r="X871">
        <f>IF(D871="","",MAX(IF(N(F871)=0,0,IF(N(E871)&gt;0,E871*(1+F871/30),F871)),IF(N(H871)=0,0,IF(N(G871)&gt;0,G871*(1+H871/30),H871)),IF(N(J871)=0,0,IF(N(I871)&gt;0,I871*(1+J871/30),J871)),IF(N(L871)=0,0,IF(N(K871)&gt;0,K871*(1+L871/30),L871)),IF(N(N871)=0,0,IF(N(M871)&gt;0,M871*(1+N871/30),N871))))</f>
        <v/>
      </c>
      <c r="Y871">
        <f>IF(N(X871)=0,"",X871+ROW()/1000000000)</f>
        <v/>
      </c>
      <c r="Z871">
        <f>IF(Y871="","",IF(COUNTIFS(Log!$D$6:$D$1505,D871,Log!$Y$6:$Y$1505,"&gt;"&amp;Y871)=0,1,0))</f>
        <v/>
      </c>
      <c r="AA871">
        <f>IF(OR(B871="",D871=""),"",B871+ROW()/10000000)</f>
        <v/>
      </c>
      <c r="AB871">
        <f>IF(AA871="","",IF(COUNTIFS(Log!$D$6:$D$1505,D871,Log!$AA$6:$AA$1505,"&gt;"&amp;AA871)=0,1,0))</f>
        <v/>
      </c>
      <c r="AC871">
        <f>IF(S871="New best",AA871,"")</f>
        <v/>
      </c>
      <c r="AD871">
        <f>ROW()</f>
        <v/>
      </c>
    </row>
    <row r="872">
      <c r="A872" s="1" t="n"/>
      <c r="B872" s="21" t="n"/>
      <c r="C872" s="22" t="n"/>
      <c r="D872" s="23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15">
        <f>IF(D872="","",COUNT(F872,H872,J872,L872,N872))</f>
        <v/>
      </c>
      <c r="P872" s="25">
        <f>IF(D872="","",N(E872)*N(F872)+N(G872)*N(H872)+N(I872)*N(J872)+N(K872)*N(L872)+N(M872)*N(N872))</f>
        <v/>
      </c>
      <c r="Q872" s="18">
        <f>IF(N(X872)=0,"",IF(IF(N(F872)=0,0,IF(N(E872)&gt;0,E872*(1+F872/30),F872))=X872,IF(N(E872)&gt;0,E872&amp;" x "&amp;F872,F872&amp;" reps"),IF(IF(N(H872)=0,0,IF(N(G872)&gt;0,G872*(1+H872/30),H872))=X872,IF(N(G872)&gt;0,G872&amp;" x "&amp;H872,H872&amp;" reps"),IF(IF(N(J872)=0,0,IF(N(I872)&gt;0,I872*(1+J872/30),J872))=X872,IF(N(I872)&gt;0,I872&amp;" x "&amp;J872,J872&amp;" reps"),IF(IF(N(L872)=0,0,IF(N(K872)&gt;0,K872*(1+L872/30),L872))=X872,IF(N(K872)&gt;0,K872&amp;" x "&amp;L872,L872&amp;" reps"),IF(IF(N(N872)=0,0,IF(N(M872)&gt;0,M872*(1+N872/30),N872))=X872,IF(N(M872)&gt;0,M872&amp;" x "&amp;N872,N872&amp;" reps"),""))))))</f>
        <v/>
      </c>
      <c r="R872" s="20">
        <f>IF(N(X872)=0,"",ROUND(X872,1))</f>
        <v/>
      </c>
      <c r="S872" s="18">
        <f>IF(N(X872)=0,"",IF(AND(COUNTIFS(Log!$D$6:$D$1505,D872,Log!$B$6:$B$1505,"&lt;"&amp;B872)&gt;0,COUNTIFS(Log!$D$6:$D$1505,D872,Log!$B$6:$B$1505,"&lt;"&amp;B872,Log!$X$6:$X$1505,"&gt;="&amp;X872)=0),"New best",""))</f>
        <v/>
      </c>
      <c r="T872" s="26" t="n"/>
      <c r="U872" s="1">
        <f>IF(D872="","",IFERROR(INDEX(Exercises!$C$6:$C$105,MATCH(D872,Exercises!$B$6:$B$105,0)),"Other"))</f>
        <v/>
      </c>
      <c r="V872">
        <f>IF(B872="","",IF(COUNTIF($B$6:B872,B872)=1,1,0))</f>
        <v/>
      </c>
      <c r="W872">
        <f>IF(B872="","",B872-WEEKDAY(B872,3))</f>
        <v/>
      </c>
      <c r="X872">
        <f>IF(D872="","",MAX(IF(N(F872)=0,0,IF(N(E872)&gt;0,E872*(1+F872/30),F872)),IF(N(H872)=0,0,IF(N(G872)&gt;0,G872*(1+H872/30),H872)),IF(N(J872)=0,0,IF(N(I872)&gt;0,I872*(1+J872/30),J872)),IF(N(L872)=0,0,IF(N(K872)&gt;0,K872*(1+L872/30),L872)),IF(N(N872)=0,0,IF(N(M872)&gt;0,M872*(1+N872/30),N872))))</f>
        <v/>
      </c>
      <c r="Y872">
        <f>IF(N(X872)=0,"",X872+ROW()/1000000000)</f>
        <v/>
      </c>
      <c r="Z872">
        <f>IF(Y872="","",IF(COUNTIFS(Log!$D$6:$D$1505,D872,Log!$Y$6:$Y$1505,"&gt;"&amp;Y872)=0,1,0))</f>
        <v/>
      </c>
      <c r="AA872">
        <f>IF(OR(B872="",D872=""),"",B872+ROW()/10000000)</f>
        <v/>
      </c>
      <c r="AB872">
        <f>IF(AA872="","",IF(COUNTIFS(Log!$D$6:$D$1505,D872,Log!$AA$6:$AA$1505,"&gt;"&amp;AA872)=0,1,0))</f>
        <v/>
      </c>
      <c r="AC872">
        <f>IF(S872="New best",AA872,"")</f>
        <v/>
      </c>
      <c r="AD872">
        <f>ROW()</f>
        <v/>
      </c>
    </row>
    <row r="873">
      <c r="A873" s="1" t="n"/>
      <c r="B873" s="21" t="n"/>
      <c r="C873" s="22" t="n"/>
      <c r="D873" s="23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15">
        <f>IF(D873="","",COUNT(F873,H873,J873,L873,N873))</f>
        <v/>
      </c>
      <c r="P873" s="25">
        <f>IF(D873="","",N(E873)*N(F873)+N(G873)*N(H873)+N(I873)*N(J873)+N(K873)*N(L873)+N(M873)*N(N873))</f>
        <v/>
      </c>
      <c r="Q873" s="18">
        <f>IF(N(X873)=0,"",IF(IF(N(F873)=0,0,IF(N(E873)&gt;0,E873*(1+F873/30),F873))=X873,IF(N(E873)&gt;0,E873&amp;" x "&amp;F873,F873&amp;" reps"),IF(IF(N(H873)=0,0,IF(N(G873)&gt;0,G873*(1+H873/30),H873))=X873,IF(N(G873)&gt;0,G873&amp;" x "&amp;H873,H873&amp;" reps"),IF(IF(N(J873)=0,0,IF(N(I873)&gt;0,I873*(1+J873/30),J873))=X873,IF(N(I873)&gt;0,I873&amp;" x "&amp;J873,J873&amp;" reps"),IF(IF(N(L873)=0,0,IF(N(K873)&gt;0,K873*(1+L873/30),L873))=X873,IF(N(K873)&gt;0,K873&amp;" x "&amp;L873,L873&amp;" reps"),IF(IF(N(N873)=0,0,IF(N(M873)&gt;0,M873*(1+N873/30),N873))=X873,IF(N(M873)&gt;0,M873&amp;" x "&amp;N873,N873&amp;" reps"),""))))))</f>
        <v/>
      </c>
      <c r="R873" s="20">
        <f>IF(N(X873)=0,"",ROUND(X873,1))</f>
        <v/>
      </c>
      <c r="S873" s="18">
        <f>IF(N(X873)=0,"",IF(AND(COUNTIFS(Log!$D$6:$D$1505,D873,Log!$B$6:$B$1505,"&lt;"&amp;B873)&gt;0,COUNTIFS(Log!$D$6:$D$1505,D873,Log!$B$6:$B$1505,"&lt;"&amp;B873,Log!$X$6:$X$1505,"&gt;="&amp;X873)=0),"New best",""))</f>
        <v/>
      </c>
      <c r="T873" s="26" t="n"/>
      <c r="U873" s="1">
        <f>IF(D873="","",IFERROR(INDEX(Exercises!$C$6:$C$105,MATCH(D873,Exercises!$B$6:$B$105,0)),"Other"))</f>
        <v/>
      </c>
      <c r="V873">
        <f>IF(B873="","",IF(COUNTIF($B$6:B873,B873)=1,1,0))</f>
        <v/>
      </c>
      <c r="W873">
        <f>IF(B873="","",B873-WEEKDAY(B873,3))</f>
        <v/>
      </c>
      <c r="X873">
        <f>IF(D873="","",MAX(IF(N(F873)=0,0,IF(N(E873)&gt;0,E873*(1+F873/30),F873)),IF(N(H873)=0,0,IF(N(G873)&gt;0,G873*(1+H873/30),H873)),IF(N(J873)=0,0,IF(N(I873)&gt;0,I873*(1+J873/30),J873)),IF(N(L873)=0,0,IF(N(K873)&gt;0,K873*(1+L873/30),L873)),IF(N(N873)=0,0,IF(N(M873)&gt;0,M873*(1+N873/30),N873))))</f>
        <v/>
      </c>
      <c r="Y873">
        <f>IF(N(X873)=0,"",X873+ROW()/1000000000)</f>
        <v/>
      </c>
      <c r="Z873">
        <f>IF(Y873="","",IF(COUNTIFS(Log!$D$6:$D$1505,D873,Log!$Y$6:$Y$1505,"&gt;"&amp;Y873)=0,1,0))</f>
        <v/>
      </c>
      <c r="AA873">
        <f>IF(OR(B873="",D873=""),"",B873+ROW()/10000000)</f>
        <v/>
      </c>
      <c r="AB873">
        <f>IF(AA873="","",IF(COUNTIFS(Log!$D$6:$D$1505,D873,Log!$AA$6:$AA$1505,"&gt;"&amp;AA873)=0,1,0))</f>
        <v/>
      </c>
      <c r="AC873">
        <f>IF(S873="New best",AA873,"")</f>
        <v/>
      </c>
      <c r="AD873">
        <f>ROW()</f>
        <v/>
      </c>
    </row>
    <row r="874">
      <c r="A874" s="1" t="n"/>
      <c r="B874" s="21" t="n"/>
      <c r="C874" s="22" t="n"/>
      <c r="D874" s="23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15">
        <f>IF(D874="","",COUNT(F874,H874,J874,L874,N874))</f>
        <v/>
      </c>
      <c r="P874" s="25">
        <f>IF(D874="","",N(E874)*N(F874)+N(G874)*N(H874)+N(I874)*N(J874)+N(K874)*N(L874)+N(M874)*N(N874))</f>
        <v/>
      </c>
      <c r="Q874" s="18">
        <f>IF(N(X874)=0,"",IF(IF(N(F874)=0,0,IF(N(E874)&gt;0,E874*(1+F874/30),F874))=X874,IF(N(E874)&gt;0,E874&amp;" x "&amp;F874,F874&amp;" reps"),IF(IF(N(H874)=0,0,IF(N(G874)&gt;0,G874*(1+H874/30),H874))=X874,IF(N(G874)&gt;0,G874&amp;" x "&amp;H874,H874&amp;" reps"),IF(IF(N(J874)=0,0,IF(N(I874)&gt;0,I874*(1+J874/30),J874))=X874,IF(N(I874)&gt;0,I874&amp;" x "&amp;J874,J874&amp;" reps"),IF(IF(N(L874)=0,0,IF(N(K874)&gt;0,K874*(1+L874/30),L874))=X874,IF(N(K874)&gt;0,K874&amp;" x "&amp;L874,L874&amp;" reps"),IF(IF(N(N874)=0,0,IF(N(M874)&gt;0,M874*(1+N874/30),N874))=X874,IF(N(M874)&gt;0,M874&amp;" x "&amp;N874,N874&amp;" reps"),""))))))</f>
        <v/>
      </c>
      <c r="R874" s="20">
        <f>IF(N(X874)=0,"",ROUND(X874,1))</f>
        <v/>
      </c>
      <c r="S874" s="18">
        <f>IF(N(X874)=0,"",IF(AND(COUNTIFS(Log!$D$6:$D$1505,D874,Log!$B$6:$B$1505,"&lt;"&amp;B874)&gt;0,COUNTIFS(Log!$D$6:$D$1505,D874,Log!$B$6:$B$1505,"&lt;"&amp;B874,Log!$X$6:$X$1505,"&gt;="&amp;X874)=0),"New best",""))</f>
        <v/>
      </c>
      <c r="T874" s="26" t="n"/>
      <c r="U874" s="1">
        <f>IF(D874="","",IFERROR(INDEX(Exercises!$C$6:$C$105,MATCH(D874,Exercises!$B$6:$B$105,0)),"Other"))</f>
        <v/>
      </c>
      <c r="V874">
        <f>IF(B874="","",IF(COUNTIF($B$6:B874,B874)=1,1,0))</f>
        <v/>
      </c>
      <c r="W874">
        <f>IF(B874="","",B874-WEEKDAY(B874,3))</f>
        <v/>
      </c>
      <c r="X874">
        <f>IF(D874="","",MAX(IF(N(F874)=0,0,IF(N(E874)&gt;0,E874*(1+F874/30),F874)),IF(N(H874)=0,0,IF(N(G874)&gt;0,G874*(1+H874/30),H874)),IF(N(J874)=0,0,IF(N(I874)&gt;0,I874*(1+J874/30),J874)),IF(N(L874)=0,0,IF(N(K874)&gt;0,K874*(1+L874/30),L874)),IF(N(N874)=0,0,IF(N(M874)&gt;0,M874*(1+N874/30),N874))))</f>
        <v/>
      </c>
      <c r="Y874">
        <f>IF(N(X874)=0,"",X874+ROW()/1000000000)</f>
        <v/>
      </c>
      <c r="Z874">
        <f>IF(Y874="","",IF(COUNTIFS(Log!$D$6:$D$1505,D874,Log!$Y$6:$Y$1505,"&gt;"&amp;Y874)=0,1,0))</f>
        <v/>
      </c>
      <c r="AA874">
        <f>IF(OR(B874="",D874=""),"",B874+ROW()/10000000)</f>
        <v/>
      </c>
      <c r="AB874">
        <f>IF(AA874="","",IF(COUNTIFS(Log!$D$6:$D$1505,D874,Log!$AA$6:$AA$1505,"&gt;"&amp;AA874)=0,1,0))</f>
        <v/>
      </c>
      <c r="AC874">
        <f>IF(S874="New best",AA874,"")</f>
        <v/>
      </c>
      <c r="AD874">
        <f>ROW()</f>
        <v/>
      </c>
    </row>
    <row r="875">
      <c r="A875" s="1" t="n"/>
      <c r="B875" s="21" t="n"/>
      <c r="C875" s="22" t="n"/>
      <c r="D875" s="23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15">
        <f>IF(D875="","",COUNT(F875,H875,J875,L875,N875))</f>
        <v/>
      </c>
      <c r="P875" s="25">
        <f>IF(D875="","",N(E875)*N(F875)+N(G875)*N(H875)+N(I875)*N(J875)+N(K875)*N(L875)+N(M875)*N(N875))</f>
        <v/>
      </c>
      <c r="Q875" s="18">
        <f>IF(N(X875)=0,"",IF(IF(N(F875)=0,0,IF(N(E875)&gt;0,E875*(1+F875/30),F875))=X875,IF(N(E875)&gt;0,E875&amp;" x "&amp;F875,F875&amp;" reps"),IF(IF(N(H875)=0,0,IF(N(G875)&gt;0,G875*(1+H875/30),H875))=X875,IF(N(G875)&gt;0,G875&amp;" x "&amp;H875,H875&amp;" reps"),IF(IF(N(J875)=0,0,IF(N(I875)&gt;0,I875*(1+J875/30),J875))=X875,IF(N(I875)&gt;0,I875&amp;" x "&amp;J875,J875&amp;" reps"),IF(IF(N(L875)=0,0,IF(N(K875)&gt;0,K875*(1+L875/30),L875))=X875,IF(N(K875)&gt;0,K875&amp;" x "&amp;L875,L875&amp;" reps"),IF(IF(N(N875)=0,0,IF(N(M875)&gt;0,M875*(1+N875/30),N875))=X875,IF(N(M875)&gt;0,M875&amp;" x "&amp;N875,N875&amp;" reps"),""))))))</f>
        <v/>
      </c>
      <c r="R875" s="20">
        <f>IF(N(X875)=0,"",ROUND(X875,1))</f>
        <v/>
      </c>
      <c r="S875" s="18">
        <f>IF(N(X875)=0,"",IF(AND(COUNTIFS(Log!$D$6:$D$1505,D875,Log!$B$6:$B$1505,"&lt;"&amp;B875)&gt;0,COUNTIFS(Log!$D$6:$D$1505,D875,Log!$B$6:$B$1505,"&lt;"&amp;B875,Log!$X$6:$X$1505,"&gt;="&amp;X875)=0),"New best",""))</f>
        <v/>
      </c>
      <c r="T875" s="26" t="n"/>
      <c r="U875" s="1">
        <f>IF(D875="","",IFERROR(INDEX(Exercises!$C$6:$C$105,MATCH(D875,Exercises!$B$6:$B$105,0)),"Other"))</f>
        <v/>
      </c>
      <c r="V875">
        <f>IF(B875="","",IF(COUNTIF($B$6:B875,B875)=1,1,0))</f>
        <v/>
      </c>
      <c r="W875">
        <f>IF(B875="","",B875-WEEKDAY(B875,3))</f>
        <v/>
      </c>
      <c r="X875">
        <f>IF(D875="","",MAX(IF(N(F875)=0,0,IF(N(E875)&gt;0,E875*(1+F875/30),F875)),IF(N(H875)=0,0,IF(N(G875)&gt;0,G875*(1+H875/30),H875)),IF(N(J875)=0,0,IF(N(I875)&gt;0,I875*(1+J875/30),J875)),IF(N(L875)=0,0,IF(N(K875)&gt;0,K875*(1+L875/30),L875)),IF(N(N875)=0,0,IF(N(M875)&gt;0,M875*(1+N875/30),N875))))</f>
        <v/>
      </c>
      <c r="Y875">
        <f>IF(N(X875)=0,"",X875+ROW()/1000000000)</f>
        <v/>
      </c>
      <c r="Z875">
        <f>IF(Y875="","",IF(COUNTIFS(Log!$D$6:$D$1505,D875,Log!$Y$6:$Y$1505,"&gt;"&amp;Y875)=0,1,0))</f>
        <v/>
      </c>
      <c r="AA875">
        <f>IF(OR(B875="",D875=""),"",B875+ROW()/10000000)</f>
        <v/>
      </c>
      <c r="AB875">
        <f>IF(AA875="","",IF(COUNTIFS(Log!$D$6:$D$1505,D875,Log!$AA$6:$AA$1505,"&gt;"&amp;AA875)=0,1,0))</f>
        <v/>
      </c>
      <c r="AC875">
        <f>IF(S875="New best",AA875,"")</f>
        <v/>
      </c>
      <c r="AD875">
        <f>ROW()</f>
        <v/>
      </c>
    </row>
    <row r="876">
      <c r="A876" s="1" t="n"/>
      <c r="B876" s="21" t="n"/>
      <c r="C876" s="22" t="n"/>
      <c r="D876" s="23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15">
        <f>IF(D876="","",COUNT(F876,H876,J876,L876,N876))</f>
        <v/>
      </c>
      <c r="P876" s="25">
        <f>IF(D876="","",N(E876)*N(F876)+N(G876)*N(H876)+N(I876)*N(J876)+N(K876)*N(L876)+N(M876)*N(N876))</f>
        <v/>
      </c>
      <c r="Q876" s="18">
        <f>IF(N(X876)=0,"",IF(IF(N(F876)=0,0,IF(N(E876)&gt;0,E876*(1+F876/30),F876))=X876,IF(N(E876)&gt;0,E876&amp;" x "&amp;F876,F876&amp;" reps"),IF(IF(N(H876)=0,0,IF(N(G876)&gt;0,G876*(1+H876/30),H876))=X876,IF(N(G876)&gt;0,G876&amp;" x "&amp;H876,H876&amp;" reps"),IF(IF(N(J876)=0,0,IF(N(I876)&gt;0,I876*(1+J876/30),J876))=X876,IF(N(I876)&gt;0,I876&amp;" x "&amp;J876,J876&amp;" reps"),IF(IF(N(L876)=0,0,IF(N(K876)&gt;0,K876*(1+L876/30),L876))=X876,IF(N(K876)&gt;0,K876&amp;" x "&amp;L876,L876&amp;" reps"),IF(IF(N(N876)=0,0,IF(N(M876)&gt;0,M876*(1+N876/30),N876))=X876,IF(N(M876)&gt;0,M876&amp;" x "&amp;N876,N876&amp;" reps"),""))))))</f>
        <v/>
      </c>
      <c r="R876" s="20">
        <f>IF(N(X876)=0,"",ROUND(X876,1))</f>
        <v/>
      </c>
      <c r="S876" s="18">
        <f>IF(N(X876)=0,"",IF(AND(COUNTIFS(Log!$D$6:$D$1505,D876,Log!$B$6:$B$1505,"&lt;"&amp;B876)&gt;0,COUNTIFS(Log!$D$6:$D$1505,D876,Log!$B$6:$B$1505,"&lt;"&amp;B876,Log!$X$6:$X$1505,"&gt;="&amp;X876)=0),"New best",""))</f>
        <v/>
      </c>
      <c r="T876" s="26" t="n"/>
      <c r="U876" s="1">
        <f>IF(D876="","",IFERROR(INDEX(Exercises!$C$6:$C$105,MATCH(D876,Exercises!$B$6:$B$105,0)),"Other"))</f>
        <v/>
      </c>
      <c r="V876">
        <f>IF(B876="","",IF(COUNTIF($B$6:B876,B876)=1,1,0))</f>
        <v/>
      </c>
      <c r="W876">
        <f>IF(B876="","",B876-WEEKDAY(B876,3))</f>
        <v/>
      </c>
      <c r="X876">
        <f>IF(D876="","",MAX(IF(N(F876)=0,0,IF(N(E876)&gt;0,E876*(1+F876/30),F876)),IF(N(H876)=0,0,IF(N(G876)&gt;0,G876*(1+H876/30),H876)),IF(N(J876)=0,0,IF(N(I876)&gt;0,I876*(1+J876/30),J876)),IF(N(L876)=0,0,IF(N(K876)&gt;0,K876*(1+L876/30),L876)),IF(N(N876)=0,0,IF(N(M876)&gt;0,M876*(1+N876/30),N876))))</f>
        <v/>
      </c>
      <c r="Y876">
        <f>IF(N(X876)=0,"",X876+ROW()/1000000000)</f>
        <v/>
      </c>
      <c r="Z876">
        <f>IF(Y876="","",IF(COUNTIFS(Log!$D$6:$D$1505,D876,Log!$Y$6:$Y$1505,"&gt;"&amp;Y876)=0,1,0))</f>
        <v/>
      </c>
      <c r="AA876">
        <f>IF(OR(B876="",D876=""),"",B876+ROW()/10000000)</f>
        <v/>
      </c>
      <c r="AB876">
        <f>IF(AA876="","",IF(COUNTIFS(Log!$D$6:$D$1505,D876,Log!$AA$6:$AA$1505,"&gt;"&amp;AA876)=0,1,0))</f>
        <v/>
      </c>
      <c r="AC876">
        <f>IF(S876="New best",AA876,"")</f>
        <v/>
      </c>
      <c r="AD876">
        <f>ROW()</f>
        <v/>
      </c>
    </row>
    <row r="877">
      <c r="A877" s="1" t="n"/>
      <c r="B877" s="21" t="n"/>
      <c r="C877" s="22" t="n"/>
      <c r="D877" s="23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15">
        <f>IF(D877="","",COUNT(F877,H877,J877,L877,N877))</f>
        <v/>
      </c>
      <c r="P877" s="25">
        <f>IF(D877="","",N(E877)*N(F877)+N(G877)*N(H877)+N(I877)*N(J877)+N(K877)*N(L877)+N(M877)*N(N877))</f>
        <v/>
      </c>
      <c r="Q877" s="18">
        <f>IF(N(X877)=0,"",IF(IF(N(F877)=0,0,IF(N(E877)&gt;0,E877*(1+F877/30),F877))=X877,IF(N(E877)&gt;0,E877&amp;" x "&amp;F877,F877&amp;" reps"),IF(IF(N(H877)=0,0,IF(N(G877)&gt;0,G877*(1+H877/30),H877))=X877,IF(N(G877)&gt;0,G877&amp;" x "&amp;H877,H877&amp;" reps"),IF(IF(N(J877)=0,0,IF(N(I877)&gt;0,I877*(1+J877/30),J877))=X877,IF(N(I877)&gt;0,I877&amp;" x "&amp;J877,J877&amp;" reps"),IF(IF(N(L877)=0,0,IF(N(K877)&gt;0,K877*(1+L877/30),L877))=X877,IF(N(K877)&gt;0,K877&amp;" x "&amp;L877,L877&amp;" reps"),IF(IF(N(N877)=0,0,IF(N(M877)&gt;0,M877*(1+N877/30),N877))=X877,IF(N(M877)&gt;0,M877&amp;" x "&amp;N877,N877&amp;" reps"),""))))))</f>
        <v/>
      </c>
      <c r="R877" s="20">
        <f>IF(N(X877)=0,"",ROUND(X877,1))</f>
        <v/>
      </c>
      <c r="S877" s="18">
        <f>IF(N(X877)=0,"",IF(AND(COUNTIFS(Log!$D$6:$D$1505,D877,Log!$B$6:$B$1505,"&lt;"&amp;B877)&gt;0,COUNTIFS(Log!$D$6:$D$1505,D877,Log!$B$6:$B$1505,"&lt;"&amp;B877,Log!$X$6:$X$1505,"&gt;="&amp;X877)=0),"New best",""))</f>
        <v/>
      </c>
      <c r="T877" s="26" t="n"/>
      <c r="U877" s="1">
        <f>IF(D877="","",IFERROR(INDEX(Exercises!$C$6:$C$105,MATCH(D877,Exercises!$B$6:$B$105,0)),"Other"))</f>
        <v/>
      </c>
      <c r="V877">
        <f>IF(B877="","",IF(COUNTIF($B$6:B877,B877)=1,1,0))</f>
        <v/>
      </c>
      <c r="W877">
        <f>IF(B877="","",B877-WEEKDAY(B877,3))</f>
        <v/>
      </c>
      <c r="X877">
        <f>IF(D877="","",MAX(IF(N(F877)=0,0,IF(N(E877)&gt;0,E877*(1+F877/30),F877)),IF(N(H877)=0,0,IF(N(G877)&gt;0,G877*(1+H877/30),H877)),IF(N(J877)=0,0,IF(N(I877)&gt;0,I877*(1+J877/30),J877)),IF(N(L877)=0,0,IF(N(K877)&gt;0,K877*(1+L877/30),L877)),IF(N(N877)=0,0,IF(N(M877)&gt;0,M877*(1+N877/30),N877))))</f>
        <v/>
      </c>
      <c r="Y877">
        <f>IF(N(X877)=0,"",X877+ROW()/1000000000)</f>
        <v/>
      </c>
      <c r="Z877">
        <f>IF(Y877="","",IF(COUNTIFS(Log!$D$6:$D$1505,D877,Log!$Y$6:$Y$1505,"&gt;"&amp;Y877)=0,1,0))</f>
        <v/>
      </c>
      <c r="AA877">
        <f>IF(OR(B877="",D877=""),"",B877+ROW()/10000000)</f>
        <v/>
      </c>
      <c r="AB877">
        <f>IF(AA877="","",IF(COUNTIFS(Log!$D$6:$D$1505,D877,Log!$AA$6:$AA$1505,"&gt;"&amp;AA877)=0,1,0))</f>
        <v/>
      </c>
      <c r="AC877">
        <f>IF(S877="New best",AA877,"")</f>
        <v/>
      </c>
      <c r="AD877">
        <f>ROW()</f>
        <v/>
      </c>
    </row>
    <row r="878">
      <c r="A878" s="1" t="n"/>
      <c r="B878" s="21" t="n"/>
      <c r="C878" s="22" t="n"/>
      <c r="D878" s="23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15">
        <f>IF(D878="","",COUNT(F878,H878,J878,L878,N878))</f>
        <v/>
      </c>
      <c r="P878" s="25">
        <f>IF(D878="","",N(E878)*N(F878)+N(G878)*N(H878)+N(I878)*N(J878)+N(K878)*N(L878)+N(M878)*N(N878))</f>
        <v/>
      </c>
      <c r="Q878" s="18">
        <f>IF(N(X878)=0,"",IF(IF(N(F878)=0,0,IF(N(E878)&gt;0,E878*(1+F878/30),F878))=X878,IF(N(E878)&gt;0,E878&amp;" x "&amp;F878,F878&amp;" reps"),IF(IF(N(H878)=0,0,IF(N(G878)&gt;0,G878*(1+H878/30),H878))=X878,IF(N(G878)&gt;0,G878&amp;" x "&amp;H878,H878&amp;" reps"),IF(IF(N(J878)=0,0,IF(N(I878)&gt;0,I878*(1+J878/30),J878))=X878,IF(N(I878)&gt;0,I878&amp;" x "&amp;J878,J878&amp;" reps"),IF(IF(N(L878)=0,0,IF(N(K878)&gt;0,K878*(1+L878/30),L878))=X878,IF(N(K878)&gt;0,K878&amp;" x "&amp;L878,L878&amp;" reps"),IF(IF(N(N878)=0,0,IF(N(M878)&gt;0,M878*(1+N878/30),N878))=X878,IF(N(M878)&gt;0,M878&amp;" x "&amp;N878,N878&amp;" reps"),""))))))</f>
        <v/>
      </c>
      <c r="R878" s="20">
        <f>IF(N(X878)=0,"",ROUND(X878,1))</f>
        <v/>
      </c>
      <c r="S878" s="18">
        <f>IF(N(X878)=0,"",IF(AND(COUNTIFS(Log!$D$6:$D$1505,D878,Log!$B$6:$B$1505,"&lt;"&amp;B878)&gt;0,COUNTIFS(Log!$D$6:$D$1505,D878,Log!$B$6:$B$1505,"&lt;"&amp;B878,Log!$X$6:$X$1505,"&gt;="&amp;X878)=0),"New best",""))</f>
        <v/>
      </c>
      <c r="T878" s="26" t="n"/>
      <c r="U878" s="1">
        <f>IF(D878="","",IFERROR(INDEX(Exercises!$C$6:$C$105,MATCH(D878,Exercises!$B$6:$B$105,0)),"Other"))</f>
        <v/>
      </c>
      <c r="V878">
        <f>IF(B878="","",IF(COUNTIF($B$6:B878,B878)=1,1,0))</f>
        <v/>
      </c>
      <c r="W878">
        <f>IF(B878="","",B878-WEEKDAY(B878,3))</f>
        <v/>
      </c>
      <c r="X878">
        <f>IF(D878="","",MAX(IF(N(F878)=0,0,IF(N(E878)&gt;0,E878*(1+F878/30),F878)),IF(N(H878)=0,0,IF(N(G878)&gt;0,G878*(1+H878/30),H878)),IF(N(J878)=0,0,IF(N(I878)&gt;0,I878*(1+J878/30),J878)),IF(N(L878)=0,0,IF(N(K878)&gt;0,K878*(1+L878/30),L878)),IF(N(N878)=0,0,IF(N(M878)&gt;0,M878*(1+N878/30),N878))))</f>
        <v/>
      </c>
      <c r="Y878">
        <f>IF(N(X878)=0,"",X878+ROW()/1000000000)</f>
        <v/>
      </c>
      <c r="Z878">
        <f>IF(Y878="","",IF(COUNTIFS(Log!$D$6:$D$1505,D878,Log!$Y$6:$Y$1505,"&gt;"&amp;Y878)=0,1,0))</f>
        <v/>
      </c>
      <c r="AA878">
        <f>IF(OR(B878="",D878=""),"",B878+ROW()/10000000)</f>
        <v/>
      </c>
      <c r="AB878">
        <f>IF(AA878="","",IF(COUNTIFS(Log!$D$6:$D$1505,D878,Log!$AA$6:$AA$1505,"&gt;"&amp;AA878)=0,1,0))</f>
        <v/>
      </c>
      <c r="AC878">
        <f>IF(S878="New best",AA878,"")</f>
        <v/>
      </c>
      <c r="AD878">
        <f>ROW()</f>
        <v/>
      </c>
    </row>
    <row r="879">
      <c r="A879" s="1" t="n"/>
      <c r="B879" s="21" t="n"/>
      <c r="C879" s="22" t="n"/>
      <c r="D879" s="23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15">
        <f>IF(D879="","",COUNT(F879,H879,J879,L879,N879))</f>
        <v/>
      </c>
      <c r="P879" s="25">
        <f>IF(D879="","",N(E879)*N(F879)+N(G879)*N(H879)+N(I879)*N(J879)+N(K879)*N(L879)+N(M879)*N(N879))</f>
        <v/>
      </c>
      <c r="Q879" s="18">
        <f>IF(N(X879)=0,"",IF(IF(N(F879)=0,0,IF(N(E879)&gt;0,E879*(1+F879/30),F879))=X879,IF(N(E879)&gt;0,E879&amp;" x "&amp;F879,F879&amp;" reps"),IF(IF(N(H879)=0,0,IF(N(G879)&gt;0,G879*(1+H879/30),H879))=X879,IF(N(G879)&gt;0,G879&amp;" x "&amp;H879,H879&amp;" reps"),IF(IF(N(J879)=0,0,IF(N(I879)&gt;0,I879*(1+J879/30),J879))=X879,IF(N(I879)&gt;0,I879&amp;" x "&amp;J879,J879&amp;" reps"),IF(IF(N(L879)=0,0,IF(N(K879)&gt;0,K879*(1+L879/30),L879))=X879,IF(N(K879)&gt;0,K879&amp;" x "&amp;L879,L879&amp;" reps"),IF(IF(N(N879)=0,0,IF(N(M879)&gt;0,M879*(1+N879/30),N879))=X879,IF(N(M879)&gt;0,M879&amp;" x "&amp;N879,N879&amp;" reps"),""))))))</f>
        <v/>
      </c>
      <c r="R879" s="20">
        <f>IF(N(X879)=0,"",ROUND(X879,1))</f>
        <v/>
      </c>
      <c r="S879" s="18">
        <f>IF(N(X879)=0,"",IF(AND(COUNTIFS(Log!$D$6:$D$1505,D879,Log!$B$6:$B$1505,"&lt;"&amp;B879)&gt;0,COUNTIFS(Log!$D$6:$D$1505,D879,Log!$B$6:$B$1505,"&lt;"&amp;B879,Log!$X$6:$X$1505,"&gt;="&amp;X879)=0),"New best",""))</f>
        <v/>
      </c>
      <c r="T879" s="26" t="n"/>
      <c r="U879" s="1">
        <f>IF(D879="","",IFERROR(INDEX(Exercises!$C$6:$C$105,MATCH(D879,Exercises!$B$6:$B$105,0)),"Other"))</f>
        <v/>
      </c>
      <c r="V879">
        <f>IF(B879="","",IF(COUNTIF($B$6:B879,B879)=1,1,0))</f>
        <v/>
      </c>
      <c r="W879">
        <f>IF(B879="","",B879-WEEKDAY(B879,3))</f>
        <v/>
      </c>
      <c r="X879">
        <f>IF(D879="","",MAX(IF(N(F879)=0,0,IF(N(E879)&gt;0,E879*(1+F879/30),F879)),IF(N(H879)=0,0,IF(N(G879)&gt;0,G879*(1+H879/30),H879)),IF(N(J879)=0,0,IF(N(I879)&gt;0,I879*(1+J879/30),J879)),IF(N(L879)=0,0,IF(N(K879)&gt;0,K879*(1+L879/30),L879)),IF(N(N879)=0,0,IF(N(M879)&gt;0,M879*(1+N879/30),N879))))</f>
        <v/>
      </c>
      <c r="Y879">
        <f>IF(N(X879)=0,"",X879+ROW()/1000000000)</f>
        <v/>
      </c>
      <c r="Z879">
        <f>IF(Y879="","",IF(COUNTIFS(Log!$D$6:$D$1505,D879,Log!$Y$6:$Y$1505,"&gt;"&amp;Y879)=0,1,0))</f>
        <v/>
      </c>
      <c r="AA879">
        <f>IF(OR(B879="",D879=""),"",B879+ROW()/10000000)</f>
        <v/>
      </c>
      <c r="AB879">
        <f>IF(AA879="","",IF(COUNTIFS(Log!$D$6:$D$1505,D879,Log!$AA$6:$AA$1505,"&gt;"&amp;AA879)=0,1,0))</f>
        <v/>
      </c>
      <c r="AC879">
        <f>IF(S879="New best",AA879,"")</f>
        <v/>
      </c>
      <c r="AD879">
        <f>ROW()</f>
        <v/>
      </c>
    </row>
    <row r="880">
      <c r="A880" s="1" t="n"/>
      <c r="B880" s="21" t="n"/>
      <c r="C880" s="22" t="n"/>
      <c r="D880" s="23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15">
        <f>IF(D880="","",COUNT(F880,H880,J880,L880,N880))</f>
        <v/>
      </c>
      <c r="P880" s="25">
        <f>IF(D880="","",N(E880)*N(F880)+N(G880)*N(H880)+N(I880)*N(J880)+N(K880)*N(L880)+N(M880)*N(N880))</f>
        <v/>
      </c>
      <c r="Q880" s="18">
        <f>IF(N(X880)=0,"",IF(IF(N(F880)=0,0,IF(N(E880)&gt;0,E880*(1+F880/30),F880))=X880,IF(N(E880)&gt;0,E880&amp;" x "&amp;F880,F880&amp;" reps"),IF(IF(N(H880)=0,0,IF(N(G880)&gt;0,G880*(1+H880/30),H880))=X880,IF(N(G880)&gt;0,G880&amp;" x "&amp;H880,H880&amp;" reps"),IF(IF(N(J880)=0,0,IF(N(I880)&gt;0,I880*(1+J880/30),J880))=X880,IF(N(I880)&gt;0,I880&amp;" x "&amp;J880,J880&amp;" reps"),IF(IF(N(L880)=0,0,IF(N(K880)&gt;0,K880*(1+L880/30),L880))=X880,IF(N(K880)&gt;0,K880&amp;" x "&amp;L880,L880&amp;" reps"),IF(IF(N(N880)=0,0,IF(N(M880)&gt;0,M880*(1+N880/30),N880))=X880,IF(N(M880)&gt;0,M880&amp;" x "&amp;N880,N880&amp;" reps"),""))))))</f>
        <v/>
      </c>
      <c r="R880" s="20">
        <f>IF(N(X880)=0,"",ROUND(X880,1))</f>
        <v/>
      </c>
      <c r="S880" s="18">
        <f>IF(N(X880)=0,"",IF(AND(COUNTIFS(Log!$D$6:$D$1505,D880,Log!$B$6:$B$1505,"&lt;"&amp;B880)&gt;0,COUNTIFS(Log!$D$6:$D$1505,D880,Log!$B$6:$B$1505,"&lt;"&amp;B880,Log!$X$6:$X$1505,"&gt;="&amp;X880)=0),"New best",""))</f>
        <v/>
      </c>
      <c r="T880" s="26" t="n"/>
      <c r="U880" s="1">
        <f>IF(D880="","",IFERROR(INDEX(Exercises!$C$6:$C$105,MATCH(D880,Exercises!$B$6:$B$105,0)),"Other"))</f>
        <v/>
      </c>
      <c r="V880">
        <f>IF(B880="","",IF(COUNTIF($B$6:B880,B880)=1,1,0))</f>
        <v/>
      </c>
      <c r="W880">
        <f>IF(B880="","",B880-WEEKDAY(B880,3))</f>
        <v/>
      </c>
      <c r="X880">
        <f>IF(D880="","",MAX(IF(N(F880)=0,0,IF(N(E880)&gt;0,E880*(1+F880/30),F880)),IF(N(H880)=0,0,IF(N(G880)&gt;0,G880*(1+H880/30),H880)),IF(N(J880)=0,0,IF(N(I880)&gt;0,I880*(1+J880/30),J880)),IF(N(L880)=0,0,IF(N(K880)&gt;0,K880*(1+L880/30),L880)),IF(N(N880)=0,0,IF(N(M880)&gt;0,M880*(1+N880/30),N880))))</f>
        <v/>
      </c>
      <c r="Y880">
        <f>IF(N(X880)=0,"",X880+ROW()/1000000000)</f>
        <v/>
      </c>
      <c r="Z880">
        <f>IF(Y880="","",IF(COUNTIFS(Log!$D$6:$D$1505,D880,Log!$Y$6:$Y$1505,"&gt;"&amp;Y880)=0,1,0))</f>
        <v/>
      </c>
      <c r="AA880">
        <f>IF(OR(B880="",D880=""),"",B880+ROW()/10000000)</f>
        <v/>
      </c>
      <c r="AB880">
        <f>IF(AA880="","",IF(COUNTIFS(Log!$D$6:$D$1505,D880,Log!$AA$6:$AA$1505,"&gt;"&amp;AA880)=0,1,0))</f>
        <v/>
      </c>
      <c r="AC880">
        <f>IF(S880="New best",AA880,"")</f>
        <v/>
      </c>
      <c r="AD880">
        <f>ROW()</f>
        <v/>
      </c>
    </row>
    <row r="881">
      <c r="A881" s="1" t="n"/>
      <c r="B881" s="21" t="n"/>
      <c r="C881" s="22" t="n"/>
      <c r="D881" s="23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15">
        <f>IF(D881="","",COUNT(F881,H881,J881,L881,N881))</f>
        <v/>
      </c>
      <c r="P881" s="25">
        <f>IF(D881="","",N(E881)*N(F881)+N(G881)*N(H881)+N(I881)*N(J881)+N(K881)*N(L881)+N(M881)*N(N881))</f>
        <v/>
      </c>
      <c r="Q881" s="18">
        <f>IF(N(X881)=0,"",IF(IF(N(F881)=0,0,IF(N(E881)&gt;0,E881*(1+F881/30),F881))=X881,IF(N(E881)&gt;0,E881&amp;" x "&amp;F881,F881&amp;" reps"),IF(IF(N(H881)=0,0,IF(N(G881)&gt;0,G881*(1+H881/30),H881))=X881,IF(N(G881)&gt;0,G881&amp;" x "&amp;H881,H881&amp;" reps"),IF(IF(N(J881)=0,0,IF(N(I881)&gt;0,I881*(1+J881/30),J881))=X881,IF(N(I881)&gt;0,I881&amp;" x "&amp;J881,J881&amp;" reps"),IF(IF(N(L881)=0,0,IF(N(K881)&gt;0,K881*(1+L881/30),L881))=X881,IF(N(K881)&gt;0,K881&amp;" x "&amp;L881,L881&amp;" reps"),IF(IF(N(N881)=0,0,IF(N(M881)&gt;0,M881*(1+N881/30),N881))=X881,IF(N(M881)&gt;0,M881&amp;" x "&amp;N881,N881&amp;" reps"),""))))))</f>
        <v/>
      </c>
      <c r="R881" s="20">
        <f>IF(N(X881)=0,"",ROUND(X881,1))</f>
        <v/>
      </c>
      <c r="S881" s="18">
        <f>IF(N(X881)=0,"",IF(AND(COUNTIFS(Log!$D$6:$D$1505,D881,Log!$B$6:$B$1505,"&lt;"&amp;B881)&gt;0,COUNTIFS(Log!$D$6:$D$1505,D881,Log!$B$6:$B$1505,"&lt;"&amp;B881,Log!$X$6:$X$1505,"&gt;="&amp;X881)=0),"New best",""))</f>
        <v/>
      </c>
      <c r="T881" s="26" t="n"/>
      <c r="U881" s="1">
        <f>IF(D881="","",IFERROR(INDEX(Exercises!$C$6:$C$105,MATCH(D881,Exercises!$B$6:$B$105,0)),"Other"))</f>
        <v/>
      </c>
      <c r="V881">
        <f>IF(B881="","",IF(COUNTIF($B$6:B881,B881)=1,1,0))</f>
        <v/>
      </c>
      <c r="W881">
        <f>IF(B881="","",B881-WEEKDAY(B881,3))</f>
        <v/>
      </c>
      <c r="X881">
        <f>IF(D881="","",MAX(IF(N(F881)=0,0,IF(N(E881)&gt;0,E881*(1+F881/30),F881)),IF(N(H881)=0,0,IF(N(G881)&gt;0,G881*(1+H881/30),H881)),IF(N(J881)=0,0,IF(N(I881)&gt;0,I881*(1+J881/30),J881)),IF(N(L881)=0,0,IF(N(K881)&gt;0,K881*(1+L881/30),L881)),IF(N(N881)=0,0,IF(N(M881)&gt;0,M881*(1+N881/30),N881))))</f>
        <v/>
      </c>
      <c r="Y881">
        <f>IF(N(X881)=0,"",X881+ROW()/1000000000)</f>
        <v/>
      </c>
      <c r="Z881">
        <f>IF(Y881="","",IF(COUNTIFS(Log!$D$6:$D$1505,D881,Log!$Y$6:$Y$1505,"&gt;"&amp;Y881)=0,1,0))</f>
        <v/>
      </c>
      <c r="AA881">
        <f>IF(OR(B881="",D881=""),"",B881+ROW()/10000000)</f>
        <v/>
      </c>
      <c r="AB881">
        <f>IF(AA881="","",IF(COUNTIFS(Log!$D$6:$D$1505,D881,Log!$AA$6:$AA$1505,"&gt;"&amp;AA881)=0,1,0))</f>
        <v/>
      </c>
      <c r="AC881">
        <f>IF(S881="New best",AA881,"")</f>
        <v/>
      </c>
      <c r="AD881">
        <f>ROW()</f>
        <v/>
      </c>
    </row>
    <row r="882">
      <c r="A882" s="1" t="n"/>
      <c r="B882" s="21" t="n"/>
      <c r="C882" s="22" t="n"/>
      <c r="D882" s="23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15">
        <f>IF(D882="","",COUNT(F882,H882,J882,L882,N882))</f>
        <v/>
      </c>
      <c r="P882" s="25">
        <f>IF(D882="","",N(E882)*N(F882)+N(G882)*N(H882)+N(I882)*N(J882)+N(K882)*N(L882)+N(M882)*N(N882))</f>
        <v/>
      </c>
      <c r="Q882" s="18">
        <f>IF(N(X882)=0,"",IF(IF(N(F882)=0,0,IF(N(E882)&gt;0,E882*(1+F882/30),F882))=X882,IF(N(E882)&gt;0,E882&amp;" x "&amp;F882,F882&amp;" reps"),IF(IF(N(H882)=0,0,IF(N(G882)&gt;0,G882*(1+H882/30),H882))=X882,IF(N(G882)&gt;0,G882&amp;" x "&amp;H882,H882&amp;" reps"),IF(IF(N(J882)=0,0,IF(N(I882)&gt;0,I882*(1+J882/30),J882))=X882,IF(N(I882)&gt;0,I882&amp;" x "&amp;J882,J882&amp;" reps"),IF(IF(N(L882)=0,0,IF(N(K882)&gt;0,K882*(1+L882/30),L882))=X882,IF(N(K882)&gt;0,K882&amp;" x "&amp;L882,L882&amp;" reps"),IF(IF(N(N882)=0,0,IF(N(M882)&gt;0,M882*(1+N882/30),N882))=X882,IF(N(M882)&gt;0,M882&amp;" x "&amp;N882,N882&amp;" reps"),""))))))</f>
        <v/>
      </c>
      <c r="R882" s="20">
        <f>IF(N(X882)=0,"",ROUND(X882,1))</f>
        <v/>
      </c>
      <c r="S882" s="18">
        <f>IF(N(X882)=0,"",IF(AND(COUNTIFS(Log!$D$6:$D$1505,D882,Log!$B$6:$B$1505,"&lt;"&amp;B882)&gt;0,COUNTIFS(Log!$D$6:$D$1505,D882,Log!$B$6:$B$1505,"&lt;"&amp;B882,Log!$X$6:$X$1505,"&gt;="&amp;X882)=0),"New best",""))</f>
        <v/>
      </c>
      <c r="T882" s="26" t="n"/>
      <c r="U882" s="1">
        <f>IF(D882="","",IFERROR(INDEX(Exercises!$C$6:$C$105,MATCH(D882,Exercises!$B$6:$B$105,0)),"Other"))</f>
        <v/>
      </c>
      <c r="V882">
        <f>IF(B882="","",IF(COUNTIF($B$6:B882,B882)=1,1,0))</f>
        <v/>
      </c>
      <c r="W882">
        <f>IF(B882="","",B882-WEEKDAY(B882,3))</f>
        <v/>
      </c>
      <c r="X882">
        <f>IF(D882="","",MAX(IF(N(F882)=0,0,IF(N(E882)&gt;0,E882*(1+F882/30),F882)),IF(N(H882)=0,0,IF(N(G882)&gt;0,G882*(1+H882/30),H882)),IF(N(J882)=0,0,IF(N(I882)&gt;0,I882*(1+J882/30),J882)),IF(N(L882)=0,0,IF(N(K882)&gt;0,K882*(1+L882/30),L882)),IF(N(N882)=0,0,IF(N(M882)&gt;0,M882*(1+N882/30),N882))))</f>
        <v/>
      </c>
      <c r="Y882">
        <f>IF(N(X882)=0,"",X882+ROW()/1000000000)</f>
        <v/>
      </c>
      <c r="Z882">
        <f>IF(Y882="","",IF(COUNTIFS(Log!$D$6:$D$1505,D882,Log!$Y$6:$Y$1505,"&gt;"&amp;Y882)=0,1,0))</f>
        <v/>
      </c>
      <c r="AA882">
        <f>IF(OR(B882="",D882=""),"",B882+ROW()/10000000)</f>
        <v/>
      </c>
      <c r="AB882">
        <f>IF(AA882="","",IF(COUNTIFS(Log!$D$6:$D$1505,D882,Log!$AA$6:$AA$1505,"&gt;"&amp;AA882)=0,1,0))</f>
        <v/>
      </c>
      <c r="AC882">
        <f>IF(S882="New best",AA882,"")</f>
        <v/>
      </c>
      <c r="AD882">
        <f>ROW()</f>
        <v/>
      </c>
    </row>
    <row r="883">
      <c r="A883" s="1" t="n"/>
      <c r="B883" s="21" t="n"/>
      <c r="C883" s="22" t="n"/>
      <c r="D883" s="23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15">
        <f>IF(D883="","",COUNT(F883,H883,J883,L883,N883))</f>
        <v/>
      </c>
      <c r="P883" s="25">
        <f>IF(D883="","",N(E883)*N(F883)+N(G883)*N(H883)+N(I883)*N(J883)+N(K883)*N(L883)+N(M883)*N(N883))</f>
        <v/>
      </c>
      <c r="Q883" s="18">
        <f>IF(N(X883)=0,"",IF(IF(N(F883)=0,0,IF(N(E883)&gt;0,E883*(1+F883/30),F883))=X883,IF(N(E883)&gt;0,E883&amp;" x "&amp;F883,F883&amp;" reps"),IF(IF(N(H883)=0,0,IF(N(G883)&gt;0,G883*(1+H883/30),H883))=X883,IF(N(G883)&gt;0,G883&amp;" x "&amp;H883,H883&amp;" reps"),IF(IF(N(J883)=0,0,IF(N(I883)&gt;0,I883*(1+J883/30),J883))=X883,IF(N(I883)&gt;0,I883&amp;" x "&amp;J883,J883&amp;" reps"),IF(IF(N(L883)=0,0,IF(N(K883)&gt;0,K883*(1+L883/30),L883))=X883,IF(N(K883)&gt;0,K883&amp;" x "&amp;L883,L883&amp;" reps"),IF(IF(N(N883)=0,0,IF(N(M883)&gt;0,M883*(1+N883/30),N883))=X883,IF(N(M883)&gt;0,M883&amp;" x "&amp;N883,N883&amp;" reps"),""))))))</f>
        <v/>
      </c>
      <c r="R883" s="20">
        <f>IF(N(X883)=0,"",ROUND(X883,1))</f>
        <v/>
      </c>
      <c r="S883" s="18">
        <f>IF(N(X883)=0,"",IF(AND(COUNTIFS(Log!$D$6:$D$1505,D883,Log!$B$6:$B$1505,"&lt;"&amp;B883)&gt;0,COUNTIFS(Log!$D$6:$D$1505,D883,Log!$B$6:$B$1505,"&lt;"&amp;B883,Log!$X$6:$X$1505,"&gt;="&amp;X883)=0),"New best",""))</f>
        <v/>
      </c>
      <c r="T883" s="26" t="n"/>
      <c r="U883" s="1">
        <f>IF(D883="","",IFERROR(INDEX(Exercises!$C$6:$C$105,MATCH(D883,Exercises!$B$6:$B$105,0)),"Other"))</f>
        <v/>
      </c>
      <c r="V883">
        <f>IF(B883="","",IF(COUNTIF($B$6:B883,B883)=1,1,0))</f>
        <v/>
      </c>
      <c r="W883">
        <f>IF(B883="","",B883-WEEKDAY(B883,3))</f>
        <v/>
      </c>
      <c r="X883">
        <f>IF(D883="","",MAX(IF(N(F883)=0,0,IF(N(E883)&gt;0,E883*(1+F883/30),F883)),IF(N(H883)=0,0,IF(N(G883)&gt;0,G883*(1+H883/30),H883)),IF(N(J883)=0,0,IF(N(I883)&gt;0,I883*(1+J883/30),J883)),IF(N(L883)=0,0,IF(N(K883)&gt;0,K883*(1+L883/30),L883)),IF(N(N883)=0,0,IF(N(M883)&gt;0,M883*(1+N883/30),N883))))</f>
        <v/>
      </c>
      <c r="Y883">
        <f>IF(N(X883)=0,"",X883+ROW()/1000000000)</f>
        <v/>
      </c>
      <c r="Z883">
        <f>IF(Y883="","",IF(COUNTIFS(Log!$D$6:$D$1505,D883,Log!$Y$6:$Y$1505,"&gt;"&amp;Y883)=0,1,0))</f>
        <v/>
      </c>
      <c r="AA883">
        <f>IF(OR(B883="",D883=""),"",B883+ROW()/10000000)</f>
        <v/>
      </c>
      <c r="AB883">
        <f>IF(AA883="","",IF(COUNTIFS(Log!$D$6:$D$1505,D883,Log!$AA$6:$AA$1505,"&gt;"&amp;AA883)=0,1,0))</f>
        <v/>
      </c>
      <c r="AC883">
        <f>IF(S883="New best",AA883,"")</f>
        <v/>
      </c>
      <c r="AD883">
        <f>ROW()</f>
        <v/>
      </c>
    </row>
    <row r="884">
      <c r="A884" s="1" t="n"/>
      <c r="B884" s="21" t="n"/>
      <c r="C884" s="22" t="n"/>
      <c r="D884" s="23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15">
        <f>IF(D884="","",COUNT(F884,H884,J884,L884,N884))</f>
        <v/>
      </c>
      <c r="P884" s="25">
        <f>IF(D884="","",N(E884)*N(F884)+N(G884)*N(H884)+N(I884)*N(J884)+N(K884)*N(L884)+N(M884)*N(N884))</f>
        <v/>
      </c>
      <c r="Q884" s="18">
        <f>IF(N(X884)=0,"",IF(IF(N(F884)=0,0,IF(N(E884)&gt;0,E884*(1+F884/30),F884))=X884,IF(N(E884)&gt;0,E884&amp;" x "&amp;F884,F884&amp;" reps"),IF(IF(N(H884)=0,0,IF(N(G884)&gt;0,G884*(1+H884/30),H884))=X884,IF(N(G884)&gt;0,G884&amp;" x "&amp;H884,H884&amp;" reps"),IF(IF(N(J884)=0,0,IF(N(I884)&gt;0,I884*(1+J884/30),J884))=X884,IF(N(I884)&gt;0,I884&amp;" x "&amp;J884,J884&amp;" reps"),IF(IF(N(L884)=0,0,IF(N(K884)&gt;0,K884*(1+L884/30),L884))=X884,IF(N(K884)&gt;0,K884&amp;" x "&amp;L884,L884&amp;" reps"),IF(IF(N(N884)=0,0,IF(N(M884)&gt;0,M884*(1+N884/30),N884))=X884,IF(N(M884)&gt;0,M884&amp;" x "&amp;N884,N884&amp;" reps"),""))))))</f>
        <v/>
      </c>
      <c r="R884" s="20">
        <f>IF(N(X884)=0,"",ROUND(X884,1))</f>
        <v/>
      </c>
      <c r="S884" s="18">
        <f>IF(N(X884)=0,"",IF(AND(COUNTIFS(Log!$D$6:$D$1505,D884,Log!$B$6:$B$1505,"&lt;"&amp;B884)&gt;0,COUNTIFS(Log!$D$6:$D$1505,D884,Log!$B$6:$B$1505,"&lt;"&amp;B884,Log!$X$6:$X$1505,"&gt;="&amp;X884)=0),"New best",""))</f>
        <v/>
      </c>
      <c r="T884" s="26" t="n"/>
      <c r="U884" s="1">
        <f>IF(D884="","",IFERROR(INDEX(Exercises!$C$6:$C$105,MATCH(D884,Exercises!$B$6:$B$105,0)),"Other"))</f>
        <v/>
      </c>
      <c r="V884">
        <f>IF(B884="","",IF(COUNTIF($B$6:B884,B884)=1,1,0))</f>
        <v/>
      </c>
      <c r="W884">
        <f>IF(B884="","",B884-WEEKDAY(B884,3))</f>
        <v/>
      </c>
      <c r="X884">
        <f>IF(D884="","",MAX(IF(N(F884)=0,0,IF(N(E884)&gt;0,E884*(1+F884/30),F884)),IF(N(H884)=0,0,IF(N(G884)&gt;0,G884*(1+H884/30),H884)),IF(N(J884)=0,0,IF(N(I884)&gt;0,I884*(1+J884/30),J884)),IF(N(L884)=0,0,IF(N(K884)&gt;0,K884*(1+L884/30),L884)),IF(N(N884)=0,0,IF(N(M884)&gt;0,M884*(1+N884/30),N884))))</f>
        <v/>
      </c>
      <c r="Y884">
        <f>IF(N(X884)=0,"",X884+ROW()/1000000000)</f>
        <v/>
      </c>
      <c r="Z884">
        <f>IF(Y884="","",IF(COUNTIFS(Log!$D$6:$D$1505,D884,Log!$Y$6:$Y$1505,"&gt;"&amp;Y884)=0,1,0))</f>
        <v/>
      </c>
      <c r="AA884">
        <f>IF(OR(B884="",D884=""),"",B884+ROW()/10000000)</f>
        <v/>
      </c>
      <c r="AB884">
        <f>IF(AA884="","",IF(COUNTIFS(Log!$D$6:$D$1505,D884,Log!$AA$6:$AA$1505,"&gt;"&amp;AA884)=0,1,0))</f>
        <v/>
      </c>
      <c r="AC884">
        <f>IF(S884="New best",AA884,"")</f>
        <v/>
      </c>
      <c r="AD884">
        <f>ROW()</f>
        <v/>
      </c>
    </row>
    <row r="885">
      <c r="A885" s="1" t="n"/>
      <c r="B885" s="21" t="n"/>
      <c r="C885" s="22" t="n"/>
      <c r="D885" s="23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15">
        <f>IF(D885="","",COUNT(F885,H885,J885,L885,N885))</f>
        <v/>
      </c>
      <c r="P885" s="25">
        <f>IF(D885="","",N(E885)*N(F885)+N(G885)*N(H885)+N(I885)*N(J885)+N(K885)*N(L885)+N(M885)*N(N885))</f>
        <v/>
      </c>
      <c r="Q885" s="18">
        <f>IF(N(X885)=0,"",IF(IF(N(F885)=0,0,IF(N(E885)&gt;0,E885*(1+F885/30),F885))=X885,IF(N(E885)&gt;0,E885&amp;" x "&amp;F885,F885&amp;" reps"),IF(IF(N(H885)=0,0,IF(N(G885)&gt;0,G885*(1+H885/30),H885))=X885,IF(N(G885)&gt;0,G885&amp;" x "&amp;H885,H885&amp;" reps"),IF(IF(N(J885)=0,0,IF(N(I885)&gt;0,I885*(1+J885/30),J885))=X885,IF(N(I885)&gt;0,I885&amp;" x "&amp;J885,J885&amp;" reps"),IF(IF(N(L885)=0,0,IF(N(K885)&gt;0,K885*(1+L885/30),L885))=X885,IF(N(K885)&gt;0,K885&amp;" x "&amp;L885,L885&amp;" reps"),IF(IF(N(N885)=0,0,IF(N(M885)&gt;0,M885*(1+N885/30),N885))=X885,IF(N(M885)&gt;0,M885&amp;" x "&amp;N885,N885&amp;" reps"),""))))))</f>
        <v/>
      </c>
      <c r="R885" s="20">
        <f>IF(N(X885)=0,"",ROUND(X885,1))</f>
        <v/>
      </c>
      <c r="S885" s="18">
        <f>IF(N(X885)=0,"",IF(AND(COUNTIFS(Log!$D$6:$D$1505,D885,Log!$B$6:$B$1505,"&lt;"&amp;B885)&gt;0,COUNTIFS(Log!$D$6:$D$1505,D885,Log!$B$6:$B$1505,"&lt;"&amp;B885,Log!$X$6:$X$1505,"&gt;="&amp;X885)=0),"New best",""))</f>
        <v/>
      </c>
      <c r="T885" s="26" t="n"/>
      <c r="U885" s="1">
        <f>IF(D885="","",IFERROR(INDEX(Exercises!$C$6:$C$105,MATCH(D885,Exercises!$B$6:$B$105,0)),"Other"))</f>
        <v/>
      </c>
      <c r="V885">
        <f>IF(B885="","",IF(COUNTIF($B$6:B885,B885)=1,1,0))</f>
        <v/>
      </c>
      <c r="W885">
        <f>IF(B885="","",B885-WEEKDAY(B885,3))</f>
        <v/>
      </c>
      <c r="X885">
        <f>IF(D885="","",MAX(IF(N(F885)=0,0,IF(N(E885)&gt;0,E885*(1+F885/30),F885)),IF(N(H885)=0,0,IF(N(G885)&gt;0,G885*(1+H885/30),H885)),IF(N(J885)=0,0,IF(N(I885)&gt;0,I885*(1+J885/30),J885)),IF(N(L885)=0,0,IF(N(K885)&gt;0,K885*(1+L885/30),L885)),IF(N(N885)=0,0,IF(N(M885)&gt;0,M885*(1+N885/30),N885))))</f>
        <v/>
      </c>
      <c r="Y885">
        <f>IF(N(X885)=0,"",X885+ROW()/1000000000)</f>
        <v/>
      </c>
      <c r="Z885">
        <f>IF(Y885="","",IF(COUNTIFS(Log!$D$6:$D$1505,D885,Log!$Y$6:$Y$1505,"&gt;"&amp;Y885)=0,1,0))</f>
        <v/>
      </c>
      <c r="AA885">
        <f>IF(OR(B885="",D885=""),"",B885+ROW()/10000000)</f>
        <v/>
      </c>
      <c r="AB885">
        <f>IF(AA885="","",IF(COUNTIFS(Log!$D$6:$D$1505,D885,Log!$AA$6:$AA$1505,"&gt;"&amp;AA885)=0,1,0))</f>
        <v/>
      </c>
      <c r="AC885">
        <f>IF(S885="New best",AA885,"")</f>
        <v/>
      </c>
      <c r="AD885">
        <f>ROW()</f>
        <v/>
      </c>
    </row>
    <row r="886">
      <c r="A886" s="1" t="n"/>
      <c r="B886" s="21" t="n"/>
      <c r="C886" s="22" t="n"/>
      <c r="D886" s="23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15">
        <f>IF(D886="","",COUNT(F886,H886,J886,L886,N886))</f>
        <v/>
      </c>
      <c r="P886" s="25">
        <f>IF(D886="","",N(E886)*N(F886)+N(G886)*N(H886)+N(I886)*N(J886)+N(K886)*N(L886)+N(M886)*N(N886))</f>
        <v/>
      </c>
      <c r="Q886" s="18">
        <f>IF(N(X886)=0,"",IF(IF(N(F886)=0,0,IF(N(E886)&gt;0,E886*(1+F886/30),F886))=X886,IF(N(E886)&gt;0,E886&amp;" x "&amp;F886,F886&amp;" reps"),IF(IF(N(H886)=0,0,IF(N(G886)&gt;0,G886*(1+H886/30),H886))=X886,IF(N(G886)&gt;0,G886&amp;" x "&amp;H886,H886&amp;" reps"),IF(IF(N(J886)=0,0,IF(N(I886)&gt;0,I886*(1+J886/30),J886))=X886,IF(N(I886)&gt;0,I886&amp;" x "&amp;J886,J886&amp;" reps"),IF(IF(N(L886)=0,0,IF(N(K886)&gt;0,K886*(1+L886/30),L886))=X886,IF(N(K886)&gt;0,K886&amp;" x "&amp;L886,L886&amp;" reps"),IF(IF(N(N886)=0,0,IF(N(M886)&gt;0,M886*(1+N886/30),N886))=X886,IF(N(M886)&gt;0,M886&amp;" x "&amp;N886,N886&amp;" reps"),""))))))</f>
        <v/>
      </c>
      <c r="R886" s="20">
        <f>IF(N(X886)=0,"",ROUND(X886,1))</f>
        <v/>
      </c>
      <c r="S886" s="18">
        <f>IF(N(X886)=0,"",IF(AND(COUNTIFS(Log!$D$6:$D$1505,D886,Log!$B$6:$B$1505,"&lt;"&amp;B886)&gt;0,COUNTIFS(Log!$D$6:$D$1505,D886,Log!$B$6:$B$1505,"&lt;"&amp;B886,Log!$X$6:$X$1505,"&gt;="&amp;X886)=0),"New best",""))</f>
        <v/>
      </c>
      <c r="T886" s="26" t="n"/>
      <c r="U886" s="1">
        <f>IF(D886="","",IFERROR(INDEX(Exercises!$C$6:$C$105,MATCH(D886,Exercises!$B$6:$B$105,0)),"Other"))</f>
        <v/>
      </c>
      <c r="V886">
        <f>IF(B886="","",IF(COUNTIF($B$6:B886,B886)=1,1,0))</f>
        <v/>
      </c>
      <c r="W886">
        <f>IF(B886="","",B886-WEEKDAY(B886,3))</f>
        <v/>
      </c>
      <c r="X886">
        <f>IF(D886="","",MAX(IF(N(F886)=0,0,IF(N(E886)&gt;0,E886*(1+F886/30),F886)),IF(N(H886)=0,0,IF(N(G886)&gt;0,G886*(1+H886/30),H886)),IF(N(J886)=0,0,IF(N(I886)&gt;0,I886*(1+J886/30),J886)),IF(N(L886)=0,0,IF(N(K886)&gt;0,K886*(1+L886/30),L886)),IF(N(N886)=0,0,IF(N(M886)&gt;0,M886*(1+N886/30),N886))))</f>
        <v/>
      </c>
      <c r="Y886">
        <f>IF(N(X886)=0,"",X886+ROW()/1000000000)</f>
        <v/>
      </c>
      <c r="Z886">
        <f>IF(Y886="","",IF(COUNTIFS(Log!$D$6:$D$1505,D886,Log!$Y$6:$Y$1505,"&gt;"&amp;Y886)=0,1,0))</f>
        <v/>
      </c>
      <c r="AA886">
        <f>IF(OR(B886="",D886=""),"",B886+ROW()/10000000)</f>
        <v/>
      </c>
      <c r="AB886">
        <f>IF(AA886="","",IF(COUNTIFS(Log!$D$6:$D$1505,D886,Log!$AA$6:$AA$1505,"&gt;"&amp;AA886)=0,1,0))</f>
        <v/>
      </c>
      <c r="AC886">
        <f>IF(S886="New best",AA886,"")</f>
        <v/>
      </c>
      <c r="AD886">
        <f>ROW()</f>
        <v/>
      </c>
    </row>
    <row r="887">
      <c r="A887" s="1" t="n"/>
      <c r="B887" s="21" t="n"/>
      <c r="C887" s="22" t="n"/>
      <c r="D887" s="23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15">
        <f>IF(D887="","",COUNT(F887,H887,J887,L887,N887))</f>
        <v/>
      </c>
      <c r="P887" s="25">
        <f>IF(D887="","",N(E887)*N(F887)+N(G887)*N(H887)+N(I887)*N(J887)+N(K887)*N(L887)+N(M887)*N(N887))</f>
        <v/>
      </c>
      <c r="Q887" s="18">
        <f>IF(N(X887)=0,"",IF(IF(N(F887)=0,0,IF(N(E887)&gt;0,E887*(1+F887/30),F887))=X887,IF(N(E887)&gt;0,E887&amp;" x "&amp;F887,F887&amp;" reps"),IF(IF(N(H887)=0,0,IF(N(G887)&gt;0,G887*(1+H887/30),H887))=X887,IF(N(G887)&gt;0,G887&amp;" x "&amp;H887,H887&amp;" reps"),IF(IF(N(J887)=0,0,IF(N(I887)&gt;0,I887*(1+J887/30),J887))=X887,IF(N(I887)&gt;0,I887&amp;" x "&amp;J887,J887&amp;" reps"),IF(IF(N(L887)=0,0,IF(N(K887)&gt;0,K887*(1+L887/30),L887))=X887,IF(N(K887)&gt;0,K887&amp;" x "&amp;L887,L887&amp;" reps"),IF(IF(N(N887)=0,0,IF(N(M887)&gt;0,M887*(1+N887/30),N887))=X887,IF(N(M887)&gt;0,M887&amp;" x "&amp;N887,N887&amp;" reps"),""))))))</f>
        <v/>
      </c>
      <c r="R887" s="20">
        <f>IF(N(X887)=0,"",ROUND(X887,1))</f>
        <v/>
      </c>
      <c r="S887" s="18">
        <f>IF(N(X887)=0,"",IF(AND(COUNTIFS(Log!$D$6:$D$1505,D887,Log!$B$6:$B$1505,"&lt;"&amp;B887)&gt;0,COUNTIFS(Log!$D$6:$D$1505,D887,Log!$B$6:$B$1505,"&lt;"&amp;B887,Log!$X$6:$X$1505,"&gt;="&amp;X887)=0),"New best",""))</f>
        <v/>
      </c>
      <c r="T887" s="26" t="n"/>
      <c r="U887" s="1">
        <f>IF(D887="","",IFERROR(INDEX(Exercises!$C$6:$C$105,MATCH(D887,Exercises!$B$6:$B$105,0)),"Other"))</f>
        <v/>
      </c>
      <c r="V887">
        <f>IF(B887="","",IF(COUNTIF($B$6:B887,B887)=1,1,0))</f>
        <v/>
      </c>
      <c r="W887">
        <f>IF(B887="","",B887-WEEKDAY(B887,3))</f>
        <v/>
      </c>
      <c r="X887">
        <f>IF(D887="","",MAX(IF(N(F887)=0,0,IF(N(E887)&gt;0,E887*(1+F887/30),F887)),IF(N(H887)=0,0,IF(N(G887)&gt;0,G887*(1+H887/30),H887)),IF(N(J887)=0,0,IF(N(I887)&gt;0,I887*(1+J887/30),J887)),IF(N(L887)=0,0,IF(N(K887)&gt;0,K887*(1+L887/30),L887)),IF(N(N887)=0,0,IF(N(M887)&gt;0,M887*(1+N887/30),N887))))</f>
        <v/>
      </c>
      <c r="Y887">
        <f>IF(N(X887)=0,"",X887+ROW()/1000000000)</f>
        <v/>
      </c>
      <c r="Z887">
        <f>IF(Y887="","",IF(COUNTIFS(Log!$D$6:$D$1505,D887,Log!$Y$6:$Y$1505,"&gt;"&amp;Y887)=0,1,0))</f>
        <v/>
      </c>
      <c r="AA887">
        <f>IF(OR(B887="",D887=""),"",B887+ROW()/10000000)</f>
        <v/>
      </c>
      <c r="AB887">
        <f>IF(AA887="","",IF(COUNTIFS(Log!$D$6:$D$1505,D887,Log!$AA$6:$AA$1505,"&gt;"&amp;AA887)=0,1,0))</f>
        <v/>
      </c>
      <c r="AC887">
        <f>IF(S887="New best",AA887,"")</f>
        <v/>
      </c>
      <c r="AD887">
        <f>ROW()</f>
        <v/>
      </c>
    </row>
    <row r="888">
      <c r="A888" s="1" t="n"/>
      <c r="B888" s="21" t="n"/>
      <c r="C888" s="22" t="n"/>
      <c r="D888" s="23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15">
        <f>IF(D888="","",COUNT(F888,H888,J888,L888,N888))</f>
        <v/>
      </c>
      <c r="P888" s="25">
        <f>IF(D888="","",N(E888)*N(F888)+N(G888)*N(H888)+N(I888)*N(J888)+N(K888)*N(L888)+N(M888)*N(N888))</f>
        <v/>
      </c>
      <c r="Q888" s="18">
        <f>IF(N(X888)=0,"",IF(IF(N(F888)=0,0,IF(N(E888)&gt;0,E888*(1+F888/30),F888))=X888,IF(N(E888)&gt;0,E888&amp;" x "&amp;F888,F888&amp;" reps"),IF(IF(N(H888)=0,0,IF(N(G888)&gt;0,G888*(1+H888/30),H888))=X888,IF(N(G888)&gt;0,G888&amp;" x "&amp;H888,H888&amp;" reps"),IF(IF(N(J888)=0,0,IF(N(I888)&gt;0,I888*(1+J888/30),J888))=X888,IF(N(I888)&gt;0,I888&amp;" x "&amp;J888,J888&amp;" reps"),IF(IF(N(L888)=0,0,IF(N(K888)&gt;0,K888*(1+L888/30),L888))=X888,IF(N(K888)&gt;0,K888&amp;" x "&amp;L888,L888&amp;" reps"),IF(IF(N(N888)=0,0,IF(N(M888)&gt;0,M888*(1+N888/30),N888))=X888,IF(N(M888)&gt;0,M888&amp;" x "&amp;N888,N888&amp;" reps"),""))))))</f>
        <v/>
      </c>
      <c r="R888" s="20">
        <f>IF(N(X888)=0,"",ROUND(X888,1))</f>
        <v/>
      </c>
      <c r="S888" s="18">
        <f>IF(N(X888)=0,"",IF(AND(COUNTIFS(Log!$D$6:$D$1505,D888,Log!$B$6:$B$1505,"&lt;"&amp;B888)&gt;0,COUNTIFS(Log!$D$6:$D$1505,D888,Log!$B$6:$B$1505,"&lt;"&amp;B888,Log!$X$6:$X$1505,"&gt;="&amp;X888)=0),"New best",""))</f>
        <v/>
      </c>
      <c r="T888" s="26" t="n"/>
      <c r="U888" s="1">
        <f>IF(D888="","",IFERROR(INDEX(Exercises!$C$6:$C$105,MATCH(D888,Exercises!$B$6:$B$105,0)),"Other"))</f>
        <v/>
      </c>
      <c r="V888">
        <f>IF(B888="","",IF(COUNTIF($B$6:B888,B888)=1,1,0))</f>
        <v/>
      </c>
      <c r="W888">
        <f>IF(B888="","",B888-WEEKDAY(B888,3))</f>
        <v/>
      </c>
      <c r="X888">
        <f>IF(D888="","",MAX(IF(N(F888)=0,0,IF(N(E888)&gt;0,E888*(1+F888/30),F888)),IF(N(H888)=0,0,IF(N(G888)&gt;0,G888*(1+H888/30),H888)),IF(N(J888)=0,0,IF(N(I888)&gt;0,I888*(1+J888/30),J888)),IF(N(L888)=0,0,IF(N(K888)&gt;0,K888*(1+L888/30),L888)),IF(N(N888)=0,0,IF(N(M888)&gt;0,M888*(1+N888/30),N888))))</f>
        <v/>
      </c>
      <c r="Y888">
        <f>IF(N(X888)=0,"",X888+ROW()/1000000000)</f>
        <v/>
      </c>
      <c r="Z888">
        <f>IF(Y888="","",IF(COUNTIFS(Log!$D$6:$D$1505,D888,Log!$Y$6:$Y$1505,"&gt;"&amp;Y888)=0,1,0))</f>
        <v/>
      </c>
      <c r="AA888">
        <f>IF(OR(B888="",D888=""),"",B888+ROW()/10000000)</f>
        <v/>
      </c>
      <c r="AB888">
        <f>IF(AA888="","",IF(COUNTIFS(Log!$D$6:$D$1505,D888,Log!$AA$6:$AA$1505,"&gt;"&amp;AA888)=0,1,0))</f>
        <v/>
      </c>
      <c r="AC888">
        <f>IF(S888="New best",AA888,"")</f>
        <v/>
      </c>
      <c r="AD888">
        <f>ROW()</f>
        <v/>
      </c>
    </row>
    <row r="889">
      <c r="A889" s="1" t="n"/>
      <c r="B889" s="21" t="n"/>
      <c r="C889" s="22" t="n"/>
      <c r="D889" s="23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15">
        <f>IF(D889="","",COUNT(F889,H889,J889,L889,N889))</f>
        <v/>
      </c>
      <c r="P889" s="25">
        <f>IF(D889="","",N(E889)*N(F889)+N(G889)*N(H889)+N(I889)*N(J889)+N(K889)*N(L889)+N(M889)*N(N889))</f>
        <v/>
      </c>
      <c r="Q889" s="18">
        <f>IF(N(X889)=0,"",IF(IF(N(F889)=0,0,IF(N(E889)&gt;0,E889*(1+F889/30),F889))=X889,IF(N(E889)&gt;0,E889&amp;" x "&amp;F889,F889&amp;" reps"),IF(IF(N(H889)=0,0,IF(N(G889)&gt;0,G889*(1+H889/30),H889))=X889,IF(N(G889)&gt;0,G889&amp;" x "&amp;H889,H889&amp;" reps"),IF(IF(N(J889)=0,0,IF(N(I889)&gt;0,I889*(1+J889/30),J889))=X889,IF(N(I889)&gt;0,I889&amp;" x "&amp;J889,J889&amp;" reps"),IF(IF(N(L889)=0,0,IF(N(K889)&gt;0,K889*(1+L889/30),L889))=X889,IF(N(K889)&gt;0,K889&amp;" x "&amp;L889,L889&amp;" reps"),IF(IF(N(N889)=0,0,IF(N(M889)&gt;0,M889*(1+N889/30),N889))=X889,IF(N(M889)&gt;0,M889&amp;" x "&amp;N889,N889&amp;" reps"),""))))))</f>
        <v/>
      </c>
      <c r="R889" s="20">
        <f>IF(N(X889)=0,"",ROUND(X889,1))</f>
        <v/>
      </c>
      <c r="S889" s="18">
        <f>IF(N(X889)=0,"",IF(AND(COUNTIFS(Log!$D$6:$D$1505,D889,Log!$B$6:$B$1505,"&lt;"&amp;B889)&gt;0,COUNTIFS(Log!$D$6:$D$1505,D889,Log!$B$6:$B$1505,"&lt;"&amp;B889,Log!$X$6:$X$1505,"&gt;="&amp;X889)=0),"New best",""))</f>
        <v/>
      </c>
      <c r="T889" s="26" t="n"/>
      <c r="U889" s="1">
        <f>IF(D889="","",IFERROR(INDEX(Exercises!$C$6:$C$105,MATCH(D889,Exercises!$B$6:$B$105,0)),"Other"))</f>
        <v/>
      </c>
      <c r="V889">
        <f>IF(B889="","",IF(COUNTIF($B$6:B889,B889)=1,1,0))</f>
        <v/>
      </c>
      <c r="W889">
        <f>IF(B889="","",B889-WEEKDAY(B889,3))</f>
        <v/>
      </c>
      <c r="X889">
        <f>IF(D889="","",MAX(IF(N(F889)=0,0,IF(N(E889)&gt;0,E889*(1+F889/30),F889)),IF(N(H889)=0,0,IF(N(G889)&gt;0,G889*(1+H889/30),H889)),IF(N(J889)=0,0,IF(N(I889)&gt;0,I889*(1+J889/30),J889)),IF(N(L889)=0,0,IF(N(K889)&gt;0,K889*(1+L889/30),L889)),IF(N(N889)=0,0,IF(N(M889)&gt;0,M889*(1+N889/30),N889))))</f>
        <v/>
      </c>
      <c r="Y889">
        <f>IF(N(X889)=0,"",X889+ROW()/1000000000)</f>
        <v/>
      </c>
      <c r="Z889">
        <f>IF(Y889="","",IF(COUNTIFS(Log!$D$6:$D$1505,D889,Log!$Y$6:$Y$1505,"&gt;"&amp;Y889)=0,1,0))</f>
        <v/>
      </c>
      <c r="AA889">
        <f>IF(OR(B889="",D889=""),"",B889+ROW()/10000000)</f>
        <v/>
      </c>
      <c r="AB889">
        <f>IF(AA889="","",IF(COUNTIFS(Log!$D$6:$D$1505,D889,Log!$AA$6:$AA$1505,"&gt;"&amp;AA889)=0,1,0))</f>
        <v/>
      </c>
      <c r="AC889">
        <f>IF(S889="New best",AA889,"")</f>
        <v/>
      </c>
      <c r="AD889">
        <f>ROW()</f>
        <v/>
      </c>
    </row>
    <row r="890">
      <c r="A890" s="1" t="n"/>
      <c r="B890" s="21" t="n"/>
      <c r="C890" s="22" t="n"/>
      <c r="D890" s="23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15">
        <f>IF(D890="","",COUNT(F890,H890,J890,L890,N890))</f>
        <v/>
      </c>
      <c r="P890" s="25">
        <f>IF(D890="","",N(E890)*N(F890)+N(G890)*N(H890)+N(I890)*N(J890)+N(K890)*N(L890)+N(M890)*N(N890))</f>
        <v/>
      </c>
      <c r="Q890" s="18">
        <f>IF(N(X890)=0,"",IF(IF(N(F890)=0,0,IF(N(E890)&gt;0,E890*(1+F890/30),F890))=X890,IF(N(E890)&gt;0,E890&amp;" x "&amp;F890,F890&amp;" reps"),IF(IF(N(H890)=0,0,IF(N(G890)&gt;0,G890*(1+H890/30),H890))=X890,IF(N(G890)&gt;0,G890&amp;" x "&amp;H890,H890&amp;" reps"),IF(IF(N(J890)=0,0,IF(N(I890)&gt;0,I890*(1+J890/30),J890))=X890,IF(N(I890)&gt;0,I890&amp;" x "&amp;J890,J890&amp;" reps"),IF(IF(N(L890)=0,0,IF(N(K890)&gt;0,K890*(1+L890/30),L890))=X890,IF(N(K890)&gt;0,K890&amp;" x "&amp;L890,L890&amp;" reps"),IF(IF(N(N890)=0,0,IF(N(M890)&gt;0,M890*(1+N890/30),N890))=X890,IF(N(M890)&gt;0,M890&amp;" x "&amp;N890,N890&amp;" reps"),""))))))</f>
        <v/>
      </c>
      <c r="R890" s="20">
        <f>IF(N(X890)=0,"",ROUND(X890,1))</f>
        <v/>
      </c>
      <c r="S890" s="18">
        <f>IF(N(X890)=0,"",IF(AND(COUNTIFS(Log!$D$6:$D$1505,D890,Log!$B$6:$B$1505,"&lt;"&amp;B890)&gt;0,COUNTIFS(Log!$D$6:$D$1505,D890,Log!$B$6:$B$1505,"&lt;"&amp;B890,Log!$X$6:$X$1505,"&gt;="&amp;X890)=0),"New best",""))</f>
        <v/>
      </c>
      <c r="T890" s="26" t="n"/>
      <c r="U890" s="1">
        <f>IF(D890="","",IFERROR(INDEX(Exercises!$C$6:$C$105,MATCH(D890,Exercises!$B$6:$B$105,0)),"Other"))</f>
        <v/>
      </c>
      <c r="V890">
        <f>IF(B890="","",IF(COUNTIF($B$6:B890,B890)=1,1,0))</f>
        <v/>
      </c>
      <c r="W890">
        <f>IF(B890="","",B890-WEEKDAY(B890,3))</f>
        <v/>
      </c>
      <c r="X890">
        <f>IF(D890="","",MAX(IF(N(F890)=0,0,IF(N(E890)&gt;0,E890*(1+F890/30),F890)),IF(N(H890)=0,0,IF(N(G890)&gt;0,G890*(1+H890/30),H890)),IF(N(J890)=0,0,IF(N(I890)&gt;0,I890*(1+J890/30),J890)),IF(N(L890)=0,0,IF(N(K890)&gt;0,K890*(1+L890/30),L890)),IF(N(N890)=0,0,IF(N(M890)&gt;0,M890*(1+N890/30),N890))))</f>
        <v/>
      </c>
      <c r="Y890">
        <f>IF(N(X890)=0,"",X890+ROW()/1000000000)</f>
        <v/>
      </c>
      <c r="Z890">
        <f>IF(Y890="","",IF(COUNTIFS(Log!$D$6:$D$1505,D890,Log!$Y$6:$Y$1505,"&gt;"&amp;Y890)=0,1,0))</f>
        <v/>
      </c>
      <c r="AA890">
        <f>IF(OR(B890="",D890=""),"",B890+ROW()/10000000)</f>
        <v/>
      </c>
      <c r="AB890">
        <f>IF(AA890="","",IF(COUNTIFS(Log!$D$6:$D$1505,D890,Log!$AA$6:$AA$1505,"&gt;"&amp;AA890)=0,1,0))</f>
        <v/>
      </c>
      <c r="AC890">
        <f>IF(S890="New best",AA890,"")</f>
        <v/>
      </c>
      <c r="AD890">
        <f>ROW()</f>
        <v/>
      </c>
    </row>
    <row r="891">
      <c r="A891" s="1" t="n"/>
      <c r="B891" s="21" t="n"/>
      <c r="C891" s="22" t="n"/>
      <c r="D891" s="23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15">
        <f>IF(D891="","",COUNT(F891,H891,J891,L891,N891))</f>
        <v/>
      </c>
      <c r="P891" s="25">
        <f>IF(D891="","",N(E891)*N(F891)+N(G891)*N(H891)+N(I891)*N(J891)+N(K891)*N(L891)+N(M891)*N(N891))</f>
        <v/>
      </c>
      <c r="Q891" s="18">
        <f>IF(N(X891)=0,"",IF(IF(N(F891)=0,0,IF(N(E891)&gt;0,E891*(1+F891/30),F891))=X891,IF(N(E891)&gt;0,E891&amp;" x "&amp;F891,F891&amp;" reps"),IF(IF(N(H891)=0,0,IF(N(G891)&gt;0,G891*(1+H891/30),H891))=X891,IF(N(G891)&gt;0,G891&amp;" x "&amp;H891,H891&amp;" reps"),IF(IF(N(J891)=0,0,IF(N(I891)&gt;0,I891*(1+J891/30),J891))=X891,IF(N(I891)&gt;0,I891&amp;" x "&amp;J891,J891&amp;" reps"),IF(IF(N(L891)=0,0,IF(N(K891)&gt;0,K891*(1+L891/30),L891))=X891,IF(N(K891)&gt;0,K891&amp;" x "&amp;L891,L891&amp;" reps"),IF(IF(N(N891)=0,0,IF(N(M891)&gt;0,M891*(1+N891/30),N891))=X891,IF(N(M891)&gt;0,M891&amp;" x "&amp;N891,N891&amp;" reps"),""))))))</f>
        <v/>
      </c>
      <c r="R891" s="20">
        <f>IF(N(X891)=0,"",ROUND(X891,1))</f>
        <v/>
      </c>
      <c r="S891" s="18">
        <f>IF(N(X891)=0,"",IF(AND(COUNTIFS(Log!$D$6:$D$1505,D891,Log!$B$6:$B$1505,"&lt;"&amp;B891)&gt;0,COUNTIFS(Log!$D$6:$D$1505,D891,Log!$B$6:$B$1505,"&lt;"&amp;B891,Log!$X$6:$X$1505,"&gt;="&amp;X891)=0),"New best",""))</f>
        <v/>
      </c>
      <c r="T891" s="26" t="n"/>
      <c r="U891" s="1">
        <f>IF(D891="","",IFERROR(INDEX(Exercises!$C$6:$C$105,MATCH(D891,Exercises!$B$6:$B$105,0)),"Other"))</f>
        <v/>
      </c>
      <c r="V891">
        <f>IF(B891="","",IF(COUNTIF($B$6:B891,B891)=1,1,0))</f>
        <v/>
      </c>
      <c r="W891">
        <f>IF(B891="","",B891-WEEKDAY(B891,3))</f>
        <v/>
      </c>
      <c r="X891">
        <f>IF(D891="","",MAX(IF(N(F891)=0,0,IF(N(E891)&gt;0,E891*(1+F891/30),F891)),IF(N(H891)=0,0,IF(N(G891)&gt;0,G891*(1+H891/30),H891)),IF(N(J891)=0,0,IF(N(I891)&gt;0,I891*(1+J891/30),J891)),IF(N(L891)=0,0,IF(N(K891)&gt;0,K891*(1+L891/30),L891)),IF(N(N891)=0,0,IF(N(M891)&gt;0,M891*(1+N891/30),N891))))</f>
        <v/>
      </c>
      <c r="Y891">
        <f>IF(N(X891)=0,"",X891+ROW()/1000000000)</f>
        <v/>
      </c>
      <c r="Z891">
        <f>IF(Y891="","",IF(COUNTIFS(Log!$D$6:$D$1505,D891,Log!$Y$6:$Y$1505,"&gt;"&amp;Y891)=0,1,0))</f>
        <v/>
      </c>
      <c r="AA891">
        <f>IF(OR(B891="",D891=""),"",B891+ROW()/10000000)</f>
        <v/>
      </c>
      <c r="AB891">
        <f>IF(AA891="","",IF(COUNTIFS(Log!$D$6:$D$1505,D891,Log!$AA$6:$AA$1505,"&gt;"&amp;AA891)=0,1,0))</f>
        <v/>
      </c>
      <c r="AC891">
        <f>IF(S891="New best",AA891,"")</f>
        <v/>
      </c>
      <c r="AD891">
        <f>ROW()</f>
        <v/>
      </c>
    </row>
    <row r="892">
      <c r="A892" s="1" t="n"/>
      <c r="B892" s="21" t="n"/>
      <c r="C892" s="22" t="n"/>
      <c r="D892" s="23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15">
        <f>IF(D892="","",COUNT(F892,H892,J892,L892,N892))</f>
        <v/>
      </c>
      <c r="P892" s="25">
        <f>IF(D892="","",N(E892)*N(F892)+N(G892)*N(H892)+N(I892)*N(J892)+N(K892)*N(L892)+N(M892)*N(N892))</f>
        <v/>
      </c>
      <c r="Q892" s="18">
        <f>IF(N(X892)=0,"",IF(IF(N(F892)=0,0,IF(N(E892)&gt;0,E892*(1+F892/30),F892))=X892,IF(N(E892)&gt;0,E892&amp;" x "&amp;F892,F892&amp;" reps"),IF(IF(N(H892)=0,0,IF(N(G892)&gt;0,G892*(1+H892/30),H892))=X892,IF(N(G892)&gt;0,G892&amp;" x "&amp;H892,H892&amp;" reps"),IF(IF(N(J892)=0,0,IF(N(I892)&gt;0,I892*(1+J892/30),J892))=X892,IF(N(I892)&gt;0,I892&amp;" x "&amp;J892,J892&amp;" reps"),IF(IF(N(L892)=0,0,IF(N(K892)&gt;0,K892*(1+L892/30),L892))=X892,IF(N(K892)&gt;0,K892&amp;" x "&amp;L892,L892&amp;" reps"),IF(IF(N(N892)=0,0,IF(N(M892)&gt;0,M892*(1+N892/30),N892))=X892,IF(N(M892)&gt;0,M892&amp;" x "&amp;N892,N892&amp;" reps"),""))))))</f>
        <v/>
      </c>
      <c r="R892" s="20">
        <f>IF(N(X892)=0,"",ROUND(X892,1))</f>
        <v/>
      </c>
      <c r="S892" s="18">
        <f>IF(N(X892)=0,"",IF(AND(COUNTIFS(Log!$D$6:$D$1505,D892,Log!$B$6:$B$1505,"&lt;"&amp;B892)&gt;0,COUNTIFS(Log!$D$6:$D$1505,D892,Log!$B$6:$B$1505,"&lt;"&amp;B892,Log!$X$6:$X$1505,"&gt;="&amp;X892)=0),"New best",""))</f>
        <v/>
      </c>
      <c r="T892" s="26" t="n"/>
      <c r="U892" s="1">
        <f>IF(D892="","",IFERROR(INDEX(Exercises!$C$6:$C$105,MATCH(D892,Exercises!$B$6:$B$105,0)),"Other"))</f>
        <v/>
      </c>
      <c r="V892">
        <f>IF(B892="","",IF(COUNTIF($B$6:B892,B892)=1,1,0))</f>
        <v/>
      </c>
      <c r="W892">
        <f>IF(B892="","",B892-WEEKDAY(B892,3))</f>
        <v/>
      </c>
      <c r="X892">
        <f>IF(D892="","",MAX(IF(N(F892)=0,0,IF(N(E892)&gt;0,E892*(1+F892/30),F892)),IF(N(H892)=0,0,IF(N(G892)&gt;0,G892*(1+H892/30),H892)),IF(N(J892)=0,0,IF(N(I892)&gt;0,I892*(1+J892/30),J892)),IF(N(L892)=0,0,IF(N(K892)&gt;0,K892*(1+L892/30),L892)),IF(N(N892)=0,0,IF(N(M892)&gt;0,M892*(1+N892/30),N892))))</f>
        <v/>
      </c>
      <c r="Y892">
        <f>IF(N(X892)=0,"",X892+ROW()/1000000000)</f>
        <v/>
      </c>
      <c r="Z892">
        <f>IF(Y892="","",IF(COUNTIFS(Log!$D$6:$D$1505,D892,Log!$Y$6:$Y$1505,"&gt;"&amp;Y892)=0,1,0))</f>
        <v/>
      </c>
      <c r="AA892">
        <f>IF(OR(B892="",D892=""),"",B892+ROW()/10000000)</f>
        <v/>
      </c>
      <c r="AB892">
        <f>IF(AA892="","",IF(COUNTIFS(Log!$D$6:$D$1505,D892,Log!$AA$6:$AA$1505,"&gt;"&amp;AA892)=0,1,0))</f>
        <v/>
      </c>
      <c r="AC892">
        <f>IF(S892="New best",AA892,"")</f>
        <v/>
      </c>
      <c r="AD892">
        <f>ROW()</f>
        <v/>
      </c>
    </row>
    <row r="893">
      <c r="A893" s="1" t="n"/>
      <c r="B893" s="21" t="n"/>
      <c r="C893" s="22" t="n"/>
      <c r="D893" s="23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15">
        <f>IF(D893="","",COUNT(F893,H893,J893,L893,N893))</f>
        <v/>
      </c>
      <c r="P893" s="25">
        <f>IF(D893="","",N(E893)*N(F893)+N(G893)*N(H893)+N(I893)*N(J893)+N(K893)*N(L893)+N(M893)*N(N893))</f>
        <v/>
      </c>
      <c r="Q893" s="18">
        <f>IF(N(X893)=0,"",IF(IF(N(F893)=0,0,IF(N(E893)&gt;0,E893*(1+F893/30),F893))=X893,IF(N(E893)&gt;0,E893&amp;" x "&amp;F893,F893&amp;" reps"),IF(IF(N(H893)=0,0,IF(N(G893)&gt;0,G893*(1+H893/30),H893))=X893,IF(N(G893)&gt;0,G893&amp;" x "&amp;H893,H893&amp;" reps"),IF(IF(N(J893)=0,0,IF(N(I893)&gt;0,I893*(1+J893/30),J893))=X893,IF(N(I893)&gt;0,I893&amp;" x "&amp;J893,J893&amp;" reps"),IF(IF(N(L893)=0,0,IF(N(K893)&gt;0,K893*(1+L893/30),L893))=X893,IF(N(K893)&gt;0,K893&amp;" x "&amp;L893,L893&amp;" reps"),IF(IF(N(N893)=0,0,IF(N(M893)&gt;0,M893*(1+N893/30),N893))=X893,IF(N(M893)&gt;0,M893&amp;" x "&amp;N893,N893&amp;" reps"),""))))))</f>
        <v/>
      </c>
      <c r="R893" s="20">
        <f>IF(N(X893)=0,"",ROUND(X893,1))</f>
        <v/>
      </c>
      <c r="S893" s="18">
        <f>IF(N(X893)=0,"",IF(AND(COUNTIFS(Log!$D$6:$D$1505,D893,Log!$B$6:$B$1505,"&lt;"&amp;B893)&gt;0,COUNTIFS(Log!$D$6:$D$1505,D893,Log!$B$6:$B$1505,"&lt;"&amp;B893,Log!$X$6:$X$1505,"&gt;="&amp;X893)=0),"New best",""))</f>
        <v/>
      </c>
      <c r="T893" s="26" t="n"/>
      <c r="U893" s="1">
        <f>IF(D893="","",IFERROR(INDEX(Exercises!$C$6:$C$105,MATCH(D893,Exercises!$B$6:$B$105,0)),"Other"))</f>
        <v/>
      </c>
      <c r="V893">
        <f>IF(B893="","",IF(COUNTIF($B$6:B893,B893)=1,1,0))</f>
        <v/>
      </c>
      <c r="W893">
        <f>IF(B893="","",B893-WEEKDAY(B893,3))</f>
        <v/>
      </c>
      <c r="X893">
        <f>IF(D893="","",MAX(IF(N(F893)=0,0,IF(N(E893)&gt;0,E893*(1+F893/30),F893)),IF(N(H893)=0,0,IF(N(G893)&gt;0,G893*(1+H893/30),H893)),IF(N(J893)=0,0,IF(N(I893)&gt;0,I893*(1+J893/30),J893)),IF(N(L893)=0,0,IF(N(K893)&gt;0,K893*(1+L893/30),L893)),IF(N(N893)=0,0,IF(N(M893)&gt;0,M893*(1+N893/30),N893))))</f>
        <v/>
      </c>
      <c r="Y893">
        <f>IF(N(X893)=0,"",X893+ROW()/1000000000)</f>
        <v/>
      </c>
      <c r="Z893">
        <f>IF(Y893="","",IF(COUNTIFS(Log!$D$6:$D$1505,D893,Log!$Y$6:$Y$1505,"&gt;"&amp;Y893)=0,1,0))</f>
        <v/>
      </c>
      <c r="AA893">
        <f>IF(OR(B893="",D893=""),"",B893+ROW()/10000000)</f>
        <v/>
      </c>
      <c r="AB893">
        <f>IF(AA893="","",IF(COUNTIFS(Log!$D$6:$D$1505,D893,Log!$AA$6:$AA$1505,"&gt;"&amp;AA893)=0,1,0))</f>
        <v/>
      </c>
      <c r="AC893">
        <f>IF(S893="New best",AA893,"")</f>
        <v/>
      </c>
      <c r="AD893">
        <f>ROW()</f>
        <v/>
      </c>
    </row>
    <row r="894">
      <c r="A894" s="1" t="n"/>
      <c r="B894" s="21" t="n"/>
      <c r="C894" s="22" t="n"/>
      <c r="D894" s="23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15">
        <f>IF(D894="","",COUNT(F894,H894,J894,L894,N894))</f>
        <v/>
      </c>
      <c r="P894" s="25">
        <f>IF(D894="","",N(E894)*N(F894)+N(G894)*N(H894)+N(I894)*N(J894)+N(K894)*N(L894)+N(M894)*N(N894))</f>
        <v/>
      </c>
      <c r="Q894" s="18">
        <f>IF(N(X894)=0,"",IF(IF(N(F894)=0,0,IF(N(E894)&gt;0,E894*(1+F894/30),F894))=X894,IF(N(E894)&gt;0,E894&amp;" x "&amp;F894,F894&amp;" reps"),IF(IF(N(H894)=0,0,IF(N(G894)&gt;0,G894*(1+H894/30),H894))=X894,IF(N(G894)&gt;0,G894&amp;" x "&amp;H894,H894&amp;" reps"),IF(IF(N(J894)=0,0,IF(N(I894)&gt;0,I894*(1+J894/30),J894))=X894,IF(N(I894)&gt;0,I894&amp;" x "&amp;J894,J894&amp;" reps"),IF(IF(N(L894)=0,0,IF(N(K894)&gt;0,K894*(1+L894/30),L894))=X894,IF(N(K894)&gt;0,K894&amp;" x "&amp;L894,L894&amp;" reps"),IF(IF(N(N894)=0,0,IF(N(M894)&gt;0,M894*(1+N894/30),N894))=X894,IF(N(M894)&gt;0,M894&amp;" x "&amp;N894,N894&amp;" reps"),""))))))</f>
        <v/>
      </c>
      <c r="R894" s="20">
        <f>IF(N(X894)=0,"",ROUND(X894,1))</f>
        <v/>
      </c>
      <c r="S894" s="18">
        <f>IF(N(X894)=0,"",IF(AND(COUNTIFS(Log!$D$6:$D$1505,D894,Log!$B$6:$B$1505,"&lt;"&amp;B894)&gt;0,COUNTIFS(Log!$D$6:$D$1505,D894,Log!$B$6:$B$1505,"&lt;"&amp;B894,Log!$X$6:$X$1505,"&gt;="&amp;X894)=0),"New best",""))</f>
        <v/>
      </c>
      <c r="T894" s="26" t="n"/>
      <c r="U894" s="1">
        <f>IF(D894="","",IFERROR(INDEX(Exercises!$C$6:$C$105,MATCH(D894,Exercises!$B$6:$B$105,0)),"Other"))</f>
        <v/>
      </c>
      <c r="V894">
        <f>IF(B894="","",IF(COUNTIF($B$6:B894,B894)=1,1,0))</f>
        <v/>
      </c>
      <c r="W894">
        <f>IF(B894="","",B894-WEEKDAY(B894,3))</f>
        <v/>
      </c>
      <c r="X894">
        <f>IF(D894="","",MAX(IF(N(F894)=0,0,IF(N(E894)&gt;0,E894*(1+F894/30),F894)),IF(N(H894)=0,0,IF(N(G894)&gt;0,G894*(1+H894/30),H894)),IF(N(J894)=0,0,IF(N(I894)&gt;0,I894*(1+J894/30),J894)),IF(N(L894)=0,0,IF(N(K894)&gt;0,K894*(1+L894/30),L894)),IF(N(N894)=0,0,IF(N(M894)&gt;0,M894*(1+N894/30),N894))))</f>
        <v/>
      </c>
      <c r="Y894">
        <f>IF(N(X894)=0,"",X894+ROW()/1000000000)</f>
        <v/>
      </c>
      <c r="Z894">
        <f>IF(Y894="","",IF(COUNTIFS(Log!$D$6:$D$1505,D894,Log!$Y$6:$Y$1505,"&gt;"&amp;Y894)=0,1,0))</f>
        <v/>
      </c>
      <c r="AA894">
        <f>IF(OR(B894="",D894=""),"",B894+ROW()/10000000)</f>
        <v/>
      </c>
      <c r="AB894">
        <f>IF(AA894="","",IF(COUNTIFS(Log!$D$6:$D$1505,D894,Log!$AA$6:$AA$1505,"&gt;"&amp;AA894)=0,1,0))</f>
        <v/>
      </c>
      <c r="AC894">
        <f>IF(S894="New best",AA894,"")</f>
        <v/>
      </c>
      <c r="AD894">
        <f>ROW()</f>
        <v/>
      </c>
    </row>
    <row r="895">
      <c r="A895" s="1" t="n"/>
      <c r="B895" s="21" t="n"/>
      <c r="C895" s="22" t="n"/>
      <c r="D895" s="23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15">
        <f>IF(D895="","",COUNT(F895,H895,J895,L895,N895))</f>
        <v/>
      </c>
      <c r="P895" s="25">
        <f>IF(D895="","",N(E895)*N(F895)+N(G895)*N(H895)+N(I895)*N(J895)+N(K895)*N(L895)+N(M895)*N(N895))</f>
        <v/>
      </c>
      <c r="Q895" s="18">
        <f>IF(N(X895)=0,"",IF(IF(N(F895)=0,0,IF(N(E895)&gt;0,E895*(1+F895/30),F895))=X895,IF(N(E895)&gt;0,E895&amp;" x "&amp;F895,F895&amp;" reps"),IF(IF(N(H895)=0,0,IF(N(G895)&gt;0,G895*(1+H895/30),H895))=X895,IF(N(G895)&gt;0,G895&amp;" x "&amp;H895,H895&amp;" reps"),IF(IF(N(J895)=0,0,IF(N(I895)&gt;0,I895*(1+J895/30),J895))=X895,IF(N(I895)&gt;0,I895&amp;" x "&amp;J895,J895&amp;" reps"),IF(IF(N(L895)=0,0,IF(N(K895)&gt;0,K895*(1+L895/30),L895))=X895,IF(N(K895)&gt;0,K895&amp;" x "&amp;L895,L895&amp;" reps"),IF(IF(N(N895)=0,0,IF(N(M895)&gt;0,M895*(1+N895/30),N895))=X895,IF(N(M895)&gt;0,M895&amp;" x "&amp;N895,N895&amp;" reps"),""))))))</f>
        <v/>
      </c>
      <c r="R895" s="20">
        <f>IF(N(X895)=0,"",ROUND(X895,1))</f>
        <v/>
      </c>
      <c r="S895" s="18">
        <f>IF(N(X895)=0,"",IF(AND(COUNTIFS(Log!$D$6:$D$1505,D895,Log!$B$6:$B$1505,"&lt;"&amp;B895)&gt;0,COUNTIFS(Log!$D$6:$D$1505,D895,Log!$B$6:$B$1505,"&lt;"&amp;B895,Log!$X$6:$X$1505,"&gt;="&amp;X895)=0),"New best",""))</f>
        <v/>
      </c>
      <c r="T895" s="26" t="n"/>
      <c r="U895" s="1">
        <f>IF(D895="","",IFERROR(INDEX(Exercises!$C$6:$C$105,MATCH(D895,Exercises!$B$6:$B$105,0)),"Other"))</f>
        <v/>
      </c>
      <c r="V895">
        <f>IF(B895="","",IF(COUNTIF($B$6:B895,B895)=1,1,0))</f>
        <v/>
      </c>
      <c r="W895">
        <f>IF(B895="","",B895-WEEKDAY(B895,3))</f>
        <v/>
      </c>
      <c r="X895">
        <f>IF(D895="","",MAX(IF(N(F895)=0,0,IF(N(E895)&gt;0,E895*(1+F895/30),F895)),IF(N(H895)=0,0,IF(N(G895)&gt;0,G895*(1+H895/30),H895)),IF(N(J895)=0,0,IF(N(I895)&gt;0,I895*(1+J895/30),J895)),IF(N(L895)=0,0,IF(N(K895)&gt;0,K895*(1+L895/30),L895)),IF(N(N895)=0,0,IF(N(M895)&gt;0,M895*(1+N895/30),N895))))</f>
        <v/>
      </c>
      <c r="Y895">
        <f>IF(N(X895)=0,"",X895+ROW()/1000000000)</f>
        <v/>
      </c>
      <c r="Z895">
        <f>IF(Y895="","",IF(COUNTIFS(Log!$D$6:$D$1505,D895,Log!$Y$6:$Y$1505,"&gt;"&amp;Y895)=0,1,0))</f>
        <v/>
      </c>
      <c r="AA895">
        <f>IF(OR(B895="",D895=""),"",B895+ROW()/10000000)</f>
        <v/>
      </c>
      <c r="AB895">
        <f>IF(AA895="","",IF(COUNTIFS(Log!$D$6:$D$1505,D895,Log!$AA$6:$AA$1505,"&gt;"&amp;AA895)=0,1,0))</f>
        <v/>
      </c>
      <c r="AC895">
        <f>IF(S895="New best",AA895,"")</f>
        <v/>
      </c>
      <c r="AD895">
        <f>ROW()</f>
        <v/>
      </c>
    </row>
    <row r="896">
      <c r="A896" s="1" t="n"/>
      <c r="B896" s="21" t="n"/>
      <c r="C896" s="22" t="n"/>
      <c r="D896" s="23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15">
        <f>IF(D896="","",COUNT(F896,H896,J896,L896,N896))</f>
        <v/>
      </c>
      <c r="P896" s="25">
        <f>IF(D896="","",N(E896)*N(F896)+N(G896)*N(H896)+N(I896)*N(J896)+N(K896)*N(L896)+N(M896)*N(N896))</f>
        <v/>
      </c>
      <c r="Q896" s="18">
        <f>IF(N(X896)=0,"",IF(IF(N(F896)=0,0,IF(N(E896)&gt;0,E896*(1+F896/30),F896))=X896,IF(N(E896)&gt;0,E896&amp;" x "&amp;F896,F896&amp;" reps"),IF(IF(N(H896)=0,0,IF(N(G896)&gt;0,G896*(1+H896/30),H896))=X896,IF(N(G896)&gt;0,G896&amp;" x "&amp;H896,H896&amp;" reps"),IF(IF(N(J896)=0,0,IF(N(I896)&gt;0,I896*(1+J896/30),J896))=X896,IF(N(I896)&gt;0,I896&amp;" x "&amp;J896,J896&amp;" reps"),IF(IF(N(L896)=0,0,IF(N(K896)&gt;0,K896*(1+L896/30),L896))=X896,IF(N(K896)&gt;0,K896&amp;" x "&amp;L896,L896&amp;" reps"),IF(IF(N(N896)=0,0,IF(N(M896)&gt;0,M896*(1+N896/30),N896))=X896,IF(N(M896)&gt;0,M896&amp;" x "&amp;N896,N896&amp;" reps"),""))))))</f>
        <v/>
      </c>
      <c r="R896" s="20">
        <f>IF(N(X896)=0,"",ROUND(X896,1))</f>
        <v/>
      </c>
      <c r="S896" s="18">
        <f>IF(N(X896)=0,"",IF(AND(COUNTIFS(Log!$D$6:$D$1505,D896,Log!$B$6:$B$1505,"&lt;"&amp;B896)&gt;0,COUNTIFS(Log!$D$6:$D$1505,D896,Log!$B$6:$B$1505,"&lt;"&amp;B896,Log!$X$6:$X$1505,"&gt;="&amp;X896)=0),"New best",""))</f>
        <v/>
      </c>
      <c r="T896" s="26" t="n"/>
      <c r="U896" s="1">
        <f>IF(D896="","",IFERROR(INDEX(Exercises!$C$6:$C$105,MATCH(D896,Exercises!$B$6:$B$105,0)),"Other"))</f>
        <v/>
      </c>
      <c r="V896">
        <f>IF(B896="","",IF(COUNTIF($B$6:B896,B896)=1,1,0))</f>
        <v/>
      </c>
      <c r="W896">
        <f>IF(B896="","",B896-WEEKDAY(B896,3))</f>
        <v/>
      </c>
      <c r="X896">
        <f>IF(D896="","",MAX(IF(N(F896)=0,0,IF(N(E896)&gt;0,E896*(1+F896/30),F896)),IF(N(H896)=0,0,IF(N(G896)&gt;0,G896*(1+H896/30),H896)),IF(N(J896)=0,0,IF(N(I896)&gt;0,I896*(1+J896/30),J896)),IF(N(L896)=0,0,IF(N(K896)&gt;0,K896*(1+L896/30),L896)),IF(N(N896)=0,0,IF(N(M896)&gt;0,M896*(1+N896/30),N896))))</f>
        <v/>
      </c>
      <c r="Y896">
        <f>IF(N(X896)=0,"",X896+ROW()/1000000000)</f>
        <v/>
      </c>
      <c r="Z896">
        <f>IF(Y896="","",IF(COUNTIFS(Log!$D$6:$D$1505,D896,Log!$Y$6:$Y$1505,"&gt;"&amp;Y896)=0,1,0))</f>
        <v/>
      </c>
      <c r="AA896">
        <f>IF(OR(B896="",D896=""),"",B896+ROW()/10000000)</f>
        <v/>
      </c>
      <c r="AB896">
        <f>IF(AA896="","",IF(COUNTIFS(Log!$D$6:$D$1505,D896,Log!$AA$6:$AA$1505,"&gt;"&amp;AA896)=0,1,0))</f>
        <v/>
      </c>
      <c r="AC896">
        <f>IF(S896="New best",AA896,"")</f>
        <v/>
      </c>
      <c r="AD896">
        <f>ROW()</f>
        <v/>
      </c>
    </row>
    <row r="897">
      <c r="A897" s="1" t="n"/>
      <c r="B897" s="21" t="n"/>
      <c r="C897" s="22" t="n"/>
      <c r="D897" s="23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15">
        <f>IF(D897="","",COUNT(F897,H897,J897,L897,N897))</f>
        <v/>
      </c>
      <c r="P897" s="25">
        <f>IF(D897="","",N(E897)*N(F897)+N(G897)*N(H897)+N(I897)*N(J897)+N(K897)*N(L897)+N(M897)*N(N897))</f>
        <v/>
      </c>
      <c r="Q897" s="18">
        <f>IF(N(X897)=0,"",IF(IF(N(F897)=0,0,IF(N(E897)&gt;0,E897*(1+F897/30),F897))=X897,IF(N(E897)&gt;0,E897&amp;" x "&amp;F897,F897&amp;" reps"),IF(IF(N(H897)=0,0,IF(N(G897)&gt;0,G897*(1+H897/30),H897))=X897,IF(N(G897)&gt;0,G897&amp;" x "&amp;H897,H897&amp;" reps"),IF(IF(N(J897)=0,0,IF(N(I897)&gt;0,I897*(1+J897/30),J897))=X897,IF(N(I897)&gt;0,I897&amp;" x "&amp;J897,J897&amp;" reps"),IF(IF(N(L897)=0,0,IF(N(K897)&gt;0,K897*(1+L897/30),L897))=X897,IF(N(K897)&gt;0,K897&amp;" x "&amp;L897,L897&amp;" reps"),IF(IF(N(N897)=0,0,IF(N(M897)&gt;0,M897*(1+N897/30),N897))=X897,IF(N(M897)&gt;0,M897&amp;" x "&amp;N897,N897&amp;" reps"),""))))))</f>
        <v/>
      </c>
      <c r="R897" s="20">
        <f>IF(N(X897)=0,"",ROUND(X897,1))</f>
        <v/>
      </c>
      <c r="S897" s="18">
        <f>IF(N(X897)=0,"",IF(AND(COUNTIFS(Log!$D$6:$D$1505,D897,Log!$B$6:$B$1505,"&lt;"&amp;B897)&gt;0,COUNTIFS(Log!$D$6:$D$1505,D897,Log!$B$6:$B$1505,"&lt;"&amp;B897,Log!$X$6:$X$1505,"&gt;="&amp;X897)=0),"New best",""))</f>
        <v/>
      </c>
      <c r="T897" s="26" t="n"/>
      <c r="U897" s="1">
        <f>IF(D897="","",IFERROR(INDEX(Exercises!$C$6:$C$105,MATCH(D897,Exercises!$B$6:$B$105,0)),"Other"))</f>
        <v/>
      </c>
      <c r="V897">
        <f>IF(B897="","",IF(COUNTIF($B$6:B897,B897)=1,1,0))</f>
        <v/>
      </c>
      <c r="W897">
        <f>IF(B897="","",B897-WEEKDAY(B897,3))</f>
        <v/>
      </c>
      <c r="X897">
        <f>IF(D897="","",MAX(IF(N(F897)=0,0,IF(N(E897)&gt;0,E897*(1+F897/30),F897)),IF(N(H897)=0,0,IF(N(G897)&gt;0,G897*(1+H897/30),H897)),IF(N(J897)=0,0,IF(N(I897)&gt;0,I897*(1+J897/30),J897)),IF(N(L897)=0,0,IF(N(K897)&gt;0,K897*(1+L897/30),L897)),IF(N(N897)=0,0,IF(N(M897)&gt;0,M897*(1+N897/30),N897))))</f>
        <v/>
      </c>
      <c r="Y897">
        <f>IF(N(X897)=0,"",X897+ROW()/1000000000)</f>
        <v/>
      </c>
      <c r="Z897">
        <f>IF(Y897="","",IF(COUNTIFS(Log!$D$6:$D$1505,D897,Log!$Y$6:$Y$1505,"&gt;"&amp;Y897)=0,1,0))</f>
        <v/>
      </c>
      <c r="AA897">
        <f>IF(OR(B897="",D897=""),"",B897+ROW()/10000000)</f>
        <v/>
      </c>
      <c r="AB897">
        <f>IF(AA897="","",IF(COUNTIFS(Log!$D$6:$D$1505,D897,Log!$AA$6:$AA$1505,"&gt;"&amp;AA897)=0,1,0))</f>
        <v/>
      </c>
      <c r="AC897">
        <f>IF(S897="New best",AA897,"")</f>
        <v/>
      </c>
      <c r="AD897">
        <f>ROW()</f>
        <v/>
      </c>
    </row>
    <row r="898">
      <c r="A898" s="1" t="n"/>
      <c r="B898" s="21" t="n"/>
      <c r="C898" s="22" t="n"/>
      <c r="D898" s="23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15">
        <f>IF(D898="","",COUNT(F898,H898,J898,L898,N898))</f>
        <v/>
      </c>
      <c r="P898" s="25">
        <f>IF(D898="","",N(E898)*N(F898)+N(G898)*N(H898)+N(I898)*N(J898)+N(K898)*N(L898)+N(M898)*N(N898))</f>
        <v/>
      </c>
      <c r="Q898" s="18">
        <f>IF(N(X898)=0,"",IF(IF(N(F898)=0,0,IF(N(E898)&gt;0,E898*(1+F898/30),F898))=X898,IF(N(E898)&gt;0,E898&amp;" x "&amp;F898,F898&amp;" reps"),IF(IF(N(H898)=0,0,IF(N(G898)&gt;0,G898*(1+H898/30),H898))=X898,IF(N(G898)&gt;0,G898&amp;" x "&amp;H898,H898&amp;" reps"),IF(IF(N(J898)=0,0,IF(N(I898)&gt;0,I898*(1+J898/30),J898))=X898,IF(N(I898)&gt;0,I898&amp;" x "&amp;J898,J898&amp;" reps"),IF(IF(N(L898)=0,0,IF(N(K898)&gt;0,K898*(1+L898/30),L898))=X898,IF(N(K898)&gt;0,K898&amp;" x "&amp;L898,L898&amp;" reps"),IF(IF(N(N898)=0,0,IF(N(M898)&gt;0,M898*(1+N898/30),N898))=X898,IF(N(M898)&gt;0,M898&amp;" x "&amp;N898,N898&amp;" reps"),""))))))</f>
        <v/>
      </c>
      <c r="R898" s="20">
        <f>IF(N(X898)=0,"",ROUND(X898,1))</f>
        <v/>
      </c>
      <c r="S898" s="18">
        <f>IF(N(X898)=0,"",IF(AND(COUNTIFS(Log!$D$6:$D$1505,D898,Log!$B$6:$B$1505,"&lt;"&amp;B898)&gt;0,COUNTIFS(Log!$D$6:$D$1505,D898,Log!$B$6:$B$1505,"&lt;"&amp;B898,Log!$X$6:$X$1505,"&gt;="&amp;X898)=0),"New best",""))</f>
        <v/>
      </c>
      <c r="T898" s="26" t="n"/>
      <c r="U898" s="1">
        <f>IF(D898="","",IFERROR(INDEX(Exercises!$C$6:$C$105,MATCH(D898,Exercises!$B$6:$B$105,0)),"Other"))</f>
        <v/>
      </c>
      <c r="V898">
        <f>IF(B898="","",IF(COUNTIF($B$6:B898,B898)=1,1,0))</f>
        <v/>
      </c>
      <c r="W898">
        <f>IF(B898="","",B898-WEEKDAY(B898,3))</f>
        <v/>
      </c>
      <c r="X898">
        <f>IF(D898="","",MAX(IF(N(F898)=0,0,IF(N(E898)&gt;0,E898*(1+F898/30),F898)),IF(N(H898)=0,0,IF(N(G898)&gt;0,G898*(1+H898/30),H898)),IF(N(J898)=0,0,IF(N(I898)&gt;0,I898*(1+J898/30),J898)),IF(N(L898)=0,0,IF(N(K898)&gt;0,K898*(1+L898/30),L898)),IF(N(N898)=0,0,IF(N(M898)&gt;0,M898*(1+N898/30),N898))))</f>
        <v/>
      </c>
      <c r="Y898">
        <f>IF(N(X898)=0,"",X898+ROW()/1000000000)</f>
        <v/>
      </c>
      <c r="Z898">
        <f>IF(Y898="","",IF(COUNTIFS(Log!$D$6:$D$1505,D898,Log!$Y$6:$Y$1505,"&gt;"&amp;Y898)=0,1,0))</f>
        <v/>
      </c>
      <c r="AA898">
        <f>IF(OR(B898="",D898=""),"",B898+ROW()/10000000)</f>
        <v/>
      </c>
      <c r="AB898">
        <f>IF(AA898="","",IF(COUNTIFS(Log!$D$6:$D$1505,D898,Log!$AA$6:$AA$1505,"&gt;"&amp;AA898)=0,1,0))</f>
        <v/>
      </c>
      <c r="AC898">
        <f>IF(S898="New best",AA898,"")</f>
        <v/>
      </c>
      <c r="AD898">
        <f>ROW()</f>
        <v/>
      </c>
    </row>
    <row r="899">
      <c r="A899" s="1" t="n"/>
      <c r="B899" s="21" t="n"/>
      <c r="C899" s="22" t="n"/>
      <c r="D899" s="23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15">
        <f>IF(D899="","",COUNT(F899,H899,J899,L899,N899))</f>
        <v/>
      </c>
      <c r="P899" s="25">
        <f>IF(D899="","",N(E899)*N(F899)+N(G899)*N(H899)+N(I899)*N(J899)+N(K899)*N(L899)+N(M899)*N(N899))</f>
        <v/>
      </c>
      <c r="Q899" s="18">
        <f>IF(N(X899)=0,"",IF(IF(N(F899)=0,0,IF(N(E899)&gt;0,E899*(1+F899/30),F899))=X899,IF(N(E899)&gt;0,E899&amp;" x "&amp;F899,F899&amp;" reps"),IF(IF(N(H899)=0,0,IF(N(G899)&gt;0,G899*(1+H899/30),H899))=X899,IF(N(G899)&gt;0,G899&amp;" x "&amp;H899,H899&amp;" reps"),IF(IF(N(J899)=0,0,IF(N(I899)&gt;0,I899*(1+J899/30),J899))=X899,IF(N(I899)&gt;0,I899&amp;" x "&amp;J899,J899&amp;" reps"),IF(IF(N(L899)=0,0,IF(N(K899)&gt;0,K899*(1+L899/30),L899))=X899,IF(N(K899)&gt;0,K899&amp;" x "&amp;L899,L899&amp;" reps"),IF(IF(N(N899)=0,0,IF(N(M899)&gt;0,M899*(1+N899/30),N899))=X899,IF(N(M899)&gt;0,M899&amp;" x "&amp;N899,N899&amp;" reps"),""))))))</f>
        <v/>
      </c>
      <c r="R899" s="20">
        <f>IF(N(X899)=0,"",ROUND(X899,1))</f>
        <v/>
      </c>
      <c r="S899" s="18">
        <f>IF(N(X899)=0,"",IF(AND(COUNTIFS(Log!$D$6:$D$1505,D899,Log!$B$6:$B$1505,"&lt;"&amp;B899)&gt;0,COUNTIFS(Log!$D$6:$D$1505,D899,Log!$B$6:$B$1505,"&lt;"&amp;B899,Log!$X$6:$X$1505,"&gt;="&amp;X899)=0),"New best",""))</f>
        <v/>
      </c>
      <c r="T899" s="26" t="n"/>
      <c r="U899" s="1">
        <f>IF(D899="","",IFERROR(INDEX(Exercises!$C$6:$C$105,MATCH(D899,Exercises!$B$6:$B$105,0)),"Other"))</f>
        <v/>
      </c>
      <c r="V899">
        <f>IF(B899="","",IF(COUNTIF($B$6:B899,B899)=1,1,0))</f>
        <v/>
      </c>
      <c r="W899">
        <f>IF(B899="","",B899-WEEKDAY(B899,3))</f>
        <v/>
      </c>
      <c r="X899">
        <f>IF(D899="","",MAX(IF(N(F899)=0,0,IF(N(E899)&gt;0,E899*(1+F899/30),F899)),IF(N(H899)=0,0,IF(N(G899)&gt;0,G899*(1+H899/30),H899)),IF(N(J899)=0,0,IF(N(I899)&gt;0,I899*(1+J899/30),J899)),IF(N(L899)=0,0,IF(N(K899)&gt;0,K899*(1+L899/30),L899)),IF(N(N899)=0,0,IF(N(M899)&gt;0,M899*(1+N899/30),N899))))</f>
        <v/>
      </c>
      <c r="Y899">
        <f>IF(N(X899)=0,"",X899+ROW()/1000000000)</f>
        <v/>
      </c>
      <c r="Z899">
        <f>IF(Y899="","",IF(COUNTIFS(Log!$D$6:$D$1505,D899,Log!$Y$6:$Y$1505,"&gt;"&amp;Y899)=0,1,0))</f>
        <v/>
      </c>
      <c r="AA899">
        <f>IF(OR(B899="",D899=""),"",B899+ROW()/10000000)</f>
        <v/>
      </c>
      <c r="AB899">
        <f>IF(AA899="","",IF(COUNTIFS(Log!$D$6:$D$1505,D899,Log!$AA$6:$AA$1505,"&gt;"&amp;AA899)=0,1,0))</f>
        <v/>
      </c>
      <c r="AC899">
        <f>IF(S899="New best",AA899,"")</f>
        <v/>
      </c>
      <c r="AD899">
        <f>ROW()</f>
        <v/>
      </c>
    </row>
    <row r="900">
      <c r="A900" s="1" t="n"/>
      <c r="B900" s="21" t="n"/>
      <c r="C900" s="22" t="n"/>
      <c r="D900" s="23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15">
        <f>IF(D900="","",COUNT(F900,H900,J900,L900,N900))</f>
        <v/>
      </c>
      <c r="P900" s="25">
        <f>IF(D900="","",N(E900)*N(F900)+N(G900)*N(H900)+N(I900)*N(J900)+N(K900)*N(L900)+N(M900)*N(N900))</f>
        <v/>
      </c>
      <c r="Q900" s="18">
        <f>IF(N(X900)=0,"",IF(IF(N(F900)=0,0,IF(N(E900)&gt;0,E900*(1+F900/30),F900))=X900,IF(N(E900)&gt;0,E900&amp;" x "&amp;F900,F900&amp;" reps"),IF(IF(N(H900)=0,0,IF(N(G900)&gt;0,G900*(1+H900/30),H900))=X900,IF(N(G900)&gt;0,G900&amp;" x "&amp;H900,H900&amp;" reps"),IF(IF(N(J900)=0,0,IF(N(I900)&gt;0,I900*(1+J900/30),J900))=X900,IF(N(I900)&gt;0,I900&amp;" x "&amp;J900,J900&amp;" reps"),IF(IF(N(L900)=0,0,IF(N(K900)&gt;0,K900*(1+L900/30),L900))=X900,IF(N(K900)&gt;0,K900&amp;" x "&amp;L900,L900&amp;" reps"),IF(IF(N(N900)=0,0,IF(N(M900)&gt;0,M900*(1+N900/30),N900))=X900,IF(N(M900)&gt;0,M900&amp;" x "&amp;N900,N900&amp;" reps"),""))))))</f>
        <v/>
      </c>
      <c r="R900" s="20">
        <f>IF(N(X900)=0,"",ROUND(X900,1))</f>
        <v/>
      </c>
      <c r="S900" s="18">
        <f>IF(N(X900)=0,"",IF(AND(COUNTIFS(Log!$D$6:$D$1505,D900,Log!$B$6:$B$1505,"&lt;"&amp;B900)&gt;0,COUNTIFS(Log!$D$6:$D$1505,D900,Log!$B$6:$B$1505,"&lt;"&amp;B900,Log!$X$6:$X$1505,"&gt;="&amp;X900)=0),"New best",""))</f>
        <v/>
      </c>
      <c r="T900" s="26" t="n"/>
      <c r="U900" s="1">
        <f>IF(D900="","",IFERROR(INDEX(Exercises!$C$6:$C$105,MATCH(D900,Exercises!$B$6:$B$105,0)),"Other"))</f>
        <v/>
      </c>
      <c r="V900">
        <f>IF(B900="","",IF(COUNTIF($B$6:B900,B900)=1,1,0))</f>
        <v/>
      </c>
      <c r="W900">
        <f>IF(B900="","",B900-WEEKDAY(B900,3))</f>
        <v/>
      </c>
      <c r="X900">
        <f>IF(D900="","",MAX(IF(N(F900)=0,0,IF(N(E900)&gt;0,E900*(1+F900/30),F900)),IF(N(H900)=0,0,IF(N(G900)&gt;0,G900*(1+H900/30),H900)),IF(N(J900)=0,0,IF(N(I900)&gt;0,I900*(1+J900/30),J900)),IF(N(L900)=0,0,IF(N(K900)&gt;0,K900*(1+L900/30),L900)),IF(N(N900)=0,0,IF(N(M900)&gt;0,M900*(1+N900/30),N900))))</f>
        <v/>
      </c>
      <c r="Y900">
        <f>IF(N(X900)=0,"",X900+ROW()/1000000000)</f>
        <v/>
      </c>
      <c r="Z900">
        <f>IF(Y900="","",IF(COUNTIFS(Log!$D$6:$D$1505,D900,Log!$Y$6:$Y$1505,"&gt;"&amp;Y900)=0,1,0))</f>
        <v/>
      </c>
      <c r="AA900">
        <f>IF(OR(B900="",D900=""),"",B900+ROW()/10000000)</f>
        <v/>
      </c>
      <c r="AB900">
        <f>IF(AA900="","",IF(COUNTIFS(Log!$D$6:$D$1505,D900,Log!$AA$6:$AA$1505,"&gt;"&amp;AA900)=0,1,0))</f>
        <v/>
      </c>
      <c r="AC900">
        <f>IF(S900="New best",AA900,"")</f>
        <v/>
      </c>
      <c r="AD900">
        <f>ROW()</f>
        <v/>
      </c>
    </row>
    <row r="901">
      <c r="A901" s="1" t="n"/>
      <c r="B901" s="21" t="n"/>
      <c r="C901" s="22" t="n"/>
      <c r="D901" s="23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15">
        <f>IF(D901="","",COUNT(F901,H901,J901,L901,N901))</f>
        <v/>
      </c>
      <c r="P901" s="25">
        <f>IF(D901="","",N(E901)*N(F901)+N(G901)*N(H901)+N(I901)*N(J901)+N(K901)*N(L901)+N(M901)*N(N901))</f>
        <v/>
      </c>
      <c r="Q901" s="18">
        <f>IF(N(X901)=0,"",IF(IF(N(F901)=0,0,IF(N(E901)&gt;0,E901*(1+F901/30),F901))=X901,IF(N(E901)&gt;0,E901&amp;" x "&amp;F901,F901&amp;" reps"),IF(IF(N(H901)=0,0,IF(N(G901)&gt;0,G901*(1+H901/30),H901))=X901,IF(N(G901)&gt;0,G901&amp;" x "&amp;H901,H901&amp;" reps"),IF(IF(N(J901)=0,0,IF(N(I901)&gt;0,I901*(1+J901/30),J901))=X901,IF(N(I901)&gt;0,I901&amp;" x "&amp;J901,J901&amp;" reps"),IF(IF(N(L901)=0,0,IF(N(K901)&gt;0,K901*(1+L901/30),L901))=X901,IF(N(K901)&gt;0,K901&amp;" x "&amp;L901,L901&amp;" reps"),IF(IF(N(N901)=0,0,IF(N(M901)&gt;0,M901*(1+N901/30),N901))=X901,IF(N(M901)&gt;0,M901&amp;" x "&amp;N901,N901&amp;" reps"),""))))))</f>
        <v/>
      </c>
      <c r="R901" s="20">
        <f>IF(N(X901)=0,"",ROUND(X901,1))</f>
        <v/>
      </c>
      <c r="S901" s="18">
        <f>IF(N(X901)=0,"",IF(AND(COUNTIFS(Log!$D$6:$D$1505,D901,Log!$B$6:$B$1505,"&lt;"&amp;B901)&gt;0,COUNTIFS(Log!$D$6:$D$1505,D901,Log!$B$6:$B$1505,"&lt;"&amp;B901,Log!$X$6:$X$1505,"&gt;="&amp;X901)=0),"New best",""))</f>
        <v/>
      </c>
      <c r="T901" s="26" t="n"/>
      <c r="U901" s="1">
        <f>IF(D901="","",IFERROR(INDEX(Exercises!$C$6:$C$105,MATCH(D901,Exercises!$B$6:$B$105,0)),"Other"))</f>
        <v/>
      </c>
      <c r="V901">
        <f>IF(B901="","",IF(COUNTIF($B$6:B901,B901)=1,1,0))</f>
        <v/>
      </c>
      <c r="W901">
        <f>IF(B901="","",B901-WEEKDAY(B901,3))</f>
        <v/>
      </c>
      <c r="X901">
        <f>IF(D901="","",MAX(IF(N(F901)=0,0,IF(N(E901)&gt;0,E901*(1+F901/30),F901)),IF(N(H901)=0,0,IF(N(G901)&gt;0,G901*(1+H901/30),H901)),IF(N(J901)=0,0,IF(N(I901)&gt;0,I901*(1+J901/30),J901)),IF(N(L901)=0,0,IF(N(K901)&gt;0,K901*(1+L901/30),L901)),IF(N(N901)=0,0,IF(N(M901)&gt;0,M901*(1+N901/30),N901))))</f>
        <v/>
      </c>
      <c r="Y901">
        <f>IF(N(X901)=0,"",X901+ROW()/1000000000)</f>
        <v/>
      </c>
      <c r="Z901">
        <f>IF(Y901="","",IF(COUNTIFS(Log!$D$6:$D$1505,D901,Log!$Y$6:$Y$1505,"&gt;"&amp;Y901)=0,1,0))</f>
        <v/>
      </c>
      <c r="AA901">
        <f>IF(OR(B901="",D901=""),"",B901+ROW()/10000000)</f>
        <v/>
      </c>
      <c r="AB901">
        <f>IF(AA901="","",IF(COUNTIFS(Log!$D$6:$D$1505,D901,Log!$AA$6:$AA$1505,"&gt;"&amp;AA901)=0,1,0))</f>
        <v/>
      </c>
      <c r="AC901">
        <f>IF(S901="New best",AA901,"")</f>
        <v/>
      </c>
      <c r="AD901">
        <f>ROW()</f>
        <v/>
      </c>
    </row>
    <row r="902">
      <c r="A902" s="1" t="n"/>
      <c r="B902" s="21" t="n"/>
      <c r="C902" s="22" t="n"/>
      <c r="D902" s="23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15">
        <f>IF(D902="","",COUNT(F902,H902,J902,L902,N902))</f>
        <v/>
      </c>
      <c r="P902" s="25">
        <f>IF(D902="","",N(E902)*N(F902)+N(G902)*N(H902)+N(I902)*N(J902)+N(K902)*N(L902)+N(M902)*N(N902))</f>
        <v/>
      </c>
      <c r="Q902" s="18">
        <f>IF(N(X902)=0,"",IF(IF(N(F902)=0,0,IF(N(E902)&gt;0,E902*(1+F902/30),F902))=X902,IF(N(E902)&gt;0,E902&amp;" x "&amp;F902,F902&amp;" reps"),IF(IF(N(H902)=0,0,IF(N(G902)&gt;0,G902*(1+H902/30),H902))=X902,IF(N(G902)&gt;0,G902&amp;" x "&amp;H902,H902&amp;" reps"),IF(IF(N(J902)=0,0,IF(N(I902)&gt;0,I902*(1+J902/30),J902))=X902,IF(N(I902)&gt;0,I902&amp;" x "&amp;J902,J902&amp;" reps"),IF(IF(N(L902)=0,0,IF(N(K902)&gt;0,K902*(1+L902/30),L902))=X902,IF(N(K902)&gt;0,K902&amp;" x "&amp;L902,L902&amp;" reps"),IF(IF(N(N902)=0,0,IF(N(M902)&gt;0,M902*(1+N902/30),N902))=X902,IF(N(M902)&gt;0,M902&amp;" x "&amp;N902,N902&amp;" reps"),""))))))</f>
        <v/>
      </c>
      <c r="R902" s="20">
        <f>IF(N(X902)=0,"",ROUND(X902,1))</f>
        <v/>
      </c>
      <c r="S902" s="18">
        <f>IF(N(X902)=0,"",IF(AND(COUNTIFS(Log!$D$6:$D$1505,D902,Log!$B$6:$B$1505,"&lt;"&amp;B902)&gt;0,COUNTIFS(Log!$D$6:$D$1505,D902,Log!$B$6:$B$1505,"&lt;"&amp;B902,Log!$X$6:$X$1505,"&gt;="&amp;X902)=0),"New best",""))</f>
        <v/>
      </c>
      <c r="T902" s="26" t="n"/>
      <c r="U902" s="1">
        <f>IF(D902="","",IFERROR(INDEX(Exercises!$C$6:$C$105,MATCH(D902,Exercises!$B$6:$B$105,0)),"Other"))</f>
        <v/>
      </c>
      <c r="V902">
        <f>IF(B902="","",IF(COUNTIF($B$6:B902,B902)=1,1,0))</f>
        <v/>
      </c>
      <c r="W902">
        <f>IF(B902="","",B902-WEEKDAY(B902,3))</f>
        <v/>
      </c>
      <c r="X902">
        <f>IF(D902="","",MAX(IF(N(F902)=0,0,IF(N(E902)&gt;0,E902*(1+F902/30),F902)),IF(N(H902)=0,0,IF(N(G902)&gt;0,G902*(1+H902/30),H902)),IF(N(J902)=0,0,IF(N(I902)&gt;0,I902*(1+J902/30),J902)),IF(N(L902)=0,0,IF(N(K902)&gt;0,K902*(1+L902/30),L902)),IF(N(N902)=0,0,IF(N(M902)&gt;0,M902*(1+N902/30),N902))))</f>
        <v/>
      </c>
      <c r="Y902">
        <f>IF(N(X902)=0,"",X902+ROW()/1000000000)</f>
        <v/>
      </c>
      <c r="Z902">
        <f>IF(Y902="","",IF(COUNTIFS(Log!$D$6:$D$1505,D902,Log!$Y$6:$Y$1505,"&gt;"&amp;Y902)=0,1,0))</f>
        <v/>
      </c>
      <c r="AA902">
        <f>IF(OR(B902="",D902=""),"",B902+ROW()/10000000)</f>
        <v/>
      </c>
      <c r="AB902">
        <f>IF(AA902="","",IF(COUNTIFS(Log!$D$6:$D$1505,D902,Log!$AA$6:$AA$1505,"&gt;"&amp;AA902)=0,1,0))</f>
        <v/>
      </c>
      <c r="AC902">
        <f>IF(S902="New best",AA902,"")</f>
        <v/>
      </c>
      <c r="AD902">
        <f>ROW()</f>
        <v/>
      </c>
    </row>
    <row r="903">
      <c r="A903" s="1" t="n"/>
      <c r="B903" s="21" t="n"/>
      <c r="C903" s="22" t="n"/>
      <c r="D903" s="23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15">
        <f>IF(D903="","",COUNT(F903,H903,J903,L903,N903))</f>
        <v/>
      </c>
      <c r="P903" s="25">
        <f>IF(D903="","",N(E903)*N(F903)+N(G903)*N(H903)+N(I903)*N(J903)+N(K903)*N(L903)+N(M903)*N(N903))</f>
        <v/>
      </c>
      <c r="Q903" s="18">
        <f>IF(N(X903)=0,"",IF(IF(N(F903)=0,0,IF(N(E903)&gt;0,E903*(1+F903/30),F903))=X903,IF(N(E903)&gt;0,E903&amp;" x "&amp;F903,F903&amp;" reps"),IF(IF(N(H903)=0,0,IF(N(G903)&gt;0,G903*(1+H903/30),H903))=X903,IF(N(G903)&gt;0,G903&amp;" x "&amp;H903,H903&amp;" reps"),IF(IF(N(J903)=0,0,IF(N(I903)&gt;0,I903*(1+J903/30),J903))=X903,IF(N(I903)&gt;0,I903&amp;" x "&amp;J903,J903&amp;" reps"),IF(IF(N(L903)=0,0,IF(N(K903)&gt;0,K903*(1+L903/30),L903))=X903,IF(N(K903)&gt;0,K903&amp;" x "&amp;L903,L903&amp;" reps"),IF(IF(N(N903)=0,0,IF(N(M903)&gt;0,M903*(1+N903/30),N903))=X903,IF(N(M903)&gt;0,M903&amp;" x "&amp;N903,N903&amp;" reps"),""))))))</f>
        <v/>
      </c>
      <c r="R903" s="20">
        <f>IF(N(X903)=0,"",ROUND(X903,1))</f>
        <v/>
      </c>
      <c r="S903" s="18">
        <f>IF(N(X903)=0,"",IF(AND(COUNTIFS(Log!$D$6:$D$1505,D903,Log!$B$6:$B$1505,"&lt;"&amp;B903)&gt;0,COUNTIFS(Log!$D$6:$D$1505,D903,Log!$B$6:$B$1505,"&lt;"&amp;B903,Log!$X$6:$X$1505,"&gt;="&amp;X903)=0),"New best",""))</f>
        <v/>
      </c>
      <c r="T903" s="26" t="n"/>
      <c r="U903" s="1">
        <f>IF(D903="","",IFERROR(INDEX(Exercises!$C$6:$C$105,MATCH(D903,Exercises!$B$6:$B$105,0)),"Other"))</f>
        <v/>
      </c>
      <c r="V903">
        <f>IF(B903="","",IF(COUNTIF($B$6:B903,B903)=1,1,0))</f>
        <v/>
      </c>
      <c r="W903">
        <f>IF(B903="","",B903-WEEKDAY(B903,3))</f>
        <v/>
      </c>
      <c r="X903">
        <f>IF(D903="","",MAX(IF(N(F903)=0,0,IF(N(E903)&gt;0,E903*(1+F903/30),F903)),IF(N(H903)=0,0,IF(N(G903)&gt;0,G903*(1+H903/30),H903)),IF(N(J903)=0,0,IF(N(I903)&gt;0,I903*(1+J903/30),J903)),IF(N(L903)=0,0,IF(N(K903)&gt;0,K903*(1+L903/30),L903)),IF(N(N903)=0,0,IF(N(M903)&gt;0,M903*(1+N903/30),N903))))</f>
        <v/>
      </c>
      <c r="Y903">
        <f>IF(N(X903)=0,"",X903+ROW()/1000000000)</f>
        <v/>
      </c>
      <c r="Z903">
        <f>IF(Y903="","",IF(COUNTIFS(Log!$D$6:$D$1505,D903,Log!$Y$6:$Y$1505,"&gt;"&amp;Y903)=0,1,0))</f>
        <v/>
      </c>
      <c r="AA903">
        <f>IF(OR(B903="",D903=""),"",B903+ROW()/10000000)</f>
        <v/>
      </c>
      <c r="AB903">
        <f>IF(AA903="","",IF(COUNTIFS(Log!$D$6:$D$1505,D903,Log!$AA$6:$AA$1505,"&gt;"&amp;AA903)=0,1,0))</f>
        <v/>
      </c>
      <c r="AC903">
        <f>IF(S903="New best",AA903,"")</f>
        <v/>
      </c>
      <c r="AD903">
        <f>ROW()</f>
        <v/>
      </c>
    </row>
    <row r="904">
      <c r="A904" s="1" t="n"/>
      <c r="B904" s="21" t="n"/>
      <c r="C904" s="22" t="n"/>
      <c r="D904" s="23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15">
        <f>IF(D904="","",COUNT(F904,H904,J904,L904,N904))</f>
        <v/>
      </c>
      <c r="P904" s="25">
        <f>IF(D904="","",N(E904)*N(F904)+N(G904)*N(H904)+N(I904)*N(J904)+N(K904)*N(L904)+N(M904)*N(N904))</f>
        <v/>
      </c>
      <c r="Q904" s="18">
        <f>IF(N(X904)=0,"",IF(IF(N(F904)=0,0,IF(N(E904)&gt;0,E904*(1+F904/30),F904))=X904,IF(N(E904)&gt;0,E904&amp;" x "&amp;F904,F904&amp;" reps"),IF(IF(N(H904)=0,0,IF(N(G904)&gt;0,G904*(1+H904/30),H904))=X904,IF(N(G904)&gt;0,G904&amp;" x "&amp;H904,H904&amp;" reps"),IF(IF(N(J904)=0,0,IF(N(I904)&gt;0,I904*(1+J904/30),J904))=X904,IF(N(I904)&gt;0,I904&amp;" x "&amp;J904,J904&amp;" reps"),IF(IF(N(L904)=0,0,IF(N(K904)&gt;0,K904*(1+L904/30),L904))=X904,IF(N(K904)&gt;0,K904&amp;" x "&amp;L904,L904&amp;" reps"),IF(IF(N(N904)=0,0,IF(N(M904)&gt;0,M904*(1+N904/30),N904))=X904,IF(N(M904)&gt;0,M904&amp;" x "&amp;N904,N904&amp;" reps"),""))))))</f>
        <v/>
      </c>
      <c r="R904" s="20">
        <f>IF(N(X904)=0,"",ROUND(X904,1))</f>
        <v/>
      </c>
      <c r="S904" s="18">
        <f>IF(N(X904)=0,"",IF(AND(COUNTIFS(Log!$D$6:$D$1505,D904,Log!$B$6:$B$1505,"&lt;"&amp;B904)&gt;0,COUNTIFS(Log!$D$6:$D$1505,D904,Log!$B$6:$B$1505,"&lt;"&amp;B904,Log!$X$6:$X$1505,"&gt;="&amp;X904)=0),"New best",""))</f>
        <v/>
      </c>
      <c r="T904" s="26" t="n"/>
      <c r="U904" s="1">
        <f>IF(D904="","",IFERROR(INDEX(Exercises!$C$6:$C$105,MATCH(D904,Exercises!$B$6:$B$105,0)),"Other"))</f>
        <v/>
      </c>
      <c r="V904">
        <f>IF(B904="","",IF(COUNTIF($B$6:B904,B904)=1,1,0))</f>
        <v/>
      </c>
      <c r="W904">
        <f>IF(B904="","",B904-WEEKDAY(B904,3))</f>
        <v/>
      </c>
      <c r="X904">
        <f>IF(D904="","",MAX(IF(N(F904)=0,0,IF(N(E904)&gt;0,E904*(1+F904/30),F904)),IF(N(H904)=0,0,IF(N(G904)&gt;0,G904*(1+H904/30),H904)),IF(N(J904)=0,0,IF(N(I904)&gt;0,I904*(1+J904/30),J904)),IF(N(L904)=0,0,IF(N(K904)&gt;0,K904*(1+L904/30),L904)),IF(N(N904)=0,0,IF(N(M904)&gt;0,M904*(1+N904/30),N904))))</f>
        <v/>
      </c>
      <c r="Y904">
        <f>IF(N(X904)=0,"",X904+ROW()/1000000000)</f>
        <v/>
      </c>
      <c r="Z904">
        <f>IF(Y904="","",IF(COUNTIFS(Log!$D$6:$D$1505,D904,Log!$Y$6:$Y$1505,"&gt;"&amp;Y904)=0,1,0))</f>
        <v/>
      </c>
      <c r="AA904">
        <f>IF(OR(B904="",D904=""),"",B904+ROW()/10000000)</f>
        <v/>
      </c>
      <c r="AB904">
        <f>IF(AA904="","",IF(COUNTIFS(Log!$D$6:$D$1505,D904,Log!$AA$6:$AA$1505,"&gt;"&amp;AA904)=0,1,0))</f>
        <v/>
      </c>
      <c r="AC904">
        <f>IF(S904="New best",AA904,"")</f>
        <v/>
      </c>
      <c r="AD904">
        <f>ROW()</f>
        <v/>
      </c>
    </row>
    <row r="905">
      <c r="A905" s="1" t="n"/>
      <c r="B905" s="21" t="n"/>
      <c r="C905" s="22" t="n"/>
      <c r="D905" s="23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15">
        <f>IF(D905="","",COUNT(F905,H905,J905,L905,N905))</f>
        <v/>
      </c>
      <c r="P905" s="25">
        <f>IF(D905="","",N(E905)*N(F905)+N(G905)*N(H905)+N(I905)*N(J905)+N(K905)*N(L905)+N(M905)*N(N905))</f>
        <v/>
      </c>
      <c r="Q905" s="18">
        <f>IF(N(X905)=0,"",IF(IF(N(F905)=0,0,IF(N(E905)&gt;0,E905*(1+F905/30),F905))=X905,IF(N(E905)&gt;0,E905&amp;" x "&amp;F905,F905&amp;" reps"),IF(IF(N(H905)=0,0,IF(N(G905)&gt;0,G905*(1+H905/30),H905))=X905,IF(N(G905)&gt;0,G905&amp;" x "&amp;H905,H905&amp;" reps"),IF(IF(N(J905)=0,0,IF(N(I905)&gt;0,I905*(1+J905/30),J905))=X905,IF(N(I905)&gt;0,I905&amp;" x "&amp;J905,J905&amp;" reps"),IF(IF(N(L905)=0,0,IF(N(K905)&gt;0,K905*(1+L905/30),L905))=X905,IF(N(K905)&gt;0,K905&amp;" x "&amp;L905,L905&amp;" reps"),IF(IF(N(N905)=0,0,IF(N(M905)&gt;0,M905*(1+N905/30),N905))=X905,IF(N(M905)&gt;0,M905&amp;" x "&amp;N905,N905&amp;" reps"),""))))))</f>
        <v/>
      </c>
      <c r="R905" s="20">
        <f>IF(N(X905)=0,"",ROUND(X905,1))</f>
        <v/>
      </c>
      <c r="S905" s="18">
        <f>IF(N(X905)=0,"",IF(AND(COUNTIFS(Log!$D$6:$D$1505,D905,Log!$B$6:$B$1505,"&lt;"&amp;B905)&gt;0,COUNTIFS(Log!$D$6:$D$1505,D905,Log!$B$6:$B$1505,"&lt;"&amp;B905,Log!$X$6:$X$1505,"&gt;="&amp;X905)=0),"New best",""))</f>
        <v/>
      </c>
      <c r="T905" s="26" t="n"/>
      <c r="U905" s="1">
        <f>IF(D905="","",IFERROR(INDEX(Exercises!$C$6:$C$105,MATCH(D905,Exercises!$B$6:$B$105,0)),"Other"))</f>
        <v/>
      </c>
      <c r="V905">
        <f>IF(B905="","",IF(COUNTIF($B$6:B905,B905)=1,1,0))</f>
        <v/>
      </c>
      <c r="W905">
        <f>IF(B905="","",B905-WEEKDAY(B905,3))</f>
        <v/>
      </c>
      <c r="X905">
        <f>IF(D905="","",MAX(IF(N(F905)=0,0,IF(N(E905)&gt;0,E905*(1+F905/30),F905)),IF(N(H905)=0,0,IF(N(G905)&gt;0,G905*(1+H905/30),H905)),IF(N(J905)=0,0,IF(N(I905)&gt;0,I905*(1+J905/30),J905)),IF(N(L905)=0,0,IF(N(K905)&gt;0,K905*(1+L905/30),L905)),IF(N(N905)=0,0,IF(N(M905)&gt;0,M905*(1+N905/30),N905))))</f>
        <v/>
      </c>
      <c r="Y905">
        <f>IF(N(X905)=0,"",X905+ROW()/1000000000)</f>
        <v/>
      </c>
      <c r="Z905">
        <f>IF(Y905="","",IF(COUNTIFS(Log!$D$6:$D$1505,D905,Log!$Y$6:$Y$1505,"&gt;"&amp;Y905)=0,1,0))</f>
        <v/>
      </c>
      <c r="AA905">
        <f>IF(OR(B905="",D905=""),"",B905+ROW()/10000000)</f>
        <v/>
      </c>
      <c r="AB905">
        <f>IF(AA905="","",IF(COUNTIFS(Log!$D$6:$D$1505,D905,Log!$AA$6:$AA$1505,"&gt;"&amp;AA905)=0,1,0))</f>
        <v/>
      </c>
      <c r="AC905">
        <f>IF(S905="New best",AA905,"")</f>
        <v/>
      </c>
      <c r="AD905">
        <f>ROW()</f>
        <v/>
      </c>
    </row>
    <row r="906">
      <c r="A906" s="1" t="n"/>
      <c r="B906" s="21" t="n"/>
      <c r="C906" s="22" t="n"/>
      <c r="D906" s="23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15">
        <f>IF(D906="","",COUNT(F906,H906,J906,L906,N906))</f>
        <v/>
      </c>
      <c r="P906" s="25">
        <f>IF(D906="","",N(E906)*N(F906)+N(G906)*N(H906)+N(I906)*N(J906)+N(K906)*N(L906)+N(M906)*N(N906))</f>
        <v/>
      </c>
      <c r="Q906" s="18">
        <f>IF(N(X906)=0,"",IF(IF(N(F906)=0,0,IF(N(E906)&gt;0,E906*(1+F906/30),F906))=X906,IF(N(E906)&gt;0,E906&amp;" x "&amp;F906,F906&amp;" reps"),IF(IF(N(H906)=0,0,IF(N(G906)&gt;0,G906*(1+H906/30),H906))=X906,IF(N(G906)&gt;0,G906&amp;" x "&amp;H906,H906&amp;" reps"),IF(IF(N(J906)=0,0,IF(N(I906)&gt;0,I906*(1+J906/30),J906))=X906,IF(N(I906)&gt;0,I906&amp;" x "&amp;J906,J906&amp;" reps"),IF(IF(N(L906)=0,0,IF(N(K906)&gt;0,K906*(1+L906/30),L906))=X906,IF(N(K906)&gt;0,K906&amp;" x "&amp;L906,L906&amp;" reps"),IF(IF(N(N906)=0,0,IF(N(M906)&gt;0,M906*(1+N906/30),N906))=X906,IF(N(M906)&gt;0,M906&amp;" x "&amp;N906,N906&amp;" reps"),""))))))</f>
        <v/>
      </c>
      <c r="R906" s="20">
        <f>IF(N(X906)=0,"",ROUND(X906,1))</f>
        <v/>
      </c>
      <c r="S906" s="18">
        <f>IF(N(X906)=0,"",IF(AND(COUNTIFS(Log!$D$6:$D$1505,D906,Log!$B$6:$B$1505,"&lt;"&amp;B906)&gt;0,COUNTIFS(Log!$D$6:$D$1505,D906,Log!$B$6:$B$1505,"&lt;"&amp;B906,Log!$X$6:$X$1505,"&gt;="&amp;X906)=0),"New best",""))</f>
        <v/>
      </c>
      <c r="T906" s="26" t="n"/>
      <c r="U906" s="1">
        <f>IF(D906="","",IFERROR(INDEX(Exercises!$C$6:$C$105,MATCH(D906,Exercises!$B$6:$B$105,0)),"Other"))</f>
        <v/>
      </c>
      <c r="V906">
        <f>IF(B906="","",IF(COUNTIF($B$6:B906,B906)=1,1,0))</f>
        <v/>
      </c>
      <c r="W906">
        <f>IF(B906="","",B906-WEEKDAY(B906,3))</f>
        <v/>
      </c>
      <c r="X906">
        <f>IF(D906="","",MAX(IF(N(F906)=0,0,IF(N(E906)&gt;0,E906*(1+F906/30),F906)),IF(N(H906)=0,0,IF(N(G906)&gt;0,G906*(1+H906/30),H906)),IF(N(J906)=0,0,IF(N(I906)&gt;0,I906*(1+J906/30),J906)),IF(N(L906)=0,0,IF(N(K906)&gt;0,K906*(1+L906/30),L906)),IF(N(N906)=0,0,IF(N(M906)&gt;0,M906*(1+N906/30),N906))))</f>
        <v/>
      </c>
      <c r="Y906">
        <f>IF(N(X906)=0,"",X906+ROW()/1000000000)</f>
        <v/>
      </c>
      <c r="Z906">
        <f>IF(Y906="","",IF(COUNTIFS(Log!$D$6:$D$1505,D906,Log!$Y$6:$Y$1505,"&gt;"&amp;Y906)=0,1,0))</f>
        <v/>
      </c>
      <c r="AA906">
        <f>IF(OR(B906="",D906=""),"",B906+ROW()/10000000)</f>
        <v/>
      </c>
      <c r="AB906">
        <f>IF(AA906="","",IF(COUNTIFS(Log!$D$6:$D$1505,D906,Log!$AA$6:$AA$1505,"&gt;"&amp;AA906)=0,1,0))</f>
        <v/>
      </c>
      <c r="AC906">
        <f>IF(S906="New best",AA906,"")</f>
        <v/>
      </c>
      <c r="AD906">
        <f>ROW()</f>
        <v/>
      </c>
    </row>
    <row r="907">
      <c r="A907" s="1" t="n"/>
      <c r="B907" s="21" t="n"/>
      <c r="C907" s="22" t="n"/>
      <c r="D907" s="23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15">
        <f>IF(D907="","",COUNT(F907,H907,J907,L907,N907))</f>
        <v/>
      </c>
      <c r="P907" s="25">
        <f>IF(D907="","",N(E907)*N(F907)+N(G907)*N(H907)+N(I907)*N(J907)+N(K907)*N(L907)+N(M907)*N(N907))</f>
        <v/>
      </c>
      <c r="Q907" s="18">
        <f>IF(N(X907)=0,"",IF(IF(N(F907)=0,0,IF(N(E907)&gt;0,E907*(1+F907/30),F907))=X907,IF(N(E907)&gt;0,E907&amp;" x "&amp;F907,F907&amp;" reps"),IF(IF(N(H907)=0,0,IF(N(G907)&gt;0,G907*(1+H907/30),H907))=X907,IF(N(G907)&gt;0,G907&amp;" x "&amp;H907,H907&amp;" reps"),IF(IF(N(J907)=0,0,IF(N(I907)&gt;0,I907*(1+J907/30),J907))=X907,IF(N(I907)&gt;0,I907&amp;" x "&amp;J907,J907&amp;" reps"),IF(IF(N(L907)=0,0,IF(N(K907)&gt;0,K907*(1+L907/30),L907))=X907,IF(N(K907)&gt;0,K907&amp;" x "&amp;L907,L907&amp;" reps"),IF(IF(N(N907)=0,0,IF(N(M907)&gt;0,M907*(1+N907/30),N907))=X907,IF(N(M907)&gt;0,M907&amp;" x "&amp;N907,N907&amp;" reps"),""))))))</f>
        <v/>
      </c>
      <c r="R907" s="20">
        <f>IF(N(X907)=0,"",ROUND(X907,1))</f>
        <v/>
      </c>
      <c r="S907" s="18">
        <f>IF(N(X907)=0,"",IF(AND(COUNTIFS(Log!$D$6:$D$1505,D907,Log!$B$6:$B$1505,"&lt;"&amp;B907)&gt;0,COUNTIFS(Log!$D$6:$D$1505,D907,Log!$B$6:$B$1505,"&lt;"&amp;B907,Log!$X$6:$X$1505,"&gt;="&amp;X907)=0),"New best",""))</f>
        <v/>
      </c>
      <c r="T907" s="26" t="n"/>
      <c r="U907" s="1">
        <f>IF(D907="","",IFERROR(INDEX(Exercises!$C$6:$C$105,MATCH(D907,Exercises!$B$6:$B$105,0)),"Other"))</f>
        <v/>
      </c>
      <c r="V907">
        <f>IF(B907="","",IF(COUNTIF($B$6:B907,B907)=1,1,0))</f>
        <v/>
      </c>
      <c r="W907">
        <f>IF(B907="","",B907-WEEKDAY(B907,3))</f>
        <v/>
      </c>
      <c r="X907">
        <f>IF(D907="","",MAX(IF(N(F907)=0,0,IF(N(E907)&gt;0,E907*(1+F907/30),F907)),IF(N(H907)=0,0,IF(N(G907)&gt;0,G907*(1+H907/30),H907)),IF(N(J907)=0,0,IF(N(I907)&gt;0,I907*(1+J907/30),J907)),IF(N(L907)=0,0,IF(N(K907)&gt;0,K907*(1+L907/30),L907)),IF(N(N907)=0,0,IF(N(M907)&gt;0,M907*(1+N907/30),N907))))</f>
        <v/>
      </c>
      <c r="Y907">
        <f>IF(N(X907)=0,"",X907+ROW()/1000000000)</f>
        <v/>
      </c>
      <c r="Z907">
        <f>IF(Y907="","",IF(COUNTIFS(Log!$D$6:$D$1505,D907,Log!$Y$6:$Y$1505,"&gt;"&amp;Y907)=0,1,0))</f>
        <v/>
      </c>
      <c r="AA907">
        <f>IF(OR(B907="",D907=""),"",B907+ROW()/10000000)</f>
        <v/>
      </c>
      <c r="AB907">
        <f>IF(AA907="","",IF(COUNTIFS(Log!$D$6:$D$1505,D907,Log!$AA$6:$AA$1505,"&gt;"&amp;AA907)=0,1,0))</f>
        <v/>
      </c>
      <c r="AC907">
        <f>IF(S907="New best",AA907,"")</f>
        <v/>
      </c>
      <c r="AD907">
        <f>ROW()</f>
        <v/>
      </c>
    </row>
    <row r="908">
      <c r="A908" s="1" t="n"/>
      <c r="B908" s="21" t="n"/>
      <c r="C908" s="22" t="n"/>
      <c r="D908" s="23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15">
        <f>IF(D908="","",COUNT(F908,H908,J908,L908,N908))</f>
        <v/>
      </c>
      <c r="P908" s="25">
        <f>IF(D908="","",N(E908)*N(F908)+N(G908)*N(H908)+N(I908)*N(J908)+N(K908)*N(L908)+N(M908)*N(N908))</f>
        <v/>
      </c>
      <c r="Q908" s="18">
        <f>IF(N(X908)=0,"",IF(IF(N(F908)=0,0,IF(N(E908)&gt;0,E908*(1+F908/30),F908))=X908,IF(N(E908)&gt;0,E908&amp;" x "&amp;F908,F908&amp;" reps"),IF(IF(N(H908)=0,0,IF(N(G908)&gt;0,G908*(1+H908/30),H908))=X908,IF(N(G908)&gt;0,G908&amp;" x "&amp;H908,H908&amp;" reps"),IF(IF(N(J908)=0,0,IF(N(I908)&gt;0,I908*(1+J908/30),J908))=X908,IF(N(I908)&gt;0,I908&amp;" x "&amp;J908,J908&amp;" reps"),IF(IF(N(L908)=0,0,IF(N(K908)&gt;0,K908*(1+L908/30),L908))=X908,IF(N(K908)&gt;0,K908&amp;" x "&amp;L908,L908&amp;" reps"),IF(IF(N(N908)=0,0,IF(N(M908)&gt;0,M908*(1+N908/30),N908))=X908,IF(N(M908)&gt;0,M908&amp;" x "&amp;N908,N908&amp;" reps"),""))))))</f>
        <v/>
      </c>
      <c r="R908" s="20">
        <f>IF(N(X908)=0,"",ROUND(X908,1))</f>
        <v/>
      </c>
      <c r="S908" s="18">
        <f>IF(N(X908)=0,"",IF(AND(COUNTIFS(Log!$D$6:$D$1505,D908,Log!$B$6:$B$1505,"&lt;"&amp;B908)&gt;0,COUNTIFS(Log!$D$6:$D$1505,D908,Log!$B$6:$B$1505,"&lt;"&amp;B908,Log!$X$6:$X$1505,"&gt;="&amp;X908)=0),"New best",""))</f>
        <v/>
      </c>
      <c r="T908" s="26" t="n"/>
      <c r="U908" s="1">
        <f>IF(D908="","",IFERROR(INDEX(Exercises!$C$6:$C$105,MATCH(D908,Exercises!$B$6:$B$105,0)),"Other"))</f>
        <v/>
      </c>
      <c r="V908">
        <f>IF(B908="","",IF(COUNTIF($B$6:B908,B908)=1,1,0))</f>
        <v/>
      </c>
      <c r="W908">
        <f>IF(B908="","",B908-WEEKDAY(B908,3))</f>
        <v/>
      </c>
      <c r="X908">
        <f>IF(D908="","",MAX(IF(N(F908)=0,0,IF(N(E908)&gt;0,E908*(1+F908/30),F908)),IF(N(H908)=0,0,IF(N(G908)&gt;0,G908*(1+H908/30),H908)),IF(N(J908)=0,0,IF(N(I908)&gt;0,I908*(1+J908/30),J908)),IF(N(L908)=0,0,IF(N(K908)&gt;0,K908*(1+L908/30),L908)),IF(N(N908)=0,0,IF(N(M908)&gt;0,M908*(1+N908/30),N908))))</f>
        <v/>
      </c>
      <c r="Y908">
        <f>IF(N(X908)=0,"",X908+ROW()/1000000000)</f>
        <v/>
      </c>
      <c r="Z908">
        <f>IF(Y908="","",IF(COUNTIFS(Log!$D$6:$D$1505,D908,Log!$Y$6:$Y$1505,"&gt;"&amp;Y908)=0,1,0))</f>
        <v/>
      </c>
      <c r="AA908">
        <f>IF(OR(B908="",D908=""),"",B908+ROW()/10000000)</f>
        <v/>
      </c>
      <c r="AB908">
        <f>IF(AA908="","",IF(COUNTIFS(Log!$D$6:$D$1505,D908,Log!$AA$6:$AA$1505,"&gt;"&amp;AA908)=0,1,0))</f>
        <v/>
      </c>
      <c r="AC908">
        <f>IF(S908="New best",AA908,"")</f>
        <v/>
      </c>
      <c r="AD908">
        <f>ROW()</f>
        <v/>
      </c>
    </row>
    <row r="909">
      <c r="A909" s="1" t="n"/>
      <c r="B909" s="21" t="n"/>
      <c r="C909" s="22" t="n"/>
      <c r="D909" s="23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15">
        <f>IF(D909="","",COUNT(F909,H909,J909,L909,N909))</f>
        <v/>
      </c>
      <c r="P909" s="25">
        <f>IF(D909="","",N(E909)*N(F909)+N(G909)*N(H909)+N(I909)*N(J909)+N(K909)*N(L909)+N(M909)*N(N909))</f>
        <v/>
      </c>
      <c r="Q909" s="18">
        <f>IF(N(X909)=0,"",IF(IF(N(F909)=0,0,IF(N(E909)&gt;0,E909*(1+F909/30),F909))=X909,IF(N(E909)&gt;0,E909&amp;" x "&amp;F909,F909&amp;" reps"),IF(IF(N(H909)=0,0,IF(N(G909)&gt;0,G909*(1+H909/30),H909))=X909,IF(N(G909)&gt;0,G909&amp;" x "&amp;H909,H909&amp;" reps"),IF(IF(N(J909)=0,0,IF(N(I909)&gt;0,I909*(1+J909/30),J909))=X909,IF(N(I909)&gt;0,I909&amp;" x "&amp;J909,J909&amp;" reps"),IF(IF(N(L909)=0,0,IF(N(K909)&gt;0,K909*(1+L909/30),L909))=X909,IF(N(K909)&gt;0,K909&amp;" x "&amp;L909,L909&amp;" reps"),IF(IF(N(N909)=0,0,IF(N(M909)&gt;0,M909*(1+N909/30),N909))=X909,IF(N(M909)&gt;0,M909&amp;" x "&amp;N909,N909&amp;" reps"),""))))))</f>
        <v/>
      </c>
      <c r="R909" s="20">
        <f>IF(N(X909)=0,"",ROUND(X909,1))</f>
        <v/>
      </c>
      <c r="S909" s="18">
        <f>IF(N(X909)=0,"",IF(AND(COUNTIFS(Log!$D$6:$D$1505,D909,Log!$B$6:$B$1505,"&lt;"&amp;B909)&gt;0,COUNTIFS(Log!$D$6:$D$1505,D909,Log!$B$6:$B$1505,"&lt;"&amp;B909,Log!$X$6:$X$1505,"&gt;="&amp;X909)=0),"New best",""))</f>
        <v/>
      </c>
      <c r="T909" s="26" t="n"/>
      <c r="U909" s="1">
        <f>IF(D909="","",IFERROR(INDEX(Exercises!$C$6:$C$105,MATCH(D909,Exercises!$B$6:$B$105,0)),"Other"))</f>
        <v/>
      </c>
      <c r="V909">
        <f>IF(B909="","",IF(COUNTIF($B$6:B909,B909)=1,1,0))</f>
        <v/>
      </c>
      <c r="W909">
        <f>IF(B909="","",B909-WEEKDAY(B909,3))</f>
        <v/>
      </c>
      <c r="X909">
        <f>IF(D909="","",MAX(IF(N(F909)=0,0,IF(N(E909)&gt;0,E909*(1+F909/30),F909)),IF(N(H909)=0,0,IF(N(G909)&gt;0,G909*(1+H909/30),H909)),IF(N(J909)=0,0,IF(N(I909)&gt;0,I909*(1+J909/30),J909)),IF(N(L909)=0,0,IF(N(K909)&gt;0,K909*(1+L909/30),L909)),IF(N(N909)=0,0,IF(N(M909)&gt;0,M909*(1+N909/30),N909))))</f>
        <v/>
      </c>
      <c r="Y909">
        <f>IF(N(X909)=0,"",X909+ROW()/1000000000)</f>
        <v/>
      </c>
      <c r="Z909">
        <f>IF(Y909="","",IF(COUNTIFS(Log!$D$6:$D$1505,D909,Log!$Y$6:$Y$1505,"&gt;"&amp;Y909)=0,1,0))</f>
        <v/>
      </c>
      <c r="AA909">
        <f>IF(OR(B909="",D909=""),"",B909+ROW()/10000000)</f>
        <v/>
      </c>
      <c r="AB909">
        <f>IF(AA909="","",IF(COUNTIFS(Log!$D$6:$D$1505,D909,Log!$AA$6:$AA$1505,"&gt;"&amp;AA909)=0,1,0))</f>
        <v/>
      </c>
      <c r="AC909">
        <f>IF(S909="New best",AA909,"")</f>
        <v/>
      </c>
      <c r="AD909">
        <f>ROW()</f>
        <v/>
      </c>
    </row>
    <row r="910">
      <c r="A910" s="1" t="n"/>
      <c r="B910" s="21" t="n"/>
      <c r="C910" s="22" t="n"/>
      <c r="D910" s="23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15">
        <f>IF(D910="","",COUNT(F910,H910,J910,L910,N910))</f>
        <v/>
      </c>
      <c r="P910" s="25">
        <f>IF(D910="","",N(E910)*N(F910)+N(G910)*N(H910)+N(I910)*N(J910)+N(K910)*N(L910)+N(M910)*N(N910))</f>
        <v/>
      </c>
      <c r="Q910" s="18">
        <f>IF(N(X910)=0,"",IF(IF(N(F910)=0,0,IF(N(E910)&gt;0,E910*(1+F910/30),F910))=X910,IF(N(E910)&gt;0,E910&amp;" x "&amp;F910,F910&amp;" reps"),IF(IF(N(H910)=0,0,IF(N(G910)&gt;0,G910*(1+H910/30),H910))=X910,IF(N(G910)&gt;0,G910&amp;" x "&amp;H910,H910&amp;" reps"),IF(IF(N(J910)=0,0,IF(N(I910)&gt;0,I910*(1+J910/30),J910))=X910,IF(N(I910)&gt;0,I910&amp;" x "&amp;J910,J910&amp;" reps"),IF(IF(N(L910)=0,0,IF(N(K910)&gt;0,K910*(1+L910/30),L910))=X910,IF(N(K910)&gt;0,K910&amp;" x "&amp;L910,L910&amp;" reps"),IF(IF(N(N910)=0,0,IF(N(M910)&gt;0,M910*(1+N910/30),N910))=X910,IF(N(M910)&gt;0,M910&amp;" x "&amp;N910,N910&amp;" reps"),""))))))</f>
        <v/>
      </c>
      <c r="R910" s="20">
        <f>IF(N(X910)=0,"",ROUND(X910,1))</f>
        <v/>
      </c>
      <c r="S910" s="18">
        <f>IF(N(X910)=0,"",IF(AND(COUNTIFS(Log!$D$6:$D$1505,D910,Log!$B$6:$B$1505,"&lt;"&amp;B910)&gt;0,COUNTIFS(Log!$D$6:$D$1505,D910,Log!$B$6:$B$1505,"&lt;"&amp;B910,Log!$X$6:$X$1505,"&gt;="&amp;X910)=0),"New best",""))</f>
        <v/>
      </c>
      <c r="T910" s="26" t="n"/>
      <c r="U910" s="1">
        <f>IF(D910="","",IFERROR(INDEX(Exercises!$C$6:$C$105,MATCH(D910,Exercises!$B$6:$B$105,0)),"Other"))</f>
        <v/>
      </c>
      <c r="V910">
        <f>IF(B910="","",IF(COUNTIF($B$6:B910,B910)=1,1,0))</f>
        <v/>
      </c>
      <c r="W910">
        <f>IF(B910="","",B910-WEEKDAY(B910,3))</f>
        <v/>
      </c>
      <c r="X910">
        <f>IF(D910="","",MAX(IF(N(F910)=0,0,IF(N(E910)&gt;0,E910*(1+F910/30),F910)),IF(N(H910)=0,0,IF(N(G910)&gt;0,G910*(1+H910/30),H910)),IF(N(J910)=0,0,IF(N(I910)&gt;0,I910*(1+J910/30),J910)),IF(N(L910)=0,0,IF(N(K910)&gt;0,K910*(1+L910/30),L910)),IF(N(N910)=0,0,IF(N(M910)&gt;0,M910*(1+N910/30),N910))))</f>
        <v/>
      </c>
      <c r="Y910">
        <f>IF(N(X910)=0,"",X910+ROW()/1000000000)</f>
        <v/>
      </c>
      <c r="Z910">
        <f>IF(Y910="","",IF(COUNTIFS(Log!$D$6:$D$1505,D910,Log!$Y$6:$Y$1505,"&gt;"&amp;Y910)=0,1,0))</f>
        <v/>
      </c>
      <c r="AA910">
        <f>IF(OR(B910="",D910=""),"",B910+ROW()/10000000)</f>
        <v/>
      </c>
      <c r="AB910">
        <f>IF(AA910="","",IF(COUNTIFS(Log!$D$6:$D$1505,D910,Log!$AA$6:$AA$1505,"&gt;"&amp;AA910)=0,1,0))</f>
        <v/>
      </c>
      <c r="AC910">
        <f>IF(S910="New best",AA910,"")</f>
        <v/>
      </c>
      <c r="AD910">
        <f>ROW()</f>
        <v/>
      </c>
    </row>
    <row r="911">
      <c r="A911" s="1" t="n"/>
      <c r="B911" s="21" t="n"/>
      <c r="C911" s="22" t="n"/>
      <c r="D911" s="23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15">
        <f>IF(D911="","",COUNT(F911,H911,J911,L911,N911))</f>
        <v/>
      </c>
      <c r="P911" s="25">
        <f>IF(D911="","",N(E911)*N(F911)+N(G911)*N(H911)+N(I911)*N(J911)+N(K911)*N(L911)+N(M911)*N(N911))</f>
        <v/>
      </c>
      <c r="Q911" s="18">
        <f>IF(N(X911)=0,"",IF(IF(N(F911)=0,0,IF(N(E911)&gt;0,E911*(1+F911/30),F911))=X911,IF(N(E911)&gt;0,E911&amp;" x "&amp;F911,F911&amp;" reps"),IF(IF(N(H911)=0,0,IF(N(G911)&gt;0,G911*(1+H911/30),H911))=X911,IF(N(G911)&gt;0,G911&amp;" x "&amp;H911,H911&amp;" reps"),IF(IF(N(J911)=0,0,IF(N(I911)&gt;0,I911*(1+J911/30),J911))=X911,IF(N(I911)&gt;0,I911&amp;" x "&amp;J911,J911&amp;" reps"),IF(IF(N(L911)=0,0,IF(N(K911)&gt;0,K911*(1+L911/30),L911))=X911,IF(N(K911)&gt;0,K911&amp;" x "&amp;L911,L911&amp;" reps"),IF(IF(N(N911)=0,0,IF(N(M911)&gt;0,M911*(1+N911/30),N911))=X911,IF(N(M911)&gt;0,M911&amp;" x "&amp;N911,N911&amp;" reps"),""))))))</f>
        <v/>
      </c>
      <c r="R911" s="20">
        <f>IF(N(X911)=0,"",ROUND(X911,1))</f>
        <v/>
      </c>
      <c r="S911" s="18">
        <f>IF(N(X911)=0,"",IF(AND(COUNTIFS(Log!$D$6:$D$1505,D911,Log!$B$6:$B$1505,"&lt;"&amp;B911)&gt;0,COUNTIFS(Log!$D$6:$D$1505,D911,Log!$B$6:$B$1505,"&lt;"&amp;B911,Log!$X$6:$X$1505,"&gt;="&amp;X911)=0),"New best",""))</f>
        <v/>
      </c>
      <c r="T911" s="26" t="n"/>
      <c r="U911" s="1">
        <f>IF(D911="","",IFERROR(INDEX(Exercises!$C$6:$C$105,MATCH(D911,Exercises!$B$6:$B$105,0)),"Other"))</f>
        <v/>
      </c>
      <c r="V911">
        <f>IF(B911="","",IF(COUNTIF($B$6:B911,B911)=1,1,0))</f>
        <v/>
      </c>
      <c r="W911">
        <f>IF(B911="","",B911-WEEKDAY(B911,3))</f>
        <v/>
      </c>
      <c r="X911">
        <f>IF(D911="","",MAX(IF(N(F911)=0,0,IF(N(E911)&gt;0,E911*(1+F911/30),F911)),IF(N(H911)=0,0,IF(N(G911)&gt;0,G911*(1+H911/30),H911)),IF(N(J911)=0,0,IF(N(I911)&gt;0,I911*(1+J911/30),J911)),IF(N(L911)=0,0,IF(N(K911)&gt;0,K911*(1+L911/30),L911)),IF(N(N911)=0,0,IF(N(M911)&gt;0,M911*(1+N911/30),N911))))</f>
        <v/>
      </c>
      <c r="Y911">
        <f>IF(N(X911)=0,"",X911+ROW()/1000000000)</f>
        <v/>
      </c>
      <c r="Z911">
        <f>IF(Y911="","",IF(COUNTIFS(Log!$D$6:$D$1505,D911,Log!$Y$6:$Y$1505,"&gt;"&amp;Y911)=0,1,0))</f>
        <v/>
      </c>
      <c r="AA911">
        <f>IF(OR(B911="",D911=""),"",B911+ROW()/10000000)</f>
        <v/>
      </c>
      <c r="AB911">
        <f>IF(AA911="","",IF(COUNTIFS(Log!$D$6:$D$1505,D911,Log!$AA$6:$AA$1505,"&gt;"&amp;AA911)=0,1,0))</f>
        <v/>
      </c>
      <c r="AC911">
        <f>IF(S911="New best",AA911,"")</f>
        <v/>
      </c>
      <c r="AD911">
        <f>ROW()</f>
        <v/>
      </c>
    </row>
    <row r="912">
      <c r="A912" s="1" t="n"/>
      <c r="B912" s="21" t="n"/>
      <c r="C912" s="22" t="n"/>
      <c r="D912" s="23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15">
        <f>IF(D912="","",COUNT(F912,H912,J912,L912,N912))</f>
        <v/>
      </c>
      <c r="P912" s="25">
        <f>IF(D912="","",N(E912)*N(F912)+N(G912)*N(H912)+N(I912)*N(J912)+N(K912)*N(L912)+N(M912)*N(N912))</f>
        <v/>
      </c>
      <c r="Q912" s="18">
        <f>IF(N(X912)=0,"",IF(IF(N(F912)=0,0,IF(N(E912)&gt;0,E912*(1+F912/30),F912))=X912,IF(N(E912)&gt;0,E912&amp;" x "&amp;F912,F912&amp;" reps"),IF(IF(N(H912)=0,0,IF(N(G912)&gt;0,G912*(1+H912/30),H912))=X912,IF(N(G912)&gt;0,G912&amp;" x "&amp;H912,H912&amp;" reps"),IF(IF(N(J912)=0,0,IF(N(I912)&gt;0,I912*(1+J912/30),J912))=X912,IF(N(I912)&gt;0,I912&amp;" x "&amp;J912,J912&amp;" reps"),IF(IF(N(L912)=0,0,IF(N(K912)&gt;0,K912*(1+L912/30),L912))=X912,IF(N(K912)&gt;0,K912&amp;" x "&amp;L912,L912&amp;" reps"),IF(IF(N(N912)=0,0,IF(N(M912)&gt;0,M912*(1+N912/30),N912))=X912,IF(N(M912)&gt;0,M912&amp;" x "&amp;N912,N912&amp;" reps"),""))))))</f>
        <v/>
      </c>
      <c r="R912" s="20">
        <f>IF(N(X912)=0,"",ROUND(X912,1))</f>
        <v/>
      </c>
      <c r="S912" s="18">
        <f>IF(N(X912)=0,"",IF(AND(COUNTIFS(Log!$D$6:$D$1505,D912,Log!$B$6:$B$1505,"&lt;"&amp;B912)&gt;0,COUNTIFS(Log!$D$6:$D$1505,D912,Log!$B$6:$B$1505,"&lt;"&amp;B912,Log!$X$6:$X$1505,"&gt;="&amp;X912)=0),"New best",""))</f>
        <v/>
      </c>
      <c r="T912" s="26" t="n"/>
      <c r="U912" s="1">
        <f>IF(D912="","",IFERROR(INDEX(Exercises!$C$6:$C$105,MATCH(D912,Exercises!$B$6:$B$105,0)),"Other"))</f>
        <v/>
      </c>
      <c r="V912">
        <f>IF(B912="","",IF(COUNTIF($B$6:B912,B912)=1,1,0))</f>
        <v/>
      </c>
      <c r="W912">
        <f>IF(B912="","",B912-WEEKDAY(B912,3))</f>
        <v/>
      </c>
      <c r="X912">
        <f>IF(D912="","",MAX(IF(N(F912)=0,0,IF(N(E912)&gt;0,E912*(1+F912/30),F912)),IF(N(H912)=0,0,IF(N(G912)&gt;0,G912*(1+H912/30),H912)),IF(N(J912)=0,0,IF(N(I912)&gt;0,I912*(1+J912/30),J912)),IF(N(L912)=0,0,IF(N(K912)&gt;0,K912*(1+L912/30),L912)),IF(N(N912)=0,0,IF(N(M912)&gt;0,M912*(1+N912/30),N912))))</f>
        <v/>
      </c>
      <c r="Y912">
        <f>IF(N(X912)=0,"",X912+ROW()/1000000000)</f>
        <v/>
      </c>
      <c r="Z912">
        <f>IF(Y912="","",IF(COUNTIFS(Log!$D$6:$D$1505,D912,Log!$Y$6:$Y$1505,"&gt;"&amp;Y912)=0,1,0))</f>
        <v/>
      </c>
      <c r="AA912">
        <f>IF(OR(B912="",D912=""),"",B912+ROW()/10000000)</f>
        <v/>
      </c>
      <c r="AB912">
        <f>IF(AA912="","",IF(COUNTIFS(Log!$D$6:$D$1505,D912,Log!$AA$6:$AA$1505,"&gt;"&amp;AA912)=0,1,0))</f>
        <v/>
      </c>
      <c r="AC912">
        <f>IF(S912="New best",AA912,"")</f>
        <v/>
      </c>
      <c r="AD912">
        <f>ROW()</f>
        <v/>
      </c>
    </row>
    <row r="913">
      <c r="A913" s="1" t="n"/>
      <c r="B913" s="21" t="n"/>
      <c r="C913" s="22" t="n"/>
      <c r="D913" s="23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15">
        <f>IF(D913="","",COUNT(F913,H913,J913,L913,N913))</f>
        <v/>
      </c>
      <c r="P913" s="25">
        <f>IF(D913="","",N(E913)*N(F913)+N(G913)*N(H913)+N(I913)*N(J913)+N(K913)*N(L913)+N(M913)*N(N913))</f>
        <v/>
      </c>
      <c r="Q913" s="18">
        <f>IF(N(X913)=0,"",IF(IF(N(F913)=0,0,IF(N(E913)&gt;0,E913*(1+F913/30),F913))=X913,IF(N(E913)&gt;0,E913&amp;" x "&amp;F913,F913&amp;" reps"),IF(IF(N(H913)=0,0,IF(N(G913)&gt;0,G913*(1+H913/30),H913))=X913,IF(N(G913)&gt;0,G913&amp;" x "&amp;H913,H913&amp;" reps"),IF(IF(N(J913)=0,0,IF(N(I913)&gt;0,I913*(1+J913/30),J913))=X913,IF(N(I913)&gt;0,I913&amp;" x "&amp;J913,J913&amp;" reps"),IF(IF(N(L913)=0,0,IF(N(K913)&gt;0,K913*(1+L913/30),L913))=X913,IF(N(K913)&gt;0,K913&amp;" x "&amp;L913,L913&amp;" reps"),IF(IF(N(N913)=0,0,IF(N(M913)&gt;0,M913*(1+N913/30),N913))=X913,IF(N(M913)&gt;0,M913&amp;" x "&amp;N913,N913&amp;" reps"),""))))))</f>
        <v/>
      </c>
      <c r="R913" s="20">
        <f>IF(N(X913)=0,"",ROUND(X913,1))</f>
        <v/>
      </c>
      <c r="S913" s="18">
        <f>IF(N(X913)=0,"",IF(AND(COUNTIFS(Log!$D$6:$D$1505,D913,Log!$B$6:$B$1505,"&lt;"&amp;B913)&gt;0,COUNTIFS(Log!$D$6:$D$1505,D913,Log!$B$6:$B$1505,"&lt;"&amp;B913,Log!$X$6:$X$1505,"&gt;="&amp;X913)=0),"New best",""))</f>
        <v/>
      </c>
      <c r="T913" s="26" t="n"/>
      <c r="U913" s="1">
        <f>IF(D913="","",IFERROR(INDEX(Exercises!$C$6:$C$105,MATCH(D913,Exercises!$B$6:$B$105,0)),"Other"))</f>
        <v/>
      </c>
      <c r="V913">
        <f>IF(B913="","",IF(COUNTIF($B$6:B913,B913)=1,1,0))</f>
        <v/>
      </c>
      <c r="W913">
        <f>IF(B913="","",B913-WEEKDAY(B913,3))</f>
        <v/>
      </c>
      <c r="X913">
        <f>IF(D913="","",MAX(IF(N(F913)=0,0,IF(N(E913)&gt;0,E913*(1+F913/30),F913)),IF(N(H913)=0,0,IF(N(G913)&gt;0,G913*(1+H913/30),H913)),IF(N(J913)=0,0,IF(N(I913)&gt;0,I913*(1+J913/30),J913)),IF(N(L913)=0,0,IF(N(K913)&gt;0,K913*(1+L913/30),L913)),IF(N(N913)=0,0,IF(N(M913)&gt;0,M913*(1+N913/30),N913))))</f>
        <v/>
      </c>
      <c r="Y913">
        <f>IF(N(X913)=0,"",X913+ROW()/1000000000)</f>
        <v/>
      </c>
      <c r="Z913">
        <f>IF(Y913="","",IF(COUNTIFS(Log!$D$6:$D$1505,D913,Log!$Y$6:$Y$1505,"&gt;"&amp;Y913)=0,1,0))</f>
        <v/>
      </c>
      <c r="AA913">
        <f>IF(OR(B913="",D913=""),"",B913+ROW()/10000000)</f>
        <v/>
      </c>
      <c r="AB913">
        <f>IF(AA913="","",IF(COUNTIFS(Log!$D$6:$D$1505,D913,Log!$AA$6:$AA$1505,"&gt;"&amp;AA913)=0,1,0))</f>
        <v/>
      </c>
      <c r="AC913">
        <f>IF(S913="New best",AA913,"")</f>
        <v/>
      </c>
      <c r="AD913">
        <f>ROW()</f>
        <v/>
      </c>
    </row>
    <row r="914">
      <c r="A914" s="1" t="n"/>
      <c r="B914" s="21" t="n"/>
      <c r="C914" s="22" t="n"/>
      <c r="D914" s="23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15">
        <f>IF(D914="","",COUNT(F914,H914,J914,L914,N914))</f>
        <v/>
      </c>
      <c r="P914" s="25">
        <f>IF(D914="","",N(E914)*N(F914)+N(G914)*N(H914)+N(I914)*N(J914)+N(K914)*N(L914)+N(M914)*N(N914))</f>
        <v/>
      </c>
      <c r="Q914" s="18">
        <f>IF(N(X914)=0,"",IF(IF(N(F914)=0,0,IF(N(E914)&gt;0,E914*(1+F914/30),F914))=X914,IF(N(E914)&gt;0,E914&amp;" x "&amp;F914,F914&amp;" reps"),IF(IF(N(H914)=0,0,IF(N(G914)&gt;0,G914*(1+H914/30),H914))=X914,IF(N(G914)&gt;0,G914&amp;" x "&amp;H914,H914&amp;" reps"),IF(IF(N(J914)=0,0,IF(N(I914)&gt;0,I914*(1+J914/30),J914))=X914,IF(N(I914)&gt;0,I914&amp;" x "&amp;J914,J914&amp;" reps"),IF(IF(N(L914)=0,0,IF(N(K914)&gt;0,K914*(1+L914/30),L914))=X914,IF(N(K914)&gt;0,K914&amp;" x "&amp;L914,L914&amp;" reps"),IF(IF(N(N914)=0,0,IF(N(M914)&gt;0,M914*(1+N914/30),N914))=X914,IF(N(M914)&gt;0,M914&amp;" x "&amp;N914,N914&amp;" reps"),""))))))</f>
        <v/>
      </c>
      <c r="R914" s="20">
        <f>IF(N(X914)=0,"",ROUND(X914,1))</f>
        <v/>
      </c>
      <c r="S914" s="18">
        <f>IF(N(X914)=0,"",IF(AND(COUNTIFS(Log!$D$6:$D$1505,D914,Log!$B$6:$B$1505,"&lt;"&amp;B914)&gt;0,COUNTIFS(Log!$D$6:$D$1505,D914,Log!$B$6:$B$1505,"&lt;"&amp;B914,Log!$X$6:$X$1505,"&gt;="&amp;X914)=0),"New best",""))</f>
        <v/>
      </c>
      <c r="T914" s="26" t="n"/>
      <c r="U914" s="1">
        <f>IF(D914="","",IFERROR(INDEX(Exercises!$C$6:$C$105,MATCH(D914,Exercises!$B$6:$B$105,0)),"Other"))</f>
        <v/>
      </c>
      <c r="V914">
        <f>IF(B914="","",IF(COUNTIF($B$6:B914,B914)=1,1,0))</f>
        <v/>
      </c>
      <c r="W914">
        <f>IF(B914="","",B914-WEEKDAY(B914,3))</f>
        <v/>
      </c>
      <c r="X914">
        <f>IF(D914="","",MAX(IF(N(F914)=0,0,IF(N(E914)&gt;0,E914*(1+F914/30),F914)),IF(N(H914)=0,0,IF(N(G914)&gt;0,G914*(1+H914/30),H914)),IF(N(J914)=0,0,IF(N(I914)&gt;0,I914*(1+J914/30),J914)),IF(N(L914)=0,0,IF(N(K914)&gt;0,K914*(1+L914/30),L914)),IF(N(N914)=0,0,IF(N(M914)&gt;0,M914*(1+N914/30),N914))))</f>
        <v/>
      </c>
      <c r="Y914">
        <f>IF(N(X914)=0,"",X914+ROW()/1000000000)</f>
        <v/>
      </c>
      <c r="Z914">
        <f>IF(Y914="","",IF(COUNTIFS(Log!$D$6:$D$1505,D914,Log!$Y$6:$Y$1505,"&gt;"&amp;Y914)=0,1,0))</f>
        <v/>
      </c>
      <c r="AA914">
        <f>IF(OR(B914="",D914=""),"",B914+ROW()/10000000)</f>
        <v/>
      </c>
      <c r="AB914">
        <f>IF(AA914="","",IF(COUNTIFS(Log!$D$6:$D$1505,D914,Log!$AA$6:$AA$1505,"&gt;"&amp;AA914)=0,1,0))</f>
        <v/>
      </c>
      <c r="AC914">
        <f>IF(S914="New best",AA914,"")</f>
        <v/>
      </c>
      <c r="AD914">
        <f>ROW()</f>
        <v/>
      </c>
    </row>
    <row r="915">
      <c r="A915" s="1" t="n"/>
      <c r="B915" s="21" t="n"/>
      <c r="C915" s="22" t="n"/>
      <c r="D915" s="23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15">
        <f>IF(D915="","",COUNT(F915,H915,J915,L915,N915))</f>
        <v/>
      </c>
      <c r="P915" s="25">
        <f>IF(D915="","",N(E915)*N(F915)+N(G915)*N(H915)+N(I915)*N(J915)+N(K915)*N(L915)+N(M915)*N(N915))</f>
        <v/>
      </c>
      <c r="Q915" s="18">
        <f>IF(N(X915)=0,"",IF(IF(N(F915)=0,0,IF(N(E915)&gt;0,E915*(1+F915/30),F915))=X915,IF(N(E915)&gt;0,E915&amp;" x "&amp;F915,F915&amp;" reps"),IF(IF(N(H915)=0,0,IF(N(G915)&gt;0,G915*(1+H915/30),H915))=X915,IF(N(G915)&gt;0,G915&amp;" x "&amp;H915,H915&amp;" reps"),IF(IF(N(J915)=0,0,IF(N(I915)&gt;0,I915*(1+J915/30),J915))=X915,IF(N(I915)&gt;0,I915&amp;" x "&amp;J915,J915&amp;" reps"),IF(IF(N(L915)=0,0,IF(N(K915)&gt;0,K915*(1+L915/30),L915))=X915,IF(N(K915)&gt;0,K915&amp;" x "&amp;L915,L915&amp;" reps"),IF(IF(N(N915)=0,0,IF(N(M915)&gt;0,M915*(1+N915/30),N915))=X915,IF(N(M915)&gt;0,M915&amp;" x "&amp;N915,N915&amp;" reps"),""))))))</f>
        <v/>
      </c>
      <c r="R915" s="20">
        <f>IF(N(X915)=0,"",ROUND(X915,1))</f>
        <v/>
      </c>
      <c r="S915" s="18">
        <f>IF(N(X915)=0,"",IF(AND(COUNTIFS(Log!$D$6:$D$1505,D915,Log!$B$6:$B$1505,"&lt;"&amp;B915)&gt;0,COUNTIFS(Log!$D$6:$D$1505,D915,Log!$B$6:$B$1505,"&lt;"&amp;B915,Log!$X$6:$X$1505,"&gt;="&amp;X915)=0),"New best",""))</f>
        <v/>
      </c>
      <c r="T915" s="26" t="n"/>
      <c r="U915" s="1">
        <f>IF(D915="","",IFERROR(INDEX(Exercises!$C$6:$C$105,MATCH(D915,Exercises!$B$6:$B$105,0)),"Other"))</f>
        <v/>
      </c>
      <c r="V915">
        <f>IF(B915="","",IF(COUNTIF($B$6:B915,B915)=1,1,0))</f>
        <v/>
      </c>
      <c r="W915">
        <f>IF(B915="","",B915-WEEKDAY(B915,3))</f>
        <v/>
      </c>
      <c r="X915">
        <f>IF(D915="","",MAX(IF(N(F915)=0,0,IF(N(E915)&gt;0,E915*(1+F915/30),F915)),IF(N(H915)=0,0,IF(N(G915)&gt;0,G915*(1+H915/30),H915)),IF(N(J915)=0,0,IF(N(I915)&gt;0,I915*(1+J915/30),J915)),IF(N(L915)=0,0,IF(N(K915)&gt;0,K915*(1+L915/30),L915)),IF(N(N915)=0,0,IF(N(M915)&gt;0,M915*(1+N915/30),N915))))</f>
        <v/>
      </c>
      <c r="Y915">
        <f>IF(N(X915)=0,"",X915+ROW()/1000000000)</f>
        <v/>
      </c>
      <c r="Z915">
        <f>IF(Y915="","",IF(COUNTIFS(Log!$D$6:$D$1505,D915,Log!$Y$6:$Y$1505,"&gt;"&amp;Y915)=0,1,0))</f>
        <v/>
      </c>
      <c r="AA915">
        <f>IF(OR(B915="",D915=""),"",B915+ROW()/10000000)</f>
        <v/>
      </c>
      <c r="AB915">
        <f>IF(AA915="","",IF(COUNTIFS(Log!$D$6:$D$1505,D915,Log!$AA$6:$AA$1505,"&gt;"&amp;AA915)=0,1,0))</f>
        <v/>
      </c>
      <c r="AC915">
        <f>IF(S915="New best",AA915,"")</f>
        <v/>
      </c>
      <c r="AD915">
        <f>ROW()</f>
        <v/>
      </c>
    </row>
    <row r="916">
      <c r="A916" s="1" t="n"/>
      <c r="B916" s="21" t="n"/>
      <c r="C916" s="22" t="n"/>
      <c r="D916" s="23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15">
        <f>IF(D916="","",COUNT(F916,H916,J916,L916,N916))</f>
        <v/>
      </c>
      <c r="P916" s="25">
        <f>IF(D916="","",N(E916)*N(F916)+N(G916)*N(H916)+N(I916)*N(J916)+N(K916)*N(L916)+N(M916)*N(N916))</f>
        <v/>
      </c>
      <c r="Q916" s="18">
        <f>IF(N(X916)=0,"",IF(IF(N(F916)=0,0,IF(N(E916)&gt;0,E916*(1+F916/30),F916))=X916,IF(N(E916)&gt;0,E916&amp;" x "&amp;F916,F916&amp;" reps"),IF(IF(N(H916)=0,0,IF(N(G916)&gt;0,G916*(1+H916/30),H916))=X916,IF(N(G916)&gt;0,G916&amp;" x "&amp;H916,H916&amp;" reps"),IF(IF(N(J916)=0,0,IF(N(I916)&gt;0,I916*(1+J916/30),J916))=X916,IF(N(I916)&gt;0,I916&amp;" x "&amp;J916,J916&amp;" reps"),IF(IF(N(L916)=0,0,IF(N(K916)&gt;0,K916*(1+L916/30),L916))=X916,IF(N(K916)&gt;0,K916&amp;" x "&amp;L916,L916&amp;" reps"),IF(IF(N(N916)=0,0,IF(N(M916)&gt;0,M916*(1+N916/30),N916))=X916,IF(N(M916)&gt;0,M916&amp;" x "&amp;N916,N916&amp;" reps"),""))))))</f>
        <v/>
      </c>
      <c r="R916" s="20">
        <f>IF(N(X916)=0,"",ROUND(X916,1))</f>
        <v/>
      </c>
      <c r="S916" s="18">
        <f>IF(N(X916)=0,"",IF(AND(COUNTIFS(Log!$D$6:$D$1505,D916,Log!$B$6:$B$1505,"&lt;"&amp;B916)&gt;0,COUNTIFS(Log!$D$6:$D$1505,D916,Log!$B$6:$B$1505,"&lt;"&amp;B916,Log!$X$6:$X$1505,"&gt;="&amp;X916)=0),"New best",""))</f>
        <v/>
      </c>
      <c r="T916" s="26" t="n"/>
      <c r="U916" s="1">
        <f>IF(D916="","",IFERROR(INDEX(Exercises!$C$6:$C$105,MATCH(D916,Exercises!$B$6:$B$105,0)),"Other"))</f>
        <v/>
      </c>
      <c r="V916">
        <f>IF(B916="","",IF(COUNTIF($B$6:B916,B916)=1,1,0))</f>
        <v/>
      </c>
      <c r="W916">
        <f>IF(B916="","",B916-WEEKDAY(B916,3))</f>
        <v/>
      </c>
      <c r="X916">
        <f>IF(D916="","",MAX(IF(N(F916)=0,0,IF(N(E916)&gt;0,E916*(1+F916/30),F916)),IF(N(H916)=0,0,IF(N(G916)&gt;0,G916*(1+H916/30),H916)),IF(N(J916)=0,0,IF(N(I916)&gt;0,I916*(1+J916/30),J916)),IF(N(L916)=0,0,IF(N(K916)&gt;0,K916*(1+L916/30),L916)),IF(N(N916)=0,0,IF(N(M916)&gt;0,M916*(1+N916/30),N916))))</f>
        <v/>
      </c>
      <c r="Y916">
        <f>IF(N(X916)=0,"",X916+ROW()/1000000000)</f>
        <v/>
      </c>
      <c r="Z916">
        <f>IF(Y916="","",IF(COUNTIFS(Log!$D$6:$D$1505,D916,Log!$Y$6:$Y$1505,"&gt;"&amp;Y916)=0,1,0))</f>
        <v/>
      </c>
      <c r="AA916">
        <f>IF(OR(B916="",D916=""),"",B916+ROW()/10000000)</f>
        <v/>
      </c>
      <c r="AB916">
        <f>IF(AA916="","",IF(COUNTIFS(Log!$D$6:$D$1505,D916,Log!$AA$6:$AA$1505,"&gt;"&amp;AA916)=0,1,0))</f>
        <v/>
      </c>
      <c r="AC916">
        <f>IF(S916="New best",AA916,"")</f>
        <v/>
      </c>
      <c r="AD916">
        <f>ROW()</f>
        <v/>
      </c>
    </row>
    <row r="917">
      <c r="A917" s="1" t="n"/>
      <c r="B917" s="21" t="n"/>
      <c r="C917" s="22" t="n"/>
      <c r="D917" s="23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15">
        <f>IF(D917="","",COUNT(F917,H917,J917,L917,N917))</f>
        <v/>
      </c>
      <c r="P917" s="25">
        <f>IF(D917="","",N(E917)*N(F917)+N(G917)*N(H917)+N(I917)*N(J917)+N(K917)*N(L917)+N(M917)*N(N917))</f>
        <v/>
      </c>
      <c r="Q917" s="18">
        <f>IF(N(X917)=0,"",IF(IF(N(F917)=0,0,IF(N(E917)&gt;0,E917*(1+F917/30),F917))=X917,IF(N(E917)&gt;0,E917&amp;" x "&amp;F917,F917&amp;" reps"),IF(IF(N(H917)=0,0,IF(N(G917)&gt;0,G917*(1+H917/30),H917))=X917,IF(N(G917)&gt;0,G917&amp;" x "&amp;H917,H917&amp;" reps"),IF(IF(N(J917)=0,0,IF(N(I917)&gt;0,I917*(1+J917/30),J917))=X917,IF(N(I917)&gt;0,I917&amp;" x "&amp;J917,J917&amp;" reps"),IF(IF(N(L917)=0,0,IF(N(K917)&gt;0,K917*(1+L917/30),L917))=X917,IF(N(K917)&gt;0,K917&amp;" x "&amp;L917,L917&amp;" reps"),IF(IF(N(N917)=0,0,IF(N(M917)&gt;0,M917*(1+N917/30),N917))=X917,IF(N(M917)&gt;0,M917&amp;" x "&amp;N917,N917&amp;" reps"),""))))))</f>
        <v/>
      </c>
      <c r="R917" s="20">
        <f>IF(N(X917)=0,"",ROUND(X917,1))</f>
        <v/>
      </c>
      <c r="S917" s="18">
        <f>IF(N(X917)=0,"",IF(AND(COUNTIFS(Log!$D$6:$D$1505,D917,Log!$B$6:$B$1505,"&lt;"&amp;B917)&gt;0,COUNTIFS(Log!$D$6:$D$1505,D917,Log!$B$6:$B$1505,"&lt;"&amp;B917,Log!$X$6:$X$1505,"&gt;="&amp;X917)=0),"New best",""))</f>
        <v/>
      </c>
      <c r="T917" s="26" t="n"/>
      <c r="U917" s="1">
        <f>IF(D917="","",IFERROR(INDEX(Exercises!$C$6:$C$105,MATCH(D917,Exercises!$B$6:$B$105,0)),"Other"))</f>
        <v/>
      </c>
      <c r="V917">
        <f>IF(B917="","",IF(COUNTIF($B$6:B917,B917)=1,1,0))</f>
        <v/>
      </c>
      <c r="W917">
        <f>IF(B917="","",B917-WEEKDAY(B917,3))</f>
        <v/>
      </c>
      <c r="X917">
        <f>IF(D917="","",MAX(IF(N(F917)=0,0,IF(N(E917)&gt;0,E917*(1+F917/30),F917)),IF(N(H917)=0,0,IF(N(G917)&gt;0,G917*(1+H917/30),H917)),IF(N(J917)=0,0,IF(N(I917)&gt;0,I917*(1+J917/30),J917)),IF(N(L917)=0,0,IF(N(K917)&gt;0,K917*(1+L917/30),L917)),IF(N(N917)=0,0,IF(N(M917)&gt;0,M917*(1+N917/30),N917))))</f>
        <v/>
      </c>
      <c r="Y917">
        <f>IF(N(X917)=0,"",X917+ROW()/1000000000)</f>
        <v/>
      </c>
      <c r="Z917">
        <f>IF(Y917="","",IF(COUNTIFS(Log!$D$6:$D$1505,D917,Log!$Y$6:$Y$1505,"&gt;"&amp;Y917)=0,1,0))</f>
        <v/>
      </c>
      <c r="AA917">
        <f>IF(OR(B917="",D917=""),"",B917+ROW()/10000000)</f>
        <v/>
      </c>
      <c r="AB917">
        <f>IF(AA917="","",IF(COUNTIFS(Log!$D$6:$D$1505,D917,Log!$AA$6:$AA$1505,"&gt;"&amp;AA917)=0,1,0))</f>
        <v/>
      </c>
      <c r="AC917">
        <f>IF(S917="New best",AA917,"")</f>
        <v/>
      </c>
      <c r="AD917">
        <f>ROW()</f>
        <v/>
      </c>
    </row>
    <row r="918">
      <c r="A918" s="1" t="n"/>
      <c r="B918" s="21" t="n"/>
      <c r="C918" s="22" t="n"/>
      <c r="D918" s="23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15">
        <f>IF(D918="","",COUNT(F918,H918,J918,L918,N918))</f>
        <v/>
      </c>
      <c r="P918" s="25">
        <f>IF(D918="","",N(E918)*N(F918)+N(G918)*N(H918)+N(I918)*N(J918)+N(K918)*N(L918)+N(M918)*N(N918))</f>
        <v/>
      </c>
      <c r="Q918" s="18">
        <f>IF(N(X918)=0,"",IF(IF(N(F918)=0,0,IF(N(E918)&gt;0,E918*(1+F918/30),F918))=X918,IF(N(E918)&gt;0,E918&amp;" x "&amp;F918,F918&amp;" reps"),IF(IF(N(H918)=0,0,IF(N(G918)&gt;0,G918*(1+H918/30),H918))=X918,IF(N(G918)&gt;0,G918&amp;" x "&amp;H918,H918&amp;" reps"),IF(IF(N(J918)=0,0,IF(N(I918)&gt;0,I918*(1+J918/30),J918))=X918,IF(N(I918)&gt;0,I918&amp;" x "&amp;J918,J918&amp;" reps"),IF(IF(N(L918)=0,0,IF(N(K918)&gt;0,K918*(1+L918/30),L918))=X918,IF(N(K918)&gt;0,K918&amp;" x "&amp;L918,L918&amp;" reps"),IF(IF(N(N918)=0,0,IF(N(M918)&gt;0,M918*(1+N918/30),N918))=X918,IF(N(M918)&gt;0,M918&amp;" x "&amp;N918,N918&amp;" reps"),""))))))</f>
        <v/>
      </c>
      <c r="R918" s="20">
        <f>IF(N(X918)=0,"",ROUND(X918,1))</f>
        <v/>
      </c>
      <c r="S918" s="18">
        <f>IF(N(X918)=0,"",IF(AND(COUNTIFS(Log!$D$6:$D$1505,D918,Log!$B$6:$B$1505,"&lt;"&amp;B918)&gt;0,COUNTIFS(Log!$D$6:$D$1505,D918,Log!$B$6:$B$1505,"&lt;"&amp;B918,Log!$X$6:$X$1505,"&gt;="&amp;X918)=0),"New best",""))</f>
        <v/>
      </c>
      <c r="T918" s="26" t="n"/>
      <c r="U918" s="1">
        <f>IF(D918="","",IFERROR(INDEX(Exercises!$C$6:$C$105,MATCH(D918,Exercises!$B$6:$B$105,0)),"Other"))</f>
        <v/>
      </c>
      <c r="V918">
        <f>IF(B918="","",IF(COUNTIF($B$6:B918,B918)=1,1,0))</f>
        <v/>
      </c>
      <c r="W918">
        <f>IF(B918="","",B918-WEEKDAY(B918,3))</f>
        <v/>
      </c>
      <c r="X918">
        <f>IF(D918="","",MAX(IF(N(F918)=0,0,IF(N(E918)&gt;0,E918*(1+F918/30),F918)),IF(N(H918)=0,0,IF(N(G918)&gt;0,G918*(1+H918/30),H918)),IF(N(J918)=0,0,IF(N(I918)&gt;0,I918*(1+J918/30),J918)),IF(N(L918)=0,0,IF(N(K918)&gt;0,K918*(1+L918/30),L918)),IF(N(N918)=0,0,IF(N(M918)&gt;0,M918*(1+N918/30),N918))))</f>
        <v/>
      </c>
      <c r="Y918">
        <f>IF(N(X918)=0,"",X918+ROW()/1000000000)</f>
        <v/>
      </c>
      <c r="Z918">
        <f>IF(Y918="","",IF(COUNTIFS(Log!$D$6:$D$1505,D918,Log!$Y$6:$Y$1505,"&gt;"&amp;Y918)=0,1,0))</f>
        <v/>
      </c>
      <c r="AA918">
        <f>IF(OR(B918="",D918=""),"",B918+ROW()/10000000)</f>
        <v/>
      </c>
      <c r="AB918">
        <f>IF(AA918="","",IF(COUNTIFS(Log!$D$6:$D$1505,D918,Log!$AA$6:$AA$1505,"&gt;"&amp;AA918)=0,1,0))</f>
        <v/>
      </c>
      <c r="AC918">
        <f>IF(S918="New best",AA918,"")</f>
        <v/>
      </c>
      <c r="AD918">
        <f>ROW()</f>
        <v/>
      </c>
    </row>
    <row r="919">
      <c r="A919" s="1" t="n"/>
      <c r="B919" s="21" t="n"/>
      <c r="C919" s="22" t="n"/>
      <c r="D919" s="23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15">
        <f>IF(D919="","",COUNT(F919,H919,J919,L919,N919))</f>
        <v/>
      </c>
      <c r="P919" s="25">
        <f>IF(D919="","",N(E919)*N(F919)+N(G919)*N(H919)+N(I919)*N(J919)+N(K919)*N(L919)+N(M919)*N(N919))</f>
        <v/>
      </c>
      <c r="Q919" s="18">
        <f>IF(N(X919)=0,"",IF(IF(N(F919)=0,0,IF(N(E919)&gt;0,E919*(1+F919/30),F919))=X919,IF(N(E919)&gt;0,E919&amp;" x "&amp;F919,F919&amp;" reps"),IF(IF(N(H919)=0,0,IF(N(G919)&gt;0,G919*(1+H919/30),H919))=X919,IF(N(G919)&gt;0,G919&amp;" x "&amp;H919,H919&amp;" reps"),IF(IF(N(J919)=0,0,IF(N(I919)&gt;0,I919*(1+J919/30),J919))=X919,IF(N(I919)&gt;0,I919&amp;" x "&amp;J919,J919&amp;" reps"),IF(IF(N(L919)=0,0,IF(N(K919)&gt;0,K919*(1+L919/30),L919))=X919,IF(N(K919)&gt;0,K919&amp;" x "&amp;L919,L919&amp;" reps"),IF(IF(N(N919)=0,0,IF(N(M919)&gt;0,M919*(1+N919/30),N919))=X919,IF(N(M919)&gt;0,M919&amp;" x "&amp;N919,N919&amp;" reps"),""))))))</f>
        <v/>
      </c>
      <c r="R919" s="20">
        <f>IF(N(X919)=0,"",ROUND(X919,1))</f>
        <v/>
      </c>
      <c r="S919" s="18">
        <f>IF(N(X919)=0,"",IF(AND(COUNTIFS(Log!$D$6:$D$1505,D919,Log!$B$6:$B$1505,"&lt;"&amp;B919)&gt;0,COUNTIFS(Log!$D$6:$D$1505,D919,Log!$B$6:$B$1505,"&lt;"&amp;B919,Log!$X$6:$X$1505,"&gt;="&amp;X919)=0),"New best",""))</f>
        <v/>
      </c>
      <c r="T919" s="26" t="n"/>
      <c r="U919" s="1">
        <f>IF(D919="","",IFERROR(INDEX(Exercises!$C$6:$C$105,MATCH(D919,Exercises!$B$6:$B$105,0)),"Other"))</f>
        <v/>
      </c>
      <c r="V919">
        <f>IF(B919="","",IF(COUNTIF($B$6:B919,B919)=1,1,0))</f>
        <v/>
      </c>
      <c r="W919">
        <f>IF(B919="","",B919-WEEKDAY(B919,3))</f>
        <v/>
      </c>
      <c r="X919">
        <f>IF(D919="","",MAX(IF(N(F919)=0,0,IF(N(E919)&gt;0,E919*(1+F919/30),F919)),IF(N(H919)=0,0,IF(N(G919)&gt;0,G919*(1+H919/30),H919)),IF(N(J919)=0,0,IF(N(I919)&gt;0,I919*(1+J919/30),J919)),IF(N(L919)=0,0,IF(N(K919)&gt;0,K919*(1+L919/30),L919)),IF(N(N919)=0,0,IF(N(M919)&gt;0,M919*(1+N919/30),N919))))</f>
        <v/>
      </c>
      <c r="Y919">
        <f>IF(N(X919)=0,"",X919+ROW()/1000000000)</f>
        <v/>
      </c>
      <c r="Z919">
        <f>IF(Y919="","",IF(COUNTIFS(Log!$D$6:$D$1505,D919,Log!$Y$6:$Y$1505,"&gt;"&amp;Y919)=0,1,0))</f>
        <v/>
      </c>
      <c r="AA919">
        <f>IF(OR(B919="",D919=""),"",B919+ROW()/10000000)</f>
        <v/>
      </c>
      <c r="AB919">
        <f>IF(AA919="","",IF(COUNTIFS(Log!$D$6:$D$1505,D919,Log!$AA$6:$AA$1505,"&gt;"&amp;AA919)=0,1,0))</f>
        <v/>
      </c>
      <c r="AC919">
        <f>IF(S919="New best",AA919,"")</f>
        <v/>
      </c>
      <c r="AD919">
        <f>ROW()</f>
        <v/>
      </c>
    </row>
    <row r="920">
      <c r="A920" s="1" t="n"/>
      <c r="B920" s="21" t="n"/>
      <c r="C920" s="22" t="n"/>
      <c r="D920" s="23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15">
        <f>IF(D920="","",COUNT(F920,H920,J920,L920,N920))</f>
        <v/>
      </c>
      <c r="P920" s="25">
        <f>IF(D920="","",N(E920)*N(F920)+N(G920)*N(H920)+N(I920)*N(J920)+N(K920)*N(L920)+N(M920)*N(N920))</f>
        <v/>
      </c>
      <c r="Q920" s="18">
        <f>IF(N(X920)=0,"",IF(IF(N(F920)=0,0,IF(N(E920)&gt;0,E920*(1+F920/30),F920))=X920,IF(N(E920)&gt;0,E920&amp;" x "&amp;F920,F920&amp;" reps"),IF(IF(N(H920)=0,0,IF(N(G920)&gt;0,G920*(1+H920/30),H920))=X920,IF(N(G920)&gt;0,G920&amp;" x "&amp;H920,H920&amp;" reps"),IF(IF(N(J920)=0,0,IF(N(I920)&gt;0,I920*(1+J920/30),J920))=X920,IF(N(I920)&gt;0,I920&amp;" x "&amp;J920,J920&amp;" reps"),IF(IF(N(L920)=0,0,IF(N(K920)&gt;0,K920*(1+L920/30),L920))=X920,IF(N(K920)&gt;0,K920&amp;" x "&amp;L920,L920&amp;" reps"),IF(IF(N(N920)=0,0,IF(N(M920)&gt;0,M920*(1+N920/30),N920))=X920,IF(N(M920)&gt;0,M920&amp;" x "&amp;N920,N920&amp;" reps"),""))))))</f>
        <v/>
      </c>
      <c r="R920" s="20">
        <f>IF(N(X920)=0,"",ROUND(X920,1))</f>
        <v/>
      </c>
      <c r="S920" s="18">
        <f>IF(N(X920)=0,"",IF(AND(COUNTIFS(Log!$D$6:$D$1505,D920,Log!$B$6:$B$1505,"&lt;"&amp;B920)&gt;0,COUNTIFS(Log!$D$6:$D$1505,D920,Log!$B$6:$B$1505,"&lt;"&amp;B920,Log!$X$6:$X$1505,"&gt;="&amp;X920)=0),"New best",""))</f>
        <v/>
      </c>
      <c r="T920" s="26" t="n"/>
      <c r="U920" s="1">
        <f>IF(D920="","",IFERROR(INDEX(Exercises!$C$6:$C$105,MATCH(D920,Exercises!$B$6:$B$105,0)),"Other"))</f>
        <v/>
      </c>
      <c r="V920">
        <f>IF(B920="","",IF(COUNTIF($B$6:B920,B920)=1,1,0))</f>
        <v/>
      </c>
      <c r="W920">
        <f>IF(B920="","",B920-WEEKDAY(B920,3))</f>
        <v/>
      </c>
      <c r="X920">
        <f>IF(D920="","",MAX(IF(N(F920)=0,0,IF(N(E920)&gt;0,E920*(1+F920/30),F920)),IF(N(H920)=0,0,IF(N(G920)&gt;0,G920*(1+H920/30),H920)),IF(N(J920)=0,0,IF(N(I920)&gt;0,I920*(1+J920/30),J920)),IF(N(L920)=0,0,IF(N(K920)&gt;0,K920*(1+L920/30),L920)),IF(N(N920)=0,0,IF(N(M920)&gt;0,M920*(1+N920/30),N920))))</f>
        <v/>
      </c>
      <c r="Y920">
        <f>IF(N(X920)=0,"",X920+ROW()/1000000000)</f>
        <v/>
      </c>
      <c r="Z920">
        <f>IF(Y920="","",IF(COUNTIFS(Log!$D$6:$D$1505,D920,Log!$Y$6:$Y$1505,"&gt;"&amp;Y920)=0,1,0))</f>
        <v/>
      </c>
      <c r="AA920">
        <f>IF(OR(B920="",D920=""),"",B920+ROW()/10000000)</f>
        <v/>
      </c>
      <c r="AB920">
        <f>IF(AA920="","",IF(COUNTIFS(Log!$D$6:$D$1505,D920,Log!$AA$6:$AA$1505,"&gt;"&amp;AA920)=0,1,0))</f>
        <v/>
      </c>
      <c r="AC920">
        <f>IF(S920="New best",AA920,"")</f>
        <v/>
      </c>
      <c r="AD920">
        <f>ROW()</f>
        <v/>
      </c>
    </row>
    <row r="921">
      <c r="A921" s="1" t="n"/>
      <c r="B921" s="21" t="n"/>
      <c r="C921" s="22" t="n"/>
      <c r="D921" s="23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15">
        <f>IF(D921="","",COUNT(F921,H921,J921,L921,N921))</f>
        <v/>
      </c>
      <c r="P921" s="25">
        <f>IF(D921="","",N(E921)*N(F921)+N(G921)*N(H921)+N(I921)*N(J921)+N(K921)*N(L921)+N(M921)*N(N921))</f>
        <v/>
      </c>
      <c r="Q921" s="18">
        <f>IF(N(X921)=0,"",IF(IF(N(F921)=0,0,IF(N(E921)&gt;0,E921*(1+F921/30),F921))=X921,IF(N(E921)&gt;0,E921&amp;" x "&amp;F921,F921&amp;" reps"),IF(IF(N(H921)=0,0,IF(N(G921)&gt;0,G921*(1+H921/30),H921))=X921,IF(N(G921)&gt;0,G921&amp;" x "&amp;H921,H921&amp;" reps"),IF(IF(N(J921)=0,0,IF(N(I921)&gt;0,I921*(1+J921/30),J921))=X921,IF(N(I921)&gt;0,I921&amp;" x "&amp;J921,J921&amp;" reps"),IF(IF(N(L921)=0,0,IF(N(K921)&gt;0,K921*(1+L921/30),L921))=X921,IF(N(K921)&gt;0,K921&amp;" x "&amp;L921,L921&amp;" reps"),IF(IF(N(N921)=0,0,IF(N(M921)&gt;0,M921*(1+N921/30),N921))=X921,IF(N(M921)&gt;0,M921&amp;" x "&amp;N921,N921&amp;" reps"),""))))))</f>
        <v/>
      </c>
      <c r="R921" s="20">
        <f>IF(N(X921)=0,"",ROUND(X921,1))</f>
        <v/>
      </c>
      <c r="S921" s="18">
        <f>IF(N(X921)=0,"",IF(AND(COUNTIFS(Log!$D$6:$D$1505,D921,Log!$B$6:$B$1505,"&lt;"&amp;B921)&gt;0,COUNTIFS(Log!$D$6:$D$1505,D921,Log!$B$6:$B$1505,"&lt;"&amp;B921,Log!$X$6:$X$1505,"&gt;="&amp;X921)=0),"New best",""))</f>
        <v/>
      </c>
      <c r="T921" s="26" t="n"/>
      <c r="U921" s="1">
        <f>IF(D921="","",IFERROR(INDEX(Exercises!$C$6:$C$105,MATCH(D921,Exercises!$B$6:$B$105,0)),"Other"))</f>
        <v/>
      </c>
      <c r="V921">
        <f>IF(B921="","",IF(COUNTIF($B$6:B921,B921)=1,1,0))</f>
        <v/>
      </c>
      <c r="W921">
        <f>IF(B921="","",B921-WEEKDAY(B921,3))</f>
        <v/>
      </c>
      <c r="X921">
        <f>IF(D921="","",MAX(IF(N(F921)=0,0,IF(N(E921)&gt;0,E921*(1+F921/30),F921)),IF(N(H921)=0,0,IF(N(G921)&gt;0,G921*(1+H921/30),H921)),IF(N(J921)=0,0,IF(N(I921)&gt;0,I921*(1+J921/30),J921)),IF(N(L921)=0,0,IF(N(K921)&gt;0,K921*(1+L921/30),L921)),IF(N(N921)=0,0,IF(N(M921)&gt;0,M921*(1+N921/30),N921))))</f>
        <v/>
      </c>
      <c r="Y921">
        <f>IF(N(X921)=0,"",X921+ROW()/1000000000)</f>
        <v/>
      </c>
      <c r="Z921">
        <f>IF(Y921="","",IF(COUNTIFS(Log!$D$6:$D$1505,D921,Log!$Y$6:$Y$1505,"&gt;"&amp;Y921)=0,1,0))</f>
        <v/>
      </c>
      <c r="AA921">
        <f>IF(OR(B921="",D921=""),"",B921+ROW()/10000000)</f>
        <v/>
      </c>
      <c r="AB921">
        <f>IF(AA921="","",IF(COUNTIFS(Log!$D$6:$D$1505,D921,Log!$AA$6:$AA$1505,"&gt;"&amp;AA921)=0,1,0))</f>
        <v/>
      </c>
      <c r="AC921">
        <f>IF(S921="New best",AA921,"")</f>
        <v/>
      </c>
      <c r="AD921">
        <f>ROW()</f>
        <v/>
      </c>
    </row>
    <row r="922">
      <c r="A922" s="1" t="n"/>
      <c r="B922" s="21" t="n"/>
      <c r="C922" s="22" t="n"/>
      <c r="D922" s="23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15">
        <f>IF(D922="","",COUNT(F922,H922,J922,L922,N922))</f>
        <v/>
      </c>
      <c r="P922" s="25">
        <f>IF(D922="","",N(E922)*N(F922)+N(G922)*N(H922)+N(I922)*N(J922)+N(K922)*N(L922)+N(M922)*N(N922))</f>
        <v/>
      </c>
      <c r="Q922" s="18">
        <f>IF(N(X922)=0,"",IF(IF(N(F922)=0,0,IF(N(E922)&gt;0,E922*(1+F922/30),F922))=X922,IF(N(E922)&gt;0,E922&amp;" x "&amp;F922,F922&amp;" reps"),IF(IF(N(H922)=0,0,IF(N(G922)&gt;0,G922*(1+H922/30),H922))=X922,IF(N(G922)&gt;0,G922&amp;" x "&amp;H922,H922&amp;" reps"),IF(IF(N(J922)=0,0,IF(N(I922)&gt;0,I922*(1+J922/30),J922))=X922,IF(N(I922)&gt;0,I922&amp;" x "&amp;J922,J922&amp;" reps"),IF(IF(N(L922)=0,0,IF(N(K922)&gt;0,K922*(1+L922/30),L922))=X922,IF(N(K922)&gt;0,K922&amp;" x "&amp;L922,L922&amp;" reps"),IF(IF(N(N922)=0,0,IF(N(M922)&gt;0,M922*(1+N922/30),N922))=X922,IF(N(M922)&gt;0,M922&amp;" x "&amp;N922,N922&amp;" reps"),""))))))</f>
        <v/>
      </c>
      <c r="R922" s="20">
        <f>IF(N(X922)=0,"",ROUND(X922,1))</f>
        <v/>
      </c>
      <c r="S922" s="18">
        <f>IF(N(X922)=0,"",IF(AND(COUNTIFS(Log!$D$6:$D$1505,D922,Log!$B$6:$B$1505,"&lt;"&amp;B922)&gt;0,COUNTIFS(Log!$D$6:$D$1505,D922,Log!$B$6:$B$1505,"&lt;"&amp;B922,Log!$X$6:$X$1505,"&gt;="&amp;X922)=0),"New best",""))</f>
        <v/>
      </c>
      <c r="T922" s="26" t="n"/>
      <c r="U922" s="1">
        <f>IF(D922="","",IFERROR(INDEX(Exercises!$C$6:$C$105,MATCH(D922,Exercises!$B$6:$B$105,0)),"Other"))</f>
        <v/>
      </c>
      <c r="V922">
        <f>IF(B922="","",IF(COUNTIF($B$6:B922,B922)=1,1,0))</f>
        <v/>
      </c>
      <c r="W922">
        <f>IF(B922="","",B922-WEEKDAY(B922,3))</f>
        <v/>
      </c>
      <c r="X922">
        <f>IF(D922="","",MAX(IF(N(F922)=0,0,IF(N(E922)&gt;0,E922*(1+F922/30),F922)),IF(N(H922)=0,0,IF(N(G922)&gt;0,G922*(1+H922/30),H922)),IF(N(J922)=0,0,IF(N(I922)&gt;0,I922*(1+J922/30),J922)),IF(N(L922)=0,0,IF(N(K922)&gt;0,K922*(1+L922/30),L922)),IF(N(N922)=0,0,IF(N(M922)&gt;0,M922*(1+N922/30),N922))))</f>
        <v/>
      </c>
      <c r="Y922">
        <f>IF(N(X922)=0,"",X922+ROW()/1000000000)</f>
        <v/>
      </c>
      <c r="Z922">
        <f>IF(Y922="","",IF(COUNTIFS(Log!$D$6:$D$1505,D922,Log!$Y$6:$Y$1505,"&gt;"&amp;Y922)=0,1,0))</f>
        <v/>
      </c>
      <c r="AA922">
        <f>IF(OR(B922="",D922=""),"",B922+ROW()/10000000)</f>
        <v/>
      </c>
      <c r="AB922">
        <f>IF(AA922="","",IF(COUNTIFS(Log!$D$6:$D$1505,D922,Log!$AA$6:$AA$1505,"&gt;"&amp;AA922)=0,1,0))</f>
        <v/>
      </c>
      <c r="AC922">
        <f>IF(S922="New best",AA922,"")</f>
        <v/>
      </c>
      <c r="AD922">
        <f>ROW()</f>
        <v/>
      </c>
    </row>
    <row r="923">
      <c r="A923" s="1" t="n"/>
      <c r="B923" s="21" t="n"/>
      <c r="C923" s="22" t="n"/>
      <c r="D923" s="23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15">
        <f>IF(D923="","",COUNT(F923,H923,J923,L923,N923))</f>
        <v/>
      </c>
      <c r="P923" s="25">
        <f>IF(D923="","",N(E923)*N(F923)+N(G923)*N(H923)+N(I923)*N(J923)+N(K923)*N(L923)+N(M923)*N(N923))</f>
        <v/>
      </c>
      <c r="Q923" s="18">
        <f>IF(N(X923)=0,"",IF(IF(N(F923)=0,0,IF(N(E923)&gt;0,E923*(1+F923/30),F923))=X923,IF(N(E923)&gt;0,E923&amp;" x "&amp;F923,F923&amp;" reps"),IF(IF(N(H923)=0,0,IF(N(G923)&gt;0,G923*(1+H923/30),H923))=X923,IF(N(G923)&gt;0,G923&amp;" x "&amp;H923,H923&amp;" reps"),IF(IF(N(J923)=0,0,IF(N(I923)&gt;0,I923*(1+J923/30),J923))=X923,IF(N(I923)&gt;0,I923&amp;" x "&amp;J923,J923&amp;" reps"),IF(IF(N(L923)=0,0,IF(N(K923)&gt;0,K923*(1+L923/30),L923))=X923,IF(N(K923)&gt;0,K923&amp;" x "&amp;L923,L923&amp;" reps"),IF(IF(N(N923)=0,0,IF(N(M923)&gt;0,M923*(1+N923/30),N923))=X923,IF(N(M923)&gt;0,M923&amp;" x "&amp;N923,N923&amp;" reps"),""))))))</f>
        <v/>
      </c>
      <c r="R923" s="20">
        <f>IF(N(X923)=0,"",ROUND(X923,1))</f>
        <v/>
      </c>
      <c r="S923" s="18">
        <f>IF(N(X923)=0,"",IF(AND(COUNTIFS(Log!$D$6:$D$1505,D923,Log!$B$6:$B$1505,"&lt;"&amp;B923)&gt;0,COUNTIFS(Log!$D$6:$D$1505,D923,Log!$B$6:$B$1505,"&lt;"&amp;B923,Log!$X$6:$X$1505,"&gt;="&amp;X923)=0),"New best",""))</f>
        <v/>
      </c>
      <c r="T923" s="26" t="n"/>
      <c r="U923" s="1">
        <f>IF(D923="","",IFERROR(INDEX(Exercises!$C$6:$C$105,MATCH(D923,Exercises!$B$6:$B$105,0)),"Other"))</f>
        <v/>
      </c>
      <c r="V923">
        <f>IF(B923="","",IF(COUNTIF($B$6:B923,B923)=1,1,0))</f>
        <v/>
      </c>
      <c r="W923">
        <f>IF(B923="","",B923-WEEKDAY(B923,3))</f>
        <v/>
      </c>
      <c r="X923">
        <f>IF(D923="","",MAX(IF(N(F923)=0,0,IF(N(E923)&gt;0,E923*(1+F923/30),F923)),IF(N(H923)=0,0,IF(N(G923)&gt;0,G923*(1+H923/30),H923)),IF(N(J923)=0,0,IF(N(I923)&gt;0,I923*(1+J923/30),J923)),IF(N(L923)=0,0,IF(N(K923)&gt;0,K923*(1+L923/30),L923)),IF(N(N923)=0,0,IF(N(M923)&gt;0,M923*(1+N923/30),N923))))</f>
        <v/>
      </c>
      <c r="Y923">
        <f>IF(N(X923)=0,"",X923+ROW()/1000000000)</f>
        <v/>
      </c>
      <c r="Z923">
        <f>IF(Y923="","",IF(COUNTIFS(Log!$D$6:$D$1505,D923,Log!$Y$6:$Y$1505,"&gt;"&amp;Y923)=0,1,0))</f>
        <v/>
      </c>
      <c r="AA923">
        <f>IF(OR(B923="",D923=""),"",B923+ROW()/10000000)</f>
        <v/>
      </c>
      <c r="AB923">
        <f>IF(AA923="","",IF(COUNTIFS(Log!$D$6:$D$1505,D923,Log!$AA$6:$AA$1505,"&gt;"&amp;AA923)=0,1,0))</f>
        <v/>
      </c>
      <c r="AC923">
        <f>IF(S923="New best",AA923,"")</f>
        <v/>
      </c>
      <c r="AD923">
        <f>ROW()</f>
        <v/>
      </c>
    </row>
    <row r="924">
      <c r="A924" s="1" t="n"/>
      <c r="B924" s="21" t="n"/>
      <c r="C924" s="22" t="n"/>
      <c r="D924" s="23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15">
        <f>IF(D924="","",COUNT(F924,H924,J924,L924,N924))</f>
        <v/>
      </c>
      <c r="P924" s="25">
        <f>IF(D924="","",N(E924)*N(F924)+N(G924)*N(H924)+N(I924)*N(J924)+N(K924)*N(L924)+N(M924)*N(N924))</f>
        <v/>
      </c>
      <c r="Q924" s="18">
        <f>IF(N(X924)=0,"",IF(IF(N(F924)=0,0,IF(N(E924)&gt;0,E924*(1+F924/30),F924))=X924,IF(N(E924)&gt;0,E924&amp;" x "&amp;F924,F924&amp;" reps"),IF(IF(N(H924)=0,0,IF(N(G924)&gt;0,G924*(1+H924/30),H924))=X924,IF(N(G924)&gt;0,G924&amp;" x "&amp;H924,H924&amp;" reps"),IF(IF(N(J924)=0,0,IF(N(I924)&gt;0,I924*(1+J924/30),J924))=X924,IF(N(I924)&gt;0,I924&amp;" x "&amp;J924,J924&amp;" reps"),IF(IF(N(L924)=0,0,IF(N(K924)&gt;0,K924*(1+L924/30),L924))=X924,IF(N(K924)&gt;0,K924&amp;" x "&amp;L924,L924&amp;" reps"),IF(IF(N(N924)=0,0,IF(N(M924)&gt;0,M924*(1+N924/30),N924))=X924,IF(N(M924)&gt;0,M924&amp;" x "&amp;N924,N924&amp;" reps"),""))))))</f>
        <v/>
      </c>
      <c r="R924" s="20">
        <f>IF(N(X924)=0,"",ROUND(X924,1))</f>
        <v/>
      </c>
      <c r="S924" s="18">
        <f>IF(N(X924)=0,"",IF(AND(COUNTIFS(Log!$D$6:$D$1505,D924,Log!$B$6:$B$1505,"&lt;"&amp;B924)&gt;0,COUNTIFS(Log!$D$6:$D$1505,D924,Log!$B$6:$B$1505,"&lt;"&amp;B924,Log!$X$6:$X$1505,"&gt;="&amp;X924)=0),"New best",""))</f>
        <v/>
      </c>
      <c r="T924" s="26" t="n"/>
      <c r="U924" s="1">
        <f>IF(D924="","",IFERROR(INDEX(Exercises!$C$6:$C$105,MATCH(D924,Exercises!$B$6:$B$105,0)),"Other"))</f>
        <v/>
      </c>
      <c r="V924">
        <f>IF(B924="","",IF(COUNTIF($B$6:B924,B924)=1,1,0))</f>
        <v/>
      </c>
      <c r="W924">
        <f>IF(B924="","",B924-WEEKDAY(B924,3))</f>
        <v/>
      </c>
      <c r="X924">
        <f>IF(D924="","",MAX(IF(N(F924)=0,0,IF(N(E924)&gt;0,E924*(1+F924/30),F924)),IF(N(H924)=0,0,IF(N(G924)&gt;0,G924*(1+H924/30),H924)),IF(N(J924)=0,0,IF(N(I924)&gt;0,I924*(1+J924/30),J924)),IF(N(L924)=0,0,IF(N(K924)&gt;0,K924*(1+L924/30),L924)),IF(N(N924)=0,0,IF(N(M924)&gt;0,M924*(1+N924/30),N924))))</f>
        <v/>
      </c>
      <c r="Y924">
        <f>IF(N(X924)=0,"",X924+ROW()/1000000000)</f>
        <v/>
      </c>
      <c r="Z924">
        <f>IF(Y924="","",IF(COUNTIFS(Log!$D$6:$D$1505,D924,Log!$Y$6:$Y$1505,"&gt;"&amp;Y924)=0,1,0))</f>
        <v/>
      </c>
      <c r="AA924">
        <f>IF(OR(B924="",D924=""),"",B924+ROW()/10000000)</f>
        <v/>
      </c>
      <c r="AB924">
        <f>IF(AA924="","",IF(COUNTIFS(Log!$D$6:$D$1505,D924,Log!$AA$6:$AA$1505,"&gt;"&amp;AA924)=0,1,0))</f>
        <v/>
      </c>
      <c r="AC924">
        <f>IF(S924="New best",AA924,"")</f>
        <v/>
      </c>
      <c r="AD924">
        <f>ROW()</f>
        <v/>
      </c>
    </row>
    <row r="925">
      <c r="A925" s="1" t="n"/>
      <c r="B925" s="21" t="n"/>
      <c r="C925" s="22" t="n"/>
      <c r="D925" s="23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15">
        <f>IF(D925="","",COUNT(F925,H925,J925,L925,N925))</f>
        <v/>
      </c>
      <c r="P925" s="25">
        <f>IF(D925="","",N(E925)*N(F925)+N(G925)*N(H925)+N(I925)*N(J925)+N(K925)*N(L925)+N(M925)*N(N925))</f>
        <v/>
      </c>
      <c r="Q925" s="18">
        <f>IF(N(X925)=0,"",IF(IF(N(F925)=0,0,IF(N(E925)&gt;0,E925*(1+F925/30),F925))=X925,IF(N(E925)&gt;0,E925&amp;" x "&amp;F925,F925&amp;" reps"),IF(IF(N(H925)=0,0,IF(N(G925)&gt;0,G925*(1+H925/30),H925))=X925,IF(N(G925)&gt;0,G925&amp;" x "&amp;H925,H925&amp;" reps"),IF(IF(N(J925)=0,0,IF(N(I925)&gt;0,I925*(1+J925/30),J925))=X925,IF(N(I925)&gt;0,I925&amp;" x "&amp;J925,J925&amp;" reps"),IF(IF(N(L925)=0,0,IF(N(K925)&gt;0,K925*(1+L925/30),L925))=X925,IF(N(K925)&gt;0,K925&amp;" x "&amp;L925,L925&amp;" reps"),IF(IF(N(N925)=0,0,IF(N(M925)&gt;0,M925*(1+N925/30),N925))=X925,IF(N(M925)&gt;0,M925&amp;" x "&amp;N925,N925&amp;" reps"),""))))))</f>
        <v/>
      </c>
      <c r="R925" s="20">
        <f>IF(N(X925)=0,"",ROUND(X925,1))</f>
        <v/>
      </c>
      <c r="S925" s="18">
        <f>IF(N(X925)=0,"",IF(AND(COUNTIFS(Log!$D$6:$D$1505,D925,Log!$B$6:$B$1505,"&lt;"&amp;B925)&gt;0,COUNTIFS(Log!$D$6:$D$1505,D925,Log!$B$6:$B$1505,"&lt;"&amp;B925,Log!$X$6:$X$1505,"&gt;="&amp;X925)=0),"New best",""))</f>
        <v/>
      </c>
      <c r="T925" s="26" t="n"/>
      <c r="U925" s="1">
        <f>IF(D925="","",IFERROR(INDEX(Exercises!$C$6:$C$105,MATCH(D925,Exercises!$B$6:$B$105,0)),"Other"))</f>
        <v/>
      </c>
      <c r="V925">
        <f>IF(B925="","",IF(COUNTIF($B$6:B925,B925)=1,1,0))</f>
        <v/>
      </c>
      <c r="W925">
        <f>IF(B925="","",B925-WEEKDAY(B925,3))</f>
        <v/>
      </c>
      <c r="X925">
        <f>IF(D925="","",MAX(IF(N(F925)=0,0,IF(N(E925)&gt;0,E925*(1+F925/30),F925)),IF(N(H925)=0,0,IF(N(G925)&gt;0,G925*(1+H925/30),H925)),IF(N(J925)=0,0,IF(N(I925)&gt;0,I925*(1+J925/30),J925)),IF(N(L925)=0,0,IF(N(K925)&gt;0,K925*(1+L925/30),L925)),IF(N(N925)=0,0,IF(N(M925)&gt;0,M925*(1+N925/30),N925))))</f>
        <v/>
      </c>
      <c r="Y925">
        <f>IF(N(X925)=0,"",X925+ROW()/1000000000)</f>
        <v/>
      </c>
      <c r="Z925">
        <f>IF(Y925="","",IF(COUNTIFS(Log!$D$6:$D$1505,D925,Log!$Y$6:$Y$1505,"&gt;"&amp;Y925)=0,1,0))</f>
        <v/>
      </c>
      <c r="AA925">
        <f>IF(OR(B925="",D925=""),"",B925+ROW()/10000000)</f>
        <v/>
      </c>
      <c r="AB925">
        <f>IF(AA925="","",IF(COUNTIFS(Log!$D$6:$D$1505,D925,Log!$AA$6:$AA$1505,"&gt;"&amp;AA925)=0,1,0))</f>
        <v/>
      </c>
      <c r="AC925">
        <f>IF(S925="New best",AA925,"")</f>
        <v/>
      </c>
      <c r="AD925">
        <f>ROW()</f>
        <v/>
      </c>
    </row>
    <row r="926">
      <c r="A926" s="1" t="n"/>
      <c r="B926" s="21" t="n"/>
      <c r="C926" s="22" t="n"/>
      <c r="D926" s="23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15">
        <f>IF(D926="","",COUNT(F926,H926,J926,L926,N926))</f>
        <v/>
      </c>
      <c r="P926" s="25">
        <f>IF(D926="","",N(E926)*N(F926)+N(G926)*N(H926)+N(I926)*N(J926)+N(K926)*N(L926)+N(M926)*N(N926))</f>
        <v/>
      </c>
      <c r="Q926" s="18">
        <f>IF(N(X926)=0,"",IF(IF(N(F926)=0,0,IF(N(E926)&gt;0,E926*(1+F926/30),F926))=X926,IF(N(E926)&gt;0,E926&amp;" x "&amp;F926,F926&amp;" reps"),IF(IF(N(H926)=0,0,IF(N(G926)&gt;0,G926*(1+H926/30),H926))=X926,IF(N(G926)&gt;0,G926&amp;" x "&amp;H926,H926&amp;" reps"),IF(IF(N(J926)=0,0,IF(N(I926)&gt;0,I926*(1+J926/30),J926))=X926,IF(N(I926)&gt;0,I926&amp;" x "&amp;J926,J926&amp;" reps"),IF(IF(N(L926)=0,0,IF(N(K926)&gt;0,K926*(1+L926/30),L926))=X926,IF(N(K926)&gt;0,K926&amp;" x "&amp;L926,L926&amp;" reps"),IF(IF(N(N926)=0,0,IF(N(M926)&gt;0,M926*(1+N926/30),N926))=X926,IF(N(M926)&gt;0,M926&amp;" x "&amp;N926,N926&amp;" reps"),""))))))</f>
        <v/>
      </c>
      <c r="R926" s="20">
        <f>IF(N(X926)=0,"",ROUND(X926,1))</f>
        <v/>
      </c>
      <c r="S926" s="18">
        <f>IF(N(X926)=0,"",IF(AND(COUNTIFS(Log!$D$6:$D$1505,D926,Log!$B$6:$B$1505,"&lt;"&amp;B926)&gt;0,COUNTIFS(Log!$D$6:$D$1505,D926,Log!$B$6:$B$1505,"&lt;"&amp;B926,Log!$X$6:$X$1505,"&gt;="&amp;X926)=0),"New best",""))</f>
        <v/>
      </c>
      <c r="T926" s="26" t="n"/>
      <c r="U926" s="1">
        <f>IF(D926="","",IFERROR(INDEX(Exercises!$C$6:$C$105,MATCH(D926,Exercises!$B$6:$B$105,0)),"Other"))</f>
        <v/>
      </c>
      <c r="V926">
        <f>IF(B926="","",IF(COUNTIF($B$6:B926,B926)=1,1,0))</f>
        <v/>
      </c>
      <c r="W926">
        <f>IF(B926="","",B926-WEEKDAY(B926,3))</f>
        <v/>
      </c>
      <c r="X926">
        <f>IF(D926="","",MAX(IF(N(F926)=0,0,IF(N(E926)&gt;0,E926*(1+F926/30),F926)),IF(N(H926)=0,0,IF(N(G926)&gt;0,G926*(1+H926/30),H926)),IF(N(J926)=0,0,IF(N(I926)&gt;0,I926*(1+J926/30),J926)),IF(N(L926)=0,0,IF(N(K926)&gt;0,K926*(1+L926/30),L926)),IF(N(N926)=0,0,IF(N(M926)&gt;0,M926*(1+N926/30),N926))))</f>
        <v/>
      </c>
      <c r="Y926">
        <f>IF(N(X926)=0,"",X926+ROW()/1000000000)</f>
        <v/>
      </c>
      <c r="Z926">
        <f>IF(Y926="","",IF(COUNTIFS(Log!$D$6:$D$1505,D926,Log!$Y$6:$Y$1505,"&gt;"&amp;Y926)=0,1,0))</f>
        <v/>
      </c>
      <c r="AA926">
        <f>IF(OR(B926="",D926=""),"",B926+ROW()/10000000)</f>
        <v/>
      </c>
      <c r="AB926">
        <f>IF(AA926="","",IF(COUNTIFS(Log!$D$6:$D$1505,D926,Log!$AA$6:$AA$1505,"&gt;"&amp;AA926)=0,1,0))</f>
        <v/>
      </c>
      <c r="AC926">
        <f>IF(S926="New best",AA926,"")</f>
        <v/>
      </c>
      <c r="AD926">
        <f>ROW()</f>
        <v/>
      </c>
    </row>
    <row r="927">
      <c r="A927" s="1" t="n"/>
      <c r="B927" s="21" t="n"/>
      <c r="C927" s="22" t="n"/>
      <c r="D927" s="23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15">
        <f>IF(D927="","",COUNT(F927,H927,J927,L927,N927))</f>
        <v/>
      </c>
      <c r="P927" s="25">
        <f>IF(D927="","",N(E927)*N(F927)+N(G927)*N(H927)+N(I927)*N(J927)+N(K927)*N(L927)+N(M927)*N(N927))</f>
        <v/>
      </c>
      <c r="Q927" s="18">
        <f>IF(N(X927)=0,"",IF(IF(N(F927)=0,0,IF(N(E927)&gt;0,E927*(1+F927/30),F927))=X927,IF(N(E927)&gt;0,E927&amp;" x "&amp;F927,F927&amp;" reps"),IF(IF(N(H927)=0,0,IF(N(G927)&gt;0,G927*(1+H927/30),H927))=X927,IF(N(G927)&gt;0,G927&amp;" x "&amp;H927,H927&amp;" reps"),IF(IF(N(J927)=0,0,IF(N(I927)&gt;0,I927*(1+J927/30),J927))=X927,IF(N(I927)&gt;0,I927&amp;" x "&amp;J927,J927&amp;" reps"),IF(IF(N(L927)=0,0,IF(N(K927)&gt;0,K927*(1+L927/30),L927))=X927,IF(N(K927)&gt;0,K927&amp;" x "&amp;L927,L927&amp;" reps"),IF(IF(N(N927)=0,0,IF(N(M927)&gt;0,M927*(1+N927/30),N927))=X927,IF(N(M927)&gt;0,M927&amp;" x "&amp;N927,N927&amp;" reps"),""))))))</f>
        <v/>
      </c>
      <c r="R927" s="20">
        <f>IF(N(X927)=0,"",ROUND(X927,1))</f>
        <v/>
      </c>
      <c r="S927" s="18">
        <f>IF(N(X927)=0,"",IF(AND(COUNTIFS(Log!$D$6:$D$1505,D927,Log!$B$6:$B$1505,"&lt;"&amp;B927)&gt;0,COUNTIFS(Log!$D$6:$D$1505,D927,Log!$B$6:$B$1505,"&lt;"&amp;B927,Log!$X$6:$X$1505,"&gt;="&amp;X927)=0),"New best",""))</f>
        <v/>
      </c>
      <c r="T927" s="26" t="n"/>
      <c r="U927" s="1">
        <f>IF(D927="","",IFERROR(INDEX(Exercises!$C$6:$C$105,MATCH(D927,Exercises!$B$6:$B$105,0)),"Other"))</f>
        <v/>
      </c>
      <c r="V927">
        <f>IF(B927="","",IF(COUNTIF($B$6:B927,B927)=1,1,0))</f>
        <v/>
      </c>
      <c r="W927">
        <f>IF(B927="","",B927-WEEKDAY(B927,3))</f>
        <v/>
      </c>
      <c r="X927">
        <f>IF(D927="","",MAX(IF(N(F927)=0,0,IF(N(E927)&gt;0,E927*(1+F927/30),F927)),IF(N(H927)=0,0,IF(N(G927)&gt;0,G927*(1+H927/30),H927)),IF(N(J927)=0,0,IF(N(I927)&gt;0,I927*(1+J927/30),J927)),IF(N(L927)=0,0,IF(N(K927)&gt;0,K927*(1+L927/30),L927)),IF(N(N927)=0,0,IF(N(M927)&gt;0,M927*(1+N927/30),N927))))</f>
        <v/>
      </c>
      <c r="Y927">
        <f>IF(N(X927)=0,"",X927+ROW()/1000000000)</f>
        <v/>
      </c>
      <c r="Z927">
        <f>IF(Y927="","",IF(COUNTIFS(Log!$D$6:$D$1505,D927,Log!$Y$6:$Y$1505,"&gt;"&amp;Y927)=0,1,0))</f>
        <v/>
      </c>
      <c r="AA927">
        <f>IF(OR(B927="",D927=""),"",B927+ROW()/10000000)</f>
        <v/>
      </c>
      <c r="AB927">
        <f>IF(AA927="","",IF(COUNTIFS(Log!$D$6:$D$1505,D927,Log!$AA$6:$AA$1505,"&gt;"&amp;AA927)=0,1,0))</f>
        <v/>
      </c>
      <c r="AC927">
        <f>IF(S927="New best",AA927,"")</f>
        <v/>
      </c>
      <c r="AD927">
        <f>ROW()</f>
        <v/>
      </c>
    </row>
    <row r="928">
      <c r="A928" s="1" t="n"/>
      <c r="B928" s="21" t="n"/>
      <c r="C928" s="22" t="n"/>
      <c r="D928" s="23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15">
        <f>IF(D928="","",COUNT(F928,H928,J928,L928,N928))</f>
        <v/>
      </c>
      <c r="P928" s="25">
        <f>IF(D928="","",N(E928)*N(F928)+N(G928)*N(H928)+N(I928)*N(J928)+N(K928)*N(L928)+N(M928)*N(N928))</f>
        <v/>
      </c>
      <c r="Q928" s="18">
        <f>IF(N(X928)=0,"",IF(IF(N(F928)=0,0,IF(N(E928)&gt;0,E928*(1+F928/30),F928))=X928,IF(N(E928)&gt;0,E928&amp;" x "&amp;F928,F928&amp;" reps"),IF(IF(N(H928)=0,0,IF(N(G928)&gt;0,G928*(1+H928/30),H928))=X928,IF(N(G928)&gt;0,G928&amp;" x "&amp;H928,H928&amp;" reps"),IF(IF(N(J928)=0,0,IF(N(I928)&gt;0,I928*(1+J928/30),J928))=X928,IF(N(I928)&gt;0,I928&amp;" x "&amp;J928,J928&amp;" reps"),IF(IF(N(L928)=0,0,IF(N(K928)&gt;0,K928*(1+L928/30),L928))=X928,IF(N(K928)&gt;0,K928&amp;" x "&amp;L928,L928&amp;" reps"),IF(IF(N(N928)=0,0,IF(N(M928)&gt;0,M928*(1+N928/30),N928))=X928,IF(N(M928)&gt;0,M928&amp;" x "&amp;N928,N928&amp;" reps"),""))))))</f>
        <v/>
      </c>
      <c r="R928" s="20">
        <f>IF(N(X928)=0,"",ROUND(X928,1))</f>
        <v/>
      </c>
      <c r="S928" s="18">
        <f>IF(N(X928)=0,"",IF(AND(COUNTIFS(Log!$D$6:$D$1505,D928,Log!$B$6:$B$1505,"&lt;"&amp;B928)&gt;0,COUNTIFS(Log!$D$6:$D$1505,D928,Log!$B$6:$B$1505,"&lt;"&amp;B928,Log!$X$6:$X$1505,"&gt;="&amp;X928)=0),"New best",""))</f>
        <v/>
      </c>
      <c r="T928" s="26" t="n"/>
      <c r="U928" s="1">
        <f>IF(D928="","",IFERROR(INDEX(Exercises!$C$6:$C$105,MATCH(D928,Exercises!$B$6:$B$105,0)),"Other"))</f>
        <v/>
      </c>
      <c r="V928">
        <f>IF(B928="","",IF(COUNTIF($B$6:B928,B928)=1,1,0))</f>
        <v/>
      </c>
      <c r="W928">
        <f>IF(B928="","",B928-WEEKDAY(B928,3))</f>
        <v/>
      </c>
      <c r="X928">
        <f>IF(D928="","",MAX(IF(N(F928)=0,0,IF(N(E928)&gt;0,E928*(1+F928/30),F928)),IF(N(H928)=0,0,IF(N(G928)&gt;0,G928*(1+H928/30),H928)),IF(N(J928)=0,0,IF(N(I928)&gt;0,I928*(1+J928/30),J928)),IF(N(L928)=0,0,IF(N(K928)&gt;0,K928*(1+L928/30),L928)),IF(N(N928)=0,0,IF(N(M928)&gt;0,M928*(1+N928/30),N928))))</f>
        <v/>
      </c>
      <c r="Y928">
        <f>IF(N(X928)=0,"",X928+ROW()/1000000000)</f>
        <v/>
      </c>
      <c r="Z928">
        <f>IF(Y928="","",IF(COUNTIFS(Log!$D$6:$D$1505,D928,Log!$Y$6:$Y$1505,"&gt;"&amp;Y928)=0,1,0))</f>
        <v/>
      </c>
      <c r="AA928">
        <f>IF(OR(B928="",D928=""),"",B928+ROW()/10000000)</f>
        <v/>
      </c>
      <c r="AB928">
        <f>IF(AA928="","",IF(COUNTIFS(Log!$D$6:$D$1505,D928,Log!$AA$6:$AA$1505,"&gt;"&amp;AA928)=0,1,0))</f>
        <v/>
      </c>
      <c r="AC928">
        <f>IF(S928="New best",AA928,"")</f>
        <v/>
      </c>
      <c r="AD928">
        <f>ROW()</f>
        <v/>
      </c>
    </row>
    <row r="929">
      <c r="A929" s="1" t="n"/>
      <c r="B929" s="21" t="n"/>
      <c r="C929" s="22" t="n"/>
      <c r="D929" s="23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15">
        <f>IF(D929="","",COUNT(F929,H929,J929,L929,N929))</f>
        <v/>
      </c>
      <c r="P929" s="25">
        <f>IF(D929="","",N(E929)*N(F929)+N(G929)*N(H929)+N(I929)*N(J929)+N(K929)*N(L929)+N(M929)*N(N929))</f>
        <v/>
      </c>
      <c r="Q929" s="18">
        <f>IF(N(X929)=0,"",IF(IF(N(F929)=0,0,IF(N(E929)&gt;0,E929*(1+F929/30),F929))=X929,IF(N(E929)&gt;0,E929&amp;" x "&amp;F929,F929&amp;" reps"),IF(IF(N(H929)=0,0,IF(N(G929)&gt;0,G929*(1+H929/30),H929))=X929,IF(N(G929)&gt;0,G929&amp;" x "&amp;H929,H929&amp;" reps"),IF(IF(N(J929)=0,0,IF(N(I929)&gt;0,I929*(1+J929/30),J929))=X929,IF(N(I929)&gt;0,I929&amp;" x "&amp;J929,J929&amp;" reps"),IF(IF(N(L929)=0,0,IF(N(K929)&gt;0,K929*(1+L929/30),L929))=X929,IF(N(K929)&gt;0,K929&amp;" x "&amp;L929,L929&amp;" reps"),IF(IF(N(N929)=0,0,IF(N(M929)&gt;0,M929*(1+N929/30),N929))=X929,IF(N(M929)&gt;0,M929&amp;" x "&amp;N929,N929&amp;" reps"),""))))))</f>
        <v/>
      </c>
      <c r="R929" s="20">
        <f>IF(N(X929)=0,"",ROUND(X929,1))</f>
        <v/>
      </c>
      <c r="S929" s="18">
        <f>IF(N(X929)=0,"",IF(AND(COUNTIFS(Log!$D$6:$D$1505,D929,Log!$B$6:$B$1505,"&lt;"&amp;B929)&gt;0,COUNTIFS(Log!$D$6:$D$1505,D929,Log!$B$6:$B$1505,"&lt;"&amp;B929,Log!$X$6:$X$1505,"&gt;="&amp;X929)=0),"New best",""))</f>
        <v/>
      </c>
      <c r="T929" s="26" t="n"/>
      <c r="U929" s="1">
        <f>IF(D929="","",IFERROR(INDEX(Exercises!$C$6:$C$105,MATCH(D929,Exercises!$B$6:$B$105,0)),"Other"))</f>
        <v/>
      </c>
      <c r="V929">
        <f>IF(B929="","",IF(COUNTIF($B$6:B929,B929)=1,1,0))</f>
        <v/>
      </c>
      <c r="W929">
        <f>IF(B929="","",B929-WEEKDAY(B929,3))</f>
        <v/>
      </c>
      <c r="X929">
        <f>IF(D929="","",MAX(IF(N(F929)=0,0,IF(N(E929)&gt;0,E929*(1+F929/30),F929)),IF(N(H929)=0,0,IF(N(G929)&gt;0,G929*(1+H929/30),H929)),IF(N(J929)=0,0,IF(N(I929)&gt;0,I929*(1+J929/30),J929)),IF(N(L929)=0,0,IF(N(K929)&gt;0,K929*(1+L929/30),L929)),IF(N(N929)=0,0,IF(N(M929)&gt;0,M929*(1+N929/30),N929))))</f>
        <v/>
      </c>
      <c r="Y929">
        <f>IF(N(X929)=0,"",X929+ROW()/1000000000)</f>
        <v/>
      </c>
      <c r="Z929">
        <f>IF(Y929="","",IF(COUNTIFS(Log!$D$6:$D$1505,D929,Log!$Y$6:$Y$1505,"&gt;"&amp;Y929)=0,1,0))</f>
        <v/>
      </c>
      <c r="AA929">
        <f>IF(OR(B929="",D929=""),"",B929+ROW()/10000000)</f>
        <v/>
      </c>
      <c r="AB929">
        <f>IF(AA929="","",IF(COUNTIFS(Log!$D$6:$D$1505,D929,Log!$AA$6:$AA$1505,"&gt;"&amp;AA929)=0,1,0))</f>
        <v/>
      </c>
      <c r="AC929">
        <f>IF(S929="New best",AA929,"")</f>
        <v/>
      </c>
      <c r="AD929">
        <f>ROW()</f>
        <v/>
      </c>
    </row>
    <row r="930">
      <c r="A930" s="1" t="n"/>
      <c r="B930" s="21" t="n"/>
      <c r="C930" s="22" t="n"/>
      <c r="D930" s="23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15">
        <f>IF(D930="","",COUNT(F930,H930,J930,L930,N930))</f>
        <v/>
      </c>
      <c r="P930" s="25">
        <f>IF(D930="","",N(E930)*N(F930)+N(G930)*N(H930)+N(I930)*N(J930)+N(K930)*N(L930)+N(M930)*N(N930))</f>
        <v/>
      </c>
      <c r="Q930" s="18">
        <f>IF(N(X930)=0,"",IF(IF(N(F930)=0,0,IF(N(E930)&gt;0,E930*(1+F930/30),F930))=X930,IF(N(E930)&gt;0,E930&amp;" x "&amp;F930,F930&amp;" reps"),IF(IF(N(H930)=0,0,IF(N(G930)&gt;0,G930*(1+H930/30),H930))=X930,IF(N(G930)&gt;0,G930&amp;" x "&amp;H930,H930&amp;" reps"),IF(IF(N(J930)=0,0,IF(N(I930)&gt;0,I930*(1+J930/30),J930))=X930,IF(N(I930)&gt;0,I930&amp;" x "&amp;J930,J930&amp;" reps"),IF(IF(N(L930)=0,0,IF(N(K930)&gt;0,K930*(1+L930/30),L930))=X930,IF(N(K930)&gt;0,K930&amp;" x "&amp;L930,L930&amp;" reps"),IF(IF(N(N930)=0,0,IF(N(M930)&gt;0,M930*(1+N930/30),N930))=X930,IF(N(M930)&gt;0,M930&amp;" x "&amp;N930,N930&amp;" reps"),""))))))</f>
        <v/>
      </c>
      <c r="R930" s="20">
        <f>IF(N(X930)=0,"",ROUND(X930,1))</f>
        <v/>
      </c>
      <c r="S930" s="18">
        <f>IF(N(X930)=0,"",IF(AND(COUNTIFS(Log!$D$6:$D$1505,D930,Log!$B$6:$B$1505,"&lt;"&amp;B930)&gt;0,COUNTIFS(Log!$D$6:$D$1505,D930,Log!$B$6:$B$1505,"&lt;"&amp;B930,Log!$X$6:$X$1505,"&gt;="&amp;X930)=0),"New best",""))</f>
        <v/>
      </c>
      <c r="T930" s="26" t="n"/>
      <c r="U930" s="1">
        <f>IF(D930="","",IFERROR(INDEX(Exercises!$C$6:$C$105,MATCH(D930,Exercises!$B$6:$B$105,0)),"Other"))</f>
        <v/>
      </c>
      <c r="V930">
        <f>IF(B930="","",IF(COUNTIF($B$6:B930,B930)=1,1,0))</f>
        <v/>
      </c>
      <c r="W930">
        <f>IF(B930="","",B930-WEEKDAY(B930,3))</f>
        <v/>
      </c>
      <c r="X930">
        <f>IF(D930="","",MAX(IF(N(F930)=0,0,IF(N(E930)&gt;0,E930*(1+F930/30),F930)),IF(N(H930)=0,0,IF(N(G930)&gt;0,G930*(1+H930/30),H930)),IF(N(J930)=0,0,IF(N(I930)&gt;0,I930*(1+J930/30),J930)),IF(N(L930)=0,0,IF(N(K930)&gt;0,K930*(1+L930/30),L930)),IF(N(N930)=0,0,IF(N(M930)&gt;0,M930*(1+N930/30),N930))))</f>
        <v/>
      </c>
      <c r="Y930">
        <f>IF(N(X930)=0,"",X930+ROW()/1000000000)</f>
        <v/>
      </c>
      <c r="Z930">
        <f>IF(Y930="","",IF(COUNTIFS(Log!$D$6:$D$1505,D930,Log!$Y$6:$Y$1505,"&gt;"&amp;Y930)=0,1,0))</f>
        <v/>
      </c>
      <c r="AA930">
        <f>IF(OR(B930="",D930=""),"",B930+ROW()/10000000)</f>
        <v/>
      </c>
      <c r="AB930">
        <f>IF(AA930="","",IF(COUNTIFS(Log!$D$6:$D$1505,D930,Log!$AA$6:$AA$1505,"&gt;"&amp;AA930)=0,1,0))</f>
        <v/>
      </c>
      <c r="AC930">
        <f>IF(S930="New best",AA930,"")</f>
        <v/>
      </c>
      <c r="AD930">
        <f>ROW()</f>
        <v/>
      </c>
    </row>
    <row r="931">
      <c r="A931" s="1" t="n"/>
      <c r="B931" s="21" t="n"/>
      <c r="C931" s="22" t="n"/>
      <c r="D931" s="23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15">
        <f>IF(D931="","",COUNT(F931,H931,J931,L931,N931))</f>
        <v/>
      </c>
      <c r="P931" s="25">
        <f>IF(D931="","",N(E931)*N(F931)+N(G931)*N(H931)+N(I931)*N(J931)+N(K931)*N(L931)+N(M931)*N(N931))</f>
        <v/>
      </c>
      <c r="Q931" s="18">
        <f>IF(N(X931)=0,"",IF(IF(N(F931)=0,0,IF(N(E931)&gt;0,E931*(1+F931/30),F931))=X931,IF(N(E931)&gt;0,E931&amp;" x "&amp;F931,F931&amp;" reps"),IF(IF(N(H931)=0,0,IF(N(G931)&gt;0,G931*(1+H931/30),H931))=X931,IF(N(G931)&gt;0,G931&amp;" x "&amp;H931,H931&amp;" reps"),IF(IF(N(J931)=0,0,IF(N(I931)&gt;0,I931*(1+J931/30),J931))=X931,IF(N(I931)&gt;0,I931&amp;" x "&amp;J931,J931&amp;" reps"),IF(IF(N(L931)=0,0,IF(N(K931)&gt;0,K931*(1+L931/30),L931))=X931,IF(N(K931)&gt;0,K931&amp;" x "&amp;L931,L931&amp;" reps"),IF(IF(N(N931)=0,0,IF(N(M931)&gt;0,M931*(1+N931/30),N931))=X931,IF(N(M931)&gt;0,M931&amp;" x "&amp;N931,N931&amp;" reps"),""))))))</f>
        <v/>
      </c>
      <c r="R931" s="20">
        <f>IF(N(X931)=0,"",ROUND(X931,1))</f>
        <v/>
      </c>
      <c r="S931" s="18">
        <f>IF(N(X931)=0,"",IF(AND(COUNTIFS(Log!$D$6:$D$1505,D931,Log!$B$6:$B$1505,"&lt;"&amp;B931)&gt;0,COUNTIFS(Log!$D$6:$D$1505,D931,Log!$B$6:$B$1505,"&lt;"&amp;B931,Log!$X$6:$X$1505,"&gt;="&amp;X931)=0),"New best",""))</f>
        <v/>
      </c>
      <c r="T931" s="26" t="n"/>
      <c r="U931" s="1">
        <f>IF(D931="","",IFERROR(INDEX(Exercises!$C$6:$C$105,MATCH(D931,Exercises!$B$6:$B$105,0)),"Other"))</f>
        <v/>
      </c>
      <c r="V931">
        <f>IF(B931="","",IF(COUNTIF($B$6:B931,B931)=1,1,0))</f>
        <v/>
      </c>
      <c r="W931">
        <f>IF(B931="","",B931-WEEKDAY(B931,3))</f>
        <v/>
      </c>
      <c r="X931">
        <f>IF(D931="","",MAX(IF(N(F931)=0,0,IF(N(E931)&gt;0,E931*(1+F931/30),F931)),IF(N(H931)=0,0,IF(N(G931)&gt;0,G931*(1+H931/30),H931)),IF(N(J931)=0,0,IF(N(I931)&gt;0,I931*(1+J931/30),J931)),IF(N(L931)=0,0,IF(N(K931)&gt;0,K931*(1+L931/30),L931)),IF(N(N931)=0,0,IF(N(M931)&gt;0,M931*(1+N931/30),N931))))</f>
        <v/>
      </c>
      <c r="Y931">
        <f>IF(N(X931)=0,"",X931+ROW()/1000000000)</f>
        <v/>
      </c>
      <c r="Z931">
        <f>IF(Y931="","",IF(COUNTIFS(Log!$D$6:$D$1505,D931,Log!$Y$6:$Y$1505,"&gt;"&amp;Y931)=0,1,0))</f>
        <v/>
      </c>
      <c r="AA931">
        <f>IF(OR(B931="",D931=""),"",B931+ROW()/10000000)</f>
        <v/>
      </c>
      <c r="AB931">
        <f>IF(AA931="","",IF(COUNTIFS(Log!$D$6:$D$1505,D931,Log!$AA$6:$AA$1505,"&gt;"&amp;AA931)=0,1,0))</f>
        <v/>
      </c>
      <c r="AC931">
        <f>IF(S931="New best",AA931,"")</f>
        <v/>
      </c>
      <c r="AD931">
        <f>ROW()</f>
        <v/>
      </c>
    </row>
    <row r="932">
      <c r="A932" s="1" t="n"/>
      <c r="B932" s="21" t="n"/>
      <c r="C932" s="22" t="n"/>
      <c r="D932" s="23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15">
        <f>IF(D932="","",COUNT(F932,H932,J932,L932,N932))</f>
        <v/>
      </c>
      <c r="P932" s="25">
        <f>IF(D932="","",N(E932)*N(F932)+N(G932)*N(H932)+N(I932)*N(J932)+N(K932)*N(L932)+N(M932)*N(N932))</f>
        <v/>
      </c>
      <c r="Q932" s="18">
        <f>IF(N(X932)=0,"",IF(IF(N(F932)=0,0,IF(N(E932)&gt;0,E932*(1+F932/30),F932))=X932,IF(N(E932)&gt;0,E932&amp;" x "&amp;F932,F932&amp;" reps"),IF(IF(N(H932)=0,0,IF(N(G932)&gt;0,G932*(1+H932/30),H932))=X932,IF(N(G932)&gt;0,G932&amp;" x "&amp;H932,H932&amp;" reps"),IF(IF(N(J932)=0,0,IF(N(I932)&gt;0,I932*(1+J932/30),J932))=X932,IF(N(I932)&gt;0,I932&amp;" x "&amp;J932,J932&amp;" reps"),IF(IF(N(L932)=0,0,IF(N(K932)&gt;0,K932*(1+L932/30),L932))=X932,IF(N(K932)&gt;0,K932&amp;" x "&amp;L932,L932&amp;" reps"),IF(IF(N(N932)=0,0,IF(N(M932)&gt;0,M932*(1+N932/30),N932))=X932,IF(N(M932)&gt;0,M932&amp;" x "&amp;N932,N932&amp;" reps"),""))))))</f>
        <v/>
      </c>
      <c r="R932" s="20">
        <f>IF(N(X932)=0,"",ROUND(X932,1))</f>
        <v/>
      </c>
      <c r="S932" s="18">
        <f>IF(N(X932)=0,"",IF(AND(COUNTIFS(Log!$D$6:$D$1505,D932,Log!$B$6:$B$1505,"&lt;"&amp;B932)&gt;0,COUNTIFS(Log!$D$6:$D$1505,D932,Log!$B$6:$B$1505,"&lt;"&amp;B932,Log!$X$6:$X$1505,"&gt;="&amp;X932)=0),"New best",""))</f>
        <v/>
      </c>
      <c r="T932" s="26" t="n"/>
      <c r="U932" s="1">
        <f>IF(D932="","",IFERROR(INDEX(Exercises!$C$6:$C$105,MATCH(D932,Exercises!$B$6:$B$105,0)),"Other"))</f>
        <v/>
      </c>
      <c r="V932">
        <f>IF(B932="","",IF(COUNTIF($B$6:B932,B932)=1,1,0))</f>
        <v/>
      </c>
      <c r="W932">
        <f>IF(B932="","",B932-WEEKDAY(B932,3))</f>
        <v/>
      </c>
      <c r="X932">
        <f>IF(D932="","",MAX(IF(N(F932)=0,0,IF(N(E932)&gt;0,E932*(1+F932/30),F932)),IF(N(H932)=0,0,IF(N(G932)&gt;0,G932*(1+H932/30),H932)),IF(N(J932)=0,0,IF(N(I932)&gt;0,I932*(1+J932/30),J932)),IF(N(L932)=0,0,IF(N(K932)&gt;0,K932*(1+L932/30),L932)),IF(N(N932)=0,0,IF(N(M932)&gt;0,M932*(1+N932/30),N932))))</f>
        <v/>
      </c>
      <c r="Y932">
        <f>IF(N(X932)=0,"",X932+ROW()/1000000000)</f>
        <v/>
      </c>
      <c r="Z932">
        <f>IF(Y932="","",IF(COUNTIFS(Log!$D$6:$D$1505,D932,Log!$Y$6:$Y$1505,"&gt;"&amp;Y932)=0,1,0))</f>
        <v/>
      </c>
      <c r="AA932">
        <f>IF(OR(B932="",D932=""),"",B932+ROW()/10000000)</f>
        <v/>
      </c>
      <c r="AB932">
        <f>IF(AA932="","",IF(COUNTIFS(Log!$D$6:$D$1505,D932,Log!$AA$6:$AA$1505,"&gt;"&amp;AA932)=0,1,0))</f>
        <v/>
      </c>
      <c r="AC932">
        <f>IF(S932="New best",AA932,"")</f>
        <v/>
      </c>
      <c r="AD932">
        <f>ROW()</f>
        <v/>
      </c>
    </row>
    <row r="933">
      <c r="A933" s="1" t="n"/>
      <c r="B933" s="21" t="n"/>
      <c r="C933" s="22" t="n"/>
      <c r="D933" s="23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15">
        <f>IF(D933="","",COUNT(F933,H933,J933,L933,N933))</f>
        <v/>
      </c>
      <c r="P933" s="25">
        <f>IF(D933="","",N(E933)*N(F933)+N(G933)*N(H933)+N(I933)*N(J933)+N(K933)*N(L933)+N(M933)*N(N933))</f>
        <v/>
      </c>
      <c r="Q933" s="18">
        <f>IF(N(X933)=0,"",IF(IF(N(F933)=0,0,IF(N(E933)&gt;0,E933*(1+F933/30),F933))=X933,IF(N(E933)&gt;0,E933&amp;" x "&amp;F933,F933&amp;" reps"),IF(IF(N(H933)=0,0,IF(N(G933)&gt;0,G933*(1+H933/30),H933))=X933,IF(N(G933)&gt;0,G933&amp;" x "&amp;H933,H933&amp;" reps"),IF(IF(N(J933)=0,0,IF(N(I933)&gt;0,I933*(1+J933/30),J933))=X933,IF(N(I933)&gt;0,I933&amp;" x "&amp;J933,J933&amp;" reps"),IF(IF(N(L933)=0,0,IF(N(K933)&gt;0,K933*(1+L933/30),L933))=X933,IF(N(K933)&gt;0,K933&amp;" x "&amp;L933,L933&amp;" reps"),IF(IF(N(N933)=0,0,IF(N(M933)&gt;0,M933*(1+N933/30),N933))=X933,IF(N(M933)&gt;0,M933&amp;" x "&amp;N933,N933&amp;" reps"),""))))))</f>
        <v/>
      </c>
      <c r="R933" s="20">
        <f>IF(N(X933)=0,"",ROUND(X933,1))</f>
        <v/>
      </c>
      <c r="S933" s="18">
        <f>IF(N(X933)=0,"",IF(AND(COUNTIFS(Log!$D$6:$D$1505,D933,Log!$B$6:$B$1505,"&lt;"&amp;B933)&gt;0,COUNTIFS(Log!$D$6:$D$1505,D933,Log!$B$6:$B$1505,"&lt;"&amp;B933,Log!$X$6:$X$1505,"&gt;="&amp;X933)=0),"New best",""))</f>
        <v/>
      </c>
      <c r="T933" s="26" t="n"/>
      <c r="U933" s="1">
        <f>IF(D933="","",IFERROR(INDEX(Exercises!$C$6:$C$105,MATCH(D933,Exercises!$B$6:$B$105,0)),"Other"))</f>
        <v/>
      </c>
      <c r="V933">
        <f>IF(B933="","",IF(COUNTIF($B$6:B933,B933)=1,1,0))</f>
        <v/>
      </c>
      <c r="W933">
        <f>IF(B933="","",B933-WEEKDAY(B933,3))</f>
        <v/>
      </c>
      <c r="X933">
        <f>IF(D933="","",MAX(IF(N(F933)=0,0,IF(N(E933)&gt;0,E933*(1+F933/30),F933)),IF(N(H933)=0,0,IF(N(G933)&gt;0,G933*(1+H933/30),H933)),IF(N(J933)=0,0,IF(N(I933)&gt;0,I933*(1+J933/30),J933)),IF(N(L933)=0,0,IF(N(K933)&gt;0,K933*(1+L933/30),L933)),IF(N(N933)=0,0,IF(N(M933)&gt;0,M933*(1+N933/30),N933))))</f>
        <v/>
      </c>
      <c r="Y933">
        <f>IF(N(X933)=0,"",X933+ROW()/1000000000)</f>
        <v/>
      </c>
      <c r="Z933">
        <f>IF(Y933="","",IF(COUNTIFS(Log!$D$6:$D$1505,D933,Log!$Y$6:$Y$1505,"&gt;"&amp;Y933)=0,1,0))</f>
        <v/>
      </c>
      <c r="AA933">
        <f>IF(OR(B933="",D933=""),"",B933+ROW()/10000000)</f>
        <v/>
      </c>
      <c r="AB933">
        <f>IF(AA933="","",IF(COUNTIFS(Log!$D$6:$D$1505,D933,Log!$AA$6:$AA$1505,"&gt;"&amp;AA933)=0,1,0))</f>
        <v/>
      </c>
      <c r="AC933">
        <f>IF(S933="New best",AA933,"")</f>
        <v/>
      </c>
      <c r="AD933">
        <f>ROW()</f>
        <v/>
      </c>
    </row>
    <row r="934">
      <c r="A934" s="1" t="n"/>
      <c r="B934" s="21" t="n"/>
      <c r="C934" s="22" t="n"/>
      <c r="D934" s="23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15">
        <f>IF(D934="","",COUNT(F934,H934,J934,L934,N934))</f>
        <v/>
      </c>
      <c r="P934" s="25">
        <f>IF(D934="","",N(E934)*N(F934)+N(G934)*N(H934)+N(I934)*N(J934)+N(K934)*N(L934)+N(M934)*N(N934))</f>
        <v/>
      </c>
      <c r="Q934" s="18">
        <f>IF(N(X934)=0,"",IF(IF(N(F934)=0,0,IF(N(E934)&gt;0,E934*(1+F934/30),F934))=X934,IF(N(E934)&gt;0,E934&amp;" x "&amp;F934,F934&amp;" reps"),IF(IF(N(H934)=0,0,IF(N(G934)&gt;0,G934*(1+H934/30),H934))=X934,IF(N(G934)&gt;0,G934&amp;" x "&amp;H934,H934&amp;" reps"),IF(IF(N(J934)=0,0,IF(N(I934)&gt;0,I934*(1+J934/30),J934))=X934,IF(N(I934)&gt;0,I934&amp;" x "&amp;J934,J934&amp;" reps"),IF(IF(N(L934)=0,0,IF(N(K934)&gt;0,K934*(1+L934/30),L934))=X934,IF(N(K934)&gt;0,K934&amp;" x "&amp;L934,L934&amp;" reps"),IF(IF(N(N934)=0,0,IF(N(M934)&gt;0,M934*(1+N934/30),N934))=X934,IF(N(M934)&gt;0,M934&amp;" x "&amp;N934,N934&amp;" reps"),""))))))</f>
        <v/>
      </c>
      <c r="R934" s="20">
        <f>IF(N(X934)=0,"",ROUND(X934,1))</f>
        <v/>
      </c>
      <c r="S934" s="18">
        <f>IF(N(X934)=0,"",IF(AND(COUNTIFS(Log!$D$6:$D$1505,D934,Log!$B$6:$B$1505,"&lt;"&amp;B934)&gt;0,COUNTIFS(Log!$D$6:$D$1505,D934,Log!$B$6:$B$1505,"&lt;"&amp;B934,Log!$X$6:$X$1505,"&gt;="&amp;X934)=0),"New best",""))</f>
        <v/>
      </c>
      <c r="T934" s="26" t="n"/>
      <c r="U934" s="1">
        <f>IF(D934="","",IFERROR(INDEX(Exercises!$C$6:$C$105,MATCH(D934,Exercises!$B$6:$B$105,0)),"Other"))</f>
        <v/>
      </c>
      <c r="V934">
        <f>IF(B934="","",IF(COUNTIF($B$6:B934,B934)=1,1,0))</f>
        <v/>
      </c>
      <c r="W934">
        <f>IF(B934="","",B934-WEEKDAY(B934,3))</f>
        <v/>
      </c>
      <c r="X934">
        <f>IF(D934="","",MAX(IF(N(F934)=0,0,IF(N(E934)&gt;0,E934*(1+F934/30),F934)),IF(N(H934)=0,0,IF(N(G934)&gt;0,G934*(1+H934/30),H934)),IF(N(J934)=0,0,IF(N(I934)&gt;0,I934*(1+J934/30),J934)),IF(N(L934)=0,0,IF(N(K934)&gt;0,K934*(1+L934/30),L934)),IF(N(N934)=0,0,IF(N(M934)&gt;0,M934*(1+N934/30),N934))))</f>
        <v/>
      </c>
      <c r="Y934">
        <f>IF(N(X934)=0,"",X934+ROW()/1000000000)</f>
        <v/>
      </c>
      <c r="Z934">
        <f>IF(Y934="","",IF(COUNTIFS(Log!$D$6:$D$1505,D934,Log!$Y$6:$Y$1505,"&gt;"&amp;Y934)=0,1,0))</f>
        <v/>
      </c>
      <c r="AA934">
        <f>IF(OR(B934="",D934=""),"",B934+ROW()/10000000)</f>
        <v/>
      </c>
      <c r="AB934">
        <f>IF(AA934="","",IF(COUNTIFS(Log!$D$6:$D$1505,D934,Log!$AA$6:$AA$1505,"&gt;"&amp;AA934)=0,1,0))</f>
        <v/>
      </c>
      <c r="AC934">
        <f>IF(S934="New best",AA934,"")</f>
        <v/>
      </c>
      <c r="AD934">
        <f>ROW()</f>
        <v/>
      </c>
    </row>
    <row r="935">
      <c r="A935" s="1" t="n"/>
      <c r="B935" s="21" t="n"/>
      <c r="C935" s="22" t="n"/>
      <c r="D935" s="23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15">
        <f>IF(D935="","",COUNT(F935,H935,J935,L935,N935))</f>
        <v/>
      </c>
      <c r="P935" s="25">
        <f>IF(D935="","",N(E935)*N(F935)+N(G935)*N(H935)+N(I935)*N(J935)+N(K935)*N(L935)+N(M935)*N(N935))</f>
        <v/>
      </c>
      <c r="Q935" s="18">
        <f>IF(N(X935)=0,"",IF(IF(N(F935)=0,0,IF(N(E935)&gt;0,E935*(1+F935/30),F935))=X935,IF(N(E935)&gt;0,E935&amp;" x "&amp;F935,F935&amp;" reps"),IF(IF(N(H935)=0,0,IF(N(G935)&gt;0,G935*(1+H935/30),H935))=X935,IF(N(G935)&gt;0,G935&amp;" x "&amp;H935,H935&amp;" reps"),IF(IF(N(J935)=0,0,IF(N(I935)&gt;0,I935*(1+J935/30),J935))=X935,IF(N(I935)&gt;0,I935&amp;" x "&amp;J935,J935&amp;" reps"),IF(IF(N(L935)=0,0,IF(N(K935)&gt;0,K935*(1+L935/30),L935))=X935,IF(N(K935)&gt;0,K935&amp;" x "&amp;L935,L935&amp;" reps"),IF(IF(N(N935)=0,0,IF(N(M935)&gt;0,M935*(1+N935/30),N935))=X935,IF(N(M935)&gt;0,M935&amp;" x "&amp;N935,N935&amp;" reps"),""))))))</f>
        <v/>
      </c>
      <c r="R935" s="20">
        <f>IF(N(X935)=0,"",ROUND(X935,1))</f>
        <v/>
      </c>
      <c r="S935" s="18">
        <f>IF(N(X935)=0,"",IF(AND(COUNTIFS(Log!$D$6:$D$1505,D935,Log!$B$6:$B$1505,"&lt;"&amp;B935)&gt;0,COUNTIFS(Log!$D$6:$D$1505,D935,Log!$B$6:$B$1505,"&lt;"&amp;B935,Log!$X$6:$X$1505,"&gt;="&amp;X935)=0),"New best",""))</f>
        <v/>
      </c>
      <c r="T935" s="26" t="n"/>
      <c r="U935" s="1">
        <f>IF(D935="","",IFERROR(INDEX(Exercises!$C$6:$C$105,MATCH(D935,Exercises!$B$6:$B$105,0)),"Other"))</f>
        <v/>
      </c>
      <c r="V935">
        <f>IF(B935="","",IF(COUNTIF($B$6:B935,B935)=1,1,0))</f>
        <v/>
      </c>
      <c r="W935">
        <f>IF(B935="","",B935-WEEKDAY(B935,3))</f>
        <v/>
      </c>
      <c r="X935">
        <f>IF(D935="","",MAX(IF(N(F935)=0,0,IF(N(E935)&gt;0,E935*(1+F935/30),F935)),IF(N(H935)=0,0,IF(N(G935)&gt;0,G935*(1+H935/30),H935)),IF(N(J935)=0,0,IF(N(I935)&gt;0,I935*(1+J935/30),J935)),IF(N(L935)=0,0,IF(N(K935)&gt;0,K935*(1+L935/30),L935)),IF(N(N935)=0,0,IF(N(M935)&gt;0,M935*(1+N935/30),N935))))</f>
        <v/>
      </c>
      <c r="Y935">
        <f>IF(N(X935)=0,"",X935+ROW()/1000000000)</f>
        <v/>
      </c>
      <c r="Z935">
        <f>IF(Y935="","",IF(COUNTIFS(Log!$D$6:$D$1505,D935,Log!$Y$6:$Y$1505,"&gt;"&amp;Y935)=0,1,0))</f>
        <v/>
      </c>
      <c r="AA935">
        <f>IF(OR(B935="",D935=""),"",B935+ROW()/10000000)</f>
        <v/>
      </c>
      <c r="AB935">
        <f>IF(AA935="","",IF(COUNTIFS(Log!$D$6:$D$1505,D935,Log!$AA$6:$AA$1505,"&gt;"&amp;AA935)=0,1,0))</f>
        <v/>
      </c>
      <c r="AC935">
        <f>IF(S935="New best",AA935,"")</f>
        <v/>
      </c>
      <c r="AD935">
        <f>ROW()</f>
        <v/>
      </c>
    </row>
    <row r="936">
      <c r="A936" s="1" t="n"/>
      <c r="B936" s="21" t="n"/>
      <c r="C936" s="22" t="n"/>
      <c r="D936" s="23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15">
        <f>IF(D936="","",COUNT(F936,H936,J936,L936,N936))</f>
        <v/>
      </c>
      <c r="P936" s="25">
        <f>IF(D936="","",N(E936)*N(F936)+N(G936)*N(H936)+N(I936)*N(J936)+N(K936)*N(L936)+N(M936)*N(N936))</f>
        <v/>
      </c>
      <c r="Q936" s="18">
        <f>IF(N(X936)=0,"",IF(IF(N(F936)=0,0,IF(N(E936)&gt;0,E936*(1+F936/30),F936))=X936,IF(N(E936)&gt;0,E936&amp;" x "&amp;F936,F936&amp;" reps"),IF(IF(N(H936)=0,0,IF(N(G936)&gt;0,G936*(1+H936/30),H936))=X936,IF(N(G936)&gt;0,G936&amp;" x "&amp;H936,H936&amp;" reps"),IF(IF(N(J936)=0,0,IF(N(I936)&gt;0,I936*(1+J936/30),J936))=X936,IF(N(I936)&gt;0,I936&amp;" x "&amp;J936,J936&amp;" reps"),IF(IF(N(L936)=0,0,IF(N(K936)&gt;0,K936*(1+L936/30),L936))=X936,IF(N(K936)&gt;0,K936&amp;" x "&amp;L936,L936&amp;" reps"),IF(IF(N(N936)=0,0,IF(N(M936)&gt;0,M936*(1+N936/30),N936))=X936,IF(N(M936)&gt;0,M936&amp;" x "&amp;N936,N936&amp;" reps"),""))))))</f>
        <v/>
      </c>
      <c r="R936" s="20">
        <f>IF(N(X936)=0,"",ROUND(X936,1))</f>
        <v/>
      </c>
      <c r="S936" s="18">
        <f>IF(N(X936)=0,"",IF(AND(COUNTIFS(Log!$D$6:$D$1505,D936,Log!$B$6:$B$1505,"&lt;"&amp;B936)&gt;0,COUNTIFS(Log!$D$6:$D$1505,D936,Log!$B$6:$B$1505,"&lt;"&amp;B936,Log!$X$6:$X$1505,"&gt;="&amp;X936)=0),"New best",""))</f>
        <v/>
      </c>
      <c r="T936" s="26" t="n"/>
      <c r="U936" s="1">
        <f>IF(D936="","",IFERROR(INDEX(Exercises!$C$6:$C$105,MATCH(D936,Exercises!$B$6:$B$105,0)),"Other"))</f>
        <v/>
      </c>
      <c r="V936">
        <f>IF(B936="","",IF(COUNTIF($B$6:B936,B936)=1,1,0))</f>
        <v/>
      </c>
      <c r="W936">
        <f>IF(B936="","",B936-WEEKDAY(B936,3))</f>
        <v/>
      </c>
      <c r="X936">
        <f>IF(D936="","",MAX(IF(N(F936)=0,0,IF(N(E936)&gt;0,E936*(1+F936/30),F936)),IF(N(H936)=0,0,IF(N(G936)&gt;0,G936*(1+H936/30),H936)),IF(N(J936)=0,0,IF(N(I936)&gt;0,I936*(1+J936/30),J936)),IF(N(L936)=0,0,IF(N(K936)&gt;0,K936*(1+L936/30),L936)),IF(N(N936)=0,0,IF(N(M936)&gt;0,M936*(1+N936/30),N936))))</f>
        <v/>
      </c>
      <c r="Y936">
        <f>IF(N(X936)=0,"",X936+ROW()/1000000000)</f>
        <v/>
      </c>
      <c r="Z936">
        <f>IF(Y936="","",IF(COUNTIFS(Log!$D$6:$D$1505,D936,Log!$Y$6:$Y$1505,"&gt;"&amp;Y936)=0,1,0))</f>
        <v/>
      </c>
      <c r="AA936">
        <f>IF(OR(B936="",D936=""),"",B936+ROW()/10000000)</f>
        <v/>
      </c>
      <c r="AB936">
        <f>IF(AA936="","",IF(COUNTIFS(Log!$D$6:$D$1505,D936,Log!$AA$6:$AA$1505,"&gt;"&amp;AA936)=0,1,0))</f>
        <v/>
      </c>
      <c r="AC936">
        <f>IF(S936="New best",AA936,"")</f>
        <v/>
      </c>
      <c r="AD936">
        <f>ROW()</f>
        <v/>
      </c>
    </row>
    <row r="937">
      <c r="A937" s="1" t="n"/>
      <c r="B937" s="21" t="n"/>
      <c r="C937" s="22" t="n"/>
      <c r="D937" s="23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15">
        <f>IF(D937="","",COUNT(F937,H937,J937,L937,N937))</f>
        <v/>
      </c>
      <c r="P937" s="25">
        <f>IF(D937="","",N(E937)*N(F937)+N(G937)*N(H937)+N(I937)*N(J937)+N(K937)*N(L937)+N(M937)*N(N937))</f>
        <v/>
      </c>
      <c r="Q937" s="18">
        <f>IF(N(X937)=0,"",IF(IF(N(F937)=0,0,IF(N(E937)&gt;0,E937*(1+F937/30),F937))=X937,IF(N(E937)&gt;0,E937&amp;" x "&amp;F937,F937&amp;" reps"),IF(IF(N(H937)=0,0,IF(N(G937)&gt;0,G937*(1+H937/30),H937))=X937,IF(N(G937)&gt;0,G937&amp;" x "&amp;H937,H937&amp;" reps"),IF(IF(N(J937)=0,0,IF(N(I937)&gt;0,I937*(1+J937/30),J937))=X937,IF(N(I937)&gt;0,I937&amp;" x "&amp;J937,J937&amp;" reps"),IF(IF(N(L937)=0,0,IF(N(K937)&gt;0,K937*(1+L937/30),L937))=X937,IF(N(K937)&gt;0,K937&amp;" x "&amp;L937,L937&amp;" reps"),IF(IF(N(N937)=0,0,IF(N(M937)&gt;0,M937*(1+N937/30),N937))=X937,IF(N(M937)&gt;0,M937&amp;" x "&amp;N937,N937&amp;" reps"),""))))))</f>
        <v/>
      </c>
      <c r="R937" s="20">
        <f>IF(N(X937)=0,"",ROUND(X937,1))</f>
        <v/>
      </c>
      <c r="S937" s="18">
        <f>IF(N(X937)=0,"",IF(AND(COUNTIFS(Log!$D$6:$D$1505,D937,Log!$B$6:$B$1505,"&lt;"&amp;B937)&gt;0,COUNTIFS(Log!$D$6:$D$1505,D937,Log!$B$6:$B$1505,"&lt;"&amp;B937,Log!$X$6:$X$1505,"&gt;="&amp;X937)=0),"New best",""))</f>
        <v/>
      </c>
      <c r="T937" s="26" t="n"/>
      <c r="U937" s="1">
        <f>IF(D937="","",IFERROR(INDEX(Exercises!$C$6:$C$105,MATCH(D937,Exercises!$B$6:$B$105,0)),"Other"))</f>
        <v/>
      </c>
      <c r="V937">
        <f>IF(B937="","",IF(COUNTIF($B$6:B937,B937)=1,1,0))</f>
        <v/>
      </c>
      <c r="W937">
        <f>IF(B937="","",B937-WEEKDAY(B937,3))</f>
        <v/>
      </c>
      <c r="X937">
        <f>IF(D937="","",MAX(IF(N(F937)=0,0,IF(N(E937)&gt;0,E937*(1+F937/30),F937)),IF(N(H937)=0,0,IF(N(G937)&gt;0,G937*(1+H937/30),H937)),IF(N(J937)=0,0,IF(N(I937)&gt;0,I937*(1+J937/30),J937)),IF(N(L937)=0,0,IF(N(K937)&gt;0,K937*(1+L937/30),L937)),IF(N(N937)=0,0,IF(N(M937)&gt;0,M937*(1+N937/30),N937))))</f>
        <v/>
      </c>
      <c r="Y937">
        <f>IF(N(X937)=0,"",X937+ROW()/1000000000)</f>
        <v/>
      </c>
      <c r="Z937">
        <f>IF(Y937="","",IF(COUNTIFS(Log!$D$6:$D$1505,D937,Log!$Y$6:$Y$1505,"&gt;"&amp;Y937)=0,1,0))</f>
        <v/>
      </c>
      <c r="AA937">
        <f>IF(OR(B937="",D937=""),"",B937+ROW()/10000000)</f>
        <v/>
      </c>
      <c r="AB937">
        <f>IF(AA937="","",IF(COUNTIFS(Log!$D$6:$D$1505,D937,Log!$AA$6:$AA$1505,"&gt;"&amp;AA937)=0,1,0))</f>
        <v/>
      </c>
      <c r="AC937">
        <f>IF(S937="New best",AA937,"")</f>
        <v/>
      </c>
      <c r="AD937">
        <f>ROW()</f>
        <v/>
      </c>
    </row>
    <row r="938">
      <c r="A938" s="1" t="n"/>
      <c r="B938" s="21" t="n"/>
      <c r="C938" s="22" t="n"/>
      <c r="D938" s="23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15">
        <f>IF(D938="","",COUNT(F938,H938,J938,L938,N938))</f>
        <v/>
      </c>
      <c r="P938" s="25">
        <f>IF(D938="","",N(E938)*N(F938)+N(G938)*N(H938)+N(I938)*N(J938)+N(K938)*N(L938)+N(M938)*N(N938))</f>
        <v/>
      </c>
      <c r="Q938" s="18">
        <f>IF(N(X938)=0,"",IF(IF(N(F938)=0,0,IF(N(E938)&gt;0,E938*(1+F938/30),F938))=X938,IF(N(E938)&gt;0,E938&amp;" x "&amp;F938,F938&amp;" reps"),IF(IF(N(H938)=0,0,IF(N(G938)&gt;0,G938*(1+H938/30),H938))=X938,IF(N(G938)&gt;0,G938&amp;" x "&amp;H938,H938&amp;" reps"),IF(IF(N(J938)=0,0,IF(N(I938)&gt;0,I938*(1+J938/30),J938))=X938,IF(N(I938)&gt;0,I938&amp;" x "&amp;J938,J938&amp;" reps"),IF(IF(N(L938)=0,0,IF(N(K938)&gt;0,K938*(1+L938/30),L938))=X938,IF(N(K938)&gt;0,K938&amp;" x "&amp;L938,L938&amp;" reps"),IF(IF(N(N938)=0,0,IF(N(M938)&gt;0,M938*(1+N938/30),N938))=X938,IF(N(M938)&gt;0,M938&amp;" x "&amp;N938,N938&amp;" reps"),""))))))</f>
        <v/>
      </c>
      <c r="R938" s="20">
        <f>IF(N(X938)=0,"",ROUND(X938,1))</f>
        <v/>
      </c>
      <c r="S938" s="18">
        <f>IF(N(X938)=0,"",IF(AND(COUNTIFS(Log!$D$6:$D$1505,D938,Log!$B$6:$B$1505,"&lt;"&amp;B938)&gt;0,COUNTIFS(Log!$D$6:$D$1505,D938,Log!$B$6:$B$1505,"&lt;"&amp;B938,Log!$X$6:$X$1505,"&gt;="&amp;X938)=0),"New best",""))</f>
        <v/>
      </c>
      <c r="T938" s="26" t="n"/>
      <c r="U938" s="1">
        <f>IF(D938="","",IFERROR(INDEX(Exercises!$C$6:$C$105,MATCH(D938,Exercises!$B$6:$B$105,0)),"Other"))</f>
        <v/>
      </c>
      <c r="V938">
        <f>IF(B938="","",IF(COUNTIF($B$6:B938,B938)=1,1,0))</f>
        <v/>
      </c>
      <c r="W938">
        <f>IF(B938="","",B938-WEEKDAY(B938,3))</f>
        <v/>
      </c>
      <c r="X938">
        <f>IF(D938="","",MAX(IF(N(F938)=0,0,IF(N(E938)&gt;0,E938*(1+F938/30),F938)),IF(N(H938)=0,0,IF(N(G938)&gt;0,G938*(1+H938/30),H938)),IF(N(J938)=0,0,IF(N(I938)&gt;0,I938*(1+J938/30),J938)),IF(N(L938)=0,0,IF(N(K938)&gt;0,K938*(1+L938/30),L938)),IF(N(N938)=0,0,IF(N(M938)&gt;0,M938*(1+N938/30),N938))))</f>
        <v/>
      </c>
      <c r="Y938">
        <f>IF(N(X938)=0,"",X938+ROW()/1000000000)</f>
        <v/>
      </c>
      <c r="Z938">
        <f>IF(Y938="","",IF(COUNTIFS(Log!$D$6:$D$1505,D938,Log!$Y$6:$Y$1505,"&gt;"&amp;Y938)=0,1,0))</f>
        <v/>
      </c>
      <c r="AA938">
        <f>IF(OR(B938="",D938=""),"",B938+ROW()/10000000)</f>
        <v/>
      </c>
      <c r="AB938">
        <f>IF(AA938="","",IF(COUNTIFS(Log!$D$6:$D$1505,D938,Log!$AA$6:$AA$1505,"&gt;"&amp;AA938)=0,1,0))</f>
        <v/>
      </c>
      <c r="AC938">
        <f>IF(S938="New best",AA938,"")</f>
        <v/>
      </c>
      <c r="AD938">
        <f>ROW()</f>
        <v/>
      </c>
    </row>
    <row r="939">
      <c r="A939" s="1" t="n"/>
      <c r="B939" s="21" t="n"/>
      <c r="C939" s="22" t="n"/>
      <c r="D939" s="23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15">
        <f>IF(D939="","",COUNT(F939,H939,J939,L939,N939))</f>
        <v/>
      </c>
      <c r="P939" s="25">
        <f>IF(D939="","",N(E939)*N(F939)+N(G939)*N(H939)+N(I939)*N(J939)+N(K939)*N(L939)+N(M939)*N(N939))</f>
        <v/>
      </c>
      <c r="Q939" s="18">
        <f>IF(N(X939)=0,"",IF(IF(N(F939)=0,0,IF(N(E939)&gt;0,E939*(1+F939/30),F939))=X939,IF(N(E939)&gt;0,E939&amp;" x "&amp;F939,F939&amp;" reps"),IF(IF(N(H939)=0,0,IF(N(G939)&gt;0,G939*(1+H939/30),H939))=X939,IF(N(G939)&gt;0,G939&amp;" x "&amp;H939,H939&amp;" reps"),IF(IF(N(J939)=0,0,IF(N(I939)&gt;0,I939*(1+J939/30),J939))=X939,IF(N(I939)&gt;0,I939&amp;" x "&amp;J939,J939&amp;" reps"),IF(IF(N(L939)=0,0,IF(N(K939)&gt;0,K939*(1+L939/30),L939))=X939,IF(N(K939)&gt;0,K939&amp;" x "&amp;L939,L939&amp;" reps"),IF(IF(N(N939)=0,0,IF(N(M939)&gt;0,M939*(1+N939/30),N939))=X939,IF(N(M939)&gt;0,M939&amp;" x "&amp;N939,N939&amp;" reps"),""))))))</f>
        <v/>
      </c>
      <c r="R939" s="20">
        <f>IF(N(X939)=0,"",ROUND(X939,1))</f>
        <v/>
      </c>
      <c r="S939" s="18">
        <f>IF(N(X939)=0,"",IF(AND(COUNTIFS(Log!$D$6:$D$1505,D939,Log!$B$6:$B$1505,"&lt;"&amp;B939)&gt;0,COUNTIFS(Log!$D$6:$D$1505,D939,Log!$B$6:$B$1505,"&lt;"&amp;B939,Log!$X$6:$X$1505,"&gt;="&amp;X939)=0),"New best",""))</f>
        <v/>
      </c>
      <c r="T939" s="26" t="n"/>
      <c r="U939" s="1">
        <f>IF(D939="","",IFERROR(INDEX(Exercises!$C$6:$C$105,MATCH(D939,Exercises!$B$6:$B$105,0)),"Other"))</f>
        <v/>
      </c>
      <c r="V939">
        <f>IF(B939="","",IF(COUNTIF($B$6:B939,B939)=1,1,0))</f>
        <v/>
      </c>
      <c r="W939">
        <f>IF(B939="","",B939-WEEKDAY(B939,3))</f>
        <v/>
      </c>
      <c r="X939">
        <f>IF(D939="","",MAX(IF(N(F939)=0,0,IF(N(E939)&gt;0,E939*(1+F939/30),F939)),IF(N(H939)=0,0,IF(N(G939)&gt;0,G939*(1+H939/30),H939)),IF(N(J939)=0,0,IF(N(I939)&gt;0,I939*(1+J939/30),J939)),IF(N(L939)=0,0,IF(N(K939)&gt;0,K939*(1+L939/30),L939)),IF(N(N939)=0,0,IF(N(M939)&gt;0,M939*(1+N939/30),N939))))</f>
        <v/>
      </c>
      <c r="Y939">
        <f>IF(N(X939)=0,"",X939+ROW()/1000000000)</f>
        <v/>
      </c>
      <c r="Z939">
        <f>IF(Y939="","",IF(COUNTIFS(Log!$D$6:$D$1505,D939,Log!$Y$6:$Y$1505,"&gt;"&amp;Y939)=0,1,0))</f>
        <v/>
      </c>
      <c r="AA939">
        <f>IF(OR(B939="",D939=""),"",B939+ROW()/10000000)</f>
        <v/>
      </c>
      <c r="AB939">
        <f>IF(AA939="","",IF(COUNTIFS(Log!$D$6:$D$1505,D939,Log!$AA$6:$AA$1505,"&gt;"&amp;AA939)=0,1,0))</f>
        <v/>
      </c>
      <c r="AC939">
        <f>IF(S939="New best",AA939,"")</f>
        <v/>
      </c>
      <c r="AD939">
        <f>ROW()</f>
        <v/>
      </c>
    </row>
    <row r="940">
      <c r="A940" s="1" t="n"/>
      <c r="B940" s="21" t="n"/>
      <c r="C940" s="22" t="n"/>
      <c r="D940" s="23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15">
        <f>IF(D940="","",COUNT(F940,H940,J940,L940,N940))</f>
        <v/>
      </c>
      <c r="P940" s="25">
        <f>IF(D940="","",N(E940)*N(F940)+N(G940)*N(H940)+N(I940)*N(J940)+N(K940)*N(L940)+N(M940)*N(N940))</f>
        <v/>
      </c>
      <c r="Q940" s="18">
        <f>IF(N(X940)=0,"",IF(IF(N(F940)=0,0,IF(N(E940)&gt;0,E940*(1+F940/30),F940))=X940,IF(N(E940)&gt;0,E940&amp;" x "&amp;F940,F940&amp;" reps"),IF(IF(N(H940)=0,0,IF(N(G940)&gt;0,G940*(1+H940/30),H940))=X940,IF(N(G940)&gt;0,G940&amp;" x "&amp;H940,H940&amp;" reps"),IF(IF(N(J940)=0,0,IF(N(I940)&gt;0,I940*(1+J940/30),J940))=X940,IF(N(I940)&gt;0,I940&amp;" x "&amp;J940,J940&amp;" reps"),IF(IF(N(L940)=0,0,IF(N(K940)&gt;0,K940*(1+L940/30),L940))=X940,IF(N(K940)&gt;0,K940&amp;" x "&amp;L940,L940&amp;" reps"),IF(IF(N(N940)=0,0,IF(N(M940)&gt;0,M940*(1+N940/30),N940))=X940,IF(N(M940)&gt;0,M940&amp;" x "&amp;N940,N940&amp;" reps"),""))))))</f>
        <v/>
      </c>
      <c r="R940" s="20">
        <f>IF(N(X940)=0,"",ROUND(X940,1))</f>
        <v/>
      </c>
      <c r="S940" s="18">
        <f>IF(N(X940)=0,"",IF(AND(COUNTIFS(Log!$D$6:$D$1505,D940,Log!$B$6:$B$1505,"&lt;"&amp;B940)&gt;0,COUNTIFS(Log!$D$6:$D$1505,D940,Log!$B$6:$B$1505,"&lt;"&amp;B940,Log!$X$6:$X$1505,"&gt;="&amp;X940)=0),"New best",""))</f>
        <v/>
      </c>
      <c r="T940" s="26" t="n"/>
      <c r="U940" s="1">
        <f>IF(D940="","",IFERROR(INDEX(Exercises!$C$6:$C$105,MATCH(D940,Exercises!$B$6:$B$105,0)),"Other"))</f>
        <v/>
      </c>
      <c r="V940">
        <f>IF(B940="","",IF(COUNTIF($B$6:B940,B940)=1,1,0))</f>
        <v/>
      </c>
      <c r="W940">
        <f>IF(B940="","",B940-WEEKDAY(B940,3))</f>
        <v/>
      </c>
      <c r="X940">
        <f>IF(D940="","",MAX(IF(N(F940)=0,0,IF(N(E940)&gt;0,E940*(1+F940/30),F940)),IF(N(H940)=0,0,IF(N(G940)&gt;0,G940*(1+H940/30),H940)),IF(N(J940)=0,0,IF(N(I940)&gt;0,I940*(1+J940/30),J940)),IF(N(L940)=0,0,IF(N(K940)&gt;0,K940*(1+L940/30),L940)),IF(N(N940)=0,0,IF(N(M940)&gt;0,M940*(1+N940/30),N940))))</f>
        <v/>
      </c>
      <c r="Y940">
        <f>IF(N(X940)=0,"",X940+ROW()/1000000000)</f>
        <v/>
      </c>
      <c r="Z940">
        <f>IF(Y940="","",IF(COUNTIFS(Log!$D$6:$D$1505,D940,Log!$Y$6:$Y$1505,"&gt;"&amp;Y940)=0,1,0))</f>
        <v/>
      </c>
      <c r="AA940">
        <f>IF(OR(B940="",D940=""),"",B940+ROW()/10000000)</f>
        <v/>
      </c>
      <c r="AB940">
        <f>IF(AA940="","",IF(COUNTIFS(Log!$D$6:$D$1505,D940,Log!$AA$6:$AA$1505,"&gt;"&amp;AA940)=0,1,0))</f>
        <v/>
      </c>
      <c r="AC940">
        <f>IF(S940="New best",AA940,"")</f>
        <v/>
      </c>
      <c r="AD940">
        <f>ROW()</f>
        <v/>
      </c>
    </row>
    <row r="941">
      <c r="A941" s="1" t="n"/>
      <c r="B941" s="21" t="n"/>
      <c r="C941" s="22" t="n"/>
      <c r="D941" s="23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15">
        <f>IF(D941="","",COUNT(F941,H941,J941,L941,N941))</f>
        <v/>
      </c>
      <c r="P941" s="25">
        <f>IF(D941="","",N(E941)*N(F941)+N(G941)*N(H941)+N(I941)*N(J941)+N(K941)*N(L941)+N(M941)*N(N941))</f>
        <v/>
      </c>
      <c r="Q941" s="18">
        <f>IF(N(X941)=0,"",IF(IF(N(F941)=0,0,IF(N(E941)&gt;0,E941*(1+F941/30),F941))=X941,IF(N(E941)&gt;0,E941&amp;" x "&amp;F941,F941&amp;" reps"),IF(IF(N(H941)=0,0,IF(N(G941)&gt;0,G941*(1+H941/30),H941))=X941,IF(N(G941)&gt;0,G941&amp;" x "&amp;H941,H941&amp;" reps"),IF(IF(N(J941)=0,0,IF(N(I941)&gt;0,I941*(1+J941/30),J941))=X941,IF(N(I941)&gt;0,I941&amp;" x "&amp;J941,J941&amp;" reps"),IF(IF(N(L941)=0,0,IF(N(K941)&gt;0,K941*(1+L941/30),L941))=X941,IF(N(K941)&gt;0,K941&amp;" x "&amp;L941,L941&amp;" reps"),IF(IF(N(N941)=0,0,IF(N(M941)&gt;0,M941*(1+N941/30),N941))=X941,IF(N(M941)&gt;0,M941&amp;" x "&amp;N941,N941&amp;" reps"),""))))))</f>
        <v/>
      </c>
      <c r="R941" s="20">
        <f>IF(N(X941)=0,"",ROUND(X941,1))</f>
        <v/>
      </c>
      <c r="S941" s="18">
        <f>IF(N(X941)=0,"",IF(AND(COUNTIFS(Log!$D$6:$D$1505,D941,Log!$B$6:$B$1505,"&lt;"&amp;B941)&gt;0,COUNTIFS(Log!$D$6:$D$1505,D941,Log!$B$6:$B$1505,"&lt;"&amp;B941,Log!$X$6:$X$1505,"&gt;="&amp;X941)=0),"New best",""))</f>
        <v/>
      </c>
      <c r="T941" s="26" t="n"/>
      <c r="U941" s="1">
        <f>IF(D941="","",IFERROR(INDEX(Exercises!$C$6:$C$105,MATCH(D941,Exercises!$B$6:$B$105,0)),"Other"))</f>
        <v/>
      </c>
      <c r="V941">
        <f>IF(B941="","",IF(COUNTIF($B$6:B941,B941)=1,1,0))</f>
        <v/>
      </c>
      <c r="W941">
        <f>IF(B941="","",B941-WEEKDAY(B941,3))</f>
        <v/>
      </c>
      <c r="X941">
        <f>IF(D941="","",MAX(IF(N(F941)=0,0,IF(N(E941)&gt;0,E941*(1+F941/30),F941)),IF(N(H941)=0,0,IF(N(G941)&gt;0,G941*(1+H941/30),H941)),IF(N(J941)=0,0,IF(N(I941)&gt;0,I941*(1+J941/30),J941)),IF(N(L941)=0,0,IF(N(K941)&gt;0,K941*(1+L941/30),L941)),IF(N(N941)=0,0,IF(N(M941)&gt;0,M941*(1+N941/30),N941))))</f>
        <v/>
      </c>
      <c r="Y941">
        <f>IF(N(X941)=0,"",X941+ROW()/1000000000)</f>
        <v/>
      </c>
      <c r="Z941">
        <f>IF(Y941="","",IF(COUNTIFS(Log!$D$6:$D$1505,D941,Log!$Y$6:$Y$1505,"&gt;"&amp;Y941)=0,1,0))</f>
        <v/>
      </c>
      <c r="AA941">
        <f>IF(OR(B941="",D941=""),"",B941+ROW()/10000000)</f>
        <v/>
      </c>
      <c r="AB941">
        <f>IF(AA941="","",IF(COUNTIFS(Log!$D$6:$D$1505,D941,Log!$AA$6:$AA$1505,"&gt;"&amp;AA941)=0,1,0))</f>
        <v/>
      </c>
      <c r="AC941">
        <f>IF(S941="New best",AA941,"")</f>
        <v/>
      </c>
      <c r="AD941">
        <f>ROW()</f>
        <v/>
      </c>
    </row>
    <row r="942">
      <c r="A942" s="1" t="n"/>
      <c r="B942" s="21" t="n"/>
      <c r="C942" s="22" t="n"/>
      <c r="D942" s="23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15">
        <f>IF(D942="","",COUNT(F942,H942,J942,L942,N942))</f>
        <v/>
      </c>
      <c r="P942" s="25">
        <f>IF(D942="","",N(E942)*N(F942)+N(G942)*N(H942)+N(I942)*N(J942)+N(K942)*N(L942)+N(M942)*N(N942))</f>
        <v/>
      </c>
      <c r="Q942" s="18">
        <f>IF(N(X942)=0,"",IF(IF(N(F942)=0,0,IF(N(E942)&gt;0,E942*(1+F942/30),F942))=X942,IF(N(E942)&gt;0,E942&amp;" x "&amp;F942,F942&amp;" reps"),IF(IF(N(H942)=0,0,IF(N(G942)&gt;0,G942*(1+H942/30),H942))=X942,IF(N(G942)&gt;0,G942&amp;" x "&amp;H942,H942&amp;" reps"),IF(IF(N(J942)=0,0,IF(N(I942)&gt;0,I942*(1+J942/30),J942))=X942,IF(N(I942)&gt;0,I942&amp;" x "&amp;J942,J942&amp;" reps"),IF(IF(N(L942)=0,0,IF(N(K942)&gt;0,K942*(1+L942/30),L942))=X942,IF(N(K942)&gt;0,K942&amp;" x "&amp;L942,L942&amp;" reps"),IF(IF(N(N942)=0,0,IF(N(M942)&gt;0,M942*(1+N942/30),N942))=X942,IF(N(M942)&gt;0,M942&amp;" x "&amp;N942,N942&amp;" reps"),""))))))</f>
        <v/>
      </c>
      <c r="R942" s="20">
        <f>IF(N(X942)=0,"",ROUND(X942,1))</f>
        <v/>
      </c>
      <c r="S942" s="18">
        <f>IF(N(X942)=0,"",IF(AND(COUNTIFS(Log!$D$6:$D$1505,D942,Log!$B$6:$B$1505,"&lt;"&amp;B942)&gt;0,COUNTIFS(Log!$D$6:$D$1505,D942,Log!$B$6:$B$1505,"&lt;"&amp;B942,Log!$X$6:$X$1505,"&gt;="&amp;X942)=0),"New best",""))</f>
        <v/>
      </c>
      <c r="T942" s="26" t="n"/>
      <c r="U942" s="1">
        <f>IF(D942="","",IFERROR(INDEX(Exercises!$C$6:$C$105,MATCH(D942,Exercises!$B$6:$B$105,0)),"Other"))</f>
        <v/>
      </c>
      <c r="V942">
        <f>IF(B942="","",IF(COUNTIF($B$6:B942,B942)=1,1,0))</f>
        <v/>
      </c>
      <c r="W942">
        <f>IF(B942="","",B942-WEEKDAY(B942,3))</f>
        <v/>
      </c>
      <c r="X942">
        <f>IF(D942="","",MAX(IF(N(F942)=0,0,IF(N(E942)&gt;0,E942*(1+F942/30),F942)),IF(N(H942)=0,0,IF(N(G942)&gt;0,G942*(1+H942/30),H942)),IF(N(J942)=0,0,IF(N(I942)&gt;0,I942*(1+J942/30),J942)),IF(N(L942)=0,0,IF(N(K942)&gt;0,K942*(1+L942/30),L942)),IF(N(N942)=0,0,IF(N(M942)&gt;0,M942*(1+N942/30),N942))))</f>
        <v/>
      </c>
      <c r="Y942">
        <f>IF(N(X942)=0,"",X942+ROW()/1000000000)</f>
        <v/>
      </c>
      <c r="Z942">
        <f>IF(Y942="","",IF(COUNTIFS(Log!$D$6:$D$1505,D942,Log!$Y$6:$Y$1505,"&gt;"&amp;Y942)=0,1,0))</f>
        <v/>
      </c>
      <c r="AA942">
        <f>IF(OR(B942="",D942=""),"",B942+ROW()/10000000)</f>
        <v/>
      </c>
      <c r="AB942">
        <f>IF(AA942="","",IF(COUNTIFS(Log!$D$6:$D$1505,D942,Log!$AA$6:$AA$1505,"&gt;"&amp;AA942)=0,1,0))</f>
        <v/>
      </c>
      <c r="AC942">
        <f>IF(S942="New best",AA942,"")</f>
        <v/>
      </c>
      <c r="AD942">
        <f>ROW()</f>
        <v/>
      </c>
    </row>
    <row r="943">
      <c r="A943" s="1" t="n"/>
      <c r="B943" s="21" t="n"/>
      <c r="C943" s="22" t="n"/>
      <c r="D943" s="23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15">
        <f>IF(D943="","",COUNT(F943,H943,J943,L943,N943))</f>
        <v/>
      </c>
      <c r="P943" s="25">
        <f>IF(D943="","",N(E943)*N(F943)+N(G943)*N(H943)+N(I943)*N(J943)+N(K943)*N(L943)+N(M943)*N(N943))</f>
        <v/>
      </c>
      <c r="Q943" s="18">
        <f>IF(N(X943)=0,"",IF(IF(N(F943)=0,0,IF(N(E943)&gt;0,E943*(1+F943/30),F943))=X943,IF(N(E943)&gt;0,E943&amp;" x "&amp;F943,F943&amp;" reps"),IF(IF(N(H943)=0,0,IF(N(G943)&gt;0,G943*(1+H943/30),H943))=X943,IF(N(G943)&gt;0,G943&amp;" x "&amp;H943,H943&amp;" reps"),IF(IF(N(J943)=0,0,IF(N(I943)&gt;0,I943*(1+J943/30),J943))=X943,IF(N(I943)&gt;0,I943&amp;" x "&amp;J943,J943&amp;" reps"),IF(IF(N(L943)=0,0,IF(N(K943)&gt;0,K943*(1+L943/30),L943))=X943,IF(N(K943)&gt;0,K943&amp;" x "&amp;L943,L943&amp;" reps"),IF(IF(N(N943)=0,0,IF(N(M943)&gt;0,M943*(1+N943/30),N943))=X943,IF(N(M943)&gt;0,M943&amp;" x "&amp;N943,N943&amp;" reps"),""))))))</f>
        <v/>
      </c>
      <c r="R943" s="20">
        <f>IF(N(X943)=0,"",ROUND(X943,1))</f>
        <v/>
      </c>
      <c r="S943" s="18">
        <f>IF(N(X943)=0,"",IF(AND(COUNTIFS(Log!$D$6:$D$1505,D943,Log!$B$6:$B$1505,"&lt;"&amp;B943)&gt;0,COUNTIFS(Log!$D$6:$D$1505,D943,Log!$B$6:$B$1505,"&lt;"&amp;B943,Log!$X$6:$X$1505,"&gt;="&amp;X943)=0),"New best",""))</f>
        <v/>
      </c>
      <c r="T943" s="26" t="n"/>
      <c r="U943" s="1">
        <f>IF(D943="","",IFERROR(INDEX(Exercises!$C$6:$C$105,MATCH(D943,Exercises!$B$6:$B$105,0)),"Other"))</f>
        <v/>
      </c>
      <c r="V943">
        <f>IF(B943="","",IF(COUNTIF($B$6:B943,B943)=1,1,0))</f>
        <v/>
      </c>
      <c r="W943">
        <f>IF(B943="","",B943-WEEKDAY(B943,3))</f>
        <v/>
      </c>
      <c r="X943">
        <f>IF(D943="","",MAX(IF(N(F943)=0,0,IF(N(E943)&gt;0,E943*(1+F943/30),F943)),IF(N(H943)=0,0,IF(N(G943)&gt;0,G943*(1+H943/30),H943)),IF(N(J943)=0,0,IF(N(I943)&gt;0,I943*(1+J943/30),J943)),IF(N(L943)=0,0,IF(N(K943)&gt;0,K943*(1+L943/30),L943)),IF(N(N943)=0,0,IF(N(M943)&gt;0,M943*(1+N943/30),N943))))</f>
        <v/>
      </c>
      <c r="Y943">
        <f>IF(N(X943)=0,"",X943+ROW()/1000000000)</f>
        <v/>
      </c>
      <c r="Z943">
        <f>IF(Y943="","",IF(COUNTIFS(Log!$D$6:$D$1505,D943,Log!$Y$6:$Y$1505,"&gt;"&amp;Y943)=0,1,0))</f>
        <v/>
      </c>
      <c r="AA943">
        <f>IF(OR(B943="",D943=""),"",B943+ROW()/10000000)</f>
        <v/>
      </c>
      <c r="AB943">
        <f>IF(AA943="","",IF(COUNTIFS(Log!$D$6:$D$1505,D943,Log!$AA$6:$AA$1505,"&gt;"&amp;AA943)=0,1,0))</f>
        <v/>
      </c>
      <c r="AC943">
        <f>IF(S943="New best",AA943,"")</f>
        <v/>
      </c>
      <c r="AD943">
        <f>ROW()</f>
        <v/>
      </c>
    </row>
    <row r="944">
      <c r="A944" s="1" t="n"/>
      <c r="B944" s="21" t="n"/>
      <c r="C944" s="22" t="n"/>
      <c r="D944" s="23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15">
        <f>IF(D944="","",COUNT(F944,H944,J944,L944,N944))</f>
        <v/>
      </c>
      <c r="P944" s="25">
        <f>IF(D944="","",N(E944)*N(F944)+N(G944)*N(H944)+N(I944)*N(J944)+N(K944)*N(L944)+N(M944)*N(N944))</f>
        <v/>
      </c>
      <c r="Q944" s="18">
        <f>IF(N(X944)=0,"",IF(IF(N(F944)=0,0,IF(N(E944)&gt;0,E944*(1+F944/30),F944))=X944,IF(N(E944)&gt;0,E944&amp;" x "&amp;F944,F944&amp;" reps"),IF(IF(N(H944)=0,0,IF(N(G944)&gt;0,G944*(1+H944/30),H944))=X944,IF(N(G944)&gt;0,G944&amp;" x "&amp;H944,H944&amp;" reps"),IF(IF(N(J944)=0,0,IF(N(I944)&gt;0,I944*(1+J944/30),J944))=X944,IF(N(I944)&gt;0,I944&amp;" x "&amp;J944,J944&amp;" reps"),IF(IF(N(L944)=0,0,IF(N(K944)&gt;0,K944*(1+L944/30),L944))=X944,IF(N(K944)&gt;0,K944&amp;" x "&amp;L944,L944&amp;" reps"),IF(IF(N(N944)=0,0,IF(N(M944)&gt;0,M944*(1+N944/30),N944))=X944,IF(N(M944)&gt;0,M944&amp;" x "&amp;N944,N944&amp;" reps"),""))))))</f>
        <v/>
      </c>
      <c r="R944" s="20">
        <f>IF(N(X944)=0,"",ROUND(X944,1))</f>
        <v/>
      </c>
      <c r="S944" s="18">
        <f>IF(N(X944)=0,"",IF(AND(COUNTIFS(Log!$D$6:$D$1505,D944,Log!$B$6:$B$1505,"&lt;"&amp;B944)&gt;0,COUNTIFS(Log!$D$6:$D$1505,D944,Log!$B$6:$B$1505,"&lt;"&amp;B944,Log!$X$6:$X$1505,"&gt;="&amp;X944)=0),"New best",""))</f>
        <v/>
      </c>
      <c r="T944" s="26" t="n"/>
      <c r="U944" s="1">
        <f>IF(D944="","",IFERROR(INDEX(Exercises!$C$6:$C$105,MATCH(D944,Exercises!$B$6:$B$105,0)),"Other"))</f>
        <v/>
      </c>
      <c r="V944">
        <f>IF(B944="","",IF(COUNTIF($B$6:B944,B944)=1,1,0))</f>
        <v/>
      </c>
      <c r="W944">
        <f>IF(B944="","",B944-WEEKDAY(B944,3))</f>
        <v/>
      </c>
      <c r="X944">
        <f>IF(D944="","",MAX(IF(N(F944)=0,0,IF(N(E944)&gt;0,E944*(1+F944/30),F944)),IF(N(H944)=0,0,IF(N(G944)&gt;0,G944*(1+H944/30),H944)),IF(N(J944)=0,0,IF(N(I944)&gt;0,I944*(1+J944/30),J944)),IF(N(L944)=0,0,IF(N(K944)&gt;0,K944*(1+L944/30),L944)),IF(N(N944)=0,0,IF(N(M944)&gt;0,M944*(1+N944/30),N944))))</f>
        <v/>
      </c>
      <c r="Y944">
        <f>IF(N(X944)=0,"",X944+ROW()/1000000000)</f>
        <v/>
      </c>
      <c r="Z944">
        <f>IF(Y944="","",IF(COUNTIFS(Log!$D$6:$D$1505,D944,Log!$Y$6:$Y$1505,"&gt;"&amp;Y944)=0,1,0))</f>
        <v/>
      </c>
      <c r="AA944">
        <f>IF(OR(B944="",D944=""),"",B944+ROW()/10000000)</f>
        <v/>
      </c>
      <c r="AB944">
        <f>IF(AA944="","",IF(COUNTIFS(Log!$D$6:$D$1505,D944,Log!$AA$6:$AA$1505,"&gt;"&amp;AA944)=0,1,0))</f>
        <v/>
      </c>
      <c r="AC944">
        <f>IF(S944="New best",AA944,"")</f>
        <v/>
      </c>
      <c r="AD944">
        <f>ROW()</f>
        <v/>
      </c>
    </row>
    <row r="945">
      <c r="A945" s="1" t="n"/>
      <c r="B945" s="21" t="n"/>
      <c r="C945" s="22" t="n"/>
      <c r="D945" s="23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15">
        <f>IF(D945="","",COUNT(F945,H945,J945,L945,N945))</f>
        <v/>
      </c>
      <c r="P945" s="25">
        <f>IF(D945="","",N(E945)*N(F945)+N(G945)*N(H945)+N(I945)*N(J945)+N(K945)*N(L945)+N(M945)*N(N945))</f>
        <v/>
      </c>
      <c r="Q945" s="18">
        <f>IF(N(X945)=0,"",IF(IF(N(F945)=0,0,IF(N(E945)&gt;0,E945*(1+F945/30),F945))=X945,IF(N(E945)&gt;0,E945&amp;" x "&amp;F945,F945&amp;" reps"),IF(IF(N(H945)=0,0,IF(N(G945)&gt;0,G945*(1+H945/30),H945))=X945,IF(N(G945)&gt;0,G945&amp;" x "&amp;H945,H945&amp;" reps"),IF(IF(N(J945)=0,0,IF(N(I945)&gt;0,I945*(1+J945/30),J945))=X945,IF(N(I945)&gt;0,I945&amp;" x "&amp;J945,J945&amp;" reps"),IF(IF(N(L945)=0,0,IF(N(K945)&gt;0,K945*(1+L945/30),L945))=X945,IF(N(K945)&gt;0,K945&amp;" x "&amp;L945,L945&amp;" reps"),IF(IF(N(N945)=0,0,IF(N(M945)&gt;0,M945*(1+N945/30),N945))=X945,IF(N(M945)&gt;0,M945&amp;" x "&amp;N945,N945&amp;" reps"),""))))))</f>
        <v/>
      </c>
      <c r="R945" s="20">
        <f>IF(N(X945)=0,"",ROUND(X945,1))</f>
        <v/>
      </c>
      <c r="S945" s="18">
        <f>IF(N(X945)=0,"",IF(AND(COUNTIFS(Log!$D$6:$D$1505,D945,Log!$B$6:$B$1505,"&lt;"&amp;B945)&gt;0,COUNTIFS(Log!$D$6:$D$1505,D945,Log!$B$6:$B$1505,"&lt;"&amp;B945,Log!$X$6:$X$1505,"&gt;="&amp;X945)=0),"New best",""))</f>
        <v/>
      </c>
      <c r="T945" s="26" t="n"/>
      <c r="U945" s="1">
        <f>IF(D945="","",IFERROR(INDEX(Exercises!$C$6:$C$105,MATCH(D945,Exercises!$B$6:$B$105,0)),"Other"))</f>
        <v/>
      </c>
      <c r="V945">
        <f>IF(B945="","",IF(COUNTIF($B$6:B945,B945)=1,1,0))</f>
        <v/>
      </c>
      <c r="W945">
        <f>IF(B945="","",B945-WEEKDAY(B945,3))</f>
        <v/>
      </c>
      <c r="X945">
        <f>IF(D945="","",MAX(IF(N(F945)=0,0,IF(N(E945)&gt;0,E945*(1+F945/30),F945)),IF(N(H945)=0,0,IF(N(G945)&gt;0,G945*(1+H945/30),H945)),IF(N(J945)=0,0,IF(N(I945)&gt;0,I945*(1+J945/30),J945)),IF(N(L945)=0,0,IF(N(K945)&gt;0,K945*(1+L945/30),L945)),IF(N(N945)=0,0,IF(N(M945)&gt;0,M945*(1+N945/30),N945))))</f>
        <v/>
      </c>
      <c r="Y945">
        <f>IF(N(X945)=0,"",X945+ROW()/1000000000)</f>
        <v/>
      </c>
      <c r="Z945">
        <f>IF(Y945="","",IF(COUNTIFS(Log!$D$6:$D$1505,D945,Log!$Y$6:$Y$1505,"&gt;"&amp;Y945)=0,1,0))</f>
        <v/>
      </c>
      <c r="AA945">
        <f>IF(OR(B945="",D945=""),"",B945+ROW()/10000000)</f>
        <v/>
      </c>
      <c r="AB945">
        <f>IF(AA945="","",IF(COUNTIFS(Log!$D$6:$D$1505,D945,Log!$AA$6:$AA$1505,"&gt;"&amp;AA945)=0,1,0))</f>
        <v/>
      </c>
      <c r="AC945">
        <f>IF(S945="New best",AA945,"")</f>
        <v/>
      </c>
      <c r="AD945">
        <f>ROW()</f>
        <v/>
      </c>
    </row>
    <row r="946">
      <c r="A946" s="1" t="n"/>
      <c r="B946" s="21" t="n"/>
      <c r="C946" s="22" t="n"/>
      <c r="D946" s="23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15">
        <f>IF(D946="","",COUNT(F946,H946,J946,L946,N946))</f>
        <v/>
      </c>
      <c r="P946" s="25">
        <f>IF(D946="","",N(E946)*N(F946)+N(G946)*N(H946)+N(I946)*N(J946)+N(K946)*N(L946)+N(M946)*N(N946))</f>
        <v/>
      </c>
      <c r="Q946" s="18">
        <f>IF(N(X946)=0,"",IF(IF(N(F946)=0,0,IF(N(E946)&gt;0,E946*(1+F946/30),F946))=X946,IF(N(E946)&gt;0,E946&amp;" x "&amp;F946,F946&amp;" reps"),IF(IF(N(H946)=0,0,IF(N(G946)&gt;0,G946*(1+H946/30),H946))=X946,IF(N(G946)&gt;0,G946&amp;" x "&amp;H946,H946&amp;" reps"),IF(IF(N(J946)=0,0,IF(N(I946)&gt;0,I946*(1+J946/30),J946))=X946,IF(N(I946)&gt;0,I946&amp;" x "&amp;J946,J946&amp;" reps"),IF(IF(N(L946)=0,0,IF(N(K946)&gt;0,K946*(1+L946/30),L946))=X946,IF(N(K946)&gt;0,K946&amp;" x "&amp;L946,L946&amp;" reps"),IF(IF(N(N946)=0,0,IF(N(M946)&gt;0,M946*(1+N946/30),N946))=X946,IF(N(M946)&gt;0,M946&amp;" x "&amp;N946,N946&amp;" reps"),""))))))</f>
        <v/>
      </c>
      <c r="R946" s="20">
        <f>IF(N(X946)=0,"",ROUND(X946,1))</f>
        <v/>
      </c>
      <c r="S946" s="18">
        <f>IF(N(X946)=0,"",IF(AND(COUNTIFS(Log!$D$6:$D$1505,D946,Log!$B$6:$B$1505,"&lt;"&amp;B946)&gt;0,COUNTIFS(Log!$D$6:$D$1505,D946,Log!$B$6:$B$1505,"&lt;"&amp;B946,Log!$X$6:$X$1505,"&gt;="&amp;X946)=0),"New best",""))</f>
        <v/>
      </c>
      <c r="T946" s="26" t="n"/>
      <c r="U946" s="1">
        <f>IF(D946="","",IFERROR(INDEX(Exercises!$C$6:$C$105,MATCH(D946,Exercises!$B$6:$B$105,0)),"Other"))</f>
        <v/>
      </c>
      <c r="V946">
        <f>IF(B946="","",IF(COUNTIF($B$6:B946,B946)=1,1,0))</f>
        <v/>
      </c>
      <c r="W946">
        <f>IF(B946="","",B946-WEEKDAY(B946,3))</f>
        <v/>
      </c>
      <c r="X946">
        <f>IF(D946="","",MAX(IF(N(F946)=0,0,IF(N(E946)&gt;0,E946*(1+F946/30),F946)),IF(N(H946)=0,0,IF(N(G946)&gt;0,G946*(1+H946/30),H946)),IF(N(J946)=0,0,IF(N(I946)&gt;0,I946*(1+J946/30),J946)),IF(N(L946)=0,0,IF(N(K946)&gt;0,K946*(1+L946/30),L946)),IF(N(N946)=0,0,IF(N(M946)&gt;0,M946*(1+N946/30),N946))))</f>
        <v/>
      </c>
      <c r="Y946">
        <f>IF(N(X946)=0,"",X946+ROW()/1000000000)</f>
        <v/>
      </c>
      <c r="Z946">
        <f>IF(Y946="","",IF(COUNTIFS(Log!$D$6:$D$1505,D946,Log!$Y$6:$Y$1505,"&gt;"&amp;Y946)=0,1,0))</f>
        <v/>
      </c>
      <c r="AA946">
        <f>IF(OR(B946="",D946=""),"",B946+ROW()/10000000)</f>
        <v/>
      </c>
      <c r="AB946">
        <f>IF(AA946="","",IF(COUNTIFS(Log!$D$6:$D$1505,D946,Log!$AA$6:$AA$1505,"&gt;"&amp;AA946)=0,1,0))</f>
        <v/>
      </c>
      <c r="AC946">
        <f>IF(S946="New best",AA946,"")</f>
        <v/>
      </c>
      <c r="AD946">
        <f>ROW()</f>
        <v/>
      </c>
    </row>
    <row r="947">
      <c r="A947" s="1" t="n"/>
      <c r="B947" s="21" t="n"/>
      <c r="C947" s="22" t="n"/>
      <c r="D947" s="23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15">
        <f>IF(D947="","",COUNT(F947,H947,J947,L947,N947))</f>
        <v/>
      </c>
      <c r="P947" s="25">
        <f>IF(D947="","",N(E947)*N(F947)+N(G947)*N(H947)+N(I947)*N(J947)+N(K947)*N(L947)+N(M947)*N(N947))</f>
        <v/>
      </c>
      <c r="Q947" s="18">
        <f>IF(N(X947)=0,"",IF(IF(N(F947)=0,0,IF(N(E947)&gt;0,E947*(1+F947/30),F947))=X947,IF(N(E947)&gt;0,E947&amp;" x "&amp;F947,F947&amp;" reps"),IF(IF(N(H947)=0,0,IF(N(G947)&gt;0,G947*(1+H947/30),H947))=X947,IF(N(G947)&gt;0,G947&amp;" x "&amp;H947,H947&amp;" reps"),IF(IF(N(J947)=0,0,IF(N(I947)&gt;0,I947*(1+J947/30),J947))=X947,IF(N(I947)&gt;0,I947&amp;" x "&amp;J947,J947&amp;" reps"),IF(IF(N(L947)=0,0,IF(N(K947)&gt;0,K947*(1+L947/30),L947))=X947,IF(N(K947)&gt;0,K947&amp;" x "&amp;L947,L947&amp;" reps"),IF(IF(N(N947)=0,0,IF(N(M947)&gt;0,M947*(1+N947/30),N947))=X947,IF(N(M947)&gt;0,M947&amp;" x "&amp;N947,N947&amp;" reps"),""))))))</f>
        <v/>
      </c>
      <c r="R947" s="20">
        <f>IF(N(X947)=0,"",ROUND(X947,1))</f>
        <v/>
      </c>
      <c r="S947" s="18">
        <f>IF(N(X947)=0,"",IF(AND(COUNTIFS(Log!$D$6:$D$1505,D947,Log!$B$6:$B$1505,"&lt;"&amp;B947)&gt;0,COUNTIFS(Log!$D$6:$D$1505,D947,Log!$B$6:$B$1505,"&lt;"&amp;B947,Log!$X$6:$X$1505,"&gt;="&amp;X947)=0),"New best",""))</f>
        <v/>
      </c>
      <c r="T947" s="26" t="n"/>
      <c r="U947" s="1">
        <f>IF(D947="","",IFERROR(INDEX(Exercises!$C$6:$C$105,MATCH(D947,Exercises!$B$6:$B$105,0)),"Other"))</f>
        <v/>
      </c>
      <c r="V947">
        <f>IF(B947="","",IF(COUNTIF($B$6:B947,B947)=1,1,0))</f>
        <v/>
      </c>
      <c r="W947">
        <f>IF(B947="","",B947-WEEKDAY(B947,3))</f>
        <v/>
      </c>
      <c r="X947">
        <f>IF(D947="","",MAX(IF(N(F947)=0,0,IF(N(E947)&gt;0,E947*(1+F947/30),F947)),IF(N(H947)=0,0,IF(N(G947)&gt;0,G947*(1+H947/30),H947)),IF(N(J947)=0,0,IF(N(I947)&gt;0,I947*(1+J947/30),J947)),IF(N(L947)=0,0,IF(N(K947)&gt;0,K947*(1+L947/30),L947)),IF(N(N947)=0,0,IF(N(M947)&gt;0,M947*(1+N947/30),N947))))</f>
        <v/>
      </c>
      <c r="Y947">
        <f>IF(N(X947)=0,"",X947+ROW()/1000000000)</f>
        <v/>
      </c>
      <c r="Z947">
        <f>IF(Y947="","",IF(COUNTIFS(Log!$D$6:$D$1505,D947,Log!$Y$6:$Y$1505,"&gt;"&amp;Y947)=0,1,0))</f>
        <v/>
      </c>
      <c r="AA947">
        <f>IF(OR(B947="",D947=""),"",B947+ROW()/10000000)</f>
        <v/>
      </c>
      <c r="AB947">
        <f>IF(AA947="","",IF(COUNTIFS(Log!$D$6:$D$1505,D947,Log!$AA$6:$AA$1505,"&gt;"&amp;AA947)=0,1,0))</f>
        <v/>
      </c>
      <c r="AC947">
        <f>IF(S947="New best",AA947,"")</f>
        <v/>
      </c>
      <c r="AD947">
        <f>ROW()</f>
        <v/>
      </c>
    </row>
    <row r="948">
      <c r="A948" s="1" t="n"/>
      <c r="B948" s="21" t="n"/>
      <c r="C948" s="22" t="n"/>
      <c r="D948" s="23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15">
        <f>IF(D948="","",COUNT(F948,H948,J948,L948,N948))</f>
        <v/>
      </c>
      <c r="P948" s="25">
        <f>IF(D948="","",N(E948)*N(F948)+N(G948)*N(H948)+N(I948)*N(J948)+N(K948)*N(L948)+N(M948)*N(N948))</f>
        <v/>
      </c>
      <c r="Q948" s="18">
        <f>IF(N(X948)=0,"",IF(IF(N(F948)=0,0,IF(N(E948)&gt;0,E948*(1+F948/30),F948))=X948,IF(N(E948)&gt;0,E948&amp;" x "&amp;F948,F948&amp;" reps"),IF(IF(N(H948)=0,0,IF(N(G948)&gt;0,G948*(1+H948/30),H948))=X948,IF(N(G948)&gt;0,G948&amp;" x "&amp;H948,H948&amp;" reps"),IF(IF(N(J948)=0,0,IF(N(I948)&gt;0,I948*(1+J948/30),J948))=X948,IF(N(I948)&gt;0,I948&amp;" x "&amp;J948,J948&amp;" reps"),IF(IF(N(L948)=0,0,IF(N(K948)&gt;0,K948*(1+L948/30),L948))=X948,IF(N(K948)&gt;0,K948&amp;" x "&amp;L948,L948&amp;" reps"),IF(IF(N(N948)=0,0,IF(N(M948)&gt;0,M948*(1+N948/30),N948))=X948,IF(N(M948)&gt;0,M948&amp;" x "&amp;N948,N948&amp;" reps"),""))))))</f>
        <v/>
      </c>
      <c r="R948" s="20">
        <f>IF(N(X948)=0,"",ROUND(X948,1))</f>
        <v/>
      </c>
      <c r="S948" s="18">
        <f>IF(N(X948)=0,"",IF(AND(COUNTIFS(Log!$D$6:$D$1505,D948,Log!$B$6:$B$1505,"&lt;"&amp;B948)&gt;0,COUNTIFS(Log!$D$6:$D$1505,D948,Log!$B$6:$B$1505,"&lt;"&amp;B948,Log!$X$6:$X$1505,"&gt;="&amp;X948)=0),"New best",""))</f>
        <v/>
      </c>
      <c r="T948" s="26" t="n"/>
      <c r="U948" s="1">
        <f>IF(D948="","",IFERROR(INDEX(Exercises!$C$6:$C$105,MATCH(D948,Exercises!$B$6:$B$105,0)),"Other"))</f>
        <v/>
      </c>
      <c r="V948">
        <f>IF(B948="","",IF(COUNTIF($B$6:B948,B948)=1,1,0))</f>
        <v/>
      </c>
      <c r="W948">
        <f>IF(B948="","",B948-WEEKDAY(B948,3))</f>
        <v/>
      </c>
      <c r="X948">
        <f>IF(D948="","",MAX(IF(N(F948)=0,0,IF(N(E948)&gt;0,E948*(1+F948/30),F948)),IF(N(H948)=0,0,IF(N(G948)&gt;0,G948*(1+H948/30),H948)),IF(N(J948)=0,0,IF(N(I948)&gt;0,I948*(1+J948/30),J948)),IF(N(L948)=0,0,IF(N(K948)&gt;0,K948*(1+L948/30),L948)),IF(N(N948)=0,0,IF(N(M948)&gt;0,M948*(1+N948/30),N948))))</f>
        <v/>
      </c>
      <c r="Y948">
        <f>IF(N(X948)=0,"",X948+ROW()/1000000000)</f>
        <v/>
      </c>
      <c r="Z948">
        <f>IF(Y948="","",IF(COUNTIFS(Log!$D$6:$D$1505,D948,Log!$Y$6:$Y$1505,"&gt;"&amp;Y948)=0,1,0))</f>
        <v/>
      </c>
      <c r="AA948">
        <f>IF(OR(B948="",D948=""),"",B948+ROW()/10000000)</f>
        <v/>
      </c>
      <c r="AB948">
        <f>IF(AA948="","",IF(COUNTIFS(Log!$D$6:$D$1505,D948,Log!$AA$6:$AA$1505,"&gt;"&amp;AA948)=0,1,0))</f>
        <v/>
      </c>
      <c r="AC948">
        <f>IF(S948="New best",AA948,"")</f>
        <v/>
      </c>
      <c r="AD948">
        <f>ROW()</f>
        <v/>
      </c>
    </row>
    <row r="949">
      <c r="A949" s="1" t="n"/>
      <c r="B949" s="21" t="n"/>
      <c r="C949" s="22" t="n"/>
      <c r="D949" s="23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15">
        <f>IF(D949="","",COUNT(F949,H949,J949,L949,N949))</f>
        <v/>
      </c>
      <c r="P949" s="25">
        <f>IF(D949="","",N(E949)*N(F949)+N(G949)*N(H949)+N(I949)*N(J949)+N(K949)*N(L949)+N(M949)*N(N949))</f>
        <v/>
      </c>
      <c r="Q949" s="18">
        <f>IF(N(X949)=0,"",IF(IF(N(F949)=0,0,IF(N(E949)&gt;0,E949*(1+F949/30),F949))=X949,IF(N(E949)&gt;0,E949&amp;" x "&amp;F949,F949&amp;" reps"),IF(IF(N(H949)=0,0,IF(N(G949)&gt;0,G949*(1+H949/30),H949))=X949,IF(N(G949)&gt;0,G949&amp;" x "&amp;H949,H949&amp;" reps"),IF(IF(N(J949)=0,0,IF(N(I949)&gt;0,I949*(1+J949/30),J949))=X949,IF(N(I949)&gt;0,I949&amp;" x "&amp;J949,J949&amp;" reps"),IF(IF(N(L949)=0,0,IF(N(K949)&gt;0,K949*(1+L949/30),L949))=X949,IF(N(K949)&gt;0,K949&amp;" x "&amp;L949,L949&amp;" reps"),IF(IF(N(N949)=0,0,IF(N(M949)&gt;0,M949*(1+N949/30),N949))=X949,IF(N(M949)&gt;0,M949&amp;" x "&amp;N949,N949&amp;" reps"),""))))))</f>
        <v/>
      </c>
      <c r="R949" s="20">
        <f>IF(N(X949)=0,"",ROUND(X949,1))</f>
        <v/>
      </c>
      <c r="S949" s="18">
        <f>IF(N(X949)=0,"",IF(AND(COUNTIFS(Log!$D$6:$D$1505,D949,Log!$B$6:$B$1505,"&lt;"&amp;B949)&gt;0,COUNTIFS(Log!$D$6:$D$1505,D949,Log!$B$6:$B$1505,"&lt;"&amp;B949,Log!$X$6:$X$1505,"&gt;="&amp;X949)=0),"New best",""))</f>
        <v/>
      </c>
      <c r="T949" s="26" t="n"/>
      <c r="U949" s="1">
        <f>IF(D949="","",IFERROR(INDEX(Exercises!$C$6:$C$105,MATCH(D949,Exercises!$B$6:$B$105,0)),"Other"))</f>
        <v/>
      </c>
      <c r="V949">
        <f>IF(B949="","",IF(COUNTIF($B$6:B949,B949)=1,1,0))</f>
        <v/>
      </c>
      <c r="W949">
        <f>IF(B949="","",B949-WEEKDAY(B949,3))</f>
        <v/>
      </c>
      <c r="X949">
        <f>IF(D949="","",MAX(IF(N(F949)=0,0,IF(N(E949)&gt;0,E949*(1+F949/30),F949)),IF(N(H949)=0,0,IF(N(G949)&gt;0,G949*(1+H949/30),H949)),IF(N(J949)=0,0,IF(N(I949)&gt;0,I949*(1+J949/30),J949)),IF(N(L949)=0,0,IF(N(K949)&gt;0,K949*(1+L949/30),L949)),IF(N(N949)=0,0,IF(N(M949)&gt;0,M949*(1+N949/30),N949))))</f>
        <v/>
      </c>
      <c r="Y949">
        <f>IF(N(X949)=0,"",X949+ROW()/1000000000)</f>
        <v/>
      </c>
      <c r="Z949">
        <f>IF(Y949="","",IF(COUNTIFS(Log!$D$6:$D$1505,D949,Log!$Y$6:$Y$1505,"&gt;"&amp;Y949)=0,1,0))</f>
        <v/>
      </c>
      <c r="AA949">
        <f>IF(OR(B949="",D949=""),"",B949+ROW()/10000000)</f>
        <v/>
      </c>
      <c r="AB949">
        <f>IF(AA949="","",IF(COUNTIFS(Log!$D$6:$D$1505,D949,Log!$AA$6:$AA$1505,"&gt;"&amp;AA949)=0,1,0))</f>
        <v/>
      </c>
      <c r="AC949">
        <f>IF(S949="New best",AA949,"")</f>
        <v/>
      </c>
      <c r="AD949">
        <f>ROW()</f>
        <v/>
      </c>
    </row>
    <row r="950">
      <c r="A950" s="1" t="n"/>
      <c r="B950" s="21" t="n"/>
      <c r="C950" s="22" t="n"/>
      <c r="D950" s="23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15">
        <f>IF(D950="","",COUNT(F950,H950,J950,L950,N950))</f>
        <v/>
      </c>
      <c r="P950" s="25">
        <f>IF(D950="","",N(E950)*N(F950)+N(G950)*N(H950)+N(I950)*N(J950)+N(K950)*N(L950)+N(M950)*N(N950))</f>
        <v/>
      </c>
      <c r="Q950" s="18">
        <f>IF(N(X950)=0,"",IF(IF(N(F950)=0,0,IF(N(E950)&gt;0,E950*(1+F950/30),F950))=X950,IF(N(E950)&gt;0,E950&amp;" x "&amp;F950,F950&amp;" reps"),IF(IF(N(H950)=0,0,IF(N(G950)&gt;0,G950*(1+H950/30),H950))=X950,IF(N(G950)&gt;0,G950&amp;" x "&amp;H950,H950&amp;" reps"),IF(IF(N(J950)=0,0,IF(N(I950)&gt;0,I950*(1+J950/30),J950))=X950,IF(N(I950)&gt;0,I950&amp;" x "&amp;J950,J950&amp;" reps"),IF(IF(N(L950)=0,0,IF(N(K950)&gt;0,K950*(1+L950/30),L950))=X950,IF(N(K950)&gt;0,K950&amp;" x "&amp;L950,L950&amp;" reps"),IF(IF(N(N950)=0,0,IF(N(M950)&gt;0,M950*(1+N950/30),N950))=X950,IF(N(M950)&gt;0,M950&amp;" x "&amp;N950,N950&amp;" reps"),""))))))</f>
        <v/>
      </c>
      <c r="R950" s="20">
        <f>IF(N(X950)=0,"",ROUND(X950,1))</f>
        <v/>
      </c>
      <c r="S950" s="18">
        <f>IF(N(X950)=0,"",IF(AND(COUNTIFS(Log!$D$6:$D$1505,D950,Log!$B$6:$B$1505,"&lt;"&amp;B950)&gt;0,COUNTIFS(Log!$D$6:$D$1505,D950,Log!$B$6:$B$1505,"&lt;"&amp;B950,Log!$X$6:$X$1505,"&gt;="&amp;X950)=0),"New best",""))</f>
        <v/>
      </c>
      <c r="T950" s="26" t="n"/>
      <c r="U950" s="1">
        <f>IF(D950="","",IFERROR(INDEX(Exercises!$C$6:$C$105,MATCH(D950,Exercises!$B$6:$B$105,0)),"Other"))</f>
        <v/>
      </c>
      <c r="V950">
        <f>IF(B950="","",IF(COUNTIF($B$6:B950,B950)=1,1,0))</f>
        <v/>
      </c>
      <c r="W950">
        <f>IF(B950="","",B950-WEEKDAY(B950,3))</f>
        <v/>
      </c>
      <c r="X950">
        <f>IF(D950="","",MAX(IF(N(F950)=0,0,IF(N(E950)&gt;0,E950*(1+F950/30),F950)),IF(N(H950)=0,0,IF(N(G950)&gt;0,G950*(1+H950/30),H950)),IF(N(J950)=0,0,IF(N(I950)&gt;0,I950*(1+J950/30),J950)),IF(N(L950)=0,0,IF(N(K950)&gt;0,K950*(1+L950/30),L950)),IF(N(N950)=0,0,IF(N(M950)&gt;0,M950*(1+N950/30),N950))))</f>
        <v/>
      </c>
      <c r="Y950">
        <f>IF(N(X950)=0,"",X950+ROW()/1000000000)</f>
        <v/>
      </c>
      <c r="Z950">
        <f>IF(Y950="","",IF(COUNTIFS(Log!$D$6:$D$1505,D950,Log!$Y$6:$Y$1505,"&gt;"&amp;Y950)=0,1,0))</f>
        <v/>
      </c>
      <c r="AA950">
        <f>IF(OR(B950="",D950=""),"",B950+ROW()/10000000)</f>
        <v/>
      </c>
      <c r="AB950">
        <f>IF(AA950="","",IF(COUNTIFS(Log!$D$6:$D$1505,D950,Log!$AA$6:$AA$1505,"&gt;"&amp;AA950)=0,1,0))</f>
        <v/>
      </c>
      <c r="AC950">
        <f>IF(S950="New best",AA950,"")</f>
        <v/>
      </c>
      <c r="AD950">
        <f>ROW()</f>
        <v/>
      </c>
    </row>
    <row r="951">
      <c r="A951" s="1" t="n"/>
      <c r="B951" s="21" t="n"/>
      <c r="C951" s="22" t="n"/>
      <c r="D951" s="23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15">
        <f>IF(D951="","",COUNT(F951,H951,J951,L951,N951))</f>
        <v/>
      </c>
      <c r="P951" s="25">
        <f>IF(D951="","",N(E951)*N(F951)+N(G951)*N(H951)+N(I951)*N(J951)+N(K951)*N(L951)+N(M951)*N(N951))</f>
        <v/>
      </c>
      <c r="Q951" s="18">
        <f>IF(N(X951)=0,"",IF(IF(N(F951)=0,0,IF(N(E951)&gt;0,E951*(1+F951/30),F951))=X951,IF(N(E951)&gt;0,E951&amp;" x "&amp;F951,F951&amp;" reps"),IF(IF(N(H951)=0,0,IF(N(G951)&gt;0,G951*(1+H951/30),H951))=X951,IF(N(G951)&gt;0,G951&amp;" x "&amp;H951,H951&amp;" reps"),IF(IF(N(J951)=0,0,IF(N(I951)&gt;0,I951*(1+J951/30),J951))=X951,IF(N(I951)&gt;0,I951&amp;" x "&amp;J951,J951&amp;" reps"),IF(IF(N(L951)=0,0,IF(N(K951)&gt;0,K951*(1+L951/30),L951))=X951,IF(N(K951)&gt;0,K951&amp;" x "&amp;L951,L951&amp;" reps"),IF(IF(N(N951)=0,0,IF(N(M951)&gt;0,M951*(1+N951/30),N951))=X951,IF(N(M951)&gt;0,M951&amp;" x "&amp;N951,N951&amp;" reps"),""))))))</f>
        <v/>
      </c>
      <c r="R951" s="20">
        <f>IF(N(X951)=0,"",ROUND(X951,1))</f>
        <v/>
      </c>
      <c r="S951" s="18">
        <f>IF(N(X951)=0,"",IF(AND(COUNTIFS(Log!$D$6:$D$1505,D951,Log!$B$6:$B$1505,"&lt;"&amp;B951)&gt;0,COUNTIFS(Log!$D$6:$D$1505,D951,Log!$B$6:$B$1505,"&lt;"&amp;B951,Log!$X$6:$X$1505,"&gt;="&amp;X951)=0),"New best",""))</f>
        <v/>
      </c>
      <c r="T951" s="26" t="n"/>
      <c r="U951" s="1">
        <f>IF(D951="","",IFERROR(INDEX(Exercises!$C$6:$C$105,MATCH(D951,Exercises!$B$6:$B$105,0)),"Other"))</f>
        <v/>
      </c>
      <c r="V951">
        <f>IF(B951="","",IF(COUNTIF($B$6:B951,B951)=1,1,0))</f>
        <v/>
      </c>
      <c r="W951">
        <f>IF(B951="","",B951-WEEKDAY(B951,3))</f>
        <v/>
      </c>
      <c r="X951">
        <f>IF(D951="","",MAX(IF(N(F951)=0,0,IF(N(E951)&gt;0,E951*(1+F951/30),F951)),IF(N(H951)=0,0,IF(N(G951)&gt;0,G951*(1+H951/30),H951)),IF(N(J951)=0,0,IF(N(I951)&gt;0,I951*(1+J951/30),J951)),IF(N(L951)=0,0,IF(N(K951)&gt;0,K951*(1+L951/30),L951)),IF(N(N951)=0,0,IF(N(M951)&gt;0,M951*(1+N951/30),N951))))</f>
        <v/>
      </c>
      <c r="Y951">
        <f>IF(N(X951)=0,"",X951+ROW()/1000000000)</f>
        <v/>
      </c>
      <c r="Z951">
        <f>IF(Y951="","",IF(COUNTIFS(Log!$D$6:$D$1505,D951,Log!$Y$6:$Y$1505,"&gt;"&amp;Y951)=0,1,0))</f>
        <v/>
      </c>
      <c r="AA951">
        <f>IF(OR(B951="",D951=""),"",B951+ROW()/10000000)</f>
        <v/>
      </c>
      <c r="AB951">
        <f>IF(AA951="","",IF(COUNTIFS(Log!$D$6:$D$1505,D951,Log!$AA$6:$AA$1505,"&gt;"&amp;AA951)=0,1,0))</f>
        <v/>
      </c>
      <c r="AC951">
        <f>IF(S951="New best",AA951,"")</f>
        <v/>
      </c>
      <c r="AD951">
        <f>ROW()</f>
        <v/>
      </c>
    </row>
    <row r="952">
      <c r="A952" s="1" t="n"/>
      <c r="B952" s="21" t="n"/>
      <c r="C952" s="22" t="n"/>
      <c r="D952" s="23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15">
        <f>IF(D952="","",COUNT(F952,H952,J952,L952,N952))</f>
        <v/>
      </c>
      <c r="P952" s="25">
        <f>IF(D952="","",N(E952)*N(F952)+N(G952)*N(H952)+N(I952)*N(J952)+N(K952)*N(L952)+N(M952)*N(N952))</f>
        <v/>
      </c>
      <c r="Q952" s="18">
        <f>IF(N(X952)=0,"",IF(IF(N(F952)=0,0,IF(N(E952)&gt;0,E952*(1+F952/30),F952))=X952,IF(N(E952)&gt;0,E952&amp;" x "&amp;F952,F952&amp;" reps"),IF(IF(N(H952)=0,0,IF(N(G952)&gt;0,G952*(1+H952/30),H952))=X952,IF(N(G952)&gt;0,G952&amp;" x "&amp;H952,H952&amp;" reps"),IF(IF(N(J952)=0,0,IF(N(I952)&gt;0,I952*(1+J952/30),J952))=X952,IF(N(I952)&gt;0,I952&amp;" x "&amp;J952,J952&amp;" reps"),IF(IF(N(L952)=0,0,IF(N(K952)&gt;0,K952*(1+L952/30),L952))=X952,IF(N(K952)&gt;0,K952&amp;" x "&amp;L952,L952&amp;" reps"),IF(IF(N(N952)=0,0,IF(N(M952)&gt;0,M952*(1+N952/30),N952))=X952,IF(N(M952)&gt;0,M952&amp;" x "&amp;N952,N952&amp;" reps"),""))))))</f>
        <v/>
      </c>
      <c r="R952" s="20">
        <f>IF(N(X952)=0,"",ROUND(X952,1))</f>
        <v/>
      </c>
      <c r="S952" s="18">
        <f>IF(N(X952)=0,"",IF(AND(COUNTIFS(Log!$D$6:$D$1505,D952,Log!$B$6:$B$1505,"&lt;"&amp;B952)&gt;0,COUNTIFS(Log!$D$6:$D$1505,D952,Log!$B$6:$B$1505,"&lt;"&amp;B952,Log!$X$6:$X$1505,"&gt;="&amp;X952)=0),"New best",""))</f>
        <v/>
      </c>
      <c r="T952" s="26" t="n"/>
      <c r="U952" s="1">
        <f>IF(D952="","",IFERROR(INDEX(Exercises!$C$6:$C$105,MATCH(D952,Exercises!$B$6:$B$105,0)),"Other"))</f>
        <v/>
      </c>
      <c r="V952">
        <f>IF(B952="","",IF(COUNTIF($B$6:B952,B952)=1,1,0))</f>
        <v/>
      </c>
      <c r="W952">
        <f>IF(B952="","",B952-WEEKDAY(B952,3))</f>
        <v/>
      </c>
      <c r="X952">
        <f>IF(D952="","",MAX(IF(N(F952)=0,0,IF(N(E952)&gt;0,E952*(1+F952/30),F952)),IF(N(H952)=0,0,IF(N(G952)&gt;0,G952*(1+H952/30),H952)),IF(N(J952)=0,0,IF(N(I952)&gt;0,I952*(1+J952/30),J952)),IF(N(L952)=0,0,IF(N(K952)&gt;0,K952*(1+L952/30),L952)),IF(N(N952)=0,0,IF(N(M952)&gt;0,M952*(1+N952/30),N952))))</f>
        <v/>
      </c>
      <c r="Y952">
        <f>IF(N(X952)=0,"",X952+ROW()/1000000000)</f>
        <v/>
      </c>
      <c r="Z952">
        <f>IF(Y952="","",IF(COUNTIFS(Log!$D$6:$D$1505,D952,Log!$Y$6:$Y$1505,"&gt;"&amp;Y952)=0,1,0))</f>
        <v/>
      </c>
      <c r="AA952">
        <f>IF(OR(B952="",D952=""),"",B952+ROW()/10000000)</f>
        <v/>
      </c>
      <c r="AB952">
        <f>IF(AA952="","",IF(COUNTIFS(Log!$D$6:$D$1505,D952,Log!$AA$6:$AA$1505,"&gt;"&amp;AA952)=0,1,0))</f>
        <v/>
      </c>
      <c r="AC952">
        <f>IF(S952="New best",AA952,"")</f>
        <v/>
      </c>
      <c r="AD952">
        <f>ROW()</f>
        <v/>
      </c>
    </row>
    <row r="953">
      <c r="A953" s="1" t="n"/>
      <c r="B953" s="21" t="n"/>
      <c r="C953" s="22" t="n"/>
      <c r="D953" s="23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15">
        <f>IF(D953="","",COUNT(F953,H953,J953,L953,N953))</f>
        <v/>
      </c>
      <c r="P953" s="25">
        <f>IF(D953="","",N(E953)*N(F953)+N(G953)*N(H953)+N(I953)*N(J953)+N(K953)*N(L953)+N(M953)*N(N953))</f>
        <v/>
      </c>
      <c r="Q953" s="18">
        <f>IF(N(X953)=0,"",IF(IF(N(F953)=0,0,IF(N(E953)&gt;0,E953*(1+F953/30),F953))=X953,IF(N(E953)&gt;0,E953&amp;" x "&amp;F953,F953&amp;" reps"),IF(IF(N(H953)=0,0,IF(N(G953)&gt;0,G953*(1+H953/30),H953))=X953,IF(N(G953)&gt;0,G953&amp;" x "&amp;H953,H953&amp;" reps"),IF(IF(N(J953)=0,0,IF(N(I953)&gt;0,I953*(1+J953/30),J953))=X953,IF(N(I953)&gt;0,I953&amp;" x "&amp;J953,J953&amp;" reps"),IF(IF(N(L953)=0,0,IF(N(K953)&gt;0,K953*(1+L953/30),L953))=X953,IF(N(K953)&gt;0,K953&amp;" x "&amp;L953,L953&amp;" reps"),IF(IF(N(N953)=0,0,IF(N(M953)&gt;0,M953*(1+N953/30),N953))=X953,IF(N(M953)&gt;0,M953&amp;" x "&amp;N953,N953&amp;" reps"),""))))))</f>
        <v/>
      </c>
      <c r="R953" s="20">
        <f>IF(N(X953)=0,"",ROUND(X953,1))</f>
        <v/>
      </c>
      <c r="S953" s="18">
        <f>IF(N(X953)=0,"",IF(AND(COUNTIFS(Log!$D$6:$D$1505,D953,Log!$B$6:$B$1505,"&lt;"&amp;B953)&gt;0,COUNTIFS(Log!$D$6:$D$1505,D953,Log!$B$6:$B$1505,"&lt;"&amp;B953,Log!$X$6:$X$1505,"&gt;="&amp;X953)=0),"New best",""))</f>
        <v/>
      </c>
      <c r="T953" s="26" t="n"/>
      <c r="U953" s="1">
        <f>IF(D953="","",IFERROR(INDEX(Exercises!$C$6:$C$105,MATCH(D953,Exercises!$B$6:$B$105,0)),"Other"))</f>
        <v/>
      </c>
      <c r="V953">
        <f>IF(B953="","",IF(COUNTIF($B$6:B953,B953)=1,1,0))</f>
        <v/>
      </c>
      <c r="W953">
        <f>IF(B953="","",B953-WEEKDAY(B953,3))</f>
        <v/>
      </c>
      <c r="X953">
        <f>IF(D953="","",MAX(IF(N(F953)=0,0,IF(N(E953)&gt;0,E953*(1+F953/30),F953)),IF(N(H953)=0,0,IF(N(G953)&gt;0,G953*(1+H953/30),H953)),IF(N(J953)=0,0,IF(N(I953)&gt;0,I953*(1+J953/30),J953)),IF(N(L953)=0,0,IF(N(K953)&gt;0,K953*(1+L953/30),L953)),IF(N(N953)=0,0,IF(N(M953)&gt;0,M953*(1+N953/30),N953))))</f>
        <v/>
      </c>
      <c r="Y953">
        <f>IF(N(X953)=0,"",X953+ROW()/1000000000)</f>
        <v/>
      </c>
      <c r="Z953">
        <f>IF(Y953="","",IF(COUNTIFS(Log!$D$6:$D$1505,D953,Log!$Y$6:$Y$1505,"&gt;"&amp;Y953)=0,1,0))</f>
        <v/>
      </c>
      <c r="AA953">
        <f>IF(OR(B953="",D953=""),"",B953+ROW()/10000000)</f>
        <v/>
      </c>
      <c r="AB953">
        <f>IF(AA953="","",IF(COUNTIFS(Log!$D$6:$D$1505,D953,Log!$AA$6:$AA$1505,"&gt;"&amp;AA953)=0,1,0))</f>
        <v/>
      </c>
      <c r="AC953">
        <f>IF(S953="New best",AA953,"")</f>
        <v/>
      </c>
      <c r="AD953">
        <f>ROW()</f>
        <v/>
      </c>
    </row>
    <row r="954">
      <c r="A954" s="1" t="n"/>
      <c r="B954" s="21" t="n"/>
      <c r="C954" s="22" t="n"/>
      <c r="D954" s="23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15">
        <f>IF(D954="","",COUNT(F954,H954,J954,L954,N954))</f>
        <v/>
      </c>
      <c r="P954" s="25">
        <f>IF(D954="","",N(E954)*N(F954)+N(G954)*N(H954)+N(I954)*N(J954)+N(K954)*N(L954)+N(M954)*N(N954))</f>
        <v/>
      </c>
      <c r="Q954" s="18">
        <f>IF(N(X954)=0,"",IF(IF(N(F954)=0,0,IF(N(E954)&gt;0,E954*(1+F954/30),F954))=X954,IF(N(E954)&gt;0,E954&amp;" x "&amp;F954,F954&amp;" reps"),IF(IF(N(H954)=0,0,IF(N(G954)&gt;0,G954*(1+H954/30),H954))=X954,IF(N(G954)&gt;0,G954&amp;" x "&amp;H954,H954&amp;" reps"),IF(IF(N(J954)=0,0,IF(N(I954)&gt;0,I954*(1+J954/30),J954))=X954,IF(N(I954)&gt;0,I954&amp;" x "&amp;J954,J954&amp;" reps"),IF(IF(N(L954)=0,0,IF(N(K954)&gt;0,K954*(1+L954/30),L954))=X954,IF(N(K954)&gt;0,K954&amp;" x "&amp;L954,L954&amp;" reps"),IF(IF(N(N954)=0,0,IF(N(M954)&gt;0,M954*(1+N954/30),N954))=X954,IF(N(M954)&gt;0,M954&amp;" x "&amp;N954,N954&amp;" reps"),""))))))</f>
        <v/>
      </c>
      <c r="R954" s="20">
        <f>IF(N(X954)=0,"",ROUND(X954,1))</f>
        <v/>
      </c>
      <c r="S954" s="18">
        <f>IF(N(X954)=0,"",IF(AND(COUNTIFS(Log!$D$6:$D$1505,D954,Log!$B$6:$B$1505,"&lt;"&amp;B954)&gt;0,COUNTIFS(Log!$D$6:$D$1505,D954,Log!$B$6:$B$1505,"&lt;"&amp;B954,Log!$X$6:$X$1505,"&gt;="&amp;X954)=0),"New best",""))</f>
        <v/>
      </c>
      <c r="T954" s="26" t="n"/>
      <c r="U954" s="1">
        <f>IF(D954="","",IFERROR(INDEX(Exercises!$C$6:$C$105,MATCH(D954,Exercises!$B$6:$B$105,0)),"Other"))</f>
        <v/>
      </c>
      <c r="V954">
        <f>IF(B954="","",IF(COUNTIF($B$6:B954,B954)=1,1,0))</f>
        <v/>
      </c>
      <c r="W954">
        <f>IF(B954="","",B954-WEEKDAY(B954,3))</f>
        <v/>
      </c>
      <c r="X954">
        <f>IF(D954="","",MAX(IF(N(F954)=0,0,IF(N(E954)&gt;0,E954*(1+F954/30),F954)),IF(N(H954)=0,0,IF(N(G954)&gt;0,G954*(1+H954/30),H954)),IF(N(J954)=0,0,IF(N(I954)&gt;0,I954*(1+J954/30),J954)),IF(N(L954)=0,0,IF(N(K954)&gt;0,K954*(1+L954/30),L954)),IF(N(N954)=0,0,IF(N(M954)&gt;0,M954*(1+N954/30),N954))))</f>
        <v/>
      </c>
      <c r="Y954">
        <f>IF(N(X954)=0,"",X954+ROW()/1000000000)</f>
        <v/>
      </c>
      <c r="Z954">
        <f>IF(Y954="","",IF(COUNTIFS(Log!$D$6:$D$1505,D954,Log!$Y$6:$Y$1505,"&gt;"&amp;Y954)=0,1,0))</f>
        <v/>
      </c>
      <c r="AA954">
        <f>IF(OR(B954="",D954=""),"",B954+ROW()/10000000)</f>
        <v/>
      </c>
      <c r="AB954">
        <f>IF(AA954="","",IF(COUNTIFS(Log!$D$6:$D$1505,D954,Log!$AA$6:$AA$1505,"&gt;"&amp;AA954)=0,1,0))</f>
        <v/>
      </c>
      <c r="AC954">
        <f>IF(S954="New best",AA954,"")</f>
        <v/>
      </c>
      <c r="AD954">
        <f>ROW()</f>
        <v/>
      </c>
    </row>
    <row r="955">
      <c r="A955" s="1" t="n"/>
      <c r="B955" s="21" t="n"/>
      <c r="C955" s="22" t="n"/>
      <c r="D955" s="23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15">
        <f>IF(D955="","",COUNT(F955,H955,J955,L955,N955))</f>
        <v/>
      </c>
      <c r="P955" s="25">
        <f>IF(D955="","",N(E955)*N(F955)+N(G955)*N(H955)+N(I955)*N(J955)+N(K955)*N(L955)+N(M955)*N(N955))</f>
        <v/>
      </c>
      <c r="Q955" s="18">
        <f>IF(N(X955)=0,"",IF(IF(N(F955)=0,0,IF(N(E955)&gt;0,E955*(1+F955/30),F955))=X955,IF(N(E955)&gt;0,E955&amp;" x "&amp;F955,F955&amp;" reps"),IF(IF(N(H955)=0,0,IF(N(G955)&gt;0,G955*(1+H955/30),H955))=X955,IF(N(G955)&gt;0,G955&amp;" x "&amp;H955,H955&amp;" reps"),IF(IF(N(J955)=0,0,IF(N(I955)&gt;0,I955*(1+J955/30),J955))=X955,IF(N(I955)&gt;0,I955&amp;" x "&amp;J955,J955&amp;" reps"),IF(IF(N(L955)=0,0,IF(N(K955)&gt;0,K955*(1+L955/30),L955))=X955,IF(N(K955)&gt;0,K955&amp;" x "&amp;L955,L955&amp;" reps"),IF(IF(N(N955)=0,0,IF(N(M955)&gt;0,M955*(1+N955/30),N955))=X955,IF(N(M955)&gt;0,M955&amp;" x "&amp;N955,N955&amp;" reps"),""))))))</f>
        <v/>
      </c>
      <c r="R955" s="20">
        <f>IF(N(X955)=0,"",ROUND(X955,1))</f>
        <v/>
      </c>
      <c r="S955" s="18">
        <f>IF(N(X955)=0,"",IF(AND(COUNTIFS(Log!$D$6:$D$1505,D955,Log!$B$6:$B$1505,"&lt;"&amp;B955)&gt;0,COUNTIFS(Log!$D$6:$D$1505,D955,Log!$B$6:$B$1505,"&lt;"&amp;B955,Log!$X$6:$X$1505,"&gt;="&amp;X955)=0),"New best",""))</f>
        <v/>
      </c>
      <c r="T955" s="26" t="n"/>
      <c r="U955" s="1">
        <f>IF(D955="","",IFERROR(INDEX(Exercises!$C$6:$C$105,MATCH(D955,Exercises!$B$6:$B$105,0)),"Other"))</f>
        <v/>
      </c>
      <c r="V955">
        <f>IF(B955="","",IF(COUNTIF($B$6:B955,B955)=1,1,0))</f>
        <v/>
      </c>
      <c r="W955">
        <f>IF(B955="","",B955-WEEKDAY(B955,3))</f>
        <v/>
      </c>
      <c r="X955">
        <f>IF(D955="","",MAX(IF(N(F955)=0,0,IF(N(E955)&gt;0,E955*(1+F955/30),F955)),IF(N(H955)=0,0,IF(N(G955)&gt;0,G955*(1+H955/30),H955)),IF(N(J955)=0,0,IF(N(I955)&gt;0,I955*(1+J955/30),J955)),IF(N(L955)=0,0,IF(N(K955)&gt;0,K955*(1+L955/30),L955)),IF(N(N955)=0,0,IF(N(M955)&gt;0,M955*(1+N955/30),N955))))</f>
        <v/>
      </c>
      <c r="Y955">
        <f>IF(N(X955)=0,"",X955+ROW()/1000000000)</f>
        <v/>
      </c>
      <c r="Z955">
        <f>IF(Y955="","",IF(COUNTIFS(Log!$D$6:$D$1505,D955,Log!$Y$6:$Y$1505,"&gt;"&amp;Y955)=0,1,0))</f>
        <v/>
      </c>
      <c r="AA955">
        <f>IF(OR(B955="",D955=""),"",B955+ROW()/10000000)</f>
        <v/>
      </c>
      <c r="AB955">
        <f>IF(AA955="","",IF(COUNTIFS(Log!$D$6:$D$1505,D955,Log!$AA$6:$AA$1505,"&gt;"&amp;AA955)=0,1,0))</f>
        <v/>
      </c>
      <c r="AC955">
        <f>IF(S955="New best",AA955,"")</f>
        <v/>
      </c>
      <c r="AD955">
        <f>ROW()</f>
        <v/>
      </c>
    </row>
    <row r="956">
      <c r="A956" s="1" t="n"/>
      <c r="B956" s="21" t="n"/>
      <c r="C956" s="22" t="n"/>
      <c r="D956" s="23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15">
        <f>IF(D956="","",COUNT(F956,H956,J956,L956,N956))</f>
        <v/>
      </c>
      <c r="P956" s="25">
        <f>IF(D956="","",N(E956)*N(F956)+N(G956)*N(H956)+N(I956)*N(J956)+N(K956)*N(L956)+N(M956)*N(N956))</f>
        <v/>
      </c>
      <c r="Q956" s="18">
        <f>IF(N(X956)=0,"",IF(IF(N(F956)=0,0,IF(N(E956)&gt;0,E956*(1+F956/30),F956))=X956,IF(N(E956)&gt;0,E956&amp;" x "&amp;F956,F956&amp;" reps"),IF(IF(N(H956)=0,0,IF(N(G956)&gt;0,G956*(1+H956/30),H956))=X956,IF(N(G956)&gt;0,G956&amp;" x "&amp;H956,H956&amp;" reps"),IF(IF(N(J956)=0,0,IF(N(I956)&gt;0,I956*(1+J956/30),J956))=X956,IF(N(I956)&gt;0,I956&amp;" x "&amp;J956,J956&amp;" reps"),IF(IF(N(L956)=0,0,IF(N(K956)&gt;0,K956*(1+L956/30),L956))=X956,IF(N(K956)&gt;0,K956&amp;" x "&amp;L956,L956&amp;" reps"),IF(IF(N(N956)=0,0,IF(N(M956)&gt;0,M956*(1+N956/30),N956))=X956,IF(N(M956)&gt;0,M956&amp;" x "&amp;N956,N956&amp;" reps"),""))))))</f>
        <v/>
      </c>
      <c r="R956" s="20">
        <f>IF(N(X956)=0,"",ROUND(X956,1))</f>
        <v/>
      </c>
      <c r="S956" s="18">
        <f>IF(N(X956)=0,"",IF(AND(COUNTIFS(Log!$D$6:$D$1505,D956,Log!$B$6:$B$1505,"&lt;"&amp;B956)&gt;0,COUNTIFS(Log!$D$6:$D$1505,D956,Log!$B$6:$B$1505,"&lt;"&amp;B956,Log!$X$6:$X$1505,"&gt;="&amp;X956)=0),"New best",""))</f>
        <v/>
      </c>
      <c r="T956" s="26" t="n"/>
      <c r="U956" s="1">
        <f>IF(D956="","",IFERROR(INDEX(Exercises!$C$6:$C$105,MATCH(D956,Exercises!$B$6:$B$105,0)),"Other"))</f>
        <v/>
      </c>
      <c r="V956">
        <f>IF(B956="","",IF(COUNTIF($B$6:B956,B956)=1,1,0))</f>
        <v/>
      </c>
      <c r="W956">
        <f>IF(B956="","",B956-WEEKDAY(B956,3))</f>
        <v/>
      </c>
      <c r="X956">
        <f>IF(D956="","",MAX(IF(N(F956)=0,0,IF(N(E956)&gt;0,E956*(1+F956/30),F956)),IF(N(H956)=0,0,IF(N(G956)&gt;0,G956*(1+H956/30),H956)),IF(N(J956)=0,0,IF(N(I956)&gt;0,I956*(1+J956/30),J956)),IF(N(L956)=0,0,IF(N(K956)&gt;0,K956*(1+L956/30),L956)),IF(N(N956)=0,0,IF(N(M956)&gt;0,M956*(1+N956/30),N956))))</f>
        <v/>
      </c>
      <c r="Y956">
        <f>IF(N(X956)=0,"",X956+ROW()/1000000000)</f>
        <v/>
      </c>
      <c r="Z956">
        <f>IF(Y956="","",IF(COUNTIFS(Log!$D$6:$D$1505,D956,Log!$Y$6:$Y$1505,"&gt;"&amp;Y956)=0,1,0))</f>
        <v/>
      </c>
      <c r="AA956">
        <f>IF(OR(B956="",D956=""),"",B956+ROW()/10000000)</f>
        <v/>
      </c>
      <c r="AB956">
        <f>IF(AA956="","",IF(COUNTIFS(Log!$D$6:$D$1505,D956,Log!$AA$6:$AA$1505,"&gt;"&amp;AA956)=0,1,0))</f>
        <v/>
      </c>
      <c r="AC956">
        <f>IF(S956="New best",AA956,"")</f>
        <v/>
      </c>
      <c r="AD956">
        <f>ROW()</f>
        <v/>
      </c>
    </row>
    <row r="957">
      <c r="A957" s="1" t="n"/>
      <c r="B957" s="21" t="n"/>
      <c r="C957" s="22" t="n"/>
      <c r="D957" s="23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15">
        <f>IF(D957="","",COUNT(F957,H957,J957,L957,N957))</f>
        <v/>
      </c>
      <c r="P957" s="25">
        <f>IF(D957="","",N(E957)*N(F957)+N(G957)*N(H957)+N(I957)*N(J957)+N(K957)*N(L957)+N(M957)*N(N957))</f>
        <v/>
      </c>
      <c r="Q957" s="18">
        <f>IF(N(X957)=0,"",IF(IF(N(F957)=0,0,IF(N(E957)&gt;0,E957*(1+F957/30),F957))=X957,IF(N(E957)&gt;0,E957&amp;" x "&amp;F957,F957&amp;" reps"),IF(IF(N(H957)=0,0,IF(N(G957)&gt;0,G957*(1+H957/30),H957))=X957,IF(N(G957)&gt;0,G957&amp;" x "&amp;H957,H957&amp;" reps"),IF(IF(N(J957)=0,0,IF(N(I957)&gt;0,I957*(1+J957/30),J957))=X957,IF(N(I957)&gt;0,I957&amp;" x "&amp;J957,J957&amp;" reps"),IF(IF(N(L957)=0,0,IF(N(K957)&gt;0,K957*(1+L957/30),L957))=X957,IF(N(K957)&gt;0,K957&amp;" x "&amp;L957,L957&amp;" reps"),IF(IF(N(N957)=0,0,IF(N(M957)&gt;0,M957*(1+N957/30),N957))=X957,IF(N(M957)&gt;0,M957&amp;" x "&amp;N957,N957&amp;" reps"),""))))))</f>
        <v/>
      </c>
      <c r="R957" s="20">
        <f>IF(N(X957)=0,"",ROUND(X957,1))</f>
        <v/>
      </c>
      <c r="S957" s="18">
        <f>IF(N(X957)=0,"",IF(AND(COUNTIFS(Log!$D$6:$D$1505,D957,Log!$B$6:$B$1505,"&lt;"&amp;B957)&gt;0,COUNTIFS(Log!$D$6:$D$1505,D957,Log!$B$6:$B$1505,"&lt;"&amp;B957,Log!$X$6:$X$1505,"&gt;="&amp;X957)=0),"New best",""))</f>
        <v/>
      </c>
      <c r="T957" s="26" t="n"/>
      <c r="U957" s="1">
        <f>IF(D957="","",IFERROR(INDEX(Exercises!$C$6:$C$105,MATCH(D957,Exercises!$B$6:$B$105,0)),"Other"))</f>
        <v/>
      </c>
      <c r="V957">
        <f>IF(B957="","",IF(COUNTIF($B$6:B957,B957)=1,1,0))</f>
        <v/>
      </c>
      <c r="W957">
        <f>IF(B957="","",B957-WEEKDAY(B957,3))</f>
        <v/>
      </c>
      <c r="X957">
        <f>IF(D957="","",MAX(IF(N(F957)=0,0,IF(N(E957)&gt;0,E957*(1+F957/30),F957)),IF(N(H957)=0,0,IF(N(G957)&gt;0,G957*(1+H957/30),H957)),IF(N(J957)=0,0,IF(N(I957)&gt;0,I957*(1+J957/30),J957)),IF(N(L957)=0,0,IF(N(K957)&gt;0,K957*(1+L957/30),L957)),IF(N(N957)=0,0,IF(N(M957)&gt;0,M957*(1+N957/30),N957))))</f>
        <v/>
      </c>
      <c r="Y957">
        <f>IF(N(X957)=0,"",X957+ROW()/1000000000)</f>
        <v/>
      </c>
      <c r="Z957">
        <f>IF(Y957="","",IF(COUNTIFS(Log!$D$6:$D$1505,D957,Log!$Y$6:$Y$1505,"&gt;"&amp;Y957)=0,1,0))</f>
        <v/>
      </c>
      <c r="AA957">
        <f>IF(OR(B957="",D957=""),"",B957+ROW()/10000000)</f>
        <v/>
      </c>
      <c r="AB957">
        <f>IF(AA957="","",IF(COUNTIFS(Log!$D$6:$D$1505,D957,Log!$AA$6:$AA$1505,"&gt;"&amp;AA957)=0,1,0))</f>
        <v/>
      </c>
      <c r="AC957">
        <f>IF(S957="New best",AA957,"")</f>
        <v/>
      </c>
      <c r="AD957">
        <f>ROW()</f>
        <v/>
      </c>
    </row>
    <row r="958">
      <c r="A958" s="1" t="n"/>
      <c r="B958" s="21" t="n"/>
      <c r="C958" s="22" t="n"/>
      <c r="D958" s="23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15">
        <f>IF(D958="","",COUNT(F958,H958,J958,L958,N958))</f>
        <v/>
      </c>
      <c r="P958" s="25">
        <f>IF(D958="","",N(E958)*N(F958)+N(G958)*N(H958)+N(I958)*N(J958)+N(K958)*N(L958)+N(M958)*N(N958))</f>
        <v/>
      </c>
      <c r="Q958" s="18">
        <f>IF(N(X958)=0,"",IF(IF(N(F958)=0,0,IF(N(E958)&gt;0,E958*(1+F958/30),F958))=X958,IF(N(E958)&gt;0,E958&amp;" x "&amp;F958,F958&amp;" reps"),IF(IF(N(H958)=0,0,IF(N(G958)&gt;0,G958*(1+H958/30),H958))=X958,IF(N(G958)&gt;0,G958&amp;" x "&amp;H958,H958&amp;" reps"),IF(IF(N(J958)=0,0,IF(N(I958)&gt;0,I958*(1+J958/30),J958))=X958,IF(N(I958)&gt;0,I958&amp;" x "&amp;J958,J958&amp;" reps"),IF(IF(N(L958)=0,0,IF(N(K958)&gt;0,K958*(1+L958/30),L958))=X958,IF(N(K958)&gt;0,K958&amp;" x "&amp;L958,L958&amp;" reps"),IF(IF(N(N958)=0,0,IF(N(M958)&gt;0,M958*(1+N958/30),N958))=X958,IF(N(M958)&gt;0,M958&amp;" x "&amp;N958,N958&amp;" reps"),""))))))</f>
        <v/>
      </c>
      <c r="R958" s="20">
        <f>IF(N(X958)=0,"",ROUND(X958,1))</f>
        <v/>
      </c>
      <c r="S958" s="18">
        <f>IF(N(X958)=0,"",IF(AND(COUNTIFS(Log!$D$6:$D$1505,D958,Log!$B$6:$B$1505,"&lt;"&amp;B958)&gt;0,COUNTIFS(Log!$D$6:$D$1505,D958,Log!$B$6:$B$1505,"&lt;"&amp;B958,Log!$X$6:$X$1505,"&gt;="&amp;X958)=0),"New best",""))</f>
        <v/>
      </c>
      <c r="T958" s="26" t="n"/>
      <c r="U958" s="1">
        <f>IF(D958="","",IFERROR(INDEX(Exercises!$C$6:$C$105,MATCH(D958,Exercises!$B$6:$B$105,0)),"Other"))</f>
        <v/>
      </c>
      <c r="V958">
        <f>IF(B958="","",IF(COUNTIF($B$6:B958,B958)=1,1,0))</f>
        <v/>
      </c>
      <c r="W958">
        <f>IF(B958="","",B958-WEEKDAY(B958,3))</f>
        <v/>
      </c>
      <c r="X958">
        <f>IF(D958="","",MAX(IF(N(F958)=0,0,IF(N(E958)&gt;0,E958*(1+F958/30),F958)),IF(N(H958)=0,0,IF(N(G958)&gt;0,G958*(1+H958/30),H958)),IF(N(J958)=0,0,IF(N(I958)&gt;0,I958*(1+J958/30),J958)),IF(N(L958)=0,0,IF(N(K958)&gt;0,K958*(1+L958/30),L958)),IF(N(N958)=0,0,IF(N(M958)&gt;0,M958*(1+N958/30),N958))))</f>
        <v/>
      </c>
      <c r="Y958">
        <f>IF(N(X958)=0,"",X958+ROW()/1000000000)</f>
        <v/>
      </c>
      <c r="Z958">
        <f>IF(Y958="","",IF(COUNTIFS(Log!$D$6:$D$1505,D958,Log!$Y$6:$Y$1505,"&gt;"&amp;Y958)=0,1,0))</f>
        <v/>
      </c>
      <c r="AA958">
        <f>IF(OR(B958="",D958=""),"",B958+ROW()/10000000)</f>
        <v/>
      </c>
      <c r="AB958">
        <f>IF(AA958="","",IF(COUNTIFS(Log!$D$6:$D$1505,D958,Log!$AA$6:$AA$1505,"&gt;"&amp;AA958)=0,1,0))</f>
        <v/>
      </c>
      <c r="AC958">
        <f>IF(S958="New best",AA958,"")</f>
        <v/>
      </c>
      <c r="AD958">
        <f>ROW()</f>
        <v/>
      </c>
    </row>
    <row r="959">
      <c r="A959" s="1" t="n"/>
      <c r="B959" s="21" t="n"/>
      <c r="C959" s="22" t="n"/>
      <c r="D959" s="23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15">
        <f>IF(D959="","",COUNT(F959,H959,J959,L959,N959))</f>
        <v/>
      </c>
      <c r="P959" s="25">
        <f>IF(D959="","",N(E959)*N(F959)+N(G959)*N(H959)+N(I959)*N(J959)+N(K959)*N(L959)+N(M959)*N(N959))</f>
        <v/>
      </c>
      <c r="Q959" s="18">
        <f>IF(N(X959)=0,"",IF(IF(N(F959)=0,0,IF(N(E959)&gt;0,E959*(1+F959/30),F959))=X959,IF(N(E959)&gt;0,E959&amp;" x "&amp;F959,F959&amp;" reps"),IF(IF(N(H959)=0,0,IF(N(G959)&gt;0,G959*(1+H959/30),H959))=X959,IF(N(G959)&gt;0,G959&amp;" x "&amp;H959,H959&amp;" reps"),IF(IF(N(J959)=0,0,IF(N(I959)&gt;0,I959*(1+J959/30),J959))=X959,IF(N(I959)&gt;0,I959&amp;" x "&amp;J959,J959&amp;" reps"),IF(IF(N(L959)=0,0,IF(N(K959)&gt;0,K959*(1+L959/30),L959))=X959,IF(N(K959)&gt;0,K959&amp;" x "&amp;L959,L959&amp;" reps"),IF(IF(N(N959)=0,0,IF(N(M959)&gt;0,M959*(1+N959/30),N959))=X959,IF(N(M959)&gt;0,M959&amp;" x "&amp;N959,N959&amp;" reps"),""))))))</f>
        <v/>
      </c>
      <c r="R959" s="20">
        <f>IF(N(X959)=0,"",ROUND(X959,1))</f>
        <v/>
      </c>
      <c r="S959" s="18">
        <f>IF(N(X959)=0,"",IF(AND(COUNTIFS(Log!$D$6:$D$1505,D959,Log!$B$6:$B$1505,"&lt;"&amp;B959)&gt;0,COUNTIFS(Log!$D$6:$D$1505,D959,Log!$B$6:$B$1505,"&lt;"&amp;B959,Log!$X$6:$X$1505,"&gt;="&amp;X959)=0),"New best",""))</f>
        <v/>
      </c>
      <c r="T959" s="26" t="n"/>
      <c r="U959" s="1">
        <f>IF(D959="","",IFERROR(INDEX(Exercises!$C$6:$C$105,MATCH(D959,Exercises!$B$6:$B$105,0)),"Other"))</f>
        <v/>
      </c>
      <c r="V959">
        <f>IF(B959="","",IF(COUNTIF($B$6:B959,B959)=1,1,0))</f>
        <v/>
      </c>
      <c r="W959">
        <f>IF(B959="","",B959-WEEKDAY(B959,3))</f>
        <v/>
      </c>
      <c r="X959">
        <f>IF(D959="","",MAX(IF(N(F959)=0,0,IF(N(E959)&gt;0,E959*(1+F959/30),F959)),IF(N(H959)=0,0,IF(N(G959)&gt;0,G959*(1+H959/30),H959)),IF(N(J959)=0,0,IF(N(I959)&gt;0,I959*(1+J959/30),J959)),IF(N(L959)=0,0,IF(N(K959)&gt;0,K959*(1+L959/30),L959)),IF(N(N959)=0,0,IF(N(M959)&gt;0,M959*(1+N959/30),N959))))</f>
        <v/>
      </c>
      <c r="Y959">
        <f>IF(N(X959)=0,"",X959+ROW()/1000000000)</f>
        <v/>
      </c>
      <c r="Z959">
        <f>IF(Y959="","",IF(COUNTIFS(Log!$D$6:$D$1505,D959,Log!$Y$6:$Y$1505,"&gt;"&amp;Y959)=0,1,0))</f>
        <v/>
      </c>
      <c r="AA959">
        <f>IF(OR(B959="",D959=""),"",B959+ROW()/10000000)</f>
        <v/>
      </c>
      <c r="AB959">
        <f>IF(AA959="","",IF(COUNTIFS(Log!$D$6:$D$1505,D959,Log!$AA$6:$AA$1505,"&gt;"&amp;AA959)=0,1,0))</f>
        <v/>
      </c>
      <c r="AC959">
        <f>IF(S959="New best",AA959,"")</f>
        <v/>
      </c>
      <c r="AD959">
        <f>ROW()</f>
        <v/>
      </c>
    </row>
    <row r="960">
      <c r="A960" s="1" t="n"/>
      <c r="B960" s="21" t="n"/>
      <c r="C960" s="22" t="n"/>
      <c r="D960" s="23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15">
        <f>IF(D960="","",COUNT(F960,H960,J960,L960,N960))</f>
        <v/>
      </c>
      <c r="P960" s="25">
        <f>IF(D960="","",N(E960)*N(F960)+N(G960)*N(H960)+N(I960)*N(J960)+N(K960)*N(L960)+N(M960)*N(N960))</f>
        <v/>
      </c>
      <c r="Q960" s="18">
        <f>IF(N(X960)=0,"",IF(IF(N(F960)=0,0,IF(N(E960)&gt;0,E960*(1+F960/30),F960))=X960,IF(N(E960)&gt;0,E960&amp;" x "&amp;F960,F960&amp;" reps"),IF(IF(N(H960)=0,0,IF(N(G960)&gt;0,G960*(1+H960/30),H960))=X960,IF(N(G960)&gt;0,G960&amp;" x "&amp;H960,H960&amp;" reps"),IF(IF(N(J960)=0,0,IF(N(I960)&gt;0,I960*(1+J960/30),J960))=X960,IF(N(I960)&gt;0,I960&amp;" x "&amp;J960,J960&amp;" reps"),IF(IF(N(L960)=0,0,IF(N(K960)&gt;0,K960*(1+L960/30),L960))=X960,IF(N(K960)&gt;0,K960&amp;" x "&amp;L960,L960&amp;" reps"),IF(IF(N(N960)=0,0,IF(N(M960)&gt;0,M960*(1+N960/30),N960))=X960,IF(N(M960)&gt;0,M960&amp;" x "&amp;N960,N960&amp;" reps"),""))))))</f>
        <v/>
      </c>
      <c r="R960" s="20">
        <f>IF(N(X960)=0,"",ROUND(X960,1))</f>
        <v/>
      </c>
      <c r="S960" s="18">
        <f>IF(N(X960)=0,"",IF(AND(COUNTIFS(Log!$D$6:$D$1505,D960,Log!$B$6:$B$1505,"&lt;"&amp;B960)&gt;0,COUNTIFS(Log!$D$6:$D$1505,D960,Log!$B$6:$B$1505,"&lt;"&amp;B960,Log!$X$6:$X$1505,"&gt;="&amp;X960)=0),"New best",""))</f>
        <v/>
      </c>
      <c r="T960" s="26" t="n"/>
      <c r="U960" s="1">
        <f>IF(D960="","",IFERROR(INDEX(Exercises!$C$6:$C$105,MATCH(D960,Exercises!$B$6:$B$105,0)),"Other"))</f>
        <v/>
      </c>
      <c r="V960">
        <f>IF(B960="","",IF(COUNTIF($B$6:B960,B960)=1,1,0))</f>
        <v/>
      </c>
      <c r="W960">
        <f>IF(B960="","",B960-WEEKDAY(B960,3))</f>
        <v/>
      </c>
      <c r="X960">
        <f>IF(D960="","",MAX(IF(N(F960)=0,0,IF(N(E960)&gt;0,E960*(1+F960/30),F960)),IF(N(H960)=0,0,IF(N(G960)&gt;0,G960*(1+H960/30),H960)),IF(N(J960)=0,0,IF(N(I960)&gt;0,I960*(1+J960/30),J960)),IF(N(L960)=0,0,IF(N(K960)&gt;0,K960*(1+L960/30),L960)),IF(N(N960)=0,0,IF(N(M960)&gt;0,M960*(1+N960/30),N960))))</f>
        <v/>
      </c>
      <c r="Y960">
        <f>IF(N(X960)=0,"",X960+ROW()/1000000000)</f>
        <v/>
      </c>
      <c r="Z960">
        <f>IF(Y960="","",IF(COUNTIFS(Log!$D$6:$D$1505,D960,Log!$Y$6:$Y$1505,"&gt;"&amp;Y960)=0,1,0))</f>
        <v/>
      </c>
      <c r="AA960">
        <f>IF(OR(B960="",D960=""),"",B960+ROW()/10000000)</f>
        <v/>
      </c>
      <c r="AB960">
        <f>IF(AA960="","",IF(COUNTIFS(Log!$D$6:$D$1505,D960,Log!$AA$6:$AA$1505,"&gt;"&amp;AA960)=0,1,0))</f>
        <v/>
      </c>
      <c r="AC960">
        <f>IF(S960="New best",AA960,"")</f>
        <v/>
      </c>
      <c r="AD960">
        <f>ROW()</f>
        <v/>
      </c>
    </row>
    <row r="961">
      <c r="A961" s="1" t="n"/>
      <c r="B961" s="21" t="n"/>
      <c r="C961" s="22" t="n"/>
      <c r="D961" s="23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15">
        <f>IF(D961="","",COUNT(F961,H961,J961,L961,N961))</f>
        <v/>
      </c>
      <c r="P961" s="25">
        <f>IF(D961="","",N(E961)*N(F961)+N(G961)*N(H961)+N(I961)*N(J961)+N(K961)*N(L961)+N(M961)*N(N961))</f>
        <v/>
      </c>
      <c r="Q961" s="18">
        <f>IF(N(X961)=0,"",IF(IF(N(F961)=0,0,IF(N(E961)&gt;0,E961*(1+F961/30),F961))=X961,IF(N(E961)&gt;0,E961&amp;" x "&amp;F961,F961&amp;" reps"),IF(IF(N(H961)=0,0,IF(N(G961)&gt;0,G961*(1+H961/30),H961))=X961,IF(N(G961)&gt;0,G961&amp;" x "&amp;H961,H961&amp;" reps"),IF(IF(N(J961)=0,0,IF(N(I961)&gt;0,I961*(1+J961/30),J961))=X961,IF(N(I961)&gt;0,I961&amp;" x "&amp;J961,J961&amp;" reps"),IF(IF(N(L961)=0,0,IF(N(K961)&gt;0,K961*(1+L961/30),L961))=X961,IF(N(K961)&gt;0,K961&amp;" x "&amp;L961,L961&amp;" reps"),IF(IF(N(N961)=0,0,IF(N(M961)&gt;0,M961*(1+N961/30),N961))=X961,IF(N(M961)&gt;0,M961&amp;" x "&amp;N961,N961&amp;" reps"),""))))))</f>
        <v/>
      </c>
      <c r="R961" s="20">
        <f>IF(N(X961)=0,"",ROUND(X961,1))</f>
        <v/>
      </c>
      <c r="S961" s="18">
        <f>IF(N(X961)=0,"",IF(AND(COUNTIFS(Log!$D$6:$D$1505,D961,Log!$B$6:$B$1505,"&lt;"&amp;B961)&gt;0,COUNTIFS(Log!$D$6:$D$1505,D961,Log!$B$6:$B$1505,"&lt;"&amp;B961,Log!$X$6:$X$1505,"&gt;="&amp;X961)=0),"New best",""))</f>
        <v/>
      </c>
      <c r="T961" s="26" t="n"/>
      <c r="U961" s="1">
        <f>IF(D961="","",IFERROR(INDEX(Exercises!$C$6:$C$105,MATCH(D961,Exercises!$B$6:$B$105,0)),"Other"))</f>
        <v/>
      </c>
      <c r="V961">
        <f>IF(B961="","",IF(COUNTIF($B$6:B961,B961)=1,1,0))</f>
        <v/>
      </c>
      <c r="W961">
        <f>IF(B961="","",B961-WEEKDAY(B961,3))</f>
        <v/>
      </c>
      <c r="X961">
        <f>IF(D961="","",MAX(IF(N(F961)=0,0,IF(N(E961)&gt;0,E961*(1+F961/30),F961)),IF(N(H961)=0,0,IF(N(G961)&gt;0,G961*(1+H961/30),H961)),IF(N(J961)=0,0,IF(N(I961)&gt;0,I961*(1+J961/30),J961)),IF(N(L961)=0,0,IF(N(K961)&gt;0,K961*(1+L961/30),L961)),IF(N(N961)=0,0,IF(N(M961)&gt;0,M961*(1+N961/30),N961))))</f>
        <v/>
      </c>
      <c r="Y961">
        <f>IF(N(X961)=0,"",X961+ROW()/1000000000)</f>
        <v/>
      </c>
      <c r="Z961">
        <f>IF(Y961="","",IF(COUNTIFS(Log!$D$6:$D$1505,D961,Log!$Y$6:$Y$1505,"&gt;"&amp;Y961)=0,1,0))</f>
        <v/>
      </c>
      <c r="AA961">
        <f>IF(OR(B961="",D961=""),"",B961+ROW()/10000000)</f>
        <v/>
      </c>
      <c r="AB961">
        <f>IF(AA961="","",IF(COUNTIFS(Log!$D$6:$D$1505,D961,Log!$AA$6:$AA$1505,"&gt;"&amp;AA961)=0,1,0))</f>
        <v/>
      </c>
      <c r="AC961">
        <f>IF(S961="New best",AA961,"")</f>
        <v/>
      </c>
      <c r="AD961">
        <f>ROW()</f>
        <v/>
      </c>
    </row>
    <row r="962">
      <c r="A962" s="1" t="n"/>
      <c r="B962" s="21" t="n"/>
      <c r="C962" s="22" t="n"/>
      <c r="D962" s="23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15">
        <f>IF(D962="","",COUNT(F962,H962,J962,L962,N962))</f>
        <v/>
      </c>
      <c r="P962" s="25">
        <f>IF(D962="","",N(E962)*N(F962)+N(G962)*N(H962)+N(I962)*N(J962)+N(K962)*N(L962)+N(M962)*N(N962))</f>
        <v/>
      </c>
      <c r="Q962" s="18">
        <f>IF(N(X962)=0,"",IF(IF(N(F962)=0,0,IF(N(E962)&gt;0,E962*(1+F962/30),F962))=X962,IF(N(E962)&gt;0,E962&amp;" x "&amp;F962,F962&amp;" reps"),IF(IF(N(H962)=0,0,IF(N(G962)&gt;0,G962*(1+H962/30),H962))=X962,IF(N(G962)&gt;0,G962&amp;" x "&amp;H962,H962&amp;" reps"),IF(IF(N(J962)=0,0,IF(N(I962)&gt;0,I962*(1+J962/30),J962))=X962,IF(N(I962)&gt;0,I962&amp;" x "&amp;J962,J962&amp;" reps"),IF(IF(N(L962)=0,0,IF(N(K962)&gt;0,K962*(1+L962/30),L962))=X962,IF(N(K962)&gt;0,K962&amp;" x "&amp;L962,L962&amp;" reps"),IF(IF(N(N962)=0,0,IF(N(M962)&gt;0,M962*(1+N962/30),N962))=X962,IF(N(M962)&gt;0,M962&amp;" x "&amp;N962,N962&amp;" reps"),""))))))</f>
        <v/>
      </c>
      <c r="R962" s="20">
        <f>IF(N(X962)=0,"",ROUND(X962,1))</f>
        <v/>
      </c>
      <c r="S962" s="18">
        <f>IF(N(X962)=0,"",IF(AND(COUNTIFS(Log!$D$6:$D$1505,D962,Log!$B$6:$B$1505,"&lt;"&amp;B962)&gt;0,COUNTIFS(Log!$D$6:$D$1505,D962,Log!$B$6:$B$1505,"&lt;"&amp;B962,Log!$X$6:$X$1505,"&gt;="&amp;X962)=0),"New best",""))</f>
        <v/>
      </c>
      <c r="T962" s="26" t="n"/>
      <c r="U962" s="1">
        <f>IF(D962="","",IFERROR(INDEX(Exercises!$C$6:$C$105,MATCH(D962,Exercises!$B$6:$B$105,0)),"Other"))</f>
        <v/>
      </c>
      <c r="V962">
        <f>IF(B962="","",IF(COUNTIF($B$6:B962,B962)=1,1,0))</f>
        <v/>
      </c>
      <c r="W962">
        <f>IF(B962="","",B962-WEEKDAY(B962,3))</f>
        <v/>
      </c>
      <c r="X962">
        <f>IF(D962="","",MAX(IF(N(F962)=0,0,IF(N(E962)&gt;0,E962*(1+F962/30),F962)),IF(N(H962)=0,0,IF(N(G962)&gt;0,G962*(1+H962/30),H962)),IF(N(J962)=0,0,IF(N(I962)&gt;0,I962*(1+J962/30),J962)),IF(N(L962)=0,0,IF(N(K962)&gt;0,K962*(1+L962/30),L962)),IF(N(N962)=0,0,IF(N(M962)&gt;0,M962*(1+N962/30),N962))))</f>
        <v/>
      </c>
      <c r="Y962">
        <f>IF(N(X962)=0,"",X962+ROW()/1000000000)</f>
        <v/>
      </c>
      <c r="Z962">
        <f>IF(Y962="","",IF(COUNTIFS(Log!$D$6:$D$1505,D962,Log!$Y$6:$Y$1505,"&gt;"&amp;Y962)=0,1,0))</f>
        <v/>
      </c>
      <c r="AA962">
        <f>IF(OR(B962="",D962=""),"",B962+ROW()/10000000)</f>
        <v/>
      </c>
      <c r="AB962">
        <f>IF(AA962="","",IF(COUNTIFS(Log!$D$6:$D$1505,D962,Log!$AA$6:$AA$1505,"&gt;"&amp;AA962)=0,1,0))</f>
        <v/>
      </c>
      <c r="AC962">
        <f>IF(S962="New best",AA962,"")</f>
        <v/>
      </c>
      <c r="AD962">
        <f>ROW()</f>
        <v/>
      </c>
    </row>
    <row r="963">
      <c r="A963" s="1" t="n"/>
      <c r="B963" s="21" t="n"/>
      <c r="C963" s="22" t="n"/>
      <c r="D963" s="23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15">
        <f>IF(D963="","",COUNT(F963,H963,J963,L963,N963))</f>
        <v/>
      </c>
      <c r="P963" s="25">
        <f>IF(D963="","",N(E963)*N(F963)+N(G963)*N(H963)+N(I963)*N(J963)+N(K963)*N(L963)+N(M963)*N(N963))</f>
        <v/>
      </c>
      <c r="Q963" s="18">
        <f>IF(N(X963)=0,"",IF(IF(N(F963)=0,0,IF(N(E963)&gt;0,E963*(1+F963/30),F963))=X963,IF(N(E963)&gt;0,E963&amp;" x "&amp;F963,F963&amp;" reps"),IF(IF(N(H963)=0,0,IF(N(G963)&gt;0,G963*(1+H963/30),H963))=X963,IF(N(G963)&gt;0,G963&amp;" x "&amp;H963,H963&amp;" reps"),IF(IF(N(J963)=0,0,IF(N(I963)&gt;0,I963*(1+J963/30),J963))=X963,IF(N(I963)&gt;0,I963&amp;" x "&amp;J963,J963&amp;" reps"),IF(IF(N(L963)=0,0,IF(N(K963)&gt;0,K963*(1+L963/30),L963))=X963,IF(N(K963)&gt;0,K963&amp;" x "&amp;L963,L963&amp;" reps"),IF(IF(N(N963)=0,0,IF(N(M963)&gt;0,M963*(1+N963/30),N963))=X963,IF(N(M963)&gt;0,M963&amp;" x "&amp;N963,N963&amp;" reps"),""))))))</f>
        <v/>
      </c>
      <c r="R963" s="20">
        <f>IF(N(X963)=0,"",ROUND(X963,1))</f>
        <v/>
      </c>
      <c r="S963" s="18">
        <f>IF(N(X963)=0,"",IF(AND(COUNTIFS(Log!$D$6:$D$1505,D963,Log!$B$6:$B$1505,"&lt;"&amp;B963)&gt;0,COUNTIFS(Log!$D$6:$D$1505,D963,Log!$B$6:$B$1505,"&lt;"&amp;B963,Log!$X$6:$X$1505,"&gt;="&amp;X963)=0),"New best",""))</f>
        <v/>
      </c>
      <c r="T963" s="26" t="n"/>
      <c r="U963" s="1">
        <f>IF(D963="","",IFERROR(INDEX(Exercises!$C$6:$C$105,MATCH(D963,Exercises!$B$6:$B$105,0)),"Other"))</f>
        <v/>
      </c>
      <c r="V963">
        <f>IF(B963="","",IF(COUNTIF($B$6:B963,B963)=1,1,0))</f>
        <v/>
      </c>
      <c r="W963">
        <f>IF(B963="","",B963-WEEKDAY(B963,3))</f>
        <v/>
      </c>
      <c r="X963">
        <f>IF(D963="","",MAX(IF(N(F963)=0,0,IF(N(E963)&gt;0,E963*(1+F963/30),F963)),IF(N(H963)=0,0,IF(N(G963)&gt;0,G963*(1+H963/30),H963)),IF(N(J963)=0,0,IF(N(I963)&gt;0,I963*(1+J963/30),J963)),IF(N(L963)=0,0,IF(N(K963)&gt;0,K963*(1+L963/30),L963)),IF(N(N963)=0,0,IF(N(M963)&gt;0,M963*(1+N963/30),N963))))</f>
        <v/>
      </c>
      <c r="Y963">
        <f>IF(N(X963)=0,"",X963+ROW()/1000000000)</f>
        <v/>
      </c>
      <c r="Z963">
        <f>IF(Y963="","",IF(COUNTIFS(Log!$D$6:$D$1505,D963,Log!$Y$6:$Y$1505,"&gt;"&amp;Y963)=0,1,0))</f>
        <v/>
      </c>
      <c r="AA963">
        <f>IF(OR(B963="",D963=""),"",B963+ROW()/10000000)</f>
        <v/>
      </c>
      <c r="AB963">
        <f>IF(AA963="","",IF(COUNTIFS(Log!$D$6:$D$1505,D963,Log!$AA$6:$AA$1505,"&gt;"&amp;AA963)=0,1,0))</f>
        <v/>
      </c>
      <c r="AC963">
        <f>IF(S963="New best",AA963,"")</f>
        <v/>
      </c>
      <c r="AD963">
        <f>ROW()</f>
        <v/>
      </c>
    </row>
    <row r="964">
      <c r="A964" s="1" t="n"/>
      <c r="B964" s="21" t="n"/>
      <c r="C964" s="22" t="n"/>
      <c r="D964" s="23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15">
        <f>IF(D964="","",COUNT(F964,H964,J964,L964,N964))</f>
        <v/>
      </c>
      <c r="P964" s="25">
        <f>IF(D964="","",N(E964)*N(F964)+N(G964)*N(H964)+N(I964)*N(J964)+N(K964)*N(L964)+N(M964)*N(N964))</f>
        <v/>
      </c>
      <c r="Q964" s="18">
        <f>IF(N(X964)=0,"",IF(IF(N(F964)=0,0,IF(N(E964)&gt;0,E964*(1+F964/30),F964))=X964,IF(N(E964)&gt;0,E964&amp;" x "&amp;F964,F964&amp;" reps"),IF(IF(N(H964)=0,0,IF(N(G964)&gt;0,G964*(1+H964/30),H964))=X964,IF(N(G964)&gt;0,G964&amp;" x "&amp;H964,H964&amp;" reps"),IF(IF(N(J964)=0,0,IF(N(I964)&gt;0,I964*(1+J964/30),J964))=X964,IF(N(I964)&gt;0,I964&amp;" x "&amp;J964,J964&amp;" reps"),IF(IF(N(L964)=0,0,IF(N(K964)&gt;0,K964*(1+L964/30),L964))=X964,IF(N(K964)&gt;0,K964&amp;" x "&amp;L964,L964&amp;" reps"),IF(IF(N(N964)=0,0,IF(N(M964)&gt;0,M964*(1+N964/30),N964))=X964,IF(N(M964)&gt;0,M964&amp;" x "&amp;N964,N964&amp;" reps"),""))))))</f>
        <v/>
      </c>
      <c r="R964" s="20">
        <f>IF(N(X964)=0,"",ROUND(X964,1))</f>
        <v/>
      </c>
      <c r="S964" s="18">
        <f>IF(N(X964)=0,"",IF(AND(COUNTIFS(Log!$D$6:$D$1505,D964,Log!$B$6:$B$1505,"&lt;"&amp;B964)&gt;0,COUNTIFS(Log!$D$6:$D$1505,D964,Log!$B$6:$B$1505,"&lt;"&amp;B964,Log!$X$6:$X$1505,"&gt;="&amp;X964)=0),"New best",""))</f>
        <v/>
      </c>
      <c r="T964" s="26" t="n"/>
      <c r="U964" s="1">
        <f>IF(D964="","",IFERROR(INDEX(Exercises!$C$6:$C$105,MATCH(D964,Exercises!$B$6:$B$105,0)),"Other"))</f>
        <v/>
      </c>
      <c r="V964">
        <f>IF(B964="","",IF(COUNTIF($B$6:B964,B964)=1,1,0))</f>
        <v/>
      </c>
      <c r="W964">
        <f>IF(B964="","",B964-WEEKDAY(B964,3))</f>
        <v/>
      </c>
      <c r="X964">
        <f>IF(D964="","",MAX(IF(N(F964)=0,0,IF(N(E964)&gt;0,E964*(1+F964/30),F964)),IF(N(H964)=0,0,IF(N(G964)&gt;0,G964*(1+H964/30),H964)),IF(N(J964)=0,0,IF(N(I964)&gt;0,I964*(1+J964/30),J964)),IF(N(L964)=0,0,IF(N(K964)&gt;0,K964*(1+L964/30),L964)),IF(N(N964)=0,0,IF(N(M964)&gt;0,M964*(1+N964/30),N964))))</f>
        <v/>
      </c>
      <c r="Y964">
        <f>IF(N(X964)=0,"",X964+ROW()/1000000000)</f>
        <v/>
      </c>
      <c r="Z964">
        <f>IF(Y964="","",IF(COUNTIFS(Log!$D$6:$D$1505,D964,Log!$Y$6:$Y$1505,"&gt;"&amp;Y964)=0,1,0))</f>
        <v/>
      </c>
      <c r="AA964">
        <f>IF(OR(B964="",D964=""),"",B964+ROW()/10000000)</f>
        <v/>
      </c>
      <c r="AB964">
        <f>IF(AA964="","",IF(COUNTIFS(Log!$D$6:$D$1505,D964,Log!$AA$6:$AA$1505,"&gt;"&amp;AA964)=0,1,0))</f>
        <v/>
      </c>
      <c r="AC964">
        <f>IF(S964="New best",AA964,"")</f>
        <v/>
      </c>
      <c r="AD964">
        <f>ROW()</f>
        <v/>
      </c>
    </row>
    <row r="965">
      <c r="A965" s="1" t="n"/>
      <c r="B965" s="21" t="n"/>
      <c r="C965" s="22" t="n"/>
      <c r="D965" s="23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15">
        <f>IF(D965="","",COUNT(F965,H965,J965,L965,N965))</f>
        <v/>
      </c>
      <c r="P965" s="25">
        <f>IF(D965="","",N(E965)*N(F965)+N(G965)*N(H965)+N(I965)*N(J965)+N(K965)*N(L965)+N(M965)*N(N965))</f>
        <v/>
      </c>
      <c r="Q965" s="18">
        <f>IF(N(X965)=0,"",IF(IF(N(F965)=0,0,IF(N(E965)&gt;0,E965*(1+F965/30),F965))=X965,IF(N(E965)&gt;0,E965&amp;" x "&amp;F965,F965&amp;" reps"),IF(IF(N(H965)=0,0,IF(N(G965)&gt;0,G965*(1+H965/30),H965))=X965,IF(N(G965)&gt;0,G965&amp;" x "&amp;H965,H965&amp;" reps"),IF(IF(N(J965)=0,0,IF(N(I965)&gt;0,I965*(1+J965/30),J965))=X965,IF(N(I965)&gt;0,I965&amp;" x "&amp;J965,J965&amp;" reps"),IF(IF(N(L965)=0,0,IF(N(K965)&gt;0,K965*(1+L965/30),L965))=X965,IF(N(K965)&gt;0,K965&amp;" x "&amp;L965,L965&amp;" reps"),IF(IF(N(N965)=0,0,IF(N(M965)&gt;0,M965*(1+N965/30),N965))=X965,IF(N(M965)&gt;0,M965&amp;" x "&amp;N965,N965&amp;" reps"),""))))))</f>
        <v/>
      </c>
      <c r="R965" s="20">
        <f>IF(N(X965)=0,"",ROUND(X965,1))</f>
        <v/>
      </c>
      <c r="S965" s="18">
        <f>IF(N(X965)=0,"",IF(AND(COUNTIFS(Log!$D$6:$D$1505,D965,Log!$B$6:$B$1505,"&lt;"&amp;B965)&gt;0,COUNTIFS(Log!$D$6:$D$1505,D965,Log!$B$6:$B$1505,"&lt;"&amp;B965,Log!$X$6:$X$1505,"&gt;="&amp;X965)=0),"New best",""))</f>
        <v/>
      </c>
      <c r="T965" s="26" t="n"/>
      <c r="U965" s="1">
        <f>IF(D965="","",IFERROR(INDEX(Exercises!$C$6:$C$105,MATCH(D965,Exercises!$B$6:$B$105,0)),"Other"))</f>
        <v/>
      </c>
      <c r="V965">
        <f>IF(B965="","",IF(COUNTIF($B$6:B965,B965)=1,1,0))</f>
        <v/>
      </c>
      <c r="W965">
        <f>IF(B965="","",B965-WEEKDAY(B965,3))</f>
        <v/>
      </c>
      <c r="X965">
        <f>IF(D965="","",MAX(IF(N(F965)=0,0,IF(N(E965)&gt;0,E965*(1+F965/30),F965)),IF(N(H965)=0,0,IF(N(G965)&gt;0,G965*(1+H965/30),H965)),IF(N(J965)=0,0,IF(N(I965)&gt;0,I965*(1+J965/30),J965)),IF(N(L965)=0,0,IF(N(K965)&gt;0,K965*(1+L965/30),L965)),IF(N(N965)=0,0,IF(N(M965)&gt;0,M965*(1+N965/30),N965))))</f>
        <v/>
      </c>
      <c r="Y965">
        <f>IF(N(X965)=0,"",X965+ROW()/1000000000)</f>
        <v/>
      </c>
      <c r="Z965">
        <f>IF(Y965="","",IF(COUNTIFS(Log!$D$6:$D$1505,D965,Log!$Y$6:$Y$1505,"&gt;"&amp;Y965)=0,1,0))</f>
        <v/>
      </c>
      <c r="AA965">
        <f>IF(OR(B965="",D965=""),"",B965+ROW()/10000000)</f>
        <v/>
      </c>
      <c r="AB965">
        <f>IF(AA965="","",IF(COUNTIFS(Log!$D$6:$D$1505,D965,Log!$AA$6:$AA$1505,"&gt;"&amp;AA965)=0,1,0))</f>
        <v/>
      </c>
      <c r="AC965">
        <f>IF(S965="New best",AA965,"")</f>
        <v/>
      </c>
      <c r="AD965">
        <f>ROW()</f>
        <v/>
      </c>
    </row>
    <row r="966">
      <c r="A966" s="1" t="n"/>
      <c r="B966" s="21" t="n"/>
      <c r="C966" s="22" t="n"/>
      <c r="D966" s="23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15">
        <f>IF(D966="","",COUNT(F966,H966,J966,L966,N966))</f>
        <v/>
      </c>
      <c r="P966" s="25">
        <f>IF(D966="","",N(E966)*N(F966)+N(G966)*N(H966)+N(I966)*N(J966)+N(K966)*N(L966)+N(M966)*N(N966))</f>
        <v/>
      </c>
      <c r="Q966" s="18">
        <f>IF(N(X966)=0,"",IF(IF(N(F966)=0,0,IF(N(E966)&gt;0,E966*(1+F966/30),F966))=X966,IF(N(E966)&gt;0,E966&amp;" x "&amp;F966,F966&amp;" reps"),IF(IF(N(H966)=0,0,IF(N(G966)&gt;0,G966*(1+H966/30),H966))=X966,IF(N(G966)&gt;0,G966&amp;" x "&amp;H966,H966&amp;" reps"),IF(IF(N(J966)=0,0,IF(N(I966)&gt;0,I966*(1+J966/30),J966))=X966,IF(N(I966)&gt;0,I966&amp;" x "&amp;J966,J966&amp;" reps"),IF(IF(N(L966)=0,0,IF(N(K966)&gt;0,K966*(1+L966/30),L966))=X966,IF(N(K966)&gt;0,K966&amp;" x "&amp;L966,L966&amp;" reps"),IF(IF(N(N966)=0,0,IF(N(M966)&gt;0,M966*(1+N966/30),N966))=X966,IF(N(M966)&gt;0,M966&amp;" x "&amp;N966,N966&amp;" reps"),""))))))</f>
        <v/>
      </c>
      <c r="R966" s="20">
        <f>IF(N(X966)=0,"",ROUND(X966,1))</f>
        <v/>
      </c>
      <c r="S966" s="18">
        <f>IF(N(X966)=0,"",IF(AND(COUNTIFS(Log!$D$6:$D$1505,D966,Log!$B$6:$B$1505,"&lt;"&amp;B966)&gt;0,COUNTIFS(Log!$D$6:$D$1505,D966,Log!$B$6:$B$1505,"&lt;"&amp;B966,Log!$X$6:$X$1505,"&gt;="&amp;X966)=0),"New best",""))</f>
        <v/>
      </c>
      <c r="T966" s="26" t="n"/>
      <c r="U966" s="1">
        <f>IF(D966="","",IFERROR(INDEX(Exercises!$C$6:$C$105,MATCH(D966,Exercises!$B$6:$B$105,0)),"Other"))</f>
        <v/>
      </c>
      <c r="V966">
        <f>IF(B966="","",IF(COUNTIF($B$6:B966,B966)=1,1,0))</f>
        <v/>
      </c>
      <c r="W966">
        <f>IF(B966="","",B966-WEEKDAY(B966,3))</f>
        <v/>
      </c>
      <c r="X966">
        <f>IF(D966="","",MAX(IF(N(F966)=0,0,IF(N(E966)&gt;0,E966*(1+F966/30),F966)),IF(N(H966)=0,0,IF(N(G966)&gt;0,G966*(1+H966/30),H966)),IF(N(J966)=0,0,IF(N(I966)&gt;0,I966*(1+J966/30),J966)),IF(N(L966)=0,0,IF(N(K966)&gt;0,K966*(1+L966/30),L966)),IF(N(N966)=0,0,IF(N(M966)&gt;0,M966*(1+N966/30),N966))))</f>
        <v/>
      </c>
      <c r="Y966">
        <f>IF(N(X966)=0,"",X966+ROW()/1000000000)</f>
        <v/>
      </c>
      <c r="Z966">
        <f>IF(Y966="","",IF(COUNTIFS(Log!$D$6:$D$1505,D966,Log!$Y$6:$Y$1505,"&gt;"&amp;Y966)=0,1,0))</f>
        <v/>
      </c>
      <c r="AA966">
        <f>IF(OR(B966="",D966=""),"",B966+ROW()/10000000)</f>
        <v/>
      </c>
      <c r="AB966">
        <f>IF(AA966="","",IF(COUNTIFS(Log!$D$6:$D$1505,D966,Log!$AA$6:$AA$1505,"&gt;"&amp;AA966)=0,1,0))</f>
        <v/>
      </c>
      <c r="AC966">
        <f>IF(S966="New best",AA966,"")</f>
        <v/>
      </c>
      <c r="AD966">
        <f>ROW()</f>
        <v/>
      </c>
    </row>
    <row r="967">
      <c r="A967" s="1" t="n"/>
      <c r="B967" s="21" t="n"/>
      <c r="C967" s="22" t="n"/>
      <c r="D967" s="23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15">
        <f>IF(D967="","",COUNT(F967,H967,J967,L967,N967))</f>
        <v/>
      </c>
      <c r="P967" s="25">
        <f>IF(D967="","",N(E967)*N(F967)+N(G967)*N(H967)+N(I967)*N(J967)+N(K967)*N(L967)+N(M967)*N(N967))</f>
        <v/>
      </c>
      <c r="Q967" s="18">
        <f>IF(N(X967)=0,"",IF(IF(N(F967)=0,0,IF(N(E967)&gt;0,E967*(1+F967/30),F967))=X967,IF(N(E967)&gt;0,E967&amp;" x "&amp;F967,F967&amp;" reps"),IF(IF(N(H967)=0,0,IF(N(G967)&gt;0,G967*(1+H967/30),H967))=X967,IF(N(G967)&gt;0,G967&amp;" x "&amp;H967,H967&amp;" reps"),IF(IF(N(J967)=0,0,IF(N(I967)&gt;0,I967*(1+J967/30),J967))=X967,IF(N(I967)&gt;0,I967&amp;" x "&amp;J967,J967&amp;" reps"),IF(IF(N(L967)=0,0,IF(N(K967)&gt;0,K967*(1+L967/30),L967))=X967,IF(N(K967)&gt;0,K967&amp;" x "&amp;L967,L967&amp;" reps"),IF(IF(N(N967)=0,0,IF(N(M967)&gt;0,M967*(1+N967/30),N967))=X967,IF(N(M967)&gt;0,M967&amp;" x "&amp;N967,N967&amp;" reps"),""))))))</f>
        <v/>
      </c>
      <c r="R967" s="20">
        <f>IF(N(X967)=0,"",ROUND(X967,1))</f>
        <v/>
      </c>
      <c r="S967" s="18">
        <f>IF(N(X967)=0,"",IF(AND(COUNTIFS(Log!$D$6:$D$1505,D967,Log!$B$6:$B$1505,"&lt;"&amp;B967)&gt;0,COUNTIFS(Log!$D$6:$D$1505,D967,Log!$B$6:$B$1505,"&lt;"&amp;B967,Log!$X$6:$X$1505,"&gt;="&amp;X967)=0),"New best",""))</f>
        <v/>
      </c>
      <c r="T967" s="26" t="n"/>
      <c r="U967" s="1">
        <f>IF(D967="","",IFERROR(INDEX(Exercises!$C$6:$C$105,MATCH(D967,Exercises!$B$6:$B$105,0)),"Other"))</f>
        <v/>
      </c>
      <c r="V967">
        <f>IF(B967="","",IF(COUNTIF($B$6:B967,B967)=1,1,0))</f>
        <v/>
      </c>
      <c r="W967">
        <f>IF(B967="","",B967-WEEKDAY(B967,3))</f>
        <v/>
      </c>
      <c r="X967">
        <f>IF(D967="","",MAX(IF(N(F967)=0,0,IF(N(E967)&gt;0,E967*(1+F967/30),F967)),IF(N(H967)=0,0,IF(N(G967)&gt;0,G967*(1+H967/30),H967)),IF(N(J967)=0,0,IF(N(I967)&gt;0,I967*(1+J967/30),J967)),IF(N(L967)=0,0,IF(N(K967)&gt;0,K967*(1+L967/30),L967)),IF(N(N967)=0,0,IF(N(M967)&gt;0,M967*(1+N967/30),N967))))</f>
        <v/>
      </c>
      <c r="Y967">
        <f>IF(N(X967)=0,"",X967+ROW()/1000000000)</f>
        <v/>
      </c>
      <c r="Z967">
        <f>IF(Y967="","",IF(COUNTIFS(Log!$D$6:$D$1505,D967,Log!$Y$6:$Y$1505,"&gt;"&amp;Y967)=0,1,0))</f>
        <v/>
      </c>
      <c r="AA967">
        <f>IF(OR(B967="",D967=""),"",B967+ROW()/10000000)</f>
        <v/>
      </c>
      <c r="AB967">
        <f>IF(AA967="","",IF(COUNTIFS(Log!$D$6:$D$1505,D967,Log!$AA$6:$AA$1505,"&gt;"&amp;AA967)=0,1,0))</f>
        <v/>
      </c>
      <c r="AC967">
        <f>IF(S967="New best",AA967,"")</f>
        <v/>
      </c>
      <c r="AD967">
        <f>ROW()</f>
        <v/>
      </c>
    </row>
    <row r="968">
      <c r="A968" s="1" t="n"/>
      <c r="B968" s="21" t="n"/>
      <c r="C968" s="22" t="n"/>
      <c r="D968" s="23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15">
        <f>IF(D968="","",COUNT(F968,H968,J968,L968,N968))</f>
        <v/>
      </c>
      <c r="P968" s="25">
        <f>IF(D968="","",N(E968)*N(F968)+N(G968)*N(H968)+N(I968)*N(J968)+N(K968)*N(L968)+N(M968)*N(N968))</f>
        <v/>
      </c>
      <c r="Q968" s="18">
        <f>IF(N(X968)=0,"",IF(IF(N(F968)=0,0,IF(N(E968)&gt;0,E968*(1+F968/30),F968))=X968,IF(N(E968)&gt;0,E968&amp;" x "&amp;F968,F968&amp;" reps"),IF(IF(N(H968)=0,0,IF(N(G968)&gt;0,G968*(1+H968/30),H968))=X968,IF(N(G968)&gt;0,G968&amp;" x "&amp;H968,H968&amp;" reps"),IF(IF(N(J968)=0,0,IF(N(I968)&gt;0,I968*(1+J968/30),J968))=X968,IF(N(I968)&gt;0,I968&amp;" x "&amp;J968,J968&amp;" reps"),IF(IF(N(L968)=0,0,IF(N(K968)&gt;0,K968*(1+L968/30),L968))=X968,IF(N(K968)&gt;0,K968&amp;" x "&amp;L968,L968&amp;" reps"),IF(IF(N(N968)=0,0,IF(N(M968)&gt;0,M968*(1+N968/30),N968))=X968,IF(N(M968)&gt;0,M968&amp;" x "&amp;N968,N968&amp;" reps"),""))))))</f>
        <v/>
      </c>
      <c r="R968" s="20">
        <f>IF(N(X968)=0,"",ROUND(X968,1))</f>
        <v/>
      </c>
      <c r="S968" s="18">
        <f>IF(N(X968)=0,"",IF(AND(COUNTIFS(Log!$D$6:$D$1505,D968,Log!$B$6:$B$1505,"&lt;"&amp;B968)&gt;0,COUNTIFS(Log!$D$6:$D$1505,D968,Log!$B$6:$B$1505,"&lt;"&amp;B968,Log!$X$6:$X$1505,"&gt;="&amp;X968)=0),"New best",""))</f>
        <v/>
      </c>
      <c r="T968" s="26" t="n"/>
      <c r="U968" s="1">
        <f>IF(D968="","",IFERROR(INDEX(Exercises!$C$6:$C$105,MATCH(D968,Exercises!$B$6:$B$105,0)),"Other"))</f>
        <v/>
      </c>
      <c r="V968">
        <f>IF(B968="","",IF(COUNTIF($B$6:B968,B968)=1,1,0))</f>
        <v/>
      </c>
      <c r="W968">
        <f>IF(B968="","",B968-WEEKDAY(B968,3))</f>
        <v/>
      </c>
      <c r="X968">
        <f>IF(D968="","",MAX(IF(N(F968)=0,0,IF(N(E968)&gt;0,E968*(1+F968/30),F968)),IF(N(H968)=0,0,IF(N(G968)&gt;0,G968*(1+H968/30),H968)),IF(N(J968)=0,0,IF(N(I968)&gt;0,I968*(1+J968/30),J968)),IF(N(L968)=0,0,IF(N(K968)&gt;0,K968*(1+L968/30),L968)),IF(N(N968)=0,0,IF(N(M968)&gt;0,M968*(1+N968/30),N968))))</f>
        <v/>
      </c>
      <c r="Y968">
        <f>IF(N(X968)=0,"",X968+ROW()/1000000000)</f>
        <v/>
      </c>
      <c r="Z968">
        <f>IF(Y968="","",IF(COUNTIFS(Log!$D$6:$D$1505,D968,Log!$Y$6:$Y$1505,"&gt;"&amp;Y968)=0,1,0))</f>
        <v/>
      </c>
      <c r="AA968">
        <f>IF(OR(B968="",D968=""),"",B968+ROW()/10000000)</f>
        <v/>
      </c>
      <c r="AB968">
        <f>IF(AA968="","",IF(COUNTIFS(Log!$D$6:$D$1505,D968,Log!$AA$6:$AA$1505,"&gt;"&amp;AA968)=0,1,0))</f>
        <v/>
      </c>
      <c r="AC968">
        <f>IF(S968="New best",AA968,"")</f>
        <v/>
      </c>
      <c r="AD968">
        <f>ROW()</f>
        <v/>
      </c>
    </row>
    <row r="969">
      <c r="A969" s="1" t="n"/>
      <c r="B969" s="21" t="n"/>
      <c r="C969" s="22" t="n"/>
      <c r="D969" s="23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15">
        <f>IF(D969="","",COUNT(F969,H969,J969,L969,N969))</f>
        <v/>
      </c>
      <c r="P969" s="25">
        <f>IF(D969="","",N(E969)*N(F969)+N(G969)*N(H969)+N(I969)*N(J969)+N(K969)*N(L969)+N(M969)*N(N969))</f>
        <v/>
      </c>
      <c r="Q969" s="18">
        <f>IF(N(X969)=0,"",IF(IF(N(F969)=0,0,IF(N(E969)&gt;0,E969*(1+F969/30),F969))=X969,IF(N(E969)&gt;0,E969&amp;" x "&amp;F969,F969&amp;" reps"),IF(IF(N(H969)=0,0,IF(N(G969)&gt;0,G969*(1+H969/30),H969))=X969,IF(N(G969)&gt;0,G969&amp;" x "&amp;H969,H969&amp;" reps"),IF(IF(N(J969)=0,0,IF(N(I969)&gt;0,I969*(1+J969/30),J969))=X969,IF(N(I969)&gt;0,I969&amp;" x "&amp;J969,J969&amp;" reps"),IF(IF(N(L969)=0,0,IF(N(K969)&gt;0,K969*(1+L969/30),L969))=X969,IF(N(K969)&gt;0,K969&amp;" x "&amp;L969,L969&amp;" reps"),IF(IF(N(N969)=0,0,IF(N(M969)&gt;0,M969*(1+N969/30),N969))=X969,IF(N(M969)&gt;0,M969&amp;" x "&amp;N969,N969&amp;" reps"),""))))))</f>
        <v/>
      </c>
      <c r="R969" s="20">
        <f>IF(N(X969)=0,"",ROUND(X969,1))</f>
        <v/>
      </c>
      <c r="S969" s="18">
        <f>IF(N(X969)=0,"",IF(AND(COUNTIFS(Log!$D$6:$D$1505,D969,Log!$B$6:$B$1505,"&lt;"&amp;B969)&gt;0,COUNTIFS(Log!$D$6:$D$1505,D969,Log!$B$6:$B$1505,"&lt;"&amp;B969,Log!$X$6:$X$1505,"&gt;="&amp;X969)=0),"New best",""))</f>
        <v/>
      </c>
      <c r="T969" s="26" t="n"/>
      <c r="U969" s="1">
        <f>IF(D969="","",IFERROR(INDEX(Exercises!$C$6:$C$105,MATCH(D969,Exercises!$B$6:$B$105,0)),"Other"))</f>
        <v/>
      </c>
      <c r="V969">
        <f>IF(B969="","",IF(COUNTIF($B$6:B969,B969)=1,1,0))</f>
        <v/>
      </c>
      <c r="W969">
        <f>IF(B969="","",B969-WEEKDAY(B969,3))</f>
        <v/>
      </c>
      <c r="X969">
        <f>IF(D969="","",MAX(IF(N(F969)=0,0,IF(N(E969)&gt;0,E969*(1+F969/30),F969)),IF(N(H969)=0,0,IF(N(G969)&gt;0,G969*(1+H969/30),H969)),IF(N(J969)=0,0,IF(N(I969)&gt;0,I969*(1+J969/30),J969)),IF(N(L969)=0,0,IF(N(K969)&gt;0,K969*(1+L969/30),L969)),IF(N(N969)=0,0,IF(N(M969)&gt;0,M969*(1+N969/30),N969))))</f>
        <v/>
      </c>
      <c r="Y969">
        <f>IF(N(X969)=0,"",X969+ROW()/1000000000)</f>
        <v/>
      </c>
      <c r="Z969">
        <f>IF(Y969="","",IF(COUNTIFS(Log!$D$6:$D$1505,D969,Log!$Y$6:$Y$1505,"&gt;"&amp;Y969)=0,1,0))</f>
        <v/>
      </c>
      <c r="AA969">
        <f>IF(OR(B969="",D969=""),"",B969+ROW()/10000000)</f>
        <v/>
      </c>
      <c r="AB969">
        <f>IF(AA969="","",IF(COUNTIFS(Log!$D$6:$D$1505,D969,Log!$AA$6:$AA$1505,"&gt;"&amp;AA969)=0,1,0))</f>
        <v/>
      </c>
      <c r="AC969">
        <f>IF(S969="New best",AA969,"")</f>
        <v/>
      </c>
      <c r="AD969">
        <f>ROW()</f>
        <v/>
      </c>
    </row>
    <row r="970">
      <c r="A970" s="1" t="n"/>
      <c r="B970" s="21" t="n"/>
      <c r="C970" s="22" t="n"/>
      <c r="D970" s="23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15">
        <f>IF(D970="","",COUNT(F970,H970,J970,L970,N970))</f>
        <v/>
      </c>
      <c r="P970" s="25">
        <f>IF(D970="","",N(E970)*N(F970)+N(G970)*N(H970)+N(I970)*N(J970)+N(K970)*N(L970)+N(M970)*N(N970))</f>
        <v/>
      </c>
      <c r="Q970" s="18">
        <f>IF(N(X970)=0,"",IF(IF(N(F970)=0,0,IF(N(E970)&gt;0,E970*(1+F970/30),F970))=X970,IF(N(E970)&gt;0,E970&amp;" x "&amp;F970,F970&amp;" reps"),IF(IF(N(H970)=0,0,IF(N(G970)&gt;0,G970*(1+H970/30),H970))=X970,IF(N(G970)&gt;0,G970&amp;" x "&amp;H970,H970&amp;" reps"),IF(IF(N(J970)=0,0,IF(N(I970)&gt;0,I970*(1+J970/30),J970))=X970,IF(N(I970)&gt;0,I970&amp;" x "&amp;J970,J970&amp;" reps"),IF(IF(N(L970)=0,0,IF(N(K970)&gt;0,K970*(1+L970/30),L970))=X970,IF(N(K970)&gt;0,K970&amp;" x "&amp;L970,L970&amp;" reps"),IF(IF(N(N970)=0,0,IF(N(M970)&gt;0,M970*(1+N970/30),N970))=X970,IF(N(M970)&gt;0,M970&amp;" x "&amp;N970,N970&amp;" reps"),""))))))</f>
        <v/>
      </c>
      <c r="R970" s="20">
        <f>IF(N(X970)=0,"",ROUND(X970,1))</f>
        <v/>
      </c>
      <c r="S970" s="18">
        <f>IF(N(X970)=0,"",IF(AND(COUNTIFS(Log!$D$6:$D$1505,D970,Log!$B$6:$B$1505,"&lt;"&amp;B970)&gt;0,COUNTIFS(Log!$D$6:$D$1505,D970,Log!$B$6:$B$1505,"&lt;"&amp;B970,Log!$X$6:$X$1505,"&gt;="&amp;X970)=0),"New best",""))</f>
        <v/>
      </c>
      <c r="T970" s="26" t="n"/>
      <c r="U970" s="1">
        <f>IF(D970="","",IFERROR(INDEX(Exercises!$C$6:$C$105,MATCH(D970,Exercises!$B$6:$B$105,0)),"Other"))</f>
        <v/>
      </c>
      <c r="V970">
        <f>IF(B970="","",IF(COUNTIF($B$6:B970,B970)=1,1,0))</f>
        <v/>
      </c>
      <c r="W970">
        <f>IF(B970="","",B970-WEEKDAY(B970,3))</f>
        <v/>
      </c>
      <c r="X970">
        <f>IF(D970="","",MAX(IF(N(F970)=0,0,IF(N(E970)&gt;0,E970*(1+F970/30),F970)),IF(N(H970)=0,0,IF(N(G970)&gt;0,G970*(1+H970/30),H970)),IF(N(J970)=0,0,IF(N(I970)&gt;0,I970*(1+J970/30),J970)),IF(N(L970)=0,0,IF(N(K970)&gt;0,K970*(1+L970/30),L970)),IF(N(N970)=0,0,IF(N(M970)&gt;0,M970*(1+N970/30),N970))))</f>
        <v/>
      </c>
      <c r="Y970">
        <f>IF(N(X970)=0,"",X970+ROW()/1000000000)</f>
        <v/>
      </c>
      <c r="Z970">
        <f>IF(Y970="","",IF(COUNTIFS(Log!$D$6:$D$1505,D970,Log!$Y$6:$Y$1505,"&gt;"&amp;Y970)=0,1,0))</f>
        <v/>
      </c>
      <c r="AA970">
        <f>IF(OR(B970="",D970=""),"",B970+ROW()/10000000)</f>
        <v/>
      </c>
      <c r="AB970">
        <f>IF(AA970="","",IF(COUNTIFS(Log!$D$6:$D$1505,D970,Log!$AA$6:$AA$1505,"&gt;"&amp;AA970)=0,1,0))</f>
        <v/>
      </c>
      <c r="AC970">
        <f>IF(S970="New best",AA970,"")</f>
        <v/>
      </c>
      <c r="AD970">
        <f>ROW()</f>
        <v/>
      </c>
    </row>
    <row r="971">
      <c r="A971" s="1" t="n"/>
      <c r="B971" s="21" t="n"/>
      <c r="C971" s="22" t="n"/>
      <c r="D971" s="23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15">
        <f>IF(D971="","",COUNT(F971,H971,J971,L971,N971))</f>
        <v/>
      </c>
      <c r="P971" s="25">
        <f>IF(D971="","",N(E971)*N(F971)+N(G971)*N(H971)+N(I971)*N(J971)+N(K971)*N(L971)+N(M971)*N(N971))</f>
        <v/>
      </c>
      <c r="Q971" s="18">
        <f>IF(N(X971)=0,"",IF(IF(N(F971)=0,0,IF(N(E971)&gt;0,E971*(1+F971/30),F971))=X971,IF(N(E971)&gt;0,E971&amp;" x "&amp;F971,F971&amp;" reps"),IF(IF(N(H971)=0,0,IF(N(G971)&gt;0,G971*(1+H971/30),H971))=X971,IF(N(G971)&gt;0,G971&amp;" x "&amp;H971,H971&amp;" reps"),IF(IF(N(J971)=0,0,IF(N(I971)&gt;0,I971*(1+J971/30),J971))=X971,IF(N(I971)&gt;0,I971&amp;" x "&amp;J971,J971&amp;" reps"),IF(IF(N(L971)=0,0,IF(N(K971)&gt;0,K971*(1+L971/30),L971))=X971,IF(N(K971)&gt;0,K971&amp;" x "&amp;L971,L971&amp;" reps"),IF(IF(N(N971)=0,0,IF(N(M971)&gt;0,M971*(1+N971/30),N971))=X971,IF(N(M971)&gt;0,M971&amp;" x "&amp;N971,N971&amp;" reps"),""))))))</f>
        <v/>
      </c>
      <c r="R971" s="20">
        <f>IF(N(X971)=0,"",ROUND(X971,1))</f>
        <v/>
      </c>
      <c r="S971" s="18">
        <f>IF(N(X971)=0,"",IF(AND(COUNTIFS(Log!$D$6:$D$1505,D971,Log!$B$6:$B$1505,"&lt;"&amp;B971)&gt;0,COUNTIFS(Log!$D$6:$D$1505,D971,Log!$B$6:$B$1505,"&lt;"&amp;B971,Log!$X$6:$X$1505,"&gt;="&amp;X971)=0),"New best",""))</f>
        <v/>
      </c>
      <c r="T971" s="26" t="n"/>
      <c r="U971" s="1">
        <f>IF(D971="","",IFERROR(INDEX(Exercises!$C$6:$C$105,MATCH(D971,Exercises!$B$6:$B$105,0)),"Other"))</f>
        <v/>
      </c>
      <c r="V971">
        <f>IF(B971="","",IF(COUNTIF($B$6:B971,B971)=1,1,0))</f>
        <v/>
      </c>
      <c r="W971">
        <f>IF(B971="","",B971-WEEKDAY(B971,3))</f>
        <v/>
      </c>
      <c r="X971">
        <f>IF(D971="","",MAX(IF(N(F971)=0,0,IF(N(E971)&gt;0,E971*(1+F971/30),F971)),IF(N(H971)=0,0,IF(N(G971)&gt;0,G971*(1+H971/30),H971)),IF(N(J971)=0,0,IF(N(I971)&gt;0,I971*(1+J971/30),J971)),IF(N(L971)=0,0,IF(N(K971)&gt;0,K971*(1+L971/30),L971)),IF(N(N971)=0,0,IF(N(M971)&gt;0,M971*(1+N971/30),N971))))</f>
        <v/>
      </c>
      <c r="Y971">
        <f>IF(N(X971)=0,"",X971+ROW()/1000000000)</f>
        <v/>
      </c>
      <c r="Z971">
        <f>IF(Y971="","",IF(COUNTIFS(Log!$D$6:$D$1505,D971,Log!$Y$6:$Y$1505,"&gt;"&amp;Y971)=0,1,0))</f>
        <v/>
      </c>
      <c r="AA971">
        <f>IF(OR(B971="",D971=""),"",B971+ROW()/10000000)</f>
        <v/>
      </c>
      <c r="AB971">
        <f>IF(AA971="","",IF(COUNTIFS(Log!$D$6:$D$1505,D971,Log!$AA$6:$AA$1505,"&gt;"&amp;AA971)=0,1,0))</f>
        <v/>
      </c>
      <c r="AC971">
        <f>IF(S971="New best",AA971,"")</f>
        <v/>
      </c>
      <c r="AD971">
        <f>ROW()</f>
        <v/>
      </c>
    </row>
    <row r="972">
      <c r="A972" s="1" t="n"/>
      <c r="B972" s="21" t="n"/>
      <c r="C972" s="22" t="n"/>
      <c r="D972" s="23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15">
        <f>IF(D972="","",COUNT(F972,H972,J972,L972,N972))</f>
        <v/>
      </c>
      <c r="P972" s="25">
        <f>IF(D972="","",N(E972)*N(F972)+N(G972)*N(H972)+N(I972)*N(J972)+N(K972)*N(L972)+N(M972)*N(N972))</f>
        <v/>
      </c>
      <c r="Q972" s="18">
        <f>IF(N(X972)=0,"",IF(IF(N(F972)=0,0,IF(N(E972)&gt;0,E972*(1+F972/30),F972))=X972,IF(N(E972)&gt;0,E972&amp;" x "&amp;F972,F972&amp;" reps"),IF(IF(N(H972)=0,0,IF(N(G972)&gt;0,G972*(1+H972/30),H972))=X972,IF(N(G972)&gt;0,G972&amp;" x "&amp;H972,H972&amp;" reps"),IF(IF(N(J972)=0,0,IF(N(I972)&gt;0,I972*(1+J972/30),J972))=X972,IF(N(I972)&gt;0,I972&amp;" x "&amp;J972,J972&amp;" reps"),IF(IF(N(L972)=0,0,IF(N(K972)&gt;0,K972*(1+L972/30),L972))=X972,IF(N(K972)&gt;0,K972&amp;" x "&amp;L972,L972&amp;" reps"),IF(IF(N(N972)=0,0,IF(N(M972)&gt;0,M972*(1+N972/30),N972))=X972,IF(N(M972)&gt;0,M972&amp;" x "&amp;N972,N972&amp;" reps"),""))))))</f>
        <v/>
      </c>
      <c r="R972" s="20">
        <f>IF(N(X972)=0,"",ROUND(X972,1))</f>
        <v/>
      </c>
      <c r="S972" s="18">
        <f>IF(N(X972)=0,"",IF(AND(COUNTIFS(Log!$D$6:$D$1505,D972,Log!$B$6:$B$1505,"&lt;"&amp;B972)&gt;0,COUNTIFS(Log!$D$6:$D$1505,D972,Log!$B$6:$B$1505,"&lt;"&amp;B972,Log!$X$6:$X$1505,"&gt;="&amp;X972)=0),"New best",""))</f>
        <v/>
      </c>
      <c r="T972" s="26" t="n"/>
      <c r="U972" s="1">
        <f>IF(D972="","",IFERROR(INDEX(Exercises!$C$6:$C$105,MATCH(D972,Exercises!$B$6:$B$105,0)),"Other"))</f>
        <v/>
      </c>
      <c r="V972">
        <f>IF(B972="","",IF(COUNTIF($B$6:B972,B972)=1,1,0))</f>
        <v/>
      </c>
      <c r="W972">
        <f>IF(B972="","",B972-WEEKDAY(B972,3))</f>
        <v/>
      </c>
      <c r="X972">
        <f>IF(D972="","",MAX(IF(N(F972)=0,0,IF(N(E972)&gt;0,E972*(1+F972/30),F972)),IF(N(H972)=0,0,IF(N(G972)&gt;0,G972*(1+H972/30),H972)),IF(N(J972)=0,0,IF(N(I972)&gt;0,I972*(1+J972/30),J972)),IF(N(L972)=0,0,IF(N(K972)&gt;0,K972*(1+L972/30),L972)),IF(N(N972)=0,0,IF(N(M972)&gt;0,M972*(1+N972/30),N972))))</f>
        <v/>
      </c>
      <c r="Y972">
        <f>IF(N(X972)=0,"",X972+ROW()/1000000000)</f>
        <v/>
      </c>
      <c r="Z972">
        <f>IF(Y972="","",IF(COUNTIFS(Log!$D$6:$D$1505,D972,Log!$Y$6:$Y$1505,"&gt;"&amp;Y972)=0,1,0))</f>
        <v/>
      </c>
      <c r="AA972">
        <f>IF(OR(B972="",D972=""),"",B972+ROW()/10000000)</f>
        <v/>
      </c>
      <c r="AB972">
        <f>IF(AA972="","",IF(COUNTIFS(Log!$D$6:$D$1505,D972,Log!$AA$6:$AA$1505,"&gt;"&amp;AA972)=0,1,0))</f>
        <v/>
      </c>
      <c r="AC972">
        <f>IF(S972="New best",AA972,"")</f>
        <v/>
      </c>
      <c r="AD972">
        <f>ROW()</f>
        <v/>
      </c>
    </row>
    <row r="973">
      <c r="A973" s="1" t="n"/>
      <c r="B973" s="21" t="n"/>
      <c r="C973" s="22" t="n"/>
      <c r="D973" s="23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15">
        <f>IF(D973="","",COUNT(F973,H973,J973,L973,N973))</f>
        <v/>
      </c>
      <c r="P973" s="25">
        <f>IF(D973="","",N(E973)*N(F973)+N(G973)*N(H973)+N(I973)*N(J973)+N(K973)*N(L973)+N(M973)*N(N973))</f>
        <v/>
      </c>
      <c r="Q973" s="18">
        <f>IF(N(X973)=0,"",IF(IF(N(F973)=0,0,IF(N(E973)&gt;0,E973*(1+F973/30),F973))=X973,IF(N(E973)&gt;0,E973&amp;" x "&amp;F973,F973&amp;" reps"),IF(IF(N(H973)=0,0,IF(N(G973)&gt;0,G973*(1+H973/30),H973))=X973,IF(N(G973)&gt;0,G973&amp;" x "&amp;H973,H973&amp;" reps"),IF(IF(N(J973)=0,0,IF(N(I973)&gt;0,I973*(1+J973/30),J973))=X973,IF(N(I973)&gt;0,I973&amp;" x "&amp;J973,J973&amp;" reps"),IF(IF(N(L973)=0,0,IF(N(K973)&gt;0,K973*(1+L973/30),L973))=X973,IF(N(K973)&gt;0,K973&amp;" x "&amp;L973,L973&amp;" reps"),IF(IF(N(N973)=0,0,IF(N(M973)&gt;0,M973*(1+N973/30),N973))=X973,IF(N(M973)&gt;0,M973&amp;" x "&amp;N973,N973&amp;" reps"),""))))))</f>
        <v/>
      </c>
      <c r="R973" s="20">
        <f>IF(N(X973)=0,"",ROUND(X973,1))</f>
        <v/>
      </c>
      <c r="S973" s="18">
        <f>IF(N(X973)=0,"",IF(AND(COUNTIFS(Log!$D$6:$D$1505,D973,Log!$B$6:$B$1505,"&lt;"&amp;B973)&gt;0,COUNTIFS(Log!$D$6:$D$1505,D973,Log!$B$6:$B$1505,"&lt;"&amp;B973,Log!$X$6:$X$1505,"&gt;="&amp;X973)=0),"New best",""))</f>
        <v/>
      </c>
      <c r="T973" s="26" t="n"/>
      <c r="U973" s="1">
        <f>IF(D973="","",IFERROR(INDEX(Exercises!$C$6:$C$105,MATCH(D973,Exercises!$B$6:$B$105,0)),"Other"))</f>
        <v/>
      </c>
      <c r="V973">
        <f>IF(B973="","",IF(COUNTIF($B$6:B973,B973)=1,1,0))</f>
        <v/>
      </c>
      <c r="W973">
        <f>IF(B973="","",B973-WEEKDAY(B973,3))</f>
        <v/>
      </c>
      <c r="X973">
        <f>IF(D973="","",MAX(IF(N(F973)=0,0,IF(N(E973)&gt;0,E973*(1+F973/30),F973)),IF(N(H973)=0,0,IF(N(G973)&gt;0,G973*(1+H973/30),H973)),IF(N(J973)=0,0,IF(N(I973)&gt;0,I973*(1+J973/30),J973)),IF(N(L973)=0,0,IF(N(K973)&gt;0,K973*(1+L973/30),L973)),IF(N(N973)=0,0,IF(N(M973)&gt;0,M973*(1+N973/30),N973))))</f>
        <v/>
      </c>
      <c r="Y973">
        <f>IF(N(X973)=0,"",X973+ROW()/1000000000)</f>
        <v/>
      </c>
      <c r="Z973">
        <f>IF(Y973="","",IF(COUNTIFS(Log!$D$6:$D$1505,D973,Log!$Y$6:$Y$1505,"&gt;"&amp;Y973)=0,1,0))</f>
        <v/>
      </c>
      <c r="AA973">
        <f>IF(OR(B973="",D973=""),"",B973+ROW()/10000000)</f>
        <v/>
      </c>
      <c r="AB973">
        <f>IF(AA973="","",IF(COUNTIFS(Log!$D$6:$D$1505,D973,Log!$AA$6:$AA$1505,"&gt;"&amp;AA973)=0,1,0))</f>
        <v/>
      </c>
      <c r="AC973">
        <f>IF(S973="New best",AA973,"")</f>
        <v/>
      </c>
      <c r="AD973">
        <f>ROW()</f>
        <v/>
      </c>
    </row>
    <row r="974">
      <c r="A974" s="1" t="n"/>
      <c r="B974" s="21" t="n"/>
      <c r="C974" s="22" t="n"/>
      <c r="D974" s="23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15">
        <f>IF(D974="","",COUNT(F974,H974,J974,L974,N974))</f>
        <v/>
      </c>
      <c r="P974" s="25">
        <f>IF(D974="","",N(E974)*N(F974)+N(G974)*N(H974)+N(I974)*N(J974)+N(K974)*N(L974)+N(M974)*N(N974))</f>
        <v/>
      </c>
      <c r="Q974" s="18">
        <f>IF(N(X974)=0,"",IF(IF(N(F974)=0,0,IF(N(E974)&gt;0,E974*(1+F974/30),F974))=X974,IF(N(E974)&gt;0,E974&amp;" x "&amp;F974,F974&amp;" reps"),IF(IF(N(H974)=0,0,IF(N(G974)&gt;0,G974*(1+H974/30),H974))=X974,IF(N(G974)&gt;0,G974&amp;" x "&amp;H974,H974&amp;" reps"),IF(IF(N(J974)=0,0,IF(N(I974)&gt;0,I974*(1+J974/30),J974))=X974,IF(N(I974)&gt;0,I974&amp;" x "&amp;J974,J974&amp;" reps"),IF(IF(N(L974)=0,0,IF(N(K974)&gt;0,K974*(1+L974/30),L974))=X974,IF(N(K974)&gt;0,K974&amp;" x "&amp;L974,L974&amp;" reps"),IF(IF(N(N974)=0,0,IF(N(M974)&gt;0,M974*(1+N974/30),N974))=X974,IF(N(M974)&gt;0,M974&amp;" x "&amp;N974,N974&amp;" reps"),""))))))</f>
        <v/>
      </c>
      <c r="R974" s="20">
        <f>IF(N(X974)=0,"",ROUND(X974,1))</f>
        <v/>
      </c>
      <c r="S974" s="18">
        <f>IF(N(X974)=0,"",IF(AND(COUNTIFS(Log!$D$6:$D$1505,D974,Log!$B$6:$B$1505,"&lt;"&amp;B974)&gt;0,COUNTIFS(Log!$D$6:$D$1505,D974,Log!$B$6:$B$1505,"&lt;"&amp;B974,Log!$X$6:$X$1505,"&gt;="&amp;X974)=0),"New best",""))</f>
        <v/>
      </c>
      <c r="T974" s="26" t="n"/>
      <c r="U974" s="1">
        <f>IF(D974="","",IFERROR(INDEX(Exercises!$C$6:$C$105,MATCH(D974,Exercises!$B$6:$B$105,0)),"Other"))</f>
        <v/>
      </c>
      <c r="V974">
        <f>IF(B974="","",IF(COUNTIF($B$6:B974,B974)=1,1,0))</f>
        <v/>
      </c>
      <c r="W974">
        <f>IF(B974="","",B974-WEEKDAY(B974,3))</f>
        <v/>
      </c>
      <c r="X974">
        <f>IF(D974="","",MAX(IF(N(F974)=0,0,IF(N(E974)&gt;0,E974*(1+F974/30),F974)),IF(N(H974)=0,0,IF(N(G974)&gt;0,G974*(1+H974/30),H974)),IF(N(J974)=0,0,IF(N(I974)&gt;0,I974*(1+J974/30),J974)),IF(N(L974)=0,0,IF(N(K974)&gt;0,K974*(1+L974/30),L974)),IF(N(N974)=0,0,IF(N(M974)&gt;0,M974*(1+N974/30),N974))))</f>
        <v/>
      </c>
      <c r="Y974">
        <f>IF(N(X974)=0,"",X974+ROW()/1000000000)</f>
        <v/>
      </c>
      <c r="Z974">
        <f>IF(Y974="","",IF(COUNTIFS(Log!$D$6:$D$1505,D974,Log!$Y$6:$Y$1505,"&gt;"&amp;Y974)=0,1,0))</f>
        <v/>
      </c>
      <c r="AA974">
        <f>IF(OR(B974="",D974=""),"",B974+ROW()/10000000)</f>
        <v/>
      </c>
      <c r="AB974">
        <f>IF(AA974="","",IF(COUNTIFS(Log!$D$6:$D$1505,D974,Log!$AA$6:$AA$1505,"&gt;"&amp;AA974)=0,1,0))</f>
        <v/>
      </c>
      <c r="AC974">
        <f>IF(S974="New best",AA974,"")</f>
        <v/>
      </c>
      <c r="AD974">
        <f>ROW()</f>
        <v/>
      </c>
    </row>
    <row r="975">
      <c r="A975" s="1" t="n"/>
      <c r="B975" s="21" t="n"/>
      <c r="C975" s="22" t="n"/>
      <c r="D975" s="23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15">
        <f>IF(D975="","",COUNT(F975,H975,J975,L975,N975))</f>
        <v/>
      </c>
      <c r="P975" s="25">
        <f>IF(D975="","",N(E975)*N(F975)+N(G975)*N(H975)+N(I975)*N(J975)+N(K975)*N(L975)+N(M975)*N(N975))</f>
        <v/>
      </c>
      <c r="Q975" s="18">
        <f>IF(N(X975)=0,"",IF(IF(N(F975)=0,0,IF(N(E975)&gt;0,E975*(1+F975/30),F975))=X975,IF(N(E975)&gt;0,E975&amp;" x "&amp;F975,F975&amp;" reps"),IF(IF(N(H975)=0,0,IF(N(G975)&gt;0,G975*(1+H975/30),H975))=X975,IF(N(G975)&gt;0,G975&amp;" x "&amp;H975,H975&amp;" reps"),IF(IF(N(J975)=0,0,IF(N(I975)&gt;0,I975*(1+J975/30),J975))=X975,IF(N(I975)&gt;0,I975&amp;" x "&amp;J975,J975&amp;" reps"),IF(IF(N(L975)=0,0,IF(N(K975)&gt;0,K975*(1+L975/30),L975))=X975,IF(N(K975)&gt;0,K975&amp;" x "&amp;L975,L975&amp;" reps"),IF(IF(N(N975)=0,0,IF(N(M975)&gt;0,M975*(1+N975/30),N975))=X975,IF(N(M975)&gt;0,M975&amp;" x "&amp;N975,N975&amp;" reps"),""))))))</f>
        <v/>
      </c>
      <c r="R975" s="20">
        <f>IF(N(X975)=0,"",ROUND(X975,1))</f>
        <v/>
      </c>
      <c r="S975" s="18">
        <f>IF(N(X975)=0,"",IF(AND(COUNTIFS(Log!$D$6:$D$1505,D975,Log!$B$6:$B$1505,"&lt;"&amp;B975)&gt;0,COUNTIFS(Log!$D$6:$D$1505,D975,Log!$B$6:$B$1505,"&lt;"&amp;B975,Log!$X$6:$X$1505,"&gt;="&amp;X975)=0),"New best",""))</f>
        <v/>
      </c>
      <c r="T975" s="26" t="n"/>
      <c r="U975" s="1">
        <f>IF(D975="","",IFERROR(INDEX(Exercises!$C$6:$C$105,MATCH(D975,Exercises!$B$6:$B$105,0)),"Other"))</f>
        <v/>
      </c>
      <c r="V975">
        <f>IF(B975="","",IF(COUNTIF($B$6:B975,B975)=1,1,0))</f>
        <v/>
      </c>
      <c r="W975">
        <f>IF(B975="","",B975-WEEKDAY(B975,3))</f>
        <v/>
      </c>
      <c r="X975">
        <f>IF(D975="","",MAX(IF(N(F975)=0,0,IF(N(E975)&gt;0,E975*(1+F975/30),F975)),IF(N(H975)=0,0,IF(N(G975)&gt;0,G975*(1+H975/30),H975)),IF(N(J975)=0,0,IF(N(I975)&gt;0,I975*(1+J975/30),J975)),IF(N(L975)=0,0,IF(N(K975)&gt;0,K975*(1+L975/30),L975)),IF(N(N975)=0,0,IF(N(M975)&gt;0,M975*(1+N975/30),N975))))</f>
        <v/>
      </c>
      <c r="Y975">
        <f>IF(N(X975)=0,"",X975+ROW()/1000000000)</f>
        <v/>
      </c>
      <c r="Z975">
        <f>IF(Y975="","",IF(COUNTIFS(Log!$D$6:$D$1505,D975,Log!$Y$6:$Y$1505,"&gt;"&amp;Y975)=0,1,0))</f>
        <v/>
      </c>
      <c r="AA975">
        <f>IF(OR(B975="",D975=""),"",B975+ROW()/10000000)</f>
        <v/>
      </c>
      <c r="AB975">
        <f>IF(AA975="","",IF(COUNTIFS(Log!$D$6:$D$1505,D975,Log!$AA$6:$AA$1505,"&gt;"&amp;AA975)=0,1,0))</f>
        <v/>
      </c>
      <c r="AC975">
        <f>IF(S975="New best",AA975,"")</f>
        <v/>
      </c>
      <c r="AD975">
        <f>ROW()</f>
        <v/>
      </c>
    </row>
    <row r="976">
      <c r="A976" s="1" t="n"/>
      <c r="B976" s="21" t="n"/>
      <c r="C976" s="22" t="n"/>
      <c r="D976" s="23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15">
        <f>IF(D976="","",COUNT(F976,H976,J976,L976,N976))</f>
        <v/>
      </c>
      <c r="P976" s="25">
        <f>IF(D976="","",N(E976)*N(F976)+N(G976)*N(H976)+N(I976)*N(J976)+N(K976)*N(L976)+N(M976)*N(N976))</f>
        <v/>
      </c>
      <c r="Q976" s="18">
        <f>IF(N(X976)=0,"",IF(IF(N(F976)=0,0,IF(N(E976)&gt;0,E976*(1+F976/30),F976))=X976,IF(N(E976)&gt;0,E976&amp;" x "&amp;F976,F976&amp;" reps"),IF(IF(N(H976)=0,0,IF(N(G976)&gt;0,G976*(1+H976/30),H976))=X976,IF(N(G976)&gt;0,G976&amp;" x "&amp;H976,H976&amp;" reps"),IF(IF(N(J976)=0,0,IF(N(I976)&gt;0,I976*(1+J976/30),J976))=X976,IF(N(I976)&gt;0,I976&amp;" x "&amp;J976,J976&amp;" reps"),IF(IF(N(L976)=0,0,IF(N(K976)&gt;0,K976*(1+L976/30),L976))=X976,IF(N(K976)&gt;0,K976&amp;" x "&amp;L976,L976&amp;" reps"),IF(IF(N(N976)=0,0,IF(N(M976)&gt;0,M976*(1+N976/30),N976))=X976,IF(N(M976)&gt;0,M976&amp;" x "&amp;N976,N976&amp;" reps"),""))))))</f>
        <v/>
      </c>
      <c r="R976" s="20">
        <f>IF(N(X976)=0,"",ROUND(X976,1))</f>
        <v/>
      </c>
      <c r="S976" s="18">
        <f>IF(N(X976)=0,"",IF(AND(COUNTIFS(Log!$D$6:$D$1505,D976,Log!$B$6:$B$1505,"&lt;"&amp;B976)&gt;0,COUNTIFS(Log!$D$6:$D$1505,D976,Log!$B$6:$B$1505,"&lt;"&amp;B976,Log!$X$6:$X$1505,"&gt;="&amp;X976)=0),"New best",""))</f>
        <v/>
      </c>
      <c r="T976" s="26" t="n"/>
      <c r="U976" s="1">
        <f>IF(D976="","",IFERROR(INDEX(Exercises!$C$6:$C$105,MATCH(D976,Exercises!$B$6:$B$105,0)),"Other"))</f>
        <v/>
      </c>
      <c r="V976">
        <f>IF(B976="","",IF(COUNTIF($B$6:B976,B976)=1,1,0))</f>
        <v/>
      </c>
      <c r="W976">
        <f>IF(B976="","",B976-WEEKDAY(B976,3))</f>
        <v/>
      </c>
      <c r="X976">
        <f>IF(D976="","",MAX(IF(N(F976)=0,0,IF(N(E976)&gt;0,E976*(1+F976/30),F976)),IF(N(H976)=0,0,IF(N(G976)&gt;0,G976*(1+H976/30),H976)),IF(N(J976)=0,0,IF(N(I976)&gt;0,I976*(1+J976/30),J976)),IF(N(L976)=0,0,IF(N(K976)&gt;0,K976*(1+L976/30),L976)),IF(N(N976)=0,0,IF(N(M976)&gt;0,M976*(1+N976/30),N976))))</f>
        <v/>
      </c>
      <c r="Y976">
        <f>IF(N(X976)=0,"",X976+ROW()/1000000000)</f>
        <v/>
      </c>
      <c r="Z976">
        <f>IF(Y976="","",IF(COUNTIFS(Log!$D$6:$D$1505,D976,Log!$Y$6:$Y$1505,"&gt;"&amp;Y976)=0,1,0))</f>
        <v/>
      </c>
      <c r="AA976">
        <f>IF(OR(B976="",D976=""),"",B976+ROW()/10000000)</f>
        <v/>
      </c>
      <c r="AB976">
        <f>IF(AA976="","",IF(COUNTIFS(Log!$D$6:$D$1505,D976,Log!$AA$6:$AA$1505,"&gt;"&amp;AA976)=0,1,0))</f>
        <v/>
      </c>
      <c r="AC976">
        <f>IF(S976="New best",AA976,"")</f>
        <v/>
      </c>
      <c r="AD976">
        <f>ROW()</f>
        <v/>
      </c>
    </row>
    <row r="977">
      <c r="A977" s="1" t="n"/>
      <c r="B977" s="21" t="n"/>
      <c r="C977" s="22" t="n"/>
      <c r="D977" s="23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15">
        <f>IF(D977="","",COUNT(F977,H977,J977,L977,N977))</f>
        <v/>
      </c>
      <c r="P977" s="25">
        <f>IF(D977="","",N(E977)*N(F977)+N(G977)*N(H977)+N(I977)*N(J977)+N(K977)*N(L977)+N(M977)*N(N977))</f>
        <v/>
      </c>
      <c r="Q977" s="18">
        <f>IF(N(X977)=0,"",IF(IF(N(F977)=0,0,IF(N(E977)&gt;0,E977*(1+F977/30),F977))=X977,IF(N(E977)&gt;0,E977&amp;" x "&amp;F977,F977&amp;" reps"),IF(IF(N(H977)=0,0,IF(N(G977)&gt;0,G977*(1+H977/30),H977))=X977,IF(N(G977)&gt;0,G977&amp;" x "&amp;H977,H977&amp;" reps"),IF(IF(N(J977)=0,0,IF(N(I977)&gt;0,I977*(1+J977/30),J977))=X977,IF(N(I977)&gt;0,I977&amp;" x "&amp;J977,J977&amp;" reps"),IF(IF(N(L977)=0,0,IF(N(K977)&gt;0,K977*(1+L977/30),L977))=X977,IF(N(K977)&gt;0,K977&amp;" x "&amp;L977,L977&amp;" reps"),IF(IF(N(N977)=0,0,IF(N(M977)&gt;0,M977*(1+N977/30),N977))=X977,IF(N(M977)&gt;0,M977&amp;" x "&amp;N977,N977&amp;" reps"),""))))))</f>
        <v/>
      </c>
      <c r="R977" s="20">
        <f>IF(N(X977)=0,"",ROUND(X977,1))</f>
        <v/>
      </c>
      <c r="S977" s="18">
        <f>IF(N(X977)=0,"",IF(AND(COUNTIFS(Log!$D$6:$D$1505,D977,Log!$B$6:$B$1505,"&lt;"&amp;B977)&gt;0,COUNTIFS(Log!$D$6:$D$1505,D977,Log!$B$6:$B$1505,"&lt;"&amp;B977,Log!$X$6:$X$1505,"&gt;="&amp;X977)=0),"New best",""))</f>
        <v/>
      </c>
      <c r="T977" s="26" t="n"/>
      <c r="U977" s="1">
        <f>IF(D977="","",IFERROR(INDEX(Exercises!$C$6:$C$105,MATCH(D977,Exercises!$B$6:$B$105,0)),"Other"))</f>
        <v/>
      </c>
      <c r="V977">
        <f>IF(B977="","",IF(COUNTIF($B$6:B977,B977)=1,1,0))</f>
        <v/>
      </c>
      <c r="W977">
        <f>IF(B977="","",B977-WEEKDAY(B977,3))</f>
        <v/>
      </c>
      <c r="X977">
        <f>IF(D977="","",MAX(IF(N(F977)=0,0,IF(N(E977)&gt;0,E977*(1+F977/30),F977)),IF(N(H977)=0,0,IF(N(G977)&gt;0,G977*(1+H977/30),H977)),IF(N(J977)=0,0,IF(N(I977)&gt;0,I977*(1+J977/30),J977)),IF(N(L977)=0,0,IF(N(K977)&gt;0,K977*(1+L977/30),L977)),IF(N(N977)=0,0,IF(N(M977)&gt;0,M977*(1+N977/30),N977))))</f>
        <v/>
      </c>
      <c r="Y977">
        <f>IF(N(X977)=0,"",X977+ROW()/1000000000)</f>
        <v/>
      </c>
      <c r="Z977">
        <f>IF(Y977="","",IF(COUNTIFS(Log!$D$6:$D$1505,D977,Log!$Y$6:$Y$1505,"&gt;"&amp;Y977)=0,1,0))</f>
        <v/>
      </c>
      <c r="AA977">
        <f>IF(OR(B977="",D977=""),"",B977+ROW()/10000000)</f>
        <v/>
      </c>
      <c r="AB977">
        <f>IF(AA977="","",IF(COUNTIFS(Log!$D$6:$D$1505,D977,Log!$AA$6:$AA$1505,"&gt;"&amp;AA977)=0,1,0))</f>
        <v/>
      </c>
      <c r="AC977">
        <f>IF(S977="New best",AA977,"")</f>
        <v/>
      </c>
      <c r="AD977">
        <f>ROW()</f>
        <v/>
      </c>
    </row>
    <row r="978">
      <c r="A978" s="1" t="n"/>
      <c r="B978" s="21" t="n"/>
      <c r="C978" s="22" t="n"/>
      <c r="D978" s="23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15">
        <f>IF(D978="","",COUNT(F978,H978,J978,L978,N978))</f>
        <v/>
      </c>
      <c r="P978" s="25">
        <f>IF(D978="","",N(E978)*N(F978)+N(G978)*N(H978)+N(I978)*N(J978)+N(K978)*N(L978)+N(M978)*N(N978))</f>
        <v/>
      </c>
      <c r="Q978" s="18">
        <f>IF(N(X978)=0,"",IF(IF(N(F978)=0,0,IF(N(E978)&gt;0,E978*(1+F978/30),F978))=X978,IF(N(E978)&gt;0,E978&amp;" x "&amp;F978,F978&amp;" reps"),IF(IF(N(H978)=0,0,IF(N(G978)&gt;0,G978*(1+H978/30),H978))=X978,IF(N(G978)&gt;0,G978&amp;" x "&amp;H978,H978&amp;" reps"),IF(IF(N(J978)=0,0,IF(N(I978)&gt;0,I978*(1+J978/30),J978))=X978,IF(N(I978)&gt;0,I978&amp;" x "&amp;J978,J978&amp;" reps"),IF(IF(N(L978)=0,0,IF(N(K978)&gt;0,K978*(1+L978/30),L978))=X978,IF(N(K978)&gt;0,K978&amp;" x "&amp;L978,L978&amp;" reps"),IF(IF(N(N978)=0,0,IF(N(M978)&gt;0,M978*(1+N978/30),N978))=X978,IF(N(M978)&gt;0,M978&amp;" x "&amp;N978,N978&amp;" reps"),""))))))</f>
        <v/>
      </c>
      <c r="R978" s="20">
        <f>IF(N(X978)=0,"",ROUND(X978,1))</f>
        <v/>
      </c>
      <c r="S978" s="18">
        <f>IF(N(X978)=0,"",IF(AND(COUNTIFS(Log!$D$6:$D$1505,D978,Log!$B$6:$B$1505,"&lt;"&amp;B978)&gt;0,COUNTIFS(Log!$D$6:$D$1505,D978,Log!$B$6:$B$1505,"&lt;"&amp;B978,Log!$X$6:$X$1505,"&gt;="&amp;X978)=0),"New best",""))</f>
        <v/>
      </c>
      <c r="T978" s="26" t="n"/>
      <c r="U978" s="1">
        <f>IF(D978="","",IFERROR(INDEX(Exercises!$C$6:$C$105,MATCH(D978,Exercises!$B$6:$B$105,0)),"Other"))</f>
        <v/>
      </c>
      <c r="V978">
        <f>IF(B978="","",IF(COUNTIF($B$6:B978,B978)=1,1,0))</f>
        <v/>
      </c>
      <c r="W978">
        <f>IF(B978="","",B978-WEEKDAY(B978,3))</f>
        <v/>
      </c>
      <c r="X978">
        <f>IF(D978="","",MAX(IF(N(F978)=0,0,IF(N(E978)&gt;0,E978*(1+F978/30),F978)),IF(N(H978)=0,0,IF(N(G978)&gt;0,G978*(1+H978/30),H978)),IF(N(J978)=0,0,IF(N(I978)&gt;0,I978*(1+J978/30),J978)),IF(N(L978)=0,0,IF(N(K978)&gt;0,K978*(1+L978/30),L978)),IF(N(N978)=0,0,IF(N(M978)&gt;0,M978*(1+N978/30),N978))))</f>
        <v/>
      </c>
      <c r="Y978">
        <f>IF(N(X978)=0,"",X978+ROW()/1000000000)</f>
        <v/>
      </c>
      <c r="Z978">
        <f>IF(Y978="","",IF(COUNTIFS(Log!$D$6:$D$1505,D978,Log!$Y$6:$Y$1505,"&gt;"&amp;Y978)=0,1,0))</f>
        <v/>
      </c>
      <c r="AA978">
        <f>IF(OR(B978="",D978=""),"",B978+ROW()/10000000)</f>
        <v/>
      </c>
      <c r="AB978">
        <f>IF(AA978="","",IF(COUNTIFS(Log!$D$6:$D$1505,D978,Log!$AA$6:$AA$1505,"&gt;"&amp;AA978)=0,1,0))</f>
        <v/>
      </c>
      <c r="AC978">
        <f>IF(S978="New best",AA978,"")</f>
        <v/>
      </c>
      <c r="AD978">
        <f>ROW()</f>
        <v/>
      </c>
    </row>
    <row r="979">
      <c r="A979" s="1" t="n"/>
      <c r="B979" s="21" t="n"/>
      <c r="C979" s="22" t="n"/>
      <c r="D979" s="23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15">
        <f>IF(D979="","",COUNT(F979,H979,J979,L979,N979))</f>
        <v/>
      </c>
      <c r="P979" s="25">
        <f>IF(D979="","",N(E979)*N(F979)+N(G979)*N(H979)+N(I979)*N(J979)+N(K979)*N(L979)+N(M979)*N(N979))</f>
        <v/>
      </c>
      <c r="Q979" s="18">
        <f>IF(N(X979)=0,"",IF(IF(N(F979)=0,0,IF(N(E979)&gt;0,E979*(1+F979/30),F979))=X979,IF(N(E979)&gt;0,E979&amp;" x "&amp;F979,F979&amp;" reps"),IF(IF(N(H979)=0,0,IF(N(G979)&gt;0,G979*(1+H979/30),H979))=X979,IF(N(G979)&gt;0,G979&amp;" x "&amp;H979,H979&amp;" reps"),IF(IF(N(J979)=0,0,IF(N(I979)&gt;0,I979*(1+J979/30),J979))=X979,IF(N(I979)&gt;0,I979&amp;" x "&amp;J979,J979&amp;" reps"),IF(IF(N(L979)=0,0,IF(N(K979)&gt;0,K979*(1+L979/30),L979))=X979,IF(N(K979)&gt;0,K979&amp;" x "&amp;L979,L979&amp;" reps"),IF(IF(N(N979)=0,0,IF(N(M979)&gt;0,M979*(1+N979/30),N979))=X979,IF(N(M979)&gt;0,M979&amp;" x "&amp;N979,N979&amp;" reps"),""))))))</f>
        <v/>
      </c>
      <c r="R979" s="20">
        <f>IF(N(X979)=0,"",ROUND(X979,1))</f>
        <v/>
      </c>
      <c r="S979" s="18">
        <f>IF(N(X979)=0,"",IF(AND(COUNTIFS(Log!$D$6:$D$1505,D979,Log!$B$6:$B$1505,"&lt;"&amp;B979)&gt;0,COUNTIFS(Log!$D$6:$D$1505,D979,Log!$B$6:$B$1505,"&lt;"&amp;B979,Log!$X$6:$X$1505,"&gt;="&amp;X979)=0),"New best",""))</f>
        <v/>
      </c>
      <c r="T979" s="26" t="n"/>
      <c r="U979" s="1">
        <f>IF(D979="","",IFERROR(INDEX(Exercises!$C$6:$C$105,MATCH(D979,Exercises!$B$6:$B$105,0)),"Other"))</f>
        <v/>
      </c>
      <c r="V979">
        <f>IF(B979="","",IF(COUNTIF($B$6:B979,B979)=1,1,0))</f>
        <v/>
      </c>
      <c r="W979">
        <f>IF(B979="","",B979-WEEKDAY(B979,3))</f>
        <v/>
      </c>
      <c r="X979">
        <f>IF(D979="","",MAX(IF(N(F979)=0,0,IF(N(E979)&gt;0,E979*(1+F979/30),F979)),IF(N(H979)=0,0,IF(N(G979)&gt;0,G979*(1+H979/30),H979)),IF(N(J979)=0,0,IF(N(I979)&gt;0,I979*(1+J979/30),J979)),IF(N(L979)=0,0,IF(N(K979)&gt;0,K979*(1+L979/30),L979)),IF(N(N979)=0,0,IF(N(M979)&gt;0,M979*(1+N979/30),N979))))</f>
        <v/>
      </c>
      <c r="Y979">
        <f>IF(N(X979)=0,"",X979+ROW()/1000000000)</f>
        <v/>
      </c>
      <c r="Z979">
        <f>IF(Y979="","",IF(COUNTIFS(Log!$D$6:$D$1505,D979,Log!$Y$6:$Y$1505,"&gt;"&amp;Y979)=0,1,0))</f>
        <v/>
      </c>
      <c r="AA979">
        <f>IF(OR(B979="",D979=""),"",B979+ROW()/10000000)</f>
        <v/>
      </c>
      <c r="AB979">
        <f>IF(AA979="","",IF(COUNTIFS(Log!$D$6:$D$1505,D979,Log!$AA$6:$AA$1505,"&gt;"&amp;AA979)=0,1,0))</f>
        <v/>
      </c>
      <c r="AC979">
        <f>IF(S979="New best",AA979,"")</f>
        <v/>
      </c>
      <c r="AD979">
        <f>ROW()</f>
        <v/>
      </c>
    </row>
    <row r="980">
      <c r="A980" s="1" t="n"/>
      <c r="B980" s="21" t="n"/>
      <c r="C980" s="22" t="n"/>
      <c r="D980" s="23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15">
        <f>IF(D980="","",COUNT(F980,H980,J980,L980,N980))</f>
        <v/>
      </c>
      <c r="P980" s="25">
        <f>IF(D980="","",N(E980)*N(F980)+N(G980)*N(H980)+N(I980)*N(J980)+N(K980)*N(L980)+N(M980)*N(N980))</f>
        <v/>
      </c>
      <c r="Q980" s="18">
        <f>IF(N(X980)=0,"",IF(IF(N(F980)=0,0,IF(N(E980)&gt;0,E980*(1+F980/30),F980))=X980,IF(N(E980)&gt;0,E980&amp;" x "&amp;F980,F980&amp;" reps"),IF(IF(N(H980)=0,0,IF(N(G980)&gt;0,G980*(1+H980/30),H980))=X980,IF(N(G980)&gt;0,G980&amp;" x "&amp;H980,H980&amp;" reps"),IF(IF(N(J980)=0,0,IF(N(I980)&gt;0,I980*(1+J980/30),J980))=X980,IF(N(I980)&gt;0,I980&amp;" x "&amp;J980,J980&amp;" reps"),IF(IF(N(L980)=0,0,IF(N(K980)&gt;0,K980*(1+L980/30),L980))=X980,IF(N(K980)&gt;0,K980&amp;" x "&amp;L980,L980&amp;" reps"),IF(IF(N(N980)=0,0,IF(N(M980)&gt;0,M980*(1+N980/30),N980))=X980,IF(N(M980)&gt;0,M980&amp;" x "&amp;N980,N980&amp;" reps"),""))))))</f>
        <v/>
      </c>
      <c r="R980" s="20">
        <f>IF(N(X980)=0,"",ROUND(X980,1))</f>
        <v/>
      </c>
      <c r="S980" s="18">
        <f>IF(N(X980)=0,"",IF(AND(COUNTIFS(Log!$D$6:$D$1505,D980,Log!$B$6:$B$1505,"&lt;"&amp;B980)&gt;0,COUNTIFS(Log!$D$6:$D$1505,D980,Log!$B$6:$B$1505,"&lt;"&amp;B980,Log!$X$6:$X$1505,"&gt;="&amp;X980)=0),"New best",""))</f>
        <v/>
      </c>
      <c r="T980" s="26" t="n"/>
      <c r="U980" s="1">
        <f>IF(D980="","",IFERROR(INDEX(Exercises!$C$6:$C$105,MATCH(D980,Exercises!$B$6:$B$105,0)),"Other"))</f>
        <v/>
      </c>
      <c r="V980">
        <f>IF(B980="","",IF(COUNTIF($B$6:B980,B980)=1,1,0))</f>
        <v/>
      </c>
      <c r="W980">
        <f>IF(B980="","",B980-WEEKDAY(B980,3))</f>
        <v/>
      </c>
      <c r="X980">
        <f>IF(D980="","",MAX(IF(N(F980)=0,0,IF(N(E980)&gt;0,E980*(1+F980/30),F980)),IF(N(H980)=0,0,IF(N(G980)&gt;0,G980*(1+H980/30),H980)),IF(N(J980)=0,0,IF(N(I980)&gt;0,I980*(1+J980/30),J980)),IF(N(L980)=0,0,IF(N(K980)&gt;0,K980*(1+L980/30),L980)),IF(N(N980)=0,0,IF(N(M980)&gt;0,M980*(1+N980/30),N980))))</f>
        <v/>
      </c>
      <c r="Y980">
        <f>IF(N(X980)=0,"",X980+ROW()/1000000000)</f>
        <v/>
      </c>
      <c r="Z980">
        <f>IF(Y980="","",IF(COUNTIFS(Log!$D$6:$D$1505,D980,Log!$Y$6:$Y$1505,"&gt;"&amp;Y980)=0,1,0))</f>
        <v/>
      </c>
      <c r="AA980">
        <f>IF(OR(B980="",D980=""),"",B980+ROW()/10000000)</f>
        <v/>
      </c>
      <c r="AB980">
        <f>IF(AA980="","",IF(COUNTIFS(Log!$D$6:$D$1505,D980,Log!$AA$6:$AA$1505,"&gt;"&amp;AA980)=0,1,0))</f>
        <v/>
      </c>
      <c r="AC980">
        <f>IF(S980="New best",AA980,"")</f>
        <v/>
      </c>
      <c r="AD980">
        <f>ROW()</f>
        <v/>
      </c>
    </row>
    <row r="981">
      <c r="A981" s="1" t="n"/>
      <c r="B981" s="21" t="n"/>
      <c r="C981" s="22" t="n"/>
      <c r="D981" s="23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15">
        <f>IF(D981="","",COUNT(F981,H981,J981,L981,N981))</f>
        <v/>
      </c>
      <c r="P981" s="25">
        <f>IF(D981="","",N(E981)*N(F981)+N(G981)*N(H981)+N(I981)*N(J981)+N(K981)*N(L981)+N(M981)*N(N981))</f>
        <v/>
      </c>
      <c r="Q981" s="18">
        <f>IF(N(X981)=0,"",IF(IF(N(F981)=0,0,IF(N(E981)&gt;0,E981*(1+F981/30),F981))=X981,IF(N(E981)&gt;0,E981&amp;" x "&amp;F981,F981&amp;" reps"),IF(IF(N(H981)=0,0,IF(N(G981)&gt;0,G981*(1+H981/30),H981))=X981,IF(N(G981)&gt;0,G981&amp;" x "&amp;H981,H981&amp;" reps"),IF(IF(N(J981)=0,0,IF(N(I981)&gt;0,I981*(1+J981/30),J981))=X981,IF(N(I981)&gt;0,I981&amp;" x "&amp;J981,J981&amp;" reps"),IF(IF(N(L981)=0,0,IF(N(K981)&gt;0,K981*(1+L981/30),L981))=X981,IF(N(K981)&gt;0,K981&amp;" x "&amp;L981,L981&amp;" reps"),IF(IF(N(N981)=0,0,IF(N(M981)&gt;0,M981*(1+N981/30),N981))=X981,IF(N(M981)&gt;0,M981&amp;" x "&amp;N981,N981&amp;" reps"),""))))))</f>
        <v/>
      </c>
      <c r="R981" s="20">
        <f>IF(N(X981)=0,"",ROUND(X981,1))</f>
        <v/>
      </c>
      <c r="S981" s="18">
        <f>IF(N(X981)=0,"",IF(AND(COUNTIFS(Log!$D$6:$D$1505,D981,Log!$B$6:$B$1505,"&lt;"&amp;B981)&gt;0,COUNTIFS(Log!$D$6:$D$1505,D981,Log!$B$6:$B$1505,"&lt;"&amp;B981,Log!$X$6:$X$1505,"&gt;="&amp;X981)=0),"New best",""))</f>
        <v/>
      </c>
      <c r="T981" s="26" t="n"/>
      <c r="U981" s="1">
        <f>IF(D981="","",IFERROR(INDEX(Exercises!$C$6:$C$105,MATCH(D981,Exercises!$B$6:$B$105,0)),"Other"))</f>
        <v/>
      </c>
      <c r="V981">
        <f>IF(B981="","",IF(COUNTIF($B$6:B981,B981)=1,1,0))</f>
        <v/>
      </c>
      <c r="W981">
        <f>IF(B981="","",B981-WEEKDAY(B981,3))</f>
        <v/>
      </c>
      <c r="X981">
        <f>IF(D981="","",MAX(IF(N(F981)=0,0,IF(N(E981)&gt;0,E981*(1+F981/30),F981)),IF(N(H981)=0,0,IF(N(G981)&gt;0,G981*(1+H981/30),H981)),IF(N(J981)=0,0,IF(N(I981)&gt;0,I981*(1+J981/30),J981)),IF(N(L981)=0,0,IF(N(K981)&gt;0,K981*(1+L981/30),L981)),IF(N(N981)=0,0,IF(N(M981)&gt;0,M981*(1+N981/30),N981))))</f>
        <v/>
      </c>
      <c r="Y981">
        <f>IF(N(X981)=0,"",X981+ROW()/1000000000)</f>
        <v/>
      </c>
      <c r="Z981">
        <f>IF(Y981="","",IF(COUNTIFS(Log!$D$6:$D$1505,D981,Log!$Y$6:$Y$1505,"&gt;"&amp;Y981)=0,1,0))</f>
        <v/>
      </c>
      <c r="AA981">
        <f>IF(OR(B981="",D981=""),"",B981+ROW()/10000000)</f>
        <v/>
      </c>
      <c r="AB981">
        <f>IF(AA981="","",IF(COUNTIFS(Log!$D$6:$D$1505,D981,Log!$AA$6:$AA$1505,"&gt;"&amp;AA981)=0,1,0))</f>
        <v/>
      </c>
      <c r="AC981">
        <f>IF(S981="New best",AA981,"")</f>
        <v/>
      </c>
      <c r="AD981">
        <f>ROW()</f>
        <v/>
      </c>
    </row>
    <row r="982">
      <c r="A982" s="1" t="n"/>
      <c r="B982" s="21" t="n"/>
      <c r="C982" s="22" t="n"/>
      <c r="D982" s="23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15">
        <f>IF(D982="","",COUNT(F982,H982,J982,L982,N982))</f>
        <v/>
      </c>
      <c r="P982" s="25">
        <f>IF(D982="","",N(E982)*N(F982)+N(G982)*N(H982)+N(I982)*N(J982)+N(K982)*N(L982)+N(M982)*N(N982))</f>
        <v/>
      </c>
      <c r="Q982" s="18">
        <f>IF(N(X982)=0,"",IF(IF(N(F982)=0,0,IF(N(E982)&gt;0,E982*(1+F982/30),F982))=X982,IF(N(E982)&gt;0,E982&amp;" x "&amp;F982,F982&amp;" reps"),IF(IF(N(H982)=0,0,IF(N(G982)&gt;0,G982*(1+H982/30),H982))=X982,IF(N(G982)&gt;0,G982&amp;" x "&amp;H982,H982&amp;" reps"),IF(IF(N(J982)=0,0,IF(N(I982)&gt;0,I982*(1+J982/30),J982))=X982,IF(N(I982)&gt;0,I982&amp;" x "&amp;J982,J982&amp;" reps"),IF(IF(N(L982)=0,0,IF(N(K982)&gt;0,K982*(1+L982/30),L982))=X982,IF(N(K982)&gt;0,K982&amp;" x "&amp;L982,L982&amp;" reps"),IF(IF(N(N982)=0,0,IF(N(M982)&gt;0,M982*(1+N982/30),N982))=X982,IF(N(M982)&gt;0,M982&amp;" x "&amp;N982,N982&amp;" reps"),""))))))</f>
        <v/>
      </c>
      <c r="R982" s="20">
        <f>IF(N(X982)=0,"",ROUND(X982,1))</f>
        <v/>
      </c>
      <c r="S982" s="18">
        <f>IF(N(X982)=0,"",IF(AND(COUNTIFS(Log!$D$6:$D$1505,D982,Log!$B$6:$B$1505,"&lt;"&amp;B982)&gt;0,COUNTIFS(Log!$D$6:$D$1505,D982,Log!$B$6:$B$1505,"&lt;"&amp;B982,Log!$X$6:$X$1505,"&gt;="&amp;X982)=0),"New best",""))</f>
        <v/>
      </c>
      <c r="T982" s="26" t="n"/>
      <c r="U982" s="1">
        <f>IF(D982="","",IFERROR(INDEX(Exercises!$C$6:$C$105,MATCH(D982,Exercises!$B$6:$B$105,0)),"Other"))</f>
        <v/>
      </c>
      <c r="V982">
        <f>IF(B982="","",IF(COUNTIF($B$6:B982,B982)=1,1,0))</f>
        <v/>
      </c>
      <c r="W982">
        <f>IF(B982="","",B982-WEEKDAY(B982,3))</f>
        <v/>
      </c>
      <c r="X982">
        <f>IF(D982="","",MAX(IF(N(F982)=0,0,IF(N(E982)&gt;0,E982*(1+F982/30),F982)),IF(N(H982)=0,0,IF(N(G982)&gt;0,G982*(1+H982/30),H982)),IF(N(J982)=0,0,IF(N(I982)&gt;0,I982*(1+J982/30),J982)),IF(N(L982)=0,0,IF(N(K982)&gt;0,K982*(1+L982/30),L982)),IF(N(N982)=0,0,IF(N(M982)&gt;0,M982*(1+N982/30),N982))))</f>
        <v/>
      </c>
      <c r="Y982">
        <f>IF(N(X982)=0,"",X982+ROW()/1000000000)</f>
        <v/>
      </c>
      <c r="Z982">
        <f>IF(Y982="","",IF(COUNTIFS(Log!$D$6:$D$1505,D982,Log!$Y$6:$Y$1505,"&gt;"&amp;Y982)=0,1,0))</f>
        <v/>
      </c>
      <c r="AA982">
        <f>IF(OR(B982="",D982=""),"",B982+ROW()/10000000)</f>
        <v/>
      </c>
      <c r="AB982">
        <f>IF(AA982="","",IF(COUNTIFS(Log!$D$6:$D$1505,D982,Log!$AA$6:$AA$1505,"&gt;"&amp;AA982)=0,1,0))</f>
        <v/>
      </c>
      <c r="AC982">
        <f>IF(S982="New best",AA982,"")</f>
        <v/>
      </c>
      <c r="AD982">
        <f>ROW()</f>
        <v/>
      </c>
    </row>
    <row r="983">
      <c r="A983" s="1" t="n"/>
      <c r="B983" s="21" t="n"/>
      <c r="C983" s="22" t="n"/>
      <c r="D983" s="23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15">
        <f>IF(D983="","",COUNT(F983,H983,J983,L983,N983))</f>
        <v/>
      </c>
      <c r="P983" s="25">
        <f>IF(D983="","",N(E983)*N(F983)+N(G983)*N(H983)+N(I983)*N(J983)+N(K983)*N(L983)+N(M983)*N(N983))</f>
        <v/>
      </c>
      <c r="Q983" s="18">
        <f>IF(N(X983)=0,"",IF(IF(N(F983)=0,0,IF(N(E983)&gt;0,E983*(1+F983/30),F983))=X983,IF(N(E983)&gt;0,E983&amp;" x "&amp;F983,F983&amp;" reps"),IF(IF(N(H983)=0,0,IF(N(G983)&gt;0,G983*(1+H983/30),H983))=X983,IF(N(G983)&gt;0,G983&amp;" x "&amp;H983,H983&amp;" reps"),IF(IF(N(J983)=0,0,IF(N(I983)&gt;0,I983*(1+J983/30),J983))=X983,IF(N(I983)&gt;0,I983&amp;" x "&amp;J983,J983&amp;" reps"),IF(IF(N(L983)=0,0,IF(N(K983)&gt;0,K983*(1+L983/30),L983))=X983,IF(N(K983)&gt;0,K983&amp;" x "&amp;L983,L983&amp;" reps"),IF(IF(N(N983)=0,0,IF(N(M983)&gt;0,M983*(1+N983/30),N983))=X983,IF(N(M983)&gt;0,M983&amp;" x "&amp;N983,N983&amp;" reps"),""))))))</f>
        <v/>
      </c>
      <c r="R983" s="20">
        <f>IF(N(X983)=0,"",ROUND(X983,1))</f>
        <v/>
      </c>
      <c r="S983" s="18">
        <f>IF(N(X983)=0,"",IF(AND(COUNTIFS(Log!$D$6:$D$1505,D983,Log!$B$6:$B$1505,"&lt;"&amp;B983)&gt;0,COUNTIFS(Log!$D$6:$D$1505,D983,Log!$B$6:$B$1505,"&lt;"&amp;B983,Log!$X$6:$X$1505,"&gt;="&amp;X983)=0),"New best",""))</f>
        <v/>
      </c>
      <c r="T983" s="26" t="n"/>
      <c r="U983" s="1">
        <f>IF(D983="","",IFERROR(INDEX(Exercises!$C$6:$C$105,MATCH(D983,Exercises!$B$6:$B$105,0)),"Other"))</f>
        <v/>
      </c>
      <c r="V983">
        <f>IF(B983="","",IF(COUNTIF($B$6:B983,B983)=1,1,0))</f>
        <v/>
      </c>
      <c r="W983">
        <f>IF(B983="","",B983-WEEKDAY(B983,3))</f>
        <v/>
      </c>
      <c r="X983">
        <f>IF(D983="","",MAX(IF(N(F983)=0,0,IF(N(E983)&gt;0,E983*(1+F983/30),F983)),IF(N(H983)=0,0,IF(N(G983)&gt;0,G983*(1+H983/30),H983)),IF(N(J983)=0,0,IF(N(I983)&gt;0,I983*(1+J983/30),J983)),IF(N(L983)=0,0,IF(N(K983)&gt;0,K983*(1+L983/30),L983)),IF(N(N983)=0,0,IF(N(M983)&gt;0,M983*(1+N983/30),N983))))</f>
        <v/>
      </c>
      <c r="Y983">
        <f>IF(N(X983)=0,"",X983+ROW()/1000000000)</f>
        <v/>
      </c>
      <c r="Z983">
        <f>IF(Y983="","",IF(COUNTIFS(Log!$D$6:$D$1505,D983,Log!$Y$6:$Y$1505,"&gt;"&amp;Y983)=0,1,0))</f>
        <v/>
      </c>
      <c r="AA983">
        <f>IF(OR(B983="",D983=""),"",B983+ROW()/10000000)</f>
        <v/>
      </c>
      <c r="AB983">
        <f>IF(AA983="","",IF(COUNTIFS(Log!$D$6:$D$1505,D983,Log!$AA$6:$AA$1505,"&gt;"&amp;AA983)=0,1,0))</f>
        <v/>
      </c>
      <c r="AC983">
        <f>IF(S983="New best",AA983,"")</f>
        <v/>
      </c>
      <c r="AD983">
        <f>ROW()</f>
        <v/>
      </c>
    </row>
    <row r="984">
      <c r="A984" s="1" t="n"/>
      <c r="B984" s="21" t="n"/>
      <c r="C984" s="22" t="n"/>
      <c r="D984" s="23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15">
        <f>IF(D984="","",COUNT(F984,H984,J984,L984,N984))</f>
        <v/>
      </c>
      <c r="P984" s="25">
        <f>IF(D984="","",N(E984)*N(F984)+N(G984)*N(H984)+N(I984)*N(J984)+N(K984)*N(L984)+N(M984)*N(N984))</f>
        <v/>
      </c>
      <c r="Q984" s="18">
        <f>IF(N(X984)=0,"",IF(IF(N(F984)=0,0,IF(N(E984)&gt;0,E984*(1+F984/30),F984))=X984,IF(N(E984)&gt;0,E984&amp;" x "&amp;F984,F984&amp;" reps"),IF(IF(N(H984)=0,0,IF(N(G984)&gt;0,G984*(1+H984/30),H984))=X984,IF(N(G984)&gt;0,G984&amp;" x "&amp;H984,H984&amp;" reps"),IF(IF(N(J984)=0,0,IF(N(I984)&gt;0,I984*(1+J984/30),J984))=X984,IF(N(I984)&gt;0,I984&amp;" x "&amp;J984,J984&amp;" reps"),IF(IF(N(L984)=0,0,IF(N(K984)&gt;0,K984*(1+L984/30),L984))=X984,IF(N(K984)&gt;0,K984&amp;" x "&amp;L984,L984&amp;" reps"),IF(IF(N(N984)=0,0,IF(N(M984)&gt;0,M984*(1+N984/30),N984))=X984,IF(N(M984)&gt;0,M984&amp;" x "&amp;N984,N984&amp;" reps"),""))))))</f>
        <v/>
      </c>
      <c r="R984" s="20">
        <f>IF(N(X984)=0,"",ROUND(X984,1))</f>
        <v/>
      </c>
      <c r="S984" s="18">
        <f>IF(N(X984)=0,"",IF(AND(COUNTIFS(Log!$D$6:$D$1505,D984,Log!$B$6:$B$1505,"&lt;"&amp;B984)&gt;0,COUNTIFS(Log!$D$6:$D$1505,D984,Log!$B$6:$B$1505,"&lt;"&amp;B984,Log!$X$6:$X$1505,"&gt;="&amp;X984)=0),"New best",""))</f>
        <v/>
      </c>
      <c r="T984" s="26" t="n"/>
      <c r="U984" s="1">
        <f>IF(D984="","",IFERROR(INDEX(Exercises!$C$6:$C$105,MATCH(D984,Exercises!$B$6:$B$105,0)),"Other"))</f>
        <v/>
      </c>
      <c r="V984">
        <f>IF(B984="","",IF(COUNTIF($B$6:B984,B984)=1,1,0))</f>
        <v/>
      </c>
      <c r="W984">
        <f>IF(B984="","",B984-WEEKDAY(B984,3))</f>
        <v/>
      </c>
      <c r="X984">
        <f>IF(D984="","",MAX(IF(N(F984)=0,0,IF(N(E984)&gt;0,E984*(1+F984/30),F984)),IF(N(H984)=0,0,IF(N(G984)&gt;0,G984*(1+H984/30),H984)),IF(N(J984)=0,0,IF(N(I984)&gt;0,I984*(1+J984/30),J984)),IF(N(L984)=0,0,IF(N(K984)&gt;0,K984*(1+L984/30),L984)),IF(N(N984)=0,0,IF(N(M984)&gt;0,M984*(1+N984/30),N984))))</f>
        <v/>
      </c>
      <c r="Y984">
        <f>IF(N(X984)=0,"",X984+ROW()/1000000000)</f>
        <v/>
      </c>
      <c r="Z984">
        <f>IF(Y984="","",IF(COUNTIFS(Log!$D$6:$D$1505,D984,Log!$Y$6:$Y$1505,"&gt;"&amp;Y984)=0,1,0))</f>
        <v/>
      </c>
      <c r="AA984">
        <f>IF(OR(B984="",D984=""),"",B984+ROW()/10000000)</f>
        <v/>
      </c>
      <c r="AB984">
        <f>IF(AA984="","",IF(COUNTIFS(Log!$D$6:$D$1505,D984,Log!$AA$6:$AA$1505,"&gt;"&amp;AA984)=0,1,0))</f>
        <v/>
      </c>
      <c r="AC984">
        <f>IF(S984="New best",AA984,"")</f>
        <v/>
      </c>
      <c r="AD984">
        <f>ROW()</f>
        <v/>
      </c>
    </row>
    <row r="985">
      <c r="A985" s="1" t="n"/>
      <c r="B985" s="21" t="n"/>
      <c r="C985" s="22" t="n"/>
      <c r="D985" s="23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15">
        <f>IF(D985="","",COUNT(F985,H985,J985,L985,N985))</f>
        <v/>
      </c>
      <c r="P985" s="25">
        <f>IF(D985="","",N(E985)*N(F985)+N(G985)*N(H985)+N(I985)*N(J985)+N(K985)*N(L985)+N(M985)*N(N985))</f>
        <v/>
      </c>
      <c r="Q985" s="18">
        <f>IF(N(X985)=0,"",IF(IF(N(F985)=0,0,IF(N(E985)&gt;0,E985*(1+F985/30),F985))=X985,IF(N(E985)&gt;0,E985&amp;" x "&amp;F985,F985&amp;" reps"),IF(IF(N(H985)=0,0,IF(N(G985)&gt;0,G985*(1+H985/30),H985))=X985,IF(N(G985)&gt;0,G985&amp;" x "&amp;H985,H985&amp;" reps"),IF(IF(N(J985)=0,0,IF(N(I985)&gt;0,I985*(1+J985/30),J985))=X985,IF(N(I985)&gt;0,I985&amp;" x "&amp;J985,J985&amp;" reps"),IF(IF(N(L985)=0,0,IF(N(K985)&gt;0,K985*(1+L985/30),L985))=X985,IF(N(K985)&gt;0,K985&amp;" x "&amp;L985,L985&amp;" reps"),IF(IF(N(N985)=0,0,IF(N(M985)&gt;0,M985*(1+N985/30),N985))=X985,IF(N(M985)&gt;0,M985&amp;" x "&amp;N985,N985&amp;" reps"),""))))))</f>
        <v/>
      </c>
      <c r="R985" s="20">
        <f>IF(N(X985)=0,"",ROUND(X985,1))</f>
        <v/>
      </c>
      <c r="S985" s="18">
        <f>IF(N(X985)=0,"",IF(AND(COUNTIFS(Log!$D$6:$D$1505,D985,Log!$B$6:$B$1505,"&lt;"&amp;B985)&gt;0,COUNTIFS(Log!$D$6:$D$1505,D985,Log!$B$6:$B$1505,"&lt;"&amp;B985,Log!$X$6:$X$1505,"&gt;="&amp;X985)=0),"New best",""))</f>
        <v/>
      </c>
      <c r="T985" s="26" t="n"/>
      <c r="U985" s="1">
        <f>IF(D985="","",IFERROR(INDEX(Exercises!$C$6:$C$105,MATCH(D985,Exercises!$B$6:$B$105,0)),"Other"))</f>
        <v/>
      </c>
      <c r="V985">
        <f>IF(B985="","",IF(COUNTIF($B$6:B985,B985)=1,1,0))</f>
        <v/>
      </c>
      <c r="W985">
        <f>IF(B985="","",B985-WEEKDAY(B985,3))</f>
        <v/>
      </c>
      <c r="X985">
        <f>IF(D985="","",MAX(IF(N(F985)=0,0,IF(N(E985)&gt;0,E985*(1+F985/30),F985)),IF(N(H985)=0,0,IF(N(G985)&gt;0,G985*(1+H985/30),H985)),IF(N(J985)=0,0,IF(N(I985)&gt;0,I985*(1+J985/30),J985)),IF(N(L985)=0,0,IF(N(K985)&gt;0,K985*(1+L985/30),L985)),IF(N(N985)=0,0,IF(N(M985)&gt;0,M985*(1+N985/30),N985))))</f>
        <v/>
      </c>
      <c r="Y985">
        <f>IF(N(X985)=0,"",X985+ROW()/1000000000)</f>
        <v/>
      </c>
      <c r="Z985">
        <f>IF(Y985="","",IF(COUNTIFS(Log!$D$6:$D$1505,D985,Log!$Y$6:$Y$1505,"&gt;"&amp;Y985)=0,1,0))</f>
        <v/>
      </c>
      <c r="AA985">
        <f>IF(OR(B985="",D985=""),"",B985+ROW()/10000000)</f>
        <v/>
      </c>
      <c r="AB985">
        <f>IF(AA985="","",IF(COUNTIFS(Log!$D$6:$D$1505,D985,Log!$AA$6:$AA$1505,"&gt;"&amp;AA985)=0,1,0))</f>
        <v/>
      </c>
      <c r="AC985">
        <f>IF(S985="New best",AA985,"")</f>
        <v/>
      </c>
      <c r="AD985">
        <f>ROW()</f>
        <v/>
      </c>
    </row>
    <row r="986">
      <c r="A986" s="1" t="n"/>
      <c r="B986" s="21" t="n"/>
      <c r="C986" s="22" t="n"/>
      <c r="D986" s="23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15">
        <f>IF(D986="","",COUNT(F986,H986,J986,L986,N986))</f>
        <v/>
      </c>
      <c r="P986" s="25">
        <f>IF(D986="","",N(E986)*N(F986)+N(G986)*N(H986)+N(I986)*N(J986)+N(K986)*N(L986)+N(M986)*N(N986))</f>
        <v/>
      </c>
      <c r="Q986" s="18">
        <f>IF(N(X986)=0,"",IF(IF(N(F986)=0,0,IF(N(E986)&gt;0,E986*(1+F986/30),F986))=X986,IF(N(E986)&gt;0,E986&amp;" x "&amp;F986,F986&amp;" reps"),IF(IF(N(H986)=0,0,IF(N(G986)&gt;0,G986*(1+H986/30),H986))=X986,IF(N(G986)&gt;0,G986&amp;" x "&amp;H986,H986&amp;" reps"),IF(IF(N(J986)=0,0,IF(N(I986)&gt;0,I986*(1+J986/30),J986))=X986,IF(N(I986)&gt;0,I986&amp;" x "&amp;J986,J986&amp;" reps"),IF(IF(N(L986)=0,0,IF(N(K986)&gt;0,K986*(1+L986/30),L986))=X986,IF(N(K986)&gt;0,K986&amp;" x "&amp;L986,L986&amp;" reps"),IF(IF(N(N986)=0,0,IF(N(M986)&gt;0,M986*(1+N986/30),N986))=X986,IF(N(M986)&gt;0,M986&amp;" x "&amp;N986,N986&amp;" reps"),""))))))</f>
        <v/>
      </c>
      <c r="R986" s="20">
        <f>IF(N(X986)=0,"",ROUND(X986,1))</f>
        <v/>
      </c>
      <c r="S986" s="18">
        <f>IF(N(X986)=0,"",IF(AND(COUNTIFS(Log!$D$6:$D$1505,D986,Log!$B$6:$B$1505,"&lt;"&amp;B986)&gt;0,COUNTIFS(Log!$D$6:$D$1505,D986,Log!$B$6:$B$1505,"&lt;"&amp;B986,Log!$X$6:$X$1505,"&gt;="&amp;X986)=0),"New best",""))</f>
        <v/>
      </c>
      <c r="T986" s="26" t="n"/>
      <c r="U986" s="1">
        <f>IF(D986="","",IFERROR(INDEX(Exercises!$C$6:$C$105,MATCH(D986,Exercises!$B$6:$B$105,0)),"Other"))</f>
        <v/>
      </c>
      <c r="V986">
        <f>IF(B986="","",IF(COUNTIF($B$6:B986,B986)=1,1,0))</f>
        <v/>
      </c>
      <c r="W986">
        <f>IF(B986="","",B986-WEEKDAY(B986,3))</f>
        <v/>
      </c>
      <c r="X986">
        <f>IF(D986="","",MAX(IF(N(F986)=0,0,IF(N(E986)&gt;0,E986*(1+F986/30),F986)),IF(N(H986)=0,0,IF(N(G986)&gt;0,G986*(1+H986/30),H986)),IF(N(J986)=0,0,IF(N(I986)&gt;0,I986*(1+J986/30),J986)),IF(N(L986)=0,0,IF(N(K986)&gt;0,K986*(1+L986/30),L986)),IF(N(N986)=0,0,IF(N(M986)&gt;0,M986*(1+N986/30),N986))))</f>
        <v/>
      </c>
      <c r="Y986">
        <f>IF(N(X986)=0,"",X986+ROW()/1000000000)</f>
        <v/>
      </c>
      <c r="Z986">
        <f>IF(Y986="","",IF(COUNTIFS(Log!$D$6:$D$1505,D986,Log!$Y$6:$Y$1505,"&gt;"&amp;Y986)=0,1,0))</f>
        <v/>
      </c>
      <c r="AA986">
        <f>IF(OR(B986="",D986=""),"",B986+ROW()/10000000)</f>
        <v/>
      </c>
      <c r="AB986">
        <f>IF(AA986="","",IF(COUNTIFS(Log!$D$6:$D$1505,D986,Log!$AA$6:$AA$1505,"&gt;"&amp;AA986)=0,1,0))</f>
        <v/>
      </c>
      <c r="AC986">
        <f>IF(S986="New best",AA986,"")</f>
        <v/>
      </c>
      <c r="AD986">
        <f>ROW()</f>
        <v/>
      </c>
    </row>
    <row r="987">
      <c r="A987" s="1" t="n"/>
      <c r="B987" s="21" t="n"/>
      <c r="C987" s="22" t="n"/>
      <c r="D987" s="23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15">
        <f>IF(D987="","",COUNT(F987,H987,J987,L987,N987))</f>
        <v/>
      </c>
      <c r="P987" s="25">
        <f>IF(D987="","",N(E987)*N(F987)+N(G987)*N(H987)+N(I987)*N(J987)+N(K987)*N(L987)+N(M987)*N(N987))</f>
        <v/>
      </c>
      <c r="Q987" s="18">
        <f>IF(N(X987)=0,"",IF(IF(N(F987)=0,0,IF(N(E987)&gt;0,E987*(1+F987/30),F987))=X987,IF(N(E987)&gt;0,E987&amp;" x "&amp;F987,F987&amp;" reps"),IF(IF(N(H987)=0,0,IF(N(G987)&gt;0,G987*(1+H987/30),H987))=X987,IF(N(G987)&gt;0,G987&amp;" x "&amp;H987,H987&amp;" reps"),IF(IF(N(J987)=0,0,IF(N(I987)&gt;0,I987*(1+J987/30),J987))=X987,IF(N(I987)&gt;0,I987&amp;" x "&amp;J987,J987&amp;" reps"),IF(IF(N(L987)=0,0,IF(N(K987)&gt;0,K987*(1+L987/30),L987))=X987,IF(N(K987)&gt;0,K987&amp;" x "&amp;L987,L987&amp;" reps"),IF(IF(N(N987)=0,0,IF(N(M987)&gt;0,M987*(1+N987/30),N987))=X987,IF(N(M987)&gt;0,M987&amp;" x "&amp;N987,N987&amp;" reps"),""))))))</f>
        <v/>
      </c>
      <c r="R987" s="20">
        <f>IF(N(X987)=0,"",ROUND(X987,1))</f>
        <v/>
      </c>
      <c r="S987" s="18">
        <f>IF(N(X987)=0,"",IF(AND(COUNTIFS(Log!$D$6:$D$1505,D987,Log!$B$6:$B$1505,"&lt;"&amp;B987)&gt;0,COUNTIFS(Log!$D$6:$D$1505,D987,Log!$B$6:$B$1505,"&lt;"&amp;B987,Log!$X$6:$X$1505,"&gt;="&amp;X987)=0),"New best",""))</f>
        <v/>
      </c>
      <c r="T987" s="26" t="n"/>
      <c r="U987" s="1">
        <f>IF(D987="","",IFERROR(INDEX(Exercises!$C$6:$C$105,MATCH(D987,Exercises!$B$6:$B$105,0)),"Other"))</f>
        <v/>
      </c>
      <c r="V987">
        <f>IF(B987="","",IF(COUNTIF($B$6:B987,B987)=1,1,0))</f>
        <v/>
      </c>
      <c r="W987">
        <f>IF(B987="","",B987-WEEKDAY(B987,3))</f>
        <v/>
      </c>
      <c r="X987">
        <f>IF(D987="","",MAX(IF(N(F987)=0,0,IF(N(E987)&gt;0,E987*(1+F987/30),F987)),IF(N(H987)=0,0,IF(N(G987)&gt;0,G987*(1+H987/30),H987)),IF(N(J987)=0,0,IF(N(I987)&gt;0,I987*(1+J987/30),J987)),IF(N(L987)=0,0,IF(N(K987)&gt;0,K987*(1+L987/30),L987)),IF(N(N987)=0,0,IF(N(M987)&gt;0,M987*(1+N987/30),N987))))</f>
        <v/>
      </c>
      <c r="Y987">
        <f>IF(N(X987)=0,"",X987+ROW()/1000000000)</f>
        <v/>
      </c>
      <c r="Z987">
        <f>IF(Y987="","",IF(COUNTIFS(Log!$D$6:$D$1505,D987,Log!$Y$6:$Y$1505,"&gt;"&amp;Y987)=0,1,0))</f>
        <v/>
      </c>
      <c r="AA987">
        <f>IF(OR(B987="",D987=""),"",B987+ROW()/10000000)</f>
        <v/>
      </c>
      <c r="AB987">
        <f>IF(AA987="","",IF(COUNTIFS(Log!$D$6:$D$1505,D987,Log!$AA$6:$AA$1505,"&gt;"&amp;AA987)=0,1,0))</f>
        <v/>
      </c>
      <c r="AC987">
        <f>IF(S987="New best",AA987,"")</f>
        <v/>
      </c>
      <c r="AD987">
        <f>ROW()</f>
        <v/>
      </c>
    </row>
    <row r="988">
      <c r="A988" s="1" t="n"/>
      <c r="B988" s="21" t="n"/>
      <c r="C988" s="22" t="n"/>
      <c r="D988" s="23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15">
        <f>IF(D988="","",COUNT(F988,H988,J988,L988,N988))</f>
        <v/>
      </c>
      <c r="P988" s="25">
        <f>IF(D988="","",N(E988)*N(F988)+N(G988)*N(H988)+N(I988)*N(J988)+N(K988)*N(L988)+N(M988)*N(N988))</f>
        <v/>
      </c>
      <c r="Q988" s="18">
        <f>IF(N(X988)=0,"",IF(IF(N(F988)=0,0,IF(N(E988)&gt;0,E988*(1+F988/30),F988))=X988,IF(N(E988)&gt;0,E988&amp;" x "&amp;F988,F988&amp;" reps"),IF(IF(N(H988)=0,0,IF(N(G988)&gt;0,G988*(1+H988/30),H988))=X988,IF(N(G988)&gt;0,G988&amp;" x "&amp;H988,H988&amp;" reps"),IF(IF(N(J988)=0,0,IF(N(I988)&gt;0,I988*(1+J988/30),J988))=X988,IF(N(I988)&gt;0,I988&amp;" x "&amp;J988,J988&amp;" reps"),IF(IF(N(L988)=0,0,IF(N(K988)&gt;0,K988*(1+L988/30),L988))=X988,IF(N(K988)&gt;0,K988&amp;" x "&amp;L988,L988&amp;" reps"),IF(IF(N(N988)=0,0,IF(N(M988)&gt;0,M988*(1+N988/30),N988))=X988,IF(N(M988)&gt;0,M988&amp;" x "&amp;N988,N988&amp;" reps"),""))))))</f>
        <v/>
      </c>
      <c r="R988" s="20">
        <f>IF(N(X988)=0,"",ROUND(X988,1))</f>
        <v/>
      </c>
      <c r="S988" s="18">
        <f>IF(N(X988)=0,"",IF(AND(COUNTIFS(Log!$D$6:$D$1505,D988,Log!$B$6:$B$1505,"&lt;"&amp;B988)&gt;0,COUNTIFS(Log!$D$6:$D$1505,D988,Log!$B$6:$B$1505,"&lt;"&amp;B988,Log!$X$6:$X$1505,"&gt;="&amp;X988)=0),"New best",""))</f>
        <v/>
      </c>
      <c r="T988" s="26" t="n"/>
      <c r="U988" s="1">
        <f>IF(D988="","",IFERROR(INDEX(Exercises!$C$6:$C$105,MATCH(D988,Exercises!$B$6:$B$105,0)),"Other"))</f>
        <v/>
      </c>
      <c r="V988">
        <f>IF(B988="","",IF(COUNTIF($B$6:B988,B988)=1,1,0))</f>
        <v/>
      </c>
      <c r="W988">
        <f>IF(B988="","",B988-WEEKDAY(B988,3))</f>
        <v/>
      </c>
      <c r="X988">
        <f>IF(D988="","",MAX(IF(N(F988)=0,0,IF(N(E988)&gt;0,E988*(1+F988/30),F988)),IF(N(H988)=0,0,IF(N(G988)&gt;0,G988*(1+H988/30),H988)),IF(N(J988)=0,0,IF(N(I988)&gt;0,I988*(1+J988/30),J988)),IF(N(L988)=0,0,IF(N(K988)&gt;0,K988*(1+L988/30),L988)),IF(N(N988)=0,0,IF(N(M988)&gt;0,M988*(1+N988/30),N988))))</f>
        <v/>
      </c>
      <c r="Y988">
        <f>IF(N(X988)=0,"",X988+ROW()/1000000000)</f>
        <v/>
      </c>
      <c r="Z988">
        <f>IF(Y988="","",IF(COUNTIFS(Log!$D$6:$D$1505,D988,Log!$Y$6:$Y$1505,"&gt;"&amp;Y988)=0,1,0))</f>
        <v/>
      </c>
      <c r="AA988">
        <f>IF(OR(B988="",D988=""),"",B988+ROW()/10000000)</f>
        <v/>
      </c>
      <c r="AB988">
        <f>IF(AA988="","",IF(COUNTIFS(Log!$D$6:$D$1505,D988,Log!$AA$6:$AA$1505,"&gt;"&amp;AA988)=0,1,0))</f>
        <v/>
      </c>
      <c r="AC988">
        <f>IF(S988="New best",AA988,"")</f>
        <v/>
      </c>
      <c r="AD988">
        <f>ROW()</f>
        <v/>
      </c>
    </row>
    <row r="989">
      <c r="A989" s="1" t="n"/>
      <c r="B989" s="21" t="n"/>
      <c r="C989" s="22" t="n"/>
      <c r="D989" s="23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15">
        <f>IF(D989="","",COUNT(F989,H989,J989,L989,N989))</f>
        <v/>
      </c>
      <c r="P989" s="25">
        <f>IF(D989="","",N(E989)*N(F989)+N(G989)*N(H989)+N(I989)*N(J989)+N(K989)*N(L989)+N(M989)*N(N989))</f>
        <v/>
      </c>
      <c r="Q989" s="18">
        <f>IF(N(X989)=0,"",IF(IF(N(F989)=0,0,IF(N(E989)&gt;0,E989*(1+F989/30),F989))=X989,IF(N(E989)&gt;0,E989&amp;" x "&amp;F989,F989&amp;" reps"),IF(IF(N(H989)=0,0,IF(N(G989)&gt;0,G989*(1+H989/30),H989))=X989,IF(N(G989)&gt;0,G989&amp;" x "&amp;H989,H989&amp;" reps"),IF(IF(N(J989)=0,0,IF(N(I989)&gt;0,I989*(1+J989/30),J989))=X989,IF(N(I989)&gt;0,I989&amp;" x "&amp;J989,J989&amp;" reps"),IF(IF(N(L989)=0,0,IF(N(K989)&gt;0,K989*(1+L989/30),L989))=X989,IF(N(K989)&gt;0,K989&amp;" x "&amp;L989,L989&amp;" reps"),IF(IF(N(N989)=0,0,IF(N(M989)&gt;0,M989*(1+N989/30),N989))=X989,IF(N(M989)&gt;0,M989&amp;" x "&amp;N989,N989&amp;" reps"),""))))))</f>
        <v/>
      </c>
      <c r="R989" s="20">
        <f>IF(N(X989)=0,"",ROUND(X989,1))</f>
        <v/>
      </c>
      <c r="S989" s="18">
        <f>IF(N(X989)=0,"",IF(AND(COUNTIFS(Log!$D$6:$D$1505,D989,Log!$B$6:$B$1505,"&lt;"&amp;B989)&gt;0,COUNTIFS(Log!$D$6:$D$1505,D989,Log!$B$6:$B$1505,"&lt;"&amp;B989,Log!$X$6:$X$1505,"&gt;="&amp;X989)=0),"New best",""))</f>
        <v/>
      </c>
      <c r="T989" s="26" t="n"/>
      <c r="U989" s="1">
        <f>IF(D989="","",IFERROR(INDEX(Exercises!$C$6:$C$105,MATCH(D989,Exercises!$B$6:$B$105,0)),"Other"))</f>
        <v/>
      </c>
      <c r="V989">
        <f>IF(B989="","",IF(COUNTIF($B$6:B989,B989)=1,1,0))</f>
        <v/>
      </c>
      <c r="W989">
        <f>IF(B989="","",B989-WEEKDAY(B989,3))</f>
        <v/>
      </c>
      <c r="X989">
        <f>IF(D989="","",MAX(IF(N(F989)=0,0,IF(N(E989)&gt;0,E989*(1+F989/30),F989)),IF(N(H989)=0,0,IF(N(G989)&gt;0,G989*(1+H989/30),H989)),IF(N(J989)=0,0,IF(N(I989)&gt;0,I989*(1+J989/30),J989)),IF(N(L989)=0,0,IF(N(K989)&gt;0,K989*(1+L989/30),L989)),IF(N(N989)=0,0,IF(N(M989)&gt;0,M989*(1+N989/30),N989))))</f>
        <v/>
      </c>
      <c r="Y989">
        <f>IF(N(X989)=0,"",X989+ROW()/1000000000)</f>
        <v/>
      </c>
      <c r="Z989">
        <f>IF(Y989="","",IF(COUNTIFS(Log!$D$6:$D$1505,D989,Log!$Y$6:$Y$1505,"&gt;"&amp;Y989)=0,1,0))</f>
        <v/>
      </c>
      <c r="AA989">
        <f>IF(OR(B989="",D989=""),"",B989+ROW()/10000000)</f>
        <v/>
      </c>
      <c r="AB989">
        <f>IF(AA989="","",IF(COUNTIFS(Log!$D$6:$D$1505,D989,Log!$AA$6:$AA$1505,"&gt;"&amp;AA989)=0,1,0))</f>
        <v/>
      </c>
      <c r="AC989">
        <f>IF(S989="New best",AA989,"")</f>
        <v/>
      </c>
      <c r="AD989">
        <f>ROW()</f>
        <v/>
      </c>
    </row>
    <row r="990">
      <c r="A990" s="1" t="n"/>
      <c r="B990" s="21" t="n"/>
      <c r="C990" s="22" t="n"/>
      <c r="D990" s="23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15">
        <f>IF(D990="","",COUNT(F990,H990,J990,L990,N990))</f>
        <v/>
      </c>
      <c r="P990" s="25">
        <f>IF(D990="","",N(E990)*N(F990)+N(G990)*N(H990)+N(I990)*N(J990)+N(K990)*N(L990)+N(M990)*N(N990))</f>
        <v/>
      </c>
      <c r="Q990" s="18">
        <f>IF(N(X990)=0,"",IF(IF(N(F990)=0,0,IF(N(E990)&gt;0,E990*(1+F990/30),F990))=X990,IF(N(E990)&gt;0,E990&amp;" x "&amp;F990,F990&amp;" reps"),IF(IF(N(H990)=0,0,IF(N(G990)&gt;0,G990*(1+H990/30),H990))=X990,IF(N(G990)&gt;0,G990&amp;" x "&amp;H990,H990&amp;" reps"),IF(IF(N(J990)=0,0,IF(N(I990)&gt;0,I990*(1+J990/30),J990))=X990,IF(N(I990)&gt;0,I990&amp;" x "&amp;J990,J990&amp;" reps"),IF(IF(N(L990)=0,0,IF(N(K990)&gt;0,K990*(1+L990/30),L990))=X990,IF(N(K990)&gt;0,K990&amp;" x "&amp;L990,L990&amp;" reps"),IF(IF(N(N990)=0,0,IF(N(M990)&gt;0,M990*(1+N990/30),N990))=X990,IF(N(M990)&gt;0,M990&amp;" x "&amp;N990,N990&amp;" reps"),""))))))</f>
        <v/>
      </c>
      <c r="R990" s="20">
        <f>IF(N(X990)=0,"",ROUND(X990,1))</f>
        <v/>
      </c>
      <c r="S990" s="18">
        <f>IF(N(X990)=0,"",IF(AND(COUNTIFS(Log!$D$6:$D$1505,D990,Log!$B$6:$B$1505,"&lt;"&amp;B990)&gt;0,COUNTIFS(Log!$D$6:$D$1505,D990,Log!$B$6:$B$1505,"&lt;"&amp;B990,Log!$X$6:$X$1505,"&gt;="&amp;X990)=0),"New best",""))</f>
        <v/>
      </c>
      <c r="T990" s="26" t="n"/>
      <c r="U990" s="1">
        <f>IF(D990="","",IFERROR(INDEX(Exercises!$C$6:$C$105,MATCH(D990,Exercises!$B$6:$B$105,0)),"Other"))</f>
        <v/>
      </c>
      <c r="V990">
        <f>IF(B990="","",IF(COUNTIF($B$6:B990,B990)=1,1,0))</f>
        <v/>
      </c>
      <c r="W990">
        <f>IF(B990="","",B990-WEEKDAY(B990,3))</f>
        <v/>
      </c>
      <c r="X990">
        <f>IF(D990="","",MAX(IF(N(F990)=0,0,IF(N(E990)&gt;0,E990*(1+F990/30),F990)),IF(N(H990)=0,0,IF(N(G990)&gt;0,G990*(1+H990/30),H990)),IF(N(J990)=0,0,IF(N(I990)&gt;0,I990*(1+J990/30),J990)),IF(N(L990)=0,0,IF(N(K990)&gt;0,K990*(1+L990/30),L990)),IF(N(N990)=0,0,IF(N(M990)&gt;0,M990*(1+N990/30),N990))))</f>
        <v/>
      </c>
      <c r="Y990">
        <f>IF(N(X990)=0,"",X990+ROW()/1000000000)</f>
        <v/>
      </c>
      <c r="Z990">
        <f>IF(Y990="","",IF(COUNTIFS(Log!$D$6:$D$1505,D990,Log!$Y$6:$Y$1505,"&gt;"&amp;Y990)=0,1,0))</f>
        <v/>
      </c>
      <c r="AA990">
        <f>IF(OR(B990="",D990=""),"",B990+ROW()/10000000)</f>
        <v/>
      </c>
      <c r="AB990">
        <f>IF(AA990="","",IF(COUNTIFS(Log!$D$6:$D$1505,D990,Log!$AA$6:$AA$1505,"&gt;"&amp;AA990)=0,1,0))</f>
        <v/>
      </c>
      <c r="AC990">
        <f>IF(S990="New best",AA990,"")</f>
        <v/>
      </c>
      <c r="AD990">
        <f>ROW()</f>
        <v/>
      </c>
    </row>
    <row r="991">
      <c r="A991" s="1" t="n"/>
      <c r="B991" s="21" t="n"/>
      <c r="C991" s="22" t="n"/>
      <c r="D991" s="23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15">
        <f>IF(D991="","",COUNT(F991,H991,J991,L991,N991))</f>
        <v/>
      </c>
      <c r="P991" s="25">
        <f>IF(D991="","",N(E991)*N(F991)+N(G991)*N(H991)+N(I991)*N(J991)+N(K991)*N(L991)+N(M991)*N(N991))</f>
        <v/>
      </c>
      <c r="Q991" s="18">
        <f>IF(N(X991)=0,"",IF(IF(N(F991)=0,0,IF(N(E991)&gt;0,E991*(1+F991/30),F991))=X991,IF(N(E991)&gt;0,E991&amp;" x "&amp;F991,F991&amp;" reps"),IF(IF(N(H991)=0,0,IF(N(G991)&gt;0,G991*(1+H991/30),H991))=X991,IF(N(G991)&gt;0,G991&amp;" x "&amp;H991,H991&amp;" reps"),IF(IF(N(J991)=0,0,IF(N(I991)&gt;0,I991*(1+J991/30),J991))=X991,IF(N(I991)&gt;0,I991&amp;" x "&amp;J991,J991&amp;" reps"),IF(IF(N(L991)=0,0,IF(N(K991)&gt;0,K991*(1+L991/30),L991))=X991,IF(N(K991)&gt;0,K991&amp;" x "&amp;L991,L991&amp;" reps"),IF(IF(N(N991)=0,0,IF(N(M991)&gt;0,M991*(1+N991/30),N991))=X991,IF(N(M991)&gt;0,M991&amp;" x "&amp;N991,N991&amp;" reps"),""))))))</f>
        <v/>
      </c>
      <c r="R991" s="20">
        <f>IF(N(X991)=0,"",ROUND(X991,1))</f>
        <v/>
      </c>
      <c r="S991" s="18">
        <f>IF(N(X991)=0,"",IF(AND(COUNTIFS(Log!$D$6:$D$1505,D991,Log!$B$6:$B$1505,"&lt;"&amp;B991)&gt;0,COUNTIFS(Log!$D$6:$D$1505,D991,Log!$B$6:$B$1505,"&lt;"&amp;B991,Log!$X$6:$X$1505,"&gt;="&amp;X991)=0),"New best",""))</f>
        <v/>
      </c>
      <c r="T991" s="26" t="n"/>
      <c r="U991" s="1">
        <f>IF(D991="","",IFERROR(INDEX(Exercises!$C$6:$C$105,MATCH(D991,Exercises!$B$6:$B$105,0)),"Other"))</f>
        <v/>
      </c>
      <c r="V991">
        <f>IF(B991="","",IF(COUNTIF($B$6:B991,B991)=1,1,0))</f>
        <v/>
      </c>
      <c r="W991">
        <f>IF(B991="","",B991-WEEKDAY(B991,3))</f>
        <v/>
      </c>
      <c r="X991">
        <f>IF(D991="","",MAX(IF(N(F991)=0,0,IF(N(E991)&gt;0,E991*(1+F991/30),F991)),IF(N(H991)=0,0,IF(N(G991)&gt;0,G991*(1+H991/30),H991)),IF(N(J991)=0,0,IF(N(I991)&gt;0,I991*(1+J991/30),J991)),IF(N(L991)=0,0,IF(N(K991)&gt;0,K991*(1+L991/30),L991)),IF(N(N991)=0,0,IF(N(M991)&gt;0,M991*(1+N991/30),N991))))</f>
        <v/>
      </c>
      <c r="Y991">
        <f>IF(N(X991)=0,"",X991+ROW()/1000000000)</f>
        <v/>
      </c>
      <c r="Z991">
        <f>IF(Y991="","",IF(COUNTIFS(Log!$D$6:$D$1505,D991,Log!$Y$6:$Y$1505,"&gt;"&amp;Y991)=0,1,0))</f>
        <v/>
      </c>
      <c r="AA991">
        <f>IF(OR(B991="",D991=""),"",B991+ROW()/10000000)</f>
        <v/>
      </c>
      <c r="AB991">
        <f>IF(AA991="","",IF(COUNTIFS(Log!$D$6:$D$1505,D991,Log!$AA$6:$AA$1505,"&gt;"&amp;AA991)=0,1,0))</f>
        <v/>
      </c>
      <c r="AC991">
        <f>IF(S991="New best",AA991,"")</f>
        <v/>
      </c>
      <c r="AD991">
        <f>ROW()</f>
        <v/>
      </c>
    </row>
    <row r="992">
      <c r="A992" s="1" t="n"/>
      <c r="B992" s="21" t="n"/>
      <c r="C992" s="22" t="n"/>
      <c r="D992" s="23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15">
        <f>IF(D992="","",COUNT(F992,H992,J992,L992,N992))</f>
        <v/>
      </c>
      <c r="P992" s="25">
        <f>IF(D992="","",N(E992)*N(F992)+N(G992)*N(H992)+N(I992)*N(J992)+N(K992)*N(L992)+N(M992)*N(N992))</f>
        <v/>
      </c>
      <c r="Q992" s="18">
        <f>IF(N(X992)=0,"",IF(IF(N(F992)=0,0,IF(N(E992)&gt;0,E992*(1+F992/30),F992))=X992,IF(N(E992)&gt;0,E992&amp;" x "&amp;F992,F992&amp;" reps"),IF(IF(N(H992)=0,0,IF(N(G992)&gt;0,G992*(1+H992/30),H992))=X992,IF(N(G992)&gt;0,G992&amp;" x "&amp;H992,H992&amp;" reps"),IF(IF(N(J992)=0,0,IF(N(I992)&gt;0,I992*(1+J992/30),J992))=X992,IF(N(I992)&gt;0,I992&amp;" x "&amp;J992,J992&amp;" reps"),IF(IF(N(L992)=0,0,IF(N(K992)&gt;0,K992*(1+L992/30),L992))=X992,IF(N(K992)&gt;0,K992&amp;" x "&amp;L992,L992&amp;" reps"),IF(IF(N(N992)=0,0,IF(N(M992)&gt;0,M992*(1+N992/30),N992))=X992,IF(N(M992)&gt;0,M992&amp;" x "&amp;N992,N992&amp;" reps"),""))))))</f>
        <v/>
      </c>
      <c r="R992" s="20">
        <f>IF(N(X992)=0,"",ROUND(X992,1))</f>
        <v/>
      </c>
      <c r="S992" s="18">
        <f>IF(N(X992)=0,"",IF(AND(COUNTIFS(Log!$D$6:$D$1505,D992,Log!$B$6:$B$1505,"&lt;"&amp;B992)&gt;0,COUNTIFS(Log!$D$6:$D$1505,D992,Log!$B$6:$B$1505,"&lt;"&amp;B992,Log!$X$6:$X$1505,"&gt;="&amp;X992)=0),"New best",""))</f>
        <v/>
      </c>
      <c r="T992" s="26" t="n"/>
      <c r="U992" s="1">
        <f>IF(D992="","",IFERROR(INDEX(Exercises!$C$6:$C$105,MATCH(D992,Exercises!$B$6:$B$105,0)),"Other"))</f>
        <v/>
      </c>
      <c r="V992">
        <f>IF(B992="","",IF(COUNTIF($B$6:B992,B992)=1,1,0))</f>
        <v/>
      </c>
      <c r="W992">
        <f>IF(B992="","",B992-WEEKDAY(B992,3))</f>
        <v/>
      </c>
      <c r="X992">
        <f>IF(D992="","",MAX(IF(N(F992)=0,0,IF(N(E992)&gt;0,E992*(1+F992/30),F992)),IF(N(H992)=0,0,IF(N(G992)&gt;0,G992*(1+H992/30),H992)),IF(N(J992)=0,0,IF(N(I992)&gt;0,I992*(1+J992/30),J992)),IF(N(L992)=0,0,IF(N(K992)&gt;0,K992*(1+L992/30),L992)),IF(N(N992)=0,0,IF(N(M992)&gt;0,M992*(1+N992/30),N992))))</f>
        <v/>
      </c>
      <c r="Y992">
        <f>IF(N(X992)=0,"",X992+ROW()/1000000000)</f>
        <v/>
      </c>
      <c r="Z992">
        <f>IF(Y992="","",IF(COUNTIFS(Log!$D$6:$D$1505,D992,Log!$Y$6:$Y$1505,"&gt;"&amp;Y992)=0,1,0))</f>
        <v/>
      </c>
      <c r="AA992">
        <f>IF(OR(B992="",D992=""),"",B992+ROW()/10000000)</f>
        <v/>
      </c>
      <c r="AB992">
        <f>IF(AA992="","",IF(COUNTIFS(Log!$D$6:$D$1505,D992,Log!$AA$6:$AA$1505,"&gt;"&amp;AA992)=0,1,0))</f>
        <v/>
      </c>
      <c r="AC992">
        <f>IF(S992="New best",AA992,"")</f>
        <v/>
      </c>
      <c r="AD992">
        <f>ROW()</f>
        <v/>
      </c>
    </row>
    <row r="993">
      <c r="A993" s="1" t="n"/>
      <c r="B993" s="21" t="n"/>
      <c r="C993" s="22" t="n"/>
      <c r="D993" s="23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15">
        <f>IF(D993="","",COUNT(F993,H993,J993,L993,N993))</f>
        <v/>
      </c>
      <c r="P993" s="25">
        <f>IF(D993="","",N(E993)*N(F993)+N(G993)*N(H993)+N(I993)*N(J993)+N(K993)*N(L993)+N(M993)*N(N993))</f>
        <v/>
      </c>
      <c r="Q993" s="18">
        <f>IF(N(X993)=0,"",IF(IF(N(F993)=0,0,IF(N(E993)&gt;0,E993*(1+F993/30),F993))=X993,IF(N(E993)&gt;0,E993&amp;" x "&amp;F993,F993&amp;" reps"),IF(IF(N(H993)=0,0,IF(N(G993)&gt;0,G993*(1+H993/30),H993))=X993,IF(N(G993)&gt;0,G993&amp;" x "&amp;H993,H993&amp;" reps"),IF(IF(N(J993)=0,0,IF(N(I993)&gt;0,I993*(1+J993/30),J993))=X993,IF(N(I993)&gt;0,I993&amp;" x "&amp;J993,J993&amp;" reps"),IF(IF(N(L993)=0,0,IF(N(K993)&gt;0,K993*(1+L993/30),L993))=X993,IF(N(K993)&gt;0,K993&amp;" x "&amp;L993,L993&amp;" reps"),IF(IF(N(N993)=0,0,IF(N(M993)&gt;0,M993*(1+N993/30),N993))=X993,IF(N(M993)&gt;0,M993&amp;" x "&amp;N993,N993&amp;" reps"),""))))))</f>
        <v/>
      </c>
      <c r="R993" s="20">
        <f>IF(N(X993)=0,"",ROUND(X993,1))</f>
        <v/>
      </c>
      <c r="S993" s="18">
        <f>IF(N(X993)=0,"",IF(AND(COUNTIFS(Log!$D$6:$D$1505,D993,Log!$B$6:$B$1505,"&lt;"&amp;B993)&gt;0,COUNTIFS(Log!$D$6:$D$1505,D993,Log!$B$6:$B$1505,"&lt;"&amp;B993,Log!$X$6:$X$1505,"&gt;="&amp;X993)=0),"New best",""))</f>
        <v/>
      </c>
      <c r="T993" s="26" t="n"/>
      <c r="U993" s="1">
        <f>IF(D993="","",IFERROR(INDEX(Exercises!$C$6:$C$105,MATCH(D993,Exercises!$B$6:$B$105,0)),"Other"))</f>
        <v/>
      </c>
      <c r="V993">
        <f>IF(B993="","",IF(COUNTIF($B$6:B993,B993)=1,1,0))</f>
        <v/>
      </c>
      <c r="W993">
        <f>IF(B993="","",B993-WEEKDAY(B993,3))</f>
        <v/>
      </c>
      <c r="X993">
        <f>IF(D993="","",MAX(IF(N(F993)=0,0,IF(N(E993)&gt;0,E993*(1+F993/30),F993)),IF(N(H993)=0,0,IF(N(G993)&gt;0,G993*(1+H993/30),H993)),IF(N(J993)=0,0,IF(N(I993)&gt;0,I993*(1+J993/30),J993)),IF(N(L993)=0,0,IF(N(K993)&gt;0,K993*(1+L993/30),L993)),IF(N(N993)=0,0,IF(N(M993)&gt;0,M993*(1+N993/30),N993))))</f>
        <v/>
      </c>
      <c r="Y993">
        <f>IF(N(X993)=0,"",X993+ROW()/1000000000)</f>
        <v/>
      </c>
      <c r="Z993">
        <f>IF(Y993="","",IF(COUNTIFS(Log!$D$6:$D$1505,D993,Log!$Y$6:$Y$1505,"&gt;"&amp;Y993)=0,1,0))</f>
        <v/>
      </c>
      <c r="AA993">
        <f>IF(OR(B993="",D993=""),"",B993+ROW()/10000000)</f>
        <v/>
      </c>
      <c r="AB993">
        <f>IF(AA993="","",IF(COUNTIFS(Log!$D$6:$D$1505,D993,Log!$AA$6:$AA$1505,"&gt;"&amp;AA993)=0,1,0))</f>
        <v/>
      </c>
      <c r="AC993">
        <f>IF(S993="New best",AA993,"")</f>
        <v/>
      </c>
      <c r="AD993">
        <f>ROW()</f>
        <v/>
      </c>
    </row>
    <row r="994">
      <c r="A994" s="1" t="n"/>
      <c r="B994" s="21" t="n"/>
      <c r="C994" s="22" t="n"/>
      <c r="D994" s="23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15">
        <f>IF(D994="","",COUNT(F994,H994,J994,L994,N994))</f>
        <v/>
      </c>
      <c r="P994" s="25">
        <f>IF(D994="","",N(E994)*N(F994)+N(G994)*N(H994)+N(I994)*N(J994)+N(K994)*N(L994)+N(M994)*N(N994))</f>
        <v/>
      </c>
      <c r="Q994" s="18">
        <f>IF(N(X994)=0,"",IF(IF(N(F994)=0,0,IF(N(E994)&gt;0,E994*(1+F994/30),F994))=X994,IF(N(E994)&gt;0,E994&amp;" x "&amp;F994,F994&amp;" reps"),IF(IF(N(H994)=0,0,IF(N(G994)&gt;0,G994*(1+H994/30),H994))=X994,IF(N(G994)&gt;0,G994&amp;" x "&amp;H994,H994&amp;" reps"),IF(IF(N(J994)=0,0,IF(N(I994)&gt;0,I994*(1+J994/30),J994))=X994,IF(N(I994)&gt;0,I994&amp;" x "&amp;J994,J994&amp;" reps"),IF(IF(N(L994)=0,0,IF(N(K994)&gt;0,K994*(1+L994/30),L994))=X994,IF(N(K994)&gt;0,K994&amp;" x "&amp;L994,L994&amp;" reps"),IF(IF(N(N994)=0,0,IF(N(M994)&gt;0,M994*(1+N994/30),N994))=X994,IF(N(M994)&gt;0,M994&amp;" x "&amp;N994,N994&amp;" reps"),""))))))</f>
        <v/>
      </c>
      <c r="R994" s="20">
        <f>IF(N(X994)=0,"",ROUND(X994,1))</f>
        <v/>
      </c>
      <c r="S994" s="18">
        <f>IF(N(X994)=0,"",IF(AND(COUNTIFS(Log!$D$6:$D$1505,D994,Log!$B$6:$B$1505,"&lt;"&amp;B994)&gt;0,COUNTIFS(Log!$D$6:$D$1505,D994,Log!$B$6:$B$1505,"&lt;"&amp;B994,Log!$X$6:$X$1505,"&gt;="&amp;X994)=0),"New best",""))</f>
        <v/>
      </c>
      <c r="T994" s="26" t="n"/>
      <c r="U994" s="1">
        <f>IF(D994="","",IFERROR(INDEX(Exercises!$C$6:$C$105,MATCH(D994,Exercises!$B$6:$B$105,0)),"Other"))</f>
        <v/>
      </c>
      <c r="V994">
        <f>IF(B994="","",IF(COUNTIF($B$6:B994,B994)=1,1,0))</f>
        <v/>
      </c>
      <c r="W994">
        <f>IF(B994="","",B994-WEEKDAY(B994,3))</f>
        <v/>
      </c>
      <c r="X994">
        <f>IF(D994="","",MAX(IF(N(F994)=0,0,IF(N(E994)&gt;0,E994*(1+F994/30),F994)),IF(N(H994)=0,0,IF(N(G994)&gt;0,G994*(1+H994/30),H994)),IF(N(J994)=0,0,IF(N(I994)&gt;0,I994*(1+J994/30),J994)),IF(N(L994)=0,0,IF(N(K994)&gt;0,K994*(1+L994/30),L994)),IF(N(N994)=0,0,IF(N(M994)&gt;0,M994*(1+N994/30),N994))))</f>
        <v/>
      </c>
      <c r="Y994">
        <f>IF(N(X994)=0,"",X994+ROW()/1000000000)</f>
        <v/>
      </c>
      <c r="Z994">
        <f>IF(Y994="","",IF(COUNTIFS(Log!$D$6:$D$1505,D994,Log!$Y$6:$Y$1505,"&gt;"&amp;Y994)=0,1,0))</f>
        <v/>
      </c>
      <c r="AA994">
        <f>IF(OR(B994="",D994=""),"",B994+ROW()/10000000)</f>
        <v/>
      </c>
      <c r="AB994">
        <f>IF(AA994="","",IF(COUNTIFS(Log!$D$6:$D$1505,D994,Log!$AA$6:$AA$1505,"&gt;"&amp;AA994)=0,1,0))</f>
        <v/>
      </c>
      <c r="AC994">
        <f>IF(S994="New best",AA994,"")</f>
        <v/>
      </c>
      <c r="AD994">
        <f>ROW()</f>
        <v/>
      </c>
    </row>
    <row r="995">
      <c r="A995" s="1" t="n"/>
      <c r="B995" s="21" t="n"/>
      <c r="C995" s="22" t="n"/>
      <c r="D995" s="23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15">
        <f>IF(D995="","",COUNT(F995,H995,J995,L995,N995))</f>
        <v/>
      </c>
      <c r="P995" s="25">
        <f>IF(D995="","",N(E995)*N(F995)+N(G995)*N(H995)+N(I995)*N(J995)+N(K995)*N(L995)+N(M995)*N(N995))</f>
        <v/>
      </c>
      <c r="Q995" s="18">
        <f>IF(N(X995)=0,"",IF(IF(N(F995)=0,0,IF(N(E995)&gt;0,E995*(1+F995/30),F995))=X995,IF(N(E995)&gt;0,E995&amp;" x "&amp;F995,F995&amp;" reps"),IF(IF(N(H995)=0,0,IF(N(G995)&gt;0,G995*(1+H995/30),H995))=X995,IF(N(G995)&gt;0,G995&amp;" x "&amp;H995,H995&amp;" reps"),IF(IF(N(J995)=0,0,IF(N(I995)&gt;0,I995*(1+J995/30),J995))=X995,IF(N(I995)&gt;0,I995&amp;" x "&amp;J995,J995&amp;" reps"),IF(IF(N(L995)=0,0,IF(N(K995)&gt;0,K995*(1+L995/30),L995))=X995,IF(N(K995)&gt;0,K995&amp;" x "&amp;L995,L995&amp;" reps"),IF(IF(N(N995)=0,0,IF(N(M995)&gt;0,M995*(1+N995/30),N995))=X995,IF(N(M995)&gt;0,M995&amp;" x "&amp;N995,N995&amp;" reps"),""))))))</f>
        <v/>
      </c>
      <c r="R995" s="20">
        <f>IF(N(X995)=0,"",ROUND(X995,1))</f>
        <v/>
      </c>
      <c r="S995" s="18">
        <f>IF(N(X995)=0,"",IF(AND(COUNTIFS(Log!$D$6:$D$1505,D995,Log!$B$6:$B$1505,"&lt;"&amp;B995)&gt;0,COUNTIFS(Log!$D$6:$D$1505,D995,Log!$B$6:$B$1505,"&lt;"&amp;B995,Log!$X$6:$X$1505,"&gt;="&amp;X995)=0),"New best",""))</f>
        <v/>
      </c>
      <c r="T995" s="26" t="n"/>
      <c r="U995" s="1">
        <f>IF(D995="","",IFERROR(INDEX(Exercises!$C$6:$C$105,MATCH(D995,Exercises!$B$6:$B$105,0)),"Other"))</f>
        <v/>
      </c>
      <c r="V995">
        <f>IF(B995="","",IF(COUNTIF($B$6:B995,B995)=1,1,0))</f>
        <v/>
      </c>
      <c r="W995">
        <f>IF(B995="","",B995-WEEKDAY(B995,3))</f>
        <v/>
      </c>
      <c r="X995">
        <f>IF(D995="","",MAX(IF(N(F995)=0,0,IF(N(E995)&gt;0,E995*(1+F995/30),F995)),IF(N(H995)=0,0,IF(N(G995)&gt;0,G995*(1+H995/30),H995)),IF(N(J995)=0,0,IF(N(I995)&gt;0,I995*(1+J995/30),J995)),IF(N(L995)=0,0,IF(N(K995)&gt;0,K995*(1+L995/30),L995)),IF(N(N995)=0,0,IF(N(M995)&gt;0,M995*(1+N995/30),N995))))</f>
        <v/>
      </c>
      <c r="Y995">
        <f>IF(N(X995)=0,"",X995+ROW()/1000000000)</f>
        <v/>
      </c>
      <c r="Z995">
        <f>IF(Y995="","",IF(COUNTIFS(Log!$D$6:$D$1505,D995,Log!$Y$6:$Y$1505,"&gt;"&amp;Y995)=0,1,0))</f>
        <v/>
      </c>
      <c r="AA995">
        <f>IF(OR(B995="",D995=""),"",B995+ROW()/10000000)</f>
        <v/>
      </c>
      <c r="AB995">
        <f>IF(AA995="","",IF(COUNTIFS(Log!$D$6:$D$1505,D995,Log!$AA$6:$AA$1505,"&gt;"&amp;AA995)=0,1,0))</f>
        <v/>
      </c>
      <c r="AC995">
        <f>IF(S995="New best",AA995,"")</f>
        <v/>
      </c>
      <c r="AD995">
        <f>ROW()</f>
        <v/>
      </c>
    </row>
    <row r="996">
      <c r="A996" s="1" t="n"/>
      <c r="B996" s="21" t="n"/>
      <c r="C996" s="22" t="n"/>
      <c r="D996" s="23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15">
        <f>IF(D996="","",COUNT(F996,H996,J996,L996,N996))</f>
        <v/>
      </c>
      <c r="P996" s="25">
        <f>IF(D996="","",N(E996)*N(F996)+N(G996)*N(H996)+N(I996)*N(J996)+N(K996)*N(L996)+N(M996)*N(N996))</f>
        <v/>
      </c>
      <c r="Q996" s="18">
        <f>IF(N(X996)=0,"",IF(IF(N(F996)=0,0,IF(N(E996)&gt;0,E996*(1+F996/30),F996))=X996,IF(N(E996)&gt;0,E996&amp;" x "&amp;F996,F996&amp;" reps"),IF(IF(N(H996)=0,0,IF(N(G996)&gt;0,G996*(1+H996/30),H996))=X996,IF(N(G996)&gt;0,G996&amp;" x "&amp;H996,H996&amp;" reps"),IF(IF(N(J996)=0,0,IF(N(I996)&gt;0,I996*(1+J996/30),J996))=X996,IF(N(I996)&gt;0,I996&amp;" x "&amp;J996,J996&amp;" reps"),IF(IF(N(L996)=0,0,IF(N(K996)&gt;0,K996*(1+L996/30),L996))=X996,IF(N(K996)&gt;0,K996&amp;" x "&amp;L996,L996&amp;" reps"),IF(IF(N(N996)=0,0,IF(N(M996)&gt;0,M996*(1+N996/30),N996))=X996,IF(N(M996)&gt;0,M996&amp;" x "&amp;N996,N996&amp;" reps"),""))))))</f>
        <v/>
      </c>
      <c r="R996" s="20">
        <f>IF(N(X996)=0,"",ROUND(X996,1))</f>
        <v/>
      </c>
      <c r="S996" s="18">
        <f>IF(N(X996)=0,"",IF(AND(COUNTIFS(Log!$D$6:$D$1505,D996,Log!$B$6:$B$1505,"&lt;"&amp;B996)&gt;0,COUNTIFS(Log!$D$6:$D$1505,D996,Log!$B$6:$B$1505,"&lt;"&amp;B996,Log!$X$6:$X$1505,"&gt;="&amp;X996)=0),"New best",""))</f>
        <v/>
      </c>
      <c r="T996" s="26" t="n"/>
      <c r="U996" s="1">
        <f>IF(D996="","",IFERROR(INDEX(Exercises!$C$6:$C$105,MATCH(D996,Exercises!$B$6:$B$105,0)),"Other"))</f>
        <v/>
      </c>
      <c r="V996">
        <f>IF(B996="","",IF(COUNTIF($B$6:B996,B996)=1,1,0))</f>
        <v/>
      </c>
      <c r="W996">
        <f>IF(B996="","",B996-WEEKDAY(B996,3))</f>
        <v/>
      </c>
      <c r="X996">
        <f>IF(D996="","",MAX(IF(N(F996)=0,0,IF(N(E996)&gt;0,E996*(1+F996/30),F996)),IF(N(H996)=0,0,IF(N(G996)&gt;0,G996*(1+H996/30),H996)),IF(N(J996)=0,0,IF(N(I996)&gt;0,I996*(1+J996/30),J996)),IF(N(L996)=0,0,IF(N(K996)&gt;0,K996*(1+L996/30),L996)),IF(N(N996)=0,0,IF(N(M996)&gt;0,M996*(1+N996/30),N996))))</f>
        <v/>
      </c>
      <c r="Y996">
        <f>IF(N(X996)=0,"",X996+ROW()/1000000000)</f>
        <v/>
      </c>
      <c r="Z996">
        <f>IF(Y996="","",IF(COUNTIFS(Log!$D$6:$D$1505,D996,Log!$Y$6:$Y$1505,"&gt;"&amp;Y996)=0,1,0))</f>
        <v/>
      </c>
      <c r="AA996">
        <f>IF(OR(B996="",D996=""),"",B996+ROW()/10000000)</f>
        <v/>
      </c>
      <c r="AB996">
        <f>IF(AA996="","",IF(COUNTIFS(Log!$D$6:$D$1505,D996,Log!$AA$6:$AA$1505,"&gt;"&amp;AA996)=0,1,0))</f>
        <v/>
      </c>
      <c r="AC996">
        <f>IF(S996="New best",AA996,"")</f>
        <v/>
      </c>
      <c r="AD996">
        <f>ROW()</f>
        <v/>
      </c>
    </row>
    <row r="997">
      <c r="A997" s="1" t="n"/>
      <c r="B997" s="21" t="n"/>
      <c r="C997" s="22" t="n"/>
      <c r="D997" s="23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15">
        <f>IF(D997="","",COUNT(F997,H997,J997,L997,N997))</f>
        <v/>
      </c>
      <c r="P997" s="25">
        <f>IF(D997="","",N(E997)*N(F997)+N(G997)*N(H997)+N(I997)*N(J997)+N(K997)*N(L997)+N(M997)*N(N997))</f>
        <v/>
      </c>
      <c r="Q997" s="18">
        <f>IF(N(X997)=0,"",IF(IF(N(F997)=0,0,IF(N(E997)&gt;0,E997*(1+F997/30),F997))=X997,IF(N(E997)&gt;0,E997&amp;" x "&amp;F997,F997&amp;" reps"),IF(IF(N(H997)=0,0,IF(N(G997)&gt;0,G997*(1+H997/30),H997))=X997,IF(N(G997)&gt;0,G997&amp;" x "&amp;H997,H997&amp;" reps"),IF(IF(N(J997)=0,0,IF(N(I997)&gt;0,I997*(1+J997/30),J997))=X997,IF(N(I997)&gt;0,I997&amp;" x "&amp;J997,J997&amp;" reps"),IF(IF(N(L997)=0,0,IF(N(K997)&gt;0,K997*(1+L997/30),L997))=X997,IF(N(K997)&gt;0,K997&amp;" x "&amp;L997,L997&amp;" reps"),IF(IF(N(N997)=0,0,IF(N(M997)&gt;0,M997*(1+N997/30),N997))=X997,IF(N(M997)&gt;0,M997&amp;" x "&amp;N997,N997&amp;" reps"),""))))))</f>
        <v/>
      </c>
      <c r="R997" s="20">
        <f>IF(N(X997)=0,"",ROUND(X997,1))</f>
        <v/>
      </c>
      <c r="S997" s="18">
        <f>IF(N(X997)=0,"",IF(AND(COUNTIFS(Log!$D$6:$D$1505,D997,Log!$B$6:$B$1505,"&lt;"&amp;B997)&gt;0,COUNTIFS(Log!$D$6:$D$1505,D997,Log!$B$6:$B$1505,"&lt;"&amp;B997,Log!$X$6:$X$1505,"&gt;="&amp;X997)=0),"New best",""))</f>
        <v/>
      </c>
      <c r="T997" s="26" t="n"/>
      <c r="U997" s="1">
        <f>IF(D997="","",IFERROR(INDEX(Exercises!$C$6:$C$105,MATCH(D997,Exercises!$B$6:$B$105,0)),"Other"))</f>
        <v/>
      </c>
      <c r="V997">
        <f>IF(B997="","",IF(COUNTIF($B$6:B997,B997)=1,1,0))</f>
        <v/>
      </c>
      <c r="W997">
        <f>IF(B997="","",B997-WEEKDAY(B997,3))</f>
        <v/>
      </c>
      <c r="X997">
        <f>IF(D997="","",MAX(IF(N(F997)=0,0,IF(N(E997)&gt;0,E997*(1+F997/30),F997)),IF(N(H997)=0,0,IF(N(G997)&gt;0,G997*(1+H997/30),H997)),IF(N(J997)=0,0,IF(N(I997)&gt;0,I997*(1+J997/30),J997)),IF(N(L997)=0,0,IF(N(K997)&gt;0,K997*(1+L997/30),L997)),IF(N(N997)=0,0,IF(N(M997)&gt;0,M997*(1+N997/30),N997))))</f>
        <v/>
      </c>
      <c r="Y997">
        <f>IF(N(X997)=0,"",X997+ROW()/1000000000)</f>
        <v/>
      </c>
      <c r="Z997">
        <f>IF(Y997="","",IF(COUNTIFS(Log!$D$6:$D$1505,D997,Log!$Y$6:$Y$1505,"&gt;"&amp;Y997)=0,1,0))</f>
        <v/>
      </c>
      <c r="AA997">
        <f>IF(OR(B997="",D997=""),"",B997+ROW()/10000000)</f>
        <v/>
      </c>
      <c r="AB997">
        <f>IF(AA997="","",IF(COUNTIFS(Log!$D$6:$D$1505,D997,Log!$AA$6:$AA$1505,"&gt;"&amp;AA997)=0,1,0))</f>
        <v/>
      </c>
      <c r="AC997">
        <f>IF(S997="New best",AA997,"")</f>
        <v/>
      </c>
      <c r="AD997">
        <f>ROW()</f>
        <v/>
      </c>
    </row>
    <row r="998">
      <c r="A998" s="1" t="n"/>
      <c r="B998" s="21" t="n"/>
      <c r="C998" s="22" t="n"/>
      <c r="D998" s="23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15">
        <f>IF(D998="","",COUNT(F998,H998,J998,L998,N998))</f>
        <v/>
      </c>
      <c r="P998" s="25">
        <f>IF(D998="","",N(E998)*N(F998)+N(G998)*N(H998)+N(I998)*N(J998)+N(K998)*N(L998)+N(M998)*N(N998))</f>
        <v/>
      </c>
      <c r="Q998" s="18">
        <f>IF(N(X998)=0,"",IF(IF(N(F998)=0,0,IF(N(E998)&gt;0,E998*(1+F998/30),F998))=X998,IF(N(E998)&gt;0,E998&amp;" x "&amp;F998,F998&amp;" reps"),IF(IF(N(H998)=0,0,IF(N(G998)&gt;0,G998*(1+H998/30),H998))=X998,IF(N(G998)&gt;0,G998&amp;" x "&amp;H998,H998&amp;" reps"),IF(IF(N(J998)=0,0,IF(N(I998)&gt;0,I998*(1+J998/30),J998))=X998,IF(N(I998)&gt;0,I998&amp;" x "&amp;J998,J998&amp;" reps"),IF(IF(N(L998)=0,0,IF(N(K998)&gt;0,K998*(1+L998/30),L998))=X998,IF(N(K998)&gt;0,K998&amp;" x "&amp;L998,L998&amp;" reps"),IF(IF(N(N998)=0,0,IF(N(M998)&gt;0,M998*(1+N998/30),N998))=X998,IF(N(M998)&gt;0,M998&amp;" x "&amp;N998,N998&amp;" reps"),""))))))</f>
        <v/>
      </c>
      <c r="R998" s="20">
        <f>IF(N(X998)=0,"",ROUND(X998,1))</f>
        <v/>
      </c>
      <c r="S998" s="18">
        <f>IF(N(X998)=0,"",IF(AND(COUNTIFS(Log!$D$6:$D$1505,D998,Log!$B$6:$B$1505,"&lt;"&amp;B998)&gt;0,COUNTIFS(Log!$D$6:$D$1505,D998,Log!$B$6:$B$1505,"&lt;"&amp;B998,Log!$X$6:$X$1505,"&gt;="&amp;X998)=0),"New best",""))</f>
        <v/>
      </c>
      <c r="T998" s="26" t="n"/>
      <c r="U998" s="1">
        <f>IF(D998="","",IFERROR(INDEX(Exercises!$C$6:$C$105,MATCH(D998,Exercises!$B$6:$B$105,0)),"Other"))</f>
        <v/>
      </c>
      <c r="V998">
        <f>IF(B998="","",IF(COUNTIF($B$6:B998,B998)=1,1,0))</f>
        <v/>
      </c>
      <c r="W998">
        <f>IF(B998="","",B998-WEEKDAY(B998,3))</f>
        <v/>
      </c>
      <c r="X998">
        <f>IF(D998="","",MAX(IF(N(F998)=0,0,IF(N(E998)&gt;0,E998*(1+F998/30),F998)),IF(N(H998)=0,0,IF(N(G998)&gt;0,G998*(1+H998/30),H998)),IF(N(J998)=0,0,IF(N(I998)&gt;0,I998*(1+J998/30),J998)),IF(N(L998)=0,0,IF(N(K998)&gt;0,K998*(1+L998/30),L998)),IF(N(N998)=0,0,IF(N(M998)&gt;0,M998*(1+N998/30),N998))))</f>
        <v/>
      </c>
      <c r="Y998">
        <f>IF(N(X998)=0,"",X998+ROW()/1000000000)</f>
        <v/>
      </c>
      <c r="Z998">
        <f>IF(Y998="","",IF(COUNTIFS(Log!$D$6:$D$1505,D998,Log!$Y$6:$Y$1505,"&gt;"&amp;Y998)=0,1,0))</f>
        <v/>
      </c>
      <c r="AA998">
        <f>IF(OR(B998="",D998=""),"",B998+ROW()/10000000)</f>
        <v/>
      </c>
      <c r="AB998">
        <f>IF(AA998="","",IF(COUNTIFS(Log!$D$6:$D$1505,D998,Log!$AA$6:$AA$1505,"&gt;"&amp;AA998)=0,1,0))</f>
        <v/>
      </c>
      <c r="AC998">
        <f>IF(S998="New best",AA998,"")</f>
        <v/>
      </c>
      <c r="AD998">
        <f>ROW()</f>
        <v/>
      </c>
    </row>
    <row r="999">
      <c r="A999" s="1" t="n"/>
      <c r="B999" s="21" t="n"/>
      <c r="C999" s="22" t="n"/>
      <c r="D999" s="23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15">
        <f>IF(D999="","",COUNT(F999,H999,J999,L999,N999))</f>
        <v/>
      </c>
      <c r="P999" s="25">
        <f>IF(D999="","",N(E999)*N(F999)+N(G999)*N(H999)+N(I999)*N(J999)+N(K999)*N(L999)+N(M999)*N(N999))</f>
        <v/>
      </c>
      <c r="Q999" s="18">
        <f>IF(N(X999)=0,"",IF(IF(N(F999)=0,0,IF(N(E999)&gt;0,E999*(1+F999/30),F999))=X999,IF(N(E999)&gt;0,E999&amp;" x "&amp;F999,F999&amp;" reps"),IF(IF(N(H999)=0,0,IF(N(G999)&gt;0,G999*(1+H999/30),H999))=X999,IF(N(G999)&gt;0,G999&amp;" x "&amp;H999,H999&amp;" reps"),IF(IF(N(J999)=0,0,IF(N(I999)&gt;0,I999*(1+J999/30),J999))=X999,IF(N(I999)&gt;0,I999&amp;" x "&amp;J999,J999&amp;" reps"),IF(IF(N(L999)=0,0,IF(N(K999)&gt;0,K999*(1+L999/30),L999))=X999,IF(N(K999)&gt;0,K999&amp;" x "&amp;L999,L999&amp;" reps"),IF(IF(N(N999)=0,0,IF(N(M999)&gt;0,M999*(1+N999/30),N999))=X999,IF(N(M999)&gt;0,M999&amp;" x "&amp;N999,N999&amp;" reps"),""))))))</f>
        <v/>
      </c>
      <c r="R999" s="20">
        <f>IF(N(X999)=0,"",ROUND(X999,1))</f>
        <v/>
      </c>
      <c r="S999" s="18">
        <f>IF(N(X999)=0,"",IF(AND(COUNTIFS(Log!$D$6:$D$1505,D999,Log!$B$6:$B$1505,"&lt;"&amp;B999)&gt;0,COUNTIFS(Log!$D$6:$D$1505,D999,Log!$B$6:$B$1505,"&lt;"&amp;B999,Log!$X$6:$X$1505,"&gt;="&amp;X999)=0),"New best",""))</f>
        <v/>
      </c>
      <c r="T999" s="26" t="n"/>
      <c r="U999" s="1">
        <f>IF(D999="","",IFERROR(INDEX(Exercises!$C$6:$C$105,MATCH(D999,Exercises!$B$6:$B$105,0)),"Other"))</f>
        <v/>
      </c>
      <c r="V999">
        <f>IF(B999="","",IF(COUNTIF($B$6:B999,B999)=1,1,0))</f>
        <v/>
      </c>
      <c r="W999">
        <f>IF(B999="","",B999-WEEKDAY(B999,3))</f>
        <v/>
      </c>
      <c r="X999">
        <f>IF(D999="","",MAX(IF(N(F999)=0,0,IF(N(E999)&gt;0,E999*(1+F999/30),F999)),IF(N(H999)=0,0,IF(N(G999)&gt;0,G999*(1+H999/30),H999)),IF(N(J999)=0,0,IF(N(I999)&gt;0,I999*(1+J999/30),J999)),IF(N(L999)=0,0,IF(N(K999)&gt;0,K999*(1+L999/30),L999)),IF(N(N999)=0,0,IF(N(M999)&gt;0,M999*(1+N999/30),N999))))</f>
        <v/>
      </c>
      <c r="Y999">
        <f>IF(N(X999)=0,"",X999+ROW()/1000000000)</f>
        <v/>
      </c>
      <c r="Z999">
        <f>IF(Y999="","",IF(COUNTIFS(Log!$D$6:$D$1505,D999,Log!$Y$6:$Y$1505,"&gt;"&amp;Y999)=0,1,0))</f>
        <v/>
      </c>
      <c r="AA999">
        <f>IF(OR(B999="",D999=""),"",B999+ROW()/10000000)</f>
        <v/>
      </c>
      <c r="AB999">
        <f>IF(AA999="","",IF(COUNTIFS(Log!$D$6:$D$1505,D999,Log!$AA$6:$AA$1505,"&gt;"&amp;AA999)=0,1,0))</f>
        <v/>
      </c>
      <c r="AC999">
        <f>IF(S999="New best",AA999,"")</f>
        <v/>
      </c>
      <c r="AD999">
        <f>ROW()</f>
        <v/>
      </c>
    </row>
    <row r="1000">
      <c r="A1000" s="1" t="n"/>
      <c r="B1000" s="21" t="n"/>
      <c r="C1000" s="22" t="n"/>
      <c r="D1000" s="23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15">
        <f>IF(D1000="","",COUNT(F1000,H1000,J1000,L1000,N1000))</f>
        <v/>
      </c>
      <c r="P1000" s="25">
        <f>IF(D1000="","",N(E1000)*N(F1000)+N(G1000)*N(H1000)+N(I1000)*N(J1000)+N(K1000)*N(L1000)+N(M1000)*N(N1000))</f>
        <v/>
      </c>
      <c r="Q1000" s="18">
        <f>IF(N(X1000)=0,"",IF(IF(N(F1000)=0,0,IF(N(E1000)&gt;0,E1000*(1+F1000/30),F1000))=X1000,IF(N(E1000)&gt;0,E1000&amp;" x "&amp;F1000,F1000&amp;" reps"),IF(IF(N(H1000)=0,0,IF(N(G1000)&gt;0,G1000*(1+H1000/30),H1000))=X1000,IF(N(G1000)&gt;0,G1000&amp;" x "&amp;H1000,H1000&amp;" reps"),IF(IF(N(J1000)=0,0,IF(N(I1000)&gt;0,I1000*(1+J1000/30),J1000))=X1000,IF(N(I1000)&gt;0,I1000&amp;" x "&amp;J1000,J1000&amp;" reps"),IF(IF(N(L1000)=0,0,IF(N(K1000)&gt;0,K1000*(1+L1000/30),L1000))=X1000,IF(N(K1000)&gt;0,K1000&amp;" x "&amp;L1000,L1000&amp;" reps"),IF(IF(N(N1000)=0,0,IF(N(M1000)&gt;0,M1000*(1+N1000/30),N1000))=X1000,IF(N(M1000)&gt;0,M1000&amp;" x "&amp;N1000,N1000&amp;" reps"),""))))))</f>
        <v/>
      </c>
      <c r="R1000" s="20">
        <f>IF(N(X1000)=0,"",ROUND(X1000,1))</f>
        <v/>
      </c>
      <c r="S1000" s="18">
        <f>IF(N(X1000)=0,"",IF(AND(COUNTIFS(Log!$D$6:$D$1505,D1000,Log!$B$6:$B$1505,"&lt;"&amp;B1000)&gt;0,COUNTIFS(Log!$D$6:$D$1505,D1000,Log!$B$6:$B$1505,"&lt;"&amp;B1000,Log!$X$6:$X$1505,"&gt;="&amp;X1000)=0),"New best",""))</f>
        <v/>
      </c>
      <c r="T1000" s="26" t="n"/>
      <c r="U1000" s="1">
        <f>IF(D1000="","",IFERROR(INDEX(Exercises!$C$6:$C$105,MATCH(D1000,Exercises!$B$6:$B$105,0)),"Other"))</f>
        <v/>
      </c>
      <c r="V1000">
        <f>IF(B1000="","",IF(COUNTIF($B$6:B1000,B1000)=1,1,0))</f>
        <v/>
      </c>
      <c r="W1000">
        <f>IF(B1000="","",B1000-WEEKDAY(B1000,3))</f>
        <v/>
      </c>
      <c r="X1000">
        <f>IF(D1000="","",MAX(IF(N(F1000)=0,0,IF(N(E1000)&gt;0,E1000*(1+F1000/30),F1000)),IF(N(H1000)=0,0,IF(N(G1000)&gt;0,G1000*(1+H1000/30),H1000)),IF(N(J1000)=0,0,IF(N(I1000)&gt;0,I1000*(1+J1000/30),J1000)),IF(N(L1000)=0,0,IF(N(K1000)&gt;0,K1000*(1+L1000/30),L1000)),IF(N(N1000)=0,0,IF(N(M1000)&gt;0,M1000*(1+N1000/30),N1000))))</f>
        <v/>
      </c>
      <c r="Y1000">
        <f>IF(N(X1000)=0,"",X1000+ROW()/1000000000)</f>
        <v/>
      </c>
      <c r="Z1000">
        <f>IF(Y1000="","",IF(COUNTIFS(Log!$D$6:$D$1505,D1000,Log!$Y$6:$Y$1505,"&gt;"&amp;Y1000)=0,1,0))</f>
        <v/>
      </c>
      <c r="AA1000">
        <f>IF(OR(B1000="",D1000=""),"",B1000+ROW()/10000000)</f>
        <v/>
      </c>
      <c r="AB1000">
        <f>IF(AA1000="","",IF(COUNTIFS(Log!$D$6:$D$1505,D1000,Log!$AA$6:$AA$1505,"&gt;"&amp;AA1000)=0,1,0))</f>
        <v/>
      </c>
      <c r="AC1000">
        <f>IF(S1000="New best",AA1000,"")</f>
        <v/>
      </c>
      <c r="AD1000">
        <f>ROW()</f>
        <v/>
      </c>
    </row>
    <row r="1001">
      <c r="A1001" s="1" t="n"/>
      <c r="B1001" s="21" t="n"/>
      <c r="C1001" s="22" t="n"/>
      <c r="D1001" s="23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15">
        <f>IF(D1001="","",COUNT(F1001,H1001,J1001,L1001,N1001))</f>
        <v/>
      </c>
      <c r="P1001" s="25">
        <f>IF(D1001="","",N(E1001)*N(F1001)+N(G1001)*N(H1001)+N(I1001)*N(J1001)+N(K1001)*N(L1001)+N(M1001)*N(N1001))</f>
        <v/>
      </c>
      <c r="Q1001" s="18">
        <f>IF(N(X1001)=0,"",IF(IF(N(F1001)=0,0,IF(N(E1001)&gt;0,E1001*(1+F1001/30),F1001))=X1001,IF(N(E1001)&gt;0,E1001&amp;" x "&amp;F1001,F1001&amp;" reps"),IF(IF(N(H1001)=0,0,IF(N(G1001)&gt;0,G1001*(1+H1001/30),H1001))=X1001,IF(N(G1001)&gt;0,G1001&amp;" x "&amp;H1001,H1001&amp;" reps"),IF(IF(N(J1001)=0,0,IF(N(I1001)&gt;0,I1001*(1+J1001/30),J1001))=X1001,IF(N(I1001)&gt;0,I1001&amp;" x "&amp;J1001,J1001&amp;" reps"),IF(IF(N(L1001)=0,0,IF(N(K1001)&gt;0,K1001*(1+L1001/30),L1001))=X1001,IF(N(K1001)&gt;0,K1001&amp;" x "&amp;L1001,L1001&amp;" reps"),IF(IF(N(N1001)=0,0,IF(N(M1001)&gt;0,M1001*(1+N1001/30),N1001))=X1001,IF(N(M1001)&gt;0,M1001&amp;" x "&amp;N1001,N1001&amp;" reps"),""))))))</f>
        <v/>
      </c>
      <c r="R1001" s="20">
        <f>IF(N(X1001)=0,"",ROUND(X1001,1))</f>
        <v/>
      </c>
      <c r="S1001" s="18">
        <f>IF(N(X1001)=0,"",IF(AND(COUNTIFS(Log!$D$6:$D$1505,D1001,Log!$B$6:$B$1505,"&lt;"&amp;B1001)&gt;0,COUNTIFS(Log!$D$6:$D$1505,D1001,Log!$B$6:$B$1505,"&lt;"&amp;B1001,Log!$X$6:$X$1505,"&gt;="&amp;X1001)=0),"New best",""))</f>
        <v/>
      </c>
      <c r="T1001" s="26" t="n"/>
      <c r="U1001" s="1">
        <f>IF(D1001="","",IFERROR(INDEX(Exercises!$C$6:$C$105,MATCH(D1001,Exercises!$B$6:$B$105,0)),"Other"))</f>
        <v/>
      </c>
      <c r="V1001">
        <f>IF(B1001="","",IF(COUNTIF($B$6:B1001,B1001)=1,1,0))</f>
        <v/>
      </c>
      <c r="W1001">
        <f>IF(B1001="","",B1001-WEEKDAY(B1001,3))</f>
        <v/>
      </c>
      <c r="X1001">
        <f>IF(D1001="","",MAX(IF(N(F1001)=0,0,IF(N(E1001)&gt;0,E1001*(1+F1001/30),F1001)),IF(N(H1001)=0,0,IF(N(G1001)&gt;0,G1001*(1+H1001/30),H1001)),IF(N(J1001)=0,0,IF(N(I1001)&gt;0,I1001*(1+J1001/30),J1001)),IF(N(L1001)=0,0,IF(N(K1001)&gt;0,K1001*(1+L1001/30),L1001)),IF(N(N1001)=0,0,IF(N(M1001)&gt;0,M1001*(1+N1001/30),N1001))))</f>
        <v/>
      </c>
      <c r="Y1001">
        <f>IF(N(X1001)=0,"",X1001+ROW()/1000000000)</f>
        <v/>
      </c>
      <c r="Z1001">
        <f>IF(Y1001="","",IF(COUNTIFS(Log!$D$6:$D$1505,D1001,Log!$Y$6:$Y$1505,"&gt;"&amp;Y1001)=0,1,0))</f>
        <v/>
      </c>
      <c r="AA1001">
        <f>IF(OR(B1001="",D1001=""),"",B1001+ROW()/10000000)</f>
        <v/>
      </c>
      <c r="AB1001">
        <f>IF(AA1001="","",IF(COUNTIFS(Log!$D$6:$D$1505,D1001,Log!$AA$6:$AA$1505,"&gt;"&amp;AA1001)=0,1,0))</f>
        <v/>
      </c>
      <c r="AC1001">
        <f>IF(S1001="New best",AA1001,"")</f>
        <v/>
      </c>
      <c r="AD1001">
        <f>ROW()</f>
        <v/>
      </c>
    </row>
    <row r="1002">
      <c r="A1002" s="1" t="n"/>
      <c r="B1002" s="21" t="n"/>
      <c r="C1002" s="22" t="n"/>
      <c r="D1002" s="23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15">
        <f>IF(D1002="","",COUNT(F1002,H1002,J1002,L1002,N1002))</f>
        <v/>
      </c>
      <c r="P1002" s="25">
        <f>IF(D1002="","",N(E1002)*N(F1002)+N(G1002)*N(H1002)+N(I1002)*N(J1002)+N(K1002)*N(L1002)+N(M1002)*N(N1002))</f>
        <v/>
      </c>
      <c r="Q1002" s="18">
        <f>IF(N(X1002)=0,"",IF(IF(N(F1002)=0,0,IF(N(E1002)&gt;0,E1002*(1+F1002/30),F1002))=X1002,IF(N(E1002)&gt;0,E1002&amp;" x "&amp;F1002,F1002&amp;" reps"),IF(IF(N(H1002)=0,0,IF(N(G1002)&gt;0,G1002*(1+H1002/30),H1002))=X1002,IF(N(G1002)&gt;0,G1002&amp;" x "&amp;H1002,H1002&amp;" reps"),IF(IF(N(J1002)=0,0,IF(N(I1002)&gt;0,I1002*(1+J1002/30),J1002))=X1002,IF(N(I1002)&gt;0,I1002&amp;" x "&amp;J1002,J1002&amp;" reps"),IF(IF(N(L1002)=0,0,IF(N(K1002)&gt;0,K1002*(1+L1002/30),L1002))=X1002,IF(N(K1002)&gt;0,K1002&amp;" x "&amp;L1002,L1002&amp;" reps"),IF(IF(N(N1002)=0,0,IF(N(M1002)&gt;0,M1002*(1+N1002/30),N1002))=X1002,IF(N(M1002)&gt;0,M1002&amp;" x "&amp;N1002,N1002&amp;" reps"),""))))))</f>
        <v/>
      </c>
      <c r="R1002" s="20">
        <f>IF(N(X1002)=0,"",ROUND(X1002,1))</f>
        <v/>
      </c>
      <c r="S1002" s="18">
        <f>IF(N(X1002)=0,"",IF(AND(COUNTIFS(Log!$D$6:$D$1505,D1002,Log!$B$6:$B$1505,"&lt;"&amp;B1002)&gt;0,COUNTIFS(Log!$D$6:$D$1505,D1002,Log!$B$6:$B$1505,"&lt;"&amp;B1002,Log!$X$6:$X$1505,"&gt;="&amp;X1002)=0),"New best",""))</f>
        <v/>
      </c>
      <c r="T1002" s="26" t="n"/>
      <c r="U1002" s="1">
        <f>IF(D1002="","",IFERROR(INDEX(Exercises!$C$6:$C$105,MATCH(D1002,Exercises!$B$6:$B$105,0)),"Other"))</f>
        <v/>
      </c>
      <c r="V1002">
        <f>IF(B1002="","",IF(COUNTIF($B$6:B1002,B1002)=1,1,0))</f>
        <v/>
      </c>
      <c r="W1002">
        <f>IF(B1002="","",B1002-WEEKDAY(B1002,3))</f>
        <v/>
      </c>
      <c r="X1002">
        <f>IF(D1002="","",MAX(IF(N(F1002)=0,0,IF(N(E1002)&gt;0,E1002*(1+F1002/30),F1002)),IF(N(H1002)=0,0,IF(N(G1002)&gt;0,G1002*(1+H1002/30),H1002)),IF(N(J1002)=0,0,IF(N(I1002)&gt;0,I1002*(1+J1002/30),J1002)),IF(N(L1002)=0,0,IF(N(K1002)&gt;0,K1002*(1+L1002/30),L1002)),IF(N(N1002)=0,0,IF(N(M1002)&gt;0,M1002*(1+N1002/30),N1002))))</f>
        <v/>
      </c>
      <c r="Y1002">
        <f>IF(N(X1002)=0,"",X1002+ROW()/1000000000)</f>
        <v/>
      </c>
      <c r="Z1002">
        <f>IF(Y1002="","",IF(COUNTIFS(Log!$D$6:$D$1505,D1002,Log!$Y$6:$Y$1505,"&gt;"&amp;Y1002)=0,1,0))</f>
        <v/>
      </c>
      <c r="AA1002">
        <f>IF(OR(B1002="",D1002=""),"",B1002+ROW()/10000000)</f>
        <v/>
      </c>
      <c r="AB1002">
        <f>IF(AA1002="","",IF(COUNTIFS(Log!$D$6:$D$1505,D1002,Log!$AA$6:$AA$1505,"&gt;"&amp;AA1002)=0,1,0))</f>
        <v/>
      </c>
      <c r="AC1002">
        <f>IF(S1002="New best",AA1002,"")</f>
        <v/>
      </c>
      <c r="AD1002">
        <f>ROW()</f>
        <v/>
      </c>
    </row>
    <row r="1003">
      <c r="A1003" s="1" t="n"/>
      <c r="B1003" s="21" t="n"/>
      <c r="C1003" s="22" t="n"/>
      <c r="D1003" s="23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15">
        <f>IF(D1003="","",COUNT(F1003,H1003,J1003,L1003,N1003))</f>
        <v/>
      </c>
      <c r="P1003" s="25">
        <f>IF(D1003="","",N(E1003)*N(F1003)+N(G1003)*N(H1003)+N(I1003)*N(J1003)+N(K1003)*N(L1003)+N(M1003)*N(N1003))</f>
        <v/>
      </c>
      <c r="Q1003" s="18">
        <f>IF(N(X1003)=0,"",IF(IF(N(F1003)=0,0,IF(N(E1003)&gt;0,E1003*(1+F1003/30),F1003))=X1003,IF(N(E1003)&gt;0,E1003&amp;" x "&amp;F1003,F1003&amp;" reps"),IF(IF(N(H1003)=0,0,IF(N(G1003)&gt;0,G1003*(1+H1003/30),H1003))=X1003,IF(N(G1003)&gt;0,G1003&amp;" x "&amp;H1003,H1003&amp;" reps"),IF(IF(N(J1003)=0,0,IF(N(I1003)&gt;0,I1003*(1+J1003/30),J1003))=X1003,IF(N(I1003)&gt;0,I1003&amp;" x "&amp;J1003,J1003&amp;" reps"),IF(IF(N(L1003)=0,0,IF(N(K1003)&gt;0,K1003*(1+L1003/30),L1003))=X1003,IF(N(K1003)&gt;0,K1003&amp;" x "&amp;L1003,L1003&amp;" reps"),IF(IF(N(N1003)=0,0,IF(N(M1003)&gt;0,M1003*(1+N1003/30),N1003))=X1003,IF(N(M1003)&gt;0,M1003&amp;" x "&amp;N1003,N1003&amp;" reps"),""))))))</f>
        <v/>
      </c>
      <c r="R1003" s="20">
        <f>IF(N(X1003)=0,"",ROUND(X1003,1))</f>
        <v/>
      </c>
      <c r="S1003" s="18">
        <f>IF(N(X1003)=0,"",IF(AND(COUNTIFS(Log!$D$6:$D$1505,D1003,Log!$B$6:$B$1505,"&lt;"&amp;B1003)&gt;0,COUNTIFS(Log!$D$6:$D$1505,D1003,Log!$B$6:$B$1505,"&lt;"&amp;B1003,Log!$X$6:$X$1505,"&gt;="&amp;X1003)=0),"New best",""))</f>
        <v/>
      </c>
      <c r="T1003" s="26" t="n"/>
      <c r="U1003" s="1">
        <f>IF(D1003="","",IFERROR(INDEX(Exercises!$C$6:$C$105,MATCH(D1003,Exercises!$B$6:$B$105,0)),"Other"))</f>
        <v/>
      </c>
      <c r="V1003">
        <f>IF(B1003="","",IF(COUNTIF($B$6:B1003,B1003)=1,1,0))</f>
        <v/>
      </c>
      <c r="W1003">
        <f>IF(B1003="","",B1003-WEEKDAY(B1003,3))</f>
        <v/>
      </c>
      <c r="X1003">
        <f>IF(D1003="","",MAX(IF(N(F1003)=0,0,IF(N(E1003)&gt;0,E1003*(1+F1003/30),F1003)),IF(N(H1003)=0,0,IF(N(G1003)&gt;0,G1003*(1+H1003/30),H1003)),IF(N(J1003)=0,0,IF(N(I1003)&gt;0,I1003*(1+J1003/30),J1003)),IF(N(L1003)=0,0,IF(N(K1003)&gt;0,K1003*(1+L1003/30),L1003)),IF(N(N1003)=0,0,IF(N(M1003)&gt;0,M1003*(1+N1003/30),N1003))))</f>
        <v/>
      </c>
      <c r="Y1003">
        <f>IF(N(X1003)=0,"",X1003+ROW()/1000000000)</f>
        <v/>
      </c>
      <c r="Z1003">
        <f>IF(Y1003="","",IF(COUNTIFS(Log!$D$6:$D$1505,D1003,Log!$Y$6:$Y$1505,"&gt;"&amp;Y1003)=0,1,0))</f>
        <v/>
      </c>
      <c r="AA1003">
        <f>IF(OR(B1003="",D1003=""),"",B1003+ROW()/10000000)</f>
        <v/>
      </c>
      <c r="AB1003">
        <f>IF(AA1003="","",IF(COUNTIFS(Log!$D$6:$D$1505,D1003,Log!$AA$6:$AA$1505,"&gt;"&amp;AA1003)=0,1,0))</f>
        <v/>
      </c>
      <c r="AC1003">
        <f>IF(S1003="New best",AA1003,"")</f>
        <v/>
      </c>
      <c r="AD1003">
        <f>ROW()</f>
        <v/>
      </c>
    </row>
    <row r="1004">
      <c r="A1004" s="1" t="n"/>
      <c r="B1004" s="21" t="n"/>
      <c r="C1004" s="22" t="n"/>
      <c r="D1004" s="23" t="n"/>
      <c r="E1004" s="24" t="n"/>
      <c r="F1004" s="24" t="n"/>
      <c r="G1004" s="24" t="n"/>
      <c r="H1004" s="24" t="n"/>
      <c r="I1004" s="24" t="n"/>
      <c r="J1004" s="24" t="n"/>
      <c r="K1004" s="24" t="n"/>
      <c r="L1004" s="24" t="n"/>
      <c r="M1004" s="24" t="n"/>
      <c r="N1004" s="24" t="n"/>
      <c r="O1004" s="15">
        <f>IF(D1004="","",COUNT(F1004,H1004,J1004,L1004,N1004))</f>
        <v/>
      </c>
      <c r="P1004" s="25">
        <f>IF(D1004="","",N(E1004)*N(F1004)+N(G1004)*N(H1004)+N(I1004)*N(J1004)+N(K1004)*N(L1004)+N(M1004)*N(N1004))</f>
        <v/>
      </c>
      <c r="Q1004" s="18">
        <f>IF(N(X1004)=0,"",IF(IF(N(F1004)=0,0,IF(N(E1004)&gt;0,E1004*(1+F1004/30),F1004))=X1004,IF(N(E1004)&gt;0,E1004&amp;" x "&amp;F1004,F1004&amp;" reps"),IF(IF(N(H1004)=0,0,IF(N(G1004)&gt;0,G1004*(1+H1004/30),H1004))=X1004,IF(N(G1004)&gt;0,G1004&amp;" x "&amp;H1004,H1004&amp;" reps"),IF(IF(N(J1004)=0,0,IF(N(I1004)&gt;0,I1004*(1+J1004/30),J1004))=X1004,IF(N(I1004)&gt;0,I1004&amp;" x "&amp;J1004,J1004&amp;" reps"),IF(IF(N(L1004)=0,0,IF(N(K1004)&gt;0,K1004*(1+L1004/30),L1004))=X1004,IF(N(K1004)&gt;0,K1004&amp;" x "&amp;L1004,L1004&amp;" reps"),IF(IF(N(N1004)=0,0,IF(N(M1004)&gt;0,M1004*(1+N1004/30),N1004))=X1004,IF(N(M1004)&gt;0,M1004&amp;" x "&amp;N1004,N1004&amp;" reps"),""))))))</f>
        <v/>
      </c>
      <c r="R1004" s="20">
        <f>IF(N(X1004)=0,"",ROUND(X1004,1))</f>
        <v/>
      </c>
      <c r="S1004" s="18">
        <f>IF(N(X1004)=0,"",IF(AND(COUNTIFS(Log!$D$6:$D$1505,D1004,Log!$B$6:$B$1505,"&lt;"&amp;B1004)&gt;0,COUNTIFS(Log!$D$6:$D$1505,D1004,Log!$B$6:$B$1505,"&lt;"&amp;B1004,Log!$X$6:$X$1505,"&gt;="&amp;X1004)=0),"New best",""))</f>
        <v/>
      </c>
      <c r="T1004" s="26" t="n"/>
      <c r="U1004" s="1">
        <f>IF(D1004="","",IFERROR(INDEX(Exercises!$C$6:$C$105,MATCH(D1004,Exercises!$B$6:$B$105,0)),"Other"))</f>
        <v/>
      </c>
      <c r="V1004">
        <f>IF(B1004="","",IF(COUNTIF($B$6:B1004,B1004)=1,1,0))</f>
        <v/>
      </c>
      <c r="W1004">
        <f>IF(B1004="","",B1004-WEEKDAY(B1004,3))</f>
        <v/>
      </c>
      <c r="X1004">
        <f>IF(D1004="","",MAX(IF(N(F1004)=0,0,IF(N(E1004)&gt;0,E1004*(1+F1004/30),F1004)),IF(N(H1004)=0,0,IF(N(G1004)&gt;0,G1004*(1+H1004/30),H1004)),IF(N(J1004)=0,0,IF(N(I1004)&gt;0,I1004*(1+J1004/30),J1004)),IF(N(L1004)=0,0,IF(N(K1004)&gt;0,K1004*(1+L1004/30),L1004)),IF(N(N1004)=0,0,IF(N(M1004)&gt;0,M1004*(1+N1004/30),N1004))))</f>
        <v/>
      </c>
      <c r="Y1004">
        <f>IF(N(X1004)=0,"",X1004+ROW()/1000000000)</f>
        <v/>
      </c>
      <c r="Z1004">
        <f>IF(Y1004="","",IF(COUNTIFS(Log!$D$6:$D$1505,D1004,Log!$Y$6:$Y$1505,"&gt;"&amp;Y1004)=0,1,0))</f>
        <v/>
      </c>
      <c r="AA1004">
        <f>IF(OR(B1004="",D1004=""),"",B1004+ROW()/10000000)</f>
        <v/>
      </c>
      <c r="AB1004">
        <f>IF(AA1004="","",IF(COUNTIFS(Log!$D$6:$D$1505,D1004,Log!$AA$6:$AA$1505,"&gt;"&amp;AA1004)=0,1,0))</f>
        <v/>
      </c>
      <c r="AC1004">
        <f>IF(S1004="New best",AA1004,"")</f>
        <v/>
      </c>
      <c r="AD1004">
        <f>ROW()</f>
        <v/>
      </c>
    </row>
    <row r="1005">
      <c r="A1005" s="1" t="n"/>
      <c r="B1005" s="21" t="n"/>
      <c r="C1005" s="22" t="n"/>
      <c r="D1005" s="23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15">
        <f>IF(D1005="","",COUNT(F1005,H1005,J1005,L1005,N1005))</f>
        <v/>
      </c>
      <c r="P1005" s="25">
        <f>IF(D1005="","",N(E1005)*N(F1005)+N(G1005)*N(H1005)+N(I1005)*N(J1005)+N(K1005)*N(L1005)+N(M1005)*N(N1005))</f>
        <v/>
      </c>
      <c r="Q1005" s="18">
        <f>IF(N(X1005)=0,"",IF(IF(N(F1005)=0,0,IF(N(E1005)&gt;0,E1005*(1+F1005/30),F1005))=X1005,IF(N(E1005)&gt;0,E1005&amp;" x "&amp;F1005,F1005&amp;" reps"),IF(IF(N(H1005)=0,0,IF(N(G1005)&gt;0,G1005*(1+H1005/30),H1005))=X1005,IF(N(G1005)&gt;0,G1005&amp;" x "&amp;H1005,H1005&amp;" reps"),IF(IF(N(J1005)=0,0,IF(N(I1005)&gt;0,I1005*(1+J1005/30),J1005))=X1005,IF(N(I1005)&gt;0,I1005&amp;" x "&amp;J1005,J1005&amp;" reps"),IF(IF(N(L1005)=0,0,IF(N(K1005)&gt;0,K1005*(1+L1005/30),L1005))=X1005,IF(N(K1005)&gt;0,K1005&amp;" x "&amp;L1005,L1005&amp;" reps"),IF(IF(N(N1005)=0,0,IF(N(M1005)&gt;0,M1005*(1+N1005/30),N1005))=X1005,IF(N(M1005)&gt;0,M1005&amp;" x "&amp;N1005,N1005&amp;" reps"),""))))))</f>
        <v/>
      </c>
      <c r="R1005" s="20">
        <f>IF(N(X1005)=0,"",ROUND(X1005,1))</f>
        <v/>
      </c>
      <c r="S1005" s="18">
        <f>IF(N(X1005)=0,"",IF(AND(COUNTIFS(Log!$D$6:$D$1505,D1005,Log!$B$6:$B$1505,"&lt;"&amp;B1005)&gt;0,COUNTIFS(Log!$D$6:$D$1505,D1005,Log!$B$6:$B$1505,"&lt;"&amp;B1005,Log!$X$6:$X$1505,"&gt;="&amp;X1005)=0),"New best",""))</f>
        <v/>
      </c>
      <c r="T1005" s="26" t="n"/>
      <c r="U1005" s="1">
        <f>IF(D1005="","",IFERROR(INDEX(Exercises!$C$6:$C$105,MATCH(D1005,Exercises!$B$6:$B$105,0)),"Other"))</f>
        <v/>
      </c>
      <c r="V1005">
        <f>IF(B1005="","",IF(COUNTIF($B$6:B1005,B1005)=1,1,0))</f>
        <v/>
      </c>
      <c r="W1005">
        <f>IF(B1005="","",B1005-WEEKDAY(B1005,3))</f>
        <v/>
      </c>
      <c r="X1005">
        <f>IF(D1005="","",MAX(IF(N(F1005)=0,0,IF(N(E1005)&gt;0,E1005*(1+F1005/30),F1005)),IF(N(H1005)=0,0,IF(N(G1005)&gt;0,G1005*(1+H1005/30),H1005)),IF(N(J1005)=0,0,IF(N(I1005)&gt;0,I1005*(1+J1005/30),J1005)),IF(N(L1005)=0,0,IF(N(K1005)&gt;0,K1005*(1+L1005/30),L1005)),IF(N(N1005)=0,0,IF(N(M1005)&gt;0,M1005*(1+N1005/30),N1005))))</f>
        <v/>
      </c>
      <c r="Y1005">
        <f>IF(N(X1005)=0,"",X1005+ROW()/1000000000)</f>
        <v/>
      </c>
      <c r="Z1005">
        <f>IF(Y1005="","",IF(COUNTIFS(Log!$D$6:$D$1505,D1005,Log!$Y$6:$Y$1505,"&gt;"&amp;Y1005)=0,1,0))</f>
        <v/>
      </c>
      <c r="AA1005">
        <f>IF(OR(B1005="",D1005=""),"",B1005+ROW()/10000000)</f>
        <v/>
      </c>
      <c r="AB1005">
        <f>IF(AA1005="","",IF(COUNTIFS(Log!$D$6:$D$1505,D1005,Log!$AA$6:$AA$1505,"&gt;"&amp;AA1005)=0,1,0))</f>
        <v/>
      </c>
      <c r="AC1005">
        <f>IF(S1005="New best",AA1005,"")</f>
        <v/>
      </c>
      <c r="AD1005">
        <f>ROW()</f>
        <v/>
      </c>
    </row>
    <row r="1006">
      <c r="A1006" s="1" t="n"/>
      <c r="B1006" s="21" t="n"/>
      <c r="C1006" s="22" t="n"/>
      <c r="D1006" s="23" t="n"/>
      <c r="E1006" s="24" t="n"/>
      <c r="F1006" s="24" t="n"/>
      <c r="G1006" s="24" t="n"/>
      <c r="H1006" s="24" t="n"/>
      <c r="I1006" s="24" t="n"/>
      <c r="J1006" s="24" t="n"/>
      <c r="K1006" s="24" t="n"/>
      <c r="L1006" s="24" t="n"/>
      <c r="M1006" s="24" t="n"/>
      <c r="N1006" s="24" t="n"/>
      <c r="O1006" s="15">
        <f>IF(D1006="","",COUNT(F1006,H1006,J1006,L1006,N1006))</f>
        <v/>
      </c>
      <c r="P1006" s="25">
        <f>IF(D1006="","",N(E1006)*N(F1006)+N(G1006)*N(H1006)+N(I1006)*N(J1006)+N(K1006)*N(L1006)+N(M1006)*N(N1006))</f>
        <v/>
      </c>
      <c r="Q1006" s="18">
        <f>IF(N(X1006)=0,"",IF(IF(N(F1006)=0,0,IF(N(E1006)&gt;0,E1006*(1+F1006/30),F1006))=X1006,IF(N(E1006)&gt;0,E1006&amp;" x "&amp;F1006,F1006&amp;" reps"),IF(IF(N(H1006)=0,0,IF(N(G1006)&gt;0,G1006*(1+H1006/30),H1006))=X1006,IF(N(G1006)&gt;0,G1006&amp;" x "&amp;H1006,H1006&amp;" reps"),IF(IF(N(J1006)=0,0,IF(N(I1006)&gt;0,I1006*(1+J1006/30),J1006))=X1006,IF(N(I1006)&gt;0,I1006&amp;" x "&amp;J1006,J1006&amp;" reps"),IF(IF(N(L1006)=0,0,IF(N(K1006)&gt;0,K1006*(1+L1006/30),L1006))=X1006,IF(N(K1006)&gt;0,K1006&amp;" x "&amp;L1006,L1006&amp;" reps"),IF(IF(N(N1006)=0,0,IF(N(M1006)&gt;0,M1006*(1+N1006/30),N1006))=X1006,IF(N(M1006)&gt;0,M1006&amp;" x "&amp;N1006,N1006&amp;" reps"),""))))))</f>
        <v/>
      </c>
      <c r="R1006" s="20">
        <f>IF(N(X1006)=0,"",ROUND(X1006,1))</f>
        <v/>
      </c>
      <c r="S1006" s="18">
        <f>IF(N(X1006)=0,"",IF(AND(COUNTIFS(Log!$D$6:$D$1505,D1006,Log!$B$6:$B$1505,"&lt;"&amp;B1006)&gt;0,COUNTIFS(Log!$D$6:$D$1505,D1006,Log!$B$6:$B$1505,"&lt;"&amp;B1006,Log!$X$6:$X$1505,"&gt;="&amp;X1006)=0),"New best",""))</f>
        <v/>
      </c>
      <c r="T1006" s="26" t="n"/>
      <c r="U1006" s="1">
        <f>IF(D1006="","",IFERROR(INDEX(Exercises!$C$6:$C$105,MATCH(D1006,Exercises!$B$6:$B$105,0)),"Other"))</f>
        <v/>
      </c>
      <c r="V1006">
        <f>IF(B1006="","",IF(COUNTIF($B$6:B1006,B1006)=1,1,0))</f>
        <v/>
      </c>
      <c r="W1006">
        <f>IF(B1006="","",B1006-WEEKDAY(B1006,3))</f>
        <v/>
      </c>
      <c r="X1006">
        <f>IF(D1006="","",MAX(IF(N(F1006)=0,0,IF(N(E1006)&gt;0,E1006*(1+F1006/30),F1006)),IF(N(H1006)=0,0,IF(N(G1006)&gt;0,G1006*(1+H1006/30),H1006)),IF(N(J1006)=0,0,IF(N(I1006)&gt;0,I1006*(1+J1006/30),J1006)),IF(N(L1006)=0,0,IF(N(K1006)&gt;0,K1006*(1+L1006/30),L1006)),IF(N(N1006)=0,0,IF(N(M1006)&gt;0,M1006*(1+N1006/30),N1006))))</f>
        <v/>
      </c>
      <c r="Y1006">
        <f>IF(N(X1006)=0,"",X1006+ROW()/1000000000)</f>
        <v/>
      </c>
      <c r="Z1006">
        <f>IF(Y1006="","",IF(COUNTIFS(Log!$D$6:$D$1505,D1006,Log!$Y$6:$Y$1505,"&gt;"&amp;Y1006)=0,1,0))</f>
        <v/>
      </c>
      <c r="AA1006">
        <f>IF(OR(B1006="",D1006=""),"",B1006+ROW()/10000000)</f>
        <v/>
      </c>
      <c r="AB1006">
        <f>IF(AA1006="","",IF(COUNTIFS(Log!$D$6:$D$1505,D1006,Log!$AA$6:$AA$1505,"&gt;"&amp;AA1006)=0,1,0))</f>
        <v/>
      </c>
      <c r="AC1006">
        <f>IF(S1006="New best",AA1006,"")</f>
        <v/>
      </c>
      <c r="AD1006">
        <f>ROW()</f>
        <v/>
      </c>
    </row>
    <row r="1007">
      <c r="A1007" s="1" t="n"/>
      <c r="B1007" s="21" t="n"/>
      <c r="C1007" s="22" t="n"/>
      <c r="D1007" s="23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15">
        <f>IF(D1007="","",COUNT(F1007,H1007,J1007,L1007,N1007))</f>
        <v/>
      </c>
      <c r="P1007" s="25">
        <f>IF(D1007="","",N(E1007)*N(F1007)+N(G1007)*N(H1007)+N(I1007)*N(J1007)+N(K1007)*N(L1007)+N(M1007)*N(N1007))</f>
        <v/>
      </c>
      <c r="Q1007" s="18">
        <f>IF(N(X1007)=0,"",IF(IF(N(F1007)=0,0,IF(N(E1007)&gt;0,E1007*(1+F1007/30),F1007))=X1007,IF(N(E1007)&gt;0,E1007&amp;" x "&amp;F1007,F1007&amp;" reps"),IF(IF(N(H1007)=0,0,IF(N(G1007)&gt;0,G1007*(1+H1007/30),H1007))=X1007,IF(N(G1007)&gt;0,G1007&amp;" x "&amp;H1007,H1007&amp;" reps"),IF(IF(N(J1007)=0,0,IF(N(I1007)&gt;0,I1007*(1+J1007/30),J1007))=X1007,IF(N(I1007)&gt;0,I1007&amp;" x "&amp;J1007,J1007&amp;" reps"),IF(IF(N(L1007)=0,0,IF(N(K1007)&gt;0,K1007*(1+L1007/30),L1007))=X1007,IF(N(K1007)&gt;0,K1007&amp;" x "&amp;L1007,L1007&amp;" reps"),IF(IF(N(N1007)=0,0,IF(N(M1007)&gt;0,M1007*(1+N1007/30),N1007))=X1007,IF(N(M1007)&gt;0,M1007&amp;" x "&amp;N1007,N1007&amp;" reps"),""))))))</f>
        <v/>
      </c>
      <c r="R1007" s="20">
        <f>IF(N(X1007)=0,"",ROUND(X1007,1))</f>
        <v/>
      </c>
      <c r="S1007" s="18">
        <f>IF(N(X1007)=0,"",IF(AND(COUNTIFS(Log!$D$6:$D$1505,D1007,Log!$B$6:$B$1505,"&lt;"&amp;B1007)&gt;0,COUNTIFS(Log!$D$6:$D$1505,D1007,Log!$B$6:$B$1505,"&lt;"&amp;B1007,Log!$X$6:$X$1505,"&gt;="&amp;X1007)=0),"New best",""))</f>
        <v/>
      </c>
      <c r="T1007" s="26" t="n"/>
      <c r="U1007" s="1">
        <f>IF(D1007="","",IFERROR(INDEX(Exercises!$C$6:$C$105,MATCH(D1007,Exercises!$B$6:$B$105,0)),"Other"))</f>
        <v/>
      </c>
      <c r="V1007">
        <f>IF(B1007="","",IF(COUNTIF($B$6:B1007,B1007)=1,1,0))</f>
        <v/>
      </c>
      <c r="W1007">
        <f>IF(B1007="","",B1007-WEEKDAY(B1007,3))</f>
        <v/>
      </c>
      <c r="X1007">
        <f>IF(D1007="","",MAX(IF(N(F1007)=0,0,IF(N(E1007)&gt;0,E1007*(1+F1007/30),F1007)),IF(N(H1007)=0,0,IF(N(G1007)&gt;0,G1007*(1+H1007/30),H1007)),IF(N(J1007)=0,0,IF(N(I1007)&gt;0,I1007*(1+J1007/30),J1007)),IF(N(L1007)=0,0,IF(N(K1007)&gt;0,K1007*(1+L1007/30),L1007)),IF(N(N1007)=0,0,IF(N(M1007)&gt;0,M1007*(1+N1007/30),N1007))))</f>
        <v/>
      </c>
      <c r="Y1007">
        <f>IF(N(X1007)=0,"",X1007+ROW()/1000000000)</f>
        <v/>
      </c>
      <c r="Z1007">
        <f>IF(Y1007="","",IF(COUNTIFS(Log!$D$6:$D$1505,D1007,Log!$Y$6:$Y$1505,"&gt;"&amp;Y1007)=0,1,0))</f>
        <v/>
      </c>
      <c r="AA1007">
        <f>IF(OR(B1007="",D1007=""),"",B1007+ROW()/10000000)</f>
        <v/>
      </c>
      <c r="AB1007">
        <f>IF(AA1007="","",IF(COUNTIFS(Log!$D$6:$D$1505,D1007,Log!$AA$6:$AA$1505,"&gt;"&amp;AA1007)=0,1,0))</f>
        <v/>
      </c>
      <c r="AC1007">
        <f>IF(S1007="New best",AA1007,"")</f>
        <v/>
      </c>
      <c r="AD1007">
        <f>ROW()</f>
        <v/>
      </c>
    </row>
    <row r="1008">
      <c r="A1008" s="1" t="n"/>
      <c r="B1008" s="21" t="n"/>
      <c r="C1008" s="22" t="n"/>
      <c r="D1008" s="23" t="n"/>
      <c r="E1008" s="24" t="n"/>
      <c r="F1008" s="24" t="n"/>
      <c r="G1008" s="24" t="n"/>
      <c r="H1008" s="24" t="n"/>
      <c r="I1008" s="24" t="n"/>
      <c r="J1008" s="24" t="n"/>
      <c r="K1008" s="24" t="n"/>
      <c r="L1008" s="24" t="n"/>
      <c r="M1008" s="24" t="n"/>
      <c r="N1008" s="24" t="n"/>
      <c r="O1008" s="15">
        <f>IF(D1008="","",COUNT(F1008,H1008,J1008,L1008,N1008))</f>
        <v/>
      </c>
      <c r="P1008" s="25">
        <f>IF(D1008="","",N(E1008)*N(F1008)+N(G1008)*N(H1008)+N(I1008)*N(J1008)+N(K1008)*N(L1008)+N(M1008)*N(N1008))</f>
        <v/>
      </c>
      <c r="Q1008" s="18">
        <f>IF(N(X1008)=0,"",IF(IF(N(F1008)=0,0,IF(N(E1008)&gt;0,E1008*(1+F1008/30),F1008))=X1008,IF(N(E1008)&gt;0,E1008&amp;" x "&amp;F1008,F1008&amp;" reps"),IF(IF(N(H1008)=0,0,IF(N(G1008)&gt;0,G1008*(1+H1008/30),H1008))=X1008,IF(N(G1008)&gt;0,G1008&amp;" x "&amp;H1008,H1008&amp;" reps"),IF(IF(N(J1008)=0,0,IF(N(I1008)&gt;0,I1008*(1+J1008/30),J1008))=X1008,IF(N(I1008)&gt;0,I1008&amp;" x "&amp;J1008,J1008&amp;" reps"),IF(IF(N(L1008)=0,0,IF(N(K1008)&gt;0,K1008*(1+L1008/30),L1008))=X1008,IF(N(K1008)&gt;0,K1008&amp;" x "&amp;L1008,L1008&amp;" reps"),IF(IF(N(N1008)=0,0,IF(N(M1008)&gt;0,M1008*(1+N1008/30),N1008))=X1008,IF(N(M1008)&gt;0,M1008&amp;" x "&amp;N1008,N1008&amp;" reps"),""))))))</f>
        <v/>
      </c>
      <c r="R1008" s="20">
        <f>IF(N(X1008)=0,"",ROUND(X1008,1))</f>
        <v/>
      </c>
      <c r="S1008" s="18">
        <f>IF(N(X1008)=0,"",IF(AND(COUNTIFS(Log!$D$6:$D$1505,D1008,Log!$B$6:$B$1505,"&lt;"&amp;B1008)&gt;0,COUNTIFS(Log!$D$6:$D$1505,D1008,Log!$B$6:$B$1505,"&lt;"&amp;B1008,Log!$X$6:$X$1505,"&gt;="&amp;X1008)=0),"New best",""))</f>
        <v/>
      </c>
      <c r="T1008" s="26" t="n"/>
      <c r="U1008" s="1">
        <f>IF(D1008="","",IFERROR(INDEX(Exercises!$C$6:$C$105,MATCH(D1008,Exercises!$B$6:$B$105,0)),"Other"))</f>
        <v/>
      </c>
      <c r="V1008">
        <f>IF(B1008="","",IF(COUNTIF($B$6:B1008,B1008)=1,1,0))</f>
        <v/>
      </c>
      <c r="W1008">
        <f>IF(B1008="","",B1008-WEEKDAY(B1008,3))</f>
        <v/>
      </c>
      <c r="X1008">
        <f>IF(D1008="","",MAX(IF(N(F1008)=0,0,IF(N(E1008)&gt;0,E1008*(1+F1008/30),F1008)),IF(N(H1008)=0,0,IF(N(G1008)&gt;0,G1008*(1+H1008/30),H1008)),IF(N(J1008)=0,0,IF(N(I1008)&gt;0,I1008*(1+J1008/30),J1008)),IF(N(L1008)=0,0,IF(N(K1008)&gt;0,K1008*(1+L1008/30),L1008)),IF(N(N1008)=0,0,IF(N(M1008)&gt;0,M1008*(1+N1008/30),N1008))))</f>
        <v/>
      </c>
      <c r="Y1008">
        <f>IF(N(X1008)=0,"",X1008+ROW()/1000000000)</f>
        <v/>
      </c>
      <c r="Z1008">
        <f>IF(Y1008="","",IF(COUNTIFS(Log!$D$6:$D$1505,D1008,Log!$Y$6:$Y$1505,"&gt;"&amp;Y1008)=0,1,0))</f>
        <v/>
      </c>
      <c r="AA1008">
        <f>IF(OR(B1008="",D1008=""),"",B1008+ROW()/10000000)</f>
        <v/>
      </c>
      <c r="AB1008">
        <f>IF(AA1008="","",IF(COUNTIFS(Log!$D$6:$D$1505,D1008,Log!$AA$6:$AA$1505,"&gt;"&amp;AA1008)=0,1,0))</f>
        <v/>
      </c>
      <c r="AC1008">
        <f>IF(S1008="New best",AA1008,"")</f>
        <v/>
      </c>
      <c r="AD1008">
        <f>ROW()</f>
        <v/>
      </c>
    </row>
    <row r="1009">
      <c r="A1009" s="1" t="n"/>
      <c r="B1009" s="21" t="n"/>
      <c r="C1009" s="22" t="n"/>
      <c r="D1009" s="23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15">
        <f>IF(D1009="","",COUNT(F1009,H1009,J1009,L1009,N1009))</f>
        <v/>
      </c>
      <c r="P1009" s="25">
        <f>IF(D1009="","",N(E1009)*N(F1009)+N(G1009)*N(H1009)+N(I1009)*N(J1009)+N(K1009)*N(L1009)+N(M1009)*N(N1009))</f>
        <v/>
      </c>
      <c r="Q1009" s="18">
        <f>IF(N(X1009)=0,"",IF(IF(N(F1009)=0,0,IF(N(E1009)&gt;0,E1009*(1+F1009/30),F1009))=X1009,IF(N(E1009)&gt;0,E1009&amp;" x "&amp;F1009,F1009&amp;" reps"),IF(IF(N(H1009)=0,0,IF(N(G1009)&gt;0,G1009*(1+H1009/30),H1009))=X1009,IF(N(G1009)&gt;0,G1009&amp;" x "&amp;H1009,H1009&amp;" reps"),IF(IF(N(J1009)=0,0,IF(N(I1009)&gt;0,I1009*(1+J1009/30),J1009))=X1009,IF(N(I1009)&gt;0,I1009&amp;" x "&amp;J1009,J1009&amp;" reps"),IF(IF(N(L1009)=0,0,IF(N(K1009)&gt;0,K1009*(1+L1009/30),L1009))=X1009,IF(N(K1009)&gt;0,K1009&amp;" x "&amp;L1009,L1009&amp;" reps"),IF(IF(N(N1009)=0,0,IF(N(M1009)&gt;0,M1009*(1+N1009/30),N1009))=X1009,IF(N(M1009)&gt;0,M1009&amp;" x "&amp;N1009,N1009&amp;" reps"),""))))))</f>
        <v/>
      </c>
      <c r="R1009" s="20">
        <f>IF(N(X1009)=0,"",ROUND(X1009,1))</f>
        <v/>
      </c>
      <c r="S1009" s="18">
        <f>IF(N(X1009)=0,"",IF(AND(COUNTIFS(Log!$D$6:$D$1505,D1009,Log!$B$6:$B$1505,"&lt;"&amp;B1009)&gt;0,COUNTIFS(Log!$D$6:$D$1505,D1009,Log!$B$6:$B$1505,"&lt;"&amp;B1009,Log!$X$6:$X$1505,"&gt;="&amp;X1009)=0),"New best",""))</f>
        <v/>
      </c>
      <c r="T1009" s="26" t="n"/>
      <c r="U1009" s="1">
        <f>IF(D1009="","",IFERROR(INDEX(Exercises!$C$6:$C$105,MATCH(D1009,Exercises!$B$6:$B$105,0)),"Other"))</f>
        <v/>
      </c>
      <c r="V1009">
        <f>IF(B1009="","",IF(COUNTIF($B$6:B1009,B1009)=1,1,0))</f>
        <v/>
      </c>
      <c r="W1009">
        <f>IF(B1009="","",B1009-WEEKDAY(B1009,3))</f>
        <v/>
      </c>
      <c r="X1009">
        <f>IF(D1009="","",MAX(IF(N(F1009)=0,0,IF(N(E1009)&gt;0,E1009*(1+F1009/30),F1009)),IF(N(H1009)=0,0,IF(N(G1009)&gt;0,G1009*(1+H1009/30),H1009)),IF(N(J1009)=0,0,IF(N(I1009)&gt;0,I1009*(1+J1009/30),J1009)),IF(N(L1009)=0,0,IF(N(K1009)&gt;0,K1009*(1+L1009/30),L1009)),IF(N(N1009)=0,0,IF(N(M1009)&gt;0,M1009*(1+N1009/30),N1009))))</f>
        <v/>
      </c>
      <c r="Y1009">
        <f>IF(N(X1009)=0,"",X1009+ROW()/1000000000)</f>
        <v/>
      </c>
      <c r="Z1009">
        <f>IF(Y1009="","",IF(COUNTIFS(Log!$D$6:$D$1505,D1009,Log!$Y$6:$Y$1505,"&gt;"&amp;Y1009)=0,1,0))</f>
        <v/>
      </c>
      <c r="AA1009">
        <f>IF(OR(B1009="",D1009=""),"",B1009+ROW()/10000000)</f>
        <v/>
      </c>
      <c r="AB1009">
        <f>IF(AA1009="","",IF(COUNTIFS(Log!$D$6:$D$1505,D1009,Log!$AA$6:$AA$1505,"&gt;"&amp;AA1009)=0,1,0))</f>
        <v/>
      </c>
      <c r="AC1009">
        <f>IF(S1009="New best",AA1009,"")</f>
        <v/>
      </c>
      <c r="AD1009">
        <f>ROW()</f>
        <v/>
      </c>
    </row>
    <row r="1010">
      <c r="A1010" s="1" t="n"/>
      <c r="B1010" s="21" t="n"/>
      <c r="C1010" s="22" t="n"/>
      <c r="D1010" s="23" t="n"/>
      <c r="E1010" s="24" t="n"/>
      <c r="F1010" s="24" t="n"/>
      <c r="G1010" s="24" t="n"/>
      <c r="H1010" s="24" t="n"/>
      <c r="I1010" s="24" t="n"/>
      <c r="J1010" s="24" t="n"/>
      <c r="K1010" s="24" t="n"/>
      <c r="L1010" s="24" t="n"/>
      <c r="M1010" s="24" t="n"/>
      <c r="N1010" s="24" t="n"/>
      <c r="O1010" s="15">
        <f>IF(D1010="","",COUNT(F1010,H1010,J1010,L1010,N1010))</f>
        <v/>
      </c>
      <c r="P1010" s="25">
        <f>IF(D1010="","",N(E1010)*N(F1010)+N(G1010)*N(H1010)+N(I1010)*N(J1010)+N(K1010)*N(L1010)+N(M1010)*N(N1010))</f>
        <v/>
      </c>
      <c r="Q1010" s="18">
        <f>IF(N(X1010)=0,"",IF(IF(N(F1010)=0,0,IF(N(E1010)&gt;0,E1010*(1+F1010/30),F1010))=X1010,IF(N(E1010)&gt;0,E1010&amp;" x "&amp;F1010,F1010&amp;" reps"),IF(IF(N(H1010)=0,0,IF(N(G1010)&gt;0,G1010*(1+H1010/30),H1010))=X1010,IF(N(G1010)&gt;0,G1010&amp;" x "&amp;H1010,H1010&amp;" reps"),IF(IF(N(J1010)=0,0,IF(N(I1010)&gt;0,I1010*(1+J1010/30),J1010))=X1010,IF(N(I1010)&gt;0,I1010&amp;" x "&amp;J1010,J1010&amp;" reps"),IF(IF(N(L1010)=0,0,IF(N(K1010)&gt;0,K1010*(1+L1010/30),L1010))=X1010,IF(N(K1010)&gt;0,K1010&amp;" x "&amp;L1010,L1010&amp;" reps"),IF(IF(N(N1010)=0,0,IF(N(M1010)&gt;0,M1010*(1+N1010/30),N1010))=X1010,IF(N(M1010)&gt;0,M1010&amp;" x "&amp;N1010,N1010&amp;" reps"),""))))))</f>
        <v/>
      </c>
      <c r="R1010" s="20">
        <f>IF(N(X1010)=0,"",ROUND(X1010,1))</f>
        <v/>
      </c>
      <c r="S1010" s="18">
        <f>IF(N(X1010)=0,"",IF(AND(COUNTIFS(Log!$D$6:$D$1505,D1010,Log!$B$6:$B$1505,"&lt;"&amp;B1010)&gt;0,COUNTIFS(Log!$D$6:$D$1505,D1010,Log!$B$6:$B$1505,"&lt;"&amp;B1010,Log!$X$6:$X$1505,"&gt;="&amp;X1010)=0),"New best",""))</f>
        <v/>
      </c>
      <c r="T1010" s="26" t="n"/>
      <c r="U1010" s="1">
        <f>IF(D1010="","",IFERROR(INDEX(Exercises!$C$6:$C$105,MATCH(D1010,Exercises!$B$6:$B$105,0)),"Other"))</f>
        <v/>
      </c>
      <c r="V1010">
        <f>IF(B1010="","",IF(COUNTIF($B$6:B1010,B1010)=1,1,0))</f>
        <v/>
      </c>
      <c r="W1010">
        <f>IF(B1010="","",B1010-WEEKDAY(B1010,3))</f>
        <v/>
      </c>
      <c r="X1010">
        <f>IF(D1010="","",MAX(IF(N(F1010)=0,0,IF(N(E1010)&gt;0,E1010*(1+F1010/30),F1010)),IF(N(H1010)=0,0,IF(N(G1010)&gt;0,G1010*(1+H1010/30),H1010)),IF(N(J1010)=0,0,IF(N(I1010)&gt;0,I1010*(1+J1010/30),J1010)),IF(N(L1010)=0,0,IF(N(K1010)&gt;0,K1010*(1+L1010/30),L1010)),IF(N(N1010)=0,0,IF(N(M1010)&gt;0,M1010*(1+N1010/30),N1010))))</f>
        <v/>
      </c>
      <c r="Y1010">
        <f>IF(N(X1010)=0,"",X1010+ROW()/1000000000)</f>
        <v/>
      </c>
      <c r="Z1010">
        <f>IF(Y1010="","",IF(COUNTIFS(Log!$D$6:$D$1505,D1010,Log!$Y$6:$Y$1505,"&gt;"&amp;Y1010)=0,1,0))</f>
        <v/>
      </c>
      <c r="AA1010">
        <f>IF(OR(B1010="",D1010=""),"",B1010+ROW()/10000000)</f>
        <v/>
      </c>
      <c r="AB1010">
        <f>IF(AA1010="","",IF(COUNTIFS(Log!$D$6:$D$1505,D1010,Log!$AA$6:$AA$1505,"&gt;"&amp;AA1010)=0,1,0))</f>
        <v/>
      </c>
      <c r="AC1010">
        <f>IF(S1010="New best",AA1010,"")</f>
        <v/>
      </c>
      <c r="AD1010">
        <f>ROW()</f>
        <v/>
      </c>
    </row>
    <row r="1011">
      <c r="A1011" s="1" t="n"/>
      <c r="B1011" s="21" t="n"/>
      <c r="C1011" s="22" t="n"/>
      <c r="D1011" s="23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15">
        <f>IF(D1011="","",COUNT(F1011,H1011,J1011,L1011,N1011))</f>
        <v/>
      </c>
      <c r="P1011" s="25">
        <f>IF(D1011="","",N(E1011)*N(F1011)+N(G1011)*N(H1011)+N(I1011)*N(J1011)+N(K1011)*N(L1011)+N(M1011)*N(N1011))</f>
        <v/>
      </c>
      <c r="Q1011" s="18">
        <f>IF(N(X1011)=0,"",IF(IF(N(F1011)=0,0,IF(N(E1011)&gt;0,E1011*(1+F1011/30),F1011))=X1011,IF(N(E1011)&gt;0,E1011&amp;" x "&amp;F1011,F1011&amp;" reps"),IF(IF(N(H1011)=0,0,IF(N(G1011)&gt;0,G1011*(1+H1011/30),H1011))=X1011,IF(N(G1011)&gt;0,G1011&amp;" x "&amp;H1011,H1011&amp;" reps"),IF(IF(N(J1011)=0,0,IF(N(I1011)&gt;0,I1011*(1+J1011/30),J1011))=X1011,IF(N(I1011)&gt;0,I1011&amp;" x "&amp;J1011,J1011&amp;" reps"),IF(IF(N(L1011)=0,0,IF(N(K1011)&gt;0,K1011*(1+L1011/30),L1011))=X1011,IF(N(K1011)&gt;0,K1011&amp;" x "&amp;L1011,L1011&amp;" reps"),IF(IF(N(N1011)=0,0,IF(N(M1011)&gt;0,M1011*(1+N1011/30),N1011))=X1011,IF(N(M1011)&gt;0,M1011&amp;" x "&amp;N1011,N1011&amp;" reps"),""))))))</f>
        <v/>
      </c>
      <c r="R1011" s="20">
        <f>IF(N(X1011)=0,"",ROUND(X1011,1))</f>
        <v/>
      </c>
      <c r="S1011" s="18">
        <f>IF(N(X1011)=0,"",IF(AND(COUNTIFS(Log!$D$6:$D$1505,D1011,Log!$B$6:$B$1505,"&lt;"&amp;B1011)&gt;0,COUNTIFS(Log!$D$6:$D$1505,D1011,Log!$B$6:$B$1505,"&lt;"&amp;B1011,Log!$X$6:$X$1505,"&gt;="&amp;X1011)=0),"New best",""))</f>
        <v/>
      </c>
      <c r="T1011" s="26" t="n"/>
      <c r="U1011" s="1">
        <f>IF(D1011="","",IFERROR(INDEX(Exercises!$C$6:$C$105,MATCH(D1011,Exercises!$B$6:$B$105,0)),"Other"))</f>
        <v/>
      </c>
      <c r="V1011">
        <f>IF(B1011="","",IF(COUNTIF($B$6:B1011,B1011)=1,1,0))</f>
        <v/>
      </c>
      <c r="W1011">
        <f>IF(B1011="","",B1011-WEEKDAY(B1011,3))</f>
        <v/>
      </c>
      <c r="X1011">
        <f>IF(D1011="","",MAX(IF(N(F1011)=0,0,IF(N(E1011)&gt;0,E1011*(1+F1011/30),F1011)),IF(N(H1011)=0,0,IF(N(G1011)&gt;0,G1011*(1+H1011/30),H1011)),IF(N(J1011)=0,0,IF(N(I1011)&gt;0,I1011*(1+J1011/30),J1011)),IF(N(L1011)=0,0,IF(N(K1011)&gt;0,K1011*(1+L1011/30),L1011)),IF(N(N1011)=0,0,IF(N(M1011)&gt;0,M1011*(1+N1011/30),N1011))))</f>
        <v/>
      </c>
      <c r="Y1011">
        <f>IF(N(X1011)=0,"",X1011+ROW()/1000000000)</f>
        <v/>
      </c>
      <c r="Z1011">
        <f>IF(Y1011="","",IF(COUNTIFS(Log!$D$6:$D$1505,D1011,Log!$Y$6:$Y$1505,"&gt;"&amp;Y1011)=0,1,0))</f>
        <v/>
      </c>
      <c r="AA1011">
        <f>IF(OR(B1011="",D1011=""),"",B1011+ROW()/10000000)</f>
        <v/>
      </c>
      <c r="AB1011">
        <f>IF(AA1011="","",IF(COUNTIFS(Log!$D$6:$D$1505,D1011,Log!$AA$6:$AA$1505,"&gt;"&amp;AA1011)=0,1,0))</f>
        <v/>
      </c>
      <c r="AC1011">
        <f>IF(S1011="New best",AA1011,"")</f>
        <v/>
      </c>
      <c r="AD1011">
        <f>ROW()</f>
        <v/>
      </c>
    </row>
    <row r="1012">
      <c r="A1012" s="1" t="n"/>
      <c r="B1012" s="21" t="n"/>
      <c r="C1012" s="22" t="n"/>
      <c r="D1012" s="23" t="n"/>
      <c r="E1012" s="24" t="n"/>
      <c r="F1012" s="24" t="n"/>
      <c r="G1012" s="24" t="n"/>
      <c r="H1012" s="24" t="n"/>
      <c r="I1012" s="24" t="n"/>
      <c r="J1012" s="24" t="n"/>
      <c r="K1012" s="24" t="n"/>
      <c r="L1012" s="24" t="n"/>
      <c r="M1012" s="24" t="n"/>
      <c r="N1012" s="24" t="n"/>
      <c r="O1012" s="15">
        <f>IF(D1012="","",COUNT(F1012,H1012,J1012,L1012,N1012))</f>
        <v/>
      </c>
      <c r="P1012" s="25">
        <f>IF(D1012="","",N(E1012)*N(F1012)+N(G1012)*N(H1012)+N(I1012)*N(J1012)+N(K1012)*N(L1012)+N(M1012)*N(N1012))</f>
        <v/>
      </c>
      <c r="Q1012" s="18">
        <f>IF(N(X1012)=0,"",IF(IF(N(F1012)=0,0,IF(N(E1012)&gt;0,E1012*(1+F1012/30),F1012))=X1012,IF(N(E1012)&gt;0,E1012&amp;" x "&amp;F1012,F1012&amp;" reps"),IF(IF(N(H1012)=0,0,IF(N(G1012)&gt;0,G1012*(1+H1012/30),H1012))=X1012,IF(N(G1012)&gt;0,G1012&amp;" x "&amp;H1012,H1012&amp;" reps"),IF(IF(N(J1012)=0,0,IF(N(I1012)&gt;0,I1012*(1+J1012/30),J1012))=X1012,IF(N(I1012)&gt;0,I1012&amp;" x "&amp;J1012,J1012&amp;" reps"),IF(IF(N(L1012)=0,0,IF(N(K1012)&gt;0,K1012*(1+L1012/30),L1012))=X1012,IF(N(K1012)&gt;0,K1012&amp;" x "&amp;L1012,L1012&amp;" reps"),IF(IF(N(N1012)=0,0,IF(N(M1012)&gt;0,M1012*(1+N1012/30),N1012))=X1012,IF(N(M1012)&gt;0,M1012&amp;" x "&amp;N1012,N1012&amp;" reps"),""))))))</f>
        <v/>
      </c>
      <c r="R1012" s="20">
        <f>IF(N(X1012)=0,"",ROUND(X1012,1))</f>
        <v/>
      </c>
      <c r="S1012" s="18">
        <f>IF(N(X1012)=0,"",IF(AND(COUNTIFS(Log!$D$6:$D$1505,D1012,Log!$B$6:$B$1505,"&lt;"&amp;B1012)&gt;0,COUNTIFS(Log!$D$6:$D$1505,D1012,Log!$B$6:$B$1505,"&lt;"&amp;B1012,Log!$X$6:$X$1505,"&gt;="&amp;X1012)=0),"New best",""))</f>
        <v/>
      </c>
      <c r="T1012" s="26" t="n"/>
      <c r="U1012" s="1">
        <f>IF(D1012="","",IFERROR(INDEX(Exercises!$C$6:$C$105,MATCH(D1012,Exercises!$B$6:$B$105,0)),"Other"))</f>
        <v/>
      </c>
      <c r="V1012">
        <f>IF(B1012="","",IF(COUNTIF($B$6:B1012,B1012)=1,1,0))</f>
        <v/>
      </c>
      <c r="W1012">
        <f>IF(B1012="","",B1012-WEEKDAY(B1012,3))</f>
        <v/>
      </c>
      <c r="X1012">
        <f>IF(D1012="","",MAX(IF(N(F1012)=0,0,IF(N(E1012)&gt;0,E1012*(1+F1012/30),F1012)),IF(N(H1012)=0,0,IF(N(G1012)&gt;0,G1012*(1+H1012/30),H1012)),IF(N(J1012)=0,0,IF(N(I1012)&gt;0,I1012*(1+J1012/30),J1012)),IF(N(L1012)=0,0,IF(N(K1012)&gt;0,K1012*(1+L1012/30),L1012)),IF(N(N1012)=0,0,IF(N(M1012)&gt;0,M1012*(1+N1012/30),N1012))))</f>
        <v/>
      </c>
      <c r="Y1012">
        <f>IF(N(X1012)=0,"",X1012+ROW()/1000000000)</f>
        <v/>
      </c>
      <c r="Z1012">
        <f>IF(Y1012="","",IF(COUNTIFS(Log!$D$6:$D$1505,D1012,Log!$Y$6:$Y$1505,"&gt;"&amp;Y1012)=0,1,0))</f>
        <v/>
      </c>
      <c r="AA1012">
        <f>IF(OR(B1012="",D1012=""),"",B1012+ROW()/10000000)</f>
        <v/>
      </c>
      <c r="AB1012">
        <f>IF(AA1012="","",IF(COUNTIFS(Log!$D$6:$D$1505,D1012,Log!$AA$6:$AA$1505,"&gt;"&amp;AA1012)=0,1,0))</f>
        <v/>
      </c>
      <c r="AC1012">
        <f>IF(S1012="New best",AA1012,"")</f>
        <v/>
      </c>
      <c r="AD1012">
        <f>ROW()</f>
        <v/>
      </c>
    </row>
    <row r="1013">
      <c r="A1013" s="1" t="n"/>
      <c r="B1013" s="21" t="n"/>
      <c r="C1013" s="22" t="n"/>
      <c r="D1013" s="23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15">
        <f>IF(D1013="","",COUNT(F1013,H1013,J1013,L1013,N1013))</f>
        <v/>
      </c>
      <c r="P1013" s="25">
        <f>IF(D1013="","",N(E1013)*N(F1013)+N(G1013)*N(H1013)+N(I1013)*N(J1013)+N(K1013)*N(L1013)+N(M1013)*N(N1013))</f>
        <v/>
      </c>
      <c r="Q1013" s="18">
        <f>IF(N(X1013)=0,"",IF(IF(N(F1013)=0,0,IF(N(E1013)&gt;0,E1013*(1+F1013/30),F1013))=X1013,IF(N(E1013)&gt;0,E1013&amp;" x "&amp;F1013,F1013&amp;" reps"),IF(IF(N(H1013)=0,0,IF(N(G1013)&gt;0,G1013*(1+H1013/30),H1013))=X1013,IF(N(G1013)&gt;0,G1013&amp;" x "&amp;H1013,H1013&amp;" reps"),IF(IF(N(J1013)=0,0,IF(N(I1013)&gt;0,I1013*(1+J1013/30),J1013))=X1013,IF(N(I1013)&gt;0,I1013&amp;" x "&amp;J1013,J1013&amp;" reps"),IF(IF(N(L1013)=0,0,IF(N(K1013)&gt;0,K1013*(1+L1013/30),L1013))=X1013,IF(N(K1013)&gt;0,K1013&amp;" x "&amp;L1013,L1013&amp;" reps"),IF(IF(N(N1013)=0,0,IF(N(M1013)&gt;0,M1013*(1+N1013/30),N1013))=X1013,IF(N(M1013)&gt;0,M1013&amp;" x "&amp;N1013,N1013&amp;" reps"),""))))))</f>
        <v/>
      </c>
      <c r="R1013" s="20">
        <f>IF(N(X1013)=0,"",ROUND(X1013,1))</f>
        <v/>
      </c>
      <c r="S1013" s="18">
        <f>IF(N(X1013)=0,"",IF(AND(COUNTIFS(Log!$D$6:$D$1505,D1013,Log!$B$6:$B$1505,"&lt;"&amp;B1013)&gt;0,COUNTIFS(Log!$D$6:$D$1505,D1013,Log!$B$6:$B$1505,"&lt;"&amp;B1013,Log!$X$6:$X$1505,"&gt;="&amp;X1013)=0),"New best",""))</f>
        <v/>
      </c>
      <c r="T1013" s="26" t="n"/>
      <c r="U1013" s="1">
        <f>IF(D1013="","",IFERROR(INDEX(Exercises!$C$6:$C$105,MATCH(D1013,Exercises!$B$6:$B$105,0)),"Other"))</f>
        <v/>
      </c>
      <c r="V1013">
        <f>IF(B1013="","",IF(COUNTIF($B$6:B1013,B1013)=1,1,0))</f>
        <v/>
      </c>
      <c r="W1013">
        <f>IF(B1013="","",B1013-WEEKDAY(B1013,3))</f>
        <v/>
      </c>
      <c r="X1013">
        <f>IF(D1013="","",MAX(IF(N(F1013)=0,0,IF(N(E1013)&gt;0,E1013*(1+F1013/30),F1013)),IF(N(H1013)=0,0,IF(N(G1013)&gt;0,G1013*(1+H1013/30),H1013)),IF(N(J1013)=0,0,IF(N(I1013)&gt;0,I1013*(1+J1013/30),J1013)),IF(N(L1013)=0,0,IF(N(K1013)&gt;0,K1013*(1+L1013/30),L1013)),IF(N(N1013)=0,0,IF(N(M1013)&gt;0,M1013*(1+N1013/30),N1013))))</f>
        <v/>
      </c>
      <c r="Y1013">
        <f>IF(N(X1013)=0,"",X1013+ROW()/1000000000)</f>
        <v/>
      </c>
      <c r="Z1013">
        <f>IF(Y1013="","",IF(COUNTIFS(Log!$D$6:$D$1505,D1013,Log!$Y$6:$Y$1505,"&gt;"&amp;Y1013)=0,1,0))</f>
        <v/>
      </c>
      <c r="AA1013">
        <f>IF(OR(B1013="",D1013=""),"",B1013+ROW()/10000000)</f>
        <v/>
      </c>
      <c r="AB1013">
        <f>IF(AA1013="","",IF(COUNTIFS(Log!$D$6:$D$1505,D1013,Log!$AA$6:$AA$1505,"&gt;"&amp;AA1013)=0,1,0))</f>
        <v/>
      </c>
      <c r="AC1013">
        <f>IF(S1013="New best",AA1013,"")</f>
        <v/>
      </c>
      <c r="AD1013">
        <f>ROW()</f>
        <v/>
      </c>
    </row>
    <row r="1014">
      <c r="A1014" s="1" t="n"/>
      <c r="B1014" s="21" t="n"/>
      <c r="C1014" s="22" t="n"/>
      <c r="D1014" s="23" t="n"/>
      <c r="E1014" s="24" t="n"/>
      <c r="F1014" s="24" t="n"/>
      <c r="G1014" s="24" t="n"/>
      <c r="H1014" s="24" t="n"/>
      <c r="I1014" s="24" t="n"/>
      <c r="J1014" s="24" t="n"/>
      <c r="K1014" s="24" t="n"/>
      <c r="L1014" s="24" t="n"/>
      <c r="M1014" s="24" t="n"/>
      <c r="N1014" s="24" t="n"/>
      <c r="O1014" s="15">
        <f>IF(D1014="","",COUNT(F1014,H1014,J1014,L1014,N1014))</f>
        <v/>
      </c>
      <c r="P1014" s="25">
        <f>IF(D1014="","",N(E1014)*N(F1014)+N(G1014)*N(H1014)+N(I1014)*N(J1014)+N(K1014)*N(L1014)+N(M1014)*N(N1014))</f>
        <v/>
      </c>
      <c r="Q1014" s="18">
        <f>IF(N(X1014)=0,"",IF(IF(N(F1014)=0,0,IF(N(E1014)&gt;0,E1014*(1+F1014/30),F1014))=X1014,IF(N(E1014)&gt;0,E1014&amp;" x "&amp;F1014,F1014&amp;" reps"),IF(IF(N(H1014)=0,0,IF(N(G1014)&gt;0,G1014*(1+H1014/30),H1014))=X1014,IF(N(G1014)&gt;0,G1014&amp;" x "&amp;H1014,H1014&amp;" reps"),IF(IF(N(J1014)=0,0,IF(N(I1014)&gt;0,I1014*(1+J1014/30),J1014))=X1014,IF(N(I1014)&gt;0,I1014&amp;" x "&amp;J1014,J1014&amp;" reps"),IF(IF(N(L1014)=0,0,IF(N(K1014)&gt;0,K1014*(1+L1014/30),L1014))=X1014,IF(N(K1014)&gt;0,K1014&amp;" x "&amp;L1014,L1014&amp;" reps"),IF(IF(N(N1014)=0,0,IF(N(M1014)&gt;0,M1014*(1+N1014/30),N1014))=X1014,IF(N(M1014)&gt;0,M1014&amp;" x "&amp;N1014,N1014&amp;" reps"),""))))))</f>
        <v/>
      </c>
      <c r="R1014" s="20">
        <f>IF(N(X1014)=0,"",ROUND(X1014,1))</f>
        <v/>
      </c>
      <c r="S1014" s="18">
        <f>IF(N(X1014)=0,"",IF(AND(COUNTIFS(Log!$D$6:$D$1505,D1014,Log!$B$6:$B$1505,"&lt;"&amp;B1014)&gt;0,COUNTIFS(Log!$D$6:$D$1505,D1014,Log!$B$6:$B$1505,"&lt;"&amp;B1014,Log!$X$6:$X$1505,"&gt;="&amp;X1014)=0),"New best",""))</f>
        <v/>
      </c>
      <c r="T1014" s="26" t="n"/>
      <c r="U1014" s="1">
        <f>IF(D1014="","",IFERROR(INDEX(Exercises!$C$6:$C$105,MATCH(D1014,Exercises!$B$6:$B$105,0)),"Other"))</f>
        <v/>
      </c>
      <c r="V1014">
        <f>IF(B1014="","",IF(COUNTIF($B$6:B1014,B1014)=1,1,0))</f>
        <v/>
      </c>
      <c r="W1014">
        <f>IF(B1014="","",B1014-WEEKDAY(B1014,3))</f>
        <v/>
      </c>
      <c r="X1014">
        <f>IF(D1014="","",MAX(IF(N(F1014)=0,0,IF(N(E1014)&gt;0,E1014*(1+F1014/30),F1014)),IF(N(H1014)=0,0,IF(N(G1014)&gt;0,G1014*(1+H1014/30),H1014)),IF(N(J1014)=0,0,IF(N(I1014)&gt;0,I1014*(1+J1014/30),J1014)),IF(N(L1014)=0,0,IF(N(K1014)&gt;0,K1014*(1+L1014/30),L1014)),IF(N(N1014)=0,0,IF(N(M1014)&gt;0,M1014*(1+N1014/30),N1014))))</f>
        <v/>
      </c>
      <c r="Y1014">
        <f>IF(N(X1014)=0,"",X1014+ROW()/1000000000)</f>
        <v/>
      </c>
      <c r="Z1014">
        <f>IF(Y1014="","",IF(COUNTIFS(Log!$D$6:$D$1505,D1014,Log!$Y$6:$Y$1505,"&gt;"&amp;Y1014)=0,1,0))</f>
        <v/>
      </c>
      <c r="AA1014">
        <f>IF(OR(B1014="",D1014=""),"",B1014+ROW()/10000000)</f>
        <v/>
      </c>
      <c r="AB1014">
        <f>IF(AA1014="","",IF(COUNTIFS(Log!$D$6:$D$1505,D1014,Log!$AA$6:$AA$1505,"&gt;"&amp;AA1014)=0,1,0))</f>
        <v/>
      </c>
      <c r="AC1014">
        <f>IF(S1014="New best",AA1014,"")</f>
        <v/>
      </c>
      <c r="AD1014">
        <f>ROW()</f>
        <v/>
      </c>
    </row>
    <row r="1015">
      <c r="A1015" s="1" t="n"/>
      <c r="B1015" s="21" t="n"/>
      <c r="C1015" s="22" t="n"/>
      <c r="D1015" s="23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15">
        <f>IF(D1015="","",COUNT(F1015,H1015,J1015,L1015,N1015))</f>
        <v/>
      </c>
      <c r="P1015" s="25">
        <f>IF(D1015="","",N(E1015)*N(F1015)+N(G1015)*N(H1015)+N(I1015)*N(J1015)+N(K1015)*N(L1015)+N(M1015)*N(N1015))</f>
        <v/>
      </c>
      <c r="Q1015" s="18">
        <f>IF(N(X1015)=0,"",IF(IF(N(F1015)=0,0,IF(N(E1015)&gt;0,E1015*(1+F1015/30),F1015))=X1015,IF(N(E1015)&gt;0,E1015&amp;" x "&amp;F1015,F1015&amp;" reps"),IF(IF(N(H1015)=0,0,IF(N(G1015)&gt;0,G1015*(1+H1015/30),H1015))=X1015,IF(N(G1015)&gt;0,G1015&amp;" x "&amp;H1015,H1015&amp;" reps"),IF(IF(N(J1015)=0,0,IF(N(I1015)&gt;0,I1015*(1+J1015/30),J1015))=X1015,IF(N(I1015)&gt;0,I1015&amp;" x "&amp;J1015,J1015&amp;" reps"),IF(IF(N(L1015)=0,0,IF(N(K1015)&gt;0,K1015*(1+L1015/30),L1015))=X1015,IF(N(K1015)&gt;0,K1015&amp;" x "&amp;L1015,L1015&amp;" reps"),IF(IF(N(N1015)=0,0,IF(N(M1015)&gt;0,M1015*(1+N1015/30),N1015))=X1015,IF(N(M1015)&gt;0,M1015&amp;" x "&amp;N1015,N1015&amp;" reps"),""))))))</f>
        <v/>
      </c>
      <c r="R1015" s="20">
        <f>IF(N(X1015)=0,"",ROUND(X1015,1))</f>
        <v/>
      </c>
      <c r="S1015" s="18">
        <f>IF(N(X1015)=0,"",IF(AND(COUNTIFS(Log!$D$6:$D$1505,D1015,Log!$B$6:$B$1505,"&lt;"&amp;B1015)&gt;0,COUNTIFS(Log!$D$6:$D$1505,D1015,Log!$B$6:$B$1505,"&lt;"&amp;B1015,Log!$X$6:$X$1505,"&gt;="&amp;X1015)=0),"New best",""))</f>
        <v/>
      </c>
      <c r="T1015" s="26" t="n"/>
      <c r="U1015" s="1">
        <f>IF(D1015="","",IFERROR(INDEX(Exercises!$C$6:$C$105,MATCH(D1015,Exercises!$B$6:$B$105,0)),"Other"))</f>
        <v/>
      </c>
      <c r="V1015">
        <f>IF(B1015="","",IF(COUNTIF($B$6:B1015,B1015)=1,1,0))</f>
        <v/>
      </c>
      <c r="W1015">
        <f>IF(B1015="","",B1015-WEEKDAY(B1015,3))</f>
        <v/>
      </c>
      <c r="X1015">
        <f>IF(D1015="","",MAX(IF(N(F1015)=0,0,IF(N(E1015)&gt;0,E1015*(1+F1015/30),F1015)),IF(N(H1015)=0,0,IF(N(G1015)&gt;0,G1015*(1+H1015/30),H1015)),IF(N(J1015)=0,0,IF(N(I1015)&gt;0,I1015*(1+J1015/30),J1015)),IF(N(L1015)=0,0,IF(N(K1015)&gt;0,K1015*(1+L1015/30),L1015)),IF(N(N1015)=0,0,IF(N(M1015)&gt;0,M1015*(1+N1015/30),N1015))))</f>
        <v/>
      </c>
      <c r="Y1015">
        <f>IF(N(X1015)=0,"",X1015+ROW()/1000000000)</f>
        <v/>
      </c>
      <c r="Z1015">
        <f>IF(Y1015="","",IF(COUNTIFS(Log!$D$6:$D$1505,D1015,Log!$Y$6:$Y$1505,"&gt;"&amp;Y1015)=0,1,0))</f>
        <v/>
      </c>
      <c r="AA1015">
        <f>IF(OR(B1015="",D1015=""),"",B1015+ROW()/10000000)</f>
        <v/>
      </c>
      <c r="AB1015">
        <f>IF(AA1015="","",IF(COUNTIFS(Log!$D$6:$D$1505,D1015,Log!$AA$6:$AA$1505,"&gt;"&amp;AA1015)=0,1,0))</f>
        <v/>
      </c>
      <c r="AC1015">
        <f>IF(S1015="New best",AA1015,"")</f>
        <v/>
      </c>
      <c r="AD1015">
        <f>ROW()</f>
        <v/>
      </c>
    </row>
    <row r="1016">
      <c r="A1016" s="1" t="n"/>
      <c r="B1016" s="21" t="n"/>
      <c r="C1016" s="22" t="n"/>
      <c r="D1016" s="23" t="n"/>
      <c r="E1016" s="24" t="n"/>
      <c r="F1016" s="24" t="n"/>
      <c r="G1016" s="24" t="n"/>
      <c r="H1016" s="24" t="n"/>
      <c r="I1016" s="24" t="n"/>
      <c r="J1016" s="24" t="n"/>
      <c r="K1016" s="24" t="n"/>
      <c r="L1016" s="24" t="n"/>
      <c r="M1016" s="24" t="n"/>
      <c r="N1016" s="24" t="n"/>
      <c r="O1016" s="15">
        <f>IF(D1016="","",COUNT(F1016,H1016,J1016,L1016,N1016))</f>
        <v/>
      </c>
      <c r="P1016" s="25">
        <f>IF(D1016="","",N(E1016)*N(F1016)+N(G1016)*N(H1016)+N(I1016)*N(J1016)+N(K1016)*N(L1016)+N(M1016)*N(N1016))</f>
        <v/>
      </c>
      <c r="Q1016" s="18">
        <f>IF(N(X1016)=0,"",IF(IF(N(F1016)=0,0,IF(N(E1016)&gt;0,E1016*(1+F1016/30),F1016))=X1016,IF(N(E1016)&gt;0,E1016&amp;" x "&amp;F1016,F1016&amp;" reps"),IF(IF(N(H1016)=0,0,IF(N(G1016)&gt;0,G1016*(1+H1016/30),H1016))=X1016,IF(N(G1016)&gt;0,G1016&amp;" x "&amp;H1016,H1016&amp;" reps"),IF(IF(N(J1016)=0,0,IF(N(I1016)&gt;0,I1016*(1+J1016/30),J1016))=X1016,IF(N(I1016)&gt;0,I1016&amp;" x "&amp;J1016,J1016&amp;" reps"),IF(IF(N(L1016)=0,0,IF(N(K1016)&gt;0,K1016*(1+L1016/30),L1016))=X1016,IF(N(K1016)&gt;0,K1016&amp;" x "&amp;L1016,L1016&amp;" reps"),IF(IF(N(N1016)=0,0,IF(N(M1016)&gt;0,M1016*(1+N1016/30),N1016))=X1016,IF(N(M1016)&gt;0,M1016&amp;" x "&amp;N1016,N1016&amp;" reps"),""))))))</f>
        <v/>
      </c>
      <c r="R1016" s="20">
        <f>IF(N(X1016)=0,"",ROUND(X1016,1))</f>
        <v/>
      </c>
      <c r="S1016" s="18">
        <f>IF(N(X1016)=0,"",IF(AND(COUNTIFS(Log!$D$6:$D$1505,D1016,Log!$B$6:$B$1505,"&lt;"&amp;B1016)&gt;0,COUNTIFS(Log!$D$6:$D$1505,D1016,Log!$B$6:$B$1505,"&lt;"&amp;B1016,Log!$X$6:$X$1505,"&gt;="&amp;X1016)=0),"New best",""))</f>
        <v/>
      </c>
      <c r="T1016" s="26" t="n"/>
      <c r="U1016" s="1">
        <f>IF(D1016="","",IFERROR(INDEX(Exercises!$C$6:$C$105,MATCH(D1016,Exercises!$B$6:$B$105,0)),"Other"))</f>
        <v/>
      </c>
      <c r="V1016">
        <f>IF(B1016="","",IF(COUNTIF($B$6:B1016,B1016)=1,1,0))</f>
        <v/>
      </c>
      <c r="W1016">
        <f>IF(B1016="","",B1016-WEEKDAY(B1016,3))</f>
        <v/>
      </c>
      <c r="X1016">
        <f>IF(D1016="","",MAX(IF(N(F1016)=0,0,IF(N(E1016)&gt;0,E1016*(1+F1016/30),F1016)),IF(N(H1016)=0,0,IF(N(G1016)&gt;0,G1016*(1+H1016/30),H1016)),IF(N(J1016)=0,0,IF(N(I1016)&gt;0,I1016*(1+J1016/30),J1016)),IF(N(L1016)=0,0,IF(N(K1016)&gt;0,K1016*(1+L1016/30),L1016)),IF(N(N1016)=0,0,IF(N(M1016)&gt;0,M1016*(1+N1016/30),N1016))))</f>
        <v/>
      </c>
      <c r="Y1016">
        <f>IF(N(X1016)=0,"",X1016+ROW()/1000000000)</f>
        <v/>
      </c>
      <c r="Z1016">
        <f>IF(Y1016="","",IF(COUNTIFS(Log!$D$6:$D$1505,D1016,Log!$Y$6:$Y$1505,"&gt;"&amp;Y1016)=0,1,0))</f>
        <v/>
      </c>
      <c r="AA1016">
        <f>IF(OR(B1016="",D1016=""),"",B1016+ROW()/10000000)</f>
        <v/>
      </c>
      <c r="AB1016">
        <f>IF(AA1016="","",IF(COUNTIFS(Log!$D$6:$D$1505,D1016,Log!$AA$6:$AA$1505,"&gt;"&amp;AA1016)=0,1,0))</f>
        <v/>
      </c>
      <c r="AC1016">
        <f>IF(S1016="New best",AA1016,"")</f>
        <v/>
      </c>
      <c r="AD1016">
        <f>ROW()</f>
        <v/>
      </c>
    </row>
    <row r="1017">
      <c r="A1017" s="1" t="n"/>
      <c r="B1017" s="21" t="n"/>
      <c r="C1017" s="22" t="n"/>
      <c r="D1017" s="23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15">
        <f>IF(D1017="","",COUNT(F1017,H1017,J1017,L1017,N1017))</f>
        <v/>
      </c>
      <c r="P1017" s="25">
        <f>IF(D1017="","",N(E1017)*N(F1017)+N(G1017)*N(H1017)+N(I1017)*N(J1017)+N(K1017)*N(L1017)+N(M1017)*N(N1017))</f>
        <v/>
      </c>
      <c r="Q1017" s="18">
        <f>IF(N(X1017)=0,"",IF(IF(N(F1017)=0,0,IF(N(E1017)&gt;0,E1017*(1+F1017/30),F1017))=X1017,IF(N(E1017)&gt;0,E1017&amp;" x "&amp;F1017,F1017&amp;" reps"),IF(IF(N(H1017)=0,0,IF(N(G1017)&gt;0,G1017*(1+H1017/30),H1017))=X1017,IF(N(G1017)&gt;0,G1017&amp;" x "&amp;H1017,H1017&amp;" reps"),IF(IF(N(J1017)=0,0,IF(N(I1017)&gt;0,I1017*(1+J1017/30),J1017))=X1017,IF(N(I1017)&gt;0,I1017&amp;" x "&amp;J1017,J1017&amp;" reps"),IF(IF(N(L1017)=0,0,IF(N(K1017)&gt;0,K1017*(1+L1017/30),L1017))=X1017,IF(N(K1017)&gt;0,K1017&amp;" x "&amp;L1017,L1017&amp;" reps"),IF(IF(N(N1017)=0,0,IF(N(M1017)&gt;0,M1017*(1+N1017/30),N1017))=X1017,IF(N(M1017)&gt;0,M1017&amp;" x "&amp;N1017,N1017&amp;" reps"),""))))))</f>
        <v/>
      </c>
      <c r="R1017" s="20">
        <f>IF(N(X1017)=0,"",ROUND(X1017,1))</f>
        <v/>
      </c>
      <c r="S1017" s="18">
        <f>IF(N(X1017)=0,"",IF(AND(COUNTIFS(Log!$D$6:$D$1505,D1017,Log!$B$6:$B$1505,"&lt;"&amp;B1017)&gt;0,COUNTIFS(Log!$D$6:$D$1505,D1017,Log!$B$6:$B$1505,"&lt;"&amp;B1017,Log!$X$6:$X$1505,"&gt;="&amp;X1017)=0),"New best",""))</f>
        <v/>
      </c>
      <c r="T1017" s="26" t="n"/>
      <c r="U1017" s="1">
        <f>IF(D1017="","",IFERROR(INDEX(Exercises!$C$6:$C$105,MATCH(D1017,Exercises!$B$6:$B$105,0)),"Other"))</f>
        <v/>
      </c>
      <c r="V1017">
        <f>IF(B1017="","",IF(COUNTIF($B$6:B1017,B1017)=1,1,0))</f>
        <v/>
      </c>
      <c r="W1017">
        <f>IF(B1017="","",B1017-WEEKDAY(B1017,3))</f>
        <v/>
      </c>
      <c r="X1017">
        <f>IF(D1017="","",MAX(IF(N(F1017)=0,0,IF(N(E1017)&gt;0,E1017*(1+F1017/30),F1017)),IF(N(H1017)=0,0,IF(N(G1017)&gt;0,G1017*(1+H1017/30),H1017)),IF(N(J1017)=0,0,IF(N(I1017)&gt;0,I1017*(1+J1017/30),J1017)),IF(N(L1017)=0,0,IF(N(K1017)&gt;0,K1017*(1+L1017/30),L1017)),IF(N(N1017)=0,0,IF(N(M1017)&gt;0,M1017*(1+N1017/30),N1017))))</f>
        <v/>
      </c>
      <c r="Y1017">
        <f>IF(N(X1017)=0,"",X1017+ROW()/1000000000)</f>
        <v/>
      </c>
      <c r="Z1017">
        <f>IF(Y1017="","",IF(COUNTIFS(Log!$D$6:$D$1505,D1017,Log!$Y$6:$Y$1505,"&gt;"&amp;Y1017)=0,1,0))</f>
        <v/>
      </c>
      <c r="AA1017">
        <f>IF(OR(B1017="",D1017=""),"",B1017+ROW()/10000000)</f>
        <v/>
      </c>
      <c r="AB1017">
        <f>IF(AA1017="","",IF(COUNTIFS(Log!$D$6:$D$1505,D1017,Log!$AA$6:$AA$1505,"&gt;"&amp;AA1017)=0,1,0))</f>
        <v/>
      </c>
      <c r="AC1017">
        <f>IF(S1017="New best",AA1017,"")</f>
        <v/>
      </c>
      <c r="AD1017">
        <f>ROW()</f>
        <v/>
      </c>
    </row>
    <row r="1018">
      <c r="A1018" s="1" t="n"/>
      <c r="B1018" s="21" t="n"/>
      <c r="C1018" s="22" t="n"/>
      <c r="D1018" s="23" t="n"/>
      <c r="E1018" s="24" t="n"/>
      <c r="F1018" s="24" t="n"/>
      <c r="G1018" s="24" t="n"/>
      <c r="H1018" s="24" t="n"/>
      <c r="I1018" s="24" t="n"/>
      <c r="J1018" s="24" t="n"/>
      <c r="K1018" s="24" t="n"/>
      <c r="L1018" s="24" t="n"/>
      <c r="M1018" s="24" t="n"/>
      <c r="N1018" s="24" t="n"/>
      <c r="O1018" s="15">
        <f>IF(D1018="","",COUNT(F1018,H1018,J1018,L1018,N1018))</f>
        <v/>
      </c>
      <c r="P1018" s="25">
        <f>IF(D1018="","",N(E1018)*N(F1018)+N(G1018)*N(H1018)+N(I1018)*N(J1018)+N(K1018)*N(L1018)+N(M1018)*N(N1018))</f>
        <v/>
      </c>
      <c r="Q1018" s="18">
        <f>IF(N(X1018)=0,"",IF(IF(N(F1018)=0,0,IF(N(E1018)&gt;0,E1018*(1+F1018/30),F1018))=X1018,IF(N(E1018)&gt;0,E1018&amp;" x "&amp;F1018,F1018&amp;" reps"),IF(IF(N(H1018)=0,0,IF(N(G1018)&gt;0,G1018*(1+H1018/30),H1018))=X1018,IF(N(G1018)&gt;0,G1018&amp;" x "&amp;H1018,H1018&amp;" reps"),IF(IF(N(J1018)=0,0,IF(N(I1018)&gt;0,I1018*(1+J1018/30),J1018))=X1018,IF(N(I1018)&gt;0,I1018&amp;" x "&amp;J1018,J1018&amp;" reps"),IF(IF(N(L1018)=0,0,IF(N(K1018)&gt;0,K1018*(1+L1018/30),L1018))=X1018,IF(N(K1018)&gt;0,K1018&amp;" x "&amp;L1018,L1018&amp;" reps"),IF(IF(N(N1018)=0,0,IF(N(M1018)&gt;0,M1018*(1+N1018/30),N1018))=X1018,IF(N(M1018)&gt;0,M1018&amp;" x "&amp;N1018,N1018&amp;" reps"),""))))))</f>
        <v/>
      </c>
      <c r="R1018" s="20">
        <f>IF(N(X1018)=0,"",ROUND(X1018,1))</f>
        <v/>
      </c>
      <c r="S1018" s="18">
        <f>IF(N(X1018)=0,"",IF(AND(COUNTIFS(Log!$D$6:$D$1505,D1018,Log!$B$6:$B$1505,"&lt;"&amp;B1018)&gt;0,COUNTIFS(Log!$D$6:$D$1505,D1018,Log!$B$6:$B$1505,"&lt;"&amp;B1018,Log!$X$6:$X$1505,"&gt;="&amp;X1018)=0),"New best",""))</f>
        <v/>
      </c>
      <c r="T1018" s="26" t="n"/>
      <c r="U1018" s="1">
        <f>IF(D1018="","",IFERROR(INDEX(Exercises!$C$6:$C$105,MATCH(D1018,Exercises!$B$6:$B$105,0)),"Other"))</f>
        <v/>
      </c>
      <c r="V1018">
        <f>IF(B1018="","",IF(COUNTIF($B$6:B1018,B1018)=1,1,0))</f>
        <v/>
      </c>
      <c r="W1018">
        <f>IF(B1018="","",B1018-WEEKDAY(B1018,3))</f>
        <v/>
      </c>
      <c r="X1018">
        <f>IF(D1018="","",MAX(IF(N(F1018)=0,0,IF(N(E1018)&gt;0,E1018*(1+F1018/30),F1018)),IF(N(H1018)=0,0,IF(N(G1018)&gt;0,G1018*(1+H1018/30),H1018)),IF(N(J1018)=0,0,IF(N(I1018)&gt;0,I1018*(1+J1018/30),J1018)),IF(N(L1018)=0,0,IF(N(K1018)&gt;0,K1018*(1+L1018/30),L1018)),IF(N(N1018)=0,0,IF(N(M1018)&gt;0,M1018*(1+N1018/30),N1018))))</f>
        <v/>
      </c>
      <c r="Y1018">
        <f>IF(N(X1018)=0,"",X1018+ROW()/1000000000)</f>
        <v/>
      </c>
      <c r="Z1018">
        <f>IF(Y1018="","",IF(COUNTIFS(Log!$D$6:$D$1505,D1018,Log!$Y$6:$Y$1505,"&gt;"&amp;Y1018)=0,1,0))</f>
        <v/>
      </c>
      <c r="AA1018">
        <f>IF(OR(B1018="",D1018=""),"",B1018+ROW()/10000000)</f>
        <v/>
      </c>
      <c r="AB1018">
        <f>IF(AA1018="","",IF(COUNTIFS(Log!$D$6:$D$1505,D1018,Log!$AA$6:$AA$1505,"&gt;"&amp;AA1018)=0,1,0))</f>
        <v/>
      </c>
      <c r="AC1018">
        <f>IF(S1018="New best",AA1018,"")</f>
        <v/>
      </c>
      <c r="AD1018">
        <f>ROW()</f>
        <v/>
      </c>
    </row>
    <row r="1019">
      <c r="A1019" s="1" t="n"/>
      <c r="B1019" s="21" t="n"/>
      <c r="C1019" s="22" t="n"/>
      <c r="D1019" s="23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15">
        <f>IF(D1019="","",COUNT(F1019,H1019,J1019,L1019,N1019))</f>
        <v/>
      </c>
      <c r="P1019" s="25">
        <f>IF(D1019="","",N(E1019)*N(F1019)+N(G1019)*N(H1019)+N(I1019)*N(J1019)+N(K1019)*N(L1019)+N(M1019)*N(N1019))</f>
        <v/>
      </c>
      <c r="Q1019" s="18">
        <f>IF(N(X1019)=0,"",IF(IF(N(F1019)=0,0,IF(N(E1019)&gt;0,E1019*(1+F1019/30),F1019))=X1019,IF(N(E1019)&gt;0,E1019&amp;" x "&amp;F1019,F1019&amp;" reps"),IF(IF(N(H1019)=0,0,IF(N(G1019)&gt;0,G1019*(1+H1019/30),H1019))=X1019,IF(N(G1019)&gt;0,G1019&amp;" x "&amp;H1019,H1019&amp;" reps"),IF(IF(N(J1019)=0,0,IF(N(I1019)&gt;0,I1019*(1+J1019/30),J1019))=X1019,IF(N(I1019)&gt;0,I1019&amp;" x "&amp;J1019,J1019&amp;" reps"),IF(IF(N(L1019)=0,0,IF(N(K1019)&gt;0,K1019*(1+L1019/30),L1019))=X1019,IF(N(K1019)&gt;0,K1019&amp;" x "&amp;L1019,L1019&amp;" reps"),IF(IF(N(N1019)=0,0,IF(N(M1019)&gt;0,M1019*(1+N1019/30),N1019))=X1019,IF(N(M1019)&gt;0,M1019&amp;" x "&amp;N1019,N1019&amp;" reps"),""))))))</f>
        <v/>
      </c>
      <c r="R1019" s="20">
        <f>IF(N(X1019)=0,"",ROUND(X1019,1))</f>
        <v/>
      </c>
      <c r="S1019" s="18">
        <f>IF(N(X1019)=0,"",IF(AND(COUNTIFS(Log!$D$6:$D$1505,D1019,Log!$B$6:$B$1505,"&lt;"&amp;B1019)&gt;0,COUNTIFS(Log!$D$6:$D$1505,D1019,Log!$B$6:$B$1505,"&lt;"&amp;B1019,Log!$X$6:$X$1505,"&gt;="&amp;X1019)=0),"New best",""))</f>
        <v/>
      </c>
      <c r="T1019" s="26" t="n"/>
      <c r="U1019" s="1">
        <f>IF(D1019="","",IFERROR(INDEX(Exercises!$C$6:$C$105,MATCH(D1019,Exercises!$B$6:$B$105,0)),"Other"))</f>
        <v/>
      </c>
      <c r="V1019">
        <f>IF(B1019="","",IF(COUNTIF($B$6:B1019,B1019)=1,1,0))</f>
        <v/>
      </c>
      <c r="W1019">
        <f>IF(B1019="","",B1019-WEEKDAY(B1019,3))</f>
        <v/>
      </c>
      <c r="X1019">
        <f>IF(D1019="","",MAX(IF(N(F1019)=0,0,IF(N(E1019)&gt;0,E1019*(1+F1019/30),F1019)),IF(N(H1019)=0,0,IF(N(G1019)&gt;0,G1019*(1+H1019/30),H1019)),IF(N(J1019)=0,0,IF(N(I1019)&gt;0,I1019*(1+J1019/30),J1019)),IF(N(L1019)=0,0,IF(N(K1019)&gt;0,K1019*(1+L1019/30),L1019)),IF(N(N1019)=0,0,IF(N(M1019)&gt;0,M1019*(1+N1019/30),N1019))))</f>
        <v/>
      </c>
      <c r="Y1019">
        <f>IF(N(X1019)=0,"",X1019+ROW()/1000000000)</f>
        <v/>
      </c>
      <c r="Z1019">
        <f>IF(Y1019="","",IF(COUNTIFS(Log!$D$6:$D$1505,D1019,Log!$Y$6:$Y$1505,"&gt;"&amp;Y1019)=0,1,0))</f>
        <v/>
      </c>
      <c r="AA1019">
        <f>IF(OR(B1019="",D1019=""),"",B1019+ROW()/10000000)</f>
        <v/>
      </c>
      <c r="AB1019">
        <f>IF(AA1019="","",IF(COUNTIFS(Log!$D$6:$D$1505,D1019,Log!$AA$6:$AA$1505,"&gt;"&amp;AA1019)=0,1,0))</f>
        <v/>
      </c>
      <c r="AC1019">
        <f>IF(S1019="New best",AA1019,"")</f>
        <v/>
      </c>
      <c r="AD1019">
        <f>ROW()</f>
        <v/>
      </c>
    </row>
    <row r="1020">
      <c r="A1020" s="1" t="n"/>
      <c r="B1020" s="21" t="n"/>
      <c r="C1020" s="22" t="n"/>
      <c r="D1020" s="23" t="n"/>
      <c r="E1020" s="24" t="n"/>
      <c r="F1020" s="24" t="n"/>
      <c r="G1020" s="24" t="n"/>
      <c r="H1020" s="24" t="n"/>
      <c r="I1020" s="24" t="n"/>
      <c r="J1020" s="24" t="n"/>
      <c r="K1020" s="24" t="n"/>
      <c r="L1020" s="24" t="n"/>
      <c r="M1020" s="24" t="n"/>
      <c r="N1020" s="24" t="n"/>
      <c r="O1020" s="15">
        <f>IF(D1020="","",COUNT(F1020,H1020,J1020,L1020,N1020))</f>
        <v/>
      </c>
      <c r="P1020" s="25">
        <f>IF(D1020="","",N(E1020)*N(F1020)+N(G1020)*N(H1020)+N(I1020)*N(J1020)+N(K1020)*N(L1020)+N(M1020)*N(N1020))</f>
        <v/>
      </c>
      <c r="Q1020" s="18">
        <f>IF(N(X1020)=0,"",IF(IF(N(F1020)=0,0,IF(N(E1020)&gt;0,E1020*(1+F1020/30),F1020))=X1020,IF(N(E1020)&gt;0,E1020&amp;" x "&amp;F1020,F1020&amp;" reps"),IF(IF(N(H1020)=0,0,IF(N(G1020)&gt;0,G1020*(1+H1020/30),H1020))=X1020,IF(N(G1020)&gt;0,G1020&amp;" x "&amp;H1020,H1020&amp;" reps"),IF(IF(N(J1020)=0,0,IF(N(I1020)&gt;0,I1020*(1+J1020/30),J1020))=X1020,IF(N(I1020)&gt;0,I1020&amp;" x "&amp;J1020,J1020&amp;" reps"),IF(IF(N(L1020)=0,0,IF(N(K1020)&gt;0,K1020*(1+L1020/30),L1020))=X1020,IF(N(K1020)&gt;0,K1020&amp;" x "&amp;L1020,L1020&amp;" reps"),IF(IF(N(N1020)=0,0,IF(N(M1020)&gt;0,M1020*(1+N1020/30),N1020))=X1020,IF(N(M1020)&gt;0,M1020&amp;" x "&amp;N1020,N1020&amp;" reps"),""))))))</f>
        <v/>
      </c>
      <c r="R1020" s="20">
        <f>IF(N(X1020)=0,"",ROUND(X1020,1))</f>
        <v/>
      </c>
      <c r="S1020" s="18">
        <f>IF(N(X1020)=0,"",IF(AND(COUNTIFS(Log!$D$6:$D$1505,D1020,Log!$B$6:$B$1505,"&lt;"&amp;B1020)&gt;0,COUNTIFS(Log!$D$6:$D$1505,D1020,Log!$B$6:$B$1505,"&lt;"&amp;B1020,Log!$X$6:$X$1505,"&gt;="&amp;X1020)=0),"New best",""))</f>
        <v/>
      </c>
      <c r="T1020" s="26" t="n"/>
      <c r="U1020" s="1">
        <f>IF(D1020="","",IFERROR(INDEX(Exercises!$C$6:$C$105,MATCH(D1020,Exercises!$B$6:$B$105,0)),"Other"))</f>
        <v/>
      </c>
      <c r="V1020">
        <f>IF(B1020="","",IF(COUNTIF($B$6:B1020,B1020)=1,1,0))</f>
        <v/>
      </c>
      <c r="W1020">
        <f>IF(B1020="","",B1020-WEEKDAY(B1020,3))</f>
        <v/>
      </c>
      <c r="X1020">
        <f>IF(D1020="","",MAX(IF(N(F1020)=0,0,IF(N(E1020)&gt;0,E1020*(1+F1020/30),F1020)),IF(N(H1020)=0,0,IF(N(G1020)&gt;0,G1020*(1+H1020/30),H1020)),IF(N(J1020)=0,0,IF(N(I1020)&gt;0,I1020*(1+J1020/30),J1020)),IF(N(L1020)=0,0,IF(N(K1020)&gt;0,K1020*(1+L1020/30),L1020)),IF(N(N1020)=0,0,IF(N(M1020)&gt;0,M1020*(1+N1020/30),N1020))))</f>
        <v/>
      </c>
      <c r="Y1020">
        <f>IF(N(X1020)=0,"",X1020+ROW()/1000000000)</f>
        <v/>
      </c>
      <c r="Z1020">
        <f>IF(Y1020="","",IF(COUNTIFS(Log!$D$6:$D$1505,D1020,Log!$Y$6:$Y$1505,"&gt;"&amp;Y1020)=0,1,0))</f>
        <v/>
      </c>
      <c r="AA1020">
        <f>IF(OR(B1020="",D1020=""),"",B1020+ROW()/10000000)</f>
        <v/>
      </c>
      <c r="AB1020">
        <f>IF(AA1020="","",IF(COUNTIFS(Log!$D$6:$D$1505,D1020,Log!$AA$6:$AA$1505,"&gt;"&amp;AA1020)=0,1,0))</f>
        <v/>
      </c>
      <c r="AC1020">
        <f>IF(S1020="New best",AA1020,"")</f>
        <v/>
      </c>
      <c r="AD1020">
        <f>ROW()</f>
        <v/>
      </c>
    </row>
    <row r="1021">
      <c r="A1021" s="1" t="n"/>
      <c r="B1021" s="21" t="n"/>
      <c r="C1021" s="22" t="n"/>
      <c r="D1021" s="23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15">
        <f>IF(D1021="","",COUNT(F1021,H1021,J1021,L1021,N1021))</f>
        <v/>
      </c>
      <c r="P1021" s="25">
        <f>IF(D1021="","",N(E1021)*N(F1021)+N(G1021)*N(H1021)+N(I1021)*N(J1021)+N(K1021)*N(L1021)+N(M1021)*N(N1021))</f>
        <v/>
      </c>
      <c r="Q1021" s="18">
        <f>IF(N(X1021)=0,"",IF(IF(N(F1021)=0,0,IF(N(E1021)&gt;0,E1021*(1+F1021/30),F1021))=X1021,IF(N(E1021)&gt;0,E1021&amp;" x "&amp;F1021,F1021&amp;" reps"),IF(IF(N(H1021)=0,0,IF(N(G1021)&gt;0,G1021*(1+H1021/30),H1021))=X1021,IF(N(G1021)&gt;0,G1021&amp;" x "&amp;H1021,H1021&amp;" reps"),IF(IF(N(J1021)=0,0,IF(N(I1021)&gt;0,I1021*(1+J1021/30),J1021))=X1021,IF(N(I1021)&gt;0,I1021&amp;" x "&amp;J1021,J1021&amp;" reps"),IF(IF(N(L1021)=0,0,IF(N(K1021)&gt;0,K1021*(1+L1021/30),L1021))=X1021,IF(N(K1021)&gt;0,K1021&amp;" x "&amp;L1021,L1021&amp;" reps"),IF(IF(N(N1021)=0,0,IF(N(M1021)&gt;0,M1021*(1+N1021/30),N1021))=X1021,IF(N(M1021)&gt;0,M1021&amp;" x "&amp;N1021,N1021&amp;" reps"),""))))))</f>
        <v/>
      </c>
      <c r="R1021" s="20">
        <f>IF(N(X1021)=0,"",ROUND(X1021,1))</f>
        <v/>
      </c>
      <c r="S1021" s="18">
        <f>IF(N(X1021)=0,"",IF(AND(COUNTIFS(Log!$D$6:$D$1505,D1021,Log!$B$6:$B$1505,"&lt;"&amp;B1021)&gt;0,COUNTIFS(Log!$D$6:$D$1505,D1021,Log!$B$6:$B$1505,"&lt;"&amp;B1021,Log!$X$6:$X$1505,"&gt;="&amp;X1021)=0),"New best",""))</f>
        <v/>
      </c>
      <c r="T1021" s="26" t="n"/>
      <c r="U1021" s="1">
        <f>IF(D1021="","",IFERROR(INDEX(Exercises!$C$6:$C$105,MATCH(D1021,Exercises!$B$6:$B$105,0)),"Other"))</f>
        <v/>
      </c>
      <c r="V1021">
        <f>IF(B1021="","",IF(COUNTIF($B$6:B1021,B1021)=1,1,0))</f>
        <v/>
      </c>
      <c r="W1021">
        <f>IF(B1021="","",B1021-WEEKDAY(B1021,3))</f>
        <v/>
      </c>
      <c r="X1021">
        <f>IF(D1021="","",MAX(IF(N(F1021)=0,0,IF(N(E1021)&gt;0,E1021*(1+F1021/30),F1021)),IF(N(H1021)=0,0,IF(N(G1021)&gt;0,G1021*(1+H1021/30),H1021)),IF(N(J1021)=0,0,IF(N(I1021)&gt;0,I1021*(1+J1021/30),J1021)),IF(N(L1021)=0,0,IF(N(K1021)&gt;0,K1021*(1+L1021/30),L1021)),IF(N(N1021)=0,0,IF(N(M1021)&gt;0,M1021*(1+N1021/30),N1021))))</f>
        <v/>
      </c>
      <c r="Y1021">
        <f>IF(N(X1021)=0,"",X1021+ROW()/1000000000)</f>
        <v/>
      </c>
      <c r="Z1021">
        <f>IF(Y1021="","",IF(COUNTIFS(Log!$D$6:$D$1505,D1021,Log!$Y$6:$Y$1505,"&gt;"&amp;Y1021)=0,1,0))</f>
        <v/>
      </c>
      <c r="AA1021">
        <f>IF(OR(B1021="",D1021=""),"",B1021+ROW()/10000000)</f>
        <v/>
      </c>
      <c r="AB1021">
        <f>IF(AA1021="","",IF(COUNTIFS(Log!$D$6:$D$1505,D1021,Log!$AA$6:$AA$1505,"&gt;"&amp;AA1021)=0,1,0))</f>
        <v/>
      </c>
      <c r="AC1021">
        <f>IF(S1021="New best",AA1021,"")</f>
        <v/>
      </c>
      <c r="AD1021">
        <f>ROW()</f>
        <v/>
      </c>
    </row>
    <row r="1022">
      <c r="A1022" s="1" t="n"/>
      <c r="B1022" s="21" t="n"/>
      <c r="C1022" s="22" t="n"/>
      <c r="D1022" s="23" t="n"/>
      <c r="E1022" s="24" t="n"/>
      <c r="F1022" s="24" t="n"/>
      <c r="G1022" s="24" t="n"/>
      <c r="H1022" s="24" t="n"/>
      <c r="I1022" s="24" t="n"/>
      <c r="J1022" s="24" t="n"/>
      <c r="K1022" s="24" t="n"/>
      <c r="L1022" s="24" t="n"/>
      <c r="M1022" s="24" t="n"/>
      <c r="N1022" s="24" t="n"/>
      <c r="O1022" s="15">
        <f>IF(D1022="","",COUNT(F1022,H1022,J1022,L1022,N1022))</f>
        <v/>
      </c>
      <c r="P1022" s="25">
        <f>IF(D1022="","",N(E1022)*N(F1022)+N(G1022)*N(H1022)+N(I1022)*N(J1022)+N(K1022)*N(L1022)+N(M1022)*N(N1022))</f>
        <v/>
      </c>
      <c r="Q1022" s="18">
        <f>IF(N(X1022)=0,"",IF(IF(N(F1022)=0,0,IF(N(E1022)&gt;0,E1022*(1+F1022/30),F1022))=X1022,IF(N(E1022)&gt;0,E1022&amp;" x "&amp;F1022,F1022&amp;" reps"),IF(IF(N(H1022)=0,0,IF(N(G1022)&gt;0,G1022*(1+H1022/30),H1022))=X1022,IF(N(G1022)&gt;0,G1022&amp;" x "&amp;H1022,H1022&amp;" reps"),IF(IF(N(J1022)=0,0,IF(N(I1022)&gt;0,I1022*(1+J1022/30),J1022))=X1022,IF(N(I1022)&gt;0,I1022&amp;" x "&amp;J1022,J1022&amp;" reps"),IF(IF(N(L1022)=0,0,IF(N(K1022)&gt;0,K1022*(1+L1022/30),L1022))=X1022,IF(N(K1022)&gt;0,K1022&amp;" x "&amp;L1022,L1022&amp;" reps"),IF(IF(N(N1022)=0,0,IF(N(M1022)&gt;0,M1022*(1+N1022/30),N1022))=X1022,IF(N(M1022)&gt;0,M1022&amp;" x "&amp;N1022,N1022&amp;" reps"),""))))))</f>
        <v/>
      </c>
      <c r="R1022" s="20">
        <f>IF(N(X1022)=0,"",ROUND(X1022,1))</f>
        <v/>
      </c>
      <c r="S1022" s="18">
        <f>IF(N(X1022)=0,"",IF(AND(COUNTIFS(Log!$D$6:$D$1505,D1022,Log!$B$6:$B$1505,"&lt;"&amp;B1022)&gt;0,COUNTIFS(Log!$D$6:$D$1505,D1022,Log!$B$6:$B$1505,"&lt;"&amp;B1022,Log!$X$6:$X$1505,"&gt;="&amp;X1022)=0),"New best",""))</f>
        <v/>
      </c>
      <c r="T1022" s="26" t="n"/>
      <c r="U1022" s="1">
        <f>IF(D1022="","",IFERROR(INDEX(Exercises!$C$6:$C$105,MATCH(D1022,Exercises!$B$6:$B$105,0)),"Other"))</f>
        <v/>
      </c>
      <c r="V1022">
        <f>IF(B1022="","",IF(COUNTIF($B$6:B1022,B1022)=1,1,0))</f>
        <v/>
      </c>
      <c r="W1022">
        <f>IF(B1022="","",B1022-WEEKDAY(B1022,3))</f>
        <v/>
      </c>
      <c r="X1022">
        <f>IF(D1022="","",MAX(IF(N(F1022)=0,0,IF(N(E1022)&gt;0,E1022*(1+F1022/30),F1022)),IF(N(H1022)=0,0,IF(N(G1022)&gt;0,G1022*(1+H1022/30),H1022)),IF(N(J1022)=0,0,IF(N(I1022)&gt;0,I1022*(1+J1022/30),J1022)),IF(N(L1022)=0,0,IF(N(K1022)&gt;0,K1022*(1+L1022/30),L1022)),IF(N(N1022)=0,0,IF(N(M1022)&gt;0,M1022*(1+N1022/30),N1022))))</f>
        <v/>
      </c>
      <c r="Y1022">
        <f>IF(N(X1022)=0,"",X1022+ROW()/1000000000)</f>
        <v/>
      </c>
      <c r="Z1022">
        <f>IF(Y1022="","",IF(COUNTIFS(Log!$D$6:$D$1505,D1022,Log!$Y$6:$Y$1505,"&gt;"&amp;Y1022)=0,1,0))</f>
        <v/>
      </c>
      <c r="AA1022">
        <f>IF(OR(B1022="",D1022=""),"",B1022+ROW()/10000000)</f>
        <v/>
      </c>
      <c r="AB1022">
        <f>IF(AA1022="","",IF(COUNTIFS(Log!$D$6:$D$1505,D1022,Log!$AA$6:$AA$1505,"&gt;"&amp;AA1022)=0,1,0))</f>
        <v/>
      </c>
      <c r="AC1022">
        <f>IF(S1022="New best",AA1022,"")</f>
        <v/>
      </c>
      <c r="AD1022">
        <f>ROW()</f>
        <v/>
      </c>
    </row>
    <row r="1023">
      <c r="A1023" s="1" t="n"/>
      <c r="B1023" s="21" t="n"/>
      <c r="C1023" s="22" t="n"/>
      <c r="D1023" s="23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15">
        <f>IF(D1023="","",COUNT(F1023,H1023,J1023,L1023,N1023))</f>
        <v/>
      </c>
      <c r="P1023" s="25">
        <f>IF(D1023="","",N(E1023)*N(F1023)+N(G1023)*N(H1023)+N(I1023)*N(J1023)+N(K1023)*N(L1023)+N(M1023)*N(N1023))</f>
        <v/>
      </c>
      <c r="Q1023" s="18">
        <f>IF(N(X1023)=0,"",IF(IF(N(F1023)=0,0,IF(N(E1023)&gt;0,E1023*(1+F1023/30),F1023))=X1023,IF(N(E1023)&gt;0,E1023&amp;" x "&amp;F1023,F1023&amp;" reps"),IF(IF(N(H1023)=0,0,IF(N(G1023)&gt;0,G1023*(1+H1023/30),H1023))=X1023,IF(N(G1023)&gt;0,G1023&amp;" x "&amp;H1023,H1023&amp;" reps"),IF(IF(N(J1023)=0,0,IF(N(I1023)&gt;0,I1023*(1+J1023/30),J1023))=X1023,IF(N(I1023)&gt;0,I1023&amp;" x "&amp;J1023,J1023&amp;" reps"),IF(IF(N(L1023)=0,0,IF(N(K1023)&gt;0,K1023*(1+L1023/30),L1023))=X1023,IF(N(K1023)&gt;0,K1023&amp;" x "&amp;L1023,L1023&amp;" reps"),IF(IF(N(N1023)=0,0,IF(N(M1023)&gt;0,M1023*(1+N1023/30),N1023))=X1023,IF(N(M1023)&gt;0,M1023&amp;" x "&amp;N1023,N1023&amp;" reps"),""))))))</f>
        <v/>
      </c>
      <c r="R1023" s="20">
        <f>IF(N(X1023)=0,"",ROUND(X1023,1))</f>
        <v/>
      </c>
      <c r="S1023" s="18">
        <f>IF(N(X1023)=0,"",IF(AND(COUNTIFS(Log!$D$6:$D$1505,D1023,Log!$B$6:$B$1505,"&lt;"&amp;B1023)&gt;0,COUNTIFS(Log!$D$6:$D$1505,D1023,Log!$B$6:$B$1505,"&lt;"&amp;B1023,Log!$X$6:$X$1505,"&gt;="&amp;X1023)=0),"New best",""))</f>
        <v/>
      </c>
      <c r="T1023" s="26" t="n"/>
      <c r="U1023" s="1">
        <f>IF(D1023="","",IFERROR(INDEX(Exercises!$C$6:$C$105,MATCH(D1023,Exercises!$B$6:$B$105,0)),"Other"))</f>
        <v/>
      </c>
      <c r="V1023">
        <f>IF(B1023="","",IF(COUNTIF($B$6:B1023,B1023)=1,1,0))</f>
        <v/>
      </c>
      <c r="W1023">
        <f>IF(B1023="","",B1023-WEEKDAY(B1023,3))</f>
        <v/>
      </c>
      <c r="X1023">
        <f>IF(D1023="","",MAX(IF(N(F1023)=0,0,IF(N(E1023)&gt;0,E1023*(1+F1023/30),F1023)),IF(N(H1023)=0,0,IF(N(G1023)&gt;0,G1023*(1+H1023/30),H1023)),IF(N(J1023)=0,0,IF(N(I1023)&gt;0,I1023*(1+J1023/30),J1023)),IF(N(L1023)=0,0,IF(N(K1023)&gt;0,K1023*(1+L1023/30),L1023)),IF(N(N1023)=0,0,IF(N(M1023)&gt;0,M1023*(1+N1023/30),N1023))))</f>
        <v/>
      </c>
      <c r="Y1023">
        <f>IF(N(X1023)=0,"",X1023+ROW()/1000000000)</f>
        <v/>
      </c>
      <c r="Z1023">
        <f>IF(Y1023="","",IF(COUNTIFS(Log!$D$6:$D$1505,D1023,Log!$Y$6:$Y$1505,"&gt;"&amp;Y1023)=0,1,0))</f>
        <v/>
      </c>
      <c r="AA1023">
        <f>IF(OR(B1023="",D1023=""),"",B1023+ROW()/10000000)</f>
        <v/>
      </c>
      <c r="AB1023">
        <f>IF(AA1023="","",IF(COUNTIFS(Log!$D$6:$D$1505,D1023,Log!$AA$6:$AA$1505,"&gt;"&amp;AA1023)=0,1,0))</f>
        <v/>
      </c>
      <c r="AC1023">
        <f>IF(S1023="New best",AA1023,"")</f>
        <v/>
      </c>
      <c r="AD1023">
        <f>ROW()</f>
        <v/>
      </c>
    </row>
    <row r="1024">
      <c r="A1024" s="1" t="n"/>
      <c r="B1024" s="21" t="n"/>
      <c r="C1024" s="22" t="n"/>
      <c r="D1024" s="23" t="n"/>
      <c r="E1024" s="24" t="n"/>
      <c r="F1024" s="24" t="n"/>
      <c r="G1024" s="24" t="n"/>
      <c r="H1024" s="24" t="n"/>
      <c r="I1024" s="24" t="n"/>
      <c r="J1024" s="24" t="n"/>
      <c r="K1024" s="24" t="n"/>
      <c r="L1024" s="24" t="n"/>
      <c r="M1024" s="24" t="n"/>
      <c r="N1024" s="24" t="n"/>
      <c r="O1024" s="15">
        <f>IF(D1024="","",COUNT(F1024,H1024,J1024,L1024,N1024))</f>
        <v/>
      </c>
      <c r="P1024" s="25">
        <f>IF(D1024="","",N(E1024)*N(F1024)+N(G1024)*N(H1024)+N(I1024)*N(J1024)+N(K1024)*N(L1024)+N(M1024)*N(N1024))</f>
        <v/>
      </c>
      <c r="Q1024" s="18">
        <f>IF(N(X1024)=0,"",IF(IF(N(F1024)=0,0,IF(N(E1024)&gt;0,E1024*(1+F1024/30),F1024))=X1024,IF(N(E1024)&gt;0,E1024&amp;" x "&amp;F1024,F1024&amp;" reps"),IF(IF(N(H1024)=0,0,IF(N(G1024)&gt;0,G1024*(1+H1024/30),H1024))=X1024,IF(N(G1024)&gt;0,G1024&amp;" x "&amp;H1024,H1024&amp;" reps"),IF(IF(N(J1024)=0,0,IF(N(I1024)&gt;0,I1024*(1+J1024/30),J1024))=X1024,IF(N(I1024)&gt;0,I1024&amp;" x "&amp;J1024,J1024&amp;" reps"),IF(IF(N(L1024)=0,0,IF(N(K1024)&gt;0,K1024*(1+L1024/30),L1024))=X1024,IF(N(K1024)&gt;0,K1024&amp;" x "&amp;L1024,L1024&amp;" reps"),IF(IF(N(N1024)=0,0,IF(N(M1024)&gt;0,M1024*(1+N1024/30),N1024))=X1024,IF(N(M1024)&gt;0,M1024&amp;" x "&amp;N1024,N1024&amp;" reps"),""))))))</f>
        <v/>
      </c>
      <c r="R1024" s="20">
        <f>IF(N(X1024)=0,"",ROUND(X1024,1))</f>
        <v/>
      </c>
      <c r="S1024" s="18">
        <f>IF(N(X1024)=0,"",IF(AND(COUNTIFS(Log!$D$6:$D$1505,D1024,Log!$B$6:$B$1505,"&lt;"&amp;B1024)&gt;0,COUNTIFS(Log!$D$6:$D$1505,D1024,Log!$B$6:$B$1505,"&lt;"&amp;B1024,Log!$X$6:$X$1505,"&gt;="&amp;X1024)=0),"New best",""))</f>
        <v/>
      </c>
      <c r="T1024" s="26" t="n"/>
      <c r="U1024" s="1">
        <f>IF(D1024="","",IFERROR(INDEX(Exercises!$C$6:$C$105,MATCH(D1024,Exercises!$B$6:$B$105,0)),"Other"))</f>
        <v/>
      </c>
      <c r="V1024">
        <f>IF(B1024="","",IF(COUNTIF($B$6:B1024,B1024)=1,1,0))</f>
        <v/>
      </c>
      <c r="W1024">
        <f>IF(B1024="","",B1024-WEEKDAY(B1024,3))</f>
        <v/>
      </c>
      <c r="X1024">
        <f>IF(D1024="","",MAX(IF(N(F1024)=0,0,IF(N(E1024)&gt;0,E1024*(1+F1024/30),F1024)),IF(N(H1024)=0,0,IF(N(G1024)&gt;0,G1024*(1+H1024/30),H1024)),IF(N(J1024)=0,0,IF(N(I1024)&gt;0,I1024*(1+J1024/30),J1024)),IF(N(L1024)=0,0,IF(N(K1024)&gt;0,K1024*(1+L1024/30),L1024)),IF(N(N1024)=0,0,IF(N(M1024)&gt;0,M1024*(1+N1024/30),N1024))))</f>
        <v/>
      </c>
      <c r="Y1024">
        <f>IF(N(X1024)=0,"",X1024+ROW()/1000000000)</f>
        <v/>
      </c>
      <c r="Z1024">
        <f>IF(Y1024="","",IF(COUNTIFS(Log!$D$6:$D$1505,D1024,Log!$Y$6:$Y$1505,"&gt;"&amp;Y1024)=0,1,0))</f>
        <v/>
      </c>
      <c r="AA1024">
        <f>IF(OR(B1024="",D1024=""),"",B1024+ROW()/10000000)</f>
        <v/>
      </c>
      <c r="AB1024">
        <f>IF(AA1024="","",IF(COUNTIFS(Log!$D$6:$D$1505,D1024,Log!$AA$6:$AA$1505,"&gt;"&amp;AA1024)=0,1,0))</f>
        <v/>
      </c>
      <c r="AC1024">
        <f>IF(S1024="New best",AA1024,"")</f>
        <v/>
      </c>
      <c r="AD1024">
        <f>ROW()</f>
        <v/>
      </c>
    </row>
    <row r="1025">
      <c r="A1025" s="1" t="n"/>
      <c r="B1025" s="21" t="n"/>
      <c r="C1025" s="22" t="n"/>
      <c r="D1025" s="23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15">
        <f>IF(D1025="","",COUNT(F1025,H1025,J1025,L1025,N1025))</f>
        <v/>
      </c>
      <c r="P1025" s="25">
        <f>IF(D1025="","",N(E1025)*N(F1025)+N(G1025)*N(H1025)+N(I1025)*N(J1025)+N(K1025)*N(L1025)+N(M1025)*N(N1025))</f>
        <v/>
      </c>
      <c r="Q1025" s="18">
        <f>IF(N(X1025)=0,"",IF(IF(N(F1025)=0,0,IF(N(E1025)&gt;0,E1025*(1+F1025/30),F1025))=X1025,IF(N(E1025)&gt;0,E1025&amp;" x "&amp;F1025,F1025&amp;" reps"),IF(IF(N(H1025)=0,0,IF(N(G1025)&gt;0,G1025*(1+H1025/30),H1025))=X1025,IF(N(G1025)&gt;0,G1025&amp;" x "&amp;H1025,H1025&amp;" reps"),IF(IF(N(J1025)=0,0,IF(N(I1025)&gt;0,I1025*(1+J1025/30),J1025))=X1025,IF(N(I1025)&gt;0,I1025&amp;" x "&amp;J1025,J1025&amp;" reps"),IF(IF(N(L1025)=0,0,IF(N(K1025)&gt;0,K1025*(1+L1025/30),L1025))=X1025,IF(N(K1025)&gt;0,K1025&amp;" x "&amp;L1025,L1025&amp;" reps"),IF(IF(N(N1025)=0,0,IF(N(M1025)&gt;0,M1025*(1+N1025/30),N1025))=X1025,IF(N(M1025)&gt;0,M1025&amp;" x "&amp;N1025,N1025&amp;" reps"),""))))))</f>
        <v/>
      </c>
      <c r="R1025" s="20">
        <f>IF(N(X1025)=0,"",ROUND(X1025,1))</f>
        <v/>
      </c>
      <c r="S1025" s="18">
        <f>IF(N(X1025)=0,"",IF(AND(COUNTIFS(Log!$D$6:$D$1505,D1025,Log!$B$6:$B$1505,"&lt;"&amp;B1025)&gt;0,COUNTIFS(Log!$D$6:$D$1505,D1025,Log!$B$6:$B$1505,"&lt;"&amp;B1025,Log!$X$6:$X$1505,"&gt;="&amp;X1025)=0),"New best",""))</f>
        <v/>
      </c>
      <c r="T1025" s="26" t="n"/>
      <c r="U1025" s="1">
        <f>IF(D1025="","",IFERROR(INDEX(Exercises!$C$6:$C$105,MATCH(D1025,Exercises!$B$6:$B$105,0)),"Other"))</f>
        <v/>
      </c>
      <c r="V1025">
        <f>IF(B1025="","",IF(COUNTIF($B$6:B1025,B1025)=1,1,0))</f>
        <v/>
      </c>
      <c r="W1025">
        <f>IF(B1025="","",B1025-WEEKDAY(B1025,3))</f>
        <v/>
      </c>
      <c r="X1025">
        <f>IF(D1025="","",MAX(IF(N(F1025)=0,0,IF(N(E1025)&gt;0,E1025*(1+F1025/30),F1025)),IF(N(H1025)=0,0,IF(N(G1025)&gt;0,G1025*(1+H1025/30),H1025)),IF(N(J1025)=0,0,IF(N(I1025)&gt;0,I1025*(1+J1025/30),J1025)),IF(N(L1025)=0,0,IF(N(K1025)&gt;0,K1025*(1+L1025/30),L1025)),IF(N(N1025)=0,0,IF(N(M1025)&gt;0,M1025*(1+N1025/30),N1025))))</f>
        <v/>
      </c>
      <c r="Y1025">
        <f>IF(N(X1025)=0,"",X1025+ROW()/1000000000)</f>
        <v/>
      </c>
      <c r="Z1025">
        <f>IF(Y1025="","",IF(COUNTIFS(Log!$D$6:$D$1505,D1025,Log!$Y$6:$Y$1505,"&gt;"&amp;Y1025)=0,1,0))</f>
        <v/>
      </c>
      <c r="AA1025">
        <f>IF(OR(B1025="",D1025=""),"",B1025+ROW()/10000000)</f>
        <v/>
      </c>
      <c r="AB1025">
        <f>IF(AA1025="","",IF(COUNTIFS(Log!$D$6:$D$1505,D1025,Log!$AA$6:$AA$1505,"&gt;"&amp;AA1025)=0,1,0))</f>
        <v/>
      </c>
      <c r="AC1025">
        <f>IF(S1025="New best",AA1025,"")</f>
        <v/>
      </c>
      <c r="AD1025">
        <f>ROW()</f>
        <v/>
      </c>
    </row>
    <row r="1026">
      <c r="A1026" s="1" t="n"/>
      <c r="B1026" s="21" t="n"/>
      <c r="C1026" s="22" t="n"/>
      <c r="D1026" s="23" t="n"/>
      <c r="E1026" s="24" t="n"/>
      <c r="F1026" s="24" t="n"/>
      <c r="G1026" s="24" t="n"/>
      <c r="H1026" s="24" t="n"/>
      <c r="I1026" s="24" t="n"/>
      <c r="J1026" s="24" t="n"/>
      <c r="K1026" s="24" t="n"/>
      <c r="L1026" s="24" t="n"/>
      <c r="M1026" s="24" t="n"/>
      <c r="N1026" s="24" t="n"/>
      <c r="O1026" s="15">
        <f>IF(D1026="","",COUNT(F1026,H1026,J1026,L1026,N1026))</f>
        <v/>
      </c>
      <c r="P1026" s="25">
        <f>IF(D1026="","",N(E1026)*N(F1026)+N(G1026)*N(H1026)+N(I1026)*N(J1026)+N(K1026)*N(L1026)+N(M1026)*N(N1026))</f>
        <v/>
      </c>
      <c r="Q1026" s="18">
        <f>IF(N(X1026)=0,"",IF(IF(N(F1026)=0,0,IF(N(E1026)&gt;0,E1026*(1+F1026/30),F1026))=X1026,IF(N(E1026)&gt;0,E1026&amp;" x "&amp;F1026,F1026&amp;" reps"),IF(IF(N(H1026)=0,0,IF(N(G1026)&gt;0,G1026*(1+H1026/30),H1026))=X1026,IF(N(G1026)&gt;0,G1026&amp;" x "&amp;H1026,H1026&amp;" reps"),IF(IF(N(J1026)=0,0,IF(N(I1026)&gt;0,I1026*(1+J1026/30),J1026))=X1026,IF(N(I1026)&gt;0,I1026&amp;" x "&amp;J1026,J1026&amp;" reps"),IF(IF(N(L1026)=0,0,IF(N(K1026)&gt;0,K1026*(1+L1026/30),L1026))=X1026,IF(N(K1026)&gt;0,K1026&amp;" x "&amp;L1026,L1026&amp;" reps"),IF(IF(N(N1026)=0,0,IF(N(M1026)&gt;0,M1026*(1+N1026/30),N1026))=X1026,IF(N(M1026)&gt;0,M1026&amp;" x "&amp;N1026,N1026&amp;" reps"),""))))))</f>
        <v/>
      </c>
      <c r="R1026" s="20">
        <f>IF(N(X1026)=0,"",ROUND(X1026,1))</f>
        <v/>
      </c>
      <c r="S1026" s="18">
        <f>IF(N(X1026)=0,"",IF(AND(COUNTIFS(Log!$D$6:$D$1505,D1026,Log!$B$6:$B$1505,"&lt;"&amp;B1026)&gt;0,COUNTIFS(Log!$D$6:$D$1505,D1026,Log!$B$6:$B$1505,"&lt;"&amp;B1026,Log!$X$6:$X$1505,"&gt;="&amp;X1026)=0),"New best",""))</f>
        <v/>
      </c>
      <c r="T1026" s="26" t="n"/>
      <c r="U1026" s="1">
        <f>IF(D1026="","",IFERROR(INDEX(Exercises!$C$6:$C$105,MATCH(D1026,Exercises!$B$6:$B$105,0)),"Other"))</f>
        <v/>
      </c>
      <c r="V1026">
        <f>IF(B1026="","",IF(COUNTIF($B$6:B1026,B1026)=1,1,0))</f>
        <v/>
      </c>
      <c r="W1026">
        <f>IF(B1026="","",B1026-WEEKDAY(B1026,3))</f>
        <v/>
      </c>
      <c r="X1026">
        <f>IF(D1026="","",MAX(IF(N(F1026)=0,0,IF(N(E1026)&gt;0,E1026*(1+F1026/30),F1026)),IF(N(H1026)=0,0,IF(N(G1026)&gt;0,G1026*(1+H1026/30),H1026)),IF(N(J1026)=0,0,IF(N(I1026)&gt;0,I1026*(1+J1026/30),J1026)),IF(N(L1026)=0,0,IF(N(K1026)&gt;0,K1026*(1+L1026/30),L1026)),IF(N(N1026)=0,0,IF(N(M1026)&gt;0,M1026*(1+N1026/30),N1026))))</f>
        <v/>
      </c>
      <c r="Y1026">
        <f>IF(N(X1026)=0,"",X1026+ROW()/1000000000)</f>
        <v/>
      </c>
      <c r="Z1026">
        <f>IF(Y1026="","",IF(COUNTIFS(Log!$D$6:$D$1505,D1026,Log!$Y$6:$Y$1505,"&gt;"&amp;Y1026)=0,1,0))</f>
        <v/>
      </c>
      <c r="AA1026">
        <f>IF(OR(B1026="",D1026=""),"",B1026+ROW()/10000000)</f>
        <v/>
      </c>
      <c r="AB1026">
        <f>IF(AA1026="","",IF(COUNTIFS(Log!$D$6:$D$1505,D1026,Log!$AA$6:$AA$1505,"&gt;"&amp;AA1026)=0,1,0))</f>
        <v/>
      </c>
      <c r="AC1026">
        <f>IF(S1026="New best",AA1026,"")</f>
        <v/>
      </c>
      <c r="AD1026">
        <f>ROW()</f>
        <v/>
      </c>
    </row>
    <row r="1027">
      <c r="A1027" s="1" t="n"/>
      <c r="B1027" s="21" t="n"/>
      <c r="C1027" s="22" t="n"/>
      <c r="D1027" s="23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15">
        <f>IF(D1027="","",COUNT(F1027,H1027,J1027,L1027,N1027))</f>
        <v/>
      </c>
      <c r="P1027" s="25">
        <f>IF(D1027="","",N(E1027)*N(F1027)+N(G1027)*N(H1027)+N(I1027)*N(J1027)+N(K1027)*N(L1027)+N(M1027)*N(N1027))</f>
        <v/>
      </c>
      <c r="Q1027" s="18">
        <f>IF(N(X1027)=0,"",IF(IF(N(F1027)=0,0,IF(N(E1027)&gt;0,E1027*(1+F1027/30),F1027))=X1027,IF(N(E1027)&gt;0,E1027&amp;" x "&amp;F1027,F1027&amp;" reps"),IF(IF(N(H1027)=0,0,IF(N(G1027)&gt;0,G1027*(1+H1027/30),H1027))=X1027,IF(N(G1027)&gt;0,G1027&amp;" x "&amp;H1027,H1027&amp;" reps"),IF(IF(N(J1027)=0,0,IF(N(I1027)&gt;0,I1027*(1+J1027/30),J1027))=X1027,IF(N(I1027)&gt;0,I1027&amp;" x "&amp;J1027,J1027&amp;" reps"),IF(IF(N(L1027)=0,0,IF(N(K1027)&gt;0,K1027*(1+L1027/30),L1027))=X1027,IF(N(K1027)&gt;0,K1027&amp;" x "&amp;L1027,L1027&amp;" reps"),IF(IF(N(N1027)=0,0,IF(N(M1027)&gt;0,M1027*(1+N1027/30),N1027))=X1027,IF(N(M1027)&gt;0,M1027&amp;" x "&amp;N1027,N1027&amp;" reps"),""))))))</f>
        <v/>
      </c>
      <c r="R1027" s="20">
        <f>IF(N(X1027)=0,"",ROUND(X1027,1))</f>
        <v/>
      </c>
      <c r="S1027" s="18">
        <f>IF(N(X1027)=0,"",IF(AND(COUNTIFS(Log!$D$6:$D$1505,D1027,Log!$B$6:$B$1505,"&lt;"&amp;B1027)&gt;0,COUNTIFS(Log!$D$6:$D$1505,D1027,Log!$B$6:$B$1505,"&lt;"&amp;B1027,Log!$X$6:$X$1505,"&gt;="&amp;X1027)=0),"New best",""))</f>
        <v/>
      </c>
      <c r="T1027" s="26" t="n"/>
      <c r="U1027" s="1">
        <f>IF(D1027="","",IFERROR(INDEX(Exercises!$C$6:$C$105,MATCH(D1027,Exercises!$B$6:$B$105,0)),"Other"))</f>
        <v/>
      </c>
      <c r="V1027">
        <f>IF(B1027="","",IF(COUNTIF($B$6:B1027,B1027)=1,1,0))</f>
        <v/>
      </c>
      <c r="W1027">
        <f>IF(B1027="","",B1027-WEEKDAY(B1027,3))</f>
        <v/>
      </c>
      <c r="X1027">
        <f>IF(D1027="","",MAX(IF(N(F1027)=0,0,IF(N(E1027)&gt;0,E1027*(1+F1027/30),F1027)),IF(N(H1027)=0,0,IF(N(G1027)&gt;0,G1027*(1+H1027/30),H1027)),IF(N(J1027)=0,0,IF(N(I1027)&gt;0,I1027*(1+J1027/30),J1027)),IF(N(L1027)=0,0,IF(N(K1027)&gt;0,K1027*(1+L1027/30),L1027)),IF(N(N1027)=0,0,IF(N(M1027)&gt;0,M1027*(1+N1027/30),N1027))))</f>
        <v/>
      </c>
      <c r="Y1027">
        <f>IF(N(X1027)=0,"",X1027+ROW()/1000000000)</f>
        <v/>
      </c>
      <c r="Z1027">
        <f>IF(Y1027="","",IF(COUNTIFS(Log!$D$6:$D$1505,D1027,Log!$Y$6:$Y$1505,"&gt;"&amp;Y1027)=0,1,0))</f>
        <v/>
      </c>
      <c r="AA1027">
        <f>IF(OR(B1027="",D1027=""),"",B1027+ROW()/10000000)</f>
        <v/>
      </c>
      <c r="AB1027">
        <f>IF(AA1027="","",IF(COUNTIFS(Log!$D$6:$D$1505,D1027,Log!$AA$6:$AA$1505,"&gt;"&amp;AA1027)=0,1,0))</f>
        <v/>
      </c>
      <c r="AC1027">
        <f>IF(S1027="New best",AA1027,"")</f>
        <v/>
      </c>
      <c r="AD1027">
        <f>ROW()</f>
        <v/>
      </c>
    </row>
    <row r="1028">
      <c r="A1028" s="1" t="n"/>
      <c r="B1028" s="21" t="n"/>
      <c r="C1028" s="22" t="n"/>
      <c r="D1028" s="23" t="n"/>
      <c r="E1028" s="24" t="n"/>
      <c r="F1028" s="24" t="n"/>
      <c r="G1028" s="24" t="n"/>
      <c r="H1028" s="24" t="n"/>
      <c r="I1028" s="24" t="n"/>
      <c r="J1028" s="24" t="n"/>
      <c r="K1028" s="24" t="n"/>
      <c r="L1028" s="24" t="n"/>
      <c r="M1028" s="24" t="n"/>
      <c r="N1028" s="24" t="n"/>
      <c r="O1028" s="15">
        <f>IF(D1028="","",COUNT(F1028,H1028,J1028,L1028,N1028))</f>
        <v/>
      </c>
      <c r="P1028" s="25">
        <f>IF(D1028="","",N(E1028)*N(F1028)+N(G1028)*N(H1028)+N(I1028)*N(J1028)+N(K1028)*N(L1028)+N(M1028)*N(N1028))</f>
        <v/>
      </c>
      <c r="Q1028" s="18">
        <f>IF(N(X1028)=0,"",IF(IF(N(F1028)=0,0,IF(N(E1028)&gt;0,E1028*(1+F1028/30),F1028))=X1028,IF(N(E1028)&gt;0,E1028&amp;" x "&amp;F1028,F1028&amp;" reps"),IF(IF(N(H1028)=0,0,IF(N(G1028)&gt;0,G1028*(1+H1028/30),H1028))=X1028,IF(N(G1028)&gt;0,G1028&amp;" x "&amp;H1028,H1028&amp;" reps"),IF(IF(N(J1028)=0,0,IF(N(I1028)&gt;0,I1028*(1+J1028/30),J1028))=X1028,IF(N(I1028)&gt;0,I1028&amp;" x "&amp;J1028,J1028&amp;" reps"),IF(IF(N(L1028)=0,0,IF(N(K1028)&gt;0,K1028*(1+L1028/30),L1028))=X1028,IF(N(K1028)&gt;0,K1028&amp;" x "&amp;L1028,L1028&amp;" reps"),IF(IF(N(N1028)=0,0,IF(N(M1028)&gt;0,M1028*(1+N1028/30),N1028))=X1028,IF(N(M1028)&gt;0,M1028&amp;" x "&amp;N1028,N1028&amp;" reps"),""))))))</f>
        <v/>
      </c>
      <c r="R1028" s="20">
        <f>IF(N(X1028)=0,"",ROUND(X1028,1))</f>
        <v/>
      </c>
      <c r="S1028" s="18">
        <f>IF(N(X1028)=0,"",IF(AND(COUNTIFS(Log!$D$6:$D$1505,D1028,Log!$B$6:$B$1505,"&lt;"&amp;B1028)&gt;0,COUNTIFS(Log!$D$6:$D$1505,D1028,Log!$B$6:$B$1505,"&lt;"&amp;B1028,Log!$X$6:$X$1505,"&gt;="&amp;X1028)=0),"New best",""))</f>
        <v/>
      </c>
      <c r="T1028" s="26" t="n"/>
      <c r="U1028" s="1">
        <f>IF(D1028="","",IFERROR(INDEX(Exercises!$C$6:$C$105,MATCH(D1028,Exercises!$B$6:$B$105,0)),"Other"))</f>
        <v/>
      </c>
      <c r="V1028">
        <f>IF(B1028="","",IF(COUNTIF($B$6:B1028,B1028)=1,1,0))</f>
        <v/>
      </c>
      <c r="W1028">
        <f>IF(B1028="","",B1028-WEEKDAY(B1028,3))</f>
        <v/>
      </c>
      <c r="X1028">
        <f>IF(D1028="","",MAX(IF(N(F1028)=0,0,IF(N(E1028)&gt;0,E1028*(1+F1028/30),F1028)),IF(N(H1028)=0,0,IF(N(G1028)&gt;0,G1028*(1+H1028/30),H1028)),IF(N(J1028)=0,0,IF(N(I1028)&gt;0,I1028*(1+J1028/30),J1028)),IF(N(L1028)=0,0,IF(N(K1028)&gt;0,K1028*(1+L1028/30),L1028)),IF(N(N1028)=0,0,IF(N(M1028)&gt;0,M1028*(1+N1028/30),N1028))))</f>
        <v/>
      </c>
      <c r="Y1028">
        <f>IF(N(X1028)=0,"",X1028+ROW()/1000000000)</f>
        <v/>
      </c>
      <c r="Z1028">
        <f>IF(Y1028="","",IF(COUNTIFS(Log!$D$6:$D$1505,D1028,Log!$Y$6:$Y$1505,"&gt;"&amp;Y1028)=0,1,0))</f>
        <v/>
      </c>
      <c r="AA1028">
        <f>IF(OR(B1028="",D1028=""),"",B1028+ROW()/10000000)</f>
        <v/>
      </c>
      <c r="AB1028">
        <f>IF(AA1028="","",IF(COUNTIFS(Log!$D$6:$D$1505,D1028,Log!$AA$6:$AA$1505,"&gt;"&amp;AA1028)=0,1,0))</f>
        <v/>
      </c>
      <c r="AC1028">
        <f>IF(S1028="New best",AA1028,"")</f>
        <v/>
      </c>
      <c r="AD1028">
        <f>ROW()</f>
        <v/>
      </c>
    </row>
    <row r="1029">
      <c r="A1029" s="1" t="n"/>
      <c r="B1029" s="21" t="n"/>
      <c r="C1029" s="22" t="n"/>
      <c r="D1029" s="23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15">
        <f>IF(D1029="","",COUNT(F1029,H1029,J1029,L1029,N1029))</f>
        <v/>
      </c>
      <c r="P1029" s="25">
        <f>IF(D1029="","",N(E1029)*N(F1029)+N(G1029)*N(H1029)+N(I1029)*N(J1029)+N(K1029)*N(L1029)+N(M1029)*N(N1029))</f>
        <v/>
      </c>
      <c r="Q1029" s="18">
        <f>IF(N(X1029)=0,"",IF(IF(N(F1029)=0,0,IF(N(E1029)&gt;0,E1029*(1+F1029/30),F1029))=X1029,IF(N(E1029)&gt;0,E1029&amp;" x "&amp;F1029,F1029&amp;" reps"),IF(IF(N(H1029)=0,0,IF(N(G1029)&gt;0,G1029*(1+H1029/30),H1029))=X1029,IF(N(G1029)&gt;0,G1029&amp;" x "&amp;H1029,H1029&amp;" reps"),IF(IF(N(J1029)=0,0,IF(N(I1029)&gt;0,I1029*(1+J1029/30),J1029))=X1029,IF(N(I1029)&gt;0,I1029&amp;" x "&amp;J1029,J1029&amp;" reps"),IF(IF(N(L1029)=0,0,IF(N(K1029)&gt;0,K1029*(1+L1029/30),L1029))=X1029,IF(N(K1029)&gt;0,K1029&amp;" x "&amp;L1029,L1029&amp;" reps"),IF(IF(N(N1029)=0,0,IF(N(M1029)&gt;0,M1029*(1+N1029/30),N1029))=X1029,IF(N(M1029)&gt;0,M1029&amp;" x "&amp;N1029,N1029&amp;" reps"),""))))))</f>
        <v/>
      </c>
      <c r="R1029" s="20">
        <f>IF(N(X1029)=0,"",ROUND(X1029,1))</f>
        <v/>
      </c>
      <c r="S1029" s="18">
        <f>IF(N(X1029)=0,"",IF(AND(COUNTIFS(Log!$D$6:$D$1505,D1029,Log!$B$6:$B$1505,"&lt;"&amp;B1029)&gt;0,COUNTIFS(Log!$D$6:$D$1505,D1029,Log!$B$6:$B$1505,"&lt;"&amp;B1029,Log!$X$6:$X$1505,"&gt;="&amp;X1029)=0),"New best",""))</f>
        <v/>
      </c>
      <c r="T1029" s="26" t="n"/>
      <c r="U1029" s="1">
        <f>IF(D1029="","",IFERROR(INDEX(Exercises!$C$6:$C$105,MATCH(D1029,Exercises!$B$6:$B$105,0)),"Other"))</f>
        <v/>
      </c>
      <c r="V1029">
        <f>IF(B1029="","",IF(COUNTIF($B$6:B1029,B1029)=1,1,0))</f>
        <v/>
      </c>
      <c r="W1029">
        <f>IF(B1029="","",B1029-WEEKDAY(B1029,3))</f>
        <v/>
      </c>
      <c r="X1029">
        <f>IF(D1029="","",MAX(IF(N(F1029)=0,0,IF(N(E1029)&gt;0,E1029*(1+F1029/30),F1029)),IF(N(H1029)=0,0,IF(N(G1029)&gt;0,G1029*(1+H1029/30),H1029)),IF(N(J1029)=0,0,IF(N(I1029)&gt;0,I1029*(1+J1029/30),J1029)),IF(N(L1029)=0,0,IF(N(K1029)&gt;0,K1029*(1+L1029/30),L1029)),IF(N(N1029)=0,0,IF(N(M1029)&gt;0,M1029*(1+N1029/30),N1029))))</f>
        <v/>
      </c>
      <c r="Y1029">
        <f>IF(N(X1029)=0,"",X1029+ROW()/1000000000)</f>
        <v/>
      </c>
      <c r="Z1029">
        <f>IF(Y1029="","",IF(COUNTIFS(Log!$D$6:$D$1505,D1029,Log!$Y$6:$Y$1505,"&gt;"&amp;Y1029)=0,1,0))</f>
        <v/>
      </c>
      <c r="AA1029">
        <f>IF(OR(B1029="",D1029=""),"",B1029+ROW()/10000000)</f>
        <v/>
      </c>
      <c r="AB1029">
        <f>IF(AA1029="","",IF(COUNTIFS(Log!$D$6:$D$1505,D1029,Log!$AA$6:$AA$1505,"&gt;"&amp;AA1029)=0,1,0))</f>
        <v/>
      </c>
      <c r="AC1029">
        <f>IF(S1029="New best",AA1029,"")</f>
        <v/>
      </c>
      <c r="AD1029">
        <f>ROW()</f>
        <v/>
      </c>
    </row>
    <row r="1030">
      <c r="A1030" s="1" t="n"/>
      <c r="B1030" s="21" t="n"/>
      <c r="C1030" s="22" t="n"/>
      <c r="D1030" s="23" t="n"/>
      <c r="E1030" s="24" t="n"/>
      <c r="F1030" s="24" t="n"/>
      <c r="G1030" s="24" t="n"/>
      <c r="H1030" s="24" t="n"/>
      <c r="I1030" s="24" t="n"/>
      <c r="J1030" s="24" t="n"/>
      <c r="K1030" s="24" t="n"/>
      <c r="L1030" s="24" t="n"/>
      <c r="M1030" s="24" t="n"/>
      <c r="N1030" s="24" t="n"/>
      <c r="O1030" s="15">
        <f>IF(D1030="","",COUNT(F1030,H1030,J1030,L1030,N1030))</f>
        <v/>
      </c>
      <c r="P1030" s="25">
        <f>IF(D1030="","",N(E1030)*N(F1030)+N(G1030)*N(H1030)+N(I1030)*N(J1030)+N(K1030)*N(L1030)+N(M1030)*N(N1030))</f>
        <v/>
      </c>
      <c r="Q1030" s="18">
        <f>IF(N(X1030)=0,"",IF(IF(N(F1030)=0,0,IF(N(E1030)&gt;0,E1030*(1+F1030/30),F1030))=X1030,IF(N(E1030)&gt;0,E1030&amp;" x "&amp;F1030,F1030&amp;" reps"),IF(IF(N(H1030)=0,0,IF(N(G1030)&gt;0,G1030*(1+H1030/30),H1030))=X1030,IF(N(G1030)&gt;0,G1030&amp;" x "&amp;H1030,H1030&amp;" reps"),IF(IF(N(J1030)=0,0,IF(N(I1030)&gt;0,I1030*(1+J1030/30),J1030))=X1030,IF(N(I1030)&gt;0,I1030&amp;" x "&amp;J1030,J1030&amp;" reps"),IF(IF(N(L1030)=0,0,IF(N(K1030)&gt;0,K1030*(1+L1030/30),L1030))=X1030,IF(N(K1030)&gt;0,K1030&amp;" x "&amp;L1030,L1030&amp;" reps"),IF(IF(N(N1030)=0,0,IF(N(M1030)&gt;0,M1030*(1+N1030/30),N1030))=X1030,IF(N(M1030)&gt;0,M1030&amp;" x "&amp;N1030,N1030&amp;" reps"),""))))))</f>
        <v/>
      </c>
      <c r="R1030" s="20">
        <f>IF(N(X1030)=0,"",ROUND(X1030,1))</f>
        <v/>
      </c>
      <c r="S1030" s="18">
        <f>IF(N(X1030)=0,"",IF(AND(COUNTIFS(Log!$D$6:$D$1505,D1030,Log!$B$6:$B$1505,"&lt;"&amp;B1030)&gt;0,COUNTIFS(Log!$D$6:$D$1505,D1030,Log!$B$6:$B$1505,"&lt;"&amp;B1030,Log!$X$6:$X$1505,"&gt;="&amp;X1030)=0),"New best",""))</f>
        <v/>
      </c>
      <c r="T1030" s="26" t="n"/>
      <c r="U1030" s="1">
        <f>IF(D1030="","",IFERROR(INDEX(Exercises!$C$6:$C$105,MATCH(D1030,Exercises!$B$6:$B$105,0)),"Other"))</f>
        <v/>
      </c>
      <c r="V1030">
        <f>IF(B1030="","",IF(COUNTIF($B$6:B1030,B1030)=1,1,0))</f>
        <v/>
      </c>
      <c r="W1030">
        <f>IF(B1030="","",B1030-WEEKDAY(B1030,3))</f>
        <v/>
      </c>
      <c r="X1030">
        <f>IF(D1030="","",MAX(IF(N(F1030)=0,0,IF(N(E1030)&gt;0,E1030*(1+F1030/30),F1030)),IF(N(H1030)=0,0,IF(N(G1030)&gt;0,G1030*(1+H1030/30),H1030)),IF(N(J1030)=0,0,IF(N(I1030)&gt;0,I1030*(1+J1030/30),J1030)),IF(N(L1030)=0,0,IF(N(K1030)&gt;0,K1030*(1+L1030/30),L1030)),IF(N(N1030)=0,0,IF(N(M1030)&gt;0,M1030*(1+N1030/30),N1030))))</f>
        <v/>
      </c>
      <c r="Y1030">
        <f>IF(N(X1030)=0,"",X1030+ROW()/1000000000)</f>
        <v/>
      </c>
      <c r="Z1030">
        <f>IF(Y1030="","",IF(COUNTIFS(Log!$D$6:$D$1505,D1030,Log!$Y$6:$Y$1505,"&gt;"&amp;Y1030)=0,1,0))</f>
        <v/>
      </c>
      <c r="AA1030">
        <f>IF(OR(B1030="",D1030=""),"",B1030+ROW()/10000000)</f>
        <v/>
      </c>
      <c r="AB1030">
        <f>IF(AA1030="","",IF(COUNTIFS(Log!$D$6:$D$1505,D1030,Log!$AA$6:$AA$1505,"&gt;"&amp;AA1030)=0,1,0))</f>
        <v/>
      </c>
      <c r="AC1030">
        <f>IF(S1030="New best",AA1030,"")</f>
        <v/>
      </c>
      <c r="AD1030">
        <f>ROW()</f>
        <v/>
      </c>
    </row>
    <row r="1031">
      <c r="A1031" s="1" t="n"/>
      <c r="B1031" s="21" t="n"/>
      <c r="C1031" s="22" t="n"/>
      <c r="D1031" s="23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15">
        <f>IF(D1031="","",COUNT(F1031,H1031,J1031,L1031,N1031))</f>
        <v/>
      </c>
      <c r="P1031" s="25">
        <f>IF(D1031="","",N(E1031)*N(F1031)+N(G1031)*N(H1031)+N(I1031)*N(J1031)+N(K1031)*N(L1031)+N(M1031)*N(N1031))</f>
        <v/>
      </c>
      <c r="Q1031" s="18">
        <f>IF(N(X1031)=0,"",IF(IF(N(F1031)=0,0,IF(N(E1031)&gt;0,E1031*(1+F1031/30),F1031))=X1031,IF(N(E1031)&gt;0,E1031&amp;" x "&amp;F1031,F1031&amp;" reps"),IF(IF(N(H1031)=0,0,IF(N(G1031)&gt;0,G1031*(1+H1031/30),H1031))=X1031,IF(N(G1031)&gt;0,G1031&amp;" x "&amp;H1031,H1031&amp;" reps"),IF(IF(N(J1031)=0,0,IF(N(I1031)&gt;0,I1031*(1+J1031/30),J1031))=X1031,IF(N(I1031)&gt;0,I1031&amp;" x "&amp;J1031,J1031&amp;" reps"),IF(IF(N(L1031)=0,0,IF(N(K1031)&gt;0,K1031*(1+L1031/30),L1031))=X1031,IF(N(K1031)&gt;0,K1031&amp;" x "&amp;L1031,L1031&amp;" reps"),IF(IF(N(N1031)=0,0,IF(N(M1031)&gt;0,M1031*(1+N1031/30),N1031))=X1031,IF(N(M1031)&gt;0,M1031&amp;" x "&amp;N1031,N1031&amp;" reps"),""))))))</f>
        <v/>
      </c>
      <c r="R1031" s="20">
        <f>IF(N(X1031)=0,"",ROUND(X1031,1))</f>
        <v/>
      </c>
      <c r="S1031" s="18">
        <f>IF(N(X1031)=0,"",IF(AND(COUNTIFS(Log!$D$6:$D$1505,D1031,Log!$B$6:$B$1505,"&lt;"&amp;B1031)&gt;0,COUNTIFS(Log!$D$6:$D$1505,D1031,Log!$B$6:$B$1505,"&lt;"&amp;B1031,Log!$X$6:$X$1505,"&gt;="&amp;X1031)=0),"New best",""))</f>
        <v/>
      </c>
      <c r="T1031" s="26" t="n"/>
      <c r="U1031" s="1">
        <f>IF(D1031="","",IFERROR(INDEX(Exercises!$C$6:$C$105,MATCH(D1031,Exercises!$B$6:$B$105,0)),"Other"))</f>
        <v/>
      </c>
      <c r="V1031">
        <f>IF(B1031="","",IF(COUNTIF($B$6:B1031,B1031)=1,1,0))</f>
        <v/>
      </c>
      <c r="W1031">
        <f>IF(B1031="","",B1031-WEEKDAY(B1031,3))</f>
        <v/>
      </c>
      <c r="X1031">
        <f>IF(D1031="","",MAX(IF(N(F1031)=0,0,IF(N(E1031)&gt;0,E1031*(1+F1031/30),F1031)),IF(N(H1031)=0,0,IF(N(G1031)&gt;0,G1031*(1+H1031/30),H1031)),IF(N(J1031)=0,0,IF(N(I1031)&gt;0,I1031*(1+J1031/30),J1031)),IF(N(L1031)=0,0,IF(N(K1031)&gt;0,K1031*(1+L1031/30),L1031)),IF(N(N1031)=0,0,IF(N(M1031)&gt;0,M1031*(1+N1031/30),N1031))))</f>
        <v/>
      </c>
      <c r="Y1031">
        <f>IF(N(X1031)=0,"",X1031+ROW()/1000000000)</f>
        <v/>
      </c>
      <c r="Z1031">
        <f>IF(Y1031="","",IF(COUNTIFS(Log!$D$6:$D$1505,D1031,Log!$Y$6:$Y$1505,"&gt;"&amp;Y1031)=0,1,0))</f>
        <v/>
      </c>
      <c r="AA1031">
        <f>IF(OR(B1031="",D1031=""),"",B1031+ROW()/10000000)</f>
        <v/>
      </c>
      <c r="AB1031">
        <f>IF(AA1031="","",IF(COUNTIFS(Log!$D$6:$D$1505,D1031,Log!$AA$6:$AA$1505,"&gt;"&amp;AA1031)=0,1,0))</f>
        <v/>
      </c>
      <c r="AC1031">
        <f>IF(S1031="New best",AA1031,"")</f>
        <v/>
      </c>
      <c r="AD1031">
        <f>ROW()</f>
        <v/>
      </c>
    </row>
    <row r="1032">
      <c r="A1032" s="1" t="n"/>
      <c r="B1032" s="21" t="n"/>
      <c r="C1032" s="22" t="n"/>
      <c r="D1032" s="23" t="n"/>
      <c r="E1032" s="24" t="n"/>
      <c r="F1032" s="24" t="n"/>
      <c r="G1032" s="24" t="n"/>
      <c r="H1032" s="24" t="n"/>
      <c r="I1032" s="24" t="n"/>
      <c r="J1032" s="24" t="n"/>
      <c r="K1032" s="24" t="n"/>
      <c r="L1032" s="24" t="n"/>
      <c r="M1032" s="24" t="n"/>
      <c r="N1032" s="24" t="n"/>
      <c r="O1032" s="15">
        <f>IF(D1032="","",COUNT(F1032,H1032,J1032,L1032,N1032))</f>
        <v/>
      </c>
      <c r="P1032" s="25">
        <f>IF(D1032="","",N(E1032)*N(F1032)+N(G1032)*N(H1032)+N(I1032)*N(J1032)+N(K1032)*N(L1032)+N(M1032)*N(N1032))</f>
        <v/>
      </c>
      <c r="Q1032" s="18">
        <f>IF(N(X1032)=0,"",IF(IF(N(F1032)=0,0,IF(N(E1032)&gt;0,E1032*(1+F1032/30),F1032))=X1032,IF(N(E1032)&gt;0,E1032&amp;" x "&amp;F1032,F1032&amp;" reps"),IF(IF(N(H1032)=0,0,IF(N(G1032)&gt;0,G1032*(1+H1032/30),H1032))=X1032,IF(N(G1032)&gt;0,G1032&amp;" x "&amp;H1032,H1032&amp;" reps"),IF(IF(N(J1032)=0,0,IF(N(I1032)&gt;0,I1032*(1+J1032/30),J1032))=X1032,IF(N(I1032)&gt;0,I1032&amp;" x "&amp;J1032,J1032&amp;" reps"),IF(IF(N(L1032)=0,0,IF(N(K1032)&gt;0,K1032*(1+L1032/30),L1032))=X1032,IF(N(K1032)&gt;0,K1032&amp;" x "&amp;L1032,L1032&amp;" reps"),IF(IF(N(N1032)=0,0,IF(N(M1032)&gt;0,M1032*(1+N1032/30),N1032))=X1032,IF(N(M1032)&gt;0,M1032&amp;" x "&amp;N1032,N1032&amp;" reps"),""))))))</f>
        <v/>
      </c>
      <c r="R1032" s="20">
        <f>IF(N(X1032)=0,"",ROUND(X1032,1))</f>
        <v/>
      </c>
      <c r="S1032" s="18">
        <f>IF(N(X1032)=0,"",IF(AND(COUNTIFS(Log!$D$6:$D$1505,D1032,Log!$B$6:$B$1505,"&lt;"&amp;B1032)&gt;0,COUNTIFS(Log!$D$6:$D$1505,D1032,Log!$B$6:$B$1505,"&lt;"&amp;B1032,Log!$X$6:$X$1505,"&gt;="&amp;X1032)=0),"New best",""))</f>
        <v/>
      </c>
      <c r="T1032" s="26" t="n"/>
      <c r="U1032" s="1">
        <f>IF(D1032="","",IFERROR(INDEX(Exercises!$C$6:$C$105,MATCH(D1032,Exercises!$B$6:$B$105,0)),"Other"))</f>
        <v/>
      </c>
      <c r="V1032">
        <f>IF(B1032="","",IF(COUNTIF($B$6:B1032,B1032)=1,1,0))</f>
        <v/>
      </c>
      <c r="W1032">
        <f>IF(B1032="","",B1032-WEEKDAY(B1032,3))</f>
        <v/>
      </c>
      <c r="X1032">
        <f>IF(D1032="","",MAX(IF(N(F1032)=0,0,IF(N(E1032)&gt;0,E1032*(1+F1032/30),F1032)),IF(N(H1032)=0,0,IF(N(G1032)&gt;0,G1032*(1+H1032/30),H1032)),IF(N(J1032)=0,0,IF(N(I1032)&gt;0,I1032*(1+J1032/30),J1032)),IF(N(L1032)=0,0,IF(N(K1032)&gt;0,K1032*(1+L1032/30),L1032)),IF(N(N1032)=0,0,IF(N(M1032)&gt;0,M1032*(1+N1032/30),N1032))))</f>
        <v/>
      </c>
      <c r="Y1032">
        <f>IF(N(X1032)=0,"",X1032+ROW()/1000000000)</f>
        <v/>
      </c>
      <c r="Z1032">
        <f>IF(Y1032="","",IF(COUNTIFS(Log!$D$6:$D$1505,D1032,Log!$Y$6:$Y$1505,"&gt;"&amp;Y1032)=0,1,0))</f>
        <v/>
      </c>
      <c r="AA1032">
        <f>IF(OR(B1032="",D1032=""),"",B1032+ROW()/10000000)</f>
        <v/>
      </c>
      <c r="AB1032">
        <f>IF(AA1032="","",IF(COUNTIFS(Log!$D$6:$D$1505,D1032,Log!$AA$6:$AA$1505,"&gt;"&amp;AA1032)=0,1,0))</f>
        <v/>
      </c>
      <c r="AC1032">
        <f>IF(S1032="New best",AA1032,"")</f>
        <v/>
      </c>
      <c r="AD1032">
        <f>ROW()</f>
        <v/>
      </c>
    </row>
    <row r="1033">
      <c r="A1033" s="1" t="n"/>
      <c r="B1033" s="21" t="n"/>
      <c r="C1033" s="22" t="n"/>
      <c r="D1033" s="23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15">
        <f>IF(D1033="","",COUNT(F1033,H1033,J1033,L1033,N1033))</f>
        <v/>
      </c>
      <c r="P1033" s="25">
        <f>IF(D1033="","",N(E1033)*N(F1033)+N(G1033)*N(H1033)+N(I1033)*N(J1033)+N(K1033)*N(L1033)+N(M1033)*N(N1033))</f>
        <v/>
      </c>
      <c r="Q1033" s="18">
        <f>IF(N(X1033)=0,"",IF(IF(N(F1033)=0,0,IF(N(E1033)&gt;0,E1033*(1+F1033/30),F1033))=X1033,IF(N(E1033)&gt;0,E1033&amp;" x "&amp;F1033,F1033&amp;" reps"),IF(IF(N(H1033)=0,0,IF(N(G1033)&gt;0,G1033*(1+H1033/30),H1033))=X1033,IF(N(G1033)&gt;0,G1033&amp;" x "&amp;H1033,H1033&amp;" reps"),IF(IF(N(J1033)=0,0,IF(N(I1033)&gt;0,I1033*(1+J1033/30),J1033))=X1033,IF(N(I1033)&gt;0,I1033&amp;" x "&amp;J1033,J1033&amp;" reps"),IF(IF(N(L1033)=0,0,IF(N(K1033)&gt;0,K1033*(1+L1033/30),L1033))=X1033,IF(N(K1033)&gt;0,K1033&amp;" x "&amp;L1033,L1033&amp;" reps"),IF(IF(N(N1033)=0,0,IF(N(M1033)&gt;0,M1033*(1+N1033/30),N1033))=X1033,IF(N(M1033)&gt;0,M1033&amp;" x "&amp;N1033,N1033&amp;" reps"),""))))))</f>
        <v/>
      </c>
      <c r="R1033" s="20">
        <f>IF(N(X1033)=0,"",ROUND(X1033,1))</f>
        <v/>
      </c>
      <c r="S1033" s="18">
        <f>IF(N(X1033)=0,"",IF(AND(COUNTIFS(Log!$D$6:$D$1505,D1033,Log!$B$6:$B$1505,"&lt;"&amp;B1033)&gt;0,COUNTIFS(Log!$D$6:$D$1505,D1033,Log!$B$6:$B$1505,"&lt;"&amp;B1033,Log!$X$6:$X$1505,"&gt;="&amp;X1033)=0),"New best",""))</f>
        <v/>
      </c>
      <c r="T1033" s="26" t="n"/>
      <c r="U1033" s="1">
        <f>IF(D1033="","",IFERROR(INDEX(Exercises!$C$6:$C$105,MATCH(D1033,Exercises!$B$6:$B$105,0)),"Other"))</f>
        <v/>
      </c>
      <c r="V1033">
        <f>IF(B1033="","",IF(COUNTIF($B$6:B1033,B1033)=1,1,0))</f>
        <v/>
      </c>
      <c r="W1033">
        <f>IF(B1033="","",B1033-WEEKDAY(B1033,3))</f>
        <v/>
      </c>
      <c r="X1033">
        <f>IF(D1033="","",MAX(IF(N(F1033)=0,0,IF(N(E1033)&gt;0,E1033*(1+F1033/30),F1033)),IF(N(H1033)=0,0,IF(N(G1033)&gt;0,G1033*(1+H1033/30),H1033)),IF(N(J1033)=0,0,IF(N(I1033)&gt;0,I1033*(1+J1033/30),J1033)),IF(N(L1033)=0,0,IF(N(K1033)&gt;0,K1033*(1+L1033/30),L1033)),IF(N(N1033)=0,0,IF(N(M1033)&gt;0,M1033*(1+N1033/30),N1033))))</f>
        <v/>
      </c>
      <c r="Y1033">
        <f>IF(N(X1033)=0,"",X1033+ROW()/1000000000)</f>
        <v/>
      </c>
      <c r="Z1033">
        <f>IF(Y1033="","",IF(COUNTIFS(Log!$D$6:$D$1505,D1033,Log!$Y$6:$Y$1505,"&gt;"&amp;Y1033)=0,1,0))</f>
        <v/>
      </c>
      <c r="AA1033">
        <f>IF(OR(B1033="",D1033=""),"",B1033+ROW()/10000000)</f>
        <v/>
      </c>
      <c r="AB1033">
        <f>IF(AA1033="","",IF(COUNTIFS(Log!$D$6:$D$1505,D1033,Log!$AA$6:$AA$1505,"&gt;"&amp;AA1033)=0,1,0))</f>
        <v/>
      </c>
      <c r="AC1033">
        <f>IF(S1033="New best",AA1033,"")</f>
        <v/>
      </c>
      <c r="AD1033">
        <f>ROW()</f>
        <v/>
      </c>
    </row>
    <row r="1034">
      <c r="A1034" s="1" t="n"/>
      <c r="B1034" s="21" t="n"/>
      <c r="C1034" s="22" t="n"/>
      <c r="D1034" s="23" t="n"/>
      <c r="E1034" s="24" t="n"/>
      <c r="F1034" s="24" t="n"/>
      <c r="G1034" s="24" t="n"/>
      <c r="H1034" s="24" t="n"/>
      <c r="I1034" s="24" t="n"/>
      <c r="J1034" s="24" t="n"/>
      <c r="K1034" s="24" t="n"/>
      <c r="L1034" s="24" t="n"/>
      <c r="M1034" s="24" t="n"/>
      <c r="N1034" s="24" t="n"/>
      <c r="O1034" s="15">
        <f>IF(D1034="","",COUNT(F1034,H1034,J1034,L1034,N1034))</f>
        <v/>
      </c>
      <c r="P1034" s="25">
        <f>IF(D1034="","",N(E1034)*N(F1034)+N(G1034)*N(H1034)+N(I1034)*N(J1034)+N(K1034)*N(L1034)+N(M1034)*N(N1034))</f>
        <v/>
      </c>
      <c r="Q1034" s="18">
        <f>IF(N(X1034)=0,"",IF(IF(N(F1034)=0,0,IF(N(E1034)&gt;0,E1034*(1+F1034/30),F1034))=X1034,IF(N(E1034)&gt;0,E1034&amp;" x "&amp;F1034,F1034&amp;" reps"),IF(IF(N(H1034)=0,0,IF(N(G1034)&gt;0,G1034*(1+H1034/30),H1034))=X1034,IF(N(G1034)&gt;0,G1034&amp;" x "&amp;H1034,H1034&amp;" reps"),IF(IF(N(J1034)=0,0,IF(N(I1034)&gt;0,I1034*(1+J1034/30),J1034))=X1034,IF(N(I1034)&gt;0,I1034&amp;" x "&amp;J1034,J1034&amp;" reps"),IF(IF(N(L1034)=0,0,IF(N(K1034)&gt;0,K1034*(1+L1034/30),L1034))=X1034,IF(N(K1034)&gt;0,K1034&amp;" x "&amp;L1034,L1034&amp;" reps"),IF(IF(N(N1034)=0,0,IF(N(M1034)&gt;0,M1034*(1+N1034/30),N1034))=X1034,IF(N(M1034)&gt;0,M1034&amp;" x "&amp;N1034,N1034&amp;" reps"),""))))))</f>
        <v/>
      </c>
      <c r="R1034" s="20">
        <f>IF(N(X1034)=0,"",ROUND(X1034,1))</f>
        <v/>
      </c>
      <c r="S1034" s="18">
        <f>IF(N(X1034)=0,"",IF(AND(COUNTIFS(Log!$D$6:$D$1505,D1034,Log!$B$6:$B$1505,"&lt;"&amp;B1034)&gt;0,COUNTIFS(Log!$D$6:$D$1505,D1034,Log!$B$6:$B$1505,"&lt;"&amp;B1034,Log!$X$6:$X$1505,"&gt;="&amp;X1034)=0),"New best",""))</f>
        <v/>
      </c>
      <c r="T1034" s="26" t="n"/>
      <c r="U1034" s="1">
        <f>IF(D1034="","",IFERROR(INDEX(Exercises!$C$6:$C$105,MATCH(D1034,Exercises!$B$6:$B$105,0)),"Other"))</f>
        <v/>
      </c>
      <c r="V1034">
        <f>IF(B1034="","",IF(COUNTIF($B$6:B1034,B1034)=1,1,0))</f>
        <v/>
      </c>
      <c r="W1034">
        <f>IF(B1034="","",B1034-WEEKDAY(B1034,3))</f>
        <v/>
      </c>
      <c r="X1034">
        <f>IF(D1034="","",MAX(IF(N(F1034)=0,0,IF(N(E1034)&gt;0,E1034*(1+F1034/30),F1034)),IF(N(H1034)=0,0,IF(N(G1034)&gt;0,G1034*(1+H1034/30),H1034)),IF(N(J1034)=0,0,IF(N(I1034)&gt;0,I1034*(1+J1034/30),J1034)),IF(N(L1034)=0,0,IF(N(K1034)&gt;0,K1034*(1+L1034/30),L1034)),IF(N(N1034)=0,0,IF(N(M1034)&gt;0,M1034*(1+N1034/30),N1034))))</f>
        <v/>
      </c>
      <c r="Y1034">
        <f>IF(N(X1034)=0,"",X1034+ROW()/1000000000)</f>
        <v/>
      </c>
      <c r="Z1034">
        <f>IF(Y1034="","",IF(COUNTIFS(Log!$D$6:$D$1505,D1034,Log!$Y$6:$Y$1505,"&gt;"&amp;Y1034)=0,1,0))</f>
        <v/>
      </c>
      <c r="AA1034">
        <f>IF(OR(B1034="",D1034=""),"",B1034+ROW()/10000000)</f>
        <v/>
      </c>
      <c r="AB1034">
        <f>IF(AA1034="","",IF(COUNTIFS(Log!$D$6:$D$1505,D1034,Log!$AA$6:$AA$1505,"&gt;"&amp;AA1034)=0,1,0))</f>
        <v/>
      </c>
      <c r="AC1034">
        <f>IF(S1034="New best",AA1034,"")</f>
        <v/>
      </c>
      <c r="AD1034">
        <f>ROW()</f>
        <v/>
      </c>
    </row>
    <row r="1035">
      <c r="A1035" s="1" t="n"/>
      <c r="B1035" s="21" t="n"/>
      <c r="C1035" s="22" t="n"/>
      <c r="D1035" s="23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15">
        <f>IF(D1035="","",COUNT(F1035,H1035,J1035,L1035,N1035))</f>
        <v/>
      </c>
      <c r="P1035" s="25">
        <f>IF(D1035="","",N(E1035)*N(F1035)+N(G1035)*N(H1035)+N(I1035)*N(J1035)+N(K1035)*N(L1035)+N(M1035)*N(N1035))</f>
        <v/>
      </c>
      <c r="Q1035" s="18">
        <f>IF(N(X1035)=0,"",IF(IF(N(F1035)=0,0,IF(N(E1035)&gt;0,E1035*(1+F1035/30),F1035))=X1035,IF(N(E1035)&gt;0,E1035&amp;" x "&amp;F1035,F1035&amp;" reps"),IF(IF(N(H1035)=0,0,IF(N(G1035)&gt;0,G1035*(1+H1035/30),H1035))=X1035,IF(N(G1035)&gt;0,G1035&amp;" x "&amp;H1035,H1035&amp;" reps"),IF(IF(N(J1035)=0,0,IF(N(I1035)&gt;0,I1035*(1+J1035/30),J1035))=X1035,IF(N(I1035)&gt;0,I1035&amp;" x "&amp;J1035,J1035&amp;" reps"),IF(IF(N(L1035)=0,0,IF(N(K1035)&gt;0,K1035*(1+L1035/30),L1035))=X1035,IF(N(K1035)&gt;0,K1035&amp;" x "&amp;L1035,L1035&amp;" reps"),IF(IF(N(N1035)=0,0,IF(N(M1035)&gt;0,M1035*(1+N1035/30),N1035))=X1035,IF(N(M1035)&gt;0,M1035&amp;" x "&amp;N1035,N1035&amp;" reps"),""))))))</f>
        <v/>
      </c>
      <c r="R1035" s="20">
        <f>IF(N(X1035)=0,"",ROUND(X1035,1))</f>
        <v/>
      </c>
      <c r="S1035" s="18">
        <f>IF(N(X1035)=0,"",IF(AND(COUNTIFS(Log!$D$6:$D$1505,D1035,Log!$B$6:$B$1505,"&lt;"&amp;B1035)&gt;0,COUNTIFS(Log!$D$6:$D$1505,D1035,Log!$B$6:$B$1505,"&lt;"&amp;B1035,Log!$X$6:$X$1505,"&gt;="&amp;X1035)=0),"New best",""))</f>
        <v/>
      </c>
      <c r="T1035" s="26" t="n"/>
      <c r="U1035" s="1">
        <f>IF(D1035="","",IFERROR(INDEX(Exercises!$C$6:$C$105,MATCH(D1035,Exercises!$B$6:$B$105,0)),"Other"))</f>
        <v/>
      </c>
      <c r="V1035">
        <f>IF(B1035="","",IF(COUNTIF($B$6:B1035,B1035)=1,1,0))</f>
        <v/>
      </c>
      <c r="W1035">
        <f>IF(B1035="","",B1035-WEEKDAY(B1035,3))</f>
        <v/>
      </c>
      <c r="X1035">
        <f>IF(D1035="","",MAX(IF(N(F1035)=0,0,IF(N(E1035)&gt;0,E1035*(1+F1035/30),F1035)),IF(N(H1035)=0,0,IF(N(G1035)&gt;0,G1035*(1+H1035/30),H1035)),IF(N(J1035)=0,0,IF(N(I1035)&gt;0,I1035*(1+J1035/30),J1035)),IF(N(L1035)=0,0,IF(N(K1035)&gt;0,K1035*(1+L1035/30),L1035)),IF(N(N1035)=0,0,IF(N(M1035)&gt;0,M1035*(1+N1035/30),N1035))))</f>
        <v/>
      </c>
      <c r="Y1035">
        <f>IF(N(X1035)=0,"",X1035+ROW()/1000000000)</f>
        <v/>
      </c>
      <c r="Z1035">
        <f>IF(Y1035="","",IF(COUNTIFS(Log!$D$6:$D$1505,D1035,Log!$Y$6:$Y$1505,"&gt;"&amp;Y1035)=0,1,0))</f>
        <v/>
      </c>
      <c r="AA1035">
        <f>IF(OR(B1035="",D1035=""),"",B1035+ROW()/10000000)</f>
        <v/>
      </c>
      <c r="AB1035">
        <f>IF(AA1035="","",IF(COUNTIFS(Log!$D$6:$D$1505,D1035,Log!$AA$6:$AA$1505,"&gt;"&amp;AA1035)=0,1,0))</f>
        <v/>
      </c>
      <c r="AC1035">
        <f>IF(S1035="New best",AA1035,"")</f>
        <v/>
      </c>
      <c r="AD1035">
        <f>ROW()</f>
        <v/>
      </c>
    </row>
    <row r="1036">
      <c r="A1036" s="1" t="n"/>
      <c r="B1036" s="21" t="n"/>
      <c r="C1036" s="22" t="n"/>
      <c r="D1036" s="23" t="n"/>
      <c r="E1036" s="24" t="n"/>
      <c r="F1036" s="24" t="n"/>
      <c r="G1036" s="24" t="n"/>
      <c r="H1036" s="24" t="n"/>
      <c r="I1036" s="24" t="n"/>
      <c r="J1036" s="24" t="n"/>
      <c r="K1036" s="24" t="n"/>
      <c r="L1036" s="24" t="n"/>
      <c r="M1036" s="24" t="n"/>
      <c r="N1036" s="24" t="n"/>
      <c r="O1036" s="15">
        <f>IF(D1036="","",COUNT(F1036,H1036,J1036,L1036,N1036))</f>
        <v/>
      </c>
      <c r="P1036" s="25">
        <f>IF(D1036="","",N(E1036)*N(F1036)+N(G1036)*N(H1036)+N(I1036)*N(J1036)+N(K1036)*N(L1036)+N(M1036)*N(N1036))</f>
        <v/>
      </c>
      <c r="Q1036" s="18">
        <f>IF(N(X1036)=0,"",IF(IF(N(F1036)=0,0,IF(N(E1036)&gt;0,E1036*(1+F1036/30),F1036))=X1036,IF(N(E1036)&gt;0,E1036&amp;" x "&amp;F1036,F1036&amp;" reps"),IF(IF(N(H1036)=0,0,IF(N(G1036)&gt;0,G1036*(1+H1036/30),H1036))=X1036,IF(N(G1036)&gt;0,G1036&amp;" x "&amp;H1036,H1036&amp;" reps"),IF(IF(N(J1036)=0,0,IF(N(I1036)&gt;0,I1036*(1+J1036/30),J1036))=X1036,IF(N(I1036)&gt;0,I1036&amp;" x "&amp;J1036,J1036&amp;" reps"),IF(IF(N(L1036)=0,0,IF(N(K1036)&gt;0,K1036*(1+L1036/30),L1036))=X1036,IF(N(K1036)&gt;0,K1036&amp;" x "&amp;L1036,L1036&amp;" reps"),IF(IF(N(N1036)=0,0,IF(N(M1036)&gt;0,M1036*(1+N1036/30),N1036))=X1036,IF(N(M1036)&gt;0,M1036&amp;" x "&amp;N1036,N1036&amp;" reps"),""))))))</f>
        <v/>
      </c>
      <c r="R1036" s="20">
        <f>IF(N(X1036)=0,"",ROUND(X1036,1))</f>
        <v/>
      </c>
      <c r="S1036" s="18">
        <f>IF(N(X1036)=0,"",IF(AND(COUNTIFS(Log!$D$6:$D$1505,D1036,Log!$B$6:$B$1505,"&lt;"&amp;B1036)&gt;0,COUNTIFS(Log!$D$6:$D$1505,D1036,Log!$B$6:$B$1505,"&lt;"&amp;B1036,Log!$X$6:$X$1505,"&gt;="&amp;X1036)=0),"New best",""))</f>
        <v/>
      </c>
      <c r="T1036" s="26" t="n"/>
      <c r="U1036" s="1">
        <f>IF(D1036="","",IFERROR(INDEX(Exercises!$C$6:$C$105,MATCH(D1036,Exercises!$B$6:$B$105,0)),"Other"))</f>
        <v/>
      </c>
      <c r="V1036">
        <f>IF(B1036="","",IF(COUNTIF($B$6:B1036,B1036)=1,1,0))</f>
        <v/>
      </c>
      <c r="W1036">
        <f>IF(B1036="","",B1036-WEEKDAY(B1036,3))</f>
        <v/>
      </c>
      <c r="X1036">
        <f>IF(D1036="","",MAX(IF(N(F1036)=0,0,IF(N(E1036)&gt;0,E1036*(1+F1036/30),F1036)),IF(N(H1036)=0,0,IF(N(G1036)&gt;0,G1036*(1+H1036/30),H1036)),IF(N(J1036)=0,0,IF(N(I1036)&gt;0,I1036*(1+J1036/30),J1036)),IF(N(L1036)=0,0,IF(N(K1036)&gt;0,K1036*(1+L1036/30),L1036)),IF(N(N1036)=0,0,IF(N(M1036)&gt;0,M1036*(1+N1036/30),N1036))))</f>
        <v/>
      </c>
      <c r="Y1036">
        <f>IF(N(X1036)=0,"",X1036+ROW()/1000000000)</f>
        <v/>
      </c>
      <c r="Z1036">
        <f>IF(Y1036="","",IF(COUNTIFS(Log!$D$6:$D$1505,D1036,Log!$Y$6:$Y$1505,"&gt;"&amp;Y1036)=0,1,0))</f>
        <v/>
      </c>
      <c r="AA1036">
        <f>IF(OR(B1036="",D1036=""),"",B1036+ROW()/10000000)</f>
        <v/>
      </c>
      <c r="AB1036">
        <f>IF(AA1036="","",IF(COUNTIFS(Log!$D$6:$D$1505,D1036,Log!$AA$6:$AA$1505,"&gt;"&amp;AA1036)=0,1,0))</f>
        <v/>
      </c>
      <c r="AC1036">
        <f>IF(S1036="New best",AA1036,"")</f>
        <v/>
      </c>
      <c r="AD1036">
        <f>ROW()</f>
        <v/>
      </c>
    </row>
    <row r="1037">
      <c r="A1037" s="1" t="n"/>
      <c r="B1037" s="21" t="n"/>
      <c r="C1037" s="22" t="n"/>
      <c r="D1037" s="23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4" t="n"/>
      <c r="O1037" s="15">
        <f>IF(D1037="","",COUNT(F1037,H1037,J1037,L1037,N1037))</f>
        <v/>
      </c>
      <c r="P1037" s="25">
        <f>IF(D1037="","",N(E1037)*N(F1037)+N(G1037)*N(H1037)+N(I1037)*N(J1037)+N(K1037)*N(L1037)+N(M1037)*N(N1037))</f>
        <v/>
      </c>
      <c r="Q1037" s="18">
        <f>IF(N(X1037)=0,"",IF(IF(N(F1037)=0,0,IF(N(E1037)&gt;0,E1037*(1+F1037/30),F1037))=X1037,IF(N(E1037)&gt;0,E1037&amp;" x "&amp;F1037,F1037&amp;" reps"),IF(IF(N(H1037)=0,0,IF(N(G1037)&gt;0,G1037*(1+H1037/30),H1037))=X1037,IF(N(G1037)&gt;0,G1037&amp;" x "&amp;H1037,H1037&amp;" reps"),IF(IF(N(J1037)=0,0,IF(N(I1037)&gt;0,I1037*(1+J1037/30),J1037))=X1037,IF(N(I1037)&gt;0,I1037&amp;" x "&amp;J1037,J1037&amp;" reps"),IF(IF(N(L1037)=0,0,IF(N(K1037)&gt;0,K1037*(1+L1037/30),L1037))=X1037,IF(N(K1037)&gt;0,K1037&amp;" x "&amp;L1037,L1037&amp;" reps"),IF(IF(N(N1037)=0,0,IF(N(M1037)&gt;0,M1037*(1+N1037/30),N1037))=X1037,IF(N(M1037)&gt;0,M1037&amp;" x "&amp;N1037,N1037&amp;" reps"),""))))))</f>
        <v/>
      </c>
      <c r="R1037" s="20">
        <f>IF(N(X1037)=0,"",ROUND(X1037,1))</f>
        <v/>
      </c>
      <c r="S1037" s="18">
        <f>IF(N(X1037)=0,"",IF(AND(COUNTIFS(Log!$D$6:$D$1505,D1037,Log!$B$6:$B$1505,"&lt;"&amp;B1037)&gt;0,COUNTIFS(Log!$D$6:$D$1505,D1037,Log!$B$6:$B$1505,"&lt;"&amp;B1037,Log!$X$6:$X$1505,"&gt;="&amp;X1037)=0),"New best",""))</f>
        <v/>
      </c>
      <c r="T1037" s="26" t="n"/>
      <c r="U1037" s="1">
        <f>IF(D1037="","",IFERROR(INDEX(Exercises!$C$6:$C$105,MATCH(D1037,Exercises!$B$6:$B$105,0)),"Other"))</f>
        <v/>
      </c>
      <c r="V1037">
        <f>IF(B1037="","",IF(COUNTIF($B$6:B1037,B1037)=1,1,0))</f>
        <v/>
      </c>
      <c r="W1037">
        <f>IF(B1037="","",B1037-WEEKDAY(B1037,3))</f>
        <v/>
      </c>
      <c r="X1037">
        <f>IF(D1037="","",MAX(IF(N(F1037)=0,0,IF(N(E1037)&gt;0,E1037*(1+F1037/30),F1037)),IF(N(H1037)=0,0,IF(N(G1037)&gt;0,G1037*(1+H1037/30),H1037)),IF(N(J1037)=0,0,IF(N(I1037)&gt;0,I1037*(1+J1037/30),J1037)),IF(N(L1037)=0,0,IF(N(K1037)&gt;0,K1037*(1+L1037/30),L1037)),IF(N(N1037)=0,0,IF(N(M1037)&gt;0,M1037*(1+N1037/30),N1037))))</f>
        <v/>
      </c>
      <c r="Y1037">
        <f>IF(N(X1037)=0,"",X1037+ROW()/1000000000)</f>
        <v/>
      </c>
      <c r="Z1037">
        <f>IF(Y1037="","",IF(COUNTIFS(Log!$D$6:$D$1505,D1037,Log!$Y$6:$Y$1505,"&gt;"&amp;Y1037)=0,1,0))</f>
        <v/>
      </c>
      <c r="AA1037">
        <f>IF(OR(B1037="",D1037=""),"",B1037+ROW()/10000000)</f>
        <v/>
      </c>
      <c r="AB1037">
        <f>IF(AA1037="","",IF(COUNTIFS(Log!$D$6:$D$1505,D1037,Log!$AA$6:$AA$1505,"&gt;"&amp;AA1037)=0,1,0))</f>
        <v/>
      </c>
      <c r="AC1037">
        <f>IF(S1037="New best",AA1037,"")</f>
        <v/>
      </c>
      <c r="AD1037">
        <f>ROW()</f>
        <v/>
      </c>
    </row>
    <row r="1038">
      <c r="A1038" s="1" t="n"/>
      <c r="B1038" s="21" t="n"/>
      <c r="C1038" s="22" t="n"/>
      <c r="D1038" s="23" t="n"/>
      <c r="E1038" s="24" t="n"/>
      <c r="F1038" s="24" t="n"/>
      <c r="G1038" s="24" t="n"/>
      <c r="H1038" s="24" t="n"/>
      <c r="I1038" s="24" t="n"/>
      <c r="J1038" s="24" t="n"/>
      <c r="K1038" s="24" t="n"/>
      <c r="L1038" s="24" t="n"/>
      <c r="M1038" s="24" t="n"/>
      <c r="N1038" s="24" t="n"/>
      <c r="O1038" s="15">
        <f>IF(D1038="","",COUNT(F1038,H1038,J1038,L1038,N1038))</f>
        <v/>
      </c>
      <c r="P1038" s="25">
        <f>IF(D1038="","",N(E1038)*N(F1038)+N(G1038)*N(H1038)+N(I1038)*N(J1038)+N(K1038)*N(L1038)+N(M1038)*N(N1038))</f>
        <v/>
      </c>
      <c r="Q1038" s="18">
        <f>IF(N(X1038)=0,"",IF(IF(N(F1038)=0,0,IF(N(E1038)&gt;0,E1038*(1+F1038/30),F1038))=X1038,IF(N(E1038)&gt;0,E1038&amp;" x "&amp;F1038,F1038&amp;" reps"),IF(IF(N(H1038)=0,0,IF(N(G1038)&gt;0,G1038*(1+H1038/30),H1038))=X1038,IF(N(G1038)&gt;0,G1038&amp;" x "&amp;H1038,H1038&amp;" reps"),IF(IF(N(J1038)=0,0,IF(N(I1038)&gt;0,I1038*(1+J1038/30),J1038))=X1038,IF(N(I1038)&gt;0,I1038&amp;" x "&amp;J1038,J1038&amp;" reps"),IF(IF(N(L1038)=0,0,IF(N(K1038)&gt;0,K1038*(1+L1038/30),L1038))=X1038,IF(N(K1038)&gt;0,K1038&amp;" x "&amp;L1038,L1038&amp;" reps"),IF(IF(N(N1038)=0,0,IF(N(M1038)&gt;0,M1038*(1+N1038/30),N1038))=X1038,IF(N(M1038)&gt;0,M1038&amp;" x "&amp;N1038,N1038&amp;" reps"),""))))))</f>
        <v/>
      </c>
      <c r="R1038" s="20">
        <f>IF(N(X1038)=0,"",ROUND(X1038,1))</f>
        <v/>
      </c>
      <c r="S1038" s="18">
        <f>IF(N(X1038)=0,"",IF(AND(COUNTIFS(Log!$D$6:$D$1505,D1038,Log!$B$6:$B$1505,"&lt;"&amp;B1038)&gt;0,COUNTIFS(Log!$D$6:$D$1505,D1038,Log!$B$6:$B$1505,"&lt;"&amp;B1038,Log!$X$6:$X$1505,"&gt;="&amp;X1038)=0),"New best",""))</f>
        <v/>
      </c>
      <c r="T1038" s="26" t="n"/>
      <c r="U1038" s="1">
        <f>IF(D1038="","",IFERROR(INDEX(Exercises!$C$6:$C$105,MATCH(D1038,Exercises!$B$6:$B$105,0)),"Other"))</f>
        <v/>
      </c>
      <c r="V1038">
        <f>IF(B1038="","",IF(COUNTIF($B$6:B1038,B1038)=1,1,0))</f>
        <v/>
      </c>
      <c r="W1038">
        <f>IF(B1038="","",B1038-WEEKDAY(B1038,3))</f>
        <v/>
      </c>
      <c r="X1038">
        <f>IF(D1038="","",MAX(IF(N(F1038)=0,0,IF(N(E1038)&gt;0,E1038*(1+F1038/30),F1038)),IF(N(H1038)=0,0,IF(N(G1038)&gt;0,G1038*(1+H1038/30),H1038)),IF(N(J1038)=0,0,IF(N(I1038)&gt;0,I1038*(1+J1038/30),J1038)),IF(N(L1038)=0,0,IF(N(K1038)&gt;0,K1038*(1+L1038/30),L1038)),IF(N(N1038)=0,0,IF(N(M1038)&gt;0,M1038*(1+N1038/30),N1038))))</f>
        <v/>
      </c>
      <c r="Y1038">
        <f>IF(N(X1038)=0,"",X1038+ROW()/1000000000)</f>
        <v/>
      </c>
      <c r="Z1038">
        <f>IF(Y1038="","",IF(COUNTIFS(Log!$D$6:$D$1505,D1038,Log!$Y$6:$Y$1505,"&gt;"&amp;Y1038)=0,1,0))</f>
        <v/>
      </c>
      <c r="AA1038">
        <f>IF(OR(B1038="",D1038=""),"",B1038+ROW()/10000000)</f>
        <v/>
      </c>
      <c r="AB1038">
        <f>IF(AA1038="","",IF(COUNTIFS(Log!$D$6:$D$1505,D1038,Log!$AA$6:$AA$1505,"&gt;"&amp;AA1038)=0,1,0))</f>
        <v/>
      </c>
      <c r="AC1038">
        <f>IF(S1038="New best",AA1038,"")</f>
        <v/>
      </c>
      <c r="AD1038">
        <f>ROW()</f>
        <v/>
      </c>
    </row>
    <row r="1039">
      <c r="A1039" s="1" t="n"/>
      <c r="B1039" s="21" t="n"/>
      <c r="C1039" s="22" t="n"/>
      <c r="D1039" s="23" t="n"/>
      <c r="E1039" s="24" t="n"/>
      <c r="F1039" s="24" t="n"/>
      <c r="G1039" s="24" t="n"/>
      <c r="H1039" s="24" t="n"/>
      <c r="I1039" s="24" t="n"/>
      <c r="J1039" s="24" t="n"/>
      <c r="K1039" s="24" t="n"/>
      <c r="L1039" s="24" t="n"/>
      <c r="M1039" s="24" t="n"/>
      <c r="N1039" s="24" t="n"/>
      <c r="O1039" s="15">
        <f>IF(D1039="","",COUNT(F1039,H1039,J1039,L1039,N1039))</f>
        <v/>
      </c>
      <c r="P1039" s="25">
        <f>IF(D1039="","",N(E1039)*N(F1039)+N(G1039)*N(H1039)+N(I1039)*N(J1039)+N(K1039)*N(L1039)+N(M1039)*N(N1039))</f>
        <v/>
      </c>
      <c r="Q1039" s="18">
        <f>IF(N(X1039)=0,"",IF(IF(N(F1039)=0,0,IF(N(E1039)&gt;0,E1039*(1+F1039/30),F1039))=X1039,IF(N(E1039)&gt;0,E1039&amp;" x "&amp;F1039,F1039&amp;" reps"),IF(IF(N(H1039)=0,0,IF(N(G1039)&gt;0,G1039*(1+H1039/30),H1039))=X1039,IF(N(G1039)&gt;0,G1039&amp;" x "&amp;H1039,H1039&amp;" reps"),IF(IF(N(J1039)=0,0,IF(N(I1039)&gt;0,I1039*(1+J1039/30),J1039))=X1039,IF(N(I1039)&gt;0,I1039&amp;" x "&amp;J1039,J1039&amp;" reps"),IF(IF(N(L1039)=0,0,IF(N(K1039)&gt;0,K1039*(1+L1039/30),L1039))=X1039,IF(N(K1039)&gt;0,K1039&amp;" x "&amp;L1039,L1039&amp;" reps"),IF(IF(N(N1039)=0,0,IF(N(M1039)&gt;0,M1039*(1+N1039/30),N1039))=X1039,IF(N(M1039)&gt;0,M1039&amp;" x "&amp;N1039,N1039&amp;" reps"),""))))))</f>
        <v/>
      </c>
      <c r="R1039" s="20">
        <f>IF(N(X1039)=0,"",ROUND(X1039,1))</f>
        <v/>
      </c>
      <c r="S1039" s="18">
        <f>IF(N(X1039)=0,"",IF(AND(COUNTIFS(Log!$D$6:$D$1505,D1039,Log!$B$6:$B$1505,"&lt;"&amp;B1039)&gt;0,COUNTIFS(Log!$D$6:$D$1505,D1039,Log!$B$6:$B$1505,"&lt;"&amp;B1039,Log!$X$6:$X$1505,"&gt;="&amp;X1039)=0),"New best",""))</f>
        <v/>
      </c>
      <c r="T1039" s="26" t="n"/>
      <c r="U1039" s="1">
        <f>IF(D1039="","",IFERROR(INDEX(Exercises!$C$6:$C$105,MATCH(D1039,Exercises!$B$6:$B$105,0)),"Other"))</f>
        <v/>
      </c>
      <c r="V1039">
        <f>IF(B1039="","",IF(COUNTIF($B$6:B1039,B1039)=1,1,0))</f>
        <v/>
      </c>
      <c r="W1039">
        <f>IF(B1039="","",B1039-WEEKDAY(B1039,3))</f>
        <v/>
      </c>
      <c r="X1039">
        <f>IF(D1039="","",MAX(IF(N(F1039)=0,0,IF(N(E1039)&gt;0,E1039*(1+F1039/30),F1039)),IF(N(H1039)=0,0,IF(N(G1039)&gt;0,G1039*(1+H1039/30),H1039)),IF(N(J1039)=0,0,IF(N(I1039)&gt;0,I1039*(1+J1039/30),J1039)),IF(N(L1039)=0,0,IF(N(K1039)&gt;0,K1039*(1+L1039/30),L1039)),IF(N(N1039)=0,0,IF(N(M1039)&gt;0,M1039*(1+N1039/30),N1039))))</f>
        <v/>
      </c>
      <c r="Y1039">
        <f>IF(N(X1039)=0,"",X1039+ROW()/1000000000)</f>
        <v/>
      </c>
      <c r="Z1039">
        <f>IF(Y1039="","",IF(COUNTIFS(Log!$D$6:$D$1505,D1039,Log!$Y$6:$Y$1505,"&gt;"&amp;Y1039)=0,1,0))</f>
        <v/>
      </c>
      <c r="AA1039">
        <f>IF(OR(B1039="",D1039=""),"",B1039+ROW()/10000000)</f>
        <v/>
      </c>
      <c r="AB1039">
        <f>IF(AA1039="","",IF(COUNTIFS(Log!$D$6:$D$1505,D1039,Log!$AA$6:$AA$1505,"&gt;"&amp;AA1039)=0,1,0))</f>
        <v/>
      </c>
      <c r="AC1039">
        <f>IF(S1039="New best",AA1039,"")</f>
        <v/>
      </c>
      <c r="AD1039">
        <f>ROW()</f>
        <v/>
      </c>
    </row>
    <row r="1040">
      <c r="A1040" s="1" t="n"/>
      <c r="B1040" s="21" t="n"/>
      <c r="C1040" s="22" t="n"/>
      <c r="D1040" s="23" t="n"/>
      <c r="E1040" s="24" t="n"/>
      <c r="F1040" s="24" t="n"/>
      <c r="G1040" s="24" t="n"/>
      <c r="H1040" s="24" t="n"/>
      <c r="I1040" s="24" t="n"/>
      <c r="J1040" s="24" t="n"/>
      <c r="K1040" s="24" t="n"/>
      <c r="L1040" s="24" t="n"/>
      <c r="M1040" s="24" t="n"/>
      <c r="N1040" s="24" t="n"/>
      <c r="O1040" s="15">
        <f>IF(D1040="","",COUNT(F1040,H1040,J1040,L1040,N1040))</f>
        <v/>
      </c>
      <c r="P1040" s="25">
        <f>IF(D1040="","",N(E1040)*N(F1040)+N(G1040)*N(H1040)+N(I1040)*N(J1040)+N(K1040)*N(L1040)+N(M1040)*N(N1040))</f>
        <v/>
      </c>
      <c r="Q1040" s="18">
        <f>IF(N(X1040)=0,"",IF(IF(N(F1040)=0,0,IF(N(E1040)&gt;0,E1040*(1+F1040/30),F1040))=X1040,IF(N(E1040)&gt;0,E1040&amp;" x "&amp;F1040,F1040&amp;" reps"),IF(IF(N(H1040)=0,0,IF(N(G1040)&gt;0,G1040*(1+H1040/30),H1040))=X1040,IF(N(G1040)&gt;0,G1040&amp;" x "&amp;H1040,H1040&amp;" reps"),IF(IF(N(J1040)=0,0,IF(N(I1040)&gt;0,I1040*(1+J1040/30),J1040))=X1040,IF(N(I1040)&gt;0,I1040&amp;" x "&amp;J1040,J1040&amp;" reps"),IF(IF(N(L1040)=0,0,IF(N(K1040)&gt;0,K1040*(1+L1040/30),L1040))=X1040,IF(N(K1040)&gt;0,K1040&amp;" x "&amp;L1040,L1040&amp;" reps"),IF(IF(N(N1040)=0,0,IF(N(M1040)&gt;0,M1040*(1+N1040/30),N1040))=X1040,IF(N(M1040)&gt;0,M1040&amp;" x "&amp;N1040,N1040&amp;" reps"),""))))))</f>
        <v/>
      </c>
      <c r="R1040" s="20">
        <f>IF(N(X1040)=0,"",ROUND(X1040,1))</f>
        <v/>
      </c>
      <c r="S1040" s="18">
        <f>IF(N(X1040)=0,"",IF(AND(COUNTIFS(Log!$D$6:$D$1505,D1040,Log!$B$6:$B$1505,"&lt;"&amp;B1040)&gt;0,COUNTIFS(Log!$D$6:$D$1505,D1040,Log!$B$6:$B$1505,"&lt;"&amp;B1040,Log!$X$6:$X$1505,"&gt;="&amp;X1040)=0),"New best",""))</f>
        <v/>
      </c>
      <c r="T1040" s="26" t="n"/>
      <c r="U1040" s="1">
        <f>IF(D1040="","",IFERROR(INDEX(Exercises!$C$6:$C$105,MATCH(D1040,Exercises!$B$6:$B$105,0)),"Other"))</f>
        <v/>
      </c>
      <c r="V1040">
        <f>IF(B1040="","",IF(COUNTIF($B$6:B1040,B1040)=1,1,0))</f>
        <v/>
      </c>
      <c r="W1040">
        <f>IF(B1040="","",B1040-WEEKDAY(B1040,3))</f>
        <v/>
      </c>
      <c r="X1040">
        <f>IF(D1040="","",MAX(IF(N(F1040)=0,0,IF(N(E1040)&gt;0,E1040*(1+F1040/30),F1040)),IF(N(H1040)=0,0,IF(N(G1040)&gt;0,G1040*(1+H1040/30),H1040)),IF(N(J1040)=0,0,IF(N(I1040)&gt;0,I1040*(1+J1040/30),J1040)),IF(N(L1040)=0,0,IF(N(K1040)&gt;0,K1040*(1+L1040/30),L1040)),IF(N(N1040)=0,0,IF(N(M1040)&gt;0,M1040*(1+N1040/30),N1040))))</f>
        <v/>
      </c>
      <c r="Y1040">
        <f>IF(N(X1040)=0,"",X1040+ROW()/1000000000)</f>
        <v/>
      </c>
      <c r="Z1040">
        <f>IF(Y1040="","",IF(COUNTIFS(Log!$D$6:$D$1505,D1040,Log!$Y$6:$Y$1505,"&gt;"&amp;Y1040)=0,1,0))</f>
        <v/>
      </c>
      <c r="AA1040">
        <f>IF(OR(B1040="",D1040=""),"",B1040+ROW()/10000000)</f>
        <v/>
      </c>
      <c r="AB1040">
        <f>IF(AA1040="","",IF(COUNTIFS(Log!$D$6:$D$1505,D1040,Log!$AA$6:$AA$1505,"&gt;"&amp;AA1040)=0,1,0))</f>
        <v/>
      </c>
      <c r="AC1040">
        <f>IF(S1040="New best",AA1040,"")</f>
        <v/>
      </c>
      <c r="AD1040">
        <f>ROW()</f>
        <v/>
      </c>
    </row>
    <row r="1041">
      <c r="A1041" s="1" t="n"/>
      <c r="B1041" s="21" t="n"/>
      <c r="C1041" s="22" t="n"/>
      <c r="D1041" s="23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15">
        <f>IF(D1041="","",COUNT(F1041,H1041,J1041,L1041,N1041))</f>
        <v/>
      </c>
      <c r="P1041" s="25">
        <f>IF(D1041="","",N(E1041)*N(F1041)+N(G1041)*N(H1041)+N(I1041)*N(J1041)+N(K1041)*N(L1041)+N(M1041)*N(N1041))</f>
        <v/>
      </c>
      <c r="Q1041" s="18">
        <f>IF(N(X1041)=0,"",IF(IF(N(F1041)=0,0,IF(N(E1041)&gt;0,E1041*(1+F1041/30),F1041))=X1041,IF(N(E1041)&gt;0,E1041&amp;" x "&amp;F1041,F1041&amp;" reps"),IF(IF(N(H1041)=0,0,IF(N(G1041)&gt;0,G1041*(1+H1041/30),H1041))=X1041,IF(N(G1041)&gt;0,G1041&amp;" x "&amp;H1041,H1041&amp;" reps"),IF(IF(N(J1041)=0,0,IF(N(I1041)&gt;0,I1041*(1+J1041/30),J1041))=X1041,IF(N(I1041)&gt;0,I1041&amp;" x "&amp;J1041,J1041&amp;" reps"),IF(IF(N(L1041)=0,0,IF(N(K1041)&gt;0,K1041*(1+L1041/30),L1041))=X1041,IF(N(K1041)&gt;0,K1041&amp;" x "&amp;L1041,L1041&amp;" reps"),IF(IF(N(N1041)=0,0,IF(N(M1041)&gt;0,M1041*(1+N1041/30),N1041))=X1041,IF(N(M1041)&gt;0,M1041&amp;" x "&amp;N1041,N1041&amp;" reps"),""))))))</f>
        <v/>
      </c>
      <c r="R1041" s="20">
        <f>IF(N(X1041)=0,"",ROUND(X1041,1))</f>
        <v/>
      </c>
      <c r="S1041" s="18">
        <f>IF(N(X1041)=0,"",IF(AND(COUNTIFS(Log!$D$6:$D$1505,D1041,Log!$B$6:$B$1505,"&lt;"&amp;B1041)&gt;0,COUNTIFS(Log!$D$6:$D$1505,D1041,Log!$B$6:$B$1505,"&lt;"&amp;B1041,Log!$X$6:$X$1505,"&gt;="&amp;X1041)=0),"New best",""))</f>
        <v/>
      </c>
      <c r="T1041" s="26" t="n"/>
      <c r="U1041" s="1">
        <f>IF(D1041="","",IFERROR(INDEX(Exercises!$C$6:$C$105,MATCH(D1041,Exercises!$B$6:$B$105,0)),"Other"))</f>
        <v/>
      </c>
      <c r="V1041">
        <f>IF(B1041="","",IF(COUNTIF($B$6:B1041,B1041)=1,1,0))</f>
        <v/>
      </c>
      <c r="W1041">
        <f>IF(B1041="","",B1041-WEEKDAY(B1041,3))</f>
        <v/>
      </c>
      <c r="X1041">
        <f>IF(D1041="","",MAX(IF(N(F1041)=0,0,IF(N(E1041)&gt;0,E1041*(1+F1041/30),F1041)),IF(N(H1041)=0,0,IF(N(G1041)&gt;0,G1041*(1+H1041/30),H1041)),IF(N(J1041)=0,0,IF(N(I1041)&gt;0,I1041*(1+J1041/30),J1041)),IF(N(L1041)=0,0,IF(N(K1041)&gt;0,K1041*(1+L1041/30),L1041)),IF(N(N1041)=0,0,IF(N(M1041)&gt;0,M1041*(1+N1041/30),N1041))))</f>
        <v/>
      </c>
      <c r="Y1041">
        <f>IF(N(X1041)=0,"",X1041+ROW()/1000000000)</f>
        <v/>
      </c>
      <c r="Z1041">
        <f>IF(Y1041="","",IF(COUNTIFS(Log!$D$6:$D$1505,D1041,Log!$Y$6:$Y$1505,"&gt;"&amp;Y1041)=0,1,0))</f>
        <v/>
      </c>
      <c r="AA1041">
        <f>IF(OR(B1041="",D1041=""),"",B1041+ROW()/10000000)</f>
        <v/>
      </c>
      <c r="AB1041">
        <f>IF(AA1041="","",IF(COUNTIFS(Log!$D$6:$D$1505,D1041,Log!$AA$6:$AA$1505,"&gt;"&amp;AA1041)=0,1,0))</f>
        <v/>
      </c>
      <c r="AC1041">
        <f>IF(S1041="New best",AA1041,"")</f>
        <v/>
      </c>
      <c r="AD1041">
        <f>ROW()</f>
        <v/>
      </c>
    </row>
    <row r="1042">
      <c r="A1042" s="1" t="n"/>
      <c r="B1042" s="21" t="n"/>
      <c r="C1042" s="22" t="n"/>
      <c r="D1042" s="23" t="n"/>
      <c r="E1042" s="24" t="n"/>
      <c r="F1042" s="24" t="n"/>
      <c r="G1042" s="24" t="n"/>
      <c r="H1042" s="24" t="n"/>
      <c r="I1042" s="24" t="n"/>
      <c r="J1042" s="24" t="n"/>
      <c r="K1042" s="24" t="n"/>
      <c r="L1042" s="24" t="n"/>
      <c r="M1042" s="24" t="n"/>
      <c r="N1042" s="24" t="n"/>
      <c r="O1042" s="15">
        <f>IF(D1042="","",COUNT(F1042,H1042,J1042,L1042,N1042))</f>
        <v/>
      </c>
      <c r="P1042" s="25">
        <f>IF(D1042="","",N(E1042)*N(F1042)+N(G1042)*N(H1042)+N(I1042)*N(J1042)+N(K1042)*N(L1042)+N(M1042)*N(N1042))</f>
        <v/>
      </c>
      <c r="Q1042" s="18">
        <f>IF(N(X1042)=0,"",IF(IF(N(F1042)=0,0,IF(N(E1042)&gt;0,E1042*(1+F1042/30),F1042))=X1042,IF(N(E1042)&gt;0,E1042&amp;" x "&amp;F1042,F1042&amp;" reps"),IF(IF(N(H1042)=0,0,IF(N(G1042)&gt;0,G1042*(1+H1042/30),H1042))=X1042,IF(N(G1042)&gt;0,G1042&amp;" x "&amp;H1042,H1042&amp;" reps"),IF(IF(N(J1042)=0,0,IF(N(I1042)&gt;0,I1042*(1+J1042/30),J1042))=X1042,IF(N(I1042)&gt;0,I1042&amp;" x "&amp;J1042,J1042&amp;" reps"),IF(IF(N(L1042)=0,0,IF(N(K1042)&gt;0,K1042*(1+L1042/30),L1042))=X1042,IF(N(K1042)&gt;0,K1042&amp;" x "&amp;L1042,L1042&amp;" reps"),IF(IF(N(N1042)=0,0,IF(N(M1042)&gt;0,M1042*(1+N1042/30),N1042))=X1042,IF(N(M1042)&gt;0,M1042&amp;" x "&amp;N1042,N1042&amp;" reps"),""))))))</f>
        <v/>
      </c>
      <c r="R1042" s="20">
        <f>IF(N(X1042)=0,"",ROUND(X1042,1))</f>
        <v/>
      </c>
      <c r="S1042" s="18">
        <f>IF(N(X1042)=0,"",IF(AND(COUNTIFS(Log!$D$6:$D$1505,D1042,Log!$B$6:$B$1505,"&lt;"&amp;B1042)&gt;0,COUNTIFS(Log!$D$6:$D$1505,D1042,Log!$B$6:$B$1505,"&lt;"&amp;B1042,Log!$X$6:$X$1505,"&gt;="&amp;X1042)=0),"New best",""))</f>
        <v/>
      </c>
      <c r="T1042" s="26" t="n"/>
      <c r="U1042" s="1">
        <f>IF(D1042="","",IFERROR(INDEX(Exercises!$C$6:$C$105,MATCH(D1042,Exercises!$B$6:$B$105,0)),"Other"))</f>
        <v/>
      </c>
      <c r="V1042">
        <f>IF(B1042="","",IF(COUNTIF($B$6:B1042,B1042)=1,1,0))</f>
        <v/>
      </c>
      <c r="W1042">
        <f>IF(B1042="","",B1042-WEEKDAY(B1042,3))</f>
        <v/>
      </c>
      <c r="X1042">
        <f>IF(D1042="","",MAX(IF(N(F1042)=0,0,IF(N(E1042)&gt;0,E1042*(1+F1042/30),F1042)),IF(N(H1042)=0,0,IF(N(G1042)&gt;0,G1042*(1+H1042/30),H1042)),IF(N(J1042)=0,0,IF(N(I1042)&gt;0,I1042*(1+J1042/30),J1042)),IF(N(L1042)=0,0,IF(N(K1042)&gt;0,K1042*(1+L1042/30),L1042)),IF(N(N1042)=0,0,IF(N(M1042)&gt;0,M1042*(1+N1042/30),N1042))))</f>
        <v/>
      </c>
      <c r="Y1042">
        <f>IF(N(X1042)=0,"",X1042+ROW()/1000000000)</f>
        <v/>
      </c>
      <c r="Z1042">
        <f>IF(Y1042="","",IF(COUNTIFS(Log!$D$6:$D$1505,D1042,Log!$Y$6:$Y$1505,"&gt;"&amp;Y1042)=0,1,0))</f>
        <v/>
      </c>
      <c r="AA1042">
        <f>IF(OR(B1042="",D1042=""),"",B1042+ROW()/10000000)</f>
        <v/>
      </c>
      <c r="AB1042">
        <f>IF(AA1042="","",IF(COUNTIFS(Log!$D$6:$D$1505,D1042,Log!$AA$6:$AA$1505,"&gt;"&amp;AA1042)=0,1,0))</f>
        <v/>
      </c>
      <c r="AC1042">
        <f>IF(S1042="New best",AA1042,"")</f>
        <v/>
      </c>
      <c r="AD1042">
        <f>ROW()</f>
        <v/>
      </c>
    </row>
    <row r="1043">
      <c r="A1043" s="1" t="n"/>
      <c r="B1043" s="21" t="n"/>
      <c r="C1043" s="22" t="n"/>
      <c r="D1043" s="23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15">
        <f>IF(D1043="","",COUNT(F1043,H1043,J1043,L1043,N1043))</f>
        <v/>
      </c>
      <c r="P1043" s="25">
        <f>IF(D1043="","",N(E1043)*N(F1043)+N(G1043)*N(H1043)+N(I1043)*N(J1043)+N(K1043)*N(L1043)+N(M1043)*N(N1043))</f>
        <v/>
      </c>
      <c r="Q1043" s="18">
        <f>IF(N(X1043)=0,"",IF(IF(N(F1043)=0,0,IF(N(E1043)&gt;0,E1043*(1+F1043/30),F1043))=X1043,IF(N(E1043)&gt;0,E1043&amp;" x "&amp;F1043,F1043&amp;" reps"),IF(IF(N(H1043)=0,0,IF(N(G1043)&gt;0,G1043*(1+H1043/30),H1043))=X1043,IF(N(G1043)&gt;0,G1043&amp;" x "&amp;H1043,H1043&amp;" reps"),IF(IF(N(J1043)=0,0,IF(N(I1043)&gt;0,I1043*(1+J1043/30),J1043))=X1043,IF(N(I1043)&gt;0,I1043&amp;" x "&amp;J1043,J1043&amp;" reps"),IF(IF(N(L1043)=0,0,IF(N(K1043)&gt;0,K1043*(1+L1043/30),L1043))=X1043,IF(N(K1043)&gt;0,K1043&amp;" x "&amp;L1043,L1043&amp;" reps"),IF(IF(N(N1043)=0,0,IF(N(M1043)&gt;0,M1043*(1+N1043/30),N1043))=X1043,IF(N(M1043)&gt;0,M1043&amp;" x "&amp;N1043,N1043&amp;" reps"),""))))))</f>
        <v/>
      </c>
      <c r="R1043" s="20">
        <f>IF(N(X1043)=0,"",ROUND(X1043,1))</f>
        <v/>
      </c>
      <c r="S1043" s="18">
        <f>IF(N(X1043)=0,"",IF(AND(COUNTIFS(Log!$D$6:$D$1505,D1043,Log!$B$6:$B$1505,"&lt;"&amp;B1043)&gt;0,COUNTIFS(Log!$D$6:$D$1505,D1043,Log!$B$6:$B$1505,"&lt;"&amp;B1043,Log!$X$6:$X$1505,"&gt;="&amp;X1043)=0),"New best",""))</f>
        <v/>
      </c>
      <c r="T1043" s="26" t="n"/>
      <c r="U1043" s="1">
        <f>IF(D1043="","",IFERROR(INDEX(Exercises!$C$6:$C$105,MATCH(D1043,Exercises!$B$6:$B$105,0)),"Other"))</f>
        <v/>
      </c>
      <c r="V1043">
        <f>IF(B1043="","",IF(COUNTIF($B$6:B1043,B1043)=1,1,0))</f>
        <v/>
      </c>
      <c r="W1043">
        <f>IF(B1043="","",B1043-WEEKDAY(B1043,3))</f>
        <v/>
      </c>
      <c r="X1043">
        <f>IF(D1043="","",MAX(IF(N(F1043)=0,0,IF(N(E1043)&gt;0,E1043*(1+F1043/30),F1043)),IF(N(H1043)=0,0,IF(N(G1043)&gt;0,G1043*(1+H1043/30),H1043)),IF(N(J1043)=0,0,IF(N(I1043)&gt;0,I1043*(1+J1043/30),J1043)),IF(N(L1043)=0,0,IF(N(K1043)&gt;0,K1043*(1+L1043/30),L1043)),IF(N(N1043)=0,0,IF(N(M1043)&gt;0,M1043*(1+N1043/30),N1043))))</f>
        <v/>
      </c>
      <c r="Y1043">
        <f>IF(N(X1043)=0,"",X1043+ROW()/1000000000)</f>
        <v/>
      </c>
      <c r="Z1043">
        <f>IF(Y1043="","",IF(COUNTIFS(Log!$D$6:$D$1505,D1043,Log!$Y$6:$Y$1505,"&gt;"&amp;Y1043)=0,1,0))</f>
        <v/>
      </c>
      <c r="AA1043">
        <f>IF(OR(B1043="",D1043=""),"",B1043+ROW()/10000000)</f>
        <v/>
      </c>
      <c r="AB1043">
        <f>IF(AA1043="","",IF(COUNTIFS(Log!$D$6:$D$1505,D1043,Log!$AA$6:$AA$1505,"&gt;"&amp;AA1043)=0,1,0))</f>
        <v/>
      </c>
      <c r="AC1043">
        <f>IF(S1043="New best",AA1043,"")</f>
        <v/>
      </c>
      <c r="AD1043">
        <f>ROW()</f>
        <v/>
      </c>
    </row>
    <row r="1044">
      <c r="A1044" s="1" t="n"/>
      <c r="B1044" s="21" t="n"/>
      <c r="C1044" s="22" t="n"/>
      <c r="D1044" s="23" t="n"/>
      <c r="E1044" s="24" t="n"/>
      <c r="F1044" s="24" t="n"/>
      <c r="G1044" s="24" t="n"/>
      <c r="H1044" s="24" t="n"/>
      <c r="I1044" s="24" t="n"/>
      <c r="J1044" s="24" t="n"/>
      <c r="K1044" s="24" t="n"/>
      <c r="L1044" s="24" t="n"/>
      <c r="M1044" s="24" t="n"/>
      <c r="N1044" s="24" t="n"/>
      <c r="O1044" s="15">
        <f>IF(D1044="","",COUNT(F1044,H1044,J1044,L1044,N1044))</f>
        <v/>
      </c>
      <c r="P1044" s="25">
        <f>IF(D1044="","",N(E1044)*N(F1044)+N(G1044)*N(H1044)+N(I1044)*N(J1044)+N(K1044)*N(L1044)+N(M1044)*N(N1044))</f>
        <v/>
      </c>
      <c r="Q1044" s="18">
        <f>IF(N(X1044)=0,"",IF(IF(N(F1044)=0,0,IF(N(E1044)&gt;0,E1044*(1+F1044/30),F1044))=X1044,IF(N(E1044)&gt;0,E1044&amp;" x "&amp;F1044,F1044&amp;" reps"),IF(IF(N(H1044)=0,0,IF(N(G1044)&gt;0,G1044*(1+H1044/30),H1044))=X1044,IF(N(G1044)&gt;0,G1044&amp;" x "&amp;H1044,H1044&amp;" reps"),IF(IF(N(J1044)=0,0,IF(N(I1044)&gt;0,I1044*(1+J1044/30),J1044))=X1044,IF(N(I1044)&gt;0,I1044&amp;" x "&amp;J1044,J1044&amp;" reps"),IF(IF(N(L1044)=0,0,IF(N(K1044)&gt;0,K1044*(1+L1044/30),L1044))=X1044,IF(N(K1044)&gt;0,K1044&amp;" x "&amp;L1044,L1044&amp;" reps"),IF(IF(N(N1044)=0,0,IF(N(M1044)&gt;0,M1044*(1+N1044/30),N1044))=X1044,IF(N(M1044)&gt;0,M1044&amp;" x "&amp;N1044,N1044&amp;" reps"),""))))))</f>
        <v/>
      </c>
      <c r="R1044" s="20">
        <f>IF(N(X1044)=0,"",ROUND(X1044,1))</f>
        <v/>
      </c>
      <c r="S1044" s="18">
        <f>IF(N(X1044)=0,"",IF(AND(COUNTIFS(Log!$D$6:$D$1505,D1044,Log!$B$6:$B$1505,"&lt;"&amp;B1044)&gt;0,COUNTIFS(Log!$D$6:$D$1505,D1044,Log!$B$6:$B$1505,"&lt;"&amp;B1044,Log!$X$6:$X$1505,"&gt;="&amp;X1044)=0),"New best",""))</f>
        <v/>
      </c>
      <c r="T1044" s="26" t="n"/>
      <c r="U1044" s="1">
        <f>IF(D1044="","",IFERROR(INDEX(Exercises!$C$6:$C$105,MATCH(D1044,Exercises!$B$6:$B$105,0)),"Other"))</f>
        <v/>
      </c>
      <c r="V1044">
        <f>IF(B1044="","",IF(COUNTIF($B$6:B1044,B1044)=1,1,0))</f>
        <v/>
      </c>
      <c r="W1044">
        <f>IF(B1044="","",B1044-WEEKDAY(B1044,3))</f>
        <v/>
      </c>
      <c r="X1044">
        <f>IF(D1044="","",MAX(IF(N(F1044)=0,0,IF(N(E1044)&gt;0,E1044*(1+F1044/30),F1044)),IF(N(H1044)=0,0,IF(N(G1044)&gt;0,G1044*(1+H1044/30),H1044)),IF(N(J1044)=0,0,IF(N(I1044)&gt;0,I1044*(1+J1044/30),J1044)),IF(N(L1044)=0,0,IF(N(K1044)&gt;0,K1044*(1+L1044/30),L1044)),IF(N(N1044)=0,0,IF(N(M1044)&gt;0,M1044*(1+N1044/30),N1044))))</f>
        <v/>
      </c>
      <c r="Y1044">
        <f>IF(N(X1044)=0,"",X1044+ROW()/1000000000)</f>
        <v/>
      </c>
      <c r="Z1044">
        <f>IF(Y1044="","",IF(COUNTIFS(Log!$D$6:$D$1505,D1044,Log!$Y$6:$Y$1505,"&gt;"&amp;Y1044)=0,1,0))</f>
        <v/>
      </c>
      <c r="AA1044">
        <f>IF(OR(B1044="",D1044=""),"",B1044+ROW()/10000000)</f>
        <v/>
      </c>
      <c r="AB1044">
        <f>IF(AA1044="","",IF(COUNTIFS(Log!$D$6:$D$1505,D1044,Log!$AA$6:$AA$1505,"&gt;"&amp;AA1044)=0,1,0))</f>
        <v/>
      </c>
      <c r="AC1044">
        <f>IF(S1044="New best",AA1044,"")</f>
        <v/>
      </c>
      <c r="AD1044">
        <f>ROW()</f>
        <v/>
      </c>
    </row>
    <row r="1045">
      <c r="A1045" s="1" t="n"/>
      <c r="B1045" s="21" t="n"/>
      <c r="C1045" s="22" t="n"/>
      <c r="D1045" s="23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15">
        <f>IF(D1045="","",COUNT(F1045,H1045,J1045,L1045,N1045))</f>
        <v/>
      </c>
      <c r="P1045" s="25">
        <f>IF(D1045="","",N(E1045)*N(F1045)+N(G1045)*N(H1045)+N(I1045)*N(J1045)+N(K1045)*N(L1045)+N(M1045)*N(N1045))</f>
        <v/>
      </c>
      <c r="Q1045" s="18">
        <f>IF(N(X1045)=0,"",IF(IF(N(F1045)=0,0,IF(N(E1045)&gt;0,E1045*(1+F1045/30),F1045))=X1045,IF(N(E1045)&gt;0,E1045&amp;" x "&amp;F1045,F1045&amp;" reps"),IF(IF(N(H1045)=0,0,IF(N(G1045)&gt;0,G1045*(1+H1045/30),H1045))=X1045,IF(N(G1045)&gt;0,G1045&amp;" x "&amp;H1045,H1045&amp;" reps"),IF(IF(N(J1045)=0,0,IF(N(I1045)&gt;0,I1045*(1+J1045/30),J1045))=X1045,IF(N(I1045)&gt;0,I1045&amp;" x "&amp;J1045,J1045&amp;" reps"),IF(IF(N(L1045)=0,0,IF(N(K1045)&gt;0,K1045*(1+L1045/30),L1045))=X1045,IF(N(K1045)&gt;0,K1045&amp;" x "&amp;L1045,L1045&amp;" reps"),IF(IF(N(N1045)=0,0,IF(N(M1045)&gt;0,M1045*(1+N1045/30),N1045))=X1045,IF(N(M1045)&gt;0,M1045&amp;" x "&amp;N1045,N1045&amp;" reps"),""))))))</f>
        <v/>
      </c>
      <c r="R1045" s="20">
        <f>IF(N(X1045)=0,"",ROUND(X1045,1))</f>
        <v/>
      </c>
      <c r="S1045" s="18">
        <f>IF(N(X1045)=0,"",IF(AND(COUNTIFS(Log!$D$6:$D$1505,D1045,Log!$B$6:$B$1505,"&lt;"&amp;B1045)&gt;0,COUNTIFS(Log!$D$6:$D$1505,D1045,Log!$B$6:$B$1505,"&lt;"&amp;B1045,Log!$X$6:$X$1505,"&gt;="&amp;X1045)=0),"New best",""))</f>
        <v/>
      </c>
      <c r="T1045" s="26" t="n"/>
      <c r="U1045" s="1">
        <f>IF(D1045="","",IFERROR(INDEX(Exercises!$C$6:$C$105,MATCH(D1045,Exercises!$B$6:$B$105,0)),"Other"))</f>
        <v/>
      </c>
      <c r="V1045">
        <f>IF(B1045="","",IF(COUNTIF($B$6:B1045,B1045)=1,1,0))</f>
        <v/>
      </c>
      <c r="W1045">
        <f>IF(B1045="","",B1045-WEEKDAY(B1045,3))</f>
        <v/>
      </c>
      <c r="X1045">
        <f>IF(D1045="","",MAX(IF(N(F1045)=0,0,IF(N(E1045)&gt;0,E1045*(1+F1045/30),F1045)),IF(N(H1045)=0,0,IF(N(G1045)&gt;0,G1045*(1+H1045/30),H1045)),IF(N(J1045)=0,0,IF(N(I1045)&gt;0,I1045*(1+J1045/30),J1045)),IF(N(L1045)=0,0,IF(N(K1045)&gt;0,K1045*(1+L1045/30),L1045)),IF(N(N1045)=0,0,IF(N(M1045)&gt;0,M1045*(1+N1045/30),N1045))))</f>
        <v/>
      </c>
      <c r="Y1045">
        <f>IF(N(X1045)=0,"",X1045+ROW()/1000000000)</f>
        <v/>
      </c>
      <c r="Z1045">
        <f>IF(Y1045="","",IF(COUNTIFS(Log!$D$6:$D$1505,D1045,Log!$Y$6:$Y$1505,"&gt;"&amp;Y1045)=0,1,0))</f>
        <v/>
      </c>
      <c r="AA1045">
        <f>IF(OR(B1045="",D1045=""),"",B1045+ROW()/10000000)</f>
        <v/>
      </c>
      <c r="AB1045">
        <f>IF(AA1045="","",IF(COUNTIFS(Log!$D$6:$D$1505,D1045,Log!$AA$6:$AA$1505,"&gt;"&amp;AA1045)=0,1,0))</f>
        <v/>
      </c>
      <c r="AC1045">
        <f>IF(S1045="New best",AA1045,"")</f>
        <v/>
      </c>
      <c r="AD1045">
        <f>ROW()</f>
        <v/>
      </c>
    </row>
    <row r="1046">
      <c r="A1046" s="1" t="n"/>
      <c r="B1046" s="21" t="n"/>
      <c r="C1046" s="22" t="n"/>
      <c r="D1046" s="23" t="n"/>
      <c r="E1046" s="24" t="n"/>
      <c r="F1046" s="24" t="n"/>
      <c r="G1046" s="24" t="n"/>
      <c r="H1046" s="24" t="n"/>
      <c r="I1046" s="24" t="n"/>
      <c r="J1046" s="24" t="n"/>
      <c r="K1046" s="24" t="n"/>
      <c r="L1046" s="24" t="n"/>
      <c r="M1046" s="24" t="n"/>
      <c r="N1046" s="24" t="n"/>
      <c r="O1046" s="15">
        <f>IF(D1046="","",COUNT(F1046,H1046,J1046,L1046,N1046))</f>
        <v/>
      </c>
      <c r="P1046" s="25">
        <f>IF(D1046="","",N(E1046)*N(F1046)+N(G1046)*N(H1046)+N(I1046)*N(J1046)+N(K1046)*N(L1046)+N(M1046)*N(N1046))</f>
        <v/>
      </c>
      <c r="Q1046" s="18">
        <f>IF(N(X1046)=0,"",IF(IF(N(F1046)=0,0,IF(N(E1046)&gt;0,E1046*(1+F1046/30),F1046))=X1046,IF(N(E1046)&gt;0,E1046&amp;" x "&amp;F1046,F1046&amp;" reps"),IF(IF(N(H1046)=0,0,IF(N(G1046)&gt;0,G1046*(1+H1046/30),H1046))=X1046,IF(N(G1046)&gt;0,G1046&amp;" x "&amp;H1046,H1046&amp;" reps"),IF(IF(N(J1046)=0,0,IF(N(I1046)&gt;0,I1046*(1+J1046/30),J1046))=X1046,IF(N(I1046)&gt;0,I1046&amp;" x "&amp;J1046,J1046&amp;" reps"),IF(IF(N(L1046)=0,0,IF(N(K1046)&gt;0,K1046*(1+L1046/30),L1046))=X1046,IF(N(K1046)&gt;0,K1046&amp;" x "&amp;L1046,L1046&amp;" reps"),IF(IF(N(N1046)=0,0,IF(N(M1046)&gt;0,M1046*(1+N1046/30),N1046))=X1046,IF(N(M1046)&gt;0,M1046&amp;" x "&amp;N1046,N1046&amp;" reps"),""))))))</f>
        <v/>
      </c>
      <c r="R1046" s="20">
        <f>IF(N(X1046)=0,"",ROUND(X1046,1))</f>
        <v/>
      </c>
      <c r="S1046" s="18">
        <f>IF(N(X1046)=0,"",IF(AND(COUNTIFS(Log!$D$6:$D$1505,D1046,Log!$B$6:$B$1505,"&lt;"&amp;B1046)&gt;0,COUNTIFS(Log!$D$6:$D$1505,D1046,Log!$B$6:$B$1505,"&lt;"&amp;B1046,Log!$X$6:$X$1505,"&gt;="&amp;X1046)=0),"New best",""))</f>
        <v/>
      </c>
      <c r="T1046" s="26" t="n"/>
      <c r="U1046" s="1">
        <f>IF(D1046="","",IFERROR(INDEX(Exercises!$C$6:$C$105,MATCH(D1046,Exercises!$B$6:$B$105,0)),"Other"))</f>
        <v/>
      </c>
      <c r="V1046">
        <f>IF(B1046="","",IF(COUNTIF($B$6:B1046,B1046)=1,1,0))</f>
        <v/>
      </c>
      <c r="W1046">
        <f>IF(B1046="","",B1046-WEEKDAY(B1046,3))</f>
        <v/>
      </c>
      <c r="X1046">
        <f>IF(D1046="","",MAX(IF(N(F1046)=0,0,IF(N(E1046)&gt;0,E1046*(1+F1046/30),F1046)),IF(N(H1046)=0,0,IF(N(G1046)&gt;0,G1046*(1+H1046/30),H1046)),IF(N(J1046)=0,0,IF(N(I1046)&gt;0,I1046*(1+J1046/30),J1046)),IF(N(L1046)=0,0,IF(N(K1046)&gt;0,K1046*(1+L1046/30),L1046)),IF(N(N1046)=0,0,IF(N(M1046)&gt;0,M1046*(1+N1046/30),N1046))))</f>
        <v/>
      </c>
      <c r="Y1046">
        <f>IF(N(X1046)=0,"",X1046+ROW()/1000000000)</f>
        <v/>
      </c>
      <c r="Z1046">
        <f>IF(Y1046="","",IF(COUNTIFS(Log!$D$6:$D$1505,D1046,Log!$Y$6:$Y$1505,"&gt;"&amp;Y1046)=0,1,0))</f>
        <v/>
      </c>
      <c r="AA1046">
        <f>IF(OR(B1046="",D1046=""),"",B1046+ROW()/10000000)</f>
        <v/>
      </c>
      <c r="AB1046">
        <f>IF(AA1046="","",IF(COUNTIFS(Log!$D$6:$D$1505,D1046,Log!$AA$6:$AA$1505,"&gt;"&amp;AA1046)=0,1,0))</f>
        <v/>
      </c>
      <c r="AC1046">
        <f>IF(S1046="New best",AA1046,"")</f>
        <v/>
      </c>
      <c r="AD1046">
        <f>ROW()</f>
        <v/>
      </c>
    </row>
    <row r="1047">
      <c r="A1047" s="1" t="n"/>
      <c r="B1047" s="21" t="n"/>
      <c r="C1047" s="22" t="n"/>
      <c r="D1047" s="23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15">
        <f>IF(D1047="","",COUNT(F1047,H1047,J1047,L1047,N1047))</f>
        <v/>
      </c>
      <c r="P1047" s="25">
        <f>IF(D1047="","",N(E1047)*N(F1047)+N(G1047)*N(H1047)+N(I1047)*N(J1047)+N(K1047)*N(L1047)+N(M1047)*N(N1047))</f>
        <v/>
      </c>
      <c r="Q1047" s="18">
        <f>IF(N(X1047)=0,"",IF(IF(N(F1047)=0,0,IF(N(E1047)&gt;0,E1047*(1+F1047/30),F1047))=X1047,IF(N(E1047)&gt;0,E1047&amp;" x "&amp;F1047,F1047&amp;" reps"),IF(IF(N(H1047)=0,0,IF(N(G1047)&gt;0,G1047*(1+H1047/30),H1047))=X1047,IF(N(G1047)&gt;0,G1047&amp;" x "&amp;H1047,H1047&amp;" reps"),IF(IF(N(J1047)=0,0,IF(N(I1047)&gt;0,I1047*(1+J1047/30),J1047))=X1047,IF(N(I1047)&gt;0,I1047&amp;" x "&amp;J1047,J1047&amp;" reps"),IF(IF(N(L1047)=0,0,IF(N(K1047)&gt;0,K1047*(1+L1047/30),L1047))=X1047,IF(N(K1047)&gt;0,K1047&amp;" x "&amp;L1047,L1047&amp;" reps"),IF(IF(N(N1047)=0,0,IF(N(M1047)&gt;0,M1047*(1+N1047/30),N1047))=X1047,IF(N(M1047)&gt;0,M1047&amp;" x "&amp;N1047,N1047&amp;" reps"),""))))))</f>
        <v/>
      </c>
      <c r="R1047" s="20">
        <f>IF(N(X1047)=0,"",ROUND(X1047,1))</f>
        <v/>
      </c>
      <c r="S1047" s="18">
        <f>IF(N(X1047)=0,"",IF(AND(COUNTIFS(Log!$D$6:$D$1505,D1047,Log!$B$6:$B$1505,"&lt;"&amp;B1047)&gt;0,COUNTIFS(Log!$D$6:$D$1505,D1047,Log!$B$6:$B$1505,"&lt;"&amp;B1047,Log!$X$6:$X$1505,"&gt;="&amp;X1047)=0),"New best",""))</f>
        <v/>
      </c>
      <c r="T1047" s="26" t="n"/>
      <c r="U1047" s="1">
        <f>IF(D1047="","",IFERROR(INDEX(Exercises!$C$6:$C$105,MATCH(D1047,Exercises!$B$6:$B$105,0)),"Other"))</f>
        <v/>
      </c>
      <c r="V1047">
        <f>IF(B1047="","",IF(COUNTIF($B$6:B1047,B1047)=1,1,0))</f>
        <v/>
      </c>
      <c r="W1047">
        <f>IF(B1047="","",B1047-WEEKDAY(B1047,3))</f>
        <v/>
      </c>
      <c r="X1047">
        <f>IF(D1047="","",MAX(IF(N(F1047)=0,0,IF(N(E1047)&gt;0,E1047*(1+F1047/30),F1047)),IF(N(H1047)=0,0,IF(N(G1047)&gt;0,G1047*(1+H1047/30),H1047)),IF(N(J1047)=0,0,IF(N(I1047)&gt;0,I1047*(1+J1047/30),J1047)),IF(N(L1047)=0,0,IF(N(K1047)&gt;0,K1047*(1+L1047/30),L1047)),IF(N(N1047)=0,0,IF(N(M1047)&gt;0,M1047*(1+N1047/30),N1047))))</f>
        <v/>
      </c>
      <c r="Y1047">
        <f>IF(N(X1047)=0,"",X1047+ROW()/1000000000)</f>
        <v/>
      </c>
      <c r="Z1047">
        <f>IF(Y1047="","",IF(COUNTIFS(Log!$D$6:$D$1505,D1047,Log!$Y$6:$Y$1505,"&gt;"&amp;Y1047)=0,1,0))</f>
        <v/>
      </c>
      <c r="AA1047">
        <f>IF(OR(B1047="",D1047=""),"",B1047+ROW()/10000000)</f>
        <v/>
      </c>
      <c r="AB1047">
        <f>IF(AA1047="","",IF(COUNTIFS(Log!$D$6:$D$1505,D1047,Log!$AA$6:$AA$1505,"&gt;"&amp;AA1047)=0,1,0))</f>
        <v/>
      </c>
      <c r="AC1047">
        <f>IF(S1047="New best",AA1047,"")</f>
        <v/>
      </c>
      <c r="AD1047">
        <f>ROW()</f>
        <v/>
      </c>
    </row>
    <row r="1048">
      <c r="A1048" s="1" t="n"/>
      <c r="B1048" s="21" t="n"/>
      <c r="C1048" s="22" t="n"/>
      <c r="D1048" s="23" t="n"/>
      <c r="E1048" s="24" t="n"/>
      <c r="F1048" s="24" t="n"/>
      <c r="G1048" s="24" t="n"/>
      <c r="H1048" s="24" t="n"/>
      <c r="I1048" s="24" t="n"/>
      <c r="J1048" s="24" t="n"/>
      <c r="K1048" s="24" t="n"/>
      <c r="L1048" s="24" t="n"/>
      <c r="M1048" s="24" t="n"/>
      <c r="N1048" s="24" t="n"/>
      <c r="O1048" s="15">
        <f>IF(D1048="","",COUNT(F1048,H1048,J1048,L1048,N1048))</f>
        <v/>
      </c>
      <c r="P1048" s="25">
        <f>IF(D1048="","",N(E1048)*N(F1048)+N(G1048)*N(H1048)+N(I1048)*N(J1048)+N(K1048)*N(L1048)+N(M1048)*N(N1048))</f>
        <v/>
      </c>
      <c r="Q1048" s="18">
        <f>IF(N(X1048)=0,"",IF(IF(N(F1048)=0,0,IF(N(E1048)&gt;0,E1048*(1+F1048/30),F1048))=X1048,IF(N(E1048)&gt;0,E1048&amp;" x "&amp;F1048,F1048&amp;" reps"),IF(IF(N(H1048)=0,0,IF(N(G1048)&gt;0,G1048*(1+H1048/30),H1048))=X1048,IF(N(G1048)&gt;0,G1048&amp;" x "&amp;H1048,H1048&amp;" reps"),IF(IF(N(J1048)=0,0,IF(N(I1048)&gt;0,I1048*(1+J1048/30),J1048))=X1048,IF(N(I1048)&gt;0,I1048&amp;" x "&amp;J1048,J1048&amp;" reps"),IF(IF(N(L1048)=0,0,IF(N(K1048)&gt;0,K1048*(1+L1048/30),L1048))=X1048,IF(N(K1048)&gt;0,K1048&amp;" x "&amp;L1048,L1048&amp;" reps"),IF(IF(N(N1048)=0,0,IF(N(M1048)&gt;0,M1048*(1+N1048/30),N1048))=X1048,IF(N(M1048)&gt;0,M1048&amp;" x "&amp;N1048,N1048&amp;" reps"),""))))))</f>
        <v/>
      </c>
      <c r="R1048" s="20">
        <f>IF(N(X1048)=0,"",ROUND(X1048,1))</f>
        <v/>
      </c>
      <c r="S1048" s="18">
        <f>IF(N(X1048)=0,"",IF(AND(COUNTIFS(Log!$D$6:$D$1505,D1048,Log!$B$6:$B$1505,"&lt;"&amp;B1048)&gt;0,COUNTIFS(Log!$D$6:$D$1505,D1048,Log!$B$6:$B$1505,"&lt;"&amp;B1048,Log!$X$6:$X$1505,"&gt;="&amp;X1048)=0),"New best",""))</f>
        <v/>
      </c>
      <c r="T1048" s="26" t="n"/>
      <c r="U1048" s="1">
        <f>IF(D1048="","",IFERROR(INDEX(Exercises!$C$6:$C$105,MATCH(D1048,Exercises!$B$6:$B$105,0)),"Other"))</f>
        <v/>
      </c>
      <c r="V1048">
        <f>IF(B1048="","",IF(COUNTIF($B$6:B1048,B1048)=1,1,0))</f>
        <v/>
      </c>
      <c r="W1048">
        <f>IF(B1048="","",B1048-WEEKDAY(B1048,3))</f>
        <v/>
      </c>
      <c r="X1048">
        <f>IF(D1048="","",MAX(IF(N(F1048)=0,0,IF(N(E1048)&gt;0,E1048*(1+F1048/30),F1048)),IF(N(H1048)=0,0,IF(N(G1048)&gt;0,G1048*(1+H1048/30),H1048)),IF(N(J1048)=0,0,IF(N(I1048)&gt;0,I1048*(1+J1048/30),J1048)),IF(N(L1048)=0,0,IF(N(K1048)&gt;0,K1048*(1+L1048/30),L1048)),IF(N(N1048)=0,0,IF(N(M1048)&gt;0,M1048*(1+N1048/30),N1048))))</f>
        <v/>
      </c>
      <c r="Y1048">
        <f>IF(N(X1048)=0,"",X1048+ROW()/1000000000)</f>
        <v/>
      </c>
      <c r="Z1048">
        <f>IF(Y1048="","",IF(COUNTIFS(Log!$D$6:$D$1505,D1048,Log!$Y$6:$Y$1505,"&gt;"&amp;Y1048)=0,1,0))</f>
        <v/>
      </c>
      <c r="AA1048">
        <f>IF(OR(B1048="",D1048=""),"",B1048+ROW()/10000000)</f>
        <v/>
      </c>
      <c r="AB1048">
        <f>IF(AA1048="","",IF(COUNTIFS(Log!$D$6:$D$1505,D1048,Log!$AA$6:$AA$1505,"&gt;"&amp;AA1048)=0,1,0))</f>
        <v/>
      </c>
      <c r="AC1048">
        <f>IF(S1048="New best",AA1048,"")</f>
        <v/>
      </c>
      <c r="AD1048">
        <f>ROW()</f>
        <v/>
      </c>
    </row>
    <row r="1049">
      <c r="A1049" s="1" t="n"/>
      <c r="B1049" s="21" t="n"/>
      <c r="C1049" s="22" t="n"/>
      <c r="D1049" s="23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15">
        <f>IF(D1049="","",COUNT(F1049,H1049,J1049,L1049,N1049))</f>
        <v/>
      </c>
      <c r="P1049" s="25">
        <f>IF(D1049="","",N(E1049)*N(F1049)+N(G1049)*N(H1049)+N(I1049)*N(J1049)+N(K1049)*N(L1049)+N(M1049)*N(N1049))</f>
        <v/>
      </c>
      <c r="Q1049" s="18">
        <f>IF(N(X1049)=0,"",IF(IF(N(F1049)=0,0,IF(N(E1049)&gt;0,E1049*(1+F1049/30),F1049))=X1049,IF(N(E1049)&gt;0,E1049&amp;" x "&amp;F1049,F1049&amp;" reps"),IF(IF(N(H1049)=0,0,IF(N(G1049)&gt;0,G1049*(1+H1049/30),H1049))=X1049,IF(N(G1049)&gt;0,G1049&amp;" x "&amp;H1049,H1049&amp;" reps"),IF(IF(N(J1049)=0,0,IF(N(I1049)&gt;0,I1049*(1+J1049/30),J1049))=X1049,IF(N(I1049)&gt;0,I1049&amp;" x "&amp;J1049,J1049&amp;" reps"),IF(IF(N(L1049)=0,0,IF(N(K1049)&gt;0,K1049*(1+L1049/30),L1049))=X1049,IF(N(K1049)&gt;0,K1049&amp;" x "&amp;L1049,L1049&amp;" reps"),IF(IF(N(N1049)=0,0,IF(N(M1049)&gt;0,M1049*(1+N1049/30),N1049))=X1049,IF(N(M1049)&gt;0,M1049&amp;" x "&amp;N1049,N1049&amp;" reps"),""))))))</f>
        <v/>
      </c>
      <c r="R1049" s="20">
        <f>IF(N(X1049)=0,"",ROUND(X1049,1))</f>
        <v/>
      </c>
      <c r="S1049" s="18">
        <f>IF(N(X1049)=0,"",IF(AND(COUNTIFS(Log!$D$6:$D$1505,D1049,Log!$B$6:$B$1505,"&lt;"&amp;B1049)&gt;0,COUNTIFS(Log!$D$6:$D$1505,D1049,Log!$B$6:$B$1505,"&lt;"&amp;B1049,Log!$X$6:$X$1505,"&gt;="&amp;X1049)=0),"New best",""))</f>
        <v/>
      </c>
      <c r="T1049" s="26" t="n"/>
      <c r="U1049" s="1">
        <f>IF(D1049="","",IFERROR(INDEX(Exercises!$C$6:$C$105,MATCH(D1049,Exercises!$B$6:$B$105,0)),"Other"))</f>
        <v/>
      </c>
      <c r="V1049">
        <f>IF(B1049="","",IF(COUNTIF($B$6:B1049,B1049)=1,1,0))</f>
        <v/>
      </c>
      <c r="W1049">
        <f>IF(B1049="","",B1049-WEEKDAY(B1049,3))</f>
        <v/>
      </c>
      <c r="X1049">
        <f>IF(D1049="","",MAX(IF(N(F1049)=0,0,IF(N(E1049)&gt;0,E1049*(1+F1049/30),F1049)),IF(N(H1049)=0,0,IF(N(G1049)&gt;0,G1049*(1+H1049/30),H1049)),IF(N(J1049)=0,0,IF(N(I1049)&gt;0,I1049*(1+J1049/30),J1049)),IF(N(L1049)=0,0,IF(N(K1049)&gt;0,K1049*(1+L1049/30),L1049)),IF(N(N1049)=0,0,IF(N(M1049)&gt;0,M1049*(1+N1049/30),N1049))))</f>
        <v/>
      </c>
      <c r="Y1049">
        <f>IF(N(X1049)=0,"",X1049+ROW()/1000000000)</f>
        <v/>
      </c>
      <c r="Z1049">
        <f>IF(Y1049="","",IF(COUNTIFS(Log!$D$6:$D$1505,D1049,Log!$Y$6:$Y$1505,"&gt;"&amp;Y1049)=0,1,0))</f>
        <v/>
      </c>
      <c r="AA1049">
        <f>IF(OR(B1049="",D1049=""),"",B1049+ROW()/10000000)</f>
        <v/>
      </c>
      <c r="AB1049">
        <f>IF(AA1049="","",IF(COUNTIFS(Log!$D$6:$D$1505,D1049,Log!$AA$6:$AA$1505,"&gt;"&amp;AA1049)=0,1,0))</f>
        <v/>
      </c>
      <c r="AC1049">
        <f>IF(S1049="New best",AA1049,"")</f>
        <v/>
      </c>
      <c r="AD1049">
        <f>ROW()</f>
        <v/>
      </c>
    </row>
    <row r="1050">
      <c r="A1050" s="1" t="n"/>
      <c r="B1050" s="21" t="n"/>
      <c r="C1050" s="22" t="n"/>
      <c r="D1050" s="23" t="n"/>
      <c r="E1050" s="24" t="n"/>
      <c r="F1050" s="24" t="n"/>
      <c r="G1050" s="24" t="n"/>
      <c r="H1050" s="24" t="n"/>
      <c r="I1050" s="24" t="n"/>
      <c r="J1050" s="24" t="n"/>
      <c r="K1050" s="24" t="n"/>
      <c r="L1050" s="24" t="n"/>
      <c r="M1050" s="24" t="n"/>
      <c r="N1050" s="24" t="n"/>
      <c r="O1050" s="15">
        <f>IF(D1050="","",COUNT(F1050,H1050,J1050,L1050,N1050))</f>
        <v/>
      </c>
      <c r="P1050" s="25">
        <f>IF(D1050="","",N(E1050)*N(F1050)+N(G1050)*N(H1050)+N(I1050)*N(J1050)+N(K1050)*N(L1050)+N(M1050)*N(N1050))</f>
        <v/>
      </c>
      <c r="Q1050" s="18">
        <f>IF(N(X1050)=0,"",IF(IF(N(F1050)=0,0,IF(N(E1050)&gt;0,E1050*(1+F1050/30),F1050))=X1050,IF(N(E1050)&gt;0,E1050&amp;" x "&amp;F1050,F1050&amp;" reps"),IF(IF(N(H1050)=0,0,IF(N(G1050)&gt;0,G1050*(1+H1050/30),H1050))=X1050,IF(N(G1050)&gt;0,G1050&amp;" x "&amp;H1050,H1050&amp;" reps"),IF(IF(N(J1050)=0,0,IF(N(I1050)&gt;0,I1050*(1+J1050/30),J1050))=X1050,IF(N(I1050)&gt;0,I1050&amp;" x "&amp;J1050,J1050&amp;" reps"),IF(IF(N(L1050)=0,0,IF(N(K1050)&gt;0,K1050*(1+L1050/30),L1050))=X1050,IF(N(K1050)&gt;0,K1050&amp;" x "&amp;L1050,L1050&amp;" reps"),IF(IF(N(N1050)=0,0,IF(N(M1050)&gt;0,M1050*(1+N1050/30),N1050))=X1050,IF(N(M1050)&gt;0,M1050&amp;" x "&amp;N1050,N1050&amp;" reps"),""))))))</f>
        <v/>
      </c>
      <c r="R1050" s="20">
        <f>IF(N(X1050)=0,"",ROUND(X1050,1))</f>
        <v/>
      </c>
      <c r="S1050" s="18">
        <f>IF(N(X1050)=0,"",IF(AND(COUNTIFS(Log!$D$6:$D$1505,D1050,Log!$B$6:$B$1505,"&lt;"&amp;B1050)&gt;0,COUNTIFS(Log!$D$6:$D$1505,D1050,Log!$B$6:$B$1505,"&lt;"&amp;B1050,Log!$X$6:$X$1505,"&gt;="&amp;X1050)=0),"New best",""))</f>
        <v/>
      </c>
      <c r="T1050" s="26" t="n"/>
      <c r="U1050" s="1">
        <f>IF(D1050="","",IFERROR(INDEX(Exercises!$C$6:$C$105,MATCH(D1050,Exercises!$B$6:$B$105,0)),"Other"))</f>
        <v/>
      </c>
      <c r="V1050">
        <f>IF(B1050="","",IF(COUNTIF($B$6:B1050,B1050)=1,1,0))</f>
        <v/>
      </c>
      <c r="W1050">
        <f>IF(B1050="","",B1050-WEEKDAY(B1050,3))</f>
        <v/>
      </c>
      <c r="X1050">
        <f>IF(D1050="","",MAX(IF(N(F1050)=0,0,IF(N(E1050)&gt;0,E1050*(1+F1050/30),F1050)),IF(N(H1050)=0,0,IF(N(G1050)&gt;0,G1050*(1+H1050/30),H1050)),IF(N(J1050)=0,0,IF(N(I1050)&gt;0,I1050*(1+J1050/30),J1050)),IF(N(L1050)=0,0,IF(N(K1050)&gt;0,K1050*(1+L1050/30),L1050)),IF(N(N1050)=0,0,IF(N(M1050)&gt;0,M1050*(1+N1050/30),N1050))))</f>
        <v/>
      </c>
      <c r="Y1050">
        <f>IF(N(X1050)=0,"",X1050+ROW()/1000000000)</f>
        <v/>
      </c>
      <c r="Z1050">
        <f>IF(Y1050="","",IF(COUNTIFS(Log!$D$6:$D$1505,D1050,Log!$Y$6:$Y$1505,"&gt;"&amp;Y1050)=0,1,0))</f>
        <v/>
      </c>
      <c r="AA1050">
        <f>IF(OR(B1050="",D1050=""),"",B1050+ROW()/10000000)</f>
        <v/>
      </c>
      <c r="AB1050">
        <f>IF(AA1050="","",IF(COUNTIFS(Log!$D$6:$D$1505,D1050,Log!$AA$6:$AA$1505,"&gt;"&amp;AA1050)=0,1,0))</f>
        <v/>
      </c>
      <c r="AC1050">
        <f>IF(S1050="New best",AA1050,"")</f>
        <v/>
      </c>
      <c r="AD1050">
        <f>ROW()</f>
        <v/>
      </c>
    </row>
    <row r="1051">
      <c r="A1051" s="1" t="n"/>
      <c r="B1051" s="21" t="n"/>
      <c r="C1051" s="22" t="n"/>
      <c r="D1051" s="23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15">
        <f>IF(D1051="","",COUNT(F1051,H1051,J1051,L1051,N1051))</f>
        <v/>
      </c>
      <c r="P1051" s="25">
        <f>IF(D1051="","",N(E1051)*N(F1051)+N(G1051)*N(H1051)+N(I1051)*N(J1051)+N(K1051)*N(L1051)+N(M1051)*N(N1051))</f>
        <v/>
      </c>
      <c r="Q1051" s="18">
        <f>IF(N(X1051)=0,"",IF(IF(N(F1051)=0,0,IF(N(E1051)&gt;0,E1051*(1+F1051/30),F1051))=X1051,IF(N(E1051)&gt;0,E1051&amp;" x "&amp;F1051,F1051&amp;" reps"),IF(IF(N(H1051)=0,0,IF(N(G1051)&gt;0,G1051*(1+H1051/30),H1051))=X1051,IF(N(G1051)&gt;0,G1051&amp;" x "&amp;H1051,H1051&amp;" reps"),IF(IF(N(J1051)=0,0,IF(N(I1051)&gt;0,I1051*(1+J1051/30),J1051))=X1051,IF(N(I1051)&gt;0,I1051&amp;" x "&amp;J1051,J1051&amp;" reps"),IF(IF(N(L1051)=0,0,IF(N(K1051)&gt;0,K1051*(1+L1051/30),L1051))=X1051,IF(N(K1051)&gt;0,K1051&amp;" x "&amp;L1051,L1051&amp;" reps"),IF(IF(N(N1051)=0,0,IF(N(M1051)&gt;0,M1051*(1+N1051/30),N1051))=X1051,IF(N(M1051)&gt;0,M1051&amp;" x "&amp;N1051,N1051&amp;" reps"),""))))))</f>
        <v/>
      </c>
      <c r="R1051" s="20">
        <f>IF(N(X1051)=0,"",ROUND(X1051,1))</f>
        <v/>
      </c>
      <c r="S1051" s="18">
        <f>IF(N(X1051)=0,"",IF(AND(COUNTIFS(Log!$D$6:$D$1505,D1051,Log!$B$6:$B$1505,"&lt;"&amp;B1051)&gt;0,COUNTIFS(Log!$D$6:$D$1505,D1051,Log!$B$6:$B$1505,"&lt;"&amp;B1051,Log!$X$6:$X$1505,"&gt;="&amp;X1051)=0),"New best",""))</f>
        <v/>
      </c>
      <c r="T1051" s="26" t="n"/>
      <c r="U1051" s="1">
        <f>IF(D1051="","",IFERROR(INDEX(Exercises!$C$6:$C$105,MATCH(D1051,Exercises!$B$6:$B$105,0)),"Other"))</f>
        <v/>
      </c>
      <c r="V1051">
        <f>IF(B1051="","",IF(COUNTIF($B$6:B1051,B1051)=1,1,0))</f>
        <v/>
      </c>
      <c r="W1051">
        <f>IF(B1051="","",B1051-WEEKDAY(B1051,3))</f>
        <v/>
      </c>
      <c r="X1051">
        <f>IF(D1051="","",MAX(IF(N(F1051)=0,0,IF(N(E1051)&gt;0,E1051*(1+F1051/30),F1051)),IF(N(H1051)=0,0,IF(N(G1051)&gt;0,G1051*(1+H1051/30),H1051)),IF(N(J1051)=0,0,IF(N(I1051)&gt;0,I1051*(1+J1051/30),J1051)),IF(N(L1051)=0,0,IF(N(K1051)&gt;0,K1051*(1+L1051/30),L1051)),IF(N(N1051)=0,0,IF(N(M1051)&gt;0,M1051*(1+N1051/30),N1051))))</f>
        <v/>
      </c>
      <c r="Y1051">
        <f>IF(N(X1051)=0,"",X1051+ROW()/1000000000)</f>
        <v/>
      </c>
      <c r="Z1051">
        <f>IF(Y1051="","",IF(COUNTIFS(Log!$D$6:$D$1505,D1051,Log!$Y$6:$Y$1505,"&gt;"&amp;Y1051)=0,1,0))</f>
        <v/>
      </c>
      <c r="AA1051">
        <f>IF(OR(B1051="",D1051=""),"",B1051+ROW()/10000000)</f>
        <v/>
      </c>
      <c r="AB1051">
        <f>IF(AA1051="","",IF(COUNTIFS(Log!$D$6:$D$1505,D1051,Log!$AA$6:$AA$1505,"&gt;"&amp;AA1051)=0,1,0))</f>
        <v/>
      </c>
      <c r="AC1051">
        <f>IF(S1051="New best",AA1051,"")</f>
        <v/>
      </c>
      <c r="AD1051">
        <f>ROW()</f>
        <v/>
      </c>
    </row>
    <row r="1052">
      <c r="A1052" s="1" t="n"/>
      <c r="B1052" s="21" t="n"/>
      <c r="C1052" s="22" t="n"/>
      <c r="D1052" s="23" t="n"/>
      <c r="E1052" s="24" t="n"/>
      <c r="F1052" s="24" t="n"/>
      <c r="G1052" s="24" t="n"/>
      <c r="H1052" s="24" t="n"/>
      <c r="I1052" s="24" t="n"/>
      <c r="J1052" s="24" t="n"/>
      <c r="K1052" s="24" t="n"/>
      <c r="L1052" s="24" t="n"/>
      <c r="M1052" s="24" t="n"/>
      <c r="N1052" s="24" t="n"/>
      <c r="O1052" s="15">
        <f>IF(D1052="","",COUNT(F1052,H1052,J1052,L1052,N1052))</f>
        <v/>
      </c>
      <c r="P1052" s="25">
        <f>IF(D1052="","",N(E1052)*N(F1052)+N(G1052)*N(H1052)+N(I1052)*N(J1052)+N(K1052)*N(L1052)+N(M1052)*N(N1052))</f>
        <v/>
      </c>
      <c r="Q1052" s="18">
        <f>IF(N(X1052)=0,"",IF(IF(N(F1052)=0,0,IF(N(E1052)&gt;0,E1052*(1+F1052/30),F1052))=X1052,IF(N(E1052)&gt;0,E1052&amp;" x "&amp;F1052,F1052&amp;" reps"),IF(IF(N(H1052)=0,0,IF(N(G1052)&gt;0,G1052*(1+H1052/30),H1052))=X1052,IF(N(G1052)&gt;0,G1052&amp;" x "&amp;H1052,H1052&amp;" reps"),IF(IF(N(J1052)=0,0,IF(N(I1052)&gt;0,I1052*(1+J1052/30),J1052))=X1052,IF(N(I1052)&gt;0,I1052&amp;" x "&amp;J1052,J1052&amp;" reps"),IF(IF(N(L1052)=0,0,IF(N(K1052)&gt;0,K1052*(1+L1052/30),L1052))=X1052,IF(N(K1052)&gt;0,K1052&amp;" x "&amp;L1052,L1052&amp;" reps"),IF(IF(N(N1052)=0,0,IF(N(M1052)&gt;0,M1052*(1+N1052/30),N1052))=X1052,IF(N(M1052)&gt;0,M1052&amp;" x "&amp;N1052,N1052&amp;" reps"),""))))))</f>
        <v/>
      </c>
      <c r="R1052" s="20">
        <f>IF(N(X1052)=0,"",ROUND(X1052,1))</f>
        <v/>
      </c>
      <c r="S1052" s="18">
        <f>IF(N(X1052)=0,"",IF(AND(COUNTIFS(Log!$D$6:$D$1505,D1052,Log!$B$6:$B$1505,"&lt;"&amp;B1052)&gt;0,COUNTIFS(Log!$D$6:$D$1505,D1052,Log!$B$6:$B$1505,"&lt;"&amp;B1052,Log!$X$6:$X$1505,"&gt;="&amp;X1052)=0),"New best",""))</f>
        <v/>
      </c>
      <c r="T1052" s="26" t="n"/>
      <c r="U1052" s="1">
        <f>IF(D1052="","",IFERROR(INDEX(Exercises!$C$6:$C$105,MATCH(D1052,Exercises!$B$6:$B$105,0)),"Other"))</f>
        <v/>
      </c>
      <c r="V1052">
        <f>IF(B1052="","",IF(COUNTIF($B$6:B1052,B1052)=1,1,0))</f>
        <v/>
      </c>
      <c r="W1052">
        <f>IF(B1052="","",B1052-WEEKDAY(B1052,3))</f>
        <v/>
      </c>
      <c r="X1052">
        <f>IF(D1052="","",MAX(IF(N(F1052)=0,0,IF(N(E1052)&gt;0,E1052*(1+F1052/30),F1052)),IF(N(H1052)=0,0,IF(N(G1052)&gt;0,G1052*(1+H1052/30),H1052)),IF(N(J1052)=0,0,IF(N(I1052)&gt;0,I1052*(1+J1052/30),J1052)),IF(N(L1052)=0,0,IF(N(K1052)&gt;0,K1052*(1+L1052/30),L1052)),IF(N(N1052)=0,0,IF(N(M1052)&gt;0,M1052*(1+N1052/30),N1052))))</f>
        <v/>
      </c>
      <c r="Y1052">
        <f>IF(N(X1052)=0,"",X1052+ROW()/1000000000)</f>
        <v/>
      </c>
      <c r="Z1052">
        <f>IF(Y1052="","",IF(COUNTIFS(Log!$D$6:$D$1505,D1052,Log!$Y$6:$Y$1505,"&gt;"&amp;Y1052)=0,1,0))</f>
        <v/>
      </c>
      <c r="AA1052">
        <f>IF(OR(B1052="",D1052=""),"",B1052+ROW()/10000000)</f>
        <v/>
      </c>
      <c r="AB1052">
        <f>IF(AA1052="","",IF(COUNTIFS(Log!$D$6:$D$1505,D1052,Log!$AA$6:$AA$1505,"&gt;"&amp;AA1052)=0,1,0))</f>
        <v/>
      </c>
      <c r="AC1052">
        <f>IF(S1052="New best",AA1052,"")</f>
        <v/>
      </c>
      <c r="AD1052">
        <f>ROW()</f>
        <v/>
      </c>
    </row>
    <row r="1053">
      <c r="A1053" s="1" t="n"/>
      <c r="B1053" s="21" t="n"/>
      <c r="C1053" s="22" t="n"/>
      <c r="D1053" s="23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15">
        <f>IF(D1053="","",COUNT(F1053,H1053,J1053,L1053,N1053))</f>
        <v/>
      </c>
      <c r="P1053" s="25">
        <f>IF(D1053="","",N(E1053)*N(F1053)+N(G1053)*N(H1053)+N(I1053)*N(J1053)+N(K1053)*N(L1053)+N(M1053)*N(N1053))</f>
        <v/>
      </c>
      <c r="Q1053" s="18">
        <f>IF(N(X1053)=0,"",IF(IF(N(F1053)=0,0,IF(N(E1053)&gt;0,E1053*(1+F1053/30),F1053))=X1053,IF(N(E1053)&gt;0,E1053&amp;" x "&amp;F1053,F1053&amp;" reps"),IF(IF(N(H1053)=0,0,IF(N(G1053)&gt;0,G1053*(1+H1053/30),H1053))=X1053,IF(N(G1053)&gt;0,G1053&amp;" x "&amp;H1053,H1053&amp;" reps"),IF(IF(N(J1053)=0,0,IF(N(I1053)&gt;0,I1053*(1+J1053/30),J1053))=X1053,IF(N(I1053)&gt;0,I1053&amp;" x "&amp;J1053,J1053&amp;" reps"),IF(IF(N(L1053)=0,0,IF(N(K1053)&gt;0,K1053*(1+L1053/30),L1053))=X1053,IF(N(K1053)&gt;0,K1053&amp;" x "&amp;L1053,L1053&amp;" reps"),IF(IF(N(N1053)=0,0,IF(N(M1053)&gt;0,M1053*(1+N1053/30),N1053))=X1053,IF(N(M1053)&gt;0,M1053&amp;" x "&amp;N1053,N1053&amp;" reps"),""))))))</f>
        <v/>
      </c>
      <c r="R1053" s="20">
        <f>IF(N(X1053)=0,"",ROUND(X1053,1))</f>
        <v/>
      </c>
      <c r="S1053" s="18">
        <f>IF(N(X1053)=0,"",IF(AND(COUNTIFS(Log!$D$6:$D$1505,D1053,Log!$B$6:$B$1505,"&lt;"&amp;B1053)&gt;0,COUNTIFS(Log!$D$6:$D$1505,D1053,Log!$B$6:$B$1505,"&lt;"&amp;B1053,Log!$X$6:$X$1505,"&gt;="&amp;X1053)=0),"New best",""))</f>
        <v/>
      </c>
      <c r="T1053" s="26" t="n"/>
      <c r="U1053" s="1">
        <f>IF(D1053="","",IFERROR(INDEX(Exercises!$C$6:$C$105,MATCH(D1053,Exercises!$B$6:$B$105,0)),"Other"))</f>
        <v/>
      </c>
      <c r="V1053">
        <f>IF(B1053="","",IF(COUNTIF($B$6:B1053,B1053)=1,1,0))</f>
        <v/>
      </c>
      <c r="W1053">
        <f>IF(B1053="","",B1053-WEEKDAY(B1053,3))</f>
        <v/>
      </c>
      <c r="X1053">
        <f>IF(D1053="","",MAX(IF(N(F1053)=0,0,IF(N(E1053)&gt;0,E1053*(1+F1053/30),F1053)),IF(N(H1053)=0,0,IF(N(G1053)&gt;0,G1053*(1+H1053/30),H1053)),IF(N(J1053)=0,0,IF(N(I1053)&gt;0,I1053*(1+J1053/30),J1053)),IF(N(L1053)=0,0,IF(N(K1053)&gt;0,K1053*(1+L1053/30),L1053)),IF(N(N1053)=0,0,IF(N(M1053)&gt;0,M1053*(1+N1053/30),N1053))))</f>
        <v/>
      </c>
      <c r="Y1053">
        <f>IF(N(X1053)=0,"",X1053+ROW()/1000000000)</f>
        <v/>
      </c>
      <c r="Z1053">
        <f>IF(Y1053="","",IF(COUNTIFS(Log!$D$6:$D$1505,D1053,Log!$Y$6:$Y$1505,"&gt;"&amp;Y1053)=0,1,0))</f>
        <v/>
      </c>
      <c r="AA1053">
        <f>IF(OR(B1053="",D1053=""),"",B1053+ROW()/10000000)</f>
        <v/>
      </c>
      <c r="AB1053">
        <f>IF(AA1053="","",IF(COUNTIFS(Log!$D$6:$D$1505,D1053,Log!$AA$6:$AA$1505,"&gt;"&amp;AA1053)=0,1,0))</f>
        <v/>
      </c>
      <c r="AC1053">
        <f>IF(S1053="New best",AA1053,"")</f>
        <v/>
      </c>
      <c r="AD1053">
        <f>ROW()</f>
        <v/>
      </c>
    </row>
    <row r="1054">
      <c r="A1054" s="1" t="n"/>
      <c r="B1054" s="21" t="n"/>
      <c r="C1054" s="22" t="n"/>
      <c r="D1054" s="23" t="n"/>
      <c r="E1054" s="24" t="n"/>
      <c r="F1054" s="24" t="n"/>
      <c r="G1054" s="24" t="n"/>
      <c r="H1054" s="24" t="n"/>
      <c r="I1054" s="24" t="n"/>
      <c r="J1054" s="24" t="n"/>
      <c r="K1054" s="24" t="n"/>
      <c r="L1054" s="24" t="n"/>
      <c r="M1054" s="24" t="n"/>
      <c r="N1054" s="24" t="n"/>
      <c r="O1054" s="15">
        <f>IF(D1054="","",COUNT(F1054,H1054,J1054,L1054,N1054))</f>
        <v/>
      </c>
      <c r="P1054" s="25">
        <f>IF(D1054="","",N(E1054)*N(F1054)+N(G1054)*N(H1054)+N(I1054)*N(J1054)+N(K1054)*N(L1054)+N(M1054)*N(N1054))</f>
        <v/>
      </c>
      <c r="Q1054" s="18">
        <f>IF(N(X1054)=0,"",IF(IF(N(F1054)=0,0,IF(N(E1054)&gt;0,E1054*(1+F1054/30),F1054))=X1054,IF(N(E1054)&gt;0,E1054&amp;" x "&amp;F1054,F1054&amp;" reps"),IF(IF(N(H1054)=0,0,IF(N(G1054)&gt;0,G1054*(1+H1054/30),H1054))=X1054,IF(N(G1054)&gt;0,G1054&amp;" x "&amp;H1054,H1054&amp;" reps"),IF(IF(N(J1054)=0,0,IF(N(I1054)&gt;0,I1054*(1+J1054/30),J1054))=X1054,IF(N(I1054)&gt;0,I1054&amp;" x "&amp;J1054,J1054&amp;" reps"),IF(IF(N(L1054)=0,0,IF(N(K1054)&gt;0,K1054*(1+L1054/30),L1054))=X1054,IF(N(K1054)&gt;0,K1054&amp;" x "&amp;L1054,L1054&amp;" reps"),IF(IF(N(N1054)=0,0,IF(N(M1054)&gt;0,M1054*(1+N1054/30),N1054))=X1054,IF(N(M1054)&gt;0,M1054&amp;" x "&amp;N1054,N1054&amp;" reps"),""))))))</f>
        <v/>
      </c>
      <c r="R1054" s="20">
        <f>IF(N(X1054)=0,"",ROUND(X1054,1))</f>
        <v/>
      </c>
      <c r="S1054" s="18">
        <f>IF(N(X1054)=0,"",IF(AND(COUNTIFS(Log!$D$6:$D$1505,D1054,Log!$B$6:$B$1505,"&lt;"&amp;B1054)&gt;0,COUNTIFS(Log!$D$6:$D$1505,D1054,Log!$B$6:$B$1505,"&lt;"&amp;B1054,Log!$X$6:$X$1505,"&gt;="&amp;X1054)=0),"New best",""))</f>
        <v/>
      </c>
      <c r="T1054" s="26" t="n"/>
      <c r="U1054" s="1">
        <f>IF(D1054="","",IFERROR(INDEX(Exercises!$C$6:$C$105,MATCH(D1054,Exercises!$B$6:$B$105,0)),"Other"))</f>
        <v/>
      </c>
      <c r="V1054">
        <f>IF(B1054="","",IF(COUNTIF($B$6:B1054,B1054)=1,1,0))</f>
        <v/>
      </c>
      <c r="W1054">
        <f>IF(B1054="","",B1054-WEEKDAY(B1054,3))</f>
        <v/>
      </c>
      <c r="X1054">
        <f>IF(D1054="","",MAX(IF(N(F1054)=0,0,IF(N(E1054)&gt;0,E1054*(1+F1054/30),F1054)),IF(N(H1054)=0,0,IF(N(G1054)&gt;0,G1054*(1+H1054/30),H1054)),IF(N(J1054)=0,0,IF(N(I1054)&gt;0,I1054*(1+J1054/30),J1054)),IF(N(L1054)=0,0,IF(N(K1054)&gt;0,K1054*(1+L1054/30),L1054)),IF(N(N1054)=0,0,IF(N(M1054)&gt;0,M1054*(1+N1054/30),N1054))))</f>
        <v/>
      </c>
      <c r="Y1054">
        <f>IF(N(X1054)=0,"",X1054+ROW()/1000000000)</f>
        <v/>
      </c>
      <c r="Z1054">
        <f>IF(Y1054="","",IF(COUNTIFS(Log!$D$6:$D$1505,D1054,Log!$Y$6:$Y$1505,"&gt;"&amp;Y1054)=0,1,0))</f>
        <v/>
      </c>
      <c r="AA1054">
        <f>IF(OR(B1054="",D1054=""),"",B1054+ROW()/10000000)</f>
        <v/>
      </c>
      <c r="AB1054">
        <f>IF(AA1054="","",IF(COUNTIFS(Log!$D$6:$D$1505,D1054,Log!$AA$6:$AA$1505,"&gt;"&amp;AA1054)=0,1,0))</f>
        <v/>
      </c>
      <c r="AC1054">
        <f>IF(S1054="New best",AA1054,"")</f>
        <v/>
      </c>
      <c r="AD1054">
        <f>ROW()</f>
        <v/>
      </c>
    </row>
    <row r="1055">
      <c r="A1055" s="1" t="n"/>
      <c r="B1055" s="21" t="n"/>
      <c r="C1055" s="22" t="n"/>
      <c r="D1055" s="23" t="n"/>
      <c r="E1055" s="24" t="n"/>
      <c r="F1055" s="24" t="n"/>
      <c r="G1055" s="24" t="n"/>
      <c r="H1055" s="24" t="n"/>
      <c r="I1055" s="24" t="n"/>
      <c r="J1055" s="24" t="n"/>
      <c r="K1055" s="24" t="n"/>
      <c r="L1055" s="24" t="n"/>
      <c r="M1055" s="24" t="n"/>
      <c r="N1055" s="24" t="n"/>
      <c r="O1055" s="15">
        <f>IF(D1055="","",COUNT(F1055,H1055,J1055,L1055,N1055))</f>
        <v/>
      </c>
      <c r="P1055" s="25">
        <f>IF(D1055="","",N(E1055)*N(F1055)+N(G1055)*N(H1055)+N(I1055)*N(J1055)+N(K1055)*N(L1055)+N(M1055)*N(N1055))</f>
        <v/>
      </c>
      <c r="Q1055" s="18">
        <f>IF(N(X1055)=0,"",IF(IF(N(F1055)=0,0,IF(N(E1055)&gt;0,E1055*(1+F1055/30),F1055))=X1055,IF(N(E1055)&gt;0,E1055&amp;" x "&amp;F1055,F1055&amp;" reps"),IF(IF(N(H1055)=0,0,IF(N(G1055)&gt;0,G1055*(1+H1055/30),H1055))=X1055,IF(N(G1055)&gt;0,G1055&amp;" x "&amp;H1055,H1055&amp;" reps"),IF(IF(N(J1055)=0,0,IF(N(I1055)&gt;0,I1055*(1+J1055/30),J1055))=X1055,IF(N(I1055)&gt;0,I1055&amp;" x "&amp;J1055,J1055&amp;" reps"),IF(IF(N(L1055)=0,0,IF(N(K1055)&gt;0,K1055*(1+L1055/30),L1055))=X1055,IF(N(K1055)&gt;0,K1055&amp;" x "&amp;L1055,L1055&amp;" reps"),IF(IF(N(N1055)=0,0,IF(N(M1055)&gt;0,M1055*(1+N1055/30),N1055))=X1055,IF(N(M1055)&gt;0,M1055&amp;" x "&amp;N1055,N1055&amp;" reps"),""))))))</f>
        <v/>
      </c>
      <c r="R1055" s="20">
        <f>IF(N(X1055)=0,"",ROUND(X1055,1))</f>
        <v/>
      </c>
      <c r="S1055" s="18">
        <f>IF(N(X1055)=0,"",IF(AND(COUNTIFS(Log!$D$6:$D$1505,D1055,Log!$B$6:$B$1505,"&lt;"&amp;B1055)&gt;0,COUNTIFS(Log!$D$6:$D$1505,D1055,Log!$B$6:$B$1505,"&lt;"&amp;B1055,Log!$X$6:$X$1505,"&gt;="&amp;X1055)=0),"New best",""))</f>
        <v/>
      </c>
      <c r="T1055" s="26" t="n"/>
      <c r="U1055" s="1">
        <f>IF(D1055="","",IFERROR(INDEX(Exercises!$C$6:$C$105,MATCH(D1055,Exercises!$B$6:$B$105,0)),"Other"))</f>
        <v/>
      </c>
      <c r="V1055">
        <f>IF(B1055="","",IF(COUNTIF($B$6:B1055,B1055)=1,1,0))</f>
        <v/>
      </c>
      <c r="W1055">
        <f>IF(B1055="","",B1055-WEEKDAY(B1055,3))</f>
        <v/>
      </c>
      <c r="X1055">
        <f>IF(D1055="","",MAX(IF(N(F1055)=0,0,IF(N(E1055)&gt;0,E1055*(1+F1055/30),F1055)),IF(N(H1055)=0,0,IF(N(G1055)&gt;0,G1055*(1+H1055/30),H1055)),IF(N(J1055)=0,0,IF(N(I1055)&gt;0,I1055*(1+J1055/30),J1055)),IF(N(L1055)=0,0,IF(N(K1055)&gt;0,K1055*(1+L1055/30),L1055)),IF(N(N1055)=0,0,IF(N(M1055)&gt;0,M1055*(1+N1055/30),N1055))))</f>
        <v/>
      </c>
      <c r="Y1055">
        <f>IF(N(X1055)=0,"",X1055+ROW()/1000000000)</f>
        <v/>
      </c>
      <c r="Z1055">
        <f>IF(Y1055="","",IF(COUNTIFS(Log!$D$6:$D$1505,D1055,Log!$Y$6:$Y$1505,"&gt;"&amp;Y1055)=0,1,0))</f>
        <v/>
      </c>
      <c r="AA1055">
        <f>IF(OR(B1055="",D1055=""),"",B1055+ROW()/10000000)</f>
        <v/>
      </c>
      <c r="AB1055">
        <f>IF(AA1055="","",IF(COUNTIFS(Log!$D$6:$D$1505,D1055,Log!$AA$6:$AA$1505,"&gt;"&amp;AA1055)=0,1,0))</f>
        <v/>
      </c>
      <c r="AC1055">
        <f>IF(S1055="New best",AA1055,"")</f>
        <v/>
      </c>
      <c r="AD1055">
        <f>ROW()</f>
        <v/>
      </c>
    </row>
    <row r="1056">
      <c r="A1056" s="1" t="n"/>
      <c r="B1056" s="21" t="n"/>
      <c r="C1056" s="22" t="n"/>
      <c r="D1056" s="23" t="n"/>
      <c r="E1056" s="24" t="n"/>
      <c r="F1056" s="24" t="n"/>
      <c r="G1056" s="24" t="n"/>
      <c r="H1056" s="24" t="n"/>
      <c r="I1056" s="24" t="n"/>
      <c r="J1056" s="24" t="n"/>
      <c r="K1056" s="24" t="n"/>
      <c r="L1056" s="24" t="n"/>
      <c r="M1056" s="24" t="n"/>
      <c r="N1056" s="24" t="n"/>
      <c r="O1056" s="15">
        <f>IF(D1056="","",COUNT(F1056,H1056,J1056,L1056,N1056))</f>
        <v/>
      </c>
      <c r="P1056" s="25">
        <f>IF(D1056="","",N(E1056)*N(F1056)+N(G1056)*N(H1056)+N(I1056)*N(J1056)+N(K1056)*N(L1056)+N(M1056)*N(N1056))</f>
        <v/>
      </c>
      <c r="Q1056" s="18">
        <f>IF(N(X1056)=0,"",IF(IF(N(F1056)=0,0,IF(N(E1056)&gt;0,E1056*(1+F1056/30),F1056))=X1056,IF(N(E1056)&gt;0,E1056&amp;" x "&amp;F1056,F1056&amp;" reps"),IF(IF(N(H1056)=0,0,IF(N(G1056)&gt;0,G1056*(1+H1056/30),H1056))=X1056,IF(N(G1056)&gt;0,G1056&amp;" x "&amp;H1056,H1056&amp;" reps"),IF(IF(N(J1056)=0,0,IF(N(I1056)&gt;0,I1056*(1+J1056/30),J1056))=X1056,IF(N(I1056)&gt;0,I1056&amp;" x "&amp;J1056,J1056&amp;" reps"),IF(IF(N(L1056)=0,0,IF(N(K1056)&gt;0,K1056*(1+L1056/30),L1056))=X1056,IF(N(K1056)&gt;0,K1056&amp;" x "&amp;L1056,L1056&amp;" reps"),IF(IF(N(N1056)=0,0,IF(N(M1056)&gt;0,M1056*(1+N1056/30),N1056))=X1056,IF(N(M1056)&gt;0,M1056&amp;" x "&amp;N1056,N1056&amp;" reps"),""))))))</f>
        <v/>
      </c>
      <c r="R1056" s="20">
        <f>IF(N(X1056)=0,"",ROUND(X1056,1))</f>
        <v/>
      </c>
      <c r="S1056" s="18">
        <f>IF(N(X1056)=0,"",IF(AND(COUNTIFS(Log!$D$6:$D$1505,D1056,Log!$B$6:$B$1505,"&lt;"&amp;B1056)&gt;0,COUNTIFS(Log!$D$6:$D$1505,D1056,Log!$B$6:$B$1505,"&lt;"&amp;B1056,Log!$X$6:$X$1505,"&gt;="&amp;X1056)=0),"New best",""))</f>
        <v/>
      </c>
      <c r="T1056" s="26" t="n"/>
      <c r="U1056" s="1">
        <f>IF(D1056="","",IFERROR(INDEX(Exercises!$C$6:$C$105,MATCH(D1056,Exercises!$B$6:$B$105,0)),"Other"))</f>
        <v/>
      </c>
      <c r="V1056">
        <f>IF(B1056="","",IF(COUNTIF($B$6:B1056,B1056)=1,1,0))</f>
        <v/>
      </c>
      <c r="W1056">
        <f>IF(B1056="","",B1056-WEEKDAY(B1056,3))</f>
        <v/>
      </c>
      <c r="X1056">
        <f>IF(D1056="","",MAX(IF(N(F1056)=0,0,IF(N(E1056)&gt;0,E1056*(1+F1056/30),F1056)),IF(N(H1056)=0,0,IF(N(G1056)&gt;0,G1056*(1+H1056/30),H1056)),IF(N(J1056)=0,0,IF(N(I1056)&gt;0,I1056*(1+J1056/30),J1056)),IF(N(L1056)=0,0,IF(N(K1056)&gt;0,K1056*(1+L1056/30),L1056)),IF(N(N1056)=0,0,IF(N(M1056)&gt;0,M1056*(1+N1056/30),N1056))))</f>
        <v/>
      </c>
      <c r="Y1056">
        <f>IF(N(X1056)=0,"",X1056+ROW()/1000000000)</f>
        <v/>
      </c>
      <c r="Z1056">
        <f>IF(Y1056="","",IF(COUNTIFS(Log!$D$6:$D$1505,D1056,Log!$Y$6:$Y$1505,"&gt;"&amp;Y1056)=0,1,0))</f>
        <v/>
      </c>
      <c r="AA1056">
        <f>IF(OR(B1056="",D1056=""),"",B1056+ROW()/10000000)</f>
        <v/>
      </c>
      <c r="AB1056">
        <f>IF(AA1056="","",IF(COUNTIFS(Log!$D$6:$D$1505,D1056,Log!$AA$6:$AA$1505,"&gt;"&amp;AA1056)=0,1,0))</f>
        <v/>
      </c>
      <c r="AC1056">
        <f>IF(S1056="New best",AA1056,"")</f>
        <v/>
      </c>
      <c r="AD1056">
        <f>ROW()</f>
        <v/>
      </c>
    </row>
    <row r="1057">
      <c r="A1057" s="1" t="n"/>
      <c r="B1057" s="21" t="n"/>
      <c r="C1057" s="22" t="n"/>
      <c r="D1057" s="23" t="n"/>
      <c r="E1057" s="24" t="n"/>
      <c r="F1057" s="24" t="n"/>
      <c r="G1057" s="24" t="n"/>
      <c r="H1057" s="24" t="n"/>
      <c r="I1057" s="24" t="n"/>
      <c r="J1057" s="24" t="n"/>
      <c r="K1057" s="24" t="n"/>
      <c r="L1057" s="24" t="n"/>
      <c r="M1057" s="24" t="n"/>
      <c r="N1057" s="24" t="n"/>
      <c r="O1057" s="15">
        <f>IF(D1057="","",COUNT(F1057,H1057,J1057,L1057,N1057))</f>
        <v/>
      </c>
      <c r="P1057" s="25">
        <f>IF(D1057="","",N(E1057)*N(F1057)+N(G1057)*N(H1057)+N(I1057)*N(J1057)+N(K1057)*N(L1057)+N(M1057)*N(N1057))</f>
        <v/>
      </c>
      <c r="Q1057" s="18">
        <f>IF(N(X1057)=0,"",IF(IF(N(F1057)=0,0,IF(N(E1057)&gt;0,E1057*(1+F1057/30),F1057))=X1057,IF(N(E1057)&gt;0,E1057&amp;" x "&amp;F1057,F1057&amp;" reps"),IF(IF(N(H1057)=0,0,IF(N(G1057)&gt;0,G1057*(1+H1057/30),H1057))=X1057,IF(N(G1057)&gt;0,G1057&amp;" x "&amp;H1057,H1057&amp;" reps"),IF(IF(N(J1057)=0,0,IF(N(I1057)&gt;0,I1057*(1+J1057/30),J1057))=X1057,IF(N(I1057)&gt;0,I1057&amp;" x "&amp;J1057,J1057&amp;" reps"),IF(IF(N(L1057)=0,0,IF(N(K1057)&gt;0,K1057*(1+L1057/30),L1057))=X1057,IF(N(K1057)&gt;0,K1057&amp;" x "&amp;L1057,L1057&amp;" reps"),IF(IF(N(N1057)=0,0,IF(N(M1057)&gt;0,M1057*(1+N1057/30),N1057))=X1057,IF(N(M1057)&gt;0,M1057&amp;" x "&amp;N1057,N1057&amp;" reps"),""))))))</f>
        <v/>
      </c>
      <c r="R1057" s="20">
        <f>IF(N(X1057)=0,"",ROUND(X1057,1))</f>
        <v/>
      </c>
      <c r="S1057" s="18">
        <f>IF(N(X1057)=0,"",IF(AND(COUNTIFS(Log!$D$6:$D$1505,D1057,Log!$B$6:$B$1505,"&lt;"&amp;B1057)&gt;0,COUNTIFS(Log!$D$6:$D$1505,D1057,Log!$B$6:$B$1505,"&lt;"&amp;B1057,Log!$X$6:$X$1505,"&gt;="&amp;X1057)=0),"New best",""))</f>
        <v/>
      </c>
      <c r="T1057" s="26" t="n"/>
      <c r="U1057" s="1">
        <f>IF(D1057="","",IFERROR(INDEX(Exercises!$C$6:$C$105,MATCH(D1057,Exercises!$B$6:$B$105,0)),"Other"))</f>
        <v/>
      </c>
      <c r="V1057">
        <f>IF(B1057="","",IF(COUNTIF($B$6:B1057,B1057)=1,1,0))</f>
        <v/>
      </c>
      <c r="W1057">
        <f>IF(B1057="","",B1057-WEEKDAY(B1057,3))</f>
        <v/>
      </c>
      <c r="X1057">
        <f>IF(D1057="","",MAX(IF(N(F1057)=0,0,IF(N(E1057)&gt;0,E1057*(1+F1057/30),F1057)),IF(N(H1057)=0,0,IF(N(G1057)&gt;0,G1057*(1+H1057/30),H1057)),IF(N(J1057)=0,0,IF(N(I1057)&gt;0,I1057*(1+J1057/30),J1057)),IF(N(L1057)=0,0,IF(N(K1057)&gt;0,K1057*(1+L1057/30),L1057)),IF(N(N1057)=0,0,IF(N(M1057)&gt;0,M1057*(1+N1057/30),N1057))))</f>
        <v/>
      </c>
      <c r="Y1057">
        <f>IF(N(X1057)=0,"",X1057+ROW()/1000000000)</f>
        <v/>
      </c>
      <c r="Z1057">
        <f>IF(Y1057="","",IF(COUNTIFS(Log!$D$6:$D$1505,D1057,Log!$Y$6:$Y$1505,"&gt;"&amp;Y1057)=0,1,0))</f>
        <v/>
      </c>
      <c r="AA1057">
        <f>IF(OR(B1057="",D1057=""),"",B1057+ROW()/10000000)</f>
        <v/>
      </c>
      <c r="AB1057">
        <f>IF(AA1057="","",IF(COUNTIFS(Log!$D$6:$D$1505,D1057,Log!$AA$6:$AA$1505,"&gt;"&amp;AA1057)=0,1,0))</f>
        <v/>
      </c>
      <c r="AC1057">
        <f>IF(S1057="New best",AA1057,"")</f>
        <v/>
      </c>
      <c r="AD1057">
        <f>ROW()</f>
        <v/>
      </c>
    </row>
    <row r="1058">
      <c r="A1058" s="1" t="n"/>
      <c r="B1058" s="21" t="n"/>
      <c r="C1058" s="22" t="n"/>
      <c r="D1058" s="23" t="n"/>
      <c r="E1058" s="24" t="n"/>
      <c r="F1058" s="24" t="n"/>
      <c r="G1058" s="24" t="n"/>
      <c r="H1058" s="24" t="n"/>
      <c r="I1058" s="24" t="n"/>
      <c r="J1058" s="24" t="n"/>
      <c r="K1058" s="24" t="n"/>
      <c r="L1058" s="24" t="n"/>
      <c r="M1058" s="24" t="n"/>
      <c r="N1058" s="24" t="n"/>
      <c r="O1058" s="15">
        <f>IF(D1058="","",COUNT(F1058,H1058,J1058,L1058,N1058))</f>
        <v/>
      </c>
      <c r="P1058" s="25">
        <f>IF(D1058="","",N(E1058)*N(F1058)+N(G1058)*N(H1058)+N(I1058)*N(J1058)+N(K1058)*N(L1058)+N(M1058)*N(N1058))</f>
        <v/>
      </c>
      <c r="Q1058" s="18">
        <f>IF(N(X1058)=0,"",IF(IF(N(F1058)=0,0,IF(N(E1058)&gt;0,E1058*(1+F1058/30),F1058))=X1058,IF(N(E1058)&gt;0,E1058&amp;" x "&amp;F1058,F1058&amp;" reps"),IF(IF(N(H1058)=0,0,IF(N(G1058)&gt;0,G1058*(1+H1058/30),H1058))=X1058,IF(N(G1058)&gt;0,G1058&amp;" x "&amp;H1058,H1058&amp;" reps"),IF(IF(N(J1058)=0,0,IF(N(I1058)&gt;0,I1058*(1+J1058/30),J1058))=X1058,IF(N(I1058)&gt;0,I1058&amp;" x "&amp;J1058,J1058&amp;" reps"),IF(IF(N(L1058)=0,0,IF(N(K1058)&gt;0,K1058*(1+L1058/30),L1058))=X1058,IF(N(K1058)&gt;0,K1058&amp;" x "&amp;L1058,L1058&amp;" reps"),IF(IF(N(N1058)=0,0,IF(N(M1058)&gt;0,M1058*(1+N1058/30),N1058))=X1058,IF(N(M1058)&gt;0,M1058&amp;" x "&amp;N1058,N1058&amp;" reps"),""))))))</f>
        <v/>
      </c>
      <c r="R1058" s="20">
        <f>IF(N(X1058)=0,"",ROUND(X1058,1))</f>
        <v/>
      </c>
      <c r="S1058" s="18">
        <f>IF(N(X1058)=0,"",IF(AND(COUNTIFS(Log!$D$6:$D$1505,D1058,Log!$B$6:$B$1505,"&lt;"&amp;B1058)&gt;0,COUNTIFS(Log!$D$6:$D$1505,D1058,Log!$B$6:$B$1505,"&lt;"&amp;B1058,Log!$X$6:$X$1505,"&gt;="&amp;X1058)=0),"New best",""))</f>
        <v/>
      </c>
      <c r="T1058" s="26" t="n"/>
      <c r="U1058" s="1">
        <f>IF(D1058="","",IFERROR(INDEX(Exercises!$C$6:$C$105,MATCH(D1058,Exercises!$B$6:$B$105,0)),"Other"))</f>
        <v/>
      </c>
      <c r="V1058">
        <f>IF(B1058="","",IF(COUNTIF($B$6:B1058,B1058)=1,1,0))</f>
        <v/>
      </c>
      <c r="W1058">
        <f>IF(B1058="","",B1058-WEEKDAY(B1058,3))</f>
        <v/>
      </c>
      <c r="X1058">
        <f>IF(D1058="","",MAX(IF(N(F1058)=0,0,IF(N(E1058)&gt;0,E1058*(1+F1058/30),F1058)),IF(N(H1058)=0,0,IF(N(G1058)&gt;0,G1058*(1+H1058/30),H1058)),IF(N(J1058)=0,0,IF(N(I1058)&gt;0,I1058*(1+J1058/30),J1058)),IF(N(L1058)=0,0,IF(N(K1058)&gt;0,K1058*(1+L1058/30),L1058)),IF(N(N1058)=0,0,IF(N(M1058)&gt;0,M1058*(1+N1058/30),N1058))))</f>
        <v/>
      </c>
      <c r="Y1058">
        <f>IF(N(X1058)=0,"",X1058+ROW()/1000000000)</f>
        <v/>
      </c>
      <c r="Z1058">
        <f>IF(Y1058="","",IF(COUNTIFS(Log!$D$6:$D$1505,D1058,Log!$Y$6:$Y$1505,"&gt;"&amp;Y1058)=0,1,0))</f>
        <v/>
      </c>
      <c r="AA1058">
        <f>IF(OR(B1058="",D1058=""),"",B1058+ROW()/10000000)</f>
        <v/>
      </c>
      <c r="AB1058">
        <f>IF(AA1058="","",IF(COUNTIFS(Log!$D$6:$D$1505,D1058,Log!$AA$6:$AA$1505,"&gt;"&amp;AA1058)=0,1,0))</f>
        <v/>
      </c>
      <c r="AC1058">
        <f>IF(S1058="New best",AA1058,"")</f>
        <v/>
      </c>
      <c r="AD1058">
        <f>ROW()</f>
        <v/>
      </c>
    </row>
    <row r="1059">
      <c r="A1059" s="1" t="n"/>
      <c r="B1059" s="21" t="n"/>
      <c r="C1059" s="22" t="n"/>
      <c r="D1059" s="23" t="n"/>
      <c r="E1059" s="24" t="n"/>
      <c r="F1059" s="24" t="n"/>
      <c r="G1059" s="24" t="n"/>
      <c r="H1059" s="24" t="n"/>
      <c r="I1059" s="24" t="n"/>
      <c r="J1059" s="24" t="n"/>
      <c r="K1059" s="24" t="n"/>
      <c r="L1059" s="24" t="n"/>
      <c r="M1059" s="24" t="n"/>
      <c r="N1059" s="24" t="n"/>
      <c r="O1059" s="15">
        <f>IF(D1059="","",COUNT(F1059,H1059,J1059,L1059,N1059))</f>
        <v/>
      </c>
      <c r="P1059" s="25">
        <f>IF(D1059="","",N(E1059)*N(F1059)+N(G1059)*N(H1059)+N(I1059)*N(J1059)+N(K1059)*N(L1059)+N(M1059)*N(N1059))</f>
        <v/>
      </c>
      <c r="Q1059" s="18">
        <f>IF(N(X1059)=0,"",IF(IF(N(F1059)=0,0,IF(N(E1059)&gt;0,E1059*(1+F1059/30),F1059))=X1059,IF(N(E1059)&gt;0,E1059&amp;" x "&amp;F1059,F1059&amp;" reps"),IF(IF(N(H1059)=0,0,IF(N(G1059)&gt;0,G1059*(1+H1059/30),H1059))=X1059,IF(N(G1059)&gt;0,G1059&amp;" x "&amp;H1059,H1059&amp;" reps"),IF(IF(N(J1059)=0,0,IF(N(I1059)&gt;0,I1059*(1+J1059/30),J1059))=X1059,IF(N(I1059)&gt;0,I1059&amp;" x "&amp;J1059,J1059&amp;" reps"),IF(IF(N(L1059)=0,0,IF(N(K1059)&gt;0,K1059*(1+L1059/30),L1059))=X1059,IF(N(K1059)&gt;0,K1059&amp;" x "&amp;L1059,L1059&amp;" reps"),IF(IF(N(N1059)=0,0,IF(N(M1059)&gt;0,M1059*(1+N1059/30),N1059))=X1059,IF(N(M1059)&gt;0,M1059&amp;" x "&amp;N1059,N1059&amp;" reps"),""))))))</f>
        <v/>
      </c>
      <c r="R1059" s="20">
        <f>IF(N(X1059)=0,"",ROUND(X1059,1))</f>
        <v/>
      </c>
      <c r="S1059" s="18">
        <f>IF(N(X1059)=0,"",IF(AND(COUNTIFS(Log!$D$6:$D$1505,D1059,Log!$B$6:$B$1505,"&lt;"&amp;B1059)&gt;0,COUNTIFS(Log!$D$6:$D$1505,D1059,Log!$B$6:$B$1505,"&lt;"&amp;B1059,Log!$X$6:$X$1505,"&gt;="&amp;X1059)=0),"New best",""))</f>
        <v/>
      </c>
      <c r="T1059" s="26" t="n"/>
      <c r="U1059" s="1">
        <f>IF(D1059="","",IFERROR(INDEX(Exercises!$C$6:$C$105,MATCH(D1059,Exercises!$B$6:$B$105,0)),"Other"))</f>
        <v/>
      </c>
      <c r="V1059">
        <f>IF(B1059="","",IF(COUNTIF($B$6:B1059,B1059)=1,1,0))</f>
        <v/>
      </c>
      <c r="W1059">
        <f>IF(B1059="","",B1059-WEEKDAY(B1059,3))</f>
        <v/>
      </c>
      <c r="X1059">
        <f>IF(D1059="","",MAX(IF(N(F1059)=0,0,IF(N(E1059)&gt;0,E1059*(1+F1059/30),F1059)),IF(N(H1059)=0,0,IF(N(G1059)&gt;0,G1059*(1+H1059/30),H1059)),IF(N(J1059)=0,0,IF(N(I1059)&gt;0,I1059*(1+J1059/30),J1059)),IF(N(L1059)=0,0,IF(N(K1059)&gt;0,K1059*(1+L1059/30),L1059)),IF(N(N1059)=0,0,IF(N(M1059)&gt;0,M1059*(1+N1059/30),N1059))))</f>
        <v/>
      </c>
      <c r="Y1059">
        <f>IF(N(X1059)=0,"",X1059+ROW()/1000000000)</f>
        <v/>
      </c>
      <c r="Z1059">
        <f>IF(Y1059="","",IF(COUNTIFS(Log!$D$6:$D$1505,D1059,Log!$Y$6:$Y$1505,"&gt;"&amp;Y1059)=0,1,0))</f>
        <v/>
      </c>
      <c r="AA1059">
        <f>IF(OR(B1059="",D1059=""),"",B1059+ROW()/10000000)</f>
        <v/>
      </c>
      <c r="AB1059">
        <f>IF(AA1059="","",IF(COUNTIFS(Log!$D$6:$D$1505,D1059,Log!$AA$6:$AA$1505,"&gt;"&amp;AA1059)=0,1,0))</f>
        <v/>
      </c>
      <c r="AC1059">
        <f>IF(S1059="New best",AA1059,"")</f>
        <v/>
      </c>
      <c r="AD1059">
        <f>ROW()</f>
        <v/>
      </c>
    </row>
    <row r="1060">
      <c r="A1060" s="1" t="n"/>
      <c r="B1060" s="21" t="n"/>
      <c r="C1060" s="22" t="n"/>
      <c r="D1060" s="23" t="n"/>
      <c r="E1060" s="24" t="n"/>
      <c r="F1060" s="24" t="n"/>
      <c r="G1060" s="24" t="n"/>
      <c r="H1060" s="24" t="n"/>
      <c r="I1060" s="24" t="n"/>
      <c r="J1060" s="24" t="n"/>
      <c r="K1060" s="24" t="n"/>
      <c r="L1060" s="24" t="n"/>
      <c r="M1060" s="24" t="n"/>
      <c r="N1060" s="24" t="n"/>
      <c r="O1060" s="15">
        <f>IF(D1060="","",COUNT(F1060,H1060,J1060,L1060,N1060))</f>
        <v/>
      </c>
      <c r="P1060" s="25">
        <f>IF(D1060="","",N(E1060)*N(F1060)+N(G1060)*N(H1060)+N(I1060)*N(J1060)+N(K1060)*N(L1060)+N(M1060)*N(N1060))</f>
        <v/>
      </c>
      <c r="Q1060" s="18">
        <f>IF(N(X1060)=0,"",IF(IF(N(F1060)=0,0,IF(N(E1060)&gt;0,E1060*(1+F1060/30),F1060))=X1060,IF(N(E1060)&gt;0,E1060&amp;" x "&amp;F1060,F1060&amp;" reps"),IF(IF(N(H1060)=0,0,IF(N(G1060)&gt;0,G1060*(1+H1060/30),H1060))=X1060,IF(N(G1060)&gt;0,G1060&amp;" x "&amp;H1060,H1060&amp;" reps"),IF(IF(N(J1060)=0,0,IF(N(I1060)&gt;0,I1060*(1+J1060/30),J1060))=X1060,IF(N(I1060)&gt;0,I1060&amp;" x "&amp;J1060,J1060&amp;" reps"),IF(IF(N(L1060)=0,0,IF(N(K1060)&gt;0,K1060*(1+L1060/30),L1060))=X1060,IF(N(K1060)&gt;0,K1060&amp;" x "&amp;L1060,L1060&amp;" reps"),IF(IF(N(N1060)=0,0,IF(N(M1060)&gt;0,M1060*(1+N1060/30),N1060))=X1060,IF(N(M1060)&gt;0,M1060&amp;" x "&amp;N1060,N1060&amp;" reps"),""))))))</f>
        <v/>
      </c>
      <c r="R1060" s="20">
        <f>IF(N(X1060)=0,"",ROUND(X1060,1))</f>
        <v/>
      </c>
      <c r="S1060" s="18">
        <f>IF(N(X1060)=0,"",IF(AND(COUNTIFS(Log!$D$6:$D$1505,D1060,Log!$B$6:$B$1505,"&lt;"&amp;B1060)&gt;0,COUNTIFS(Log!$D$6:$D$1505,D1060,Log!$B$6:$B$1505,"&lt;"&amp;B1060,Log!$X$6:$X$1505,"&gt;="&amp;X1060)=0),"New best",""))</f>
        <v/>
      </c>
      <c r="T1060" s="26" t="n"/>
      <c r="U1060" s="1">
        <f>IF(D1060="","",IFERROR(INDEX(Exercises!$C$6:$C$105,MATCH(D1060,Exercises!$B$6:$B$105,0)),"Other"))</f>
        <v/>
      </c>
      <c r="V1060">
        <f>IF(B1060="","",IF(COUNTIF($B$6:B1060,B1060)=1,1,0))</f>
        <v/>
      </c>
      <c r="W1060">
        <f>IF(B1060="","",B1060-WEEKDAY(B1060,3))</f>
        <v/>
      </c>
      <c r="X1060">
        <f>IF(D1060="","",MAX(IF(N(F1060)=0,0,IF(N(E1060)&gt;0,E1060*(1+F1060/30),F1060)),IF(N(H1060)=0,0,IF(N(G1060)&gt;0,G1060*(1+H1060/30),H1060)),IF(N(J1060)=0,0,IF(N(I1060)&gt;0,I1060*(1+J1060/30),J1060)),IF(N(L1060)=0,0,IF(N(K1060)&gt;0,K1060*(1+L1060/30),L1060)),IF(N(N1060)=0,0,IF(N(M1060)&gt;0,M1060*(1+N1060/30),N1060))))</f>
        <v/>
      </c>
      <c r="Y1060">
        <f>IF(N(X1060)=0,"",X1060+ROW()/1000000000)</f>
        <v/>
      </c>
      <c r="Z1060">
        <f>IF(Y1060="","",IF(COUNTIFS(Log!$D$6:$D$1505,D1060,Log!$Y$6:$Y$1505,"&gt;"&amp;Y1060)=0,1,0))</f>
        <v/>
      </c>
      <c r="AA1060">
        <f>IF(OR(B1060="",D1060=""),"",B1060+ROW()/10000000)</f>
        <v/>
      </c>
      <c r="AB1060">
        <f>IF(AA1060="","",IF(COUNTIFS(Log!$D$6:$D$1505,D1060,Log!$AA$6:$AA$1505,"&gt;"&amp;AA1060)=0,1,0))</f>
        <v/>
      </c>
      <c r="AC1060">
        <f>IF(S1060="New best",AA1060,"")</f>
        <v/>
      </c>
      <c r="AD1060">
        <f>ROW()</f>
        <v/>
      </c>
    </row>
    <row r="1061">
      <c r="A1061" s="1" t="n"/>
      <c r="B1061" s="21" t="n"/>
      <c r="C1061" s="22" t="n"/>
      <c r="D1061" s="23" t="n"/>
      <c r="E1061" s="24" t="n"/>
      <c r="F1061" s="24" t="n"/>
      <c r="G1061" s="24" t="n"/>
      <c r="H1061" s="24" t="n"/>
      <c r="I1061" s="24" t="n"/>
      <c r="J1061" s="24" t="n"/>
      <c r="K1061" s="24" t="n"/>
      <c r="L1061" s="24" t="n"/>
      <c r="M1061" s="24" t="n"/>
      <c r="N1061" s="24" t="n"/>
      <c r="O1061" s="15">
        <f>IF(D1061="","",COUNT(F1061,H1061,J1061,L1061,N1061))</f>
        <v/>
      </c>
      <c r="P1061" s="25">
        <f>IF(D1061="","",N(E1061)*N(F1061)+N(G1061)*N(H1061)+N(I1061)*N(J1061)+N(K1061)*N(L1061)+N(M1061)*N(N1061))</f>
        <v/>
      </c>
      <c r="Q1061" s="18">
        <f>IF(N(X1061)=0,"",IF(IF(N(F1061)=0,0,IF(N(E1061)&gt;0,E1061*(1+F1061/30),F1061))=X1061,IF(N(E1061)&gt;0,E1061&amp;" x "&amp;F1061,F1061&amp;" reps"),IF(IF(N(H1061)=0,0,IF(N(G1061)&gt;0,G1061*(1+H1061/30),H1061))=X1061,IF(N(G1061)&gt;0,G1061&amp;" x "&amp;H1061,H1061&amp;" reps"),IF(IF(N(J1061)=0,0,IF(N(I1061)&gt;0,I1061*(1+J1061/30),J1061))=X1061,IF(N(I1061)&gt;0,I1061&amp;" x "&amp;J1061,J1061&amp;" reps"),IF(IF(N(L1061)=0,0,IF(N(K1061)&gt;0,K1061*(1+L1061/30),L1061))=X1061,IF(N(K1061)&gt;0,K1061&amp;" x "&amp;L1061,L1061&amp;" reps"),IF(IF(N(N1061)=0,0,IF(N(M1061)&gt;0,M1061*(1+N1061/30),N1061))=X1061,IF(N(M1061)&gt;0,M1061&amp;" x "&amp;N1061,N1061&amp;" reps"),""))))))</f>
        <v/>
      </c>
      <c r="R1061" s="20">
        <f>IF(N(X1061)=0,"",ROUND(X1061,1))</f>
        <v/>
      </c>
      <c r="S1061" s="18">
        <f>IF(N(X1061)=0,"",IF(AND(COUNTIFS(Log!$D$6:$D$1505,D1061,Log!$B$6:$B$1505,"&lt;"&amp;B1061)&gt;0,COUNTIFS(Log!$D$6:$D$1505,D1061,Log!$B$6:$B$1505,"&lt;"&amp;B1061,Log!$X$6:$X$1505,"&gt;="&amp;X1061)=0),"New best",""))</f>
        <v/>
      </c>
      <c r="T1061" s="26" t="n"/>
      <c r="U1061" s="1">
        <f>IF(D1061="","",IFERROR(INDEX(Exercises!$C$6:$C$105,MATCH(D1061,Exercises!$B$6:$B$105,0)),"Other"))</f>
        <v/>
      </c>
      <c r="V1061">
        <f>IF(B1061="","",IF(COUNTIF($B$6:B1061,B1061)=1,1,0))</f>
        <v/>
      </c>
      <c r="W1061">
        <f>IF(B1061="","",B1061-WEEKDAY(B1061,3))</f>
        <v/>
      </c>
      <c r="X1061">
        <f>IF(D1061="","",MAX(IF(N(F1061)=0,0,IF(N(E1061)&gt;0,E1061*(1+F1061/30),F1061)),IF(N(H1061)=0,0,IF(N(G1061)&gt;0,G1061*(1+H1061/30),H1061)),IF(N(J1061)=0,0,IF(N(I1061)&gt;0,I1061*(1+J1061/30),J1061)),IF(N(L1061)=0,0,IF(N(K1061)&gt;0,K1061*(1+L1061/30),L1061)),IF(N(N1061)=0,0,IF(N(M1061)&gt;0,M1061*(1+N1061/30),N1061))))</f>
        <v/>
      </c>
      <c r="Y1061">
        <f>IF(N(X1061)=0,"",X1061+ROW()/1000000000)</f>
        <v/>
      </c>
      <c r="Z1061">
        <f>IF(Y1061="","",IF(COUNTIFS(Log!$D$6:$D$1505,D1061,Log!$Y$6:$Y$1505,"&gt;"&amp;Y1061)=0,1,0))</f>
        <v/>
      </c>
      <c r="AA1061">
        <f>IF(OR(B1061="",D1061=""),"",B1061+ROW()/10000000)</f>
        <v/>
      </c>
      <c r="AB1061">
        <f>IF(AA1061="","",IF(COUNTIFS(Log!$D$6:$D$1505,D1061,Log!$AA$6:$AA$1505,"&gt;"&amp;AA1061)=0,1,0))</f>
        <v/>
      </c>
      <c r="AC1061">
        <f>IF(S1061="New best",AA1061,"")</f>
        <v/>
      </c>
      <c r="AD1061">
        <f>ROW()</f>
        <v/>
      </c>
    </row>
    <row r="1062">
      <c r="A1062" s="1" t="n"/>
      <c r="B1062" s="21" t="n"/>
      <c r="C1062" s="22" t="n"/>
      <c r="D1062" s="23" t="n"/>
      <c r="E1062" s="24" t="n"/>
      <c r="F1062" s="24" t="n"/>
      <c r="G1062" s="24" t="n"/>
      <c r="H1062" s="24" t="n"/>
      <c r="I1062" s="24" t="n"/>
      <c r="J1062" s="24" t="n"/>
      <c r="K1062" s="24" t="n"/>
      <c r="L1062" s="24" t="n"/>
      <c r="M1062" s="24" t="n"/>
      <c r="N1062" s="24" t="n"/>
      <c r="O1062" s="15">
        <f>IF(D1062="","",COUNT(F1062,H1062,J1062,L1062,N1062))</f>
        <v/>
      </c>
      <c r="P1062" s="25">
        <f>IF(D1062="","",N(E1062)*N(F1062)+N(G1062)*N(H1062)+N(I1062)*N(J1062)+N(K1062)*N(L1062)+N(M1062)*N(N1062))</f>
        <v/>
      </c>
      <c r="Q1062" s="18">
        <f>IF(N(X1062)=0,"",IF(IF(N(F1062)=0,0,IF(N(E1062)&gt;0,E1062*(1+F1062/30),F1062))=X1062,IF(N(E1062)&gt;0,E1062&amp;" x "&amp;F1062,F1062&amp;" reps"),IF(IF(N(H1062)=0,0,IF(N(G1062)&gt;0,G1062*(1+H1062/30),H1062))=X1062,IF(N(G1062)&gt;0,G1062&amp;" x "&amp;H1062,H1062&amp;" reps"),IF(IF(N(J1062)=0,0,IF(N(I1062)&gt;0,I1062*(1+J1062/30),J1062))=X1062,IF(N(I1062)&gt;0,I1062&amp;" x "&amp;J1062,J1062&amp;" reps"),IF(IF(N(L1062)=0,0,IF(N(K1062)&gt;0,K1062*(1+L1062/30),L1062))=X1062,IF(N(K1062)&gt;0,K1062&amp;" x "&amp;L1062,L1062&amp;" reps"),IF(IF(N(N1062)=0,0,IF(N(M1062)&gt;0,M1062*(1+N1062/30),N1062))=X1062,IF(N(M1062)&gt;0,M1062&amp;" x "&amp;N1062,N1062&amp;" reps"),""))))))</f>
        <v/>
      </c>
      <c r="R1062" s="20">
        <f>IF(N(X1062)=0,"",ROUND(X1062,1))</f>
        <v/>
      </c>
      <c r="S1062" s="18">
        <f>IF(N(X1062)=0,"",IF(AND(COUNTIFS(Log!$D$6:$D$1505,D1062,Log!$B$6:$B$1505,"&lt;"&amp;B1062)&gt;0,COUNTIFS(Log!$D$6:$D$1505,D1062,Log!$B$6:$B$1505,"&lt;"&amp;B1062,Log!$X$6:$X$1505,"&gt;="&amp;X1062)=0),"New best",""))</f>
        <v/>
      </c>
      <c r="T1062" s="26" t="n"/>
      <c r="U1062" s="1">
        <f>IF(D1062="","",IFERROR(INDEX(Exercises!$C$6:$C$105,MATCH(D1062,Exercises!$B$6:$B$105,0)),"Other"))</f>
        <v/>
      </c>
      <c r="V1062">
        <f>IF(B1062="","",IF(COUNTIF($B$6:B1062,B1062)=1,1,0))</f>
        <v/>
      </c>
      <c r="W1062">
        <f>IF(B1062="","",B1062-WEEKDAY(B1062,3))</f>
        <v/>
      </c>
      <c r="X1062">
        <f>IF(D1062="","",MAX(IF(N(F1062)=0,0,IF(N(E1062)&gt;0,E1062*(1+F1062/30),F1062)),IF(N(H1062)=0,0,IF(N(G1062)&gt;0,G1062*(1+H1062/30),H1062)),IF(N(J1062)=0,0,IF(N(I1062)&gt;0,I1062*(1+J1062/30),J1062)),IF(N(L1062)=0,0,IF(N(K1062)&gt;0,K1062*(1+L1062/30),L1062)),IF(N(N1062)=0,0,IF(N(M1062)&gt;0,M1062*(1+N1062/30),N1062))))</f>
        <v/>
      </c>
      <c r="Y1062">
        <f>IF(N(X1062)=0,"",X1062+ROW()/1000000000)</f>
        <v/>
      </c>
      <c r="Z1062">
        <f>IF(Y1062="","",IF(COUNTIFS(Log!$D$6:$D$1505,D1062,Log!$Y$6:$Y$1505,"&gt;"&amp;Y1062)=0,1,0))</f>
        <v/>
      </c>
      <c r="AA1062">
        <f>IF(OR(B1062="",D1062=""),"",B1062+ROW()/10000000)</f>
        <v/>
      </c>
      <c r="AB1062">
        <f>IF(AA1062="","",IF(COUNTIFS(Log!$D$6:$D$1505,D1062,Log!$AA$6:$AA$1505,"&gt;"&amp;AA1062)=0,1,0))</f>
        <v/>
      </c>
      <c r="AC1062">
        <f>IF(S1062="New best",AA1062,"")</f>
        <v/>
      </c>
      <c r="AD1062">
        <f>ROW()</f>
        <v/>
      </c>
    </row>
    <row r="1063">
      <c r="A1063" s="1" t="n"/>
      <c r="B1063" s="21" t="n"/>
      <c r="C1063" s="22" t="n"/>
      <c r="D1063" s="23" t="n"/>
      <c r="E1063" s="24" t="n"/>
      <c r="F1063" s="24" t="n"/>
      <c r="G1063" s="24" t="n"/>
      <c r="H1063" s="24" t="n"/>
      <c r="I1063" s="24" t="n"/>
      <c r="J1063" s="24" t="n"/>
      <c r="K1063" s="24" t="n"/>
      <c r="L1063" s="24" t="n"/>
      <c r="M1063" s="24" t="n"/>
      <c r="N1063" s="24" t="n"/>
      <c r="O1063" s="15">
        <f>IF(D1063="","",COUNT(F1063,H1063,J1063,L1063,N1063))</f>
        <v/>
      </c>
      <c r="P1063" s="25">
        <f>IF(D1063="","",N(E1063)*N(F1063)+N(G1063)*N(H1063)+N(I1063)*N(J1063)+N(K1063)*N(L1063)+N(M1063)*N(N1063))</f>
        <v/>
      </c>
      <c r="Q1063" s="18">
        <f>IF(N(X1063)=0,"",IF(IF(N(F1063)=0,0,IF(N(E1063)&gt;0,E1063*(1+F1063/30),F1063))=X1063,IF(N(E1063)&gt;0,E1063&amp;" x "&amp;F1063,F1063&amp;" reps"),IF(IF(N(H1063)=0,0,IF(N(G1063)&gt;0,G1063*(1+H1063/30),H1063))=X1063,IF(N(G1063)&gt;0,G1063&amp;" x "&amp;H1063,H1063&amp;" reps"),IF(IF(N(J1063)=0,0,IF(N(I1063)&gt;0,I1063*(1+J1063/30),J1063))=X1063,IF(N(I1063)&gt;0,I1063&amp;" x "&amp;J1063,J1063&amp;" reps"),IF(IF(N(L1063)=0,0,IF(N(K1063)&gt;0,K1063*(1+L1063/30),L1063))=X1063,IF(N(K1063)&gt;0,K1063&amp;" x "&amp;L1063,L1063&amp;" reps"),IF(IF(N(N1063)=0,0,IF(N(M1063)&gt;0,M1063*(1+N1063/30),N1063))=X1063,IF(N(M1063)&gt;0,M1063&amp;" x "&amp;N1063,N1063&amp;" reps"),""))))))</f>
        <v/>
      </c>
      <c r="R1063" s="20">
        <f>IF(N(X1063)=0,"",ROUND(X1063,1))</f>
        <v/>
      </c>
      <c r="S1063" s="18">
        <f>IF(N(X1063)=0,"",IF(AND(COUNTIFS(Log!$D$6:$D$1505,D1063,Log!$B$6:$B$1505,"&lt;"&amp;B1063)&gt;0,COUNTIFS(Log!$D$6:$D$1505,D1063,Log!$B$6:$B$1505,"&lt;"&amp;B1063,Log!$X$6:$X$1505,"&gt;="&amp;X1063)=0),"New best",""))</f>
        <v/>
      </c>
      <c r="T1063" s="26" t="n"/>
      <c r="U1063" s="1">
        <f>IF(D1063="","",IFERROR(INDEX(Exercises!$C$6:$C$105,MATCH(D1063,Exercises!$B$6:$B$105,0)),"Other"))</f>
        <v/>
      </c>
      <c r="V1063">
        <f>IF(B1063="","",IF(COUNTIF($B$6:B1063,B1063)=1,1,0))</f>
        <v/>
      </c>
      <c r="W1063">
        <f>IF(B1063="","",B1063-WEEKDAY(B1063,3))</f>
        <v/>
      </c>
      <c r="X1063">
        <f>IF(D1063="","",MAX(IF(N(F1063)=0,0,IF(N(E1063)&gt;0,E1063*(1+F1063/30),F1063)),IF(N(H1063)=0,0,IF(N(G1063)&gt;0,G1063*(1+H1063/30),H1063)),IF(N(J1063)=0,0,IF(N(I1063)&gt;0,I1063*(1+J1063/30),J1063)),IF(N(L1063)=0,0,IF(N(K1063)&gt;0,K1063*(1+L1063/30),L1063)),IF(N(N1063)=0,0,IF(N(M1063)&gt;0,M1063*(1+N1063/30),N1063))))</f>
        <v/>
      </c>
      <c r="Y1063">
        <f>IF(N(X1063)=0,"",X1063+ROW()/1000000000)</f>
        <v/>
      </c>
      <c r="Z1063">
        <f>IF(Y1063="","",IF(COUNTIFS(Log!$D$6:$D$1505,D1063,Log!$Y$6:$Y$1505,"&gt;"&amp;Y1063)=0,1,0))</f>
        <v/>
      </c>
      <c r="AA1063">
        <f>IF(OR(B1063="",D1063=""),"",B1063+ROW()/10000000)</f>
        <v/>
      </c>
      <c r="AB1063">
        <f>IF(AA1063="","",IF(COUNTIFS(Log!$D$6:$D$1505,D1063,Log!$AA$6:$AA$1505,"&gt;"&amp;AA1063)=0,1,0))</f>
        <v/>
      </c>
      <c r="AC1063">
        <f>IF(S1063="New best",AA1063,"")</f>
        <v/>
      </c>
      <c r="AD1063">
        <f>ROW()</f>
        <v/>
      </c>
    </row>
    <row r="1064">
      <c r="A1064" s="1" t="n"/>
      <c r="B1064" s="21" t="n"/>
      <c r="C1064" s="22" t="n"/>
      <c r="D1064" s="23" t="n"/>
      <c r="E1064" s="24" t="n"/>
      <c r="F1064" s="24" t="n"/>
      <c r="G1064" s="24" t="n"/>
      <c r="H1064" s="24" t="n"/>
      <c r="I1064" s="24" t="n"/>
      <c r="J1064" s="24" t="n"/>
      <c r="K1064" s="24" t="n"/>
      <c r="L1064" s="24" t="n"/>
      <c r="M1064" s="24" t="n"/>
      <c r="N1064" s="24" t="n"/>
      <c r="O1064" s="15">
        <f>IF(D1064="","",COUNT(F1064,H1064,J1064,L1064,N1064))</f>
        <v/>
      </c>
      <c r="P1064" s="25">
        <f>IF(D1064="","",N(E1064)*N(F1064)+N(G1064)*N(H1064)+N(I1064)*N(J1064)+N(K1064)*N(L1064)+N(M1064)*N(N1064))</f>
        <v/>
      </c>
      <c r="Q1064" s="18">
        <f>IF(N(X1064)=0,"",IF(IF(N(F1064)=0,0,IF(N(E1064)&gt;0,E1064*(1+F1064/30),F1064))=X1064,IF(N(E1064)&gt;0,E1064&amp;" x "&amp;F1064,F1064&amp;" reps"),IF(IF(N(H1064)=0,0,IF(N(G1064)&gt;0,G1064*(1+H1064/30),H1064))=X1064,IF(N(G1064)&gt;0,G1064&amp;" x "&amp;H1064,H1064&amp;" reps"),IF(IF(N(J1064)=0,0,IF(N(I1064)&gt;0,I1064*(1+J1064/30),J1064))=X1064,IF(N(I1064)&gt;0,I1064&amp;" x "&amp;J1064,J1064&amp;" reps"),IF(IF(N(L1064)=0,0,IF(N(K1064)&gt;0,K1064*(1+L1064/30),L1064))=X1064,IF(N(K1064)&gt;0,K1064&amp;" x "&amp;L1064,L1064&amp;" reps"),IF(IF(N(N1064)=0,0,IF(N(M1064)&gt;0,M1064*(1+N1064/30),N1064))=X1064,IF(N(M1064)&gt;0,M1064&amp;" x "&amp;N1064,N1064&amp;" reps"),""))))))</f>
        <v/>
      </c>
      <c r="R1064" s="20">
        <f>IF(N(X1064)=0,"",ROUND(X1064,1))</f>
        <v/>
      </c>
      <c r="S1064" s="18">
        <f>IF(N(X1064)=0,"",IF(AND(COUNTIFS(Log!$D$6:$D$1505,D1064,Log!$B$6:$B$1505,"&lt;"&amp;B1064)&gt;0,COUNTIFS(Log!$D$6:$D$1505,D1064,Log!$B$6:$B$1505,"&lt;"&amp;B1064,Log!$X$6:$X$1505,"&gt;="&amp;X1064)=0),"New best",""))</f>
        <v/>
      </c>
      <c r="T1064" s="26" t="n"/>
      <c r="U1064" s="1">
        <f>IF(D1064="","",IFERROR(INDEX(Exercises!$C$6:$C$105,MATCH(D1064,Exercises!$B$6:$B$105,0)),"Other"))</f>
        <v/>
      </c>
      <c r="V1064">
        <f>IF(B1064="","",IF(COUNTIF($B$6:B1064,B1064)=1,1,0))</f>
        <v/>
      </c>
      <c r="W1064">
        <f>IF(B1064="","",B1064-WEEKDAY(B1064,3))</f>
        <v/>
      </c>
      <c r="X1064">
        <f>IF(D1064="","",MAX(IF(N(F1064)=0,0,IF(N(E1064)&gt;0,E1064*(1+F1064/30),F1064)),IF(N(H1064)=0,0,IF(N(G1064)&gt;0,G1064*(1+H1064/30),H1064)),IF(N(J1064)=0,0,IF(N(I1064)&gt;0,I1064*(1+J1064/30),J1064)),IF(N(L1064)=0,0,IF(N(K1064)&gt;0,K1064*(1+L1064/30),L1064)),IF(N(N1064)=0,0,IF(N(M1064)&gt;0,M1064*(1+N1064/30),N1064))))</f>
        <v/>
      </c>
      <c r="Y1064">
        <f>IF(N(X1064)=0,"",X1064+ROW()/1000000000)</f>
        <v/>
      </c>
      <c r="Z1064">
        <f>IF(Y1064="","",IF(COUNTIFS(Log!$D$6:$D$1505,D1064,Log!$Y$6:$Y$1505,"&gt;"&amp;Y1064)=0,1,0))</f>
        <v/>
      </c>
      <c r="AA1064">
        <f>IF(OR(B1064="",D1064=""),"",B1064+ROW()/10000000)</f>
        <v/>
      </c>
      <c r="AB1064">
        <f>IF(AA1064="","",IF(COUNTIFS(Log!$D$6:$D$1505,D1064,Log!$AA$6:$AA$1505,"&gt;"&amp;AA1064)=0,1,0))</f>
        <v/>
      </c>
      <c r="AC1064">
        <f>IF(S1064="New best",AA1064,"")</f>
        <v/>
      </c>
      <c r="AD1064">
        <f>ROW()</f>
        <v/>
      </c>
    </row>
    <row r="1065">
      <c r="A1065" s="1" t="n"/>
      <c r="B1065" s="21" t="n"/>
      <c r="C1065" s="22" t="n"/>
      <c r="D1065" s="23" t="n"/>
      <c r="E1065" s="24" t="n"/>
      <c r="F1065" s="24" t="n"/>
      <c r="G1065" s="24" t="n"/>
      <c r="H1065" s="24" t="n"/>
      <c r="I1065" s="24" t="n"/>
      <c r="J1065" s="24" t="n"/>
      <c r="K1065" s="24" t="n"/>
      <c r="L1065" s="24" t="n"/>
      <c r="M1065" s="24" t="n"/>
      <c r="N1065" s="24" t="n"/>
      <c r="O1065" s="15">
        <f>IF(D1065="","",COUNT(F1065,H1065,J1065,L1065,N1065))</f>
        <v/>
      </c>
      <c r="P1065" s="25">
        <f>IF(D1065="","",N(E1065)*N(F1065)+N(G1065)*N(H1065)+N(I1065)*N(J1065)+N(K1065)*N(L1065)+N(M1065)*N(N1065))</f>
        <v/>
      </c>
      <c r="Q1065" s="18">
        <f>IF(N(X1065)=0,"",IF(IF(N(F1065)=0,0,IF(N(E1065)&gt;0,E1065*(1+F1065/30),F1065))=X1065,IF(N(E1065)&gt;0,E1065&amp;" x "&amp;F1065,F1065&amp;" reps"),IF(IF(N(H1065)=0,0,IF(N(G1065)&gt;0,G1065*(1+H1065/30),H1065))=X1065,IF(N(G1065)&gt;0,G1065&amp;" x "&amp;H1065,H1065&amp;" reps"),IF(IF(N(J1065)=0,0,IF(N(I1065)&gt;0,I1065*(1+J1065/30),J1065))=X1065,IF(N(I1065)&gt;0,I1065&amp;" x "&amp;J1065,J1065&amp;" reps"),IF(IF(N(L1065)=0,0,IF(N(K1065)&gt;0,K1065*(1+L1065/30),L1065))=X1065,IF(N(K1065)&gt;0,K1065&amp;" x "&amp;L1065,L1065&amp;" reps"),IF(IF(N(N1065)=0,0,IF(N(M1065)&gt;0,M1065*(1+N1065/30),N1065))=X1065,IF(N(M1065)&gt;0,M1065&amp;" x "&amp;N1065,N1065&amp;" reps"),""))))))</f>
        <v/>
      </c>
      <c r="R1065" s="20">
        <f>IF(N(X1065)=0,"",ROUND(X1065,1))</f>
        <v/>
      </c>
      <c r="S1065" s="18">
        <f>IF(N(X1065)=0,"",IF(AND(COUNTIFS(Log!$D$6:$D$1505,D1065,Log!$B$6:$B$1505,"&lt;"&amp;B1065)&gt;0,COUNTIFS(Log!$D$6:$D$1505,D1065,Log!$B$6:$B$1505,"&lt;"&amp;B1065,Log!$X$6:$X$1505,"&gt;="&amp;X1065)=0),"New best",""))</f>
        <v/>
      </c>
      <c r="T1065" s="26" t="n"/>
      <c r="U1065" s="1">
        <f>IF(D1065="","",IFERROR(INDEX(Exercises!$C$6:$C$105,MATCH(D1065,Exercises!$B$6:$B$105,0)),"Other"))</f>
        <v/>
      </c>
      <c r="V1065">
        <f>IF(B1065="","",IF(COUNTIF($B$6:B1065,B1065)=1,1,0))</f>
        <v/>
      </c>
      <c r="W1065">
        <f>IF(B1065="","",B1065-WEEKDAY(B1065,3))</f>
        <v/>
      </c>
      <c r="X1065">
        <f>IF(D1065="","",MAX(IF(N(F1065)=0,0,IF(N(E1065)&gt;0,E1065*(1+F1065/30),F1065)),IF(N(H1065)=0,0,IF(N(G1065)&gt;0,G1065*(1+H1065/30),H1065)),IF(N(J1065)=0,0,IF(N(I1065)&gt;0,I1065*(1+J1065/30),J1065)),IF(N(L1065)=0,0,IF(N(K1065)&gt;0,K1065*(1+L1065/30),L1065)),IF(N(N1065)=0,0,IF(N(M1065)&gt;0,M1065*(1+N1065/30),N1065))))</f>
        <v/>
      </c>
      <c r="Y1065">
        <f>IF(N(X1065)=0,"",X1065+ROW()/1000000000)</f>
        <v/>
      </c>
      <c r="Z1065">
        <f>IF(Y1065="","",IF(COUNTIFS(Log!$D$6:$D$1505,D1065,Log!$Y$6:$Y$1505,"&gt;"&amp;Y1065)=0,1,0))</f>
        <v/>
      </c>
      <c r="AA1065">
        <f>IF(OR(B1065="",D1065=""),"",B1065+ROW()/10000000)</f>
        <v/>
      </c>
      <c r="AB1065">
        <f>IF(AA1065="","",IF(COUNTIFS(Log!$D$6:$D$1505,D1065,Log!$AA$6:$AA$1505,"&gt;"&amp;AA1065)=0,1,0))</f>
        <v/>
      </c>
      <c r="AC1065">
        <f>IF(S1065="New best",AA1065,"")</f>
        <v/>
      </c>
      <c r="AD1065">
        <f>ROW()</f>
        <v/>
      </c>
    </row>
    <row r="1066">
      <c r="A1066" s="1" t="n"/>
      <c r="B1066" s="21" t="n"/>
      <c r="C1066" s="22" t="n"/>
      <c r="D1066" s="23" t="n"/>
      <c r="E1066" s="24" t="n"/>
      <c r="F1066" s="24" t="n"/>
      <c r="G1066" s="24" t="n"/>
      <c r="H1066" s="24" t="n"/>
      <c r="I1066" s="24" t="n"/>
      <c r="J1066" s="24" t="n"/>
      <c r="K1066" s="24" t="n"/>
      <c r="L1066" s="24" t="n"/>
      <c r="M1066" s="24" t="n"/>
      <c r="N1066" s="24" t="n"/>
      <c r="O1066" s="15">
        <f>IF(D1066="","",COUNT(F1066,H1066,J1066,L1066,N1066))</f>
        <v/>
      </c>
      <c r="P1066" s="25">
        <f>IF(D1066="","",N(E1066)*N(F1066)+N(G1066)*N(H1066)+N(I1066)*N(J1066)+N(K1066)*N(L1066)+N(M1066)*N(N1066))</f>
        <v/>
      </c>
      <c r="Q1066" s="18">
        <f>IF(N(X1066)=0,"",IF(IF(N(F1066)=0,0,IF(N(E1066)&gt;0,E1066*(1+F1066/30),F1066))=X1066,IF(N(E1066)&gt;0,E1066&amp;" x "&amp;F1066,F1066&amp;" reps"),IF(IF(N(H1066)=0,0,IF(N(G1066)&gt;0,G1066*(1+H1066/30),H1066))=X1066,IF(N(G1066)&gt;0,G1066&amp;" x "&amp;H1066,H1066&amp;" reps"),IF(IF(N(J1066)=0,0,IF(N(I1066)&gt;0,I1066*(1+J1066/30),J1066))=X1066,IF(N(I1066)&gt;0,I1066&amp;" x "&amp;J1066,J1066&amp;" reps"),IF(IF(N(L1066)=0,0,IF(N(K1066)&gt;0,K1066*(1+L1066/30),L1066))=X1066,IF(N(K1066)&gt;0,K1066&amp;" x "&amp;L1066,L1066&amp;" reps"),IF(IF(N(N1066)=0,0,IF(N(M1066)&gt;0,M1066*(1+N1066/30),N1066))=X1066,IF(N(M1066)&gt;0,M1066&amp;" x "&amp;N1066,N1066&amp;" reps"),""))))))</f>
        <v/>
      </c>
      <c r="R1066" s="20">
        <f>IF(N(X1066)=0,"",ROUND(X1066,1))</f>
        <v/>
      </c>
      <c r="S1066" s="18">
        <f>IF(N(X1066)=0,"",IF(AND(COUNTIFS(Log!$D$6:$D$1505,D1066,Log!$B$6:$B$1505,"&lt;"&amp;B1066)&gt;0,COUNTIFS(Log!$D$6:$D$1505,D1066,Log!$B$6:$B$1505,"&lt;"&amp;B1066,Log!$X$6:$X$1505,"&gt;="&amp;X1066)=0),"New best",""))</f>
        <v/>
      </c>
      <c r="T1066" s="26" t="n"/>
      <c r="U1066" s="1">
        <f>IF(D1066="","",IFERROR(INDEX(Exercises!$C$6:$C$105,MATCH(D1066,Exercises!$B$6:$B$105,0)),"Other"))</f>
        <v/>
      </c>
      <c r="V1066">
        <f>IF(B1066="","",IF(COUNTIF($B$6:B1066,B1066)=1,1,0))</f>
        <v/>
      </c>
      <c r="W1066">
        <f>IF(B1066="","",B1066-WEEKDAY(B1066,3))</f>
        <v/>
      </c>
      <c r="X1066">
        <f>IF(D1066="","",MAX(IF(N(F1066)=0,0,IF(N(E1066)&gt;0,E1066*(1+F1066/30),F1066)),IF(N(H1066)=0,0,IF(N(G1066)&gt;0,G1066*(1+H1066/30),H1066)),IF(N(J1066)=0,0,IF(N(I1066)&gt;0,I1066*(1+J1066/30),J1066)),IF(N(L1066)=0,0,IF(N(K1066)&gt;0,K1066*(1+L1066/30),L1066)),IF(N(N1066)=0,0,IF(N(M1066)&gt;0,M1066*(1+N1066/30),N1066))))</f>
        <v/>
      </c>
      <c r="Y1066">
        <f>IF(N(X1066)=0,"",X1066+ROW()/1000000000)</f>
        <v/>
      </c>
      <c r="Z1066">
        <f>IF(Y1066="","",IF(COUNTIFS(Log!$D$6:$D$1505,D1066,Log!$Y$6:$Y$1505,"&gt;"&amp;Y1066)=0,1,0))</f>
        <v/>
      </c>
      <c r="AA1066">
        <f>IF(OR(B1066="",D1066=""),"",B1066+ROW()/10000000)</f>
        <v/>
      </c>
      <c r="AB1066">
        <f>IF(AA1066="","",IF(COUNTIFS(Log!$D$6:$D$1505,D1066,Log!$AA$6:$AA$1505,"&gt;"&amp;AA1066)=0,1,0))</f>
        <v/>
      </c>
      <c r="AC1066">
        <f>IF(S1066="New best",AA1066,"")</f>
        <v/>
      </c>
      <c r="AD1066">
        <f>ROW()</f>
        <v/>
      </c>
    </row>
    <row r="1067">
      <c r="A1067" s="1" t="n"/>
      <c r="B1067" s="21" t="n"/>
      <c r="C1067" s="22" t="n"/>
      <c r="D1067" s="23" t="n"/>
      <c r="E1067" s="24" t="n"/>
      <c r="F1067" s="24" t="n"/>
      <c r="G1067" s="24" t="n"/>
      <c r="H1067" s="24" t="n"/>
      <c r="I1067" s="24" t="n"/>
      <c r="J1067" s="24" t="n"/>
      <c r="K1067" s="24" t="n"/>
      <c r="L1067" s="24" t="n"/>
      <c r="M1067" s="24" t="n"/>
      <c r="N1067" s="24" t="n"/>
      <c r="O1067" s="15">
        <f>IF(D1067="","",COUNT(F1067,H1067,J1067,L1067,N1067))</f>
        <v/>
      </c>
      <c r="P1067" s="25">
        <f>IF(D1067="","",N(E1067)*N(F1067)+N(G1067)*N(H1067)+N(I1067)*N(J1067)+N(K1067)*N(L1067)+N(M1067)*N(N1067))</f>
        <v/>
      </c>
      <c r="Q1067" s="18">
        <f>IF(N(X1067)=0,"",IF(IF(N(F1067)=0,0,IF(N(E1067)&gt;0,E1067*(1+F1067/30),F1067))=X1067,IF(N(E1067)&gt;0,E1067&amp;" x "&amp;F1067,F1067&amp;" reps"),IF(IF(N(H1067)=0,0,IF(N(G1067)&gt;0,G1067*(1+H1067/30),H1067))=X1067,IF(N(G1067)&gt;0,G1067&amp;" x "&amp;H1067,H1067&amp;" reps"),IF(IF(N(J1067)=0,0,IF(N(I1067)&gt;0,I1067*(1+J1067/30),J1067))=X1067,IF(N(I1067)&gt;0,I1067&amp;" x "&amp;J1067,J1067&amp;" reps"),IF(IF(N(L1067)=0,0,IF(N(K1067)&gt;0,K1067*(1+L1067/30),L1067))=X1067,IF(N(K1067)&gt;0,K1067&amp;" x "&amp;L1067,L1067&amp;" reps"),IF(IF(N(N1067)=0,0,IF(N(M1067)&gt;0,M1067*(1+N1067/30),N1067))=X1067,IF(N(M1067)&gt;0,M1067&amp;" x "&amp;N1067,N1067&amp;" reps"),""))))))</f>
        <v/>
      </c>
      <c r="R1067" s="20">
        <f>IF(N(X1067)=0,"",ROUND(X1067,1))</f>
        <v/>
      </c>
      <c r="S1067" s="18">
        <f>IF(N(X1067)=0,"",IF(AND(COUNTIFS(Log!$D$6:$D$1505,D1067,Log!$B$6:$B$1505,"&lt;"&amp;B1067)&gt;0,COUNTIFS(Log!$D$6:$D$1505,D1067,Log!$B$6:$B$1505,"&lt;"&amp;B1067,Log!$X$6:$X$1505,"&gt;="&amp;X1067)=0),"New best",""))</f>
        <v/>
      </c>
      <c r="T1067" s="26" t="n"/>
      <c r="U1067" s="1">
        <f>IF(D1067="","",IFERROR(INDEX(Exercises!$C$6:$C$105,MATCH(D1067,Exercises!$B$6:$B$105,0)),"Other"))</f>
        <v/>
      </c>
      <c r="V1067">
        <f>IF(B1067="","",IF(COUNTIF($B$6:B1067,B1067)=1,1,0))</f>
        <v/>
      </c>
      <c r="W1067">
        <f>IF(B1067="","",B1067-WEEKDAY(B1067,3))</f>
        <v/>
      </c>
      <c r="X1067">
        <f>IF(D1067="","",MAX(IF(N(F1067)=0,0,IF(N(E1067)&gt;0,E1067*(1+F1067/30),F1067)),IF(N(H1067)=0,0,IF(N(G1067)&gt;0,G1067*(1+H1067/30),H1067)),IF(N(J1067)=0,0,IF(N(I1067)&gt;0,I1067*(1+J1067/30),J1067)),IF(N(L1067)=0,0,IF(N(K1067)&gt;0,K1067*(1+L1067/30),L1067)),IF(N(N1067)=0,0,IF(N(M1067)&gt;0,M1067*(1+N1067/30),N1067))))</f>
        <v/>
      </c>
      <c r="Y1067">
        <f>IF(N(X1067)=0,"",X1067+ROW()/1000000000)</f>
        <v/>
      </c>
      <c r="Z1067">
        <f>IF(Y1067="","",IF(COUNTIFS(Log!$D$6:$D$1505,D1067,Log!$Y$6:$Y$1505,"&gt;"&amp;Y1067)=0,1,0))</f>
        <v/>
      </c>
      <c r="AA1067">
        <f>IF(OR(B1067="",D1067=""),"",B1067+ROW()/10000000)</f>
        <v/>
      </c>
      <c r="AB1067">
        <f>IF(AA1067="","",IF(COUNTIFS(Log!$D$6:$D$1505,D1067,Log!$AA$6:$AA$1505,"&gt;"&amp;AA1067)=0,1,0))</f>
        <v/>
      </c>
      <c r="AC1067">
        <f>IF(S1067="New best",AA1067,"")</f>
        <v/>
      </c>
      <c r="AD1067">
        <f>ROW()</f>
        <v/>
      </c>
    </row>
    <row r="1068">
      <c r="A1068" s="1" t="n"/>
      <c r="B1068" s="21" t="n"/>
      <c r="C1068" s="22" t="n"/>
      <c r="D1068" s="23" t="n"/>
      <c r="E1068" s="24" t="n"/>
      <c r="F1068" s="24" t="n"/>
      <c r="G1068" s="24" t="n"/>
      <c r="H1068" s="24" t="n"/>
      <c r="I1068" s="24" t="n"/>
      <c r="J1068" s="24" t="n"/>
      <c r="K1068" s="24" t="n"/>
      <c r="L1068" s="24" t="n"/>
      <c r="M1068" s="24" t="n"/>
      <c r="N1068" s="24" t="n"/>
      <c r="O1068" s="15">
        <f>IF(D1068="","",COUNT(F1068,H1068,J1068,L1068,N1068))</f>
        <v/>
      </c>
      <c r="P1068" s="25">
        <f>IF(D1068="","",N(E1068)*N(F1068)+N(G1068)*N(H1068)+N(I1068)*N(J1068)+N(K1068)*N(L1068)+N(M1068)*N(N1068))</f>
        <v/>
      </c>
      <c r="Q1068" s="18">
        <f>IF(N(X1068)=0,"",IF(IF(N(F1068)=0,0,IF(N(E1068)&gt;0,E1068*(1+F1068/30),F1068))=X1068,IF(N(E1068)&gt;0,E1068&amp;" x "&amp;F1068,F1068&amp;" reps"),IF(IF(N(H1068)=0,0,IF(N(G1068)&gt;0,G1068*(1+H1068/30),H1068))=X1068,IF(N(G1068)&gt;0,G1068&amp;" x "&amp;H1068,H1068&amp;" reps"),IF(IF(N(J1068)=0,0,IF(N(I1068)&gt;0,I1068*(1+J1068/30),J1068))=X1068,IF(N(I1068)&gt;0,I1068&amp;" x "&amp;J1068,J1068&amp;" reps"),IF(IF(N(L1068)=0,0,IF(N(K1068)&gt;0,K1068*(1+L1068/30),L1068))=X1068,IF(N(K1068)&gt;0,K1068&amp;" x "&amp;L1068,L1068&amp;" reps"),IF(IF(N(N1068)=0,0,IF(N(M1068)&gt;0,M1068*(1+N1068/30),N1068))=X1068,IF(N(M1068)&gt;0,M1068&amp;" x "&amp;N1068,N1068&amp;" reps"),""))))))</f>
        <v/>
      </c>
      <c r="R1068" s="20">
        <f>IF(N(X1068)=0,"",ROUND(X1068,1))</f>
        <v/>
      </c>
      <c r="S1068" s="18">
        <f>IF(N(X1068)=0,"",IF(AND(COUNTIFS(Log!$D$6:$D$1505,D1068,Log!$B$6:$B$1505,"&lt;"&amp;B1068)&gt;0,COUNTIFS(Log!$D$6:$D$1505,D1068,Log!$B$6:$B$1505,"&lt;"&amp;B1068,Log!$X$6:$X$1505,"&gt;="&amp;X1068)=0),"New best",""))</f>
        <v/>
      </c>
      <c r="T1068" s="26" t="n"/>
      <c r="U1068" s="1">
        <f>IF(D1068="","",IFERROR(INDEX(Exercises!$C$6:$C$105,MATCH(D1068,Exercises!$B$6:$B$105,0)),"Other"))</f>
        <v/>
      </c>
      <c r="V1068">
        <f>IF(B1068="","",IF(COUNTIF($B$6:B1068,B1068)=1,1,0))</f>
        <v/>
      </c>
      <c r="W1068">
        <f>IF(B1068="","",B1068-WEEKDAY(B1068,3))</f>
        <v/>
      </c>
      <c r="X1068">
        <f>IF(D1068="","",MAX(IF(N(F1068)=0,0,IF(N(E1068)&gt;0,E1068*(1+F1068/30),F1068)),IF(N(H1068)=0,0,IF(N(G1068)&gt;0,G1068*(1+H1068/30),H1068)),IF(N(J1068)=0,0,IF(N(I1068)&gt;0,I1068*(1+J1068/30),J1068)),IF(N(L1068)=0,0,IF(N(K1068)&gt;0,K1068*(1+L1068/30),L1068)),IF(N(N1068)=0,0,IF(N(M1068)&gt;0,M1068*(1+N1068/30),N1068))))</f>
        <v/>
      </c>
      <c r="Y1068">
        <f>IF(N(X1068)=0,"",X1068+ROW()/1000000000)</f>
        <v/>
      </c>
      <c r="Z1068">
        <f>IF(Y1068="","",IF(COUNTIFS(Log!$D$6:$D$1505,D1068,Log!$Y$6:$Y$1505,"&gt;"&amp;Y1068)=0,1,0))</f>
        <v/>
      </c>
      <c r="AA1068">
        <f>IF(OR(B1068="",D1068=""),"",B1068+ROW()/10000000)</f>
        <v/>
      </c>
      <c r="AB1068">
        <f>IF(AA1068="","",IF(COUNTIFS(Log!$D$6:$D$1505,D1068,Log!$AA$6:$AA$1505,"&gt;"&amp;AA1068)=0,1,0))</f>
        <v/>
      </c>
      <c r="AC1068">
        <f>IF(S1068="New best",AA1068,"")</f>
        <v/>
      </c>
      <c r="AD1068">
        <f>ROW()</f>
        <v/>
      </c>
    </row>
    <row r="1069">
      <c r="A1069" s="1" t="n"/>
      <c r="B1069" s="21" t="n"/>
      <c r="C1069" s="22" t="n"/>
      <c r="D1069" s="23" t="n"/>
      <c r="E1069" s="24" t="n"/>
      <c r="F1069" s="24" t="n"/>
      <c r="G1069" s="24" t="n"/>
      <c r="H1069" s="24" t="n"/>
      <c r="I1069" s="24" t="n"/>
      <c r="J1069" s="24" t="n"/>
      <c r="K1069" s="24" t="n"/>
      <c r="L1069" s="24" t="n"/>
      <c r="M1069" s="24" t="n"/>
      <c r="N1069" s="24" t="n"/>
      <c r="O1069" s="15">
        <f>IF(D1069="","",COUNT(F1069,H1069,J1069,L1069,N1069))</f>
        <v/>
      </c>
      <c r="P1069" s="25">
        <f>IF(D1069="","",N(E1069)*N(F1069)+N(G1069)*N(H1069)+N(I1069)*N(J1069)+N(K1069)*N(L1069)+N(M1069)*N(N1069))</f>
        <v/>
      </c>
      <c r="Q1069" s="18">
        <f>IF(N(X1069)=0,"",IF(IF(N(F1069)=0,0,IF(N(E1069)&gt;0,E1069*(1+F1069/30),F1069))=X1069,IF(N(E1069)&gt;0,E1069&amp;" x "&amp;F1069,F1069&amp;" reps"),IF(IF(N(H1069)=0,0,IF(N(G1069)&gt;0,G1069*(1+H1069/30),H1069))=X1069,IF(N(G1069)&gt;0,G1069&amp;" x "&amp;H1069,H1069&amp;" reps"),IF(IF(N(J1069)=0,0,IF(N(I1069)&gt;0,I1069*(1+J1069/30),J1069))=X1069,IF(N(I1069)&gt;0,I1069&amp;" x "&amp;J1069,J1069&amp;" reps"),IF(IF(N(L1069)=0,0,IF(N(K1069)&gt;0,K1069*(1+L1069/30),L1069))=X1069,IF(N(K1069)&gt;0,K1069&amp;" x "&amp;L1069,L1069&amp;" reps"),IF(IF(N(N1069)=0,0,IF(N(M1069)&gt;0,M1069*(1+N1069/30),N1069))=X1069,IF(N(M1069)&gt;0,M1069&amp;" x "&amp;N1069,N1069&amp;" reps"),""))))))</f>
        <v/>
      </c>
      <c r="R1069" s="20">
        <f>IF(N(X1069)=0,"",ROUND(X1069,1))</f>
        <v/>
      </c>
      <c r="S1069" s="18">
        <f>IF(N(X1069)=0,"",IF(AND(COUNTIFS(Log!$D$6:$D$1505,D1069,Log!$B$6:$B$1505,"&lt;"&amp;B1069)&gt;0,COUNTIFS(Log!$D$6:$D$1505,D1069,Log!$B$6:$B$1505,"&lt;"&amp;B1069,Log!$X$6:$X$1505,"&gt;="&amp;X1069)=0),"New best",""))</f>
        <v/>
      </c>
      <c r="T1069" s="26" t="n"/>
      <c r="U1069" s="1">
        <f>IF(D1069="","",IFERROR(INDEX(Exercises!$C$6:$C$105,MATCH(D1069,Exercises!$B$6:$B$105,0)),"Other"))</f>
        <v/>
      </c>
      <c r="V1069">
        <f>IF(B1069="","",IF(COUNTIF($B$6:B1069,B1069)=1,1,0))</f>
        <v/>
      </c>
      <c r="W1069">
        <f>IF(B1069="","",B1069-WEEKDAY(B1069,3))</f>
        <v/>
      </c>
      <c r="X1069">
        <f>IF(D1069="","",MAX(IF(N(F1069)=0,0,IF(N(E1069)&gt;0,E1069*(1+F1069/30),F1069)),IF(N(H1069)=0,0,IF(N(G1069)&gt;0,G1069*(1+H1069/30),H1069)),IF(N(J1069)=0,0,IF(N(I1069)&gt;0,I1069*(1+J1069/30),J1069)),IF(N(L1069)=0,0,IF(N(K1069)&gt;0,K1069*(1+L1069/30),L1069)),IF(N(N1069)=0,0,IF(N(M1069)&gt;0,M1069*(1+N1069/30),N1069))))</f>
        <v/>
      </c>
      <c r="Y1069">
        <f>IF(N(X1069)=0,"",X1069+ROW()/1000000000)</f>
        <v/>
      </c>
      <c r="Z1069">
        <f>IF(Y1069="","",IF(COUNTIFS(Log!$D$6:$D$1505,D1069,Log!$Y$6:$Y$1505,"&gt;"&amp;Y1069)=0,1,0))</f>
        <v/>
      </c>
      <c r="AA1069">
        <f>IF(OR(B1069="",D1069=""),"",B1069+ROW()/10000000)</f>
        <v/>
      </c>
      <c r="AB1069">
        <f>IF(AA1069="","",IF(COUNTIFS(Log!$D$6:$D$1505,D1069,Log!$AA$6:$AA$1505,"&gt;"&amp;AA1069)=0,1,0))</f>
        <v/>
      </c>
      <c r="AC1069">
        <f>IF(S1069="New best",AA1069,"")</f>
        <v/>
      </c>
      <c r="AD1069">
        <f>ROW()</f>
        <v/>
      </c>
    </row>
    <row r="1070">
      <c r="A1070" s="1" t="n"/>
      <c r="B1070" s="21" t="n"/>
      <c r="C1070" s="22" t="n"/>
      <c r="D1070" s="23" t="n"/>
      <c r="E1070" s="24" t="n"/>
      <c r="F1070" s="24" t="n"/>
      <c r="G1070" s="24" t="n"/>
      <c r="H1070" s="24" t="n"/>
      <c r="I1070" s="24" t="n"/>
      <c r="J1070" s="24" t="n"/>
      <c r="K1070" s="24" t="n"/>
      <c r="L1070" s="24" t="n"/>
      <c r="M1070" s="24" t="n"/>
      <c r="N1070" s="24" t="n"/>
      <c r="O1070" s="15">
        <f>IF(D1070="","",COUNT(F1070,H1070,J1070,L1070,N1070))</f>
        <v/>
      </c>
      <c r="P1070" s="25">
        <f>IF(D1070="","",N(E1070)*N(F1070)+N(G1070)*N(H1070)+N(I1070)*N(J1070)+N(K1070)*N(L1070)+N(M1070)*N(N1070))</f>
        <v/>
      </c>
      <c r="Q1070" s="18">
        <f>IF(N(X1070)=0,"",IF(IF(N(F1070)=0,0,IF(N(E1070)&gt;0,E1070*(1+F1070/30),F1070))=X1070,IF(N(E1070)&gt;0,E1070&amp;" x "&amp;F1070,F1070&amp;" reps"),IF(IF(N(H1070)=0,0,IF(N(G1070)&gt;0,G1070*(1+H1070/30),H1070))=X1070,IF(N(G1070)&gt;0,G1070&amp;" x "&amp;H1070,H1070&amp;" reps"),IF(IF(N(J1070)=0,0,IF(N(I1070)&gt;0,I1070*(1+J1070/30),J1070))=X1070,IF(N(I1070)&gt;0,I1070&amp;" x "&amp;J1070,J1070&amp;" reps"),IF(IF(N(L1070)=0,0,IF(N(K1070)&gt;0,K1070*(1+L1070/30),L1070))=X1070,IF(N(K1070)&gt;0,K1070&amp;" x "&amp;L1070,L1070&amp;" reps"),IF(IF(N(N1070)=0,0,IF(N(M1070)&gt;0,M1070*(1+N1070/30),N1070))=X1070,IF(N(M1070)&gt;0,M1070&amp;" x "&amp;N1070,N1070&amp;" reps"),""))))))</f>
        <v/>
      </c>
      <c r="R1070" s="20">
        <f>IF(N(X1070)=0,"",ROUND(X1070,1))</f>
        <v/>
      </c>
      <c r="S1070" s="18">
        <f>IF(N(X1070)=0,"",IF(AND(COUNTIFS(Log!$D$6:$D$1505,D1070,Log!$B$6:$B$1505,"&lt;"&amp;B1070)&gt;0,COUNTIFS(Log!$D$6:$D$1505,D1070,Log!$B$6:$B$1505,"&lt;"&amp;B1070,Log!$X$6:$X$1505,"&gt;="&amp;X1070)=0),"New best",""))</f>
        <v/>
      </c>
      <c r="T1070" s="26" t="n"/>
      <c r="U1070" s="1">
        <f>IF(D1070="","",IFERROR(INDEX(Exercises!$C$6:$C$105,MATCH(D1070,Exercises!$B$6:$B$105,0)),"Other"))</f>
        <v/>
      </c>
      <c r="V1070">
        <f>IF(B1070="","",IF(COUNTIF($B$6:B1070,B1070)=1,1,0))</f>
        <v/>
      </c>
      <c r="W1070">
        <f>IF(B1070="","",B1070-WEEKDAY(B1070,3))</f>
        <v/>
      </c>
      <c r="X1070">
        <f>IF(D1070="","",MAX(IF(N(F1070)=0,0,IF(N(E1070)&gt;0,E1070*(1+F1070/30),F1070)),IF(N(H1070)=0,0,IF(N(G1070)&gt;0,G1070*(1+H1070/30),H1070)),IF(N(J1070)=0,0,IF(N(I1070)&gt;0,I1070*(1+J1070/30),J1070)),IF(N(L1070)=0,0,IF(N(K1070)&gt;0,K1070*(1+L1070/30),L1070)),IF(N(N1070)=0,0,IF(N(M1070)&gt;0,M1070*(1+N1070/30),N1070))))</f>
        <v/>
      </c>
      <c r="Y1070">
        <f>IF(N(X1070)=0,"",X1070+ROW()/1000000000)</f>
        <v/>
      </c>
      <c r="Z1070">
        <f>IF(Y1070="","",IF(COUNTIFS(Log!$D$6:$D$1505,D1070,Log!$Y$6:$Y$1505,"&gt;"&amp;Y1070)=0,1,0))</f>
        <v/>
      </c>
      <c r="AA1070">
        <f>IF(OR(B1070="",D1070=""),"",B1070+ROW()/10000000)</f>
        <v/>
      </c>
      <c r="AB1070">
        <f>IF(AA1070="","",IF(COUNTIFS(Log!$D$6:$D$1505,D1070,Log!$AA$6:$AA$1505,"&gt;"&amp;AA1070)=0,1,0))</f>
        <v/>
      </c>
      <c r="AC1070">
        <f>IF(S1070="New best",AA1070,"")</f>
        <v/>
      </c>
      <c r="AD1070">
        <f>ROW()</f>
        <v/>
      </c>
    </row>
    <row r="1071">
      <c r="A1071" s="1" t="n"/>
      <c r="B1071" s="21" t="n"/>
      <c r="C1071" s="22" t="n"/>
      <c r="D1071" s="23" t="n"/>
      <c r="E1071" s="24" t="n"/>
      <c r="F1071" s="24" t="n"/>
      <c r="G1071" s="24" t="n"/>
      <c r="H1071" s="24" t="n"/>
      <c r="I1071" s="24" t="n"/>
      <c r="J1071" s="24" t="n"/>
      <c r="K1071" s="24" t="n"/>
      <c r="L1071" s="24" t="n"/>
      <c r="M1071" s="24" t="n"/>
      <c r="N1071" s="24" t="n"/>
      <c r="O1071" s="15">
        <f>IF(D1071="","",COUNT(F1071,H1071,J1071,L1071,N1071))</f>
        <v/>
      </c>
      <c r="P1071" s="25">
        <f>IF(D1071="","",N(E1071)*N(F1071)+N(G1071)*N(H1071)+N(I1071)*N(J1071)+N(K1071)*N(L1071)+N(M1071)*N(N1071))</f>
        <v/>
      </c>
      <c r="Q1071" s="18">
        <f>IF(N(X1071)=0,"",IF(IF(N(F1071)=0,0,IF(N(E1071)&gt;0,E1071*(1+F1071/30),F1071))=X1071,IF(N(E1071)&gt;0,E1071&amp;" x "&amp;F1071,F1071&amp;" reps"),IF(IF(N(H1071)=0,0,IF(N(G1071)&gt;0,G1071*(1+H1071/30),H1071))=X1071,IF(N(G1071)&gt;0,G1071&amp;" x "&amp;H1071,H1071&amp;" reps"),IF(IF(N(J1071)=0,0,IF(N(I1071)&gt;0,I1071*(1+J1071/30),J1071))=X1071,IF(N(I1071)&gt;0,I1071&amp;" x "&amp;J1071,J1071&amp;" reps"),IF(IF(N(L1071)=0,0,IF(N(K1071)&gt;0,K1071*(1+L1071/30),L1071))=X1071,IF(N(K1071)&gt;0,K1071&amp;" x "&amp;L1071,L1071&amp;" reps"),IF(IF(N(N1071)=0,0,IF(N(M1071)&gt;0,M1071*(1+N1071/30),N1071))=X1071,IF(N(M1071)&gt;0,M1071&amp;" x "&amp;N1071,N1071&amp;" reps"),""))))))</f>
        <v/>
      </c>
      <c r="R1071" s="20">
        <f>IF(N(X1071)=0,"",ROUND(X1071,1))</f>
        <v/>
      </c>
      <c r="S1071" s="18">
        <f>IF(N(X1071)=0,"",IF(AND(COUNTIFS(Log!$D$6:$D$1505,D1071,Log!$B$6:$B$1505,"&lt;"&amp;B1071)&gt;0,COUNTIFS(Log!$D$6:$D$1505,D1071,Log!$B$6:$B$1505,"&lt;"&amp;B1071,Log!$X$6:$X$1505,"&gt;="&amp;X1071)=0),"New best",""))</f>
        <v/>
      </c>
      <c r="T1071" s="26" t="n"/>
      <c r="U1071" s="1">
        <f>IF(D1071="","",IFERROR(INDEX(Exercises!$C$6:$C$105,MATCH(D1071,Exercises!$B$6:$B$105,0)),"Other"))</f>
        <v/>
      </c>
      <c r="V1071">
        <f>IF(B1071="","",IF(COUNTIF($B$6:B1071,B1071)=1,1,0))</f>
        <v/>
      </c>
      <c r="W1071">
        <f>IF(B1071="","",B1071-WEEKDAY(B1071,3))</f>
        <v/>
      </c>
      <c r="X1071">
        <f>IF(D1071="","",MAX(IF(N(F1071)=0,0,IF(N(E1071)&gt;0,E1071*(1+F1071/30),F1071)),IF(N(H1071)=0,0,IF(N(G1071)&gt;0,G1071*(1+H1071/30),H1071)),IF(N(J1071)=0,0,IF(N(I1071)&gt;0,I1071*(1+J1071/30),J1071)),IF(N(L1071)=0,0,IF(N(K1071)&gt;0,K1071*(1+L1071/30),L1071)),IF(N(N1071)=0,0,IF(N(M1071)&gt;0,M1071*(1+N1071/30),N1071))))</f>
        <v/>
      </c>
      <c r="Y1071">
        <f>IF(N(X1071)=0,"",X1071+ROW()/1000000000)</f>
        <v/>
      </c>
      <c r="Z1071">
        <f>IF(Y1071="","",IF(COUNTIFS(Log!$D$6:$D$1505,D1071,Log!$Y$6:$Y$1505,"&gt;"&amp;Y1071)=0,1,0))</f>
        <v/>
      </c>
      <c r="AA1071">
        <f>IF(OR(B1071="",D1071=""),"",B1071+ROW()/10000000)</f>
        <v/>
      </c>
      <c r="AB1071">
        <f>IF(AA1071="","",IF(COUNTIFS(Log!$D$6:$D$1505,D1071,Log!$AA$6:$AA$1505,"&gt;"&amp;AA1071)=0,1,0))</f>
        <v/>
      </c>
      <c r="AC1071">
        <f>IF(S1071="New best",AA1071,"")</f>
        <v/>
      </c>
      <c r="AD1071">
        <f>ROW()</f>
        <v/>
      </c>
    </row>
    <row r="1072">
      <c r="A1072" s="1" t="n"/>
      <c r="B1072" s="21" t="n"/>
      <c r="C1072" s="22" t="n"/>
      <c r="D1072" s="23" t="n"/>
      <c r="E1072" s="24" t="n"/>
      <c r="F1072" s="24" t="n"/>
      <c r="G1072" s="24" t="n"/>
      <c r="H1072" s="24" t="n"/>
      <c r="I1072" s="24" t="n"/>
      <c r="J1072" s="24" t="n"/>
      <c r="K1072" s="24" t="n"/>
      <c r="L1072" s="24" t="n"/>
      <c r="M1072" s="24" t="n"/>
      <c r="N1072" s="24" t="n"/>
      <c r="O1072" s="15">
        <f>IF(D1072="","",COUNT(F1072,H1072,J1072,L1072,N1072))</f>
        <v/>
      </c>
      <c r="P1072" s="25">
        <f>IF(D1072="","",N(E1072)*N(F1072)+N(G1072)*N(H1072)+N(I1072)*N(J1072)+N(K1072)*N(L1072)+N(M1072)*N(N1072))</f>
        <v/>
      </c>
      <c r="Q1072" s="18">
        <f>IF(N(X1072)=0,"",IF(IF(N(F1072)=0,0,IF(N(E1072)&gt;0,E1072*(1+F1072/30),F1072))=X1072,IF(N(E1072)&gt;0,E1072&amp;" x "&amp;F1072,F1072&amp;" reps"),IF(IF(N(H1072)=0,0,IF(N(G1072)&gt;0,G1072*(1+H1072/30),H1072))=X1072,IF(N(G1072)&gt;0,G1072&amp;" x "&amp;H1072,H1072&amp;" reps"),IF(IF(N(J1072)=0,0,IF(N(I1072)&gt;0,I1072*(1+J1072/30),J1072))=X1072,IF(N(I1072)&gt;0,I1072&amp;" x "&amp;J1072,J1072&amp;" reps"),IF(IF(N(L1072)=0,0,IF(N(K1072)&gt;0,K1072*(1+L1072/30),L1072))=X1072,IF(N(K1072)&gt;0,K1072&amp;" x "&amp;L1072,L1072&amp;" reps"),IF(IF(N(N1072)=0,0,IF(N(M1072)&gt;0,M1072*(1+N1072/30),N1072))=X1072,IF(N(M1072)&gt;0,M1072&amp;" x "&amp;N1072,N1072&amp;" reps"),""))))))</f>
        <v/>
      </c>
      <c r="R1072" s="20">
        <f>IF(N(X1072)=0,"",ROUND(X1072,1))</f>
        <v/>
      </c>
      <c r="S1072" s="18">
        <f>IF(N(X1072)=0,"",IF(AND(COUNTIFS(Log!$D$6:$D$1505,D1072,Log!$B$6:$B$1505,"&lt;"&amp;B1072)&gt;0,COUNTIFS(Log!$D$6:$D$1505,D1072,Log!$B$6:$B$1505,"&lt;"&amp;B1072,Log!$X$6:$X$1505,"&gt;="&amp;X1072)=0),"New best",""))</f>
        <v/>
      </c>
      <c r="T1072" s="26" t="n"/>
      <c r="U1072" s="1">
        <f>IF(D1072="","",IFERROR(INDEX(Exercises!$C$6:$C$105,MATCH(D1072,Exercises!$B$6:$B$105,0)),"Other"))</f>
        <v/>
      </c>
      <c r="V1072">
        <f>IF(B1072="","",IF(COUNTIF($B$6:B1072,B1072)=1,1,0))</f>
        <v/>
      </c>
      <c r="W1072">
        <f>IF(B1072="","",B1072-WEEKDAY(B1072,3))</f>
        <v/>
      </c>
      <c r="X1072">
        <f>IF(D1072="","",MAX(IF(N(F1072)=0,0,IF(N(E1072)&gt;0,E1072*(1+F1072/30),F1072)),IF(N(H1072)=0,0,IF(N(G1072)&gt;0,G1072*(1+H1072/30),H1072)),IF(N(J1072)=0,0,IF(N(I1072)&gt;0,I1072*(1+J1072/30),J1072)),IF(N(L1072)=0,0,IF(N(K1072)&gt;0,K1072*(1+L1072/30),L1072)),IF(N(N1072)=0,0,IF(N(M1072)&gt;0,M1072*(1+N1072/30),N1072))))</f>
        <v/>
      </c>
      <c r="Y1072">
        <f>IF(N(X1072)=0,"",X1072+ROW()/1000000000)</f>
        <v/>
      </c>
      <c r="Z1072">
        <f>IF(Y1072="","",IF(COUNTIFS(Log!$D$6:$D$1505,D1072,Log!$Y$6:$Y$1505,"&gt;"&amp;Y1072)=0,1,0))</f>
        <v/>
      </c>
      <c r="AA1072">
        <f>IF(OR(B1072="",D1072=""),"",B1072+ROW()/10000000)</f>
        <v/>
      </c>
      <c r="AB1072">
        <f>IF(AA1072="","",IF(COUNTIFS(Log!$D$6:$D$1505,D1072,Log!$AA$6:$AA$1505,"&gt;"&amp;AA1072)=0,1,0))</f>
        <v/>
      </c>
      <c r="AC1072">
        <f>IF(S1072="New best",AA1072,"")</f>
        <v/>
      </c>
      <c r="AD1072">
        <f>ROW()</f>
        <v/>
      </c>
    </row>
    <row r="1073">
      <c r="A1073" s="1" t="n"/>
      <c r="B1073" s="21" t="n"/>
      <c r="C1073" s="22" t="n"/>
      <c r="D1073" s="23" t="n"/>
      <c r="E1073" s="24" t="n"/>
      <c r="F1073" s="24" t="n"/>
      <c r="G1073" s="24" t="n"/>
      <c r="H1073" s="24" t="n"/>
      <c r="I1073" s="24" t="n"/>
      <c r="J1073" s="24" t="n"/>
      <c r="K1073" s="24" t="n"/>
      <c r="L1073" s="24" t="n"/>
      <c r="M1073" s="24" t="n"/>
      <c r="N1073" s="24" t="n"/>
      <c r="O1073" s="15">
        <f>IF(D1073="","",COUNT(F1073,H1073,J1073,L1073,N1073))</f>
        <v/>
      </c>
      <c r="P1073" s="25">
        <f>IF(D1073="","",N(E1073)*N(F1073)+N(G1073)*N(H1073)+N(I1073)*N(J1073)+N(K1073)*N(L1073)+N(M1073)*N(N1073))</f>
        <v/>
      </c>
      <c r="Q1073" s="18">
        <f>IF(N(X1073)=0,"",IF(IF(N(F1073)=0,0,IF(N(E1073)&gt;0,E1073*(1+F1073/30),F1073))=X1073,IF(N(E1073)&gt;0,E1073&amp;" x "&amp;F1073,F1073&amp;" reps"),IF(IF(N(H1073)=0,0,IF(N(G1073)&gt;0,G1073*(1+H1073/30),H1073))=X1073,IF(N(G1073)&gt;0,G1073&amp;" x "&amp;H1073,H1073&amp;" reps"),IF(IF(N(J1073)=0,0,IF(N(I1073)&gt;0,I1073*(1+J1073/30),J1073))=X1073,IF(N(I1073)&gt;0,I1073&amp;" x "&amp;J1073,J1073&amp;" reps"),IF(IF(N(L1073)=0,0,IF(N(K1073)&gt;0,K1073*(1+L1073/30),L1073))=X1073,IF(N(K1073)&gt;0,K1073&amp;" x "&amp;L1073,L1073&amp;" reps"),IF(IF(N(N1073)=0,0,IF(N(M1073)&gt;0,M1073*(1+N1073/30),N1073))=X1073,IF(N(M1073)&gt;0,M1073&amp;" x "&amp;N1073,N1073&amp;" reps"),""))))))</f>
        <v/>
      </c>
      <c r="R1073" s="20">
        <f>IF(N(X1073)=0,"",ROUND(X1073,1))</f>
        <v/>
      </c>
      <c r="S1073" s="18">
        <f>IF(N(X1073)=0,"",IF(AND(COUNTIFS(Log!$D$6:$D$1505,D1073,Log!$B$6:$B$1505,"&lt;"&amp;B1073)&gt;0,COUNTIFS(Log!$D$6:$D$1505,D1073,Log!$B$6:$B$1505,"&lt;"&amp;B1073,Log!$X$6:$X$1505,"&gt;="&amp;X1073)=0),"New best",""))</f>
        <v/>
      </c>
      <c r="T1073" s="26" t="n"/>
      <c r="U1073" s="1">
        <f>IF(D1073="","",IFERROR(INDEX(Exercises!$C$6:$C$105,MATCH(D1073,Exercises!$B$6:$B$105,0)),"Other"))</f>
        <v/>
      </c>
      <c r="V1073">
        <f>IF(B1073="","",IF(COUNTIF($B$6:B1073,B1073)=1,1,0))</f>
        <v/>
      </c>
      <c r="W1073">
        <f>IF(B1073="","",B1073-WEEKDAY(B1073,3))</f>
        <v/>
      </c>
      <c r="X1073">
        <f>IF(D1073="","",MAX(IF(N(F1073)=0,0,IF(N(E1073)&gt;0,E1073*(1+F1073/30),F1073)),IF(N(H1073)=0,0,IF(N(G1073)&gt;0,G1073*(1+H1073/30),H1073)),IF(N(J1073)=0,0,IF(N(I1073)&gt;0,I1073*(1+J1073/30),J1073)),IF(N(L1073)=0,0,IF(N(K1073)&gt;0,K1073*(1+L1073/30),L1073)),IF(N(N1073)=0,0,IF(N(M1073)&gt;0,M1073*(1+N1073/30),N1073))))</f>
        <v/>
      </c>
      <c r="Y1073">
        <f>IF(N(X1073)=0,"",X1073+ROW()/1000000000)</f>
        <v/>
      </c>
      <c r="Z1073">
        <f>IF(Y1073="","",IF(COUNTIFS(Log!$D$6:$D$1505,D1073,Log!$Y$6:$Y$1505,"&gt;"&amp;Y1073)=0,1,0))</f>
        <v/>
      </c>
      <c r="AA1073">
        <f>IF(OR(B1073="",D1073=""),"",B1073+ROW()/10000000)</f>
        <v/>
      </c>
      <c r="AB1073">
        <f>IF(AA1073="","",IF(COUNTIFS(Log!$D$6:$D$1505,D1073,Log!$AA$6:$AA$1505,"&gt;"&amp;AA1073)=0,1,0))</f>
        <v/>
      </c>
      <c r="AC1073">
        <f>IF(S1073="New best",AA1073,"")</f>
        <v/>
      </c>
      <c r="AD1073">
        <f>ROW()</f>
        <v/>
      </c>
    </row>
    <row r="1074">
      <c r="A1074" s="1" t="n"/>
      <c r="B1074" s="21" t="n"/>
      <c r="C1074" s="22" t="n"/>
      <c r="D1074" s="23" t="n"/>
      <c r="E1074" s="24" t="n"/>
      <c r="F1074" s="24" t="n"/>
      <c r="G1074" s="24" t="n"/>
      <c r="H1074" s="24" t="n"/>
      <c r="I1074" s="24" t="n"/>
      <c r="J1074" s="24" t="n"/>
      <c r="K1074" s="24" t="n"/>
      <c r="L1074" s="24" t="n"/>
      <c r="M1074" s="24" t="n"/>
      <c r="N1074" s="24" t="n"/>
      <c r="O1074" s="15">
        <f>IF(D1074="","",COUNT(F1074,H1074,J1074,L1074,N1074))</f>
        <v/>
      </c>
      <c r="P1074" s="25">
        <f>IF(D1074="","",N(E1074)*N(F1074)+N(G1074)*N(H1074)+N(I1074)*N(J1074)+N(K1074)*N(L1074)+N(M1074)*N(N1074))</f>
        <v/>
      </c>
      <c r="Q1074" s="18">
        <f>IF(N(X1074)=0,"",IF(IF(N(F1074)=0,0,IF(N(E1074)&gt;0,E1074*(1+F1074/30),F1074))=X1074,IF(N(E1074)&gt;0,E1074&amp;" x "&amp;F1074,F1074&amp;" reps"),IF(IF(N(H1074)=0,0,IF(N(G1074)&gt;0,G1074*(1+H1074/30),H1074))=X1074,IF(N(G1074)&gt;0,G1074&amp;" x "&amp;H1074,H1074&amp;" reps"),IF(IF(N(J1074)=0,0,IF(N(I1074)&gt;0,I1074*(1+J1074/30),J1074))=X1074,IF(N(I1074)&gt;0,I1074&amp;" x "&amp;J1074,J1074&amp;" reps"),IF(IF(N(L1074)=0,0,IF(N(K1074)&gt;0,K1074*(1+L1074/30),L1074))=X1074,IF(N(K1074)&gt;0,K1074&amp;" x "&amp;L1074,L1074&amp;" reps"),IF(IF(N(N1074)=0,0,IF(N(M1074)&gt;0,M1074*(1+N1074/30),N1074))=X1074,IF(N(M1074)&gt;0,M1074&amp;" x "&amp;N1074,N1074&amp;" reps"),""))))))</f>
        <v/>
      </c>
      <c r="R1074" s="20">
        <f>IF(N(X1074)=0,"",ROUND(X1074,1))</f>
        <v/>
      </c>
      <c r="S1074" s="18">
        <f>IF(N(X1074)=0,"",IF(AND(COUNTIFS(Log!$D$6:$D$1505,D1074,Log!$B$6:$B$1505,"&lt;"&amp;B1074)&gt;0,COUNTIFS(Log!$D$6:$D$1505,D1074,Log!$B$6:$B$1505,"&lt;"&amp;B1074,Log!$X$6:$X$1505,"&gt;="&amp;X1074)=0),"New best",""))</f>
        <v/>
      </c>
      <c r="T1074" s="26" t="n"/>
      <c r="U1074" s="1">
        <f>IF(D1074="","",IFERROR(INDEX(Exercises!$C$6:$C$105,MATCH(D1074,Exercises!$B$6:$B$105,0)),"Other"))</f>
        <v/>
      </c>
      <c r="V1074">
        <f>IF(B1074="","",IF(COUNTIF($B$6:B1074,B1074)=1,1,0))</f>
        <v/>
      </c>
      <c r="W1074">
        <f>IF(B1074="","",B1074-WEEKDAY(B1074,3))</f>
        <v/>
      </c>
      <c r="X1074">
        <f>IF(D1074="","",MAX(IF(N(F1074)=0,0,IF(N(E1074)&gt;0,E1074*(1+F1074/30),F1074)),IF(N(H1074)=0,0,IF(N(G1074)&gt;0,G1074*(1+H1074/30),H1074)),IF(N(J1074)=0,0,IF(N(I1074)&gt;0,I1074*(1+J1074/30),J1074)),IF(N(L1074)=0,0,IF(N(K1074)&gt;0,K1074*(1+L1074/30),L1074)),IF(N(N1074)=0,0,IF(N(M1074)&gt;0,M1074*(1+N1074/30),N1074))))</f>
        <v/>
      </c>
      <c r="Y1074">
        <f>IF(N(X1074)=0,"",X1074+ROW()/1000000000)</f>
        <v/>
      </c>
      <c r="Z1074">
        <f>IF(Y1074="","",IF(COUNTIFS(Log!$D$6:$D$1505,D1074,Log!$Y$6:$Y$1505,"&gt;"&amp;Y1074)=0,1,0))</f>
        <v/>
      </c>
      <c r="AA1074">
        <f>IF(OR(B1074="",D1074=""),"",B1074+ROW()/10000000)</f>
        <v/>
      </c>
      <c r="AB1074">
        <f>IF(AA1074="","",IF(COUNTIFS(Log!$D$6:$D$1505,D1074,Log!$AA$6:$AA$1505,"&gt;"&amp;AA1074)=0,1,0))</f>
        <v/>
      </c>
      <c r="AC1074">
        <f>IF(S1074="New best",AA1074,"")</f>
        <v/>
      </c>
      <c r="AD1074">
        <f>ROW()</f>
        <v/>
      </c>
    </row>
    <row r="1075">
      <c r="A1075" s="1" t="n"/>
      <c r="B1075" s="21" t="n"/>
      <c r="C1075" s="22" t="n"/>
      <c r="D1075" s="23" t="n"/>
      <c r="E1075" s="24" t="n"/>
      <c r="F1075" s="24" t="n"/>
      <c r="G1075" s="24" t="n"/>
      <c r="H1075" s="24" t="n"/>
      <c r="I1075" s="24" t="n"/>
      <c r="J1075" s="24" t="n"/>
      <c r="K1075" s="24" t="n"/>
      <c r="L1075" s="24" t="n"/>
      <c r="M1075" s="24" t="n"/>
      <c r="N1075" s="24" t="n"/>
      <c r="O1075" s="15">
        <f>IF(D1075="","",COUNT(F1075,H1075,J1075,L1075,N1075))</f>
        <v/>
      </c>
      <c r="P1075" s="25">
        <f>IF(D1075="","",N(E1075)*N(F1075)+N(G1075)*N(H1075)+N(I1075)*N(J1075)+N(K1075)*N(L1075)+N(M1075)*N(N1075))</f>
        <v/>
      </c>
      <c r="Q1075" s="18">
        <f>IF(N(X1075)=0,"",IF(IF(N(F1075)=0,0,IF(N(E1075)&gt;0,E1075*(1+F1075/30),F1075))=X1075,IF(N(E1075)&gt;0,E1075&amp;" x "&amp;F1075,F1075&amp;" reps"),IF(IF(N(H1075)=0,0,IF(N(G1075)&gt;0,G1075*(1+H1075/30),H1075))=X1075,IF(N(G1075)&gt;0,G1075&amp;" x "&amp;H1075,H1075&amp;" reps"),IF(IF(N(J1075)=0,0,IF(N(I1075)&gt;0,I1075*(1+J1075/30),J1075))=X1075,IF(N(I1075)&gt;0,I1075&amp;" x "&amp;J1075,J1075&amp;" reps"),IF(IF(N(L1075)=0,0,IF(N(K1075)&gt;0,K1075*(1+L1075/30),L1075))=X1075,IF(N(K1075)&gt;0,K1075&amp;" x "&amp;L1075,L1075&amp;" reps"),IF(IF(N(N1075)=0,0,IF(N(M1075)&gt;0,M1075*(1+N1075/30),N1075))=X1075,IF(N(M1075)&gt;0,M1075&amp;" x "&amp;N1075,N1075&amp;" reps"),""))))))</f>
        <v/>
      </c>
      <c r="R1075" s="20">
        <f>IF(N(X1075)=0,"",ROUND(X1075,1))</f>
        <v/>
      </c>
      <c r="S1075" s="18">
        <f>IF(N(X1075)=0,"",IF(AND(COUNTIFS(Log!$D$6:$D$1505,D1075,Log!$B$6:$B$1505,"&lt;"&amp;B1075)&gt;0,COUNTIFS(Log!$D$6:$D$1505,D1075,Log!$B$6:$B$1505,"&lt;"&amp;B1075,Log!$X$6:$X$1505,"&gt;="&amp;X1075)=0),"New best",""))</f>
        <v/>
      </c>
      <c r="T1075" s="26" t="n"/>
      <c r="U1075" s="1">
        <f>IF(D1075="","",IFERROR(INDEX(Exercises!$C$6:$C$105,MATCH(D1075,Exercises!$B$6:$B$105,0)),"Other"))</f>
        <v/>
      </c>
      <c r="V1075">
        <f>IF(B1075="","",IF(COUNTIF($B$6:B1075,B1075)=1,1,0))</f>
        <v/>
      </c>
      <c r="W1075">
        <f>IF(B1075="","",B1075-WEEKDAY(B1075,3))</f>
        <v/>
      </c>
      <c r="X1075">
        <f>IF(D1075="","",MAX(IF(N(F1075)=0,0,IF(N(E1075)&gt;0,E1075*(1+F1075/30),F1075)),IF(N(H1075)=0,0,IF(N(G1075)&gt;0,G1075*(1+H1075/30),H1075)),IF(N(J1075)=0,0,IF(N(I1075)&gt;0,I1075*(1+J1075/30),J1075)),IF(N(L1075)=0,0,IF(N(K1075)&gt;0,K1075*(1+L1075/30),L1075)),IF(N(N1075)=0,0,IF(N(M1075)&gt;0,M1075*(1+N1075/30),N1075))))</f>
        <v/>
      </c>
      <c r="Y1075">
        <f>IF(N(X1075)=0,"",X1075+ROW()/1000000000)</f>
        <v/>
      </c>
      <c r="Z1075">
        <f>IF(Y1075="","",IF(COUNTIFS(Log!$D$6:$D$1505,D1075,Log!$Y$6:$Y$1505,"&gt;"&amp;Y1075)=0,1,0))</f>
        <v/>
      </c>
      <c r="AA1075">
        <f>IF(OR(B1075="",D1075=""),"",B1075+ROW()/10000000)</f>
        <v/>
      </c>
      <c r="AB1075">
        <f>IF(AA1075="","",IF(COUNTIFS(Log!$D$6:$D$1505,D1075,Log!$AA$6:$AA$1505,"&gt;"&amp;AA1075)=0,1,0))</f>
        <v/>
      </c>
      <c r="AC1075">
        <f>IF(S1075="New best",AA1075,"")</f>
        <v/>
      </c>
      <c r="AD1075">
        <f>ROW()</f>
        <v/>
      </c>
    </row>
    <row r="1076">
      <c r="A1076" s="1" t="n"/>
      <c r="B1076" s="21" t="n"/>
      <c r="C1076" s="22" t="n"/>
      <c r="D1076" s="23" t="n"/>
      <c r="E1076" s="24" t="n"/>
      <c r="F1076" s="24" t="n"/>
      <c r="G1076" s="24" t="n"/>
      <c r="H1076" s="24" t="n"/>
      <c r="I1076" s="24" t="n"/>
      <c r="J1076" s="24" t="n"/>
      <c r="K1076" s="24" t="n"/>
      <c r="L1076" s="24" t="n"/>
      <c r="M1076" s="24" t="n"/>
      <c r="N1076" s="24" t="n"/>
      <c r="O1076" s="15">
        <f>IF(D1076="","",COUNT(F1076,H1076,J1076,L1076,N1076))</f>
        <v/>
      </c>
      <c r="P1076" s="25">
        <f>IF(D1076="","",N(E1076)*N(F1076)+N(G1076)*N(H1076)+N(I1076)*N(J1076)+N(K1076)*N(L1076)+N(M1076)*N(N1076))</f>
        <v/>
      </c>
      <c r="Q1076" s="18">
        <f>IF(N(X1076)=0,"",IF(IF(N(F1076)=0,0,IF(N(E1076)&gt;0,E1076*(1+F1076/30),F1076))=X1076,IF(N(E1076)&gt;0,E1076&amp;" x "&amp;F1076,F1076&amp;" reps"),IF(IF(N(H1076)=0,0,IF(N(G1076)&gt;0,G1076*(1+H1076/30),H1076))=X1076,IF(N(G1076)&gt;0,G1076&amp;" x "&amp;H1076,H1076&amp;" reps"),IF(IF(N(J1076)=0,0,IF(N(I1076)&gt;0,I1076*(1+J1076/30),J1076))=X1076,IF(N(I1076)&gt;0,I1076&amp;" x "&amp;J1076,J1076&amp;" reps"),IF(IF(N(L1076)=0,0,IF(N(K1076)&gt;0,K1076*(1+L1076/30),L1076))=X1076,IF(N(K1076)&gt;0,K1076&amp;" x "&amp;L1076,L1076&amp;" reps"),IF(IF(N(N1076)=0,0,IF(N(M1076)&gt;0,M1076*(1+N1076/30),N1076))=X1076,IF(N(M1076)&gt;0,M1076&amp;" x "&amp;N1076,N1076&amp;" reps"),""))))))</f>
        <v/>
      </c>
      <c r="R1076" s="20">
        <f>IF(N(X1076)=0,"",ROUND(X1076,1))</f>
        <v/>
      </c>
      <c r="S1076" s="18">
        <f>IF(N(X1076)=0,"",IF(AND(COUNTIFS(Log!$D$6:$D$1505,D1076,Log!$B$6:$B$1505,"&lt;"&amp;B1076)&gt;0,COUNTIFS(Log!$D$6:$D$1505,D1076,Log!$B$6:$B$1505,"&lt;"&amp;B1076,Log!$X$6:$X$1505,"&gt;="&amp;X1076)=0),"New best",""))</f>
        <v/>
      </c>
      <c r="T1076" s="26" t="n"/>
      <c r="U1076" s="1">
        <f>IF(D1076="","",IFERROR(INDEX(Exercises!$C$6:$C$105,MATCH(D1076,Exercises!$B$6:$B$105,0)),"Other"))</f>
        <v/>
      </c>
      <c r="V1076">
        <f>IF(B1076="","",IF(COUNTIF($B$6:B1076,B1076)=1,1,0))</f>
        <v/>
      </c>
      <c r="W1076">
        <f>IF(B1076="","",B1076-WEEKDAY(B1076,3))</f>
        <v/>
      </c>
      <c r="X1076">
        <f>IF(D1076="","",MAX(IF(N(F1076)=0,0,IF(N(E1076)&gt;0,E1076*(1+F1076/30),F1076)),IF(N(H1076)=0,0,IF(N(G1076)&gt;0,G1076*(1+H1076/30),H1076)),IF(N(J1076)=0,0,IF(N(I1076)&gt;0,I1076*(1+J1076/30),J1076)),IF(N(L1076)=0,0,IF(N(K1076)&gt;0,K1076*(1+L1076/30),L1076)),IF(N(N1076)=0,0,IF(N(M1076)&gt;0,M1076*(1+N1076/30),N1076))))</f>
        <v/>
      </c>
      <c r="Y1076">
        <f>IF(N(X1076)=0,"",X1076+ROW()/1000000000)</f>
        <v/>
      </c>
      <c r="Z1076">
        <f>IF(Y1076="","",IF(COUNTIFS(Log!$D$6:$D$1505,D1076,Log!$Y$6:$Y$1505,"&gt;"&amp;Y1076)=0,1,0))</f>
        <v/>
      </c>
      <c r="AA1076">
        <f>IF(OR(B1076="",D1076=""),"",B1076+ROW()/10000000)</f>
        <v/>
      </c>
      <c r="AB1076">
        <f>IF(AA1076="","",IF(COUNTIFS(Log!$D$6:$D$1505,D1076,Log!$AA$6:$AA$1505,"&gt;"&amp;AA1076)=0,1,0))</f>
        <v/>
      </c>
      <c r="AC1076">
        <f>IF(S1076="New best",AA1076,"")</f>
        <v/>
      </c>
      <c r="AD1076">
        <f>ROW()</f>
        <v/>
      </c>
    </row>
    <row r="1077">
      <c r="A1077" s="1" t="n"/>
      <c r="B1077" s="21" t="n"/>
      <c r="C1077" s="22" t="n"/>
      <c r="D1077" s="23" t="n"/>
      <c r="E1077" s="24" t="n"/>
      <c r="F1077" s="24" t="n"/>
      <c r="G1077" s="24" t="n"/>
      <c r="H1077" s="24" t="n"/>
      <c r="I1077" s="24" t="n"/>
      <c r="J1077" s="24" t="n"/>
      <c r="K1077" s="24" t="n"/>
      <c r="L1077" s="24" t="n"/>
      <c r="M1077" s="24" t="n"/>
      <c r="N1077" s="24" t="n"/>
      <c r="O1077" s="15">
        <f>IF(D1077="","",COUNT(F1077,H1077,J1077,L1077,N1077))</f>
        <v/>
      </c>
      <c r="P1077" s="25">
        <f>IF(D1077="","",N(E1077)*N(F1077)+N(G1077)*N(H1077)+N(I1077)*N(J1077)+N(K1077)*N(L1077)+N(M1077)*N(N1077))</f>
        <v/>
      </c>
      <c r="Q1077" s="18">
        <f>IF(N(X1077)=0,"",IF(IF(N(F1077)=0,0,IF(N(E1077)&gt;0,E1077*(1+F1077/30),F1077))=X1077,IF(N(E1077)&gt;0,E1077&amp;" x "&amp;F1077,F1077&amp;" reps"),IF(IF(N(H1077)=0,0,IF(N(G1077)&gt;0,G1077*(1+H1077/30),H1077))=X1077,IF(N(G1077)&gt;0,G1077&amp;" x "&amp;H1077,H1077&amp;" reps"),IF(IF(N(J1077)=0,0,IF(N(I1077)&gt;0,I1077*(1+J1077/30),J1077))=X1077,IF(N(I1077)&gt;0,I1077&amp;" x "&amp;J1077,J1077&amp;" reps"),IF(IF(N(L1077)=0,0,IF(N(K1077)&gt;0,K1077*(1+L1077/30),L1077))=X1077,IF(N(K1077)&gt;0,K1077&amp;" x "&amp;L1077,L1077&amp;" reps"),IF(IF(N(N1077)=0,0,IF(N(M1077)&gt;0,M1077*(1+N1077/30),N1077))=X1077,IF(N(M1077)&gt;0,M1077&amp;" x "&amp;N1077,N1077&amp;" reps"),""))))))</f>
        <v/>
      </c>
      <c r="R1077" s="20">
        <f>IF(N(X1077)=0,"",ROUND(X1077,1))</f>
        <v/>
      </c>
      <c r="S1077" s="18">
        <f>IF(N(X1077)=0,"",IF(AND(COUNTIFS(Log!$D$6:$D$1505,D1077,Log!$B$6:$B$1505,"&lt;"&amp;B1077)&gt;0,COUNTIFS(Log!$D$6:$D$1505,D1077,Log!$B$6:$B$1505,"&lt;"&amp;B1077,Log!$X$6:$X$1505,"&gt;="&amp;X1077)=0),"New best",""))</f>
        <v/>
      </c>
      <c r="T1077" s="26" t="n"/>
      <c r="U1077" s="1">
        <f>IF(D1077="","",IFERROR(INDEX(Exercises!$C$6:$C$105,MATCH(D1077,Exercises!$B$6:$B$105,0)),"Other"))</f>
        <v/>
      </c>
      <c r="V1077">
        <f>IF(B1077="","",IF(COUNTIF($B$6:B1077,B1077)=1,1,0))</f>
        <v/>
      </c>
      <c r="W1077">
        <f>IF(B1077="","",B1077-WEEKDAY(B1077,3))</f>
        <v/>
      </c>
      <c r="X1077">
        <f>IF(D1077="","",MAX(IF(N(F1077)=0,0,IF(N(E1077)&gt;0,E1077*(1+F1077/30),F1077)),IF(N(H1077)=0,0,IF(N(G1077)&gt;0,G1077*(1+H1077/30),H1077)),IF(N(J1077)=0,0,IF(N(I1077)&gt;0,I1077*(1+J1077/30),J1077)),IF(N(L1077)=0,0,IF(N(K1077)&gt;0,K1077*(1+L1077/30),L1077)),IF(N(N1077)=0,0,IF(N(M1077)&gt;0,M1077*(1+N1077/30),N1077))))</f>
        <v/>
      </c>
      <c r="Y1077">
        <f>IF(N(X1077)=0,"",X1077+ROW()/1000000000)</f>
        <v/>
      </c>
      <c r="Z1077">
        <f>IF(Y1077="","",IF(COUNTIFS(Log!$D$6:$D$1505,D1077,Log!$Y$6:$Y$1505,"&gt;"&amp;Y1077)=0,1,0))</f>
        <v/>
      </c>
      <c r="AA1077">
        <f>IF(OR(B1077="",D1077=""),"",B1077+ROW()/10000000)</f>
        <v/>
      </c>
      <c r="AB1077">
        <f>IF(AA1077="","",IF(COUNTIFS(Log!$D$6:$D$1505,D1077,Log!$AA$6:$AA$1505,"&gt;"&amp;AA1077)=0,1,0))</f>
        <v/>
      </c>
      <c r="AC1077">
        <f>IF(S1077="New best",AA1077,"")</f>
        <v/>
      </c>
      <c r="AD1077">
        <f>ROW()</f>
        <v/>
      </c>
    </row>
    <row r="1078">
      <c r="A1078" s="1" t="n"/>
      <c r="B1078" s="21" t="n"/>
      <c r="C1078" s="22" t="n"/>
      <c r="D1078" s="23" t="n"/>
      <c r="E1078" s="24" t="n"/>
      <c r="F1078" s="24" t="n"/>
      <c r="G1078" s="24" t="n"/>
      <c r="H1078" s="24" t="n"/>
      <c r="I1078" s="24" t="n"/>
      <c r="J1078" s="24" t="n"/>
      <c r="K1078" s="24" t="n"/>
      <c r="L1078" s="24" t="n"/>
      <c r="M1078" s="24" t="n"/>
      <c r="N1078" s="24" t="n"/>
      <c r="O1078" s="15">
        <f>IF(D1078="","",COUNT(F1078,H1078,J1078,L1078,N1078))</f>
        <v/>
      </c>
      <c r="P1078" s="25">
        <f>IF(D1078="","",N(E1078)*N(F1078)+N(G1078)*N(H1078)+N(I1078)*N(J1078)+N(K1078)*N(L1078)+N(M1078)*N(N1078))</f>
        <v/>
      </c>
      <c r="Q1078" s="18">
        <f>IF(N(X1078)=0,"",IF(IF(N(F1078)=0,0,IF(N(E1078)&gt;0,E1078*(1+F1078/30),F1078))=X1078,IF(N(E1078)&gt;0,E1078&amp;" x "&amp;F1078,F1078&amp;" reps"),IF(IF(N(H1078)=0,0,IF(N(G1078)&gt;0,G1078*(1+H1078/30),H1078))=X1078,IF(N(G1078)&gt;0,G1078&amp;" x "&amp;H1078,H1078&amp;" reps"),IF(IF(N(J1078)=0,0,IF(N(I1078)&gt;0,I1078*(1+J1078/30),J1078))=X1078,IF(N(I1078)&gt;0,I1078&amp;" x "&amp;J1078,J1078&amp;" reps"),IF(IF(N(L1078)=0,0,IF(N(K1078)&gt;0,K1078*(1+L1078/30),L1078))=X1078,IF(N(K1078)&gt;0,K1078&amp;" x "&amp;L1078,L1078&amp;" reps"),IF(IF(N(N1078)=0,0,IF(N(M1078)&gt;0,M1078*(1+N1078/30),N1078))=X1078,IF(N(M1078)&gt;0,M1078&amp;" x "&amp;N1078,N1078&amp;" reps"),""))))))</f>
        <v/>
      </c>
      <c r="R1078" s="20">
        <f>IF(N(X1078)=0,"",ROUND(X1078,1))</f>
        <v/>
      </c>
      <c r="S1078" s="18">
        <f>IF(N(X1078)=0,"",IF(AND(COUNTIFS(Log!$D$6:$D$1505,D1078,Log!$B$6:$B$1505,"&lt;"&amp;B1078)&gt;0,COUNTIFS(Log!$D$6:$D$1505,D1078,Log!$B$6:$B$1505,"&lt;"&amp;B1078,Log!$X$6:$X$1505,"&gt;="&amp;X1078)=0),"New best",""))</f>
        <v/>
      </c>
      <c r="T1078" s="26" t="n"/>
      <c r="U1078" s="1">
        <f>IF(D1078="","",IFERROR(INDEX(Exercises!$C$6:$C$105,MATCH(D1078,Exercises!$B$6:$B$105,0)),"Other"))</f>
        <v/>
      </c>
      <c r="V1078">
        <f>IF(B1078="","",IF(COUNTIF($B$6:B1078,B1078)=1,1,0))</f>
        <v/>
      </c>
      <c r="W1078">
        <f>IF(B1078="","",B1078-WEEKDAY(B1078,3))</f>
        <v/>
      </c>
      <c r="X1078">
        <f>IF(D1078="","",MAX(IF(N(F1078)=0,0,IF(N(E1078)&gt;0,E1078*(1+F1078/30),F1078)),IF(N(H1078)=0,0,IF(N(G1078)&gt;0,G1078*(1+H1078/30),H1078)),IF(N(J1078)=0,0,IF(N(I1078)&gt;0,I1078*(1+J1078/30),J1078)),IF(N(L1078)=0,0,IF(N(K1078)&gt;0,K1078*(1+L1078/30),L1078)),IF(N(N1078)=0,0,IF(N(M1078)&gt;0,M1078*(1+N1078/30),N1078))))</f>
        <v/>
      </c>
      <c r="Y1078">
        <f>IF(N(X1078)=0,"",X1078+ROW()/1000000000)</f>
        <v/>
      </c>
      <c r="Z1078">
        <f>IF(Y1078="","",IF(COUNTIFS(Log!$D$6:$D$1505,D1078,Log!$Y$6:$Y$1505,"&gt;"&amp;Y1078)=0,1,0))</f>
        <v/>
      </c>
      <c r="AA1078">
        <f>IF(OR(B1078="",D1078=""),"",B1078+ROW()/10000000)</f>
        <v/>
      </c>
      <c r="AB1078">
        <f>IF(AA1078="","",IF(COUNTIFS(Log!$D$6:$D$1505,D1078,Log!$AA$6:$AA$1505,"&gt;"&amp;AA1078)=0,1,0))</f>
        <v/>
      </c>
      <c r="AC1078">
        <f>IF(S1078="New best",AA1078,"")</f>
        <v/>
      </c>
      <c r="AD1078">
        <f>ROW()</f>
        <v/>
      </c>
    </row>
    <row r="1079">
      <c r="A1079" s="1" t="n"/>
      <c r="B1079" s="21" t="n"/>
      <c r="C1079" s="22" t="n"/>
      <c r="D1079" s="23" t="n"/>
      <c r="E1079" s="24" t="n"/>
      <c r="F1079" s="24" t="n"/>
      <c r="G1079" s="24" t="n"/>
      <c r="H1079" s="24" t="n"/>
      <c r="I1079" s="24" t="n"/>
      <c r="J1079" s="24" t="n"/>
      <c r="K1079" s="24" t="n"/>
      <c r="L1079" s="24" t="n"/>
      <c r="M1079" s="24" t="n"/>
      <c r="N1079" s="24" t="n"/>
      <c r="O1079" s="15">
        <f>IF(D1079="","",COUNT(F1079,H1079,J1079,L1079,N1079))</f>
        <v/>
      </c>
      <c r="P1079" s="25">
        <f>IF(D1079="","",N(E1079)*N(F1079)+N(G1079)*N(H1079)+N(I1079)*N(J1079)+N(K1079)*N(L1079)+N(M1079)*N(N1079))</f>
        <v/>
      </c>
      <c r="Q1079" s="18">
        <f>IF(N(X1079)=0,"",IF(IF(N(F1079)=0,0,IF(N(E1079)&gt;0,E1079*(1+F1079/30),F1079))=X1079,IF(N(E1079)&gt;0,E1079&amp;" x "&amp;F1079,F1079&amp;" reps"),IF(IF(N(H1079)=0,0,IF(N(G1079)&gt;0,G1079*(1+H1079/30),H1079))=X1079,IF(N(G1079)&gt;0,G1079&amp;" x "&amp;H1079,H1079&amp;" reps"),IF(IF(N(J1079)=0,0,IF(N(I1079)&gt;0,I1079*(1+J1079/30),J1079))=X1079,IF(N(I1079)&gt;0,I1079&amp;" x "&amp;J1079,J1079&amp;" reps"),IF(IF(N(L1079)=0,0,IF(N(K1079)&gt;0,K1079*(1+L1079/30),L1079))=X1079,IF(N(K1079)&gt;0,K1079&amp;" x "&amp;L1079,L1079&amp;" reps"),IF(IF(N(N1079)=0,0,IF(N(M1079)&gt;0,M1079*(1+N1079/30),N1079))=X1079,IF(N(M1079)&gt;0,M1079&amp;" x "&amp;N1079,N1079&amp;" reps"),""))))))</f>
        <v/>
      </c>
      <c r="R1079" s="20">
        <f>IF(N(X1079)=0,"",ROUND(X1079,1))</f>
        <v/>
      </c>
      <c r="S1079" s="18">
        <f>IF(N(X1079)=0,"",IF(AND(COUNTIFS(Log!$D$6:$D$1505,D1079,Log!$B$6:$B$1505,"&lt;"&amp;B1079)&gt;0,COUNTIFS(Log!$D$6:$D$1505,D1079,Log!$B$6:$B$1505,"&lt;"&amp;B1079,Log!$X$6:$X$1505,"&gt;="&amp;X1079)=0),"New best",""))</f>
        <v/>
      </c>
      <c r="T1079" s="26" t="n"/>
      <c r="U1079" s="1">
        <f>IF(D1079="","",IFERROR(INDEX(Exercises!$C$6:$C$105,MATCH(D1079,Exercises!$B$6:$B$105,0)),"Other"))</f>
        <v/>
      </c>
      <c r="V1079">
        <f>IF(B1079="","",IF(COUNTIF($B$6:B1079,B1079)=1,1,0))</f>
        <v/>
      </c>
      <c r="W1079">
        <f>IF(B1079="","",B1079-WEEKDAY(B1079,3))</f>
        <v/>
      </c>
      <c r="X1079">
        <f>IF(D1079="","",MAX(IF(N(F1079)=0,0,IF(N(E1079)&gt;0,E1079*(1+F1079/30),F1079)),IF(N(H1079)=0,0,IF(N(G1079)&gt;0,G1079*(1+H1079/30),H1079)),IF(N(J1079)=0,0,IF(N(I1079)&gt;0,I1079*(1+J1079/30),J1079)),IF(N(L1079)=0,0,IF(N(K1079)&gt;0,K1079*(1+L1079/30),L1079)),IF(N(N1079)=0,0,IF(N(M1079)&gt;0,M1079*(1+N1079/30),N1079))))</f>
        <v/>
      </c>
      <c r="Y1079">
        <f>IF(N(X1079)=0,"",X1079+ROW()/1000000000)</f>
        <v/>
      </c>
      <c r="Z1079">
        <f>IF(Y1079="","",IF(COUNTIFS(Log!$D$6:$D$1505,D1079,Log!$Y$6:$Y$1505,"&gt;"&amp;Y1079)=0,1,0))</f>
        <v/>
      </c>
      <c r="AA1079">
        <f>IF(OR(B1079="",D1079=""),"",B1079+ROW()/10000000)</f>
        <v/>
      </c>
      <c r="AB1079">
        <f>IF(AA1079="","",IF(COUNTIFS(Log!$D$6:$D$1505,D1079,Log!$AA$6:$AA$1505,"&gt;"&amp;AA1079)=0,1,0))</f>
        <v/>
      </c>
      <c r="AC1079">
        <f>IF(S1079="New best",AA1079,"")</f>
        <v/>
      </c>
      <c r="AD1079">
        <f>ROW()</f>
        <v/>
      </c>
    </row>
    <row r="1080">
      <c r="A1080" s="1" t="n"/>
      <c r="B1080" s="21" t="n"/>
      <c r="C1080" s="22" t="n"/>
      <c r="D1080" s="23" t="n"/>
      <c r="E1080" s="24" t="n"/>
      <c r="F1080" s="24" t="n"/>
      <c r="G1080" s="24" t="n"/>
      <c r="H1080" s="24" t="n"/>
      <c r="I1080" s="24" t="n"/>
      <c r="J1080" s="24" t="n"/>
      <c r="K1080" s="24" t="n"/>
      <c r="L1080" s="24" t="n"/>
      <c r="M1080" s="24" t="n"/>
      <c r="N1080" s="24" t="n"/>
      <c r="O1080" s="15">
        <f>IF(D1080="","",COUNT(F1080,H1080,J1080,L1080,N1080))</f>
        <v/>
      </c>
      <c r="P1080" s="25">
        <f>IF(D1080="","",N(E1080)*N(F1080)+N(G1080)*N(H1080)+N(I1080)*N(J1080)+N(K1080)*N(L1080)+N(M1080)*N(N1080))</f>
        <v/>
      </c>
      <c r="Q1080" s="18">
        <f>IF(N(X1080)=0,"",IF(IF(N(F1080)=0,0,IF(N(E1080)&gt;0,E1080*(1+F1080/30),F1080))=X1080,IF(N(E1080)&gt;0,E1080&amp;" x "&amp;F1080,F1080&amp;" reps"),IF(IF(N(H1080)=0,0,IF(N(G1080)&gt;0,G1080*(1+H1080/30),H1080))=X1080,IF(N(G1080)&gt;0,G1080&amp;" x "&amp;H1080,H1080&amp;" reps"),IF(IF(N(J1080)=0,0,IF(N(I1080)&gt;0,I1080*(1+J1080/30),J1080))=X1080,IF(N(I1080)&gt;0,I1080&amp;" x "&amp;J1080,J1080&amp;" reps"),IF(IF(N(L1080)=0,0,IF(N(K1080)&gt;0,K1080*(1+L1080/30),L1080))=X1080,IF(N(K1080)&gt;0,K1080&amp;" x "&amp;L1080,L1080&amp;" reps"),IF(IF(N(N1080)=0,0,IF(N(M1080)&gt;0,M1080*(1+N1080/30),N1080))=X1080,IF(N(M1080)&gt;0,M1080&amp;" x "&amp;N1080,N1080&amp;" reps"),""))))))</f>
        <v/>
      </c>
      <c r="R1080" s="20">
        <f>IF(N(X1080)=0,"",ROUND(X1080,1))</f>
        <v/>
      </c>
      <c r="S1080" s="18">
        <f>IF(N(X1080)=0,"",IF(AND(COUNTIFS(Log!$D$6:$D$1505,D1080,Log!$B$6:$B$1505,"&lt;"&amp;B1080)&gt;0,COUNTIFS(Log!$D$6:$D$1505,D1080,Log!$B$6:$B$1505,"&lt;"&amp;B1080,Log!$X$6:$X$1505,"&gt;="&amp;X1080)=0),"New best",""))</f>
        <v/>
      </c>
      <c r="T1080" s="26" t="n"/>
      <c r="U1080" s="1">
        <f>IF(D1080="","",IFERROR(INDEX(Exercises!$C$6:$C$105,MATCH(D1080,Exercises!$B$6:$B$105,0)),"Other"))</f>
        <v/>
      </c>
      <c r="V1080">
        <f>IF(B1080="","",IF(COUNTIF($B$6:B1080,B1080)=1,1,0))</f>
        <v/>
      </c>
      <c r="W1080">
        <f>IF(B1080="","",B1080-WEEKDAY(B1080,3))</f>
        <v/>
      </c>
      <c r="X1080">
        <f>IF(D1080="","",MAX(IF(N(F1080)=0,0,IF(N(E1080)&gt;0,E1080*(1+F1080/30),F1080)),IF(N(H1080)=0,0,IF(N(G1080)&gt;0,G1080*(1+H1080/30),H1080)),IF(N(J1080)=0,0,IF(N(I1080)&gt;0,I1080*(1+J1080/30),J1080)),IF(N(L1080)=0,0,IF(N(K1080)&gt;0,K1080*(1+L1080/30),L1080)),IF(N(N1080)=0,0,IF(N(M1080)&gt;0,M1080*(1+N1080/30),N1080))))</f>
        <v/>
      </c>
      <c r="Y1080">
        <f>IF(N(X1080)=0,"",X1080+ROW()/1000000000)</f>
        <v/>
      </c>
      <c r="Z1080">
        <f>IF(Y1080="","",IF(COUNTIFS(Log!$D$6:$D$1505,D1080,Log!$Y$6:$Y$1505,"&gt;"&amp;Y1080)=0,1,0))</f>
        <v/>
      </c>
      <c r="AA1080">
        <f>IF(OR(B1080="",D1080=""),"",B1080+ROW()/10000000)</f>
        <v/>
      </c>
      <c r="AB1080">
        <f>IF(AA1080="","",IF(COUNTIFS(Log!$D$6:$D$1505,D1080,Log!$AA$6:$AA$1505,"&gt;"&amp;AA1080)=0,1,0))</f>
        <v/>
      </c>
      <c r="AC1080">
        <f>IF(S1080="New best",AA1080,"")</f>
        <v/>
      </c>
      <c r="AD1080">
        <f>ROW()</f>
        <v/>
      </c>
    </row>
    <row r="1081">
      <c r="A1081" s="1" t="n"/>
      <c r="B1081" s="21" t="n"/>
      <c r="C1081" s="22" t="n"/>
      <c r="D1081" s="23" t="n"/>
      <c r="E1081" s="24" t="n"/>
      <c r="F1081" s="24" t="n"/>
      <c r="G1081" s="24" t="n"/>
      <c r="H1081" s="24" t="n"/>
      <c r="I1081" s="24" t="n"/>
      <c r="J1081" s="24" t="n"/>
      <c r="K1081" s="24" t="n"/>
      <c r="L1081" s="24" t="n"/>
      <c r="M1081" s="24" t="n"/>
      <c r="N1081" s="24" t="n"/>
      <c r="O1081" s="15">
        <f>IF(D1081="","",COUNT(F1081,H1081,J1081,L1081,N1081))</f>
        <v/>
      </c>
      <c r="P1081" s="25">
        <f>IF(D1081="","",N(E1081)*N(F1081)+N(G1081)*N(H1081)+N(I1081)*N(J1081)+N(K1081)*N(L1081)+N(M1081)*N(N1081))</f>
        <v/>
      </c>
      <c r="Q1081" s="18">
        <f>IF(N(X1081)=0,"",IF(IF(N(F1081)=0,0,IF(N(E1081)&gt;0,E1081*(1+F1081/30),F1081))=X1081,IF(N(E1081)&gt;0,E1081&amp;" x "&amp;F1081,F1081&amp;" reps"),IF(IF(N(H1081)=0,0,IF(N(G1081)&gt;0,G1081*(1+H1081/30),H1081))=X1081,IF(N(G1081)&gt;0,G1081&amp;" x "&amp;H1081,H1081&amp;" reps"),IF(IF(N(J1081)=0,0,IF(N(I1081)&gt;0,I1081*(1+J1081/30),J1081))=X1081,IF(N(I1081)&gt;0,I1081&amp;" x "&amp;J1081,J1081&amp;" reps"),IF(IF(N(L1081)=0,0,IF(N(K1081)&gt;0,K1081*(1+L1081/30),L1081))=X1081,IF(N(K1081)&gt;0,K1081&amp;" x "&amp;L1081,L1081&amp;" reps"),IF(IF(N(N1081)=0,0,IF(N(M1081)&gt;0,M1081*(1+N1081/30),N1081))=X1081,IF(N(M1081)&gt;0,M1081&amp;" x "&amp;N1081,N1081&amp;" reps"),""))))))</f>
        <v/>
      </c>
      <c r="R1081" s="20">
        <f>IF(N(X1081)=0,"",ROUND(X1081,1))</f>
        <v/>
      </c>
      <c r="S1081" s="18">
        <f>IF(N(X1081)=0,"",IF(AND(COUNTIFS(Log!$D$6:$D$1505,D1081,Log!$B$6:$B$1505,"&lt;"&amp;B1081)&gt;0,COUNTIFS(Log!$D$6:$D$1505,D1081,Log!$B$6:$B$1505,"&lt;"&amp;B1081,Log!$X$6:$X$1505,"&gt;="&amp;X1081)=0),"New best",""))</f>
        <v/>
      </c>
      <c r="T1081" s="26" t="n"/>
      <c r="U1081" s="1">
        <f>IF(D1081="","",IFERROR(INDEX(Exercises!$C$6:$C$105,MATCH(D1081,Exercises!$B$6:$B$105,0)),"Other"))</f>
        <v/>
      </c>
      <c r="V1081">
        <f>IF(B1081="","",IF(COUNTIF($B$6:B1081,B1081)=1,1,0))</f>
        <v/>
      </c>
      <c r="W1081">
        <f>IF(B1081="","",B1081-WEEKDAY(B1081,3))</f>
        <v/>
      </c>
      <c r="X1081">
        <f>IF(D1081="","",MAX(IF(N(F1081)=0,0,IF(N(E1081)&gt;0,E1081*(1+F1081/30),F1081)),IF(N(H1081)=0,0,IF(N(G1081)&gt;0,G1081*(1+H1081/30),H1081)),IF(N(J1081)=0,0,IF(N(I1081)&gt;0,I1081*(1+J1081/30),J1081)),IF(N(L1081)=0,0,IF(N(K1081)&gt;0,K1081*(1+L1081/30),L1081)),IF(N(N1081)=0,0,IF(N(M1081)&gt;0,M1081*(1+N1081/30),N1081))))</f>
        <v/>
      </c>
      <c r="Y1081">
        <f>IF(N(X1081)=0,"",X1081+ROW()/1000000000)</f>
        <v/>
      </c>
      <c r="Z1081">
        <f>IF(Y1081="","",IF(COUNTIFS(Log!$D$6:$D$1505,D1081,Log!$Y$6:$Y$1505,"&gt;"&amp;Y1081)=0,1,0))</f>
        <v/>
      </c>
      <c r="AA1081">
        <f>IF(OR(B1081="",D1081=""),"",B1081+ROW()/10000000)</f>
        <v/>
      </c>
      <c r="AB1081">
        <f>IF(AA1081="","",IF(COUNTIFS(Log!$D$6:$D$1505,D1081,Log!$AA$6:$AA$1505,"&gt;"&amp;AA1081)=0,1,0))</f>
        <v/>
      </c>
      <c r="AC1081">
        <f>IF(S1081="New best",AA1081,"")</f>
        <v/>
      </c>
      <c r="AD1081">
        <f>ROW()</f>
        <v/>
      </c>
    </row>
    <row r="1082">
      <c r="A1082" s="1" t="n"/>
      <c r="B1082" s="21" t="n"/>
      <c r="C1082" s="22" t="n"/>
      <c r="D1082" s="23" t="n"/>
      <c r="E1082" s="24" t="n"/>
      <c r="F1082" s="24" t="n"/>
      <c r="G1082" s="24" t="n"/>
      <c r="H1082" s="24" t="n"/>
      <c r="I1082" s="24" t="n"/>
      <c r="J1082" s="24" t="n"/>
      <c r="K1082" s="24" t="n"/>
      <c r="L1082" s="24" t="n"/>
      <c r="M1082" s="24" t="n"/>
      <c r="N1082" s="24" t="n"/>
      <c r="O1082" s="15">
        <f>IF(D1082="","",COUNT(F1082,H1082,J1082,L1082,N1082))</f>
        <v/>
      </c>
      <c r="P1082" s="25">
        <f>IF(D1082="","",N(E1082)*N(F1082)+N(G1082)*N(H1082)+N(I1082)*N(J1082)+N(K1082)*N(L1082)+N(M1082)*N(N1082))</f>
        <v/>
      </c>
      <c r="Q1082" s="18">
        <f>IF(N(X1082)=0,"",IF(IF(N(F1082)=0,0,IF(N(E1082)&gt;0,E1082*(1+F1082/30),F1082))=X1082,IF(N(E1082)&gt;0,E1082&amp;" x "&amp;F1082,F1082&amp;" reps"),IF(IF(N(H1082)=0,0,IF(N(G1082)&gt;0,G1082*(1+H1082/30),H1082))=X1082,IF(N(G1082)&gt;0,G1082&amp;" x "&amp;H1082,H1082&amp;" reps"),IF(IF(N(J1082)=0,0,IF(N(I1082)&gt;0,I1082*(1+J1082/30),J1082))=X1082,IF(N(I1082)&gt;0,I1082&amp;" x "&amp;J1082,J1082&amp;" reps"),IF(IF(N(L1082)=0,0,IF(N(K1082)&gt;0,K1082*(1+L1082/30),L1082))=X1082,IF(N(K1082)&gt;0,K1082&amp;" x "&amp;L1082,L1082&amp;" reps"),IF(IF(N(N1082)=0,0,IF(N(M1082)&gt;0,M1082*(1+N1082/30),N1082))=X1082,IF(N(M1082)&gt;0,M1082&amp;" x "&amp;N1082,N1082&amp;" reps"),""))))))</f>
        <v/>
      </c>
      <c r="R1082" s="20">
        <f>IF(N(X1082)=0,"",ROUND(X1082,1))</f>
        <v/>
      </c>
      <c r="S1082" s="18">
        <f>IF(N(X1082)=0,"",IF(AND(COUNTIFS(Log!$D$6:$D$1505,D1082,Log!$B$6:$B$1505,"&lt;"&amp;B1082)&gt;0,COUNTIFS(Log!$D$6:$D$1505,D1082,Log!$B$6:$B$1505,"&lt;"&amp;B1082,Log!$X$6:$X$1505,"&gt;="&amp;X1082)=0),"New best",""))</f>
        <v/>
      </c>
      <c r="T1082" s="26" t="n"/>
      <c r="U1082" s="1">
        <f>IF(D1082="","",IFERROR(INDEX(Exercises!$C$6:$C$105,MATCH(D1082,Exercises!$B$6:$B$105,0)),"Other"))</f>
        <v/>
      </c>
      <c r="V1082">
        <f>IF(B1082="","",IF(COUNTIF($B$6:B1082,B1082)=1,1,0))</f>
        <v/>
      </c>
      <c r="W1082">
        <f>IF(B1082="","",B1082-WEEKDAY(B1082,3))</f>
        <v/>
      </c>
      <c r="X1082">
        <f>IF(D1082="","",MAX(IF(N(F1082)=0,0,IF(N(E1082)&gt;0,E1082*(1+F1082/30),F1082)),IF(N(H1082)=0,0,IF(N(G1082)&gt;0,G1082*(1+H1082/30),H1082)),IF(N(J1082)=0,0,IF(N(I1082)&gt;0,I1082*(1+J1082/30),J1082)),IF(N(L1082)=0,0,IF(N(K1082)&gt;0,K1082*(1+L1082/30),L1082)),IF(N(N1082)=0,0,IF(N(M1082)&gt;0,M1082*(1+N1082/30),N1082))))</f>
        <v/>
      </c>
      <c r="Y1082">
        <f>IF(N(X1082)=0,"",X1082+ROW()/1000000000)</f>
        <v/>
      </c>
      <c r="Z1082">
        <f>IF(Y1082="","",IF(COUNTIFS(Log!$D$6:$D$1505,D1082,Log!$Y$6:$Y$1505,"&gt;"&amp;Y1082)=0,1,0))</f>
        <v/>
      </c>
      <c r="AA1082">
        <f>IF(OR(B1082="",D1082=""),"",B1082+ROW()/10000000)</f>
        <v/>
      </c>
      <c r="AB1082">
        <f>IF(AA1082="","",IF(COUNTIFS(Log!$D$6:$D$1505,D1082,Log!$AA$6:$AA$1505,"&gt;"&amp;AA1082)=0,1,0))</f>
        <v/>
      </c>
      <c r="AC1082">
        <f>IF(S1082="New best",AA1082,"")</f>
        <v/>
      </c>
      <c r="AD1082">
        <f>ROW()</f>
        <v/>
      </c>
    </row>
    <row r="1083">
      <c r="A1083" s="1" t="n"/>
      <c r="B1083" s="21" t="n"/>
      <c r="C1083" s="22" t="n"/>
      <c r="D1083" s="23" t="n"/>
      <c r="E1083" s="24" t="n"/>
      <c r="F1083" s="24" t="n"/>
      <c r="G1083" s="24" t="n"/>
      <c r="H1083" s="24" t="n"/>
      <c r="I1083" s="24" t="n"/>
      <c r="J1083" s="24" t="n"/>
      <c r="K1083" s="24" t="n"/>
      <c r="L1083" s="24" t="n"/>
      <c r="M1083" s="24" t="n"/>
      <c r="N1083" s="24" t="n"/>
      <c r="O1083" s="15">
        <f>IF(D1083="","",COUNT(F1083,H1083,J1083,L1083,N1083))</f>
        <v/>
      </c>
      <c r="P1083" s="25">
        <f>IF(D1083="","",N(E1083)*N(F1083)+N(G1083)*N(H1083)+N(I1083)*N(J1083)+N(K1083)*N(L1083)+N(M1083)*N(N1083))</f>
        <v/>
      </c>
      <c r="Q1083" s="18">
        <f>IF(N(X1083)=0,"",IF(IF(N(F1083)=0,0,IF(N(E1083)&gt;0,E1083*(1+F1083/30),F1083))=X1083,IF(N(E1083)&gt;0,E1083&amp;" x "&amp;F1083,F1083&amp;" reps"),IF(IF(N(H1083)=0,0,IF(N(G1083)&gt;0,G1083*(1+H1083/30),H1083))=X1083,IF(N(G1083)&gt;0,G1083&amp;" x "&amp;H1083,H1083&amp;" reps"),IF(IF(N(J1083)=0,0,IF(N(I1083)&gt;0,I1083*(1+J1083/30),J1083))=X1083,IF(N(I1083)&gt;0,I1083&amp;" x "&amp;J1083,J1083&amp;" reps"),IF(IF(N(L1083)=0,0,IF(N(K1083)&gt;0,K1083*(1+L1083/30),L1083))=X1083,IF(N(K1083)&gt;0,K1083&amp;" x "&amp;L1083,L1083&amp;" reps"),IF(IF(N(N1083)=0,0,IF(N(M1083)&gt;0,M1083*(1+N1083/30),N1083))=X1083,IF(N(M1083)&gt;0,M1083&amp;" x "&amp;N1083,N1083&amp;" reps"),""))))))</f>
        <v/>
      </c>
      <c r="R1083" s="20">
        <f>IF(N(X1083)=0,"",ROUND(X1083,1))</f>
        <v/>
      </c>
      <c r="S1083" s="18">
        <f>IF(N(X1083)=0,"",IF(AND(COUNTIFS(Log!$D$6:$D$1505,D1083,Log!$B$6:$B$1505,"&lt;"&amp;B1083)&gt;0,COUNTIFS(Log!$D$6:$D$1505,D1083,Log!$B$6:$B$1505,"&lt;"&amp;B1083,Log!$X$6:$X$1505,"&gt;="&amp;X1083)=0),"New best",""))</f>
        <v/>
      </c>
      <c r="T1083" s="26" t="n"/>
      <c r="U1083" s="1">
        <f>IF(D1083="","",IFERROR(INDEX(Exercises!$C$6:$C$105,MATCH(D1083,Exercises!$B$6:$B$105,0)),"Other"))</f>
        <v/>
      </c>
      <c r="V1083">
        <f>IF(B1083="","",IF(COUNTIF($B$6:B1083,B1083)=1,1,0))</f>
        <v/>
      </c>
      <c r="W1083">
        <f>IF(B1083="","",B1083-WEEKDAY(B1083,3))</f>
        <v/>
      </c>
      <c r="X1083">
        <f>IF(D1083="","",MAX(IF(N(F1083)=0,0,IF(N(E1083)&gt;0,E1083*(1+F1083/30),F1083)),IF(N(H1083)=0,0,IF(N(G1083)&gt;0,G1083*(1+H1083/30),H1083)),IF(N(J1083)=0,0,IF(N(I1083)&gt;0,I1083*(1+J1083/30),J1083)),IF(N(L1083)=0,0,IF(N(K1083)&gt;0,K1083*(1+L1083/30),L1083)),IF(N(N1083)=0,0,IF(N(M1083)&gt;0,M1083*(1+N1083/30),N1083))))</f>
        <v/>
      </c>
      <c r="Y1083">
        <f>IF(N(X1083)=0,"",X1083+ROW()/1000000000)</f>
        <v/>
      </c>
      <c r="Z1083">
        <f>IF(Y1083="","",IF(COUNTIFS(Log!$D$6:$D$1505,D1083,Log!$Y$6:$Y$1505,"&gt;"&amp;Y1083)=0,1,0))</f>
        <v/>
      </c>
      <c r="AA1083">
        <f>IF(OR(B1083="",D1083=""),"",B1083+ROW()/10000000)</f>
        <v/>
      </c>
      <c r="AB1083">
        <f>IF(AA1083="","",IF(COUNTIFS(Log!$D$6:$D$1505,D1083,Log!$AA$6:$AA$1505,"&gt;"&amp;AA1083)=0,1,0))</f>
        <v/>
      </c>
      <c r="AC1083">
        <f>IF(S1083="New best",AA1083,"")</f>
        <v/>
      </c>
      <c r="AD1083">
        <f>ROW()</f>
        <v/>
      </c>
    </row>
    <row r="1084">
      <c r="A1084" s="1" t="n"/>
      <c r="B1084" s="21" t="n"/>
      <c r="C1084" s="22" t="n"/>
      <c r="D1084" s="23" t="n"/>
      <c r="E1084" s="24" t="n"/>
      <c r="F1084" s="24" t="n"/>
      <c r="G1084" s="24" t="n"/>
      <c r="H1084" s="24" t="n"/>
      <c r="I1084" s="24" t="n"/>
      <c r="J1084" s="24" t="n"/>
      <c r="K1084" s="24" t="n"/>
      <c r="L1084" s="24" t="n"/>
      <c r="M1084" s="24" t="n"/>
      <c r="N1084" s="24" t="n"/>
      <c r="O1084" s="15">
        <f>IF(D1084="","",COUNT(F1084,H1084,J1084,L1084,N1084))</f>
        <v/>
      </c>
      <c r="P1084" s="25">
        <f>IF(D1084="","",N(E1084)*N(F1084)+N(G1084)*N(H1084)+N(I1084)*N(J1084)+N(K1084)*N(L1084)+N(M1084)*N(N1084))</f>
        <v/>
      </c>
      <c r="Q1084" s="18">
        <f>IF(N(X1084)=0,"",IF(IF(N(F1084)=0,0,IF(N(E1084)&gt;0,E1084*(1+F1084/30),F1084))=X1084,IF(N(E1084)&gt;0,E1084&amp;" x "&amp;F1084,F1084&amp;" reps"),IF(IF(N(H1084)=0,0,IF(N(G1084)&gt;0,G1084*(1+H1084/30),H1084))=X1084,IF(N(G1084)&gt;0,G1084&amp;" x "&amp;H1084,H1084&amp;" reps"),IF(IF(N(J1084)=0,0,IF(N(I1084)&gt;0,I1084*(1+J1084/30),J1084))=X1084,IF(N(I1084)&gt;0,I1084&amp;" x "&amp;J1084,J1084&amp;" reps"),IF(IF(N(L1084)=0,0,IF(N(K1084)&gt;0,K1084*(1+L1084/30),L1084))=X1084,IF(N(K1084)&gt;0,K1084&amp;" x "&amp;L1084,L1084&amp;" reps"),IF(IF(N(N1084)=0,0,IF(N(M1084)&gt;0,M1084*(1+N1084/30),N1084))=X1084,IF(N(M1084)&gt;0,M1084&amp;" x "&amp;N1084,N1084&amp;" reps"),""))))))</f>
        <v/>
      </c>
      <c r="R1084" s="20">
        <f>IF(N(X1084)=0,"",ROUND(X1084,1))</f>
        <v/>
      </c>
      <c r="S1084" s="18">
        <f>IF(N(X1084)=0,"",IF(AND(COUNTIFS(Log!$D$6:$D$1505,D1084,Log!$B$6:$B$1505,"&lt;"&amp;B1084)&gt;0,COUNTIFS(Log!$D$6:$D$1505,D1084,Log!$B$6:$B$1505,"&lt;"&amp;B1084,Log!$X$6:$X$1505,"&gt;="&amp;X1084)=0),"New best",""))</f>
        <v/>
      </c>
      <c r="T1084" s="26" t="n"/>
      <c r="U1084" s="1">
        <f>IF(D1084="","",IFERROR(INDEX(Exercises!$C$6:$C$105,MATCH(D1084,Exercises!$B$6:$B$105,0)),"Other"))</f>
        <v/>
      </c>
      <c r="V1084">
        <f>IF(B1084="","",IF(COUNTIF($B$6:B1084,B1084)=1,1,0))</f>
        <v/>
      </c>
      <c r="W1084">
        <f>IF(B1084="","",B1084-WEEKDAY(B1084,3))</f>
        <v/>
      </c>
      <c r="X1084">
        <f>IF(D1084="","",MAX(IF(N(F1084)=0,0,IF(N(E1084)&gt;0,E1084*(1+F1084/30),F1084)),IF(N(H1084)=0,0,IF(N(G1084)&gt;0,G1084*(1+H1084/30),H1084)),IF(N(J1084)=0,0,IF(N(I1084)&gt;0,I1084*(1+J1084/30),J1084)),IF(N(L1084)=0,0,IF(N(K1084)&gt;0,K1084*(1+L1084/30),L1084)),IF(N(N1084)=0,0,IF(N(M1084)&gt;0,M1084*(1+N1084/30),N1084))))</f>
        <v/>
      </c>
      <c r="Y1084">
        <f>IF(N(X1084)=0,"",X1084+ROW()/1000000000)</f>
        <v/>
      </c>
      <c r="Z1084">
        <f>IF(Y1084="","",IF(COUNTIFS(Log!$D$6:$D$1505,D1084,Log!$Y$6:$Y$1505,"&gt;"&amp;Y1084)=0,1,0))</f>
        <v/>
      </c>
      <c r="AA1084">
        <f>IF(OR(B1084="",D1084=""),"",B1084+ROW()/10000000)</f>
        <v/>
      </c>
      <c r="AB1084">
        <f>IF(AA1084="","",IF(COUNTIFS(Log!$D$6:$D$1505,D1084,Log!$AA$6:$AA$1505,"&gt;"&amp;AA1084)=0,1,0))</f>
        <v/>
      </c>
      <c r="AC1084">
        <f>IF(S1084="New best",AA1084,"")</f>
        <v/>
      </c>
      <c r="AD1084">
        <f>ROW()</f>
        <v/>
      </c>
    </row>
    <row r="1085">
      <c r="A1085" s="1" t="n"/>
      <c r="B1085" s="21" t="n"/>
      <c r="C1085" s="22" t="n"/>
      <c r="D1085" s="23" t="n"/>
      <c r="E1085" s="24" t="n"/>
      <c r="F1085" s="24" t="n"/>
      <c r="G1085" s="24" t="n"/>
      <c r="H1085" s="24" t="n"/>
      <c r="I1085" s="24" t="n"/>
      <c r="J1085" s="24" t="n"/>
      <c r="K1085" s="24" t="n"/>
      <c r="L1085" s="24" t="n"/>
      <c r="M1085" s="24" t="n"/>
      <c r="N1085" s="24" t="n"/>
      <c r="O1085" s="15">
        <f>IF(D1085="","",COUNT(F1085,H1085,J1085,L1085,N1085))</f>
        <v/>
      </c>
      <c r="P1085" s="25">
        <f>IF(D1085="","",N(E1085)*N(F1085)+N(G1085)*N(H1085)+N(I1085)*N(J1085)+N(K1085)*N(L1085)+N(M1085)*N(N1085))</f>
        <v/>
      </c>
      <c r="Q1085" s="18">
        <f>IF(N(X1085)=0,"",IF(IF(N(F1085)=0,0,IF(N(E1085)&gt;0,E1085*(1+F1085/30),F1085))=X1085,IF(N(E1085)&gt;0,E1085&amp;" x "&amp;F1085,F1085&amp;" reps"),IF(IF(N(H1085)=0,0,IF(N(G1085)&gt;0,G1085*(1+H1085/30),H1085))=X1085,IF(N(G1085)&gt;0,G1085&amp;" x "&amp;H1085,H1085&amp;" reps"),IF(IF(N(J1085)=0,0,IF(N(I1085)&gt;0,I1085*(1+J1085/30),J1085))=X1085,IF(N(I1085)&gt;0,I1085&amp;" x "&amp;J1085,J1085&amp;" reps"),IF(IF(N(L1085)=0,0,IF(N(K1085)&gt;0,K1085*(1+L1085/30),L1085))=X1085,IF(N(K1085)&gt;0,K1085&amp;" x "&amp;L1085,L1085&amp;" reps"),IF(IF(N(N1085)=0,0,IF(N(M1085)&gt;0,M1085*(1+N1085/30),N1085))=X1085,IF(N(M1085)&gt;0,M1085&amp;" x "&amp;N1085,N1085&amp;" reps"),""))))))</f>
        <v/>
      </c>
      <c r="R1085" s="20">
        <f>IF(N(X1085)=0,"",ROUND(X1085,1))</f>
        <v/>
      </c>
      <c r="S1085" s="18">
        <f>IF(N(X1085)=0,"",IF(AND(COUNTIFS(Log!$D$6:$D$1505,D1085,Log!$B$6:$B$1505,"&lt;"&amp;B1085)&gt;0,COUNTIFS(Log!$D$6:$D$1505,D1085,Log!$B$6:$B$1505,"&lt;"&amp;B1085,Log!$X$6:$X$1505,"&gt;="&amp;X1085)=0),"New best",""))</f>
        <v/>
      </c>
      <c r="T1085" s="26" t="n"/>
      <c r="U1085" s="1">
        <f>IF(D1085="","",IFERROR(INDEX(Exercises!$C$6:$C$105,MATCH(D1085,Exercises!$B$6:$B$105,0)),"Other"))</f>
        <v/>
      </c>
      <c r="V1085">
        <f>IF(B1085="","",IF(COUNTIF($B$6:B1085,B1085)=1,1,0))</f>
        <v/>
      </c>
      <c r="W1085">
        <f>IF(B1085="","",B1085-WEEKDAY(B1085,3))</f>
        <v/>
      </c>
      <c r="X1085">
        <f>IF(D1085="","",MAX(IF(N(F1085)=0,0,IF(N(E1085)&gt;0,E1085*(1+F1085/30),F1085)),IF(N(H1085)=0,0,IF(N(G1085)&gt;0,G1085*(1+H1085/30),H1085)),IF(N(J1085)=0,0,IF(N(I1085)&gt;0,I1085*(1+J1085/30),J1085)),IF(N(L1085)=0,0,IF(N(K1085)&gt;0,K1085*(1+L1085/30),L1085)),IF(N(N1085)=0,0,IF(N(M1085)&gt;0,M1085*(1+N1085/30),N1085))))</f>
        <v/>
      </c>
      <c r="Y1085">
        <f>IF(N(X1085)=0,"",X1085+ROW()/1000000000)</f>
        <v/>
      </c>
      <c r="Z1085">
        <f>IF(Y1085="","",IF(COUNTIFS(Log!$D$6:$D$1505,D1085,Log!$Y$6:$Y$1505,"&gt;"&amp;Y1085)=0,1,0))</f>
        <v/>
      </c>
      <c r="AA1085">
        <f>IF(OR(B1085="",D1085=""),"",B1085+ROW()/10000000)</f>
        <v/>
      </c>
      <c r="AB1085">
        <f>IF(AA1085="","",IF(COUNTIFS(Log!$D$6:$D$1505,D1085,Log!$AA$6:$AA$1505,"&gt;"&amp;AA1085)=0,1,0))</f>
        <v/>
      </c>
      <c r="AC1085">
        <f>IF(S1085="New best",AA1085,"")</f>
        <v/>
      </c>
      <c r="AD1085">
        <f>ROW()</f>
        <v/>
      </c>
    </row>
    <row r="1086">
      <c r="A1086" s="1" t="n"/>
      <c r="B1086" s="21" t="n"/>
      <c r="C1086" s="22" t="n"/>
      <c r="D1086" s="23" t="n"/>
      <c r="E1086" s="24" t="n"/>
      <c r="F1086" s="24" t="n"/>
      <c r="G1086" s="24" t="n"/>
      <c r="H1086" s="24" t="n"/>
      <c r="I1086" s="24" t="n"/>
      <c r="J1086" s="24" t="n"/>
      <c r="K1086" s="24" t="n"/>
      <c r="L1086" s="24" t="n"/>
      <c r="M1086" s="24" t="n"/>
      <c r="N1086" s="24" t="n"/>
      <c r="O1086" s="15">
        <f>IF(D1086="","",COUNT(F1086,H1086,J1086,L1086,N1086))</f>
        <v/>
      </c>
      <c r="P1086" s="25">
        <f>IF(D1086="","",N(E1086)*N(F1086)+N(G1086)*N(H1086)+N(I1086)*N(J1086)+N(K1086)*N(L1086)+N(M1086)*N(N1086))</f>
        <v/>
      </c>
      <c r="Q1086" s="18">
        <f>IF(N(X1086)=0,"",IF(IF(N(F1086)=0,0,IF(N(E1086)&gt;0,E1086*(1+F1086/30),F1086))=X1086,IF(N(E1086)&gt;0,E1086&amp;" x "&amp;F1086,F1086&amp;" reps"),IF(IF(N(H1086)=0,0,IF(N(G1086)&gt;0,G1086*(1+H1086/30),H1086))=X1086,IF(N(G1086)&gt;0,G1086&amp;" x "&amp;H1086,H1086&amp;" reps"),IF(IF(N(J1086)=0,0,IF(N(I1086)&gt;0,I1086*(1+J1086/30),J1086))=X1086,IF(N(I1086)&gt;0,I1086&amp;" x "&amp;J1086,J1086&amp;" reps"),IF(IF(N(L1086)=0,0,IF(N(K1086)&gt;0,K1086*(1+L1086/30),L1086))=X1086,IF(N(K1086)&gt;0,K1086&amp;" x "&amp;L1086,L1086&amp;" reps"),IF(IF(N(N1086)=0,0,IF(N(M1086)&gt;0,M1086*(1+N1086/30),N1086))=X1086,IF(N(M1086)&gt;0,M1086&amp;" x "&amp;N1086,N1086&amp;" reps"),""))))))</f>
        <v/>
      </c>
      <c r="R1086" s="20">
        <f>IF(N(X1086)=0,"",ROUND(X1086,1))</f>
        <v/>
      </c>
      <c r="S1086" s="18">
        <f>IF(N(X1086)=0,"",IF(AND(COUNTIFS(Log!$D$6:$D$1505,D1086,Log!$B$6:$B$1505,"&lt;"&amp;B1086)&gt;0,COUNTIFS(Log!$D$6:$D$1505,D1086,Log!$B$6:$B$1505,"&lt;"&amp;B1086,Log!$X$6:$X$1505,"&gt;="&amp;X1086)=0),"New best",""))</f>
        <v/>
      </c>
      <c r="T1086" s="26" t="n"/>
      <c r="U1086" s="1">
        <f>IF(D1086="","",IFERROR(INDEX(Exercises!$C$6:$C$105,MATCH(D1086,Exercises!$B$6:$B$105,0)),"Other"))</f>
        <v/>
      </c>
      <c r="V1086">
        <f>IF(B1086="","",IF(COUNTIF($B$6:B1086,B1086)=1,1,0))</f>
        <v/>
      </c>
      <c r="W1086">
        <f>IF(B1086="","",B1086-WEEKDAY(B1086,3))</f>
        <v/>
      </c>
      <c r="X1086">
        <f>IF(D1086="","",MAX(IF(N(F1086)=0,0,IF(N(E1086)&gt;0,E1086*(1+F1086/30),F1086)),IF(N(H1086)=0,0,IF(N(G1086)&gt;0,G1086*(1+H1086/30),H1086)),IF(N(J1086)=0,0,IF(N(I1086)&gt;0,I1086*(1+J1086/30),J1086)),IF(N(L1086)=0,0,IF(N(K1086)&gt;0,K1086*(1+L1086/30),L1086)),IF(N(N1086)=0,0,IF(N(M1086)&gt;0,M1086*(1+N1086/30),N1086))))</f>
        <v/>
      </c>
      <c r="Y1086">
        <f>IF(N(X1086)=0,"",X1086+ROW()/1000000000)</f>
        <v/>
      </c>
      <c r="Z1086">
        <f>IF(Y1086="","",IF(COUNTIFS(Log!$D$6:$D$1505,D1086,Log!$Y$6:$Y$1505,"&gt;"&amp;Y1086)=0,1,0))</f>
        <v/>
      </c>
      <c r="AA1086">
        <f>IF(OR(B1086="",D1086=""),"",B1086+ROW()/10000000)</f>
        <v/>
      </c>
      <c r="AB1086">
        <f>IF(AA1086="","",IF(COUNTIFS(Log!$D$6:$D$1505,D1086,Log!$AA$6:$AA$1505,"&gt;"&amp;AA1086)=0,1,0))</f>
        <v/>
      </c>
      <c r="AC1086">
        <f>IF(S1086="New best",AA1086,"")</f>
        <v/>
      </c>
      <c r="AD1086">
        <f>ROW()</f>
        <v/>
      </c>
    </row>
    <row r="1087">
      <c r="A1087" s="1" t="n"/>
      <c r="B1087" s="21" t="n"/>
      <c r="C1087" s="22" t="n"/>
      <c r="D1087" s="23" t="n"/>
      <c r="E1087" s="24" t="n"/>
      <c r="F1087" s="24" t="n"/>
      <c r="G1087" s="24" t="n"/>
      <c r="H1087" s="24" t="n"/>
      <c r="I1087" s="24" t="n"/>
      <c r="J1087" s="24" t="n"/>
      <c r="K1087" s="24" t="n"/>
      <c r="L1087" s="24" t="n"/>
      <c r="M1087" s="24" t="n"/>
      <c r="N1087" s="24" t="n"/>
      <c r="O1087" s="15">
        <f>IF(D1087="","",COUNT(F1087,H1087,J1087,L1087,N1087))</f>
        <v/>
      </c>
      <c r="P1087" s="25">
        <f>IF(D1087="","",N(E1087)*N(F1087)+N(G1087)*N(H1087)+N(I1087)*N(J1087)+N(K1087)*N(L1087)+N(M1087)*N(N1087))</f>
        <v/>
      </c>
      <c r="Q1087" s="18">
        <f>IF(N(X1087)=0,"",IF(IF(N(F1087)=0,0,IF(N(E1087)&gt;0,E1087*(1+F1087/30),F1087))=X1087,IF(N(E1087)&gt;0,E1087&amp;" x "&amp;F1087,F1087&amp;" reps"),IF(IF(N(H1087)=0,0,IF(N(G1087)&gt;0,G1087*(1+H1087/30),H1087))=X1087,IF(N(G1087)&gt;0,G1087&amp;" x "&amp;H1087,H1087&amp;" reps"),IF(IF(N(J1087)=0,0,IF(N(I1087)&gt;0,I1087*(1+J1087/30),J1087))=X1087,IF(N(I1087)&gt;0,I1087&amp;" x "&amp;J1087,J1087&amp;" reps"),IF(IF(N(L1087)=0,0,IF(N(K1087)&gt;0,K1087*(1+L1087/30),L1087))=X1087,IF(N(K1087)&gt;0,K1087&amp;" x "&amp;L1087,L1087&amp;" reps"),IF(IF(N(N1087)=0,0,IF(N(M1087)&gt;0,M1087*(1+N1087/30),N1087))=X1087,IF(N(M1087)&gt;0,M1087&amp;" x "&amp;N1087,N1087&amp;" reps"),""))))))</f>
        <v/>
      </c>
      <c r="R1087" s="20">
        <f>IF(N(X1087)=0,"",ROUND(X1087,1))</f>
        <v/>
      </c>
      <c r="S1087" s="18">
        <f>IF(N(X1087)=0,"",IF(AND(COUNTIFS(Log!$D$6:$D$1505,D1087,Log!$B$6:$B$1505,"&lt;"&amp;B1087)&gt;0,COUNTIFS(Log!$D$6:$D$1505,D1087,Log!$B$6:$B$1505,"&lt;"&amp;B1087,Log!$X$6:$X$1505,"&gt;="&amp;X1087)=0),"New best",""))</f>
        <v/>
      </c>
      <c r="T1087" s="26" t="n"/>
      <c r="U1087" s="1">
        <f>IF(D1087="","",IFERROR(INDEX(Exercises!$C$6:$C$105,MATCH(D1087,Exercises!$B$6:$B$105,0)),"Other"))</f>
        <v/>
      </c>
      <c r="V1087">
        <f>IF(B1087="","",IF(COUNTIF($B$6:B1087,B1087)=1,1,0))</f>
        <v/>
      </c>
      <c r="W1087">
        <f>IF(B1087="","",B1087-WEEKDAY(B1087,3))</f>
        <v/>
      </c>
      <c r="X1087">
        <f>IF(D1087="","",MAX(IF(N(F1087)=0,0,IF(N(E1087)&gt;0,E1087*(1+F1087/30),F1087)),IF(N(H1087)=0,0,IF(N(G1087)&gt;0,G1087*(1+H1087/30),H1087)),IF(N(J1087)=0,0,IF(N(I1087)&gt;0,I1087*(1+J1087/30),J1087)),IF(N(L1087)=0,0,IF(N(K1087)&gt;0,K1087*(1+L1087/30),L1087)),IF(N(N1087)=0,0,IF(N(M1087)&gt;0,M1087*(1+N1087/30),N1087))))</f>
        <v/>
      </c>
      <c r="Y1087">
        <f>IF(N(X1087)=0,"",X1087+ROW()/1000000000)</f>
        <v/>
      </c>
      <c r="Z1087">
        <f>IF(Y1087="","",IF(COUNTIFS(Log!$D$6:$D$1505,D1087,Log!$Y$6:$Y$1505,"&gt;"&amp;Y1087)=0,1,0))</f>
        <v/>
      </c>
      <c r="AA1087">
        <f>IF(OR(B1087="",D1087=""),"",B1087+ROW()/10000000)</f>
        <v/>
      </c>
      <c r="AB1087">
        <f>IF(AA1087="","",IF(COUNTIFS(Log!$D$6:$D$1505,D1087,Log!$AA$6:$AA$1505,"&gt;"&amp;AA1087)=0,1,0))</f>
        <v/>
      </c>
      <c r="AC1087">
        <f>IF(S1087="New best",AA1087,"")</f>
        <v/>
      </c>
      <c r="AD1087">
        <f>ROW()</f>
        <v/>
      </c>
    </row>
    <row r="1088">
      <c r="A1088" s="1" t="n"/>
      <c r="B1088" s="21" t="n"/>
      <c r="C1088" s="22" t="n"/>
      <c r="D1088" s="23" t="n"/>
      <c r="E1088" s="24" t="n"/>
      <c r="F1088" s="24" t="n"/>
      <c r="G1088" s="24" t="n"/>
      <c r="H1088" s="24" t="n"/>
      <c r="I1088" s="24" t="n"/>
      <c r="J1088" s="24" t="n"/>
      <c r="K1088" s="24" t="n"/>
      <c r="L1088" s="24" t="n"/>
      <c r="M1088" s="24" t="n"/>
      <c r="N1088" s="24" t="n"/>
      <c r="O1088" s="15">
        <f>IF(D1088="","",COUNT(F1088,H1088,J1088,L1088,N1088))</f>
        <v/>
      </c>
      <c r="P1088" s="25">
        <f>IF(D1088="","",N(E1088)*N(F1088)+N(G1088)*N(H1088)+N(I1088)*N(J1088)+N(K1088)*N(L1088)+N(M1088)*N(N1088))</f>
        <v/>
      </c>
      <c r="Q1088" s="18">
        <f>IF(N(X1088)=0,"",IF(IF(N(F1088)=0,0,IF(N(E1088)&gt;0,E1088*(1+F1088/30),F1088))=X1088,IF(N(E1088)&gt;0,E1088&amp;" x "&amp;F1088,F1088&amp;" reps"),IF(IF(N(H1088)=0,0,IF(N(G1088)&gt;0,G1088*(1+H1088/30),H1088))=X1088,IF(N(G1088)&gt;0,G1088&amp;" x "&amp;H1088,H1088&amp;" reps"),IF(IF(N(J1088)=0,0,IF(N(I1088)&gt;0,I1088*(1+J1088/30),J1088))=X1088,IF(N(I1088)&gt;0,I1088&amp;" x "&amp;J1088,J1088&amp;" reps"),IF(IF(N(L1088)=0,0,IF(N(K1088)&gt;0,K1088*(1+L1088/30),L1088))=X1088,IF(N(K1088)&gt;0,K1088&amp;" x "&amp;L1088,L1088&amp;" reps"),IF(IF(N(N1088)=0,0,IF(N(M1088)&gt;0,M1088*(1+N1088/30),N1088))=X1088,IF(N(M1088)&gt;0,M1088&amp;" x "&amp;N1088,N1088&amp;" reps"),""))))))</f>
        <v/>
      </c>
      <c r="R1088" s="20">
        <f>IF(N(X1088)=0,"",ROUND(X1088,1))</f>
        <v/>
      </c>
      <c r="S1088" s="18">
        <f>IF(N(X1088)=0,"",IF(AND(COUNTIFS(Log!$D$6:$D$1505,D1088,Log!$B$6:$B$1505,"&lt;"&amp;B1088)&gt;0,COUNTIFS(Log!$D$6:$D$1505,D1088,Log!$B$6:$B$1505,"&lt;"&amp;B1088,Log!$X$6:$X$1505,"&gt;="&amp;X1088)=0),"New best",""))</f>
        <v/>
      </c>
      <c r="T1088" s="26" t="n"/>
      <c r="U1088" s="1">
        <f>IF(D1088="","",IFERROR(INDEX(Exercises!$C$6:$C$105,MATCH(D1088,Exercises!$B$6:$B$105,0)),"Other"))</f>
        <v/>
      </c>
      <c r="V1088">
        <f>IF(B1088="","",IF(COUNTIF($B$6:B1088,B1088)=1,1,0))</f>
        <v/>
      </c>
      <c r="W1088">
        <f>IF(B1088="","",B1088-WEEKDAY(B1088,3))</f>
        <v/>
      </c>
      <c r="X1088">
        <f>IF(D1088="","",MAX(IF(N(F1088)=0,0,IF(N(E1088)&gt;0,E1088*(1+F1088/30),F1088)),IF(N(H1088)=0,0,IF(N(G1088)&gt;0,G1088*(1+H1088/30),H1088)),IF(N(J1088)=0,0,IF(N(I1088)&gt;0,I1088*(1+J1088/30),J1088)),IF(N(L1088)=0,0,IF(N(K1088)&gt;0,K1088*(1+L1088/30),L1088)),IF(N(N1088)=0,0,IF(N(M1088)&gt;0,M1088*(1+N1088/30),N1088))))</f>
        <v/>
      </c>
      <c r="Y1088">
        <f>IF(N(X1088)=0,"",X1088+ROW()/1000000000)</f>
        <v/>
      </c>
      <c r="Z1088">
        <f>IF(Y1088="","",IF(COUNTIFS(Log!$D$6:$D$1505,D1088,Log!$Y$6:$Y$1505,"&gt;"&amp;Y1088)=0,1,0))</f>
        <v/>
      </c>
      <c r="AA1088">
        <f>IF(OR(B1088="",D1088=""),"",B1088+ROW()/10000000)</f>
        <v/>
      </c>
      <c r="AB1088">
        <f>IF(AA1088="","",IF(COUNTIFS(Log!$D$6:$D$1505,D1088,Log!$AA$6:$AA$1505,"&gt;"&amp;AA1088)=0,1,0))</f>
        <v/>
      </c>
      <c r="AC1088">
        <f>IF(S1088="New best",AA1088,"")</f>
        <v/>
      </c>
      <c r="AD1088">
        <f>ROW()</f>
        <v/>
      </c>
    </row>
    <row r="1089">
      <c r="A1089" s="1" t="n"/>
      <c r="B1089" s="21" t="n"/>
      <c r="C1089" s="22" t="n"/>
      <c r="D1089" s="23" t="n"/>
      <c r="E1089" s="24" t="n"/>
      <c r="F1089" s="24" t="n"/>
      <c r="G1089" s="24" t="n"/>
      <c r="H1089" s="24" t="n"/>
      <c r="I1089" s="24" t="n"/>
      <c r="J1089" s="24" t="n"/>
      <c r="K1089" s="24" t="n"/>
      <c r="L1089" s="24" t="n"/>
      <c r="M1089" s="24" t="n"/>
      <c r="N1089" s="24" t="n"/>
      <c r="O1089" s="15">
        <f>IF(D1089="","",COUNT(F1089,H1089,J1089,L1089,N1089))</f>
        <v/>
      </c>
      <c r="P1089" s="25">
        <f>IF(D1089="","",N(E1089)*N(F1089)+N(G1089)*N(H1089)+N(I1089)*N(J1089)+N(K1089)*N(L1089)+N(M1089)*N(N1089))</f>
        <v/>
      </c>
      <c r="Q1089" s="18">
        <f>IF(N(X1089)=0,"",IF(IF(N(F1089)=0,0,IF(N(E1089)&gt;0,E1089*(1+F1089/30),F1089))=X1089,IF(N(E1089)&gt;0,E1089&amp;" x "&amp;F1089,F1089&amp;" reps"),IF(IF(N(H1089)=0,0,IF(N(G1089)&gt;0,G1089*(1+H1089/30),H1089))=X1089,IF(N(G1089)&gt;0,G1089&amp;" x "&amp;H1089,H1089&amp;" reps"),IF(IF(N(J1089)=0,0,IF(N(I1089)&gt;0,I1089*(1+J1089/30),J1089))=X1089,IF(N(I1089)&gt;0,I1089&amp;" x "&amp;J1089,J1089&amp;" reps"),IF(IF(N(L1089)=0,0,IF(N(K1089)&gt;0,K1089*(1+L1089/30),L1089))=X1089,IF(N(K1089)&gt;0,K1089&amp;" x "&amp;L1089,L1089&amp;" reps"),IF(IF(N(N1089)=0,0,IF(N(M1089)&gt;0,M1089*(1+N1089/30),N1089))=X1089,IF(N(M1089)&gt;0,M1089&amp;" x "&amp;N1089,N1089&amp;" reps"),""))))))</f>
        <v/>
      </c>
      <c r="R1089" s="20">
        <f>IF(N(X1089)=0,"",ROUND(X1089,1))</f>
        <v/>
      </c>
      <c r="S1089" s="18">
        <f>IF(N(X1089)=0,"",IF(AND(COUNTIFS(Log!$D$6:$D$1505,D1089,Log!$B$6:$B$1505,"&lt;"&amp;B1089)&gt;0,COUNTIFS(Log!$D$6:$D$1505,D1089,Log!$B$6:$B$1505,"&lt;"&amp;B1089,Log!$X$6:$X$1505,"&gt;="&amp;X1089)=0),"New best",""))</f>
        <v/>
      </c>
      <c r="T1089" s="26" t="n"/>
      <c r="U1089" s="1">
        <f>IF(D1089="","",IFERROR(INDEX(Exercises!$C$6:$C$105,MATCH(D1089,Exercises!$B$6:$B$105,0)),"Other"))</f>
        <v/>
      </c>
      <c r="V1089">
        <f>IF(B1089="","",IF(COUNTIF($B$6:B1089,B1089)=1,1,0))</f>
        <v/>
      </c>
      <c r="W1089">
        <f>IF(B1089="","",B1089-WEEKDAY(B1089,3))</f>
        <v/>
      </c>
      <c r="X1089">
        <f>IF(D1089="","",MAX(IF(N(F1089)=0,0,IF(N(E1089)&gt;0,E1089*(1+F1089/30),F1089)),IF(N(H1089)=0,0,IF(N(G1089)&gt;0,G1089*(1+H1089/30),H1089)),IF(N(J1089)=0,0,IF(N(I1089)&gt;0,I1089*(1+J1089/30),J1089)),IF(N(L1089)=0,0,IF(N(K1089)&gt;0,K1089*(1+L1089/30),L1089)),IF(N(N1089)=0,0,IF(N(M1089)&gt;0,M1089*(1+N1089/30),N1089))))</f>
        <v/>
      </c>
      <c r="Y1089">
        <f>IF(N(X1089)=0,"",X1089+ROW()/1000000000)</f>
        <v/>
      </c>
      <c r="Z1089">
        <f>IF(Y1089="","",IF(COUNTIFS(Log!$D$6:$D$1505,D1089,Log!$Y$6:$Y$1505,"&gt;"&amp;Y1089)=0,1,0))</f>
        <v/>
      </c>
      <c r="AA1089">
        <f>IF(OR(B1089="",D1089=""),"",B1089+ROW()/10000000)</f>
        <v/>
      </c>
      <c r="AB1089">
        <f>IF(AA1089="","",IF(COUNTIFS(Log!$D$6:$D$1505,D1089,Log!$AA$6:$AA$1505,"&gt;"&amp;AA1089)=0,1,0))</f>
        <v/>
      </c>
      <c r="AC1089">
        <f>IF(S1089="New best",AA1089,"")</f>
        <v/>
      </c>
      <c r="AD1089">
        <f>ROW()</f>
        <v/>
      </c>
    </row>
    <row r="1090">
      <c r="A1090" s="1" t="n"/>
      <c r="B1090" s="21" t="n"/>
      <c r="C1090" s="22" t="n"/>
      <c r="D1090" s="23" t="n"/>
      <c r="E1090" s="24" t="n"/>
      <c r="F1090" s="24" t="n"/>
      <c r="G1090" s="24" t="n"/>
      <c r="H1090" s="24" t="n"/>
      <c r="I1090" s="24" t="n"/>
      <c r="J1090" s="24" t="n"/>
      <c r="K1090" s="24" t="n"/>
      <c r="L1090" s="24" t="n"/>
      <c r="M1090" s="24" t="n"/>
      <c r="N1090" s="24" t="n"/>
      <c r="O1090" s="15">
        <f>IF(D1090="","",COUNT(F1090,H1090,J1090,L1090,N1090))</f>
        <v/>
      </c>
      <c r="P1090" s="25">
        <f>IF(D1090="","",N(E1090)*N(F1090)+N(G1090)*N(H1090)+N(I1090)*N(J1090)+N(K1090)*N(L1090)+N(M1090)*N(N1090))</f>
        <v/>
      </c>
      <c r="Q1090" s="18">
        <f>IF(N(X1090)=0,"",IF(IF(N(F1090)=0,0,IF(N(E1090)&gt;0,E1090*(1+F1090/30),F1090))=X1090,IF(N(E1090)&gt;0,E1090&amp;" x "&amp;F1090,F1090&amp;" reps"),IF(IF(N(H1090)=0,0,IF(N(G1090)&gt;0,G1090*(1+H1090/30),H1090))=X1090,IF(N(G1090)&gt;0,G1090&amp;" x "&amp;H1090,H1090&amp;" reps"),IF(IF(N(J1090)=0,0,IF(N(I1090)&gt;0,I1090*(1+J1090/30),J1090))=X1090,IF(N(I1090)&gt;0,I1090&amp;" x "&amp;J1090,J1090&amp;" reps"),IF(IF(N(L1090)=0,0,IF(N(K1090)&gt;0,K1090*(1+L1090/30),L1090))=X1090,IF(N(K1090)&gt;0,K1090&amp;" x "&amp;L1090,L1090&amp;" reps"),IF(IF(N(N1090)=0,0,IF(N(M1090)&gt;0,M1090*(1+N1090/30),N1090))=X1090,IF(N(M1090)&gt;0,M1090&amp;" x "&amp;N1090,N1090&amp;" reps"),""))))))</f>
        <v/>
      </c>
      <c r="R1090" s="20">
        <f>IF(N(X1090)=0,"",ROUND(X1090,1))</f>
        <v/>
      </c>
      <c r="S1090" s="18">
        <f>IF(N(X1090)=0,"",IF(AND(COUNTIFS(Log!$D$6:$D$1505,D1090,Log!$B$6:$B$1505,"&lt;"&amp;B1090)&gt;0,COUNTIFS(Log!$D$6:$D$1505,D1090,Log!$B$6:$B$1505,"&lt;"&amp;B1090,Log!$X$6:$X$1505,"&gt;="&amp;X1090)=0),"New best",""))</f>
        <v/>
      </c>
      <c r="T1090" s="26" t="n"/>
      <c r="U1090" s="1">
        <f>IF(D1090="","",IFERROR(INDEX(Exercises!$C$6:$C$105,MATCH(D1090,Exercises!$B$6:$B$105,0)),"Other"))</f>
        <v/>
      </c>
      <c r="V1090">
        <f>IF(B1090="","",IF(COUNTIF($B$6:B1090,B1090)=1,1,0))</f>
        <v/>
      </c>
      <c r="W1090">
        <f>IF(B1090="","",B1090-WEEKDAY(B1090,3))</f>
        <v/>
      </c>
      <c r="X1090">
        <f>IF(D1090="","",MAX(IF(N(F1090)=0,0,IF(N(E1090)&gt;0,E1090*(1+F1090/30),F1090)),IF(N(H1090)=0,0,IF(N(G1090)&gt;0,G1090*(1+H1090/30),H1090)),IF(N(J1090)=0,0,IF(N(I1090)&gt;0,I1090*(1+J1090/30),J1090)),IF(N(L1090)=0,0,IF(N(K1090)&gt;0,K1090*(1+L1090/30),L1090)),IF(N(N1090)=0,0,IF(N(M1090)&gt;0,M1090*(1+N1090/30),N1090))))</f>
        <v/>
      </c>
      <c r="Y1090">
        <f>IF(N(X1090)=0,"",X1090+ROW()/1000000000)</f>
        <v/>
      </c>
      <c r="Z1090">
        <f>IF(Y1090="","",IF(COUNTIFS(Log!$D$6:$D$1505,D1090,Log!$Y$6:$Y$1505,"&gt;"&amp;Y1090)=0,1,0))</f>
        <v/>
      </c>
      <c r="AA1090">
        <f>IF(OR(B1090="",D1090=""),"",B1090+ROW()/10000000)</f>
        <v/>
      </c>
      <c r="AB1090">
        <f>IF(AA1090="","",IF(COUNTIFS(Log!$D$6:$D$1505,D1090,Log!$AA$6:$AA$1505,"&gt;"&amp;AA1090)=0,1,0))</f>
        <v/>
      </c>
      <c r="AC1090">
        <f>IF(S1090="New best",AA1090,"")</f>
        <v/>
      </c>
      <c r="AD1090">
        <f>ROW()</f>
        <v/>
      </c>
    </row>
    <row r="1091">
      <c r="A1091" s="1" t="n"/>
      <c r="B1091" s="21" t="n"/>
      <c r="C1091" s="22" t="n"/>
      <c r="D1091" s="23" t="n"/>
      <c r="E1091" s="24" t="n"/>
      <c r="F1091" s="24" t="n"/>
      <c r="G1091" s="24" t="n"/>
      <c r="H1091" s="24" t="n"/>
      <c r="I1091" s="24" t="n"/>
      <c r="J1091" s="24" t="n"/>
      <c r="K1091" s="24" t="n"/>
      <c r="L1091" s="24" t="n"/>
      <c r="M1091" s="24" t="n"/>
      <c r="N1091" s="24" t="n"/>
      <c r="O1091" s="15">
        <f>IF(D1091="","",COUNT(F1091,H1091,J1091,L1091,N1091))</f>
        <v/>
      </c>
      <c r="P1091" s="25">
        <f>IF(D1091="","",N(E1091)*N(F1091)+N(G1091)*N(H1091)+N(I1091)*N(J1091)+N(K1091)*N(L1091)+N(M1091)*N(N1091))</f>
        <v/>
      </c>
      <c r="Q1091" s="18">
        <f>IF(N(X1091)=0,"",IF(IF(N(F1091)=0,0,IF(N(E1091)&gt;0,E1091*(1+F1091/30),F1091))=X1091,IF(N(E1091)&gt;0,E1091&amp;" x "&amp;F1091,F1091&amp;" reps"),IF(IF(N(H1091)=0,0,IF(N(G1091)&gt;0,G1091*(1+H1091/30),H1091))=X1091,IF(N(G1091)&gt;0,G1091&amp;" x "&amp;H1091,H1091&amp;" reps"),IF(IF(N(J1091)=0,0,IF(N(I1091)&gt;0,I1091*(1+J1091/30),J1091))=X1091,IF(N(I1091)&gt;0,I1091&amp;" x "&amp;J1091,J1091&amp;" reps"),IF(IF(N(L1091)=0,0,IF(N(K1091)&gt;0,K1091*(1+L1091/30),L1091))=X1091,IF(N(K1091)&gt;0,K1091&amp;" x "&amp;L1091,L1091&amp;" reps"),IF(IF(N(N1091)=0,0,IF(N(M1091)&gt;0,M1091*(1+N1091/30),N1091))=X1091,IF(N(M1091)&gt;0,M1091&amp;" x "&amp;N1091,N1091&amp;" reps"),""))))))</f>
        <v/>
      </c>
      <c r="R1091" s="20">
        <f>IF(N(X1091)=0,"",ROUND(X1091,1))</f>
        <v/>
      </c>
      <c r="S1091" s="18">
        <f>IF(N(X1091)=0,"",IF(AND(COUNTIFS(Log!$D$6:$D$1505,D1091,Log!$B$6:$B$1505,"&lt;"&amp;B1091)&gt;0,COUNTIFS(Log!$D$6:$D$1505,D1091,Log!$B$6:$B$1505,"&lt;"&amp;B1091,Log!$X$6:$X$1505,"&gt;="&amp;X1091)=0),"New best",""))</f>
        <v/>
      </c>
      <c r="T1091" s="26" t="n"/>
      <c r="U1091" s="1">
        <f>IF(D1091="","",IFERROR(INDEX(Exercises!$C$6:$C$105,MATCH(D1091,Exercises!$B$6:$B$105,0)),"Other"))</f>
        <v/>
      </c>
      <c r="V1091">
        <f>IF(B1091="","",IF(COUNTIF($B$6:B1091,B1091)=1,1,0))</f>
        <v/>
      </c>
      <c r="W1091">
        <f>IF(B1091="","",B1091-WEEKDAY(B1091,3))</f>
        <v/>
      </c>
      <c r="X1091">
        <f>IF(D1091="","",MAX(IF(N(F1091)=0,0,IF(N(E1091)&gt;0,E1091*(1+F1091/30),F1091)),IF(N(H1091)=0,0,IF(N(G1091)&gt;0,G1091*(1+H1091/30),H1091)),IF(N(J1091)=0,0,IF(N(I1091)&gt;0,I1091*(1+J1091/30),J1091)),IF(N(L1091)=0,0,IF(N(K1091)&gt;0,K1091*(1+L1091/30),L1091)),IF(N(N1091)=0,0,IF(N(M1091)&gt;0,M1091*(1+N1091/30),N1091))))</f>
        <v/>
      </c>
      <c r="Y1091">
        <f>IF(N(X1091)=0,"",X1091+ROW()/1000000000)</f>
        <v/>
      </c>
      <c r="Z1091">
        <f>IF(Y1091="","",IF(COUNTIFS(Log!$D$6:$D$1505,D1091,Log!$Y$6:$Y$1505,"&gt;"&amp;Y1091)=0,1,0))</f>
        <v/>
      </c>
      <c r="AA1091">
        <f>IF(OR(B1091="",D1091=""),"",B1091+ROW()/10000000)</f>
        <v/>
      </c>
      <c r="AB1091">
        <f>IF(AA1091="","",IF(COUNTIFS(Log!$D$6:$D$1505,D1091,Log!$AA$6:$AA$1505,"&gt;"&amp;AA1091)=0,1,0))</f>
        <v/>
      </c>
      <c r="AC1091">
        <f>IF(S1091="New best",AA1091,"")</f>
        <v/>
      </c>
      <c r="AD1091">
        <f>ROW()</f>
        <v/>
      </c>
    </row>
    <row r="1092">
      <c r="A1092" s="1" t="n"/>
      <c r="B1092" s="21" t="n"/>
      <c r="C1092" s="22" t="n"/>
      <c r="D1092" s="23" t="n"/>
      <c r="E1092" s="24" t="n"/>
      <c r="F1092" s="24" t="n"/>
      <c r="G1092" s="24" t="n"/>
      <c r="H1092" s="24" t="n"/>
      <c r="I1092" s="24" t="n"/>
      <c r="J1092" s="24" t="n"/>
      <c r="K1092" s="24" t="n"/>
      <c r="L1092" s="24" t="n"/>
      <c r="M1092" s="24" t="n"/>
      <c r="N1092" s="24" t="n"/>
      <c r="O1092" s="15">
        <f>IF(D1092="","",COUNT(F1092,H1092,J1092,L1092,N1092))</f>
        <v/>
      </c>
      <c r="P1092" s="25">
        <f>IF(D1092="","",N(E1092)*N(F1092)+N(G1092)*N(H1092)+N(I1092)*N(J1092)+N(K1092)*N(L1092)+N(M1092)*N(N1092))</f>
        <v/>
      </c>
      <c r="Q1092" s="18">
        <f>IF(N(X1092)=0,"",IF(IF(N(F1092)=0,0,IF(N(E1092)&gt;0,E1092*(1+F1092/30),F1092))=X1092,IF(N(E1092)&gt;0,E1092&amp;" x "&amp;F1092,F1092&amp;" reps"),IF(IF(N(H1092)=0,0,IF(N(G1092)&gt;0,G1092*(1+H1092/30),H1092))=X1092,IF(N(G1092)&gt;0,G1092&amp;" x "&amp;H1092,H1092&amp;" reps"),IF(IF(N(J1092)=0,0,IF(N(I1092)&gt;0,I1092*(1+J1092/30),J1092))=X1092,IF(N(I1092)&gt;0,I1092&amp;" x "&amp;J1092,J1092&amp;" reps"),IF(IF(N(L1092)=0,0,IF(N(K1092)&gt;0,K1092*(1+L1092/30),L1092))=X1092,IF(N(K1092)&gt;0,K1092&amp;" x "&amp;L1092,L1092&amp;" reps"),IF(IF(N(N1092)=0,0,IF(N(M1092)&gt;0,M1092*(1+N1092/30),N1092))=X1092,IF(N(M1092)&gt;0,M1092&amp;" x "&amp;N1092,N1092&amp;" reps"),""))))))</f>
        <v/>
      </c>
      <c r="R1092" s="20">
        <f>IF(N(X1092)=0,"",ROUND(X1092,1))</f>
        <v/>
      </c>
      <c r="S1092" s="18">
        <f>IF(N(X1092)=0,"",IF(AND(COUNTIFS(Log!$D$6:$D$1505,D1092,Log!$B$6:$B$1505,"&lt;"&amp;B1092)&gt;0,COUNTIFS(Log!$D$6:$D$1505,D1092,Log!$B$6:$B$1505,"&lt;"&amp;B1092,Log!$X$6:$X$1505,"&gt;="&amp;X1092)=0),"New best",""))</f>
        <v/>
      </c>
      <c r="T1092" s="26" t="n"/>
      <c r="U1092" s="1">
        <f>IF(D1092="","",IFERROR(INDEX(Exercises!$C$6:$C$105,MATCH(D1092,Exercises!$B$6:$B$105,0)),"Other"))</f>
        <v/>
      </c>
      <c r="V1092">
        <f>IF(B1092="","",IF(COUNTIF($B$6:B1092,B1092)=1,1,0))</f>
        <v/>
      </c>
      <c r="W1092">
        <f>IF(B1092="","",B1092-WEEKDAY(B1092,3))</f>
        <v/>
      </c>
      <c r="X1092">
        <f>IF(D1092="","",MAX(IF(N(F1092)=0,0,IF(N(E1092)&gt;0,E1092*(1+F1092/30),F1092)),IF(N(H1092)=0,0,IF(N(G1092)&gt;0,G1092*(1+H1092/30),H1092)),IF(N(J1092)=0,0,IF(N(I1092)&gt;0,I1092*(1+J1092/30),J1092)),IF(N(L1092)=0,0,IF(N(K1092)&gt;0,K1092*(1+L1092/30),L1092)),IF(N(N1092)=0,0,IF(N(M1092)&gt;0,M1092*(1+N1092/30),N1092))))</f>
        <v/>
      </c>
      <c r="Y1092">
        <f>IF(N(X1092)=0,"",X1092+ROW()/1000000000)</f>
        <v/>
      </c>
      <c r="Z1092">
        <f>IF(Y1092="","",IF(COUNTIFS(Log!$D$6:$D$1505,D1092,Log!$Y$6:$Y$1505,"&gt;"&amp;Y1092)=0,1,0))</f>
        <v/>
      </c>
      <c r="AA1092">
        <f>IF(OR(B1092="",D1092=""),"",B1092+ROW()/10000000)</f>
        <v/>
      </c>
      <c r="AB1092">
        <f>IF(AA1092="","",IF(COUNTIFS(Log!$D$6:$D$1505,D1092,Log!$AA$6:$AA$1505,"&gt;"&amp;AA1092)=0,1,0))</f>
        <v/>
      </c>
      <c r="AC1092">
        <f>IF(S1092="New best",AA1092,"")</f>
        <v/>
      </c>
      <c r="AD1092">
        <f>ROW()</f>
        <v/>
      </c>
    </row>
    <row r="1093">
      <c r="A1093" s="1" t="n"/>
      <c r="B1093" s="21" t="n"/>
      <c r="C1093" s="22" t="n"/>
      <c r="D1093" s="23" t="n"/>
      <c r="E1093" s="24" t="n"/>
      <c r="F1093" s="24" t="n"/>
      <c r="G1093" s="24" t="n"/>
      <c r="H1093" s="24" t="n"/>
      <c r="I1093" s="24" t="n"/>
      <c r="J1093" s="24" t="n"/>
      <c r="K1093" s="24" t="n"/>
      <c r="L1093" s="24" t="n"/>
      <c r="M1093" s="24" t="n"/>
      <c r="N1093" s="24" t="n"/>
      <c r="O1093" s="15">
        <f>IF(D1093="","",COUNT(F1093,H1093,J1093,L1093,N1093))</f>
        <v/>
      </c>
      <c r="P1093" s="25">
        <f>IF(D1093="","",N(E1093)*N(F1093)+N(G1093)*N(H1093)+N(I1093)*N(J1093)+N(K1093)*N(L1093)+N(M1093)*N(N1093))</f>
        <v/>
      </c>
      <c r="Q1093" s="18">
        <f>IF(N(X1093)=0,"",IF(IF(N(F1093)=0,0,IF(N(E1093)&gt;0,E1093*(1+F1093/30),F1093))=X1093,IF(N(E1093)&gt;0,E1093&amp;" x "&amp;F1093,F1093&amp;" reps"),IF(IF(N(H1093)=0,0,IF(N(G1093)&gt;0,G1093*(1+H1093/30),H1093))=X1093,IF(N(G1093)&gt;0,G1093&amp;" x "&amp;H1093,H1093&amp;" reps"),IF(IF(N(J1093)=0,0,IF(N(I1093)&gt;0,I1093*(1+J1093/30),J1093))=X1093,IF(N(I1093)&gt;0,I1093&amp;" x "&amp;J1093,J1093&amp;" reps"),IF(IF(N(L1093)=0,0,IF(N(K1093)&gt;0,K1093*(1+L1093/30),L1093))=X1093,IF(N(K1093)&gt;0,K1093&amp;" x "&amp;L1093,L1093&amp;" reps"),IF(IF(N(N1093)=0,0,IF(N(M1093)&gt;0,M1093*(1+N1093/30),N1093))=X1093,IF(N(M1093)&gt;0,M1093&amp;" x "&amp;N1093,N1093&amp;" reps"),""))))))</f>
        <v/>
      </c>
      <c r="R1093" s="20">
        <f>IF(N(X1093)=0,"",ROUND(X1093,1))</f>
        <v/>
      </c>
      <c r="S1093" s="18">
        <f>IF(N(X1093)=0,"",IF(AND(COUNTIFS(Log!$D$6:$D$1505,D1093,Log!$B$6:$B$1505,"&lt;"&amp;B1093)&gt;0,COUNTIFS(Log!$D$6:$D$1505,D1093,Log!$B$6:$B$1505,"&lt;"&amp;B1093,Log!$X$6:$X$1505,"&gt;="&amp;X1093)=0),"New best",""))</f>
        <v/>
      </c>
      <c r="T1093" s="26" t="n"/>
      <c r="U1093" s="1">
        <f>IF(D1093="","",IFERROR(INDEX(Exercises!$C$6:$C$105,MATCH(D1093,Exercises!$B$6:$B$105,0)),"Other"))</f>
        <v/>
      </c>
      <c r="V1093">
        <f>IF(B1093="","",IF(COUNTIF($B$6:B1093,B1093)=1,1,0))</f>
        <v/>
      </c>
      <c r="W1093">
        <f>IF(B1093="","",B1093-WEEKDAY(B1093,3))</f>
        <v/>
      </c>
      <c r="X1093">
        <f>IF(D1093="","",MAX(IF(N(F1093)=0,0,IF(N(E1093)&gt;0,E1093*(1+F1093/30),F1093)),IF(N(H1093)=0,0,IF(N(G1093)&gt;0,G1093*(1+H1093/30),H1093)),IF(N(J1093)=0,0,IF(N(I1093)&gt;0,I1093*(1+J1093/30),J1093)),IF(N(L1093)=0,0,IF(N(K1093)&gt;0,K1093*(1+L1093/30),L1093)),IF(N(N1093)=0,0,IF(N(M1093)&gt;0,M1093*(1+N1093/30),N1093))))</f>
        <v/>
      </c>
      <c r="Y1093">
        <f>IF(N(X1093)=0,"",X1093+ROW()/1000000000)</f>
        <v/>
      </c>
      <c r="Z1093">
        <f>IF(Y1093="","",IF(COUNTIFS(Log!$D$6:$D$1505,D1093,Log!$Y$6:$Y$1505,"&gt;"&amp;Y1093)=0,1,0))</f>
        <v/>
      </c>
      <c r="AA1093">
        <f>IF(OR(B1093="",D1093=""),"",B1093+ROW()/10000000)</f>
        <v/>
      </c>
      <c r="AB1093">
        <f>IF(AA1093="","",IF(COUNTIFS(Log!$D$6:$D$1505,D1093,Log!$AA$6:$AA$1505,"&gt;"&amp;AA1093)=0,1,0))</f>
        <v/>
      </c>
      <c r="AC1093">
        <f>IF(S1093="New best",AA1093,"")</f>
        <v/>
      </c>
      <c r="AD1093">
        <f>ROW()</f>
        <v/>
      </c>
    </row>
    <row r="1094">
      <c r="A1094" s="1" t="n"/>
      <c r="B1094" s="21" t="n"/>
      <c r="C1094" s="22" t="n"/>
      <c r="D1094" s="23" t="n"/>
      <c r="E1094" s="24" t="n"/>
      <c r="F1094" s="24" t="n"/>
      <c r="G1094" s="24" t="n"/>
      <c r="H1094" s="24" t="n"/>
      <c r="I1094" s="24" t="n"/>
      <c r="J1094" s="24" t="n"/>
      <c r="K1094" s="24" t="n"/>
      <c r="L1094" s="24" t="n"/>
      <c r="M1094" s="24" t="n"/>
      <c r="N1094" s="24" t="n"/>
      <c r="O1094" s="15">
        <f>IF(D1094="","",COUNT(F1094,H1094,J1094,L1094,N1094))</f>
        <v/>
      </c>
      <c r="P1094" s="25">
        <f>IF(D1094="","",N(E1094)*N(F1094)+N(G1094)*N(H1094)+N(I1094)*N(J1094)+N(K1094)*N(L1094)+N(M1094)*N(N1094))</f>
        <v/>
      </c>
      <c r="Q1094" s="18">
        <f>IF(N(X1094)=0,"",IF(IF(N(F1094)=0,0,IF(N(E1094)&gt;0,E1094*(1+F1094/30),F1094))=X1094,IF(N(E1094)&gt;0,E1094&amp;" x "&amp;F1094,F1094&amp;" reps"),IF(IF(N(H1094)=0,0,IF(N(G1094)&gt;0,G1094*(1+H1094/30),H1094))=X1094,IF(N(G1094)&gt;0,G1094&amp;" x "&amp;H1094,H1094&amp;" reps"),IF(IF(N(J1094)=0,0,IF(N(I1094)&gt;0,I1094*(1+J1094/30),J1094))=X1094,IF(N(I1094)&gt;0,I1094&amp;" x "&amp;J1094,J1094&amp;" reps"),IF(IF(N(L1094)=0,0,IF(N(K1094)&gt;0,K1094*(1+L1094/30),L1094))=X1094,IF(N(K1094)&gt;0,K1094&amp;" x "&amp;L1094,L1094&amp;" reps"),IF(IF(N(N1094)=0,0,IF(N(M1094)&gt;0,M1094*(1+N1094/30),N1094))=X1094,IF(N(M1094)&gt;0,M1094&amp;" x "&amp;N1094,N1094&amp;" reps"),""))))))</f>
        <v/>
      </c>
      <c r="R1094" s="20">
        <f>IF(N(X1094)=0,"",ROUND(X1094,1))</f>
        <v/>
      </c>
      <c r="S1094" s="18">
        <f>IF(N(X1094)=0,"",IF(AND(COUNTIFS(Log!$D$6:$D$1505,D1094,Log!$B$6:$B$1505,"&lt;"&amp;B1094)&gt;0,COUNTIFS(Log!$D$6:$D$1505,D1094,Log!$B$6:$B$1505,"&lt;"&amp;B1094,Log!$X$6:$X$1505,"&gt;="&amp;X1094)=0),"New best",""))</f>
        <v/>
      </c>
      <c r="T1094" s="26" t="n"/>
      <c r="U1094" s="1">
        <f>IF(D1094="","",IFERROR(INDEX(Exercises!$C$6:$C$105,MATCH(D1094,Exercises!$B$6:$B$105,0)),"Other"))</f>
        <v/>
      </c>
      <c r="V1094">
        <f>IF(B1094="","",IF(COUNTIF($B$6:B1094,B1094)=1,1,0))</f>
        <v/>
      </c>
      <c r="W1094">
        <f>IF(B1094="","",B1094-WEEKDAY(B1094,3))</f>
        <v/>
      </c>
      <c r="X1094">
        <f>IF(D1094="","",MAX(IF(N(F1094)=0,0,IF(N(E1094)&gt;0,E1094*(1+F1094/30),F1094)),IF(N(H1094)=0,0,IF(N(G1094)&gt;0,G1094*(1+H1094/30),H1094)),IF(N(J1094)=0,0,IF(N(I1094)&gt;0,I1094*(1+J1094/30),J1094)),IF(N(L1094)=0,0,IF(N(K1094)&gt;0,K1094*(1+L1094/30),L1094)),IF(N(N1094)=0,0,IF(N(M1094)&gt;0,M1094*(1+N1094/30),N1094))))</f>
        <v/>
      </c>
      <c r="Y1094">
        <f>IF(N(X1094)=0,"",X1094+ROW()/1000000000)</f>
        <v/>
      </c>
      <c r="Z1094">
        <f>IF(Y1094="","",IF(COUNTIFS(Log!$D$6:$D$1505,D1094,Log!$Y$6:$Y$1505,"&gt;"&amp;Y1094)=0,1,0))</f>
        <v/>
      </c>
      <c r="AA1094">
        <f>IF(OR(B1094="",D1094=""),"",B1094+ROW()/10000000)</f>
        <v/>
      </c>
      <c r="AB1094">
        <f>IF(AA1094="","",IF(COUNTIFS(Log!$D$6:$D$1505,D1094,Log!$AA$6:$AA$1505,"&gt;"&amp;AA1094)=0,1,0))</f>
        <v/>
      </c>
      <c r="AC1094">
        <f>IF(S1094="New best",AA1094,"")</f>
        <v/>
      </c>
      <c r="AD1094">
        <f>ROW()</f>
        <v/>
      </c>
    </row>
    <row r="1095">
      <c r="A1095" s="1" t="n"/>
      <c r="B1095" s="21" t="n"/>
      <c r="C1095" s="22" t="n"/>
      <c r="D1095" s="23" t="n"/>
      <c r="E1095" s="24" t="n"/>
      <c r="F1095" s="24" t="n"/>
      <c r="G1095" s="24" t="n"/>
      <c r="H1095" s="24" t="n"/>
      <c r="I1095" s="24" t="n"/>
      <c r="J1095" s="24" t="n"/>
      <c r="K1095" s="24" t="n"/>
      <c r="L1095" s="24" t="n"/>
      <c r="M1095" s="24" t="n"/>
      <c r="N1095" s="24" t="n"/>
      <c r="O1095" s="15">
        <f>IF(D1095="","",COUNT(F1095,H1095,J1095,L1095,N1095))</f>
        <v/>
      </c>
      <c r="P1095" s="25">
        <f>IF(D1095="","",N(E1095)*N(F1095)+N(G1095)*N(H1095)+N(I1095)*N(J1095)+N(K1095)*N(L1095)+N(M1095)*N(N1095))</f>
        <v/>
      </c>
      <c r="Q1095" s="18">
        <f>IF(N(X1095)=0,"",IF(IF(N(F1095)=0,0,IF(N(E1095)&gt;0,E1095*(1+F1095/30),F1095))=X1095,IF(N(E1095)&gt;0,E1095&amp;" x "&amp;F1095,F1095&amp;" reps"),IF(IF(N(H1095)=0,0,IF(N(G1095)&gt;0,G1095*(1+H1095/30),H1095))=X1095,IF(N(G1095)&gt;0,G1095&amp;" x "&amp;H1095,H1095&amp;" reps"),IF(IF(N(J1095)=0,0,IF(N(I1095)&gt;0,I1095*(1+J1095/30),J1095))=X1095,IF(N(I1095)&gt;0,I1095&amp;" x "&amp;J1095,J1095&amp;" reps"),IF(IF(N(L1095)=0,0,IF(N(K1095)&gt;0,K1095*(1+L1095/30),L1095))=X1095,IF(N(K1095)&gt;0,K1095&amp;" x "&amp;L1095,L1095&amp;" reps"),IF(IF(N(N1095)=0,0,IF(N(M1095)&gt;0,M1095*(1+N1095/30),N1095))=X1095,IF(N(M1095)&gt;0,M1095&amp;" x "&amp;N1095,N1095&amp;" reps"),""))))))</f>
        <v/>
      </c>
      <c r="R1095" s="20">
        <f>IF(N(X1095)=0,"",ROUND(X1095,1))</f>
        <v/>
      </c>
      <c r="S1095" s="18">
        <f>IF(N(X1095)=0,"",IF(AND(COUNTIFS(Log!$D$6:$D$1505,D1095,Log!$B$6:$B$1505,"&lt;"&amp;B1095)&gt;0,COUNTIFS(Log!$D$6:$D$1505,D1095,Log!$B$6:$B$1505,"&lt;"&amp;B1095,Log!$X$6:$X$1505,"&gt;="&amp;X1095)=0),"New best",""))</f>
        <v/>
      </c>
      <c r="T1095" s="26" t="n"/>
      <c r="U1095" s="1">
        <f>IF(D1095="","",IFERROR(INDEX(Exercises!$C$6:$C$105,MATCH(D1095,Exercises!$B$6:$B$105,0)),"Other"))</f>
        <v/>
      </c>
      <c r="V1095">
        <f>IF(B1095="","",IF(COUNTIF($B$6:B1095,B1095)=1,1,0))</f>
        <v/>
      </c>
      <c r="W1095">
        <f>IF(B1095="","",B1095-WEEKDAY(B1095,3))</f>
        <v/>
      </c>
      <c r="X1095">
        <f>IF(D1095="","",MAX(IF(N(F1095)=0,0,IF(N(E1095)&gt;0,E1095*(1+F1095/30),F1095)),IF(N(H1095)=0,0,IF(N(G1095)&gt;0,G1095*(1+H1095/30),H1095)),IF(N(J1095)=0,0,IF(N(I1095)&gt;0,I1095*(1+J1095/30),J1095)),IF(N(L1095)=0,0,IF(N(K1095)&gt;0,K1095*(1+L1095/30),L1095)),IF(N(N1095)=0,0,IF(N(M1095)&gt;0,M1095*(1+N1095/30),N1095))))</f>
        <v/>
      </c>
      <c r="Y1095">
        <f>IF(N(X1095)=0,"",X1095+ROW()/1000000000)</f>
        <v/>
      </c>
      <c r="Z1095">
        <f>IF(Y1095="","",IF(COUNTIFS(Log!$D$6:$D$1505,D1095,Log!$Y$6:$Y$1505,"&gt;"&amp;Y1095)=0,1,0))</f>
        <v/>
      </c>
      <c r="AA1095">
        <f>IF(OR(B1095="",D1095=""),"",B1095+ROW()/10000000)</f>
        <v/>
      </c>
      <c r="AB1095">
        <f>IF(AA1095="","",IF(COUNTIFS(Log!$D$6:$D$1505,D1095,Log!$AA$6:$AA$1505,"&gt;"&amp;AA1095)=0,1,0))</f>
        <v/>
      </c>
      <c r="AC1095">
        <f>IF(S1095="New best",AA1095,"")</f>
        <v/>
      </c>
      <c r="AD1095">
        <f>ROW()</f>
        <v/>
      </c>
    </row>
    <row r="1096">
      <c r="A1096" s="1" t="n"/>
      <c r="B1096" s="21" t="n"/>
      <c r="C1096" s="22" t="n"/>
      <c r="D1096" s="23" t="n"/>
      <c r="E1096" s="24" t="n"/>
      <c r="F1096" s="24" t="n"/>
      <c r="G1096" s="24" t="n"/>
      <c r="H1096" s="24" t="n"/>
      <c r="I1096" s="24" t="n"/>
      <c r="J1096" s="24" t="n"/>
      <c r="K1096" s="24" t="n"/>
      <c r="L1096" s="24" t="n"/>
      <c r="M1096" s="24" t="n"/>
      <c r="N1096" s="24" t="n"/>
      <c r="O1096" s="15">
        <f>IF(D1096="","",COUNT(F1096,H1096,J1096,L1096,N1096))</f>
        <v/>
      </c>
      <c r="P1096" s="25">
        <f>IF(D1096="","",N(E1096)*N(F1096)+N(G1096)*N(H1096)+N(I1096)*N(J1096)+N(K1096)*N(L1096)+N(M1096)*N(N1096))</f>
        <v/>
      </c>
      <c r="Q1096" s="18">
        <f>IF(N(X1096)=0,"",IF(IF(N(F1096)=0,0,IF(N(E1096)&gt;0,E1096*(1+F1096/30),F1096))=X1096,IF(N(E1096)&gt;0,E1096&amp;" x "&amp;F1096,F1096&amp;" reps"),IF(IF(N(H1096)=0,0,IF(N(G1096)&gt;0,G1096*(1+H1096/30),H1096))=X1096,IF(N(G1096)&gt;0,G1096&amp;" x "&amp;H1096,H1096&amp;" reps"),IF(IF(N(J1096)=0,0,IF(N(I1096)&gt;0,I1096*(1+J1096/30),J1096))=X1096,IF(N(I1096)&gt;0,I1096&amp;" x "&amp;J1096,J1096&amp;" reps"),IF(IF(N(L1096)=0,0,IF(N(K1096)&gt;0,K1096*(1+L1096/30),L1096))=X1096,IF(N(K1096)&gt;0,K1096&amp;" x "&amp;L1096,L1096&amp;" reps"),IF(IF(N(N1096)=0,0,IF(N(M1096)&gt;0,M1096*(1+N1096/30),N1096))=X1096,IF(N(M1096)&gt;0,M1096&amp;" x "&amp;N1096,N1096&amp;" reps"),""))))))</f>
        <v/>
      </c>
      <c r="R1096" s="20">
        <f>IF(N(X1096)=0,"",ROUND(X1096,1))</f>
        <v/>
      </c>
      <c r="S1096" s="18">
        <f>IF(N(X1096)=0,"",IF(AND(COUNTIFS(Log!$D$6:$D$1505,D1096,Log!$B$6:$B$1505,"&lt;"&amp;B1096)&gt;0,COUNTIFS(Log!$D$6:$D$1505,D1096,Log!$B$6:$B$1505,"&lt;"&amp;B1096,Log!$X$6:$X$1505,"&gt;="&amp;X1096)=0),"New best",""))</f>
        <v/>
      </c>
      <c r="T1096" s="26" t="n"/>
      <c r="U1096" s="1">
        <f>IF(D1096="","",IFERROR(INDEX(Exercises!$C$6:$C$105,MATCH(D1096,Exercises!$B$6:$B$105,0)),"Other"))</f>
        <v/>
      </c>
      <c r="V1096">
        <f>IF(B1096="","",IF(COUNTIF($B$6:B1096,B1096)=1,1,0))</f>
        <v/>
      </c>
      <c r="W1096">
        <f>IF(B1096="","",B1096-WEEKDAY(B1096,3))</f>
        <v/>
      </c>
      <c r="X1096">
        <f>IF(D1096="","",MAX(IF(N(F1096)=0,0,IF(N(E1096)&gt;0,E1096*(1+F1096/30),F1096)),IF(N(H1096)=0,0,IF(N(G1096)&gt;0,G1096*(1+H1096/30),H1096)),IF(N(J1096)=0,0,IF(N(I1096)&gt;0,I1096*(1+J1096/30),J1096)),IF(N(L1096)=0,0,IF(N(K1096)&gt;0,K1096*(1+L1096/30),L1096)),IF(N(N1096)=0,0,IF(N(M1096)&gt;0,M1096*(1+N1096/30),N1096))))</f>
        <v/>
      </c>
      <c r="Y1096">
        <f>IF(N(X1096)=0,"",X1096+ROW()/1000000000)</f>
        <v/>
      </c>
      <c r="Z1096">
        <f>IF(Y1096="","",IF(COUNTIFS(Log!$D$6:$D$1505,D1096,Log!$Y$6:$Y$1505,"&gt;"&amp;Y1096)=0,1,0))</f>
        <v/>
      </c>
      <c r="AA1096">
        <f>IF(OR(B1096="",D1096=""),"",B1096+ROW()/10000000)</f>
        <v/>
      </c>
      <c r="AB1096">
        <f>IF(AA1096="","",IF(COUNTIFS(Log!$D$6:$D$1505,D1096,Log!$AA$6:$AA$1505,"&gt;"&amp;AA1096)=0,1,0))</f>
        <v/>
      </c>
      <c r="AC1096">
        <f>IF(S1096="New best",AA1096,"")</f>
        <v/>
      </c>
      <c r="AD1096">
        <f>ROW()</f>
        <v/>
      </c>
    </row>
    <row r="1097">
      <c r="A1097" s="1" t="n"/>
      <c r="B1097" s="21" t="n"/>
      <c r="C1097" s="22" t="n"/>
      <c r="D1097" s="23" t="n"/>
      <c r="E1097" s="24" t="n"/>
      <c r="F1097" s="24" t="n"/>
      <c r="G1097" s="24" t="n"/>
      <c r="H1097" s="24" t="n"/>
      <c r="I1097" s="24" t="n"/>
      <c r="J1097" s="24" t="n"/>
      <c r="K1097" s="24" t="n"/>
      <c r="L1097" s="24" t="n"/>
      <c r="M1097" s="24" t="n"/>
      <c r="N1097" s="24" t="n"/>
      <c r="O1097" s="15">
        <f>IF(D1097="","",COUNT(F1097,H1097,J1097,L1097,N1097))</f>
        <v/>
      </c>
      <c r="P1097" s="25">
        <f>IF(D1097="","",N(E1097)*N(F1097)+N(G1097)*N(H1097)+N(I1097)*N(J1097)+N(K1097)*N(L1097)+N(M1097)*N(N1097))</f>
        <v/>
      </c>
      <c r="Q1097" s="18">
        <f>IF(N(X1097)=0,"",IF(IF(N(F1097)=0,0,IF(N(E1097)&gt;0,E1097*(1+F1097/30),F1097))=X1097,IF(N(E1097)&gt;0,E1097&amp;" x "&amp;F1097,F1097&amp;" reps"),IF(IF(N(H1097)=0,0,IF(N(G1097)&gt;0,G1097*(1+H1097/30),H1097))=X1097,IF(N(G1097)&gt;0,G1097&amp;" x "&amp;H1097,H1097&amp;" reps"),IF(IF(N(J1097)=0,0,IF(N(I1097)&gt;0,I1097*(1+J1097/30),J1097))=X1097,IF(N(I1097)&gt;0,I1097&amp;" x "&amp;J1097,J1097&amp;" reps"),IF(IF(N(L1097)=0,0,IF(N(K1097)&gt;0,K1097*(1+L1097/30),L1097))=X1097,IF(N(K1097)&gt;0,K1097&amp;" x "&amp;L1097,L1097&amp;" reps"),IF(IF(N(N1097)=0,0,IF(N(M1097)&gt;0,M1097*(1+N1097/30),N1097))=X1097,IF(N(M1097)&gt;0,M1097&amp;" x "&amp;N1097,N1097&amp;" reps"),""))))))</f>
        <v/>
      </c>
      <c r="R1097" s="20">
        <f>IF(N(X1097)=0,"",ROUND(X1097,1))</f>
        <v/>
      </c>
      <c r="S1097" s="18">
        <f>IF(N(X1097)=0,"",IF(AND(COUNTIFS(Log!$D$6:$D$1505,D1097,Log!$B$6:$B$1505,"&lt;"&amp;B1097)&gt;0,COUNTIFS(Log!$D$6:$D$1505,D1097,Log!$B$6:$B$1505,"&lt;"&amp;B1097,Log!$X$6:$X$1505,"&gt;="&amp;X1097)=0),"New best",""))</f>
        <v/>
      </c>
      <c r="T1097" s="26" t="n"/>
      <c r="U1097" s="1">
        <f>IF(D1097="","",IFERROR(INDEX(Exercises!$C$6:$C$105,MATCH(D1097,Exercises!$B$6:$B$105,0)),"Other"))</f>
        <v/>
      </c>
      <c r="V1097">
        <f>IF(B1097="","",IF(COUNTIF($B$6:B1097,B1097)=1,1,0))</f>
        <v/>
      </c>
      <c r="W1097">
        <f>IF(B1097="","",B1097-WEEKDAY(B1097,3))</f>
        <v/>
      </c>
      <c r="X1097">
        <f>IF(D1097="","",MAX(IF(N(F1097)=0,0,IF(N(E1097)&gt;0,E1097*(1+F1097/30),F1097)),IF(N(H1097)=0,0,IF(N(G1097)&gt;0,G1097*(1+H1097/30),H1097)),IF(N(J1097)=0,0,IF(N(I1097)&gt;0,I1097*(1+J1097/30),J1097)),IF(N(L1097)=0,0,IF(N(K1097)&gt;0,K1097*(1+L1097/30),L1097)),IF(N(N1097)=0,0,IF(N(M1097)&gt;0,M1097*(1+N1097/30),N1097))))</f>
        <v/>
      </c>
      <c r="Y1097">
        <f>IF(N(X1097)=0,"",X1097+ROW()/1000000000)</f>
        <v/>
      </c>
      <c r="Z1097">
        <f>IF(Y1097="","",IF(COUNTIFS(Log!$D$6:$D$1505,D1097,Log!$Y$6:$Y$1505,"&gt;"&amp;Y1097)=0,1,0))</f>
        <v/>
      </c>
      <c r="AA1097">
        <f>IF(OR(B1097="",D1097=""),"",B1097+ROW()/10000000)</f>
        <v/>
      </c>
      <c r="AB1097">
        <f>IF(AA1097="","",IF(COUNTIFS(Log!$D$6:$D$1505,D1097,Log!$AA$6:$AA$1505,"&gt;"&amp;AA1097)=0,1,0))</f>
        <v/>
      </c>
      <c r="AC1097">
        <f>IF(S1097="New best",AA1097,"")</f>
        <v/>
      </c>
      <c r="AD1097">
        <f>ROW()</f>
        <v/>
      </c>
    </row>
    <row r="1098">
      <c r="A1098" s="1" t="n"/>
      <c r="B1098" s="21" t="n"/>
      <c r="C1098" s="22" t="n"/>
      <c r="D1098" s="23" t="n"/>
      <c r="E1098" s="24" t="n"/>
      <c r="F1098" s="24" t="n"/>
      <c r="G1098" s="24" t="n"/>
      <c r="H1098" s="24" t="n"/>
      <c r="I1098" s="24" t="n"/>
      <c r="J1098" s="24" t="n"/>
      <c r="K1098" s="24" t="n"/>
      <c r="L1098" s="24" t="n"/>
      <c r="M1098" s="24" t="n"/>
      <c r="N1098" s="24" t="n"/>
      <c r="O1098" s="15">
        <f>IF(D1098="","",COUNT(F1098,H1098,J1098,L1098,N1098))</f>
        <v/>
      </c>
      <c r="P1098" s="25">
        <f>IF(D1098="","",N(E1098)*N(F1098)+N(G1098)*N(H1098)+N(I1098)*N(J1098)+N(K1098)*N(L1098)+N(M1098)*N(N1098))</f>
        <v/>
      </c>
      <c r="Q1098" s="18">
        <f>IF(N(X1098)=0,"",IF(IF(N(F1098)=0,0,IF(N(E1098)&gt;0,E1098*(1+F1098/30),F1098))=X1098,IF(N(E1098)&gt;0,E1098&amp;" x "&amp;F1098,F1098&amp;" reps"),IF(IF(N(H1098)=0,0,IF(N(G1098)&gt;0,G1098*(1+H1098/30),H1098))=X1098,IF(N(G1098)&gt;0,G1098&amp;" x "&amp;H1098,H1098&amp;" reps"),IF(IF(N(J1098)=0,0,IF(N(I1098)&gt;0,I1098*(1+J1098/30),J1098))=X1098,IF(N(I1098)&gt;0,I1098&amp;" x "&amp;J1098,J1098&amp;" reps"),IF(IF(N(L1098)=0,0,IF(N(K1098)&gt;0,K1098*(1+L1098/30),L1098))=X1098,IF(N(K1098)&gt;0,K1098&amp;" x "&amp;L1098,L1098&amp;" reps"),IF(IF(N(N1098)=0,0,IF(N(M1098)&gt;0,M1098*(1+N1098/30),N1098))=X1098,IF(N(M1098)&gt;0,M1098&amp;" x "&amp;N1098,N1098&amp;" reps"),""))))))</f>
        <v/>
      </c>
      <c r="R1098" s="20">
        <f>IF(N(X1098)=0,"",ROUND(X1098,1))</f>
        <v/>
      </c>
      <c r="S1098" s="18">
        <f>IF(N(X1098)=0,"",IF(AND(COUNTIFS(Log!$D$6:$D$1505,D1098,Log!$B$6:$B$1505,"&lt;"&amp;B1098)&gt;0,COUNTIFS(Log!$D$6:$D$1505,D1098,Log!$B$6:$B$1505,"&lt;"&amp;B1098,Log!$X$6:$X$1505,"&gt;="&amp;X1098)=0),"New best",""))</f>
        <v/>
      </c>
      <c r="T1098" s="26" t="n"/>
      <c r="U1098" s="1">
        <f>IF(D1098="","",IFERROR(INDEX(Exercises!$C$6:$C$105,MATCH(D1098,Exercises!$B$6:$B$105,0)),"Other"))</f>
        <v/>
      </c>
      <c r="V1098">
        <f>IF(B1098="","",IF(COUNTIF($B$6:B1098,B1098)=1,1,0))</f>
        <v/>
      </c>
      <c r="W1098">
        <f>IF(B1098="","",B1098-WEEKDAY(B1098,3))</f>
        <v/>
      </c>
      <c r="X1098">
        <f>IF(D1098="","",MAX(IF(N(F1098)=0,0,IF(N(E1098)&gt;0,E1098*(1+F1098/30),F1098)),IF(N(H1098)=0,0,IF(N(G1098)&gt;0,G1098*(1+H1098/30),H1098)),IF(N(J1098)=0,0,IF(N(I1098)&gt;0,I1098*(1+J1098/30),J1098)),IF(N(L1098)=0,0,IF(N(K1098)&gt;0,K1098*(1+L1098/30),L1098)),IF(N(N1098)=0,0,IF(N(M1098)&gt;0,M1098*(1+N1098/30),N1098))))</f>
        <v/>
      </c>
      <c r="Y1098">
        <f>IF(N(X1098)=0,"",X1098+ROW()/1000000000)</f>
        <v/>
      </c>
      <c r="Z1098">
        <f>IF(Y1098="","",IF(COUNTIFS(Log!$D$6:$D$1505,D1098,Log!$Y$6:$Y$1505,"&gt;"&amp;Y1098)=0,1,0))</f>
        <v/>
      </c>
      <c r="AA1098">
        <f>IF(OR(B1098="",D1098=""),"",B1098+ROW()/10000000)</f>
        <v/>
      </c>
      <c r="AB1098">
        <f>IF(AA1098="","",IF(COUNTIFS(Log!$D$6:$D$1505,D1098,Log!$AA$6:$AA$1505,"&gt;"&amp;AA1098)=0,1,0))</f>
        <v/>
      </c>
      <c r="AC1098">
        <f>IF(S1098="New best",AA1098,"")</f>
        <v/>
      </c>
      <c r="AD1098">
        <f>ROW()</f>
        <v/>
      </c>
    </row>
    <row r="1099">
      <c r="A1099" s="1" t="n"/>
      <c r="B1099" s="21" t="n"/>
      <c r="C1099" s="22" t="n"/>
      <c r="D1099" s="23" t="n"/>
      <c r="E1099" s="24" t="n"/>
      <c r="F1099" s="24" t="n"/>
      <c r="G1099" s="24" t="n"/>
      <c r="H1099" s="24" t="n"/>
      <c r="I1099" s="24" t="n"/>
      <c r="J1099" s="24" t="n"/>
      <c r="K1099" s="24" t="n"/>
      <c r="L1099" s="24" t="n"/>
      <c r="M1099" s="24" t="n"/>
      <c r="N1099" s="24" t="n"/>
      <c r="O1099" s="15">
        <f>IF(D1099="","",COUNT(F1099,H1099,J1099,L1099,N1099))</f>
        <v/>
      </c>
      <c r="P1099" s="25">
        <f>IF(D1099="","",N(E1099)*N(F1099)+N(G1099)*N(H1099)+N(I1099)*N(J1099)+N(K1099)*N(L1099)+N(M1099)*N(N1099))</f>
        <v/>
      </c>
      <c r="Q1099" s="18">
        <f>IF(N(X1099)=0,"",IF(IF(N(F1099)=0,0,IF(N(E1099)&gt;0,E1099*(1+F1099/30),F1099))=X1099,IF(N(E1099)&gt;0,E1099&amp;" x "&amp;F1099,F1099&amp;" reps"),IF(IF(N(H1099)=0,0,IF(N(G1099)&gt;0,G1099*(1+H1099/30),H1099))=X1099,IF(N(G1099)&gt;0,G1099&amp;" x "&amp;H1099,H1099&amp;" reps"),IF(IF(N(J1099)=0,0,IF(N(I1099)&gt;0,I1099*(1+J1099/30),J1099))=X1099,IF(N(I1099)&gt;0,I1099&amp;" x "&amp;J1099,J1099&amp;" reps"),IF(IF(N(L1099)=0,0,IF(N(K1099)&gt;0,K1099*(1+L1099/30),L1099))=X1099,IF(N(K1099)&gt;0,K1099&amp;" x "&amp;L1099,L1099&amp;" reps"),IF(IF(N(N1099)=0,0,IF(N(M1099)&gt;0,M1099*(1+N1099/30),N1099))=X1099,IF(N(M1099)&gt;0,M1099&amp;" x "&amp;N1099,N1099&amp;" reps"),""))))))</f>
        <v/>
      </c>
      <c r="R1099" s="20">
        <f>IF(N(X1099)=0,"",ROUND(X1099,1))</f>
        <v/>
      </c>
      <c r="S1099" s="18">
        <f>IF(N(X1099)=0,"",IF(AND(COUNTIFS(Log!$D$6:$D$1505,D1099,Log!$B$6:$B$1505,"&lt;"&amp;B1099)&gt;0,COUNTIFS(Log!$D$6:$D$1505,D1099,Log!$B$6:$B$1505,"&lt;"&amp;B1099,Log!$X$6:$X$1505,"&gt;="&amp;X1099)=0),"New best",""))</f>
        <v/>
      </c>
      <c r="T1099" s="26" t="n"/>
      <c r="U1099" s="1">
        <f>IF(D1099="","",IFERROR(INDEX(Exercises!$C$6:$C$105,MATCH(D1099,Exercises!$B$6:$B$105,0)),"Other"))</f>
        <v/>
      </c>
      <c r="V1099">
        <f>IF(B1099="","",IF(COUNTIF($B$6:B1099,B1099)=1,1,0))</f>
        <v/>
      </c>
      <c r="W1099">
        <f>IF(B1099="","",B1099-WEEKDAY(B1099,3))</f>
        <v/>
      </c>
      <c r="X1099">
        <f>IF(D1099="","",MAX(IF(N(F1099)=0,0,IF(N(E1099)&gt;0,E1099*(1+F1099/30),F1099)),IF(N(H1099)=0,0,IF(N(G1099)&gt;0,G1099*(1+H1099/30),H1099)),IF(N(J1099)=0,0,IF(N(I1099)&gt;0,I1099*(1+J1099/30),J1099)),IF(N(L1099)=0,0,IF(N(K1099)&gt;0,K1099*(1+L1099/30),L1099)),IF(N(N1099)=0,0,IF(N(M1099)&gt;0,M1099*(1+N1099/30),N1099))))</f>
        <v/>
      </c>
      <c r="Y1099">
        <f>IF(N(X1099)=0,"",X1099+ROW()/1000000000)</f>
        <v/>
      </c>
      <c r="Z1099">
        <f>IF(Y1099="","",IF(COUNTIFS(Log!$D$6:$D$1505,D1099,Log!$Y$6:$Y$1505,"&gt;"&amp;Y1099)=0,1,0))</f>
        <v/>
      </c>
      <c r="AA1099">
        <f>IF(OR(B1099="",D1099=""),"",B1099+ROW()/10000000)</f>
        <v/>
      </c>
      <c r="AB1099">
        <f>IF(AA1099="","",IF(COUNTIFS(Log!$D$6:$D$1505,D1099,Log!$AA$6:$AA$1505,"&gt;"&amp;AA1099)=0,1,0))</f>
        <v/>
      </c>
      <c r="AC1099">
        <f>IF(S1099="New best",AA1099,"")</f>
        <v/>
      </c>
      <c r="AD1099">
        <f>ROW()</f>
        <v/>
      </c>
    </row>
    <row r="1100">
      <c r="A1100" s="1" t="n"/>
      <c r="B1100" s="21" t="n"/>
      <c r="C1100" s="22" t="n"/>
      <c r="D1100" s="23" t="n"/>
      <c r="E1100" s="24" t="n"/>
      <c r="F1100" s="24" t="n"/>
      <c r="G1100" s="24" t="n"/>
      <c r="H1100" s="24" t="n"/>
      <c r="I1100" s="24" t="n"/>
      <c r="J1100" s="24" t="n"/>
      <c r="K1100" s="24" t="n"/>
      <c r="L1100" s="24" t="n"/>
      <c r="M1100" s="24" t="n"/>
      <c r="N1100" s="24" t="n"/>
      <c r="O1100" s="15">
        <f>IF(D1100="","",COUNT(F1100,H1100,J1100,L1100,N1100))</f>
        <v/>
      </c>
      <c r="P1100" s="25">
        <f>IF(D1100="","",N(E1100)*N(F1100)+N(G1100)*N(H1100)+N(I1100)*N(J1100)+N(K1100)*N(L1100)+N(M1100)*N(N1100))</f>
        <v/>
      </c>
      <c r="Q1100" s="18">
        <f>IF(N(X1100)=0,"",IF(IF(N(F1100)=0,0,IF(N(E1100)&gt;0,E1100*(1+F1100/30),F1100))=X1100,IF(N(E1100)&gt;0,E1100&amp;" x "&amp;F1100,F1100&amp;" reps"),IF(IF(N(H1100)=0,0,IF(N(G1100)&gt;0,G1100*(1+H1100/30),H1100))=X1100,IF(N(G1100)&gt;0,G1100&amp;" x "&amp;H1100,H1100&amp;" reps"),IF(IF(N(J1100)=0,0,IF(N(I1100)&gt;0,I1100*(1+J1100/30),J1100))=X1100,IF(N(I1100)&gt;0,I1100&amp;" x "&amp;J1100,J1100&amp;" reps"),IF(IF(N(L1100)=0,0,IF(N(K1100)&gt;0,K1100*(1+L1100/30),L1100))=X1100,IF(N(K1100)&gt;0,K1100&amp;" x "&amp;L1100,L1100&amp;" reps"),IF(IF(N(N1100)=0,0,IF(N(M1100)&gt;0,M1100*(1+N1100/30),N1100))=X1100,IF(N(M1100)&gt;0,M1100&amp;" x "&amp;N1100,N1100&amp;" reps"),""))))))</f>
        <v/>
      </c>
      <c r="R1100" s="20">
        <f>IF(N(X1100)=0,"",ROUND(X1100,1))</f>
        <v/>
      </c>
      <c r="S1100" s="18">
        <f>IF(N(X1100)=0,"",IF(AND(COUNTIFS(Log!$D$6:$D$1505,D1100,Log!$B$6:$B$1505,"&lt;"&amp;B1100)&gt;0,COUNTIFS(Log!$D$6:$D$1505,D1100,Log!$B$6:$B$1505,"&lt;"&amp;B1100,Log!$X$6:$X$1505,"&gt;="&amp;X1100)=0),"New best",""))</f>
        <v/>
      </c>
      <c r="T1100" s="26" t="n"/>
      <c r="U1100" s="1">
        <f>IF(D1100="","",IFERROR(INDEX(Exercises!$C$6:$C$105,MATCH(D1100,Exercises!$B$6:$B$105,0)),"Other"))</f>
        <v/>
      </c>
      <c r="V1100">
        <f>IF(B1100="","",IF(COUNTIF($B$6:B1100,B1100)=1,1,0))</f>
        <v/>
      </c>
      <c r="W1100">
        <f>IF(B1100="","",B1100-WEEKDAY(B1100,3))</f>
        <v/>
      </c>
      <c r="X1100">
        <f>IF(D1100="","",MAX(IF(N(F1100)=0,0,IF(N(E1100)&gt;0,E1100*(1+F1100/30),F1100)),IF(N(H1100)=0,0,IF(N(G1100)&gt;0,G1100*(1+H1100/30),H1100)),IF(N(J1100)=0,0,IF(N(I1100)&gt;0,I1100*(1+J1100/30),J1100)),IF(N(L1100)=0,0,IF(N(K1100)&gt;0,K1100*(1+L1100/30),L1100)),IF(N(N1100)=0,0,IF(N(M1100)&gt;0,M1100*(1+N1100/30),N1100))))</f>
        <v/>
      </c>
      <c r="Y1100">
        <f>IF(N(X1100)=0,"",X1100+ROW()/1000000000)</f>
        <v/>
      </c>
      <c r="Z1100">
        <f>IF(Y1100="","",IF(COUNTIFS(Log!$D$6:$D$1505,D1100,Log!$Y$6:$Y$1505,"&gt;"&amp;Y1100)=0,1,0))</f>
        <v/>
      </c>
      <c r="AA1100">
        <f>IF(OR(B1100="",D1100=""),"",B1100+ROW()/10000000)</f>
        <v/>
      </c>
      <c r="AB1100">
        <f>IF(AA1100="","",IF(COUNTIFS(Log!$D$6:$D$1505,D1100,Log!$AA$6:$AA$1505,"&gt;"&amp;AA1100)=0,1,0))</f>
        <v/>
      </c>
      <c r="AC1100">
        <f>IF(S1100="New best",AA1100,"")</f>
        <v/>
      </c>
      <c r="AD1100">
        <f>ROW()</f>
        <v/>
      </c>
    </row>
    <row r="1101">
      <c r="A1101" s="1" t="n"/>
      <c r="B1101" s="21" t="n"/>
      <c r="C1101" s="22" t="n"/>
      <c r="D1101" s="23" t="n"/>
      <c r="E1101" s="24" t="n"/>
      <c r="F1101" s="24" t="n"/>
      <c r="G1101" s="24" t="n"/>
      <c r="H1101" s="24" t="n"/>
      <c r="I1101" s="24" t="n"/>
      <c r="J1101" s="24" t="n"/>
      <c r="K1101" s="24" t="n"/>
      <c r="L1101" s="24" t="n"/>
      <c r="M1101" s="24" t="n"/>
      <c r="N1101" s="24" t="n"/>
      <c r="O1101" s="15">
        <f>IF(D1101="","",COUNT(F1101,H1101,J1101,L1101,N1101))</f>
        <v/>
      </c>
      <c r="P1101" s="25">
        <f>IF(D1101="","",N(E1101)*N(F1101)+N(G1101)*N(H1101)+N(I1101)*N(J1101)+N(K1101)*N(L1101)+N(M1101)*N(N1101))</f>
        <v/>
      </c>
      <c r="Q1101" s="18">
        <f>IF(N(X1101)=0,"",IF(IF(N(F1101)=0,0,IF(N(E1101)&gt;0,E1101*(1+F1101/30),F1101))=X1101,IF(N(E1101)&gt;0,E1101&amp;" x "&amp;F1101,F1101&amp;" reps"),IF(IF(N(H1101)=0,0,IF(N(G1101)&gt;0,G1101*(1+H1101/30),H1101))=X1101,IF(N(G1101)&gt;0,G1101&amp;" x "&amp;H1101,H1101&amp;" reps"),IF(IF(N(J1101)=0,0,IF(N(I1101)&gt;0,I1101*(1+J1101/30),J1101))=X1101,IF(N(I1101)&gt;0,I1101&amp;" x "&amp;J1101,J1101&amp;" reps"),IF(IF(N(L1101)=0,0,IF(N(K1101)&gt;0,K1101*(1+L1101/30),L1101))=X1101,IF(N(K1101)&gt;0,K1101&amp;" x "&amp;L1101,L1101&amp;" reps"),IF(IF(N(N1101)=0,0,IF(N(M1101)&gt;0,M1101*(1+N1101/30),N1101))=X1101,IF(N(M1101)&gt;0,M1101&amp;" x "&amp;N1101,N1101&amp;" reps"),""))))))</f>
        <v/>
      </c>
      <c r="R1101" s="20">
        <f>IF(N(X1101)=0,"",ROUND(X1101,1))</f>
        <v/>
      </c>
      <c r="S1101" s="18">
        <f>IF(N(X1101)=0,"",IF(AND(COUNTIFS(Log!$D$6:$D$1505,D1101,Log!$B$6:$B$1505,"&lt;"&amp;B1101)&gt;0,COUNTIFS(Log!$D$6:$D$1505,D1101,Log!$B$6:$B$1505,"&lt;"&amp;B1101,Log!$X$6:$X$1505,"&gt;="&amp;X1101)=0),"New best",""))</f>
        <v/>
      </c>
      <c r="T1101" s="26" t="n"/>
      <c r="U1101" s="1">
        <f>IF(D1101="","",IFERROR(INDEX(Exercises!$C$6:$C$105,MATCH(D1101,Exercises!$B$6:$B$105,0)),"Other"))</f>
        <v/>
      </c>
      <c r="V1101">
        <f>IF(B1101="","",IF(COUNTIF($B$6:B1101,B1101)=1,1,0))</f>
        <v/>
      </c>
      <c r="W1101">
        <f>IF(B1101="","",B1101-WEEKDAY(B1101,3))</f>
        <v/>
      </c>
      <c r="X1101">
        <f>IF(D1101="","",MAX(IF(N(F1101)=0,0,IF(N(E1101)&gt;0,E1101*(1+F1101/30),F1101)),IF(N(H1101)=0,0,IF(N(G1101)&gt;0,G1101*(1+H1101/30),H1101)),IF(N(J1101)=0,0,IF(N(I1101)&gt;0,I1101*(1+J1101/30),J1101)),IF(N(L1101)=0,0,IF(N(K1101)&gt;0,K1101*(1+L1101/30),L1101)),IF(N(N1101)=0,0,IF(N(M1101)&gt;0,M1101*(1+N1101/30),N1101))))</f>
        <v/>
      </c>
      <c r="Y1101">
        <f>IF(N(X1101)=0,"",X1101+ROW()/1000000000)</f>
        <v/>
      </c>
      <c r="Z1101">
        <f>IF(Y1101="","",IF(COUNTIFS(Log!$D$6:$D$1505,D1101,Log!$Y$6:$Y$1505,"&gt;"&amp;Y1101)=0,1,0))</f>
        <v/>
      </c>
      <c r="AA1101">
        <f>IF(OR(B1101="",D1101=""),"",B1101+ROW()/10000000)</f>
        <v/>
      </c>
      <c r="AB1101">
        <f>IF(AA1101="","",IF(COUNTIFS(Log!$D$6:$D$1505,D1101,Log!$AA$6:$AA$1505,"&gt;"&amp;AA1101)=0,1,0))</f>
        <v/>
      </c>
      <c r="AC1101">
        <f>IF(S1101="New best",AA1101,"")</f>
        <v/>
      </c>
      <c r="AD1101">
        <f>ROW()</f>
        <v/>
      </c>
    </row>
    <row r="1102">
      <c r="A1102" s="1" t="n"/>
      <c r="B1102" s="21" t="n"/>
      <c r="C1102" s="22" t="n"/>
      <c r="D1102" s="23" t="n"/>
      <c r="E1102" s="24" t="n"/>
      <c r="F1102" s="24" t="n"/>
      <c r="G1102" s="24" t="n"/>
      <c r="H1102" s="24" t="n"/>
      <c r="I1102" s="24" t="n"/>
      <c r="J1102" s="24" t="n"/>
      <c r="K1102" s="24" t="n"/>
      <c r="L1102" s="24" t="n"/>
      <c r="M1102" s="24" t="n"/>
      <c r="N1102" s="24" t="n"/>
      <c r="O1102" s="15">
        <f>IF(D1102="","",COUNT(F1102,H1102,J1102,L1102,N1102))</f>
        <v/>
      </c>
      <c r="P1102" s="25">
        <f>IF(D1102="","",N(E1102)*N(F1102)+N(G1102)*N(H1102)+N(I1102)*N(J1102)+N(K1102)*N(L1102)+N(M1102)*N(N1102))</f>
        <v/>
      </c>
      <c r="Q1102" s="18">
        <f>IF(N(X1102)=0,"",IF(IF(N(F1102)=0,0,IF(N(E1102)&gt;0,E1102*(1+F1102/30),F1102))=X1102,IF(N(E1102)&gt;0,E1102&amp;" x "&amp;F1102,F1102&amp;" reps"),IF(IF(N(H1102)=0,0,IF(N(G1102)&gt;0,G1102*(1+H1102/30),H1102))=X1102,IF(N(G1102)&gt;0,G1102&amp;" x "&amp;H1102,H1102&amp;" reps"),IF(IF(N(J1102)=0,0,IF(N(I1102)&gt;0,I1102*(1+J1102/30),J1102))=X1102,IF(N(I1102)&gt;0,I1102&amp;" x "&amp;J1102,J1102&amp;" reps"),IF(IF(N(L1102)=0,0,IF(N(K1102)&gt;0,K1102*(1+L1102/30),L1102))=X1102,IF(N(K1102)&gt;0,K1102&amp;" x "&amp;L1102,L1102&amp;" reps"),IF(IF(N(N1102)=0,0,IF(N(M1102)&gt;0,M1102*(1+N1102/30),N1102))=X1102,IF(N(M1102)&gt;0,M1102&amp;" x "&amp;N1102,N1102&amp;" reps"),""))))))</f>
        <v/>
      </c>
      <c r="R1102" s="20">
        <f>IF(N(X1102)=0,"",ROUND(X1102,1))</f>
        <v/>
      </c>
      <c r="S1102" s="18">
        <f>IF(N(X1102)=0,"",IF(AND(COUNTIFS(Log!$D$6:$D$1505,D1102,Log!$B$6:$B$1505,"&lt;"&amp;B1102)&gt;0,COUNTIFS(Log!$D$6:$D$1505,D1102,Log!$B$6:$B$1505,"&lt;"&amp;B1102,Log!$X$6:$X$1505,"&gt;="&amp;X1102)=0),"New best",""))</f>
        <v/>
      </c>
      <c r="T1102" s="26" t="n"/>
      <c r="U1102" s="1">
        <f>IF(D1102="","",IFERROR(INDEX(Exercises!$C$6:$C$105,MATCH(D1102,Exercises!$B$6:$B$105,0)),"Other"))</f>
        <v/>
      </c>
      <c r="V1102">
        <f>IF(B1102="","",IF(COUNTIF($B$6:B1102,B1102)=1,1,0))</f>
        <v/>
      </c>
      <c r="W1102">
        <f>IF(B1102="","",B1102-WEEKDAY(B1102,3))</f>
        <v/>
      </c>
      <c r="X1102">
        <f>IF(D1102="","",MAX(IF(N(F1102)=0,0,IF(N(E1102)&gt;0,E1102*(1+F1102/30),F1102)),IF(N(H1102)=0,0,IF(N(G1102)&gt;0,G1102*(1+H1102/30),H1102)),IF(N(J1102)=0,0,IF(N(I1102)&gt;0,I1102*(1+J1102/30),J1102)),IF(N(L1102)=0,0,IF(N(K1102)&gt;0,K1102*(1+L1102/30),L1102)),IF(N(N1102)=0,0,IF(N(M1102)&gt;0,M1102*(1+N1102/30),N1102))))</f>
        <v/>
      </c>
      <c r="Y1102">
        <f>IF(N(X1102)=0,"",X1102+ROW()/1000000000)</f>
        <v/>
      </c>
      <c r="Z1102">
        <f>IF(Y1102="","",IF(COUNTIFS(Log!$D$6:$D$1505,D1102,Log!$Y$6:$Y$1505,"&gt;"&amp;Y1102)=0,1,0))</f>
        <v/>
      </c>
      <c r="AA1102">
        <f>IF(OR(B1102="",D1102=""),"",B1102+ROW()/10000000)</f>
        <v/>
      </c>
      <c r="AB1102">
        <f>IF(AA1102="","",IF(COUNTIFS(Log!$D$6:$D$1505,D1102,Log!$AA$6:$AA$1505,"&gt;"&amp;AA1102)=0,1,0))</f>
        <v/>
      </c>
      <c r="AC1102">
        <f>IF(S1102="New best",AA1102,"")</f>
        <v/>
      </c>
      <c r="AD1102">
        <f>ROW()</f>
        <v/>
      </c>
    </row>
    <row r="1103">
      <c r="A1103" s="1" t="n"/>
      <c r="B1103" s="21" t="n"/>
      <c r="C1103" s="22" t="n"/>
      <c r="D1103" s="23" t="n"/>
      <c r="E1103" s="24" t="n"/>
      <c r="F1103" s="24" t="n"/>
      <c r="G1103" s="24" t="n"/>
      <c r="H1103" s="24" t="n"/>
      <c r="I1103" s="24" t="n"/>
      <c r="J1103" s="24" t="n"/>
      <c r="K1103" s="24" t="n"/>
      <c r="L1103" s="24" t="n"/>
      <c r="M1103" s="24" t="n"/>
      <c r="N1103" s="24" t="n"/>
      <c r="O1103" s="15">
        <f>IF(D1103="","",COUNT(F1103,H1103,J1103,L1103,N1103))</f>
        <v/>
      </c>
      <c r="P1103" s="25">
        <f>IF(D1103="","",N(E1103)*N(F1103)+N(G1103)*N(H1103)+N(I1103)*N(J1103)+N(K1103)*N(L1103)+N(M1103)*N(N1103))</f>
        <v/>
      </c>
      <c r="Q1103" s="18">
        <f>IF(N(X1103)=0,"",IF(IF(N(F1103)=0,0,IF(N(E1103)&gt;0,E1103*(1+F1103/30),F1103))=X1103,IF(N(E1103)&gt;0,E1103&amp;" x "&amp;F1103,F1103&amp;" reps"),IF(IF(N(H1103)=0,0,IF(N(G1103)&gt;0,G1103*(1+H1103/30),H1103))=X1103,IF(N(G1103)&gt;0,G1103&amp;" x "&amp;H1103,H1103&amp;" reps"),IF(IF(N(J1103)=0,0,IF(N(I1103)&gt;0,I1103*(1+J1103/30),J1103))=X1103,IF(N(I1103)&gt;0,I1103&amp;" x "&amp;J1103,J1103&amp;" reps"),IF(IF(N(L1103)=0,0,IF(N(K1103)&gt;0,K1103*(1+L1103/30),L1103))=X1103,IF(N(K1103)&gt;0,K1103&amp;" x "&amp;L1103,L1103&amp;" reps"),IF(IF(N(N1103)=0,0,IF(N(M1103)&gt;0,M1103*(1+N1103/30),N1103))=X1103,IF(N(M1103)&gt;0,M1103&amp;" x "&amp;N1103,N1103&amp;" reps"),""))))))</f>
        <v/>
      </c>
      <c r="R1103" s="20">
        <f>IF(N(X1103)=0,"",ROUND(X1103,1))</f>
        <v/>
      </c>
      <c r="S1103" s="18">
        <f>IF(N(X1103)=0,"",IF(AND(COUNTIFS(Log!$D$6:$D$1505,D1103,Log!$B$6:$B$1505,"&lt;"&amp;B1103)&gt;0,COUNTIFS(Log!$D$6:$D$1505,D1103,Log!$B$6:$B$1505,"&lt;"&amp;B1103,Log!$X$6:$X$1505,"&gt;="&amp;X1103)=0),"New best",""))</f>
        <v/>
      </c>
      <c r="T1103" s="26" t="n"/>
      <c r="U1103" s="1">
        <f>IF(D1103="","",IFERROR(INDEX(Exercises!$C$6:$C$105,MATCH(D1103,Exercises!$B$6:$B$105,0)),"Other"))</f>
        <v/>
      </c>
      <c r="V1103">
        <f>IF(B1103="","",IF(COUNTIF($B$6:B1103,B1103)=1,1,0))</f>
        <v/>
      </c>
      <c r="W1103">
        <f>IF(B1103="","",B1103-WEEKDAY(B1103,3))</f>
        <v/>
      </c>
      <c r="X1103">
        <f>IF(D1103="","",MAX(IF(N(F1103)=0,0,IF(N(E1103)&gt;0,E1103*(1+F1103/30),F1103)),IF(N(H1103)=0,0,IF(N(G1103)&gt;0,G1103*(1+H1103/30),H1103)),IF(N(J1103)=0,0,IF(N(I1103)&gt;0,I1103*(1+J1103/30),J1103)),IF(N(L1103)=0,0,IF(N(K1103)&gt;0,K1103*(1+L1103/30),L1103)),IF(N(N1103)=0,0,IF(N(M1103)&gt;0,M1103*(1+N1103/30),N1103))))</f>
        <v/>
      </c>
      <c r="Y1103">
        <f>IF(N(X1103)=0,"",X1103+ROW()/1000000000)</f>
        <v/>
      </c>
      <c r="Z1103">
        <f>IF(Y1103="","",IF(COUNTIFS(Log!$D$6:$D$1505,D1103,Log!$Y$6:$Y$1505,"&gt;"&amp;Y1103)=0,1,0))</f>
        <v/>
      </c>
      <c r="AA1103">
        <f>IF(OR(B1103="",D1103=""),"",B1103+ROW()/10000000)</f>
        <v/>
      </c>
      <c r="AB1103">
        <f>IF(AA1103="","",IF(COUNTIFS(Log!$D$6:$D$1505,D1103,Log!$AA$6:$AA$1505,"&gt;"&amp;AA1103)=0,1,0))</f>
        <v/>
      </c>
      <c r="AC1103">
        <f>IF(S1103="New best",AA1103,"")</f>
        <v/>
      </c>
      <c r="AD1103">
        <f>ROW()</f>
        <v/>
      </c>
    </row>
    <row r="1104">
      <c r="A1104" s="1" t="n"/>
      <c r="B1104" s="21" t="n"/>
      <c r="C1104" s="22" t="n"/>
      <c r="D1104" s="23" t="n"/>
      <c r="E1104" s="24" t="n"/>
      <c r="F1104" s="24" t="n"/>
      <c r="G1104" s="24" t="n"/>
      <c r="H1104" s="24" t="n"/>
      <c r="I1104" s="24" t="n"/>
      <c r="J1104" s="24" t="n"/>
      <c r="K1104" s="24" t="n"/>
      <c r="L1104" s="24" t="n"/>
      <c r="M1104" s="24" t="n"/>
      <c r="N1104" s="24" t="n"/>
      <c r="O1104" s="15">
        <f>IF(D1104="","",COUNT(F1104,H1104,J1104,L1104,N1104))</f>
        <v/>
      </c>
      <c r="P1104" s="25">
        <f>IF(D1104="","",N(E1104)*N(F1104)+N(G1104)*N(H1104)+N(I1104)*N(J1104)+N(K1104)*N(L1104)+N(M1104)*N(N1104))</f>
        <v/>
      </c>
      <c r="Q1104" s="18">
        <f>IF(N(X1104)=0,"",IF(IF(N(F1104)=0,0,IF(N(E1104)&gt;0,E1104*(1+F1104/30),F1104))=X1104,IF(N(E1104)&gt;0,E1104&amp;" x "&amp;F1104,F1104&amp;" reps"),IF(IF(N(H1104)=0,0,IF(N(G1104)&gt;0,G1104*(1+H1104/30),H1104))=X1104,IF(N(G1104)&gt;0,G1104&amp;" x "&amp;H1104,H1104&amp;" reps"),IF(IF(N(J1104)=0,0,IF(N(I1104)&gt;0,I1104*(1+J1104/30),J1104))=X1104,IF(N(I1104)&gt;0,I1104&amp;" x "&amp;J1104,J1104&amp;" reps"),IF(IF(N(L1104)=0,0,IF(N(K1104)&gt;0,K1104*(1+L1104/30),L1104))=X1104,IF(N(K1104)&gt;0,K1104&amp;" x "&amp;L1104,L1104&amp;" reps"),IF(IF(N(N1104)=0,0,IF(N(M1104)&gt;0,M1104*(1+N1104/30),N1104))=X1104,IF(N(M1104)&gt;0,M1104&amp;" x "&amp;N1104,N1104&amp;" reps"),""))))))</f>
        <v/>
      </c>
      <c r="R1104" s="20">
        <f>IF(N(X1104)=0,"",ROUND(X1104,1))</f>
        <v/>
      </c>
      <c r="S1104" s="18">
        <f>IF(N(X1104)=0,"",IF(AND(COUNTIFS(Log!$D$6:$D$1505,D1104,Log!$B$6:$B$1505,"&lt;"&amp;B1104)&gt;0,COUNTIFS(Log!$D$6:$D$1505,D1104,Log!$B$6:$B$1505,"&lt;"&amp;B1104,Log!$X$6:$X$1505,"&gt;="&amp;X1104)=0),"New best",""))</f>
        <v/>
      </c>
      <c r="T1104" s="26" t="n"/>
      <c r="U1104" s="1">
        <f>IF(D1104="","",IFERROR(INDEX(Exercises!$C$6:$C$105,MATCH(D1104,Exercises!$B$6:$B$105,0)),"Other"))</f>
        <v/>
      </c>
      <c r="V1104">
        <f>IF(B1104="","",IF(COUNTIF($B$6:B1104,B1104)=1,1,0))</f>
        <v/>
      </c>
      <c r="W1104">
        <f>IF(B1104="","",B1104-WEEKDAY(B1104,3))</f>
        <v/>
      </c>
      <c r="X1104">
        <f>IF(D1104="","",MAX(IF(N(F1104)=0,0,IF(N(E1104)&gt;0,E1104*(1+F1104/30),F1104)),IF(N(H1104)=0,0,IF(N(G1104)&gt;0,G1104*(1+H1104/30),H1104)),IF(N(J1104)=0,0,IF(N(I1104)&gt;0,I1104*(1+J1104/30),J1104)),IF(N(L1104)=0,0,IF(N(K1104)&gt;0,K1104*(1+L1104/30),L1104)),IF(N(N1104)=0,0,IF(N(M1104)&gt;0,M1104*(1+N1104/30),N1104))))</f>
        <v/>
      </c>
      <c r="Y1104">
        <f>IF(N(X1104)=0,"",X1104+ROW()/1000000000)</f>
        <v/>
      </c>
      <c r="Z1104">
        <f>IF(Y1104="","",IF(COUNTIFS(Log!$D$6:$D$1505,D1104,Log!$Y$6:$Y$1505,"&gt;"&amp;Y1104)=0,1,0))</f>
        <v/>
      </c>
      <c r="AA1104">
        <f>IF(OR(B1104="",D1104=""),"",B1104+ROW()/10000000)</f>
        <v/>
      </c>
      <c r="AB1104">
        <f>IF(AA1104="","",IF(COUNTIFS(Log!$D$6:$D$1505,D1104,Log!$AA$6:$AA$1505,"&gt;"&amp;AA1104)=0,1,0))</f>
        <v/>
      </c>
      <c r="AC1104">
        <f>IF(S1104="New best",AA1104,"")</f>
        <v/>
      </c>
      <c r="AD1104">
        <f>ROW()</f>
        <v/>
      </c>
    </row>
    <row r="1105">
      <c r="A1105" s="1" t="n"/>
      <c r="B1105" s="21" t="n"/>
      <c r="C1105" s="22" t="n"/>
      <c r="D1105" s="23" t="n"/>
      <c r="E1105" s="24" t="n"/>
      <c r="F1105" s="24" t="n"/>
      <c r="G1105" s="24" t="n"/>
      <c r="H1105" s="24" t="n"/>
      <c r="I1105" s="24" t="n"/>
      <c r="J1105" s="24" t="n"/>
      <c r="K1105" s="24" t="n"/>
      <c r="L1105" s="24" t="n"/>
      <c r="M1105" s="24" t="n"/>
      <c r="N1105" s="24" t="n"/>
      <c r="O1105" s="15">
        <f>IF(D1105="","",COUNT(F1105,H1105,J1105,L1105,N1105))</f>
        <v/>
      </c>
      <c r="P1105" s="25">
        <f>IF(D1105="","",N(E1105)*N(F1105)+N(G1105)*N(H1105)+N(I1105)*N(J1105)+N(K1105)*N(L1105)+N(M1105)*N(N1105))</f>
        <v/>
      </c>
      <c r="Q1105" s="18">
        <f>IF(N(X1105)=0,"",IF(IF(N(F1105)=0,0,IF(N(E1105)&gt;0,E1105*(1+F1105/30),F1105))=X1105,IF(N(E1105)&gt;0,E1105&amp;" x "&amp;F1105,F1105&amp;" reps"),IF(IF(N(H1105)=0,0,IF(N(G1105)&gt;0,G1105*(1+H1105/30),H1105))=X1105,IF(N(G1105)&gt;0,G1105&amp;" x "&amp;H1105,H1105&amp;" reps"),IF(IF(N(J1105)=0,0,IF(N(I1105)&gt;0,I1105*(1+J1105/30),J1105))=X1105,IF(N(I1105)&gt;0,I1105&amp;" x "&amp;J1105,J1105&amp;" reps"),IF(IF(N(L1105)=0,0,IF(N(K1105)&gt;0,K1105*(1+L1105/30),L1105))=X1105,IF(N(K1105)&gt;0,K1105&amp;" x "&amp;L1105,L1105&amp;" reps"),IF(IF(N(N1105)=0,0,IF(N(M1105)&gt;0,M1105*(1+N1105/30),N1105))=X1105,IF(N(M1105)&gt;0,M1105&amp;" x "&amp;N1105,N1105&amp;" reps"),""))))))</f>
        <v/>
      </c>
      <c r="R1105" s="20">
        <f>IF(N(X1105)=0,"",ROUND(X1105,1))</f>
        <v/>
      </c>
      <c r="S1105" s="18">
        <f>IF(N(X1105)=0,"",IF(AND(COUNTIFS(Log!$D$6:$D$1505,D1105,Log!$B$6:$B$1505,"&lt;"&amp;B1105)&gt;0,COUNTIFS(Log!$D$6:$D$1505,D1105,Log!$B$6:$B$1505,"&lt;"&amp;B1105,Log!$X$6:$X$1505,"&gt;="&amp;X1105)=0),"New best",""))</f>
        <v/>
      </c>
      <c r="T1105" s="26" t="n"/>
      <c r="U1105" s="1">
        <f>IF(D1105="","",IFERROR(INDEX(Exercises!$C$6:$C$105,MATCH(D1105,Exercises!$B$6:$B$105,0)),"Other"))</f>
        <v/>
      </c>
      <c r="V1105">
        <f>IF(B1105="","",IF(COUNTIF($B$6:B1105,B1105)=1,1,0))</f>
        <v/>
      </c>
      <c r="W1105">
        <f>IF(B1105="","",B1105-WEEKDAY(B1105,3))</f>
        <v/>
      </c>
      <c r="X1105">
        <f>IF(D1105="","",MAX(IF(N(F1105)=0,0,IF(N(E1105)&gt;0,E1105*(1+F1105/30),F1105)),IF(N(H1105)=0,0,IF(N(G1105)&gt;0,G1105*(1+H1105/30),H1105)),IF(N(J1105)=0,0,IF(N(I1105)&gt;0,I1105*(1+J1105/30),J1105)),IF(N(L1105)=0,0,IF(N(K1105)&gt;0,K1105*(1+L1105/30),L1105)),IF(N(N1105)=0,0,IF(N(M1105)&gt;0,M1105*(1+N1105/30),N1105))))</f>
        <v/>
      </c>
      <c r="Y1105">
        <f>IF(N(X1105)=0,"",X1105+ROW()/1000000000)</f>
        <v/>
      </c>
      <c r="Z1105">
        <f>IF(Y1105="","",IF(COUNTIFS(Log!$D$6:$D$1505,D1105,Log!$Y$6:$Y$1505,"&gt;"&amp;Y1105)=0,1,0))</f>
        <v/>
      </c>
      <c r="AA1105">
        <f>IF(OR(B1105="",D1105=""),"",B1105+ROW()/10000000)</f>
        <v/>
      </c>
      <c r="AB1105">
        <f>IF(AA1105="","",IF(COUNTIFS(Log!$D$6:$D$1505,D1105,Log!$AA$6:$AA$1505,"&gt;"&amp;AA1105)=0,1,0))</f>
        <v/>
      </c>
      <c r="AC1105">
        <f>IF(S1105="New best",AA1105,"")</f>
        <v/>
      </c>
      <c r="AD1105">
        <f>ROW()</f>
        <v/>
      </c>
    </row>
    <row r="1106">
      <c r="A1106" s="1" t="n"/>
      <c r="B1106" s="21" t="n"/>
      <c r="C1106" s="22" t="n"/>
      <c r="D1106" s="23" t="n"/>
      <c r="E1106" s="24" t="n"/>
      <c r="F1106" s="24" t="n"/>
      <c r="G1106" s="24" t="n"/>
      <c r="H1106" s="24" t="n"/>
      <c r="I1106" s="24" t="n"/>
      <c r="J1106" s="24" t="n"/>
      <c r="K1106" s="24" t="n"/>
      <c r="L1106" s="24" t="n"/>
      <c r="M1106" s="24" t="n"/>
      <c r="N1106" s="24" t="n"/>
      <c r="O1106" s="15">
        <f>IF(D1106="","",COUNT(F1106,H1106,J1106,L1106,N1106))</f>
        <v/>
      </c>
      <c r="P1106" s="25">
        <f>IF(D1106="","",N(E1106)*N(F1106)+N(G1106)*N(H1106)+N(I1106)*N(J1106)+N(K1106)*N(L1106)+N(M1106)*N(N1106))</f>
        <v/>
      </c>
      <c r="Q1106" s="18">
        <f>IF(N(X1106)=0,"",IF(IF(N(F1106)=0,0,IF(N(E1106)&gt;0,E1106*(1+F1106/30),F1106))=X1106,IF(N(E1106)&gt;0,E1106&amp;" x "&amp;F1106,F1106&amp;" reps"),IF(IF(N(H1106)=0,0,IF(N(G1106)&gt;0,G1106*(1+H1106/30),H1106))=X1106,IF(N(G1106)&gt;0,G1106&amp;" x "&amp;H1106,H1106&amp;" reps"),IF(IF(N(J1106)=0,0,IF(N(I1106)&gt;0,I1106*(1+J1106/30),J1106))=X1106,IF(N(I1106)&gt;0,I1106&amp;" x "&amp;J1106,J1106&amp;" reps"),IF(IF(N(L1106)=0,0,IF(N(K1106)&gt;0,K1106*(1+L1106/30),L1106))=X1106,IF(N(K1106)&gt;0,K1106&amp;" x "&amp;L1106,L1106&amp;" reps"),IF(IF(N(N1106)=0,0,IF(N(M1106)&gt;0,M1106*(1+N1106/30),N1106))=X1106,IF(N(M1106)&gt;0,M1106&amp;" x "&amp;N1106,N1106&amp;" reps"),""))))))</f>
        <v/>
      </c>
      <c r="R1106" s="20">
        <f>IF(N(X1106)=0,"",ROUND(X1106,1))</f>
        <v/>
      </c>
      <c r="S1106" s="18">
        <f>IF(N(X1106)=0,"",IF(AND(COUNTIFS(Log!$D$6:$D$1505,D1106,Log!$B$6:$B$1505,"&lt;"&amp;B1106)&gt;0,COUNTIFS(Log!$D$6:$D$1505,D1106,Log!$B$6:$B$1505,"&lt;"&amp;B1106,Log!$X$6:$X$1505,"&gt;="&amp;X1106)=0),"New best",""))</f>
        <v/>
      </c>
      <c r="T1106" s="26" t="n"/>
      <c r="U1106" s="1">
        <f>IF(D1106="","",IFERROR(INDEX(Exercises!$C$6:$C$105,MATCH(D1106,Exercises!$B$6:$B$105,0)),"Other"))</f>
        <v/>
      </c>
      <c r="V1106">
        <f>IF(B1106="","",IF(COUNTIF($B$6:B1106,B1106)=1,1,0))</f>
        <v/>
      </c>
      <c r="W1106">
        <f>IF(B1106="","",B1106-WEEKDAY(B1106,3))</f>
        <v/>
      </c>
      <c r="X1106">
        <f>IF(D1106="","",MAX(IF(N(F1106)=0,0,IF(N(E1106)&gt;0,E1106*(1+F1106/30),F1106)),IF(N(H1106)=0,0,IF(N(G1106)&gt;0,G1106*(1+H1106/30),H1106)),IF(N(J1106)=0,0,IF(N(I1106)&gt;0,I1106*(1+J1106/30),J1106)),IF(N(L1106)=0,0,IF(N(K1106)&gt;0,K1106*(1+L1106/30),L1106)),IF(N(N1106)=0,0,IF(N(M1106)&gt;0,M1106*(1+N1106/30),N1106))))</f>
        <v/>
      </c>
      <c r="Y1106">
        <f>IF(N(X1106)=0,"",X1106+ROW()/1000000000)</f>
        <v/>
      </c>
      <c r="Z1106">
        <f>IF(Y1106="","",IF(COUNTIFS(Log!$D$6:$D$1505,D1106,Log!$Y$6:$Y$1505,"&gt;"&amp;Y1106)=0,1,0))</f>
        <v/>
      </c>
      <c r="AA1106">
        <f>IF(OR(B1106="",D1106=""),"",B1106+ROW()/10000000)</f>
        <v/>
      </c>
      <c r="AB1106">
        <f>IF(AA1106="","",IF(COUNTIFS(Log!$D$6:$D$1505,D1106,Log!$AA$6:$AA$1505,"&gt;"&amp;AA1106)=0,1,0))</f>
        <v/>
      </c>
      <c r="AC1106">
        <f>IF(S1106="New best",AA1106,"")</f>
        <v/>
      </c>
      <c r="AD1106">
        <f>ROW()</f>
        <v/>
      </c>
    </row>
    <row r="1107">
      <c r="A1107" s="1" t="n"/>
      <c r="B1107" s="21" t="n"/>
      <c r="C1107" s="22" t="n"/>
      <c r="D1107" s="23" t="n"/>
      <c r="E1107" s="24" t="n"/>
      <c r="F1107" s="24" t="n"/>
      <c r="G1107" s="24" t="n"/>
      <c r="H1107" s="24" t="n"/>
      <c r="I1107" s="24" t="n"/>
      <c r="J1107" s="24" t="n"/>
      <c r="K1107" s="24" t="n"/>
      <c r="L1107" s="24" t="n"/>
      <c r="M1107" s="24" t="n"/>
      <c r="N1107" s="24" t="n"/>
      <c r="O1107" s="15">
        <f>IF(D1107="","",COUNT(F1107,H1107,J1107,L1107,N1107))</f>
        <v/>
      </c>
      <c r="P1107" s="25">
        <f>IF(D1107="","",N(E1107)*N(F1107)+N(G1107)*N(H1107)+N(I1107)*N(J1107)+N(K1107)*N(L1107)+N(M1107)*N(N1107))</f>
        <v/>
      </c>
      <c r="Q1107" s="18">
        <f>IF(N(X1107)=0,"",IF(IF(N(F1107)=0,0,IF(N(E1107)&gt;0,E1107*(1+F1107/30),F1107))=X1107,IF(N(E1107)&gt;0,E1107&amp;" x "&amp;F1107,F1107&amp;" reps"),IF(IF(N(H1107)=0,0,IF(N(G1107)&gt;0,G1107*(1+H1107/30),H1107))=X1107,IF(N(G1107)&gt;0,G1107&amp;" x "&amp;H1107,H1107&amp;" reps"),IF(IF(N(J1107)=0,0,IF(N(I1107)&gt;0,I1107*(1+J1107/30),J1107))=X1107,IF(N(I1107)&gt;0,I1107&amp;" x "&amp;J1107,J1107&amp;" reps"),IF(IF(N(L1107)=0,0,IF(N(K1107)&gt;0,K1107*(1+L1107/30),L1107))=X1107,IF(N(K1107)&gt;0,K1107&amp;" x "&amp;L1107,L1107&amp;" reps"),IF(IF(N(N1107)=0,0,IF(N(M1107)&gt;0,M1107*(1+N1107/30),N1107))=X1107,IF(N(M1107)&gt;0,M1107&amp;" x "&amp;N1107,N1107&amp;" reps"),""))))))</f>
        <v/>
      </c>
      <c r="R1107" s="20">
        <f>IF(N(X1107)=0,"",ROUND(X1107,1))</f>
        <v/>
      </c>
      <c r="S1107" s="18">
        <f>IF(N(X1107)=0,"",IF(AND(COUNTIFS(Log!$D$6:$D$1505,D1107,Log!$B$6:$B$1505,"&lt;"&amp;B1107)&gt;0,COUNTIFS(Log!$D$6:$D$1505,D1107,Log!$B$6:$B$1505,"&lt;"&amp;B1107,Log!$X$6:$X$1505,"&gt;="&amp;X1107)=0),"New best",""))</f>
        <v/>
      </c>
      <c r="T1107" s="26" t="n"/>
      <c r="U1107" s="1">
        <f>IF(D1107="","",IFERROR(INDEX(Exercises!$C$6:$C$105,MATCH(D1107,Exercises!$B$6:$B$105,0)),"Other"))</f>
        <v/>
      </c>
      <c r="V1107">
        <f>IF(B1107="","",IF(COUNTIF($B$6:B1107,B1107)=1,1,0))</f>
        <v/>
      </c>
      <c r="W1107">
        <f>IF(B1107="","",B1107-WEEKDAY(B1107,3))</f>
        <v/>
      </c>
      <c r="X1107">
        <f>IF(D1107="","",MAX(IF(N(F1107)=0,0,IF(N(E1107)&gt;0,E1107*(1+F1107/30),F1107)),IF(N(H1107)=0,0,IF(N(G1107)&gt;0,G1107*(1+H1107/30),H1107)),IF(N(J1107)=0,0,IF(N(I1107)&gt;0,I1107*(1+J1107/30),J1107)),IF(N(L1107)=0,0,IF(N(K1107)&gt;0,K1107*(1+L1107/30),L1107)),IF(N(N1107)=0,0,IF(N(M1107)&gt;0,M1107*(1+N1107/30),N1107))))</f>
        <v/>
      </c>
      <c r="Y1107">
        <f>IF(N(X1107)=0,"",X1107+ROW()/1000000000)</f>
        <v/>
      </c>
      <c r="Z1107">
        <f>IF(Y1107="","",IF(COUNTIFS(Log!$D$6:$D$1505,D1107,Log!$Y$6:$Y$1505,"&gt;"&amp;Y1107)=0,1,0))</f>
        <v/>
      </c>
      <c r="AA1107">
        <f>IF(OR(B1107="",D1107=""),"",B1107+ROW()/10000000)</f>
        <v/>
      </c>
      <c r="AB1107">
        <f>IF(AA1107="","",IF(COUNTIFS(Log!$D$6:$D$1505,D1107,Log!$AA$6:$AA$1505,"&gt;"&amp;AA1107)=0,1,0))</f>
        <v/>
      </c>
      <c r="AC1107">
        <f>IF(S1107="New best",AA1107,"")</f>
        <v/>
      </c>
      <c r="AD1107">
        <f>ROW()</f>
        <v/>
      </c>
    </row>
    <row r="1108">
      <c r="A1108" s="1" t="n"/>
      <c r="B1108" s="21" t="n"/>
      <c r="C1108" s="22" t="n"/>
      <c r="D1108" s="23" t="n"/>
      <c r="E1108" s="24" t="n"/>
      <c r="F1108" s="24" t="n"/>
      <c r="G1108" s="24" t="n"/>
      <c r="H1108" s="24" t="n"/>
      <c r="I1108" s="24" t="n"/>
      <c r="J1108" s="24" t="n"/>
      <c r="K1108" s="24" t="n"/>
      <c r="L1108" s="24" t="n"/>
      <c r="M1108" s="24" t="n"/>
      <c r="N1108" s="24" t="n"/>
      <c r="O1108" s="15">
        <f>IF(D1108="","",COUNT(F1108,H1108,J1108,L1108,N1108))</f>
        <v/>
      </c>
      <c r="P1108" s="25">
        <f>IF(D1108="","",N(E1108)*N(F1108)+N(G1108)*N(H1108)+N(I1108)*N(J1108)+N(K1108)*N(L1108)+N(M1108)*N(N1108))</f>
        <v/>
      </c>
      <c r="Q1108" s="18">
        <f>IF(N(X1108)=0,"",IF(IF(N(F1108)=0,0,IF(N(E1108)&gt;0,E1108*(1+F1108/30),F1108))=X1108,IF(N(E1108)&gt;0,E1108&amp;" x "&amp;F1108,F1108&amp;" reps"),IF(IF(N(H1108)=0,0,IF(N(G1108)&gt;0,G1108*(1+H1108/30),H1108))=X1108,IF(N(G1108)&gt;0,G1108&amp;" x "&amp;H1108,H1108&amp;" reps"),IF(IF(N(J1108)=0,0,IF(N(I1108)&gt;0,I1108*(1+J1108/30),J1108))=X1108,IF(N(I1108)&gt;0,I1108&amp;" x "&amp;J1108,J1108&amp;" reps"),IF(IF(N(L1108)=0,0,IF(N(K1108)&gt;0,K1108*(1+L1108/30),L1108))=X1108,IF(N(K1108)&gt;0,K1108&amp;" x "&amp;L1108,L1108&amp;" reps"),IF(IF(N(N1108)=0,0,IF(N(M1108)&gt;0,M1108*(1+N1108/30),N1108))=X1108,IF(N(M1108)&gt;0,M1108&amp;" x "&amp;N1108,N1108&amp;" reps"),""))))))</f>
        <v/>
      </c>
      <c r="R1108" s="20">
        <f>IF(N(X1108)=0,"",ROUND(X1108,1))</f>
        <v/>
      </c>
      <c r="S1108" s="18">
        <f>IF(N(X1108)=0,"",IF(AND(COUNTIFS(Log!$D$6:$D$1505,D1108,Log!$B$6:$B$1505,"&lt;"&amp;B1108)&gt;0,COUNTIFS(Log!$D$6:$D$1505,D1108,Log!$B$6:$B$1505,"&lt;"&amp;B1108,Log!$X$6:$X$1505,"&gt;="&amp;X1108)=0),"New best",""))</f>
        <v/>
      </c>
      <c r="T1108" s="26" t="n"/>
      <c r="U1108" s="1">
        <f>IF(D1108="","",IFERROR(INDEX(Exercises!$C$6:$C$105,MATCH(D1108,Exercises!$B$6:$B$105,0)),"Other"))</f>
        <v/>
      </c>
      <c r="V1108">
        <f>IF(B1108="","",IF(COUNTIF($B$6:B1108,B1108)=1,1,0))</f>
        <v/>
      </c>
      <c r="W1108">
        <f>IF(B1108="","",B1108-WEEKDAY(B1108,3))</f>
        <v/>
      </c>
      <c r="X1108">
        <f>IF(D1108="","",MAX(IF(N(F1108)=0,0,IF(N(E1108)&gt;0,E1108*(1+F1108/30),F1108)),IF(N(H1108)=0,0,IF(N(G1108)&gt;0,G1108*(1+H1108/30),H1108)),IF(N(J1108)=0,0,IF(N(I1108)&gt;0,I1108*(1+J1108/30),J1108)),IF(N(L1108)=0,0,IF(N(K1108)&gt;0,K1108*(1+L1108/30),L1108)),IF(N(N1108)=0,0,IF(N(M1108)&gt;0,M1108*(1+N1108/30),N1108))))</f>
        <v/>
      </c>
      <c r="Y1108">
        <f>IF(N(X1108)=0,"",X1108+ROW()/1000000000)</f>
        <v/>
      </c>
      <c r="Z1108">
        <f>IF(Y1108="","",IF(COUNTIFS(Log!$D$6:$D$1505,D1108,Log!$Y$6:$Y$1505,"&gt;"&amp;Y1108)=0,1,0))</f>
        <v/>
      </c>
      <c r="AA1108">
        <f>IF(OR(B1108="",D1108=""),"",B1108+ROW()/10000000)</f>
        <v/>
      </c>
      <c r="AB1108">
        <f>IF(AA1108="","",IF(COUNTIFS(Log!$D$6:$D$1505,D1108,Log!$AA$6:$AA$1505,"&gt;"&amp;AA1108)=0,1,0))</f>
        <v/>
      </c>
      <c r="AC1108">
        <f>IF(S1108="New best",AA1108,"")</f>
        <v/>
      </c>
      <c r="AD1108">
        <f>ROW()</f>
        <v/>
      </c>
    </row>
    <row r="1109">
      <c r="A1109" s="1" t="n"/>
      <c r="B1109" s="21" t="n"/>
      <c r="C1109" s="22" t="n"/>
      <c r="D1109" s="23" t="n"/>
      <c r="E1109" s="24" t="n"/>
      <c r="F1109" s="24" t="n"/>
      <c r="G1109" s="24" t="n"/>
      <c r="H1109" s="24" t="n"/>
      <c r="I1109" s="24" t="n"/>
      <c r="J1109" s="24" t="n"/>
      <c r="K1109" s="24" t="n"/>
      <c r="L1109" s="24" t="n"/>
      <c r="M1109" s="24" t="n"/>
      <c r="N1109" s="24" t="n"/>
      <c r="O1109" s="15">
        <f>IF(D1109="","",COUNT(F1109,H1109,J1109,L1109,N1109))</f>
        <v/>
      </c>
      <c r="P1109" s="25">
        <f>IF(D1109="","",N(E1109)*N(F1109)+N(G1109)*N(H1109)+N(I1109)*N(J1109)+N(K1109)*N(L1109)+N(M1109)*N(N1109))</f>
        <v/>
      </c>
      <c r="Q1109" s="18">
        <f>IF(N(X1109)=0,"",IF(IF(N(F1109)=0,0,IF(N(E1109)&gt;0,E1109*(1+F1109/30),F1109))=X1109,IF(N(E1109)&gt;0,E1109&amp;" x "&amp;F1109,F1109&amp;" reps"),IF(IF(N(H1109)=0,0,IF(N(G1109)&gt;0,G1109*(1+H1109/30),H1109))=X1109,IF(N(G1109)&gt;0,G1109&amp;" x "&amp;H1109,H1109&amp;" reps"),IF(IF(N(J1109)=0,0,IF(N(I1109)&gt;0,I1109*(1+J1109/30),J1109))=X1109,IF(N(I1109)&gt;0,I1109&amp;" x "&amp;J1109,J1109&amp;" reps"),IF(IF(N(L1109)=0,0,IF(N(K1109)&gt;0,K1109*(1+L1109/30),L1109))=X1109,IF(N(K1109)&gt;0,K1109&amp;" x "&amp;L1109,L1109&amp;" reps"),IF(IF(N(N1109)=0,0,IF(N(M1109)&gt;0,M1109*(1+N1109/30),N1109))=X1109,IF(N(M1109)&gt;0,M1109&amp;" x "&amp;N1109,N1109&amp;" reps"),""))))))</f>
        <v/>
      </c>
      <c r="R1109" s="20">
        <f>IF(N(X1109)=0,"",ROUND(X1109,1))</f>
        <v/>
      </c>
      <c r="S1109" s="18">
        <f>IF(N(X1109)=0,"",IF(AND(COUNTIFS(Log!$D$6:$D$1505,D1109,Log!$B$6:$B$1505,"&lt;"&amp;B1109)&gt;0,COUNTIFS(Log!$D$6:$D$1505,D1109,Log!$B$6:$B$1505,"&lt;"&amp;B1109,Log!$X$6:$X$1505,"&gt;="&amp;X1109)=0),"New best",""))</f>
        <v/>
      </c>
      <c r="T1109" s="26" t="n"/>
      <c r="U1109" s="1">
        <f>IF(D1109="","",IFERROR(INDEX(Exercises!$C$6:$C$105,MATCH(D1109,Exercises!$B$6:$B$105,0)),"Other"))</f>
        <v/>
      </c>
      <c r="V1109">
        <f>IF(B1109="","",IF(COUNTIF($B$6:B1109,B1109)=1,1,0))</f>
        <v/>
      </c>
      <c r="W1109">
        <f>IF(B1109="","",B1109-WEEKDAY(B1109,3))</f>
        <v/>
      </c>
      <c r="X1109">
        <f>IF(D1109="","",MAX(IF(N(F1109)=0,0,IF(N(E1109)&gt;0,E1109*(1+F1109/30),F1109)),IF(N(H1109)=0,0,IF(N(G1109)&gt;0,G1109*(1+H1109/30),H1109)),IF(N(J1109)=0,0,IF(N(I1109)&gt;0,I1109*(1+J1109/30),J1109)),IF(N(L1109)=0,0,IF(N(K1109)&gt;0,K1109*(1+L1109/30),L1109)),IF(N(N1109)=0,0,IF(N(M1109)&gt;0,M1109*(1+N1109/30),N1109))))</f>
        <v/>
      </c>
      <c r="Y1109">
        <f>IF(N(X1109)=0,"",X1109+ROW()/1000000000)</f>
        <v/>
      </c>
      <c r="Z1109">
        <f>IF(Y1109="","",IF(COUNTIFS(Log!$D$6:$D$1505,D1109,Log!$Y$6:$Y$1505,"&gt;"&amp;Y1109)=0,1,0))</f>
        <v/>
      </c>
      <c r="AA1109">
        <f>IF(OR(B1109="",D1109=""),"",B1109+ROW()/10000000)</f>
        <v/>
      </c>
      <c r="AB1109">
        <f>IF(AA1109="","",IF(COUNTIFS(Log!$D$6:$D$1505,D1109,Log!$AA$6:$AA$1505,"&gt;"&amp;AA1109)=0,1,0))</f>
        <v/>
      </c>
      <c r="AC1109">
        <f>IF(S1109="New best",AA1109,"")</f>
        <v/>
      </c>
      <c r="AD1109">
        <f>ROW()</f>
        <v/>
      </c>
    </row>
    <row r="1110">
      <c r="A1110" s="1" t="n"/>
      <c r="B1110" s="21" t="n"/>
      <c r="C1110" s="22" t="n"/>
      <c r="D1110" s="23" t="n"/>
      <c r="E1110" s="24" t="n"/>
      <c r="F1110" s="24" t="n"/>
      <c r="G1110" s="24" t="n"/>
      <c r="H1110" s="24" t="n"/>
      <c r="I1110" s="24" t="n"/>
      <c r="J1110" s="24" t="n"/>
      <c r="K1110" s="24" t="n"/>
      <c r="L1110" s="24" t="n"/>
      <c r="M1110" s="24" t="n"/>
      <c r="N1110" s="24" t="n"/>
      <c r="O1110" s="15">
        <f>IF(D1110="","",COUNT(F1110,H1110,J1110,L1110,N1110))</f>
        <v/>
      </c>
      <c r="P1110" s="25">
        <f>IF(D1110="","",N(E1110)*N(F1110)+N(G1110)*N(H1110)+N(I1110)*N(J1110)+N(K1110)*N(L1110)+N(M1110)*N(N1110))</f>
        <v/>
      </c>
      <c r="Q1110" s="18">
        <f>IF(N(X1110)=0,"",IF(IF(N(F1110)=0,0,IF(N(E1110)&gt;0,E1110*(1+F1110/30),F1110))=X1110,IF(N(E1110)&gt;0,E1110&amp;" x "&amp;F1110,F1110&amp;" reps"),IF(IF(N(H1110)=0,0,IF(N(G1110)&gt;0,G1110*(1+H1110/30),H1110))=X1110,IF(N(G1110)&gt;0,G1110&amp;" x "&amp;H1110,H1110&amp;" reps"),IF(IF(N(J1110)=0,0,IF(N(I1110)&gt;0,I1110*(1+J1110/30),J1110))=X1110,IF(N(I1110)&gt;0,I1110&amp;" x "&amp;J1110,J1110&amp;" reps"),IF(IF(N(L1110)=0,0,IF(N(K1110)&gt;0,K1110*(1+L1110/30),L1110))=X1110,IF(N(K1110)&gt;0,K1110&amp;" x "&amp;L1110,L1110&amp;" reps"),IF(IF(N(N1110)=0,0,IF(N(M1110)&gt;0,M1110*(1+N1110/30),N1110))=X1110,IF(N(M1110)&gt;0,M1110&amp;" x "&amp;N1110,N1110&amp;" reps"),""))))))</f>
        <v/>
      </c>
      <c r="R1110" s="20">
        <f>IF(N(X1110)=0,"",ROUND(X1110,1))</f>
        <v/>
      </c>
      <c r="S1110" s="18">
        <f>IF(N(X1110)=0,"",IF(AND(COUNTIFS(Log!$D$6:$D$1505,D1110,Log!$B$6:$B$1505,"&lt;"&amp;B1110)&gt;0,COUNTIFS(Log!$D$6:$D$1505,D1110,Log!$B$6:$B$1505,"&lt;"&amp;B1110,Log!$X$6:$X$1505,"&gt;="&amp;X1110)=0),"New best",""))</f>
        <v/>
      </c>
      <c r="T1110" s="26" t="n"/>
      <c r="U1110" s="1">
        <f>IF(D1110="","",IFERROR(INDEX(Exercises!$C$6:$C$105,MATCH(D1110,Exercises!$B$6:$B$105,0)),"Other"))</f>
        <v/>
      </c>
      <c r="V1110">
        <f>IF(B1110="","",IF(COUNTIF($B$6:B1110,B1110)=1,1,0))</f>
        <v/>
      </c>
      <c r="W1110">
        <f>IF(B1110="","",B1110-WEEKDAY(B1110,3))</f>
        <v/>
      </c>
      <c r="X1110">
        <f>IF(D1110="","",MAX(IF(N(F1110)=0,0,IF(N(E1110)&gt;0,E1110*(1+F1110/30),F1110)),IF(N(H1110)=0,0,IF(N(G1110)&gt;0,G1110*(1+H1110/30),H1110)),IF(N(J1110)=0,0,IF(N(I1110)&gt;0,I1110*(1+J1110/30),J1110)),IF(N(L1110)=0,0,IF(N(K1110)&gt;0,K1110*(1+L1110/30),L1110)),IF(N(N1110)=0,0,IF(N(M1110)&gt;0,M1110*(1+N1110/30),N1110))))</f>
        <v/>
      </c>
      <c r="Y1110">
        <f>IF(N(X1110)=0,"",X1110+ROW()/1000000000)</f>
        <v/>
      </c>
      <c r="Z1110">
        <f>IF(Y1110="","",IF(COUNTIFS(Log!$D$6:$D$1505,D1110,Log!$Y$6:$Y$1505,"&gt;"&amp;Y1110)=0,1,0))</f>
        <v/>
      </c>
      <c r="AA1110">
        <f>IF(OR(B1110="",D1110=""),"",B1110+ROW()/10000000)</f>
        <v/>
      </c>
      <c r="AB1110">
        <f>IF(AA1110="","",IF(COUNTIFS(Log!$D$6:$D$1505,D1110,Log!$AA$6:$AA$1505,"&gt;"&amp;AA1110)=0,1,0))</f>
        <v/>
      </c>
      <c r="AC1110">
        <f>IF(S1110="New best",AA1110,"")</f>
        <v/>
      </c>
      <c r="AD1110">
        <f>ROW()</f>
        <v/>
      </c>
    </row>
    <row r="1111">
      <c r="A1111" s="1" t="n"/>
      <c r="B1111" s="21" t="n"/>
      <c r="C1111" s="22" t="n"/>
      <c r="D1111" s="23" t="n"/>
      <c r="E1111" s="24" t="n"/>
      <c r="F1111" s="24" t="n"/>
      <c r="G1111" s="24" t="n"/>
      <c r="H1111" s="24" t="n"/>
      <c r="I1111" s="24" t="n"/>
      <c r="J1111" s="24" t="n"/>
      <c r="K1111" s="24" t="n"/>
      <c r="L1111" s="24" t="n"/>
      <c r="M1111" s="24" t="n"/>
      <c r="N1111" s="24" t="n"/>
      <c r="O1111" s="15">
        <f>IF(D1111="","",COUNT(F1111,H1111,J1111,L1111,N1111))</f>
        <v/>
      </c>
      <c r="P1111" s="25">
        <f>IF(D1111="","",N(E1111)*N(F1111)+N(G1111)*N(H1111)+N(I1111)*N(J1111)+N(K1111)*N(L1111)+N(M1111)*N(N1111))</f>
        <v/>
      </c>
      <c r="Q1111" s="18">
        <f>IF(N(X1111)=0,"",IF(IF(N(F1111)=0,0,IF(N(E1111)&gt;0,E1111*(1+F1111/30),F1111))=X1111,IF(N(E1111)&gt;0,E1111&amp;" x "&amp;F1111,F1111&amp;" reps"),IF(IF(N(H1111)=0,0,IF(N(G1111)&gt;0,G1111*(1+H1111/30),H1111))=X1111,IF(N(G1111)&gt;0,G1111&amp;" x "&amp;H1111,H1111&amp;" reps"),IF(IF(N(J1111)=0,0,IF(N(I1111)&gt;0,I1111*(1+J1111/30),J1111))=X1111,IF(N(I1111)&gt;0,I1111&amp;" x "&amp;J1111,J1111&amp;" reps"),IF(IF(N(L1111)=0,0,IF(N(K1111)&gt;0,K1111*(1+L1111/30),L1111))=X1111,IF(N(K1111)&gt;0,K1111&amp;" x "&amp;L1111,L1111&amp;" reps"),IF(IF(N(N1111)=0,0,IF(N(M1111)&gt;0,M1111*(1+N1111/30),N1111))=X1111,IF(N(M1111)&gt;0,M1111&amp;" x "&amp;N1111,N1111&amp;" reps"),""))))))</f>
        <v/>
      </c>
      <c r="R1111" s="20">
        <f>IF(N(X1111)=0,"",ROUND(X1111,1))</f>
        <v/>
      </c>
      <c r="S1111" s="18">
        <f>IF(N(X1111)=0,"",IF(AND(COUNTIFS(Log!$D$6:$D$1505,D1111,Log!$B$6:$B$1505,"&lt;"&amp;B1111)&gt;0,COUNTIFS(Log!$D$6:$D$1505,D1111,Log!$B$6:$B$1505,"&lt;"&amp;B1111,Log!$X$6:$X$1505,"&gt;="&amp;X1111)=0),"New best",""))</f>
        <v/>
      </c>
      <c r="T1111" s="26" t="n"/>
      <c r="U1111" s="1">
        <f>IF(D1111="","",IFERROR(INDEX(Exercises!$C$6:$C$105,MATCH(D1111,Exercises!$B$6:$B$105,0)),"Other"))</f>
        <v/>
      </c>
      <c r="V1111">
        <f>IF(B1111="","",IF(COUNTIF($B$6:B1111,B1111)=1,1,0))</f>
        <v/>
      </c>
      <c r="W1111">
        <f>IF(B1111="","",B1111-WEEKDAY(B1111,3))</f>
        <v/>
      </c>
      <c r="X1111">
        <f>IF(D1111="","",MAX(IF(N(F1111)=0,0,IF(N(E1111)&gt;0,E1111*(1+F1111/30),F1111)),IF(N(H1111)=0,0,IF(N(G1111)&gt;0,G1111*(1+H1111/30),H1111)),IF(N(J1111)=0,0,IF(N(I1111)&gt;0,I1111*(1+J1111/30),J1111)),IF(N(L1111)=0,0,IF(N(K1111)&gt;0,K1111*(1+L1111/30),L1111)),IF(N(N1111)=0,0,IF(N(M1111)&gt;0,M1111*(1+N1111/30),N1111))))</f>
        <v/>
      </c>
      <c r="Y1111">
        <f>IF(N(X1111)=0,"",X1111+ROW()/1000000000)</f>
        <v/>
      </c>
      <c r="Z1111">
        <f>IF(Y1111="","",IF(COUNTIFS(Log!$D$6:$D$1505,D1111,Log!$Y$6:$Y$1505,"&gt;"&amp;Y1111)=0,1,0))</f>
        <v/>
      </c>
      <c r="AA1111">
        <f>IF(OR(B1111="",D1111=""),"",B1111+ROW()/10000000)</f>
        <v/>
      </c>
      <c r="AB1111">
        <f>IF(AA1111="","",IF(COUNTIFS(Log!$D$6:$D$1505,D1111,Log!$AA$6:$AA$1505,"&gt;"&amp;AA1111)=0,1,0))</f>
        <v/>
      </c>
      <c r="AC1111">
        <f>IF(S1111="New best",AA1111,"")</f>
        <v/>
      </c>
      <c r="AD1111">
        <f>ROW()</f>
        <v/>
      </c>
    </row>
    <row r="1112">
      <c r="A1112" s="1" t="n"/>
      <c r="B1112" s="21" t="n"/>
      <c r="C1112" s="22" t="n"/>
      <c r="D1112" s="23" t="n"/>
      <c r="E1112" s="24" t="n"/>
      <c r="F1112" s="24" t="n"/>
      <c r="G1112" s="24" t="n"/>
      <c r="H1112" s="24" t="n"/>
      <c r="I1112" s="24" t="n"/>
      <c r="J1112" s="24" t="n"/>
      <c r="K1112" s="24" t="n"/>
      <c r="L1112" s="24" t="n"/>
      <c r="M1112" s="24" t="n"/>
      <c r="N1112" s="24" t="n"/>
      <c r="O1112" s="15">
        <f>IF(D1112="","",COUNT(F1112,H1112,J1112,L1112,N1112))</f>
        <v/>
      </c>
      <c r="P1112" s="25">
        <f>IF(D1112="","",N(E1112)*N(F1112)+N(G1112)*N(H1112)+N(I1112)*N(J1112)+N(K1112)*N(L1112)+N(M1112)*N(N1112))</f>
        <v/>
      </c>
      <c r="Q1112" s="18">
        <f>IF(N(X1112)=0,"",IF(IF(N(F1112)=0,0,IF(N(E1112)&gt;0,E1112*(1+F1112/30),F1112))=X1112,IF(N(E1112)&gt;0,E1112&amp;" x "&amp;F1112,F1112&amp;" reps"),IF(IF(N(H1112)=0,0,IF(N(G1112)&gt;0,G1112*(1+H1112/30),H1112))=X1112,IF(N(G1112)&gt;0,G1112&amp;" x "&amp;H1112,H1112&amp;" reps"),IF(IF(N(J1112)=0,0,IF(N(I1112)&gt;0,I1112*(1+J1112/30),J1112))=X1112,IF(N(I1112)&gt;0,I1112&amp;" x "&amp;J1112,J1112&amp;" reps"),IF(IF(N(L1112)=0,0,IF(N(K1112)&gt;0,K1112*(1+L1112/30),L1112))=X1112,IF(N(K1112)&gt;0,K1112&amp;" x "&amp;L1112,L1112&amp;" reps"),IF(IF(N(N1112)=0,0,IF(N(M1112)&gt;0,M1112*(1+N1112/30),N1112))=X1112,IF(N(M1112)&gt;0,M1112&amp;" x "&amp;N1112,N1112&amp;" reps"),""))))))</f>
        <v/>
      </c>
      <c r="R1112" s="20">
        <f>IF(N(X1112)=0,"",ROUND(X1112,1))</f>
        <v/>
      </c>
      <c r="S1112" s="18">
        <f>IF(N(X1112)=0,"",IF(AND(COUNTIFS(Log!$D$6:$D$1505,D1112,Log!$B$6:$B$1505,"&lt;"&amp;B1112)&gt;0,COUNTIFS(Log!$D$6:$D$1505,D1112,Log!$B$6:$B$1505,"&lt;"&amp;B1112,Log!$X$6:$X$1505,"&gt;="&amp;X1112)=0),"New best",""))</f>
        <v/>
      </c>
      <c r="T1112" s="26" t="n"/>
      <c r="U1112" s="1">
        <f>IF(D1112="","",IFERROR(INDEX(Exercises!$C$6:$C$105,MATCH(D1112,Exercises!$B$6:$B$105,0)),"Other"))</f>
        <v/>
      </c>
      <c r="V1112">
        <f>IF(B1112="","",IF(COUNTIF($B$6:B1112,B1112)=1,1,0))</f>
        <v/>
      </c>
      <c r="W1112">
        <f>IF(B1112="","",B1112-WEEKDAY(B1112,3))</f>
        <v/>
      </c>
      <c r="X1112">
        <f>IF(D1112="","",MAX(IF(N(F1112)=0,0,IF(N(E1112)&gt;0,E1112*(1+F1112/30),F1112)),IF(N(H1112)=0,0,IF(N(G1112)&gt;0,G1112*(1+H1112/30),H1112)),IF(N(J1112)=0,0,IF(N(I1112)&gt;0,I1112*(1+J1112/30),J1112)),IF(N(L1112)=0,0,IF(N(K1112)&gt;0,K1112*(1+L1112/30),L1112)),IF(N(N1112)=0,0,IF(N(M1112)&gt;0,M1112*(1+N1112/30),N1112))))</f>
        <v/>
      </c>
      <c r="Y1112">
        <f>IF(N(X1112)=0,"",X1112+ROW()/1000000000)</f>
        <v/>
      </c>
      <c r="Z1112">
        <f>IF(Y1112="","",IF(COUNTIFS(Log!$D$6:$D$1505,D1112,Log!$Y$6:$Y$1505,"&gt;"&amp;Y1112)=0,1,0))</f>
        <v/>
      </c>
      <c r="AA1112">
        <f>IF(OR(B1112="",D1112=""),"",B1112+ROW()/10000000)</f>
        <v/>
      </c>
      <c r="AB1112">
        <f>IF(AA1112="","",IF(COUNTIFS(Log!$D$6:$D$1505,D1112,Log!$AA$6:$AA$1505,"&gt;"&amp;AA1112)=0,1,0))</f>
        <v/>
      </c>
      <c r="AC1112">
        <f>IF(S1112="New best",AA1112,"")</f>
        <v/>
      </c>
      <c r="AD1112">
        <f>ROW()</f>
        <v/>
      </c>
    </row>
    <row r="1113">
      <c r="A1113" s="1" t="n"/>
      <c r="B1113" s="21" t="n"/>
      <c r="C1113" s="22" t="n"/>
      <c r="D1113" s="23" t="n"/>
      <c r="E1113" s="24" t="n"/>
      <c r="F1113" s="24" t="n"/>
      <c r="G1113" s="24" t="n"/>
      <c r="H1113" s="24" t="n"/>
      <c r="I1113" s="24" t="n"/>
      <c r="J1113" s="24" t="n"/>
      <c r="K1113" s="24" t="n"/>
      <c r="L1113" s="24" t="n"/>
      <c r="M1113" s="24" t="n"/>
      <c r="N1113" s="24" t="n"/>
      <c r="O1113" s="15">
        <f>IF(D1113="","",COUNT(F1113,H1113,J1113,L1113,N1113))</f>
        <v/>
      </c>
      <c r="P1113" s="25">
        <f>IF(D1113="","",N(E1113)*N(F1113)+N(G1113)*N(H1113)+N(I1113)*N(J1113)+N(K1113)*N(L1113)+N(M1113)*N(N1113))</f>
        <v/>
      </c>
      <c r="Q1113" s="18">
        <f>IF(N(X1113)=0,"",IF(IF(N(F1113)=0,0,IF(N(E1113)&gt;0,E1113*(1+F1113/30),F1113))=X1113,IF(N(E1113)&gt;0,E1113&amp;" x "&amp;F1113,F1113&amp;" reps"),IF(IF(N(H1113)=0,0,IF(N(G1113)&gt;0,G1113*(1+H1113/30),H1113))=X1113,IF(N(G1113)&gt;0,G1113&amp;" x "&amp;H1113,H1113&amp;" reps"),IF(IF(N(J1113)=0,0,IF(N(I1113)&gt;0,I1113*(1+J1113/30),J1113))=X1113,IF(N(I1113)&gt;0,I1113&amp;" x "&amp;J1113,J1113&amp;" reps"),IF(IF(N(L1113)=0,0,IF(N(K1113)&gt;0,K1113*(1+L1113/30),L1113))=X1113,IF(N(K1113)&gt;0,K1113&amp;" x "&amp;L1113,L1113&amp;" reps"),IF(IF(N(N1113)=0,0,IF(N(M1113)&gt;0,M1113*(1+N1113/30),N1113))=X1113,IF(N(M1113)&gt;0,M1113&amp;" x "&amp;N1113,N1113&amp;" reps"),""))))))</f>
        <v/>
      </c>
      <c r="R1113" s="20">
        <f>IF(N(X1113)=0,"",ROUND(X1113,1))</f>
        <v/>
      </c>
      <c r="S1113" s="18">
        <f>IF(N(X1113)=0,"",IF(AND(COUNTIFS(Log!$D$6:$D$1505,D1113,Log!$B$6:$B$1505,"&lt;"&amp;B1113)&gt;0,COUNTIFS(Log!$D$6:$D$1505,D1113,Log!$B$6:$B$1505,"&lt;"&amp;B1113,Log!$X$6:$X$1505,"&gt;="&amp;X1113)=0),"New best",""))</f>
        <v/>
      </c>
      <c r="T1113" s="26" t="n"/>
      <c r="U1113" s="1">
        <f>IF(D1113="","",IFERROR(INDEX(Exercises!$C$6:$C$105,MATCH(D1113,Exercises!$B$6:$B$105,0)),"Other"))</f>
        <v/>
      </c>
      <c r="V1113">
        <f>IF(B1113="","",IF(COUNTIF($B$6:B1113,B1113)=1,1,0))</f>
        <v/>
      </c>
      <c r="W1113">
        <f>IF(B1113="","",B1113-WEEKDAY(B1113,3))</f>
        <v/>
      </c>
      <c r="X1113">
        <f>IF(D1113="","",MAX(IF(N(F1113)=0,0,IF(N(E1113)&gt;0,E1113*(1+F1113/30),F1113)),IF(N(H1113)=0,0,IF(N(G1113)&gt;0,G1113*(1+H1113/30),H1113)),IF(N(J1113)=0,0,IF(N(I1113)&gt;0,I1113*(1+J1113/30),J1113)),IF(N(L1113)=0,0,IF(N(K1113)&gt;0,K1113*(1+L1113/30),L1113)),IF(N(N1113)=0,0,IF(N(M1113)&gt;0,M1113*(1+N1113/30),N1113))))</f>
        <v/>
      </c>
      <c r="Y1113">
        <f>IF(N(X1113)=0,"",X1113+ROW()/1000000000)</f>
        <v/>
      </c>
      <c r="Z1113">
        <f>IF(Y1113="","",IF(COUNTIFS(Log!$D$6:$D$1505,D1113,Log!$Y$6:$Y$1505,"&gt;"&amp;Y1113)=0,1,0))</f>
        <v/>
      </c>
      <c r="AA1113">
        <f>IF(OR(B1113="",D1113=""),"",B1113+ROW()/10000000)</f>
        <v/>
      </c>
      <c r="AB1113">
        <f>IF(AA1113="","",IF(COUNTIFS(Log!$D$6:$D$1505,D1113,Log!$AA$6:$AA$1505,"&gt;"&amp;AA1113)=0,1,0))</f>
        <v/>
      </c>
      <c r="AC1113">
        <f>IF(S1113="New best",AA1113,"")</f>
        <v/>
      </c>
      <c r="AD1113">
        <f>ROW()</f>
        <v/>
      </c>
    </row>
    <row r="1114">
      <c r="A1114" s="1" t="n"/>
      <c r="B1114" s="21" t="n"/>
      <c r="C1114" s="22" t="n"/>
      <c r="D1114" s="23" t="n"/>
      <c r="E1114" s="24" t="n"/>
      <c r="F1114" s="24" t="n"/>
      <c r="G1114" s="24" t="n"/>
      <c r="H1114" s="24" t="n"/>
      <c r="I1114" s="24" t="n"/>
      <c r="J1114" s="24" t="n"/>
      <c r="K1114" s="24" t="n"/>
      <c r="L1114" s="24" t="n"/>
      <c r="M1114" s="24" t="n"/>
      <c r="N1114" s="24" t="n"/>
      <c r="O1114" s="15">
        <f>IF(D1114="","",COUNT(F1114,H1114,J1114,L1114,N1114))</f>
        <v/>
      </c>
      <c r="P1114" s="25">
        <f>IF(D1114="","",N(E1114)*N(F1114)+N(G1114)*N(H1114)+N(I1114)*N(J1114)+N(K1114)*N(L1114)+N(M1114)*N(N1114))</f>
        <v/>
      </c>
      <c r="Q1114" s="18">
        <f>IF(N(X1114)=0,"",IF(IF(N(F1114)=0,0,IF(N(E1114)&gt;0,E1114*(1+F1114/30),F1114))=X1114,IF(N(E1114)&gt;0,E1114&amp;" x "&amp;F1114,F1114&amp;" reps"),IF(IF(N(H1114)=0,0,IF(N(G1114)&gt;0,G1114*(1+H1114/30),H1114))=X1114,IF(N(G1114)&gt;0,G1114&amp;" x "&amp;H1114,H1114&amp;" reps"),IF(IF(N(J1114)=0,0,IF(N(I1114)&gt;0,I1114*(1+J1114/30),J1114))=X1114,IF(N(I1114)&gt;0,I1114&amp;" x "&amp;J1114,J1114&amp;" reps"),IF(IF(N(L1114)=0,0,IF(N(K1114)&gt;0,K1114*(1+L1114/30),L1114))=X1114,IF(N(K1114)&gt;0,K1114&amp;" x "&amp;L1114,L1114&amp;" reps"),IF(IF(N(N1114)=0,0,IF(N(M1114)&gt;0,M1114*(1+N1114/30),N1114))=X1114,IF(N(M1114)&gt;0,M1114&amp;" x "&amp;N1114,N1114&amp;" reps"),""))))))</f>
        <v/>
      </c>
      <c r="R1114" s="20">
        <f>IF(N(X1114)=0,"",ROUND(X1114,1))</f>
        <v/>
      </c>
      <c r="S1114" s="18">
        <f>IF(N(X1114)=0,"",IF(AND(COUNTIFS(Log!$D$6:$D$1505,D1114,Log!$B$6:$B$1505,"&lt;"&amp;B1114)&gt;0,COUNTIFS(Log!$D$6:$D$1505,D1114,Log!$B$6:$B$1505,"&lt;"&amp;B1114,Log!$X$6:$X$1505,"&gt;="&amp;X1114)=0),"New best",""))</f>
        <v/>
      </c>
      <c r="T1114" s="26" t="n"/>
      <c r="U1114" s="1">
        <f>IF(D1114="","",IFERROR(INDEX(Exercises!$C$6:$C$105,MATCH(D1114,Exercises!$B$6:$B$105,0)),"Other"))</f>
        <v/>
      </c>
      <c r="V1114">
        <f>IF(B1114="","",IF(COUNTIF($B$6:B1114,B1114)=1,1,0))</f>
        <v/>
      </c>
      <c r="W1114">
        <f>IF(B1114="","",B1114-WEEKDAY(B1114,3))</f>
        <v/>
      </c>
      <c r="X1114">
        <f>IF(D1114="","",MAX(IF(N(F1114)=0,0,IF(N(E1114)&gt;0,E1114*(1+F1114/30),F1114)),IF(N(H1114)=0,0,IF(N(G1114)&gt;0,G1114*(1+H1114/30),H1114)),IF(N(J1114)=0,0,IF(N(I1114)&gt;0,I1114*(1+J1114/30),J1114)),IF(N(L1114)=0,0,IF(N(K1114)&gt;0,K1114*(1+L1114/30),L1114)),IF(N(N1114)=0,0,IF(N(M1114)&gt;0,M1114*(1+N1114/30),N1114))))</f>
        <v/>
      </c>
      <c r="Y1114">
        <f>IF(N(X1114)=0,"",X1114+ROW()/1000000000)</f>
        <v/>
      </c>
      <c r="Z1114">
        <f>IF(Y1114="","",IF(COUNTIFS(Log!$D$6:$D$1505,D1114,Log!$Y$6:$Y$1505,"&gt;"&amp;Y1114)=0,1,0))</f>
        <v/>
      </c>
      <c r="AA1114">
        <f>IF(OR(B1114="",D1114=""),"",B1114+ROW()/10000000)</f>
        <v/>
      </c>
      <c r="AB1114">
        <f>IF(AA1114="","",IF(COUNTIFS(Log!$D$6:$D$1505,D1114,Log!$AA$6:$AA$1505,"&gt;"&amp;AA1114)=0,1,0))</f>
        <v/>
      </c>
      <c r="AC1114">
        <f>IF(S1114="New best",AA1114,"")</f>
        <v/>
      </c>
      <c r="AD1114">
        <f>ROW()</f>
        <v/>
      </c>
    </row>
    <row r="1115">
      <c r="A1115" s="1" t="n"/>
      <c r="B1115" s="21" t="n"/>
      <c r="C1115" s="22" t="n"/>
      <c r="D1115" s="23" t="n"/>
      <c r="E1115" s="24" t="n"/>
      <c r="F1115" s="24" t="n"/>
      <c r="G1115" s="24" t="n"/>
      <c r="H1115" s="24" t="n"/>
      <c r="I1115" s="24" t="n"/>
      <c r="J1115" s="24" t="n"/>
      <c r="K1115" s="24" t="n"/>
      <c r="L1115" s="24" t="n"/>
      <c r="M1115" s="24" t="n"/>
      <c r="N1115" s="24" t="n"/>
      <c r="O1115" s="15">
        <f>IF(D1115="","",COUNT(F1115,H1115,J1115,L1115,N1115))</f>
        <v/>
      </c>
      <c r="P1115" s="25">
        <f>IF(D1115="","",N(E1115)*N(F1115)+N(G1115)*N(H1115)+N(I1115)*N(J1115)+N(K1115)*N(L1115)+N(M1115)*N(N1115))</f>
        <v/>
      </c>
      <c r="Q1115" s="18">
        <f>IF(N(X1115)=0,"",IF(IF(N(F1115)=0,0,IF(N(E1115)&gt;0,E1115*(1+F1115/30),F1115))=X1115,IF(N(E1115)&gt;0,E1115&amp;" x "&amp;F1115,F1115&amp;" reps"),IF(IF(N(H1115)=0,0,IF(N(G1115)&gt;0,G1115*(1+H1115/30),H1115))=X1115,IF(N(G1115)&gt;0,G1115&amp;" x "&amp;H1115,H1115&amp;" reps"),IF(IF(N(J1115)=0,0,IF(N(I1115)&gt;0,I1115*(1+J1115/30),J1115))=X1115,IF(N(I1115)&gt;0,I1115&amp;" x "&amp;J1115,J1115&amp;" reps"),IF(IF(N(L1115)=0,0,IF(N(K1115)&gt;0,K1115*(1+L1115/30),L1115))=X1115,IF(N(K1115)&gt;0,K1115&amp;" x "&amp;L1115,L1115&amp;" reps"),IF(IF(N(N1115)=0,0,IF(N(M1115)&gt;0,M1115*(1+N1115/30),N1115))=X1115,IF(N(M1115)&gt;0,M1115&amp;" x "&amp;N1115,N1115&amp;" reps"),""))))))</f>
        <v/>
      </c>
      <c r="R1115" s="20">
        <f>IF(N(X1115)=0,"",ROUND(X1115,1))</f>
        <v/>
      </c>
      <c r="S1115" s="18">
        <f>IF(N(X1115)=0,"",IF(AND(COUNTIFS(Log!$D$6:$D$1505,D1115,Log!$B$6:$B$1505,"&lt;"&amp;B1115)&gt;0,COUNTIFS(Log!$D$6:$D$1505,D1115,Log!$B$6:$B$1505,"&lt;"&amp;B1115,Log!$X$6:$X$1505,"&gt;="&amp;X1115)=0),"New best",""))</f>
        <v/>
      </c>
      <c r="T1115" s="26" t="n"/>
      <c r="U1115" s="1">
        <f>IF(D1115="","",IFERROR(INDEX(Exercises!$C$6:$C$105,MATCH(D1115,Exercises!$B$6:$B$105,0)),"Other"))</f>
        <v/>
      </c>
      <c r="V1115">
        <f>IF(B1115="","",IF(COUNTIF($B$6:B1115,B1115)=1,1,0))</f>
        <v/>
      </c>
      <c r="W1115">
        <f>IF(B1115="","",B1115-WEEKDAY(B1115,3))</f>
        <v/>
      </c>
      <c r="X1115">
        <f>IF(D1115="","",MAX(IF(N(F1115)=0,0,IF(N(E1115)&gt;0,E1115*(1+F1115/30),F1115)),IF(N(H1115)=0,0,IF(N(G1115)&gt;0,G1115*(1+H1115/30),H1115)),IF(N(J1115)=0,0,IF(N(I1115)&gt;0,I1115*(1+J1115/30),J1115)),IF(N(L1115)=0,0,IF(N(K1115)&gt;0,K1115*(1+L1115/30),L1115)),IF(N(N1115)=0,0,IF(N(M1115)&gt;0,M1115*(1+N1115/30),N1115))))</f>
        <v/>
      </c>
      <c r="Y1115">
        <f>IF(N(X1115)=0,"",X1115+ROW()/1000000000)</f>
        <v/>
      </c>
      <c r="Z1115">
        <f>IF(Y1115="","",IF(COUNTIFS(Log!$D$6:$D$1505,D1115,Log!$Y$6:$Y$1505,"&gt;"&amp;Y1115)=0,1,0))</f>
        <v/>
      </c>
      <c r="AA1115">
        <f>IF(OR(B1115="",D1115=""),"",B1115+ROW()/10000000)</f>
        <v/>
      </c>
      <c r="AB1115">
        <f>IF(AA1115="","",IF(COUNTIFS(Log!$D$6:$D$1505,D1115,Log!$AA$6:$AA$1505,"&gt;"&amp;AA1115)=0,1,0))</f>
        <v/>
      </c>
      <c r="AC1115">
        <f>IF(S1115="New best",AA1115,"")</f>
        <v/>
      </c>
      <c r="AD1115">
        <f>ROW()</f>
        <v/>
      </c>
    </row>
    <row r="1116">
      <c r="A1116" s="1" t="n"/>
      <c r="B1116" s="21" t="n"/>
      <c r="C1116" s="22" t="n"/>
      <c r="D1116" s="23" t="n"/>
      <c r="E1116" s="24" t="n"/>
      <c r="F1116" s="24" t="n"/>
      <c r="G1116" s="24" t="n"/>
      <c r="H1116" s="24" t="n"/>
      <c r="I1116" s="24" t="n"/>
      <c r="J1116" s="24" t="n"/>
      <c r="K1116" s="24" t="n"/>
      <c r="L1116" s="24" t="n"/>
      <c r="M1116" s="24" t="n"/>
      <c r="N1116" s="24" t="n"/>
      <c r="O1116" s="15">
        <f>IF(D1116="","",COUNT(F1116,H1116,J1116,L1116,N1116))</f>
        <v/>
      </c>
      <c r="P1116" s="25">
        <f>IF(D1116="","",N(E1116)*N(F1116)+N(G1116)*N(H1116)+N(I1116)*N(J1116)+N(K1116)*N(L1116)+N(M1116)*N(N1116))</f>
        <v/>
      </c>
      <c r="Q1116" s="18">
        <f>IF(N(X1116)=0,"",IF(IF(N(F1116)=0,0,IF(N(E1116)&gt;0,E1116*(1+F1116/30),F1116))=X1116,IF(N(E1116)&gt;0,E1116&amp;" x "&amp;F1116,F1116&amp;" reps"),IF(IF(N(H1116)=0,0,IF(N(G1116)&gt;0,G1116*(1+H1116/30),H1116))=X1116,IF(N(G1116)&gt;0,G1116&amp;" x "&amp;H1116,H1116&amp;" reps"),IF(IF(N(J1116)=0,0,IF(N(I1116)&gt;0,I1116*(1+J1116/30),J1116))=X1116,IF(N(I1116)&gt;0,I1116&amp;" x "&amp;J1116,J1116&amp;" reps"),IF(IF(N(L1116)=0,0,IF(N(K1116)&gt;0,K1116*(1+L1116/30),L1116))=X1116,IF(N(K1116)&gt;0,K1116&amp;" x "&amp;L1116,L1116&amp;" reps"),IF(IF(N(N1116)=0,0,IF(N(M1116)&gt;0,M1116*(1+N1116/30),N1116))=X1116,IF(N(M1116)&gt;0,M1116&amp;" x "&amp;N1116,N1116&amp;" reps"),""))))))</f>
        <v/>
      </c>
      <c r="R1116" s="20">
        <f>IF(N(X1116)=0,"",ROUND(X1116,1))</f>
        <v/>
      </c>
      <c r="S1116" s="18">
        <f>IF(N(X1116)=0,"",IF(AND(COUNTIFS(Log!$D$6:$D$1505,D1116,Log!$B$6:$B$1505,"&lt;"&amp;B1116)&gt;0,COUNTIFS(Log!$D$6:$D$1505,D1116,Log!$B$6:$B$1505,"&lt;"&amp;B1116,Log!$X$6:$X$1505,"&gt;="&amp;X1116)=0),"New best",""))</f>
        <v/>
      </c>
      <c r="T1116" s="26" t="n"/>
      <c r="U1116" s="1">
        <f>IF(D1116="","",IFERROR(INDEX(Exercises!$C$6:$C$105,MATCH(D1116,Exercises!$B$6:$B$105,0)),"Other"))</f>
        <v/>
      </c>
      <c r="V1116">
        <f>IF(B1116="","",IF(COUNTIF($B$6:B1116,B1116)=1,1,0))</f>
        <v/>
      </c>
      <c r="W1116">
        <f>IF(B1116="","",B1116-WEEKDAY(B1116,3))</f>
        <v/>
      </c>
      <c r="X1116">
        <f>IF(D1116="","",MAX(IF(N(F1116)=0,0,IF(N(E1116)&gt;0,E1116*(1+F1116/30),F1116)),IF(N(H1116)=0,0,IF(N(G1116)&gt;0,G1116*(1+H1116/30),H1116)),IF(N(J1116)=0,0,IF(N(I1116)&gt;0,I1116*(1+J1116/30),J1116)),IF(N(L1116)=0,0,IF(N(K1116)&gt;0,K1116*(1+L1116/30),L1116)),IF(N(N1116)=0,0,IF(N(M1116)&gt;0,M1116*(1+N1116/30),N1116))))</f>
        <v/>
      </c>
      <c r="Y1116">
        <f>IF(N(X1116)=0,"",X1116+ROW()/1000000000)</f>
        <v/>
      </c>
      <c r="Z1116">
        <f>IF(Y1116="","",IF(COUNTIFS(Log!$D$6:$D$1505,D1116,Log!$Y$6:$Y$1505,"&gt;"&amp;Y1116)=0,1,0))</f>
        <v/>
      </c>
      <c r="AA1116">
        <f>IF(OR(B1116="",D1116=""),"",B1116+ROW()/10000000)</f>
        <v/>
      </c>
      <c r="AB1116">
        <f>IF(AA1116="","",IF(COUNTIFS(Log!$D$6:$D$1505,D1116,Log!$AA$6:$AA$1505,"&gt;"&amp;AA1116)=0,1,0))</f>
        <v/>
      </c>
      <c r="AC1116">
        <f>IF(S1116="New best",AA1116,"")</f>
        <v/>
      </c>
      <c r="AD1116">
        <f>ROW()</f>
        <v/>
      </c>
    </row>
    <row r="1117">
      <c r="A1117" s="1" t="n"/>
      <c r="B1117" s="21" t="n"/>
      <c r="C1117" s="22" t="n"/>
      <c r="D1117" s="23" t="n"/>
      <c r="E1117" s="24" t="n"/>
      <c r="F1117" s="24" t="n"/>
      <c r="G1117" s="24" t="n"/>
      <c r="H1117" s="24" t="n"/>
      <c r="I1117" s="24" t="n"/>
      <c r="J1117" s="24" t="n"/>
      <c r="K1117" s="24" t="n"/>
      <c r="L1117" s="24" t="n"/>
      <c r="M1117" s="24" t="n"/>
      <c r="N1117" s="24" t="n"/>
      <c r="O1117" s="15">
        <f>IF(D1117="","",COUNT(F1117,H1117,J1117,L1117,N1117))</f>
        <v/>
      </c>
      <c r="P1117" s="25">
        <f>IF(D1117="","",N(E1117)*N(F1117)+N(G1117)*N(H1117)+N(I1117)*N(J1117)+N(K1117)*N(L1117)+N(M1117)*N(N1117))</f>
        <v/>
      </c>
      <c r="Q1117" s="18">
        <f>IF(N(X1117)=0,"",IF(IF(N(F1117)=0,0,IF(N(E1117)&gt;0,E1117*(1+F1117/30),F1117))=X1117,IF(N(E1117)&gt;0,E1117&amp;" x "&amp;F1117,F1117&amp;" reps"),IF(IF(N(H1117)=0,0,IF(N(G1117)&gt;0,G1117*(1+H1117/30),H1117))=X1117,IF(N(G1117)&gt;0,G1117&amp;" x "&amp;H1117,H1117&amp;" reps"),IF(IF(N(J1117)=0,0,IF(N(I1117)&gt;0,I1117*(1+J1117/30),J1117))=X1117,IF(N(I1117)&gt;0,I1117&amp;" x "&amp;J1117,J1117&amp;" reps"),IF(IF(N(L1117)=0,0,IF(N(K1117)&gt;0,K1117*(1+L1117/30),L1117))=X1117,IF(N(K1117)&gt;0,K1117&amp;" x "&amp;L1117,L1117&amp;" reps"),IF(IF(N(N1117)=0,0,IF(N(M1117)&gt;0,M1117*(1+N1117/30),N1117))=X1117,IF(N(M1117)&gt;0,M1117&amp;" x "&amp;N1117,N1117&amp;" reps"),""))))))</f>
        <v/>
      </c>
      <c r="R1117" s="20">
        <f>IF(N(X1117)=0,"",ROUND(X1117,1))</f>
        <v/>
      </c>
      <c r="S1117" s="18">
        <f>IF(N(X1117)=0,"",IF(AND(COUNTIFS(Log!$D$6:$D$1505,D1117,Log!$B$6:$B$1505,"&lt;"&amp;B1117)&gt;0,COUNTIFS(Log!$D$6:$D$1505,D1117,Log!$B$6:$B$1505,"&lt;"&amp;B1117,Log!$X$6:$X$1505,"&gt;="&amp;X1117)=0),"New best",""))</f>
        <v/>
      </c>
      <c r="T1117" s="26" t="n"/>
      <c r="U1117" s="1">
        <f>IF(D1117="","",IFERROR(INDEX(Exercises!$C$6:$C$105,MATCH(D1117,Exercises!$B$6:$B$105,0)),"Other"))</f>
        <v/>
      </c>
      <c r="V1117">
        <f>IF(B1117="","",IF(COUNTIF($B$6:B1117,B1117)=1,1,0))</f>
        <v/>
      </c>
      <c r="W1117">
        <f>IF(B1117="","",B1117-WEEKDAY(B1117,3))</f>
        <v/>
      </c>
      <c r="X1117">
        <f>IF(D1117="","",MAX(IF(N(F1117)=0,0,IF(N(E1117)&gt;0,E1117*(1+F1117/30),F1117)),IF(N(H1117)=0,0,IF(N(G1117)&gt;0,G1117*(1+H1117/30),H1117)),IF(N(J1117)=0,0,IF(N(I1117)&gt;0,I1117*(1+J1117/30),J1117)),IF(N(L1117)=0,0,IF(N(K1117)&gt;0,K1117*(1+L1117/30),L1117)),IF(N(N1117)=0,0,IF(N(M1117)&gt;0,M1117*(1+N1117/30),N1117))))</f>
        <v/>
      </c>
      <c r="Y1117">
        <f>IF(N(X1117)=0,"",X1117+ROW()/1000000000)</f>
        <v/>
      </c>
      <c r="Z1117">
        <f>IF(Y1117="","",IF(COUNTIFS(Log!$D$6:$D$1505,D1117,Log!$Y$6:$Y$1505,"&gt;"&amp;Y1117)=0,1,0))</f>
        <v/>
      </c>
      <c r="AA1117">
        <f>IF(OR(B1117="",D1117=""),"",B1117+ROW()/10000000)</f>
        <v/>
      </c>
      <c r="AB1117">
        <f>IF(AA1117="","",IF(COUNTIFS(Log!$D$6:$D$1505,D1117,Log!$AA$6:$AA$1505,"&gt;"&amp;AA1117)=0,1,0))</f>
        <v/>
      </c>
      <c r="AC1117">
        <f>IF(S1117="New best",AA1117,"")</f>
        <v/>
      </c>
      <c r="AD1117">
        <f>ROW()</f>
        <v/>
      </c>
    </row>
    <row r="1118">
      <c r="A1118" s="1" t="n"/>
      <c r="B1118" s="21" t="n"/>
      <c r="C1118" s="22" t="n"/>
      <c r="D1118" s="23" t="n"/>
      <c r="E1118" s="24" t="n"/>
      <c r="F1118" s="24" t="n"/>
      <c r="G1118" s="24" t="n"/>
      <c r="H1118" s="24" t="n"/>
      <c r="I1118" s="24" t="n"/>
      <c r="J1118" s="24" t="n"/>
      <c r="K1118" s="24" t="n"/>
      <c r="L1118" s="24" t="n"/>
      <c r="M1118" s="24" t="n"/>
      <c r="N1118" s="24" t="n"/>
      <c r="O1118" s="15">
        <f>IF(D1118="","",COUNT(F1118,H1118,J1118,L1118,N1118))</f>
        <v/>
      </c>
      <c r="P1118" s="25">
        <f>IF(D1118="","",N(E1118)*N(F1118)+N(G1118)*N(H1118)+N(I1118)*N(J1118)+N(K1118)*N(L1118)+N(M1118)*N(N1118))</f>
        <v/>
      </c>
      <c r="Q1118" s="18">
        <f>IF(N(X1118)=0,"",IF(IF(N(F1118)=0,0,IF(N(E1118)&gt;0,E1118*(1+F1118/30),F1118))=X1118,IF(N(E1118)&gt;0,E1118&amp;" x "&amp;F1118,F1118&amp;" reps"),IF(IF(N(H1118)=0,0,IF(N(G1118)&gt;0,G1118*(1+H1118/30),H1118))=X1118,IF(N(G1118)&gt;0,G1118&amp;" x "&amp;H1118,H1118&amp;" reps"),IF(IF(N(J1118)=0,0,IF(N(I1118)&gt;0,I1118*(1+J1118/30),J1118))=X1118,IF(N(I1118)&gt;0,I1118&amp;" x "&amp;J1118,J1118&amp;" reps"),IF(IF(N(L1118)=0,0,IF(N(K1118)&gt;0,K1118*(1+L1118/30),L1118))=X1118,IF(N(K1118)&gt;0,K1118&amp;" x "&amp;L1118,L1118&amp;" reps"),IF(IF(N(N1118)=0,0,IF(N(M1118)&gt;0,M1118*(1+N1118/30),N1118))=X1118,IF(N(M1118)&gt;0,M1118&amp;" x "&amp;N1118,N1118&amp;" reps"),""))))))</f>
        <v/>
      </c>
      <c r="R1118" s="20">
        <f>IF(N(X1118)=0,"",ROUND(X1118,1))</f>
        <v/>
      </c>
      <c r="S1118" s="18">
        <f>IF(N(X1118)=0,"",IF(AND(COUNTIFS(Log!$D$6:$D$1505,D1118,Log!$B$6:$B$1505,"&lt;"&amp;B1118)&gt;0,COUNTIFS(Log!$D$6:$D$1505,D1118,Log!$B$6:$B$1505,"&lt;"&amp;B1118,Log!$X$6:$X$1505,"&gt;="&amp;X1118)=0),"New best",""))</f>
        <v/>
      </c>
      <c r="T1118" s="26" t="n"/>
      <c r="U1118" s="1">
        <f>IF(D1118="","",IFERROR(INDEX(Exercises!$C$6:$C$105,MATCH(D1118,Exercises!$B$6:$B$105,0)),"Other"))</f>
        <v/>
      </c>
      <c r="V1118">
        <f>IF(B1118="","",IF(COUNTIF($B$6:B1118,B1118)=1,1,0))</f>
        <v/>
      </c>
      <c r="W1118">
        <f>IF(B1118="","",B1118-WEEKDAY(B1118,3))</f>
        <v/>
      </c>
      <c r="X1118">
        <f>IF(D1118="","",MAX(IF(N(F1118)=0,0,IF(N(E1118)&gt;0,E1118*(1+F1118/30),F1118)),IF(N(H1118)=0,0,IF(N(G1118)&gt;0,G1118*(1+H1118/30),H1118)),IF(N(J1118)=0,0,IF(N(I1118)&gt;0,I1118*(1+J1118/30),J1118)),IF(N(L1118)=0,0,IF(N(K1118)&gt;0,K1118*(1+L1118/30),L1118)),IF(N(N1118)=0,0,IF(N(M1118)&gt;0,M1118*(1+N1118/30),N1118))))</f>
        <v/>
      </c>
      <c r="Y1118">
        <f>IF(N(X1118)=0,"",X1118+ROW()/1000000000)</f>
        <v/>
      </c>
      <c r="Z1118">
        <f>IF(Y1118="","",IF(COUNTIFS(Log!$D$6:$D$1505,D1118,Log!$Y$6:$Y$1505,"&gt;"&amp;Y1118)=0,1,0))</f>
        <v/>
      </c>
      <c r="AA1118">
        <f>IF(OR(B1118="",D1118=""),"",B1118+ROW()/10000000)</f>
        <v/>
      </c>
      <c r="AB1118">
        <f>IF(AA1118="","",IF(COUNTIFS(Log!$D$6:$D$1505,D1118,Log!$AA$6:$AA$1505,"&gt;"&amp;AA1118)=0,1,0))</f>
        <v/>
      </c>
      <c r="AC1118">
        <f>IF(S1118="New best",AA1118,"")</f>
        <v/>
      </c>
      <c r="AD1118">
        <f>ROW()</f>
        <v/>
      </c>
    </row>
    <row r="1119">
      <c r="A1119" s="1" t="n"/>
      <c r="B1119" s="21" t="n"/>
      <c r="C1119" s="22" t="n"/>
      <c r="D1119" s="23" t="n"/>
      <c r="E1119" s="24" t="n"/>
      <c r="F1119" s="24" t="n"/>
      <c r="G1119" s="24" t="n"/>
      <c r="H1119" s="24" t="n"/>
      <c r="I1119" s="24" t="n"/>
      <c r="J1119" s="24" t="n"/>
      <c r="K1119" s="24" t="n"/>
      <c r="L1119" s="24" t="n"/>
      <c r="M1119" s="24" t="n"/>
      <c r="N1119" s="24" t="n"/>
      <c r="O1119" s="15">
        <f>IF(D1119="","",COUNT(F1119,H1119,J1119,L1119,N1119))</f>
        <v/>
      </c>
      <c r="P1119" s="25">
        <f>IF(D1119="","",N(E1119)*N(F1119)+N(G1119)*N(H1119)+N(I1119)*N(J1119)+N(K1119)*N(L1119)+N(M1119)*N(N1119))</f>
        <v/>
      </c>
      <c r="Q1119" s="18">
        <f>IF(N(X1119)=0,"",IF(IF(N(F1119)=0,0,IF(N(E1119)&gt;0,E1119*(1+F1119/30),F1119))=X1119,IF(N(E1119)&gt;0,E1119&amp;" x "&amp;F1119,F1119&amp;" reps"),IF(IF(N(H1119)=0,0,IF(N(G1119)&gt;0,G1119*(1+H1119/30),H1119))=X1119,IF(N(G1119)&gt;0,G1119&amp;" x "&amp;H1119,H1119&amp;" reps"),IF(IF(N(J1119)=0,0,IF(N(I1119)&gt;0,I1119*(1+J1119/30),J1119))=X1119,IF(N(I1119)&gt;0,I1119&amp;" x "&amp;J1119,J1119&amp;" reps"),IF(IF(N(L1119)=0,0,IF(N(K1119)&gt;0,K1119*(1+L1119/30),L1119))=X1119,IF(N(K1119)&gt;0,K1119&amp;" x "&amp;L1119,L1119&amp;" reps"),IF(IF(N(N1119)=0,0,IF(N(M1119)&gt;0,M1119*(1+N1119/30),N1119))=X1119,IF(N(M1119)&gt;0,M1119&amp;" x "&amp;N1119,N1119&amp;" reps"),""))))))</f>
        <v/>
      </c>
      <c r="R1119" s="20">
        <f>IF(N(X1119)=0,"",ROUND(X1119,1))</f>
        <v/>
      </c>
      <c r="S1119" s="18">
        <f>IF(N(X1119)=0,"",IF(AND(COUNTIFS(Log!$D$6:$D$1505,D1119,Log!$B$6:$B$1505,"&lt;"&amp;B1119)&gt;0,COUNTIFS(Log!$D$6:$D$1505,D1119,Log!$B$6:$B$1505,"&lt;"&amp;B1119,Log!$X$6:$X$1505,"&gt;="&amp;X1119)=0),"New best",""))</f>
        <v/>
      </c>
      <c r="T1119" s="26" t="n"/>
      <c r="U1119" s="1">
        <f>IF(D1119="","",IFERROR(INDEX(Exercises!$C$6:$C$105,MATCH(D1119,Exercises!$B$6:$B$105,0)),"Other"))</f>
        <v/>
      </c>
      <c r="V1119">
        <f>IF(B1119="","",IF(COUNTIF($B$6:B1119,B1119)=1,1,0))</f>
        <v/>
      </c>
      <c r="W1119">
        <f>IF(B1119="","",B1119-WEEKDAY(B1119,3))</f>
        <v/>
      </c>
      <c r="X1119">
        <f>IF(D1119="","",MAX(IF(N(F1119)=0,0,IF(N(E1119)&gt;0,E1119*(1+F1119/30),F1119)),IF(N(H1119)=0,0,IF(N(G1119)&gt;0,G1119*(1+H1119/30),H1119)),IF(N(J1119)=0,0,IF(N(I1119)&gt;0,I1119*(1+J1119/30),J1119)),IF(N(L1119)=0,0,IF(N(K1119)&gt;0,K1119*(1+L1119/30),L1119)),IF(N(N1119)=0,0,IF(N(M1119)&gt;0,M1119*(1+N1119/30),N1119))))</f>
        <v/>
      </c>
      <c r="Y1119">
        <f>IF(N(X1119)=0,"",X1119+ROW()/1000000000)</f>
        <v/>
      </c>
      <c r="Z1119">
        <f>IF(Y1119="","",IF(COUNTIFS(Log!$D$6:$D$1505,D1119,Log!$Y$6:$Y$1505,"&gt;"&amp;Y1119)=0,1,0))</f>
        <v/>
      </c>
      <c r="AA1119">
        <f>IF(OR(B1119="",D1119=""),"",B1119+ROW()/10000000)</f>
        <v/>
      </c>
      <c r="AB1119">
        <f>IF(AA1119="","",IF(COUNTIFS(Log!$D$6:$D$1505,D1119,Log!$AA$6:$AA$1505,"&gt;"&amp;AA1119)=0,1,0))</f>
        <v/>
      </c>
      <c r="AC1119">
        <f>IF(S1119="New best",AA1119,"")</f>
        <v/>
      </c>
      <c r="AD1119">
        <f>ROW()</f>
        <v/>
      </c>
    </row>
    <row r="1120">
      <c r="A1120" s="1" t="n"/>
      <c r="B1120" s="21" t="n"/>
      <c r="C1120" s="22" t="n"/>
      <c r="D1120" s="23" t="n"/>
      <c r="E1120" s="24" t="n"/>
      <c r="F1120" s="24" t="n"/>
      <c r="G1120" s="24" t="n"/>
      <c r="H1120" s="24" t="n"/>
      <c r="I1120" s="24" t="n"/>
      <c r="J1120" s="24" t="n"/>
      <c r="K1120" s="24" t="n"/>
      <c r="L1120" s="24" t="n"/>
      <c r="M1120" s="24" t="n"/>
      <c r="N1120" s="24" t="n"/>
      <c r="O1120" s="15">
        <f>IF(D1120="","",COUNT(F1120,H1120,J1120,L1120,N1120))</f>
        <v/>
      </c>
      <c r="P1120" s="25">
        <f>IF(D1120="","",N(E1120)*N(F1120)+N(G1120)*N(H1120)+N(I1120)*N(J1120)+N(K1120)*N(L1120)+N(M1120)*N(N1120))</f>
        <v/>
      </c>
      <c r="Q1120" s="18">
        <f>IF(N(X1120)=0,"",IF(IF(N(F1120)=0,0,IF(N(E1120)&gt;0,E1120*(1+F1120/30),F1120))=X1120,IF(N(E1120)&gt;0,E1120&amp;" x "&amp;F1120,F1120&amp;" reps"),IF(IF(N(H1120)=0,0,IF(N(G1120)&gt;0,G1120*(1+H1120/30),H1120))=X1120,IF(N(G1120)&gt;0,G1120&amp;" x "&amp;H1120,H1120&amp;" reps"),IF(IF(N(J1120)=0,0,IF(N(I1120)&gt;0,I1120*(1+J1120/30),J1120))=X1120,IF(N(I1120)&gt;0,I1120&amp;" x "&amp;J1120,J1120&amp;" reps"),IF(IF(N(L1120)=0,0,IF(N(K1120)&gt;0,K1120*(1+L1120/30),L1120))=X1120,IF(N(K1120)&gt;0,K1120&amp;" x "&amp;L1120,L1120&amp;" reps"),IF(IF(N(N1120)=0,0,IF(N(M1120)&gt;0,M1120*(1+N1120/30),N1120))=X1120,IF(N(M1120)&gt;0,M1120&amp;" x "&amp;N1120,N1120&amp;" reps"),""))))))</f>
        <v/>
      </c>
      <c r="R1120" s="20">
        <f>IF(N(X1120)=0,"",ROUND(X1120,1))</f>
        <v/>
      </c>
      <c r="S1120" s="18">
        <f>IF(N(X1120)=0,"",IF(AND(COUNTIFS(Log!$D$6:$D$1505,D1120,Log!$B$6:$B$1505,"&lt;"&amp;B1120)&gt;0,COUNTIFS(Log!$D$6:$D$1505,D1120,Log!$B$6:$B$1505,"&lt;"&amp;B1120,Log!$X$6:$X$1505,"&gt;="&amp;X1120)=0),"New best",""))</f>
        <v/>
      </c>
      <c r="T1120" s="26" t="n"/>
      <c r="U1120" s="1">
        <f>IF(D1120="","",IFERROR(INDEX(Exercises!$C$6:$C$105,MATCH(D1120,Exercises!$B$6:$B$105,0)),"Other"))</f>
        <v/>
      </c>
      <c r="V1120">
        <f>IF(B1120="","",IF(COUNTIF($B$6:B1120,B1120)=1,1,0))</f>
        <v/>
      </c>
      <c r="W1120">
        <f>IF(B1120="","",B1120-WEEKDAY(B1120,3))</f>
        <v/>
      </c>
      <c r="X1120">
        <f>IF(D1120="","",MAX(IF(N(F1120)=0,0,IF(N(E1120)&gt;0,E1120*(1+F1120/30),F1120)),IF(N(H1120)=0,0,IF(N(G1120)&gt;0,G1120*(1+H1120/30),H1120)),IF(N(J1120)=0,0,IF(N(I1120)&gt;0,I1120*(1+J1120/30),J1120)),IF(N(L1120)=0,0,IF(N(K1120)&gt;0,K1120*(1+L1120/30),L1120)),IF(N(N1120)=0,0,IF(N(M1120)&gt;0,M1120*(1+N1120/30),N1120))))</f>
        <v/>
      </c>
      <c r="Y1120">
        <f>IF(N(X1120)=0,"",X1120+ROW()/1000000000)</f>
        <v/>
      </c>
      <c r="Z1120">
        <f>IF(Y1120="","",IF(COUNTIFS(Log!$D$6:$D$1505,D1120,Log!$Y$6:$Y$1505,"&gt;"&amp;Y1120)=0,1,0))</f>
        <v/>
      </c>
      <c r="AA1120">
        <f>IF(OR(B1120="",D1120=""),"",B1120+ROW()/10000000)</f>
        <v/>
      </c>
      <c r="AB1120">
        <f>IF(AA1120="","",IF(COUNTIFS(Log!$D$6:$D$1505,D1120,Log!$AA$6:$AA$1505,"&gt;"&amp;AA1120)=0,1,0))</f>
        <v/>
      </c>
      <c r="AC1120">
        <f>IF(S1120="New best",AA1120,"")</f>
        <v/>
      </c>
      <c r="AD1120">
        <f>ROW()</f>
        <v/>
      </c>
    </row>
    <row r="1121">
      <c r="A1121" s="1" t="n"/>
      <c r="B1121" s="21" t="n"/>
      <c r="C1121" s="22" t="n"/>
      <c r="D1121" s="23" t="n"/>
      <c r="E1121" s="24" t="n"/>
      <c r="F1121" s="24" t="n"/>
      <c r="G1121" s="24" t="n"/>
      <c r="H1121" s="24" t="n"/>
      <c r="I1121" s="24" t="n"/>
      <c r="J1121" s="24" t="n"/>
      <c r="K1121" s="24" t="n"/>
      <c r="L1121" s="24" t="n"/>
      <c r="M1121" s="24" t="n"/>
      <c r="N1121" s="24" t="n"/>
      <c r="O1121" s="15">
        <f>IF(D1121="","",COUNT(F1121,H1121,J1121,L1121,N1121))</f>
        <v/>
      </c>
      <c r="P1121" s="25">
        <f>IF(D1121="","",N(E1121)*N(F1121)+N(G1121)*N(H1121)+N(I1121)*N(J1121)+N(K1121)*N(L1121)+N(M1121)*N(N1121))</f>
        <v/>
      </c>
      <c r="Q1121" s="18">
        <f>IF(N(X1121)=0,"",IF(IF(N(F1121)=0,0,IF(N(E1121)&gt;0,E1121*(1+F1121/30),F1121))=X1121,IF(N(E1121)&gt;0,E1121&amp;" x "&amp;F1121,F1121&amp;" reps"),IF(IF(N(H1121)=0,0,IF(N(G1121)&gt;0,G1121*(1+H1121/30),H1121))=X1121,IF(N(G1121)&gt;0,G1121&amp;" x "&amp;H1121,H1121&amp;" reps"),IF(IF(N(J1121)=0,0,IF(N(I1121)&gt;0,I1121*(1+J1121/30),J1121))=X1121,IF(N(I1121)&gt;0,I1121&amp;" x "&amp;J1121,J1121&amp;" reps"),IF(IF(N(L1121)=0,0,IF(N(K1121)&gt;0,K1121*(1+L1121/30),L1121))=X1121,IF(N(K1121)&gt;0,K1121&amp;" x "&amp;L1121,L1121&amp;" reps"),IF(IF(N(N1121)=0,0,IF(N(M1121)&gt;0,M1121*(1+N1121/30),N1121))=X1121,IF(N(M1121)&gt;0,M1121&amp;" x "&amp;N1121,N1121&amp;" reps"),""))))))</f>
        <v/>
      </c>
      <c r="R1121" s="20">
        <f>IF(N(X1121)=0,"",ROUND(X1121,1))</f>
        <v/>
      </c>
      <c r="S1121" s="18">
        <f>IF(N(X1121)=0,"",IF(AND(COUNTIFS(Log!$D$6:$D$1505,D1121,Log!$B$6:$B$1505,"&lt;"&amp;B1121)&gt;0,COUNTIFS(Log!$D$6:$D$1505,D1121,Log!$B$6:$B$1505,"&lt;"&amp;B1121,Log!$X$6:$X$1505,"&gt;="&amp;X1121)=0),"New best",""))</f>
        <v/>
      </c>
      <c r="T1121" s="26" t="n"/>
      <c r="U1121" s="1">
        <f>IF(D1121="","",IFERROR(INDEX(Exercises!$C$6:$C$105,MATCH(D1121,Exercises!$B$6:$B$105,0)),"Other"))</f>
        <v/>
      </c>
      <c r="V1121">
        <f>IF(B1121="","",IF(COUNTIF($B$6:B1121,B1121)=1,1,0))</f>
        <v/>
      </c>
      <c r="W1121">
        <f>IF(B1121="","",B1121-WEEKDAY(B1121,3))</f>
        <v/>
      </c>
      <c r="X1121">
        <f>IF(D1121="","",MAX(IF(N(F1121)=0,0,IF(N(E1121)&gt;0,E1121*(1+F1121/30),F1121)),IF(N(H1121)=0,0,IF(N(G1121)&gt;0,G1121*(1+H1121/30),H1121)),IF(N(J1121)=0,0,IF(N(I1121)&gt;0,I1121*(1+J1121/30),J1121)),IF(N(L1121)=0,0,IF(N(K1121)&gt;0,K1121*(1+L1121/30),L1121)),IF(N(N1121)=0,0,IF(N(M1121)&gt;0,M1121*(1+N1121/30),N1121))))</f>
        <v/>
      </c>
      <c r="Y1121">
        <f>IF(N(X1121)=0,"",X1121+ROW()/1000000000)</f>
        <v/>
      </c>
      <c r="Z1121">
        <f>IF(Y1121="","",IF(COUNTIFS(Log!$D$6:$D$1505,D1121,Log!$Y$6:$Y$1505,"&gt;"&amp;Y1121)=0,1,0))</f>
        <v/>
      </c>
      <c r="AA1121">
        <f>IF(OR(B1121="",D1121=""),"",B1121+ROW()/10000000)</f>
        <v/>
      </c>
      <c r="AB1121">
        <f>IF(AA1121="","",IF(COUNTIFS(Log!$D$6:$D$1505,D1121,Log!$AA$6:$AA$1505,"&gt;"&amp;AA1121)=0,1,0))</f>
        <v/>
      </c>
      <c r="AC1121">
        <f>IF(S1121="New best",AA1121,"")</f>
        <v/>
      </c>
      <c r="AD1121">
        <f>ROW()</f>
        <v/>
      </c>
    </row>
    <row r="1122">
      <c r="A1122" s="1" t="n"/>
      <c r="B1122" s="21" t="n"/>
      <c r="C1122" s="22" t="n"/>
      <c r="D1122" s="23" t="n"/>
      <c r="E1122" s="24" t="n"/>
      <c r="F1122" s="24" t="n"/>
      <c r="G1122" s="24" t="n"/>
      <c r="H1122" s="24" t="n"/>
      <c r="I1122" s="24" t="n"/>
      <c r="J1122" s="24" t="n"/>
      <c r="K1122" s="24" t="n"/>
      <c r="L1122" s="24" t="n"/>
      <c r="M1122" s="24" t="n"/>
      <c r="N1122" s="24" t="n"/>
      <c r="O1122" s="15">
        <f>IF(D1122="","",COUNT(F1122,H1122,J1122,L1122,N1122))</f>
        <v/>
      </c>
      <c r="P1122" s="25">
        <f>IF(D1122="","",N(E1122)*N(F1122)+N(G1122)*N(H1122)+N(I1122)*N(J1122)+N(K1122)*N(L1122)+N(M1122)*N(N1122))</f>
        <v/>
      </c>
      <c r="Q1122" s="18">
        <f>IF(N(X1122)=0,"",IF(IF(N(F1122)=0,0,IF(N(E1122)&gt;0,E1122*(1+F1122/30),F1122))=X1122,IF(N(E1122)&gt;0,E1122&amp;" x "&amp;F1122,F1122&amp;" reps"),IF(IF(N(H1122)=0,0,IF(N(G1122)&gt;0,G1122*(1+H1122/30),H1122))=X1122,IF(N(G1122)&gt;0,G1122&amp;" x "&amp;H1122,H1122&amp;" reps"),IF(IF(N(J1122)=0,0,IF(N(I1122)&gt;0,I1122*(1+J1122/30),J1122))=X1122,IF(N(I1122)&gt;0,I1122&amp;" x "&amp;J1122,J1122&amp;" reps"),IF(IF(N(L1122)=0,0,IF(N(K1122)&gt;0,K1122*(1+L1122/30),L1122))=X1122,IF(N(K1122)&gt;0,K1122&amp;" x "&amp;L1122,L1122&amp;" reps"),IF(IF(N(N1122)=0,0,IF(N(M1122)&gt;0,M1122*(1+N1122/30),N1122))=X1122,IF(N(M1122)&gt;0,M1122&amp;" x "&amp;N1122,N1122&amp;" reps"),""))))))</f>
        <v/>
      </c>
      <c r="R1122" s="20">
        <f>IF(N(X1122)=0,"",ROUND(X1122,1))</f>
        <v/>
      </c>
      <c r="S1122" s="18">
        <f>IF(N(X1122)=0,"",IF(AND(COUNTIFS(Log!$D$6:$D$1505,D1122,Log!$B$6:$B$1505,"&lt;"&amp;B1122)&gt;0,COUNTIFS(Log!$D$6:$D$1505,D1122,Log!$B$6:$B$1505,"&lt;"&amp;B1122,Log!$X$6:$X$1505,"&gt;="&amp;X1122)=0),"New best",""))</f>
        <v/>
      </c>
      <c r="T1122" s="26" t="n"/>
      <c r="U1122" s="1">
        <f>IF(D1122="","",IFERROR(INDEX(Exercises!$C$6:$C$105,MATCH(D1122,Exercises!$B$6:$B$105,0)),"Other"))</f>
        <v/>
      </c>
      <c r="V1122">
        <f>IF(B1122="","",IF(COUNTIF($B$6:B1122,B1122)=1,1,0))</f>
        <v/>
      </c>
      <c r="W1122">
        <f>IF(B1122="","",B1122-WEEKDAY(B1122,3))</f>
        <v/>
      </c>
      <c r="X1122">
        <f>IF(D1122="","",MAX(IF(N(F1122)=0,0,IF(N(E1122)&gt;0,E1122*(1+F1122/30),F1122)),IF(N(H1122)=0,0,IF(N(G1122)&gt;0,G1122*(1+H1122/30),H1122)),IF(N(J1122)=0,0,IF(N(I1122)&gt;0,I1122*(1+J1122/30),J1122)),IF(N(L1122)=0,0,IF(N(K1122)&gt;0,K1122*(1+L1122/30),L1122)),IF(N(N1122)=0,0,IF(N(M1122)&gt;0,M1122*(1+N1122/30),N1122))))</f>
        <v/>
      </c>
      <c r="Y1122">
        <f>IF(N(X1122)=0,"",X1122+ROW()/1000000000)</f>
        <v/>
      </c>
      <c r="Z1122">
        <f>IF(Y1122="","",IF(COUNTIFS(Log!$D$6:$D$1505,D1122,Log!$Y$6:$Y$1505,"&gt;"&amp;Y1122)=0,1,0))</f>
        <v/>
      </c>
      <c r="AA1122">
        <f>IF(OR(B1122="",D1122=""),"",B1122+ROW()/10000000)</f>
        <v/>
      </c>
      <c r="AB1122">
        <f>IF(AA1122="","",IF(COUNTIFS(Log!$D$6:$D$1505,D1122,Log!$AA$6:$AA$1505,"&gt;"&amp;AA1122)=0,1,0))</f>
        <v/>
      </c>
      <c r="AC1122">
        <f>IF(S1122="New best",AA1122,"")</f>
        <v/>
      </c>
      <c r="AD1122">
        <f>ROW()</f>
        <v/>
      </c>
    </row>
    <row r="1123">
      <c r="A1123" s="1" t="n"/>
      <c r="B1123" s="21" t="n"/>
      <c r="C1123" s="22" t="n"/>
      <c r="D1123" s="23" t="n"/>
      <c r="E1123" s="24" t="n"/>
      <c r="F1123" s="24" t="n"/>
      <c r="G1123" s="24" t="n"/>
      <c r="H1123" s="24" t="n"/>
      <c r="I1123" s="24" t="n"/>
      <c r="J1123" s="24" t="n"/>
      <c r="K1123" s="24" t="n"/>
      <c r="L1123" s="24" t="n"/>
      <c r="M1123" s="24" t="n"/>
      <c r="N1123" s="24" t="n"/>
      <c r="O1123" s="15">
        <f>IF(D1123="","",COUNT(F1123,H1123,J1123,L1123,N1123))</f>
        <v/>
      </c>
      <c r="P1123" s="25">
        <f>IF(D1123="","",N(E1123)*N(F1123)+N(G1123)*N(H1123)+N(I1123)*N(J1123)+N(K1123)*N(L1123)+N(M1123)*N(N1123))</f>
        <v/>
      </c>
      <c r="Q1123" s="18">
        <f>IF(N(X1123)=0,"",IF(IF(N(F1123)=0,0,IF(N(E1123)&gt;0,E1123*(1+F1123/30),F1123))=X1123,IF(N(E1123)&gt;0,E1123&amp;" x "&amp;F1123,F1123&amp;" reps"),IF(IF(N(H1123)=0,0,IF(N(G1123)&gt;0,G1123*(1+H1123/30),H1123))=X1123,IF(N(G1123)&gt;0,G1123&amp;" x "&amp;H1123,H1123&amp;" reps"),IF(IF(N(J1123)=0,0,IF(N(I1123)&gt;0,I1123*(1+J1123/30),J1123))=X1123,IF(N(I1123)&gt;0,I1123&amp;" x "&amp;J1123,J1123&amp;" reps"),IF(IF(N(L1123)=0,0,IF(N(K1123)&gt;0,K1123*(1+L1123/30),L1123))=X1123,IF(N(K1123)&gt;0,K1123&amp;" x "&amp;L1123,L1123&amp;" reps"),IF(IF(N(N1123)=0,0,IF(N(M1123)&gt;0,M1123*(1+N1123/30),N1123))=X1123,IF(N(M1123)&gt;0,M1123&amp;" x "&amp;N1123,N1123&amp;" reps"),""))))))</f>
        <v/>
      </c>
      <c r="R1123" s="20">
        <f>IF(N(X1123)=0,"",ROUND(X1123,1))</f>
        <v/>
      </c>
      <c r="S1123" s="18">
        <f>IF(N(X1123)=0,"",IF(AND(COUNTIFS(Log!$D$6:$D$1505,D1123,Log!$B$6:$B$1505,"&lt;"&amp;B1123)&gt;0,COUNTIFS(Log!$D$6:$D$1505,D1123,Log!$B$6:$B$1505,"&lt;"&amp;B1123,Log!$X$6:$X$1505,"&gt;="&amp;X1123)=0),"New best",""))</f>
        <v/>
      </c>
      <c r="T1123" s="26" t="n"/>
      <c r="U1123" s="1">
        <f>IF(D1123="","",IFERROR(INDEX(Exercises!$C$6:$C$105,MATCH(D1123,Exercises!$B$6:$B$105,0)),"Other"))</f>
        <v/>
      </c>
      <c r="V1123">
        <f>IF(B1123="","",IF(COUNTIF($B$6:B1123,B1123)=1,1,0))</f>
        <v/>
      </c>
      <c r="W1123">
        <f>IF(B1123="","",B1123-WEEKDAY(B1123,3))</f>
        <v/>
      </c>
      <c r="X1123">
        <f>IF(D1123="","",MAX(IF(N(F1123)=0,0,IF(N(E1123)&gt;0,E1123*(1+F1123/30),F1123)),IF(N(H1123)=0,0,IF(N(G1123)&gt;0,G1123*(1+H1123/30),H1123)),IF(N(J1123)=0,0,IF(N(I1123)&gt;0,I1123*(1+J1123/30),J1123)),IF(N(L1123)=0,0,IF(N(K1123)&gt;0,K1123*(1+L1123/30),L1123)),IF(N(N1123)=0,0,IF(N(M1123)&gt;0,M1123*(1+N1123/30),N1123))))</f>
        <v/>
      </c>
      <c r="Y1123">
        <f>IF(N(X1123)=0,"",X1123+ROW()/1000000000)</f>
        <v/>
      </c>
      <c r="Z1123">
        <f>IF(Y1123="","",IF(COUNTIFS(Log!$D$6:$D$1505,D1123,Log!$Y$6:$Y$1505,"&gt;"&amp;Y1123)=0,1,0))</f>
        <v/>
      </c>
      <c r="AA1123">
        <f>IF(OR(B1123="",D1123=""),"",B1123+ROW()/10000000)</f>
        <v/>
      </c>
      <c r="AB1123">
        <f>IF(AA1123="","",IF(COUNTIFS(Log!$D$6:$D$1505,D1123,Log!$AA$6:$AA$1505,"&gt;"&amp;AA1123)=0,1,0))</f>
        <v/>
      </c>
      <c r="AC1123">
        <f>IF(S1123="New best",AA1123,"")</f>
        <v/>
      </c>
      <c r="AD1123">
        <f>ROW()</f>
        <v/>
      </c>
    </row>
    <row r="1124">
      <c r="A1124" s="1" t="n"/>
      <c r="B1124" s="21" t="n"/>
      <c r="C1124" s="22" t="n"/>
      <c r="D1124" s="23" t="n"/>
      <c r="E1124" s="24" t="n"/>
      <c r="F1124" s="24" t="n"/>
      <c r="G1124" s="24" t="n"/>
      <c r="H1124" s="24" t="n"/>
      <c r="I1124" s="24" t="n"/>
      <c r="J1124" s="24" t="n"/>
      <c r="K1124" s="24" t="n"/>
      <c r="L1124" s="24" t="n"/>
      <c r="M1124" s="24" t="n"/>
      <c r="N1124" s="24" t="n"/>
      <c r="O1124" s="15">
        <f>IF(D1124="","",COUNT(F1124,H1124,J1124,L1124,N1124))</f>
        <v/>
      </c>
      <c r="P1124" s="25">
        <f>IF(D1124="","",N(E1124)*N(F1124)+N(G1124)*N(H1124)+N(I1124)*N(J1124)+N(K1124)*N(L1124)+N(M1124)*N(N1124))</f>
        <v/>
      </c>
      <c r="Q1124" s="18">
        <f>IF(N(X1124)=0,"",IF(IF(N(F1124)=0,0,IF(N(E1124)&gt;0,E1124*(1+F1124/30),F1124))=X1124,IF(N(E1124)&gt;0,E1124&amp;" x "&amp;F1124,F1124&amp;" reps"),IF(IF(N(H1124)=0,0,IF(N(G1124)&gt;0,G1124*(1+H1124/30),H1124))=X1124,IF(N(G1124)&gt;0,G1124&amp;" x "&amp;H1124,H1124&amp;" reps"),IF(IF(N(J1124)=0,0,IF(N(I1124)&gt;0,I1124*(1+J1124/30),J1124))=X1124,IF(N(I1124)&gt;0,I1124&amp;" x "&amp;J1124,J1124&amp;" reps"),IF(IF(N(L1124)=0,0,IF(N(K1124)&gt;0,K1124*(1+L1124/30),L1124))=X1124,IF(N(K1124)&gt;0,K1124&amp;" x "&amp;L1124,L1124&amp;" reps"),IF(IF(N(N1124)=0,0,IF(N(M1124)&gt;0,M1124*(1+N1124/30),N1124))=X1124,IF(N(M1124)&gt;0,M1124&amp;" x "&amp;N1124,N1124&amp;" reps"),""))))))</f>
        <v/>
      </c>
      <c r="R1124" s="20">
        <f>IF(N(X1124)=0,"",ROUND(X1124,1))</f>
        <v/>
      </c>
      <c r="S1124" s="18">
        <f>IF(N(X1124)=0,"",IF(AND(COUNTIFS(Log!$D$6:$D$1505,D1124,Log!$B$6:$B$1505,"&lt;"&amp;B1124)&gt;0,COUNTIFS(Log!$D$6:$D$1505,D1124,Log!$B$6:$B$1505,"&lt;"&amp;B1124,Log!$X$6:$X$1505,"&gt;="&amp;X1124)=0),"New best",""))</f>
        <v/>
      </c>
      <c r="T1124" s="26" t="n"/>
      <c r="U1124" s="1">
        <f>IF(D1124="","",IFERROR(INDEX(Exercises!$C$6:$C$105,MATCH(D1124,Exercises!$B$6:$B$105,0)),"Other"))</f>
        <v/>
      </c>
      <c r="V1124">
        <f>IF(B1124="","",IF(COUNTIF($B$6:B1124,B1124)=1,1,0))</f>
        <v/>
      </c>
      <c r="W1124">
        <f>IF(B1124="","",B1124-WEEKDAY(B1124,3))</f>
        <v/>
      </c>
      <c r="X1124">
        <f>IF(D1124="","",MAX(IF(N(F1124)=0,0,IF(N(E1124)&gt;0,E1124*(1+F1124/30),F1124)),IF(N(H1124)=0,0,IF(N(G1124)&gt;0,G1124*(1+H1124/30),H1124)),IF(N(J1124)=0,0,IF(N(I1124)&gt;0,I1124*(1+J1124/30),J1124)),IF(N(L1124)=0,0,IF(N(K1124)&gt;0,K1124*(1+L1124/30),L1124)),IF(N(N1124)=0,0,IF(N(M1124)&gt;0,M1124*(1+N1124/30),N1124))))</f>
        <v/>
      </c>
      <c r="Y1124">
        <f>IF(N(X1124)=0,"",X1124+ROW()/1000000000)</f>
        <v/>
      </c>
      <c r="Z1124">
        <f>IF(Y1124="","",IF(COUNTIFS(Log!$D$6:$D$1505,D1124,Log!$Y$6:$Y$1505,"&gt;"&amp;Y1124)=0,1,0))</f>
        <v/>
      </c>
      <c r="AA1124">
        <f>IF(OR(B1124="",D1124=""),"",B1124+ROW()/10000000)</f>
        <v/>
      </c>
      <c r="AB1124">
        <f>IF(AA1124="","",IF(COUNTIFS(Log!$D$6:$D$1505,D1124,Log!$AA$6:$AA$1505,"&gt;"&amp;AA1124)=0,1,0))</f>
        <v/>
      </c>
      <c r="AC1124">
        <f>IF(S1124="New best",AA1124,"")</f>
        <v/>
      </c>
      <c r="AD1124">
        <f>ROW()</f>
        <v/>
      </c>
    </row>
    <row r="1125">
      <c r="A1125" s="1" t="n"/>
      <c r="B1125" s="21" t="n"/>
      <c r="C1125" s="22" t="n"/>
      <c r="D1125" s="23" t="n"/>
      <c r="E1125" s="24" t="n"/>
      <c r="F1125" s="24" t="n"/>
      <c r="G1125" s="24" t="n"/>
      <c r="H1125" s="24" t="n"/>
      <c r="I1125" s="24" t="n"/>
      <c r="J1125" s="24" t="n"/>
      <c r="K1125" s="24" t="n"/>
      <c r="L1125" s="24" t="n"/>
      <c r="M1125" s="24" t="n"/>
      <c r="N1125" s="24" t="n"/>
      <c r="O1125" s="15">
        <f>IF(D1125="","",COUNT(F1125,H1125,J1125,L1125,N1125))</f>
        <v/>
      </c>
      <c r="P1125" s="25">
        <f>IF(D1125="","",N(E1125)*N(F1125)+N(G1125)*N(H1125)+N(I1125)*N(J1125)+N(K1125)*N(L1125)+N(M1125)*N(N1125))</f>
        <v/>
      </c>
      <c r="Q1125" s="18">
        <f>IF(N(X1125)=0,"",IF(IF(N(F1125)=0,0,IF(N(E1125)&gt;0,E1125*(1+F1125/30),F1125))=X1125,IF(N(E1125)&gt;0,E1125&amp;" x "&amp;F1125,F1125&amp;" reps"),IF(IF(N(H1125)=0,0,IF(N(G1125)&gt;0,G1125*(1+H1125/30),H1125))=X1125,IF(N(G1125)&gt;0,G1125&amp;" x "&amp;H1125,H1125&amp;" reps"),IF(IF(N(J1125)=0,0,IF(N(I1125)&gt;0,I1125*(1+J1125/30),J1125))=X1125,IF(N(I1125)&gt;0,I1125&amp;" x "&amp;J1125,J1125&amp;" reps"),IF(IF(N(L1125)=0,0,IF(N(K1125)&gt;0,K1125*(1+L1125/30),L1125))=X1125,IF(N(K1125)&gt;0,K1125&amp;" x "&amp;L1125,L1125&amp;" reps"),IF(IF(N(N1125)=0,0,IF(N(M1125)&gt;0,M1125*(1+N1125/30),N1125))=X1125,IF(N(M1125)&gt;0,M1125&amp;" x "&amp;N1125,N1125&amp;" reps"),""))))))</f>
        <v/>
      </c>
      <c r="R1125" s="20">
        <f>IF(N(X1125)=0,"",ROUND(X1125,1))</f>
        <v/>
      </c>
      <c r="S1125" s="18">
        <f>IF(N(X1125)=0,"",IF(AND(COUNTIFS(Log!$D$6:$D$1505,D1125,Log!$B$6:$B$1505,"&lt;"&amp;B1125)&gt;0,COUNTIFS(Log!$D$6:$D$1505,D1125,Log!$B$6:$B$1505,"&lt;"&amp;B1125,Log!$X$6:$X$1505,"&gt;="&amp;X1125)=0),"New best",""))</f>
        <v/>
      </c>
      <c r="T1125" s="26" t="n"/>
      <c r="U1125" s="1">
        <f>IF(D1125="","",IFERROR(INDEX(Exercises!$C$6:$C$105,MATCH(D1125,Exercises!$B$6:$B$105,0)),"Other"))</f>
        <v/>
      </c>
      <c r="V1125">
        <f>IF(B1125="","",IF(COUNTIF($B$6:B1125,B1125)=1,1,0))</f>
        <v/>
      </c>
      <c r="W1125">
        <f>IF(B1125="","",B1125-WEEKDAY(B1125,3))</f>
        <v/>
      </c>
      <c r="X1125">
        <f>IF(D1125="","",MAX(IF(N(F1125)=0,0,IF(N(E1125)&gt;0,E1125*(1+F1125/30),F1125)),IF(N(H1125)=0,0,IF(N(G1125)&gt;0,G1125*(1+H1125/30),H1125)),IF(N(J1125)=0,0,IF(N(I1125)&gt;0,I1125*(1+J1125/30),J1125)),IF(N(L1125)=0,0,IF(N(K1125)&gt;0,K1125*(1+L1125/30),L1125)),IF(N(N1125)=0,0,IF(N(M1125)&gt;0,M1125*(1+N1125/30),N1125))))</f>
        <v/>
      </c>
      <c r="Y1125">
        <f>IF(N(X1125)=0,"",X1125+ROW()/1000000000)</f>
        <v/>
      </c>
      <c r="Z1125">
        <f>IF(Y1125="","",IF(COUNTIFS(Log!$D$6:$D$1505,D1125,Log!$Y$6:$Y$1505,"&gt;"&amp;Y1125)=0,1,0))</f>
        <v/>
      </c>
      <c r="AA1125">
        <f>IF(OR(B1125="",D1125=""),"",B1125+ROW()/10000000)</f>
        <v/>
      </c>
      <c r="AB1125">
        <f>IF(AA1125="","",IF(COUNTIFS(Log!$D$6:$D$1505,D1125,Log!$AA$6:$AA$1505,"&gt;"&amp;AA1125)=0,1,0))</f>
        <v/>
      </c>
      <c r="AC1125">
        <f>IF(S1125="New best",AA1125,"")</f>
        <v/>
      </c>
      <c r="AD1125">
        <f>ROW()</f>
        <v/>
      </c>
    </row>
    <row r="1126">
      <c r="A1126" s="1" t="n"/>
      <c r="B1126" s="21" t="n"/>
      <c r="C1126" s="22" t="n"/>
      <c r="D1126" s="23" t="n"/>
      <c r="E1126" s="24" t="n"/>
      <c r="F1126" s="24" t="n"/>
      <c r="G1126" s="24" t="n"/>
      <c r="H1126" s="24" t="n"/>
      <c r="I1126" s="24" t="n"/>
      <c r="J1126" s="24" t="n"/>
      <c r="K1126" s="24" t="n"/>
      <c r="L1126" s="24" t="n"/>
      <c r="M1126" s="24" t="n"/>
      <c r="N1126" s="24" t="n"/>
      <c r="O1126" s="15">
        <f>IF(D1126="","",COUNT(F1126,H1126,J1126,L1126,N1126))</f>
        <v/>
      </c>
      <c r="P1126" s="25">
        <f>IF(D1126="","",N(E1126)*N(F1126)+N(G1126)*N(H1126)+N(I1126)*N(J1126)+N(K1126)*N(L1126)+N(M1126)*N(N1126))</f>
        <v/>
      </c>
      <c r="Q1126" s="18">
        <f>IF(N(X1126)=0,"",IF(IF(N(F1126)=0,0,IF(N(E1126)&gt;0,E1126*(1+F1126/30),F1126))=X1126,IF(N(E1126)&gt;0,E1126&amp;" x "&amp;F1126,F1126&amp;" reps"),IF(IF(N(H1126)=0,0,IF(N(G1126)&gt;0,G1126*(1+H1126/30),H1126))=X1126,IF(N(G1126)&gt;0,G1126&amp;" x "&amp;H1126,H1126&amp;" reps"),IF(IF(N(J1126)=0,0,IF(N(I1126)&gt;0,I1126*(1+J1126/30),J1126))=X1126,IF(N(I1126)&gt;0,I1126&amp;" x "&amp;J1126,J1126&amp;" reps"),IF(IF(N(L1126)=0,0,IF(N(K1126)&gt;0,K1126*(1+L1126/30),L1126))=X1126,IF(N(K1126)&gt;0,K1126&amp;" x "&amp;L1126,L1126&amp;" reps"),IF(IF(N(N1126)=0,0,IF(N(M1126)&gt;0,M1126*(1+N1126/30),N1126))=X1126,IF(N(M1126)&gt;0,M1126&amp;" x "&amp;N1126,N1126&amp;" reps"),""))))))</f>
        <v/>
      </c>
      <c r="R1126" s="20">
        <f>IF(N(X1126)=0,"",ROUND(X1126,1))</f>
        <v/>
      </c>
      <c r="S1126" s="18">
        <f>IF(N(X1126)=0,"",IF(AND(COUNTIFS(Log!$D$6:$D$1505,D1126,Log!$B$6:$B$1505,"&lt;"&amp;B1126)&gt;0,COUNTIFS(Log!$D$6:$D$1505,D1126,Log!$B$6:$B$1505,"&lt;"&amp;B1126,Log!$X$6:$X$1505,"&gt;="&amp;X1126)=0),"New best",""))</f>
        <v/>
      </c>
      <c r="T1126" s="26" t="n"/>
      <c r="U1126" s="1">
        <f>IF(D1126="","",IFERROR(INDEX(Exercises!$C$6:$C$105,MATCH(D1126,Exercises!$B$6:$B$105,0)),"Other"))</f>
        <v/>
      </c>
      <c r="V1126">
        <f>IF(B1126="","",IF(COUNTIF($B$6:B1126,B1126)=1,1,0))</f>
        <v/>
      </c>
      <c r="W1126">
        <f>IF(B1126="","",B1126-WEEKDAY(B1126,3))</f>
        <v/>
      </c>
      <c r="X1126">
        <f>IF(D1126="","",MAX(IF(N(F1126)=0,0,IF(N(E1126)&gt;0,E1126*(1+F1126/30),F1126)),IF(N(H1126)=0,0,IF(N(G1126)&gt;0,G1126*(1+H1126/30),H1126)),IF(N(J1126)=0,0,IF(N(I1126)&gt;0,I1126*(1+J1126/30),J1126)),IF(N(L1126)=0,0,IF(N(K1126)&gt;0,K1126*(1+L1126/30),L1126)),IF(N(N1126)=0,0,IF(N(M1126)&gt;0,M1126*(1+N1126/30),N1126))))</f>
        <v/>
      </c>
      <c r="Y1126">
        <f>IF(N(X1126)=0,"",X1126+ROW()/1000000000)</f>
        <v/>
      </c>
      <c r="Z1126">
        <f>IF(Y1126="","",IF(COUNTIFS(Log!$D$6:$D$1505,D1126,Log!$Y$6:$Y$1505,"&gt;"&amp;Y1126)=0,1,0))</f>
        <v/>
      </c>
      <c r="AA1126">
        <f>IF(OR(B1126="",D1126=""),"",B1126+ROW()/10000000)</f>
        <v/>
      </c>
      <c r="AB1126">
        <f>IF(AA1126="","",IF(COUNTIFS(Log!$D$6:$D$1505,D1126,Log!$AA$6:$AA$1505,"&gt;"&amp;AA1126)=0,1,0))</f>
        <v/>
      </c>
      <c r="AC1126">
        <f>IF(S1126="New best",AA1126,"")</f>
        <v/>
      </c>
      <c r="AD1126">
        <f>ROW()</f>
        <v/>
      </c>
    </row>
    <row r="1127">
      <c r="A1127" s="1" t="n"/>
      <c r="B1127" s="21" t="n"/>
      <c r="C1127" s="22" t="n"/>
      <c r="D1127" s="23" t="n"/>
      <c r="E1127" s="24" t="n"/>
      <c r="F1127" s="24" t="n"/>
      <c r="G1127" s="24" t="n"/>
      <c r="H1127" s="24" t="n"/>
      <c r="I1127" s="24" t="n"/>
      <c r="J1127" s="24" t="n"/>
      <c r="K1127" s="24" t="n"/>
      <c r="L1127" s="24" t="n"/>
      <c r="M1127" s="24" t="n"/>
      <c r="N1127" s="24" t="n"/>
      <c r="O1127" s="15">
        <f>IF(D1127="","",COUNT(F1127,H1127,J1127,L1127,N1127))</f>
        <v/>
      </c>
      <c r="P1127" s="25">
        <f>IF(D1127="","",N(E1127)*N(F1127)+N(G1127)*N(H1127)+N(I1127)*N(J1127)+N(K1127)*N(L1127)+N(M1127)*N(N1127))</f>
        <v/>
      </c>
      <c r="Q1127" s="18">
        <f>IF(N(X1127)=0,"",IF(IF(N(F1127)=0,0,IF(N(E1127)&gt;0,E1127*(1+F1127/30),F1127))=X1127,IF(N(E1127)&gt;0,E1127&amp;" x "&amp;F1127,F1127&amp;" reps"),IF(IF(N(H1127)=0,0,IF(N(G1127)&gt;0,G1127*(1+H1127/30),H1127))=X1127,IF(N(G1127)&gt;0,G1127&amp;" x "&amp;H1127,H1127&amp;" reps"),IF(IF(N(J1127)=0,0,IF(N(I1127)&gt;0,I1127*(1+J1127/30),J1127))=X1127,IF(N(I1127)&gt;0,I1127&amp;" x "&amp;J1127,J1127&amp;" reps"),IF(IF(N(L1127)=0,0,IF(N(K1127)&gt;0,K1127*(1+L1127/30),L1127))=X1127,IF(N(K1127)&gt;0,K1127&amp;" x "&amp;L1127,L1127&amp;" reps"),IF(IF(N(N1127)=0,0,IF(N(M1127)&gt;0,M1127*(1+N1127/30),N1127))=X1127,IF(N(M1127)&gt;0,M1127&amp;" x "&amp;N1127,N1127&amp;" reps"),""))))))</f>
        <v/>
      </c>
      <c r="R1127" s="20">
        <f>IF(N(X1127)=0,"",ROUND(X1127,1))</f>
        <v/>
      </c>
      <c r="S1127" s="18">
        <f>IF(N(X1127)=0,"",IF(AND(COUNTIFS(Log!$D$6:$D$1505,D1127,Log!$B$6:$B$1505,"&lt;"&amp;B1127)&gt;0,COUNTIFS(Log!$D$6:$D$1505,D1127,Log!$B$6:$B$1505,"&lt;"&amp;B1127,Log!$X$6:$X$1505,"&gt;="&amp;X1127)=0),"New best",""))</f>
        <v/>
      </c>
      <c r="T1127" s="26" t="n"/>
      <c r="U1127" s="1">
        <f>IF(D1127="","",IFERROR(INDEX(Exercises!$C$6:$C$105,MATCH(D1127,Exercises!$B$6:$B$105,0)),"Other"))</f>
        <v/>
      </c>
      <c r="V1127">
        <f>IF(B1127="","",IF(COUNTIF($B$6:B1127,B1127)=1,1,0))</f>
        <v/>
      </c>
      <c r="W1127">
        <f>IF(B1127="","",B1127-WEEKDAY(B1127,3))</f>
        <v/>
      </c>
      <c r="X1127">
        <f>IF(D1127="","",MAX(IF(N(F1127)=0,0,IF(N(E1127)&gt;0,E1127*(1+F1127/30),F1127)),IF(N(H1127)=0,0,IF(N(G1127)&gt;0,G1127*(1+H1127/30),H1127)),IF(N(J1127)=0,0,IF(N(I1127)&gt;0,I1127*(1+J1127/30),J1127)),IF(N(L1127)=0,0,IF(N(K1127)&gt;0,K1127*(1+L1127/30),L1127)),IF(N(N1127)=0,0,IF(N(M1127)&gt;0,M1127*(1+N1127/30),N1127))))</f>
        <v/>
      </c>
      <c r="Y1127">
        <f>IF(N(X1127)=0,"",X1127+ROW()/1000000000)</f>
        <v/>
      </c>
      <c r="Z1127">
        <f>IF(Y1127="","",IF(COUNTIFS(Log!$D$6:$D$1505,D1127,Log!$Y$6:$Y$1505,"&gt;"&amp;Y1127)=0,1,0))</f>
        <v/>
      </c>
      <c r="AA1127">
        <f>IF(OR(B1127="",D1127=""),"",B1127+ROW()/10000000)</f>
        <v/>
      </c>
      <c r="AB1127">
        <f>IF(AA1127="","",IF(COUNTIFS(Log!$D$6:$D$1505,D1127,Log!$AA$6:$AA$1505,"&gt;"&amp;AA1127)=0,1,0))</f>
        <v/>
      </c>
      <c r="AC1127">
        <f>IF(S1127="New best",AA1127,"")</f>
        <v/>
      </c>
      <c r="AD1127">
        <f>ROW()</f>
        <v/>
      </c>
    </row>
    <row r="1128">
      <c r="A1128" s="1" t="n"/>
      <c r="B1128" s="21" t="n"/>
      <c r="C1128" s="22" t="n"/>
      <c r="D1128" s="23" t="n"/>
      <c r="E1128" s="24" t="n"/>
      <c r="F1128" s="24" t="n"/>
      <c r="G1128" s="24" t="n"/>
      <c r="H1128" s="24" t="n"/>
      <c r="I1128" s="24" t="n"/>
      <c r="J1128" s="24" t="n"/>
      <c r="K1128" s="24" t="n"/>
      <c r="L1128" s="24" t="n"/>
      <c r="M1128" s="24" t="n"/>
      <c r="N1128" s="24" t="n"/>
      <c r="O1128" s="15">
        <f>IF(D1128="","",COUNT(F1128,H1128,J1128,L1128,N1128))</f>
        <v/>
      </c>
      <c r="P1128" s="25">
        <f>IF(D1128="","",N(E1128)*N(F1128)+N(G1128)*N(H1128)+N(I1128)*N(J1128)+N(K1128)*N(L1128)+N(M1128)*N(N1128))</f>
        <v/>
      </c>
      <c r="Q1128" s="18">
        <f>IF(N(X1128)=0,"",IF(IF(N(F1128)=0,0,IF(N(E1128)&gt;0,E1128*(1+F1128/30),F1128))=X1128,IF(N(E1128)&gt;0,E1128&amp;" x "&amp;F1128,F1128&amp;" reps"),IF(IF(N(H1128)=0,0,IF(N(G1128)&gt;0,G1128*(1+H1128/30),H1128))=X1128,IF(N(G1128)&gt;0,G1128&amp;" x "&amp;H1128,H1128&amp;" reps"),IF(IF(N(J1128)=0,0,IF(N(I1128)&gt;0,I1128*(1+J1128/30),J1128))=X1128,IF(N(I1128)&gt;0,I1128&amp;" x "&amp;J1128,J1128&amp;" reps"),IF(IF(N(L1128)=0,0,IF(N(K1128)&gt;0,K1128*(1+L1128/30),L1128))=X1128,IF(N(K1128)&gt;0,K1128&amp;" x "&amp;L1128,L1128&amp;" reps"),IF(IF(N(N1128)=0,0,IF(N(M1128)&gt;0,M1128*(1+N1128/30),N1128))=X1128,IF(N(M1128)&gt;0,M1128&amp;" x "&amp;N1128,N1128&amp;" reps"),""))))))</f>
        <v/>
      </c>
      <c r="R1128" s="20">
        <f>IF(N(X1128)=0,"",ROUND(X1128,1))</f>
        <v/>
      </c>
      <c r="S1128" s="18">
        <f>IF(N(X1128)=0,"",IF(AND(COUNTIFS(Log!$D$6:$D$1505,D1128,Log!$B$6:$B$1505,"&lt;"&amp;B1128)&gt;0,COUNTIFS(Log!$D$6:$D$1505,D1128,Log!$B$6:$B$1505,"&lt;"&amp;B1128,Log!$X$6:$X$1505,"&gt;="&amp;X1128)=0),"New best",""))</f>
        <v/>
      </c>
      <c r="T1128" s="26" t="n"/>
      <c r="U1128" s="1">
        <f>IF(D1128="","",IFERROR(INDEX(Exercises!$C$6:$C$105,MATCH(D1128,Exercises!$B$6:$B$105,0)),"Other"))</f>
        <v/>
      </c>
      <c r="V1128">
        <f>IF(B1128="","",IF(COUNTIF($B$6:B1128,B1128)=1,1,0))</f>
        <v/>
      </c>
      <c r="W1128">
        <f>IF(B1128="","",B1128-WEEKDAY(B1128,3))</f>
        <v/>
      </c>
      <c r="X1128">
        <f>IF(D1128="","",MAX(IF(N(F1128)=0,0,IF(N(E1128)&gt;0,E1128*(1+F1128/30),F1128)),IF(N(H1128)=0,0,IF(N(G1128)&gt;0,G1128*(1+H1128/30),H1128)),IF(N(J1128)=0,0,IF(N(I1128)&gt;0,I1128*(1+J1128/30),J1128)),IF(N(L1128)=0,0,IF(N(K1128)&gt;0,K1128*(1+L1128/30),L1128)),IF(N(N1128)=0,0,IF(N(M1128)&gt;0,M1128*(1+N1128/30),N1128))))</f>
        <v/>
      </c>
      <c r="Y1128">
        <f>IF(N(X1128)=0,"",X1128+ROW()/1000000000)</f>
        <v/>
      </c>
      <c r="Z1128">
        <f>IF(Y1128="","",IF(COUNTIFS(Log!$D$6:$D$1505,D1128,Log!$Y$6:$Y$1505,"&gt;"&amp;Y1128)=0,1,0))</f>
        <v/>
      </c>
      <c r="AA1128">
        <f>IF(OR(B1128="",D1128=""),"",B1128+ROW()/10000000)</f>
        <v/>
      </c>
      <c r="AB1128">
        <f>IF(AA1128="","",IF(COUNTIFS(Log!$D$6:$D$1505,D1128,Log!$AA$6:$AA$1505,"&gt;"&amp;AA1128)=0,1,0))</f>
        <v/>
      </c>
      <c r="AC1128">
        <f>IF(S1128="New best",AA1128,"")</f>
        <v/>
      </c>
      <c r="AD1128">
        <f>ROW()</f>
        <v/>
      </c>
    </row>
    <row r="1129">
      <c r="A1129" s="1" t="n"/>
      <c r="B1129" s="21" t="n"/>
      <c r="C1129" s="22" t="n"/>
      <c r="D1129" s="23" t="n"/>
      <c r="E1129" s="24" t="n"/>
      <c r="F1129" s="24" t="n"/>
      <c r="G1129" s="24" t="n"/>
      <c r="H1129" s="24" t="n"/>
      <c r="I1129" s="24" t="n"/>
      <c r="J1129" s="24" t="n"/>
      <c r="K1129" s="24" t="n"/>
      <c r="L1129" s="24" t="n"/>
      <c r="M1129" s="24" t="n"/>
      <c r="N1129" s="24" t="n"/>
      <c r="O1129" s="15">
        <f>IF(D1129="","",COUNT(F1129,H1129,J1129,L1129,N1129))</f>
        <v/>
      </c>
      <c r="P1129" s="25">
        <f>IF(D1129="","",N(E1129)*N(F1129)+N(G1129)*N(H1129)+N(I1129)*N(J1129)+N(K1129)*N(L1129)+N(M1129)*N(N1129))</f>
        <v/>
      </c>
      <c r="Q1129" s="18">
        <f>IF(N(X1129)=0,"",IF(IF(N(F1129)=0,0,IF(N(E1129)&gt;0,E1129*(1+F1129/30),F1129))=X1129,IF(N(E1129)&gt;0,E1129&amp;" x "&amp;F1129,F1129&amp;" reps"),IF(IF(N(H1129)=0,0,IF(N(G1129)&gt;0,G1129*(1+H1129/30),H1129))=X1129,IF(N(G1129)&gt;0,G1129&amp;" x "&amp;H1129,H1129&amp;" reps"),IF(IF(N(J1129)=0,0,IF(N(I1129)&gt;0,I1129*(1+J1129/30),J1129))=X1129,IF(N(I1129)&gt;0,I1129&amp;" x "&amp;J1129,J1129&amp;" reps"),IF(IF(N(L1129)=0,0,IF(N(K1129)&gt;0,K1129*(1+L1129/30),L1129))=X1129,IF(N(K1129)&gt;0,K1129&amp;" x "&amp;L1129,L1129&amp;" reps"),IF(IF(N(N1129)=0,0,IF(N(M1129)&gt;0,M1129*(1+N1129/30),N1129))=X1129,IF(N(M1129)&gt;0,M1129&amp;" x "&amp;N1129,N1129&amp;" reps"),""))))))</f>
        <v/>
      </c>
      <c r="R1129" s="20">
        <f>IF(N(X1129)=0,"",ROUND(X1129,1))</f>
        <v/>
      </c>
      <c r="S1129" s="18">
        <f>IF(N(X1129)=0,"",IF(AND(COUNTIFS(Log!$D$6:$D$1505,D1129,Log!$B$6:$B$1505,"&lt;"&amp;B1129)&gt;0,COUNTIFS(Log!$D$6:$D$1505,D1129,Log!$B$6:$B$1505,"&lt;"&amp;B1129,Log!$X$6:$X$1505,"&gt;="&amp;X1129)=0),"New best",""))</f>
        <v/>
      </c>
      <c r="T1129" s="26" t="n"/>
      <c r="U1129" s="1">
        <f>IF(D1129="","",IFERROR(INDEX(Exercises!$C$6:$C$105,MATCH(D1129,Exercises!$B$6:$B$105,0)),"Other"))</f>
        <v/>
      </c>
      <c r="V1129">
        <f>IF(B1129="","",IF(COUNTIF($B$6:B1129,B1129)=1,1,0))</f>
        <v/>
      </c>
      <c r="W1129">
        <f>IF(B1129="","",B1129-WEEKDAY(B1129,3))</f>
        <v/>
      </c>
      <c r="X1129">
        <f>IF(D1129="","",MAX(IF(N(F1129)=0,0,IF(N(E1129)&gt;0,E1129*(1+F1129/30),F1129)),IF(N(H1129)=0,0,IF(N(G1129)&gt;0,G1129*(1+H1129/30),H1129)),IF(N(J1129)=0,0,IF(N(I1129)&gt;0,I1129*(1+J1129/30),J1129)),IF(N(L1129)=0,0,IF(N(K1129)&gt;0,K1129*(1+L1129/30),L1129)),IF(N(N1129)=0,0,IF(N(M1129)&gt;0,M1129*(1+N1129/30),N1129))))</f>
        <v/>
      </c>
      <c r="Y1129">
        <f>IF(N(X1129)=0,"",X1129+ROW()/1000000000)</f>
        <v/>
      </c>
      <c r="Z1129">
        <f>IF(Y1129="","",IF(COUNTIFS(Log!$D$6:$D$1505,D1129,Log!$Y$6:$Y$1505,"&gt;"&amp;Y1129)=0,1,0))</f>
        <v/>
      </c>
      <c r="AA1129">
        <f>IF(OR(B1129="",D1129=""),"",B1129+ROW()/10000000)</f>
        <v/>
      </c>
      <c r="AB1129">
        <f>IF(AA1129="","",IF(COUNTIFS(Log!$D$6:$D$1505,D1129,Log!$AA$6:$AA$1505,"&gt;"&amp;AA1129)=0,1,0))</f>
        <v/>
      </c>
      <c r="AC1129">
        <f>IF(S1129="New best",AA1129,"")</f>
        <v/>
      </c>
      <c r="AD1129">
        <f>ROW()</f>
        <v/>
      </c>
    </row>
    <row r="1130">
      <c r="A1130" s="1" t="n"/>
      <c r="B1130" s="21" t="n"/>
      <c r="C1130" s="22" t="n"/>
      <c r="D1130" s="23" t="n"/>
      <c r="E1130" s="24" t="n"/>
      <c r="F1130" s="24" t="n"/>
      <c r="G1130" s="24" t="n"/>
      <c r="H1130" s="24" t="n"/>
      <c r="I1130" s="24" t="n"/>
      <c r="J1130" s="24" t="n"/>
      <c r="K1130" s="24" t="n"/>
      <c r="L1130" s="24" t="n"/>
      <c r="M1130" s="24" t="n"/>
      <c r="N1130" s="24" t="n"/>
      <c r="O1130" s="15">
        <f>IF(D1130="","",COUNT(F1130,H1130,J1130,L1130,N1130))</f>
        <v/>
      </c>
      <c r="P1130" s="25">
        <f>IF(D1130="","",N(E1130)*N(F1130)+N(G1130)*N(H1130)+N(I1130)*N(J1130)+N(K1130)*N(L1130)+N(M1130)*N(N1130))</f>
        <v/>
      </c>
      <c r="Q1130" s="18">
        <f>IF(N(X1130)=0,"",IF(IF(N(F1130)=0,0,IF(N(E1130)&gt;0,E1130*(1+F1130/30),F1130))=X1130,IF(N(E1130)&gt;0,E1130&amp;" x "&amp;F1130,F1130&amp;" reps"),IF(IF(N(H1130)=0,0,IF(N(G1130)&gt;0,G1130*(1+H1130/30),H1130))=X1130,IF(N(G1130)&gt;0,G1130&amp;" x "&amp;H1130,H1130&amp;" reps"),IF(IF(N(J1130)=0,0,IF(N(I1130)&gt;0,I1130*(1+J1130/30),J1130))=X1130,IF(N(I1130)&gt;0,I1130&amp;" x "&amp;J1130,J1130&amp;" reps"),IF(IF(N(L1130)=0,0,IF(N(K1130)&gt;0,K1130*(1+L1130/30),L1130))=X1130,IF(N(K1130)&gt;0,K1130&amp;" x "&amp;L1130,L1130&amp;" reps"),IF(IF(N(N1130)=0,0,IF(N(M1130)&gt;0,M1130*(1+N1130/30),N1130))=X1130,IF(N(M1130)&gt;0,M1130&amp;" x "&amp;N1130,N1130&amp;" reps"),""))))))</f>
        <v/>
      </c>
      <c r="R1130" s="20">
        <f>IF(N(X1130)=0,"",ROUND(X1130,1))</f>
        <v/>
      </c>
      <c r="S1130" s="18">
        <f>IF(N(X1130)=0,"",IF(AND(COUNTIFS(Log!$D$6:$D$1505,D1130,Log!$B$6:$B$1505,"&lt;"&amp;B1130)&gt;0,COUNTIFS(Log!$D$6:$D$1505,D1130,Log!$B$6:$B$1505,"&lt;"&amp;B1130,Log!$X$6:$X$1505,"&gt;="&amp;X1130)=0),"New best",""))</f>
        <v/>
      </c>
      <c r="T1130" s="26" t="n"/>
      <c r="U1130" s="1">
        <f>IF(D1130="","",IFERROR(INDEX(Exercises!$C$6:$C$105,MATCH(D1130,Exercises!$B$6:$B$105,0)),"Other"))</f>
        <v/>
      </c>
      <c r="V1130">
        <f>IF(B1130="","",IF(COUNTIF($B$6:B1130,B1130)=1,1,0))</f>
        <v/>
      </c>
      <c r="W1130">
        <f>IF(B1130="","",B1130-WEEKDAY(B1130,3))</f>
        <v/>
      </c>
      <c r="X1130">
        <f>IF(D1130="","",MAX(IF(N(F1130)=0,0,IF(N(E1130)&gt;0,E1130*(1+F1130/30),F1130)),IF(N(H1130)=0,0,IF(N(G1130)&gt;0,G1130*(1+H1130/30),H1130)),IF(N(J1130)=0,0,IF(N(I1130)&gt;0,I1130*(1+J1130/30),J1130)),IF(N(L1130)=0,0,IF(N(K1130)&gt;0,K1130*(1+L1130/30),L1130)),IF(N(N1130)=0,0,IF(N(M1130)&gt;0,M1130*(1+N1130/30),N1130))))</f>
        <v/>
      </c>
      <c r="Y1130">
        <f>IF(N(X1130)=0,"",X1130+ROW()/1000000000)</f>
        <v/>
      </c>
      <c r="Z1130">
        <f>IF(Y1130="","",IF(COUNTIFS(Log!$D$6:$D$1505,D1130,Log!$Y$6:$Y$1505,"&gt;"&amp;Y1130)=0,1,0))</f>
        <v/>
      </c>
      <c r="AA1130">
        <f>IF(OR(B1130="",D1130=""),"",B1130+ROW()/10000000)</f>
        <v/>
      </c>
      <c r="AB1130">
        <f>IF(AA1130="","",IF(COUNTIFS(Log!$D$6:$D$1505,D1130,Log!$AA$6:$AA$1505,"&gt;"&amp;AA1130)=0,1,0))</f>
        <v/>
      </c>
      <c r="AC1130">
        <f>IF(S1130="New best",AA1130,"")</f>
        <v/>
      </c>
      <c r="AD1130">
        <f>ROW()</f>
        <v/>
      </c>
    </row>
    <row r="1131">
      <c r="A1131" s="1" t="n"/>
      <c r="B1131" s="21" t="n"/>
      <c r="C1131" s="22" t="n"/>
      <c r="D1131" s="23" t="n"/>
      <c r="E1131" s="24" t="n"/>
      <c r="F1131" s="24" t="n"/>
      <c r="G1131" s="24" t="n"/>
      <c r="H1131" s="24" t="n"/>
      <c r="I1131" s="24" t="n"/>
      <c r="J1131" s="24" t="n"/>
      <c r="K1131" s="24" t="n"/>
      <c r="L1131" s="24" t="n"/>
      <c r="M1131" s="24" t="n"/>
      <c r="N1131" s="24" t="n"/>
      <c r="O1131" s="15">
        <f>IF(D1131="","",COUNT(F1131,H1131,J1131,L1131,N1131))</f>
        <v/>
      </c>
      <c r="P1131" s="25">
        <f>IF(D1131="","",N(E1131)*N(F1131)+N(G1131)*N(H1131)+N(I1131)*N(J1131)+N(K1131)*N(L1131)+N(M1131)*N(N1131))</f>
        <v/>
      </c>
      <c r="Q1131" s="18">
        <f>IF(N(X1131)=0,"",IF(IF(N(F1131)=0,0,IF(N(E1131)&gt;0,E1131*(1+F1131/30),F1131))=X1131,IF(N(E1131)&gt;0,E1131&amp;" x "&amp;F1131,F1131&amp;" reps"),IF(IF(N(H1131)=0,0,IF(N(G1131)&gt;0,G1131*(1+H1131/30),H1131))=X1131,IF(N(G1131)&gt;0,G1131&amp;" x "&amp;H1131,H1131&amp;" reps"),IF(IF(N(J1131)=0,0,IF(N(I1131)&gt;0,I1131*(1+J1131/30),J1131))=X1131,IF(N(I1131)&gt;0,I1131&amp;" x "&amp;J1131,J1131&amp;" reps"),IF(IF(N(L1131)=0,0,IF(N(K1131)&gt;0,K1131*(1+L1131/30),L1131))=X1131,IF(N(K1131)&gt;0,K1131&amp;" x "&amp;L1131,L1131&amp;" reps"),IF(IF(N(N1131)=0,0,IF(N(M1131)&gt;0,M1131*(1+N1131/30),N1131))=X1131,IF(N(M1131)&gt;0,M1131&amp;" x "&amp;N1131,N1131&amp;" reps"),""))))))</f>
        <v/>
      </c>
      <c r="R1131" s="20">
        <f>IF(N(X1131)=0,"",ROUND(X1131,1))</f>
        <v/>
      </c>
      <c r="S1131" s="18">
        <f>IF(N(X1131)=0,"",IF(AND(COUNTIFS(Log!$D$6:$D$1505,D1131,Log!$B$6:$B$1505,"&lt;"&amp;B1131)&gt;0,COUNTIFS(Log!$D$6:$D$1505,D1131,Log!$B$6:$B$1505,"&lt;"&amp;B1131,Log!$X$6:$X$1505,"&gt;="&amp;X1131)=0),"New best",""))</f>
        <v/>
      </c>
      <c r="T1131" s="26" t="n"/>
      <c r="U1131" s="1">
        <f>IF(D1131="","",IFERROR(INDEX(Exercises!$C$6:$C$105,MATCH(D1131,Exercises!$B$6:$B$105,0)),"Other"))</f>
        <v/>
      </c>
      <c r="V1131">
        <f>IF(B1131="","",IF(COUNTIF($B$6:B1131,B1131)=1,1,0))</f>
        <v/>
      </c>
      <c r="W1131">
        <f>IF(B1131="","",B1131-WEEKDAY(B1131,3))</f>
        <v/>
      </c>
      <c r="X1131">
        <f>IF(D1131="","",MAX(IF(N(F1131)=0,0,IF(N(E1131)&gt;0,E1131*(1+F1131/30),F1131)),IF(N(H1131)=0,0,IF(N(G1131)&gt;0,G1131*(1+H1131/30),H1131)),IF(N(J1131)=0,0,IF(N(I1131)&gt;0,I1131*(1+J1131/30),J1131)),IF(N(L1131)=0,0,IF(N(K1131)&gt;0,K1131*(1+L1131/30),L1131)),IF(N(N1131)=0,0,IF(N(M1131)&gt;0,M1131*(1+N1131/30),N1131))))</f>
        <v/>
      </c>
      <c r="Y1131">
        <f>IF(N(X1131)=0,"",X1131+ROW()/1000000000)</f>
        <v/>
      </c>
      <c r="Z1131">
        <f>IF(Y1131="","",IF(COUNTIFS(Log!$D$6:$D$1505,D1131,Log!$Y$6:$Y$1505,"&gt;"&amp;Y1131)=0,1,0))</f>
        <v/>
      </c>
      <c r="AA1131">
        <f>IF(OR(B1131="",D1131=""),"",B1131+ROW()/10000000)</f>
        <v/>
      </c>
      <c r="AB1131">
        <f>IF(AA1131="","",IF(COUNTIFS(Log!$D$6:$D$1505,D1131,Log!$AA$6:$AA$1505,"&gt;"&amp;AA1131)=0,1,0))</f>
        <v/>
      </c>
      <c r="AC1131">
        <f>IF(S1131="New best",AA1131,"")</f>
        <v/>
      </c>
      <c r="AD1131">
        <f>ROW()</f>
        <v/>
      </c>
    </row>
    <row r="1132">
      <c r="A1132" s="1" t="n"/>
      <c r="B1132" s="21" t="n"/>
      <c r="C1132" s="22" t="n"/>
      <c r="D1132" s="23" t="n"/>
      <c r="E1132" s="24" t="n"/>
      <c r="F1132" s="24" t="n"/>
      <c r="G1132" s="24" t="n"/>
      <c r="H1132" s="24" t="n"/>
      <c r="I1132" s="24" t="n"/>
      <c r="J1132" s="24" t="n"/>
      <c r="K1132" s="24" t="n"/>
      <c r="L1132" s="24" t="n"/>
      <c r="M1132" s="24" t="n"/>
      <c r="N1132" s="24" t="n"/>
      <c r="O1132" s="15">
        <f>IF(D1132="","",COUNT(F1132,H1132,J1132,L1132,N1132))</f>
        <v/>
      </c>
      <c r="P1132" s="25">
        <f>IF(D1132="","",N(E1132)*N(F1132)+N(G1132)*N(H1132)+N(I1132)*N(J1132)+N(K1132)*N(L1132)+N(M1132)*N(N1132))</f>
        <v/>
      </c>
      <c r="Q1132" s="18">
        <f>IF(N(X1132)=0,"",IF(IF(N(F1132)=0,0,IF(N(E1132)&gt;0,E1132*(1+F1132/30),F1132))=X1132,IF(N(E1132)&gt;0,E1132&amp;" x "&amp;F1132,F1132&amp;" reps"),IF(IF(N(H1132)=0,0,IF(N(G1132)&gt;0,G1132*(1+H1132/30),H1132))=X1132,IF(N(G1132)&gt;0,G1132&amp;" x "&amp;H1132,H1132&amp;" reps"),IF(IF(N(J1132)=0,0,IF(N(I1132)&gt;0,I1132*(1+J1132/30),J1132))=X1132,IF(N(I1132)&gt;0,I1132&amp;" x "&amp;J1132,J1132&amp;" reps"),IF(IF(N(L1132)=0,0,IF(N(K1132)&gt;0,K1132*(1+L1132/30),L1132))=X1132,IF(N(K1132)&gt;0,K1132&amp;" x "&amp;L1132,L1132&amp;" reps"),IF(IF(N(N1132)=0,0,IF(N(M1132)&gt;0,M1132*(1+N1132/30),N1132))=X1132,IF(N(M1132)&gt;0,M1132&amp;" x "&amp;N1132,N1132&amp;" reps"),""))))))</f>
        <v/>
      </c>
      <c r="R1132" s="20">
        <f>IF(N(X1132)=0,"",ROUND(X1132,1))</f>
        <v/>
      </c>
      <c r="S1132" s="18">
        <f>IF(N(X1132)=0,"",IF(AND(COUNTIFS(Log!$D$6:$D$1505,D1132,Log!$B$6:$B$1505,"&lt;"&amp;B1132)&gt;0,COUNTIFS(Log!$D$6:$D$1505,D1132,Log!$B$6:$B$1505,"&lt;"&amp;B1132,Log!$X$6:$X$1505,"&gt;="&amp;X1132)=0),"New best",""))</f>
        <v/>
      </c>
      <c r="T1132" s="26" t="n"/>
      <c r="U1132" s="1">
        <f>IF(D1132="","",IFERROR(INDEX(Exercises!$C$6:$C$105,MATCH(D1132,Exercises!$B$6:$B$105,0)),"Other"))</f>
        <v/>
      </c>
      <c r="V1132">
        <f>IF(B1132="","",IF(COUNTIF($B$6:B1132,B1132)=1,1,0))</f>
        <v/>
      </c>
      <c r="W1132">
        <f>IF(B1132="","",B1132-WEEKDAY(B1132,3))</f>
        <v/>
      </c>
      <c r="X1132">
        <f>IF(D1132="","",MAX(IF(N(F1132)=0,0,IF(N(E1132)&gt;0,E1132*(1+F1132/30),F1132)),IF(N(H1132)=0,0,IF(N(G1132)&gt;0,G1132*(1+H1132/30),H1132)),IF(N(J1132)=0,0,IF(N(I1132)&gt;0,I1132*(1+J1132/30),J1132)),IF(N(L1132)=0,0,IF(N(K1132)&gt;0,K1132*(1+L1132/30),L1132)),IF(N(N1132)=0,0,IF(N(M1132)&gt;0,M1132*(1+N1132/30),N1132))))</f>
        <v/>
      </c>
      <c r="Y1132">
        <f>IF(N(X1132)=0,"",X1132+ROW()/1000000000)</f>
        <v/>
      </c>
      <c r="Z1132">
        <f>IF(Y1132="","",IF(COUNTIFS(Log!$D$6:$D$1505,D1132,Log!$Y$6:$Y$1505,"&gt;"&amp;Y1132)=0,1,0))</f>
        <v/>
      </c>
      <c r="AA1132">
        <f>IF(OR(B1132="",D1132=""),"",B1132+ROW()/10000000)</f>
        <v/>
      </c>
      <c r="AB1132">
        <f>IF(AA1132="","",IF(COUNTIFS(Log!$D$6:$D$1505,D1132,Log!$AA$6:$AA$1505,"&gt;"&amp;AA1132)=0,1,0))</f>
        <v/>
      </c>
      <c r="AC1132">
        <f>IF(S1132="New best",AA1132,"")</f>
        <v/>
      </c>
      <c r="AD1132">
        <f>ROW()</f>
        <v/>
      </c>
    </row>
    <row r="1133">
      <c r="A1133" s="1" t="n"/>
      <c r="B1133" s="21" t="n"/>
      <c r="C1133" s="22" t="n"/>
      <c r="D1133" s="23" t="n"/>
      <c r="E1133" s="24" t="n"/>
      <c r="F1133" s="24" t="n"/>
      <c r="G1133" s="24" t="n"/>
      <c r="H1133" s="24" t="n"/>
      <c r="I1133" s="24" t="n"/>
      <c r="J1133" s="24" t="n"/>
      <c r="K1133" s="24" t="n"/>
      <c r="L1133" s="24" t="n"/>
      <c r="M1133" s="24" t="n"/>
      <c r="N1133" s="24" t="n"/>
      <c r="O1133" s="15">
        <f>IF(D1133="","",COUNT(F1133,H1133,J1133,L1133,N1133))</f>
        <v/>
      </c>
      <c r="P1133" s="25">
        <f>IF(D1133="","",N(E1133)*N(F1133)+N(G1133)*N(H1133)+N(I1133)*N(J1133)+N(K1133)*N(L1133)+N(M1133)*N(N1133))</f>
        <v/>
      </c>
      <c r="Q1133" s="18">
        <f>IF(N(X1133)=0,"",IF(IF(N(F1133)=0,0,IF(N(E1133)&gt;0,E1133*(1+F1133/30),F1133))=X1133,IF(N(E1133)&gt;0,E1133&amp;" x "&amp;F1133,F1133&amp;" reps"),IF(IF(N(H1133)=0,0,IF(N(G1133)&gt;0,G1133*(1+H1133/30),H1133))=X1133,IF(N(G1133)&gt;0,G1133&amp;" x "&amp;H1133,H1133&amp;" reps"),IF(IF(N(J1133)=0,0,IF(N(I1133)&gt;0,I1133*(1+J1133/30),J1133))=X1133,IF(N(I1133)&gt;0,I1133&amp;" x "&amp;J1133,J1133&amp;" reps"),IF(IF(N(L1133)=0,0,IF(N(K1133)&gt;0,K1133*(1+L1133/30),L1133))=X1133,IF(N(K1133)&gt;0,K1133&amp;" x "&amp;L1133,L1133&amp;" reps"),IF(IF(N(N1133)=0,0,IF(N(M1133)&gt;0,M1133*(1+N1133/30),N1133))=X1133,IF(N(M1133)&gt;0,M1133&amp;" x "&amp;N1133,N1133&amp;" reps"),""))))))</f>
        <v/>
      </c>
      <c r="R1133" s="20">
        <f>IF(N(X1133)=0,"",ROUND(X1133,1))</f>
        <v/>
      </c>
      <c r="S1133" s="18">
        <f>IF(N(X1133)=0,"",IF(AND(COUNTIFS(Log!$D$6:$D$1505,D1133,Log!$B$6:$B$1505,"&lt;"&amp;B1133)&gt;0,COUNTIFS(Log!$D$6:$D$1505,D1133,Log!$B$6:$B$1505,"&lt;"&amp;B1133,Log!$X$6:$X$1505,"&gt;="&amp;X1133)=0),"New best",""))</f>
        <v/>
      </c>
      <c r="T1133" s="26" t="n"/>
      <c r="U1133" s="1">
        <f>IF(D1133="","",IFERROR(INDEX(Exercises!$C$6:$C$105,MATCH(D1133,Exercises!$B$6:$B$105,0)),"Other"))</f>
        <v/>
      </c>
      <c r="V1133">
        <f>IF(B1133="","",IF(COUNTIF($B$6:B1133,B1133)=1,1,0))</f>
        <v/>
      </c>
      <c r="W1133">
        <f>IF(B1133="","",B1133-WEEKDAY(B1133,3))</f>
        <v/>
      </c>
      <c r="X1133">
        <f>IF(D1133="","",MAX(IF(N(F1133)=0,0,IF(N(E1133)&gt;0,E1133*(1+F1133/30),F1133)),IF(N(H1133)=0,0,IF(N(G1133)&gt;0,G1133*(1+H1133/30),H1133)),IF(N(J1133)=0,0,IF(N(I1133)&gt;0,I1133*(1+J1133/30),J1133)),IF(N(L1133)=0,0,IF(N(K1133)&gt;0,K1133*(1+L1133/30),L1133)),IF(N(N1133)=0,0,IF(N(M1133)&gt;0,M1133*(1+N1133/30),N1133))))</f>
        <v/>
      </c>
      <c r="Y1133">
        <f>IF(N(X1133)=0,"",X1133+ROW()/1000000000)</f>
        <v/>
      </c>
      <c r="Z1133">
        <f>IF(Y1133="","",IF(COUNTIFS(Log!$D$6:$D$1505,D1133,Log!$Y$6:$Y$1505,"&gt;"&amp;Y1133)=0,1,0))</f>
        <v/>
      </c>
      <c r="AA1133">
        <f>IF(OR(B1133="",D1133=""),"",B1133+ROW()/10000000)</f>
        <v/>
      </c>
      <c r="AB1133">
        <f>IF(AA1133="","",IF(COUNTIFS(Log!$D$6:$D$1505,D1133,Log!$AA$6:$AA$1505,"&gt;"&amp;AA1133)=0,1,0))</f>
        <v/>
      </c>
      <c r="AC1133">
        <f>IF(S1133="New best",AA1133,"")</f>
        <v/>
      </c>
      <c r="AD1133">
        <f>ROW()</f>
        <v/>
      </c>
    </row>
    <row r="1134">
      <c r="A1134" s="1" t="n"/>
      <c r="B1134" s="21" t="n"/>
      <c r="C1134" s="22" t="n"/>
      <c r="D1134" s="23" t="n"/>
      <c r="E1134" s="24" t="n"/>
      <c r="F1134" s="24" t="n"/>
      <c r="G1134" s="24" t="n"/>
      <c r="H1134" s="24" t="n"/>
      <c r="I1134" s="24" t="n"/>
      <c r="J1134" s="24" t="n"/>
      <c r="K1134" s="24" t="n"/>
      <c r="L1134" s="24" t="n"/>
      <c r="M1134" s="24" t="n"/>
      <c r="N1134" s="24" t="n"/>
      <c r="O1134" s="15">
        <f>IF(D1134="","",COUNT(F1134,H1134,J1134,L1134,N1134))</f>
        <v/>
      </c>
      <c r="P1134" s="25">
        <f>IF(D1134="","",N(E1134)*N(F1134)+N(G1134)*N(H1134)+N(I1134)*N(J1134)+N(K1134)*N(L1134)+N(M1134)*N(N1134))</f>
        <v/>
      </c>
      <c r="Q1134" s="18">
        <f>IF(N(X1134)=0,"",IF(IF(N(F1134)=0,0,IF(N(E1134)&gt;0,E1134*(1+F1134/30),F1134))=X1134,IF(N(E1134)&gt;0,E1134&amp;" x "&amp;F1134,F1134&amp;" reps"),IF(IF(N(H1134)=0,0,IF(N(G1134)&gt;0,G1134*(1+H1134/30),H1134))=X1134,IF(N(G1134)&gt;0,G1134&amp;" x "&amp;H1134,H1134&amp;" reps"),IF(IF(N(J1134)=0,0,IF(N(I1134)&gt;0,I1134*(1+J1134/30),J1134))=X1134,IF(N(I1134)&gt;0,I1134&amp;" x "&amp;J1134,J1134&amp;" reps"),IF(IF(N(L1134)=0,0,IF(N(K1134)&gt;0,K1134*(1+L1134/30),L1134))=X1134,IF(N(K1134)&gt;0,K1134&amp;" x "&amp;L1134,L1134&amp;" reps"),IF(IF(N(N1134)=0,0,IF(N(M1134)&gt;0,M1134*(1+N1134/30),N1134))=X1134,IF(N(M1134)&gt;0,M1134&amp;" x "&amp;N1134,N1134&amp;" reps"),""))))))</f>
        <v/>
      </c>
      <c r="R1134" s="20">
        <f>IF(N(X1134)=0,"",ROUND(X1134,1))</f>
        <v/>
      </c>
      <c r="S1134" s="18">
        <f>IF(N(X1134)=0,"",IF(AND(COUNTIFS(Log!$D$6:$D$1505,D1134,Log!$B$6:$B$1505,"&lt;"&amp;B1134)&gt;0,COUNTIFS(Log!$D$6:$D$1505,D1134,Log!$B$6:$B$1505,"&lt;"&amp;B1134,Log!$X$6:$X$1505,"&gt;="&amp;X1134)=0),"New best",""))</f>
        <v/>
      </c>
      <c r="T1134" s="26" t="n"/>
      <c r="U1134" s="1">
        <f>IF(D1134="","",IFERROR(INDEX(Exercises!$C$6:$C$105,MATCH(D1134,Exercises!$B$6:$B$105,0)),"Other"))</f>
        <v/>
      </c>
      <c r="V1134">
        <f>IF(B1134="","",IF(COUNTIF($B$6:B1134,B1134)=1,1,0))</f>
        <v/>
      </c>
      <c r="W1134">
        <f>IF(B1134="","",B1134-WEEKDAY(B1134,3))</f>
        <v/>
      </c>
      <c r="X1134">
        <f>IF(D1134="","",MAX(IF(N(F1134)=0,0,IF(N(E1134)&gt;0,E1134*(1+F1134/30),F1134)),IF(N(H1134)=0,0,IF(N(G1134)&gt;0,G1134*(1+H1134/30),H1134)),IF(N(J1134)=0,0,IF(N(I1134)&gt;0,I1134*(1+J1134/30),J1134)),IF(N(L1134)=0,0,IF(N(K1134)&gt;0,K1134*(1+L1134/30),L1134)),IF(N(N1134)=0,0,IF(N(M1134)&gt;0,M1134*(1+N1134/30),N1134))))</f>
        <v/>
      </c>
      <c r="Y1134">
        <f>IF(N(X1134)=0,"",X1134+ROW()/1000000000)</f>
        <v/>
      </c>
      <c r="Z1134">
        <f>IF(Y1134="","",IF(COUNTIFS(Log!$D$6:$D$1505,D1134,Log!$Y$6:$Y$1505,"&gt;"&amp;Y1134)=0,1,0))</f>
        <v/>
      </c>
      <c r="AA1134">
        <f>IF(OR(B1134="",D1134=""),"",B1134+ROW()/10000000)</f>
        <v/>
      </c>
      <c r="AB1134">
        <f>IF(AA1134="","",IF(COUNTIFS(Log!$D$6:$D$1505,D1134,Log!$AA$6:$AA$1505,"&gt;"&amp;AA1134)=0,1,0))</f>
        <v/>
      </c>
      <c r="AC1134">
        <f>IF(S1134="New best",AA1134,"")</f>
        <v/>
      </c>
      <c r="AD1134">
        <f>ROW()</f>
        <v/>
      </c>
    </row>
    <row r="1135">
      <c r="A1135" s="1" t="n"/>
      <c r="B1135" s="21" t="n"/>
      <c r="C1135" s="22" t="n"/>
      <c r="D1135" s="23" t="n"/>
      <c r="E1135" s="24" t="n"/>
      <c r="F1135" s="24" t="n"/>
      <c r="G1135" s="24" t="n"/>
      <c r="H1135" s="24" t="n"/>
      <c r="I1135" s="24" t="n"/>
      <c r="J1135" s="24" t="n"/>
      <c r="K1135" s="24" t="n"/>
      <c r="L1135" s="24" t="n"/>
      <c r="M1135" s="24" t="n"/>
      <c r="N1135" s="24" t="n"/>
      <c r="O1135" s="15">
        <f>IF(D1135="","",COUNT(F1135,H1135,J1135,L1135,N1135))</f>
        <v/>
      </c>
      <c r="P1135" s="25">
        <f>IF(D1135="","",N(E1135)*N(F1135)+N(G1135)*N(H1135)+N(I1135)*N(J1135)+N(K1135)*N(L1135)+N(M1135)*N(N1135))</f>
        <v/>
      </c>
      <c r="Q1135" s="18">
        <f>IF(N(X1135)=0,"",IF(IF(N(F1135)=0,0,IF(N(E1135)&gt;0,E1135*(1+F1135/30),F1135))=X1135,IF(N(E1135)&gt;0,E1135&amp;" x "&amp;F1135,F1135&amp;" reps"),IF(IF(N(H1135)=0,0,IF(N(G1135)&gt;0,G1135*(1+H1135/30),H1135))=X1135,IF(N(G1135)&gt;0,G1135&amp;" x "&amp;H1135,H1135&amp;" reps"),IF(IF(N(J1135)=0,0,IF(N(I1135)&gt;0,I1135*(1+J1135/30),J1135))=X1135,IF(N(I1135)&gt;0,I1135&amp;" x "&amp;J1135,J1135&amp;" reps"),IF(IF(N(L1135)=0,0,IF(N(K1135)&gt;0,K1135*(1+L1135/30),L1135))=X1135,IF(N(K1135)&gt;0,K1135&amp;" x "&amp;L1135,L1135&amp;" reps"),IF(IF(N(N1135)=0,0,IF(N(M1135)&gt;0,M1135*(1+N1135/30),N1135))=X1135,IF(N(M1135)&gt;0,M1135&amp;" x "&amp;N1135,N1135&amp;" reps"),""))))))</f>
        <v/>
      </c>
      <c r="R1135" s="20">
        <f>IF(N(X1135)=0,"",ROUND(X1135,1))</f>
        <v/>
      </c>
      <c r="S1135" s="18">
        <f>IF(N(X1135)=0,"",IF(AND(COUNTIFS(Log!$D$6:$D$1505,D1135,Log!$B$6:$B$1505,"&lt;"&amp;B1135)&gt;0,COUNTIFS(Log!$D$6:$D$1505,D1135,Log!$B$6:$B$1505,"&lt;"&amp;B1135,Log!$X$6:$X$1505,"&gt;="&amp;X1135)=0),"New best",""))</f>
        <v/>
      </c>
      <c r="T1135" s="26" t="n"/>
      <c r="U1135" s="1">
        <f>IF(D1135="","",IFERROR(INDEX(Exercises!$C$6:$C$105,MATCH(D1135,Exercises!$B$6:$B$105,0)),"Other"))</f>
        <v/>
      </c>
      <c r="V1135">
        <f>IF(B1135="","",IF(COUNTIF($B$6:B1135,B1135)=1,1,0))</f>
        <v/>
      </c>
      <c r="W1135">
        <f>IF(B1135="","",B1135-WEEKDAY(B1135,3))</f>
        <v/>
      </c>
      <c r="X1135">
        <f>IF(D1135="","",MAX(IF(N(F1135)=0,0,IF(N(E1135)&gt;0,E1135*(1+F1135/30),F1135)),IF(N(H1135)=0,0,IF(N(G1135)&gt;0,G1135*(1+H1135/30),H1135)),IF(N(J1135)=0,0,IF(N(I1135)&gt;0,I1135*(1+J1135/30),J1135)),IF(N(L1135)=0,0,IF(N(K1135)&gt;0,K1135*(1+L1135/30),L1135)),IF(N(N1135)=0,0,IF(N(M1135)&gt;0,M1135*(1+N1135/30),N1135))))</f>
        <v/>
      </c>
      <c r="Y1135">
        <f>IF(N(X1135)=0,"",X1135+ROW()/1000000000)</f>
        <v/>
      </c>
      <c r="Z1135">
        <f>IF(Y1135="","",IF(COUNTIFS(Log!$D$6:$D$1505,D1135,Log!$Y$6:$Y$1505,"&gt;"&amp;Y1135)=0,1,0))</f>
        <v/>
      </c>
      <c r="AA1135">
        <f>IF(OR(B1135="",D1135=""),"",B1135+ROW()/10000000)</f>
        <v/>
      </c>
      <c r="AB1135">
        <f>IF(AA1135="","",IF(COUNTIFS(Log!$D$6:$D$1505,D1135,Log!$AA$6:$AA$1505,"&gt;"&amp;AA1135)=0,1,0))</f>
        <v/>
      </c>
      <c r="AC1135">
        <f>IF(S1135="New best",AA1135,"")</f>
        <v/>
      </c>
      <c r="AD1135">
        <f>ROW()</f>
        <v/>
      </c>
    </row>
    <row r="1136">
      <c r="A1136" s="1" t="n"/>
      <c r="B1136" s="21" t="n"/>
      <c r="C1136" s="22" t="n"/>
      <c r="D1136" s="23" t="n"/>
      <c r="E1136" s="24" t="n"/>
      <c r="F1136" s="24" t="n"/>
      <c r="G1136" s="24" t="n"/>
      <c r="H1136" s="24" t="n"/>
      <c r="I1136" s="24" t="n"/>
      <c r="J1136" s="24" t="n"/>
      <c r="K1136" s="24" t="n"/>
      <c r="L1136" s="24" t="n"/>
      <c r="M1136" s="24" t="n"/>
      <c r="N1136" s="24" t="n"/>
      <c r="O1136" s="15">
        <f>IF(D1136="","",COUNT(F1136,H1136,J1136,L1136,N1136))</f>
        <v/>
      </c>
      <c r="P1136" s="25">
        <f>IF(D1136="","",N(E1136)*N(F1136)+N(G1136)*N(H1136)+N(I1136)*N(J1136)+N(K1136)*N(L1136)+N(M1136)*N(N1136))</f>
        <v/>
      </c>
      <c r="Q1136" s="18">
        <f>IF(N(X1136)=0,"",IF(IF(N(F1136)=0,0,IF(N(E1136)&gt;0,E1136*(1+F1136/30),F1136))=X1136,IF(N(E1136)&gt;0,E1136&amp;" x "&amp;F1136,F1136&amp;" reps"),IF(IF(N(H1136)=0,0,IF(N(G1136)&gt;0,G1136*(1+H1136/30),H1136))=X1136,IF(N(G1136)&gt;0,G1136&amp;" x "&amp;H1136,H1136&amp;" reps"),IF(IF(N(J1136)=0,0,IF(N(I1136)&gt;0,I1136*(1+J1136/30),J1136))=X1136,IF(N(I1136)&gt;0,I1136&amp;" x "&amp;J1136,J1136&amp;" reps"),IF(IF(N(L1136)=0,0,IF(N(K1136)&gt;0,K1136*(1+L1136/30),L1136))=X1136,IF(N(K1136)&gt;0,K1136&amp;" x "&amp;L1136,L1136&amp;" reps"),IF(IF(N(N1136)=0,0,IF(N(M1136)&gt;0,M1136*(1+N1136/30),N1136))=X1136,IF(N(M1136)&gt;0,M1136&amp;" x "&amp;N1136,N1136&amp;" reps"),""))))))</f>
        <v/>
      </c>
      <c r="R1136" s="20">
        <f>IF(N(X1136)=0,"",ROUND(X1136,1))</f>
        <v/>
      </c>
      <c r="S1136" s="18">
        <f>IF(N(X1136)=0,"",IF(AND(COUNTIFS(Log!$D$6:$D$1505,D1136,Log!$B$6:$B$1505,"&lt;"&amp;B1136)&gt;0,COUNTIFS(Log!$D$6:$D$1505,D1136,Log!$B$6:$B$1505,"&lt;"&amp;B1136,Log!$X$6:$X$1505,"&gt;="&amp;X1136)=0),"New best",""))</f>
        <v/>
      </c>
      <c r="T1136" s="26" t="n"/>
      <c r="U1136" s="1">
        <f>IF(D1136="","",IFERROR(INDEX(Exercises!$C$6:$C$105,MATCH(D1136,Exercises!$B$6:$B$105,0)),"Other"))</f>
        <v/>
      </c>
      <c r="V1136">
        <f>IF(B1136="","",IF(COUNTIF($B$6:B1136,B1136)=1,1,0))</f>
        <v/>
      </c>
      <c r="W1136">
        <f>IF(B1136="","",B1136-WEEKDAY(B1136,3))</f>
        <v/>
      </c>
      <c r="X1136">
        <f>IF(D1136="","",MAX(IF(N(F1136)=0,0,IF(N(E1136)&gt;0,E1136*(1+F1136/30),F1136)),IF(N(H1136)=0,0,IF(N(G1136)&gt;0,G1136*(1+H1136/30),H1136)),IF(N(J1136)=0,0,IF(N(I1136)&gt;0,I1136*(1+J1136/30),J1136)),IF(N(L1136)=0,0,IF(N(K1136)&gt;0,K1136*(1+L1136/30),L1136)),IF(N(N1136)=0,0,IF(N(M1136)&gt;0,M1136*(1+N1136/30),N1136))))</f>
        <v/>
      </c>
      <c r="Y1136">
        <f>IF(N(X1136)=0,"",X1136+ROW()/1000000000)</f>
        <v/>
      </c>
      <c r="Z1136">
        <f>IF(Y1136="","",IF(COUNTIFS(Log!$D$6:$D$1505,D1136,Log!$Y$6:$Y$1505,"&gt;"&amp;Y1136)=0,1,0))</f>
        <v/>
      </c>
      <c r="AA1136">
        <f>IF(OR(B1136="",D1136=""),"",B1136+ROW()/10000000)</f>
        <v/>
      </c>
      <c r="AB1136">
        <f>IF(AA1136="","",IF(COUNTIFS(Log!$D$6:$D$1505,D1136,Log!$AA$6:$AA$1505,"&gt;"&amp;AA1136)=0,1,0))</f>
        <v/>
      </c>
      <c r="AC1136">
        <f>IF(S1136="New best",AA1136,"")</f>
        <v/>
      </c>
      <c r="AD1136">
        <f>ROW()</f>
        <v/>
      </c>
    </row>
    <row r="1137">
      <c r="A1137" s="1" t="n"/>
      <c r="B1137" s="21" t="n"/>
      <c r="C1137" s="22" t="n"/>
      <c r="D1137" s="23" t="n"/>
      <c r="E1137" s="24" t="n"/>
      <c r="F1137" s="24" t="n"/>
      <c r="G1137" s="24" t="n"/>
      <c r="H1137" s="24" t="n"/>
      <c r="I1137" s="24" t="n"/>
      <c r="J1137" s="24" t="n"/>
      <c r="K1137" s="24" t="n"/>
      <c r="L1137" s="24" t="n"/>
      <c r="M1137" s="24" t="n"/>
      <c r="N1137" s="24" t="n"/>
      <c r="O1137" s="15">
        <f>IF(D1137="","",COUNT(F1137,H1137,J1137,L1137,N1137))</f>
        <v/>
      </c>
      <c r="P1137" s="25">
        <f>IF(D1137="","",N(E1137)*N(F1137)+N(G1137)*N(H1137)+N(I1137)*N(J1137)+N(K1137)*N(L1137)+N(M1137)*N(N1137))</f>
        <v/>
      </c>
      <c r="Q1137" s="18">
        <f>IF(N(X1137)=0,"",IF(IF(N(F1137)=0,0,IF(N(E1137)&gt;0,E1137*(1+F1137/30),F1137))=X1137,IF(N(E1137)&gt;0,E1137&amp;" x "&amp;F1137,F1137&amp;" reps"),IF(IF(N(H1137)=0,0,IF(N(G1137)&gt;0,G1137*(1+H1137/30),H1137))=X1137,IF(N(G1137)&gt;0,G1137&amp;" x "&amp;H1137,H1137&amp;" reps"),IF(IF(N(J1137)=0,0,IF(N(I1137)&gt;0,I1137*(1+J1137/30),J1137))=X1137,IF(N(I1137)&gt;0,I1137&amp;" x "&amp;J1137,J1137&amp;" reps"),IF(IF(N(L1137)=0,0,IF(N(K1137)&gt;0,K1137*(1+L1137/30),L1137))=X1137,IF(N(K1137)&gt;0,K1137&amp;" x "&amp;L1137,L1137&amp;" reps"),IF(IF(N(N1137)=0,0,IF(N(M1137)&gt;0,M1137*(1+N1137/30),N1137))=X1137,IF(N(M1137)&gt;0,M1137&amp;" x "&amp;N1137,N1137&amp;" reps"),""))))))</f>
        <v/>
      </c>
      <c r="R1137" s="20">
        <f>IF(N(X1137)=0,"",ROUND(X1137,1))</f>
        <v/>
      </c>
      <c r="S1137" s="18">
        <f>IF(N(X1137)=0,"",IF(AND(COUNTIFS(Log!$D$6:$D$1505,D1137,Log!$B$6:$B$1505,"&lt;"&amp;B1137)&gt;0,COUNTIFS(Log!$D$6:$D$1505,D1137,Log!$B$6:$B$1505,"&lt;"&amp;B1137,Log!$X$6:$X$1505,"&gt;="&amp;X1137)=0),"New best",""))</f>
        <v/>
      </c>
      <c r="T1137" s="26" t="n"/>
      <c r="U1137" s="1">
        <f>IF(D1137="","",IFERROR(INDEX(Exercises!$C$6:$C$105,MATCH(D1137,Exercises!$B$6:$B$105,0)),"Other"))</f>
        <v/>
      </c>
      <c r="V1137">
        <f>IF(B1137="","",IF(COUNTIF($B$6:B1137,B1137)=1,1,0))</f>
        <v/>
      </c>
      <c r="W1137">
        <f>IF(B1137="","",B1137-WEEKDAY(B1137,3))</f>
        <v/>
      </c>
      <c r="X1137">
        <f>IF(D1137="","",MAX(IF(N(F1137)=0,0,IF(N(E1137)&gt;0,E1137*(1+F1137/30),F1137)),IF(N(H1137)=0,0,IF(N(G1137)&gt;0,G1137*(1+H1137/30),H1137)),IF(N(J1137)=0,0,IF(N(I1137)&gt;0,I1137*(1+J1137/30),J1137)),IF(N(L1137)=0,0,IF(N(K1137)&gt;0,K1137*(1+L1137/30),L1137)),IF(N(N1137)=0,0,IF(N(M1137)&gt;0,M1137*(1+N1137/30),N1137))))</f>
        <v/>
      </c>
      <c r="Y1137">
        <f>IF(N(X1137)=0,"",X1137+ROW()/1000000000)</f>
        <v/>
      </c>
      <c r="Z1137">
        <f>IF(Y1137="","",IF(COUNTIFS(Log!$D$6:$D$1505,D1137,Log!$Y$6:$Y$1505,"&gt;"&amp;Y1137)=0,1,0))</f>
        <v/>
      </c>
      <c r="AA1137">
        <f>IF(OR(B1137="",D1137=""),"",B1137+ROW()/10000000)</f>
        <v/>
      </c>
      <c r="AB1137">
        <f>IF(AA1137="","",IF(COUNTIFS(Log!$D$6:$D$1505,D1137,Log!$AA$6:$AA$1505,"&gt;"&amp;AA1137)=0,1,0))</f>
        <v/>
      </c>
      <c r="AC1137">
        <f>IF(S1137="New best",AA1137,"")</f>
        <v/>
      </c>
      <c r="AD1137">
        <f>ROW()</f>
        <v/>
      </c>
    </row>
    <row r="1138">
      <c r="A1138" s="1" t="n"/>
      <c r="B1138" s="21" t="n"/>
      <c r="C1138" s="22" t="n"/>
      <c r="D1138" s="23" t="n"/>
      <c r="E1138" s="24" t="n"/>
      <c r="F1138" s="24" t="n"/>
      <c r="G1138" s="24" t="n"/>
      <c r="H1138" s="24" t="n"/>
      <c r="I1138" s="24" t="n"/>
      <c r="J1138" s="24" t="n"/>
      <c r="K1138" s="24" t="n"/>
      <c r="L1138" s="24" t="n"/>
      <c r="M1138" s="24" t="n"/>
      <c r="N1138" s="24" t="n"/>
      <c r="O1138" s="15">
        <f>IF(D1138="","",COUNT(F1138,H1138,J1138,L1138,N1138))</f>
        <v/>
      </c>
      <c r="P1138" s="25">
        <f>IF(D1138="","",N(E1138)*N(F1138)+N(G1138)*N(H1138)+N(I1138)*N(J1138)+N(K1138)*N(L1138)+N(M1138)*N(N1138))</f>
        <v/>
      </c>
      <c r="Q1138" s="18">
        <f>IF(N(X1138)=0,"",IF(IF(N(F1138)=0,0,IF(N(E1138)&gt;0,E1138*(1+F1138/30),F1138))=X1138,IF(N(E1138)&gt;0,E1138&amp;" x "&amp;F1138,F1138&amp;" reps"),IF(IF(N(H1138)=0,0,IF(N(G1138)&gt;0,G1138*(1+H1138/30),H1138))=X1138,IF(N(G1138)&gt;0,G1138&amp;" x "&amp;H1138,H1138&amp;" reps"),IF(IF(N(J1138)=0,0,IF(N(I1138)&gt;0,I1138*(1+J1138/30),J1138))=X1138,IF(N(I1138)&gt;0,I1138&amp;" x "&amp;J1138,J1138&amp;" reps"),IF(IF(N(L1138)=0,0,IF(N(K1138)&gt;0,K1138*(1+L1138/30),L1138))=X1138,IF(N(K1138)&gt;0,K1138&amp;" x "&amp;L1138,L1138&amp;" reps"),IF(IF(N(N1138)=0,0,IF(N(M1138)&gt;0,M1138*(1+N1138/30),N1138))=X1138,IF(N(M1138)&gt;0,M1138&amp;" x "&amp;N1138,N1138&amp;" reps"),""))))))</f>
        <v/>
      </c>
      <c r="R1138" s="20">
        <f>IF(N(X1138)=0,"",ROUND(X1138,1))</f>
        <v/>
      </c>
      <c r="S1138" s="18">
        <f>IF(N(X1138)=0,"",IF(AND(COUNTIFS(Log!$D$6:$D$1505,D1138,Log!$B$6:$B$1505,"&lt;"&amp;B1138)&gt;0,COUNTIFS(Log!$D$6:$D$1505,D1138,Log!$B$6:$B$1505,"&lt;"&amp;B1138,Log!$X$6:$X$1505,"&gt;="&amp;X1138)=0),"New best",""))</f>
        <v/>
      </c>
      <c r="T1138" s="26" t="n"/>
      <c r="U1138" s="1">
        <f>IF(D1138="","",IFERROR(INDEX(Exercises!$C$6:$C$105,MATCH(D1138,Exercises!$B$6:$B$105,0)),"Other"))</f>
        <v/>
      </c>
      <c r="V1138">
        <f>IF(B1138="","",IF(COUNTIF($B$6:B1138,B1138)=1,1,0))</f>
        <v/>
      </c>
      <c r="W1138">
        <f>IF(B1138="","",B1138-WEEKDAY(B1138,3))</f>
        <v/>
      </c>
      <c r="X1138">
        <f>IF(D1138="","",MAX(IF(N(F1138)=0,0,IF(N(E1138)&gt;0,E1138*(1+F1138/30),F1138)),IF(N(H1138)=0,0,IF(N(G1138)&gt;0,G1138*(1+H1138/30),H1138)),IF(N(J1138)=0,0,IF(N(I1138)&gt;0,I1138*(1+J1138/30),J1138)),IF(N(L1138)=0,0,IF(N(K1138)&gt;0,K1138*(1+L1138/30),L1138)),IF(N(N1138)=0,0,IF(N(M1138)&gt;0,M1138*(1+N1138/30),N1138))))</f>
        <v/>
      </c>
      <c r="Y1138">
        <f>IF(N(X1138)=0,"",X1138+ROW()/1000000000)</f>
        <v/>
      </c>
      <c r="Z1138">
        <f>IF(Y1138="","",IF(COUNTIFS(Log!$D$6:$D$1505,D1138,Log!$Y$6:$Y$1505,"&gt;"&amp;Y1138)=0,1,0))</f>
        <v/>
      </c>
      <c r="AA1138">
        <f>IF(OR(B1138="",D1138=""),"",B1138+ROW()/10000000)</f>
        <v/>
      </c>
      <c r="AB1138">
        <f>IF(AA1138="","",IF(COUNTIFS(Log!$D$6:$D$1505,D1138,Log!$AA$6:$AA$1505,"&gt;"&amp;AA1138)=0,1,0))</f>
        <v/>
      </c>
      <c r="AC1138">
        <f>IF(S1138="New best",AA1138,"")</f>
        <v/>
      </c>
      <c r="AD1138">
        <f>ROW()</f>
        <v/>
      </c>
    </row>
    <row r="1139">
      <c r="A1139" s="1" t="n"/>
      <c r="B1139" s="21" t="n"/>
      <c r="C1139" s="22" t="n"/>
      <c r="D1139" s="23" t="n"/>
      <c r="E1139" s="24" t="n"/>
      <c r="F1139" s="24" t="n"/>
      <c r="G1139" s="24" t="n"/>
      <c r="H1139" s="24" t="n"/>
      <c r="I1139" s="24" t="n"/>
      <c r="J1139" s="24" t="n"/>
      <c r="K1139" s="24" t="n"/>
      <c r="L1139" s="24" t="n"/>
      <c r="M1139" s="24" t="n"/>
      <c r="N1139" s="24" t="n"/>
      <c r="O1139" s="15">
        <f>IF(D1139="","",COUNT(F1139,H1139,J1139,L1139,N1139))</f>
        <v/>
      </c>
      <c r="P1139" s="25">
        <f>IF(D1139="","",N(E1139)*N(F1139)+N(G1139)*N(H1139)+N(I1139)*N(J1139)+N(K1139)*N(L1139)+N(M1139)*N(N1139))</f>
        <v/>
      </c>
      <c r="Q1139" s="18">
        <f>IF(N(X1139)=0,"",IF(IF(N(F1139)=0,0,IF(N(E1139)&gt;0,E1139*(1+F1139/30),F1139))=X1139,IF(N(E1139)&gt;0,E1139&amp;" x "&amp;F1139,F1139&amp;" reps"),IF(IF(N(H1139)=0,0,IF(N(G1139)&gt;0,G1139*(1+H1139/30),H1139))=X1139,IF(N(G1139)&gt;0,G1139&amp;" x "&amp;H1139,H1139&amp;" reps"),IF(IF(N(J1139)=0,0,IF(N(I1139)&gt;0,I1139*(1+J1139/30),J1139))=X1139,IF(N(I1139)&gt;0,I1139&amp;" x "&amp;J1139,J1139&amp;" reps"),IF(IF(N(L1139)=0,0,IF(N(K1139)&gt;0,K1139*(1+L1139/30),L1139))=X1139,IF(N(K1139)&gt;0,K1139&amp;" x "&amp;L1139,L1139&amp;" reps"),IF(IF(N(N1139)=0,0,IF(N(M1139)&gt;0,M1139*(1+N1139/30),N1139))=X1139,IF(N(M1139)&gt;0,M1139&amp;" x "&amp;N1139,N1139&amp;" reps"),""))))))</f>
        <v/>
      </c>
      <c r="R1139" s="20">
        <f>IF(N(X1139)=0,"",ROUND(X1139,1))</f>
        <v/>
      </c>
      <c r="S1139" s="18">
        <f>IF(N(X1139)=0,"",IF(AND(COUNTIFS(Log!$D$6:$D$1505,D1139,Log!$B$6:$B$1505,"&lt;"&amp;B1139)&gt;0,COUNTIFS(Log!$D$6:$D$1505,D1139,Log!$B$6:$B$1505,"&lt;"&amp;B1139,Log!$X$6:$X$1505,"&gt;="&amp;X1139)=0),"New best",""))</f>
        <v/>
      </c>
      <c r="T1139" s="26" t="n"/>
      <c r="U1139" s="1">
        <f>IF(D1139="","",IFERROR(INDEX(Exercises!$C$6:$C$105,MATCH(D1139,Exercises!$B$6:$B$105,0)),"Other"))</f>
        <v/>
      </c>
      <c r="V1139">
        <f>IF(B1139="","",IF(COUNTIF($B$6:B1139,B1139)=1,1,0))</f>
        <v/>
      </c>
      <c r="W1139">
        <f>IF(B1139="","",B1139-WEEKDAY(B1139,3))</f>
        <v/>
      </c>
      <c r="X1139">
        <f>IF(D1139="","",MAX(IF(N(F1139)=0,0,IF(N(E1139)&gt;0,E1139*(1+F1139/30),F1139)),IF(N(H1139)=0,0,IF(N(G1139)&gt;0,G1139*(1+H1139/30),H1139)),IF(N(J1139)=0,0,IF(N(I1139)&gt;0,I1139*(1+J1139/30),J1139)),IF(N(L1139)=0,0,IF(N(K1139)&gt;0,K1139*(1+L1139/30),L1139)),IF(N(N1139)=0,0,IF(N(M1139)&gt;0,M1139*(1+N1139/30),N1139))))</f>
        <v/>
      </c>
      <c r="Y1139">
        <f>IF(N(X1139)=0,"",X1139+ROW()/1000000000)</f>
        <v/>
      </c>
      <c r="Z1139">
        <f>IF(Y1139="","",IF(COUNTIFS(Log!$D$6:$D$1505,D1139,Log!$Y$6:$Y$1505,"&gt;"&amp;Y1139)=0,1,0))</f>
        <v/>
      </c>
      <c r="AA1139">
        <f>IF(OR(B1139="",D1139=""),"",B1139+ROW()/10000000)</f>
        <v/>
      </c>
      <c r="AB1139">
        <f>IF(AA1139="","",IF(COUNTIFS(Log!$D$6:$D$1505,D1139,Log!$AA$6:$AA$1505,"&gt;"&amp;AA1139)=0,1,0))</f>
        <v/>
      </c>
      <c r="AC1139">
        <f>IF(S1139="New best",AA1139,"")</f>
        <v/>
      </c>
      <c r="AD1139">
        <f>ROW()</f>
        <v/>
      </c>
    </row>
    <row r="1140">
      <c r="A1140" s="1" t="n"/>
      <c r="B1140" s="21" t="n"/>
      <c r="C1140" s="22" t="n"/>
      <c r="D1140" s="23" t="n"/>
      <c r="E1140" s="24" t="n"/>
      <c r="F1140" s="24" t="n"/>
      <c r="G1140" s="24" t="n"/>
      <c r="H1140" s="24" t="n"/>
      <c r="I1140" s="24" t="n"/>
      <c r="J1140" s="24" t="n"/>
      <c r="K1140" s="24" t="n"/>
      <c r="L1140" s="24" t="n"/>
      <c r="M1140" s="24" t="n"/>
      <c r="N1140" s="24" t="n"/>
      <c r="O1140" s="15">
        <f>IF(D1140="","",COUNT(F1140,H1140,J1140,L1140,N1140))</f>
        <v/>
      </c>
      <c r="P1140" s="25">
        <f>IF(D1140="","",N(E1140)*N(F1140)+N(G1140)*N(H1140)+N(I1140)*N(J1140)+N(K1140)*N(L1140)+N(M1140)*N(N1140))</f>
        <v/>
      </c>
      <c r="Q1140" s="18">
        <f>IF(N(X1140)=0,"",IF(IF(N(F1140)=0,0,IF(N(E1140)&gt;0,E1140*(1+F1140/30),F1140))=X1140,IF(N(E1140)&gt;0,E1140&amp;" x "&amp;F1140,F1140&amp;" reps"),IF(IF(N(H1140)=0,0,IF(N(G1140)&gt;0,G1140*(1+H1140/30),H1140))=X1140,IF(N(G1140)&gt;0,G1140&amp;" x "&amp;H1140,H1140&amp;" reps"),IF(IF(N(J1140)=0,0,IF(N(I1140)&gt;0,I1140*(1+J1140/30),J1140))=X1140,IF(N(I1140)&gt;0,I1140&amp;" x "&amp;J1140,J1140&amp;" reps"),IF(IF(N(L1140)=0,0,IF(N(K1140)&gt;0,K1140*(1+L1140/30),L1140))=X1140,IF(N(K1140)&gt;0,K1140&amp;" x "&amp;L1140,L1140&amp;" reps"),IF(IF(N(N1140)=0,0,IF(N(M1140)&gt;0,M1140*(1+N1140/30),N1140))=X1140,IF(N(M1140)&gt;0,M1140&amp;" x "&amp;N1140,N1140&amp;" reps"),""))))))</f>
        <v/>
      </c>
      <c r="R1140" s="20">
        <f>IF(N(X1140)=0,"",ROUND(X1140,1))</f>
        <v/>
      </c>
      <c r="S1140" s="18">
        <f>IF(N(X1140)=0,"",IF(AND(COUNTIFS(Log!$D$6:$D$1505,D1140,Log!$B$6:$B$1505,"&lt;"&amp;B1140)&gt;0,COUNTIFS(Log!$D$6:$D$1505,D1140,Log!$B$6:$B$1505,"&lt;"&amp;B1140,Log!$X$6:$X$1505,"&gt;="&amp;X1140)=0),"New best",""))</f>
        <v/>
      </c>
      <c r="T1140" s="26" t="n"/>
      <c r="U1140" s="1">
        <f>IF(D1140="","",IFERROR(INDEX(Exercises!$C$6:$C$105,MATCH(D1140,Exercises!$B$6:$B$105,0)),"Other"))</f>
        <v/>
      </c>
      <c r="V1140">
        <f>IF(B1140="","",IF(COUNTIF($B$6:B1140,B1140)=1,1,0))</f>
        <v/>
      </c>
      <c r="W1140">
        <f>IF(B1140="","",B1140-WEEKDAY(B1140,3))</f>
        <v/>
      </c>
      <c r="X1140">
        <f>IF(D1140="","",MAX(IF(N(F1140)=0,0,IF(N(E1140)&gt;0,E1140*(1+F1140/30),F1140)),IF(N(H1140)=0,0,IF(N(G1140)&gt;0,G1140*(1+H1140/30),H1140)),IF(N(J1140)=0,0,IF(N(I1140)&gt;0,I1140*(1+J1140/30),J1140)),IF(N(L1140)=0,0,IF(N(K1140)&gt;0,K1140*(1+L1140/30),L1140)),IF(N(N1140)=0,0,IF(N(M1140)&gt;0,M1140*(1+N1140/30),N1140))))</f>
        <v/>
      </c>
      <c r="Y1140">
        <f>IF(N(X1140)=0,"",X1140+ROW()/1000000000)</f>
        <v/>
      </c>
      <c r="Z1140">
        <f>IF(Y1140="","",IF(COUNTIFS(Log!$D$6:$D$1505,D1140,Log!$Y$6:$Y$1505,"&gt;"&amp;Y1140)=0,1,0))</f>
        <v/>
      </c>
      <c r="AA1140">
        <f>IF(OR(B1140="",D1140=""),"",B1140+ROW()/10000000)</f>
        <v/>
      </c>
      <c r="AB1140">
        <f>IF(AA1140="","",IF(COUNTIFS(Log!$D$6:$D$1505,D1140,Log!$AA$6:$AA$1505,"&gt;"&amp;AA1140)=0,1,0))</f>
        <v/>
      </c>
      <c r="AC1140">
        <f>IF(S1140="New best",AA1140,"")</f>
        <v/>
      </c>
      <c r="AD1140">
        <f>ROW()</f>
        <v/>
      </c>
    </row>
    <row r="1141">
      <c r="A1141" s="1" t="n"/>
      <c r="B1141" s="21" t="n"/>
      <c r="C1141" s="22" t="n"/>
      <c r="D1141" s="23" t="n"/>
      <c r="E1141" s="24" t="n"/>
      <c r="F1141" s="24" t="n"/>
      <c r="G1141" s="24" t="n"/>
      <c r="H1141" s="24" t="n"/>
      <c r="I1141" s="24" t="n"/>
      <c r="J1141" s="24" t="n"/>
      <c r="K1141" s="24" t="n"/>
      <c r="L1141" s="24" t="n"/>
      <c r="M1141" s="24" t="n"/>
      <c r="N1141" s="24" t="n"/>
      <c r="O1141" s="15">
        <f>IF(D1141="","",COUNT(F1141,H1141,J1141,L1141,N1141))</f>
        <v/>
      </c>
      <c r="P1141" s="25">
        <f>IF(D1141="","",N(E1141)*N(F1141)+N(G1141)*N(H1141)+N(I1141)*N(J1141)+N(K1141)*N(L1141)+N(M1141)*N(N1141))</f>
        <v/>
      </c>
      <c r="Q1141" s="18">
        <f>IF(N(X1141)=0,"",IF(IF(N(F1141)=0,0,IF(N(E1141)&gt;0,E1141*(1+F1141/30),F1141))=X1141,IF(N(E1141)&gt;0,E1141&amp;" x "&amp;F1141,F1141&amp;" reps"),IF(IF(N(H1141)=0,0,IF(N(G1141)&gt;0,G1141*(1+H1141/30),H1141))=X1141,IF(N(G1141)&gt;0,G1141&amp;" x "&amp;H1141,H1141&amp;" reps"),IF(IF(N(J1141)=0,0,IF(N(I1141)&gt;0,I1141*(1+J1141/30),J1141))=X1141,IF(N(I1141)&gt;0,I1141&amp;" x "&amp;J1141,J1141&amp;" reps"),IF(IF(N(L1141)=0,0,IF(N(K1141)&gt;0,K1141*(1+L1141/30),L1141))=X1141,IF(N(K1141)&gt;0,K1141&amp;" x "&amp;L1141,L1141&amp;" reps"),IF(IF(N(N1141)=0,0,IF(N(M1141)&gt;0,M1141*(1+N1141/30),N1141))=X1141,IF(N(M1141)&gt;0,M1141&amp;" x "&amp;N1141,N1141&amp;" reps"),""))))))</f>
        <v/>
      </c>
      <c r="R1141" s="20">
        <f>IF(N(X1141)=0,"",ROUND(X1141,1))</f>
        <v/>
      </c>
      <c r="S1141" s="18">
        <f>IF(N(X1141)=0,"",IF(AND(COUNTIFS(Log!$D$6:$D$1505,D1141,Log!$B$6:$B$1505,"&lt;"&amp;B1141)&gt;0,COUNTIFS(Log!$D$6:$D$1505,D1141,Log!$B$6:$B$1505,"&lt;"&amp;B1141,Log!$X$6:$X$1505,"&gt;="&amp;X1141)=0),"New best",""))</f>
        <v/>
      </c>
      <c r="T1141" s="26" t="n"/>
      <c r="U1141" s="1">
        <f>IF(D1141="","",IFERROR(INDEX(Exercises!$C$6:$C$105,MATCH(D1141,Exercises!$B$6:$B$105,0)),"Other"))</f>
        <v/>
      </c>
      <c r="V1141">
        <f>IF(B1141="","",IF(COUNTIF($B$6:B1141,B1141)=1,1,0))</f>
        <v/>
      </c>
      <c r="W1141">
        <f>IF(B1141="","",B1141-WEEKDAY(B1141,3))</f>
        <v/>
      </c>
      <c r="X1141">
        <f>IF(D1141="","",MAX(IF(N(F1141)=0,0,IF(N(E1141)&gt;0,E1141*(1+F1141/30),F1141)),IF(N(H1141)=0,0,IF(N(G1141)&gt;0,G1141*(1+H1141/30),H1141)),IF(N(J1141)=0,0,IF(N(I1141)&gt;0,I1141*(1+J1141/30),J1141)),IF(N(L1141)=0,0,IF(N(K1141)&gt;0,K1141*(1+L1141/30),L1141)),IF(N(N1141)=0,0,IF(N(M1141)&gt;0,M1141*(1+N1141/30),N1141))))</f>
        <v/>
      </c>
      <c r="Y1141">
        <f>IF(N(X1141)=0,"",X1141+ROW()/1000000000)</f>
        <v/>
      </c>
      <c r="Z1141">
        <f>IF(Y1141="","",IF(COUNTIFS(Log!$D$6:$D$1505,D1141,Log!$Y$6:$Y$1505,"&gt;"&amp;Y1141)=0,1,0))</f>
        <v/>
      </c>
      <c r="AA1141">
        <f>IF(OR(B1141="",D1141=""),"",B1141+ROW()/10000000)</f>
        <v/>
      </c>
      <c r="AB1141">
        <f>IF(AA1141="","",IF(COUNTIFS(Log!$D$6:$D$1505,D1141,Log!$AA$6:$AA$1505,"&gt;"&amp;AA1141)=0,1,0))</f>
        <v/>
      </c>
      <c r="AC1141">
        <f>IF(S1141="New best",AA1141,"")</f>
        <v/>
      </c>
      <c r="AD1141">
        <f>ROW()</f>
        <v/>
      </c>
    </row>
    <row r="1142">
      <c r="A1142" s="1" t="n"/>
      <c r="B1142" s="21" t="n"/>
      <c r="C1142" s="22" t="n"/>
      <c r="D1142" s="23" t="n"/>
      <c r="E1142" s="24" t="n"/>
      <c r="F1142" s="24" t="n"/>
      <c r="G1142" s="24" t="n"/>
      <c r="H1142" s="24" t="n"/>
      <c r="I1142" s="24" t="n"/>
      <c r="J1142" s="24" t="n"/>
      <c r="K1142" s="24" t="n"/>
      <c r="L1142" s="24" t="n"/>
      <c r="M1142" s="24" t="n"/>
      <c r="N1142" s="24" t="n"/>
      <c r="O1142" s="15">
        <f>IF(D1142="","",COUNT(F1142,H1142,J1142,L1142,N1142))</f>
        <v/>
      </c>
      <c r="P1142" s="25">
        <f>IF(D1142="","",N(E1142)*N(F1142)+N(G1142)*N(H1142)+N(I1142)*N(J1142)+N(K1142)*N(L1142)+N(M1142)*N(N1142))</f>
        <v/>
      </c>
      <c r="Q1142" s="18">
        <f>IF(N(X1142)=0,"",IF(IF(N(F1142)=0,0,IF(N(E1142)&gt;0,E1142*(1+F1142/30),F1142))=X1142,IF(N(E1142)&gt;0,E1142&amp;" x "&amp;F1142,F1142&amp;" reps"),IF(IF(N(H1142)=0,0,IF(N(G1142)&gt;0,G1142*(1+H1142/30),H1142))=X1142,IF(N(G1142)&gt;0,G1142&amp;" x "&amp;H1142,H1142&amp;" reps"),IF(IF(N(J1142)=0,0,IF(N(I1142)&gt;0,I1142*(1+J1142/30),J1142))=X1142,IF(N(I1142)&gt;0,I1142&amp;" x "&amp;J1142,J1142&amp;" reps"),IF(IF(N(L1142)=0,0,IF(N(K1142)&gt;0,K1142*(1+L1142/30),L1142))=X1142,IF(N(K1142)&gt;0,K1142&amp;" x "&amp;L1142,L1142&amp;" reps"),IF(IF(N(N1142)=0,0,IF(N(M1142)&gt;0,M1142*(1+N1142/30),N1142))=X1142,IF(N(M1142)&gt;0,M1142&amp;" x "&amp;N1142,N1142&amp;" reps"),""))))))</f>
        <v/>
      </c>
      <c r="R1142" s="20">
        <f>IF(N(X1142)=0,"",ROUND(X1142,1))</f>
        <v/>
      </c>
      <c r="S1142" s="18">
        <f>IF(N(X1142)=0,"",IF(AND(COUNTIFS(Log!$D$6:$D$1505,D1142,Log!$B$6:$B$1505,"&lt;"&amp;B1142)&gt;0,COUNTIFS(Log!$D$6:$D$1505,D1142,Log!$B$6:$B$1505,"&lt;"&amp;B1142,Log!$X$6:$X$1505,"&gt;="&amp;X1142)=0),"New best",""))</f>
        <v/>
      </c>
      <c r="T1142" s="26" t="n"/>
      <c r="U1142" s="1">
        <f>IF(D1142="","",IFERROR(INDEX(Exercises!$C$6:$C$105,MATCH(D1142,Exercises!$B$6:$B$105,0)),"Other"))</f>
        <v/>
      </c>
      <c r="V1142">
        <f>IF(B1142="","",IF(COUNTIF($B$6:B1142,B1142)=1,1,0))</f>
        <v/>
      </c>
      <c r="W1142">
        <f>IF(B1142="","",B1142-WEEKDAY(B1142,3))</f>
        <v/>
      </c>
      <c r="X1142">
        <f>IF(D1142="","",MAX(IF(N(F1142)=0,0,IF(N(E1142)&gt;0,E1142*(1+F1142/30),F1142)),IF(N(H1142)=0,0,IF(N(G1142)&gt;0,G1142*(1+H1142/30),H1142)),IF(N(J1142)=0,0,IF(N(I1142)&gt;0,I1142*(1+J1142/30),J1142)),IF(N(L1142)=0,0,IF(N(K1142)&gt;0,K1142*(1+L1142/30),L1142)),IF(N(N1142)=0,0,IF(N(M1142)&gt;0,M1142*(1+N1142/30),N1142))))</f>
        <v/>
      </c>
      <c r="Y1142">
        <f>IF(N(X1142)=0,"",X1142+ROW()/1000000000)</f>
        <v/>
      </c>
      <c r="Z1142">
        <f>IF(Y1142="","",IF(COUNTIFS(Log!$D$6:$D$1505,D1142,Log!$Y$6:$Y$1505,"&gt;"&amp;Y1142)=0,1,0))</f>
        <v/>
      </c>
      <c r="AA1142">
        <f>IF(OR(B1142="",D1142=""),"",B1142+ROW()/10000000)</f>
        <v/>
      </c>
      <c r="AB1142">
        <f>IF(AA1142="","",IF(COUNTIFS(Log!$D$6:$D$1505,D1142,Log!$AA$6:$AA$1505,"&gt;"&amp;AA1142)=0,1,0))</f>
        <v/>
      </c>
      <c r="AC1142">
        <f>IF(S1142="New best",AA1142,"")</f>
        <v/>
      </c>
      <c r="AD1142">
        <f>ROW()</f>
        <v/>
      </c>
    </row>
    <row r="1143">
      <c r="A1143" s="1" t="n"/>
      <c r="B1143" s="21" t="n"/>
      <c r="C1143" s="22" t="n"/>
      <c r="D1143" s="23" t="n"/>
      <c r="E1143" s="24" t="n"/>
      <c r="F1143" s="24" t="n"/>
      <c r="G1143" s="24" t="n"/>
      <c r="H1143" s="24" t="n"/>
      <c r="I1143" s="24" t="n"/>
      <c r="J1143" s="24" t="n"/>
      <c r="K1143" s="24" t="n"/>
      <c r="L1143" s="24" t="n"/>
      <c r="M1143" s="24" t="n"/>
      <c r="N1143" s="24" t="n"/>
      <c r="O1143" s="15">
        <f>IF(D1143="","",COUNT(F1143,H1143,J1143,L1143,N1143))</f>
        <v/>
      </c>
      <c r="P1143" s="25">
        <f>IF(D1143="","",N(E1143)*N(F1143)+N(G1143)*N(H1143)+N(I1143)*N(J1143)+N(K1143)*N(L1143)+N(M1143)*N(N1143))</f>
        <v/>
      </c>
      <c r="Q1143" s="18">
        <f>IF(N(X1143)=0,"",IF(IF(N(F1143)=0,0,IF(N(E1143)&gt;0,E1143*(1+F1143/30),F1143))=X1143,IF(N(E1143)&gt;0,E1143&amp;" x "&amp;F1143,F1143&amp;" reps"),IF(IF(N(H1143)=0,0,IF(N(G1143)&gt;0,G1143*(1+H1143/30),H1143))=X1143,IF(N(G1143)&gt;0,G1143&amp;" x "&amp;H1143,H1143&amp;" reps"),IF(IF(N(J1143)=0,0,IF(N(I1143)&gt;0,I1143*(1+J1143/30),J1143))=X1143,IF(N(I1143)&gt;0,I1143&amp;" x "&amp;J1143,J1143&amp;" reps"),IF(IF(N(L1143)=0,0,IF(N(K1143)&gt;0,K1143*(1+L1143/30),L1143))=X1143,IF(N(K1143)&gt;0,K1143&amp;" x "&amp;L1143,L1143&amp;" reps"),IF(IF(N(N1143)=0,0,IF(N(M1143)&gt;0,M1143*(1+N1143/30),N1143))=X1143,IF(N(M1143)&gt;0,M1143&amp;" x "&amp;N1143,N1143&amp;" reps"),""))))))</f>
        <v/>
      </c>
      <c r="R1143" s="20">
        <f>IF(N(X1143)=0,"",ROUND(X1143,1))</f>
        <v/>
      </c>
      <c r="S1143" s="18">
        <f>IF(N(X1143)=0,"",IF(AND(COUNTIFS(Log!$D$6:$D$1505,D1143,Log!$B$6:$B$1505,"&lt;"&amp;B1143)&gt;0,COUNTIFS(Log!$D$6:$D$1505,D1143,Log!$B$6:$B$1505,"&lt;"&amp;B1143,Log!$X$6:$X$1505,"&gt;="&amp;X1143)=0),"New best",""))</f>
        <v/>
      </c>
      <c r="T1143" s="26" t="n"/>
      <c r="U1143" s="1">
        <f>IF(D1143="","",IFERROR(INDEX(Exercises!$C$6:$C$105,MATCH(D1143,Exercises!$B$6:$B$105,0)),"Other"))</f>
        <v/>
      </c>
      <c r="V1143">
        <f>IF(B1143="","",IF(COUNTIF($B$6:B1143,B1143)=1,1,0))</f>
        <v/>
      </c>
      <c r="W1143">
        <f>IF(B1143="","",B1143-WEEKDAY(B1143,3))</f>
        <v/>
      </c>
      <c r="X1143">
        <f>IF(D1143="","",MAX(IF(N(F1143)=0,0,IF(N(E1143)&gt;0,E1143*(1+F1143/30),F1143)),IF(N(H1143)=0,0,IF(N(G1143)&gt;0,G1143*(1+H1143/30),H1143)),IF(N(J1143)=0,0,IF(N(I1143)&gt;0,I1143*(1+J1143/30),J1143)),IF(N(L1143)=0,0,IF(N(K1143)&gt;0,K1143*(1+L1143/30),L1143)),IF(N(N1143)=0,0,IF(N(M1143)&gt;0,M1143*(1+N1143/30),N1143))))</f>
        <v/>
      </c>
      <c r="Y1143">
        <f>IF(N(X1143)=0,"",X1143+ROW()/1000000000)</f>
        <v/>
      </c>
      <c r="Z1143">
        <f>IF(Y1143="","",IF(COUNTIFS(Log!$D$6:$D$1505,D1143,Log!$Y$6:$Y$1505,"&gt;"&amp;Y1143)=0,1,0))</f>
        <v/>
      </c>
      <c r="AA1143">
        <f>IF(OR(B1143="",D1143=""),"",B1143+ROW()/10000000)</f>
        <v/>
      </c>
      <c r="AB1143">
        <f>IF(AA1143="","",IF(COUNTIFS(Log!$D$6:$D$1505,D1143,Log!$AA$6:$AA$1505,"&gt;"&amp;AA1143)=0,1,0))</f>
        <v/>
      </c>
      <c r="AC1143">
        <f>IF(S1143="New best",AA1143,"")</f>
        <v/>
      </c>
      <c r="AD1143">
        <f>ROW()</f>
        <v/>
      </c>
    </row>
    <row r="1144">
      <c r="A1144" s="1" t="n"/>
      <c r="B1144" s="21" t="n"/>
      <c r="C1144" s="22" t="n"/>
      <c r="D1144" s="23" t="n"/>
      <c r="E1144" s="24" t="n"/>
      <c r="F1144" s="24" t="n"/>
      <c r="G1144" s="24" t="n"/>
      <c r="H1144" s="24" t="n"/>
      <c r="I1144" s="24" t="n"/>
      <c r="J1144" s="24" t="n"/>
      <c r="K1144" s="24" t="n"/>
      <c r="L1144" s="24" t="n"/>
      <c r="M1144" s="24" t="n"/>
      <c r="N1144" s="24" t="n"/>
      <c r="O1144" s="15">
        <f>IF(D1144="","",COUNT(F1144,H1144,J1144,L1144,N1144))</f>
        <v/>
      </c>
      <c r="P1144" s="25">
        <f>IF(D1144="","",N(E1144)*N(F1144)+N(G1144)*N(H1144)+N(I1144)*N(J1144)+N(K1144)*N(L1144)+N(M1144)*N(N1144))</f>
        <v/>
      </c>
      <c r="Q1144" s="18">
        <f>IF(N(X1144)=0,"",IF(IF(N(F1144)=0,0,IF(N(E1144)&gt;0,E1144*(1+F1144/30),F1144))=X1144,IF(N(E1144)&gt;0,E1144&amp;" x "&amp;F1144,F1144&amp;" reps"),IF(IF(N(H1144)=0,0,IF(N(G1144)&gt;0,G1144*(1+H1144/30),H1144))=X1144,IF(N(G1144)&gt;0,G1144&amp;" x "&amp;H1144,H1144&amp;" reps"),IF(IF(N(J1144)=0,0,IF(N(I1144)&gt;0,I1144*(1+J1144/30),J1144))=X1144,IF(N(I1144)&gt;0,I1144&amp;" x "&amp;J1144,J1144&amp;" reps"),IF(IF(N(L1144)=0,0,IF(N(K1144)&gt;0,K1144*(1+L1144/30),L1144))=X1144,IF(N(K1144)&gt;0,K1144&amp;" x "&amp;L1144,L1144&amp;" reps"),IF(IF(N(N1144)=0,0,IF(N(M1144)&gt;0,M1144*(1+N1144/30),N1144))=X1144,IF(N(M1144)&gt;0,M1144&amp;" x "&amp;N1144,N1144&amp;" reps"),""))))))</f>
        <v/>
      </c>
      <c r="R1144" s="20">
        <f>IF(N(X1144)=0,"",ROUND(X1144,1))</f>
        <v/>
      </c>
      <c r="S1144" s="18">
        <f>IF(N(X1144)=0,"",IF(AND(COUNTIFS(Log!$D$6:$D$1505,D1144,Log!$B$6:$B$1505,"&lt;"&amp;B1144)&gt;0,COUNTIFS(Log!$D$6:$D$1505,D1144,Log!$B$6:$B$1505,"&lt;"&amp;B1144,Log!$X$6:$X$1505,"&gt;="&amp;X1144)=0),"New best",""))</f>
        <v/>
      </c>
      <c r="T1144" s="26" t="n"/>
      <c r="U1144" s="1">
        <f>IF(D1144="","",IFERROR(INDEX(Exercises!$C$6:$C$105,MATCH(D1144,Exercises!$B$6:$B$105,0)),"Other"))</f>
        <v/>
      </c>
      <c r="V1144">
        <f>IF(B1144="","",IF(COUNTIF($B$6:B1144,B1144)=1,1,0))</f>
        <v/>
      </c>
      <c r="W1144">
        <f>IF(B1144="","",B1144-WEEKDAY(B1144,3))</f>
        <v/>
      </c>
      <c r="X1144">
        <f>IF(D1144="","",MAX(IF(N(F1144)=0,0,IF(N(E1144)&gt;0,E1144*(1+F1144/30),F1144)),IF(N(H1144)=0,0,IF(N(G1144)&gt;0,G1144*(1+H1144/30),H1144)),IF(N(J1144)=0,0,IF(N(I1144)&gt;0,I1144*(1+J1144/30),J1144)),IF(N(L1144)=0,0,IF(N(K1144)&gt;0,K1144*(1+L1144/30),L1144)),IF(N(N1144)=0,0,IF(N(M1144)&gt;0,M1144*(1+N1144/30),N1144))))</f>
        <v/>
      </c>
      <c r="Y1144">
        <f>IF(N(X1144)=0,"",X1144+ROW()/1000000000)</f>
        <v/>
      </c>
      <c r="Z1144">
        <f>IF(Y1144="","",IF(COUNTIFS(Log!$D$6:$D$1505,D1144,Log!$Y$6:$Y$1505,"&gt;"&amp;Y1144)=0,1,0))</f>
        <v/>
      </c>
      <c r="AA1144">
        <f>IF(OR(B1144="",D1144=""),"",B1144+ROW()/10000000)</f>
        <v/>
      </c>
      <c r="AB1144">
        <f>IF(AA1144="","",IF(COUNTIFS(Log!$D$6:$D$1505,D1144,Log!$AA$6:$AA$1505,"&gt;"&amp;AA1144)=0,1,0))</f>
        <v/>
      </c>
      <c r="AC1144">
        <f>IF(S1144="New best",AA1144,"")</f>
        <v/>
      </c>
      <c r="AD1144">
        <f>ROW()</f>
        <v/>
      </c>
    </row>
    <row r="1145">
      <c r="A1145" s="1" t="n"/>
      <c r="B1145" s="21" t="n"/>
      <c r="C1145" s="22" t="n"/>
      <c r="D1145" s="23" t="n"/>
      <c r="E1145" s="24" t="n"/>
      <c r="F1145" s="24" t="n"/>
      <c r="G1145" s="24" t="n"/>
      <c r="H1145" s="24" t="n"/>
      <c r="I1145" s="24" t="n"/>
      <c r="J1145" s="24" t="n"/>
      <c r="K1145" s="24" t="n"/>
      <c r="L1145" s="24" t="n"/>
      <c r="M1145" s="24" t="n"/>
      <c r="N1145" s="24" t="n"/>
      <c r="O1145" s="15">
        <f>IF(D1145="","",COUNT(F1145,H1145,J1145,L1145,N1145))</f>
        <v/>
      </c>
      <c r="P1145" s="25">
        <f>IF(D1145="","",N(E1145)*N(F1145)+N(G1145)*N(H1145)+N(I1145)*N(J1145)+N(K1145)*N(L1145)+N(M1145)*N(N1145))</f>
        <v/>
      </c>
      <c r="Q1145" s="18">
        <f>IF(N(X1145)=0,"",IF(IF(N(F1145)=0,0,IF(N(E1145)&gt;0,E1145*(1+F1145/30),F1145))=X1145,IF(N(E1145)&gt;0,E1145&amp;" x "&amp;F1145,F1145&amp;" reps"),IF(IF(N(H1145)=0,0,IF(N(G1145)&gt;0,G1145*(1+H1145/30),H1145))=X1145,IF(N(G1145)&gt;0,G1145&amp;" x "&amp;H1145,H1145&amp;" reps"),IF(IF(N(J1145)=0,0,IF(N(I1145)&gt;0,I1145*(1+J1145/30),J1145))=X1145,IF(N(I1145)&gt;0,I1145&amp;" x "&amp;J1145,J1145&amp;" reps"),IF(IF(N(L1145)=0,0,IF(N(K1145)&gt;0,K1145*(1+L1145/30),L1145))=X1145,IF(N(K1145)&gt;0,K1145&amp;" x "&amp;L1145,L1145&amp;" reps"),IF(IF(N(N1145)=0,0,IF(N(M1145)&gt;0,M1145*(1+N1145/30),N1145))=X1145,IF(N(M1145)&gt;0,M1145&amp;" x "&amp;N1145,N1145&amp;" reps"),""))))))</f>
        <v/>
      </c>
      <c r="R1145" s="20">
        <f>IF(N(X1145)=0,"",ROUND(X1145,1))</f>
        <v/>
      </c>
      <c r="S1145" s="18">
        <f>IF(N(X1145)=0,"",IF(AND(COUNTIFS(Log!$D$6:$D$1505,D1145,Log!$B$6:$B$1505,"&lt;"&amp;B1145)&gt;0,COUNTIFS(Log!$D$6:$D$1505,D1145,Log!$B$6:$B$1505,"&lt;"&amp;B1145,Log!$X$6:$X$1505,"&gt;="&amp;X1145)=0),"New best",""))</f>
        <v/>
      </c>
      <c r="T1145" s="26" t="n"/>
      <c r="U1145" s="1">
        <f>IF(D1145="","",IFERROR(INDEX(Exercises!$C$6:$C$105,MATCH(D1145,Exercises!$B$6:$B$105,0)),"Other"))</f>
        <v/>
      </c>
      <c r="V1145">
        <f>IF(B1145="","",IF(COUNTIF($B$6:B1145,B1145)=1,1,0))</f>
        <v/>
      </c>
      <c r="W1145">
        <f>IF(B1145="","",B1145-WEEKDAY(B1145,3))</f>
        <v/>
      </c>
      <c r="X1145">
        <f>IF(D1145="","",MAX(IF(N(F1145)=0,0,IF(N(E1145)&gt;0,E1145*(1+F1145/30),F1145)),IF(N(H1145)=0,0,IF(N(G1145)&gt;0,G1145*(1+H1145/30),H1145)),IF(N(J1145)=0,0,IF(N(I1145)&gt;0,I1145*(1+J1145/30),J1145)),IF(N(L1145)=0,0,IF(N(K1145)&gt;0,K1145*(1+L1145/30),L1145)),IF(N(N1145)=0,0,IF(N(M1145)&gt;0,M1145*(1+N1145/30),N1145))))</f>
        <v/>
      </c>
      <c r="Y1145">
        <f>IF(N(X1145)=0,"",X1145+ROW()/1000000000)</f>
        <v/>
      </c>
      <c r="Z1145">
        <f>IF(Y1145="","",IF(COUNTIFS(Log!$D$6:$D$1505,D1145,Log!$Y$6:$Y$1505,"&gt;"&amp;Y1145)=0,1,0))</f>
        <v/>
      </c>
      <c r="AA1145">
        <f>IF(OR(B1145="",D1145=""),"",B1145+ROW()/10000000)</f>
        <v/>
      </c>
      <c r="AB1145">
        <f>IF(AA1145="","",IF(COUNTIFS(Log!$D$6:$D$1505,D1145,Log!$AA$6:$AA$1505,"&gt;"&amp;AA1145)=0,1,0))</f>
        <v/>
      </c>
      <c r="AC1145">
        <f>IF(S1145="New best",AA1145,"")</f>
        <v/>
      </c>
      <c r="AD1145">
        <f>ROW()</f>
        <v/>
      </c>
    </row>
    <row r="1146">
      <c r="A1146" s="1" t="n"/>
      <c r="B1146" s="21" t="n"/>
      <c r="C1146" s="22" t="n"/>
      <c r="D1146" s="23" t="n"/>
      <c r="E1146" s="24" t="n"/>
      <c r="F1146" s="24" t="n"/>
      <c r="G1146" s="24" t="n"/>
      <c r="H1146" s="24" t="n"/>
      <c r="I1146" s="24" t="n"/>
      <c r="J1146" s="24" t="n"/>
      <c r="K1146" s="24" t="n"/>
      <c r="L1146" s="24" t="n"/>
      <c r="M1146" s="24" t="n"/>
      <c r="N1146" s="24" t="n"/>
      <c r="O1146" s="15">
        <f>IF(D1146="","",COUNT(F1146,H1146,J1146,L1146,N1146))</f>
        <v/>
      </c>
      <c r="P1146" s="25">
        <f>IF(D1146="","",N(E1146)*N(F1146)+N(G1146)*N(H1146)+N(I1146)*N(J1146)+N(K1146)*N(L1146)+N(M1146)*N(N1146))</f>
        <v/>
      </c>
      <c r="Q1146" s="18">
        <f>IF(N(X1146)=0,"",IF(IF(N(F1146)=0,0,IF(N(E1146)&gt;0,E1146*(1+F1146/30),F1146))=X1146,IF(N(E1146)&gt;0,E1146&amp;" x "&amp;F1146,F1146&amp;" reps"),IF(IF(N(H1146)=0,0,IF(N(G1146)&gt;0,G1146*(1+H1146/30),H1146))=X1146,IF(N(G1146)&gt;0,G1146&amp;" x "&amp;H1146,H1146&amp;" reps"),IF(IF(N(J1146)=0,0,IF(N(I1146)&gt;0,I1146*(1+J1146/30),J1146))=X1146,IF(N(I1146)&gt;0,I1146&amp;" x "&amp;J1146,J1146&amp;" reps"),IF(IF(N(L1146)=0,0,IF(N(K1146)&gt;0,K1146*(1+L1146/30),L1146))=X1146,IF(N(K1146)&gt;0,K1146&amp;" x "&amp;L1146,L1146&amp;" reps"),IF(IF(N(N1146)=0,0,IF(N(M1146)&gt;0,M1146*(1+N1146/30),N1146))=X1146,IF(N(M1146)&gt;0,M1146&amp;" x "&amp;N1146,N1146&amp;" reps"),""))))))</f>
        <v/>
      </c>
      <c r="R1146" s="20">
        <f>IF(N(X1146)=0,"",ROUND(X1146,1))</f>
        <v/>
      </c>
      <c r="S1146" s="18">
        <f>IF(N(X1146)=0,"",IF(AND(COUNTIFS(Log!$D$6:$D$1505,D1146,Log!$B$6:$B$1505,"&lt;"&amp;B1146)&gt;0,COUNTIFS(Log!$D$6:$D$1505,D1146,Log!$B$6:$B$1505,"&lt;"&amp;B1146,Log!$X$6:$X$1505,"&gt;="&amp;X1146)=0),"New best",""))</f>
        <v/>
      </c>
      <c r="T1146" s="26" t="n"/>
      <c r="U1146" s="1">
        <f>IF(D1146="","",IFERROR(INDEX(Exercises!$C$6:$C$105,MATCH(D1146,Exercises!$B$6:$B$105,0)),"Other"))</f>
        <v/>
      </c>
      <c r="V1146">
        <f>IF(B1146="","",IF(COUNTIF($B$6:B1146,B1146)=1,1,0))</f>
        <v/>
      </c>
      <c r="W1146">
        <f>IF(B1146="","",B1146-WEEKDAY(B1146,3))</f>
        <v/>
      </c>
      <c r="X1146">
        <f>IF(D1146="","",MAX(IF(N(F1146)=0,0,IF(N(E1146)&gt;0,E1146*(1+F1146/30),F1146)),IF(N(H1146)=0,0,IF(N(G1146)&gt;0,G1146*(1+H1146/30),H1146)),IF(N(J1146)=0,0,IF(N(I1146)&gt;0,I1146*(1+J1146/30),J1146)),IF(N(L1146)=0,0,IF(N(K1146)&gt;0,K1146*(1+L1146/30),L1146)),IF(N(N1146)=0,0,IF(N(M1146)&gt;0,M1146*(1+N1146/30),N1146))))</f>
        <v/>
      </c>
      <c r="Y1146">
        <f>IF(N(X1146)=0,"",X1146+ROW()/1000000000)</f>
        <v/>
      </c>
      <c r="Z1146">
        <f>IF(Y1146="","",IF(COUNTIFS(Log!$D$6:$D$1505,D1146,Log!$Y$6:$Y$1505,"&gt;"&amp;Y1146)=0,1,0))</f>
        <v/>
      </c>
      <c r="AA1146">
        <f>IF(OR(B1146="",D1146=""),"",B1146+ROW()/10000000)</f>
        <v/>
      </c>
      <c r="AB1146">
        <f>IF(AA1146="","",IF(COUNTIFS(Log!$D$6:$D$1505,D1146,Log!$AA$6:$AA$1505,"&gt;"&amp;AA1146)=0,1,0))</f>
        <v/>
      </c>
      <c r="AC1146">
        <f>IF(S1146="New best",AA1146,"")</f>
        <v/>
      </c>
      <c r="AD1146">
        <f>ROW()</f>
        <v/>
      </c>
    </row>
    <row r="1147">
      <c r="A1147" s="1" t="n"/>
      <c r="B1147" s="21" t="n"/>
      <c r="C1147" s="22" t="n"/>
      <c r="D1147" s="23" t="n"/>
      <c r="E1147" s="24" t="n"/>
      <c r="F1147" s="24" t="n"/>
      <c r="G1147" s="24" t="n"/>
      <c r="H1147" s="24" t="n"/>
      <c r="I1147" s="24" t="n"/>
      <c r="J1147" s="24" t="n"/>
      <c r="K1147" s="24" t="n"/>
      <c r="L1147" s="24" t="n"/>
      <c r="M1147" s="24" t="n"/>
      <c r="N1147" s="24" t="n"/>
      <c r="O1147" s="15">
        <f>IF(D1147="","",COUNT(F1147,H1147,J1147,L1147,N1147))</f>
        <v/>
      </c>
      <c r="P1147" s="25">
        <f>IF(D1147="","",N(E1147)*N(F1147)+N(G1147)*N(H1147)+N(I1147)*N(J1147)+N(K1147)*N(L1147)+N(M1147)*N(N1147))</f>
        <v/>
      </c>
      <c r="Q1147" s="18">
        <f>IF(N(X1147)=0,"",IF(IF(N(F1147)=0,0,IF(N(E1147)&gt;0,E1147*(1+F1147/30),F1147))=X1147,IF(N(E1147)&gt;0,E1147&amp;" x "&amp;F1147,F1147&amp;" reps"),IF(IF(N(H1147)=0,0,IF(N(G1147)&gt;0,G1147*(1+H1147/30),H1147))=X1147,IF(N(G1147)&gt;0,G1147&amp;" x "&amp;H1147,H1147&amp;" reps"),IF(IF(N(J1147)=0,0,IF(N(I1147)&gt;0,I1147*(1+J1147/30),J1147))=X1147,IF(N(I1147)&gt;0,I1147&amp;" x "&amp;J1147,J1147&amp;" reps"),IF(IF(N(L1147)=0,0,IF(N(K1147)&gt;0,K1147*(1+L1147/30),L1147))=X1147,IF(N(K1147)&gt;0,K1147&amp;" x "&amp;L1147,L1147&amp;" reps"),IF(IF(N(N1147)=0,0,IF(N(M1147)&gt;0,M1147*(1+N1147/30),N1147))=X1147,IF(N(M1147)&gt;0,M1147&amp;" x "&amp;N1147,N1147&amp;" reps"),""))))))</f>
        <v/>
      </c>
      <c r="R1147" s="20">
        <f>IF(N(X1147)=0,"",ROUND(X1147,1))</f>
        <v/>
      </c>
      <c r="S1147" s="18">
        <f>IF(N(X1147)=0,"",IF(AND(COUNTIFS(Log!$D$6:$D$1505,D1147,Log!$B$6:$B$1505,"&lt;"&amp;B1147)&gt;0,COUNTIFS(Log!$D$6:$D$1505,D1147,Log!$B$6:$B$1505,"&lt;"&amp;B1147,Log!$X$6:$X$1505,"&gt;="&amp;X1147)=0),"New best",""))</f>
        <v/>
      </c>
      <c r="T1147" s="26" t="n"/>
      <c r="U1147" s="1">
        <f>IF(D1147="","",IFERROR(INDEX(Exercises!$C$6:$C$105,MATCH(D1147,Exercises!$B$6:$B$105,0)),"Other"))</f>
        <v/>
      </c>
      <c r="V1147">
        <f>IF(B1147="","",IF(COUNTIF($B$6:B1147,B1147)=1,1,0))</f>
        <v/>
      </c>
      <c r="W1147">
        <f>IF(B1147="","",B1147-WEEKDAY(B1147,3))</f>
        <v/>
      </c>
      <c r="X1147">
        <f>IF(D1147="","",MAX(IF(N(F1147)=0,0,IF(N(E1147)&gt;0,E1147*(1+F1147/30),F1147)),IF(N(H1147)=0,0,IF(N(G1147)&gt;0,G1147*(1+H1147/30),H1147)),IF(N(J1147)=0,0,IF(N(I1147)&gt;0,I1147*(1+J1147/30),J1147)),IF(N(L1147)=0,0,IF(N(K1147)&gt;0,K1147*(1+L1147/30),L1147)),IF(N(N1147)=0,0,IF(N(M1147)&gt;0,M1147*(1+N1147/30),N1147))))</f>
        <v/>
      </c>
      <c r="Y1147">
        <f>IF(N(X1147)=0,"",X1147+ROW()/1000000000)</f>
        <v/>
      </c>
      <c r="Z1147">
        <f>IF(Y1147="","",IF(COUNTIFS(Log!$D$6:$D$1505,D1147,Log!$Y$6:$Y$1505,"&gt;"&amp;Y1147)=0,1,0))</f>
        <v/>
      </c>
      <c r="AA1147">
        <f>IF(OR(B1147="",D1147=""),"",B1147+ROW()/10000000)</f>
        <v/>
      </c>
      <c r="AB1147">
        <f>IF(AA1147="","",IF(COUNTIFS(Log!$D$6:$D$1505,D1147,Log!$AA$6:$AA$1505,"&gt;"&amp;AA1147)=0,1,0))</f>
        <v/>
      </c>
      <c r="AC1147">
        <f>IF(S1147="New best",AA1147,"")</f>
        <v/>
      </c>
      <c r="AD1147">
        <f>ROW()</f>
        <v/>
      </c>
    </row>
    <row r="1148">
      <c r="A1148" s="1" t="n"/>
      <c r="B1148" s="21" t="n"/>
      <c r="C1148" s="22" t="n"/>
      <c r="D1148" s="23" t="n"/>
      <c r="E1148" s="24" t="n"/>
      <c r="F1148" s="24" t="n"/>
      <c r="G1148" s="24" t="n"/>
      <c r="H1148" s="24" t="n"/>
      <c r="I1148" s="24" t="n"/>
      <c r="J1148" s="24" t="n"/>
      <c r="K1148" s="24" t="n"/>
      <c r="L1148" s="24" t="n"/>
      <c r="M1148" s="24" t="n"/>
      <c r="N1148" s="24" t="n"/>
      <c r="O1148" s="15">
        <f>IF(D1148="","",COUNT(F1148,H1148,J1148,L1148,N1148))</f>
        <v/>
      </c>
      <c r="P1148" s="25">
        <f>IF(D1148="","",N(E1148)*N(F1148)+N(G1148)*N(H1148)+N(I1148)*N(J1148)+N(K1148)*N(L1148)+N(M1148)*N(N1148))</f>
        <v/>
      </c>
      <c r="Q1148" s="18">
        <f>IF(N(X1148)=0,"",IF(IF(N(F1148)=0,0,IF(N(E1148)&gt;0,E1148*(1+F1148/30),F1148))=X1148,IF(N(E1148)&gt;0,E1148&amp;" x "&amp;F1148,F1148&amp;" reps"),IF(IF(N(H1148)=0,0,IF(N(G1148)&gt;0,G1148*(1+H1148/30),H1148))=X1148,IF(N(G1148)&gt;0,G1148&amp;" x "&amp;H1148,H1148&amp;" reps"),IF(IF(N(J1148)=0,0,IF(N(I1148)&gt;0,I1148*(1+J1148/30),J1148))=X1148,IF(N(I1148)&gt;0,I1148&amp;" x "&amp;J1148,J1148&amp;" reps"),IF(IF(N(L1148)=0,0,IF(N(K1148)&gt;0,K1148*(1+L1148/30),L1148))=X1148,IF(N(K1148)&gt;0,K1148&amp;" x "&amp;L1148,L1148&amp;" reps"),IF(IF(N(N1148)=0,0,IF(N(M1148)&gt;0,M1148*(1+N1148/30),N1148))=X1148,IF(N(M1148)&gt;0,M1148&amp;" x "&amp;N1148,N1148&amp;" reps"),""))))))</f>
        <v/>
      </c>
      <c r="R1148" s="20">
        <f>IF(N(X1148)=0,"",ROUND(X1148,1))</f>
        <v/>
      </c>
      <c r="S1148" s="18">
        <f>IF(N(X1148)=0,"",IF(AND(COUNTIFS(Log!$D$6:$D$1505,D1148,Log!$B$6:$B$1505,"&lt;"&amp;B1148)&gt;0,COUNTIFS(Log!$D$6:$D$1505,D1148,Log!$B$6:$B$1505,"&lt;"&amp;B1148,Log!$X$6:$X$1505,"&gt;="&amp;X1148)=0),"New best",""))</f>
        <v/>
      </c>
      <c r="T1148" s="26" t="n"/>
      <c r="U1148" s="1">
        <f>IF(D1148="","",IFERROR(INDEX(Exercises!$C$6:$C$105,MATCH(D1148,Exercises!$B$6:$B$105,0)),"Other"))</f>
        <v/>
      </c>
      <c r="V1148">
        <f>IF(B1148="","",IF(COUNTIF($B$6:B1148,B1148)=1,1,0))</f>
        <v/>
      </c>
      <c r="W1148">
        <f>IF(B1148="","",B1148-WEEKDAY(B1148,3))</f>
        <v/>
      </c>
      <c r="X1148">
        <f>IF(D1148="","",MAX(IF(N(F1148)=0,0,IF(N(E1148)&gt;0,E1148*(1+F1148/30),F1148)),IF(N(H1148)=0,0,IF(N(G1148)&gt;0,G1148*(1+H1148/30),H1148)),IF(N(J1148)=0,0,IF(N(I1148)&gt;0,I1148*(1+J1148/30),J1148)),IF(N(L1148)=0,0,IF(N(K1148)&gt;0,K1148*(1+L1148/30),L1148)),IF(N(N1148)=0,0,IF(N(M1148)&gt;0,M1148*(1+N1148/30),N1148))))</f>
        <v/>
      </c>
      <c r="Y1148">
        <f>IF(N(X1148)=0,"",X1148+ROW()/1000000000)</f>
        <v/>
      </c>
      <c r="Z1148">
        <f>IF(Y1148="","",IF(COUNTIFS(Log!$D$6:$D$1505,D1148,Log!$Y$6:$Y$1505,"&gt;"&amp;Y1148)=0,1,0))</f>
        <v/>
      </c>
      <c r="AA1148">
        <f>IF(OR(B1148="",D1148=""),"",B1148+ROW()/10000000)</f>
        <v/>
      </c>
      <c r="AB1148">
        <f>IF(AA1148="","",IF(COUNTIFS(Log!$D$6:$D$1505,D1148,Log!$AA$6:$AA$1505,"&gt;"&amp;AA1148)=0,1,0))</f>
        <v/>
      </c>
      <c r="AC1148">
        <f>IF(S1148="New best",AA1148,"")</f>
        <v/>
      </c>
      <c r="AD1148">
        <f>ROW()</f>
        <v/>
      </c>
    </row>
    <row r="1149">
      <c r="A1149" s="1" t="n"/>
      <c r="B1149" s="21" t="n"/>
      <c r="C1149" s="22" t="n"/>
      <c r="D1149" s="23" t="n"/>
      <c r="E1149" s="24" t="n"/>
      <c r="F1149" s="24" t="n"/>
      <c r="G1149" s="24" t="n"/>
      <c r="H1149" s="24" t="n"/>
      <c r="I1149" s="24" t="n"/>
      <c r="J1149" s="24" t="n"/>
      <c r="K1149" s="24" t="n"/>
      <c r="L1149" s="24" t="n"/>
      <c r="M1149" s="24" t="n"/>
      <c r="N1149" s="24" t="n"/>
      <c r="O1149" s="15">
        <f>IF(D1149="","",COUNT(F1149,H1149,J1149,L1149,N1149))</f>
        <v/>
      </c>
      <c r="P1149" s="25">
        <f>IF(D1149="","",N(E1149)*N(F1149)+N(G1149)*N(H1149)+N(I1149)*N(J1149)+N(K1149)*N(L1149)+N(M1149)*N(N1149))</f>
        <v/>
      </c>
      <c r="Q1149" s="18">
        <f>IF(N(X1149)=0,"",IF(IF(N(F1149)=0,0,IF(N(E1149)&gt;0,E1149*(1+F1149/30),F1149))=X1149,IF(N(E1149)&gt;0,E1149&amp;" x "&amp;F1149,F1149&amp;" reps"),IF(IF(N(H1149)=0,0,IF(N(G1149)&gt;0,G1149*(1+H1149/30),H1149))=X1149,IF(N(G1149)&gt;0,G1149&amp;" x "&amp;H1149,H1149&amp;" reps"),IF(IF(N(J1149)=0,0,IF(N(I1149)&gt;0,I1149*(1+J1149/30),J1149))=X1149,IF(N(I1149)&gt;0,I1149&amp;" x "&amp;J1149,J1149&amp;" reps"),IF(IF(N(L1149)=0,0,IF(N(K1149)&gt;0,K1149*(1+L1149/30),L1149))=X1149,IF(N(K1149)&gt;0,K1149&amp;" x "&amp;L1149,L1149&amp;" reps"),IF(IF(N(N1149)=0,0,IF(N(M1149)&gt;0,M1149*(1+N1149/30),N1149))=X1149,IF(N(M1149)&gt;0,M1149&amp;" x "&amp;N1149,N1149&amp;" reps"),""))))))</f>
        <v/>
      </c>
      <c r="R1149" s="20">
        <f>IF(N(X1149)=0,"",ROUND(X1149,1))</f>
        <v/>
      </c>
      <c r="S1149" s="18">
        <f>IF(N(X1149)=0,"",IF(AND(COUNTIFS(Log!$D$6:$D$1505,D1149,Log!$B$6:$B$1505,"&lt;"&amp;B1149)&gt;0,COUNTIFS(Log!$D$6:$D$1505,D1149,Log!$B$6:$B$1505,"&lt;"&amp;B1149,Log!$X$6:$X$1505,"&gt;="&amp;X1149)=0),"New best",""))</f>
        <v/>
      </c>
      <c r="T1149" s="26" t="n"/>
      <c r="U1149" s="1">
        <f>IF(D1149="","",IFERROR(INDEX(Exercises!$C$6:$C$105,MATCH(D1149,Exercises!$B$6:$B$105,0)),"Other"))</f>
        <v/>
      </c>
      <c r="V1149">
        <f>IF(B1149="","",IF(COUNTIF($B$6:B1149,B1149)=1,1,0))</f>
        <v/>
      </c>
      <c r="W1149">
        <f>IF(B1149="","",B1149-WEEKDAY(B1149,3))</f>
        <v/>
      </c>
      <c r="X1149">
        <f>IF(D1149="","",MAX(IF(N(F1149)=0,0,IF(N(E1149)&gt;0,E1149*(1+F1149/30),F1149)),IF(N(H1149)=0,0,IF(N(G1149)&gt;0,G1149*(1+H1149/30),H1149)),IF(N(J1149)=0,0,IF(N(I1149)&gt;0,I1149*(1+J1149/30),J1149)),IF(N(L1149)=0,0,IF(N(K1149)&gt;0,K1149*(1+L1149/30),L1149)),IF(N(N1149)=0,0,IF(N(M1149)&gt;0,M1149*(1+N1149/30),N1149))))</f>
        <v/>
      </c>
      <c r="Y1149">
        <f>IF(N(X1149)=0,"",X1149+ROW()/1000000000)</f>
        <v/>
      </c>
      <c r="Z1149">
        <f>IF(Y1149="","",IF(COUNTIFS(Log!$D$6:$D$1505,D1149,Log!$Y$6:$Y$1505,"&gt;"&amp;Y1149)=0,1,0))</f>
        <v/>
      </c>
      <c r="AA1149">
        <f>IF(OR(B1149="",D1149=""),"",B1149+ROW()/10000000)</f>
        <v/>
      </c>
      <c r="AB1149">
        <f>IF(AA1149="","",IF(COUNTIFS(Log!$D$6:$D$1505,D1149,Log!$AA$6:$AA$1505,"&gt;"&amp;AA1149)=0,1,0))</f>
        <v/>
      </c>
      <c r="AC1149">
        <f>IF(S1149="New best",AA1149,"")</f>
        <v/>
      </c>
      <c r="AD1149">
        <f>ROW()</f>
        <v/>
      </c>
    </row>
    <row r="1150">
      <c r="A1150" s="1" t="n"/>
      <c r="B1150" s="21" t="n"/>
      <c r="C1150" s="22" t="n"/>
      <c r="D1150" s="23" t="n"/>
      <c r="E1150" s="24" t="n"/>
      <c r="F1150" s="24" t="n"/>
      <c r="G1150" s="24" t="n"/>
      <c r="H1150" s="24" t="n"/>
      <c r="I1150" s="24" t="n"/>
      <c r="J1150" s="24" t="n"/>
      <c r="K1150" s="24" t="n"/>
      <c r="L1150" s="24" t="n"/>
      <c r="M1150" s="24" t="n"/>
      <c r="N1150" s="24" t="n"/>
      <c r="O1150" s="15">
        <f>IF(D1150="","",COUNT(F1150,H1150,J1150,L1150,N1150))</f>
        <v/>
      </c>
      <c r="P1150" s="25">
        <f>IF(D1150="","",N(E1150)*N(F1150)+N(G1150)*N(H1150)+N(I1150)*N(J1150)+N(K1150)*N(L1150)+N(M1150)*N(N1150))</f>
        <v/>
      </c>
      <c r="Q1150" s="18">
        <f>IF(N(X1150)=0,"",IF(IF(N(F1150)=0,0,IF(N(E1150)&gt;0,E1150*(1+F1150/30),F1150))=X1150,IF(N(E1150)&gt;0,E1150&amp;" x "&amp;F1150,F1150&amp;" reps"),IF(IF(N(H1150)=0,0,IF(N(G1150)&gt;0,G1150*(1+H1150/30),H1150))=X1150,IF(N(G1150)&gt;0,G1150&amp;" x "&amp;H1150,H1150&amp;" reps"),IF(IF(N(J1150)=0,0,IF(N(I1150)&gt;0,I1150*(1+J1150/30),J1150))=X1150,IF(N(I1150)&gt;0,I1150&amp;" x "&amp;J1150,J1150&amp;" reps"),IF(IF(N(L1150)=0,0,IF(N(K1150)&gt;0,K1150*(1+L1150/30),L1150))=X1150,IF(N(K1150)&gt;0,K1150&amp;" x "&amp;L1150,L1150&amp;" reps"),IF(IF(N(N1150)=0,0,IF(N(M1150)&gt;0,M1150*(1+N1150/30),N1150))=X1150,IF(N(M1150)&gt;0,M1150&amp;" x "&amp;N1150,N1150&amp;" reps"),""))))))</f>
        <v/>
      </c>
      <c r="R1150" s="20">
        <f>IF(N(X1150)=0,"",ROUND(X1150,1))</f>
        <v/>
      </c>
      <c r="S1150" s="18">
        <f>IF(N(X1150)=0,"",IF(AND(COUNTIFS(Log!$D$6:$D$1505,D1150,Log!$B$6:$B$1505,"&lt;"&amp;B1150)&gt;0,COUNTIFS(Log!$D$6:$D$1505,D1150,Log!$B$6:$B$1505,"&lt;"&amp;B1150,Log!$X$6:$X$1505,"&gt;="&amp;X1150)=0),"New best",""))</f>
        <v/>
      </c>
      <c r="T1150" s="26" t="n"/>
      <c r="U1150" s="1">
        <f>IF(D1150="","",IFERROR(INDEX(Exercises!$C$6:$C$105,MATCH(D1150,Exercises!$B$6:$B$105,0)),"Other"))</f>
        <v/>
      </c>
      <c r="V1150">
        <f>IF(B1150="","",IF(COUNTIF($B$6:B1150,B1150)=1,1,0))</f>
        <v/>
      </c>
      <c r="W1150">
        <f>IF(B1150="","",B1150-WEEKDAY(B1150,3))</f>
        <v/>
      </c>
      <c r="X1150">
        <f>IF(D1150="","",MAX(IF(N(F1150)=0,0,IF(N(E1150)&gt;0,E1150*(1+F1150/30),F1150)),IF(N(H1150)=0,0,IF(N(G1150)&gt;0,G1150*(1+H1150/30),H1150)),IF(N(J1150)=0,0,IF(N(I1150)&gt;0,I1150*(1+J1150/30),J1150)),IF(N(L1150)=0,0,IF(N(K1150)&gt;0,K1150*(1+L1150/30),L1150)),IF(N(N1150)=0,0,IF(N(M1150)&gt;0,M1150*(1+N1150/30),N1150))))</f>
        <v/>
      </c>
      <c r="Y1150">
        <f>IF(N(X1150)=0,"",X1150+ROW()/1000000000)</f>
        <v/>
      </c>
      <c r="Z1150">
        <f>IF(Y1150="","",IF(COUNTIFS(Log!$D$6:$D$1505,D1150,Log!$Y$6:$Y$1505,"&gt;"&amp;Y1150)=0,1,0))</f>
        <v/>
      </c>
      <c r="AA1150">
        <f>IF(OR(B1150="",D1150=""),"",B1150+ROW()/10000000)</f>
        <v/>
      </c>
      <c r="AB1150">
        <f>IF(AA1150="","",IF(COUNTIFS(Log!$D$6:$D$1505,D1150,Log!$AA$6:$AA$1505,"&gt;"&amp;AA1150)=0,1,0))</f>
        <v/>
      </c>
      <c r="AC1150">
        <f>IF(S1150="New best",AA1150,"")</f>
        <v/>
      </c>
      <c r="AD1150">
        <f>ROW()</f>
        <v/>
      </c>
    </row>
    <row r="1151">
      <c r="A1151" s="1" t="n"/>
      <c r="B1151" s="21" t="n"/>
      <c r="C1151" s="22" t="n"/>
      <c r="D1151" s="23" t="n"/>
      <c r="E1151" s="24" t="n"/>
      <c r="F1151" s="24" t="n"/>
      <c r="G1151" s="24" t="n"/>
      <c r="H1151" s="24" t="n"/>
      <c r="I1151" s="24" t="n"/>
      <c r="J1151" s="24" t="n"/>
      <c r="K1151" s="24" t="n"/>
      <c r="L1151" s="24" t="n"/>
      <c r="M1151" s="24" t="n"/>
      <c r="N1151" s="24" t="n"/>
      <c r="O1151" s="15">
        <f>IF(D1151="","",COUNT(F1151,H1151,J1151,L1151,N1151))</f>
        <v/>
      </c>
      <c r="P1151" s="25">
        <f>IF(D1151="","",N(E1151)*N(F1151)+N(G1151)*N(H1151)+N(I1151)*N(J1151)+N(K1151)*N(L1151)+N(M1151)*N(N1151))</f>
        <v/>
      </c>
      <c r="Q1151" s="18">
        <f>IF(N(X1151)=0,"",IF(IF(N(F1151)=0,0,IF(N(E1151)&gt;0,E1151*(1+F1151/30),F1151))=X1151,IF(N(E1151)&gt;0,E1151&amp;" x "&amp;F1151,F1151&amp;" reps"),IF(IF(N(H1151)=0,0,IF(N(G1151)&gt;0,G1151*(1+H1151/30),H1151))=X1151,IF(N(G1151)&gt;0,G1151&amp;" x "&amp;H1151,H1151&amp;" reps"),IF(IF(N(J1151)=0,0,IF(N(I1151)&gt;0,I1151*(1+J1151/30),J1151))=X1151,IF(N(I1151)&gt;0,I1151&amp;" x "&amp;J1151,J1151&amp;" reps"),IF(IF(N(L1151)=0,0,IF(N(K1151)&gt;0,K1151*(1+L1151/30),L1151))=X1151,IF(N(K1151)&gt;0,K1151&amp;" x "&amp;L1151,L1151&amp;" reps"),IF(IF(N(N1151)=0,0,IF(N(M1151)&gt;0,M1151*(1+N1151/30),N1151))=X1151,IF(N(M1151)&gt;0,M1151&amp;" x "&amp;N1151,N1151&amp;" reps"),""))))))</f>
        <v/>
      </c>
      <c r="R1151" s="20">
        <f>IF(N(X1151)=0,"",ROUND(X1151,1))</f>
        <v/>
      </c>
      <c r="S1151" s="18">
        <f>IF(N(X1151)=0,"",IF(AND(COUNTIFS(Log!$D$6:$D$1505,D1151,Log!$B$6:$B$1505,"&lt;"&amp;B1151)&gt;0,COUNTIFS(Log!$D$6:$D$1505,D1151,Log!$B$6:$B$1505,"&lt;"&amp;B1151,Log!$X$6:$X$1505,"&gt;="&amp;X1151)=0),"New best",""))</f>
        <v/>
      </c>
      <c r="T1151" s="26" t="n"/>
      <c r="U1151" s="1">
        <f>IF(D1151="","",IFERROR(INDEX(Exercises!$C$6:$C$105,MATCH(D1151,Exercises!$B$6:$B$105,0)),"Other"))</f>
        <v/>
      </c>
      <c r="V1151">
        <f>IF(B1151="","",IF(COUNTIF($B$6:B1151,B1151)=1,1,0))</f>
        <v/>
      </c>
      <c r="W1151">
        <f>IF(B1151="","",B1151-WEEKDAY(B1151,3))</f>
        <v/>
      </c>
      <c r="X1151">
        <f>IF(D1151="","",MAX(IF(N(F1151)=0,0,IF(N(E1151)&gt;0,E1151*(1+F1151/30),F1151)),IF(N(H1151)=0,0,IF(N(G1151)&gt;0,G1151*(1+H1151/30),H1151)),IF(N(J1151)=0,0,IF(N(I1151)&gt;0,I1151*(1+J1151/30),J1151)),IF(N(L1151)=0,0,IF(N(K1151)&gt;0,K1151*(1+L1151/30),L1151)),IF(N(N1151)=0,0,IF(N(M1151)&gt;0,M1151*(1+N1151/30),N1151))))</f>
        <v/>
      </c>
      <c r="Y1151">
        <f>IF(N(X1151)=0,"",X1151+ROW()/1000000000)</f>
        <v/>
      </c>
      <c r="Z1151">
        <f>IF(Y1151="","",IF(COUNTIFS(Log!$D$6:$D$1505,D1151,Log!$Y$6:$Y$1505,"&gt;"&amp;Y1151)=0,1,0))</f>
        <v/>
      </c>
      <c r="AA1151">
        <f>IF(OR(B1151="",D1151=""),"",B1151+ROW()/10000000)</f>
        <v/>
      </c>
      <c r="AB1151">
        <f>IF(AA1151="","",IF(COUNTIFS(Log!$D$6:$D$1505,D1151,Log!$AA$6:$AA$1505,"&gt;"&amp;AA1151)=0,1,0))</f>
        <v/>
      </c>
      <c r="AC1151">
        <f>IF(S1151="New best",AA1151,"")</f>
        <v/>
      </c>
      <c r="AD1151">
        <f>ROW()</f>
        <v/>
      </c>
    </row>
    <row r="1152">
      <c r="A1152" s="1" t="n"/>
      <c r="B1152" s="21" t="n"/>
      <c r="C1152" s="22" t="n"/>
      <c r="D1152" s="23" t="n"/>
      <c r="E1152" s="24" t="n"/>
      <c r="F1152" s="24" t="n"/>
      <c r="G1152" s="24" t="n"/>
      <c r="H1152" s="24" t="n"/>
      <c r="I1152" s="24" t="n"/>
      <c r="J1152" s="24" t="n"/>
      <c r="K1152" s="24" t="n"/>
      <c r="L1152" s="24" t="n"/>
      <c r="M1152" s="24" t="n"/>
      <c r="N1152" s="24" t="n"/>
      <c r="O1152" s="15">
        <f>IF(D1152="","",COUNT(F1152,H1152,J1152,L1152,N1152))</f>
        <v/>
      </c>
      <c r="P1152" s="25">
        <f>IF(D1152="","",N(E1152)*N(F1152)+N(G1152)*N(H1152)+N(I1152)*N(J1152)+N(K1152)*N(L1152)+N(M1152)*N(N1152))</f>
        <v/>
      </c>
      <c r="Q1152" s="18">
        <f>IF(N(X1152)=0,"",IF(IF(N(F1152)=0,0,IF(N(E1152)&gt;0,E1152*(1+F1152/30),F1152))=X1152,IF(N(E1152)&gt;0,E1152&amp;" x "&amp;F1152,F1152&amp;" reps"),IF(IF(N(H1152)=0,0,IF(N(G1152)&gt;0,G1152*(1+H1152/30),H1152))=X1152,IF(N(G1152)&gt;0,G1152&amp;" x "&amp;H1152,H1152&amp;" reps"),IF(IF(N(J1152)=0,0,IF(N(I1152)&gt;0,I1152*(1+J1152/30),J1152))=X1152,IF(N(I1152)&gt;0,I1152&amp;" x "&amp;J1152,J1152&amp;" reps"),IF(IF(N(L1152)=0,0,IF(N(K1152)&gt;0,K1152*(1+L1152/30),L1152))=X1152,IF(N(K1152)&gt;0,K1152&amp;" x "&amp;L1152,L1152&amp;" reps"),IF(IF(N(N1152)=0,0,IF(N(M1152)&gt;0,M1152*(1+N1152/30),N1152))=X1152,IF(N(M1152)&gt;0,M1152&amp;" x "&amp;N1152,N1152&amp;" reps"),""))))))</f>
        <v/>
      </c>
      <c r="R1152" s="20">
        <f>IF(N(X1152)=0,"",ROUND(X1152,1))</f>
        <v/>
      </c>
      <c r="S1152" s="18">
        <f>IF(N(X1152)=0,"",IF(AND(COUNTIFS(Log!$D$6:$D$1505,D1152,Log!$B$6:$B$1505,"&lt;"&amp;B1152)&gt;0,COUNTIFS(Log!$D$6:$D$1505,D1152,Log!$B$6:$B$1505,"&lt;"&amp;B1152,Log!$X$6:$X$1505,"&gt;="&amp;X1152)=0),"New best",""))</f>
        <v/>
      </c>
      <c r="T1152" s="26" t="n"/>
      <c r="U1152" s="1">
        <f>IF(D1152="","",IFERROR(INDEX(Exercises!$C$6:$C$105,MATCH(D1152,Exercises!$B$6:$B$105,0)),"Other"))</f>
        <v/>
      </c>
      <c r="V1152">
        <f>IF(B1152="","",IF(COUNTIF($B$6:B1152,B1152)=1,1,0))</f>
        <v/>
      </c>
      <c r="W1152">
        <f>IF(B1152="","",B1152-WEEKDAY(B1152,3))</f>
        <v/>
      </c>
      <c r="X1152">
        <f>IF(D1152="","",MAX(IF(N(F1152)=0,0,IF(N(E1152)&gt;0,E1152*(1+F1152/30),F1152)),IF(N(H1152)=0,0,IF(N(G1152)&gt;0,G1152*(1+H1152/30),H1152)),IF(N(J1152)=0,0,IF(N(I1152)&gt;0,I1152*(1+J1152/30),J1152)),IF(N(L1152)=0,0,IF(N(K1152)&gt;0,K1152*(1+L1152/30),L1152)),IF(N(N1152)=0,0,IF(N(M1152)&gt;0,M1152*(1+N1152/30),N1152))))</f>
        <v/>
      </c>
      <c r="Y1152">
        <f>IF(N(X1152)=0,"",X1152+ROW()/1000000000)</f>
        <v/>
      </c>
      <c r="Z1152">
        <f>IF(Y1152="","",IF(COUNTIFS(Log!$D$6:$D$1505,D1152,Log!$Y$6:$Y$1505,"&gt;"&amp;Y1152)=0,1,0))</f>
        <v/>
      </c>
      <c r="AA1152">
        <f>IF(OR(B1152="",D1152=""),"",B1152+ROW()/10000000)</f>
        <v/>
      </c>
      <c r="AB1152">
        <f>IF(AA1152="","",IF(COUNTIFS(Log!$D$6:$D$1505,D1152,Log!$AA$6:$AA$1505,"&gt;"&amp;AA1152)=0,1,0))</f>
        <v/>
      </c>
      <c r="AC1152">
        <f>IF(S1152="New best",AA1152,"")</f>
        <v/>
      </c>
      <c r="AD1152">
        <f>ROW()</f>
        <v/>
      </c>
    </row>
    <row r="1153">
      <c r="A1153" s="1" t="n"/>
      <c r="B1153" s="21" t="n"/>
      <c r="C1153" s="22" t="n"/>
      <c r="D1153" s="23" t="n"/>
      <c r="E1153" s="24" t="n"/>
      <c r="F1153" s="24" t="n"/>
      <c r="G1153" s="24" t="n"/>
      <c r="H1153" s="24" t="n"/>
      <c r="I1153" s="24" t="n"/>
      <c r="J1153" s="24" t="n"/>
      <c r="K1153" s="24" t="n"/>
      <c r="L1153" s="24" t="n"/>
      <c r="M1153" s="24" t="n"/>
      <c r="N1153" s="24" t="n"/>
      <c r="O1153" s="15">
        <f>IF(D1153="","",COUNT(F1153,H1153,J1153,L1153,N1153))</f>
        <v/>
      </c>
      <c r="P1153" s="25">
        <f>IF(D1153="","",N(E1153)*N(F1153)+N(G1153)*N(H1153)+N(I1153)*N(J1153)+N(K1153)*N(L1153)+N(M1153)*N(N1153))</f>
        <v/>
      </c>
      <c r="Q1153" s="18">
        <f>IF(N(X1153)=0,"",IF(IF(N(F1153)=0,0,IF(N(E1153)&gt;0,E1153*(1+F1153/30),F1153))=X1153,IF(N(E1153)&gt;0,E1153&amp;" x "&amp;F1153,F1153&amp;" reps"),IF(IF(N(H1153)=0,0,IF(N(G1153)&gt;0,G1153*(1+H1153/30),H1153))=X1153,IF(N(G1153)&gt;0,G1153&amp;" x "&amp;H1153,H1153&amp;" reps"),IF(IF(N(J1153)=0,0,IF(N(I1153)&gt;0,I1153*(1+J1153/30),J1153))=X1153,IF(N(I1153)&gt;0,I1153&amp;" x "&amp;J1153,J1153&amp;" reps"),IF(IF(N(L1153)=0,0,IF(N(K1153)&gt;0,K1153*(1+L1153/30),L1153))=X1153,IF(N(K1153)&gt;0,K1153&amp;" x "&amp;L1153,L1153&amp;" reps"),IF(IF(N(N1153)=0,0,IF(N(M1153)&gt;0,M1153*(1+N1153/30),N1153))=X1153,IF(N(M1153)&gt;0,M1153&amp;" x "&amp;N1153,N1153&amp;" reps"),""))))))</f>
        <v/>
      </c>
      <c r="R1153" s="20">
        <f>IF(N(X1153)=0,"",ROUND(X1153,1))</f>
        <v/>
      </c>
      <c r="S1153" s="18">
        <f>IF(N(X1153)=0,"",IF(AND(COUNTIFS(Log!$D$6:$D$1505,D1153,Log!$B$6:$B$1505,"&lt;"&amp;B1153)&gt;0,COUNTIFS(Log!$D$6:$D$1505,D1153,Log!$B$6:$B$1505,"&lt;"&amp;B1153,Log!$X$6:$X$1505,"&gt;="&amp;X1153)=0),"New best",""))</f>
        <v/>
      </c>
      <c r="T1153" s="26" t="n"/>
      <c r="U1153" s="1">
        <f>IF(D1153="","",IFERROR(INDEX(Exercises!$C$6:$C$105,MATCH(D1153,Exercises!$B$6:$B$105,0)),"Other"))</f>
        <v/>
      </c>
      <c r="V1153">
        <f>IF(B1153="","",IF(COUNTIF($B$6:B1153,B1153)=1,1,0))</f>
        <v/>
      </c>
      <c r="W1153">
        <f>IF(B1153="","",B1153-WEEKDAY(B1153,3))</f>
        <v/>
      </c>
      <c r="X1153">
        <f>IF(D1153="","",MAX(IF(N(F1153)=0,0,IF(N(E1153)&gt;0,E1153*(1+F1153/30),F1153)),IF(N(H1153)=0,0,IF(N(G1153)&gt;0,G1153*(1+H1153/30),H1153)),IF(N(J1153)=0,0,IF(N(I1153)&gt;0,I1153*(1+J1153/30),J1153)),IF(N(L1153)=0,0,IF(N(K1153)&gt;0,K1153*(1+L1153/30),L1153)),IF(N(N1153)=0,0,IF(N(M1153)&gt;0,M1153*(1+N1153/30),N1153))))</f>
        <v/>
      </c>
      <c r="Y1153">
        <f>IF(N(X1153)=0,"",X1153+ROW()/1000000000)</f>
        <v/>
      </c>
      <c r="Z1153">
        <f>IF(Y1153="","",IF(COUNTIFS(Log!$D$6:$D$1505,D1153,Log!$Y$6:$Y$1505,"&gt;"&amp;Y1153)=0,1,0))</f>
        <v/>
      </c>
      <c r="AA1153">
        <f>IF(OR(B1153="",D1153=""),"",B1153+ROW()/10000000)</f>
        <v/>
      </c>
      <c r="AB1153">
        <f>IF(AA1153="","",IF(COUNTIFS(Log!$D$6:$D$1505,D1153,Log!$AA$6:$AA$1505,"&gt;"&amp;AA1153)=0,1,0))</f>
        <v/>
      </c>
      <c r="AC1153">
        <f>IF(S1153="New best",AA1153,"")</f>
        <v/>
      </c>
      <c r="AD1153">
        <f>ROW()</f>
        <v/>
      </c>
    </row>
    <row r="1154">
      <c r="A1154" s="1" t="n"/>
      <c r="B1154" s="21" t="n"/>
      <c r="C1154" s="22" t="n"/>
      <c r="D1154" s="23" t="n"/>
      <c r="E1154" s="24" t="n"/>
      <c r="F1154" s="24" t="n"/>
      <c r="G1154" s="24" t="n"/>
      <c r="H1154" s="24" t="n"/>
      <c r="I1154" s="24" t="n"/>
      <c r="J1154" s="24" t="n"/>
      <c r="K1154" s="24" t="n"/>
      <c r="L1154" s="24" t="n"/>
      <c r="M1154" s="24" t="n"/>
      <c r="N1154" s="24" t="n"/>
      <c r="O1154" s="15">
        <f>IF(D1154="","",COUNT(F1154,H1154,J1154,L1154,N1154))</f>
        <v/>
      </c>
      <c r="P1154" s="25">
        <f>IF(D1154="","",N(E1154)*N(F1154)+N(G1154)*N(H1154)+N(I1154)*N(J1154)+N(K1154)*N(L1154)+N(M1154)*N(N1154))</f>
        <v/>
      </c>
      <c r="Q1154" s="18">
        <f>IF(N(X1154)=0,"",IF(IF(N(F1154)=0,0,IF(N(E1154)&gt;0,E1154*(1+F1154/30),F1154))=X1154,IF(N(E1154)&gt;0,E1154&amp;" x "&amp;F1154,F1154&amp;" reps"),IF(IF(N(H1154)=0,0,IF(N(G1154)&gt;0,G1154*(1+H1154/30),H1154))=X1154,IF(N(G1154)&gt;0,G1154&amp;" x "&amp;H1154,H1154&amp;" reps"),IF(IF(N(J1154)=0,0,IF(N(I1154)&gt;0,I1154*(1+J1154/30),J1154))=X1154,IF(N(I1154)&gt;0,I1154&amp;" x "&amp;J1154,J1154&amp;" reps"),IF(IF(N(L1154)=0,0,IF(N(K1154)&gt;0,K1154*(1+L1154/30),L1154))=X1154,IF(N(K1154)&gt;0,K1154&amp;" x "&amp;L1154,L1154&amp;" reps"),IF(IF(N(N1154)=0,0,IF(N(M1154)&gt;0,M1154*(1+N1154/30),N1154))=X1154,IF(N(M1154)&gt;0,M1154&amp;" x "&amp;N1154,N1154&amp;" reps"),""))))))</f>
        <v/>
      </c>
      <c r="R1154" s="20">
        <f>IF(N(X1154)=0,"",ROUND(X1154,1))</f>
        <v/>
      </c>
      <c r="S1154" s="18">
        <f>IF(N(X1154)=0,"",IF(AND(COUNTIFS(Log!$D$6:$D$1505,D1154,Log!$B$6:$B$1505,"&lt;"&amp;B1154)&gt;0,COUNTIFS(Log!$D$6:$D$1505,D1154,Log!$B$6:$B$1505,"&lt;"&amp;B1154,Log!$X$6:$X$1505,"&gt;="&amp;X1154)=0),"New best",""))</f>
        <v/>
      </c>
      <c r="T1154" s="26" t="n"/>
      <c r="U1154" s="1">
        <f>IF(D1154="","",IFERROR(INDEX(Exercises!$C$6:$C$105,MATCH(D1154,Exercises!$B$6:$B$105,0)),"Other"))</f>
        <v/>
      </c>
      <c r="V1154">
        <f>IF(B1154="","",IF(COUNTIF($B$6:B1154,B1154)=1,1,0))</f>
        <v/>
      </c>
      <c r="W1154">
        <f>IF(B1154="","",B1154-WEEKDAY(B1154,3))</f>
        <v/>
      </c>
      <c r="X1154">
        <f>IF(D1154="","",MAX(IF(N(F1154)=0,0,IF(N(E1154)&gt;0,E1154*(1+F1154/30),F1154)),IF(N(H1154)=0,0,IF(N(G1154)&gt;0,G1154*(1+H1154/30),H1154)),IF(N(J1154)=0,0,IF(N(I1154)&gt;0,I1154*(1+J1154/30),J1154)),IF(N(L1154)=0,0,IF(N(K1154)&gt;0,K1154*(1+L1154/30),L1154)),IF(N(N1154)=0,0,IF(N(M1154)&gt;0,M1154*(1+N1154/30),N1154))))</f>
        <v/>
      </c>
      <c r="Y1154">
        <f>IF(N(X1154)=0,"",X1154+ROW()/1000000000)</f>
        <v/>
      </c>
      <c r="Z1154">
        <f>IF(Y1154="","",IF(COUNTIFS(Log!$D$6:$D$1505,D1154,Log!$Y$6:$Y$1505,"&gt;"&amp;Y1154)=0,1,0))</f>
        <v/>
      </c>
      <c r="AA1154">
        <f>IF(OR(B1154="",D1154=""),"",B1154+ROW()/10000000)</f>
        <v/>
      </c>
      <c r="AB1154">
        <f>IF(AA1154="","",IF(COUNTIFS(Log!$D$6:$D$1505,D1154,Log!$AA$6:$AA$1505,"&gt;"&amp;AA1154)=0,1,0))</f>
        <v/>
      </c>
      <c r="AC1154">
        <f>IF(S1154="New best",AA1154,"")</f>
        <v/>
      </c>
      <c r="AD1154">
        <f>ROW()</f>
        <v/>
      </c>
    </row>
    <row r="1155">
      <c r="A1155" s="1" t="n"/>
      <c r="B1155" s="21" t="n"/>
      <c r="C1155" s="22" t="n"/>
      <c r="D1155" s="23" t="n"/>
      <c r="E1155" s="24" t="n"/>
      <c r="F1155" s="24" t="n"/>
      <c r="G1155" s="24" t="n"/>
      <c r="H1155" s="24" t="n"/>
      <c r="I1155" s="24" t="n"/>
      <c r="J1155" s="24" t="n"/>
      <c r="K1155" s="24" t="n"/>
      <c r="L1155" s="24" t="n"/>
      <c r="M1155" s="24" t="n"/>
      <c r="N1155" s="24" t="n"/>
      <c r="O1155" s="15">
        <f>IF(D1155="","",COUNT(F1155,H1155,J1155,L1155,N1155))</f>
        <v/>
      </c>
      <c r="P1155" s="25">
        <f>IF(D1155="","",N(E1155)*N(F1155)+N(G1155)*N(H1155)+N(I1155)*N(J1155)+N(K1155)*N(L1155)+N(M1155)*N(N1155))</f>
        <v/>
      </c>
      <c r="Q1155" s="18">
        <f>IF(N(X1155)=0,"",IF(IF(N(F1155)=0,0,IF(N(E1155)&gt;0,E1155*(1+F1155/30),F1155))=X1155,IF(N(E1155)&gt;0,E1155&amp;" x "&amp;F1155,F1155&amp;" reps"),IF(IF(N(H1155)=0,0,IF(N(G1155)&gt;0,G1155*(1+H1155/30),H1155))=X1155,IF(N(G1155)&gt;0,G1155&amp;" x "&amp;H1155,H1155&amp;" reps"),IF(IF(N(J1155)=0,0,IF(N(I1155)&gt;0,I1155*(1+J1155/30),J1155))=X1155,IF(N(I1155)&gt;0,I1155&amp;" x "&amp;J1155,J1155&amp;" reps"),IF(IF(N(L1155)=0,0,IF(N(K1155)&gt;0,K1155*(1+L1155/30),L1155))=X1155,IF(N(K1155)&gt;0,K1155&amp;" x "&amp;L1155,L1155&amp;" reps"),IF(IF(N(N1155)=0,0,IF(N(M1155)&gt;0,M1155*(1+N1155/30),N1155))=X1155,IF(N(M1155)&gt;0,M1155&amp;" x "&amp;N1155,N1155&amp;" reps"),""))))))</f>
        <v/>
      </c>
      <c r="R1155" s="20">
        <f>IF(N(X1155)=0,"",ROUND(X1155,1))</f>
        <v/>
      </c>
      <c r="S1155" s="18">
        <f>IF(N(X1155)=0,"",IF(AND(COUNTIFS(Log!$D$6:$D$1505,D1155,Log!$B$6:$B$1505,"&lt;"&amp;B1155)&gt;0,COUNTIFS(Log!$D$6:$D$1505,D1155,Log!$B$6:$B$1505,"&lt;"&amp;B1155,Log!$X$6:$X$1505,"&gt;="&amp;X1155)=0),"New best",""))</f>
        <v/>
      </c>
      <c r="T1155" s="26" t="n"/>
      <c r="U1155" s="1">
        <f>IF(D1155="","",IFERROR(INDEX(Exercises!$C$6:$C$105,MATCH(D1155,Exercises!$B$6:$B$105,0)),"Other"))</f>
        <v/>
      </c>
      <c r="V1155">
        <f>IF(B1155="","",IF(COUNTIF($B$6:B1155,B1155)=1,1,0))</f>
        <v/>
      </c>
      <c r="W1155">
        <f>IF(B1155="","",B1155-WEEKDAY(B1155,3))</f>
        <v/>
      </c>
      <c r="X1155">
        <f>IF(D1155="","",MAX(IF(N(F1155)=0,0,IF(N(E1155)&gt;0,E1155*(1+F1155/30),F1155)),IF(N(H1155)=0,0,IF(N(G1155)&gt;0,G1155*(1+H1155/30),H1155)),IF(N(J1155)=0,0,IF(N(I1155)&gt;0,I1155*(1+J1155/30),J1155)),IF(N(L1155)=0,0,IF(N(K1155)&gt;0,K1155*(1+L1155/30),L1155)),IF(N(N1155)=0,0,IF(N(M1155)&gt;0,M1155*(1+N1155/30),N1155))))</f>
        <v/>
      </c>
      <c r="Y1155">
        <f>IF(N(X1155)=0,"",X1155+ROW()/1000000000)</f>
        <v/>
      </c>
      <c r="Z1155">
        <f>IF(Y1155="","",IF(COUNTIFS(Log!$D$6:$D$1505,D1155,Log!$Y$6:$Y$1505,"&gt;"&amp;Y1155)=0,1,0))</f>
        <v/>
      </c>
      <c r="AA1155">
        <f>IF(OR(B1155="",D1155=""),"",B1155+ROW()/10000000)</f>
        <v/>
      </c>
      <c r="AB1155">
        <f>IF(AA1155="","",IF(COUNTIFS(Log!$D$6:$D$1505,D1155,Log!$AA$6:$AA$1505,"&gt;"&amp;AA1155)=0,1,0))</f>
        <v/>
      </c>
      <c r="AC1155">
        <f>IF(S1155="New best",AA1155,"")</f>
        <v/>
      </c>
      <c r="AD1155">
        <f>ROW()</f>
        <v/>
      </c>
    </row>
    <row r="1156">
      <c r="A1156" s="1" t="n"/>
      <c r="B1156" s="21" t="n"/>
      <c r="C1156" s="22" t="n"/>
      <c r="D1156" s="23" t="n"/>
      <c r="E1156" s="24" t="n"/>
      <c r="F1156" s="24" t="n"/>
      <c r="G1156" s="24" t="n"/>
      <c r="H1156" s="24" t="n"/>
      <c r="I1156" s="24" t="n"/>
      <c r="J1156" s="24" t="n"/>
      <c r="K1156" s="24" t="n"/>
      <c r="L1156" s="24" t="n"/>
      <c r="M1156" s="24" t="n"/>
      <c r="N1156" s="24" t="n"/>
      <c r="O1156" s="15">
        <f>IF(D1156="","",COUNT(F1156,H1156,J1156,L1156,N1156))</f>
        <v/>
      </c>
      <c r="P1156" s="25">
        <f>IF(D1156="","",N(E1156)*N(F1156)+N(G1156)*N(H1156)+N(I1156)*N(J1156)+N(K1156)*N(L1156)+N(M1156)*N(N1156))</f>
        <v/>
      </c>
      <c r="Q1156" s="18">
        <f>IF(N(X1156)=0,"",IF(IF(N(F1156)=0,0,IF(N(E1156)&gt;0,E1156*(1+F1156/30),F1156))=X1156,IF(N(E1156)&gt;0,E1156&amp;" x "&amp;F1156,F1156&amp;" reps"),IF(IF(N(H1156)=0,0,IF(N(G1156)&gt;0,G1156*(1+H1156/30),H1156))=X1156,IF(N(G1156)&gt;0,G1156&amp;" x "&amp;H1156,H1156&amp;" reps"),IF(IF(N(J1156)=0,0,IF(N(I1156)&gt;0,I1156*(1+J1156/30),J1156))=X1156,IF(N(I1156)&gt;0,I1156&amp;" x "&amp;J1156,J1156&amp;" reps"),IF(IF(N(L1156)=0,0,IF(N(K1156)&gt;0,K1156*(1+L1156/30),L1156))=X1156,IF(N(K1156)&gt;0,K1156&amp;" x "&amp;L1156,L1156&amp;" reps"),IF(IF(N(N1156)=0,0,IF(N(M1156)&gt;0,M1156*(1+N1156/30),N1156))=X1156,IF(N(M1156)&gt;0,M1156&amp;" x "&amp;N1156,N1156&amp;" reps"),""))))))</f>
        <v/>
      </c>
      <c r="R1156" s="20">
        <f>IF(N(X1156)=0,"",ROUND(X1156,1))</f>
        <v/>
      </c>
      <c r="S1156" s="18">
        <f>IF(N(X1156)=0,"",IF(AND(COUNTIFS(Log!$D$6:$D$1505,D1156,Log!$B$6:$B$1505,"&lt;"&amp;B1156)&gt;0,COUNTIFS(Log!$D$6:$D$1505,D1156,Log!$B$6:$B$1505,"&lt;"&amp;B1156,Log!$X$6:$X$1505,"&gt;="&amp;X1156)=0),"New best",""))</f>
        <v/>
      </c>
      <c r="T1156" s="26" t="n"/>
      <c r="U1156" s="1">
        <f>IF(D1156="","",IFERROR(INDEX(Exercises!$C$6:$C$105,MATCH(D1156,Exercises!$B$6:$B$105,0)),"Other"))</f>
        <v/>
      </c>
      <c r="V1156">
        <f>IF(B1156="","",IF(COUNTIF($B$6:B1156,B1156)=1,1,0))</f>
        <v/>
      </c>
      <c r="W1156">
        <f>IF(B1156="","",B1156-WEEKDAY(B1156,3))</f>
        <v/>
      </c>
      <c r="X1156">
        <f>IF(D1156="","",MAX(IF(N(F1156)=0,0,IF(N(E1156)&gt;0,E1156*(1+F1156/30),F1156)),IF(N(H1156)=0,0,IF(N(G1156)&gt;0,G1156*(1+H1156/30),H1156)),IF(N(J1156)=0,0,IF(N(I1156)&gt;0,I1156*(1+J1156/30),J1156)),IF(N(L1156)=0,0,IF(N(K1156)&gt;0,K1156*(1+L1156/30),L1156)),IF(N(N1156)=0,0,IF(N(M1156)&gt;0,M1156*(1+N1156/30),N1156))))</f>
        <v/>
      </c>
      <c r="Y1156">
        <f>IF(N(X1156)=0,"",X1156+ROW()/1000000000)</f>
        <v/>
      </c>
      <c r="Z1156">
        <f>IF(Y1156="","",IF(COUNTIFS(Log!$D$6:$D$1505,D1156,Log!$Y$6:$Y$1505,"&gt;"&amp;Y1156)=0,1,0))</f>
        <v/>
      </c>
      <c r="AA1156">
        <f>IF(OR(B1156="",D1156=""),"",B1156+ROW()/10000000)</f>
        <v/>
      </c>
      <c r="AB1156">
        <f>IF(AA1156="","",IF(COUNTIFS(Log!$D$6:$D$1505,D1156,Log!$AA$6:$AA$1505,"&gt;"&amp;AA1156)=0,1,0))</f>
        <v/>
      </c>
      <c r="AC1156">
        <f>IF(S1156="New best",AA1156,"")</f>
        <v/>
      </c>
      <c r="AD1156">
        <f>ROW()</f>
        <v/>
      </c>
    </row>
    <row r="1157">
      <c r="A1157" s="1" t="n"/>
      <c r="B1157" s="21" t="n"/>
      <c r="C1157" s="22" t="n"/>
      <c r="D1157" s="23" t="n"/>
      <c r="E1157" s="24" t="n"/>
      <c r="F1157" s="24" t="n"/>
      <c r="G1157" s="24" t="n"/>
      <c r="H1157" s="24" t="n"/>
      <c r="I1157" s="24" t="n"/>
      <c r="J1157" s="24" t="n"/>
      <c r="K1157" s="24" t="n"/>
      <c r="L1157" s="24" t="n"/>
      <c r="M1157" s="24" t="n"/>
      <c r="N1157" s="24" t="n"/>
      <c r="O1157" s="15">
        <f>IF(D1157="","",COUNT(F1157,H1157,J1157,L1157,N1157))</f>
        <v/>
      </c>
      <c r="P1157" s="25">
        <f>IF(D1157="","",N(E1157)*N(F1157)+N(G1157)*N(H1157)+N(I1157)*N(J1157)+N(K1157)*N(L1157)+N(M1157)*N(N1157))</f>
        <v/>
      </c>
      <c r="Q1157" s="18">
        <f>IF(N(X1157)=0,"",IF(IF(N(F1157)=0,0,IF(N(E1157)&gt;0,E1157*(1+F1157/30),F1157))=X1157,IF(N(E1157)&gt;0,E1157&amp;" x "&amp;F1157,F1157&amp;" reps"),IF(IF(N(H1157)=0,0,IF(N(G1157)&gt;0,G1157*(1+H1157/30),H1157))=X1157,IF(N(G1157)&gt;0,G1157&amp;" x "&amp;H1157,H1157&amp;" reps"),IF(IF(N(J1157)=0,0,IF(N(I1157)&gt;0,I1157*(1+J1157/30),J1157))=X1157,IF(N(I1157)&gt;0,I1157&amp;" x "&amp;J1157,J1157&amp;" reps"),IF(IF(N(L1157)=0,0,IF(N(K1157)&gt;0,K1157*(1+L1157/30),L1157))=X1157,IF(N(K1157)&gt;0,K1157&amp;" x "&amp;L1157,L1157&amp;" reps"),IF(IF(N(N1157)=0,0,IF(N(M1157)&gt;0,M1157*(1+N1157/30),N1157))=X1157,IF(N(M1157)&gt;0,M1157&amp;" x "&amp;N1157,N1157&amp;" reps"),""))))))</f>
        <v/>
      </c>
      <c r="R1157" s="20">
        <f>IF(N(X1157)=0,"",ROUND(X1157,1))</f>
        <v/>
      </c>
      <c r="S1157" s="18">
        <f>IF(N(X1157)=0,"",IF(AND(COUNTIFS(Log!$D$6:$D$1505,D1157,Log!$B$6:$B$1505,"&lt;"&amp;B1157)&gt;0,COUNTIFS(Log!$D$6:$D$1505,D1157,Log!$B$6:$B$1505,"&lt;"&amp;B1157,Log!$X$6:$X$1505,"&gt;="&amp;X1157)=0),"New best",""))</f>
        <v/>
      </c>
      <c r="T1157" s="26" t="n"/>
      <c r="U1157" s="1">
        <f>IF(D1157="","",IFERROR(INDEX(Exercises!$C$6:$C$105,MATCH(D1157,Exercises!$B$6:$B$105,0)),"Other"))</f>
        <v/>
      </c>
      <c r="V1157">
        <f>IF(B1157="","",IF(COUNTIF($B$6:B1157,B1157)=1,1,0))</f>
        <v/>
      </c>
      <c r="W1157">
        <f>IF(B1157="","",B1157-WEEKDAY(B1157,3))</f>
        <v/>
      </c>
      <c r="X1157">
        <f>IF(D1157="","",MAX(IF(N(F1157)=0,0,IF(N(E1157)&gt;0,E1157*(1+F1157/30),F1157)),IF(N(H1157)=0,0,IF(N(G1157)&gt;0,G1157*(1+H1157/30),H1157)),IF(N(J1157)=0,0,IF(N(I1157)&gt;0,I1157*(1+J1157/30),J1157)),IF(N(L1157)=0,0,IF(N(K1157)&gt;0,K1157*(1+L1157/30),L1157)),IF(N(N1157)=0,0,IF(N(M1157)&gt;0,M1157*(1+N1157/30),N1157))))</f>
        <v/>
      </c>
      <c r="Y1157">
        <f>IF(N(X1157)=0,"",X1157+ROW()/1000000000)</f>
        <v/>
      </c>
      <c r="Z1157">
        <f>IF(Y1157="","",IF(COUNTIFS(Log!$D$6:$D$1505,D1157,Log!$Y$6:$Y$1505,"&gt;"&amp;Y1157)=0,1,0))</f>
        <v/>
      </c>
      <c r="AA1157">
        <f>IF(OR(B1157="",D1157=""),"",B1157+ROW()/10000000)</f>
        <v/>
      </c>
      <c r="AB1157">
        <f>IF(AA1157="","",IF(COUNTIFS(Log!$D$6:$D$1505,D1157,Log!$AA$6:$AA$1505,"&gt;"&amp;AA1157)=0,1,0))</f>
        <v/>
      </c>
      <c r="AC1157">
        <f>IF(S1157="New best",AA1157,"")</f>
        <v/>
      </c>
      <c r="AD1157">
        <f>ROW()</f>
        <v/>
      </c>
    </row>
    <row r="1158">
      <c r="A1158" s="1" t="n"/>
      <c r="B1158" s="21" t="n"/>
      <c r="C1158" s="22" t="n"/>
      <c r="D1158" s="23" t="n"/>
      <c r="E1158" s="24" t="n"/>
      <c r="F1158" s="24" t="n"/>
      <c r="G1158" s="24" t="n"/>
      <c r="H1158" s="24" t="n"/>
      <c r="I1158" s="24" t="n"/>
      <c r="J1158" s="24" t="n"/>
      <c r="K1158" s="24" t="n"/>
      <c r="L1158" s="24" t="n"/>
      <c r="M1158" s="24" t="n"/>
      <c r="N1158" s="24" t="n"/>
      <c r="O1158" s="15">
        <f>IF(D1158="","",COUNT(F1158,H1158,J1158,L1158,N1158))</f>
        <v/>
      </c>
      <c r="P1158" s="25">
        <f>IF(D1158="","",N(E1158)*N(F1158)+N(G1158)*N(H1158)+N(I1158)*N(J1158)+N(K1158)*N(L1158)+N(M1158)*N(N1158))</f>
        <v/>
      </c>
      <c r="Q1158" s="18">
        <f>IF(N(X1158)=0,"",IF(IF(N(F1158)=0,0,IF(N(E1158)&gt;0,E1158*(1+F1158/30),F1158))=X1158,IF(N(E1158)&gt;0,E1158&amp;" x "&amp;F1158,F1158&amp;" reps"),IF(IF(N(H1158)=0,0,IF(N(G1158)&gt;0,G1158*(1+H1158/30),H1158))=X1158,IF(N(G1158)&gt;0,G1158&amp;" x "&amp;H1158,H1158&amp;" reps"),IF(IF(N(J1158)=0,0,IF(N(I1158)&gt;0,I1158*(1+J1158/30),J1158))=X1158,IF(N(I1158)&gt;0,I1158&amp;" x "&amp;J1158,J1158&amp;" reps"),IF(IF(N(L1158)=0,0,IF(N(K1158)&gt;0,K1158*(1+L1158/30),L1158))=X1158,IF(N(K1158)&gt;0,K1158&amp;" x "&amp;L1158,L1158&amp;" reps"),IF(IF(N(N1158)=0,0,IF(N(M1158)&gt;0,M1158*(1+N1158/30),N1158))=X1158,IF(N(M1158)&gt;0,M1158&amp;" x "&amp;N1158,N1158&amp;" reps"),""))))))</f>
        <v/>
      </c>
      <c r="R1158" s="20">
        <f>IF(N(X1158)=0,"",ROUND(X1158,1))</f>
        <v/>
      </c>
      <c r="S1158" s="18">
        <f>IF(N(X1158)=0,"",IF(AND(COUNTIFS(Log!$D$6:$D$1505,D1158,Log!$B$6:$B$1505,"&lt;"&amp;B1158)&gt;0,COUNTIFS(Log!$D$6:$D$1505,D1158,Log!$B$6:$B$1505,"&lt;"&amp;B1158,Log!$X$6:$X$1505,"&gt;="&amp;X1158)=0),"New best",""))</f>
        <v/>
      </c>
      <c r="T1158" s="26" t="n"/>
      <c r="U1158" s="1">
        <f>IF(D1158="","",IFERROR(INDEX(Exercises!$C$6:$C$105,MATCH(D1158,Exercises!$B$6:$B$105,0)),"Other"))</f>
        <v/>
      </c>
      <c r="V1158">
        <f>IF(B1158="","",IF(COUNTIF($B$6:B1158,B1158)=1,1,0))</f>
        <v/>
      </c>
      <c r="W1158">
        <f>IF(B1158="","",B1158-WEEKDAY(B1158,3))</f>
        <v/>
      </c>
      <c r="X1158">
        <f>IF(D1158="","",MAX(IF(N(F1158)=0,0,IF(N(E1158)&gt;0,E1158*(1+F1158/30),F1158)),IF(N(H1158)=0,0,IF(N(G1158)&gt;0,G1158*(1+H1158/30),H1158)),IF(N(J1158)=0,0,IF(N(I1158)&gt;0,I1158*(1+J1158/30),J1158)),IF(N(L1158)=0,0,IF(N(K1158)&gt;0,K1158*(1+L1158/30),L1158)),IF(N(N1158)=0,0,IF(N(M1158)&gt;0,M1158*(1+N1158/30),N1158))))</f>
        <v/>
      </c>
      <c r="Y1158">
        <f>IF(N(X1158)=0,"",X1158+ROW()/1000000000)</f>
        <v/>
      </c>
      <c r="Z1158">
        <f>IF(Y1158="","",IF(COUNTIFS(Log!$D$6:$D$1505,D1158,Log!$Y$6:$Y$1505,"&gt;"&amp;Y1158)=0,1,0))</f>
        <v/>
      </c>
      <c r="AA1158">
        <f>IF(OR(B1158="",D1158=""),"",B1158+ROW()/10000000)</f>
        <v/>
      </c>
      <c r="AB1158">
        <f>IF(AA1158="","",IF(COUNTIFS(Log!$D$6:$D$1505,D1158,Log!$AA$6:$AA$1505,"&gt;"&amp;AA1158)=0,1,0))</f>
        <v/>
      </c>
      <c r="AC1158">
        <f>IF(S1158="New best",AA1158,"")</f>
        <v/>
      </c>
      <c r="AD1158">
        <f>ROW()</f>
        <v/>
      </c>
    </row>
    <row r="1159">
      <c r="A1159" s="1" t="n"/>
      <c r="B1159" s="21" t="n"/>
      <c r="C1159" s="22" t="n"/>
      <c r="D1159" s="23" t="n"/>
      <c r="E1159" s="24" t="n"/>
      <c r="F1159" s="24" t="n"/>
      <c r="G1159" s="24" t="n"/>
      <c r="H1159" s="24" t="n"/>
      <c r="I1159" s="24" t="n"/>
      <c r="J1159" s="24" t="n"/>
      <c r="K1159" s="24" t="n"/>
      <c r="L1159" s="24" t="n"/>
      <c r="M1159" s="24" t="n"/>
      <c r="N1159" s="24" t="n"/>
      <c r="O1159" s="15">
        <f>IF(D1159="","",COUNT(F1159,H1159,J1159,L1159,N1159))</f>
        <v/>
      </c>
      <c r="P1159" s="25">
        <f>IF(D1159="","",N(E1159)*N(F1159)+N(G1159)*N(H1159)+N(I1159)*N(J1159)+N(K1159)*N(L1159)+N(M1159)*N(N1159))</f>
        <v/>
      </c>
      <c r="Q1159" s="18">
        <f>IF(N(X1159)=0,"",IF(IF(N(F1159)=0,0,IF(N(E1159)&gt;0,E1159*(1+F1159/30),F1159))=X1159,IF(N(E1159)&gt;0,E1159&amp;" x "&amp;F1159,F1159&amp;" reps"),IF(IF(N(H1159)=0,0,IF(N(G1159)&gt;0,G1159*(1+H1159/30),H1159))=X1159,IF(N(G1159)&gt;0,G1159&amp;" x "&amp;H1159,H1159&amp;" reps"),IF(IF(N(J1159)=0,0,IF(N(I1159)&gt;0,I1159*(1+J1159/30),J1159))=X1159,IF(N(I1159)&gt;0,I1159&amp;" x "&amp;J1159,J1159&amp;" reps"),IF(IF(N(L1159)=0,0,IF(N(K1159)&gt;0,K1159*(1+L1159/30),L1159))=X1159,IF(N(K1159)&gt;0,K1159&amp;" x "&amp;L1159,L1159&amp;" reps"),IF(IF(N(N1159)=0,0,IF(N(M1159)&gt;0,M1159*(1+N1159/30),N1159))=X1159,IF(N(M1159)&gt;0,M1159&amp;" x "&amp;N1159,N1159&amp;" reps"),""))))))</f>
        <v/>
      </c>
      <c r="R1159" s="20">
        <f>IF(N(X1159)=0,"",ROUND(X1159,1))</f>
        <v/>
      </c>
      <c r="S1159" s="18">
        <f>IF(N(X1159)=0,"",IF(AND(COUNTIFS(Log!$D$6:$D$1505,D1159,Log!$B$6:$B$1505,"&lt;"&amp;B1159)&gt;0,COUNTIFS(Log!$D$6:$D$1505,D1159,Log!$B$6:$B$1505,"&lt;"&amp;B1159,Log!$X$6:$X$1505,"&gt;="&amp;X1159)=0),"New best",""))</f>
        <v/>
      </c>
      <c r="T1159" s="26" t="n"/>
      <c r="U1159" s="1">
        <f>IF(D1159="","",IFERROR(INDEX(Exercises!$C$6:$C$105,MATCH(D1159,Exercises!$B$6:$B$105,0)),"Other"))</f>
        <v/>
      </c>
      <c r="V1159">
        <f>IF(B1159="","",IF(COUNTIF($B$6:B1159,B1159)=1,1,0))</f>
        <v/>
      </c>
      <c r="W1159">
        <f>IF(B1159="","",B1159-WEEKDAY(B1159,3))</f>
        <v/>
      </c>
      <c r="X1159">
        <f>IF(D1159="","",MAX(IF(N(F1159)=0,0,IF(N(E1159)&gt;0,E1159*(1+F1159/30),F1159)),IF(N(H1159)=0,0,IF(N(G1159)&gt;0,G1159*(1+H1159/30),H1159)),IF(N(J1159)=0,0,IF(N(I1159)&gt;0,I1159*(1+J1159/30),J1159)),IF(N(L1159)=0,0,IF(N(K1159)&gt;0,K1159*(1+L1159/30),L1159)),IF(N(N1159)=0,0,IF(N(M1159)&gt;0,M1159*(1+N1159/30),N1159))))</f>
        <v/>
      </c>
      <c r="Y1159">
        <f>IF(N(X1159)=0,"",X1159+ROW()/1000000000)</f>
        <v/>
      </c>
      <c r="Z1159">
        <f>IF(Y1159="","",IF(COUNTIFS(Log!$D$6:$D$1505,D1159,Log!$Y$6:$Y$1505,"&gt;"&amp;Y1159)=0,1,0))</f>
        <v/>
      </c>
      <c r="AA1159">
        <f>IF(OR(B1159="",D1159=""),"",B1159+ROW()/10000000)</f>
        <v/>
      </c>
      <c r="AB1159">
        <f>IF(AA1159="","",IF(COUNTIFS(Log!$D$6:$D$1505,D1159,Log!$AA$6:$AA$1505,"&gt;"&amp;AA1159)=0,1,0))</f>
        <v/>
      </c>
      <c r="AC1159">
        <f>IF(S1159="New best",AA1159,"")</f>
        <v/>
      </c>
      <c r="AD1159">
        <f>ROW()</f>
        <v/>
      </c>
    </row>
    <row r="1160">
      <c r="A1160" s="1" t="n"/>
      <c r="B1160" s="21" t="n"/>
      <c r="C1160" s="22" t="n"/>
      <c r="D1160" s="23" t="n"/>
      <c r="E1160" s="24" t="n"/>
      <c r="F1160" s="24" t="n"/>
      <c r="G1160" s="24" t="n"/>
      <c r="H1160" s="24" t="n"/>
      <c r="I1160" s="24" t="n"/>
      <c r="J1160" s="24" t="n"/>
      <c r="K1160" s="24" t="n"/>
      <c r="L1160" s="24" t="n"/>
      <c r="M1160" s="24" t="n"/>
      <c r="N1160" s="24" t="n"/>
      <c r="O1160" s="15">
        <f>IF(D1160="","",COUNT(F1160,H1160,J1160,L1160,N1160))</f>
        <v/>
      </c>
      <c r="P1160" s="25">
        <f>IF(D1160="","",N(E1160)*N(F1160)+N(G1160)*N(H1160)+N(I1160)*N(J1160)+N(K1160)*N(L1160)+N(M1160)*N(N1160))</f>
        <v/>
      </c>
      <c r="Q1160" s="18">
        <f>IF(N(X1160)=0,"",IF(IF(N(F1160)=0,0,IF(N(E1160)&gt;0,E1160*(1+F1160/30),F1160))=X1160,IF(N(E1160)&gt;0,E1160&amp;" x "&amp;F1160,F1160&amp;" reps"),IF(IF(N(H1160)=0,0,IF(N(G1160)&gt;0,G1160*(1+H1160/30),H1160))=X1160,IF(N(G1160)&gt;0,G1160&amp;" x "&amp;H1160,H1160&amp;" reps"),IF(IF(N(J1160)=0,0,IF(N(I1160)&gt;0,I1160*(1+J1160/30),J1160))=X1160,IF(N(I1160)&gt;0,I1160&amp;" x "&amp;J1160,J1160&amp;" reps"),IF(IF(N(L1160)=0,0,IF(N(K1160)&gt;0,K1160*(1+L1160/30),L1160))=X1160,IF(N(K1160)&gt;0,K1160&amp;" x "&amp;L1160,L1160&amp;" reps"),IF(IF(N(N1160)=0,0,IF(N(M1160)&gt;0,M1160*(1+N1160/30),N1160))=X1160,IF(N(M1160)&gt;0,M1160&amp;" x "&amp;N1160,N1160&amp;" reps"),""))))))</f>
        <v/>
      </c>
      <c r="R1160" s="20">
        <f>IF(N(X1160)=0,"",ROUND(X1160,1))</f>
        <v/>
      </c>
      <c r="S1160" s="18">
        <f>IF(N(X1160)=0,"",IF(AND(COUNTIFS(Log!$D$6:$D$1505,D1160,Log!$B$6:$B$1505,"&lt;"&amp;B1160)&gt;0,COUNTIFS(Log!$D$6:$D$1505,D1160,Log!$B$6:$B$1505,"&lt;"&amp;B1160,Log!$X$6:$X$1505,"&gt;="&amp;X1160)=0),"New best",""))</f>
        <v/>
      </c>
      <c r="T1160" s="26" t="n"/>
      <c r="U1160" s="1">
        <f>IF(D1160="","",IFERROR(INDEX(Exercises!$C$6:$C$105,MATCH(D1160,Exercises!$B$6:$B$105,0)),"Other"))</f>
        <v/>
      </c>
      <c r="V1160">
        <f>IF(B1160="","",IF(COUNTIF($B$6:B1160,B1160)=1,1,0))</f>
        <v/>
      </c>
      <c r="W1160">
        <f>IF(B1160="","",B1160-WEEKDAY(B1160,3))</f>
        <v/>
      </c>
      <c r="X1160">
        <f>IF(D1160="","",MAX(IF(N(F1160)=0,0,IF(N(E1160)&gt;0,E1160*(1+F1160/30),F1160)),IF(N(H1160)=0,0,IF(N(G1160)&gt;0,G1160*(1+H1160/30),H1160)),IF(N(J1160)=0,0,IF(N(I1160)&gt;0,I1160*(1+J1160/30),J1160)),IF(N(L1160)=0,0,IF(N(K1160)&gt;0,K1160*(1+L1160/30),L1160)),IF(N(N1160)=0,0,IF(N(M1160)&gt;0,M1160*(1+N1160/30),N1160))))</f>
        <v/>
      </c>
      <c r="Y1160">
        <f>IF(N(X1160)=0,"",X1160+ROW()/1000000000)</f>
        <v/>
      </c>
      <c r="Z1160">
        <f>IF(Y1160="","",IF(COUNTIFS(Log!$D$6:$D$1505,D1160,Log!$Y$6:$Y$1505,"&gt;"&amp;Y1160)=0,1,0))</f>
        <v/>
      </c>
      <c r="AA1160">
        <f>IF(OR(B1160="",D1160=""),"",B1160+ROW()/10000000)</f>
        <v/>
      </c>
      <c r="AB1160">
        <f>IF(AA1160="","",IF(COUNTIFS(Log!$D$6:$D$1505,D1160,Log!$AA$6:$AA$1505,"&gt;"&amp;AA1160)=0,1,0))</f>
        <v/>
      </c>
      <c r="AC1160">
        <f>IF(S1160="New best",AA1160,"")</f>
        <v/>
      </c>
      <c r="AD1160">
        <f>ROW()</f>
        <v/>
      </c>
    </row>
    <row r="1161">
      <c r="A1161" s="1" t="n"/>
      <c r="B1161" s="21" t="n"/>
      <c r="C1161" s="22" t="n"/>
      <c r="D1161" s="23" t="n"/>
      <c r="E1161" s="24" t="n"/>
      <c r="F1161" s="24" t="n"/>
      <c r="G1161" s="24" t="n"/>
      <c r="H1161" s="24" t="n"/>
      <c r="I1161" s="24" t="n"/>
      <c r="J1161" s="24" t="n"/>
      <c r="K1161" s="24" t="n"/>
      <c r="L1161" s="24" t="n"/>
      <c r="M1161" s="24" t="n"/>
      <c r="N1161" s="24" t="n"/>
      <c r="O1161" s="15">
        <f>IF(D1161="","",COUNT(F1161,H1161,J1161,L1161,N1161))</f>
        <v/>
      </c>
      <c r="P1161" s="25">
        <f>IF(D1161="","",N(E1161)*N(F1161)+N(G1161)*N(H1161)+N(I1161)*N(J1161)+N(K1161)*N(L1161)+N(M1161)*N(N1161))</f>
        <v/>
      </c>
      <c r="Q1161" s="18">
        <f>IF(N(X1161)=0,"",IF(IF(N(F1161)=0,0,IF(N(E1161)&gt;0,E1161*(1+F1161/30),F1161))=X1161,IF(N(E1161)&gt;0,E1161&amp;" x "&amp;F1161,F1161&amp;" reps"),IF(IF(N(H1161)=0,0,IF(N(G1161)&gt;0,G1161*(1+H1161/30),H1161))=X1161,IF(N(G1161)&gt;0,G1161&amp;" x "&amp;H1161,H1161&amp;" reps"),IF(IF(N(J1161)=0,0,IF(N(I1161)&gt;0,I1161*(1+J1161/30),J1161))=X1161,IF(N(I1161)&gt;0,I1161&amp;" x "&amp;J1161,J1161&amp;" reps"),IF(IF(N(L1161)=0,0,IF(N(K1161)&gt;0,K1161*(1+L1161/30),L1161))=X1161,IF(N(K1161)&gt;0,K1161&amp;" x "&amp;L1161,L1161&amp;" reps"),IF(IF(N(N1161)=0,0,IF(N(M1161)&gt;0,M1161*(1+N1161/30),N1161))=X1161,IF(N(M1161)&gt;0,M1161&amp;" x "&amp;N1161,N1161&amp;" reps"),""))))))</f>
        <v/>
      </c>
      <c r="R1161" s="20">
        <f>IF(N(X1161)=0,"",ROUND(X1161,1))</f>
        <v/>
      </c>
      <c r="S1161" s="18">
        <f>IF(N(X1161)=0,"",IF(AND(COUNTIFS(Log!$D$6:$D$1505,D1161,Log!$B$6:$B$1505,"&lt;"&amp;B1161)&gt;0,COUNTIFS(Log!$D$6:$D$1505,D1161,Log!$B$6:$B$1505,"&lt;"&amp;B1161,Log!$X$6:$X$1505,"&gt;="&amp;X1161)=0),"New best",""))</f>
        <v/>
      </c>
      <c r="T1161" s="26" t="n"/>
      <c r="U1161" s="1">
        <f>IF(D1161="","",IFERROR(INDEX(Exercises!$C$6:$C$105,MATCH(D1161,Exercises!$B$6:$B$105,0)),"Other"))</f>
        <v/>
      </c>
      <c r="V1161">
        <f>IF(B1161="","",IF(COUNTIF($B$6:B1161,B1161)=1,1,0))</f>
        <v/>
      </c>
      <c r="W1161">
        <f>IF(B1161="","",B1161-WEEKDAY(B1161,3))</f>
        <v/>
      </c>
      <c r="X1161">
        <f>IF(D1161="","",MAX(IF(N(F1161)=0,0,IF(N(E1161)&gt;0,E1161*(1+F1161/30),F1161)),IF(N(H1161)=0,0,IF(N(G1161)&gt;0,G1161*(1+H1161/30),H1161)),IF(N(J1161)=0,0,IF(N(I1161)&gt;0,I1161*(1+J1161/30),J1161)),IF(N(L1161)=0,0,IF(N(K1161)&gt;0,K1161*(1+L1161/30),L1161)),IF(N(N1161)=0,0,IF(N(M1161)&gt;0,M1161*(1+N1161/30),N1161))))</f>
        <v/>
      </c>
      <c r="Y1161">
        <f>IF(N(X1161)=0,"",X1161+ROW()/1000000000)</f>
        <v/>
      </c>
      <c r="Z1161">
        <f>IF(Y1161="","",IF(COUNTIFS(Log!$D$6:$D$1505,D1161,Log!$Y$6:$Y$1505,"&gt;"&amp;Y1161)=0,1,0))</f>
        <v/>
      </c>
      <c r="AA1161">
        <f>IF(OR(B1161="",D1161=""),"",B1161+ROW()/10000000)</f>
        <v/>
      </c>
      <c r="AB1161">
        <f>IF(AA1161="","",IF(COUNTIFS(Log!$D$6:$D$1505,D1161,Log!$AA$6:$AA$1505,"&gt;"&amp;AA1161)=0,1,0))</f>
        <v/>
      </c>
      <c r="AC1161">
        <f>IF(S1161="New best",AA1161,"")</f>
        <v/>
      </c>
      <c r="AD1161">
        <f>ROW()</f>
        <v/>
      </c>
    </row>
    <row r="1162">
      <c r="A1162" s="1" t="n"/>
      <c r="B1162" s="21" t="n"/>
      <c r="C1162" s="22" t="n"/>
      <c r="D1162" s="23" t="n"/>
      <c r="E1162" s="24" t="n"/>
      <c r="F1162" s="24" t="n"/>
      <c r="G1162" s="24" t="n"/>
      <c r="H1162" s="24" t="n"/>
      <c r="I1162" s="24" t="n"/>
      <c r="J1162" s="24" t="n"/>
      <c r="K1162" s="24" t="n"/>
      <c r="L1162" s="24" t="n"/>
      <c r="M1162" s="24" t="n"/>
      <c r="N1162" s="24" t="n"/>
      <c r="O1162" s="15">
        <f>IF(D1162="","",COUNT(F1162,H1162,J1162,L1162,N1162))</f>
        <v/>
      </c>
      <c r="P1162" s="25">
        <f>IF(D1162="","",N(E1162)*N(F1162)+N(G1162)*N(H1162)+N(I1162)*N(J1162)+N(K1162)*N(L1162)+N(M1162)*N(N1162))</f>
        <v/>
      </c>
      <c r="Q1162" s="18">
        <f>IF(N(X1162)=0,"",IF(IF(N(F1162)=0,0,IF(N(E1162)&gt;0,E1162*(1+F1162/30),F1162))=X1162,IF(N(E1162)&gt;0,E1162&amp;" x "&amp;F1162,F1162&amp;" reps"),IF(IF(N(H1162)=0,0,IF(N(G1162)&gt;0,G1162*(1+H1162/30),H1162))=X1162,IF(N(G1162)&gt;0,G1162&amp;" x "&amp;H1162,H1162&amp;" reps"),IF(IF(N(J1162)=0,0,IF(N(I1162)&gt;0,I1162*(1+J1162/30),J1162))=X1162,IF(N(I1162)&gt;0,I1162&amp;" x "&amp;J1162,J1162&amp;" reps"),IF(IF(N(L1162)=0,0,IF(N(K1162)&gt;0,K1162*(1+L1162/30),L1162))=X1162,IF(N(K1162)&gt;0,K1162&amp;" x "&amp;L1162,L1162&amp;" reps"),IF(IF(N(N1162)=0,0,IF(N(M1162)&gt;0,M1162*(1+N1162/30),N1162))=X1162,IF(N(M1162)&gt;0,M1162&amp;" x "&amp;N1162,N1162&amp;" reps"),""))))))</f>
        <v/>
      </c>
      <c r="R1162" s="20">
        <f>IF(N(X1162)=0,"",ROUND(X1162,1))</f>
        <v/>
      </c>
      <c r="S1162" s="18">
        <f>IF(N(X1162)=0,"",IF(AND(COUNTIFS(Log!$D$6:$D$1505,D1162,Log!$B$6:$B$1505,"&lt;"&amp;B1162)&gt;0,COUNTIFS(Log!$D$6:$D$1505,D1162,Log!$B$6:$B$1505,"&lt;"&amp;B1162,Log!$X$6:$X$1505,"&gt;="&amp;X1162)=0),"New best",""))</f>
        <v/>
      </c>
      <c r="T1162" s="26" t="n"/>
      <c r="U1162" s="1">
        <f>IF(D1162="","",IFERROR(INDEX(Exercises!$C$6:$C$105,MATCH(D1162,Exercises!$B$6:$B$105,0)),"Other"))</f>
        <v/>
      </c>
      <c r="V1162">
        <f>IF(B1162="","",IF(COUNTIF($B$6:B1162,B1162)=1,1,0))</f>
        <v/>
      </c>
      <c r="W1162">
        <f>IF(B1162="","",B1162-WEEKDAY(B1162,3))</f>
        <v/>
      </c>
      <c r="X1162">
        <f>IF(D1162="","",MAX(IF(N(F1162)=0,0,IF(N(E1162)&gt;0,E1162*(1+F1162/30),F1162)),IF(N(H1162)=0,0,IF(N(G1162)&gt;0,G1162*(1+H1162/30),H1162)),IF(N(J1162)=0,0,IF(N(I1162)&gt;0,I1162*(1+J1162/30),J1162)),IF(N(L1162)=0,0,IF(N(K1162)&gt;0,K1162*(1+L1162/30),L1162)),IF(N(N1162)=0,0,IF(N(M1162)&gt;0,M1162*(1+N1162/30),N1162))))</f>
        <v/>
      </c>
      <c r="Y1162">
        <f>IF(N(X1162)=0,"",X1162+ROW()/1000000000)</f>
        <v/>
      </c>
      <c r="Z1162">
        <f>IF(Y1162="","",IF(COUNTIFS(Log!$D$6:$D$1505,D1162,Log!$Y$6:$Y$1505,"&gt;"&amp;Y1162)=0,1,0))</f>
        <v/>
      </c>
      <c r="AA1162">
        <f>IF(OR(B1162="",D1162=""),"",B1162+ROW()/10000000)</f>
        <v/>
      </c>
      <c r="AB1162">
        <f>IF(AA1162="","",IF(COUNTIFS(Log!$D$6:$D$1505,D1162,Log!$AA$6:$AA$1505,"&gt;"&amp;AA1162)=0,1,0))</f>
        <v/>
      </c>
      <c r="AC1162">
        <f>IF(S1162="New best",AA1162,"")</f>
        <v/>
      </c>
      <c r="AD1162">
        <f>ROW()</f>
        <v/>
      </c>
    </row>
    <row r="1163">
      <c r="A1163" s="1" t="n"/>
      <c r="B1163" s="21" t="n"/>
      <c r="C1163" s="22" t="n"/>
      <c r="D1163" s="23" t="n"/>
      <c r="E1163" s="24" t="n"/>
      <c r="F1163" s="24" t="n"/>
      <c r="G1163" s="24" t="n"/>
      <c r="H1163" s="24" t="n"/>
      <c r="I1163" s="24" t="n"/>
      <c r="J1163" s="24" t="n"/>
      <c r="K1163" s="24" t="n"/>
      <c r="L1163" s="24" t="n"/>
      <c r="M1163" s="24" t="n"/>
      <c r="N1163" s="24" t="n"/>
      <c r="O1163" s="15">
        <f>IF(D1163="","",COUNT(F1163,H1163,J1163,L1163,N1163))</f>
        <v/>
      </c>
      <c r="P1163" s="25">
        <f>IF(D1163="","",N(E1163)*N(F1163)+N(G1163)*N(H1163)+N(I1163)*N(J1163)+N(K1163)*N(L1163)+N(M1163)*N(N1163))</f>
        <v/>
      </c>
      <c r="Q1163" s="18">
        <f>IF(N(X1163)=0,"",IF(IF(N(F1163)=0,0,IF(N(E1163)&gt;0,E1163*(1+F1163/30),F1163))=X1163,IF(N(E1163)&gt;0,E1163&amp;" x "&amp;F1163,F1163&amp;" reps"),IF(IF(N(H1163)=0,0,IF(N(G1163)&gt;0,G1163*(1+H1163/30),H1163))=X1163,IF(N(G1163)&gt;0,G1163&amp;" x "&amp;H1163,H1163&amp;" reps"),IF(IF(N(J1163)=0,0,IF(N(I1163)&gt;0,I1163*(1+J1163/30),J1163))=X1163,IF(N(I1163)&gt;0,I1163&amp;" x "&amp;J1163,J1163&amp;" reps"),IF(IF(N(L1163)=0,0,IF(N(K1163)&gt;0,K1163*(1+L1163/30),L1163))=X1163,IF(N(K1163)&gt;0,K1163&amp;" x "&amp;L1163,L1163&amp;" reps"),IF(IF(N(N1163)=0,0,IF(N(M1163)&gt;0,M1163*(1+N1163/30),N1163))=X1163,IF(N(M1163)&gt;0,M1163&amp;" x "&amp;N1163,N1163&amp;" reps"),""))))))</f>
        <v/>
      </c>
      <c r="R1163" s="20">
        <f>IF(N(X1163)=0,"",ROUND(X1163,1))</f>
        <v/>
      </c>
      <c r="S1163" s="18">
        <f>IF(N(X1163)=0,"",IF(AND(COUNTIFS(Log!$D$6:$D$1505,D1163,Log!$B$6:$B$1505,"&lt;"&amp;B1163)&gt;0,COUNTIFS(Log!$D$6:$D$1505,D1163,Log!$B$6:$B$1505,"&lt;"&amp;B1163,Log!$X$6:$X$1505,"&gt;="&amp;X1163)=0),"New best",""))</f>
        <v/>
      </c>
      <c r="T1163" s="26" t="n"/>
      <c r="U1163" s="1">
        <f>IF(D1163="","",IFERROR(INDEX(Exercises!$C$6:$C$105,MATCH(D1163,Exercises!$B$6:$B$105,0)),"Other"))</f>
        <v/>
      </c>
      <c r="V1163">
        <f>IF(B1163="","",IF(COUNTIF($B$6:B1163,B1163)=1,1,0))</f>
        <v/>
      </c>
      <c r="W1163">
        <f>IF(B1163="","",B1163-WEEKDAY(B1163,3))</f>
        <v/>
      </c>
      <c r="X1163">
        <f>IF(D1163="","",MAX(IF(N(F1163)=0,0,IF(N(E1163)&gt;0,E1163*(1+F1163/30),F1163)),IF(N(H1163)=0,0,IF(N(G1163)&gt;0,G1163*(1+H1163/30),H1163)),IF(N(J1163)=0,0,IF(N(I1163)&gt;0,I1163*(1+J1163/30),J1163)),IF(N(L1163)=0,0,IF(N(K1163)&gt;0,K1163*(1+L1163/30),L1163)),IF(N(N1163)=0,0,IF(N(M1163)&gt;0,M1163*(1+N1163/30),N1163))))</f>
        <v/>
      </c>
      <c r="Y1163">
        <f>IF(N(X1163)=0,"",X1163+ROW()/1000000000)</f>
        <v/>
      </c>
      <c r="Z1163">
        <f>IF(Y1163="","",IF(COUNTIFS(Log!$D$6:$D$1505,D1163,Log!$Y$6:$Y$1505,"&gt;"&amp;Y1163)=0,1,0))</f>
        <v/>
      </c>
      <c r="AA1163">
        <f>IF(OR(B1163="",D1163=""),"",B1163+ROW()/10000000)</f>
        <v/>
      </c>
      <c r="AB1163">
        <f>IF(AA1163="","",IF(COUNTIFS(Log!$D$6:$D$1505,D1163,Log!$AA$6:$AA$1505,"&gt;"&amp;AA1163)=0,1,0))</f>
        <v/>
      </c>
      <c r="AC1163">
        <f>IF(S1163="New best",AA1163,"")</f>
        <v/>
      </c>
      <c r="AD1163">
        <f>ROW()</f>
        <v/>
      </c>
    </row>
    <row r="1164">
      <c r="A1164" s="1" t="n"/>
      <c r="B1164" s="21" t="n"/>
      <c r="C1164" s="22" t="n"/>
      <c r="D1164" s="23" t="n"/>
      <c r="E1164" s="24" t="n"/>
      <c r="F1164" s="24" t="n"/>
      <c r="G1164" s="24" t="n"/>
      <c r="H1164" s="24" t="n"/>
      <c r="I1164" s="24" t="n"/>
      <c r="J1164" s="24" t="n"/>
      <c r="K1164" s="24" t="n"/>
      <c r="L1164" s="24" t="n"/>
      <c r="M1164" s="24" t="n"/>
      <c r="N1164" s="24" t="n"/>
      <c r="O1164" s="15">
        <f>IF(D1164="","",COUNT(F1164,H1164,J1164,L1164,N1164))</f>
        <v/>
      </c>
      <c r="P1164" s="25">
        <f>IF(D1164="","",N(E1164)*N(F1164)+N(G1164)*N(H1164)+N(I1164)*N(J1164)+N(K1164)*N(L1164)+N(M1164)*N(N1164))</f>
        <v/>
      </c>
      <c r="Q1164" s="18">
        <f>IF(N(X1164)=0,"",IF(IF(N(F1164)=0,0,IF(N(E1164)&gt;0,E1164*(1+F1164/30),F1164))=X1164,IF(N(E1164)&gt;0,E1164&amp;" x "&amp;F1164,F1164&amp;" reps"),IF(IF(N(H1164)=0,0,IF(N(G1164)&gt;0,G1164*(1+H1164/30),H1164))=X1164,IF(N(G1164)&gt;0,G1164&amp;" x "&amp;H1164,H1164&amp;" reps"),IF(IF(N(J1164)=0,0,IF(N(I1164)&gt;0,I1164*(1+J1164/30),J1164))=X1164,IF(N(I1164)&gt;0,I1164&amp;" x "&amp;J1164,J1164&amp;" reps"),IF(IF(N(L1164)=0,0,IF(N(K1164)&gt;0,K1164*(1+L1164/30),L1164))=X1164,IF(N(K1164)&gt;0,K1164&amp;" x "&amp;L1164,L1164&amp;" reps"),IF(IF(N(N1164)=0,0,IF(N(M1164)&gt;0,M1164*(1+N1164/30),N1164))=X1164,IF(N(M1164)&gt;0,M1164&amp;" x "&amp;N1164,N1164&amp;" reps"),""))))))</f>
        <v/>
      </c>
      <c r="R1164" s="20">
        <f>IF(N(X1164)=0,"",ROUND(X1164,1))</f>
        <v/>
      </c>
      <c r="S1164" s="18">
        <f>IF(N(X1164)=0,"",IF(AND(COUNTIFS(Log!$D$6:$D$1505,D1164,Log!$B$6:$B$1505,"&lt;"&amp;B1164)&gt;0,COUNTIFS(Log!$D$6:$D$1505,D1164,Log!$B$6:$B$1505,"&lt;"&amp;B1164,Log!$X$6:$X$1505,"&gt;="&amp;X1164)=0),"New best",""))</f>
        <v/>
      </c>
      <c r="T1164" s="26" t="n"/>
      <c r="U1164" s="1">
        <f>IF(D1164="","",IFERROR(INDEX(Exercises!$C$6:$C$105,MATCH(D1164,Exercises!$B$6:$B$105,0)),"Other"))</f>
        <v/>
      </c>
      <c r="V1164">
        <f>IF(B1164="","",IF(COUNTIF($B$6:B1164,B1164)=1,1,0))</f>
        <v/>
      </c>
      <c r="W1164">
        <f>IF(B1164="","",B1164-WEEKDAY(B1164,3))</f>
        <v/>
      </c>
      <c r="X1164">
        <f>IF(D1164="","",MAX(IF(N(F1164)=0,0,IF(N(E1164)&gt;0,E1164*(1+F1164/30),F1164)),IF(N(H1164)=0,0,IF(N(G1164)&gt;0,G1164*(1+H1164/30),H1164)),IF(N(J1164)=0,0,IF(N(I1164)&gt;0,I1164*(1+J1164/30),J1164)),IF(N(L1164)=0,0,IF(N(K1164)&gt;0,K1164*(1+L1164/30),L1164)),IF(N(N1164)=0,0,IF(N(M1164)&gt;0,M1164*(1+N1164/30),N1164))))</f>
        <v/>
      </c>
      <c r="Y1164">
        <f>IF(N(X1164)=0,"",X1164+ROW()/1000000000)</f>
        <v/>
      </c>
      <c r="Z1164">
        <f>IF(Y1164="","",IF(COUNTIFS(Log!$D$6:$D$1505,D1164,Log!$Y$6:$Y$1505,"&gt;"&amp;Y1164)=0,1,0))</f>
        <v/>
      </c>
      <c r="AA1164">
        <f>IF(OR(B1164="",D1164=""),"",B1164+ROW()/10000000)</f>
        <v/>
      </c>
      <c r="AB1164">
        <f>IF(AA1164="","",IF(COUNTIFS(Log!$D$6:$D$1505,D1164,Log!$AA$6:$AA$1505,"&gt;"&amp;AA1164)=0,1,0))</f>
        <v/>
      </c>
      <c r="AC1164">
        <f>IF(S1164="New best",AA1164,"")</f>
        <v/>
      </c>
      <c r="AD1164">
        <f>ROW()</f>
        <v/>
      </c>
    </row>
    <row r="1165">
      <c r="A1165" s="1" t="n"/>
      <c r="B1165" s="21" t="n"/>
      <c r="C1165" s="22" t="n"/>
      <c r="D1165" s="23" t="n"/>
      <c r="E1165" s="24" t="n"/>
      <c r="F1165" s="24" t="n"/>
      <c r="G1165" s="24" t="n"/>
      <c r="H1165" s="24" t="n"/>
      <c r="I1165" s="24" t="n"/>
      <c r="J1165" s="24" t="n"/>
      <c r="K1165" s="24" t="n"/>
      <c r="L1165" s="24" t="n"/>
      <c r="M1165" s="24" t="n"/>
      <c r="N1165" s="24" t="n"/>
      <c r="O1165" s="15">
        <f>IF(D1165="","",COUNT(F1165,H1165,J1165,L1165,N1165))</f>
        <v/>
      </c>
      <c r="P1165" s="25">
        <f>IF(D1165="","",N(E1165)*N(F1165)+N(G1165)*N(H1165)+N(I1165)*N(J1165)+N(K1165)*N(L1165)+N(M1165)*N(N1165))</f>
        <v/>
      </c>
      <c r="Q1165" s="18">
        <f>IF(N(X1165)=0,"",IF(IF(N(F1165)=0,0,IF(N(E1165)&gt;0,E1165*(1+F1165/30),F1165))=X1165,IF(N(E1165)&gt;0,E1165&amp;" x "&amp;F1165,F1165&amp;" reps"),IF(IF(N(H1165)=0,0,IF(N(G1165)&gt;0,G1165*(1+H1165/30),H1165))=X1165,IF(N(G1165)&gt;0,G1165&amp;" x "&amp;H1165,H1165&amp;" reps"),IF(IF(N(J1165)=0,0,IF(N(I1165)&gt;0,I1165*(1+J1165/30),J1165))=X1165,IF(N(I1165)&gt;0,I1165&amp;" x "&amp;J1165,J1165&amp;" reps"),IF(IF(N(L1165)=0,0,IF(N(K1165)&gt;0,K1165*(1+L1165/30),L1165))=X1165,IF(N(K1165)&gt;0,K1165&amp;" x "&amp;L1165,L1165&amp;" reps"),IF(IF(N(N1165)=0,0,IF(N(M1165)&gt;0,M1165*(1+N1165/30),N1165))=X1165,IF(N(M1165)&gt;0,M1165&amp;" x "&amp;N1165,N1165&amp;" reps"),""))))))</f>
        <v/>
      </c>
      <c r="R1165" s="20">
        <f>IF(N(X1165)=0,"",ROUND(X1165,1))</f>
        <v/>
      </c>
      <c r="S1165" s="18">
        <f>IF(N(X1165)=0,"",IF(AND(COUNTIFS(Log!$D$6:$D$1505,D1165,Log!$B$6:$B$1505,"&lt;"&amp;B1165)&gt;0,COUNTIFS(Log!$D$6:$D$1505,D1165,Log!$B$6:$B$1505,"&lt;"&amp;B1165,Log!$X$6:$X$1505,"&gt;="&amp;X1165)=0),"New best",""))</f>
        <v/>
      </c>
      <c r="T1165" s="26" t="n"/>
      <c r="U1165" s="1">
        <f>IF(D1165="","",IFERROR(INDEX(Exercises!$C$6:$C$105,MATCH(D1165,Exercises!$B$6:$B$105,0)),"Other"))</f>
        <v/>
      </c>
      <c r="V1165">
        <f>IF(B1165="","",IF(COUNTIF($B$6:B1165,B1165)=1,1,0))</f>
        <v/>
      </c>
      <c r="W1165">
        <f>IF(B1165="","",B1165-WEEKDAY(B1165,3))</f>
        <v/>
      </c>
      <c r="X1165">
        <f>IF(D1165="","",MAX(IF(N(F1165)=0,0,IF(N(E1165)&gt;0,E1165*(1+F1165/30),F1165)),IF(N(H1165)=0,0,IF(N(G1165)&gt;0,G1165*(1+H1165/30),H1165)),IF(N(J1165)=0,0,IF(N(I1165)&gt;0,I1165*(1+J1165/30),J1165)),IF(N(L1165)=0,0,IF(N(K1165)&gt;0,K1165*(1+L1165/30),L1165)),IF(N(N1165)=0,0,IF(N(M1165)&gt;0,M1165*(1+N1165/30),N1165))))</f>
        <v/>
      </c>
      <c r="Y1165">
        <f>IF(N(X1165)=0,"",X1165+ROW()/1000000000)</f>
        <v/>
      </c>
      <c r="Z1165">
        <f>IF(Y1165="","",IF(COUNTIFS(Log!$D$6:$D$1505,D1165,Log!$Y$6:$Y$1505,"&gt;"&amp;Y1165)=0,1,0))</f>
        <v/>
      </c>
      <c r="AA1165">
        <f>IF(OR(B1165="",D1165=""),"",B1165+ROW()/10000000)</f>
        <v/>
      </c>
      <c r="AB1165">
        <f>IF(AA1165="","",IF(COUNTIFS(Log!$D$6:$D$1505,D1165,Log!$AA$6:$AA$1505,"&gt;"&amp;AA1165)=0,1,0))</f>
        <v/>
      </c>
      <c r="AC1165">
        <f>IF(S1165="New best",AA1165,"")</f>
        <v/>
      </c>
      <c r="AD1165">
        <f>ROW()</f>
        <v/>
      </c>
    </row>
    <row r="1166">
      <c r="A1166" s="1" t="n"/>
      <c r="B1166" s="21" t="n"/>
      <c r="C1166" s="22" t="n"/>
      <c r="D1166" s="23" t="n"/>
      <c r="E1166" s="24" t="n"/>
      <c r="F1166" s="24" t="n"/>
      <c r="G1166" s="24" t="n"/>
      <c r="H1166" s="24" t="n"/>
      <c r="I1166" s="24" t="n"/>
      <c r="J1166" s="24" t="n"/>
      <c r="K1166" s="24" t="n"/>
      <c r="L1166" s="24" t="n"/>
      <c r="M1166" s="24" t="n"/>
      <c r="N1166" s="24" t="n"/>
      <c r="O1166" s="15">
        <f>IF(D1166="","",COUNT(F1166,H1166,J1166,L1166,N1166))</f>
        <v/>
      </c>
      <c r="P1166" s="25">
        <f>IF(D1166="","",N(E1166)*N(F1166)+N(G1166)*N(H1166)+N(I1166)*N(J1166)+N(K1166)*N(L1166)+N(M1166)*N(N1166))</f>
        <v/>
      </c>
      <c r="Q1166" s="18">
        <f>IF(N(X1166)=0,"",IF(IF(N(F1166)=0,0,IF(N(E1166)&gt;0,E1166*(1+F1166/30),F1166))=X1166,IF(N(E1166)&gt;0,E1166&amp;" x "&amp;F1166,F1166&amp;" reps"),IF(IF(N(H1166)=0,0,IF(N(G1166)&gt;0,G1166*(1+H1166/30),H1166))=X1166,IF(N(G1166)&gt;0,G1166&amp;" x "&amp;H1166,H1166&amp;" reps"),IF(IF(N(J1166)=0,0,IF(N(I1166)&gt;0,I1166*(1+J1166/30),J1166))=X1166,IF(N(I1166)&gt;0,I1166&amp;" x "&amp;J1166,J1166&amp;" reps"),IF(IF(N(L1166)=0,0,IF(N(K1166)&gt;0,K1166*(1+L1166/30),L1166))=X1166,IF(N(K1166)&gt;0,K1166&amp;" x "&amp;L1166,L1166&amp;" reps"),IF(IF(N(N1166)=0,0,IF(N(M1166)&gt;0,M1166*(1+N1166/30),N1166))=X1166,IF(N(M1166)&gt;0,M1166&amp;" x "&amp;N1166,N1166&amp;" reps"),""))))))</f>
        <v/>
      </c>
      <c r="R1166" s="20">
        <f>IF(N(X1166)=0,"",ROUND(X1166,1))</f>
        <v/>
      </c>
      <c r="S1166" s="18">
        <f>IF(N(X1166)=0,"",IF(AND(COUNTIFS(Log!$D$6:$D$1505,D1166,Log!$B$6:$B$1505,"&lt;"&amp;B1166)&gt;0,COUNTIFS(Log!$D$6:$D$1505,D1166,Log!$B$6:$B$1505,"&lt;"&amp;B1166,Log!$X$6:$X$1505,"&gt;="&amp;X1166)=0),"New best",""))</f>
        <v/>
      </c>
      <c r="T1166" s="26" t="n"/>
      <c r="U1166" s="1">
        <f>IF(D1166="","",IFERROR(INDEX(Exercises!$C$6:$C$105,MATCH(D1166,Exercises!$B$6:$B$105,0)),"Other"))</f>
        <v/>
      </c>
      <c r="V1166">
        <f>IF(B1166="","",IF(COUNTIF($B$6:B1166,B1166)=1,1,0))</f>
        <v/>
      </c>
      <c r="W1166">
        <f>IF(B1166="","",B1166-WEEKDAY(B1166,3))</f>
        <v/>
      </c>
      <c r="X1166">
        <f>IF(D1166="","",MAX(IF(N(F1166)=0,0,IF(N(E1166)&gt;0,E1166*(1+F1166/30),F1166)),IF(N(H1166)=0,0,IF(N(G1166)&gt;0,G1166*(1+H1166/30),H1166)),IF(N(J1166)=0,0,IF(N(I1166)&gt;0,I1166*(1+J1166/30),J1166)),IF(N(L1166)=0,0,IF(N(K1166)&gt;0,K1166*(1+L1166/30),L1166)),IF(N(N1166)=0,0,IF(N(M1166)&gt;0,M1166*(1+N1166/30),N1166))))</f>
        <v/>
      </c>
      <c r="Y1166">
        <f>IF(N(X1166)=0,"",X1166+ROW()/1000000000)</f>
        <v/>
      </c>
      <c r="Z1166">
        <f>IF(Y1166="","",IF(COUNTIFS(Log!$D$6:$D$1505,D1166,Log!$Y$6:$Y$1505,"&gt;"&amp;Y1166)=0,1,0))</f>
        <v/>
      </c>
      <c r="AA1166">
        <f>IF(OR(B1166="",D1166=""),"",B1166+ROW()/10000000)</f>
        <v/>
      </c>
      <c r="AB1166">
        <f>IF(AA1166="","",IF(COUNTIFS(Log!$D$6:$D$1505,D1166,Log!$AA$6:$AA$1505,"&gt;"&amp;AA1166)=0,1,0))</f>
        <v/>
      </c>
      <c r="AC1166">
        <f>IF(S1166="New best",AA1166,"")</f>
        <v/>
      </c>
      <c r="AD1166">
        <f>ROW()</f>
        <v/>
      </c>
    </row>
    <row r="1167">
      <c r="A1167" s="1" t="n"/>
      <c r="B1167" s="21" t="n"/>
      <c r="C1167" s="22" t="n"/>
      <c r="D1167" s="23" t="n"/>
      <c r="E1167" s="24" t="n"/>
      <c r="F1167" s="24" t="n"/>
      <c r="G1167" s="24" t="n"/>
      <c r="H1167" s="24" t="n"/>
      <c r="I1167" s="24" t="n"/>
      <c r="J1167" s="24" t="n"/>
      <c r="K1167" s="24" t="n"/>
      <c r="L1167" s="24" t="n"/>
      <c r="M1167" s="24" t="n"/>
      <c r="N1167" s="24" t="n"/>
      <c r="O1167" s="15">
        <f>IF(D1167="","",COUNT(F1167,H1167,J1167,L1167,N1167))</f>
        <v/>
      </c>
      <c r="P1167" s="25">
        <f>IF(D1167="","",N(E1167)*N(F1167)+N(G1167)*N(H1167)+N(I1167)*N(J1167)+N(K1167)*N(L1167)+N(M1167)*N(N1167))</f>
        <v/>
      </c>
      <c r="Q1167" s="18">
        <f>IF(N(X1167)=0,"",IF(IF(N(F1167)=0,0,IF(N(E1167)&gt;0,E1167*(1+F1167/30),F1167))=X1167,IF(N(E1167)&gt;0,E1167&amp;" x "&amp;F1167,F1167&amp;" reps"),IF(IF(N(H1167)=0,0,IF(N(G1167)&gt;0,G1167*(1+H1167/30),H1167))=X1167,IF(N(G1167)&gt;0,G1167&amp;" x "&amp;H1167,H1167&amp;" reps"),IF(IF(N(J1167)=0,0,IF(N(I1167)&gt;0,I1167*(1+J1167/30),J1167))=X1167,IF(N(I1167)&gt;0,I1167&amp;" x "&amp;J1167,J1167&amp;" reps"),IF(IF(N(L1167)=0,0,IF(N(K1167)&gt;0,K1167*(1+L1167/30),L1167))=X1167,IF(N(K1167)&gt;0,K1167&amp;" x "&amp;L1167,L1167&amp;" reps"),IF(IF(N(N1167)=0,0,IF(N(M1167)&gt;0,M1167*(1+N1167/30),N1167))=X1167,IF(N(M1167)&gt;0,M1167&amp;" x "&amp;N1167,N1167&amp;" reps"),""))))))</f>
        <v/>
      </c>
      <c r="R1167" s="20">
        <f>IF(N(X1167)=0,"",ROUND(X1167,1))</f>
        <v/>
      </c>
      <c r="S1167" s="18">
        <f>IF(N(X1167)=0,"",IF(AND(COUNTIFS(Log!$D$6:$D$1505,D1167,Log!$B$6:$B$1505,"&lt;"&amp;B1167)&gt;0,COUNTIFS(Log!$D$6:$D$1505,D1167,Log!$B$6:$B$1505,"&lt;"&amp;B1167,Log!$X$6:$X$1505,"&gt;="&amp;X1167)=0),"New best",""))</f>
        <v/>
      </c>
      <c r="T1167" s="26" t="n"/>
      <c r="U1167" s="1">
        <f>IF(D1167="","",IFERROR(INDEX(Exercises!$C$6:$C$105,MATCH(D1167,Exercises!$B$6:$B$105,0)),"Other"))</f>
        <v/>
      </c>
      <c r="V1167">
        <f>IF(B1167="","",IF(COUNTIF($B$6:B1167,B1167)=1,1,0))</f>
        <v/>
      </c>
      <c r="W1167">
        <f>IF(B1167="","",B1167-WEEKDAY(B1167,3))</f>
        <v/>
      </c>
      <c r="X1167">
        <f>IF(D1167="","",MAX(IF(N(F1167)=0,0,IF(N(E1167)&gt;0,E1167*(1+F1167/30),F1167)),IF(N(H1167)=0,0,IF(N(G1167)&gt;0,G1167*(1+H1167/30),H1167)),IF(N(J1167)=0,0,IF(N(I1167)&gt;0,I1167*(1+J1167/30),J1167)),IF(N(L1167)=0,0,IF(N(K1167)&gt;0,K1167*(1+L1167/30),L1167)),IF(N(N1167)=0,0,IF(N(M1167)&gt;0,M1167*(1+N1167/30),N1167))))</f>
        <v/>
      </c>
      <c r="Y1167">
        <f>IF(N(X1167)=0,"",X1167+ROW()/1000000000)</f>
        <v/>
      </c>
      <c r="Z1167">
        <f>IF(Y1167="","",IF(COUNTIFS(Log!$D$6:$D$1505,D1167,Log!$Y$6:$Y$1505,"&gt;"&amp;Y1167)=0,1,0))</f>
        <v/>
      </c>
      <c r="AA1167">
        <f>IF(OR(B1167="",D1167=""),"",B1167+ROW()/10000000)</f>
        <v/>
      </c>
      <c r="AB1167">
        <f>IF(AA1167="","",IF(COUNTIFS(Log!$D$6:$D$1505,D1167,Log!$AA$6:$AA$1505,"&gt;"&amp;AA1167)=0,1,0))</f>
        <v/>
      </c>
      <c r="AC1167">
        <f>IF(S1167="New best",AA1167,"")</f>
        <v/>
      </c>
      <c r="AD1167">
        <f>ROW()</f>
        <v/>
      </c>
    </row>
    <row r="1168">
      <c r="A1168" s="1" t="n"/>
      <c r="B1168" s="21" t="n"/>
      <c r="C1168" s="22" t="n"/>
      <c r="D1168" s="23" t="n"/>
      <c r="E1168" s="24" t="n"/>
      <c r="F1168" s="24" t="n"/>
      <c r="G1168" s="24" t="n"/>
      <c r="H1168" s="24" t="n"/>
      <c r="I1168" s="24" t="n"/>
      <c r="J1168" s="24" t="n"/>
      <c r="K1168" s="24" t="n"/>
      <c r="L1168" s="24" t="n"/>
      <c r="M1168" s="24" t="n"/>
      <c r="N1168" s="24" t="n"/>
      <c r="O1168" s="15">
        <f>IF(D1168="","",COUNT(F1168,H1168,J1168,L1168,N1168))</f>
        <v/>
      </c>
      <c r="P1168" s="25">
        <f>IF(D1168="","",N(E1168)*N(F1168)+N(G1168)*N(H1168)+N(I1168)*N(J1168)+N(K1168)*N(L1168)+N(M1168)*N(N1168))</f>
        <v/>
      </c>
      <c r="Q1168" s="18">
        <f>IF(N(X1168)=0,"",IF(IF(N(F1168)=0,0,IF(N(E1168)&gt;0,E1168*(1+F1168/30),F1168))=X1168,IF(N(E1168)&gt;0,E1168&amp;" x "&amp;F1168,F1168&amp;" reps"),IF(IF(N(H1168)=0,0,IF(N(G1168)&gt;0,G1168*(1+H1168/30),H1168))=X1168,IF(N(G1168)&gt;0,G1168&amp;" x "&amp;H1168,H1168&amp;" reps"),IF(IF(N(J1168)=0,0,IF(N(I1168)&gt;0,I1168*(1+J1168/30),J1168))=X1168,IF(N(I1168)&gt;0,I1168&amp;" x "&amp;J1168,J1168&amp;" reps"),IF(IF(N(L1168)=0,0,IF(N(K1168)&gt;0,K1168*(1+L1168/30),L1168))=X1168,IF(N(K1168)&gt;0,K1168&amp;" x "&amp;L1168,L1168&amp;" reps"),IF(IF(N(N1168)=0,0,IF(N(M1168)&gt;0,M1168*(1+N1168/30),N1168))=X1168,IF(N(M1168)&gt;0,M1168&amp;" x "&amp;N1168,N1168&amp;" reps"),""))))))</f>
        <v/>
      </c>
      <c r="R1168" s="20">
        <f>IF(N(X1168)=0,"",ROUND(X1168,1))</f>
        <v/>
      </c>
      <c r="S1168" s="18">
        <f>IF(N(X1168)=0,"",IF(AND(COUNTIFS(Log!$D$6:$D$1505,D1168,Log!$B$6:$B$1505,"&lt;"&amp;B1168)&gt;0,COUNTIFS(Log!$D$6:$D$1505,D1168,Log!$B$6:$B$1505,"&lt;"&amp;B1168,Log!$X$6:$X$1505,"&gt;="&amp;X1168)=0),"New best",""))</f>
        <v/>
      </c>
      <c r="T1168" s="26" t="n"/>
      <c r="U1168" s="1">
        <f>IF(D1168="","",IFERROR(INDEX(Exercises!$C$6:$C$105,MATCH(D1168,Exercises!$B$6:$B$105,0)),"Other"))</f>
        <v/>
      </c>
      <c r="V1168">
        <f>IF(B1168="","",IF(COUNTIF($B$6:B1168,B1168)=1,1,0))</f>
        <v/>
      </c>
      <c r="W1168">
        <f>IF(B1168="","",B1168-WEEKDAY(B1168,3))</f>
        <v/>
      </c>
      <c r="X1168">
        <f>IF(D1168="","",MAX(IF(N(F1168)=0,0,IF(N(E1168)&gt;0,E1168*(1+F1168/30),F1168)),IF(N(H1168)=0,0,IF(N(G1168)&gt;0,G1168*(1+H1168/30),H1168)),IF(N(J1168)=0,0,IF(N(I1168)&gt;0,I1168*(1+J1168/30),J1168)),IF(N(L1168)=0,0,IF(N(K1168)&gt;0,K1168*(1+L1168/30),L1168)),IF(N(N1168)=0,0,IF(N(M1168)&gt;0,M1168*(1+N1168/30),N1168))))</f>
        <v/>
      </c>
      <c r="Y1168">
        <f>IF(N(X1168)=0,"",X1168+ROW()/1000000000)</f>
        <v/>
      </c>
      <c r="Z1168">
        <f>IF(Y1168="","",IF(COUNTIFS(Log!$D$6:$D$1505,D1168,Log!$Y$6:$Y$1505,"&gt;"&amp;Y1168)=0,1,0))</f>
        <v/>
      </c>
      <c r="AA1168">
        <f>IF(OR(B1168="",D1168=""),"",B1168+ROW()/10000000)</f>
        <v/>
      </c>
      <c r="AB1168">
        <f>IF(AA1168="","",IF(COUNTIFS(Log!$D$6:$D$1505,D1168,Log!$AA$6:$AA$1505,"&gt;"&amp;AA1168)=0,1,0))</f>
        <v/>
      </c>
      <c r="AC1168">
        <f>IF(S1168="New best",AA1168,"")</f>
        <v/>
      </c>
      <c r="AD1168">
        <f>ROW()</f>
        <v/>
      </c>
    </row>
    <row r="1169">
      <c r="A1169" s="1" t="n"/>
      <c r="B1169" s="21" t="n"/>
      <c r="C1169" s="22" t="n"/>
      <c r="D1169" s="23" t="n"/>
      <c r="E1169" s="24" t="n"/>
      <c r="F1169" s="24" t="n"/>
      <c r="G1169" s="24" t="n"/>
      <c r="H1169" s="24" t="n"/>
      <c r="I1169" s="24" t="n"/>
      <c r="J1169" s="24" t="n"/>
      <c r="K1169" s="24" t="n"/>
      <c r="L1169" s="24" t="n"/>
      <c r="M1169" s="24" t="n"/>
      <c r="N1169" s="24" t="n"/>
      <c r="O1169" s="15">
        <f>IF(D1169="","",COUNT(F1169,H1169,J1169,L1169,N1169))</f>
        <v/>
      </c>
      <c r="P1169" s="25">
        <f>IF(D1169="","",N(E1169)*N(F1169)+N(G1169)*N(H1169)+N(I1169)*N(J1169)+N(K1169)*N(L1169)+N(M1169)*N(N1169))</f>
        <v/>
      </c>
      <c r="Q1169" s="18">
        <f>IF(N(X1169)=0,"",IF(IF(N(F1169)=0,0,IF(N(E1169)&gt;0,E1169*(1+F1169/30),F1169))=X1169,IF(N(E1169)&gt;0,E1169&amp;" x "&amp;F1169,F1169&amp;" reps"),IF(IF(N(H1169)=0,0,IF(N(G1169)&gt;0,G1169*(1+H1169/30),H1169))=X1169,IF(N(G1169)&gt;0,G1169&amp;" x "&amp;H1169,H1169&amp;" reps"),IF(IF(N(J1169)=0,0,IF(N(I1169)&gt;0,I1169*(1+J1169/30),J1169))=X1169,IF(N(I1169)&gt;0,I1169&amp;" x "&amp;J1169,J1169&amp;" reps"),IF(IF(N(L1169)=0,0,IF(N(K1169)&gt;0,K1169*(1+L1169/30),L1169))=X1169,IF(N(K1169)&gt;0,K1169&amp;" x "&amp;L1169,L1169&amp;" reps"),IF(IF(N(N1169)=0,0,IF(N(M1169)&gt;0,M1169*(1+N1169/30),N1169))=X1169,IF(N(M1169)&gt;0,M1169&amp;" x "&amp;N1169,N1169&amp;" reps"),""))))))</f>
        <v/>
      </c>
      <c r="R1169" s="20">
        <f>IF(N(X1169)=0,"",ROUND(X1169,1))</f>
        <v/>
      </c>
      <c r="S1169" s="18">
        <f>IF(N(X1169)=0,"",IF(AND(COUNTIFS(Log!$D$6:$D$1505,D1169,Log!$B$6:$B$1505,"&lt;"&amp;B1169)&gt;0,COUNTIFS(Log!$D$6:$D$1505,D1169,Log!$B$6:$B$1505,"&lt;"&amp;B1169,Log!$X$6:$X$1505,"&gt;="&amp;X1169)=0),"New best",""))</f>
        <v/>
      </c>
      <c r="T1169" s="26" t="n"/>
      <c r="U1169" s="1">
        <f>IF(D1169="","",IFERROR(INDEX(Exercises!$C$6:$C$105,MATCH(D1169,Exercises!$B$6:$B$105,0)),"Other"))</f>
        <v/>
      </c>
      <c r="V1169">
        <f>IF(B1169="","",IF(COUNTIF($B$6:B1169,B1169)=1,1,0))</f>
        <v/>
      </c>
      <c r="W1169">
        <f>IF(B1169="","",B1169-WEEKDAY(B1169,3))</f>
        <v/>
      </c>
      <c r="X1169">
        <f>IF(D1169="","",MAX(IF(N(F1169)=0,0,IF(N(E1169)&gt;0,E1169*(1+F1169/30),F1169)),IF(N(H1169)=0,0,IF(N(G1169)&gt;0,G1169*(1+H1169/30),H1169)),IF(N(J1169)=0,0,IF(N(I1169)&gt;0,I1169*(1+J1169/30),J1169)),IF(N(L1169)=0,0,IF(N(K1169)&gt;0,K1169*(1+L1169/30),L1169)),IF(N(N1169)=0,0,IF(N(M1169)&gt;0,M1169*(1+N1169/30),N1169))))</f>
        <v/>
      </c>
      <c r="Y1169">
        <f>IF(N(X1169)=0,"",X1169+ROW()/1000000000)</f>
        <v/>
      </c>
      <c r="Z1169">
        <f>IF(Y1169="","",IF(COUNTIFS(Log!$D$6:$D$1505,D1169,Log!$Y$6:$Y$1505,"&gt;"&amp;Y1169)=0,1,0))</f>
        <v/>
      </c>
      <c r="AA1169">
        <f>IF(OR(B1169="",D1169=""),"",B1169+ROW()/10000000)</f>
        <v/>
      </c>
      <c r="AB1169">
        <f>IF(AA1169="","",IF(COUNTIFS(Log!$D$6:$D$1505,D1169,Log!$AA$6:$AA$1505,"&gt;"&amp;AA1169)=0,1,0))</f>
        <v/>
      </c>
      <c r="AC1169">
        <f>IF(S1169="New best",AA1169,"")</f>
        <v/>
      </c>
      <c r="AD1169">
        <f>ROW()</f>
        <v/>
      </c>
    </row>
    <row r="1170">
      <c r="A1170" s="1" t="n"/>
      <c r="B1170" s="21" t="n"/>
      <c r="C1170" s="22" t="n"/>
      <c r="D1170" s="23" t="n"/>
      <c r="E1170" s="24" t="n"/>
      <c r="F1170" s="24" t="n"/>
      <c r="G1170" s="24" t="n"/>
      <c r="H1170" s="24" t="n"/>
      <c r="I1170" s="24" t="n"/>
      <c r="J1170" s="24" t="n"/>
      <c r="K1170" s="24" t="n"/>
      <c r="L1170" s="24" t="n"/>
      <c r="M1170" s="24" t="n"/>
      <c r="N1170" s="24" t="n"/>
      <c r="O1170" s="15">
        <f>IF(D1170="","",COUNT(F1170,H1170,J1170,L1170,N1170))</f>
        <v/>
      </c>
      <c r="P1170" s="25">
        <f>IF(D1170="","",N(E1170)*N(F1170)+N(G1170)*N(H1170)+N(I1170)*N(J1170)+N(K1170)*N(L1170)+N(M1170)*N(N1170))</f>
        <v/>
      </c>
      <c r="Q1170" s="18">
        <f>IF(N(X1170)=0,"",IF(IF(N(F1170)=0,0,IF(N(E1170)&gt;0,E1170*(1+F1170/30),F1170))=X1170,IF(N(E1170)&gt;0,E1170&amp;" x "&amp;F1170,F1170&amp;" reps"),IF(IF(N(H1170)=0,0,IF(N(G1170)&gt;0,G1170*(1+H1170/30),H1170))=X1170,IF(N(G1170)&gt;0,G1170&amp;" x "&amp;H1170,H1170&amp;" reps"),IF(IF(N(J1170)=0,0,IF(N(I1170)&gt;0,I1170*(1+J1170/30),J1170))=X1170,IF(N(I1170)&gt;0,I1170&amp;" x "&amp;J1170,J1170&amp;" reps"),IF(IF(N(L1170)=0,0,IF(N(K1170)&gt;0,K1170*(1+L1170/30),L1170))=X1170,IF(N(K1170)&gt;0,K1170&amp;" x "&amp;L1170,L1170&amp;" reps"),IF(IF(N(N1170)=0,0,IF(N(M1170)&gt;0,M1170*(1+N1170/30),N1170))=X1170,IF(N(M1170)&gt;0,M1170&amp;" x "&amp;N1170,N1170&amp;" reps"),""))))))</f>
        <v/>
      </c>
      <c r="R1170" s="20">
        <f>IF(N(X1170)=0,"",ROUND(X1170,1))</f>
        <v/>
      </c>
      <c r="S1170" s="18">
        <f>IF(N(X1170)=0,"",IF(AND(COUNTIFS(Log!$D$6:$D$1505,D1170,Log!$B$6:$B$1505,"&lt;"&amp;B1170)&gt;0,COUNTIFS(Log!$D$6:$D$1505,D1170,Log!$B$6:$B$1505,"&lt;"&amp;B1170,Log!$X$6:$X$1505,"&gt;="&amp;X1170)=0),"New best",""))</f>
        <v/>
      </c>
      <c r="T1170" s="26" t="n"/>
      <c r="U1170" s="1">
        <f>IF(D1170="","",IFERROR(INDEX(Exercises!$C$6:$C$105,MATCH(D1170,Exercises!$B$6:$B$105,0)),"Other"))</f>
        <v/>
      </c>
      <c r="V1170">
        <f>IF(B1170="","",IF(COUNTIF($B$6:B1170,B1170)=1,1,0))</f>
        <v/>
      </c>
      <c r="W1170">
        <f>IF(B1170="","",B1170-WEEKDAY(B1170,3))</f>
        <v/>
      </c>
      <c r="X1170">
        <f>IF(D1170="","",MAX(IF(N(F1170)=0,0,IF(N(E1170)&gt;0,E1170*(1+F1170/30),F1170)),IF(N(H1170)=0,0,IF(N(G1170)&gt;0,G1170*(1+H1170/30),H1170)),IF(N(J1170)=0,0,IF(N(I1170)&gt;0,I1170*(1+J1170/30),J1170)),IF(N(L1170)=0,0,IF(N(K1170)&gt;0,K1170*(1+L1170/30),L1170)),IF(N(N1170)=0,0,IF(N(M1170)&gt;0,M1170*(1+N1170/30),N1170))))</f>
        <v/>
      </c>
      <c r="Y1170">
        <f>IF(N(X1170)=0,"",X1170+ROW()/1000000000)</f>
        <v/>
      </c>
      <c r="Z1170">
        <f>IF(Y1170="","",IF(COUNTIFS(Log!$D$6:$D$1505,D1170,Log!$Y$6:$Y$1505,"&gt;"&amp;Y1170)=0,1,0))</f>
        <v/>
      </c>
      <c r="AA1170">
        <f>IF(OR(B1170="",D1170=""),"",B1170+ROW()/10000000)</f>
        <v/>
      </c>
      <c r="AB1170">
        <f>IF(AA1170="","",IF(COUNTIFS(Log!$D$6:$D$1505,D1170,Log!$AA$6:$AA$1505,"&gt;"&amp;AA1170)=0,1,0))</f>
        <v/>
      </c>
      <c r="AC1170">
        <f>IF(S1170="New best",AA1170,"")</f>
        <v/>
      </c>
      <c r="AD1170">
        <f>ROW()</f>
        <v/>
      </c>
    </row>
    <row r="1171">
      <c r="A1171" s="1" t="n"/>
      <c r="B1171" s="21" t="n"/>
      <c r="C1171" s="22" t="n"/>
      <c r="D1171" s="23" t="n"/>
      <c r="E1171" s="24" t="n"/>
      <c r="F1171" s="24" t="n"/>
      <c r="G1171" s="24" t="n"/>
      <c r="H1171" s="24" t="n"/>
      <c r="I1171" s="24" t="n"/>
      <c r="J1171" s="24" t="n"/>
      <c r="K1171" s="24" t="n"/>
      <c r="L1171" s="24" t="n"/>
      <c r="M1171" s="24" t="n"/>
      <c r="N1171" s="24" t="n"/>
      <c r="O1171" s="15">
        <f>IF(D1171="","",COUNT(F1171,H1171,J1171,L1171,N1171))</f>
        <v/>
      </c>
      <c r="P1171" s="25">
        <f>IF(D1171="","",N(E1171)*N(F1171)+N(G1171)*N(H1171)+N(I1171)*N(J1171)+N(K1171)*N(L1171)+N(M1171)*N(N1171))</f>
        <v/>
      </c>
      <c r="Q1171" s="18">
        <f>IF(N(X1171)=0,"",IF(IF(N(F1171)=0,0,IF(N(E1171)&gt;0,E1171*(1+F1171/30),F1171))=X1171,IF(N(E1171)&gt;0,E1171&amp;" x "&amp;F1171,F1171&amp;" reps"),IF(IF(N(H1171)=0,0,IF(N(G1171)&gt;0,G1171*(1+H1171/30),H1171))=X1171,IF(N(G1171)&gt;0,G1171&amp;" x "&amp;H1171,H1171&amp;" reps"),IF(IF(N(J1171)=0,0,IF(N(I1171)&gt;0,I1171*(1+J1171/30),J1171))=X1171,IF(N(I1171)&gt;0,I1171&amp;" x "&amp;J1171,J1171&amp;" reps"),IF(IF(N(L1171)=0,0,IF(N(K1171)&gt;0,K1171*(1+L1171/30),L1171))=X1171,IF(N(K1171)&gt;0,K1171&amp;" x "&amp;L1171,L1171&amp;" reps"),IF(IF(N(N1171)=0,0,IF(N(M1171)&gt;0,M1171*(1+N1171/30),N1171))=X1171,IF(N(M1171)&gt;0,M1171&amp;" x "&amp;N1171,N1171&amp;" reps"),""))))))</f>
        <v/>
      </c>
      <c r="R1171" s="20">
        <f>IF(N(X1171)=0,"",ROUND(X1171,1))</f>
        <v/>
      </c>
      <c r="S1171" s="18">
        <f>IF(N(X1171)=0,"",IF(AND(COUNTIFS(Log!$D$6:$D$1505,D1171,Log!$B$6:$B$1505,"&lt;"&amp;B1171)&gt;0,COUNTIFS(Log!$D$6:$D$1505,D1171,Log!$B$6:$B$1505,"&lt;"&amp;B1171,Log!$X$6:$X$1505,"&gt;="&amp;X1171)=0),"New best",""))</f>
        <v/>
      </c>
      <c r="T1171" s="26" t="n"/>
      <c r="U1171" s="1">
        <f>IF(D1171="","",IFERROR(INDEX(Exercises!$C$6:$C$105,MATCH(D1171,Exercises!$B$6:$B$105,0)),"Other"))</f>
        <v/>
      </c>
      <c r="V1171">
        <f>IF(B1171="","",IF(COUNTIF($B$6:B1171,B1171)=1,1,0))</f>
        <v/>
      </c>
      <c r="W1171">
        <f>IF(B1171="","",B1171-WEEKDAY(B1171,3))</f>
        <v/>
      </c>
      <c r="X1171">
        <f>IF(D1171="","",MAX(IF(N(F1171)=0,0,IF(N(E1171)&gt;0,E1171*(1+F1171/30),F1171)),IF(N(H1171)=0,0,IF(N(G1171)&gt;0,G1171*(1+H1171/30),H1171)),IF(N(J1171)=0,0,IF(N(I1171)&gt;0,I1171*(1+J1171/30),J1171)),IF(N(L1171)=0,0,IF(N(K1171)&gt;0,K1171*(1+L1171/30),L1171)),IF(N(N1171)=0,0,IF(N(M1171)&gt;0,M1171*(1+N1171/30),N1171))))</f>
        <v/>
      </c>
      <c r="Y1171">
        <f>IF(N(X1171)=0,"",X1171+ROW()/1000000000)</f>
        <v/>
      </c>
      <c r="Z1171">
        <f>IF(Y1171="","",IF(COUNTIFS(Log!$D$6:$D$1505,D1171,Log!$Y$6:$Y$1505,"&gt;"&amp;Y1171)=0,1,0))</f>
        <v/>
      </c>
      <c r="AA1171">
        <f>IF(OR(B1171="",D1171=""),"",B1171+ROW()/10000000)</f>
        <v/>
      </c>
      <c r="AB1171">
        <f>IF(AA1171="","",IF(COUNTIFS(Log!$D$6:$D$1505,D1171,Log!$AA$6:$AA$1505,"&gt;"&amp;AA1171)=0,1,0))</f>
        <v/>
      </c>
      <c r="AC1171">
        <f>IF(S1171="New best",AA1171,"")</f>
        <v/>
      </c>
      <c r="AD1171">
        <f>ROW()</f>
        <v/>
      </c>
    </row>
    <row r="1172">
      <c r="A1172" s="1" t="n"/>
      <c r="B1172" s="21" t="n"/>
      <c r="C1172" s="22" t="n"/>
      <c r="D1172" s="23" t="n"/>
      <c r="E1172" s="24" t="n"/>
      <c r="F1172" s="24" t="n"/>
      <c r="G1172" s="24" t="n"/>
      <c r="H1172" s="24" t="n"/>
      <c r="I1172" s="24" t="n"/>
      <c r="J1172" s="24" t="n"/>
      <c r="K1172" s="24" t="n"/>
      <c r="L1172" s="24" t="n"/>
      <c r="M1172" s="24" t="n"/>
      <c r="N1172" s="24" t="n"/>
      <c r="O1172" s="15">
        <f>IF(D1172="","",COUNT(F1172,H1172,J1172,L1172,N1172))</f>
        <v/>
      </c>
      <c r="P1172" s="25">
        <f>IF(D1172="","",N(E1172)*N(F1172)+N(G1172)*N(H1172)+N(I1172)*N(J1172)+N(K1172)*N(L1172)+N(M1172)*N(N1172))</f>
        <v/>
      </c>
      <c r="Q1172" s="18">
        <f>IF(N(X1172)=0,"",IF(IF(N(F1172)=0,0,IF(N(E1172)&gt;0,E1172*(1+F1172/30),F1172))=X1172,IF(N(E1172)&gt;0,E1172&amp;" x "&amp;F1172,F1172&amp;" reps"),IF(IF(N(H1172)=0,0,IF(N(G1172)&gt;0,G1172*(1+H1172/30),H1172))=X1172,IF(N(G1172)&gt;0,G1172&amp;" x "&amp;H1172,H1172&amp;" reps"),IF(IF(N(J1172)=0,0,IF(N(I1172)&gt;0,I1172*(1+J1172/30),J1172))=X1172,IF(N(I1172)&gt;0,I1172&amp;" x "&amp;J1172,J1172&amp;" reps"),IF(IF(N(L1172)=0,0,IF(N(K1172)&gt;0,K1172*(1+L1172/30),L1172))=X1172,IF(N(K1172)&gt;0,K1172&amp;" x "&amp;L1172,L1172&amp;" reps"),IF(IF(N(N1172)=0,0,IF(N(M1172)&gt;0,M1172*(1+N1172/30),N1172))=X1172,IF(N(M1172)&gt;0,M1172&amp;" x "&amp;N1172,N1172&amp;" reps"),""))))))</f>
        <v/>
      </c>
      <c r="R1172" s="20">
        <f>IF(N(X1172)=0,"",ROUND(X1172,1))</f>
        <v/>
      </c>
      <c r="S1172" s="18">
        <f>IF(N(X1172)=0,"",IF(AND(COUNTIFS(Log!$D$6:$D$1505,D1172,Log!$B$6:$B$1505,"&lt;"&amp;B1172)&gt;0,COUNTIFS(Log!$D$6:$D$1505,D1172,Log!$B$6:$B$1505,"&lt;"&amp;B1172,Log!$X$6:$X$1505,"&gt;="&amp;X1172)=0),"New best",""))</f>
        <v/>
      </c>
      <c r="T1172" s="26" t="n"/>
      <c r="U1172" s="1">
        <f>IF(D1172="","",IFERROR(INDEX(Exercises!$C$6:$C$105,MATCH(D1172,Exercises!$B$6:$B$105,0)),"Other"))</f>
        <v/>
      </c>
      <c r="V1172">
        <f>IF(B1172="","",IF(COUNTIF($B$6:B1172,B1172)=1,1,0))</f>
        <v/>
      </c>
      <c r="W1172">
        <f>IF(B1172="","",B1172-WEEKDAY(B1172,3))</f>
        <v/>
      </c>
      <c r="X1172">
        <f>IF(D1172="","",MAX(IF(N(F1172)=0,0,IF(N(E1172)&gt;0,E1172*(1+F1172/30),F1172)),IF(N(H1172)=0,0,IF(N(G1172)&gt;0,G1172*(1+H1172/30),H1172)),IF(N(J1172)=0,0,IF(N(I1172)&gt;0,I1172*(1+J1172/30),J1172)),IF(N(L1172)=0,0,IF(N(K1172)&gt;0,K1172*(1+L1172/30),L1172)),IF(N(N1172)=0,0,IF(N(M1172)&gt;0,M1172*(1+N1172/30),N1172))))</f>
        <v/>
      </c>
      <c r="Y1172">
        <f>IF(N(X1172)=0,"",X1172+ROW()/1000000000)</f>
        <v/>
      </c>
      <c r="Z1172">
        <f>IF(Y1172="","",IF(COUNTIFS(Log!$D$6:$D$1505,D1172,Log!$Y$6:$Y$1505,"&gt;"&amp;Y1172)=0,1,0))</f>
        <v/>
      </c>
      <c r="AA1172">
        <f>IF(OR(B1172="",D1172=""),"",B1172+ROW()/10000000)</f>
        <v/>
      </c>
      <c r="AB1172">
        <f>IF(AA1172="","",IF(COUNTIFS(Log!$D$6:$D$1505,D1172,Log!$AA$6:$AA$1505,"&gt;"&amp;AA1172)=0,1,0))</f>
        <v/>
      </c>
      <c r="AC1172">
        <f>IF(S1172="New best",AA1172,"")</f>
        <v/>
      </c>
      <c r="AD1172">
        <f>ROW()</f>
        <v/>
      </c>
    </row>
    <row r="1173">
      <c r="A1173" s="1" t="n"/>
      <c r="B1173" s="21" t="n"/>
      <c r="C1173" s="22" t="n"/>
      <c r="D1173" s="23" t="n"/>
      <c r="E1173" s="24" t="n"/>
      <c r="F1173" s="24" t="n"/>
      <c r="G1173" s="24" t="n"/>
      <c r="H1173" s="24" t="n"/>
      <c r="I1173" s="24" t="n"/>
      <c r="J1173" s="24" t="n"/>
      <c r="K1173" s="24" t="n"/>
      <c r="L1173" s="24" t="n"/>
      <c r="M1173" s="24" t="n"/>
      <c r="N1173" s="24" t="n"/>
      <c r="O1173" s="15">
        <f>IF(D1173="","",COUNT(F1173,H1173,J1173,L1173,N1173))</f>
        <v/>
      </c>
      <c r="P1173" s="25">
        <f>IF(D1173="","",N(E1173)*N(F1173)+N(G1173)*N(H1173)+N(I1173)*N(J1173)+N(K1173)*N(L1173)+N(M1173)*N(N1173))</f>
        <v/>
      </c>
      <c r="Q1173" s="18">
        <f>IF(N(X1173)=0,"",IF(IF(N(F1173)=0,0,IF(N(E1173)&gt;0,E1173*(1+F1173/30),F1173))=X1173,IF(N(E1173)&gt;0,E1173&amp;" x "&amp;F1173,F1173&amp;" reps"),IF(IF(N(H1173)=0,0,IF(N(G1173)&gt;0,G1173*(1+H1173/30),H1173))=X1173,IF(N(G1173)&gt;0,G1173&amp;" x "&amp;H1173,H1173&amp;" reps"),IF(IF(N(J1173)=0,0,IF(N(I1173)&gt;0,I1173*(1+J1173/30),J1173))=X1173,IF(N(I1173)&gt;0,I1173&amp;" x "&amp;J1173,J1173&amp;" reps"),IF(IF(N(L1173)=0,0,IF(N(K1173)&gt;0,K1173*(1+L1173/30),L1173))=X1173,IF(N(K1173)&gt;0,K1173&amp;" x "&amp;L1173,L1173&amp;" reps"),IF(IF(N(N1173)=0,0,IF(N(M1173)&gt;0,M1173*(1+N1173/30),N1173))=X1173,IF(N(M1173)&gt;0,M1173&amp;" x "&amp;N1173,N1173&amp;" reps"),""))))))</f>
        <v/>
      </c>
      <c r="R1173" s="20">
        <f>IF(N(X1173)=0,"",ROUND(X1173,1))</f>
        <v/>
      </c>
      <c r="S1173" s="18">
        <f>IF(N(X1173)=0,"",IF(AND(COUNTIFS(Log!$D$6:$D$1505,D1173,Log!$B$6:$B$1505,"&lt;"&amp;B1173)&gt;0,COUNTIFS(Log!$D$6:$D$1505,D1173,Log!$B$6:$B$1505,"&lt;"&amp;B1173,Log!$X$6:$X$1505,"&gt;="&amp;X1173)=0),"New best",""))</f>
        <v/>
      </c>
      <c r="T1173" s="26" t="n"/>
      <c r="U1173" s="1">
        <f>IF(D1173="","",IFERROR(INDEX(Exercises!$C$6:$C$105,MATCH(D1173,Exercises!$B$6:$B$105,0)),"Other"))</f>
        <v/>
      </c>
      <c r="V1173">
        <f>IF(B1173="","",IF(COUNTIF($B$6:B1173,B1173)=1,1,0))</f>
        <v/>
      </c>
      <c r="W1173">
        <f>IF(B1173="","",B1173-WEEKDAY(B1173,3))</f>
        <v/>
      </c>
      <c r="X1173">
        <f>IF(D1173="","",MAX(IF(N(F1173)=0,0,IF(N(E1173)&gt;0,E1173*(1+F1173/30),F1173)),IF(N(H1173)=0,0,IF(N(G1173)&gt;0,G1173*(1+H1173/30),H1173)),IF(N(J1173)=0,0,IF(N(I1173)&gt;0,I1173*(1+J1173/30),J1173)),IF(N(L1173)=0,0,IF(N(K1173)&gt;0,K1173*(1+L1173/30),L1173)),IF(N(N1173)=0,0,IF(N(M1173)&gt;0,M1173*(1+N1173/30),N1173))))</f>
        <v/>
      </c>
      <c r="Y1173">
        <f>IF(N(X1173)=0,"",X1173+ROW()/1000000000)</f>
        <v/>
      </c>
      <c r="Z1173">
        <f>IF(Y1173="","",IF(COUNTIFS(Log!$D$6:$D$1505,D1173,Log!$Y$6:$Y$1505,"&gt;"&amp;Y1173)=0,1,0))</f>
        <v/>
      </c>
      <c r="AA1173">
        <f>IF(OR(B1173="",D1173=""),"",B1173+ROW()/10000000)</f>
        <v/>
      </c>
      <c r="AB1173">
        <f>IF(AA1173="","",IF(COUNTIFS(Log!$D$6:$D$1505,D1173,Log!$AA$6:$AA$1505,"&gt;"&amp;AA1173)=0,1,0))</f>
        <v/>
      </c>
      <c r="AC1173">
        <f>IF(S1173="New best",AA1173,"")</f>
        <v/>
      </c>
      <c r="AD1173">
        <f>ROW()</f>
        <v/>
      </c>
    </row>
    <row r="1174">
      <c r="A1174" s="1" t="n"/>
      <c r="B1174" s="21" t="n"/>
      <c r="C1174" s="22" t="n"/>
      <c r="D1174" s="23" t="n"/>
      <c r="E1174" s="24" t="n"/>
      <c r="F1174" s="24" t="n"/>
      <c r="G1174" s="24" t="n"/>
      <c r="H1174" s="24" t="n"/>
      <c r="I1174" s="24" t="n"/>
      <c r="J1174" s="24" t="n"/>
      <c r="K1174" s="24" t="n"/>
      <c r="L1174" s="24" t="n"/>
      <c r="M1174" s="24" t="n"/>
      <c r="N1174" s="24" t="n"/>
      <c r="O1174" s="15">
        <f>IF(D1174="","",COUNT(F1174,H1174,J1174,L1174,N1174))</f>
        <v/>
      </c>
      <c r="P1174" s="25">
        <f>IF(D1174="","",N(E1174)*N(F1174)+N(G1174)*N(H1174)+N(I1174)*N(J1174)+N(K1174)*N(L1174)+N(M1174)*N(N1174))</f>
        <v/>
      </c>
      <c r="Q1174" s="18">
        <f>IF(N(X1174)=0,"",IF(IF(N(F1174)=0,0,IF(N(E1174)&gt;0,E1174*(1+F1174/30),F1174))=X1174,IF(N(E1174)&gt;0,E1174&amp;" x "&amp;F1174,F1174&amp;" reps"),IF(IF(N(H1174)=0,0,IF(N(G1174)&gt;0,G1174*(1+H1174/30),H1174))=X1174,IF(N(G1174)&gt;0,G1174&amp;" x "&amp;H1174,H1174&amp;" reps"),IF(IF(N(J1174)=0,0,IF(N(I1174)&gt;0,I1174*(1+J1174/30),J1174))=X1174,IF(N(I1174)&gt;0,I1174&amp;" x "&amp;J1174,J1174&amp;" reps"),IF(IF(N(L1174)=0,0,IF(N(K1174)&gt;0,K1174*(1+L1174/30),L1174))=X1174,IF(N(K1174)&gt;0,K1174&amp;" x "&amp;L1174,L1174&amp;" reps"),IF(IF(N(N1174)=0,0,IF(N(M1174)&gt;0,M1174*(1+N1174/30),N1174))=X1174,IF(N(M1174)&gt;0,M1174&amp;" x "&amp;N1174,N1174&amp;" reps"),""))))))</f>
        <v/>
      </c>
      <c r="R1174" s="20">
        <f>IF(N(X1174)=0,"",ROUND(X1174,1))</f>
        <v/>
      </c>
      <c r="S1174" s="18">
        <f>IF(N(X1174)=0,"",IF(AND(COUNTIFS(Log!$D$6:$D$1505,D1174,Log!$B$6:$B$1505,"&lt;"&amp;B1174)&gt;0,COUNTIFS(Log!$D$6:$D$1505,D1174,Log!$B$6:$B$1505,"&lt;"&amp;B1174,Log!$X$6:$X$1505,"&gt;="&amp;X1174)=0),"New best",""))</f>
        <v/>
      </c>
      <c r="T1174" s="26" t="n"/>
      <c r="U1174" s="1">
        <f>IF(D1174="","",IFERROR(INDEX(Exercises!$C$6:$C$105,MATCH(D1174,Exercises!$B$6:$B$105,0)),"Other"))</f>
        <v/>
      </c>
      <c r="V1174">
        <f>IF(B1174="","",IF(COUNTIF($B$6:B1174,B1174)=1,1,0))</f>
        <v/>
      </c>
      <c r="W1174">
        <f>IF(B1174="","",B1174-WEEKDAY(B1174,3))</f>
        <v/>
      </c>
      <c r="X1174">
        <f>IF(D1174="","",MAX(IF(N(F1174)=0,0,IF(N(E1174)&gt;0,E1174*(1+F1174/30),F1174)),IF(N(H1174)=0,0,IF(N(G1174)&gt;0,G1174*(1+H1174/30),H1174)),IF(N(J1174)=0,0,IF(N(I1174)&gt;0,I1174*(1+J1174/30),J1174)),IF(N(L1174)=0,0,IF(N(K1174)&gt;0,K1174*(1+L1174/30),L1174)),IF(N(N1174)=0,0,IF(N(M1174)&gt;0,M1174*(1+N1174/30),N1174))))</f>
        <v/>
      </c>
      <c r="Y1174">
        <f>IF(N(X1174)=0,"",X1174+ROW()/1000000000)</f>
        <v/>
      </c>
      <c r="Z1174">
        <f>IF(Y1174="","",IF(COUNTIFS(Log!$D$6:$D$1505,D1174,Log!$Y$6:$Y$1505,"&gt;"&amp;Y1174)=0,1,0))</f>
        <v/>
      </c>
      <c r="AA1174">
        <f>IF(OR(B1174="",D1174=""),"",B1174+ROW()/10000000)</f>
        <v/>
      </c>
      <c r="AB1174">
        <f>IF(AA1174="","",IF(COUNTIFS(Log!$D$6:$D$1505,D1174,Log!$AA$6:$AA$1505,"&gt;"&amp;AA1174)=0,1,0))</f>
        <v/>
      </c>
      <c r="AC1174">
        <f>IF(S1174="New best",AA1174,"")</f>
        <v/>
      </c>
      <c r="AD1174">
        <f>ROW()</f>
        <v/>
      </c>
    </row>
    <row r="1175">
      <c r="A1175" s="1" t="n"/>
      <c r="B1175" s="21" t="n"/>
      <c r="C1175" s="22" t="n"/>
      <c r="D1175" s="23" t="n"/>
      <c r="E1175" s="24" t="n"/>
      <c r="F1175" s="24" t="n"/>
      <c r="G1175" s="24" t="n"/>
      <c r="H1175" s="24" t="n"/>
      <c r="I1175" s="24" t="n"/>
      <c r="J1175" s="24" t="n"/>
      <c r="K1175" s="24" t="n"/>
      <c r="L1175" s="24" t="n"/>
      <c r="M1175" s="24" t="n"/>
      <c r="N1175" s="24" t="n"/>
      <c r="O1175" s="15">
        <f>IF(D1175="","",COUNT(F1175,H1175,J1175,L1175,N1175))</f>
        <v/>
      </c>
      <c r="P1175" s="25">
        <f>IF(D1175="","",N(E1175)*N(F1175)+N(G1175)*N(H1175)+N(I1175)*N(J1175)+N(K1175)*N(L1175)+N(M1175)*N(N1175))</f>
        <v/>
      </c>
      <c r="Q1175" s="18">
        <f>IF(N(X1175)=0,"",IF(IF(N(F1175)=0,0,IF(N(E1175)&gt;0,E1175*(1+F1175/30),F1175))=X1175,IF(N(E1175)&gt;0,E1175&amp;" x "&amp;F1175,F1175&amp;" reps"),IF(IF(N(H1175)=0,0,IF(N(G1175)&gt;0,G1175*(1+H1175/30),H1175))=X1175,IF(N(G1175)&gt;0,G1175&amp;" x "&amp;H1175,H1175&amp;" reps"),IF(IF(N(J1175)=0,0,IF(N(I1175)&gt;0,I1175*(1+J1175/30),J1175))=X1175,IF(N(I1175)&gt;0,I1175&amp;" x "&amp;J1175,J1175&amp;" reps"),IF(IF(N(L1175)=0,0,IF(N(K1175)&gt;0,K1175*(1+L1175/30),L1175))=X1175,IF(N(K1175)&gt;0,K1175&amp;" x "&amp;L1175,L1175&amp;" reps"),IF(IF(N(N1175)=0,0,IF(N(M1175)&gt;0,M1175*(1+N1175/30),N1175))=X1175,IF(N(M1175)&gt;0,M1175&amp;" x "&amp;N1175,N1175&amp;" reps"),""))))))</f>
        <v/>
      </c>
      <c r="R1175" s="20">
        <f>IF(N(X1175)=0,"",ROUND(X1175,1))</f>
        <v/>
      </c>
      <c r="S1175" s="18">
        <f>IF(N(X1175)=0,"",IF(AND(COUNTIFS(Log!$D$6:$D$1505,D1175,Log!$B$6:$B$1505,"&lt;"&amp;B1175)&gt;0,COUNTIFS(Log!$D$6:$D$1505,D1175,Log!$B$6:$B$1505,"&lt;"&amp;B1175,Log!$X$6:$X$1505,"&gt;="&amp;X1175)=0),"New best",""))</f>
        <v/>
      </c>
      <c r="T1175" s="26" t="n"/>
      <c r="U1175" s="1">
        <f>IF(D1175="","",IFERROR(INDEX(Exercises!$C$6:$C$105,MATCH(D1175,Exercises!$B$6:$B$105,0)),"Other"))</f>
        <v/>
      </c>
      <c r="V1175">
        <f>IF(B1175="","",IF(COUNTIF($B$6:B1175,B1175)=1,1,0))</f>
        <v/>
      </c>
      <c r="W1175">
        <f>IF(B1175="","",B1175-WEEKDAY(B1175,3))</f>
        <v/>
      </c>
      <c r="X1175">
        <f>IF(D1175="","",MAX(IF(N(F1175)=0,0,IF(N(E1175)&gt;0,E1175*(1+F1175/30),F1175)),IF(N(H1175)=0,0,IF(N(G1175)&gt;0,G1175*(1+H1175/30),H1175)),IF(N(J1175)=0,0,IF(N(I1175)&gt;0,I1175*(1+J1175/30),J1175)),IF(N(L1175)=0,0,IF(N(K1175)&gt;0,K1175*(1+L1175/30),L1175)),IF(N(N1175)=0,0,IF(N(M1175)&gt;0,M1175*(1+N1175/30),N1175))))</f>
        <v/>
      </c>
      <c r="Y1175">
        <f>IF(N(X1175)=0,"",X1175+ROW()/1000000000)</f>
        <v/>
      </c>
      <c r="Z1175">
        <f>IF(Y1175="","",IF(COUNTIFS(Log!$D$6:$D$1505,D1175,Log!$Y$6:$Y$1505,"&gt;"&amp;Y1175)=0,1,0))</f>
        <v/>
      </c>
      <c r="AA1175">
        <f>IF(OR(B1175="",D1175=""),"",B1175+ROW()/10000000)</f>
        <v/>
      </c>
      <c r="AB1175">
        <f>IF(AA1175="","",IF(COUNTIFS(Log!$D$6:$D$1505,D1175,Log!$AA$6:$AA$1505,"&gt;"&amp;AA1175)=0,1,0))</f>
        <v/>
      </c>
      <c r="AC1175">
        <f>IF(S1175="New best",AA1175,"")</f>
        <v/>
      </c>
      <c r="AD1175">
        <f>ROW()</f>
        <v/>
      </c>
    </row>
    <row r="1176">
      <c r="A1176" s="1" t="n"/>
      <c r="B1176" s="21" t="n"/>
      <c r="C1176" s="22" t="n"/>
      <c r="D1176" s="23" t="n"/>
      <c r="E1176" s="24" t="n"/>
      <c r="F1176" s="24" t="n"/>
      <c r="G1176" s="24" t="n"/>
      <c r="H1176" s="24" t="n"/>
      <c r="I1176" s="24" t="n"/>
      <c r="J1176" s="24" t="n"/>
      <c r="K1176" s="24" t="n"/>
      <c r="L1176" s="24" t="n"/>
      <c r="M1176" s="24" t="n"/>
      <c r="N1176" s="24" t="n"/>
      <c r="O1176" s="15">
        <f>IF(D1176="","",COUNT(F1176,H1176,J1176,L1176,N1176))</f>
        <v/>
      </c>
      <c r="P1176" s="25">
        <f>IF(D1176="","",N(E1176)*N(F1176)+N(G1176)*N(H1176)+N(I1176)*N(J1176)+N(K1176)*N(L1176)+N(M1176)*N(N1176))</f>
        <v/>
      </c>
      <c r="Q1176" s="18">
        <f>IF(N(X1176)=0,"",IF(IF(N(F1176)=0,0,IF(N(E1176)&gt;0,E1176*(1+F1176/30),F1176))=X1176,IF(N(E1176)&gt;0,E1176&amp;" x "&amp;F1176,F1176&amp;" reps"),IF(IF(N(H1176)=0,0,IF(N(G1176)&gt;0,G1176*(1+H1176/30),H1176))=X1176,IF(N(G1176)&gt;0,G1176&amp;" x "&amp;H1176,H1176&amp;" reps"),IF(IF(N(J1176)=0,0,IF(N(I1176)&gt;0,I1176*(1+J1176/30),J1176))=X1176,IF(N(I1176)&gt;0,I1176&amp;" x "&amp;J1176,J1176&amp;" reps"),IF(IF(N(L1176)=0,0,IF(N(K1176)&gt;0,K1176*(1+L1176/30),L1176))=X1176,IF(N(K1176)&gt;0,K1176&amp;" x "&amp;L1176,L1176&amp;" reps"),IF(IF(N(N1176)=0,0,IF(N(M1176)&gt;0,M1176*(1+N1176/30),N1176))=X1176,IF(N(M1176)&gt;0,M1176&amp;" x "&amp;N1176,N1176&amp;" reps"),""))))))</f>
        <v/>
      </c>
      <c r="R1176" s="20">
        <f>IF(N(X1176)=0,"",ROUND(X1176,1))</f>
        <v/>
      </c>
      <c r="S1176" s="18">
        <f>IF(N(X1176)=0,"",IF(AND(COUNTIFS(Log!$D$6:$D$1505,D1176,Log!$B$6:$B$1505,"&lt;"&amp;B1176)&gt;0,COUNTIFS(Log!$D$6:$D$1505,D1176,Log!$B$6:$B$1505,"&lt;"&amp;B1176,Log!$X$6:$X$1505,"&gt;="&amp;X1176)=0),"New best",""))</f>
        <v/>
      </c>
      <c r="T1176" s="26" t="n"/>
      <c r="U1176" s="1">
        <f>IF(D1176="","",IFERROR(INDEX(Exercises!$C$6:$C$105,MATCH(D1176,Exercises!$B$6:$B$105,0)),"Other"))</f>
        <v/>
      </c>
      <c r="V1176">
        <f>IF(B1176="","",IF(COUNTIF($B$6:B1176,B1176)=1,1,0))</f>
        <v/>
      </c>
      <c r="W1176">
        <f>IF(B1176="","",B1176-WEEKDAY(B1176,3))</f>
        <v/>
      </c>
      <c r="X1176">
        <f>IF(D1176="","",MAX(IF(N(F1176)=0,0,IF(N(E1176)&gt;0,E1176*(1+F1176/30),F1176)),IF(N(H1176)=0,0,IF(N(G1176)&gt;0,G1176*(1+H1176/30),H1176)),IF(N(J1176)=0,0,IF(N(I1176)&gt;0,I1176*(1+J1176/30),J1176)),IF(N(L1176)=0,0,IF(N(K1176)&gt;0,K1176*(1+L1176/30),L1176)),IF(N(N1176)=0,0,IF(N(M1176)&gt;0,M1176*(1+N1176/30),N1176))))</f>
        <v/>
      </c>
      <c r="Y1176">
        <f>IF(N(X1176)=0,"",X1176+ROW()/1000000000)</f>
        <v/>
      </c>
      <c r="Z1176">
        <f>IF(Y1176="","",IF(COUNTIFS(Log!$D$6:$D$1505,D1176,Log!$Y$6:$Y$1505,"&gt;"&amp;Y1176)=0,1,0))</f>
        <v/>
      </c>
      <c r="AA1176">
        <f>IF(OR(B1176="",D1176=""),"",B1176+ROW()/10000000)</f>
        <v/>
      </c>
      <c r="AB1176">
        <f>IF(AA1176="","",IF(COUNTIFS(Log!$D$6:$D$1505,D1176,Log!$AA$6:$AA$1505,"&gt;"&amp;AA1176)=0,1,0))</f>
        <v/>
      </c>
      <c r="AC1176">
        <f>IF(S1176="New best",AA1176,"")</f>
        <v/>
      </c>
      <c r="AD1176">
        <f>ROW()</f>
        <v/>
      </c>
    </row>
    <row r="1177">
      <c r="A1177" s="1" t="n"/>
      <c r="B1177" s="21" t="n"/>
      <c r="C1177" s="22" t="n"/>
      <c r="D1177" s="23" t="n"/>
      <c r="E1177" s="24" t="n"/>
      <c r="F1177" s="24" t="n"/>
      <c r="G1177" s="24" t="n"/>
      <c r="H1177" s="24" t="n"/>
      <c r="I1177" s="24" t="n"/>
      <c r="J1177" s="24" t="n"/>
      <c r="K1177" s="24" t="n"/>
      <c r="L1177" s="24" t="n"/>
      <c r="M1177" s="24" t="n"/>
      <c r="N1177" s="24" t="n"/>
      <c r="O1177" s="15">
        <f>IF(D1177="","",COUNT(F1177,H1177,J1177,L1177,N1177))</f>
        <v/>
      </c>
      <c r="P1177" s="25">
        <f>IF(D1177="","",N(E1177)*N(F1177)+N(G1177)*N(H1177)+N(I1177)*N(J1177)+N(K1177)*N(L1177)+N(M1177)*N(N1177))</f>
        <v/>
      </c>
      <c r="Q1177" s="18">
        <f>IF(N(X1177)=0,"",IF(IF(N(F1177)=0,0,IF(N(E1177)&gt;0,E1177*(1+F1177/30),F1177))=X1177,IF(N(E1177)&gt;0,E1177&amp;" x "&amp;F1177,F1177&amp;" reps"),IF(IF(N(H1177)=0,0,IF(N(G1177)&gt;0,G1177*(1+H1177/30),H1177))=X1177,IF(N(G1177)&gt;0,G1177&amp;" x "&amp;H1177,H1177&amp;" reps"),IF(IF(N(J1177)=0,0,IF(N(I1177)&gt;0,I1177*(1+J1177/30),J1177))=X1177,IF(N(I1177)&gt;0,I1177&amp;" x "&amp;J1177,J1177&amp;" reps"),IF(IF(N(L1177)=0,0,IF(N(K1177)&gt;0,K1177*(1+L1177/30),L1177))=X1177,IF(N(K1177)&gt;0,K1177&amp;" x "&amp;L1177,L1177&amp;" reps"),IF(IF(N(N1177)=0,0,IF(N(M1177)&gt;0,M1177*(1+N1177/30),N1177))=X1177,IF(N(M1177)&gt;0,M1177&amp;" x "&amp;N1177,N1177&amp;" reps"),""))))))</f>
        <v/>
      </c>
      <c r="R1177" s="20">
        <f>IF(N(X1177)=0,"",ROUND(X1177,1))</f>
        <v/>
      </c>
      <c r="S1177" s="18">
        <f>IF(N(X1177)=0,"",IF(AND(COUNTIFS(Log!$D$6:$D$1505,D1177,Log!$B$6:$B$1505,"&lt;"&amp;B1177)&gt;0,COUNTIFS(Log!$D$6:$D$1505,D1177,Log!$B$6:$B$1505,"&lt;"&amp;B1177,Log!$X$6:$X$1505,"&gt;="&amp;X1177)=0),"New best",""))</f>
        <v/>
      </c>
      <c r="T1177" s="26" t="n"/>
      <c r="U1177" s="1">
        <f>IF(D1177="","",IFERROR(INDEX(Exercises!$C$6:$C$105,MATCH(D1177,Exercises!$B$6:$B$105,0)),"Other"))</f>
        <v/>
      </c>
      <c r="V1177">
        <f>IF(B1177="","",IF(COUNTIF($B$6:B1177,B1177)=1,1,0))</f>
        <v/>
      </c>
      <c r="W1177">
        <f>IF(B1177="","",B1177-WEEKDAY(B1177,3))</f>
        <v/>
      </c>
      <c r="X1177">
        <f>IF(D1177="","",MAX(IF(N(F1177)=0,0,IF(N(E1177)&gt;0,E1177*(1+F1177/30),F1177)),IF(N(H1177)=0,0,IF(N(G1177)&gt;0,G1177*(1+H1177/30),H1177)),IF(N(J1177)=0,0,IF(N(I1177)&gt;0,I1177*(1+J1177/30),J1177)),IF(N(L1177)=0,0,IF(N(K1177)&gt;0,K1177*(1+L1177/30),L1177)),IF(N(N1177)=0,0,IF(N(M1177)&gt;0,M1177*(1+N1177/30),N1177))))</f>
        <v/>
      </c>
      <c r="Y1177">
        <f>IF(N(X1177)=0,"",X1177+ROW()/1000000000)</f>
        <v/>
      </c>
      <c r="Z1177">
        <f>IF(Y1177="","",IF(COUNTIFS(Log!$D$6:$D$1505,D1177,Log!$Y$6:$Y$1505,"&gt;"&amp;Y1177)=0,1,0))</f>
        <v/>
      </c>
      <c r="AA1177">
        <f>IF(OR(B1177="",D1177=""),"",B1177+ROW()/10000000)</f>
        <v/>
      </c>
      <c r="AB1177">
        <f>IF(AA1177="","",IF(COUNTIFS(Log!$D$6:$D$1505,D1177,Log!$AA$6:$AA$1505,"&gt;"&amp;AA1177)=0,1,0))</f>
        <v/>
      </c>
      <c r="AC1177">
        <f>IF(S1177="New best",AA1177,"")</f>
        <v/>
      </c>
      <c r="AD1177">
        <f>ROW()</f>
        <v/>
      </c>
    </row>
    <row r="1178">
      <c r="A1178" s="1" t="n"/>
      <c r="B1178" s="21" t="n"/>
      <c r="C1178" s="22" t="n"/>
      <c r="D1178" s="23" t="n"/>
      <c r="E1178" s="24" t="n"/>
      <c r="F1178" s="24" t="n"/>
      <c r="G1178" s="24" t="n"/>
      <c r="H1178" s="24" t="n"/>
      <c r="I1178" s="24" t="n"/>
      <c r="J1178" s="24" t="n"/>
      <c r="K1178" s="24" t="n"/>
      <c r="L1178" s="24" t="n"/>
      <c r="M1178" s="24" t="n"/>
      <c r="N1178" s="24" t="n"/>
      <c r="O1178" s="15">
        <f>IF(D1178="","",COUNT(F1178,H1178,J1178,L1178,N1178))</f>
        <v/>
      </c>
      <c r="P1178" s="25">
        <f>IF(D1178="","",N(E1178)*N(F1178)+N(G1178)*N(H1178)+N(I1178)*N(J1178)+N(K1178)*N(L1178)+N(M1178)*N(N1178))</f>
        <v/>
      </c>
      <c r="Q1178" s="18">
        <f>IF(N(X1178)=0,"",IF(IF(N(F1178)=0,0,IF(N(E1178)&gt;0,E1178*(1+F1178/30),F1178))=X1178,IF(N(E1178)&gt;0,E1178&amp;" x "&amp;F1178,F1178&amp;" reps"),IF(IF(N(H1178)=0,0,IF(N(G1178)&gt;0,G1178*(1+H1178/30),H1178))=X1178,IF(N(G1178)&gt;0,G1178&amp;" x "&amp;H1178,H1178&amp;" reps"),IF(IF(N(J1178)=0,0,IF(N(I1178)&gt;0,I1178*(1+J1178/30),J1178))=X1178,IF(N(I1178)&gt;0,I1178&amp;" x "&amp;J1178,J1178&amp;" reps"),IF(IF(N(L1178)=0,0,IF(N(K1178)&gt;0,K1178*(1+L1178/30),L1178))=X1178,IF(N(K1178)&gt;0,K1178&amp;" x "&amp;L1178,L1178&amp;" reps"),IF(IF(N(N1178)=0,0,IF(N(M1178)&gt;0,M1178*(1+N1178/30),N1178))=X1178,IF(N(M1178)&gt;0,M1178&amp;" x "&amp;N1178,N1178&amp;" reps"),""))))))</f>
        <v/>
      </c>
      <c r="R1178" s="20">
        <f>IF(N(X1178)=0,"",ROUND(X1178,1))</f>
        <v/>
      </c>
      <c r="S1178" s="18">
        <f>IF(N(X1178)=0,"",IF(AND(COUNTIFS(Log!$D$6:$D$1505,D1178,Log!$B$6:$B$1505,"&lt;"&amp;B1178)&gt;0,COUNTIFS(Log!$D$6:$D$1505,D1178,Log!$B$6:$B$1505,"&lt;"&amp;B1178,Log!$X$6:$X$1505,"&gt;="&amp;X1178)=0),"New best",""))</f>
        <v/>
      </c>
      <c r="T1178" s="26" t="n"/>
      <c r="U1178" s="1">
        <f>IF(D1178="","",IFERROR(INDEX(Exercises!$C$6:$C$105,MATCH(D1178,Exercises!$B$6:$B$105,0)),"Other"))</f>
        <v/>
      </c>
      <c r="V1178">
        <f>IF(B1178="","",IF(COUNTIF($B$6:B1178,B1178)=1,1,0))</f>
        <v/>
      </c>
      <c r="W1178">
        <f>IF(B1178="","",B1178-WEEKDAY(B1178,3))</f>
        <v/>
      </c>
      <c r="X1178">
        <f>IF(D1178="","",MAX(IF(N(F1178)=0,0,IF(N(E1178)&gt;0,E1178*(1+F1178/30),F1178)),IF(N(H1178)=0,0,IF(N(G1178)&gt;0,G1178*(1+H1178/30),H1178)),IF(N(J1178)=0,0,IF(N(I1178)&gt;0,I1178*(1+J1178/30),J1178)),IF(N(L1178)=0,0,IF(N(K1178)&gt;0,K1178*(1+L1178/30),L1178)),IF(N(N1178)=0,0,IF(N(M1178)&gt;0,M1178*(1+N1178/30),N1178))))</f>
        <v/>
      </c>
      <c r="Y1178">
        <f>IF(N(X1178)=0,"",X1178+ROW()/1000000000)</f>
        <v/>
      </c>
      <c r="Z1178">
        <f>IF(Y1178="","",IF(COUNTIFS(Log!$D$6:$D$1505,D1178,Log!$Y$6:$Y$1505,"&gt;"&amp;Y1178)=0,1,0))</f>
        <v/>
      </c>
      <c r="AA1178">
        <f>IF(OR(B1178="",D1178=""),"",B1178+ROW()/10000000)</f>
        <v/>
      </c>
      <c r="AB1178">
        <f>IF(AA1178="","",IF(COUNTIFS(Log!$D$6:$D$1505,D1178,Log!$AA$6:$AA$1505,"&gt;"&amp;AA1178)=0,1,0))</f>
        <v/>
      </c>
      <c r="AC1178">
        <f>IF(S1178="New best",AA1178,"")</f>
        <v/>
      </c>
      <c r="AD1178">
        <f>ROW()</f>
        <v/>
      </c>
    </row>
    <row r="1179">
      <c r="A1179" s="1" t="n"/>
      <c r="B1179" s="21" t="n"/>
      <c r="C1179" s="22" t="n"/>
      <c r="D1179" s="23" t="n"/>
      <c r="E1179" s="24" t="n"/>
      <c r="F1179" s="24" t="n"/>
      <c r="G1179" s="24" t="n"/>
      <c r="H1179" s="24" t="n"/>
      <c r="I1179" s="24" t="n"/>
      <c r="J1179" s="24" t="n"/>
      <c r="K1179" s="24" t="n"/>
      <c r="L1179" s="24" t="n"/>
      <c r="M1179" s="24" t="n"/>
      <c r="N1179" s="24" t="n"/>
      <c r="O1179" s="15">
        <f>IF(D1179="","",COUNT(F1179,H1179,J1179,L1179,N1179))</f>
        <v/>
      </c>
      <c r="P1179" s="25">
        <f>IF(D1179="","",N(E1179)*N(F1179)+N(G1179)*N(H1179)+N(I1179)*N(J1179)+N(K1179)*N(L1179)+N(M1179)*N(N1179))</f>
        <v/>
      </c>
      <c r="Q1179" s="18">
        <f>IF(N(X1179)=0,"",IF(IF(N(F1179)=0,0,IF(N(E1179)&gt;0,E1179*(1+F1179/30),F1179))=X1179,IF(N(E1179)&gt;0,E1179&amp;" x "&amp;F1179,F1179&amp;" reps"),IF(IF(N(H1179)=0,0,IF(N(G1179)&gt;0,G1179*(1+H1179/30),H1179))=X1179,IF(N(G1179)&gt;0,G1179&amp;" x "&amp;H1179,H1179&amp;" reps"),IF(IF(N(J1179)=0,0,IF(N(I1179)&gt;0,I1179*(1+J1179/30),J1179))=X1179,IF(N(I1179)&gt;0,I1179&amp;" x "&amp;J1179,J1179&amp;" reps"),IF(IF(N(L1179)=0,0,IF(N(K1179)&gt;0,K1179*(1+L1179/30),L1179))=X1179,IF(N(K1179)&gt;0,K1179&amp;" x "&amp;L1179,L1179&amp;" reps"),IF(IF(N(N1179)=0,0,IF(N(M1179)&gt;0,M1179*(1+N1179/30),N1179))=X1179,IF(N(M1179)&gt;0,M1179&amp;" x "&amp;N1179,N1179&amp;" reps"),""))))))</f>
        <v/>
      </c>
      <c r="R1179" s="20">
        <f>IF(N(X1179)=0,"",ROUND(X1179,1))</f>
        <v/>
      </c>
      <c r="S1179" s="18">
        <f>IF(N(X1179)=0,"",IF(AND(COUNTIFS(Log!$D$6:$D$1505,D1179,Log!$B$6:$B$1505,"&lt;"&amp;B1179)&gt;0,COUNTIFS(Log!$D$6:$D$1505,D1179,Log!$B$6:$B$1505,"&lt;"&amp;B1179,Log!$X$6:$X$1505,"&gt;="&amp;X1179)=0),"New best",""))</f>
        <v/>
      </c>
      <c r="T1179" s="26" t="n"/>
      <c r="U1179" s="1">
        <f>IF(D1179="","",IFERROR(INDEX(Exercises!$C$6:$C$105,MATCH(D1179,Exercises!$B$6:$B$105,0)),"Other"))</f>
        <v/>
      </c>
      <c r="V1179">
        <f>IF(B1179="","",IF(COUNTIF($B$6:B1179,B1179)=1,1,0))</f>
        <v/>
      </c>
      <c r="W1179">
        <f>IF(B1179="","",B1179-WEEKDAY(B1179,3))</f>
        <v/>
      </c>
      <c r="X1179">
        <f>IF(D1179="","",MAX(IF(N(F1179)=0,0,IF(N(E1179)&gt;0,E1179*(1+F1179/30),F1179)),IF(N(H1179)=0,0,IF(N(G1179)&gt;0,G1179*(1+H1179/30),H1179)),IF(N(J1179)=0,0,IF(N(I1179)&gt;0,I1179*(1+J1179/30),J1179)),IF(N(L1179)=0,0,IF(N(K1179)&gt;0,K1179*(1+L1179/30),L1179)),IF(N(N1179)=0,0,IF(N(M1179)&gt;0,M1179*(1+N1179/30),N1179))))</f>
        <v/>
      </c>
      <c r="Y1179">
        <f>IF(N(X1179)=0,"",X1179+ROW()/1000000000)</f>
        <v/>
      </c>
      <c r="Z1179">
        <f>IF(Y1179="","",IF(COUNTIFS(Log!$D$6:$D$1505,D1179,Log!$Y$6:$Y$1505,"&gt;"&amp;Y1179)=0,1,0))</f>
        <v/>
      </c>
      <c r="AA1179">
        <f>IF(OR(B1179="",D1179=""),"",B1179+ROW()/10000000)</f>
        <v/>
      </c>
      <c r="AB1179">
        <f>IF(AA1179="","",IF(COUNTIFS(Log!$D$6:$D$1505,D1179,Log!$AA$6:$AA$1505,"&gt;"&amp;AA1179)=0,1,0))</f>
        <v/>
      </c>
      <c r="AC1179">
        <f>IF(S1179="New best",AA1179,"")</f>
        <v/>
      </c>
      <c r="AD1179">
        <f>ROW()</f>
        <v/>
      </c>
    </row>
    <row r="1180">
      <c r="A1180" s="1" t="n"/>
      <c r="B1180" s="21" t="n"/>
      <c r="C1180" s="22" t="n"/>
      <c r="D1180" s="23" t="n"/>
      <c r="E1180" s="24" t="n"/>
      <c r="F1180" s="24" t="n"/>
      <c r="G1180" s="24" t="n"/>
      <c r="H1180" s="24" t="n"/>
      <c r="I1180" s="24" t="n"/>
      <c r="J1180" s="24" t="n"/>
      <c r="K1180" s="24" t="n"/>
      <c r="L1180" s="24" t="n"/>
      <c r="M1180" s="24" t="n"/>
      <c r="N1180" s="24" t="n"/>
      <c r="O1180" s="15">
        <f>IF(D1180="","",COUNT(F1180,H1180,J1180,L1180,N1180))</f>
        <v/>
      </c>
      <c r="P1180" s="25">
        <f>IF(D1180="","",N(E1180)*N(F1180)+N(G1180)*N(H1180)+N(I1180)*N(J1180)+N(K1180)*N(L1180)+N(M1180)*N(N1180))</f>
        <v/>
      </c>
      <c r="Q1180" s="18">
        <f>IF(N(X1180)=0,"",IF(IF(N(F1180)=0,0,IF(N(E1180)&gt;0,E1180*(1+F1180/30),F1180))=X1180,IF(N(E1180)&gt;0,E1180&amp;" x "&amp;F1180,F1180&amp;" reps"),IF(IF(N(H1180)=0,0,IF(N(G1180)&gt;0,G1180*(1+H1180/30),H1180))=X1180,IF(N(G1180)&gt;0,G1180&amp;" x "&amp;H1180,H1180&amp;" reps"),IF(IF(N(J1180)=0,0,IF(N(I1180)&gt;0,I1180*(1+J1180/30),J1180))=X1180,IF(N(I1180)&gt;0,I1180&amp;" x "&amp;J1180,J1180&amp;" reps"),IF(IF(N(L1180)=0,0,IF(N(K1180)&gt;0,K1180*(1+L1180/30),L1180))=X1180,IF(N(K1180)&gt;0,K1180&amp;" x "&amp;L1180,L1180&amp;" reps"),IF(IF(N(N1180)=0,0,IF(N(M1180)&gt;0,M1180*(1+N1180/30),N1180))=X1180,IF(N(M1180)&gt;0,M1180&amp;" x "&amp;N1180,N1180&amp;" reps"),""))))))</f>
        <v/>
      </c>
      <c r="R1180" s="20">
        <f>IF(N(X1180)=0,"",ROUND(X1180,1))</f>
        <v/>
      </c>
      <c r="S1180" s="18">
        <f>IF(N(X1180)=0,"",IF(AND(COUNTIFS(Log!$D$6:$D$1505,D1180,Log!$B$6:$B$1505,"&lt;"&amp;B1180)&gt;0,COUNTIFS(Log!$D$6:$D$1505,D1180,Log!$B$6:$B$1505,"&lt;"&amp;B1180,Log!$X$6:$X$1505,"&gt;="&amp;X1180)=0),"New best",""))</f>
        <v/>
      </c>
      <c r="T1180" s="26" t="n"/>
      <c r="U1180" s="1">
        <f>IF(D1180="","",IFERROR(INDEX(Exercises!$C$6:$C$105,MATCH(D1180,Exercises!$B$6:$B$105,0)),"Other"))</f>
        <v/>
      </c>
      <c r="V1180">
        <f>IF(B1180="","",IF(COUNTIF($B$6:B1180,B1180)=1,1,0))</f>
        <v/>
      </c>
      <c r="W1180">
        <f>IF(B1180="","",B1180-WEEKDAY(B1180,3))</f>
        <v/>
      </c>
      <c r="X1180">
        <f>IF(D1180="","",MAX(IF(N(F1180)=0,0,IF(N(E1180)&gt;0,E1180*(1+F1180/30),F1180)),IF(N(H1180)=0,0,IF(N(G1180)&gt;0,G1180*(1+H1180/30),H1180)),IF(N(J1180)=0,0,IF(N(I1180)&gt;0,I1180*(1+J1180/30),J1180)),IF(N(L1180)=0,0,IF(N(K1180)&gt;0,K1180*(1+L1180/30),L1180)),IF(N(N1180)=0,0,IF(N(M1180)&gt;0,M1180*(1+N1180/30),N1180))))</f>
        <v/>
      </c>
      <c r="Y1180">
        <f>IF(N(X1180)=0,"",X1180+ROW()/1000000000)</f>
        <v/>
      </c>
      <c r="Z1180">
        <f>IF(Y1180="","",IF(COUNTIFS(Log!$D$6:$D$1505,D1180,Log!$Y$6:$Y$1505,"&gt;"&amp;Y1180)=0,1,0))</f>
        <v/>
      </c>
      <c r="AA1180">
        <f>IF(OR(B1180="",D1180=""),"",B1180+ROW()/10000000)</f>
        <v/>
      </c>
      <c r="AB1180">
        <f>IF(AA1180="","",IF(COUNTIFS(Log!$D$6:$D$1505,D1180,Log!$AA$6:$AA$1505,"&gt;"&amp;AA1180)=0,1,0))</f>
        <v/>
      </c>
      <c r="AC1180">
        <f>IF(S1180="New best",AA1180,"")</f>
        <v/>
      </c>
      <c r="AD1180">
        <f>ROW()</f>
        <v/>
      </c>
    </row>
    <row r="1181">
      <c r="A1181" s="1" t="n"/>
      <c r="B1181" s="21" t="n"/>
      <c r="C1181" s="22" t="n"/>
      <c r="D1181" s="23" t="n"/>
      <c r="E1181" s="24" t="n"/>
      <c r="F1181" s="24" t="n"/>
      <c r="G1181" s="24" t="n"/>
      <c r="H1181" s="24" t="n"/>
      <c r="I1181" s="24" t="n"/>
      <c r="J1181" s="24" t="n"/>
      <c r="K1181" s="24" t="n"/>
      <c r="L1181" s="24" t="n"/>
      <c r="M1181" s="24" t="n"/>
      <c r="N1181" s="24" t="n"/>
      <c r="O1181" s="15">
        <f>IF(D1181="","",COUNT(F1181,H1181,J1181,L1181,N1181))</f>
        <v/>
      </c>
      <c r="P1181" s="25">
        <f>IF(D1181="","",N(E1181)*N(F1181)+N(G1181)*N(H1181)+N(I1181)*N(J1181)+N(K1181)*N(L1181)+N(M1181)*N(N1181))</f>
        <v/>
      </c>
      <c r="Q1181" s="18">
        <f>IF(N(X1181)=0,"",IF(IF(N(F1181)=0,0,IF(N(E1181)&gt;0,E1181*(1+F1181/30),F1181))=X1181,IF(N(E1181)&gt;0,E1181&amp;" x "&amp;F1181,F1181&amp;" reps"),IF(IF(N(H1181)=0,0,IF(N(G1181)&gt;0,G1181*(1+H1181/30),H1181))=X1181,IF(N(G1181)&gt;0,G1181&amp;" x "&amp;H1181,H1181&amp;" reps"),IF(IF(N(J1181)=0,0,IF(N(I1181)&gt;0,I1181*(1+J1181/30),J1181))=X1181,IF(N(I1181)&gt;0,I1181&amp;" x "&amp;J1181,J1181&amp;" reps"),IF(IF(N(L1181)=0,0,IF(N(K1181)&gt;0,K1181*(1+L1181/30),L1181))=X1181,IF(N(K1181)&gt;0,K1181&amp;" x "&amp;L1181,L1181&amp;" reps"),IF(IF(N(N1181)=0,0,IF(N(M1181)&gt;0,M1181*(1+N1181/30),N1181))=X1181,IF(N(M1181)&gt;0,M1181&amp;" x "&amp;N1181,N1181&amp;" reps"),""))))))</f>
        <v/>
      </c>
      <c r="R1181" s="20">
        <f>IF(N(X1181)=0,"",ROUND(X1181,1))</f>
        <v/>
      </c>
      <c r="S1181" s="18">
        <f>IF(N(X1181)=0,"",IF(AND(COUNTIFS(Log!$D$6:$D$1505,D1181,Log!$B$6:$B$1505,"&lt;"&amp;B1181)&gt;0,COUNTIFS(Log!$D$6:$D$1505,D1181,Log!$B$6:$B$1505,"&lt;"&amp;B1181,Log!$X$6:$X$1505,"&gt;="&amp;X1181)=0),"New best",""))</f>
        <v/>
      </c>
      <c r="T1181" s="26" t="n"/>
      <c r="U1181" s="1">
        <f>IF(D1181="","",IFERROR(INDEX(Exercises!$C$6:$C$105,MATCH(D1181,Exercises!$B$6:$B$105,0)),"Other"))</f>
        <v/>
      </c>
      <c r="V1181">
        <f>IF(B1181="","",IF(COUNTIF($B$6:B1181,B1181)=1,1,0))</f>
        <v/>
      </c>
      <c r="W1181">
        <f>IF(B1181="","",B1181-WEEKDAY(B1181,3))</f>
        <v/>
      </c>
      <c r="X1181">
        <f>IF(D1181="","",MAX(IF(N(F1181)=0,0,IF(N(E1181)&gt;0,E1181*(1+F1181/30),F1181)),IF(N(H1181)=0,0,IF(N(G1181)&gt;0,G1181*(1+H1181/30),H1181)),IF(N(J1181)=0,0,IF(N(I1181)&gt;0,I1181*(1+J1181/30),J1181)),IF(N(L1181)=0,0,IF(N(K1181)&gt;0,K1181*(1+L1181/30),L1181)),IF(N(N1181)=0,0,IF(N(M1181)&gt;0,M1181*(1+N1181/30),N1181))))</f>
        <v/>
      </c>
      <c r="Y1181">
        <f>IF(N(X1181)=0,"",X1181+ROW()/1000000000)</f>
        <v/>
      </c>
      <c r="Z1181">
        <f>IF(Y1181="","",IF(COUNTIFS(Log!$D$6:$D$1505,D1181,Log!$Y$6:$Y$1505,"&gt;"&amp;Y1181)=0,1,0))</f>
        <v/>
      </c>
      <c r="AA1181">
        <f>IF(OR(B1181="",D1181=""),"",B1181+ROW()/10000000)</f>
        <v/>
      </c>
      <c r="AB1181">
        <f>IF(AA1181="","",IF(COUNTIFS(Log!$D$6:$D$1505,D1181,Log!$AA$6:$AA$1505,"&gt;"&amp;AA1181)=0,1,0))</f>
        <v/>
      </c>
      <c r="AC1181">
        <f>IF(S1181="New best",AA1181,"")</f>
        <v/>
      </c>
      <c r="AD1181">
        <f>ROW()</f>
        <v/>
      </c>
    </row>
    <row r="1182">
      <c r="A1182" s="1" t="n"/>
      <c r="B1182" s="21" t="n"/>
      <c r="C1182" s="22" t="n"/>
      <c r="D1182" s="23" t="n"/>
      <c r="E1182" s="24" t="n"/>
      <c r="F1182" s="24" t="n"/>
      <c r="G1182" s="24" t="n"/>
      <c r="H1182" s="24" t="n"/>
      <c r="I1182" s="24" t="n"/>
      <c r="J1182" s="24" t="n"/>
      <c r="K1182" s="24" t="n"/>
      <c r="L1182" s="24" t="n"/>
      <c r="M1182" s="24" t="n"/>
      <c r="N1182" s="24" t="n"/>
      <c r="O1182" s="15">
        <f>IF(D1182="","",COUNT(F1182,H1182,J1182,L1182,N1182))</f>
        <v/>
      </c>
      <c r="P1182" s="25">
        <f>IF(D1182="","",N(E1182)*N(F1182)+N(G1182)*N(H1182)+N(I1182)*N(J1182)+N(K1182)*N(L1182)+N(M1182)*N(N1182))</f>
        <v/>
      </c>
      <c r="Q1182" s="18">
        <f>IF(N(X1182)=0,"",IF(IF(N(F1182)=0,0,IF(N(E1182)&gt;0,E1182*(1+F1182/30),F1182))=X1182,IF(N(E1182)&gt;0,E1182&amp;" x "&amp;F1182,F1182&amp;" reps"),IF(IF(N(H1182)=0,0,IF(N(G1182)&gt;0,G1182*(1+H1182/30),H1182))=X1182,IF(N(G1182)&gt;0,G1182&amp;" x "&amp;H1182,H1182&amp;" reps"),IF(IF(N(J1182)=0,0,IF(N(I1182)&gt;0,I1182*(1+J1182/30),J1182))=X1182,IF(N(I1182)&gt;0,I1182&amp;" x "&amp;J1182,J1182&amp;" reps"),IF(IF(N(L1182)=0,0,IF(N(K1182)&gt;0,K1182*(1+L1182/30),L1182))=X1182,IF(N(K1182)&gt;0,K1182&amp;" x "&amp;L1182,L1182&amp;" reps"),IF(IF(N(N1182)=0,0,IF(N(M1182)&gt;0,M1182*(1+N1182/30),N1182))=X1182,IF(N(M1182)&gt;0,M1182&amp;" x "&amp;N1182,N1182&amp;" reps"),""))))))</f>
        <v/>
      </c>
      <c r="R1182" s="20">
        <f>IF(N(X1182)=0,"",ROUND(X1182,1))</f>
        <v/>
      </c>
      <c r="S1182" s="18">
        <f>IF(N(X1182)=0,"",IF(AND(COUNTIFS(Log!$D$6:$D$1505,D1182,Log!$B$6:$B$1505,"&lt;"&amp;B1182)&gt;0,COUNTIFS(Log!$D$6:$D$1505,D1182,Log!$B$6:$B$1505,"&lt;"&amp;B1182,Log!$X$6:$X$1505,"&gt;="&amp;X1182)=0),"New best",""))</f>
        <v/>
      </c>
      <c r="T1182" s="26" t="n"/>
      <c r="U1182" s="1">
        <f>IF(D1182="","",IFERROR(INDEX(Exercises!$C$6:$C$105,MATCH(D1182,Exercises!$B$6:$B$105,0)),"Other"))</f>
        <v/>
      </c>
      <c r="V1182">
        <f>IF(B1182="","",IF(COUNTIF($B$6:B1182,B1182)=1,1,0))</f>
        <v/>
      </c>
      <c r="W1182">
        <f>IF(B1182="","",B1182-WEEKDAY(B1182,3))</f>
        <v/>
      </c>
      <c r="X1182">
        <f>IF(D1182="","",MAX(IF(N(F1182)=0,0,IF(N(E1182)&gt;0,E1182*(1+F1182/30),F1182)),IF(N(H1182)=0,0,IF(N(G1182)&gt;0,G1182*(1+H1182/30),H1182)),IF(N(J1182)=0,0,IF(N(I1182)&gt;0,I1182*(1+J1182/30),J1182)),IF(N(L1182)=0,0,IF(N(K1182)&gt;0,K1182*(1+L1182/30),L1182)),IF(N(N1182)=0,0,IF(N(M1182)&gt;0,M1182*(1+N1182/30),N1182))))</f>
        <v/>
      </c>
      <c r="Y1182">
        <f>IF(N(X1182)=0,"",X1182+ROW()/1000000000)</f>
        <v/>
      </c>
      <c r="Z1182">
        <f>IF(Y1182="","",IF(COUNTIFS(Log!$D$6:$D$1505,D1182,Log!$Y$6:$Y$1505,"&gt;"&amp;Y1182)=0,1,0))</f>
        <v/>
      </c>
      <c r="AA1182">
        <f>IF(OR(B1182="",D1182=""),"",B1182+ROW()/10000000)</f>
        <v/>
      </c>
      <c r="AB1182">
        <f>IF(AA1182="","",IF(COUNTIFS(Log!$D$6:$D$1505,D1182,Log!$AA$6:$AA$1505,"&gt;"&amp;AA1182)=0,1,0))</f>
        <v/>
      </c>
      <c r="AC1182">
        <f>IF(S1182="New best",AA1182,"")</f>
        <v/>
      </c>
      <c r="AD1182">
        <f>ROW()</f>
        <v/>
      </c>
    </row>
    <row r="1183">
      <c r="A1183" s="1" t="n"/>
      <c r="B1183" s="21" t="n"/>
      <c r="C1183" s="22" t="n"/>
      <c r="D1183" s="23" t="n"/>
      <c r="E1183" s="24" t="n"/>
      <c r="F1183" s="24" t="n"/>
      <c r="G1183" s="24" t="n"/>
      <c r="H1183" s="24" t="n"/>
      <c r="I1183" s="24" t="n"/>
      <c r="J1183" s="24" t="n"/>
      <c r="K1183" s="24" t="n"/>
      <c r="L1183" s="24" t="n"/>
      <c r="M1183" s="24" t="n"/>
      <c r="N1183" s="24" t="n"/>
      <c r="O1183" s="15">
        <f>IF(D1183="","",COUNT(F1183,H1183,J1183,L1183,N1183))</f>
        <v/>
      </c>
      <c r="P1183" s="25">
        <f>IF(D1183="","",N(E1183)*N(F1183)+N(G1183)*N(H1183)+N(I1183)*N(J1183)+N(K1183)*N(L1183)+N(M1183)*N(N1183))</f>
        <v/>
      </c>
      <c r="Q1183" s="18">
        <f>IF(N(X1183)=0,"",IF(IF(N(F1183)=0,0,IF(N(E1183)&gt;0,E1183*(1+F1183/30),F1183))=X1183,IF(N(E1183)&gt;0,E1183&amp;" x "&amp;F1183,F1183&amp;" reps"),IF(IF(N(H1183)=0,0,IF(N(G1183)&gt;0,G1183*(1+H1183/30),H1183))=X1183,IF(N(G1183)&gt;0,G1183&amp;" x "&amp;H1183,H1183&amp;" reps"),IF(IF(N(J1183)=0,0,IF(N(I1183)&gt;0,I1183*(1+J1183/30),J1183))=X1183,IF(N(I1183)&gt;0,I1183&amp;" x "&amp;J1183,J1183&amp;" reps"),IF(IF(N(L1183)=0,0,IF(N(K1183)&gt;0,K1183*(1+L1183/30),L1183))=X1183,IF(N(K1183)&gt;0,K1183&amp;" x "&amp;L1183,L1183&amp;" reps"),IF(IF(N(N1183)=0,0,IF(N(M1183)&gt;0,M1183*(1+N1183/30),N1183))=X1183,IF(N(M1183)&gt;0,M1183&amp;" x "&amp;N1183,N1183&amp;" reps"),""))))))</f>
        <v/>
      </c>
      <c r="R1183" s="20">
        <f>IF(N(X1183)=0,"",ROUND(X1183,1))</f>
        <v/>
      </c>
      <c r="S1183" s="18">
        <f>IF(N(X1183)=0,"",IF(AND(COUNTIFS(Log!$D$6:$D$1505,D1183,Log!$B$6:$B$1505,"&lt;"&amp;B1183)&gt;0,COUNTIFS(Log!$D$6:$D$1505,D1183,Log!$B$6:$B$1505,"&lt;"&amp;B1183,Log!$X$6:$X$1505,"&gt;="&amp;X1183)=0),"New best",""))</f>
        <v/>
      </c>
      <c r="T1183" s="26" t="n"/>
      <c r="U1183" s="1">
        <f>IF(D1183="","",IFERROR(INDEX(Exercises!$C$6:$C$105,MATCH(D1183,Exercises!$B$6:$B$105,0)),"Other"))</f>
        <v/>
      </c>
      <c r="V1183">
        <f>IF(B1183="","",IF(COUNTIF($B$6:B1183,B1183)=1,1,0))</f>
        <v/>
      </c>
      <c r="W1183">
        <f>IF(B1183="","",B1183-WEEKDAY(B1183,3))</f>
        <v/>
      </c>
      <c r="X1183">
        <f>IF(D1183="","",MAX(IF(N(F1183)=0,0,IF(N(E1183)&gt;0,E1183*(1+F1183/30),F1183)),IF(N(H1183)=0,0,IF(N(G1183)&gt;0,G1183*(1+H1183/30),H1183)),IF(N(J1183)=0,0,IF(N(I1183)&gt;0,I1183*(1+J1183/30),J1183)),IF(N(L1183)=0,0,IF(N(K1183)&gt;0,K1183*(1+L1183/30),L1183)),IF(N(N1183)=0,0,IF(N(M1183)&gt;0,M1183*(1+N1183/30),N1183))))</f>
        <v/>
      </c>
      <c r="Y1183">
        <f>IF(N(X1183)=0,"",X1183+ROW()/1000000000)</f>
        <v/>
      </c>
      <c r="Z1183">
        <f>IF(Y1183="","",IF(COUNTIFS(Log!$D$6:$D$1505,D1183,Log!$Y$6:$Y$1505,"&gt;"&amp;Y1183)=0,1,0))</f>
        <v/>
      </c>
      <c r="AA1183">
        <f>IF(OR(B1183="",D1183=""),"",B1183+ROW()/10000000)</f>
        <v/>
      </c>
      <c r="AB1183">
        <f>IF(AA1183="","",IF(COUNTIFS(Log!$D$6:$D$1505,D1183,Log!$AA$6:$AA$1505,"&gt;"&amp;AA1183)=0,1,0))</f>
        <v/>
      </c>
      <c r="AC1183">
        <f>IF(S1183="New best",AA1183,"")</f>
        <v/>
      </c>
      <c r="AD1183">
        <f>ROW()</f>
        <v/>
      </c>
    </row>
    <row r="1184">
      <c r="A1184" s="1" t="n"/>
      <c r="B1184" s="21" t="n"/>
      <c r="C1184" s="22" t="n"/>
      <c r="D1184" s="23" t="n"/>
      <c r="E1184" s="24" t="n"/>
      <c r="F1184" s="24" t="n"/>
      <c r="G1184" s="24" t="n"/>
      <c r="H1184" s="24" t="n"/>
      <c r="I1184" s="24" t="n"/>
      <c r="J1184" s="24" t="n"/>
      <c r="K1184" s="24" t="n"/>
      <c r="L1184" s="24" t="n"/>
      <c r="M1184" s="24" t="n"/>
      <c r="N1184" s="24" t="n"/>
      <c r="O1184" s="15">
        <f>IF(D1184="","",COUNT(F1184,H1184,J1184,L1184,N1184))</f>
        <v/>
      </c>
      <c r="P1184" s="25">
        <f>IF(D1184="","",N(E1184)*N(F1184)+N(G1184)*N(H1184)+N(I1184)*N(J1184)+N(K1184)*N(L1184)+N(M1184)*N(N1184))</f>
        <v/>
      </c>
      <c r="Q1184" s="18">
        <f>IF(N(X1184)=0,"",IF(IF(N(F1184)=0,0,IF(N(E1184)&gt;0,E1184*(1+F1184/30),F1184))=X1184,IF(N(E1184)&gt;0,E1184&amp;" x "&amp;F1184,F1184&amp;" reps"),IF(IF(N(H1184)=0,0,IF(N(G1184)&gt;0,G1184*(1+H1184/30),H1184))=X1184,IF(N(G1184)&gt;0,G1184&amp;" x "&amp;H1184,H1184&amp;" reps"),IF(IF(N(J1184)=0,0,IF(N(I1184)&gt;0,I1184*(1+J1184/30),J1184))=X1184,IF(N(I1184)&gt;0,I1184&amp;" x "&amp;J1184,J1184&amp;" reps"),IF(IF(N(L1184)=0,0,IF(N(K1184)&gt;0,K1184*(1+L1184/30),L1184))=X1184,IF(N(K1184)&gt;0,K1184&amp;" x "&amp;L1184,L1184&amp;" reps"),IF(IF(N(N1184)=0,0,IF(N(M1184)&gt;0,M1184*(1+N1184/30),N1184))=X1184,IF(N(M1184)&gt;0,M1184&amp;" x "&amp;N1184,N1184&amp;" reps"),""))))))</f>
        <v/>
      </c>
      <c r="R1184" s="20">
        <f>IF(N(X1184)=0,"",ROUND(X1184,1))</f>
        <v/>
      </c>
      <c r="S1184" s="18">
        <f>IF(N(X1184)=0,"",IF(AND(COUNTIFS(Log!$D$6:$D$1505,D1184,Log!$B$6:$B$1505,"&lt;"&amp;B1184)&gt;0,COUNTIFS(Log!$D$6:$D$1505,D1184,Log!$B$6:$B$1505,"&lt;"&amp;B1184,Log!$X$6:$X$1505,"&gt;="&amp;X1184)=0),"New best",""))</f>
        <v/>
      </c>
      <c r="T1184" s="26" t="n"/>
      <c r="U1184" s="1">
        <f>IF(D1184="","",IFERROR(INDEX(Exercises!$C$6:$C$105,MATCH(D1184,Exercises!$B$6:$B$105,0)),"Other"))</f>
        <v/>
      </c>
      <c r="V1184">
        <f>IF(B1184="","",IF(COUNTIF($B$6:B1184,B1184)=1,1,0))</f>
        <v/>
      </c>
      <c r="W1184">
        <f>IF(B1184="","",B1184-WEEKDAY(B1184,3))</f>
        <v/>
      </c>
      <c r="X1184">
        <f>IF(D1184="","",MAX(IF(N(F1184)=0,0,IF(N(E1184)&gt;0,E1184*(1+F1184/30),F1184)),IF(N(H1184)=0,0,IF(N(G1184)&gt;0,G1184*(1+H1184/30),H1184)),IF(N(J1184)=0,0,IF(N(I1184)&gt;0,I1184*(1+J1184/30),J1184)),IF(N(L1184)=0,0,IF(N(K1184)&gt;0,K1184*(1+L1184/30),L1184)),IF(N(N1184)=0,0,IF(N(M1184)&gt;0,M1184*(1+N1184/30),N1184))))</f>
        <v/>
      </c>
      <c r="Y1184">
        <f>IF(N(X1184)=0,"",X1184+ROW()/1000000000)</f>
        <v/>
      </c>
      <c r="Z1184">
        <f>IF(Y1184="","",IF(COUNTIFS(Log!$D$6:$D$1505,D1184,Log!$Y$6:$Y$1505,"&gt;"&amp;Y1184)=0,1,0))</f>
        <v/>
      </c>
      <c r="AA1184">
        <f>IF(OR(B1184="",D1184=""),"",B1184+ROW()/10000000)</f>
        <v/>
      </c>
      <c r="AB1184">
        <f>IF(AA1184="","",IF(COUNTIFS(Log!$D$6:$D$1505,D1184,Log!$AA$6:$AA$1505,"&gt;"&amp;AA1184)=0,1,0))</f>
        <v/>
      </c>
      <c r="AC1184">
        <f>IF(S1184="New best",AA1184,"")</f>
        <v/>
      </c>
      <c r="AD1184">
        <f>ROW()</f>
        <v/>
      </c>
    </row>
    <row r="1185">
      <c r="A1185" s="1" t="n"/>
      <c r="B1185" s="21" t="n"/>
      <c r="C1185" s="22" t="n"/>
      <c r="D1185" s="23" t="n"/>
      <c r="E1185" s="24" t="n"/>
      <c r="F1185" s="24" t="n"/>
      <c r="G1185" s="24" t="n"/>
      <c r="H1185" s="24" t="n"/>
      <c r="I1185" s="24" t="n"/>
      <c r="J1185" s="24" t="n"/>
      <c r="K1185" s="24" t="n"/>
      <c r="L1185" s="24" t="n"/>
      <c r="M1185" s="24" t="n"/>
      <c r="N1185" s="24" t="n"/>
      <c r="O1185" s="15">
        <f>IF(D1185="","",COUNT(F1185,H1185,J1185,L1185,N1185))</f>
        <v/>
      </c>
      <c r="P1185" s="25">
        <f>IF(D1185="","",N(E1185)*N(F1185)+N(G1185)*N(H1185)+N(I1185)*N(J1185)+N(K1185)*N(L1185)+N(M1185)*N(N1185))</f>
        <v/>
      </c>
      <c r="Q1185" s="18">
        <f>IF(N(X1185)=0,"",IF(IF(N(F1185)=0,0,IF(N(E1185)&gt;0,E1185*(1+F1185/30),F1185))=X1185,IF(N(E1185)&gt;0,E1185&amp;" x "&amp;F1185,F1185&amp;" reps"),IF(IF(N(H1185)=0,0,IF(N(G1185)&gt;0,G1185*(1+H1185/30),H1185))=X1185,IF(N(G1185)&gt;0,G1185&amp;" x "&amp;H1185,H1185&amp;" reps"),IF(IF(N(J1185)=0,0,IF(N(I1185)&gt;0,I1185*(1+J1185/30),J1185))=X1185,IF(N(I1185)&gt;0,I1185&amp;" x "&amp;J1185,J1185&amp;" reps"),IF(IF(N(L1185)=0,0,IF(N(K1185)&gt;0,K1185*(1+L1185/30),L1185))=X1185,IF(N(K1185)&gt;0,K1185&amp;" x "&amp;L1185,L1185&amp;" reps"),IF(IF(N(N1185)=0,0,IF(N(M1185)&gt;0,M1185*(1+N1185/30),N1185))=X1185,IF(N(M1185)&gt;0,M1185&amp;" x "&amp;N1185,N1185&amp;" reps"),""))))))</f>
        <v/>
      </c>
      <c r="R1185" s="20">
        <f>IF(N(X1185)=0,"",ROUND(X1185,1))</f>
        <v/>
      </c>
      <c r="S1185" s="18">
        <f>IF(N(X1185)=0,"",IF(AND(COUNTIFS(Log!$D$6:$D$1505,D1185,Log!$B$6:$B$1505,"&lt;"&amp;B1185)&gt;0,COUNTIFS(Log!$D$6:$D$1505,D1185,Log!$B$6:$B$1505,"&lt;"&amp;B1185,Log!$X$6:$X$1505,"&gt;="&amp;X1185)=0),"New best",""))</f>
        <v/>
      </c>
      <c r="T1185" s="26" t="n"/>
      <c r="U1185" s="1">
        <f>IF(D1185="","",IFERROR(INDEX(Exercises!$C$6:$C$105,MATCH(D1185,Exercises!$B$6:$B$105,0)),"Other"))</f>
        <v/>
      </c>
      <c r="V1185">
        <f>IF(B1185="","",IF(COUNTIF($B$6:B1185,B1185)=1,1,0))</f>
        <v/>
      </c>
      <c r="W1185">
        <f>IF(B1185="","",B1185-WEEKDAY(B1185,3))</f>
        <v/>
      </c>
      <c r="X1185">
        <f>IF(D1185="","",MAX(IF(N(F1185)=0,0,IF(N(E1185)&gt;0,E1185*(1+F1185/30),F1185)),IF(N(H1185)=0,0,IF(N(G1185)&gt;0,G1185*(1+H1185/30),H1185)),IF(N(J1185)=0,0,IF(N(I1185)&gt;0,I1185*(1+J1185/30),J1185)),IF(N(L1185)=0,0,IF(N(K1185)&gt;0,K1185*(1+L1185/30),L1185)),IF(N(N1185)=0,0,IF(N(M1185)&gt;0,M1185*(1+N1185/30),N1185))))</f>
        <v/>
      </c>
      <c r="Y1185">
        <f>IF(N(X1185)=0,"",X1185+ROW()/1000000000)</f>
        <v/>
      </c>
      <c r="Z1185">
        <f>IF(Y1185="","",IF(COUNTIFS(Log!$D$6:$D$1505,D1185,Log!$Y$6:$Y$1505,"&gt;"&amp;Y1185)=0,1,0))</f>
        <v/>
      </c>
      <c r="AA1185">
        <f>IF(OR(B1185="",D1185=""),"",B1185+ROW()/10000000)</f>
        <v/>
      </c>
      <c r="AB1185">
        <f>IF(AA1185="","",IF(COUNTIFS(Log!$D$6:$D$1505,D1185,Log!$AA$6:$AA$1505,"&gt;"&amp;AA1185)=0,1,0))</f>
        <v/>
      </c>
      <c r="AC1185">
        <f>IF(S1185="New best",AA1185,"")</f>
        <v/>
      </c>
      <c r="AD1185">
        <f>ROW()</f>
        <v/>
      </c>
    </row>
    <row r="1186">
      <c r="A1186" s="1" t="n"/>
      <c r="B1186" s="21" t="n"/>
      <c r="C1186" s="22" t="n"/>
      <c r="D1186" s="23" t="n"/>
      <c r="E1186" s="24" t="n"/>
      <c r="F1186" s="24" t="n"/>
      <c r="G1186" s="24" t="n"/>
      <c r="H1186" s="24" t="n"/>
      <c r="I1186" s="24" t="n"/>
      <c r="J1186" s="24" t="n"/>
      <c r="K1186" s="24" t="n"/>
      <c r="L1186" s="24" t="n"/>
      <c r="M1186" s="24" t="n"/>
      <c r="N1186" s="24" t="n"/>
      <c r="O1186" s="15">
        <f>IF(D1186="","",COUNT(F1186,H1186,J1186,L1186,N1186))</f>
        <v/>
      </c>
      <c r="P1186" s="25">
        <f>IF(D1186="","",N(E1186)*N(F1186)+N(G1186)*N(H1186)+N(I1186)*N(J1186)+N(K1186)*N(L1186)+N(M1186)*N(N1186))</f>
        <v/>
      </c>
      <c r="Q1186" s="18">
        <f>IF(N(X1186)=0,"",IF(IF(N(F1186)=0,0,IF(N(E1186)&gt;0,E1186*(1+F1186/30),F1186))=X1186,IF(N(E1186)&gt;0,E1186&amp;" x "&amp;F1186,F1186&amp;" reps"),IF(IF(N(H1186)=0,0,IF(N(G1186)&gt;0,G1186*(1+H1186/30),H1186))=X1186,IF(N(G1186)&gt;0,G1186&amp;" x "&amp;H1186,H1186&amp;" reps"),IF(IF(N(J1186)=0,0,IF(N(I1186)&gt;0,I1186*(1+J1186/30),J1186))=X1186,IF(N(I1186)&gt;0,I1186&amp;" x "&amp;J1186,J1186&amp;" reps"),IF(IF(N(L1186)=0,0,IF(N(K1186)&gt;0,K1186*(1+L1186/30),L1186))=X1186,IF(N(K1186)&gt;0,K1186&amp;" x "&amp;L1186,L1186&amp;" reps"),IF(IF(N(N1186)=0,0,IF(N(M1186)&gt;0,M1186*(1+N1186/30),N1186))=X1186,IF(N(M1186)&gt;0,M1186&amp;" x "&amp;N1186,N1186&amp;" reps"),""))))))</f>
        <v/>
      </c>
      <c r="R1186" s="20">
        <f>IF(N(X1186)=0,"",ROUND(X1186,1))</f>
        <v/>
      </c>
      <c r="S1186" s="18">
        <f>IF(N(X1186)=0,"",IF(AND(COUNTIFS(Log!$D$6:$D$1505,D1186,Log!$B$6:$B$1505,"&lt;"&amp;B1186)&gt;0,COUNTIFS(Log!$D$6:$D$1505,D1186,Log!$B$6:$B$1505,"&lt;"&amp;B1186,Log!$X$6:$X$1505,"&gt;="&amp;X1186)=0),"New best",""))</f>
        <v/>
      </c>
      <c r="T1186" s="26" t="n"/>
      <c r="U1186" s="1">
        <f>IF(D1186="","",IFERROR(INDEX(Exercises!$C$6:$C$105,MATCH(D1186,Exercises!$B$6:$B$105,0)),"Other"))</f>
        <v/>
      </c>
      <c r="V1186">
        <f>IF(B1186="","",IF(COUNTIF($B$6:B1186,B1186)=1,1,0))</f>
        <v/>
      </c>
      <c r="W1186">
        <f>IF(B1186="","",B1186-WEEKDAY(B1186,3))</f>
        <v/>
      </c>
      <c r="X1186">
        <f>IF(D1186="","",MAX(IF(N(F1186)=0,0,IF(N(E1186)&gt;0,E1186*(1+F1186/30),F1186)),IF(N(H1186)=0,0,IF(N(G1186)&gt;0,G1186*(1+H1186/30),H1186)),IF(N(J1186)=0,0,IF(N(I1186)&gt;0,I1186*(1+J1186/30),J1186)),IF(N(L1186)=0,0,IF(N(K1186)&gt;0,K1186*(1+L1186/30),L1186)),IF(N(N1186)=0,0,IF(N(M1186)&gt;0,M1186*(1+N1186/30),N1186))))</f>
        <v/>
      </c>
      <c r="Y1186">
        <f>IF(N(X1186)=0,"",X1186+ROW()/1000000000)</f>
        <v/>
      </c>
      <c r="Z1186">
        <f>IF(Y1186="","",IF(COUNTIFS(Log!$D$6:$D$1505,D1186,Log!$Y$6:$Y$1505,"&gt;"&amp;Y1186)=0,1,0))</f>
        <v/>
      </c>
      <c r="AA1186">
        <f>IF(OR(B1186="",D1186=""),"",B1186+ROW()/10000000)</f>
        <v/>
      </c>
      <c r="AB1186">
        <f>IF(AA1186="","",IF(COUNTIFS(Log!$D$6:$D$1505,D1186,Log!$AA$6:$AA$1505,"&gt;"&amp;AA1186)=0,1,0))</f>
        <v/>
      </c>
      <c r="AC1186">
        <f>IF(S1186="New best",AA1186,"")</f>
        <v/>
      </c>
      <c r="AD1186">
        <f>ROW()</f>
        <v/>
      </c>
    </row>
    <row r="1187">
      <c r="A1187" s="1" t="n"/>
      <c r="B1187" s="21" t="n"/>
      <c r="C1187" s="22" t="n"/>
      <c r="D1187" s="23" t="n"/>
      <c r="E1187" s="24" t="n"/>
      <c r="F1187" s="24" t="n"/>
      <c r="G1187" s="24" t="n"/>
      <c r="H1187" s="24" t="n"/>
      <c r="I1187" s="24" t="n"/>
      <c r="J1187" s="24" t="n"/>
      <c r="K1187" s="24" t="n"/>
      <c r="L1187" s="24" t="n"/>
      <c r="M1187" s="24" t="n"/>
      <c r="N1187" s="24" t="n"/>
      <c r="O1187" s="15">
        <f>IF(D1187="","",COUNT(F1187,H1187,J1187,L1187,N1187))</f>
        <v/>
      </c>
      <c r="P1187" s="25">
        <f>IF(D1187="","",N(E1187)*N(F1187)+N(G1187)*N(H1187)+N(I1187)*N(J1187)+N(K1187)*N(L1187)+N(M1187)*N(N1187))</f>
        <v/>
      </c>
      <c r="Q1187" s="18">
        <f>IF(N(X1187)=0,"",IF(IF(N(F1187)=0,0,IF(N(E1187)&gt;0,E1187*(1+F1187/30),F1187))=X1187,IF(N(E1187)&gt;0,E1187&amp;" x "&amp;F1187,F1187&amp;" reps"),IF(IF(N(H1187)=0,0,IF(N(G1187)&gt;0,G1187*(1+H1187/30),H1187))=X1187,IF(N(G1187)&gt;0,G1187&amp;" x "&amp;H1187,H1187&amp;" reps"),IF(IF(N(J1187)=0,0,IF(N(I1187)&gt;0,I1187*(1+J1187/30),J1187))=X1187,IF(N(I1187)&gt;0,I1187&amp;" x "&amp;J1187,J1187&amp;" reps"),IF(IF(N(L1187)=0,0,IF(N(K1187)&gt;0,K1187*(1+L1187/30),L1187))=X1187,IF(N(K1187)&gt;0,K1187&amp;" x "&amp;L1187,L1187&amp;" reps"),IF(IF(N(N1187)=0,0,IF(N(M1187)&gt;0,M1187*(1+N1187/30),N1187))=X1187,IF(N(M1187)&gt;0,M1187&amp;" x "&amp;N1187,N1187&amp;" reps"),""))))))</f>
        <v/>
      </c>
      <c r="R1187" s="20">
        <f>IF(N(X1187)=0,"",ROUND(X1187,1))</f>
        <v/>
      </c>
      <c r="S1187" s="18">
        <f>IF(N(X1187)=0,"",IF(AND(COUNTIFS(Log!$D$6:$D$1505,D1187,Log!$B$6:$B$1505,"&lt;"&amp;B1187)&gt;0,COUNTIFS(Log!$D$6:$D$1505,D1187,Log!$B$6:$B$1505,"&lt;"&amp;B1187,Log!$X$6:$X$1505,"&gt;="&amp;X1187)=0),"New best",""))</f>
        <v/>
      </c>
      <c r="T1187" s="26" t="n"/>
      <c r="U1187" s="1">
        <f>IF(D1187="","",IFERROR(INDEX(Exercises!$C$6:$C$105,MATCH(D1187,Exercises!$B$6:$B$105,0)),"Other"))</f>
        <v/>
      </c>
      <c r="V1187">
        <f>IF(B1187="","",IF(COUNTIF($B$6:B1187,B1187)=1,1,0))</f>
        <v/>
      </c>
      <c r="W1187">
        <f>IF(B1187="","",B1187-WEEKDAY(B1187,3))</f>
        <v/>
      </c>
      <c r="X1187">
        <f>IF(D1187="","",MAX(IF(N(F1187)=0,0,IF(N(E1187)&gt;0,E1187*(1+F1187/30),F1187)),IF(N(H1187)=0,0,IF(N(G1187)&gt;0,G1187*(1+H1187/30),H1187)),IF(N(J1187)=0,0,IF(N(I1187)&gt;0,I1187*(1+J1187/30),J1187)),IF(N(L1187)=0,0,IF(N(K1187)&gt;0,K1187*(1+L1187/30),L1187)),IF(N(N1187)=0,0,IF(N(M1187)&gt;0,M1187*(1+N1187/30),N1187))))</f>
        <v/>
      </c>
      <c r="Y1187">
        <f>IF(N(X1187)=0,"",X1187+ROW()/1000000000)</f>
        <v/>
      </c>
      <c r="Z1187">
        <f>IF(Y1187="","",IF(COUNTIFS(Log!$D$6:$D$1505,D1187,Log!$Y$6:$Y$1505,"&gt;"&amp;Y1187)=0,1,0))</f>
        <v/>
      </c>
      <c r="AA1187">
        <f>IF(OR(B1187="",D1187=""),"",B1187+ROW()/10000000)</f>
        <v/>
      </c>
      <c r="AB1187">
        <f>IF(AA1187="","",IF(COUNTIFS(Log!$D$6:$D$1505,D1187,Log!$AA$6:$AA$1505,"&gt;"&amp;AA1187)=0,1,0))</f>
        <v/>
      </c>
      <c r="AC1187">
        <f>IF(S1187="New best",AA1187,"")</f>
        <v/>
      </c>
      <c r="AD1187">
        <f>ROW()</f>
        <v/>
      </c>
    </row>
    <row r="1188">
      <c r="A1188" s="1" t="n"/>
      <c r="B1188" s="21" t="n"/>
      <c r="C1188" s="22" t="n"/>
      <c r="D1188" s="23" t="n"/>
      <c r="E1188" s="24" t="n"/>
      <c r="F1188" s="24" t="n"/>
      <c r="G1188" s="24" t="n"/>
      <c r="H1188" s="24" t="n"/>
      <c r="I1188" s="24" t="n"/>
      <c r="J1188" s="24" t="n"/>
      <c r="K1188" s="24" t="n"/>
      <c r="L1188" s="24" t="n"/>
      <c r="M1188" s="24" t="n"/>
      <c r="N1188" s="24" t="n"/>
      <c r="O1188" s="15">
        <f>IF(D1188="","",COUNT(F1188,H1188,J1188,L1188,N1188))</f>
        <v/>
      </c>
      <c r="P1188" s="25">
        <f>IF(D1188="","",N(E1188)*N(F1188)+N(G1188)*N(H1188)+N(I1188)*N(J1188)+N(K1188)*N(L1188)+N(M1188)*N(N1188))</f>
        <v/>
      </c>
      <c r="Q1188" s="18">
        <f>IF(N(X1188)=0,"",IF(IF(N(F1188)=0,0,IF(N(E1188)&gt;0,E1188*(1+F1188/30),F1188))=X1188,IF(N(E1188)&gt;0,E1188&amp;" x "&amp;F1188,F1188&amp;" reps"),IF(IF(N(H1188)=0,0,IF(N(G1188)&gt;0,G1188*(1+H1188/30),H1188))=X1188,IF(N(G1188)&gt;0,G1188&amp;" x "&amp;H1188,H1188&amp;" reps"),IF(IF(N(J1188)=0,0,IF(N(I1188)&gt;0,I1188*(1+J1188/30),J1188))=X1188,IF(N(I1188)&gt;0,I1188&amp;" x "&amp;J1188,J1188&amp;" reps"),IF(IF(N(L1188)=0,0,IF(N(K1188)&gt;0,K1188*(1+L1188/30),L1188))=X1188,IF(N(K1188)&gt;0,K1188&amp;" x "&amp;L1188,L1188&amp;" reps"),IF(IF(N(N1188)=0,0,IF(N(M1188)&gt;0,M1188*(1+N1188/30),N1188))=X1188,IF(N(M1188)&gt;0,M1188&amp;" x "&amp;N1188,N1188&amp;" reps"),""))))))</f>
        <v/>
      </c>
      <c r="R1188" s="20">
        <f>IF(N(X1188)=0,"",ROUND(X1188,1))</f>
        <v/>
      </c>
      <c r="S1188" s="18">
        <f>IF(N(X1188)=0,"",IF(AND(COUNTIFS(Log!$D$6:$D$1505,D1188,Log!$B$6:$B$1505,"&lt;"&amp;B1188)&gt;0,COUNTIFS(Log!$D$6:$D$1505,D1188,Log!$B$6:$B$1505,"&lt;"&amp;B1188,Log!$X$6:$X$1505,"&gt;="&amp;X1188)=0),"New best",""))</f>
        <v/>
      </c>
      <c r="T1188" s="26" t="n"/>
      <c r="U1188" s="1">
        <f>IF(D1188="","",IFERROR(INDEX(Exercises!$C$6:$C$105,MATCH(D1188,Exercises!$B$6:$B$105,0)),"Other"))</f>
        <v/>
      </c>
      <c r="V1188">
        <f>IF(B1188="","",IF(COUNTIF($B$6:B1188,B1188)=1,1,0))</f>
        <v/>
      </c>
      <c r="W1188">
        <f>IF(B1188="","",B1188-WEEKDAY(B1188,3))</f>
        <v/>
      </c>
      <c r="X1188">
        <f>IF(D1188="","",MAX(IF(N(F1188)=0,0,IF(N(E1188)&gt;0,E1188*(1+F1188/30),F1188)),IF(N(H1188)=0,0,IF(N(G1188)&gt;0,G1188*(1+H1188/30),H1188)),IF(N(J1188)=0,0,IF(N(I1188)&gt;0,I1188*(1+J1188/30),J1188)),IF(N(L1188)=0,0,IF(N(K1188)&gt;0,K1188*(1+L1188/30),L1188)),IF(N(N1188)=0,0,IF(N(M1188)&gt;0,M1188*(1+N1188/30),N1188))))</f>
        <v/>
      </c>
      <c r="Y1188">
        <f>IF(N(X1188)=0,"",X1188+ROW()/1000000000)</f>
        <v/>
      </c>
      <c r="Z1188">
        <f>IF(Y1188="","",IF(COUNTIFS(Log!$D$6:$D$1505,D1188,Log!$Y$6:$Y$1505,"&gt;"&amp;Y1188)=0,1,0))</f>
        <v/>
      </c>
      <c r="AA1188">
        <f>IF(OR(B1188="",D1188=""),"",B1188+ROW()/10000000)</f>
        <v/>
      </c>
      <c r="AB1188">
        <f>IF(AA1188="","",IF(COUNTIFS(Log!$D$6:$D$1505,D1188,Log!$AA$6:$AA$1505,"&gt;"&amp;AA1188)=0,1,0))</f>
        <v/>
      </c>
      <c r="AC1188">
        <f>IF(S1188="New best",AA1188,"")</f>
        <v/>
      </c>
      <c r="AD1188">
        <f>ROW()</f>
        <v/>
      </c>
    </row>
    <row r="1189">
      <c r="A1189" s="1" t="n"/>
      <c r="B1189" s="21" t="n"/>
      <c r="C1189" s="22" t="n"/>
      <c r="D1189" s="23" t="n"/>
      <c r="E1189" s="24" t="n"/>
      <c r="F1189" s="24" t="n"/>
      <c r="G1189" s="24" t="n"/>
      <c r="H1189" s="24" t="n"/>
      <c r="I1189" s="24" t="n"/>
      <c r="J1189" s="24" t="n"/>
      <c r="K1189" s="24" t="n"/>
      <c r="L1189" s="24" t="n"/>
      <c r="M1189" s="24" t="n"/>
      <c r="N1189" s="24" t="n"/>
      <c r="O1189" s="15">
        <f>IF(D1189="","",COUNT(F1189,H1189,J1189,L1189,N1189))</f>
        <v/>
      </c>
      <c r="P1189" s="25">
        <f>IF(D1189="","",N(E1189)*N(F1189)+N(G1189)*N(H1189)+N(I1189)*N(J1189)+N(K1189)*N(L1189)+N(M1189)*N(N1189))</f>
        <v/>
      </c>
      <c r="Q1189" s="18">
        <f>IF(N(X1189)=0,"",IF(IF(N(F1189)=0,0,IF(N(E1189)&gt;0,E1189*(1+F1189/30),F1189))=X1189,IF(N(E1189)&gt;0,E1189&amp;" x "&amp;F1189,F1189&amp;" reps"),IF(IF(N(H1189)=0,0,IF(N(G1189)&gt;0,G1189*(1+H1189/30),H1189))=X1189,IF(N(G1189)&gt;0,G1189&amp;" x "&amp;H1189,H1189&amp;" reps"),IF(IF(N(J1189)=0,0,IF(N(I1189)&gt;0,I1189*(1+J1189/30),J1189))=X1189,IF(N(I1189)&gt;0,I1189&amp;" x "&amp;J1189,J1189&amp;" reps"),IF(IF(N(L1189)=0,0,IF(N(K1189)&gt;0,K1189*(1+L1189/30),L1189))=X1189,IF(N(K1189)&gt;0,K1189&amp;" x "&amp;L1189,L1189&amp;" reps"),IF(IF(N(N1189)=0,0,IF(N(M1189)&gt;0,M1189*(1+N1189/30),N1189))=X1189,IF(N(M1189)&gt;0,M1189&amp;" x "&amp;N1189,N1189&amp;" reps"),""))))))</f>
        <v/>
      </c>
      <c r="R1189" s="20">
        <f>IF(N(X1189)=0,"",ROUND(X1189,1))</f>
        <v/>
      </c>
      <c r="S1189" s="18">
        <f>IF(N(X1189)=0,"",IF(AND(COUNTIFS(Log!$D$6:$D$1505,D1189,Log!$B$6:$B$1505,"&lt;"&amp;B1189)&gt;0,COUNTIFS(Log!$D$6:$D$1505,D1189,Log!$B$6:$B$1505,"&lt;"&amp;B1189,Log!$X$6:$X$1505,"&gt;="&amp;X1189)=0),"New best",""))</f>
        <v/>
      </c>
      <c r="T1189" s="26" t="n"/>
      <c r="U1189" s="1">
        <f>IF(D1189="","",IFERROR(INDEX(Exercises!$C$6:$C$105,MATCH(D1189,Exercises!$B$6:$B$105,0)),"Other"))</f>
        <v/>
      </c>
      <c r="V1189">
        <f>IF(B1189="","",IF(COUNTIF($B$6:B1189,B1189)=1,1,0))</f>
        <v/>
      </c>
      <c r="W1189">
        <f>IF(B1189="","",B1189-WEEKDAY(B1189,3))</f>
        <v/>
      </c>
      <c r="X1189">
        <f>IF(D1189="","",MAX(IF(N(F1189)=0,0,IF(N(E1189)&gt;0,E1189*(1+F1189/30),F1189)),IF(N(H1189)=0,0,IF(N(G1189)&gt;0,G1189*(1+H1189/30),H1189)),IF(N(J1189)=0,0,IF(N(I1189)&gt;0,I1189*(1+J1189/30),J1189)),IF(N(L1189)=0,0,IF(N(K1189)&gt;0,K1189*(1+L1189/30),L1189)),IF(N(N1189)=0,0,IF(N(M1189)&gt;0,M1189*(1+N1189/30),N1189))))</f>
        <v/>
      </c>
      <c r="Y1189">
        <f>IF(N(X1189)=0,"",X1189+ROW()/1000000000)</f>
        <v/>
      </c>
      <c r="Z1189">
        <f>IF(Y1189="","",IF(COUNTIFS(Log!$D$6:$D$1505,D1189,Log!$Y$6:$Y$1505,"&gt;"&amp;Y1189)=0,1,0))</f>
        <v/>
      </c>
      <c r="AA1189">
        <f>IF(OR(B1189="",D1189=""),"",B1189+ROW()/10000000)</f>
        <v/>
      </c>
      <c r="AB1189">
        <f>IF(AA1189="","",IF(COUNTIFS(Log!$D$6:$D$1505,D1189,Log!$AA$6:$AA$1505,"&gt;"&amp;AA1189)=0,1,0))</f>
        <v/>
      </c>
      <c r="AC1189">
        <f>IF(S1189="New best",AA1189,"")</f>
        <v/>
      </c>
      <c r="AD1189">
        <f>ROW()</f>
        <v/>
      </c>
    </row>
    <row r="1190">
      <c r="A1190" s="1" t="n"/>
      <c r="B1190" s="21" t="n"/>
      <c r="C1190" s="22" t="n"/>
      <c r="D1190" s="23" t="n"/>
      <c r="E1190" s="24" t="n"/>
      <c r="F1190" s="24" t="n"/>
      <c r="G1190" s="24" t="n"/>
      <c r="H1190" s="24" t="n"/>
      <c r="I1190" s="24" t="n"/>
      <c r="J1190" s="24" t="n"/>
      <c r="K1190" s="24" t="n"/>
      <c r="L1190" s="24" t="n"/>
      <c r="M1190" s="24" t="n"/>
      <c r="N1190" s="24" t="n"/>
      <c r="O1190" s="15">
        <f>IF(D1190="","",COUNT(F1190,H1190,J1190,L1190,N1190))</f>
        <v/>
      </c>
      <c r="P1190" s="25">
        <f>IF(D1190="","",N(E1190)*N(F1190)+N(G1190)*N(H1190)+N(I1190)*N(J1190)+N(K1190)*N(L1190)+N(M1190)*N(N1190))</f>
        <v/>
      </c>
      <c r="Q1190" s="18">
        <f>IF(N(X1190)=0,"",IF(IF(N(F1190)=0,0,IF(N(E1190)&gt;0,E1190*(1+F1190/30),F1190))=X1190,IF(N(E1190)&gt;0,E1190&amp;" x "&amp;F1190,F1190&amp;" reps"),IF(IF(N(H1190)=0,0,IF(N(G1190)&gt;0,G1190*(1+H1190/30),H1190))=X1190,IF(N(G1190)&gt;0,G1190&amp;" x "&amp;H1190,H1190&amp;" reps"),IF(IF(N(J1190)=0,0,IF(N(I1190)&gt;0,I1190*(1+J1190/30),J1190))=X1190,IF(N(I1190)&gt;0,I1190&amp;" x "&amp;J1190,J1190&amp;" reps"),IF(IF(N(L1190)=0,0,IF(N(K1190)&gt;0,K1190*(1+L1190/30),L1190))=X1190,IF(N(K1190)&gt;0,K1190&amp;" x "&amp;L1190,L1190&amp;" reps"),IF(IF(N(N1190)=0,0,IF(N(M1190)&gt;0,M1190*(1+N1190/30),N1190))=X1190,IF(N(M1190)&gt;0,M1190&amp;" x "&amp;N1190,N1190&amp;" reps"),""))))))</f>
        <v/>
      </c>
      <c r="R1190" s="20">
        <f>IF(N(X1190)=0,"",ROUND(X1190,1))</f>
        <v/>
      </c>
      <c r="S1190" s="18">
        <f>IF(N(X1190)=0,"",IF(AND(COUNTIFS(Log!$D$6:$D$1505,D1190,Log!$B$6:$B$1505,"&lt;"&amp;B1190)&gt;0,COUNTIFS(Log!$D$6:$D$1505,D1190,Log!$B$6:$B$1505,"&lt;"&amp;B1190,Log!$X$6:$X$1505,"&gt;="&amp;X1190)=0),"New best",""))</f>
        <v/>
      </c>
      <c r="T1190" s="26" t="n"/>
      <c r="U1190" s="1">
        <f>IF(D1190="","",IFERROR(INDEX(Exercises!$C$6:$C$105,MATCH(D1190,Exercises!$B$6:$B$105,0)),"Other"))</f>
        <v/>
      </c>
      <c r="V1190">
        <f>IF(B1190="","",IF(COUNTIF($B$6:B1190,B1190)=1,1,0))</f>
        <v/>
      </c>
      <c r="W1190">
        <f>IF(B1190="","",B1190-WEEKDAY(B1190,3))</f>
        <v/>
      </c>
      <c r="X1190">
        <f>IF(D1190="","",MAX(IF(N(F1190)=0,0,IF(N(E1190)&gt;0,E1190*(1+F1190/30),F1190)),IF(N(H1190)=0,0,IF(N(G1190)&gt;0,G1190*(1+H1190/30),H1190)),IF(N(J1190)=0,0,IF(N(I1190)&gt;0,I1190*(1+J1190/30),J1190)),IF(N(L1190)=0,0,IF(N(K1190)&gt;0,K1190*(1+L1190/30),L1190)),IF(N(N1190)=0,0,IF(N(M1190)&gt;0,M1190*(1+N1190/30),N1190))))</f>
        <v/>
      </c>
      <c r="Y1190">
        <f>IF(N(X1190)=0,"",X1190+ROW()/1000000000)</f>
        <v/>
      </c>
      <c r="Z1190">
        <f>IF(Y1190="","",IF(COUNTIFS(Log!$D$6:$D$1505,D1190,Log!$Y$6:$Y$1505,"&gt;"&amp;Y1190)=0,1,0))</f>
        <v/>
      </c>
      <c r="AA1190">
        <f>IF(OR(B1190="",D1190=""),"",B1190+ROW()/10000000)</f>
        <v/>
      </c>
      <c r="AB1190">
        <f>IF(AA1190="","",IF(COUNTIFS(Log!$D$6:$D$1505,D1190,Log!$AA$6:$AA$1505,"&gt;"&amp;AA1190)=0,1,0))</f>
        <v/>
      </c>
      <c r="AC1190">
        <f>IF(S1190="New best",AA1190,"")</f>
        <v/>
      </c>
      <c r="AD1190">
        <f>ROW()</f>
        <v/>
      </c>
    </row>
    <row r="1191">
      <c r="A1191" s="1" t="n"/>
      <c r="B1191" s="21" t="n"/>
      <c r="C1191" s="22" t="n"/>
      <c r="D1191" s="23" t="n"/>
      <c r="E1191" s="24" t="n"/>
      <c r="F1191" s="24" t="n"/>
      <c r="G1191" s="24" t="n"/>
      <c r="H1191" s="24" t="n"/>
      <c r="I1191" s="24" t="n"/>
      <c r="J1191" s="24" t="n"/>
      <c r="K1191" s="24" t="n"/>
      <c r="L1191" s="24" t="n"/>
      <c r="M1191" s="24" t="n"/>
      <c r="N1191" s="24" t="n"/>
      <c r="O1191" s="15">
        <f>IF(D1191="","",COUNT(F1191,H1191,J1191,L1191,N1191))</f>
        <v/>
      </c>
      <c r="P1191" s="25">
        <f>IF(D1191="","",N(E1191)*N(F1191)+N(G1191)*N(H1191)+N(I1191)*N(J1191)+N(K1191)*N(L1191)+N(M1191)*N(N1191))</f>
        <v/>
      </c>
      <c r="Q1191" s="18">
        <f>IF(N(X1191)=0,"",IF(IF(N(F1191)=0,0,IF(N(E1191)&gt;0,E1191*(1+F1191/30),F1191))=X1191,IF(N(E1191)&gt;0,E1191&amp;" x "&amp;F1191,F1191&amp;" reps"),IF(IF(N(H1191)=0,0,IF(N(G1191)&gt;0,G1191*(1+H1191/30),H1191))=X1191,IF(N(G1191)&gt;0,G1191&amp;" x "&amp;H1191,H1191&amp;" reps"),IF(IF(N(J1191)=0,0,IF(N(I1191)&gt;0,I1191*(1+J1191/30),J1191))=X1191,IF(N(I1191)&gt;0,I1191&amp;" x "&amp;J1191,J1191&amp;" reps"),IF(IF(N(L1191)=0,0,IF(N(K1191)&gt;0,K1191*(1+L1191/30),L1191))=X1191,IF(N(K1191)&gt;0,K1191&amp;" x "&amp;L1191,L1191&amp;" reps"),IF(IF(N(N1191)=0,0,IF(N(M1191)&gt;0,M1191*(1+N1191/30),N1191))=X1191,IF(N(M1191)&gt;0,M1191&amp;" x "&amp;N1191,N1191&amp;" reps"),""))))))</f>
        <v/>
      </c>
      <c r="R1191" s="20">
        <f>IF(N(X1191)=0,"",ROUND(X1191,1))</f>
        <v/>
      </c>
      <c r="S1191" s="18">
        <f>IF(N(X1191)=0,"",IF(AND(COUNTIFS(Log!$D$6:$D$1505,D1191,Log!$B$6:$B$1505,"&lt;"&amp;B1191)&gt;0,COUNTIFS(Log!$D$6:$D$1505,D1191,Log!$B$6:$B$1505,"&lt;"&amp;B1191,Log!$X$6:$X$1505,"&gt;="&amp;X1191)=0),"New best",""))</f>
        <v/>
      </c>
      <c r="T1191" s="26" t="n"/>
      <c r="U1191" s="1">
        <f>IF(D1191="","",IFERROR(INDEX(Exercises!$C$6:$C$105,MATCH(D1191,Exercises!$B$6:$B$105,0)),"Other"))</f>
        <v/>
      </c>
      <c r="V1191">
        <f>IF(B1191="","",IF(COUNTIF($B$6:B1191,B1191)=1,1,0))</f>
        <v/>
      </c>
      <c r="W1191">
        <f>IF(B1191="","",B1191-WEEKDAY(B1191,3))</f>
        <v/>
      </c>
      <c r="X1191">
        <f>IF(D1191="","",MAX(IF(N(F1191)=0,0,IF(N(E1191)&gt;0,E1191*(1+F1191/30),F1191)),IF(N(H1191)=0,0,IF(N(G1191)&gt;0,G1191*(1+H1191/30),H1191)),IF(N(J1191)=0,0,IF(N(I1191)&gt;0,I1191*(1+J1191/30),J1191)),IF(N(L1191)=0,0,IF(N(K1191)&gt;0,K1191*(1+L1191/30),L1191)),IF(N(N1191)=0,0,IF(N(M1191)&gt;0,M1191*(1+N1191/30),N1191))))</f>
        <v/>
      </c>
      <c r="Y1191">
        <f>IF(N(X1191)=0,"",X1191+ROW()/1000000000)</f>
        <v/>
      </c>
      <c r="Z1191">
        <f>IF(Y1191="","",IF(COUNTIFS(Log!$D$6:$D$1505,D1191,Log!$Y$6:$Y$1505,"&gt;"&amp;Y1191)=0,1,0))</f>
        <v/>
      </c>
      <c r="AA1191">
        <f>IF(OR(B1191="",D1191=""),"",B1191+ROW()/10000000)</f>
        <v/>
      </c>
      <c r="AB1191">
        <f>IF(AA1191="","",IF(COUNTIFS(Log!$D$6:$D$1505,D1191,Log!$AA$6:$AA$1505,"&gt;"&amp;AA1191)=0,1,0))</f>
        <v/>
      </c>
      <c r="AC1191">
        <f>IF(S1191="New best",AA1191,"")</f>
        <v/>
      </c>
      <c r="AD1191">
        <f>ROW()</f>
        <v/>
      </c>
    </row>
    <row r="1192">
      <c r="A1192" s="1" t="n"/>
      <c r="B1192" s="21" t="n"/>
      <c r="C1192" s="22" t="n"/>
      <c r="D1192" s="23" t="n"/>
      <c r="E1192" s="24" t="n"/>
      <c r="F1192" s="24" t="n"/>
      <c r="G1192" s="24" t="n"/>
      <c r="H1192" s="24" t="n"/>
      <c r="I1192" s="24" t="n"/>
      <c r="J1192" s="24" t="n"/>
      <c r="K1192" s="24" t="n"/>
      <c r="L1192" s="24" t="n"/>
      <c r="M1192" s="24" t="n"/>
      <c r="N1192" s="24" t="n"/>
      <c r="O1192" s="15">
        <f>IF(D1192="","",COUNT(F1192,H1192,J1192,L1192,N1192))</f>
        <v/>
      </c>
      <c r="P1192" s="25">
        <f>IF(D1192="","",N(E1192)*N(F1192)+N(G1192)*N(H1192)+N(I1192)*N(J1192)+N(K1192)*N(L1192)+N(M1192)*N(N1192))</f>
        <v/>
      </c>
      <c r="Q1192" s="18">
        <f>IF(N(X1192)=0,"",IF(IF(N(F1192)=0,0,IF(N(E1192)&gt;0,E1192*(1+F1192/30),F1192))=X1192,IF(N(E1192)&gt;0,E1192&amp;" x "&amp;F1192,F1192&amp;" reps"),IF(IF(N(H1192)=0,0,IF(N(G1192)&gt;0,G1192*(1+H1192/30),H1192))=X1192,IF(N(G1192)&gt;0,G1192&amp;" x "&amp;H1192,H1192&amp;" reps"),IF(IF(N(J1192)=0,0,IF(N(I1192)&gt;0,I1192*(1+J1192/30),J1192))=X1192,IF(N(I1192)&gt;0,I1192&amp;" x "&amp;J1192,J1192&amp;" reps"),IF(IF(N(L1192)=0,0,IF(N(K1192)&gt;0,K1192*(1+L1192/30),L1192))=X1192,IF(N(K1192)&gt;0,K1192&amp;" x "&amp;L1192,L1192&amp;" reps"),IF(IF(N(N1192)=0,0,IF(N(M1192)&gt;0,M1192*(1+N1192/30),N1192))=X1192,IF(N(M1192)&gt;0,M1192&amp;" x "&amp;N1192,N1192&amp;" reps"),""))))))</f>
        <v/>
      </c>
      <c r="R1192" s="20">
        <f>IF(N(X1192)=0,"",ROUND(X1192,1))</f>
        <v/>
      </c>
      <c r="S1192" s="18">
        <f>IF(N(X1192)=0,"",IF(AND(COUNTIFS(Log!$D$6:$D$1505,D1192,Log!$B$6:$B$1505,"&lt;"&amp;B1192)&gt;0,COUNTIFS(Log!$D$6:$D$1505,D1192,Log!$B$6:$B$1505,"&lt;"&amp;B1192,Log!$X$6:$X$1505,"&gt;="&amp;X1192)=0),"New best",""))</f>
        <v/>
      </c>
      <c r="T1192" s="26" t="n"/>
      <c r="U1192" s="1">
        <f>IF(D1192="","",IFERROR(INDEX(Exercises!$C$6:$C$105,MATCH(D1192,Exercises!$B$6:$B$105,0)),"Other"))</f>
        <v/>
      </c>
      <c r="V1192">
        <f>IF(B1192="","",IF(COUNTIF($B$6:B1192,B1192)=1,1,0))</f>
        <v/>
      </c>
      <c r="W1192">
        <f>IF(B1192="","",B1192-WEEKDAY(B1192,3))</f>
        <v/>
      </c>
      <c r="X1192">
        <f>IF(D1192="","",MAX(IF(N(F1192)=0,0,IF(N(E1192)&gt;0,E1192*(1+F1192/30),F1192)),IF(N(H1192)=0,0,IF(N(G1192)&gt;0,G1192*(1+H1192/30),H1192)),IF(N(J1192)=0,0,IF(N(I1192)&gt;0,I1192*(1+J1192/30),J1192)),IF(N(L1192)=0,0,IF(N(K1192)&gt;0,K1192*(1+L1192/30),L1192)),IF(N(N1192)=0,0,IF(N(M1192)&gt;0,M1192*(1+N1192/30),N1192))))</f>
        <v/>
      </c>
      <c r="Y1192">
        <f>IF(N(X1192)=0,"",X1192+ROW()/1000000000)</f>
        <v/>
      </c>
      <c r="Z1192">
        <f>IF(Y1192="","",IF(COUNTIFS(Log!$D$6:$D$1505,D1192,Log!$Y$6:$Y$1505,"&gt;"&amp;Y1192)=0,1,0))</f>
        <v/>
      </c>
      <c r="AA1192">
        <f>IF(OR(B1192="",D1192=""),"",B1192+ROW()/10000000)</f>
        <v/>
      </c>
      <c r="AB1192">
        <f>IF(AA1192="","",IF(COUNTIFS(Log!$D$6:$D$1505,D1192,Log!$AA$6:$AA$1505,"&gt;"&amp;AA1192)=0,1,0))</f>
        <v/>
      </c>
      <c r="AC1192">
        <f>IF(S1192="New best",AA1192,"")</f>
        <v/>
      </c>
      <c r="AD1192">
        <f>ROW()</f>
        <v/>
      </c>
    </row>
    <row r="1193">
      <c r="A1193" s="1" t="n"/>
      <c r="B1193" s="21" t="n"/>
      <c r="C1193" s="22" t="n"/>
      <c r="D1193" s="23" t="n"/>
      <c r="E1193" s="24" t="n"/>
      <c r="F1193" s="24" t="n"/>
      <c r="G1193" s="24" t="n"/>
      <c r="H1193" s="24" t="n"/>
      <c r="I1193" s="24" t="n"/>
      <c r="J1193" s="24" t="n"/>
      <c r="K1193" s="24" t="n"/>
      <c r="L1193" s="24" t="n"/>
      <c r="M1193" s="24" t="n"/>
      <c r="N1193" s="24" t="n"/>
      <c r="O1193" s="15">
        <f>IF(D1193="","",COUNT(F1193,H1193,J1193,L1193,N1193))</f>
        <v/>
      </c>
      <c r="P1193" s="25">
        <f>IF(D1193="","",N(E1193)*N(F1193)+N(G1193)*N(H1193)+N(I1193)*N(J1193)+N(K1193)*N(L1193)+N(M1193)*N(N1193))</f>
        <v/>
      </c>
      <c r="Q1193" s="18">
        <f>IF(N(X1193)=0,"",IF(IF(N(F1193)=0,0,IF(N(E1193)&gt;0,E1193*(1+F1193/30),F1193))=X1193,IF(N(E1193)&gt;0,E1193&amp;" x "&amp;F1193,F1193&amp;" reps"),IF(IF(N(H1193)=0,0,IF(N(G1193)&gt;0,G1193*(1+H1193/30),H1193))=X1193,IF(N(G1193)&gt;0,G1193&amp;" x "&amp;H1193,H1193&amp;" reps"),IF(IF(N(J1193)=0,0,IF(N(I1193)&gt;0,I1193*(1+J1193/30),J1193))=X1193,IF(N(I1193)&gt;0,I1193&amp;" x "&amp;J1193,J1193&amp;" reps"),IF(IF(N(L1193)=0,0,IF(N(K1193)&gt;0,K1193*(1+L1193/30),L1193))=X1193,IF(N(K1193)&gt;0,K1193&amp;" x "&amp;L1193,L1193&amp;" reps"),IF(IF(N(N1193)=0,0,IF(N(M1193)&gt;0,M1193*(1+N1193/30),N1193))=X1193,IF(N(M1193)&gt;0,M1193&amp;" x "&amp;N1193,N1193&amp;" reps"),""))))))</f>
        <v/>
      </c>
      <c r="R1193" s="20">
        <f>IF(N(X1193)=0,"",ROUND(X1193,1))</f>
        <v/>
      </c>
      <c r="S1193" s="18">
        <f>IF(N(X1193)=0,"",IF(AND(COUNTIFS(Log!$D$6:$D$1505,D1193,Log!$B$6:$B$1505,"&lt;"&amp;B1193)&gt;0,COUNTIFS(Log!$D$6:$D$1505,D1193,Log!$B$6:$B$1505,"&lt;"&amp;B1193,Log!$X$6:$X$1505,"&gt;="&amp;X1193)=0),"New best",""))</f>
        <v/>
      </c>
      <c r="T1193" s="26" t="n"/>
      <c r="U1193" s="1">
        <f>IF(D1193="","",IFERROR(INDEX(Exercises!$C$6:$C$105,MATCH(D1193,Exercises!$B$6:$B$105,0)),"Other"))</f>
        <v/>
      </c>
      <c r="V1193">
        <f>IF(B1193="","",IF(COUNTIF($B$6:B1193,B1193)=1,1,0))</f>
        <v/>
      </c>
      <c r="W1193">
        <f>IF(B1193="","",B1193-WEEKDAY(B1193,3))</f>
        <v/>
      </c>
      <c r="X1193">
        <f>IF(D1193="","",MAX(IF(N(F1193)=0,0,IF(N(E1193)&gt;0,E1193*(1+F1193/30),F1193)),IF(N(H1193)=0,0,IF(N(G1193)&gt;0,G1193*(1+H1193/30),H1193)),IF(N(J1193)=0,0,IF(N(I1193)&gt;0,I1193*(1+J1193/30),J1193)),IF(N(L1193)=0,0,IF(N(K1193)&gt;0,K1193*(1+L1193/30),L1193)),IF(N(N1193)=0,0,IF(N(M1193)&gt;0,M1193*(1+N1193/30),N1193))))</f>
        <v/>
      </c>
      <c r="Y1193">
        <f>IF(N(X1193)=0,"",X1193+ROW()/1000000000)</f>
        <v/>
      </c>
      <c r="Z1193">
        <f>IF(Y1193="","",IF(COUNTIFS(Log!$D$6:$D$1505,D1193,Log!$Y$6:$Y$1505,"&gt;"&amp;Y1193)=0,1,0))</f>
        <v/>
      </c>
      <c r="AA1193">
        <f>IF(OR(B1193="",D1193=""),"",B1193+ROW()/10000000)</f>
        <v/>
      </c>
      <c r="AB1193">
        <f>IF(AA1193="","",IF(COUNTIFS(Log!$D$6:$D$1505,D1193,Log!$AA$6:$AA$1505,"&gt;"&amp;AA1193)=0,1,0))</f>
        <v/>
      </c>
      <c r="AC1193">
        <f>IF(S1193="New best",AA1193,"")</f>
        <v/>
      </c>
      <c r="AD1193">
        <f>ROW()</f>
        <v/>
      </c>
    </row>
    <row r="1194">
      <c r="A1194" s="1" t="n"/>
      <c r="B1194" s="21" t="n"/>
      <c r="C1194" s="22" t="n"/>
      <c r="D1194" s="23" t="n"/>
      <c r="E1194" s="24" t="n"/>
      <c r="F1194" s="24" t="n"/>
      <c r="G1194" s="24" t="n"/>
      <c r="H1194" s="24" t="n"/>
      <c r="I1194" s="24" t="n"/>
      <c r="J1194" s="24" t="n"/>
      <c r="K1194" s="24" t="n"/>
      <c r="L1194" s="24" t="n"/>
      <c r="M1194" s="24" t="n"/>
      <c r="N1194" s="24" t="n"/>
      <c r="O1194" s="15">
        <f>IF(D1194="","",COUNT(F1194,H1194,J1194,L1194,N1194))</f>
        <v/>
      </c>
      <c r="P1194" s="25">
        <f>IF(D1194="","",N(E1194)*N(F1194)+N(G1194)*N(H1194)+N(I1194)*N(J1194)+N(K1194)*N(L1194)+N(M1194)*N(N1194))</f>
        <v/>
      </c>
      <c r="Q1194" s="18">
        <f>IF(N(X1194)=0,"",IF(IF(N(F1194)=0,0,IF(N(E1194)&gt;0,E1194*(1+F1194/30),F1194))=X1194,IF(N(E1194)&gt;0,E1194&amp;" x "&amp;F1194,F1194&amp;" reps"),IF(IF(N(H1194)=0,0,IF(N(G1194)&gt;0,G1194*(1+H1194/30),H1194))=X1194,IF(N(G1194)&gt;0,G1194&amp;" x "&amp;H1194,H1194&amp;" reps"),IF(IF(N(J1194)=0,0,IF(N(I1194)&gt;0,I1194*(1+J1194/30),J1194))=X1194,IF(N(I1194)&gt;0,I1194&amp;" x "&amp;J1194,J1194&amp;" reps"),IF(IF(N(L1194)=0,0,IF(N(K1194)&gt;0,K1194*(1+L1194/30),L1194))=X1194,IF(N(K1194)&gt;0,K1194&amp;" x "&amp;L1194,L1194&amp;" reps"),IF(IF(N(N1194)=0,0,IF(N(M1194)&gt;0,M1194*(1+N1194/30),N1194))=X1194,IF(N(M1194)&gt;0,M1194&amp;" x "&amp;N1194,N1194&amp;" reps"),""))))))</f>
        <v/>
      </c>
      <c r="R1194" s="20">
        <f>IF(N(X1194)=0,"",ROUND(X1194,1))</f>
        <v/>
      </c>
      <c r="S1194" s="18">
        <f>IF(N(X1194)=0,"",IF(AND(COUNTIFS(Log!$D$6:$D$1505,D1194,Log!$B$6:$B$1505,"&lt;"&amp;B1194)&gt;0,COUNTIFS(Log!$D$6:$D$1505,D1194,Log!$B$6:$B$1505,"&lt;"&amp;B1194,Log!$X$6:$X$1505,"&gt;="&amp;X1194)=0),"New best",""))</f>
        <v/>
      </c>
      <c r="T1194" s="26" t="n"/>
      <c r="U1194" s="1">
        <f>IF(D1194="","",IFERROR(INDEX(Exercises!$C$6:$C$105,MATCH(D1194,Exercises!$B$6:$B$105,0)),"Other"))</f>
        <v/>
      </c>
      <c r="V1194">
        <f>IF(B1194="","",IF(COUNTIF($B$6:B1194,B1194)=1,1,0))</f>
        <v/>
      </c>
      <c r="W1194">
        <f>IF(B1194="","",B1194-WEEKDAY(B1194,3))</f>
        <v/>
      </c>
      <c r="X1194">
        <f>IF(D1194="","",MAX(IF(N(F1194)=0,0,IF(N(E1194)&gt;0,E1194*(1+F1194/30),F1194)),IF(N(H1194)=0,0,IF(N(G1194)&gt;0,G1194*(1+H1194/30),H1194)),IF(N(J1194)=0,0,IF(N(I1194)&gt;0,I1194*(1+J1194/30),J1194)),IF(N(L1194)=0,0,IF(N(K1194)&gt;0,K1194*(1+L1194/30),L1194)),IF(N(N1194)=0,0,IF(N(M1194)&gt;0,M1194*(1+N1194/30),N1194))))</f>
        <v/>
      </c>
      <c r="Y1194">
        <f>IF(N(X1194)=0,"",X1194+ROW()/1000000000)</f>
        <v/>
      </c>
      <c r="Z1194">
        <f>IF(Y1194="","",IF(COUNTIFS(Log!$D$6:$D$1505,D1194,Log!$Y$6:$Y$1505,"&gt;"&amp;Y1194)=0,1,0))</f>
        <v/>
      </c>
      <c r="AA1194">
        <f>IF(OR(B1194="",D1194=""),"",B1194+ROW()/10000000)</f>
        <v/>
      </c>
      <c r="AB1194">
        <f>IF(AA1194="","",IF(COUNTIFS(Log!$D$6:$D$1505,D1194,Log!$AA$6:$AA$1505,"&gt;"&amp;AA1194)=0,1,0))</f>
        <v/>
      </c>
      <c r="AC1194">
        <f>IF(S1194="New best",AA1194,"")</f>
        <v/>
      </c>
      <c r="AD1194">
        <f>ROW()</f>
        <v/>
      </c>
    </row>
    <row r="1195">
      <c r="A1195" s="1" t="n"/>
      <c r="B1195" s="21" t="n"/>
      <c r="C1195" s="22" t="n"/>
      <c r="D1195" s="23" t="n"/>
      <c r="E1195" s="24" t="n"/>
      <c r="F1195" s="24" t="n"/>
      <c r="G1195" s="24" t="n"/>
      <c r="H1195" s="24" t="n"/>
      <c r="I1195" s="24" t="n"/>
      <c r="J1195" s="24" t="n"/>
      <c r="K1195" s="24" t="n"/>
      <c r="L1195" s="24" t="n"/>
      <c r="M1195" s="24" t="n"/>
      <c r="N1195" s="24" t="n"/>
      <c r="O1195" s="15">
        <f>IF(D1195="","",COUNT(F1195,H1195,J1195,L1195,N1195))</f>
        <v/>
      </c>
      <c r="P1195" s="25">
        <f>IF(D1195="","",N(E1195)*N(F1195)+N(G1195)*N(H1195)+N(I1195)*N(J1195)+N(K1195)*N(L1195)+N(M1195)*N(N1195))</f>
        <v/>
      </c>
      <c r="Q1195" s="18">
        <f>IF(N(X1195)=0,"",IF(IF(N(F1195)=0,0,IF(N(E1195)&gt;0,E1195*(1+F1195/30),F1195))=X1195,IF(N(E1195)&gt;0,E1195&amp;" x "&amp;F1195,F1195&amp;" reps"),IF(IF(N(H1195)=0,0,IF(N(G1195)&gt;0,G1195*(1+H1195/30),H1195))=X1195,IF(N(G1195)&gt;0,G1195&amp;" x "&amp;H1195,H1195&amp;" reps"),IF(IF(N(J1195)=0,0,IF(N(I1195)&gt;0,I1195*(1+J1195/30),J1195))=X1195,IF(N(I1195)&gt;0,I1195&amp;" x "&amp;J1195,J1195&amp;" reps"),IF(IF(N(L1195)=0,0,IF(N(K1195)&gt;0,K1195*(1+L1195/30),L1195))=X1195,IF(N(K1195)&gt;0,K1195&amp;" x "&amp;L1195,L1195&amp;" reps"),IF(IF(N(N1195)=0,0,IF(N(M1195)&gt;0,M1195*(1+N1195/30),N1195))=X1195,IF(N(M1195)&gt;0,M1195&amp;" x "&amp;N1195,N1195&amp;" reps"),""))))))</f>
        <v/>
      </c>
      <c r="R1195" s="20">
        <f>IF(N(X1195)=0,"",ROUND(X1195,1))</f>
        <v/>
      </c>
      <c r="S1195" s="18">
        <f>IF(N(X1195)=0,"",IF(AND(COUNTIFS(Log!$D$6:$D$1505,D1195,Log!$B$6:$B$1505,"&lt;"&amp;B1195)&gt;0,COUNTIFS(Log!$D$6:$D$1505,D1195,Log!$B$6:$B$1505,"&lt;"&amp;B1195,Log!$X$6:$X$1505,"&gt;="&amp;X1195)=0),"New best",""))</f>
        <v/>
      </c>
      <c r="T1195" s="26" t="n"/>
      <c r="U1195" s="1">
        <f>IF(D1195="","",IFERROR(INDEX(Exercises!$C$6:$C$105,MATCH(D1195,Exercises!$B$6:$B$105,0)),"Other"))</f>
        <v/>
      </c>
      <c r="V1195">
        <f>IF(B1195="","",IF(COUNTIF($B$6:B1195,B1195)=1,1,0))</f>
        <v/>
      </c>
      <c r="W1195">
        <f>IF(B1195="","",B1195-WEEKDAY(B1195,3))</f>
        <v/>
      </c>
      <c r="X1195">
        <f>IF(D1195="","",MAX(IF(N(F1195)=0,0,IF(N(E1195)&gt;0,E1195*(1+F1195/30),F1195)),IF(N(H1195)=0,0,IF(N(G1195)&gt;0,G1195*(1+H1195/30),H1195)),IF(N(J1195)=0,0,IF(N(I1195)&gt;0,I1195*(1+J1195/30),J1195)),IF(N(L1195)=0,0,IF(N(K1195)&gt;0,K1195*(1+L1195/30),L1195)),IF(N(N1195)=0,0,IF(N(M1195)&gt;0,M1195*(1+N1195/30),N1195))))</f>
        <v/>
      </c>
      <c r="Y1195">
        <f>IF(N(X1195)=0,"",X1195+ROW()/1000000000)</f>
        <v/>
      </c>
      <c r="Z1195">
        <f>IF(Y1195="","",IF(COUNTIFS(Log!$D$6:$D$1505,D1195,Log!$Y$6:$Y$1505,"&gt;"&amp;Y1195)=0,1,0))</f>
        <v/>
      </c>
      <c r="AA1195">
        <f>IF(OR(B1195="",D1195=""),"",B1195+ROW()/10000000)</f>
        <v/>
      </c>
      <c r="AB1195">
        <f>IF(AA1195="","",IF(COUNTIFS(Log!$D$6:$D$1505,D1195,Log!$AA$6:$AA$1505,"&gt;"&amp;AA1195)=0,1,0))</f>
        <v/>
      </c>
      <c r="AC1195">
        <f>IF(S1195="New best",AA1195,"")</f>
        <v/>
      </c>
      <c r="AD1195">
        <f>ROW()</f>
        <v/>
      </c>
    </row>
    <row r="1196">
      <c r="A1196" s="1" t="n"/>
      <c r="B1196" s="21" t="n"/>
      <c r="C1196" s="22" t="n"/>
      <c r="D1196" s="23" t="n"/>
      <c r="E1196" s="24" t="n"/>
      <c r="F1196" s="24" t="n"/>
      <c r="G1196" s="24" t="n"/>
      <c r="H1196" s="24" t="n"/>
      <c r="I1196" s="24" t="n"/>
      <c r="J1196" s="24" t="n"/>
      <c r="K1196" s="24" t="n"/>
      <c r="L1196" s="24" t="n"/>
      <c r="M1196" s="24" t="n"/>
      <c r="N1196" s="24" t="n"/>
      <c r="O1196" s="15">
        <f>IF(D1196="","",COUNT(F1196,H1196,J1196,L1196,N1196))</f>
        <v/>
      </c>
      <c r="P1196" s="25">
        <f>IF(D1196="","",N(E1196)*N(F1196)+N(G1196)*N(H1196)+N(I1196)*N(J1196)+N(K1196)*N(L1196)+N(M1196)*N(N1196))</f>
        <v/>
      </c>
      <c r="Q1196" s="18">
        <f>IF(N(X1196)=0,"",IF(IF(N(F1196)=0,0,IF(N(E1196)&gt;0,E1196*(1+F1196/30),F1196))=X1196,IF(N(E1196)&gt;0,E1196&amp;" x "&amp;F1196,F1196&amp;" reps"),IF(IF(N(H1196)=0,0,IF(N(G1196)&gt;0,G1196*(1+H1196/30),H1196))=X1196,IF(N(G1196)&gt;0,G1196&amp;" x "&amp;H1196,H1196&amp;" reps"),IF(IF(N(J1196)=0,0,IF(N(I1196)&gt;0,I1196*(1+J1196/30),J1196))=X1196,IF(N(I1196)&gt;0,I1196&amp;" x "&amp;J1196,J1196&amp;" reps"),IF(IF(N(L1196)=0,0,IF(N(K1196)&gt;0,K1196*(1+L1196/30),L1196))=X1196,IF(N(K1196)&gt;0,K1196&amp;" x "&amp;L1196,L1196&amp;" reps"),IF(IF(N(N1196)=0,0,IF(N(M1196)&gt;0,M1196*(1+N1196/30),N1196))=X1196,IF(N(M1196)&gt;0,M1196&amp;" x "&amp;N1196,N1196&amp;" reps"),""))))))</f>
        <v/>
      </c>
      <c r="R1196" s="20">
        <f>IF(N(X1196)=0,"",ROUND(X1196,1))</f>
        <v/>
      </c>
      <c r="S1196" s="18">
        <f>IF(N(X1196)=0,"",IF(AND(COUNTIFS(Log!$D$6:$D$1505,D1196,Log!$B$6:$B$1505,"&lt;"&amp;B1196)&gt;0,COUNTIFS(Log!$D$6:$D$1505,D1196,Log!$B$6:$B$1505,"&lt;"&amp;B1196,Log!$X$6:$X$1505,"&gt;="&amp;X1196)=0),"New best",""))</f>
        <v/>
      </c>
      <c r="T1196" s="26" t="n"/>
      <c r="U1196" s="1">
        <f>IF(D1196="","",IFERROR(INDEX(Exercises!$C$6:$C$105,MATCH(D1196,Exercises!$B$6:$B$105,0)),"Other"))</f>
        <v/>
      </c>
      <c r="V1196">
        <f>IF(B1196="","",IF(COUNTIF($B$6:B1196,B1196)=1,1,0))</f>
        <v/>
      </c>
      <c r="W1196">
        <f>IF(B1196="","",B1196-WEEKDAY(B1196,3))</f>
        <v/>
      </c>
      <c r="X1196">
        <f>IF(D1196="","",MAX(IF(N(F1196)=0,0,IF(N(E1196)&gt;0,E1196*(1+F1196/30),F1196)),IF(N(H1196)=0,0,IF(N(G1196)&gt;0,G1196*(1+H1196/30),H1196)),IF(N(J1196)=0,0,IF(N(I1196)&gt;0,I1196*(1+J1196/30),J1196)),IF(N(L1196)=0,0,IF(N(K1196)&gt;0,K1196*(1+L1196/30),L1196)),IF(N(N1196)=0,0,IF(N(M1196)&gt;0,M1196*(1+N1196/30),N1196))))</f>
        <v/>
      </c>
      <c r="Y1196">
        <f>IF(N(X1196)=0,"",X1196+ROW()/1000000000)</f>
        <v/>
      </c>
      <c r="Z1196">
        <f>IF(Y1196="","",IF(COUNTIFS(Log!$D$6:$D$1505,D1196,Log!$Y$6:$Y$1505,"&gt;"&amp;Y1196)=0,1,0))</f>
        <v/>
      </c>
      <c r="AA1196">
        <f>IF(OR(B1196="",D1196=""),"",B1196+ROW()/10000000)</f>
        <v/>
      </c>
      <c r="AB1196">
        <f>IF(AA1196="","",IF(COUNTIFS(Log!$D$6:$D$1505,D1196,Log!$AA$6:$AA$1505,"&gt;"&amp;AA1196)=0,1,0))</f>
        <v/>
      </c>
      <c r="AC1196">
        <f>IF(S1196="New best",AA1196,"")</f>
        <v/>
      </c>
      <c r="AD1196">
        <f>ROW()</f>
        <v/>
      </c>
    </row>
    <row r="1197">
      <c r="A1197" s="1" t="n"/>
      <c r="B1197" s="21" t="n"/>
      <c r="C1197" s="22" t="n"/>
      <c r="D1197" s="23" t="n"/>
      <c r="E1197" s="24" t="n"/>
      <c r="F1197" s="24" t="n"/>
      <c r="G1197" s="24" t="n"/>
      <c r="H1197" s="24" t="n"/>
      <c r="I1197" s="24" t="n"/>
      <c r="J1197" s="24" t="n"/>
      <c r="K1197" s="24" t="n"/>
      <c r="L1197" s="24" t="n"/>
      <c r="M1197" s="24" t="n"/>
      <c r="N1197" s="24" t="n"/>
      <c r="O1197" s="15">
        <f>IF(D1197="","",COUNT(F1197,H1197,J1197,L1197,N1197))</f>
        <v/>
      </c>
      <c r="P1197" s="25">
        <f>IF(D1197="","",N(E1197)*N(F1197)+N(G1197)*N(H1197)+N(I1197)*N(J1197)+N(K1197)*N(L1197)+N(M1197)*N(N1197))</f>
        <v/>
      </c>
      <c r="Q1197" s="18">
        <f>IF(N(X1197)=0,"",IF(IF(N(F1197)=0,0,IF(N(E1197)&gt;0,E1197*(1+F1197/30),F1197))=X1197,IF(N(E1197)&gt;0,E1197&amp;" x "&amp;F1197,F1197&amp;" reps"),IF(IF(N(H1197)=0,0,IF(N(G1197)&gt;0,G1197*(1+H1197/30),H1197))=X1197,IF(N(G1197)&gt;0,G1197&amp;" x "&amp;H1197,H1197&amp;" reps"),IF(IF(N(J1197)=0,0,IF(N(I1197)&gt;0,I1197*(1+J1197/30),J1197))=X1197,IF(N(I1197)&gt;0,I1197&amp;" x "&amp;J1197,J1197&amp;" reps"),IF(IF(N(L1197)=0,0,IF(N(K1197)&gt;0,K1197*(1+L1197/30),L1197))=X1197,IF(N(K1197)&gt;0,K1197&amp;" x "&amp;L1197,L1197&amp;" reps"),IF(IF(N(N1197)=0,0,IF(N(M1197)&gt;0,M1197*(1+N1197/30),N1197))=X1197,IF(N(M1197)&gt;0,M1197&amp;" x "&amp;N1197,N1197&amp;" reps"),""))))))</f>
        <v/>
      </c>
      <c r="R1197" s="20">
        <f>IF(N(X1197)=0,"",ROUND(X1197,1))</f>
        <v/>
      </c>
      <c r="S1197" s="18">
        <f>IF(N(X1197)=0,"",IF(AND(COUNTIFS(Log!$D$6:$D$1505,D1197,Log!$B$6:$B$1505,"&lt;"&amp;B1197)&gt;0,COUNTIFS(Log!$D$6:$D$1505,D1197,Log!$B$6:$B$1505,"&lt;"&amp;B1197,Log!$X$6:$X$1505,"&gt;="&amp;X1197)=0),"New best",""))</f>
        <v/>
      </c>
      <c r="T1197" s="26" t="n"/>
      <c r="U1197" s="1">
        <f>IF(D1197="","",IFERROR(INDEX(Exercises!$C$6:$C$105,MATCH(D1197,Exercises!$B$6:$B$105,0)),"Other"))</f>
        <v/>
      </c>
      <c r="V1197">
        <f>IF(B1197="","",IF(COUNTIF($B$6:B1197,B1197)=1,1,0))</f>
        <v/>
      </c>
      <c r="W1197">
        <f>IF(B1197="","",B1197-WEEKDAY(B1197,3))</f>
        <v/>
      </c>
      <c r="X1197">
        <f>IF(D1197="","",MAX(IF(N(F1197)=0,0,IF(N(E1197)&gt;0,E1197*(1+F1197/30),F1197)),IF(N(H1197)=0,0,IF(N(G1197)&gt;0,G1197*(1+H1197/30),H1197)),IF(N(J1197)=0,0,IF(N(I1197)&gt;0,I1197*(1+J1197/30),J1197)),IF(N(L1197)=0,0,IF(N(K1197)&gt;0,K1197*(1+L1197/30),L1197)),IF(N(N1197)=0,0,IF(N(M1197)&gt;0,M1197*(1+N1197/30),N1197))))</f>
        <v/>
      </c>
      <c r="Y1197">
        <f>IF(N(X1197)=0,"",X1197+ROW()/1000000000)</f>
        <v/>
      </c>
      <c r="Z1197">
        <f>IF(Y1197="","",IF(COUNTIFS(Log!$D$6:$D$1505,D1197,Log!$Y$6:$Y$1505,"&gt;"&amp;Y1197)=0,1,0))</f>
        <v/>
      </c>
      <c r="AA1197">
        <f>IF(OR(B1197="",D1197=""),"",B1197+ROW()/10000000)</f>
        <v/>
      </c>
      <c r="AB1197">
        <f>IF(AA1197="","",IF(COUNTIFS(Log!$D$6:$D$1505,D1197,Log!$AA$6:$AA$1505,"&gt;"&amp;AA1197)=0,1,0))</f>
        <v/>
      </c>
      <c r="AC1197">
        <f>IF(S1197="New best",AA1197,"")</f>
        <v/>
      </c>
      <c r="AD1197">
        <f>ROW()</f>
        <v/>
      </c>
    </row>
    <row r="1198">
      <c r="A1198" s="1" t="n"/>
      <c r="B1198" s="21" t="n"/>
      <c r="C1198" s="22" t="n"/>
      <c r="D1198" s="23" t="n"/>
      <c r="E1198" s="24" t="n"/>
      <c r="F1198" s="24" t="n"/>
      <c r="G1198" s="24" t="n"/>
      <c r="H1198" s="24" t="n"/>
      <c r="I1198" s="24" t="n"/>
      <c r="J1198" s="24" t="n"/>
      <c r="K1198" s="24" t="n"/>
      <c r="L1198" s="24" t="n"/>
      <c r="M1198" s="24" t="n"/>
      <c r="N1198" s="24" t="n"/>
      <c r="O1198" s="15">
        <f>IF(D1198="","",COUNT(F1198,H1198,J1198,L1198,N1198))</f>
        <v/>
      </c>
      <c r="P1198" s="25">
        <f>IF(D1198="","",N(E1198)*N(F1198)+N(G1198)*N(H1198)+N(I1198)*N(J1198)+N(K1198)*N(L1198)+N(M1198)*N(N1198))</f>
        <v/>
      </c>
      <c r="Q1198" s="18">
        <f>IF(N(X1198)=0,"",IF(IF(N(F1198)=0,0,IF(N(E1198)&gt;0,E1198*(1+F1198/30),F1198))=X1198,IF(N(E1198)&gt;0,E1198&amp;" x "&amp;F1198,F1198&amp;" reps"),IF(IF(N(H1198)=0,0,IF(N(G1198)&gt;0,G1198*(1+H1198/30),H1198))=X1198,IF(N(G1198)&gt;0,G1198&amp;" x "&amp;H1198,H1198&amp;" reps"),IF(IF(N(J1198)=0,0,IF(N(I1198)&gt;0,I1198*(1+J1198/30),J1198))=X1198,IF(N(I1198)&gt;0,I1198&amp;" x "&amp;J1198,J1198&amp;" reps"),IF(IF(N(L1198)=0,0,IF(N(K1198)&gt;0,K1198*(1+L1198/30),L1198))=X1198,IF(N(K1198)&gt;0,K1198&amp;" x "&amp;L1198,L1198&amp;" reps"),IF(IF(N(N1198)=0,0,IF(N(M1198)&gt;0,M1198*(1+N1198/30),N1198))=X1198,IF(N(M1198)&gt;0,M1198&amp;" x "&amp;N1198,N1198&amp;" reps"),""))))))</f>
        <v/>
      </c>
      <c r="R1198" s="20">
        <f>IF(N(X1198)=0,"",ROUND(X1198,1))</f>
        <v/>
      </c>
      <c r="S1198" s="18">
        <f>IF(N(X1198)=0,"",IF(AND(COUNTIFS(Log!$D$6:$D$1505,D1198,Log!$B$6:$B$1505,"&lt;"&amp;B1198)&gt;0,COUNTIFS(Log!$D$6:$D$1505,D1198,Log!$B$6:$B$1505,"&lt;"&amp;B1198,Log!$X$6:$X$1505,"&gt;="&amp;X1198)=0),"New best",""))</f>
        <v/>
      </c>
      <c r="T1198" s="26" t="n"/>
      <c r="U1198" s="1">
        <f>IF(D1198="","",IFERROR(INDEX(Exercises!$C$6:$C$105,MATCH(D1198,Exercises!$B$6:$B$105,0)),"Other"))</f>
        <v/>
      </c>
      <c r="V1198">
        <f>IF(B1198="","",IF(COUNTIF($B$6:B1198,B1198)=1,1,0))</f>
        <v/>
      </c>
      <c r="W1198">
        <f>IF(B1198="","",B1198-WEEKDAY(B1198,3))</f>
        <v/>
      </c>
      <c r="X1198">
        <f>IF(D1198="","",MAX(IF(N(F1198)=0,0,IF(N(E1198)&gt;0,E1198*(1+F1198/30),F1198)),IF(N(H1198)=0,0,IF(N(G1198)&gt;0,G1198*(1+H1198/30),H1198)),IF(N(J1198)=0,0,IF(N(I1198)&gt;0,I1198*(1+J1198/30),J1198)),IF(N(L1198)=0,0,IF(N(K1198)&gt;0,K1198*(1+L1198/30),L1198)),IF(N(N1198)=0,0,IF(N(M1198)&gt;0,M1198*(1+N1198/30),N1198))))</f>
        <v/>
      </c>
      <c r="Y1198">
        <f>IF(N(X1198)=0,"",X1198+ROW()/1000000000)</f>
        <v/>
      </c>
      <c r="Z1198">
        <f>IF(Y1198="","",IF(COUNTIFS(Log!$D$6:$D$1505,D1198,Log!$Y$6:$Y$1505,"&gt;"&amp;Y1198)=0,1,0))</f>
        <v/>
      </c>
      <c r="AA1198">
        <f>IF(OR(B1198="",D1198=""),"",B1198+ROW()/10000000)</f>
        <v/>
      </c>
      <c r="AB1198">
        <f>IF(AA1198="","",IF(COUNTIFS(Log!$D$6:$D$1505,D1198,Log!$AA$6:$AA$1505,"&gt;"&amp;AA1198)=0,1,0))</f>
        <v/>
      </c>
      <c r="AC1198">
        <f>IF(S1198="New best",AA1198,"")</f>
        <v/>
      </c>
      <c r="AD1198">
        <f>ROW()</f>
        <v/>
      </c>
    </row>
    <row r="1199">
      <c r="A1199" s="1" t="n"/>
      <c r="B1199" s="21" t="n"/>
      <c r="C1199" s="22" t="n"/>
      <c r="D1199" s="23" t="n"/>
      <c r="E1199" s="24" t="n"/>
      <c r="F1199" s="24" t="n"/>
      <c r="G1199" s="24" t="n"/>
      <c r="H1199" s="24" t="n"/>
      <c r="I1199" s="24" t="n"/>
      <c r="J1199" s="24" t="n"/>
      <c r="K1199" s="24" t="n"/>
      <c r="L1199" s="24" t="n"/>
      <c r="M1199" s="24" t="n"/>
      <c r="N1199" s="24" t="n"/>
      <c r="O1199" s="15">
        <f>IF(D1199="","",COUNT(F1199,H1199,J1199,L1199,N1199))</f>
        <v/>
      </c>
      <c r="P1199" s="25">
        <f>IF(D1199="","",N(E1199)*N(F1199)+N(G1199)*N(H1199)+N(I1199)*N(J1199)+N(K1199)*N(L1199)+N(M1199)*N(N1199))</f>
        <v/>
      </c>
      <c r="Q1199" s="18">
        <f>IF(N(X1199)=0,"",IF(IF(N(F1199)=0,0,IF(N(E1199)&gt;0,E1199*(1+F1199/30),F1199))=X1199,IF(N(E1199)&gt;0,E1199&amp;" x "&amp;F1199,F1199&amp;" reps"),IF(IF(N(H1199)=0,0,IF(N(G1199)&gt;0,G1199*(1+H1199/30),H1199))=X1199,IF(N(G1199)&gt;0,G1199&amp;" x "&amp;H1199,H1199&amp;" reps"),IF(IF(N(J1199)=0,0,IF(N(I1199)&gt;0,I1199*(1+J1199/30),J1199))=X1199,IF(N(I1199)&gt;0,I1199&amp;" x "&amp;J1199,J1199&amp;" reps"),IF(IF(N(L1199)=0,0,IF(N(K1199)&gt;0,K1199*(1+L1199/30),L1199))=X1199,IF(N(K1199)&gt;0,K1199&amp;" x "&amp;L1199,L1199&amp;" reps"),IF(IF(N(N1199)=0,0,IF(N(M1199)&gt;0,M1199*(1+N1199/30),N1199))=X1199,IF(N(M1199)&gt;0,M1199&amp;" x "&amp;N1199,N1199&amp;" reps"),""))))))</f>
        <v/>
      </c>
      <c r="R1199" s="20">
        <f>IF(N(X1199)=0,"",ROUND(X1199,1))</f>
        <v/>
      </c>
      <c r="S1199" s="18">
        <f>IF(N(X1199)=0,"",IF(AND(COUNTIFS(Log!$D$6:$D$1505,D1199,Log!$B$6:$B$1505,"&lt;"&amp;B1199)&gt;0,COUNTIFS(Log!$D$6:$D$1505,D1199,Log!$B$6:$B$1505,"&lt;"&amp;B1199,Log!$X$6:$X$1505,"&gt;="&amp;X1199)=0),"New best",""))</f>
        <v/>
      </c>
      <c r="T1199" s="26" t="n"/>
      <c r="U1199" s="1">
        <f>IF(D1199="","",IFERROR(INDEX(Exercises!$C$6:$C$105,MATCH(D1199,Exercises!$B$6:$B$105,0)),"Other"))</f>
        <v/>
      </c>
      <c r="V1199">
        <f>IF(B1199="","",IF(COUNTIF($B$6:B1199,B1199)=1,1,0))</f>
        <v/>
      </c>
      <c r="W1199">
        <f>IF(B1199="","",B1199-WEEKDAY(B1199,3))</f>
        <v/>
      </c>
      <c r="X1199">
        <f>IF(D1199="","",MAX(IF(N(F1199)=0,0,IF(N(E1199)&gt;0,E1199*(1+F1199/30),F1199)),IF(N(H1199)=0,0,IF(N(G1199)&gt;0,G1199*(1+H1199/30),H1199)),IF(N(J1199)=0,0,IF(N(I1199)&gt;0,I1199*(1+J1199/30),J1199)),IF(N(L1199)=0,0,IF(N(K1199)&gt;0,K1199*(1+L1199/30),L1199)),IF(N(N1199)=0,0,IF(N(M1199)&gt;0,M1199*(1+N1199/30),N1199))))</f>
        <v/>
      </c>
      <c r="Y1199">
        <f>IF(N(X1199)=0,"",X1199+ROW()/1000000000)</f>
        <v/>
      </c>
      <c r="Z1199">
        <f>IF(Y1199="","",IF(COUNTIFS(Log!$D$6:$D$1505,D1199,Log!$Y$6:$Y$1505,"&gt;"&amp;Y1199)=0,1,0))</f>
        <v/>
      </c>
      <c r="AA1199">
        <f>IF(OR(B1199="",D1199=""),"",B1199+ROW()/10000000)</f>
        <v/>
      </c>
      <c r="AB1199">
        <f>IF(AA1199="","",IF(COUNTIFS(Log!$D$6:$D$1505,D1199,Log!$AA$6:$AA$1505,"&gt;"&amp;AA1199)=0,1,0))</f>
        <v/>
      </c>
      <c r="AC1199">
        <f>IF(S1199="New best",AA1199,"")</f>
        <v/>
      </c>
      <c r="AD1199">
        <f>ROW()</f>
        <v/>
      </c>
    </row>
    <row r="1200">
      <c r="A1200" s="1" t="n"/>
      <c r="B1200" s="21" t="n"/>
      <c r="C1200" s="22" t="n"/>
      <c r="D1200" s="23" t="n"/>
      <c r="E1200" s="24" t="n"/>
      <c r="F1200" s="24" t="n"/>
      <c r="G1200" s="24" t="n"/>
      <c r="H1200" s="24" t="n"/>
      <c r="I1200" s="24" t="n"/>
      <c r="J1200" s="24" t="n"/>
      <c r="K1200" s="24" t="n"/>
      <c r="L1200" s="24" t="n"/>
      <c r="M1200" s="24" t="n"/>
      <c r="N1200" s="24" t="n"/>
      <c r="O1200" s="15">
        <f>IF(D1200="","",COUNT(F1200,H1200,J1200,L1200,N1200))</f>
        <v/>
      </c>
      <c r="P1200" s="25">
        <f>IF(D1200="","",N(E1200)*N(F1200)+N(G1200)*N(H1200)+N(I1200)*N(J1200)+N(K1200)*N(L1200)+N(M1200)*N(N1200))</f>
        <v/>
      </c>
      <c r="Q1200" s="18">
        <f>IF(N(X1200)=0,"",IF(IF(N(F1200)=0,0,IF(N(E1200)&gt;0,E1200*(1+F1200/30),F1200))=X1200,IF(N(E1200)&gt;0,E1200&amp;" x "&amp;F1200,F1200&amp;" reps"),IF(IF(N(H1200)=0,0,IF(N(G1200)&gt;0,G1200*(1+H1200/30),H1200))=X1200,IF(N(G1200)&gt;0,G1200&amp;" x "&amp;H1200,H1200&amp;" reps"),IF(IF(N(J1200)=0,0,IF(N(I1200)&gt;0,I1200*(1+J1200/30),J1200))=X1200,IF(N(I1200)&gt;0,I1200&amp;" x "&amp;J1200,J1200&amp;" reps"),IF(IF(N(L1200)=0,0,IF(N(K1200)&gt;0,K1200*(1+L1200/30),L1200))=X1200,IF(N(K1200)&gt;0,K1200&amp;" x "&amp;L1200,L1200&amp;" reps"),IF(IF(N(N1200)=0,0,IF(N(M1200)&gt;0,M1200*(1+N1200/30),N1200))=X1200,IF(N(M1200)&gt;0,M1200&amp;" x "&amp;N1200,N1200&amp;" reps"),""))))))</f>
        <v/>
      </c>
      <c r="R1200" s="20">
        <f>IF(N(X1200)=0,"",ROUND(X1200,1))</f>
        <v/>
      </c>
      <c r="S1200" s="18">
        <f>IF(N(X1200)=0,"",IF(AND(COUNTIFS(Log!$D$6:$D$1505,D1200,Log!$B$6:$B$1505,"&lt;"&amp;B1200)&gt;0,COUNTIFS(Log!$D$6:$D$1505,D1200,Log!$B$6:$B$1505,"&lt;"&amp;B1200,Log!$X$6:$X$1505,"&gt;="&amp;X1200)=0),"New best",""))</f>
        <v/>
      </c>
      <c r="T1200" s="26" t="n"/>
      <c r="U1200" s="1">
        <f>IF(D1200="","",IFERROR(INDEX(Exercises!$C$6:$C$105,MATCH(D1200,Exercises!$B$6:$B$105,0)),"Other"))</f>
        <v/>
      </c>
      <c r="V1200">
        <f>IF(B1200="","",IF(COUNTIF($B$6:B1200,B1200)=1,1,0))</f>
        <v/>
      </c>
      <c r="W1200">
        <f>IF(B1200="","",B1200-WEEKDAY(B1200,3))</f>
        <v/>
      </c>
      <c r="X1200">
        <f>IF(D1200="","",MAX(IF(N(F1200)=0,0,IF(N(E1200)&gt;0,E1200*(1+F1200/30),F1200)),IF(N(H1200)=0,0,IF(N(G1200)&gt;0,G1200*(1+H1200/30),H1200)),IF(N(J1200)=0,0,IF(N(I1200)&gt;0,I1200*(1+J1200/30),J1200)),IF(N(L1200)=0,0,IF(N(K1200)&gt;0,K1200*(1+L1200/30),L1200)),IF(N(N1200)=0,0,IF(N(M1200)&gt;0,M1200*(1+N1200/30),N1200))))</f>
        <v/>
      </c>
      <c r="Y1200">
        <f>IF(N(X1200)=0,"",X1200+ROW()/1000000000)</f>
        <v/>
      </c>
      <c r="Z1200">
        <f>IF(Y1200="","",IF(COUNTIFS(Log!$D$6:$D$1505,D1200,Log!$Y$6:$Y$1505,"&gt;"&amp;Y1200)=0,1,0))</f>
        <v/>
      </c>
      <c r="AA1200">
        <f>IF(OR(B1200="",D1200=""),"",B1200+ROW()/10000000)</f>
        <v/>
      </c>
      <c r="AB1200">
        <f>IF(AA1200="","",IF(COUNTIFS(Log!$D$6:$D$1505,D1200,Log!$AA$6:$AA$1505,"&gt;"&amp;AA1200)=0,1,0))</f>
        <v/>
      </c>
      <c r="AC1200">
        <f>IF(S1200="New best",AA1200,"")</f>
        <v/>
      </c>
      <c r="AD1200">
        <f>ROW()</f>
        <v/>
      </c>
    </row>
    <row r="1201">
      <c r="A1201" s="1" t="n"/>
      <c r="B1201" s="21" t="n"/>
      <c r="C1201" s="22" t="n"/>
      <c r="D1201" s="23" t="n"/>
      <c r="E1201" s="24" t="n"/>
      <c r="F1201" s="24" t="n"/>
      <c r="G1201" s="24" t="n"/>
      <c r="H1201" s="24" t="n"/>
      <c r="I1201" s="24" t="n"/>
      <c r="J1201" s="24" t="n"/>
      <c r="K1201" s="24" t="n"/>
      <c r="L1201" s="24" t="n"/>
      <c r="M1201" s="24" t="n"/>
      <c r="N1201" s="24" t="n"/>
      <c r="O1201" s="15">
        <f>IF(D1201="","",COUNT(F1201,H1201,J1201,L1201,N1201))</f>
        <v/>
      </c>
      <c r="P1201" s="25">
        <f>IF(D1201="","",N(E1201)*N(F1201)+N(G1201)*N(H1201)+N(I1201)*N(J1201)+N(K1201)*N(L1201)+N(M1201)*N(N1201))</f>
        <v/>
      </c>
      <c r="Q1201" s="18">
        <f>IF(N(X1201)=0,"",IF(IF(N(F1201)=0,0,IF(N(E1201)&gt;0,E1201*(1+F1201/30),F1201))=X1201,IF(N(E1201)&gt;0,E1201&amp;" x "&amp;F1201,F1201&amp;" reps"),IF(IF(N(H1201)=0,0,IF(N(G1201)&gt;0,G1201*(1+H1201/30),H1201))=X1201,IF(N(G1201)&gt;0,G1201&amp;" x "&amp;H1201,H1201&amp;" reps"),IF(IF(N(J1201)=0,0,IF(N(I1201)&gt;0,I1201*(1+J1201/30),J1201))=X1201,IF(N(I1201)&gt;0,I1201&amp;" x "&amp;J1201,J1201&amp;" reps"),IF(IF(N(L1201)=0,0,IF(N(K1201)&gt;0,K1201*(1+L1201/30),L1201))=X1201,IF(N(K1201)&gt;0,K1201&amp;" x "&amp;L1201,L1201&amp;" reps"),IF(IF(N(N1201)=0,0,IF(N(M1201)&gt;0,M1201*(1+N1201/30),N1201))=X1201,IF(N(M1201)&gt;0,M1201&amp;" x "&amp;N1201,N1201&amp;" reps"),""))))))</f>
        <v/>
      </c>
      <c r="R1201" s="20">
        <f>IF(N(X1201)=0,"",ROUND(X1201,1))</f>
        <v/>
      </c>
      <c r="S1201" s="18">
        <f>IF(N(X1201)=0,"",IF(AND(COUNTIFS(Log!$D$6:$D$1505,D1201,Log!$B$6:$B$1505,"&lt;"&amp;B1201)&gt;0,COUNTIFS(Log!$D$6:$D$1505,D1201,Log!$B$6:$B$1505,"&lt;"&amp;B1201,Log!$X$6:$X$1505,"&gt;="&amp;X1201)=0),"New best",""))</f>
        <v/>
      </c>
      <c r="T1201" s="26" t="n"/>
      <c r="U1201" s="1">
        <f>IF(D1201="","",IFERROR(INDEX(Exercises!$C$6:$C$105,MATCH(D1201,Exercises!$B$6:$B$105,0)),"Other"))</f>
        <v/>
      </c>
      <c r="V1201">
        <f>IF(B1201="","",IF(COUNTIF($B$6:B1201,B1201)=1,1,0))</f>
        <v/>
      </c>
      <c r="W1201">
        <f>IF(B1201="","",B1201-WEEKDAY(B1201,3))</f>
        <v/>
      </c>
      <c r="X1201">
        <f>IF(D1201="","",MAX(IF(N(F1201)=0,0,IF(N(E1201)&gt;0,E1201*(1+F1201/30),F1201)),IF(N(H1201)=0,0,IF(N(G1201)&gt;0,G1201*(1+H1201/30),H1201)),IF(N(J1201)=0,0,IF(N(I1201)&gt;0,I1201*(1+J1201/30),J1201)),IF(N(L1201)=0,0,IF(N(K1201)&gt;0,K1201*(1+L1201/30),L1201)),IF(N(N1201)=0,0,IF(N(M1201)&gt;0,M1201*(1+N1201/30),N1201))))</f>
        <v/>
      </c>
      <c r="Y1201">
        <f>IF(N(X1201)=0,"",X1201+ROW()/1000000000)</f>
        <v/>
      </c>
      <c r="Z1201">
        <f>IF(Y1201="","",IF(COUNTIFS(Log!$D$6:$D$1505,D1201,Log!$Y$6:$Y$1505,"&gt;"&amp;Y1201)=0,1,0))</f>
        <v/>
      </c>
      <c r="AA1201">
        <f>IF(OR(B1201="",D1201=""),"",B1201+ROW()/10000000)</f>
        <v/>
      </c>
      <c r="AB1201">
        <f>IF(AA1201="","",IF(COUNTIFS(Log!$D$6:$D$1505,D1201,Log!$AA$6:$AA$1505,"&gt;"&amp;AA1201)=0,1,0))</f>
        <v/>
      </c>
      <c r="AC1201">
        <f>IF(S1201="New best",AA1201,"")</f>
        <v/>
      </c>
      <c r="AD1201">
        <f>ROW()</f>
        <v/>
      </c>
    </row>
    <row r="1202">
      <c r="A1202" s="1" t="n"/>
      <c r="B1202" s="21" t="n"/>
      <c r="C1202" s="22" t="n"/>
      <c r="D1202" s="23" t="n"/>
      <c r="E1202" s="24" t="n"/>
      <c r="F1202" s="24" t="n"/>
      <c r="G1202" s="24" t="n"/>
      <c r="H1202" s="24" t="n"/>
      <c r="I1202" s="24" t="n"/>
      <c r="J1202" s="24" t="n"/>
      <c r="K1202" s="24" t="n"/>
      <c r="L1202" s="24" t="n"/>
      <c r="M1202" s="24" t="n"/>
      <c r="N1202" s="24" t="n"/>
      <c r="O1202" s="15">
        <f>IF(D1202="","",COUNT(F1202,H1202,J1202,L1202,N1202))</f>
        <v/>
      </c>
      <c r="P1202" s="25">
        <f>IF(D1202="","",N(E1202)*N(F1202)+N(G1202)*N(H1202)+N(I1202)*N(J1202)+N(K1202)*N(L1202)+N(M1202)*N(N1202))</f>
        <v/>
      </c>
      <c r="Q1202" s="18">
        <f>IF(N(X1202)=0,"",IF(IF(N(F1202)=0,0,IF(N(E1202)&gt;0,E1202*(1+F1202/30),F1202))=X1202,IF(N(E1202)&gt;0,E1202&amp;" x "&amp;F1202,F1202&amp;" reps"),IF(IF(N(H1202)=0,0,IF(N(G1202)&gt;0,G1202*(1+H1202/30),H1202))=X1202,IF(N(G1202)&gt;0,G1202&amp;" x "&amp;H1202,H1202&amp;" reps"),IF(IF(N(J1202)=0,0,IF(N(I1202)&gt;0,I1202*(1+J1202/30),J1202))=X1202,IF(N(I1202)&gt;0,I1202&amp;" x "&amp;J1202,J1202&amp;" reps"),IF(IF(N(L1202)=0,0,IF(N(K1202)&gt;0,K1202*(1+L1202/30),L1202))=X1202,IF(N(K1202)&gt;0,K1202&amp;" x "&amp;L1202,L1202&amp;" reps"),IF(IF(N(N1202)=0,0,IF(N(M1202)&gt;0,M1202*(1+N1202/30),N1202))=X1202,IF(N(M1202)&gt;0,M1202&amp;" x "&amp;N1202,N1202&amp;" reps"),""))))))</f>
        <v/>
      </c>
      <c r="R1202" s="20">
        <f>IF(N(X1202)=0,"",ROUND(X1202,1))</f>
        <v/>
      </c>
      <c r="S1202" s="18">
        <f>IF(N(X1202)=0,"",IF(AND(COUNTIFS(Log!$D$6:$D$1505,D1202,Log!$B$6:$B$1505,"&lt;"&amp;B1202)&gt;0,COUNTIFS(Log!$D$6:$D$1505,D1202,Log!$B$6:$B$1505,"&lt;"&amp;B1202,Log!$X$6:$X$1505,"&gt;="&amp;X1202)=0),"New best",""))</f>
        <v/>
      </c>
      <c r="T1202" s="26" t="n"/>
      <c r="U1202" s="1">
        <f>IF(D1202="","",IFERROR(INDEX(Exercises!$C$6:$C$105,MATCH(D1202,Exercises!$B$6:$B$105,0)),"Other"))</f>
        <v/>
      </c>
      <c r="V1202">
        <f>IF(B1202="","",IF(COUNTIF($B$6:B1202,B1202)=1,1,0))</f>
        <v/>
      </c>
      <c r="W1202">
        <f>IF(B1202="","",B1202-WEEKDAY(B1202,3))</f>
        <v/>
      </c>
      <c r="X1202">
        <f>IF(D1202="","",MAX(IF(N(F1202)=0,0,IF(N(E1202)&gt;0,E1202*(1+F1202/30),F1202)),IF(N(H1202)=0,0,IF(N(G1202)&gt;0,G1202*(1+H1202/30),H1202)),IF(N(J1202)=0,0,IF(N(I1202)&gt;0,I1202*(1+J1202/30),J1202)),IF(N(L1202)=0,0,IF(N(K1202)&gt;0,K1202*(1+L1202/30),L1202)),IF(N(N1202)=0,0,IF(N(M1202)&gt;0,M1202*(1+N1202/30),N1202))))</f>
        <v/>
      </c>
      <c r="Y1202">
        <f>IF(N(X1202)=0,"",X1202+ROW()/1000000000)</f>
        <v/>
      </c>
      <c r="Z1202">
        <f>IF(Y1202="","",IF(COUNTIFS(Log!$D$6:$D$1505,D1202,Log!$Y$6:$Y$1505,"&gt;"&amp;Y1202)=0,1,0))</f>
        <v/>
      </c>
      <c r="AA1202">
        <f>IF(OR(B1202="",D1202=""),"",B1202+ROW()/10000000)</f>
        <v/>
      </c>
      <c r="AB1202">
        <f>IF(AA1202="","",IF(COUNTIFS(Log!$D$6:$D$1505,D1202,Log!$AA$6:$AA$1505,"&gt;"&amp;AA1202)=0,1,0))</f>
        <v/>
      </c>
      <c r="AC1202">
        <f>IF(S1202="New best",AA1202,"")</f>
        <v/>
      </c>
      <c r="AD1202">
        <f>ROW()</f>
        <v/>
      </c>
    </row>
    <row r="1203">
      <c r="A1203" s="1" t="n"/>
      <c r="B1203" s="21" t="n"/>
      <c r="C1203" s="22" t="n"/>
      <c r="D1203" s="23" t="n"/>
      <c r="E1203" s="24" t="n"/>
      <c r="F1203" s="24" t="n"/>
      <c r="G1203" s="24" t="n"/>
      <c r="H1203" s="24" t="n"/>
      <c r="I1203" s="24" t="n"/>
      <c r="J1203" s="24" t="n"/>
      <c r="K1203" s="24" t="n"/>
      <c r="L1203" s="24" t="n"/>
      <c r="M1203" s="24" t="n"/>
      <c r="N1203" s="24" t="n"/>
      <c r="O1203" s="15">
        <f>IF(D1203="","",COUNT(F1203,H1203,J1203,L1203,N1203))</f>
        <v/>
      </c>
      <c r="P1203" s="25">
        <f>IF(D1203="","",N(E1203)*N(F1203)+N(G1203)*N(H1203)+N(I1203)*N(J1203)+N(K1203)*N(L1203)+N(M1203)*N(N1203))</f>
        <v/>
      </c>
      <c r="Q1203" s="18">
        <f>IF(N(X1203)=0,"",IF(IF(N(F1203)=0,0,IF(N(E1203)&gt;0,E1203*(1+F1203/30),F1203))=X1203,IF(N(E1203)&gt;0,E1203&amp;" x "&amp;F1203,F1203&amp;" reps"),IF(IF(N(H1203)=0,0,IF(N(G1203)&gt;0,G1203*(1+H1203/30),H1203))=X1203,IF(N(G1203)&gt;0,G1203&amp;" x "&amp;H1203,H1203&amp;" reps"),IF(IF(N(J1203)=0,0,IF(N(I1203)&gt;0,I1203*(1+J1203/30),J1203))=X1203,IF(N(I1203)&gt;0,I1203&amp;" x "&amp;J1203,J1203&amp;" reps"),IF(IF(N(L1203)=0,0,IF(N(K1203)&gt;0,K1203*(1+L1203/30),L1203))=X1203,IF(N(K1203)&gt;0,K1203&amp;" x "&amp;L1203,L1203&amp;" reps"),IF(IF(N(N1203)=0,0,IF(N(M1203)&gt;0,M1203*(1+N1203/30),N1203))=X1203,IF(N(M1203)&gt;0,M1203&amp;" x "&amp;N1203,N1203&amp;" reps"),""))))))</f>
        <v/>
      </c>
      <c r="R1203" s="20">
        <f>IF(N(X1203)=0,"",ROUND(X1203,1))</f>
        <v/>
      </c>
      <c r="S1203" s="18">
        <f>IF(N(X1203)=0,"",IF(AND(COUNTIFS(Log!$D$6:$D$1505,D1203,Log!$B$6:$B$1505,"&lt;"&amp;B1203)&gt;0,COUNTIFS(Log!$D$6:$D$1505,D1203,Log!$B$6:$B$1505,"&lt;"&amp;B1203,Log!$X$6:$X$1505,"&gt;="&amp;X1203)=0),"New best",""))</f>
        <v/>
      </c>
      <c r="T1203" s="26" t="n"/>
      <c r="U1203" s="1">
        <f>IF(D1203="","",IFERROR(INDEX(Exercises!$C$6:$C$105,MATCH(D1203,Exercises!$B$6:$B$105,0)),"Other"))</f>
        <v/>
      </c>
      <c r="V1203">
        <f>IF(B1203="","",IF(COUNTIF($B$6:B1203,B1203)=1,1,0))</f>
        <v/>
      </c>
      <c r="W1203">
        <f>IF(B1203="","",B1203-WEEKDAY(B1203,3))</f>
        <v/>
      </c>
      <c r="X1203">
        <f>IF(D1203="","",MAX(IF(N(F1203)=0,0,IF(N(E1203)&gt;0,E1203*(1+F1203/30),F1203)),IF(N(H1203)=0,0,IF(N(G1203)&gt;0,G1203*(1+H1203/30),H1203)),IF(N(J1203)=0,0,IF(N(I1203)&gt;0,I1203*(1+J1203/30),J1203)),IF(N(L1203)=0,0,IF(N(K1203)&gt;0,K1203*(1+L1203/30),L1203)),IF(N(N1203)=0,0,IF(N(M1203)&gt;0,M1203*(1+N1203/30),N1203))))</f>
        <v/>
      </c>
      <c r="Y1203">
        <f>IF(N(X1203)=0,"",X1203+ROW()/1000000000)</f>
        <v/>
      </c>
      <c r="Z1203">
        <f>IF(Y1203="","",IF(COUNTIFS(Log!$D$6:$D$1505,D1203,Log!$Y$6:$Y$1505,"&gt;"&amp;Y1203)=0,1,0))</f>
        <v/>
      </c>
      <c r="AA1203">
        <f>IF(OR(B1203="",D1203=""),"",B1203+ROW()/10000000)</f>
        <v/>
      </c>
      <c r="AB1203">
        <f>IF(AA1203="","",IF(COUNTIFS(Log!$D$6:$D$1505,D1203,Log!$AA$6:$AA$1505,"&gt;"&amp;AA1203)=0,1,0))</f>
        <v/>
      </c>
      <c r="AC1203">
        <f>IF(S1203="New best",AA1203,"")</f>
        <v/>
      </c>
      <c r="AD1203">
        <f>ROW()</f>
        <v/>
      </c>
    </row>
    <row r="1204">
      <c r="A1204" s="1" t="n"/>
      <c r="B1204" s="21" t="n"/>
      <c r="C1204" s="22" t="n"/>
      <c r="D1204" s="23" t="n"/>
      <c r="E1204" s="24" t="n"/>
      <c r="F1204" s="24" t="n"/>
      <c r="G1204" s="24" t="n"/>
      <c r="H1204" s="24" t="n"/>
      <c r="I1204" s="24" t="n"/>
      <c r="J1204" s="24" t="n"/>
      <c r="K1204" s="24" t="n"/>
      <c r="L1204" s="24" t="n"/>
      <c r="M1204" s="24" t="n"/>
      <c r="N1204" s="24" t="n"/>
      <c r="O1204" s="15">
        <f>IF(D1204="","",COUNT(F1204,H1204,J1204,L1204,N1204))</f>
        <v/>
      </c>
      <c r="P1204" s="25">
        <f>IF(D1204="","",N(E1204)*N(F1204)+N(G1204)*N(H1204)+N(I1204)*N(J1204)+N(K1204)*N(L1204)+N(M1204)*N(N1204))</f>
        <v/>
      </c>
      <c r="Q1204" s="18">
        <f>IF(N(X1204)=0,"",IF(IF(N(F1204)=0,0,IF(N(E1204)&gt;0,E1204*(1+F1204/30),F1204))=X1204,IF(N(E1204)&gt;0,E1204&amp;" x "&amp;F1204,F1204&amp;" reps"),IF(IF(N(H1204)=0,0,IF(N(G1204)&gt;0,G1204*(1+H1204/30),H1204))=X1204,IF(N(G1204)&gt;0,G1204&amp;" x "&amp;H1204,H1204&amp;" reps"),IF(IF(N(J1204)=0,0,IF(N(I1204)&gt;0,I1204*(1+J1204/30),J1204))=X1204,IF(N(I1204)&gt;0,I1204&amp;" x "&amp;J1204,J1204&amp;" reps"),IF(IF(N(L1204)=0,0,IF(N(K1204)&gt;0,K1204*(1+L1204/30),L1204))=X1204,IF(N(K1204)&gt;0,K1204&amp;" x "&amp;L1204,L1204&amp;" reps"),IF(IF(N(N1204)=0,0,IF(N(M1204)&gt;0,M1204*(1+N1204/30),N1204))=X1204,IF(N(M1204)&gt;0,M1204&amp;" x "&amp;N1204,N1204&amp;" reps"),""))))))</f>
        <v/>
      </c>
      <c r="R1204" s="20">
        <f>IF(N(X1204)=0,"",ROUND(X1204,1))</f>
        <v/>
      </c>
      <c r="S1204" s="18">
        <f>IF(N(X1204)=0,"",IF(AND(COUNTIFS(Log!$D$6:$D$1505,D1204,Log!$B$6:$B$1505,"&lt;"&amp;B1204)&gt;0,COUNTIFS(Log!$D$6:$D$1505,D1204,Log!$B$6:$B$1505,"&lt;"&amp;B1204,Log!$X$6:$X$1505,"&gt;="&amp;X1204)=0),"New best",""))</f>
        <v/>
      </c>
      <c r="T1204" s="26" t="n"/>
      <c r="U1204" s="1">
        <f>IF(D1204="","",IFERROR(INDEX(Exercises!$C$6:$C$105,MATCH(D1204,Exercises!$B$6:$B$105,0)),"Other"))</f>
        <v/>
      </c>
      <c r="V1204">
        <f>IF(B1204="","",IF(COUNTIF($B$6:B1204,B1204)=1,1,0))</f>
        <v/>
      </c>
      <c r="W1204">
        <f>IF(B1204="","",B1204-WEEKDAY(B1204,3))</f>
        <v/>
      </c>
      <c r="X1204">
        <f>IF(D1204="","",MAX(IF(N(F1204)=0,0,IF(N(E1204)&gt;0,E1204*(1+F1204/30),F1204)),IF(N(H1204)=0,0,IF(N(G1204)&gt;0,G1204*(1+H1204/30),H1204)),IF(N(J1204)=0,0,IF(N(I1204)&gt;0,I1204*(1+J1204/30),J1204)),IF(N(L1204)=0,0,IF(N(K1204)&gt;0,K1204*(1+L1204/30),L1204)),IF(N(N1204)=0,0,IF(N(M1204)&gt;0,M1204*(1+N1204/30),N1204))))</f>
        <v/>
      </c>
      <c r="Y1204">
        <f>IF(N(X1204)=0,"",X1204+ROW()/1000000000)</f>
        <v/>
      </c>
      <c r="Z1204">
        <f>IF(Y1204="","",IF(COUNTIFS(Log!$D$6:$D$1505,D1204,Log!$Y$6:$Y$1505,"&gt;"&amp;Y1204)=0,1,0))</f>
        <v/>
      </c>
      <c r="AA1204">
        <f>IF(OR(B1204="",D1204=""),"",B1204+ROW()/10000000)</f>
        <v/>
      </c>
      <c r="AB1204">
        <f>IF(AA1204="","",IF(COUNTIFS(Log!$D$6:$D$1505,D1204,Log!$AA$6:$AA$1505,"&gt;"&amp;AA1204)=0,1,0))</f>
        <v/>
      </c>
      <c r="AC1204">
        <f>IF(S1204="New best",AA1204,"")</f>
        <v/>
      </c>
      <c r="AD1204">
        <f>ROW()</f>
        <v/>
      </c>
    </row>
    <row r="1205">
      <c r="A1205" s="1" t="n"/>
      <c r="B1205" s="21" t="n"/>
      <c r="C1205" s="22" t="n"/>
      <c r="D1205" s="23" t="n"/>
      <c r="E1205" s="24" t="n"/>
      <c r="F1205" s="24" t="n"/>
      <c r="G1205" s="24" t="n"/>
      <c r="H1205" s="24" t="n"/>
      <c r="I1205" s="24" t="n"/>
      <c r="J1205" s="24" t="n"/>
      <c r="K1205" s="24" t="n"/>
      <c r="L1205" s="24" t="n"/>
      <c r="M1205" s="24" t="n"/>
      <c r="N1205" s="24" t="n"/>
      <c r="O1205" s="15">
        <f>IF(D1205="","",COUNT(F1205,H1205,J1205,L1205,N1205))</f>
        <v/>
      </c>
      <c r="P1205" s="25">
        <f>IF(D1205="","",N(E1205)*N(F1205)+N(G1205)*N(H1205)+N(I1205)*N(J1205)+N(K1205)*N(L1205)+N(M1205)*N(N1205))</f>
        <v/>
      </c>
      <c r="Q1205" s="18">
        <f>IF(N(X1205)=0,"",IF(IF(N(F1205)=0,0,IF(N(E1205)&gt;0,E1205*(1+F1205/30),F1205))=X1205,IF(N(E1205)&gt;0,E1205&amp;" x "&amp;F1205,F1205&amp;" reps"),IF(IF(N(H1205)=0,0,IF(N(G1205)&gt;0,G1205*(1+H1205/30),H1205))=X1205,IF(N(G1205)&gt;0,G1205&amp;" x "&amp;H1205,H1205&amp;" reps"),IF(IF(N(J1205)=0,0,IF(N(I1205)&gt;0,I1205*(1+J1205/30),J1205))=X1205,IF(N(I1205)&gt;0,I1205&amp;" x "&amp;J1205,J1205&amp;" reps"),IF(IF(N(L1205)=0,0,IF(N(K1205)&gt;0,K1205*(1+L1205/30),L1205))=X1205,IF(N(K1205)&gt;0,K1205&amp;" x "&amp;L1205,L1205&amp;" reps"),IF(IF(N(N1205)=0,0,IF(N(M1205)&gt;0,M1205*(1+N1205/30),N1205))=X1205,IF(N(M1205)&gt;0,M1205&amp;" x "&amp;N1205,N1205&amp;" reps"),""))))))</f>
        <v/>
      </c>
      <c r="R1205" s="20">
        <f>IF(N(X1205)=0,"",ROUND(X1205,1))</f>
        <v/>
      </c>
      <c r="S1205" s="18">
        <f>IF(N(X1205)=0,"",IF(AND(COUNTIFS(Log!$D$6:$D$1505,D1205,Log!$B$6:$B$1505,"&lt;"&amp;B1205)&gt;0,COUNTIFS(Log!$D$6:$D$1505,D1205,Log!$B$6:$B$1505,"&lt;"&amp;B1205,Log!$X$6:$X$1505,"&gt;="&amp;X1205)=0),"New best",""))</f>
        <v/>
      </c>
      <c r="T1205" s="26" t="n"/>
      <c r="U1205" s="1">
        <f>IF(D1205="","",IFERROR(INDEX(Exercises!$C$6:$C$105,MATCH(D1205,Exercises!$B$6:$B$105,0)),"Other"))</f>
        <v/>
      </c>
      <c r="V1205">
        <f>IF(B1205="","",IF(COUNTIF($B$6:B1205,B1205)=1,1,0))</f>
        <v/>
      </c>
      <c r="W1205">
        <f>IF(B1205="","",B1205-WEEKDAY(B1205,3))</f>
        <v/>
      </c>
      <c r="X1205">
        <f>IF(D1205="","",MAX(IF(N(F1205)=0,0,IF(N(E1205)&gt;0,E1205*(1+F1205/30),F1205)),IF(N(H1205)=0,0,IF(N(G1205)&gt;0,G1205*(1+H1205/30),H1205)),IF(N(J1205)=0,0,IF(N(I1205)&gt;0,I1205*(1+J1205/30),J1205)),IF(N(L1205)=0,0,IF(N(K1205)&gt;0,K1205*(1+L1205/30),L1205)),IF(N(N1205)=0,0,IF(N(M1205)&gt;0,M1205*(1+N1205/30),N1205))))</f>
        <v/>
      </c>
      <c r="Y1205">
        <f>IF(N(X1205)=0,"",X1205+ROW()/1000000000)</f>
        <v/>
      </c>
      <c r="Z1205">
        <f>IF(Y1205="","",IF(COUNTIFS(Log!$D$6:$D$1505,D1205,Log!$Y$6:$Y$1505,"&gt;"&amp;Y1205)=0,1,0))</f>
        <v/>
      </c>
      <c r="AA1205">
        <f>IF(OR(B1205="",D1205=""),"",B1205+ROW()/10000000)</f>
        <v/>
      </c>
      <c r="AB1205">
        <f>IF(AA1205="","",IF(COUNTIFS(Log!$D$6:$D$1505,D1205,Log!$AA$6:$AA$1505,"&gt;"&amp;AA1205)=0,1,0))</f>
        <v/>
      </c>
      <c r="AC1205">
        <f>IF(S1205="New best",AA1205,"")</f>
        <v/>
      </c>
      <c r="AD1205">
        <f>ROW()</f>
        <v/>
      </c>
    </row>
    <row r="1206">
      <c r="A1206" s="1" t="n"/>
      <c r="B1206" s="21" t="n"/>
      <c r="C1206" s="22" t="n"/>
      <c r="D1206" s="23" t="n"/>
      <c r="E1206" s="24" t="n"/>
      <c r="F1206" s="24" t="n"/>
      <c r="G1206" s="24" t="n"/>
      <c r="H1206" s="24" t="n"/>
      <c r="I1206" s="24" t="n"/>
      <c r="J1206" s="24" t="n"/>
      <c r="K1206" s="24" t="n"/>
      <c r="L1206" s="24" t="n"/>
      <c r="M1206" s="24" t="n"/>
      <c r="N1206" s="24" t="n"/>
      <c r="O1206" s="15">
        <f>IF(D1206="","",COUNT(F1206,H1206,J1206,L1206,N1206))</f>
        <v/>
      </c>
      <c r="P1206" s="25">
        <f>IF(D1206="","",N(E1206)*N(F1206)+N(G1206)*N(H1206)+N(I1206)*N(J1206)+N(K1206)*N(L1206)+N(M1206)*N(N1206))</f>
        <v/>
      </c>
      <c r="Q1206" s="18">
        <f>IF(N(X1206)=0,"",IF(IF(N(F1206)=0,0,IF(N(E1206)&gt;0,E1206*(1+F1206/30),F1206))=X1206,IF(N(E1206)&gt;0,E1206&amp;" x "&amp;F1206,F1206&amp;" reps"),IF(IF(N(H1206)=0,0,IF(N(G1206)&gt;0,G1206*(1+H1206/30),H1206))=X1206,IF(N(G1206)&gt;0,G1206&amp;" x "&amp;H1206,H1206&amp;" reps"),IF(IF(N(J1206)=0,0,IF(N(I1206)&gt;0,I1206*(1+J1206/30),J1206))=X1206,IF(N(I1206)&gt;0,I1206&amp;" x "&amp;J1206,J1206&amp;" reps"),IF(IF(N(L1206)=0,0,IF(N(K1206)&gt;0,K1206*(1+L1206/30),L1206))=X1206,IF(N(K1206)&gt;0,K1206&amp;" x "&amp;L1206,L1206&amp;" reps"),IF(IF(N(N1206)=0,0,IF(N(M1206)&gt;0,M1206*(1+N1206/30),N1206))=X1206,IF(N(M1206)&gt;0,M1206&amp;" x "&amp;N1206,N1206&amp;" reps"),""))))))</f>
        <v/>
      </c>
      <c r="R1206" s="20">
        <f>IF(N(X1206)=0,"",ROUND(X1206,1))</f>
        <v/>
      </c>
      <c r="S1206" s="18">
        <f>IF(N(X1206)=0,"",IF(AND(COUNTIFS(Log!$D$6:$D$1505,D1206,Log!$B$6:$B$1505,"&lt;"&amp;B1206)&gt;0,COUNTIFS(Log!$D$6:$D$1505,D1206,Log!$B$6:$B$1505,"&lt;"&amp;B1206,Log!$X$6:$X$1505,"&gt;="&amp;X1206)=0),"New best",""))</f>
        <v/>
      </c>
      <c r="T1206" s="26" t="n"/>
      <c r="U1206" s="1">
        <f>IF(D1206="","",IFERROR(INDEX(Exercises!$C$6:$C$105,MATCH(D1206,Exercises!$B$6:$B$105,0)),"Other"))</f>
        <v/>
      </c>
      <c r="V1206">
        <f>IF(B1206="","",IF(COUNTIF($B$6:B1206,B1206)=1,1,0))</f>
        <v/>
      </c>
      <c r="W1206">
        <f>IF(B1206="","",B1206-WEEKDAY(B1206,3))</f>
        <v/>
      </c>
      <c r="X1206">
        <f>IF(D1206="","",MAX(IF(N(F1206)=0,0,IF(N(E1206)&gt;0,E1206*(1+F1206/30),F1206)),IF(N(H1206)=0,0,IF(N(G1206)&gt;0,G1206*(1+H1206/30),H1206)),IF(N(J1206)=0,0,IF(N(I1206)&gt;0,I1206*(1+J1206/30),J1206)),IF(N(L1206)=0,0,IF(N(K1206)&gt;0,K1206*(1+L1206/30),L1206)),IF(N(N1206)=0,0,IF(N(M1206)&gt;0,M1206*(1+N1206/30),N1206))))</f>
        <v/>
      </c>
      <c r="Y1206">
        <f>IF(N(X1206)=0,"",X1206+ROW()/1000000000)</f>
        <v/>
      </c>
      <c r="Z1206">
        <f>IF(Y1206="","",IF(COUNTIFS(Log!$D$6:$D$1505,D1206,Log!$Y$6:$Y$1505,"&gt;"&amp;Y1206)=0,1,0))</f>
        <v/>
      </c>
      <c r="AA1206">
        <f>IF(OR(B1206="",D1206=""),"",B1206+ROW()/10000000)</f>
        <v/>
      </c>
      <c r="AB1206">
        <f>IF(AA1206="","",IF(COUNTIFS(Log!$D$6:$D$1505,D1206,Log!$AA$6:$AA$1505,"&gt;"&amp;AA1206)=0,1,0))</f>
        <v/>
      </c>
      <c r="AC1206">
        <f>IF(S1206="New best",AA1206,"")</f>
        <v/>
      </c>
      <c r="AD1206">
        <f>ROW()</f>
        <v/>
      </c>
    </row>
    <row r="1207">
      <c r="A1207" s="1" t="n"/>
      <c r="B1207" s="21" t="n"/>
      <c r="C1207" s="22" t="n"/>
      <c r="D1207" s="23" t="n"/>
      <c r="E1207" s="24" t="n"/>
      <c r="F1207" s="24" t="n"/>
      <c r="G1207" s="24" t="n"/>
      <c r="H1207" s="24" t="n"/>
      <c r="I1207" s="24" t="n"/>
      <c r="J1207" s="24" t="n"/>
      <c r="K1207" s="24" t="n"/>
      <c r="L1207" s="24" t="n"/>
      <c r="M1207" s="24" t="n"/>
      <c r="N1207" s="24" t="n"/>
      <c r="O1207" s="15">
        <f>IF(D1207="","",COUNT(F1207,H1207,J1207,L1207,N1207))</f>
        <v/>
      </c>
      <c r="P1207" s="25">
        <f>IF(D1207="","",N(E1207)*N(F1207)+N(G1207)*N(H1207)+N(I1207)*N(J1207)+N(K1207)*N(L1207)+N(M1207)*N(N1207))</f>
        <v/>
      </c>
      <c r="Q1207" s="18">
        <f>IF(N(X1207)=0,"",IF(IF(N(F1207)=0,0,IF(N(E1207)&gt;0,E1207*(1+F1207/30),F1207))=X1207,IF(N(E1207)&gt;0,E1207&amp;" x "&amp;F1207,F1207&amp;" reps"),IF(IF(N(H1207)=0,0,IF(N(G1207)&gt;0,G1207*(1+H1207/30),H1207))=X1207,IF(N(G1207)&gt;0,G1207&amp;" x "&amp;H1207,H1207&amp;" reps"),IF(IF(N(J1207)=0,0,IF(N(I1207)&gt;0,I1207*(1+J1207/30),J1207))=X1207,IF(N(I1207)&gt;0,I1207&amp;" x "&amp;J1207,J1207&amp;" reps"),IF(IF(N(L1207)=0,0,IF(N(K1207)&gt;0,K1207*(1+L1207/30),L1207))=X1207,IF(N(K1207)&gt;0,K1207&amp;" x "&amp;L1207,L1207&amp;" reps"),IF(IF(N(N1207)=0,0,IF(N(M1207)&gt;0,M1207*(1+N1207/30),N1207))=X1207,IF(N(M1207)&gt;0,M1207&amp;" x "&amp;N1207,N1207&amp;" reps"),""))))))</f>
        <v/>
      </c>
      <c r="R1207" s="20">
        <f>IF(N(X1207)=0,"",ROUND(X1207,1))</f>
        <v/>
      </c>
      <c r="S1207" s="18">
        <f>IF(N(X1207)=0,"",IF(AND(COUNTIFS(Log!$D$6:$D$1505,D1207,Log!$B$6:$B$1505,"&lt;"&amp;B1207)&gt;0,COUNTIFS(Log!$D$6:$D$1505,D1207,Log!$B$6:$B$1505,"&lt;"&amp;B1207,Log!$X$6:$X$1505,"&gt;="&amp;X1207)=0),"New best",""))</f>
        <v/>
      </c>
      <c r="T1207" s="26" t="n"/>
      <c r="U1207" s="1">
        <f>IF(D1207="","",IFERROR(INDEX(Exercises!$C$6:$C$105,MATCH(D1207,Exercises!$B$6:$B$105,0)),"Other"))</f>
        <v/>
      </c>
      <c r="V1207">
        <f>IF(B1207="","",IF(COUNTIF($B$6:B1207,B1207)=1,1,0))</f>
        <v/>
      </c>
      <c r="W1207">
        <f>IF(B1207="","",B1207-WEEKDAY(B1207,3))</f>
        <v/>
      </c>
      <c r="X1207">
        <f>IF(D1207="","",MAX(IF(N(F1207)=0,0,IF(N(E1207)&gt;0,E1207*(1+F1207/30),F1207)),IF(N(H1207)=0,0,IF(N(G1207)&gt;0,G1207*(1+H1207/30),H1207)),IF(N(J1207)=0,0,IF(N(I1207)&gt;0,I1207*(1+J1207/30),J1207)),IF(N(L1207)=0,0,IF(N(K1207)&gt;0,K1207*(1+L1207/30),L1207)),IF(N(N1207)=0,0,IF(N(M1207)&gt;0,M1207*(1+N1207/30),N1207))))</f>
        <v/>
      </c>
      <c r="Y1207">
        <f>IF(N(X1207)=0,"",X1207+ROW()/1000000000)</f>
        <v/>
      </c>
      <c r="Z1207">
        <f>IF(Y1207="","",IF(COUNTIFS(Log!$D$6:$D$1505,D1207,Log!$Y$6:$Y$1505,"&gt;"&amp;Y1207)=0,1,0))</f>
        <v/>
      </c>
      <c r="AA1207">
        <f>IF(OR(B1207="",D1207=""),"",B1207+ROW()/10000000)</f>
        <v/>
      </c>
      <c r="AB1207">
        <f>IF(AA1207="","",IF(COUNTIFS(Log!$D$6:$D$1505,D1207,Log!$AA$6:$AA$1505,"&gt;"&amp;AA1207)=0,1,0))</f>
        <v/>
      </c>
      <c r="AC1207">
        <f>IF(S1207="New best",AA1207,"")</f>
        <v/>
      </c>
      <c r="AD1207">
        <f>ROW()</f>
        <v/>
      </c>
    </row>
    <row r="1208">
      <c r="A1208" s="1" t="n"/>
      <c r="B1208" s="21" t="n"/>
      <c r="C1208" s="22" t="n"/>
      <c r="D1208" s="23" t="n"/>
      <c r="E1208" s="24" t="n"/>
      <c r="F1208" s="24" t="n"/>
      <c r="G1208" s="24" t="n"/>
      <c r="H1208" s="24" t="n"/>
      <c r="I1208" s="24" t="n"/>
      <c r="J1208" s="24" t="n"/>
      <c r="K1208" s="24" t="n"/>
      <c r="L1208" s="24" t="n"/>
      <c r="M1208" s="24" t="n"/>
      <c r="N1208" s="24" t="n"/>
      <c r="O1208" s="15">
        <f>IF(D1208="","",COUNT(F1208,H1208,J1208,L1208,N1208))</f>
        <v/>
      </c>
      <c r="P1208" s="25">
        <f>IF(D1208="","",N(E1208)*N(F1208)+N(G1208)*N(H1208)+N(I1208)*N(J1208)+N(K1208)*N(L1208)+N(M1208)*N(N1208))</f>
        <v/>
      </c>
      <c r="Q1208" s="18">
        <f>IF(N(X1208)=0,"",IF(IF(N(F1208)=0,0,IF(N(E1208)&gt;0,E1208*(1+F1208/30),F1208))=X1208,IF(N(E1208)&gt;0,E1208&amp;" x "&amp;F1208,F1208&amp;" reps"),IF(IF(N(H1208)=0,0,IF(N(G1208)&gt;0,G1208*(1+H1208/30),H1208))=X1208,IF(N(G1208)&gt;0,G1208&amp;" x "&amp;H1208,H1208&amp;" reps"),IF(IF(N(J1208)=0,0,IF(N(I1208)&gt;0,I1208*(1+J1208/30),J1208))=X1208,IF(N(I1208)&gt;0,I1208&amp;" x "&amp;J1208,J1208&amp;" reps"),IF(IF(N(L1208)=0,0,IF(N(K1208)&gt;0,K1208*(1+L1208/30),L1208))=X1208,IF(N(K1208)&gt;0,K1208&amp;" x "&amp;L1208,L1208&amp;" reps"),IF(IF(N(N1208)=0,0,IF(N(M1208)&gt;0,M1208*(1+N1208/30),N1208))=X1208,IF(N(M1208)&gt;0,M1208&amp;" x "&amp;N1208,N1208&amp;" reps"),""))))))</f>
        <v/>
      </c>
      <c r="R1208" s="20">
        <f>IF(N(X1208)=0,"",ROUND(X1208,1))</f>
        <v/>
      </c>
      <c r="S1208" s="18">
        <f>IF(N(X1208)=0,"",IF(AND(COUNTIFS(Log!$D$6:$D$1505,D1208,Log!$B$6:$B$1505,"&lt;"&amp;B1208)&gt;0,COUNTIFS(Log!$D$6:$D$1505,D1208,Log!$B$6:$B$1505,"&lt;"&amp;B1208,Log!$X$6:$X$1505,"&gt;="&amp;X1208)=0),"New best",""))</f>
        <v/>
      </c>
      <c r="T1208" s="26" t="n"/>
      <c r="U1208" s="1">
        <f>IF(D1208="","",IFERROR(INDEX(Exercises!$C$6:$C$105,MATCH(D1208,Exercises!$B$6:$B$105,0)),"Other"))</f>
        <v/>
      </c>
      <c r="V1208">
        <f>IF(B1208="","",IF(COUNTIF($B$6:B1208,B1208)=1,1,0))</f>
        <v/>
      </c>
      <c r="W1208">
        <f>IF(B1208="","",B1208-WEEKDAY(B1208,3))</f>
        <v/>
      </c>
      <c r="X1208">
        <f>IF(D1208="","",MAX(IF(N(F1208)=0,0,IF(N(E1208)&gt;0,E1208*(1+F1208/30),F1208)),IF(N(H1208)=0,0,IF(N(G1208)&gt;0,G1208*(1+H1208/30),H1208)),IF(N(J1208)=0,0,IF(N(I1208)&gt;0,I1208*(1+J1208/30),J1208)),IF(N(L1208)=0,0,IF(N(K1208)&gt;0,K1208*(1+L1208/30),L1208)),IF(N(N1208)=0,0,IF(N(M1208)&gt;0,M1208*(1+N1208/30),N1208))))</f>
        <v/>
      </c>
      <c r="Y1208">
        <f>IF(N(X1208)=0,"",X1208+ROW()/1000000000)</f>
        <v/>
      </c>
      <c r="Z1208">
        <f>IF(Y1208="","",IF(COUNTIFS(Log!$D$6:$D$1505,D1208,Log!$Y$6:$Y$1505,"&gt;"&amp;Y1208)=0,1,0))</f>
        <v/>
      </c>
      <c r="AA1208">
        <f>IF(OR(B1208="",D1208=""),"",B1208+ROW()/10000000)</f>
        <v/>
      </c>
      <c r="AB1208">
        <f>IF(AA1208="","",IF(COUNTIFS(Log!$D$6:$D$1505,D1208,Log!$AA$6:$AA$1505,"&gt;"&amp;AA1208)=0,1,0))</f>
        <v/>
      </c>
      <c r="AC1208">
        <f>IF(S1208="New best",AA1208,"")</f>
        <v/>
      </c>
      <c r="AD1208">
        <f>ROW()</f>
        <v/>
      </c>
    </row>
    <row r="1209">
      <c r="A1209" s="1" t="n"/>
      <c r="B1209" s="21" t="n"/>
      <c r="C1209" s="22" t="n"/>
      <c r="D1209" s="23" t="n"/>
      <c r="E1209" s="24" t="n"/>
      <c r="F1209" s="24" t="n"/>
      <c r="G1209" s="24" t="n"/>
      <c r="H1209" s="24" t="n"/>
      <c r="I1209" s="24" t="n"/>
      <c r="J1209" s="24" t="n"/>
      <c r="K1209" s="24" t="n"/>
      <c r="L1209" s="24" t="n"/>
      <c r="M1209" s="24" t="n"/>
      <c r="N1209" s="24" t="n"/>
      <c r="O1209" s="15">
        <f>IF(D1209="","",COUNT(F1209,H1209,J1209,L1209,N1209))</f>
        <v/>
      </c>
      <c r="P1209" s="25">
        <f>IF(D1209="","",N(E1209)*N(F1209)+N(G1209)*N(H1209)+N(I1209)*N(J1209)+N(K1209)*N(L1209)+N(M1209)*N(N1209))</f>
        <v/>
      </c>
      <c r="Q1209" s="18">
        <f>IF(N(X1209)=0,"",IF(IF(N(F1209)=0,0,IF(N(E1209)&gt;0,E1209*(1+F1209/30),F1209))=X1209,IF(N(E1209)&gt;0,E1209&amp;" x "&amp;F1209,F1209&amp;" reps"),IF(IF(N(H1209)=0,0,IF(N(G1209)&gt;0,G1209*(1+H1209/30),H1209))=X1209,IF(N(G1209)&gt;0,G1209&amp;" x "&amp;H1209,H1209&amp;" reps"),IF(IF(N(J1209)=0,0,IF(N(I1209)&gt;0,I1209*(1+J1209/30),J1209))=X1209,IF(N(I1209)&gt;0,I1209&amp;" x "&amp;J1209,J1209&amp;" reps"),IF(IF(N(L1209)=0,0,IF(N(K1209)&gt;0,K1209*(1+L1209/30),L1209))=X1209,IF(N(K1209)&gt;0,K1209&amp;" x "&amp;L1209,L1209&amp;" reps"),IF(IF(N(N1209)=0,0,IF(N(M1209)&gt;0,M1209*(1+N1209/30),N1209))=X1209,IF(N(M1209)&gt;0,M1209&amp;" x "&amp;N1209,N1209&amp;" reps"),""))))))</f>
        <v/>
      </c>
      <c r="R1209" s="20">
        <f>IF(N(X1209)=0,"",ROUND(X1209,1))</f>
        <v/>
      </c>
      <c r="S1209" s="18">
        <f>IF(N(X1209)=0,"",IF(AND(COUNTIFS(Log!$D$6:$D$1505,D1209,Log!$B$6:$B$1505,"&lt;"&amp;B1209)&gt;0,COUNTIFS(Log!$D$6:$D$1505,D1209,Log!$B$6:$B$1505,"&lt;"&amp;B1209,Log!$X$6:$X$1505,"&gt;="&amp;X1209)=0),"New best",""))</f>
        <v/>
      </c>
      <c r="T1209" s="26" t="n"/>
      <c r="U1209" s="1">
        <f>IF(D1209="","",IFERROR(INDEX(Exercises!$C$6:$C$105,MATCH(D1209,Exercises!$B$6:$B$105,0)),"Other"))</f>
        <v/>
      </c>
      <c r="V1209">
        <f>IF(B1209="","",IF(COUNTIF($B$6:B1209,B1209)=1,1,0))</f>
        <v/>
      </c>
      <c r="W1209">
        <f>IF(B1209="","",B1209-WEEKDAY(B1209,3))</f>
        <v/>
      </c>
      <c r="X1209">
        <f>IF(D1209="","",MAX(IF(N(F1209)=0,0,IF(N(E1209)&gt;0,E1209*(1+F1209/30),F1209)),IF(N(H1209)=0,0,IF(N(G1209)&gt;0,G1209*(1+H1209/30),H1209)),IF(N(J1209)=0,0,IF(N(I1209)&gt;0,I1209*(1+J1209/30),J1209)),IF(N(L1209)=0,0,IF(N(K1209)&gt;0,K1209*(1+L1209/30),L1209)),IF(N(N1209)=0,0,IF(N(M1209)&gt;0,M1209*(1+N1209/30),N1209))))</f>
        <v/>
      </c>
      <c r="Y1209">
        <f>IF(N(X1209)=0,"",X1209+ROW()/1000000000)</f>
        <v/>
      </c>
      <c r="Z1209">
        <f>IF(Y1209="","",IF(COUNTIFS(Log!$D$6:$D$1505,D1209,Log!$Y$6:$Y$1505,"&gt;"&amp;Y1209)=0,1,0))</f>
        <v/>
      </c>
      <c r="AA1209">
        <f>IF(OR(B1209="",D1209=""),"",B1209+ROW()/10000000)</f>
        <v/>
      </c>
      <c r="AB1209">
        <f>IF(AA1209="","",IF(COUNTIFS(Log!$D$6:$D$1505,D1209,Log!$AA$6:$AA$1505,"&gt;"&amp;AA1209)=0,1,0))</f>
        <v/>
      </c>
      <c r="AC1209">
        <f>IF(S1209="New best",AA1209,"")</f>
        <v/>
      </c>
      <c r="AD1209">
        <f>ROW()</f>
        <v/>
      </c>
    </row>
    <row r="1210">
      <c r="A1210" s="1" t="n"/>
      <c r="B1210" s="21" t="n"/>
      <c r="C1210" s="22" t="n"/>
      <c r="D1210" s="23" t="n"/>
      <c r="E1210" s="24" t="n"/>
      <c r="F1210" s="24" t="n"/>
      <c r="G1210" s="24" t="n"/>
      <c r="H1210" s="24" t="n"/>
      <c r="I1210" s="24" t="n"/>
      <c r="J1210" s="24" t="n"/>
      <c r="K1210" s="24" t="n"/>
      <c r="L1210" s="24" t="n"/>
      <c r="M1210" s="24" t="n"/>
      <c r="N1210" s="24" t="n"/>
      <c r="O1210" s="15">
        <f>IF(D1210="","",COUNT(F1210,H1210,J1210,L1210,N1210))</f>
        <v/>
      </c>
      <c r="P1210" s="25">
        <f>IF(D1210="","",N(E1210)*N(F1210)+N(G1210)*N(H1210)+N(I1210)*N(J1210)+N(K1210)*N(L1210)+N(M1210)*N(N1210))</f>
        <v/>
      </c>
      <c r="Q1210" s="18">
        <f>IF(N(X1210)=0,"",IF(IF(N(F1210)=0,0,IF(N(E1210)&gt;0,E1210*(1+F1210/30),F1210))=X1210,IF(N(E1210)&gt;0,E1210&amp;" x "&amp;F1210,F1210&amp;" reps"),IF(IF(N(H1210)=0,0,IF(N(G1210)&gt;0,G1210*(1+H1210/30),H1210))=X1210,IF(N(G1210)&gt;0,G1210&amp;" x "&amp;H1210,H1210&amp;" reps"),IF(IF(N(J1210)=0,0,IF(N(I1210)&gt;0,I1210*(1+J1210/30),J1210))=X1210,IF(N(I1210)&gt;0,I1210&amp;" x "&amp;J1210,J1210&amp;" reps"),IF(IF(N(L1210)=0,0,IF(N(K1210)&gt;0,K1210*(1+L1210/30),L1210))=X1210,IF(N(K1210)&gt;0,K1210&amp;" x "&amp;L1210,L1210&amp;" reps"),IF(IF(N(N1210)=0,0,IF(N(M1210)&gt;0,M1210*(1+N1210/30),N1210))=X1210,IF(N(M1210)&gt;0,M1210&amp;" x "&amp;N1210,N1210&amp;" reps"),""))))))</f>
        <v/>
      </c>
      <c r="R1210" s="20">
        <f>IF(N(X1210)=0,"",ROUND(X1210,1))</f>
        <v/>
      </c>
      <c r="S1210" s="18">
        <f>IF(N(X1210)=0,"",IF(AND(COUNTIFS(Log!$D$6:$D$1505,D1210,Log!$B$6:$B$1505,"&lt;"&amp;B1210)&gt;0,COUNTIFS(Log!$D$6:$D$1505,D1210,Log!$B$6:$B$1505,"&lt;"&amp;B1210,Log!$X$6:$X$1505,"&gt;="&amp;X1210)=0),"New best",""))</f>
        <v/>
      </c>
      <c r="T1210" s="26" t="n"/>
      <c r="U1210" s="1">
        <f>IF(D1210="","",IFERROR(INDEX(Exercises!$C$6:$C$105,MATCH(D1210,Exercises!$B$6:$B$105,0)),"Other"))</f>
        <v/>
      </c>
      <c r="V1210">
        <f>IF(B1210="","",IF(COUNTIF($B$6:B1210,B1210)=1,1,0))</f>
        <v/>
      </c>
      <c r="W1210">
        <f>IF(B1210="","",B1210-WEEKDAY(B1210,3))</f>
        <v/>
      </c>
      <c r="X1210">
        <f>IF(D1210="","",MAX(IF(N(F1210)=0,0,IF(N(E1210)&gt;0,E1210*(1+F1210/30),F1210)),IF(N(H1210)=0,0,IF(N(G1210)&gt;0,G1210*(1+H1210/30),H1210)),IF(N(J1210)=0,0,IF(N(I1210)&gt;0,I1210*(1+J1210/30),J1210)),IF(N(L1210)=0,0,IF(N(K1210)&gt;0,K1210*(1+L1210/30),L1210)),IF(N(N1210)=0,0,IF(N(M1210)&gt;0,M1210*(1+N1210/30),N1210))))</f>
        <v/>
      </c>
      <c r="Y1210">
        <f>IF(N(X1210)=0,"",X1210+ROW()/1000000000)</f>
        <v/>
      </c>
      <c r="Z1210">
        <f>IF(Y1210="","",IF(COUNTIFS(Log!$D$6:$D$1505,D1210,Log!$Y$6:$Y$1505,"&gt;"&amp;Y1210)=0,1,0))</f>
        <v/>
      </c>
      <c r="AA1210">
        <f>IF(OR(B1210="",D1210=""),"",B1210+ROW()/10000000)</f>
        <v/>
      </c>
      <c r="AB1210">
        <f>IF(AA1210="","",IF(COUNTIFS(Log!$D$6:$D$1505,D1210,Log!$AA$6:$AA$1505,"&gt;"&amp;AA1210)=0,1,0))</f>
        <v/>
      </c>
      <c r="AC1210">
        <f>IF(S1210="New best",AA1210,"")</f>
        <v/>
      </c>
      <c r="AD1210">
        <f>ROW()</f>
        <v/>
      </c>
    </row>
    <row r="1211">
      <c r="A1211" s="1" t="n"/>
      <c r="B1211" s="21" t="n"/>
      <c r="C1211" s="22" t="n"/>
      <c r="D1211" s="23" t="n"/>
      <c r="E1211" s="24" t="n"/>
      <c r="F1211" s="24" t="n"/>
      <c r="G1211" s="24" t="n"/>
      <c r="H1211" s="24" t="n"/>
      <c r="I1211" s="24" t="n"/>
      <c r="J1211" s="24" t="n"/>
      <c r="K1211" s="24" t="n"/>
      <c r="L1211" s="24" t="n"/>
      <c r="M1211" s="24" t="n"/>
      <c r="N1211" s="24" t="n"/>
      <c r="O1211" s="15">
        <f>IF(D1211="","",COUNT(F1211,H1211,J1211,L1211,N1211))</f>
        <v/>
      </c>
      <c r="P1211" s="25">
        <f>IF(D1211="","",N(E1211)*N(F1211)+N(G1211)*N(H1211)+N(I1211)*N(J1211)+N(K1211)*N(L1211)+N(M1211)*N(N1211))</f>
        <v/>
      </c>
      <c r="Q1211" s="18">
        <f>IF(N(X1211)=0,"",IF(IF(N(F1211)=0,0,IF(N(E1211)&gt;0,E1211*(1+F1211/30),F1211))=X1211,IF(N(E1211)&gt;0,E1211&amp;" x "&amp;F1211,F1211&amp;" reps"),IF(IF(N(H1211)=0,0,IF(N(G1211)&gt;0,G1211*(1+H1211/30),H1211))=X1211,IF(N(G1211)&gt;0,G1211&amp;" x "&amp;H1211,H1211&amp;" reps"),IF(IF(N(J1211)=0,0,IF(N(I1211)&gt;0,I1211*(1+J1211/30),J1211))=X1211,IF(N(I1211)&gt;0,I1211&amp;" x "&amp;J1211,J1211&amp;" reps"),IF(IF(N(L1211)=0,0,IF(N(K1211)&gt;0,K1211*(1+L1211/30),L1211))=X1211,IF(N(K1211)&gt;0,K1211&amp;" x "&amp;L1211,L1211&amp;" reps"),IF(IF(N(N1211)=0,0,IF(N(M1211)&gt;0,M1211*(1+N1211/30),N1211))=X1211,IF(N(M1211)&gt;0,M1211&amp;" x "&amp;N1211,N1211&amp;" reps"),""))))))</f>
        <v/>
      </c>
      <c r="R1211" s="20">
        <f>IF(N(X1211)=0,"",ROUND(X1211,1))</f>
        <v/>
      </c>
      <c r="S1211" s="18">
        <f>IF(N(X1211)=0,"",IF(AND(COUNTIFS(Log!$D$6:$D$1505,D1211,Log!$B$6:$B$1505,"&lt;"&amp;B1211)&gt;0,COUNTIFS(Log!$D$6:$D$1505,D1211,Log!$B$6:$B$1505,"&lt;"&amp;B1211,Log!$X$6:$X$1505,"&gt;="&amp;X1211)=0),"New best",""))</f>
        <v/>
      </c>
      <c r="T1211" s="26" t="n"/>
      <c r="U1211" s="1">
        <f>IF(D1211="","",IFERROR(INDEX(Exercises!$C$6:$C$105,MATCH(D1211,Exercises!$B$6:$B$105,0)),"Other"))</f>
        <v/>
      </c>
      <c r="V1211">
        <f>IF(B1211="","",IF(COUNTIF($B$6:B1211,B1211)=1,1,0))</f>
        <v/>
      </c>
      <c r="W1211">
        <f>IF(B1211="","",B1211-WEEKDAY(B1211,3))</f>
        <v/>
      </c>
      <c r="X1211">
        <f>IF(D1211="","",MAX(IF(N(F1211)=0,0,IF(N(E1211)&gt;0,E1211*(1+F1211/30),F1211)),IF(N(H1211)=0,0,IF(N(G1211)&gt;0,G1211*(1+H1211/30),H1211)),IF(N(J1211)=0,0,IF(N(I1211)&gt;0,I1211*(1+J1211/30),J1211)),IF(N(L1211)=0,0,IF(N(K1211)&gt;0,K1211*(1+L1211/30),L1211)),IF(N(N1211)=0,0,IF(N(M1211)&gt;0,M1211*(1+N1211/30),N1211))))</f>
        <v/>
      </c>
      <c r="Y1211">
        <f>IF(N(X1211)=0,"",X1211+ROW()/1000000000)</f>
        <v/>
      </c>
      <c r="Z1211">
        <f>IF(Y1211="","",IF(COUNTIFS(Log!$D$6:$D$1505,D1211,Log!$Y$6:$Y$1505,"&gt;"&amp;Y1211)=0,1,0))</f>
        <v/>
      </c>
      <c r="AA1211">
        <f>IF(OR(B1211="",D1211=""),"",B1211+ROW()/10000000)</f>
        <v/>
      </c>
      <c r="AB1211">
        <f>IF(AA1211="","",IF(COUNTIFS(Log!$D$6:$D$1505,D1211,Log!$AA$6:$AA$1505,"&gt;"&amp;AA1211)=0,1,0))</f>
        <v/>
      </c>
      <c r="AC1211">
        <f>IF(S1211="New best",AA1211,"")</f>
        <v/>
      </c>
      <c r="AD1211">
        <f>ROW()</f>
        <v/>
      </c>
    </row>
    <row r="1212">
      <c r="A1212" s="1" t="n"/>
      <c r="B1212" s="21" t="n"/>
      <c r="C1212" s="22" t="n"/>
      <c r="D1212" s="23" t="n"/>
      <c r="E1212" s="24" t="n"/>
      <c r="F1212" s="24" t="n"/>
      <c r="G1212" s="24" t="n"/>
      <c r="H1212" s="24" t="n"/>
      <c r="I1212" s="24" t="n"/>
      <c r="J1212" s="24" t="n"/>
      <c r="K1212" s="24" t="n"/>
      <c r="L1212" s="24" t="n"/>
      <c r="M1212" s="24" t="n"/>
      <c r="N1212" s="24" t="n"/>
      <c r="O1212" s="15">
        <f>IF(D1212="","",COUNT(F1212,H1212,J1212,L1212,N1212))</f>
        <v/>
      </c>
      <c r="P1212" s="25">
        <f>IF(D1212="","",N(E1212)*N(F1212)+N(G1212)*N(H1212)+N(I1212)*N(J1212)+N(K1212)*N(L1212)+N(M1212)*N(N1212))</f>
        <v/>
      </c>
      <c r="Q1212" s="18">
        <f>IF(N(X1212)=0,"",IF(IF(N(F1212)=0,0,IF(N(E1212)&gt;0,E1212*(1+F1212/30),F1212))=X1212,IF(N(E1212)&gt;0,E1212&amp;" x "&amp;F1212,F1212&amp;" reps"),IF(IF(N(H1212)=0,0,IF(N(G1212)&gt;0,G1212*(1+H1212/30),H1212))=X1212,IF(N(G1212)&gt;0,G1212&amp;" x "&amp;H1212,H1212&amp;" reps"),IF(IF(N(J1212)=0,0,IF(N(I1212)&gt;0,I1212*(1+J1212/30),J1212))=X1212,IF(N(I1212)&gt;0,I1212&amp;" x "&amp;J1212,J1212&amp;" reps"),IF(IF(N(L1212)=0,0,IF(N(K1212)&gt;0,K1212*(1+L1212/30),L1212))=X1212,IF(N(K1212)&gt;0,K1212&amp;" x "&amp;L1212,L1212&amp;" reps"),IF(IF(N(N1212)=0,0,IF(N(M1212)&gt;0,M1212*(1+N1212/30),N1212))=X1212,IF(N(M1212)&gt;0,M1212&amp;" x "&amp;N1212,N1212&amp;" reps"),""))))))</f>
        <v/>
      </c>
      <c r="R1212" s="20">
        <f>IF(N(X1212)=0,"",ROUND(X1212,1))</f>
        <v/>
      </c>
      <c r="S1212" s="18">
        <f>IF(N(X1212)=0,"",IF(AND(COUNTIFS(Log!$D$6:$D$1505,D1212,Log!$B$6:$B$1505,"&lt;"&amp;B1212)&gt;0,COUNTIFS(Log!$D$6:$D$1505,D1212,Log!$B$6:$B$1505,"&lt;"&amp;B1212,Log!$X$6:$X$1505,"&gt;="&amp;X1212)=0),"New best",""))</f>
        <v/>
      </c>
      <c r="T1212" s="26" t="n"/>
      <c r="U1212" s="1">
        <f>IF(D1212="","",IFERROR(INDEX(Exercises!$C$6:$C$105,MATCH(D1212,Exercises!$B$6:$B$105,0)),"Other"))</f>
        <v/>
      </c>
      <c r="V1212">
        <f>IF(B1212="","",IF(COUNTIF($B$6:B1212,B1212)=1,1,0))</f>
        <v/>
      </c>
      <c r="W1212">
        <f>IF(B1212="","",B1212-WEEKDAY(B1212,3))</f>
        <v/>
      </c>
      <c r="X1212">
        <f>IF(D1212="","",MAX(IF(N(F1212)=0,0,IF(N(E1212)&gt;0,E1212*(1+F1212/30),F1212)),IF(N(H1212)=0,0,IF(N(G1212)&gt;0,G1212*(1+H1212/30),H1212)),IF(N(J1212)=0,0,IF(N(I1212)&gt;0,I1212*(1+J1212/30),J1212)),IF(N(L1212)=0,0,IF(N(K1212)&gt;0,K1212*(1+L1212/30),L1212)),IF(N(N1212)=0,0,IF(N(M1212)&gt;0,M1212*(1+N1212/30),N1212))))</f>
        <v/>
      </c>
      <c r="Y1212">
        <f>IF(N(X1212)=0,"",X1212+ROW()/1000000000)</f>
        <v/>
      </c>
      <c r="Z1212">
        <f>IF(Y1212="","",IF(COUNTIFS(Log!$D$6:$D$1505,D1212,Log!$Y$6:$Y$1505,"&gt;"&amp;Y1212)=0,1,0))</f>
        <v/>
      </c>
      <c r="AA1212">
        <f>IF(OR(B1212="",D1212=""),"",B1212+ROW()/10000000)</f>
        <v/>
      </c>
      <c r="AB1212">
        <f>IF(AA1212="","",IF(COUNTIFS(Log!$D$6:$D$1505,D1212,Log!$AA$6:$AA$1505,"&gt;"&amp;AA1212)=0,1,0))</f>
        <v/>
      </c>
      <c r="AC1212">
        <f>IF(S1212="New best",AA1212,"")</f>
        <v/>
      </c>
      <c r="AD1212">
        <f>ROW()</f>
        <v/>
      </c>
    </row>
    <row r="1213">
      <c r="A1213" s="1" t="n"/>
      <c r="B1213" s="21" t="n"/>
      <c r="C1213" s="22" t="n"/>
      <c r="D1213" s="23" t="n"/>
      <c r="E1213" s="24" t="n"/>
      <c r="F1213" s="24" t="n"/>
      <c r="G1213" s="24" t="n"/>
      <c r="H1213" s="24" t="n"/>
      <c r="I1213" s="24" t="n"/>
      <c r="J1213" s="24" t="n"/>
      <c r="K1213" s="24" t="n"/>
      <c r="L1213" s="24" t="n"/>
      <c r="M1213" s="24" t="n"/>
      <c r="N1213" s="24" t="n"/>
      <c r="O1213" s="15">
        <f>IF(D1213="","",COUNT(F1213,H1213,J1213,L1213,N1213))</f>
        <v/>
      </c>
      <c r="P1213" s="25">
        <f>IF(D1213="","",N(E1213)*N(F1213)+N(G1213)*N(H1213)+N(I1213)*N(J1213)+N(K1213)*N(L1213)+N(M1213)*N(N1213))</f>
        <v/>
      </c>
      <c r="Q1213" s="18">
        <f>IF(N(X1213)=0,"",IF(IF(N(F1213)=0,0,IF(N(E1213)&gt;0,E1213*(1+F1213/30),F1213))=X1213,IF(N(E1213)&gt;0,E1213&amp;" x "&amp;F1213,F1213&amp;" reps"),IF(IF(N(H1213)=0,0,IF(N(G1213)&gt;0,G1213*(1+H1213/30),H1213))=X1213,IF(N(G1213)&gt;0,G1213&amp;" x "&amp;H1213,H1213&amp;" reps"),IF(IF(N(J1213)=0,0,IF(N(I1213)&gt;0,I1213*(1+J1213/30),J1213))=X1213,IF(N(I1213)&gt;0,I1213&amp;" x "&amp;J1213,J1213&amp;" reps"),IF(IF(N(L1213)=0,0,IF(N(K1213)&gt;0,K1213*(1+L1213/30),L1213))=X1213,IF(N(K1213)&gt;0,K1213&amp;" x "&amp;L1213,L1213&amp;" reps"),IF(IF(N(N1213)=0,0,IF(N(M1213)&gt;0,M1213*(1+N1213/30),N1213))=X1213,IF(N(M1213)&gt;0,M1213&amp;" x "&amp;N1213,N1213&amp;" reps"),""))))))</f>
        <v/>
      </c>
      <c r="R1213" s="20">
        <f>IF(N(X1213)=0,"",ROUND(X1213,1))</f>
        <v/>
      </c>
      <c r="S1213" s="18">
        <f>IF(N(X1213)=0,"",IF(AND(COUNTIFS(Log!$D$6:$D$1505,D1213,Log!$B$6:$B$1505,"&lt;"&amp;B1213)&gt;0,COUNTIFS(Log!$D$6:$D$1505,D1213,Log!$B$6:$B$1505,"&lt;"&amp;B1213,Log!$X$6:$X$1505,"&gt;="&amp;X1213)=0),"New best",""))</f>
        <v/>
      </c>
      <c r="T1213" s="26" t="n"/>
      <c r="U1213" s="1">
        <f>IF(D1213="","",IFERROR(INDEX(Exercises!$C$6:$C$105,MATCH(D1213,Exercises!$B$6:$B$105,0)),"Other"))</f>
        <v/>
      </c>
      <c r="V1213">
        <f>IF(B1213="","",IF(COUNTIF($B$6:B1213,B1213)=1,1,0))</f>
        <v/>
      </c>
      <c r="W1213">
        <f>IF(B1213="","",B1213-WEEKDAY(B1213,3))</f>
        <v/>
      </c>
      <c r="X1213">
        <f>IF(D1213="","",MAX(IF(N(F1213)=0,0,IF(N(E1213)&gt;0,E1213*(1+F1213/30),F1213)),IF(N(H1213)=0,0,IF(N(G1213)&gt;0,G1213*(1+H1213/30),H1213)),IF(N(J1213)=0,0,IF(N(I1213)&gt;0,I1213*(1+J1213/30),J1213)),IF(N(L1213)=0,0,IF(N(K1213)&gt;0,K1213*(1+L1213/30),L1213)),IF(N(N1213)=0,0,IF(N(M1213)&gt;0,M1213*(1+N1213/30),N1213))))</f>
        <v/>
      </c>
      <c r="Y1213">
        <f>IF(N(X1213)=0,"",X1213+ROW()/1000000000)</f>
        <v/>
      </c>
      <c r="Z1213">
        <f>IF(Y1213="","",IF(COUNTIFS(Log!$D$6:$D$1505,D1213,Log!$Y$6:$Y$1505,"&gt;"&amp;Y1213)=0,1,0))</f>
        <v/>
      </c>
      <c r="AA1213">
        <f>IF(OR(B1213="",D1213=""),"",B1213+ROW()/10000000)</f>
        <v/>
      </c>
      <c r="AB1213">
        <f>IF(AA1213="","",IF(COUNTIFS(Log!$D$6:$D$1505,D1213,Log!$AA$6:$AA$1505,"&gt;"&amp;AA1213)=0,1,0))</f>
        <v/>
      </c>
      <c r="AC1213">
        <f>IF(S1213="New best",AA1213,"")</f>
        <v/>
      </c>
      <c r="AD1213">
        <f>ROW()</f>
        <v/>
      </c>
    </row>
    <row r="1214">
      <c r="A1214" s="1" t="n"/>
      <c r="B1214" s="21" t="n"/>
      <c r="C1214" s="22" t="n"/>
      <c r="D1214" s="23" t="n"/>
      <c r="E1214" s="24" t="n"/>
      <c r="F1214" s="24" t="n"/>
      <c r="G1214" s="24" t="n"/>
      <c r="H1214" s="24" t="n"/>
      <c r="I1214" s="24" t="n"/>
      <c r="J1214" s="24" t="n"/>
      <c r="K1214" s="24" t="n"/>
      <c r="L1214" s="24" t="n"/>
      <c r="M1214" s="24" t="n"/>
      <c r="N1214" s="24" t="n"/>
      <c r="O1214" s="15">
        <f>IF(D1214="","",COUNT(F1214,H1214,J1214,L1214,N1214))</f>
        <v/>
      </c>
      <c r="P1214" s="25">
        <f>IF(D1214="","",N(E1214)*N(F1214)+N(G1214)*N(H1214)+N(I1214)*N(J1214)+N(K1214)*N(L1214)+N(M1214)*N(N1214))</f>
        <v/>
      </c>
      <c r="Q1214" s="18">
        <f>IF(N(X1214)=0,"",IF(IF(N(F1214)=0,0,IF(N(E1214)&gt;0,E1214*(1+F1214/30),F1214))=X1214,IF(N(E1214)&gt;0,E1214&amp;" x "&amp;F1214,F1214&amp;" reps"),IF(IF(N(H1214)=0,0,IF(N(G1214)&gt;0,G1214*(1+H1214/30),H1214))=X1214,IF(N(G1214)&gt;0,G1214&amp;" x "&amp;H1214,H1214&amp;" reps"),IF(IF(N(J1214)=0,0,IF(N(I1214)&gt;0,I1214*(1+J1214/30),J1214))=X1214,IF(N(I1214)&gt;0,I1214&amp;" x "&amp;J1214,J1214&amp;" reps"),IF(IF(N(L1214)=0,0,IF(N(K1214)&gt;0,K1214*(1+L1214/30),L1214))=X1214,IF(N(K1214)&gt;0,K1214&amp;" x "&amp;L1214,L1214&amp;" reps"),IF(IF(N(N1214)=0,0,IF(N(M1214)&gt;0,M1214*(1+N1214/30),N1214))=X1214,IF(N(M1214)&gt;0,M1214&amp;" x "&amp;N1214,N1214&amp;" reps"),""))))))</f>
        <v/>
      </c>
      <c r="R1214" s="20">
        <f>IF(N(X1214)=0,"",ROUND(X1214,1))</f>
        <v/>
      </c>
      <c r="S1214" s="18">
        <f>IF(N(X1214)=0,"",IF(AND(COUNTIFS(Log!$D$6:$D$1505,D1214,Log!$B$6:$B$1505,"&lt;"&amp;B1214)&gt;0,COUNTIFS(Log!$D$6:$D$1505,D1214,Log!$B$6:$B$1505,"&lt;"&amp;B1214,Log!$X$6:$X$1505,"&gt;="&amp;X1214)=0),"New best",""))</f>
        <v/>
      </c>
      <c r="T1214" s="26" t="n"/>
      <c r="U1214" s="1">
        <f>IF(D1214="","",IFERROR(INDEX(Exercises!$C$6:$C$105,MATCH(D1214,Exercises!$B$6:$B$105,0)),"Other"))</f>
        <v/>
      </c>
      <c r="V1214">
        <f>IF(B1214="","",IF(COUNTIF($B$6:B1214,B1214)=1,1,0))</f>
        <v/>
      </c>
      <c r="W1214">
        <f>IF(B1214="","",B1214-WEEKDAY(B1214,3))</f>
        <v/>
      </c>
      <c r="X1214">
        <f>IF(D1214="","",MAX(IF(N(F1214)=0,0,IF(N(E1214)&gt;0,E1214*(1+F1214/30),F1214)),IF(N(H1214)=0,0,IF(N(G1214)&gt;0,G1214*(1+H1214/30),H1214)),IF(N(J1214)=0,0,IF(N(I1214)&gt;0,I1214*(1+J1214/30),J1214)),IF(N(L1214)=0,0,IF(N(K1214)&gt;0,K1214*(1+L1214/30),L1214)),IF(N(N1214)=0,0,IF(N(M1214)&gt;0,M1214*(1+N1214/30),N1214))))</f>
        <v/>
      </c>
      <c r="Y1214">
        <f>IF(N(X1214)=0,"",X1214+ROW()/1000000000)</f>
        <v/>
      </c>
      <c r="Z1214">
        <f>IF(Y1214="","",IF(COUNTIFS(Log!$D$6:$D$1505,D1214,Log!$Y$6:$Y$1505,"&gt;"&amp;Y1214)=0,1,0))</f>
        <v/>
      </c>
      <c r="AA1214">
        <f>IF(OR(B1214="",D1214=""),"",B1214+ROW()/10000000)</f>
        <v/>
      </c>
      <c r="AB1214">
        <f>IF(AA1214="","",IF(COUNTIFS(Log!$D$6:$D$1505,D1214,Log!$AA$6:$AA$1505,"&gt;"&amp;AA1214)=0,1,0))</f>
        <v/>
      </c>
      <c r="AC1214">
        <f>IF(S1214="New best",AA1214,"")</f>
        <v/>
      </c>
      <c r="AD1214">
        <f>ROW()</f>
        <v/>
      </c>
    </row>
    <row r="1215">
      <c r="A1215" s="1" t="n"/>
      <c r="B1215" s="21" t="n"/>
      <c r="C1215" s="22" t="n"/>
      <c r="D1215" s="23" t="n"/>
      <c r="E1215" s="24" t="n"/>
      <c r="F1215" s="24" t="n"/>
      <c r="G1215" s="24" t="n"/>
      <c r="H1215" s="24" t="n"/>
      <c r="I1215" s="24" t="n"/>
      <c r="J1215" s="24" t="n"/>
      <c r="K1215" s="24" t="n"/>
      <c r="L1215" s="24" t="n"/>
      <c r="M1215" s="24" t="n"/>
      <c r="N1215" s="24" t="n"/>
      <c r="O1215" s="15">
        <f>IF(D1215="","",COUNT(F1215,H1215,J1215,L1215,N1215))</f>
        <v/>
      </c>
      <c r="P1215" s="25">
        <f>IF(D1215="","",N(E1215)*N(F1215)+N(G1215)*N(H1215)+N(I1215)*N(J1215)+N(K1215)*N(L1215)+N(M1215)*N(N1215))</f>
        <v/>
      </c>
      <c r="Q1215" s="18">
        <f>IF(N(X1215)=0,"",IF(IF(N(F1215)=0,0,IF(N(E1215)&gt;0,E1215*(1+F1215/30),F1215))=X1215,IF(N(E1215)&gt;0,E1215&amp;" x "&amp;F1215,F1215&amp;" reps"),IF(IF(N(H1215)=0,0,IF(N(G1215)&gt;0,G1215*(1+H1215/30),H1215))=X1215,IF(N(G1215)&gt;0,G1215&amp;" x "&amp;H1215,H1215&amp;" reps"),IF(IF(N(J1215)=0,0,IF(N(I1215)&gt;0,I1215*(1+J1215/30),J1215))=X1215,IF(N(I1215)&gt;0,I1215&amp;" x "&amp;J1215,J1215&amp;" reps"),IF(IF(N(L1215)=0,0,IF(N(K1215)&gt;0,K1215*(1+L1215/30),L1215))=X1215,IF(N(K1215)&gt;0,K1215&amp;" x "&amp;L1215,L1215&amp;" reps"),IF(IF(N(N1215)=0,0,IF(N(M1215)&gt;0,M1215*(1+N1215/30),N1215))=X1215,IF(N(M1215)&gt;0,M1215&amp;" x "&amp;N1215,N1215&amp;" reps"),""))))))</f>
        <v/>
      </c>
      <c r="R1215" s="20">
        <f>IF(N(X1215)=0,"",ROUND(X1215,1))</f>
        <v/>
      </c>
      <c r="S1215" s="18">
        <f>IF(N(X1215)=0,"",IF(AND(COUNTIFS(Log!$D$6:$D$1505,D1215,Log!$B$6:$B$1505,"&lt;"&amp;B1215)&gt;0,COUNTIFS(Log!$D$6:$D$1505,D1215,Log!$B$6:$B$1505,"&lt;"&amp;B1215,Log!$X$6:$X$1505,"&gt;="&amp;X1215)=0),"New best",""))</f>
        <v/>
      </c>
      <c r="T1215" s="26" t="n"/>
      <c r="U1215" s="1">
        <f>IF(D1215="","",IFERROR(INDEX(Exercises!$C$6:$C$105,MATCH(D1215,Exercises!$B$6:$B$105,0)),"Other"))</f>
        <v/>
      </c>
      <c r="V1215">
        <f>IF(B1215="","",IF(COUNTIF($B$6:B1215,B1215)=1,1,0))</f>
        <v/>
      </c>
      <c r="W1215">
        <f>IF(B1215="","",B1215-WEEKDAY(B1215,3))</f>
        <v/>
      </c>
      <c r="X1215">
        <f>IF(D1215="","",MAX(IF(N(F1215)=0,0,IF(N(E1215)&gt;0,E1215*(1+F1215/30),F1215)),IF(N(H1215)=0,0,IF(N(G1215)&gt;0,G1215*(1+H1215/30),H1215)),IF(N(J1215)=0,0,IF(N(I1215)&gt;0,I1215*(1+J1215/30),J1215)),IF(N(L1215)=0,0,IF(N(K1215)&gt;0,K1215*(1+L1215/30),L1215)),IF(N(N1215)=0,0,IF(N(M1215)&gt;0,M1215*(1+N1215/30),N1215))))</f>
        <v/>
      </c>
      <c r="Y1215">
        <f>IF(N(X1215)=0,"",X1215+ROW()/1000000000)</f>
        <v/>
      </c>
      <c r="Z1215">
        <f>IF(Y1215="","",IF(COUNTIFS(Log!$D$6:$D$1505,D1215,Log!$Y$6:$Y$1505,"&gt;"&amp;Y1215)=0,1,0))</f>
        <v/>
      </c>
      <c r="AA1215">
        <f>IF(OR(B1215="",D1215=""),"",B1215+ROW()/10000000)</f>
        <v/>
      </c>
      <c r="AB1215">
        <f>IF(AA1215="","",IF(COUNTIFS(Log!$D$6:$D$1505,D1215,Log!$AA$6:$AA$1505,"&gt;"&amp;AA1215)=0,1,0))</f>
        <v/>
      </c>
      <c r="AC1215">
        <f>IF(S1215="New best",AA1215,"")</f>
        <v/>
      </c>
      <c r="AD1215">
        <f>ROW()</f>
        <v/>
      </c>
    </row>
    <row r="1216">
      <c r="A1216" s="1" t="n"/>
      <c r="B1216" s="21" t="n"/>
      <c r="C1216" s="22" t="n"/>
      <c r="D1216" s="23" t="n"/>
      <c r="E1216" s="24" t="n"/>
      <c r="F1216" s="24" t="n"/>
      <c r="G1216" s="24" t="n"/>
      <c r="H1216" s="24" t="n"/>
      <c r="I1216" s="24" t="n"/>
      <c r="J1216" s="24" t="n"/>
      <c r="K1216" s="24" t="n"/>
      <c r="L1216" s="24" t="n"/>
      <c r="M1216" s="24" t="n"/>
      <c r="N1216" s="24" t="n"/>
      <c r="O1216" s="15">
        <f>IF(D1216="","",COUNT(F1216,H1216,J1216,L1216,N1216))</f>
        <v/>
      </c>
      <c r="P1216" s="25">
        <f>IF(D1216="","",N(E1216)*N(F1216)+N(G1216)*N(H1216)+N(I1216)*N(J1216)+N(K1216)*N(L1216)+N(M1216)*N(N1216))</f>
        <v/>
      </c>
      <c r="Q1216" s="18">
        <f>IF(N(X1216)=0,"",IF(IF(N(F1216)=0,0,IF(N(E1216)&gt;0,E1216*(1+F1216/30),F1216))=X1216,IF(N(E1216)&gt;0,E1216&amp;" x "&amp;F1216,F1216&amp;" reps"),IF(IF(N(H1216)=0,0,IF(N(G1216)&gt;0,G1216*(1+H1216/30),H1216))=X1216,IF(N(G1216)&gt;0,G1216&amp;" x "&amp;H1216,H1216&amp;" reps"),IF(IF(N(J1216)=0,0,IF(N(I1216)&gt;0,I1216*(1+J1216/30),J1216))=X1216,IF(N(I1216)&gt;0,I1216&amp;" x "&amp;J1216,J1216&amp;" reps"),IF(IF(N(L1216)=0,0,IF(N(K1216)&gt;0,K1216*(1+L1216/30),L1216))=X1216,IF(N(K1216)&gt;0,K1216&amp;" x "&amp;L1216,L1216&amp;" reps"),IF(IF(N(N1216)=0,0,IF(N(M1216)&gt;0,M1216*(1+N1216/30),N1216))=X1216,IF(N(M1216)&gt;0,M1216&amp;" x "&amp;N1216,N1216&amp;" reps"),""))))))</f>
        <v/>
      </c>
      <c r="R1216" s="20">
        <f>IF(N(X1216)=0,"",ROUND(X1216,1))</f>
        <v/>
      </c>
      <c r="S1216" s="18">
        <f>IF(N(X1216)=0,"",IF(AND(COUNTIFS(Log!$D$6:$D$1505,D1216,Log!$B$6:$B$1505,"&lt;"&amp;B1216)&gt;0,COUNTIFS(Log!$D$6:$D$1505,D1216,Log!$B$6:$B$1505,"&lt;"&amp;B1216,Log!$X$6:$X$1505,"&gt;="&amp;X1216)=0),"New best",""))</f>
        <v/>
      </c>
      <c r="T1216" s="26" t="n"/>
      <c r="U1216" s="1">
        <f>IF(D1216="","",IFERROR(INDEX(Exercises!$C$6:$C$105,MATCH(D1216,Exercises!$B$6:$B$105,0)),"Other"))</f>
        <v/>
      </c>
      <c r="V1216">
        <f>IF(B1216="","",IF(COUNTIF($B$6:B1216,B1216)=1,1,0))</f>
        <v/>
      </c>
      <c r="W1216">
        <f>IF(B1216="","",B1216-WEEKDAY(B1216,3))</f>
        <v/>
      </c>
      <c r="X1216">
        <f>IF(D1216="","",MAX(IF(N(F1216)=0,0,IF(N(E1216)&gt;0,E1216*(1+F1216/30),F1216)),IF(N(H1216)=0,0,IF(N(G1216)&gt;0,G1216*(1+H1216/30),H1216)),IF(N(J1216)=0,0,IF(N(I1216)&gt;0,I1216*(1+J1216/30),J1216)),IF(N(L1216)=0,0,IF(N(K1216)&gt;0,K1216*(1+L1216/30),L1216)),IF(N(N1216)=0,0,IF(N(M1216)&gt;0,M1216*(1+N1216/30),N1216))))</f>
        <v/>
      </c>
      <c r="Y1216">
        <f>IF(N(X1216)=0,"",X1216+ROW()/1000000000)</f>
        <v/>
      </c>
      <c r="Z1216">
        <f>IF(Y1216="","",IF(COUNTIFS(Log!$D$6:$D$1505,D1216,Log!$Y$6:$Y$1505,"&gt;"&amp;Y1216)=0,1,0))</f>
        <v/>
      </c>
      <c r="AA1216">
        <f>IF(OR(B1216="",D1216=""),"",B1216+ROW()/10000000)</f>
        <v/>
      </c>
      <c r="AB1216">
        <f>IF(AA1216="","",IF(COUNTIFS(Log!$D$6:$D$1505,D1216,Log!$AA$6:$AA$1505,"&gt;"&amp;AA1216)=0,1,0))</f>
        <v/>
      </c>
      <c r="AC1216">
        <f>IF(S1216="New best",AA1216,"")</f>
        <v/>
      </c>
      <c r="AD1216">
        <f>ROW()</f>
        <v/>
      </c>
    </row>
    <row r="1217">
      <c r="A1217" s="1" t="n"/>
      <c r="B1217" s="21" t="n"/>
      <c r="C1217" s="22" t="n"/>
      <c r="D1217" s="23" t="n"/>
      <c r="E1217" s="24" t="n"/>
      <c r="F1217" s="24" t="n"/>
      <c r="G1217" s="24" t="n"/>
      <c r="H1217" s="24" t="n"/>
      <c r="I1217" s="24" t="n"/>
      <c r="J1217" s="24" t="n"/>
      <c r="K1217" s="24" t="n"/>
      <c r="L1217" s="24" t="n"/>
      <c r="M1217" s="24" t="n"/>
      <c r="N1217" s="24" t="n"/>
      <c r="O1217" s="15">
        <f>IF(D1217="","",COUNT(F1217,H1217,J1217,L1217,N1217))</f>
        <v/>
      </c>
      <c r="P1217" s="25">
        <f>IF(D1217="","",N(E1217)*N(F1217)+N(G1217)*N(H1217)+N(I1217)*N(J1217)+N(K1217)*N(L1217)+N(M1217)*N(N1217))</f>
        <v/>
      </c>
      <c r="Q1217" s="18">
        <f>IF(N(X1217)=0,"",IF(IF(N(F1217)=0,0,IF(N(E1217)&gt;0,E1217*(1+F1217/30),F1217))=X1217,IF(N(E1217)&gt;0,E1217&amp;" x "&amp;F1217,F1217&amp;" reps"),IF(IF(N(H1217)=0,0,IF(N(G1217)&gt;0,G1217*(1+H1217/30),H1217))=X1217,IF(N(G1217)&gt;0,G1217&amp;" x "&amp;H1217,H1217&amp;" reps"),IF(IF(N(J1217)=0,0,IF(N(I1217)&gt;0,I1217*(1+J1217/30),J1217))=X1217,IF(N(I1217)&gt;0,I1217&amp;" x "&amp;J1217,J1217&amp;" reps"),IF(IF(N(L1217)=0,0,IF(N(K1217)&gt;0,K1217*(1+L1217/30),L1217))=X1217,IF(N(K1217)&gt;0,K1217&amp;" x "&amp;L1217,L1217&amp;" reps"),IF(IF(N(N1217)=0,0,IF(N(M1217)&gt;0,M1217*(1+N1217/30),N1217))=X1217,IF(N(M1217)&gt;0,M1217&amp;" x "&amp;N1217,N1217&amp;" reps"),""))))))</f>
        <v/>
      </c>
      <c r="R1217" s="20">
        <f>IF(N(X1217)=0,"",ROUND(X1217,1))</f>
        <v/>
      </c>
      <c r="S1217" s="18">
        <f>IF(N(X1217)=0,"",IF(AND(COUNTIFS(Log!$D$6:$D$1505,D1217,Log!$B$6:$B$1505,"&lt;"&amp;B1217)&gt;0,COUNTIFS(Log!$D$6:$D$1505,D1217,Log!$B$6:$B$1505,"&lt;"&amp;B1217,Log!$X$6:$X$1505,"&gt;="&amp;X1217)=0),"New best",""))</f>
        <v/>
      </c>
      <c r="T1217" s="26" t="n"/>
      <c r="U1217" s="1">
        <f>IF(D1217="","",IFERROR(INDEX(Exercises!$C$6:$C$105,MATCH(D1217,Exercises!$B$6:$B$105,0)),"Other"))</f>
        <v/>
      </c>
      <c r="V1217">
        <f>IF(B1217="","",IF(COUNTIF($B$6:B1217,B1217)=1,1,0))</f>
        <v/>
      </c>
      <c r="W1217">
        <f>IF(B1217="","",B1217-WEEKDAY(B1217,3))</f>
        <v/>
      </c>
      <c r="X1217">
        <f>IF(D1217="","",MAX(IF(N(F1217)=0,0,IF(N(E1217)&gt;0,E1217*(1+F1217/30),F1217)),IF(N(H1217)=0,0,IF(N(G1217)&gt;0,G1217*(1+H1217/30),H1217)),IF(N(J1217)=0,0,IF(N(I1217)&gt;0,I1217*(1+J1217/30),J1217)),IF(N(L1217)=0,0,IF(N(K1217)&gt;0,K1217*(1+L1217/30),L1217)),IF(N(N1217)=0,0,IF(N(M1217)&gt;0,M1217*(1+N1217/30),N1217))))</f>
        <v/>
      </c>
      <c r="Y1217">
        <f>IF(N(X1217)=0,"",X1217+ROW()/1000000000)</f>
        <v/>
      </c>
      <c r="Z1217">
        <f>IF(Y1217="","",IF(COUNTIFS(Log!$D$6:$D$1505,D1217,Log!$Y$6:$Y$1505,"&gt;"&amp;Y1217)=0,1,0))</f>
        <v/>
      </c>
      <c r="AA1217">
        <f>IF(OR(B1217="",D1217=""),"",B1217+ROW()/10000000)</f>
        <v/>
      </c>
      <c r="AB1217">
        <f>IF(AA1217="","",IF(COUNTIFS(Log!$D$6:$D$1505,D1217,Log!$AA$6:$AA$1505,"&gt;"&amp;AA1217)=0,1,0))</f>
        <v/>
      </c>
      <c r="AC1217">
        <f>IF(S1217="New best",AA1217,"")</f>
        <v/>
      </c>
      <c r="AD1217">
        <f>ROW()</f>
        <v/>
      </c>
    </row>
    <row r="1218">
      <c r="A1218" s="1" t="n"/>
      <c r="B1218" s="21" t="n"/>
      <c r="C1218" s="22" t="n"/>
      <c r="D1218" s="23" t="n"/>
      <c r="E1218" s="24" t="n"/>
      <c r="F1218" s="24" t="n"/>
      <c r="G1218" s="24" t="n"/>
      <c r="H1218" s="24" t="n"/>
      <c r="I1218" s="24" t="n"/>
      <c r="J1218" s="24" t="n"/>
      <c r="K1218" s="24" t="n"/>
      <c r="L1218" s="24" t="n"/>
      <c r="M1218" s="24" t="n"/>
      <c r="N1218" s="24" t="n"/>
      <c r="O1218" s="15">
        <f>IF(D1218="","",COUNT(F1218,H1218,J1218,L1218,N1218))</f>
        <v/>
      </c>
      <c r="P1218" s="25">
        <f>IF(D1218="","",N(E1218)*N(F1218)+N(G1218)*N(H1218)+N(I1218)*N(J1218)+N(K1218)*N(L1218)+N(M1218)*N(N1218))</f>
        <v/>
      </c>
      <c r="Q1218" s="18">
        <f>IF(N(X1218)=0,"",IF(IF(N(F1218)=0,0,IF(N(E1218)&gt;0,E1218*(1+F1218/30),F1218))=X1218,IF(N(E1218)&gt;0,E1218&amp;" x "&amp;F1218,F1218&amp;" reps"),IF(IF(N(H1218)=0,0,IF(N(G1218)&gt;0,G1218*(1+H1218/30),H1218))=X1218,IF(N(G1218)&gt;0,G1218&amp;" x "&amp;H1218,H1218&amp;" reps"),IF(IF(N(J1218)=0,0,IF(N(I1218)&gt;0,I1218*(1+J1218/30),J1218))=X1218,IF(N(I1218)&gt;0,I1218&amp;" x "&amp;J1218,J1218&amp;" reps"),IF(IF(N(L1218)=0,0,IF(N(K1218)&gt;0,K1218*(1+L1218/30),L1218))=X1218,IF(N(K1218)&gt;0,K1218&amp;" x "&amp;L1218,L1218&amp;" reps"),IF(IF(N(N1218)=0,0,IF(N(M1218)&gt;0,M1218*(1+N1218/30),N1218))=X1218,IF(N(M1218)&gt;0,M1218&amp;" x "&amp;N1218,N1218&amp;" reps"),""))))))</f>
        <v/>
      </c>
      <c r="R1218" s="20">
        <f>IF(N(X1218)=0,"",ROUND(X1218,1))</f>
        <v/>
      </c>
      <c r="S1218" s="18">
        <f>IF(N(X1218)=0,"",IF(AND(COUNTIFS(Log!$D$6:$D$1505,D1218,Log!$B$6:$B$1505,"&lt;"&amp;B1218)&gt;0,COUNTIFS(Log!$D$6:$D$1505,D1218,Log!$B$6:$B$1505,"&lt;"&amp;B1218,Log!$X$6:$X$1505,"&gt;="&amp;X1218)=0),"New best",""))</f>
        <v/>
      </c>
      <c r="T1218" s="26" t="n"/>
      <c r="U1218" s="1">
        <f>IF(D1218="","",IFERROR(INDEX(Exercises!$C$6:$C$105,MATCH(D1218,Exercises!$B$6:$B$105,0)),"Other"))</f>
        <v/>
      </c>
      <c r="V1218">
        <f>IF(B1218="","",IF(COUNTIF($B$6:B1218,B1218)=1,1,0))</f>
        <v/>
      </c>
      <c r="W1218">
        <f>IF(B1218="","",B1218-WEEKDAY(B1218,3))</f>
        <v/>
      </c>
      <c r="X1218">
        <f>IF(D1218="","",MAX(IF(N(F1218)=0,0,IF(N(E1218)&gt;0,E1218*(1+F1218/30),F1218)),IF(N(H1218)=0,0,IF(N(G1218)&gt;0,G1218*(1+H1218/30),H1218)),IF(N(J1218)=0,0,IF(N(I1218)&gt;0,I1218*(1+J1218/30),J1218)),IF(N(L1218)=0,0,IF(N(K1218)&gt;0,K1218*(1+L1218/30),L1218)),IF(N(N1218)=0,0,IF(N(M1218)&gt;0,M1218*(1+N1218/30),N1218))))</f>
        <v/>
      </c>
      <c r="Y1218">
        <f>IF(N(X1218)=0,"",X1218+ROW()/1000000000)</f>
        <v/>
      </c>
      <c r="Z1218">
        <f>IF(Y1218="","",IF(COUNTIFS(Log!$D$6:$D$1505,D1218,Log!$Y$6:$Y$1505,"&gt;"&amp;Y1218)=0,1,0))</f>
        <v/>
      </c>
      <c r="AA1218">
        <f>IF(OR(B1218="",D1218=""),"",B1218+ROW()/10000000)</f>
        <v/>
      </c>
      <c r="AB1218">
        <f>IF(AA1218="","",IF(COUNTIFS(Log!$D$6:$D$1505,D1218,Log!$AA$6:$AA$1505,"&gt;"&amp;AA1218)=0,1,0))</f>
        <v/>
      </c>
      <c r="AC1218">
        <f>IF(S1218="New best",AA1218,"")</f>
        <v/>
      </c>
      <c r="AD1218">
        <f>ROW()</f>
        <v/>
      </c>
    </row>
    <row r="1219">
      <c r="A1219" s="1" t="n"/>
      <c r="B1219" s="21" t="n"/>
      <c r="C1219" s="22" t="n"/>
      <c r="D1219" s="23" t="n"/>
      <c r="E1219" s="24" t="n"/>
      <c r="F1219" s="24" t="n"/>
      <c r="G1219" s="24" t="n"/>
      <c r="H1219" s="24" t="n"/>
      <c r="I1219" s="24" t="n"/>
      <c r="J1219" s="24" t="n"/>
      <c r="K1219" s="24" t="n"/>
      <c r="L1219" s="24" t="n"/>
      <c r="M1219" s="24" t="n"/>
      <c r="N1219" s="24" t="n"/>
      <c r="O1219" s="15">
        <f>IF(D1219="","",COUNT(F1219,H1219,J1219,L1219,N1219))</f>
        <v/>
      </c>
      <c r="P1219" s="25">
        <f>IF(D1219="","",N(E1219)*N(F1219)+N(G1219)*N(H1219)+N(I1219)*N(J1219)+N(K1219)*N(L1219)+N(M1219)*N(N1219))</f>
        <v/>
      </c>
      <c r="Q1219" s="18">
        <f>IF(N(X1219)=0,"",IF(IF(N(F1219)=0,0,IF(N(E1219)&gt;0,E1219*(1+F1219/30),F1219))=X1219,IF(N(E1219)&gt;0,E1219&amp;" x "&amp;F1219,F1219&amp;" reps"),IF(IF(N(H1219)=0,0,IF(N(G1219)&gt;0,G1219*(1+H1219/30),H1219))=X1219,IF(N(G1219)&gt;0,G1219&amp;" x "&amp;H1219,H1219&amp;" reps"),IF(IF(N(J1219)=0,0,IF(N(I1219)&gt;0,I1219*(1+J1219/30),J1219))=X1219,IF(N(I1219)&gt;0,I1219&amp;" x "&amp;J1219,J1219&amp;" reps"),IF(IF(N(L1219)=0,0,IF(N(K1219)&gt;0,K1219*(1+L1219/30),L1219))=X1219,IF(N(K1219)&gt;0,K1219&amp;" x "&amp;L1219,L1219&amp;" reps"),IF(IF(N(N1219)=0,0,IF(N(M1219)&gt;0,M1219*(1+N1219/30),N1219))=X1219,IF(N(M1219)&gt;0,M1219&amp;" x "&amp;N1219,N1219&amp;" reps"),""))))))</f>
        <v/>
      </c>
      <c r="R1219" s="20">
        <f>IF(N(X1219)=0,"",ROUND(X1219,1))</f>
        <v/>
      </c>
      <c r="S1219" s="18">
        <f>IF(N(X1219)=0,"",IF(AND(COUNTIFS(Log!$D$6:$D$1505,D1219,Log!$B$6:$B$1505,"&lt;"&amp;B1219)&gt;0,COUNTIFS(Log!$D$6:$D$1505,D1219,Log!$B$6:$B$1505,"&lt;"&amp;B1219,Log!$X$6:$X$1505,"&gt;="&amp;X1219)=0),"New best",""))</f>
        <v/>
      </c>
      <c r="T1219" s="26" t="n"/>
      <c r="U1219" s="1">
        <f>IF(D1219="","",IFERROR(INDEX(Exercises!$C$6:$C$105,MATCH(D1219,Exercises!$B$6:$B$105,0)),"Other"))</f>
        <v/>
      </c>
      <c r="V1219">
        <f>IF(B1219="","",IF(COUNTIF($B$6:B1219,B1219)=1,1,0))</f>
        <v/>
      </c>
      <c r="W1219">
        <f>IF(B1219="","",B1219-WEEKDAY(B1219,3))</f>
        <v/>
      </c>
      <c r="X1219">
        <f>IF(D1219="","",MAX(IF(N(F1219)=0,0,IF(N(E1219)&gt;0,E1219*(1+F1219/30),F1219)),IF(N(H1219)=0,0,IF(N(G1219)&gt;0,G1219*(1+H1219/30),H1219)),IF(N(J1219)=0,0,IF(N(I1219)&gt;0,I1219*(1+J1219/30),J1219)),IF(N(L1219)=0,0,IF(N(K1219)&gt;0,K1219*(1+L1219/30),L1219)),IF(N(N1219)=0,0,IF(N(M1219)&gt;0,M1219*(1+N1219/30),N1219))))</f>
        <v/>
      </c>
      <c r="Y1219">
        <f>IF(N(X1219)=0,"",X1219+ROW()/1000000000)</f>
        <v/>
      </c>
      <c r="Z1219">
        <f>IF(Y1219="","",IF(COUNTIFS(Log!$D$6:$D$1505,D1219,Log!$Y$6:$Y$1505,"&gt;"&amp;Y1219)=0,1,0))</f>
        <v/>
      </c>
      <c r="AA1219">
        <f>IF(OR(B1219="",D1219=""),"",B1219+ROW()/10000000)</f>
        <v/>
      </c>
      <c r="AB1219">
        <f>IF(AA1219="","",IF(COUNTIFS(Log!$D$6:$D$1505,D1219,Log!$AA$6:$AA$1505,"&gt;"&amp;AA1219)=0,1,0))</f>
        <v/>
      </c>
      <c r="AC1219">
        <f>IF(S1219="New best",AA1219,"")</f>
        <v/>
      </c>
      <c r="AD1219">
        <f>ROW()</f>
        <v/>
      </c>
    </row>
    <row r="1220">
      <c r="A1220" s="1" t="n"/>
      <c r="B1220" s="21" t="n"/>
      <c r="C1220" s="22" t="n"/>
      <c r="D1220" s="23" t="n"/>
      <c r="E1220" s="24" t="n"/>
      <c r="F1220" s="24" t="n"/>
      <c r="G1220" s="24" t="n"/>
      <c r="H1220" s="24" t="n"/>
      <c r="I1220" s="24" t="n"/>
      <c r="J1220" s="24" t="n"/>
      <c r="K1220" s="24" t="n"/>
      <c r="L1220" s="24" t="n"/>
      <c r="M1220" s="24" t="n"/>
      <c r="N1220" s="24" t="n"/>
      <c r="O1220" s="15">
        <f>IF(D1220="","",COUNT(F1220,H1220,J1220,L1220,N1220))</f>
        <v/>
      </c>
      <c r="P1220" s="25">
        <f>IF(D1220="","",N(E1220)*N(F1220)+N(G1220)*N(H1220)+N(I1220)*N(J1220)+N(K1220)*N(L1220)+N(M1220)*N(N1220))</f>
        <v/>
      </c>
      <c r="Q1220" s="18">
        <f>IF(N(X1220)=0,"",IF(IF(N(F1220)=0,0,IF(N(E1220)&gt;0,E1220*(1+F1220/30),F1220))=X1220,IF(N(E1220)&gt;0,E1220&amp;" x "&amp;F1220,F1220&amp;" reps"),IF(IF(N(H1220)=0,0,IF(N(G1220)&gt;0,G1220*(1+H1220/30),H1220))=X1220,IF(N(G1220)&gt;0,G1220&amp;" x "&amp;H1220,H1220&amp;" reps"),IF(IF(N(J1220)=0,0,IF(N(I1220)&gt;0,I1220*(1+J1220/30),J1220))=X1220,IF(N(I1220)&gt;0,I1220&amp;" x "&amp;J1220,J1220&amp;" reps"),IF(IF(N(L1220)=0,0,IF(N(K1220)&gt;0,K1220*(1+L1220/30),L1220))=X1220,IF(N(K1220)&gt;0,K1220&amp;" x "&amp;L1220,L1220&amp;" reps"),IF(IF(N(N1220)=0,0,IF(N(M1220)&gt;0,M1220*(1+N1220/30),N1220))=X1220,IF(N(M1220)&gt;0,M1220&amp;" x "&amp;N1220,N1220&amp;" reps"),""))))))</f>
        <v/>
      </c>
      <c r="R1220" s="20">
        <f>IF(N(X1220)=0,"",ROUND(X1220,1))</f>
        <v/>
      </c>
      <c r="S1220" s="18">
        <f>IF(N(X1220)=0,"",IF(AND(COUNTIFS(Log!$D$6:$D$1505,D1220,Log!$B$6:$B$1505,"&lt;"&amp;B1220)&gt;0,COUNTIFS(Log!$D$6:$D$1505,D1220,Log!$B$6:$B$1505,"&lt;"&amp;B1220,Log!$X$6:$X$1505,"&gt;="&amp;X1220)=0),"New best",""))</f>
        <v/>
      </c>
      <c r="T1220" s="26" t="n"/>
      <c r="U1220" s="1">
        <f>IF(D1220="","",IFERROR(INDEX(Exercises!$C$6:$C$105,MATCH(D1220,Exercises!$B$6:$B$105,0)),"Other"))</f>
        <v/>
      </c>
      <c r="V1220">
        <f>IF(B1220="","",IF(COUNTIF($B$6:B1220,B1220)=1,1,0))</f>
        <v/>
      </c>
      <c r="W1220">
        <f>IF(B1220="","",B1220-WEEKDAY(B1220,3))</f>
        <v/>
      </c>
      <c r="X1220">
        <f>IF(D1220="","",MAX(IF(N(F1220)=0,0,IF(N(E1220)&gt;0,E1220*(1+F1220/30),F1220)),IF(N(H1220)=0,0,IF(N(G1220)&gt;0,G1220*(1+H1220/30),H1220)),IF(N(J1220)=0,0,IF(N(I1220)&gt;0,I1220*(1+J1220/30),J1220)),IF(N(L1220)=0,0,IF(N(K1220)&gt;0,K1220*(1+L1220/30),L1220)),IF(N(N1220)=0,0,IF(N(M1220)&gt;0,M1220*(1+N1220/30),N1220))))</f>
        <v/>
      </c>
      <c r="Y1220">
        <f>IF(N(X1220)=0,"",X1220+ROW()/1000000000)</f>
        <v/>
      </c>
      <c r="Z1220">
        <f>IF(Y1220="","",IF(COUNTIFS(Log!$D$6:$D$1505,D1220,Log!$Y$6:$Y$1505,"&gt;"&amp;Y1220)=0,1,0))</f>
        <v/>
      </c>
      <c r="AA1220">
        <f>IF(OR(B1220="",D1220=""),"",B1220+ROW()/10000000)</f>
        <v/>
      </c>
      <c r="AB1220">
        <f>IF(AA1220="","",IF(COUNTIFS(Log!$D$6:$D$1505,D1220,Log!$AA$6:$AA$1505,"&gt;"&amp;AA1220)=0,1,0))</f>
        <v/>
      </c>
      <c r="AC1220">
        <f>IF(S1220="New best",AA1220,"")</f>
        <v/>
      </c>
      <c r="AD1220">
        <f>ROW()</f>
        <v/>
      </c>
    </row>
    <row r="1221">
      <c r="A1221" s="1" t="n"/>
      <c r="B1221" s="21" t="n"/>
      <c r="C1221" s="22" t="n"/>
      <c r="D1221" s="23" t="n"/>
      <c r="E1221" s="24" t="n"/>
      <c r="F1221" s="24" t="n"/>
      <c r="G1221" s="24" t="n"/>
      <c r="H1221" s="24" t="n"/>
      <c r="I1221" s="24" t="n"/>
      <c r="J1221" s="24" t="n"/>
      <c r="K1221" s="24" t="n"/>
      <c r="L1221" s="24" t="n"/>
      <c r="M1221" s="24" t="n"/>
      <c r="N1221" s="24" t="n"/>
      <c r="O1221" s="15">
        <f>IF(D1221="","",COUNT(F1221,H1221,J1221,L1221,N1221))</f>
        <v/>
      </c>
      <c r="P1221" s="25">
        <f>IF(D1221="","",N(E1221)*N(F1221)+N(G1221)*N(H1221)+N(I1221)*N(J1221)+N(K1221)*N(L1221)+N(M1221)*N(N1221))</f>
        <v/>
      </c>
      <c r="Q1221" s="18">
        <f>IF(N(X1221)=0,"",IF(IF(N(F1221)=0,0,IF(N(E1221)&gt;0,E1221*(1+F1221/30),F1221))=X1221,IF(N(E1221)&gt;0,E1221&amp;" x "&amp;F1221,F1221&amp;" reps"),IF(IF(N(H1221)=0,0,IF(N(G1221)&gt;0,G1221*(1+H1221/30),H1221))=X1221,IF(N(G1221)&gt;0,G1221&amp;" x "&amp;H1221,H1221&amp;" reps"),IF(IF(N(J1221)=0,0,IF(N(I1221)&gt;0,I1221*(1+J1221/30),J1221))=X1221,IF(N(I1221)&gt;0,I1221&amp;" x "&amp;J1221,J1221&amp;" reps"),IF(IF(N(L1221)=0,0,IF(N(K1221)&gt;0,K1221*(1+L1221/30),L1221))=X1221,IF(N(K1221)&gt;0,K1221&amp;" x "&amp;L1221,L1221&amp;" reps"),IF(IF(N(N1221)=0,0,IF(N(M1221)&gt;0,M1221*(1+N1221/30),N1221))=X1221,IF(N(M1221)&gt;0,M1221&amp;" x "&amp;N1221,N1221&amp;" reps"),""))))))</f>
        <v/>
      </c>
      <c r="R1221" s="20">
        <f>IF(N(X1221)=0,"",ROUND(X1221,1))</f>
        <v/>
      </c>
      <c r="S1221" s="18">
        <f>IF(N(X1221)=0,"",IF(AND(COUNTIFS(Log!$D$6:$D$1505,D1221,Log!$B$6:$B$1505,"&lt;"&amp;B1221)&gt;0,COUNTIFS(Log!$D$6:$D$1505,D1221,Log!$B$6:$B$1505,"&lt;"&amp;B1221,Log!$X$6:$X$1505,"&gt;="&amp;X1221)=0),"New best",""))</f>
        <v/>
      </c>
      <c r="T1221" s="26" t="n"/>
      <c r="U1221" s="1">
        <f>IF(D1221="","",IFERROR(INDEX(Exercises!$C$6:$C$105,MATCH(D1221,Exercises!$B$6:$B$105,0)),"Other"))</f>
        <v/>
      </c>
      <c r="V1221">
        <f>IF(B1221="","",IF(COUNTIF($B$6:B1221,B1221)=1,1,0))</f>
        <v/>
      </c>
      <c r="W1221">
        <f>IF(B1221="","",B1221-WEEKDAY(B1221,3))</f>
        <v/>
      </c>
      <c r="X1221">
        <f>IF(D1221="","",MAX(IF(N(F1221)=0,0,IF(N(E1221)&gt;0,E1221*(1+F1221/30),F1221)),IF(N(H1221)=0,0,IF(N(G1221)&gt;0,G1221*(1+H1221/30),H1221)),IF(N(J1221)=0,0,IF(N(I1221)&gt;0,I1221*(1+J1221/30),J1221)),IF(N(L1221)=0,0,IF(N(K1221)&gt;0,K1221*(1+L1221/30),L1221)),IF(N(N1221)=0,0,IF(N(M1221)&gt;0,M1221*(1+N1221/30),N1221))))</f>
        <v/>
      </c>
      <c r="Y1221">
        <f>IF(N(X1221)=0,"",X1221+ROW()/1000000000)</f>
        <v/>
      </c>
      <c r="Z1221">
        <f>IF(Y1221="","",IF(COUNTIFS(Log!$D$6:$D$1505,D1221,Log!$Y$6:$Y$1505,"&gt;"&amp;Y1221)=0,1,0))</f>
        <v/>
      </c>
      <c r="AA1221">
        <f>IF(OR(B1221="",D1221=""),"",B1221+ROW()/10000000)</f>
        <v/>
      </c>
      <c r="AB1221">
        <f>IF(AA1221="","",IF(COUNTIFS(Log!$D$6:$D$1505,D1221,Log!$AA$6:$AA$1505,"&gt;"&amp;AA1221)=0,1,0))</f>
        <v/>
      </c>
      <c r="AC1221">
        <f>IF(S1221="New best",AA1221,"")</f>
        <v/>
      </c>
      <c r="AD1221">
        <f>ROW()</f>
        <v/>
      </c>
    </row>
    <row r="1222">
      <c r="A1222" s="1" t="n"/>
      <c r="B1222" s="21" t="n"/>
      <c r="C1222" s="22" t="n"/>
      <c r="D1222" s="23" t="n"/>
      <c r="E1222" s="24" t="n"/>
      <c r="F1222" s="24" t="n"/>
      <c r="G1222" s="24" t="n"/>
      <c r="H1222" s="24" t="n"/>
      <c r="I1222" s="24" t="n"/>
      <c r="J1222" s="24" t="n"/>
      <c r="K1222" s="24" t="n"/>
      <c r="L1222" s="24" t="n"/>
      <c r="M1222" s="24" t="n"/>
      <c r="N1222" s="24" t="n"/>
      <c r="O1222" s="15">
        <f>IF(D1222="","",COUNT(F1222,H1222,J1222,L1222,N1222))</f>
        <v/>
      </c>
      <c r="P1222" s="25">
        <f>IF(D1222="","",N(E1222)*N(F1222)+N(G1222)*N(H1222)+N(I1222)*N(J1222)+N(K1222)*N(L1222)+N(M1222)*N(N1222))</f>
        <v/>
      </c>
      <c r="Q1222" s="18">
        <f>IF(N(X1222)=0,"",IF(IF(N(F1222)=0,0,IF(N(E1222)&gt;0,E1222*(1+F1222/30),F1222))=X1222,IF(N(E1222)&gt;0,E1222&amp;" x "&amp;F1222,F1222&amp;" reps"),IF(IF(N(H1222)=0,0,IF(N(G1222)&gt;0,G1222*(1+H1222/30),H1222))=X1222,IF(N(G1222)&gt;0,G1222&amp;" x "&amp;H1222,H1222&amp;" reps"),IF(IF(N(J1222)=0,0,IF(N(I1222)&gt;0,I1222*(1+J1222/30),J1222))=X1222,IF(N(I1222)&gt;0,I1222&amp;" x "&amp;J1222,J1222&amp;" reps"),IF(IF(N(L1222)=0,0,IF(N(K1222)&gt;0,K1222*(1+L1222/30),L1222))=X1222,IF(N(K1222)&gt;0,K1222&amp;" x "&amp;L1222,L1222&amp;" reps"),IF(IF(N(N1222)=0,0,IF(N(M1222)&gt;0,M1222*(1+N1222/30),N1222))=X1222,IF(N(M1222)&gt;0,M1222&amp;" x "&amp;N1222,N1222&amp;" reps"),""))))))</f>
        <v/>
      </c>
      <c r="R1222" s="20">
        <f>IF(N(X1222)=0,"",ROUND(X1222,1))</f>
        <v/>
      </c>
      <c r="S1222" s="18">
        <f>IF(N(X1222)=0,"",IF(AND(COUNTIFS(Log!$D$6:$D$1505,D1222,Log!$B$6:$B$1505,"&lt;"&amp;B1222)&gt;0,COUNTIFS(Log!$D$6:$D$1505,D1222,Log!$B$6:$B$1505,"&lt;"&amp;B1222,Log!$X$6:$X$1505,"&gt;="&amp;X1222)=0),"New best",""))</f>
        <v/>
      </c>
      <c r="T1222" s="26" t="n"/>
      <c r="U1222" s="1">
        <f>IF(D1222="","",IFERROR(INDEX(Exercises!$C$6:$C$105,MATCH(D1222,Exercises!$B$6:$B$105,0)),"Other"))</f>
        <v/>
      </c>
      <c r="V1222">
        <f>IF(B1222="","",IF(COUNTIF($B$6:B1222,B1222)=1,1,0))</f>
        <v/>
      </c>
      <c r="W1222">
        <f>IF(B1222="","",B1222-WEEKDAY(B1222,3))</f>
        <v/>
      </c>
      <c r="X1222">
        <f>IF(D1222="","",MAX(IF(N(F1222)=0,0,IF(N(E1222)&gt;0,E1222*(1+F1222/30),F1222)),IF(N(H1222)=0,0,IF(N(G1222)&gt;0,G1222*(1+H1222/30),H1222)),IF(N(J1222)=0,0,IF(N(I1222)&gt;0,I1222*(1+J1222/30),J1222)),IF(N(L1222)=0,0,IF(N(K1222)&gt;0,K1222*(1+L1222/30),L1222)),IF(N(N1222)=0,0,IF(N(M1222)&gt;0,M1222*(1+N1222/30),N1222))))</f>
        <v/>
      </c>
      <c r="Y1222">
        <f>IF(N(X1222)=0,"",X1222+ROW()/1000000000)</f>
        <v/>
      </c>
      <c r="Z1222">
        <f>IF(Y1222="","",IF(COUNTIFS(Log!$D$6:$D$1505,D1222,Log!$Y$6:$Y$1505,"&gt;"&amp;Y1222)=0,1,0))</f>
        <v/>
      </c>
      <c r="AA1222">
        <f>IF(OR(B1222="",D1222=""),"",B1222+ROW()/10000000)</f>
        <v/>
      </c>
      <c r="AB1222">
        <f>IF(AA1222="","",IF(COUNTIFS(Log!$D$6:$D$1505,D1222,Log!$AA$6:$AA$1505,"&gt;"&amp;AA1222)=0,1,0))</f>
        <v/>
      </c>
      <c r="AC1222">
        <f>IF(S1222="New best",AA1222,"")</f>
        <v/>
      </c>
      <c r="AD1222">
        <f>ROW()</f>
        <v/>
      </c>
    </row>
    <row r="1223">
      <c r="A1223" s="1" t="n"/>
      <c r="B1223" s="21" t="n"/>
      <c r="C1223" s="22" t="n"/>
      <c r="D1223" s="23" t="n"/>
      <c r="E1223" s="24" t="n"/>
      <c r="F1223" s="24" t="n"/>
      <c r="G1223" s="24" t="n"/>
      <c r="H1223" s="24" t="n"/>
      <c r="I1223" s="24" t="n"/>
      <c r="J1223" s="24" t="n"/>
      <c r="K1223" s="24" t="n"/>
      <c r="L1223" s="24" t="n"/>
      <c r="M1223" s="24" t="n"/>
      <c r="N1223" s="24" t="n"/>
      <c r="O1223" s="15">
        <f>IF(D1223="","",COUNT(F1223,H1223,J1223,L1223,N1223))</f>
        <v/>
      </c>
      <c r="P1223" s="25">
        <f>IF(D1223="","",N(E1223)*N(F1223)+N(G1223)*N(H1223)+N(I1223)*N(J1223)+N(K1223)*N(L1223)+N(M1223)*N(N1223))</f>
        <v/>
      </c>
      <c r="Q1223" s="18">
        <f>IF(N(X1223)=0,"",IF(IF(N(F1223)=0,0,IF(N(E1223)&gt;0,E1223*(1+F1223/30),F1223))=X1223,IF(N(E1223)&gt;0,E1223&amp;" x "&amp;F1223,F1223&amp;" reps"),IF(IF(N(H1223)=0,0,IF(N(G1223)&gt;0,G1223*(1+H1223/30),H1223))=X1223,IF(N(G1223)&gt;0,G1223&amp;" x "&amp;H1223,H1223&amp;" reps"),IF(IF(N(J1223)=0,0,IF(N(I1223)&gt;0,I1223*(1+J1223/30),J1223))=X1223,IF(N(I1223)&gt;0,I1223&amp;" x "&amp;J1223,J1223&amp;" reps"),IF(IF(N(L1223)=0,0,IF(N(K1223)&gt;0,K1223*(1+L1223/30),L1223))=X1223,IF(N(K1223)&gt;0,K1223&amp;" x "&amp;L1223,L1223&amp;" reps"),IF(IF(N(N1223)=0,0,IF(N(M1223)&gt;0,M1223*(1+N1223/30),N1223))=X1223,IF(N(M1223)&gt;0,M1223&amp;" x "&amp;N1223,N1223&amp;" reps"),""))))))</f>
        <v/>
      </c>
      <c r="R1223" s="20">
        <f>IF(N(X1223)=0,"",ROUND(X1223,1))</f>
        <v/>
      </c>
      <c r="S1223" s="18">
        <f>IF(N(X1223)=0,"",IF(AND(COUNTIFS(Log!$D$6:$D$1505,D1223,Log!$B$6:$B$1505,"&lt;"&amp;B1223)&gt;0,COUNTIFS(Log!$D$6:$D$1505,D1223,Log!$B$6:$B$1505,"&lt;"&amp;B1223,Log!$X$6:$X$1505,"&gt;="&amp;X1223)=0),"New best",""))</f>
        <v/>
      </c>
      <c r="T1223" s="26" t="n"/>
      <c r="U1223" s="1">
        <f>IF(D1223="","",IFERROR(INDEX(Exercises!$C$6:$C$105,MATCH(D1223,Exercises!$B$6:$B$105,0)),"Other"))</f>
        <v/>
      </c>
      <c r="V1223">
        <f>IF(B1223="","",IF(COUNTIF($B$6:B1223,B1223)=1,1,0))</f>
        <v/>
      </c>
      <c r="W1223">
        <f>IF(B1223="","",B1223-WEEKDAY(B1223,3))</f>
        <v/>
      </c>
      <c r="X1223">
        <f>IF(D1223="","",MAX(IF(N(F1223)=0,0,IF(N(E1223)&gt;0,E1223*(1+F1223/30),F1223)),IF(N(H1223)=0,0,IF(N(G1223)&gt;0,G1223*(1+H1223/30),H1223)),IF(N(J1223)=0,0,IF(N(I1223)&gt;0,I1223*(1+J1223/30),J1223)),IF(N(L1223)=0,0,IF(N(K1223)&gt;0,K1223*(1+L1223/30),L1223)),IF(N(N1223)=0,0,IF(N(M1223)&gt;0,M1223*(1+N1223/30),N1223))))</f>
        <v/>
      </c>
      <c r="Y1223">
        <f>IF(N(X1223)=0,"",X1223+ROW()/1000000000)</f>
        <v/>
      </c>
      <c r="Z1223">
        <f>IF(Y1223="","",IF(COUNTIFS(Log!$D$6:$D$1505,D1223,Log!$Y$6:$Y$1505,"&gt;"&amp;Y1223)=0,1,0))</f>
        <v/>
      </c>
      <c r="AA1223">
        <f>IF(OR(B1223="",D1223=""),"",B1223+ROW()/10000000)</f>
        <v/>
      </c>
      <c r="AB1223">
        <f>IF(AA1223="","",IF(COUNTIFS(Log!$D$6:$D$1505,D1223,Log!$AA$6:$AA$1505,"&gt;"&amp;AA1223)=0,1,0))</f>
        <v/>
      </c>
      <c r="AC1223">
        <f>IF(S1223="New best",AA1223,"")</f>
        <v/>
      </c>
      <c r="AD1223">
        <f>ROW()</f>
        <v/>
      </c>
    </row>
    <row r="1224">
      <c r="A1224" s="1" t="n"/>
      <c r="B1224" s="21" t="n"/>
      <c r="C1224" s="22" t="n"/>
      <c r="D1224" s="23" t="n"/>
      <c r="E1224" s="24" t="n"/>
      <c r="F1224" s="24" t="n"/>
      <c r="G1224" s="24" t="n"/>
      <c r="H1224" s="24" t="n"/>
      <c r="I1224" s="24" t="n"/>
      <c r="J1224" s="24" t="n"/>
      <c r="K1224" s="24" t="n"/>
      <c r="L1224" s="24" t="n"/>
      <c r="M1224" s="24" t="n"/>
      <c r="N1224" s="24" t="n"/>
      <c r="O1224" s="15">
        <f>IF(D1224="","",COUNT(F1224,H1224,J1224,L1224,N1224))</f>
        <v/>
      </c>
      <c r="P1224" s="25">
        <f>IF(D1224="","",N(E1224)*N(F1224)+N(G1224)*N(H1224)+N(I1224)*N(J1224)+N(K1224)*N(L1224)+N(M1224)*N(N1224))</f>
        <v/>
      </c>
      <c r="Q1224" s="18">
        <f>IF(N(X1224)=0,"",IF(IF(N(F1224)=0,0,IF(N(E1224)&gt;0,E1224*(1+F1224/30),F1224))=X1224,IF(N(E1224)&gt;0,E1224&amp;" x "&amp;F1224,F1224&amp;" reps"),IF(IF(N(H1224)=0,0,IF(N(G1224)&gt;0,G1224*(1+H1224/30),H1224))=X1224,IF(N(G1224)&gt;0,G1224&amp;" x "&amp;H1224,H1224&amp;" reps"),IF(IF(N(J1224)=0,0,IF(N(I1224)&gt;0,I1224*(1+J1224/30),J1224))=X1224,IF(N(I1224)&gt;0,I1224&amp;" x "&amp;J1224,J1224&amp;" reps"),IF(IF(N(L1224)=0,0,IF(N(K1224)&gt;0,K1224*(1+L1224/30),L1224))=X1224,IF(N(K1224)&gt;0,K1224&amp;" x "&amp;L1224,L1224&amp;" reps"),IF(IF(N(N1224)=0,0,IF(N(M1224)&gt;0,M1224*(1+N1224/30),N1224))=X1224,IF(N(M1224)&gt;0,M1224&amp;" x "&amp;N1224,N1224&amp;" reps"),""))))))</f>
        <v/>
      </c>
      <c r="R1224" s="20">
        <f>IF(N(X1224)=0,"",ROUND(X1224,1))</f>
        <v/>
      </c>
      <c r="S1224" s="18">
        <f>IF(N(X1224)=0,"",IF(AND(COUNTIFS(Log!$D$6:$D$1505,D1224,Log!$B$6:$B$1505,"&lt;"&amp;B1224)&gt;0,COUNTIFS(Log!$D$6:$D$1505,D1224,Log!$B$6:$B$1505,"&lt;"&amp;B1224,Log!$X$6:$X$1505,"&gt;="&amp;X1224)=0),"New best",""))</f>
        <v/>
      </c>
      <c r="T1224" s="26" t="n"/>
      <c r="U1224" s="1">
        <f>IF(D1224="","",IFERROR(INDEX(Exercises!$C$6:$C$105,MATCH(D1224,Exercises!$B$6:$B$105,0)),"Other"))</f>
        <v/>
      </c>
      <c r="V1224">
        <f>IF(B1224="","",IF(COUNTIF($B$6:B1224,B1224)=1,1,0))</f>
        <v/>
      </c>
      <c r="W1224">
        <f>IF(B1224="","",B1224-WEEKDAY(B1224,3))</f>
        <v/>
      </c>
      <c r="X1224">
        <f>IF(D1224="","",MAX(IF(N(F1224)=0,0,IF(N(E1224)&gt;0,E1224*(1+F1224/30),F1224)),IF(N(H1224)=0,0,IF(N(G1224)&gt;0,G1224*(1+H1224/30),H1224)),IF(N(J1224)=0,0,IF(N(I1224)&gt;0,I1224*(1+J1224/30),J1224)),IF(N(L1224)=0,0,IF(N(K1224)&gt;0,K1224*(1+L1224/30),L1224)),IF(N(N1224)=0,0,IF(N(M1224)&gt;0,M1224*(1+N1224/30),N1224))))</f>
        <v/>
      </c>
      <c r="Y1224">
        <f>IF(N(X1224)=0,"",X1224+ROW()/1000000000)</f>
        <v/>
      </c>
      <c r="Z1224">
        <f>IF(Y1224="","",IF(COUNTIFS(Log!$D$6:$D$1505,D1224,Log!$Y$6:$Y$1505,"&gt;"&amp;Y1224)=0,1,0))</f>
        <v/>
      </c>
      <c r="AA1224">
        <f>IF(OR(B1224="",D1224=""),"",B1224+ROW()/10000000)</f>
        <v/>
      </c>
      <c r="AB1224">
        <f>IF(AA1224="","",IF(COUNTIFS(Log!$D$6:$D$1505,D1224,Log!$AA$6:$AA$1505,"&gt;"&amp;AA1224)=0,1,0))</f>
        <v/>
      </c>
      <c r="AC1224">
        <f>IF(S1224="New best",AA1224,"")</f>
        <v/>
      </c>
      <c r="AD1224">
        <f>ROW()</f>
        <v/>
      </c>
    </row>
    <row r="1225">
      <c r="A1225" s="1" t="n"/>
      <c r="B1225" s="21" t="n"/>
      <c r="C1225" s="22" t="n"/>
      <c r="D1225" s="23" t="n"/>
      <c r="E1225" s="24" t="n"/>
      <c r="F1225" s="24" t="n"/>
      <c r="G1225" s="24" t="n"/>
      <c r="H1225" s="24" t="n"/>
      <c r="I1225" s="24" t="n"/>
      <c r="J1225" s="24" t="n"/>
      <c r="K1225" s="24" t="n"/>
      <c r="L1225" s="24" t="n"/>
      <c r="M1225" s="24" t="n"/>
      <c r="N1225" s="24" t="n"/>
      <c r="O1225" s="15">
        <f>IF(D1225="","",COUNT(F1225,H1225,J1225,L1225,N1225))</f>
        <v/>
      </c>
      <c r="P1225" s="25">
        <f>IF(D1225="","",N(E1225)*N(F1225)+N(G1225)*N(H1225)+N(I1225)*N(J1225)+N(K1225)*N(L1225)+N(M1225)*N(N1225))</f>
        <v/>
      </c>
      <c r="Q1225" s="18">
        <f>IF(N(X1225)=0,"",IF(IF(N(F1225)=0,0,IF(N(E1225)&gt;0,E1225*(1+F1225/30),F1225))=X1225,IF(N(E1225)&gt;0,E1225&amp;" x "&amp;F1225,F1225&amp;" reps"),IF(IF(N(H1225)=0,0,IF(N(G1225)&gt;0,G1225*(1+H1225/30),H1225))=X1225,IF(N(G1225)&gt;0,G1225&amp;" x "&amp;H1225,H1225&amp;" reps"),IF(IF(N(J1225)=0,0,IF(N(I1225)&gt;0,I1225*(1+J1225/30),J1225))=X1225,IF(N(I1225)&gt;0,I1225&amp;" x "&amp;J1225,J1225&amp;" reps"),IF(IF(N(L1225)=0,0,IF(N(K1225)&gt;0,K1225*(1+L1225/30),L1225))=X1225,IF(N(K1225)&gt;0,K1225&amp;" x "&amp;L1225,L1225&amp;" reps"),IF(IF(N(N1225)=0,0,IF(N(M1225)&gt;0,M1225*(1+N1225/30),N1225))=X1225,IF(N(M1225)&gt;0,M1225&amp;" x "&amp;N1225,N1225&amp;" reps"),""))))))</f>
        <v/>
      </c>
      <c r="R1225" s="20">
        <f>IF(N(X1225)=0,"",ROUND(X1225,1))</f>
        <v/>
      </c>
      <c r="S1225" s="18">
        <f>IF(N(X1225)=0,"",IF(AND(COUNTIFS(Log!$D$6:$D$1505,D1225,Log!$B$6:$B$1505,"&lt;"&amp;B1225)&gt;0,COUNTIFS(Log!$D$6:$D$1505,D1225,Log!$B$6:$B$1505,"&lt;"&amp;B1225,Log!$X$6:$X$1505,"&gt;="&amp;X1225)=0),"New best",""))</f>
        <v/>
      </c>
      <c r="T1225" s="26" t="n"/>
      <c r="U1225" s="1">
        <f>IF(D1225="","",IFERROR(INDEX(Exercises!$C$6:$C$105,MATCH(D1225,Exercises!$B$6:$B$105,0)),"Other"))</f>
        <v/>
      </c>
      <c r="V1225">
        <f>IF(B1225="","",IF(COUNTIF($B$6:B1225,B1225)=1,1,0))</f>
        <v/>
      </c>
      <c r="W1225">
        <f>IF(B1225="","",B1225-WEEKDAY(B1225,3))</f>
        <v/>
      </c>
      <c r="X1225">
        <f>IF(D1225="","",MAX(IF(N(F1225)=0,0,IF(N(E1225)&gt;0,E1225*(1+F1225/30),F1225)),IF(N(H1225)=0,0,IF(N(G1225)&gt;0,G1225*(1+H1225/30),H1225)),IF(N(J1225)=0,0,IF(N(I1225)&gt;0,I1225*(1+J1225/30),J1225)),IF(N(L1225)=0,0,IF(N(K1225)&gt;0,K1225*(1+L1225/30),L1225)),IF(N(N1225)=0,0,IF(N(M1225)&gt;0,M1225*(1+N1225/30),N1225))))</f>
        <v/>
      </c>
      <c r="Y1225">
        <f>IF(N(X1225)=0,"",X1225+ROW()/1000000000)</f>
        <v/>
      </c>
      <c r="Z1225">
        <f>IF(Y1225="","",IF(COUNTIFS(Log!$D$6:$D$1505,D1225,Log!$Y$6:$Y$1505,"&gt;"&amp;Y1225)=0,1,0))</f>
        <v/>
      </c>
      <c r="AA1225">
        <f>IF(OR(B1225="",D1225=""),"",B1225+ROW()/10000000)</f>
        <v/>
      </c>
      <c r="AB1225">
        <f>IF(AA1225="","",IF(COUNTIFS(Log!$D$6:$D$1505,D1225,Log!$AA$6:$AA$1505,"&gt;"&amp;AA1225)=0,1,0))</f>
        <v/>
      </c>
      <c r="AC1225">
        <f>IF(S1225="New best",AA1225,"")</f>
        <v/>
      </c>
      <c r="AD1225">
        <f>ROW()</f>
        <v/>
      </c>
    </row>
    <row r="1226">
      <c r="A1226" s="1" t="n"/>
      <c r="B1226" s="21" t="n"/>
      <c r="C1226" s="22" t="n"/>
      <c r="D1226" s="23" t="n"/>
      <c r="E1226" s="24" t="n"/>
      <c r="F1226" s="24" t="n"/>
      <c r="G1226" s="24" t="n"/>
      <c r="H1226" s="24" t="n"/>
      <c r="I1226" s="24" t="n"/>
      <c r="J1226" s="24" t="n"/>
      <c r="K1226" s="24" t="n"/>
      <c r="L1226" s="24" t="n"/>
      <c r="M1226" s="24" t="n"/>
      <c r="N1226" s="24" t="n"/>
      <c r="O1226" s="15">
        <f>IF(D1226="","",COUNT(F1226,H1226,J1226,L1226,N1226))</f>
        <v/>
      </c>
      <c r="P1226" s="25">
        <f>IF(D1226="","",N(E1226)*N(F1226)+N(G1226)*N(H1226)+N(I1226)*N(J1226)+N(K1226)*N(L1226)+N(M1226)*N(N1226))</f>
        <v/>
      </c>
      <c r="Q1226" s="18">
        <f>IF(N(X1226)=0,"",IF(IF(N(F1226)=0,0,IF(N(E1226)&gt;0,E1226*(1+F1226/30),F1226))=X1226,IF(N(E1226)&gt;0,E1226&amp;" x "&amp;F1226,F1226&amp;" reps"),IF(IF(N(H1226)=0,0,IF(N(G1226)&gt;0,G1226*(1+H1226/30),H1226))=X1226,IF(N(G1226)&gt;0,G1226&amp;" x "&amp;H1226,H1226&amp;" reps"),IF(IF(N(J1226)=0,0,IF(N(I1226)&gt;0,I1226*(1+J1226/30),J1226))=X1226,IF(N(I1226)&gt;0,I1226&amp;" x "&amp;J1226,J1226&amp;" reps"),IF(IF(N(L1226)=0,0,IF(N(K1226)&gt;0,K1226*(1+L1226/30),L1226))=X1226,IF(N(K1226)&gt;0,K1226&amp;" x "&amp;L1226,L1226&amp;" reps"),IF(IF(N(N1226)=0,0,IF(N(M1226)&gt;0,M1226*(1+N1226/30),N1226))=X1226,IF(N(M1226)&gt;0,M1226&amp;" x "&amp;N1226,N1226&amp;" reps"),""))))))</f>
        <v/>
      </c>
      <c r="R1226" s="20">
        <f>IF(N(X1226)=0,"",ROUND(X1226,1))</f>
        <v/>
      </c>
      <c r="S1226" s="18">
        <f>IF(N(X1226)=0,"",IF(AND(COUNTIFS(Log!$D$6:$D$1505,D1226,Log!$B$6:$B$1505,"&lt;"&amp;B1226)&gt;0,COUNTIFS(Log!$D$6:$D$1505,D1226,Log!$B$6:$B$1505,"&lt;"&amp;B1226,Log!$X$6:$X$1505,"&gt;="&amp;X1226)=0),"New best",""))</f>
        <v/>
      </c>
      <c r="T1226" s="26" t="n"/>
      <c r="U1226" s="1">
        <f>IF(D1226="","",IFERROR(INDEX(Exercises!$C$6:$C$105,MATCH(D1226,Exercises!$B$6:$B$105,0)),"Other"))</f>
        <v/>
      </c>
      <c r="V1226">
        <f>IF(B1226="","",IF(COUNTIF($B$6:B1226,B1226)=1,1,0))</f>
        <v/>
      </c>
      <c r="W1226">
        <f>IF(B1226="","",B1226-WEEKDAY(B1226,3))</f>
        <v/>
      </c>
      <c r="X1226">
        <f>IF(D1226="","",MAX(IF(N(F1226)=0,0,IF(N(E1226)&gt;0,E1226*(1+F1226/30),F1226)),IF(N(H1226)=0,0,IF(N(G1226)&gt;0,G1226*(1+H1226/30),H1226)),IF(N(J1226)=0,0,IF(N(I1226)&gt;0,I1226*(1+J1226/30),J1226)),IF(N(L1226)=0,0,IF(N(K1226)&gt;0,K1226*(1+L1226/30),L1226)),IF(N(N1226)=0,0,IF(N(M1226)&gt;0,M1226*(1+N1226/30),N1226))))</f>
        <v/>
      </c>
      <c r="Y1226">
        <f>IF(N(X1226)=0,"",X1226+ROW()/1000000000)</f>
        <v/>
      </c>
      <c r="Z1226">
        <f>IF(Y1226="","",IF(COUNTIFS(Log!$D$6:$D$1505,D1226,Log!$Y$6:$Y$1505,"&gt;"&amp;Y1226)=0,1,0))</f>
        <v/>
      </c>
      <c r="AA1226">
        <f>IF(OR(B1226="",D1226=""),"",B1226+ROW()/10000000)</f>
        <v/>
      </c>
      <c r="AB1226">
        <f>IF(AA1226="","",IF(COUNTIFS(Log!$D$6:$D$1505,D1226,Log!$AA$6:$AA$1505,"&gt;"&amp;AA1226)=0,1,0))</f>
        <v/>
      </c>
      <c r="AC1226">
        <f>IF(S1226="New best",AA1226,"")</f>
        <v/>
      </c>
      <c r="AD1226">
        <f>ROW()</f>
        <v/>
      </c>
    </row>
    <row r="1227">
      <c r="A1227" s="1" t="n"/>
      <c r="B1227" s="21" t="n"/>
      <c r="C1227" s="22" t="n"/>
      <c r="D1227" s="23" t="n"/>
      <c r="E1227" s="24" t="n"/>
      <c r="F1227" s="24" t="n"/>
      <c r="G1227" s="24" t="n"/>
      <c r="H1227" s="24" t="n"/>
      <c r="I1227" s="24" t="n"/>
      <c r="J1227" s="24" t="n"/>
      <c r="K1227" s="24" t="n"/>
      <c r="L1227" s="24" t="n"/>
      <c r="M1227" s="24" t="n"/>
      <c r="N1227" s="24" t="n"/>
      <c r="O1227" s="15">
        <f>IF(D1227="","",COUNT(F1227,H1227,J1227,L1227,N1227))</f>
        <v/>
      </c>
      <c r="P1227" s="25">
        <f>IF(D1227="","",N(E1227)*N(F1227)+N(G1227)*N(H1227)+N(I1227)*N(J1227)+N(K1227)*N(L1227)+N(M1227)*N(N1227))</f>
        <v/>
      </c>
      <c r="Q1227" s="18">
        <f>IF(N(X1227)=0,"",IF(IF(N(F1227)=0,0,IF(N(E1227)&gt;0,E1227*(1+F1227/30),F1227))=X1227,IF(N(E1227)&gt;0,E1227&amp;" x "&amp;F1227,F1227&amp;" reps"),IF(IF(N(H1227)=0,0,IF(N(G1227)&gt;0,G1227*(1+H1227/30),H1227))=X1227,IF(N(G1227)&gt;0,G1227&amp;" x "&amp;H1227,H1227&amp;" reps"),IF(IF(N(J1227)=0,0,IF(N(I1227)&gt;0,I1227*(1+J1227/30),J1227))=X1227,IF(N(I1227)&gt;0,I1227&amp;" x "&amp;J1227,J1227&amp;" reps"),IF(IF(N(L1227)=0,0,IF(N(K1227)&gt;0,K1227*(1+L1227/30),L1227))=X1227,IF(N(K1227)&gt;0,K1227&amp;" x "&amp;L1227,L1227&amp;" reps"),IF(IF(N(N1227)=0,0,IF(N(M1227)&gt;0,M1227*(1+N1227/30),N1227))=X1227,IF(N(M1227)&gt;0,M1227&amp;" x "&amp;N1227,N1227&amp;" reps"),""))))))</f>
        <v/>
      </c>
      <c r="R1227" s="20">
        <f>IF(N(X1227)=0,"",ROUND(X1227,1))</f>
        <v/>
      </c>
      <c r="S1227" s="18">
        <f>IF(N(X1227)=0,"",IF(AND(COUNTIFS(Log!$D$6:$D$1505,D1227,Log!$B$6:$B$1505,"&lt;"&amp;B1227)&gt;0,COUNTIFS(Log!$D$6:$D$1505,D1227,Log!$B$6:$B$1505,"&lt;"&amp;B1227,Log!$X$6:$X$1505,"&gt;="&amp;X1227)=0),"New best",""))</f>
        <v/>
      </c>
      <c r="T1227" s="26" t="n"/>
      <c r="U1227" s="1">
        <f>IF(D1227="","",IFERROR(INDEX(Exercises!$C$6:$C$105,MATCH(D1227,Exercises!$B$6:$B$105,0)),"Other"))</f>
        <v/>
      </c>
      <c r="V1227">
        <f>IF(B1227="","",IF(COUNTIF($B$6:B1227,B1227)=1,1,0))</f>
        <v/>
      </c>
      <c r="W1227">
        <f>IF(B1227="","",B1227-WEEKDAY(B1227,3))</f>
        <v/>
      </c>
      <c r="X1227">
        <f>IF(D1227="","",MAX(IF(N(F1227)=0,0,IF(N(E1227)&gt;0,E1227*(1+F1227/30),F1227)),IF(N(H1227)=0,0,IF(N(G1227)&gt;0,G1227*(1+H1227/30),H1227)),IF(N(J1227)=0,0,IF(N(I1227)&gt;0,I1227*(1+J1227/30),J1227)),IF(N(L1227)=0,0,IF(N(K1227)&gt;0,K1227*(1+L1227/30),L1227)),IF(N(N1227)=0,0,IF(N(M1227)&gt;0,M1227*(1+N1227/30),N1227))))</f>
        <v/>
      </c>
      <c r="Y1227">
        <f>IF(N(X1227)=0,"",X1227+ROW()/1000000000)</f>
        <v/>
      </c>
      <c r="Z1227">
        <f>IF(Y1227="","",IF(COUNTIFS(Log!$D$6:$D$1505,D1227,Log!$Y$6:$Y$1505,"&gt;"&amp;Y1227)=0,1,0))</f>
        <v/>
      </c>
      <c r="AA1227">
        <f>IF(OR(B1227="",D1227=""),"",B1227+ROW()/10000000)</f>
        <v/>
      </c>
      <c r="AB1227">
        <f>IF(AA1227="","",IF(COUNTIFS(Log!$D$6:$D$1505,D1227,Log!$AA$6:$AA$1505,"&gt;"&amp;AA1227)=0,1,0))</f>
        <v/>
      </c>
      <c r="AC1227">
        <f>IF(S1227="New best",AA1227,"")</f>
        <v/>
      </c>
      <c r="AD1227">
        <f>ROW()</f>
        <v/>
      </c>
    </row>
    <row r="1228">
      <c r="A1228" s="1" t="n"/>
      <c r="B1228" s="21" t="n"/>
      <c r="C1228" s="22" t="n"/>
      <c r="D1228" s="23" t="n"/>
      <c r="E1228" s="24" t="n"/>
      <c r="F1228" s="24" t="n"/>
      <c r="G1228" s="24" t="n"/>
      <c r="H1228" s="24" t="n"/>
      <c r="I1228" s="24" t="n"/>
      <c r="J1228" s="24" t="n"/>
      <c r="K1228" s="24" t="n"/>
      <c r="L1228" s="24" t="n"/>
      <c r="M1228" s="24" t="n"/>
      <c r="N1228" s="24" t="n"/>
      <c r="O1228" s="15">
        <f>IF(D1228="","",COUNT(F1228,H1228,J1228,L1228,N1228))</f>
        <v/>
      </c>
      <c r="P1228" s="25">
        <f>IF(D1228="","",N(E1228)*N(F1228)+N(G1228)*N(H1228)+N(I1228)*N(J1228)+N(K1228)*N(L1228)+N(M1228)*N(N1228))</f>
        <v/>
      </c>
      <c r="Q1228" s="18">
        <f>IF(N(X1228)=0,"",IF(IF(N(F1228)=0,0,IF(N(E1228)&gt;0,E1228*(1+F1228/30),F1228))=X1228,IF(N(E1228)&gt;0,E1228&amp;" x "&amp;F1228,F1228&amp;" reps"),IF(IF(N(H1228)=0,0,IF(N(G1228)&gt;0,G1228*(1+H1228/30),H1228))=X1228,IF(N(G1228)&gt;0,G1228&amp;" x "&amp;H1228,H1228&amp;" reps"),IF(IF(N(J1228)=0,0,IF(N(I1228)&gt;0,I1228*(1+J1228/30),J1228))=X1228,IF(N(I1228)&gt;0,I1228&amp;" x "&amp;J1228,J1228&amp;" reps"),IF(IF(N(L1228)=0,0,IF(N(K1228)&gt;0,K1228*(1+L1228/30),L1228))=X1228,IF(N(K1228)&gt;0,K1228&amp;" x "&amp;L1228,L1228&amp;" reps"),IF(IF(N(N1228)=0,0,IF(N(M1228)&gt;0,M1228*(1+N1228/30),N1228))=X1228,IF(N(M1228)&gt;0,M1228&amp;" x "&amp;N1228,N1228&amp;" reps"),""))))))</f>
        <v/>
      </c>
      <c r="R1228" s="20">
        <f>IF(N(X1228)=0,"",ROUND(X1228,1))</f>
        <v/>
      </c>
      <c r="S1228" s="18">
        <f>IF(N(X1228)=0,"",IF(AND(COUNTIFS(Log!$D$6:$D$1505,D1228,Log!$B$6:$B$1505,"&lt;"&amp;B1228)&gt;0,COUNTIFS(Log!$D$6:$D$1505,D1228,Log!$B$6:$B$1505,"&lt;"&amp;B1228,Log!$X$6:$X$1505,"&gt;="&amp;X1228)=0),"New best",""))</f>
        <v/>
      </c>
      <c r="T1228" s="26" t="n"/>
      <c r="U1228" s="1">
        <f>IF(D1228="","",IFERROR(INDEX(Exercises!$C$6:$C$105,MATCH(D1228,Exercises!$B$6:$B$105,0)),"Other"))</f>
        <v/>
      </c>
      <c r="V1228">
        <f>IF(B1228="","",IF(COUNTIF($B$6:B1228,B1228)=1,1,0))</f>
        <v/>
      </c>
      <c r="W1228">
        <f>IF(B1228="","",B1228-WEEKDAY(B1228,3))</f>
        <v/>
      </c>
      <c r="X1228">
        <f>IF(D1228="","",MAX(IF(N(F1228)=0,0,IF(N(E1228)&gt;0,E1228*(1+F1228/30),F1228)),IF(N(H1228)=0,0,IF(N(G1228)&gt;0,G1228*(1+H1228/30),H1228)),IF(N(J1228)=0,0,IF(N(I1228)&gt;0,I1228*(1+J1228/30),J1228)),IF(N(L1228)=0,0,IF(N(K1228)&gt;0,K1228*(1+L1228/30),L1228)),IF(N(N1228)=0,0,IF(N(M1228)&gt;0,M1228*(1+N1228/30),N1228))))</f>
        <v/>
      </c>
      <c r="Y1228">
        <f>IF(N(X1228)=0,"",X1228+ROW()/1000000000)</f>
        <v/>
      </c>
      <c r="Z1228">
        <f>IF(Y1228="","",IF(COUNTIFS(Log!$D$6:$D$1505,D1228,Log!$Y$6:$Y$1505,"&gt;"&amp;Y1228)=0,1,0))</f>
        <v/>
      </c>
      <c r="AA1228">
        <f>IF(OR(B1228="",D1228=""),"",B1228+ROW()/10000000)</f>
        <v/>
      </c>
      <c r="AB1228">
        <f>IF(AA1228="","",IF(COUNTIFS(Log!$D$6:$D$1505,D1228,Log!$AA$6:$AA$1505,"&gt;"&amp;AA1228)=0,1,0))</f>
        <v/>
      </c>
      <c r="AC1228">
        <f>IF(S1228="New best",AA1228,"")</f>
        <v/>
      </c>
      <c r="AD1228">
        <f>ROW()</f>
        <v/>
      </c>
    </row>
    <row r="1229">
      <c r="A1229" s="1" t="n"/>
      <c r="B1229" s="21" t="n"/>
      <c r="C1229" s="22" t="n"/>
      <c r="D1229" s="23" t="n"/>
      <c r="E1229" s="24" t="n"/>
      <c r="F1229" s="24" t="n"/>
      <c r="G1229" s="24" t="n"/>
      <c r="H1229" s="24" t="n"/>
      <c r="I1229" s="24" t="n"/>
      <c r="J1229" s="24" t="n"/>
      <c r="K1229" s="24" t="n"/>
      <c r="L1229" s="24" t="n"/>
      <c r="M1229" s="24" t="n"/>
      <c r="N1229" s="24" t="n"/>
      <c r="O1229" s="15">
        <f>IF(D1229="","",COUNT(F1229,H1229,J1229,L1229,N1229))</f>
        <v/>
      </c>
      <c r="P1229" s="25">
        <f>IF(D1229="","",N(E1229)*N(F1229)+N(G1229)*N(H1229)+N(I1229)*N(J1229)+N(K1229)*N(L1229)+N(M1229)*N(N1229))</f>
        <v/>
      </c>
      <c r="Q1229" s="18">
        <f>IF(N(X1229)=0,"",IF(IF(N(F1229)=0,0,IF(N(E1229)&gt;0,E1229*(1+F1229/30),F1229))=X1229,IF(N(E1229)&gt;0,E1229&amp;" x "&amp;F1229,F1229&amp;" reps"),IF(IF(N(H1229)=0,0,IF(N(G1229)&gt;0,G1229*(1+H1229/30),H1229))=X1229,IF(N(G1229)&gt;0,G1229&amp;" x "&amp;H1229,H1229&amp;" reps"),IF(IF(N(J1229)=0,0,IF(N(I1229)&gt;0,I1229*(1+J1229/30),J1229))=X1229,IF(N(I1229)&gt;0,I1229&amp;" x "&amp;J1229,J1229&amp;" reps"),IF(IF(N(L1229)=0,0,IF(N(K1229)&gt;0,K1229*(1+L1229/30),L1229))=X1229,IF(N(K1229)&gt;0,K1229&amp;" x "&amp;L1229,L1229&amp;" reps"),IF(IF(N(N1229)=0,0,IF(N(M1229)&gt;0,M1229*(1+N1229/30),N1229))=X1229,IF(N(M1229)&gt;0,M1229&amp;" x "&amp;N1229,N1229&amp;" reps"),""))))))</f>
        <v/>
      </c>
      <c r="R1229" s="20">
        <f>IF(N(X1229)=0,"",ROUND(X1229,1))</f>
        <v/>
      </c>
      <c r="S1229" s="18">
        <f>IF(N(X1229)=0,"",IF(AND(COUNTIFS(Log!$D$6:$D$1505,D1229,Log!$B$6:$B$1505,"&lt;"&amp;B1229)&gt;0,COUNTIFS(Log!$D$6:$D$1505,D1229,Log!$B$6:$B$1505,"&lt;"&amp;B1229,Log!$X$6:$X$1505,"&gt;="&amp;X1229)=0),"New best",""))</f>
        <v/>
      </c>
      <c r="T1229" s="26" t="n"/>
      <c r="U1229" s="1">
        <f>IF(D1229="","",IFERROR(INDEX(Exercises!$C$6:$C$105,MATCH(D1229,Exercises!$B$6:$B$105,0)),"Other"))</f>
        <v/>
      </c>
      <c r="V1229">
        <f>IF(B1229="","",IF(COUNTIF($B$6:B1229,B1229)=1,1,0))</f>
        <v/>
      </c>
      <c r="W1229">
        <f>IF(B1229="","",B1229-WEEKDAY(B1229,3))</f>
        <v/>
      </c>
      <c r="X1229">
        <f>IF(D1229="","",MAX(IF(N(F1229)=0,0,IF(N(E1229)&gt;0,E1229*(1+F1229/30),F1229)),IF(N(H1229)=0,0,IF(N(G1229)&gt;0,G1229*(1+H1229/30),H1229)),IF(N(J1229)=0,0,IF(N(I1229)&gt;0,I1229*(1+J1229/30),J1229)),IF(N(L1229)=0,0,IF(N(K1229)&gt;0,K1229*(1+L1229/30),L1229)),IF(N(N1229)=0,0,IF(N(M1229)&gt;0,M1229*(1+N1229/30),N1229))))</f>
        <v/>
      </c>
      <c r="Y1229">
        <f>IF(N(X1229)=0,"",X1229+ROW()/1000000000)</f>
        <v/>
      </c>
      <c r="Z1229">
        <f>IF(Y1229="","",IF(COUNTIFS(Log!$D$6:$D$1505,D1229,Log!$Y$6:$Y$1505,"&gt;"&amp;Y1229)=0,1,0))</f>
        <v/>
      </c>
      <c r="AA1229">
        <f>IF(OR(B1229="",D1229=""),"",B1229+ROW()/10000000)</f>
        <v/>
      </c>
      <c r="AB1229">
        <f>IF(AA1229="","",IF(COUNTIFS(Log!$D$6:$D$1505,D1229,Log!$AA$6:$AA$1505,"&gt;"&amp;AA1229)=0,1,0))</f>
        <v/>
      </c>
      <c r="AC1229">
        <f>IF(S1229="New best",AA1229,"")</f>
        <v/>
      </c>
      <c r="AD1229">
        <f>ROW()</f>
        <v/>
      </c>
    </row>
    <row r="1230">
      <c r="A1230" s="1" t="n"/>
      <c r="B1230" s="21" t="n"/>
      <c r="C1230" s="22" t="n"/>
      <c r="D1230" s="23" t="n"/>
      <c r="E1230" s="24" t="n"/>
      <c r="F1230" s="24" t="n"/>
      <c r="G1230" s="24" t="n"/>
      <c r="H1230" s="24" t="n"/>
      <c r="I1230" s="24" t="n"/>
      <c r="J1230" s="24" t="n"/>
      <c r="K1230" s="24" t="n"/>
      <c r="L1230" s="24" t="n"/>
      <c r="M1230" s="24" t="n"/>
      <c r="N1230" s="24" t="n"/>
      <c r="O1230" s="15">
        <f>IF(D1230="","",COUNT(F1230,H1230,J1230,L1230,N1230))</f>
        <v/>
      </c>
      <c r="P1230" s="25">
        <f>IF(D1230="","",N(E1230)*N(F1230)+N(G1230)*N(H1230)+N(I1230)*N(J1230)+N(K1230)*N(L1230)+N(M1230)*N(N1230))</f>
        <v/>
      </c>
      <c r="Q1230" s="18">
        <f>IF(N(X1230)=0,"",IF(IF(N(F1230)=0,0,IF(N(E1230)&gt;0,E1230*(1+F1230/30),F1230))=X1230,IF(N(E1230)&gt;0,E1230&amp;" x "&amp;F1230,F1230&amp;" reps"),IF(IF(N(H1230)=0,0,IF(N(G1230)&gt;0,G1230*(1+H1230/30),H1230))=X1230,IF(N(G1230)&gt;0,G1230&amp;" x "&amp;H1230,H1230&amp;" reps"),IF(IF(N(J1230)=0,0,IF(N(I1230)&gt;0,I1230*(1+J1230/30),J1230))=X1230,IF(N(I1230)&gt;0,I1230&amp;" x "&amp;J1230,J1230&amp;" reps"),IF(IF(N(L1230)=0,0,IF(N(K1230)&gt;0,K1230*(1+L1230/30),L1230))=X1230,IF(N(K1230)&gt;0,K1230&amp;" x "&amp;L1230,L1230&amp;" reps"),IF(IF(N(N1230)=0,0,IF(N(M1230)&gt;0,M1230*(1+N1230/30),N1230))=X1230,IF(N(M1230)&gt;0,M1230&amp;" x "&amp;N1230,N1230&amp;" reps"),""))))))</f>
        <v/>
      </c>
      <c r="R1230" s="20">
        <f>IF(N(X1230)=0,"",ROUND(X1230,1))</f>
        <v/>
      </c>
      <c r="S1230" s="18">
        <f>IF(N(X1230)=0,"",IF(AND(COUNTIFS(Log!$D$6:$D$1505,D1230,Log!$B$6:$B$1505,"&lt;"&amp;B1230)&gt;0,COUNTIFS(Log!$D$6:$D$1505,D1230,Log!$B$6:$B$1505,"&lt;"&amp;B1230,Log!$X$6:$X$1505,"&gt;="&amp;X1230)=0),"New best",""))</f>
        <v/>
      </c>
      <c r="T1230" s="26" t="n"/>
      <c r="U1230" s="1">
        <f>IF(D1230="","",IFERROR(INDEX(Exercises!$C$6:$C$105,MATCH(D1230,Exercises!$B$6:$B$105,0)),"Other"))</f>
        <v/>
      </c>
      <c r="V1230">
        <f>IF(B1230="","",IF(COUNTIF($B$6:B1230,B1230)=1,1,0))</f>
        <v/>
      </c>
      <c r="W1230">
        <f>IF(B1230="","",B1230-WEEKDAY(B1230,3))</f>
        <v/>
      </c>
      <c r="X1230">
        <f>IF(D1230="","",MAX(IF(N(F1230)=0,0,IF(N(E1230)&gt;0,E1230*(1+F1230/30),F1230)),IF(N(H1230)=0,0,IF(N(G1230)&gt;0,G1230*(1+H1230/30),H1230)),IF(N(J1230)=0,0,IF(N(I1230)&gt;0,I1230*(1+J1230/30),J1230)),IF(N(L1230)=0,0,IF(N(K1230)&gt;0,K1230*(1+L1230/30),L1230)),IF(N(N1230)=0,0,IF(N(M1230)&gt;0,M1230*(1+N1230/30),N1230))))</f>
        <v/>
      </c>
      <c r="Y1230">
        <f>IF(N(X1230)=0,"",X1230+ROW()/1000000000)</f>
        <v/>
      </c>
      <c r="Z1230">
        <f>IF(Y1230="","",IF(COUNTIFS(Log!$D$6:$D$1505,D1230,Log!$Y$6:$Y$1505,"&gt;"&amp;Y1230)=0,1,0))</f>
        <v/>
      </c>
      <c r="AA1230">
        <f>IF(OR(B1230="",D1230=""),"",B1230+ROW()/10000000)</f>
        <v/>
      </c>
      <c r="AB1230">
        <f>IF(AA1230="","",IF(COUNTIFS(Log!$D$6:$D$1505,D1230,Log!$AA$6:$AA$1505,"&gt;"&amp;AA1230)=0,1,0))</f>
        <v/>
      </c>
      <c r="AC1230">
        <f>IF(S1230="New best",AA1230,"")</f>
        <v/>
      </c>
      <c r="AD1230">
        <f>ROW()</f>
        <v/>
      </c>
    </row>
    <row r="1231">
      <c r="A1231" s="1" t="n"/>
      <c r="B1231" s="21" t="n"/>
      <c r="C1231" s="22" t="n"/>
      <c r="D1231" s="23" t="n"/>
      <c r="E1231" s="24" t="n"/>
      <c r="F1231" s="24" t="n"/>
      <c r="G1231" s="24" t="n"/>
      <c r="H1231" s="24" t="n"/>
      <c r="I1231" s="24" t="n"/>
      <c r="J1231" s="24" t="n"/>
      <c r="K1231" s="24" t="n"/>
      <c r="L1231" s="24" t="n"/>
      <c r="M1231" s="24" t="n"/>
      <c r="N1231" s="24" t="n"/>
      <c r="O1231" s="15">
        <f>IF(D1231="","",COUNT(F1231,H1231,J1231,L1231,N1231))</f>
        <v/>
      </c>
      <c r="P1231" s="25">
        <f>IF(D1231="","",N(E1231)*N(F1231)+N(G1231)*N(H1231)+N(I1231)*N(J1231)+N(K1231)*N(L1231)+N(M1231)*N(N1231))</f>
        <v/>
      </c>
      <c r="Q1231" s="18">
        <f>IF(N(X1231)=0,"",IF(IF(N(F1231)=0,0,IF(N(E1231)&gt;0,E1231*(1+F1231/30),F1231))=X1231,IF(N(E1231)&gt;0,E1231&amp;" x "&amp;F1231,F1231&amp;" reps"),IF(IF(N(H1231)=0,0,IF(N(G1231)&gt;0,G1231*(1+H1231/30),H1231))=X1231,IF(N(G1231)&gt;0,G1231&amp;" x "&amp;H1231,H1231&amp;" reps"),IF(IF(N(J1231)=0,0,IF(N(I1231)&gt;0,I1231*(1+J1231/30),J1231))=X1231,IF(N(I1231)&gt;0,I1231&amp;" x "&amp;J1231,J1231&amp;" reps"),IF(IF(N(L1231)=0,0,IF(N(K1231)&gt;0,K1231*(1+L1231/30),L1231))=X1231,IF(N(K1231)&gt;0,K1231&amp;" x "&amp;L1231,L1231&amp;" reps"),IF(IF(N(N1231)=0,0,IF(N(M1231)&gt;0,M1231*(1+N1231/30),N1231))=X1231,IF(N(M1231)&gt;0,M1231&amp;" x "&amp;N1231,N1231&amp;" reps"),""))))))</f>
        <v/>
      </c>
      <c r="R1231" s="20">
        <f>IF(N(X1231)=0,"",ROUND(X1231,1))</f>
        <v/>
      </c>
      <c r="S1231" s="18">
        <f>IF(N(X1231)=0,"",IF(AND(COUNTIFS(Log!$D$6:$D$1505,D1231,Log!$B$6:$B$1505,"&lt;"&amp;B1231)&gt;0,COUNTIFS(Log!$D$6:$D$1505,D1231,Log!$B$6:$B$1505,"&lt;"&amp;B1231,Log!$X$6:$X$1505,"&gt;="&amp;X1231)=0),"New best",""))</f>
        <v/>
      </c>
      <c r="T1231" s="26" t="n"/>
      <c r="U1231" s="1">
        <f>IF(D1231="","",IFERROR(INDEX(Exercises!$C$6:$C$105,MATCH(D1231,Exercises!$B$6:$B$105,0)),"Other"))</f>
        <v/>
      </c>
      <c r="V1231">
        <f>IF(B1231="","",IF(COUNTIF($B$6:B1231,B1231)=1,1,0))</f>
        <v/>
      </c>
      <c r="W1231">
        <f>IF(B1231="","",B1231-WEEKDAY(B1231,3))</f>
        <v/>
      </c>
      <c r="X1231">
        <f>IF(D1231="","",MAX(IF(N(F1231)=0,0,IF(N(E1231)&gt;0,E1231*(1+F1231/30),F1231)),IF(N(H1231)=0,0,IF(N(G1231)&gt;0,G1231*(1+H1231/30),H1231)),IF(N(J1231)=0,0,IF(N(I1231)&gt;0,I1231*(1+J1231/30),J1231)),IF(N(L1231)=0,0,IF(N(K1231)&gt;0,K1231*(1+L1231/30),L1231)),IF(N(N1231)=0,0,IF(N(M1231)&gt;0,M1231*(1+N1231/30),N1231))))</f>
        <v/>
      </c>
      <c r="Y1231">
        <f>IF(N(X1231)=0,"",X1231+ROW()/1000000000)</f>
        <v/>
      </c>
      <c r="Z1231">
        <f>IF(Y1231="","",IF(COUNTIFS(Log!$D$6:$D$1505,D1231,Log!$Y$6:$Y$1505,"&gt;"&amp;Y1231)=0,1,0))</f>
        <v/>
      </c>
      <c r="AA1231">
        <f>IF(OR(B1231="",D1231=""),"",B1231+ROW()/10000000)</f>
        <v/>
      </c>
      <c r="AB1231">
        <f>IF(AA1231="","",IF(COUNTIFS(Log!$D$6:$D$1505,D1231,Log!$AA$6:$AA$1505,"&gt;"&amp;AA1231)=0,1,0))</f>
        <v/>
      </c>
      <c r="AC1231">
        <f>IF(S1231="New best",AA1231,"")</f>
        <v/>
      </c>
      <c r="AD1231">
        <f>ROW()</f>
        <v/>
      </c>
    </row>
    <row r="1232">
      <c r="A1232" s="1" t="n"/>
      <c r="B1232" s="21" t="n"/>
      <c r="C1232" s="22" t="n"/>
      <c r="D1232" s="23" t="n"/>
      <c r="E1232" s="24" t="n"/>
      <c r="F1232" s="24" t="n"/>
      <c r="G1232" s="24" t="n"/>
      <c r="H1232" s="24" t="n"/>
      <c r="I1232" s="24" t="n"/>
      <c r="J1232" s="24" t="n"/>
      <c r="K1232" s="24" t="n"/>
      <c r="L1232" s="24" t="n"/>
      <c r="M1232" s="24" t="n"/>
      <c r="N1232" s="24" t="n"/>
      <c r="O1232" s="15">
        <f>IF(D1232="","",COUNT(F1232,H1232,J1232,L1232,N1232))</f>
        <v/>
      </c>
      <c r="P1232" s="25">
        <f>IF(D1232="","",N(E1232)*N(F1232)+N(G1232)*N(H1232)+N(I1232)*N(J1232)+N(K1232)*N(L1232)+N(M1232)*N(N1232))</f>
        <v/>
      </c>
      <c r="Q1232" s="18">
        <f>IF(N(X1232)=0,"",IF(IF(N(F1232)=0,0,IF(N(E1232)&gt;0,E1232*(1+F1232/30),F1232))=X1232,IF(N(E1232)&gt;0,E1232&amp;" x "&amp;F1232,F1232&amp;" reps"),IF(IF(N(H1232)=0,0,IF(N(G1232)&gt;0,G1232*(1+H1232/30),H1232))=X1232,IF(N(G1232)&gt;0,G1232&amp;" x "&amp;H1232,H1232&amp;" reps"),IF(IF(N(J1232)=0,0,IF(N(I1232)&gt;0,I1232*(1+J1232/30),J1232))=X1232,IF(N(I1232)&gt;0,I1232&amp;" x "&amp;J1232,J1232&amp;" reps"),IF(IF(N(L1232)=0,0,IF(N(K1232)&gt;0,K1232*(1+L1232/30),L1232))=X1232,IF(N(K1232)&gt;0,K1232&amp;" x "&amp;L1232,L1232&amp;" reps"),IF(IF(N(N1232)=0,0,IF(N(M1232)&gt;0,M1232*(1+N1232/30),N1232))=X1232,IF(N(M1232)&gt;0,M1232&amp;" x "&amp;N1232,N1232&amp;" reps"),""))))))</f>
        <v/>
      </c>
      <c r="R1232" s="20">
        <f>IF(N(X1232)=0,"",ROUND(X1232,1))</f>
        <v/>
      </c>
      <c r="S1232" s="18">
        <f>IF(N(X1232)=0,"",IF(AND(COUNTIFS(Log!$D$6:$D$1505,D1232,Log!$B$6:$B$1505,"&lt;"&amp;B1232)&gt;0,COUNTIFS(Log!$D$6:$D$1505,D1232,Log!$B$6:$B$1505,"&lt;"&amp;B1232,Log!$X$6:$X$1505,"&gt;="&amp;X1232)=0),"New best",""))</f>
        <v/>
      </c>
      <c r="T1232" s="26" t="n"/>
      <c r="U1232" s="1">
        <f>IF(D1232="","",IFERROR(INDEX(Exercises!$C$6:$C$105,MATCH(D1232,Exercises!$B$6:$B$105,0)),"Other"))</f>
        <v/>
      </c>
      <c r="V1232">
        <f>IF(B1232="","",IF(COUNTIF($B$6:B1232,B1232)=1,1,0))</f>
        <v/>
      </c>
      <c r="W1232">
        <f>IF(B1232="","",B1232-WEEKDAY(B1232,3))</f>
        <v/>
      </c>
      <c r="X1232">
        <f>IF(D1232="","",MAX(IF(N(F1232)=0,0,IF(N(E1232)&gt;0,E1232*(1+F1232/30),F1232)),IF(N(H1232)=0,0,IF(N(G1232)&gt;0,G1232*(1+H1232/30),H1232)),IF(N(J1232)=0,0,IF(N(I1232)&gt;0,I1232*(1+J1232/30),J1232)),IF(N(L1232)=0,0,IF(N(K1232)&gt;0,K1232*(1+L1232/30),L1232)),IF(N(N1232)=0,0,IF(N(M1232)&gt;0,M1232*(1+N1232/30),N1232))))</f>
        <v/>
      </c>
      <c r="Y1232">
        <f>IF(N(X1232)=0,"",X1232+ROW()/1000000000)</f>
        <v/>
      </c>
      <c r="Z1232">
        <f>IF(Y1232="","",IF(COUNTIFS(Log!$D$6:$D$1505,D1232,Log!$Y$6:$Y$1505,"&gt;"&amp;Y1232)=0,1,0))</f>
        <v/>
      </c>
      <c r="AA1232">
        <f>IF(OR(B1232="",D1232=""),"",B1232+ROW()/10000000)</f>
        <v/>
      </c>
      <c r="AB1232">
        <f>IF(AA1232="","",IF(COUNTIFS(Log!$D$6:$D$1505,D1232,Log!$AA$6:$AA$1505,"&gt;"&amp;AA1232)=0,1,0))</f>
        <v/>
      </c>
      <c r="AC1232">
        <f>IF(S1232="New best",AA1232,"")</f>
        <v/>
      </c>
      <c r="AD1232">
        <f>ROW()</f>
        <v/>
      </c>
    </row>
    <row r="1233">
      <c r="A1233" s="1" t="n"/>
      <c r="B1233" s="21" t="n"/>
      <c r="C1233" s="22" t="n"/>
      <c r="D1233" s="23" t="n"/>
      <c r="E1233" s="24" t="n"/>
      <c r="F1233" s="24" t="n"/>
      <c r="G1233" s="24" t="n"/>
      <c r="H1233" s="24" t="n"/>
      <c r="I1233" s="24" t="n"/>
      <c r="J1233" s="24" t="n"/>
      <c r="K1233" s="24" t="n"/>
      <c r="L1233" s="24" t="n"/>
      <c r="M1233" s="24" t="n"/>
      <c r="N1233" s="24" t="n"/>
      <c r="O1233" s="15">
        <f>IF(D1233="","",COUNT(F1233,H1233,J1233,L1233,N1233))</f>
        <v/>
      </c>
      <c r="P1233" s="25">
        <f>IF(D1233="","",N(E1233)*N(F1233)+N(G1233)*N(H1233)+N(I1233)*N(J1233)+N(K1233)*N(L1233)+N(M1233)*N(N1233))</f>
        <v/>
      </c>
      <c r="Q1233" s="18">
        <f>IF(N(X1233)=0,"",IF(IF(N(F1233)=0,0,IF(N(E1233)&gt;0,E1233*(1+F1233/30),F1233))=X1233,IF(N(E1233)&gt;0,E1233&amp;" x "&amp;F1233,F1233&amp;" reps"),IF(IF(N(H1233)=0,0,IF(N(G1233)&gt;0,G1233*(1+H1233/30),H1233))=X1233,IF(N(G1233)&gt;0,G1233&amp;" x "&amp;H1233,H1233&amp;" reps"),IF(IF(N(J1233)=0,0,IF(N(I1233)&gt;0,I1233*(1+J1233/30),J1233))=X1233,IF(N(I1233)&gt;0,I1233&amp;" x "&amp;J1233,J1233&amp;" reps"),IF(IF(N(L1233)=0,0,IF(N(K1233)&gt;0,K1233*(1+L1233/30),L1233))=X1233,IF(N(K1233)&gt;0,K1233&amp;" x "&amp;L1233,L1233&amp;" reps"),IF(IF(N(N1233)=0,0,IF(N(M1233)&gt;0,M1233*(1+N1233/30),N1233))=X1233,IF(N(M1233)&gt;0,M1233&amp;" x "&amp;N1233,N1233&amp;" reps"),""))))))</f>
        <v/>
      </c>
      <c r="R1233" s="20">
        <f>IF(N(X1233)=0,"",ROUND(X1233,1))</f>
        <v/>
      </c>
      <c r="S1233" s="18">
        <f>IF(N(X1233)=0,"",IF(AND(COUNTIFS(Log!$D$6:$D$1505,D1233,Log!$B$6:$B$1505,"&lt;"&amp;B1233)&gt;0,COUNTIFS(Log!$D$6:$D$1505,D1233,Log!$B$6:$B$1505,"&lt;"&amp;B1233,Log!$X$6:$X$1505,"&gt;="&amp;X1233)=0),"New best",""))</f>
        <v/>
      </c>
      <c r="T1233" s="26" t="n"/>
      <c r="U1233" s="1">
        <f>IF(D1233="","",IFERROR(INDEX(Exercises!$C$6:$C$105,MATCH(D1233,Exercises!$B$6:$B$105,0)),"Other"))</f>
        <v/>
      </c>
      <c r="V1233">
        <f>IF(B1233="","",IF(COUNTIF($B$6:B1233,B1233)=1,1,0))</f>
        <v/>
      </c>
      <c r="W1233">
        <f>IF(B1233="","",B1233-WEEKDAY(B1233,3))</f>
        <v/>
      </c>
      <c r="X1233">
        <f>IF(D1233="","",MAX(IF(N(F1233)=0,0,IF(N(E1233)&gt;0,E1233*(1+F1233/30),F1233)),IF(N(H1233)=0,0,IF(N(G1233)&gt;0,G1233*(1+H1233/30),H1233)),IF(N(J1233)=0,0,IF(N(I1233)&gt;0,I1233*(1+J1233/30),J1233)),IF(N(L1233)=0,0,IF(N(K1233)&gt;0,K1233*(1+L1233/30),L1233)),IF(N(N1233)=0,0,IF(N(M1233)&gt;0,M1233*(1+N1233/30),N1233))))</f>
        <v/>
      </c>
      <c r="Y1233">
        <f>IF(N(X1233)=0,"",X1233+ROW()/1000000000)</f>
        <v/>
      </c>
      <c r="Z1233">
        <f>IF(Y1233="","",IF(COUNTIFS(Log!$D$6:$D$1505,D1233,Log!$Y$6:$Y$1505,"&gt;"&amp;Y1233)=0,1,0))</f>
        <v/>
      </c>
      <c r="AA1233">
        <f>IF(OR(B1233="",D1233=""),"",B1233+ROW()/10000000)</f>
        <v/>
      </c>
      <c r="AB1233">
        <f>IF(AA1233="","",IF(COUNTIFS(Log!$D$6:$D$1505,D1233,Log!$AA$6:$AA$1505,"&gt;"&amp;AA1233)=0,1,0))</f>
        <v/>
      </c>
      <c r="AC1233">
        <f>IF(S1233="New best",AA1233,"")</f>
        <v/>
      </c>
      <c r="AD1233">
        <f>ROW()</f>
        <v/>
      </c>
    </row>
    <row r="1234">
      <c r="A1234" s="1" t="n"/>
      <c r="B1234" s="21" t="n"/>
      <c r="C1234" s="22" t="n"/>
      <c r="D1234" s="23" t="n"/>
      <c r="E1234" s="24" t="n"/>
      <c r="F1234" s="24" t="n"/>
      <c r="G1234" s="24" t="n"/>
      <c r="H1234" s="24" t="n"/>
      <c r="I1234" s="24" t="n"/>
      <c r="J1234" s="24" t="n"/>
      <c r="K1234" s="24" t="n"/>
      <c r="L1234" s="24" t="n"/>
      <c r="M1234" s="24" t="n"/>
      <c r="N1234" s="24" t="n"/>
      <c r="O1234" s="15">
        <f>IF(D1234="","",COUNT(F1234,H1234,J1234,L1234,N1234))</f>
        <v/>
      </c>
      <c r="P1234" s="25">
        <f>IF(D1234="","",N(E1234)*N(F1234)+N(G1234)*N(H1234)+N(I1234)*N(J1234)+N(K1234)*N(L1234)+N(M1234)*N(N1234))</f>
        <v/>
      </c>
      <c r="Q1234" s="18">
        <f>IF(N(X1234)=0,"",IF(IF(N(F1234)=0,0,IF(N(E1234)&gt;0,E1234*(1+F1234/30),F1234))=X1234,IF(N(E1234)&gt;0,E1234&amp;" x "&amp;F1234,F1234&amp;" reps"),IF(IF(N(H1234)=0,0,IF(N(G1234)&gt;0,G1234*(1+H1234/30),H1234))=X1234,IF(N(G1234)&gt;0,G1234&amp;" x "&amp;H1234,H1234&amp;" reps"),IF(IF(N(J1234)=0,0,IF(N(I1234)&gt;0,I1234*(1+J1234/30),J1234))=X1234,IF(N(I1234)&gt;0,I1234&amp;" x "&amp;J1234,J1234&amp;" reps"),IF(IF(N(L1234)=0,0,IF(N(K1234)&gt;0,K1234*(1+L1234/30),L1234))=X1234,IF(N(K1234)&gt;0,K1234&amp;" x "&amp;L1234,L1234&amp;" reps"),IF(IF(N(N1234)=0,0,IF(N(M1234)&gt;0,M1234*(1+N1234/30),N1234))=X1234,IF(N(M1234)&gt;0,M1234&amp;" x "&amp;N1234,N1234&amp;" reps"),""))))))</f>
        <v/>
      </c>
      <c r="R1234" s="20">
        <f>IF(N(X1234)=0,"",ROUND(X1234,1))</f>
        <v/>
      </c>
      <c r="S1234" s="18">
        <f>IF(N(X1234)=0,"",IF(AND(COUNTIFS(Log!$D$6:$D$1505,D1234,Log!$B$6:$B$1505,"&lt;"&amp;B1234)&gt;0,COUNTIFS(Log!$D$6:$D$1505,D1234,Log!$B$6:$B$1505,"&lt;"&amp;B1234,Log!$X$6:$X$1505,"&gt;="&amp;X1234)=0),"New best",""))</f>
        <v/>
      </c>
      <c r="T1234" s="26" t="n"/>
      <c r="U1234" s="1">
        <f>IF(D1234="","",IFERROR(INDEX(Exercises!$C$6:$C$105,MATCH(D1234,Exercises!$B$6:$B$105,0)),"Other"))</f>
        <v/>
      </c>
      <c r="V1234">
        <f>IF(B1234="","",IF(COUNTIF($B$6:B1234,B1234)=1,1,0))</f>
        <v/>
      </c>
      <c r="W1234">
        <f>IF(B1234="","",B1234-WEEKDAY(B1234,3))</f>
        <v/>
      </c>
      <c r="X1234">
        <f>IF(D1234="","",MAX(IF(N(F1234)=0,0,IF(N(E1234)&gt;0,E1234*(1+F1234/30),F1234)),IF(N(H1234)=0,0,IF(N(G1234)&gt;0,G1234*(1+H1234/30),H1234)),IF(N(J1234)=0,0,IF(N(I1234)&gt;0,I1234*(1+J1234/30),J1234)),IF(N(L1234)=0,0,IF(N(K1234)&gt;0,K1234*(1+L1234/30),L1234)),IF(N(N1234)=0,0,IF(N(M1234)&gt;0,M1234*(1+N1234/30),N1234))))</f>
        <v/>
      </c>
      <c r="Y1234">
        <f>IF(N(X1234)=0,"",X1234+ROW()/1000000000)</f>
        <v/>
      </c>
      <c r="Z1234">
        <f>IF(Y1234="","",IF(COUNTIFS(Log!$D$6:$D$1505,D1234,Log!$Y$6:$Y$1505,"&gt;"&amp;Y1234)=0,1,0))</f>
        <v/>
      </c>
      <c r="AA1234">
        <f>IF(OR(B1234="",D1234=""),"",B1234+ROW()/10000000)</f>
        <v/>
      </c>
      <c r="AB1234">
        <f>IF(AA1234="","",IF(COUNTIFS(Log!$D$6:$D$1505,D1234,Log!$AA$6:$AA$1505,"&gt;"&amp;AA1234)=0,1,0))</f>
        <v/>
      </c>
      <c r="AC1234">
        <f>IF(S1234="New best",AA1234,"")</f>
        <v/>
      </c>
      <c r="AD1234">
        <f>ROW()</f>
        <v/>
      </c>
    </row>
    <row r="1235">
      <c r="A1235" s="1" t="n"/>
      <c r="B1235" s="21" t="n"/>
      <c r="C1235" s="22" t="n"/>
      <c r="D1235" s="23" t="n"/>
      <c r="E1235" s="24" t="n"/>
      <c r="F1235" s="24" t="n"/>
      <c r="G1235" s="24" t="n"/>
      <c r="H1235" s="24" t="n"/>
      <c r="I1235" s="24" t="n"/>
      <c r="J1235" s="24" t="n"/>
      <c r="K1235" s="24" t="n"/>
      <c r="L1235" s="24" t="n"/>
      <c r="M1235" s="24" t="n"/>
      <c r="N1235" s="24" t="n"/>
      <c r="O1235" s="15">
        <f>IF(D1235="","",COUNT(F1235,H1235,J1235,L1235,N1235))</f>
        <v/>
      </c>
      <c r="P1235" s="25">
        <f>IF(D1235="","",N(E1235)*N(F1235)+N(G1235)*N(H1235)+N(I1235)*N(J1235)+N(K1235)*N(L1235)+N(M1235)*N(N1235))</f>
        <v/>
      </c>
      <c r="Q1235" s="18">
        <f>IF(N(X1235)=0,"",IF(IF(N(F1235)=0,0,IF(N(E1235)&gt;0,E1235*(1+F1235/30),F1235))=X1235,IF(N(E1235)&gt;0,E1235&amp;" x "&amp;F1235,F1235&amp;" reps"),IF(IF(N(H1235)=0,0,IF(N(G1235)&gt;0,G1235*(1+H1235/30),H1235))=X1235,IF(N(G1235)&gt;0,G1235&amp;" x "&amp;H1235,H1235&amp;" reps"),IF(IF(N(J1235)=0,0,IF(N(I1235)&gt;0,I1235*(1+J1235/30),J1235))=X1235,IF(N(I1235)&gt;0,I1235&amp;" x "&amp;J1235,J1235&amp;" reps"),IF(IF(N(L1235)=0,0,IF(N(K1235)&gt;0,K1235*(1+L1235/30),L1235))=X1235,IF(N(K1235)&gt;0,K1235&amp;" x "&amp;L1235,L1235&amp;" reps"),IF(IF(N(N1235)=0,0,IF(N(M1235)&gt;0,M1235*(1+N1235/30),N1235))=X1235,IF(N(M1235)&gt;0,M1235&amp;" x "&amp;N1235,N1235&amp;" reps"),""))))))</f>
        <v/>
      </c>
      <c r="R1235" s="20">
        <f>IF(N(X1235)=0,"",ROUND(X1235,1))</f>
        <v/>
      </c>
      <c r="S1235" s="18">
        <f>IF(N(X1235)=0,"",IF(AND(COUNTIFS(Log!$D$6:$D$1505,D1235,Log!$B$6:$B$1505,"&lt;"&amp;B1235)&gt;0,COUNTIFS(Log!$D$6:$D$1505,D1235,Log!$B$6:$B$1505,"&lt;"&amp;B1235,Log!$X$6:$X$1505,"&gt;="&amp;X1235)=0),"New best",""))</f>
        <v/>
      </c>
      <c r="T1235" s="26" t="n"/>
      <c r="U1235" s="1">
        <f>IF(D1235="","",IFERROR(INDEX(Exercises!$C$6:$C$105,MATCH(D1235,Exercises!$B$6:$B$105,0)),"Other"))</f>
        <v/>
      </c>
      <c r="V1235">
        <f>IF(B1235="","",IF(COUNTIF($B$6:B1235,B1235)=1,1,0))</f>
        <v/>
      </c>
      <c r="W1235">
        <f>IF(B1235="","",B1235-WEEKDAY(B1235,3))</f>
        <v/>
      </c>
      <c r="X1235">
        <f>IF(D1235="","",MAX(IF(N(F1235)=0,0,IF(N(E1235)&gt;0,E1235*(1+F1235/30),F1235)),IF(N(H1235)=0,0,IF(N(G1235)&gt;0,G1235*(1+H1235/30),H1235)),IF(N(J1235)=0,0,IF(N(I1235)&gt;0,I1235*(1+J1235/30),J1235)),IF(N(L1235)=0,0,IF(N(K1235)&gt;0,K1235*(1+L1235/30),L1235)),IF(N(N1235)=0,0,IF(N(M1235)&gt;0,M1235*(1+N1235/30),N1235))))</f>
        <v/>
      </c>
      <c r="Y1235">
        <f>IF(N(X1235)=0,"",X1235+ROW()/1000000000)</f>
        <v/>
      </c>
      <c r="Z1235">
        <f>IF(Y1235="","",IF(COUNTIFS(Log!$D$6:$D$1505,D1235,Log!$Y$6:$Y$1505,"&gt;"&amp;Y1235)=0,1,0))</f>
        <v/>
      </c>
      <c r="AA1235">
        <f>IF(OR(B1235="",D1235=""),"",B1235+ROW()/10000000)</f>
        <v/>
      </c>
      <c r="AB1235">
        <f>IF(AA1235="","",IF(COUNTIFS(Log!$D$6:$D$1505,D1235,Log!$AA$6:$AA$1505,"&gt;"&amp;AA1235)=0,1,0))</f>
        <v/>
      </c>
      <c r="AC1235">
        <f>IF(S1235="New best",AA1235,"")</f>
        <v/>
      </c>
      <c r="AD1235">
        <f>ROW()</f>
        <v/>
      </c>
    </row>
    <row r="1236">
      <c r="A1236" s="1" t="n"/>
      <c r="B1236" s="21" t="n"/>
      <c r="C1236" s="22" t="n"/>
      <c r="D1236" s="23" t="n"/>
      <c r="E1236" s="24" t="n"/>
      <c r="F1236" s="24" t="n"/>
      <c r="G1236" s="24" t="n"/>
      <c r="H1236" s="24" t="n"/>
      <c r="I1236" s="24" t="n"/>
      <c r="J1236" s="24" t="n"/>
      <c r="K1236" s="24" t="n"/>
      <c r="L1236" s="24" t="n"/>
      <c r="M1236" s="24" t="n"/>
      <c r="N1236" s="24" t="n"/>
      <c r="O1236" s="15">
        <f>IF(D1236="","",COUNT(F1236,H1236,J1236,L1236,N1236))</f>
        <v/>
      </c>
      <c r="P1236" s="25">
        <f>IF(D1236="","",N(E1236)*N(F1236)+N(G1236)*N(H1236)+N(I1236)*N(J1236)+N(K1236)*N(L1236)+N(M1236)*N(N1236))</f>
        <v/>
      </c>
      <c r="Q1236" s="18">
        <f>IF(N(X1236)=0,"",IF(IF(N(F1236)=0,0,IF(N(E1236)&gt;0,E1236*(1+F1236/30),F1236))=X1236,IF(N(E1236)&gt;0,E1236&amp;" x "&amp;F1236,F1236&amp;" reps"),IF(IF(N(H1236)=0,0,IF(N(G1236)&gt;0,G1236*(1+H1236/30),H1236))=X1236,IF(N(G1236)&gt;0,G1236&amp;" x "&amp;H1236,H1236&amp;" reps"),IF(IF(N(J1236)=0,0,IF(N(I1236)&gt;0,I1236*(1+J1236/30),J1236))=X1236,IF(N(I1236)&gt;0,I1236&amp;" x "&amp;J1236,J1236&amp;" reps"),IF(IF(N(L1236)=0,0,IF(N(K1236)&gt;0,K1236*(1+L1236/30),L1236))=X1236,IF(N(K1236)&gt;0,K1236&amp;" x "&amp;L1236,L1236&amp;" reps"),IF(IF(N(N1236)=0,0,IF(N(M1236)&gt;0,M1236*(1+N1236/30),N1236))=X1236,IF(N(M1236)&gt;0,M1236&amp;" x "&amp;N1236,N1236&amp;" reps"),""))))))</f>
        <v/>
      </c>
      <c r="R1236" s="20">
        <f>IF(N(X1236)=0,"",ROUND(X1236,1))</f>
        <v/>
      </c>
      <c r="S1236" s="18">
        <f>IF(N(X1236)=0,"",IF(AND(COUNTIFS(Log!$D$6:$D$1505,D1236,Log!$B$6:$B$1505,"&lt;"&amp;B1236)&gt;0,COUNTIFS(Log!$D$6:$D$1505,D1236,Log!$B$6:$B$1505,"&lt;"&amp;B1236,Log!$X$6:$X$1505,"&gt;="&amp;X1236)=0),"New best",""))</f>
        <v/>
      </c>
      <c r="T1236" s="26" t="n"/>
      <c r="U1236" s="1">
        <f>IF(D1236="","",IFERROR(INDEX(Exercises!$C$6:$C$105,MATCH(D1236,Exercises!$B$6:$B$105,0)),"Other"))</f>
        <v/>
      </c>
      <c r="V1236">
        <f>IF(B1236="","",IF(COUNTIF($B$6:B1236,B1236)=1,1,0))</f>
        <v/>
      </c>
      <c r="W1236">
        <f>IF(B1236="","",B1236-WEEKDAY(B1236,3))</f>
        <v/>
      </c>
      <c r="X1236">
        <f>IF(D1236="","",MAX(IF(N(F1236)=0,0,IF(N(E1236)&gt;0,E1236*(1+F1236/30),F1236)),IF(N(H1236)=0,0,IF(N(G1236)&gt;0,G1236*(1+H1236/30),H1236)),IF(N(J1236)=0,0,IF(N(I1236)&gt;0,I1236*(1+J1236/30),J1236)),IF(N(L1236)=0,0,IF(N(K1236)&gt;0,K1236*(1+L1236/30),L1236)),IF(N(N1236)=0,0,IF(N(M1236)&gt;0,M1236*(1+N1236/30),N1236))))</f>
        <v/>
      </c>
      <c r="Y1236">
        <f>IF(N(X1236)=0,"",X1236+ROW()/1000000000)</f>
        <v/>
      </c>
      <c r="Z1236">
        <f>IF(Y1236="","",IF(COUNTIFS(Log!$D$6:$D$1505,D1236,Log!$Y$6:$Y$1505,"&gt;"&amp;Y1236)=0,1,0))</f>
        <v/>
      </c>
      <c r="AA1236">
        <f>IF(OR(B1236="",D1236=""),"",B1236+ROW()/10000000)</f>
        <v/>
      </c>
      <c r="AB1236">
        <f>IF(AA1236="","",IF(COUNTIFS(Log!$D$6:$D$1505,D1236,Log!$AA$6:$AA$1505,"&gt;"&amp;AA1236)=0,1,0))</f>
        <v/>
      </c>
      <c r="AC1236">
        <f>IF(S1236="New best",AA1236,"")</f>
        <v/>
      </c>
      <c r="AD1236">
        <f>ROW()</f>
        <v/>
      </c>
    </row>
    <row r="1237">
      <c r="A1237" s="1" t="n"/>
      <c r="B1237" s="21" t="n"/>
      <c r="C1237" s="22" t="n"/>
      <c r="D1237" s="23" t="n"/>
      <c r="E1237" s="24" t="n"/>
      <c r="F1237" s="24" t="n"/>
      <c r="G1237" s="24" t="n"/>
      <c r="H1237" s="24" t="n"/>
      <c r="I1237" s="24" t="n"/>
      <c r="J1237" s="24" t="n"/>
      <c r="K1237" s="24" t="n"/>
      <c r="L1237" s="24" t="n"/>
      <c r="M1237" s="24" t="n"/>
      <c r="N1237" s="24" t="n"/>
      <c r="O1237" s="15">
        <f>IF(D1237="","",COUNT(F1237,H1237,J1237,L1237,N1237))</f>
        <v/>
      </c>
      <c r="P1237" s="25">
        <f>IF(D1237="","",N(E1237)*N(F1237)+N(G1237)*N(H1237)+N(I1237)*N(J1237)+N(K1237)*N(L1237)+N(M1237)*N(N1237))</f>
        <v/>
      </c>
      <c r="Q1237" s="18">
        <f>IF(N(X1237)=0,"",IF(IF(N(F1237)=0,0,IF(N(E1237)&gt;0,E1237*(1+F1237/30),F1237))=X1237,IF(N(E1237)&gt;0,E1237&amp;" x "&amp;F1237,F1237&amp;" reps"),IF(IF(N(H1237)=0,0,IF(N(G1237)&gt;0,G1237*(1+H1237/30),H1237))=X1237,IF(N(G1237)&gt;0,G1237&amp;" x "&amp;H1237,H1237&amp;" reps"),IF(IF(N(J1237)=0,0,IF(N(I1237)&gt;0,I1237*(1+J1237/30),J1237))=X1237,IF(N(I1237)&gt;0,I1237&amp;" x "&amp;J1237,J1237&amp;" reps"),IF(IF(N(L1237)=0,0,IF(N(K1237)&gt;0,K1237*(1+L1237/30),L1237))=X1237,IF(N(K1237)&gt;0,K1237&amp;" x "&amp;L1237,L1237&amp;" reps"),IF(IF(N(N1237)=0,0,IF(N(M1237)&gt;0,M1237*(1+N1237/30),N1237))=X1237,IF(N(M1237)&gt;0,M1237&amp;" x "&amp;N1237,N1237&amp;" reps"),""))))))</f>
        <v/>
      </c>
      <c r="R1237" s="20">
        <f>IF(N(X1237)=0,"",ROUND(X1237,1))</f>
        <v/>
      </c>
      <c r="S1237" s="18">
        <f>IF(N(X1237)=0,"",IF(AND(COUNTIFS(Log!$D$6:$D$1505,D1237,Log!$B$6:$B$1505,"&lt;"&amp;B1237)&gt;0,COUNTIFS(Log!$D$6:$D$1505,D1237,Log!$B$6:$B$1505,"&lt;"&amp;B1237,Log!$X$6:$X$1505,"&gt;="&amp;X1237)=0),"New best",""))</f>
        <v/>
      </c>
      <c r="T1237" s="26" t="n"/>
      <c r="U1237" s="1">
        <f>IF(D1237="","",IFERROR(INDEX(Exercises!$C$6:$C$105,MATCH(D1237,Exercises!$B$6:$B$105,0)),"Other"))</f>
        <v/>
      </c>
      <c r="V1237">
        <f>IF(B1237="","",IF(COUNTIF($B$6:B1237,B1237)=1,1,0))</f>
        <v/>
      </c>
      <c r="W1237">
        <f>IF(B1237="","",B1237-WEEKDAY(B1237,3))</f>
        <v/>
      </c>
      <c r="X1237">
        <f>IF(D1237="","",MAX(IF(N(F1237)=0,0,IF(N(E1237)&gt;0,E1237*(1+F1237/30),F1237)),IF(N(H1237)=0,0,IF(N(G1237)&gt;0,G1237*(1+H1237/30),H1237)),IF(N(J1237)=0,0,IF(N(I1237)&gt;0,I1237*(1+J1237/30),J1237)),IF(N(L1237)=0,0,IF(N(K1237)&gt;0,K1237*(1+L1237/30),L1237)),IF(N(N1237)=0,0,IF(N(M1237)&gt;0,M1237*(1+N1237/30),N1237))))</f>
        <v/>
      </c>
      <c r="Y1237">
        <f>IF(N(X1237)=0,"",X1237+ROW()/1000000000)</f>
        <v/>
      </c>
      <c r="Z1237">
        <f>IF(Y1237="","",IF(COUNTIFS(Log!$D$6:$D$1505,D1237,Log!$Y$6:$Y$1505,"&gt;"&amp;Y1237)=0,1,0))</f>
        <v/>
      </c>
      <c r="AA1237">
        <f>IF(OR(B1237="",D1237=""),"",B1237+ROW()/10000000)</f>
        <v/>
      </c>
      <c r="AB1237">
        <f>IF(AA1237="","",IF(COUNTIFS(Log!$D$6:$D$1505,D1237,Log!$AA$6:$AA$1505,"&gt;"&amp;AA1237)=0,1,0))</f>
        <v/>
      </c>
      <c r="AC1237">
        <f>IF(S1237="New best",AA1237,"")</f>
        <v/>
      </c>
      <c r="AD1237">
        <f>ROW()</f>
        <v/>
      </c>
    </row>
    <row r="1238">
      <c r="A1238" s="1" t="n"/>
      <c r="B1238" s="21" t="n"/>
      <c r="C1238" s="22" t="n"/>
      <c r="D1238" s="23" t="n"/>
      <c r="E1238" s="24" t="n"/>
      <c r="F1238" s="24" t="n"/>
      <c r="G1238" s="24" t="n"/>
      <c r="H1238" s="24" t="n"/>
      <c r="I1238" s="24" t="n"/>
      <c r="J1238" s="24" t="n"/>
      <c r="K1238" s="24" t="n"/>
      <c r="L1238" s="24" t="n"/>
      <c r="M1238" s="24" t="n"/>
      <c r="N1238" s="24" t="n"/>
      <c r="O1238" s="15">
        <f>IF(D1238="","",COUNT(F1238,H1238,J1238,L1238,N1238))</f>
        <v/>
      </c>
      <c r="P1238" s="25">
        <f>IF(D1238="","",N(E1238)*N(F1238)+N(G1238)*N(H1238)+N(I1238)*N(J1238)+N(K1238)*N(L1238)+N(M1238)*N(N1238))</f>
        <v/>
      </c>
      <c r="Q1238" s="18">
        <f>IF(N(X1238)=0,"",IF(IF(N(F1238)=0,0,IF(N(E1238)&gt;0,E1238*(1+F1238/30),F1238))=X1238,IF(N(E1238)&gt;0,E1238&amp;" x "&amp;F1238,F1238&amp;" reps"),IF(IF(N(H1238)=0,0,IF(N(G1238)&gt;0,G1238*(1+H1238/30),H1238))=X1238,IF(N(G1238)&gt;0,G1238&amp;" x "&amp;H1238,H1238&amp;" reps"),IF(IF(N(J1238)=0,0,IF(N(I1238)&gt;0,I1238*(1+J1238/30),J1238))=X1238,IF(N(I1238)&gt;0,I1238&amp;" x "&amp;J1238,J1238&amp;" reps"),IF(IF(N(L1238)=0,0,IF(N(K1238)&gt;0,K1238*(1+L1238/30),L1238))=X1238,IF(N(K1238)&gt;0,K1238&amp;" x "&amp;L1238,L1238&amp;" reps"),IF(IF(N(N1238)=0,0,IF(N(M1238)&gt;0,M1238*(1+N1238/30),N1238))=X1238,IF(N(M1238)&gt;0,M1238&amp;" x "&amp;N1238,N1238&amp;" reps"),""))))))</f>
        <v/>
      </c>
      <c r="R1238" s="20">
        <f>IF(N(X1238)=0,"",ROUND(X1238,1))</f>
        <v/>
      </c>
      <c r="S1238" s="18">
        <f>IF(N(X1238)=0,"",IF(AND(COUNTIFS(Log!$D$6:$D$1505,D1238,Log!$B$6:$B$1505,"&lt;"&amp;B1238)&gt;0,COUNTIFS(Log!$D$6:$D$1505,D1238,Log!$B$6:$B$1505,"&lt;"&amp;B1238,Log!$X$6:$X$1505,"&gt;="&amp;X1238)=0),"New best",""))</f>
        <v/>
      </c>
      <c r="T1238" s="26" t="n"/>
      <c r="U1238" s="1">
        <f>IF(D1238="","",IFERROR(INDEX(Exercises!$C$6:$C$105,MATCH(D1238,Exercises!$B$6:$B$105,0)),"Other"))</f>
        <v/>
      </c>
      <c r="V1238">
        <f>IF(B1238="","",IF(COUNTIF($B$6:B1238,B1238)=1,1,0))</f>
        <v/>
      </c>
      <c r="W1238">
        <f>IF(B1238="","",B1238-WEEKDAY(B1238,3))</f>
        <v/>
      </c>
      <c r="X1238">
        <f>IF(D1238="","",MAX(IF(N(F1238)=0,0,IF(N(E1238)&gt;0,E1238*(1+F1238/30),F1238)),IF(N(H1238)=0,0,IF(N(G1238)&gt;0,G1238*(1+H1238/30),H1238)),IF(N(J1238)=0,0,IF(N(I1238)&gt;0,I1238*(1+J1238/30),J1238)),IF(N(L1238)=0,0,IF(N(K1238)&gt;0,K1238*(1+L1238/30),L1238)),IF(N(N1238)=0,0,IF(N(M1238)&gt;0,M1238*(1+N1238/30),N1238))))</f>
        <v/>
      </c>
      <c r="Y1238">
        <f>IF(N(X1238)=0,"",X1238+ROW()/1000000000)</f>
        <v/>
      </c>
      <c r="Z1238">
        <f>IF(Y1238="","",IF(COUNTIFS(Log!$D$6:$D$1505,D1238,Log!$Y$6:$Y$1505,"&gt;"&amp;Y1238)=0,1,0))</f>
        <v/>
      </c>
      <c r="AA1238">
        <f>IF(OR(B1238="",D1238=""),"",B1238+ROW()/10000000)</f>
        <v/>
      </c>
      <c r="AB1238">
        <f>IF(AA1238="","",IF(COUNTIFS(Log!$D$6:$D$1505,D1238,Log!$AA$6:$AA$1505,"&gt;"&amp;AA1238)=0,1,0))</f>
        <v/>
      </c>
      <c r="AC1238">
        <f>IF(S1238="New best",AA1238,"")</f>
        <v/>
      </c>
      <c r="AD1238">
        <f>ROW()</f>
        <v/>
      </c>
    </row>
    <row r="1239">
      <c r="A1239" s="1" t="n"/>
      <c r="B1239" s="21" t="n"/>
      <c r="C1239" s="22" t="n"/>
      <c r="D1239" s="23" t="n"/>
      <c r="E1239" s="24" t="n"/>
      <c r="F1239" s="24" t="n"/>
      <c r="G1239" s="24" t="n"/>
      <c r="H1239" s="24" t="n"/>
      <c r="I1239" s="24" t="n"/>
      <c r="J1239" s="24" t="n"/>
      <c r="K1239" s="24" t="n"/>
      <c r="L1239" s="24" t="n"/>
      <c r="M1239" s="24" t="n"/>
      <c r="N1239" s="24" t="n"/>
      <c r="O1239" s="15">
        <f>IF(D1239="","",COUNT(F1239,H1239,J1239,L1239,N1239))</f>
        <v/>
      </c>
      <c r="P1239" s="25">
        <f>IF(D1239="","",N(E1239)*N(F1239)+N(G1239)*N(H1239)+N(I1239)*N(J1239)+N(K1239)*N(L1239)+N(M1239)*N(N1239))</f>
        <v/>
      </c>
      <c r="Q1239" s="18">
        <f>IF(N(X1239)=0,"",IF(IF(N(F1239)=0,0,IF(N(E1239)&gt;0,E1239*(1+F1239/30),F1239))=X1239,IF(N(E1239)&gt;0,E1239&amp;" x "&amp;F1239,F1239&amp;" reps"),IF(IF(N(H1239)=0,0,IF(N(G1239)&gt;0,G1239*(1+H1239/30),H1239))=X1239,IF(N(G1239)&gt;0,G1239&amp;" x "&amp;H1239,H1239&amp;" reps"),IF(IF(N(J1239)=0,0,IF(N(I1239)&gt;0,I1239*(1+J1239/30),J1239))=X1239,IF(N(I1239)&gt;0,I1239&amp;" x "&amp;J1239,J1239&amp;" reps"),IF(IF(N(L1239)=0,0,IF(N(K1239)&gt;0,K1239*(1+L1239/30),L1239))=X1239,IF(N(K1239)&gt;0,K1239&amp;" x "&amp;L1239,L1239&amp;" reps"),IF(IF(N(N1239)=0,0,IF(N(M1239)&gt;0,M1239*(1+N1239/30),N1239))=X1239,IF(N(M1239)&gt;0,M1239&amp;" x "&amp;N1239,N1239&amp;" reps"),""))))))</f>
        <v/>
      </c>
      <c r="R1239" s="20">
        <f>IF(N(X1239)=0,"",ROUND(X1239,1))</f>
        <v/>
      </c>
      <c r="S1239" s="18">
        <f>IF(N(X1239)=0,"",IF(AND(COUNTIFS(Log!$D$6:$D$1505,D1239,Log!$B$6:$B$1505,"&lt;"&amp;B1239)&gt;0,COUNTIFS(Log!$D$6:$D$1505,D1239,Log!$B$6:$B$1505,"&lt;"&amp;B1239,Log!$X$6:$X$1505,"&gt;="&amp;X1239)=0),"New best",""))</f>
        <v/>
      </c>
      <c r="T1239" s="26" t="n"/>
      <c r="U1239" s="1">
        <f>IF(D1239="","",IFERROR(INDEX(Exercises!$C$6:$C$105,MATCH(D1239,Exercises!$B$6:$B$105,0)),"Other"))</f>
        <v/>
      </c>
      <c r="V1239">
        <f>IF(B1239="","",IF(COUNTIF($B$6:B1239,B1239)=1,1,0))</f>
        <v/>
      </c>
      <c r="W1239">
        <f>IF(B1239="","",B1239-WEEKDAY(B1239,3))</f>
        <v/>
      </c>
      <c r="X1239">
        <f>IF(D1239="","",MAX(IF(N(F1239)=0,0,IF(N(E1239)&gt;0,E1239*(1+F1239/30),F1239)),IF(N(H1239)=0,0,IF(N(G1239)&gt;0,G1239*(1+H1239/30),H1239)),IF(N(J1239)=0,0,IF(N(I1239)&gt;0,I1239*(1+J1239/30),J1239)),IF(N(L1239)=0,0,IF(N(K1239)&gt;0,K1239*(1+L1239/30),L1239)),IF(N(N1239)=0,0,IF(N(M1239)&gt;0,M1239*(1+N1239/30),N1239))))</f>
        <v/>
      </c>
      <c r="Y1239">
        <f>IF(N(X1239)=0,"",X1239+ROW()/1000000000)</f>
        <v/>
      </c>
      <c r="Z1239">
        <f>IF(Y1239="","",IF(COUNTIFS(Log!$D$6:$D$1505,D1239,Log!$Y$6:$Y$1505,"&gt;"&amp;Y1239)=0,1,0))</f>
        <v/>
      </c>
      <c r="AA1239">
        <f>IF(OR(B1239="",D1239=""),"",B1239+ROW()/10000000)</f>
        <v/>
      </c>
      <c r="AB1239">
        <f>IF(AA1239="","",IF(COUNTIFS(Log!$D$6:$D$1505,D1239,Log!$AA$6:$AA$1505,"&gt;"&amp;AA1239)=0,1,0))</f>
        <v/>
      </c>
      <c r="AC1239">
        <f>IF(S1239="New best",AA1239,"")</f>
        <v/>
      </c>
      <c r="AD1239">
        <f>ROW()</f>
        <v/>
      </c>
    </row>
    <row r="1240">
      <c r="A1240" s="1" t="n"/>
      <c r="B1240" s="21" t="n"/>
      <c r="C1240" s="22" t="n"/>
      <c r="D1240" s="23" t="n"/>
      <c r="E1240" s="24" t="n"/>
      <c r="F1240" s="24" t="n"/>
      <c r="G1240" s="24" t="n"/>
      <c r="H1240" s="24" t="n"/>
      <c r="I1240" s="24" t="n"/>
      <c r="J1240" s="24" t="n"/>
      <c r="K1240" s="24" t="n"/>
      <c r="L1240" s="24" t="n"/>
      <c r="M1240" s="24" t="n"/>
      <c r="N1240" s="24" t="n"/>
      <c r="O1240" s="15">
        <f>IF(D1240="","",COUNT(F1240,H1240,J1240,L1240,N1240))</f>
        <v/>
      </c>
      <c r="P1240" s="25">
        <f>IF(D1240="","",N(E1240)*N(F1240)+N(G1240)*N(H1240)+N(I1240)*N(J1240)+N(K1240)*N(L1240)+N(M1240)*N(N1240))</f>
        <v/>
      </c>
      <c r="Q1240" s="18">
        <f>IF(N(X1240)=0,"",IF(IF(N(F1240)=0,0,IF(N(E1240)&gt;0,E1240*(1+F1240/30),F1240))=X1240,IF(N(E1240)&gt;0,E1240&amp;" x "&amp;F1240,F1240&amp;" reps"),IF(IF(N(H1240)=0,0,IF(N(G1240)&gt;0,G1240*(1+H1240/30),H1240))=X1240,IF(N(G1240)&gt;0,G1240&amp;" x "&amp;H1240,H1240&amp;" reps"),IF(IF(N(J1240)=0,0,IF(N(I1240)&gt;0,I1240*(1+J1240/30),J1240))=X1240,IF(N(I1240)&gt;0,I1240&amp;" x "&amp;J1240,J1240&amp;" reps"),IF(IF(N(L1240)=0,0,IF(N(K1240)&gt;0,K1240*(1+L1240/30),L1240))=X1240,IF(N(K1240)&gt;0,K1240&amp;" x "&amp;L1240,L1240&amp;" reps"),IF(IF(N(N1240)=0,0,IF(N(M1240)&gt;0,M1240*(1+N1240/30),N1240))=X1240,IF(N(M1240)&gt;0,M1240&amp;" x "&amp;N1240,N1240&amp;" reps"),""))))))</f>
        <v/>
      </c>
      <c r="R1240" s="20">
        <f>IF(N(X1240)=0,"",ROUND(X1240,1))</f>
        <v/>
      </c>
      <c r="S1240" s="18">
        <f>IF(N(X1240)=0,"",IF(AND(COUNTIFS(Log!$D$6:$D$1505,D1240,Log!$B$6:$B$1505,"&lt;"&amp;B1240)&gt;0,COUNTIFS(Log!$D$6:$D$1505,D1240,Log!$B$6:$B$1505,"&lt;"&amp;B1240,Log!$X$6:$X$1505,"&gt;="&amp;X1240)=0),"New best",""))</f>
        <v/>
      </c>
      <c r="T1240" s="26" t="n"/>
      <c r="U1240" s="1">
        <f>IF(D1240="","",IFERROR(INDEX(Exercises!$C$6:$C$105,MATCH(D1240,Exercises!$B$6:$B$105,0)),"Other"))</f>
        <v/>
      </c>
      <c r="V1240">
        <f>IF(B1240="","",IF(COUNTIF($B$6:B1240,B1240)=1,1,0))</f>
        <v/>
      </c>
      <c r="W1240">
        <f>IF(B1240="","",B1240-WEEKDAY(B1240,3))</f>
        <v/>
      </c>
      <c r="X1240">
        <f>IF(D1240="","",MAX(IF(N(F1240)=0,0,IF(N(E1240)&gt;0,E1240*(1+F1240/30),F1240)),IF(N(H1240)=0,0,IF(N(G1240)&gt;0,G1240*(1+H1240/30),H1240)),IF(N(J1240)=0,0,IF(N(I1240)&gt;0,I1240*(1+J1240/30),J1240)),IF(N(L1240)=0,0,IF(N(K1240)&gt;0,K1240*(1+L1240/30),L1240)),IF(N(N1240)=0,0,IF(N(M1240)&gt;0,M1240*(1+N1240/30),N1240))))</f>
        <v/>
      </c>
      <c r="Y1240">
        <f>IF(N(X1240)=0,"",X1240+ROW()/1000000000)</f>
        <v/>
      </c>
      <c r="Z1240">
        <f>IF(Y1240="","",IF(COUNTIFS(Log!$D$6:$D$1505,D1240,Log!$Y$6:$Y$1505,"&gt;"&amp;Y1240)=0,1,0))</f>
        <v/>
      </c>
      <c r="AA1240">
        <f>IF(OR(B1240="",D1240=""),"",B1240+ROW()/10000000)</f>
        <v/>
      </c>
      <c r="AB1240">
        <f>IF(AA1240="","",IF(COUNTIFS(Log!$D$6:$D$1505,D1240,Log!$AA$6:$AA$1505,"&gt;"&amp;AA1240)=0,1,0))</f>
        <v/>
      </c>
      <c r="AC1240">
        <f>IF(S1240="New best",AA1240,"")</f>
        <v/>
      </c>
      <c r="AD1240">
        <f>ROW()</f>
        <v/>
      </c>
    </row>
    <row r="1241">
      <c r="A1241" s="1" t="n"/>
      <c r="B1241" s="21" t="n"/>
      <c r="C1241" s="22" t="n"/>
      <c r="D1241" s="23" t="n"/>
      <c r="E1241" s="24" t="n"/>
      <c r="F1241" s="24" t="n"/>
      <c r="G1241" s="24" t="n"/>
      <c r="H1241" s="24" t="n"/>
      <c r="I1241" s="24" t="n"/>
      <c r="J1241" s="24" t="n"/>
      <c r="K1241" s="24" t="n"/>
      <c r="L1241" s="24" t="n"/>
      <c r="M1241" s="24" t="n"/>
      <c r="N1241" s="24" t="n"/>
      <c r="O1241" s="15">
        <f>IF(D1241="","",COUNT(F1241,H1241,J1241,L1241,N1241))</f>
        <v/>
      </c>
      <c r="P1241" s="25">
        <f>IF(D1241="","",N(E1241)*N(F1241)+N(G1241)*N(H1241)+N(I1241)*N(J1241)+N(K1241)*N(L1241)+N(M1241)*N(N1241))</f>
        <v/>
      </c>
      <c r="Q1241" s="18">
        <f>IF(N(X1241)=0,"",IF(IF(N(F1241)=0,0,IF(N(E1241)&gt;0,E1241*(1+F1241/30),F1241))=X1241,IF(N(E1241)&gt;0,E1241&amp;" x "&amp;F1241,F1241&amp;" reps"),IF(IF(N(H1241)=0,0,IF(N(G1241)&gt;0,G1241*(1+H1241/30),H1241))=X1241,IF(N(G1241)&gt;0,G1241&amp;" x "&amp;H1241,H1241&amp;" reps"),IF(IF(N(J1241)=0,0,IF(N(I1241)&gt;0,I1241*(1+J1241/30),J1241))=X1241,IF(N(I1241)&gt;0,I1241&amp;" x "&amp;J1241,J1241&amp;" reps"),IF(IF(N(L1241)=0,0,IF(N(K1241)&gt;0,K1241*(1+L1241/30),L1241))=X1241,IF(N(K1241)&gt;0,K1241&amp;" x "&amp;L1241,L1241&amp;" reps"),IF(IF(N(N1241)=0,0,IF(N(M1241)&gt;0,M1241*(1+N1241/30),N1241))=X1241,IF(N(M1241)&gt;0,M1241&amp;" x "&amp;N1241,N1241&amp;" reps"),""))))))</f>
        <v/>
      </c>
      <c r="R1241" s="20">
        <f>IF(N(X1241)=0,"",ROUND(X1241,1))</f>
        <v/>
      </c>
      <c r="S1241" s="18">
        <f>IF(N(X1241)=0,"",IF(AND(COUNTIFS(Log!$D$6:$D$1505,D1241,Log!$B$6:$B$1505,"&lt;"&amp;B1241)&gt;0,COUNTIFS(Log!$D$6:$D$1505,D1241,Log!$B$6:$B$1505,"&lt;"&amp;B1241,Log!$X$6:$X$1505,"&gt;="&amp;X1241)=0),"New best",""))</f>
        <v/>
      </c>
      <c r="T1241" s="26" t="n"/>
      <c r="U1241" s="1">
        <f>IF(D1241="","",IFERROR(INDEX(Exercises!$C$6:$C$105,MATCH(D1241,Exercises!$B$6:$B$105,0)),"Other"))</f>
        <v/>
      </c>
      <c r="V1241">
        <f>IF(B1241="","",IF(COUNTIF($B$6:B1241,B1241)=1,1,0))</f>
        <v/>
      </c>
      <c r="W1241">
        <f>IF(B1241="","",B1241-WEEKDAY(B1241,3))</f>
        <v/>
      </c>
      <c r="X1241">
        <f>IF(D1241="","",MAX(IF(N(F1241)=0,0,IF(N(E1241)&gt;0,E1241*(1+F1241/30),F1241)),IF(N(H1241)=0,0,IF(N(G1241)&gt;0,G1241*(1+H1241/30),H1241)),IF(N(J1241)=0,0,IF(N(I1241)&gt;0,I1241*(1+J1241/30),J1241)),IF(N(L1241)=0,0,IF(N(K1241)&gt;0,K1241*(1+L1241/30),L1241)),IF(N(N1241)=0,0,IF(N(M1241)&gt;0,M1241*(1+N1241/30),N1241))))</f>
        <v/>
      </c>
      <c r="Y1241">
        <f>IF(N(X1241)=0,"",X1241+ROW()/1000000000)</f>
        <v/>
      </c>
      <c r="Z1241">
        <f>IF(Y1241="","",IF(COUNTIFS(Log!$D$6:$D$1505,D1241,Log!$Y$6:$Y$1505,"&gt;"&amp;Y1241)=0,1,0))</f>
        <v/>
      </c>
      <c r="AA1241">
        <f>IF(OR(B1241="",D1241=""),"",B1241+ROW()/10000000)</f>
        <v/>
      </c>
      <c r="AB1241">
        <f>IF(AA1241="","",IF(COUNTIFS(Log!$D$6:$D$1505,D1241,Log!$AA$6:$AA$1505,"&gt;"&amp;AA1241)=0,1,0))</f>
        <v/>
      </c>
      <c r="AC1241">
        <f>IF(S1241="New best",AA1241,"")</f>
        <v/>
      </c>
      <c r="AD1241">
        <f>ROW()</f>
        <v/>
      </c>
    </row>
    <row r="1242">
      <c r="A1242" s="1" t="n"/>
      <c r="B1242" s="21" t="n"/>
      <c r="C1242" s="22" t="n"/>
      <c r="D1242" s="23" t="n"/>
      <c r="E1242" s="24" t="n"/>
      <c r="F1242" s="24" t="n"/>
      <c r="G1242" s="24" t="n"/>
      <c r="H1242" s="24" t="n"/>
      <c r="I1242" s="24" t="n"/>
      <c r="J1242" s="24" t="n"/>
      <c r="K1242" s="24" t="n"/>
      <c r="L1242" s="24" t="n"/>
      <c r="M1242" s="24" t="n"/>
      <c r="N1242" s="24" t="n"/>
      <c r="O1242" s="15">
        <f>IF(D1242="","",COUNT(F1242,H1242,J1242,L1242,N1242))</f>
        <v/>
      </c>
      <c r="P1242" s="25">
        <f>IF(D1242="","",N(E1242)*N(F1242)+N(G1242)*N(H1242)+N(I1242)*N(J1242)+N(K1242)*N(L1242)+N(M1242)*N(N1242))</f>
        <v/>
      </c>
      <c r="Q1242" s="18">
        <f>IF(N(X1242)=0,"",IF(IF(N(F1242)=0,0,IF(N(E1242)&gt;0,E1242*(1+F1242/30),F1242))=X1242,IF(N(E1242)&gt;0,E1242&amp;" x "&amp;F1242,F1242&amp;" reps"),IF(IF(N(H1242)=0,0,IF(N(G1242)&gt;0,G1242*(1+H1242/30),H1242))=X1242,IF(N(G1242)&gt;0,G1242&amp;" x "&amp;H1242,H1242&amp;" reps"),IF(IF(N(J1242)=0,0,IF(N(I1242)&gt;0,I1242*(1+J1242/30),J1242))=X1242,IF(N(I1242)&gt;0,I1242&amp;" x "&amp;J1242,J1242&amp;" reps"),IF(IF(N(L1242)=0,0,IF(N(K1242)&gt;0,K1242*(1+L1242/30),L1242))=X1242,IF(N(K1242)&gt;0,K1242&amp;" x "&amp;L1242,L1242&amp;" reps"),IF(IF(N(N1242)=0,0,IF(N(M1242)&gt;0,M1242*(1+N1242/30),N1242))=X1242,IF(N(M1242)&gt;0,M1242&amp;" x "&amp;N1242,N1242&amp;" reps"),""))))))</f>
        <v/>
      </c>
      <c r="R1242" s="20">
        <f>IF(N(X1242)=0,"",ROUND(X1242,1))</f>
        <v/>
      </c>
      <c r="S1242" s="18">
        <f>IF(N(X1242)=0,"",IF(AND(COUNTIFS(Log!$D$6:$D$1505,D1242,Log!$B$6:$B$1505,"&lt;"&amp;B1242)&gt;0,COUNTIFS(Log!$D$6:$D$1505,D1242,Log!$B$6:$B$1505,"&lt;"&amp;B1242,Log!$X$6:$X$1505,"&gt;="&amp;X1242)=0),"New best",""))</f>
        <v/>
      </c>
      <c r="T1242" s="26" t="n"/>
      <c r="U1242" s="1">
        <f>IF(D1242="","",IFERROR(INDEX(Exercises!$C$6:$C$105,MATCH(D1242,Exercises!$B$6:$B$105,0)),"Other"))</f>
        <v/>
      </c>
      <c r="V1242">
        <f>IF(B1242="","",IF(COUNTIF($B$6:B1242,B1242)=1,1,0))</f>
        <v/>
      </c>
      <c r="W1242">
        <f>IF(B1242="","",B1242-WEEKDAY(B1242,3))</f>
        <v/>
      </c>
      <c r="X1242">
        <f>IF(D1242="","",MAX(IF(N(F1242)=0,0,IF(N(E1242)&gt;0,E1242*(1+F1242/30),F1242)),IF(N(H1242)=0,0,IF(N(G1242)&gt;0,G1242*(1+H1242/30),H1242)),IF(N(J1242)=0,0,IF(N(I1242)&gt;0,I1242*(1+J1242/30),J1242)),IF(N(L1242)=0,0,IF(N(K1242)&gt;0,K1242*(1+L1242/30),L1242)),IF(N(N1242)=0,0,IF(N(M1242)&gt;0,M1242*(1+N1242/30),N1242))))</f>
        <v/>
      </c>
      <c r="Y1242">
        <f>IF(N(X1242)=0,"",X1242+ROW()/1000000000)</f>
        <v/>
      </c>
      <c r="Z1242">
        <f>IF(Y1242="","",IF(COUNTIFS(Log!$D$6:$D$1505,D1242,Log!$Y$6:$Y$1505,"&gt;"&amp;Y1242)=0,1,0))</f>
        <v/>
      </c>
      <c r="AA1242">
        <f>IF(OR(B1242="",D1242=""),"",B1242+ROW()/10000000)</f>
        <v/>
      </c>
      <c r="AB1242">
        <f>IF(AA1242="","",IF(COUNTIFS(Log!$D$6:$D$1505,D1242,Log!$AA$6:$AA$1505,"&gt;"&amp;AA1242)=0,1,0))</f>
        <v/>
      </c>
      <c r="AC1242">
        <f>IF(S1242="New best",AA1242,"")</f>
        <v/>
      </c>
      <c r="AD1242">
        <f>ROW()</f>
        <v/>
      </c>
    </row>
    <row r="1243">
      <c r="A1243" s="1" t="n"/>
      <c r="B1243" s="21" t="n"/>
      <c r="C1243" s="22" t="n"/>
      <c r="D1243" s="23" t="n"/>
      <c r="E1243" s="24" t="n"/>
      <c r="F1243" s="24" t="n"/>
      <c r="G1243" s="24" t="n"/>
      <c r="H1243" s="24" t="n"/>
      <c r="I1243" s="24" t="n"/>
      <c r="J1243" s="24" t="n"/>
      <c r="K1243" s="24" t="n"/>
      <c r="L1243" s="24" t="n"/>
      <c r="M1243" s="24" t="n"/>
      <c r="N1243" s="24" t="n"/>
      <c r="O1243" s="15">
        <f>IF(D1243="","",COUNT(F1243,H1243,J1243,L1243,N1243))</f>
        <v/>
      </c>
      <c r="P1243" s="25">
        <f>IF(D1243="","",N(E1243)*N(F1243)+N(G1243)*N(H1243)+N(I1243)*N(J1243)+N(K1243)*N(L1243)+N(M1243)*N(N1243))</f>
        <v/>
      </c>
      <c r="Q1243" s="18">
        <f>IF(N(X1243)=0,"",IF(IF(N(F1243)=0,0,IF(N(E1243)&gt;0,E1243*(1+F1243/30),F1243))=X1243,IF(N(E1243)&gt;0,E1243&amp;" x "&amp;F1243,F1243&amp;" reps"),IF(IF(N(H1243)=0,0,IF(N(G1243)&gt;0,G1243*(1+H1243/30),H1243))=X1243,IF(N(G1243)&gt;0,G1243&amp;" x "&amp;H1243,H1243&amp;" reps"),IF(IF(N(J1243)=0,0,IF(N(I1243)&gt;0,I1243*(1+J1243/30),J1243))=X1243,IF(N(I1243)&gt;0,I1243&amp;" x "&amp;J1243,J1243&amp;" reps"),IF(IF(N(L1243)=0,0,IF(N(K1243)&gt;0,K1243*(1+L1243/30),L1243))=X1243,IF(N(K1243)&gt;0,K1243&amp;" x "&amp;L1243,L1243&amp;" reps"),IF(IF(N(N1243)=0,0,IF(N(M1243)&gt;0,M1243*(1+N1243/30),N1243))=X1243,IF(N(M1243)&gt;0,M1243&amp;" x "&amp;N1243,N1243&amp;" reps"),""))))))</f>
        <v/>
      </c>
      <c r="R1243" s="20">
        <f>IF(N(X1243)=0,"",ROUND(X1243,1))</f>
        <v/>
      </c>
      <c r="S1243" s="18">
        <f>IF(N(X1243)=0,"",IF(AND(COUNTIFS(Log!$D$6:$D$1505,D1243,Log!$B$6:$B$1505,"&lt;"&amp;B1243)&gt;0,COUNTIFS(Log!$D$6:$D$1505,D1243,Log!$B$6:$B$1505,"&lt;"&amp;B1243,Log!$X$6:$X$1505,"&gt;="&amp;X1243)=0),"New best",""))</f>
        <v/>
      </c>
      <c r="T1243" s="26" t="n"/>
      <c r="U1243" s="1">
        <f>IF(D1243="","",IFERROR(INDEX(Exercises!$C$6:$C$105,MATCH(D1243,Exercises!$B$6:$B$105,0)),"Other"))</f>
        <v/>
      </c>
      <c r="V1243">
        <f>IF(B1243="","",IF(COUNTIF($B$6:B1243,B1243)=1,1,0))</f>
        <v/>
      </c>
      <c r="W1243">
        <f>IF(B1243="","",B1243-WEEKDAY(B1243,3))</f>
        <v/>
      </c>
      <c r="X1243">
        <f>IF(D1243="","",MAX(IF(N(F1243)=0,0,IF(N(E1243)&gt;0,E1243*(1+F1243/30),F1243)),IF(N(H1243)=0,0,IF(N(G1243)&gt;0,G1243*(1+H1243/30),H1243)),IF(N(J1243)=0,0,IF(N(I1243)&gt;0,I1243*(1+J1243/30),J1243)),IF(N(L1243)=0,0,IF(N(K1243)&gt;0,K1243*(1+L1243/30),L1243)),IF(N(N1243)=0,0,IF(N(M1243)&gt;0,M1243*(1+N1243/30),N1243))))</f>
        <v/>
      </c>
      <c r="Y1243">
        <f>IF(N(X1243)=0,"",X1243+ROW()/1000000000)</f>
        <v/>
      </c>
      <c r="Z1243">
        <f>IF(Y1243="","",IF(COUNTIFS(Log!$D$6:$D$1505,D1243,Log!$Y$6:$Y$1505,"&gt;"&amp;Y1243)=0,1,0))</f>
        <v/>
      </c>
      <c r="AA1243">
        <f>IF(OR(B1243="",D1243=""),"",B1243+ROW()/10000000)</f>
        <v/>
      </c>
      <c r="AB1243">
        <f>IF(AA1243="","",IF(COUNTIFS(Log!$D$6:$D$1505,D1243,Log!$AA$6:$AA$1505,"&gt;"&amp;AA1243)=0,1,0))</f>
        <v/>
      </c>
      <c r="AC1243">
        <f>IF(S1243="New best",AA1243,"")</f>
        <v/>
      </c>
      <c r="AD1243">
        <f>ROW()</f>
        <v/>
      </c>
    </row>
    <row r="1244">
      <c r="A1244" s="1" t="n"/>
      <c r="B1244" s="21" t="n"/>
      <c r="C1244" s="22" t="n"/>
      <c r="D1244" s="23" t="n"/>
      <c r="E1244" s="24" t="n"/>
      <c r="F1244" s="24" t="n"/>
      <c r="G1244" s="24" t="n"/>
      <c r="H1244" s="24" t="n"/>
      <c r="I1244" s="24" t="n"/>
      <c r="J1244" s="24" t="n"/>
      <c r="K1244" s="24" t="n"/>
      <c r="L1244" s="24" t="n"/>
      <c r="M1244" s="24" t="n"/>
      <c r="N1244" s="24" t="n"/>
      <c r="O1244" s="15">
        <f>IF(D1244="","",COUNT(F1244,H1244,J1244,L1244,N1244))</f>
        <v/>
      </c>
      <c r="P1244" s="25">
        <f>IF(D1244="","",N(E1244)*N(F1244)+N(G1244)*N(H1244)+N(I1244)*N(J1244)+N(K1244)*N(L1244)+N(M1244)*N(N1244))</f>
        <v/>
      </c>
      <c r="Q1244" s="18">
        <f>IF(N(X1244)=0,"",IF(IF(N(F1244)=0,0,IF(N(E1244)&gt;0,E1244*(1+F1244/30),F1244))=X1244,IF(N(E1244)&gt;0,E1244&amp;" x "&amp;F1244,F1244&amp;" reps"),IF(IF(N(H1244)=0,0,IF(N(G1244)&gt;0,G1244*(1+H1244/30),H1244))=X1244,IF(N(G1244)&gt;0,G1244&amp;" x "&amp;H1244,H1244&amp;" reps"),IF(IF(N(J1244)=0,0,IF(N(I1244)&gt;0,I1244*(1+J1244/30),J1244))=X1244,IF(N(I1244)&gt;0,I1244&amp;" x "&amp;J1244,J1244&amp;" reps"),IF(IF(N(L1244)=0,0,IF(N(K1244)&gt;0,K1244*(1+L1244/30),L1244))=X1244,IF(N(K1244)&gt;0,K1244&amp;" x "&amp;L1244,L1244&amp;" reps"),IF(IF(N(N1244)=0,0,IF(N(M1244)&gt;0,M1244*(1+N1244/30),N1244))=X1244,IF(N(M1244)&gt;0,M1244&amp;" x "&amp;N1244,N1244&amp;" reps"),""))))))</f>
        <v/>
      </c>
      <c r="R1244" s="20">
        <f>IF(N(X1244)=0,"",ROUND(X1244,1))</f>
        <v/>
      </c>
      <c r="S1244" s="18">
        <f>IF(N(X1244)=0,"",IF(AND(COUNTIFS(Log!$D$6:$D$1505,D1244,Log!$B$6:$B$1505,"&lt;"&amp;B1244)&gt;0,COUNTIFS(Log!$D$6:$D$1505,D1244,Log!$B$6:$B$1505,"&lt;"&amp;B1244,Log!$X$6:$X$1505,"&gt;="&amp;X1244)=0),"New best",""))</f>
        <v/>
      </c>
      <c r="T1244" s="26" t="n"/>
      <c r="U1244" s="1">
        <f>IF(D1244="","",IFERROR(INDEX(Exercises!$C$6:$C$105,MATCH(D1244,Exercises!$B$6:$B$105,0)),"Other"))</f>
        <v/>
      </c>
      <c r="V1244">
        <f>IF(B1244="","",IF(COUNTIF($B$6:B1244,B1244)=1,1,0))</f>
        <v/>
      </c>
      <c r="W1244">
        <f>IF(B1244="","",B1244-WEEKDAY(B1244,3))</f>
        <v/>
      </c>
      <c r="X1244">
        <f>IF(D1244="","",MAX(IF(N(F1244)=0,0,IF(N(E1244)&gt;0,E1244*(1+F1244/30),F1244)),IF(N(H1244)=0,0,IF(N(G1244)&gt;0,G1244*(1+H1244/30),H1244)),IF(N(J1244)=0,0,IF(N(I1244)&gt;0,I1244*(1+J1244/30),J1244)),IF(N(L1244)=0,0,IF(N(K1244)&gt;0,K1244*(1+L1244/30),L1244)),IF(N(N1244)=0,0,IF(N(M1244)&gt;0,M1244*(1+N1244/30),N1244))))</f>
        <v/>
      </c>
      <c r="Y1244">
        <f>IF(N(X1244)=0,"",X1244+ROW()/1000000000)</f>
        <v/>
      </c>
      <c r="Z1244">
        <f>IF(Y1244="","",IF(COUNTIFS(Log!$D$6:$D$1505,D1244,Log!$Y$6:$Y$1505,"&gt;"&amp;Y1244)=0,1,0))</f>
        <v/>
      </c>
      <c r="AA1244">
        <f>IF(OR(B1244="",D1244=""),"",B1244+ROW()/10000000)</f>
        <v/>
      </c>
      <c r="AB1244">
        <f>IF(AA1244="","",IF(COUNTIFS(Log!$D$6:$D$1505,D1244,Log!$AA$6:$AA$1505,"&gt;"&amp;AA1244)=0,1,0))</f>
        <v/>
      </c>
      <c r="AC1244">
        <f>IF(S1244="New best",AA1244,"")</f>
        <v/>
      </c>
      <c r="AD1244">
        <f>ROW()</f>
        <v/>
      </c>
    </row>
    <row r="1245">
      <c r="A1245" s="1" t="n"/>
      <c r="B1245" s="21" t="n"/>
      <c r="C1245" s="22" t="n"/>
      <c r="D1245" s="23" t="n"/>
      <c r="E1245" s="24" t="n"/>
      <c r="F1245" s="24" t="n"/>
      <c r="G1245" s="24" t="n"/>
      <c r="H1245" s="24" t="n"/>
      <c r="I1245" s="24" t="n"/>
      <c r="J1245" s="24" t="n"/>
      <c r="K1245" s="24" t="n"/>
      <c r="L1245" s="24" t="n"/>
      <c r="M1245" s="24" t="n"/>
      <c r="N1245" s="24" t="n"/>
      <c r="O1245" s="15">
        <f>IF(D1245="","",COUNT(F1245,H1245,J1245,L1245,N1245))</f>
        <v/>
      </c>
      <c r="P1245" s="25">
        <f>IF(D1245="","",N(E1245)*N(F1245)+N(G1245)*N(H1245)+N(I1245)*N(J1245)+N(K1245)*N(L1245)+N(M1245)*N(N1245))</f>
        <v/>
      </c>
      <c r="Q1245" s="18">
        <f>IF(N(X1245)=0,"",IF(IF(N(F1245)=0,0,IF(N(E1245)&gt;0,E1245*(1+F1245/30),F1245))=X1245,IF(N(E1245)&gt;0,E1245&amp;" x "&amp;F1245,F1245&amp;" reps"),IF(IF(N(H1245)=0,0,IF(N(G1245)&gt;0,G1245*(1+H1245/30),H1245))=X1245,IF(N(G1245)&gt;0,G1245&amp;" x "&amp;H1245,H1245&amp;" reps"),IF(IF(N(J1245)=0,0,IF(N(I1245)&gt;0,I1245*(1+J1245/30),J1245))=X1245,IF(N(I1245)&gt;0,I1245&amp;" x "&amp;J1245,J1245&amp;" reps"),IF(IF(N(L1245)=0,0,IF(N(K1245)&gt;0,K1245*(1+L1245/30),L1245))=X1245,IF(N(K1245)&gt;0,K1245&amp;" x "&amp;L1245,L1245&amp;" reps"),IF(IF(N(N1245)=0,0,IF(N(M1245)&gt;0,M1245*(1+N1245/30),N1245))=X1245,IF(N(M1245)&gt;0,M1245&amp;" x "&amp;N1245,N1245&amp;" reps"),""))))))</f>
        <v/>
      </c>
      <c r="R1245" s="20">
        <f>IF(N(X1245)=0,"",ROUND(X1245,1))</f>
        <v/>
      </c>
      <c r="S1245" s="18">
        <f>IF(N(X1245)=0,"",IF(AND(COUNTIFS(Log!$D$6:$D$1505,D1245,Log!$B$6:$B$1505,"&lt;"&amp;B1245)&gt;0,COUNTIFS(Log!$D$6:$D$1505,D1245,Log!$B$6:$B$1505,"&lt;"&amp;B1245,Log!$X$6:$X$1505,"&gt;="&amp;X1245)=0),"New best",""))</f>
        <v/>
      </c>
      <c r="T1245" s="26" t="n"/>
      <c r="U1245" s="1">
        <f>IF(D1245="","",IFERROR(INDEX(Exercises!$C$6:$C$105,MATCH(D1245,Exercises!$B$6:$B$105,0)),"Other"))</f>
        <v/>
      </c>
      <c r="V1245">
        <f>IF(B1245="","",IF(COUNTIF($B$6:B1245,B1245)=1,1,0))</f>
        <v/>
      </c>
      <c r="W1245">
        <f>IF(B1245="","",B1245-WEEKDAY(B1245,3))</f>
        <v/>
      </c>
      <c r="X1245">
        <f>IF(D1245="","",MAX(IF(N(F1245)=0,0,IF(N(E1245)&gt;0,E1245*(1+F1245/30),F1245)),IF(N(H1245)=0,0,IF(N(G1245)&gt;0,G1245*(1+H1245/30),H1245)),IF(N(J1245)=0,0,IF(N(I1245)&gt;0,I1245*(1+J1245/30),J1245)),IF(N(L1245)=0,0,IF(N(K1245)&gt;0,K1245*(1+L1245/30),L1245)),IF(N(N1245)=0,0,IF(N(M1245)&gt;0,M1245*(1+N1245/30),N1245))))</f>
        <v/>
      </c>
      <c r="Y1245">
        <f>IF(N(X1245)=0,"",X1245+ROW()/1000000000)</f>
        <v/>
      </c>
      <c r="Z1245">
        <f>IF(Y1245="","",IF(COUNTIFS(Log!$D$6:$D$1505,D1245,Log!$Y$6:$Y$1505,"&gt;"&amp;Y1245)=0,1,0))</f>
        <v/>
      </c>
      <c r="AA1245">
        <f>IF(OR(B1245="",D1245=""),"",B1245+ROW()/10000000)</f>
        <v/>
      </c>
      <c r="AB1245">
        <f>IF(AA1245="","",IF(COUNTIFS(Log!$D$6:$D$1505,D1245,Log!$AA$6:$AA$1505,"&gt;"&amp;AA1245)=0,1,0))</f>
        <v/>
      </c>
      <c r="AC1245">
        <f>IF(S1245="New best",AA1245,"")</f>
        <v/>
      </c>
      <c r="AD1245">
        <f>ROW()</f>
        <v/>
      </c>
    </row>
    <row r="1246">
      <c r="A1246" s="1" t="n"/>
      <c r="B1246" s="21" t="n"/>
      <c r="C1246" s="22" t="n"/>
      <c r="D1246" s="23" t="n"/>
      <c r="E1246" s="24" t="n"/>
      <c r="F1246" s="24" t="n"/>
      <c r="G1246" s="24" t="n"/>
      <c r="H1246" s="24" t="n"/>
      <c r="I1246" s="24" t="n"/>
      <c r="J1246" s="24" t="n"/>
      <c r="K1246" s="24" t="n"/>
      <c r="L1246" s="24" t="n"/>
      <c r="M1246" s="24" t="n"/>
      <c r="N1246" s="24" t="n"/>
      <c r="O1246" s="15">
        <f>IF(D1246="","",COUNT(F1246,H1246,J1246,L1246,N1246))</f>
        <v/>
      </c>
      <c r="P1246" s="25">
        <f>IF(D1246="","",N(E1246)*N(F1246)+N(G1246)*N(H1246)+N(I1246)*N(J1246)+N(K1246)*N(L1246)+N(M1246)*N(N1246))</f>
        <v/>
      </c>
      <c r="Q1246" s="18">
        <f>IF(N(X1246)=0,"",IF(IF(N(F1246)=0,0,IF(N(E1246)&gt;0,E1246*(1+F1246/30),F1246))=X1246,IF(N(E1246)&gt;0,E1246&amp;" x "&amp;F1246,F1246&amp;" reps"),IF(IF(N(H1246)=0,0,IF(N(G1246)&gt;0,G1246*(1+H1246/30),H1246))=X1246,IF(N(G1246)&gt;0,G1246&amp;" x "&amp;H1246,H1246&amp;" reps"),IF(IF(N(J1246)=0,0,IF(N(I1246)&gt;0,I1246*(1+J1246/30),J1246))=X1246,IF(N(I1246)&gt;0,I1246&amp;" x "&amp;J1246,J1246&amp;" reps"),IF(IF(N(L1246)=0,0,IF(N(K1246)&gt;0,K1246*(1+L1246/30),L1246))=X1246,IF(N(K1246)&gt;0,K1246&amp;" x "&amp;L1246,L1246&amp;" reps"),IF(IF(N(N1246)=0,0,IF(N(M1246)&gt;0,M1246*(1+N1246/30),N1246))=X1246,IF(N(M1246)&gt;0,M1246&amp;" x "&amp;N1246,N1246&amp;" reps"),""))))))</f>
        <v/>
      </c>
      <c r="R1246" s="20">
        <f>IF(N(X1246)=0,"",ROUND(X1246,1))</f>
        <v/>
      </c>
      <c r="S1246" s="18">
        <f>IF(N(X1246)=0,"",IF(AND(COUNTIFS(Log!$D$6:$D$1505,D1246,Log!$B$6:$B$1505,"&lt;"&amp;B1246)&gt;0,COUNTIFS(Log!$D$6:$D$1505,D1246,Log!$B$6:$B$1505,"&lt;"&amp;B1246,Log!$X$6:$X$1505,"&gt;="&amp;X1246)=0),"New best",""))</f>
        <v/>
      </c>
      <c r="T1246" s="26" t="n"/>
      <c r="U1246" s="1">
        <f>IF(D1246="","",IFERROR(INDEX(Exercises!$C$6:$C$105,MATCH(D1246,Exercises!$B$6:$B$105,0)),"Other"))</f>
        <v/>
      </c>
      <c r="V1246">
        <f>IF(B1246="","",IF(COUNTIF($B$6:B1246,B1246)=1,1,0))</f>
        <v/>
      </c>
      <c r="W1246">
        <f>IF(B1246="","",B1246-WEEKDAY(B1246,3))</f>
        <v/>
      </c>
      <c r="X1246">
        <f>IF(D1246="","",MAX(IF(N(F1246)=0,0,IF(N(E1246)&gt;0,E1246*(1+F1246/30),F1246)),IF(N(H1246)=0,0,IF(N(G1246)&gt;0,G1246*(1+H1246/30),H1246)),IF(N(J1246)=0,0,IF(N(I1246)&gt;0,I1246*(1+J1246/30),J1246)),IF(N(L1246)=0,0,IF(N(K1246)&gt;0,K1246*(1+L1246/30),L1246)),IF(N(N1246)=0,0,IF(N(M1246)&gt;0,M1246*(1+N1246/30),N1246))))</f>
        <v/>
      </c>
      <c r="Y1246">
        <f>IF(N(X1246)=0,"",X1246+ROW()/1000000000)</f>
        <v/>
      </c>
      <c r="Z1246">
        <f>IF(Y1246="","",IF(COUNTIFS(Log!$D$6:$D$1505,D1246,Log!$Y$6:$Y$1505,"&gt;"&amp;Y1246)=0,1,0))</f>
        <v/>
      </c>
      <c r="AA1246">
        <f>IF(OR(B1246="",D1246=""),"",B1246+ROW()/10000000)</f>
        <v/>
      </c>
      <c r="AB1246">
        <f>IF(AA1246="","",IF(COUNTIFS(Log!$D$6:$D$1505,D1246,Log!$AA$6:$AA$1505,"&gt;"&amp;AA1246)=0,1,0))</f>
        <v/>
      </c>
      <c r="AC1246">
        <f>IF(S1246="New best",AA1246,"")</f>
        <v/>
      </c>
      <c r="AD1246">
        <f>ROW()</f>
        <v/>
      </c>
    </row>
    <row r="1247">
      <c r="A1247" s="1" t="n"/>
      <c r="B1247" s="21" t="n"/>
      <c r="C1247" s="22" t="n"/>
      <c r="D1247" s="23" t="n"/>
      <c r="E1247" s="24" t="n"/>
      <c r="F1247" s="24" t="n"/>
      <c r="G1247" s="24" t="n"/>
      <c r="H1247" s="24" t="n"/>
      <c r="I1247" s="24" t="n"/>
      <c r="J1247" s="24" t="n"/>
      <c r="K1247" s="24" t="n"/>
      <c r="L1247" s="24" t="n"/>
      <c r="M1247" s="24" t="n"/>
      <c r="N1247" s="24" t="n"/>
      <c r="O1247" s="15">
        <f>IF(D1247="","",COUNT(F1247,H1247,J1247,L1247,N1247))</f>
        <v/>
      </c>
      <c r="P1247" s="25">
        <f>IF(D1247="","",N(E1247)*N(F1247)+N(G1247)*N(H1247)+N(I1247)*N(J1247)+N(K1247)*N(L1247)+N(M1247)*N(N1247))</f>
        <v/>
      </c>
      <c r="Q1247" s="18">
        <f>IF(N(X1247)=0,"",IF(IF(N(F1247)=0,0,IF(N(E1247)&gt;0,E1247*(1+F1247/30),F1247))=X1247,IF(N(E1247)&gt;0,E1247&amp;" x "&amp;F1247,F1247&amp;" reps"),IF(IF(N(H1247)=0,0,IF(N(G1247)&gt;0,G1247*(1+H1247/30),H1247))=X1247,IF(N(G1247)&gt;0,G1247&amp;" x "&amp;H1247,H1247&amp;" reps"),IF(IF(N(J1247)=0,0,IF(N(I1247)&gt;0,I1247*(1+J1247/30),J1247))=X1247,IF(N(I1247)&gt;0,I1247&amp;" x "&amp;J1247,J1247&amp;" reps"),IF(IF(N(L1247)=0,0,IF(N(K1247)&gt;0,K1247*(1+L1247/30),L1247))=X1247,IF(N(K1247)&gt;0,K1247&amp;" x "&amp;L1247,L1247&amp;" reps"),IF(IF(N(N1247)=0,0,IF(N(M1247)&gt;0,M1247*(1+N1247/30),N1247))=X1247,IF(N(M1247)&gt;0,M1247&amp;" x "&amp;N1247,N1247&amp;" reps"),""))))))</f>
        <v/>
      </c>
      <c r="R1247" s="20">
        <f>IF(N(X1247)=0,"",ROUND(X1247,1))</f>
        <v/>
      </c>
      <c r="S1247" s="18">
        <f>IF(N(X1247)=0,"",IF(AND(COUNTIFS(Log!$D$6:$D$1505,D1247,Log!$B$6:$B$1505,"&lt;"&amp;B1247)&gt;0,COUNTIFS(Log!$D$6:$D$1505,D1247,Log!$B$6:$B$1505,"&lt;"&amp;B1247,Log!$X$6:$X$1505,"&gt;="&amp;X1247)=0),"New best",""))</f>
        <v/>
      </c>
      <c r="T1247" s="26" t="n"/>
      <c r="U1247" s="1">
        <f>IF(D1247="","",IFERROR(INDEX(Exercises!$C$6:$C$105,MATCH(D1247,Exercises!$B$6:$B$105,0)),"Other"))</f>
        <v/>
      </c>
      <c r="V1247">
        <f>IF(B1247="","",IF(COUNTIF($B$6:B1247,B1247)=1,1,0))</f>
        <v/>
      </c>
      <c r="W1247">
        <f>IF(B1247="","",B1247-WEEKDAY(B1247,3))</f>
        <v/>
      </c>
      <c r="X1247">
        <f>IF(D1247="","",MAX(IF(N(F1247)=0,0,IF(N(E1247)&gt;0,E1247*(1+F1247/30),F1247)),IF(N(H1247)=0,0,IF(N(G1247)&gt;0,G1247*(1+H1247/30),H1247)),IF(N(J1247)=0,0,IF(N(I1247)&gt;0,I1247*(1+J1247/30),J1247)),IF(N(L1247)=0,0,IF(N(K1247)&gt;0,K1247*(1+L1247/30),L1247)),IF(N(N1247)=0,0,IF(N(M1247)&gt;0,M1247*(1+N1247/30),N1247))))</f>
        <v/>
      </c>
      <c r="Y1247">
        <f>IF(N(X1247)=0,"",X1247+ROW()/1000000000)</f>
        <v/>
      </c>
      <c r="Z1247">
        <f>IF(Y1247="","",IF(COUNTIFS(Log!$D$6:$D$1505,D1247,Log!$Y$6:$Y$1505,"&gt;"&amp;Y1247)=0,1,0))</f>
        <v/>
      </c>
      <c r="AA1247">
        <f>IF(OR(B1247="",D1247=""),"",B1247+ROW()/10000000)</f>
        <v/>
      </c>
      <c r="AB1247">
        <f>IF(AA1247="","",IF(COUNTIFS(Log!$D$6:$D$1505,D1247,Log!$AA$6:$AA$1505,"&gt;"&amp;AA1247)=0,1,0))</f>
        <v/>
      </c>
      <c r="AC1247">
        <f>IF(S1247="New best",AA1247,"")</f>
        <v/>
      </c>
      <c r="AD1247">
        <f>ROW()</f>
        <v/>
      </c>
    </row>
    <row r="1248">
      <c r="A1248" s="1" t="n"/>
      <c r="B1248" s="21" t="n"/>
      <c r="C1248" s="22" t="n"/>
      <c r="D1248" s="23" t="n"/>
      <c r="E1248" s="24" t="n"/>
      <c r="F1248" s="24" t="n"/>
      <c r="G1248" s="24" t="n"/>
      <c r="H1248" s="24" t="n"/>
      <c r="I1248" s="24" t="n"/>
      <c r="J1248" s="24" t="n"/>
      <c r="K1248" s="24" t="n"/>
      <c r="L1248" s="24" t="n"/>
      <c r="M1248" s="24" t="n"/>
      <c r="N1248" s="24" t="n"/>
      <c r="O1248" s="15">
        <f>IF(D1248="","",COUNT(F1248,H1248,J1248,L1248,N1248))</f>
        <v/>
      </c>
      <c r="P1248" s="25">
        <f>IF(D1248="","",N(E1248)*N(F1248)+N(G1248)*N(H1248)+N(I1248)*N(J1248)+N(K1248)*N(L1248)+N(M1248)*N(N1248))</f>
        <v/>
      </c>
      <c r="Q1248" s="18">
        <f>IF(N(X1248)=0,"",IF(IF(N(F1248)=0,0,IF(N(E1248)&gt;0,E1248*(1+F1248/30),F1248))=X1248,IF(N(E1248)&gt;0,E1248&amp;" x "&amp;F1248,F1248&amp;" reps"),IF(IF(N(H1248)=0,0,IF(N(G1248)&gt;0,G1248*(1+H1248/30),H1248))=X1248,IF(N(G1248)&gt;0,G1248&amp;" x "&amp;H1248,H1248&amp;" reps"),IF(IF(N(J1248)=0,0,IF(N(I1248)&gt;0,I1248*(1+J1248/30),J1248))=X1248,IF(N(I1248)&gt;0,I1248&amp;" x "&amp;J1248,J1248&amp;" reps"),IF(IF(N(L1248)=0,0,IF(N(K1248)&gt;0,K1248*(1+L1248/30),L1248))=X1248,IF(N(K1248)&gt;0,K1248&amp;" x "&amp;L1248,L1248&amp;" reps"),IF(IF(N(N1248)=0,0,IF(N(M1248)&gt;0,M1248*(1+N1248/30),N1248))=X1248,IF(N(M1248)&gt;0,M1248&amp;" x "&amp;N1248,N1248&amp;" reps"),""))))))</f>
        <v/>
      </c>
      <c r="R1248" s="20">
        <f>IF(N(X1248)=0,"",ROUND(X1248,1))</f>
        <v/>
      </c>
      <c r="S1248" s="18">
        <f>IF(N(X1248)=0,"",IF(AND(COUNTIFS(Log!$D$6:$D$1505,D1248,Log!$B$6:$B$1505,"&lt;"&amp;B1248)&gt;0,COUNTIFS(Log!$D$6:$D$1505,D1248,Log!$B$6:$B$1505,"&lt;"&amp;B1248,Log!$X$6:$X$1505,"&gt;="&amp;X1248)=0),"New best",""))</f>
        <v/>
      </c>
      <c r="T1248" s="26" t="n"/>
      <c r="U1248" s="1">
        <f>IF(D1248="","",IFERROR(INDEX(Exercises!$C$6:$C$105,MATCH(D1248,Exercises!$B$6:$B$105,0)),"Other"))</f>
        <v/>
      </c>
      <c r="V1248">
        <f>IF(B1248="","",IF(COUNTIF($B$6:B1248,B1248)=1,1,0))</f>
        <v/>
      </c>
      <c r="W1248">
        <f>IF(B1248="","",B1248-WEEKDAY(B1248,3))</f>
        <v/>
      </c>
      <c r="X1248">
        <f>IF(D1248="","",MAX(IF(N(F1248)=0,0,IF(N(E1248)&gt;0,E1248*(1+F1248/30),F1248)),IF(N(H1248)=0,0,IF(N(G1248)&gt;0,G1248*(1+H1248/30),H1248)),IF(N(J1248)=0,0,IF(N(I1248)&gt;0,I1248*(1+J1248/30),J1248)),IF(N(L1248)=0,0,IF(N(K1248)&gt;0,K1248*(1+L1248/30),L1248)),IF(N(N1248)=0,0,IF(N(M1248)&gt;0,M1248*(1+N1248/30),N1248))))</f>
        <v/>
      </c>
      <c r="Y1248">
        <f>IF(N(X1248)=0,"",X1248+ROW()/1000000000)</f>
        <v/>
      </c>
      <c r="Z1248">
        <f>IF(Y1248="","",IF(COUNTIFS(Log!$D$6:$D$1505,D1248,Log!$Y$6:$Y$1505,"&gt;"&amp;Y1248)=0,1,0))</f>
        <v/>
      </c>
      <c r="AA1248">
        <f>IF(OR(B1248="",D1248=""),"",B1248+ROW()/10000000)</f>
        <v/>
      </c>
      <c r="AB1248">
        <f>IF(AA1248="","",IF(COUNTIFS(Log!$D$6:$D$1505,D1248,Log!$AA$6:$AA$1505,"&gt;"&amp;AA1248)=0,1,0))</f>
        <v/>
      </c>
      <c r="AC1248">
        <f>IF(S1248="New best",AA1248,"")</f>
        <v/>
      </c>
      <c r="AD1248">
        <f>ROW()</f>
        <v/>
      </c>
    </row>
    <row r="1249">
      <c r="A1249" s="1" t="n"/>
      <c r="B1249" s="21" t="n"/>
      <c r="C1249" s="22" t="n"/>
      <c r="D1249" s="23" t="n"/>
      <c r="E1249" s="24" t="n"/>
      <c r="F1249" s="24" t="n"/>
      <c r="G1249" s="24" t="n"/>
      <c r="H1249" s="24" t="n"/>
      <c r="I1249" s="24" t="n"/>
      <c r="J1249" s="24" t="n"/>
      <c r="K1249" s="24" t="n"/>
      <c r="L1249" s="24" t="n"/>
      <c r="M1249" s="24" t="n"/>
      <c r="N1249" s="24" t="n"/>
      <c r="O1249" s="15">
        <f>IF(D1249="","",COUNT(F1249,H1249,J1249,L1249,N1249))</f>
        <v/>
      </c>
      <c r="P1249" s="25">
        <f>IF(D1249="","",N(E1249)*N(F1249)+N(G1249)*N(H1249)+N(I1249)*N(J1249)+N(K1249)*N(L1249)+N(M1249)*N(N1249))</f>
        <v/>
      </c>
      <c r="Q1249" s="18">
        <f>IF(N(X1249)=0,"",IF(IF(N(F1249)=0,0,IF(N(E1249)&gt;0,E1249*(1+F1249/30),F1249))=X1249,IF(N(E1249)&gt;0,E1249&amp;" x "&amp;F1249,F1249&amp;" reps"),IF(IF(N(H1249)=0,0,IF(N(G1249)&gt;0,G1249*(1+H1249/30),H1249))=X1249,IF(N(G1249)&gt;0,G1249&amp;" x "&amp;H1249,H1249&amp;" reps"),IF(IF(N(J1249)=0,0,IF(N(I1249)&gt;0,I1249*(1+J1249/30),J1249))=X1249,IF(N(I1249)&gt;0,I1249&amp;" x "&amp;J1249,J1249&amp;" reps"),IF(IF(N(L1249)=0,0,IF(N(K1249)&gt;0,K1249*(1+L1249/30),L1249))=X1249,IF(N(K1249)&gt;0,K1249&amp;" x "&amp;L1249,L1249&amp;" reps"),IF(IF(N(N1249)=0,0,IF(N(M1249)&gt;0,M1249*(1+N1249/30),N1249))=X1249,IF(N(M1249)&gt;0,M1249&amp;" x "&amp;N1249,N1249&amp;" reps"),""))))))</f>
        <v/>
      </c>
      <c r="R1249" s="20">
        <f>IF(N(X1249)=0,"",ROUND(X1249,1))</f>
        <v/>
      </c>
      <c r="S1249" s="18">
        <f>IF(N(X1249)=0,"",IF(AND(COUNTIFS(Log!$D$6:$D$1505,D1249,Log!$B$6:$B$1505,"&lt;"&amp;B1249)&gt;0,COUNTIFS(Log!$D$6:$D$1505,D1249,Log!$B$6:$B$1505,"&lt;"&amp;B1249,Log!$X$6:$X$1505,"&gt;="&amp;X1249)=0),"New best",""))</f>
        <v/>
      </c>
      <c r="T1249" s="26" t="n"/>
      <c r="U1249" s="1">
        <f>IF(D1249="","",IFERROR(INDEX(Exercises!$C$6:$C$105,MATCH(D1249,Exercises!$B$6:$B$105,0)),"Other"))</f>
        <v/>
      </c>
      <c r="V1249">
        <f>IF(B1249="","",IF(COUNTIF($B$6:B1249,B1249)=1,1,0))</f>
        <v/>
      </c>
      <c r="W1249">
        <f>IF(B1249="","",B1249-WEEKDAY(B1249,3))</f>
        <v/>
      </c>
      <c r="X1249">
        <f>IF(D1249="","",MAX(IF(N(F1249)=0,0,IF(N(E1249)&gt;0,E1249*(1+F1249/30),F1249)),IF(N(H1249)=0,0,IF(N(G1249)&gt;0,G1249*(1+H1249/30),H1249)),IF(N(J1249)=0,0,IF(N(I1249)&gt;0,I1249*(1+J1249/30),J1249)),IF(N(L1249)=0,0,IF(N(K1249)&gt;0,K1249*(1+L1249/30),L1249)),IF(N(N1249)=0,0,IF(N(M1249)&gt;0,M1249*(1+N1249/30),N1249))))</f>
        <v/>
      </c>
      <c r="Y1249">
        <f>IF(N(X1249)=0,"",X1249+ROW()/1000000000)</f>
        <v/>
      </c>
      <c r="Z1249">
        <f>IF(Y1249="","",IF(COUNTIFS(Log!$D$6:$D$1505,D1249,Log!$Y$6:$Y$1505,"&gt;"&amp;Y1249)=0,1,0))</f>
        <v/>
      </c>
      <c r="AA1249">
        <f>IF(OR(B1249="",D1249=""),"",B1249+ROW()/10000000)</f>
        <v/>
      </c>
      <c r="AB1249">
        <f>IF(AA1249="","",IF(COUNTIFS(Log!$D$6:$D$1505,D1249,Log!$AA$6:$AA$1505,"&gt;"&amp;AA1249)=0,1,0))</f>
        <v/>
      </c>
      <c r="AC1249">
        <f>IF(S1249="New best",AA1249,"")</f>
        <v/>
      </c>
      <c r="AD1249">
        <f>ROW()</f>
        <v/>
      </c>
    </row>
    <row r="1250">
      <c r="A1250" s="1" t="n"/>
      <c r="B1250" s="21" t="n"/>
      <c r="C1250" s="22" t="n"/>
      <c r="D1250" s="23" t="n"/>
      <c r="E1250" s="24" t="n"/>
      <c r="F1250" s="24" t="n"/>
      <c r="G1250" s="24" t="n"/>
      <c r="H1250" s="24" t="n"/>
      <c r="I1250" s="24" t="n"/>
      <c r="J1250" s="24" t="n"/>
      <c r="K1250" s="24" t="n"/>
      <c r="L1250" s="24" t="n"/>
      <c r="M1250" s="24" t="n"/>
      <c r="N1250" s="24" t="n"/>
      <c r="O1250" s="15">
        <f>IF(D1250="","",COUNT(F1250,H1250,J1250,L1250,N1250))</f>
        <v/>
      </c>
      <c r="P1250" s="25">
        <f>IF(D1250="","",N(E1250)*N(F1250)+N(G1250)*N(H1250)+N(I1250)*N(J1250)+N(K1250)*N(L1250)+N(M1250)*N(N1250))</f>
        <v/>
      </c>
      <c r="Q1250" s="18">
        <f>IF(N(X1250)=0,"",IF(IF(N(F1250)=0,0,IF(N(E1250)&gt;0,E1250*(1+F1250/30),F1250))=X1250,IF(N(E1250)&gt;0,E1250&amp;" x "&amp;F1250,F1250&amp;" reps"),IF(IF(N(H1250)=0,0,IF(N(G1250)&gt;0,G1250*(1+H1250/30),H1250))=X1250,IF(N(G1250)&gt;0,G1250&amp;" x "&amp;H1250,H1250&amp;" reps"),IF(IF(N(J1250)=0,0,IF(N(I1250)&gt;0,I1250*(1+J1250/30),J1250))=X1250,IF(N(I1250)&gt;0,I1250&amp;" x "&amp;J1250,J1250&amp;" reps"),IF(IF(N(L1250)=0,0,IF(N(K1250)&gt;0,K1250*(1+L1250/30),L1250))=X1250,IF(N(K1250)&gt;0,K1250&amp;" x "&amp;L1250,L1250&amp;" reps"),IF(IF(N(N1250)=0,0,IF(N(M1250)&gt;0,M1250*(1+N1250/30),N1250))=X1250,IF(N(M1250)&gt;0,M1250&amp;" x "&amp;N1250,N1250&amp;" reps"),""))))))</f>
        <v/>
      </c>
      <c r="R1250" s="20">
        <f>IF(N(X1250)=0,"",ROUND(X1250,1))</f>
        <v/>
      </c>
      <c r="S1250" s="18">
        <f>IF(N(X1250)=0,"",IF(AND(COUNTIFS(Log!$D$6:$D$1505,D1250,Log!$B$6:$B$1505,"&lt;"&amp;B1250)&gt;0,COUNTIFS(Log!$D$6:$D$1505,D1250,Log!$B$6:$B$1505,"&lt;"&amp;B1250,Log!$X$6:$X$1505,"&gt;="&amp;X1250)=0),"New best",""))</f>
        <v/>
      </c>
      <c r="T1250" s="26" t="n"/>
      <c r="U1250" s="1">
        <f>IF(D1250="","",IFERROR(INDEX(Exercises!$C$6:$C$105,MATCH(D1250,Exercises!$B$6:$B$105,0)),"Other"))</f>
        <v/>
      </c>
      <c r="V1250">
        <f>IF(B1250="","",IF(COUNTIF($B$6:B1250,B1250)=1,1,0))</f>
        <v/>
      </c>
      <c r="W1250">
        <f>IF(B1250="","",B1250-WEEKDAY(B1250,3))</f>
        <v/>
      </c>
      <c r="X1250">
        <f>IF(D1250="","",MAX(IF(N(F1250)=0,0,IF(N(E1250)&gt;0,E1250*(1+F1250/30),F1250)),IF(N(H1250)=0,0,IF(N(G1250)&gt;0,G1250*(1+H1250/30),H1250)),IF(N(J1250)=0,0,IF(N(I1250)&gt;0,I1250*(1+J1250/30),J1250)),IF(N(L1250)=0,0,IF(N(K1250)&gt;0,K1250*(1+L1250/30),L1250)),IF(N(N1250)=0,0,IF(N(M1250)&gt;0,M1250*(1+N1250/30),N1250))))</f>
        <v/>
      </c>
      <c r="Y1250">
        <f>IF(N(X1250)=0,"",X1250+ROW()/1000000000)</f>
        <v/>
      </c>
      <c r="Z1250">
        <f>IF(Y1250="","",IF(COUNTIFS(Log!$D$6:$D$1505,D1250,Log!$Y$6:$Y$1505,"&gt;"&amp;Y1250)=0,1,0))</f>
        <v/>
      </c>
      <c r="AA1250">
        <f>IF(OR(B1250="",D1250=""),"",B1250+ROW()/10000000)</f>
        <v/>
      </c>
      <c r="AB1250">
        <f>IF(AA1250="","",IF(COUNTIFS(Log!$D$6:$D$1505,D1250,Log!$AA$6:$AA$1505,"&gt;"&amp;AA1250)=0,1,0))</f>
        <v/>
      </c>
      <c r="AC1250">
        <f>IF(S1250="New best",AA1250,"")</f>
        <v/>
      </c>
      <c r="AD1250">
        <f>ROW()</f>
        <v/>
      </c>
    </row>
    <row r="1251">
      <c r="A1251" s="1" t="n"/>
      <c r="B1251" s="21" t="n"/>
      <c r="C1251" s="22" t="n"/>
      <c r="D1251" s="23" t="n"/>
      <c r="E1251" s="24" t="n"/>
      <c r="F1251" s="24" t="n"/>
      <c r="G1251" s="24" t="n"/>
      <c r="H1251" s="24" t="n"/>
      <c r="I1251" s="24" t="n"/>
      <c r="J1251" s="24" t="n"/>
      <c r="K1251" s="24" t="n"/>
      <c r="L1251" s="24" t="n"/>
      <c r="M1251" s="24" t="n"/>
      <c r="N1251" s="24" t="n"/>
      <c r="O1251" s="15">
        <f>IF(D1251="","",COUNT(F1251,H1251,J1251,L1251,N1251))</f>
        <v/>
      </c>
      <c r="P1251" s="25">
        <f>IF(D1251="","",N(E1251)*N(F1251)+N(G1251)*N(H1251)+N(I1251)*N(J1251)+N(K1251)*N(L1251)+N(M1251)*N(N1251))</f>
        <v/>
      </c>
      <c r="Q1251" s="18">
        <f>IF(N(X1251)=0,"",IF(IF(N(F1251)=0,0,IF(N(E1251)&gt;0,E1251*(1+F1251/30),F1251))=X1251,IF(N(E1251)&gt;0,E1251&amp;" x "&amp;F1251,F1251&amp;" reps"),IF(IF(N(H1251)=0,0,IF(N(G1251)&gt;0,G1251*(1+H1251/30),H1251))=X1251,IF(N(G1251)&gt;0,G1251&amp;" x "&amp;H1251,H1251&amp;" reps"),IF(IF(N(J1251)=0,0,IF(N(I1251)&gt;0,I1251*(1+J1251/30),J1251))=X1251,IF(N(I1251)&gt;0,I1251&amp;" x "&amp;J1251,J1251&amp;" reps"),IF(IF(N(L1251)=0,0,IF(N(K1251)&gt;0,K1251*(1+L1251/30),L1251))=X1251,IF(N(K1251)&gt;0,K1251&amp;" x "&amp;L1251,L1251&amp;" reps"),IF(IF(N(N1251)=0,0,IF(N(M1251)&gt;0,M1251*(1+N1251/30),N1251))=X1251,IF(N(M1251)&gt;0,M1251&amp;" x "&amp;N1251,N1251&amp;" reps"),""))))))</f>
        <v/>
      </c>
      <c r="R1251" s="20">
        <f>IF(N(X1251)=0,"",ROUND(X1251,1))</f>
        <v/>
      </c>
      <c r="S1251" s="18">
        <f>IF(N(X1251)=0,"",IF(AND(COUNTIFS(Log!$D$6:$D$1505,D1251,Log!$B$6:$B$1505,"&lt;"&amp;B1251)&gt;0,COUNTIFS(Log!$D$6:$D$1505,D1251,Log!$B$6:$B$1505,"&lt;"&amp;B1251,Log!$X$6:$X$1505,"&gt;="&amp;X1251)=0),"New best",""))</f>
        <v/>
      </c>
      <c r="T1251" s="26" t="n"/>
      <c r="U1251" s="1">
        <f>IF(D1251="","",IFERROR(INDEX(Exercises!$C$6:$C$105,MATCH(D1251,Exercises!$B$6:$B$105,0)),"Other"))</f>
        <v/>
      </c>
      <c r="V1251">
        <f>IF(B1251="","",IF(COUNTIF($B$6:B1251,B1251)=1,1,0))</f>
        <v/>
      </c>
      <c r="W1251">
        <f>IF(B1251="","",B1251-WEEKDAY(B1251,3))</f>
        <v/>
      </c>
      <c r="X1251">
        <f>IF(D1251="","",MAX(IF(N(F1251)=0,0,IF(N(E1251)&gt;0,E1251*(1+F1251/30),F1251)),IF(N(H1251)=0,0,IF(N(G1251)&gt;0,G1251*(1+H1251/30),H1251)),IF(N(J1251)=0,0,IF(N(I1251)&gt;0,I1251*(1+J1251/30),J1251)),IF(N(L1251)=0,0,IF(N(K1251)&gt;0,K1251*(1+L1251/30),L1251)),IF(N(N1251)=0,0,IF(N(M1251)&gt;0,M1251*(1+N1251/30),N1251))))</f>
        <v/>
      </c>
      <c r="Y1251">
        <f>IF(N(X1251)=0,"",X1251+ROW()/1000000000)</f>
        <v/>
      </c>
      <c r="Z1251">
        <f>IF(Y1251="","",IF(COUNTIFS(Log!$D$6:$D$1505,D1251,Log!$Y$6:$Y$1505,"&gt;"&amp;Y1251)=0,1,0))</f>
        <v/>
      </c>
      <c r="AA1251">
        <f>IF(OR(B1251="",D1251=""),"",B1251+ROW()/10000000)</f>
        <v/>
      </c>
      <c r="AB1251">
        <f>IF(AA1251="","",IF(COUNTIFS(Log!$D$6:$D$1505,D1251,Log!$AA$6:$AA$1505,"&gt;"&amp;AA1251)=0,1,0))</f>
        <v/>
      </c>
      <c r="AC1251">
        <f>IF(S1251="New best",AA1251,"")</f>
        <v/>
      </c>
      <c r="AD1251">
        <f>ROW()</f>
        <v/>
      </c>
    </row>
    <row r="1252">
      <c r="A1252" s="1" t="n"/>
      <c r="B1252" s="21" t="n"/>
      <c r="C1252" s="22" t="n"/>
      <c r="D1252" s="23" t="n"/>
      <c r="E1252" s="24" t="n"/>
      <c r="F1252" s="24" t="n"/>
      <c r="G1252" s="24" t="n"/>
      <c r="H1252" s="24" t="n"/>
      <c r="I1252" s="24" t="n"/>
      <c r="J1252" s="24" t="n"/>
      <c r="K1252" s="24" t="n"/>
      <c r="L1252" s="24" t="n"/>
      <c r="M1252" s="24" t="n"/>
      <c r="N1252" s="24" t="n"/>
      <c r="O1252" s="15">
        <f>IF(D1252="","",COUNT(F1252,H1252,J1252,L1252,N1252))</f>
        <v/>
      </c>
      <c r="P1252" s="25">
        <f>IF(D1252="","",N(E1252)*N(F1252)+N(G1252)*N(H1252)+N(I1252)*N(J1252)+N(K1252)*N(L1252)+N(M1252)*N(N1252))</f>
        <v/>
      </c>
      <c r="Q1252" s="18">
        <f>IF(N(X1252)=0,"",IF(IF(N(F1252)=0,0,IF(N(E1252)&gt;0,E1252*(1+F1252/30),F1252))=X1252,IF(N(E1252)&gt;0,E1252&amp;" x "&amp;F1252,F1252&amp;" reps"),IF(IF(N(H1252)=0,0,IF(N(G1252)&gt;0,G1252*(1+H1252/30),H1252))=X1252,IF(N(G1252)&gt;0,G1252&amp;" x "&amp;H1252,H1252&amp;" reps"),IF(IF(N(J1252)=0,0,IF(N(I1252)&gt;0,I1252*(1+J1252/30),J1252))=X1252,IF(N(I1252)&gt;0,I1252&amp;" x "&amp;J1252,J1252&amp;" reps"),IF(IF(N(L1252)=0,0,IF(N(K1252)&gt;0,K1252*(1+L1252/30),L1252))=X1252,IF(N(K1252)&gt;0,K1252&amp;" x "&amp;L1252,L1252&amp;" reps"),IF(IF(N(N1252)=0,0,IF(N(M1252)&gt;0,M1252*(1+N1252/30),N1252))=X1252,IF(N(M1252)&gt;0,M1252&amp;" x "&amp;N1252,N1252&amp;" reps"),""))))))</f>
        <v/>
      </c>
      <c r="R1252" s="20">
        <f>IF(N(X1252)=0,"",ROUND(X1252,1))</f>
        <v/>
      </c>
      <c r="S1252" s="18">
        <f>IF(N(X1252)=0,"",IF(AND(COUNTIFS(Log!$D$6:$D$1505,D1252,Log!$B$6:$B$1505,"&lt;"&amp;B1252)&gt;0,COUNTIFS(Log!$D$6:$D$1505,D1252,Log!$B$6:$B$1505,"&lt;"&amp;B1252,Log!$X$6:$X$1505,"&gt;="&amp;X1252)=0),"New best",""))</f>
        <v/>
      </c>
      <c r="T1252" s="26" t="n"/>
      <c r="U1252" s="1">
        <f>IF(D1252="","",IFERROR(INDEX(Exercises!$C$6:$C$105,MATCH(D1252,Exercises!$B$6:$B$105,0)),"Other"))</f>
        <v/>
      </c>
      <c r="V1252">
        <f>IF(B1252="","",IF(COUNTIF($B$6:B1252,B1252)=1,1,0))</f>
        <v/>
      </c>
      <c r="W1252">
        <f>IF(B1252="","",B1252-WEEKDAY(B1252,3))</f>
        <v/>
      </c>
      <c r="X1252">
        <f>IF(D1252="","",MAX(IF(N(F1252)=0,0,IF(N(E1252)&gt;0,E1252*(1+F1252/30),F1252)),IF(N(H1252)=0,0,IF(N(G1252)&gt;0,G1252*(1+H1252/30),H1252)),IF(N(J1252)=0,0,IF(N(I1252)&gt;0,I1252*(1+J1252/30),J1252)),IF(N(L1252)=0,0,IF(N(K1252)&gt;0,K1252*(1+L1252/30),L1252)),IF(N(N1252)=0,0,IF(N(M1252)&gt;0,M1252*(1+N1252/30),N1252))))</f>
        <v/>
      </c>
      <c r="Y1252">
        <f>IF(N(X1252)=0,"",X1252+ROW()/1000000000)</f>
        <v/>
      </c>
      <c r="Z1252">
        <f>IF(Y1252="","",IF(COUNTIFS(Log!$D$6:$D$1505,D1252,Log!$Y$6:$Y$1505,"&gt;"&amp;Y1252)=0,1,0))</f>
        <v/>
      </c>
      <c r="AA1252">
        <f>IF(OR(B1252="",D1252=""),"",B1252+ROW()/10000000)</f>
        <v/>
      </c>
      <c r="AB1252">
        <f>IF(AA1252="","",IF(COUNTIFS(Log!$D$6:$D$1505,D1252,Log!$AA$6:$AA$1505,"&gt;"&amp;AA1252)=0,1,0))</f>
        <v/>
      </c>
      <c r="AC1252">
        <f>IF(S1252="New best",AA1252,"")</f>
        <v/>
      </c>
      <c r="AD1252">
        <f>ROW()</f>
        <v/>
      </c>
    </row>
    <row r="1253">
      <c r="A1253" s="1" t="n"/>
      <c r="B1253" s="21" t="n"/>
      <c r="C1253" s="22" t="n"/>
      <c r="D1253" s="23" t="n"/>
      <c r="E1253" s="24" t="n"/>
      <c r="F1253" s="24" t="n"/>
      <c r="G1253" s="24" t="n"/>
      <c r="H1253" s="24" t="n"/>
      <c r="I1253" s="24" t="n"/>
      <c r="J1253" s="24" t="n"/>
      <c r="K1253" s="24" t="n"/>
      <c r="L1253" s="24" t="n"/>
      <c r="M1253" s="24" t="n"/>
      <c r="N1253" s="24" t="n"/>
      <c r="O1253" s="15">
        <f>IF(D1253="","",COUNT(F1253,H1253,J1253,L1253,N1253))</f>
        <v/>
      </c>
      <c r="P1253" s="25">
        <f>IF(D1253="","",N(E1253)*N(F1253)+N(G1253)*N(H1253)+N(I1253)*N(J1253)+N(K1253)*N(L1253)+N(M1253)*N(N1253))</f>
        <v/>
      </c>
      <c r="Q1253" s="18">
        <f>IF(N(X1253)=0,"",IF(IF(N(F1253)=0,0,IF(N(E1253)&gt;0,E1253*(1+F1253/30),F1253))=X1253,IF(N(E1253)&gt;0,E1253&amp;" x "&amp;F1253,F1253&amp;" reps"),IF(IF(N(H1253)=0,0,IF(N(G1253)&gt;0,G1253*(1+H1253/30),H1253))=X1253,IF(N(G1253)&gt;0,G1253&amp;" x "&amp;H1253,H1253&amp;" reps"),IF(IF(N(J1253)=0,0,IF(N(I1253)&gt;0,I1253*(1+J1253/30),J1253))=X1253,IF(N(I1253)&gt;0,I1253&amp;" x "&amp;J1253,J1253&amp;" reps"),IF(IF(N(L1253)=0,0,IF(N(K1253)&gt;0,K1253*(1+L1253/30),L1253))=X1253,IF(N(K1253)&gt;0,K1253&amp;" x "&amp;L1253,L1253&amp;" reps"),IF(IF(N(N1253)=0,0,IF(N(M1253)&gt;0,M1253*(1+N1253/30),N1253))=X1253,IF(N(M1253)&gt;0,M1253&amp;" x "&amp;N1253,N1253&amp;" reps"),""))))))</f>
        <v/>
      </c>
      <c r="R1253" s="20">
        <f>IF(N(X1253)=0,"",ROUND(X1253,1))</f>
        <v/>
      </c>
      <c r="S1253" s="18">
        <f>IF(N(X1253)=0,"",IF(AND(COUNTIFS(Log!$D$6:$D$1505,D1253,Log!$B$6:$B$1505,"&lt;"&amp;B1253)&gt;0,COUNTIFS(Log!$D$6:$D$1505,D1253,Log!$B$6:$B$1505,"&lt;"&amp;B1253,Log!$X$6:$X$1505,"&gt;="&amp;X1253)=0),"New best",""))</f>
        <v/>
      </c>
      <c r="T1253" s="26" t="n"/>
      <c r="U1253" s="1">
        <f>IF(D1253="","",IFERROR(INDEX(Exercises!$C$6:$C$105,MATCH(D1253,Exercises!$B$6:$B$105,0)),"Other"))</f>
        <v/>
      </c>
      <c r="V1253">
        <f>IF(B1253="","",IF(COUNTIF($B$6:B1253,B1253)=1,1,0))</f>
        <v/>
      </c>
      <c r="W1253">
        <f>IF(B1253="","",B1253-WEEKDAY(B1253,3))</f>
        <v/>
      </c>
      <c r="X1253">
        <f>IF(D1253="","",MAX(IF(N(F1253)=0,0,IF(N(E1253)&gt;0,E1253*(1+F1253/30),F1253)),IF(N(H1253)=0,0,IF(N(G1253)&gt;0,G1253*(1+H1253/30),H1253)),IF(N(J1253)=0,0,IF(N(I1253)&gt;0,I1253*(1+J1253/30),J1253)),IF(N(L1253)=0,0,IF(N(K1253)&gt;0,K1253*(1+L1253/30),L1253)),IF(N(N1253)=0,0,IF(N(M1253)&gt;0,M1253*(1+N1253/30),N1253))))</f>
        <v/>
      </c>
      <c r="Y1253">
        <f>IF(N(X1253)=0,"",X1253+ROW()/1000000000)</f>
        <v/>
      </c>
      <c r="Z1253">
        <f>IF(Y1253="","",IF(COUNTIFS(Log!$D$6:$D$1505,D1253,Log!$Y$6:$Y$1505,"&gt;"&amp;Y1253)=0,1,0))</f>
        <v/>
      </c>
      <c r="AA1253">
        <f>IF(OR(B1253="",D1253=""),"",B1253+ROW()/10000000)</f>
        <v/>
      </c>
      <c r="AB1253">
        <f>IF(AA1253="","",IF(COUNTIFS(Log!$D$6:$D$1505,D1253,Log!$AA$6:$AA$1505,"&gt;"&amp;AA1253)=0,1,0))</f>
        <v/>
      </c>
      <c r="AC1253">
        <f>IF(S1253="New best",AA1253,"")</f>
        <v/>
      </c>
      <c r="AD1253">
        <f>ROW()</f>
        <v/>
      </c>
    </row>
    <row r="1254">
      <c r="A1254" s="1" t="n"/>
      <c r="B1254" s="21" t="n"/>
      <c r="C1254" s="22" t="n"/>
      <c r="D1254" s="23" t="n"/>
      <c r="E1254" s="24" t="n"/>
      <c r="F1254" s="24" t="n"/>
      <c r="G1254" s="24" t="n"/>
      <c r="H1254" s="24" t="n"/>
      <c r="I1254" s="24" t="n"/>
      <c r="J1254" s="24" t="n"/>
      <c r="K1254" s="24" t="n"/>
      <c r="L1254" s="24" t="n"/>
      <c r="M1254" s="24" t="n"/>
      <c r="N1254" s="24" t="n"/>
      <c r="O1254" s="15">
        <f>IF(D1254="","",COUNT(F1254,H1254,J1254,L1254,N1254))</f>
        <v/>
      </c>
      <c r="P1254" s="25">
        <f>IF(D1254="","",N(E1254)*N(F1254)+N(G1254)*N(H1254)+N(I1254)*N(J1254)+N(K1254)*N(L1254)+N(M1254)*N(N1254))</f>
        <v/>
      </c>
      <c r="Q1254" s="18">
        <f>IF(N(X1254)=0,"",IF(IF(N(F1254)=0,0,IF(N(E1254)&gt;0,E1254*(1+F1254/30),F1254))=X1254,IF(N(E1254)&gt;0,E1254&amp;" x "&amp;F1254,F1254&amp;" reps"),IF(IF(N(H1254)=0,0,IF(N(G1254)&gt;0,G1254*(1+H1254/30),H1254))=X1254,IF(N(G1254)&gt;0,G1254&amp;" x "&amp;H1254,H1254&amp;" reps"),IF(IF(N(J1254)=0,0,IF(N(I1254)&gt;0,I1254*(1+J1254/30),J1254))=X1254,IF(N(I1254)&gt;0,I1254&amp;" x "&amp;J1254,J1254&amp;" reps"),IF(IF(N(L1254)=0,0,IF(N(K1254)&gt;0,K1254*(1+L1254/30),L1254))=X1254,IF(N(K1254)&gt;0,K1254&amp;" x "&amp;L1254,L1254&amp;" reps"),IF(IF(N(N1254)=0,0,IF(N(M1254)&gt;0,M1254*(1+N1254/30),N1254))=X1254,IF(N(M1254)&gt;0,M1254&amp;" x "&amp;N1254,N1254&amp;" reps"),""))))))</f>
        <v/>
      </c>
      <c r="R1254" s="20">
        <f>IF(N(X1254)=0,"",ROUND(X1254,1))</f>
        <v/>
      </c>
      <c r="S1254" s="18">
        <f>IF(N(X1254)=0,"",IF(AND(COUNTIFS(Log!$D$6:$D$1505,D1254,Log!$B$6:$B$1505,"&lt;"&amp;B1254)&gt;0,COUNTIFS(Log!$D$6:$D$1505,D1254,Log!$B$6:$B$1505,"&lt;"&amp;B1254,Log!$X$6:$X$1505,"&gt;="&amp;X1254)=0),"New best",""))</f>
        <v/>
      </c>
      <c r="T1254" s="26" t="n"/>
      <c r="U1254" s="1">
        <f>IF(D1254="","",IFERROR(INDEX(Exercises!$C$6:$C$105,MATCH(D1254,Exercises!$B$6:$B$105,0)),"Other"))</f>
        <v/>
      </c>
      <c r="V1254">
        <f>IF(B1254="","",IF(COUNTIF($B$6:B1254,B1254)=1,1,0))</f>
        <v/>
      </c>
      <c r="W1254">
        <f>IF(B1254="","",B1254-WEEKDAY(B1254,3))</f>
        <v/>
      </c>
      <c r="X1254">
        <f>IF(D1254="","",MAX(IF(N(F1254)=0,0,IF(N(E1254)&gt;0,E1254*(1+F1254/30),F1254)),IF(N(H1254)=0,0,IF(N(G1254)&gt;0,G1254*(1+H1254/30),H1254)),IF(N(J1254)=0,0,IF(N(I1254)&gt;0,I1254*(1+J1254/30),J1254)),IF(N(L1254)=0,0,IF(N(K1254)&gt;0,K1254*(1+L1254/30),L1254)),IF(N(N1254)=0,0,IF(N(M1254)&gt;0,M1254*(1+N1254/30),N1254))))</f>
        <v/>
      </c>
      <c r="Y1254">
        <f>IF(N(X1254)=0,"",X1254+ROW()/1000000000)</f>
        <v/>
      </c>
      <c r="Z1254">
        <f>IF(Y1254="","",IF(COUNTIFS(Log!$D$6:$D$1505,D1254,Log!$Y$6:$Y$1505,"&gt;"&amp;Y1254)=0,1,0))</f>
        <v/>
      </c>
      <c r="AA1254">
        <f>IF(OR(B1254="",D1254=""),"",B1254+ROW()/10000000)</f>
        <v/>
      </c>
      <c r="AB1254">
        <f>IF(AA1254="","",IF(COUNTIFS(Log!$D$6:$D$1505,D1254,Log!$AA$6:$AA$1505,"&gt;"&amp;AA1254)=0,1,0))</f>
        <v/>
      </c>
      <c r="AC1254">
        <f>IF(S1254="New best",AA1254,"")</f>
        <v/>
      </c>
      <c r="AD1254">
        <f>ROW()</f>
        <v/>
      </c>
    </row>
    <row r="1255">
      <c r="A1255" s="1" t="n"/>
      <c r="B1255" s="21" t="n"/>
      <c r="C1255" s="22" t="n"/>
      <c r="D1255" s="23" t="n"/>
      <c r="E1255" s="24" t="n"/>
      <c r="F1255" s="24" t="n"/>
      <c r="G1255" s="24" t="n"/>
      <c r="H1255" s="24" t="n"/>
      <c r="I1255" s="24" t="n"/>
      <c r="J1255" s="24" t="n"/>
      <c r="K1255" s="24" t="n"/>
      <c r="L1255" s="24" t="n"/>
      <c r="M1255" s="24" t="n"/>
      <c r="N1255" s="24" t="n"/>
      <c r="O1255" s="15">
        <f>IF(D1255="","",COUNT(F1255,H1255,J1255,L1255,N1255))</f>
        <v/>
      </c>
      <c r="P1255" s="25">
        <f>IF(D1255="","",N(E1255)*N(F1255)+N(G1255)*N(H1255)+N(I1255)*N(J1255)+N(K1255)*N(L1255)+N(M1255)*N(N1255))</f>
        <v/>
      </c>
      <c r="Q1255" s="18">
        <f>IF(N(X1255)=0,"",IF(IF(N(F1255)=0,0,IF(N(E1255)&gt;0,E1255*(1+F1255/30),F1255))=X1255,IF(N(E1255)&gt;0,E1255&amp;" x "&amp;F1255,F1255&amp;" reps"),IF(IF(N(H1255)=0,0,IF(N(G1255)&gt;0,G1255*(1+H1255/30),H1255))=X1255,IF(N(G1255)&gt;0,G1255&amp;" x "&amp;H1255,H1255&amp;" reps"),IF(IF(N(J1255)=0,0,IF(N(I1255)&gt;0,I1255*(1+J1255/30),J1255))=X1255,IF(N(I1255)&gt;0,I1255&amp;" x "&amp;J1255,J1255&amp;" reps"),IF(IF(N(L1255)=0,0,IF(N(K1255)&gt;0,K1255*(1+L1255/30),L1255))=X1255,IF(N(K1255)&gt;0,K1255&amp;" x "&amp;L1255,L1255&amp;" reps"),IF(IF(N(N1255)=0,0,IF(N(M1255)&gt;0,M1255*(1+N1255/30),N1255))=X1255,IF(N(M1255)&gt;0,M1255&amp;" x "&amp;N1255,N1255&amp;" reps"),""))))))</f>
        <v/>
      </c>
      <c r="R1255" s="20">
        <f>IF(N(X1255)=0,"",ROUND(X1255,1))</f>
        <v/>
      </c>
      <c r="S1255" s="18">
        <f>IF(N(X1255)=0,"",IF(AND(COUNTIFS(Log!$D$6:$D$1505,D1255,Log!$B$6:$B$1505,"&lt;"&amp;B1255)&gt;0,COUNTIFS(Log!$D$6:$D$1505,D1255,Log!$B$6:$B$1505,"&lt;"&amp;B1255,Log!$X$6:$X$1505,"&gt;="&amp;X1255)=0),"New best",""))</f>
        <v/>
      </c>
      <c r="T1255" s="26" t="n"/>
      <c r="U1255" s="1">
        <f>IF(D1255="","",IFERROR(INDEX(Exercises!$C$6:$C$105,MATCH(D1255,Exercises!$B$6:$B$105,0)),"Other"))</f>
        <v/>
      </c>
      <c r="V1255">
        <f>IF(B1255="","",IF(COUNTIF($B$6:B1255,B1255)=1,1,0))</f>
        <v/>
      </c>
      <c r="W1255">
        <f>IF(B1255="","",B1255-WEEKDAY(B1255,3))</f>
        <v/>
      </c>
      <c r="X1255">
        <f>IF(D1255="","",MAX(IF(N(F1255)=0,0,IF(N(E1255)&gt;0,E1255*(1+F1255/30),F1255)),IF(N(H1255)=0,0,IF(N(G1255)&gt;0,G1255*(1+H1255/30),H1255)),IF(N(J1255)=0,0,IF(N(I1255)&gt;0,I1255*(1+J1255/30),J1255)),IF(N(L1255)=0,0,IF(N(K1255)&gt;0,K1255*(1+L1255/30),L1255)),IF(N(N1255)=0,0,IF(N(M1255)&gt;0,M1255*(1+N1255/30),N1255))))</f>
        <v/>
      </c>
      <c r="Y1255">
        <f>IF(N(X1255)=0,"",X1255+ROW()/1000000000)</f>
        <v/>
      </c>
      <c r="Z1255">
        <f>IF(Y1255="","",IF(COUNTIFS(Log!$D$6:$D$1505,D1255,Log!$Y$6:$Y$1505,"&gt;"&amp;Y1255)=0,1,0))</f>
        <v/>
      </c>
      <c r="AA1255">
        <f>IF(OR(B1255="",D1255=""),"",B1255+ROW()/10000000)</f>
        <v/>
      </c>
      <c r="AB1255">
        <f>IF(AA1255="","",IF(COUNTIFS(Log!$D$6:$D$1505,D1255,Log!$AA$6:$AA$1505,"&gt;"&amp;AA1255)=0,1,0))</f>
        <v/>
      </c>
      <c r="AC1255">
        <f>IF(S1255="New best",AA1255,"")</f>
        <v/>
      </c>
      <c r="AD1255">
        <f>ROW()</f>
        <v/>
      </c>
    </row>
    <row r="1256">
      <c r="A1256" s="1" t="n"/>
      <c r="B1256" s="21" t="n"/>
      <c r="C1256" s="22" t="n"/>
      <c r="D1256" s="23" t="n"/>
      <c r="E1256" s="24" t="n"/>
      <c r="F1256" s="24" t="n"/>
      <c r="G1256" s="24" t="n"/>
      <c r="H1256" s="24" t="n"/>
      <c r="I1256" s="24" t="n"/>
      <c r="J1256" s="24" t="n"/>
      <c r="K1256" s="24" t="n"/>
      <c r="L1256" s="24" t="n"/>
      <c r="M1256" s="24" t="n"/>
      <c r="N1256" s="24" t="n"/>
      <c r="O1256" s="15">
        <f>IF(D1256="","",COUNT(F1256,H1256,J1256,L1256,N1256))</f>
        <v/>
      </c>
      <c r="P1256" s="25">
        <f>IF(D1256="","",N(E1256)*N(F1256)+N(G1256)*N(H1256)+N(I1256)*N(J1256)+N(K1256)*N(L1256)+N(M1256)*N(N1256))</f>
        <v/>
      </c>
      <c r="Q1256" s="18">
        <f>IF(N(X1256)=0,"",IF(IF(N(F1256)=0,0,IF(N(E1256)&gt;0,E1256*(1+F1256/30),F1256))=X1256,IF(N(E1256)&gt;0,E1256&amp;" x "&amp;F1256,F1256&amp;" reps"),IF(IF(N(H1256)=0,0,IF(N(G1256)&gt;0,G1256*(1+H1256/30),H1256))=X1256,IF(N(G1256)&gt;0,G1256&amp;" x "&amp;H1256,H1256&amp;" reps"),IF(IF(N(J1256)=0,0,IF(N(I1256)&gt;0,I1256*(1+J1256/30),J1256))=X1256,IF(N(I1256)&gt;0,I1256&amp;" x "&amp;J1256,J1256&amp;" reps"),IF(IF(N(L1256)=0,0,IF(N(K1256)&gt;0,K1256*(1+L1256/30),L1256))=X1256,IF(N(K1256)&gt;0,K1256&amp;" x "&amp;L1256,L1256&amp;" reps"),IF(IF(N(N1256)=0,0,IF(N(M1256)&gt;0,M1256*(1+N1256/30),N1256))=X1256,IF(N(M1256)&gt;0,M1256&amp;" x "&amp;N1256,N1256&amp;" reps"),""))))))</f>
        <v/>
      </c>
      <c r="R1256" s="20">
        <f>IF(N(X1256)=0,"",ROUND(X1256,1))</f>
        <v/>
      </c>
      <c r="S1256" s="18">
        <f>IF(N(X1256)=0,"",IF(AND(COUNTIFS(Log!$D$6:$D$1505,D1256,Log!$B$6:$B$1505,"&lt;"&amp;B1256)&gt;0,COUNTIFS(Log!$D$6:$D$1505,D1256,Log!$B$6:$B$1505,"&lt;"&amp;B1256,Log!$X$6:$X$1505,"&gt;="&amp;X1256)=0),"New best",""))</f>
        <v/>
      </c>
      <c r="T1256" s="26" t="n"/>
      <c r="U1256" s="1">
        <f>IF(D1256="","",IFERROR(INDEX(Exercises!$C$6:$C$105,MATCH(D1256,Exercises!$B$6:$B$105,0)),"Other"))</f>
        <v/>
      </c>
      <c r="V1256">
        <f>IF(B1256="","",IF(COUNTIF($B$6:B1256,B1256)=1,1,0))</f>
        <v/>
      </c>
      <c r="W1256">
        <f>IF(B1256="","",B1256-WEEKDAY(B1256,3))</f>
        <v/>
      </c>
      <c r="X1256">
        <f>IF(D1256="","",MAX(IF(N(F1256)=0,0,IF(N(E1256)&gt;0,E1256*(1+F1256/30),F1256)),IF(N(H1256)=0,0,IF(N(G1256)&gt;0,G1256*(1+H1256/30),H1256)),IF(N(J1256)=0,0,IF(N(I1256)&gt;0,I1256*(1+J1256/30),J1256)),IF(N(L1256)=0,0,IF(N(K1256)&gt;0,K1256*(1+L1256/30),L1256)),IF(N(N1256)=0,0,IF(N(M1256)&gt;0,M1256*(1+N1256/30),N1256))))</f>
        <v/>
      </c>
      <c r="Y1256">
        <f>IF(N(X1256)=0,"",X1256+ROW()/1000000000)</f>
        <v/>
      </c>
      <c r="Z1256">
        <f>IF(Y1256="","",IF(COUNTIFS(Log!$D$6:$D$1505,D1256,Log!$Y$6:$Y$1505,"&gt;"&amp;Y1256)=0,1,0))</f>
        <v/>
      </c>
      <c r="AA1256">
        <f>IF(OR(B1256="",D1256=""),"",B1256+ROW()/10000000)</f>
        <v/>
      </c>
      <c r="AB1256">
        <f>IF(AA1256="","",IF(COUNTIFS(Log!$D$6:$D$1505,D1256,Log!$AA$6:$AA$1505,"&gt;"&amp;AA1256)=0,1,0))</f>
        <v/>
      </c>
      <c r="AC1256">
        <f>IF(S1256="New best",AA1256,"")</f>
        <v/>
      </c>
      <c r="AD1256">
        <f>ROW()</f>
        <v/>
      </c>
    </row>
    <row r="1257">
      <c r="A1257" s="1" t="n"/>
      <c r="B1257" s="21" t="n"/>
      <c r="C1257" s="22" t="n"/>
      <c r="D1257" s="23" t="n"/>
      <c r="E1257" s="24" t="n"/>
      <c r="F1257" s="24" t="n"/>
      <c r="G1257" s="24" t="n"/>
      <c r="H1257" s="24" t="n"/>
      <c r="I1257" s="24" t="n"/>
      <c r="J1257" s="24" t="n"/>
      <c r="K1257" s="24" t="n"/>
      <c r="L1257" s="24" t="n"/>
      <c r="M1257" s="24" t="n"/>
      <c r="N1257" s="24" t="n"/>
      <c r="O1257" s="15">
        <f>IF(D1257="","",COUNT(F1257,H1257,J1257,L1257,N1257))</f>
        <v/>
      </c>
      <c r="P1257" s="25">
        <f>IF(D1257="","",N(E1257)*N(F1257)+N(G1257)*N(H1257)+N(I1257)*N(J1257)+N(K1257)*N(L1257)+N(M1257)*N(N1257))</f>
        <v/>
      </c>
      <c r="Q1257" s="18">
        <f>IF(N(X1257)=0,"",IF(IF(N(F1257)=0,0,IF(N(E1257)&gt;0,E1257*(1+F1257/30),F1257))=X1257,IF(N(E1257)&gt;0,E1257&amp;" x "&amp;F1257,F1257&amp;" reps"),IF(IF(N(H1257)=0,0,IF(N(G1257)&gt;0,G1257*(1+H1257/30),H1257))=X1257,IF(N(G1257)&gt;0,G1257&amp;" x "&amp;H1257,H1257&amp;" reps"),IF(IF(N(J1257)=0,0,IF(N(I1257)&gt;0,I1257*(1+J1257/30),J1257))=X1257,IF(N(I1257)&gt;0,I1257&amp;" x "&amp;J1257,J1257&amp;" reps"),IF(IF(N(L1257)=0,0,IF(N(K1257)&gt;0,K1257*(1+L1257/30),L1257))=X1257,IF(N(K1257)&gt;0,K1257&amp;" x "&amp;L1257,L1257&amp;" reps"),IF(IF(N(N1257)=0,0,IF(N(M1257)&gt;0,M1257*(1+N1257/30),N1257))=X1257,IF(N(M1257)&gt;0,M1257&amp;" x "&amp;N1257,N1257&amp;" reps"),""))))))</f>
        <v/>
      </c>
      <c r="R1257" s="20">
        <f>IF(N(X1257)=0,"",ROUND(X1257,1))</f>
        <v/>
      </c>
      <c r="S1257" s="18">
        <f>IF(N(X1257)=0,"",IF(AND(COUNTIFS(Log!$D$6:$D$1505,D1257,Log!$B$6:$B$1505,"&lt;"&amp;B1257)&gt;0,COUNTIFS(Log!$D$6:$D$1505,D1257,Log!$B$6:$B$1505,"&lt;"&amp;B1257,Log!$X$6:$X$1505,"&gt;="&amp;X1257)=0),"New best",""))</f>
        <v/>
      </c>
      <c r="T1257" s="26" t="n"/>
      <c r="U1257" s="1">
        <f>IF(D1257="","",IFERROR(INDEX(Exercises!$C$6:$C$105,MATCH(D1257,Exercises!$B$6:$B$105,0)),"Other"))</f>
        <v/>
      </c>
      <c r="V1257">
        <f>IF(B1257="","",IF(COUNTIF($B$6:B1257,B1257)=1,1,0))</f>
        <v/>
      </c>
      <c r="W1257">
        <f>IF(B1257="","",B1257-WEEKDAY(B1257,3))</f>
        <v/>
      </c>
      <c r="X1257">
        <f>IF(D1257="","",MAX(IF(N(F1257)=0,0,IF(N(E1257)&gt;0,E1257*(1+F1257/30),F1257)),IF(N(H1257)=0,0,IF(N(G1257)&gt;0,G1257*(1+H1257/30),H1257)),IF(N(J1257)=0,0,IF(N(I1257)&gt;0,I1257*(1+J1257/30),J1257)),IF(N(L1257)=0,0,IF(N(K1257)&gt;0,K1257*(1+L1257/30),L1257)),IF(N(N1257)=0,0,IF(N(M1257)&gt;0,M1257*(1+N1257/30),N1257))))</f>
        <v/>
      </c>
      <c r="Y1257">
        <f>IF(N(X1257)=0,"",X1257+ROW()/1000000000)</f>
        <v/>
      </c>
      <c r="Z1257">
        <f>IF(Y1257="","",IF(COUNTIFS(Log!$D$6:$D$1505,D1257,Log!$Y$6:$Y$1505,"&gt;"&amp;Y1257)=0,1,0))</f>
        <v/>
      </c>
      <c r="AA1257">
        <f>IF(OR(B1257="",D1257=""),"",B1257+ROW()/10000000)</f>
        <v/>
      </c>
      <c r="AB1257">
        <f>IF(AA1257="","",IF(COUNTIFS(Log!$D$6:$D$1505,D1257,Log!$AA$6:$AA$1505,"&gt;"&amp;AA1257)=0,1,0))</f>
        <v/>
      </c>
      <c r="AC1257">
        <f>IF(S1257="New best",AA1257,"")</f>
        <v/>
      </c>
      <c r="AD1257">
        <f>ROW()</f>
        <v/>
      </c>
    </row>
    <row r="1258">
      <c r="A1258" s="1" t="n"/>
      <c r="B1258" s="21" t="n"/>
      <c r="C1258" s="22" t="n"/>
      <c r="D1258" s="23" t="n"/>
      <c r="E1258" s="24" t="n"/>
      <c r="F1258" s="24" t="n"/>
      <c r="G1258" s="24" t="n"/>
      <c r="H1258" s="24" t="n"/>
      <c r="I1258" s="24" t="n"/>
      <c r="J1258" s="24" t="n"/>
      <c r="K1258" s="24" t="n"/>
      <c r="L1258" s="24" t="n"/>
      <c r="M1258" s="24" t="n"/>
      <c r="N1258" s="24" t="n"/>
      <c r="O1258" s="15">
        <f>IF(D1258="","",COUNT(F1258,H1258,J1258,L1258,N1258))</f>
        <v/>
      </c>
      <c r="P1258" s="25">
        <f>IF(D1258="","",N(E1258)*N(F1258)+N(G1258)*N(H1258)+N(I1258)*N(J1258)+N(K1258)*N(L1258)+N(M1258)*N(N1258))</f>
        <v/>
      </c>
      <c r="Q1258" s="18">
        <f>IF(N(X1258)=0,"",IF(IF(N(F1258)=0,0,IF(N(E1258)&gt;0,E1258*(1+F1258/30),F1258))=X1258,IF(N(E1258)&gt;0,E1258&amp;" x "&amp;F1258,F1258&amp;" reps"),IF(IF(N(H1258)=0,0,IF(N(G1258)&gt;0,G1258*(1+H1258/30),H1258))=X1258,IF(N(G1258)&gt;0,G1258&amp;" x "&amp;H1258,H1258&amp;" reps"),IF(IF(N(J1258)=0,0,IF(N(I1258)&gt;0,I1258*(1+J1258/30),J1258))=X1258,IF(N(I1258)&gt;0,I1258&amp;" x "&amp;J1258,J1258&amp;" reps"),IF(IF(N(L1258)=0,0,IF(N(K1258)&gt;0,K1258*(1+L1258/30),L1258))=X1258,IF(N(K1258)&gt;0,K1258&amp;" x "&amp;L1258,L1258&amp;" reps"),IF(IF(N(N1258)=0,0,IF(N(M1258)&gt;0,M1258*(1+N1258/30),N1258))=X1258,IF(N(M1258)&gt;0,M1258&amp;" x "&amp;N1258,N1258&amp;" reps"),""))))))</f>
        <v/>
      </c>
      <c r="R1258" s="20">
        <f>IF(N(X1258)=0,"",ROUND(X1258,1))</f>
        <v/>
      </c>
      <c r="S1258" s="18">
        <f>IF(N(X1258)=0,"",IF(AND(COUNTIFS(Log!$D$6:$D$1505,D1258,Log!$B$6:$B$1505,"&lt;"&amp;B1258)&gt;0,COUNTIFS(Log!$D$6:$D$1505,D1258,Log!$B$6:$B$1505,"&lt;"&amp;B1258,Log!$X$6:$X$1505,"&gt;="&amp;X1258)=0),"New best",""))</f>
        <v/>
      </c>
      <c r="T1258" s="26" t="n"/>
      <c r="U1258" s="1">
        <f>IF(D1258="","",IFERROR(INDEX(Exercises!$C$6:$C$105,MATCH(D1258,Exercises!$B$6:$B$105,0)),"Other"))</f>
        <v/>
      </c>
      <c r="V1258">
        <f>IF(B1258="","",IF(COUNTIF($B$6:B1258,B1258)=1,1,0))</f>
        <v/>
      </c>
      <c r="W1258">
        <f>IF(B1258="","",B1258-WEEKDAY(B1258,3))</f>
        <v/>
      </c>
      <c r="X1258">
        <f>IF(D1258="","",MAX(IF(N(F1258)=0,0,IF(N(E1258)&gt;0,E1258*(1+F1258/30),F1258)),IF(N(H1258)=0,0,IF(N(G1258)&gt;0,G1258*(1+H1258/30),H1258)),IF(N(J1258)=0,0,IF(N(I1258)&gt;0,I1258*(1+J1258/30),J1258)),IF(N(L1258)=0,0,IF(N(K1258)&gt;0,K1258*(1+L1258/30),L1258)),IF(N(N1258)=0,0,IF(N(M1258)&gt;0,M1258*(1+N1258/30),N1258))))</f>
        <v/>
      </c>
      <c r="Y1258">
        <f>IF(N(X1258)=0,"",X1258+ROW()/1000000000)</f>
        <v/>
      </c>
      <c r="Z1258">
        <f>IF(Y1258="","",IF(COUNTIFS(Log!$D$6:$D$1505,D1258,Log!$Y$6:$Y$1505,"&gt;"&amp;Y1258)=0,1,0))</f>
        <v/>
      </c>
      <c r="AA1258">
        <f>IF(OR(B1258="",D1258=""),"",B1258+ROW()/10000000)</f>
        <v/>
      </c>
      <c r="AB1258">
        <f>IF(AA1258="","",IF(COUNTIFS(Log!$D$6:$D$1505,D1258,Log!$AA$6:$AA$1505,"&gt;"&amp;AA1258)=0,1,0))</f>
        <v/>
      </c>
      <c r="AC1258">
        <f>IF(S1258="New best",AA1258,"")</f>
        <v/>
      </c>
      <c r="AD1258">
        <f>ROW()</f>
        <v/>
      </c>
    </row>
    <row r="1259">
      <c r="A1259" s="1" t="n"/>
      <c r="B1259" s="21" t="n"/>
      <c r="C1259" s="22" t="n"/>
      <c r="D1259" s="23" t="n"/>
      <c r="E1259" s="24" t="n"/>
      <c r="F1259" s="24" t="n"/>
      <c r="G1259" s="24" t="n"/>
      <c r="H1259" s="24" t="n"/>
      <c r="I1259" s="24" t="n"/>
      <c r="J1259" s="24" t="n"/>
      <c r="K1259" s="24" t="n"/>
      <c r="L1259" s="24" t="n"/>
      <c r="M1259" s="24" t="n"/>
      <c r="N1259" s="24" t="n"/>
      <c r="O1259" s="15">
        <f>IF(D1259="","",COUNT(F1259,H1259,J1259,L1259,N1259))</f>
        <v/>
      </c>
      <c r="P1259" s="25">
        <f>IF(D1259="","",N(E1259)*N(F1259)+N(G1259)*N(H1259)+N(I1259)*N(J1259)+N(K1259)*N(L1259)+N(M1259)*N(N1259))</f>
        <v/>
      </c>
      <c r="Q1259" s="18">
        <f>IF(N(X1259)=0,"",IF(IF(N(F1259)=0,0,IF(N(E1259)&gt;0,E1259*(1+F1259/30),F1259))=X1259,IF(N(E1259)&gt;0,E1259&amp;" x "&amp;F1259,F1259&amp;" reps"),IF(IF(N(H1259)=0,0,IF(N(G1259)&gt;0,G1259*(1+H1259/30),H1259))=X1259,IF(N(G1259)&gt;0,G1259&amp;" x "&amp;H1259,H1259&amp;" reps"),IF(IF(N(J1259)=0,0,IF(N(I1259)&gt;0,I1259*(1+J1259/30),J1259))=X1259,IF(N(I1259)&gt;0,I1259&amp;" x "&amp;J1259,J1259&amp;" reps"),IF(IF(N(L1259)=0,0,IF(N(K1259)&gt;0,K1259*(1+L1259/30),L1259))=X1259,IF(N(K1259)&gt;0,K1259&amp;" x "&amp;L1259,L1259&amp;" reps"),IF(IF(N(N1259)=0,0,IF(N(M1259)&gt;0,M1259*(1+N1259/30),N1259))=X1259,IF(N(M1259)&gt;0,M1259&amp;" x "&amp;N1259,N1259&amp;" reps"),""))))))</f>
        <v/>
      </c>
      <c r="R1259" s="20">
        <f>IF(N(X1259)=0,"",ROUND(X1259,1))</f>
        <v/>
      </c>
      <c r="S1259" s="18">
        <f>IF(N(X1259)=0,"",IF(AND(COUNTIFS(Log!$D$6:$D$1505,D1259,Log!$B$6:$B$1505,"&lt;"&amp;B1259)&gt;0,COUNTIFS(Log!$D$6:$D$1505,D1259,Log!$B$6:$B$1505,"&lt;"&amp;B1259,Log!$X$6:$X$1505,"&gt;="&amp;X1259)=0),"New best",""))</f>
        <v/>
      </c>
      <c r="T1259" s="26" t="n"/>
      <c r="U1259" s="1">
        <f>IF(D1259="","",IFERROR(INDEX(Exercises!$C$6:$C$105,MATCH(D1259,Exercises!$B$6:$B$105,0)),"Other"))</f>
        <v/>
      </c>
      <c r="V1259">
        <f>IF(B1259="","",IF(COUNTIF($B$6:B1259,B1259)=1,1,0))</f>
        <v/>
      </c>
      <c r="W1259">
        <f>IF(B1259="","",B1259-WEEKDAY(B1259,3))</f>
        <v/>
      </c>
      <c r="X1259">
        <f>IF(D1259="","",MAX(IF(N(F1259)=0,0,IF(N(E1259)&gt;0,E1259*(1+F1259/30),F1259)),IF(N(H1259)=0,0,IF(N(G1259)&gt;0,G1259*(1+H1259/30),H1259)),IF(N(J1259)=0,0,IF(N(I1259)&gt;0,I1259*(1+J1259/30),J1259)),IF(N(L1259)=0,0,IF(N(K1259)&gt;0,K1259*(1+L1259/30),L1259)),IF(N(N1259)=0,0,IF(N(M1259)&gt;0,M1259*(1+N1259/30),N1259))))</f>
        <v/>
      </c>
      <c r="Y1259">
        <f>IF(N(X1259)=0,"",X1259+ROW()/1000000000)</f>
        <v/>
      </c>
      <c r="Z1259">
        <f>IF(Y1259="","",IF(COUNTIFS(Log!$D$6:$D$1505,D1259,Log!$Y$6:$Y$1505,"&gt;"&amp;Y1259)=0,1,0))</f>
        <v/>
      </c>
      <c r="AA1259">
        <f>IF(OR(B1259="",D1259=""),"",B1259+ROW()/10000000)</f>
        <v/>
      </c>
      <c r="AB1259">
        <f>IF(AA1259="","",IF(COUNTIFS(Log!$D$6:$D$1505,D1259,Log!$AA$6:$AA$1505,"&gt;"&amp;AA1259)=0,1,0))</f>
        <v/>
      </c>
      <c r="AC1259">
        <f>IF(S1259="New best",AA1259,"")</f>
        <v/>
      </c>
      <c r="AD1259">
        <f>ROW()</f>
        <v/>
      </c>
    </row>
    <row r="1260">
      <c r="A1260" s="1" t="n"/>
      <c r="B1260" s="21" t="n"/>
      <c r="C1260" s="22" t="n"/>
      <c r="D1260" s="23" t="n"/>
      <c r="E1260" s="24" t="n"/>
      <c r="F1260" s="24" t="n"/>
      <c r="G1260" s="24" t="n"/>
      <c r="H1260" s="24" t="n"/>
      <c r="I1260" s="24" t="n"/>
      <c r="J1260" s="24" t="n"/>
      <c r="K1260" s="24" t="n"/>
      <c r="L1260" s="24" t="n"/>
      <c r="M1260" s="24" t="n"/>
      <c r="N1260" s="24" t="n"/>
      <c r="O1260" s="15">
        <f>IF(D1260="","",COUNT(F1260,H1260,J1260,L1260,N1260))</f>
        <v/>
      </c>
      <c r="P1260" s="25">
        <f>IF(D1260="","",N(E1260)*N(F1260)+N(G1260)*N(H1260)+N(I1260)*N(J1260)+N(K1260)*N(L1260)+N(M1260)*N(N1260))</f>
        <v/>
      </c>
      <c r="Q1260" s="18">
        <f>IF(N(X1260)=0,"",IF(IF(N(F1260)=0,0,IF(N(E1260)&gt;0,E1260*(1+F1260/30),F1260))=X1260,IF(N(E1260)&gt;0,E1260&amp;" x "&amp;F1260,F1260&amp;" reps"),IF(IF(N(H1260)=0,0,IF(N(G1260)&gt;0,G1260*(1+H1260/30),H1260))=X1260,IF(N(G1260)&gt;0,G1260&amp;" x "&amp;H1260,H1260&amp;" reps"),IF(IF(N(J1260)=0,0,IF(N(I1260)&gt;0,I1260*(1+J1260/30),J1260))=X1260,IF(N(I1260)&gt;0,I1260&amp;" x "&amp;J1260,J1260&amp;" reps"),IF(IF(N(L1260)=0,0,IF(N(K1260)&gt;0,K1260*(1+L1260/30),L1260))=X1260,IF(N(K1260)&gt;0,K1260&amp;" x "&amp;L1260,L1260&amp;" reps"),IF(IF(N(N1260)=0,0,IF(N(M1260)&gt;0,M1260*(1+N1260/30),N1260))=X1260,IF(N(M1260)&gt;0,M1260&amp;" x "&amp;N1260,N1260&amp;" reps"),""))))))</f>
        <v/>
      </c>
      <c r="R1260" s="20">
        <f>IF(N(X1260)=0,"",ROUND(X1260,1))</f>
        <v/>
      </c>
      <c r="S1260" s="18">
        <f>IF(N(X1260)=0,"",IF(AND(COUNTIFS(Log!$D$6:$D$1505,D1260,Log!$B$6:$B$1505,"&lt;"&amp;B1260)&gt;0,COUNTIFS(Log!$D$6:$D$1505,D1260,Log!$B$6:$B$1505,"&lt;"&amp;B1260,Log!$X$6:$X$1505,"&gt;="&amp;X1260)=0),"New best",""))</f>
        <v/>
      </c>
      <c r="T1260" s="26" t="n"/>
      <c r="U1260" s="1">
        <f>IF(D1260="","",IFERROR(INDEX(Exercises!$C$6:$C$105,MATCH(D1260,Exercises!$B$6:$B$105,0)),"Other"))</f>
        <v/>
      </c>
      <c r="V1260">
        <f>IF(B1260="","",IF(COUNTIF($B$6:B1260,B1260)=1,1,0))</f>
        <v/>
      </c>
      <c r="W1260">
        <f>IF(B1260="","",B1260-WEEKDAY(B1260,3))</f>
        <v/>
      </c>
      <c r="X1260">
        <f>IF(D1260="","",MAX(IF(N(F1260)=0,0,IF(N(E1260)&gt;0,E1260*(1+F1260/30),F1260)),IF(N(H1260)=0,0,IF(N(G1260)&gt;0,G1260*(1+H1260/30),H1260)),IF(N(J1260)=0,0,IF(N(I1260)&gt;0,I1260*(1+J1260/30),J1260)),IF(N(L1260)=0,0,IF(N(K1260)&gt;0,K1260*(1+L1260/30),L1260)),IF(N(N1260)=0,0,IF(N(M1260)&gt;0,M1260*(1+N1260/30),N1260))))</f>
        <v/>
      </c>
      <c r="Y1260">
        <f>IF(N(X1260)=0,"",X1260+ROW()/1000000000)</f>
        <v/>
      </c>
      <c r="Z1260">
        <f>IF(Y1260="","",IF(COUNTIFS(Log!$D$6:$D$1505,D1260,Log!$Y$6:$Y$1505,"&gt;"&amp;Y1260)=0,1,0))</f>
        <v/>
      </c>
      <c r="AA1260">
        <f>IF(OR(B1260="",D1260=""),"",B1260+ROW()/10000000)</f>
        <v/>
      </c>
      <c r="AB1260">
        <f>IF(AA1260="","",IF(COUNTIFS(Log!$D$6:$D$1505,D1260,Log!$AA$6:$AA$1505,"&gt;"&amp;AA1260)=0,1,0))</f>
        <v/>
      </c>
      <c r="AC1260">
        <f>IF(S1260="New best",AA1260,"")</f>
        <v/>
      </c>
      <c r="AD1260">
        <f>ROW()</f>
        <v/>
      </c>
    </row>
    <row r="1261">
      <c r="A1261" s="1" t="n"/>
      <c r="B1261" s="21" t="n"/>
      <c r="C1261" s="22" t="n"/>
      <c r="D1261" s="23" t="n"/>
      <c r="E1261" s="24" t="n"/>
      <c r="F1261" s="24" t="n"/>
      <c r="G1261" s="24" t="n"/>
      <c r="H1261" s="24" t="n"/>
      <c r="I1261" s="24" t="n"/>
      <c r="J1261" s="24" t="n"/>
      <c r="K1261" s="24" t="n"/>
      <c r="L1261" s="24" t="n"/>
      <c r="M1261" s="24" t="n"/>
      <c r="N1261" s="24" t="n"/>
      <c r="O1261" s="15">
        <f>IF(D1261="","",COUNT(F1261,H1261,J1261,L1261,N1261))</f>
        <v/>
      </c>
      <c r="P1261" s="25">
        <f>IF(D1261="","",N(E1261)*N(F1261)+N(G1261)*N(H1261)+N(I1261)*N(J1261)+N(K1261)*N(L1261)+N(M1261)*N(N1261))</f>
        <v/>
      </c>
      <c r="Q1261" s="18">
        <f>IF(N(X1261)=0,"",IF(IF(N(F1261)=0,0,IF(N(E1261)&gt;0,E1261*(1+F1261/30),F1261))=X1261,IF(N(E1261)&gt;0,E1261&amp;" x "&amp;F1261,F1261&amp;" reps"),IF(IF(N(H1261)=0,0,IF(N(G1261)&gt;0,G1261*(1+H1261/30),H1261))=X1261,IF(N(G1261)&gt;0,G1261&amp;" x "&amp;H1261,H1261&amp;" reps"),IF(IF(N(J1261)=0,0,IF(N(I1261)&gt;0,I1261*(1+J1261/30),J1261))=X1261,IF(N(I1261)&gt;0,I1261&amp;" x "&amp;J1261,J1261&amp;" reps"),IF(IF(N(L1261)=0,0,IF(N(K1261)&gt;0,K1261*(1+L1261/30),L1261))=X1261,IF(N(K1261)&gt;0,K1261&amp;" x "&amp;L1261,L1261&amp;" reps"),IF(IF(N(N1261)=0,0,IF(N(M1261)&gt;0,M1261*(1+N1261/30),N1261))=X1261,IF(N(M1261)&gt;0,M1261&amp;" x "&amp;N1261,N1261&amp;" reps"),""))))))</f>
        <v/>
      </c>
      <c r="R1261" s="20">
        <f>IF(N(X1261)=0,"",ROUND(X1261,1))</f>
        <v/>
      </c>
      <c r="S1261" s="18">
        <f>IF(N(X1261)=0,"",IF(AND(COUNTIFS(Log!$D$6:$D$1505,D1261,Log!$B$6:$B$1505,"&lt;"&amp;B1261)&gt;0,COUNTIFS(Log!$D$6:$D$1505,D1261,Log!$B$6:$B$1505,"&lt;"&amp;B1261,Log!$X$6:$X$1505,"&gt;="&amp;X1261)=0),"New best",""))</f>
        <v/>
      </c>
      <c r="T1261" s="26" t="n"/>
      <c r="U1261" s="1">
        <f>IF(D1261="","",IFERROR(INDEX(Exercises!$C$6:$C$105,MATCH(D1261,Exercises!$B$6:$B$105,0)),"Other"))</f>
        <v/>
      </c>
      <c r="V1261">
        <f>IF(B1261="","",IF(COUNTIF($B$6:B1261,B1261)=1,1,0))</f>
        <v/>
      </c>
      <c r="W1261">
        <f>IF(B1261="","",B1261-WEEKDAY(B1261,3))</f>
        <v/>
      </c>
      <c r="X1261">
        <f>IF(D1261="","",MAX(IF(N(F1261)=0,0,IF(N(E1261)&gt;0,E1261*(1+F1261/30),F1261)),IF(N(H1261)=0,0,IF(N(G1261)&gt;0,G1261*(1+H1261/30),H1261)),IF(N(J1261)=0,0,IF(N(I1261)&gt;0,I1261*(1+J1261/30),J1261)),IF(N(L1261)=0,0,IF(N(K1261)&gt;0,K1261*(1+L1261/30),L1261)),IF(N(N1261)=0,0,IF(N(M1261)&gt;0,M1261*(1+N1261/30),N1261))))</f>
        <v/>
      </c>
      <c r="Y1261">
        <f>IF(N(X1261)=0,"",X1261+ROW()/1000000000)</f>
        <v/>
      </c>
      <c r="Z1261">
        <f>IF(Y1261="","",IF(COUNTIFS(Log!$D$6:$D$1505,D1261,Log!$Y$6:$Y$1505,"&gt;"&amp;Y1261)=0,1,0))</f>
        <v/>
      </c>
      <c r="AA1261">
        <f>IF(OR(B1261="",D1261=""),"",B1261+ROW()/10000000)</f>
        <v/>
      </c>
      <c r="AB1261">
        <f>IF(AA1261="","",IF(COUNTIFS(Log!$D$6:$D$1505,D1261,Log!$AA$6:$AA$1505,"&gt;"&amp;AA1261)=0,1,0))</f>
        <v/>
      </c>
      <c r="AC1261">
        <f>IF(S1261="New best",AA1261,"")</f>
        <v/>
      </c>
      <c r="AD1261">
        <f>ROW()</f>
        <v/>
      </c>
    </row>
    <row r="1262">
      <c r="A1262" s="1" t="n"/>
      <c r="B1262" s="21" t="n"/>
      <c r="C1262" s="22" t="n"/>
      <c r="D1262" s="23" t="n"/>
      <c r="E1262" s="24" t="n"/>
      <c r="F1262" s="24" t="n"/>
      <c r="G1262" s="24" t="n"/>
      <c r="H1262" s="24" t="n"/>
      <c r="I1262" s="24" t="n"/>
      <c r="J1262" s="24" t="n"/>
      <c r="K1262" s="24" t="n"/>
      <c r="L1262" s="24" t="n"/>
      <c r="M1262" s="24" t="n"/>
      <c r="N1262" s="24" t="n"/>
      <c r="O1262" s="15">
        <f>IF(D1262="","",COUNT(F1262,H1262,J1262,L1262,N1262))</f>
        <v/>
      </c>
      <c r="P1262" s="25">
        <f>IF(D1262="","",N(E1262)*N(F1262)+N(G1262)*N(H1262)+N(I1262)*N(J1262)+N(K1262)*N(L1262)+N(M1262)*N(N1262))</f>
        <v/>
      </c>
      <c r="Q1262" s="18">
        <f>IF(N(X1262)=0,"",IF(IF(N(F1262)=0,0,IF(N(E1262)&gt;0,E1262*(1+F1262/30),F1262))=X1262,IF(N(E1262)&gt;0,E1262&amp;" x "&amp;F1262,F1262&amp;" reps"),IF(IF(N(H1262)=0,0,IF(N(G1262)&gt;0,G1262*(1+H1262/30),H1262))=X1262,IF(N(G1262)&gt;0,G1262&amp;" x "&amp;H1262,H1262&amp;" reps"),IF(IF(N(J1262)=0,0,IF(N(I1262)&gt;0,I1262*(1+J1262/30),J1262))=X1262,IF(N(I1262)&gt;0,I1262&amp;" x "&amp;J1262,J1262&amp;" reps"),IF(IF(N(L1262)=0,0,IF(N(K1262)&gt;0,K1262*(1+L1262/30),L1262))=X1262,IF(N(K1262)&gt;0,K1262&amp;" x "&amp;L1262,L1262&amp;" reps"),IF(IF(N(N1262)=0,0,IF(N(M1262)&gt;0,M1262*(1+N1262/30),N1262))=X1262,IF(N(M1262)&gt;0,M1262&amp;" x "&amp;N1262,N1262&amp;" reps"),""))))))</f>
        <v/>
      </c>
      <c r="R1262" s="20">
        <f>IF(N(X1262)=0,"",ROUND(X1262,1))</f>
        <v/>
      </c>
      <c r="S1262" s="18">
        <f>IF(N(X1262)=0,"",IF(AND(COUNTIFS(Log!$D$6:$D$1505,D1262,Log!$B$6:$B$1505,"&lt;"&amp;B1262)&gt;0,COUNTIFS(Log!$D$6:$D$1505,D1262,Log!$B$6:$B$1505,"&lt;"&amp;B1262,Log!$X$6:$X$1505,"&gt;="&amp;X1262)=0),"New best",""))</f>
        <v/>
      </c>
      <c r="T1262" s="26" t="n"/>
      <c r="U1262" s="1">
        <f>IF(D1262="","",IFERROR(INDEX(Exercises!$C$6:$C$105,MATCH(D1262,Exercises!$B$6:$B$105,0)),"Other"))</f>
        <v/>
      </c>
      <c r="V1262">
        <f>IF(B1262="","",IF(COUNTIF($B$6:B1262,B1262)=1,1,0))</f>
        <v/>
      </c>
      <c r="W1262">
        <f>IF(B1262="","",B1262-WEEKDAY(B1262,3))</f>
        <v/>
      </c>
      <c r="X1262">
        <f>IF(D1262="","",MAX(IF(N(F1262)=0,0,IF(N(E1262)&gt;0,E1262*(1+F1262/30),F1262)),IF(N(H1262)=0,0,IF(N(G1262)&gt;0,G1262*(1+H1262/30),H1262)),IF(N(J1262)=0,0,IF(N(I1262)&gt;0,I1262*(1+J1262/30),J1262)),IF(N(L1262)=0,0,IF(N(K1262)&gt;0,K1262*(1+L1262/30),L1262)),IF(N(N1262)=0,0,IF(N(M1262)&gt;0,M1262*(1+N1262/30),N1262))))</f>
        <v/>
      </c>
      <c r="Y1262">
        <f>IF(N(X1262)=0,"",X1262+ROW()/1000000000)</f>
        <v/>
      </c>
      <c r="Z1262">
        <f>IF(Y1262="","",IF(COUNTIFS(Log!$D$6:$D$1505,D1262,Log!$Y$6:$Y$1505,"&gt;"&amp;Y1262)=0,1,0))</f>
        <v/>
      </c>
      <c r="AA1262">
        <f>IF(OR(B1262="",D1262=""),"",B1262+ROW()/10000000)</f>
        <v/>
      </c>
      <c r="AB1262">
        <f>IF(AA1262="","",IF(COUNTIFS(Log!$D$6:$D$1505,D1262,Log!$AA$6:$AA$1505,"&gt;"&amp;AA1262)=0,1,0))</f>
        <v/>
      </c>
      <c r="AC1262">
        <f>IF(S1262="New best",AA1262,"")</f>
        <v/>
      </c>
      <c r="AD1262">
        <f>ROW()</f>
        <v/>
      </c>
    </row>
    <row r="1263">
      <c r="A1263" s="1" t="n"/>
      <c r="B1263" s="21" t="n"/>
      <c r="C1263" s="22" t="n"/>
      <c r="D1263" s="23" t="n"/>
      <c r="E1263" s="24" t="n"/>
      <c r="F1263" s="24" t="n"/>
      <c r="G1263" s="24" t="n"/>
      <c r="H1263" s="24" t="n"/>
      <c r="I1263" s="24" t="n"/>
      <c r="J1263" s="24" t="n"/>
      <c r="K1263" s="24" t="n"/>
      <c r="L1263" s="24" t="n"/>
      <c r="M1263" s="24" t="n"/>
      <c r="N1263" s="24" t="n"/>
      <c r="O1263" s="15">
        <f>IF(D1263="","",COUNT(F1263,H1263,J1263,L1263,N1263))</f>
        <v/>
      </c>
      <c r="P1263" s="25">
        <f>IF(D1263="","",N(E1263)*N(F1263)+N(G1263)*N(H1263)+N(I1263)*N(J1263)+N(K1263)*N(L1263)+N(M1263)*N(N1263))</f>
        <v/>
      </c>
      <c r="Q1263" s="18">
        <f>IF(N(X1263)=0,"",IF(IF(N(F1263)=0,0,IF(N(E1263)&gt;0,E1263*(1+F1263/30),F1263))=X1263,IF(N(E1263)&gt;0,E1263&amp;" x "&amp;F1263,F1263&amp;" reps"),IF(IF(N(H1263)=0,0,IF(N(G1263)&gt;0,G1263*(1+H1263/30),H1263))=X1263,IF(N(G1263)&gt;0,G1263&amp;" x "&amp;H1263,H1263&amp;" reps"),IF(IF(N(J1263)=0,0,IF(N(I1263)&gt;0,I1263*(1+J1263/30),J1263))=X1263,IF(N(I1263)&gt;0,I1263&amp;" x "&amp;J1263,J1263&amp;" reps"),IF(IF(N(L1263)=0,0,IF(N(K1263)&gt;0,K1263*(1+L1263/30),L1263))=X1263,IF(N(K1263)&gt;0,K1263&amp;" x "&amp;L1263,L1263&amp;" reps"),IF(IF(N(N1263)=0,0,IF(N(M1263)&gt;0,M1263*(1+N1263/30),N1263))=X1263,IF(N(M1263)&gt;0,M1263&amp;" x "&amp;N1263,N1263&amp;" reps"),""))))))</f>
        <v/>
      </c>
      <c r="R1263" s="20">
        <f>IF(N(X1263)=0,"",ROUND(X1263,1))</f>
        <v/>
      </c>
      <c r="S1263" s="18">
        <f>IF(N(X1263)=0,"",IF(AND(COUNTIFS(Log!$D$6:$D$1505,D1263,Log!$B$6:$B$1505,"&lt;"&amp;B1263)&gt;0,COUNTIFS(Log!$D$6:$D$1505,D1263,Log!$B$6:$B$1505,"&lt;"&amp;B1263,Log!$X$6:$X$1505,"&gt;="&amp;X1263)=0),"New best",""))</f>
        <v/>
      </c>
      <c r="T1263" s="26" t="n"/>
      <c r="U1263" s="1">
        <f>IF(D1263="","",IFERROR(INDEX(Exercises!$C$6:$C$105,MATCH(D1263,Exercises!$B$6:$B$105,0)),"Other"))</f>
        <v/>
      </c>
      <c r="V1263">
        <f>IF(B1263="","",IF(COUNTIF($B$6:B1263,B1263)=1,1,0))</f>
        <v/>
      </c>
      <c r="W1263">
        <f>IF(B1263="","",B1263-WEEKDAY(B1263,3))</f>
        <v/>
      </c>
      <c r="X1263">
        <f>IF(D1263="","",MAX(IF(N(F1263)=0,0,IF(N(E1263)&gt;0,E1263*(1+F1263/30),F1263)),IF(N(H1263)=0,0,IF(N(G1263)&gt;0,G1263*(1+H1263/30),H1263)),IF(N(J1263)=0,0,IF(N(I1263)&gt;0,I1263*(1+J1263/30),J1263)),IF(N(L1263)=0,0,IF(N(K1263)&gt;0,K1263*(1+L1263/30),L1263)),IF(N(N1263)=0,0,IF(N(M1263)&gt;0,M1263*(1+N1263/30),N1263))))</f>
        <v/>
      </c>
      <c r="Y1263">
        <f>IF(N(X1263)=0,"",X1263+ROW()/1000000000)</f>
        <v/>
      </c>
      <c r="Z1263">
        <f>IF(Y1263="","",IF(COUNTIFS(Log!$D$6:$D$1505,D1263,Log!$Y$6:$Y$1505,"&gt;"&amp;Y1263)=0,1,0))</f>
        <v/>
      </c>
      <c r="AA1263">
        <f>IF(OR(B1263="",D1263=""),"",B1263+ROW()/10000000)</f>
        <v/>
      </c>
      <c r="AB1263">
        <f>IF(AA1263="","",IF(COUNTIFS(Log!$D$6:$D$1505,D1263,Log!$AA$6:$AA$1505,"&gt;"&amp;AA1263)=0,1,0))</f>
        <v/>
      </c>
      <c r="AC1263">
        <f>IF(S1263="New best",AA1263,"")</f>
        <v/>
      </c>
      <c r="AD1263">
        <f>ROW()</f>
        <v/>
      </c>
    </row>
    <row r="1264">
      <c r="A1264" s="1" t="n"/>
      <c r="B1264" s="21" t="n"/>
      <c r="C1264" s="22" t="n"/>
      <c r="D1264" s="23" t="n"/>
      <c r="E1264" s="24" t="n"/>
      <c r="F1264" s="24" t="n"/>
      <c r="G1264" s="24" t="n"/>
      <c r="H1264" s="24" t="n"/>
      <c r="I1264" s="24" t="n"/>
      <c r="J1264" s="24" t="n"/>
      <c r="K1264" s="24" t="n"/>
      <c r="L1264" s="24" t="n"/>
      <c r="M1264" s="24" t="n"/>
      <c r="N1264" s="24" t="n"/>
      <c r="O1264" s="15">
        <f>IF(D1264="","",COUNT(F1264,H1264,J1264,L1264,N1264))</f>
        <v/>
      </c>
      <c r="P1264" s="25">
        <f>IF(D1264="","",N(E1264)*N(F1264)+N(G1264)*N(H1264)+N(I1264)*N(J1264)+N(K1264)*N(L1264)+N(M1264)*N(N1264))</f>
        <v/>
      </c>
      <c r="Q1264" s="18">
        <f>IF(N(X1264)=0,"",IF(IF(N(F1264)=0,0,IF(N(E1264)&gt;0,E1264*(1+F1264/30),F1264))=X1264,IF(N(E1264)&gt;0,E1264&amp;" x "&amp;F1264,F1264&amp;" reps"),IF(IF(N(H1264)=0,0,IF(N(G1264)&gt;0,G1264*(1+H1264/30),H1264))=X1264,IF(N(G1264)&gt;0,G1264&amp;" x "&amp;H1264,H1264&amp;" reps"),IF(IF(N(J1264)=0,0,IF(N(I1264)&gt;0,I1264*(1+J1264/30),J1264))=X1264,IF(N(I1264)&gt;0,I1264&amp;" x "&amp;J1264,J1264&amp;" reps"),IF(IF(N(L1264)=0,0,IF(N(K1264)&gt;0,K1264*(1+L1264/30),L1264))=X1264,IF(N(K1264)&gt;0,K1264&amp;" x "&amp;L1264,L1264&amp;" reps"),IF(IF(N(N1264)=0,0,IF(N(M1264)&gt;0,M1264*(1+N1264/30),N1264))=X1264,IF(N(M1264)&gt;0,M1264&amp;" x "&amp;N1264,N1264&amp;" reps"),""))))))</f>
        <v/>
      </c>
      <c r="R1264" s="20">
        <f>IF(N(X1264)=0,"",ROUND(X1264,1))</f>
        <v/>
      </c>
      <c r="S1264" s="18">
        <f>IF(N(X1264)=0,"",IF(AND(COUNTIFS(Log!$D$6:$D$1505,D1264,Log!$B$6:$B$1505,"&lt;"&amp;B1264)&gt;0,COUNTIFS(Log!$D$6:$D$1505,D1264,Log!$B$6:$B$1505,"&lt;"&amp;B1264,Log!$X$6:$X$1505,"&gt;="&amp;X1264)=0),"New best",""))</f>
        <v/>
      </c>
      <c r="T1264" s="26" t="n"/>
      <c r="U1264" s="1">
        <f>IF(D1264="","",IFERROR(INDEX(Exercises!$C$6:$C$105,MATCH(D1264,Exercises!$B$6:$B$105,0)),"Other"))</f>
        <v/>
      </c>
      <c r="V1264">
        <f>IF(B1264="","",IF(COUNTIF($B$6:B1264,B1264)=1,1,0))</f>
        <v/>
      </c>
      <c r="W1264">
        <f>IF(B1264="","",B1264-WEEKDAY(B1264,3))</f>
        <v/>
      </c>
      <c r="X1264">
        <f>IF(D1264="","",MAX(IF(N(F1264)=0,0,IF(N(E1264)&gt;0,E1264*(1+F1264/30),F1264)),IF(N(H1264)=0,0,IF(N(G1264)&gt;0,G1264*(1+H1264/30),H1264)),IF(N(J1264)=0,0,IF(N(I1264)&gt;0,I1264*(1+J1264/30),J1264)),IF(N(L1264)=0,0,IF(N(K1264)&gt;0,K1264*(1+L1264/30),L1264)),IF(N(N1264)=0,0,IF(N(M1264)&gt;0,M1264*(1+N1264/30),N1264))))</f>
        <v/>
      </c>
      <c r="Y1264">
        <f>IF(N(X1264)=0,"",X1264+ROW()/1000000000)</f>
        <v/>
      </c>
      <c r="Z1264">
        <f>IF(Y1264="","",IF(COUNTIFS(Log!$D$6:$D$1505,D1264,Log!$Y$6:$Y$1505,"&gt;"&amp;Y1264)=0,1,0))</f>
        <v/>
      </c>
      <c r="AA1264">
        <f>IF(OR(B1264="",D1264=""),"",B1264+ROW()/10000000)</f>
        <v/>
      </c>
      <c r="AB1264">
        <f>IF(AA1264="","",IF(COUNTIFS(Log!$D$6:$D$1505,D1264,Log!$AA$6:$AA$1505,"&gt;"&amp;AA1264)=0,1,0))</f>
        <v/>
      </c>
      <c r="AC1264">
        <f>IF(S1264="New best",AA1264,"")</f>
        <v/>
      </c>
      <c r="AD1264">
        <f>ROW()</f>
        <v/>
      </c>
    </row>
    <row r="1265">
      <c r="A1265" s="1" t="n"/>
      <c r="B1265" s="21" t="n"/>
      <c r="C1265" s="22" t="n"/>
      <c r="D1265" s="23" t="n"/>
      <c r="E1265" s="24" t="n"/>
      <c r="F1265" s="24" t="n"/>
      <c r="G1265" s="24" t="n"/>
      <c r="H1265" s="24" t="n"/>
      <c r="I1265" s="24" t="n"/>
      <c r="J1265" s="24" t="n"/>
      <c r="K1265" s="24" t="n"/>
      <c r="L1265" s="24" t="n"/>
      <c r="M1265" s="24" t="n"/>
      <c r="N1265" s="24" t="n"/>
      <c r="O1265" s="15">
        <f>IF(D1265="","",COUNT(F1265,H1265,J1265,L1265,N1265))</f>
        <v/>
      </c>
      <c r="P1265" s="25">
        <f>IF(D1265="","",N(E1265)*N(F1265)+N(G1265)*N(H1265)+N(I1265)*N(J1265)+N(K1265)*N(L1265)+N(M1265)*N(N1265))</f>
        <v/>
      </c>
      <c r="Q1265" s="18">
        <f>IF(N(X1265)=0,"",IF(IF(N(F1265)=0,0,IF(N(E1265)&gt;0,E1265*(1+F1265/30),F1265))=X1265,IF(N(E1265)&gt;0,E1265&amp;" x "&amp;F1265,F1265&amp;" reps"),IF(IF(N(H1265)=0,0,IF(N(G1265)&gt;0,G1265*(1+H1265/30),H1265))=X1265,IF(N(G1265)&gt;0,G1265&amp;" x "&amp;H1265,H1265&amp;" reps"),IF(IF(N(J1265)=0,0,IF(N(I1265)&gt;0,I1265*(1+J1265/30),J1265))=X1265,IF(N(I1265)&gt;0,I1265&amp;" x "&amp;J1265,J1265&amp;" reps"),IF(IF(N(L1265)=0,0,IF(N(K1265)&gt;0,K1265*(1+L1265/30),L1265))=X1265,IF(N(K1265)&gt;0,K1265&amp;" x "&amp;L1265,L1265&amp;" reps"),IF(IF(N(N1265)=0,0,IF(N(M1265)&gt;0,M1265*(1+N1265/30),N1265))=X1265,IF(N(M1265)&gt;0,M1265&amp;" x "&amp;N1265,N1265&amp;" reps"),""))))))</f>
        <v/>
      </c>
      <c r="R1265" s="20">
        <f>IF(N(X1265)=0,"",ROUND(X1265,1))</f>
        <v/>
      </c>
      <c r="S1265" s="18">
        <f>IF(N(X1265)=0,"",IF(AND(COUNTIFS(Log!$D$6:$D$1505,D1265,Log!$B$6:$B$1505,"&lt;"&amp;B1265)&gt;0,COUNTIFS(Log!$D$6:$D$1505,D1265,Log!$B$6:$B$1505,"&lt;"&amp;B1265,Log!$X$6:$X$1505,"&gt;="&amp;X1265)=0),"New best",""))</f>
        <v/>
      </c>
      <c r="T1265" s="26" t="n"/>
      <c r="U1265" s="1">
        <f>IF(D1265="","",IFERROR(INDEX(Exercises!$C$6:$C$105,MATCH(D1265,Exercises!$B$6:$B$105,0)),"Other"))</f>
        <v/>
      </c>
      <c r="V1265">
        <f>IF(B1265="","",IF(COUNTIF($B$6:B1265,B1265)=1,1,0))</f>
        <v/>
      </c>
      <c r="W1265">
        <f>IF(B1265="","",B1265-WEEKDAY(B1265,3))</f>
        <v/>
      </c>
      <c r="X1265">
        <f>IF(D1265="","",MAX(IF(N(F1265)=0,0,IF(N(E1265)&gt;0,E1265*(1+F1265/30),F1265)),IF(N(H1265)=0,0,IF(N(G1265)&gt;0,G1265*(1+H1265/30),H1265)),IF(N(J1265)=0,0,IF(N(I1265)&gt;0,I1265*(1+J1265/30),J1265)),IF(N(L1265)=0,0,IF(N(K1265)&gt;0,K1265*(1+L1265/30),L1265)),IF(N(N1265)=0,0,IF(N(M1265)&gt;0,M1265*(1+N1265/30),N1265))))</f>
        <v/>
      </c>
      <c r="Y1265">
        <f>IF(N(X1265)=0,"",X1265+ROW()/1000000000)</f>
        <v/>
      </c>
      <c r="Z1265">
        <f>IF(Y1265="","",IF(COUNTIFS(Log!$D$6:$D$1505,D1265,Log!$Y$6:$Y$1505,"&gt;"&amp;Y1265)=0,1,0))</f>
        <v/>
      </c>
      <c r="AA1265">
        <f>IF(OR(B1265="",D1265=""),"",B1265+ROW()/10000000)</f>
        <v/>
      </c>
      <c r="AB1265">
        <f>IF(AA1265="","",IF(COUNTIFS(Log!$D$6:$D$1505,D1265,Log!$AA$6:$AA$1505,"&gt;"&amp;AA1265)=0,1,0))</f>
        <v/>
      </c>
      <c r="AC1265">
        <f>IF(S1265="New best",AA1265,"")</f>
        <v/>
      </c>
      <c r="AD1265">
        <f>ROW()</f>
        <v/>
      </c>
    </row>
    <row r="1266">
      <c r="A1266" s="1" t="n"/>
      <c r="B1266" s="21" t="n"/>
      <c r="C1266" s="22" t="n"/>
      <c r="D1266" s="23" t="n"/>
      <c r="E1266" s="24" t="n"/>
      <c r="F1266" s="24" t="n"/>
      <c r="G1266" s="24" t="n"/>
      <c r="H1266" s="24" t="n"/>
      <c r="I1266" s="24" t="n"/>
      <c r="J1266" s="24" t="n"/>
      <c r="K1266" s="24" t="n"/>
      <c r="L1266" s="24" t="n"/>
      <c r="M1266" s="24" t="n"/>
      <c r="N1266" s="24" t="n"/>
      <c r="O1266" s="15">
        <f>IF(D1266="","",COUNT(F1266,H1266,J1266,L1266,N1266))</f>
        <v/>
      </c>
      <c r="P1266" s="25">
        <f>IF(D1266="","",N(E1266)*N(F1266)+N(G1266)*N(H1266)+N(I1266)*N(J1266)+N(K1266)*N(L1266)+N(M1266)*N(N1266))</f>
        <v/>
      </c>
      <c r="Q1266" s="18">
        <f>IF(N(X1266)=0,"",IF(IF(N(F1266)=0,0,IF(N(E1266)&gt;0,E1266*(1+F1266/30),F1266))=X1266,IF(N(E1266)&gt;0,E1266&amp;" x "&amp;F1266,F1266&amp;" reps"),IF(IF(N(H1266)=0,0,IF(N(G1266)&gt;0,G1266*(1+H1266/30),H1266))=X1266,IF(N(G1266)&gt;0,G1266&amp;" x "&amp;H1266,H1266&amp;" reps"),IF(IF(N(J1266)=0,0,IF(N(I1266)&gt;0,I1266*(1+J1266/30),J1266))=X1266,IF(N(I1266)&gt;0,I1266&amp;" x "&amp;J1266,J1266&amp;" reps"),IF(IF(N(L1266)=0,0,IF(N(K1266)&gt;0,K1266*(1+L1266/30),L1266))=X1266,IF(N(K1266)&gt;0,K1266&amp;" x "&amp;L1266,L1266&amp;" reps"),IF(IF(N(N1266)=0,0,IF(N(M1266)&gt;0,M1266*(1+N1266/30),N1266))=X1266,IF(N(M1266)&gt;0,M1266&amp;" x "&amp;N1266,N1266&amp;" reps"),""))))))</f>
        <v/>
      </c>
      <c r="R1266" s="20">
        <f>IF(N(X1266)=0,"",ROUND(X1266,1))</f>
        <v/>
      </c>
      <c r="S1266" s="18">
        <f>IF(N(X1266)=0,"",IF(AND(COUNTIFS(Log!$D$6:$D$1505,D1266,Log!$B$6:$B$1505,"&lt;"&amp;B1266)&gt;0,COUNTIFS(Log!$D$6:$D$1505,D1266,Log!$B$6:$B$1505,"&lt;"&amp;B1266,Log!$X$6:$X$1505,"&gt;="&amp;X1266)=0),"New best",""))</f>
        <v/>
      </c>
      <c r="T1266" s="26" t="n"/>
      <c r="U1266" s="1">
        <f>IF(D1266="","",IFERROR(INDEX(Exercises!$C$6:$C$105,MATCH(D1266,Exercises!$B$6:$B$105,0)),"Other"))</f>
        <v/>
      </c>
      <c r="V1266">
        <f>IF(B1266="","",IF(COUNTIF($B$6:B1266,B1266)=1,1,0))</f>
        <v/>
      </c>
      <c r="W1266">
        <f>IF(B1266="","",B1266-WEEKDAY(B1266,3))</f>
        <v/>
      </c>
      <c r="X1266">
        <f>IF(D1266="","",MAX(IF(N(F1266)=0,0,IF(N(E1266)&gt;0,E1266*(1+F1266/30),F1266)),IF(N(H1266)=0,0,IF(N(G1266)&gt;0,G1266*(1+H1266/30),H1266)),IF(N(J1266)=0,0,IF(N(I1266)&gt;0,I1266*(1+J1266/30),J1266)),IF(N(L1266)=0,0,IF(N(K1266)&gt;0,K1266*(1+L1266/30),L1266)),IF(N(N1266)=0,0,IF(N(M1266)&gt;0,M1266*(1+N1266/30),N1266))))</f>
        <v/>
      </c>
      <c r="Y1266">
        <f>IF(N(X1266)=0,"",X1266+ROW()/1000000000)</f>
        <v/>
      </c>
      <c r="Z1266">
        <f>IF(Y1266="","",IF(COUNTIFS(Log!$D$6:$D$1505,D1266,Log!$Y$6:$Y$1505,"&gt;"&amp;Y1266)=0,1,0))</f>
        <v/>
      </c>
      <c r="AA1266">
        <f>IF(OR(B1266="",D1266=""),"",B1266+ROW()/10000000)</f>
        <v/>
      </c>
      <c r="AB1266">
        <f>IF(AA1266="","",IF(COUNTIFS(Log!$D$6:$D$1505,D1266,Log!$AA$6:$AA$1505,"&gt;"&amp;AA1266)=0,1,0))</f>
        <v/>
      </c>
      <c r="AC1266">
        <f>IF(S1266="New best",AA1266,"")</f>
        <v/>
      </c>
      <c r="AD1266">
        <f>ROW()</f>
        <v/>
      </c>
    </row>
    <row r="1267">
      <c r="A1267" s="1" t="n"/>
      <c r="B1267" s="21" t="n"/>
      <c r="C1267" s="22" t="n"/>
      <c r="D1267" s="23" t="n"/>
      <c r="E1267" s="24" t="n"/>
      <c r="F1267" s="24" t="n"/>
      <c r="G1267" s="24" t="n"/>
      <c r="H1267" s="24" t="n"/>
      <c r="I1267" s="24" t="n"/>
      <c r="J1267" s="24" t="n"/>
      <c r="K1267" s="24" t="n"/>
      <c r="L1267" s="24" t="n"/>
      <c r="M1267" s="24" t="n"/>
      <c r="N1267" s="24" t="n"/>
      <c r="O1267" s="15">
        <f>IF(D1267="","",COUNT(F1267,H1267,J1267,L1267,N1267))</f>
        <v/>
      </c>
      <c r="P1267" s="25">
        <f>IF(D1267="","",N(E1267)*N(F1267)+N(G1267)*N(H1267)+N(I1267)*N(J1267)+N(K1267)*N(L1267)+N(M1267)*N(N1267))</f>
        <v/>
      </c>
      <c r="Q1267" s="18">
        <f>IF(N(X1267)=0,"",IF(IF(N(F1267)=0,0,IF(N(E1267)&gt;0,E1267*(1+F1267/30),F1267))=X1267,IF(N(E1267)&gt;0,E1267&amp;" x "&amp;F1267,F1267&amp;" reps"),IF(IF(N(H1267)=0,0,IF(N(G1267)&gt;0,G1267*(1+H1267/30),H1267))=X1267,IF(N(G1267)&gt;0,G1267&amp;" x "&amp;H1267,H1267&amp;" reps"),IF(IF(N(J1267)=0,0,IF(N(I1267)&gt;0,I1267*(1+J1267/30),J1267))=X1267,IF(N(I1267)&gt;0,I1267&amp;" x "&amp;J1267,J1267&amp;" reps"),IF(IF(N(L1267)=0,0,IF(N(K1267)&gt;0,K1267*(1+L1267/30),L1267))=X1267,IF(N(K1267)&gt;0,K1267&amp;" x "&amp;L1267,L1267&amp;" reps"),IF(IF(N(N1267)=0,0,IF(N(M1267)&gt;0,M1267*(1+N1267/30),N1267))=X1267,IF(N(M1267)&gt;0,M1267&amp;" x "&amp;N1267,N1267&amp;" reps"),""))))))</f>
        <v/>
      </c>
      <c r="R1267" s="20">
        <f>IF(N(X1267)=0,"",ROUND(X1267,1))</f>
        <v/>
      </c>
      <c r="S1267" s="18">
        <f>IF(N(X1267)=0,"",IF(AND(COUNTIFS(Log!$D$6:$D$1505,D1267,Log!$B$6:$B$1505,"&lt;"&amp;B1267)&gt;0,COUNTIFS(Log!$D$6:$D$1505,D1267,Log!$B$6:$B$1505,"&lt;"&amp;B1267,Log!$X$6:$X$1505,"&gt;="&amp;X1267)=0),"New best",""))</f>
        <v/>
      </c>
      <c r="T1267" s="26" t="n"/>
      <c r="U1267" s="1">
        <f>IF(D1267="","",IFERROR(INDEX(Exercises!$C$6:$C$105,MATCH(D1267,Exercises!$B$6:$B$105,0)),"Other"))</f>
        <v/>
      </c>
      <c r="V1267">
        <f>IF(B1267="","",IF(COUNTIF($B$6:B1267,B1267)=1,1,0))</f>
        <v/>
      </c>
      <c r="W1267">
        <f>IF(B1267="","",B1267-WEEKDAY(B1267,3))</f>
        <v/>
      </c>
      <c r="X1267">
        <f>IF(D1267="","",MAX(IF(N(F1267)=0,0,IF(N(E1267)&gt;0,E1267*(1+F1267/30),F1267)),IF(N(H1267)=0,0,IF(N(G1267)&gt;0,G1267*(1+H1267/30),H1267)),IF(N(J1267)=0,0,IF(N(I1267)&gt;0,I1267*(1+J1267/30),J1267)),IF(N(L1267)=0,0,IF(N(K1267)&gt;0,K1267*(1+L1267/30),L1267)),IF(N(N1267)=0,0,IF(N(M1267)&gt;0,M1267*(1+N1267/30),N1267))))</f>
        <v/>
      </c>
      <c r="Y1267">
        <f>IF(N(X1267)=0,"",X1267+ROW()/1000000000)</f>
        <v/>
      </c>
      <c r="Z1267">
        <f>IF(Y1267="","",IF(COUNTIFS(Log!$D$6:$D$1505,D1267,Log!$Y$6:$Y$1505,"&gt;"&amp;Y1267)=0,1,0))</f>
        <v/>
      </c>
      <c r="AA1267">
        <f>IF(OR(B1267="",D1267=""),"",B1267+ROW()/10000000)</f>
        <v/>
      </c>
      <c r="AB1267">
        <f>IF(AA1267="","",IF(COUNTIFS(Log!$D$6:$D$1505,D1267,Log!$AA$6:$AA$1505,"&gt;"&amp;AA1267)=0,1,0))</f>
        <v/>
      </c>
      <c r="AC1267">
        <f>IF(S1267="New best",AA1267,"")</f>
        <v/>
      </c>
      <c r="AD1267">
        <f>ROW()</f>
        <v/>
      </c>
    </row>
    <row r="1268">
      <c r="A1268" s="1" t="n"/>
      <c r="B1268" s="21" t="n"/>
      <c r="C1268" s="22" t="n"/>
      <c r="D1268" s="23" t="n"/>
      <c r="E1268" s="24" t="n"/>
      <c r="F1268" s="24" t="n"/>
      <c r="G1268" s="24" t="n"/>
      <c r="H1268" s="24" t="n"/>
      <c r="I1268" s="24" t="n"/>
      <c r="J1268" s="24" t="n"/>
      <c r="K1268" s="24" t="n"/>
      <c r="L1268" s="24" t="n"/>
      <c r="M1268" s="24" t="n"/>
      <c r="N1268" s="24" t="n"/>
      <c r="O1268" s="15">
        <f>IF(D1268="","",COUNT(F1268,H1268,J1268,L1268,N1268))</f>
        <v/>
      </c>
      <c r="P1268" s="25">
        <f>IF(D1268="","",N(E1268)*N(F1268)+N(G1268)*N(H1268)+N(I1268)*N(J1268)+N(K1268)*N(L1268)+N(M1268)*N(N1268))</f>
        <v/>
      </c>
      <c r="Q1268" s="18">
        <f>IF(N(X1268)=0,"",IF(IF(N(F1268)=0,0,IF(N(E1268)&gt;0,E1268*(1+F1268/30),F1268))=X1268,IF(N(E1268)&gt;0,E1268&amp;" x "&amp;F1268,F1268&amp;" reps"),IF(IF(N(H1268)=0,0,IF(N(G1268)&gt;0,G1268*(1+H1268/30),H1268))=X1268,IF(N(G1268)&gt;0,G1268&amp;" x "&amp;H1268,H1268&amp;" reps"),IF(IF(N(J1268)=0,0,IF(N(I1268)&gt;0,I1268*(1+J1268/30),J1268))=X1268,IF(N(I1268)&gt;0,I1268&amp;" x "&amp;J1268,J1268&amp;" reps"),IF(IF(N(L1268)=0,0,IF(N(K1268)&gt;0,K1268*(1+L1268/30),L1268))=X1268,IF(N(K1268)&gt;0,K1268&amp;" x "&amp;L1268,L1268&amp;" reps"),IF(IF(N(N1268)=0,0,IF(N(M1268)&gt;0,M1268*(1+N1268/30),N1268))=X1268,IF(N(M1268)&gt;0,M1268&amp;" x "&amp;N1268,N1268&amp;" reps"),""))))))</f>
        <v/>
      </c>
      <c r="R1268" s="20">
        <f>IF(N(X1268)=0,"",ROUND(X1268,1))</f>
        <v/>
      </c>
      <c r="S1268" s="18">
        <f>IF(N(X1268)=0,"",IF(AND(COUNTIFS(Log!$D$6:$D$1505,D1268,Log!$B$6:$B$1505,"&lt;"&amp;B1268)&gt;0,COUNTIFS(Log!$D$6:$D$1505,D1268,Log!$B$6:$B$1505,"&lt;"&amp;B1268,Log!$X$6:$X$1505,"&gt;="&amp;X1268)=0),"New best",""))</f>
        <v/>
      </c>
      <c r="T1268" s="26" t="n"/>
      <c r="U1268" s="1">
        <f>IF(D1268="","",IFERROR(INDEX(Exercises!$C$6:$C$105,MATCH(D1268,Exercises!$B$6:$B$105,0)),"Other"))</f>
        <v/>
      </c>
      <c r="V1268">
        <f>IF(B1268="","",IF(COUNTIF($B$6:B1268,B1268)=1,1,0))</f>
        <v/>
      </c>
      <c r="W1268">
        <f>IF(B1268="","",B1268-WEEKDAY(B1268,3))</f>
        <v/>
      </c>
      <c r="X1268">
        <f>IF(D1268="","",MAX(IF(N(F1268)=0,0,IF(N(E1268)&gt;0,E1268*(1+F1268/30),F1268)),IF(N(H1268)=0,0,IF(N(G1268)&gt;0,G1268*(1+H1268/30),H1268)),IF(N(J1268)=0,0,IF(N(I1268)&gt;0,I1268*(1+J1268/30),J1268)),IF(N(L1268)=0,0,IF(N(K1268)&gt;0,K1268*(1+L1268/30),L1268)),IF(N(N1268)=0,0,IF(N(M1268)&gt;0,M1268*(1+N1268/30),N1268))))</f>
        <v/>
      </c>
      <c r="Y1268">
        <f>IF(N(X1268)=0,"",X1268+ROW()/1000000000)</f>
        <v/>
      </c>
      <c r="Z1268">
        <f>IF(Y1268="","",IF(COUNTIFS(Log!$D$6:$D$1505,D1268,Log!$Y$6:$Y$1505,"&gt;"&amp;Y1268)=0,1,0))</f>
        <v/>
      </c>
      <c r="AA1268">
        <f>IF(OR(B1268="",D1268=""),"",B1268+ROW()/10000000)</f>
        <v/>
      </c>
      <c r="AB1268">
        <f>IF(AA1268="","",IF(COUNTIFS(Log!$D$6:$D$1505,D1268,Log!$AA$6:$AA$1505,"&gt;"&amp;AA1268)=0,1,0))</f>
        <v/>
      </c>
      <c r="AC1268">
        <f>IF(S1268="New best",AA1268,"")</f>
        <v/>
      </c>
      <c r="AD1268">
        <f>ROW()</f>
        <v/>
      </c>
    </row>
    <row r="1269">
      <c r="A1269" s="1" t="n"/>
      <c r="B1269" s="21" t="n"/>
      <c r="C1269" s="22" t="n"/>
      <c r="D1269" s="23" t="n"/>
      <c r="E1269" s="24" t="n"/>
      <c r="F1269" s="24" t="n"/>
      <c r="G1269" s="24" t="n"/>
      <c r="H1269" s="24" t="n"/>
      <c r="I1269" s="24" t="n"/>
      <c r="J1269" s="24" t="n"/>
      <c r="K1269" s="24" t="n"/>
      <c r="L1269" s="24" t="n"/>
      <c r="M1269" s="24" t="n"/>
      <c r="N1269" s="24" t="n"/>
      <c r="O1269" s="15">
        <f>IF(D1269="","",COUNT(F1269,H1269,J1269,L1269,N1269))</f>
        <v/>
      </c>
      <c r="P1269" s="25">
        <f>IF(D1269="","",N(E1269)*N(F1269)+N(G1269)*N(H1269)+N(I1269)*N(J1269)+N(K1269)*N(L1269)+N(M1269)*N(N1269))</f>
        <v/>
      </c>
      <c r="Q1269" s="18">
        <f>IF(N(X1269)=0,"",IF(IF(N(F1269)=0,0,IF(N(E1269)&gt;0,E1269*(1+F1269/30),F1269))=X1269,IF(N(E1269)&gt;0,E1269&amp;" x "&amp;F1269,F1269&amp;" reps"),IF(IF(N(H1269)=0,0,IF(N(G1269)&gt;0,G1269*(1+H1269/30),H1269))=X1269,IF(N(G1269)&gt;0,G1269&amp;" x "&amp;H1269,H1269&amp;" reps"),IF(IF(N(J1269)=0,0,IF(N(I1269)&gt;0,I1269*(1+J1269/30),J1269))=X1269,IF(N(I1269)&gt;0,I1269&amp;" x "&amp;J1269,J1269&amp;" reps"),IF(IF(N(L1269)=0,0,IF(N(K1269)&gt;0,K1269*(1+L1269/30),L1269))=X1269,IF(N(K1269)&gt;0,K1269&amp;" x "&amp;L1269,L1269&amp;" reps"),IF(IF(N(N1269)=0,0,IF(N(M1269)&gt;0,M1269*(1+N1269/30),N1269))=X1269,IF(N(M1269)&gt;0,M1269&amp;" x "&amp;N1269,N1269&amp;" reps"),""))))))</f>
        <v/>
      </c>
      <c r="R1269" s="20">
        <f>IF(N(X1269)=0,"",ROUND(X1269,1))</f>
        <v/>
      </c>
      <c r="S1269" s="18">
        <f>IF(N(X1269)=0,"",IF(AND(COUNTIFS(Log!$D$6:$D$1505,D1269,Log!$B$6:$B$1505,"&lt;"&amp;B1269)&gt;0,COUNTIFS(Log!$D$6:$D$1505,D1269,Log!$B$6:$B$1505,"&lt;"&amp;B1269,Log!$X$6:$X$1505,"&gt;="&amp;X1269)=0),"New best",""))</f>
        <v/>
      </c>
      <c r="T1269" s="26" t="n"/>
      <c r="U1269" s="1">
        <f>IF(D1269="","",IFERROR(INDEX(Exercises!$C$6:$C$105,MATCH(D1269,Exercises!$B$6:$B$105,0)),"Other"))</f>
        <v/>
      </c>
      <c r="V1269">
        <f>IF(B1269="","",IF(COUNTIF($B$6:B1269,B1269)=1,1,0))</f>
        <v/>
      </c>
      <c r="W1269">
        <f>IF(B1269="","",B1269-WEEKDAY(B1269,3))</f>
        <v/>
      </c>
      <c r="X1269">
        <f>IF(D1269="","",MAX(IF(N(F1269)=0,0,IF(N(E1269)&gt;0,E1269*(1+F1269/30),F1269)),IF(N(H1269)=0,0,IF(N(G1269)&gt;0,G1269*(1+H1269/30),H1269)),IF(N(J1269)=0,0,IF(N(I1269)&gt;0,I1269*(1+J1269/30),J1269)),IF(N(L1269)=0,0,IF(N(K1269)&gt;0,K1269*(1+L1269/30),L1269)),IF(N(N1269)=0,0,IF(N(M1269)&gt;0,M1269*(1+N1269/30),N1269))))</f>
        <v/>
      </c>
      <c r="Y1269">
        <f>IF(N(X1269)=0,"",X1269+ROW()/1000000000)</f>
        <v/>
      </c>
      <c r="Z1269">
        <f>IF(Y1269="","",IF(COUNTIFS(Log!$D$6:$D$1505,D1269,Log!$Y$6:$Y$1505,"&gt;"&amp;Y1269)=0,1,0))</f>
        <v/>
      </c>
      <c r="AA1269">
        <f>IF(OR(B1269="",D1269=""),"",B1269+ROW()/10000000)</f>
        <v/>
      </c>
      <c r="AB1269">
        <f>IF(AA1269="","",IF(COUNTIFS(Log!$D$6:$D$1505,D1269,Log!$AA$6:$AA$1505,"&gt;"&amp;AA1269)=0,1,0))</f>
        <v/>
      </c>
      <c r="AC1269">
        <f>IF(S1269="New best",AA1269,"")</f>
        <v/>
      </c>
      <c r="AD1269">
        <f>ROW()</f>
        <v/>
      </c>
    </row>
    <row r="1270">
      <c r="A1270" s="1" t="n"/>
      <c r="B1270" s="21" t="n"/>
      <c r="C1270" s="22" t="n"/>
      <c r="D1270" s="23" t="n"/>
      <c r="E1270" s="24" t="n"/>
      <c r="F1270" s="24" t="n"/>
      <c r="G1270" s="24" t="n"/>
      <c r="H1270" s="24" t="n"/>
      <c r="I1270" s="24" t="n"/>
      <c r="J1270" s="24" t="n"/>
      <c r="K1270" s="24" t="n"/>
      <c r="L1270" s="24" t="n"/>
      <c r="M1270" s="24" t="n"/>
      <c r="N1270" s="24" t="n"/>
      <c r="O1270" s="15">
        <f>IF(D1270="","",COUNT(F1270,H1270,J1270,L1270,N1270))</f>
        <v/>
      </c>
      <c r="P1270" s="25">
        <f>IF(D1270="","",N(E1270)*N(F1270)+N(G1270)*N(H1270)+N(I1270)*N(J1270)+N(K1270)*N(L1270)+N(M1270)*N(N1270))</f>
        <v/>
      </c>
      <c r="Q1270" s="18">
        <f>IF(N(X1270)=0,"",IF(IF(N(F1270)=0,0,IF(N(E1270)&gt;0,E1270*(1+F1270/30),F1270))=X1270,IF(N(E1270)&gt;0,E1270&amp;" x "&amp;F1270,F1270&amp;" reps"),IF(IF(N(H1270)=0,0,IF(N(G1270)&gt;0,G1270*(1+H1270/30),H1270))=X1270,IF(N(G1270)&gt;0,G1270&amp;" x "&amp;H1270,H1270&amp;" reps"),IF(IF(N(J1270)=0,0,IF(N(I1270)&gt;0,I1270*(1+J1270/30),J1270))=X1270,IF(N(I1270)&gt;0,I1270&amp;" x "&amp;J1270,J1270&amp;" reps"),IF(IF(N(L1270)=0,0,IF(N(K1270)&gt;0,K1270*(1+L1270/30),L1270))=X1270,IF(N(K1270)&gt;0,K1270&amp;" x "&amp;L1270,L1270&amp;" reps"),IF(IF(N(N1270)=0,0,IF(N(M1270)&gt;0,M1270*(1+N1270/30),N1270))=X1270,IF(N(M1270)&gt;0,M1270&amp;" x "&amp;N1270,N1270&amp;" reps"),""))))))</f>
        <v/>
      </c>
      <c r="R1270" s="20">
        <f>IF(N(X1270)=0,"",ROUND(X1270,1))</f>
        <v/>
      </c>
      <c r="S1270" s="18">
        <f>IF(N(X1270)=0,"",IF(AND(COUNTIFS(Log!$D$6:$D$1505,D1270,Log!$B$6:$B$1505,"&lt;"&amp;B1270)&gt;0,COUNTIFS(Log!$D$6:$D$1505,D1270,Log!$B$6:$B$1505,"&lt;"&amp;B1270,Log!$X$6:$X$1505,"&gt;="&amp;X1270)=0),"New best",""))</f>
        <v/>
      </c>
      <c r="T1270" s="26" t="n"/>
      <c r="U1270" s="1">
        <f>IF(D1270="","",IFERROR(INDEX(Exercises!$C$6:$C$105,MATCH(D1270,Exercises!$B$6:$B$105,0)),"Other"))</f>
        <v/>
      </c>
      <c r="V1270">
        <f>IF(B1270="","",IF(COUNTIF($B$6:B1270,B1270)=1,1,0))</f>
        <v/>
      </c>
      <c r="W1270">
        <f>IF(B1270="","",B1270-WEEKDAY(B1270,3))</f>
        <v/>
      </c>
      <c r="X1270">
        <f>IF(D1270="","",MAX(IF(N(F1270)=0,0,IF(N(E1270)&gt;0,E1270*(1+F1270/30),F1270)),IF(N(H1270)=0,0,IF(N(G1270)&gt;0,G1270*(1+H1270/30),H1270)),IF(N(J1270)=0,0,IF(N(I1270)&gt;0,I1270*(1+J1270/30),J1270)),IF(N(L1270)=0,0,IF(N(K1270)&gt;0,K1270*(1+L1270/30),L1270)),IF(N(N1270)=0,0,IF(N(M1270)&gt;0,M1270*(1+N1270/30),N1270))))</f>
        <v/>
      </c>
      <c r="Y1270">
        <f>IF(N(X1270)=0,"",X1270+ROW()/1000000000)</f>
        <v/>
      </c>
      <c r="Z1270">
        <f>IF(Y1270="","",IF(COUNTIFS(Log!$D$6:$D$1505,D1270,Log!$Y$6:$Y$1505,"&gt;"&amp;Y1270)=0,1,0))</f>
        <v/>
      </c>
      <c r="AA1270">
        <f>IF(OR(B1270="",D1270=""),"",B1270+ROW()/10000000)</f>
        <v/>
      </c>
      <c r="AB1270">
        <f>IF(AA1270="","",IF(COUNTIFS(Log!$D$6:$D$1505,D1270,Log!$AA$6:$AA$1505,"&gt;"&amp;AA1270)=0,1,0))</f>
        <v/>
      </c>
      <c r="AC1270">
        <f>IF(S1270="New best",AA1270,"")</f>
        <v/>
      </c>
      <c r="AD1270">
        <f>ROW()</f>
        <v/>
      </c>
    </row>
    <row r="1271">
      <c r="A1271" s="1" t="n"/>
      <c r="B1271" s="21" t="n"/>
      <c r="C1271" s="22" t="n"/>
      <c r="D1271" s="23" t="n"/>
      <c r="E1271" s="24" t="n"/>
      <c r="F1271" s="24" t="n"/>
      <c r="G1271" s="24" t="n"/>
      <c r="H1271" s="24" t="n"/>
      <c r="I1271" s="24" t="n"/>
      <c r="J1271" s="24" t="n"/>
      <c r="K1271" s="24" t="n"/>
      <c r="L1271" s="24" t="n"/>
      <c r="M1271" s="24" t="n"/>
      <c r="N1271" s="24" t="n"/>
      <c r="O1271" s="15">
        <f>IF(D1271="","",COUNT(F1271,H1271,J1271,L1271,N1271))</f>
        <v/>
      </c>
      <c r="P1271" s="25">
        <f>IF(D1271="","",N(E1271)*N(F1271)+N(G1271)*N(H1271)+N(I1271)*N(J1271)+N(K1271)*N(L1271)+N(M1271)*N(N1271))</f>
        <v/>
      </c>
      <c r="Q1271" s="18">
        <f>IF(N(X1271)=0,"",IF(IF(N(F1271)=0,0,IF(N(E1271)&gt;0,E1271*(1+F1271/30),F1271))=X1271,IF(N(E1271)&gt;0,E1271&amp;" x "&amp;F1271,F1271&amp;" reps"),IF(IF(N(H1271)=0,0,IF(N(G1271)&gt;0,G1271*(1+H1271/30),H1271))=X1271,IF(N(G1271)&gt;0,G1271&amp;" x "&amp;H1271,H1271&amp;" reps"),IF(IF(N(J1271)=0,0,IF(N(I1271)&gt;0,I1271*(1+J1271/30),J1271))=X1271,IF(N(I1271)&gt;0,I1271&amp;" x "&amp;J1271,J1271&amp;" reps"),IF(IF(N(L1271)=0,0,IF(N(K1271)&gt;0,K1271*(1+L1271/30),L1271))=X1271,IF(N(K1271)&gt;0,K1271&amp;" x "&amp;L1271,L1271&amp;" reps"),IF(IF(N(N1271)=0,0,IF(N(M1271)&gt;0,M1271*(1+N1271/30),N1271))=X1271,IF(N(M1271)&gt;0,M1271&amp;" x "&amp;N1271,N1271&amp;" reps"),""))))))</f>
        <v/>
      </c>
      <c r="R1271" s="20">
        <f>IF(N(X1271)=0,"",ROUND(X1271,1))</f>
        <v/>
      </c>
      <c r="S1271" s="18">
        <f>IF(N(X1271)=0,"",IF(AND(COUNTIFS(Log!$D$6:$D$1505,D1271,Log!$B$6:$B$1505,"&lt;"&amp;B1271)&gt;0,COUNTIFS(Log!$D$6:$D$1505,D1271,Log!$B$6:$B$1505,"&lt;"&amp;B1271,Log!$X$6:$X$1505,"&gt;="&amp;X1271)=0),"New best",""))</f>
        <v/>
      </c>
      <c r="T1271" s="26" t="n"/>
      <c r="U1271" s="1">
        <f>IF(D1271="","",IFERROR(INDEX(Exercises!$C$6:$C$105,MATCH(D1271,Exercises!$B$6:$B$105,0)),"Other"))</f>
        <v/>
      </c>
      <c r="V1271">
        <f>IF(B1271="","",IF(COUNTIF($B$6:B1271,B1271)=1,1,0))</f>
        <v/>
      </c>
      <c r="W1271">
        <f>IF(B1271="","",B1271-WEEKDAY(B1271,3))</f>
        <v/>
      </c>
      <c r="X1271">
        <f>IF(D1271="","",MAX(IF(N(F1271)=0,0,IF(N(E1271)&gt;0,E1271*(1+F1271/30),F1271)),IF(N(H1271)=0,0,IF(N(G1271)&gt;0,G1271*(1+H1271/30),H1271)),IF(N(J1271)=0,0,IF(N(I1271)&gt;0,I1271*(1+J1271/30),J1271)),IF(N(L1271)=0,0,IF(N(K1271)&gt;0,K1271*(1+L1271/30),L1271)),IF(N(N1271)=0,0,IF(N(M1271)&gt;0,M1271*(1+N1271/30),N1271))))</f>
        <v/>
      </c>
      <c r="Y1271">
        <f>IF(N(X1271)=0,"",X1271+ROW()/1000000000)</f>
        <v/>
      </c>
      <c r="Z1271">
        <f>IF(Y1271="","",IF(COUNTIFS(Log!$D$6:$D$1505,D1271,Log!$Y$6:$Y$1505,"&gt;"&amp;Y1271)=0,1,0))</f>
        <v/>
      </c>
      <c r="AA1271">
        <f>IF(OR(B1271="",D1271=""),"",B1271+ROW()/10000000)</f>
        <v/>
      </c>
      <c r="AB1271">
        <f>IF(AA1271="","",IF(COUNTIFS(Log!$D$6:$D$1505,D1271,Log!$AA$6:$AA$1505,"&gt;"&amp;AA1271)=0,1,0))</f>
        <v/>
      </c>
      <c r="AC1271">
        <f>IF(S1271="New best",AA1271,"")</f>
        <v/>
      </c>
      <c r="AD1271">
        <f>ROW()</f>
        <v/>
      </c>
    </row>
    <row r="1272">
      <c r="A1272" s="1" t="n"/>
      <c r="B1272" s="21" t="n"/>
      <c r="C1272" s="22" t="n"/>
      <c r="D1272" s="23" t="n"/>
      <c r="E1272" s="24" t="n"/>
      <c r="F1272" s="24" t="n"/>
      <c r="G1272" s="24" t="n"/>
      <c r="H1272" s="24" t="n"/>
      <c r="I1272" s="24" t="n"/>
      <c r="J1272" s="24" t="n"/>
      <c r="K1272" s="24" t="n"/>
      <c r="L1272" s="24" t="n"/>
      <c r="M1272" s="24" t="n"/>
      <c r="N1272" s="24" t="n"/>
      <c r="O1272" s="15">
        <f>IF(D1272="","",COUNT(F1272,H1272,J1272,L1272,N1272))</f>
        <v/>
      </c>
      <c r="P1272" s="25">
        <f>IF(D1272="","",N(E1272)*N(F1272)+N(G1272)*N(H1272)+N(I1272)*N(J1272)+N(K1272)*N(L1272)+N(M1272)*N(N1272))</f>
        <v/>
      </c>
      <c r="Q1272" s="18">
        <f>IF(N(X1272)=0,"",IF(IF(N(F1272)=0,0,IF(N(E1272)&gt;0,E1272*(1+F1272/30),F1272))=X1272,IF(N(E1272)&gt;0,E1272&amp;" x "&amp;F1272,F1272&amp;" reps"),IF(IF(N(H1272)=0,0,IF(N(G1272)&gt;0,G1272*(1+H1272/30),H1272))=X1272,IF(N(G1272)&gt;0,G1272&amp;" x "&amp;H1272,H1272&amp;" reps"),IF(IF(N(J1272)=0,0,IF(N(I1272)&gt;0,I1272*(1+J1272/30),J1272))=X1272,IF(N(I1272)&gt;0,I1272&amp;" x "&amp;J1272,J1272&amp;" reps"),IF(IF(N(L1272)=0,0,IF(N(K1272)&gt;0,K1272*(1+L1272/30),L1272))=X1272,IF(N(K1272)&gt;0,K1272&amp;" x "&amp;L1272,L1272&amp;" reps"),IF(IF(N(N1272)=0,0,IF(N(M1272)&gt;0,M1272*(1+N1272/30),N1272))=X1272,IF(N(M1272)&gt;0,M1272&amp;" x "&amp;N1272,N1272&amp;" reps"),""))))))</f>
        <v/>
      </c>
      <c r="R1272" s="20">
        <f>IF(N(X1272)=0,"",ROUND(X1272,1))</f>
        <v/>
      </c>
      <c r="S1272" s="18">
        <f>IF(N(X1272)=0,"",IF(AND(COUNTIFS(Log!$D$6:$D$1505,D1272,Log!$B$6:$B$1505,"&lt;"&amp;B1272)&gt;0,COUNTIFS(Log!$D$6:$D$1505,D1272,Log!$B$6:$B$1505,"&lt;"&amp;B1272,Log!$X$6:$X$1505,"&gt;="&amp;X1272)=0),"New best",""))</f>
        <v/>
      </c>
      <c r="T1272" s="26" t="n"/>
      <c r="U1272" s="1">
        <f>IF(D1272="","",IFERROR(INDEX(Exercises!$C$6:$C$105,MATCH(D1272,Exercises!$B$6:$B$105,0)),"Other"))</f>
        <v/>
      </c>
      <c r="V1272">
        <f>IF(B1272="","",IF(COUNTIF($B$6:B1272,B1272)=1,1,0))</f>
        <v/>
      </c>
      <c r="W1272">
        <f>IF(B1272="","",B1272-WEEKDAY(B1272,3))</f>
        <v/>
      </c>
      <c r="X1272">
        <f>IF(D1272="","",MAX(IF(N(F1272)=0,0,IF(N(E1272)&gt;0,E1272*(1+F1272/30),F1272)),IF(N(H1272)=0,0,IF(N(G1272)&gt;0,G1272*(1+H1272/30),H1272)),IF(N(J1272)=0,0,IF(N(I1272)&gt;0,I1272*(1+J1272/30),J1272)),IF(N(L1272)=0,0,IF(N(K1272)&gt;0,K1272*(1+L1272/30),L1272)),IF(N(N1272)=0,0,IF(N(M1272)&gt;0,M1272*(1+N1272/30),N1272))))</f>
        <v/>
      </c>
      <c r="Y1272">
        <f>IF(N(X1272)=0,"",X1272+ROW()/1000000000)</f>
        <v/>
      </c>
      <c r="Z1272">
        <f>IF(Y1272="","",IF(COUNTIFS(Log!$D$6:$D$1505,D1272,Log!$Y$6:$Y$1505,"&gt;"&amp;Y1272)=0,1,0))</f>
        <v/>
      </c>
      <c r="AA1272">
        <f>IF(OR(B1272="",D1272=""),"",B1272+ROW()/10000000)</f>
        <v/>
      </c>
      <c r="AB1272">
        <f>IF(AA1272="","",IF(COUNTIFS(Log!$D$6:$D$1505,D1272,Log!$AA$6:$AA$1505,"&gt;"&amp;AA1272)=0,1,0))</f>
        <v/>
      </c>
      <c r="AC1272">
        <f>IF(S1272="New best",AA1272,"")</f>
        <v/>
      </c>
      <c r="AD1272">
        <f>ROW()</f>
        <v/>
      </c>
    </row>
    <row r="1273">
      <c r="A1273" s="1" t="n"/>
      <c r="B1273" s="21" t="n"/>
      <c r="C1273" s="22" t="n"/>
      <c r="D1273" s="23" t="n"/>
      <c r="E1273" s="24" t="n"/>
      <c r="F1273" s="24" t="n"/>
      <c r="G1273" s="24" t="n"/>
      <c r="H1273" s="24" t="n"/>
      <c r="I1273" s="24" t="n"/>
      <c r="J1273" s="24" t="n"/>
      <c r="K1273" s="24" t="n"/>
      <c r="L1273" s="24" t="n"/>
      <c r="M1273" s="24" t="n"/>
      <c r="N1273" s="24" t="n"/>
      <c r="O1273" s="15">
        <f>IF(D1273="","",COUNT(F1273,H1273,J1273,L1273,N1273))</f>
        <v/>
      </c>
      <c r="P1273" s="25">
        <f>IF(D1273="","",N(E1273)*N(F1273)+N(G1273)*N(H1273)+N(I1273)*N(J1273)+N(K1273)*N(L1273)+N(M1273)*N(N1273))</f>
        <v/>
      </c>
      <c r="Q1273" s="18">
        <f>IF(N(X1273)=0,"",IF(IF(N(F1273)=0,0,IF(N(E1273)&gt;0,E1273*(1+F1273/30),F1273))=X1273,IF(N(E1273)&gt;0,E1273&amp;" x "&amp;F1273,F1273&amp;" reps"),IF(IF(N(H1273)=0,0,IF(N(G1273)&gt;0,G1273*(1+H1273/30),H1273))=X1273,IF(N(G1273)&gt;0,G1273&amp;" x "&amp;H1273,H1273&amp;" reps"),IF(IF(N(J1273)=0,0,IF(N(I1273)&gt;0,I1273*(1+J1273/30),J1273))=X1273,IF(N(I1273)&gt;0,I1273&amp;" x "&amp;J1273,J1273&amp;" reps"),IF(IF(N(L1273)=0,0,IF(N(K1273)&gt;0,K1273*(1+L1273/30),L1273))=X1273,IF(N(K1273)&gt;0,K1273&amp;" x "&amp;L1273,L1273&amp;" reps"),IF(IF(N(N1273)=0,0,IF(N(M1273)&gt;0,M1273*(1+N1273/30),N1273))=X1273,IF(N(M1273)&gt;0,M1273&amp;" x "&amp;N1273,N1273&amp;" reps"),""))))))</f>
        <v/>
      </c>
      <c r="R1273" s="20">
        <f>IF(N(X1273)=0,"",ROUND(X1273,1))</f>
        <v/>
      </c>
      <c r="S1273" s="18">
        <f>IF(N(X1273)=0,"",IF(AND(COUNTIFS(Log!$D$6:$D$1505,D1273,Log!$B$6:$B$1505,"&lt;"&amp;B1273)&gt;0,COUNTIFS(Log!$D$6:$D$1505,D1273,Log!$B$6:$B$1505,"&lt;"&amp;B1273,Log!$X$6:$X$1505,"&gt;="&amp;X1273)=0),"New best",""))</f>
        <v/>
      </c>
      <c r="T1273" s="26" t="n"/>
      <c r="U1273" s="1">
        <f>IF(D1273="","",IFERROR(INDEX(Exercises!$C$6:$C$105,MATCH(D1273,Exercises!$B$6:$B$105,0)),"Other"))</f>
        <v/>
      </c>
      <c r="V1273">
        <f>IF(B1273="","",IF(COUNTIF($B$6:B1273,B1273)=1,1,0))</f>
        <v/>
      </c>
      <c r="W1273">
        <f>IF(B1273="","",B1273-WEEKDAY(B1273,3))</f>
        <v/>
      </c>
      <c r="X1273">
        <f>IF(D1273="","",MAX(IF(N(F1273)=0,0,IF(N(E1273)&gt;0,E1273*(1+F1273/30),F1273)),IF(N(H1273)=0,0,IF(N(G1273)&gt;0,G1273*(1+H1273/30),H1273)),IF(N(J1273)=0,0,IF(N(I1273)&gt;0,I1273*(1+J1273/30),J1273)),IF(N(L1273)=0,0,IF(N(K1273)&gt;0,K1273*(1+L1273/30),L1273)),IF(N(N1273)=0,0,IF(N(M1273)&gt;0,M1273*(1+N1273/30),N1273))))</f>
        <v/>
      </c>
      <c r="Y1273">
        <f>IF(N(X1273)=0,"",X1273+ROW()/1000000000)</f>
        <v/>
      </c>
      <c r="Z1273">
        <f>IF(Y1273="","",IF(COUNTIFS(Log!$D$6:$D$1505,D1273,Log!$Y$6:$Y$1505,"&gt;"&amp;Y1273)=0,1,0))</f>
        <v/>
      </c>
      <c r="AA1273">
        <f>IF(OR(B1273="",D1273=""),"",B1273+ROW()/10000000)</f>
        <v/>
      </c>
      <c r="AB1273">
        <f>IF(AA1273="","",IF(COUNTIFS(Log!$D$6:$D$1505,D1273,Log!$AA$6:$AA$1505,"&gt;"&amp;AA1273)=0,1,0))</f>
        <v/>
      </c>
      <c r="AC1273">
        <f>IF(S1273="New best",AA1273,"")</f>
        <v/>
      </c>
      <c r="AD1273">
        <f>ROW()</f>
        <v/>
      </c>
    </row>
    <row r="1274">
      <c r="A1274" s="1" t="n"/>
      <c r="B1274" s="21" t="n"/>
      <c r="C1274" s="22" t="n"/>
      <c r="D1274" s="23" t="n"/>
      <c r="E1274" s="24" t="n"/>
      <c r="F1274" s="24" t="n"/>
      <c r="G1274" s="24" t="n"/>
      <c r="H1274" s="24" t="n"/>
      <c r="I1274" s="24" t="n"/>
      <c r="J1274" s="24" t="n"/>
      <c r="K1274" s="24" t="n"/>
      <c r="L1274" s="24" t="n"/>
      <c r="M1274" s="24" t="n"/>
      <c r="N1274" s="24" t="n"/>
      <c r="O1274" s="15">
        <f>IF(D1274="","",COUNT(F1274,H1274,J1274,L1274,N1274))</f>
        <v/>
      </c>
      <c r="P1274" s="25">
        <f>IF(D1274="","",N(E1274)*N(F1274)+N(G1274)*N(H1274)+N(I1274)*N(J1274)+N(K1274)*N(L1274)+N(M1274)*N(N1274))</f>
        <v/>
      </c>
      <c r="Q1274" s="18">
        <f>IF(N(X1274)=0,"",IF(IF(N(F1274)=0,0,IF(N(E1274)&gt;0,E1274*(1+F1274/30),F1274))=X1274,IF(N(E1274)&gt;0,E1274&amp;" x "&amp;F1274,F1274&amp;" reps"),IF(IF(N(H1274)=0,0,IF(N(G1274)&gt;0,G1274*(1+H1274/30),H1274))=X1274,IF(N(G1274)&gt;0,G1274&amp;" x "&amp;H1274,H1274&amp;" reps"),IF(IF(N(J1274)=0,0,IF(N(I1274)&gt;0,I1274*(1+J1274/30),J1274))=X1274,IF(N(I1274)&gt;0,I1274&amp;" x "&amp;J1274,J1274&amp;" reps"),IF(IF(N(L1274)=0,0,IF(N(K1274)&gt;0,K1274*(1+L1274/30),L1274))=X1274,IF(N(K1274)&gt;0,K1274&amp;" x "&amp;L1274,L1274&amp;" reps"),IF(IF(N(N1274)=0,0,IF(N(M1274)&gt;0,M1274*(1+N1274/30),N1274))=X1274,IF(N(M1274)&gt;0,M1274&amp;" x "&amp;N1274,N1274&amp;" reps"),""))))))</f>
        <v/>
      </c>
      <c r="R1274" s="20">
        <f>IF(N(X1274)=0,"",ROUND(X1274,1))</f>
        <v/>
      </c>
      <c r="S1274" s="18">
        <f>IF(N(X1274)=0,"",IF(AND(COUNTIFS(Log!$D$6:$D$1505,D1274,Log!$B$6:$B$1505,"&lt;"&amp;B1274)&gt;0,COUNTIFS(Log!$D$6:$D$1505,D1274,Log!$B$6:$B$1505,"&lt;"&amp;B1274,Log!$X$6:$X$1505,"&gt;="&amp;X1274)=0),"New best",""))</f>
        <v/>
      </c>
      <c r="T1274" s="26" t="n"/>
      <c r="U1274" s="1">
        <f>IF(D1274="","",IFERROR(INDEX(Exercises!$C$6:$C$105,MATCH(D1274,Exercises!$B$6:$B$105,0)),"Other"))</f>
        <v/>
      </c>
      <c r="V1274">
        <f>IF(B1274="","",IF(COUNTIF($B$6:B1274,B1274)=1,1,0))</f>
        <v/>
      </c>
      <c r="W1274">
        <f>IF(B1274="","",B1274-WEEKDAY(B1274,3))</f>
        <v/>
      </c>
      <c r="X1274">
        <f>IF(D1274="","",MAX(IF(N(F1274)=0,0,IF(N(E1274)&gt;0,E1274*(1+F1274/30),F1274)),IF(N(H1274)=0,0,IF(N(G1274)&gt;0,G1274*(1+H1274/30),H1274)),IF(N(J1274)=0,0,IF(N(I1274)&gt;0,I1274*(1+J1274/30),J1274)),IF(N(L1274)=0,0,IF(N(K1274)&gt;0,K1274*(1+L1274/30),L1274)),IF(N(N1274)=0,0,IF(N(M1274)&gt;0,M1274*(1+N1274/30),N1274))))</f>
        <v/>
      </c>
      <c r="Y1274">
        <f>IF(N(X1274)=0,"",X1274+ROW()/1000000000)</f>
        <v/>
      </c>
      <c r="Z1274">
        <f>IF(Y1274="","",IF(COUNTIFS(Log!$D$6:$D$1505,D1274,Log!$Y$6:$Y$1505,"&gt;"&amp;Y1274)=0,1,0))</f>
        <v/>
      </c>
      <c r="AA1274">
        <f>IF(OR(B1274="",D1274=""),"",B1274+ROW()/10000000)</f>
        <v/>
      </c>
      <c r="AB1274">
        <f>IF(AA1274="","",IF(COUNTIFS(Log!$D$6:$D$1505,D1274,Log!$AA$6:$AA$1505,"&gt;"&amp;AA1274)=0,1,0))</f>
        <v/>
      </c>
      <c r="AC1274">
        <f>IF(S1274="New best",AA1274,"")</f>
        <v/>
      </c>
      <c r="AD1274">
        <f>ROW()</f>
        <v/>
      </c>
    </row>
    <row r="1275">
      <c r="A1275" s="1" t="n"/>
      <c r="B1275" s="21" t="n"/>
      <c r="C1275" s="22" t="n"/>
      <c r="D1275" s="23" t="n"/>
      <c r="E1275" s="24" t="n"/>
      <c r="F1275" s="24" t="n"/>
      <c r="G1275" s="24" t="n"/>
      <c r="H1275" s="24" t="n"/>
      <c r="I1275" s="24" t="n"/>
      <c r="J1275" s="24" t="n"/>
      <c r="K1275" s="24" t="n"/>
      <c r="L1275" s="24" t="n"/>
      <c r="M1275" s="24" t="n"/>
      <c r="N1275" s="24" t="n"/>
      <c r="O1275" s="15">
        <f>IF(D1275="","",COUNT(F1275,H1275,J1275,L1275,N1275))</f>
        <v/>
      </c>
      <c r="P1275" s="25">
        <f>IF(D1275="","",N(E1275)*N(F1275)+N(G1275)*N(H1275)+N(I1275)*N(J1275)+N(K1275)*N(L1275)+N(M1275)*N(N1275))</f>
        <v/>
      </c>
      <c r="Q1275" s="18">
        <f>IF(N(X1275)=0,"",IF(IF(N(F1275)=0,0,IF(N(E1275)&gt;0,E1275*(1+F1275/30),F1275))=X1275,IF(N(E1275)&gt;0,E1275&amp;" x "&amp;F1275,F1275&amp;" reps"),IF(IF(N(H1275)=0,0,IF(N(G1275)&gt;0,G1275*(1+H1275/30),H1275))=X1275,IF(N(G1275)&gt;0,G1275&amp;" x "&amp;H1275,H1275&amp;" reps"),IF(IF(N(J1275)=0,0,IF(N(I1275)&gt;0,I1275*(1+J1275/30),J1275))=X1275,IF(N(I1275)&gt;0,I1275&amp;" x "&amp;J1275,J1275&amp;" reps"),IF(IF(N(L1275)=0,0,IF(N(K1275)&gt;0,K1275*(1+L1275/30),L1275))=X1275,IF(N(K1275)&gt;0,K1275&amp;" x "&amp;L1275,L1275&amp;" reps"),IF(IF(N(N1275)=0,0,IF(N(M1275)&gt;0,M1275*(1+N1275/30),N1275))=X1275,IF(N(M1275)&gt;0,M1275&amp;" x "&amp;N1275,N1275&amp;" reps"),""))))))</f>
        <v/>
      </c>
      <c r="R1275" s="20">
        <f>IF(N(X1275)=0,"",ROUND(X1275,1))</f>
        <v/>
      </c>
      <c r="S1275" s="18">
        <f>IF(N(X1275)=0,"",IF(AND(COUNTIFS(Log!$D$6:$D$1505,D1275,Log!$B$6:$B$1505,"&lt;"&amp;B1275)&gt;0,COUNTIFS(Log!$D$6:$D$1505,D1275,Log!$B$6:$B$1505,"&lt;"&amp;B1275,Log!$X$6:$X$1505,"&gt;="&amp;X1275)=0),"New best",""))</f>
        <v/>
      </c>
      <c r="T1275" s="26" t="n"/>
      <c r="U1275" s="1">
        <f>IF(D1275="","",IFERROR(INDEX(Exercises!$C$6:$C$105,MATCH(D1275,Exercises!$B$6:$B$105,0)),"Other"))</f>
        <v/>
      </c>
      <c r="V1275">
        <f>IF(B1275="","",IF(COUNTIF($B$6:B1275,B1275)=1,1,0))</f>
        <v/>
      </c>
      <c r="W1275">
        <f>IF(B1275="","",B1275-WEEKDAY(B1275,3))</f>
        <v/>
      </c>
      <c r="X1275">
        <f>IF(D1275="","",MAX(IF(N(F1275)=0,0,IF(N(E1275)&gt;0,E1275*(1+F1275/30),F1275)),IF(N(H1275)=0,0,IF(N(G1275)&gt;0,G1275*(1+H1275/30),H1275)),IF(N(J1275)=0,0,IF(N(I1275)&gt;0,I1275*(1+J1275/30),J1275)),IF(N(L1275)=0,0,IF(N(K1275)&gt;0,K1275*(1+L1275/30),L1275)),IF(N(N1275)=0,0,IF(N(M1275)&gt;0,M1275*(1+N1275/30),N1275))))</f>
        <v/>
      </c>
      <c r="Y1275">
        <f>IF(N(X1275)=0,"",X1275+ROW()/1000000000)</f>
        <v/>
      </c>
      <c r="Z1275">
        <f>IF(Y1275="","",IF(COUNTIFS(Log!$D$6:$D$1505,D1275,Log!$Y$6:$Y$1505,"&gt;"&amp;Y1275)=0,1,0))</f>
        <v/>
      </c>
      <c r="AA1275">
        <f>IF(OR(B1275="",D1275=""),"",B1275+ROW()/10000000)</f>
        <v/>
      </c>
      <c r="AB1275">
        <f>IF(AA1275="","",IF(COUNTIFS(Log!$D$6:$D$1505,D1275,Log!$AA$6:$AA$1505,"&gt;"&amp;AA1275)=0,1,0))</f>
        <v/>
      </c>
      <c r="AC1275">
        <f>IF(S1275="New best",AA1275,"")</f>
        <v/>
      </c>
      <c r="AD1275">
        <f>ROW()</f>
        <v/>
      </c>
    </row>
    <row r="1276">
      <c r="A1276" s="1" t="n"/>
      <c r="B1276" s="21" t="n"/>
      <c r="C1276" s="22" t="n"/>
      <c r="D1276" s="23" t="n"/>
      <c r="E1276" s="24" t="n"/>
      <c r="F1276" s="24" t="n"/>
      <c r="G1276" s="24" t="n"/>
      <c r="H1276" s="24" t="n"/>
      <c r="I1276" s="24" t="n"/>
      <c r="J1276" s="24" t="n"/>
      <c r="K1276" s="24" t="n"/>
      <c r="L1276" s="24" t="n"/>
      <c r="M1276" s="24" t="n"/>
      <c r="N1276" s="24" t="n"/>
      <c r="O1276" s="15">
        <f>IF(D1276="","",COUNT(F1276,H1276,J1276,L1276,N1276))</f>
        <v/>
      </c>
      <c r="P1276" s="25">
        <f>IF(D1276="","",N(E1276)*N(F1276)+N(G1276)*N(H1276)+N(I1276)*N(J1276)+N(K1276)*N(L1276)+N(M1276)*N(N1276))</f>
        <v/>
      </c>
      <c r="Q1276" s="18">
        <f>IF(N(X1276)=0,"",IF(IF(N(F1276)=0,0,IF(N(E1276)&gt;0,E1276*(1+F1276/30),F1276))=X1276,IF(N(E1276)&gt;0,E1276&amp;" x "&amp;F1276,F1276&amp;" reps"),IF(IF(N(H1276)=0,0,IF(N(G1276)&gt;0,G1276*(1+H1276/30),H1276))=X1276,IF(N(G1276)&gt;0,G1276&amp;" x "&amp;H1276,H1276&amp;" reps"),IF(IF(N(J1276)=0,0,IF(N(I1276)&gt;0,I1276*(1+J1276/30),J1276))=X1276,IF(N(I1276)&gt;0,I1276&amp;" x "&amp;J1276,J1276&amp;" reps"),IF(IF(N(L1276)=0,0,IF(N(K1276)&gt;0,K1276*(1+L1276/30),L1276))=X1276,IF(N(K1276)&gt;0,K1276&amp;" x "&amp;L1276,L1276&amp;" reps"),IF(IF(N(N1276)=0,0,IF(N(M1276)&gt;0,M1276*(1+N1276/30),N1276))=X1276,IF(N(M1276)&gt;0,M1276&amp;" x "&amp;N1276,N1276&amp;" reps"),""))))))</f>
        <v/>
      </c>
      <c r="R1276" s="20">
        <f>IF(N(X1276)=0,"",ROUND(X1276,1))</f>
        <v/>
      </c>
      <c r="S1276" s="18">
        <f>IF(N(X1276)=0,"",IF(AND(COUNTIFS(Log!$D$6:$D$1505,D1276,Log!$B$6:$B$1505,"&lt;"&amp;B1276)&gt;0,COUNTIFS(Log!$D$6:$D$1505,D1276,Log!$B$6:$B$1505,"&lt;"&amp;B1276,Log!$X$6:$X$1505,"&gt;="&amp;X1276)=0),"New best",""))</f>
        <v/>
      </c>
      <c r="T1276" s="26" t="n"/>
      <c r="U1276" s="1">
        <f>IF(D1276="","",IFERROR(INDEX(Exercises!$C$6:$C$105,MATCH(D1276,Exercises!$B$6:$B$105,0)),"Other"))</f>
        <v/>
      </c>
      <c r="V1276">
        <f>IF(B1276="","",IF(COUNTIF($B$6:B1276,B1276)=1,1,0))</f>
        <v/>
      </c>
      <c r="W1276">
        <f>IF(B1276="","",B1276-WEEKDAY(B1276,3))</f>
        <v/>
      </c>
      <c r="X1276">
        <f>IF(D1276="","",MAX(IF(N(F1276)=0,0,IF(N(E1276)&gt;0,E1276*(1+F1276/30),F1276)),IF(N(H1276)=0,0,IF(N(G1276)&gt;0,G1276*(1+H1276/30),H1276)),IF(N(J1276)=0,0,IF(N(I1276)&gt;0,I1276*(1+J1276/30),J1276)),IF(N(L1276)=0,0,IF(N(K1276)&gt;0,K1276*(1+L1276/30),L1276)),IF(N(N1276)=0,0,IF(N(M1276)&gt;0,M1276*(1+N1276/30),N1276))))</f>
        <v/>
      </c>
      <c r="Y1276">
        <f>IF(N(X1276)=0,"",X1276+ROW()/1000000000)</f>
        <v/>
      </c>
      <c r="Z1276">
        <f>IF(Y1276="","",IF(COUNTIFS(Log!$D$6:$D$1505,D1276,Log!$Y$6:$Y$1505,"&gt;"&amp;Y1276)=0,1,0))</f>
        <v/>
      </c>
      <c r="AA1276">
        <f>IF(OR(B1276="",D1276=""),"",B1276+ROW()/10000000)</f>
        <v/>
      </c>
      <c r="AB1276">
        <f>IF(AA1276="","",IF(COUNTIFS(Log!$D$6:$D$1505,D1276,Log!$AA$6:$AA$1505,"&gt;"&amp;AA1276)=0,1,0))</f>
        <v/>
      </c>
      <c r="AC1276">
        <f>IF(S1276="New best",AA1276,"")</f>
        <v/>
      </c>
      <c r="AD1276">
        <f>ROW()</f>
        <v/>
      </c>
    </row>
    <row r="1277">
      <c r="A1277" s="1" t="n"/>
      <c r="B1277" s="21" t="n"/>
      <c r="C1277" s="22" t="n"/>
      <c r="D1277" s="23" t="n"/>
      <c r="E1277" s="24" t="n"/>
      <c r="F1277" s="24" t="n"/>
      <c r="G1277" s="24" t="n"/>
      <c r="H1277" s="24" t="n"/>
      <c r="I1277" s="24" t="n"/>
      <c r="J1277" s="24" t="n"/>
      <c r="K1277" s="24" t="n"/>
      <c r="L1277" s="24" t="n"/>
      <c r="M1277" s="24" t="n"/>
      <c r="N1277" s="24" t="n"/>
      <c r="O1277" s="15">
        <f>IF(D1277="","",COUNT(F1277,H1277,J1277,L1277,N1277))</f>
        <v/>
      </c>
      <c r="P1277" s="25">
        <f>IF(D1277="","",N(E1277)*N(F1277)+N(G1277)*N(H1277)+N(I1277)*N(J1277)+N(K1277)*N(L1277)+N(M1277)*N(N1277))</f>
        <v/>
      </c>
      <c r="Q1277" s="18">
        <f>IF(N(X1277)=0,"",IF(IF(N(F1277)=0,0,IF(N(E1277)&gt;0,E1277*(1+F1277/30),F1277))=X1277,IF(N(E1277)&gt;0,E1277&amp;" x "&amp;F1277,F1277&amp;" reps"),IF(IF(N(H1277)=0,0,IF(N(G1277)&gt;0,G1277*(1+H1277/30),H1277))=X1277,IF(N(G1277)&gt;0,G1277&amp;" x "&amp;H1277,H1277&amp;" reps"),IF(IF(N(J1277)=0,0,IF(N(I1277)&gt;0,I1277*(1+J1277/30),J1277))=X1277,IF(N(I1277)&gt;0,I1277&amp;" x "&amp;J1277,J1277&amp;" reps"),IF(IF(N(L1277)=0,0,IF(N(K1277)&gt;0,K1277*(1+L1277/30),L1277))=X1277,IF(N(K1277)&gt;0,K1277&amp;" x "&amp;L1277,L1277&amp;" reps"),IF(IF(N(N1277)=0,0,IF(N(M1277)&gt;0,M1277*(1+N1277/30),N1277))=X1277,IF(N(M1277)&gt;0,M1277&amp;" x "&amp;N1277,N1277&amp;" reps"),""))))))</f>
        <v/>
      </c>
      <c r="R1277" s="20">
        <f>IF(N(X1277)=0,"",ROUND(X1277,1))</f>
        <v/>
      </c>
      <c r="S1277" s="18">
        <f>IF(N(X1277)=0,"",IF(AND(COUNTIFS(Log!$D$6:$D$1505,D1277,Log!$B$6:$B$1505,"&lt;"&amp;B1277)&gt;0,COUNTIFS(Log!$D$6:$D$1505,D1277,Log!$B$6:$B$1505,"&lt;"&amp;B1277,Log!$X$6:$X$1505,"&gt;="&amp;X1277)=0),"New best",""))</f>
        <v/>
      </c>
      <c r="T1277" s="26" t="n"/>
      <c r="U1277" s="1">
        <f>IF(D1277="","",IFERROR(INDEX(Exercises!$C$6:$C$105,MATCH(D1277,Exercises!$B$6:$B$105,0)),"Other"))</f>
        <v/>
      </c>
      <c r="V1277">
        <f>IF(B1277="","",IF(COUNTIF($B$6:B1277,B1277)=1,1,0))</f>
        <v/>
      </c>
      <c r="W1277">
        <f>IF(B1277="","",B1277-WEEKDAY(B1277,3))</f>
        <v/>
      </c>
      <c r="X1277">
        <f>IF(D1277="","",MAX(IF(N(F1277)=0,0,IF(N(E1277)&gt;0,E1277*(1+F1277/30),F1277)),IF(N(H1277)=0,0,IF(N(G1277)&gt;0,G1277*(1+H1277/30),H1277)),IF(N(J1277)=0,0,IF(N(I1277)&gt;0,I1277*(1+J1277/30),J1277)),IF(N(L1277)=0,0,IF(N(K1277)&gt;0,K1277*(1+L1277/30),L1277)),IF(N(N1277)=0,0,IF(N(M1277)&gt;0,M1277*(1+N1277/30),N1277))))</f>
        <v/>
      </c>
      <c r="Y1277">
        <f>IF(N(X1277)=0,"",X1277+ROW()/1000000000)</f>
        <v/>
      </c>
      <c r="Z1277">
        <f>IF(Y1277="","",IF(COUNTIFS(Log!$D$6:$D$1505,D1277,Log!$Y$6:$Y$1505,"&gt;"&amp;Y1277)=0,1,0))</f>
        <v/>
      </c>
      <c r="AA1277">
        <f>IF(OR(B1277="",D1277=""),"",B1277+ROW()/10000000)</f>
        <v/>
      </c>
      <c r="AB1277">
        <f>IF(AA1277="","",IF(COUNTIFS(Log!$D$6:$D$1505,D1277,Log!$AA$6:$AA$1505,"&gt;"&amp;AA1277)=0,1,0))</f>
        <v/>
      </c>
      <c r="AC1277">
        <f>IF(S1277="New best",AA1277,"")</f>
        <v/>
      </c>
      <c r="AD1277">
        <f>ROW()</f>
        <v/>
      </c>
    </row>
    <row r="1278">
      <c r="A1278" s="1" t="n"/>
      <c r="B1278" s="21" t="n"/>
      <c r="C1278" s="22" t="n"/>
      <c r="D1278" s="23" t="n"/>
      <c r="E1278" s="24" t="n"/>
      <c r="F1278" s="24" t="n"/>
      <c r="G1278" s="24" t="n"/>
      <c r="H1278" s="24" t="n"/>
      <c r="I1278" s="24" t="n"/>
      <c r="J1278" s="24" t="n"/>
      <c r="K1278" s="24" t="n"/>
      <c r="L1278" s="24" t="n"/>
      <c r="M1278" s="24" t="n"/>
      <c r="N1278" s="24" t="n"/>
      <c r="O1278" s="15">
        <f>IF(D1278="","",COUNT(F1278,H1278,J1278,L1278,N1278))</f>
        <v/>
      </c>
      <c r="P1278" s="25">
        <f>IF(D1278="","",N(E1278)*N(F1278)+N(G1278)*N(H1278)+N(I1278)*N(J1278)+N(K1278)*N(L1278)+N(M1278)*N(N1278))</f>
        <v/>
      </c>
      <c r="Q1278" s="18">
        <f>IF(N(X1278)=0,"",IF(IF(N(F1278)=0,0,IF(N(E1278)&gt;0,E1278*(1+F1278/30),F1278))=X1278,IF(N(E1278)&gt;0,E1278&amp;" x "&amp;F1278,F1278&amp;" reps"),IF(IF(N(H1278)=0,0,IF(N(G1278)&gt;0,G1278*(1+H1278/30),H1278))=X1278,IF(N(G1278)&gt;0,G1278&amp;" x "&amp;H1278,H1278&amp;" reps"),IF(IF(N(J1278)=0,0,IF(N(I1278)&gt;0,I1278*(1+J1278/30),J1278))=X1278,IF(N(I1278)&gt;0,I1278&amp;" x "&amp;J1278,J1278&amp;" reps"),IF(IF(N(L1278)=0,0,IF(N(K1278)&gt;0,K1278*(1+L1278/30),L1278))=X1278,IF(N(K1278)&gt;0,K1278&amp;" x "&amp;L1278,L1278&amp;" reps"),IF(IF(N(N1278)=0,0,IF(N(M1278)&gt;0,M1278*(1+N1278/30),N1278))=X1278,IF(N(M1278)&gt;0,M1278&amp;" x "&amp;N1278,N1278&amp;" reps"),""))))))</f>
        <v/>
      </c>
      <c r="R1278" s="20">
        <f>IF(N(X1278)=0,"",ROUND(X1278,1))</f>
        <v/>
      </c>
      <c r="S1278" s="18">
        <f>IF(N(X1278)=0,"",IF(AND(COUNTIFS(Log!$D$6:$D$1505,D1278,Log!$B$6:$B$1505,"&lt;"&amp;B1278)&gt;0,COUNTIFS(Log!$D$6:$D$1505,D1278,Log!$B$6:$B$1505,"&lt;"&amp;B1278,Log!$X$6:$X$1505,"&gt;="&amp;X1278)=0),"New best",""))</f>
        <v/>
      </c>
      <c r="T1278" s="26" t="n"/>
      <c r="U1278" s="1">
        <f>IF(D1278="","",IFERROR(INDEX(Exercises!$C$6:$C$105,MATCH(D1278,Exercises!$B$6:$B$105,0)),"Other"))</f>
        <v/>
      </c>
      <c r="V1278">
        <f>IF(B1278="","",IF(COUNTIF($B$6:B1278,B1278)=1,1,0))</f>
        <v/>
      </c>
      <c r="W1278">
        <f>IF(B1278="","",B1278-WEEKDAY(B1278,3))</f>
        <v/>
      </c>
      <c r="X1278">
        <f>IF(D1278="","",MAX(IF(N(F1278)=0,0,IF(N(E1278)&gt;0,E1278*(1+F1278/30),F1278)),IF(N(H1278)=0,0,IF(N(G1278)&gt;0,G1278*(1+H1278/30),H1278)),IF(N(J1278)=0,0,IF(N(I1278)&gt;0,I1278*(1+J1278/30),J1278)),IF(N(L1278)=0,0,IF(N(K1278)&gt;0,K1278*(1+L1278/30),L1278)),IF(N(N1278)=0,0,IF(N(M1278)&gt;0,M1278*(1+N1278/30),N1278))))</f>
        <v/>
      </c>
      <c r="Y1278">
        <f>IF(N(X1278)=0,"",X1278+ROW()/1000000000)</f>
        <v/>
      </c>
      <c r="Z1278">
        <f>IF(Y1278="","",IF(COUNTIFS(Log!$D$6:$D$1505,D1278,Log!$Y$6:$Y$1505,"&gt;"&amp;Y1278)=0,1,0))</f>
        <v/>
      </c>
      <c r="AA1278">
        <f>IF(OR(B1278="",D1278=""),"",B1278+ROW()/10000000)</f>
        <v/>
      </c>
      <c r="AB1278">
        <f>IF(AA1278="","",IF(COUNTIFS(Log!$D$6:$D$1505,D1278,Log!$AA$6:$AA$1505,"&gt;"&amp;AA1278)=0,1,0))</f>
        <v/>
      </c>
      <c r="AC1278">
        <f>IF(S1278="New best",AA1278,"")</f>
        <v/>
      </c>
      <c r="AD1278">
        <f>ROW()</f>
        <v/>
      </c>
    </row>
    <row r="1279">
      <c r="A1279" s="1" t="n"/>
      <c r="B1279" s="21" t="n"/>
      <c r="C1279" s="22" t="n"/>
      <c r="D1279" s="23" t="n"/>
      <c r="E1279" s="24" t="n"/>
      <c r="F1279" s="24" t="n"/>
      <c r="G1279" s="24" t="n"/>
      <c r="H1279" s="24" t="n"/>
      <c r="I1279" s="24" t="n"/>
      <c r="J1279" s="24" t="n"/>
      <c r="K1279" s="24" t="n"/>
      <c r="L1279" s="24" t="n"/>
      <c r="M1279" s="24" t="n"/>
      <c r="N1279" s="24" t="n"/>
      <c r="O1279" s="15">
        <f>IF(D1279="","",COUNT(F1279,H1279,J1279,L1279,N1279))</f>
        <v/>
      </c>
      <c r="P1279" s="25">
        <f>IF(D1279="","",N(E1279)*N(F1279)+N(G1279)*N(H1279)+N(I1279)*N(J1279)+N(K1279)*N(L1279)+N(M1279)*N(N1279))</f>
        <v/>
      </c>
      <c r="Q1279" s="18">
        <f>IF(N(X1279)=0,"",IF(IF(N(F1279)=0,0,IF(N(E1279)&gt;0,E1279*(1+F1279/30),F1279))=X1279,IF(N(E1279)&gt;0,E1279&amp;" x "&amp;F1279,F1279&amp;" reps"),IF(IF(N(H1279)=0,0,IF(N(G1279)&gt;0,G1279*(1+H1279/30),H1279))=X1279,IF(N(G1279)&gt;0,G1279&amp;" x "&amp;H1279,H1279&amp;" reps"),IF(IF(N(J1279)=0,0,IF(N(I1279)&gt;0,I1279*(1+J1279/30),J1279))=X1279,IF(N(I1279)&gt;0,I1279&amp;" x "&amp;J1279,J1279&amp;" reps"),IF(IF(N(L1279)=0,0,IF(N(K1279)&gt;0,K1279*(1+L1279/30),L1279))=X1279,IF(N(K1279)&gt;0,K1279&amp;" x "&amp;L1279,L1279&amp;" reps"),IF(IF(N(N1279)=0,0,IF(N(M1279)&gt;0,M1279*(1+N1279/30),N1279))=X1279,IF(N(M1279)&gt;0,M1279&amp;" x "&amp;N1279,N1279&amp;" reps"),""))))))</f>
        <v/>
      </c>
      <c r="R1279" s="20">
        <f>IF(N(X1279)=0,"",ROUND(X1279,1))</f>
        <v/>
      </c>
      <c r="S1279" s="18">
        <f>IF(N(X1279)=0,"",IF(AND(COUNTIFS(Log!$D$6:$D$1505,D1279,Log!$B$6:$B$1505,"&lt;"&amp;B1279)&gt;0,COUNTIFS(Log!$D$6:$D$1505,D1279,Log!$B$6:$B$1505,"&lt;"&amp;B1279,Log!$X$6:$X$1505,"&gt;="&amp;X1279)=0),"New best",""))</f>
        <v/>
      </c>
      <c r="T1279" s="26" t="n"/>
      <c r="U1279" s="1">
        <f>IF(D1279="","",IFERROR(INDEX(Exercises!$C$6:$C$105,MATCH(D1279,Exercises!$B$6:$B$105,0)),"Other"))</f>
        <v/>
      </c>
      <c r="V1279">
        <f>IF(B1279="","",IF(COUNTIF($B$6:B1279,B1279)=1,1,0))</f>
        <v/>
      </c>
      <c r="W1279">
        <f>IF(B1279="","",B1279-WEEKDAY(B1279,3))</f>
        <v/>
      </c>
      <c r="X1279">
        <f>IF(D1279="","",MAX(IF(N(F1279)=0,0,IF(N(E1279)&gt;0,E1279*(1+F1279/30),F1279)),IF(N(H1279)=0,0,IF(N(G1279)&gt;0,G1279*(1+H1279/30),H1279)),IF(N(J1279)=0,0,IF(N(I1279)&gt;0,I1279*(1+J1279/30),J1279)),IF(N(L1279)=0,0,IF(N(K1279)&gt;0,K1279*(1+L1279/30),L1279)),IF(N(N1279)=0,0,IF(N(M1279)&gt;0,M1279*(1+N1279/30),N1279))))</f>
        <v/>
      </c>
      <c r="Y1279">
        <f>IF(N(X1279)=0,"",X1279+ROW()/1000000000)</f>
        <v/>
      </c>
      <c r="Z1279">
        <f>IF(Y1279="","",IF(COUNTIFS(Log!$D$6:$D$1505,D1279,Log!$Y$6:$Y$1505,"&gt;"&amp;Y1279)=0,1,0))</f>
        <v/>
      </c>
      <c r="AA1279">
        <f>IF(OR(B1279="",D1279=""),"",B1279+ROW()/10000000)</f>
        <v/>
      </c>
      <c r="AB1279">
        <f>IF(AA1279="","",IF(COUNTIFS(Log!$D$6:$D$1505,D1279,Log!$AA$6:$AA$1505,"&gt;"&amp;AA1279)=0,1,0))</f>
        <v/>
      </c>
      <c r="AC1279">
        <f>IF(S1279="New best",AA1279,"")</f>
        <v/>
      </c>
      <c r="AD1279">
        <f>ROW()</f>
        <v/>
      </c>
    </row>
    <row r="1280">
      <c r="A1280" s="1" t="n"/>
      <c r="B1280" s="21" t="n"/>
      <c r="C1280" s="22" t="n"/>
      <c r="D1280" s="23" t="n"/>
      <c r="E1280" s="24" t="n"/>
      <c r="F1280" s="24" t="n"/>
      <c r="G1280" s="24" t="n"/>
      <c r="H1280" s="24" t="n"/>
      <c r="I1280" s="24" t="n"/>
      <c r="J1280" s="24" t="n"/>
      <c r="K1280" s="24" t="n"/>
      <c r="L1280" s="24" t="n"/>
      <c r="M1280" s="24" t="n"/>
      <c r="N1280" s="24" t="n"/>
      <c r="O1280" s="15">
        <f>IF(D1280="","",COUNT(F1280,H1280,J1280,L1280,N1280))</f>
        <v/>
      </c>
      <c r="P1280" s="25">
        <f>IF(D1280="","",N(E1280)*N(F1280)+N(G1280)*N(H1280)+N(I1280)*N(J1280)+N(K1280)*N(L1280)+N(M1280)*N(N1280))</f>
        <v/>
      </c>
      <c r="Q1280" s="18">
        <f>IF(N(X1280)=0,"",IF(IF(N(F1280)=0,0,IF(N(E1280)&gt;0,E1280*(1+F1280/30),F1280))=X1280,IF(N(E1280)&gt;0,E1280&amp;" x "&amp;F1280,F1280&amp;" reps"),IF(IF(N(H1280)=0,0,IF(N(G1280)&gt;0,G1280*(1+H1280/30),H1280))=X1280,IF(N(G1280)&gt;0,G1280&amp;" x "&amp;H1280,H1280&amp;" reps"),IF(IF(N(J1280)=0,0,IF(N(I1280)&gt;0,I1280*(1+J1280/30),J1280))=X1280,IF(N(I1280)&gt;0,I1280&amp;" x "&amp;J1280,J1280&amp;" reps"),IF(IF(N(L1280)=0,0,IF(N(K1280)&gt;0,K1280*(1+L1280/30),L1280))=X1280,IF(N(K1280)&gt;0,K1280&amp;" x "&amp;L1280,L1280&amp;" reps"),IF(IF(N(N1280)=0,0,IF(N(M1280)&gt;0,M1280*(1+N1280/30),N1280))=X1280,IF(N(M1280)&gt;0,M1280&amp;" x "&amp;N1280,N1280&amp;" reps"),""))))))</f>
        <v/>
      </c>
      <c r="R1280" s="20">
        <f>IF(N(X1280)=0,"",ROUND(X1280,1))</f>
        <v/>
      </c>
      <c r="S1280" s="18">
        <f>IF(N(X1280)=0,"",IF(AND(COUNTIFS(Log!$D$6:$D$1505,D1280,Log!$B$6:$B$1505,"&lt;"&amp;B1280)&gt;0,COUNTIFS(Log!$D$6:$D$1505,D1280,Log!$B$6:$B$1505,"&lt;"&amp;B1280,Log!$X$6:$X$1505,"&gt;="&amp;X1280)=0),"New best",""))</f>
        <v/>
      </c>
      <c r="T1280" s="26" t="n"/>
      <c r="U1280" s="1">
        <f>IF(D1280="","",IFERROR(INDEX(Exercises!$C$6:$C$105,MATCH(D1280,Exercises!$B$6:$B$105,0)),"Other"))</f>
        <v/>
      </c>
      <c r="V1280">
        <f>IF(B1280="","",IF(COUNTIF($B$6:B1280,B1280)=1,1,0))</f>
        <v/>
      </c>
      <c r="W1280">
        <f>IF(B1280="","",B1280-WEEKDAY(B1280,3))</f>
        <v/>
      </c>
      <c r="X1280">
        <f>IF(D1280="","",MAX(IF(N(F1280)=0,0,IF(N(E1280)&gt;0,E1280*(1+F1280/30),F1280)),IF(N(H1280)=0,0,IF(N(G1280)&gt;0,G1280*(1+H1280/30),H1280)),IF(N(J1280)=0,0,IF(N(I1280)&gt;0,I1280*(1+J1280/30),J1280)),IF(N(L1280)=0,0,IF(N(K1280)&gt;0,K1280*(1+L1280/30),L1280)),IF(N(N1280)=0,0,IF(N(M1280)&gt;0,M1280*(1+N1280/30),N1280))))</f>
        <v/>
      </c>
      <c r="Y1280">
        <f>IF(N(X1280)=0,"",X1280+ROW()/1000000000)</f>
        <v/>
      </c>
      <c r="Z1280">
        <f>IF(Y1280="","",IF(COUNTIFS(Log!$D$6:$D$1505,D1280,Log!$Y$6:$Y$1505,"&gt;"&amp;Y1280)=0,1,0))</f>
        <v/>
      </c>
      <c r="AA1280">
        <f>IF(OR(B1280="",D1280=""),"",B1280+ROW()/10000000)</f>
        <v/>
      </c>
      <c r="AB1280">
        <f>IF(AA1280="","",IF(COUNTIFS(Log!$D$6:$D$1505,D1280,Log!$AA$6:$AA$1505,"&gt;"&amp;AA1280)=0,1,0))</f>
        <v/>
      </c>
      <c r="AC1280">
        <f>IF(S1280="New best",AA1280,"")</f>
        <v/>
      </c>
      <c r="AD1280">
        <f>ROW()</f>
        <v/>
      </c>
    </row>
    <row r="1281">
      <c r="A1281" s="1" t="n"/>
      <c r="B1281" s="21" t="n"/>
      <c r="C1281" s="22" t="n"/>
      <c r="D1281" s="23" t="n"/>
      <c r="E1281" s="24" t="n"/>
      <c r="F1281" s="24" t="n"/>
      <c r="G1281" s="24" t="n"/>
      <c r="H1281" s="24" t="n"/>
      <c r="I1281" s="24" t="n"/>
      <c r="J1281" s="24" t="n"/>
      <c r="K1281" s="24" t="n"/>
      <c r="L1281" s="24" t="n"/>
      <c r="M1281" s="24" t="n"/>
      <c r="N1281" s="24" t="n"/>
      <c r="O1281" s="15">
        <f>IF(D1281="","",COUNT(F1281,H1281,J1281,L1281,N1281))</f>
        <v/>
      </c>
      <c r="P1281" s="25">
        <f>IF(D1281="","",N(E1281)*N(F1281)+N(G1281)*N(H1281)+N(I1281)*N(J1281)+N(K1281)*N(L1281)+N(M1281)*N(N1281))</f>
        <v/>
      </c>
      <c r="Q1281" s="18">
        <f>IF(N(X1281)=0,"",IF(IF(N(F1281)=0,0,IF(N(E1281)&gt;0,E1281*(1+F1281/30),F1281))=X1281,IF(N(E1281)&gt;0,E1281&amp;" x "&amp;F1281,F1281&amp;" reps"),IF(IF(N(H1281)=0,0,IF(N(G1281)&gt;0,G1281*(1+H1281/30),H1281))=X1281,IF(N(G1281)&gt;0,G1281&amp;" x "&amp;H1281,H1281&amp;" reps"),IF(IF(N(J1281)=0,0,IF(N(I1281)&gt;0,I1281*(1+J1281/30),J1281))=X1281,IF(N(I1281)&gt;0,I1281&amp;" x "&amp;J1281,J1281&amp;" reps"),IF(IF(N(L1281)=0,0,IF(N(K1281)&gt;0,K1281*(1+L1281/30),L1281))=X1281,IF(N(K1281)&gt;0,K1281&amp;" x "&amp;L1281,L1281&amp;" reps"),IF(IF(N(N1281)=0,0,IF(N(M1281)&gt;0,M1281*(1+N1281/30),N1281))=X1281,IF(N(M1281)&gt;0,M1281&amp;" x "&amp;N1281,N1281&amp;" reps"),""))))))</f>
        <v/>
      </c>
      <c r="R1281" s="20">
        <f>IF(N(X1281)=0,"",ROUND(X1281,1))</f>
        <v/>
      </c>
      <c r="S1281" s="18">
        <f>IF(N(X1281)=0,"",IF(AND(COUNTIFS(Log!$D$6:$D$1505,D1281,Log!$B$6:$B$1505,"&lt;"&amp;B1281)&gt;0,COUNTIFS(Log!$D$6:$D$1505,D1281,Log!$B$6:$B$1505,"&lt;"&amp;B1281,Log!$X$6:$X$1505,"&gt;="&amp;X1281)=0),"New best",""))</f>
        <v/>
      </c>
      <c r="T1281" s="26" t="n"/>
      <c r="U1281" s="1">
        <f>IF(D1281="","",IFERROR(INDEX(Exercises!$C$6:$C$105,MATCH(D1281,Exercises!$B$6:$B$105,0)),"Other"))</f>
        <v/>
      </c>
      <c r="V1281">
        <f>IF(B1281="","",IF(COUNTIF($B$6:B1281,B1281)=1,1,0))</f>
        <v/>
      </c>
      <c r="W1281">
        <f>IF(B1281="","",B1281-WEEKDAY(B1281,3))</f>
        <v/>
      </c>
      <c r="X1281">
        <f>IF(D1281="","",MAX(IF(N(F1281)=0,0,IF(N(E1281)&gt;0,E1281*(1+F1281/30),F1281)),IF(N(H1281)=0,0,IF(N(G1281)&gt;0,G1281*(1+H1281/30),H1281)),IF(N(J1281)=0,0,IF(N(I1281)&gt;0,I1281*(1+J1281/30),J1281)),IF(N(L1281)=0,0,IF(N(K1281)&gt;0,K1281*(1+L1281/30),L1281)),IF(N(N1281)=0,0,IF(N(M1281)&gt;0,M1281*(1+N1281/30),N1281))))</f>
        <v/>
      </c>
      <c r="Y1281">
        <f>IF(N(X1281)=0,"",X1281+ROW()/1000000000)</f>
        <v/>
      </c>
      <c r="Z1281">
        <f>IF(Y1281="","",IF(COUNTIFS(Log!$D$6:$D$1505,D1281,Log!$Y$6:$Y$1505,"&gt;"&amp;Y1281)=0,1,0))</f>
        <v/>
      </c>
      <c r="AA1281">
        <f>IF(OR(B1281="",D1281=""),"",B1281+ROW()/10000000)</f>
        <v/>
      </c>
      <c r="AB1281">
        <f>IF(AA1281="","",IF(COUNTIFS(Log!$D$6:$D$1505,D1281,Log!$AA$6:$AA$1505,"&gt;"&amp;AA1281)=0,1,0))</f>
        <v/>
      </c>
      <c r="AC1281">
        <f>IF(S1281="New best",AA1281,"")</f>
        <v/>
      </c>
      <c r="AD1281">
        <f>ROW()</f>
        <v/>
      </c>
    </row>
    <row r="1282">
      <c r="A1282" s="1" t="n"/>
      <c r="B1282" s="21" t="n"/>
      <c r="C1282" s="22" t="n"/>
      <c r="D1282" s="23" t="n"/>
      <c r="E1282" s="24" t="n"/>
      <c r="F1282" s="24" t="n"/>
      <c r="G1282" s="24" t="n"/>
      <c r="H1282" s="24" t="n"/>
      <c r="I1282" s="24" t="n"/>
      <c r="J1282" s="24" t="n"/>
      <c r="K1282" s="24" t="n"/>
      <c r="L1282" s="24" t="n"/>
      <c r="M1282" s="24" t="n"/>
      <c r="N1282" s="24" t="n"/>
      <c r="O1282" s="15">
        <f>IF(D1282="","",COUNT(F1282,H1282,J1282,L1282,N1282))</f>
        <v/>
      </c>
      <c r="P1282" s="25">
        <f>IF(D1282="","",N(E1282)*N(F1282)+N(G1282)*N(H1282)+N(I1282)*N(J1282)+N(K1282)*N(L1282)+N(M1282)*N(N1282))</f>
        <v/>
      </c>
      <c r="Q1282" s="18">
        <f>IF(N(X1282)=0,"",IF(IF(N(F1282)=0,0,IF(N(E1282)&gt;0,E1282*(1+F1282/30),F1282))=X1282,IF(N(E1282)&gt;0,E1282&amp;" x "&amp;F1282,F1282&amp;" reps"),IF(IF(N(H1282)=0,0,IF(N(G1282)&gt;0,G1282*(1+H1282/30),H1282))=X1282,IF(N(G1282)&gt;0,G1282&amp;" x "&amp;H1282,H1282&amp;" reps"),IF(IF(N(J1282)=0,0,IF(N(I1282)&gt;0,I1282*(1+J1282/30),J1282))=X1282,IF(N(I1282)&gt;0,I1282&amp;" x "&amp;J1282,J1282&amp;" reps"),IF(IF(N(L1282)=0,0,IF(N(K1282)&gt;0,K1282*(1+L1282/30),L1282))=X1282,IF(N(K1282)&gt;0,K1282&amp;" x "&amp;L1282,L1282&amp;" reps"),IF(IF(N(N1282)=0,0,IF(N(M1282)&gt;0,M1282*(1+N1282/30),N1282))=X1282,IF(N(M1282)&gt;0,M1282&amp;" x "&amp;N1282,N1282&amp;" reps"),""))))))</f>
        <v/>
      </c>
      <c r="R1282" s="20">
        <f>IF(N(X1282)=0,"",ROUND(X1282,1))</f>
        <v/>
      </c>
      <c r="S1282" s="18">
        <f>IF(N(X1282)=0,"",IF(AND(COUNTIFS(Log!$D$6:$D$1505,D1282,Log!$B$6:$B$1505,"&lt;"&amp;B1282)&gt;0,COUNTIFS(Log!$D$6:$D$1505,D1282,Log!$B$6:$B$1505,"&lt;"&amp;B1282,Log!$X$6:$X$1505,"&gt;="&amp;X1282)=0),"New best",""))</f>
        <v/>
      </c>
      <c r="T1282" s="26" t="n"/>
      <c r="U1282" s="1">
        <f>IF(D1282="","",IFERROR(INDEX(Exercises!$C$6:$C$105,MATCH(D1282,Exercises!$B$6:$B$105,0)),"Other"))</f>
        <v/>
      </c>
      <c r="V1282">
        <f>IF(B1282="","",IF(COUNTIF($B$6:B1282,B1282)=1,1,0))</f>
        <v/>
      </c>
      <c r="W1282">
        <f>IF(B1282="","",B1282-WEEKDAY(B1282,3))</f>
        <v/>
      </c>
      <c r="X1282">
        <f>IF(D1282="","",MAX(IF(N(F1282)=0,0,IF(N(E1282)&gt;0,E1282*(1+F1282/30),F1282)),IF(N(H1282)=0,0,IF(N(G1282)&gt;0,G1282*(1+H1282/30),H1282)),IF(N(J1282)=0,0,IF(N(I1282)&gt;0,I1282*(1+J1282/30),J1282)),IF(N(L1282)=0,0,IF(N(K1282)&gt;0,K1282*(1+L1282/30),L1282)),IF(N(N1282)=0,0,IF(N(M1282)&gt;0,M1282*(1+N1282/30),N1282))))</f>
        <v/>
      </c>
      <c r="Y1282">
        <f>IF(N(X1282)=0,"",X1282+ROW()/1000000000)</f>
        <v/>
      </c>
      <c r="Z1282">
        <f>IF(Y1282="","",IF(COUNTIFS(Log!$D$6:$D$1505,D1282,Log!$Y$6:$Y$1505,"&gt;"&amp;Y1282)=0,1,0))</f>
        <v/>
      </c>
      <c r="AA1282">
        <f>IF(OR(B1282="",D1282=""),"",B1282+ROW()/10000000)</f>
        <v/>
      </c>
      <c r="AB1282">
        <f>IF(AA1282="","",IF(COUNTIFS(Log!$D$6:$D$1505,D1282,Log!$AA$6:$AA$1505,"&gt;"&amp;AA1282)=0,1,0))</f>
        <v/>
      </c>
      <c r="AC1282">
        <f>IF(S1282="New best",AA1282,"")</f>
        <v/>
      </c>
      <c r="AD1282">
        <f>ROW()</f>
        <v/>
      </c>
    </row>
    <row r="1283">
      <c r="A1283" s="1" t="n"/>
      <c r="B1283" s="21" t="n"/>
      <c r="C1283" s="22" t="n"/>
      <c r="D1283" s="23" t="n"/>
      <c r="E1283" s="24" t="n"/>
      <c r="F1283" s="24" t="n"/>
      <c r="G1283" s="24" t="n"/>
      <c r="H1283" s="24" t="n"/>
      <c r="I1283" s="24" t="n"/>
      <c r="J1283" s="24" t="n"/>
      <c r="K1283" s="24" t="n"/>
      <c r="L1283" s="24" t="n"/>
      <c r="M1283" s="24" t="n"/>
      <c r="N1283" s="24" t="n"/>
      <c r="O1283" s="15">
        <f>IF(D1283="","",COUNT(F1283,H1283,J1283,L1283,N1283))</f>
        <v/>
      </c>
      <c r="P1283" s="25">
        <f>IF(D1283="","",N(E1283)*N(F1283)+N(G1283)*N(H1283)+N(I1283)*N(J1283)+N(K1283)*N(L1283)+N(M1283)*N(N1283))</f>
        <v/>
      </c>
      <c r="Q1283" s="18">
        <f>IF(N(X1283)=0,"",IF(IF(N(F1283)=0,0,IF(N(E1283)&gt;0,E1283*(1+F1283/30),F1283))=X1283,IF(N(E1283)&gt;0,E1283&amp;" x "&amp;F1283,F1283&amp;" reps"),IF(IF(N(H1283)=0,0,IF(N(G1283)&gt;0,G1283*(1+H1283/30),H1283))=X1283,IF(N(G1283)&gt;0,G1283&amp;" x "&amp;H1283,H1283&amp;" reps"),IF(IF(N(J1283)=0,0,IF(N(I1283)&gt;0,I1283*(1+J1283/30),J1283))=X1283,IF(N(I1283)&gt;0,I1283&amp;" x "&amp;J1283,J1283&amp;" reps"),IF(IF(N(L1283)=0,0,IF(N(K1283)&gt;0,K1283*(1+L1283/30),L1283))=X1283,IF(N(K1283)&gt;0,K1283&amp;" x "&amp;L1283,L1283&amp;" reps"),IF(IF(N(N1283)=0,0,IF(N(M1283)&gt;0,M1283*(1+N1283/30),N1283))=X1283,IF(N(M1283)&gt;0,M1283&amp;" x "&amp;N1283,N1283&amp;" reps"),""))))))</f>
        <v/>
      </c>
      <c r="R1283" s="20">
        <f>IF(N(X1283)=0,"",ROUND(X1283,1))</f>
        <v/>
      </c>
      <c r="S1283" s="18">
        <f>IF(N(X1283)=0,"",IF(AND(COUNTIFS(Log!$D$6:$D$1505,D1283,Log!$B$6:$B$1505,"&lt;"&amp;B1283)&gt;0,COUNTIFS(Log!$D$6:$D$1505,D1283,Log!$B$6:$B$1505,"&lt;"&amp;B1283,Log!$X$6:$X$1505,"&gt;="&amp;X1283)=0),"New best",""))</f>
        <v/>
      </c>
      <c r="T1283" s="26" t="n"/>
      <c r="U1283" s="1">
        <f>IF(D1283="","",IFERROR(INDEX(Exercises!$C$6:$C$105,MATCH(D1283,Exercises!$B$6:$B$105,0)),"Other"))</f>
        <v/>
      </c>
      <c r="V1283">
        <f>IF(B1283="","",IF(COUNTIF($B$6:B1283,B1283)=1,1,0))</f>
        <v/>
      </c>
      <c r="W1283">
        <f>IF(B1283="","",B1283-WEEKDAY(B1283,3))</f>
        <v/>
      </c>
      <c r="X1283">
        <f>IF(D1283="","",MAX(IF(N(F1283)=0,0,IF(N(E1283)&gt;0,E1283*(1+F1283/30),F1283)),IF(N(H1283)=0,0,IF(N(G1283)&gt;0,G1283*(1+H1283/30),H1283)),IF(N(J1283)=0,0,IF(N(I1283)&gt;0,I1283*(1+J1283/30),J1283)),IF(N(L1283)=0,0,IF(N(K1283)&gt;0,K1283*(1+L1283/30),L1283)),IF(N(N1283)=0,0,IF(N(M1283)&gt;0,M1283*(1+N1283/30),N1283))))</f>
        <v/>
      </c>
      <c r="Y1283">
        <f>IF(N(X1283)=0,"",X1283+ROW()/1000000000)</f>
        <v/>
      </c>
      <c r="Z1283">
        <f>IF(Y1283="","",IF(COUNTIFS(Log!$D$6:$D$1505,D1283,Log!$Y$6:$Y$1505,"&gt;"&amp;Y1283)=0,1,0))</f>
        <v/>
      </c>
      <c r="AA1283">
        <f>IF(OR(B1283="",D1283=""),"",B1283+ROW()/10000000)</f>
        <v/>
      </c>
      <c r="AB1283">
        <f>IF(AA1283="","",IF(COUNTIFS(Log!$D$6:$D$1505,D1283,Log!$AA$6:$AA$1505,"&gt;"&amp;AA1283)=0,1,0))</f>
        <v/>
      </c>
      <c r="AC1283">
        <f>IF(S1283="New best",AA1283,"")</f>
        <v/>
      </c>
      <c r="AD1283">
        <f>ROW()</f>
        <v/>
      </c>
    </row>
    <row r="1284">
      <c r="A1284" s="1" t="n"/>
      <c r="B1284" s="21" t="n"/>
      <c r="C1284" s="22" t="n"/>
      <c r="D1284" s="23" t="n"/>
      <c r="E1284" s="24" t="n"/>
      <c r="F1284" s="24" t="n"/>
      <c r="G1284" s="24" t="n"/>
      <c r="H1284" s="24" t="n"/>
      <c r="I1284" s="24" t="n"/>
      <c r="J1284" s="24" t="n"/>
      <c r="K1284" s="24" t="n"/>
      <c r="L1284" s="24" t="n"/>
      <c r="M1284" s="24" t="n"/>
      <c r="N1284" s="24" t="n"/>
      <c r="O1284" s="15">
        <f>IF(D1284="","",COUNT(F1284,H1284,J1284,L1284,N1284))</f>
        <v/>
      </c>
      <c r="P1284" s="25">
        <f>IF(D1284="","",N(E1284)*N(F1284)+N(G1284)*N(H1284)+N(I1284)*N(J1284)+N(K1284)*N(L1284)+N(M1284)*N(N1284))</f>
        <v/>
      </c>
      <c r="Q1284" s="18">
        <f>IF(N(X1284)=0,"",IF(IF(N(F1284)=0,0,IF(N(E1284)&gt;0,E1284*(1+F1284/30),F1284))=X1284,IF(N(E1284)&gt;0,E1284&amp;" x "&amp;F1284,F1284&amp;" reps"),IF(IF(N(H1284)=0,0,IF(N(G1284)&gt;0,G1284*(1+H1284/30),H1284))=X1284,IF(N(G1284)&gt;0,G1284&amp;" x "&amp;H1284,H1284&amp;" reps"),IF(IF(N(J1284)=0,0,IF(N(I1284)&gt;0,I1284*(1+J1284/30),J1284))=X1284,IF(N(I1284)&gt;0,I1284&amp;" x "&amp;J1284,J1284&amp;" reps"),IF(IF(N(L1284)=0,0,IF(N(K1284)&gt;0,K1284*(1+L1284/30),L1284))=X1284,IF(N(K1284)&gt;0,K1284&amp;" x "&amp;L1284,L1284&amp;" reps"),IF(IF(N(N1284)=0,0,IF(N(M1284)&gt;0,M1284*(1+N1284/30),N1284))=X1284,IF(N(M1284)&gt;0,M1284&amp;" x "&amp;N1284,N1284&amp;" reps"),""))))))</f>
        <v/>
      </c>
      <c r="R1284" s="20">
        <f>IF(N(X1284)=0,"",ROUND(X1284,1))</f>
        <v/>
      </c>
      <c r="S1284" s="18">
        <f>IF(N(X1284)=0,"",IF(AND(COUNTIFS(Log!$D$6:$D$1505,D1284,Log!$B$6:$B$1505,"&lt;"&amp;B1284)&gt;0,COUNTIFS(Log!$D$6:$D$1505,D1284,Log!$B$6:$B$1505,"&lt;"&amp;B1284,Log!$X$6:$X$1505,"&gt;="&amp;X1284)=0),"New best",""))</f>
        <v/>
      </c>
      <c r="T1284" s="26" t="n"/>
      <c r="U1284" s="1">
        <f>IF(D1284="","",IFERROR(INDEX(Exercises!$C$6:$C$105,MATCH(D1284,Exercises!$B$6:$B$105,0)),"Other"))</f>
        <v/>
      </c>
      <c r="V1284">
        <f>IF(B1284="","",IF(COUNTIF($B$6:B1284,B1284)=1,1,0))</f>
        <v/>
      </c>
      <c r="W1284">
        <f>IF(B1284="","",B1284-WEEKDAY(B1284,3))</f>
        <v/>
      </c>
      <c r="X1284">
        <f>IF(D1284="","",MAX(IF(N(F1284)=0,0,IF(N(E1284)&gt;0,E1284*(1+F1284/30),F1284)),IF(N(H1284)=0,0,IF(N(G1284)&gt;0,G1284*(1+H1284/30),H1284)),IF(N(J1284)=0,0,IF(N(I1284)&gt;0,I1284*(1+J1284/30),J1284)),IF(N(L1284)=0,0,IF(N(K1284)&gt;0,K1284*(1+L1284/30),L1284)),IF(N(N1284)=0,0,IF(N(M1284)&gt;0,M1284*(1+N1284/30),N1284))))</f>
        <v/>
      </c>
      <c r="Y1284">
        <f>IF(N(X1284)=0,"",X1284+ROW()/1000000000)</f>
        <v/>
      </c>
      <c r="Z1284">
        <f>IF(Y1284="","",IF(COUNTIFS(Log!$D$6:$D$1505,D1284,Log!$Y$6:$Y$1505,"&gt;"&amp;Y1284)=0,1,0))</f>
        <v/>
      </c>
      <c r="AA1284">
        <f>IF(OR(B1284="",D1284=""),"",B1284+ROW()/10000000)</f>
        <v/>
      </c>
      <c r="AB1284">
        <f>IF(AA1284="","",IF(COUNTIFS(Log!$D$6:$D$1505,D1284,Log!$AA$6:$AA$1505,"&gt;"&amp;AA1284)=0,1,0))</f>
        <v/>
      </c>
      <c r="AC1284">
        <f>IF(S1284="New best",AA1284,"")</f>
        <v/>
      </c>
      <c r="AD1284">
        <f>ROW()</f>
        <v/>
      </c>
    </row>
    <row r="1285">
      <c r="A1285" s="1" t="n"/>
      <c r="B1285" s="21" t="n"/>
      <c r="C1285" s="22" t="n"/>
      <c r="D1285" s="23" t="n"/>
      <c r="E1285" s="24" t="n"/>
      <c r="F1285" s="24" t="n"/>
      <c r="G1285" s="24" t="n"/>
      <c r="H1285" s="24" t="n"/>
      <c r="I1285" s="24" t="n"/>
      <c r="J1285" s="24" t="n"/>
      <c r="K1285" s="24" t="n"/>
      <c r="L1285" s="24" t="n"/>
      <c r="M1285" s="24" t="n"/>
      <c r="N1285" s="24" t="n"/>
      <c r="O1285" s="15">
        <f>IF(D1285="","",COUNT(F1285,H1285,J1285,L1285,N1285))</f>
        <v/>
      </c>
      <c r="P1285" s="25">
        <f>IF(D1285="","",N(E1285)*N(F1285)+N(G1285)*N(H1285)+N(I1285)*N(J1285)+N(K1285)*N(L1285)+N(M1285)*N(N1285))</f>
        <v/>
      </c>
      <c r="Q1285" s="18">
        <f>IF(N(X1285)=0,"",IF(IF(N(F1285)=0,0,IF(N(E1285)&gt;0,E1285*(1+F1285/30),F1285))=X1285,IF(N(E1285)&gt;0,E1285&amp;" x "&amp;F1285,F1285&amp;" reps"),IF(IF(N(H1285)=0,0,IF(N(G1285)&gt;0,G1285*(1+H1285/30),H1285))=X1285,IF(N(G1285)&gt;0,G1285&amp;" x "&amp;H1285,H1285&amp;" reps"),IF(IF(N(J1285)=0,0,IF(N(I1285)&gt;0,I1285*(1+J1285/30),J1285))=X1285,IF(N(I1285)&gt;0,I1285&amp;" x "&amp;J1285,J1285&amp;" reps"),IF(IF(N(L1285)=0,0,IF(N(K1285)&gt;0,K1285*(1+L1285/30),L1285))=X1285,IF(N(K1285)&gt;0,K1285&amp;" x "&amp;L1285,L1285&amp;" reps"),IF(IF(N(N1285)=0,0,IF(N(M1285)&gt;0,M1285*(1+N1285/30),N1285))=X1285,IF(N(M1285)&gt;0,M1285&amp;" x "&amp;N1285,N1285&amp;" reps"),""))))))</f>
        <v/>
      </c>
      <c r="R1285" s="20">
        <f>IF(N(X1285)=0,"",ROUND(X1285,1))</f>
        <v/>
      </c>
      <c r="S1285" s="18">
        <f>IF(N(X1285)=0,"",IF(AND(COUNTIFS(Log!$D$6:$D$1505,D1285,Log!$B$6:$B$1505,"&lt;"&amp;B1285)&gt;0,COUNTIFS(Log!$D$6:$D$1505,D1285,Log!$B$6:$B$1505,"&lt;"&amp;B1285,Log!$X$6:$X$1505,"&gt;="&amp;X1285)=0),"New best",""))</f>
        <v/>
      </c>
      <c r="T1285" s="26" t="n"/>
      <c r="U1285" s="1">
        <f>IF(D1285="","",IFERROR(INDEX(Exercises!$C$6:$C$105,MATCH(D1285,Exercises!$B$6:$B$105,0)),"Other"))</f>
        <v/>
      </c>
      <c r="V1285">
        <f>IF(B1285="","",IF(COUNTIF($B$6:B1285,B1285)=1,1,0))</f>
        <v/>
      </c>
      <c r="W1285">
        <f>IF(B1285="","",B1285-WEEKDAY(B1285,3))</f>
        <v/>
      </c>
      <c r="X1285">
        <f>IF(D1285="","",MAX(IF(N(F1285)=0,0,IF(N(E1285)&gt;0,E1285*(1+F1285/30),F1285)),IF(N(H1285)=0,0,IF(N(G1285)&gt;0,G1285*(1+H1285/30),H1285)),IF(N(J1285)=0,0,IF(N(I1285)&gt;0,I1285*(1+J1285/30),J1285)),IF(N(L1285)=0,0,IF(N(K1285)&gt;0,K1285*(1+L1285/30),L1285)),IF(N(N1285)=0,0,IF(N(M1285)&gt;0,M1285*(1+N1285/30),N1285))))</f>
        <v/>
      </c>
      <c r="Y1285">
        <f>IF(N(X1285)=0,"",X1285+ROW()/1000000000)</f>
        <v/>
      </c>
      <c r="Z1285">
        <f>IF(Y1285="","",IF(COUNTIFS(Log!$D$6:$D$1505,D1285,Log!$Y$6:$Y$1505,"&gt;"&amp;Y1285)=0,1,0))</f>
        <v/>
      </c>
      <c r="AA1285">
        <f>IF(OR(B1285="",D1285=""),"",B1285+ROW()/10000000)</f>
        <v/>
      </c>
      <c r="AB1285">
        <f>IF(AA1285="","",IF(COUNTIFS(Log!$D$6:$D$1505,D1285,Log!$AA$6:$AA$1505,"&gt;"&amp;AA1285)=0,1,0))</f>
        <v/>
      </c>
      <c r="AC1285">
        <f>IF(S1285="New best",AA1285,"")</f>
        <v/>
      </c>
      <c r="AD1285">
        <f>ROW()</f>
        <v/>
      </c>
    </row>
    <row r="1286">
      <c r="A1286" s="1" t="n"/>
      <c r="B1286" s="21" t="n"/>
      <c r="C1286" s="22" t="n"/>
      <c r="D1286" s="23" t="n"/>
      <c r="E1286" s="24" t="n"/>
      <c r="F1286" s="24" t="n"/>
      <c r="G1286" s="24" t="n"/>
      <c r="H1286" s="24" t="n"/>
      <c r="I1286" s="24" t="n"/>
      <c r="J1286" s="24" t="n"/>
      <c r="K1286" s="24" t="n"/>
      <c r="L1286" s="24" t="n"/>
      <c r="M1286" s="24" t="n"/>
      <c r="N1286" s="24" t="n"/>
      <c r="O1286" s="15">
        <f>IF(D1286="","",COUNT(F1286,H1286,J1286,L1286,N1286))</f>
        <v/>
      </c>
      <c r="P1286" s="25">
        <f>IF(D1286="","",N(E1286)*N(F1286)+N(G1286)*N(H1286)+N(I1286)*N(J1286)+N(K1286)*N(L1286)+N(M1286)*N(N1286))</f>
        <v/>
      </c>
      <c r="Q1286" s="18">
        <f>IF(N(X1286)=0,"",IF(IF(N(F1286)=0,0,IF(N(E1286)&gt;0,E1286*(1+F1286/30),F1286))=X1286,IF(N(E1286)&gt;0,E1286&amp;" x "&amp;F1286,F1286&amp;" reps"),IF(IF(N(H1286)=0,0,IF(N(G1286)&gt;0,G1286*(1+H1286/30),H1286))=X1286,IF(N(G1286)&gt;0,G1286&amp;" x "&amp;H1286,H1286&amp;" reps"),IF(IF(N(J1286)=0,0,IF(N(I1286)&gt;0,I1286*(1+J1286/30),J1286))=X1286,IF(N(I1286)&gt;0,I1286&amp;" x "&amp;J1286,J1286&amp;" reps"),IF(IF(N(L1286)=0,0,IF(N(K1286)&gt;0,K1286*(1+L1286/30),L1286))=X1286,IF(N(K1286)&gt;0,K1286&amp;" x "&amp;L1286,L1286&amp;" reps"),IF(IF(N(N1286)=0,0,IF(N(M1286)&gt;0,M1286*(1+N1286/30),N1286))=X1286,IF(N(M1286)&gt;0,M1286&amp;" x "&amp;N1286,N1286&amp;" reps"),""))))))</f>
        <v/>
      </c>
      <c r="R1286" s="20">
        <f>IF(N(X1286)=0,"",ROUND(X1286,1))</f>
        <v/>
      </c>
      <c r="S1286" s="18">
        <f>IF(N(X1286)=0,"",IF(AND(COUNTIFS(Log!$D$6:$D$1505,D1286,Log!$B$6:$B$1505,"&lt;"&amp;B1286)&gt;0,COUNTIFS(Log!$D$6:$D$1505,D1286,Log!$B$6:$B$1505,"&lt;"&amp;B1286,Log!$X$6:$X$1505,"&gt;="&amp;X1286)=0),"New best",""))</f>
        <v/>
      </c>
      <c r="T1286" s="26" t="n"/>
      <c r="U1286" s="1">
        <f>IF(D1286="","",IFERROR(INDEX(Exercises!$C$6:$C$105,MATCH(D1286,Exercises!$B$6:$B$105,0)),"Other"))</f>
        <v/>
      </c>
      <c r="V1286">
        <f>IF(B1286="","",IF(COUNTIF($B$6:B1286,B1286)=1,1,0))</f>
        <v/>
      </c>
      <c r="W1286">
        <f>IF(B1286="","",B1286-WEEKDAY(B1286,3))</f>
        <v/>
      </c>
      <c r="X1286">
        <f>IF(D1286="","",MAX(IF(N(F1286)=0,0,IF(N(E1286)&gt;0,E1286*(1+F1286/30),F1286)),IF(N(H1286)=0,0,IF(N(G1286)&gt;0,G1286*(1+H1286/30),H1286)),IF(N(J1286)=0,0,IF(N(I1286)&gt;0,I1286*(1+J1286/30),J1286)),IF(N(L1286)=0,0,IF(N(K1286)&gt;0,K1286*(1+L1286/30),L1286)),IF(N(N1286)=0,0,IF(N(M1286)&gt;0,M1286*(1+N1286/30),N1286))))</f>
        <v/>
      </c>
      <c r="Y1286">
        <f>IF(N(X1286)=0,"",X1286+ROW()/1000000000)</f>
        <v/>
      </c>
      <c r="Z1286">
        <f>IF(Y1286="","",IF(COUNTIFS(Log!$D$6:$D$1505,D1286,Log!$Y$6:$Y$1505,"&gt;"&amp;Y1286)=0,1,0))</f>
        <v/>
      </c>
      <c r="AA1286">
        <f>IF(OR(B1286="",D1286=""),"",B1286+ROW()/10000000)</f>
        <v/>
      </c>
      <c r="AB1286">
        <f>IF(AA1286="","",IF(COUNTIFS(Log!$D$6:$D$1505,D1286,Log!$AA$6:$AA$1505,"&gt;"&amp;AA1286)=0,1,0))</f>
        <v/>
      </c>
      <c r="AC1286">
        <f>IF(S1286="New best",AA1286,"")</f>
        <v/>
      </c>
      <c r="AD1286">
        <f>ROW()</f>
        <v/>
      </c>
    </row>
    <row r="1287">
      <c r="A1287" s="1" t="n"/>
      <c r="B1287" s="21" t="n"/>
      <c r="C1287" s="22" t="n"/>
      <c r="D1287" s="23" t="n"/>
      <c r="E1287" s="24" t="n"/>
      <c r="F1287" s="24" t="n"/>
      <c r="G1287" s="24" t="n"/>
      <c r="H1287" s="24" t="n"/>
      <c r="I1287" s="24" t="n"/>
      <c r="J1287" s="24" t="n"/>
      <c r="K1287" s="24" t="n"/>
      <c r="L1287" s="24" t="n"/>
      <c r="M1287" s="24" t="n"/>
      <c r="N1287" s="24" t="n"/>
      <c r="O1287" s="15">
        <f>IF(D1287="","",COUNT(F1287,H1287,J1287,L1287,N1287))</f>
        <v/>
      </c>
      <c r="P1287" s="25">
        <f>IF(D1287="","",N(E1287)*N(F1287)+N(G1287)*N(H1287)+N(I1287)*N(J1287)+N(K1287)*N(L1287)+N(M1287)*N(N1287))</f>
        <v/>
      </c>
      <c r="Q1287" s="18">
        <f>IF(N(X1287)=0,"",IF(IF(N(F1287)=0,0,IF(N(E1287)&gt;0,E1287*(1+F1287/30),F1287))=X1287,IF(N(E1287)&gt;0,E1287&amp;" x "&amp;F1287,F1287&amp;" reps"),IF(IF(N(H1287)=0,0,IF(N(G1287)&gt;0,G1287*(1+H1287/30),H1287))=X1287,IF(N(G1287)&gt;0,G1287&amp;" x "&amp;H1287,H1287&amp;" reps"),IF(IF(N(J1287)=0,0,IF(N(I1287)&gt;0,I1287*(1+J1287/30),J1287))=X1287,IF(N(I1287)&gt;0,I1287&amp;" x "&amp;J1287,J1287&amp;" reps"),IF(IF(N(L1287)=0,0,IF(N(K1287)&gt;0,K1287*(1+L1287/30),L1287))=X1287,IF(N(K1287)&gt;0,K1287&amp;" x "&amp;L1287,L1287&amp;" reps"),IF(IF(N(N1287)=0,0,IF(N(M1287)&gt;0,M1287*(1+N1287/30),N1287))=X1287,IF(N(M1287)&gt;0,M1287&amp;" x "&amp;N1287,N1287&amp;" reps"),""))))))</f>
        <v/>
      </c>
      <c r="R1287" s="20">
        <f>IF(N(X1287)=0,"",ROUND(X1287,1))</f>
        <v/>
      </c>
      <c r="S1287" s="18">
        <f>IF(N(X1287)=0,"",IF(AND(COUNTIFS(Log!$D$6:$D$1505,D1287,Log!$B$6:$B$1505,"&lt;"&amp;B1287)&gt;0,COUNTIFS(Log!$D$6:$D$1505,D1287,Log!$B$6:$B$1505,"&lt;"&amp;B1287,Log!$X$6:$X$1505,"&gt;="&amp;X1287)=0),"New best",""))</f>
        <v/>
      </c>
      <c r="T1287" s="26" t="n"/>
      <c r="U1287" s="1">
        <f>IF(D1287="","",IFERROR(INDEX(Exercises!$C$6:$C$105,MATCH(D1287,Exercises!$B$6:$B$105,0)),"Other"))</f>
        <v/>
      </c>
      <c r="V1287">
        <f>IF(B1287="","",IF(COUNTIF($B$6:B1287,B1287)=1,1,0))</f>
        <v/>
      </c>
      <c r="W1287">
        <f>IF(B1287="","",B1287-WEEKDAY(B1287,3))</f>
        <v/>
      </c>
      <c r="X1287">
        <f>IF(D1287="","",MAX(IF(N(F1287)=0,0,IF(N(E1287)&gt;0,E1287*(1+F1287/30),F1287)),IF(N(H1287)=0,0,IF(N(G1287)&gt;0,G1287*(1+H1287/30),H1287)),IF(N(J1287)=0,0,IF(N(I1287)&gt;0,I1287*(1+J1287/30),J1287)),IF(N(L1287)=0,0,IF(N(K1287)&gt;0,K1287*(1+L1287/30),L1287)),IF(N(N1287)=0,0,IF(N(M1287)&gt;0,M1287*(1+N1287/30),N1287))))</f>
        <v/>
      </c>
      <c r="Y1287">
        <f>IF(N(X1287)=0,"",X1287+ROW()/1000000000)</f>
        <v/>
      </c>
      <c r="Z1287">
        <f>IF(Y1287="","",IF(COUNTIFS(Log!$D$6:$D$1505,D1287,Log!$Y$6:$Y$1505,"&gt;"&amp;Y1287)=0,1,0))</f>
        <v/>
      </c>
      <c r="AA1287">
        <f>IF(OR(B1287="",D1287=""),"",B1287+ROW()/10000000)</f>
        <v/>
      </c>
      <c r="AB1287">
        <f>IF(AA1287="","",IF(COUNTIFS(Log!$D$6:$D$1505,D1287,Log!$AA$6:$AA$1505,"&gt;"&amp;AA1287)=0,1,0))</f>
        <v/>
      </c>
      <c r="AC1287">
        <f>IF(S1287="New best",AA1287,"")</f>
        <v/>
      </c>
      <c r="AD1287">
        <f>ROW()</f>
        <v/>
      </c>
    </row>
    <row r="1288">
      <c r="A1288" s="1" t="n"/>
      <c r="B1288" s="21" t="n"/>
      <c r="C1288" s="22" t="n"/>
      <c r="D1288" s="23" t="n"/>
      <c r="E1288" s="24" t="n"/>
      <c r="F1288" s="24" t="n"/>
      <c r="G1288" s="24" t="n"/>
      <c r="H1288" s="24" t="n"/>
      <c r="I1288" s="24" t="n"/>
      <c r="J1288" s="24" t="n"/>
      <c r="K1288" s="24" t="n"/>
      <c r="L1288" s="24" t="n"/>
      <c r="M1288" s="24" t="n"/>
      <c r="N1288" s="24" t="n"/>
      <c r="O1288" s="15">
        <f>IF(D1288="","",COUNT(F1288,H1288,J1288,L1288,N1288))</f>
        <v/>
      </c>
      <c r="P1288" s="25">
        <f>IF(D1288="","",N(E1288)*N(F1288)+N(G1288)*N(H1288)+N(I1288)*N(J1288)+N(K1288)*N(L1288)+N(M1288)*N(N1288))</f>
        <v/>
      </c>
      <c r="Q1288" s="18">
        <f>IF(N(X1288)=0,"",IF(IF(N(F1288)=0,0,IF(N(E1288)&gt;0,E1288*(1+F1288/30),F1288))=X1288,IF(N(E1288)&gt;0,E1288&amp;" x "&amp;F1288,F1288&amp;" reps"),IF(IF(N(H1288)=0,0,IF(N(G1288)&gt;0,G1288*(1+H1288/30),H1288))=X1288,IF(N(G1288)&gt;0,G1288&amp;" x "&amp;H1288,H1288&amp;" reps"),IF(IF(N(J1288)=0,0,IF(N(I1288)&gt;0,I1288*(1+J1288/30),J1288))=X1288,IF(N(I1288)&gt;0,I1288&amp;" x "&amp;J1288,J1288&amp;" reps"),IF(IF(N(L1288)=0,0,IF(N(K1288)&gt;0,K1288*(1+L1288/30),L1288))=X1288,IF(N(K1288)&gt;0,K1288&amp;" x "&amp;L1288,L1288&amp;" reps"),IF(IF(N(N1288)=0,0,IF(N(M1288)&gt;0,M1288*(1+N1288/30),N1288))=X1288,IF(N(M1288)&gt;0,M1288&amp;" x "&amp;N1288,N1288&amp;" reps"),""))))))</f>
        <v/>
      </c>
      <c r="R1288" s="20">
        <f>IF(N(X1288)=0,"",ROUND(X1288,1))</f>
        <v/>
      </c>
      <c r="S1288" s="18">
        <f>IF(N(X1288)=0,"",IF(AND(COUNTIFS(Log!$D$6:$D$1505,D1288,Log!$B$6:$B$1505,"&lt;"&amp;B1288)&gt;0,COUNTIFS(Log!$D$6:$D$1505,D1288,Log!$B$6:$B$1505,"&lt;"&amp;B1288,Log!$X$6:$X$1505,"&gt;="&amp;X1288)=0),"New best",""))</f>
        <v/>
      </c>
      <c r="T1288" s="26" t="n"/>
      <c r="U1288" s="1">
        <f>IF(D1288="","",IFERROR(INDEX(Exercises!$C$6:$C$105,MATCH(D1288,Exercises!$B$6:$B$105,0)),"Other"))</f>
        <v/>
      </c>
      <c r="V1288">
        <f>IF(B1288="","",IF(COUNTIF($B$6:B1288,B1288)=1,1,0))</f>
        <v/>
      </c>
      <c r="W1288">
        <f>IF(B1288="","",B1288-WEEKDAY(B1288,3))</f>
        <v/>
      </c>
      <c r="X1288">
        <f>IF(D1288="","",MAX(IF(N(F1288)=0,0,IF(N(E1288)&gt;0,E1288*(1+F1288/30),F1288)),IF(N(H1288)=0,0,IF(N(G1288)&gt;0,G1288*(1+H1288/30),H1288)),IF(N(J1288)=0,0,IF(N(I1288)&gt;0,I1288*(1+J1288/30),J1288)),IF(N(L1288)=0,0,IF(N(K1288)&gt;0,K1288*(1+L1288/30),L1288)),IF(N(N1288)=0,0,IF(N(M1288)&gt;0,M1288*(1+N1288/30),N1288))))</f>
        <v/>
      </c>
      <c r="Y1288">
        <f>IF(N(X1288)=0,"",X1288+ROW()/1000000000)</f>
        <v/>
      </c>
      <c r="Z1288">
        <f>IF(Y1288="","",IF(COUNTIFS(Log!$D$6:$D$1505,D1288,Log!$Y$6:$Y$1505,"&gt;"&amp;Y1288)=0,1,0))</f>
        <v/>
      </c>
      <c r="AA1288">
        <f>IF(OR(B1288="",D1288=""),"",B1288+ROW()/10000000)</f>
        <v/>
      </c>
      <c r="AB1288">
        <f>IF(AA1288="","",IF(COUNTIFS(Log!$D$6:$D$1505,D1288,Log!$AA$6:$AA$1505,"&gt;"&amp;AA1288)=0,1,0))</f>
        <v/>
      </c>
      <c r="AC1288">
        <f>IF(S1288="New best",AA1288,"")</f>
        <v/>
      </c>
      <c r="AD1288">
        <f>ROW()</f>
        <v/>
      </c>
    </row>
    <row r="1289">
      <c r="A1289" s="1" t="n"/>
      <c r="B1289" s="21" t="n"/>
      <c r="C1289" s="22" t="n"/>
      <c r="D1289" s="23" t="n"/>
      <c r="E1289" s="24" t="n"/>
      <c r="F1289" s="24" t="n"/>
      <c r="G1289" s="24" t="n"/>
      <c r="H1289" s="24" t="n"/>
      <c r="I1289" s="24" t="n"/>
      <c r="J1289" s="24" t="n"/>
      <c r="K1289" s="24" t="n"/>
      <c r="L1289" s="24" t="n"/>
      <c r="M1289" s="24" t="n"/>
      <c r="N1289" s="24" t="n"/>
      <c r="O1289" s="15">
        <f>IF(D1289="","",COUNT(F1289,H1289,J1289,L1289,N1289))</f>
        <v/>
      </c>
      <c r="P1289" s="25">
        <f>IF(D1289="","",N(E1289)*N(F1289)+N(G1289)*N(H1289)+N(I1289)*N(J1289)+N(K1289)*N(L1289)+N(M1289)*N(N1289))</f>
        <v/>
      </c>
      <c r="Q1289" s="18">
        <f>IF(N(X1289)=0,"",IF(IF(N(F1289)=0,0,IF(N(E1289)&gt;0,E1289*(1+F1289/30),F1289))=X1289,IF(N(E1289)&gt;0,E1289&amp;" x "&amp;F1289,F1289&amp;" reps"),IF(IF(N(H1289)=0,0,IF(N(G1289)&gt;0,G1289*(1+H1289/30),H1289))=X1289,IF(N(G1289)&gt;0,G1289&amp;" x "&amp;H1289,H1289&amp;" reps"),IF(IF(N(J1289)=0,0,IF(N(I1289)&gt;0,I1289*(1+J1289/30),J1289))=X1289,IF(N(I1289)&gt;0,I1289&amp;" x "&amp;J1289,J1289&amp;" reps"),IF(IF(N(L1289)=0,0,IF(N(K1289)&gt;0,K1289*(1+L1289/30),L1289))=X1289,IF(N(K1289)&gt;0,K1289&amp;" x "&amp;L1289,L1289&amp;" reps"),IF(IF(N(N1289)=0,0,IF(N(M1289)&gt;0,M1289*(1+N1289/30),N1289))=X1289,IF(N(M1289)&gt;0,M1289&amp;" x "&amp;N1289,N1289&amp;" reps"),""))))))</f>
        <v/>
      </c>
      <c r="R1289" s="20">
        <f>IF(N(X1289)=0,"",ROUND(X1289,1))</f>
        <v/>
      </c>
      <c r="S1289" s="18">
        <f>IF(N(X1289)=0,"",IF(AND(COUNTIFS(Log!$D$6:$D$1505,D1289,Log!$B$6:$B$1505,"&lt;"&amp;B1289)&gt;0,COUNTIFS(Log!$D$6:$D$1505,D1289,Log!$B$6:$B$1505,"&lt;"&amp;B1289,Log!$X$6:$X$1505,"&gt;="&amp;X1289)=0),"New best",""))</f>
        <v/>
      </c>
      <c r="T1289" s="26" t="n"/>
      <c r="U1289" s="1">
        <f>IF(D1289="","",IFERROR(INDEX(Exercises!$C$6:$C$105,MATCH(D1289,Exercises!$B$6:$B$105,0)),"Other"))</f>
        <v/>
      </c>
      <c r="V1289">
        <f>IF(B1289="","",IF(COUNTIF($B$6:B1289,B1289)=1,1,0))</f>
        <v/>
      </c>
      <c r="W1289">
        <f>IF(B1289="","",B1289-WEEKDAY(B1289,3))</f>
        <v/>
      </c>
      <c r="X1289">
        <f>IF(D1289="","",MAX(IF(N(F1289)=0,0,IF(N(E1289)&gt;0,E1289*(1+F1289/30),F1289)),IF(N(H1289)=0,0,IF(N(G1289)&gt;0,G1289*(1+H1289/30),H1289)),IF(N(J1289)=0,0,IF(N(I1289)&gt;0,I1289*(1+J1289/30),J1289)),IF(N(L1289)=0,0,IF(N(K1289)&gt;0,K1289*(1+L1289/30),L1289)),IF(N(N1289)=0,0,IF(N(M1289)&gt;0,M1289*(1+N1289/30),N1289))))</f>
        <v/>
      </c>
      <c r="Y1289">
        <f>IF(N(X1289)=0,"",X1289+ROW()/1000000000)</f>
        <v/>
      </c>
      <c r="Z1289">
        <f>IF(Y1289="","",IF(COUNTIFS(Log!$D$6:$D$1505,D1289,Log!$Y$6:$Y$1505,"&gt;"&amp;Y1289)=0,1,0))</f>
        <v/>
      </c>
      <c r="AA1289">
        <f>IF(OR(B1289="",D1289=""),"",B1289+ROW()/10000000)</f>
        <v/>
      </c>
      <c r="AB1289">
        <f>IF(AA1289="","",IF(COUNTIFS(Log!$D$6:$D$1505,D1289,Log!$AA$6:$AA$1505,"&gt;"&amp;AA1289)=0,1,0))</f>
        <v/>
      </c>
      <c r="AC1289">
        <f>IF(S1289="New best",AA1289,"")</f>
        <v/>
      </c>
      <c r="AD1289">
        <f>ROW()</f>
        <v/>
      </c>
    </row>
    <row r="1290">
      <c r="A1290" s="1" t="n"/>
      <c r="B1290" s="21" t="n"/>
      <c r="C1290" s="22" t="n"/>
      <c r="D1290" s="23" t="n"/>
      <c r="E1290" s="24" t="n"/>
      <c r="F1290" s="24" t="n"/>
      <c r="G1290" s="24" t="n"/>
      <c r="H1290" s="24" t="n"/>
      <c r="I1290" s="24" t="n"/>
      <c r="J1290" s="24" t="n"/>
      <c r="K1290" s="24" t="n"/>
      <c r="L1290" s="24" t="n"/>
      <c r="M1290" s="24" t="n"/>
      <c r="N1290" s="24" t="n"/>
      <c r="O1290" s="15">
        <f>IF(D1290="","",COUNT(F1290,H1290,J1290,L1290,N1290))</f>
        <v/>
      </c>
      <c r="P1290" s="25">
        <f>IF(D1290="","",N(E1290)*N(F1290)+N(G1290)*N(H1290)+N(I1290)*N(J1290)+N(K1290)*N(L1290)+N(M1290)*N(N1290))</f>
        <v/>
      </c>
      <c r="Q1290" s="18">
        <f>IF(N(X1290)=0,"",IF(IF(N(F1290)=0,0,IF(N(E1290)&gt;0,E1290*(1+F1290/30),F1290))=X1290,IF(N(E1290)&gt;0,E1290&amp;" x "&amp;F1290,F1290&amp;" reps"),IF(IF(N(H1290)=0,0,IF(N(G1290)&gt;0,G1290*(1+H1290/30),H1290))=X1290,IF(N(G1290)&gt;0,G1290&amp;" x "&amp;H1290,H1290&amp;" reps"),IF(IF(N(J1290)=0,0,IF(N(I1290)&gt;0,I1290*(1+J1290/30),J1290))=X1290,IF(N(I1290)&gt;0,I1290&amp;" x "&amp;J1290,J1290&amp;" reps"),IF(IF(N(L1290)=0,0,IF(N(K1290)&gt;0,K1290*(1+L1290/30),L1290))=X1290,IF(N(K1290)&gt;0,K1290&amp;" x "&amp;L1290,L1290&amp;" reps"),IF(IF(N(N1290)=0,0,IF(N(M1290)&gt;0,M1290*(1+N1290/30),N1290))=X1290,IF(N(M1290)&gt;0,M1290&amp;" x "&amp;N1290,N1290&amp;" reps"),""))))))</f>
        <v/>
      </c>
      <c r="R1290" s="20">
        <f>IF(N(X1290)=0,"",ROUND(X1290,1))</f>
        <v/>
      </c>
      <c r="S1290" s="18">
        <f>IF(N(X1290)=0,"",IF(AND(COUNTIFS(Log!$D$6:$D$1505,D1290,Log!$B$6:$B$1505,"&lt;"&amp;B1290)&gt;0,COUNTIFS(Log!$D$6:$D$1505,D1290,Log!$B$6:$B$1505,"&lt;"&amp;B1290,Log!$X$6:$X$1505,"&gt;="&amp;X1290)=0),"New best",""))</f>
        <v/>
      </c>
      <c r="T1290" s="26" t="n"/>
      <c r="U1290" s="1">
        <f>IF(D1290="","",IFERROR(INDEX(Exercises!$C$6:$C$105,MATCH(D1290,Exercises!$B$6:$B$105,0)),"Other"))</f>
        <v/>
      </c>
      <c r="V1290">
        <f>IF(B1290="","",IF(COUNTIF($B$6:B1290,B1290)=1,1,0))</f>
        <v/>
      </c>
      <c r="W1290">
        <f>IF(B1290="","",B1290-WEEKDAY(B1290,3))</f>
        <v/>
      </c>
      <c r="X1290">
        <f>IF(D1290="","",MAX(IF(N(F1290)=0,0,IF(N(E1290)&gt;0,E1290*(1+F1290/30),F1290)),IF(N(H1290)=0,0,IF(N(G1290)&gt;0,G1290*(1+H1290/30),H1290)),IF(N(J1290)=0,0,IF(N(I1290)&gt;0,I1290*(1+J1290/30),J1290)),IF(N(L1290)=0,0,IF(N(K1290)&gt;0,K1290*(1+L1290/30),L1290)),IF(N(N1290)=0,0,IF(N(M1290)&gt;0,M1290*(1+N1290/30),N1290))))</f>
        <v/>
      </c>
      <c r="Y1290">
        <f>IF(N(X1290)=0,"",X1290+ROW()/1000000000)</f>
        <v/>
      </c>
      <c r="Z1290">
        <f>IF(Y1290="","",IF(COUNTIFS(Log!$D$6:$D$1505,D1290,Log!$Y$6:$Y$1505,"&gt;"&amp;Y1290)=0,1,0))</f>
        <v/>
      </c>
      <c r="AA1290">
        <f>IF(OR(B1290="",D1290=""),"",B1290+ROW()/10000000)</f>
        <v/>
      </c>
      <c r="AB1290">
        <f>IF(AA1290="","",IF(COUNTIFS(Log!$D$6:$D$1505,D1290,Log!$AA$6:$AA$1505,"&gt;"&amp;AA1290)=0,1,0))</f>
        <v/>
      </c>
      <c r="AC1290">
        <f>IF(S1290="New best",AA1290,"")</f>
        <v/>
      </c>
      <c r="AD1290">
        <f>ROW()</f>
        <v/>
      </c>
    </row>
    <row r="1291">
      <c r="A1291" s="1" t="n"/>
      <c r="B1291" s="21" t="n"/>
      <c r="C1291" s="22" t="n"/>
      <c r="D1291" s="23" t="n"/>
      <c r="E1291" s="24" t="n"/>
      <c r="F1291" s="24" t="n"/>
      <c r="G1291" s="24" t="n"/>
      <c r="H1291" s="24" t="n"/>
      <c r="I1291" s="24" t="n"/>
      <c r="J1291" s="24" t="n"/>
      <c r="K1291" s="24" t="n"/>
      <c r="L1291" s="24" t="n"/>
      <c r="M1291" s="24" t="n"/>
      <c r="N1291" s="24" t="n"/>
      <c r="O1291" s="15">
        <f>IF(D1291="","",COUNT(F1291,H1291,J1291,L1291,N1291))</f>
        <v/>
      </c>
      <c r="P1291" s="25">
        <f>IF(D1291="","",N(E1291)*N(F1291)+N(G1291)*N(H1291)+N(I1291)*N(J1291)+N(K1291)*N(L1291)+N(M1291)*N(N1291))</f>
        <v/>
      </c>
      <c r="Q1291" s="18">
        <f>IF(N(X1291)=0,"",IF(IF(N(F1291)=0,0,IF(N(E1291)&gt;0,E1291*(1+F1291/30),F1291))=X1291,IF(N(E1291)&gt;0,E1291&amp;" x "&amp;F1291,F1291&amp;" reps"),IF(IF(N(H1291)=0,0,IF(N(G1291)&gt;0,G1291*(1+H1291/30),H1291))=X1291,IF(N(G1291)&gt;0,G1291&amp;" x "&amp;H1291,H1291&amp;" reps"),IF(IF(N(J1291)=0,0,IF(N(I1291)&gt;0,I1291*(1+J1291/30),J1291))=X1291,IF(N(I1291)&gt;0,I1291&amp;" x "&amp;J1291,J1291&amp;" reps"),IF(IF(N(L1291)=0,0,IF(N(K1291)&gt;0,K1291*(1+L1291/30),L1291))=X1291,IF(N(K1291)&gt;0,K1291&amp;" x "&amp;L1291,L1291&amp;" reps"),IF(IF(N(N1291)=0,0,IF(N(M1291)&gt;0,M1291*(1+N1291/30),N1291))=X1291,IF(N(M1291)&gt;0,M1291&amp;" x "&amp;N1291,N1291&amp;" reps"),""))))))</f>
        <v/>
      </c>
      <c r="R1291" s="20">
        <f>IF(N(X1291)=0,"",ROUND(X1291,1))</f>
        <v/>
      </c>
      <c r="S1291" s="18">
        <f>IF(N(X1291)=0,"",IF(AND(COUNTIFS(Log!$D$6:$D$1505,D1291,Log!$B$6:$B$1505,"&lt;"&amp;B1291)&gt;0,COUNTIFS(Log!$D$6:$D$1505,D1291,Log!$B$6:$B$1505,"&lt;"&amp;B1291,Log!$X$6:$X$1505,"&gt;="&amp;X1291)=0),"New best",""))</f>
        <v/>
      </c>
      <c r="T1291" s="26" t="n"/>
      <c r="U1291" s="1">
        <f>IF(D1291="","",IFERROR(INDEX(Exercises!$C$6:$C$105,MATCH(D1291,Exercises!$B$6:$B$105,0)),"Other"))</f>
        <v/>
      </c>
      <c r="V1291">
        <f>IF(B1291="","",IF(COUNTIF($B$6:B1291,B1291)=1,1,0))</f>
        <v/>
      </c>
      <c r="W1291">
        <f>IF(B1291="","",B1291-WEEKDAY(B1291,3))</f>
        <v/>
      </c>
      <c r="X1291">
        <f>IF(D1291="","",MAX(IF(N(F1291)=0,0,IF(N(E1291)&gt;0,E1291*(1+F1291/30),F1291)),IF(N(H1291)=0,0,IF(N(G1291)&gt;0,G1291*(1+H1291/30),H1291)),IF(N(J1291)=0,0,IF(N(I1291)&gt;0,I1291*(1+J1291/30),J1291)),IF(N(L1291)=0,0,IF(N(K1291)&gt;0,K1291*(1+L1291/30),L1291)),IF(N(N1291)=0,0,IF(N(M1291)&gt;0,M1291*(1+N1291/30),N1291))))</f>
        <v/>
      </c>
      <c r="Y1291">
        <f>IF(N(X1291)=0,"",X1291+ROW()/1000000000)</f>
        <v/>
      </c>
      <c r="Z1291">
        <f>IF(Y1291="","",IF(COUNTIFS(Log!$D$6:$D$1505,D1291,Log!$Y$6:$Y$1505,"&gt;"&amp;Y1291)=0,1,0))</f>
        <v/>
      </c>
      <c r="AA1291">
        <f>IF(OR(B1291="",D1291=""),"",B1291+ROW()/10000000)</f>
        <v/>
      </c>
      <c r="AB1291">
        <f>IF(AA1291="","",IF(COUNTIFS(Log!$D$6:$D$1505,D1291,Log!$AA$6:$AA$1505,"&gt;"&amp;AA1291)=0,1,0))</f>
        <v/>
      </c>
      <c r="AC1291">
        <f>IF(S1291="New best",AA1291,"")</f>
        <v/>
      </c>
      <c r="AD1291">
        <f>ROW()</f>
        <v/>
      </c>
    </row>
    <row r="1292">
      <c r="A1292" s="1" t="n"/>
      <c r="B1292" s="21" t="n"/>
      <c r="C1292" s="22" t="n"/>
      <c r="D1292" s="23" t="n"/>
      <c r="E1292" s="24" t="n"/>
      <c r="F1292" s="24" t="n"/>
      <c r="G1292" s="24" t="n"/>
      <c r="H1292" s="24" t="n"/>
      <c r="I1292" s="24" t="n"/>
      <c r="J1292" s="24" t="n"/>
      <c r="K1292" s="24" t="n"/>
      <c r="L1292" s="24" t="n"/>
      <c r="M1292" s="24" t="n"/>
      <c r="N1292" s="24" t="n"/>
      <c r="O1292" s="15">
        <f>IF(D1292="","",COUNT(F1292,H1292,J1292,L1292,N1292))</f>
        <v/>
      </c>
      <c r="P1292" s="25">
        <f>IF(D1292="","",N(E1292)*N(F1292)+N(G1292)*N(H1292)+N(I1292)*N(J1292)+N(K1292)*N(L1292)+N(M1292)*N(N1292))</f>
        <v/>
      </c>
      <c r="Q1292" s="18">
        <f>IF(N(X1292)=0,"",IF(IF(N(F1292)=0,0,IF(N(E1292)&gt;0,E1292*(1+F1292/30),F1292))=X1292,IF(N(E1292)&gt;0,E1292&amp;" x "&amp;F1292,F1292&amp;" reps"),IF(IF(N(H1292)=0,0,IF(N(G1292)&gt;0,G1292*(1+H1292/30),H1292))=X1292,IF(N(G1292)&gt;0,G1292&amp;" x "&amp;H1292,H1292&amp;" reps"),IF(IF(N(J1292)=0,0,IF(N(I1292)&gt;0,I1292*(1+J1292/30),J1292))=X1292,IF(N(I1292)&gt;0,I1292&amp;" x "&amp;J1292,J1292&amp;" reps"),IF(IF(N(L1292)=0,0,IF(N(K1292)&gt;0,K1292*(1+L1292/30),L1292))=X1292,IF(N(K1292)&gt;0,K1292&amp;" x "&amp;L1292,L1292&amp;" reps"),IF(IF(N(N1292)=0,0,IF(N(M1292)&gt;0,M1292*(1+N1292/30),N1292))=X1292,IF(N(M1292)&gt;0,M1292&amp;" x "&amp;N1292,N1292&amp;" reps"),""))))))</f>
        <v/>
      </c>
      <c r="R1292" s="20">
        <f>IF(N(X1292)=0,"",ROUND(X1292,1))</f>
        <v/>
      </c>
      <c r="S1292" s="18">
        <f>IF(N(X1292)=0,"",IF(AND(COUNTIFS(Log!$D$6:$D$1505,D1292,Log!$B$6:$B$1505,"&lt;"&amp;B1292)&gt;0,COUNTIFS(Log!$D$6:$D$1505,D1292,Log!$B$6:$B$1505,"&lt;"&amp;B1292,Log!$X$6:$X$1505,"&gt;="&amp;X1292)=0),"New best",""))</f>
        <v/>
      </c>
      <c r="T1292" s="26" t="n"/>
      <c r="U1292" s="1">
        <f>IF(D1292="","",IFERROR(INDEX(Exercises!$C$6:$C$105,MATCH(D1292,Exercises!$B$6:$B$105,0)),"Other"))</f>
        <v/>
      </c>
      <c r="V1292">
        <f>IF(B1292="","",IF(COUNTIF($B$6:B1292,B1292)=1,1,0))</f>
        <v/>
      </c>
      <c r="W1292">
        <f>IF(B1292="","",B1292-WEEKDAY(B1292,3))</f>
        <v/>
      </c>
      <c r="X1292">
        <f>IF(D1292="","",MAX(IF(N(F1292)=0,0,IF(N(E1292)&gt;0,E1292*(1+F1292/30),F1292)),IF(N(H1292)=0,0,IF(N(G1292)&gt;0,G1292*(1+H1292/30),H1292)),IF(N(J1292)=0,0,IF(N(I1292)&gt;0,I1292*(1+J1292/30),J1292)),IF(N(L1292)=0,0,IF(N(K1292)&gt;0,K1292*(1+L1292/30),L1292)),IF(N(N1292)=0,0,IF(N(M1292)&gt;0,M1292*(1+N1292/30),N1292))))</f>
        <v/>
      </c>
      <c r="Y1292">
        <f>IF(N(X1292)=0,"",X1292+ROW()/1000000000)</f>
        <v/>
      </c>
      <c r="Z1292">
        <f>IF(Y1292="","",IF(COUNTIFS(Log!$D$6:$D$1505,D1292,Log!$Y$6:$Y$1505,"&gt;"&amp;Y1292)=0,1,0))</f>
        <v/>
      </c>
      <c r="AA1292">
        <f>IF(OR(B1292="",D1292=""),"",B1292+ROW()/10000000)</f>
        <v/>
      </c>
      <c r="AB1292">
        <f>IF(AA1292="","",IF(COUNTIFS(Log!$D$6:$D$1505,D1292,Log!$AA$6:$AA$1505,"&gt;"&amp;AA1292)=0,1,0))</f>
        <v/>
      </c>
      <c r="AC1292">
        <f>IF(S1292="New best",AA1292,"")</f>
        <v/>
      </c>
      <c r="AD1292">
        <f>ROW()</f>
        <v/>
      </c>
    </row>
    <row r="1293">
      <c r="A1293" s="1" t="n"/>
      <c r="B1293" s="21" t="n"/>
      <c r="C1293" s="22" t="n"/>
      <c r="D1293" s="23" t="n"/>
      <c r="E1293" s="24" t="n"/>
      <c r="F1293" s="24" t="n"/>
      <c r="G1293" s="24" t="n"/>
      <c r="H1293" s="24" t="n"/>
      <c r="I1293" s="24" t="n"/>
      <c r="J1293" s="24" t="n"/>
      <c r="K1293" s="24" t="n"/>
      <c r="L1293" s="24" t="n"/>
      <c r="M1293" s="24" t="n"/>
      <c r="N1293" s="24" t="n"/>
      <c r="O1293" s="15">
        <f>IF(D1293="","",COUNT(F1293,H1293,J1293,L1293,N1293))</f>
        <v/>
      </c>
      <c r="P1293" s="25">
        <f>IF(D1293="","",N(E1293)*N(F1293)+N(G1293)*N(H1293)+N(I1293)*N(J1293)+N(K1293)*N(L1293)+N(M1293)*N(N1293))</f>
        <v/>
      </c>
      <c r="Q1293" s="18">
        <f>IF(N(X1293)=0,"",IF(IF(N(F1293)=0,0,IF(N(E1293)&gt;0,E1293*(1+F1293/30),F1293))=X1293,IF(N(E1293)&gt;0,E1293&amp;" x "&amp;F1293,F1293&amp;" reps"),IF(IF(N(H1293)=0,0,IF(N(G1293)&gt;0,G1293*(1+H1293/30),H1293))=X1293,IF(N(G1293)&gt;0,G1293&amp;" x "&amp;H1293,H1293&amp;" reps"),IF(IF(N(J1293)=0,0,IF(N(I1293)&gt;0,I1293*(1+J1293/30),J1293))=X1293,IF(N(I1293)&gt;0,I1293&amp;" x "&amp;J1293,J1293&amp;" reps"),IF(IF(N(L1293)=0,0,IF(N(K1293)&gt;0,K1293*(1+L1293/30),L1293))=X1293,IF(N(K1293)&gt;0,K1293&amp;" x "&amp;L1293,L1293&amp;" reps"),IF(IF(N(N1293)=0,0,IF(N(M1293)&gt;0,M1293*(1+N1293/30),N1293))=X1293,IF(N(M1293)&gt;0,M1293&amp;" x "&amp;N1293,N1293&amp;" reps"),""))))))</f>
        <v/>
      </c>
      <c r="R1293" s="20">
        <f>IF(N(X1293)=0,"",ROUND(X1293,1))</f>
        <v/>
      </c>
      <c r="S1293" s="18">
        <f>IF(N(X1293)=0,"",IF(AND(COUNTIFS(Log!$D$6:$D$1505,D1293,Log!$B$6:$B$1505,"&lt;"&amp;B1293)&gt;0,COUNTIFS(Log!$D$6:$D$1505,D1293,Log!$B$6:$B$1505,"&lt;"&amp;B1293,Log!$X$6:$X$1505,"&gt;="&amp;X1293)=0),"New best",""))</f>
        <v/>
      </c>
      <c r="T1293" s="26" t="n"/>
      <c r="U1293" s="1">
        <f>IF(D1293="","",IFERROR(INDEX(Exercises!$C$6:$C$105,MATCH(D1293,Exercises!$B$6:$B$105,0)),"Other"))</f>
        <v/>
      </c>
      <c r="V1293">
        <f>IF(B1293="","",IF(COUNTIF($B$6:B1293,B1293)=1,1,0))</f>
        <v/>
      </c>
      <c r="W1293">
        <f>IF(B1293="","",B1293-WEEKDAY(B1293,3))</f>
        <v/>
      </c>
      <c r="X1293">
        <f>IF(D1293="","",MAX(IF(N(F1293)=0,0,IF(N(E1293)&gt;0,E1293*(1+F1293/30),F1293)),IF(N(H1293)=0,0,IF(N(G1293)&gt;0,G1293*(1+H1293/30),H1293)),IF(N(J1293)=0,0,IF(N(I1293)&gt;0,I1293*(1+J1293/30),J1293)),IF(N(L1293)=0,0,IF(N(K1293)&gt;0,K1293*(1+L1293/30),L1293)),IF(N(N1293)=0,0,IF(N(M1293)&gt;0,M1293*(1+N1293/30),N1293))))</f>
        <v/>
      </c>
      <c r="Y1293">
        <f>IF(N(X1293)=0,"",X1293+ROW()/1000000000)</f>
        <v/>
      </c>
      <c r="Z1293">
        <f>IF(Y1293="","",IF(COUNTIFS(Log!$D$6:$D$1505,D1293,Log!$Y$6:$Y$1505,"&gt;"&amp;Y1293)=0,1,0))</f>
        <v/>
      </c>
      <c r="AA1293">
        <f>IF(OR(B1293="",D1293=""),"",B1293+ROW()/10000000)</f>
        <v/>
      </c>
      <c r="AB1293">
        <f>IF(AA1293="","",IF(COUNTIFS(Log!$D$6:$D$1505,D1293,Log!$AA$6:$AA$1505,"&gt;"&amp;AA1293)=0,1,0))</f>
        <v/>
      </c>
      <c r="AC1293">
        <f>IF(S1293="New best",AA1293,"")</f>
        <v/>
      </c>
      <c r="AD1293">
        <f>ROW()</f>
        <v/>
      </c>
    </row>
    <row r="1294">
      <c r="A1294" s="1" t="n"/>
      <c r="B1294" s="21" t="n"/>
      <c r="C1294" s="22" t="n"/>
      <c r="D1294" s="23" t="n"/>
      <c r="E1294" s="24" t="n"/>
      <c r="F1294" s="24" t="n"/>
      <c r="G1294" s="24" t="n"/>
      <c r="H1294" s="24" t="n"/>
      <c r="I1294" s="24" t="n"/>
      <c r="J1294" s="24" t="n"/>
      <c r="K1294" s="24" t="n"/>
      <c r="L1294" s="24" t="n"/>
      <c r="M1294" s="24" t="n"/>
      <c r="N1294" s="24" t="n"/>
      <c r="O1294" s="15">
        <f>IF(D1294="","",COUNT(F1294,H1294,J1294,L1294,N1294))</f>
        <v/>
      </c>
      <c r="P1294" s="25">
        <f>IF(D1294="","",N(E1294)*N(F1294)+N(G1294)*N(H1294)+N(I1294)*N(J1294)+N(K1294)*N(L1294)+N(M1294)*N(N1294))</f>
        <v/>
      </c>
      <c r="Q1294" s="18">
        <f>IF(N(X1294)=0,"",IF(IF(N(F1294)=0,0,IF(N(E1294)&gt;0,E1294*(1+F1294/30),F1294))=X1294,IF(N(E1294)&gt;0,E1294&amp;" x "&amp;F1294,F1294&amp;" reps"),IF(IF(N(H1294)=0,0,IF(N(G1294)&gt;0,G1294*(1+H1294/30),H1294))=X1294,IF(N(G1294)&gt;0,G1294&amp;" x "&amp;H1294,H1294&amp;" reps"),IF(IF(N(J1294)=0,0,IF(N(I1294)&gt;0,I1294*(1+J1294/30),J1294))=X1294,IF(N(I1294)&gt;0,I1294&amp;" x "&amp;J1294,J1294&amp;" reps"),IF(IF(N(L1294)=0,0,IF(N(K1294)&gt;0,K1294*(1+L1294/30),L1294))=X1294,IF(N(K1294)&gt;0,K1294&amp;" x "&amp;L1294,L1294&amp;" reps"),IF(IF(N(N1294)=0,0,IF(N(M1294)&gt;0,M1294*(1+N1294/30),N1294))=X1294,IF(N(M1294)&gt;0,M1294&amp;" x "&amp;N1294,N1294&amp;" reps"),""))))))</f>
        <v/>
      </c>
      <c r="R1294" s="20">
        <f>IF(N(X1294)=0,"",ROUND(X1294,1))</f>
        <v/>
      </c>
      <c r="S1294" s="18">
        <f>IF(N(X1294)=0,"",IF(AND(COUNTIFS(Log!$D$6:$D$1505,D1294,Log!$B$6:$B$1505,"&lt;"&amp;B1294)&gt;0,COUNTIFS(Log!$D$6:$D$1505,D1294,Log!$B$6:$B$1505,"&lt;"&amp;B1294,Log!$X$6:$X$1505,"&gt;="&amp;X1294)=0),"New best",""))</f>
        <v/>
      </c>
      <c r="T1294" s="26" t="n"/>
      <c r="U1294" s="1">
        <f>IF(D1294="","",IFERROR(INDEX(Exercises!$C$6:$C$105,MATCH(D1294,Exercises!$B$6:$B$105,0)),"Other"))</f>
        <v/>
      </c>
      <c r="V1294">
        <f>IF(B1294="","",IF(COUNTIF($B$6:B1294,B1294)=1,1,0))</f>
        <v/>
      </c>
      <c r="W1294">
        <f>IF(B1294="","",B1294-WEEKDAY(B1294,3))</f>
        <v/>
      </c>
      <c r="X1294">
        <f>IF(D1294="","",MAX(IF(N(F1294)=0,0,IF(N(E1294)&gt;0,E1294*(1+F1294/30),F1294)),IF(N(H1294)=0,0,IF(N(G1294)&gt;0,G1294*(1+H1294/30),H1294)),IF(N(J1294)=0,0,IF(N(I1294)&gt;0,I1294*(1+J1294/30),J1294)),IF(N(L1294)=0,0,IF(N(K1294)&gt;0,K1294*(1+L1294/30),L1294)),IF(N(N1294)=0,0,IF(N(M1294)&gt;0,M1294*(1+N1294/30),N1294))))</f>
        <v/>
      </c>
      <c r="Y1294">
        <f>IF(N(X1294)=0,"",X1294+ROW()/1000000000)</f>
        <v/>
      </c>
      <c r="Z1294">
        <f>IF(Y1294="","",IF(COUNTIFS(Log!$D$6:$D$1505,D1294,Log!$Y$6:$Y$1505,"&gt;"&amp;Y1294)=0,1,0))</f>
        <v/>
      </c>
      <c r="AA1294">
        <f>IF(OR(B1294="",D1294=""),"",B1294+ROW()/10000000)</f>
        <v/>
      </c>
      <c r="AB1294">
        <f>IF(AA1294="","",IF(COUNTIFS(Log!$D$6:$D$1505,D1294,Log!$AA$6:$AA$1505,"&gt;"&amp;AA1294)=0,1,0))</f>
        <v/>
      </c>
      <c r="AC1294">
        <f>IF(S1294="New best",AA1294,"")</f>
        <v/>
      </c>
      <c r="AD1294">
        <f>ROW()</f>
        <v/>
      </c>
    </row>
    <row r="1295">
      <c r="A1295" s="1" t="n"/>
      <c r="B1295" s="21" t="n"/>
      <c r="C1295" s="22" t="n"/>
      <c r="D1295" s="23" t="n"/>
      <c r="E1295" s="24" t="n"/>
      <c r="F1295" s="24" t="n"/>
      <c r="G1295" s="24" t="n"/>
      <c r="H1295" s="24" t="n"/>
      <c r="I1295" s="24" t="n"/>
      <c r="J1295" s="24" t="n"/>
      <c r="K1295" s="24" t="n"/>
      <c r="L1295" s="24" t="n"/>
      <c r="M1295" s="24" t="n"/>
      <c r="N1295" s="24" t="n"/>
      <c r="O1295" s="15">
        <f>IF(D1295="","",COUNT(F1295,H1295,J1295,L1295,N1295))</f>
        <v/>
      </c>
      <c r="P1295" s="25">
        <f>IF(D1295="","",N(E1295)*N(F1295)+N(G1295)*N(H1295)+N(I1295)*N(J1295)+N(K1295)*N(L1295)+N(M1295)*N(N1295))</f>
        <v/>
      </c>
      <c r="Q1295" s="18">
        <f>IF(N(X1295)=0,"",IF(IF(N(F1295)=0,0,IF(N(E1295)&gt;0,E1295*(1+F1295/30),F1295))=X1295,IF(N(E1295)&gt;0,E1295&amp;" x "&amp;F1295,F1295&amp;" reps"),IF(IF(N(H1295)=0,0,IF(N(G1295)&gt;0,G1295*(1+H1295/30),H1295))=X1295,IF(N(G1295)&gt;0,G1295&amp;" x "&amp;H1295,H1295&amp;" reps"),IF(IF(N(J1295)=0,0,IF(N(I1295)&gt;0,I1295*(1+J1295/30),J1295))=X1295,IF(N(I1295)&gt;0,I1295&amp;" x "&amp;J1295,J1295&amp;" reps"),IF(IF(N(L1295)=0,0,IF(N(K1295)&gt;0,K1295*(1+L1295/30),L1295))=X1295,IF(N(K1295)&gt;0,K1295&amp;" x "&amp;L1295,L1295&amp;" reps"),IF(IF(N(N1295)=0,0,IF(N(M1295)&gt;0,M1295*(1+N1295/30),N1295))=X1295,IF(N(M1295)&gt;0,M1295&amp;" x "&amp;N1295,N1295&amp;" reps"),""))))))</f>
        <v/>
      </c>
      <c r="R1295" s="20">
        <f>IF(N(X1295)=0,"",ROUND(X1295,1))</f>
        <v/>
      </c>
      <c r="S1295" s="18">
        <f>IF(N(X1295)=0,"",IF(AND(COUNTIFS(Log!$D$6:$D$1505,D1295,Log!$B$6:$B$1505,"&lt;"&amp;B1295)&gt;0,COUNTIFS(Log!$D$6:$D$1505,D1295,Log!$B$6:$B$1505,"&lt;"&amp;B1295,Log!$X$6:$X$1505,"&gt;="&amp;X1295)=0),"New best",""))</f>
        <v/>
      </c>
      <c r="T1295" s="26" t="n"/>
      <c r="U1295" s="1">
        <f>IF(D1295="","",IFERROR(INDEX(Exercises!$C$6:$C$105,MATCH(D1295,Exercises!$B$6:$B$105,0)),"Other"))</f>
        <v/>
      </c>
      <c r="V1295">
        <f>IF(B1295="","",IF(COUNTIF($B$6:B1295,B1295)=1,1,0))</f>
        <v/>
      </c>
      <c r="W1295">
        <f>IF(B1295="","",B1295-WEEKDAY(B1295,3))</f>
        <v/>
      </c>
      <c r="X1295">
        <f>IF(D1295="","",MAX(IF(N(F1295)=0,0,IF(N(E1295)&gt;0,E1295*(1+F1295/30),F1295)),IF(N(H1295)=0,0,IF(N(G1295)&gt;0,G1295*(1+H1295/30),H1295)),IF(N(J1295)=0,0,IF(N(I1295)&gt;0,I1295*(1+J1295/30),J1295)),IF(N(L1295)=0,0,IF(N(K1295)&gt;0,K1295*(1+L1295/30),L1295)),IF(N(N1295)=0,0,IF(N(M1295)&gt;0,M1295*(1+N1295/30),N1295))))</f>
        <v/>
      </c>
      <c r="Y1295">
        <f>IF(N(X1295)=0,"",X1295+ROW()/1000000000)</f>
        <v/>
      </c>
      <c r="Z1295">
        <f>IF(Y1295="","",IF(COUNTIFS(Log!$D$6:$D$1505,D1295,Log!$Y$6:$Y$1505,"&gt;"&amp;Y1295)=0,1,0))</f>
        <v/>
      </c>
      <c r="AA1295">
        <f>IF(OR(B1295="",D1295=""),"",B1295+ROW()/10000000)</f>
        <v/>
      </c>
      <c r="AB1295">
        <f>IF(AA1295="","",IF(COUNTIFS(Log!$D$6:$D$1505,D1295,Log!$AA$6:$AA$1505,"&gt;"&amp;AA1295)=0,1,0))</f>
        <v/>
      </c>
      <c r="AC1295">
        <f>IF(S1295="New best",AA1295,"")</f>
        <v/>
      </c>
      <c r="AD1295">
        <f>ROW()</f>
        <v/>
      </c>
    </row>
    <row r="1296">
      <c r="A1296" s="1" t="n"/>
      <c r="B1296" s="21" t="n"/>
      <c r="C1296" s="22" t="n"/>
      <c r="D1296" s="23" t="n"/>
      <c r="E1296" s="24" t="n"/>
      <c r="F1296" s="24" t="n"/>
      <c r="G1296" s="24" t="n"/>
      <c r="H1296" s="24" t="n"/>
      <c r="I1296" s="24" t="n"/>
      <c r="J1296" s="24" t="n"/>
      <c r="K1296" s="24" t="n"/>
      <c r="L1296" s="24" t="n"/>
      <c r="M1296" s="24" t="n"/>
      <c r="N1296" s="24" t="n"/>
      <c r="O1296" s="15">
        <f>IF(D1296="","",COUNT(F1296,H1296,J1296,L1296,N1296))</f>
        <v/>
      </c>
      <c r="P1296" s="25">
        <f>IF(D1296="","",N(E1296)*N(F1296)+N(G1296)*N(H1296)+N(I1296)*N(J1296)+N(K1296)*N(L1296)+N(M1296)*N(N1296))</f>
        <v/>
      </c>
      <c r="Q1296" s="18">
        <f>IF(N(X1296)=0,"",IF(IF(N(F1296)=0,0,IF(N(E1296)&gt;0,E1296*(1+F1296/30),F1296))=X1296,IF(N(E1296)&gt;0,E1296&amp;" x "&amp;F1296,F1296&amp;" reps"),IF(IF(N(H1296)=0,0,IF(N(G1296)&gt;0,G1296*(1+H1296/30),H1296))=X1296,IF(N(G1296)&gt;0,G1296&amp;" x "&amp;H1296,H1296&amp;" reps"),IF(IF(N(J1296)=0,0,IF(N(I1296)&gt;0,I1296*(1+J1296/30),J1296))=X1296,IF(N(I1296)&gt;0,I1296&amp;" x "&amp;J1296,J1296&amp;" reps"),IF(IF(N(L1296)=0,0,IF(N(K1296)&gt;0,K1296*(1+L1296/30),L1296))=X1296,IF(N(K1296)&gt;0,K1296&amp;" x "&amp;L1296,L1296&amp;" reps"),IF(IF(N(N1296)=0,0,IF(N(M1296)&gt;0,M1296*(1+N1296/30),N1296))=X1296,IF(N(M1296)&gt;0,M1296&amp;" x "&amp;N1296,N1296&amp;" reps"),""))))))</f>
        <v/>
      </c>
      <c r="R1296" s="20">
        <f>IF(N(X1296)=0,"",ROUND(X1296,1))</f>
        <v/>
      </c>
      <c r="S1296" s="18">
        <f>IF(N(X1296)=0,"",IF(AND(COUNTIFS(Log!$D$6:$D$1505,D1296,Log!$B$6:$B$1505,"&lt;"&amp;B1296)&gt;0,COUNTIFS(Log!$D$6:$D$1505,D1296,Log!$B$6:$B$1505,"&lt;"&amp;B1296,Log!$X$6:$X$1505,"&gt;="&amp;X1296)=0),"New best",""))</f>
        <v/>
      </c>
      <c r="T1296" s="26" t="n"/>
      <c r="U1296" s="1">
        <f>IF(D1296="","",IFERROR(INDEX(Exercises!$C$6:$C$105,MATCH(D1296,Exercises!$B$6:$B$105,0)),"Other"))</f>
        <v/>
      </c>
      <c r="V1296">
        <f>IF(B1296="","",IF(COUNTIF($B$6:B1296,B1296)=1,1,0))</f>
        <v/>
      </c>
      <c r="W1296">
        <f>IF(B1296="","",B1296-WEEKDAY(B1296,3))</f>
        <v/>
      </c>
      <c r="X1296">
        <f>IF(D1296="","",MAX(IF(N(F1296)=0,0,IF(N(E1296)&gt;0,E1296*(1+F1296/30),F1296)),IF(N(H1296)=0,0,IF(N(G1296)&gt;0,G1296*(1+H1296/30),H1296)),IF(N(J1296)=0,0,IF(N(I1296)&gt;0,I1296*(1+J1296/30),J1296)),IF(N(L1296)=0,0,IF(N(K1296)&gt;0,K1296*(1+L1296/30),L1296)),IF(N(N1296)=0,0,IF(N(M1296)&gt;0,M1296*(1+N1296/30),N1296))))</f>
        <v/>
      </c>
      <c r="Y1296">
        <f>IF(N(X1296)=0,"",X1296+ROW()/1000000000)</f>
        <v/>
      </c>
      <c r="Z1296">
        <f>IF(Y1296="","",IF(COUNTIFS(Log!$D$6:$D$1505,D1296,Log!$Y$6:$Y$1505,"&gt;"&amp;Y1296)=0,1,0))</f>
        <v/>
      </c>
      <c r="AA1296">
        <f>IF(OR(B1296="",D1296=""),"",B1296+ROW()/10000000)</f>
        <v/>
      </c>
      <c r="AB1296">
        <f>IF(AA1296="","",IF(COUNTIFS(Log!$D$6:$D$1505,D1296,Log!$AA$6:$AA$1505,"&gt;"&amp;AA1296)=0,1,0))</f>
        <v/>
      </c>
      <c r="AC1296">
        <f>IF(S1296="New best",AA1296,"")</f>
        <v/>
      </c>
      <c r="AD1296">
        <f>ROW()</f>
        <v/>
      </c>
    </row>
    <row r="1297">
      <c r="A1297" s="1" t="n"/>
      <c r="B1297" s="21" t="n"/>
      <c r="C1297" s="22" t="n"/>
      <c r="D1297" s="23" t="n"/>
      <c r="E1297" s="24" t="n"/>
      <c r="F1297" s="24" t="n"/>
      <c r="G1297" s="24" t="n"/>
      <c r="H1297" s="24" t="n"/>
      <c r="I1297" s="24" t="n"/>
      <c r="J1297" s="24" t="n"/>
      <c r="K1297" s="24" t="n"/>
      <c r="L1297" s="24" t="n"/>
      <c r="M1297" s="24" t="n"/>
      <c r="N1297" s="24" t="n"/>
      <c r="O1297" s="15">
        <f>IF(D1297="","",COUNT(F1297,H1297,J1297,L1297,N1297))</f>
        <v/>
      </c>
      <c r="P1297" s="25">
        <f>IF(D1297="","",N(E1297)*N(F1297)+N(G1297)*N(H1297)+N(I1297)*N(J1297)+N(K1297)*N(L1297)+N(M1297)*N(N1297))</f>
        <v/>
      </c>
      <c r="Q1297" s="18">
        <f>IF(N(X1297)=0,"",IF(IF(N(F1297)=0,0,IF(N(E1297)&gt;0,E1297*(1+F1297/30),F1297))=X1297,IF(N(E1297)&gt;0,E1297&amp;" x "&amp;F1297,F1297&amp;" reps"),IF(IF(N(H1297)=0,0,IF(N(G1297)&gt;0,G1297*(1+H1297/30),H1297))=X1297,IF(N(G1297)&gt;0,G1297&amp;" x "&amp;H1297,H1297&amp;" reps"),IF(IF(N(J1297)=0,0,IF(N(I1297)&gt;0,I1297*(1+J1297/30),J1297))=X1297,IF(N(I1297)&gt;0,I1297&amp;" x "&amp;J1297,J1297&amp;" reps"),IF(IF(N(L1297)=0,0,IF(N(K1297)&gt;0,K1297*(1+L1297/30),L1297))=X1297,IF(N(K1297)&gt;0,K1297&amp;" x "&amp;L1297,L1297&amp;" reps"),IF(IF(N(N1297)=0,0,IF(N(M1297)&gt;0,M1297*(1+N1297/30),N1297))=X1297,IF(N(M1297)&gt;0,M1297&amp;" x "&amp;N1297,N1297&amp;" reps"),""))))))</f>
        <v/>
      </c>
      <c r="R1297" s="20">
        <f>IF(N(X1297)=0,"",ROUND(X1297,1))</f>
        <v/>
      </c>
      <c r="S1297" s="18">
        <f>IF(N(X1297)=0,"",IF(AND(COUNTIFS(Log!$D$6:$D$1505,D1297,Log!$B$6:$B$1505,"&lt;"&amp;B1297)&gt;0,COUNTIFS(Log!$D$6:$D$1505,D1297,Log!$B$6:$B$1505,"&lt;"&amp;B1297,Log!$X$6:$X$1505,"&gt;="&amp;X1297)=0),"New best",""))</f>
        <v/>
      </c>
      <c r="T1297" s="26" t="n"/>
      <c r="U1297" s="1">
        <f>IF(D1297="","",IFERROR(INDEX(Exercises!$C$6:$C$105,MATCH(D1297,Exercises!$B$6:$B$105,0)),"Other"))</f>
        <v/>
      </c>
      <c r="V1297">
        <f>IF(B1297="","",IF(COUNTIF($B$6:B1297,B1297)=1,1,0))</f>
        <v/>
      </c>
      <c r="W1297">
        <f>IF(B1297="","",B1297-WEEKDAY(B1297,3))</f>
        <v/>
      </c>
      <c r="X1297">
        <f>IF(D1297="","",MAX(IF(N(F1297)=0,0,IF(N(E1297)&gt;0,E1297*(1+F1297/30),F1297)),IF(N(H1297)=0,0,IF(N(G1297)&gt;0,G1297*(1+H1297/30),H1297)),IF(N(J1297)=0,0,IF(N(I1297)&gt;0,I1297*(1+J1297/30),J1297)),IF(N(L1297)=0,0,IF(N(K1297)&gt;0,K1297*(1+L1297/30),L1297)),IF(N(N1297)=0,0,IF(N(M1297)&gt;0,M1297*(1+N1297/30),N1297))))</f>
        <v/>
      </c>
      <c r="Y1297">
        <f>IF(N(X1297)=0,"",X1297+ROW()/1000000000)</f>
        <v/>
      </c>
      <c r="Z1297">
        <f>IF(Y1297="","",IF(COUNTIFS(Log!$D$6:$D$1505,D1297,Log!$Y$6:$Y$1505,"&gt;"&amp;Y1297)=0,1,0))</f>
        <v/>
      </c>
      <c r="AA1297">
        <f>IF(OR(B1297="",D1297=""),"",B1297+ROW()/10000000)</f>
        <v/>
      </c>
      <c r="AB1297">
        <f>IF(AA1297="","",IF(COUNTIFS(Log!$D$6:$D$1505,D1297,Log!$AA$6:$AA$1505,"&gt;"&amp;AA1297)=0,1,0))</f>
        <v/>
      </c>
      <c r="AC1297">
        <f>IF(S1297="New best",AA1297,"")</f>
        <v/>
      </c>
      <c r="AD1297">
        <f>ROW()</f>
        <v/>
      </c>
    </row>
    <row r="1298">
      <c r="A1298" s="1" t="n"/>
      <c r="B1298" s="21" t="n"/>
      <c r="C1298" s="22" t="n"/>
      <c r="D1298" s="23" t="n"/>
      <c r="E1298" s="24" t="n"/>
      <c r="F1298" s="24" t="n"/>
      <c r="G1298" s="24" t="n"/>
      <c r="H1298" s="24" t="n"/>
      <c r="I1298" s="24" t="n"/>
      <c r="J1298" s="24" t="n"/>
      <c r="K1298" s="24" t="n"/>
      <c r="L1298" s="24" t="n"/>
      <c r="M1298" s="24" t="n"/>
      <c r="N1298" s="24" t="n"/>
      <c r="O1298" s="15">
        <f>IF(D1298="","",COUNT(F1298,H1298,J1298,L1298,N1298))</f>
        <v/>
      </c>
      <c r="P1298" s="25">
        <f>IF(D1298="","",N(E1298)*N(F1298)+N(G1298)*N(H1298)+N(I1298)*N(J1298)+N(K1298)*N(L1298)+N(M1298)*N(N1298))</f>
        <v/>
      </c>
      <c r="Q1298" s="18">
        <f>IF(N(X1298)=0,"",IF(IF(N(F1298)=0,0,IF(N(E1298)&gt;0,E1298*(1+F1298/30),F1298))=X1298,IF(N(E1298)&gt;0,E1298&amp;" x "&amp;F1298,F1298&amp;" reps"),IF(IF(N(H1298)=0,0,IF(N(G1298)&gt;0,G1298*(1+H1298/30),H1298))=X1298,IF(N(G1298)&gt;0,G1298&amp;" x "&amp;H1298,H1298&amp;" reps"),IF(IF(N(J1298)=0,0,IF(N(I1298)&gt;0,I1298*(1+J1298/30),J1298))=X1298,IF(N(I1298)&gt;0,I1298&amp;" x "&amp;J1298,J1298&amp;" reps"),IF(IF(N(L1298)=0,0,IF(N(K1298)&gt;0,K1298*(1+L1298/30),L1298))=X1298,IF(N(K1298)&gt;0,K1298&amp;" x "&amp;L1298,L1298&amp;" reps"),IF(IF(N(N1298)=0,0,IF(N(M1298)&gt;0,M1298*(1+N1298/30),N1298))=X1298,IF(N(M1298)&gt;0,M1298&amp;" x "&amp;N1298,N1298&amp;" reps"),""))))))</f>
        <v/>
      </c>
      <c r="R1298" s="20">
        <f>IF(N(X1298)=0,"",ROUND(X1298,1))</f>
        <v/>
      </c>
      <c r="S1298" s="18">
        <f>IF(N(X1298)=0,"",IF(AND(COUNTIFS(Log!$D$6:$D$1505,D1298,Log!$B$6:$B$1505,"&lt;"&amp;B1298)&gt;0,COUNTIFS(Log!$D$6:$D$1505,D1298,Log!$B$6:$B$1505,"&lt;"&amp;B1298,Log!$X$6:$X$1505,"&gt;="&amp;X1298)=0),"New best",""))</f>
        <v/>
      </c>
      <c r="T1298" s="26" t="n"/>
      <c r="U1298" s="1">
        <f>IF(D1298="","",IFERROR(INDEX(Exercises!$C$6:$C$105,MATCH(D1298,Exercises!$B$6:$B$105,0)),"Other"))</f>
        <v/>
      </c>
      <c r="V1298">
        <f>IF(B1298="","",IF(COUNTIF($B$6:B1298,B1298)=1,1,0))</f>
        <v/>
      </c>
      <c r="W1298">
        <f>IF(B1298="","",B1298-WEEKDAY(B1298,3))</f>
        <v/>
      </c>
      <c r="X1298">
        <f>IF(D1298="","",MAX(IF(N(F1298)=0,0,IF(N(E1298)&gt;0,E1298*(1+F1298/30),F1298)),IF(N(H1298)=0,0,IF(N(G1298)&gt;0,G1298*(1+H1298/30),H1298)),IF(N(J1298)=0,0,IF(N(I1298)&gt;0,I1298*(1+J1298/30),J1298)),IF(N(L1298)=0,0,IF(N(K1298)&gt;0,K1298*(1+L1298/30),L1298)),IF(N(N1298)=0,0,IF(N(M1298)&gt;0,M1298*(1+N1298/30),N1298))))</f>
        <v/>
      </c>
      <c r="Y1298">
        <f>IF(N(X1298)=0,"",X1298+ROW()/1000000000)</f>
        <v/>
      </c>
      <c r="Z1298">
        <f>IF(Y1298="","",IF(COUNTIFS(Log!$D$6:$D$1505,D1298,Log!$Y$6:$Y$1505,"&gt;"&amp;Y1298)=0,1,0))</f>
        <v/>
      </c>
      <c r="AA1298">
        <f>IF(OR(B1298="",D1298=""),"",B1298+ROW()/10000000)</f>
        <v/>
      </c>
      <c r="AB1298">
        <f>IF(AA1298="","",IF(COUNTIFS(Log!$D$6:$D$1505,D1298,Log!$AA$6:$AA$1505,"&gt;"&amp;AA1298)=0,1,0))</f>
        <v/>
      </c>
      <c r="AC1298">
        <f>IF(S1298="New best",AA1298,"")</f>
        <v/>
      </c>
      <c r="AD1298">
        <f>ROW()</f>
        <v/>
      </c>
    </row>
    <row r="1299">
      <c r="A1299" s="1" t="n"/>
      <c r="B1299" s="21" t="n"/>
      <c r="C1299" s="22" t="n"/>
      <c r="D1299" s="23" t="n"/>
      <c r="E1299" s="24" t="n"/>
      <c r="F1299" s="24" t="n"/>
      <c r="G1299" s="24" t="n"/>
      <c r="H1299" s="24" t="n"/>
      <c r="I1299" s="24" t="n"/>
      <c r="J1299" s="24" t="n"/>
      <c r="K1299" s="24" t="n"/>
      <c r="L1299" s="24" t="n"/>
      <c r="M1299" s="24" t="n"/>
      <c r="N1299" s="24" t="n"/>
      <c r="O1299" s="15">
        <f>IF(D1299="","",COUNT(F1299,H1299,J1299,L1299,N1299))</f>
        <v/>
      </c>
      <c r="P1299" s="25">
        <f>IF(D1299="","",N(E1299)*N(F1299)+N(G1299)*N(H1299)+N(I1299)*N(J1299)+N(K1299)*N(L1299)+N(M1299)*N(N1299))</f>
        <v/>
      </c>
      <c r="Q1299" s="18">
        <f>IF(N(X1299)=0,"",IF(IF(N(F1299)=0,0,IF(N(E1299)&gt;0,E1299*(1+F1299/30),F1299))=X1299,IF(N(E1299)&gt;0,E1299&amp;" x "&amp;F1299,F1299&amp;" reps"),IF(IF(N(H1299)=0,0,IF(N(G1299)&gt;0,G1299*(1+H1299/30),H1299))=X1299,IF(N(G1299)&gt;0,G1299&amp;" x "&amp;H1299,H1299&amp;" reps"),IF(IF(N(J1299)=0,0,IF(N(I1299)&gt;0,I1299*(1+J1299/30),J1299))=X1299,IF(N(I1299)&gt;0,I1299&amp;" x "&amp;J1299,J1299&amp;" reps"),IF(IF(N(L1299)=0,0,IF(N(K1299)&gt;0,K1299*(1+L1299/30),L1299))=X1299,IF(N(K1299)&gt;0,K1299&amp;" x "&amp;L1299,L1299&amp;" reps"),IF(IF(N(N1299)=0,0,IF(N(M1299)&gt;0,M1299*(1+N1299/30),N1299))=X1299,IF(N(M1299)&gt;0,M1299&amp;" x "&amp;N1299,N1299&amp;" reps"),""))))))</f>
        <v/>
      </c>
      <c r="R1299" s="20">
        <f>IF(N(X1299)=0,"",ROUND(X1299,1))</f>
        <v/>
      </c>
      <c r="S1299" s="18">
        <f>IF(N(X1299)=0,"",IF(AND(COUNTIFS(Log!$D$6:$D$1505,D1299,Log!$B$6:$B$1505,"&lt;"&amp;B1299)&gt;0,COUNTIFS(Log!$D$6:$D$1505,D1299,Log!$B$6:$B$1505,"&lt;"&amp;B1299,Log!$X$6:$X$1505,"&gt;="&amp;X1299)=0),"New best",""))</f>
        <v/>
      </c>
      <c r="T1299" s="26" t="n"/>
      <c r="U1299" s="1">
        <f>IF(D1299="","",IFERROR(INDEX(Exercises!$C$6:$C$105,MATCH(D1299,Exercises!$B$6:$B$105,0)),"Other"))</f>
        <v/>
      </c>
      <c r="V1299">
        <f>IF(B1299="","",IF(COUNTIF($B$6:B1299,B1299)=1,1,0))</f>
        <v/>
      </c>
      <c r="W1299">
        <f>IF(B1299="","",B1299-WEEKDAY(B1299,3))</f>
        <v/>
      </c>
      <c r="X1299">
        <f>IF(D1299="","",MAX(IF(N(F1299)=0,0,IF(N(E1299)&gt;0,E1299*(1+F1299/30),F1299)),IF(N(H1299)=0,0,IF(N(G1299)&gt;0,G1299*(1+H1299/30),H1299)),IF(N(J1299)=0,0,IF(N(I1299)&gt;0,I1299*(1+J1299/30),J1299)),IF(N(L1299)=0,0,IF(N(K1299)&gt;0,K1299*(1+L1299/30),L1299)),IF(N(N1299)=0,0,IF(N(M1299)&gt;0,M1299*(1+N1299/30),N1299))))</f>
        <v/>
      </c>
      <c r="Y1299">
        <f>IF(N(X1299)=0,"",X1299+ROW()/1000000000)</f>
        <v/>
      </c>
      <c r="Z1299">
        <f>IF(Y1299="","",IF(COUNTIFS(Log!$D$6:$D$1505,D1299,Log!$Y$6:$Y$1505,"&gt;"&amp;Y1299)=0,1,0))</f>
        <v/>
      </c>
      <c r="AA1299">
        <f>IF(OR(B1299="",D1299=""),"",B1299+ROW()/10000000)</f>
        <v/>
      </c>
      <c r="AB1299">
        <f>IF(AA1299="","",IF(COUNTIFS(Log!$D$6:$D$1505,D1299,Log!$AA$6:$AA$1505,"&gt;"&amp;AA1299)=0,1,0))</f>
        <v/>
      </c>
      <c r="AC1299">
        <f>IF(S1299="New best",AA1299,"")</f>
        <v/>
      </c>
      <c r="AD1299">
        <f>ROW()</f>
        <v/>
      </c>
    </row>
    <row r="1300">
      <c r="A1300" s="1" t="n"/>
      <c r="B1300" s="21" t="n"/>
      <c r="C1300" s="22" t="n"/>
      <c r="D1300" s="23" t="n"/>
      <c r="E1300" s="24" t="n"/>
      <c r="F1300" s="24" t="n"/>
      <c r="G1300" s="24" t="n"/>
      <c r="H1300" s="24" t="n"/>
      <c r="I1300" s="24" t="n"/>
      <c r="J1300" s="24" t="n"/>
      <c r="K1300" s="24" t="n"/>
      <c r="L1300" s="24" t="n"/>
      <c r="M1300" s="24" t="n"/>
      <c r="N1300" s="24" t="n"/>
      <c r="O1300" s="15">
        <f>IF(D1300="","",COUNT(F1300,H1300,J1300,L1300,N1300))</f>
        <v/>
      </c>
      <c r="P1300" s="25">
        <f>IF(D1300="","",N(E1300)*N(F1300)+N(G1300)*N(H1300)+N(I1300)*N(J1300)+N(K1300)*N(L1300)+N(M1300)*N(N1300))</f>
        <v/>
      </c>
      <c r="Q1300" s="18">
        <f>IF(N(X1300)=0,"",IF(IF(N(F1300)=0,0,IF(N(E1300)&gt;0,E1300*(1+F1300/30),F1300))=X1300,IF(N(E1300)&gt;0,E1300&amp;" x "&amp;F1300,F1300&amp;" reps"),IF(IF(N(H1300)=0,0,IF(N(G1300)&gt;0,G1300*(1+H1300/30),H1300))=X1300,IF(N(G1300)&gt;0,G1300&amp;" x "&amp;H1300,H1300&amp;" reps"),IF(IF(N(J1300)=0,0,IF(N(I1300)&gt;0,I1300*(1+J1300/30),J1300))=X1300,IF(N(I1300)&gt;0,I1300&amp;" x "&amp;J1300,J1300&amp;" reps"),IF(IF(N(L1300)=0,0,IF(N(K1300)&gt;0,K1300*(1+L1300/30),L1300))=X1300,IF(N(K1300)&gt;0,K1300&amp;" x "&amp;L1300,L1300&amp;" reps"),IF(IF(N(N1300)=0,0,IF(N(M1300)&gt;0,M1300*(1+N1300/30),N1300))=X1300,IF(N(M1300)&gt;0,M1300&amp;" x "&amp;N1300,N1300&amp;" reps"),""))))))</f>
        <v/>
      </c>
      <c r="R1300" s="20">
        <f>IF(N(X1300)=0,"",ROUND(X1300,1))</f>
        <v/>
      </c>
      <c r="S1300" s="18">
        <f>IF(N(X1300)=0,"",IF(AND(COUNTIFS(Log!$D$6:$D$1505,D1300,Log!$B$6:$B$1505,"&lt;"&amp;B1300)&gt;0,COUNTIFS(Log!$D$6:$D$1505,D1300,Log!$B$6:$B$1505,"&lt;"&amp;B1300,Log!$X$6:$X$1505,"&gt;="&amp;X1300)=0),"New best",""))</f>
        <v/>
      </c>
      <c r="T1300" s="26" t="n"/>
      <c r="U1300" s="1">
        <f>IF(D1300="","",IFERROR(INDEX(Exercises!$C$6:$C$105,MATCH(D1300,Exercises!$B$6:$B$105,0)),"Other"))</f>
        <v/>
      </c>
      <c r="V1300">
        <f>IF(B1300="","",IF(COUNTIF($B$6:B1300,B1300)=1,1,0))</f>
        <v/>
      </c>
      <c r="W1300">
        <f>IF(B1300="","",B1300-WEEKDAY(B1300,3))</f>
        <v/>
      </c>
      <c r="X1300">
        <f>IF(D1300="","",MAX(IF(N(F1300)=0,0,IF(N(E1300)&gt;0,E1300*(1+F1300/30),F1300)),IF(N(H1300)=0,0,IF(N(G1300)&gt;0,G1300*(1+H1300/30),H1300)),IF(N(J1300)=0,0,IF(N(I1300)&gt;0,I1300*(1+J1300/30),J1300)),IF(N(L1300)=0,0,IF(N(K1300)&gt;0,K1300*(1+L1300/30),L1300)),IF(N(N1300)=0,0,IF(N(M1300)&gt;0,M1300*(1+N1300/30),N1300))))</f>
        <v/>
      </c>
      <c r="Y1300">
        <f>IF(N(X1300)=0,"",X1300+ROW()/1000000000)</f>
        <v/>
      </c>
      <c r="Z1300">
        <f>IF(Y1300="","",IF(COUNTIFS(Log!$D$6:$D$1505,D1300,Log!$Y$6:$Y$1505,"&gt;"&amp;Y1300)=0,1,0))</f>
        <v/>
      </c>
      <c r="AA1300">
        <f>IF(OR(B1300="",D1300=""),"",B1300+ROW()/10000000)</f>
        <v/>
      </c>
      <c r="AB1300">
        <f>IF(AA1300="","",IF(COUNTIFS(Log!$D$6:$D$1505,D1300,Log!$AA$6:$AA$1505,"&gt;"&amp;AA1300)=0,1,0))</f>
        <v/>
      </c>
      <c r="AC1300">
        <f>IF(S1300="New best",AA1300,"")</f>
        <v/>
      </c>
      <c r="AD1300">
        <f>ROW()</f>
        <v/>
      </c>
    </row>
    <row r="1301">
      <c r="A1301" s="1" t="n"/>
      <c r="B1301" s="21" t="n"/>
      <c r="C1301" s="22" t="n"/>
      <c r="D1301" s="23" t="n"/>
      <c r="E1301" s="24" t="n"/>
      <c r="F1301" s="24" t="n"/>
      <c r="G1301" s="24" t="n"/>
      <c r="H1301" s="24" t="n"/>
      <c r="I1301" s="24" t="n"/>
      <c r="J1301" s="24" t="n"/>
      <c r="K1301" s="24" t="n"/>
      <c r="L1301" s="24" t="n"/>
      <c r="M1301" s="24" t="n"/>
      <c r="N1301" s="24" t="n"/>
      <c r="O1301" s="15">
        <f>IF(D1301="","",COUNT(F1301,H1301,J1301,L1301,N1301))</f>
        <v/>
      </c>
      <c r="P1301" s="25">
        <f>IF(D1301="","",N(E1301)*N(F1301)+N(G1301)*N(H1301)+N(I1301)*N(J1301)+N(K1301)*N(L1301)+N(M1301)*N(N1301))</f>
        <v/>
      </c>
      <c r="Q1301" s="18">
        <f>IF(N(X1301)=0,"",IF(IF(N(F1301)=0,0,IF(N(E1301)&gt;0,E1301*(1+F1301/30),F1301))=X1301,IF(N(E1301)&gt;0,E1301&amp;" x "&amp;F1301,F1301&amp;" reps"),IF(IF(N(H1301)=0,0,IF(N(G1301)&gt;0,G1301*(1+H1301/30),H1301))=X1301,IF(N(G1301)&gt;0,G1301&amp;" x "&amp;H1301,H1301&amp;" reps"),IF(IF(N(J1301)=0,0,IF(N(I1301)&gt;0,I1301*(1+J1301/30),J1301))=X1301,IF(N(I1301)&gt;0,I1301&amp;" x "&amp;J1301,J1301&amp;" reps"),IF(IF(N(L1301)=0,0,IF(N(K1301)&gt;0,K1301*(1+L1301/30),L1301))=X1301,IF(N(K1301)&gt;0,K1301&amp;" x "&amp;L1301,L1301&amp;" reps"),IF(IF(N(N1301)=0,0,IF(N(M1301)&gt;0,M1301*(1+N1301/30),N1301))=X1301,IF(N(M1301)&gt;0,M1301&amp;" x "&amp;N1301,N1301&amp;" reps"),""))))))</f>
        <v/>
      </c>
      <c r="R1301" s="20">
        <f>IF(N(X1301)=0,"",ROUND(X1301,1))</f>
        <v/>
      </c>
      <c r="S1301" s="18">
        <f>IF(N(X1301)=0,"",IF(AND(COUNTIFS(Log!$D$6:$D$1505,D1301,Log!$B$6:$B$1505,"&lt;"&amp;B1301)&gt;0,COUNTIFS(Log!$D$6:$D$1505,D1301,Log!$B$6:$B$1505,"&lt;"&amp;B1301,Log!$X$6:$X$1505,"&gt;="&amp;X1301)=0),"New best",""))</f>
        <v/>
      </c>
      <c r="T1301" s="26" t="n"/>
      <c r="U1301" s="1">
        <f>IF(D1301="","",IFERROR(INDEX(Exercises!$C$6:$C$105,MATCH(D1301,Exercises!$B$6:$B$105,0)),"Other"))</f>
        <v/>
      </c>
      <c r="V1301">
        <f>IF(B1301="","",IF(COUNTIF($B$6:B1301,B1301)=1,1,0))</f>
        <v/>
      </c>
      <c r="W1301">
        <f>IF(B1301="","",B1301-WEEKDAY(B1301,3))</f>
        <v/>
      </c>
      <c r="X1301">
        <f>IF(D1301="","",MAX(IF(N(F1301)=0,0,IF(N(E1301)&gt;0,E1301*(1+F1301/30),F1301)),IF(N(H1301)=0,0,IF(N(G1301)&gt;0,G1301*(1+H1301/30),H1301)),IF(N(J1301)=0,0,IF(N(I1301)&gt;0,I1301*(1+J1301/30),J1301)),IF(N(L1301)=0,0,IF(N(K1301)&gt;0,K1301*(1+L1301/30),L1301)),IF(N(N1301)=0,0,IF(N(M1301)&gt;0,M1301*(1+N1301/30),N1301))))</f>
        <v/>
      </c>
      <c r="Y1301">
        <f>IF(N(X1301)=0,"",X1301+ROW()/1000000000)</f>
        <v/>
      </c>
      <c r="Z1301">
        <f>IF(Y1301="","",IF(COUNTIFS(Log!$D$6:$D$1505,D1301,Log!$Y$6:$Y$1505,"&gt;"&amp;Y1301)=0,1,0))</f>
        <v/>
      </c>
      <c r="AA1301">
        <f>IF(OR(B1301="",D1301=""),"",B1301+ROW()/10000000)</f>
        <v/>
      </c>
      <c r="AB1301">
        <f>IF(AA1301="","",IF(COUNTIFS(Log!$D$6:$D$1505,D1301,Log!$AA$6:$AA$1505,"&gt;"&amp;AA1301)=0,1,0))</f>
        <v/>
      </c>
      <c r="AC1301">
        <f>IF(S1301="New best",AA1301,"")</f>
        <v/>
      </c>
      <c r="AD1301">
        <f>ROW()</f>
        <v/>
      </c>
    </row>
    <row r="1302">
      <c r="A1302" s="1" t="n"/>
      <c r="B1302" s="21" t="n"/>
      <c r="C1302" s="22" t="n"/>
      <c r="D1302" s="23" t="n"/>
      <c r="E1302" s="24" t="n"/>
      <c r="F1302" s="24" t="n"/>
      <c r="G1302" s="24" t="n"/>
      <c r="H1302" s="24" t="n"/>
      <c r="I1302" s="24" t="n"/>
      <c r="J1302" s="24" t="n"/>
      <c r="K1302" s="24" t="n"/>
      <c r="L1302" s="24" t="n"/>
      <c r="M1302" s="24" t="n"/>
      <c r="N1302" s="24" t="n"/>
      <c r="O1302" s="15">
        <f>IF(D1302="","",COUNT(F1302,H1302,J1302,L1302,N1302))</f>
        <v/>
      </c>
      <c r="P1302" s="25">
        <f>IF(D1302="","",N(E1302)*N(F1302)+N(G1302)*N(H1302)+N(I1302)*N(J1302)+N(K1302)*N(L1302)+N(M1302)*N(N1302))</f>
        <v/>
      </c>
      <c r="Q1302" s="18">
        <f>IF(N(X1302)=0,"",IF(IF(N(F1302)=0,0,IF(N(E1302)&gt;0,E1302*(1+F1302/30),F1302))=X1302,IF(N(E1302)&gt;0,E1302&amp;" x "&amp;F1302,F1302&amp;" reps"),IF(IF(N(H1302)=0,0,IF(N(G1302)&gt;0,G1302*(1+H1302/30),H1302))=X1302,IF(N(G1302)&gt;0,G1302&amp;" x "&amp;H1302,H1302&amp;" reps"),IF(IF(N(J1302)=0,0,IF(N(I1302)&gt;0,I1302*(1+J1302/30),J1302))=X1302,IF(N(I1302)&gt;0,I1302&amp;" x "&amp;J1302,J1302&amp;" reps"),IF(IF(N(L1302)=0,0,IF(N(K1302)&gt;0,K1302*(1+L1302/30),L1302))=X1302,IF(N(K1302)&gt;0,K1302&amp;" x "&amp;L1302,L1302&amp;" reps"),IF(IF(N(N1302)=0,0,IF(N(M1302)&gt;0,M1302*(1+N1302/30),N1302))=X1302,IF(N(M1302)&gt;0,M1302&amp;" x "&amp;N1302,N1302&amp;" reps"),""))))))</f>
        <v/>
      </c>
      <c r="R1302" s="20">
        <f>IF(N(X1302)=0,"",ROUND(X1302,1))</f>
        <v/>
      </c>
      <c r="S1302" s="18">
        <f>IF(N(X1302)=0,"",IF(AND(COUNTIFS(Log!$D$6:$D$1505,D1302,Log!$B$6:$B$1505,"&lt;"&amp;B1302)&gt;0,COUNTIFS(Log!$D$6:$D$1505,D1302,Log!$B$6:$B$1505,"&lt;"&amp;B1302,Log!$X$6:$X$1505,"&gt;="&amp;X1302)=0),"New best",""))</f>
        <v/>
      </c>
      <c r="T1302" s="26" t="n"/>
      <c r="U1302" s="1">
        <f>IF(D1302="","",IFERROR(INDEX(Exercises!$C$6:$C$105,MATCH(D1302,Exercises!$B$6:$B$105,0)),"Other"))</f>
        <v/>
      </c>
      <c r="V1302">
        <f>IF(B1302="","",IF(COUNTIF($B$6:B1302,B1302)=1,1,0))</f>
        <v/>
      </c>
      <c r="W1302">
        <f>IF(B1302="","",B1302-WEEKDAY(B1302,3))</f>
        <v/>
      </c>
      <c r="X1302">
        <f>IF(D1302="","",MAX(IF(N(F1302)=0,0,IF(N(E1302)&gt;0,E1302*(1+F1302/30),F1302)),IF(N(H1302)=0,0,IF(N(G1302)&gt;0,G1302*(1+H1302/30),H1302)),IF(N(J1302)=0,0,IF(N(I1302)&gt;0,I1302*(1+J1302/30),J1302)),IF(N(L1302)=0,0,IF(N(K1302)&gt;0,K1302*(1+L1302/30),L1302)),IF(N(N1302)=0,0,IF(N(M1302)&gt;0,M1302*(1+N1302/30),N1302))))</f>
        <v/>
      </c>
      <c r="Y1302">
        <f>IF(N(X1302)=0,"",X1302+ROW()/1000000000)</f>
        <v/>
      </c>
      <c r="Z1302">
        <f>IF(Y1302="","",IF(COUNTIFS(Log!$D$6:$D$1505,D1302,Log!$Y$6:$Y$1505,"&gt;"&amp;Y1302)=0,1,0))</f>
        <v/>
      </c>
      <c r="AA1302">
        <f>IF(OR(B1302="",D1302=""),"",B1302+ROW()/10000000)</f>
        <v/>
      </c>
      <c r="AB1302">
        <f>IF(AA1302="","",IF(COUNTIFS(Log!$D$6:$D$1505,D1302,Log!$AA$6:$AA$1505,"&gt;"&amp;AA1302)=0,1,0))</f>
        <v/>
      </c>
      <c r="AC1302">
        <f>IF(S1302="New best",AA1302,"")</f>
        <v/>
      </c>
      <c r="AD1302">
        <f>ROW()</f>
        <v/>
      </c>
    </row>
    <row r="1303">
      <c r="A1303" s="1" t="n"/>
      <c r="B1303" s="21" t="n"/>
      <c r="C1303" s="22" t="n"/>
      <c r="D1303" s="23" t="n"/>
      <c r="E1303" s="24" t="n"/>
      <c r="F1303" s="24" t="n"/>
      <c r="G1303" s="24" t="n"/>
      <c r="H1303" s="24" t="n"/>
      <c r="I1303" s="24" t="n"/>
      <c r="J1303" s="24" t="n"/>
      <c r="K1303" s="24" t="n"/>
      <c r="L1303" s="24" t="n"/>
      <c r="M1303" s="24" t="n"/>
      <c r="N1303" s="24" t="n"/>
      <c r="O1303" s="15">
        <f>IF(D1303="","",COUNT(F1303,H1303,J1303,L1303,N1303))</f>
        <v/>
      </c>
      <c r="P1303" s="25">
        <f>IF(D1303="","",N(E1303)*N(F1303)+N(G1303)*N(H1303)+N(I1303)*N(J1303)+N(K1303)*N(L1303)+N(M1303)*N(N1303))</f>
        <v/>
      </c>
      <c r="Q1303" s="18">
        <f>IF(N(X1303)=0,"",IF(IF(N(F1303)=0,0,IF(N(E1303)&gt;0,E1303*(1+F1303/30),F1303))=X1303,IF(N(E1303)&gt;0,E1303&amp;" x "&amp;F1303,F1303&amp;" reps"),IF(IF(N(H1303)=0,0,IF(N(G1303)&gt;0,G1303*(1+H1303/30),H1303))=X1303,IF(N(G1303)&gt;0,G1303&amp;" x "&amp;H1303,H1303&amp;" reps"),IF(IF(N(J1303)=0,0,IF(N(I1303)&gt;0,I1303*(1+J1303/30),J1303))=X1303,IF(N(I1303)&gt;0,I1303&amp;" x "&amp;J1303,J1303&amp;" reps"),IF(IF(N(L1303)=0,0,IF(N(K1303)&gt;0,K1303*(1+L1303/30),L1303))=X1303,IF(N(K1303)&gt;0,K1303&amp;" x "&amp;L1303,L1303&amp;" reps"),IF(IF(N(N1303)=0,0,IF(N(M1303)&gt;0,M1303*(1+N1303/30),N1303))=X1303,IF(N(M1303)&gt;0,M1303&amp;" x "&amp;N1303,N1303&amp;" reps"),""))))))</f>
        <v/>
      </c>
      <c r="R1303" s="20">
        <f>IF(N(X1303)=0,"",ROUND(X1303,1))</f>
        <v/>
      </c>
      <c r="S1303" s="18">
        <f>IF(N(X1303)=0,"",IF(AND(COUNTIFS(Log!$D$6:$D$1505,D1303,Log!$B$6:$B$1505,"&lt;"&amp;B1303)&gt;0,COUNTIFS(Log!$D$6:$D$1505,D1303,Log!$B$6:$B$1505,"&lt;"&amp;B1303,Log!$X$6:$X$1505,"&gt;="&amp;X1303)=0),"New best",""))</f>
        <v/>
      </c>
      <c r="T1303" s="26" t="n"/>
      <c r="U1303" s="1">
        <f>IF(D1303="","",IFERROR(INDEX(Exercises!$C$6:$C$105,MATCH(D1303,Exercises!$B$6:$B$105,0)),"Other"))</f>
        <v/>
      </c>
      <c r="V1303">
        <f>IF(B1303="","",IF(COUNTIF($B$6:B1303,B1303)=1,1,0))</f>
        <v/>
      </c>
      <c r="W1303">
        <f>IF(B1303="","",B1303-WEEKDAY(B1303,3))</f>
        <v/>
      </c>
      <c r="X1303">
        <f>IF(D1303="","",MAX(IF(N(F1303)=0,0,IF(N(E1303)&gt;0,E1303*(1+F1303/30),F1303)),IF(N(H1303)=0,0,IF(N(G1303)&gt;0,G1303*(1+H1303/30),H1303)),IF(N(J1303)=0,0,IF(N(I1303)&gt;0,I1303*(1+J1303/30),J1303)),IF(N(L1303)=0,0,IF(N(K1303)&gt;0,K1303*(1+L1303/30),L1303)),IF(N(N1303)=0,0,IF(N(M1303)&gt;0,M1303*(1+N1303/30),N1303))))</f>
        <v/>
      </c>
      <c r="Y1303">
        <f>IF(N(X1303)=0,"",X1303+ROW()/1000000000)</f>
        <v/>
      </c>
      <c r="Z1303">
        <f>IF(Y1303="","",IF(COUNTIFS(Log!$D$6:$D$1505,D1303,Log!$Y$6:$Y$1505,"&gt;"&amp;Y1303)=0,1,0))</f>
        <v/>
      </c>
      <c r="AA1303">
        <f>IF(OR(B1303="",D1303=""),"",B1303+ROW()/10000000)</f>
        <v/>
      </c>
      <c r="AB1303">
        <f>IF(AA1303="","",IF(COUNTIFS(Log!$D$6:$D$1505,D1303,Log!$AA$6:$AA$1505,"&gt;"&amp;AA1303)=0,1,0))</f>
        <v/>
      </c>
      <c r="AC1303">
        <f>IF(S1303="New best",AA1303,"")</f>
        <v/>
      </c>
      <c r="AD1303">
        <f>ROW()</f>
        <v/>
      </c>
    </row>
    <row r="1304">
      <c r="A1304" s="1" t="n"/>
      <c r="B1304" s="21" t="n"/>
      <c r="C1304" s="22" t="n"/>
      <c r="D1304" s="23" t="n"/>
      <c r="E1304" s="24" t="n"/>
      <c r="F1304" s="24" t="n"/>
      <c r="G1304" s="24" t="n"/>
      <c r="H1304" s="24" t="n"/>
      <c r="I1304" s="24" t="n"/>
      <c r="J1304" s="24" t="n"/>
      <c r="K1304" s="24" t="n"/>
      <c r="L1304" s="24" t="n"/>
      <c r="M1304" s="24" t="n"/>
      <c r="N1304" s="24" t="n"/>
      <c r="O1304" s="15">
        <f>IF(D1304="","",COUNT(F1304,H1304,J1304,L1304,N1304))</f>
        <v/>
      </c>
      <c r="P1304" s="25">
        <f>IF(D1304="","",N(E1304)*N(F1304)+N(G1304)*N(H1304)+N(I1304)*N(J1304)+N(K1304)*N(L1304)+N(M1304)*N(N1304))</f>
        <v/>
      </c>
      <c r="Q1304" s="18">
        <f>IF(N(X1304)=0,"",IF(IF(N(F1304)=0,0,IF(N(E1304)&gt;0,E1304*(1+F1304/30),F1304))=X1304,IF(N(E1304)&gt;0,E1304&amp;" x "&amp;F1304,F1304&amp;" reps"),IF(IF(N(H1304)=0,0,IF(N(G1304)&gt;0,G1304*(1+H1304/30),H1304))=X1304,IF(N(G1304)&gt;0,G1304&amp;" x "&amp;H1304,H1304&amp;" reps"),IF(IF(N(J1304)=0,0,IF(N(I1304)&gt;0,I1304*(1+J1304/30),J1304))=X1304,IF(N(I1304)&gt;0,I1304&amp;" x "&amp;J1304,J1304&amp;" reps"),IF(IF(N(L1304)=0,0,IF(N(K1304)&gt;0,K1304*(1+L1304/30),L1304))=X1304,IF(N(K1304)&gt;0,K1304&amp;" x "&amp;L1304,L1304&amp;" reps"),IF(IF(N(N1304)=0,0,IF(N(M1304)&gt;0,M1304*(1+N1304/30),N1304))=X1304,IF(N(M1304)&gt;0,M1304&amp;" x "&amp;N1304,N1304&amp;" reps"),""))))))</f>
        <v/>
      </c>
      <c r="R1304" s="20">
        <f>IF(N(X1304)=0,"",ROUND(X1304,1))</f>
        <v/>
      </c>
      <c r="S1304" s="18">
        <f>IF(N(X1304)=0,"",IF(AND(COUNTIFS(Log!$D$6:$D$1505,D1304,Log!$B$6:$B$1505,"&lt;"&amp;B1304)&gt;0,COUNTIFS(Log!$D$6:$D$1505,D1304,Log!$B$6:$B$1505,"&lt;"&amp;B1304,Log!$X$6:$X$1505,"&gt;="&amp;X1304)=0),"New best",""))</f>
        <v/>
      </c>
      <c r="T1304" s="26" t="n"/>
      <c r="U1304" s="1">
        <f>IF(D1304="","",IFERROR(INDEX(Exercises!$C$6:$C$105,MATCH(D1304,Exercises!$B$6:$B$105,0)),"Other"))</f>
        <v/>
      </c>
      <c r="V1304">
        <f>IF(B1304="","",IF(COUNTIF($B$6:B1304,B1304)=1,1,0))</f>
        <v/>
      </c>
      <c r="W1304">
        <f>IF(B1304="","",B1304-WEEKDAY(B1304,3))</f>
        <v/>
      </c>
      <c r="X1304">
        <f>IF(D1304="","",MAX(IF(N(F1304)=0,0,IF(N(E1304)&gt;0,E1304*(1+F1304/30),F1304)),IF(N(H1304)=0,0,IF(N(G1304)&gt;0,G1304*(1+H1304/30),H1304)),IF(N(J1304)=0,0,IF(N(I1304)&gt;0,I1304*(1+J1304/30),J1304)),IF(N(L1304)=0,0,IF(N(K1304)&gt;0,K1304*(1+L1304/30),L1304)),IF(N(N1304)=0,0,IF(N(M1304)&gt;0,M1304*(1+N1304/30),N1304))))</f>
        <v/>
      </c>
      <c r="Y1304">
        <f>IF(N(X1304)=0,"",X1304+ROW()/1000000000)</f>
        <v/>
      </c>
      <c r="Z1304">
        <f>IF(Y1304="","",IF(COUNTIFS(Log!$D$6:$D$1505,D1304,Log!$Y$6:$Y$1505,"&gt;"&amp;Y1304)=0,1,0))</f>
        <v/>
      </c>
      <c r="AA1304">
        <f>IF(OR(B1304="",D1304=""),"",B1304+ROW()/10000000)</f>
        <v/>
      </c>
      <c r="AB1304">
        <f>IF(AA1304="","",IF(COUNTIFS(Log!$D$6:$D$1505,D1304,Log!$AA$6:$AA$1505,"&gt;"&amp;AA1304)=0,1,0))</f>
        <v/>
      </c>
      <c r="AC1304">
        <f>IF(S1304="New best",AA1304,"")</f>
        <v/>
      </c>
      <c r="AD1304">
        <f>ROW()</f>
        <v/>
      </c>
    </row>
    <row r="1305">
      <c r="A1305" s="1" t="n"/>
      <c r="B1305" s="21" t="n"/>
      <c r="C1305" s="22" t="n"/>
      <c r="D1305" s="23" t="n"/>
      <c r="E1305" s="24" t="n"/>
      <c r="F1305" s="24" t="n"/>
      <c r="G1305" s="24" t="n"/>
      <c r="H1305" s="24" t="n"/>
      <c r="I1305" s="24" t="n"/>
      <c r="J1305" s="24" t="n"/>
      <c r="K1305" s="24" t="n"/>
      <c r="L1305" s="24" t="n"/>
      <c r="M1305" s="24" t="n"/>
      <c r="N1305" s="24" t="n"/>
      <c r="O1305" s="15">
        <f>IF(D1305="","",COUNT(F1305,H1305,J1305,L1305,N1305))</f>
        <v/>
      </c>
      <c r="P1305" s="25">
        <f>IF(D1305="","",N(E1305)*N(F1305)+N(G1305)*N(H1305)+N(I1305)*N(J1305)+N(K1305)*N(L1305)+N(M1305)*N(N1305))</f>
        <v/>
      </c>
      <c r="Q1305" s="18">
        <f>IF(N(X1305)=0,"",IF(IF(N(F1305)=0,0,IF(N(E1305)&gt;0,E1305*(1+F1305/30),F1305))=X1305,IF(N(E1305)&gt;0,E1305&amp;" x "&amp;F1305,F1305&amp;" reps"),IF(IF(N(H1305)=0,0,IF(N(G1305)&gt;0,G1305*(1+H1305/30),H1305))=X1305,IF(N(G1305)&gt;0,G1305&amp;" x "&amp;H1305,H1305&amp;" reps"),IF(IF(N(J1305)=0,0,IF(N(I1305)&gt;0,I1305*(1+J1305/30),J1305))=X1305,IF(N(I1305)&gt;0,I1305&amp;" x "&amp;J1305,J1305&amp;" reps"),IF(IF(N(L1305)=0,0,IF(N(K1305)&gt;0,K1305*(1+L1305/30),L1305))=X1305,IF(N(K1305)&gt;0,K1305&amp;" x "&amp;L1305,L1305&amp;" reps"),IF(IF(N(N1305)=0,0,IF(N(M1305)&gt;0,M1305*(1+N1305/30),N1305))=X1305,IF(N(M1305)&gt;0,M1305&amp;" x "&amp;N1305,N1305&amp;" reps"),""))))))</f>
        <v/>
      </c>
      <c r="R1305" s="20">
        <f>IF(N(X1305)=0,"",ROUND(X1305,1))</f>
        <v/>
      </c>
      <c r="S1305" s="18">
        <f>IF(N(X1305)=0,"",IF(AND(COUNTIFS(Log!$D$6:$D$1505,D1305,Log!$B$6:$B$1505,"&lt;"&amp;B1305)&gt;0,COUNTIFS(Log!$D$6:$D$1505,D1305,Log!$B$6:$B$1505,"&lt;"&amp;B1305,Log!$X$6:$X$1505,"&gt;="&amp;X1305)=0),"New best",""))</f>
        <v/>
      </c>
      <c r="T1305" s="26" t="n"/>
      <c r="U1305" s="1">
        <f>IF(D1305="","",IFERROR(INDEX(Exercises!$C$6:$C$105,MATCH(D1305,Exercises!$B$6:$B$105,0)),"Other"))</f>
        <v/>
      </c>
      <c r="V1305">
        <f>IF(B1305="","",IF(COUNTIF($B$6:B1305,B1305)=1,1,0))</f>
        <v/>
      </c>
      <c r="W1305">
        <f>IF(B1305="","",B1305-WEEKDAY(B1305,3))</f>
        <v/>
      </c>
      <c r="X1305">
        <f>IF(D1305="","",MAX(IF(N(F1305)=0,0,IF(N(E1305)&gt;0,E1305*(1+F1305/30),F1305)),IF(N(H1305)=0,0,IF(N(G1305)&gt;0,G1305*(1+H1305/30),H1305)),IF(N(J1305)=0,0,IF(N(I1305)&gt;0,I1305*(1+J1305/30),J1305)),IF(N(L1305)=0,0,IF(N(K1305)&gt;0,K1305*(1+L1305/30),L1305)),IF(N(N1305)=0,0,IF(N(M1305)&gt;0,M1305*(1+N1305/30),N1305))))</f>
        <v/>
      </c>
      <c r="Y1305">
        <f>IF(N(X1305)=0,"",X1305+ROW()/1000000000)</f>
        <v/>
      </c>
      <c r="Z1305">
        <f>IF(Y1305="","",IF(COUNTIFS(Log!$D$6:$D$1505,D1305,Log!$Y$6:$Y$1505,"&gt;"&amp;Y1305)=0,1,0))</f>
        <v/>
      </c>
      <c r="AA1305">
        <f>IF(OR(B1305="",D1305=""),"",B1305+ROW()/10000000)</f>
        <v/>
      </c>
      <c r="AB1305">
        <f>IF(AA1305="","",IF(COUNTIFS(Log!$D$6:$D$1505,D1305,Log!$AA$6:$AA$1505,"&gt;"&amp;AA1305)=0,1,0))</f>
        <v/>
      </c>
      <c r="AC1305">
        <f>IF(S1305="New best",AA1305,"")</f>
        <v/>
      </c>
      <c r="AD1305">
        <f>ROW()</f>
        <v/>
      </c>
    </row>
    <row r="1306">
      <c r="A1306" s="1" t="n"/>
      <c r="B1306" s="21" t="n"/>
      <c r="C1306" s="22" t="n"/>
      <c r="D1306" s="23" t="n"/>
      <c r="E1306" s="24" t="n"/>
      <c r="F1306" s="24" t="n"/>
      <c r="G1306" s="24" t="n"/>
      <c r="H1306" s="24" t="n"/>
      <c r="I1306" s="24" t="n"/>
      <c r="J1306" s="24" t="n"/>
      <c r="K1306" s="24" t="n"/>
      <c r="L1306" s="24" t="n"/>
      <c r="M1306" s="24" t="n"/>
      <c r="N1306" s="24" t="n"/>
      <c r="O1306" s="15">
        <f>IF(D1306="","",COUNT(F1306,H1306,J1306,L1306,N1306))</f>
        <v/>
      </c>
      <c r="P1306" s="25">
        <f>IF(D1306="","",N(E1306)*N(F1306)+N(G1306)*N(H1306)+N(I1306)*N(J1306)+N(K1306)*N(L1306)+N(M1306)*N(N1306))</f>
        <v/>
      </c>
      <c r="Q1306" s="18">
        <f>IF(N(X1306)=0,"",IF(IF(N(F1306)=0,0,IF(N(E1306)&gt;0,E1306*(1+F1306/30),F1306))=X1306,IF(N(E1306)&gt;0,E1306&amp;" x "&amp;F1306,F1306&amp;" reps"),IF(IF(N(H1306)=0,0,IF(N(G1306)&gt;0,G1306*(1+H1306/30),H1306))=X1306,IF(N(G1306)&gt;0,G1306&amp;" x "&amp;H1306,H1306&amp;" reps"),IF(IF(N(J1306)=0,0,IF(N(I1306)&gt;0,I1306*(1+J1306/30),J1306))=X1306,IF(N(I1306)&gt;0,I1306&amp;" x "&amp;J1306,J1306&amp;" reps"),IF(IF(N(L1306)=0,0,IF(N(K1306)&gt;0,K1306*(1+L1306/30),L1306))=X1306,IF(N(K1306)&gt;0,K1306&amp;" x "&amp;L1306,L1306&amp;" reps"),IF(IF(N(N1306)=0,0,IF(N(M1306)&gt;0,M1306*(1+N1306/30),N1306))=X1306,IF(N(M1306)&gt;0,M1306&amp;" x "&amp;N1306,N1306&amp;" reps"),""))))))</f>
        <v/>
      </c>
      <c r="R1306" s="20">
        <f>IF(N(X1306)=0,"",ROUND(X1306,1))</f>
        <v/>
      </c>
      <c r="S1306" s="18">
        <f>IF(N(X1306)=0,"",IF(AND(COUNTIFS(Log!$D$6:$D$1505,D1306,Log!$B$6:$B$1505,"&lt;"&amp;B1306)&gt;0,COUNTIFS(Log!$D$6:$D$1505,D1306,Log!$B$6:$B$1505,"&lt;"&amp;B1306,Log!$X$6:$X$1505,"&gt;="&amp;X1306)=0),"New best",""))</f>
        <v/>
      </c>
      <c r="T1306" s="26" t="n"/>
      <c r="U1306" s="1">
        <f>IF(D1306="","",IFERROR(INDEX(Exercises!$C$6:$C$105,MATCH(D1306,Exercises!$B$6:$B$105,0)),"Other"))</f>
        <v/>
      </c>
      <c r="V1306">
        <f>IF(B1306="","",IF(COUNTIF($B$6:B1306,B1306)=1,1,0))</f>
        <v/>
      </c>
      <c r="W1306">
        <f>IF(B1306="","",B1306-WEEKDAY(B1306,3))</f>
        <v/>
      </c>
      <c r="X1306">
        <f>IF(D1306="","",MAX(IF(N(F1306)=0,0,IF(N(E1306)&gt;0,E1306*(1+F1306/30),F1306)),IF(N(H1306)=0,0,IF(N(G1306)&gt;0,G1306*(1+H1306/30),H1306)),IF(N(J1306)=0,0,IF(N(I1306)&gt;0,I1306*(1+J1306/30),J1306)),IF(N(L1306)=0,0,IF(N(K1306)&gt;0,K1306*(1+L1306/30),L1306)),IF(N(N1306)=0,0,IF(N(M1306)&gt;0,M1306*(1+N1306/30),N1306))))</f>
        <v/>
      </c>
      <c r="Y1306">
        <f>IF(N(X1306)=0,"",X1306+ROW()/1000000000)</f>
        <v/>
      </c>
      <c r="Z1306">
        <f>IF(Y1306="","",IF(COUNTIFS(Log!$D$6:$D$1505,D1306,Log!$Y$6:$Y$1505,"&gt;"&amp;Y1306)=0,1,0))</f>
        <v/>
      </c>
      <c r="AA1306">
        <f>IF(OR(B1306="",D1306=""),"",B1306+ROW()/10000000)</f>
        <v/>
      </c>
      <c r="AB1306">
        <f>IF(AA1306="","",IF(COUNTIFS(Log!$D$6:$D$1505,D1306,Log!$AA$6:$AA$1505,"&gt;"&amp;AA1306)=0,1,0))</f>
        <v/>
      </c>
      <c r="AC1306">
        <f>IF(S1306="New best",AA1306,"")</f>
        <v/>
      </c>
      <c r="AD1306">
        <f>ROW()</f>
        <v/>
      </c>
    </row>
    <row r="1307">
      <c r="A1307" s="1" t="n"/>
      <c r="B1307" s="21" t="n"/>
      <c r="C1307" s="22" t="n"/>
      <c r="D1307" s="23" t="n"/>
      <c r="E1307" s="24" t="n"/>
      <c r="F1307" s="24" t="n"/>
      <c r="G1307" s="24" t="n"/>
      <c r="H1307" s="24" t="n"/>
      <c r="I1307" s="24" t="n"/>
      <c r="J1307" s="24" t="n"/>
      <c r="K1307" s="24" t="n"/>
      <c r="L1307" s="24" t="n"/>
      <c r="M1307" s="24" t="n"/>
      <c r="N1307" s="24" t="n"/>
      <c r="O1307" s="15">
        <f>IF(D1307="","",COUNT(F1307,H1307,J1307,L1307,N1307))</f>
        <v/>
      </c>
      <c r="P1307" s="25">
        <f>IF(D1307="","",N(E1307)*N(F1307)+N(G1307)*N(H1307)+N(I1307)*N(J1307)+N(K1307)*N(L1307)+N(M1307)*N(N1307))</f>
        <v/>
      </c>
      <c r="Q1307" s="18">
        <f>IF(N(X1307)=0,"",IF(IF(N(F1307)=0,0,IF(N(E1307)&gt;0,E1307*(1+F1307/30),F1307))=X1307,IF(N(E1307)&gt;0,E1307&amp;" x "&amp;F1307,F1307&amp;" reps"),IF(IF(N(H1307)=0,0,IF(N(G1307)&gt;0,G1307*(1+H1307/30),H1307))=X1307,IF(N(G1307)&gt;0,G1307&amp;" x "&amp;H1307,H1307&amp;" reps"),IF(IF(N(J1307)=0,0,IF(N(I1307)&gt;0,I1307*(1+J1307/30),J1307))=X1307,IF(N(I1307)&gt;0,I1307&amp;" x "&amp;J1307,J1307&amp;" reps"),IF(IF(N(L1307)=0,0,IF(N(K1307)&gt;0,K1307*(1+L1307/30),L1307))=X1307,IF(N(K1307)&gt;0,K1307&amp;" x "&amp;L1307,L1307&amp;" reps"),IF(IF(N(N1307)=0,0,IF(N(M1307)&gt;0,M1307*(1+N1307/30),N1307))=X1307,IF(N(M1307)&gt;0,M1307&amp;" x "&amp;N1307,N1307&amp;" reps"),""))))))</f>
        <v/>
      </c>
      <c r="R1307" s="20">
        <f>IF(N(X1307)=0,"",ROUND(X1307,1))</f>
        <v/>
      </c>
      <c r="S1307" s="18">
        <f>IF(N(X1307)=0,"",IF(AND(COUNTIFS(Log!$D$6:$D$1505,D1307,Log!$B$6:$B$1505,"&lt;"&amp;B1307)&gt;0,COUNTIFS(Log!$D$6:$D$1505,D1307,Log!$B$6:$B$1505,"&lt;"&amp;B1307,Log!$X$6:$X$1505,"&gt;="&amp;X1307)=0),"New best",""))</f>
        <v/>
      </c>
      <c r="T1307" s="26" t="n"/>
      <c r="U1307" s="1">
        <f>IF(D1307="","",IFERROR(INDEX(Exercises!$C$6:$C$105,MATCH(D1307,Exercises!$B$6:$B$105,0)),"Other"))</f>
        <v/>
      </c>
      <c r="V1307">
        <f>IF(B1307="","",IF(COUNTIF($B$6:B1307,B1307)=1,1,0))</f>
        <v/>
      </c>
      <c r="W1307">
        <f>IF(B1307="","",B1307-WEEKDAY(B1307,3))</f>
        <v/>
      </c>
      <c r="X1307">
        <f>IF(D1307="","",MAX(IF(N(F1307)=0,0,IF(N(E1307)&gt;0,E1307*(1+F1307/30),F1307)),IF(N(H1307)=0,0,IF(N(G1307)&gt;0,G1307*(1+H1307/30),H1307)),IF(N(J1307)=0,0,IF(N(I1307)&gt;0,I1307*(1+J1307/30),J1307)),IF(N(L1307)=0,0,IF(N(K1307)&gt;0,K1307*(1+L1307/30),L1307)),IF(N(N1307)=0,0,IF(N(M1307)&gt;0,M1307*(1+N1307/30),N1307))))</f>
        <v/>
      </c>
      <c r="Y1307">
        <f>IF(N(X1307)=0,"",X1307+ROW()/1000000000)</f>
        <v/>
      </c>
      <c r="Z1307">
        <f>IF(Y1307="","",IF(COUNTIFS(Log!$D$6:$D$1505,D1307,Log!$Y$6:$Y$1505,"&gt;"&amp;Y1307)=0,1,0))</f>
        <v/>
      </c>
      <c r="AA1307">
        <f>IF(OR(B1307="",D1307=""),"",B1307+ROW()/10000000)</f>
        <v/>
      </c>
      <c r="AB1307">
        <f>IF(AA1307="","",IF(COUNTIFS(Log!$D$6:$D$1505,D1307,Log!$AA$6:$AA$1505,"&gt;"&amp;AA1307)=0,1,0))</f>
        <v/>
      </c>
      <c r="AC1307">
        <f>IF(S1307="New best",AA1307,"")</f>
        <v/>
      </c>
      <c r="AD1307">
        <f>ROW()</f>
        <v/>
      </c>
    </row>
    <row r="1308">
      <c r="A1308" s="1" t="n"/>
      <c r="B1308" s="21" t="n"/>
      <c r="C1308" s="22" t="n"/>
      <c r="D1308" s="23" t="n"/>
      <c r="E1308" s="24" t="n"/>
      <c r="F1308" s="24" t="n"/>
      <c r="G1308" s="24" t="n"/>
      <c r="H1308" s="24" t="n"/>
      <c r="I1308" s="24" t="n"/>
      <c r="J1308" s="24" t="n"/>
      <c r="K1308" s="24" t="n"/>
      <c r="L1308" s="24" t="n"/>
      <c r="M1308" s="24" t="n"/>
      <c r="N1308" s="24" t="n"/>
      <c r="O1308" s="15">
        <f>IF(D1308="","",COUNT(F1308,H1308,J1308,L1308,N1308))</f>
        <v/>
      </c>
      <c r="P1308" s="25">
        <f>IF(D1308="","",N(E1308)*N(F1308)+N(G1308)*N(H1308)+N(I1308)*N(J1308)+N(K1308)*N(L1308)+N(M1308)*N(N1308))</f>
        <v/>
      </c>
      <c r="Q1308" s="18">
        <f>IF(N(X1308)=0,"",IF(IF(N(F1308)=0,0,IF(N(E1308)&gt;0,E1308*(1+F1308/30),F1308))=X1308,IF(N(E1308)&gt;0,E1308&amp;" x "&amp;F1308,F1308&amp;" reps"),IF(IF(N(H1308)=0,0,IF(N(G1308)&gt;0,G1308*(1+H1308/30),H1308))=X1308,IF(N(G1308)&gt;0,G1308&amp;" x "&amp;H1308,H1308&amp;" reps"),IF(IF(N(J1308)=0,0,IF(N(I1308)&gt;0,I1308*(1+J1308/30),J1308))=X1308,IF(N(I1308)&gt;0,I1308&amp;" x "&amp;J1308,J1308&amp;" reps"),IF(IF(N(L1308)=0,0,IF(N(K1308)&gt;0,K1308*(1+L1308/30),L1308))=X1308,IF(N(K1308)&gt;0,K1308&amp;" x "&amp;L1308,L1308&amp;" reps"),IF(IF(N(N1308)=0,0,IF(N(M1308)&gt;0,M1308*(1+N1308/30),N1308))=X1308,IF(N(M1308)&gt;0,M1308&amp;" x "&amp;N1308,N1308&amp;" reps"),""))))))</f>
        <v/>
      </c>
      <c r="R1308" s="20">
        <f>IF(N(X1308)=0,"",ROUND(X1308,1))</f>
        <v/>
      </c>
      <c r="S1308" s="18">
        <f>IF(N(X1308)=0,"",IF(AND(COUNTIFS(Log!$D$6:$D$1505,D1308,Log!$B$6:$B$1505,"&lt;"&amp;B1308)&gt;0,COUNTIFS(Log!$D$6:$D$1505,D1308,Log!$B$6:$B$1505,"&lt;"&amp;B1308,Log!$X$6:$X$1505,"&gt;="&amp;X1308)=0),"New best",""))</f>
        <v/>
      </c>
      <c r="T1308" s="26" t="n"/>
      <c r="U1308" s="1">
        <f>IF(D1308="","",IFERROR(INDEX(Exercises!$C$6:$C$105,MATCH(D1308,Exercises!$B$6:$B$105,0)),"Other"))</f>
        <v/>
      </c>
      <c r="V1308">
        <f>IF(B1308="","",IF(COUNTIF($B$6:B1308,B1308)=1,1,0))</f>
        <v/>
      </c>
      <c r="W1308">
        <f>IF(B1308="","",B1308-WEEKDAY(B1308,3))</f>
        <v/>
      </c>
      <c r="X1308">
        <f>IF(D1308="","",MAX(IF(N(F1308)=0,0,IF(N(E1308)&gt;0,E1308*(1+F1308/30),F1308)),IF(N(H1308)=0,0,IF(N(G1308)&gt;0,G1308*(1+H1308/30),H1308)),IF(N(J1308)=0,0,IF(N(I1308)&gt;0,I1308*(1+J1308/30),J1308)),IF(N(L1308)=0,0,IF(N(K1308)&gt;0,K1308*(1+L1308/30),L1308)),IF(N(N1308)=0,0,IF(N(M1308)&gt;0,M1308*(1+N1308/30),N1308))))</f>
        <v/>
      </c>
      <c r="Y1308">
        <f>IF(N(X1308)=0,"",X1308+ROW()/1000000000)</f>
        <v/>
      </c>
      <c r="Z1308">
        <f>IF(Y1308="","",IF(COUNTIFS(Log!$D$6:$D$1505,D1308,Log!$Y$6:$Y$1505,"&gt;"&amp;Y1308)=0,1,0))</f>
        <v/>
      </c>
      <c r="AA1308">
        <f>IF(OR(B1308="",D1308=""),"",B1308+ROW()/10000000)</f>
        <v/>
      </c>
      <c r="AB1308">
        <f>IF(AA1308="","",IF(COUNTIFS(Log!$D$6:$D$1505,D1308,Log!$AA$6:$AA$1505,"&gt;"&amp;AA1308)=0,1,0))</f>
        <v/>
      </c>
      <c r="AC1308">
        <f>IF(S1308="New best",AA1308,"")</f>
        <v/>
      </c>
      <c r="AD1308">
        <f>ROW()</f>
        <v/>
      </c>
    </row>
    <row r="1309">
      <c r="A1309" s="1" t="n"/>
      <c r="B1309" s="21" t="n"/>
      <c r="C1309" s="22" t="n"/>
      <c r="D1309" s="23" t="n"/>
      <c r="E1309" s="24" t="n"/>
      <c r="F1309" s="24" t="n"/>
      <c r="G1309" s="24" t="n"/>
      <c r="H1309" s="24" t="n"/>
      <c r="I1309" s="24" t="n"/>
      <c r="J1309" s="24" t="n"/>
      <c r="K1309" s="24" t="n"/>
      <c r="L1309" s="24" t="n"/>
      <c r="M1309" s="24" t="n"/>
      <c r="N1309" s="24" t="n"/>
      <c r="O1309" s="15">
        <f>IF(D1309="","",COUNT(F1309,H1309,J1309,L1309,N1309))</f>
        <v/>
      </c>
      <c r="P1309" s="25">
        <f>IF(D1309="","",N(E1309)*N(F1309)+N(G1309)*N(H1309)+N(I1309)*N(J1309)+N(K1309)*N(L1309)+N(M1309)*N(N1309))</f>
        <v/>
      </c>
      <c r="Q1309" s="18">
        <f>IF(N(X1309)=0,"",IF(IF(N(F1309)=0,0,IF(N(E1309)&gt;0,E1309*(1+F1309/30),F1309))=X1309,IF(N(E1309)&gt;0,E1309&amp;" x "&amp;F1309,F1309&amp;" reps"),IF(IF(N(H1309)=0,0,IF(N(G1309)&gt;0,G1309*(1+H1309/30),H1309))=X1309,IF(N(G1309)&gt;0,G1309&amp;" x "&amp;H1309,H1309&amp;" reps"),IF(IF(N(J1309)=0,0,IF(N(I1309)&gt;0,I1309*(1+J1309/30),J1309))=X1309,IF(N(I1309)&gt;0,I1309&amp;" x "&amp;J1309,J1309&amp;" reps"),IF(IF(N(L1309)=0,0,IF(N(K1309)&gt;0,K1309*(1+L1309/30),L1309))=X1309,IF(N(K1309)&gt;0,K1309&amp;" x "&amp;L1309,L1309&amp;" reps"),IF(IF(N(N1309)=0,0,IF(N(M1309)&gt;0,M1309*(1+N1309/30),N1309))=X1309,IF(N(M1309)&gt;0,M1309&amp;" x "&amp;N1309,N1309&amp;" reps"),""))))))</f>
        <v/>
      </c>
      <c r="R1309" s="20">
        <f>IF(N(X1309)=0,"",ROUND(X1309,1))</f>
        <v/>
      </c>
      <c r="S1309" s="18">
        <f>IF(N(X1309)=0,"",IF(AND(COUNTIFS(Log!$D$6:$D$1505,D1309,Log!$B$6:$B$1505,"&lt;"&amp;B1309)&gt;0,COUNTIFS(Log!$D$6:$D$1505,D1309,Log!$B$6:$B$1505,"&lt;"&amp;B1309,Log!$X$6:$X$1505,"&gt;="&amp;X1309)=0),"New best",""))</f>
        <v/>
      </c>
      <c r="T1309" s="26" t="n"/>
      <c r="U1309" s="1">
        <f>IF(D1309="","",IFERROR(INDEX(Exercises!$C$6:$C$105,MATCH(D1309,Exercises!$B$6:$B$105,0)),"Other"))</f>
        <v/>
      </c>
      <c r="V1309">
        <f>IF(B1309="","",IF(COUNTIF($B$6:B1309,B1309)=1,1,0))</f>
        <v/>
      </c>
      <c r="W1309">
        <f>IF(B1309="","",B1309-WEEKDAY(B1309,3))</f>
        <v/>
      </c>
      <c r="X1309">
        <f>IF(D1309="","",MAX(IF(N(F1309)=0,0,IF(N(E1309)&gt;0,E1309*(1+F1309/30),F1309)),IF(N(H1309)=0,0,IF(N(G1309)&gt;0,G1309*(1+H1309/30),H1309)),IF(N(J1309)=0,0,IF(N(I1309)&gt;0,I1309*(1+J1309/30),J1309)),IF(N(L1309)=0,0,IF(N(K1309)&gt;0,K1309*(1+L1309/30),L1309)),IF(N(N1309)=0,0,IF(N(M1309)&gt;0,M1309*(1+N1309/30),N1309))))</f>
        <v/>
      </c>
      <c r="Y1309">
        <f>IF(N(X1309)=0,"",X1309+ROW()/1000000000)</f>
        <v/>
      </c>
      <c r="Z1309">
        <f>IF(Y1309="","",IF(COUNTIFS(Log!$D$6:$D$1505,D1309,Log!$Y$6:$Y$1505,"&gt;"&amp;Y1309)=0,1,0))</f>
        <v/>
      </c>
      <c r="AA1309">
        <f>IF(OR(B1309="",D1309=""),"",B1309+ROW()/10000000)</f>
        <v/>
      </c>
      <c r="AB1309">
        <f>IF(AA1309="","",IF(COUNTIFS(Log!$D$6:$D$1505,D1309,Log!$AA$6:$AA$1505,"&gt;"&amp;AA1309)=0,1,0))</f>
        <v/>
      </c>
      <c r="AC1309">
        <f>IF(S1309="New best",AA1309,"")</f>
        <v/>
      </c>
      <c r="AD1309">
        <f>ROW()</f>
        <v/>
      </c>
    </row>
    <row r="1310">
      <c r="A1310" s="1" t="n"/>
      <c r="B1310" s="21" t="n"/>
      <c r="C1310" s="22" t="n"/>
      <c r="D1310" s="23" t="n"/>
      <c r="E1310" s="24" t="n"/>
      <c r="F1310" s="24" t="n"/>
      <c r="G1310" s="24" t="n"/>
      <c r="H1310" s="24" t="n"/>
      <c r="I1310" s="24" t="n"/>
      <c r="J1310" s="24" t="n"/>
      <c r="K1310" s="24" t="n"/>
      <c r="L1310" s="24" t="n"/>
      <c r="M1310" s="24" t="n"/>
      <c r="N1310" s="24" t="n"/>
      <c r="O1310" s="15">
        <f>IF(D1310="","",COUNT(F1310,H1310,J1310,L1310,N1310))</f>
        <v/>
      </c>
      <c r="P1310" s="25">
        <f>IF(D1310="","",N(E1310)*N(F1310)+N(G1310)*N(H1310)+N(I1310)*N(J1310)+N(K1310)*N(L1310)+N(M1310)*N(N1310))</f>
        <v/>
      </c>
      <c r="Q1310" s="18">
        <f>IF(N(X1310)=0,"",IF(IF(N(F1310)=0,0,IF(N(E1310)&gt;0,E1310*(1+F1310/30),F1310))=X1310,IF(N(E1310)&gt;0,E1310&amp;" x "&amp;F1310,F1310&amp;" reps"),IF(IF(N(H1310)=0,0,IF(N(G1310)&gt;0,G1310*(1+H1310/30),H1310))=X1310,IF(N(G1310)&gt;0,G1310&amp;" x "&amp;H1310,H1310&amp;" reps"),IF(IF(N(J1310)=0,0,IF(N(I1310)&gt;0,I1310*(1+J1310/30),J1310))=X1310,IF(N(I1310)&gt;0,I1310&amp;" x "&amp;J1310,J1310&amp;" reps"),IF(IF(N(L1310)=0,0,IF(N(K1310)&gt;0,K1310*(1+L1310/30),L1310))=X1310,IF(N(K1310)&gt;0,K1310&amp;" x "&amp;L1310,L1310&amp;" reps"),IF(IF(N(N1310)=0,0,IF(N(M1310)&gt;0,M1310*(1+N1310/30),N1310))=X1310,IF(N(M1310)&gt;0,M1310&amp;" x "&amp;N1310,N1310&amp;" reps"),""))))))</f>
        <v/>
      </c>
      <c r="R1310" s="20">
        <f>IF(N(X1310)=0,"",ROUND(X1310,1))</f>
        <v/>
      </c>
      <c r="S1310" s="18">
        <f>IF(N(X1310)=0,"",IF(AND(COUNTIFS(Log!$D$6:$D$1505,D1310,Log!$B$6:$B$1505,"&lt;"&amp;B1310)&gt;0,COUNTIFS(Log!$D$6:$D$1505,D1310,Log!$B$6:$B$1505,"&lt;"&amp;B1310,Log!$X$6:$X$1505,"&gt;="&amp;X1310)=0),"New best",""))</f>
        <v/>
      </c>
      <c r="T1310" s="26" t="n"/>
      <c r="U1310" s="1">
        <f>IF(D1310="","",IFERROR(INDEX(Exercises!$C$6:$C$105,MATCH(D1310,Exercises!$B$6:$B$105,0)),"Other"))</f>
        <v/>
      </c>
      <c r="V1310">
        <f>IF(B1310="","",IF(COUNTIF($B$6:B1310,B1310)=1,1,0))</f>
        <v/>
      </c>
      <c r="W1310">
        <f>IF(B1310="","",B1310-WEEKDAY(B1310,3))</f>
        <v/>
      </c>
      <c r="X1310">
        <f>IF(D1310="","",MAX(IF(N(F1310)=0,0,IF(N(E1310)&gt;0,E1310*(1+F1310/30),F1310)),IF(N(H1310)=0,0,IF(N(G1310)&gt;0,G1310*(1+H1310/30),H1310)),IF(N(J1310)=0,0,IF(N(I1310)&gt;0,I1310*(1+J1310/30),J1310)),IF(N(L1310)=0,0,IF(N(K1310)&gt;0,K1310*(1+L1310/30),L1310)),IF(N(N1310)=0,0,IF(N(M1310)&gt;0,M1310*(1+N1310/30),N1310))))</f>
        <v/>
      </c>
      <c r="Y1310">
        <f>IF(N(X1310)=0,"",X1310+ROW()/1000000000)</f>
        <v/>
      </c>
      <c r="Z1310">
        <f>IF(Y1310="","",IF(COUNTIFS(Log!$D$6:$D$1505,D1310,Log!$Y$6:$Y$1505,"&gt;"&amp;Y1310)=0,1,0))</f>
        <v/>
      </c>
      <c r="AA1310">
        <f>IF(OR(B1310="",D1310=""),"",B1310+ROW()/10000000)</f>
        <v/>
      </c>
      <c r="AB1310">
        <f>IF(AA1310="","",IF(COUNTIFS(Log!$D$6:$D$1505,D1310,Log!$AA$6:$AA$1505,"&gt;"&amp;AA1310)=0,1,0))</f>
        <v/>
      </c>
      <c r="AC1310">
        <f>IF(S1310="New best",AA1310,"")</f>
        <v/>
      </c>
      <c r="AD1310">
        <f>ROW()</f>
        <v/>
      </c>
    </row>
    <row r="1311">
      <c r="A1311" s="1" t="n"/>
      <c r="B1311" s="21" t="n"/>
      <c r="C1311" s="22" t="n"/>
      <c r="D1311" s="23" t="n"/>
      <c r="E1311" s="24" t="n"/>
      <c r="F1311" s="24" t="n"/>
      <c r="G1311" s="24" t="n"/>
      <c r="H1311" s="24" t="n"/>
      <c r="I1311" s="24" t="n"/>
      <c r="J1311" s="24" t="n"/>
      <c r="K1311" s="24" t="n"/>
      <c r="L1311" s="24" t="n"/>
      <c r="M1311" s="24" t="n"/>
      <c r="N1311" s="24" t="n"/>
      <c r="O1311" s="15">
        <f>IF(D1311="","",COUNT(F1311,H1311,J1311,L1311,N1311))</f>
        <v/>
      </c>
      <c r="P1311" s="25">
        <f>IF(D1311="","",N(E1311)*N(F1311)+N(G1311)*N(H1311)+N(I1311)*N(J1311)+N(K1311)*N(L1311)+N(M1311)*N(N1311))</f>
        <v/>
      </c>
      <c r="Q1311" s="18">
        <f>IF(N(X1311)=0,"",IF(IF(N(F1311)=0,0,IF(N(E1311)&gt;0,E1311*(1+F1311/30),F1311))=X1311,IF(N(E1311)&gt;0,E1311&amp;" x "&amp;F1311,F1311&amp;" reps"),IF(IF(N(H1311)=0,0,IF(N(G1311)&gt;0,G1311*(1+H1311/30),H1311))=X1311,IF(N(G1311)&gt;0,G1311&amp;" x "&amp;H1311,H1311&amp;" reps"),IF(IF(N(J1311)=0,0,IF(N(I1311)&gt;0,I1311*(1+J1311/30),J1311))=X1311,IF(N(I1311)&gt;0,I1311&amp;" x "&amp;J1311,J1311&amp;" reps"),IF(IF(N(L1311)=0,0,IF(N(K1311)&gt;0,K1311*(1+L1311/30),L1311))=X1311,IF(N(K1311)&gt;0,K1311&amp;" x "&amp;L1311,L1311&amp;" reps"),IF(IF(N(N1311)=0,0,IF(N(M1311)&gt;0,M1311*(1+N1311/30),N1311))=X1311,IF(N(M1311)&gt;0,M1311&amp;" x "&amp;N1311,N1311&amp;" reps"),""))))))</f>
        <v/>
      </c>
      <c r="R1311" s="20">
        <f>IF(N(X1311)=0,"",ROUND(X1311,1))</f>
        <v/>
      </c>
      <c r="S1311" s="18">
        <f>IF(N(X1311)=0,"",IF(AND(COUNTIFS(Log!$D$6:$D$1505,D1311,Log!$B$6:$B$1505,"&lt;"&amp;B1311)&gt;0,COUNTIFS(Log!$D$6:$D$1505,D1311,Log!$B$6:$B$1505,"&lt;"&amp;B1311,Log!$X$6:$X$1505,"&gt;="&amp;X1311)=0),"New best",""))</f>
        <v/>
      </c>
      <c r="T1311" s="26" t="n"/>
      <c r="U1311" s="1">
        <f>IF(D1311="","",IFERROR(INDEX(Exercises!$C$6:$C$105,MATCH(D1311,Exercises!$B$6:$B$105,0)),"Other"))</f>
        <v/>
      </c>
      <c r="V1311">
        <f>IF(B1311="","",IF(COUNTIF($B$6:B1311,B1311)=1,1,0))</f>
        <v/>
      </c>
      <c r="W1311">
        <f>IF(B1311="","",B1311-WEEKDAY(B1311,3))</f>
        <v/>
      </c>
      <c r="X1311">
        <f>IF(D1311="","",MAX(IF(N(F1311)=0,0,IF(N(E1311)&gt;0,E1311*(1+F1311/30),F1311)),IF(N(H1311)=0,0,IF(N(G1311)&gt;0,G1311*(1+H1311/30),H1311)),IF(N(J1311)=0,0,IF(N(I1311)&gt;0,I1311*(1+J1311/30),J1311)),IF(N(L1311)=0,0,IF(N(K1311)&gt;0,K1311*(1+L1311/30),L1311)),IF(N(N1311)=0,0,IF(N(M1311)&gt;0,M1311*(1+N1311/30),N1311))))</f>
        <v/>
      </c>
      <c r="Y1311">
        <f>IF(N(X1311)=0,"",X1311+ROW()/1000000000)</f>
        <v/>
      </c>
      <c r="Z1311">
        <f>IF(Y1311="","",IF(COUNTIFS(Log!$D$6:$D$1505,D1311,Log!$Y$6:$Y$1505,"&gt;"&amp;Y1311)=0,1,0))</f>
        <v/>
      </c>
      <c r="AA1311">
        <f>IF(OR(B1311="",D1311=""),"",B1311+ROW()/10000000)</f>
        <v/>
      </c>
      <c r="AB1311">
        <f>IF(AA1311="","",IF(COUNTIFS(Log!$D$6:$D$1505,D1311,Log!$AA$6:$AA$1505,"&gt;"&amp;AA1311)=0,1,0))</f>
        <v/>
      </c>
      <c r="AC1311">
        <f>IF(S1311="New best",AA1311,"")</f>
        <v/>
      </c>
      <c r="AD1311">
        <f>ROW()</f>
        <v/>
      </c>
    </row>
    <row r="1312">
      <c r="A1312" s="1" t="n"/>
      <c r="B1312" s="21" t="n"/>
      <c r="C1312" s="22" t="n"/>
      <c r="D1312" s="23" t="n"/>
      <c r="E1312" s="24" t="n"/>
      <c r="F1312" s="24" t="n"/>
      <c r="G1312" s="24" t="n"/>
      <c r="H1312" s="24" t="n"/>
      <c r="I1312" s="24" t="n"/>
      <c r="J1312" s="24" t="n"/>
      <c r="K1312" s="24" t="n"/>
      <c r="L1312" s="24" t="n"/>
      <c r="M1312" s="24" t="n"/>
      <c r="N1312" s="24" t="n"/>
      <c r="O1312" s="15">
        <f>IF(D1312="","",COUNT(F1312,H1312,J1312,L1312,N1312))</f>
        <v/>
      </c>
      <c r="P1312" s="25">
        <f>IF(D1312="","",N(E1312)*N(F1312)+N(G1312)*N(H1312)+N(I1312)*N(J1312)+N(K1312)*N(L1312)+N(M1312)*N(N1312))</f>
        <v/>
      </c>
      <c r="Q1312" s="18">
        <f>IF(N(X1312)=0,"",IF(IF(N(F1312)=0,0,IF(N(E1312)&gt;0,E1312*(1+F1312/30),F1312))=X1312,IF(N(E1312)&gt;0,E1312&amp;" x "&amp;F1312,F1312&amp;" reps"),IF(IF(N(H1312)=0,0,IF(N(G1312)&gt;0,G1312*(1+H1312/30),H1312))=X1312,IF(N(G1312)&gt;0,G1312&amp;" x "&amp;H1312,H1312&amp;" reps"),IF(IF(N(J1312)=0,0,IF(N(I1312)&gt;0,I1312*(1+J1312/30),J1312))=X1312,IF(N(I1312)&gt;0,I1312&amp;" x "&amp;J1312,J1312&amp;" reps"),IF(IF(N(L1312)=0,0,IF(N(K1312)&gt;0,K1312*(1+L1312/30),L1312))=X1312,IF(N(K1312)&gt;0,K1312&amp;" x "&amp;L1312,L1312&amp;" reps"),IF(IF(N(N1312)=0,0,IF(N(M1312)&gt;0,M1312*(1+N1312/30),N1312))=X1312,IF(N(M1312)&gt;0,M1312&amp;" x "&amp;N1312,N1312&amp;" reps"),""))))))</f>
        <v/>
      </c>
      <c r="R1312" s="20">
        <f>IF(N(X1312)=0,"",ROUND(X1312,1))</f>
        <v/>
      </c>
      <c r="S1312" s="18">
        <f>IF(N(X1312)=0,"",IF(AND(COUNTIFS(Log!$D$6:$D$1505,D1312,Log!$B$6:$B$1505,"&lt;"&amp;B1312)&gt;0,COUNTIFS(Log!$D$6:$D$1505,D1312,Log!$B$6:$B$1505,"&lt;"&amp;B1312,Log!$X$6:$X$1505,"&gt;="&amp;X1312)=0),"New best",""))</f>
        <v/>
      </c>
      <c r="T1312" s="26" t="n"/>
      <c r="U1312" s="1">
        <f>IF(D1312="","",IFERROR(INDEX(Exercises!$C$6:$C$105,MATCH(D1312,Exercises!$B$6:$B$105,0)),"Other"))</f>
        <v/>
      </c>
      <c r="V1312">
        <f>IF(B1312="","",IF(COUNTIF($B$6:B1312,B1312)=1,1,0))</f>
        <v/>
      </c>
      <c r="W1312">
        <f>IF(B1312="","",B1312-WEEKDAY(B1312,3))</f>
        <v/>
      </c>
      <c r="X1312">
        <f>IF(D1312="","",MAX(IF(N(F1312)=0,0,IF(N(E1312)&gt;0,E1312*(1+F1312/30),F1312)),IF(N(H1312)=0,0,IF(N(G1312)&gt;0,G1312*(1+H1312/30),H1312)),IF(N(J1312)=0,0,IF(N(I1312)&gt;0,I1312*(1+J1312/30),J1312)),IF(N(L1312)=0,0,IF(N(K1312)&gt;0,K1312*(1+L1312/30),L1312)),IF(N(N1312)=0,0,IF(N(M1312)&gt;0,M1312*(1+N1312/30),N1312))))</f>
        <v/>
      </c>
      <c r="Y1312">
        <f>IF(N(X1312)=0,"",X1312+ROW()/1000000000)</f>
        <v/>
      </c>
      <c r="Z1312">
        <f>IF(Y1312="","",IF(COUNTIFS(Log!$D$6:$D$1505,D1312,Log!$Y$6:$Y$1505,"&gt;"&amp;Y1312)=0,1,0))</f>
        <v/>
      </c>
      <c r="AA1312">
        <f>IF(OR(B1312="",D1312=""),"",B1312+ROW()/10000000)</f>
        <v/>
      </c>
      <c r="AB1312">
        <f>IF(AA1312="","",IF(COUNTIFS(Log!$D$6:$D$1505,D1312,Log!$AA$6:$AA$1505,"&gt;"&amp;AA1312)=0,1,0))</f>
        <v/>
      </c>
      <c r="AC1312">
        <f>IF(S1312="New best",AA1312,"")</f>
        <v/>
      </c>
      <c r="AD1312">
        <f>ROW()</f>
        <v/>
      </c>
    </row>
    <row r="1313">
      <c r="A1313" s="1" t="n"/>
      <c r="B1313" s="21" t="n"/>
      <c r="C1313" s="22" t="n"/>
      <c r="D1313" s="23" t="n"/>
      <c r="E1313" s="24" t="n"/>
      <c r="F1313" s="24" t="n"/>
      <c r="G1313" s="24" t="n"/>
      <c r="H1313" s="24" t="n"/>
      <c r="I1313" s="24" t="n"/>
      <c r="J1313" s="24" t="n"/>
      <c r="K1313" s="24" t="n"/>
      <c r="L1313" s="24" t="n"/>
      <c r="M1313" s="24" t="n"/>
      <c r="N1313" s="24" t="n"/>
      <c r="O1313" s="15">
        <f>IF(D1313="","",COUNT(F1313,H1313,J1313,L1313,N1313))</f>
        <v/>
      </c>
      <c r="P1313" s="25">
        <f>IF(D1313="","",N(E1313)*N(F1313)+N(G1313)*N(H1313)+N(I1313)*N(J1313)+N(K1313)*N(L1313)+N(M1313)*N(N1313))</f>
        <v/>
      </c>
      <c r="Q1313" s="18">
        <f>IF(N(X1313)=0,"",IF(IF(N(F1313)=0,0,IF(N(E1313)&gt;0,E1313*(1+F1313/30),F1313))=X1313,IF(N(E1313)&gt;0,E1313&amp;" x "&amp;F1313,F1313&amp;" reps"),IF(IF(N(H1313)=0,0,IF(N(G1313)&gt;0,G1313*(1+H1313/30),H1313))=X1313,IF(N(G1313)&gt;0,G1313&amp;" x "&amp;H1313,H1313&amp;" reps"),IF(IF(N(J1313)=0,0,IF(N(I1313)&gt;0,I1313*(1+J1313/30),J1313))=X1313,IF(N(I1313)&gt;0,I1313&amp;" x "&amp;J1313,J1313&amp;" reps"),IF(IF(N(L1313)=0,0,IF(N(K1313)&gt;0,K1313*(1+L1313/30),L1313))=X1313,IF(N(K1313)&gt;0,K1313&amp;" x "&amp;L1313,L1313&amp;" reps"),IF(IF(N(N1313)=0,0,IF(N(M1313)&gt;0,M1313*(1+N1313/30),N1313))=X1313,IF(N(M1313)&gt;0,M1313&amp;" x "&amp;N1313,N1313&amp;" reps"),""))))))</f>
        <v/>
      </c>
      <c r="R1313" s="20">
        <f>IF(N(X1313)=0,"",ROUND(X1313,1))</f>
        <v/>
      </c>
      <c r="S1313" s="18">
        <f>IF(N(X1313)=0,"",IF(AND(COUNTIFS(Log!$D$6:$D$1505,D1313,Log!$B$6:$B$1505,"&lt;"&amp;B1313)&gt;0,COUNTIFS(Log!$D$6:$D$1505,D1313,Log!$B$6:$B$1505,"&lt;"&amp;B1313,Log!$X$6:$X$1505,"&gt;="&amp;X1313)=0),"New best",""))</f>
        <v/>
      </c>
      <c r="T1313" s="26" t="n"/>
      <c r="U1313" s="1">
        <f>IF(D1313="","",IFERROR(INDEX(Exercises!$C$6:$C$105,MATCH(D1313,Exercises!$B$6:$B$105,0)),"Other"))</f>
        <v/>
      </c>
      <c r="V1313">
        <f>IF(B1313="","",IF(COUNTIF($B$6:B1313,B1313)=1,1,0))</f>
        <v/>
      </c>
      <c r="W1313">
        <f>IF(B1313="","",B1313-WEEKDAY(B1313,3))</f>
        <v/>
      </c>
      <c r="X1313">
        <f>IF(D1313="","",MAX(IF(N(F1313)=0,0,IF(N(E1313)&gt;0,E1313*(1+F1313/30),F1313)),IF(N(H1313)=0,0,IF(N(G1313)&gt;0,G1313*(1+H1313/30),H1313)),IF(N(J1313)=0,0,IF(N(I1313)&gt;0,I1313*(1+J1313/30),J1313)),IF(N(L1313)=0,0,IF(N(K1313)&gt;0,K1313*(1+L1313/30),L1313)),IF(N(N1313)=0,0,IF(N(M1313)&gt;0,M1313*(1+N1313/30),N1313))))</f>
        <v/>
      </c>
      <c r="Y1313">
        <f>IF(N(X1313)=0,"",X1313+ROW()/1000000000)</f>
        <v/>
      </c>
      <c r="Z1313">
        <f>IF(Y1313="","",IF(COUNTIFS(Log!$D$6:$D$1505,D1313,Log!$Y$6:$Y$1505,"&gt;"&amp;Y1313)=0,1,0))</f>
        <v/>
      </c>
      <c r="AA1313">
        <f>IF(OR(B1313="",D1313=""),"",B1313+ROW()/10000000)</f>
        <v/>
      </c>
      <c r="AB1313">
        <f>IF(AA1313="","",IF(COUNTIFS(Log!$D$6:$D$1505,D1313,Log!$AA$6:$AA$1505,"&gt;"&amp;AA1313)=0,1,0))</f>
        <v/>
      </c>
      <c r="AC1313">
        <f>IF(S1313="New best",AA1313,"")</f>
        <v/>
      </c>
      <c r="AD1313">
        <f>ROW()</f>
        <v/>
      </c>
    </row>
    <row r="1314">
      <c r="A1314" s="1" t="n"/>
      <c r="B1314" s="21" t="n"/>
      <c r="C1314" s="22" t="n"/>
      <c r="D1314" s="23" t="n"/>
      <c r="E1314" s="24" t="n"/>
      <c r="F1314" s="24" t="n"/>
      <c r="G1314" s="24" t="n"/>
      <c r="H1314" s="24" t="n"/>
      <c r="I1314" s="24" t="n"/>
      <c r="J1314" s="24" t="n"/>
      <c r="K1314" s="24" t="n"/>
      <c r="L1314" s="24" t="n"/>
      <c r="M1314" s="24" t="n"/>
      <c r="N1314" s="24" t="n"/>
      <c r="O1314" s="15">
        <f>IF(D1314="","",COUNT(F1314,H1314,J1314,L1314,N1314))</f>
        <v/>
      </c>
      <c r="P1314" s="25">
        <f>IF(D1314="","",N(E1314)*N(F1314)+N(G1314)*N(H1314)+N(I1314)*N(J1314)+N(K1314)*N(L1314)+N(M1314)*N(N1314))</f>
        <v/>
      </c>
      <c r="Q1314" s="18">
        <f>IF(N(X1314)=0,"",IF(IF(N(F1314)=0,0,IF(N(E1314)&gt;0,E1314*(1+F1314/30),F1314))=X1314,IF(N(E1314)&gt;0,E1314&amp;" x "&amp;F1314,F1314&amp;" reps"),IF(IF(N(H1314)=0,0,IF(N(G1314)&gt;0,G1314*(1+H1314/30),H1314))=X1314,IF(N(G1314)&gt;0,G1314&amp;" x "&amp;H1314,H1314&amp;" reps"),IF(IF(N(J1314)=0,0,IF(N(I1314)&gt;0,I1314*(1+J1314/30),J1314))=X1314,IF(N(I1314)&gt;0,I1314&amp;" x "&amp;J1314,J1314&amp;" reps"),IF(IF(N(L1314)=0,0,IF(N(K1314)&gt;0,K1314*(1+L1314/30),L1314))=X1314,IF(N(K1314)&gt;0,K1314&amp;" x "&amp;L1314,L1314&amp;" reps"),IF(IF(N(N1314)=0,0,IF(N(M1314)&gt;0,M1314*(1+N1314/30),N1314))=X1314,IF(N(M1314)&gt;0,M1314&amp;" x "&amp;N1314,N1314&amp;" reps"),""))))))</f>
        <v/>
      </c>
      <c r="R1314" s="20">
        <f>IF(N(X1314)=0,"",ROUND(X1314,1))</f>
        <v/>
      </c>
      <c r="S1314" s="18">
        <f>IF(N(X1314)=0,"",IF(AND(COUNTIFS(Log!$D$6:$D$1505,D1314,Log!$B$6:$B$1505,"&lt;"&amp;B1314)&gt;0,COUNTIFS(Log!$D$6:$D$1505,D1314,Log!$B$6:$B$1505,"&lt;"&amp;B1314,Log!$X$6:$X$1505,"&gt;="&amp;X1314)=0),"New best",""))</f>
        <v/>
      </c>
      <c r="T1314" s="26" t="n"/>
      <c r="U1314" s="1">
        <f>IF(D1314="","",IFERROR(INDEX(Exercises!$C$6:$C$105,MATCH(D1314,Exercises!$B$6:$B$105,0)),"Other"))</f>
        <v/>
      </c>
      <c r="V1314">
        <f>IF(B1314="","",IF(COUNTIF($B$6:B1314,B1314)=1,1,0))</f>
        <v/>
      </c>
      <c r="W1314">
        <f>IF(B1314="","",B1314-WEEKDAY(B1314,3))</f>
        <v/>
      </c>
      <c r="X1314">
        <f>IF(D1314="","",MAX(IF(N(F1314)=0,0,IF(N(E1314)&gt;0,E1314*(1+F1314/30),F1314)),IF(N(H1314)=0,0,IF(N(G1314)&gt;0,G1314*(1+H1314/30),H1314)),IF(N(J1314)=0,0,IF(N(I1314)&gt;0,I1314*(1+J1314/30),J1314)),IF(N(L1314)=0,0,IF(N(K1314)&gt;0,K1314*(1+L1314/30),L1314)),IF(N(N1314)=0,0,IF(N(M1314)&gt;0,M1314*(1+N1314/30),N1314))))</f>
        <v/>
      </c>
      <c r="Y1314">
        <f>IF(N(X1314)=0,"",X1314+ROW()/1000000000)</f>
        <v/>
      </c>
      <c r="Z1314">
        <f>IF(Y1314="","",IF(COUNTIFS(Log!$D$6:$D$1505,D1314,Log!$Y$6:$Y$1505,"&gt;"&amp;Y1314)=0,1,0))</f>
        <v/>
      </c>
      <c r="AA1314">
        <f>IF(OR(B1314="",D1314=""),"",B1314+ROW()/10000000)</f>
        <v/>
      </c>
      <c r="AB1314">
        <f>IF(AA1314="","",IF(COUNTIFS(Log!$D$6:$D$1505,D1314,Log!$AA$6:$AA$1505,"&gt;"&amp;AA1314)=0,1,0))</f>
        <v/>
      </c>
      <c r="AC1314">
        <f>IF(S1314="New best",AA1314,"")</f>
        <v/>
      </c>
      <c r="AD1314">
        <f>ROW()</f>
        <v/>
      </c>
    </row>
    <row r="1315">
      <c r="A1315" s="1" t="n"/>
      <c r="B1315" s="21" t="n"/>
      <c r="C1315" s="22" t="n"/>
      <c r="D1315" s="23" t="n"/>
      <c r="E1315" s="24" t="n"/>
      <c r="F1315" s="24" t="n"/>
      <c r="G1315" s="24" t="n"/>
      <c r="H1315" s="24" t="n"/>
      <c r="I1315" s="24" t="n"/>
      <c r="J1315" s="24" t="n"/>
      <c r="K1315" s="24" t="n"/>
      <c r="L1315" s="24" t="n"/>
      <c r="M1315" s="24" t="n"/>
      <c r="N1315" s="24" t="n"/>
      <c r="O1315" s="15">
        <f>IF(D1315="","",COUNT(F1315,H1315,J1315,L1315,N1315))</f>
        <v/>
      </c>
      <c r="P1315" s="25">
        <f>IF(D1315="","",N(E1315)*N(F1315)+N(G1315)*N(H1315)+N(I1315)*N(J1315)+N(K1315)*N(L1315)+N(M1315)*N(N1315))</f>
        <v/>
      </c>
      <c r="Q1315" s="18">
        <f>IF(N(X1315)=0,"",IF(IF(N(F1315)=0,0,IF(N(E1315)&gt;0,E1315*(1+F1315/30),F1315))=X1315,IF(N(E1315)&gt;0,E1315&amp;" x "&amp;F1315,F1315&amp;" reps"),IF(IF(N(H1315)=0,0,IF(N(G1315)&gt;0,G1315*(1+H1315/30),H1315))=X1315,IF(N(G1315)&gt;0,G1315&amp;" x "&amp;H1315,H1315&amp;" reps"),IF(IF(N(J1315)=0,0,IF(N(I1315)&gt;0,I1315*(1+J1315/30),J1315))=X1315,IF(N(I1315)&gt;0,I1315&amp;" x "&amp;J1315,J1315&amp;" reps"),IF(IF(N(L1315)=0,0,IF(N(K1315)&gt;0,K1315*(1+L1315/30),L1315))=X1315,IF(N(K1315)&gt;0,K1315&amp;" x "&amp;L1315,L1315&amp;" reps"),IF(IF(N(N1315)=0,0,IF(N(M1315)&gt;0,M1315*(1+N1315/30),N1315))=X1315,IF(N(M1315)&gt;0,M1315&amp;" x "&amp;N1315,N1315&amp;" reps"),""))))))</f>
        <v/>
      </c>
      <c r="R1315" s="20">
        <f>IF(N(X1315)=0,"",ROUND(X1315,1))</f>
        <v/>
      </c>
      <c r="S1315" s="18">
        <f>IF(N(X1315)=0,"",IF(AND(COUNTIFS(Log!$D$6:$D$1505,D1315,Log!$B$6:$B$1505,"&lt;"&amp;B1315)&gt;0,COUNTIFS(Log!$D$6:$D$1505,D1315,Log!$B$6:$B$1505,"&lt;"&amp;B1315,Log!$X$6:$X$1505,"&gt;="&amp;X1315)=0),"New best",""))</f>
        <v/>
      </c>
      <c r="T1315" s="26" t="n"/>
      <c r="U1315" s="1">
        <f>IF(D1315="","",IFERROR(INDEX(Exercises!$C$6:$C$105,MATCH(D1315,Exercises!$B$6:$B$105,0)),"Other"))</f>
        <v/>
      </c>
      <c r="V1315">
        <f>IF(B1315="","",IF(COUNTIF($B$6:B1315,B1315)=1,1,0))</f>
        <v/>
      </c>
      <c r="W1315">
        <f>IF(B1315="","",B1315-WEEKDAY(B1315,3))</f>
        <v/>
      </c>
      <c r="X1315">
        <f>IF(D1315="","",MAX(IF(N(F1315)=0,0,IF(N(E1315)&gt;0,E1315*(1+F1315/30),F1315)),IF(N(H1315)=0,0,IF(N(G1315)&gt;0,G1315*(1+H1315/30),H1315)),IF(N(J1315)=0,0,IF(N(I1315)&gt;0,I1315*(1+J1315/30),J1315)),IF(N(L1315)=0,0,IF(N(K1315)&gt;0,K1315*(1+L1315/30),L1315)),IF(N(N1315)=0,0,IF(N(M1315)&gt;0,M1315*(1+N1315/30),N1315))))</f>
        <v/>
      </c>
      <c r="Y1315">
        <f>IF(N(X1315)=0,"",X1315+ROW()/1000000000)</f>
        <v/>
      </c>
      <c r="Z1315">
        <f>IF(Y1315="","",IF(COUNTIFS(Log!$D$6:$D$1505,D1315,Log!$Y$6:$Y$1505,"&gt;"&amp;Y1315)=0,1,0))</f>
        <v/>
      </c>
      <c r="AA1315">
        <f>IF(OR(B1315="",D1315=""),"",B1315+ROW()/10000000)</f>
        <v/>
      </c>
      <c r="AB1315">
        <f>IF(AA1315="","",IF(COUNTIFS(Log!$D$6:$D$1505,D1315,Log!$AA$6:$AA$1505,"&gt;"&amp;AA1315)=0,1,0))</f>
        <v/>
      </c>
      <c r="AC1315">
        <f>IF(S1315="New best",AA1315,"")</f>
        <v/>
      </c>
      <c r="AD1315">
        <f>ROW()</f>
        <v/>
      </c>
    </row>
    <row r="1316">
      <c r="A1316" s="1" t="n"/>
      <c r="B1316" s="21" t="n"/>
      <c r="C1316" s="22" t="n"/>
      <c r="D1316" s="23" t="n"/>
      <c r="E1316" s="24" t="n"/>
      <c r="F1316" s="24" t="n"/>
      <c r="G1316" s="24" t="n"/>
      <c r="H1316" s="24" t="n"/>
      <c r="I1316" s="24" t="n"/>
      <c r="J1316" s="24" t="n"/>
      <c r="K1316" s="24" t="n"/>
      <c r="L1316" s="24" t="n"/>
      <c r="M1316" s="24" t="n"/>
      <c r="N1316" s="24" t="n"/>
      <c r="O1316" s="15">
        <f>IF(D1316="","",COUNT(F1316,H1316,J1316,L1316,N1316))</f>
        <v/>
      </c>
      <c r="P1316" s="25">
        <f>IF(D1316="","",N(E1316)*N(F1316)+N(G1316)*N(H1316)+N(I1316)*N(J1316)+N(K1316)*N(L1316)+N(M1316)*N(N1316))</f>
        <v/>
      </c>
      <c r="Q1316" s="18">
        <f>IF(N(X1316)=0,"",IF(IF(N(F1316)=0,0,IF(N(E1316)&gt;0,E1316*(1+F1316/30),F1316))=X1316,IF(N(E1316)&gt;0,E1316&amp;" x "&amp;F1316,F1316&amp;" reps"),IF(IF(N(H1316)=0,0,IF(N(G1316)&gt;0,G1316*(1+H1316/30),H1316))=X1316,IF(N(G1316)&gt;0,G1316&amp;" x "&amp;H1316,H1316&amp;" reps"),IF(IF(N(J1316)=0,0,IF(N(I1316)&gt;0,I1316*(1+J1316/30),J1316))=X1316,IF(N(I1316)&gt;0,I1316&amp;" x "&amp;J1316,J1316&amp;" reps"),IF(IF(N(L1316)=0,0,IF(N(K1316)&gt;0,K1316*(1+L1316/30),L1316))=X1316,IF(N(K1316)&gt;0,K1316&amp;" x "&amp;L1316,L1316&amp;" reps"),IF(IF(N(N1316)=0,0,IF(N(M1316)&gt;0,M1316*(1+N1316/30),N1316))=X1316,IF(N(M1316)&gt;0,M1316&amp;" x "&amp;N1316,N1316&amp;" reps"),""))))))</f>
        <v/>
      </c>
      <c r="R1316" s="20">
        <f>IF(N(X1316)=0,"",ROUND(X1316,1))</f>
        <v/>
      </c>
      <c r="S1316" s="18">
        <f>IF(N(X1316)=0,"",IF(AND(COUNTIFS(Log!$D$6:$D$1505,D1316,Log!$B$6:$B$1505,"&lt;"&amp;B1316)&gt;0,COUNTIFS(Log!$D$6:$D$1505,D1316,Log!$B$6:$B$1505,"&lt;"&amp;B1316,Log!$X$6:$X$1505,"&gt;="&amp;X1316)=0),"New best",""))</f>
        <v/>
      </c>
      <c r="T1316" s="26" t="n"/>
      <c r="U1316" s="1">
        <f>IF(D1316="","",IFERROR(INDEX(Exercises!$C$6:$C$105,MATCH(D1316,Exercises!$B$6:$B$105,0)),"Other"))</f>
        <v/>
      </c>
      <c r="V1316">
        <f>IF(B1316="","",IF(COUNTIF($B$6:B1316,B1316)=1,1,0))</f>
        <v/>
      </c>
      <c r="W1316">
        <f>IF(B1316="","",B1316-WEEKDAY(B1316,3))</f>
        <v/>
      </c>
      <c r="X1316">
        <f>IF(D1316="","",MAX(IF(N(F1316)=0,0,IF(N(E1316)&gt;0,E1316*(1+F1316/30),F1316)),IF(N(H1316)=0,0,IF(N(G1316)&gt;0,G1316*(1+H1316/30),H1316)),IF(N(J1316)=0,0,IF(N(I1316)&gt;0,I1316*(1+J1316/30),J1316)),IF(N(L1316)=0,0,IF(N(K1316)&gt;0,K1316*(1+L1316/30),L1316)),IF(N(N1316)=0,0,IF(N(M1316)&gt;0,M1316*(1+N1316/30),N1316))))</f>
        <v/>
      </c>
      <c r="Y1316">
        <f>IF(N(X1316)=0,"",X1316+ROW()/1000000000)</f>
        <v/>
      </c>
      <c r="Z1316">
        <f>IF(Y1316="","",IF(COUNTIFS(Log!$D$6:$D$1505,D1316,Log!$Y$6:$Y$1505,"&gt;"&amp;Y1316)=0,1,0))</f>
        <v/>
      </c>
      <c r="AA1316">
        <f>IF(OR(B1316="",D1316=""),"",B1316+ROW()/10000000)</f>
        <v/>
      </c>
      <c r="AB1316">
        <f>IF(AA1316="","",IF(COUNTIFS(Log!$D$6:$D$1505,D1316,Log!$AA$6:$AA$1505,"&gt;"&amp;AA1316)=0,1,0))</f>
        <v/>
      </c>
      <c r="AC1316">
        <f>IF(S1316="New best",AA1316,"")</f>
        <v/>
      </c>
      <c r="AD1316">
        <f>ROW()</f>
        <v/>
      </c>
    </row>
    <row r="1317">
      <c r="A1317" s="1" t="n"/>
      <c r="B1317" s="21" t="n"/>
      <c r="C1317" s="22" t="n"/>
      <c r="D1317" s="23" t="n"/>
      <c r="E1317" s="24" t="n"/>
      <c r="F1317" s="24" t="n"/>
      <c r="G1317" s="24" t="n"/>
      <c r="H1317" s="24" t="n"/>
      <c r="I1317" s="24" t="n"/>
      <c r="J1317" s="24" t="n"/>
      <c r="K1317" s="24" t="n"/>
      <c r="L1317" s="24" t="n"/>
      <c r="M1317" s="24" t="n"/>
      <c r="N1317" s="24" t="n"/>
      <c r="O1317" s="15">
        <f>IF(D1317="","",COUNT(F1317,H1317,J1317,L1317,N1317))</f>
        <v/>
      </c>
      <c r="P1317" s="25">
        <f>IF(D1317="","",N(E1317)*N(F1317)+N(G1317)*N(H1317)+N(I1317)*N(J1317)+N(K1317)*N(L1317)+N(M1317)*N(N1317))</f>
        <v/>
      </c>
      <c r="Q1317" s="18">
        <f>IF(N(X1317)=0,"",IF(IF(N(F1317)=0,0,IF(N(E1317)&gt;0,E1317*(1+F1317/30),F1317))=X1317,IF(N(E1317)&gt;0,E1317&amp;" x "&amp;F1317,F1317&amp;" reps"),IF(IF(N(H1317)=0,0,IF(N(G1317)&gt;0,G1317*(1+H1317/30),H1317))=X1317,IF(N(G1317)&gt;0,G1317&amp;" x "&amp;H1317,H1317&amp;" reps"),IF(IF(N(J1317)=0,0,IF(N(I1317)&gt;0,I1317*(1+J1317/30),J1317))=X1317,IF(N(I1317)&gt;0,I1317&amp;" x "&amp;J1317,J1317&amp;" reps"),IF(IF(N(L1317)=0,0,IF(N(K1317)&gt;0,K1317*(1+L1317/30),L1317))=X1317,IF(N(K1317)&gt;0,K1317&amp;" x "&amp;L1317,L1317&amp;" reps"),IF(IF(N(N1317)=0,0,IF(N(M1317)&gt;0,M1317*(1+N1317/30),N1317))=X1317,IF(N(M1317)&gt;0,M1317&amp;" x "&amp;N1317,N1317&amp;" reps"),""))))))</f>
        <v/>
      </c>
      <c r="R1317" s="20">
        <f>IF(N(X1317)=0,"",ROUND(X1317,1))</f>
        <v/>
      </c>
      <c r="S1317" s="18">
        <f>IF(N(X1317)=0,"",IF(AND(COUNTIFS(Log!$D$6:$D$1505,D1317,Log!$B$6:$B$1505,"&lt;"&amp;B1317)&gt;0,COUNTIFS(Log!$D$6:$D$1505,D1317,Log!$B$6:$B$1505,"&lt;"&amp;B1317,Log!$X$6:$X$1505,"&gt;="&amp;X1317)=0),"New best",""))</f>
        <v/>
      </c>
      <c r="T1317" s="26" t="n"/>
      <c r="U1317" s="1">
        <f>IF(D1317="","",IFERROR(INDEX(Exercises!$C$6:$C$105,MATCH(D1317,Exercises!$B$6:$B$105,0)),"Other"))</f>
        <v/>
      </c>
      <c r="V1317">
        <f>IF(B1317="","",IF(COUNTIF($B$6:B1317,B1317)=1,1,0))</f>
        <v/>
      </c>
      <c r="W1317">
        <f>IF(B1317="","",B1317-WEEKDAY(B1317,3))</f>
        <v/>
      </c>
      <c r="X1317">
        <f>IF(D1317="","",MAX(IF(N(F1317)=0,0,IF(N(E1317)&gt;0,E1317*(1+F1317/30),F1317)),IF(N(H1317)=0,0,IF(N(G1317)&gt;0,G1317*(1+H1317/30),H1317)),IF(N(J1317)=0,0,IF(N(I1317)&gt;0,I1317*(1+J1317/30),J1317)),IF(N(L1317)=0,0,IF(N(K1317)&gt;0,K1317*(1+L1317/30),L1317)),IF(N(N1317)=0,0,IF(N(M1317)&gt;0,M1317*(1+N1317/30),N1317))))</f>
        <v/>
      </c>
      <c r="Y1317">
        <f>IF(N(X1317)=0,"",X1317+ROW()/1000000000)</f>
        <v/>
      </c>
      <c r="Z1317">
        <f>IF(Y1317="","",IF(COUNTIFS(Log!$D$6:$D$1505,D1317,Log!$Y$6:$Y$1505,"&gt;"&amp;Y1317)=0,1,0))</f>
        <v/>
      </c>
      <c r="AA1317">
        <f>IF(OR(B1317="",D1317=""),"",B1317+ROW()/10000000)</f>
        <v/>
      </c>
      <c r="AB1317">
        <f>IF(AA1317="","",IF(COUNTIFS(Log!$D$6:$D$1505,D1317,Log!$AA$6:$AA$1505,"&gt;"&amp;AA1317)=0,1,0))</f>
        <v/>
      </c>
      <c r="AC1317">
        <f>IF(S1317="New best",AA1317,"")</f>
        <v/>
      </c>
      <c r="AD1317">
        <f>ROW()</f>
        <v/>
      </c>
    </row>
    <row r="1318">
      <c r="A1318" s="1" t="n"/>
      <c r="B1318" s="21" t="n"/>
      <c r="C1318" s="22" t="n"/>
      <c r="D1318" s="23" t="n"/>
      <c r="E1318" s="24" t="n"/>
      <c r="F1318" s="24" t="n"/>
      <c r="G1318" s="24" t="n"/>
      <c r="H1318" s="24" t="n"/>
      <c r="I1318" s="24" t="n"/>
      <c r="J1318" s="24" t="n"/>
      <c r="K1318" s="24" t="n"/>
      <c r="L1318" s="24" t="n"/>
      <c r="M1318" s="24" t="n"/>
      <c r="N1318" s="24" t="n"/>
      <c r="O1318" s="15">
        <f>IF(D1318="","",COUNT(F1318,H1318,J1318,L1318,N1318))</f>
        <v/>
      </c>
      <c r="P1318" s="25">
        <f>IF(D1318="","",N(E1318)*N(F1318)+N(G1318)*N(H1318)+N(I1318)*N(J1318)+N(K1318)*N(L1318)+N(M1318)*N(N1318))</f>
        <v/>
      </c>
      <c r="Q1318" s="18">
        <f>IF(N(X1318)=0,"",IF(IF(N(F1318)=0,0,IF(N(E1318)&gt;0,E1318*(1+F1318/30),F1318))=X1318,IF(N(E1318)&gt;0,E1318&amp;" x "&amp;F1318,F1318&amp;" reps"),IF(IF(N(H1318)=0,0,IF(N(G1318)&gt;0,G1318*(1+H1318/30),H1318))=X1318,IF(N(G1318)&gt;0,G1318&amp;" x "&amp;H1318,H1318&amp;" reps"),IF(IF(N(J1318)=0,0,IF(N(I1318)&gt;0,I1318*(1+J1318/30),J1318))=X1318,IF(N(I1318)&gt;0,I1318&amp;" x "&amp;J1318,J1318&amp;" reps"),IF(IF(N(L1318)=0,0,IF(N(K1318)&gt;0,K1318*(1+L1318/30),L1318))=X1318,IF(N(K1318)&gt;0,K1318&amp;" x "&amp;L1318,L1318&amp;" reps"),IF(IF(N(N1318)=0,0,IF(N(M1318)&gt;0,M1318*(1+N1318/30),N1318))=X1318,IF(N(M1318)&gt;0,M1318&amp;" x "&amp;N1318,N1318&amp;" reps"),""))))))</f>
        <v/>
      </c>
      <c r="R1318" s="20">
        <f>IF(N(X1318)=0,"",ROUND(X1318,1))</f>
        <v/>
      </c>
      <c r="S1318" s="18">
        <f>IF(N(X1318)=0,"",IF(AND(COUNTIFS(Log!$D$6:$D$1505,D1318,Log!$B$6:$B$1505,"&lt;"&amp;B1318)&gt;0,COUNTIFS(Log!$D$6:$D$1505,D1318,Log!$B$6:$B$1505,"&lt;"&amp;B1318,Log!$X$6:$X$1505,"&gt;="&amp;X1318)=0),"New best",""))</f>
        <v/>
      </c>
      <c r="T1318" s="26" t="n"/>
      <c r="U1318" s="1">
        <f>IF(D1318="","",IFERROR(INDEX(Exercises!$C$6:$C$105,MATCH(D1318,Exercises!$B$6:$B$105,0)),"Other"))</f>
        <v/>
      </c>
      <c r="V1318">
        <f>IF(B1318="","",IF(COUNTIF($B$6:B1318,B1318)=1,1,0))</f>
        <v/>
      </c>
      <c r="W1318">
        <f>IF(B1318="","",B1318-WEEKDAY(B1318,3))</f>
        <v/>
      </c>
      <c r="X1318">
        <f>IF(D1318="","",MAX(IF(N(F1318)=0,0,IF(N(E1318)&gt;0,E1318*(1+F1318/30),F1318)),IF(N(H1318)=0,0,IF(N(G1318)&gt;0,G1318*(1+H1318/30),H1318)),IF(N(J1318)=0,0,IF(N(I1318)&gt;0,I1318*(1+J1318/30),J1318)),IF(N(L1318)=0,0,IF(N(K1318)&gt;0,K1318*(1+L1318/30),L1318)),IF(N(N1318)=0,0,IF(N(M1318)&gt;0,M1318*(1+N1318/30),N1318))))</f>
        <v/>
      </c>
      <c r="Y1318">
        <f>IF(N(X1318)=0,"",X1318+ROW()/1000000000)</f>
        <v/>
      </c>
      <c r="Z1318">
        <f>IF(Y1318="","",IF(COUNTIFS(Log!$D$6:$D$1505,D1318,Log!$Y$6:$Y$1505,"&gt;"&amp;Y1318)=0,1,0))</f>
        <v/>
      </c>
      <c r="AA1318">
        <f>IF(OR(B1318="",D1318=""),"",B1318+ROW()/10000000)</f>
        <v/>
      </c>
      <c r="AB1318">
        <f>IF(AA1318="","",IF(COUNTIFS(Log!$D$6:$D$1505,D1318,Log!$AA$6:$AA$1505,"&gt;"&amp;AA1318)=0,1,0))</f>
        <v/>
      </c>
      <c r="AC1318">
        <f>IF(S1318="New best",AA1318,"")</f>
        <v/>
      </c>
      <c r="AD1318">
        <f>ROW()</f>
        <v/>
      </c>
    </row>
    <row r="1319">
      <c r="A1319" s="1" t="n"/>
      <c r="B1319" s="21" t="n"/>
      <c r="C1319" s="22" t="n"/>
      <c r="D1319" s="23" t="n"/>
      <c r="E1319" s="24" t="n"/>
      <c r="F1319" s="24" t="n"/>
      <c r="G1319" s="24" t="n"/>
      <c r="H1319" s="24" t="n"/>
      <c r="I1319" s="24" t="n"/>
      <c r="J1319" s="24" t="n"/>
      <c r="K1319" s="24" t="n"/>
      <c r="L1319" s="24" t="n"/>
      <c r="M1319" s="24" t="n"/>
      <c r="N1319" s="24" t="n"/>
      <c r="O1319" s="15">
        <f>IF(D1319="","",COUNT(F1319,H1319,J1319,L1319,N1319))</f>
        <v/>
      </c>
      <c r="P1319" s="25">
        <f>IF(D1319="","",N(E1319)*N(F1319)+N(G1319)*N(H1319)+N(I1319)*N(J1319)+N(K1319)*N(L1319)+N(M1319)*N(N1319))</f>
        <v/>
      </c>
      <c r="Q1319" s="18">
        <f>IF(N(X1319)=0,"",IF(IF(N(F1319)=0,0,IF(N(E1319)&gt;0,E1319*(1+F1319/30),F1319))=X1319,IF(N(E1319)&gt;0,E1319&amp;" x "&amp;F1319,F1319&amp;" reps"),IF(IF(N(H1319)=0,0,IF(N(G1319)&gt;0,G1319*(1+H1319/30),H1319))=X1319,IF(N(G1319)&gt;0,G1319&amp;" x "&amp;H1319,H1319&amp;" reps"),IF(IF(N(J1319)=0,0,IF(N(I1319)&gt;0,I1319*(1+J1319/30),J1319))=X1319,IF(N(I1319)&gt;0,I1319&amp;" x "&amp;J1319,J1319&amp;" reps"),IF(IF(N(L1319)=0,0,IF(N(K1319)&gt;0,K1319*(1+L1319/30),L1319))=X1319,IF(N(K1319)&gt;0,K1319&amp;" x "&amp;L1319,L1319&amp;" reps"),IF(IF(N(N1319)=0,0,IF(N(M1319)&gt;0,M1319*(1+N1319/30),N1319))=X1319,IF(N(M1319)&gt;0,M1319&amp;" x "&amp;N1319,N1319&amp;" reps"),""))))))</f>
        <v/>
      </c>
      <c r="R1319" s="20">
        <f>IF(N(X1319)=0,"",ROUND(X1319,1))</f>
        <v/>
      </c>
      <c r="S1319" s="18">
        <f>IF(N(X1319)=0,"",IF(AND(COUNTIFS(Log!$D$6:$D$1505,D1319,Log!$B$6:$B$1505,"&lt;"&amp;B1319)&gt;0,COUNTIFS(Log!$D$6:$D$1505,D1319,Log!$B$6:$B$1505,"&lt;"&amp;B1319,Log!$X$6:$X$1505,"&gt;="&amp;X1319)=0),"New best",""))</f>
        <v/>
      </c>
      <c r="T1319" s="26" t="n"/>
      <c r="U1319" s="1">
        <f>IF(D1319="","",IFERROR(INDEX(Exercises!$C$6:$C$105,MATCH(D1319,Exercises!$B$6:$B$105,0)),"Other"))</f>
        <v/>
      </c>
      <c r="V1319">
        <f>IF(B1319="","",IF(COUNTIF($B$6:B1319,B1319)=1,1,0))</f>
        <v/>
      </c>
      <c r="W1319">
        <f>IF(B1319="","",B1319-WEEKDAY(B1319,3))</f>
        <v/>
      </c>
      <c r="X1319">
        <f>IF(D1319="","",MAX(IF(N(F1319)=0,0,IF(N(E1319)&gt;0,E1319*(1+F1319/30),F1319)),IF(N(H1319)=0,0,IF(N(G1319)&gt;0,G1319*(1+H1319/30),H1319)),IF(N(J1319)=0,0,IF(N(I1319)&gt;0,I1319*(1+J1319/30),J1319)),IF(N(L1319)=0,0,IF(N(K1319)&gt;0,K1319*(1+L1319/30),L1319)),IF(N(N1319)=0,0,IF(N(M1319)&gt;0,M1319*(1+N1319/30),N1319))))</f>
        <v/>
      </c>
      <c r="Y1319">
        <f>IF(N(X1319)=0,"",X1319+ROW()/1000000000)</f>
        <v/>
      </c>
      <c r="Z1319">
        <f>IF(Y1319="","",IF(COUNTIFS(Log!$D$6:$D$1505,D1319,Log!$Y$6:$Y$1505,"&gt;"&amp;Y1319)=0,1,0))</f>
        <v/>
      </c>
      <c r="AA1319">
        <f>IF(OR(B1319="",D1319=""),"",B1319+ROW()/10000000)</f>
        <v/>
      </c>
      <c r="AB1319">
        <f>IF(AA1319="","",IF(COUNTIFS(Log!$D$6:$D$1505,D1319,Log!$AA$6:$AA$1505,"&gt;"&amp;AA1319)=0,1,0))</f>
        <v/>
      </c>
      <c r="AC1319">
        <f>IF(S1319="New best",AA1319,"")</f>
        <v/>
      </c>
      <c r="AD1319">
        <f>ROW()</f>
        <v/>
      </c>
    </row>
    <row r="1320">
      <c r="A1320" s="1" t="n"/>
      <c r="B1320" s="21" t="n"/>
      <c r="C1320" s="22" t="n"/>
      <c r="D1320" s="23" t="n"/>
      <c r="E1320" s="24" t="n"/>
      <c r="F1320" s="24" t="n"/>
      <c r="G1320" s="24" t="n"/>
      <c r="H1320" s="24" t="n"/>
      <c r="I1320" s="24" t="n"/>
      <c r="J1320" s="24" t="n"/>
      <c r="K1320" s="24" t="n"/>
      <c r="L1320" s="24" t="n"/>
      <c r="M1320" s="24" t="n"/>
      <c r="N1320" s="24" t="n"/>
      <c r="O1320" s="15">
        <f>IF(D1320="","",COUNT(F1320,H1320,J1320,L1320,N1320))</f>
        <v/>
      </c>
      <c r="P1320" s="25">
        <f>IF(D1320="","",N(E1320)*N(F1320)+N(G1320)*N(H1320)+N(I1320)*N(J1320)+N(K1320)*N(L1320)+N(M1320)*N(N1320))</f>
        <v/>
      </c>
      <c r="Q1320" s="18">
        <f>IF(N(X1320)=0,"",IF(IF(N(F1320)=0,0,IF(N(E1320)&gt;0,E1320*(1+F1320/30),F1320))=X1320,IF(N(E1320)&gt;0,E1320&amp;" x "&amp;F1320,F1320&amp;" reps"),IF(IF(N(H1320)=0,0,IF(N(G1320)&gt;0,G1320*(1+H1320/30),H1320))=X1320,IF(N(G1320)&gt;0,G1320&amp;" x "&amp;H1320,H1320&amp;" reps"),IF(IF(N(J1320)=0,0,IF(N(I1320)&gt;0,I1320*(1+J1320/30),J1320))=X1320,IF(N(I1320)&gt;0,I1320&amp;" x "&amp;J1320,J1320&amp;" reps"),IF(IF(N(L1320)=0,0,IF(N(K1320)&gt;0,K1320*(1+L1320/30),L1320))=X1320,IF(N(K1320)&gt;0,K1320&amp;" x "&amp;L1320,L1320&amp;" reps"),IF(IF(N(N1320)=0,0,IF(N(M1320)&gt;0,M1320*(1+N1320/30),N1320))=X1320,IF(N(M1320)&gt;0,M1320&amp;" x "&amp;N1320,N1320&amp;" reps"),""))))))</f>
        <v/>
      </c>
      <c r="R1320" s="20">
        <f>IF(N(X1320)=0,"",ROUND(X1320,1))</f>
        <v/>
      </c>
      <c r="S1320" s="18">
        <f>IF(N(X1320)=0,"",IF(AND(COUNTIFS(Log!$D$6:$D$1505,D1320,Log!$B$6:$B$1505,"&lt;"&amp;B1320)&gt;0,COUNTIFS(Log!$D$6:$D$1505,D1320,Log!$B$6:$B$1505,"&lt;"&amp;B1320,Log!$X$6:$X$1505,"&gt;="&amp;X1320)=0),"New best",""))</f>
        <v/>
      </c>
      <c r="T1320" s="26" t="n"/>
      <c r="U1320" s="1">
        <f>IF(D1320="","",IFERROR(INDEX(Exercises!$C$6:$C$105,MATCH(D1320,Exercises!$B$6:$B$105,0)),"Other"))</f>
        <v/>
      </c>
      <c r="V1320">
        <f>IF(B1320="","",IF(COUNTIF($B$6:B1320,B1320)=1,1,0))</f>
        <v/>
      </c>
      <c r="W1320">
        <f>IF(B1320="","",B1320-WEEKDAY(B1320,3))</f>
        <v/>
      </c>
      <c r="X1320">
        <f>IF(D1320="","",MAX(IF(N(F1320)=0,0,IF(N(E1320)&gt;0,E1320*(1+F1320/30),F1320)),IF(N(H1320)=0,0,IF(N(G1320)&gt;0,G1320*(1+H1320/30),H1320)),IF(N(J1320)=0,0,IF(N(I1320)&gt;0,I1320*(1+J1320/30),J1320)),IF(N(L1320)=0,0,IF(N(K1320)&gt;0,K1320*(1+L1320/30),L1320)),IF(N(N1320)=0,0,IF(N(M1320)&gt;0,M1320*(1+N1320/30),N1320))))</f>
        <v/>
      </c>
      <c r="Y1320">
        <f>IF(N(X1320)=0,"",X1320+ROW()/1000000000)</f>
        <v/>
      </c>
      <c r="Z1320">
        <f>IF(Y1320="","",IF(COUNTIFS(Log!$D$6:$D$1505,D1320,Log!$Y$6:$Y$1505,"&gt;"&amp;Y1320)=0,1,0))</f>
        <v/>
      </c>
      <c r="AA1320">
        <f>IF(OR(B1320="",D1320=""),"",B1320+ROW()/10000000)</f>
        <v/>
      </c>
      <c r="AB1320">
        <f>IF(AA1320="","",IF(COUNTIFS(Log!$D$6:$D$1505,D1320,Log!$AA$6:$AA$1505,"&gt;"&amp;AA1320)=0,1,0))</f>
        <v/>
      </c>
      <c r="AC1320">
        <f>IF(S1320="New best",AA1320,"")</f>
        <v/>
      </c>
      <c r="AD1320">
        <f>ROW()</f>
        <v/>
      </c>
    </row>
    <row r="1321">
      <c r="A1321" s="1" t="n"/>
      <c r="B1321" s="21" t="n"/>
      <c r="C1321" s="22" t="n"/>
      <c r="D1321" s="23" t="n"/>
      <c r="E1321" s="24" t="n"/>
      <c r="F1321" s="24" t="n"/>
      <c r="G1321" s="24" t="n"/>
      <c r="H1321" s="24" t="n"/>
      <c r="I1321" s="24" t="n"/>
      <c r="J1321" s="24" t="n"/>
      <c r="K1321" s="24" t="n"/>
      <c r="L1321" s="24" t="n"/>
      <c r="M1321" s="24" t="n"/>
      <c r="N1321" s="24" t="n"/>
      <c r="O1321" s="15">
        <f>IF(D1321="","",COUNT(F1321,H1321,J1321,L1321,N1321))</f>
        <v/>
      </c>
      <c r="P1321" s="25">
        <f>IF(D1321="","",N(E1321)*N(F1321)+N(G1321)*N(H1321)+N(I1321)*N(J1321)+N(K1321)*N(L1321)+N(M1321)*N(N1321))</f>
        <v/>
      </c>
      <c r="Q1321" s="18">
        <f>IF(N(X1321)=0,"",IF(IF(N(F1321)=0,0,IF(N(E1321)&gt;0,E1321*(1+F1321/30),F1321))=X1321,IF(N(E1321)&gt;0,E1321&amp;" x "&amp;F1321,F1321&amp;" reps"),IF(IF(N(H1321)=0,0,IF(N(G1321)&gt;0,G1321*(1+H1321/30),H1321))=X1321,IF(N(G1321)&gt;0,G1321&amp;" x "&amp;H1321,H1321&amp;" reps"),IF(IF(N(J1321)=0,0,IF(N(I1321)&gt;0,I1321*(1+J1321/30),J1321))=X1321,IF(N(I1321)&gt;0,I1321&amp;" x "&amp;J1321,J1321&amp;" reps"),IF(IF(N(L1321)=0,0,IF(N(K1321)&gt;0,K1321*(1+L1321/30),L1321))=X1321,IF(N(K1321)&gt;0,K1321&amp;" x "&amp;L1321,L1321&amp;" reps"),IF(IF(N(N1321)=0,0,IF(N(M1321)&gt;0,M1321*(1+N1321/30),N1321))=X1321,IF(N(M1321)&gt;0,M1321&amp;" x "&amp;N1321,N1321&amp;" reps"),""))))))</f>
        <v/>
      </c>
      <c r="R1321" s="20">
        <f>IF(N(X1321)=0,"",ROUND(X1321,1))</f>
        <v/>
      </c>
      <c r="S1321" s="18">
        <f>IF(N(X1321)=0,"",IF(AND(COUNTIFS(Log!$D$6:$D$1505,D1321,Log!$B$6:$B$1505,"&lt;"&amp;B1321)&gt;0,COUNTIFS(Log!$D$6:$D$1505,D1321,Log!$B$6:$B$1505,"&lt;"&amp;B1321,Log!$X$6:$X$1505,"&gt;="&amp;X1321)=0),"New best",""))</f>
        <v/>
      </c>
      <c r="T1321" s="26" t="n"/>
      <c r="U1321" s="1">
        <f>IF(D1321="","",IFERROR(INDEX(Exercises!$C$6:$C$105,MATCH(D1321,Exercises!$B$6:$B$105,0)),"Other"))</f>
        <v/>
      </c>
      <c r="V1321">
        <f>IF(B1321="","",IF(COUNTIF($B$6:B1321,B1321)=1,1,0))</f>
        <v/>
      </c>
      <c r="W1321">
        <f>IF(B1321="","",B1321-WEEKDAY(B1321,3))</f>
        <v/>
      </c>
      <c r="X1321">
        <f>IF(D1321="","",MAX(IF(N(F1321)=0,0,IF(N(E1321)&gt;0,E1321*(1+F1321/30),F1321)),IF(N(H1321)=0,0,IF(N(G1321)&gt;0,G1321*(1+H1321/30),H1321)),IF(N(J1321)=0,0,IF(N(I1321)&gt;0,I1321*(1+J1321/30),J1321)),IF(N(L1321)=0,0,IF(N(K1321)&gt;0,K1321*(1+L1321/30),L1321)),IF(N(N1321)=0,0,IF(N(M1321)&gt;0,M1321*(1+N1321/30),N1321))))</f>
        <v/>
      </c>
      <c r="Y1321">
        <f>IF(N(X1321)=0,"",X1321+ROW()/1000000000)</f>
        <v/>
      </c>
      <c r="Z1321">
        <f>IF(Y1321="","",IF(COUNTIFS(Log!$D$6:$D$1505,D1321,Log!$Y$6:$Y$1505,"&gt;"&amp;Y1321)=0,1,0))</f>
        <v/>
      </c>
      <c r="AA1321">
        <f>IF(OR(B1321="",D1321=""),"",B1321+ROW()/10000000)</f>
        <v/>
      </c>
      <c r="AB1321">
        <f>IF(AA1321="","",IF(COUNTIFS(Log!$D$6:$D$1505,D1321,Log!$AA$6:$AA$1505,"&gt;"&amp;AA1321)=0,1,0))</f>
        <v/>
      </c>
      <c r="AC1321">
        <f>IF(S1321="New best",AA1321,"")</f>
        <v/>
      </c>
      <c r="AD1321">
        <f>ROW()</f>
        <v/>
      </c>
    </row>
    <row r="1322">
      <c r="A1322" s="1" t="n"/>
      <c r="B1322" s="21" t="n"/>
      <c r="C1322" s="22" t="n"/>
      <c r="D1322" s="23" t="n"/>
      <c r="E1322" s="24" t="n"/>
      <c r="F1322" s="24" t="n"/>
      <c r="G1322" s="24" t="n"/>
      <c r="H1322" s="24" t="n"/>
      <c r="I1322" s="24" t="n"/>
      <c r="J1322" s="24" t="n"/>
      <c r="K1322" s="24" t="n"/>
      <c r="L1322" s="24" t="n"/>
      <c r="M1322" s="24" t="n"/>
      <c r="N1322" s="24" t="n"/>
      <c r="O1322" s="15">
        <f>IF(D1322="","",COUNT(F1322,H1322,J1322,L1322,N1322))</f>
        <v/>
      </c>
      <c r="P1322" s="25">
        <f>IF(D1322="","",N(E1322)*N(F1322)+N(G1322)*N(H1322)+N(I1322)*N(J1322)+N(K1322)*N(L1322)+N(M1322)*N(N1322))</f>
        <v/>
      </c>
      <c r="Q1322" s="18">
        <f>IF(N(X1322)=0,"",IF(IF(N(F1322)=0,0,IF(N(E1322)&gt;0,E1322*(1+F1322/30),F1322))=X1322,IF(N(E1322)&gt;0,E1322&amp;" x "&amp;F1322,F1322&amp;" reps"),IF(IF(N(H1322)=0,0,IF(N(G1322)&gt;0,G1322*(1+H1322/30),H1322))=X1322,IF(N(G1322)&gt;0,G1322&amp;" x "&amp;H1322,H1322&amp;" reps"),IF(IF(N(J1322)=0,0,IF(N(I1322)&gt;0,I1322*(1+J1322/30),J1322))=X1322,IF(N(I1322)&gt;0,I1322&amp;" x "&amp;J1322,J1322&amp;" reps"),IF(IF(N(L1322)=0,0,IF(N(K1322)&gt;0,K1322*(1+L1322/30),L1322))=X1322,IF(N(K1322)&gt;0,K1322&amp;" x "&amp;L1322,L1322&amp;" reps"),IF(IF(N(N1322)=0,0,IF(N(M1322)&gt;0,M1322*(1+N1322/30),N1322))=X1322,IF(N(M1322)&gt;0,M1322&amp;" x "&amp;N1322,N1322&amp;" reps"),""))))))</f>
        <v/>
      </c>
      <c r="R1322" s="20">
        <f>IF(N(X1322)=0,"",ROUND(X1322,1))</f>
        <v/>
      </c>
      <c r="S1322" s="18">
        <f>IF(N(X1322)=0,"",IF(AND(COUNTIFS(Log!$D$6:$D$1505,D1322,Log!$B$6:$B$1505,"&lt;"&amp;B1322)&gt;0,COUNTIFS(Log!$D$6:$D$1505,D1322,Log!$B$6:$B$1505,"&lt;"&amp;B1322,Log!$X$6:$X$1505,"&gt;="&amp;X1322)=0),"New best",""))</f>
        <v/>
      </c>
      <c r="T1322" s="26" t="n"/>
      <c r="U1322" s="1">
        <f>IF(D1322="","",IFERROR(INDEX(Exercises!$C$6:$C$105,MATCH(D1322,Exercises!$B$6:$B$105,0)),"Other"))</f>
        <v/>
      </c>
      <c r="V1322">
        <f>IF(B1322="","",IF(COUNTIF($B$6:B1322,B1322)=1,1,0))</f>
        <v/>
      </c>
      <c r="W1322">
        <f>IF(B1322="","",B1322-WEEKDAY(B1322,3))</f>
        <v/>
      </c>
      <c r="X1322">
        <f>IF(D1322="","",MAX(IF(N(F1322)=0,0,IF(N(E1322)&gt;0,E1322*(1+F1322/30),F1322)),IF(N(H1322)=0,0,IF(N(G1322)&gt;0,G1322*(1+H1322/30),H1322)),IF(N(J1322)=0,0,IF(N(I1322)&gt;0,I1322*(1+J1322/30),J1322)),IF(N(L1322)=0,0,IF(N(K1322)&gt;0,K1322*(1+L1322/30),L1322)),IF(N(N1322)=0,0,IF(N(M1322)&gt;0,M1322*(1+N1322/30),N1322))))</f>
        <v/>
      </c>
      <c r="Y1322">
        <f>IF(N(X1322)=0,"",X1322+ROW()/1000000000)</f>
        <v/>
      </c>
      <c r="Z1322">
        <f>IF(Y1322="","",IF(COUNTIFS(Log!$D$6:$D$1505,D1322,Log!$Y$6:$Y$1505,"&gt;"&amp;Y1322)=0,1,0))</f>
        <v/>
      </c>
      <c r="AA1322">
        <f>IF(OR(B1322="",D1322=""),"",B1322+ROW()/10000000)</f>
        <v/>
      </c>
      <c r="AB1322">
        <f>IF(AA1322="","",IF(COUNTIFS(Log!$D$6:$D$1505,D1322,Log!$AA$6:$AA$1505,"&gt;"&amp;AA1322)=0,1,0))</f>
        <v/>
      </c>
      <c r="AC1322">
        <f>IF(S1322="New best",AA1322,"")</f>
        <v/>
      </c>
      <c r="AD1322">
        <f>ROW()</f>
        <v/>
      </c>
    </row>
    <row r="1323">
      <c r="A1323" s="1" t="n"/>
      <c r="B1323" s="21" t="n"/>
      <c r="C1323" s="22" t="n"/>
      <c r="D1323" s="23" t="n"/>
      <c r="E1323" s="24" t="n"/>
      <c r="F1323" s="24" t="n"/>
      <c r="G1323" s="24" t="n"/>
      <c r="H1323" s="24" t="n"/>
      <c r="I1323" s="24" t="n"/>
      <c r="J1323" s="24" t="n"/>
      <c r="K1323" s="24" t="n"/>
      <c r="L1323" s="24" t="n"/>
      <c r="M1323" s="24" t="n"/>
      <c r="N1323" s="24" t="n"/>
      <c r="O1323" s="15">
        <f>IF(D1323="","",COUNT(F1323,H1323,J1323,L1323,N1323))</f>
        <v/>
      </c>
      <c r="P1323" s="25">
        <f>IF(D1323="","",N(E1323)*N(F1323)+N(G1323)*N(H1323)+N(I1323)*N(J1323)+N(K1323)*N(L1323)+N(M1323)*N(N1323))</f>
        <v/>
      </c>
      <c r="Q1323" s="18">
        <f>IF(N(X1323)=0,"",IF(IF(N(F1323)=0,0,IF(N(E1323)&gt;0,E1323*(1+F1323/30),F1323))=X1323,IF(N(E1323)&gt;0,E1323&amp;" x "&amp;F1323,F1323&amp;" reps"),IF(IF(N(H1323)=0,0,IF(N(G1323)&gt;0,G1323*(1+H1323/30),H1323))=X1323,IF(N(G1323)&gt;0,G1323&amp;" x "&amp;H1323,H1323&amp;" reps"),IF(IF(N(J1323)=0,0,IF(N(I1323)&gt;0,I1323*(1+J1323/30),J1323))=X1323,IF(N(I1323)&gt;0,I1323&amp;" x "&amp;J1323,J1323&amp;" reps"),IF(IF(N(L1323)=0,0,IF(N(K1323)&gt;0,K1323*(1+L1323/30),L1323))=X1323,IF(N(K1323)&gt;0,K1323&amp;" x "&amp;L1323,L1323&amp;" reps"),IF(IF(N(N1323)=0,0,IF(N(M1323)&gt;0,M1323*(1+N1323/30),N1323))=X1323,IF(N(M1323)&gt;0,M1323&amp;" x "&amp;N1323,N1323&amp;" reps"),""))))))</f>
        <v/>
      </c>
      <c r="R1323" s="20">
        <f>IF(N(X1323)=0,"",ROUND(X1323,1))</f>
        <v/>
      </c>
      <c r="S1323" s="18">
        <f>IF(N(X1323)=0,"",IF(AND(COUNTIFS(Log!$D$6:$D$1505,D1323,Log!$B$6:$B$1505,"&lt;"&amp;B1323)&gt;0,COUNTIFS(Log!$D$6:$D$1505,D1323,Log!$B$6:$B$1505,"&lt;"&amp;B1323,Log!$X$6:$X$1505,"&gt;="&amp;X1323)=0),"New best",""))</f>
        <v/>
      </c>
      <c r="T1323" s="26" t="n"/>
      <c r="U1323" s="1">
        <f>IF(D1323="","",IFERROR(INDEX(Exercises!$C$6:$C$105,MATCH(D1323,Exercises!$B$6:$B$105,0)),"Other"))</f>
        <v/>
      </c>
      <c r="V1323">
        <f>IF(B1323="","",IF(COUNTIF($B$6:B1323,B1323)=1,1,0))</f>
        <v/>
      </c>
      <c r="W1323">
        <f>IF(B1323="","",B1323-WEEKDAY(B1323,3))</f>
        <v/>
      </c>
      <c r="X1323">
        <f>IF(D1323="","",MAX(IF(N(F1323)=0,0,IF(N(E1323)&gt;0,E1323*(1+F1323/30),F1323)),IF(N(H1323)=0,0,IF(N(G1323)&gt;0,G1323*(1+H1323/30),H1323)),IF(N(J1323)=0,0,IF(N(I1323)&gt;0,I1323*(1+J1323/30),J1323)),IF(N(L1323)=0,0,IF(N(K1323)&gt;0,K1323*(1+L1323/30),L1323)),IF(N(N1323)=0,0,IF(N(M1323)&gt;0,M1323*(1+N1323/30),N1323))))</f>
        <v/>
      </c>
      <c r="Y1323">
        <f>IF(N(X1323)=0,"",X1323+ROW()/1000000000)</f>
        <v/>
      </c>
      <c r="Z1323">
        <f>IF(Y1323="","",IF(COUNTIFS(Log!$D$6:$D$1505,D1323,Log!$Y$6:$Y$1505,"&gt;"&amp;Y1323)=0,1,0))</f>
        <v/>
      </c>
      <c r="AA1323">
        <f>IF(OR(B1323="",D1323=""),"",B1323+ROW()/10000000)</f>
        <v/>
      </c>
      <c r="AB1323">
        <f>IF(AA1323="","",IF(COUNTIFS(Log!$D$6:$D$1505,D1323,Log!$AA$6:$AA$1505,"&gt;"&amp;AA1323)=0,1,0))</f>
        <v/>
      </c>
      <c r="AC1323">
        <f>IF(S1323="New best",AA1323,"")</f>
        <v/>
      </c>
      <c r="AD1323">
        <f>ROW()</f>
        <v/>
      </c>
    </row>
    <row r="1324">
      <c r="A1324" s="1" t="n"/>
      <c r="B1324" s="21" t="n"/>
      <c r="C1324" s="22" t="n"/>
      <c r="D1324" s="23" t="n"/>
      <c r="E1324" s="24" t="n"/>
      <c r="F1324" s="24" t="n"/>
      <c r="G1324" s="24" t="n"/>
      <c r="H1324" s="24" t="n"/>
      <c r="I1324" s="24" t="n"/>
      <c r="J1324" s="24" t="n"/>
      <c r="K1324" s="24" t="n"/>
      <c r="L1324" s="24" t="n"/>
      <c r="M1324" s="24" t="n"/>
      <c r="N1324" s="24" t="n"/>
      <c r="O1324" s="15">
        <f>IF(D1324="","",COUNT(F1324,H1324,J1324,L1324,N1324))</f>
        <v/>
      </c>
      <c r="P1324" s="25">
        <f>IF(D1324="","",N(E1324)*N(F1324)+N(G1324)*N(H1324)+N(I1324)*N(J1324)+N(K1324)*N(L1324)+N(M1324)*N(N1324))</f>
        <v/>
      </c>
      <c r="Q1324" s="18">
        <f>IF(N(X1324)=0,"",IF(IF(N(F1324)=0,0,IF(N(E1324)&gt;0,E1324*(1+F1324/30),F1324))=X1324,IF(N(E1324)&gt;0,E1324&amp;" x "&amp;F1324,F1324&amp;" reps"),IF(IF(N(H1324)=0,0,IF(N(G1324)&gt;0,G1324*(1+H1324/30),H1324))=X1324,IF(N(G1324)&gt;0,G1324&amp;" x "&amp;H1324,H1324&amp;" reps"),IF(IF(N(J1324)=0,0,IF(N(I1324)&gt;0,I1324*(1+J1324/30),J1324))=X1324,IF(N(I1324)&gt;0,I1324&amp;" x "&amp;J1324,J1324&amp;" reps"),IF(IF(N(L1324)=0,0,IF(N(K1324)&gt;0,K1324*(1+L1324/30),L1324))=X1324,IF(N(K1324)&gt;0,K1324&amp;" x "&amp;L1324,L1324&amp;" reps"),IF(IF(N(N1324)=0,0,IF(N(M1324)&gt;0,M1324*(1+N1324/30),N1324))=X1324,IF(N(M1324)&gt;0,M1324&amp;" x "&amp;N1324,N1324&amp;" reps"),""))))))</f>
        <v/>
      </c>
      <c r="R1324" s="20">
        <f>IF(N(X1324)=0,"",ROUND(X1324,1))</f>
        <v/>
      </c>
      <c r="S1324" s="18">
        <f>IF(N(X1324)=0,"",IF(AND(COUNTIFS(Log!$D$6:$D$1505,D1324,Log!$B$6:$B$1505,"&lt;"&amp;B1324)&gt;0,COUNTIFS(Log!$D$6:$D$1505,D1324,Log!$B$6:$B$1505,"&lt;"&amp;B1324,Log!$X$6:$X$1505,"&gt;="&amp;X1324)=0),"New best",""))</f>
        <v/>
      </c>
      <c r="T1324" s="26" t="n"/>
      <c r="U1324" s="1">
        <f>IF(D1324="","",IFERROR(INDEX(Exercises!$C$6:$C$105,MATCH(D1324,Exercises!$B$6:$B$105,0)),"Other"))</f>
        <v/>
      </c>
      <c r="V1324">
        <f>IF(B1324="","",IF(COUNTIF($B$6:B1324,B1324)=1,1,0))</f>
        <v/>
      </c>
      <c r="W1324">
        <f>IF(B1324="","",B1324-WEEKDAY(B1324,3))</f>
        <v/>
      </c>
      <c r="X1324">
        <f>IF(D1324="","",MAX(IF(N(F1324)=0,0,IF(N(E1324)&gt;0,E1324*(1+F1324/30),F1324)),IF(N(H1324)=0,0,IF(N(G1324)&gt;0,G1324*(1+H1324/30),H1324)),IF(N(J1324)=0,0,IF(N(I1324)&gt;0,I1324*(1+J1324/30),J1324)),IF(N(L1324)=0,0,IF(N(K1324)&gt;0,K1324*(1+L1324/30),L1324)),IF(N(N1324)=0,0,IF(N(M1324)&gt;0,M1324*(1+N1324/30),N1324))))</f>
        <v/>
      </c>
      <c r="Y1324">
        <f>IF(N(X1324)=0,"",X1324+ROW()/1000000000)</f>
        <v/>
      </c>
      <c r="Z1324">
        <f>IF(Y1324="","",IF(COUNTIFS(Log!$D$6:$D$1505,D1324,Log!$Y$6:$Y$1505,"&gt;"&amp;Y1324)=0,1,0))</f>
        <v/>
      </c>
      <c r="AA1324">
        <f>IF(OR(B1324="",D1324=""),"",B1324+ROW()/10000000)</f>
        <v/>
      </c>
      <c r="AB1324">
        <f>IF(AA1324="","",IF(COUNTIFS(Log!$D$6:$D$1505,D1324,Log!$AA$6:$AA$1505,"&gt;"&amp;AA1324)=0,1,0))</f>
        <v/>
      </c>
      <c r="AC1324">
        <f>IF(S1324="New best",AA1324,"")</f>
        <v/>
      </c>
      <c r="AD1324">
        <f>ROW()</f>
        <v/>
      </c>
    </row>
    <row r="1325">
      <c r="A1325" s="1" t="n"/>
      <c r="B1325" s="21" t="n"/>
      <c r="C1325" s="22" t="n"/>
      <c r="D1325" s="23" t="n"/>
      <c r="E1325" s="24" t="n"/>
      <c r="F1325" s="24" t="n"/>
      <c r="G1325" s="24" t="n"/>
      <c r="H1325" s="24" t="n"/>
      <c r="I1325" s="24" t="n"/>
      <c r="J1325" s="24" t="n"/>
      <c r="K1325" s="24" t="n"/>
      <c r="L1325" s="24" t="n"/>
      <c r="M1325" s="24" t="n"/>
      <c r="N1325" s="24" t="n"/>
      <c r="O1325" s="15">
        <f>IF(D1325="","",COUNT(F1325,H1325,J1325,L1325,N1325))</f>
        <v/>
      </c>
      <c r="P1325" s="25">
        <f>IF(D1325="","",N(E1325)*N(F1325)+N(G1325)*N(H1325)+N(I1325)*N(J1325)+N(K1325)*N(L1325)+N(M1325)*N(N1325))</f>
        <v/>
      </c>
      <c r="Q1325" s="18">
        <f>IF(N(X1325)=0,"",IF(IF(N(F1325)=0,0,IF(N(E1325)&gt;0,E1325*(1+F1325/30),F1325))=X1325,IF(N(E1325)&gt;0,E1325&amp;" x "&amp;F1325,F1325&amp;" reps"),IF(IF(N(H1325)=0,0,IF(N(G1325)&gt;0,G1325*(1+H1325/30),H1325))=X1325,IF(N(G1325)&gt;0,G1325&amp;" x "&amp;H1325,H1325&amp;" reps"),IF(IF(N(J1325)=0,0,IF(N(I1325)&gt;0,I1325*(1+J1325/30),J1325))=X1325,IF(N(I1325)&gt;0,I1325&amp;" x "&amp;J1325,J1325&amp;" reps"),IF(IF(N(L1325)=0,0,IF(N(K1325)&gt;0,K1325*(1+L1325/30),L1325))=X1325,IF(N(K1325)&gt;0,K1325&amp;" x "&amp;L1325,L1325&amp;" reps"),IF(IF(N(N1325)=0,0,IF(N(M1325)&gt;0,M1325*(1+N1325/30),N1325))=X1325,IF(N(M1325)&gt;0,M1325&amp;" x "&amp;N1325,N1325&amp;" reps"),""))))))</f>
        <v/>
      </c>
      <c r="R1325" s="20">
        <f>IF(N(X1325)=0,"",ROUND(X1325,1))</f>
        <v/>
      </c>
      <c r="S1325" s="18">
        <f>IF(N(X1325)=0,"",IF(AND(COUNTIFS(Log!$D$6:$D$1505,D1325,Log!$B$6:$B$1505,"&lt;"&amp;B1325)&gt;0,COUNTIFS(Log!$D$6:$D$1505,D1325,Log!$B$6:$B$1505,"&lt;"&amp;B1325,Log!$X$6:$X$1505,"&gt;="&amp;X1325)=0),"New best",""))</f>
        <v/>
      </c>
      <c r="T1325" s="26" t="n"/>
      <c r="U1325" s="1">
        <f>IF(D1325="","",IFERROR(INDEX(Exercises!$C$6:$C$105,MATCH(D1325,Exercises!$B$6:$B$105,0)),"Other"))</f>
        <v/>
      </c>
      <c r="V1325">
        <f>IF(B1325="","",IF(COUNTIF($B$6:B1325,B1325)=1,1,0))</f>
        <v/>
      </c>
      <c r="W1325">
        <f>IF(B1325="","",B1325-WEEKDAY(B1325,3))</f>
        <v/>
      </c>
      <c r="X1325">
        <f>IF(D1325="","",MAX(IF(N(F1325)=0,0,IF(N(E1325)&gt;0,E1325*(1+F1325/30),F1325)),IF(N(H1325)=0,0,IF(N(G1325)&gt;0,G1325*(1+H1325/30),H1325)),IF(N(J1325)=0,0,IF(N(I1325)&gt;0,I1325*(1+J1325/30),J1325)),IF(N(L1325)=0,0,IF(N(K1325)&gt;0,K1325*(1+L1325/30),L1325)),IF(N(N1325)=0,0,IF(N(M1325)&gt;0,M1325*(1+N1325/30),N1325))))</f>
        <v/>
      </c>
      <c r="Y1325">
        <f>IF(N(X1325)=0,"",X1325+ROW()/1000000000)</f>
        <v/>
      </c>
      <c r="Z1325">
        <f>IF(Y1325="","",IF(COUNTIFS(Log!$D$6:$D$1505,D1325,Log!$Y$6:$Y$1505,"&gt;"&amp;Y1325)=0,1,0))</f>
        <v/>
      </c>
      <c r="AA1325">
        <f>IF(OR(B1325="",D1325=""),"",B1325+ROW()/10000000)</f>
        <v/>
      </c>
      <c r="AB1325">
        <f>IF(AA1325="","",IF(COUNTIFS(Log!$D$6:$D$1505,D1325,Log!$AA$6:$AA$1505,"&gt;"&amp;AA1325)=0,1,0))</f>
        <v/>
      </c>
      <c r="AC1325">
        <f>IF(S1325="New best",AA1325,"")</f>
        <v/>
      </c>
      <c r="AD1325">
        <f>ROW()</f>
        <v/>
      </c>
    </row>
    <row r="1326">
      <c r="A1326" s="1" t="n"/>
      <c r="B1326" s="21" t="n"/>
      <c r="C1326" s="22" t="n"/>
      <c r="D1326" s="23" t="n"/>
      <c r="E1326" s="24" t="n"/>
      <c r="F1326" s="24" t="n"/>
      <c r="G1326" s="24" t="n"/>
      <c r="H1326" s="24" t="n"/>
      <c r="I1326" s="24" t="n"/>
      <c r="J1326" s="24" t="n"/>
      <c r="K1326" s="24" t="n"/>
      <c r="L1326" s="24" t="n"/>
      <c r="M1326" s="24" t="n"/>
      <c r="N1326" s="24" t="n"/>
      <c r="O1326" s="15">
        <f>IF(D1326="","",COUNT(F1326,H1326,J1326,L1326,N1326))</f>
        <v/>
      </c>
      <c r="P1326" s="25">
        <f>IF(D1326="","",N(E1326)*N(F1326)+N(G1326)*N(H1326)+N(I1326)*N(J1326)+N(K1326)*N(L1326)+N(M1326)*N(N1326))</f>
        <v/>
      </c>
      <c r="Q1326" s="18">
        <f>IF(N(X1326)=0,"",IF(IF(N(F1326)=0,0,IF(N(E1326)&gt;0,E1326*(1+F1326/30),F1326))=X1326,IF(N(E1326)&gt;0,E1326&amp;" x "&amp;F1326,F1326&amp;" reps"),IF(IF(N(H1326)=0,0,IF(N(G1326)&gt;0,G1326*(1+H1326/30),H1326))=X1326,IF(N(G1326)&gt;0,G1326&amp;" x "&amp;H1326,H1326&amp;" reps"),IF(IF(N(J1326)=0,0,IF(N(I1326)&gt;0,I1326*(1+J1326/30),J1326))=X1326,IF(N(I1326)&gt;0,I1326&amp;" x "&amp;J1326,J1326&amp;" reps"),IF(IF(N(L1326)=0,0,IF(N(K1326)&gt;0,K1326*(1+L1326/30),L1326))=X1326,IF(N(K1326)&gt;0,K1326&amp;" x "&amp;L1326,L1326&amp;" reps"),IF(IF(N(N1326)=0,0,IF(N(M1326)&gt;0,M1326*(1+N1326/30),N1326))=X1326,IF(N(M1326)&gt;0,M1326&amp;" x "&amp;N1326,N1326&amp;" reps"),""))))))</f>
        <v/>
      </c>
      <c r="R1326" s="20">
        <f>IF(N(X1326)=0,"",ROUND(X1326,1))</f>
        <v/>
      </c>
      <c r="S1326" s="18">
        <f>IF(N(X1326)=0,"",IF(AND(COUNTIFS(Log!$D$6:$D$1505,D1326,Log!$B$6:$B$1505,"&lt;"&amp;B1326)&gt;0,COUNTIFS(Log!$D$6:$D$1505,D1326,Log!$B$6:$B$1505,"&lt;"&amp;B1326,Log!$X$6:$X$1505,"&gt;="&amp;X1326)=0),"New best",""))</f>
        <v/>
      </c>
      <c r="T1326" s="26" t="n"/>
      <c r="U1326" s="1">
        <f>IF(D1326="","",IFERROR(INDEX(Exercises!$C$6:$C$105,MATCH(D1326,Exercises!$B$6:$B$105,0)),"Other"))</f>
        <v/>
      </c>
      <c r="V1326">
        <f>IF(B1326="","",IF(COUNTIF($B$6:B1326,B1326)=1,1,0))</f>
        <v/>
      </c>
      <c r="W1326">
        <f>IF(B1326="","",B1326-WEEKDAY(B1326,3))</f>
        <v/>
      </c>
      <c r="X1326">
        <f>IF(D1326="","",MAX(IF(N(F1326)=0,0,IF(N(E1326)&gt;0,E1326*(1+F1326/30),F1326)),IF(N(H1326)=0,0,IF(N(G1326)&gt;0,G1326*(1+H1326/30),H1326)),IF(N(J1326)=0,0,IF(N(I1326)&gt;0,I1326*(1+J1326/30),J1326)),IF(N(L1326)=0,0,IF(N(K1326)&gt;0,K1326*(1+L1326/30),L1326)),IF(N(N1326)=0,0,IF(N(M1326)&gt;0,M1326*(1+N1326/30),N1326))))</f>
        <v/>
      </c>
      <c r="Y1326">
        <f>IF(N(X1326)=0,"",X1326+ROW()/1000000000)</f>
        <v/>
      </c>
      <c r="Z1326">
        <f>IF(Y1326="","",IF(COUNTIFS(Log!$D$6:$D$1505,D1326,Log!$Y$6:$Y$1505,"&gt;"&amp;Y1326)=0,1,0))</f>
        <v/>
      </c>
      <c r="AA1326">
        <f>IF(OR(B1326="",D1326=""),"",B1326+ROW()/10000000)</f>
        <v/>
      </c>
      <c r="AB1326">
        <f>IF(AA1326="","",IF(COUNTIFS(Log!$D$6:$D$1505,D1326,Log!$AA$6:$AA$1505,"&gt;"&amp;AA1326)=0,1,0))</f>
        <v/>
      </c>
      <c r="AC1326">
        <f>IF(S1326="New best",AA1326,"")</f>
        <v/>
      </c>
      <c r="AD1326">
        <f>ROW()</f>
        <v/>
      </c>
    </row>
    <row r="1327">
      <c r="A1327" s="1" t="n"/>
      <c r="B1327" s="21" t="n"/>
      <c r="C1327" s="22" t="n"/>
      <c r="D1327" s="23" t="n"/>
      <c r="E1327" s="24" t="n"/>
      <c r="F1327" s="24" t="n"/>
      <c r="G1327" s="24" t="n"/>
      <c r="H1327" s="24" t="n"/>
      <c r="I1327" s="24" t="n"/>
      <c r="J1327" s="24" t="n"/>
      <c r="K1327" s="24" t="n"/>
      <c r="L1327" s="24" t="n"/>
      <c r="M1327" s="24" t="n"/>
      <c r="N1327" s="24" t="n"/>
      <c r="O1327" s="15">
        <f>IF(D1327="","",COUNT(F1327,H1327,J1327,L1327,N1327))</f>
        <v/>
      </c>
      <c r="P1327" s="25">
        <f>IF(D1327="","",N(E1327)*N(F1327)+N(G1327)*N(H1327)+N(I1327)*N(J1327)+N(K1327)*N(L1327)+N(M1327)*N(N1327))</f>
        <v/>
      </c>
      <c r="Q1327" s="18">
        <f>IF(N(X1327)=0,"",IF(IF(N(F1327)=0,0,IF(N(E1327)&gt;0,E1327*(1+F1327/30),F1327))=X1327,IF(N(E1327)&gt;0,E1327&amp;" x "&amp;F1327,F1327&amp;" reps"),IF(IF(N(H1327)=0,0,IF(N(G1327)&gt;0,G1327*(1+H1327/30),H1327))=X1327,IF(N(G1327)&gt;0,G1327&amp;" x "&amp;H1327,H1327&amp;" reps"),IF(IF(N(J1327)=0,0,IF(N(I1327)&gt;0,I1327*(1+J1327/30),J1327))=X1327,IF(N(I1327)&gt;0,I1327&amp;" x "&amp;J1327,J1327&amp;" reps"),IF(IF(N(L1327)=0,0,IF(N(K1327)&gt;0,K1327*(1+L1327/30),L1327))=X1327,IF(N(K1327)&gt;0,K1327&amp;" x "&amp;L1327,L1327&amp;" reps"),IF(IF(N(N1327)=0,0,IF(N(M1327)&gt;0,M1327*(1+N1327/30),N1327))=X1327,IF(N(M1327)&gt;0,M1327&amp;" x "&amp;N1327,N1327&amp;" reps"),""))))))</f>
        <v/>
      </c>
      <c r="R1327" s="20">
        <f>IF(N(X1327)=0,"",ROUND(X1327,1))</f>
        <v/>
      </c>
      <c r="S1327" s="18">
        <f>IF(N(X1327)=0,"",IF(AND(COUNTIFS(Log!$D$6:$D$1505,D1327,Log!$B$6:$B$1505,"&lt;"&amp;B1327)&gt;0,COUNTIFS(Log!$D$6:$D$1505,D1327,Log!$B$6:$B$1505,"&lt;"&amp;B1327,Log!$X$6:$X$1505,"&gt;="&amp;X1327)=0),"New best",""))</f>
        <v/>
      </c>
      <c r="T1327" s="26" t="n"/>
      <c r="U1327" s="1">
        <f>IF(D1327="","",IFERROR(INDEX(Exercises!$C$6:$C$105,MATCH(D1327,Exercises!$B$6:$B$105,0)),"Other"))</f>
        <v/>
      </c>
      <c r="V1327">
        <f>IF(B1327="","",IF(COUNTIF($B$6:B1327,B1327)=1,1,0))</f>
        <v/>
      </c>
      <c r="W1327">
        <f>IF(B1327="","",B1327-WEEKDAY(B1327,3))</f>
        <v/>
      </c>
      <c r="X1327">
        <f>IF(D1327="","",MAX(IF(N(F1327)=0,0,IF(N(E1327)&gt;0,E1327*(1+F1327/30),F1327)),IF(N(H1327)=0,0,IF(N(G1327)&gt;0,G1327*(1+H1327/30),H1327)),IF(N(J1327)=0,0,IF(N(I1327)&gt;0,I1327*(1+J1327/30),J1327)),IF(N(L1327)=0,0,IF(N(K1327)&gt;0,K1327*(1+L1327/30),L1327)),IF(N(N1327)=0,0,IF(N(M1327)&gt;0,M1327*(1+N1327/30),N1327))))</f>
        <v/>
      </c>
      <c r="Y1327">
        <f>IF(N(X1327)=0,"",X1327+ROW()/1000000000)</f>
        <v/>
      </c>
      <c r="Z1327">
        <f>IF(Y1327="","",IF(COUNTIFS(Log!$D$6:$D$1505,D1327,Log!$Y$6:$Y$1505,"&gt;"&amp;Y1327)=0,1,0))</f>
        <v/>
      </c>
      <c r="AA1327">
        <f>IF(OR(B1327="",D1327=""),"",B1327+ROW()/10000000)</f>
        <v/>
      </c>
      <c r="AB1327">
        <f>IF(AA1327="","",IF(COUNTIFS(Log!$D$6:$D$1505,D1327,Log!$AA$6:$AA$1505,"&gt;"&amp;AA1327)=0,1,0))</f>
        <v/>
      </c>
      <c r="AC1327">
        <f>IF(S1327="New best",AA1327,"")</f>
        <v/>
      </c>
      <c r="AD1327">
        <f>ROW()</f>
        <v/>
      </c>
    </row>
    <row r="1328">
      <c r="A1328" s="1" t="n"/>
      <c r="B1328" s="21" t="n"/>
      <c r="C1328" s="22" t="n"/>
      <c r="D1328" s="23" t="n"/>
      <c r="E1328" s="24" t="n"/>
      <c r="F1328" s="24" t="n"/>
      <c r="G1328" s="24" t="n"/>
      <c r="H1328" s="24" t="n"/>
      <c r="I1328" s="24" t="n"/>
      <c r="J1328" s="24" t="n"/>
      <c r="K1328" s="24" t="n"/>
      <c r="L1328" s="24" t="n"/>
      <c r="M1328" s="24" t="n"/>
      <c r="N1328" s="24" t="n"/>
      <c r="O1328" s="15">
        <f>IF(D1328="","",COUNT(F1328,H1328,J1328,L1328,N1328))</f>
        <v/>
      </c>
      <c r="P1328" s="25">
        <f>IF(D1328="","",N(E1328)*N(F1328)+N(G1328)*N(H1328)+N(I1328)*N(J1328)+N(K1328)*N(L1328)+N(M1328)*N(N1328))</f>
        <v/>
      </c>
      <c r="Q1328" s="18">
        <f>IF(N(X1328)=0,"",IF(IF(N(F1328)=0,0,IF(N(E1328)&gt;0,E1328*(1+F1328/30),F1328))=X1328,IF(N(E1328)&gt;0,E1328&amp;" x "&amp;F1328,F1328&amp;" reps"),IF(IF(N(H1328)=0,0,IF(N(G1328)&gt;0,G1328*(1+H1328/30),H1328))=X1328,IF(N(G1328)&gt;0,G1328&amp;" x "&amp;H1328,H1328&amp;" reps"),IF(IF(N(J1328)=0,0,IF(N(I1328)&gt;0,I1328*(1+J1328/30),J1328))=X1328,IF(N(I1328)&gt;0,I1328&amp;" x "&amp;J1328,J1328&amp;" reps"),IF(IF(N(L1328)=0,0,IF(N(K1328)&gt;0,K1328*(1+L1328/30),L1328))=X1328,IF(N(K1328)&gt;0,K1328&amp;" x "&amp;L1328,L1328&amp;" reps"),IF(IF(N(N1328)=0,0,IF(N(M1328)&gt;0,M1328*(1+N1328/30),N1328))=X1328,IF(N(M1328)&gt;0,M1328&amp;" x "&amp;N1328,N1328&amp;" reps"),""))))))</f>
        <v/>
      </c>
      <c r="R1328" s="20">
        <f>IF(N(X1328)=0,"",ROUND(X1328,1))</f>
        <v/>
      </c>
      <c r="S1328" s="18">
        <f>IF(N(X1328)=0,"",IF(AND(COUNTIFS(Log!$D$6:$D$1505,D1328,Log!$B$6:$B$1505,"&lt;"&amp;B1328)&gt;0,COUNTIFS(Log!$D$6:$D$1505,D1328,Log!$B$6:$B$1505,"&lt;"&amp;B1328,Log!$X$6:$X$1505,"&gt;="&amp;X1328)=0),"New best",""))</f>
        <v/>
      </c>
      <c r="T1328" s="26" t="n"/>
      <c r="U1328" s="1">
        <f>IF(D1328="","",IFERROR(INDEX(Exercises!$C$6:$C$105,MATCH(D1328,Exercises!$B$6:$B$105,0)),"Other"))</f>
        <v/>
      </c>
      <c r="V1328">
        <f>IF(B1328="","",IF(COUNTIF($B$6:B1328,B1328)=1,1,0))</f>
        <v/>
      </c>
      <c r="W1328">
        <f>IF(B1328="","",B1328-WEEKDAY(B1328,3))</f>
        <v/>
      </c>
      <c r="X1328">
        <f>IF(D1328="","",MAX(IF(N(F1328)=0,0,IF(N(E1328)&gt;0,E1328*(1+F1328/30),F1328)),IF(N(H1328)=0,0,IF(N(G1328)&gt;0,G1328*(1+H1328/30),H1328)),IF(N(J1328)=0,0,IF(N(I1328)&gt;0,I1328*(1+J1328/30),J1328)),IF(N(L1328)=0,0,IF(N(K1328)&gt;0,K1328*(1+L1328/30),L1328)),IF(N(N1328)=0,0,IF(N(M1328)&gt;0,M1328*(1+N1328/30),N1328))))</f>
        <v/>
      </c>
      <c r="Y1328">
        <f>IF(N(X1328)=0,"",X1328+ROW()/1000000000)</f>
        <v/>
      </c>
      <c r="Z1328">
        <f>IF(Y1328="","",IF(COUNTIFS(Log!$D$6:$D$1505,D1328,Log!$Y$6:$Y$1505,"&gt;"&amp;Y1328)=0,1,0))</f>
        <v/>
      </c>
      <c r="AA1328">
        <f>IF(OR(B1328="",D1328=""),"",B1328+ROW()/10000000)</f>
        <v/>
      </c>
      <c r="AB1328">
        <f>IF(AA1328="","",IF(COUNTIFS(Log!$D$6:$D$1505,D1328,Log!$AA$6:$AA$1505,"&gt;"&amp;AA1328)=0,1,0))</f>
        <v/>
      </c>
      <c r="AC1328">
        <f>IF(S1328="New best",AA1328,"")</f>
        <v/>
      </c>
      <c r="AD1328">
        <f>ROW()</f>
        <v/>
      </c>
    </row>
    <row r="1329">
      <c r="A1329" s="1" t="n"/>
      <c r="B1329" s="21" t="n"/>
      <c r="C1329" s="22" t="n"/>
      <c r="D1329" s="23" t="n"/>
      <c r="E1329" s="24" t="n"/>
      <c r="F1329" s="24" t="n"/>
      <c r="G1329" s="24" t="n"/>
      <c r="H1329" s="24" t="n"/>
      <c r="I1329" s="24" t="n"/>
      <c r="J1329" s="24" t="n"/>
      <c r="K1329" s="24" t="n"/>
      <c r="L1329" s="24" t="n"/>
      <c r="M1329" s="24" t="n"/>
      <c r="N1329" s="24" t="n"/>
      <c r="O1329" s="15">
        <f>IF(D1329="","",COUNT(F1329,H1329,J1329,L1329,N1329))</f>
        <v/>
      </c>
      <c r="P1329" s="25">
        <f>IF(D1329="","",N(E1329)*N(F1329)+N(G1329)*N(H1329)+N(I1329)*N(J1329)+N(K1329)*N(L1329)+N(M1329)*N(N1329))</f>
        <v/>
      </c>
      <c r="Q1329" s="18">
        <f>IF(N(X1329)=0,"",IF(IF(N(F1329)=0,0,IF(N(E1329)&gt;0,E1329*(1+F1329/30),F1329))=X1329,IF(N(E1329)&gt;0,E1329&amp;" x "&amp;F1329,F1329&amp;" reps"),IF(IF(N(H1329)=0,0,IF(N(G1329)&gt;0,G1329*(1+H1329/30),H1329))=X1329,IF(N(G1329)&gt;0,G1329&amp;" x "&amp;H1329,H1329&amp;" reps"),IF(IF(N(J1329)=0,0,IF(N(I1329)&gt;0,I1329*(1+J1329/30),J1329))=X1329,IF(N(I1329)&gt;0,I1329&amp;" x "&amp;J1329,J1329&amp;" reps"),IF(IF(N(L1329)=0,0,IF(N(K1329)&gt;0,K1329*(1+L1329/30),L1329))=X1329,IF(N(K1329)&gt;0,K1329&amp;" x "&amp;L1329,L1329&amp;" reps"),IF(IF(N(N1329)=0,0,IF(N(M1329)&gt;0,M1329*(1+N1329/30),N1329))=X1329,IF(N(M1329)&gt;0,M1329&amp;" x "&amp;N1329,N1329&amp;" reps"),""))))))</f>
        <v/>
      </c>
      <c r="R1329" s="20">
        <f>IF(N(X1329)=0,"",ROUND(X1329,1))</f>
        <v/>
      </c>
      <c r="S1329" s="18">
        <f>IF(N(X1329)=0,"",IF(AND(COUNTIFS(Log!$D$6:$D$1505,D1329,Log!$B$6:$B$1505,"&lt;"&amp;B1329)&gt;0,COUNTIFS(Log!$D$6:$D$1505,D1329,Log!$B$6:$B$1505,"&lt;"&amp;B1329,Log!$X$6:$X$1505,"&gt;="&amp;X1329)=0),"New best",""))</f>
        <v/>
      </c>
      <c r="T1329" s="26" t="n"/>
      <c r="U1329" s="1">
        <f>IF(D1329="","",IFERROR(INDEX(Exercises!$C$6:$C$105,MATCH(D1329,Exercises!$B$6:$B$105,0)),"Other"))</f>
        <v/>
      </c>
      <c r="V1329">
        <f>IF(B1329="","",IF(COUNTIF($B$6:B1329,B1329)=1,1,0))</f>
        <v/>
      </c>
      <c r="W1329">
        <f>IF(B1329="","",B1329-WEEKDAY(B1329,3))</f>
        <v/>
      </c>
      <c r="X1329">
        <f>IF(D1329="","",MAX(IF(N(F1329)=0,0,IF(N(E1329)&gt;0,E1329*(1+F1329/30),F1329)),IF(N(H1329)=0,0,IF(N(G1329)&gt;0,G1329*(1+H1329/30),H1329)),IF(N(J1329)=0,0,IF(N(I1329)&gt;0,I1329*(1+J1329/30),J1329)),IF(N(L1329)=0,0,IF(N(K1329)&gt;0,K1329*(1+L1329/30),L1329)),IF(N(N1329)=0,0,IF(N(M1329)&gt;0,M1329*(1+N1329/30),N1329))))</f>
        <v/>
      </c>
      <c r="Y1329">
        <f>IF(N(X1329)=0,"",X1329+ROW()/1000000000)</f>
        <v/>
      </c>
      <c r="Z1329">
        <f>IF(Y1329="","",IF(COUNTIFS(Log!$D$6:$D$1505,D1329,Log!$Y$6:$Y$1505,"&gt;"&amp;Y1329)=0,1,0))</f>
        <v/>
      </c>
      <c r="AA1329">
        <f>IF(OR(B1329="",D1329=""),"",B1329+ROW()/10000000)</f>
        <v/>
      </c>
      <c r="AB1329">
        <f>IF(AA1329="","",IF(COUNTIFS(Log!$D$6:$D$1505,D1329,Log!$AA$6:$AA$1505,"&gt;"&amp;AA1329)=0,1,0))</f>
        <v/>
      </c>
      <c r="AC1329">
        <f>IF(S1329="New best",AA1329,"")</f>
        <v/>
      </c>
      <c r="AD1329">
        <f>ROW()</f>
        <v/>
      </c>
    </row>
    <row r="1330">
      <c r="A1330" s="1" t="n"/>
      <c r="B1330" s="21" t="n"/>
      <c r="C1330" s="22" t="n"/>
      <c r="D1330" s="23" t="n"/>
      <c r="E1330" s="24" t="n"/>
      <c r="F1330" s="24" t="n"/>
      <c r="G1330" s="24" t="n"/>
      <c r="H1330" s="24" t="n"/>
      <c r="I1330" s="24" t="n"/>
      <c r="J1330" s="24" t="n"/>
      <c r="K1330" s="24" t="n"/>
      <c r="L1330" s="24" t="n"/>
      <c r="M1330" s="24" t="n"/>
      <c r="N1330" s="24" t="n"/>
      <c r="O1330" s="15">
        <f>IF(D1330="","",COUNT(F1330,H1330,J1330,L1330,N1330))</f>
        <v/>
      </c>
      <c r="P1330" s="25">
        <f>IF(D1330="","",N(E1330)*N(F1330)+N(G1330)*N(H1330)+N(I1330)*N(J1330)+N(K1330)*N(L1330)+N(M1330)*N(N1330))</f>
        <v/>
      </c>
      <c r="Q1330" s="18">
        <f>IF(N(X1330)=0,"",IF(IF(N(F1330)=0,0,IF(N(E1330)&gt;0,E1330*(1+F1330/30),F1330))=X1330,IF(N(E1330)&gt;0,E1330&amp;" x "&amp;F1330,F1330&amp;" reps"),IF(IF(N(H1330)=0,0,IF(N(G1330)&gt;0,G1330*(1+H1330/30),H1330))=X1330,IF(N(G1330)&gt;0,G1330&amp;" x "&amp;H1330,H1330&amp;" reps"),IF(IF(N(J1330)=0,0,IF(N(I1330)&gt;0,I1330*(1+J1330/30),J1330))=X1330,IF(N(I1330)&gt;0,I1330&amp;" x "&amp;J1330,J1330&amp;" reps"),IF(IF(N(L1330)=0,0,IF(N(K1330)&gt;0,K1330*(1+L1330/30),L1330))=X1330,IF(N(K1330)&gt;0,K1330&amp;" x "&amp;L1330,L1330&amp;" reps"),IF(IF(N(N1330)=0,0,IF(N(M1330)&gt;0,M1330*(1+N1330/30),N1330))=X1330,IF(N(M1330)&gt;0,M1330&amp;" x "&amp;N1330,N1330&amp;" reps"),""))))))</f>
        <v/>
      </c>
      <c r="R1330" s="20">
        <f>IF(N(X1330)=0,"",ROUND(X1330,1))</f>
        <v/>
      </c>
      <c r="S1330" s="18">
        <f>IF(N(X1330)=0,"",IF(AND(COUNTIFS(Log!$D$6:$D$1505,D1330,Log!$B$6:$B$1505,"&lt;"&amp;B1330)&gt;0,COUNTIFS(Log!$D$6:$D$1505,D1330,Log!$B$6:$B$1505,"&lt;"&amp;B1330,Log!$X$6:$X$1505,"&gt;="&amp;X1330)=0),"New best",""))</f>
        <v/>
      </c>
      <c r="T1330" s="26" t="n"/>
      <c r="U1330" s="1">
        <f>IF(D1330="","",IFERROR(INDEX(Exercises!$C$6:$C$105,MATCH(D1330,Exercises!$B$6:$B$105,0)),"Other"))</f>
        <v/>
      </c>
      <c r="V1330">
        <f>IF(B1330="","",IF(COUNTIF($B$6:B1330,B1330)=1,1,0))</f>
        <v/>
      </c>
      <c r="W1330">
        <f>IF(B1330="","",B1330-WEEKDAY(B1330,3))</f>
        <v/>
      </c>
      <c r="X1330">
        <f>IF(D1330="","",MAX(IF(N(F1330)=0,0,IF(N(E1330)&gt;0,E1330*(1+F1330/30),F1330)),IF(N(H1330)=0,0,IF(N(G1330)&gt;0,G1330*(1+H1330/30),H1330)),IF(N(J1330)=0,0,IF(N(I1330)&gt;0,I1330*(1+J1330/30),J1330)),IF(N(L1330)=0,0,IF(N(K1330)&gt;0,K1330*(1+L1330/30),L1330)),IF(N(N1330)=0,0,IF(N(M1330)&gt;0,M1330*(1+N1330/30),N1330))))</f>
        <v/>
      </c>
      <c r="Y1330">
        <f>IF(N(X1330)=0,"",X1330+ROW()/1000000000)</f>
        <v/>
      </c>
      <c r="Z1330">
        <f>IF(Y1330="","",IF(COUNTIFS(Log!$D$6:$D$1505,D1330,Log!$Y$6:$Y$1505,"&gt;"&amp;Y1330)=0,1,0))</f>
        <v/>
      </c>
      <c r="AA1330">
        <f>IF(OR(B1330="",D1330=""),"",B1330+ROW()/10000000)</f>
        <v/>
      </c>
      <c r="AB1330">
        <f>IF(AA1330="","",IF(COUNTIFS(Log!$D$6:$D$1505,D1330,Log!$AA$6:$AA$1505,"&gt;"&amp;AA1330)=0,1,0))</f>
        <v/>
      </c>
      <c r="AC1330">
        <f>IF(S1330="New best",AA1330,"")</f>
        <v/>
      </c>
      <c r="AD1330">
        <f>ROW()</f>
        <v/>
      </c>
    </row>
    <row r="1331">
      <c r="A1331" s="1" t="n"/>
      <c r="B1331" s="21" t="n"/>
      <c r="C1331" s="22" t="n"/>
      <c r="D1331" s="23" t="n"/>
      <c r="E1331" s="24" t="n"/>
      <c r="F1331" s="24" t="n"/>
      <c r="G1331" s="24" t="n"/>
      <c r="H1331" s="24" t="n"/>
      <c r="I1331" s="24" t="n"/>
      <c r="J1331" s="24" t="n"/>
      <c r="K1331" s="24" t="n"/>
      <c r="L1331" s="24" t="n"/>
      <c r="M1331" s="24" t="n"/>
      <c r="N1331" s="24" t="n"/>
      <c r="O1331" s="15">
        <f>IF(D1331="","",COUNT(F1331,H1331,J1331,L1331,N1331))</f>
        <v/>
      </c>
      <c r="P1331" s="25">
        <f>IF(D1331="","",N(E1331)*N(F1331)+N(G1331)*N(H1331)+N(I1331)*N(J1331)+N(K1331)*N(L1331)+N(M1331)*N(N1331))</f>
        <v/>
      </c>
      <c r="Q1331" s="18">
        <f>IF(N(X1331)=0,"",IF(IF(N(F1331)=0,0,IF(N(E1331)&gt;0,E1331*(1+F1331/30),F1331))=X1331,IF(N(E1331)&gt;0,E1331&amp;" x "&amp;F1331,F1331&amp;" reps"),IF(IF(N(H1331)=0,0,IF(N(G1331)&gt;0,G1331*(1+H1331/30),H1331))=X1331,IF(N(G1331)&gt;0,G1331&amp;" x "&amp;H1331,H1331&amp;" reps"),IF(IF(N(J1331)=0,0,IF(N(I1331)&gt;0,I1331*(1+J1331/30),J1331))=X1331,IF(N(I1331)&gt;0,I1331&amp;" x "&amp;J1331,J1331&amp;" reps"),IF(IF(N(L1331)=0,0,IF(N(K1331)&gt;0,K1331*(1+L1331/30),L1331))=X1331,IF(N(K1331)&gt;0,K1331&amp;" x "&amp;L1331,L1331&amp;" reps"),IF(IF(N(N1331)=0,0,IF(N(M1331)&gt;0,M1331*(1+N1331/30),N1331))=X1331,IF(N(M1331)&gt;0,M1331&amp;" x "&amp;N1331,N1331&amp;" reps"),""))))))</f>
        <v/>
      </c>
      <c r="R1331" s="20">
        <f>IF(N(X1331)=0,"",ROUND(X1331,1))</f>
        <v/>
      </c>
      <c r="S1331" s="18">
        <f>IF(N(X1331)=0,"",IF(AND(COUNTIFS(Log!$D$6:$D$1505,D1331,Log!$B$6:$B$1505,"&lt;"&amp;B1331)&gt;0,COUNTIFS(Log!$D$6:$D$1505,D1331,Log!$B$6:$B$1505,"&lt;"&amp;B1331,Log!$X$6:$X$1505,"&gt;="&amp;X1331)=0),"New best",""))</f>
        <v/>
      </c>
      <c r="T1331" s="26" t="n"/>
      <c r="U1331" s="1">
        <f>IF(D1331="","",IFERROR(INDEX(Exercises!$C$6:$C$105,MATCH(D1331,Exercises!$B$6:$B$105,0)),"Other"))</f>
        <v/>
      </c>
      <c r="V1331">
        <f>IF(B1331="","",IF(COUNTIF($B$6:B1331,B1331)=1,1,0))</f>
        <v/>
      </c>
      <c r="W1331">
        <f>IF(B1331="","",B1331-WEEKDAY(B1331,3))</f>
        <v/>
      </c>
      <c r="X1331">
        <f>IF(D1331="","",MAX(IF(N(F1331)=0,0,IF(N(E1331)&gt;0,E1331*(1+F1331/30),F1331)),IF(N(H1331)=0,0,IF(N(G1331)&gt;0,G1331*(1+H1331/30),H1331)),IF(N(J1331)=0,0,IF(N(I1331)&gt;0,I1331*(1+J1331/30),J1331)),IF(N(L1331)=0,0,IF(N(K1331)&gt;0,K1331*(1+L1331/30),L1331)),IF(N(N1331)=0,0,IF(N(M1331)&gt;0,M1331*(1+N1331/30),N1331))))</f>
        <v/>
      </c>
      <c r="Y1331">
        <f>IF(N(X1331)=0,"",X1331+ROW()/1000000000)</f>
        <v/>
      </c>
      <c r="Z1331">
        <f>IF(Y1331="","",IF(COUNTIFS(Log!$D$6:$D$1505,D1331,Log!$Y$6:$Y$1505,"&gt;"&amp;Y1331)=0,1,0))</f>
        <v/>
      </c>
      <c r="AA1331">
        <f>IF(OR(B1331="",D1331=""),"",B1331+ROW()/10000000)</f>
        <v/>
      </c>
      <c r="AB1331">
        <f>IF(AA1331="","",IF(COUNTIFS(Log!$D$6:$D$1505,D1331,Log!$AA$6:$AA$1505,"&gt;"&amp;AA1331)=0,1,0))</f>
        <v/>
      </c>
      <c r="AC1331">
        <f>IF(S1331="New best",AA1331,"")</f>
        <v/>
      </c>
      <c r="AD1331">
        <f>ROW()</f>
        <v/>
      </c>
    </row>
    <row r="1332">
      <c r="A1332" s="1" t="n"/>
      <c r="B1332" s="21" t="n"/>
      <c r="C1332" s="22" t="n"/>
      <c r="D1332" s="23" t="n"/>
      <c r="E1332" s="24" t="n"/>
      <c r="F1332" s="24" t="n"/>
      <c r="G1332" s="24" t="n"/>
      <c r="H1332" s="24" t="n"/>
      <c r="I1332" s="24" t="n"/>
      <c r="J1332" s="24" t="n"/>
      <c r="K1332" s="24" t="n"/>
      <c r="L1332" s="24" t="n"/>
      <c r="M1332" s="24" t="n"/>
      <c r="N1332" s="24" t="n"/>
      <c r="O1332" s="15">
        <f>IF(D1332="","",COUNT(F1332,H1332,J1332,L1332,N1332))</f>
        <v/>
      </c>
      <c r="P1332" s="25">
        <f>IF(D1332="","",N(E1332)*N(F1332)+N(G1332)*N(H1332)+N(I1332)*N(J1332)+N(K1332)*N(L1332)+N(M1332)*N(N1332))</f>
        <v/>
      </c>
      <c r="Q1332" s="18">
        <f>IF(N(X1332)=0,"",IF(IF(N(F1332)=0,0,IF(N(E1332)&gt;0,E1332*(1+F1332/30),F1332))=X1332,IF(N(E1332)&gt;0,E1332&amp;" x "&amp;F1332,F1332&amp;" reps"),IF(IF(N(H1332)=0,0,IF(N(G1332)&gt;0,G1332*(1+H1332/30),H1332))=X1332,IF(N(G1332)&gt;0,G1332&amp;" x "&amp;H1332,H1332&amp;" reps"),IF(IF(N(J1332)=0,0,IF(N(I1332)&gt;0,I1332*(1+J1332/30),J1332))=X1332,IF(N(I1332)&gt;0,I1332&amp;" x "&amp;J1332,J1332&amp;" reps"),IF(IF(N(L1332)=0,0,IF(N(K1332)&gt;0,K1332*(1+L1332/30),L1332))=X1332,IF(N(K1332)&gt;0,K1332&amp;" x "&amp;L1332,L1332&amp;" reps"),IF(IF(N(N1332)=0,0,IF(N(M1332)&gt;0,M1332*(1+N1332/30),N1332))=X1332,IF(N(M1332)&gt;0,M1332&amp;" x "&amp;N1332,N1332&amp;" reps"),""))))))</f>
        <v/>
      </c>
      <c r="R1332" s="20">
        <f>IF(N(X1332)=0,"",ROUND(X1332,1))</f>
        <v/>
      </c>
      <c r="S1332" s="18">
        <f>IF(N(X1332)=0,"",IF(AND(COUNTIFS(Log!$D$6:$D$1505,D1332,Log!$B$6:$B$1505,"&lt;"&amp;B1332)&gt;0,COUNTIFS(Log!$D$6:$D$1505,D1332,Log!$B$6:$B$1505,"&lt;"&amp;B1332,Log!$X$6:$X$1505,"&gt;="&amp;X1332)=0),"New best",""))</f>
        <v/>
      </c>
      <c r="T1332" s="26" t="n"/>
      <c r="U1332" s="1">
        <f>IF(D1332="","",IFERROR(INDEX(Exercises!$C$6:$C$105,MATCH(D1332,Exercises!$B$6:$B$105,0)),"Other"))</f>
        <v/>
      </c>
      <c r="V1332">
        <f>IF(B1332="","",IF(COUNTIF($B$6:B1332,B1332)=1,1,0))</f>
        <v/>
      </c>
      <c r="W1332">
        <f>IF(B1332="","",B1332-WEEKDAY(B1332,3))</f>
        <v/>
      </c>
      <c r="X1332">
        <f>IF(D1332="","",MAX(IF(N(F1332)=0,0,IF(N(E1332)&gt;0,E1332*(1+F1332/30),F1332)),IF(N(H1332)=0,0,IF(N(G1332)&gt;0,G1332*(1+H1332/30),H1332)),IF(N(J1332)=0,0,IF(N(I1332)&gt;0,I1332*(1+J1332/30),J1332)),IF(N(L1332)=0,0,IF(N(K1332)&gt;0,K1332*(1+L1332/30),L1332)),IF(N(N1332)=0,0,IF(N(M1332)&gt;0,M1332*(1+N1332/30),N1332))))</f>
        <v/>
      </c>
      <c r="Y1332">
        <f>IF(N(X1332)=0,"",X1332+ROW()/1000000000)</f>
        <v/>
      </c>
      <c r="Z1332">
        <f>IF(Y1332="","",IF(COUNTIFS(Log!$D$6:$D$1505,D1332,Log!$Y$6:$Y$1505,"&gt;"&amp;Y1332)=0,1,0))</f>
        <v/>
      </c>
      <c r="AA1332">
        <f>IF(OR(B1332="",D1332=""),"",B1332+ROW()/10000000)</f>
        <v/>
      </c>
      <c r="AB1332">
        <f>IF(AA1332="","",IF(COUNTIFS(Log!$D$6:$D$1505,D1332,Log!$AA$6:$AA$1505,"&gt;"&amp;AA1332)=0,1,0))</f>
        <v/>
      </c>
      <c r="AC1332">
        <f>IF(S1332="New best",AA1332,"")</f>
        <v/>
      </c>
      <c r="AD1332">
        <f>ROW()</f>
        <v/>
      </c>
    </row>
    <row r="1333">
      <c r="A1333" s="1" t="n"/>
      <c r="B1333" s="21" t="n"/>
      <c r="C1333" s="22" t="n"/>
      <c r="D1333" s="23" t="n"/>
      <c r="E1333" s="24" t="n"/>
      <c r="F1333" s="24" t="n"/>
      <c r="G1333" s="24" t="n"/>
      <c r="H1333" s="24" t="n"/>
      <c r="I1333" s="24" t="n"/>
      <c r="J1333" s="24" t="n"/>
      <c r="K1333" s="24" t="n"/>
      <c r="L1333" s="24" t="n"/>
      <c r="M1333" s="24" t="n"/>
      <c r="N1333" s="24" t="n"/>
      <c r="O1333" s="15">
        <f>IF(D1333="","",COUNT(F1333,H1333,J1333,L1333,N1333))</f>
        <v/>
      </c>
      <c r="P1333" s="25">
        <f>IF(D1333="","",N(E1333)*N(F1333)+N(G1333)*N(H1333)+N(I1333)*N(J1333)+N(K1333)*N(L1333)+N(M1333)*N(N1333))</f>
        <v/>
      </c>
      <c r="Q1333" s="18">
        <f>IF(N(X1333)=0,"",IF(IF(N(F1333)=0,0,IF(N(E1333)&gt;0,E1333*(1+F1333/30),F1333))=X1333,IF(N(E1333)&gt;0,E1333&amp;" x "&amp;F1333,F1333&amp;" reps"),IF(IF(N(H1333)=0,0,IF(N(G1333)&gt;0,G1333*(1+H1333/30),H1333))=X1333,IF(N(G1333)&gt;0,G1333&amp;" x "&amp;H1333,H1333&amp;" reps"),IF(IF(N(J1333)=0,0,IF(N(I1333)&gt;0,I1333*(1+J1333/30),J1333))=X1333,IF(N(I1333)&gt;0,I1333&amp;" x "&amp;J1333,J1333&amp;" reps"),IF(IF(N(L1333)=0,0,IF(N(K1333)&gt;0,K1333*(1+L1333/30),L1333))=X1333,IF(N(K1333)&gt;0,K1333&amp;" x "&amp;L1333,L1333&amp;" reps"),IF(IF(N(N1333)=0,0,IF(N(M1333)&gt;0,M1333*(1+N1333/30),N1333))=X1333,IF(N(M1333)&gt;0,M1333&amp;" x "&amp;N1333,N1333&amp;" reps"),""))))))</f>
        <v/>
      </c>
      <c r="R1333" s="20">
        <f>IF(N(X1333)=0,"",ROUND(X1333,1))</f>
        <v/>
      </c>
      <c r="S1333" s="18">
        <f>IF(N(X1333)=0,"",IF(AND(COUNTIFS(Log!$D$6:$D$1505,D1333,Log!$B$6:$B$1505,"&lt;"&amp;B1333)&gt;0,COUNTIFS(Log!$D$6:$D$1505,D1333,Log!$B$6:$B$1505,"&lt;"&amp;B1333,Log!$X$6:$X$1505,"&gt;="&amp;X1333)=0),"New best",""))</f>
        <v/>
      </c>
      <c r="T1333" s="26" t="n"/>
      <c r="U1333" s="1">
        <f>IF(D1333="","",IFERROR(INDEX(Exercises!$C$6:$C$105,MATCH(D1333,Exercises!$B$6:$B$105,0)),"Other"))</f>
        <v/>
      </c>
      <c r="V1333">
        <f>IF(B1333="","",IF(COUNTIF($B$6:B1333,B1333)=1,1,0))</f>
        <v/>
      </c>
      <c r="W1333">
        <f>IF(B1333="","",B1333-WEEKDAY(B1333,3))</f>
        <v/>
      </c>
      <c r="X1333">
        <f>IF(D1333="","",MAX(IF(N(F1333)=0,0,IF(N(E1333)&gt;0,E1333*(1+F1333/30),F1333)),IF(N(H1333)=0,0,IF(N(G1333)&gt;0,G1333*(1+H1333/30),H1333)),IF(N(J1333)=0,0,IF(N(I1333)&gt;0,I1333*(1+J1333/30),J1333)),IF(N(L1333)=0,0,IF(N(K1333)&gt;0,K1333*(1+L1333/30),L1333)),IF(N(N1333)=0,0,IF(N(M1333)&gt;0,M1333*(1+N1333/30),N1333))))</f>
        <v/>
      </c>
      <c r="Y1333">
        <f>IF(N(X1333)=0,"",X1333+ROW()/1000000000)</f>
        <v/>
      </c>
      <c r="Z1333">
        <f>IF(Y1333="","",IF(COUNTIFS(Log!$D$6:$D$1505,D1333,Log!$Y$6:$Y$1505,"&gt;"&amp;Y1333)=0,1,0))</f>
        <v/>
      </c>
      <c r="AA1333">
        <f>IF(OR(B1333="",D1333=""),"",B1333+ROW()/10000000)</f>
        <v/>
      </c>
      <c r="AB1333">
        <f>IF(AA1333="","",IF(COUNTIFS(Log!$D$6:$D$1505,D1333,Log!$AA$6:$AA$1505,"&gt;"&amp;AA1333)=0,1,0))</f>
        <v/>
      </c>
      <c r="AC1333">
        <f>IF(S1333="New best",AA1333,"")</f>
        <v/>
      </c>
      <c r="AD1333">
        <f>ROW()</f>
        <v/>
      </c>
    </row>
    <row r="1334">
      <c r="A1334" s="1" t="n"/>
      <c r="B1334" s="21" t="n"/>
      <c r="C1334" s="22" t="n"/>
      <c r="D1334" s="23" t="n"/>
      <c r="E1334" s="24" t="n"/>
      <c r="F1334" s="24" t="n"/>
      <c r="G1334" s="24" t="n"/>
      <c r="H1334" s="24" t="n"/>
      <c r="I1334" s="24" t="n"/>
      <c r="J1334" s="24" t="n"/>
      <c r="K1334" s="24" t="n"/>
      <c r="L1334" s="24" t="n"/>
      <c r="M1334" s="24" t="n"/>
      <c r="N1334" s="24" t="n"/>
      <c r="O1334" s="15">
        <f>IF(D1334="","",COUNT(F1334,H1334,J1334,L1334,N1334))</f>
        <v/>
      </c>
      <c r="P1334" s="25">
        <f>IF(D1334="","",N(E1334)*N(F1334)+N(G1334)*N(H1334)+N(I1334)*N(J1334)+N(K1334)*N(L1334)+N(M1334)*N(N1334))</f>
        <v/>
      </c>
      <c r="Q1334" s="18">
        <f>IF(N(X1334)=0,"",IF(IF(N(F1334)=0,0,IF(N(E1334)&gt;0,E1334*(1+F1334/30),F1334))=X1334,IF(N(E1334)&gt;0,E1334&amp;" x "&amp;F1334,F1334&amp;" reps"),IF(IF(N(H1334)=0,0,IF(N(G1334)&gt;0,G1334*(1+H1334/30),H1334))=X1334,IF(N(G1334)&gt;0,G1334&amp;" x "&amp;H1334,H1334&amp;" reps"),IF(IF(N(J1334)=0,0,IF(N(I1334)&gt;0,I1334*(1+J1334/30),J1334))=X1334,IF(N(I1334)&gt;0,I1334&amp;" x "&amp;J1334,J1334&amp;" reps"),IF(IF(N(L1334)=0,0,IF(N(K1334)&gt;0,K1334*(1+L1334/30),L1334))=X1334,IF(N(K1334)&gt;0,K1334&amp;" x "&amp;L1334,L1334&amp;" reps"),IF(IF(N(N1334)=0,0,IF(N(M1334)&gt;0,M1334*(1+N1334/30),N1334))=X1334,IF(N(M1334)&gt;0,M1334&amp;" x "&amp;N1334,N1334&amp;" reps"),""))))))</f>
        <v/>
      </c>
      <c r="R1334" s="20">
        <f>IF(N(X1334)=0,"",ROUND(X1334,1))</f>
        <v/>
      </c>
      <c r="S1334" s="18">
        <f>IF(N(X1334)=0,"",IF(AND(COUNTIFS(Log!$D$6:$D$1505,D1334,Log!$B$6:$B$1505,"&lt;"&amp;B1334)&gt;0,COUNTIFS(Log!$D$6:$D$1505,D1334,Log!$B$6:$B$1505,"&lt;"&amp;B1334,Log!$X$6:$X$1505,"&gt;="&amp;X1334)=0),"New best",""))</f>
        <v/>
      </c>
      <c r="T1334" s="26" t="n"/>
      <c r="U1334" s="1">
        <f>IF(D1334="","",IFERROR(INDEX(Exercises!$C$6:$C$105,MATCH(D1334,Exercises!$B$6:$B$105,0)),"Other"))</f>
        <v/>
      </c>
      <c r="V1334">
        <f>IF(B1334="","",IF(COUNTIF($B$6:B1334,B1334)=1,1,0))</f>
        <v/>
      </c>
      <c r="W1334">
        <f>IF(B1334="","",B1334-WEEKDAY(B1334,3))</f>
        <v/>
      </c>
      <c r="X1334">
        <f>IF(D1334="","",MAX(IF(N(F1334)=0,0,IF(N(E1334)&gt;0,E1334*(1+F1334/30),F1334)),IF(N(H1334)=0,0,IF(N(G1334)&gt;0,G1334*(1+H1334/30),H1334)),IF(N(J1334)=0,0,IF(N(I1334)&gt;0,I1334*(1+J1334/30),J1334)),IF(N(L1334)=0,0,IF(N(K1334)&gt;0,K1334*(1+L1334/30),L1334)),IF(N(N1334)=0,0,IF(N(M1334)&gt;0,M1334*(1+N1334/30),N1334))))</f>
        <v/>
      </c>
      <c r="Y1334">
        <f>IF(N(X1334)=0,"",X1334+ROW()/1000000000)</f>
        <v/>
      </c>
      <c r="Z1334">
        <f>IF(Y1334="","",IF(COUNTIFS(Log!$D$6:$D$1505,D1334,Log!$Y$6:$Y$1505,"&gt;"&amp;Y1334)=0,1,0))</f>
        <v/>
      </c>
      <c r="AA1334">
        <f>IF(OR(B1334="",D1334=""),"",B1334+ROW()/10000000)</f>
        <v/>
      </c>
      <c r="AB1334">
        <f>IF(AA1334="","",IF(COUNTIFS(Log!$D$6:$D$1505,D1334,Log!$AA$6:$AA$1505,"&gt;"&amp;AA1334)=0,1,0))</f>
        <v/>
      </c>
      <c r="AC1334">
        <f>IF(S1334="New best",AA1334,"")</f>
        <v/>
      </c>
      <c r="AD1334">
        <f>ROW()</f>
        <v/>
      </c>
    </row>
    <row r="1335">
      <c r="A1335" s="1" t="n"/>
      <c r="B1335" s="21" t="n"/>
      <c r="C1335" s="22" t="n"/>
      <c r="D1335" s="23" t="n"/>
      <c r="E1335" s="24" t="n"/>
      <c r="F1335" s="24" t="n"/>
      <c r="G1335" s="24" t="n"/>
      <c r="H1335" s="24" t="n"/>
      <c r="I1335" s="24" t="n"/>
      <c r="J1335" s="24" t="n"/>
      <c r="K1335" s="24" t="n"/>
      <c r="L1335" s="24" t="n"/>
      <c r="M1335" s="24" t="n"/>
      <c r="N1335" s="24" t="n"/>
      <c r="O1335" s="15">
        <f>IF(D1335="","",COUNT(F1335,H1335,J1335,L1335,N1335))</f>
        <v/>
      </c>
      <c r="P1335" s="25">
        <f>IF(D1335="","",N(E1335)*N(F1335)+N(G1335)*N(H1335)+N(I1335)*N(J1335)+N(K1335)*N(L1335)+N(M1335)*N(N1335))</f>
        <v/>
      </c>
      <c r="Q1335" s="18">
        <f>IF(N(X1335)=0,"",IF(IF(N(F1335)=0,0,IF(N(E1335)&gt;0,E1335*(1+F1335/30),F1335))=X1335,IF(N(E1335)&gt;0,E1335&amp;" x "&amp;F1335,F1335&amp;" reps"),IF(IF(N(H1335)=0,0,IF(N(G1335)&gt;0,G1335*(1+H1335/30),H1335))=X1335,IF(N(G1335)&gt;0,G1335&amp;" x "&amp;H1335,H1335&amp;" reps"),IF(IF(N(J1335)=0,0,IF(N(I1335)&gt;0,I1335*(1+J1335/30),J1335))=X1335,IF(N(I1335)&gt;0,I1335&amp;" x "&amp;J1335,J1335&amp;" reps"),IF(IF(N(L1335)=0,0,IF(N(K1335)&gt;0,K1335*(1+L1335/30),L1335))=X1335,IF(N(K1335)&gt;0,K1335&amp;" x "&amp;L1335,L1335&amp;" reps"),IF(IF(N(N1335)=0,0,IF(N(M1335)&gt;0,M1335*(1+N1335/30),N1335))=X1335,IF(N(M1335)&gt;0,M1335&amp;" x "&amp;N1335,N1335&amp;" reps"),""))))))</f>
        <v/>
      </c>
      <c r="R1335" s="20">
        <f>IF(N(X1335)=0,"",ROUND(X1335,1))</f>
        <v/>
      </c>
      <c r="S1335" s="18">
        <f>IF(N(X1335)=0,"",IF(AND(COUNTIFS(Log!$D$6:$D$1505,D1335,Log!$B$6:$B$1505,"&lt;"&amp;B1335)&gt;0,COUNTIFS(Log!$D$6:$D$1505,D1335,Log!$B$6:$B$1505,"&lt;"&amp;B1335,Log!$X$6:$X$1505,"&gt;="&amp;X1335)=0),"New best",""))</f>
        <v/>
      </c>
      <c r="T1335" s="26" t="n"/>
      <c r="U1335" s="1">
        <f>IF(D1335="","",IFERROR(INDEX(Exercises!$C$6:$C$105,MATCH(D1335,Exercises!$B$6:$B$105,0)),"Other"))</f>
        <v/>
      </c>
      <c r="V1335">
        <f>IF(B1335="","",IF(COUNTIF($B$6:B1335,B1335)=1,1,0))</f>
        <v/>
      </c>
      <c r="W1335">
        <f>IF(B1335="","",B1335-WEEKDAY(B1335,3))</f>
        <v/>
      </c>
      <c r="X1335">
        <f>IF(D1335="","",MAX(IF(N(F1335)=0,0,IF(N(E1335)&gt;0,E1335*(1+F1335/30),F1335)),IF(N(H1335)=0,0,IF(N(G1335)&gt;0,G1335*(1+H1335/30),H1335)),IF(N(J1335)=0,0,IF(N(I1335)&gt;0,I1335*(1+J1335/30),J1335)),IF(N(L1335)=0,0,IF(N(K1335)&gt;0,K1335*(1+L1335/30),L1335)),IF(N(N1335)=0,0,IF(N(M1335)&gt;0,M1335*(1+N1335/30),N1335))))</f>
        <v/>
      </c>
      <c r="Y1335">
        <f>IF(N(X1335)=0,"",X1335+ROW()/1000000000)</f>
        <v/>
      </c>
      <c r="Z1335">
        <f>IF(Y1335="","",IF(COUNTIFS(Log!$D$6:$D$1505,D1335,Log!$Y$6:$Y$1505,"&gt;"&amp;Y1335)=0,1,0))</f>
        <v/>
      </c>
      <c r="AA1335">
        <f>IF(OR(B1335="",D1335=""),"",B1335+ROW()/10000000)</f>
        <v/>
      </c>
      <c r="AB1335">
        <f>IF(AA1335="","",IF(COUNTIFS(Log!$D$6:$D$1505,D1335,Log!$AA$6:$AA$1505,"&gt;"&amp;AA1335)=0,1,0))</f>
        <v/>
      </c>
      <c r="AC1335">
        <f>IF(S1335="New best",AA1335,"")</f>
        <v/>
      </c>
      <c r="AD1335">
        <f>ROW()</f>
        <v/>
      </c>
    </row>
    <row r="1336">
      <c r="A1336" s="1" t="n"/>
      <c r="B1336" s="21" t="n"/>
      <c r="C1336" s="22" t="n"/>
      <c r="D1336" s="23" t="n"/>
      <c r="E1336" s="24" t="n"/>
      <c r="F1336" s="24" t="n"/>
      <c r="G1336" s="24" t="n"/>
      <c r="H1336" s="24" t="n"/>
      <c r="I1336" s="24" t="n"/>
      <c r="J1336" s="24" t="n"/>
      <c r="K1336" s="24" t="n"/>
      <c r="L1336" s="24" t="n"/>
      <c r="M1336" s="24" t="n"/>
      <c r="N1336" s="24" t="n"/>
      <c r="O1336" s="15">
        <f>IF(D1336="","",COUNT(F1336,H1336,J1336,L1336,N1336))</f>
        <v/>
      </c>
      <c r="P1336" s="25">
        <f>IF(D1336="","",N(E1336)*N(F1336)+N(G1336)*N(H1336)+N(I1336)*N(J1336)+N(K1336)*N(L1336)+N(M1336)*N(N1336))</f>
        <v/>
      </c>
      <c r="Q1336" s="18">
        <f>IF(N(X1336)=0,"",IF(IF(N(F1336)=0,0,IF(N(E1336)&gt;0,E1336*(1+F1336/30),F1336))=X1336,IF(N(E1336)&gt;0,E1336&amp;" x "&amp;F1336,F1336&amp;" reps"),IF(IF(N(H1336)=0,0,IF(N(G1336)&gt;0,G1336*(1+H1336/30),H1336))=X1336,IF(N(G1336)&gt;0,G1336&amp;" x "&amp;H1336,H1336&amp;" reps"),IF(IF(N(J1336)=0,0,IF(N(I1336)&gt;0,I1336*(1+J1336/30),J1336))=X1336,IF(N(I1336)&gt;0,I1336&amp;" x "&amp;J1336,J1336&amp;" reps"),IF(IF(N(L1336)=0,0,IF(N(K1336)&gt;0,K1336*(1+L1336/30),L1336))=X1336,IF(N(K1336)&gt;0,K1336&amp;" x "&amp;L1336,L1336&amp;" reps"),IF(IF(N(N1336)=0,0,IF(N(M1336)&gt;0,M1336*(1+N1336/30),N1336))=X1336,IF(N(M1336)&gt;0,M1336&amp;" x "&amp;N1336,N1336&amp;" reps"),""))))))</f>
        <v/>
      </c>
      <c r="R1336" s="20">
        <f>IF(N(X1336)=0,"",ROUND(X1336,1))</f>
        <v/>
      </c>
      <c r="S1336" s="18">
        <f>IF(N(X1336)=0,"",IF(AND(COUNTIFS(Log!$D$6:$D$1505,D1336,Log!$B$6:$B$1505,"&lt;"&amp;B1336)&gt;0,COUNTIFS(Log!$D$6:$D$1505,D1336,Log!$B$6:$B$1505,"&lt;"&amp;B1336,Log!$X$6:$X$1505,"&gt;="&amp;X1336)=0),"New best",""))</f>
        <v/>
      </c>
      <c r="T1336" s="26" t="n"/>
      <c r="U1336" s="1">
        <f>IF(D1336="","",IFERROR(INDEX(Exercises!$C$6:$C$105,MATCH(D1336,Exercises!$B$6:$B$105,0)),"Other"))</f>
        <v/>
      </c>
      <c r="V1336">
        <f>IF(B1336="","",IF(COUNTIF($B$6:B1336,B1336)=1,1,0))</f>
        <v/>
      </c>
      <c r="W1336">
        <f>IF(B1336="","",B1336-WEEKDAY(B1336,3))</f>
        <v/>
      </c>
      <c r="X1336">
        <f>IF(D1336="","",MAX(IF(N(F1336)=0,0,IF(N(E1336)&gt;0,E1336*(1+F1336/30),F1336)),IF(N(H1336)=0,0,IF(N(G1336)&gt;0,G1336*(1+H1336/30),H1336)),IF(N(J1336)=0,0,IF(N(I1336)&gt;0,I1336*(1+J1336/30),J1336)),IF(N(L1336)=0,0,IF(N(K1336)&gt;0,K1336*(1+L1336/30),L1336)),IF(N(N1336)=0,0,IF(N(M1336)&gt;0,M1336*(1+N1336/30),N1336))))</f>
        <v/>
      </c>
      <c r="Y1336">
        <f>IF(N(X1336)=0,"",X1336+ROW()/1000000000)</f>
        <v/>
      </c>
      <c r="Z1336">
        <f>IF(Y1336="","",IF(COUNTIFS(Log!$D$6:$D$1505,D1336,Log!$Y$6:$Y$1505,"&gt;"&amp;Y1336)=0,1,0))</f>
        <v/>
      </c>
      <c r="AA1336">
        <f>IF(OR(B1336="",D1336=""),"",B1336+ROW()/10000000)</f>
        <v/>
      </c>
      <c r="AB1336">
        <f>IF(AA1336="","",IF(COUNTIFS(Log!$D$6:$D$1505,D1336,Log!$AA$6:$AA$1505,"&gt;"&amp;AA1336)=0,1,0))</f>
        <v/>
      </c>
      <c r="AC1336">
        <f>IF(S1336="New best",AA1336,"")</f>
        <v/>
      </c>
      <c r="AD1336">
        <f>ROW()</f>
        <v/>
      </c>
    </row>
    <row r="1337">
      <c r="A1337" s="1" t="n"/>
      <c r="B1337" s="21" t="n"/>
      <c r="C1337" s="22" t="n"/>
      <c r="D1337" s="23" t="n"/>
      <c r="E1337" s="24" t="n"/>
      <c r="F1337" s="24" t="n"/>
      <c r="G1337" s="24" t="n"/>
      <c r="H1337" s="24" t="n"/>
      <c r="I1337" s="24" t="n"/>
      <c r="J1337" s="24" t="n"/>
      <c r="K1337" s="24" t="n"/>
      <c r="L1337" s="24" t="n"/>
      <c r="M1337" s="24" t="n"/>
      <c r="N1337" s="24" t="n"/>
      <c r="O1337" s="15">
        <f>IF(D1337="","",COUNT(F1337,H1337,J1337,L1337,N1337))</f>
        <v/>
      </c>
      <c r="P1337" s="25">
        <f>IF(D1337="","",N(E1337)*N(F1337)+N(G1337)*N(H1337)+N(I1337)*N(J1337)+N(K1337)*N(L1337)+N(M1337)*N(N1337))</f>
        <v/>
      </c>
      <c r="Q1337" s="18">
        <f>IF(N(X1337)=0,"",IF(IF(N(F1337)=0,0,IF(N(E1337)&gt;0,E1337*(1+F1337/30),F1337))=X1337,IF(N(E1337)&gt;0,E1337&amp;" x "&amp;F1337,F1337&amp;" reps"),IF(IF(N(H1337)=0,0,IF(N(G1337)&gt;0,G1337*(1+H1337/30),H1337))=X1337,IF(N(G1337)&gt;0,G1337&amp;" x "&amp;H1337,H1337&amp;" reps"),IF(IF(N(J1337)=0,0,IF(N(I1337)&gt;0,I1337*(1+J1337/30),J1337))=X1337,IF(N(I1337)&gt;0,I1337&amp;" x "&amp;J1337,J1337&amp;" reps"),IF(IF(N(L1337)=0,0,IF(N(K1337)&gt;0,K1337*(1+L1337/30),L1337))=X1337,IF(N(K1337)&gt;0,K1337&amp;" x "&amp;L1337,L1337&amp;" reps"),IF(IF(N(N1337)=0,0,IF(N(M1337)&gt;0,M1337*(1+N1337/30),N1337))=X1337,IF(N(M1337)&gt;0,M1337&amp;" x "&amp;N1337,N1337&amp;" reps"),""))))))</f>
        <v/>
      </c>
      <c r="R1337" s="20">
        <f>IF(N(X1337)=0,"",ROUND(X1337,1))</f>
        <v/>
      </c>
      <c r="S1337" s="18">
        <f>IF(N(X1337)=0,"",IF(AND(COUNTIFS(Log!$D$6:$D$1505,D1337,Log!$B$6:$B$1505,"&lt;"&amp;B1337)&gt;0,COUNTIFS(Log!$D$6:$D$1505,D1337,Log!$B$6:$B$1505,"&lt;"&amp;B1337,Log!$X$6:$X$1505,"&gt;="&amp;X1337)=0),"New best",""))</f>
        <v/>
      </c>
      <c r="T1337" s="26" t="n"/>
      <c r="U1337" s="1">
        <f>IF(D1337="","",IFERROR(INDEX(Exercises!$C$6:$C$105,MATCH(D1337,Exercises!$B$6:$B$105,0)),"Other"))</f>
        <v/>
      </c>
      <c r="V1337">
        <f>IF(B1337="","",IF(COUNTIF($B$6:B1337,B1337)=1,1,0))</f>
        <v/>
      </c>
      <c r="W1337">
        <f>IF(B1337="","",B1337-WEEKDAY(B1337,3))</f>
        <v/>
      </c>
      <c r="X1337">
        <f>IF(D1337="","",MAX(IF(N(F1337)=0,0,IF(N(E1337)&gt;0,E1337*(1+F1337/30),F1337)),IF(N(H1337)=0,0,IF(N(G1337)&gt;0,G1337*(1+H1337/30),H1337)),IF(N(J1337)=0,0,IF(N(I1337)&gt;0,I1337*(1+J1337/30),J1337)),IF(N(L1337)=0,0,IF(N(K1337)&gt;0,K1337*(1+L1337/30),L1337)),IF(N(N1337)=0,0,IF(N(M1337)&gt;0,M1337*(1+N1337/30),N1337))))</f>
        <v/>
      </c>
      <c r="Y1337">
        <f>IF(N(X1337)=0,"",X1337+ROW()/1000000000)</f>
        <v/>
      </c>
      <c r="Z1337">
        <f>IF(Y1337="","",IF(COUNTIFS(Log!$D$6:$D$1505,D1337,Log!$Y$6:$Y$1505,"&gt;"&amp;Y1337)=0,1,0))</f>
        <v/>
      </c>
      <c r="AA1337">
        <f>IF(OR(B1337="",D1337=""),"",B1337+ROW()/10000000)</f>
        <v/>
      </c>
      <c r="AB1337">
        <f>IF(AA1337="","",IF(COUNTIFS(Log!$D$6:$D$1505,D1337,Log!$AA$6:$AA$1505,"&gt;"&amp;AA1337)=0,1,0))</f>
        <v/>
      </c>
      <c r="AC1337">
        <f>IF(S1337="New best",AA1337,"")</f>
        <v/>
      </c>
      <c r="AD1337">
        <f>ROW()</f>
        <v/>
      </c>
    </row>
    <row r="1338">
      <c r="A1338" s="1" t="n"/>
      <c r="B1338" s="21" t="n"/>
      <c r="C1338" s="22" t="n"/>
      <c r="D1338" s="23" t="n"/>
      <c r="E1338" s="24" t="n"/>
      <c r="F1338" s="24" t="n"/>
      <c r="G1338" s="24" t="n"/>
      <c r="H1338" s="24" t="n"/>
      <c r="I1338" s="24" t="n"/>
      <c r="J1338" s="24" t="n"/>
      <c r="K1338" s="24" t="n"/>
      <c r="L1338" s="24" t="n"/>
      <c r="M1338" s="24" t="n"/>
      <c r="N1338" s="24" t="n"/>
      <c r="O1338" s="15">
        <f>IF(D1338="","",COUNT(F1338,H1338,J1338,L1338,N1338))</f>
        <v/>
      </c>
      <c r="P1338" s="25">
        <f>IF(D1338="","",N(E1338)*N(F1338)+N(G1338)*N(H1338)+N(I1338)*N(J1338)+N(K1338)*N(L1338)+N(M1338)*N(N1338))</f>
        <v/>
      </c>
      <c r="Q1338" s="18">
        <f>IF(N(X1338)=0,"",IF(IF(N(F1338)=0,0,IF(N(E1338)&gt;0,E1338*(1+F1338/30),F1338))=X1338,IF(N(E1338)&gt;0,E1338&amp;" x "&amp;F1338,F1338&amp;" reps"),IF(IF(N(H1338)=0,0,IF(N(G1338)&gt;0,G1338*(1+H1338/30),H1338))=X1338,IF(N(G1338)&gt;0,G1338&amp;" x "&amp;H1338,H1338&amp;" reps"),IF(IF(N(J1338)=0,0,IF(N(I1338)&gt;0,I1338*(1+J1338/30),J1338))=X1338,IF(N(I1338)&gt;0,I1338&amp;" x "&amp;J1338,J1338&amp;" reps"),IF(IF(N(L1338)=0,0,IF(N(K1338)&gt;0,K1338*(1+L1338/30),L1338))=X1338,IF(N(K1338)&gt;0,K1338&amp;" x "&amp;L1338,L1338&amp;" reps"),IF(IF(N(N1338)=0,0,IF(N(M1338)&gt;0,M1338*(1+N1338/30),N1338))=X1338,IF(N(M1338)&gt;0,M1338&amp;" x "&amp;N1338,N1338&amp;" reps"),""))))))</f>
        <v/>
      </c>
      <c r="R1338" s="20">
        <f>IF(N(X1338)=0,"",ROUND(X1338,1))</f>
        <v/>
      </c>
      <c r="S1338" s="18">
        <f>IF(N(X1338)=0,"",IF(AND(COUNTIFS(Log!$D$6:$D$1505,D1338,Log!$B$6:$B$1505,"&lt;"&amp;B1338)&gt;0,COUNTIFS(Log!$D$6:$D$1505,D1338,Log!$B$6:$B$1505,"&lt;"&amp;B1338,Log!$X$6:$X$1505,"&gt;="&amp;X1338)=0),"New best",""))</f>
        <v/>
      </c>
      <c r="T1338" s="26" t="n"/>
      <c r="U1338" s="1">
        <f>IF(D1338="","",IFERROR(INDEX(Exercises!$C$6:$C$105,MATCH(D1338,Exercises!$B$6:$B$105,0)),"Other"))</f>
        <v/>
      </c>
      <c r="V1338">
        <f>IF(B1338="","",IF(COUNTIF($B$6:B1338,B1338)=1,1,0))</f>
        <v/>
      </c>
      <c r="W1338">
        <f>IF(B1338="","",B1338-WEEKDAY(B1338,3))</f>
        <v/>
      </c>
      <c r="X1338">
        <f>IF(D1338="","",MAX(IF(N(F1338)=0,0,IF(N(E1338)&gt;0,E1338*(1+F1338/30),F1338)),IF(N(H1338)=0,0,IF(N(G1338)&gt;0,G1338*(1+H1338/30),H1338)),IF(N(J1338)=0,0,IF(N(I1338)&gt;0,I1338*(1+J1338/30),J1338)),IF(N(L1338)=0,0,IF(N(K1338)&gt;0,K1338*(1+L1338/30),L1338)),IF(N(N1338)=0,0,IF(N(M1338)&gt;0,M1338*(1+N1338/30),N1338))))</f>
        <v/>
      </c>
      <c r="Y1338">
        <f>IF(N(X1338)=0,"",X1338+ROW()/1000000000)</f>
        <v/>
      </c>
      <c r="Z1338">
        <f>IF(Y1338="","",IF(COUNTIFS(Log!$D$6:$D$1505,D1338,Log!$Y$6:$Y$1505,"&gt;"&amp;Y1338)=0,1,0))</f>
        <v/>
      </c>
      <c r="AA1338">
        <f>IF(OR(B1338="",D1338=""),"",B1338+ROW()/10000000)</f>
        <v/>
      </c>
      <c r="AB1338">
        <f>IF(AA1338="","",IF(COUNTIFS(Log!$D$6:$D$1505,D1338,Log!$AA$6:$AA$1505,"&gt;"&amp;AA1338)=0,1,0))</f>
        <v/>
      </c>
      <c r="AC1338">
        <f>IF(S1338="New best",AA1338,"")</f>
        <v/>
      </c>
      <c r="AD1338">
        <f>ROW()</f>
        <v/>
      </c>
    </row>
    <row r="1339">
      <c r="A1339" s="1" t="n"/>
      <c r="B1339" s="21" t="n"/>
      <c r="C1339" s="22" t="n"/>
      <c r="D1339" s="23" t="n"/>
      <c r="E1339" s="24" t="n"/>
      <c r="F1339" s="24" t="n"/>
      <c r="G1339" s="24" t="n"/>
      <c r="H1339" s="24" t="n"/>
      <c r="I1339" s="24" t="n"/>
      <c r="J1339" s="24" t="n"/>
      <c r="K1339" s="24" t="n"/>
      <c r="L1339" s="24" t="n"/>
      <c r="M1339" s="24" t="n"/>
      <c r="N1339" s="24" t="n"/>
      <c r="O1339" s="15">
        <f>IF(D1339="","",COUNT(F1339,H1339,J1339,L1339,N1339))</f>
        <v/>
      </c>
      <c r="P1339" s="25">
        <f>IF(D1339="","",N(E1339)*N(F1339)+N(G1339)*N(H1339)+N(I1339)*N(J1339)+N(K1339)*N(L1339)+N(M1339)*N(N1339))</f>
        <v/>
      </c>
      <c r="Q1339" s="18">
        <f>IF(N(X1339)=0,"",IF(IF(N(F1339)=0,0,IF(N(E1339)&gt;0,E1339*(1+F1339/30),F1339))=X1339,IF(N(E1339)&gt;0,E1339&amp;" x "&amp;F1339,F1339&amp;" reps"),IF(IF(N(H1339)=0,0,IF(N(G1339)&gt;0,G1339*(1+H1339/30),H1339))=X1339,IF(N(G1339)&gt;0,G1339&amp;" x "&amp;H1339,H1339&amp;" reps"),IF(IF(N(J1339)=0,0,IF(N(I1339)&gt;0,I1339*(1+J1339/30),J1339))=X1339,IF(N(I1339)&gt;0,I1339&amp;" x "&amp;J1339,J1339&amp;" reps"),IF(IF(N(L1339)=0,0,IF(N(K1339)&gt;0,K1339*(1+L1339/30),L1339))=X1339,IF(N(K1339)&gt;0,K1339&amp;" x "&amp;L1339,L1339&amp;" reps"),IF(IF(N(N1339)=0,0,IF(N(M1339)&gt;0,M1339*(1+N1339/30),N1339))=X1339,IF(N(M1339)&gt;0,M1339&amp;" x "&amp;N1339,N1339&amp;" reps"),""))))))</f>
        <v/>
      </c>
      <c r="R1339" s="20">
        <f>IF(N(X1339)=0,"",ROUND(X1339,1))</f>
        <v/>
      </c>
      <c r="S1339" s="18">
        <f>IF(N(X1339)=0,"",IF(AND(COUNTIFS(Log!$D$6:$D$1505,D1339,Log!$B$6:$B$1505,"&lt;"&amp;B1339)&gt;0,COUNTIFS(Log!$D$6:$D$1505,D1339,Log!$B$6:$B$1505,"&lt;"&amp;B1339,Log!$X$6:$X$1505,"&gt;="&amp;X1339)=0),"New best",""))</f>
        <v/>
      </c>
      <c r="T1339" s="26" t="n"/>
      <c r="U1339" s="1">
        <f>IF(D1339="","",IFERROR(INDEX(Exercises!$C$6:$C$105,MATCH(D1339,Exercises!$B$6:$B$105,0)),"Other"))</f>
        <v/>
      </c>
      <c r="V1339">
        <f>IF(B1339="","",IF(COUNTIF($B$6:B1339,B1339)=1,1,0))</f>
        <v/>
      </c>
      <c r="W1339">
        <f>IF(B1339="","",B1339-WEEKDAY(B1339,3))</f>
        <v/>
      </c>
      <c r="X1339">
        <f>IF(D1339="","",MAX(IF(N(F1339)=0,0,IF(N(E1339)&gt;0,E1339*(1+F1339/30),F1339)),IF(N(H1339)=0,0,IF(N(G1339)&gt;0,G1339*(1+H1339/30),H1339)),IF(N(J1339)=0,0,IF(N(I1339)&gt;0,I1339*(1+J1339/30),J1339)),IF(N(L1339)=0,0,IF(N(K1339)&gt;0,K1339*(1+L1339/30),L1339)),IF(N(N1339)=0,0,IF(N(M1339)&gt;0,M1339*(1+N1339/30),N1339))))</f>
        <v/>
      </c>
      <c r="Y1339">
        <f>IF(N(X1339)=0,"",X1339+ROW()/1000000000)</f>
        <v/>
      </c>
      <c r="Z1339">
        <f>IF(Y1339="","",IF(COUNTIFS(Log!$D$6:$D$1505,D1339,Log!$Y$6:$Y$1505,"&gt;"&amp;Y1339)=0,1,0))</f>
        <v/>
      </c>
      <c r="AA1339">
        <f>IF(OR(B1339="",D1339=""),"",B1339+ROW()/10000000)</f>
        <v/>
      </c>
      <c r="AB1339">
        <f>IF(AA1339="","",IF(COUNTIFS(Log!$D$6:$D$1505,D1339,Log!$AA$6:$AA$1505,"&gt;"&amp;AA1339)=0,1,0))</f>
        <v/>
      </c>
      <c r="AC1339">
        <f>IF(S1339="New best",AA1339,"")</f>
        <v/>
      </c>
      <c r="AD1339">
        <f>ROW()</f>
        <v/>
      </c>
    </row>
    <row r="1340">
      <c r="A1340" s="1" t="n"/>
      <c r="B1340" s="21" t="n"/>
      <c r="C1340" s="22" t="n"/>
      <c r="D1340" s="23" t="n"/>
      <c r="E1340" s="24" t="n"/>
      <c r="F1340" s="24" t="n"/>
      <c r="G1340" s="24" t="n"/>
      <c r="H1340" s="24" t="n"/>
      <c r="I1340" s="24" t="n"/>
      <c r="J1340" s="24" t="n"/>
      <c r="K1340" s="24" t="n"/>
      <c r="L1340" s="24" t="n"/>
      <c r="M1340" s="24" t="n"/>
      <c r="N1340" s="24" t="n"/>
      <c r="O1340" s="15">
        <f>IF(D1340="","",COUNT(F1340,H1340,J1340,L1340,N1340))</f>
        <v/>
      </c>
      <c r="P1340" s="25">
        <f>IF(D1340="","",N(E1340)*N(F1340)+N(G1340)*N(H1340)+N(I1340)*N(J1340)+N(K1340)*N(L1340)+N(M1340)*N(N1340))</f>
        <v/>
      </c>
      <c r="Q1340" s="18">
        <f>IF(N(X1340)=0,"",IF(IF(N(F1340)=0,0,IF(N(E1340)&gt;0,E1340*(1+F1340/30),F1340))=X1340,IF(N(E1340)&gt;0,E1340&amp;" x "&amp;F1340,F1340&amp;" reps"),IF(IF(N(H1340)=0,0,IF(N(G1340)&gt;0,G1340*(1+H1340/30),H1340))=X1340,IF(N(G1340)&gt;0,G1340&amp;" x "&amp;H1340,H1340&amp;" reps"),IF(IF(N(J1340)=0,0,IF(N(I1340)&gt;0,I1340*(1+J1340/30),J1340))=X1340,IF(N(I1340)&gt;0,I1340&amp;" x "&amp;J1340,J1340&amp;" reps"),IF(IF(N(L1340)=0,0,IF(N(K1340)&gt;0,K1340*(1+L1340/30),L1340))=X1340,IF(N(K1340)&gt;0,K1340&amp;" x "&amp;L1340,L1340&amp;" reps"),IF(IF(N(N1340)=0,0,IF(N(M1340)&gt;0,M1340*(1+N1340/30),N1340))=X1340,IF(N(M1340)&gt;0,M1340&amp;" x "&amp;N1340,N1340&amp;" reps"),""))))))</f>
        <v/>
      </c>
      <c r="R1340" s="20">
        <f>IF(N(X1340)=0,"",ROUND(X1340,1))</f>
        <v/>
      </c>
      <c r="S1340" s="18">
        <f>IF(N(X1340)=0,"",IF(AND(COUNTIFS(Log!$D$6:$D$1505,D1340,Log!$B$6:$B$1505,"&lt;"&amp;B1340)&gt;0,COUNTIFS(Log!$D$6:$D$1505,D1340,Log!$B$6:$B$1505,"&lt;"&amp;B1340,Log!$X$6:$X$1505,"&gt;="&amp;X1340)=0),"New best",""))</f>
        <v/>
      </c>
      <c r="T1340" s="26" t="n"/>
      <c r="U1340" s="1">
        <f>IF(D1340="","",IFERROR(INDEX(Exercises!$C$6:$C$105,MATCH(D1340,Exercises!$B$6:$B$105,0)),"Other"))</f>
        <v/>
      </c>
      <c r="V1340">
        <f>IF(B1340="","",IF(COUNTIF($B$6:B1340,B1340)=1,1,0))</f>
        <v/>
      </c>
      <c r="W1340">
        <f>IF(B1340="","",B1340-WEEKDAY(B1340,3))</f>
        <v/>
      </c>
      <c r="X1340">
        <f>IF(D1340="","",MAX(IF(N(F1340)=0,0,IF(N(E1340)&gt;0,E1340*(1+F1340/30),F1340)),IF(N(H1340)=0,0,IF(N(G1340)&gt;0,G1340*(1+H1340/30),H1340)),IF(N(J1340)=0,0,IF(N(I1340)&gt;0,I1340*(1+J1340/30),J1340)),IF(N(L1340)=0,0,IF(N(K1340)&gt;0,K1340*(1+L1340/30),L1340)),IF(N(N1340)=0,0,IF(N(M1340)&gt;0,M1340*(1+N1340/30),N1340))))</f>
        <v/>
      </c>
      <c r="Y1340">
        <f>IF(N(X1340)=0,"",X1340+ROW()/1000000000)</f>
        <v/>
      </c>
      <c r="Z1340">
        <f>IF(Y1340="","",IF(COUNTIFS(Log!$D$6:$D$1505,D1340,Log!$Y$6:$Y$1505,"&gt;"&amp;Y1340)=0,1,0))</f>
        <v/>
      </c>
      <c r="AA1340">
        <f>IF(OR(B1340="",D1340=""),"",B1340+ROW()/10000000)</f>
        <v/>
      </c>
      <c r="AB1340">
        <f>IF(AA1340="","",IF(COUNTIFS(Log!$D$6:$D$1505,D1340,Log!$AA$6:$AA$1505,"&gt;"&amp;AA1340)=0,1,0))</f>
        <v/>
      </c>
      <c r="AC1340">
        <f>IF(S1340="New best",AA1340,"")</f>
        <v/>
      </c>
      <c r="AD1340">
        <f>ROW()</f>
        <v/>
      </c>
    </row>
    <row r="1341">
      <c r="A1341" s="1" t="n"/>
      <c r="B1341" s="21" t="n"/>
      <c r="C1341" s="22" t="n"/>
      <c r="D1341" s="23" t="n"/>
      <c r="E1341" s="24" t="n"/>
      <c r="F1341" s="24" t="n"/>
      <c r="G1341" s="24" t="n"/>
      <c r="H1341" s="24" t="n"/>
      <c r="I1341" s="24" t="n"/>
      <c r="J1341" s="24" t="n"/>
      <c r="K1341" s="24" t="n"/>
      <c r="L1341" s="24" t="n"/>
      <c r="M1341" s="24" t="n"/>
      <c r="N1341" s="24" t="n"/>
      <c r="O1341" s="15">
        <f>IF(D1341="","",COUNT(F1341,H1341,J1341,L1341,N1341))</f>
        <v/>
      </c>
      <c r="P1341" s="25">
        <f>IF(D1341="","",N(E1341)*N(F1341)+N(G1341)*N(H1341)+N(I1341)*N(J1341)+N(K1341)*N(L1341)+N(M1341)*N(N1341))</f>
        <v/>
      </c>
      <c r="Q1341" s="18">
        <f>IF(N(X1341)=0,"",IF(IF(N(F1341)=0,0,IF(N(E1341)&gt;0,E1341*(1+F1341/30),F1341))=X1341,IF(N(E1341)&gt;0,E1341&amp;" x "&amp;F1341,F1341&amp;" reps"),IF(IF(N(H1341)=0,0,IF(N(G1341)&gt;0,G1341*(1+H1341/30),H1341))=X1341,IF(N(G1341)&gt;0,G1341&amp;" x "&amp;H1341,H1341&amp;" reps"),IF(IF(N(J1341)=0,0,IF(N(I1341)&gt;0,I1341*(1+J1341/30),J1341))=X1341,IF(N(I1341)&gt;0,I1341&amp;" x "&amp;J1341,J1341&amp;" reps"),IF(IF(N(L1341)=0,0,IF(N(K1341)&gt;0,K1341*(1+L1341/30),L1341))=X1341,IF(N(K1341)&gt;0,K1341&amp;" x "&amp;L1341,L1341&amp;" reps"),IF(IF(N(N1341)=0,0,IF(N(M1341)&gt;0,M1341*(1+N1341/30),N1341))=X1341,IF(N(M1341)&gt;0,M1341&amp;" x "&amp;N1341,N1341&amp;" reps"),""))))))</f>
        <v/>
      </c>
      <c r="R1341" s="20">
        <f>IF(N(X1341)=0,"",ROUND(X1341,1))</f>
        <v/>
      </c>
      <c r="S1341" s="18">
        <f>IF(N(X1341)=0,"",IF(AND(COUNTIFS(Log!$D$6:$D$1505,D1341,Log!$B$6:$B$1505,"&lt;"&amp;B1341)&gt;0,COUNTIFS(Log!$D$6:$D$1505,D1341,Log!$B$6:$B$1505,"&lt;"&amp;B1341,Log!$X$6:$X$1505,"&gt;="&amp;X1341)=0),"New best",""))</f>
        <v/>
      </c>
      <c r="T1341" s="26" t="n"/>
      <c r="U1341" s="1">
        <f>IF(D1341="","",IFERROR(INDEX(Exercises!$C$6:$C$105,MATCH(D1341,Exercises!$B$6:$B$105,0)),"Other"))</f>
        <v/>
      </c>
      <c r="V1341">
        <f>IF(B1341="","",IF(COUNTIF($B$6:B1341,B1341)=1,1,0))</f>
        <v/>
      </c>
      <c r="W1341">
        <f>IF(B1341="","",B1341-WEEKDAY(B1341,3))</f>
        <v/>
      </c>
      <c r="X1341">
        <f>IF(D1341="","",MAX(IF(N(F1341)=0,0,IF(N(E1341)&gt;0,E1341*(1+F1341/30),F1341)),IF(N(H1341)=0,0,IF(N(G1341)&gt;0,G1341*(1+H1341/30),H1341)),IF(N(J1341)=0,0,IF(N(I1341)&gt;0,I1341*(1+J1341/30),J1341)),IF(N(L1341)=0,0,IF(N(K1341)&gt;0,K1341*(1+L1341/30),L1341)),IF(N(N1341)=0,0,IF(N(M1341)&gt;0,M1341*(1+N1341/30),N1341))))</f>
        <v/>
      </c>
      <c r="Y1341">
        <f>IF(N(X1341)=0,"",X1341+ROW()/1000000000)</f>
        <v/>
      </c>
      <c r="Z1341">
        <f>IF(Y1341="","",IF(COUNTIFS(Log!$D$6:$D$1505,D1341,Log!$Y$6:$Y$1505,"&gt;"&amp;Y1341)=0,1,0))</f>
        <v/>
      </c>
      <c r="AA1341">
        <f>IF(OR(B1341="",D1341=""),"",B1341+ROW()/10000000)</f>
        <v/>
      </c>
      <c r="AB1341">
        <f>IF(AA1341="","",IF(COUNTIFS(Log!$D$6:$D$1505,D1341,Log!$AA$6:$AA$1505,"&gt;"&amp;AA1341)=0,1,0))</f>
        <v/>
      </c>
      <c r="AC1341">
        <f>IF(S1341="New best",AA1341,"")</f>
        <v/>
      </c>
      <c r="AD1341">
        <f>ROW()</f>
        <v/>
      </c>
    </row>
    <row r="1342">
      <c r="A1342" s="1" t="n"/>
      <c r="B1342" s="21" t="n"/>
      <c r="C1342" s="22" t="n"/>
      <c r="D1342" s="23" t="n"/>
      <c r="E1342" s="24" t="n"/>
      <c r="F1342" s="24" t="n"/>
      <c r="G1342" s="24" t="n"/>
      <c r="H1342" s="24" t="n"/>
      <c r="I1342" s="24" t="n"/>
      <c r="J1342" s="24" t="n"/>
      <c r="K1342" s="24" t="n"/>
      <c r="L1342" s="24" t="n"/>
      <c r="M1342" s="24" t="n"/>
      <c r="N1342" s="24" t="n"/>
      <c r="O1342" s="15">
        <f>IF(D1342="","",COUNT(F1342,H1342,J1342,L1342,N1342))</f>
        <v/>
      </c>
      <c r="P1342" s="25">
        <f>IF(D1342="","",N(E1342)*N(F1342)+N(G1342)*N(H1342)+N(I1342)*N(J1342)+N(K1342)*N(L1342)+N(M1342)*N(N1342))</f>
        <v/>
      </c>
      <c r="Q1342" s="18">
        <f>IF(N(X1342)=0,"",IF(IF(N(F1342)=0,0,IF(N(E1342)&gt;0,E1342*(1+F1342/30),F1342))=X1342,IF(N(E1342)&gt;0,E1342&amp;" x "&amp;F1342,F1342&amp;" reps"),IF(IF(N(H1342)=0,0,IF(N(G1342)&gt;0,G1342*(1+H1342/30),H1342))=X1342,IF(N(G1342)&gt;0,G1342&amp;" x "&amp;H1342,H1342&amp;" reps"),IF(IF(N(J1342)=0,0,IF(N(I1342)&gt;0,I1342*(1+J1342/30),J1342))=X1342,IF(N(I1342)&gt;0,I1342&amp;" x "&amp;J1342,J1342&amp;" reps"),IF(IF(N(L1342)=0,0,IF(N(K1342)&gt;0,K1342*(1+L1342/30),L1342))=X1342,IF(N(K1342)&gt;0,K1342&amp;" x "&amp;L1342,L1342&amp;" reps"),IF(IF(N(N1342)=0,0,IF(N(M1342)&gt;0,M1342*(1+N1342/30),N1342))=X1342,IF(N(M1342)&gt;0,M1342&amp;" x "&amp;N1342,N1342&amp;" reps"),""))))))</f>
        <v/>
      </c>
      <c r="R1342" s="20">
        <f>IF(N(X1342)=0,"",ROUND(X1342,1))</f>
        <v/>
      </c>
      <c r="S1342" s="18">
        <f>IF(N(X1342)=0,"",IF(AND(COUNTIFS(Log!$D$6:$D$1505,D1342,Log!$B$6:$B$1505,"&lt;"&amp;B1342)&gt;0,COUNTIFS(Log!$D$6:$D$1505,D1342,Log!$B$6:$B$1505,"&lt;"&amp;B1342,Log!$X$6:$X$1505,"&gt;="&amp;X1342)=0),"New best",""))</f>
        <v/>
      </c>
      <c r="T1342" s="26" t="n"/>
      <c r="U1342" s="1">
        <f>IF(D1342="","",IFERROR(INDEX(Exercises!$C$6:$C$105,MATCH(D1342,Exercises!$B$6:$B$105,0)),"Other"))</f>
        <v/>
      </c>
      <c r="V1342">
        <f>IF(B1342="","",IF(COUNTIF($B$6:B1342,B1342)=1,1,0))</f>
        <v/>
      </c>
      <c r="W1342">
        <f>IF(B1342="","",B1342-WEEKDAY(B1342,3))</f>
        <v/>
      </c>
      <c r="X1342">
        <f>IF(D1342="","",MAX(IF(N(F1342)=0,0,IF(N(E1342)&gt;0,E1342*(1+F1342/30),F1342)),IF(N(H1342)=0,0,IF(N(G1342)&gt;0,G1342*(1+H1342/30),H1342)),IF(N(J1342)=0,0,IF(N(I1342)&gt;0,I1342*(1+J1342/30),J1342)),IF(N(L1342)=0,0,IF(N(K1342)&gt;0,K1342*(1+L1342/30),L1342)),IF(N(N1342)=0,0,IF(N(M1342)&gt;0,M1342*(1+N1342/30),N1342))))</f>
        <v/>
      </c>
      <c r="Y1342">
        <f>IF(N(X1342)=0,"",X1342+ROW()/1000000000)</f>
        <v/>
      </c>
      <c r="Z1342">
        <f>IF(Y1342="","",IF(COUNTIFS(Log!$D$6:$D$1505,D1342,Log!$Y$6:$Y$1505,"&gt;"&amp;Y1342)=0,1,0))</f>
        <v/>
      </c>
      <c r="AA1342">
        <f>IF(OR(B1342="",D1342=""),"",B1342+ROW()/10000000)</f>
        <v/>
      </c>
      <c r="AB1342">
        <f>IF(AA1342="","",IF(COUNTIFS(Log!$D$6:$D$1505,D1342,Log!$AA$6:$AA$1505,"&gt;"&amp;AA1342)=0,1,0))</f>
        <v/>
      </c>
      <c r="AC1342">
        <f>IF(S1342="New best",AA1342,"")</f>
        <v/>
      </c>
      <c r="AD1342">
        <f>ROW()</f>
        <v/>
      </c>
    </row>
    <row r="1343">
      <c r="A1343" s="1" t="n"/>
      <c r="B1343" s="21" t="n"/>
      <c r="C1343" s="22" t="n"/>
      <c r="D1343" s="23" t="n"/>
      <c r="E1343" s="24" t="n"/>
      <c r="F1343" s="24" t="n"/>
      <c r="G1343" s="24" t="n"/>
      <c r="H1343" s="24" t="n"/>
      <c r="I1343" s="24" t="n"/>
      <c r="J1343" s="24" t="n"/>
      <c r="K1343" s="24" t="n"/>
      <c r="L1343" s="24" t="n"/>
      <c r="M1343" s="24" t="n"/>
      <c r="N1343" s="24" t="n"/>
      <c r="O1343" s="15">
        <f>IF(D1343="","",COUNT(F1343,H1343,J1343,L1343,N1343))</f>
        <v/>
      </c>
      <c r="P1343" s="25">
        <f>IF(D1343="","",N(E1343)*N(F1343)+N(G1343)*N(H1343)+N(I1343)*N(J1343)+N(K1343)*N(L1343)+N(M1343)*N(N1343))</f>
        <v/>
      </c>
      <c r="Q1343" s="18">
        <f>IF(N(X1343)=0,"",IF(IF(N(F1343)=0,0,IF(N(E1343)&gt;0,E1343*(1+F1343/30),F1343))=X1343,IF(N(E1343)&gt;0,E1343&amp;" x "&amp;F1343,F1343&amp;" reps"),IF(IF(N(H1343)=0,0,IF(N(G1343)&gt;0,G1343*(1+H1343/30),H1343))=X1343,IF(N(G1343)&gt;0,G1343&amp;" x "&amp;H1343,H1343&amp;" reps"),IF(IF(N(J1343)=0,0,IF(N(I1343)&gt;0,I1343*(1+J1343/30),J1343))=X1343,IF(N(I1343)&gt;0,I1343&amp;" x "&amp;J1343,J1343&amp;" reps"),IF(IF(N(L1343)=0,0,IF(N(K1343)&gt;0,K1343*(1+L1343/30),L1343))=X1343,IF(N(K1343)&gt;0,K1343&amp;" x "&amp;L1343,L1343&amp;" reps"),IF(IF(N(N1343)=0,0,IF(N(M1343)&gt;0,M1343*(1+N1343/30),N1343))=X1343,IF(N(M1343)&gt;0,M1343&amp;" x "&amp;N1343,N1343&amp;" reps"),""))))))</f>
        <v/>
      </c>
      <c r="R1343" s="20">
        <f>IF(N(X1343)=0,"",ROUND(X1343,1))</f>
        <v/>
      </c>
      <c r="S1343" s="18">
        <f>IF(N(X1343)=0,"",IF(AND(COUNTIFS(Log!$D$6:$D$1505,D1343,Log!$B$6:$B$1505,"&lt;"&amp;B1343)&gt;0,COUNTIFS(Log!$D$6:$D$1505,D1343,Log!$B$6:$B$1505,"&lt;"&amp;B1343,Log!$X$6:$X$1505,"&gt;="&amp;X1343)=0),"New best",""))</f>
        <v/>
      </c>
      <c r="T1343" s="26" t="n"/>
      <c r="U1343" s="1">
        <f>IF(D1343="","",IFERROR(INDEX(Exercises!$C$6:$C$105,MATCH(D1343,Exercises!$B$6:$B$105,0)),"Other"))</f>
        <v/>
      </c>
      <c r="V1343">
        <f>IF(B1343="","",IF(COUNTIF($B$6:B1343,B1343)=1,1,0))</f>
        <v/>
      </c>
      <c r="W1343">
        <f>IF(B1343="","",B1343-WEEKDAY(B1343,3))</f>
        <v/>
      </c>
      <c r="X1343">
        <f>IF(D1343="","",MAX(IF(N(F1343)=0,0,IF(N(E1343)&gt;0,E1343*(1+F1343/30),F1343)),IF(N(H1343)=0,0,IF(N(G1343)&gt;0,G1343*(1+H1343/30),H1343)),IF(N(J1343)=0,0,IF(N(I1343)&gt;0,I1343*(1+J1343/30),J1343)),IF(N(L1343)=0,0,IF(N(K1343)&gt;0,K1343*(1+L1343/30),L1343)),IF(N(N1343)=0,0,IF(N(M1343)&gt;0,M1343*(1+N1343/30),N1343))))</f>
        <v/>
      </c>
      <c r="Y1343">
        <f>IF(N(X1343)=0,"",X1343+ROW()/1000000000)</f>
        <v/>
      </c>
      <c r="Z1343">
        <f>IF(Y1343="","",IF(COUNTIFS(Log!$D$6:$D$1505,D1343,Log!$Y$6:$Y$1505,"&gt;"&amp;Y1343)=0,1,0))</f>
        <v/>
      </c>
      <c r="AA1343">
        <f>IF(OR(B1343="",D1343=""),"",B1343+ROW()/10000000)</f>
        <v/>
      </c>
      <c r="AB1343">
        <f>IF(AA1343="","",IF(COUNTIFS(Log!$D$6:$D$1505,D1343,Log!$AA$6:$AA$1505,"&gt;"&amp;AA1343)=0,1,0))</f>
        <v/>
      </c>
      <c r="AC1343">
        <f>IF(S1343="New best",AA1343,"")</f>
        <v/>
      </c>
      <c r="AD1343">
        <f>ROW()</f>
        <v/>
      </c>
    </row>
    <row r="1344">
      <c r="A1344" s="1" t="n"/>
      <c r="B1344" s="21" t="n"/>
      <c r="C1344" s="22" t="n"/>
      <c r="D1344" s="23" t="n"/>
      <c r="E1344" s="24" t="n"/>
      <c r="F1344" s="24" t="n"/>
      <c r="G1344" s="24" t="n"/>
      <c r="H1344" s="24" t="n"/>
      <c r="I1344" s="24" t="n"/>
      <c r="J1344" s="24" t="n"/>
      <c r="K1344" s="24" t="n"/>
      <c r="L1344" s="24" t="n"/>
      <c r="M1344" s="24" t="n"/>
      <c r="N1344" s="24" t="n"/>
      <c r="O1344" s="15">
        <f>IF(D1344="","",COUNT(F1344,H1344,J1344,L1344,N1344))</f>
        <v/>
      </c>
      <c r="P1344" s="25">
        <f>IF(D1344="","",N(E1344)*N(F1344)+N(G1344)*N(H1344)+N(I1344)*N(J1344)+N(K1344)*N(L1344)+N(M1344)*N(N1344))</f>
        <v/>
      </c>
      <c r="Q1344" s="18">
        <f>IF(N(X1344)=0,"",IF(IF(N(F1344)=0,0,IF(N(E1344)&gt;0,E1344*(1+F1344/30),F1344))=X1344,IF(N(E1344)&gt;0,E1344&amp;" x "&amp;F1344,F1344&amp;" reps"),IF(IF(N(H1344)=0,0,IF(N(G1344)&gt;0,G1344*(1+H1344/30),H1344))=X1344,IF(N(G1344)&gt;0,G1344&amp;" x "&amp;H1344,H1344&amp;" reps"),IF(IF(N(J1344)=0,0,IF(N(I1344)&gt;0,I1344*(1+J1344/30),J1344))=X1344,IF(N(I1344)&gt;0,I1344&amp;" x "&amp;J1344,J1344&amp;" reps"),IF(IF(N(L1344)=0,0,IF(N(K1344)&gt;0,K1344*(1+L1344/30),L1344))=X1344,IF(N(K1344)&gt;0,K1344&amp;" x "&amp;L1344,L1344&amp;" reps"),IF(IF(N(N1344)=0,0,IF(N(M1344)&gt;0,M1344*(1+N1344/30),N1344))=X1344,IF(N(M1344)&gt;0,M1344&amp;" x "&amp;N1344,N1344&amp;" reps"),""))))))</f>
        <v/>
      </c>
      <c r="R1344" s="20">
        <f>IF(N(X1344)=0,"",ROUND(X1344,1))</f>
        <v/>
      </c>
      <c r="S1344" s="18">
        <f>IF(N(X1344)=0,"",IF(AND(COUNTIFS(Log!$D$6:$D$1505,D1344,Log!$B$6:$B$1505,"&lt;"&amp;B1344)&gt;0,COUNTIFS(Log!$D$6:$D$1505,D1344,Log!$B$6:$B$1505,"&lt;"&amp;B1344,Log!$X$6:$X$1505,"&gt;="&amp;X1344)=0),"New best",""))</f>
        <v/>
      </c>
      <c r="T1344" s="26" t="n"/>
      <c r="U1344" s="1">
        <f>IF(D1344="","",IFERROR(INDEX(Exercises!$C$6:$C$105,MATCH(D1344,Exercises!$B$6:$B$105,0)),"Other"))</f>
        <v/>
      </c>
      <c r="V1344">
        <f>IF(B1344="","",IF(COUNTIF($B$6:B1344,B1344)=1,1,0))</f>
        <v/>
      </c>
      <c r="W1344">
        <f>IF(B1344="","",B1344-WEEKDAY(B1344,3))</f>
        <v/>
      </c>
      <c r="X1344">
        <f>IF(D1344="","",MAX(IF(N(F1344)=0,0,IF(N(E1344)&gt;0,E1344*(1+F1344/30),F1344)),IF(N(H1344)=0,0,IF(N(G1344)&gt;0,G1344*(1+H1344/30),H1344)),IF(N(J1344)=0,0,IF(N(I1344)&gt;0,I1344*(1+J1344/30),J1344)),IF(N(L1344)=0,0,IF(N(K1344)&gt;0,K1344*(1+L1344/30),L1344)),IF(N(N1344)=0,0,IF(N(M1344)&gt;0,M1344*(1+N1344/30),N1344))))</f>
        <v/>
      </c>
      <c r="Y1344">
        <f>IF(N(X1344)=0,"",X1344+ROW()/1000000000)</f>
        <v/>
      </c>
      <c r="Z1344">
        <f>IF(Y1344="","",IF(COUNTIFS(Log!$D$6:$D$1505,D1344,Log!$Y$6:$Y$1505,"&gt;"&amp;Y1344)=0,1,0))</f>
        <v/>
      </c>
      <c r="AA1344">
        <f>IF(OR(B1344="",D1344=""),"",B1344+ROW()/10000000)</f>
        <v/>
      </c>
      <c r="AB1344">
        <f>IF(AA1344="","",IF(COUNTIFS(Log!$D$6:$D$1505,D1344,Log!$AA$6:$AA$1505,"&gt;"&amp;AA1344)=0,1,0))</f>
        <v/>
      </c>
      <c r="AC1344">
        <f>IF(S1344="New best",AA1344,"")</f>
        <v/>
      </c>
      <c r="AD1344">
        <f>ROW()</f>
        <v/>
      </c>
    </row>
    <row r="1345">
      <c r="A1345" s="1" t="n"/>
      <c r="B1345" s="21" t="n"/>
      <c r="C1345" s="22" t="n"/>
      <c r="D1345" s="23" t="n"/>
      <c r="E1345" s="24" t="n"/>
      <c r="F1345" s="24" t="n"/>
      <c r="G1345" s="24" t="n"/>
      <c r="H1345" s="24" t="n"/>
      <c r="I1345" s="24" t="n"/>
      <c r="J1345" s="24" t="n"/>
      <c r="K1345" s="24" t="n"/>
      <c r="L1345" s="24" t="n"/>
      <c r="M1345" s="24" t="n"/>
      <c r="N1345" s="24" t="n"/>
      <c r="O1345" s="15">
        <f>IF(D1345="","",COUNT(F1345,H1345,J1345,L1345,N1345))</f>
        <v/>
      </c>
      <c r="P1345" s="25">
        <f>IF(D1345="","",N(E1345)*N(F1345)+N(G1345)*N(H1345)+N(I1345)*N(J1345)+N(K1345)*N(L1345)+N(M1345)*N(N1345))</f>
        <v/>
      </c>
      <c r="Q1345" s="18">
        <f>IF(N(X1345)=0,"",IF(IF(N(F1345)=0,0,IF(N(E1345)&gt;0,E1345*(1+F1345/30),F1345))=X1345,IF(N(E1345)&gt;0,E1345&amp;" x "&amp;F1345,F1345&amp;" reps"),IF(IF(N(H1345)=0,0,IF(N(G1345)&gt;0,G1345*(1+H1345/30),H1345))=X1345,IF(N(G1345)&gt;0,G1345&amp;" x "&amp;H1345,H1345&amp;" reps"),IF(IF(N(J1345)=0,0,IF(N(I1345)&gt;0,I1345*(1+J1345/30),J1345))=X1345,IF(N(I1345)&gt;0,I1345&amp;" x "&amp;J1345,J1345&amp;" reps"),IF(IF(N(L1345)=0,0,IF(N(K1345)&gt;0,K1345*(1+L1345/30),L1345))=X1345,IF(N(K1345)&gt;0,K1345&amp;" x "&amp;L1345,L1345&amp;" reps"),IF(IF(N(N1345)=0,0,IF(N(M1345)&gt;0,M1345*(1+N1345/30),N1345))=X1345,IF(N(M1345)&gt;0,M1345&amp;" x "&amp;N1345,N1345&amp;" reps"),""))))))</f>
        <v/>
      </c>
      <c r="R1345" s="20">
        <f>IF(N(X1345)=0,"",ROUND(X1345,1))</f>
        <v/>
      </c>
      <c r="S1345" s="18">
        <f>IF(N(X1345)=0,"",IF(AND(COUNTIFS(Log!$D$6:$D$1505,D1345,Log!$B$6:$B$1505,"&lt;"&amp;B1345)&gt;0,COUNTIFS(Log!$D$6:$D$1505,D1345,Log!$B$6:$B$1505,"&lt;"&amp;B1345,Log!$X$6:$X$1505,"&gt;="&amp;X1345)=0),"New best",""))</f>
        <v/>
      </c>
      <c r="T1345" s="26" t="n"/>
      <c r="U1345" s="1">
        <f>IF(D1345="","",IFERROR(INDEX(Exercises!$C$6:$C$105,MATCH(D1345,Exercises!$B$6:$B$105,0)),"Other"))</f>
        <v/>
      </c>
      <c r="V1345">
        <f>IF(B1345="","",IF(COUNTIF($B$6:B1345,B1345)=1,1,0))</f>
        <v/>
      </c>
      <c r="W1345">
        <f>IF(B1345="","",B1345-WEEKDAY(B1345,3))</f>
        <v/>
      </c>
      <c r="X1345">
        <f>IF(D1345="","",MAX(IF(N(F1345)=0,0,IF(N(E1345)&gt;0,E1345*(1+F1345/30),F1345)),IF(N(H1345)=0,0,IF(N(G1345)&gt;0,G1345*(1+H1345/30),H1345)),IF(N(J1345)=0,0,IF(N(I1345)&gt;0,I1345*(1+J1345/30),J1345)),IF(N(L1345)=0,0,IF(N(K1345)&gt;0,K1345*(1+L1345/30),L1345)),IF(N(N1345)=0,0,IF(N(M1345)&gt;0,M1345*(1+N1345/30),N1345))))</f>
        <v/>
      </c>
      <c r="Y1345">
        <f>IF(N(X1345)=0,"",X1345+ROW()/1000000000)</f>
        <v/>
      </c>
      <c r="Z1345">
        <f>IF(Y1345="","",IF(COUNTIFS(Log!$D$6:$D$1505,D1345,Log!$Y$6:$Y$1505,"&gt;"&amp;Y1345)=0,1,0))</f>
        <v/>
      </c>
      <c r="AA1345">
        <f>IF(OR(B1345="",D1345=""),"",B1345+ROW()/10000000)</f>
        <v/>
      </c>
      <c r="AB1345">
        <f>IF(AA1345="","",IF(COUNTIFS(Log!$D$6:$D$1505,D1345,Log!$AA$6:$AA$1505,"&gt;"&amp;AA1345)=0,1,0))</f>
        <v/>
      </c>
      <c r="AC1345">
        <f>IF(S1345="New best",AA1345,"")</f>
        <v/>
      </c>
      <c r="AD1345">
        <f>ROW()</f>
        <v/>
      </c>
    </row>
    <row r="1346">
      <c r="A1346" s="1" t="n"/>
      <c r="B1346" s="21" t="n"/>
      <c r="C1346" s="22" t="n"/>
      <c r="D1346" s="23" t="n"/>
      <c r="E1346" s="24" t="n"/>
      <c r="F1346" s="24" t="n"/>
      <c r="G1346" s="24" t="n"/>
      <c r="H1346" s="24" t="n"/>
      <c r="I1346" s="24" t="n"/>
      <c r="J1346" s="24" t="n"/>
      <c r="K1346" s="24" t="n"/>
      <c r="L1346" s="24" t="n"/>
      <c r="M1346" s="24" t="n"/>
      <c r="N1346" s="24" t="n"/>
      <c r="O1346" s="15">
        <f>IF(D1346="","",COUNT(F1346,H1346,J1346,L1346,N1346))</f>
        <v/>
      </c>
      <c r="P1346" s="25">
        <f>IF(D1346="","",N(E1346)*N(F1346)+N(G1346)*N(H1346)+N(I1346)*N(J1346)+N(K1346)*N(L1346)+N(M1346)*N(N1346))</f>
        <v/>
      </c>
      <c r="Q1346" s="18">
        <f>IF(N(X1346)=0,"",IF(IF(N(F1346)=0,0,IF(N(E1346)&gt;0,E1346*(1+F1346/30),F1346))=X1346,IF(N(E1346)&gt;0,E1346&amp;" x "&amp;F1346,F1346&amp;" reps"),IF(IF(N(H1346)=0,0,IF(N(G1346)&gt;0,G1346*(1+H1346/30),H1346))=X1346,IF(N(G1346)&gt;0,G1346&amp;" x "&amp;H1346,H1346&amp;" reps"),IF(IF(N(J1346)=0,0,IF(N(I1346)&gt;0,I1346*(1+J1346/30),J1346))=X1346,IF(N(I1346)&gt;0,I1346&amp;" x "&amp;J1346,J1346&amp;" reps"),IF(IF(N(L1346)=0,0,IF(N(K1346)&gt;0,K1346*(1+L1346/30),L1346))=X1346,IF(N(K1346)&gt;0,K1346&amp;" x "&amp;L1346,L1346&amp;" reps"),IF(IF(N(N1346)=0,0,IF(N(M1346)&gt;0,M1346*(1+N1346/30),N1346))=X1346,IF(N(M1346)&gt;0,M1346&amp;" x "&amp;N1346,N1346&amp;" reps"),""))))))</f>
        <v/>
      </c>
      <c r="R1346" s="20">
        <f>IF(N(X1346)=0,"",ROUND(X1346,1))</f>
        <v/>
      </c>
      <c r="S1346" s="18">
        <f>IF(N(X1346)=0,"",IF(AND(COUNTIFS(Log!$D$6:$D$1505,D1346,Log!$B$6:$B$1505,"&lt;"&amp;B1346)&gt;0,COUNTIFS(Log!$D$6:$D$1505,D1346,Log!$B$6:$B$1505,"&lt;"&amp;B1346,Log!$X$6:$X$1505,"&gt;="&amp;X1346)=0),"New best",""))</f>
        <v/>
      </c>
      <c r="T1346" s="26" t="n"/>
      <c r="U1346" s="1">
        <f>IF(D1346="","",IFERROR(INDEX(Exercises!$C$6:$C$105,MATCH(D1346,Exercises!$B$6:$B$105,0)),"Other"))</f>
        <v/>
      </c>
      <c r="V1346">
        <f>IF(B1346="","",IF(COUNTIF($B$6:B1346,B1346)=1,1,0))</f>
        <v/>
      </c>
      <c r="W1346">
        <f>IF(B1346="","",B1346-WEEKDAY(B1346,3))</f>
        <v/>
      </c>
      <c r="X1346">
        <f>IF(D1346="","",MAX(IF(N(F1346)=0,0,IF(N(E1346)&gt;0,E1346*(1+F1346/30),F1346)),IF(N(H1346)=0,0,IF(N(G1346)&gt;0,G1346*(1+H1346/30),H1346)),IF(N(J1346)=0,0,IF(N(I1346)&gt;0,I1346*(1+J1346/30),J1346)),IF(N(L1346)=0,0,IF(N(K1346)&gt;0,K1346*(1+L1346/30),L1346)),IF(N(N1346)=0,0,IF(N(M1346)&gt;0,M1346*(1+N1346/30),N1346))))</f>
        <v/>
      </c>
      <c r="Y1346">
        <f>IF(N(X1346)=0,"",X1346+ROW()/1000000000)</f>
        <v/>
      </c>
      <c r="Z1346">
        <f>IF(Y1346="","",IF(COUNTIFS(Log!$D$6:$D$1505,D1346,Log!$Y$6:$Y$1505,"&gt;"&amp;Y1346)=0,1,0))</f>
        <v/>
      </c>
      <c r="AA1346">
        <f>IF(OR(B1346="",D1346=""),"",B1346+ROW()/10000000)</f>
        <v/>
      </c>
      <c r="AB1346">
        <f>IF(AA1346="","",IF(COUNTIFS(Log!$D$6:$D$1505,D1346,Log!$AA$6:$AA$1505,"&gt;"&amp;AA1346)=0,1,0))</f>
        <v/>
      </c>
      <c r="AC1346">
        <f>IF(S1346="New best",AA1346,"")</f>
        <v/>
      </c>
      <c r="AD1346">
        <f>ROW()</f>
        <v/>
      </c>
    </row>
    <row r="1347">
      <c r="A1347" s="1" t="n"/>
      <c r="B1347" s="21" t="n"/>
      <c r="C1347" s="22" t="n"/>
      <c r="D1347" s="23" t="n"/>
      <c r="E1347" s="24" t="n"/>
      <c r="F1347" s="24" t="n"/>
      <c r="G1347" s="24" t="n"/>
      <c r="H1347" s="24" t="n"/>
      <c r="I1347" s="24" t="n"/>
      <c r="J1347" s="24" t="n"/>
      <c r="K1347" s="24" t="n"/>
      <c r="L1347" s="24" t="n"/>
      <c r="M1347" s="24" t="n"/>
      <c r="N1347" s="24" t="n"/>
      <c r="O1347" s="15">
        <f>IF(D1347="","",COUNT(F1347,H1347,J1347,L1347,N1347))</f>
        <v/>
      </c>
      <c r="P1347" s="25">
        <f>IF(D1347="","",N(E1347)*N(F1347)+N(G1347)*N(H1347)+N(I1347)*N(J1347)+N(K1347)*N(L1347)+N(M1347)*N(N1347))</f>
        <v/>
      </c>
      <c r="Q1347" s="18">
        <f>IF(N(X1347)=0,"",IF(IF(N(F1347)=0,0,IF(N(E1347)&gt;0,E1347*(1+F1347/30),F1347))=X1347,IF(N(E1347)&gt;0,E1347&amp;" x "&amp;F1347,F1347&amp;" reps"),IF(IF(N(H1347)=0,0,IF(N(G1347)&gt;0,G1347*(1+H1347/30),H1347))=X1347,IF(N(G1347)&gt;0,G1347&amp;" x "&amp;H1347,H1347&amp;" reps"),IF(IF(N(J1347)=0,0,IF(N(I1347)&gt;0,I1347*(1+J1347/30),J1347))=X1347,IF(N(I1347)&gt;0,I1347&amp;" x "&amp;J1347,J1347&amp;" reps"),IF(IF(N(L1347)=0,0,IF(N(K1347)&gt;0,K1347*(1+L1347/30),L1347))=X1347,IF(N(K1347)&gt;0,K1347&amp;" x "&amp;L1347,L1347&amp;" reps"),IF(IF(N(N1347)=0,0,IF(N(M1347)&gt;0,M1347*(1+N1347/30),N1347))=X1347,IF(N(M1347)&gt;0,M1347&amp;" x "&amp;N1347,N1347&amp;" reps"),""))))))</f>
        <v/>
      </c>
      <c r="R1347" s="20">
        <f>IF(N(X1347)=0,"",ROUND(X1347,1))</f>
        <v/>
      </c>
      <c r="S1347" s="18">
        <f>IF(N(X1347)=0,"",IF(AND(COUNTIFS(Log!$D$6:$D$1505,D1347,Log!$B$6:$B$1505,"&lt;"&amp;B1347)&gt;0,COUNTIFS(Log!$D$6:$D$1505,D1347,Log!$B$6:$B$1505,"&lt;"&amp;B1347,Log!$X$6:$X$1505,"&gt;="&amp;X1347)=0),"New best",""))</f>
        <v/>
      </c>
      <c r="T1347" s="26" t="n"/>
      <c r="U1347" s="1">
        <f>IF(D1347="","",IFERROR(INDEX(Exercises!$C$6:$C$105,MATCH(D1347,Exercises!$B$6:$B$105,0)),"Other"))</f>
        <v/>
      </c>
      <c r="V1347">
        <f>IF(B1347="","",IF(COUNTIF($B$6:B1347,B1347)=1,1,0))</f>
        <v/>
      </c>
      <c r="W1347">
        <f>IF(B1347="","",B1347-WEEKDAY(B1347,3))</f>
        <v/>
      </c>
      <c r="X1347">
        <f>IF(D1347="","",MAX(IF(N(F1347)=0,0,IF(N(E1347)&gt;0,E1347*(1+F1347/30),F1347)),IF(N(H1347)=0,0,IF(N(G1347)&gt;0,G1347*(1+H1347/30),H1347)),IF(N(J1347)=0,0,IF(N(I1347)&gt;0,I1347*(1+J1347/30),J1347)),IF(N(L1347)=0,0,IF(N(K1347)&gt;0,K1347*(1+L1347/30),L1347)),IF(N(N1347)=0,0,IF(N(M1347)&gt;0,M1347*(1+N1347/30),N1347))))</f>
        <v/>
      </c>
      <c r="Y1347">
        <f>IF(N(X1347)=0,"",X1347+ROW()/1000000000)</f>
        <v/>
      </c>
      <c r="Z1347">
        <f>IF(Y1347="","",IF(COUNTIFS(Log!$D$6:$D$1505,D1347,Log!$Y$6:$Y$1505,"&gt;"&amp;Y1347)=0,1,0))</f>
        <v/>
      </c>
      <c r="AA1347">
        <f>IF(OR(B1347="",D1347=""),"",B1347+ROW()/10000000)</f>
        <v/>
      </c>
      <c r="AB1347">
        <f>IF(AA1347="","",IF(COUNTIFS(Log!$D$6:$D$1505,D1347,Log!$AA$6:$AA$1505,"&gt;"&amp;AA1347)=0,1,0))</f>
        <v/>
      </c>
      <c r="AC1347">
        <f>IF(S1347="New best",AA1347,"")</f>
        <v/>
      </c>
      <c r="AD1347">
        <f>ROW()</f>
        <v/>
      </c>
    </row>
    <row r="1348">
      <c r="A1348" s="1" t="n"/>
      <c r="B1348" s="21" t="n"/>
      <c r="C1348" s="22" t="n"/>
      <c r="D1348" s="23" t="n"/>
      <c r="E1348" s="24" t="n"/>
      <c r="F1348" s="24" t="n"/>
      <c r="G1348" s="24" t="n"/>
      <c r="H1348" s="24" t="n"/>
      <c r="I1348" s="24" t="n"/>
      <c r="J1348" s="24" t="n"/>
      <c r="K1348" s="24" t="n"/>
      <c r="L1348" s="24" t="n"/>
      <c r="M1348" s="24" t="n"/>
      <c r="N1348" s="24" t="n"/>
      <c r="O1348" s="15">
        <f>IF(D1348="","",COUNT(F1348,H1348,J1348,L1348,N1348))</f>
        <v/>
      </c>
      <c r="P1348" s="25">
        <f>IF(D1348="","",N(E1348)*N(F1348)+N(G1348)*N(H1348)+N(I1348)*N(J1348)+N(K1348)*N(L1348)+N(M1348)*N(N1348))</f>
        <v/>
      </c>
      <c r="Q1348" s="18">
        <f>IF(N(X1348)=0,"",IF(IF(N(F1348)=0,0,IF(N(E1348)&gt;0,E1348*(1+F1348/30),F1348))=X1348,IF(N(E1348)&gt;0,E1348&amp;" x "&amp;F1348,F1348&amp;" reps"),IF(IF(N(H1348)=0,0,IF(N(G1348)&gt;0,G1348*(1+H1348/30),H1348))=X1348,IF(N(G1348)&gt;0,G1348&amp;" x "&amp;H1348,H1348&amp;" reps"),IF(IF(N(J1348)=0,0,IF(N(I1348)&gt;0,I1348*(1+J1348/30),J1348))=X1348,IF(N(I1348)&gt;0,I1348&amp;" x "&amp;J1348,J1348&amp;" reps"),IF(IF(N(L1348)=0,0,IF(N(K1348)&gt;0,K1348*(1+L1348/30),L1348))=X1348,IF(N(K1348)&gt;0,K1348&amp;" x "&amp;L1348,L1348&amp;" reps"),IF(IF(N(N1348)=0,0,IF(N(M1348)&gt;0,M1348*(1+N1348/30),N1348))=X1348,IF(N(M1348)&gt;0,M1348&amp;" x "&amp;N1348,N1348&amp;" reps"),""))))))</f>
        <v/>
      </c>
      <c r="R1348" s="20">
        <f>IF(N(X1348)=0,"",ROUND(X1348,1))</f>
        <v/>
      </c>
      <c r="S1348" s="18">
        <f>IF(N(X1348)=0,"",IF(AND(COUNTIFS(Log!$D$6:$D$1505,D1348,Log!$B$6:$B$1505,"&lt;"&amp;B1348)&gt;0,COUNTIFS(Log!$D$6:$D$1505,D1348,Log!$B$6:$B$1505,"&lt;"&amp;B1348,Log!$X$6:$X$1505,"&gt;="&amp;X1348)=0),"New best",""))</f>
        <v/>
      </c>
      <c r="T1348" s="26" t="n"/>
      <c r="U1348" s="1">
        <f>IF(D1348="","",IFERROR(INDEX(Exercises!$C$6:$C$105,MATCH(D1348,Exercises!$B$6:$B$105,0)),"Other"))</f>
        <v/>
      </c>
      <c r="V1348">
        <f>IF(B1348="","",IF(COUNTIF($B$6:B1348,B1348)=1,1,0))</f>
        <v/>
      </c>
      <c r="W1348">
        <f>IF(B1348="","",B1348-WEEKDAY(B1348,3))</f>
        <v/>
      </c>
      <c r="X1348">
        <f>IF(D1348="","",MAX(IF(N(F1348)=0,0,IF(N(E1348)&gt;0,E1348*(1+F1348/30),F1348)),IF(N(H1348)=0,0,IF(N(G1348)&gt;0,G1348*(1+H1348/30),H1348)),IF(N(J1348)=0,0,IF(N(I1348)&gt;0,I1348*(1+J1348/30),J1348)),IF(N(L1348)=0,0,IF(N(K1348)&gt;0,K1348*(1+L1348/30),L1348)),IF(N(N1348)=0,0,IF(N(M1348)&gt;0,M1348*(1+N1348/30),N1348))))</f>
        <v/>
      </c>
      <c r="Y1348">
        <f>IF(N(X1348)=0,"",X1348+ROW()/1000000000)</f>
        <v/>
      </c>
      <c r="Z1348">
        <f>IF(Y1348="","",IF(COUNTIFS(Log!$D$6:$D$1505,D1348,Log!$Y$6:$Y$1505,"&gt;"&amp;Y1348)=0,1,0))</f>
        <v/>
      </c>
      <c r="AA1348">
        <f>IF(OR(B1348="",D1348=""),"",B1348+ROW()/10000000)</f>
        <v/>
      </c>
      <c r="AB1348">
        <f>IF(AA1348="","",IF(COUNTIFS(Log!$D$6:$D$1505,D1348,Log!$AA$6:$AA$1505,"&gt;"&amp;AA1348)=0,1,0))</f>
        <v/>
      </c>
      <c r="AC1348">
        <f>IF(S1348="New best",AA1348,"")</f>
        <v/>
      </c>
      <c r="AD1348">
        <f>ROW()</f>
        <v/>
      </c>
    </row>
    <row r="1349">
      <c r="A1349" s="1" t="n"/>
      <c r="B1349" s="21" t="n"/>
      <c r="C1349" s="22" t="n"/>
      <c r="D1349" s="23" t="n"/>
      <c r="E1349" s="24" t="n"/>
      <c r="F1349" s="24" t="n"/>
      <c r="G1349" s="24" t="n"/>
      <c r="H1349" s="24" t="n"/>
      <c r="I1349" s="24" t="n"/>
      <c r="J1349" s="24" t="n"/>
      <c r="K1349" s="24" t="n"/>
      <c r="L1349" s="24" t="n"/>
      <c r="M1349" s="24" t="n"/>
      <c r="N1349" s="24" t="n"/>
      <c r="O1349" s="15">
        <f>IF(D1349="","",COUNT(F1349,H1349,J1349,L1349,N1349))</f>
        <v/>
      </c>
      <c r="P1349" s="25">
        <f>IF(D1349="","",N(E1349)*N(F1349)+N(G1349)*N(H1349)+N(I1349)*N(J1349)+N(K1349)*N(L1349)+N(M1349)*N(N1349))</f>
        <v/>
      </c>
      <c r="Q1349" s="18">
        <f>IF(N(X1349)=0,"",IF(IF(N(F1349)=0,0,IF(N(E1349)&gt;0,E1349*(1+F1349/30),F1349))=X1349,IF(N(E1349)&gt;0,E1349&amp;" x "&amp;F1349,F1349&amp;" reps"),IF(IF(N(H1349)=0,0,IF(N(G1349)&gt;0,G1349*(1+H1349/30),H1349))=X1349,IF(N(G1349)&gt;0,G1349&amp;" x "&amp;H1349,H1349&amp;" reps"),IF(IF(N(J1349)=0,0,IF(N(I1349)&gt;0,I1349*(1+J1349/30),J1349))=X1349,IF(N(I1349)&gt;0,I1349&amp;" x "&amp;J1349,J1349&amp;" reps"),IF(IF(N(L1349)=0,0,IF(N(K1349)&gt;0,K1349*(1+L1349/30),L1349))=X1349,IF(N(K1349)&gt;0,K1349&amp;" x "&amp;L1349,L1349&amp;" reps"),IF(IF(N(N1349)=0,0,IF(N(M1349)&gt;0,M1349*(1+N1349/30),N1349))=X1349,IF(N(M1349)&gt;0,M1349&amp;" x "&amp;N1349,N1349&amp;" reps"),""))))))</f>
        <v/>
      </c>
      <c r="R1349" s="20">
        <f>IF(N(X1349)=0,"",ROUND(X1349,1))</f>
        <v/>
      </c>
      <c r="S1349" s="18">
        <f>IF(N(X1349)=0,"",IF(AND(COUNTIFS(Log!$D$6:$D$1505,D1349,Log!$B$6:$B$1505,"&lt;"&amp;B1349)&gt;0,COUNTIFS(Log!$D$6:$D$1505,D1349,Log!$B$6:$B$1505,"&lt;"&amp;B1349,Log!$X$6:$X$1505,"&gt;="&amp;X1349)=0),"New best",""))</f>
        <v/>
      </c>
      <c r="T1349" s="26" t="n"/>
      <c r="U1349" s="1">
        <f>IF(D1349="","",IFERROR(INDEX(Exercises!$C$6:$C$105,MATCH(D1349,Exercises!$B$6:$B$105,0)),"Other"))</f>
        <v/>
      </c>
      <c r="V1349">
        <f>IF(B1349="","",IF(COUNTIF($B$6:B1349,B1349)=1,1,0))</f>
        <v/>
      </c>
      <c r="W1349">
        <f>IF(B1349="","",B1349-WEEKDAY(B1349,3))</f>
        <v/>
      </c>
      <c r="X1349">
        <f>IF(D1349="","",MAX(IF(N(F1349)=0,0,IF(N(E1349)&gt;0,E1349*(1+F1349/30),F1349)),IF(N(H1349)=0,0,IF(N(G1349)&gt;0,G1349*(1+H1349/30),H1349)),IF(N(J1349)=0,0,IF(N(I1349)&gt;0,I1349*(1+J1349/30),J1349)),IF(N(L1349)=0,0,IF(N(K1349)&gt;0,K1349*(1+L1349/30),L1349)),IF(N(N1349)=0,0,IF(N(M1349)&gt;0,M1349*(1+N1349/30),N1349))))</f>
        <v/>
      </c>
      <c r="Y1349">
        <f>IF(N(X1349)=0,"",X1349+ROW()/1000000000)</f>
        <v/>
      </c>
      <c r="Z1349">
        <f>IF(Y1349="","",IF(COUNTIFS(Log!$D$6:$D$1505,D1349,Log!$Y$6:$Y$1505,"&gt;"&amp;Y1349)=0,1,0))</f>
        <v/>
      </c>
      <c r="AA1349">
        <f>IF(OR(B1349="",D1349=""),"",B1349+ROW()/10000000)</f>
        <v/>
      </c>
      <c r="AB1349">
        <f>IF(AA1349="","",IF(COUNTIFS(Log!$D$6:$D$1505,D1349,Log!$AA$6:$AA$1505,"&gt;"&amp;AA1349)=0,1,0))</f>
        <v/>
      </c>
      <c r="AC1349">
        <f>IF(S1349="New best",AA1349,"")</f>
        <v/>
      </c>
      <c r="AD1349">
        <f>ROW()</f>
        <v/>
      </c>
    </row>
    <row r="1350">
      <c r="A1350" s="1" t="n"/>
      <c r="B1350" s="21" t="n"/>
      <c r="C1350" s="22" t="n"/>
      <c r="D1350" s="23" t="n"/>
      <c r="E1350" s="24" t="n"/>
      <c r="F1350" s="24" t="n"/>
      <c r="G1350" s="24" t="n"/>
      <c r="H1350" s="24" t="n"/>
      <c r="I1350" s="24" t="n"/>
      <c r="J1350" s="24" t="n"/>
      <c r="K1350" s="24" t="n"/>
      <c r="L1350" s="24" t="n"/>
      <c r="M1350" s="24" t="n"/>
      <c r="N1350" s="24" t="n"/>
      <c r="O1350" s="15">
        <f>IF(D1350="","",COUNT(F1350,H1350,J1350,L1350,N1350))</f>
        <v/>
      </c>
      <c r="P1350" s="25">
        <f>IF(D1350="","",N(E1350)*N(F1350)+N(G1350)*N(H1350)+N(I1350)*N(J1350)+N(K1350)*N(L1350)+N(M1350)*N(N1350))</f>
        <v/>
      </c>
      <c r="Q1350" s="18">
        <f>IF(N(X1350)=0,"",IF(IF(N(F1350)=0,0,IF(N(E1350)&gt;0,E1350*(1+F1350/30),F1350))=X1350,IF(N(E1350)&gt;0,E1350&amp;" x "&amp;F1350,F1350&amp;" reps"),IF(IF(N(H1350)=0,0,IF(N(G1350)&gt;0,G1350*(1+H1350/30),H1350))=X1350,IF(N(G1350)&gt;0,G1350&amp;" x "&amp;H1350,H1350&amp;" reps"),IF(IF(N(J1350)=0,0,IF(N(I1350)&gt;0,I1350*(1+J1350/30),J1350))=X1350,IF(N(I1350)&gt;0,I1350&amp;" x "&amp;J1350,J1350&amp;" reps"),IF(IF(N(L1350)=0,0,IF(N(K1350)&gt;0,K1350*(1+L1350/30),L1350))=X1350,IF(N(K1350)&gt;0,K1350&amp;" x "&amp;L1350,L1350&amp;" reps"),IF(IF(N(N1350)=0,0,IF(N(M1350)&gt;0,M1350*(1+N1350/30),N1350))=X1350,IF(N(M1350)&gt;0,M1350&amp;" x "&amp;N1350,N1350&amp;" reps"),""))))))</f>
        <v/>
      </c>
      <c r="R1350" s="20">
        <f>IF(N(X1350)=0,"",ROUND(X1350,1))</f>
        <v/>
      </c>
      <c r="S1350" s="18">
        <f>IF(N(X1350)=0,"",IF(AND(COUNTIFS(Log!$D$6:$D$1505,D1350,Log!$B$6:$B$1505,"&lt;"&amp;B1350)&gt;0,COUNTIFS(Log!$D$6:$D$1505,D1350,Log!$B$6:$B$1505,"&lt;"&amp;B1350,Log!$X$6:$X$1505,"&gt;="&amp;X1350)=0),"New best",""))</f>
        <v/>
      </c>
      <c r="T1350" s="26" t="n"/>
      <c r="U1350" s="1">
        <f>IF(D1350="","",IFERROR(INDEX(Exercises!$C$6:$C$105,MATCH(D1350,Exercises!$B$6:$B$105,0)),"Other"))</f>
        <v/>
      </c>
      <c r="V1350">
        <f>IF(B1350="","",IF(COUNTIF($B$6:B1350,B1350)=1,1,0))</f>
        <v/>
      </c>
      <c r="W1350">
        <f>IF(B1350="","",B1350-WEEKDAY(B1350,3))</f>
        <v/>
      </c>
      <c r="X1350">
        <f>IF(D1350="","",MAX(IF(N(F1350)=0,0,IF(N(E1350)&gt;0,E1350*(1+F1350/30),F1350)),IF(N(H1350)=0,0,IF(N(G1350)&gt;0,G1350*(1+H1350/30),H1350)),IF(N(J1350)=0,0,IF(N(I1350)&gt;0,I1350*(1+J1350/30),J1350)),IF(N(L1350)=0,0,IF(N(K1350)&gt;0,K1350*(1+L1350/30),L1350)),IF(N(N1350)=0,0,IF(N(M1350)&gt;0,M1350*(1+N1350/30),N1350))))</f>
        <v/>
      </c>
      <c r="Y1350">
        <f>IF(N(X1350)=0,"",X1350+ROW()/1000000000)</f>
        <v/>
      </c>
      <c r="Z1350">
        <f>IF(Y1350="","",IF(COUNTIFS(Log!$D$6:$D$1505,D1350,Log!$Y$6:$Y$1505,"&gt;"&amp;Y1350)=0,1,0))</f>
        <v/>
      </c>
      <c r="AA1350">
        <f>IF(OR(B1350="",D1350=""),"",B1350+ROW()/10000000)</f>
        <v/>
      </c>
      <c r="AB1350">
        <f>IF(AA1350="","",IF(COUNTIFS(Log!$D$6:$D$1505,D1350,Log!$AA$6:$AA$1505,"&gt;"&amp;AA1350)=0,1,0))</f>
        <v/>
      </c>
      <c r="AC1350">
        <f>IF(S1350="New best",AA1350,"")</f>
        <v/>
      </c>
      <c r="AD1350">
        <f>ROW()</f>
        <v/>
      </c>
    </row>
    <row r="1351">
      <c r="A1351" s="1" t="n"/>
      <c r="B1351" s="21" t="n"/>
      <c r="C1351" s="22" t="n"/>
      <c r="D1351" s="23" t="n"/>
      <c r="E1351" s="24" t="n"/>
      <c r="F1351" s="24" t="n"/>
      <c r="G1351" s="24" t="n"/>
      <c r="H1351" s="24" t="n"/>
      <c r="I1351" s="24" t="n"/>
      <c r="J1351" s="24" t="n"/>
      <c r="K1351" s="24" t="n"/>
      <c r="L1351" s="24" t="n"/>
      <c r="M1351" s="24" t="n"/>
      <c r="N1351" s="24" t="n"/>
      <c r="O1351" s="15">
        <f>IF(D1351="","",COUNT(F1351,H1351,J1351,L1351,N1351))</f>
        <v/>
      </c>
      <c r="P1351" s="25">
        <f>IF(D1351="","",N(E1351)*N(F1351)+N(G1351)*N(H1351)+N(I1351)*N(J1351)+N(K1351)*N(L1351)+N(M1351)*N(N1351))</f>
        <v/>
      </c>
      <c r="Q1351" s="18">
        <f>IF(N(X1351)=0,"",IF(IF(N(F1351)=0,0,IF(N(E1351)&gt;0,E1351*(1+F1351/30),F1351))=X1351,IF(N(E1351)&gt;0,E1351&amp;" x "&amp;F1351,F1351&amp;" reps"),IF(IF(N(H1351)=0,0,IF(N(G1351)&gt;0,G1351*(1+H1351/30),H1351))=X1351,IF(N(G1351)&gt;0,G1351&amp;" x "&amp;H1351,H1351&amp;" reps"),IF(IF(N(J1351)=0,0,IF(N(I1351)&gt;0,I1351*(1+J1351/30),J1351))=X1351,IF(N(I1351)&gt;0,I1351&amp;" x "&amp;J1351,J1351&amp;" reps"),IF(IF(N(L1351)=0,0,IF(N(K1351)&gt;0,K1351*(1+L1351/30),L1351))=X1351,IF(N(K1351)&gt;0,K1351&amp;" x "&amp;L1351,L1351&amp;" reps"),IF(IF(N(N1351)=0,0,IF(N(M1351)&gt;0,M1351*(1+N1351/30),N1351))=X1351,IF(N(M1351)&gt;0,M1351&amp;" x "&amp;N1351,N1351&amp;" reps"),""))))))</f>
        <v/>
      </c>
      <c r="R1351" s="20">
        <f>IF(N(X1351)=0,"",ROUND(X1351,1))</f>
        <v/>
      </c>
      <c r="S1351" s="18">
        <f>IF(N(X1351)=0,"",IF(AND(COUNTIFS(Log!$D$6:$D$1505,D1351,Log!$B$6:$B$1505,"&lt;"&amp;B1351)&gt;0,COUNTIFS(Log!$D$6:$D$1505,D1351,Log!$B$6:$B$1505,"&lt;"&amp;B1351,Log!$X$6:$X$1505,"&gt;="&amp;X1351)=0),"New best",""))</f>
        <v/>
      </c>
      <c r="T1351" s="26" t="n"/>
      <c r="U1351" s="1">
        <f>IF(D1351="","",IFERROR(INDEX(Exercises!$C$6:$C$105,MATCH(D1351,Exercises!$B$6:$B$105,0)),"Other"))</f>
        <v/>
      </c>
      <c r="V1351">
        <f>IF(B1351="","",IF(COUNTIF($B$6:B1351,B1351)=1,1,0))</f>
        <v/>
      </c>
      <c r="W1351">
        <f>IF(B1351="","",B1351-WEEKDAY(B1351,3))</f>
        <v/>
      </c>
      <c r="X1351">
        <f>IF(D1351="","",MAX(IF(N(F1351)=0,0,IF(N(E1351)&gt;0,E1351*(1+F1351/30),F1351)),IF(N(H1351)=0,0,IF(N(G1351)&gt;0,G1351*(1+H1351/30),H1351)),IF(N(J1351)=0,0,IF(N(I1351)&gt;0,I1351*(1+J1351/30),J1351)),IF(N(L1351)=0,0,IF(N(K1351)&gt;0,K1351*(1+L1351/30),L1351)),IF(N(N1351)=0,0,IF(N(M1351)&gt;0,M1351*(1+N1351/30),N1351))))</f>
        <v/>
      </c>
      <c r="Y1351">
        <f>IF(N(X1351)=0,"",X1351+ROW()/1000000000)</f>
        <v/>
      </c>
      <c r="Z1351">
        <f>IF(Y1351="","",IF(COUNTIFS(Log!$D$6:$D$1505,D1351,Log!$Y$6:$Y$1505,"&gt;"&amp;Y1351)=0,1,0))</f>
        <v/>
      </c>
      <c r="AA1351">
        <f>IF(OR(B1351="",D1351=""),"",B1351+ROW()/10000000)</f>
        <v/>
      </c>
      <c r="AB1351">
        <f>IF(AA1351="","",IF(COUNTIFS(Log!$D$6:$D$1505,D1351,Log!$AA$6:$AA$1505,"&gt;"&amp;AA1351)=0,1,0))</f>
        <v/>
      </c>
      <c r="AC1351">
        <f>IF(S1351="New best",AA1351,"")</f>
        <v/>
      </c>
      <c r="AD1351">
        <f>ROW()</f>
        <v/>
      </c>
    </row>
    <row r="1352">
      <c r="A1352" s="1" t="n"/>
      <c r="B1352" s="21" t="n"/>
      <c r="C1352" s="22" t="n"/>
      <c r="D1352" s="23" t="n"/>
      <c r="E1352" s="24" t="n"/>
      <c r="F1352" s="24" t="n"/>
      <c r="G1352" s="24" t="n"/>
      <c r="H1352" s="24" t="n"/>
      <c r="I1352" s="24" t="n"/>
      <c r="J1352" s="24" t="n"/>
      <c r="K1352" s="24" t="n"/>
      <c r="L1352" s="24" t="n"/>
      <c r="M1352" s="24" t="n"/>
      <c r="N1352" s="24" t="n"/>
      <c r="O1352" s="15">
        <f>IF(D1352="","",COUNT(F1352,H1352,J1352,L1352,N1352))</f>
        <v/>
      </c>
      <c r="P1352" s="25">
        <f>IF(D1352="","",N(E1352)*N(F1352)+N(G1352)*N(H1352)+N(I1352)*N(J1352)+N(K1352)*N(L1352)+N(M1352)*N(N1352))</f>
        <v/>
      </c>
      <c r="Q1352" s="18">
        <f>IF(N(X1352)=0,"",IF(IF(N(F1352)=0,0,IF(N(E1352)&gt;0,E1352*(1+F1352/30),F1352))=X1352,IF(N(E1352)&gt;0,E1352&amp;" x "&amp;F1352,F1352&amp;" reps"),IF(IF(N(H1352)=0,0,IF(N(G1352)&gt;0,G1352*(1+H1352/30),H1352))=X1352,IF(N(G1352)&gt;0,G1352&amp;" x "&amp;H1352,H1352&amp;" reps"),IF(IF(N(J1352)=0,0,IF(N(I1352)&gt;0,I1352*(1+J1352/30),J1352))=X1352,IF(N(I1352)&gt;0,I1352&amp;" x "&amp;J1352,J1352&amp;" reps"),IF(IF(N(L1352)=0,0,IF(N(K1352)&gt;0,K1352*(1+L1352/30),L1352))=X1352,IF(N(K1352)&gt;0,K1352&amp;" x "&amp;L1352,L1352&amp;" reps"),IF(IF(N(N1352)=0,0,IF(N(M1352)&gt;0,M1352*(1+N1352/30),N1352))=X1352,IF(N(M1352)&gt;0,M1352&amp;" x "&amp;N1352,N1352&amp;" reps"),""))))))</f>
        <v/>
      </c>
      <c r="R1352" s="20">
        <f>IF(N(X1352)=0,"",ROUND(X1352,1))</f>
        <v/>
      </c>
      <c r="S1352" s="18">
        <f>IF(N(X1352)=0,"",IF(AND(COUNTIFS(Log!$D$6:$D$1505,D1352,Log!$B$6:$B$1505,"&lt;"&amp;B1352)&gt;0,COUNTIFS(Log!$D$6:$D$1505,D1352,Log!$B$6:$B$1505,"&lt;"&amp;B1352,Log!$X$6:$X$1505,"&gt;="&amp;X1352)=0),"New best",""))</f>
        <v/>
      </c>
      <c r="T1352" s="26" t="n"/>
      <c r="U1352" s="1">
        <f>IF(D1352="","",IFERROR(INDEX(Exercises!$C$6:$C$105,MATCH(D1352,Exercises!$B$6:$B$105,0)),"Other"))</f>
        <v/>
      </c>
      <c r="V1352">
        <f>IF(B1352="","",IF(COUNTIF($B$6:B1352,B1352)=1,1,0))</f>
        <v/>
      </c>
      <c r="W1352">
        <f>IF(B1352="","",B1352-WEEKDAY(B1352,3))</f>
        <v/>
      </c>
      <c r="X1352">
        <f>IF(D1352="","",MAX(IF(N(F1352)=0,0,IF(N(E1352)&gt;0,E1352*(1+F1352/30),F1352)),IF(N(H1352)=0,0,IF(N(G1352)&gt;0,G1352*(1+H1352/30),H1352)),IF(N(J1352)=0,0,IF(N(I1352)&gt;0,I1352*(1+J1352/30),J1352)),IF(N(L1352)=0,0,IF(N(K1352)&gt;0,K1352*(1+L1352/30),L1352)),IF(N(N1352)=0,0,IF(N(M1352)&gt;0,M1352*(1+N1352/30),N1352))))</f>
        <v/>
      </c>
      <c r="Y1352">
        <f>IF(N(X1352)=0,"",X1352+ROW()/1000000000)</f>
        <v/>
      </c>
      <c r="Z1352">
        <f>IF(Y1352="","",IF(COUNTIFS(Log!$D$6:$D$1505,D1352,Log!$Y$6:$Y$1505,"&gt;"&amp;Y1352)=0,1,0))</f>
        <v/>
      </c>
      <c r="AA1352">
        <f>IF(OR(B1352="",D1352=""),"",B1352+ROW()/10000000)</f>
        <v/>
      </c>
      <c r="AB1352">
        <f>IF(AA1352="","",IF(COUNTIFS(Log!$D$6:$D$1505,D1352,Log!$AA$6:$AA$1505,"&gt;"&amp;AA1352)=0,1,0))</f>
        <v/>
      </c>
      <c r="AC1352">
        <f>IF(S1352="New best",AA1352,"")</f>
        <v/>
      </c>
      <c r="AD1352">
        <f>ROW()</f>
        <v/>
      </c>
    </row>
    <row r="1353">
      <c r="A1353" s="1" t="n"/>
      <c r="B1353" s="21" t="n"/>
      <c r="C1353" s="22" t="n"/>
      <c r="D1353" s="23" t="n"/>
      <c r="E1353" s="24" t="n"/>
      <c r="F1353" s="24" t="n"/>
      <c r="G1353" s="24" t="n"/>
      <c r="H1353" s="24" t="n"/>
      <c r="I1353" s="24" t="n"/>
      <c r="J1353" s="24" t="n"/>
      <c r="K1353" s="24" t="n"/>
      <c r="L1353" s="24" t="n"/>
      <c r="M1353" s="24" t="n"/>
      <c r="N1353" s="24" t="n"/>
      <c r="O1353" s="15">
        <f>IF(D1353="","",COUNT(F1353,H1353,J1353,L1353,N1353))</f>
        <v/>
      </c>
      <c r="P1353" s="25">
        <f>IF(D1353="","",N(E1353)*N(F1353)+N(G1353)*N(H1353)+N(I1353)*N(J1353)+N(K1353)*N(L1353)+N(M1353)*N(N1353))</f>
        <v/>
      </c>
      <c r="Q1353" s="18">
        <f>IF(N(X1353)=0,"",IF(IF(N(F1353)=0,0,IF(N(E1353)&gt;0,E1353*(1+F1353/30),F1353))=X1353,IF(N(E1353)&gt;0,E1353&amp;" x "&amp;F1353,F1353&amp;" reps"),IF(IF(N(H1353)=0,0,IF(N(G1353)&gt;0,G1353*(1+H1353/30),H1353))=X1353,IF(N(G1353)&gt;0,G1353&amp;" x "&amp;H1353,H1353&amp;" reps"),IF(IF(N(J1353)=0,0,IF(N(I1353)&gt;0,I1353*(1+J1353/30),J1353))=X1353,IF(N(I1353)&gt;0,I1353&amp;" x "&amp;J1353,J1353&amp;" reps"),IF(IF(N(L1353)=0,0,IF(N(K1353)&gt;0,K1353*(1+L1353/30),L1353))=X1353,IF(N(K1353)&gt;0,K1353&amp;" x "&amp;L1353,L1353&amp;" reps"),IF(IF(N(N1353)=0,0,IF(N(M1353)&gt;0,M1353*(1+N1353/30),N1353))=X1353,IF(N(M1353)&gt;0,M1353&amp;" x "&amp;N1353,N1353&amp;" reps"),""))))))</f>
        <v/>
      </c>
      <c r="R1353" s="20">
        <f>IF(N(X1353)=0,"",ROUND(X1353,1))</f>
        <v/>
      </c>
      <c r="S1353" s="18">
        <f>IF(N(X1353)=0,"",IF(AND(COUNTIFS(Log!$D$6:$D$1505,D1353,Log!$B$6:$B$1505,"&lt;"&amp;B1353)&gt;0,COUNTIFS(Log!$D$6:$D$1505,D1353,Log!$B$6:$B$1505,"&lt;"&amp;B1353,Log!$X$6:$X$1505,"&gt;="&amp;X1353)=0),"New best",""))</f>
        <v/>
      </c>
      <c r="T1353" s="26" t="n"/>
      <c r="U1353" s="1">
        <f>IF(D1353="","",IFERROR(INDEX(Exercises!$C$6:$C$105,MATCH(D1353,Exercises!$B$6:$B$105,0)),"Other"))</f>
        <v/>
      </c>
      <c r="V1353">
        <f>IF(B1353="","",IF(COUNTIF($B$6:B1353,B1353)=1,1,0))</f>
        <v/>
      </c>
      <c r="W1353">
        <f>IF(B1353="","",B1353-WEEKDAY(B1353,3))</f>
        <v/>
      </c>
      <c r="X1353">
        <f>IF(D1353="","",MAX(IF(N(F1353)=0,0,IF(N(E1353)&gt;0,E1353*(1+F1353/30),F1353)),IF(N(H1353)=0,0,IF(N(G1353)&gt;0,G1353*(1+H1353/30),H1353)),IF(N(J1353)=0,0,IF(N(I1353)&gt;0,I1353*(1+J1353/30),J1353)),IF(N(L1353)=0,0,IF(N(K1353)&gt;0,K1353*(1+L1353/30),L1353)),IF(N(N1353)=0,0,IF(N(M1353)&gt;0,M1353*(1+N1353/30),N1353))))</f>
        <v/>
      </c>
      <c r="Y1353">
        <f>IF(N(X1353)=0,"",X1353+ROW()/1000000000)</f>
        <v/>
      </c>
      <c r="Z1353">
        <f>IF(Y1353="","",IF(COUNTIFS(Log!$D$6:$D$1505,D1353,Log!$Y$6:$Y$1505,"&gt;"&amp;Y1353)=0,1,0))</f>
        <v/>
      </c>
      <c r="AA1353">
        <f>IF(OR(B1353="",D1353=""),"",B1353+ROW()/10000000)</f>
        <v/>
      </c>
      <c r="AB1353">
        <f>IF(AA1353="","",IF(COUNTIFS(Log!$D$6:$D$1505,D1353,Log!$AA$6:$AA$1505,"&gt;"&amp;AA1353)=0,1,0))</f>
        <v/>
      </c>
      <c r="AC1353">
        <f>IF(S1353="New best",AA1353,"")</f>
        <v/>
      </c>
      <c r="AD1353">
        <f>ROW()</f>
        <v/>
      </c>
    </row>
    <row r="1354">
      <c r="A1354" s="1" t="n"/>
      <c r="B1354" s="21" t="n"/>
      <c r="C1354" s="22" t="n"/>
      <c r="D1354" s="23" t="n"/>
      <c r="E1354" s="24" t="n"/>
      <c r="F1354" s="24" t="n"/>
      <c r="G1354" s="24" t="n"/>
      <c r="H1354" s="24" t="n"/>
      <c r="I1354" s="24" t="n"/>
      <c r="J1354" s="24" t="n"/>
      <c r="K1354" s="24" t="n"/>
      <c r="L1354" s="24" t="n"/>
      <c r="M1354" s="24" t="n"/>
      <c r="N1354" s="24" t="n"/>
      <c r="O1354" s="15">
        <f>IF(D1354="","",COUNT(F1354,H1354,J1354,L1354,N1354))</f>
        <v/>
      </c>
      <c r="P1354" s="25">
        <f>IF(D1354="","",N(E1354)*N(F1354)+N(G1354)*N(H1354)+N(I1354)*N(J1354)+N(K1354)*N(L1354)+N(M1354)*N(N1354))</f>
        <v/>
      </c>
      <c r="Q1354" s="18">
        <f>IF(N(X1354)=0,"",IF(IF(N(F1354)=0,0,IF(N(E1354)&gt;0,E1354*(1+F1354/30),F1354))=X1354,IF(N(E1354)&gt;0,E1354&amp;" x "&amp;F1354,F1354&amp;" reps"),IF(IF(N(H1354)=0,0,IF(N(G1354)&gt;0,G1354*(1+H1354/30),H1354))=X1354,IF(N(G1354)&gt;0,G1354&amp;" x "&amp;H1354,H1354&amp;" reps"),IF(IF(N(J1354)=0,0,IF(N(I1354)&gt;0,I1354*(1+J1354/30),J1354))=X1354,IF(N(I1354)&gt;0,I1354&amp;" x "&amp;J1354,J1354&amp;" reps"),IF(IF(N(L1354)=0,0,IF(N(K1354)&gt;0,K1354*(1+L1354/30),L1354))=X1354,IF(N(K1354)&gt;0,K1354&amp;" x "&amp;L1354,L1354&amp;" reps"),IF(IF(N(N1354)=0,0,IF(N(M1354)&gt;0,M1354*(1+N1354/30),N1354))=X1354,IF(N(M1354)&gt;0,M1354&amp;" x "&amp;N1354,N1354&amp;" reps"),""))))))</f>
        <v/>
      </c>
      <c r="R1354" s="20">
        <f>IF(N(X1354)=0,"",ROUND(X1354,1))</f>
        <v/>
      </c>
      <c r="S1354" s="18">
        <f>IF(N(X1354)=0,"",IF(AND(COUNTIFS(Log!$D$6:$D$1505,D1354,Log!$B$6:$B$1505,"&lt;"&amp;B1354)&gt;0,COUNTIFS(Log!$D$6:$D$1505,D1354,Log!$B$6:$B$1505,"&lt;"&amp;B1354,Log!$X$6:$X$1505,"&gt;="&amp;X1354)=0),"New best",""))</f>
        <v/>
      </c>
      <c r="T1354" s="26" t="n"/>
      <c r="U1354" s="1">
        <f>IF(D1354="","",IFERROR(INDEX(Exercises!$C$6:$C$105,MATCH(D1354,Exercises!$B$6:$B$105,0)),"Other"))</f>
        <v/>
      </c>
      <c r="V1354">
        <f>IF(B1354="","",IF(COUNTIF($B$6:B1354,B1354)=1,1,0))</f>
        <v/>
      </c>
      <c r="W1354">
        <f>IF(B1354="","",B1354-WEEKDAY(B1354,3))</f>
        <v/>
      </c>
      <c r="X1354">
        <f>IF(D1354="","",MAX(IF(N(F1354)=0,0,IF(N(E1354)&gt;0,E1354*(1+F1354/30),F1354)),IF(N(H1354)=0,0,IF(N(G1354)&gt;0,G1354*(1+H1354/30),H1354)),IF(N(J1354)=0,0,IF(N(I1354)&gt;0,I1354*(1+J1354/30),J1354)),IF(N(L1354)=0,0,IF(N(K1354)&gt;0,K1354*(1+L1354/30),L1354)),IF(N(N1354)=0,0,IF(N(M1354)&gt;0,M1354*(1+N1354/30),N1354))))</f>
        <v/>
      </c>
      <c r="Y1354">
        <f>IF(N(X1354)=0,"",X1354+ROW()/1000000000)</f>
        <v/>
      </c>
      <c r="Z1354">
        <f>IF(Y1354="","",IF(COUNTIFS(Log!$D$6:$D$1505,D1354,Log!$Y$6:$Y$1505,"&gt;"&amp;Y1354)=0,1,0))</f>
        <v/>
      </c>
      <c r="AA1354">
        <f>IF(OR(B1354="",D1354=""),"",B1354+ROW()/10000000)</f>
        <v/>
      </c>
      <c r="AB1354">
        <f>IF(AA1354="","",IF(COUNTIFS(Log!$D$6:$D$1505,D1354,Log!$AA$6:$AA$1505,"&gt;"&amp;AA1354)=0,1,0))</f>
        <v/>
      </c>
      <c r="AC1354">
        <f>IF(S1354="New best",AA1354,"")</f>
        <v/>
      </c>
      <c r="AD1354">
        <f>ROW()</f>
        <v/>
      </c>
    </row>
    <row r="1355">
      <c r="A1355" s="1" t="n"/>
      <c r="B1355" s="21" t="n"/>
      <c r="C1355" s="22" t="n"/>
      <c r="D1355" s="23" t="n"/>
      <c r="E1355" s="24" t="n"/>
      <c r="F1355" s="24" t="n"/>
      <c r="G1355" s="24" t="n"/>
      <c r="H1355" s="24" t="n"/>
      <c r="I1355" s="24" t="n"/>
      <c r="J1355" s="24" t="n"/>
      <c r="K1355" s="24" t="n"/>
      <c r="L1355" s="24" t="n"/>
      <c r="M1355" s="24" t="n"/>
      <c r="N1355" s="24" t="n"/>
      <c r="O1355" s="15">
        <f>IF(D1355="","",COUNT(F1355,H1355,J1355,L1355,N1355))</f>
        <v/>
      </c>
      <c r="P1355" s="25">
        <f>IF(D1355="","",N(E1355)*N(F1355)+N(G1355)*N(H1355)+N(I1355)*N(J1355)+N(K1355)*N(L1355)+N(M1355)*N(N1355))</f>
        <v/>
      </c>
      <c r="Q1355" s="18">
        <f>IF(N(X1355)=0,"",IF(IF(N(F1355)=0,0,IF(N(E1355)&gt;0,E1355*(1+F1355/30),F1355))=X1355,IF(N(E1355)&gt;0,E1355&amp;" x "&amp;F1355,F1355&amp;" reps"),IF(IF(N(H1355)=0,0,IF(N(G1355)&gt;0,G1355*(1+H1355/30),H1355))=X1355,IF(N(G1355)&gt;0,G1355&amp;" x "&amp;H1355,H1355&amp;" reps"),IF(IF(N(J1355)=0,0,IF(N(I1355)&gt;0,I1355*(1+J1355/30),J1355))=X1355,IF(N(I1355)&gt;0,I1355&amp;" x "&amp;J1355,J1355&amp;" reps"),IF(IF(N(L1355)=0,0,IF(N(K1355)&gt;0,K1355*(1+L1355/30),L1355))=X1355,IF(N(K1355)&gt;0,K1355&amp;" x "&amp;L1355,L1355&amp;" reps"),IF(IF(N(N1355)=0,0,IF(N(M1355)&gt;0,M1355*(1+N1355/30),N1355))=X1355,IF(N(M1355)&gt;0,M1355&amp;" x "&amp;N1355,N1355&amp;" reps"),""))))))</f>
        <v/>
      </c>
      <c r="R1355" s="20">
        <f>IF(N(X1355)=0,"",ROUND(X1355,1))</f>
        <v/>
      </c>
      <c r="S1355" s="18">
        <f>IF(N(X1355)=0,"",IF(AND(COUNTIFS(Log!$D$6:$D$1505,D1355,Log!$B$6:$B$1505,"&lt;"&amp;B1355)&gt;0,COUNTIFS(Log!$D$6:$D$1505,D1355,Log!$B$6:$B$1505,"&lt;"&amp;B1355,Log!$X$6:$X$1505,"&gt;="&amp;X1355)=0),"New best",""))</f>
        <v/>
      </c>
      <c r="T1355" s="26" t="n"/>
      <c r="U1355" s="1">
        <f>IF(D1355="","",IFERROR(INDEX(Exercises!$C$6:$C$105,MATCH(D1355,Exercises!$B$6:$B$105,0)),"Other"))</f>
        <v/>
      </c>
      <c r="V1355">
        <f>IF(B1355="","",IF(COUNTIF($B$6:B1355,B1355)=1,1,0))</f>
        <v/>
      </c>
      <c r="W1355">
        <f>IF(B1355="","",B1355-WEEKDAY(B1355,3))</f>
        <v/>
      </c>
      <c r="X1355">
        <f>IF(D1355="","",MAX(IF(N(F1355)=0,0,IF(N(E1355)&gt;0,E1355*(1+F1355/30),F1355)),IF(N(H1355)=0,0,IF(N(G1355)&gt;0,G1355*(1+H1355/30),H1355)),IF(N(J1355)=0,0,IF(N(I1355)&gt;0,I1355*(1+J1355/30),J1355)),IF(N(L1355)=0,0,IF(N(K1355)&gt;0,K1355*(1+L1355/30),L1355)),IF(N(N1355)=0,0,IF(N(M1355)&gt;0,M1355*(1+N1355/30),N1355))))</f>
        <v/>
      </c>
      <c r="Y1355">
        <f>IF(N(X1355)=0,"",X1355+ROW()/1000000000)</f>
        <v/>
      </c>
      <c r="Z1355">
        <f>IF(Y1355="","",IF(COUNTIFS(Log!$D$6:$D$1505,D1355,Log!$Y$6:$Y$1505,"&gt;"&amp;Y1355)=0,1,0))</f>
        <v/>
      </c>
      <c r="AA1355">
        <f>IF(OR(B1355="",D1355=""),"",B1355+ROW()/10000000)</f>
        <v/>
      </c>
      <c r="AB1355">
        <f>IF(AA1355="","",IF(COUNTIFS(Log!$D$6:$D$1505,D1355,Log!$AA$6:$AA$1505,"&gt;"&amp;AA1355)=0,1,0))</f>
        <v/>
      </c>
      <c r="AC1355">
        <f>IF(S1355="New best",AA1355,"")</f>
        <v/>
      </c>
      <c r="AD1355">
        <f>ROW()</f>
        <v/>
      </c>
    </row>
    <row r="1356">
      <c r="A1356" s="1" t="n"/>
      <c r="B1356" s="21" t="n"/>
      <c r="C1356" s="22" t="n"/>
      <c r="D1356" s="23" t="n"/>
      <c r="E1356" s="24" t="n"/>
      <c r="F1356" s="24" t="n"/>
      <c r="G1356" s="24" t="n"/>
      <c r="H1356" s="24" t="n"/>
      <c r="I1356" s="24" t="n"/>
      <c r="J1356" s="24" t="n"/>
      <c r="K1356" s="24" t="n"/>
      <c r="L1356" s="24" t="n"/>
      <c r="M1356" s="24" t="n"/>
      <c r="N1356" s="24" t="n"/>
      <c r="O1356" s="15">
        <f>IF(D1356="","",COUNT(F1356,H1356,J1356,L1356,N1356))</f>
        <v/>
      </c>
      <c r="P1356" s="25">
        <f>IF(D1356="","",N(E1356)*N(F1356)+N(G1356)*N(H1356)+N(I1356)*N(J1356)+N(K1356)*N(L1356)+N(M1356)*N(N1356))</f>
        <v/>
      </c>
      <c r="Q1356" s="18">
        <f>IF(N(X1356)=0,"",IF(IF(N(F1356)=0,0,IF(N(E1356)&gt;0,E1356*(1+F1356/30),F1356))=X1356,IF(N(E1356)&gt;0,E1356&amp;" x "&amp;F1356,F1356&amp;" reps"),IF(IF(N(H1356)=0,0,IF(N(G1356)&gt;0,G1356*(1+H1356/30),H1356))=X1356,IF(N(G1356)&gt;0,G1356&amp;" x "&amp;H1356,H1356&amp;" reps"),IF(IF(N(J1356)=0,0,IF(N(I1356)&gt;0,I1356*(1+J1356/30),J1356))=X1356,IF(N(I1356)&gt;0,I1356&amp;" x "&amp;J1356,J1356&amp;" reps"),IF(IF(N(L1356)=0,0,IF(N(K1356)&gt;0,K1356*(1+L1356/30),L1356))=X1356,IF(N(K1356)&gt;0,K1356&amp;" x "&amp;L1356,L1356&amp;" reps"),IF(IF(N(N1356)=0,0,IF(N(M1356)&gt;0,M1356*(1+N1356/30),N1356))=X1356,IF(N(M1356)&gt;0,M1356&amp;" x "&amp;N1356,N1356&amp;" reps"),""))))))</f>
        <v/>
      </c>
      <c r="R1356" s="20">
        <f>IF(N(X1356)=0,"",ROUND(X1356,1))</f>
        <v/>
      </c>
      <c r="S1356" s="18">
        <f>IF(N(X1356)=0,"",IF(AND(COUNTIFS(Log!$D$6:$D$1505,D1356,Log!$B$6:$B$1505,"&lt;"&amp;B1356)&gt;0,COUNTIFS(Log!$D$6:$D$1505,D1356,Log!$B$6:$B$1505,"&lt;"&amp;B1356,Log!$X$6:$X$1505,"&gt;="&amp;X1356)=0),"New best",""))</f>
        <v/>
      </c>
      <c r="T1356" s="26" t="n"/>
      <c r="U1356" s="1">
        <f>IF(D1356="","",IFERROR(INDEX(Exercises!$C$6:$C$105,MATCH(D1356,Exercises!$B$6:$B$105,0)),"Other"))</f>
        <v/>
      </c>
      <c r="V1356">
        <f>IF(B1356="","",IF(COUNTIF($B$6:B1356,B1356)=1,1,0))</f>
        <v/>
      </c>
      <c r="W1356">
        <f>IF(B1356="","",B1356-WEEKDAY(B1356,3))</f>
        <v/>
      </c>
      <c r="X1356">
        <f>IF(D1356="","",MAX(IF(N(F1356)=0,0,IF(N(E1356)&gt;0,E1356*(1+F1356/30),F1356)),IF(N(H1356)=0,0,IF(N(G1356)&gt;0,G1356*(1+H1356/30),H1356)),IF(N(J1356)=0,0,IF(N(I1356)&gt;0,I1356*(1+J1356/30),J1356)),IF(N(L1356)=0,0,IF(N(K1356)&gt;0,K1356*(1+L1356/30),L1356)),IF(N(N1356)=0,0,IF(N(M1356)&gt;0,M1356*(1+N1356/30),N1356))))</f>
        <v/>
      </c>
      <c r="Y1356">
        <f>IF(N(X1356)=0,"",X1356+ROW()/1000000000)</f>
        <v/>
      </c>
      <c r="Z1356">
        <f>IF(Y1356="","",IF(COUNTIFS(Log!$D$6:$D$1505,D1356,Log!$Y$6:$Y$1505,"&gt;"&amp;Y1356)=0,1,0))</f>
        <v/>
      </c>
      <c r="AA1356">
        <f>IF(OR(B1356="",D1356=""),"",B1356+ROW()/10000000)</f>
        <v/>
      </c>
      <c r="AB1356">
        <f>IF(AA1356="","",IF(COUNTIFS(Log!$D$6:$D$1505,D1356,Log!$AA$6:$AA$1505,"&gt;"&amp;AA1356)=0,1,0))</f>
        <v/>
      </c>
      <c r="AC1356">
        <f>IF(S1356="New best",AA1356,"")</f>
        <v/>
      </c>
      <c r="AD1356">
        <f>ROW()</f>
        <v/>
      </c>
    </row>
    <row r="1357">
      <c r="A1357" s="1" t="n"/>
      <c r="B1357" s="21" t="n"/>
      <c r="C1357" s="22" t="n"/>
      <c r="D1357" s="23" t="n"/>
      <c r="E1357" s="24" t="n"/>
      <c r="F1357" s="24" t="n"/>
      <c r="G1357" s="24" t="n"/>
      <c r="H1357" s="24" t="n"/>
      <c r="I1357" s="24" t="n"/>
      <c r="J1357" s="24" t="n"/>
      <c r="K1357" s="24" t="n"/>
      <c r="L1357" s="24" t="n"/>
      <c r="M1357" s="24" t="n"/>
      <c r="N1357" s="24" t="n"/>
      <c r="O1357" s="15">
        <f>IF(D1357="","",COUNT(F1357,H1357,J1357,L1357,N1357))</f>
        <v/>
      </c>
      <c r="P1357" s="25">
        <f>IF(D1357="","",N(E1357)*N(F1357)+N(G1357)*N(H1357)+N(I1357)*N(J1357)+N(K1357)*N(L1357)+N(M1357)*N(N1357))</f>
        <v/>
      </c>
      <c r="Q1357" s="18">
        <f>IF(N(X1357)=0,"",IF(IF(N(F1357)=0,0,IF(N(E1357)&gt;0,E1357*(1+F1357/30),F1357))=X1357,IF(N(E1357)&gt;0,E1357&amp;" x "&amp;F1357,F1357&amp;" reps"),IF(IF(N(H1357)=0,0,IF(N(G1357)&gt;0,G1357*(1+H1357/30),H1357))=X1357,IF(N(G1357)&gt;0,G1357&amp;" x "&amp;H1357,H1357&amp;" reps"),IF(IF(N(J1357)=0,0,IF(N(I1357)&gt;0,I1357*(1+J1357/30),J1357))=X1357,IF(N(I1357)&gt;0,I1357&amp;" x "&amp;J1357,J1357&amp;" reps"),IF(IF(N(L1357)=0,0,IF(N(K1357)&gt;0,K1357*(1+L1357/30),L1357))=X1357,IF(N(K1357)&gt;0,K1357&amp;" x "&amp;L1357,L1357&amp;" reps"),IF(IF(N(N1357)=0,0,IF(N(M1357)&gt;0,M1357*(1+N1357/30),N1357))=X1357,IF(N(M1357)&gt;0,M1357&amp;" x "&amp;N1357,N1357&amp;" reps"),""))))))</f>
        <v/>
      </c>
      <c r="R1357" s="20">
        <f>IF(N(X1357)=0,"",ROUND(X1357,1))</f>
        <v/>
      </c>
      <c r="S1357" s="18">
        <f>IF(N(X1357)=0,"",IF(AND(COUNTIFS(Log!$D$6:$D$1505,D1357,Log!$B$6:$B$1505,"&lt;"&amp;B1357)&gt;0,COUNTIFS(Log!$D$6:$D$1505,D1357,Log!$B$6:$B$1505,"&lt;"&amp;B1357,Log!$X$6:$X$1505,"&gt;="&amp;X1357)=0),"New best",""))</f>
        <v/>
      </c>
      <c r="T1357" s="26" t="n"/>
      <c r="U1357" s="1">
        <f>IF(D1357="","",IFERROR(INDEX(Exercises!$C$6:$C$105,MATCH(D1357,Exercises!$B$6:$B$105,0)),"Other"))</f>
        <v/>
      </c>
      <c r="V1357">
        <f>IF(B1357="","",IF(COUNTIF($B$6:B1357,B1357)=1,1,0))</f>
        <v/>
      </c>
      <c r="W1357">
        <f>IF(B1357="","",B1357-WEEKDAY(B1357,3))</f>
        <v/>
      </c>
      <c r="X1357">
        <f>IF(D1357="","",MAX(IF(N(F1357)=0,0,IF(N(E1357)&gt;0,E1357*(1+F1357/30),F1357)),IF(N(H1357)=0,0,IF(N(G1357)&gt;0,G1357*(1+H1357/30),H1357)),IF(N(J1357)=0,0,IF(N(I1357)&gt;0,I1357*(1+J1357/30),J1357)),IF(N(L1357)=0,0,IF(N(K1357)&gt;0,K1357*(1+L1357/30),L1357)),IF(N(N1357)=0,0,IF(N(M1357)&gt;0,M1357*(1+N1357/30),N1357))))</f>
        <v/>
      </c>
      <c r="Y1357">
        <f>IF(N(X1357)=0,"",X1357+ROW()/1000000000)</f>
        <v/>
      </c>
      <c r="Z1357">
        <f>IF(Y1357="","",IF(COUNTIFS(Log!$D$6:$D$1505,D1357,Log!$Y$6:$Y$1505,"&gt;"&amp;Y1357)=0,1,0))</f>
        <v/>
      </c>
      <c r="AA1357">
        <f>IF(OR(B1357="",D1357=""),"",B1357+ROW()/10000000)</f>
        <v/>
      </c>
      <c r="AB1357">
        <f>IF(AA1357="","",IF(COUNTIFS(Log!$D$6:$D$1505,D1357,Log!$AA$6:$AA$1505,"&gt;"&amp;AA1357)=0,1,0))</f>
        <v/>
      </c>
      <c r="AC1357">
        <f>IF(S1357="New best",AA1357,"")</f>
        <v/>
      </c>
      <c r="AD1357">
        <f>ROW()</f>
        <v/>
      </c>
    </row>
    <row r="1358">
      <c r="A1358" s="1" t="n"/>
      <c r="B1358" s="21" t="n"/>
      <c r="C1358" s="22" t="n"/>
      <c r="D1358" s="23" t="n"/>
      <c r="E1358" s="24" t="n"/>
      <c r="F1358" s="24" t="n"/>
      <c r="G1358" s="24" t="n"/>
      <c r="H1358" s="24" t="n"/>
      <c r="I1358" s="24" t="n"/>
      <c r="J1358" s="24" t="n"/>
      <c r="K1358" s="24" t="n"/>
      <c r="L1358" s="24" t="n"/>
      <c r="M1358" s="24" t="n"/>
      <c r="N1358" s="24" t="n"/>
      <c r="O1358" s="15">
        <f>IF(D1358="","",COUNT(F1358,H1358,J1358,L1358,N1358))</f>
        <v/>
      </c>
      <c r="P1358" s="25">
        <f>IF(D1358="","",N(E1358)*N(F1358)+N(G1358)*N(H1358)+N(I1358)*N(J1358)+N(K1358)*N(L1358)+N(M1358)*N(N1358))</f>
        <v/>
      </c>
      <c r="Q1358" s="18">
        <f>IF(N(X1358)=0,"",IF(IF(N(F1358)=0,0,IF(N(E1358)&gt;0,E1358*(1+F1358/30),F1358))=X1358,IF(N(E1358)&gt;0,E1358&amp;" x "&amp;F1358,F1358&amp;" reps"),IF(IF(N(H1358)=0,0,IF(N(G1358)&gt;0,G1358*(1+H1358/30),H1358))=X1358,IF(N(G1358)&gt;0,G1358&amp;" x "&amp;H1358,H1358&amp;" reps"),IF(IF(N(J1358)=0,0,IF(N(I1358)&gt;0,I1358*(1+J1358/30),J1358))=X1358,IF(N(I1358)&gt;0,I1358&amp;" x "&amp;J1358,J1358&amp;" reps"),IF(IF(N(L1358)=0,0,IF(N(K1358)&gt;0,K1358*(1+L1358/30),L1358))=X1358,IF(N(K1358)&gt;0,K1358&amp;" x "&amp;L1358,L1358&amp;" reps"),IF(IF(N(N1358)=0,0,IF(N(M1358)&gt;0,M1358*(1+N1358/30),N1358))=X1358,IF(N(M1358)&gt;0,M1358&amp;" x "&amp;N1358,N1358&amp;" reps"),""))))))</f>
        <v/>
      </c>
      <c r="R1358" s="20">
        <f>IF(N(X1358)=0,"",ROUND(X1358,1))</f>
        <v/>
      </c>
      <c r="S1358" s="18">
        <f>IF(N(X1358)=0,"",IF(AND(COUNTIFS(Log!$D$6:$D$1505,D1358,Log!$B$6:$B$1505,"&lt;"&amp;B1358)&gt;0,COUNTIFS(Log!$D$6:$D$1505,D1358,Log!$B$6:$B$1505,"&lt;"&amp;B1358,Log!$X$6:$X$1505,"&gt;="&amp;X1358)=0),"New best",""))</f>
        <v/>
      </c>
      <c r="T1358" s="26" t="n"/>
      <c r="U1358" s="1">
        <f>IF(D1358="","",IFERROR(INDEX(Exercises!$C$6:$C$105,MATCH(D1358,Exercises!$B$6:$B$105,0)),"Other"))</f>
        <v/>
      </c>
      <c r="V1358">
        <f>IF(B1358="","",IF(COUNTIF($B$6:B1358,B1358)=1,1,0))</f>
        <v/>
      </c>
      <c r="W1358">
        <f>IF(B1358="","",B1358-WEEKDAY(B1358,3))</f>
        <v/>
      </c>
      <c r="X1358">
        <f>IF(D1358="","",MAX(IF(N(F1358)=0,0,IF(N(E1358)&gt;0,E1358*(1+F1358/30),F1358)),IF(N(H1358)=0,0,IF(N(G1358)&gt;0,G1358*(1+H1358/30),H1358)),IF(N(J1358)=0,0,IF(N(I1358)&gt;0,I1358*(1+J1358/30),J1358)),IF(N(L1358)=0,0,IF(N(K1358)&gt;0,K1358*(1+L1358/30),L1358)),IF(N(N1358)=0,0,IF(N(M1358)&gt;0,M1358*(1+N1358/30),N1358))))</f>
        <v/>
      </c>
      <c r="Y1358">
        <f>IF(N(X1358)=0,"",X1358+ROW()/1000000000)</f>
        <v/>
      </c>
      <c r="Z1358">
        <f>IF(Y1358="","",IF(COUNTIFS(Log!$D$6:$D$1505,D1358,Log!$Y$6:$Y$1505,"&gt;"&amp;Y1358)=0,1,0))</f>
        <v/>
      </c>
      <c r="AA1358">
        <f>IF(OR(B1358="",D1358=""),"",B1358+ROW()/10000000)</f>
        <v/>
      </c>
      <c r="AB1358">
        <f>IF(AA1358="","",IF(COUNTIFS(Log!$D$6:$D$1505,D1358,Log!$AA$6:$AA$1505,"&gt;"&amp;AA1358)=0,1,0))</f>
        <v/>
      </c>
      <c r="AC1358">
        <f>IF(S1358="New best",AA1358,"")</f>
        <v/>
      </c>
      <c r="AD1358">
        <f>ROW()</f>
        <v/>
      </c>
    </row>
    <row r="1359">
      <c r="A1359" s="1" t="n"/>
      <c r="B1359" s="21" t="n"/>
      <c r="C1359" s="22" t="n"/>
      <c r="D1359" s="23" t="n"/>
      <c r="E1359" s="24" t="n"/>
      <c r="F1359" s="24" t="n"/>
      <c r="G1359" s="24" t="n"/>
      <c r="H1359" s="24" t="n"/>
      <c r="I1359" s="24" t="n"/>
      <c r="J1359" s="24" t="n"/>
      <c r="K1359" s="24" t="n"/>
      <c r="L1359" s="24" t="n"/>
      <c r="M1359" s="24" t="n"/>
      <c r="N1359" s="24" t="n"/>
      <c r="O1359" s="15">
        <f>IF(D1359="","",COUNT(F1359,H1359,J1359,L1359,N1359))</f>
        <v/>
      </c>
      <c r="P1359" s="25">
        <f>IF(D1359="","",N(E1359)*N(F1359)+N(G1359)*N(H1359)+N(I1359)*N(J1359)+N(K1359)*N(L1359)+N(M1359)*N(N1359))</f>
        <v/>
      </c>
      <c r="Q1359" s="18">
        <f>IF(N(X1359)=0,"",IF(IF(N(F1359)=0,0,IF(N(E1359)&gt;0,E1359*(1+F1359/30),F1359))=X1359,IF(N(E1359)&gt;0,E1359&amp;" x "&amp;F1359,F1359&amp;" reps"),IF(IF(N(H1359)=0,0,IF(N(G1359)&gt;0,G1359*(1+H1359/30),H1359))=X1359,IF(N(G1359)&gt;0,G1359&amp;" x "&amp;H1359,H1359&amp;" reps"),IF(IF(N(J1359)=0,0,IF(N(I1359)&gt;0,I1359*(1+J1359/30),J1359))=X1359,IF(N(I1359)&gt;0,I1359&amp;" x "&amp;J1359,J1359&amp;" reps"),IF(IF(N(L1359)=0,0,IF(N(K1359)&gt;0,K1359*(1+L1359/30),L1359))=X1359,IF(N(K1359)&gt;0,K1359&amp;" x "&amp;L1359,L1359&amp;" reps"),IF(IF(N(N1359)=0,0,IF(N(M1359)&gt;0,M1359*(1+N1359/30),N1359))=X1359,IF(N(M1359)&gt;0,M1359&amp;" x "&amp;N1359,N1359&amp;" reps"),""))))))</f>
        <v/>
      </c>
      <c r="R1359" s="20">
        <f>IF(N(X1359)=0,"",ROUND(X1359,1))</f>
        <v/>
      </c>
      <c r="S1359" s="18">
        <f>IF(N(X1359)=0,"",IF(AND(COUNTIFS(Log!$D$6:$D$1505,D1359,Log!$B$6:$B$1505,"&lt;"&amp;B1359)&gt;0,COUNTIFS(Log!$D$6:$D$1505,D1359,Log!$B$6:$B$1505,"&lt;"&amp;B1359,Log!$X$6:$X$1505,"&gt;="&amp;X1359)=0),"New best",""))</f>
        <v/>
      </c>
      <c r="T1359" s="26" t="n"/>
      <c r="U1359" s="1">
        <f>IF(D1359="","",IFERROR(INDEX(Exercises!$C$6:$C$105,MATCH(D1359,Exercises!$B$6:$B$105,0)),"Other"))</f>
        <v/>
      </c>
      <c r="V1359">
        <f>IF(B1359="","",IF(COUNTIF($B$6:B1359,B1359)=1,1,0))</f>
        <v/>
      </c>
      <c r="W1359">
        <f>IF(B1359="","",B1359-WEEKDAY(B1359,3))</f>
        <v/>
      </c>
      <c r="X1359">
        <f>IF(D1359="","",MAX(IF(N(F1359)=0,0,IF(N(E1359)&gt;0,E1359*(1+F1359/30),F1359)),IF(N(H1359)=0,0,IF(N(G1359)&gt;0,G1359*(1+H1359/30),H1359)),IF(N(J1359)=0,0,IF(N(I1359)&gt;0,I1359*(1+J1359/30),J1359)),IF(N(L1359)=0,0,IF(N(K1359)&gt;0,K1359*(1+L1359/30),L1359)),IF(N(N1359)=0,0,IF(N(M1359)&gt;0,M1359*(1+N1359/30),N1359))))</f>
        <v/>
      </c>
      <c r="Y1359">
        <f>IF(N(X1359)=0,"",X1359+ROW()/1000000000)</f>
        <v/>
      </c>
      <c r="Z1359">
        <f>IF(Y1359="","",IF(COUNTIFS(Log!$D$6:$D$1505,D1359,Log!$Y$6:$Y$1505,"&gt;"&amp;Y1359)=0,1,0))</f>
        <v/>
      </c>
      <c r="AA1359">
        <f>IF(OR(B1359="",D1359=""),"",B1359+ROW()/10000000)</f>
        <v/>
      </c>
      <c r="AB1359">
        <f>IF(AA1359="","",IF(COUNTIFS(Log!$D$6:$D$1505,D1359,Log!$AA$6:$AA$1505,"&gt;"&amp;AA1359)=0,1,0))</f>
        <v/>
      </c>
      <c r="AC1359">
        <f>IF(S1359="New best",AA1359,"")</f>
        <v/>
      </c>
      <c r="AD1359">
        <f>ROW()</f>
        <v/>
      </c>
    </row>
    <row r="1360">
      <c r="A1360" s="1" t="n"/>
      <c r="B1360" s="21" t="n"/>
      <c r="C1360" s="22" t="n"/>
      <c r="D1360" s="23" t="n"/>
      <c r="E1360" s="24" t="n"/>
      <c r="F1360" s="24" t="n"/>
      <c r="G1360" s="24" t="n"/>
      <c r="H1360" s="24" t="n"/>
      <c r="I1360" s="24" t="n"/>
      <c r="J1360" s="24" t="n"/>
      <c r="K1360" s="24" t="n"/>
      <c r="L1360" s="24" t="n"/>
      <c r="M1360" s="24" t="n"/>
      <c r="N1360" s="24" t="n"/>
      <c r="O1360" s="15">
        <f>IF(D1360="","",COUNT(F1360,H1360,J1360,L1360,N1360))</f>
        <v/>
      </c>
      <c r="P1360" s="25">
        <f>IF(D1360="","",N(E1360)*N(F1360)+N(G1360)*N(H1360)+N(I1360)*N(J1360)+N(K1360)*N(L1360)+N(M1360)*N(N1360))</f>
        <v/>
      </c>
      <c r="Q1360" s="18">
        <f>IF(N(X1360)=0,"",IF(IF(N(F1360)=0,0,IF(N(E1360)&gt;0,E1360*(1+F1360/30),F1360))=X1360,IF(N(E1360)&gt;0,E1360&amp;" x "&amp;F1360,F1360&amp;" reps"),IF(IF(N(H1360)=0,0,IF(N(G1360)&gt;0,G1360*(1+H1360/30),H1360))=X1360,IF(N(G1360)&gt;0,G1360&amp;" x "&amp;H1360,H1360&amp;" reps"),IF(IF(N(J1360)=0,0,IF(N(I1360)&gt;0,I1360*(1+J1360/30),J1360))=X1360,IF(N(I1360)&gt;0,I1360&amp;" x "&amp;J1360,J1360&amp;" reps"),IF(IF(N(L1360)=0,0,IF(N(K1360)&gt;0,K1360*(1+L1360/30),L1360))=X1360,IF(N(K1360)&gt;0,K1360&amp;" x "&amp;L1360,L1360&amp;" reps"),IF(IF(N(N1360)=0,0,IF(N(M1360)&gt;0,M1360*(1+N1360/30),N1360))=X1360,IF(N(M1360)&gt;0,M1360&amp;" x "&amp;N1360,N1360&amp;" reps"),""))))))</f>
        <v/>
      </c>
      <c r="R1360" s="20">
        <f>IF(N(X1360)=0,"",ROUND(X1360,1))</f>
        <v/>
      </c>
      <c r="S1360" s="18">
        <f>IF(N(X1360)=0,"",IF(AND(COUNTIFS(Log!$D$6:$D$1505,D1360,Log!$B$6:$B$1505,"&lt;"&amp;B1360)&gt;0,COUNTIFS(Log!$D$6:$D$1505,D1360,Log!$B$6:$B$1505,"&lt;"&amp;B1360,Log!$X$6:$X$1505,"&gt;="&amp;X1360)=0),"New best",""))</f>
        <v/>
      </c>
      <c r="T1360" s="26" t="n"/>
      <c r="U1360" s="1">
        <f>IF(D1360="","",IFERROR(INDEX(Exercises!$C$6:$C$105,MATCH(D1360,Exercises!$B$6:$B$105,0)),"Other"))</f>
        <v/>
      </c>
      <c r="V1360">
        <f>IF(B1360="","",IF(COUNTIF($B$6:B1360,B1360)=1,1,0))</f>
        <v/>
      </c>
      <c r="W1360">
        <f>IF(B1360="","",B1360-WEEKDAY(B1360,3))</f>
        <v/>
      </c>
      <c r="X1360">
        <f>IF(D1360="","",MAX(IF(N(F1360)=0,0,IF(N(E1360)&gt;0,E1360*(1+F1360/30),F1360)),IF(N(H1360)=0,0,IF(N(G1360)&gt;0,G1360*(1+H1360/30),H1360)),IF(N(J1360)=0,0,IF(N(I1360)&gt;0,I1360*(1+J1360/30),J1360)),IF(N(L1360)=0,0,IF(N(K1360)&gt;0,K1360*(1+L1360/30),L1360)),IF(N(N1360)=0,0,IF(N(M1360)&gt;0,M1360*(1+N1360/30),N1360))))</f>
        <v/>
      </c>
      <c r="Y1360">
        <f>IF(N(X1360)=0,"",X1360+ROW()/1000000000)</f>
        <v/>
      </c>
      <c r="Z1360">
        <f>IF(Y1360="","",IF(COUNTIFS(Log!$D$6:$D$1505,D1360,Log!$Y$6:$Y$1505,"&gt;"&amp;Y1360)=0,1,0))</f>
        <v/>
      </c>
      <c r="AA1360">
        <f>IF(OR(B1360="",D1360=""),"",B1360+ROW()/10000000)</f>
        <v/>
      </c>
      <c r="AB1360">
        <f>IF(AA1360="","",IF(COUNTIFS(Log!$D$6:$D$1505,D1360,Log!$AA$6:$AA$1505,"&gt;"&amp;AA1360)=0,1,0))</f>
        <v/>
      </c>
      <c r="AC1360">
        <f>IF(S1360="New best",AA1360,"")</f>
        <v/>
      </c>
      <c r="AD1360">
        <f>ROW()</f>
        <v/>
      </c>
    </row>
    <row r="1361">
      <c r="A1361" s="1" t="n"/>
      <c r="B1361" s="21" t="n"/>
      <c r="C1361" s="22" t="n"/>
      <c r="D1361" s="23" t="n"/>
      <c r="E1361" s="24" t="n"/>
      <c r="F1361" s="24" t="n"/>
      <c r="G1361" s="24" t="n"/>
      <c r="H1361" s="24" t="n"/>
      <c r="I1361" s="24" t="n"/>
      <c r="J1361" s="24" t="n"/>
      <c r="K1361" s="24" t="n"/>
      <c r="L1361" s="24" t="n"/>
      <c r="M1361" s="24" t="n"/>
      <c r="N1361" s="24" t="n"/>
      <c r="O1361" s="15">
        <f>IF(D1361="","",COUNT(F1361,H1361,J1361,L1361,N1361))</f>
        <v/>
      </c>
      <c r="P1361" s="25">
        <f>IF(D1361="","",N(E1361)*N(F1361)+N(G1361)*N(H1361)+N(I1361)*N(J1361)+N(K1361)*N(L1361)+N(M1361)*N(N1361))</f>
        <v/>
      </c>
      <c r="Q1361" s="18">
        <f>IF(N(X1361)=0,"",IF(IF(N(F1361)=0,0,IF(N(E1361)&gt;0,E1361*(1+F1361/30),F1361))=X1361,IF(N(E1361)&gt;0,E1361&amp;" x "&amp;F1361,F1361&amp;" reps"),IF(IF(N(H1361)=0,0,IF(N(G1361)&gt;0,G1361*(1+H1361/30),H1361))=X1361,IF(N(G1361)&gt;0,G1361&amp;" x "&amp;H1361,H1361&amp;" reps"),IF(IF(N(J1361)=0,0,IF(N(I1361)&gt;0,I1361*(1+J1361/30),J1361))=X1361,IF(N(I1361)&gt;0,I1361&amp;" x "&amp;J1361,J1361&amp;" reps"),IF(IF(N(L1361)=0,0,IF(N(K1361)&gt;0,K1361*(1+L1361/30),L1361))=X1361,IF(N(K1361)&gt;0,K1361&amp;" x "&amp;L1361,L1361&amp;" reps"),IF(IF(N(N1361)=0,0,IF(N(M1361)&gt;0,M1361*(1+N1361/30),N1361))=X1361,IF(N(M1361)&gt;0,M1361&amp;" x "&amp;N1361,N1361&amp;" reps"),""))))))</f>
        <v/>
      </c>
      <c r="R1361" s="20">
        <f>IF(N(X1361)=0,"",ROUND(X1361,1))</f>
        <v/>
      </c>
      <c r="S1361" s="18">
        <f>IF(N(X1361)=0,"",IF(AND(COUNTIFS(Log!$D$6:$D$1505,D1361,Log!$B$6:$B$1505,"&lt;"&amp;B1361)&gt;0,COUNTIFS(Log!$D$6:$D$1505,D1361,Log!$B$6:$B$1505,"&lt;"&amp;B1361,Log!$X$6:$X$1505,"&gt;="&amp;X1361)=0),"New best",""))</f>
        <v/>
      </c>
      <c r="T1361" s="26" t="n"/>
      <c r="U1361" s="1">
        <f>IF(D1361="","",IFERROR(INDEX(Exercises!$C$6:$C$105,MATCH(D1361,Exercises!$B$6:$B$105,0)),"Other"))</f>
        <v/>
      </c>
      <c r="V1361">
        <f>IF(B1361="","",IF(COUNTIF($B$6:B1361,B1361)=1,1,0))</f>
        <v/>
      </c>
      <c r="W1361">
        <f>IF(B1361="","",B1361-WEEKDAY(B1361,3))</f>
        <v/>
      </c>
      <c r="X1361">
        <f>IF(D1361="","",MAX(IF(N(F1361)=0,0,IF(N(E1361)&gt;0,E1361*(1+F1361/30),F1361)),IF(N(H1361)=0,0,IF(N(G1361)&gt;0,G1361*(1+H1361/30),H1361)),IF(N(J1361)=0,0,IF(N(I1361)&gt;0,I1361*(1+J1361/30),J1361)),IF(N(L1361)=0,0,IF(N(K1361)&gt;0,K1361*(1+L1361/30),L1361)),IF(N(N1361)=0,0,IF(N(M1361)&gt;0,M1361*(1+N1361/30),N1361))))</f>
        <v/>
      </c>
      <c r="Y1361">
        <f>IF(N(X1361)=0,"",X1361+ROW()/1000000000)</f>
        <v/>
      </c>
      <c r="Z1361">
        <f>IF(Y1361="","",IF(COUNTIFS(Log!$D$6:$D$1505,D1361,Log!$Y$6:$Y$1505,"&gt;"&amp;Y1361)=0,1,0))</f>
        <v/>
      </c>
      <c r="AA1361">
        <f>IF(OR(B1361="",D1361=""),"",B1361+ROW()/10000000)</f>
        <v/>
      </c>
      <c r="AB1361">
        <f>IF(AA1361="","",IF(COUNTIFS(Log!$D$6:$D$1505,D1361,Log!$AA$6:$AA$1505,"&gt;"&amp;AA1361)=0,1,0))</f>
        <v/>
      </c>
      <c r="AC1361">
        <f>IF(S1361="New best",AA1361,"")</f>
        <v/>
      </c>
      <c r="AD1361">
        <f>ROW()</f>
        <v/>
      </c>
    </row>
    <row r="1362">
      <c r="A1362" s="1" t="n"/>
      <c r="B1362" s="21" t="n"/>
      <c r="C1362" s="22" t="n"/>
      <c r="D1362" s="23" t="n"/>
      <c r="E1362" s="24" t="n"/>
      <c r="F1362" s="24" t="n"/>
      <c r="G1362" s="24" t="n"/>
      <c r="H1362" s="24" t="n"/>
      <c r="I1362" s="24" t="n"/>
      <c r="J1362" s="24" t="n"/>
      <c r="K1362" s="24" t="n"/>
      <c r="L1362" s="24" t="n"/>
      <c r="M1362" s="24" t="n"/>
      <c r="N1362" s="24" t="n"/>
      <c r="O1362" s="15">
        <f>IF(D1362="","",COUNT(F1362,H1362,J1362,L1362,N1362))</f>
        <v/>
      </c>
      <c r="P1362" s="25">
        <f>IF(D1362="","",N(E1362)*N(F1362)+N(G1362)*N(H1362)+N(I1362)*N(J1362)+N(K1362)*N(L1362)+N(M1362)*N(N1362))</f>
        <v/>
      </c>
      <c r="Q1362" s="18">
        <f>IF(N(X1362)=0,"",IF(IF(N(F1362)=0,0,IF(N(E1362)&gt;0,E1362*(1+F1362/30),F1362))=X1362,IF(N(E1362)&gt;0,E1362&amp;" x "&amp;F1362,F1362&amp;" reps"),IF(IF(N(H1362)=0,0,IF(N(G1362)&gt;0,G1362*(1+H1362/30),H1362))=X1362,IF(N(G1362)&gt;0,G1362&amp;" x "&amp;H1362,H1362&amp;" reps"),IF(IF(N(J1362)=0,0,IF(N(I1362)&gt;0,I1362*(1+J1362/30),J1362))=X1362,IF(N(I1362)&gt;0,I1362&amp;" x "&amp;J1362,J1362&amp;" reps"),IF(IF(N(L1362)=0,0,IF(N(K1362)&gt;0,K1362*(1+L1362/30),L1362))=X1362,IF(N(K1362)&gt;0,K1362&amp;" x "&amp;L1362,L1362&amp;" reps"),IF(IF(N(N1362)=0,0,IF(N(M1362)&gt;0,M1362*(1+N1362/30),N1362))=X1362,IF(N(M1362)&gt;0,M1362&amp;" x "&amp;N1362,N1362&amp;" reps"),""))))))</f>
        <v/>
      </c>
      <c r="R1362" s="20">
        <f>IF(N(X1362)=0,"",ROUND(X1362,1))</f>
        <v/>
      </c>
      <c r="S1362" s="18">
        <f>IF(N(X1362)=0,"",IF(AND(COUNTIFS(Log!$D$6:$D$1505,D1362,Log!$B$6:$B$1505,"&lt;"&amp;B1362)&gt;0,COUNTIFS(Log!$D$6:$D$1505,D1362,Log!$B$6:$B$1505,"&lt;"&amp;B1362,Log!$X$6:$X$1505,"&gt;="&amp;X1362)=0),"New best",""))</f>
        <v/>
      </c>
      <c r="T1362" s="26" t="n"/>
      <c r="U1362" s="1">
        <f>IF(D1362="","",IFERROR(INDEX(Exercises!$C$6:$C$105,MATCH(D1362,Exercises!$B$6:$B$105,0)),"Other"))</f>
        <v/>
      </c>
      <c r="V1362">
        <f>IF(B1362="","",IF(COUNTIF($B$6:B1362,B1362)=1,1,0))</f>
        <v/>
      </c>
      <c r="W1362">
        <f>IF(B1362="","",B1362-WEEKDAY(B1362,3))</f>
        <v/>
      </c>
      <c r="X1362">
        <f>IF(D1362="","",MAX(IF(N(F1362)=0,0,IF(N(E1362)&gt;0,E1362*(1+F1362/30),F1362)),IF(N(H1362)=0,0,IF(N(G1362)&gt;0,G1362*(1+H1362/30),H1362)),IF(N(J1362)=0,0,IF(N(I1362)&gt;0,I1362*(1+J1362/30),J1362)),IF(N(L1362)=0,0,IF(N(K1362)&gt;0,K1362*(1+L1362/30),L1362)),IF(N(N1362)=0,0,IF(N(M1362)&gt;0,M1362*(1+N1362/30),N1362))))</f>
        <v/>
      </c>
      <c r="Y1362">
        <f>IF(N(X1362)=0,"",X1362+ROW()/1000000000)</f>
        <v/>
      </c>
      <c r="Z1362">
        <f>IF(Y1362="","",IF(COUNTIFS(Log!$D$6:$D$1505,D1362,Log!$Y$6:$Y$1505,"&gt;"&amp;Y1362)=0,1,0))</f>
        <v/>
      </c>
      <c r="AA1362">
        <f>IF(OR(B1362="",D1362=""),"",B1362+ROW()/10000000)</f>
        <v/>
      </c>
      <c r="AB1362">
        <f>IF(AA1362="","",IF(COUNTIFS(Log!$D$6:$D$1505,D1362,Log!$AA$6:$AA$1505,"&gt;"&amp;AA1362)=0,1,0))</f>
        <v/>
      </c>
      <c r="AC1362">
        <f>IF(S1362="New best",AA1362,"")</f>
        <v/>
      </c>
      <c r="AD1362">
        <f>ROW()</f>
        <v/>
      </c>
    </row>
    <row r="1363">
      <c r="A1363" s="1" t="n"/>
      <c r="B1363" s="21" t="n"/>
      <c r="C1363" s="22" t="n"/>
      <c r="D1363" s="23" t="n"/>
      <c r="E1363" s="24" t="n"/>
      <c r="F1363" s="24" t="n"/>
      <c r="G1363" s="24" t="n"/>
      <c r="H1363" s="24" t="n"/>
      <c r="I1363" s="24" t="n"/>
      <c r="J1363" s="24" t="n"/>
      <c r="K1363" s="24" t="n"/>
      <c r="L1363" s="24" t="n"/>
      <c r="M1363" s="24" t="n"/>
      <c r="N1363" s="24" t="n"/>
      <c r="O1363" s="15">
        <f>IF(D1363="","",COUNT(F1363,H1363,J1363,L1363,N1363))</f>
        <v/>
      </c>
      <c r="P1363" s="25">
        <f>IF(D1363="","",N(E1363)*N(F1363)+N(G1363)*N(H1363)+N(I1363)*N(J1363)+N(K1363)*N(L1363)+N(M1363)*N(N1363))</f>
        <v/>
      </c>
      <c r="Q1363" s="18">
        <f>IF(N(X1363)=0,"",IF(IF(N(F1363)=0,0,IF(N(E1363)&gt;0,E1363*(1+F1363/30),F1363))=X1363,IF(N(E1363)&gt;0,E1363&amp;" x "&amp;F1363,F1363&amp;" reps"),IF(IF(N(H1363)=0,0,IF(N(G1363)&gt;0,G1363*(1+H1363/30),H1363))=X1363,IF(N(G1363)&gt;0,G1363&amp;" x "&amp;H1363,H1363&amp;" reps"),IF(IF(N(J1363)=0,0,IF(N(I1363)&gt;0,I1363*(1+J1363/30),J1363))=X1363,IF(N(I1363)&gt;0,I1363&amp;" x "&amp;J1363,J1363&amp;" reps"),IF(IF(N(L1363)=0,0,IF(N(K1363)&gt;0,K1363*(1+L1363/30),L1363))=X1363,IF(N(K1363)&gt;0,K1363&amp;" x "&amp;L1363,L1363&amp;" reps"),IF(IF(N(N1363)=0,0,IF(N(M1363)&gt;0,M1363*(1+N1363/30),N1363))=X1363,IF(N(M1363)&gt;0,M1363&amp;" x "&amp;N1363,N1363&amp;" reps"),""))))))</f>
        <v/>
      </c>
      <c r="R1363" s="20">
        <f>IF(N(X1363)=0,"",ROUND(X1363,1))</f>
        <v/>
      </c>
      <c r="S1363" s="18">
        <f>IF(N(X1363)=0,"",IF(AND(COUNTIFS(Log!$D$6:$D$1505,D1363,Log!$B$6:$B$1505,"&lt;"&amp;B1363)&gt;0,COUNTIFS(Log!$D$6:$D$1505,D1363,Log!$B$6:$B$1505,"&lt;"&amp;B1363,Log!$X$6:$X$1505,"&gt;="&amp;X1363)=0),"New best",""))</f>
        <v/>
      </c>
      <c r="T1363" s="26" t="n"/>
      <c r="U1363" s="1">
        <f>IF(D1363="","",IFERROR(INDEX(Exercises!$C$6:$C$105,MATCH(D1363,Exercises!$B$6:$B$105,0)),"Other"))</f>
        <v/>
      </c>
      <c r="V1363">
        <f>IF(B1363="","",IF(COUNTIF($B$6:B1363,B1363)=1,1,0))</f>
        <v/>
      </c>
      <c r="W1363">
        <f>IF(B1363="","",B1363-WEEKDAY(B1363,3))</f>
        <v/>
      </c>
      <c r="X1363">
        <f>IF(D1363="","",MAX(IF(N(F1363)=0,0,IF(N(E1363)&gt;0,E1363*(1+F1363/30),F1363)),IF(N(H1363)=0,0,IF(N(G1363)&gt;0,G1363*(1+H1363/30),H1363)),IF(N(J1363)=0,0,IF(N(I1363)&gt;0,I1363*(1+J1363/30),J1363)),IF(N(L1363)=0,0,IF(N(K1363)&gt;0,K1363*(1+L1363/30),L1363)),IF(N(N1363)=0,0,IF(N(M1363)&gt;0,M1363*(1+N1363/30),N1363))))</f>
        <v/>
      </c>
      <c r="Y1363">
        <f>IF(N(X1363)=0,"",X1363+ROW()/1000000000)</f>
        <v/>
      </c>
      <c r="Z1363">
        <f>IF(Y1363="","",IF(COUNTIFS(Log!$D$6:$D$1505,D1363,Log!$Y$6:$Y$1505,"&gt;"&amp;Y1363)=0,1,0))</f>
        <v/>
      </c>
      <c r="AA1363">
        <f>IF(OR(B1363="",D1363=""),"",B1363+ROW()/10000000)</f>
        <v/>
      </c>
      <c r="AB1363">
        <f>IF(AA1363="","",IF(COUNTIFS(Log!$D$6:$D$1505,D1363,Log!$AA$6:$AA$1505,"&gt;"&amp;AA1363)=0,1,0))</f>
        <v/>
      </c>
      <c r="AC1363">
        <f>IF(S1363="New best",AA1363,"")</f>
        <v/>
      </c>
      <c r="AD1363">
        <f>ROW()</f>
        <v/>
      </c>
    </row>
    <row r="1364">
      <c r="A1364" s="1" t="n"/>
      <c r="B1364" s="21" t="n"/>
      <c r="C1364" s="22" t="n"/>
      <c r="D1364" s="23" t="n"/>
      <c r="E1364" s="24" t="n"/>
      <c r="F1364" s="24" t="n"/>
      <c r="G1364" s="24" t="n"/>
      <c r="H1364" s="24" t="n"/>
      <c r="I1364" s="24" t="n"/>
      <c r="J1364" s="24" t="n"/>
      <c r="K1364" s="24" t="n"/>
      <c r="L1364" s="24" t="n"/>
      <c r="M1364" s="24" t="n"/>
      <c r="N1364" s="24" t="n"/>
      <c r="O1364" s="15">
        <f>IF(D1364="","",COUNT(F1364,H1364,J1364,L1364,N1364))</f>
        <v/>
      </c>
      <c r="P1364" s="25">
        <f>IF(D1364="","",N(E1364)*N(F1364)+N(G1364)*N(H1364)+N(I1364)*N(J1364)+N(K1364)*N(L1364)+N(M1364)*N(N1364))</f>
        <v/>
      </c>
      <c r="Q1364" s="18">
        <f>IF(N(X1364)=0,"",IF(IF(N(F1364)=0,0,IF(N(E1364)&gt;0,E1364*(1+F1364/30),F1364))=X1364,IF(N(E1364)&gt;0,E1364&amp;" x "&amp;F1364,F1364&amp;" reps"),IF(IF(N(H1364)=0,0,IF(N(G1364)&gt;0,G1364*(1+H1364/30),H1364))=X1364,IF(N(G1364)&gt;0,G1364&amp;" x "&amp;H1364,H1364&amp;" reps"),IF(IF(N(J1364)=0,0,IF(N(I1364)&gt;0,I1364*(1+J1364/30),J1364))=X1364,IF(N(I1364)&gt;0,I1364&amp;" x "&amp;J1364,J1364&amp;" reps"),IF(IF(N(L1364)=0,0,IF(N(K1364)&gt;0,K1364*(1+L1364/30),L1364))=X1364,IF(N(K1364)&gt;0,K1364&amp;" x "&amp;L1364,L1364&amp;" reps"),IF(IF(N(N1364)=0,0,IF(N(M1364)&gt;0,M1364*(1+N1364/30),N1364))=X1364,IF(N(M1364)&gt;0,M1364&amp;" x "&amp;N1364,N1364&amp;" reps"),""))))))</f>
        <v/>
      </c>
      <c r="R1364" s="20">
        <f>IF(N(X1364)=0,"",ROUND(X1364,1))</f>
        <v/>
      </c>
      <c r="S1364" s="18">
        <f>IF(N(X1364)=0,"",IF(AND(COUNTIFS(Log!$D$6:$D$1505,D1364,Log!$B$6:$B$1505,"&lt;"&amp;B1364)&gt;0,COUNTIFS(Log!$D$6:$D$1505,D1364,Log!$B$6:$B$1505,"&lt;"&amp;B1364,Log!$X$6:$X$1505,"&gt;="&amp;X1364)=0),"New best",""))</f>
        <v/>
      </c>
      <c r="T1364" s="26" t="n"/>
      <c r="U1364" s="1">
        <f>IF(D1364="","",IFERROR(INDEX(Exercises!$C$6:$C$105,MATCH(D1364,Exercises!$B$6:$B$105,0)),"Other"))</f>
        <v/>
      </c>
      <c r="V1364">
        <f>IF(B1364="","",IF(COUNTIF($B$6:B1364,B1364)=1,1,0))</f>
        <v/>
      </c>
      <c r="W1364">
        <f>IF(B1364="","",B1364-WEEKDAY(B1364,3))</f>
        <v/>
      </c>
      <c r="X1364">
        <f>IF(D1364="","",MAX(IF(N(F1364)=0,0,IF(N(E1364)&gt;0,E1364*(1+F1364/30),F1364)),IF(N(H1364)=0,0,IF(N(G1364)&gt;0,G1364*(1+H1364/30),H1364)),IF(N(J1364)=0,0,IF(N(I1364)&gt;0,I1364*(1+J1364/30),J1364)),IF(N(L1364)=0,0,IF(N(K1364)&gt;0,K1364*(1+L1364/30),L1364)),IF(N(N1364)=0,0,IF(N(M1364)&gt;0,M1364*(1+N1364/30),N1364))))</f>
        <v/>
      </c>
      <c r="Y1364">
        <f>IF(N(X1364)=0,"",X1364+ROW()/1000000000)</f>
        <v/>
      </c>
      <c r="Z1364">
        <f>IF(Y1364="","",IF(COUNTIFS(Log!$D$6:$D$1505,D1364,Log!$Y$6:$Y$1505,"&gt;"&amp;Y1364)=0,1,0))</f>
        <v/>
      </c>
      <c r="AA1364">
        <f>IF(OR(B1364="",D1364=""),"",B1364+ROW()/10000000)</f>
        <v/>
      </c>
      <c r="AB1364">
        <f>IF(AA1364="","",IF(COUNTIFS(Log!$D$6:$D$1505,D1364,Log!$AA$6:$AA$1505,"&gt;"&amp;AA1364)=0,1,0))</f>
        <v/>
      </c>
      <c r="AC1364">
        <f>IF(S1364="New best",AA1364,"")</f>
        <v/>
      </c>
      <c r="AD1364">
        <f>ROW()</f>
        <v/>
      </c>
    </row>
    <row r="1365">
      <c r="A1365" s="1" t="n"/>
      <c r="B1365" s="21" t="n"/>
      <c r="C1365" s="22" t="n"/>
      <c r="D1365" s="23" t="n"/>
      <c r="E1365" s="24" t="n"/>
      <c r="F1365" s="24" t="n"/>
      <c r="G1365" s="24" t="n"/>
      <c r="H1365" s="24" t="n"/>
      <c r="I1365" s="24" t="n"/>
      <c r="J1365" s="24" t="n"/>
      <c r="K1365" s="24" t="n"/>
      <c r="L1365" s="24" t="n"/>
      <c r="M1365" s="24" t="n"/>
      <c r="N1365" s="24" t="n"/>
      <c r="O1365" s="15">
        <f>IF(D1365="","",COUNT(F1365,H1365,J1365,L1365,N1365))</f>
        <v/>
      </c>
      <c r="P1365" s="25">
        <f>IF(D1365="","",N(E1365)*N(F1365)+N(G1365)*N(H1365)+N(I1365)*N(J1365)+N(K1365)*N(L1365)+N(M1365)*N(N1365))</f>
        <v/>
      </c>
      <c r="Q1365" s="18">
        <f>IF(N(X1365)=0,"",IF(IF(N(F1365)=0,0,IF(N(E1365)&gt;0,E1365*(1+F1365/30),F1365))=X1365,IF(N(E1365)&gt;0,E1365&amp;" x "&amp;F1365,F1365&amp;" reps"),IF(IF(N(H1365)=0,0,IF(N(G1365)&gt;0,G1365*(1+H1365/30),H1365))=X1365,IF(N(G1365)&gt;0,G1365&amp;" x "&amp;H1365,H1365&amp;" reps"),IF(IF(N(J1365)=0,0,IF(N(I1365)&gt;0,I1365*(1+J1365/30),J1365))=X1365,IF(N(I1365)&gt;0,I1365&amp;" x "&amp;J1365,J1365&amp;" reps"),IF(IF(N(L1365)=0,0,IF(N(K1365)&gt;0,K1365*(1+L1365/30),L1365))=X1365,IF(N(K1365)&gt;0,K1365&amp;" x "&amp;L1365,L1365&amp;" reps"),IF(IF(N(N1365)=0,0,IF(N(M1365)&gt;0,M1365*(1+N1365/30),N1365))=X1365,IF(N(M1365)&gt;0,M1365&amp;" x "&amp;N1365,N1365&amp;" reps"),""))))))</f>
        <v/>
      </c>
      <c r="R1365" s="20">
        <f>IF(N(X1365)=0,"",ROUND(X1365,1))</f>
        <v/>
      </c>
      <c r="S1365" s="18">
        <f>IF(N(X1365)=0,"",IF(AND(COUNTIFS(Log!$D$6:$D$1505,D1365,Log!$B$6:$B$1505,"&lt;"&amp;B1365)&gt;0,COUNTIFS(Log!$D$6:$D$1505,D1365,Log!$B$6:$B$1505,"&lt;"&amp;B1365,Log!$X$6:$X$1505,"&gt;="&amp;X1365)=0),"New best",""))</f>
        <v/>
      </c>
      <c r="T1365" s="26" t="n"/>
      <c r="U1365" s="1">
        <f>IF(D1365="","",IFERROR(INDEX(Exercises!$C$6:$C$105,MATCH(D1365,Exercises!$B$6:$B$105,0)),"Other"))</f>
        <v/>
      </c>
      <c r="V1365">
        <f>IF(B1365="","",IF(COUNTIF($B$6:B1365,B1365)=1,1,0))</f>
        <v/>
      </c>
      <c r="W1365">
        <f>IF(B1365="","",B1365-WEEKDAY(B1365,3))</f>
        <v/>
      </c>
      <c r="X1365">
        <f>IF(D1365="","",MAX(IF(N(F1365)=0,0,IF(N(E1365)&gt;0,E1365*(1+F1365/30),F1365)),IF(N(H1365)=0,0,IF(N(G1365)&gt;0,G1365*(1+H1365/30),H1365)),IF(N(J1365)=0,0,IF(N(I1365)&gt;0,I1365*(1+J1365/30),J1365)),IF(N(L1365)=0,0,IF(N(K1365)&gt;0,K1365*(1+L1365/30),L1365)),IF(N(N1365)=0,0,IF(N(M1365)&gt;0,M1365*(1+N1365/30),N1365))))</f>
        <v/>
      </c>
      <c r="Y1365">
        <f>IF(N(X1365)=0,"",X1365+ROW()/1000000000)</f>
        <v/>
      </c>
      <c r="Z1365">
        <f>IF(Y1365="","",IF(COUNTIFS(Log!$D$6:$D$1505,D1365,Log!$Y$6:$Y$1505,"&gt;"&amp;Y1365)=0,1,0))</f>
        <v/>
      </c>
      <c r="AA1365">
        <f>IF(OR(B1365="",D1365=""),"",B1365+ROW()/10000000)</f>
        <v/>
      </c>
      <c r="AB1365">
        <f>IF(AA1365="","",IF(COUNTIFS(Log!$D$6:$D$1505,D1365,Log!$AA$6:$AA$1505,"&gt;"&amp;AA1365)=0,1,0))</f>
        <v/>
      </c>
      <c r="AC1365">
        <f>IF(S1365="New best",AA1365,"")</f>
        <v/>
      </c>
      <c r="AD1365">
        <f>ROW()</f>
        <v/>
      </c>
    </row>
    <row r="1366">
      <c r="A1366" s="1" t="n"/>
      <c r="B1366" s="21" t="n"/>
      <c r="C1366" s="22" t="n"/>
      <c r="D1366" s="23" t="n"/>
      <c r="E1366" s="24" t="n"/>
      <c r="F1366" s="24" t="n"/>
      <c r="G1366" s="24" t="n"/>
      <c r="H1366" s="24" t="n"/>
      <c r="I1366" s="24" t="n"/>
      <c r="J1366" s="24" t="n"/>
      <c r="K1366" s="24" t="n"/>
      <c r="L1366" s="24" t="n"/>
      <c r="M1366" s="24" t="n"/>
      <c r="N1366" s="24" t="n"/>
      <c r="O1366" s="15">
        <f>IF(D1366="","",COUNT(F1366,H1366,J1366,L1366,N1366))</f>
        <v/>
      </c>
      <c r="P1366" s="25">
        <f>IF(D1366="","",N(E1366)*N(F1366)+N(G1366)*N(H1366)+N(I1366)*N(J1366)+N(K1366)*N(L1366)+N(M1366)*N(N1366))</f>
        <v/>
      </c>
      <c r="Q1366" s="18">
        <f>IF(N(X1366)=0,"",IF(IF(N(F1366)=0,0,IF(N(E1366)&gt;0,E1366*(1+F1366/30),F1366))=X1366,IF(N(E1366)&gt;0,E1366&amp;" x "&amp;F1366,F1366&amp;" reps"),IF(IF(N(H1366)=0,0,IF(N(G1366)&gt;0,G1366*(1+H1366/30),H1366))=X1366,IF(N(G1366)&gt;0,G1366&amp;" x "&amp;H1366,H1366&amp;" reps"),IF(IF(N(J1366)=0,0,IF(N(I1366)&gt;0,I1366*(1+J1366/30),J1366))=X1366,IF(N(I1366)&gt;0,I1366&amp;" x "&amp;J1366,J1366&amp;" reps"),IF(IF(N(L1366)=0,0,IF(N(K1366)&gt;0,K1366*(1+L1366/30),L1366))=X1366,IF(N(K1366)&gt;0,K1366&amp;" x "&amp;L1366,L1366&amp;" reps"),IF(IF(N(N1366)=0,0,IF(N(M1366)&gt;0,M1366*(1+N1366/30),N1366))=X1366,IF(N(M1366)&gt;0,M1366&amp;" x "&amp;N1366,N1366&amp;" reps"),""))))))</f>
        <v/>
      </c>
      <c r="R1366" s="20">
        <f>IF(N(X1366)=0,"",ROUND(X1366,1))</f>
        <v/>
      </c>
      <c r="S1366" s="18">
        <f>IF(N(X1366)=0,"",IF(AND(COUNTIFS(Log!$D$6:$D$1505,D1366,Log!$B$6:$B$1505,"&lt;"&amp;B1366)&gt;0,COUNTIFS(Log!$D$6:$D$1505,D1366,Log!$B$6:$B$1505,"&lt;"&amp;B1366,Log!$X$6:$X$1505,"&gt;="&amp;X1366)=0),"New best",""))</f>
        <v/>
      </c>
      <c r="T1366" s="26" t="n"/>
      <c r="U1366" s="1">
        <f>IF(D1366="","",IFERROR(INDEX(Exercises!$C$6:$C$105,MATCH(D1366,Exercises!$B$6:$B$105,0)),"Other"))</f>
        <v/>
      </c>
      <c r="V1366">
        <f>IF(B1366="","",IF(COUNTIF($B$6:B1366,B1366)=1,1,0))</f>
        <v/>
      </c>
      <c r="W1366">
        <f>IF(B1366="","",B1366-WEEKDAY(B1366,3))</f>
        <v/>
      </c>
      <c r="X1366">
        <f>IF(D1366="","",MAX(IF(N(F1366)=0,0,IF(N(E1366)&gt;0,E1366*(1+F1366/30),F1366)),IF(N(H1366)=0,0,IF(N(G1366)&gt;0,G1366*(1+H1366/30),H1366)),IF(N(J1366)=0,0,IF(N(I1366)&gt;0,I1366*(1+J1366/30),J1366)),IF(N(L1366)=0,0,IF(N(K1366)&gt;0,K1366*(1+L1366/30),L1366)),IF(N(N1366)=0,0,IF(N(M1366)&gt;0,M1366*(1+N1366/30),N1366))))</f>
        <v/>
      </c>
      <c r="Y1366">
        <f>IF(N(X1366)=0,"",X1366+ROW()/1000000000)</f>
        <v/>
      </c>
      <c r="Z1366">
        <f>IF(Y1366="","",IF(COUNTIFS(Log!$D$6:$D$1505,D1366,Log!$Y$6:$Y$1505,"&gt;"&amp;Y1366)=0,1,0))</f>
        <v/>
      </c>
      <c r="AA1366">
        <f>IF(OR(B1366="",D1366=""),"",B1366+ROW()/10000000)</f>
        <v/>
      </c>
      <c r="AB1366">
        <f>IF(AA1366="","",IF(COUNTIFS(Log!$D$6:$D$1505,D1366,Log!$AA$6:$AA$1505,"&gt;"&amp;AA1366)=0,1,0))</f>
        <v/>
      </c>
      <c r="AC1366">
        <f>IF(S1366="New best",AA1366,"")</f>
        <v/>
      </c>
      <c r="AD1366">
        <f>ROW()</f>
        <v/>
      </c>
    </row>
    <row r="1367">
      <c r="A1367" s="1" t="n"/>
      <c r="B1367" s="21" t="n"/>
      <c r="C1367" s="22" t="n"/>
      <c r="D1367" s="23" t="n"/>
      <c r="E1367" s="24" t="n"/>
      <c r="F1367" s="24" t="n"/>
      <c r="G1367" s="24" t="n"/>
      <c r="H1367" s="24" t="n"/>
      <c r="I1367" s="24" t="n"/>
      <c r="J1367" s="24" t="n"/>
      <c r="K1367" s="24" t="n"/>
      <c r="L1367" s="24" t="n"/>
      <c r="M1367" s="24" t="n"/>
      <c r="N1367" s="24" t="n"/>
      <c r="O1367" s="15">
        <f>IF(D1367="","",COUNT(F1367,H1367,J1367,L1367,N1367))</f>
        <v/>
      </c>
      <c r="P1367" s="25">
        <f>IF(D1367="","",N(E1367)*N(F1367)+N(G1367)*N(H1367)+N(I1367)*N(J1367)+N(K1367)*N(L1367)+N(M1367)*N(N1367))</f>
        <v/>
      </c>
      <c r="Q1367" s="18">
        <f>IF(N(X1367)=0,"",IF(IF(N(F1367)=0,0,IF(N(E1367)&gt;0,E1367*(1+F1367/30),F1367))=X1367,IF(N(E1367)&gt;0,E1367&amp;" x "&amp;F1367,F1367&amp;" reps"),IF(IF(N(H1367)=0,0,IF(N(G1367)&gt;0,G1367*(1+H1367/30),H1367))=X1367,IF(N(G1367)&gt;0,G1367&amp;" x "&amp;H1367,H1367&amp;" reps"),IF(IF(N(J1367)=0,0,IF(N(I1367)&gt;0,I1367*(1+J1367/30),J1367))=X1367,IF(N(I1367)&gt;0,I1367&amp;" x "&amp;J1367,J1367&amp;" reps"),IF(IF(N(L1367)=0,0,IF(N(K1367)&gt;0,K1367*(1+L1367/30),L1367))=X1367,IF(N(K1367)&gt;0,K1367&amp;" x "&amp;L1367,L1367&amp;" reps"),IF(IF(N(N1367)=0,0,IF(N(M1367)&gt;0,M1367*(1+N1367/30),N1367))=X1367,IF(N(M1367)&gt;0,M1367&amp;" x "&amp;N1367,N1367&amp;" reps"),""))))))</f>
        <v/>
      </c>
      <c r="R1367" s="20">
        <f>IF(N(X1367)=0,"",ROUND(X1367,1))</f>
        <v/>
      </c>
      <c r="S1367" s="18">
        <f>IF(N(X1367)=0,"",IF(AND(COUNTIFS(Log!$D$6:$D$1505,D1367,Log!$B$6:$B$1505,"&lt;"&amp;B1367)&gt;0,COUNTIFS(Log!$D$6:$D$1505,D1367,Log!$B$6:$B$1505,"&lt;"&amp;B1367,Log!$X$6:$X$1505,"&gt;="&amp;X1367)=0),"New best",""))</f>
        <v/>
      </c>
      <c r="T1367" s="26" t="n"/>
      <c r="U1367" s="1">
        <f>IF(D1367="","",IFERROR(INDEX(Exercises!$C$6:$C$105,MATCH(D1367,Exercises!$B$6:$B$105,0)),"Other"))</f>
        <v/>
      </c>
      <c r="V1367">
        <f>IF(B1367="","",IF(COUNTIF($B$6:B1367,B1367)=1,1,0))</f>
        <v/>
      </c>
      <c r="W1367">
        <f>IF(B1367="","",B1367-WEEKDAY(B1367,3))</f>
        <v/>
      </c>
      <c r="X1367">
        <f>IF(D1367="","",MAX(IF(N(F1367)=0,0,IF(N(E1367)&gt;0,E1367*(1+F1367/30),F1367)),IF(N(H1367)=0,0,IF(N(G1367)&gt;0,G1367*(1+H1367/30),H1367)),IF(N(J1367)=0,0,IF(N(I1367)&gt;0,I1367*(1+J1367/30),J1367)),IF(N(L1367)=0,0,IF(N(K1367)&gt;0,K1367*(1+L1367/30),L1367)),IF(N(N1367)=0,0,IF(N(M1367)&gt;0,M1367*(1+N1367/30),N1367))))</f>
        <v/>
      </c>
      <c r="Y1367">
        <f>IF(N(X1367)=0,"",X1367+ROW()/1000000000)</f>
        <v/>
      </c>
      <c r="Z1367">
        <f>IF(Y1367="","",IF(COUNTIFS(Log!$D$6:$D$1505,D1367,Log!$Y$6:$Y$1505,"&gt;"&amp;Y1367)=0,1,0))</f>
        <v/>
      </c>
      <c r="AA1367">
        <f>IF(OR(B1367="",D1367=""),"",B1367+ROW()/10000000)</f>
        <v/>
      </c>
      <c r="AB1367">
        <f>IF(AA1367="","",IF(COUNTIFS(Log!$D$6:$D$1505,D1367,Log!$AA$6:$AA$1505,"&gt;"&amp;AA1367)=0,1,0))</f>
        <v/>
      </c>
      <c r="AC1367">
        <f>IF(S1367="New best",AA1367,"")</f>
        <v/>
      </c>
      <c r="AD1367">
        <f>ROW()</f>
        <v/>
      </c>
    </row>
    <row r="1368">
      <c r="A1368" s="1" t="n"/>
      <c r="B1368" s="21" t="n"/>
      <c r="C1368" s="22" t="n"/>
      <c r="D1368" s="23" t="n"/>
      <c r="E1368" s="24" t="n"/>
      <c r="F1368" s="24" t="n"/>
      <c r="G1368" s="24" t="n"/>
      <c r="H1368" s="24" t="n"/>
      <c r="I1368" s="24" t="n"/>
      <c r="J1368" s="24" t="n"/>
      <c r="K1368" s="24" t="n"/>
      <c r="L1368" s="24" t="n"/>
      <c r="M1368" s="24" t="n"/>
      <c r="N1368" s="24" t="n"/>
      <c r="O1368" s="15">
        <f>IF(D1368="","",COUNT(F1368,H1368,J1368,L1368,N1368))</f>
        <v/>
      </c>
      <c r="P1368" s="25">
        <f>IF(D1368="","",N(E1368)*N(F1368)+N(G1368)*N(H1368)+N(I1368)*N(J1368)+N(K1368)*N(L1368)+N(M1368)*N(N1368))</f>
        <v/>
      </c>
      <c r="Q1368" s="18">
        <f>IF(N(X1368)=0,"",IF(IF(N(F1368)=0,0,IF(N(E1368)&gt;0,E1368*(1+F1368/30),F1368))=X1368,IF(N(E1368)&gt;0,E1368&amp;" x "&amp;F1368,F1368&amp;" reps"),IF(IF(N(H1368)=0,0,IF(N(G1368)&gt;0,G1368*(1+H1368/30),H1368))=X1368,IF(N(G1368)&gt;0,G1368&amp;" x "&amp;H1368,H1368&amp;" reps"),IF(IF(N(J1368)=0,0,IF(N(I1368)&gt;0,I1368*(1+J1368/30),J1368))=X1368,IF(N(I1368)&gt;0,I1368&amp;" x "&amp;J1368,J1368&amp;" reps"),IF(IF(N(L1368)=0,0,IF(N(K1368)&gt;0,K1368*(1+L1368/30),L1368))=X1368,IF(N(K1368)&gt;0,K1368&amp;" x "&amp;L1368,L1368&amp;" reps"),IF(IF(N(N1368)=0,0,IF(N(M1368)&gt;0,M1368*(1+N1368/30),N1368))=X1368,IF(N(M1368)&gt;0,M1368&amp;" x "&amp;N1368,N1368&amp;" reps"),""))))))</f>
        <v/>
      </c>
      <c r="R1368" s="20">
        <f>IF(N(X1368)=0,"",ROUND(X1368,1))</f>
        <v/>
      </c>
      <c r="S1368" s="18">
        <f>IF(N(X1368)=0,"",IF(AND(COUNTIFS(Log!$D$6:$D$1505,D1368,Log!$B$6:$B$1505,"&lt;"&amp;B1368)&gt;0,COUNTIFS(Log!$D$6:$D$1505,D1368,Log!$B$6:$B$1505,"&lt;"&amp;B1368,Log!$X$6:$X$1505,"&gt;="&amp;X1368)=0),"New best",""))</f>
        <v/>
      </c>
      <c r="T1368" s="26" t="n"/>
      <c r="U1368" s="1">
        <f>IF(D1368="","",IFERROR(INDEX(Exercises!$C$6:$C$105,MATCH(D1368,Exercises!$B$6:$B$105,0)),"Other"))</f>
        <v/>
      </c>
      <c r="V1368">
        <f>IF(B1368="","",IF(COUNTIF($B$6:B1368,B1368)=1,1,0))</f>
        <v/>
      </c>
      <c r="W1368">
        <f>IF(B1368="","",B1368-WEEKDAY(B1368,3))</f>
        <v/>
      </c>
      <c r="X1368">
        <f>IF(D1368="","",MAX(IF(N(F1368)=0,0,IF(N(E1368)&gt;0,E1368*(1+F1368/30),F1368)),IF(N(H1368)=0,0,IF(N(G1368)&gt;0,G1368*(1+H1368/30),H1368)),IF(N(J1368)=0,0,IF(N(I1368)&gt;0,I1368*(1+J1368/30),J1368)),IF(N(L1368)=0,0,IF(N(K1368)&gt;0,K1368*(1+L1368/30),L1368)),IF(N(N1368)=0,0,IF(N(M1368)&gt;0,M1368*(1+N1368/30),N1368))))</f>
        <v/>
      </c>
      <c r="Y1368">
        <f>IF(N(X1368)=0,"",X1368+ROW()/1000000000)</f>
        <v/>
      </c>
      <c r="Z1368">
        <f>IF(Y1368="","",IF(COUNTIFS(Log!$D$6:$D$1505,D1368,Log!$Y$6:$Y$1505,"&gt;"&amp;Y1368)=0,1,0))</f>
        <v/>
      </c>
      <c r="AA1368">
        <f>IF(OR(B1368="",D1368=""),"",B1368+ROW()/10000000)</f>
        <v/>
      </c>
      <c r="AB1368">
        <f>IF(AA1368="","",IF(COUNTIFS(Log!$D$6:$D$1505,D1368,Log!$AA$6:$AA$1505,"&gt;"&amp;AA1368)=0,1,0))</f>
        <v/>
      </c>
      <c r="AC1368">
        <f>IF(S1368="New best",AA1368,"")</f>
        <v/>
      </c>
      <c r="AD1368">
        <f>ROW()</f>
        <v/>
      </c>
    </row>
    <row r="1369">
      <c r="A1369" s="1" t="n"/>
      <c r="B1369" s="21" t="n"/>
      <c r="C1369" s="22" t="n"/>
      <c r="D1369" s="23" t="n"/>
      <c r="E1369" s="24" t="n"/>
      <c r="F1369" s="24" t="n"/>
      <c r="G1369" s="24" t="n"/>
      <c r="H1369" s="24" t="n"/>
      <c r="I1369" s="24" t="n"/>
      <c r="J1369" s="24" t="n"/>
      <c r="K1369" s="24" t="n"/>
      <c r="L1369" s="24" t="n"/>
      <c r="M1369" s="24" t="n"/>
      <c r="N1369" s="24" t="n"/>
      <c r="O1369" s="15">
        <f>IF(D1369="","",COUNT(F1369,H1369,J1369,L1369,N1369))</f>
        <v/>
      </c>
      <c r="P1369" s="25">
        <f>IF(D1369="","",N(E1369)*N(F1369)+N(G1369)*N(H1369)+N(I1369)*N(J1369)+N(K1369)*N(L1369)+N(M1369)*N(N1369))</f>
        <v/>
      </c>
      <c r="Q1369" s="18">
        <f>IF(N(X1369)=0,"",IF(IF(N(F1369)=0,0,IF(N(E1369)&gt;0,E1369*(1+F1369/30),F1369))=X1369,IF(N(E1369)&gt;0,E1369&amp;" x "&amp;F1369,F1369&amp;" reps"),IF(IF(N(H1369)=0,0,IF(N(G1369)&gt;0,G1369*(1+H1369/30),H1369))=X1369,IF(N(G1369)&gt;0,G1369&amp;" x "&amp;H1369,H1369&amp;" reps"),IF(IF(N(J1369)=0,0,IF(N(I1369)&gt;0,I1369*(1+J1369/30),J1369))=X1369,IF(N(I1369)&gt;0,I1369&amp;" x "&amp;J1369,J1369&amp;" reps"),IF(IF(N(L1369)=0,0,IF(N(K1369)&gt;0,K1369*(1+L1369/30),L1369))=X1369,IF(N(K1369)&gt;0,K1369&amp;" x "&amp;L1369,L1369&amp;" reps"),IF(IF(N(N1369)=0,0,IF(N(M1369)&gt;0,M1369*(1+N1369/30),N1369))=X1369,IF(N(M1369)&gt;0,M1369&amp;" x "&amp;N1369,N1369&amp;" reps"),""))))))</f>
        <v/>
      </c>
      <c r="R1369" s="20">
        <f>IF(N(X1369)=0,"",ROUND(X1369,1))</f>
        <v/>
      </c>
      <c r="S1369" s="18">
        <f>IF(N(X1369)=0,"",IF(AND(COUNTIFS(Log!$D$6:$D$1505,D1369,Log!$B$6:$B$1505,"&lt;"&amp;B1369)&gt;0,COUNTIFS(Log!$D$6:$D$1505,D1369,Log!$B$6:$B$1505,"&lt;"&amp;B1369,Log!$X$6:$X$1505,"&gt;="&amp;X1369)=0),"New best",""))</f>
        <v/>
      </c>
      <c r="T1369" s="26" t="n"/>
      <c r="U1369" s="1">
        <f>IF(D1369="","",IFERROR(INDEX(Exercises!$C$6:$C$105,MATCH(D1369,Exercises!$B$6:$B$105,0)),"Other"))</f>
        <v/>
      </c>
      <c r="V1369">
        <f>IF(B1369="","",IF(COUNTIF($B$6:B1369,B1369)=1,1,0))</f>
        <v/>
      </c>
      <c r="W1369">
        <f>IF(B1369="","",B1369-WEEKDAY(B1369,3))</f>
        <v/>
      </c>
      <c r="X1369">
        <f>IF(D1369="","",MAX(IF(N(F1369)=0,0,IF(N(E1369)&gt;0,E1369*(1+F1369/30),F1369)),IF(N(H1369)=0,0,IF(N(G1369)&gt;0,G1369*(1+H1369/30),H1369)),IF(N(J1369)=0,0,IF(N(I1369)&gt;0,I1369*(1+J1369/30),J1369)),IF(N(L1369)=0,0,IF(N(K1369)&gt;0,K1369*(1+L1369/30),L1369)),IF(N(N1369)=0,0,IF(N(M1369)&gt;0,M1369*(1+N1369/30),N1369))))</f>
        <v/>
      </c>
      <c r="Y1369">
        <f>IF(N(X1369)=0,"",X1369+ROW()/1000000000)</f>
        <v/>
      </c>
      <c r="Z1369">
        <f>IF(Y1369="","",IF(COUNTIFS(Log!$D$6:$D$1505,D1369,Log!$Y$6:$Y$1505,"&gt;"&amp;Y1369)=0,1,0))</f>
        <v/>
      </c>
      <c r="AA1369">
        <f>IF(OR(B1369="",D1369=""),"",B1369+ROW()/10000000)</f>
        <v/>
      </c>
      <c r="AB1369">
        <f>IF(AA1369="","",IF(COUNTIFS(Log!$D$6:$D$1505,D1369,Log!$AA$6:$AA$1505,"&gt;"&amp;AA1369)=0,1,0))</f>
        <v/>
      </c>
      <c r="AC1369">
        <f>IF(S1369="New best",AA1369,"")</f>
        <v/>
      </c>
      <c r="AD1369">
        <f>ROW()</f>
        <v/>
      </c>
    </row>
    <row r="1370">
      <c r="A1370" s="1" t="n"/>
      <c r="B1370" s="21" t="n"/>
      <c r="C1370" s="22" t="n"/>
      <c r="D1370" s="23" t="n"/>
      <c r="E1370" s="24" t="n"/>
      <c r="F1370" s="24" t="n"/>
      <c r="G1370" s="24" t="n"/>
      <c r="H1370" s="24" t="n"/>
      <c r="I1370" s="24" t="n"/>
      <c r="J1370" s="24" t="n"/>
      <c r="K1370" s="24" t="n"/>
      <c r="L1370" s="24" t="n"/>
      <c r="M1370" s="24" t="n"/>
      <c r="N1370" s="24" t="n"/>
      <c r="O1370" s="15">
        <f>IF(D1370="","",COUNT(F1370,H1370,J1370,L1370,N1370))</f>
        <v/>
      </c>
      <c r="P1370" s="25">
        <f>IF(D1370="","",N(E1370)*N(F1370)+N(G1370)*N(H1370)+N(I1370)*N(J1370)+N(K1370)*N(L1370)+N(M1370)*N(N1370))</f>
        <v/>
      </c>
      <c r="Q1370" s="18">
        <f>IF(N(X1370)=0,"",IF(IF(N(F1370)=0,0,IF(N(E1370)&gt;0,E1370*(1+F1370/30),F1370))=X1370,IF(N(E1370)&gt;0,E1370&amp;" x "&amp;F1370,F1370&amp;" reps"),IF(IF(N(H1370)=0,0,IF(N(G1370)&gt;0,G1370*(1+H1370/30),H1370))=X1370,IF(N(G1370)&gt;0,G1370&amp;" x "&amp;H1370,H1370&amp;" reps"),IF(IF(N(J1370)=0,0,IF(N(I1370)&gt;0,I1370*(1+J1370/30),J1370))=X1370,IF(N(I1370)&gt;0,I1370&amp;" x "&amp;J1370,J1370&amp;" reps"),IF(IF(N(L1370)=0,0,IF(N(K1370)&gt;0,K1370*(1+L1370/30),L1370))=X1370,IF(N(K1370)&gt;0,K1370&amp;" x "&amp;L1370,L1370&amp;" reps"),IF(IF(N(N1370)=0,0,IF(N(M1370)&gt;0,M1370*(1+N1370/30),N1370))=X1370,IF(N(M1370)&gt;0,M1370&amp;" x "&amp;N1370,N1370&amp;" reps"),""))))))</f>
        <v/>
      </c>
      <c r="R1370" s="20">
        <f>IF(N(X1370)=0,"",ROUND(X1370,1))</f>
        <v/>
      </c>
      <c r="S1370" s="18">
        <f>IF(N(X1370)=0,"",IF(AND(COUNTIFS(Log!$D$6:$D$1505,D1370,Log!$B$6:$B$1505,"&lt;"&amp;B1370)&gt;0,COUNTIFS(Log!$D$6:$D$1505,D1370,Log!$B$6:$B$1505,"&lt;"&amp;B1370,Log!$X$6:$X$1505,"&gt;="&amp;X1370)=0),"New best",""))</f>
        <v/>
      </c>
      <c r="T1370" s="26" t="n"/>
      <c r="U1370" s="1">
        <f>IF(D1370="","",IFERROR(INDEX(Exercises!$C$6:$C$105,MATCH(D1370,Exercises!$B$6:$B$105,0)),"Other"))</f>
        <v/>
      </c>
      <c r="V1370">
        <f>IF(B1370="","",IF(COUNTIF($B$6:B1370,B1370)=1,1,0))</f>
        <v/>
      </c>
      <c r="W1370">
        <f>IF(B1370="","",B1370-WEEKDAY(B1370,3))</f>
        <v/>
      </c>
      <c r="X1370">
        <f>IF(D1370="","",MAX(IF(N(F1370)=0,0,IF(N(E1370)&gt;0,E1370*(1+F1370/30),F1370)),IF(N(H1370)=0,0,IF(N(G1370)&gt;0,G1370*(1+H1370/30),H1370)),IF(N(J1370)=0,0,IF(N(I1370)&gt;0,I1370*(1+J1370/30),J1370)),IF(N(L1370)=0,0,IF(N(K1370)&gt;0,K1370*(1+L1370/30),L1370)),IF(N(N1370)=0,0,IF(N(M1370)&gt;0,M1370*(1+N1370/30),N1370))))</f>
        <v/>
      </c>
      <c r="Y1370">
        <f>IF(N(X1370)=0,"",X1370+ROW()/1000000000)</f>
        <v/>
      </c>
      <c r="Z1370">
        <f>IF(Y1370="","",IF(COUNTIFS(Log!$D$6:$D$1505,D1370,Log!$Y$6:$Y$1505,"&gt;"&amp;Y1370)=0,1,0))</f>
        <v/>
      </c>
      <c r="AA1370">
        <f>IF(OR(B1370="",D1370=""),"",B1370+ROW()/10000000)</f>
        <v/>
      </c>
      <c r="AB1370">
        <f>IF(AA1370="","",IF(COUNTIFS(Log!$D$6:$D$1505,D1370,Log!$AA$6:$AA$1505,"&gt;"&amp;AA1370)=0,1,0))</f>
        <v/>
      </c>
      <c r="AC1370">
        <f>IF(S1370="New best",AA1370,"")</f>
        <v/>
      </c>
      <c r="AD1370">
        <f>ROW()</f>
        <v/>
      </c>
    </row>
    <row r="1371">
      <c r="A1371" s="1" t="n"/>
      <c r="B1371" s="21" t="n"/>
      <c r="C1371" s="22" t="n"/>
      <c r="D1371" s="23" t="n"/>
      <c r="E1371" s="24" t="n"/>
      <c r="F1371" s="24" t="n"/>
      <c r="G1371" s="24" t="n"/>
      <c r="H1371" s="24" t="n"/>
      <c r="I1371" s="24" t="n"/>
      <c r="J1371" s="24" t="n"/>
      <c r="K1371" s="24" t="n"/>
      <c r="L1371" s="24" t="n"/>
      <c r="M1371" s="24" t="n"/>
      <c r="N1371" s="24" t="n"/>
      <c r="O1371" s="15">
        <f>IF(D1371="","",COUNT(F1371,H1371,J1371,L1371,N1371))</f>
        <v/>
      </c>
      <c r="P1371" s="25">
        <f>IF(D1371="","",N(E1371)*N(F1371)+N(G1371)*N(H1371)+N(I1371)*N(J1371)+N(K1371)*N(L1371)+N(M1371)*N(N1371))</f>
        <v/>
      </c>
      <c r="Q1371" s="18">
        <f>IF(N(X1371)=0,"",IF(IF(N(F1371)=0,0,IF(N(E1371)&gt;0,E1371*(1+F1371/30),F1371))=X1371,IF(N(E1371)&gt;0,E1371&amp;" x "&amp;F1371,F1371&amp;" reps"),IF(IF(N(H1371)=0,0,IF(N(G1371)&gt;0,G1371*(1+H1371/30),H1371))=X1371,IF(N(G1371)&gt;0,G1371&amp;" x "&amp;H1371,H1371&amp;" reps"),IF(IF(N(J1371)=0,0,IF(N(I1371)&gt;0,I1371*(1+J1371/30),J1371))=X1371,IF(N(I1371)&gt;0,I1371&amp;" x "&amp;J1371,J1371&amp;" reps"),IF(IF(N(L1371)=0,0,IF(N(K1371)&gt;0,K1371*(1+L1371/30),L1371))=X1371,IF(N(K1371)&gt;0,K1371&amp;" x "&amp;L1371,L1371&amp;" reps"),IF(IF(N(N1371)=0,0,IF(N(M1371)&gt;0,M1371*(1+N1371/30),N1371))=X1371,IF(N(M1371)&gt;0,M1371&amp;" x "&amp;N1371,N1371&amp;" reps"),""))))))</f>
        <v/>
      </c>
      <c r="R1371" s="20">
        <f>IF(N(X1371)=0,"",ROUND(X1371,1))</f>
        <v/>
      </c>
      <c r="S1371" s="18">
        <f>IF(N(X1371)=0,"",IF(AND(COUNTIFS(Log!$D$6:$D$1505,D1371,Log!$B$6:$B$1505,"&lt;"&amp;B1371)&gt;0,COUNTIFS(Log!$D$6:$D$1505,D1371,Log!$B$6:$B$1505,"&lt;"&amp;B1371,Log!$X$6:$X$1505,"&gt;="&amp;X1371)=0),"New best",""))</f>
        <v/>
      </c>
      <c r="T1371" s="26" t="n"/>
      <c r="U1371" s="1">
        <f>IF(D1371="","",IFERROR(INDEX(Exercises!$C$6:$C$105,MATCH(D1371,Exercises!$B$6:$B$105,0)),"Other"))</f>
        <v/>
      </c>
      <c r="V1371">
        <f>IF(B1371="","",IF(COUNTIF($B$6:B1371,B1371)=1,1,0))</f>
        <v/>
      </c>
      <c r="W1371">
        <f>IF(B1371="","",B1371-WEEKDAY(B1371,3))</f>
        <v/>
      </c>
      <c r="X1371">
        <f>IF(D1371="","",MAX(IF(N(F1371)=0,0,IF(N(E1371)&gt;0,E1371*(1+F1371/30),F1371)),IF(N(H1371)=0,0,IF(N(G1371)&gt;0,G1371*(1+H1371/30),H1371)),IF(N(J1371)=0,0,IF(N(I1371)&gt;0,I1371*(1+J1371/30),J1371)),IF(N(L1371)=0,0,IF(N(K1371)&gt;0,K1371*(1+L1371/30),L1371)),IF(N(N1371)=0,0,IF(N(M1371)&gt;0,M1371*(1+N1371/30),N1371))))</f>
        <v/>
      </c>
      <c r="Y1371">
        <f>IF(N(X1371)=0,"",X1371+ROW()/1000000000)</f>
        <v/>
      </c>
      <c r="Z1371">
        <f>IF(Y1371="","",IF(COUNTIFS(Log!$D$6:$D$1505,D1371,Log!$Y$6:$Y$1505,"&gt;"&amp;Y1371)=0,1,0))</f>
        <v/>
      </c>
      <c r="AA1371">
        <f>IF(OR(B1371="",D1371=""),"",B1371+ROW()/10000000)</f>
        <v/>
      </c>
      <c r="AB1371">
        <f>IF(AA1371="","",IF(COUNTIFS(Log!$D$6:$D$1505,D1371,Log!$AA$6:$AA$1505,"&gt;"&amp;AA1371)=0,1,0))</f>
        <v/>
      </c>
      <c r="AC1371">
        <f>IF(S1371="New best",AA1371,"")</f>
        <v/>
      </c>
      <c r="AD1371">
        <f>ROW()</f>
        <v/>
      </c>
    </row>
    <row r="1372">
      <c r="A1372" s="1" t="n"/>
      <c r="B1372" s="21" t="n"/>
      <c r="C1372" s="22" t="n"/>
      <c r="D1372" s="23" t="n"/>
      <c r="E1372" s="24" t="n"/>
      <c r="F1372" s="24" t="n"/>
      <c r="G1372" s="24" t="n"/>
      <c r="H1372" s="24" t="n"/>
      <c r="I1372" s="24" t="n"/>
      <c r="J1372" s="24" t="n"/>
      <c r="K1372" s="24" t="n"/>
      <c r="L1372" s="24" t="n"/>
      <c r="M1372" s="24" t="n"/>
      <c r="N1372" s="24" t="n"/>
      <c r="O1372" s="15">
        <f>IF(D1372="","",COUNT(F1372,H1372,J1372,L1372,N1372))</f>
        <v/>
      </c>
      <c r="P1372" s="25">
        <f>IF(D1372="","",N(E1372)*N(F1372)+N(G1372)*N(H1372)+N(I1372)*N(J1372)+N(K1372)*N(L1372)+N(M1372)*N(N1372))</f>
        <v/>
      </c>
      <c r="Q1372" s="18">
        <f>IF(N(X1372)=0,"",IF(IF(N(F1372)=0,0,IF(N(E1372)&gt;0,E1372*(1+F1372/30),F1372))=X1372,IF(N(E1372)&gt;0,E1372&amp;" x "&amp;F1372,F1372&amp;" reps"),IF(IF(N(H1372)=0,0,IF(N(G1372)&gt;0,G1372*(1+H1372/30),H1372))=X1372,IF(N(G1372)&gt;0,G1372&amp;" x "&amp;H1372,H1372&amp;" reps"),IF(IF(N(J1372)=0,0,IF(N(I1372)&gt;0,I1372*(1+J1372/30),J1372))=X1372,IF(N(I1372)&gt;0,I1372&amp;" x "&amp;J1372,J1372&amp;" reps"),IF(IF(N(L1372)=0,0,IF(N(K1372)&gt;0,K1372*(1+L1372/30),L1372))=X1372,IF(N(K1372)&gt;0,K1372&amp;" x "&amp;L1372,L1372&amp;" reps"),IF(IF(N(N1372)=0,0,IF(N(M1372)&gt;0,M1372*(1+N1372/30),N1372))=X1372,IF(N(M1372)&gt;0,M1372&amp;" x "&amp;N1372,N1372&amp;" reps"),""))))))</f>
        <v/>
      </c>
      <c r="R1372" s="20">
        <f>IF(N(X1372)=0,"",ROUND(X1372,1))</f>
        <v/>
      </c>
      <c r="S1372" s="18">
        <f>IF(N(X1372)=0,"",IF(AND(COUNTIFS(Log!$D$6:$D$1505,D1372,Log!$B$6:$B$1505,"&lt;"&amp;B1372)&gt;0,COUNTIFS(Log!$D$6:$D$1505,D1372,Log!$B$6:$B$1505,"&lt;"&amp;B1372,Log!$X$6:$X$1505,"&gt;="&amp;X1372)=0),"New best",""))</f>
        <v/>
      </c>
      <c r="T1372" s="26" t="n"/>
      <c r="U1372" s="1">
        <f>IF(D1372="","",IFERROR(INDEX(Exercises!$C$6:$C$105,MATCH(D1372,Exercises!$B$6:$B$105,0)),"Other"))</f>
        <v/>
      </c>
      <c r="V1372">
        <f>IF(B1372="","",IF(COUNTIF($B$6:B1372,B1372)=1,1,0))</f>
        <v/>
      </c>
      <c r="W1372">
        <f>IF(B1372="","",B1372-WEEKDAY(B1372,3))</f>
        <v/>
      </c>
      <c r="X1372">
        <f>IF(D1372="","",MAX(IF(N(F1372)=0,0,IF(N(E1372)&gt;0,E1372*(1+F1372/30),F1372)),IF(N(H1372)=0,0,IF(N(G1372)&gt;0,G1372*(1+H1372/30),H1372)),IF(N(J1372)=0,0,IF(N(I1372)&gt;0,I1372*(1+J1372/30),J1372)),IF(N(L1372)=0,0,IF(N(K1372)&gt;0,K1372*(1+L1372/30),L1372)),IF(N(N1372)=0,0,IF(N(M1372)&gt;0,M1372*(1+N1372/30),N1372))))</f>
        <v/>
      </c>
      <c r="Y1372">
        <f>IF(N(X1372)=0,"",X1372+ROW()/1000000000)</f>
        <v/>
      </c>
      <c r="Z1372">
        <f>IF(Y1372="","",IF(COUNTIFS(Log!$D$6:$D$1505,D1372,Log!$Y$6:$Y$1505,"&gt;"&amp;Y1372)=0,1,0))</f>
        <v/>
      </c>
      <c r="AA1372">
        <f>IF(OR(B1372="",D1372=""),"",B1372+ROW()/10000000)</f>
        <v/>
      </c>
      <c r="AB1372">
        <f>IF(AA1372="","",IF(COUNTIFS(Log!$D$6:$D$1505,D1372,Log!$AA$6:$AA$1505,"&gt;"&amp;AA1372)=0,1,0))</f>
        <v/>
      </c>
      <c r="AC1372">
        <f>IF(S1372="New best",AA1372,"")</f>
        <v/>
      </c>
      <c r="AD1372">
        <f>ROW()</f>
        <v/>
      </c>
    </row>
    <row r="1373">
      <c r="A1373" s="1" t="n"/>
      <c r="B1373" s="21" t="n"/>
      <c r="C1373" s="22" t="n"/>
      <c r="D1373" s="23" t="n"/>
      <c r="E1373" s="24" t="n"/>
      <c r="F1373" s="24" t="n"/>
      <c r="G1373" s="24" t="n"/>
      <c r="H1373" s="24" t="n"/>
      <c r="I1373" s="24" t="n"/>
      <c r="J1373" s="24" t="n"/>
      <c r="K1373" s="24" t="n"/>
      <c r="L1373" s="24" t="n"/>
      <c r="M1373" s="24" t="n"/>
      <c r="N1373" s="24" t="n"/>
      <c r="O1373" s="15">
        <f>IF(D1373="","",COUNT(F1373,H1373,J1373,L1373,N1373))</f>
        <v/>
      </c>
      <c r="P1373" s="25">
        <f>IF(D1373="","",N(E1373)*N(F1373)+N(G1373)*N(H1373)+N(I1373)*N(J1373)+N(K1373)*N(L1373)+N(M1373)*N(N1373))</f>
        <v/>
      </c>
      <c r="Q1373" s="18">
        <f>IF(N(X1373)=0,"",IF(IF(N(F1373)=0,0,IF(N(E1373)&gt;0,E1373*(1+F1373/30),F1373))=X1373,IF(N(E1373)&gt;0,E1373&amp;" x "&amp;F1373,F1373&amp;" reps"),IF(IF(N(H1373)=0,0,IF(N(G1373)&gt;0,G1373*(1+H1373/30),H1373))=X1373,IF(N(G1373)&gt;0,G1373&amp;" x "&amp;H1373,H1373&amp;" reps"),IF(IF(N(J1373)=0,0,IF(N(I1373)&gt;0,I1373*(1+J1373/30),J1373))=X1373,IF(N(I1373)&gt;0,I1373&amp;" x "&amp;J1373,J1373&amp;" reps"),IF(IF(N(L1373)=0,0,IF(N(K1373)&gt;0,K1373*(1+L1373/30),L1373))=X1373,IF(N(K1373)&gt;0,K1373&amp;" x "&amp;L1373,L1373&amp;" reps"),IF(IF(N(N1373)=0,0,IF(N(M1373)&gt;0,M1373*(1+N1373/30),N1373))=X1373,IF(N(M1373)&gt;0,M1373&amp;" x "&amp;N1373,N1373&amp;" reps"),""))))))</f>
        <v/>
      </c>
      <c r="R1373" s="20">
        <f>IF(N(X1373)=0,"",ROUND(X1373,1))</f>
        <v/>
      </c>
      <c r="S1373" s="18">
        <f>IF(N(X1373)=0,"",IF(AND(COUNTIFS(Log!$D$6:$D$1505,D1373,Log!$B$6:$B$1505,"&lt;"&amp;B1373)&gt;0,COUNTIFS(Log!$D$6:$D$1505,D1373,Log!$B$6:$B$1505,"&lt;"&amp;B1373,Log!$X$6:$X$1505,"&gt;="&amp;X1373)=0),"New best",""))</f>
        <v/>
      </c>
      <c r="T1373" s="26" t="n"/>
      <c r="U1373" s="1">
        <f>IF(D1373="","",IFERROR(INDEX(Exercises!$C$6:$C$105,MATCH(D1373,Exercises!$B$6:$B$105,0)),"Other"))</f>
        <v/>
      </c>
      <c r="V1373">
        <f>IF(B1373="","",IF(COUNTIF($B$6:B1373,B1373)=1,1,0))</f>
        <v/>
      </c>
      <c r="W1373">
        <f>IF(B1373="","",B1373-WEEKDAY(B1373,3))</f>
        <v/>
      </c>
      <c r="X1373">
        <f>IF(D1373="","",MAX(IF(N(F1373)=0,0,IF(N(E1373)&gt;0,E1373*(1+F1373/30),F1373)),IF(N(H1373)=0,0,IF(N(G1373)&gt;0,G1373*(1+H1373/30),H1373)),IF(N(J1373)=0,0,IF(N(I1373)&gt;0,I1373*(1+J1373/30),J1373)),IF(N(L1373)=0,0,IF(N(K1373)&gt;0,K1373*(1+L1373/30),L1373)),IF(N(N1373)=0,0,IF(N(M1373)&gt;0,M1373*(1+N1373/30),N1373))))</f>
        <v/>
      </c>
      <c r="Y1373">
        <f>IF(N(X1373)=0,"",X1373+ROW()/1000000000)</f>
        <v/>
      </c>
      <c r="Z1373">
        <f>IF(Y1373="","",IF(COUNTIFS(Log!$D$6:$D$1505,D1373,Log!$Y$6:$Y$1505,"&gt;"&amp;Y1373)=0,1,0))</f>
        <v/>
      </c>
      <c r="AA1373">
        <f>IF(OR(B1373="",D1373=""),"",B1373+ROW()/10000000)</f>
        <v/>
      </c>
      <c r="AB1373">
        <f>IF(AA1373="","",IF(COUNTIFS(Log!$D$6:$D$1505,D1373,Log!$AA$6:$AA$1505,"&gt;"&amp;AA1373)=0,1,0))</f>
        <v/>
      </c>
      <c r="AC1373">
        <f>IF(S1373="New best",AA1373,"")</f>
        <v/>
      </c>
      <c r="AD1373">
        <f>ROW()</f>
        <v/>
      </c>
    </row>
    <row r="1374">
      <c r="A1374" s="1" t="n"/>
      <c r="B1374" s="21" t="n"/>
      <c r="C1374" s="22" t="n"/>
      <c r="D1374" s="23" t="n"/>
      <c r="E1374" s="24" t="n"/>
      <c r="F1374" s="24" t="n"/>
      <c r="G1374" s="24" t="n"/>
      <c r="H1374" s="24" t="n"/>
      <c r="I1374" s="24" t="n"/>
      <c r="J1374" s="24" t="n"/>
      <c r="K1374" s="24" t="n"/>
      <c r="L1374" s="24" t="n"/>
      <c r="M1374" s="24" t="n"/>
      <c r="N1374" s="24" t="n"/>
      <c r="O1374" s="15">
        <f>IF(D1374="","",COUNT(F1374,H1374,J1374,L1374,N1374))</f>
        <v/>
      </c>
      <c r="P1374" s="25">
        <f>IF(D1374="","",N(E1374)*N(F1374)+N(G1374)*N(H1374)+N(I1374)*N(J1374)+N(K1374)*N(L1374)+N(M1374)*N(N1374))</f>
        <v/>
      </c>
      <c r="Q1374" s="18">
        <f>IF(N(X1374)=0,"",IF(IF(N(F1374)=0,0,IF(N(E1374)&gt;0,E1374*(1+F1374/30),F1374))=X1374,IF(N(E1374)&gt;0,E1374&amp;" x "&amp;F1374,F1374&amp;" reps"),IF(IF(N(H1374)=0,0,IF(N(G1374)&gt;0,G1374*(1+H1374/30),H1374))=X1374,IF(N(G1374)&gt;0,G1374&amp;" x "&amp;H1374,H1374&amp;" reps"),IF(IF(N(J1374)=0,0,IF(N(I1374)&gt;0,I1374*(1+J1374/30),J1374))=X1374,IF(N(I1374)&gt;0,I1374&amp;" x "&amp;J1374,J1374&amp;" reps"),IF(IF(N(L1374)=0,0,IF(N(K1374)&gt;0,K1374*(1+L1374/30),L1374))=X1374,IF(N(K1374)&gt;0,K1374&amp;" x "&amp;L1374,L1374&amp;" reps"),IF(IF(N(N1374)=0,0,IF(N(M1374)&gt;0,M1374*(1+N1374/30),N1374))=X1374,IF(N(M1374)&gt;0,M1374&amp;" x "&amp;N1374,N1374&amp;" reps"),""))))))</f>
        <v/>
      </c>
      <c r="R1374" s="20">
        <f>IF(N(X1374)=0,"",ROUND(X1374,1))</f>
        <v/>
      </c>
      <c r="S1374" s="18">
        <f>IF(N(X1374)=0,"",IF(AND(COUNTIFS(Log!$D$6:$D$1505,D1374,Log!$B$6:$B$1505,"&lt;"&amp;B1374)&gt;0,COUNTIFS(Log!$D$6:$D$1505,D1374,Log!$B$6:$B$1505,"&lt;"&amp;B1374,Log!$X$6:$X$1505,"&gt;="&amp;X1374)=0),"New best",""))</f>
        <v/>
      </c>
      <c r="T1374" s="26" t="n"/>
      <c r="U1374" s="1">
        <f>IF(D1374="","",IFERROR(INDEX(Exercises!$C$6:$C$105,MATCH(D1374,Exercises!$B$6:$B$105,0)),"Other"))</f>
        <v/>
      </c>
      <c r="V1374">
        <f>IF(B1374="","",IF(COUNTIF($B$6:B1374,B1374)=1,1,0))</f>
        <v/>
      </c>
      <c r="W1374">
        <f>IF(B1374="","",B1374-WEEKDAY(B1374,3))</f>
        <v/>
      </c>
      <c r="X1374">
        <f>IF(D1374="","",MAX(IF(N(F1374)=0,0,IF(N(E1374)&gt;0,E1374*(1+F1374/30),F1374)),IF(N(H1374)=0,0,IF(N(G1374)&gt;0,G1374*(1+H1374/30),H1374)),IF(N(J1374)=0,0,IF(N(I1374)&gt;0,I1374*(1+J1374/30),J1374)),IF(N(L1374)=0,0,IF(N(K1374)&gt;0,K1374*(1+L1374/30),L1374)),IF(N(N1374)=0,0,IF(N(M1374)&gt;0,M1374*(1+N1374/30),N1374))))</f>
        <v/>
      </c>
      <c r="Y1374">
        <f>IF(N(X1374)=0,"",X1374+ROW()/1000000000)</f>
        <v/>
      </c>
      <c r="Z1374">
        <f>IF(Y1374="","",IF(COUNTIFS(Log!$D$6:$D$1505,D1374,Log!$Y$6:$Y$1505,"&gt;"&amp;Y1374)=0,1,0))</f>
        <v/>
      </c>
      <c r="AA1374">
        <f>IF(OR(B1374="",D1374=""),"",B1374+ROW()/10000000)</f>
        <v/>
      </c>
      <c r="AB1374">
        <f>IF(AA1374="","",IF(COUNTIFS(Log!$D$6:$D$1505,D1374,Log!$AA$6:$AA$1505,"&gt;"&amp;AA1374)=0,1,0))</f>
        <v/>
      </c>
      <c r="AC1374">
        <f>IF(S1374="New best",AA1374,"")</f>
        <v/>
      </c>
      <c r="AD1374">
        <f>ROW()</f>
        <v/>
      </c>
    </row>
    <row r="1375">
      <c r="A1375" s="1" t="n"/>
      <c r="B1375" s="21" t="n"/>
      <c r="C1375" s="22" t="n"/>
      <c r="D1375" s="23" t="n"/>
      <c r="E1375" s="24" t="n"/>
      <c r="F1375" s="24" t="n"/>
      <c r="G1375" s="24" t="n"/>
      <c r="H1375" s="24" t="n"/>
      <c r="I1375" s="24" t="n"/>
      <c r="J1375" s="24" t="n"/>
      <c r="K1375" s="24" t="n"/>
      <c r="L1375" s="24" t="n"/>
      <c r="M1375" s="24" t="n"/>
      <c r="N1375" s="24" t="n"/>
      <c r="O1375" s="15">
        <f>IF(D1375="","",COUNT(F1375,H1375,J1375,L1375,N1375))</f>
        <v/>
      </c>
      <c r="P1375" s="25">
        <f>IF(D1375="","",N(E1375)*N(F1375)+N(G1375)*N(H1375)+N(I1375)*N(J1375)+N(K1375)*N(L1375)+N(M1375)*N(N1375))</f>
        <v/>
      </c>
      <c r="Q1375" s="18">
        <f>IF(N(X1375)=0,"",IF(IF(N(F1375)=0,0,IF(N(E1375)&gt;0,E1375*(1+F1375/30),F1375))=X1375,IF(N(E1375)&gt;0,E1375&amp;" x "&amp;F1375,F1375&amp;" reps"),IF(IF(N(H1375)=0,0,IF(N(G1375)&gt;0,G1375*(1+H1375/30),H1375))=X1375,IF(N(G1375)&gt;0,G1375&amp;" x "&amp;H1375,H1375&amp;" reps"),IF(IF(N(J1375)=0,0,IF(N(I1375)&gt;0,I1375*(1+J1375/30),J1375))=X1375,IF(N(I1375)&gt;0,I1375&amp;" x "&amp;J1375,J1375&amp;" reps"),IF(IF(N(L1375)=0,0,IF(N(K1375)&gt;0,K1375*(1+L1375/30),L1375))=X1375,IF(N(K1375)&gt;0,K1375&amp;" x "&amp;L1375,L1375&amp;" reps"),IF(IF(N(N1375)=0,0,IF(N(M1375)&gt;0,M1375*(1+N1375/30),N1375))=X1375,IF(N(M1375)&gt;0,M1375&amp;" x "&amp;N1375,N1375&amp;" reps"),""))))))</f>
        <v/>
      </c>
      <c r="R1375" s="20">
        <f>IF(N(X1375)=0,"",ROUND(X1375,1))</f>
        <v/>
      </c>
      <c r="S1375" s="18">
        <f>IF(N(X1375)=0,"",IF(AND(COUNTIFS(Log!$D$6:$D$1505,D1375,Log!$B$6:$B$1505,"&lt;"&amp;B1375)&gt;0,COUNTIFS(Log!$D$6:$D$1505,D1375,Log!$B$6:$B$1505,"&lt;"&amp;B1375,Log!$X$6:$X$1505,"&gt;="&amp;X1375)=0),"New best",""))</f>
        <v/>
      </c>
      <c r="T1375" s="26" t="n"/>
      <c r="U1375" s="1">
        <f>IF(D1375="","",IFERROR(INDEX(Exercises!$C$6:$C$105,MATCH(D1375,Exercises!$B$6:$B$105,0)),"Other"))</f>
        <v/>
      </c>
      <c r="V1375">
        <f>IF(B1375="","",IF(COUNTIF($B$6:B1375,B1375)=1,1,0))</f>
        <v/>
      </c>
      <c r="W1375">
        <f>IF(B1375="","",B1375-WEEKDAY(B1375,3))</f>
        <v/>
      </c>
      <c r="X1375">
        <f>IF(D1375="","",MAX(IF(N(F1375)=0,0,IF(N(E1375)&gt;0,E1375*(1+F1375/30),F1375)),IF(N(H1375)=0,0,IF(N(G1375)&gt;0,G1375*(1+H1375/30),H1375)),IF(N(J1375)=0,0,IF(N(I1375)&gt;0,I1375*(1+J1375/30),J1375)),IF(N(L1375)=0,0,IF(N(K1375)&gt;0,K1375*(1+L1375/30),L1375)),IF(N(N1375)=0,0,IF(N(M1375)&gt;0,M1375*(1+N1375/30),N1375))))</f>
        <v/>
      </c>
      <c r="Y1375">
        <f>IF(N(X1375)=0,"",X1375+ROW()/1000000000)</f>
        <v/>
      </c>
      <c r="Z1375">
        <f>IF(Y1375="","",IF(COUNTIFS(Log!$D$6:$D$1505,D1375,Log!$Y$6:$Y$1505,"&gt;"&amp;Y1375)=0,1,0))</f>
        <v/>
      </c>
      <c r="AA1375">
        <f>IF(OR(B1375="",D1375=""),"",B1375+ROW()/10000000)</f>
        <v/>
      </c>
      <c r="AB1375">
        <f>IF(AA1375="","",IF(COUNTIFS(Log!$D$6:$D$1505,D1375,Log!$AA$6:$AA$1505,"&gt;"&amp;AA1375)=0,1,0))</f>
        <v/>
      </c>
      <c r="AC1375">
        <f>IF(S1375="New best",AA1375,"")</f>
        <v/>
      </c>
      <c r="AD1375">
        <f>ROW()</f>
        <v/>
      </c>
    </row>
    <row r="1376">
      <c r="A1376" s="1" t="n"/>
      <c r="B1376" s="21" t="n"/>
      <c r="C1376" s="22" t="n"/>
      <c r="D1376" s="23" t="n"/>
      <c r="E1376" s="24" t="n"/>
      <c r="F1376" s="24" t="n"/>
      <c r="G1376" s="24" t="n"/>
      <c r="H1376" s="24" t="n"/>
      <c r="I1376" s="24" t="n"/>
      <c r="J1376" s="24" t="n"/>
      <c r="K1376" s="24" t="n"/>
      <c r="L1376" s="24" t="n"/>
      <c r="M1376" s="24" t="n"/>
      <c r="N1376" s="24" t="n"/>
      <c r="O1376" s="15">
        <f>IF(D1376="","",COUNT(F1376,H1376,J1376,L1376,N1376))</f>
        <v/>
      </c>
      <c r="P1376" s="25">
        <f>IF(D1376="","",N(E1376)*N(F1376)+N(G1376)*N(H1376)+N(I1376)*N(J1376)+N(K1376)*N(L1376)+N(M1376)*N(N1376))</f>
        <v/>
      </c>
      <c r="Q1376" s="18">
        <f>IF(N(X1376)=0,"",IF(IF(N(F1376)=0,0,IF(N(E1376)&gt;0,E1376*(1+F1376/30),F1376))=X1376,IF(N(E1376)&gt;0,E1376&amp;" x "&amp;F1376,F1376&amp;" reps"),IF(IF(N(H1376)=0,0,IF(N(G1376)&gt;0,G1376*(1+H1376/30),H1376))=X1376,IF(N(G1376)&gt;0,G1376&amp;" x "&amp;H1376,H1376&amp;" reps"),IF(IF(N(J1376)=0,0,IF(N(I1376)&gt;0,I1376*(1+J1376/30),J1376))=X1376,IF(N(I1376)&gt;0,I1376&amp;" x "&amp;J1376,J1376&amp;" reps"),IF(IF(N(L1376)=0,0,IF(N(K1376)&gt;0,K1376*(1+L1376/30),L1376))=X1376,IF(N(K1376)&gt;0,K1376&amp;" x "&amp;L1376,L1376&amp;" reps"),IF(IF(N(N1376)=0,0,IF(N(M1376)&gt;0,M1376*(1+N1376/30),N1376))=X1376,IF(N(M1376)&gt;0,M1376&amp;" x "&amp;N1376,N1376&amp;" reps"),""))))))</f>
        <v/>
      </c>
      <c r="R1376" s="20">
        <f>IF(N(X1376)=0,"",ROUND(X1376,1))</f>
        <v/>
      </c>
      <c r="S1376" s="18">
        <f>IF(N(X1376)=0,"",IF(AND(COUNTIFS(Log!$D$6:$D$1505,D1376,Log!$B$6:$B$1505,"&lt;"&amp;B1376)&gt;0,COUNTIFS(Log!$D$6:$D$1505,D1376,Log!$B$6:$B$1505,"&lt;"&amp;B1376,Log!$X$6:$X$1505,"&gt;="&amp;X1376)=0),"New best",""))</f>
        <v/>
      </c>
      <c r="T1376" s="26" t="n"/>
      <c r="U1376" s="1">
        <f>IF(D1376="","",IFERROR(INDEX(Exercises!$C$6:$C$105,MATCH(D1376,Exercises!$B$6:$B$105,0)),"Other"))</f>
        <v/>
      </c>
      <c r="V1376">
        <f>IF(B1376="","",IF(COUNTIF($B$6:B1376,B1376)=1,1,0))</f>
        <v/>
      </c>
      <c r="W1376">
        <f>IF(B1376="","",B1376-WEEKDAY(B1376,3))</f>
        <v/>
      </c>
      <c r="X1376">
        <f>IF(D1376="","",MAX(IF(N(F1376)=0,0,IF(N(E1376)&gt;0,E1376*(1+F1376/30),F1376)),IF(N(H1376)=0,0,IF(N(G1376)&gt;0,G1376*(1+H1376/30),H1376)),IF(N(J1376)=0,0,IF(N(I1376)&gt;0,I1376*(1+J1376/30),J1376)),IF(N(L1376)=0,0,IF(N(K1376)&gt;0,K1376*(1+L1376/30),L1376)),IF(N(N1376)=0,0,IF(N(M1376)&gt;0,M1376*(1+N1376/30),N1376))))</f>
        <v/>
      </c>
      <c r="Y1376">
        <f>IF(N(X1376)=0,"",X1376+ROW()/1000000000)</f>
        <v/>
      </c>
      <c r="Z1376">
        <f>IF(Y1376="","",IF(COUNTIFS(Log!$D$6:$D$1505,D1376,Log!$Y$6:$Y$1505,"&gt;"&amp;Y1376)=0,1,0))</f>
        <v/>
      </c>
      <c r="AA1376">
        <f>IF(OR(B1376="",D1376=""),"",B1376+ROW()/10000000)</f>
        <v/>
      </c>
      <c r="AB1376">
        <f>IF(AA1376="","",IF(COUNTIFS(Log!$D$6:$D$1505,D1376,Log!$AA$6:$AA$1505,"&gt;"&amp;AA1376)=0,1,0))</f>
        <v/>
      </c>
      <c r="AC1376">
        <f>IF(S1376="New best",AA1376,"")</f>
        <v/>
      </c>
      <c r="AD1376">
        <f>ROW()</f>
        <v/>
      </c>
    </row>
    <row r="1377">
      <c r="A1377" s="1" t="n"/>
      <c r="B1377" s="21" t="n"/>
      <c r="C1377" s="22" t="n"/>
      <c r="D1377" s="23" t="n"/>
      <c r="E1377" s="24" t="n"/>
      <c r="F1377" s="24" t="n"/>
      <c r="G1377" s="24" t="n"/>
      <c r="H1377" s="24" t="n"/>
      <c r="I1377" s="24" t="n"/>
      <c r="J1377" s="24" t="n"/>
      <c r="K1377" s="24" t="n"/>
      <c r="L1377" s="24" t="n"/>
      <c r="M1377" s="24" t="n"/>
      <c r="N1377" s="24" t="n"/>
      <c r="O1377" s="15">
        <f>IF(D1377="","",COUNT(F1377,H1377,J1377,L1377,N1377))</f>
        <v/>
      </c>
      <c r="P1377" s="25">
        <f>IF(D1377="","",N(E1377)*N(F1377)+N(G1377)*N(H1377)+N(I1377)*N(J1377)+N(K1377)*N(L1377)+N(M1377)*N(N1377))</f>
        <v/>
      </c>
      <c r="Q1377" s="18">
        <f>IF(N(X1377)=0,"",IF(IF(N(F1377)=0,0,IF(N(E1377)&gt;0,E1377*(1+F1377/30),F1377))=X1377,IF(N(E1377)&gt;0,E1377&amp;" x "&amp;F1377,F1377&amp;" reps"),IF(IF(N(H1377)=0,0,IF(N(G1377)&gt;0,G1377*(1+H1377/30),H1377))=X1377,IF(N(G1377)&gt;0,G1377&amp;" x "&amp;H1377,H1377&amp;" reps"),IF(IF(N(J1377)=0,0,IF(N(I1377)&gt;0,I1377*(1+J1377/30),J1377))=X1377,IF(N(I1377)&gt;0,I1377&amp;" x "&amp;J1377,J1377&amp;" reps"),IF(IF(N(L1377)=0,0,IF(N(K1377)&gt;0,K1377*(1+L1377/30),L1377))=X1377,IF(N(K1377)&gt;0,K1377&amp;" x "&amp;L1377,L1377&amp;" reps"),IF(IF(N(N1377)=0,0,IF(N(M1377)&gt;0,M1377*(1+N1377/30),N1377))=X1377,IF(N(M1377)&gt;0,M1377&amp;" x "&amp;N1377,N1377&amp;" reps"),""))))))</f>
        <v/>
      </c>
      <c r="R1377" s="20">
        <f>IF(N(X1377)=0,"",ROUND(X1377,1))</f>
        <v/>
      </c>
      <c r="S1377" s="18">
        <f>IF(N(X1377)=0,"",IF(AND(COUNTIFS(Log!$D$6:$D$1505,D1377,Log!$B$6:$B$1505,"&lt;"&amp;B1377)&gt;0,COUNTIFS(Log!$D$6:$D$1505,D1377,Log!$B$6:$B$1505,"&lt;"&amp;B1377,Log!$X$6:$X$1505,"&gt;="&amp;X1377)=0),"New best",""))</f>
        <v/>
      </c>
      <c r="T1377" s="26" t="n"/>
      <c r="U1377" s="1">
        <f>IF(D1377="","",IFERROR(INDEX(Exercises!$C$6:$C$105,MATCH(D1377,Exercises!$B$6:$B$105,0)),"Other"))</f>
        <v/>
      </c>
      <c r="V1377">
        <f>IF(B1377="","",IF(COUNTIF($B$6:B1377,B1377)=1,1,0))</f>
        <v/>
      </c>
      <c r="W1377">
        <f>IF(B1377="","",B1377-WEEKDAY(B1377,3))</f>
        <v/>
      </c>
      <c r="X1377">
        <f>IF(D1377="","",MAX(IF(N(F1377)=0,0,IF(N(E1377)&gt;0,E1377*(1+F1377/30),F1377)),IF(N(H1377)=0,0,IF(N(G1377)&gt;0,G1377*(1+H1377/30),H1377)),IF(N(J1377)=0,0,IF(N(I1377)&gt;0,I1377*(1+J1377/30),J1377)),IF(N(L1377)=0,0,IF(N(K1377)&gt;0,K1377*(1+L1377/30),L1377)),IF(N(N1377)=0,0,IF(N(M1377)&gt;0,M1377*(1+N1377/30),N1377))))</f>
        <v/>
      </c>
      <c r="Y1377">
        <f>IF(N(X1377)=0,"",X1377+ROW()/1000000000)</f>
        <v/>
      </c>
      <c r="Z1377">
        <f>IF(Y1377="","",IF(COUNTIFS(Log!$D$6:$D$1505,D1377,Log!$Y$6:$Y$1505,"&gt;"&amp;Y1377)=0,1,0))</f>
        <v/>
      </c>
      <c r="AA1377">
        <f>IF(OR(B1377="",D1377=""),"",B1377+ROW()/10000000)</f>
        <v/>
      </c>
      <c r="AB1377">
        <f>IF(AA1377="","",IF(COUNTIFS(Log!$D$6:$D$1505,D1377,Log!$AA$6:$AA$1505,"&gt;"&amp;AA1377)=0,1,0))</f>
        <v/>
      </c>
      <c r="AC1377">
        <f>IF(S1377="New best",AA1377,"")</f>
        <v/>
      </c>
      <c r="AD1377">
        <f>ROW()</f>
        <v/>
      </c>
    </row>
    <row r="1378">
      <c r="A1378" s="1" t="n"/>
      <c r="B1378" s="21" t="n"/>
      <c r="C1378" s="22" t="n"/>
      <c r="D1378" s="23" t="n"/>
      <c r="E1378" s="24" t="n"/>
      <c r="F1378" s="24" t="n"/>
      <c r="G1378" s="24" t="n"/>
      <c r="H1378" s="24" t="n"/>
      <c r="I1378" s="24" t="n"/>
      <c r="J1378" s="24" t="n"/>
      <c r="K1378" s="24" t="n"/>
      <c r="L1378" s="24" t="n"/>
      <c r="M1378" s="24" t="n"/>
      <c r="N1378" s="24" t="n"/>
      <c r="O1378" s="15">
        <f>IF(D1378="","",COUNT(F1378,H1378,J1378,L1378,N1378))</f>
        <v/>
      </c>
      <c r="P1378" s="25">
        <f>IF(D1378="","",N(E1378)*N(F1378)+N(G1378)*N(H1378)+N(I1378)*N(J1378)+N(K1378)*N(L1378)+N(M1378)*N(N1378))</f>
        <v/>
      </c>
      <c r="Q1378" s="18">
        <f>IF(N(X1378)=0,"",IF(IF(N(F1378)=0,0,IF(N(E1378)&gt;0,E1378*(1+F1378/30),F1378))=X1378,IF(N(E1378)&gt;0,E1378&amp;" x "&amp;F1378,F1378&amp;" reps"),IF(IF(N(H1378)=0,0,IF(N(G1378)&gt;0,G1378*(1+H1378/30),H1378))=X1378,IF(N(G1378)&gt;0,G1378&amp;" x "&amp;H1378,H1378&amp;" reps"),IF(IF(N(J1378)=0,0,IF(N(I1378)&gt;0,I1378*(1+J1378/30),J1378))=X1378,IF(N(I1378)&gt;0,I1378&amp;" x "&amp;J1378,J1378&amp;" reps"),IF(IF(N(L1378)=0,0,IF(N(K1378)&gt;0,K1378*(1+L1378/30),L1378))=X1378,IF(N(K1378)&gt;0,K1378&amp;" x "&amp;L1378,L1378&amp;" reps"),IF(IF(N(N1378)=0,0,IF(N(M1378)&gt;0,M1378*(1+N1378/30),N1378))=X1378,IF(N(M1378)&gt;0,M1378&amp;" x "&amp;N1378,N1378&amp;" reps"),""))))))</f>
        <v/>
      </c>
      <c r="R1378" s="20">
        <f>IF(N(X1378)=0,"",ROUND(X1378,1))</f>
        <v/>
      </c>
      <c r="S1378" s="18">
        <f>IF(N(X1378)=0,"",IF(AND(COUNTIFS(Log!$D$6:$D$1505,D1378,Log!$B$6:$B$1505,"&lt;"&amp;B1378)&gt;0,COUNTIFS(Log!$D$6:$D$1505,D1378,Log!$B$6:$B$1505,"&lt;"&amp;B1378,Log!$X$6:$X$1505,"&gt;="&amp;X1378)=0),"New best",""))</f>
        <v/>
      </c>
      <c r="T1378" s="26" t="n"/>
      <c r="U1378" s="1">
        <f>IF(D1378="","",IFERROR(INDEX(Exercises!$C$6:$C$105,MATCH(D1378,Exercises!$B$6:$B$105,0)),"Other"))</f>
        <v/>
      </c>
      <c r="V1378">
        <f>IF(B1378="","",IF(COUNTIF($B$6:B1378,B1378)=1,1,0))</f>
        <v/>
      </c>
      <c r="W1378">
        <f>IF(B1378="","",B1378-WEEKDAY(B1378,3))</f>
        <v/>
      </c>
      <c r="X1378">
        <f>IF(D1378="","",MAX(IF(N(F1378)=0,0,IF(N(E1378)&gt;0,E1378*(1+F1378/30),F1378)),IF(N(H1378)=0,0,IF(N(G1378)&gt;0,G1378*(1+H1378/30),H1378)),IF(N(J1378)=0,0,IF(N(I1378)&gt;0,I1378*(1+J1378/30),J1378)),IF(N(L1378)=0,0,IF(N(K1378)&gt;0,K1378*(1+L1378/30),L1378)),IF(N(N1378)=0,0,IF(N(M1378)&gt;0,M1378*(1+N1378/30),N1378))))</f>
        <v/>
      </c>
      <c r="Y1378">
        <f>IF(N(X1378)=0,"",X1378+ROW()/1000000000)</f>
        <v/>
      </c>
      <c r="Z1378">
        <f>IF(Y1378="","",IF(COUNTIFS(Log!$D$6:$D$1505,D1378,Log!$Y$6:$Y$1505,"&gt;"&amp;Y1378)=0,1,0))</f>
        <v/>
      </c>
      <c r="AA1378">
        <f>IF(OR(B1378="",D1378=""),"",B1378+ROW()/10000000)</f>
        <v/>
      </c>
      <c r="AB1378">
        <f>IF(AA1378="","",IF(COUNTIFS(Log!$D$6:$D$1505,D1378,Log!$AA$6:$AA$1505,"&gt;"&amp;AA1378)=0,1,0))</f>
        <v/>
      </c>
      <c r="AC1378">
        <f>IF(S1378="New best",AA1378,"")</f>
        <v/>
      </c>
      <c r="AD1378">
        <f>ROW()</f>
        <v/>
      </c>
    </row>
    <row r="1379">
      <c r="A1379" s="1" t="n"/>
      <c r="B1379" s="21" t="n"/>
      <c r="C1379" s="22" t="n"/>
      <c r="D1379" s="23" t="n"/>
      <c r="E1379" s="24" t="n"/>
      <c r="F1379" s="24" t="n"/>
      <c r="G1379" s="24" t="n"/>
      <c r="H1379" s="24" t="n"/>
      <c r="I1379" s="24" t="n"/>
      <c r="J1379" s="24" t="n"/>
      <c r="K1379" s="24" t="n"/>
      <c r="L1379" s="24" t="n"/>
      <c r="M1379" s="24" t="n"/>
      <c r="N1379" s="24" t="n"/>
      <c r="O1379" s="15">
        <f>IF(D1379="","",COUNT(F1379,H1379,J1379,L1379,N1379))</f>
        <v/>
      </c>
      <c r="P1379" s="25">
        <f>IF(D1379="","",N(E1379)*N(F1379)+N(G1379)*N(H1379)+N(I1379)*N(J1379)+N(K1379)*N(L1379)+N(M1379)*N(N1379))</f>
        <v/>
      </c>
      <c r="Q1379" s="18">
        <f>IF(N(X1379)=0,"",IF(IF(N(F1379)=0,0,IF(N(E1379)&gt;0,E1379*(1+F1379/30),F1379))=X1379,IF(N(E1379)&gt;0,E1379&amp;" x "&amp;F1379,F1379&amp;" reps"),IF(IF(N(H1379)=0,0,IF(N(G1379)&gt;0,G1379*(1+H1379/30),H1379))=X1379,IF(N(G1379)&gt;0,G1379&amp;" x "&amp;H1379,H1379&amp;" reps"),IF(IF(N(J1379)=0,0,IF(N(I1379)&gt;0,I1379*(1+J1379/30),J1379))=X1379,IF(N(I1379)&gt;0,I1379&amp;" x "&amp;J1379,J1379&amp;" reps"),IF(IF(N(L1379)=0,0,IF(N(K1379)&gt;0,K1379*(1+L1379/30),L1379))=X1379,IF(N(K1379)&gt;0,K1379&amp;" x "&amp;L1379,L1379&amp;" reps"),IF(IF(N(N1379)=0,0,IF(N(M1379)&gt;0,M1379*(1+N1379/30),N1379))=X1379,IF(N(M1379)&gt;0,M1379&amp;" x "&amp;N1379,N1379&amp;" reps"),""))))))</f>
        <v/>
      </c>
      <c r="R1379" s="20">
        <f>IF(N(X1379)=0,"",ROUND(X1379,1))</f>
        <v/>
      </c>
      <c r="S1379" s="18">
        <f>IF(N(X1379)=0,"",IF(AND(COUNTIFS(Log!$D$6:$D$1505,D1379,Log!$B$6:$B$1505,"&lt;"&amp;B1379)&gt;0,COUNTIFS(Log!$D$6:$D$1505,D1379,Log!$B$6:$B$1505,"&lt;"&amp;B1379,Log!$X$6:$X$1505,"&gt;="&amp;X1379)=0),"New best",""))</f>
        <v/>
      </c>
      <c r="T1379" s="26" t="n"/>
      <c r="U1379" s="1">
        <f>IF(D1379="","",IFERROR(INDEX(Exercises!$C$6:$C$105,MATCH(D1379,Exercises!$B$6:$B$105,0)),"Other"))</f>
        <v/>
      </c>
      <c r="V1379">
        <f>IF(B1379="","",IF(COUNTIF($B$6:B1379,B1379)=1,1,0))</f>
        <v/>
      </c>
      <c r="W1379">
        <f>IF(B1379="","",B1379-WEEKDAY(B1379,3))</f>
        <v/>
      </c>
      <c r="X1379">
        <f>IF(D1379="","",MAX(IF(N(F1379)=0,0,IF(N(E1379)&gt;0,E1379*(1+F1379/30),F1379)),IF(N(H1379)=0,0,IF(N(G1379)&gt;0,G1379*(1+H1379/30),H1379)),IF(N(J1379)=0,0,IF(N(I1379)&gt;0,I1379*(1+J1379/30),J1379)),IF(N(L1379)=0,0,IF(N(K1379)&gt;0,K1379*(1+L1379/30),L1379)),IF(N(N1379)=0,0,IF(N(M1379)&gt;0,M1379*(1+N1379/30),N1379))))</f>
        <v/>
      </c>
      <c r="Y1379">
        <f>IF(N(X1379)=0,"",X1379+ROW()/1000000000)</f>
        <v/>
      </c>
      <c r="Z1379">
        <f>IF(Y1379="","",IF(COUNTIFS(Log!$D$6:$D$1505,D1379,Log!$Y$6:$Y$1505,"&gt;"&amp;Y1379)=0,1,0))</f>
        <v/>
      </c>
      <c r="AA1379">
        <f>IF(OR(B1379="",D1379=""),"",B1379+ROW()/10000000)</f>
        <v/>
      </c>
      <c r="AB1379">
        <f>IF(AA1379="","",IF(COUNTIFS(Log!$D$6:$D$1505,D1379,Log!$AA$6:$AA$1505,"&gt;"&amp;AA1379)=0,1,0))</f>
        <v/>
      </c>
      <c r="AC1379">
        <f>IF(S1379="New best",AA1379,"")</f>
        <v/>
      </c>
      <c r="AD1379">
        <f>ROW()</f>
        <v/>
      </c>
    </row>
    <row r="1380">
      <c r="A1380" s="1" t="n"/>
      <c r="B1380" s="21" t="n"/>
      <c r="C1380" s="22" t="n"/>
      <c r="D1380" s="23" t="n"/>
      <c r="E1380" s="24" t="n"/>
      <c r="F1380" s="24" t="n"/>
      <c r="G1380" s="24" t="n"/>
      <c r="H1380" s="24" t="n"/>
      <c r="I1380" s="24" t="n"/>
      <c r="J1380" s="24" t="n"/>
      <c r="K1380" s="24" t="n"/>
      <c r="L1380" s="24" t="n"/>
      <c r="M1380" s="24" t="n"/>
      <c r="N1380" s="24" t="n"/>
      <c r="O1380" s="15">
        <f>IF(D1380="","",COUNT(F1380,H1380,J1380,L1380,N1380))</f>
        <v/>
      </c>
      <c r="P1380" s="25">
        <f>IF(D1380="","",N(E1380)*N(F1380)+N(G1380)*N(H1380)+N(I1380)*N(J1380)+N(K1380)*N(L1380)+N(M1380)*N(N1380))</f>
        <v/>
      </c>
      <c r="Q1380" s="18">
        <f>IF(N(X1380)=0,"",IF(IF(N(F1380)=0,0,IF(N(E1380)&gt;0,E1380*(1+F1380/30),F1380))=X1380,IF(N(E1380)&gt;0,E1380&amp;" x "&amp;F1380,F1380&amp;" reps"),IF(IF(N(H1380)=0,0,IF(N(G1380)&gt;0,G1380*(1+H1380/30),H1380))=X1380,IF(N(G1380)&gt;0,G1380&amp;" x "&amp;H1380,H1380&amp;" reps"),IF(IF(N(J1380)=0,0,IF(N(I1380)&gt;0,I1380*(1+J1380/30),J1380))=X1380,IF(N(I1380)&gt;0,I1380&amp;" x "&amp;J1380,J1380&amp;" reps"),IF(IF(N(L1380)=0,0,IF(N(K1380)&gt;0,K1380*(1+L1380/30),L1380))=X1380,IF(N(K1380)&gt;0,K1380&amp;" x "&amp;L1380,L1380&amp;" reps"),IF(IF(N(N1380)=0,0,IF(N(M1380)&gt;0,M1380*(1+N1380/30),N1380))=X1380,IF(N(M1380)&gt;0,M1380&amp;" x "&amp;N1380,N1380&amp;" reps"),""))))))</f>
        <v/>
      </c>
      <c r="R1380" s="20">
        <f>IF(N(X1380)=0,"",ROUND(X1380,1))</f>
        <v/>
      </c>
      <c r="S1380" s="18">
        <f>IF(N(X1380)=0,"",IF(AND(COUNTIFS(Log!$D$6:$D$1505,D1380,Log!$B$6:$B$1505,"&lt;"&amp;B1380)&gt;0,COUNTIFS(Log!$D$6:$D$1505,D1380,Log!$B$6:$B$1505,"&lt;"&amp;B1380,Log!$X$6:$X$1505,"&gt;="&amp;X1380)=0),"New best",""))</f>
        <v/>
      </c>
      <c r="T1380" s="26" t="n"/>
      <c r="U1380" s="1">
        <f>IF(D1380="","",IFERROR(INDEX(Exercises!$C$6:$C$105,MATCH(D1380,Exercises!$B$6:$B$105,0)),"Other"))</f>
        <v/>
      </c>
      <c r="V1380">
        <f>IF(B1380="","",IF(COUNTIF($B$6:B1380,B1380)=1,1,0))</f>
        <v/>
      </c>
      <c r="W1380">
        <f>IF(B1380="","",B1380-WEEKDAY(B1380,3))</f>
        <v/>
      </c>
      <c r="X1380">
        <f>IF(D1380="","",MAX(IF(N(F1380)=0,0,IF(N(E1380)&gt;0,E1380*(1+F1380/30),F1380)),IF(N(H1380)=0,0,IF(N(G1380)&gt;0,G1380*(1+H1380/30),H1380)),IF(N(J1380)=0,0,IF(N(I1380)&gt;0,I1380*(1+J1380/30),J1380)),IF(N(L1380)=0,0,IF(N(K1380)&gt;0,K1380*(1+L1380/30),L1380)),IF(N(N1380)=0,0,IF(N(M1380)&gt;0,M1380*(1+N1380/30),N1380))))</f>
        <v/>
      </c>
      <c r="Y1380">
        <f>IF(N(X1380)=0,"",X1380+ROW()/1000000000)</f>
        <v/>
      </c>
      <c r="Z1380">
        <f>IF(Y1380="","",IF(COUNTIFS(Log!$D$6:$D$1505,D1380,Log!$Y$6:$Y$1505,"&gt;"&amp;Y1380)=0,1,0))</f>
        <v/>
      </c>
      <c r="AA1380">
        <f>IF(OR(B1380="",D1380=""),"",B1380+ROW()/10000000)</f>
        <v/>
      </c>
      <c r="AB1380">
        <f>IF(AA1380="","",IF(COUNTIFS(Log!$D$6:$D$1505,D1380,Log!$AA$6:$AA$1505,"&gt;"&amp;AA1380)=0,1,0))</f>
        <v/>
      </c>
      <c r="AC1380">
        <f>IF(S1380="New best",AA1380,"")</f>
        <v/>
      </c>
      <c r="AD1380">
        <f>ROW()</f>
        <v/>
      </c>
    </row>
    <row r="1381">
      <c r="A1381" s="1" t="n"/>
      <c r="B1381" s="21" t="n"/>
      <c r="C1381" s="22" t="n"/>
      <c r="D1381" s="23" t="n"/>
      <c r="E1381" s="24" t="n"/>
      <c r="F1381" s="24" t="n"/>
      <c r="G1381" s="24" t="n"/>
      <c r="H1381" s="24" t="n"/>
      <c r="I1381" s="24" t="n"/>
      <c r="J1381" s="24" t="n"/>
      <c r="K1381" s="24" t="n"/>
      <c r="L1381" s="24" t="n"/>
      <c r="M1381" s="24" t="n"/>
      <c r="N1381" s="24" t="n"/>
      <c r="O1381" s="15">
        <f>IF(D1381="","",COUNT(F1381,H1381,J1381,L1381,N1381))</f>
        <v/>
      </c>
      <c r="P1381" s="25">
        <f>IF(D1381="","",N(E1381)*N(F1381)+N(G1381)*N(H1381)+N(I1381)*N(J1381)+N(K1381)*N(L1381)+N(M1381)*N(N1381))</f>
        <v/>
      </c>
      <c r="Q1381" s="18">
        <f>IF(N(X1381)=0,"",IF(IF(N(F1381)=0,0,IF(N(E1381)&gt;0,E1381*(1+F1381/30),F1381))=X1381,IF(N(E1381)&gt;0,E1381&amp;" x "&amp;F1381,F1381&amp;" reps"),IF(IF(N(H1381)=0,0,IF(N(G1381)&gt;0,G1381*(1+H1381/30),H1381))=X1381,IF(N(G1381)&gt;0,G1381&amp;" x "&amp;H1381,H1381&amp;" reps"),IF(IF(N(J1381)=0,0,IF(N(I1381)&gt;0,I1381*(1+J1381/30),J1381))=X1381,IF(N(I1381)&gt;0,I1381&amp;" x "&amp;J1381,J1381&amp;" reps"),IF(IF(N(L1381)=0,0,IF(N(K1381)&gt;0,K1381*(1+L1381/30),L1381))=X1381,IF(N(K1381)&gt;0,K1381&amp;" x "&amp;L1381,L1381&amp;" reps"),IF(IF(N(N1381)=0,0,IF(N(M1381)&gt;0,M1381*(1+N1381/30),N1381))=X1381,IF(N(M1381)&gt;0,M1381&amp;" x "&amp;N1381,N1381&amp;" reps"),""))))))</f>
        <v/>
      </c>
      <c r="R1381" s="20">
        <f>IF(N(X1381)=0,"",ROUND(X1381,1))</f>
        <v/>
      </c>
      <c r="S1381" s="18">
        <f>IF(N(X1381)=0,"",IF(AND(COUNTIFS(Log!$D$6:$D$1505,D1381,Log!$B$6:$B$1505,"&lt;"&amp;B1381)&gt;0,COUNTIFS(Log!$D$6:$D$1505,D1381,Log!$B$6:$B$1505,"&lt;"&amp;B1381,Log!$X$6:$X$1505,"&gt;="&amp;X1381)=0),"New best",""))</f>
        <v/>
      </c>
      <c r="T1381" s="26" t="n"/>
      <c r="U1381" s="1">
        <f>IF(D1381="","",IFERROR(INDEX(Exercises!$C$6:$C$105,MATCH(D1381,Exercises!$B$6:$B$105,0)),"Other"))</f>
        <v/>
      </c>
      <c r="V1381">
        <f>IF(B1381="","",IF(COUNTIF($B$6:B1381,B1381)=1,1,0))</f>
        <v/>
      </c>
      <c r="W1381">
        <f>IF(B1381="","",B1381-WEEKDAY(B1381,3))</f>
        <v/>
      </c>
      <c r="X1381">
        <f>IF(D1381="","",MAX(IF(N(F1381)=0,0,IF(N(E1381)&gt;0,E1381*(1+F1381/30),F1381)),IF(N(H1381)=0,0,IF(N(G1381)&gt;0,G1381*(1+H1381/30),H1381)),IF(N(J1381)=0,0,IF(N(I1381)&gt;0,I1381*(1+J1381/30),J1381)),IF(N(L1381)=0,0,IF(N(K1381)&gt;0,K1381*(1+L1381/30),L1381)),IF(N(N1381)=0,0,IF(N(M1381)&gt;0,M1381*(1+N1381/30),N1381))))</f>
        <v/>
      </c>
      <c r="Y1381">
        <f>IF(N(X1381)=0,"",X1381+ROW()/1000000000)</f>
        <v/>
      </c>
      <c r="Z1381">
        <f>IF(Y1381="","",IF(COUNTIFS(Log!$D$6:$D$1505,D1381,Log!$Y$6:$Y$1505,"&gt;"&amp;Y1381)=0,1,0))</f>
        <v/>
      </c>
      <c r="AA1381">
        <f>IF(OR(B1381="",D1381=""),"",B1381+ROW()/10000000)</f>
        <v/>
      </c>
      <c r="AB1381">
        <f>IF(AA1381="","",IF(COUNTIFS(Log!$D$6:$D$1505,D1381,Log!$AA$6:$AA$1505,"&gt;"&amp;AA1381)=0,1,0))</f>
        <v/>
      </c>
      <c r="AC1381">
        <f>IF(S1381="New best",AA1381,"")</f>
        <v/>
      </c>
      <c r="AD1381">
        <f>ROW()</f>
        <v/>
      </c>
    </row>
    <row r="1382">
      <c r="A1382" s="1" t="n"/>
      <c r="B1382" s="21" t="n"/>
      <c r="C1382" s="22" t="n"/>
      <c r="D1382" s="23" t="n"/>
      <c r="E1382" s="24" t="n"/>
      <c r="F1382" s="24" t="n"/>
      <c r="G1382" s="24" t="n"/>
      <c r="H1382" s="24" t="n"/>
      <c r="I1382" s="24" t="n"/>
      <c r="J1382" s="24" t="n"/>
      <c r="K1382" s="24" t="n"/>
      <c r="L1382" s="24" t="n"/>
      <c r="M1382" s="24" t="n"/>
      <c r="N1382" s="24" t="n"/>
      <c r="O1382" s="15">
        <f>IF(D1382="","",COUNT(F1382,H1382,J1382,L1382,N1382))</f>
        <v/>
      </c>
      <c r="P1382" s="25">
        <f>IF(D1382="","",N(E1382)*N(F1382)+N(G1382)*N(H1382)+N(I1382)*N(J1382)+N(K1382)*N(L1382)+N(M1382)*N(N1382))</f>
        <v/>
      </c>
      <c r="Q1382" s="18">
        <f>IF(N(X1382)=0,"",IF(IF(N(F1382)=0,0,IF(N(E1382)&gt;0,E1382*(1+F1382/30),F1382))=X1382,IF(N(E1382)&gt;0,E1382&amp;" x "&amp;F1382,F1382&amp;" reps"),IF(IF(N(H1382)=0,0,IF(N(G1382)&gt;0,G1382*(1+H1382/30),H1382))=X1382,IF(N(G1382)&gt;0,G1382&amp;" x "&amp;H1382,H1382&amp;" reps"),IF(IF(N(J1382)=0,0,IF(N(I1382)&gt;0,I1382*(1+J1382/30),J1382))=X1382,IF(N(I1382)&gt;0,I1382&amp;" x "&amp;J1382,J1382&amp;" reps"),IF(IF(N(L1382)=0,0,IF(N(K1382)&gt;0,K1382*(1+L1382/30),L1382))=X1382,IF(N(K1382)&gt;0,K1382&amp;" x "&amp;L1382,L1382&amp;" reps"),IF(IF(N(N1382)=0,0,IF(N(M1382)&gt;0,M1382*(1+N1382/30),N1382))=X1382,IF(N(M1382)&gt;0,M1382&amp;" x "&amp;N1382,N1382&amp;" reps"),""))))))</f>
        <v/>
      </c>
      <c r="R1382" s="20">
        <f>IF(N(X1382)=0,"",ROUND(X1382,1))</f>
        <v/>
      </c>
      <c r="S1382" s="18">
        <f>IF(N(X1382)=0,"",IF(AND(COUNTIFS(Log!$D$6:$D$1505,D1382,Log!$B$6:$B$1505,"&lt;"&amp;B1382)&gt;0,COUNTIFS(Log!$D$6:$D$1505,D1382,Log!$B$6:$B$1505,"&lt;"&amp;B1382,Log!$X$6:$X$1505,"&gt;="&amp;X1382)=0),"New best",""))</f>
        <v/>
      </c>
      <c r="T1382" s="26" t="n"/>
      <c r="U1382" s="1">
        <f>IF(D1382="","",IFERROR(INDEX(Exercises!$C$6:$C$105,MATCH(D1382,Exercises!$B$6:$B$105,0)),"Other"))</f>
        <v/>
      </c>
      <c r="V1382">
        <f>IF(B1382="","",IF(COUNTIF($B$6:B1382,B1382)=1,1,0))</f>
        <v/>
      </c>
      <c r="W1382">
        <f>IF(B1382="","",B1382-WEEKDAY(B1382,3))</f>
        <v/>
      </c>
      <c r="X1382">
        <f>IF(D1382="","",MAX(IF(N(F1382)=0,0,IF(N(E1382)&gt;0,E1382*(1+F1382/30),F1382)),IF(N(H1382)=0,0,IF(N(G1382)&gt;0,G1382*(1+H1382/30),H1382)),IF(N(J1382)=0,0,IF(N(I1382)&gt;0,I1382*(1+J1382/30),J1382)),IF(N(L1382)=0,0,IF(N(K1382)&gt;0,K1382*(1+L1382/30),L1382)),IF(N(N1382)=0,0,IF(N(M1382)&gt;0,M1382*(1+N1382/30),N1382))))</f>
        <v/>
      </c>
      <c r="Y1382">
        <f>IF(N(X1382)=0,"",X1382+ROW()/1000000000)</f>
        <v/>
      </c>
      <c r="Z1382">
        <f>IF(Y1382="","",IF(COUNTIFS(Log!$D$6:$D$1505,D1382,Log!$Y$6:$Y$1505,"&gt;"&amp;Y1382)=0,1,0))</f>
        <v/>
      </c>
      <c r="AA1382">
        <f>IF(OR(B1382="",D1382=""),"",B1382+ROW()/10000000)</f>
        <v/>
      </c>
      <c r="AB1382">
        <f>IF(AA1382="","",IF(COUNTIFS(Log!$D$6:$D$1505,D1382,Log!$AA$6:$AA$1505,"&gt;"&amp;AA1382)=0,1,0))</f>
        <v/>
      </c>
      <c r="AC1382">
        <f>IF(S1382="New best",AA1382,"")</f>
        <v/>
      </c>
      <c r="AD1382">
        <f>ROW()</f>
        <v/>
      </c>
    </row>
    <row r="1383">
      <c r="A1383" s="1" t="n"/>
      <c r="B1383" s="21" t="n"/>
      <c r="C1383" s="22" t="n"/>
      <c r="D1383" s="23" t="n"/>
      <c r="E1383" s="24" t="n"/>
      <c r="F1383" s="24" t="n"/>
      <c r="G1383" s="24" t="n"/>
      <c r="H1383" s="24" t="n"/>
      <c r="I1383" s="24" t="n"/>
      <c r="J1383" s="24" t="n"/>
      <c r="K1383" s="24" t="n"/>
      <c r="L1383" s="24" t="n"/>
      <c r="M1383" s="24" t="n"/>
      <c r="N1383" s="24" t="n"/>
      <c r="O1383" s="15">
        <f>IF(D1383="","",COUNT(F1383,H1383,J1383,L1383,N1383))</f>
        <v/>
      </c>
      <c r="P1383" s="25">
        <f>IF(D1383="","",N(E1383)*N(F1383)+N(G1383)*N(H1383)+N(I1383)*N(J1383)+N(K1383)*N(L1383)+N(M1383)*N(N1383))</f>
        <v/>
      </c>
      <c r="Q1383" s="18">
        <f>IF(N(X1383)=0,"",IF(IF(N(F1383)=0,0,IF(N(E1383)&gt;0,E1383*(1+F1383/30),F1383))=X1383,IF(N(E1383)&gt;0,E1383&amp;" x "&amp;F1383,F1383&amp;" reps"),IF(IF(N(H1383)=0,0,IF(N(G1383)&gt;0,G1383*(1+H1383/30),H1383))=X1383,IF(N(G1383)&gt;0,G1383&amp;" x "&amp;H1383,H1383&amp;" reps"),IF(IF(N(J1383)=0,0,IF(N(I1383)&gt;0,I1383*(1+J1383/30),J1383))=X1383,IF(N(I1383)&gt;0,I1383&amp;" x "&amp;J1383,J1383&amp;" reps"),IF(IF(N(L1383)=0,0,IF(N(K1383)&gt;0,K1383*(1+L1383/30),L1383))=X1383,IF(N(K1383)&gt;0,K1383&amp;" x "&amp;L1383,L1383&amp;" reps"),IF(IF(N(N1383)=0,0,IF(N(M1383)&gt;0,M1383*(1+N1383/30),N1383))=X1383,IF(N(M1383)&gt;0,M1383&amp;" x "&amp;N1383,N1383&amp;" reps"),""))))))</f>
        <v/>
      </c>
      <c r="R1383" s="20">
        <f>IF(N(X1383)=0,"",ROUND(X1383,1))</f>
        <v/>
      </c>
      <c r="S1383" s="18">
        <f>IF(N(X1383)=0,"",IF(AND(COUNTIFS(Log!$D$6:$D$1505,D1383,Log!$B$6:$B$1505,"&lt;"&amp;B1383)&gt;0,COUNTIFS(Log!$D$6:$D$1505,D1383,Log!$B$6:$B$1505,"&lt;"&amp;B1383,Log!$X$6:$X$1505,"&gt;="&amp;X1383)=0),"New best",""))</f>
        <v/>
      </c>
      <c r="T1383" s="26" t="n"/>
      <c r="U1383" s="1">
        <f>IF(D1383="","",IFERROR(INDEX(Exercises!$C$6:$C$105,MATCH(D1383,Exercises!$B$6:$B$105,0)),"Other"))</f>
        <v/>
      </c>
      <c r="V1383">
        <f>IF(B1383="","",IF(COUNTIF($B$6:B1383,B1383)=1,1,0))</f>
        <v/>
      </c>
      <c r="W1383">
        <f>IF(B1383="","",B1383-WEEKDAY(B1383,3))</f>
        <v/>
      </c>
      <c r="X1383">
        <f>IF(D1383="","",MAX(IF(N(F1383)=0,0,IF(N(E1383)&gt;0,E1383*(1+F1383/30),F1383)),IF(N(H1383)=0,0,IF(N(G1383)&gt;0,G1383*(1+H1383/30),H1383)),IF(N(J1383)=0,0,IF(N(I1383)&gt;0,I1383*(1+J1383/30),J1383)),IF(N(L1383)=0,0,IF(N(K1383)&gt;0,K1383*(1+L1383/30),L1383)),IF(N(N1383)=0,0,IF(N(M1383)&gt;0,M1383*(1+N1383/30),N1383))))</f>
        <v/>
      </c>
      <c r="Y1383">
        <f>IF(N(X1383)=0,"",X1383+ROW()/1000000000)</f>
        <v/>
      </c>
      <c r="Z1383">
        <f>IF(Y1383="","",IF(COUNTIFS(Log!$D$6:$D$1505,D1383,Log!$Y$6:$Y$1505,"&gt;"&amp;Y1383)=0,1,0))</f>
        <v/>
      </c>
      <c r="AA1383">
        <f>IF(OR(B1383="",D1383=""),"",B1383+ROW()/10000000)</f>
        <v/>
      </c>
      <c r="AB1383">
        <f>IF(AA1383="","",IF(COUNTIFS(Log!$D$6:$D$1505,D1383,Log!$AA$6:$AA$1505,"&gt;"&amp;AA1383)=0,1,0))</f>
        <v/>
      </c>
      <c r="AC1383">
        <f>IF(S1383="New best",AA1383,"")</f>
        <v/>
      </c>
      <c r="AD1383">
        <f>ROW()</f>
        <v/>
      </c>
    </row>
    <row r="1384">
      <c r="A1384" s="1" t="n"/>
      <c r="B1384" s="21" t="n"/>
      <c r="C1384" s="22" t="n"/>
      <c r="D1384" s="23" t="n"/>
      <c r="E1384" s="24" t="n"/>
      <c r="F1384" s="24" t="n"/>
      <c r="G1384" s="24" t="n"/>
      <c r="H1384" s="24" t="n"/>
      <c r="I1384" s="24" t="n"/>
      <c r="J1384" s="24" t="n"/>
      <c r="K1384" s="24" t="n"/>
      <c r="L1384" s="24" t="n"/>
      <c r="M1384" s="24" t="n"/>
      <c r="N1384" s="24" t="n"/>
      <c r="O1384" s="15">
        <f>IF(D1384="","",COUNT(F1384,H1384,J1384,L1384,N1384))</f>
        <v/>
      </c>
      <c r="P1384" s="25">
        <f>IF(D1384="","",N(E1384)*N(F1384)+N(G1384)*N(H1384)+N(I1384)*N(J1384)+N(K1384)*N(L1384)+N(M1384)*N(N1384))</f>
        <v/>
      </c>
      <c r="Q1384" s="18">
        <f>IF(N(X1384)=0,"",IF(IF(N(F1384)=0,0,IF(N(E1384)&gt;0,E1384*(1+F1384/30),F1384))=X1384,IF(N(E1384)&gt;0,E1384&amp;" x "&amp;F1384,F1384&amp;" reps"),IF(IF(N(H1384)=0,0,IF(N(G1384)&gt;0,G1384*(1+H1384/30),H1384))=X1384,IF(N(G1384)&gt;0,G1384&amp;" x "&amp;H1384,H1384&amp;" reps"),IF(IF(N(J1384)=0,0,IF(N(I1384)&gt;0,I1384*(1+J1384/30),J1384))=X1384,IF(N(I1384)&gt;0,I1384&amp;" x "&amp;J1384,J1384&amp;" reps"),IF(IF(N(L1384)=0,0,IF(N(K1384)&gt;0,K1384*(1+L1384/30),L1384))=X1384,IF(N(K1384)&gt;0,K1384&amp;" x "&amp;L1384,L1384&amp;" reps"),IF(IF(N(N1384)=0,0,IF(N(M1384)&gt;0,M1384*(1+N1384/30),N1384))=X1384,IF(N(M1384)&gt;0,M1384&amp;" x "&amp;N1384,N1384&amp;" reps"),""))))))</f>
        <v/>
      </c>
      <c r="R1384" s="20">
        <f>IF(N(X1384)=0,"",ROUND(X1384,1))</f>
        <v/>
      </c>
      <c r="S1384" s="18">
        <f>IF(N(X1384)=0,"",IF(AND(COUNTIFS(Log!$D$6:$D$1505,D1384,Log!$B$6:$B$1505,"&lt;"&amp;B1384)&gt;0,COUNTIFS(Log!$D$6:$D$1505,D1384,Log!$B$6:$B$1505,"&lt;"&amp;B1384,Log!$X$6:$X$1505,"&gt;="&amp;X1384)=0),"New best",""))</f>
        <v/>
      </c>
      <c r="T1384" s="26" t="n"/>
      <c r="U1384" s="1">
        <f>IF(D1384="","",IFERROR(INDEX(Exercises!$C$6:$C$105,MATCH(D1384,Exercises!$B$6:$B$105,0)),"Other"))</f>
        <v/>
      </c>
      <c r="V1384">
        <f>IF(B1384="","",IF(COUNTIF($B$6:B1384,B1384)=1,1,0))</f>
        <v/>
      </c>
      <c r="W1384">
        <f>IF(B1384="","",B1384-WEEKDAY(B1384,3))</f>
        <v/>
      </c>
      <c r="X1384">
        <f>IF(D1384="","",MAX(IF(N(F1384)=0,0,IF(N(E1384)&gt;0,E1384*(1+F1384/30),F1384)),IF(N(H1384)=0,0,IF(N(G1384)&gt;0,G1384*(1+H1384/30),H1384)),IF(N(J1384)=0,0,IF(N(I1384)&gt;0,I1384*(1+J1384/30),J1384)),IF(N(L1384)=0,0,IF(N(K1384)&gt;0,K1384*(1+L1384/30),L1384)),IF(N(N1384)=0,0,IF(N(M1384)&gt;0,M1384*(1+N1384/30),N1384))))</f>
        <v/>
      </c>
      <c r="Y1384">
        <f>IF(N(X1384)=0,"",X1384+ROW()/1000000000)</f>
        <v/>
      </c>
      <c r="Z1384">
        <f>IF(Y1384="","",IF(COUNTIFS(Log!$D$6:$D$1505,D1384,Log!$Y$6:$Y$1505,"&gt;"&amp;Y1384)=0,1,0))</f>
        <v/>
      </c>
      <c r="AA1384">
        <f>IF(OR(B1384="",D1384=""),"",B1384+ROW()/10000000)</f>
        <v/>
      </c>
      <c r="AB1384">
        <f>IF(AA1384="","",IF(COUNTIFS(Log!$D$6:$D$1505,D1384,Log!$AA$6:$AA$1505,"&gt;"&amp;AA1384)=0,1,0))</f>
        <v/>
      </c>
      <c r="AC1384">
        <f>IF(S1384="New best",AA1384,"")</f>
        <v/>
      </c>
      <c r="AD1384">
        <f>ROW()</f>
        <v/>
      </c>
    </row>
    <row r="1385">
      <c r="A1385" s="1" t="n"/>
      <c r="B1385" s="21" t="n"/>
      <c r="C1385" s="22" t="n"/>
      <c r="D1385" s="23" t="n"/>
      <c r="E1385" s="24" t="n"/>
      <c r="F1385" s="24" t="n"/>
      <c r="G1385" s="24" t="n"/>
      <c r="H1385" s="24" t="n"/>
      <c r="I1385" s="24" t="n"/>
      <c r="J1385" s="24" t="n"/>
      <c r="K1385" s="24" t="n"/>
      <c r="L1385" s="24" t="n"/>
      <c r="M1385" s="24" t="n"/>
      <c r="N1385" s="24" t="n"/>
      <c r="O1385" s="15">
        <f>IF(D1385="","",COUNT(F1385,H1385,J1385,L1385,N1385))</f>
        <v/>
      </c>
      <c r="P1385" s="25">
        <f>IF(D1385="","",N(E1385)*N(F1385)+N(G1385)*N(H1385)+N(I1385)*N(J1385)+N(K1385)*N(L1385)+N(M1385)*N(N1385))</f>
        <v/>
      </c>
      <c r="Q1385" s="18">
        <f>IF(N(X1385)=0,"",IF(IF(N(F1385)=0,0,IF(N(E1385)&gt;0,E1385*(1+F1385/30),F1385))=X1385,IF(N(E1385)&gt;0,E1385&amp;" x "&amp;F1385,F1385&amp;" reps"),IF(IF(N(H1385)=0,0,IF(N(G1385)&gt;0,G1385*(1+H1385/30),H1385))=X1385,IF(N(G1385)&gt;0,G1385&amp;" x "&amp;H1385,H1385&amp;" reps"),IF(IF(N(J1385)=0,0,IF(N(I1385)&gt;0,I1385*(1+J1385/30),J1385))=X1385,IF(N(I1385)&gt;0,I1385&amp;" x "&amp;J1385,J1385&amp;" reps"),IF(IF(N(L1385)=0,0,IF(N(K1385)&gt;0,K1385*(1+L1385/30),L1385))=X1385,IF(N(K1385)&gt;0,K1385&amp;" x "&amp;L1385,L1385&amp;" reps"),IF(IF(N(N1385)=0,0,IF(N(M1385)&gt;0,M1385*(1+N1385/30),N1385))=X1385,IF(N(M1385)&gt;0,M1385&amp;" x "&amp;N1385,N1385&amp;" reps"),""))))))</f>
        <v/>
      </c>
      <c r="R1385" s="20">
        <f>IF(N(X1385)=0,"",ROUND(X1385,1))</f>
        <v/>
      </c>
      <c r="S1385" s="18">
        <f>IF(N(X1385)=0,"",IF(AND(COUNTIFS(Log!$D$6:$D$1505,D1385,Log!$B$6:$B$1505,"&lt;"&amp;B1385)&gt;0,COUNTIFS(Log!$D$6:$D$1505,D1385,Log!$B$6:$B$1505,"&lt;"&amp;B1385,Log!$X$6:$X$1505,"&gt;="&amp;X1385)=0),"New best",""))</f>
        <v/>
      </c>
      <c r="T1385" s="26" t="n"/>
      <c r="U1385" s="1">
        <f>IF(D1385="","",IFERROR(INDEX(Exercises!$C$6:$C$105,MATCH(D1385,Exercises!$B$6:$B$105,0)),"Other"))</f>
        <v/>
      </c>
      <c r="V1385">
        <f>IF(B1385="","",IF(COUNTIF($B$6:B1385,B1385)=1,1,0))</f>
        <v/>
      </c>
      <c r="W1385">
        <f>IF(B1385="","",B1385-WEEKDAY(B1385,3))</f>
        <v/>
      </c>
      <c r="X1385">
        <f>IF(D1385="","",MAX(IF(N(F1385)=0,0,IF(N(E1385)&gt;0,E1385*(1+F1385/30),F1385)),IF(N(H1385)=0,0,IF(N(G1385)&gt;0,G1385*(1+H1385/30),H1385)),IF(N(J1385)=0,0,IF(N(I1385)&gt;0,I1385*(1+J1385/30),J1385)),IF(N(L1385)=0,0,IF(N(K1385)&gt;0,K1385*(1+L1385/30),L1385)),IF(N(N1385)=0,0,IF(N(M1385)&gt;0,M1385*(1+N1385/30),N1385))))</f>
        <v/>
      </c>
      <c r="Y1385">
        <f>IF(N(X1385)=0,"",X1385+ROW()/1000000000)</f>
        <v/>
      </c>
      <c r="Z1385">
        <f>IF(Y1385="","",IF(COUNTIFS(Log!$D$6:$D$1505,D1385,Log!$Y$6:$Y$1505,"&gt;"&amp;Y1385)=0,1,0))</f>
        <v/>
      </c>
      <c r="AA1385">
        <f>IF(OR(B1385="",D1385=""),"",B1385+ROW()/10000000)</f>
        <v/>
      </c>
      <c r="AB1385">
        <f>IF(AA1385="","",IF(COUNTIFS(Log!$D$6:$D$1505,D1385,Log!$AA$6:$AA$1505,"&gt;"&amp;AA1385)=0,1,0))</f>
        <v/>
      </c>
      <c r="AC1385">
        <f>IF(S1385="New best",AA1385,"")</f>
        <v/>
      </c>
      <c r="AD1385">
        <f>ROW()</f>
        <v/>
      </c>
    </row>
    <row r="1386">
      <c r="A1386" s="1" t="n"/>
      <c r="B1386" s="21" t="n"/>
      <c r="C1386" s="22" t="n"/>
      <c r="D1386" s="23" t="n"/>
      <c r="E1386" s="24" t="n"/>
      <c r="F1386" s="24" t="n"/>
      <c r="G1386" s="24" t="n"/>
      <c r="H1386" s="24" t="n"/>
      <c r="I1386" s="24" t="n"/>
      <c r="J1386" s="24" t="n"/>
      <c r="K1386" s="24" t="n"/>
      <c r="L1386" s="24" t="n"/>
      <c r="M1386" s="24" t="n"/>
      <c r="N1386" s="24" t="n"/>
      <c r="O1386" s="15">
        <f>IF(D1386="","",COUNT(F1386,H1386,J1386,L1386,N1386))</f>
        <v/>
      </c>
      <c r="P1386" s="25">
        <f>IF(D1386="","",N(E1386)*N(F1386)+N(G1386)*N(H1386)+N(I1386)*N(J1386)+N(K1386)*N(L1386)+N(M1386)*N(N1386))</f>
        <v/>
      </c>
      <c r="Q1386" s="18">
        <f>IF(N(X1386)=0,"",IF(IF(N(F1386)=0,0,IF(N(E1386)&gt;0,E1386*(1+F1386/30),F1386))=X1386,IF(N(E1386)&gt;0,E1386&amp;" x "&amp;F1386,F1386&amp;" reps"),IF(IF(N(H1386)=0,0,IF(N(G1386)&gt;0,G1386*(1+H1386/30),H1386))=X1386,IF(N(G1386)&gt;0,G1386&amp;" x "&amp;H1386,H1386&amp;" reps"),IF(IF(N(J1386)=0,0,IF(N(I1386)&gt;0,I1386*(1+J1386/30),J1386))=X1386,IF(N(I1386)&gt;0,I1386&amp;" x "&amp;J1386,J1386&amp;" reps"),IF(IF(N(L1386)=0,0,IF(N(K1386)&gt;0,K1386*(1+L1386/30),L1386))=X1386,IF(N(K1386)&gt;0,K1386&amp;" x "&amp;L1386,L1386&amp;" reps"),IF(IF(N(N1386)=0,0,IF(N(M1386)&gt;0,M1386*(1+N1386/30),N1386))=X1386,IF(N(M1386)&gt;0,M1386&amp;" x "&amp;N1386,N1386&amp;" reps"),""))))))</f>
        <v/>
      </c>
      <c r="R1386" s="20">
        <f>IF(N(X1386)=0,"",ROUND(X1386,1))</f>
        <v/>
      </c>
      <c r="S1386" s="18">
        <f>IF(N(X1386)=0,"",IF(AND(COUNTIFS(Log!$D$6:$D$1505,D1386,Log!$B$6:$B$1505,"&lt;"&amp;B1386)&gt;0,COUNTIFS(Log!$D$6:$D$1505,D1386,Log!$B$6:$B$1505,"&lt;"&amp;B1386,Log!$X$6:$X$1505,"&gt;="&amp;X1386)=0),"New best",""))</f>
        <v/>
      </c>
      <c r="T1386" s="26" t="n"/>
      <c r="U1386" s="1">
        <f>IF(D1386="","",IFERROR(INDEX(Exercises!$C$6:$C$105,MATCH(D1386,Exercises!$B$6:$B$105,0)),"Other"))</f>
        <v/>
      </c>
      <c r="V1386">
        <f>IF(B1386="","",IF(COUNTIF($B$6:B1386,B1386)=1,1,0))</f>
        <v/>
      </c>
      <c r="W1386">
        <f>IF(B1386="","",B1386-WEEKDAY(B1386,3))</f>
        <v/>
      </c>
      <c r="X1386">
        <f>IF(D1386="","",MAX(IF(N(F1386)=0,0,IF(N(E1386)&gt;0,E1386*(1+F1386/30),F1386)),IF(N(H1386)=0,0,IF(N(G1386)&gt;0,G1386*(1+H1386/30),H1386)),IF(N(J1386)=0,0,IF(N(I1386)&gt;0,I1386*(1+J1386/30),J1386)),IF(N(L1386)=0,0,IF(N(K1386)&gt;0,K1386*(1+L1386/30),L1386)),IF(N(N1386)=0,0,IF(N(M1386)&gt;0,M1386*(1+N1386/30),N1386))))</f>
        <v/>
      </c>
      <c r="Y1386">
        <f>IF(N(X1386)=0,"",X1386+ROW()/1000000000)</f>
        <v/>
      </c>
      <c r="Z1386">
        <f>IF(Y1386="","",IF(COUNTIFS(Log!$D$6:$D$1505,D1386,Log!$Y$6:$Y$1505,"&gt;"&amp;Y1386)=0,1,0))</f>
        <v/>
      </c>
      <c r="AA1386">
        <f>IF(OR(B1386="",D1386=""),"",B1386+ROW()/10000000)</f>
        <v/>
      </c>
      <c r="AB1386">
        <f>IF(AA1386="","",IF(COUNTIFS(Log!$D$6:$D$1505,D1386,Log!$AA$6:$AA$1505,"&gt;"&amp;AA1386)=0,1,0))</f>
        <v/>
      </c>
      <c r="AC1386">
        <f>IF(S1386="New best",AA1386,"")</f>
        <v/>
      </c>
      <c r="AD1386">
        <f>ROW()</f>
        <v/>
      </c>
    </row>
    <row r="1387">
      <c r="A1387" s="1" t="n"/>
      <c r="B1387" s="21" t="n"/>
      <c r="C1387" s="22" t="n"/>
      <c r="D1387" s="23" t="n"/>
      <c r="E1387" s="24" t="n"/>
      <c r="F1387" s="24" t="n"/>
      <c r="G1387" s="24" t="n"/>
      <c r="H1387" s="24" t="n"/>
      <c r="I1387" s="24" t="n"/>
      <c r="J1387" s="24" t="n"/>
      <c r="K1387" s="24" t="n"/>
      <c r="L1387" s="24" t="n"/>
      <c r="M1387" s="24" t="n"/>
      <c r="N1387" s="24" t="n"/>
      <c r="O1387" s="15">
        <f>IF(D1387="","",COUNT(F1387,H1387,J1387,L1387,N1387))</f>
        <v/>
      </c>
      <c r="P1387" s="25">
        <f>IF(D1387="","",N(E1387)*N(F1387)+N(G1387)*N(H1387)+N(I1387)*N(J1387)+N(K1387)*N(L1387)+N(M1387)*N(N1387))</f>
        <v/>
      </c>
      <c r="Q1387" s="18">
        <f>IF(N(X1387)=0,"",IF(IF(N(F1387)=0,0,IF(N(E1387)&gt;0,E1387*(1+F1387/30),F1387))=X1387,IF(N(E1387)&gt;0,E1387&amp;" x "&amp;F1387,F1387&amp;" reps"),IF(IF(N(H1387)=0,0,IF(N(G1387)&gt;0,G1387*(1+H1387/30),H1387))=X1387,IF(N(G1387)&gt;0,G1387&amp;" x "&amp;H1387,H1387&amp;" reps"),IF(IF(N(J1387)=0,0,IF(N(I1387)&gt;0,I1387*(1+J1387/30),J1387))=X1387,IF(N(I1387)&gt;0,I1387&amp;" x "&amp;J1387,J1387&amp;" reps"),IF(IF(N(L1387)=0,0,IF(N(K1387)&gt;0,K1387*(1+L1387/30),L1387))=X1387,IF(N(K1387)&gt;0,K1387&amp;" x "&amp;L1387,L1387&amp;" reps"),IF(IF(N(N1387)=0,0,IF(N(M1387)&gt;0,M1387*(1+N1387/30),N1387))=X1387,IF(N(M1387)&gt;0,M1387&amp;" x "&amp;N1387,N1387&amp;" reps"),""))))))</f>
        <v/>
      </c>
      <c r="R1387" s="20">
        <f>IF(N(X1387)=0,"",ROUND(X1387,1))</f>
        <v/>
      </c>
      <c r="S1387" s="18">
        <f>IF(N(X1387)=0,"",IF(AND(COUNTIFS(Log!$D$6:$D$1505,D1387,Log!$B$6:$B$1505,"&lt;"&amp;B1387)&gt;0,COUNTIFS(Log!$D$6:$D$1505,D1387,Log!$B$6:$B$1505,"&lt;"&amp;B1387,Log!$X$6:$X$1505,"&gt;="&amp;X1387)=0),"New best",""))</f>
        <v/>
      </c>
      <c r="T1387" s="26" t="n"/>
      <c r="U1387" s="1">
        <f>IF(D1387="","",IFERROR(INDEX(Exercises!$C$6:$C$105,MATCH(D1387,Exercises!$B$6:$B$105,0)),"Other"))</f>
        <v/>
      </c>
      <c r="V1387">
        <f>IF(B1387="","",IF(COUNTIF($B$6:B1387,B1387)=1,1,0))</f>
        <v/>
      </c>
      <c r="W1387">
        <f>IF(B1387="","",B1387-WEEKDAY(B1387,3))</f>
        <v/>
      </c>
      <c r="X1387">
        <f>IF(D1387="","",MAX(IF(N(F1387)=0,0,IF(N(E1387)&gt;0,E1387*(1+F1387/30),F1387)),IF(N(H1387)=0,0,IF(N(G1387)&gt;0,G1387*(1+H1387/30),H1387)),IF(N(J1387)=0,0,IF(N(I1387)&gt;0,I1387*(1+J1387/30),J1387)),IF(N(L1387)=0,0,IF(N(K1387)&gt;0,K1387*(1+L1387/30),L1387)),IF(N(N1387)=0,0,IF(N(M1387)&gt;0,M1387*(1+N1387/30),N1387))))</f>
        <v/>
      </c>
      <c r="Y1387">
        <f>IF(N(X1387)=0,"",X1387+ROW()/1000000000)</f>
        <v/>
      </c>
      <c r="Z1387">
        <f>IF(Y1387="","",IF(COUNTIFS(Log!$D$6:$D$1505,D1387,Log!$Y$6:$Y$1505,"&gt;"&amp;Y1387)=0,1,0))</f>
        <v/>
      </c>
      <c r="AA1387">
        <f>IF(OR(B1387="",D1387=""),"",B1387+ROW()/10000000)</f>
        <v/>
      </c>
      <c r="AB1387">
        <f>IF(AA1387="","",IF(COUNTIFS(Log!$D$6:$D$1505,D1387,Log!$AA$6:$AA$1505,"&gt;"&amp;AA1387)=0,1,0))</f>
        <v/>
      </c>
      <c r="AC1387">
        <f>IF(S1387="New best",AA1387,"")</f>
        <v/>
      </c>
      <c r="AD1387">
        <f>ROW()</f>
        <v/>
      </c>
    </row>
    <row r="1388">
      <c r="A1388" s="1" t="n"/>
      <c r="B1388" s="21" t="n"/>
      <c r="C1388" s="22" t="n"/>
      <c r="D1388" s="23" t="n"/>
      <c r="E1388" s="24" t="n"/>
      <c r="F1388" s="24" t="n"/>
      <c r="G1388" s="24" t="n"/>
      <c r="H1388" s="24" t="n"/>
      <c r="I1388" s="24" t="n"/>
      <c r="J1388" s="24" t="n"/>
      <c r="K1388" s="24" t="n"/>
      <c r="L1388" s="24" t="n"/>
      <c r="M1388" s="24" t="n"/>
      <c r="N1388" s="24" t="n"/>
      <c r="O1388" s="15">
        <f>IF(D1388="","",COUNT(F1388,H1388,J1388,L1388,N1388))</f>
        <v/>
      </c>
      <c r="P1388" s="25">
        <f>IF(D1388="","",N(E1388)*N(F1388)+N(G1388)*N(H1388)+N(I1388)*N(J1388)+N(K1388)*N(L1388)+N(M1388)*N(N1388))</f>
        <v/>
      </c>
      <c r="Q1388" s="18">
        <f>IF(N(X1388)=0,"",IF(IF(N(F1388)=0,0,IF(N(E1388)&gt;0,E1388*(1+F1388/30),F1388))=X1388,IF(N(E1388)&gt;0,E1388&amp;" x "&amp;F1388,F1388&amp;" reps"),IF(IF(N(H1388)=0,0,IF(N(G1388)&gt;0,G1388*(1+H1388/30),H1388))=X1388,IF(N(G1388)&gt;0,G1388&amp;" x "&amp;H1388,H1388&amp;" reps"),IF(IF(N(J1388)=0,0,IF(N(I1388)&gt;0,I1388*(1+J1388/30),J1388))=X1388,IF(N(I1388)&gt;0,I1388&amp;" x "&amp;J1388,J1388&amp;" reps"),IF(IF(N(L1388)=0,0,IF(N(K1388)&gt;0,K1388*(1+L1388/30),L1388))=X1388,IF(N(K1388)&gt;0,K1388&amp;" x "&amp;L1388,L1388&amp;" reps"),IF(IF(N(N1388)=0,0,IF(N(M1388)&gt;0,M1388*(1+N1388/30),N1388))=X1388,IF(N(M1388)&gt;0,M1388&amp;" x "&amp;N1388,N1388&amp;" reps"),""))))))</f>
        <v/>
      </c>
      <c r="R1388" s="20">
        <f>IF(N(X1388)=0,"",ROUND(X1388,1))</f>
        <v/>
      </c>
      <c r="S1388" s="18">
        <f>IF(N(X1388)=0,"",IF(AND(COUNTIFS(Log!$D$6:$D$1505,D1388,Log!$B$6:$B$1505,"&lt;"&amp;B1388)&gt;0,COUNTIFS(Log!$D$6:$D$1505,D1388,Log!$B$6:$B$1505,"&lt;"&amp;B1388,Log!$X$6:$X$1505,"&gt;="&amp;X1388)=0),"New best",""))</f>
        <v/>
      </c>
      <c r="T1388" s="26" t="n"/>
      <c r="U1388" s="1">
        <f>IF(D1388="","",IFERROR(INDEX(Exercises!$C$6:$C$105,MATCH(D1388,Exercises!$B$6:$B$105,0)),"Other"))</f>
        <v/>
      </c>
      <c r="V1388">
        <f>IF(B1388="","",IF(COUNTIF($B$6:B1388,B1388)=1,1,0))</f>
        <v/>
      </c>
      <c r="W1388">
        <f>IF(B1388="","",B1388-WEEKDAY(B1388,3))</f>
        <v/>
      </c>
      <c r="X1388">
        <f>IF(D1388="","",MAX(IF(N(F1388)=0,0,IF(N(E1388)&gt;0,E1388*(1+F1388/30),F1388)),IF(N(H1388)=0,0,IF(N(G1388)&gt;0,G1388*(1+H1388/30),H1388)),IF(N(J1388)=0,0,IF(N(I1388)&gt;0,I1388*(1+J1388/30),J1388)),IF(N(L1388)=0,0,IF(N(K1388)&gt;0,K1388*(1+L1388/30),L1388)),IF(N(N1388)=0,0,IF(N(M1388)&gt;0,M1388*(1+N1388/30),N1388))))</f>
        <v/>
      </c>
      <c r="Y1388">
        <f>IF(N(X1388)=0,"",X1388+ROW()/1000000000)</f>
        <v/>
      </c>
      <c r="Z1388">
        <f>IF(Y1388="","",IF(COUNTIFS(Log!$D$6:$D$1505,D1388,Log!$Y$6:$Y$1505,"&gt;"&amp;Y1388)=0,1,0))</f>
        <v/>
      </c>
      <c r="AA1388">
        <f>IF(OR(B1388="",D1388=""),"",B1388+ROW()/10000000)</f>
        <v/>
      </c>
      <c r="AB1388">
        <f>IF(AA1388="","",IF(COUNTIFS(Log!$D$6:$D$1505,D1388,Log!$AA$6:$AA$1505,"&gt;"&amp;AA1388)=0,1,0))</f>
        <v/>
      </c>
      <c r="AC1388">
        <f>IF(S1388="New best",AA1388,"")</f>
        <v/>
      </c>
      <c r="AD1388">
        <f>ROW()</f>
        <v/>
      </c>
    </row>
    <row r="1389">
      <c r="A1389" s="1" t="n"/>
      <c r="B1389" s="21" t="n"/>
      <c r="C1389" s="22" t="n"/>
      <c r="D1389" s="23" t="n"/>
      <c r="E1389" s="24" t="n"/>
      <c r="F1389" s="24" t="n"/>
      <c r="G1389" s="24" t="n"/>
      <c r="H1389" s="24" t="n"/>
      <c r="I1389" s="24" t="n"/>
      <c r="J1389" s="24" t="n"/>
      <c r="K1389" s="24" t="n"/>
      <c r="L1389" s="24" t="n"/>
      <c r="M1389" s="24" t="n"/>
      <c r="N1389" s="24" t="n"/>
      <c r="O1389" s="15">
        <f>IF(D1389="","",COUNT(F1389,H1389,J1389,L1389,N1389))</f>
        <v/>
      </c>
      <c r="P1389" s="25">
        <f>IF(D1389="","",N(E1389)*N(F1389)+N(G1389)*N(H1389)+N(I1389)*N(J1389)+N(K1389)*N(L1389)+N(M1389)*N(N1389))</f>
        <v/>
      </c>
      <c r="Q1389" s="18">
        <f>IF(N(X1389)=0,"",IF(IF(N(F1389)=0,0,IF(N(E1389)&gt;0,E1389*(1+F1389/30),F1389))=X1389,IF(N(E1389)&gt;0,E1389&amp;" x "&amp;F1389,F1389&amp;" reps"),IF(IF(N(H1389)=0,0,IF(N(G1389)&gt;0,G1389*(1+H1389/30),H1389))=X1389,IF(N(G1389)&gt;0,G1389&amp;" x "&amp;H1389,H1389&amp;" reps"),IF(IF(N(J1389)=0,0,IF(N(I1389)&gt;0,I1389*(1+J1389/30),J1389))=X1389,IF(N(I1389)&gt;0,I1389&amp;" x "&amp;J1389,J1389&amp;" reps"),IF(IF(N(L1389)=0,0,IF(N(K1389)&gt;0,K1389*(1+L1389/30),L1389))=X1389,IF(N(K1389)&gt;0,K1389&amp;" x "&amp;L1389,L1389&amp;" reps"),IF(IF(N(N1389)=0,0,IF(N(M1389)&gt;0,M1389*(1+N1389/30),N1389))=X1389,IF(N(M1389)&gt;0,M1389&amp;" x "&amp;N1389,N1389&amp;" reps"),""))))))</f>
        <v/>
      </c>
      <c r="R1389" s="20">
        <f>IF(N(X1389)=0,"",ROUND(X1389,1))</f>
        <v/>
      </c>
      <c r="S1389" s="18">
        <f>IF(N(X1389)=0,"",IF(AND(COUNTIFS(Log!$D$6:$D$1505,D1389,Log!$B$6:$B$1505,"&lt;"&amp;B1389)&gt;0,COUNTIFS(Log!$D$6:$D$1505,D1389,Log!$B$6:$B$1505,"&lt;"&amp;B1389,Log!$X$6:$X$1505,"&gt;="&amp;X1389)=0),"New best",""))</f>
        <v/>
      </c>
      <c r="T1389" s="26" t="n"/>
      <c r="U1389" s="1">
        <f>IF(D1389="","",IFERROR(INDEX(Exercises!$C$6:$C$105,MATCH(D1389,Exercises!$B$6:$B$105,0)),"Other"))</f>
        <v/>
      </c>
      <c r="V1389">
        <f>IF(B1389="","",IF(COUNTIF($B$6:B1389,B1389)=1,1,0))</f>
        <v/>
      </c>
      <c r="W1389">
        <f>IF(B1389="","",B1389-WEEKDAY(B1389,3))</f>
        <v/>
      </c>
      <c r="X1389">
        <f>IF(D1389="","",MAX(IF(N(F1389)=0,0,IF(N(E1389)&gt;0,E1389*(1+F1389/30),F1389)),IF(N(H1389)=0,0,IF(N(G1389)&gt;0,G1389*(1+H1389/30),H1389)),IF(N(J1389)=0,0,IF(N(I1389)&gt;0,I1389*(1+J1389/30),J1389)),IF(N(L1389)=0,0,IF(N(K1389)&gt;0,K1389*(1+L1389/30),L1389)),IF(N(N1389)=0,0,IF(N(M1389)&gt;0,M1389*(1+N1389/30),N1389))))</f>
        <v/>
      </c>
      <c r="Y1389">
        <f>IF(N(X1389)=0,"",X1389+ROW()/1000000000)</f>
        <v/>
      </c>
      <c r="Z1389">
        <f>IF(Y1389="","",IF(COUNTIFS(Log!$D$6:$D$1505,D1389,Log!$Y$6:$Y$1505,"&gt;"&amp;Y1389)=0,1,0))</f>
        <v/>
      </c>
      <c r="AA1389">
        <f>IF(OR(B1389="",D1389=""),"",B1389+ROW()/10000000)</f>
        <v/>
      </c>
      <c r="AB1389">
        <f>IF(AA1389="","",IF(COUNTIFS(Log!$D$6:$D$1505,D1389,Log!$AA$6:$AA$1505,"&gt;"&amp;AA1389)=0,1,0))</f>
        <v/>
      </c>
      <c r="AC1389">
        <f>IF(S1389="New best",AA1389,"")</f>
        <v/>
      </c>
      <c r="AD1389">
        <f>ROW()</f>
        <v/>
      </c>
    </row>
    <row r="1390">
      <c r="A1390" s="1" t="n"/>
      <c r="B1390" s="21" t="n"/>
      <c r="C1390" s="22" t="n"/>
      <c r="D1390" s="23" t="n"/>
      <c r="E1390" s="24" t="n"/>
      <c r="F1390" s="24" t="n"/>
      <c r="G1390" s="24" t="n"/>
      <c r="H1390" s="24" t="n"/>
      <c r="I1390" s="24" t="n"/>
      <c r="J1390" s="24" t="n"/>
      <c r="K1390" s="24" t="n"/>
      <c r="L1390" s="24" t="n"/>
      <c r="M1390" s="24" t="n"/>
      <c r="N1390" s="24" t="n"/>
      <c r="O1390" s="15">
        <f>IF(D1390="","",COUNT(F1390,H1390,J1390,L1390,N1390))</f>
        <v/>
      </c>
      <c r="P1390" s="25">
        <f>IF(D1390="","",N(E1390)*N(F1390)+N(G1390)*N(H1390)+N(I1390)*N(J1390)+N(K1390)*N(L1390)+N(M1390)*N(N1390))</f>
        <v/>
      </c>
      <c r="Q1390" s="18">
        <f>IF(N(X1390)=0,"",IF(IF(N(F1390)=0,0,IF(N(E1390)&gt;0,E1390*(1+F1390/30),F1390))=X1390,IF(N(E1390)&gt;0,E1390&amp;" x "&amp;F1390,F1390&amp;" reps"),IF(IF(N(H1390)=0,0,IF(N(G1390)&gt;0,G1390*(1+H1390/30),H1390))=X1390,IF(N(G1390)&gt;0,G1390&amp;" x "&amp;H1390,H1390&amp;" reps"),IF(IF(N(J1390)=0,0,IF(N(I1390)&gt;0,I1390*(1+J1390/30),J1390))=X1390,IF(N(I1390)&gt;0,I1390&amp;" x "&amp;J1390,J1390&amp;" reps"),IF(IF(N(L1390)=0,0,IF(N(K1390)&gt;0,K1390*(1+L1390/30),L1390))=X1390,IF(N(K1390)&gt;0,K1390&amp;" x "&amp;L1390,L1390&amp;" reps"),IF(IF(N(N1390)=0,0,IF(N(M1390)&gt;0,M1390*(1+N1390/30),N1390))=X1390,IF(N(M1390)&gt;0,M1390&amp;" x "&amp;N1390,N1390&amp;" reps"),""))))))</f>
        <v/>
      </c>
      <c r="R1390" s="20">
        <f>IF(N(X1390)=0,"",ROUND(X1390,1))</f>
        <v/>
      </c>
      <c r="S1390" s="18">
        <f>IF(N(X1390)=0,"",IF(AND(COUNTIFS(Log!$D$6:$D$1505,D1390,Log!$B$6:$B$1505,"&lt;"&amp;B1390)&gt;0,COUNTIFS(Log!$D$6:$D$1505,D1390,Log!$B$6:$B$1505,"&lt;"&amp;B1390,Log!$X$6:$X$1505,"&gt;="&amp;X1390)=0),"New best",""))</f>
        <v/>
      </c>
      <c r="T1390" s="26" t="n"/>
      <c r="U1390" s="1">
        <f>IF(D1390="","",IFERROR(INDEX(Exercises!$C$6:$C$105,MATCH(D1390,Exercises!$B$6:$B$105,0)),"Other"))</f>
        <v/>
      </c>
      <c r="V1390">
        <f>IF(B1390="","",IF(COUNTIF($B$6:B1390,B1390)=1,1,0))</f>
        <v/>
      </c>
      <c r="W1390">
        <f>IF(B1390="","",B1390-WEEKDAY(B1390,3))</f>
        <v/>
      </c>
      <c r="X1390">
        <f>IF(D1390="","",MAX(IF(N(F1390)=0,0,IF(N(E1390)&gt;0,E1390*(1+F1390/30),F1390)),IF(N(H1390)=0,0,IF(N(G1390)&gt;0,G1390*(1+H1390/30),H1390)),IF(N(J1390)=0,0,IF(N(I1390)&gt;0,I1390*(1+J1390/30),J1390)),IF(N(L1390)=0,0,IF(N(K1390)&gt;0,K1390*(1+L1390/30),L1390)),IF(N(N1390)=0,0,IF(N(M1390)&gt;0,M1390*(1+N1390/30),N1390))))</f>
        <v/>
      </c>
      <c r="Y1390">
        <f>IF(N(X1390)=0,"",X1390+ROW()/1000000000)</f>
        <v/>
      </c>
      <c r="Z1390">
        <f>IF(Y1390="","",IF(COUNTIFS(Log!$D$6:$D$1505,D1390,Log!$Y$6:$Y$1505,"&gt;"&amp;Y1390)=0,1,0))</f>
        <v/>
      </c>
      <c r="AA1390">
        <f>IF(OR(B1390="",D1390=""),"",B1390+ROW()/10000000)</f>
        <v/>
      </c>
      <c r="AB1390">
        <f>IF(AA1390="","",IF(COUNTIFS(Log!$D$6:$D$1505,D1390,Log!$AA$6:$AA$1505,"&gt;"&amp;AA1390)=0,1,0))</f>
        <v/>
      </c>
      <c r="AC1390">
        <f>IF(S1390="New best",AA1390,"")</f>
        <v/>
      </c>
      <c r="AD1390">
        <f>ROW()</f>
        <v/>
      </c>
    </row>
    <row r="1391">
      <c r="A1391" s="1" t="n"/>
      <c r="B1391" s="21" t="n"/>
      <c r="C1391" s="22" t="n"/>
      <c r="D1391" s="23" t="n"/>
      <c r="E1391" s="24" t="n"/>
      <c r="F1391" s="24" t="n"/>
      <c r="G1391" s="24" t="n"/>
      <c r="H1391" s="24" t="n"/>
      <c r="I1391" s="24" t="n"/>
      <c r="J1391" s="24" t="n"/>
      <c r="K1391" s="24" t="n"/>
      <c r="L1391" s="24" t="n"/>
      <c r="M1391" s="24" t="n"/>
      <c r="N1391" s="24" t="n"/>
      <c r="O1391" s="15">
        <f>IF(D1391="","",COUNT(F1391,H1391,J1391,L1391,N1391))</f>
        <v/>
      </c>
      <c r="P1391" s="25">
        <f>IF(D1391="","",N(E1391)*N(F1391)+N(G1391)*N(H1391)+N(I1391)*N(J1391)+N(K1391)*N(L1391)+N(M1391)*N(N1391))</f>
        <v/>
      </c>
      <c r="Q1391" s="18">
        <f>IF(N(X1391)=0,"",IF(IF(N(F1391)=0,0,IF(N(E1391)&gt;0,E1391*(1+F1391/30),F1391))=X1391,IF(N(E1391)&gt;0,E1391&amp;" x "&amp;F1391,F1391&amp;" reps"),IF(IF(N(H1391)=0,0,IF(N(G1391)&gt;0,G1391*(1+H1391/30),H1391))=X1391,IF(N(G1391)&gt;0,G1391&amp;" x "&amp;H1391,H1391&amp;" reps"),IF(IF(N(J1391)=0,0,IF(N(I1391)&gt;0,I1391*(1+J1391/30),J1391))=X1391,IF(N(I1391)&gt;0,I1391&amp;" x "&amp;J1391,J1391&amp;" reps"),IF(IF(N(L1391)=0,0,IF(N(K1391)&gt;0,K1391*(1+L1391/30),L1391))=X1391,IF(N(K1391)&gt;0,K1391&amp;" x "&amp;L1391,L1391&amp;" reps"),IF(IF(N(N1391)=0,0,IF(N(M1391)&gt;0,M1391*(1+N1391/30),N1391))=X1391,IF(N(M1391)&gt;0,M1391&amp;" x "&amp;N1391,N1391&amp;" reps"),""))))))</f>
        <v/>
      </c>
      <c r="R1391" s="20">
        <f>IF(N(X1391)=0,"",ROUND(X1391,1))</f>
        <v/>
      </c>
      <c r="S1391" s="18">
        <f>IF(N(X1391)=0,"",IF(AND(COUNTIFS(Log!$D$6:$D$1505,D1391,Log!$B$6:$B$1505,"&lt;"&amp;B1391)&gt;0,COUNTIFS(Log!$D$6:$D$1505,D1391,Log!$B$6:$B$1505,"&lt;"&amp;B1391,Log!$X$6:$X$1505,"&gt;="&amp;X1391)=0),"New best",""))</f>
        <v/>
      </c>
      <c r="T1391" s="26" t="n"/>
      <c r="U1391" s="1">
        <f>IF(D1391="","",IFERROR(INDEX(Exercises!$C$6:$C$105,MATCH(D1391,Exercises!$B$6:$B$105,0)),"Other"))</f>
        <v/>
      </c>
      <c r="V1391">
        <f>IF(B1391="","",IF(COUNTIF($B$6:B1391,B1391)=1,1,0))</f>
        <v/>
      </c>
      <c r="W1391">
        <f>IF(B1391="","",B1391-WEEKDAY(B1391,3))</f>
        <v/>
      </c>
      <c r="X1391">
        <f>IF(D1391="","",MAX(IF(N(F1391)=0,0,IF(N(E1391)&gt;0,E1391*(1+F1391/30),F1391)),IF(N(H1391)=0,0,IF(N(G1391)&gt;0,G1391*(1+H1391/30),H1391)),IF(N(J1391)=0,0,IF(N(I1391)&gt;0,I1391*(1+J1391/30),J1391)),IF(N(L1391)=0,0,IF(N(K1391)&gt;0,K1391*(1+L1391/30),L1391)),IF(N(N1391)=0,0,IF(N(M1391)&gt;0,M1391*(1+N1391/30),N1391))))</f>
        <v/>
      </c>
      <c r="Y1391">
        <f>IF(N(X1391)=0,"",X1391+ROW()/1000000000)</f>
        <v/>
      </c>
      <c r="Z1391">
        <f>IF(Y1391="","",IF(COUNTIFS(Log!$D$6:$D$1505,D1391,Log!$Y$6:$Y$1505,"&gt;"&amp;Y1391)=0,1,0))</f>
        <v/>
      </c>
      <c r="AA1391">
        <f>IF(OR(B1391="",D1391=""),"",B1391+ROW()/10000000)</f>
        <v/>
      </c>
      <c r="AB1391">
        <f>IF(AA1391="","",IF(COUNTIFS(Log!$D$6:$D$1505,D1391,Log!$AA$6:$AA$1505,"&gt;"&amp;AA1391)=0,1,0))</f>
        <v/>
      </c>
      <c r="AC1391">
        <f>IF(S1391="New best",AA1391,"")</f>
        <v/>
      </c>
      <c r="AD1391">
        <f>ROW()</f>
        <v/>
      </c>
    </row>
    <row r="1392">
      <c r="A1392" s="1" t="n"/>
      <c r="B1392" s="21" t="n"/>
      <c r="C1392" s="22" t="n"/>
      <c r="D1392" s="23" t="n"/>
      <c r="E1392" s="24" t="n"/>
      <c r="F1392" s="24" t="n"/>
      <c r="G1392" s="24" t="n"/>
      <c r="H1392" s="24" t="n"/>
      <c r="I1392" s="24" t="n"/>
      <c r="J1392" s="24" t="n"/>
      <c r="K1392" s="24" t="n"/>
      <c r="L1392" s="24" t="n"/>
      <c r="M1392" s="24" t="n"/>
      <c r="N1392" s="24" t="n"/>
      <c r="O1392" s="15">
        <f>IF(D1392="","",COUNT(F1392,H1392,J1392,L1392,N1392))</f>
        <v/>
      </c>
      <c r="P1392" s="25">
        <f>IF(D1392="","",N(E1392)*N(F1392)+N(G1392)*N(H1392)+N(I1392)*N(J1392)+N(K1392)*N(L1392)+N(M1392)*N(N1392))</f>
        <v/>
      </c>
      <c r="Q1392" s="18">
        <f>IF(N(X1392)=0,"",IF(IF(N(F1392)=0,0,IF(N(E1392)&gt;0,E1392*(1+F1392/30),F1392))=X1392,IF(N(E1392)&gt;0,E1392&amp;" x "&amp;F1392,F1392&amp;" reps"),IF(IF(N(H1392)=0,0,IF(N(G1392)&gt;0,G1392*(1+H1392/30),H1392))=X1392,IF(N(G1392)&gt;0,G1392&amp;" x "&amp;H1392,H1392&amp;" reps"),IF(IF(N(J1392)=0,0,IF(N(I1392)&gt;0,I1392*(1+J1392/30),J1392))=X1392,IF(N(I1392)&gt;0,I1392&amp;" x "&amp;J1392,J1392&amp;" reps"),IF(IF(N(L1392)=0,0,IF(N(K1392)&gt;0,K1392*(1+L1392/30),L1392))=X1392,IF(N(K1392)&gt;0,K1392&amp;" x "&amp;L1392,L1392&amp;" reps"),IF(IF(N(N1392)=0,0,IF(N(M1392)&gt;0,M1392*(1+N1392/30),N1392))=X1392,IF(N(M1392)&gt;0,M1392&amp;" x "&amp;N1392,N1392&amp;" reps"),""))))))</f>
        <v/>
      </c>
      <c r="R1392" s="20">
        <f>IF(N(X1392)=0,"",ROUND(X1392,1))</f>
        <v/>
      </c>
      <c r="S1392" s="18">
        <f>IF(N(X1392)=0,"",IF(AND(COUNTIFS(Log!$D$6:$D$1505,D1392,Log!$B$6:$B$1505,"&lt;"&amp;B1392)&gt;0,COUNTIFS(Log!$D$6:$D$1505,D1392,Log!$B$6:$B$1505,"&lt;"&amp;B1392,Log!$X$6:$X$1505,"&gt;="&amp;X1392)=0),"New best",""))</f>
        <v/>
      </c>
      <c r="T1392" s="26" t="n"/>
      <c r="U1392" s="1">
        <f>IF(D1392="","",IFERROR(INDEX(Exercises!$C$6:$C$105,MATCH(D1392,Exercises!$B$6:$B$105,0)),"Other"))</f>
        <v/>
      </c>
      <c r="V1392">
        <f>IF(B1392="","",IF(COUNTIF($B$6:B1392,B1392)=1,1,0))</f>
        <v/>
      </c>
      <c r="W1392">
        <f>IF(B1392="","",B1392-WEEKDAY(B1392,3))</f>
        <v/>
      </c>
      <c r="X1392">
        <f>IF(D1392="","",MAX(IF(N(F1392)=0,0,IF(N(E1392)&gt;0,E1392*(1+F1392/30),F1392)),IF(N(H1392)=0,0,IF(N(G1392)&gt;0,G1392*(1+H1392/30),H1392)),IF(N(J1392)=0,0,IF(N(I1392)&gt;0,I1392*(1+J1392/30),J1392)),IF(N(L1392)=0,0,IF(N(K1392)&gt;0,K1392*(1+L1392/30),L1392)),IF(N(N1392)=0,0,IF(N(M1392)&gt;0,M1392*(1+N1392/30),N1392))))</f>
        <v/>
      </c>
      <c r="Y1392">
        <f>IF(N(X1392)=0,"",X1392+ROW()/1000000000)</f>
        <v/>
      </c>
      <c r="Z1392">
        <f>IF(Y1392="","",IF(COUNTIFS(Log!$D$6:$D$1505,D1392,Log!$Y$6:$Y$1505,"&gt;"&amp;Y1392)=0,1,0))</f>
        <v/>
      </c>
      <c r="AA1392">
        <f>IF(OR(B1392="",D1392=""),"",B1392+ROW()/10000000)</f>
        <v/>
      </c>
      <c r="AB1392">
        <f>IF(AA1392="","",IF(COUNTIFS(Log!$D$6:$D$1505,D1392,Log!$AA$6:$AA$1505,"&gt;"&amp;AA1392)=0,1,0))</f>
        <v/>
      </c>
      <c r="AC1392">
        <f>IF(S1392="New best",AA1392,"")</f>
        <v/>
      </c>
      <c r="AD1392">
        <f>ROW()</f>
        <v/>
      </c>
    </row>
    <row r="1393">
      <c r="A1393" s="1" t="n"/>
      <c r="B1393" s="21" t="n"/>
      <c r="C1393" s="22" t="n"/>
      <c r="D1393" s="23" t="n"/>
      <c r="E1393" s="24" t="n"/>
      <c r="F1393" s="24" t="n"/>
      <c r="G1393" s="24" t="n"/>
      <c r="H1393" s="24" t="n"/>
      <c r="I1393" s="24" t="n"/>
      <c r="J1393" s="24" t="n"/>
      <c r="K1393" s="24" t="n"/>
      <c r="L1393" s="24" t="n"/>
      <c r="M1393" s="24" t="n"/>
      <c r="N1393" s="24" t="n"/>
      <c r="O1393" s="15">
        <f>IF(D1393="","",COUNT(F1393,H1393,J1393,L1393,N1393))</f>
        <v/>
      </c>
      <c r="P1393" s="25">
        <f>IF(D1393="","",N(E1393)*N(F1393)+N(G1393)*N(H1393)+N(I1393)*N(J1393)+N(K1393)*N(L1393)+N(M1393)*N(N1393))</f>
        <v/>
      </c>
      <c r="Q1393" s="18">
        <f>IF(N(X1393)=0,"",IF(IF(N(F1393)=0,0,IF(N(E1393)&gt;0,E1393*(1+F1393/30),F1393))=X1393,IF(N(E1393)&gt;0,E1393&amp;" x "&amp;F1393,F1393&amp;" reps"),IF(IF(N(H1393)=0,0,IF(N(G1393)&gt;0,G1393*(1+H1393/30),H1393))=X1393,IF(N(G1393)&gt;0,G1393&amp;" x "&amp;H1393,H1393&amp;" reps"),IF(IF(N(J1393)=0,0,IF(N(I1393)&gt;0,I1393*(1+J1393/30),J1393))=X1393,IF(N(I1393)&gt;0,I1393&amp;" x "&amp;J1393,J1393&amp;" reps"),IF(IF(N(L1393)=0,0,IF(N(K1393)&gt;0,K1393*(1+L1393/30),L1393))=X1393,IF(N(K1393)&gt;0,K1393&amp;" x "&amp;L1393,L1393&amp;" reps"),IF(IF(N(N1393)=0,0,IF(N(M1393)&gt;0,M1393*(1+N1393/30),N1393))=X1393,IF(N(M1393)&gt;0,M1393&amp;" x "&amp;N1393,N1393&amp;" reps"),""))))))</f>
        <v/>
      </c>
      <c r="R1393" s="20">
        <f>IF(N(X1393)=0,"",ROUND(X1393,1))</f>
        <v/>
      </c>
      <c r="S1393" s="18">
        <f>IF(N(X1393)=0,"",IF(AND(COUNTIFS(Log!$D$6:$D$1505,D1393,Log!$B$6:$B$1505,"&lt;"&amp;B1393)&gt;0,COUNTIFS(Log!$D$6:$D$1505,D1393,Log!$B$6:$B$1505,"&lt;"&amp;B1393,Log!$X$6:$X$1505,"&gt;="&amp;X1393)=0),"New best",""))</f>
        <v/>
      </c>
      <c r="T1393" s="26" t="n"/>
      <c r="U1393" s="1">
        <f>IF(D1393="","",IFERROR(INDEX(Exercises!$C$6:$C$105,MATCH(D1393,Exercises!$B$6:$B$105,0)),"Other"))</f>
        <v/>
      </c>
      <c r="V1393">
        <f>IF(B1393="","",IF(COUNTIF($B$6:B1393,B1393)=1,1,0))</f>
        <v/>
      </c>
      <c r="W1393">
        <f>IF(B1393="","",B1393-WEEKDAY(B1393,3))</f>
        <v/>
      </c>
      <c r="X1393">
        <f>IF(D1393="","",MAX(IF(N(F1393)=0,0,IF(N(E1393)&gt;0,E1393*(1+F1393/30),F1393)),IF(N(H1393)=0,0,IF(N(G1393)&gt;0,G1393*(1+H1393/30),H1393)),IF(N(J1393)=0,0,IF(N(I1393)&gt;0,I1393*(1+J1393/30),J1393)),IF(N(L1393)=0,0,IF(N(K1393)&gt;0,K1393*(1+L1393/30),L1393)),IF(N(N1393)=0,0,IF(N(M1393)&gt;0,M1393*(1+N1393/30),N1393))))</f>
        <v/>
      </c>
      <c r="Y1393">
        <f>IF(N(X1393)=0,"",X1393+ROW()/1000000000)</f>
        <v/>
      </c>
      <c r="Z1393">
        <f>IF(Y1393="","",IF(COUNTIFS(Log!$D$6:$D$1505,D1393,Log!$Y$6:$Y$1505,"&gt;"&amp;Y1393)=0,1,0))</f>
        <v/>
      </c>
      <c r="AA1393">
        <f>IF(OR(B1393="",D1393=""),"",B1393+ROW()/10000000)</f>
        <v/>
      </c>
      <c r="AB1393">
        <f>IF(AA1393="","",IF(COUNTIFS(Log!$D$6:$D$1505,D1393,Log!$AA$6:$AA$1505,"&gt;"&amp;AA1393)=0,1,0))</f>
        <v/>
      </c>
      <c r="AC1393">
        <f>IF(S1393="New best",AA1393,"")</f>
        <v/>
      </c>
      <c r="AD1393">
        <f>ROW()</f>
        <v/>
      </c>
    </row>
    <row r="1394">
      <c r="A1394" s="1" t="n"/>
      <c r="B1394" s="21" t="n"/>
      <c r="C1394" s="22" t="n"/>
      <c r="D1394" s="23" t="n"/>
      <c r="E1394" s="24" t="n"/>
      <c r="F1394" s="24" t="n"/>
      <c r="G1394" s="24" t="n"/>
      <c r="H1394" s="24" t="n"/>
      <c r="I1394" s="24" t="n"/>
      <c r="J1394" s="24" t="n"/>
      <c r="K1394" s="24" t="n"/>
      <c r="L1394" s="24" t="n"/>
      <c r="M1394" s="24" t="n"/>
      <c r="N1394" s="24" t="n"/>
      <c r="O1394" s="15">
        <f>IF(D1394="","",COUNT(F1394,H1394,J1394,L1394,N1394))</f>
        <v/>
      </c>
      <c r="P1394" s="25">
        <f>IF(D1394="","",N(E1394)*N(F1394)+N(G1394)*N(H1394)+N(I1394)*N(J1394)+N(K1394)*N(L1394)+N(M1394)*N(N1394))</f>
        <v/>
      </c>
      <c r="Q1394" s="18">
        <f>IF(N(X1394)=0,"",IF(IF(N(F1394)=0,0,IF(N(E1394)&gt;0,E1394*(1+F1394/30),F1394))=X1394,IF(N(E1394)&gt;0,E1394&amp;" x "&amp;F1394,F1394&amp;" reps"),IF(IF(N(H1394)=0,0,IF(N(G1394)&gt;0,G1394*(1+H1394/30),H1394))=X1394,IF(N(G1394)&gt;0,G1394&amp;" x "&amp;H1394,H1394&amp;" reps"),IF(IF(N(J1394)=0,0,IF(N(I1394)&gt;0,I1394*(1+J1394/30),J1394))=X1394,IF(N(I1394)&gt;0,I1394&amp;" x "&amp;J1394,J1394&amp;" reps"),IF(IF(N(L1394)=0,0,IF(N(K1394)&gt;0,K1394*(1+L1394/30),L1394))=X1394,IF(N(K1394)&gt;0,K1394&amp;" x "&amp;L1394,L1394&amp;" reps"),IF(IF(N(N1394)=0,0,IF(N(M1394)&gt;0,M1394*(1+N1394/30),N1394))=X1394,IF(N(M1394)&gt;0,M1394&amp;" x "&amp;N1394,N1394&amp;" reps"),""))))))</f>
        <v/>
      </c>
      <c r="R1394" s="20">
        <f>IF(N(X1394)=0,"",ROUND(X1394,1))</f>
        <v/>
      </c>
      <c r="S1394" s="18">
        <f>IF(N(X1394)=0,"",IF(AND(COUNTIFS(Log!$D$6:$D$1505,D1394,Log!$B$6:$B$1505,"&lt;"&amp;B1394)&gt;0,COUNTIFS(Log!$D$6:$D$1505,D1394,Log!$B$6:$B$1505,"&lt;"&amp;B1394,Log!$X$6:$X$1505,"&gt;="&amp;X1394)=0),"New best",""))</f>
        <v/>
      </c>
      <c r="T1394" s="26" t="n"/>
      <c r="U1394" s="1">
        <f>IF(D1394="","",IFERROR(INDEX(Exercises!$C$6:$C$105,MATCH(D1394,Exercises!$B$6:$B$105,0)),"Other"))</f>
        <v/>
      </c>
      <c r="V1394">
        <f>IF(B1394="","",IF(COUNTIF($B$6:B1394,B1394)=1,1,0))</f>
        <v/>
      </c>
      <c r="W1394">
        <f>IF(B1394="","",B1394-WEEKDAY(B1394,3))</f>
        <v/>
      </c>
      <c r="X1394">
        <f>IF(D1394="","",MAX(IF(N(F1394)=0,0,IF(N(E1394)&gt;0,E1394*(1+F1394/30),F1394)),IF(N(H1394)=0,0,IF(N(G1394)&gt;0,G1394*(1+H1394/30),H1394)),IF(N(J1394)=0,0,IF(N(I1394)&gt;0,I1394*(1+J1394/30),J1394)),IF(N(L1394)=0,0,IF(N(K1394)&gt;0,K1394*(1+L1394/30),L1394)),IF(N(N1394)=0,0,IF(N(M1394)&gt;0,M1394*(1+N1394/30),N1394))))</f>
        <v/>
      </c>
      <c r="Y1394">
        <f>IF(N(X1394)=0,"",X1394+ROW()/1000000000)</f>
        <v/>
      </c>
      <c r="Z1394">
        <f>IF(Y1394="","",IF(COUNTIFS(Log!$D$6:$D$1505,D1394,Log!$Y$6:$Y$1505,"&gt;"&amp;Y1394)=0,1,0))</f>
        <v/>
      </c>
      <c r="AA1394">
        <f>IF(OR(B1394="",D1394=""),"",B1394+ROW()/10000000)</f>
        <v/>
      </c>
      <c r="AB1394">
        <f>IF(AA1394="","",IF(COUNTIFS(Log!$D$6:$D$1505,D1394,Log!$AA$6:$AA$1505,"&gt;"&amp;AA1394)=0,1,0))</f>
        <v/>
      </c>
      <c r="AC1394">
        <f>IF(S1394="New best",AA1394,"")</f>
        <v/>
      </c>
      <c r="AD1394">
        <f>ROW()</f>
        <v/>
      </c>
    </row>
    <row r="1395">
      <c r="A1395" s="1" t="n"/>
      <c r="B1395" s="21" t="n"/>
      <c r="C1395" s="22" t="n"/>
      <c r="D1395" s="23" t="n"/>
      <c r="E1395" s="24" t="n"/>
      <c r="F1395" s="24" t="n"/>
      <c r="G1395" s="24" t="n"/>
      <c r="H1395" s="24" t="n"/>
      <c r="I1395" s="24" t="n"/>
      <c r="J1395" s="24" t="n"/>
      <c r="K1395" s="24" t="n"/>
      <c r="L1395" s="24" t="n"/>
      <c r="M1395" s="24" t="n"/>
      <c r="N1395" s="24" t="n"/>
      <c r="O1395" s="15">
        <f>IF(D1395="","",COUNT(F1395,H1395,J1395,L1395,N1395))</f>
        <v/>
      </c>
      <c r="P1395" s="25">
        <f>IF(D1395="","",N(E1395)*N(F1395)+N(G1395)*N(H1395)+N(I1395)*N(J1395)+N(K1395)*N(L1395)+N(M1395)*N(N1395))</f>
        <v/>
      </c>
      <c r="Q1395" s="18">
        <f>IF(N(X1395)=0,"",IF(IF(N(F1395)=0,0,IF(N(E1395)&gt;0,E1395*(1+F1395/30),F1395))=X1395,IF(N(E1395)&gt;0,E1395&amp;" x "&amp;F1395,F1395&amp;" reps"),IF(IF(N(H1395)=0,0,IF(N(G1395)&gt;0,G1395*(1+H1395/30),H1395))=X1395,IF(N(G1395)&gt;0,G1395&amp;" x "&amp;H1395,H1395&amp;" reps"),IF(IF(N(J1395)=0,0,IF(N(I1395)&gt;0,I1395*(1+J1395/30),J1395))=X1395,IF(N(I1395)&gt;0,I1395&amp;" x "&amp;J1395,J1395&amp;" reps"),IF(IF(N(L1395)=0,0,IF(N(K1395)&gt;0,K1395*(1+L1395/30),L1395))=X1395,IF(N(K1395)&gt;0,K1395&amp;" x "&amp;L1395,L1395&amp;" reps"),IF(IF(N(N1395)=0,0,IF(N(M1395)&gt;0,M1395*(1+N1395/30),N1395))=X1395,IF(N(M1395)&gt;0,M1395&amp;" x "&amp;N1395,N1395&amp;" reps"),""))))))</f>
        <v/>
      </c>
      <c r="R1395" s="20">
        <f>IF(N(X1395)=0,"",ROUND(X1395,1))</f>
        <v/>
      </c>
      <c r="S1395" s="18">
        <f>IF(N(X1395)=0,"",IF(AND(COUNTIFS(Log!$D$6:$D$1505,D1395,Log!$B$6:$B$1505,"&lt;"&amp;B1395)&gt;0,COUNTIFS(Log!$D$6:$D$1505,D1395,Log!$B$6:$B$1505,"&lt;"&amp;B1395,Log!$X$6:$X$1505,"&gt;="&amp;X1395)=0),"New best",""))</f>
        <v/>
      </c>
      <c r="T1395" s="26" t="n"/>
      <c r="U1395" s="1">
        <f>IF(D1395="","",IFERROR(INDEX(Exercises!$C$6:$C$105,MATCH(D1395,Exercises!$B$6:$B$105,0)),"Other"))</f>
        <v/>
      </c>
      <c r="V1395">
        <f>IF(B1395="","",IF(COUNTIF($B$6:B1395,B1395)=1,1,0))</f>
        <v/>
      </c>
      <c r="W1395">
        <f>IF(B1395="","",B1395-WEEKDAY(B1395,3))</f>
        <v/>
      </c>
      <c r="X1395">
        <f>IF(D1395="","",MAX(IF(N(F1395)=0,0,IF(N(E1395)&gt;0,E1395*(1+F1395/30),F1395)),IF(N(H1395)=0,0,IF(N(G1395)&gt;0,G1395*(1+H1395/30),H1395)),IF(N(J1395)=0,0,IF(N(I1395)&gt;0,I1395*(1+J1395/30),J1395)),IF(N(L1395)=0,0,IF(N(K1395)&gt;0,K1395*(1+L1395/30),L1395)),IF(N(N1395)=0,0,IF(N(M1395)&gt;0,M1395*(1+N1395/30),N1395))))</f>
        <v/>
      </c>
      <c r="Y1395">
        <f>IF(N(X1395)=0,"",X1395+ROW()/1000000000)</f>
        <v/>
      </c>
      <c r="Z1395">
        <f>IF(Y1395="","",IF(COUNTIFS(Log!$D$6:$D$1505,D1395,Log!$Y$6:$Y$1505,"&gt;"&amp;Y1395)=0,1,0))</f>
        <v/>
      </c>
      <c r="AA1395">
        <f>IF(OR(B1395="",D1395=""),"",B1395+ROW()/10000000)</f>
        <v/>
      </c>
      <c r="AB1395">
        <f>IF(AA1395="","",IF(COUNTIFS(Log!$D$6:$D$1505,D1395,Log!$AA$6:$AA$1505,"&gt;"&amp;AA1395)=0,1,0))</f>
        <v/>
      </c>
      <c r="AC1395">
        <f>IF(S1395="New best",AA1395,"")</f>
        <v/>
      </c>
      <c r="AD1395">
        <f>ROW()</f>
        <v/>
      </c>
    </row>
    <row r="1396">
      <c r="A1396" s="1" t="n"/>
      <c r="B1396" s="21" t="n"/>
      <c r="C1396" s="22" t="n"/>
      <c r="D1396" s="23" t="n"/>
      <c r="E1396" s="24" t="n"/>
      <c r="F1396" s="24" t="n"/>
      <c r="G1396" s="24" t="n"/>
      <c r="H1396" s="24" t="n"/>
      <c r="I1396" s="24" t="n"/>
      <c r="J1396" s="24" t="n"/>
      <c r="K1396" s="24" t="n"/>
      <c r="L1396" s="24" t="n"/>
      <c r="M1396" s="24" t="n"/>
      <c r="N1396" s="24" t="n"/>
      <c r="O1396" s="15">
        <f>IF(D1396="","",COUNT(F1396,H1396,J1396,L1396,N1396))</f>
        <v/>
      </c>
      <c r="P1396" s="25">
        <f>IF(D1396="","",N(E1396)*N(F1396)+N(G1396)*N(H1396)+N(I1396)*N(J1396)+N(K1396)*N(L1396)+N(M1396)*N(N1396))</f>
        <v/>
      </c>
      <c r="Q1396" s="18">
        <f>IF(N(X1396)=0,"",IF(IF(N(F1396)=0,0,IF(N(E1396)&gt;0,E1396*(1+F1396/30),F1396))=X1396,IF(N(E1396)&gt;0,E1396&amp;" x "&amp;F1396,F1396&amp;" reps"),IF(IF(N(H1396)=0,0,IF(N(G1396)&gt;0,G1396*(1+H1396/30),H1396))=X1396,IF(N(G1396)&gt;0,G1396&amp;" x "&amp;H1396,H1396&amp;" reps"),IF(IF(N(J1396)=0,0,IF(N(I1396)&gt;0,I1396*(1+J1396/30),J1396))=X1396,IF(N(I1396)&gt;0,I1396&amp;" x "&amp;J1396,J1396&amp;" reps"),IF(IF(N(L1396)=0,0,IF(N(K1396)&gt;0,K1396*(1+L1396/30),L1396))=X1396,IF(N(K1396)&gt;0,K1396&amp;" x "&amp;L1396,L1396&amp;" reps"),IF(IF(N(N1396)=0,0,IF(N(M1396)&gt;0,M1396*(1+N1396/30),N1396))=X1396,IF(N(M1396)&gt;0,M1396&amp;" x "&amp;N1396,N1396&amp;" reps"),""))))))</f>
        <v/>
      </c>
      <c r="R1396" s="20">
        <f>IF(N(X1396)=0,"",ROUND(X1396,1))</f>
        <v/>
      </c>
      <c r="S1396" s="18">
        <f>IF(N(X1396)=0,"",IF(AND(COUNTIFS(Log!$D$6:$D$1505,D1396,Log!$B$6:$B$1505,"&lt;"&amp;B1396)&gt;0,COUNTIFS(Log!$D$6:$D$1505,D1396,Log!$B$6:$B$1505,"&lt;"&amp;B1396,Log!$X$6:$X$1505,"&gt;="&amp;X1396)=0),"New best",""))</f>
        <v/>
      </c>
      <c r="T1396" s="26" t="n"/>
      <c r="U1396" s="1">
        <f>IF(D1396="","",IFERROR(INDEX(Exercises!$C$6:$C$105,MATCH(D1396,Exercises!$B$6:$B$105,0)),"Other"))</f>
        <v/>
      </c>
      <c r="V1396">
        <f>IF(B1396="","",IF(COUNTIF($B$6:B1396,B1396)=1,1,0))</f>
        <v/>
      </c>
      <c r="W1396">
        <f>IF(B1396="","",B1396-WEEKDAY(B1396,3))</f>
        <v/>
      </c>
      <c r="X1396">
        <f>IF(D1396="","",MAX(IF(N(F1396)=0,0,IF(N(E1396)&gt;0,E1396*(1+F1396/30),F1396)),IF(N(H1396)=0,0,IF(N(G1396)&gt;0,G1396*(1+H1396/30),H1396)),IF(N(J1396)=0,0,IF(N(I1396)&gt;0,I1396*(1+J1396/30),J1396)),IF(N(L1396)=0,0,IF(N(K1396)&gt;0,K1396*(1+L1396/30),L1396)),IF(N(N1396)=0,0,IF(N(M1396)&gt;0,M1396*(1+N1396/30),N1396))))</f>
        <v/>
      </c>
      <c r="Y1396">
        <f>IF(N(X1396)=0,"",X1396+ROW()/1000000000)</f>
        <v/>
      </c>
      <c r="Z1396">
        <f>IF(Y1396="","",IF(COUNTIFS(Log!$D$6:$D$1505,D1396,Log!$Y$6:$Y$1505,"&gt;"&amp;Y1396)=0,1,0))</f>
        <v/>
      </c>
      <c r="AA1396">
        <f>IF(OR(B1396="",D1396=""),"",B1396+ROW()/10000000)</f>
        <v/>
      </c>
      <c r="AB1396">
        <f>IF(AA1396="","",IF(COUNTIFS(Log!$D$6:$D$1505,D1396,Log!$AA$6:$AA$1505,"&gt;"&amp;AA1396)=0,1,0))</f>
        <v/>
      </c>
      <c r="AC1396">
        <f>IF(S1396="New best",AA1396,"")</f>
        <v/>
      </c>
      <c r="AD1396">
        <f>ROW()</f>
        <v/>
      </c>
    </row>
    <row r="1397">
      <c r="A1397" s="1" t="n"/>
      <c r="B1397" s="21" t="n"/>
      <c r="C1397" s="22" t="n"/>
      <c r="D1397" s="23" t="n"/>
      <c r="E1397" s="24" t="n"/>
      <c r="F1397" s="24" t="n"/>
      <c r="G1397" s="24" t="n"/>
      <c r="H1397" s="24" t="n"/>
      <c r="I1397" s="24" t="n"/>
      <c r="J1397" s="24" t="n"/>
      <c r="K1397" s="24" t="n"/>
      <c r="L1397" s="24" t="n"/>
      <c r="M1397" s="24" t="n"/>
      <c r="N1397" s="24" t="n"/>
      <c r="O1397" s="15">
        <f>IF(D1397="","",COUNT(F1397,H1397,J1397,L1397,N1397))</f>
        <v/>
      </c>
      <c r="P1397" s="25">
        <f>IF(D1397="","",N(E1397)*N(F1397)+N(G1397)*N(H1397)+N(I1397)*N(J1397)+N(K1397)*N(L1397)+N(M1397)*N(N1397))</f>
        <v/>
      </c>
      <c r="Q1397" s="18">
        <f>IF(N(X1397)=0,"",IF(IF(N(F1397)=0,0,IF(N(E1397)&gt;0,E1397*(1+F1397/30),F1397))=X1397,IF(N(E1397)&gt;0,E1397&amp;" x "&amp;F1397,F1397&amp;" reps"),IF(IF(N(H1397)=0,0,IF(N(G1397)&gt;0,G1397*(1+H1397/30),H1397))=X1397,IF(N(G1397)&gt;0,G1397&amp;" x "&amp;H1397,H1397&amp;" reps"),IF(IF(N(J1397)=0,0,IF(N(I1397)&gt;0,I1397*(1+J1397/30),J1397))=X1397,IF(N(I1397)&gt;0,I1397&amp;" x "&amp;J1397,J1397&amp;" reps"),IF(IF(N(L1397)=0,0,IF(N(K1397)&gt;0,K1397*(1+L1397/30),L1397))=X1397,IF(N(K1397)&gt;0,K1397&amp;" x "&amp;L1397,L1397&amp;" reps"),IF(IF(N(N1397)=0,0,IF(N(M1397)&gt;0,M1397*(1+N1397/30),N1397))=X1397,IF(N(M1397)&gt;0,M1397&amp;" x "&amp;N1397,N1397&amp;" reps"),""))))))</f>
        <v/>
      </c>
      <c r="R1397" s="20">
        <f>IF(N(X1397)=0,"",ROUND(X1397,1))</f>
        <v/>
      </c>
      <c r="S1397" s="18">
        <f>IF(N(X1397)=0,"",IF(AND(COUNTIFS(Log!$D$6:$D$1505,D1397,Log!$B$6:$B$1505,"&lt;"&amp;B1397)&gt;0,COUNTIFS(Log!$D$6:$D$1505,D1397,Log!$B$6:$B$1505,"&lt;"&amp;B1397,Log!$X$6:$X$1505,"&gt;="&amp;X1397)=0),"New best",""))</f>
        <v/>
      </c>
      <c r="T1397" s="26" t="n"/>
      <c r="U1397" s="1">
        <f>IF(D1397="","",IFERROR(INDEX(Exercises!$C$6:$C$105,MATCH(D1397,Exercises!$B$6:$B$105,0)),"Other"))</f>
        <v/>
      </c>
      <c r="V1397">
        <f>IF(B1397="","",IF(COUNTIF($B$6:B1397,B1397)=1,1,0))</f>
        <v/>
      </c>
      <c r="W1397">
        <f>IF(B1397="","",B1397-WEEKDAY(B1397,3))</f>
        <v/>
      </c>
      <c r="X1397">
        <f>IF(D1397="","",MAX(IF(N(F1397)=0,0,IF(N(E1397)&gt;0,E1397*(1+F1397/30),F1397)),IF(N(H1397)=0,0,IF(N(G1397)&gt;0,G1397*(1+H1397/30),H1397)),IF(N(J1397)=0,0,IF(N(I1397)&gt;0,I1397*(1+J1397/30),J1397)),IF(N(L1397)=0,0,IF(N(K1397)&gt;0,K1397*(1+L1397/30),L1397)),IF(N(N1397)=0,0,IF(N(M1397)&gt;0,M1397*(1+N1397/30),N1397))))</f>
        <v/>
      </c>
      <c r="Y1397">
        <f>IF(N(X1397)=0,"",X1397+ROW()/1000000000)</f>
        <v/>
      </c>
      <c r="Z1397">
        <f>IF(Y1397="","",IF(COUNTIFS(Log!$D$6:$D$1505,D1397,Log!$Y$6:$Y$1505,"&gt;"&amp;Y1397)=0,1,0))</f>
        <v/>
      </c>
      <c r="AA1397">
        <f>IF(OR(B1397="",D1397=""),"",B1397+ROW()/10000000)</f>
        <v/>
      </c>
      <c r="AB1397">
        <f>IF(AA1397="","",IF(COUNTIFS(Log!$D$6:$D$1505,D1397,Log!$AA$6:$AA$1505,"&gt;"&amp;AA1397)=0,1,0))</f>
        <v/>
      </c>
      <c r="AC1397">
        <f>IF(S1397="New best",AA1397,"")</f>
        <v/>
      </c>
      <c r="AD1397">
        <f>ROW()</f>
        <v/>
      </c>
    </row>
    <row r="1398">
      <c r="A1398" s="1" t="n"/>
      <c r="B1398" s="21" t="n"/>
      <c r="C1398" s="22" t="n"/>
      <c r="D1398" s="23" t="n"/>
      <c r="E1398" s="24" t="n"/>
      <c r="F1398" s="24" t="n"/>
      <c r="G1398" s="24" t="n"/>
      <c r="H1398" s="24" t="n"/>
      <c r="I1398" s="24" t="n"/>
      <c r="J1398" s="24" t="n"/>
      <c r="K1398" s="24" t="n"/>
      <c r="L1398" s="24" t="n"/>
      <c r="M1398" s="24" t="n"/>
      <c r="N1398" s="24" t="n"/>
      <c r="O1398" s="15">
        <f>IF(D1398="","",COUNT(F1398,H1398,J1398,L1398,N1398))</f>
        <v/>
      </c>
      <c r="P1398" s="25">
        <f>IF(D1398="","",N(E1398)*N(F1398)+N(G1398)*N(H1398)+N(I1398)*N(J1398)+N(K1398)*N(L1398)+N(M1398)*N(N1398))</f>
        <v/>
      </c>
      <c r="Q1398" s="18">
        <f>IF(N(X1398)=0,"",IF(IF(N(F1398)=0,0,IF(N(E1398)&gt;0,E1398*(1+F1398/30),F1398))=X1398,IF(N(E1398)&gt;0,E1398&amp;" x "&amp;F1398,F1398&amp;" reps"),IF(IF(N(H1398)=0,0,IF(N(G1398)&gt;0,G1398*(1+H1398/30),H1398))=X1398,IF(N(G1398)&gt;0,G1398&amp;" x "&amp;H1398,H1398&amp;" reps"),IF(IF(N(J1398)=0,0,IF(N(I1398)&gt;0,I1398*(1+J1398/30),J1398))=X1398,IF(N(I1398)&gt;0,I1398&amp;" x "&amp;J1398,J1398&amp;" reps"),IF(IF(N(L1398)=0,0,IF(N(K1398)&gt;0,K1398*(1+L1398/30),L1398))=X1398,IF(N(K1398)&gt;0,K1398&amp;" x "&amp;L1398,L1398&amp;" reps"),IF(IF(N(N1398)=0,0,IF(N(M1398)&gt;0,M1398*(1+N1398/30),N1398))=X1398,IF(N(M1398)&gt;0,M1398&amp;" x "&amp;N1398,N1398&amp;" reps"),""))))))</f>
        <v/>
      </c>
      <c r="R1398" s="20">
        <f>IF(N(X1398)=0,"",ROUND(X1398,1))</f>
        <v/>
      </c>
      <c r="S1398" s="18">
        <f>IF(N(X1398)=0,"",IF(AND(COUNTIFS(Log!$D$6:$D$1505,D1398,Log!$B$6:$B$1505,"&lt;"&amp;B1398)&gt;0,COUNTIFS(Log!$D$6:$D$1505,D1398,Log!$B$6:$B$1505,"&lt;"&amp;B1398,Log!$X$6:$X$1505,"&gt;="&amp;X1398)=0),"New best",""))</f>
        <v/>
      </c>
      <c r="T1398" s="26" t="n"/>
      <c r="U1398" s="1">
        <f>IF(D1398="","",IFERROR(INDEX(Exercises!$C$6:$C$105,MATCH(D1398,Exercises!$B$6:$B$105,0)),"Other"))</f>
        <v/>
      </c>
      <c r="V1398">
        <f>IF(B1398="","",IF(COUNTIF($B$6:B1398,B1398)=1,1,0))</f>
        <v/>
      </c>
      <c r="W1398">
        <f>IF(B1398="","",B1398-WEEKDAY(B1398,3))</f>
        <v/>
      </c>
      <c r="X1398">
        <f>IF(D1398="","",MAX(IF(N(F1398)=0,0,IF(N(E1398)&gt;0,E1398*(1+F1398/30),F1398)),IF(N(H1398)=0,0,IF(N(G1398)&gt;0,G1398*(1+H1398/30),H1398)),IF(N(J1398)=0,0,IF(N(I1398)&gt;0,I1398*(1+J1398/30),J1398)),IF(N(L1398)=0,0,IF(N(K1398)&gt;0,K1398*(1+L1398/30),L1398)),IF(N(N1398)=0,0,IF(N(M1398)&gt;0,M1398*(1+N1398/30),N1398))))</f>
        <v/>
      </c>
      <c r="Y1398">
        <f>IF(N(X1398)=0,"",X1398+ROW()/1000000000)</f>
        <v/>
      </c>
      <c r="Z1398">
        <f>IF(Y1398="","",IF(COUNTIFS(Log!$D$6:$D$1505,D1398,Log!$Y$6:$Y$1505,"&gt;"&amp;Y1398)=0,1,0))</f>
        <v/>
      </c>
      <c r="AA1398">
        <f>IF(OR(B1398="",D1398=""),"",B1398+ROW()/10000000)</f>
        <v/>
      </c>
      <c r="AB1398">
        <f>IF(AA1398="","",IF(COUNTIFS(Log!$D$6:$D$1505,D1398,Log!$AA$6:$AA$1505,"&gt;"&amp;AA1398)=0,1,0))</f>
        <v/>
      </c>
      <c r="AC1398">
        <f>IF(S1398="New best",AA1398,"")</f>
        <v/>
      </c>
      <c r="AD1398">
        <f>ROW()</f>
        <v/>
      </c>
    </row>
    <row r="1399">
      <c r="A1399" s="1" t="n"/>
      <c r="B1399" s="21" t="n"/>
      <c r="C1399" s="22" t="n"/>
      <c r="D1399" s="23" t="n"/>
      <c r="E1399" s="24" t="n"/>
      <c r="F1399" s="24" t="n"/>
      <c r="G1399" s="24" t="n"/>
      <c r="H1399" s="24" t="n"/>
      <c r="I1399" s="24" t="n"/>
      <c r="J1399" s="24" t="n"/>
      <c r="K1399" s="24" t="n"/>
      <c r="L1399" s="24" t="n"/>
      <c r="M1399" s="24" t="n"/>
      <c r="N1399" s="24" t="n"/>
      <c r="O1399" s="15">
        <f>IF(D1399="","",COUNT(F1399,H1399,J1399,L1399,N1399))</f>
        <v/>
      </c>
      <c r="P1399" s="25">
        <f>IF(D1399="","",N(E1399)*N(F1399)+N(G1399)*N(H1399)+N(I1399)*N(J1399)+N(K1399)*N(L1399)+N(M1399)*N(N1399))</f>
        <v/>
      </c>
      <c r="Q1399" s="18">
        <f>IF(N(X1399)=0,"",IF(IF(N(F1399)=0,0,IF(N(E1399)&gt;0,E1399*(1+F1399/30),F1399))=X1399,IF(N(E1399)&gt;0,E1399&amp;" x "&amp;F1399,F1399&amp;" reps"),IF(IF(N(H1399)=0,0,IF(N(G1399)&gt;0,G1399*(1+H1399/30),H1399))=X1399,IF(N(G1399)&gt;0,G1399&amp;" x "&amp;H1399,H1399&amp;" reps"),IF(IF(N(J1399)=0,0,IF(N(I1399)&gt;0,I1399*(1+J1399/30),J1399))=X1399,IF(N(I1399)&gt;0,I1399&amp;" x "&amp;J1399,J1399&amp;" reps"),IF(IF(N(L1399)=0,0,IF(N(K1399)&gt;0,K1399*(1+L1399/30),L1399))=X1399,IF(N(K1399)&gt;0,K1399&amp;" x "&amp;L1399,L1399&amp;" reps"),IF(IF(N(N1399)=0,0,IF(N(M1399)&gt;0,M1399*(1+N1399/30),N1399))=X1399,IF(N(M1399)&gt;0,M1399&amp;" x "&amp;N1399,N1399&amp;" reps"),""))))))</f>
        <v/>
      </c>
      <c r="R1399" s="20">
        <f>IF(N(X1399)=0,"",ROUND(X1399,1))</f>
        <v/>
      </c>
      <c r="S1399" s="18">
        <f>IF(N(X1399)=0,"",IF(AND(COUNTIFS(Log!$D$6:$D$1505,D1399,Log!$B$6:$B$1505,"&lt;"&amp;B1399)&gt;0,COUNTIFS(Log!$D$6:$D$1505,D1399,Log!$B$6:$B$1505,"&lt;"&amp;B1399,Log!$X$6:$X$1505,"&gt;="&amp;X1399)=0),"New best",""))</f>
        <v/>
      </c>
      <c r="T1399" s="26" t="n"/>
      <c r="U1399" s="1">
        <f>IF(D1399="","",IFERROR(INDEX(Exercises!$C$6:$C$105,MATCH(D1399,Exercises!$B$6:$B$105,0)),"Other"))</f>
        <v/>
      </c>
      <c r="V1399">
        <f>IF(B1399="","",IF(COUNTIF($B$6:B1399,B1399)=1,1,0))</f>
        <v/>
      </c>
      <c r="W1399">
        <f>IF(B1399="","",B1399-WEEKDAY(B1399,3))</f>
        <v/>
      </c>
      <c r="X1399">
        <f>IF(D1399="","",MAX(IF(N(F1399)=0,0,IF(N(E1399)&gt;0,E1399*(1+F1399/30),F1399)),IF(N(H1399)=0,0,IF(N(G1399)&gt;0,G1399*(1+H1399/30),H1399)),IF(N(J1399)=0,0,IF(N(I1399)&gt;0,I1399*(1+J1399/30),J1399)),IF(N(L1399)=0,0,IF(N(K1399)&gt;0,K1399*(1+L1399/30),L1399)),IF(N(N1399)=0,0,IF(N(M1399)&gt;0,M1399*(1+N1399/30),N1399))))</f>
        <v/>
      </c>
      <c r="Y1399">
        <f>IF(N(X1399)=0,"",X1399+ROW()/1000000000)</f>
        <v/>
      </c>
      <c r="Z1399">
        <f>IF(Y1399="","",IF(COUNTIFS(Log!$D$6:$D$1505,D1399,Log!$Y$6:$Y$1505,"&gt;"&amp;Y1399)=0,1,0))</f>
        <v/>
      </c>
      <c r="AA1399">
        <f>IF(OR(B1399="",D1399=""),"",B1399+ROW()/10000000)</f>
        <v/>
      </c>
      <c r="AB1399">
        <f>IF(AA1399="","",IF(COUNTIFS(Log!$D$6:$D$1505,D1399,Log!$AA$6:$AA$1505,"&gt;"&amp;AA1399)=0,1,0))</f>
        <v/>
      </c>
      <c r="AC1399">
        <f>IF(S1399="New best",AA1399,"")</f>
        <v/>
      </c>
      <c r="AD1399">
        <f>ROW()</f>
        <v/>
      </c>
    </row>
    <row r="1400">
      <c r="A1400" s="1" t="n"/>
      <c r="B1400" s="21" t="n"/>
      <c r="C1400" s="22" t="n"/>
      <c r="D1400" s="23" t="n"/>
      <c r="E1400" s="24" t="n"/>
      <c r="F1400" s="24" t="n"/>
      <c r="G1400" s="24" t="n"/>
      <c r="H1400" s="24" t="n"/>
      <c r="I1400" s="24" t="n"/>
      <c r="J1400" s="24" t="n"/>
      <c r="K1400" s="24" t="n"/>
      <c r="L1400" s="24" t="n"/>
      <c r="M1400" s="24" t="n"/>
      <c r="N1400" s="24" t="n"/>
      <c r="O1400" s="15">
        <f>IF(D1400="","",COUNT(F1400,H1400,J1400,L1400,N1400))</f>
        <v/>
      </c>
      <c r="P1400" s="25">
        <f>IF(D1400="","",N(E1400)*N(F1400)+N(G1400)*N(H1400)+N(I1400)*N(J1400)+N(K1400)*N(L1400)+N(M1400)*N(N1400))</f>
        <v/>
      </c>
      <c r="Q1400" s="18">
        <f>IF(N(X1400)=0,"",IF(IF(N(F1400)=0,0,IF(N(E1400)&gt;0,E1400*(1+F1400/30),F1400))=X1400,IF(N(E1400)&gt;0,E1400&amp;" x "&amp;F1400,F1400&amp;" reps"),IF(IF(N(H1400)=0,0,IF(N(G1400)&gt;0,G1400*(1+H1400/30),H1400))=X1400,IF(N(G1400)&gt;0,G1400&amp;" x "&amp;H1400,H1400&amp;" reps"),IF(IF(N(J1400)=0,0,IF(N(I1400)&gt;0,I1400*(1+J1400/30),J1400))=X1400,IF(N(I1400)&gt;0,I1400&amp;" x "&amp;J1400,J1400&amp;" reps"),IF(IF(N(L1400)=0,0,IF(N(K1400)&gt;0,K1400*(1+L1400/30),L1400))=X1400,IF(N(K1400)&gt;0,K1400&amp;" x "&amp;L1400,L1400&amp;" reps"),IF(IF(N(N1400)=0,0,IF(N(M1400)&gt;0,M1400*(1+N1400/30),N1400))=X1400,IF(N(M1400)&gt;0,M1400&amp;" x "&amp;N1400,N1400&amp;" reps"),""))))))</f>
        <v/>
      </c>
      <c r="R1400" s="20">
        <f>IF(N(X1400)=0,"",ROUND(X1400,1))</f>
        <v/>
      </c>
      <c r="S1400" s="18">
        <f>IF(N(X1400)=0,"",IF(AND(COUNTIFS(Log!$D$6:$D$1505,D1400,Log!$B$6:$B$1505,"&lt;"&amp;B1400)&gt;0,COUNTIFS(Log!$D$6:$D$1505,D1400,Log!$B$6:$B$1505,"&lt;"&amp;B1400,Log!$X$6:$X$1505,"&gt;="&amp;X1400)=0),"New best",""))</f>
        <v/>
      </c>
      <c r="T1400" s="26" t="n"/>
      <c r="U1400" s="1">
        <f>IF(D1400="","",IFERROR(INDEX(Exercises!$C$6:$C$105,MATCH(D1400,Exercises!$B$6:$B$105,0)),"Other"))</f>
        <v/>
      </c>
      <c r="V1400">
        <f>IF(B1400="","",IF(COUNTIF($B$6:B1400,B1400)=1,1,0))</f>
        <v/>
      </c>
      <c r="W1400">
        <f>IF(B1400="","",B1400-WEEKDAY(B1400,3))</f>
        <v/>
      </c>
      <c r="X1400">
        <f>IF(D1400="","",MAX(IF(N(F1400)=0,0,IF(N(E1400)&gt;0,E1400*(1+F1400/30),F1400)),IF(N(H1400)=0,0,IF(N(G1400)&gt;0,G1400*(1+H1400/30),H1400)),IF(N(J1400)=0,0,IF(N(I1400)&gt;0,I1400*(1+J1400/30),J1400)),IF(N(L1400)=0,0,IF(N(K1400)&gt;0,K1400*(1+L1400/30),L1400)),IF(N(N1400)=0,0,IF(N(M1400)&gt;0,M1400*(1+N1400/30),N1400))))</f>
        <v/>
      </c>
      <c r="Y1400">
        <f>IF(N(X1400)=0,"",X1400+ROW()/1000000000)</f>
        <v/>
      </c>
      <c r="Z1400">
        <f>IF(Y1400="","",IF(COUNTIFS(Log!$D$6:$D$1505,D1400,Log!$Y$6:$Y$1505,"&gt;"&amp;Y1400)=0,1,0))</f>
        <v/>
      </c>
      <c r="AA1400">
        <f>IF(OR(B1400="",D1400=""),"",B1400+ROW()/10000000)</f>
        <v/>
      </c>
      <c r="AB1400">
        <f>IF(AA1400="","",IF(COUNTIFS(Log!$D$6:$D$1505,D1400,Log!$AA$6:$AA$1505,"&gt;"&amp;AA1400)=0,1,0))</f>
        <v/>
      </c>
      <c r="AC1400">
        <f>IF(S1400="New best",AA1400,"")</f>
        <v/>
      </c>
      <c r="AD1400">
        <f>ROW()</f>
        <v/>
      </c>
    </row>
    <row r="1401">
      <c r="A1401" s="1" t="n"/>
      <c r="B1401" s="21" t="n"/>
      <c r="C1401" s="22" t="n"/>
      <c r="D1401" s="23" t="n"/>
      <c r="E1401" s="24" t="n"/>
      <c r="F1401" s="24" t="n"/>
      <c r="G1401" s="24" t="n"/>
      <c r="H1401" s="24" t="n"/>
      <c r="I1401" s="24" t="n"/>
      <c r="J1401" s="24" t="n"/>
      <c r="K1401" s="24" t="n"/>
      <c r="L1401" s="24" t="n"/>
      <c r="M1401" s="24" t="n"/>
      <c r="N1401" s="24" t="n"/>
      <c r="O1401" s="15">
        <f>IF(D1401="","",COUNT(F1401,H1401,J1401,L1401,N1401))</f>
        <v/>
      </c>
      <c r="P1401" s="25">
        <f>IF(D1401="","",N(E1401)*N(F1401)+N(G1401)*N(H1401)+N(I1401)*N(J1401)+N(K1401)*N(L1401)+N(M1401)*N(N1401))</f>
        <v/>
      </c>
      <c r="Q1401" s="18">
        <f>IF(N(X1401)=0,"",IF(IF(N(F1401)=0,0,IF(N(E1401)&gt;0,E1401*(1+F1401/30),F1401))=X1401,IF(N(E1401)&gt;0,E1401&amp;" x "&amp;F1401,F1401&amp;" reps"),IF(IF(N(H1401)=0,0,IF(N(G1401)&gt;0,G1401*(1+H1401/30),H1401))=X1401,IF(N(G1401)&gt;0,G1401&amp;" x "&amp;H1401,H1401&amp;" reps"),IF(IF(N(J1401)=0,0,IF(N(I1401)&gt;0,I1401*(1+J1401/30),J1401))=X1401,IF(N(I1401)&gt;0,I1401&amp;" x "&amp;J1401,J1401&amp;" reps"),IF(IF(N(L1401)=0,0,IF(N(K1401)&gt;0,K1401*(1+L1401/30),L1401))=X1401,IF(N(K1401)&gt;0,K1401&amp;" x "&amp;L1401,L1401&amp;" reps"),IF(IF(N(N1401)=0,0,IF(N(M1401)&gt;0,M1401*(1+N1401/30),N1401))=X1401,IF(N(M1401)&gt;0,M1401&amp;" x "&amp;N1401,N1401&amp;" reps"),""))))))</f>
        <v/>
      </c>
      <c r="R1401" s="20">
        <f>IF(N(X1401)=0,"",ROUND(X1401,1))</f>
        <v/>
      </c>
      <c r="S1401" s="18">
        <f>IF(N(X1401)=0,"",IF(AND(COUNTIFS(Log!$D$6:$D$1505,D1401,Log!$B$6:$B$1505,"&lt;"&amp;B1401)&gt;0,COUNTIFS(Log!$D$6:$D$1505,D1401,Log!$B$6:$B$1505,"&lt;"&amp;B1401,Log!$X$6:$X$1505,"&gt;="&amp;X1401)=0),"New best",""))</f>
        <v/>
      </c>
      <c r="T1401" s="26" t="n"/>
      <c r="U1401" s="1">
        <f>IF(D1401="","",IFERROR(INDEX(Exercises!$C$6:$C$105,MATCH(D1401,Exercises!$B$6:$B$105,0)),"Other"))</f>
        <v/>
      </c>
      <c r="V1401">
        <f>IF(B1401="","",IF(COUNTIF($B$6:B1401,B1401)=1,1,0))</f>
        <v/>
      </c>
      <c r="W1401">
        <f>IF(B1401="","",B1401-WEEKDAY(B1401,3))</f>
        <v/>
      </c>
      <c r="X1401">
        <f>IF(D1401="","",MAX(IF(N(F1401)=0,0,IF(N(E1401)&gt;0,E1401*(1+F1401/30),F1401)),IF(N(H1401)=0,0,IF(N(G1401)&gt;0,G1401*(1+H1401/30),H1401)),IF(N(J1401)=0,0,IF(N(I1401)&gt;0,I1401*(1+J1401/30),J1401)),IF(N(L1401)=0,0,IF(N(K1401)&gt;0,K1401*(1+L1401/30),L1401)),IF(N(N1401)=0,0,IF(N(M1401)&gt;0,M1401*(1+N1401/30),N1401))))</f>
        <v/>
      </c>
      <c r="Y1401">
        <f>IF(N(X1401)=0,"",X1401+ROW()/1000000000)</f>
        <v/>
      </c>
      <c r="Z1401">
        <f>IF(Y1401="","",IF(COUNTIFS(Log!$D$6:$D$1505,D1401,Log!$Y$6:$Y$1505,"&gt;"&amp;Y1401)=0,1,0))</f>
        <v/>
      </c>
      <c r="AA1401">
        <f>IF(OR(B1401="",D1401=""),"",B1401+ROW()/10000000)</f>
        <v/>
      </c>
      <c r="AB1401">
        <f>IF(AA1401="","",IF(COUNTIFS(Log!$D$6:$D$1505,D1401,Log!$AA$6:$AA$1505,"&gt;"&amp;AA1401)=0,1,0))</f>
        <v/>
      </c>
      <c r="AC1401">
        <f>IF(S1401="New best",AA1401,"")</f>
        <v/>
      </c>
      <c r="AD1401">
        <f>ROW()</f>
        <v/>
      </c>
    </row>
    <row r="1402">
      <c r="A1402" s="1" t="n"/>
      <c r="B1402" s="21" t="n"/>
      <c r="C1402" s="22" t="n"/>
      <c r="D1402" s="23" t="n"/>
      <c r="E1402" s="24" t="n"/>
      <c r="F1402" s="24" t="n"/>
      <c r="G1402" s="24" t="n"/>
      <c r="H1402" s="24" t="n"/>
      <c r="I1402" s="24" t="n"/>
      <c r="J1402" s="24" t="n"/>
      <c r="K1402" s="24" t="n"/>
      <c r="L1402" s="24" t="n"/>
      <c r="M1402" s="24" t="n"/>
      <c r="N1402" s="24" t="n"/>
      <c r="O1402" s="15">
        <f>IF(D1402="","",COUNT(F1402,H1402,J1402,L1402,N1402))</f>
        <v/>
      </c>
      <c r="P1402" s="25">
        <f>IF(D1402="","",N(E1402)*N(F1402)+N(G1402)*N(H1402)+N(I1402)*N(J1402)+N(K1402)*N(L1402)+N(M1402)*N(N1402))</f>
        <v/>
      </c>
      <c r="Q1402" s="18">
        <f>IF(N(X1402)=0,"",IF(IF(N(F1402)=0,0,IF(N(E1402)&gt;0,E1402*(1+F1402/30),F1402))=X1402,IF(N(E1402)&gt;0,E1402&amp;" x "&amp;F1402,F1402&amp;" reps"),IF(IF(N(H1402)=0,0,IF(N(G1402)&gt;0,G1402*(1+H1402/30),H1402))=X1402,IF(N(G1402)&gt;0,G1402&amp;" x "&amp;H1402,H1402&amp;" reps"),IF(IF(N(J1402)=0,0,IF(N(I1402)&gt;0,I1402*(1+J1402/30),J1402))=X1402,IF(N(I1402)&gt;0,I1402&amp;" x "&amp;J1402,J1402&amp;" reps"),IF(IF(N(L1402)=0,0,IF(N(K1402)&gt;0,K1402*(1+L1402/30),L1402))=X1402,IF(N(K1402)&gt;0,K1402&amp;" x "&amp;L1402,L1402&amp;" reps"),IF(IF(N(N1402)=0,0,IF(N(M1402)&gt;0,M1402*(1+N1402/30),N1402))=X1402,IF(N(M1402)&gt;0,M1402&amp;" x "&amp;N1402,N1402&amp;" reps"),""))))))</f>
        <v/>
      </c>
      <c r="R1402" s="20">
        <f>IF(N(X1402)=0,"",ROUND(X1402,1))</f>
        <v/>
      </c>
      <c r="S1402" s="18">
        <f>IF(N(X1402)=0,"",IF(AND(COUNTIFS(Log!$D$6:$D$1505,D1402,Log!$B$6:$B$1505,"&lt;"&amp;B1402)&gt;0,COUNTIFS(Log!$D$6:$D$1505,D1402,Log!$B$6:$B$1505,"&lt;"&amp;B1402,Log!$X$6:$X$1505,"&gt;="&amp;X1402)=0),"New best",""))</f>
        <v/>
      </c>
      <c r="T1402" s="26" t="n"/>
      <c r="U1402" s="1">
        <f>IF(D1402="","",IFERROR(INDEX(Exercises!$C$6:$C$105,MATCH(D1402,Exercises!$B$6:$B$105,0)),"Other"))</f>
        <v/>
      </c>
      <c r="V1402">
        <f>IF(B1402="","",IF(COUNTIF($B$6:B1402,B1402)=1,1,0))</f>
        <v/>
      </c>
      <c r="W1402">
        <f>IF(B1402="","",B1402-WEEKDAY(B1402,3))</f>
        <v/>
      </c>
      <c r="X1402">
        <f>IF(D1402="","",MAX(IF(N(F1402)=0,0,IF(N(E1402)&gt;0,E1402*(1+F1402/30),F1402)),IF(N(H1402)=0,0,IF(N(G1402)&gt;0,G1402*(1+H1402/30),H1402)),IF(N(J1402)=0,0,IF(N(I1402)&gt;0,I1402*(1+J1402/30),J1402)),IF(N(L1402)=0,0,IF(N(K1402)&gt;0,K1402*(1+L1402/30),L1402)),IF(N(N1402)=0,0,IF(N(M1402)&gt;0,M1402*(1+N1402/30),N1402))))</f>
        <v/>
      </c>
      <c r="Y1402">
        <f>IF(N(X1402)=0,"",X1402+ROW()/1000000000)</f>
        <v/>
      </c>
      <c r="Z1402">
        <f>IF(Y1402="","",IF(COUNTIFS(Log!$D$6:$D$1505,D1402,Log!$Y$6:$Y$1505,"&gt;"&amp;Y1402)=0,1,0))</f>
        <v/>
      </c>
      <c r="AA1402">
        <f>IF(OR(B1402="",D1402=""),"",B1402+ROW()/10000000)</f>
        <v/>
      </c>
      <c r="AB1402">
        <f>IF(AA1402="","",IF(COUNTIFS(Log!$D$6:$D$1505,D1402,Log!$AA$6:$AA$1505,"&gt;"&amp;AA1402)=0,1,0))</f>
        <v/>
      </c>
      <c r="AC1402">
        <f>IF(S1402="New best",AA1402,"")</f>
        <v/>
      </c>
      <c r="AD1402">
        <f>ROW()</f>
        <v/>
      </c>
    </row>
    <row r="1403">
      <c r="A1403" s="1" t="n"/>
      <c r="B1403" s="21" t="n"/>
      <c r="C1403" s="22" t="n"/>
      <c r="D1403" s="23" t="n"/>
      <c r="E1403" s="24" t="n"/>
      <c r="F1403" s="24" t="n"/>
      <c r="G1403" s="24" t="n"/>
      <c r="H1403" s="24" t="n"/>
      <c r="I1403" s="24" t="n"/>
      <c r="J1403" s="24" t="n"/>
      <c r="K1403" s="24" t="n"/>
      <c r="L1403" s="24" t="n"/>
      <c r="M1403" s="24" t="n"/>
      <c r="N1403" s="24" t="n"/>
      <c r="O1403" s="15">
        <f>IF(D1403="","",COUNT(F1403,H1403,J1403,L1403,N1403))</f>
        <v/>
      </c>
      <c r="P1403" s="25">
        <f>IF(D1403="","",N(E1403)*N(F1403)+N(G1403)*N(H1403)+N(I1403)*N(J1403)+N(K1403)*N(L1403)+N(M1403)*N(N1403))</f>
        <v/>
      </c>
      <c r="Q1403" s="18">
        <f>IF(N(X1403)=0,"",IF(IF(N(F1403)=0,0,IF(N(E1403)&gt;0,E1403*(1+F1403/30),F1403))=X1403,IF(N(E1403)&gt;0,E1403&amp;" x "&amp;F1403,F1403&amp;" reps"),IF(IF(N(H1403)=0,0,IF(N(G1403)&gt;0,G1403*(1+H1403/30),H1403))=X1403,IF(N(G1403)&gt;0,G1403&amp;" x "&amp;H1403,H1403&amp;" reps"),IF(IF(N(J1403)=0,0,IF(N(I1403)&gt;0,I1403*(1+J1403/30),J1403))=X1403,IF(N(I1403)&gt;0,I1403&amp;" x "&amp;J1403,J1403&amp;" reps"),IF(IF(N(L1403)=0,0,IF(N(K1403)&gt;0,K1403*(1+L1403/30),L1403))=X1403,IF(N(K1403)&gt;0,K1403&amp;" x "&amp;L1403,L1403&amp;" reps"),IF(IF(N(N1403)=0,0,IF(N(M1403)&gt;0,M1403*(1+N1403/30),N1403))=X1403,IF(N(M1403)&gt;0,M1403&amp;" x "&amp;N1403,N1403&amp;" reps"),""))))))</f>
        <v/>
      </c>
      <c r="R1403" s="20">
        <f>IF(N(X1403)=0,"",ROUND(X1403,1))</f>
        <v/>
      </c>
      <c r="S1403" s="18">
        <f>IF(N(X1403)=0,"",IF(AND(COUNTIFS(Log!$D$6:$D$1505,D1403,Log!$B$6:$B$1505,"&lt;"&amp;B1403)&gt;0,COUNTIFS(Log!$D$6:$D$1505,D1403,Log!$B$6:$B$1505,"&lt;"&amp;B1403,Log!$X$6:$X$1505,"&gt;="&amp;X1403)=0),"New best",""))</f>
        <v/>
      </c>
      <c r="T1403" s="26" t="n"/>
      <c r="U1403" s="1">
        <f>IF(D1403="","",IFERROR(INDEX(Exercises!$C$6:$C$105,MATCH(D1403,Exercises!$B$6:$B$105,0)),"Other"))</f>
        <v/>
      </c>
      <c r="V1403">
        <f>IF(B1403="","",IF(COUNTIF($B$6:B1403,B1403)=1,1,0))</f>
        <v/>
      </c>
      <c r="W1403">
        <f>IF(B1403="","",B1403-WEEKDAY(B1403,3))</f>
        <v/>
      </c>
      <c r="X1403">
        <f>IF(D1403="","",MAX(IF(N(F1403)=0,0,IF(N(E1403)&gt;0,E1403*(1+F1403/30),F1403)),IF(N(H1403)=0,0,IF(N(G1403)&gt;0,G1403*(1+H1403/30),H1403)),IF(N(J1403)=0,0,IF(N(I1403)&gt;0,I1403*(1+J1403/30),J1403)),IF(N(L1403)=0,0,IF(N(K1403)&gt;0,K1403*(1+L1403/30),L1403)),IF(N(N1403)=0,0,IF(N(M1403)&gt;0,M1403*(1+N1403/30),N1403))))</f>
        <v/>
      </c>
      <c r="Y1403">
        <f>IF(N(X1403)=0,"",X1403+ROW()/1000000000)</f>
        <v/>
      </c>
      <c r="Z1403">
        <f>IF(Y1403="","",IF(COUNTIFS(Log!$D$6:$D$1505,D1403,Log!$Y$6:$Y$1505,"&gt;"&amp;Y1403)=0,1,0))</f>
        <v/>
      </c>
      <c r="AA1403">
        <f>IF(OR(B1403="",D1403=""),"",B1403+ROW()/10000000)</f>
        <v/>
      </c>
      <c r="AB1403">
        <f>IF(AA1403="","",IF(COUNTIFS(Log!$D$6:$D$1505,D1403,Log!$AA$6:$AA$1505,"&gt;"&amp;AA1403)=0,1,0))</f>
        <v/>
      </c>
      <c r="AC1403">
        <f>IF(S1403="New best",AA1403,"")</f>
        <v/>
      </c>
      <c r="AD1403">
        <f>ROW()</f>
        <v/>
      </c>
    </row>
    <row r="1404">
      <c r="A1404" s="1" t="n"/>
      <c r="B1404" s="21" t="n"/>
      <c r="C1404" s="22" t="n"/>
      <c r="D1404" s="23" t="n"/>
      <c r="E1404" s="24" t="n"/>
      <c r="F1404" s="24" t="n"/>
      <c r="G1404" s="24" t="n"/>
      <c r="H1404" s="24" t="n"/>
      <c r="I1404" s="24" t="n"/>
      <c r="J1404" s="24" t="n"/>
      <c r="K1404" s="24" t="n"/>
      <c r="L1404" s="24" t="n"/>
      <c r="M1404" s="24" t="n"/>
      <c r="N1404" s="24" t="n"/>
      <c r="O1404" s="15">
        <f>IF(D1404="","",COUNT(F1404,H1404,J1404,L1404,N1404))</f>
        <v/>
      </c>
      <c r="P1404" s="25">
        <f>IF(D1404="","",N(E1404)*N(F1404)+N(G1404)*N(H1404)+N(I1404)*N(J1404)+N(K1404)*N(L1404)+N(M1404)*N(N1404))</f>
        <v/>
      </c>
      <c r="Q1404" s="18">
        <f>IF(N(X1404)=0,"",IF(IF(N(F1404)=0,0,IF(N(E1404)&gt;0,E1404*(1+F1404/30),F1404))=X1404,IF(N(E1404)&gt;0,E1404&amp;" x "&amp;F1404,F1404&amp;" reps"),IF(IF(N(H1404)=0,0,IF(N(G1404)&gt;0,G1404*(1+H1404/30),H1404))=X1404,IF(N(G1404)&gt;0,G1404&amp;" x "&amp;H1404,H1404&amp;" reps"),IF(IF(N(J1404)=0,0,IF(N(I1404)&gt;0,I1404*(1+J1404/30),J1404))=X1404,IF(N(I1404)&gt;0,I1404&amp;" x "&amp;J1404,J1404&amp;" reps"),IF(IF(N(L1404)=0,0,IF(N(K1404)&gt;0,K1404*(1+L1404/30),L1404))=X1404,IF(N(K1404)&gt;0,K1404&amp;" x "&amp;L1404,L1404&amp;" reps"),IF(IF(N(N1404)=0,0,IF(N(M1404)&gt;0,M1404*(1+N1404/30),N1404))=X1404,IF(N(M1404)&gt;0,M1404&amp;" x "&amp;N1404,N1404&amp;" reps"),""))))))</f>
        <v/>
      </c>
      <c r="R1404" s="20">
        <f>IF(N(X1404)=0,"",ROUND(X1404,1))</f>
        <v/>
      </c>
      <c r="S1404" s="18">
        <f>IF(N(X1404)=0,"",IF(AND(COUNTIFS(Log!$D$6:$D$1505,D1404,Log!$B$6:$B$1505,"&lt;"&amp;B1404)&gt;0,COUNTIFS(Log!$D$6:$D$1505,D1404,Log!$B$6:$B$1505,"&lt;"&amp;B1404,Log!$X$6:$X$1505,"&gt;="&amp;X1404)=0),"New best",""))</f>
        <v/>
      </c>
      <c r="T1404" s="26" t="n"/>
      <c r="U1404" s="1">
        <f>IF(D1404="","",IFERROR(INDEX(Exercises!$C$6:$C$105,MATCH(D1404,Exercises!$B$6:$B$105,0)),"Other"))</f>
        <v/>
      </c>
      <c r="V1404">
        <f>IF(B1404="","",IF(COUNTIF($B$6:B1404,B1404)=1,1,0))</f>
        <v/>
      </c>
      <c r="W1404">
        <f>IF(B1404="","",B1404-WEEKDAY(B1404,3))</f>
        <v/>
      </c>
      <c r="X1404">
        <f>IF(D1404="","",MAX(IF(N(F1404)=0,0,IF(N(E1404)&gt;0,E1404*(1+F1404/30),F1404)),IF(N(H1404)=0,0,IF(N(G1404)&gt;0,G1404*(1+H1404/30),H1404)),IF(N(J1404)=0,0,IF(N(I1404)&gt;0,I1404*(1+J1404/30),J1404)),IF(N(L1404)=0,0,IF(N(K1404)&gt;0,K1404*(1+L1404/30),L1404)),IF(N(N1404)=0,0,IF(N(M1404)&gt;0,M1404*(1+N1404/30),N1404))))</f>
        <v/>
      </c>
      <c r="Y1404">
        <f>IF(N(X1404)=0,"",X1404+ROW()/1000000000)</f>
        <v/>
      </c>
      <c r="Z1404">
        <f>IF(Y1404="","",IF(COUNTIFS(Log!$D$6:$D$1505,D1404,Log!$Y$6:$Y$1505,"&gt;"&amp;Y1404)=0,1,0))</f>
        <v/>
      </c>
      <c r="AA1404">
        <f>IF(OR(B1404="",D1404=""),"",B1404+ROW()/10000000)</f>
        <v/>
      </c>
      <c r="AB1404">
        <f>IF(AA1404="","",IF(COUNTIFS(Log!$D$6:$D$1505,D1404,Log!$AA$6:$AA$1505,"&gt;"&amp;AA1404)=0,1,0))</f>
        <v/>
      </c>
      <c r="AC1404">
        <f>IF(S1404="New best",AA1404,"")</f>
        <v/>
      </c>
      <c r="AD1404">
        <f>ROW()</f>
        <v/>
      </c>
    </row>
    <row r="1405">
      <c r="A1405" s="1" t="n"/>
      <c r="B1405" s="21" t="n"/>
      <c r="C1405" s="22" t="n"/>
      <c r="D1405" s="23" t="n"/>
      <c r="E1405" s="24" t="n"/>
      <c r="F1405" s="24" t="n"/>
      <c r="G1405" s="24" t="n"/>
      <c r="H1405" s="24" t="n"/>
      <c r="I1405" s="24" t="n"/>
      <c r="J1405" s="24" t="n"/>
      <c r="K1405" s="24" t="n"/>
      <c r="L1405" s="24" t="n"/>
      <c r="M1405" s="24" t="n"/>
      <c r="N1405" s="24" t="n"/>
      <c r="O1405" s="15">
        <f>IF(D1405="","",COUNT(F1405,H1405,J1405,L1405,N1405))</f>
        <v/>
      </c>
      <c r="P1405" s="25">
        <f>IF(D1405="","",N(E1405)*N(F1405)+N(G1405)*N(H1405)+N(I1405)*N(J1405)+N(K1405)*N(L1405)+N(M1405)*N(N1405))</f>
        <v/>
      </c>
      <c r="Q1405" s="18">
        <f>IF(N(X1405)=0,"",IF(IF(N(F1405)=0,0,IF(N(E1405)&gt;0,E1405*(1+F1405/30),F1405))=X1405,IF(N(E1405)&gt;0,E1405&amp;" x "&amp;F1405,F1405&amp;" reps"),IF(IF(N(H1405)=0,0,IF(N(G1405)&gt;0,G1405*(1+H1405/30),H1405))=X1405,IF(N(G1405)&gt;0,G1405&amp;" x "&amp;H1405,H1405&amp;" reps"),IF(IF(N(J1405)=0,0,IF(N(I1405)&gt;0,I1405*(1+J1405/30),J1405))=X1405,IF(N(I1405)&gt;0,I1405&amp;" x "&amp;J1405,J1405&amp;" reps"),IF(IF(N(L1405)=0,0,IF(N(K1405)&gt;0,K1405*(1+L1405/30),L1405))=X1405,IF(N(K1405)&gt;0,K1405&amp;" x "&amp;L1405,L1405&amp;" reps"),IF(IF(N(N1405)=0,0,IF(N(M1405)&gt;0,M1405*(1+N1405/30),N1405))=X1405,IF(N(M1405)&gt;0,M1405&amp;" x "&amp;N1405,N1405&amp;" reps"),""))))))</f>
        <v/>
      </c>
      <c r="R1405" s="20">
        <f>IF(N(X1405)=0,"",ROUND(X1405,1))</f>
        <v/>
      </c>
      <c r="S1405" s="18">
        <f>IF(N(X1405)=0,"",IF(AND(COUNTIFS(Log!$D$6:$D$1505,D1405,Log!$B$6:$B$1505,"&lt;"&amp;B1405)&gt;0,COUNTIFS(Log!$D$6:$D$1505,D1405,Log!$B$6:$B$1505,"&lt;"&amp;B1405,Log!$X$6:$X$1505,"&gt;="&amp;X1405)=0),"New best",""))</f>
        <v/>
      </c>
      <c r="T1405" s="26" t="n"/>
      <c r="U1405" s="1">
        <f>IF(D1405="","",IFERROR(INDEX(Exercises!$C$6:$C$105,MATCH(D1405,Exercises!$B$6:$B$105,0)),"Other"))</f>
        <v/>
      </c>
      <c r="V1405">
        <f>IF(B1405="","",IF(COUNTIF($B$6:B1405,B1405)=1,1,0))</f>
        <v/>
      </c>
      <c r="W1405">
        <f>IF(B1405="","",B1405-WEEKDAY(B1405,3))</f>
        <v/>
      </c>
      <c r="X1405">
        <f>IF(D1405="","",MAX(IF(N(F1405)=0,0,IF(N(E1405)&gt;0,E1405*(1+F1405/30),F1405)),IF(N(H1405)=0,0,IF(N(G1405)&gt;0,G1405*(1+H1405/30),H1405)),IF(N(J1405)=0,0,IF(N(I1405)&gt;0,I1405*(1+J1405/30),J1405)),IF(N(L1405)=0,0,IF(N(K1405)&gt;0,K1405*(1+L1405/30),L1405)),IF(N(N1405)=0,0,IF(N(M1405)&gt;0,M1405*(1+N1405/30),N1405))))</f>
        <v/>
      </c>
      <c r="Y1405">
        <f>IF(N(X1405)=0,"",X1405+ROW()/1000000000)</f>
        <v/>
      </c>
      <c r="Z1405">
        <f>IF(Y1405="","",IF(COUNTIFS(Log!$D$6:$D$1505,D1405,Log!$Y$6:$Y$1505,"&gt;"&amp;Y1405)=0,1,0))</f>
        <v/>
      </c>
      <c r="AA1405">
        <f>IF(OR(B1405="",D1405=""),"",B1405+ROW()/10000000)</f>
        <v/>
      </c>
      <c r="AB1405">
        <f>IF(AA1405="","",IF(COUNTIFS(Log!$D$6:$D$1505,D1405,Log!$AA$6:$AA$1505,"&gt;"&amp;AA1405)=0,1,0))</f>
        <v/>
      </c>
      <c r="AC1405">
        <f>IF(S1405="New best",AA1405,"")</f>
        <v/>
      </c>
      <c r="AD1405">
        <f>ROW()</f>
        <v/>
      </c>
    </row>
    <row r="1406">
      <c r="A1406" s="1" t="n"/>
      <c r="B1406" s="21" t="n"/>
      <c r="C1406" s="22" t="n"/>
      <c r="D1406" s="23" t="n"/>
      <c r="E1406" s="24" t="n"/>
      <c r="F1406" s="24" t="n"/>
      <c r="G1406" s="24" t="n"/>
      <c r="H1406" s="24" t="n"/>
      <c r="I1406" s="24" t="n"/>
      <c r="J1406" s="24" t="n"/>
      <c r="K1406" s="24" t="n"/>
      <c r="L1406" s="24" t="n"/>
      <c r="M1406" s="24" t="n"/>
      <c r="N1406" s="24" t="n"/>
      <c r="O1406" s="15">
        <f>IF(D1406="","",COUNT(F1406,H1406,J1406,L1406,N1406))</f>
        <v/>
      </c>
      <c r="P1406" s="25">
        <f>IF(D1406="","",N(E1406)*N(F1406)+N(G1406)*N(H1406)+N(I1406)*N(J1406)+N(K1406)*N(L1406)+N(M1406)*N(N1406))</f>
        <v/>
      </c>
      <c r="Q1406" s="18">
        <f>IF(N(X1406)=0,"",IF(IF(N(F1406)=0,0,IF(N(E1406)&gt;0,E1406*(1+F1406/30),F1406))=X1406,IF(N(E1406)&gt;0,E1406&amp;" x "&amp;F1406,F1406&amp;" reps"),IF(IF(N(H1406)=0,0,IF(N(G1406)&gt;0,G1406*(1+H1406/30),H1406))=X1406,IF(N(G1406)&gt;0,G1406&amp;" x "&amp;H1406,H1406&amp;" reps"),IF(IF(N(J1406)=0,0,IF(N(I1406)&gt;0,I1406*(1+J1406/30),J1406))=X1406,IF(N(I1406)&gt;0,I1406&amp;" x "&amp;J1406,J1406&amp;" reps"),IF(IF(N(L1406)=0,0,IF(N(K1406)&gt;0,K1406*(1+L1406/30),L1406))=X1406,IF(N(K1406)&gt;0,K1406&amp;" x "&amp;L1406,L1406&amp;" reps"),IF(IF(N(N1406)=0,0,IF(N(M1406)&gt;0,M1406*(1+N1406/30),N1406))=X1406,IF(N(M1406)&gt;0,M1406&amp;" x "&amp;N1406,N1406&amp;" reps"),""))))))</f>
        <v/>
      </c>
      <c r="R1406" s="20">
        <f>IF(N(X1406)=0,"",ROUND(X1406,1))</f>
        <v/>
      </c>
      <c r="S1406" s="18">
        <f>IF(N(X1406)=0,"",IF(AND(COUNTIFS(Log!$D$6:$D$1505,D1406,Log!$B$6:$B$1505,"&lt;"&amp;B1406)&gt;0,COUNTIFS(Log!$D$6:$D$1505,D1406,Log!$B$6:$B$1505,"&lt;"&amp;B1406,Log!$X$6:$X$1505,"&gt;="&amp;X1406)=0),"New best",""))</f>
        <v/>
      </c>
      <c r="T1406" s="26" t="n"/>
      <c r="U1406" s="1">
        <f>IF(D1406="","",IFERROR(INDEX(Exercises!$C$6:$C$105,MATCH(D1406,Exercises!$B$6:$B$105,0)),"Other"))</f>
        <v/>
      </c>
      <c r="V1406">
        <f>IF(B1406="","",IF(COUNTIF($B$6:B1406,B1406)=1,1,0))</f>
        <v/>
      </c>
      <c r="W1406">
        <f>IF(B1406="","",B1406-WEEKDAY(B1406,3))</f>
        <v/>
      </c>
      <c r="X1406">
        <f>IF(D1406="","",MAX(IF(N(F1406)=0,0,IF(N(E1406)&gt;0,E1406*(1+F1406/30),F1406)),IF(N(H1406)=0,0,IF(N(G1406)&gt;0,G1406*(1+H1406/30),H1406)),IF(N(J1406)=0,0,IF(N(I1406)&gt;0,I1406*(1+J1406/30),J1406)),IF(N(L1406)=0,0,IF(N(K1406)&gt;0,K1406*(1+L1406/30),L1406)),IF(N(N1406)=0,0,IF(N(M1406)&gt;0,M1406*(1+N1406/30),N1406))))</f>
        <v/>
      </c>
      <c r="Y1406">
        <f>IF(N(X1406)=0,"",X1406+ROW()/1000000000)</f>
        <v/>
      </c>
      <c r="Z1406">
        <f>IF(Y1406="","",IF(COUNTIFS(Log!$D$6:$D$1505,D1406,Log!$Y$6:$Y$1505,"&gt;"&amp;Y1406)=0,1,0))</f>
        <v/>
      </c>
      <c r="AA1406">
        <f>IF(OR(B1406="",D1406=""),"",B1406+ROW()/10000000)</f>
        <v/>
      </c>
      <c r="AB1406">
        <f>IF(AA1406="","",IF(COUNTIFS(Log!$D$6:$D$1505,D1406,Log!$AA$6:$AA$1505,"&gt;"&amp;AA1406)=0,1,0))</f>
        <v/>
      </c>
      <c r="AC1406">
        <f>IF(S1406="New best",AA1406,"")</f>
        <v/>
      </c>
      <c r="AD1406">
        <f>ROW()</f>
        <v/>
      </c>
    </row>
    <row r="1407">
      <c r="A1407" s="1" t="n"/>
      <c r="B1407" s="21" t="n"/>
      <c r="C1407" s="22" t="n"/>
      <c r="D1407" s="23" t="n"/>
      <c r="E1407" s="24" t="n"/>
      <c r="F1407" s="24" t="n"/>
      <c r="G1407" s="24" t="n"/>
      <c r="H1407" s="24" t="n"/>
      <c r="I1407" s="24" t="n"/>
      <c r="J1407" s="24" t="n"/>
      <c r="K1407" s="24" t="n"/>
      <c r="L1407" s="24" t="n"/>
      <c r="M1407" s="24" t="n"/>
      <c r="N1407" s="24" t="n"/>
      <c r="O1407" s="15">
        <f>IF(D1407="","",COUNT(F1407,H1407,J1407,L1407,N1407))</f>
        <v/>
      </c>
      <c r="P1407" s="25">
        <f>IF(D1407="","",N(E1407)*N(F1407)+N(G1407)*N(H1407)+N(I1407)*N(J1407)+N(K1407)*N(L1407)+N(M1407)*N(N1407))</f>
        <v/>
      </c>
      <c r="Q1407" s="18">
        <f>IF(N(X1407)=0,"",IF(IF(N(F1407)=0,0,IF(N(E1407)&gt;0,E1407*(1+F1407/30),F1407))=X1407,IF(N(E1407)&gt;0,E1407&amp;" x "&amp;F1407,F1407&amp;" reps"),IF(IF(N(H1407)=0,0,IF(N(G1407)&gt;0,G1407*(1+H1407/30),H1407))=X1407,IF(N(G1407)&gt;0,G1407&amp;" x "&amp;H1407,H1407&amp;" reps"),IF(IF(N(J1407)=0,0,IF(N(I1407)&gt;0,I1407*(1+J1407/30),J1407))=X1407,IF(N(I1407)&gt;0,I1407&amp;" x "&amp;J1407,J1407&amp;" reps"),IF(IF(N(L1407)=0,0,IF(N(K1407)&gt;0,K1407*(1+L1407/30),L1407))=X1407,IF(N(K1407)&gt;0,K1407&amp;" x "&amp;L1407,L1407&amp;" reps"),IF(IF(N(N1407)=0,0,IF(N(M1407)&gt;0,M1407*(1+N1407/30),N1407))=X1407,IF(N(M1407)&gt;0,M1407&amp;" x "&amp;N1407,N1407&amp;" reps"),""))))))</f>
        <v/>
      </c>
      <c r="R1407" s="20">
        <f>IF(N(X1407)=0,"",ROUND(X1407,1))</f>
        <v/>
      </c>
      <c r="S1407" s="18">
        <f>IF(N(X1407)=0,"",IF(AND(COUNTIFS(Log!$D$6:$D$1505,D1407,Log!$B$6:$B$1505,"&lt;"&amp;B1407)&gt;0,COUNTIFS(Log!$D$6:$D$1505,D1407,Log!$B$6:$B$1505,"&lt;"&amp;B1407,Log!$X$6:$X$1505,"&gt;="&amp;X1407)=0),"New best",""))</f>
        <v/>
      </c>
      <c r="T1407" s="26" t="n"/>
      <c r="U1407" s="1">
        <f>IF(D1407="","",IFERROR(INDEX(Exercises!$C$6:$C$105,MATCH(D1407,Exercises!$B$6:$B$105,0)),"Other"))</f>
        <v/>
      </c>
      <c r="V1407">
        <f>IF(B1407="","",IF(COUNTIF($B$6:B1407,B1407)=1,1,0))</f>
        <v/>
      </c>
      <c r="W1407">
        <f>IF(B1407="","",B1407-WEEKDAY(B1407,3))</f>
        <v/>
      </c>
      <c r="X1407">
        <f>IF(D1407="","",MAX(IF(N(F1407)=0,0,IF(N(E1407)&gt;0,E1407*(1+F1407/30),F1407)),IF(N(H1407)=0,0,IF(N(G1407)&gt;0,G1407*(1+H1407/30),H1407)),IF(N(J1407)=0,0,IF(N(I1407)&gt;0,I1407*(1+J1407/30),J1407)),IF(N(L1407)=0,0,IF(N(K1407)&gt;0,K1407*(1+L1407/30),L1407)),IF(N(N1407)=0,0,IF(N(M1407)&gt;0,M1407*(1+N1407/30),N1407))))</f>
        <v/>
      </c>
      <c r="Y1407">
        <f>IF(N(X1407)=0,"",X1407+ROW()/1000000000)</f>
        <v/>
      </c>
      <c r="Z1407">
        <f>IF(Y1407="","",IF(COUNTIFS(Log!$D$6:$D$1505,D1407,Log!$Y$6:$Y$1505,"&gt;"&amp;Y1407)=0,1,0))</f>
        <v/>
      </c>
      <c r="AA1407">
        <f>IF(OR(B1407="",D1407=""),"",B1407+ROW()/10000000)</f>
        <v/>
      </c>
      <c r="AB1407">
        <f>IF(AA1407="","",IF(COUNTIFS(Log!$D$6:$D$1505,D1407,Log!$AA$6:$AA$1505,"&gt;"&amp;AA1407)=0,1,0))</f>
        <v/>
      </c>
      <c r="AC1407">
        <f>IF(S1407="New best",AA1407,"")</f>
        <v/>
      </c>
      <c r="AD1407">
        <f>ROW()</f>
        <v/>
      </c>
    </row>
    <row r="1408">
      <c r="A1408" s="1" t="n"/>
      <c r="B1408" s="21" t="n"/>
      <c r="C1408" s="22" t="n"/>
      <c r="D1408" s="23" t="n"/>
      <c r="E1408" s="24" t="n"/>
      <c r="F1408" s="24" t="n"/>
      <c r="G1408" s="24" t="n"/>
      <c r="H1408" s="24" t="n"/>
      <c r="I1408" s="24" t="n"/>
      <c r="J1408" s="24" t="n"/>
      <c r="K1408" s="24" t="n"/>
      <c r="L1408" s="24" t="n"/>
      <c r="M1408" s="24" t="n"/>
      <c r="N1408" s="24" t="n"/>
      <c r="O1408" s="15">
        <f>IF(D1408="","",COUNT(F1408,H1408,J1408,L1408,N1408))</f>
        <v/>
      </c>
      <c r="P1408" s="25">
        <f>IF(D1408="","",N(E1408)*N(F1408)+N(G1408)*N(H1408)+N(I1408)*N(J1408)+N(K1408)*N(L1408)+N(M1408)*N(N1408))</f>
        <v/>
      </c>
      <c r="Q1408" s="18">
        <f>IF(N(X1408)=0,"",IF(IF(N(F1408)=0,0,IF(N(E1408)&gt;0,E1408*(1+F1408/30),F1408))=X1408,IF(N(E1408)&gt;0,E1408&amp;" x "&amp;F1408,F1408&amp;" reps"),IF(IF(N(H1408)=0,0,IF(N(G1408)&gt;0,G1408*(1+H1408/30),H1408))=X1408,IF(N(G1408)&gt;0,G1408&amp;" x "&amp;H1408,H1408&amp;" reps"),IF(IF(N(J1408)=0,0,IF(N(I1408)&gt;0,I1408*(1+J1408/30),J1408))=X1408,IF(N(I1408)&gt;0,I1408&amp;" x "&amp;J1408,J1408&amp;" reps"),IF(IF(N(L1408)=0,0,IF(N(K1408)&gt;0,K1408*(1+L1408/30),L1408))=X1408,IF(N(K1408)&gt;0,K1408&amp;" x "&amp;L1408,L1408&amp;" reps"),IF(IF(N(N1408)=0,0,IF(N(M1408)&gt;0,M1408*(1+N1408/30),N1408))=X1408,IF(N(M1408)&gt;0,M1408&amp;" x "&amp;N1408,N1408&amp;" reps"),""))))))</f>
        <v/>
      </c>
      <c r="R1408" s="20">
        <f>IF(N(X1408)=0,"",ROUND(X1408,1))</f>
        <v/>
      </c>
      <c r="S1408" s="18">
        <f>IF(N(X1408)=0,"",IF(AND(COUNTIFS(Log!$D$6:$D$1505,D1408,Log!$B$6:$B$1505,"&lt;"&amp;B1408)&gt;0,COUNTIFS(Log!$D$6:$D$1505,D1408,Log!$B$6:$B$1505,"&lt;"&amp;B1408,Log!$X$6:$X$1505,"&gt;="&amp;X1408)=0),"New best",""))</f>
        <v/>
      </c>
      <c r="T1408" s="26" t="n"/>
      <c r="U1408" s="1">
        <f>IF(D1408="","",IFERROR(INDEX(Exercises!$C$6:$C$105,MATCH(D1408,Exercises!$B$6:$B$105,0)),"Other"))</f>
        <v/>
      </c>
      <c r="V1408">
        <f>IF(B1408="","",IF(COUNTIF($B$6:B1408,B1408)=1,1,0))</f>
        <v/>
      </c>
      <c r="W1408">
        <f>IF(B1408="","",B1408-WEEKDAY(B1408,3))</f>
        <v/>
      </c>
      <c r="X1408">
        <f>IF(D1408="","",MAX(IF(N(F1408)=0,0,IF(N(E1408)&gt;0,E1408*(1+F1408/30),F1408)),IF(N(H1408)=0,0,IF(N(G1408)&gt;0,G1408*(1+H1408/30),H1408)),IF(N(J1408)=0,0,IF(N(I1408)&gt;0,I1408*(1+J1408/30),J1408)),IF(N(L1408)=0,0,IF(N(K1408)&gt;0,K1408*(1+L1408/30),L1408)),IF(N(N1408)=0,0,IF(N(M1408)&gt;0,M1408*(1+N1408/30),N1408))))</f>
        <v/>
      </c>
      <c r="Y1408">
        <f>IF(N(X1408)=0,"",X1408+ROW()/1000000000)</f>
        <v/>
      </c>
      <c r="Z1408">
        <f>IF(Y1408="","",IF(COUNTIFS(Log!$D$6:$D$1505,D1408,Log!$Y$6:$Y$1505,"&gt;"&amp;Y1408)=0,1,0))</f>
        <v/>
      </c>
      <c r="AA1408">
        <f>IF(OR(B1408="",D1408=""),"",B1408+ROW()/10000000)</f>
        <v/>
      </c>
      <c r="AB1408">
        <f>IF(AA1408="","",IF(COUNTIFS(Log!$D$6:$D$1505,D1408,Log!$AA$6:$AA$1505,"&gt;"&amp;AA1408)=0,1,0))</f>
        <v/>
      </c>
      <c r="AC1408">
        <f>IF(S1408="New best",AA1408,"")</f>
        <v/>
      </c>
      <c r="AD1408">
        <f>ROW()</f>
        <v/>
      </c>
    </row>
    <row r="1409">
      <c r="A1409" s="1" t="n"/>
      <c r="B1409" s="21" t="n"/>
      <c r="C1409" s="22" t="n"/>
      <c r="D1409" s="23" t="n"/>
      <c r="E1409" s="24" t="n"/>
      <c r="F1409" s="24" t="n"/>
      <c r="G1409" s="24" t="n"/>
      <c r="H1409" s="24" t="n"/>
      <c r="I1409" s="24" t="n"/>
      <c r="J1409" s="24" t="n"/>
      <c r="K1409" s="24" t="n"/>
      <c r="L1409" s="24" t="n"/>
      <c r="M1409" s="24" t="n"/>
      <c r="N1409" s="24" t="n"/>
      <c r="O1409" s="15">
        <f>IF(D1409="","",COUNT(F1409,H1409,J1409,L1409,N1409))</f>
        <v/>
      </c>
      <c r="P1409" s="25">
        <f>IF(D1409="","",N(E1409)*N(F1409)+N(G1409)*N(H1409)+N(I1409)*N(J1409)+N(K1409)*N(L1409)+N(M1409)*N(N1409))</f>
        <v/>
      </c>
      <c r="Q1409" s="18">
        <f>IF(N(X1409)=0,"",IF(IF(N(F1409)=0,0,IF(N(E1409)&gt;0,E1409*(1+F1409/30),F1409))=X1409,IF(N(E1409)&gt;0,E1409&amp;" x "&amp;F1409,F1409&amp;" reps"),IF(IF(N(H1409)=0,0,IF(N(G1409)&gt;0,G1409*(1+H1409/30),H1409))=X1409,IF(N(G1409)&gt;0,G1409&amp;" x "&amp;H1409,H1409&amp;" reps"),IF(IF(N(J1409)=0,0,IF(N(I1409)&gt;0,I1409*(1+J1409/30),J1409))=X1409,IF(N(I1409)&gt;0,I1409&amp;" x "&amp;J1409,J1409&amp;" reps"),IF(IF(N(L1409)=0,0,IF(N(K1409)&gt;0,K1409*(1+L1409/30),L1409))=X1409,IF(N(K1409)&gt;0,K1409&amp;" x "&amp;L1409,L1409&amp;" reps"),IF(IF(N(N1409)=0,0,IF(N(M1409)&gt;0,M1409*(1+N1409/30),N1409))=X1409,IF(N(M1409)&gt;0,M1409&amp;" x "&amp;N1409,N1409&amp;" reps"),""))))))</f>
        <v/>
      </c>
      <c r="R1409" s="20">
        <f>IF(N(X1409)=0,"",ROUND(X1409,1))</f>
        <v/>
      </c>
      <c r="S1409" s="18">
        <f>IF(N(X1409)=0,"",IF(AND(COUNTIFS(Log!$D$6:$D$1505,D1409,Log!$B$6:$B$1505,"&lt;"&amp;B1409)&gt;0,COUNTIFS(Log!$D$6:$D$1505,D1409,Log!$B$6:$B$1505,"&lt;"&amp;B1409,Log!$X$6:$X$1505,"&gt;="&amp;X1409)=0),"New best",""))</f>
        <v/>
      </c>
      <c r="T1409" s="26" t="n"/>
      <c r="U1409" s="1">
        <f>IF(D1409="","",IFERROR(INDEX(Exercises!$C$6:$C$105,MATCH(D1409,Exercises!$B$6:$B$105,0)),"Other"))</f>
        <v/>
      </c>
      <c r="V1409">
        <f>IF(B1409="","",IF(COUNTIF($B$6:B1409,B1409)=1,1,0))</f>
        <v/>
      </c>
      <c r="W1409">
        <f>IF(B1409="","",B1409-WEEKDAY(B1409,3))</f>
        <v/>
      </c>
      <c r="X1409">
        <f>IF(D1409="","",MAX(IF(N(F1409)=0,0,IF(N(E1409)&gt;0,E1409*(1+F1409/30),F1409)),IF(N(H1409)=0,0,IF(N(G1409)&gt;0,G1409*(1+H1409/30),H1409)),IF(N(J1409)=0,0,IF(N(I1409)&gt;0,I1409*(1+J1409/30),J1409)),IF(N(L1409)=0,0,IF(N(K1409)&gt;0,K1409*(1+L1409/30),L1409)),IF(N(N1409)=0,0,IF(N(M1409)&gt;0,M1409*(1+N1409/30),N1409))))</f>
        <v/>
      </c>
      <c r="Y1409">
        <f>IF(N(X1409)=0,"",X1409+ROW()/1000000000)</f>
        <v/>
      </c>
      <c r="Z1409">
        <f>IF(Y1409="","",IF(COUNTIFS(Log!$D$6:$D$1505,D1409,Log!$Y$6:$Y$1505,"&gt;"&amp;Y1409)=0,1,0))</f>
        <v/>
      </c>
      <c r="AA1409">
        <f>IF(OR(B1409="",D1409=""),"",B1409+ROW()/10000000)</f>
        <v/>
      </c>
      <c r="AB1409">
        <f>IF(AA1409="","",IF(COUNTIFS(Log!$D$6:$D$1505,D1409,Log!$AA$6:$AA$1505,"&gt;"&amp;AA1409)=0,1,0))</f>
        <v/>
      </c>
      <c r="AC1409">
        <f>IF(S1409="New best",AA1409,"")</f>
        <v/>
      </c>
      <c r="AD1409">
        <f>ROW()</f>
        <v/>
      </c>
    </row>
    <row r="1410">
      <c r="A1410" s="1" t="n"/>
      <c r="B1410" s="21" t="n"/>
      <c r="C1410" s="22" t="n"/>
      <c r="D1410" s="23" t="n"/>
      <c r="E1410" s="24" t="n"/>
      <c r="F1410" s="24" t="n"/>
      <c r="G1410" s="24" t="n"/>
      <c r="H1410" s="24" t="n"/>
      <c r="I1410" s="24" t="n"/>
      <c r="J1410" s="24" t="n"/>
      <c r="K1410" s="24" t="n"/>
      <c r="L1410" s="24" t="n"/>
      <c r="M1410" s="24" t="n"/>
      <c r="N1410" s="24" t="n"/>
      <c r="O1410" s="15">
        <f>IF(D1410="","",COUNT(F1410,H1410,J1410,L1410,N1410))</f>
        <v/>
      </c>
      <c r="P1410" s="25">
        <f>IF(D1410="","",N(E1410)*N(F1410)+N(G1410)*N(H1410)+N(I1410)*N(J1410)+N(K1410)*N(L1410)+N(M1410)*N(N1410))</f>
        <v/>
      </c>
      <c r="Q1410" s="18">
        <f>IF(N(X1410)=0,"",IF(IF(N(F1410)=0,0,IF(N(E1410)&gt;0,E1410*(1+F1410/30),F1410))=X1410,IF(N(E1410)&gt;0,E1410&amp;" x "&amp;F1410,F1410&amp;" reps"),IF(IF(N(H1410)=0,0,IF(N(G1410)&gt;0,G1410*(1+H1410/30),H1410))=X1410,IF(N(G1410)&gt;0,G1410&amp;" x "&amp;H1410,H1410&amp;" reps"),IF(IF(N(J1410)=0,0,IF(N(I1410)&gt;0,I1410*(1+J1410/30),J1410))=X1410,IF(N(I1410)&gt;0,I1410&amp;" x "&amp;J1410,J1410&amp;" reps"),IF(IF(N(L1410)=0,0,IF(N(K1410)&gt;0,K1410*(1+L1410/30),L1410))=X1410,IF(N(K1410)&gt;0,K1410&amp;" x "&amp;L1410,L1410&amp;" reps"),IF(IF(N(N1410)=0,0,IF(N(M1410)&gt;0,M1410*(1+N1410/30),N1410))=X1410,IF(N(M1410)&gt;0,M1410&amp;" x "&amp;N1410,N1410&amp;" reps"),""))))))</f>
        <v/>
      </c>
      <c r="R1410" s="20">
        <f>IF(N(X1410)=0,"",ROUND(X1410,1))</f>
        <v/>
      </c>
      <c r="S1410" s="18">
        <f>IF(N(X1410)=0,"",IF(AND(COUNTIFS(Log!$D$6:$D$1505,D1410,Log!$B$6:$B$1505,"&lt;"&amp;B1410)&gt;0,COUNTIFS(Log!$D$6:$D$1505,D1410,Log!$B$6:$B$1505,"&lt;"&amp;B1410,Log!$X$6:$X$1505,"&gt;="&amp;X1410)=0),"New best",""))</f>
        <v/>
      </c>
      <c r="T1410" s="26" t="n"/>
      <c r="U1410" s="1">
        <f>IF(D1410="","",IFERROR(INDEX(Exercises!$C$6:$C$105,MATCH(D1410,Exercises!$B$6:$B$105,0)),"Other"))</f>
        <v/>
      </c>
      <c r="V1410">
        <f>IF(B1410="","",IF(COUNTIF($B$6:B1410,B1410)=1,1,0))</f>
        <v/>
      </c>
      <c r="W1410">
        <f>IF(B1410="","",B1410-WEEKDAY(B1410,3))</f>
        <v/>
      </c>
      <c r="X1410">
        <f>IF(D1410="","",MAX(IF(N(F1410)=0,0,IF(N(E1410)&gt;0,E1410*(1+F1410/30),F1410)),IF(N(H1410)=0,0,IF(N(G1410)&gt;0,G1410*(1+H1410/30),H1410)),IF(N(J1410)=0,0,IF(N(I1410)&gt;0,I1410*(1+J1410/30),J1410)),IF(N(L1410)=0,0,IF(N(K1410)&gt;0,K1410*(1+L1410/30),L1410)),IF(N(N1410)=0,0,IF(N(M1410)&gt;0,M1410*(1+N1410/30),N1410))))</f>
        <v/>
      </c>
      <c r="Y1410">
        <f>IF(N(X1410)=0,"",X1410+ROW()/1000000000)</f>
        <v/>
      </c>
      <c r="Z1410">
        <f>IF(Y1410="","",IF(COUNTIFS(Log!$D$6:$D$1505,D1410,Log!$Y$6:$Y$1505,"&gt;"&amp;Y1410)=0,1,0))</f>
        <v/>
      </c>
      <c r="AA1410">
        <f>IF(OR(B1410="",D1410=""),"",B1410+ROW()/10000000)</f>
        <v/>
      </c>
      <c r="AB1410">
        <f>IF(AA1410="","",IF(COUNTIFS(Log!$D$6:$D$1505,D1410,Log!$AA$6:$AA$1505,"&gt;"&amp;AA1410)=0,1,0))</f>
        <v/>
      </c>
      <c r="AC1410">
        <f>IF(S1410="New best",AA1410,"")</f>
        <v/>
      </c>
      <c r="AD1410">
        <f>ROW()</f>
        <v/>
      </c>
    </row>
    <row r="1411">
      <c r="A1411" s="1" t="n"/>
      <c r="B1411" s="21" t="n"/>
      <c r="C1411" s="22" t="n"/>
      <c r="D1411" s="23" t="n"/>
      <c r="E1411" s="24" t="n"/>
      <c r="F1411" s="24" t="n"/>
      <c r="G1411" s="24" t="n"/>
      <c r="H1411" s="24" t="n"/>
      <c r="I1411" s="24" t="n"/>
      <c r="J1411" s="24" t="n"/>
      <c r="K1411" s="24" t="n"/>
      <c r="L1411" s="24" t="n"/>
      <c r="M1411" s="24" t="n"/>
      <c r="N1411" s="24" t="n"/>
      <c r="O1411" s="15">
        <f>IF(D1411="","",COUNT(F1411,H1411,J1411,L1411,N1411))</f>
        <v/>
      </c>
      <c r="P1411" s="25">
        <f>IF(D1411="","",N(E1411)*N(F1411)+N(G1411)*N(H1411)+N(I1411)*N(J1411)+N(K1411)*N(L1411)+N(M1411)*N(N1411))</f>
        <v/>
      </c>
      <c r="Q1411" s="18">
        <f>IF(N(X1411)=0,"",IF(IF(N(F1411)=0,0,IF(N(E1411)&gt;0,E1411*(1+F1411/30),F1411))=X1411,IF(N(E1411)&gt;0,E1411&amp;" x "&amp;F1411,F1411&amp;" reps"),IF(IF(N(H1411)=0,0,IF(N(G1411)&gt;0,G1411*(1+H1411/30),H1411))=X1411,IF(N(G1411)&gt;0,G1411&amp;" x "&amp;H1411,H1411&amp;" reps"),IF(IF(N(J1411)=0,0,IF(N(I1411)&gt;0,I1411*(1+J1411/30),J1411))=X1411,IF(N(I1411)&gt;0,I1411&amp;" x "&amp;J1411,J1411&amp;" reps"),IF(IF(N(L1411)=0,0,IF(N(K1411)&gt;0,K1411*(1+L1411/30),L1411))=X1411,IF(N(K1411)&gt;0,K1411&amp;" x "&amp;L1411,L1411&amp;" reps"),IF(IF(N(N1411)=0,0,IF(N(M1411)&gt;0,M1411*(1+N1411/30),N1411))=X1411,IF(N(M1411)&gt;0,M1411&amp;" x "&amp;N1411,N1411&amp;" reps"),""))))))</f>
        <v/>
      </c>
      <c r="R1411" s="20">
        <f>IF(N(X1411)=0,"",ROUND(X1411,1))</f>
        <v/>
      </c>
      <c r="S1411" s="18">
        <f>IF(N(X1411)=0,"",IF(AND(COUNTIFS(Log!$D$6:$D$1505,D1411,Log!$B$6:$B$1505,"&lt;"&amp;B1411)&gt;0,COUNTIFS(Log!$D$6:$D$1505,D1411,Log!$B$6:$B$1505,"&lt;"&amp;B1411,Log!$X$6:$X$1505,"&gt;="&amp;X1411)=0),"New best",""))</f>
        <v/>
      </c>
      <c r="T1411" s="26" t="n"/>
      <c r="U1411" s="1">
        <f>IF(D1411="","",IFERROR(INDEX(Exercises!$C$6:$C$105,MATCH(D1411,Exercises!$B$6:$B$105,0)),"Other"))</f>
        <v/>
      </c>
      <c r="V1411">
        <f>IF(B1411="","",IF(COUNTIF($B$6:B1411,B1411)=1,1,0))</f>
        <v/>
      </c>
      <c r="W1411">
        <f>IF(B1411="","",B1411-WEEKDAY(B1411,3))</f>
        <v/>
      </c>
      <c r="X1411">
        <f>IF(D1411="","",MAX(IF(N(F1411)=0,0,IF(N(E1411)&gt;0,E1411*(1+F1411/30),F1411)),IF(N(H1411)=0,0,IF(N(G1411)&gt;0,G1411*(1+H1411/30),H1411)),IF(N(J1411)=0,0,IF(N(I1411)&gt;0,I1411*(1+J1411/30),J1411)),IF(N(L1411)=0,0,IF(N(K1411)&gt;0,K1411*(1+L1411/30),L1411)),IF(N(N1411)=0,0,IF(N(M1411)&gt;0,M1411*(1+N1411/30),N1411))))</f>
        <v/>
      </c>
      <c r="Y1411">
        <f>IF(N(X1411)=0,"",X1411+ROW()/1000000000)</f>
        <v/>
      </c>
      <c r="Z1411">
        <f>IF(Y1411="","",IF(COUNTIFS(Log!$D$6:$D$1505,D1411,Log!$Y$6:$Y$1505,"&gt;"&amp;Y1411)=0,1,0))</f>
        <v/>
      </c>
      <c r="AA1411">
        <f>IF(OR(B1411="",D1411=""),"",B1411+ROW()/10000000)</f>
        <v/>
      </c>
      <c r="AB1411">
        <f>IF(AA1411="","",IF(COUNTIFS(Log!$D$6:$D$1505,D1411,Log!$AA$6:$AA$1505,"&gt;"&amp;AA1411)=0,1,0))</f>
        <v/>
      </c>
      <c r="AC1411">
        <f>IF(S1411="New best",AA1411,"")</f>
        <v/>
      </c>
      <c r="AD1411">
        <f>ROW()</f>
        <v/>
      </c>
    </row>
    <row r="1412">
      <c r="A1412" s="1" t="n"/>
      <c r="B1412" s="21" t="n"/>
      <c r="C1412" s="22" t="n"/>
      <c r="D1412" s="23" t="n"/>
      <c r="E1412" s="24" t="n"/>
      <c r="F1412" s="24" t="n"/>
      <c r="G1412" s="24" t="n"/>
      <c r="H1412" s="24" t="n"/>
      <c r="I1412" s="24" t="n"/>
      <c r="J1412" s="24" t="n"/>
      <c r="K1412" s="24" t="n"/>
      <c r="L1412" s="24" t="n"/>
      <c r="M1412" s="24" t="n"/>
      <c r="N1412" s="24" t="n"/>
      <c r="O1412" s="15">
        <f>IF(D1412="","",COUNT(F1412,H1412,J1412,L1412,N1412))</f>
        <v/>
      </c>
      <c r="P1412" s="25">
        <f>IF(D1412="","",N(E1412)*N(F1412)+N(G1412)*N(H1412)+N(I1412)*N(J1412)+N(K1412)*N(L1412)+N(M1412)*N(N1412))</f>
        <v/>
      </c>
      <c r="Q1412" s="18">
        <f>IF(N(X1412)=0,"",IF(IF(N(F1412)=0,0,IF(N(E1412)&gt;0,E1412*(1+F1412/30),F1412))=X1412,IF(N(E1412)&gt;0,E1412&amp;" x "&amp;F1412,F1412&amp;" reps"),IF(IF(N(H1412)=0,0,IF(N(G1412)&gt;0,G1412*(1+H1412/30),H1412))=X1412,IF(N(G1412)&gt;0,G1412&amp;" x "&amp;H1412,H1412&amp;" reps"),IF(IF(N(J1412)=0,0,IF(N(I1412)&gt;0,I1412*(1+J1412/30),J1412))=X1412,IF(N(I1412)&gt;0,I1412&amp;" x "&amp;J1412,J1412&amp;" reps"),IF(IF(N(L1412)=0,0,IF(N(K1412)&gt;0,K1412*(1+L1412/30),L1412))=X1412,IF(N(K1412)&gt;0,K1412&amp;" x "&amp;L1412,L1412&amp;" reps"),IF(IF(N(N1412)=0,0,IF(N(M1412)&gt;0,M1412*(1+N1412/30),N1412))=X1412,IF(N(M1412)&gt;0,M1412&amp;" x "&amp;N1412,N1412&amp;" reps"),""))))))</f>
        <v/>
      </c>
      <c r="R1412" s="20">
        <f>IF(N(X1412)=0,"",ROUND(X1412,1))</f>
        <v/>
      </c>
      <c r="S1412" s="18">
        <f>IF(N(X1412)=0,"",IF(AND(COUNTIFS(Log!$D$6:$D$1505,D1412,Log!$B$6:$B$1505,"&lt;"&amp;B1412)&gt;0,COUNTIFS(Log!$D$6:$D$1505,D1412,Log!$B$6:$B$1505,"&lt;"&amp;B1412,Log!$X$6:$X$1505,"&gt;="&amp;X1412)=0),"New best",""))</f>
        <v/>
      </c>
      <c r="T1412" s="26" t="n"/>
      <c r="U1412" s="1">
        <f>IF(D1412="","",IFERROR(INDEX(Exercises!$C$6:$C$105,MATCH(D1412,Exercises!$B$6:$B$105,0)),"Other"))</f>
        <v/>
      </c>
      <c r="V1412">
        <f>IF(B1412="","",IF(COUNTIF($B$6:B1412,B1412)=1,1,0))</f>
        <v/>
      </c>
      <c r="W1412">
        <f>IF(B1412="","",B1412-WEEKDAY(B1412,3))</f>
        <v/>
      </c>
      <c r="X1412">
        <f>IF(D1412="","",MAX(IF(N(F1412)=0,0,IF(N(E1412)&gt;0,E1412*(1+F1412/30),F1412)),IF(N(H1412)=0,0,IF(N(G1412)&gt;0,G1412*(1+H1412/30),H1412)),IF(N(J1412)=0,0,IF(N(I1412)&gt;0,I1412*(1+J1412/30),J1412)),IF(N(L1412)=0,0,IF(N(K1412)&gt;0,K1412*(1+L1412/30),L1412)),IF(N(N1412)=0,0,IF(N(M1412)&gt;0,M1412*(1+N1412/30),N1412))))</f>
        <v/>
      </c>
      <c r="Y1412">
        <f>IF(N(X1412)=0,"",X1412+ROW()/1000000000)</f>
        <v/>
      </c>
      <c r="Z1412">
        <f>IF(Y1412="","",IF(COUNTIFS(Log!$D$6:$D$1505,D1412,Log!$Y$6:$Y$1505,"&gt;"&amp;Y1412)=0,1,0))</f>
        <v/>
      </c>
      <c r="AA1412">
        <f>IF(OR(B1412="",D1412=""),"",B1412+ROW()/10000000)</f>
        <v/>
      </c>
      <c r="AB1412">
        <f>IF(AA1412="","",IF(COUNTIFS(Log!$D$6:$D$1505,D1412,Log!$AA$6:$AA$1505,"&gt;"&amp;AA1412)=0,1,0))</f>
        <v/>
      </c>
      <c r="AC1412">
        <f>IF(S1412="New best",AA1412,"")</f>
        <v/>
      </c>
      <c r="AD1412">
        <f>ROW()</f>
        <v/>
      </c>
    </row>
    <row r="1413">
      <c r="A1413" s="1" t="n"/>
      <c r="B1413" s="21" t="n"/>
      <c r="C1413" s="22" t="n"/>
      <c r="D1413" s="23" t="n"/>
      <c r="E1413" s="24" t="n"/>
      <c r="F1413" s="24" t="n"/>
      <c r="G1413" s="24" t="n"/>
      <c r="H1413" s="24" t="n"/>
      <c r="I1413" s="24" t="n"/>
      <c r="J1413" s="24" t="n"/>
      <c r="K1413" s="24" t="n"/>
      <c r="L1413" s="24" t="n"/>
      <c r="M1413" s="24" t="n"/>
      <c r="N1413" s="24" t="n"/>
      <c r="O1413" s="15">
        <f>IF(D1413="","",COUNT(F1413,H1413,J1413,L1413,N1413))</f>
        <v/>
      </c>
      <c r="P1413" s="25">
        <f>IF(D1413="","",N(E1413)*N(F1413)+N(G1413)*N(H1413)+N(I1413)*N(J1413)+N(K1413)*N(L1413)+N(M1413)*N(N1413))</f>
        <v/>
      </c>
      <c r="Q1413" s="18">
        <f>IF(N(X1413)=0,"",IF(IF(N(F1413)=0,0,IF(N(E1413)&gt;0,E1413*(1+F1413/30),F1413))=X1413,IF(N(E1413)&gt;0,E1413&amp;" x "&amp;F1413,F1413&amp;" reps"),IF(IF(N(H1413)=0,0,IF(N(G1413)&gt;0,G1413*(1+H1413/30),H1413))=X1413,IF(N(G1413)&gt;0,G1413&amp;" x "&amp;H1413,H1413&amp;" reps"),IF(IF(N(J1413)=0,0,IF(N(I1413)&gt;0,I1413*(1+J1413/30),J1413))=X1413,IF(N(I1413)&gt;0,I1413&amp;" x "&amp;J1413,J1413&amp;" reps"),IF(IF(N(L1413)=0,0,IF(N(K1413)&gt;0,K1413*(1+L1413/30),L1413))=X1413,IF(N(K1413)&gt;0,K1413&amp;" x "&amp;L1413,L1413&amp;" reps"),IF(IF(N(N1413)=0,0,IF(N(M1413)&gt;0,M1413*(1+N1413/30),N1413))=X1413,IF(N(M1413)&gt;0,M1413&amp;" x "&amp;N1413,N1413&amp;" reps"),""))))))</f>
        <v/>
      </c>
      <c r="R1413" s="20">
        <f>IF(N(X1413)=0,"",ROUND(X1413,1))</f>
        <v/>
      </c>
      <c r="S1413" s="18">
        <f>IF(N(X1413)=0,"",IF(AND(COUNTIFS(Log!$D$6:$D$1505,D1413,Log!$B$6:$B$1505,"&lt;"&amp;B1413)&gt;0,COUNTIFS(Log!$D$6:$D$1505,D1413,Log!$B$6:$B$1505,"&lt;"&amp;B1413,Log!$X$6:$X$1505,"&gt;="&amp;X1413)=0),"New best",""))</f>
        <v/>
      </c>
      <c r="T1413" s="26" t="n"/>
      <c r="U1413" s="1">
        <f>IF(D1413="","",IFERROR(INDEX(Exercises!$C$6:$C$105,MATCH(D1413,Exercises!$B$6:$B$105,0)),"Other"))</f>
        <v/>
      </c>
      <c r="V1413">
        <f>IF(B1413="","",IF(COUNTIF($B$6:B1413,B1413)=1,1,0))</f>
        <v/>
      </c>
      <c r="W1413">
        <f>IF(B1413="","",B1413-WEEKDAY(B1413,3))</f>
        <v/>
      </c>
      <c r="X1413">
        <f>IF(D1413="","",MAX(IF(N(F1413)=0,0,IF(N(E1413)&gt;0,E1413*(1+F1413/30),F1413)),IF(N(H1413)=0,0,IF(N(G1413)&gt;0,G1413*(1+H1413/30),H1413)),IF(N(J1413)=0,0,IF(N(I1413)&gt;0,I1413*(1+J1413/30),J1413)),IF(N(L1413)=0,0,IF(N(K1413)&gt;0,K1413*(1+L1413/30),L1413)),IF(N(N1413)=0,0,IF(N(M1413)&gt;0,M1413*(1+N1413/30),N1413))))</f>
        <v/>
      </c>
      <c r="Y1413">
        <f>IF(N(X1413)=0,"",X1413+ROW()/1000000000)</f>
        <v/>
      </c>
      <c r="Z1413">
        <f>IF(Y1413="","",IF(COUNTIFS(Log!$D$6:$D$1505,D1413,Log!$Y$6:$Y$1505,"&gt;"&amp;Y1413)=0,1,0))</f>
        <v/>
      </c>
      <c r="AA1413">
        <f>IF(OR(B1413="",D1413=""),"",B1413+ROW()/10000000)</f>
        <v/>
      </c>
      <c r="AB1413">
        <f>IF(AA1413="","",IF(COUNTIFS(Log!$D$6:$D$1505,D1413,Log!$AA$6:$AA$1505,"&gt;"&amp;AA1413)=0,1,0))</f>
        <v/>
      </c>
      <c r="AC1413">
        <f>IF(S1413="New best",AA1413,"")</f>
        <v/>
      </c>
      <c r="AD1413">
        <f>ROW()</f>
        <v/>
      </c>
    </row>
    <row r="1414">
      <c r="A1414" s="1" t="n"/>
      <c r="B1414" s="21" t="n"/>
      <c r="C1414" s="22" t="n"/>
      <c r="D1414" s="23" t="n"/>
      <c r="E1414" s="24" t="n"/>
      <c r="F1414" s="24" t="n"/>
      <c r="G1414" s="24" t="n"/>
      <c r="H1414" s="24" t="n"/>
      <c r="I1414" s="24" t="n"/>
      <c r="J1414" s="24" t="n"/>
      <c r="K1414" s="24" t="n"/>
      <c r="L1414" s="24" t="n"/>
      <c r="M1414" s="24" t="n"/>
      <c r="N1414" s="24" t="n"/>
      <c r="O1414" s="15">
        <f>IF(D1414="","",COUNT(F1414,H1414,J1414,L1414,N1414))</f>
        <v/>
      </c>
      <c r="P1414" s="25">
        <f>IF(D1414="","",N(E1414)*N(F1414)+N(G1414)*N(H1414)+N(I1414)*N(J1414)+N(K1414)*N(L1414)+N(M1414)*N(N1414))</f>
        <v/>
      </c>
      <c r="Q1414" s="18">
        <f>IF(N(X1414)=0,"",IF(IF(N(F1414)=0,0,IF(N(E1414)&gt;0,E1414*(1+F1414/30),F1414))=X1414,IF(N(E1414)&gt;0,E1414&amp;" x "&amp;F1414,F1414&amp;" reps"),IF(IF(N(H1414)=0,0,IF(N(G1414)&gt;0,G1414*(1+H1414/30),H1414))=X1414,IF(N(G1414)&gt;0,G1414&amp;" x "&amp;H1414,H1414&amp;" reps"),IF(IF(N(J1414)=0,0,IF(N(I1414)&gt;0,I1414*(1+J1414/30),J1414))=X1414,IF(N(I1414)&gt;0,I1414&amp;" x "&amp;J1414,J1414&amp;" reps"),IF(IF(N(L1414)=0,0,IF(N(K1414)&gt;0,K1414*(1+L1414/30),L1414))=X1414,IF(N(K1414)&gt;0,K1414&amp;" x "&amp;L1414,L1414&amp;" reps"),IF(IF(N(N1414)=0,0,IF(N(M1414)&gt;0,M1414*(1+N1414/30),N1414))=X1414,IF(N(M1414)&gt;0,M1414&amp;" x "&amp;N1414,N1414&amp;" reps"),""))))))</f>
        <v/>
      </c>
      <c r="R1414" s="20">
        <f>IF(N(X1414)=0,"",ROUND(X1414,1))</f>
        <v/>
      </c>
      <c r="S1414" s="18">
        <f>IF(N(X1414)=0,"",IF(AND(COUNTIFS(Log!$D$6:$D$1505,D1414,Log!$B$6:$B$1505,"&lt;"&amp;B1414)&gt;0,COUNTIFS(Log!$D$6:$D$1505,D1414,Log!$B$6:$B$1505,"&lt;"&amp;B1414,Log!$X$6:$X$1505,"&gt;="&amp;X1414)=0),"New best",""))</f>
        <v/>
      </c>
      <c r="T1414" s="26" t="n"/>
      <c r="U1414" s="1">
        <f>IF(D1414="","",IFERROR(INDEX(Exercises!$C$6:$C$105,MATCH(D1414,Exercises!$B$6:$B$105,0)),"Other"))</f>
        <v/>
      </c>
      <c r="V1414">
        <f>IF(B1414="","",IF(COUNTIF($B$6:B1414,B1414)=1,1,0))</f>
        <v/>
      </c>
      <c r="W1414">
        <f>IF(B1414="","",B1414-WEEKDAY(B1414,3))</f>
        <v/>
      </c>
      <c r="X1414">
        <f>IF(D1414="","",MAX(IF(N(F1414)=0,0,IF(N(E1414)&gt;0,E1414*(1+F1414/30),F1414)),IF(N(H1414)=0,0,IF(N(G1414)&gt;0,G1414*(1+H1414/30),H1414)),IF(N(J1414)=0,0,IF(N(I1414)&gt;0,I1414*(1+J1414/30),J1414)),IF(N(L1414)=0,0,IF(N(K1414)&gt;0,K1414*(1+L1414/30),L1414)),IF(N(N1414)=0,0,IF(N(M1414)&gt;0,M1414*(1+N1414/30),N1414))))</f>
        <v/>
      </c>
      <c r="Y1414">
        <f>IF(N(X1414)=0,"",X1414+ROW()/1000000000)</f>
        <v/>
      </c>
      <c r="Z1414">
        <f>IF(Y1414="","",IF(COUNTIFS(Log!$D$6:$D$1505,D1414,Log!$Y$6:$Y$1505,"&gt;"&amp;Y1414)=0,1,0))</f>
        <v/>
      </c>
      <c r="AA1414">
        <f>IF(OR(B1414="",D1414=""),"",B1414+ROW()/10000000)</f>
        <v/>
      </c>
      <c r="AB1414">
        <f>IF(AA1414="","",IF(COUNTIFS(Log!$D$6:$D$1505,D1414,Log!$AA$6:$AA$1505,"&gt;"&amp;AA1414)=0,1,0))</f>
        <v/>
      </c>
      <c r="AC1414">
        <f>IF(S1414="New best",AA1414,"")</f>
        <v/>
      </c>
      <c r="AD1414">
        <f>ROW()</f>
        <v/>
      </c>
    </row>
    <row r="1415">
      <c r="A1415" s="1" t="n"/>
      <c r="B1415" s="21" t="n"/>
      <c r="C1415" s="22" t="n"/>
      <c r="D1415" s="23" t="n"/>
      <c r="E1415" s="24" t="n"/>
      <c r="F1415" s="24" t="n"/>
      <c r="G1415" s="24" t="n"/>
      <c r="H1415" s="24" t="n"/>
      <c r="I1415" s="24" t="n"/>
      <c r="J1415" s="24" t="n"/>
      <c r="K1415" s="24" t="n"/>
      <c r="L1415" s="24" t="n"/>
      <c r="M1415" s="24" t="n"/>
      <c r="N1415" s="24" t="n"/>
      <c r="O1415" s="15">
        <f>IF(D1415="","",COUNT(F1415,H1415,J1415,L1415,N1415))</f>
        <v/>
      </c>
      <c r="P1415" s="25">
        <f>IF(D1415="","",N(E1415)*N(F1415)+N(G1415)*N(H1415)+N(I1415)*N(J1415)+N(K1415)*N(L1415)+N(M1415)*N(N1415))</f>
        <v/>
      </c>
      <c r="Q1415" s="18">
        <f>IF(N(X1415)=0,"",IF(IF(N(F1415)=0,0,IF(N(E1415)&gt;0,E1415*(1+F1415/30),F1415))=X1415,IF(N(E1415)&gt;0,E1415&amp;" x "&amp;F1415,F1415&amp;" reps"),IF(IF(N(H1415)=0,0,IF(N(G1415)&gt;0,G1415*(1+H1415/30),H1415))=X1415,IF(N(G1415)&gt;0,G1415&amp;" x "&amp;H1415,H1415&amp;" reps"),IF(IF(N(J1415)=0,0,IF(N(I1415)&gt;0,I1415*(1+J1415/30),J1415))=X1415,IF(N(I1415)&gt;0,I1415&amp;" x "&amp;J1415,J1415&amp;" reps"),IF(IF(N(L1415)=0,0,IF(N(K1415)&gt;0,K1415*(1+L1415/30),L1415))=X1415,IF(N(K1415)&gt;0,K1415&amp;" x "&amp;L1415,L1415&amp;" reps"),IF(IF(N(N1415)=0,0,IF(N(M1415)&gt;0,M1415*(1+N1415/30),N1415))=X1415,IF(N(M1415)&gt;0,M1415&amp;" x "&amp;N1415,N1415&amp;" reps"),""))))))</f>
        <v/>
      </c>
      <c r="R1415" s="20">
        <f>IF(N(X1415)=0,"",ROUND(X1415,1))</f>
        <v/>
      </c>
      <c r="S1415" s="18">
        <f>IF(N(X1415)=0,"",IF(AND(COUNTIFS(Log!$D$6:$D$1505,D1415,Log!$B$6:$B$1505,"&lt;"&amp;B1415)&gt;0,COUNTIFS(Log!$D$6:$D$1505,D1415,Log!$B$6:$B$1505,"&lt;"&amp;B1415,Log!$X$6:$X$1505,"&gt;="&amp;X1415)=0),"New best",""))</f>
        <v/>
      </c>
      <c r="T1415" s="26" t="n"/>
      <c r="U1415" s="1">
        <f>IF(D1415="","",IFERROR(INDEX(Exercises!$C$6:$C$105,MATCH(D1415,Exercises!$B$6:$B$105,0)),"Other"))</f>
        <v/>
      </c>
      <c r="V1415">
        <f>IF(B1415="","",IF(COUNTIF($B$6:B1415,B1415)=1,1,0))</f>
        <v/>
      </c>
      <c r="W1415">
        <f>IF(B1415="","",B1415-WEEKDAY(B1415,3))</f>
        <v/>
      </c>
      <c r="X1415">
        <f>IF(D1415="","",MAX(IF(N(F1415)=0,0,IF(N(E1415)&gt;0,E1415*(1+F1415/30),F1415)),IF(N(H1415)=0,0,IF(N(G1415)&gt;0,G1415*(1+H1415/30),H1415)),IF(N(J1415)=0,0,IF(N(I1415)&gt;0,I1415*(1+J1415/30),J1415)),IF(N(L1415)=0,0,IF(N(K1415)&gt;0,K1415*(1+L1415/30),L1415)),IF(N(N1415)=0,0,IF(N(M1415)&gt;0,M1415*(1+N1415/30),N1415))))</f>
        <v/>
      </c>
      <c r="Y1415">
        <f>IF(N(X1415)=0,"",X1415+ROW()/1000000000)</f>
        <v/>
      </c>
      <c r="Z1415">
        <f>IF(Y1415="","",IF(COUNTIFS(Log!$D$6:$D$1505,D1415,Log!$Y$6:$Y$1505,"&gt;"&amp;Y1415)=0,1,0))</f>
        <v/>
      </c>
      <c r="AA1415">
        <f>IF(OR(B1415="",D1415=""),"",B1415+ROW()/10000000)</f>
        <v/>
      </c>
      <c r="AB1415">
        <f>IF(AA1415="","",IF(COUNTIFS(Log!$D$6:$D$1505,D1415,Log!$AA$6:$AA$1505,"&gt;"&amp;AA1415)=0,1,0))</f>
        <v/>
      </c>
      <c r="AC1415">
        <f>IF(S1415="New best",AA1415,"")</f>
        <v/>
      </c>
      <c r="AD1415">
        <f>ROW()</f>
        <v/>
      </c>
    </row>
    <row r="1416">
      <c r="A1416" s="1" t="n"/>
      <c r="B1416" s="21" t="n"/>
      <c r="C1416" s="22" t="n"/>
      <c r="D1416" s="23" t="n"/>
      <c r="E1416" s="24" t="n"/>
      <c r="F1416" s="24" t="n"/>
      <c r="G1416" s="24" t="n"/>
      <c r="H1416" s="24" t="n"/>
      <c r="I1416" s="24" t="n"/>
      <c r="J1416" s="24" t="n"/>
      <c r="K1416" s="24" t="n"/>
      <c r="L1416" s="24" t="n"/>
      <c r="M1416" s="24" t="n"/>
      <c r="N1416" s="24" t="n"/>
      <c r="O1416" s="15">
        <f>IF(D1416="","",COUNT(F1416,H1416,J1416,L1416,N1416))</f>
        <v/>
      </c>
      <c r="P1416" s="25">
        <f>IF(D1416="","",N(E1416)*N(F1416)+N(G1416)*N(H1416)+N(I1416)*N(J1416)+N(K1416)*N(L1416)+N(M1416)*N(N1416))</f>
        <v/>
      </c>
      <c r="Q1416" s="18">
        <f>IF(N(X1416)=0,"",IF(IF(N(F1416)=0,0,IF(N(E1416)&gt;0,E1416*(1+F1416/30),F1416))=X1416,IF(N(E1416)&gt;0,E1416&amp;" x "&amp;F1416,F1416&amp;" reps"),IF(IF(N(H1416)=0,0,IF(N(G1416)&gt;0,G1416*(1+H1416/30),H1416))=X1416,IF(N(G1416)&gt;0,G1416&amp;" x "&amp;H1416,H1416&amp;" reps"),IF(IF(N(J1416)=0,0,IF(N(I1416)&gt;0,I1416*(1+J1416/30),J1416))=X1416,IF(N(I1416)&gt;0,I1416&amp;" x "&amp;J1416,J1416&amp;" reps"),IF(IF(N(L1416)=0,0,IF(N(K1416)&gt;0,K1416*(1+L1416/30),L1416))=X1416,IF(N(K1416)&gt;0,K1416&amp;" x "&amp;L1416,L1416&amp;" reps"),IF(IF(N(N1416)=0,0,IF(N(M1416)&gt;0,M1416*(1+N1416/30),N1416))=X1416,IF(N(M1416)&gt;0,M1416&amp;" x "&amp;N1416,N1416&amp;" reps"),""))))))</f>
        <v/>
      </c>
      <c r="R1416" s="20">
        <f>IF(N(X1416)=0,"",ROUND(X1416,1))</f>
        <v/>
      </c>
      <c r="S1416" s="18">
        <f>IF(N(X1416)=0,"",IF(AND(COUNTIFS(Log!$D$6:$D$1505,D1416,Log!$B$6:$B$1505,"&lt;"&amp;B1416)&gt;0,COUNTIFS(Log!$D$6:$D$1505,D1416,Log!$B$6:$B$1505,"&lt;"&amp;B1416,Log!$X$6:$X$1505,"&gt;="&amp;X1416)=0),"New best",""))</f>
        <v/>
      </c>
      <c r="T1416" s="26" t="n"/>
      <c r="U1416" s="1">
        <f>IF(D1416="","",IFERROR(INDEX(Exercises!$C$6:$C$105,MATCH(D1416,Exercises!$B$6:$B$105,0)),"Other"))</f>
        <v/>
      </c>
      <c r="V1416">
        <f>IF(B1416="","",IF(COUNTIF($B$6:B1416,B1416)=1,1,0))</f>
        <v/>
      </c>
      <c r="W1416">
        <f>IF(B1416="","",B1416-WEEKDAY(B1416,3))</f>
        <v/>
      </c>
      <c r="X1416">
        <f>IF(D1416="","",MAX(IF(N(F1416)=0,0,IF(N(E1416)&gt;0,E1416*(1+F1416/30),F1416)),IF(N(H1416)=0,0,IF(N(G1416)&gt;0,G1416*(1+H1416/30),H1416)),IF(N(J1416)=0,0,IF(N(I1416)&gt;0,I1416*(1+J1416/30),J1416)),IF(N(L1416)=0,0,IF(N(K1416)&gt;0,K1416*(1+L1416/30),L1416)),IF(N(N1416)=0,0,IF(N(M1416)&gt;0,M1416*(1+N1416/30),N1416))))</f>
        <v/>
      </c>
      <c r="Y1416">
        <f>IF(N(X1416)=0,"",X1416+ROW()/1000000000)</f>
        <v/>
      </c>
      <c r="Z1416">
        <f>IF(Y1416="","",IF(COUNTIFS(Log!$D$6:$D$1505,D1416,Log!$Y$6:$Y$1505,"&gt;"&amp;Y1416)=0,1,0))</f>
        <v/>
      </c>
      <c r="AA1416">
        <f>IF(OR(B1416="",D1416=""),"",B1416+ROW()/10000000)</f>
        <v/>
      </c>
      <c r="AB1416">
        <f>IF(AA1416="","",IF(COUNTIFS(Log!$D$6:$D$1505,D1416,Log!$AA$6:$AA$1505,"&gt;"&amp;AA1416)=0,1,0))</f>
        <v/>
      </c>
      <c r="AC1416">
        <f>IF(S1416="New best",AA1416,"")</f>
        <v/>
      </c>
      <c r="AD1416">
        <f>ROW()</f>
        <v/>
      </c>
    </row>
    <row r="1417">
      <c r="A1417" s="1" t="n"/>
      <c r="B1417" s="21" t="n"/>
      <c r="C1417" s="22" t="n"/>
      <c r="D1417" s="23" t="n"/>
      <c r="E1417" s="24" t="n"/>
      <c r="F1417" s="24" t="n"/>
      <c r="G1417" s="24" t="n"/>
      <c r="H1417" s="24" t="n"/>
      <c r="I1417" s="24" t="n"/>
      <c r="J1417" s="24" t="n"/>
      <c r="K1417" s="24" t="n"/>
      <c r="L1417" s="24" t="n"/>
      <c r="M1417" s="24" t="n"/>
      <c r="N1417" s="24" t="n"/>
      <c r="O1417" s="15">
        <f>IF(D1417="","",COUNT(F1417,H1417,J1417,L1417,N1417))</f>
        <v/>
      </c>
      <c r="P1417" s="25">
        <f>IF(D1417="","",N(E1417)*N(F1417)+N(G1417)*N(H1417)+N(I1417)*N(J1417)+N(K1417)*N(L1417)+N(M1417)*N(N1417))</f>
        <v/>
      </c>
      <c r="Q1417" s="18">
        <f>IF(N(X1417)=0,"",IF(IF(N(F1417)=0,0,IF(N(E1417)&gt;0,E1417*(1+F1417/30),F1417))=X1417,IF(N(E1417)&gt;0,E1417&amp;" x "&amp;F1417,F1417&amp;" reps"),IF(IF(N(H1417)=0,0,IF(N(G1417)&gt;0,G1417*(1+H1417/30),H1417))=X1417,IF(N(G1417)&gt;0,G1417&amp;" x "&amp;H1417,H1417&amp;" reps"),IF(IF(N(J1417)=0,0,IF(N(I1417)&gt;0,I1417*(1+J1417/30),J1417))=X1417,IF(N(I1417)&gt;0,I1417&amp;" x "&amp;J1417,J1417&amp;" reps"),IF(IF(N(L1417)=0,0,IF(N(K1417)&gt;0,K1417*(1+L1417/30),L1417))=X1417,IF(N(K1417)&gt;0,K1417&amp;" x "&amp;L1417,L1417&amp;" reps"),IF(IF(N(N1417)=0,0,IF(N(M1417)&gt;0,M1417*(1+N1417/30),N1417))=X1417,IF(N(M1417)&gt;0,M1417&amp;" x "&amp;N1417,N1417&amp;" reps"),""))))))</f>
        <v/>
      </c>
      <c r="R1417" s="20">
        <f>IF(N(X1417)=0,"",ROUND(X1417,1))</f>
        <v/>
      </c>
      <c r="S1417" s="18">
        <f>IF(N(X1417)=0,"",IF(AND(COUNTIFS(Log!$D$6:$D$1505,D1417,Log!$B$6:$B$1505,"&lt;"&amp;B1417)&gt;0,COUNTIFS(Log!$D$6:$D$1505,D1417,Log!$B$6:$B$1505,"&lt;"&amp;B1417,Log!$X$6:$X$1505,"&gt;="&amp;X1417)=0),"New best",""))</f>
        <v/>
      </c>
      <c r="T1417" s="26" t="n"/>
      <c r="U1417" s="1">
        <f>IF(D1417="","",IFERROR(INDEX(Exercises!$C$6:$C$105,MATCH(D1417,Exercises!$B$6:$B$105,0)),"Other"))</f>
        <v/>
      </c>
      <c r="V1417">
        <f>IF(B1417="","",IF(COUNTIF($B$6:B1417,B1417)=1,1,0))</f>
        <v/>
      </c>
      <c r="W1417">
        <f>IF(B1417="","",B1417-WEEKDAY(B1417,3))</f>
        <v/>
      </c>
      <c r="X1417">
        <f>IF(D1417="","",MAX(IF(N(F1417)=0,0,IF(N(E1417)&gt;0,E1417*(1+F1417/30),F1417)),IF(N(H1417)=0,0,IF(N(G1417)&gt;0,G1417*(1+H1417/30),H1417)),IF(N(J1417)=0,0,IF(N(I1417)&gt;0,I1417*(1+J1417/30),J1417)),IF(N(L1417)=0,0,IF(N(K1417)&gt;0,K1417*(1+L1417/30),L1417)),IF(N(N1417)=0,0,IF(N(M1417)&gt;0,M1417*(1+N1417/30),N1417))))</f>
        <v/>
      </c>
      <c r="Y1417">
        <f>IF(N(X1417)=0,"",X1417+ROW()/1000000000)</f>
        <v/>
      </c>
      <c r="Z1417">
        <f>IF(Y1417="","",IF(COUNTIFS(Log!$D$6:$D$1505,D1417,Log!$Y$6:$Y$1505,"&gt;"&amp;Y1417)=0,1,0))</f>
        <v/>
      </c>
      <c r="AA1417">
        <f>IF(OR(B1417="",D1417=""),"",B1417+ROW()/10000000)</f>
        <v/>
      </c>
      <c r="AB1417">
        <f>IF(AA1417="","",IF(COUNTIFS(Log!$D$6:$D$1505,D1417,Log!$AA$6:$AA$1505,"&gt;"&amp;AA1417)=0,1,0))</f>
        <v/>
      </c>
      <c r="AC1417">
        <f>IF(S1417="New best",AA1417,"")</f>
        <v/>
      </c>
      <c r="AD1417">
        <f>ROW()</f>
        <v/>
      </c>
    </row>
    <row r="1418">
      <c r="A1418" s="1" t="n"/>
      <c r="B1418" s="21" t="n"/>
      <c r="C1418" s="22" t="n"/>
      <c r="D1418" s="23" t="n"/>
      <c r="E1418" s="24" t="n"/>
      <c r="F1418" s="24" t="n"/>
      <c r="G1418" s="24" t="n"/>
      <c r="H1418" s="24" t="n"/>
      <c r="I1418" s="24" t="n"/>
      <c r="J1418" s="24" t="n"/>
      <c r="K1418" s="24" t="n"/>
      <c r="L1418" s="24" t="n"/>
      <c r="M1418" s="24" t="n"/>
      <c r="N1418" s="24" t="n"/>
      <c r="O1418" s="15">
        <f>IF(D1418="","",COUNT(F1418,H1418,J1418,L1418,N1418))</f>
        <v/>
      </c>
      <c r="P1418" s="25">
        <f>IF(D1418="","",N(E1418)*N(F1418)+N(G1418)*N(H1418)+N(I1418)*N(J1418)+N(K1418)*N(L1418)+N(M1418)*N(N1418))</f>
        <v/>
      </c>
      <c r="Q1418" s="18">
        <f>IF(N(X1418)=0,"",IF(IF(N(F1418)=0,0,IF(N(E1418)&gt;0,E1418*(1+F1418/30),F1418))=X1418,IF(N(E1418)&gt;0,E1418&amp;" x "&amp;F1418,F1418&amp;" reps"),IF(IF(N(H1418)=0,0,IF(N(G1418)&gt;0,G1418*(1+H1418/30),H1418))=X1418,IF(N(G1418)&gt;0,G1418&amp;" x "&amp;H1418,H1418&amp;" reps"),IF(IF(N(J1418)=0,0,IF(N(I1418)&gt;0,I1418*(1+J1418/30),J1418))=X1418,IF(N(I1418)&gt;0,I1418&amp;" x "&amp;J1418,J1418&amp;" reps"),IF(IF(N(L1418)=0,0,IF(N(K1418)&gt;0,K1418*(1+L1418/30),L1418))=X1418,IF(N(K1418)&gt;0,K1418&amp;" x "&amp;L1418,L1418&amp;" reps"),IF(IF(N(N1418)=0,0,IF(N(M1418)&gt;0,M1418*(1+N1418/30),N1418))=X1418,IF(N(M1418)&gt;0,M1418&amp;" x "&amp;N1418,N1418&amp;" reps"),""))))))</f>
        <v/>
      </c>
      <c r="R1418" s="20">
        <f>IF(N(X1418)=0,"",ROUND(X1418,1))</f>
        <v/>
      </c>
      <c r="S1418" s="18">
        <f>IF(N(X1418)=0,"",IF(AND(COUNTIFS(Log!$D$6:$D$1505,D1418,Log!$B$6:$B$1505,"&lt;"&amp;B1418)&gt;0,COUNTIFS(Log!$D$6:$D$1505,D1418,Log!$B$6:$B$1505,"&lt;"&amp;B1418,Log!$X$6:$X$1505,"&gt;="&amp;X1418)=0),"New best",""))</f>
        <v/>
      </c>
      <c r="T1418" s="26" t="n"/>
      <c r="U1418" s="1">
        <f>IF(D1418="","",IFERROR(INDEX(Exercises!$C$6:$C$105,MATCH(D1418,Exercises!$B$6:$B$105,0)),"Other"))</f>
        <v/>
      </c>
      <c r="V1418">
        <f>IF(B1418="","",IF(COUNTIF($B$6:B1418,B1418)=1,1,0))</f>
        <v/>
      </c>
      <c r="W1418">
        <f>IF(B1418="","",B1418-WEEKDAY(B1418,3))</f>
        <v/>
      </c>
      <c r="X1418">
        <f>IF(D1418="","",MAX(IF(N(F1418)=0,0,IF(N(E1418)&gt;0,E1418*(1+F1418/30),F1418)),IF(N(H1418)=0,0,IF(N(G1418)&gt;0,G1418*(1+H1418/30),H1418)),IF(N(J1418)=0,0,IF(N(I1418)&gt;0,I1418*(1+J1418/30),J1418)),IF(N(L1418)=0,0,IF(N(K1418)&gt;0,K1418*(1+L1418/30),L1418)),IF(N(N1418)=0,0,IF(N(M1418)&gt;0,M1418*(1+N1418/30),N1418))))</f>
        <v/>
      </c>
      <c r="Y1418">
        <f>IF(N(X1418)=0,"",X1418+ROW()/1000000000)</f>
        <v/>
      </c>
      <c r="Z1418">
        <f>IF(Y1418="","",IF(COUNTIFS(Log!$D$6:$D$1505,D1418,Log!$Y$6:$Y$1505,"&gt;"&amp;Y1418)=0,1,0))</f>
        <v/>
      </c>
      <c r="AA1418">
        <f>IF(OR(B1418="",D1418=""),"",B1418+ROW()/10000000)</f>
        <v/>
      </c>
      <c r="AB1418">
        <f>IF(AA1418="","",IF(COUNTIFS(Log!$D$6:$D$1505,D1418,Log!$AA$6:$AA$1505,"&gt;"&amp;AA1418)=0,1,0))</f>
        <v/>
      </c>
      <c r="AC1418">
        <f>IF(S1418="New best",AA1418,"")</f>
        <v/>
      </c>
      <c r="AD1418">
        <f>ROW()</f>
        <v/>
      </c>
    </row>
    <row r="1419">
      <c r="A1419" s="1" t="n"/>
      <c r="B1419" s="21" t="n"/>
      <c r="C1419" s="22" t="n"/>
      <c r="D1419" s="23" t="n"/>
      <c r="E1419" s="24" t="n"/>
      <c r="F1419" s="24" t="n"/>
      <c r="G1419" s="24" t="n"/>
      <c r="H1419" s="24" t="n"/>
      <c r="I1419" s="24" t="n"/>
      <c r="J1419" s="24" t="n"/>
      <c r="K1419" s="24" t="n"/>
      <c r="L1419" s="24" t="n"/>
      <c r="M1419" s="24" t="n"/>
      <c r="N1419" s="24" t="n"/>
      <c r="O1419" s="15">
        <f>IF(D1419="","",COUNT(F1419,H1419,J1419,L1419,N1419))</f>
        <v/>
      </c>
      <c r="P1419" s="25">
        <f>IF(D1419="","",N(E1419)*N(F1419)+N(G1419)*N(H1419)+N(I1419)*N(J1419)+N(K1419)*N(L1419)+N(M1419)*N(N1419))</f>
        <v/>
      </c>
      <c r="Q1419" s="18">
        <f>IF(N(X1419)=0,"",IF(IF(N(F1419)=0,0,IF(N(E1419)&gt;0,E1419*(1+F1419/30),F1419))=X1419,IF(N(E1419)&gt;0,E1419&amp;" x "&amp;F1419,F1419&amp;" reps"),IF(IF(N(H1419)=0,0,IF(N(G1419)&gt;0,G1419*(1+H1419/30),H1419))=X1419,IF(N(G1419)&gt;0,G1419&amp;" x "&amp;H1419,H1419&amp;" reps"),IF(IF(N(J1419)=0,0,IF(N(I1419)&gt;0,I1419*(1+J1419/30),J1419))=X1419,IF(N(I1419)&gt;0,I1419&amp;" x "&amp;J1419,J1419&amp;" reps"),IF(IF(N(L1419)=0,0,IF(N(K1419)&gt;0,K1419*(1+L1419/30),L1419))=X1419,IF(N(K1419)&gt;0,K1419&amp;" x "&amp;L1419,L1419&amp;" reps"),IF(IF(N(N1419)=0,0,IF(N(M1419)&gt;0,M1419*(1+N1419/30),N1419))=X1419,IF(N(M1419)&gt;0,M1419&amp;" x "&amp;N1419,N1419&amp;" reps"),""))))))</f>
        <v/>
      </c>
      <c r="R1419" s="20">
        <f>IF(N(X1419)=0,"",ROUND(X1419,1))</f>
        <v/>
      </c>
      <c r="S1419" s="18">
        <f>IF(N(X1419)=0,"",IF(AND(COUNTIFS(Log!$D$6:$D$1505,D1419,Log!$B$6:$B$1505,"&lt;"&amp;B1419)&gt;0,COUNTIFS(Log!$D$6:$D$1505,D1419,Log!$B$6:$B$1505,"&lt;"&amp;B1419,Log!$X$6:$X$1505,"&gt;="&amp;X1419)=0),"New best",""))</f>
        <v/>
      </c>
      <c r="T1419" s="26" t="n"/>
      <c r="U1419" s="1">
        <f>IF(D1419="","",IFERROR(INDEX(Exercises!$C$6:$C$105,MATCH(D1419,Exercises!$B$6:$B$105,0)),"Other"))</f>
        <v/>
      </c>
      <c r="V1419">
        <f>IF(B1419="","",IF(COUNTIF($B$6:B1419,B1419)=1,1,0))</f>
        <v/>
      </c>
      <c r="W1419">
        <f>IF(B1419="","",B1419-WEEKDAY(B1419,3))</f>
        <v/>
      </c>
      <c r="X1419">
        <f>IF(D1419="","",MAX(IF(N(F1419)=0,0,IF(N(E1419)&gt;0,E1419*(1+F1419/30),F1419)),IF(N(H1419)=0,0,IF(N(G1419)&gt;0,G1419*(1+H1419/30),H1419)),IF(N(J1419)=0,0,IF(N(I1419)&gt;0,I1419*(1+J1419/30),J1419)),IF(N(L1419)=0,0,IF(N(K1419)&gt;0,K1419*(1+L1419/30),L1419)),IF(N(N1419)=0,0,IF(N(M1419)&gt;0,M1419*(1+N1419/30),N1419))))</f>
        <v/>
      </c>
      <c r="Y1419">
        <f>IF(N(X1419)=0,"",X1419+ROW()/1000000000)</f>
        <v/>
      </c>
      <c r="Z1419">
        <f>IF(Y1419="","",IF(COUNTIFS(Log!$D$6:$D$1505,D1419,Log!$Y$6:$Y$1505,"&gt;"&amp;Y1419)=0,1,0))</f>
        <v/>
      </c>
      <c r="AA1419">
        <f>IF(OR(B1419="",D1419=""),"",B1419+ROW()/10000000)</f>
        <v/>
      </c>
      <c r="AB1419">
        <f>IF(AA1419="","",IF(COUNTIFS(Log!$D$6:$D$1505,D1419,Log!$AA$6:$AA$1505,"&gt;"&amp;AA1419)=0,1,0))</f>
        <v/>
      </c>
      <c r="AC1419">
        <f>IF(S1419="New best",AA1419,"")</f>
        <v/>
      </c>
      <c r="AD1419">
        <f>ROW()</f>
        <v/>
      </c>
    </row>
    <row r="1420">
      <c r="A1420" s="1" t="n"/>
      <c r="B1420" s="21" t="n"/>
      <c r="C1420" s="22" t="n"/>
      <c r="D1420" s="23" t="n"/>
      <c r="E1420" s="24" t="n"/>
      <c r="F1420" s="24" t="n"/>
      <c r="G1420" s="24" t="n"/>
      <c r="H1420" s="24" t="n"/>
      <c r="I1420" s="24" t="n"/>
      <c r="J1420" s="24" t="n"/>
      <c r="K1420" s="24" t="n"/>
      <c r="L1420" s="24" t="n"/>
      <c r="M1420" s="24" t="n"/>
      <c r="N1420" s="24" t="n"/>
      <c r="O1420" s="15">
        <f>IF(D1420="","",COUNT(F1420,H1420,J1420,L1420,N1420))</f>
        <v/>
      </c>
      <c r="P1420" s="25">
        <f>IF(D1420="","",N(E1420)*N(F1420)+N(G1420)*N(H1420)+N(I1420)*N(J1420)+N(K1420)*N(L1420)+N(M1420)*N(N1420))</f>
        <v/>
      </c>
      <c r="Q1420" s="18">
        <f>IF(N(X1420)=0,"",IF(IF(N(F1420)=0,0,IF(N(E1420)&gt;0,E1420*(1+F1420/30),F1420))=X1420,IF(N(E1420)&gt;0,E1420&amp;" x "&amp;F1420,F1420&amp;" reps"),IF(IF(N(H1420)=0,0,IF(N(G1420)&gt;0,G1420*(1+H1420/30),H1420))=X1420,IF(N(G1420)&gt;0,G1420&amp;" x "&amp;H1420,H1420&amp;" reps"),IF(IF(N(J1420)=0,0,IF(N(I1420)&gt;0,I1420*(1+J1420/30),J1420))=X1420,IF(N(I1420)&gt;0,I1420&amp;" x "&amp;J1420,J1420&amp;" reps"),IF(IF(N(L1420)=0,0,IF(N(K1420)&gt;0,K1420*(1+L1420/30),L1420))=X1420,IF(N(K1420)&gt;0,K1420&amp;" x "&amp;L1420,L1420&amp;" reps"),IF(IF(N(N1420)=0,0,IF(N(M1420)&gt;0,M1420*(1+N1420/30),N1420))=X1420,IF(N(M1420)&gt;0,M1420&amp;" x "&amp;N1420,N1420&amp;" reps"),""))))))</f>
        <v/>
      </c>
      <c r="R1420" s="20">
        <f>IF(N(X1420)=0,"",ROUND(X1420,1))</f>
        <v/>
      </c>
      <c r="S1420" s="18">
        <f>IF(N(X1420)=0,"",IF(AND(COUNTIFS(Log!$D$6:$D$1505,D1420,Log!$B$6:$B$1505,"&lt;"&amp;B1420)&gt;0,COUNTIFS(Log!$D$6:$D$1505,D1420,Log!$B$6:$B$1505,"&lt;"&amp;B1420,Log!$X$6:$X$1505,"&gt;="&amp;X1420)=0),"New best",""))</f>
        <v/>
      </c>
      <c r="T1420" s="26" t="n"/>
      <c r="U1420" s="1">
        <f>IF(D1420="","",IFERROR(INDEX(Exercises!$C$6:$C$105,MATCH(D1420,Exercises!$B$6:$B$105,0)),"Other"))</f>
        <v/>
      </c>
      <c r="V1420">
        <f>IF(B1420="","",IF(COUNTIF($B$6:B1420,B1420)=1,1,0))</f>
        <v/>
      </c>
      <c r="W1420">
        <f>IF(B1420="","",B1420-WEEKDAY(B1420,3))</f>
        <v/>
      </c>
      <c r="X1420">
        <f>IF(D1420="","",MAX(IF(N(F1420)=0,0,IF(N(E1420)&gt;0,E1420*(1+F1420/30),F1420)),IF(N(H1420)=0,0,IF(N(G1420)&gt;0,G1420*(1+H1420/30),H1420)),IF(N(J1420)=0,0,IF(N(I1420)&gt;0,I1420*(1+J1420/30),J1420)),IF(N(L1420)=0,0,IF(N(K1420)&gt;0,K1420*(1+L1420/30),L1420)),IF(N(N1420)=0,0,IF(N(M1420)&gt;0,M1420*(1+N1420/30),N1420))))</f>
        <v/>
      </c>
      <c r="Y1420">
        <f>IF(N(X1420)=0,"",X1420+ROW()/1000000000)</f>
        <v/>
      </c>
      <c r="Z1420">
        <f>IF(Y1420="","",IF(COUNTIFS(Log!$D$6:$D$1505,D1420,Log!$Y$6:$Y$1505,"&gt;"&amp;Y1420)=0,1,0))</f>
        <v/>
      </c>
      <c r="AA1420">
        <f>IF(OR(B1420="",D1420=""),"",B1420+ROW()/10000000)</f>
        <v/>
      </c>
      <c r="AB1420">
        <f>IF(AA1420="","",IF(COUNTIFS(Log!$D$6:$D$1505,D1420,Log!$AA$6:$AA$1505,"&gt;"&amp;AA1420)=0,1,0))</f>
        <v/>
      </c>
      <c r="AC1420">
        <f>IF(S1420="New best",AA1420,"")</f>
        <v/>
      </c>
      <c r="AD1420">
        <f>ROW()</f>
        <v/>
      </c>
    </row>
    <row r="1421">
      <c r="A1421" s="1" t="n"/>
      <c r="B1421" s="21" t="n"/>
      <c r="C1421" s="22" t="n"/>
      <c r="D1421" s="23" t="n"/>
      <c r="E1421" s="24" t="n"/>
      <c r="F1421" s="24" t="n"/>
      <c r="G1421" s="24" t="n"/>
      <c r="H1421" s="24" t="n"/>
      <c r="I1421" s="24" t="n"/>
      <c r="J1421" s="24" t="n"/>
      <c r="K1421" s="24" t="n"/>
      <c r="L1421" s="24" t="n"/>
      <c r="M1421" s="24" t="n"/>
      <c r="N1421" s="24" t="n"/>
      <c r="O1421" s="15">
        <f>IF(D1421="","",COUNT(F1421,H1421,J1421,L1421,N1421))</f>
        <v/>
      </c>
      <c r="P1421" s="25">
        <f>IF(D1421="","",N(E1421)*N(F1421)+N(G1421)*N(H1421)+N(I1421)*N(J1421)+N(K1421)*N(L1421)+N(M1421)*N(N1421))</f>
        <v/>
      </c>
      <c r="Q1421" s="18">
        <f>IF(N(X1421)=0,"",IF(IF(N(F1421)=0,0,IF(N(E1421)&gt;0,E1421*(1+F1421/30),F1421))=X1421,IF(N(E1421)&gt;0,E1421&amp;" x "&amp;F1421,F1421&amp;" reps"),IF(IF(N(H1421)=0,0,IF(N(G1421)&gt;0,G1421*(1+H1421/30),H1421))=X1421,IF(N(G1421)&gt;0,G1421&amp;" x "&amp;H1421,H1421&amp;" reps"),IF(IF(N(J1421)=0,0,IF(N(I1421)&gt;0,I1421*(1+J1421/30),J1421))=X1421,IF(N(I1421)&gt;0,I1421&amp;" x "&amp;J1421,J1421&amp;" reps"),IF(IF(N(L1421)=0,0,IF(N(K1421)&gt;0,K1421*(1+L1421/30),L1421))=X1421,IF(N(K1421)&gt;0,K1421&amp;" x "&amp;L1421,L1421&amp;" reps"),IF(IF(N(N1421)=0,0,IF(N(M1421)&gt;0,M1421*(1+N1421/30),N1421))=X1421,IF(N(M1421)&gt;0,M1421&amp;" x "&amp;N1421,N1421&amp;" reps"),""))))))</f>
        <v/>
      </c>
      <c r="R1421" s="20">
        <f>IF(N(X1421)=0,"",ROUND(X1421,1))</f>
        <v/>
      </c>
      <c r="S1421" s="18">
        <f>IF(N(X1421)=0,"",IF(AND(COUNTIFS(Log!$D$6:$D$1505,D1421,Log!$B$6:$B$1505,"&lt;"&amp;B1421)&gt;0,COUNTIFS(Log!$D$6:$D$1505,D1421,Log!$B$6:$B$1505,"&lt;"&amp;B1421,Log!$X$6:$X$1505,"&gt;="&amp;X1421)=0),"New best",""))</f>
        <v/>
      </c>
      <c r="T1421" s="26" t="n"/>
      <c r="U1421" s="1">
        <f>IF(D1421="","",IFERROR(INDEX(Exercises!$C$6:$C$105,MATCH(D1421,Exercises!$B$6:$B$105,0)),"Other"))</f>
        <v/>
      </c>
      <c r="V1421">
        <f>IF(B1421="","",IF(COUNTIF($B$6:B1421,B1421)=1,1,0))</f>
        <v/>
      </c>
      <c r="W1421">
        <f>IF(B1421="","",B1421-WEEKDAY(B1421,3))</f>
        <v/>
      </c>
      <c r="X1421">
        <f>IF(D1421="","",MAX(IF(N(F1421)=0,0,IF(N(E1421)&gt;0,E1421*(1+F1421/30),F1421)),IF(N(H1421)=0,0,IF(N(G1421)&gt;0,G1421*(1+H1421/30),H1421)),IF(N(J1421)=0,0,IF(N(I1421)&gt;0,I1421*(1+J1421/30),J1421)),IF(N(L1421)=0,0,IF(N(K1421)&gt;0,K1421*(1+L1421/30),L1421)),IF(N(N1421)=0,0,IF(N(M1421)&gt;0,M1421*(1+N1421/30),N1421))))</f>
        <v/>
      </c>
      <c r="Y1421">
        <f>IF(N(X1421)=0,"",X1421+ROW()/1000000000)</f>
        <v/>
      </c>
      <c r="Z1421">
        <f>IF(Y1421="","",IF(COUNTIFS(Log!$D$6:$D$1505,D1421,Log!$Y$6:$Y$1505,"&gt;"&amp;Y1421)=0,1,0))</f>
        <v/>
      </c>
      <c r="AA1421">
        <f>IF(OR(B1421="",D1421=""),"",B1421+ROW()/10000000)</f>
        <v/>
      </c>
      <c r="AB1421">
        <f>IF(AA1421="","",IF(COUNTIFS(Log!$D$6:$D$1505,D1421,Log!$AA$6:$AA$1505,"&gt;"&amp;AA1421)=0,1,0))</f>
        <v/>
      </c>
      <c r="AC1421">
        <f>IF(S1421="New best",AA1421,"")</f>
        <v/>
      </c>
      <c r="AD1421">
        <f>ROW()</f>
        <v/>
      </c>
    </row>
    <row r="1422">
      <c r="A1422" s="1" t="n"/>
      <c r="B1422" s="21" t="n"/>
      <c r="C1422" s="22" t="n"/>
      <c r="D1422" s="23" t="n"/>
      <c r="E1422" s="24" t="n"/>
      <c r="F1422" s="24" t="n"/>
      <c r="G1422" s="24" t="n"/>
      <c r="H1422" s="24" t="n"/>
      <c r="I1422" s="24" t="n"/>
      <c r="J1422" s="24" t="n"/>
      <c r="K1422" s="24" t="n"/>
      <c r="L1422" s="24" t="n"/>
      <c r="M1422" s="24" t="n"/>
      <c r="N1422" s="24" t="n"/>
      <c r="O1422" s="15">
        <f>IF(D1422="","",COUNT(F1422,H1422,J1422,L1422,N1422))</f>
        <v/>
      </c>
      <c r="P1422" s="25">
        <f>IF(D1422="","",N(E1422)*N(F1422)+N(G1422)*N(H1422)+N(I1422)*N(J1422)+N(K1422)*N(L1422)+N(M1422)*N(N1422))</f>
        <v/>
      </c>
      <c r="Q1422" s="18">
        <f>IF(N(X1422)=0,"",IF(IF(N(F1422)=0,0,IF(N(E1422)&gt;0,E1422*(1+F1422/30),F1422))=X1422,IF(N(E1422)&gt;0,E1422&amp;" x "&amp;F1422,F1422&amp;" reps"),IF(IF(N(H1422)=0,0,IF(N(G1422)&gt;0,G1422*(1+H1422/30),H1422))=X1422,IF(N(G1422)&gt;0,G1422&amp;" x "&amp;H1422,H1422&amp;" reps"),IF(IF(N(J1422)=0,0,IF(N(I1422)&gt;0,I1422*(1+J1422/30),J1422))=X1422,IF(N(I1422)&gt;0,I1422&amp;" x "&amp;J1422,J1422&amp;" reps"),IF(IF(N(L1422)=0,0,IF(N(K1422)&gt;0,K1422*(1+L1422/30),L1422))=X1422,IF(N(K1422)&gt;0,K1422&amp;" x "&amp;L1422,L1422&amp;" reps"),IF(IF(N(N1422)=0,0,IF(N(M1422)&gt;0,M1422*(1+N1422/30),N1422))=X1422,IF(N(M1422)&gt;0,M1422&amp;" x "&amp;N1422,N1422&amp;" reps"),""))))))</f>
        <v/>
      </c>
      <c r="R1422" s="20">
        <f>IF(N(X1422)=0,"",ROUND(X1422,1))</f>
        <v/>
      </c>
      <c r="S1422" s="18">
        <f>IF(N(X1422)=0,"",IF(AND(COUNTIFS(Log!$D$6:$D$1505,D1422,Log!$B$6:$B$1505,"&lt;"&amp;B1422)&gt;0,COUNTIFS(Log!$D$6:$D$1505,D1422,Log!$B$6:$B$1505,"&lt;"&amp;B1422,Log!$X$6:$X$1505,"&gt;="&amp;X1422)=0),"New best",""))</f>
        <v/>
      </c>
      <c r="T1422" s="26" t="n"/>
      <c r="U1422" s="1">
        <f>IF(D1422="","",IFERROR(INDEX(Exercises!$C$6:$C$105,MATCH(D1422,Exercises!$B$6:$B$105,0)),"Other"))</f>
        <v/>
      </c>
      <c r="V1422">
        <f>IF(B1422="","",IF(COUNTIF($B$6:B1422,B1422)=1,1,0))</f>
        <v/>
      </c>
      <c r="W1422">
        <f>IF(B1422="","",B1422-WEEKDAY(B1422,3))</f>
        <v/>
      </c>
      <c r="X1422">
        <f>IF(D1422="","",MAX(IF(N(F1422)=0,0,IF(N(E1422)&gt;0,E1422*(1+F1422/30),F1422)),IF(N(H1422)=0,0,IF(N(G1422)&gt;0,G1422*(1+H1422/30),H1422)),IF(N(J1422)=0,0,IF(N(I1422)&gt;0,I1422*(1+J1422/30),J1422)),IF(N(L1422)=0,0,IF(N(K1422)&gt;0,K1422*(1+L1422/30),L1422)),IF(N(N1422)=0,0,IF(N(M1422)&gt;0,M1422*(1+N1422/30),N1422))))</f>
        <v/>
      </c>
      <c r="Y1422">
        <f>IF(N(X1422)=0,"",X1422+ROW()/1000000000)</f>
        <v/>
      </c>
      <c r="Z1422">
        <f>IF(Y1422="","",IF(COUNTIFS(Log!$D$6:$D$1505,D1422,Log!$Y$6:$Y$1505,"&gt;"&amp;Y1422)=0,1,0))</f>
        <v/>
      </c>
      <c r="AA1422">
        <f>IF(OR(B1422="",D1422=""),"",B1422+ROW()/10000000)</f>
        <v/>
      </c>
      <c r="AB1422">
        <f>IF(AA1422="","",IF(COUNTIFS(Log!$D$6:$D$1505,D1422,Log!$AA$6:$AA$1505,"&gt;"&amp;AA1422)=0,1,0))</f>
        <v/>
      </c>
      <c r="AC1422">
        <f>IF(S1422="New best",AA1422,"")</f>
        <v/>
      </c>
      <c r="AD1422">
        <f>ROW()</f>
        <v/>
      </c>
    </row>
    <row r="1423">
      <c r="A1423" s="1" t="n"/>
      <c r="B1423" s="21" t="n"/>
      <c r="C1423" s="22" t="n"/>
      <c r="D1423" s="23" t="n"/>
      <c r="E1423" s="24" t="n"/>
      <c r="F1423" s="24" t="n"/>
      <c r="G1423" s="24" t="n"/>
      <c r="H1423" s="24" t="n"/>
      <c r="I1423" s="24" t="n"/>
      <c r="J1423" s="24" t="n"/>
      <c r="K1423" s="24" t="n"/>
      <c r="L1423" s="24" t="n"/>
      <c r="M1423" s="24" t="n"/>
      <c r="N1423" s="24" t="n"/>
      <c r="O1423" s="15">
        <f>IF(D1423="","",COUNT(F1423,H1423,J1423,L1423,N1423))</f>
        <v/>
      </c>
      <c r="P1423" s="25">
        <f>IF(D1423="","",N(E1423)*N(F1423)+N(G1423)*N(H1423)+N(I1423)*N(J1423)+N(K1423)*N(L1423)+N(M1423)*N(N1423))</f>
        <v/>
      </c>
      <c r="Q1423" s="18">
        <f>IF(N(X1423)=0,"",IF(IF(N(F1423)=0,0,IF(N(E1423)&gt;0,E1423*(1+F1423/30),F1423))=X1423,IF(N(E1423)&gt;0,E1423&amp;" x "&amp;F1423,F1423&amp;" reps"),IF(IF(N(H1423)=0,0,IF(N(G1423)&gt;0,G1423*(1+H1423/30),H1423))=X1423,IF(N(G1423)&gt;0,G1423&amp;" x "&amp;H1423,H1423&amp;" reps"),IF(IF(N(J1423)=0,0,IF(N(I1423)&gt;0,I1423*(1+J1423/30),J1423))=X1423,IF(N(I1423)&gt;0,I1423&amp;" x "&amp;J1423,J1423&amp;" reps"),IF(IF(N(L1423)=0,0,IF(N(K1423)&gt;0,K1423*(1+L1423/30),L1423))=X1423,IF(N(K1423)&gt;0,K1423&amp;" x "&amp;L1423,L1423&amp;" reps"),IF(IF(N(N1423)=0,0,IF(N(M1423)&gt;0,M1423*(1+N1423/30),N1423))=X1423,IF(N(M1423)&gt;0,M1423&amp;" x "&amp;N1423,N1423&amp;" reps"),""))))))</f>
        <v/>
      </c>
      <c r="R1423" s="20">
        <f>IF(N(X1423)=0,"",ROUND(X1423,1))</f>
        <v/>
      </c>
      <c r="S1423" s="18">
        <f>IF(N(X1423)=0,"",IF(AND(COUNTIFS(Log!$D$6:$D$1505,D1423,Log!$B$6:$B$1505,"&lt;"&amp;B1423)&gt;0,COUNTIFS(Log!$D$6:$D$1505,D1423,Log!$B$6:$B$1505,"&lt;"&amp;B1423,Log!$X$6:$X$1505,"&gt;="&amp;X1423)=0),"New best",""))</f>
        <v/>
      </c>
      <c r="T1423" s="26" t="n"/>
      <c r="U1423" s="1">
        <f>IF(D1423="","",IFERROR(INDEX(Exercises!$C$6:$C$105,MATCH(D1423,Exercises!$B$6:$B$105,0)),"Other"))</f>
        <v/>
      </c>
      <c r="V1423">
        <f>IF(B1423="","",IF(COUNTIF($B$6:B1423,B1423)=1,1,0))</f>
        <v/>
      </c>
      <c r="W1423">
        <f>IF(B1423="","",B1423-WEEKDAY(B1423,3))</f>
        <v/>
      </c>
      <c r="X1423">
        <f>IF(D1423="","",MAX(IF(N(F1423)=0,0,IF(N(E1423)&gt;0,E1423*(1+F1423/30),F1423)),IF(N(H1423)=0,0,IF(N(G1423)&gt;0,G1423*(1+H1423/30),H1423)),IF(N(J1423)=0,0,IF(N(I1423)&gt;0,I1423*(1+J1423/30),J1423)),IF(N(L1423)=0,0,IF(N(K1423)&gt;0,K1423*(1+L1423/30),L1423)),IF(N(N1423)=0,0,IF(N(M1423)&gt;0,M1423*(1+N1423/30),N1423))))</f>
        <v/>
      </c>
      <c r="Y1423">
        <f>IF(N(X1423)=0,"",X1423+ROW()/1000000000)</f>
        <v/>
      </c>
      <c r="Z1423">
        <f>IF(Y1423="","",IF(COUNTIFS(Log!$D$6:$D$1505,D1423,Log!$Y$6:$Y$1505,"&gt;"&amp;Y1423)=0,1,0))</f>
        <v/>
      </c>
      <c r="AA1423">
        <f>IF(OR(B1423="",D1423=""),"",B1423+ROW()/10000000)</f>
        <v/>
      </c>
      <c r="AB1423">
        <f>IF(AA1423="","",IF(COUNTIFS(Log!$D$6:$D$1505,D1423,Log!$AA$6:$AA$1505,"&gt;"&amp;AA1423)=0,1,0))</f>
        <v/>
      </c>
      <c r="AC1423">
        <f>IF(S1423="New best",AA1423,"")</f>
        <v/>
      </c>
      <c r="AD1423">
        <f>ROW()</f>
        <v/>
      </c>
    </row>
    <row r="1424">
      <c r="A1424" s="1" t="n"/>
      <c r="B1424" s="21" t="n"/>
      <c r="C1424" s="22" t="n"/>
      <c r="D1424" s="23" t="n"/>
      <c r="E1424" s="24" t="n"/>
      <c r="F1424" s="24" t="n"/>
      <c r="G1424" s="24" t="n"/>
      <c r="H1424" s="24" t="n"/>
      <c r="I1424" s="24" t="n"/>
      <c r="J1424" s="24" t="n"/>
      <c r="K1424" s="24" t="n"/>
      <c r="L1424" s="24" t="n"/>
      <c r="M1424" s="24" t="n"/>
      <c r="N1424" s="24" t="n"/>
      <c r="O1424" s="15">
        <f>IF(D1424="","",COUNT(F1424,H1424,J1424,L1424,N1424))</f>
        <v/>
      </c>
      <c r="P1424" s="25">
        <f>IF(D1424="","",N(E1424)*N(F1424)+N(G1424)*N(H1424)+N(I1424)*N(J1424)+N(K1424)*N(L1424)+N(M1424)*N(N1424))</f>
        <v/>
      </c>
      <c r="Q1424" s="18">
        <f>IF(N(X1424)=0,"",IF(IF(N(F1424)=0,0,IF(N(E1424)&gt;0,E1424*(1+F1424/30),F1424))=X1424,IF(N(E1424)&gt;0,E1424&amp;" x "&amp;F1424,F1424&amp;" reps"),IF(IF(N(H1424)=0,0,IF(N(G1424)&gt;0,G1424*(1+H1424/30),H1424))=X1424,IF(N(G1424)&gt;0,G1424&amp;" x "&amp;H1424,H1424&amp;" reps"),IF(IF(N(J1424)=0,0,IF(N(I1424)&gt;0,I1424*(1+J1424/30),J1424))=X1424,IF(N(I1424)&gt;0,I1424&amp;" x "&amp;J1424,J1424&amp;" reps"),IF(IF(N(L1424)=0,0,IF(N(K1424)&gt;0,K1424*(1+L1424/30),L1424))=X1424,IF(N(K1424)&gt;0,K1424&amp;" x "&amp;L1424,L1424&amp;" reps"),IF(IF(N(N1424)=0,0,IF(N(M1424)&gt;0,M1424*(1+N1424/30),N1424))=X1424,IF(N(M1424)&gt;0,M1424&amp;" x "&amp;N1424,N1424&amp;" reps"),""))))))</f>
        <v/>
      </c>
      <c r="R1424" s="20">
        <f>IF(N(X1424)=0,"",ROUND(X1424,1))</f>
        <v/>
      </c>
      <c r="S1424" s="18">
        <f>IF(N(X1424)=0,"",IF(AND(COUNTIFS(Log!$D$6:$D$1505,D1424,Log!$B$6:$B$1505,"&lt;"&amp;B1424)&gt;0,COUNTIFS(Log!$D$6:$D$1505,D1424,Log!$B$6:$B$1505,"&lt;"&amp;B1424,Log!$X$6:$X$1505,"&gt;="&amp;X1424)=0),"New best",""))</f>
        <v/>
      </c>
      <c r="T1424" s="26" t="n"/>
      <c r="U1424" s="1">
        <f>IF(D1424="","",IFERROR(INDEX(Exercises!$C$6:$C$105,MATCH(D1424,Exercises!$B$6:$B$105,0)),"Other"))</f>
        <v/>
      </c>
      <c r="V1424">
        <f>IF(B1424="","",IF(COUNTIF($B$6:B1424,B1424)=1,1,0))</f>
        <v/>
      </c>
      <c r="W1424">
        <f>IF(B1424="","",B1424-WEEKDAY(B1424,3))</f>
        <v/>
      </c>
      <c r="X1424">
        <f>IF(D1424="","",MAX(IF(N(F1424)=0,0,IF(N(E1424)&gt;0,E1424*(1+F1424/30),F1424)),IF(N(H1424)=0,0,IF(N(G1424)&gt;0,G1424*(1+H1424/30),H1424)),IF(N(J1424)=0,0,IF(N(I1424)&gt;0,I1424*(1+J1424/30),J1424)),IF(N(L1424)=0,0,IF(N(K1424)&gt;0,K1424*(1+L1424/30),L1424)),IF(N(N1424)=0,0,IF(N(M1424)&gt;0,M1424*(1+N1424/30),N1424))))</f>
        <v/>
      </c>
      <c r="Y1424">
        <f>IF(N(X1424)=0,"",X1424+ROW()/1000000000)</f>
        <v/>
      </c>
      <c r="Z1424">
        <f>IF(Y1424="","",IF(COUNTIFS(Log!$D$6:$D$1505,D1424,Log!$Y$6:$Y$1505,"&gt;"&amp;Y1424)=0,1,0))</f>
        <v/>
      </c>
      <c r="AA1424">
        <f>IF(OR(B1424="",D1424=""),"",B1424+ROW()/10000000)</f>
        <v/>
      </c>
      <c r="AB1424">
        <f>IF(AA1424="","",IF(COUNTIFS(Log!$D$6:$D$1505,D1424,Log!$AA$6:$AA$1505,"&gt;"&amp;AA1424)=0,1,0))</f>
        <v/>
      </c>
      <c r="AC1424">
        <f>IF(S1424="New best",AA1424,"")</f>
        <v/>
      </c>
      <c r="AD1424">
        <f>ROW()</f>
        <v/>
      </c>
    </row>
    <row r="1425">
      <c r="A1425" s="1" t="n"/>
      <c r="B1425" s="21" t="n"/>
      <c r="C1425" s="22" t="n"/>
      <c r="D1425" s="23" t="n"/>
      <c r="E1425" s="24" t="n"/>
      <c r="F1425" s="24" t="n"/>
      <c r="G1425" s="24" t="n"/>
      <c r="H1425" s="24" t="n"/>
      <c r="I1425" s="24" t="n"/>
      <c r="J1425" s="24" t="n"/>
      <c r="K1425" s="24" t="n"/>
      <c r="L1425" s="24" t="n"/>
      <c r="M1425" s="24" t="n"/>
      <c r="N1425" s="24" t="n"/>
      <c r="O1425" s="15">
        <f>IF(D1425="","",COUNT(F1425,H1425,J1425,L1425,N1425))</f>
        <v/>
      </c>
      <c r="P1425" s="25">
        <f>IF(D1425="","",N(E1425)*N(F1425)+N(G1425)*N(H1425)+N(I1425)*N(J1425)+N(K1425)*N(L1425)+N(M1425)*N(N1425))</f>
        <v/>
      </c>
      <c r="Q1425" s="18">
        <f>IF(N(X1425)=0,"",IF(IF(N(F1425)=0,0,IF(N(E1425)&gt;0,E1425*(1+F1425/30),F1425))=X1425,IF(N(E1425)&gt;0,E1425&amp;" x "&amp;F1425,F1425&amp;" reps"),IF(IF(N(H1425)=0,0,IF(N(G1425)&gt;0,G1425*(1+H1425/30),H1425))=X1425,IF(N(G1425)&gt;0,G1425&amp;" x "&amp;H1425,H1425&amp;" reps"),IF(IF(N(J1425)=0,0,IF(N(I1425)&gt;0,I1425*(1+J1425/30),J1425))=X1425,IF(N(I1425)&gt;0,I1425&amp;" x "&amp;J1425,J1425&amp;" reps"),IF(IF(N(L1425)=0,0,IF(N(K1425)&gt;0,K1425*(1+L1425/30),L1425))=X1425,IF(N(K1425)&gt;0,K1425&amp;" x "&amp;L1425,L1425&amp;" reps"),IF(IF(N(N1425)=0,0,IF(N(M1425)&gt;0,M1425*(1+N1425/30),N1425))=X1425,IF(N(M1425)&gt;0,M1425&amp;" x "&amp;N1425,N1425&amp;" reps"),""))))))</f>
        <v/>
      </c>
      <c r="R1425" s="20">
        <f>IF(N(X1425)=0,"",ROUND(X1425,1))</f>
        <v/>
      </c>
      <c r="S1425" s="18">
        <f>IF(N(X1425)=0,"",IF(AND(COUNTIFS(Log!$D$6:$D$1505,D1425,Log!$B$6:$B$1505,"&lt;"&amp;B1425)&gt;0,COUNTIFS(Log!$D$6:$D$1505,D1425,Log!$B$6:$B$1505,"&lt;"&amp;B1425,Log!$X$6:$X$1505,"&gt;="&amp;X1425)=0),"New best",""))</f>
        <v/>
      </c>
      <c r="T1425" s="26" t="n"/>
      <c r="U1425" s="1">
        <f>IF(D1425="","",IFERROR(INDEX(Exercises!$C$6:$C$105,MATCH(D1425,Exercises!$B$6:$B$105,0)),"Other"))</f>
        <v/>
      </c>
      <c r="V1425">
        <f>IF(B1425="","",IF(COUNTIF($B$6:B1425,B1425)=1,1,0))</f>
        <v/>
      </c>
      <c r="W1425">
        <f>IF(B1425="","",B1425-WEEKDAY(B1425,3))</f>
        <v/>
      </c>
      <c r="X1425">
        <f>IF(D1425="","",MAX(IF(N(F1425)=0,0,IF(N(E1425)&gt;0,E1425*(1+F1425/30),F1425)),IF(N(H1425)=0,0,IF(N(G1425)&gt;0,G1425*(1+H1425/30),H1425)),IF(N(J1425)=0,0,IF(N(I1425)&gt;0,I1425*(1+J1425/30),J1425)),IF(N(L1425)=0,0,IF(N(K1425)&gt;0,K1425*(1+L1425/30),L1425)),IF(N(N1425)=0,0,IF(N(M1425)&gt;0,M1425*(1+N1425/30),N1425))))</f>
        <v/>
      </c>
      <c r="Y1425">
        <f>IF(N(X1425)=0,"",X1425+ROW()/1000000000)</f>
        <v/>
      </c>
      <c r="Z1425">
        <f>IF(Y1425="","",IF(COUNTIFS(Log!$D$6:$D$1505,D1425,Log!$Y$6:$Y$1505,"&gt;"&amp;Y1425)=0,1,0))</f>
        <v/>
      </c>
      <c r="AA1425">
        <f>IF(OR(B1425="",D1425=""),"",B1425+ROW()/10000000)</f>
        <v/>
      </c>
      <c r="AB1425">
        <f>IF(AA1425="","",IF(COUNTIFS(Log!$D$6:$D$1505,D1425,Log!$AA$6:$AA$1505,"&gt;"&amp;AA1425)=0,1,0))</f>
        <v/>
      </c>
      <c r="AC1425">
        <f>IF(S1425="New best",AA1425,"")</f>
        <v/>
      </c>
      <c r="AD1425">
        <f>ROW()</f>
        <v/>
      </c>
    </row>
    <row r="1426">
      <c r="A1426" s="1" t="n"/>
      <c r="B1426" s="21" t="n"/>
      <c r="C1426" s="22" t="n"/>
      <c r="D1426" s="23" t="n"/>
      <c r="E1426" s="24" t="n"/>
      <c r="F1426" s="24" t="n"/>
      <c r="G1426" s="24" t="n"/>
      <c r="H1426" s="24" t="n"/>
      <c r="I1426" s="24" t="n"/>
      <c r="J1426" s="24" t="n"/>
      <c r="K1426" s="24" t="n"/>
      <c r="L1426" s="24" t="n"/>
      <c r="M1426" s="24" t="n"/>
      <c r="N1426" s="24" t="n"/>
      <c r="O1426" s="15">
        <f>IF(D1426="","",COUNT(F1426,H1426,J1426,L1426,N1426))</f>
        <v/>
      </c>
      <c r="P1426" s="25">
        <f>IF(D1426="","",N(E1426)*N(F1426)+N(G1426)*N(H1426)+N(I1426)*N(J1426)+N(K1426)*N(L1426)+N(M1426)*N(N1426))</f>
        <v/>
      </c>
      <c r="Q1426" s="18">
        <f>IF(N(X1426)=0,"",IF(IF(N(F1426)=0,0,IF(N(E1426)&gt;0,E1426*(1+F1426/30),F1426))=X1426,IF(N(E1426)&gt;0,E1426&amp;" x "&amp;F1426,F1426&amp;" reps"),IF(IF(N(H1426)=0,0,IF(N(G1426)&gt;0,G1426*(1+H1426/30),H1426))=X1426,IF(N(G1426)&gt;0,G1426&amp;" x "&amp;H1426,H1426&amp;" reps"),IF(IF(N(J1426)=0,0,IF(N(I1426)&gt;0,I1426*(1+J1426/30),J1426))=X1426,IF(N(I1426)&gt;0,I1426&amp;" x "&amp;J1426,J1426&amp;" reps"),IF(IF(N(L1426)=0,0,IF(N(K1426)&gt;0,K1426*(1+L1426/30),L1426))=X1426,IF(N(K1426)&gt;0,K1426&amp;" x "&amp;L1426,L1426&amp;" reps"),IF(IF(N(N1426)=0,0,IF(N(M1426)&gt;0,M1426*(1+N1426/30),N1426))=X1426,IF(N(M1426)&gt;0,M1426&amp;" x "&amp;N1426,N1426&amp;" reps"),""))))))</f>
        <v/>
      </c>
      <c r="R1426" s="20">
        <f>IF(N(X1426)=0,"",ROUND(X1426,1))</f>
        <v/>
      </c>
      <c r="S1426" s="18">
        <f>IF(N(X1426)=0,"",IF(AND(COUNTIFS(Log!$D$6:$D$1505,D1426,Log!$B$6:$B$1505,"&lt;"&amp;B1426)&gt;0,COUNTIFS(Log!$D$6:$D$1505,D1426,Log!$B$6:$B$1505,"&lt;"&amp;B1426,Log!$X$6:$X$1505,"&gt;="&amp;X1426)=0),"New best",""))</f>
        <v/>
      </c>
      <c r="T1426" s="26" t="n"/>
      <c r="U1426" s="1">
        <f>IF(D1426="","",IFERROR(INDEX(Exercises!$C$6:$C$105,MATCH(D1426,Exercises!$B$6:$B$105,0)),"Other"))</f>
        <v/>
      </c>
      <c r="V1426">
        <f>IF(B1426="","",IF(COUNTIF($B$6:B1426,B1426)=1,1,0))</f>
        <v/>
      </c>
      <c r="W1426">
        <f>IF(B1426="","",B1426-WEEKDAY(B1426,3))</f>
        <v/>
      </c>
      <c r="X1426">
        <f>IF(D1426="","",MAX(IF(N(F1426)=0,0,IF(N(E1426)&gt;0,E1426*(1+F1426/30),F1426)),IF(N(H1426)=0,0,IF(N(G1426)&gt;0,G1426*(1+H1426/30),H1426)),IF(N(J1426)=0,0,IF(N(I1426)&gt;0,I1426*(1+J1426/30),J1426)),IF(N(L1426)=0,0,IF(N(K1426)&gt;0,K1426*(1+L1426/30),L1426)),IF(N(N1426)=0,0,IF(N(M1426)&gt;0,M1426*(1+N1426/30),N1426))))</f>
        <v/>
      </c>
      <c r="Y1426">
        <f>IF(N(X1426)=0,"",X1426+ROW()/1000000000)</f>
        <v/>
      </c>
      <c r="Z1426">
        <f>IF(Y1426="","",IF(COUNTIFS(Log!$D$6:$D$1505,D1426,Log!$Y$6:$Y$1505,"&gt;"&amp;Y1426)=0,1,0))</f>
        <v/>
      </c>
      <c r="AA1426">
        <f>IF(OR(B1426="",D1426=""),"",B1426+ROW()/10000000)</f>
        <v/>
      </c>
      <c r="AB1426">
        <f>IF(AA1426="","",IF(COUNTIFS(Log!$D$6:$D$1505,D1426,Log!$AA$6:$AA$1505,"&gt;"&amp;AA1426)=0,1,0))</f>
        <v/>
      </c>
      <c r="AC1426">
        <f>IF(S1426="New best",AA1426,"")</f>
        <v/>
      </c>
      <c r="AD1426">
        <f>ROW()</f>
        <v/>
      </c>
    </row>
    <row r="1427">
      <c r="A1427" s="1" t="n"/>
      <c r="B1427" s="21" t="n"/>
      <c r="C1427" s="22" t="n"/>
      <c r="D1427" s="23" t="n"/>
      <c r="E1427" s="24" t="n"/>
      <c r="F1427" s="24" t="n"/>
      <c r="G1427" s="24" t="n"/>
      <c r="H1427" s="24" t="n"/>
      <c r="I1427" s="24" t="n"/>
      <c r="J1427" s="24" t="n"/>
      <c r="K1427" s="24" t="n"/>
      <c r="L1427" s="24" t="n"/>
      <c r="M1427" s="24" t="n"/>
      <c r="N1427" s="24" t="n"/>
      <c r="O1427" s="15">
        <f>IF(D1427="","",COUNT(F1427,H1427,J1427,L1427,N1427))</f>
        <v/>
      </c>
      <c r="P1427" s="25">
        <f>IF(D1427="","",N(E1427)*N(F1427)+N(G1427)*N(H1427)+N(I1427)*N(J1427)+N(K1427)*N(L1427)+N(M1427)*N(N1427))</f>
        <v/>
      </c>
      <c r="Q1427" s="18">
        <f>IF(N(X1427)=0,"",IF(IF(N(F1427)=0,0,IF(N(E1427)&gt;0,E1427*(1+F1427/30),F1427))=X1427,IF(N(E1427)&gt;0,E1427&amp;" x "&amp;F1427,F1427&amp;" reps"),IF(IF(N(H1427)=0,0,IF(N(G1427)&gt;0,G1427*(1+H1427/30),H1427))=X1427,IF(N(G1427)&gt;0,G1427&amp;" x "&amp;H1427,H1427&amp;" reps"),IF(IF(N(J1427)=0,0,IF(N(I1427)&gt;0,I1427*(1+J1427/30),J1427))=X1427,IF(N(I1427)&gt;0,I1427&amp;" x "&amp;J1427,J1427&amp;" reps"),IF(IF(N(L1427)=0,0,IF(N(K1427)&gt;0,K1427*(1+L1427/30),L1427))=X1427,IF(N(K1427)&gt;0,K1427&amp;" x "&amp;L1427,L1427&amp;" reps"),IF(IF(N(N1427)=0,0,IF(N(M1427)&gt;0,M1427*(1+N1427/30),N1427))=X1427,IF(N(M1427)&gt;0,M1427&amp;" x "&amp;N1427,N1427&amp;" reps"),""))))))</f>
        <v/>
      </c>
      <c r="R1427" s="20">
        <f>IF(N(X1427)=0,"",ROUND(X1427,1))</f>
        <v/>
      </c>
      <c r="S1427" s="18">
        <f>IF(N(X1427)=0,"",IF(AND(COUNTIFS(Log!$D$6:$D$1505,D1427,Log!$B$6:$B$1505,"&lt;"&amp;B1427)&gt;0,COUNTIFS(Log!$D$6:$D$1505,D1427,Log!$B$6:$B$1505,"&lt;"&amp;B1427,Log!$X$6:$X$1505,"&gt;="&amp;X1427)=0),"New best",""))</f>
        <v/>
      </c>
      <c r="T1427" s="26" t="n"/>
      <c r="U1427" s="1">
        <f>IF(D1427="","",IFERROR(INDEX(Exercises!$C$6:$C$105,MATCH(D1427,Exercises!$B$6:$B$105,0)),"Other"))</f>
        <v/>
      </c>
      <c r="V1427">
        <f>IF(B1427="","",IF(COUNTIF($B$6:B1427,B1427)=1,1,0))</f>
        <v/>
      </c>
      <c r="W1427">
        <f>IF(B1427="","",B1427-WEEKDAY(B1427,3))</f>
        <v/>
      </c>
      <c r="X1427">
        <f>IF(D1427="","",MAX(IF(N(F1427)=0,0,IF(N(E1427)&gt;0,E1427*(1+F1427/30),F1427)),IF(N(H1427)=0,0,IF(N(G1427)&gt;0,G1427*(1+H1427/30),H1427)),IF(N(J1427)=0,0,IF(N(I1427)&gt;0,I1427*(1+J1427/30),J1427)),IF(N(L1427)=0,0,IF(N(K1427)&gt;0,K1427*(1+L1427/30),L1427)),IF(N(N1427)=0,0,IF(N(M1427)&gt;0,M1427*(1+N1427/30),N1427))))</f>
        <v/>
      </c>
      <c r="Y1427">
        <f>IF(N(X1427)=0,"",X1427+ROW()/1000000000)</f>
        <v/>
      </c>
      <c r="Z1427">
        <f>IF(Y1427="","",IF(COUNTIFS(Log!$D$6:$D$1505,D1427,Log!$Y$6:$Y$1505,"&gt;"&amp;Y1427)=0,1,0))</f>
        <v/>
      </c>
      <c r="AA1427">
        <f>IF(OR(B1427="",D1427=""),"",B1427+ROW()/10000000)</f>
        <v/>
      </c>
      <c r="AB1427">
        <f>IF(AA1427="","",IF(COUNTIFS(Log!$D$6:$D$1505,D1427,Log!$AA$6:$AA$1505,"&gt;"&amp;AA1427)=0,1,0))</f>
        <v/>
      </c>
      <c r="AC1427">
        <f>IF(S1427="New best",AA1427,"")</f>
        <v/>
      </c>
      <c r="AD1427">
        <f>ROW()</f>
        <v/>
      </c>
    </row>
    <row r="1428">
      <c r="A1428" s="1" t="n"/>
      <c r="B1428" s="21" t="n"/>
      <c r="C1428" s="22" t="n"/>
      <c r="D1428" s="23" t="n"/>
      <c r="E1428" s="24" t="n"/>
      <c r="F1428" s="24" t="n"/>
      <c r="G1428" s="24" t="n"/>
      <c r="H1428" s="24" t="n"/>
      <c r="I1428" s="24" t="n"/>
      <c r="J1428" s="24" t="n"/>
      <c r="K1428" s="24" t="n"/>
      <c r="L1428" s="24" t="n"/>
      <c r="M1428" s="24" t="n"/>
      <c r="N1428" s="24" t="n"/>
      <c r="O1428" s="15">
        <f>IF(D1428="","",COUNT(F1428,H1428,J1428,L1428,N1428))</f>
        <v/>
      </c>
      <c r="P1428" s="25">
        <f>IF(D1428="","",N(E1428)*N(F1428)+N(G1428)*N(H1428)+N(I1428)*N(J1428)+N(K1428)*N(L1428)+N(M1428)*N(N1428))</f>
        <v/>
      </c>
      <c r="Q1428" s="18">
        <f>IF(N(X1428)=0,"",IF(IF(N(F1428)=0,0,IF(N(E1428)&gt;0,E1428*(1+F1428/30),F1428))=X1428,IF(N(E1428)&gt;0,E1428&amp;" x "&amp;F1428,F1428&amp;" reps"),IF(IF(N(H1428)=0,0,IF(N(G1428)&gt;0,G1428*(1+H1428/30),H1428))=X1428,IF(N(G1428)&gt;0,G1428&amp;" x "&amp;H1428,H1428&amp;" reps"),IF(IF(N(J1428)=0,0,IF(N(I1428)&gt;0,I1428*(1+J1428/30),J1428))=X1428,IF(N(I1428)&gt;0,I1428&amp;" x "&amp;J1428,J1428&amp;" reps"),IF(IF(N(L1428)=0,0,IF(N(K1428)&gt;0,K1428*(1+L1428/30),L1428))=X1428,IF(N(K1428)&gt;0,K1428&amp;" x "&amp;L1428,L1428&amp;" reps"),IF(IF(N(N1428)=0,0,IF(N(M1428)&gt;0,M1428*(1+N1428/30),N1428))=X1428,IF(N(M1428)&gt;0,M1428&amp;" x "&amp;N1428,N1428&amp;" reps"),""))))))</f>
        <v/>
      </c>
      <c r="R1428" s="20">
        <f>IF(N(X1428)=0,"",ROUND(X1428,1))</f>
        <v/>
      </c>
      <c r="S1428" s="18">
        <f>IF(N(X1428)=0,"",IF(AND(COUNTIFS(Log!$D$6:$D$1505,D1428,Log!$B$6:$B$1505,"&lt;"&amp;B1428)&gt;0,COUNTIFS(Log!$D$6:$D$1505,D1428,Log!$B$6:$B$1505,"&lt;"&amp;B1428,Log!$X$6:$X$1505,"&gt;="&amp;X1428)=0),"New best",""))</f>
        <v/>
      </c>
      <c r="T1428" s="26" t="n"/>
      <c r="U1428" s="1">
        <f>IF(D1428="","",IFERROR(INDEX(Exercises!$C$6:$C$105,MATCH(D1428,Exercises!$B$6:$B$105,0)),"Other"))</f>
        <v/>
      </c>
      <c r="V1428">
        <f>IF(B1428="","",IF(COUNTIF($B$6:B1428,B1428)=1,1,0))</f>
        <v/>
      </c>
      <c r="W1428">
        <f>IF(B1428="","",B1428-WEEKDAY(B1428,3))</f>
        <v/>
      </c>
      <c r="X1428">
        <f>IF(D1428="","",MAX(IF(N(F1428)=0,0,IF(N(E1428)&gt;0,E1428*(1+F1428/30),F1428)),IF(N(H1428)=0,0,IF(N(G1428)&gt;0,G1428*(1+H1428/30),H1428)),IF(N(J1428)=0,0,IF(N(I1428)&gt;0,I1428*(1+J1428/30),J1428)),IF(N(L1428)=0,0,IF(N(K1428)&gt;0,K1428*(1+L1428/30),L1428)),IF(N(N1428)=0,0,IF(N(M1428)&gt;0,M1428*(1+N1428/30),N1428))))</f>
        <v/>
      </c>
      <c r="Y1428">
        <f>IF(N(X1428)=0,"",X1428+ROW()/1000000000)</f>
        <v/>
      </c>
      <c r="Z1428">
        <f>IF(Y1428="","",IF(COUNTIFS(Log!$D$6:$D$1505,D1428,Log!$Y$6:$Y$1505,"&gt;"&amp;Y1428)=0,1,0))</f>
        <v/>
      </c>
      <c r="AA1428">
        <f>IF(OR(B1428="",D1428=""),"",B1428+ROW()/10000000)</f>
        <v/>
      </c>
      <c r="AB1428">
        <f>IF(AA1428="","",IF(COUNTIFS(Log!$D$6:$D$1505,D1428,Log!$AA$6:$AA$1505,"&gt;"&amp;AA1428)=0,1,0))</f>
        <v/>
      </c>
      <c r="AC1428">
        <f>IF(S1428="New best",AA1428,"")</f>
        <v/>
      </c>
      <c r="AD1428">
        <f>ROW()</f>
        <v/>
      </c>
    </row>
    <row r="1429">
      <c r="A1429" s="1" t="n"/>
      <c r="B1429" s="21" t="n"/>
      <c r="C1429" s="22" t="n"/>
      <c r="D1429" s="23" t="n"/>
      <c r="E1429" s="24" t="n"/>
      <c r="F1429" s="24" t="n"/>
      <c r="G1429" s="24" t="n"/>
      <c r="H1429" s="24" t="n"/>
      <c r="I1429" s="24" t="n"/>
      <c r="J1429" s="24" t="n"/>
      <c r="K1429" s="24" t="n"/>
      <c r="L1429" s="24" t="n"/>
      <c r="M1429" s="24" t="n"/>
      <c r="N1429" s="24" t="n"/>
      <c r="O1429" s="15">
        <f>IF(D1429="","",COUNT(F1429,H1429,J1429,L1429,N1429))</f>
        <v/>
      </c>
      <c r="P1429" s="25">
        <f>IF(D1429="","",N(E1429)*N(F1429)+N(G1429)*N(H1429)+N(I1429)*N(J1429)+N(K1429)*N(L1429)+N(M1429)*N(N1429))</f>
        <v/>
      </c>
      <c r="Q1429" s="18">
        <f>IF(N(X1429)=0,"",IF(IF(N(F1429)=0,0,IF(N(E1429)&gt;0,E1429*(1+F1429/30),F1429))=X1429,IF(N(E1429)&gt;0,E1429&amp;" x "&amp;F1429,F1429&amp;" reps"),IF(IF(N(H1429)=0,0,IF(N(G1429)&gt;0,G1429*(1+H1429/30),H1429))=X1429,IF(N(G1429)&gt;0,G1429&amp;" x "&amp;H1429,H1429&amp;" reps"),IF(IF(N(J1429)=0,0,IF(N(I1429)&gt;0,I1429*(1+J1429/30),J1429))=X1429,IF(N(I1429)&gt;0,I1429&amp;" x "&amp;J1429,J1429&amp;" reps"),IF(IF(N(L1429)=0,0,IF(N(K1429)&gt;0,K1429*(1+L1429/30),L1429))=X1429,IF(N(K1429)&gt;0,K1429&amp;" x "&amp;L1429,L1429&amp;" reps"),IF(IF(N(N1429)=0,0,IF(N(M1429)&gt;0,M1429*(1+N1429/30),N1429))=X1429,IF(N(M1429)&gt;0,M1429&amp;" x "&amp;N1429,N1429&amp;" reps"),""))))))</f>
        <v/>
      </c>
      <c r="R1429" s="20">
        <f>IF(N(X1429)=0,"",ROUND(X1429,1))</f>
        <v/>
      </c>
      <c r="S1429" s="18">
        <f>IF(N(X1429)=0,"",IF(AND(COUNTIFS(Log!$D$6:$D$1505,D1429,Log!$B$6:$B$1505,"&lt;"&amp;B1429)&gt;0,COUNTIFS(Log!$D$6:$D$1505,D1429,Log!$B$6:$B$1505,"&lt;"&amp;B1429,Log!$X$6:$X$1505,"&gt;="&amp;X1429)=0),"New best",""))</f>
        <v/>
      </c>
      <c r="T1429" s="26" t="n"/>
      <c r="U1429" s="1">
        <f>IF(D1429="","",IFERROR(INDEX(Exercises!$C$6:$C$105,MATCH(D1429,Exercises!$B$6:$B$105,0)),"Other"))</f>
        <v/>
      </c>
      <c r="V1429">
        <f>IF(B1429="","",IF(COUNTIF($B$6:B1429,B1429)=1,1,0))</f>
        <v/>
      </c>
      <c r="W1429">
        <f>IF(B1429="","",B1429-WEEKDAY(B1429,3))</f>
        <v/>
      </c>
      <c r="X1429">
        <f>IF(D1429="","",MAX(IF(N(F1429)=0,0,IF(N(E1429)&gt;0,E1429*(1+F1429/30),F1429)),IF(N(H1429)=0,0,IF(N(G1429)&gt;0,G1429*(1+H1429/30),H1429)),IF(N(J1429)=0,0,IF(N(I1429)&gt;0,I1429*(1+J1429/30),J1429)),IF(N(L1429)=0,0,IF(N(K1429)&gt;0,K1429*(1+L1429/30),L1429)),IF(N(N1429)=0,0,IF(N(M1429)&gt;0,M1429*(1+N1429/30),N1429))))</f>
        <v/>
      </c>
      <c r="Y1429">
        <f>IF(N(X1429)=0,"",X1429+ROW()/1000000000)</f>
        <v/>
      </c>
      <c r="Z1429">
        <f>IF(Y1429="","",IF(COUNTIFS(Log!$D$6:$D$1505,D1429,Log!$Y$6:$Y$1505,"&gt;"&amp;Y1429)=0,1,0))</f>
        <v/>
      </c>
      <c r="AA1429">
        <f>IF(OR(B1429="",D1429=""),"",B1429+ROW()/10000000)</f>
        <v/>
      </c>
      <c r="AB1429">
        <f>IF(AA1429="","",IF(COUNTIFS(Log!$D$6:$D$1505,D1429,Log!$AA$6:$AA$1505,"&gt;"&amp;AA1429)=0,1,0))</f>
        <v/>
      </c>
      <c r="AC1429">
        <f>IF(S1429="New best",AA1429,"")</f>
        <v/>
      </c>
      <c r="AD1429">
        <f>ROW()</f>
        <v/>
      </c>
    </row>
    <row r="1430">
      <c r="A1430" s="1" t="n"/>
      <c r="B1430" s="21" t="n"/>
      <c r="C1430" s="22" t="n"/>
      <c r="D1430" s="23" t="n"/>
      <c r="E1430" s="24" t="n"/>
      <c r="F1430" s="24" t="n"/>
      <c r="G1430" s="24" t="n"/>
      <c r="H1430" s="24" t="n"/>
      <c r="I1430" s="24" t="n"/>
      <c r="J1430" s="24" t="n"/>
      <c r="K1430" s="24" t="n"/>
      <c r="L1430" s="24" t="n"/>
      <c r="M1430" s="24" t="n"/>
      <c r="N1430" s="24" t="n"/>
      <c r="O1430" s="15">
        <f>IF(D1430="","",COUNT(F1430,H1430,J1430,L1430,N1430))</f>
        <v/>
      </c>
      <c r="P1430" s="25">
        <f>IF(D1430="","",N(E1430)*N(F1430)+N(G1430)*N(H1430)+N(I1430)*N(J1430)+N(K1430)*N(L1430)+N(M1430)*N(N1430))</f>
        <v/>
      </c>
      <c r="Q1430" s="18">
        <f>IF(N(X1430)=0,"",IF(IF(N(F1430)=0,0,IF(N(E1430)&gt;0,E1430*(1+F1430/30),F1430))=X1430,IF(N(E1430)&gt;0,E1430&amp;" x "&amp;F1430,F1430&amp;" reps"),IF(IF(N(H1430)=0,0,IF(N(G1430)&gt;0,G1430*(1+H1430/30),H1430))=X1430,IF(N(G1430)&gt;0,G1430&amp;" x "&amp;H1430,H1430&amp;" reps"),IF(IF(N(J1430)=0,0,IF(N(I1430)&gt;0,I1430*(1+J1430/30),J1430))=X1430,IF(N(I1430)&gt;0,I1430&amp;" x "&amp;J1430,J1430&amp;" reps"),IF(IF(N(L1430)=0,0,IF(N(K1430)&gt;0,K1430*(1+L1430/30),L1430))=X1430,IF(N(K1430)&gt;0,K1430&amp;" x "&amp;L1430,L1430&amp;" reps"),IF(IF(N(N1430)=0,0,IF(N(M1430)&gt;0,M1430*(1+N1430/30),N1430))=X1430,IF(N(M1430)&gt;0,M1430&amp;" x "&amp;N1430,N1430&amp;" reps"),""))))))</f>
        <v/>
      </c>
      <c r="R1430" s="20">
        <f>IF(N(X1430)=0,"",ROUND(X1430,1))</f>
        <v/>
      </c>
      <c r="S1430" s="18">
        <f>IF(N(X1430)=0,"",IF(AND(COUNTIFS(Log!$D$6:$D$1505,D1430,Log!$B$6:$B$1505,"&lt;"&amp;B1430)&gt;0,COUNTIFS(Log!$D$6:$D$1505,D1430,Log!$B$6:$B$1505,"&lt;"&amp;B1430,Log!$X$6:$X$1505,"&gt;="&amp;X1430)=0),"New best",""))</f>
        <v/>
      </c>
      <c r="T1430" s="26" t="n"/>
      <c r="U1430" s="1">
        <f>IF(D1430="","",IFERROR(INDEX(Exercises!$C$6:$C$105,MATCH(D1430,Exercises!$B$6:$B$105,0)),"Other"))</f>
        <v/>
      </c>
      <c r="V1430">
        <f>IF(B1430="","",IF(COUNTIF($B$6:B1430,B1430)=1,1,0))</f>
        <v/>
      </c>
      <c r="W1430">
        <f>IF(B1430="","",B1430-WEEKDAY(B1430,3))</f>
        <v/>
      </c>
      <c r="X1430">
        <f>IF(D1430="","",MAX(IF(N(F1430)=0,0,IF(N(E1430)&gt;0,E1430*(1+F1430/30),F1430)),IF(N(H1430)=0,0,IF(N(G1430)&gt;0,G1430*(1+H1430/30),H1430)),IF(N(J1430)=0,0,IF(N(I1430)&gt;0,I1430*(1+J1430/30),J1430)),IF(N(L1430)=0,0,IF(N(K1430)&gt;0,K1430*(1+L1430/30),L1430)),IF(N(N1430)=0,0,IF(N(M1430)&gt;0,M1430*(1+N1430/30),N1430))))</f>
        <v/>
      </c>
      <c r="Y1430">
        <f>IF(N(X1430)=0,"",X1430+ROW()/1000000000)</f>
        <v/>
      </c>
      <c r="Z1430">
        <f>IF(Y1430="","",IF(COUNTIFS(Log!$D$6:$D$1505,D1430,Log!$Y$6:$Y$1505,"&gt;"&amp;Y1430)=0,1,0))</f>
        <v/>
      </c>
      <c r="AA1430">
        <f>IF(OR(B1430="",D1430=""),"",B1430+ROW()/10000000)</f>
        <v/>
      </c>
      <c r="AB1430">
        <f>IF(AA1430="","",IF(COUNTIFS(Log!$D$6:$D$1505,D1430,Log!$AA$6:$AA$1505,"&gt;"&amp;AA1430)=0,1,0))</f>
        <v/>
      </c>
      <c r="AC1430">
        <f>IF(S1430="New best",AA1430,"")</f>
        <v/>
      </c>
      <c r="AD1430">
        <f>ROW()</f>
        <v/>
      </c>
    </row>
    <row r="1431">
      <c r="A1431" s="1" t="n"/>
      <c r="B1431" s="21" t="n"/>
      <c r="C1431" s="22" t="n"/>
      <c r="D1431" s="23" t="n"/>
      <c r="E1431" s="24" t="n"/>
      <c r="F1431" s="24" t="n"/>
      <c r="G1431" s="24" t="n"/>
      <c r="H1431" s="24" t="n"/>
      <c r="I1431" s="24" t="n"/>
      <c r="J1431" s="24" t="n"/>
      <c r="K1431" s="24" t="n"/>
      <c r="L1431" s="24" t="n"/>
      <c r="M1431" s="24" t="n"/>
      <c r="N1431" s="24" t="n"/>
      <c r="O1431" s="15">
        <f>IF(D1431="","",COUNT(F1431,H1431,J1431,L1431,N1431))</f>
        <v/>
      </c>
      <c r="P1431" s="25">
        <f>IF(D1431="","",N(E1431)*N(F1431)+N(G1431)*N(H1431)+N(I1431)*N(J1431)+N(K1431)*N(L1431)+N(M1431)*N(N1431))</f>
        <v/>
      </c>
      <c r="Q1431" s="18">
        <f>IF(N(X1431)=0,"",IF(IF(N(F1431)=0,0,IF(N(E1431)&gt;0,E1431*(1+F1431/30),F1431))=X1431,IF(N(E1431)&gt;0,E1431&amp;" x "&amp;F1431,F1431&amp;" reps"),IF(IF(N(H1431)=0,0,IF(N(G1431)&gt;0,G1431*(1+H1431/30),H1431))=X1431,IF(N(G1431)&gt;0,G1431&amp;" x "&amp;H1431,H1431&amp;" reps"),IF(IF(N(J1431)=0,0,IF(N(I1431)&gt;0,I1431*(1+J1431/30),J1431))=X1431,IF(N(I1431)&gt;0,I1431&amp;" x "&amp;J1431,J1431&amp;" reps"),IF(IF(N(L1431)=0,0,IF(N(K1431)&gt;0,K1431*(1+L1431/30),L1431))=X1431,IF(N(K1431)&gt;0,K1431&amp;" x "&amp;L1431,L1431&amp;" reps"),IF(IF(N(N1431)=0,0,IF(N(M1431)&gt;0,M1431*(1+N1431/30),N1431))=X1431,IF(N(M1431)&gt;0,M1431&amp;" x "&amp;N1431,N1431&amp;" reps"),""))))))</f>
        <v/>
      </c>
      <c r="R1431" s="20">
        <f>IF(N(X1431)=0,"",ROUND(X1431,1))</f>
        <v/>
      </c>
      <c r="S1431" s="18">
        <f>IF(N(X1431)=0,"",IF(AND(COUNTIFS(Log!$D$6:$D$1505,D1431,Log!$B$6:$B$1505,"&lt;"&amp;B1431)&gt;0,COUNTIFS(Log!$D$6:$D$1505,D1431,Log!$B$6:$B$1505,"&lt;"&amp;B1431,Log!$X$6:$X$1505,"&gt;="&amp;X1431)=0),"New best",""))</f>
        <v/>
      </c>
      <c r="T1431" s="26" t="n"/>
      <c r="U1431" s="1">
        <f>IF(D1431="","",IFERROR(INDEX(Exercises!$C$6:$C$105,MATCH(D1431,Exercises!$B$6:$B$105,0)),"Other"))</f>
        <v/>
      </c>
      <c r="V1431">
        <f>IF(B1431="","",IF(COUNTIF($B$6:B1431,B1431)=1,1,0))</f>
        <v/>
      </c>
      <c r="W1431">
        <f>IF(B1431="","",B1431-WEEKDAY(B1431,3))</f>
        <v/>
      </c>
      <c r="X1431">
        <f>IF(D1431="","",MAX(IF(N(F1431)=0,0,IF(N(E1431)&gt;0,E1431*(1+F1431/30),F1431)),IF(N(H1431)=0,0,IF(N(G1431)&gt;0,G1431*(1+H1431/30),H1431)),IF(N(J1431)=0,0,IF(N(I1431)&gt;0,I1431*(1+J1431/30),J1431)),IF(N(L1431)=0,0,IF(N(K1431)&gt;0,K1431*(1+L1431/30),L1431)),IF(N(N1431)=0,0,IF(N(M1431)&gt;0,M1431*(1+N1431/30),N1431))))</f>
        <v/>
      </c>
      <c r="Y1431">
        <f>IF(N(X1431)=0,"",X1431+ROW()/1000000000)</f>
        <v/>
      </c>
      <c r="Z1431">
        <f>IF(Y1431="","",IF(COUNTIFS(Log!$D$6:$D$1505,D1431,Log!$Y$6:$Y$1505,"&gt;"&amp;Y1431)=0,1,0))</f>
        <v/>
      </c>
      <c r="AA1431">
        <f>IF(OR(B1431="",D1431=""),"",B1431+ROW()/10000000)</f>
        <v/>
      </c>
      <c r="AB1431">
        <f>IF(AA1431="","",IF(COUNTIFS(Log!$D$6:$D$1505,D1431,Log!$AA$6:$AA$1505,"&gt;"&amp;AA1431)=0,1,0))</f>
        <v/>
      </c>
      <c r="AC1431">
        <f>IF(S1431="New best",AA1431,"")</f>
        <v/>
      </c>
      <c r="AD1431">
        <f>ROW()</f>
        <v/>
      </c>
    </row>
    <row r="1432">
      <c r="A1432" s="1" t="n"/>
      <c r="B1432" s="21" t="n"/>
      <c r="C1432" s="22" t="n"/>
      <c r="D1432" s="23" t="n"/>
      <c r="E1432" s="24" t="n"/>
      <c r="F1432" s="24" t="n"/>
      <c r="G1432" s="24" t="n"/>
      <c r="H1432" s="24" t="n"/>
      <c r="I1432" s="24" t="n"/>
      <c r="J1432" s="24" t="n"/>
      <c r="K1432" s="24" t="n"/>
      <c r="L1432" s="24" t="n"/>
      <c r="M1432" s="24" t="n"/>
      <c r="N1432" s="24" t="n"/>
      <c r="O1432" s="15">
        <f>IF(D1432="","",COUNT(F1432,H1432,J1432,L1432,N1432))</f>
        <v/>
      </c>
      <c r="P1432" s="25">
        <f>IF(D1432="","",N(E1432)*N(F1432)+N(G1432)*N(H1432)+N(I1432)*N(J1432)+N(K1432)*N(L1432)+N(M1432)*N(N1432))</f>
        <v/>
      </c>
      <c r="Q1432" s="18">
        <f>IF(N(X1432)=0,"",IF(IF(N(F1432)=0,0,IF(N(E1432)&gt;0,E1432*(1+F1432/30),F1432))=X1432,IF(N(E1432)&gt;0,E1432&amp;" x "&amp;F1432,F1432&amp;" reps"),IF(IF(N(H1432)=0,0,IF(N(G1432)&gt;0,G1432*(1+H1432/30),H1432))=X1432,IF(N(G1432)&gt;0,G1432&amp;" x "&amp;H1432,H1432&amp;" reps"),IF(IF(N(J1432)=0,0,IF(N(I1432)&gt;0,I1432*(1+J1432/30),J1432))=X1432,IF(N(I1432)&gt;0,I1432&amp;" x "&amp;J1432,J1432&amp;" reps"),IF(IF(N(L1432)=0,0,IF(N(K1432)&gt;0,K1432*(1+L1432/30),L1432))=X1432,IF(N(K1432)&gt;0,K1432&amp;" x "&amp;L1432,L1432&amp;" reps"),IF(IF(N(N1432)=0,0,IF(N(M1432)&gt;0,M1432*(1+N1432/30),N1432))=X1432,IF(N(M1432)&gt;0,M1432&amp;" x "&amp;N1432,N1432&amp;" reps"),""))))))</f>
        <v/>
      </c>
      <c r="R1432" s="20">
        <f>IF(N(X1432)=0,"",ROUND(X1432,1))</f>
        <v/>
      </c>
      <c r="S1432" s="18">
        <f>IF(N(X1432)=0,"",IF(AND(COUNTIFS(Log!$D$6:$D$1505,D1432,Log!$B$6:$B$1505,"&lt;"&amp;B1432)&gt;0,COUNTIFS(Log!$D$6:$D$1505,D1432,Log!$B$6:$B$1505,"&lt;"&amp;B1432,Log!$X$6:$X$1505,"&gt;="&amp;X1432)=0),"New best",""))</f>
        <v/>
      </c>
      <c r="T1432" s="26" t="n"/>
      <c r="U1432" s="1">
        <f>IF(D1432="","",IFERROR(INDEX(Exercises!$C$6:$C$105,MATCH(D1432,Exercises!$B$6:$B$105,0)),"Other"))</f>
        <v/>
      </c>
      <c r="V1432">
        <f>IF(B1432="","",IF(COUNTIF($B$6:B1432,B1432)=1,1,0))</f>
        <v/>
      </c>
      <c r="W1432">
        <f>IF(B1432="","",B1432-WEEKDAY(B1432,3))</f>
        <v/>
      </c>
      <c r="X1432">
        <f>IF(D1432="","",MAX(IF(N(F1432)=0,0,IF(N(E1432)&gt;0,E1432*(1+F1432/30),F1432)),IF(N(H1432)=0,0,IF(N(G1432)&gt;0,G1432*(1+H1432/30),H1432)),IF(N(J1432)=0,0,IF(N(I1432)&gt;0,I1432*(1+J1432/30),J1432)),IF(N(L1432)=0,0,IF(N(K1432)&gt;0,K1432*(1+L1432/30),L1432)),IF(N(N1432)=0,0,IF(N(M1432)&gt;0,M1432*(1+N1432/30),N1432))))</f>
        <v/>
      </c>
      <c r="Y1432">
        <f>IF(N(X1432)=0,"",X1432+ROW()/1000000000)</f>
        <v/>
      </c>
      <c r="Z1432">
        <f>IF(Y1432="","",IF(COUNTIFS(Log!$D$6:$D$1505,D1432,Log!$Y$6:$Y$1505,"&gt;"&amp;Y1432)=0,1,0))</f>
        <v/>
      </c>
      <c r="AA1432">
        <f>IF(OR(B1432="",D1432=""),"",B1432+ROW()/10000000)</f>
        <v/>
      </c>
      <c r="AB1432">
        <f>IF(AA1432="","",IF(COUNTIFS(Log!$D$6:$D$1505,D1432,Log!$AA$6:$AA$1505,"&gt;"&amp;AA1432)=0,1,0))</f>
        <v/>
      </c>
      <c r="AC1432">
        <f>IF(S1432="New best",AA1432,"")</f>
        <v/>
      </c>
      <c r="AD1432">
        <f>ROW()</f>
        <v/>
      </c>
    </row>
    <row r="1433">
      <c r="A1433" s="1" t="n"/>
      <c r="B1433" s="21" t="n"/>
      <c r="C1433" s="22" t="n"/>
      <c r="D1433" s="23" t="n"/>
      <c r="E1433" s="24" t="n"/>
      <c r="F1433" s="24" t="n"/>
      <c r="G1433" s="24" t="n"/>
      <c r="H1433" s="24" t="n"/>
      <c r="I1433" s="24" t="n"/>
      <c r="J1433" s="24" t="n"/>
      <c r="K1433" s="24" t="n"/>
      <c r="L1433" s="24" t="n"/>
      <c r="M1433" s="24" t="n"/>
      <c r="N1433" s="24" t="n"/>
      <c r="O1433" s="15">
        <f>IF(D1433="","",COUNT(F1433,H1433,J1433,L1433,N1433))</f>
        <v/>
      </c>
      <c r="P1433" s="25">
        <f>IF(D1433="","",N(E1433)*N(F1433)+N(G1433)*N(H1433)+N(I1433)*N(J1433)+N(K1433)*N(L1433)+N(M1433)*N(N1433))</f>
        <v/>
      </c>
      <c r="Q1433" s="18">
        <f>IF(N(X1433)=0,"",IF(IF(N(F1433)=0,0,IF(N(E1433)&gt;0,E1433*(1+F1433/30),F1433))=X1433,IF(N(E1433)&gt;0,E1433&amp;" x "&amp;F1433,F1433&amp;" reps"),IF(IF(N(H1433)=0,0,IF(N(G1433)&gt;0,G1433*(1+H1433/30),H1433))=X1433,IF(N(G1433)&gt;0,G1433&amp;" x "&amp;H1433,H1433&amp;" reps"),IF(IF(N(J1433)=0,0,IF(N(I1433)&gt;0,I1433*(1+J1433/30),J1433))=X1433,IF(N(I1433)&gt;0,I1433&amp;" x "&amp;J1433,J1433&amp;" reps"),IF(IF(N(L1433)=0,0,IF(N(K1433)&gt;0,K1433*(1+L1433/30),L1433))=X1433,IF(N(K1433)&gt;0,K1433&amp;" x "&amp;L1433,L1433&amp;" reps"),IF(IF(N(N1433)=0,0,IF(N(M1433)&gt;0,M1433*(1+N1433/30),N1433))=X1433,IF(N(M1433)&gt;0,M1433&amp;" x "&amp;N1433,N1433&amp;" reps"),""))))))</f>
        <v/>
      </c>
      <c r="R1433" s="20">
        <f>IF(N(X1433)=0,"",ROUND(X1433,1))</f>
        <v/>
      </c>
      <c r="S1433" s="18">
        <f>IF(N(X1433)=0,"",IF(AND(COUNTIFS(Log!$D$6:$D$1505,D1433,Log!$B$6:$B$1505,"&lt;"&amp;B1433)&gt;0,COUNTIFS(Log!$D$6:$D$1505,D1433,Log!$B$6:$B$1505,"&lt;"&amp;B1433,Log!$X$6:$X$1505,"&gt;="&amp;X1433)=0),"New best",""))</f>
        <v/>
      </c>
      <c r="T1433" s="26" t="n"/>
      <c r="U1433" s="1">
        <f>IF(D1433="","",IFERROR(INDEX(Exercises!$C$6:$C$105,MATCH(D1433,Exercises!$B$6:$B$105,0)),"Other"))</f>
        <v/>
      </c>
      <c r="V1433">
        <f>IF(B1433="","",IF(COUNTIF($B$6:B1433,B1433)=1,1,0))</f>
        <v/>
      </c>
      <c r="W1433">
        <f>IF(B1433="","",B1433-WEEKDAY(B1433,3))</f>
        <v/>
      </c>
      <c r="X1433">
        <f>IF(D1433="","",MAX(IF(N(F1433)=0,0,IF(N(E1433)&gt;0,E1433*(1+F1433/30),F1433)),IF(N(H1433)=0,0,IF(N(G1433)&gt;0,G1433*(1+H1433/30),H1433)),IF(N(J1433)=0,0,IF(N(I1433)&gt;0,I1433*(1+J1433/30),J1433)),IF(N(L1433)=0,0,IF(N(K1433)&gt;0,K1433*(1+L1433/30),L1433)),IF(N(N1433)=0,0,IF(N(M1433)&gt;0,M1433*(1+N1433/30),N1433))))</f>
        <v/>
      </c>
      <c r="Y1433">
        <f>IF(N(X1433)=0,"",X1433+ROW()/1000000000)</f>
        <v/>
      </c>
      <c r="Z1433">
        <f>IF(Y1433="","",IF(COUNTIFS(Log!$D$6:$D$1505,D1433,Log!$Y$6:$Y$1505,"&gt;"&amp;Y1433)=0,1,0))</f>
        <v/>
      </c>
      <c r="AA1433">
        <f>IF(OR(B1433="",D1433=""),"",B1433+ROW()/10000000)</f>
        <v/>
      </c>
      <c r="AB1433">
        <f>IF(AA1433="","",IF(COUNTIFS(Log!$D$6:$D$1505,D1433,Log!$AA$6:$AA$1505,"&gt;"&amp;AA1433)=0,1,0))</f>
        <v/>
      </c>
      <c r="AC1433">
        <f>IF(S1433="New best",AA1433,"")</f>
        <v/>
      </c>
      <c r="AD1433">
        <f>ROW()</f>
        <v/>
      </c>
    </row>
    <row r="1434">
      <c r="A1434" s="1" t="n"/>
      <c r="B1434" s="21" t="n"/>
      <c r="C1434" s="22" t="n"/>
      <c r="D1434" s="23" t="n"/>
      <c r="E1434" s="24" t="n"/>
      <c r="F1434" s="24" t="n"/>
      <c r="G1434" s="24" t="n"/>
      <c r="H1434" s="24" t="n"/>
      <c r="I1434" s="24" t="n"/>
      <c r="J1434" s="24" t="n"/>
      <c r="K1434" s="24" t="n"/>
      <c r="L1434" s="24" t="n"/>
      <c r="M1434" s="24" t="n"/>
      <c r="N1434" s="24" t="n"/>
      <c r="O1434" s="15">
        <f>IF(D1434="","",COUNT(F1434,H1434,J1434,L1434,N1434))</f>
        <v/>
      </c>
      <c r="P1434" s="25">
        <f>IF(D1434="","",N(E1434)*N(F1434)+N(G1434)*N(H1434)+N(I1434)*N(J1434)+N(K1434)*N(L1434)+N(M1434)*N(N1434))</f>
        <v/>
      </c>
      <c r="Q1434" s="18">
        <f>IF(N(X1434)=0,"",IF(IF(N(F1434)=0,0,IF(N(E1434)&gt;0,E1434*(1+F1434/30),F1434))=X1434,IF(N(E1434)&gt;0,E1434&amp;" x "&amp;F1434,F1434&amp;" reps"),IF(IF(N(H1434)=0,0,IF(N(G1434)&gt;0,G1434*(1+H1434/30),H1434))=X1434,IF(N(G1434)&gt;0,G1434&amp;" x "&amp;H1434,H1434&amp;" reps"),IF(IF(N(J1434)=0,0,IF(N(I1434)&gt;0,I1434*(1+J1434/30),J1434))=X1434,IF(N(I1434)&gt;0,I1434&amp;" x "&amp;J1434,J1434&amp;" reps"),IF(IF(N(L1434)=0,0,IF(N(K1434)&gt;0,K1434*(1+L1434/30),L1434))=X1434,IF(N(K1434)&gt;0,K1434&amp;" x "&amp;L1434,L1434&amp;" reps"),IF(IF(N(N1434)=0,0,IF(N(M1434)&gt;0,M1434*(1+N1434/30),N1434))=X1434,IF(N(M1434)&gt;0,M1434&amp;" x "&amp;N1434,N1434&amp;" reps"),""))))))</f>
        <v/>
      </c>
      <c r="R1434" s="20">
        <f>IF(N(X1434)=0,"",ROUND(X1434,1))</f>
        <v/>
      </c>
      <c r="S1434" s="18">
        <f>IF(N(X1434)=0,"",IF(AND(COUNTIFS(Log!$D$6:$D$1505,D1434,Log!$B$6:$B$1505,"&lt;"&amp;B1434)&gt;0,COUNTIFS(Log!$D$6:$D$1505,D1434,Log!$B$6:$B$1505,"&lt;"&amp;B1434,Log!$X$6:$X$1505,"&gt;="&amp;X1434)=0),"New best",""))</f>
        <v/>
      </c>
      <c r="T1434" s="26" t="n"/>
      <c r="U1434" s="1">
        <f>IF(D1434="","",IFERROR(INDEX(Exercises!$C$6:$C$105,MATCH(D1434,Exercises!$B$6:$B$105,0)),"Other"))</f>
        <v/>
      </c>
      <c r="V1434">
        <f>IF(B1434="","",IF(COUNTIF($B$6:B1434,B1434)=1,1,0))</f>
        <v/>
      </c>
      <c r="W1434">
        <f>IF(B1434="","",B1434-WEEKDAY(B1434,3))</f>
        <v/>
      </c>
      <c r="X1434">
        <f>IF(D1434="","",MAX(IF(N(F1434)=0,0,IF(N(E1434)&gt;0,E1434*(1+F1434/30),F1434)),IF(N(H1434)=0,0,IF(N(G1434)&gt;0,G1434*(1+H1434/30),H1434)),IF(N(J1434)=0,0,IF(N(I1434)&gt;0,I1434*(1+J1434/30),J1434)),IF(N(L1434)=0,0,IF(N(K1434)&gt;0,K1434*(1+L1434/30),L1434)),IF(N(N1434)=0,0,IF(N(M1434)&gt;0,M1434*(1+N1434/30),N1434))))</f>
        <v/>
      </c>
      <c r="Y1434">
        <f>IF(N(X1434)=0,"",X1434+ROW()/1000000000)</f>
        <v/>
      </c>
      <c r="Z1434">
        <f>IF(Y1434="","",IF(COUNTIFS(Log!$D$6:$D$1505,D1434,Log!$Y$6:$Y$1505,"&gt;"&amp;Y1434)=0,1,0))</f>
        <v/>
      </c>
      <c r="AA1434">
        <f>IF(OR(B1434="",D1434=""),"",B1434+ROW()/10000000)</f>
        <v/>
      </c>
      <c r="AB1434">
        <f>IF(AA1434="","",IF(COUNTIFS(Log!$D$6:$D$1505,D1434,Log!$AA$6:$AA$1505,"&gt;"&amp;AA1434)=0,1,0))</f>
        <v/>
      </c>
      <c r="AC1434">
        <f>IF(S1434="New best",AA1434,"")</f>
        <v/>
      </c>
      <c r="AD1434">
        <f>ROW()</f>
        <v/>
      </c>
    </row>
    <row r="1435">
      <c r="A1435" s="1" t="n"/>
      <c r="B1435" s="21" t="n"/>
      <c r="C1435" s="22" t="n"/>
      <c r="D1435" s="23" t="n"/>
      <c r="E1435" s="24" t="n"/>
      <c r="F1435" s="24" t="n"/>
      <c r="G1435" s="24" t="n"/>
      <c r="H1435" s="24" t="n"/>
      <c r="I1435" s="24" t="n"/>
      <c r="J1435" s="24" t="n"/>
      <c r="K1435" s="24" t="n"/>
      <c r="L1435" s="24" t="n"/>
      <c r="M1435" s="24" t="n"/>
      <c r="N1435" s="24" t="n"/>
      <c r="O1435" s="15">
        <f>IF(D1435="","",COUNT(F1435,H1435,J1435,L1435,N1435))</f>
        <v/>
      </c>
      <c r="P1435" s="25">
        <f>IF(D1435="","",N(E1435)*N(F1435)+N(G1435)*N(H1435)+N(I1435)*N(J1435)+N(K1435)*N(L1435)+N(M1435)*N(N1435))</f>
        <v/>
      </c>
      <c r="Q1435" s="18">
        <f>IF(N(X1435)=0,"",IF(IF(N(F1435)=0,0,IF(N(E1435)&gt;0,E1435*(1+F1435/30),F1435))=X1435,IF(N(E1435)&gt;0,E1435&amp;" x "&amp;F1435,F1435&amp;" reps"),IF(IF(N(H1435)=0,0,IF(N(G1435)&gt;0,G1435*(1+H1435/30),H1435))=X1435,IF(N(G1435)&gt;0,G1435&amp;" x "&amp;H1435,H1435&amp;" reps"),IF(IF(N(J1435)=0,0,IF(N(I1435)&gt;0,I1435*(1+J1435/30),J1435))=X1435,IF(N(I1435)&gt;0,I1435&amp;" x "&amp;J1435,J1435&amp;" reps"),IF(IF(N(L1435)=0,0,IF(N(K1435)&gt;0,K1435*(1+L1435/30),L1435))=X1435,IF(N(K1435)&gt;0,K1435&amp;" x "&amp;L1435,L1435&amp;" reps"),IF(IF(N(N1435)=0,0,IF(N(M1435)&gt;0,M1435*(1+N1435/30),N1435))=X1435,IF(N(M1435)&gt;0,M1435&amp;" x "&amp;N1435,N1435&amp;" reps"),""))))))</f>
        <v/>
      </c>
      <c r="R1435" s="20">
        <f>IF(N(X1435)=0,"",ROUND(X1435,1))</f>
        <v/>
      </c>
      <c r="S1435" s="18">
        <f>IF(N(X1435)=0,"",IF(AND(COUNTIFS(Log!$D$6:$D$1505,D1435,Log!$B$6:$B$1505,"&lt;"&amp;B1435)&gt;0,COUNTIFS(Log!$D$6:$D$1505,D1435,Log!$B$6:$B$1505,"&lt;"&amp;B1435,Log!$X$6:$X$1505,"&gt;="&amp;X1435)=0),"New best",""))</f>
        <v/>
      </c>
      <c r="T1435" s="26" t="n"/>
      <c r="U1435" s="1">
        <f>IF(D1435="","",IFERROR(INDEX(Exercises!$C$6:$C$105,MATCH(D1435,Exercises!$B$6:$B$105,0)),"Other"))</f>
        <v/>
      </c>
      <c r="V1435">
        <f>IF(B1435="","",IF(COUNTIF($B$6:B1435,B1435)=1,1,0))</f>
        <v/>
      </c>
      <c r="W1435">
        <f>IF(B1435="","",B1435-WEEKDAY(B1435,3))</f>
        <v/>
      </c>
      <c r="X1435">
        <f>IF(D1435="","",MAX(IF(N(F1435)=0,0,IF(N(E1435)&gt;0,E1435*(1+F1435/30),F1435)),IF(N(H1435)=0,0,IF(N(G1435)&gt;0,G1435*(1+H1435/30),H1435)),IF(N(J1435)=0,0,IF(N(I1435)&gt;0,I1435*(1+J1435/30),J1435)),IF(N(L1435)=0,0,IF(N(K1435)&gt;0,K1435*(1+L1435/30),L1435)),IF(N(N1435)=0,0,IF(N(M1435)&gt;0,M1435*(1+N1435/30),N1435))))</f>
        <v/>
      </c>
      <c r="Y1435">
        <f>IF(N(X1435)=0,"",X1435+ROW()/1000000000)</f>
        <v/>
      </c>
      <c r="Z1435">
        <f>IF(Y1435="","",IF(COUNTIFS(Log!$D$6:$D$1505,D1435,Log!$Y$6:$Y$1505,"&gt;"&amp;Y1435)=0,1,0))</f>
        <v/>
      </c>
      <c r="AA1435">
        <f>IF(OR(B1435="",D1435=""),"",B1435+ROW()/10000000)</f>
        <v/>
      </c>
      <c r="AB1435">
        <f>IF(AA1435="","",IF(COUNTIFS(Log!$D$6:$D$1505,D1435,Log!$AA$6:$AA$1505,"&gt;"&amp;AA1435)=0,1,0))</f>
        <v/>
      </c>
      <c r="AC1435">
        <f>IF(S1435="New best",AA1435,"")</f>
        <v/>
      </c>
      <c r="AD1435">
        <f>ROW()</f>
        <v/>
      </c>
    </row>
    <row r="1436">
      <c r="A1436" s="1" t="n"/>
      <c r="B1436" s="21" t="n"/>
      <c r="C1436" s="22" t="n"/>
      <c r="D1436" s="23" t="n"/>
      <c r="E1436" s="24" t="n"/>
      <c r="F1436" s="24" t="n"/>
      <c r="G1436" s="24" t="n"/>
      <c r="H1436" s="24" t="n"/>
      <c r="I1436" s="24" t="n"/>
      <c r="J1436" s="24" t="n"/>
      <c r="K1436" s="24" t="n"/>
      <c r="L1436" s="24" t="n"/>
      <c r="M1436" s="24" t="n"/>
      <c r="N1436" s="24" t="n"/>
      <c r="O1436" s="15">
        <f>IF(D1436="","",COUNT(F1436,H1436,J1436,L1436,N1436))</f>
        <v/>
      </c>
      <c r="P1436" s="25">
        <f>IF(D1436="","",N(E1436)*N(F1436)+N(G1436)*N(H1436)+N(I1436)*N(J1436)+N(K1436)*N(L1436)+N(M1436)*N(N1436))</f>
        <v/>
      </c>
      <c r="Q1436" s="18">
        <f>IF(N(X1436)=0,"",IF(IF(N(F1436)=0,0,IF(N(E1436)&gt;0,E1436*(1+F1436/30),F1436))=X1436,IF(N(E1436)&gt;0,E1436&amp;" x "&amp;F1436,F1436&amp;" reps"),IF(IF(N(H1436)=0,0,IF(N(G1436)&gt;0,G1436*(1+H1436/30),H1436))=X1436,IF(N(G1436)&gt;0,G1436&amp;" x "&amp;H1436,H1436&amp;" reps"),IF(IF(N(J1436)=0,0,IF(N(I1436)&gt;0,I1436*(1+J1436/30),J1436))=X1436,IF(N(I1436)&gt;0,I1436&amp;" x "&amp;J1436,J1436&amp;" reps"),IF(IF(N(L1436)=0,0,IF(N(K1436)&gt;0,K1436*(1+L1436/30),L1436))=X1436,IF(N(K1436)&gt;0,K1436&amp;" x "&amp;L1436,L1436&amp;" reps"),IF(IF(N(N1436)=0,0,IF(N(M1436)&gt;0,M1436*(1+N1436/30),N1436))=X1436,IF(N(M1436)&gt;0,M1436&amp;" x "&amp;N1436,N1436&amp;" reps"),""))))))</f>
        <v/>
      </c>
      <c r="R1436" s="20">
        <f>IF(N(X1436)=0,"",ROUND(X1436,1))</f>
        <v/>
      </c>
      <c r="S1436" s="18">
        <f>IF(N(X1436)=0,"",IF(AND(COUNTIFS(Log!$D$6:$D$1505,D1436,Log!$B$6:$B$1505,"&lt;"&amp;B1436)&gt;0,COUNTIFS(Log!$D$6:$D$1505,D1436,Log!$B$6:$B$1505,"&lt;"&amp;B1436,Log!$X$6:$X$1505,"&gt;="&amp;X1436)=0),"New best",""))</f>
        <v/>
      </c>
      <c r="T1436" s="26" t="n"/>
      <c r="U1436" s="1">
        <f>IF(D1436="","",IFERROR(INDEX(Exercises!$C$6:$C$105,MATCH(D1436,Exercises!$B$6:$B$105,0)),"Other"))</f>
        <v/>
      </c>
      <c r="V1436">
        <f>IF(B1436="","",IF(COUNTIF($B$6:B1436,B1436)=1,1,0))</f>
        <v/>
      </c>
      <c r="W1436">
        <f>IF(B1436="","",B1436-WEEKDAY(B1436,3))</f>
        <v/>
      </c>
      <c r="X1436">
        <f>IF(D1436="","",MAX(IF(N(F1436)=0,0,IF(N(E1436)&gt;0,E1436*(1+F1436/30),F1436)),IF(N(H1436)=0,0,IF(N(G1436)&gt;0,G1436*(1+H1436/30),H1436)),IF(N(J1436)=0,0,IF(N(I1436)&gt;0,I1436*(1+J1436/30),J1436)),IF(N(L1436)=0,0,IF(N(K1436)&gt;0,K1436*(1+L1436/30),L1436)),IF(N(N1436)=0,0,IF(N(M1436)&gt;0,M1436*(1+N1436/30),N1436))))</f>
        <v/>
      </c>
      <c r="Y1436">
        <f>IF(N(X1436)=0,"",X1436+ROW()/1000000000)</f>
        <v/>
      </c>
      <c r="Z1436">
        <f>IF(Y1436="","",IF(COUNTIFS(Log!$D$6:$D$1505,D1436,Log!$Y$6:$Y$1505,"&gt;"&amp;Y1436)=0,1,0))</f>
        <v/>
      </c>
      <c r="AA1436">
        <f>IF(OR(B1436="",D1436=""),"",B1436+ROW()/10000000)</f>
        <v/>
      </c>
      <c r="AB1436">
        <f>IF(AA1436="","",IF(COUNTIFS(Log!$D$6:$D$1505,D1436,Log!$AA$6:$AA$1505,"&gt;"&amp;AA1436)=0,1,0))</f>
        <v/>
      </c>
      <c r="AC1436">
        <f>IF(S1436="New best",AA1436,"")</f>
        <v/>
      </c>
      <c r="AD1436">
        <f>ROW()</f>
        <v/>
      </c>
    </row>
    <row r="1437">
      <c r="A1437" s="1" t="n"/>
      <c r="B1437" s="21" t="n"/>
      <c r="C1437" s="22" t="n"/>
      <c r="D1437" s="23" t="n"/>
      <c r="E1437" s="24" t="n"/>
      <c r="F1437" s="24" t="n"/>
      <c r="G1437" s="24" t="n"/>
      <c r="H1437" s="24" t="n"/>
      <c r="I1437" s="24" t="n"/>
      <c r="J1437" s="24" t="n"/>
      <c r="K1437" s="24" t="n"/>
      <c r="L1437" s="24" t="n"/>
      <c r="M1437" s="24" t="n"/>
      <c r="N1437" s="24" t="n"/>
      <c r="O1437" s="15">
        <f>IF(D1437="","",COUNT(F1437,H1437,J1437,L1437,N1437))</f>
        <v/>
      </c>
      <c r="P1437" s="25">
        <f>IF(D1437="","",N(E1437)*N(F1437)+N(G1437)*N(H1437)+N(I1437)*N(J1437)+N(K1437)*N(L1437)+N(M1437)*N(N1437))</f>
        <v/>
      </c>
      <c r="Q1437" s="18">
        <f>IF(N(X1437)=0,"",IF(IF(N(F1437)=0,0,IF(N(E1437)&gt;0,E1437*(1+F1437/30),F1437))=X1437,IF(N(E1437)&gt;0,E1437&amp;" x "&amp;F1437,F1437&amp;" reps"),IF(IF(N(H1437)=0,0,IF(N(G1437)&gt;0,G1437*(1+H1437/30),H1437))=X1437,IF(N(G1437)&gt;0,G1437&amp;" x "&amp;H1437,H1437&amp;" reps"),IF(IF(N(J1437)=0,0,IF(N(I1437)&gt;0,I1437*(1+J1437/30),J1437))=X1437,IF(N(I1437)&gt;0,I1437&amp;" x "&amp;J1437,J1437&amp;" reps"),IF(IF(N(L1437)=0,0,IF(N(K1437)&gt;0,K1437*(1+L1437/30),L1437))=X1437,IF(N(K1437)&gt;0,K1437&amp;" x "&amp;L1437,L1437&amp;" reps"),IF(IF(N(N1437)=0,0,IF(N(M1437)&gt;0,M1437*(1+N1437/30),N1437))=X1437,IF(N(M1437)&gt;0,M1437&amp;" x "&amp;N1437,N1437&amp;" reps"),""))))))</f>
        <v/>
      </c>
      <c r="R1437" s="20">
        <f>IF(N(X1437)=0,"",ROUND(X1437,1))</f>
        <v/>
      </c>
      <c r="S1437" s="18">
        <f>IF(N(X1437)=0,"",IF(AND(COUNTIFS(Log!$D$6:$D$1505,D1437,Log!$B$6:$B$1505,"&lt;"&amp;B1437)&gt;0,COUNTIFS(Log!$D$6:$D$1505,D1437,Log!$B$6:$B$1505,"&lt;"&amp;B1437,Log!$X$6:$X$1505,"&gt;="&amp;X1437)=0),"New best",""))</f>
        <v/>
      </c>
      <c r="T1437" s="26" t="n"/>
      <c r="U1437" s="1">
        <f>IF(D1437="","",IFERROR(INDEX(Exercises!$C$6:$C$105,MATCH(D1437,Exercises!$B$6:$B$105,0)),"Other"))</f>
        <v/>
      </c>
      <c r="V1437">
        <f>IF(B1437="","",IF(COUNTIF($B$6:B1437,B1437)=1,1,0))</f>
        <v/>
      </c>
      <c r="W1437">
        <f>IF(B1437="","",B1437-WEEKDAY(B1437,3))</f>
        <v/>
      </c>
      <c r="X1437">
        <f>IF(D1437="","",MAX(IF(N(F1437)=0,0,IF(N(E1437)&gt;0,E1437*(1+F1437/30),F1437)),IF(N(H1437)=0,0,IF(N(G1437)&gt;0,G1437*(1+H1437/30),H1437)),IF(N(J1437)=0,0,IF(N(I1437)&gt;0,I1437*(1+J1437/30),J1437)),IF(N(L1437)=0,0,IF(N(K1437)&gt;0,K1437*(1+L1437/30),L1437)),IF(N(N1437)=0,0,IF(N(M1437)&gt;0,M1437*(1+N1437/30),N1437))))</f>
        <v/>
      </c>
      <c r="Y1437">
        <f>IF(N(X1437)=0,"",X1437+ROW()/1000000000)</f>
        <v/>
      </c>
      <c r="Z1437">
        <f>IF(Y1437="","",IF(COUNTIFS(Log!$D$6:$D$1505,D1437,Log!$Y$6:$Y$1505,"&gt;"&amp;Y1437)=0,1,0))</f>
        <v/>
      </c>
      <c r="AA1437">
        <f>IF(OR(B1437="",D1437=""),"",B1437+ROW()/10000000)</f>
        <v/>
      </c>
      <c r="AB1437">
        <f>IF(AA1437="","",IF(COUNTIFS(Log!$D$6:$D$1505,D1437,Log!$AA$6:$AA$1505,"&gt;"&amp;AA1437)=0,1,0))</f>
        <v/>
      </c>
      <c r="AC1437">
        <f>IF(S1437="New best",AA1437,"")</f>
        <v/>
      </c>
      <c r="AD1437">
        <f>ROW()</f>
        <v/>
      </c>
    </row>
    <row r="1438">
      <c r="A1438" s="1" t="n"/>
      <c r="B1438" s="21" t="n"/>
      <c r="C1438" s="22" t="n"/>
      <c r="D1438" s="23" t="n"/>
      <c r="E1438" s="24" t="n"/>
      <c r="F1438" s="24" t="n"/>
      <c r="G1438" s="24" t="n"/>
      <c r="H1438" s="24" t="n"/>
      <c r="I1438" s="24" t="n"/>
      <c r="J1438" s="24" t="n"/>
      <c r="K1438" s="24" t="n"/>
      <c r="L1438" s="24" t="n"/>
      <c r="M1438" s="24" t="n"/>
      <c r="N1438" s="24" t="n"/>
      <c r="O1438" s="15">
        <f>IF(D1438="","",COUNT(F1438,H1438,J1438,L1438,N1438))</f>
        <v/>
      </c>
      <c r="P1438" s="25">
        <f>IF(D1438="","",N(E1438)*N(F1438)+N(G1438)*N(H1438)+N(I1438)*N(J1438)+N(K1438)*N(L1438)+N(M1438)*N(N1438))</f>
        <v/>
      </c>
      <c r="Q1438" s="18">
        <f>IF(N(X1438)=0,"",IF(IF(N(F1438)=0,0,IF(N(E1438)&gt;0,E1438*(1+F1438/30),F1438))=X1438,IF(N(E1438)&gt;0,E1438&amp;" x "&amp;F1438,F1438&amp;" reps"),IF(IF(N(H1438)=0,0,IF(N(G1438)&gt;0,G1438*(1+H1438/30),H1438))=X1438,IF(N(G1438)&gt;0,G1438&amp;" x "&amp;H1438,H1438&amp;" reps"),IF(IF(N(J1438)=0,0,IF(N(I1438)&gt;0,I1438*(1+J1438/30),J1438))=X1438,IF(N(I1438)&gt;0,I1438&amp;" x "&amp;J1438,J1438&amp;" reps"),IF(IF(N(L1438)=0,0,IF(N(K1438)&gt;0,K1438*(1+L1438/30),L1438))=X1438,IF(N(K1438)&gt;0,K1438&amp;" x "&amp;L1438,L1438&amp;" reps"),IF(IF(N(N1438)=0,0,IF(N(M1438)&gt;0,M1438*(1+N1438/30),N1438))=X1438,IF(N(M1438)&gt;0,M1438&amp;" x "&amp;N1438,N1438&amp;" reps"),""))))))</f>
        <v/>
      </c>
      <c r="R1438" s="20">
        <f>IF(N(X1438)=0,"",ROUND(X1438,1))</f>
        <v/>
      </c>
      <c r="S1438" s="18">
        <f>IF(N(X1438)=0,"",IF(AND(COUNTIFS(Log!$D$6:$D$1505,D1438,Log!$B$6:$B$1505,"&lt;"&amp;B1438)&gt;0,COUNTIFS(Log!$D$6:$D$1505,D1438,Log!$B$6:$B$1505,"&lt;"&amp;B1438,Log!$X$6:$X$1505,"&gt;="&amp;X1438)=0),"New best",""))</f>
        <v/>
      </c>
      <c r="T1438" s="26" t="n"/>
      <c r="U1438" s="1">
        <f>IF(D1438="","",IFERROR(INDEX(Exercises!$C$6:$C$105,MATCH(D1438,Exercises!$B$6:$B$105,0)),"Other"))</f>
        <v/>
      </c>
      <c r="V1438">
        <f>IF(B1438="","",IF(COUNTIF($B$6:B1438,B1438)=1,1,0))</f>
        <v/>
      </c>
      <c r="W1438">
        <f>IF(B1438="","",B1438-WEEKDAY(B1438,3))</f>
        <v/>
      </c>
      <c r="X1438">
        <f>IF(D1438="","",MAX(IF(N(F1438)=0,0,IF(N(E1438)&gt;0,E1438*(1+F1438/30),F1438)),IF(N(H1438)=0,0,IF(N(G1438)&gt;0,G1438*(1+H1438/30),H1438)),IF(N(J1438)=0,0,IF(N(I1438)&gt;0,I1438*(1+J1438/30),J1438)),IF(N(L1438)=0,0,IF(N(K1438)&gt;0,K1438*(1+L1438/30),L1438)),IF(N(N1438)=0,0,IF(N(M1438)&gt;0,M1438*(1+N1438/30),N1438))))</f>
        <v/>
      </c>
      <c r="Y1438">
        <f>IF(N(X1438)=0,"",X1438+ROW()/1000000000)</f>
        <v/>
      </c>
      <c r="Z1438">
        <f>IF(Y1438="","",IF(COUNTIFS(Log!$D$6:$D$1505,D1438,Log!$Y$6:$Y$1505,"&gt;"&amp;Y1438)=0,1,0))</f>
        <v/>
      </c>
      <c r="AA1438">
        <f>IF(OR(B1438="",D1438=""),"",B1438+ROW()/10000000)</f>
        <v/>
      </c>
      <c r="AB1438">
        <f>IF(AA1438="","",IF(COUNTIFS(Log!$D$6:$D$1505,D1438,Log!$AA$6:$AA$1505,"&gt;"&amp;AA1438)=0,1,0))</f>
        <v/>
      </c>
      <c r="AC1438">
        <f>IF(S1438="New best",AA1438,"")</f>
        <v/>
      </c>
      <c r="AD1438">
        <f>ROW()</f>
        <v/>
      </c>
    </row>
    <row r="1439">
      <c r="A1439" s="1" t="n"/>
      <c r="B1439" s="21" t="n"/>
      <c r="C1439" s="22" t="n"/>
      <c r="D1439" s="23" t="n"/>
      <c r="E1439" s="24" t="n"/>
      <c r="F1439" s="24" t="n"/>
      <c r="G1439" s="24" t="n"/>
      <c r="H1439" s="24" t="n"/>
      <c r="I1439" s="24" t="n"/>
      <c r="J1439" s="24" t="n"/>
      <c r="K1439" s="24" t="n"/>
      <c r="L1439" s="24" t="n"/>
      <c r="M1439" s="24" t="n"/>
      <c r="N1439" s="24" t="n"/>
      <c r="O1439" s="15">
        <f>IF(D1439="","",COUNT(F1439,H1439,J1439,L1439,N1439))</f>
        <v/>
      </c>
      <c r="P1439" s="25">
        <f>IF(D1439="","",N(E1439)*N(F1439)+N(G1439)*N(H1439)+N(I1439)*N(J1439)+N(K1439)*N(L1439)+N(M1439)*N(N1439))</f>
        <v/>
      </c>
      <c r="Q1439" s="18">
        <f>IF(N(X1439)=0,"",IF(IF(N(F1439)=0,0,IF(N(E1439)&gt;0,E1439*(1+F1439/30),F1439))=X1439,IF(N(E1439)&gt;0,E1439&amp;" x "&amp;F1439,F1439&amp;" reps"),IF(IF(N(H1439)=0,0,IF(N(G1439)&gt;0,G1439*(1+H1439/30),H1439))=X1439,IF(N(G1439)&gt;0,G1439&amp;" x "&amp;H1439,H1439&amp;" reps"),IF(IF(N(J1439)=0,0,IF(N(I1439)&gt;0,I1439*(1+J1439/30),J1439))=X1439,IF(N(I1439)&gt;0,I1439&amp;" x "&amp;J1439,J1439&amp;" reps"),IF(IF(N(L1439)=0,0,IF(N(K1439)&gt;0,K1439*(1+L1439/30),L1439))=X1439,IF(N(K1439)&gt;0,K1439&amp;" x "&amp;L1439,L1439&amp;" reps"),IF(IF(N(N1439)=0,0,IF(N(M1439)&gt;0,M1439*(1+N1439/30),N1439))=X1439,IF(N(M1439)&gt;0,M1439&amp;" x "&amp;N1439,N1439&amp;" reps"),""))))))</f>
        <v/>
      </c>
      <c r="R1439" s="20">
        <f>IF(N(X1439)=0,"",ROUND(X1439,1))</f>
        <v/>
      </c>
      <c r="S1439" s="18">
        <f>IF(N(X1439)=0,"",IF(AND(COUNTIFS(Log!$D$6:$D$1505,D1439,Log!$B$6:$B$1505,"&lt;"&amp;B1439)&gt;0,COUNTIFS(Log!$D$6:$D$1505,D1439,Log!$B$6:$B$1505,"&lt;"&amp;B1439,Log!$X$6:$X$1505,"&gt;="&amp;X1439)=0),"New best",""))</f>
        <v/>
      </c>
      <c r="T1439" s="26" t="n"/>
      <c r="U1439" s="1">
        <f>IF(D1439="","",IFERROR(INDEX(Exercises!$C$6:$C$105,MATCH(D1439,Exercises!$B$6:$B$105,0)),"Other"))</f>
        <v/>
      </c>
      <c r="V1439">
        <f>IF(B1439="","",IF(COUNTIF($B$6:B1439,B1439)=1,1,0))</f>
        <v/>
      </c>
      <c r="W1439">
        <f>IF(B1439="","",B1439-WEEKDAY(B1439,3))</f>
        <v/>
      </c>
      <c r="X1439">
        <f>IF(D1439="","",MAX(IF(N(F1439)=0,0,IF(N(E1439)&gt;0,E1439*(1+F1439/30),F1439)),IF(N(H1439)=0,0,IF(N(G1439)&gt;0,G1439*(1+H1439/30),H1439)),IF(N(J1439)=0,0,IF(N(I1439)&gt;0,I1439*(1+J1439/30),J1439)),IF(N(L1439)=0,0,IF(N(K1439)&gt;0,K1439*(1+L1439/30),L1439)),IF(N(N1439)=0,0,IF(N(M1439)&gt;0,M1439*(1+N1439/30),N1439))))</f>
        <v/>
      </c>
      <c r="Y1439">
        <f>IF(N(X1439)=0,"",X1439+ROW()/1000000000)</f>
        <v/>
      </c>
      <c r="Z1439">
        <f>IF(Y1439="","",IF(COUNTIFS(Log!$D$6:$D$1505,D1439,Log!$Y$6:$Y$1505,"&gt;"&amp;Y1439)=0,1,0))</f>
        <v/>
      </c>
      <c r="AA1439">
        <f>IF(OR(B1439="",D1439=""),"",B1439+ROW()/10000000)</f>
        <v/>
      </c>
      <c r="AB1439">
        <f>IF(AA1439="","",IF(COUNTIFS(Log!$D$6:$D$1505,D1439,Log!$AA$6:$AA$1505,"&gt;"&amp;AA1439)=0,1,0))</f>
        <v/>
      </c>
      <c r="AC1439">
        <f>IF(S1439="New best",AA1439,"")</f>
        <v/>
      </c>
      <c r="AD1439">
        <f>ROW()</f>
        <v/>
      </c>
    </row>
    <row r="1440">
      <c r="A1440" s="1" t="n"/>
      <c r="B1440" s="21" t="n"/>
      <c r="C1440" s="22" t="n"/>
      <c r="D1440" s="23" t="n"/>
      <c r="E1440" s="24" t="n"/>
      <c r="F1440" s="24" t="n"/>
      <c r="G1440" s="24" t="n"/>
      <c r="H1440" s="24" t="n"/>
      <c r="I1440" s="24" t="n"/>
      <c r="J1440" s="24" t="n"/>
      <c r="K1440" s="24" t="n"/>
      <c r="L1440" s="24" t="n"/>
      <c r="M1440" s="24" t="n"/>
      <c r="N1440" s="24" t="n"/>
      <c r="O1440" s="15">
        <f>IF(D1440="","",COUNT(F1440,H1440,J1440,L1440,N1440))</f>
        <v/>
      </c>
      <c r="P1440" s="25">
        <f>IF(D1440="","",N(E1440)*N(F1440)+N(G1440)*N(H1440)+N(I1440)*N(J1440)+N(K1440)*N(L1440)+N(M1440)*N(N1440))</f>
        <v/>
      </c>
      <c r="Q1440" s="18">
        <f>IF(N(X1440)=0,"",IF(IF(N(F1440)=0,0,IF(N(E1440)&gt;0,E1440*(1+F1440/30),F1440))=X1440,IF(N(E1440)&gt;0,E1440&amp;" x "&amp;F1440,F1440&amp;" reps"),IF(IF(N(H1440)=0,0,IF(N(G1440)&gt;0,G1440*(1+H1440/30),H1440))=X1440,IF(N(G1440)&gt;0,G1440&amp;" x "&amp;H1440,H1440&amp;" reps"),IF(IF(N(J1440)=0,0,IF(N(I1440)&gt;0,I1440*(1+J1440/30),J1440))=X1440,IF(N(I1440)&gt;0,I1440&amp;" x "&amp;J1440,J1440&amp;" reps"),IF(IF(N(L1440)=0,0,IF(N(K1440)&gt;0,K1440*(1+L1440/30),L1440))=X1440,IF(N(K1440)&gt;0,K1440&amp;" x "&amp;L1440,L1440&amp;" reps"),IF(IF(N(N1440)=0,0,IF(N(M1440)&gt;0,M1440*(1+N1440/30),N1440))=X1440,IF(N(M1440)&gt;0,M1440&amp;" x "&amp;N1440,N1440&amp;" reps"),""))))))</f>
        <v/>
      </c>
      <c r="R1440" s="20">
        <f>IF(N(X1440)=0,"",ROUND(X1440,1))</f>
        <v/>
      </c>
      <c r="S1440" s="18">
        <f>IF(N(X1440)=0,"",IF(AND(COUNTIFS(Log!$D$6:$D$1505,D1440,Log!$B$6:$B$1505,"&lt;"&amp;B1440)&gt;0,COUNTIFS(Log!$D$6:$D$1505,D1440,Log!$B$6:$B$1505,"&lt;"&amp;B1440,Log!$X$6:$X$1505,"&gt;="&amp;X1440)=0),"New best",""))</f>
        <v/>
      </c>
      <c r="T1440" s="26" t="n"/>
      <c r="U1440" s="1">
        <f>IF(D1440="","",IFERROR(INDEX(Exercises!$C$6:$C$105,MATCH(D1440,Exercises!$B$6:$B$105,0)),"Other"))</f>
        <v/>
      </c>
      <c r="V1440">
        <f>IF(B1440="","",IF(COUNTIF($B$6:B1440,B1440)=1,1,0))</f>
        <v/>
      </c>
      <c r="W1440">
        <f>IF(B1440="","",B1440-WEEKDAY(B1440,3))</f>
        <v/>
      </c>
      <c r="X1440">
        <f>IF(D1440="","",MAX(IF(N(F1440)=0,0,IF(N(E1440)&gt;0,E1440*(1+F1440/30),F1440)),IF(N(H1440)=0,0,IF(N(G1440)&gt;0,G1440*(1+H1440/30),H1440)),IF(N(J1440)=0,0,IF(N(I1440)&gt;0,I1440*(1+J1440/30),J1440)),IF(N(L1440)=0,0,IF(N(K1440)&gt;0,K1440*(1+L1440/30),L1440)),IF(N(N1440)=0,0,IF(N(M1440)&gt;0,M1440*(1+N1440/30),N1440))))</f>
        <v/>
      </c>
      <c r="Y1440">
        <f>IF(N(X1440)=0,"",X1440+ROW()/1000000000)</f>
        <v/>
      </c>
      <c r="Z1440">
        <f>IF(Y1440="","",IF(COUNTIFS(Log!$D$6:$D$1505,D1440,Log!$Y$6:$Y$1505,"&gt;"&amp;Y1440)=0,1,0))</f>
        <v/>
      </c>
      <c r="AA1440">
        <f>IF(OR(B1440="",D1440=""),"",B1440+ROW()/10000000)</f>
        <v/>
      </c>
      <c r="AB1440">
        <f>IF(AA1440="","",IF(COUNTIFS(Log!$D$6:$D$1505,D1440,Log!$AA$6:$AA$1505,"&gt;"&amp;AA1440)=0,1,0))</f>
        <v/>
      </c>
      <c r="AC1440">
        <f>IF(S1440="New best",AA1440,"")</f>
        <v/>
      </c>
      <c r="AD1440">
        <f>ROW()</f>
        <v/>
      </c>
    </row>
    <row r="1441">
      <c r="A1441" s="1" t="n"/>
      <c r="B1441" s="21" t="n"/>
      <c r="C1441" s="22" t="n"/>
      <c r="D1441" s="23" t="n"/>
      <c r="E1441" s="24" t="n"/>
      <c r="F1441" s="24" t="n"/>
      <c r="G1441" s="24" t="n"/>
      <c r="H1441" s="24" t="n"/>
      <c r="I1441" s="24" t="n"/>
      <c r="J1441" s="24" t="n"/>
      <c r="K1441" s="24" t="n"/>
      <c r="L1441" s="24" t="n"/>
      <c r="M1441" s="24" t="n"/>
      <c r="N1441" s="24" t="n"/>
      <c r="O1441" s="15">
        <f>IF(D1441="","",COUNT(F1441,H1441,J1441,L1441,N1441))</f>
        <v/>
      </c>
      <c r="P1441" s="25">
        <f>IF(D1441="","",N(E1441)*N(F1441)+N(G1441)*N(H1441)+N(I1441)*N(J1441)+N(K1441)*N(L1441)+N(M1441)*N(N1441))</f>
        <v/>
      </c>
      <c r="Q1441" s="18">
        <f>IF(N(X1441)=0,"",IF(IF(N(F1441)=0,0,IF(N(E1441)&gt;0,E1441*(1+F1441/30),F1441))=X1441,IF(N(E1441)&gt;0,E1441&amp;" x "&amp;F1441,F1441&amp;" reps"),IF(IF(N(H1441)=0,0,IF(N(G1441)&gt;0,G1441*(1+H1441/30),H1441))=X1441,IF(N(G1441)&gt;0,G1441&amp;" x "&amp;H1441,H1441&amp;" reps"),IF(IF(N(J1441)=0,0,IF(N(I1441)&gt;0,I1441*(1+J1441/30),J1441))=X1441,IF(N(I1441)&gt;0,I1441&amp;" x "&amp;J1441,J1441&amp;" reps"),IF(IF(N(L1441)=0,0,IF(N(K1441)&gt;0,K1441*(1+L1441/30),L1441))=X1441,IF(N(K1441)&gt;0,K1441&amp;" x "&amp;L1441,L1441&amp;" reps"),IF(IF(N(N1441)=0,0,IF(N(M1441)&gt;0,M1441*(1+N1441/30),N1441))=X1441,IF(N(M1441)&gt;0,M1441&amp;" x "&amp;N1441,N1441&amp;" reps"),""))))))</f>
        <v/>
      </c>
      <c r="R1441" s="20">
        <f>IF(N(X1441)=0,"",ROUND(X1441,1))</f>
        <v/>
      </c>
      <c r="S1441" s="18">
        <f>IF(N(X1441)=0,"",IF(AND(COUNTIFS(Log!$D$6:$D$1505,D1441,Log!$B$6:$B$1505,"&lt;"&amp;B1441)&gt;0,COUNTIFS(Log!$D$6:$D$1505,D1441,Log!$B$6:$B$1505,"&lt;"&amp;B1441,Log!$X$6:$X$1505,"&gt;="&amp;X1441)=0),"New best",""))</f>
        <v/>
      </c>
      <c r="T1441" s="26" t="n"/>
      <c r="U1441" s="1">
        <f>IF(D1441="","",IFERROR(INDEX(Exercises!$C$6:$C$105,MATCH(D1441,Exercises!$B$6:$B$105,0)),"Other"))</f>
        <v/>
      </c>
      <c r="V1441">
        <f>IF(B1441="","",IF(COUNTIF($B$6:B1441,B1441)=1,1,0))</f>
        <v/>
      </c>
      <c r="W1441">
        <f>IF(B1441="","",B1441-WEEKDAY(B1441,3))</f>
        <v/>
      </c>
      <c r="X1441">
        <f>IF(D1441="","",MAX(IF(N(F1441)=0,0,IF(N(E1441)&gt;0,E1441*(1+F1441/30),F1441)),IF(N(H1441)=0,0,IF(N(G1441)&gt;0,G1441*(1+H1441/30),H1441)),IF(N(J1441)=0,0,IF(N(I1441)&gt;0,I1441*(1+J1441/30),J1441)),IF(N(L1441)=0,0,IF(N(K1441)&gt;0,K1441*(1+L1441/30),L1441)),IF(N(N1441)=0,0,IF(N(M1441)&gt;0,M1441*(1+N1441/30),N1441))))</f>
        <v/>
      </c>
      <c r="Y1441">
        <f>IF(N(X1441)=0,"",X1441+ROW()/1000000000)</f>
        <v/>
      </c>
      <c r="Z1441">
        <f>IF(Y1441="","",IF(COUNTIFS(Log!$D$6:$D$1505,D1441,Log!$Y$6:$Y$1505,"&gt;"&amp;Y1441)=0,1,0))</f>
        <v/>
      </c>
      <c r="AA1441">
        <f>IF(OR(B1441="",D1441=""),"",B1441+ROW()/10000000)</f>
        <v/>
      </c>
      <c r="AB1441">
        <f>IF(AA1441="","",IF(COUNTIFS(Log!$D$6:$D$1505,D1441,Log!$AA$6:$AA$1505,"&gt;"&amp;AA1441)=0,1,0))</f>
        <v/>
      </c>
      <c r="AC1441">
        <f>IF(S1441="New best",AA1441,"")</f>
        <v/>
      </c>
      <c r="AD1441">
        <f>ROW()</f>
        <v/>
      </c>
    </row>
    <row r="1442">
      <c r="A1442" s="1" t="n"/>
      <c r="B1442" s="21" t="n"/>
      <c r="C1442" s="22" t="n"/>
      <c r="D1442" s="23" t="n"/>
      <c r="E1442" s="24" t="n"/>
      <c r="F1442" s="24" t="n"/>
      <c r="G1442" s="24" t="n"/>
      <c r="H1442" s="24" t="n"/>
      <c r="I1442" s="24" t="n"/>
      <c r="J1442" s="24" t="n"/>
      <c r="K1442" s="24" t="n"/>
      <c r="L1442" s="24" t="n"/>
      <c r="M1442" s="24" t="n"/>
      <c r="N1442" s="24" t="n"/>
      <c r="O1442" s="15">
        <f>IF(D1442="","",COUNT(F1442,H1442,J1442,L1442,N1442))</f>
        <v/>
      </c>
      <c r="P1442" s="25">
        <f>IF(D1442="","",N(E1442)*N(F1442)+N(G1442)*N(H1442)+N(I1442)*N(J1442)+N(K1442)*N(L1442)+N(M1442)*N(N1442))</f>
        <v/>
      </c>
      <c r="Q1442" s="18">
        <f>IF(N(X1442)=0,"",IF(IF(N(F1442)=0,0,IF(N(E1442)&gt;0,E1442*(1+F1442/30),F1442))=X1442,IF(N(E1442)&gt;0,E1442&amp;" x "&amp;F1442,F1442&amp;" reps"),IF(IF(N(H1442)=0,0,IF(N(G1442)&gt;0,G1442*(1+H1442/30),H1442))=X1442,IF(N(G1442)&gt;0,G1442&amp;" x "&amp;H1442,H1442&amp;" reps"),IF(IF(N(J1442)=0,0,IF(N(I1442)&gt;0,I1442*(1+J1442/30),J1442))=X1442,IF(N(I1442)&gt;0,I1442&amp;" x "&amp;J1442,J1442&amp;" reps"),IF(IF(N(L1442)=0,0,IF(N(K1442)&gt;0,K1442*(1+L1442/30),L1442))=X1442,IF(N(K1442)&gt;0,K1442&amp;" x "&amp;L1442,L1442&amp;" reps"),IF(IF(N(N1442)=0,0,IF(N(M1442)&gt;0,M1442*(1+N1442/30),N1442))=X1442,IF(N(M1442)&gt;0,M1442&amp;" x "&amp;N1442,N1442&amp;" reps"),""))))))</f>
        <v/>
      </c>
      <c r="R1442" s="20">
        <f>IF(N(X1442)=0,"",ROUND(X1442,1))</f>
        <v/>
      </c>
      <c r="S1442" s="18">
        <f>IF(N(X1442)=0,"",IF(AND(COUNTIFS(Log!$D$6:$D$1505,D1442,Log!$B$6:$B$1505,"&lt;"&amp;B1442)&gt;0,COUNTIFS(Log!$D$6:$D$1505,D1442,Log!$B$6:$B$1505,"&lt;"&amp;B1442,Log!$X$6:$X$1505,"&gt;="&amp;X1442)=0),"New best",""))</f>
        <v/>
      </c>
      <c r="T1442" s="26" t="n"/>
      <c r="U1442" s="1">
        <f>IF(D1442="","",IFERROR(INDEX(Exercises!$C$6:$C$105,MATCH(D1442,Exercises!$B$6:$B$105,0)),"Other"))</f>
        <v/>
      </c>
      <c r="V1442">
        <f>IF(B1442="","",IF(COUNTIF($B$6:B1442,B1442)=1,1,0))</f>
        <v/>
      </c>
      <c r="W1442">
        <f>IF(B1442="","",B1442-WEEKDAY(B1442,3))</f>
        <v/>
      </c>
      <c r="X1442">
        <f>IF(D1442="","",MAX(IF(N(F1442)=0,0,IF(N(E1442)&gt;0,E1442*(1+F1442/30),F1442)),IF(N(H1442)=0,0,IF(N(G1442)&gt;0,G1442*(1+H1442/30),H1442)),IF(N(J1442)=0,0,IF(N(I1442)&gt;0,I1442*(1+J1442/30),J1442)),IF(N(L1442)=0,0,IF(N(K1442)&gt;0,K1442*(1+L1442/30),L1442)),IF(N(N1442)=0,0,IF(N(M1442)&gt;0,M1442*(1+N1442/30),N1442))))</f>
        <v/>
      </c>
      <c r="Y1442">
        <f>IF(N(X1442)=0,"",X1442+ROW()/1000000000)</f>
        <v/>
      </c>
      <c r="Z1442">
        <f>IF(Y1442="","",IF(COUNTIFS(Log!$D$6:$D$1505,D1442,Log!$Y$6:$Y$1505,"&gt;"&amp;Y1442)=0,1,0))</f>
        <v/>
      </c>
      <c r="AA1442">
        <f>IF(OR(B1442="",D1442=""),"",B1442+ROW()/10000000)</f>
        <v/>
      </c>
      <c r="AB1442">
        <f>IF(AA1442="","",IF(COUNTIFS(Log!$D$6:$D$1505,D1442,Log!$AA$6:$AA$1505,"&gt;"&amp;AA1442)=0,1,0))</f>
        <v/>
      </c>
      <c r="AC1442">
        <f>IF(S1442="New best",AA1442,"")</f>
        <v/>
      </c>
      <c r="AD1442">
        <f>ROW()</f>
        <v/>
      </c>
    </row>
    <row r="1443">
      <c r="A1443" s="1" t="n"/>
      <c r="B1443" s="21" t="n"/>
      <c r="C1443" s="22" t="n"/>
      <c r="D1443" s="23" t="n"/>
      <c r="E1443" s="24" t="n"/>
      <c r="F1443" s="24" t="n"/>
      <c r="G1443" s="24" t="n"/>
      <c r="H1443" s="24" t="n"/>
      <c r="I1443" s="24" t="n"/>
      <c r="J1443" s="24" t="n"/>
      <c r="K1443" s="24" t="n"/>
      <c r="L1443" s="24" t="n"/>
      <c r="M1443" s="24" t="n"/>
      <c r="N1443" s="24" t="n"/>
      <c r="O1443" s="15">
        <f>IF(D1443="","",COUNT(F1443,H1443,J1443,L1443,N1443))</f>
        <v/>
      </c>
      <c r="P1443" s="25">
        <f>IF(D1443="","",N(E1443)*N(F1443)+N(G1443)*N(H1443)+N(I1443)*N(J1443)+N(K1443)*N(L1443)+N(M1443)*N(N1443))</f>
        <v/>
      </c>
      <c r="Q1443" s="18">
        <f>IF(N(X1443)=0,"",IF(IF(N(F1443)=0,0,IF(N(E1443)&gt;0,E1443*(1+F1443/30),F1443))=X1443,IF(N(E1443)&gt;0,E1443&amp;" x "&amp;F1443,F1443&amp;" reps"),IF(IF(N(H1443)=0,0,IF(N(G1443)&gt;0,G1443*(1+H1443/30),H1443))=X1443,IF(N(G1443)&gt;0,G1443&amp;" x "&amp;H1443,H1443&amp;" reps"),IF(IF(N(J1443)=0,0,IF(N(I1443)&gt;0,I1443*(1+J1443/30),J1443))=X1443,IF(N(I1443)&gt;0,I1443&amp;" x "&amp;J1443,J1443&amp;" reps"),IF(IF(N(L1443)=0,0,IF(N(K1443)&gt;0,K1443*(1+L1443/30),L1443))=X1443,IF(N(K1443)&gt;0,K1443&amp;" x "&amp;L1443,L1443&amp;" reps"),IF(IF(N(N1443)=0,0,IF(N(M1443)&gt;0,M1443*(1+N1443/30),N1443))=X1443,IF(N(M1443)&gt;0,M1443&amp;" x "&amp;N1443,N1443&amp;" reps"),""))))))</f>
        <v/>
      </c>
      <c r="R1443" s="20">
        <f>IF(N(X1443)=0,"",ROUND(X1443,1))</f>
        <v/>
      </c>
      <c r="S1443" s="18">
        <f>IF(N(X1443)=0,"",IF(AND(COUNTIFS(Log!$D$6:$D$1505,D1443,Log!$B$6:$B$1505,"&lt;"&amp;B1443)&gt;0,COUNTIFS(Log!$D$6:$D$1505,D1443,Log!$B$6:$B$1505,"&lt;"&amp;B1443,Log!$X$6:$X$1505,"&gt;="&amp;X1443)=0),"New best",""))</f>
        <v/>
      </c>
      <c r="T1443" s="26" t="n"/>
      <c r="U1443" s="1">
        <f>IF(D1443="","",IFERROR(INDEX(Exercises!$C$6:$C$105,MATCH(D1443,Exercises!$B$6:$B$105,0)),"Other"))</f>
        <v/>
      </c>
      <c r="V1443">
        <f>IF(B1443="","",IF(COUNTIF($B$6:B1443,B1443)=1,1,0))</f>
        <v/>
      </c>
      <c r="W1443">
        <f>IF(B1443="","",B1443-WEEKDAY(B1443,3))</f>
        <v/>
      </c>
      <c r="X1443">
        <f>IF(D1443="","",MAX(IF(N(F1443)=0,0,IF(N(E1443)&gt;0,E1443*(1+F1443/30),F1443)),IF(N(H1443)=0,0,IF(N(G1443)&gt;0,G1443*(1+H1443/30),H1443)),IF(N(J1443)=0,0,IF(N(I1443)&gt;0,I1443*(1+J1443/30),J1443)),IF(N(L1443)=0,0,IF(N(K1443)&gt;0,K1443*(1+L1443/30),L1443)),IF(N(N1443)=0,0,IF(N(M1443)&gt;0,M1443*(1+N1443/30),N1443))))</f>
        <v/>
      </c>
      <c r="Y1443">
        <f>IF(N(X1443)=0,"",X1443+ROW()/1000000000)</f>
        <v/>
      </c>
      <c r="Z1443">
        <f>IF(Y1443="","",IF(COUNTIFS(Log!$D$6:$D$1505,D1443,Log!$Y$6:$Y$1505,"&gt;"&amp;Y1443)=0,1,0))</f>
        <v/>
      </c>
      <c r="AA1443">
        <f>IF(OR(B1443="",D1443=""),"",B1443+ROW()/10000000)</f>
        <v/>
      </c>
      <c r="AB1443">
        <f>IF(AA1443="","",IF(COUNTIFS(Log!$D$6:$D$1505,D1443,Log!$AA$6:$AA$1505,"&gt;"&amp;AA1443)=0,1,0))</f>
        <v/>
      </c>
      <c r="AC1443">
        <f>IF(S1443="New best",AA1443,"")</f>
        <v/>
      </c>
      <c r="AD1443">
        <f>ROW()</f>
        <v/>
      </c>
    </row>
    <row r="1444">
      <c r="A1444" s="1" t="n"/>
      <c r="B1444" s="21" t="n"/>
      <c r="C1444" s="22" t="n"/>
      <c r="D1444" s="23" t="n"/>
      <c r="E1444" s="24" t="n"/>
      <c r="F1444" s="24" t="n"/>
      <c r="G1444" s="24" t="n"/>
      <c r="H1444" s="24" t="n"/>
      <c r="I1444" s="24" t="n"/>
      <c r="J1444" s="24" t="n"/>
      <c r="K1444" s="24" t="n"/>
      <c r="L1444" s="24" t="n"/>
      <c r="M1444" s="24" t="n"/>
      <c r="N1444" s="24" t="n"/>
      <c r="O1444" s="15">
        <f>IF(D1444="","",COUNT(F1444,H1444,J1444,L1444,N1444))</f>
        <v/>
      </c>
      <c r="P1444" s="25">
        <f>IF(D1444="","",N(E1444)*N(F1444)+N(G1444)*N(H1444)+N(I1444)*N(J1444)+N(K1444)*N(L1444)+N(M1444)*N(N1444))</f>
        <v/>
      </c>
      <c r="Q1444" s="18">
        <f>IF(N(X1444)=0,"",IF(IF(N(F1444)=0,0,IF(N(E1444)&gt;0,E1444*(1+F1444/30),F1444))=X1444,IF(N(E1444)&gt;0,E1444&amp;" x "&amp;F1444,F1444&amp;" reps"),IF(IF(N(H1444)=0,0,IF(N(G1444)&gt;0,G1444*(1+H1444/30),H1444))=X1444,IF(N(G1444)&gt;0,G1444&amp;" x "&amp;H1444,H1444&amp;" reps"),IF(IF(N(J1444)=0,0,IF(N(I1444)&gt;0,I1444*(1+J1444/30),J1444))=X1444,IF(N(I1444)&gt;0,I1444&amp;" x "&amp;J1444,J1444&amp;" reps"),IF(IF(N(L1444)=0,0,IF(N(K1444)&gt;0,K1444*(1+L1444/30),L1444))=X1444,IF(N(K1444)&gt;0,K1444&amp;" x "&amp;L1444,L1444&amp;" reps"),IF(IF(N(N1444)=0,0,IF(N(M1444)&gt;0,M1444*(1+N1444/30),N1444))=X1444,IF(N(M1444)&gt;0,M1444&amp;" x "&amp;N1444,N1444&amp;" reps"),""))))))</f>
        <v/>
      </c>
      <c r="R1444" s="20">
        <f>IF(N(X1444)=0,"",ROUND(X1444,1))</f>
        <v/>
      </c>
      <c r="S1444" s="18">
        <f>IF(N(X1444)=0,"",IF(AND(COUNTIFS(Log!$D$6:$D$1505,D1444,Log!$B$6:$B$1505,"&lt;"&amp;B1444)&gt;0,COUNTIFS(Log!$D$6:$D$1505,D1444,Log!$B$6:$B$1505,"&lt;"&amp;B1444,Log!$X$6:$X$1505,"&gt;="&amp;X1444)=0),"New best",""))</f>
        <v/>
      </c>
      <c r="T1444" s="26" t="n"/>
      <c r="U1444" s="1">
        <f>IF(D1444="","",IFERROR(INDEX(Exercises!$C$6:$C$105,MATCH(D1444,Exercises!$B$6:$B$105,0)),"Other"))</f>
        <v/>
      </c>
      <c r="V1444">
        <f>IF(B1444="","",IF(COUNTIF($B$6:B1444,B1444)=1,1,0))</f>
        <v/>
      </c>
      <c r="W1444">
        <f>IF(B1444="","",B1444-WEEKDAY(B1444,3))</f>
        <v/>
      </c>
      <c r="X1444">
        <f>IF(D1444="","",MAX(IF(N(F1444)=0,0,IF(N(E1444)&gt;0,E1444*(1+F1444/30),F1444)),IF(N(H1444)=0,0,IF(N(G1444)&gt;0,G1444*(1+H1444/30),H1444)),IF(N(J1444)=0,0,IF(N(I1444)&gt;0,I1444*(1+J1444/30),J1444)),IF(N(L1444)=0,0,IF(N(K1444)&gt;0,K1444*(1+L1444/30),L1444)),IF(N(N1444)=0,0,IF(N(M1444)&gt;0,M1444*(1+N1444/30),N1444))))</f>
        <v/>
      </c>
      <c r="Y1444">
        <f>IF(N(X1444)=0,"",X1444+ROW()/1000000000)</f>
        <v/>
      </c>
      <c r="Z1444">
        <f>IF(Y1444="","",IF(COUNTIFS(Log!$D$6:$D$1505,D1444,Log!$Y$6:$Y$1505,"&gt;"&amp;Y1444)=0,1,0))</f>
        <v/>
      </c>
      <c r="AA1444">
        <f>IF(OR(B1444="",D1444=""),"",B1444+ROW()/10000000)</f>
        <v/>
      </c>
      <c r="AB1444">
        <f>IF(AA1444="","",IF(COUNTIFS(Log!$D$6:$D$1505,D1444,Log!$AA$6:$AA$1505,"&gt;"&amp;AA1444)=0,1,0))</f>
        <v/>
      </c>
      <c r="AC1444">
        <f>IF(S1444="New best",AA1444,"")</f>
        <v/>
      </c>
      <c r="AD1444">
        <f>ROW()</f>
        <v/>
      </c>
    </row>
    <row r="1445">
      <c r="A1445" s="1" t="n"/>
      <c r="B1445" s="21" t="n"/>
      <c r="C1445" s="22" t="n"/>
      <c r="D1445" s="23" t="n"/>
      <c r="E1445" s="24" t="n"/>
      <c r="F1445" s="24" t="n"/>
      <c r="G1445" s="24" t="n"/>
      <c r="H1445" s="24" t="n"/>
      <c r="I1445" s="24" t="n"/>
      <c r="J1445" s="24" t="n"/>
      <c r="K1445" s="24" t="n"/>
      <c r="L1445" s="24" t="n"/>
      <c r="M1445" s="24" t="n"/>
      <c r="N1445" s="24" t="n"/>
      <c r="O1445" s="15">
        <f>IF(D1445="","",COUNT(F1445,H1445,J1445,L1445,N1445))</f>
        <v/>
      </c>
      <c r="P1445" s="25">
        <f>IF(D1445="","",N(E1445)*N(F1445)+N(G1445)*N(H1445)+N(I1445)*N(J1445)+N(K1445)*N(L1445)+N(M1445)*N(N1445))</f>
        <v/>
      </c>
      <c r="Q1445" s="18">
        <f>IF(N(X1445)=0,"",IF(IF(N(F1445)=0,0,IF(N(E1445)&gt;0,E1445*(1+F1445/30),F1445))=X1445,IF(N(E1445)&gt;0,E1445&amp;" x "&amp;F1445,F1445&amp;" reps"),IF(IF(N(H1445)=0,0,IF(N(G1445)&gt;0,G1445*(1+H1445/30),H1445))=X1445,IF(N(G1445)&gt;0,G1445&amp;" x "&amp;H1445,H1445&amp;" reps"),IF(IF(N(J1445)=0,0,IF(N(I1445)&gt;0,I1445*(1+J1445/30),J1445))=X1445,IF(N(I1445)&gt;0,I1445&amp;" x "&amp;J1445,J1445&amp;" reps"),IF(IF(N(L1445)=0,0,IF(N(K1445)&gt;0,K1445*(1+L1445/30),L1445))=X1445,IF(N(K1445)&gt;0,K1445&amp;" x "&amp;L1445,L1445&amp;" reps"),IF(IF(N(N1445)=0,0,IF(N(M1445)&gt;0,M1445*(1+N1445/30),N1445))=X1445,IF(N(M1445)&gt;0,M1445&amp;" x "&amp;N1445,N1445&amp;" reps"),""))))))</f>
        <v/>
      </c>
      <c r="R1445" s="20">
        <f>IF(N(X1445)=0,"",ROUND(X1445,1))</f>
        <v/>
      </c>
      <c r="S1445" s="18">
        <f>IF(N(X1445)=0,"",IF(AND(COUNTIFS(Log!$D$6:$D$1505,D1445,Log!$B$6:$B$1505,"&lt;"&amp;B1445)&gt;0,COUNTIFS(Log!$D$6:$D$1505,D1445,Log!$B$6:$B$1505,"&lt;"&amp;B1445,Log!$X$6:$X$1505,"&gt;="&amp;X1445)=0),"New best",""))</f>
        <v/>
      </c>
      <c r="T1445" s="26" t="n"/>
      <c r="U1445" s="1">
        <f>IF(D1445="","",IFERROR(INDEX(Exercises!$C$6:$C$105,MATCH(D1445,Exercises!$B$6:$B$105,0)),"Other"))</f>
        <v/>
      </c>
      <c r="V1445">
        <f>IF(B1445="","",IF(COUNTIF($B$6:B1445,B1445)=1,1,0))</f>
        <v/>
      </c>
      <c r="W1445">
        <f>IF(B1445="","",B1445-WEEKDAY(B1445,3))</f>
        <v/>
      </c>
      <c r="X1445">
        <f>IF(D1445="","",MAX(IF(N(F1445)=0,0,IF(N(E1445)&gt;0,E1445*(1+F1445/30),F1445)),IF(N(H1445)=0,0,IF(N(G1445)&gt;0,G1445*(1+H1445/30),H1445)),IF(N(J1445)=0,0,IF(N(I1445)&gt;0,I1445*(1+J1445/30),J1445)),IF(N(L1445)=0,0,IF(N(K1445)&gt;0,K1445*(1+L1445/30),L1445)),IF(N(N1445)=0,0,IF(N(M1445)&gt;0,M1445*(1+N1445/30),N1445))))</f>
        <v/>
      </c>
      <c r="Y1445">
        <f>IF(N(X1445)=0,"",X1445+ROW()/1000000000)</f>
        <v/>
      </c>
      <c r="Z1445">
        <f>IF(Y1445="","",IF(COUNTIFS(Log!$D$6:$D$1505,D1445,Log!$Y$6:$Y$1505,"&gt;"&amp;Y1445)=0,1,0))</f>
        <v/>
      </c>
      <c r="AA1445">
        <f>IF(OR(B1445="",D1445=""),"",B1445+ROW()/10000000)</f>
        <v/>
      </c>
      <c r="AB1445">
        <f>IF(AA1445="","",IF(COUNTIFS(Log!$D$6:$D$1505,D1445,Log!$AA$6:$AA$1505,"&gt;"&amp;AA1445)=0,1,0))</f>
        <v/>
      </c>
      <c r="AC1445">
        <f>IF(S1445="New best",AA1445,"")</f>
        <v/>
      </c>
      <c r="AD1445">
        <f>ROW()</f>
        <v/>
      </c>
    </row>
    <row r="1446">
      <c r="A1446" s="1" t="n"/>
      <c r="B1446" s="21" t="n"/>
      <c r="C1446" s="22" t="n"/>
      <c r="D1446" s="23" t="n"/>
      <c r="E1446" s="24" t="n"/>
      <c r="F1446" s="24" t="n"/>
      <c r="G1446" s="24" t="n"/>
      <c r="H1446" s="24" t="n"/>
      <c r="I1446" s="24" t="n"/>
      <c r="J1446" s="24" t="n"/>
      <c r="K1446" s="24" t="n"/>
      <c r="L1446" s="24" t="n"/>
      <c r="M1446" s="24" t="n"/>
      <c r="N1446" s="24" t="n"/>
      <c r="O1446" s="15">
        <f>IF(D1446="","",COUNT(F1446,H1446,J1446,L1446,N1446))</f>
        <v/>
      </c>
      <c r="P1446" s="25">
        <f>IF(D1446="","",N(E1446)*N(F1446)+N(G1446)*N(H1446)+N(I1446)*N(J1446)+N(K1446)*N(L1446)+N(M1446)*N(N1446))</f>
        <v/>
      </c>
      <c r="Q1446" s="18">
        <f>IF(N(X1446)=0,"",IF(IF(N(F1446)=0,0,IF(N(E1446)&gt;0,E1446*(1+F1446/30),F1446))=X1446,IF(N(E1446)&gt;0,E1446&amp;" x "&amp;F1446,F1446&amp;" reps"),IF(IF(N(H1446)=0,0,IF(N(G1446)&gt;0,G1446*(1+H1446/30),H1446))=X1446,IF(N(G1446)&gt;0,G1446&amp;" x "&amp;H1446,H1446&amp;" reps"),IF(IF(N(J1446)=0,0,IF(N(I1446)&gt;0,I1446*(1+J1446/30),J1446))=X1446,IF(N(I1446)&gt;0,I1446&amp;" x "&amp;J1446,J1446&amp;" reps"),IF(IF(N(L1446)=0,0,IF(N(K1446)&gt;0,K1446*(1+L1446/30),L1446))=X1446,IF(N(K1446)&gt;0,K1446&amp;" x "&amp;L1446,L1446&amp;" reps"),IF(IF(N(N1446)=0,0,IF(N(M1446)&gt;0,M1446*(1+N1446/30),N1446))=X1446,IF(N(M1446)&gt;0,M1446&amp;" x "&amp;N1446,N1446&amp;" reps"),""))))))</f>
        <v/>
      </c>
      <c r="R1446" s="20">
        <f>IF(N(X1446)=0,"",ROUND(X1446,1))</f>
        <v/>
      </c>
      <c r="S1446" s="18">
        <f>IF(N(X1446)=0,"",IF(AND(COUNTIFS(Log!$D$6:$D$1505,D1446,Log!$B$6:$B$1505,"&lt;"&amp;B1446)&gt;0,COUNTIFS(Log!$D$6:$D$1505,D1446,Log!$B$6:$B$1505,"&lt;"&amp;B1446,Log!$X$6:$X$1505,"&gt;="&amp;X1446)=0),"New best",""))</f>
        <v/>
      </c>
      <c r="T1446" s="26" t="n"/>
      <c r="U1446" s="1">
        <f>IF(D1446="","",IFERROR(INDEX(Exercises!$C$6:$C$105,MATCH(D1446,Exercises!$B$6:$B$105,0)),"Other"))</f>
        <v/>
      </c>
      <c r="V1446">
        <f>IF(B1446="","",IF(COUNTIF($B$6:B1446,B1446)=1,1,0))</f>
        <v/>
      </c>
      <c r="W1446">
        <f>IF(B1446="","",B1446-WEEKDAY(B1446,3))</f>
        <v/>
      </c>
      <c r="X1446">
        <f>IF(D1446="","",MAX(IF(N(F1446)=0,0,IF(N(E1446)&gt;0,E1446*(1+F1446/30),F1446)),IF(N(H1446)=0,0,IF(N(G1446)&gt;0,G1446*(1+H1446/30),H1446)),IF(N(J1446)=0,0,IF(N(I1446)&gt;0,I1446*(1+J1446/30),J1446)),IF(N(L1446)=0,0,IF(N(K1446)&gt;0,K1446*(1+L1446/30),L1446)),IF(N(N1446)=0,0,IF(N(M1446)&gt;0,M1446*(1+N1446/30),N1446))))</f>
        <v/>
      </c>
      <c r="Y1446">
        <f>IF(N(X1446)=0,"",X1446+ROW()/1000000000)</f>
        <v/>
      </c>
      <c r="Z1446">
        <f>IF(Y1446="","",IF(COUNTIFS(Log!$D$6:$D$1505,D1446,Log!$Y$6:$Y$1505,"&gt;"&amp;Y1446)=0,1,0))</f>
        <v/>
      </c>
      <c r="AA1446">
        <f>IF(OR(B1446="",D1446=""),"",B1446+ROW()/10000000)</f>
        <v/>
      </c>
      <c r="AB1446">
        <f>IF(AA1446="","",IF(COUNTIFS(Log!$D$6:$D$1505,D1446,Log!$AA$6:$AA$1505,"&gt;"&amp;AA1446)=0,1,0))</f>
        <v/>
      </c>
      <c r="AC1446">
        <f>IF(S1446="New best",AA1446,"")</f>
        <v/>
      </c>
      <c r="AD1446">
        <f>ROW()</f>
        <v/>
      </c>
    </row>
    <row r="1447">
      <c r="A1447" s="1" t="n"/>
      <c r="B1447" s="21" t="n"/>
      <c r="C1447" s="22" t="n"/>
      <c r="D1447" s="23" t="n"/>
      <c r="E1447" s="24" t="n"/>
      <c r="F1447" s="24" t="n"/>
      <c r="G1447" s="24" t="n"/>
      <c r="H1447" s="24" t="n"/>
      <c r="I1447" s="24" t="n"/>
      <c r="J1447" s="24" t="n"/>
      <c r="K1447" s="24" t="n"/>
      <c r="L1447" s="24" t="n"/>
      <c r="M1447" s="24" t="n"/>
      <c r="N1447" s="24" t="n"/>
      <c r="O1447" s="15">
        <f>IF(D1447="","",COUNT(F1447,H1447,J1447,L1447,N1447))</f>
        <v/>
      </c>
      <c r="P1447" s="25">
        <f>IF(D1447="","",N(E1447)*N(F1447)+N(G1447)*N(H1447)+N(I1447)*N(J1447)+N(K1447)*N(L1447)+N(M1447)*N(N1447))</f>
        <v/>
      </c>
      <c r="Q1447" s="18">
        <f>IF(N(X1447)=0,"",IF(IF(N(F1447)=0,0,IF(N(E1447)&gt;0,E1447*(1+F1447/30),F1447))=X1447,IF(N(E1447)&gt;0,E1447&amp;" x "&amp;F1447,F1447&amp;" reps"),IF(IF(N(H1447)=0,0,IF(N(G1447)&gt;0,G1447*(1+H1447/30),H1447))=X1447,IF(N(G1447)&gt;0,G1447&amp;" x "&amp;H1447,H1447&amp;" reps"),IF(IF(N(J1447)=0,0,IF(N(I1447)&gt;0,I1447*(1+J1447/30),J1447))=X1447,IF(N(I1447)&gt;0,I1447&amp;" x "&amp;J1447,J1447&amp;" reps"),IF(IF(N(L1447)=0,0,IF(N(K1447)&gt;0,K1447*(1+L1447/30),L1447))=X1447,IF(N(K1447)&gt;0,K1447&amp;" x "&amp;L1447,L1447&amp;" reps"),IF(IF(N(N1447)=0,0,IF(N(M1447)&gt;0,M1447*(1+N1447/30),N1447))=X1447,IF(N(M1447)&gt;0,M1447&amp;" x "&amp;N1447,N1447&amp;" reps"),""))))))</f>
        <v/>
      </c>
      <c r="R1447" s="20">
        <f>IF(N(X1447)=0,"",ROUND(X1447,1))</f>
        <v/>
      </c>
      <c r="S1447" s="18">
        <f>IF(N(X1447)=0,"",IF(AND(COUNTIFS(Log!$D$6:$D$1505,D1447,Log!$B$6:$B$1505,"&lt;"&amp;B1447)&gt;0,COUNTIFS(Log!$D$6:$D$1505,D1447,Log!$B$6:$B$1505,"&lt;"&amp;B1447,Log!$X$6:$X$1505,"&gt;="&amp;X1447)=0),"New best",""))</f>
        <v/>
      </c>
      <c r="T1447" s="26" t="n"/>
      <c r="U1447" s="1">
        <f>IF(D1447="","",IFERROR(INDEX(Exercises!$C$6:$C$105,MATCH(D1447,Exercises!$B$6:$B$105,0)),"Other"))</f>
        <v/>
      </c>
      <c r="V1447">
        <f>IF(B1447="","",IF(COUNTIF($B$6:B1447,B1447)=1,1,0))</f>
        <v/>
      </c>
      <c r="W1447">
        <f>IF(B1447="","",B1447-WEEKDAY(B1447,3))</f>
        <v/>
      </c>
      <c r="X1447">
        <f>IF(D1447="","",MAX(IF(N(F1447)=0,0,IF(N(E1447)&gt;0,E1447*(1+F1447/30),F1447)),IF(N(H1447)=0,0,IF(N(G1447)&gt;0,G1447*(1+H1447/30),H1447)),IF(N(J1447)=0,0,IF(N(I1447)&gt;0,I1447*(1+J1447/30),J1447)),IF(N(L1447)=0,0,IF(N(K1447)&gt;0,K1447*(1+L1447/30),L1447)),IF(N(N1447)=0,0,IF(N(M1447)&gt;0,M1447*(1+N1447/30),N1447))))</f>
        <v/>
      </c>
      <c r="Y1447">
        <f>IF(N(X1447)=0,"",X1447+ROW()/1000000000)</f>
        <v/>
      </c>
      <c r="Z1447">
        <f>IF(Y1447="","",IF(COUNTIFS(Log!$D$6:$D$1505,D1447,Log!$Y$6:$Y$1505,"&gt;"&amp;Y1447)=0,1,0))</f>
        <v/>
      </c>
      <c r="AA1447">
        <f>IF(OR(B1447="",D1447=""),"",B1447+ROW()/10000000)</f>
        <v/>
      </c>
      <c r="AB1447">
        <f>IF(AA1447="","",IF(COUNTIFS(Log!$D$6:$D$1505,D1447,Log!$AA$6:$AA$1505,"&gt;"&amp;AA1447)=0,1,0))</f>
        <v/>
      </c>
      <c r="AC1447">
        <f>IF(S1447="New best",AA1447,"")</f>
        <v/>
      </c>
      <c r="AD1447">
        <f>ROW()</f>
        <v/>
      </c>
    </row>
    <row r="1448">
      <c r="A1448" s="1" t="n"/>
      <c r="B1448" s="21" t="n"/>
      <c r="C1448" s="22" t="n"/>
      <c r="D1448" s="23" t="n"/>
      <c r="E1448" s="24" t="n"/>
      <c r="F1448" s="24" t="n"/>
      <c r="G1448" s="24" t="n"/>
      <c r="H1448" s="24" t="n"/>
      <c r="I1448" s="24" t="n"/>
      <c r="J1448" s="24" t="n"/>
      <c r="K1448" s="24" t="n"/>
      <c r="L1448" s="24" t="n"/>
      <c r="M1448" s="24" t="n"/>
      <c r="N1448" s="24" t="n"/>
      <c r="O1448" s="15">
        <f>IF(D1448="","",COUNT(F1448,H1448,J1448,L1448,N1448))</f>
        <v/>
      </c>
      <c r="P1448" s="25">
        <f>IF(D1448="","",N(E1448)*N(F1448)+N(G1448)*N(H1448)+N(I1448)*N(J1448)+N(K1448)*N(L1448)+N(M1448)*N(N1448))</f>
        <v/>
      </c>
      <c r="Q1448" s="18">
        <f>IF(N(X1448)=0,"",IF(IF(N(F1448)=0,0,IF(N(E1448)&gt;0,E1448*(1+F1448/30),F1448))=X1448,IF(N(E1448)&gt;0,E1448&amp;" x "&amp;F1448,F1448&amp;" reps"),IF(IF(N(H1448)=0,0,IF(N(G1448)&gt;0,G1448*(1+H1448/30),H1448))=X1448,IF(N(G1448)&gt;0,G1448&amp;" x "&amp;H1448,H1448&amp;" reps"),IF(IF(N(J1448)=0,0,IF(N(I1448)&gt;0,I1448*(1+J1448/30),J1448))=X1448,IF(N(I1448)&gt;0,I1448&amp;" x "&amp;J1448,J1448&amp;" reps"),IF(IF(N(L1448)=0,0,IF(N(K1448)&gt;0,K1448*(1+L1448/30),L1448))=X1448,IF(N(K1448)&gt;0,K1448&amp;" x "&amp;L1448,L1448&amp;" reps"),IF(IF(N(N1448)=0,0,IF(N(M1448)&gt;0,M1448*(1+N1448/30),N1448))=X1448,IF(N(M1448)&gt;0,M1448&amp;" x "&amp;N1448,N1448&amp;" reps"),""))))))</f>
        <v/>
      </c>
      <c r="R1448" s="20">
        <f>IF(N(X1448)=0,"",ROUND(X1448,1))</f>
        <v/>
      </c>
      <c r="S1448" s="18">
        <f>IF(N(X1448)=0,"",IF(AND(COUNTIFS(Log!$D$6:$D$1505,D1448,Log!$B$6:$B$1505,"&lt;"&amp;B1448)&gt;0,COUNTIFS(Log!$D$6:$D$1505,D1448,Log!$B$6:$B$1505,"&lt;"&amp;B1448,Log!$X$6:$X$1505,"&gt;="&amp;X1448)=0),"New best",""))</f>
        <v/>
      </c>
      <c r="T1448" s="26" t="n"/>
      <c r="U1448" s="1">
        <f>IF(D1448="","",IFERROR(INDEX(Exercises!$C$6:$C$105,MATCH(D1448,Exercises!$B$6:$B$105,0)),"Other"))</f>
        <v/>
      </c>
      <c r="V1448">
        <f>IF(B1448="","",IF(COUNTIF($B$6:B1448,B1448)=1,1,0))</f>
        <v/>
      </c>
      <c r="W1448">
        <f>IF(B1448="","",B1448-WEEKDAY(B1448,3))</f>
        <v/>
      </c>
      <c r="X1448">
        <f>IF(D1448="","",MAX(IF(N(F1448)=0,0,IF(N(E1448)&gt;0,E1448*(1+F1448/30),F1448)),IF(N(H1448)=0,0,IF(N(G1448)&gt;0,G1448*(1+H1448/30),H1448)),IF(N(J1448)=0,0,IF(N(I1448)&gt;0,I1448*(1+J1448/30),J1448)),IF(N(L1448)=0,0,IF(N(K1448)&gt;0,K1448*(1+L1448/30),L1448)),IF(N(N1448)=0,0,IF(N(M1448)&gt;0,M1448*(1+N1448/30),N1448))))</f>
        <v/>
      </c>
      <c r="Y1448">
        <f>IF(N(X1448)=0,"",X1448+ROW()/1000000000)</f>
        <v/>
      </c>
      <c r="Z1448">
        <f>IF(Y1448="","",IF(COUNTIFS(Log!$D$6:$D$1505,D1448,Log!$Y$6:$Y$1505,"&gt;"&amp;Y1448)=0,1,0))</f>
        <v/>
      </c>
      <c r="AA1448">
        <f>IF(OR(B1448="",D1448=""),"",B1448+ROW()/10000000)</f>
        <v/>
      </c>
      <c r="AB1448">
        <f>IF(AA1448="","",IF(COUNTIFS(Log!$D$6:$D$1505,D1448,Log!$AA$6:$AA$1505,"&gt;"&amp;AA1448)=0,1,0))</f>
        <v/>
      </c>
      <c r="AC1448">
        <f>IF(S1448="New best",AA1448,"")</f>
        <v/>
      </c>
      <c r="AD1448">
        <f>ROW()</f>
        <v/>
      </c>
    </row>
    <row r="1449">
      <c r="A1449" s="1" t="n"/>
      <c r="B1449" s="21" t="n"/>
      <c r="C1449" s="22" t="n"/>
      <c r="D1449" s="23" t="n"/>
      <c r="E1449" s="24" t="n"/>
      <c r="F1449" s="24" t="n"/>
      <c r="G1449" s="24" t="n"/>
      <c r="H1449" s="24" t="n"/>
      <c r="I1449" s="24" t="n"/>
      <c r="J1449" s="24" t="n"/>
      <c r="K1449" s="24" t="n"/>
      <c r="L1449" s="24" t="n"/>
      <c r="M1449" s="24" t="n"/>
      <c r="N1449" s="24" t="n"/>
      <c r="O1449" s="15">
        <f>IF(D1449="","",COUNT(F1449,H1449,J1449,L1449,N1449))</f>
        <v/>
      </c>
      <c r="P1449" s="25">
        <f>IF(D1449="","",N(E1449)*N(F1449)+N(G1449)*N(H1449)+N(I1449)*N(J1449)+N(K1449)*N(L1449)+N(M1449)*N(N1449))</f>
        <v/>
      </c>
      <c r="Q1449" s="18">
        <f>IF(N(X1449)=0,"",IF(IF(N(F1449)=0,0,IF(N(E1449)&gt;0,E1449*(1+F1449/30),F1449))=X1449,IF(N(E1449)&gt;0,E1449&amp;" x "&amp;F1449,F1449&amp;" reps"),IF(IF(N(H1449)=0,0,IF(N(G1449)&gt;0,G1449*(1+H1449/30),H1449))=X1449,IF(N(G1449)&gt;0,G1449&amp;" x "&amp;H1449,H1449&amp;" reps"),IF(IF(N(J1449)=0,0,IF(N(I1449)&gt;0,I1449*(1+J1449/30),J1449))=X1449,IF(N(I1449)&gt;0,I1449&amp;" x "&amp;J1449,J1449&amp;" reps"),IF(IF(N(L1449)=0,0,IF(N(K1449)&gt;0,K1449*(1+L1449/30),L1449))=X1449,IF(N(K1449)&gt;0,K1449&amp;" x "&amp;L1449,L1449&amp;" reps"),IF(IF(N(N1449)=0,0,IF(N(M1449)&gt;0,M1449*(1+N1449/30),N1449))=X1449,IF(N(M1449)&gt;0,M1449&amp;" x "&amp;N1449,N1449&amp;" reps"),""))))))</f>
        <v/>
      </c>
      <c r="R1449" s="20">
        <f>IF(N(X1449)=0,"",ROUND(X1449,1))</f>
        <v/>
      </c>
      <c r="S1449" s="18">
        <f>IF(N(X1449)=0,"",IF(AND(COUNTIFS(Log!$D$6:$D$1505,D1449,Log!$B$6:$B$1505,"&lt;"&amp;B1449)&gt;0,COUNTIFS(Log!$D$6:$D$1505,D1449,Log!$B$6:$B$1505,"&lt;"&amp;B1449,Log!$X$6:$X$1505,"&gt;="&amp;X1449)=0),"New best",""))</f>
        <v/>
      </c>
      <c r="T1449" s="26" t="n"/>
      <c r="U1449" s="1">
        <f>IF(D1449="","",IFERROR(INDEX(Exercises!$C$6:$C$105,MATCH(D1449,Exercises!$B$6:$B$105,0)),"Other"))</f>
        <v/>
      </c>
      <c r="V1449">
        <f>IF(B1449="","",IF(COUNTIF($B$6:B1449,B1449)=1,1,0))</f>
        <v/>
      </c>
      <c r="W1449">
        <f>IF(B1449="","",B1449-WEEKDAY(B1449,3))</f>
        <v/>
      </c>
      <c r="X1449">
        <f>IF(D1449="","",MAX(IF(N(F1449)=0,0,IF(N(E1449)&gt;0,E1449*(1+F1449/30),F1449)),IF(N(H1449)=0,0,IF(N(G1449)&gt;0,G1449*(1+H1449/30),H1449)),IF(N(J1449)=0,0,IF(N(I1449)&gt;0,I1449*(1+J1449/30),J1449)),IF(N(L1449)=0,0,IF(N(K1449)&gt;0,K1449*(1+L1449/30),L1449)),IF(N(N1449)=0,0,IF(N(M1449)&gt;0,M1449*(1+N1449/30),N1449))))</f>
        <v/>
      </c>
      <c r="Y1449">
        <f>IF(N(X1449)=0,"",X1449+ROW()/1000000000)</f>
        <v/>
      </c>
      <c r="Z1449">
        <f>IF(Y1449="","",IF(COUNTIFS(Log!$D$6:$D$1505,D1449,Log!$Y$6:$Y$1505,"&gt;"&amp;Y1449)=0,1,0))</f>
        <v/>
      </c>
      <c r="AA1449">
        <f>IF(OR(B1449="",D1449=""),"",B1449+ROW()/10000000)</f>
        <v/>
      </c>
      <c r="AB1449">
        <f>IF(AA1449="","",IF(COUNTIFS(Log!$D$6:$D$1505,D1449,Log!$AA$6:$AA$1505,"&gt;"&amp;AA1449)=0,1,0))</f>
        <v/>
      </c>
      <c r="AC1449">
        <f>IF(S1449="New best",AA1449,"")</f>
        <v/>
      </c>
      <c r="AD1449">
        <f>ROW()</f>
        <v/>
      </c>
    </row>
    <row r="1450">
      <c r="A1450" s="1" t="n"/>
      <c r="B1450" s="21" t="n"/>
      <c r="C1450" s="22" t="n"/>
      <c r="D1450" s="23" t="n"/>
      <c r="E1450" s="24" t="n"/>
      <c r="F1450" s="24" t="n"/>
      <c r="G1450" s="24" t="n"/>
      <c r="H1450" s="24" t="n"/>
      <c r="I1450" s="24" t="n"/>
      <c r="J1450" s="24" t="n"/>
      <c r="K1450" s="24" t="n"/>
      <c r="L1450" s="24" t="n"/>
      <c r="M1450" s="24" t="n"/>
      <c r="N1450" s="24" t="n"/>
      <c r="O1450" s="15">
        <f>IF(D1450="","",COUNT(F1450,H1450,J1450,L1450,N1450))</f>
        <v/>
      </c>
      <c r="P1450" s="25">
        <f>IF(D1450="","",N(E1450)*N(F1450)+N(G1450)*N(H1450)+N(I1450)*N(J1450)+N(K1450)*N(L1450)+N(M1450)*N(N1450))</f>
        <v/>
      </c>
      <c r="Q1450" s="18">
        <f>IF(N(X1450)=0,"",IF(IF(N(F1450)=0,0,IF(N(E1450)&gt;0,E1450*(1+F1450/30),F1450))=X1450,IF(N(E1450)&gt;0,E1450&amp;" x "&amp;F1450,F1450&amp;" reps"),IF(IF(N(H1450)=0,0,IF(N(G1450)&gt;0,G1450*(1+H1450/30),H1450))=X1450,IF(N(G1450)&gt;0,G1450&amp;" x "&amp;H1450,H1450&amp;" reps"),IF(IF(N(J1450)=0,0,IF(N(I1450)&gt;0,I1450*(1+J1450/30),J1450))=X1450,IF(N(I1450)&gt;0,I1450&amp;" x "&amp;J1450,J1450&amp;" reps"),IF(IF(N(L1450)=0,0,IF(N(K1450)&gt;0,K1450*(1+L1450/30),L1450))=X1450,IF(N(K1450)&gt;0,K1450&amp;" x "&amp;L1450,L1450&amp;" reps"),IF(IF(N(N1450)=0,0,IF(N(M1450)&gt;0,M1450*(1+N1450/30),N1450))=X1450,IF(N(M1450)&gt;0,M1450&amp;" x "&amp;N1450,N1450&amp;" reps"),""))))))</f>
        <v/>
      </c>
      <c r="R1450" s="20">
        <f>IF(N(X1450)=0,"",ROUND(X1450,1))</f>
        <v/>
      </c>
      <c r="S1450" s="18">
        <f>IF(N(X1450)=0,"",IF(AND(COUNTIFS(Log!$D$6:$D$1505,D1450,Log!$B$6:$B$1505,"&lt;"&amp;B1450)&gt;0,COUNTIFS(Log!$D$6:$D$1505,D1450,Log!$B$6:$B$1505,"&lt;"&amp;B1450,Log!$X$6:$X$1505,"&gt;="&amp;X1450)=0),"New best",""))</f>
        <v/>
      </c>
      <c r="T1450" s="26" t="n"/>
      <c r="U1450" s="1">
        <f>IF(D1450="","",IFERROR(INDEX(Exercises!$C$6:$C$105,MATCH(D1450,Exercises!$B$6:$B$105,0)),"Other"))</f>
        <v/>
      </c>
      <c r="V1450">
        <f>IF(B1450="","",IF(COUNTIF($B$6:B1450,B1450)=1,1,0))</f>
        <v/>
      </c>
      <c r="W1450">
        <f>IF(B1450="","",B1450-WEEKDAY(B1450,3))</f>
        <v/>
      </c>
      <c r="X1450">
        <f>IF(D1450="","",MAX(IF(N(F1450)=0,0,IF(N(E1450)&gt;0,E1450*(1+F1450/30),F1450)),IF(N(H1450)=0,0,IF(N(G1450)&gt;0,G1450*(1+H1450/30),H1450)),IF(N(J1450)=0,0,IF(N(I1450)&gt;0,I1450*(1+J1450/30),J1450)),IF(N(L1450)=0,0,IF(N(K1450)&gt;0,K1450*(1+L1450/30),L1450)),IF(N(N1450)=0,0,IF(N(M1450)&gt;0,M1450*(1+N1450/30),N1450))))</f>
        <v/>
      </c>
      <c r="Y1450">
        <f>IF(N(X1450)=0,"",X1450+ROW()/1000000000)</f>
        <v/>
      </c>
      <c r="Z1450">
        <f>IF(Y1450="","",IF(COUNTIFS(Log!$D$6:$D$1505,D1450,Log!$Y$6:$Y$1505,"&gt;"&amp;Y1450)=0,1,0))</f>
        <v/>
      </c>
      <c r="AA1450">
        <f>IF(OR(B1450="",D1450=""),"",B1450+ROW()/10000000)</f>
        <v/>
      </c>
      <c r="AB1450">
        <f>IF(AA1450="","",IF(COUNTIFS(Log!$D$6:$D$1505,D1450,Log!$AA$6:$AA$1505,"&gt;"&amp;AA1450)=0,1,0))</f>
        <v/>
      </c>
      <c r="AC1450">
        <f>IF(S1450="New best",AA1450,"")</f>
        <v/>
      </c>
      <c r="AD1450">
        <f>ROW()</f>
        <v/>
      </c>
    </row>
    <row r="1451">
      <c r="A1451" s="1" t="n"/>
      <c r="B1451" s="21" t="n"/>
      <c r="C1451" s="22" t="n"/>
      <c r="D1451" s="23" t="n"/>
      <c r="E1451" s="24" t="n"/>
      <c r="F1451" s="24" t="n"/>
      <c r="G1451" s="24" t="n"/>
      <c r="H1451" s="24" t="n"/>
      <c r="I1451" s="24" t="n"/>
      <c r="J1451" s="24" t="n"/>
      <c r="K1451" s="24" t="n"/>
      <c r="L1451" s="24" t="n"/>
      <c r="M1451" s="24" t="n"/>
      <c r="N1451" s="24" t="n"/>
      <c r="O1451" s="15">
        <f>IF(D1451="","",COUNT(F1451,H1451,J1451,L1451,N1451))</f>
        <v/>
      </c>
      <c r="P1451" s="25">
        <f>IF(D1451="","",N(E1451)*N(F1451)+N(G1451)*N(H1451)+N(I1451)*N(J1451)+N(K1451)*N(L1451)+N(M1451)*N(N1451))</f>
        <v/>
      </c>
      <c r="Q1451" s="18">
        <f>IF(N(X1451)=0,"",IF(IF(N(F1451)=0,0,IF(N(E1451)&gt;0,E1451*(1+F1451/30),F1451))=X1451,IF(N(E1451)&gt;0,E1451&amp;" x "&amp;F1451,F1451&amp;" reps"),IF(IF(N(H1451)=0,0,IF(N(G1451)&gt;0,G1451*(1+H1451/30),H1451))=X1451,IF(N(G1451)&gt;0,G1451&amp;" x "&amp;H1451,H1451&amp;" reps"),IF(IF(N(J1451)=0,0,IF(N(I1451)&gt;0,I1451*(1+J1451/30),J1451))=X1451,IF(N(I1451)&gt;0,I1451&amp;" x "&amp;J1451,J1451&amp;" reps"),IF(IF(N(L1451)=0,0,IF(N(K1451)&gt;0,K1451*(1+L1451/30),L1451))=X1451,IF(N(K1451)&gt;0,K1451&amp;" x "&amp;L1451,L1451&amp;" reps"),IF(IF(N(N1451)=0,0,IF(N(M1451)&gt;0,M1451*(1+N1451/30),N1451))=X1451,IF(N(M1451)&gt;0,M1451&amp;" x "&amp;N1451,N1451&amp;" reps"),""))))))</f>
        <v/>
      </c>
      <c r="R1451" s="20">
        <f>IF(N(X1451)=0,"",ROUND(X1451,1))</f>
        <v/>
      </c>
      <c r="S1451" s="18">
        <f>IF(N(X1451)=0,"",IF(AND(COUNTIFS(Log!$D$6:$D$1505,D1451,Log!$B$6:$B$1505,"&lt;"&amp;B1451)&gt;0,COUNTIFS(Log!$D$6:$D$1505,D1451,Log!$B$6:$B$1505,"&lt;"&amp;B1451,Log!$X$6:$X$1505,"&gt;="&amp;X1451)=0),"New best",""))</f>
        <v/>
      </c>
      <c r="T1451" s="26" t="n"/>
      <c r="U1451" s="1">
        <f>IF(D1451="","",IFERROR(INDEX(Exercises!$C$6:$C$105,MATCH(D1451,Exercises!$B$6:$B$105,0)),"Other"))</f>
        <v/>
      </c>
      <c r="V1451">
        <f>IF(B1451="","",IF(COUNTIF($B$6:B1451,B1451)=1,1,0))</f>
        <v/>
      </c>
      <c r="W1451">
        <f>IF(B1451="","",B1451-WEEKDAY(B1451,3))</f>
        <v/>
      </c>
      <c r="X1451">
        <f>IF(D1451="","",MAX(IF(N(F1451)=0,0,IF(N(E1451)&gt;0,E1451*(1+F1451/30),F1451)),IF(N(H1451)=0,0,IF(N(G1451)&gt;0,G1451*(1+H1451/30),H1451)),IF(N(J1451)=0,0,IF(N(I1451)&gt;0,I1451*(1+J1451/30),J1451)),IF(N(L1451)=0,0,IF(N(K1451)&gt;0,K1451*(1+L1451/30),L1451)),IF(N(N1451)=0,0,IF(N(M1451)&gt;0,M1451*(1+N1451/30),N1451))))</f>
        <v/>
      </c>
      <c r="Y1451">
        <f>IF(N(X1451)=0,"",X1451+ROW()/1000000000)</f>
        <v/>
      </c>
      <c r="Z1451">
        <f>IF(Y1451="","",IF(COUNTIFS(Log!$D$6:$D$1505,D1451,Log!$Y$6:$Y$1505,"&gt;"&amp;Y1451)=0,1,0))</f>
        <v/>
      </c>
      <c r="AA1451">
        <f>IF(OR(B1451="",D1451=""),"",B1451+ROW()/10000000)</f>
        <v/>
      </c>
      <c r="AB1451">
        <f>IF(AA1451="","",IF(COUNTIFS(Log!$D$6:$D$1505,D1451,Log!$AA$6:$AA$1505,"&gt;"&amp;AA1451)=0,1,0))</f>
        <v/>
      </c>
      <c r="AC1451">
        <f>IF(S1451="New best",AA1451,"")</f>
        <v/>
      </c>
      <c r="AD1451">
        <f>ROW()</f>
        <v/>
      </c>
    </row>
    <row r="1452">
      <c r="A1452" s="1" t="n"/>
      <c r="B1452" s="21" t="n"/>
      <c r="C1452" s="22" t="n"/>
      <c r="D1452" s="23" t="n"/>
      <c r="E1452" s="24" t="n"/>
      <c r="F1452" s="24" t="n"/>
      <c r="G1452" s="24" t="n"/>
      <c r="H1452" s="24" t="n"/>
      <c r="I1452" s="24" t="n"/>
      <c r="J1452" s="24" t="n"/>
      <c r="K1452" s="24" t="n"/>
      <c r="L1452" s="24" t="n"/>
      <c r="M1452" s="24" t="n"/>
      <c r="N1452" s="24" t="n"/>
      <c r="O1452" s="15">
        <f>IF(D1452="","",COUNT(F1452,H1452,J1452,L1452,N1452))</f>
        <v/>
      </c>
      <c r="P1452" s="25">
        <f>IF(D1452="","",N(E1452)*N(F1452)+N(G1452)*N(H1452)+N(I1452)*N(J1452)+N(K1452)*N(L1452)+N(M1452)*N(N1452))</f>
        <v/>
      </c>
      <c r="Q1452" s="18">
        <f>IF(N(X1452)=0,"",IF(IF(N(F1452)=0,0,IF(N(E1452)&gt;0,E1452*(1+F1452/30),F1452))=X1452,IF(N(E1452)&gt;0,E1452&amp;" x "&amp;F1452,F1452&amp;" reps"),IF(IF(N(H1452)=0,0,IF(N(G1452)&gt;0,G1452*(1+H1452/30),H1452))=X1452,IF(N(G1452)&gt;0,G1452&amp;" x "&amp;H1452,H1452&amp;" reps"),IF(IF(N(J1452)=0,0,IF(N(I1452)&gt;0,I1452*(1+J1452/30),J1452))=X1452,IF(N(I1452)&gt;0,I1452&amp;" x "&amp;J1452,J1452&amp;" reps"),IF(IF(N(L1452)=0,0,IF(N(K1452)&gt;0,K1452*(1+L1452/30),L1452))=X1452,IF(N(K1452)&gt;0,K1452&amp;" x "&amp;L1452,L1452&amp;" reps"),IF(IF(N(N1452)=0,0,IF(N(M1452)&gt;0,M1452*(1+N1452/30),N1452))=X1452,IF(N(M1452)&gt;0,M1452&amp;" x "&amp;N1452,N1452&amp;" reps"),""))))))</f>
        <v/>
      </c>
      <c r="R1452" s="20">
        <f>IF(N(X1452)=0,"",ROUND(X1452,1))</f>
        <v/>
      </c>
      <c r="S1452" s="18">
        <f>IF(N(X1452)=0,"",IF(AND(COUNTIFS(Log!$D$6:$D$1505,D1452,Log!$B$6:$B$1505,"&lt;"&amp;B1452)&gt;0,COUNTIFS(Log!$D$6:$D$1505,D1452,Log!$B$6:$B$1505,"&lt;"&amp;B1452,Log!$X$6:$X$1505,"&gt;="&amp;X1452)=0),"New best",""))</f>
        <v/>
      </c>
      <c r="T1452" s="26" t="n"/>
      <c r="U1452" s="1">
        <f>IF(D1452="","",IFERROR(INDEX(Exercises!$C$6:$C$105,MATCH(D1452,Exercises!$B$6:$B$105,0)),"Other"))</f>
        <v/>
      </c>
      <c r="V1452">
        <f>IF(B1452="","",IF(COUNTIF($B$6:B1452,B1452)=1,1,0))</f>
        <v/>
      </c>
      <c r="W1452">
        <f>IF(B1452="","",B1452-WEEKDAY(B1452,3))</f>
        <v/>
      </c>
      <c r="X1452">
        <f>IF(D1452="","",MAX(IF(N(F1452)=0,0,IF(N(E1452)&gt;0,E1452*(1+F1452/30),F1452)),IF(N(H1452)=0,0,IF(N(G1452)&gt;0,G1452*(1+H1452/30),H1452)),IF(N(J1452)=0,0,IF(N(I1452)&gt;0,I1452*(1+J1452/30),J1452)),IF(N(L1452)=0,0,IF(N(K1452)&gt;0,K1452*(1+L1452/30),L1452)),IF(N(N1452)=0,0,IF(N(M1452)&gt;0,M1452*(1+N1452/30),N1452))))</f>
        <v/>
      </c>
      <c r="Y1452">
        <f>IF(N(X1452)=0,"",X1452+ROW()/1000000000)</f>
        <v/>
      </c>
      <c r="Z1452">
        <f>IF(Y1452="","",IF(COUNTIFS(Log!$D$6:$D$1505,D1452,Log!$Y$6:$Y$1505,"&gt;"&amp;Y1452)=0,1,0))</f>
        <v/>
      </c>
      <c r="AA1452">
        <f>IF(OR(B1452="",D1452=""),"",B1452+ROW()/10000000)</f>
        <v/>
      </c>
      <c r="AB1452">
        <f>IF(AA1452="","",IF(COUNTIFS(Log!$D$6:$D$1505,D1452,Log!$AA$6:$AA$1505,"&gt;"&amp;AA1452)=0,1,0))</f>
        <v/>
      </c>
      <c r="AC1452">
        <f>IF(S1452="New best",AA1452,"")</f>
        <v/>
      </c>
      <c r="AD1452">
        <f>ROW()</f>
        <v/>
      </c>
    </row>
    <row r="1453">
      <c r="A1453" s="1" t="n"/>
      <c r="B1453" s="21" t="n"/>
      <c r="C1453" s="22" t="n"/>
      <c r="D1453" s="23" t="n"/>
      <c r="E1453" s="24" t="n"/>
      <c r="F1453" s="24" t="n"/>
      <c r="G1453" s="24" t="n"/>
      <c r="H1453" s="24" t="n"/>
      <c r="I1453" s="24" t="n"/>
      <c r="J1453" s="24" t="n"/>
      <c r="K1453" s="24" t="n"/>
      <c r="L1453" s="24" t="n"/>
      <c r="M1453" s="24" t="n"/>
      <c r="N1453" s="24" t="n"/>
      <c r="O1453" s="15">
        <f>IF(D1453="","",COUNT(F1453,H1453,J1453,L1453,N1453))</f>
        <v/>
      </c>
      <c r="P1453" s="25">
        <f>IF(D1453="","",N(E1453)*N(F1453)+N(G1453)*N(H1453)+N(I1453)*N(J1453)+N(K1453)*N(L1453)+N(M1453)*N(N1453))</f>
        <v/>
      </c>
      <c r="Q1453" s="18">
        <f>IF(N(X1453)=0,"",IF(IF(N(F1453)=0,0,IF(N(E1453)&gt;0,E1453*(1+F1453/30),F1453))=X1453,IF(N(E1453)&gt;0,E1453&amp;" x "&amp;F1453,F1453&amp;" reps"),IF(IF(N(H1453)=0,0,IF(N(G1453)&gt;0,G1453*(1+H1453/30),H1453))=X1453,IF(N(G1453)&gt;0,G1453&amp;" x "&amp;H1453,H1453&amp;" reps"),IF(IF(N(J1453)=0,0,IF(N(I1453)&gt;0,I1453*(1+J1453/30),J1453))=X1453,IF(N(I1453)&gt;0,I1453&amp;" x "&amp;J1453,J1453&amp;" reps"),IF(IF(N(L1453)=0,0,IF(N(K1453)&gt;0,K1453*(1+L1453/30),L1453))=X1453,IF(N(K1453)&gt;0,K1453&amp;" x "&amp;L1453,L1453&amp;" reps"),IF(IF(N(N1453)=0,0,IF(N(M1453)&gt;0,M1453*(1+N1453/30),N1453))=X1453,IF(N(M1453)&gt;0,M1453&amp;" x "&amp;N1453,N1453&amp;" reps"),""))))))</f>
        <v/>
      </c>
      <c r="R1453" s="20">
        <f>IF(N(X1453)=0,"",ROUND(X1453,1))</f>
        <v/>
      </c>
      <c r="S1453" s="18">
        <f>IF(N(X1453)=0,"",IF(AND(COUNTIFS(Log!$D$6:$D$1505,D1453,Log!$B$6:$B$1505,"&lt;"&amp;B1453)&gt;0,COUNTIFS(Log!$D$6:$D$1505,D1453,Log!$B$6:$B$1505,"&lt;"&amp;B1453,Log!$X$6:$X$1505,"&gt;="&amp;X1453)=0),"New best",""))</f>
        <v/>
      </c>
      <c r="T1453" s="26" t="n"/>
      <c r="U1453" s="1">
        <f>IF(D1453="","",IFERROR(INDEX(Exercises!$C$6:$C$105,MATCH(D1453,Exercises!$B$6:$B$105,0)),"Other"))</f>
        <v/>
      </c>
      <c r="V1453">
        <f>IF(B1453="","",IF(COUNTIF($B$6:B1453,B1453)=1,1,0))</f>
        <v/>
      </c>
      <c r="W1453">
        <f>IF(B1453="","",B1453-WEEKDAY(B1453,3))</f>
        <v/>
      </c>
      <c r="X1453">
        <f>IF(D1453="","",MAX(IF(N(F1453)=0,0,IF(N(E1453)&gt;0,E1453*(1+F1453/30),F1453)),IF(N(H1453)=0,0,IF(N(G1453)&gt;0,G1453*(1+H1453/30),H1453)),IF(N(J1453)=0,0,IF(N(I1453)&gt;0,I1453*(1+J1453/30),J1453)),IF(N(L1453)=0,0,IF(N(K1453)&gt;0,K1453*(1+L1453/30),L1453)),IF(N(N1453)=0,0,IF(N(M1453)&gt;0,M1453*(1+N1453/30),N1453))))</f>
        <v/>
      </c>
      <c r="Y1453">
        <f>IF(N(X1453)=0,"",X1453+ROW()/1000000000)</f>
        <v/>
      </c>
      <c r="Z1453">
        <f>IF(Y1453="","",IF(COUNTIFS(Log!$D$6:$D$1505,D1453,Log!$Y$6:$Y$1505,"&gt;"&amp;Y1453)=0,1,0))</f>
        <v/>
      </c>
      <c r="AA1453">
        <f>IF(OR(B1453="",D1453=""),"",B1453+ROW()/10000000)</f>
        <v/>
      </c>
      <c r="AB1453">
        <f>IF(AA1453="","",IF(COUNTIFS(Log!$D$6:$D$1505,D1453,Log!$AA$6:$AA$1505,"&gt;"&amp;AA1453)=0,1,0))</f>
        <v/>
      </c>
      <c r="AC1453">
        <f>IF(S1453="New best",AA1453,"")</f>
        <v/>
      </c>
      <c r="AD1453">
        <f>ROW()</f>
        <v/>
      </c>
    </row>
    <row r="1454">
      <c r="A1454" s="1" t="n"/>
      <c r="B1454" s="21" t="n"/>
      <c r="C1454" s="22" t="n"/>
      <c r="D1454" s="23" t="n"/>
      <c r="E1454" s="24" t="n"/>
      <c r="F1454" s="24" t="n"/>
      <c r="G1454" s="24" t="n"/>
      <c r="H1454" s="24" t="n"/>
      <c r="I1454" s="24" t="n"/>
      <c r="J1454" s="24" t="n"/>
      <c r="K1454" s="24" t="n"/>
      <c r="L1454" s="24" t="n"/>
      <c r="M1454" s="24" t="n"/>
      <c r="N1454" s="24" t="n"/>
      <c r="O1454" s="15">
        <f>IF(D1454="","",COUNT(F1454,H1454,J1454,L1454,N1454))</f>
        <v/>
      </c>
      <c r="P1454" s="25">
        <f>IF(D1454="","",N(E1454)*N(F1454)+N(G1454)*N(H1454)+N(I1454)*N(J1454)+N(K1454)*N(L1454)+N(M1454)*N(N1454))</f>
        <v/>
      </c>
      <c r="Q1454" s="18">
        <f>IF(N(X1454)=0,"",IF(IF(N(F1454)=0,0,IF(N(E1454)&gt;0,E1454*(1+F1454/30),F1454))=X1454,IF(N(E1454)&gt;0,E1454&amp;" x "&amp;F1454,F1454&amp;" reps"),IF(IF(N(H1454)=0,0,IF(N(G1454)&gt;0,G1454*(1+H1454/30),H1454))=X1454,IF(N(G1454)&gt;0,G1454&amp;" x "&amp;H1454,H1454&amp;" reps"),IF(IF(N(J1454)=0,0,IF(N(I1454)&gt;0,I1454*(1+J1454/30),J1454))=X1454,IF(N(I1454)&gt;0,I1454&amp;" x "&amp;J1454,J1454&amp;" reps"),IF(IF(N(L1454)=0,0,IF(N(K1454)&gt;0,K1454*(1+L1454/30),L1454))=X1454,IF(N(K1454)&gt;0,K1454&amp;" x "&amp;L1454,L1454&amp;" reps"),IF(IF(N(N1454)=0,0,IF(N(M1454)&gt;0,M1454*(1+N1454/30),N1454))=X1454,IF(N(M1454)&gt;0,M1454&amp;" x "&amp;N1454,N1454&amp;" reps"),""))))))</f>
        <v/>
      </c>
      <c r="R1454" s="20">
        <f>IF(N(X1454)=0,"",ROUND(X1454,1))</f>
        <v/>
      </c>
      <c r="S1454" s="18">
        <f>IF(N(X1454)=0,"",IF(AND(COUNTIFS(Log!$D$6:$D$1505,D1454,Log!$B$6:$B$1505,"&lt;"&amp;B1454)&gt;0,COUNTIFS(Log!$D$6:$D$1505,D1454,Log!$B$6:$B$1505,"&lt;"&amp;B1454,Log!$X$6:$X$1505,"&gt;="&amp;X1454)=0),"New best",""))</f>
        <v/>
      </c>
      <c r="T1454" s="26" t="n"/>
      <c r="U1454" s="1">
        <f>IF(D1454="","",IFERROR(INDEX(Exercises!$C$6:$C$105,MATCH(D1454,Exercises!$B$6:$B$105,0)),"Other"))</f>
        <v/>
      </c>
      <c r="V1454">
        <f>IF(B1454="","",IF(COUNTIF($B$6:B1454,B1454)=1,1,0))</f>
        <v/>
      </c>
      <c r="W1454">
        <f>IF(B1454="","",B1454-WEEKDAY(B1454,3))</f>
        <v/>
      </c>
      <c r="X1454">
        <f>IF(D1454="","",MAX(IF(N(F1454)=0,0,IF(N(E1454)&gt;0,E1454*(1+F1454/30),F1454)),IF(N(H1454)=0,0,IF(N(G1454)&gt;0,G1454*(1+H1454/30),H1454)),IF(N(J1454)=0,0,IF(N(I1454)&gt;0,I1454*(1+J1454/30),J1454)),IF(N(L1454)=0,0,IF(N(K1454)&gt;0,K1454*(1+L1454/30),L1454)),IF(N(N1454)=0,0,IF(N(M1454)&gt;0,M1454*(1+N1454/30),N1454))))</f>
        <v/>
      </c>
      <c r="Y1454">
        <f>IF(N(X1454)=0,"",X1454+ROW()/1000000000)</f>
        <v/>
      </c>
      <c r="Z1454">
        <f>IF(Y1454="","",IF(COUNTIFS(Log!$D$6:$D$1505,D1454,Log!$Y$6:$Y$1505,"&gt;"&amp;Y1454)=0,1,0))</f>
        <v/>
      </c>
      <c r="AA1454">
        <f>IF(OR(B1454="",D1454=""),"",B1454+ROW()/10000000)</f>
        <v/>
      </c>
      <c r="AB1454">
        <f>IF(AA1454="","",IF(COUNTIFS(Log!$D$6:$D$1505,D1454,Log!$AA$6:$AA$1505,"&gt;"&amp;AA1454)=0,1,0))</f>
        <v/>
      </c>
      <c r="AC1454">
        <f>IF(S1454="New best",AA1454,"")</f>
        <v/>
      </c>
      <c r="AD1454">
        <f>ROW()</f>
        <v/>
      </c>
    </row>
    <row r="1455">
      <c r="A1455" s="1" t="n"/>
      <c r="B1455" s="21" t="n"/>
      <c r="C1455" s="22" t="n"/>
      <c r="D1455" s="23" t="n"/>
      <c r="E1455" s="24" t="n"/>
      <c r="F1455" s="24" t="n"/>
      <c r="G1455" s="24" t="n"/>
      <c r="H1455" s="24" t="n"/>
      <c r="I1455" s="24" t="n"/>
      <c r="J1455" s="24" t="n"/>
      <c r="K1455" s="24" t="n"/>
      <c r="L1455" s="24" t="n"/>
      <c r="M1455" s="24" t="n"/>
      <c r="N1455" s="24" t="n"/>
      <c r="O1455" s="15">
        <f>IF(D1455="","",COUNT(F1455,H1455,J1455,L1455,N1455))</f>
        <v/>
      </c>
      <c r="P1455" s="25">
        <f>IF(D1455="","",N(E1455)*N(F1455)+N(G1455)*N(H1455)+N(I1455)*N(J1455)+N(K1455)*N(L1455)+N(M1455)*N(N1455))</f>
        <v/>
      </c>
      <c r="Q1455" s="18">
        <f>IF(N(X1455)=0,"",IF(IF(N(F1455)=0,0,IF(N(E1455)&gt;0,E1455*(1+F1455/30),F1455))=X1455,IF(N(E1455)&gt;0,E1455&amp;" x "&amp;F1455,F1455&amp;" reps"),IF(IF(N(H1455)=0,0,IF(N(G1455)&gt;0,G1455*(1+H1455/30),H1455))=X1455,IF(N(G1455)&gt;0,G1455&amp;" x "&amp;H1455,H1455&amp;" reps"),IF(IF(N(J1455)=0,0,IF(N(I1455)&gt;0,I1455*(1+J1455/30),J1455))=X1455,IF(N(I1455)&gt;0,I1455&amp;" x "&amp;J1455,J1455&amp;" reps"),IF(IF(N(L1455)=0,0,IF(N(K1455)&gt;0,K1455*(1+L1455/30),L1455))=X1455,IF(N(K1455)&gt;0,K1455&amp;" x "&amp;L1455,L1455&amp;" reps"),IF(IF(N(N1455)=0,0,IF(N(M1455)&gt;0,M1455*(1+N1455/30),N1455))=X1455,IF(N(M1455)&gt;0,M1455&amp;" x "&amp;N1455,N1455&amp;" reps"),""))))))</f>
        <v/>
      </c>
      <c r="R1455" s="20">
        <f>IF(N(X1455)=0,"",ROUND(X1455,1))</f>
        <v/>
      </c>
      <c r="S1455" s="18">
        <f>IF(N(X1455)=0,"",IF(AND(COUNTIFS(Log!$D$6:$D$1505,D1455,Log!$B$6:$B$1505,"&lt;"&amp;B1455)&gt;0,COUNTIFS(Log!$D$6:$D$1505,D1455,Log!$B$6:$B$1505,"&lt;"&amp;B1455,Log!$X$6:$X$1505,"&gt;="&amp;X1455)=0),"New best",""))</f>
        <v/>
      </c>
      <c r="T1455" s="26" t="n"/>
      <c r="U1455" s="1">
        <f>IF(D1455="","",IFERROR(INDEX(Exercises!$C$6:$C$105,MATCH(D1455,Exercises!$B$6:$B$105,0)),"Other"))</f>
        <v/>
      </c>
      <c r="V1455">
        <f>IF(B1455="","",IF(COUNTIF($B$6:B1455,B1455)=1,1,0))</f>
        <v/>
      </c>
      <c r="W1455">
        <f>IF(B1455="","",B1455-WEEKDAY(B1455,3))</f>
        <v/>
      </c>
      <c r="X1455">
        <f>IF(D1455="","",MAX(IF(N(F1455)=0,0,IF(N(E1455)&gt;0,E1455*(1+F1455/30),F1455)),IF(N(H1455)=0,0,IF(N(G1455)&gt;0,G1455*(1+H1455/30),H1455)),IF(N(J1455)=0,0,IF(N(I1455)&gt;0,I1455*(1+J1455/30),J1455)),IF(N(L1455)=0,0,IF(N(K1455)&gt;0,K1455*(1+L1455/30),L1455)),IF(N(N1455)=0,0,IF(N(M1455)&gt;0,M1455*(1+N1455/30),N1455))))</f>
        <v/>
      </c>
      <c r="Y1455">
        <f>IF(N(X1455)=0,"",X1455+ROW()/1000000000)</f>
        <v/>
      </c>
      <c r="Z1455">
        <f>IF(Y1455="","",IF(COUNTIFS(Log!$D$6:$D$1505,D1455,Log!$Y$6:$Y$1505,"&gt;"&amp;Y1455)=0,1,0))</f>
        <v/>
      </c>
      <c r="AA1455">
        <f>IF(OR(B1455="",D1455=""),"",B1455+ROW()/10000000)</f>
        <v/>
      </c>
      <c r="AB1455">
        <f>IF(AA1455="","",IF(COUNTIFS(Log!$D$6:$D$1505,D1455,Log!$AA$6:$AA$1505,"&gt;"&amp;AA1455)=0,1,0))</f>
        <v/>
      </c>
      <c r="AC1455">
        <f>IF(S1455="New best",AA1455,"")</f>
        <v/>
      </c>
      <c r="AD1455">
        <f>ROW()</f>
        <v/>
      </c>
    </row>
    <row r="1456">
      <c r="A1456" s="1" t="n"/>
      <c r="B1456" s="21" t="n"/>
      <c r="C1456" s="22" t="n"/>
      <c r="D1456" s="23" t="n"/>
      <c r="E1456" s="24" t="n"/>
      <c r="F1456" s="24" t="n"/>
      <c r="G1456" s="24" t="n"/>
      <c r="H1456" s="24" t="n"/>
      <c r="I1456" s="24" t="n"/>
      <c r="J1456" s="24" t="n"/>
      <c r="K1456" s="24" t="n"/>
      <c r="L1456" s="24" t="n"/>
      <c r="M1456" s="24" t="n"/>
      <c r="N1456" s="24" t="n"/>
      <c r="O1456" s="15">
        <f>IF(D1456="","",COUNT(F1456,H1456,J1456,L1456,N1456))</f>
        <v/>
      </c>
      <c r="P1456" s="25">
        <f>IF(D1456="","",N(E1456)*N(F1456)+N(G1456)*N(H1456)+N(I1456)*N(J1456)+N(K1456)*N(L1456)+N(M1456)*N(N1456))</f>
        <v/>
      </c>
      <c r="Q1456" s="18">
        <f>IF(N(X1456)=0,"",IF(IF(N(F1456)=0,0,IF(N(E1456)&gt;0,E1456*(1+F1456/30),F1456))=X1456,IF(N(E1456)&gt;0,E1456&amp;" x "&amp;F1456,F1456&amp;" reps"),IF(IF(N(H1456)=0,0,IF(N(G1456)&gt;0,G1456*(1+H1456/30),H1456))=X1456,IF(N(G1456)&gt;0,G1456&amp;" x "&amp;H1456,H1456&amp;" reps"),IF(IF(N(J1456)=0,0,IF(N(I1456)&gt;0,I1456*(1+J1456/30),J1456))=X1456,IF(N(I1456)&gt;0,I1456&amp;" x "&amp;J1456,J1456&amp;" reps"),IF(IF(N(L1456)=0,0,IF(N(K1456)&gt;0,K1456*(1+L1456/30),L1456))=X1456,IF(N(K1456)&gt;0,K1456&amp;" x "&amp;L1456,L1456&amp;" reps"),IF(IF(N(N1456)=0,0,IF(N(M1456)&gt;0,M1456*(1+N1456/30),N1456))=X1456,IF(N(M1456)&gt;0,M1456&amp;" x "&amp;N1456,N1456&amp;" reps"),""))))))</f>
        <v/>
      </c>
      <c r="R1456" s="20">
        <f>IF(N(X1456)=0,"",ROUND(X1456,1))</f>
        <v/>
      </c>
      <c r="S1456" s="18">
        <f>IF(N(X1456)=0,"",IF(AND(COUNTIFS(Log!$D$6:$D$1505,D1456,Log!$B$6:$B$1505,"&lt;"&amp;B1456)&gt;0,COUNTIFS(Log!$D$6:$D$1505,D1456,Log!$B$6:$B$1505,"&lt;"&amp;B1456,Log!$X$6:$X$1505,"&gt;="&amp;X1456)=0),"New best",""))</f>
        <v/>
      </c>
      <c r="T1456" s="26" t="n"/>
      <c r="U1456" s="1">
        <f>IF(D1456="","",IFERROR(INDEX(Exercises!$C$6:$C$105,MATCH(D1456,Exercises!$B$6:$B$105,0)),"Other"))</f>
        <v/>
      </c>
      <c r="V1456">
        <f>IF(B1456="","",IF(COUNTIF($B$6:B1456,B1456)=1,1,0))</f>
        <v/>
      </c>
      <c r="W1456">
        <f>IF(B1456="","",B1456-WEEKDAY(B1456,3))</f>
        <v/>
      </c>
      <c r="X1456">
        <f>IF(D1456="","",MAX(IF(N(F1456)=0,0,IF(N(E1456)&gt;0,E1456*(1+F1456/30),F1456)),IF(N(H1456)=0,0,IF(N(G1456)&gt;0,G1456*(1+H1456/30),H1456)),IF(N(J1456)=0,0,IF(N(I1456)&gt;0,I1456*(1+J1456/30),J1456)),IF(N(L1456)=0,0,IF(N(K1456)&gt;0,K1456*(1+L1456/30),L1456)),IF(N(N1456)=0,0,IF(N(M1456)&gt;0,M1456*(1+N1456/30),N1456))))</f>
        <v/>
      </c>
      <c r="Y1456">
        <f>IF(N(X1456)=0,"",X1456+ROW()/1000000000)</f>
        <v/>
      </c>
      <c r="Z1456">
        <f>IF(Y1456="","",IF(COUNTIFS(Log!$D$6:$D$1505,D1456,Log!$Y$6:$Y$1505,"&gt;"&amp;Y1456)=0,1,0))</f>
        <v/>
      </c>
      <c r="AA1456">
        <f>IF(OR(B1456="",D1456=""),"",B1456+ROW()/10000000)</f>
        <v/>
      </c>
      <c r="AB1456">
        <f>IF(AA1456="","",IF(COUNTIFS(Log!$D$6:$D$1505,D1456,Log!$AA$6:$AA$1505,"&gt;"&amp;AA1456)=0,1,0))</f>
        <v/>
      </c>
      <c r="AC1456">
        <f>IF(S1456="New best",AA1456,"")</f>
        <v/>
      </c>
      <c r="AD1456">
        <f>ROW()</f>
        <v/>
      </c>
    </row>
    <row r="1457">
      <c r="A1457" s="1" t="n"/>
      <c r="B1457" s="21" t="n"/>
      <c r="C1457" s="22" t="n"/>
      <c r="D1457" s="23" t="n"/>
      <c r="E1457" s="24" t="n"/>
      <c r="F1457" s="24" t="n"/>
      <c r="G1457" s="24" t="n"/>
      <c r="H1457" s="24" t="n"/>
      <c r="I1457" s="24" t="n"/>
      <c r="J1457" s="24" t="n"/>
      <c r="K1457" s="24" t="n"/>
      <c r="L1457" s="24" t="n"/>
      <c r="M1457" s="24" t="n"/>
      <c r="N1457" s="24" t="n"/>
      <c r="O1457" s="15">
        <f>IF(D1457="","",COUNT(F1457,H1457,J1457,L1457,N1457))</f>
        <v/>
      </c>
      <c r="P1457" s="25">
        <f>IF(D1457="","",N(E1457)*N(F1457)+N(G1457)*N(H1457)+N(I1457)*N(J1457)+N(K1457)*N(L1457)+N(M1457)*N(N1457))</f>
        <v/>
      </c>
      <c r="Q1457" s="18">
        <f>IF(N(X1457)=0,"",IF(IF(N(F1457)=0,0,IF(N(E1457)&gt;0,E1457*(1+F1457/30),F1457))=X1457,IF(N(E1457)&gt;0,E1457&amp;" x "&amp;F1457,F1457&amp;" reps"),IF(IF(N(H1457)=0,0,IF(N(G1457)&gt;0,G1457*(1+H1457/30),H1457))=X1457,IF(N(G1457)&gt;0,G1457&amp;" x "&amp;H1457,H1457&amp;" reps"),IF(IF(N(J1457)=0,0,IF(N(I1457)&gt;0,I1457*(1+J1457/30),J1457))=X1457,IF(N(I1457)&gt;0,I1457&amp;" x "&amp;J1457,J1457&amp;" reps"),IF(IF(N(L1457)=0,0,IF(N(K1457)&gt;0,K1457*(1+L1457/30),L1457))=X1457,IF(N(K1457)&gt;0,K1457&amp;" x "&amp;L1457,L1457&amp;" reps"),IF(IF(N(N1457)=0,0,IF(N(M1457)&gt;0,M1457*(1+N1457/30),N1457))=X1457,IF(N(M1457)&gt;0,M1457&amp;" x "&amp;N1457,N1457&amp;" reps"),""))))))</f>
        <v/>
      </c>
      <c r="R1457" s="20">
        <f>IF(N(X1457)=0,"",ROUND(X1457,1))</f>
        <v/>
      </c>
      <c r="S1457" s="18">
        <f>IF(N(X1457)=0,"",IF(AND(COUNTIFS(Log!$D$6:$D$1505,D1457,Log!$B$6:$B$1505,"&lt;"&amp;B1457)&gt;0,COUNTIFS(Log!$D$6:$D$1505,D1457,Log!$B$6:$B$1505,"&lt;"&amp;B1457,Log!$X$6:$X$1505,"&gt;="&amp;X1457)=0),"New best",""))</f>
        <v/>
      </c>
      <c r="T1457" s="26" t="n"/>
      <c r="U1457" s="1">
        <f>IF(D1457="","",IFERROR(INDEX(Exercises!$C$6:$C$105,MATCH(D1457,Exercises!$B$6:$B$105,0)),"Other"))</f>
        <v/>
      </c>
      <c r="V1457">
        <f>IF(B1457="","",IF(COUNTIF($B$6:B1457,B1457)=1,1,0))</f>
        <v/>
      </c>
      <c r="W1457">
        <f>IF(B1457="","",B1457-WEEKDAY(B1457,3))</f>
        <v/>
      </c>
      <c r="X1457">
        <f>IF(D1457="","",MAX(IF(N(F1457)=0,0,IF(N(E1457)&gt;0,E1457*(1+F1457/30),F1457)),IF(N(H1457)=0,0,IF(N(G1457)&gt;0,G1457*(1+H1457/30),H1457)),IF(N(J1457)=0,0,IF(N(I1457)&gt;0,I1457*(1+J1457/30),J1457)),IF(N(L1457)=0,0,IF(N(K1457)&gt;0,K1457*(1+L1457/30),L1457)),IF(N(N1457)=0,0,IF(N(M1457)&gt;0,M1457*(1+N1457/30),N1457))))</f>
        <v/>
      </c>
      <c r="Y1457">
        <f>IF(N(X1457)=0,"",X1457+ROW()/1000000000)</f>
        <v/>
      </c>
      <c r="Z1457">
        <f>IF(Y1457="","",IF(COUNTIFS(Log!$D$6:$D$1505,D1457,Log!$Y$6:$Y$1505,"&gt;"&amp;Y1457)=0,1,0))</f>
        <v/>
      </c>
      <c r="AA1457">
        <f>IF(OR(B1457="",D1457=""),"",B1457+ROW()/10000000)</f>
        <v/>
      </c>
      <c r="AB1457">
        <f>IF(AA1457="","",IF(COUNTIFS(Log!$D$6:$D$1505,D1457,Log!$AA$6:$AA$1505,"&gt;"&amp;AA1457)=0,1,0))</f>
        <v/>
      </c>
      <c r="AC1457">
        <f>IF(S1457="New best",AA1457,"")</f>
        <v/>
      </c>
      <c r="AD1457">
        <f>ROW()</f>
        <v/>
      </c>
    </row>
    <row r="1458">
      <c r="A1458" s="1" t="n"/>
      <c r="B1458" s="21" t="n"/>
      <c r="C1458" s="22" t="n"/>
      <c r="D1458" s="23" t="n"/>
      <c r="E1458" s="24" t="n"/>
      <c r="F1458" s="24" t="n"/>
      <c r="G1458" s="24" t="n"/>
      <c r="H1458" s="24" t="n"/>
      <c r="I1458" s="24" t="n"/>
      <c r="J1458" s="24" t="n"/>
      <c r="K1458" s="24" t="n"/>
      <c r="L1458" s="24" t="n"/>
      <c r="M1458" s="24" t="n"/>
      <c r="N1458" s="24" t="n"/>
      <c r="O1458" s="15">
        <f>IF(D1458="","",COUNT(F1458,H1458,J1458,L1458,N1458))</f>
        <v/>
      </c>
      <c r="P1458" s="25">
        <f>IF(D1458="","",N(E1458)*N(F1458)+N(G1458)*N(H1458)+N(I1458)*N(J1458)+N(K1458)*N(L1458)+N(M1458)*N(N1458))</f>
        <v/>
      </c>
      <c r="Q1458" s="18">
        <f>IF(N(X1458)=0,"",IF(IF(N(F1458)=0,0,IF(N(E1458)&gt;0,E1458*(1+F1458/30),F1458))=X1458,IF(N(E1458)&gt;0,E1458&amp;" x "&amp;F1458,F1458&amp;" reps"),IF(IF(N(H1458)=0,0,IF(N(G1458)&gt;0,G1458*(1+H1458/30),H1458))=X1458,IF(N(G1458)&gt;0,G1458&amp;" x "&amp;H1458,H1458&amp;" reps"),IF(IF(N(J1458)=0,0,IF(N(I1458)&gt;0,I1458*(1+J1458/30),J1458))=X1458,IF(N(I1458)&gt;0,I1458&amp;" x "&amp;J1458,J1458&amp;" reps"),IF(IF(N(L1458)=0,0,IF(N(K1458)&gt;0,K1458*(1+L1458/30),L1458))=X1458,IF(N(K1458)&gt;0,K1458&amp;" x "&amp;L1458,L1458&amp;" reps"),IF(IF(N(N1458)=0,0,IF(N(M1458)&gt;0,M1458*(1+N1458/30),N1458))=X1458,IF(N(M1458)&gt;0,M1458&amp;" x "&amp;N1458,N1458&amp;" reps"),""))))))</f>
        <v/>
      </c>
      <c r="R1458" s="20">
        <f>IF(N(X1458)=0,"",ROUND(X1458,1))</f>
        <v/>
      </c>
      <c r="S1458" s="18">
        <f>IF(N(X1458)=0,"",IF(AND(COUNTIFS(Log!$D$6:$D$1505,D1458,Log!$B$6:$B$1505,"&lt;"&amp;B1458)&gt;0,COUNTIFS(Log!$D$6:$D$1505,D1458,Log!$B$6:$B$1505,"&lt;"&amp;B1458,Log!$X$6:$X$1505,"&gt;="&amp;X1458)=0),"New best",""))</f>
        <v/>
      </c>
      <c r="T1458" s="26" t="n"/>
      <c r="U1458" s="1">
        <f>IF(D1458="","",IFERROR(INDEX(Exercises!$C$6:$C$105,MATCH(D1458,Exercises!$B$6:$B$105,0)),"Other"))</f>
        <v/>
      </c>
      <c r="V1458">
        <f>IF(B1458="","",IF(COUNTIF($B$6:B1458,B1458)=1,1,0))</f>
        <v/>
      </c>
      <c r="W1458">
        <f>IF(B1458="","",B1458-WEEKDAY(B1458,3))</f>
        <v/>
      </c>
      <c r="X1458">
        <f>IF(D1458="","",MAX(IF(N(F1458)=0,0,IF(N(E1458)&gt;0,E1458*(1+F1458/30),F1458)),IF(N(H1458)=0,0,IF(N(G1458)&gt;0,G1458*(1+H1458/30),H1458)),IF(N(J1458)=0,0,IF(N(I1458)&gt;0,I1458*(1+J1458/30),J1458)),IF(N(L1458)=0,0,IF(N(K1458)&gt;0,K1458*(1+L1458/30),L1458)),IF(N(N1458)=0,0,IF(N(M1458)&gt;0,M1458*(1+N1458/30),N1458))))</f>
        <v/>
      </c>
      <c r="Y1458">
        <f>IF(N(X1458)=0,"",X1458+ROW()/1000000000)</f>
        <v/>
      </c>
      <c r="Z1458">
        <f>IF(Y1458="","",IF(COUNTIFS(Log!$D$6:$D$1505,D1458,Log!$Y$6:$Y$1505,"&gt;"&amp;Y1458)=0,1,0))</f>
        <v/>
      </c>
      <c r="AA1458">
        <f>IF(OR(B1458="",D1458=""),"",B1458+ROW()/10000000)</f>
        <v/>
      </c>
      <c r="AB1458">
        <f>IF(AA1458="","",IF(COUNTIFS(Log!$D$6:$D$1505,D1458,Log!$AA$6:$AA$1505,"&gt;"&amp;AA1458)=0,1,0))</f>
        <v/>
      </c>
      <c r="AC1458">
        <f>IF(S1458="New best",AA1458,"")</f>
        <v/>
      </c>
      <c r="AD1458">
        <f>ROW()</f>
        <v/>
      </c>
    </row>
    <row r="1459">
      <c r="A1459" s="1" t="n"/>
      <c r="B1459" s="21" t="n"/>
      <c r="C1459" s="22" t="n"/>
      <c r="D1459" s="23" t="n"/>
      <c r="E1459" s="24" t="n"/>
      <c r="F1459" s="24" t="n"/>
      <c r="G1459" s="24" t="n"/>
      <c r="H1459" s="24" t="n"/>
      <c r="I1459" s="24" t="n"/>
      <c r="J1459" s="24" t="n"/>
      <c r="K1459" s="24" t="n"/>
      <c r="L1459" s="24" t="n"/>
      <c r="M1459" s="24" t="n"/>
      <c r="N1459" s="24" t="n"/>
      <c r="O1459" s="15">
        <f>IF(D1459="","",COUNT(F1459,H1459,J1459,L1459,N1459))</f>
        <v/>
      </c>
      <c r="P1459" s="25">
        <f>IF(D1459="","",N(E1459)*N(F1459)+N(G1459)*N(H1459)+N(I1459)*N(J1459)+N(K1459)*N(L1459)+N(M1459)*N(N1459))</f>
        <v/>
      </c>
      <c r="Q1459" s="18">
        <f>IF(N(X1459)=0,"",IF(IF(N(F1459)=0,0,IF(N(E1459)&gt;0,E1459*(1+F1459/30),F1459))=X1459,IF(N(E1459)&gt;0,E1459&amp;" x "&amp;F1459,F1459&amp;" reps"),IF(IF(N(H1459)=0,0,IF(N(G1459)&gt;0,G1459*(1+H1459/30),H1459))=X1459,IF(N(G1459)&gt;0,G1459&amp;" x "&amp;H1459,H1459&amp;" reps"),IF(IF(N(J1459)=0,0,IF(N(I1459)&gt;0,I1459*(1+J1459/30),J1459))=X1459,IF(N(I1459)&gt;0,I1459&amp;" x "&amp;J1459,J1459&amp;" reps"),IF(IF(N(L1459)=0,0,IF(N(K1459)&gt;0,K1459*(1+L1459/30),L1459))=X1459,IF(N(K1459)&gt;0,K1459&amp;" x "&amp;L1459,L1459&amp;" reps"),IF(IF(N(N1459)=0,0,IF(N(M1459)&gt;0,M1459*(1+N1459/30),N1459))=X1459,IF(N(M1459)&gt;0,M1459&amp;" x "&amp;N1459,N1459&amp;" reps"),""))))))</f>
        <v/>
      </c>
      <c r="R1459" s="20">
        <f>IF(N(X1459)=0,"",ROUND(X1459,1))</f>
        <v/>
      </c>
      <c r="S1459" s="18">
        <f>IF(N(X1459)=0,"",IF(AND(COUNTIFS(Log!$D$6:$D$1505,D1459,Log!$B$6:$B$1505,"&lt;"&amp;B1459)&gt;0,COUNTIFS(Log!$D$6:$D$1505,D1459,Log!$B$6:$B$1505,"&lt;"&amp;B1459,Log!$X$6:$X$1505,"&gt;="&amp;X1459)=0),"New best",""))</f>
        <v/>
      </c>
      <c r="T1459" s="26" t="n"/>
      <c r="U1459" s="1">
        <f>IF(D1459="","",IFERROR(INDEX(Exercises!$C$6:$C$105,MATCH(D1459,Exercises!$B$6:$B$105,0)),"Other"))</f>
        <v/>
      </c>
      <c r="V1459">
        <f>IF(B1459="","",IF(COUNTIF($B$6:B1459,B1459)=1,1,0))</f>
        <v/>
      </c>
      <c r="W1459">
        <f>IF(B1459="","",B1459-WEEKDAY(B1459,3))</f>
        <v/>
      </c>
      <c r="X1459">
        <f>IF(D1459="","",MAX(IF(N(F1459)=0,0,IF(N(E1459)&gt;0,E1459*(1+F1459/30),F1459)),IF(N(H1459)=0,0,IF(N(G1459)&gt;0,G1459*(1+H1459/30),H1459)),IF(N(J1459)=0,0,IF(N(I1459)&gt;0,I1459*(1+J1459/30),J1459)),IF(N(L1459)=0,0,IF(N(K1459)&gt;0,K1459*(1+L1459/30),L1459)),IF(N(N1459)=0,0,IF(N(M1459)&gt;0,M1459*(1+N1459/30),N1459))))</f>
        <v/>
      </c>
      <c r="Y1459">
        <f>IF(N(X1459)=0,"",X1459+ROW()/1000000000)</f>
        <v/>
      </c>
      <c r="Z1459">
        <f>IF(Y1459="","",IF(COUNTIFS(Log!$D$6:$D$1505,D1459,Log!$Y$6:$Y$1505,"&gt;"&amp;Y1459)=0,1,0))</f>
        <v/>
      </c>
      <c r="AA1459">
        <f>IF(OR(B1459="",D1459=""),"",B1459+ROW()/10000000)</f>
        <v/>
      </c>
      <c r="AB1459">
        <f>IF(AA1459="","",IF(COUNTIFS(Log!$D$6:$D$1505,D1459,Log!$AA$6:$AA$1505,"&gt;"&amp;AA1459)=0,1,0))</f>
        <v/>
      </c>
      <c r="AC1459">
        <f>IF(S1459="New best",AA1459,"")</f>
        <v/>
      </c>
      <c r="AD1459">
        <f>ROW()</f>
        <v/>
      </c>
    </row>
    <row r="1460">
      <c r="A1460" s="1" t="n"/>
      <c r="B1460" s="21" t="n"/>
      <c r="C1460" s="22" t="n"/>
      <c r="D1460" s="23" t="n"/>
      <c r="E1460" s="24" t="n"/>
      <c r="F1460" s="24" t="n"/>
      <c r="G1460" s="24" t="n"/>
      <c r="H1460" s="24" t="n"/>
      <c r="I1460" s="24" t="n"/>
      <c r="J1460" s="24" t="n"/>
      <c r="K1460" s="24" t="n"/>
      <c r="L1460" s="24" t="n"/>
      <c r="M1460" s="24" t="n"/>
      <c r="N1460" s="24" t="n"/>
      <c r="O1460" s="15">
        <f>IF(D1460="","",COUNT(F1460,H1460,J1460,L1460,N1460))</f>
        <v/>
      </c>
      <c r="P1460" s="25">
        <f>IF(D1460="","",N(E1460)*N(F1460)+N(G1460)*N(H1460)+N(I1460)*N(J1460)+N(K1460)*N(L1460)+N(M1460)*N(N1460))</f>
        <v/>
      </c>
      <c r="Q1460" s="18">
        <f>IF(N(X1460)=0,"",IF(IF(N(F1460)=0,0,IF(N(E1460)&gt;0,E1460*(1+F1460/30),F1460))=X1460,IF(N(E1460)&gt;0,E1460&amp;" x "&amp;F1460,F1460&amp;" reps"),IF(IF(N(H1460)=0,0,IF(N(G1460)&gt;0,G1460*(1+H1460/30),H1460))=X1460,IF(N(G1460)&gt;0,G1460&amp;" x "&amp;H1460,H1460&amp;" reps"),IF(IF(N(J1460)=0,0,IF(N(I1460)&gt;0,I1460*(1+J1460/30),J1460))=X1460,IF(N(I1460)&gt;0,I1460&amp;" x "&amp;J1460,J1460&amp;" reps"),IF(IF(N(L1460)=0,0,IF(N(K1460)&gt;0,K1460*(1+L1460/30),L1460))=X1460,IF(N(K1460)&gt;0,K1460&amp;" x "&amp;L1460,L1460&amp;" reps"),IF(IF(N(N1460)=0,0,IF(N(M1460)&gt;0,M1460*(1+N1460/30),N1460))=X1460,IF(N(M1460)&gt;0,M1460&amp;" x "&amp;N1460,N1460&amp;" reps"),""))))))</f>
        <v/>
      </c>
      <c r="R1460" s="20">
        <f>IF(N(X1460)=0,"",ROUND(X1460,1))</f>
        <v/>
      </c>
      <c r="S1460" s="18">
        <f>IF(N(X1460)=0,"",IF(AND(COUNTIFS(Log!$D$6:$D$1505,D1460,Log!$B$6:$B$1505,"&lt;"&amp;B1460)&gt;0,COUNTIFS(Log!$D$6:$D$1505,D1460,Log!$B$6:$B$1505,"&lt;"&amp;B1460,Log!$X$6:$X$1505,"&gt;="&amp;X1460)=0),"New best",""))</f>
        <v/>
      </c>
      <c r="T1460" s="26" t="n"/>
      <c r="U1460" s="1">
        <f>IF(D1460="","",IFERROR(INDEX(Exercises!$C$6:$C$105,MATCH(D1460,Exercises!$B$6:$B$105,0)),"Other"))</f>
        <v/>
      </c>
      <c r="V1460">
        <f>IF(B1460="","",IF(COUNTIF($B$6:B1460,B1460)=1,1,0))</f>
        <v/>
      </c>
      <c r="W1460">
        <f>IF(B1460="","",B1460-WEEKDAY(B1460,3))</f>
        <v/>
      </c>
      <c r="X1460">
        <f>IF(D1460="","",MAX(IF(N(F1460)=0,0,IF(N(E1460)&gt;0,E1460*(1+F1460/30),F1460)),IF(N(H1460)=0,0,IF(N(G1460)&gt;0,G1460*(1+H1460/30),H1460)),IF(N(J1460)=0,0,IF(N(I1460)&gt;0,I1460*(1+J1460/30),J1460)),IF(N(L1460)=0,0,IF(N(K1460)&gt;0,K1460*(1+L1460/30),L1460)),IF(N(N1460)=0,0,IF(N(M1460)&gt;0,M1460*(1+N1460/30),N1460))))</f>
        <v/>
      </c>
      <c r="Y1460">
        <f>IF(N(X1460)=0,"",X1460+ROW()/1000000000)</f>
        <v/>
      </c>
      <c r="Z1460">
        <f>IF(Y1460="","",IF(COUNTIFS(Log!$D$6:$D$1505,D1460,Log!$Y$6:$Y$1505,"&gt;"&amp;Y1460)=0,1,0))</f>
        <v/>
      </c>
      <c r="AA1460">
        <f>IF(OR(B1460="",D1460=""),"",B1460+ROW()/10000000)</f>
        <v/>
      </c>
      <c r="AB1460">
        <f>IF(AA1460="","",IF(COUNTIFS(Log!$D$6:$D$1505,D1460,Log!$AA$6:$AA$1505,"&gt;"&amp;AA1460)=0,1,0))</f>
        <v/>
      </c>
      <c r="AC1460">
        <f>IF(S1460="New best",AA1460,"")</f>
        <v/>
      </c>
      <c r="AD1460">
        <f>ROW()</f>
        <v/>
      </c>
    </row>
    <row r="1461">
      <c r="A1461" s="1" t="n"/>
      <c r="B1461" s="21" t="n"/>
      <c r="C1461" s="22" t="n"/>
      <c r="D1461" s="23" t="n"/>
      <c r="E1461" s="24" t="n"/>
      <c r="F1461" s="24" t="n"/>
      <c r="G1461" s="24" t="n"/>
      <c r="H1461" s="24" t="n"/>
      <c r="I1461" s="24" t="n"/>
      <c r="J1461" s="24" t="n"/>
      <c r="K1461" s="24" t="n"/>
      <c r="L1461" s="24" t="n"/>
      <c r="M1461" s="24" t="n"/>
      <c r="N1461" s="24" t="n"/>
      <c r="O1461" s="15">
        <f>IF(D1461="","",COUNT(F1461,H1461,J1461,L1461,N1461))</f>
        <v/>
      </c>
      <c r="P1461" s="25">
        <f>IF(D1461="","",N(E1461)*N(F1461)+N(G1461)*N(H1461)+N(I1461)*N(J1461)+N(K1461)*N(L1461)+N(M1461)*N(N1461))</f>
        <v/>
      </c>
      <c r="Q1461" s="18">
        <f>IF(N(X1461)=0,"",IF(IF(N(F1461)=0,0,IF(N(E1461)&gt;0,E1461*(1+F1461/30),F1461))=X1461,IF(N(E1461)&gt;0,E1461&amp;" x "&amp;F1461,F1461&amp;" reps"),IF(IF(N(H1461)=0,0,IF(N(G1461)&gt;0,G1461*(1+H1461/30),H1461))=X1461,IF(N(G1461)&gt;0,G1461&amp;" x "&amp;H1461,H1461&amp;" reps"),IF(IF(N(J1461)=0,0,IF(N(I1461)&gt;0,I1461*(1+J1461/30),J1461))=X1461,IF(N(I1461)&gt;0,I1461&amp;" x "&amp;J1461,J1461&amp;" reps"),IF(IF(N(L1461)=0,0,IF(N(K1461)&gt;0,K1461*(1+L1461/30),L1461))=X1461,IF(N(K1461)&gt;0,K1461&amp;" x "&amp;L1461,L1461&amp;" reps"),IF(IF(N(N1461)=0,0,IF(N(M1461)&gt;0,M1461*(1+N1461/30),N1461))=X1461,IF(N(M1461)&gt;0,M1461&amp;" x "&amp;N1461,N1461&amp;" reps"),""))))))</f>
        <v/>
      </c>
      <c r="R1461" s="20">
        <f>IF(N(X1461)=0,"",ROUND(X1461,1))</f>
        <v/>
      </c>
      <c r="S1461" s="18">
        <f>IF(N(X1461)=0,"",IF(AND(COUNTIFS(Log!$D$6:$D$1505,D1461,Log!$B$6:$B$1505,"&lt;"&amp;B1461)&gt;0,COUNTIFS(Log!$D$6:$D$1505,D1461,Log!$B$6:$B$1505,"&lt;"&amp;B1461,Log!$X$6:$X$1505,"&gt;="&amp;X1461)=0),"New best",""))</f>
        <v/>
      </c>
      <c r="T1461" s="26" t="n"/>
      <c r="U1461" s="1">
        <f>IF(D1461="","",IFERROR(INDEX(Exercises!$C$6:$C$105,MATCH(D1461,Exercises!$B$6:$B$105,0)),"Other"))</f>
        <v/>
      </c>
      <c r="V1461">
        <f>IF(B1461="","",IF(COUNTIF($B$6:B1461,B1461)=1,1,0))</f>
        <v/>
      </c>
      <c r="W1461">
        <f>IF(B1461="","",B1461-WEEKDAY(B1461,3))</f>
        <v/>
      </c>
      <c r="X1461">
        <f>IF(D1461="","",MAX(IF(N(F1461)=0,0,IF(N(E1461)&gt;0,E1461*(1+F1461/30),F1461)),IF(N(H1461)=0,0,IF(N(G1461)&gt;0,G1461*(1+H1461/30),H1461)),IF(N(J1461)=0,0,IF(N(I1461)&gt;0,I1461*(1+J1461/30),J1461)),IF(N(L1461)=0,0,IF(N(K1461)&gt;0,K1461*(1+L1461/30),L1461)),IF(N(N1461)=0,0,IF(N(M1461)&gt;0,M1461*(1+N1461/30),N1461))))</f>
        <v/>
      </c>
      <c r="Y1461">
        <f>IF(N(X1461)=0,"",X1461+ROW()/1000000000)</f>
        <v/>
      </c>
      <c r="Z1461">
        <f>IF(Y1461="","",IF(COUNTIFS(Log!$D$6:$D$1505,D1461,Log!$Y$6:$Y$1505,"&gt;"&amp;Y1461)=0,1,0))</f>
        <v/>
      </c>
      <c r="AA1461">
        <f>IF(OR(B1461="",D1461=""),"",B1461+ROW()/10000000)</f>
        <v/>
      </c>
      <c r="AB1461">
        <f>IF(AA1461="","",IF(COUNTIFS(Log!$D$6:$D$1505,D1461,Log!$AA$6:$AA$1505,"&gt;"&amp;AA1461)=0,1,0))</f>
        <v/>
      </c>
      <c r="AC1461">
        <f>IF(S1461="New best",AA1461,"")</f>
        <v/>
      </c>
      <c r="AD1461">
        <f>ROW()</f>
        <v/>
      </c>
    </row>
    <row r="1462">
      <c r="A1462" s="1" t="n"/>
      <c r="B1462" s="21" t="n"/>
      <c r="C1462" s="22" t="n"/>
      <c r="D1462" s="23" t="n"/>
      <c r="E1462" s="24" t="n"/>
      <c r="F1462" s="24" t="n"/>
      <c r="G1462" s="24" t="n"/>
      <c r="H1462" s="24" t="n"/>
      <c r="I1462" s="24" t="n"/>
      <c r="J1462" s="24" t="n"/>
      <c r="K1462" s="24" t="n"/>
      <c r="L1462" s="24" t="n"/>
      <c r="M1462" s="24" t="n"/>
      <c r="N1462" s="24" t="n"/>
      <c r="O1462" s="15">
        <f>IF(D1462="","",COUNT(F1462,H1462,J1462,L1462,N1462))</f>
        <v/>
      </c>
      <c r="P1462" s="25">
        <f>IF(D1462="","",N(E1462)*N(F1462)+N(G1462)*N(H1462)+N(I1462)*N(J1462)+N(K1462)*N(L1462)+N(M1462)*N(N1462))</f>
        <v/>
      </c>
      <c r="Q1462" s="18">
        <f>IF(N(X1462)=0,"",IF(IF(N(F1462)=0,0,IF(N(E1462)&gt;0,E1462*(1+F1462/30),F1462))=X1462,IF(N(E1462)&gt;0,E1462&amp;" x "&amp;F1462,F1462&amp;" reps"),IF(IF(N(H1462)=0,0,IF(N(G1462)&gt;0,G1462*(1+H1462/30),H1462))=X1462,IF(N(G1462)&gt;0,G1462&amp;" x "&amp;H1462,H1462&amp;" reps"),IF(IF(N(J1462)=0,0,IF(N(I1462)&gt;0,I1462*(1+J1462/30),J1462))=X1462,IF(N(I1462)&gt;0,I1462&amp;" x "&amp;J1462,J1462&amp;" reps"),IF(IF(N(L1462)=0,0,IF(N(K1462)&gt;0,K1462*(1+L1462/30),L1462))=X1462,IF(N(K1462)&gt;0,K1462&amp;" x "&amp;L1462,L1462&amp;" reps"),IF(IF(N(N1462)=0,0,IF(N(M1462)&gt;0,M1462*(1+N1462/30),N1462))=X1462,IF(N(M1462)&gt;0,M1462&amp;" x "&amp;N1462,N1462&amp;" reps"),""))))))</f>
        <v/>
      </c>
      <c r="R1462" s="20">
        <f>IF(N(X1462)=0,"",ROUND(X1462,1))</f>
        <v/>
      </c>
      <c r="S1462" s="18">
        <f>IF(N(X1462)=0,"",IF(AND(COUNTIFS(Log!$D$6:$D$1505,D1462,Log!$B$6:$B$1505,"&lt;"&amp;B1462)&gt;0,COUNTIFS(Log!$D$6:$D$1505,D1462,Log!$B$6:$B$1505,"&lt;"&amp;B1462,Log!$X$6:$X$1505,"&gt;="&amp;X1462)=0),"New best",""))</f>
        <v/>
      </c>
      <c r="T1462" s="26" t="n"/>
      <c r="U1462" s="1">
        <f>IF(D1462="","",IFERROR(INDEX(Exercises!$C$6:$C$105,MATCH(D1462,Exercises!$B$6:$B$105,0)),"Other"))</f>
        <v/>
      </c>
      <c r="V1462">
        <f>IF(B1462="","",IF(COUNTIF($B$6:B1462,B1462)=1,1,0))</f>
        <v/>
      </c>
      <c r="W1462">
        <f>IF(B1462="","",B1462-WEEKDAY(B1462,3))</f>
        <v/>
      </c>
      <c r="X1462">
        <f>IF(D1462="","",MAX(IF(N(F1462)=0,0,IF(N(E1462)&gt;0,E1462*(1+F1462/30),F1462)),IF(N(H1462)=0,0,IF(N(G1462)&gt;0,G1462*(1+H1462/30),H1462)),IF(N(J1462)=0,0,IF(N(I1462)&gt;0,I1462*(1+J1462/30),J1462)),IF(N(L1462)=0,0,IF(N(K1462)&gt;0,K1462*(1+L1462/30),L1462)),IF(N(N1462)=0,0,IF(N(M1462)&gt;0,M1462*(1+N1462/30),N1462))))</f>
        <v/>
      </c>
      <c r="Y1462">
        <f>IF(N(X1462)=0,"",X1462+ROW()/1000000000)</f>
        <v/>
      </c>
      <c r="Z1462">
        <f>IF(Y1462="","",IF(COUNTIFS(Log!$D$6:$D$1505,D1462,Log!$Y$6:$Y$1505,"&gt;"&amp;Y1462)=0,1,0))</f>
        <v/>
      </c>
      <c r="AA1462">
        <f>IF(OR(B1462="",D1462=""),"",B1462+ROW()/10000000)</f>
        <v/>
      </c>
      <c r="AB1462">
        <f>IF(AA1462="","",IF(COUNTIFS(Log!$D$6:$D$1505,D1462,Log!$AA$6:$AA$1505,"&gt;"&amp;AA1462)=0,1,0))</f>
        <v/>
      </c>
      <c r="AC1462">
        <f>IF(S1462="New best",AA1462,"")</f>
        <v/>
      </c>
      <c r="AD1462">
        <f>ROW()</f>
        <v/>
      </c>
    </row>
    <row r="1463">
      <c r="A1463" s="1" t="n"/>
      <c r="B1463" s="21" t="n"/>
      <c r="C1463" s="22" t="n"/>
      <c r="D1463" s="23" t="n"/>
      <c r="E1463" s="24" t="n"/>
      <c r="F1463" s="24" t="n"/>
      <c r="G1463" s="24" t="n"/>
      <c r="H1463" s="24" t="n"/>
      <c r="I1463" s="24" t="n"/>
      <c r="J1463" s="24" t="n"/>
      <c r="K1463" s="24" t="n"/>
      <c r="L1463" s="24" t="n"/>
      <c r="M1463" s="24" t="n"/>
      <c r="N1463" s="24" t="n"/>
      <c r="O1463" s="15">
        <f>IF(D1463="","",COUNT(F1463,H1463,J1463,L1463,N1463))</f>
        <v/>
      </c>
      <c r="P1463" s="25">
        <f>IF(D1463="","",N(E1463)*N(F1463)+N(G1463)*N(H1463)+N(I1463)*N(J1463)+N(K1463)*N(L1463)+N(M1463)*N(N1463))</f>
        <v/>
      </c>
      <c r="Q1463" s="18">
        <f>IF(N(X1463)=0,"",IF(IF(N(F1463)=0,0,IF(N(E1463)&gt;0,E1463*(1+F1463/30),F1463))=X1463,IF(N(E1463)&gt;0,E1463&amp;" x "&amp;F1463,F1463&amp;" reps"),IF(IF(N(H1463)=0,0,IF(N(G1463)&gt;0,G1463*(1+H1463/30),H1463))=X1463,IF(N(G1463)&gt;0,G1463&amp;" x "&amp;H1463,H1463&amp;" reps"),IF(IF(N(J1463)=0,0,IF(N(I1463)&gt;0,I1463*(1+J1463/30),J1463))=X1463,IF(N(I1463)&gt;0,I1463&amp;" x "&amp;J1463,J1463&amp;" reps"),IF(IF(N(L1463)=0,0,IF(N(K1463)&gt;0,K1463*(1+L1463/30),L1463))=X1463,IF(N(K1463)&gt;0,K1463&amp;" x "&amp;L1463,L1463&amp;" reps"),IF(IF(N(N1463)=0,0,IF(N(M1463)&gt;0,M1463*(1+N1463/30),N1463))=X1463,IF(N(M1463)&gt;0,M1463&amp;" x "&amp;N1463,N1463&amp;" reps"),""))))))</f>
        <v/>
      </c>
      <c r="R1463" s="20">
        <f>IF(N(X1463)=0,"",ROUND(X1463,1))</f>
        <v/>
      </c>
      <c r="S1463" s="18">
        <f>IF(N(X1463)=0,"",IF(AND(COUNTIFS(Log!$D$6:$D$1505,D1463,Log!$B$6:$B$1505,"&lt;"&amp;B1463)&gt;0,COUNTIFS(Log!$D$6:$D$1505,D1463,Log!$B$6:$B$1505,"&lt;"&amp;B1463,Log!$X$6:$X$1505,"&gt;="&amp;X1463)=0),"New best",""))</f>
        <v/>
      </c>
      <c r="T1463" s="26" t="n"/>
      <c r="U1463" s="1">
        <f>IF(D1463="","",IFERROR(INDEX(Exercises!$C$6:$C$105,MATCH(D1463,Exercises!$B$6:$B$105,0)),"Other"))</f>
        <v/>
      </c>
      <c r="V1463">
        <f>IF(B1463="","",IF(COUNTIF($B$6:B1463,B1463)=1,1,0))</f>
        <v/>
      </c>
      <c r="W1463">
        <f>IF(B1463="","",B1463-WEEKDAY(B1463,3))</f>
        <v/>
      </c>
      <c r="X1463">
        <f>IF(D1463="","",MAX(IF(N(F1463)=0,0,IF(N(E1463)&gt;0,E1463*(1+F1463/30),F1463)),IF(N(H1463)=0,0,IF(N(G1463)&gt;0,G1463*(1+H1463/30),H1463)),IF(N(J1463)=0,0,IF(N(I1463)&gt;0,I1463*(1+J1463/30),J1463)),IF(N(L1463)=0,0,IF(N(K1463)&gt;0,K1463*(1+L1463/30),L1463)),IF(N(N1463)=0,0,IF(N(M1463)&gt;0,M1463*(1+N1463/30),N1463))))</f>
        <v/>
      </c>
      <c r="Y1463">
        <f>IF(N(X1463)=0,"",X1463+ROW()/1000000000)</f>
        <v/>
      </c>
      <c r="Z1463">
        <f>IF(Y1463="","",IF(COUNTIFS(Log!$D$6:$D$1505,D1463,Log!$Y$6:$Y$1505,"&gt;"&amp;Y1463)=0,1,0))</f>
        <v/>
      </c>
      <c r="AA1463">
        <f>IF(OR(B1463="",D1463=""),"",B1463+ROW()/10000000)</f>
        <v/>
      </c>
      <c r="AB1463">
        <f>IF(AA1463="","",IF(COUNTIFS(Log!$D$6:$D$1505,D1463,Log!$AA$6:$AA$1505,"&gt;"&amp;AA1463)=0,1,0))</f>
        <v/>
      </c>
      <c r="AC1463">
        <f>IF(S1463="New best",AA1463,"")</f>
        <v/>
      </c>
      <c r="AD1463">
        <f>ROW()</f>
        <v/>
      </c>
    </row>
    <row r="1464">
      <c r="A1464" s="1" t="n"/>
      <c r="B1464" s="21" t="n"/>
      <c r="C1464" s="22" t="n"/>
      <c r="D1464" s="23" t="n"/>
      <c r="E1464" s="24" t="n"/>
      <c r="F1464" s="24" t="n"/>
      <c r="G1464" s="24" t="n"/>
      <c r="H1464" s="24" t="n"/>
      <c r="I1464" s="24" t="n"/>
      <c r="J1464" s="24" t="n"/>
      <c r="K1464" s="24" t="n"/>
      <c r="L1464" s="24" t="n"/>
      <c r="M1464" s="24" t="n"/>
      <c r="N1464" s="24" t="n"/>
      <c r="O1464" s="15">
        <f>IF(D1464="","",COUNT(F1464,H1464,J1464,L1464,N1464))</f>
        <v/>
      </c>
      <c r="P1464" s="25">
        <f>IF(D1464="","",N(E1464)*N(F1464)+N(G1464)*N(H1464)+N(I1464)*N(J1464)+N(K1464)*N(L1464)+N(M1464)*N(N1464))</f>
        <v/>
      </c>
      <c r="Q1464" s="18">
        <f>IF(N(X1464)=0,"",IF(IF(N(F1464)=0,0,IF(N(E1464)&gt;0,E1464*(1+F1464/30),F1464))=X1464,IF(N(E1464)&gt;0,E1464&amp;" x "&amp;F1464,F1464&amp;" reps"),IF(IF(N(H1464)=0,0,IF(N(G1464)&gt;0,G1464*(1+H1464/30),H1464))=X1464,IF(N(G1464)&gt;0,G1464&amp;" x "&amp;H1464,H1464&amp;" reps"),IF(IF(N(J1464)=0,0,IF(N(I1464)&gt;0,I1464*(1+J1464/30),J1464))=X1464,IF(N(I1464)&gt;0,I1464&amp;" x "&amp;J1464,J1464&amp;" reps"),IF(IF(N(L1464)=0,0,IF(N(K1464)&gt;0,K1464*(1+L1464/30),L1464))=X1464,IF(N(K1464)&gt;0,K1464&amp;" x "&amp;L1464,L1464&amp;" reps"),IF(IF(N(N1464)=0,0,IF(N(M1464)&gt;0,M1464*(1+N1464/30),N1464))=X1464,IF(N(M1464)&gt;0,M1464&amp;" x "&amp;N1464,N1464&amp;" reps"),""))))))</f>
        <v/>
      </c>
      <c r="R1464" s="20">
        <f>IF(N(X1464)=0,"",ROUND(X1464,1))</f>
        <v/>
      </c>
      <c r="S1464" s="18">
        <f>IF(N(X1464)=0,"",IF(AND(COUNTIFS(Log!$D$6:$D$1505,D1464,Log!$B$6:$B$1505,"&lt;"&amp;B1464)&gt;0,COUNTIFS(Log!$D$6:$D$1505,D1464,Log!$B$6:$B$1505,"&lt;"&amp;B1464,Log!$X$6:$X$1505,"&gt;="&amp;X1464)=0),"New best",""))</f>
        <v/>
      </c>
      <c r="T1464" s="26" t="n"/>
      <c r="U1464" s="1">
        <f>IF(D1464="","",IFERROR(INDEX(Exercises!$C$6:$C$105,MATCH(D1464,Exercises!$B$6:$B$105,0)),"Other"))</f>
        <v/>
      </c>
      <c r="V1464">
        <f>IF(B1464="","",IF(COUNTIF($B$6:B1464,B1464)=1,1,0))</f>
        <v/>
      </c>
      <c r="W1464">
        <f>IF(B1464="","",B1464-WEEKDAY(B1464,3))</f>
        <v/>
      </c>
      <c r="X1464">
        <f>IF(D1464="","",MAX(IF(N(F1464)=0,0,IF(N(E1464)&gt;0,E1464*(1+F1464/30),F1464)),IF(N(H1464)=0,0,IF(N(G1464)&gt;0,G1464*(1+H1464/30),H1464)),IF(N(J1464)=0,0,IF(N(I1464)&gt;0,I1464*(1+J1464/30),J1464)),IF(N(L1464)=0,0,IF(N(K1464)&gt;0,K1464*(1+L1464/30),L1464)),IF(N(N1464)=0,0,IF(N(M1464)&gt;0,M1464*(1+N1464/30),N1464))))</f>
        <v/>
      </c>
      <c r="Y1464">
        <f>IF(N(X1464)=0,"",X1464+ROW()/1000000000)</f>
        <v/>
      </c>
      <c r="Z1464">
        <f>IF(Y1464="","",IF(COUNTIFS(Log!$D$6:$D$1505,D1464,Log!$Y$6:$Y$1505,"&gt;"&amp;Y1464)=0,1,0))</f>
        <v/>
      </c>
      <c r="AA1464">
        <f>IF(OR(B1464="",D1464=""),"",B1464+ROW()/10000000)</f>
        <v/>
      </c>
      <c r="AB1464">
        <f>IF(AA1464="","",IF(COUNTIFS(Log!$D$6:$D$1505,D1464,Log!$AA$6:$AA$1505,"&gt;"&amp;AA1464)=0,1,0))</f>
        <v/>
      </c>
      <c r="AC1464">
        <f>IF(S1464="New best",AA1464,"")</f>
        <v/>
      </c>
      <c r="AD1464">
        <f>ROW()</f>
        <v/>
      </c>
    </row>
    <row r="1465">
      <c r="A1465" s="1" t="n"/>
      <c r="B1465" s="21" t="n"/>
      <c r="C1465" s="22" t="n"/>
      <c r="D1465" s="23" t="n"/>
      <c r="E1465" s="24" t="n"/>
      <c r="F1465" s="24" t="n"/>
      <c r="G1465" s="24" t="n"/>
      <c r="H1465" s="24" t="n"/>
      <c r="I1465" s="24" t="n"/>
      <c r="J1465" s="24" t="n"/>
      <c r="K1465" s="24" t="n"/>
      <c r="L1465" s="24" t="n"/>
      <c r="M1465" s="24" t="n"/>
      <c r="N1465" s="24" t="n"/>
      <c r="O1465" s="15">
        <f>IF(D1465="","",COUNT(F1465,H1465,J1465,L1465,N1465))</f>
        <v/>
      </c>
      <c r="P1465" s="25">
        <f>IF(D1465="","",N(E1465)*N(F1465)+N(G1465)*N(H1465)+N(I1465)*N(J1465)+N(K1465)*N(L1465)+N(M1465)*N(N1465))</f>
        <v/>
      </c>
      <c r="Q1465" s="18">
        <f>IF(N(X1465)=0,"",IF(IF(N(F1465)=0,0,IF(N(E1465)&gt;0,E1465*(1+F1465/30),F1465))=X1465,IF(N(E1465)&gt;0,E1465&amp;" x "&amp;F1465,F1465&amp;" reps"),IF(IF(N(H1465)=0,0,IF(N(G1465)&gt;0,G1465*(1+H1465/30),H1465))=X1465,IF(N(G1465)&gt;0,G1465&amp;" x "&amp;H1465,H1465&amp;" reps"),IF(IF(N(J1465)=0,0,IF(N(I1465)&gt;0,I1465*(1+J1465/30),J1465))=X1465,IF(N(I1465)&gt;0,I1465&amp;" x "&amp;J1465,J1465&amp;" reps"),IF(IF(N(L1465)=0,0,IF(N(K1465)&gt;0,K1465*(1+L1465/30),L1465))=X1465,IF(N(K1465)&gt;0,K1465&amp;" x "&amp;L1465,L1465&amp;" reps"),IF(IF(N(N1465)=0,0,IF(N(M1465)&gt;0,M1465*(1+N1465/30),N1465))=X1465,IF(N(M1465)&gt;0,M1465&amp;" x "&amp;N1465,N1465&amp;" reps"),""))))))</f>
        <v/>
      </c>
      <c r="R1465" s="20">
        <f>IF(N(X1465)=0,"",ROUND(X1465,1))</f>
        <v/>
      </c>
      <c r="S1465" s="18">
        <f>IF(N(X1465)=0,"",IF(AND(COUNTIFS(Log!$D$6:$D$1505,D1465,Log!$B$6:$B$1505,"&lt;"&amp;B1465)&gt;0,COUNTIFS(Log!$D$6:$D$1505,D1465,Log!$B$6:$B$1505,"&lt;"&amp;B1465,Log!$X$6:$X$1505,"&gt;="&amp;X1465)=0),"New best",""))</f>
        <v/>
      </c>
      <c r="T1465" s="26" t="n"/>
      <c r="U1465" s="1">
        <f>IF(D1465="","",IFERROR(INDEX(Exercises!$C$6:$C$105,MATCH(D1465,Exercises!$B$6:$B$105,0)),"Other"))</f>
        <v/>
      </c>
      <c r="V1465">
        <f>IF(B1465="","",IF(COUNTIF($B$6:B1465,B1465)=1,1,0))</f>
        <v/>
      </c>
      <c r="W1465">
        <f>IF(B1465="","",B1465-WEEKDAY(B1465,3))</f>
        <v/>
      </c>
      <c r="X1465">
        <f>IF(D1465="","",MAX(IF(N(F1465)=0,0,IF(N(E1465)&gt;0,E1465*(1+F1465/30),F1465)),IF(N(H1465)=0,0,IF(N(G1465)&gt;0,G1465*(1+H1465/30),H1465)),IF(N(J1465)=0,0,IF(N(I1465)&gt;0,I1465*(1+J1465/30),J1465)),IF(N(L1465)=0,0,IF(N(K1465)&gt;0,K1465*(1+L1465/30),L1465)),IF(N(N1465)=0,0,IF(N(M1465)&gt;0,M1465*(1+N1465/30),N1465))))</f>
        <v/>
      </c>
      <c r="Y1465">
        <f>IF(N(X1465)=0,"",X1465+ROW()/1000000000)</f>
        <v/>
      </c>
      <c r="Z1465">
        <f>IF(Y1465="","",IF(COUNTIFS(Log!$D$6:$D$1505,D1465,Log!$Y$6:$Y$1505,"&gt;"&amp;Y1465)=0,1,0))</f>
        <v/>
      </c>
      <c r="AA1465">
        <f>IF(OR(B1465="",D1465=""),"",B1465+ROW()/10000000)</f>
        <v/>
      </c>
      <c r="AB1465">
        <f>IF(AA1465="","",IF(COUNTIFS(Log!$D$6:$D$1505,D1465,Log!$AA$6:$AA$1505,"&gt;"&amp;AA1465)=0,1,0))</f>
        <v/>
      </c>
      <c r="AC1465">
        <f>IF(S1465="New best",AA1465,"")</f>
        <v/>
      </c>
      <c r="AD1465">
        <f>ROW()</f>
        <v/>
      </c>
    </row>
    <row r="1466">
      <c r="A1466" s="1" t="n"/>
      <c r="B1466" s="21" t="n"/>
      <c r="C1466" s="22" t="n"/>
      <c r="D1466" s="23" t="n"/>
      <c r="E1466" s="24" t="n"/>
      <c r="F1466" s="24" t="n"/>
      <c r="G1466" s="24" t="n"/>
      <c r="H1466" s="24" t="n"/>
      <c r="I1466" s="24" t="n"/>
      <c r="J1466" s="24" t="n"/>
      <c r="K1466" s="24" t="n"/>
      <c r="L1466" s="24" t="n"/>
      <c r="M1466" s="24" t="n"/>
      <c r="N1466" s="24" t="n"/>
      <c r="O1466" s="15">
        <f>IF(D1466="","",COUNT(F1466,H1466,J1466,L1466,N1466))</f>
        <v/>
      </c>
      <c r="P1466" s="25">
        <f>IF(D1466="","",N(E1466)*N(F1466)+N(G1466)*N(H1466)+N(I1466)*N(J1466)+N(K1466)*N(L1466)+N(M1466)*N(N1466))</f>
        <v/>
      </c>
      <c r="Q1466" s="18">
        <f>IF(N(X1466)=0,"",IF(IF(N(F1466)=0,0,IF(N(E1466)&gt;0,E1466*(1+F1466/30),F1466))=X1466,IF(N(E1466)&gt;0,E1466&amp;" x "&amp;F1466,F1466&amp;" reps"),IF(IF(N(H1466)=0,0,IF(N(G1466)&gt;0,G1466*(1+H1466/30),H1466))=X1466,IF(N(G1466)&gt;0,G1466&amp;" x "&amp;H1466,H1466&amp;" reps"),IF(IF(N(J1466)=0,0,IF(N(I1466)&gt;0,I1466*(1+J1466/30),J1466))=X1466,IF(N(I1466)&gt;0,I1466&amp;" x "&amp;J1466,J1466&amp;" reps"),IF(IF(N(L1466)=0,0,IF(N(K1466)&gt;0,K1466*(1+L1466/30),L1466))=X1466,IF(N(K1466)&gt;0,K1466&amp;" x "&amp;L1466,L1466&amp;" reps"),IF(IF(N(N1466)=0,0,IF(N(M1466)&gt;0,M1466*(1+N1466/30),N1466))=X1466,IF(N(M1466)&gt;0,M1466&amp;" x "&amp;N1466,N1466&amp;" reps"),""))))))</f>
        <v/>
      </c>
      <c r="R1466" s="20">
        <f>IF(N(X1466)=0,"",ROUND(X1466,1))</f>
        <v/>
      </c>
      <c r="S1466" s="18">
        <f>IF(N(X1466)=0,"",IF(AND(COUNTIFS(Log!$D$6:$D$1505,D1466,Log!$B$6:$B$1505,"&lt;"&amp;B1466)&gt;0,COUNTIFS(Log!$D$6:$D$1505,D1466,Log!$B$6:$B$1505,"&lt;"&amp;B1466,Log!$X$6:$X$1505,"&gt;="&amp;X1466)=0),"New best",""))</f>
        <v/>
      </c>
      <c r="T1466" s="26" t="n"/>
      <c r="U1466" s="1">
        <f>IF(D1466="","",IFERROR(INDEX(Exercises!$C$6:$C$105,MATCH(D1466,Exercises!$B$6:$B$105,0)),"Other"))</f>
        <v/>
      </c>
      <c r="V1466">
        <f>IF(B1466="","",IF(COUNTIF($B$6:B1466,B1466)=1,1,0))</f>
        <v/>
      </c>
      <c r="W1466">
        <f>IF(B1466="","",B1466-WEEKDAY(B1466,3))</f>
        <v/>
      </c>
      <c r="X1466">
        <f>IF(D1466="","",MAX(IF(N(F1466)=0,0,IF(N(E1466)&gt;0,E1466*(1+F1466/30),F1466)),IF(N(H1466)=0,0,IF(N(G1466)&gt;0,G1466*(1+H1466/30),H1466)),IF(N(J1466)=0,0,IF(N(I1466)&gt;0,I1466*(1+J1466/30),J1466)),IF(N(L1466)=0,0,IF(N(K1466)&gt;0,K1466*(1+L1466/30),L1466)),IF(N(N1466)=0,0,IF(N(M1466)&gt;0,M1466*(1+N1466/30),N1466))))</f>
        <v/>
      </c>
      <c r="Y1466">
        <f>IF(N(X1466)=0,"",X1466+ROW()/1000000000)</f>
        <v/>
      </c>
      <c r="Z1466">
        <f>IF(Y1466="","",IF(COUNTIFS(Log!$D$6:$D$1505,D1466,Log!$Y$6:$Y$1505,"&gt;"&amp;Y1466)=0,1,0))</f>
        <v/>
      </c>
      <c r="AA1466">
        <f>IF(OR(B1466="",D1466=""),"",B1466+ROW()/10000000)</f>
        <v/>
      </c>
      <c r="AB1466">
        <f>IF(AA1466="","",IF(COUNTIFS(Log!$D$6:$D$1505,D1466,Log!$AA$6:$AA$1505,"&gt;"&amp;AA1466)=0,1,0))</f>
        <v/>
      </c>
      <c r="AC1466">
        <f>IF(S1466="New best",AA1466,"")</f>
        <v/>
      </c>
      <c r="AD1466">
        <f>ROW()</f>
        <v/>
      </c>
    </row>
    <row r="1467">
      <c r="A1467" s="1" t="n"/>
      <c r="B1467" s="21" t="n"/>
      <c r="C1467" s="22" t="n"/>
      <c r="D1467" s="23" t="n"/>
      <c r="E1467" s="24" t="n"/>
      <c r="F1467" s="24" t="n"/>
      <c r="G1467" s="24" t="n"/>
      <c r="H1467" s="24" t="n"/>
      <c r="I1467" s="24" t="n"/>
      <c r="J1467" s="24" t="n"/>
      <c r="K1467" s="24" t="n"/>
      <c r="L1467" s="24" t="n"/>
      <c r="M1467" s="24" t="n"/>
      <c r="N1467" s="24" t="n"/>
      <c r="O1467" s="15">
        <f>IF(D1467="","",COUNT(F1467,H1467,J1467,L1467,N1467))</f>
        <v/>
      </c>
      <c r="P1467" s="25">
        <f>IF(D1467="","",N(E1467)*N(F1467)+N(G1467)*N(H1467)+N(I1467)*N(J1467)+N(K1467)*N(L1467)+N(M1467)*N(N1467))</f>
        <v/>
      </c>
      <c r="Q1467" s="18">
        <f>IF(N(X1467)=0,"",IF(IF(N(F1467)=0,0,IF(N(E1467)&gt;0,E1467*(1+F1467/30),F1467))=X1467,IF(N(E1467)&gt;0,E1467&amp;" x "&amp;F1467,F1467&amp;" reps"),IF(IF(N(H1467)=0,0,IF(N(G1467)&gt;0,G1467*(1+H1467/30),H1467))=X1467,IF(N(G1467)&gt;0,G1467&amp;" x "&amp;H1467,H1467&amp;" reps"),IF(IF(N(J1467)=0,0,IF(N(I1467)&gt;0,I1467*(1+J1467/30),J1467))=X1467,IF(N(I1467)&gt;0,I1467&amp;" x "&amp;J1467,J1467&amp;" reps"),IF(IF(N(L1467)=0,0,IF(N(K1467)&gt;0,K1467*(1+L1467/30),L1467))=X1467,IF(N(K1467)&gt;0,K1467&amp;" x "&amp;L1467,L1467&amp;" reps"),IF(IF(N(N1467)=0,0,IF(N(M1467)&gt;0,M1467*(1+N1467/30),N1467))=X1467,IF(N(M1467)&gt;0,M1467&amp;" x "&amp;N1467,N1467&amp;" reps"),""))))))</f>
        <v/>
      </c>
      <c r="R1467" s="20">
        <f>IF(N(X1467)=0,"",ROUND(X1467,1))</f>
        <v/>
      </c>
      <c r="S1467" s="18">
        <f>IF(N(X1467)=0,"",IF(AND(COUNTIFS(Log!$D$6:$D$1505,D1467,Log!$B$6:$B$1505,"&lt;"&amp;B1467)&gt;0,COUNTIFS(Log!$D$6:$D$1505,D1467,Log!$B$6:$B$1505,"&lt;"&amp;B1467,Log!$X$6:$X$1505,"&gt;="&amp;X1467)=0),"New best",""))</f>
        <v/>
      </c>
      <c r="T1467" s="26" t="n"/>
      <c r="U1467" s="1">
        <f>IF(D1467="","",IFERROR(INDEX(Exercises!$C$6:$C$105,MATCH(D1467,Exercises!$B$6:$B$105,0)),"Other"))</f>
        <v/>
      </c>
      <c r="V1467">
        <f>IF(B1467="","",IF(COUNTIF($B$6:B1467,B1467)=1,1,0))</f>
        <v/>
      </c>
      <c r="W1467">
        <f>IF(B1467="","",B1467-WEEKDAY(B1467,3))</f>
        <v/>
      </c>
      <c r="X1467">
        <f>IF(D1467="","",MAX(IF(N(F1467)=0,0,IF(N(E1467)&gt;0,E1467*(1+F1467/30),F1467)),IF(N(H1467)=0,0,IF(N(G1467)&gt;0,G1467*(1+H1467/30),H1467)),IF(N(J1467)=0,0,IF(N(I1467)&gt;0,I1467*(1+J1467/30),J1467)),IF(N(L1467)=0,0,IF(N(K1467)&gt;0,K1467*(1+L1467/30),L1467)),IF(N(N1467)=0,0,IF(N(M1467)&gt;0,M1467*(1+N1467/30),N1467))))</f>
        <v/>
      </c>
      <c r="Y1467">
        <f>IF(N(X1467)=0,"",X1467+ROW()/1000000000)</f>
        <v/>
      </c>
      <c r="Z1467">
        <f>IF(Y1467="","",IF(COUNTIFS(Log!$D$6:$D$1505,D1467,Log!$Y$6:$Y$1505,"&gt;"&amp;Y1467)=0,1,0))</f>
        <v/>
      </c>
      <c r="AA1467">
        <f>IF(OR(B1467="",D1467=""),"",B1467+ROW()/10000000)</f>
        <v/>
      </c>
      <c r="AB1467">
        <f>IF(AA1467="","",IF(COUNTIFS(Log!$D$6:$D$1505,D1467,Log!$AA$6:$AA$1505,"&gt;"&amp;AA1467)=0,1,0))</f>
        <v/>
      </c>
      <c r="AC1467">
        <f>IF(S1467="New best",AA1467,"")</f>
        <v/>
      </c>
      <c r="AD1467">
        <f>ROW()</f>
        <v/>
      </c>
    </row>
    <row r="1468">
      <c r="A1468" s="1" t="n"/>
      <c r="B1468" s="21" t="n"/>
      <c r="C1468" s="22" t="n"/>
      <c r="D1468" s="23" t="n"/>
      <c r="E1468" s="24" t="n"/>
      <c r="F1468" s="24" t="n"/>
      <c r="G1468" s="24" t="n"/>
      <c r="H1468" s="24" t="n"/>
      <c r="I1468" s="24" t="n"/>
      <c r="J1468" s="24" t="n"/>
      <c r="K1468" s="24" t="n"/>
      <c r="L1468" s="24" t="n"/>
      <c r="M1468" s="24" t="n"/>
      <c r="N1468" s="24" t="n"/>
      <c r="O1468" s="15">
        <f>IF(D1468="","",COUNT(F1468,H1468,J1468,L1468,N1468))</f>
        <v/>
      </c>
      <c r="P1468" s="25">
        <f>IF(D1468="","",N(E1468)*N(F1468)+N(G1468)*N(H1468)+N(I1468)*N(J1468)+N(K1468)*N(L1468)+N(M1468)*N(N1468))</f>
        <v/>
      </c>
      <c r="Q1468" s="18">
        <f>IF(N(X1468)=0,"",IF(IF(N(F1468)=0,0,IF(N(E1468)&gt;0,E1468*(1+F1468/30),F1468))=X1468,IF(N(E1468)&gt;0,E1468&amp;" x "&amp;F1468,F1468&amp;" reps"),IF(IF(N(H1468)=0,0,IF(N(G1468)&gt;0,G1468*(1+H1468/30),H1468))=X1468,IF(N(G1468)&gt;0,G1468&amp;" x "&amp;H1468,H1468&amp;" reps"),IF(IF(N(J1468)=0,0,IF(N(I1468)&gt;0,I1468*(1+J1468/30),J1468))=X1468,IF(N(I1468)&gt;0,I1468&amp;" x "&amp;J1468,J1468&amp;" reps"),IF(IF(N(L1468)=0,0,IF(N(K1468)&gt;0,K1468*(1+L1468/30),L1468))=X1468,IF(N(K1468)&gt;0,K1468&amp;" x "&amp;L1468,L1468&amp;" reps"),IF(IF(N(N1468)=0,0,IF(N(M1468)&gt;0,M1468*(1+N1468/30),N1468))=X1468,IF(N(M1468)&gt;0,M1468&amp;" x "&amp;N1468,N1468&amp;" reps"),""))))))</f>
        <v/>
      </c>
      <c r="R1468" s="20">
        <f>IF(N(X1468)=0,"",ROUND(X1468,1))</f>
        <v/>
      </c>
      <c r="S1468" s="18">
        <f>IF(N(X1468)=0,"",IF(AND(COUNTIFS(Log!$D$6:$D$1505,D1468,Log!$B$6:$B$1505,"&lt;"&amp;B1468)&gt;0,COUNTIFS(Log!$D$6:$D$1505,D1468,Log!$B$6:$B$1505,"&lt;"&amp;B1468,Log!$X$6:$X$1505,"&gt;="&amp;X1468)=0),"New best",""))</f>
        <v/>
      </c>
      <c r="T1468" s="26" t="n"/>
      <c r="U1468" s="1">
        <f>IF(D1468="","",IFERROR(INDEX(Exercises!$C$6:$C$105,MATCH(D1468,Exercises!$B$6:$B$105,0)),"Other"))</f>
        <v/>
      </c>
      <c r="V1468">
        <f>IF(B1468="","",IF(COUNTIF($B$6:B1468,B1468)=1,1,0))</f>
        <v/>
      </c>
      <c r="W1468">
        <f>IF(B1468="","",B1468-WEEKDAY(B1468,3))</f>
        <v/>
      </c>
      <c r="X1468">
        <f>IF(D1468="","",MAX(IF(N(F1468)=0,0,IF(N(E1468)&gt;0,E1468*(1+F1468/30),F1468)),IF(N(H1468)=0,0,IF(N(G1468)&gt;0,G1468*(1+H1468/30),H1468)),IF(N(J1468)=0,0,IF(N(I1468)&gt;0,I1468*(1+J1468/30),J1468)),IF(N(L1468)=0,0,IF(N(K1468)&gt;0,K1468*(1+L1468/30),L1468)),IF(N(N1468)=0,0,IF(N(M1468)&gt;0,M1468*(1+N1468/30),N1468))))</f>
        <v/>
      </c>
      <c r="Y1468">
        <f>IF(N(X1468)=0,"",X1468+ROW()/1000000000)</f>
        <v/>
      </c>
      <c r="Z1468">
        <f>IF(Y1468="","",IF(COUNTIFS(Log!$D$6:$D$1505,D1468,Log!$Y$6:$Y$1505,"&gt;"&amp;Y1468)=0,1,0))</f>
        <v/>
      </c>
      <c r="AA1468">
        <f>IF(OR(B1468="",D1468=""),"",B1468+ROW()/10000000)</f>
        <v/>
      </c>
      <c r="AB1468">
        <f>IF(AA1468="","",IF(COUNTIFS(Log!$D$6:$D$1505,D1468,Log!$AA$6:$AA$1505,"&gt;"&amp;AA1468)=0,1,0))</f>
        <v/>
      </c>
      <c r="AC1468">
        <f>IF(S1468="New best",AA1468,"")</f>
        <v/>
      </c>
      <c r="AD1468">
        <f>ROW()</f>
        <v/>
      </c>
    </row>
    <row r="1469">
      <c r="A1469" s="1" t="n"/>
      <c r="B1469" s="21" t="n"/>
      <c r="C1469" s="22" t="n"/>
      <c r="D1469" s="23" t="n"/>
      <c r="E1469" s="24" t="n"/>
      <c r="F1469" s="24" t="n"/>
      <c r="G1469" s="24" t="n"/>
      <c r="H1469" s="24" t="n"/>
      <c r="I1469" s="24" t="n"/>
      <c r="J1469" s="24" t="n"/>
      <c r="K1469" s="24" t="n"/>
      <c r="L1469" s="24" t="n"/>
      <c r="M1469" s="24" t="n"/>
      <c r="N1469" s="24" t="n"/>
      <c r="O1469" s="15">
        <f>IF(D1469="","",COUNT(F1469,H1469,J1469,L1469,N1469))</f>
        <v/>
      </c>
      <c r="P1469" s="25">
        <f>IF(D1469="","",N(E1469)*N(F1469)+N(G1469)*N(H1469)+N(I1469)*N(J1469)+N(K1469)*N(L1469)+N(M1469)*N(N1469))</f>
        <v/>
      </c>
      <c r="Q1469" s="18">
        <f>IF(N(X1469)=0,"",IF(IF(N(F1469)=0,0,IF(N(E1469)&gt;0,E1469*(1+F1469/30),F1469))=X1469,IF(N(E1469)&gt;0,E1469&amp;" x "&amp;F1469,F1469&amp;" reps"),IF(IF(N(H1469)=0,0,IF(N(G1469)&gt;0,G1469*(1+H1469/30),H1469))=X1469,IF(N(G1469)&gt;0,G1469&amp;" x "&amp;H1469,H1469&amp;" reps"),IF(IF(N(J1469)=0,0,IF(N(I1469)&gt;0,I1469*(1+J1469/30),J1469))=X1469,IF(N(I1469)&gt;0,I1469&amp;" x "&amp;J1469,J1469&amp;" reps"),IF(IF(N(L1469)=0,0,IF(N(K1469)&gt;0,K1469*(1+L1469/30),L1469))=X1469,IF(N(K1469)&gt;0,K1469&amp;" x "&amp;L1469,L1469&amp;" reps"),IF(IF(N(N1469)=0,0,IF(N(M1469)&gt;0,M1469*(1+N1469/30),N1469))=X1469,IF(N(M1469)&gt;0,M1469&amp;" x "&amp;N1469,N1469&amp;" reps"),""))))))</f>
        <v/>
      </c>
      <c r="R1469" s="20">
        <f>IF(N(X1469)=0,"",ROUND(X1469,1))</f>
        <v/>
      </c>
      <c r="S1469" s="18">
        <f>IF(N(X1469)=0,"",IF(AND(COUNTIFS(Log!$D$6:$D$1505,D1469,Log!$B$6:$B$1505,"&lt;"&amp;B1469)&gt;0,COUNTIFS(Log!$D$6:$D$1505,D1469,Log!$B$6:$B$1505,"&lt;"&amp;B1469,Log!$X$6:$X$1505,"&gt;="&amp;X1469)=0),"New best",""))</f>
        <v/>
      </c>
      <c r="T1469" s="26" t="n"/>
      <c r="U1469" s="1">
        <f>IF(D1469="","",IFERROR(INDEX(Exercises!$C$6:$C$105,MATCH(D1469,Exercises!$B$6:$B$105,0)),"Other"))</f>
        <v/>
      </c>
      <c r="V1469">
        <f>IF(B1469="","",IF(COUNTIF($B$6:B1469,B1469)=1,1,0))</f>
        <v/>
      </c>
      <c r="W1469">
        <f>IF(B1469="","",B1469-WEEKDAY(B1469,3))</f>
        <v/>
      </c>
      <c r="X1469">
        <f>IF(D1469="","",MAX(IF(N(F1469)=0,0,IF(N(E1469)&gt;0,E1469*(1+F1469/30),F1469)),IF(N(H1469)=0,0,IF(N(G1469)&gt;0,G1469*(1+H1469/30),H1469)),IF(N(J1469)=0,0,IF(N(I1469)&gt;0,I1469*(1+J1469/30),J1469)),IF(N(L1469)=0,0,IF(N(K1469)&gt;0,K1469*(1+L1469/30),L1469)),IF(N(N1469)=0,0,IF(N(M1469)&gt;0,M1469*(1+N1469/30),N1469))))</f>
        <v/>
      </c>
      <c r="Y1469">
        <f>IF(N(X1469)=0,"",X1469+ROW()/1000000000)</f>
        <v/>
      </c>
      <c r="Z1469">
        <f>IF(Y1469="","",IF(COUNTIFS(Log!$D$6:$D$1505,D1469,Log!$Y$6:$Y$1505,"&gt;"&amp;Y1469)=0,1,0))</f>
        <v/>
      </c>
      <c r="AA1469">
        <f>IF(OR(B1469="",D1469=""),"",B1469+ROW()/10000000)</f>
        <v/>
      </c>
      <c r="AB1469">
        <f>IF(AA1469="","",IF(COUNTIFS(Log!$D$6:$D$1505,D1469,Log!$AA$6:$AA$1505,"&gt;"&amp;AA1469)=0,1,0))</f>
        <v/>
      </c>
      <c r="AC1469">
        <f>IF(S1469="New best",AA1469,"")</f>
        <v/>
      </c>
      <c r="AD1469">
        <f>ROW()</f>
        <v/>
      </c>
    </row>
    <row r="1470">
      <c r="A1470" s="1" t="n"/>
      <c r="B1470" s="21" t="n"/>
      <c r="C1470" s="22" t="n"/>
      <c r="D1470" s="23" t="n"/>
      <c r="E1470" s="24" t="n"/>
      <c r="F1470" s="24" t="n"/>
      <c r="G1470" s="24" t="n"/>
      <c r="H1470" s="24" t="n"/>
      <c r="I1470" s="24" t="n"/>
      <c r="J1470" s="24" t="n"/>
      <c r="K1470" s="24" t="n"/>
      <c r="L1470" s="24" t="n"/>
      <c r="M1470" s="24" t="n"/>
      <c r="N1470" s="24" t="n"/>
      <c r="O1470" s="15">
        <f>IF(D1470="","",COUNT(F1470,H1470,J1470,L1470,N1470))</f>
        <v/>
      </c>
      <c r="P1470" s="25">
        <f>IF(D1470="","",N(E1470)*N(F1470)+N(G1470)*N(H1470)+N(I1470)*N(J1470)+N(K1470)*N(L1470)+N(M1470)*N(N1470))</f>
        <v/>
      </c>
      <c r="Q1470" s="18">
        <f>IF(N(X1470)=0,"",IF(IF(N(F1470)=0,0,IF(N(E1470)&gt;0,E1470*(1+F1470/30),F1470))=X1470,IF(N(E1470)&gt;0,E1470&amp;" x "&amp;F1470,F1470&amp;" reps"),IF(IF(N(H1470)=0,0,IF(N(G1470)&gt;0,G1470*(1+H1470/30),H1470))=X1470,IF(N(G1470)&gt;0,G1470&amp;" x "&amp;H1470,H1470&amp;" reps"),IF(IF(N(J1470)=0,0,IF(N(I1470)&gt;0,I1470*(1+J1470/30),J1470))=X1470,IF(N(I1470)&gt;0,I1470&amp;" x "&amp;J1470,J1470&amp;" reps"),IF(IF(N(L1470)=0,0,IF(N(K1470)&gt;0,K1470*(1+L1470/30),L1470))=X1470,IF(N(K1470)&gt;0,K1470&amp;" x "&amp;L1470,L1470&amp;" reps"),IF(IF(N(N1470)=0,0,IF(N(M1470)&gt;0,M1470*(1+N1470/30),N1470))=X1470,IF(N(M1470)&gt;0,M1470&amp;" x "&amp;N1470,N1470&amp;" reps"),""))))))</f>
        <v/>
      </c>
      <c r="R1470" s="20">
        <f>IF(N(X1470)=0,"",ROUND(X1470,1))</f>
        <v/>
      </c>
      <c r="S1470" s="18">
        <f>IF(N(X1470)=0,"",IF(AND(COUNTIFS(Log!$D$6:$D$1505,D1470,Log!$B$6:$B$1505,"&lt;"&amp;B1470)&gt;0,COUNTIFS(Log!$D$6:$D$1505,D1470,Log!$B$6:$B$1505,"&lt;"&amp;B1470,Log!$X$6:$X$1505,"&gt;="&amp;X1470)=0),"New best",""))</f>
        <v/>
      </c>
      <c r="T1470" s="26" t="n"/>
      <c r="U1470" s="1">
        <f>IF(D1470="","",IFERROR(INDEX(Exercises!$C$6:$C$105,MATCH(D1470,Exercises!$B$6:$B$105,0)),"Other"))</f>
        <v/>
      </c>
      <c r="V1470">
        <f>IF(B1470="","",IF(COUNTIF($B$6:B1470,B1470)=1,1,0))</f>
        <v/>
      </c>
      <c r="W1470">
        <f>IF(B1470="","",B1470-WEEKDAY(B1470,3))</f>
        <v/>
      </c>
      <c r="X1470">
        <f>IF(D1470="","",MAX(IF(N(F1470)=0,0,IF(N(E1470)&gt;0,E1470*(1+F1470/30),F1470)),IF(N(H1470)=0,0,IF(N(G1470)&gt;0,G1470*(1+H1470/30),H1470)),IF(N(J1470)=0,0,IF(N(I1470)&gt;0,I1470*(1+J1470/30),J1470)),IF(N(L1470)=0,0,IF(N(K1470)&gt;0,K1470*(1+L1470/30),L1470)),IF(N(N1470)=0,0,IF(N(M1470)&gt;0,M1470*(1+N1470/30),N1470))))</f>
        <v/>
      </c>
      <c r="Y1470">
        <f>IF(N(X1470)=0,"",X1470+ROW()/1000000000)</f>
        <v/>
      </c>
      <c r="Z1470">
        <f>IF(Y1470="","",IF(COUNTIFS(Log!$D$6:$D$1505,D1470,Log!$Y$6:$Y$1505,"&gt;"&amp;Y1470)=0,1,0))</f>
        <v/>
      </c>
      <c r="AA1470">
        <f>IF(OR(B1470="",D1470=""),"",B1470+ROW()/10000000)</f>
        <v/>
      </c>
      <c r="AB1470">
        <f>IF(AA1470="","",IF(COUNTIFS(Log!$D$6:$D$1505,D1470,Log!$AA$6:$AA$1505,"&gt;"&amp;AA1470)=0,1,0))</f>
        <v/>
      </c>
      <c r="AC1470">
        <f>IF(S1470="New best",AA1470,"")</f>
        <v/>
      </c>
      <c r="AD1470">
        <f>ROW()</f>
        <v/>
      </c>
    </row>
    <row r="1471">
      <c r="A1471" s="1" t="n"/>
      <c r="B1471" s="21" t="n"/>
      <c r="C1471" s="22" t="n"/>
      <c r="D1471" s="23" t="n"/>
      <c r="E1471" s="24" t="n"/>
      <c r="F1471" s="24" t="n"/>
      <c r="G1471" s="24" t="n"/>
      <c r="H1471" s="24" t="n"/>
      <c r="I1471" s="24" t="n"/>
      <c r="J1471" s="24" t="n"/>
      <c r="K1471" s="24" t="n"/>
      <c r="L1471" s="24" t="n"/>
      <c r="M1471" s="24" t="n"/>
      <c r="N1471" s="24" t="n"/>
      <c r="O1471" s="15">
        <f>IF(D1471="","",COUNT(F1471,H1471,J1471,L1471,N1471))</f>
        <v/>
      </c>
      <c r="P1471" s="25">
        <f>IF(D1471="","",N(E1471)*N(F1471)+N(G1471)*N(H1471)+N(I1471)*N(J1471)+N(K1471)*N(L1471)+N(M1471)*N(N1471))</f>
        <v/>
      </c>
      <c r="Q1471" s="18">
        <f>IF(N(X1471)=0,"",IF(IF(N(F1471)=0,0,IF(N(E1471)&gt;0,E1471*(1+F1471/30),F1471))=X1471,IF(N(E1471)&gt;0,E1471&amp;" x "&amp;F1471,F1471&amp;" reps"),IF(IF(N(H1471)=0,0,IF(N(G1471)&gt;0,G1471*(1+H1471/30),H1471))=X1471,IF(N(G1471)&gt;0,G1471&amp;" x "&amp;H1471,H1471&amp;" reps"),IF(IF(N(J1471)=0,0,IF(N(I1471)&gt;0,I1471*(1+J1471/30),J1471))=X1471,IF(N(I1471)&gt;0,I1471&amp;" x "&amp;J1471,J1471&amp;" reps"),IF(IF(N(L1471)=0,0,IF(N(K1471)&gt;0,K1471*(1+L1471/30),L1471))=X1471,IF(N(K1471)&gt;0,K1471&amp;" x "&amp;L1471,L1471&amp;" reps"),IF(IF(N(N1471)=0,0,IF(N(M1471)&gt;0,M1471*(1+N1471/30),N1471))=X1471,IF(N(M1471)&gt;0,M1471&amp;" x "&amp;N1471,N1471&amp;" reps"),""))))))</f>
        <v/>
      </c>
      <c r="R1471" s="20">
        <f>IF(N(X1471)=0,"",ROUND(X1471,1))</f>
        <v/>
      </c>
      <c r="S1471" s="18">
        <f>IF(N(X1471)=0,"",IF(AND(COUNTIFS(Log!$D$6:$D$1505,D1471,Log!$B$6:$B$1505,"&lt;"&amp;B1471)&gt;0,COUNTIFS(Log!$D$6:$D$1505,D1471,Log!$B$6:$B$1505,"&lt;"&amp;B1471,Log!$X$6:$X$1505,"&gt;="&amp;X1471)=0),"New best",""))</f>
        <v/>
      </c>
      <c r="T1471" s="26" t="n"/>
      <c r="U1471" s="1">
        <f>IF(D1471="","",IFERROR(INDEX(Exercises!$C$6:$C$105,MATCH(D1471,Exercises!$B$6:$B$105,0)),"Other"))</f>
        <v/>
      </c>
      <c r="V1471">
        <f>IF(B1471="","",IF(COUNTIF($B$6:B1471,B1471)=1,1,0))</f>
        <v/>
      </c>
      <c r="W1471">
        <f>IF(B1471="","",B1471-WEEKDAY(B1471,3))</f>
        <v/>
      </c>
      <c r="X1471">
        <f>IF(D1471="","",MAX(IF(N(F1471)=0,0,IF(N(E1471)&gt;0,E1471*(1+F1471/30),F1471)),IF(N(H1471)=0,0,IF(N(G1471)&gt;0,G1471*(1+H1471/30),H1471)),IF(N(J1471)=0,0,IF(N(I1471)&gt;0,I1471*(1+J1471/30),J1471)),IF(N(L1471)=0,0,IF(N(K1471)&gt;0,K1471*(1+L1471/30),L1471)),IF(N(N1471)=0,0,IF(N(M1471)&gt;0,M1471*(1+N1471/30),N1471))))</f>
        <v/>
      </c>
      <c r="Y1471">
        <f>IF(N(X1471)=0,"",X1471+ROW()/1000000000)</f>
        <v/>
      </c>
      <c r="Z1471">
        <f>IF(Y1471="","",IF(COUNTIFS(Log!$D$6:$D$1505,D1471,Log!$Y$6:$Y$1505,"&gt;"&amp;Y1471)=0,1,0))</f>
        <v/>
      </c>
      <c r="AA1471">
        <f>IF(OR(B1471="",D1471=""),"",B1471+ROW()/10000000)</f>
        <v/>
      </c>
      <c r="AB1471">
        <f>IF(AA1471="","",IF(COUNTIFS(Log!$D$6:$D$1505,D1471,Log!$AA$6:$AA$1505,"&gt;"&amp;AA1471)=0,1,0))</f>
        <v/>
      </c>
      <c r="AC1471">
        <f>IF(S1471="New best",AA1471,"")</f>
        <v/>
      </c>
      <c r="AD1471">
        <f>ROW()</f>
        <v/>
      </c>
    </row>
    <row r="1472">
      <c r="A1472" s="1" t="n"/>
      <c r="B1472" s="21" t="n"/>
      <c r="C1472" s="22" t="n"/>
      <c r="D1472" s="23" t="n"/>
      <c r="E1472" s="24" t="n"/>
      <c r="F1472" s="24" t="n"/>
      <c r="G1472" s="24" t="n"/>
      <c r="H1472" s="24" t="n"/>
      <c r="I1472" s="24" t="n"/>
      <c r="J1472" s="24" t="n"/>
      <c r="K1472" s="24" t="n"/>
      <c r="L1472" s="24" t="n"/>
      <c r="M1472" s="24" t="n"/>
      <c r="N1472" s="24" t="n"/>
      <c r="O1472" s="15">
        <f>IF(D1472="","",COUNT(F1472,H1472,J1472,L1472,N1472))</f>
        <v/>
      </c>
      <c r="P1472" s="25">
        <f>IF(D1472="","",N(E1472)*N(F1472)+N(G1472)*N(H1472)+N(I1472)*N(J1472)+N(K1472)*N(L1472)+N(M1472)*N(N1472))</f>
        <v/>
      </c>
      <c r="Q1472" s="18">
        <f>IF(N(X1472)=0,"",IF(IF(N(F1472)=0,0,IF(N(E1472)&gt;0,E1472*(1+F1472/30),F1472))=X1472,IF(N(E1472)&gt;0,E1472&amp;" x "&amp;F1472,F1472&amp;" reps"),IF(IF(N(H1472)=0,0,IF(N(G1472)&gt;0,G1472*(1+H1472/30),H1472))=X1472,IF(N(G1472)&gt;0,G1472&amp;" x "&amp;H1472,H1472&amp;" reps"),IF(IF(N(J1472)=0,0,IF(N(I1472)&gt;0,I1472*(1+J1472/30),J1472))=X1472,IF(N(I1472)&gt;0,I1472&amp;" x "&amp;J1472,J1472&amp;" reps"),IF(IF(N(L1472)=0,0,IF(N(K1472)&gt;0,K1472*(1+L1472/30),L1472))=X1472,IF(N(K1472)&gt;0,K1472&amp;" x "&amp;L1472,L1472&amp;" reps"),IF(IF(N(N1472)=0,0,IF(N(M1472)&gt;0,M1472*(1+N1472/30),N1472))=X1472,IF(N(M1472)&gt;0,M1472&amp;" x "&amp;N1472,N1472&amp;" reps"),""))))))</f>
        <v/>
      </c>
      <c r="R1472" s="20">
        <f>IF(N(X1472)=0,"",ROUND(X1472,1))</f>
        <v/>
      </c>
      <c r="S1472" s="18">
        <f>IF(N(X1472)=0,"",IF(AND(COUNTIFS(Log!$D$6:$D$1505,D1472,Log!$B$6:$B$1505,"&lt;"&amp;B1472)&gt;0,COUNTIFS(Log!$D$6:$D$1505,D1472,Log!$B$6:$B$1505,"&lt;"&amp;B1472,Log!$X$6:$X$1505,"&gt;="&amp;X1472)=0),"New best",""))</f>
        <v/>
      </c>
      <c r="T1472" s="26" t="n"/>
      <c r="U1472" s="1">
        <f>IF(D1472="","",IFERROR(INDEX(Exercises!$C$6:$C$105,MATCH(D1472,Exercises!$B$6:$B$105,0)),"Other"))</f>
        <v/>
      </c>
      <c r="V1472">
        <f>IF(B1472="","",IF(COUNTIF($B$6:B1472,B1472)=1,1,0))</f>
        <v/>
      </c>
      <c r="W1472">
        <f>IF(B1472="","",B1472-WEEKDAY(B1472,3))</f>
        <v/>
      </c>
      <c r="X1472">
        <f>IF(D1472="","",MAX(IF(N(F1472)=0,0,IF(N(E1472)&gt;0,E1472*(1+F1472/30),F1472)),IF(N(H1472)=0,0,IF(N(G1472)&gt;0,G1472*(1+H1472/30),H1472)),IF(N(J1472)=0,0,IF(N(I1472)&gt;0,I1472*(1+J1472/30),J1472)),IF(N(L1472)=0,0,IF(N(K1472)&gt;0,K1472*(1+L1472/30),L1472)),IF(N(N1472)=0,0,IF(N(M1472)&gt;0,M1472*(1+N1472/30),N1472))))</f>
        <v/>
      </c>
      <c r="Y1472">
        <f>IF(N(X1472)=0,"",X1472+ROW()/1000000000)</f>
        <v/>
      </c>
      <c r="Z1472">
        <f>IF(Y1472="","",IF(COUNTIFS(Log!$D$6:$D$1505,D1472,Log!$Y$6:$Y$1505,"&gt;"&amp;Y1472)=0,1,0))</f>
        <v/>
      </c>
      <c r="AA1472">
        <f>IF(OR(B1472="",D1472=""),"",B1472+ROW()/10000000)</f>
        <v/>
      </c>
      <c r="AB1472">
        <f>IF(AA1472="","",IF(COUNTIFS(Log!$D$6:$D$1505,D1472,Log!$AA$6:$AA$1505,"&gt;"&amp;AA1472)=0,1,0))</f>
        <v/>
      </c>
      <c r="AC1472">
        <f>IF(S1472="New best",AA1472,"")</f>
        <v/>
      </c>
      <c r="AD1472">
        <f>ROW()</f>
        <v/>
      </c>
    </row>
    <row r="1473">
      <c r="A1473" s="1" t="n"/>
      <c r="B1473" s="21" t="n"/>
      <c r="C1473" s="22" t="n"/>
      <c r="D1473" s="23" t="n"/>
      <c r="E1473" s="24" t="n"/>
      <c r="F1473" s="24" t="n"/>
      <c r="G1473" s="24" t="n"/>
      <c r="H1473" s="24" t="n"/>
      <c r="I1473" s="24" t="n"/>
      <c r="J1473" s="24" t="n"/>
      <c r="K1473" s="24" t="n"/>
      <c r="L1473" s="24" t="n"/>
      <c r="M1473" s="24" t="n"/>
      <c r="N1473" s="24" t="n"/>
      <c r="O1473" s="15">
        <f>IF(D1473="","",COUNT(F1473,H1473,J1473,L1473,N1473))</f>
        <v/>
      </c>
      <c r="P1473" s="25">
        <f>IF(D1473="","",N(E1473)*N(F1473)+N(G1473)*N(H1473)+N(I1473)*N(J1473)+N(K1473)*N(L1473)+N(M1473)*N(N1473))</f>
        <v/>
      </c>
      <c r="Q1473" s="18">
        <f>IF(N(X1473)=0,"",IF(IF(N(F1473)=0,0,IF(N(E1473)&gt;0,E1473*(1+F1473/30),F1473))=X1473,IF(N(E1473)&gt;0,E1473&amp;" x "&amp;F1473,F1473&amp;" reps"),IF(IF(N(H1473)=0,0,IF(N(G1473)&gt;0,G1473*(1+H1473/30),H1473))=X1473,IF(N(G1473)&gt;0,G1473&amp;" x "&amp;H1473,H1473&amp;" reps"),IF(IF(N(J1473)=0,0,IF(N(I1473)&gt;0,I1473*(1+J1473/30),J1473))=X1473,IF(N(I1473)&gt;0,I1473&amp;" x "&amp;J1473,J1473&amp;" reps"),IF(IF(N(L1473)=0,0,IF(N(K1473)&gt;0,K1473*(1+L1473/30),L1473))=X1473,IF(N(K1473)&gt;0,K1473&amp;" x "&amp;L1473,L1473&amp;" reps"),IF(IF(N(N1473)=0,0,IF(N(M1473)&gt;0,M1473*(1+N1473/30),N1473))=X1473,IF(N(M1473)&gt;0,M1473&amp;" x "&amp;N1473,N1473&amp;" reps"),""))))))</f>
        <v/>
      </c>
      <c r="R1473" s="20">
        <f>IF(N(X1473)=0,"",ROUND(X1473,1))</f>
        <v/>
      </c>
      <c r="S1473" s="18">
        <f>IF(N(X1473)=0,"",IF(AND(COUNTIFS(Log!$D$6:$D$1505,D1473,Log!$B$6:$B$1505,"&lt;"&amp;B1473)&gt;0,COUNTIFS(Log!$D$6:$D$1505,D1473,Log!$B$6:$B$1505,"&lt;"&amp;B1473,Log!$X$6:$X$1505,"&gt;="&amp;X1473)=0),"New best",""))</f>
        <v/>
      </c>
      <c r="T1473" s="26" t="n"/>
      <c r="U1473" s="1">
        <f>IF(D1473="","",IFERROR(INDEX(Exercises!$C$6:$C$105,MATCH(D1473,Exercises!$B$6:$B$105,0)),"Other"))</f>
        <v/>
      </c>
      <c r="V1473">
        <f>IF(B1473="","",IF(COUNTIF($B$6:B1473,B1473)=1,1,0))</f>
        <v/>
      </c>
      <c r="W1473">
        <f>IF(B1473="","",B1473-WEEKDAY(B1473,3))</f>
        <v/>
      </c>
      <c r="X1473">
        <f>IF(D1473="","",MAX(IF(N(F1473)=0,0,IF(N(E1473)&gt;0,E1473*(1+F1473/30),F1473)),IF(N(H1473)=0,0,IF(N(G1473)&gt;0,G1473*(1+H1473/30),H1473)),IF(N(J1473)=0,0,IF(N(I1473)&gt;0,I1473*(1+J1473/30),J1473)),IF(N(L1473)=0,0,IF(N(K1473)&gt;0,K1473*(1+L1473/30),L1473)),IF(N(N1473)=0,0,IF(N(M1473)&gt;0,M1473*(1+N1473/30),N1473))))</f>
        <v/>
      </c>
      <c r="Y1473">
        <f>IF(N(X1473)=0,"",X1473+ROW()/1000000000)</f>
        <v/>
      </c>
      <c r="Z1473">
        <f>IF(Y1473="","",IF(COUNTIFS(Log!$D$6:$D$1505,D1473,Log!$Y$6:$Y$1505,"&gt;"&amp;Y1473)=0,1,0))</f>
        <v/>
      </c>
      <c r="AA1473">
        <f>IF(OR(B1473="",D1473=""),"",B1473+ROW()/10000000)</f>
        <v/>
      </c>
      <c r="AB1473">
        <f>IF(AA1473="","",IF(COUNTIFS(Log!$D$6:$D$1505,D1473,Log!$AA$6:$AA$1505,"&gt;"&amp;AA1473)=0,1,0))</f>
        <v/>
      </c>
      <c r="AC1473">
        <f>IF(S1473="New best",AA1473,"")</f>
        <v/>
      </c>
      <c r="AD1473">
        <f>ROW()</f>
        <v/>
      </c>
    </row>
    <row r="1474">
      <c r="A1474" s="1" t="n"/>
      <c r="B1474" s="21" t="n"/>
      <c r="C1474" s="22" t="n"/>
      <c r="D1474" s="23" t="n"/>
      <c r="E1474" s="24" t="n"/>
      <c r="F1474" s="24" t="n"/>
      <c r="G1474" s="24" t="n"/>
      <c r="H1474" s="24" t="n"/>
      <c r="I1474" s="24" t="n"/>
      <c r="J1474" s="24" t="n"/>
      <c r="K1474" s="24" t="n"/>
      <c r="L1474" s="24" t="n"/>
      <c r="M1474" s="24" t="n"/>
      <c r="N1474" s="24" t="n"/>
      <c r="O1474" s="15">
        <f>IF(D1474="","",COUNT(F1474,H1474,J1474,L1474,N1474))</f>
        <v/>
      </c>
      <c r="P1474" s="25">
        <f>IF(D1474="","",N(E1474)*N(F1474)+N(G1474)*N(H1474)+N(I1474)*N(J1474)+N(K1474)*N(L1474)+N(M1474)*N(N1474))</f>
        <v/>
      </c>
      <c r="Q1474" s="18">
        <f>IF(N(X1474)=0,"",IF(IF(N(F1474)=0,0,IF(N(E1474)&gt;0,E1474*(1+F1474/30),F1474))=X1474,IF(N(E1474)&gt;0,E1474&amp;" x "&amp;F1474,F1474&amp;" reps"),IF(IF(N(H1474)=0,0,IF(N(G1474)&gt;0,G1474*(1+H1474/30),H1474))=X1474,IF(N(G1474)&gt;0,G1474&amp;" x "&amp;H1474,H1474&amp;" reps"),IF(IF(N(J1474)=0,0,IF(N(I1474)&gt;0,I1474*(1+J1474/30),J1474))=X1474,IF(N(I1474)&gt;0,I1474&amp;" x "&amp;J1474,J1474&amp;" reps"),IF(IF(N(L1474)=0,0,IF(N(K1474)&gt;0,K1474*(1+L1474/30),L1474))=X1474,IF(N(K1474)&gt;0,K1474&amp;" x "&amp;L1474,L1474&amp;" reps"),IF(IF(N(N1474)=0,0,IF(N(M1474)&gt;0,M1474*(1+N1474/30),N1474))=X1474,IF(N(M1474)&gt;0,M1474&amp;" x "&amp;N1474,N1474&amp;" reps"),""))))))</f>
        <v/>
      </c>
      <c r="R1474" s="20">
        <f>IF(N(X1474)=0,"",ROUND(X1474,1))</f>
        <v/>
      </c>
      <c r="S1474" s="18">
        <f>IF(N(X1474)=0,"",IF(AND(COUNTIFS(Log!$D$6:$D$1505,D1474,Log!$B$6:$B$1505,"&lt;"&amp;B1474)&gt;0,COUNTIFS(Log!$D$6:$D$1505,D1474,Log!$B$6:$B$1505,"&lt;"&amp;B1474,Log!$X$6:$X$1505,"&gt;="&amp;X1474)=0),"New best",""))</f>
        <v/>
      </c>
      <c r="T1474" s="26" t="n"/>
      <c r="U1474" s="1">
        <f>IF(D1474="","",IFERROR(INDEX(Exercises!$C$6:$C$105,MATCH(D1474,Exercises!$B$6:$B$105,0)),"Other"))</f>
        <v/>
      </c>
      <c r="V1474">
        <f>IF(B1474="","",IF(COUNTIF($B$6:B1474,B1474)=1,1,0))</f>
        <v/>
      </c>
      <c r="W1474">
        <f>IF(B1474="","",B1474-WEEKDAY(B1474,3))</f>
        <v/>
      </c>
      <c r="X1474">
        <f>IF(D1474="","",MAX(IF(N(F1474)=0,0,IF(N(E1474)&gt;0,E1474*(1+F1474/30),F1474)),IF(N(H1474)=0,0,IF(N(G1474)&gt;0,G1474*(1+H1474/30),H1474)),IF(N(J1474)=0,0,IF(N(I1474)&gt;0,I1474*(1+J1474/30),J1474)),IF(N(L1474)=0,0,IF(N(K1474)&gt;0,K1474*(1+L1474/30),L1474)),IF(N(N1474)=0,0,IF(N(M1474)&gt;0,M1474*(1+N1474/30),N1474))))</f>
        <v/>
      </c>
      <c r="Y1474">
        <f>IF(N(X1474)=0,"",X1474+ROW()/1000000000)</f>
        <v/>
      </c>
      <c r="Z1474">
        <f>IF(Y1474="","",IF(COUNTIFS(Log!$D$6:$D$1505,D1474,Log!$Y$6:$Y$1505,"&gt;"&amp;Y1474)=0,1,0))</f>
        <v/>
      </c>
      <c r="AA1474">
        <f>IF(OR(B1474="",D1474=""),"",B1474+ROW()/10000000)</f>
        <v/>
      </c>
      <c r="AB1474">
        <f>IF(AA1474="","",IF(COUNTIFS(Log!$D$6:$D$1505,D1474,Log!$AA$6:$AA$1505,"&gt;"&amp;AA1474)=0,1,0))</f>
        <v/>
      </c>
      <c r="AC1474">
        <f>IF(S1474="New best",AA1474,"")</f>
        <v/>
      </c>
      <c r="AD1474">
        <f>ROW()</f>
        <v/>
      </c>
    </row>
    <row r="1475">
      <c r="A1475" s="1" t="n"/>
      <c r="B1475" s="21" t="n"/>
      <c r="C1475" s="22" t="n"/>
      <c r="D1475" s="23" t="n"/>
      <c r="E1475" s="24" t="n"/>
      <c r="F1475" s="24" t="n"/>
      <c r="G1475" s="24" t="n"/>
      <c r="H1475" s="24" t="n"/>
      <c r="I1475" s="24" t="n"/>
      <c r="J1475" s="24" t="n"/>
      <c r="K1475" s="24" t="n"/>
      <c r="L1475" s="24" t="n"/>
      <c r="M1475" s="24" t="n"/>
      <c r="N1475" s="24" t="n"/>
      <c r="O1475" s="15">
        <f>IF(D1475="","",COUNT(F1475,H1475,J1475,L1475,N1475))</f>
        <v/>
      </c>
      <c r="P1475" s="25">
        <f>IF(D1475="","",N(E1475)*N(F1475)+N(G1475)*N(H1475)+N(I1475)*N(J1475)+N(K1475)*N(L1475)+N(M1475)*N(N1475))</f>
        <v/>
      </c>
      <c r="Q1475" s="18">
        <f>IF(N(X1475)=0,"",IF(IF(N(F1475)=0,0,IF(N(E1475)&gt;0,E1475*(1+F1475/30),F1475))=X1475,IF(N(E1475)&gt;0,E1475&amp;" x "&amp;F1475,F1475&amp;" reps"),IF(IF(N(H1475)=0,0,IF(N(G1475)&gt;0,G1475*(1+H1475/30),H1475))=X1475,IF(N(G1475)&gt;0,G1475&amp;" x "&amp;H1475,H1475&amp;" reps"),IF(IF(N(J1475)=0,0,IF(N(I1475)&gt;0,I1475*(1+J1475/30),J1475))=X1475,IF(N(I1475)&gt;0,I1475&amp;" x "&amp;J1475,J1475&amp;" reps"),IF(IF(N(L1475)=0,0,IF(N(K1475)&gt;0,K1475*(1+L1475/30),L1475))=X1475,IF(N(K1475)&gt;0,K1475&amp;" x "&amp;L1475,L1475&amp;" reps"),IF(IF(N(N1475)=0,0,IF(N(M1475)&gt;0,M1475*(1+N1475/30),N1475))=X1475,IF(N(M1475)&gt;0,M1475&amp;" x "&amp;N1475,N1475&amp;" reps"),""))))))</f>
        <v/>
      </c>
      <c r="R1475" s="20">
        <f>IF(N(X1475)=0,"",ROUND(X1475,1))</f>
        <v/>
      </c>
      <c r="S1475" s="18">
        <f>IF(N(X1475)=0,"",IF(AND(COUNTIFS(Log!$D$6:$D$1505,D1475,Log!$B$6:$B$1505,"&lt;"&amp;B1475)&gt;0,COUNTIFS(Log!$D$6:$D$1505,D1475,Log!$B$6:$B$1505,"&lt;"&amp;B1475,Log!$X$6:$X$1505,"&gt;="&amp;X1475)=0),"New best",""))</f>
        <v/>
      </c>
      <c r="T1475" s="26" t="n"/>
      <c r="U1475" s="1">
        <f>IF(D1475="","",IFERROR(INDEX(Exercises!$C$6:$C$105,MATCH(D1475,Exercises!$B$6:$B$105,0)),"Other"))</f>
        <v/>
      </c>
      <c r="V1475">
        <f>IF(B1475="","",IF(COUNTIF($B$6:B1475,B1475)=1,1,0))</f>
        <v/>
      </c>
      <c r="W1475">
        <f>IF(B1475="","",B1475-WEEKDAY(B1475,3))</f>
        <v/>
      </c>
      <c r="X1475">
        <f>IF(D1475="","",MAX(IF(N(F1475)=0,0,IF(N(E1475)&gt;0,E1475*(1+F1475/30),F1475)),IF(N(H1475)=0,0,IF(N(G1475)&gt;0,G1475*(1+H1475/30),H1475)),IF(N(J1475)=0,0,IF(N(I1475)&gt;0,I1475*(1+J1475/30),J1475)),IF(N(L1475)=0,0,IF(N(K1475)&gt;0,K1475*(1+L1475/30),L1475)),IF(N(N1475)=0,0,IF(N(M1475)&gt;0,M1475*(1+N1475/30),N1475))))</f>
        <v/>
      </c>
      <c r="Y1475">
        <f>IF(N(X1475)=0,"",X1475+ROW()/1000000000)</f>
        <v/>
      </c>
      <c r="Z1475">
        <f>IF(Y1475="","",IF(COUNTIFS(Log!$D$6:$D$1505,D1475,Log!$Y$6:$Y$1505,"&gt;"&amp;Y1475)=0,1,0))</f>
        <v/>
      </c>
      <c r="AA1475">
        <f>IF(OR(B1475="",D1475=""),"",B1475+ROW()/10000000)</f>
        <v/>
      </c>
      <c r="AB1475">
        <f>IF(AA1475="","",IF(COUNTIFS(Log!$D$6:$D$1505,D1475,Log!$AA$6:$AA$1505,"&gt;"&amp;AA1475)=0,1,0))</f>
        <v/>
      </c>
      <c r="AC1475">
        <f>IF(S1475="New best",AA1475,"")</f>
        <v/>
      </c>
      <c r="AD1475">
        <f>ROW()</f>
        <v/>
      </c>
    </row>
    <row r="1476">
      <c r="A1476" s="1" t="n"/>
      <c r="B1476" s="21" t="n"/>
      <c r="C1476" s="22" t="n"/>
      <c r="D1476" s="23" t="n"/>
      <c r="E1476" s="24" t="n"/>
      <c r="F1476" s="24" t="n"/>
      <c r="G1476" s="24" t="n"/>
      <c r="H1476" s="24" t="n"/>
      <c r="I1476" s="24" t="n"/>
      <c r="J1476" s="24" t="n"/>
      <c r="K1476" s="24" t="n"/>
      <c r="L1476" s="24" t="n"/>
      <c r="M1476" s="24" t="n"/>
      <c r="N1476" s="24" t="n"/>
      <c r="O1476" s="15">
        <f>IF(D1476="","",COUNT(F1476,H1476,J1476,L1476,N1476))</f>
        <v/>
      </c>
      <c r="P1476" s="25">
        <f>IF(D1476="","",N(E1476)*N(F1476)+N(G1476)*N(H1476)+N(I1476)*N(J1476)+N(K1476)*N(L1476)+N(M1476)*N(N1476))</f>
        <v/>
      </c>
      <c r="Q1476" s="18">
        <f>IF(N(X1476)=0,"",IF(IF(N(F1476)=0,0,IF(N(E1476)&gt;0,E1476*(1+F1476/30),F1476))=X1476,IF(N(E1476)&gt;0,E1476&amp;" x "&amp;F1476,F1476&amp;" reps"),IF(IF(N(H1476)=0,0,IF(N(G1476)&gt;0,G1476*(1+H1476/30),H1476))=X1476,IF(N(G1476)&gt;0,G1476&amp;" x "&amp;H1476,H1476&amp;" reps"),IF(IF(N(J1476)=0,0,IF(N(I1476)&gt;0,I1476*(1+J1476/30),J1476))=X1476,IF(N(I1476)&gt;0,I1476&amp;" x "&amp;J1476,J1476&amp;" reps"),IF(IF(N(L1476)=0,0,IF(N(K1476)&gt;0,K1476*(1+L1476/30),L1476))=X1476,IF(N(K1476)&gt;0,K1476&amp;" x "&amp;L1476,L1476&amp;" reps"),IF(IF(N(N1476)=0,0,IF(N(M1476)&gt;0,M1476*(1+N1476/30),N1476))=X1476,IF(N(M1476)&gt;0,M1476&amp;" x "&amp;N1476,N1476&amp;" reps"),""))))))</f>
        <v/>
      </c>
      <c r="R1476" s="20">
        <f>IF(N(X1476)=0,"",ROUND(X1476,1))</f>
        <v/>
      </c>
      <c r="S1476" s="18">
        <f>IF(N(X1476)=0,"",IF(AND(COUNTIFS(Log!$D$6:$D$1505,D1476,Log!$B$6:$B$1505,"&lt;"&amp;B1476)&gt;0,COUNTIFS(Log!$D$6:$D$1505,D1476,Log!$B$6:$B$1505,"&lt;"&amp;B1476,Log!$X$6:$X$1505,"&gt;="&amp;X1476)=0),"New best",""))</f>
        <v/>
      </c>
      <c r="T1476" s="26" t="n"/>
      <c r="U1476" s="1">
        <f>IF(D1476="","",IFERROR(INDEX(Exercises!$C$6:$C$105,MATCH(D1476,Exercises!$B$6:$B$105,0)),"Other"))</f>
        <v/>
      </c>
      <c r="V1476">
        <f>IF(B1476="","",IF(COUNTIF($B$6:B1476,B1476)=1,1,0))</f>
        <v/>
      </c>
      <c r="W1476">
        <f>IF(B1476="","",B1476-WEEKDAY(B1476,3))</f>
        <v/>
      </c>
      <c r="X1476">
        <f>IF(D1476="","",MAX(IF(N(F1476)=0,0,IF(N(E1476)&gt;0,E1476*(1+F1476/30),F1476)),IF(N(H1476)=0,0,IF(N(G1476)&gt;0,G1476*(1+H1476/30),H1476)),IF(N(J1476)=0,0,IF(N(I1476)&gt;0,I1476*(1+J1476/30),J1476)),IF(N(L1476)=0,0,IF(N(K1476)&gt;0,K1476*(1+L1476/30),L1476)),IF(N(N1476)=0,0,IF(N(M1476)&gt;0,M1476*(1+N1476/30),N1476))))</f>
        <v/>
      </c>
      <c r="Y1476">
        <f>IF(N(X1476)=0,"",X1476+ROW()/1000000000)</f>
        <v/>
      </c>
      <c r="Z1476">
        <f>IF(Y1476="","",IF(COUNTIFS(Log!$D$6:$D$1505,D1476,Log!$Y$6:$Y$1505,"&gt;"&amp;Y1476)=0,1,0))</f>
        <v/>
      </c>
      <c r="AA1476">
        <f>IF(OR(B1476="",D1476=""),"",B1476+ROW()/10000000)</f>
        <v/>
      </c>
      <c r="AB1476">
        <f>IF(AA1476="","",IF(COUNTIFS(Log!$D$6:$D$1505,D1476,Log!$AA$6:$AA$1505,"&gt;"&amp;AA1476)=0,1,0))</f>
        <v/>
      </c>
      <c r="AC1476">
        <f>IF(S1476="New best",AA1476,"")</f>
        <v/>
      </c>
      <c r="AD1476">
        <f>ROW()</f>
        <v/>
      </c>
    </row>
    <row r="1477">
      <c r="A1477" s="1" t="n"/>
      <c r="B1477" s="21" t="n"/>
      <c r="C1477" s="22" t="n"/>
      <c r="D1477" s="23" t="n"/>
      <c r="E1477" s="24" t="n"/>
      <c r="F1477" s="24" t="n"/>
      <c r="G1477" s="24" t="n"/>
      <c r="H1477" s="24" t="n"/>
      <c r="I1477" s="24" t="n"/>
      <c r="J1477" s="24" t="n"/>
      <c r="K1477" s="24" t="n"/>
      <c r="L1477" s="24" t="n"/>
      <c r="M1477" s="24" t="n"/>
      <c r="N1477" s="24" t="n"/>
      <c r="O1477" s="15">
        <f>IF(D1477="","",COUNT(F1477,H1477,J1477,L1477,N1477))</f>
        <v/>
      </c>
      <c r="P1477" s="25">
        <f>IF(D1477="","",N(E1477)*N(F1477)+N(G1477)*N(H1477)+N(I1477)*N(J1477)+N(K1477)*N(L1477)+N(M1477)*N(N1477))</f>
        <v/>
      </c>
      <c r="Q1477" s="18">
        <f>IF(N(X1477)=0,"",IF(IF(N(F1477)=0,0,IF(N(E1477)&gt;0,E1477*(1+F1477/30),F1477))=X1477,IF(N(E1477)&gt;0,E1477&amp;" x "&amp;F1477,F1477&amp;" reps"),IF(IF(N(H1477)=0,0,IF(N(G1477)&gt;0,G1477*(1+H1477/30),H1477))=X1477,IF(N(G1477)&gt;0,G1477&amp;" x "&amp;H1477,H1477&amp;" reps"),IF(IF(N(J1477)=0,0,IF(N(I1477)&gt;0,I1477*(1+J1477/30),J1477))=X1477,IF(N(I1477)&gt;0,I1477&amp;" x "&amp;J1477,J1477&amp;" reps"),IF(IF(N(L1477)=0,0,IF(N(K1477)&gt;0,K1477*(1+L1477/30),L1477))=X1477,IF(N(K1477)&gt;0,K1477&amp;" x "&amp;L1477,L1477&amp;" reps"),IF(IF(N(N1477)=0,0,IF(N(M1477)&gt;0,M1477*(1+N1477/30),N1477))=X1477,IF(N(M1477)&gt;0,M1477&amp;" x "&amp;N1477,N1477&amp;" reps"),""))))))</f>
        <v/>
      </c>
      <c r="R1477" s="20">
        <f>IF(N(X1477)=0,"",ROUND(X1477,1))</f>
        <v/>
      </c>
      <c r="S1477" s="18">
        <f>IF(N(X1477)=0,"",IF(AND(COUNTIFS(Log!$D$6:$D$1505,D1477,Log!$B$6:$B$1505,"&lt;"&amp;B1477)&gt;0,COUNTIFS(Log!$D$6:$D$1505,D1477,Log!$B$6:$B$1505,"&lt;"&amp;B1477,Log!$X$6:$X$1505,"&gt;="&amp;X1477)=0),"New best",""))</f>
        <v/>
      </c>
      <c r="T1477" s="26" t="n"/>
      <c r="U1477" s="1">
        <f>IF(D1477="","",IFERROR(INDEX(Exercises!$C$6:$C$105,MATCH(D1477,Exercises!$B$6:$B$105,0)),"Other"))</f>
        <v/>
      </c>
      <c r="V1477">
        <f>IF(B1477="","",IF(COUNTIF($B$6:B1477,B1477)=1,1,0))</f>
        <v/>
      </c>
      <c r="W1477">
        <f>IF(B1477="","",B1477-WEEKDAY(B1477,3))</f>
        <v/>
      </c>
      <c r="X1477">
        <f>IF(D1477="","",MAX(IF(N(F1477)=0,0,IF(N(E1477)&gt;0,E1477*(1+F1477/30),F1477)),IF(N(H1477)=0,0,IF(N(G1477)&gt;0,G1477*(1+H1477/30),H1477)),IF(N(J1477)=0,0,IF(N(I1477)&gt;0,I1477*(1+J1477/30),J1477)),IF(N(L1477)=0,0,IF(N(K1477)&gt;0,K1477*(1+L1477/30),L1477)),IF(N(N1477)=0,0,IF(N(M1477)&gt;0,M1477*(1+N1477/30),N1477))))</f>
        <v/>
      </c>
      <c r="Y1477">
        <f>IF(N(X1477)=0,"",X1477+ROW()/1000000000)</f>
        <v/>
      </c>
      <c r="Z1477">
        <f>IF(Y1477="","",IF(COUNTIFS(Log!$D$6:$D$1505,D1477,Log!$Y$6:$Y$1505,"&gt;"&amp;Y1477)=0,1,0))</f>
        <v/>
      </c>
      <c r="AA1477">
        <f>IF(OR(B1477="",D1477=""),"",B1477+ROW()/10000000)</f>
        <v/>
      </c>
      <c r="AB1477">
        <f>IF(AA1477="","",IF(COUNTIFS(Log!$D$6:$D$1505,D1477,Log!$AA$6:$AA$1505,"&gt;"&amp;AA1477)=0,1,0))</f>
        <v/>
      </c>
      <c r="AC1477">
        <f>IF(S1477="New best",AA1477,"")</f>
        <v/>
      </c>
      <c r="AD1477">
        <f>ROW()</f>
        <v/>
      </c>
    </row>
    <row r="1478">
      <c r="A1478" s="1" t="n"/>
      <c r="B1478" s="21" t="n"/>
      <c r="C1478" s="22" t="n"/>
      <c r="D1478" s="23" t="n"/>
      <c r="E1478" s="24" t="n"/>
      <c r="F1478" s="24" t="n"/>
      <c r="G1478" s="24" t="n"/>
      <c r="H1478" s="24" t="n"/>
      <c r="I1478" s="24" t="n"/>
      <c r="J1478" s="24" t="n"/>
      <c r="K1478" s="24" t="n"/>
      <c r="L1478" s="24" t="n"/>
      <c r="M1478" s="24" t="n"/>
      <c r="N1478" s="24" t="n"/>
      <c r="O1478" s="15">
        <f>IF(D1478="","",COUNT(F1478,H1478,J1478,L1478,N1478))</f>
        <v/>
      </c>
      <c r="P1478" s="25">
        <f>IF(D1478="","",N(E1478)*N(F1478)+N(G1478)*N(H1478)+N(I1478)*N(J1478)+N(K1478)*N(L1478)+N(M1478)*N(N1478))</f>
        <v/>
      </c>
      <c r="Q1478" s="18">
        <f>IF(N(X1478)=0,"",IF(IF(N(F1478)=0,0,IF(N(E1478)&gt;0,E1478*(1+F1478/30),F1478))=X1478,IF(N(E1478)&gt;0,E1478&amp;" x "&amp;F1478,F1478&amp;" reps"),IF(IF(N(H1478)=0,0,IF(N(G1478)&gt;0,G1478*(1+H1478/30),H1478))=X1478,IF(N(G1478)&gt;0,G1478&amp;" x "&amp;H1478,H1478&amp;" reps"),IF(IF(N(J1478)=0,0,IF(N(I1478)&gt;0,I1478*(1+J1478/30),J1478))=X1478,IF(N(I1478)&gt;0,I1478&amp;" x "&amp;J1478,J1478&amp;" reps"),IF(IF(N(L1478)=0,0,IF(N(K1478)&gt;0,K1478*(1+L1478/30),L1478))=X1478,IF(N(K1478)&gt;0,K1478&amp;" x "&amp;L1478,L1478&amp;" reps"),IF(IF(N(N1478)=0,0,IF(N(M1478)&gt;0,M1478*(1+N1478/30),N1478))=X1478,IF(N(M1478)&gt;0,M1478&amp;" x "&amp;N1478,N1478&amp;" reps"),""))))))</f>
        <v/>
      </c>
      <c r="R1478" s="20">
        <f>IF(N(X1478)=0,"",ROUND(X1478,1))</f>
        <v/>
      </c>
      <c r="S1478" s="18">
        <f>IF(N(X1478)=0,"",IF(AND(COUNTIFS(Log!$D$6:$D$1505,D1478,Log!$B$6:$B$1505,"&lt;"&amp;B1478)&gt;0,COUNTIFS(Log!$D$6:$D$1505,D1478,Log!$B$6:$B$1505,"&lt;"&amp;B1478,Log!$X$6:$X$1505,"&gt;="&amp;X1478)=0),"New best",""))</f>
        <v/>
      </c>
      <c r="T1478" s="26" t="n"/>
      <c r="U1478" s="1">
        <f>IF(D1478="","",IFERROR(INDEX(Exercises!$C$6:$C$105,MATCH(D1478,Exercises!$B$6:$B$105,0)),"Other"))</f>
        <v/>
      </c>
      <c r="V1478">
        <f>IF(B1478="","",IF(COUNTIF($B$6:B1478,B1478)=1,1,0))</f>
        <v/>
      </c>
      <c r="W1478">
        <f>IF(B1478="","",B1478-WEEKDAY(B1478,3))</f>
        <v/>
      </c>
      <c r="X1478">
        <f>IF(D1478="","",MAX(IF(N(F1478)=0,0,IF(N(E1478)&gt;0,E1478*(1+F1478/30),F1478)),IF(N(H1478)=0,0,IF(N(G1478)&gt;0,G1478*(1+H1478/30),H1478)),IF(N(J1478)=0,0,IF(N(I1478)&gt;0,I1478*(1+J1478/30),J1478)),IF(N(L1478)=0,0,IF(N(K1478)&gt;0,K1478*(1+L1478/30),L1478)),IF(N(N1478)=0,0,IF(N(M1478)&gt;0,M1478*(1+N1478/30),N1478))))</f>
        <v/>
      </c>
      <c r="Y1478">
        <f>IF(N(X1478)=0,"",X1478+ROW()/1000000000)</f>
        <v/>
      </c>
      <c r="Z1478">
        <f>IF(Y1478="","",IF(COUNTIFS(Log!$D$6:$D$1505,D1478,Log!$Y$6:$Y$1505,"&gt;"&amp;Y1478)=0,1,0))</f>
        <v/>
      </c>
      <c r="AA1478">
        <f>IF(OR(B1478="",D1478=""),"",B1478+ROW()/10000000)</f>
        <v/>
      </c>
      <c r="AB1478">
        <f>IF(AA1478="","",IF(COUNTIFS(Log!$D$6:$D$1505,D1478,Log!$AA$6:$AA$1505,"&gt;"&amp;AA1478)=0,1,0))</f>
        <v/>
      </c>
      <c r="AC1478">
        <f>IF(S1478="New best",AA1478,"")</f>
        <v/>
      </c>
      <c r="AD1478">
        <f>ROW()</f>
        <v/>
      </c>
    </row>
    <row r="1479">
      <c r="A1479" s="1" t="n"/>
      <c r="B1479" s="21" t="n"/>
      <c r="C1479" s="22" t="n"/>
      <c r="D1479" s="23" t="n"/>
      <c r="E1479" s="24" t="n"/>
      <c r="F1479" s="24" t="n"/>
      <c r="G1479" s="24" t="n"/>
      <c r="H1479" s="24" t="n"/>
      <c r="I1479" s="24" t="n"/>
      <c r="J1479" s="24" t="n"/>
      <c r="K1479" s="24" t="n"/>
      <c r="L1479" s="24" t="n"/>
      <c r="M1479" s="24" t="n"/>
      <c r="N1479" s="24" t="n"/>
      <c r="O1479" s="15">
        <f>IF(D1479="","",COUNT(F1479,H1479,J1479,L1479,N1479))</f>
        <v/>
      </c>
      <c r="P1479" s="25">
        <f>IF(D1479="","",N(E1479)*N(F1479)+N(G1479)*N(H1479)+N(I1479)*N(J1479)+N(K1479)*N(L1479)+N(M1479)*N(N1479))</f>
        <v/>
      </c>
      <c r="Q1479" s="18">
        <f>IF(N(X1479)=0,"",IF(IF(N(F1479)=0,0,IF(N(E1479)&gt;0,E1479*(1+F1479/30),F1479))=X1479,IF(N(E1479)&gt;0,E1479&amp;" x "&amp;F1479,F1479&amp;" reps"),IF(IF(N(H1479)=0,0,IF(N(G1479)&gt;0,G1479*(1+H1479/30),H1479))=X1479,IF(N(G1479)&gt;0,G1479&amp;" x "&amp;H1479,H1479&amp;" reps"),IF(IF(N(J1479)=0,0,IF(N(I1479)&gt;0,I1479*(1+J1479/30),J1479))=X1479,IF(N(I1479)&gt;0,I1479&amp;" x "&amp;J1479,J1479&amp;" reps"),IF(IF(N(L1479)=0,0,IF(N(K1479)&gt;0,K1479*(1+L1479/30),L1479))=X1479,IF(N(K1479)&gt;0,K1479&amp;" x "&amp;L1479,L1479&amp;" reps"),IF(IF(N(N1479)=0,0,IF(N(M1479)&gt;0,M1479*(1+N1479/30),N1479))=X1479,IF(N(M1479)&gt;0,M1479&amp;" x "&amp;N1479,N1479&amp;" reps"),""))))))</f>
        <v/>
      </c>
      <c r="R1479" s="20">
        <f>IF(N(X1479)=0,"",ROUND(X1479,1))</f>
        <v/>
      </c>
      <c r="S1479" s="18">
        <f>IF(N(X1479)=0,"",IF(AND(COUNTIFS(Log!$D$6:$D$1505,D1479,Log!$B$6:$B$1505,"&lt;"&amp;B1479)&gt;0,COUNTIFS(Log!$D$6:$D$1505,D1479,Log!$B$6:$B$1505,"&lt;"&amp;B1479,Log!$X$6:$X$1505,"&gt;="&amp;X1479)=0),"New best",""))</f>
        <v/>
      </c>
      <c r="T1479" s="26" t="n"/>
      <c r="U1479" s="1">
        <f>IF(D1479="","",IFERROR(INDEX(Exercises!$C$6:$C$105,MATCH(D1479,Exercises!$B$6:$B$105,0)),"Other"))</f>
        <v/>
      </c>
      <c r="V1479">
        <f>IF(B1479="","",IF(COUNTIF($B$6:B1479,B1479)=1,1,0))</f>
        <v/>
      </c>
      <c r="W1479">
        <f>IF(B1479="","",B1479-WEEKDAY(B1479,3))</f>
        <v/>
      </c>
      <c r="X1479">
        <f>IF(D1479="","",MAX(IF(N(F1479)=0,0,IF(N(E1479)&gt;0,E1479*(1+F1479/30),F1479)),IF(N(H1479)=0,0,IF(N(G1479)&gt;0,G1479*(1+H1479/30),H1479)),IF(N(J1479)=0,0,IF(N(I1479)&gt;0,I1479*(1+J1479/30),J1479)),IF(N(L1479)=0,0,IF(N(K1479)&gt;0,K1479*(1+L1479/30),L1479)),IF(N(N1479)=0,0,IF(N(M1479)&gt;0,M1479*(1+N1479/30),N1479))))</f>
        <v/>
      </c>
      <c r="Y1479">
        <f>IF(N(X1479)=0,"",X1479+ROW()/1000000000)</f>
        <v/>
      </c>
      <c r="Z1479">
        <f>IF(Y1479="","",IF(COUNTIFS(Log!$D$6:$D$1505,D1479,Log!$Y$6:$Y$1505,"&gt;"&amp;Y1479)=0,1,0))</f>
        <v/>
      </c>
      <c r="AA1479">
        <f>IF(OR(B1479="",D1479=""),"",B1479+ROW()/10000000)</f>
        <v/>
      </c>
      <c r="AB1479">
        <f>IF(AA1479="","",IF(COUNTIFS(Log!$D$6:$D$1505,D1479,Log!$AA$6:$AA$1505,"&gt;"&amp;AA1479)=0,1,0))</f>
        <v/>
      </c>
      <c r="AC1479">
        <f>IF(S1479="New best",AA1479,"")</f>
        <v/>
      </c>
      <c r="AD1479">
        <f>ROW()</f>
        <v/>
      </c>
    </row>
    <row r="1480">
      <c r="A1480" s="1" t="n"/>
      <c r="B1480" s="21" t="n"/>
      <c r="C1480" s="22" t="n"/>
      <c r="D1480" s="23" t="n"/>
      <c r="E1480" s="24" t="n"/>
      <c r="F1480" s="24" t="n"/>
      <c r="G1480" s="24" t="n"/>
      <c r="H1480" s="24" t="n"/>
      <c r="I1480" s="24" t="n"/>
      <c r="J1480" s="24" t="n"/>
      <c r="K1480" s="24" t="n"/>
      <c r="L1480" s="24" t="n"/>
      <c r="M1480" s="24" t="n"/>
      <c r="N1480" s="24" t="n"/>
      <c r="O1480" s="15">
        <f>IF(D1480="","",COUNT(F1480,H1480,J1480,L1480,N1480))</f>
        <v/>
      </c>
      <c r="P1480" s="25">
        <f>IF(D1480="","",N(E1480)*N(F1480)+N(G1480)*N(H1480)+N(I1480)*N(J1480)+N(K1480)*N(L1480)+N(M1480)*N(N1480))</f>
        <v/>
      </c>
      <c r="Q1480" s="18">
        <f>IF(N(X1480)=0,"",IF(IF(N(F1480)=0,0,IF(N(E1480)&gt;0,E1480*(1+F1480/30),F1480))=X1480,IF(N(E1480)&gt;0,E1480&amp;" x "&amp;F1480,F1480&amp;" reps"),IF(IF(N(H1480)=0,0,IF(N(G1480)&gt;0,G1480*(1+H1480/30),H1480))=X1480,IF(N(G1480)&gt;0,G1480&amp;" x "&amp;H1480,H1480&amp;" reps"),IF(IF(N(J1480)=0,0,IF(N(I1480)&gt;0,I1480*(1+J1480/30),J1480))=X1480,IF(N(I1480)&gt;0,I1480&amp;" x "&amp;J1480,J1480&amp;" reps"),IF(IF(N(L1480)=0,0,IF(N(K1480)&gt;0,K1480*(1+L1480/30),L1480))=X1480,IF(N(K1480)&gt;0,K1480&amp;" x "&amp;L1480,L1480&amp;" reps"),IF(IF(N(N1480)=0,0,IF(N(M1480)&gt;0,M1480*(1+N1480/30),N1480))=X1480,IF(N(M1480)&gt;0,M1480&amp;" x "&amp;N1480,N1480&amp;" reps"),""))))))</f>
        <v/>
      </c>
      <c r="R1480" s="20">
        <f>IF(N(X1480)=0,"",ROUND(X1480,1))</f>
        <v/>
      </c>
      <c r="S1480" s="18">
        <f>IF(N(X1480)=0,"",IF(AND(COUNTIFS(Log!$D$6:$D$1505,D1480,Log!$B$6:$B$1505,"&lt;"&amp;B1480)&gt;0,COUNTIFS(Log!$D$6:$D$1505,D1480,Log!$B$6:$B$1505,"&lt;"&amp;B1480,Log!$X$6:$X$1505,"&gt;="&amp;X1480)=0),"New best",""))</f>
        <v/>
      </c>
      <c r="T1480" s="26" t="n"/>
      <c r="U1480" s="1">
        <f>IF(D1480="","",IFERROR(INDEX(Exercises!$C$6:$C$105,MATCH(D1480,Exercises!$B$6:$B$105,0)),"Other"))</f>
        <v/>
      </c>
      <c r="V1480">
        <f>IF(B1480="","",IF(COUNTIF($B$6:B1480,B1480)=1,1,0))</f>
        <v/>
      </c>
      <c r="W1480">
        <f>IF(B1480="","",B1480-WEEKDAY(B1480,3))</f>
        <v/>
      </c>
      <c r="X1480">
        <f>IF(D1480="","",MAX(IF(N(F1480)=0,0,IF(N(E1480)&gt;0,E1480*(1+F1480/30),F1480)),IF(N(H1480)=0,0,IF(N(G1480)&gt;0,G1480*(1+H1480/30),H1480)),IF(N(J1480)=0,0,IF(N(I1480)&gt;0,I1480*(1+J1480/30),J1480)),IF(N(L1480)=0,0,IF(N(K1480)&gt;0,K1480*(1+L1480/30),L1480)),IF(N(N1480)=0,0,IF(N(M1480)&gt;0,M1480*(1+N1480/30),N1480))))</f>
        <v/>
      </c>
      <c r="Y1480">
        <f>IF(N(X1480)=0,"",X1480+ROW()/1000000000)</f>
        <v/>
      </c>
      <c r="Z1480">
        <f>IF(Y1480="","",IF(COUNTIFS(Log!$D$6:$D$1505,D1480,Log!$Y$6:$Y$1505,"&gt;"&amp;Y1480)=0,1,0))</f>
        <v/>
      </c>
      <c r="AA1480">
        <f>IF(OR(B1480="",D1480=""),"",B1480+ROW()/10000000)</f>
        <v/>
      </c>
      <c r="AB1480">
        <f>IF(AA1480="","",IF(COUNTIFS(Log!$D$6:$D$1505,D1480,Log!$AA$6:$AA$1505,"&gt;"&amp;AA1480)=0,1,0))</f>
        <v/>
      </c>
      <c r="AC1480">
        <f>IF(S1480="New best",AA1480,"")</f>
        <v/>
      </c>
      <c r="AD1480">
        <f>ROW()</f>
        <v/>
      </c>
    </row>
    <row r="1481">
      <c r="A1481" s="1" t="n"/>
      <c r="B1481" s="21" t="n"/>
      <c r="C1481" s="22" t="n"/>
      <c r="D1481" s="23" t="n"/>
      <c r="E1481" s="24" t="n"/>
      <c r="F1481" s="24" t="n"/>
      <c r="G1481" s="24" t="n"/>
      <c r="H1481" s="24" t="n"/>
      <c r="I1481" s="24" t="n"/>
      <c r="J1481" s="24" t="n"/>
      <c r="K1481" s="24" t="n"/>
      <c r="L1481" s="24" t="n"/>
      <c r="M1481" s="24" t="n"/>
      <c r="N1481" s="24" t="n"/>
      <c r="O1481" s="15">
        <f>IF(D1481="","",COUNT(F1481,H1481,J1481,L1481,N1481))</f>
        <v/>
      </c>
      <c r="P1481" s="25">
        <f>IF(D1481="","",N(E1481)*N(F1481)+N(G1481)*N(H1481)+N(I1481)*N(J1481)+N(K1481)*N(L1481)+N(M1481)*N(N1481))</f>
        <v/>
      </c>
      <c r="Q1481" s="18">
        <f>IF(N(X1481)=0,"",IF(IF(N(F1481)=0,0,IF(N(E1481)&gt;0,E1481*(1+F1481/30),F1481))=X1481,IF(N(E1481)&gt;0,E1481&amp;" x "&amp;F1481,F1481&amp;" reps"),IF(IF(N(H1481)=0,0,IF(N(G1481)&gt;0,G1481*(1+H1481/30),H1481))=X1481,IF(N(G1481)&gt;0,G1481&amp;" x "&amp;H1481,H1481&amp;" reps"),IF(IF(N(J1481)=0,0,IF(N(I1481)&gt;0,I1481*(1+J1481/30),J1481))=X1481,IF(N(I1481)&gt;0,I1481&amp;" x "&amp;J1481,J1481&amp;" reps"),IF(IF(N(L1481)=0,0,IF(N(K1481)&gt;0,K1481*(1+L1481/30),L1481))=X1481,IF(N(K1481)&gt;0,K1481&amp;" x "&amp;L1481,L1481&amp;" reps"),IF(IF(N(N1481)=0,0,IF(N(M1481)&gt;0,M1481*(1+N1481/30),N1481))=X1481,IF(N(M1481)&gt;0,M1481&amp;" x "&amp;N1481,N1481&amp;" reps"),""))))))</f>
        <v/>
      </c>
      <c r="R1481" s="20">
        <f>IF(N(X1481)=0,"",ROUND(X1481,1))</f>
        <v/>
      </c>
      <c r="S1481" s="18">
        <f>IF(N(X1481)=0,"",IF(AND(COUNTIFS(Log!$D$6:$D$1505,D1481,Log!$B$6:$B$1505,"&lt;"&amp;B1481)&gt;0,COUNTIFS(Log!$D$6:$D$1505,D1481,Log!$B$6:$B$1505,"&lt;"&amp;B1481,Log!$X$6:$X$1505,"&gt;="&amp;X1481)=0),"New best",""))</f>
        <v/>
      </c>
      <c r="T1481" s="26" t="n"/>
      <c r="U1481" s="1">
        <f>IF(D1481="","",IFERROR(INDEX(Exercises!$C$6:$C$105,MATCH(D1481,Exercises!$B$6:$B$105,0)),"Other"))</f>
        <v/>
      </c>
      <c r="V1481">
        <f>IF(B1481="","",IF(COUNTIF($B$6:B1481,B1481)=1,1,0))</f>
        <v/>
      </c>
      <c r="W1481">
        <f>IF(B1481="","",B1481-WEEKDAY(B1481,3))</f>
        <v/>
      </c>
      <c r="X1481">
        <f>IF(D1481="","",MAX(IF(N(F1481)=0,0,IF(N(E1481)&gt;0,E1481*(1+F1481/30),F1481)),IF(N(H1481)=0,0,IF(N(G1481)&gt;0,G1481*(1+H1481/30),H1481)),IF(N(J1481)=0,0,IF(N(I1481)&gt;0,I1481*(1+J1481/30),J1481)),IF(N(L1481)=0,0,IF(N(K1481)&gt;0,K1481*(1+L1481/30),L1481)),IF(N(N1481)=0,0,IF(N(M1481)&gt;0,M1481*(1+N1481/30),N1481))))</f>
        <v/>
      </c>
      <c r="Y1481">
        <f>IF(N(X1481)=0,"",X1481+ROW()/1000000000)</f>
        <v/>
      </c>
      <c r="Z1481">
        <f>IF(Y1481="","",IF(COUNTIFS(Log!$D$6:$D$1505,D1481,Log!$Y$6:$Y$1505,"&gt;"&amp;Y1481)=0,1,0))</f>
        <v/>
      </c>
      <c r="AA1481">
        <f>IF(OR(B1481="",D1481=""),"",B1481+ROW()/10000000)</f>
        <v/>
      </c>
      <c r="AB1481">
        <f>IF(AA1481="","",IF(COUNTIFS(Log!$D$6:$D$1505,D1481,Log!$AA$6:$AA$1505,"&gt;"&amp;AA1481)=0,1,0))</f>
        <v/>
      </c>
      <c r="AC1481">
        <f>IF(S1481="New best",AA1481,"")</f>
        <v/>
      </c>
      <c r="AD1481">
        <f>ROW()</f>
        <v/>
      </c>
    </row>
    <row r="1482">
      <c r="A1482" s="1" t="n"/>
      <c r="B1482" s="21" t="n"/>
      <c r="C1482" s="22" t="n"/>
      <c r="D1482" s="23" t="n"/>
      <c r="E1482" s="24" t="n"/>
      <c r="F1482" s="24" t="n"/>
      <c r="G1482" s="24" t="n"/>
      <c r="H1482" s="24" t="n"/>
      <c r="I1482" s="24" t="n"/>
      <c r="J1482" s="24" t="n"/>
      <c r="K1482" s="24" t="n"/>
      <c r="L1482" s="24" t="n"/>
      <c r="M1482" s="24" t="n"/>
      <c r="N1482" s="24" t="n"/>
      <c r="O1482" s="15">
        <f>IF(D1482="","",COUNT(F1482,H1482,J1482,L1482,N1482))</f>
        <v/>
      </c>
      <c r="P1482" s="25">
        <f>IF(D1482="","",N(E1482)*N(F1482)+N(G1482)*N(H1482)+N(I1482)*N(J1482)+N(K1482)*N(L1482)+N(M1482)*N(N1482))</f>
        <v/>
      </c>
      <c r="Q1482" s="18">
        <f>IF(N(X1482)=0,"",IF(IF(N(F1482)=0,0,IF(N(E1482)&gt;0,E1482*(1+F1482/30),F1482))=X1482,IF(N(E1482)&gt;0,E1482&amp;" x "&amp;F1482,F1482&amp;" reps"),IF(IF(N(H1482)=0,0,IF(N(G1482)&gt;0,G1482*(1+H1482/30),H1482))=X1482,IF(N(G1482)&gt;0,G1482&amp;" x "&amp;H1482,H1482&amp;" reps"),IF(IF(N(J1482)=0,0,IF(N(I1482)&gt;0,I1482*(1+J1482/30),J1482))=X1482,IF(N(I1482)&gt;0,I1482&amp;" x "&amp;J1482,J1482&amp;" reps"),IF(IF(N(L1482)=0,0,IF(N(K1482)&gt;0,K1482*(1+L1482/30),L1482))=X1482,IF(N(K1482)&gt;0,K1482&amp;" x "&amp;L1482,L1482&amp;" reps"),IF(IF(N(N1482)=0,0,IF(N(M1482)&gt;0,M1482*(1+N1482/30),N1482))=X1482,IF(N(M1482)&gt;0,M1482&amp;" x "&amp;N1482,N1482&amp;" reps"),""))))))</f>
        <v/>
      </c>
      <c r="R1482" s="20">
        <f>IF(N(X1482)=0,"",ROUND(X1482,1))</f>
        <v/>
      </c>
      <c r="S1482" s="18">
        <f>IF(N(X1482)=0,"",IF(AND(COUNTIFS(Log!$D$6:$D$1505,D1482,Log!$B$6:$B$1505,"&lt;"&amp;B1482)&gt;0,COUNTIFS(Log!$D$6:$D$1505,D1482,Log!$B$6:$B$1505,"&lt;"&amp;B1482,Log!$X$6:$X$1505,"&gt;="&amp;X1482)=0),"New best",""))</f>
        <v/>
      </c>
      <c r="T1482" s="26" t="n"/>
      <c r="U1482" s="1">
        <f>IF(D1482="","",IFERROR(INDEX(Exercises!$C$6:$C$105,MATCH(D1482,Exercises!$B$6:$B$105,0)),"Other"))</f>
        <v/>
      </c>
      <c r="V1482">
        <f>IF(B1482="","",IF(COUNTIF($B$6:B1482,B1482)=1,1,0))</f>
        <v/>
      </c>
      <c r="W1482">
        <f>IF(B1482="","",B1482-WEEKDAY(B1482,3))</f>
        <v/>
      </c>
      <c r="X1482">
        <f>IF(D1482="","",MAX(IF(N(F1482)=0,0,IF(N(E1482)&gt;0,E1482*(1+F1482/30),F1482)),IF(N(H1482)=0,0,IF(N(G1482)&gt;0,G1482*(1+H1482/30),H1482)),IF(N(J1482)=0,0,IF(N(I1482)&gt;0,I1482*(1+J1482/30),J1482)),IF(N(L1482)=0,0,IF(N(K1482)&gt;0,K1482*(1+L1482/30),L1482)),IF(N(N1482)=0,0,IF(N(M1482)&gt;0,M1482*(1+N1482/30),N1482))))</f>
        <v/>
      </c>
      <c r="Y1482">
        <f>IF(N(X1482)=0,"",X1482+ROW()/1000000000)</f>
        <v/>
      </c>
      <c r="Z1482">
        <f>IF(Y1482="","",IF(COUNTIFS(Log!$D$6:$D$1505,D1482,Log!$Y$6:$Y$1505,"&gt;"&amp;Y1482)=0,1,0))</f>
        <v/>
      </c>
      <c r="AA1482">
        <f>IF(OR(B1482="",D1482=""),"",B1482+ROW()/10000000)</f>
        <v/>
      </c>
      <c r="AB1482">
        <f>IF(AA1482="","",IF(COUNTIFS(Log!$D$6:$D$1505,D1482,Log!$AA$6:$AA$1505,"&gt;"&amp;AA1482)=0,1,0))</f>
        <v/>
      </c>
      <c r="AC1482">
        <f>IF(S1482="New best",AA1482,"")</f>
        <v/>
      </c>
      <c r="AD1482">
        <f>ROW()</f>
        <v/>
      </c>
    </row>
    <row r="1483">
      <c r="A1483" s="1" t="n"/>
      <c r="B1483" s="21" t="n"/>
      <c r="C1483" s="22" t="n"/>
      <c r="D1483" s="23" t="n"/>
      <c r="E1483" s="24" t="n"/>
      <c r="F1483" s="24" t="n"/>
      <c r="G1483" s="24" t="n"/>
      <c r="H1483" s="24" t="n"/>
      <c r="I1483" s="24" t="n"/>
      <c r="J1483" s="24" t="n"/>
      <c r="K1483" s="24" t="n"/>
      <c r="L1483" s="24" t="n"/>
      <c r="M1483" s="24" t="n"/>
      <c r="N1483" s="24" t="n"/>
      <c r="O1483" s="15">
        <f>IF(D1483="","",COUNT(F1483,H1483,J1483,L1483,N1483))</f>
        <v/>
      </c>
      <c r="P1483" s="25">
        <f>IF(D1483="","",N(E1483)*N(F1483)+N(G1483)*N(H1483)+N(I1483)*N(J1483)+N(K1483)*N(L1483)+N(M1483)*N(N1483))</f>
        <v/>
      </c>
      <c r="Q1483" s="18">
        <f>IF(N(X1483)=0,"",IF(IF(N(F1483)=0,0,IF(N(E1483)&gt;0,E1483*(1+F1483/30),F1483))=X1483,IF(N(E1483)&gt;0,E1483&amp;" x "&amp;F1483,F1483&amp;" reps"),IF(IF(N(H1483)=0,0,IF(N(G1483)&gt;0,G1483*(1+H1483/30),H1483))=X1483,IF(N(G1483)&gt;0,G1483&amp;" x "&amp;H1483,H1483&amp;" reps"),IF(IF(N(J1483)=0,0,IF(N(I1483)&gt;0,I1483*(1+J1483/30),J1483))=X1483,IF(N(I1483)&gt;0,I1483&amp;" x "&amp;J1483,J1483&amp;" reps"),IF(IF(N(L1483)=0,0,IF(N(K1483)&gt;0,K1483*(1+L1483/30),L1483))=X1483,IF(N(K1483)&gt;0,K1483&amp;" x "&amp;L1483,L1483&amp;" reps"),IF(IF(N(N1483)=0,0,IF(N(M1483)&gt;0,M1483*(1+N1483/30),N1483))=X1483,IF(N(M1483)&gt;0,M1483&amp;" x "&amp;N1483,N1483&amp;" reps"),""))))))</f>
        <v/>
      </c>
      <c r="R1483" s="20">
        <f>IF(N(X1483)=0,"",ROUND(X1483,1))</f>
        <v/>
      </c>
      <c r="S1483" s="18">
        <f>IF(N(X1483)=0,"",IF(AND(COUNTIFS(Log!$D$6:$D$1505,D1483,Log!$B$6:$B$1505,"&lt;"&amp;B1483)&gt;0,COUNTIFS(Log!$D$6:$D$1505,D1483,Log!$B$6:$B$1505,"&lt;"&amp;B1483,Log!$X$6:$X$1505,"&gt;="&amp;X1483)=0),"New best",""))</f>
        <v/>
      </c>
      <c r="T1483" s="26" t="n"/>
      <c r="U1483" s="1">
        <f>IF(D1483="","",IFERROR(INDEX(Exercises!$C$6:$C$105,MATCH(D1483,Exercises!$B$6:$B$105,0)),"Other"))</f>
        <v/>
      </c>
      <c r="V1483">
        <f>IF(B1483="","",IF(COUNTIF($B$6:B1483,B1483)=1,1,0))</f>
        <v/>
      </c>
      <c r="W1483">
        <f>IF(B1483="","",B1483-WEEKDAY(B1483,3))</f>
        <v/>
      </c>
      <c r="X1483">
        <f>IF(D1483="","",MAX(IF(N(F1483)=0,0,IF(N(E1483)&gt;0,E1483*(1+F1483/30),F1483)),IF(N(H1483)=0,0,IF(N(G1483)&gt;0,G1483*(1+H1483/30),H1483)),IF(N(J1483)=0,0,IF(N(I1483)&gt;0,I1483*(1+J1483/30),J1483)),IF(N(L1483)=0,0,IF(N(K1483)&gt;0,K1483*(1+L1483/30),L1483)),IF(N(N1483)=0,0,IF(N(M1483)&gt;0,M1483*(1+N1483/30),N1483))))</f>
        <v/>
      </c>
      <c r="Y1483">
        <f>IF(N(X1483)=0,"",X1483+ROW()/1000000000)</f>
        <v/>
      </c>
      <c r="Z1483">
        <f>IF(Y1483="","",IF(COUNTIFS(Log!$D$6:$D$1505,D1483,Log!$Y$6:$Y$1505,"&gt;"&amp;Y1483)=0,1,0))</f>
        <v/>
      </c>
      <c r="AA1483">
        <f>IF(OR(B1483="",D1483=""),"",B1483+ROW()/10000000)</f>
        <v/>
      </c>
      <c r="AB1483">
        <f>IF(AA1483="","",IF(COUNTIFS(Log!$D$6:$D$1505,D1483,Log!$AA$6:$AA$1505,"&gt;"&amp;AA1483)=0,1,0))</f>
        <v/>
      </c>
      <c r="AC1483">
        <f>IF(S1483="New best",AA1483,"")</f>
        <v/>
      </c>
      <c r="AD1483">
        <f>ROW()</f>
        <v/>
      </c>
    </row>
    <row r="1484">
      <c r="A1484" s="1" t="n"/>
      <c r="B1484" s="21" t="n"/>
      <c r="C1484" s="22" t="n"/>
      <c r="D1484" s="23" t="n"/>
      <c r="E1484" s="24" t="n"/>
      <c r="F1484" s="24" t="n"/>
      <c r="G1484" s="24" t="n"/>
      <c r="H1484" s="24" t="n"/>
      <c r="I1484" s="24" t="n"/>
      <c r="J1484" s="24" t="n"/>
      <c r="K1484" s="24" t="n"/>
      <c r="L1484" s="24" t="n"/>
      <c r="M1484" s="24" t="n"/>
      <c r="N1484" s="24" t="n"/>
      <c r="O1484" s="15">
        <f>IF(D1484="","",COUNT(F1484,H1484,J1484,L1484,N1484))</f>
        <v/>
      </c>
      <c r="P1484" s="25">
        <f>IF(D1484="","",N(E1484)*N(F1484)+N(G1484)*N(H1484)+N(I1484)*N(J1484)+N(K1484)*N(L1484)+N(M1484)*N(N1484))</f>
        <v/>
      </c>
      <c r="Q1484" s="18">
        <f>IF(N(X1484)=0,"",IF(IF(N(F1484)=0,0,IF(N(E1484)&gt;0,E1484*(1+F1484/30),F1484))=X1484,IF(N(E1484)&gt;0,E1484&amp;" x "&amp;F1484,F1484&amp;" reps"),IF(IF(N(H1484)=0,0,IF(N(G1484)&gt;0,G1484*(1+H1484/30),H1484))=X1484,IF(N(G1484)&gt;0,G1484&amp;" x "&amp;H1484,H1484&amp;" reps"),IF(IF(N(J1484)=0,0,IF(N(I1484)&gt;0,I1484*(1+J1484/30),J1484))=X1484,IF(N(I1484)&gt;0,I1484&amp;" x "&amp;J1484,J1484&amp;" reps"),IF(IF(N(L1484)=0,0,IF(N(K1484)&gt;0,K1484*(1+L1484/30),L1484))=X1484,IF(N(K1484)&gt;0,K1484&amp;" x "&amp;L1484,L1484&amp;" reps"),IF(IF(N(N1484)=0,0,IF(N(M1484)&gt;0,M1484*(1+N1484/30),N1484))=X1484,IF(N(M1484)&gt;0,M1484&amp;" x "&amp;N1484,N1484&amp;" reps"),""))))))</f>
        <v/>
      </c>
      <c r="R1484" s="20">
        <f>IF(N(X1484)=0,"",ROUND(X1484,1))</f>
        <v/>
      </c>
      <c r="S1484" s="18">
        <f>IF(N(X1484)=0,"",IF(AND(COUNTIFS(Log!$D$6:$D$1505,D1484,Log!$B$6:$B$1505,"&lt;"&amp;B1484)&gt;0,COUNTIFS(Log!$D$6:$D$1505,D1484,Log!$B$6:$B$1505,"&lt;"&amp;B1484,Log!$X$6:$X$1505,"&gt;="&amp;X1484)=0),"New best",""))</f>
        <v/>
      </c>
      <c r="T1484" s="26" t="n"/>
      <c r="U1484" s="1">
        <f>IF(D1484="","",IFERROR(INDEX(Exercises!$C$6:$C$105,MATCH(D1484,Exercises!$B$6:$B$105,0)),"Other"))</f>
        <v/>
      </c>
      <c r="V1484">
        <f>IF(B1484="","",IF(COUNTIF($B$6:B1484,B1484)=1,1,0))</f>
        <v/>
      </c>
      <c r="W1484">
        <f>IF(B1484="","",B1484-WEEKDAY(B1484,3))</f>
        <v/>
      </c>
      <c r="X1484">
        <f>IF(D1484="","",MAX(IF(N(F1484)=0,0,IF(N(E1484)&gt;0,E1484*(1+F1484/30),F1484)),IF(N(H1484)=0,0,IF(N(G1484)&gt;0,G1484*(1+H1484/30),H1484)),IF(N(J1484)=0,0,IF(N(I1484)&gt;0,I1484*(1+J1484/30),J1484)),IF(N(L1484)=0,0,IF(N(K1484)&gt;0,K1484*(1+L1484/30),L1484)),IF(N(N1484)=0,0,IF(N(M1484)&gt;0,M1484*(1+N1484/30),N1484))))</f>
        <v/>
      </c>
      <c r="Y1484">
        <f>IF(N(X1484)=0,"",X1484+ROW()/1000000000)</f>
        <v/>
      </c>
      <c r="Z1484">
        <f>IF(Y1484="","",IF(COUNTIFS(Log!$D$6:$D$1505,D1484,Log!$Y$6:$Y$1505,"&gt;"&amp;Y1484)=0,1,0))</f>
        <v/>
      </c>
      <c r="AA1484">
        <f>IF(OR(B1484="",D1484=""),"",B1484+ROW()/10000000)</f>
        <v/>
      </c>
      <c r="AB1484">
        <f>IF(AA1484="","",IF(COUNTIFS(Log!$D$6:$D$1505,D1484,Log!$AA$6:$AA$1505,"&gt;"&amp;AA1484)=0,1,0))</f>
        <v/>
      </c>
      <c r="AC1484">
        <f>IF(S1484="New best",AA1484,"")</f>
        <v/>
      </c>
      <c r="AD1484">
        <f>ROW()</f>
        <v/>
      </c>
    </row>
    <row r="1485">
      <c r="A1485" s="1" t="n"/>
      <c r="B1485" s="21" t="n"/>
      <c r="C1485" s="22" t="n"/>
      <c r="D1485" s="23" t="n"/>
      <c r="E1485" s="24" t="n"/>
      <c r="F1485" s="24" t="n"/>
      <c r="G1485" s="24" t="n"/>
      <c r="H1485" s="24" t="n"/>
      <c r="I1485" s="24" t="n"/>
      <c r="J1485" s="24" t="n"/>
      <c r="K1485" s="24" t="n"/>
      <c r="L1485" s="24" t="n"/>
      <c r="M1485" s="24" t="n"/>
      <c r="N1485" s="24" t="n"/>
      <c r="O1485" s="15">
        <f>IF(D1485="","",COUNT(F1485,H1485,J1485,L1485,N1485))</f>
        <v/>
      </c>
      <c r="P1485" s="25">
        <f>IF(D1485="","",N(E1485)*N(F1485)+N(G1485)*N(H1485)+N(I1485)*N(J1485)+N(K1485)*N(L1485)+N(M1485)*N(N1485))</f>
        <v/>
      </c>
      <c r="Q1485" s="18">
        <f>IF(N(X1485)=0,"",IF(IF(N(F1485)=0,0,IF(N(E1485)&gt;0,E1485*(1+F1485/30),F1485))=X1485,IF(N(E1485)&gt;0,E1485&amp;" x "&amp;F1485,F1485&amp;" reps"),IF(IF(N(H1485)=0,0,IF(N(G1485)&gt;0,G1485*(1+H1485/30),H1485))=X1485,IF(N(G1485)&gt;0,G1485&amp;" x "&amp;H1485,H1485&amp;" reps"),IF(IF(N(J1485)=0,0,IF(N(I1485)&gt;0,I1485*(1+J1485/30),J1485))=X1485,IF(N(I1485)&gt;0,I1485&amp;" x "&amp;J1485,J1485&amp;" reps"),IF(IF(N(L1485)=0,0,IF(N(K1485)&gt;0,K1485*(1+L1485/30),L1485))=X1485,IF(N(K1485)&gt;0,K1485&amp;" x "&amp;L1485,L1485&amp;" reps"),IF(IF(N(N1485)=0,0,IF(N(M1485)&gt;0,M1485*(1+N1485/30),N1485))=X1485,IF(N(M1485)&gt;0,M1485&amp;" x "&amp;N1485,N1485&amp;" reps"),""))))))</f>
        <v/>
      </c>
      <c r="R1485" s="20">
        <f>IF(N(X1485)=0,"",ROUND(X1485,1))</f>
        <v/>
      </c>
      <c r="S1485" s="18">
        <f>IF(N(X1485)=0,"",IF(AND(COUNTIFS(Log!$D$6:$D$1505,D1485,Log!$B$6:$B$1505,"&lt;"&amp;B1485)&gt;0,COUNTIFS(Log!$D$6:$D$1505,D1485,Log!$B$6:$B$1505,"&lt;"&amp;B1485,Log!$X$6:$X$1505,"&gt;="&amp;X1485)=0),"New best",""))</f>
        <v/>
      </c>
      <c r="T1485" s="26" t="n"/>
      <c r="U1485" s="1">
        <f>IF(D1485="","",IFERROR(INDEX(Exercises!$C$6:$C$105,MATCH(D1485,Exercises!$B$6:$B$105,0)),"Other"))</f>
        <v/>
      </c>
      <c r="V1485">
        <f>IF(B1485="","",IF(COUNTIF($B$6:B1485,B1485)=1,1,0))</f>
        <v/>
      </c>
      <c r="W1485">
        <f>IF(B1485="","",B1485-WEEKDAY(B1485,3))</f>
        <v/>
      </c>
      <c r="X1485">
        <f>IF(D1485="","",MAX(IF(N(F1485)=0,0,IF(N(E1485)&gt;0,E1485*(1+F1485/30),F1485)),IF(N(H1485)=0,0,IF(N(G1485)&gt;0,G1485*(1+H1485/30),H1485)),IF(N(J1485)=0,0,IF(N(I1485)&gt;0,I1485*(1+J1485/30),J1485)),IF(N(L1485)=0,0,IF(N(K1485)&gt;0,K1485*(1+L1485/30),L1485)),IF(N(N1485)=0,0,IF(N(M1485)&gt;0,M1485*(1+N1485/30),N1485))))</f>
        <v/>
      </c>
      <c r="Y1485">
        <f>IF(N(X1485)=0,"",X1485+ROW()/1000000000)</f>
        <v/>
      </c>
      <c r="Z1485">
        <f>IF(Y1485="","",IF(COUNTIFS(Log!$D$6:$D$1505,D1485,Log!$Y$6:$Y$1505,"&gt;"&amp;Y1485)=0,1,0))</f>
        <v/>
      </c>
      <c r="AA1485">
        <f>IF(OR(B1485="",D1485=""),"",B1485+ROW()/10000000)</f>
        <v/>
      </c>
      <c r="AB1485">
        <f>IF(AA1485="","",IF(COUNTIFS(Log!$D$6:$D$1505,D1485,Log!$AA$6:$AA$1505,"&gt;"&amp;AA1485)=0,1,0))</f>
        <v/>
      </c>
      <c r="AC1485">
        <f>IF(S1485="New best",AA1485,"")</f>
        <v/>
      </c>
      <c r="AD1485">
        <f>ROW()</f>
        <v/>
      </c>
    </row>
    <row r="1486">
      <c r="A1486" s="1" t="n"/>
      <c r="B1486" s="21" t="n"/>
      <c r="C1486" s="22" t="n"/>
      <c r="D1486" s="23" t="n"/>
      <c r="E1486" s="24" t="n"/>
      <c r="F1486" s="24" t="n"/>
      <c r="G1486" s="24" t="n"/>
      <c r="H1486" s="24" t="n"/>
      <c r="I1486" s="24" t="n"/>
      <c r="J1486" s="24" t="n"/>
      <c r="K1486" s="24" t="n"/>
      <c r="L1486" s="24" t="n"/>
      <c r="M1486" s="24" t="n"/>
      <c r="N1486" s="24" t="n"/>
      <c r="O1486" s="15">
        <f>IF(D1486="","",COUNT(F1486,H1486,J1486,L1486,N1486))</f>
        <v/>
      </c>
      <c r="P1486" s="25">
        <f>IF(D1486="","",N(E1486)*N(F1486)+N(G1486)*N(H1486)+N(I1486)*N(J1486)+N(K1486)*N(L1486)+N(M1486)*N(N1486))</f>
        <v/>
      </c>
      <c r="Q1486" s="18">
        <f>IF(N(X1486)=0,"",IF(IF(N(F1486)=0,0,IF(N(E1486)&gt;0,E1486*(1+F1486/30),F1486))=X1486,IF(N(E1486)&gt;0,E1486&amp;" x "&amp;F1486,F1486&amp;" reps"),IF(IF(N(H1486)=0,0,IF(N(G1486)&gt;0,G1486*(1+H1486/30),H1486))=X1486,IF(N(G1486)&gt;0,G1486&amp;" x "&amp;H1486,H1486&amp;" reps"),IF(IF(N(J1486)=0,0,IF(N(I1486)&gt;0,I1486*(1+J1486/30),J1486))=X1486,IF(N(I1486)&gt;0,I1486&amp;" x "&amp;J1486,J1486&amp;" reps"),IF(IF(N(L1486)=0,0,IF(N(K1486)&gt;0,K1486*(1+L1486/30),L1486))=X1486,IF(N(K1486)&gt;0,K1486&amp;" x "&amp;L1486,L1486&amp;" reps"),IF(IF(N(N1486)=0,0,IF(N(M1486)&gt;0,M1486*(1+N1486/30),N1486))=X1486,IF(N(M1486)&gt;0,M1486&amp;" x "&amp;N1486,N1486&amp;" reps"),""))))))</f>
        <v/>
      </c>
      <c r="R1486" s="20">
        <f>IF(N(X1486)=0,"",ROUND(X1486,1))</f>
        <v/>
      </c>
      <c r="S1486" s="18">
        <f>IF(N(X1486)=0,"",IF(AND(COUNTIFS(Log!$D$6:$D$1505,D1486,Log!$B$6:$B$1505,"&lt;"&amp;B1486)&gt;0,COUNTIFS(Log!$D$6:$D$1505,D1486,Log!$B$6:$B$1505,"&lt;"&amp;B1486,Log!$X$6:$X$1505,"&gt;="&amp;X1486)=0),"New best",""))</f>
        <v/>
      </c>
      <c r="T1486" s="26" t="n"/>
      <c r="U1486" s="1">
        <f>IF(D1486="","",IFERROR(INDEX(Exercises!$C$6:$C$105,MATCH(D1486,Exercises!$B$6:$B$105,0)),"Other"))</f>
        <v/>
      </c>
      <c r="V1486">
        <f>IF(B1486="","",IF(COUNTIF($B$6:B1486,B1486)=1,1,0))</f>
        <v/>
      </c>
      <c r="W1486">
        <f>IF(B1486="","",B1486-WEEKDAY(B1486,3))</f>
        <v/>
      </c>
      <c r="X1486">
        <f>IF(D1486="","",MAX(IF(N(F1486)=0,0,IF(N(E1486)&gt;0,E1486*(1+F1486/30),F1486)),IF(N(H1486)=0,0,IF(N(G1486)&gt;0,G1486*(1+H1486/30),H1486)),IF(N(J1486)=0,0,IF(N(I1486)&gt;0,I1486*(1+J1486/30),J1486)),IF(N(L1486)=0,0,IF(N(K1486)&gt;0,K1486*(1+L1486/30),L1486)),IF(N(N1486)=0,0,IF(N(M1486)&gt;0,M1486*(1+N1486/30),N1486))))</f>
        <v/>
      </c>
      <c r="Y1486">
        <f>IF(N(X1486)=0,"",X1486+ROW()/1000000000)</f>
        <v/>
      </c>
      <c r="Z1486">
        <f>IF(Y1486="","",IF(COUNTIFS(Log!$D$6:$D$1505,D1486,Log!$Y$6:$Y$1505,"&gt;"&amp;Y1486)=0,1,0))</f>
        <v/>
      </c>
      <c r="AA1486">
        <f>IF(OR(B1486="",D1486=""),"",B1486+ROW()/10000000)</f>
        <v/>
      </c>
      <c r="AB1486">
        <f>IF(AA1486="","",IF(COUNTIFS(Log!$D$6:$D$1505,D1486,Log!$AA$6:$AA$1505,"&gt;"&amp;AA1486)=0,1,0))</f>
        <v/>
      </c>
      <c r="AC1486">
        <f>IF(S1486="New best",AA1486,"")</f>
        <v/>
      </c>
      <c r="AD1486">
        <f>ROW()</f>
        <v/>
      </c>
    </row>
    <row r="1487">
      <c r="A1487" s="1" t="n"/>
      <c r="B1487" s="21" t="n"/>
      <c r="C1487" s="22" t="n"/>
      <c r="D1487" s="23" t="n"/>
      <c r="E1487" s="24" t="n"/>
      <c r="F1487" s="24" t="n"/>
      <c r="G1487" s="24" t="n"/>
      <c r="H1487" s="24" t="n"/>
      <c r="I1487" s="24" t="n"/>
      <c r="J1487" s="24" t="n"/>
      <c r="K1487" s="24" t="n"/>
      <c r="L1487" s="24" t="n"/>
      <c r="M1487" s="24" t="n"/>
      <c r="N1487" s="24" t="n"/>
      <c r="O1487" s="15">
        <f>IF(D1487="","",COUNT(F1487,H1487,J1487,L1487,N1487))</f>
        <v/>
      </c>
      <c r="P1487" s="25">
        <f>IF(D1487="","",N(E1487)*N(F1487)+N(G1487)*N(H1487)+N(I1487)*N(J1487)+N(K1487)*N(L1487)+N(M1487)*N(N1487))</f>
        <v/>
      </c>
      <c r="Q1487" s="18">
        <f>IF(N(X1487)=0,"",IF(IF(N(F1487)=0,0,IF(N(E1487)&gt;0,E1487*(1+F1487/30),F1487))=X1487,IF(N(E1487)&gt;0,E1487&amp;" x "&amp;F1487,F1487&amp;" reps"),IF(IF(N(H1487)=0,0,IF(N(G1487)&gt;0,G1487*(1+H1487/30),H1487))=X1487,IF(N(G1487)&gt;0,G1487&amp;" x "&amp;H1487,H1487&amp;" reps"),IF(IF(N(J1487)=0,0,IF(N(I1487)&gt;0,I1487*(1+J1487/30),J1487))=X1487,IF(N(I1487)&gt;0,I1487&amp;" x "&amp;J1487,J1487&amp;" reps"),IF(IF(N(L1487)=0,0,IF(N(K1487)&gt;0,K1487*(1+L1487/30),L1487))=X1487,IF(N(K1487)&gt;0,K1487&amp;" x "&amp;L1487,L1487&amp;" reps"),IF(IF(N(N1487)=0,0,IF(N(M1487)&gt;0,M1487*(1+N1487/30),N1487))=X1487,IF(N(M1487)&gt;0,M1487&amp;" x "&amp;N1487,N1487&amp;" reps"),""))))))</f>
        <v/>
      </c>
      <c r="R1487" s="20">
        <f>IF(N(X1487)=0,"",ROUND(X1487,1))</f>
        <v/>
      </c>
      <c r="S1487" s="18">
        <f>IF(N(X1487)=0,"",IF(AND(COUNTIFS(Log!$D$6:$D$1505,D1487,Log!$B$6:$B$1505,"&lt;"&amp;B1487)&gt;0,COUNTIFS(Log!$D$6:$D$1505,D1487,Log!$B$6:$B$1505,"&lt;"&amp;B1487,Log!$X$6:$X$1505,"&gt;="&amp;X1487)=0),"New best",""))</f>
        <v/>
      </c>
      <c r="T1487" s="26" t="n"/>
      <c r="U1487" s="1">
        <f>IF(D1487="","",IFERROR(INDEX(Exercises!$C$6:$C$105,MATCH(D1487,Exercises!$B$6:$B$105,0)),"Other"))</f>
        <v/>
      </c>
      <c r="V1487">
        <f>IF(B1487="","",IF(COUNTIF($B$6:B1487,B1487)=1,1,0))</f>
        <v/>
      </c>
      <c r="W1487">
        <f>IF(B1487="","",B1487-WEEKDAY(B1487,3))</f>
        <v/>
      </c>
      <c r="X1487">
        <f>IF(D1487="","",MAX(IF(N(F1487)=0,0,IF(N(E1487)&gt;0,E1487*(1+F1487/30),F1487)),IF(N(H1487)=0,0,IF(N(G1487)&gt;0,G1487*(1+H1487/30),H1487)),IF(N(J1487)=0,0,IF(N(I1487)&gt;0,I1487*(1+J1487/30),J1487)),IF(N(L1487)=0,0,IF(N(K1487)&gt;0,K1487*(1+L1487/30),L1487)),IF(N(N1487)=0,0,IF(N(M1487)&gt;0,M1487*(1+N1487/30),N1487))))</f>
        <v/>
      </c>
      <c r="Y1487">
        <f>IF(N(X1487)=0,"",X1487+ROW()/1000000000)</f>
        <v/>
      </c>
      <c r="Z1487">
        <f>IF(Y1487="","",IF(COUNTIFS(Log!$D$6:$D$1505,D1487,Log!$Y$6:$Y$1505,"&gt;"&amp;Y1487)=0,1,0))</f>
        <v/>
      </c>
      <c r="AA1487">
        <f>IF(OR(B1487="",D1487=""),"",B1487+ROW()/10000000)</f>
        <v/>
      </c>
      <c r="AB1487">
        <f>IF(AA1487="","",IF(COUNTIFS(Log!$D$6:$D$1505,D1487,Log!$AA$6:$AA$1505,"&gt;"&amp;AA1487)=0,1,0))</f>
        <v/>
      </c>
      <c r="AC1487">
        <f>IF(S1487="New best",AA1487,"")</f>
        <v/>
      </c>
      <c r="AD1487">
        <f>ROW()</f>
        <v/>
      </c>
    </row>
    <row r="1488">
      <c r="A1488" s="1" t="n"/>
      <c r="B1488" s="21" t="n"/>
      <c r="C1488" s="22" t="n"/>
      <c r="D1488" s="23" t="n"/>
      <c r="E1488" s="24" t="n"/>
      <c r="F1488" s="24" t="n"/>
      <c r="G1488" s="24" t="n"/>
      <c r="H1488" s="24" t="n"/>
      <c r="I1488" s="24" t="n"/>
      <c r="J1488" s="24" t="n"/>
      <c r="K1488" s="24" t="n"/>
      <c r="L1488" s="24" t="n"/>
      <c r="M1488" s="24" t="n"/>
      <c r="N1488" s="24" t="n"/>
      <c r="O1488" s="15">
        <f>IF(D1488="","",COUNT(F1488,H1488,J1488,L1488,N1488))</f>
        <v/>
      </c>
      <c r="P1488" s="25">
        <f>IF(D1488="","",N(E1488)*N(F1488)+N(G1488)*N(H1488)+N(I1488)*N(J1488)+N(K1488)*N(L1488)+N(M1488)*N(N1488))</f>
        <v/>
      </c>
      <c r="Q1488" s="18">
        <f>IF(N(X1488)=0,"",IF(IF(N(F1488)=0,0,IF(N(E1488)&gt;0,E1488*(1+F1488/30),F1488))=X1488,IF(N(E1488)&gt;0,E1488&amp;" x "&amp;F1488,F1488&amp;" reps"),IF(IF(N(H1488)=0,0,IF(N(G1488)&gt;0,G1488*(1+H1488/30),H1488))=X1488,IF(N(G1488)&gt;0,G1488&amp;" x "&amp;H1488,H1488&amp;" reps"),IF(IF(N(J1488)=0,0,IF(N(I1488)&gt;0,I1488*(1+J1488/30),J1488))=X1488,IF(N(I1488)&gt;0,I1488&amp;" x "&amp;J1488,J1488&amp;" reps"),IF(IF(N(L1488)=0,0,IF(N(K1488)&gt;0,K1488*(1+L1488/30),L1488))=X1488,IF(N(K1488)&gt;0,K1488&amp;" x "&amp;L1488,L1488&amp;" reps"),IF(IF(N(N1488)=0,0,IF(N(M1488)&gt;0,M1488*(1+N1488/30),N1488))=X1488,IF(N(M1488)&gt;0,M1488&amp;" x "&amp;N1488,N1488&amp;" reps"),""))))))</f>
        <v/>
      </c>
      <c r="R1488" s="20">
        <f>IF(N(X1488)=0,"",ROUND(X1488,1))</f>
        <v/>
      </c>
      <c r="S1488" s="18">
        <f>IF(N(X1488)=0,"",IF(AND(COUNTIFS(Log!$D$6:$D$1505,D1488,Log!$B$6:$B$1505,"&lt;"&amp;B1488)&gt;0,COUNTIFS(Log!$D$6:$D$1505,D1488,Log!$B$6:$B$1505,"&lt;"&amp;B1488,Log!$X$6:$X$1505,"&gt;="&amp;X1488)=0),"New best",""))</f>
        <v/>
      </c>
      <c r="T1488" s="26" t="n"/>
      <c r="U1488" s="1">
        <f>IF(D1488="","",IFERROR(INDEX(Exercises!$C$6:$C$105,MATCH(D1488,Exercises!$B$6:$B$105,0)),"Other"))</f>
        <v/>
      </c>
      <c r="V1488">
        <f>IF(B1488="","",IF(COUNTIF($B$6:B1488,B1488)=1,1,0))</f>
        <v/>
      </c>
      <c r="W1488">
        <f>IF(B1488="","",B1488-WEEKDAY(B1488,3))</f>
        <v/>
      </c>
      <c r="X1488">
        <f>IF(D1488="","",MAX(IF(N(F1488)=0,0,IF(N(E1488)&gt;0,E1488*(1+F1488/30),F1488)),IF(N(H1488)=0,0,IF(N(G1488)&gt;0,G1488*(1+H1488/30),H1488)),IF(N(J1488)=0,0,IF(N(I1488)&gt;0,I1488*(1+J1488/30),J1488)),IF(N(L1488)=0,0,IF(N(K1488)&gt;0,K1488*(1+L1488/30),L1488)),IF(N(N1488)=0,0,IF(N(M1488)&gt;0,M1488*(1+N1488/30),N1488))))</f>
        <v/>
      </c>
      <c r="Y1488">
        <f>IF(N(X1488)=0,"",X1488+ROW()/1000000000)</f>
        <v/>
      </c>
      <c r="Z1488">
        <f>IF(Y1488="","",IF(COUNTIFS(Log!$D$6:$D$1505,D1488,Log!$Y$6:$Y$1505,"&gt;"&amp;Y1488)=0,1,0))</f>
        <v/>
      </c>
      <c r="AA1488">
        <f>IF(OR(B1488="",D1488=""),"",B1488+ROW()/10000000)</f>
        <v/>
      </c>
      <c r="AB1488">
        <f>IF(AA1488="","",IF(COUNTIFS(Log!$D$6:$D$1505,D1488,Log!$AA$6:$AA$1505,"&gt;"&amp;AA1488)=0,1,0))</f>
        <v/>
      </c>
      <c r="AC1488">
        <f>IF(S1488="New best",AA1488,"")</f>
        <v/>
      </c>
      <c r="AD1488">
        <f>ROW()</f>
        <v/>
      </c>
    </row>
    <row r="1489">
      <c r="A1489" s="1" t="n"/>
      <c r="B1489" s="21" t="n"/>
      <c r="C1489" s="22" t="n"/>
      <c r="D1489" s="23" t="n"/>
      <c r="E1489" s="24" t="n"/>
      <c r="F1489" s="24" t="n"/>
      <c r="G1489" s="24" t="n"/>
      <c r="H1489" s="24" t="n"/>
      <c r="I1489" s="24" t="n"/>
      <c r="J1489" s="24" t="n"/>
      <c r="K1489" s="24" t="n"/>
      <c r="L1489" s="24" t="n"/>
      <c r="M1489" s="24" t="n"/>
      <c r="N1489" s="24" t="n"/>
      <c r="O1489" s="15">
        <f>IF(D1489="","",COUNT(F1489,H1489,J1489,L1489,N1489))</f>
        <v/>
      </c>
      <c r="P1489" s="25">
        <f>IF(D1489="","",N(E1489)*N(F1489)+N(G1489)*N(H1489)+N(I1489)*N(J1489)+N(K1489)*N(L1489)+N(M1489)*N(N1489))</f>
        <v/>
      </c>
      <c r="Q1489" s="18">
        <f>IF(N(X1489)=0,"",IF(IF(N(F1489)=0,0,IF(N(E1489)&gt;0,E1489*(1+F1489/30),F1489))=X1489,IF(N(E1489)&gt;0,E1489&amp;" x "&amp;F1489,F1489&amp;" reps"),IF(IF(N(H1489)=0,0,IF(N(G1489)&gt;0,G1489*(1+H1489/30),H1489))=X1489,IF(N(G1489)&gt;0,G1489&amp;" x "&amp;H1489,H1489&amp;" reps"),IF(IF(N(J1489)=0,0,IF(N(I1489)&gt;0,I1489*(1+J1489/30),J1489))=X1489,IF(N(I1489)&gt;0,I1489&amp;" x "&amp;J1489,J1489&amp;" reps"),IF(IF(N(L1489)=0,0,IF(N(K1489)&gt;0,K1489*(1+L1489/30),L1489))=X1489,IF(N(K1489)&gt;0,K1489&amp;" x "&amp;L1489,L1489&amp;" reps"),IF(IF(N(N1489)=0,0,IF(N(M1489)&gt;0,M1489*(1+N1489/30),N1489))=X1489,IF(N(M1489)&gt;0,M1489&amp;" x "&amp;N1489,N1489&amp;" reps"),""))))))</f>
        <v/>
      </c>
      <c r="R1489" s="20">
        <f>IF(N(X1489)=0,"",ROUND(X1489,1))</f>
        <v/>
      </c>
      <c r="S1489" s="18">
        <f>IF(N(X1489)=0,"",IF(AND(COUNTIFS(Log!$D$6:$D$1505,D1489,Log!$B$6:$B$1505,"&lt;"&amp;B1489)&gt;0,COUNTIFS(Log!$D$6:$D$1505,D1489,Log!$B$6:$B$1505,"&lt;"&amp;B1489,Log!$X$6:$X$1505,"&gt;="&amp;X1489)=0),"New best",""))</f>
        <v/>
      </c>
      <c r="T1489" s="26" t="n"/>
      <c r="U1489" s="1">
        <f>IF(D1489="","",IFERROR(INDEX(Exercises!$C$6:$C$105,MATCH(D1489,Exercises!$B$6:$B$105,0)),"Other"))</f>
        <v/>
      </c>
      <c r="V1489">
        <f>IF(B1489="","",IF(COUNTIF($B$6:B1489,B1489)=1,1,0))</f>
        <v/>
      </c>
      <c r="W1489">
        <f>IF(B1489="","",B1489-WEEKDAY(B1489,3))</f>
        <v/>
      </c>
      <c r="X1489">
        <f>IF(D1489="","",MAX(IF(N(F1489)=0,0,IF(N(E1489)&gt;0,E1489*(1+F1489/30),F1489)),IF(N(H1489)=0,0,IF(N(G1489)&gt;0,G1489*(1+H1489/30),H1489)),IF(N(J1489)=0,0,IF(N(I1489)&gt;0,I1489*(1+J1489/30),J1489)),IF(N(L1489)=0,0,IF(N(K1489)&gt;0,K1489*(1+L1489/30),L1489)),IF(N(N1489)=0,0,IF(N(M1489)&gt;0,M1489*(1+N1489/30),N1489))))</f>
        <v/>
      </c>
      <c r="Y1489">
        <f>IF(N(X1489)=0,"",X1489+ROW()/1000000000)</f>
        <v/>
      </c>
      <c r="Z1489">
        <f>IF(Y1489="","",IF(COUNTIFS(Log!$D$6:$D$1505,D1489,Log!$Y$6:$Y$1505,"&gt;"&amp;Y1489)=0,1,0))</f>
        <v/>
      </c>
      <c r="AA1489">
        <f>IF(OR(B1489="",D1489=""),"",B1489+ROW()/10000000)</f>
        <v/>
      </c>
      <c r="AB1489">
        <f>IF(AA1489="","",IF(COUNTIFS(Log!$D$6:$D$1505,D1489,Log!$AA$6:$AA$1505,"&gt;"&amp;AA1489)=0,1,0))</f>
        <v/>
      </c>
      <c r="AC1489">
        <f>IF(S1489="New best",AA1489,"")</f>
        <v/>
      </c>
      <c r="AD1489">
        <f>ROW()</f>
        <v/>
      </c>
    </row>
    <row r="1490">
      <c r="A1490" s="1" t="n"/>
      <c r="B1490" s="21" t="n"/>
      <c r="C1490" s="22" t="n"/>
      <c r="D1490" s="23" t="n"/>
      <c r="E1490" s="24" t="n"/>
      <c r="F1490" s="24" t="n"/>
      <c r="G1490" s="24" t="n"/>
      <c r="H1490" s="24" t="n"/>
      <c r="I1490" s="24" t="n"/>
      <c r="J1490" s="24" t="n"/>
      <c r="K1490" s="24" t="n"/>
      <c r="L1490" s="24" t="n"/>
      <c r="M1490" s="24" t="n"/>
      <c r="N1490" s="24" t="n"/>
      <c r="O1490" s="15">
        <f>IF(D1490="","",COUNT(F1490,H1490,J1490,L1490,N1490))</f>
        <v/>
      </c>
      <c r="P1490" s="25">
        <f>IF(D1490="","",N(E1490)*N(F1490)+N(G1490)*N(H1490)+N(I1490)*N(J1490)+N(K1490)*N(L1490)+N(M1490)*N(N1490))</f>
        <v/>
      </c>
      <c r="Q1490" s="18">
        <f>IF(N(X1490)=0,"",IF(IF(N(F1490)=0,0,IF(N(E1490)&gt;0,E1490*(1+F1490/30),F1490))=X1490,IF(N(E1490)&gt;0,E1490&amp;" x "&amp;F1490,F1490&amp;" reps"),IF(IF(N(H1490)=0,0,IF(N(G1490)&gt;0,G1490*(1+H1490/30),H1490))=X1490,IF(N(G1490)&gt;0,G1490&amp;" x "&amp;H1490,H1490&amp;" reps"),IF(IF(N(J1490)=0,0,IF(N(I1490)&gt;0,I1490*(1+J1490/30),J1490))=X1490,IF(N(I1490)&gt;0,I1490&amp;" x "&amp;J1490,J1490&amp;" reps"),IF(IF(N(L1490)=0,0,IF(N(K1490)&gt;0,K1490*(1+L1490/30),L1490))=X1490,IF(N(K1490)&gt;0,K1490&amp;" x "&amp;L1490,L1490&amp;" reps"),IF(IF(N(N1490)=0,0,IF(N(M1490)&gt;0,M1490*(1+N1490/30),N1490))=X1490,IF(N(M1490)&gt;0,M1490&amp;" x "&amp;N1490,N1490&amp;" reps"),""))))))</f>
        <v/>
      </c>
      <c r="R1490" s="20">
        <f>IF(N(X1490)=0,"",ROUND(X1490,1))</f>
        <v/>
      </c>
      <c r="S1490" s="18">
        <f>IF(N(X1490)=0,"",IF(AND(COUNTIFS(Log!$D$6:$D$1505,D1490,Log!$B$6:$B$1505,"&lt;"&amp;B1490)&gt;0,COUNTIFS(Log!$D$6:$D$1505,D1490,Log!$B$6:$B$1505,"&lt;"&amp;B1490,Log!$X$6:$X$1505,"&gt;="&amp;X1490)=0),"New best",""))</f>
        <v/>
      </c>
      <c r="T1490" s="26" t="n"/>
      <c r="U1490" s="1">
        <f>IF(D1490="","",IFERROR(INDEX(Exercises!$C$6:$C$105,MATCH(D1490,Exercises!$B$6:$B$105,0)),"Other"))</f>
        <v/>
      </c>
      <c r="V1490">
        <f>IF(B1490="","",IF(COUNTIF($B$6:B1490,B1490)=1,1,0))</f>
        <v/>
      </c>
      <c r="W1490">
        <f>IF(B1490="","",B1490-WEEKDAY(B1490,3))</f>
        <v/>
      </c>
      <c r="X1490">
        <f>IF(D1490="","",MAX(IF(N(F1490)=0,0,IF(N(E1490)&gt;0,E1490*(1+F1490/30),F1490)),IF(N(H1490)=0,0,IF(N(G1490)&gt;0,G1490*(1+H1490/30),H1490)),IF(N(J1490)=0,0,IF(N(I1490)&gt;0,I1490*(1+J1490/30),J1490)),IF(N(L1490)=0,0,IF(N(K1490)&gt;0,K1490*(1+L1490/30),L1490)),IF(N(N1490)=0,0,IF(N(M1490)&gt;0,M1490*(1+N1490/30),N1490))))</f>
        <v/>
      </c>
      <c r="Y1490">
        <f>IF(N(X1490)=0,"",X1490+ROW()/1000000000)</f>
        <v/>
      </c>
      <c r="Z1490">
        <f>IF(Y1490="","",IF(COUNTIFS(Log!$D$6:$D$1505,D1490,Log!$Y$6:$Y$1505,"&gt;"&amp;Y1490)=0,1,0))</f>
        <v/>
      </c>
      <c r="AA1490">
        <f>IF(OR(B1490="",D1490=""),"",B1490+ROW()/10000000)</f>
        <v/>
      </c>
      <c r="AB1490">
        <f>IF(AA1490="","",IF(COUNTIFS(Log!$D$6:$D$1505,D1490,Log!$AA$6:$AA$1505,"&gt;"&amp;AA1490)=0,1,0))</f>
        <v/>
      </c>
      <c r="AC1490">
        <f>IF(S1490="New best",AA1490,"")</f>
        <v/>
      </c>
      <c r="AD1490">
        <f>ROW()</f>
        <v/>
      </c>
    </row>
    <row r="1491">
      <c r="A1491" s="1" t="n"/>
      <c r="B1491" s="21" t="n"/>
      <c r="C1491" s="22" t="n"/>
      <c r="D1491" s="23" t="n"/>
      <c r="E1491" s="24" t="n"/>
      <c r="F1491" s="24" t="n"/>
      <c r="G1491" s="24" t="n"/>
      <c r="H1491" s="24" t="n"/>
      <c r="I1491" s="24" t="n"/>
      <c r="J1491" s="24" t="n"/>
      <c r="K1491" s="24" t="n"/>
      <c r="L1491" s="24" t="n"/>
      <c r="M1491" s="24" t="n"/>
      <c r="N1491" s="24" t="n"/>
      <c r="O1491" s="15">
        <f>IF(D1491="","",COUNT(F1491,H1491,J1491,L1491,N1491))</f>
        <v/>
      </c>
      <c r="P1491" s="25">
        <f>IF(D1491="","",N(E1491)*N(F1491)+N(G1491)*N(H1491)+N(I1491)*N(J1491)+N(K1491)*N(L1491)+N(M1491)*N(N1491))</f>
        <v/>
      </c>
      <c r="Q1491" s="18">
        <f>IF(N(X1491)=0,"",IF(IF(N(F1491)=0,0,IF(N(E1491)&gt;0,E1491*(1+F1491/30),F1491))=X1491,IF(N(E1491)&gt;0,E1491&amp;" x "&amp;F1491,F1491&amp;" reps"),IF(IF(N(H1491)=0,0,IF(N(G1491)&gt;0,G1491*(1+H1491/30),H1491))=X1491,IF(N(G1491)&gt;0,G1491&amp;" x "&amp;H1491,H1491&amp;" reps"),IF(IF(N(J1491)=0,0,IF(N(I1491)&gt;0,I1491*(1+J1491/30),J1491))=X1491,IF(N(I1491)&gt;0,I1491&amp;" x "&amp;J1491,J1491&amp;" reps"),IF(IF(N(L1491)=0,0,IF(N(K1491)&gt;0,K1491*(1+L1491/30),L1491))=X1491,IF(N(K1491)&gt;0,K1491&amp;" x "&amp;L1491,L1491&amp;" reps"),IF(IF(N(N1491)=0,0,IF(N(M1491)&gt;0,M1491*(1+N1491/30),N1491))=X1491,IF(N(M1491)&gt;0,M1491&amp;" x "&amp;N1491,N1491&amp;" reps"),""))))))</f>
        <v/>
      </c>
      <c r="R1491" s="20">
        <f>IF(N(X1491)=0,"",ROUND(X1491,1))</f>
        <v/>
      </c>
      <c r="S1491" s="18">
        <f>IF(N(X1491)=0,"",IF(AND(COUNTIFS(Log!$D$6:$D$1505,D1491,Log!$B$6:$B$1505,"&lt;"&amp;B1491)&gt;0,COUNTIFS(Log!$D$6:$D$1505,D1491,Log!$B$6:$B$1505,"&lt;"&amp;B1491,Log!$X$6:$X$1505,"&gt;="&amp;X1491)=0),"New best",""))</f>
        <v/>
      </c>
      <c r="T1491" s="26" t="n"/>
      <c r="U1491" s="1">
        <f>IF(D1491="","",IFERROR(INDEX(Exercises!$C$6:$C$105,MATCH(D1491,Exercises!$B$6:$B$105,0)),"Other"))</f>
        <v/>
      </c>
      <c r="V1491">
        <f>IF(B1491="","",IF(COUNTIF($B$6:B1491,B1491)=1,1,0))</f>
        <v/>
      </c>
      <c r="W1491">
        <f>IF(B1491="","",B1491-WEEKDAY(B1491,3))</f>
        <v/>
      </c>
      <c r="X1491">
        <f>IF(D1491="","",MAX(IF(N(F1491)=0,0,IF(N(E1491)&gt;0,E1491*(1+F1491/30),F1491)),IF(N(H1491)=0,0,IF(N(G1491)&gt;0,G1491*(1+H1491/30),H1491)),IF(N(J1491)=0,0,IF(N(I1491)&gt;0,I1491*(1+J1491/30),J1491)),IF(N(L1491)=0,0,IF(N(K1491)&gt;0,K1491*(1+L1491/30),L1491)),IF(N(N1491)=0,0,IF(N(M1491)&gt;0,M1491*(1+N1491/30),N1491))))</f>
        <v/>
      </c>
      <c r="Y1491">
        <f>IF(N(X1491)=0,"",X1491+ROW()/1000000000)</f>
        <v/>
      </c>
      <c r="Z1491">
        <f>IF(Y1491="","",IF(COUNTIFS(Log!$D$6:$D$1505,D1491,Log!$Y$6:$Y$1505,"&gt;"&amp;Y1491)=0,1,0))</f>
        <v/>
      </c>
      <c r="AA1491">
        <f>IF(OR(B1491="",D1491=""),"",B1491+ROW()/10000000)</f>
        <v/>
      </c>
      <c r="AB1491">
        <f>IF(AA1491="","",IF(COUNTIFS(Log!$D$6:$D$1505,D1491,Log!$AA$6:$AA$1505,"&gt;"&amp;AA1491)=0,1,0))</f>
        <v/>
      </c>
      <c r="AC1491">
        <f>IF(S1491="New best",AA1491,"")</f>
        <v/>
      </c>
      <c r="AD1491">
        <f>ROW()</f>
        <v/>
      </c>
    </row>
    <row r="1492">
      <c r="A1492" s="1" t="n"/>
      <c r="B1492" s="21" t="n"/>
      <c r="C1492" s="22" t="n"/>
      <c r="D1492" s="23" t="n"/>
      <c r="E1492" s="24" t="n"/>
      <c r="F1492" s="24" t="n"/>
      <c r="G1492" s="24" t="n"/>
      <c r="H1492" s="24" t="n"/>
      <c r="I1492" s="24" t="n"/>
      <c r="J1492" s="24" t="n"/>
      <c r="K1492" s="24" t="n"/>
      <c r="L1492" s="24" t="n"/>
      <c r="M1492" s="24" t="n"/>
      <c r="N1492" s="24" t="n"/>
      <c r="O1492" s="15">
        <f>IF(D1492="","",COUNT(F1492,H1492,J1492,L1492,N1492))</f>
        <v/>
      </c>
      <c r="P1492" s="25">
        <f>IF(D1492="","",N(E1492)*N(F1492)+N(G1492)*N(H1492)+N(I1492)*N(J1492)+N(K1492)*N(L1492)+N(M1492)*N(N1492))</f>
        <v/>
      </c>
      <c r="Q1492" s="18">
        <f>IF(N(X1492)=0,"",IF(IF(N(F1492)=0,0,IF(N(E1492)&gt;0,E1492*(1+F1492/30),F1492))=X1492,IF(N(E1492)&gt;0,E1492&amp;" x "&amp;F1492,F1492&amp;" reps"),IF(IF(N(H1492)=0,0,IF(N(G1492)&gt;0,G1492*(1+H1492/30),H1492))=X1492,IF(N(G1492)&gt;0,G1492&amp;" x "&amp;H1492,H1492&amp;" reps"),IF(IF(N(J1492)=0,0,IF(N(I1492)&gt;0,I1492*(1+J1492/30),J1492))=X1492,IF(N(I1492)&gt;0,I1492&amp;" x "&amp;J1492,J1492&amp;" reps"),IF(IF(N(L1492)=0,0,IF(N(K1492)&gt;0,K1492*(1+L1492/30),L1492))=X1492,IF(N(K1492)&gt;0,K1492&amp;" x "&amp;L1492,L1492&amp;" reps"),IF(IF(N(N1492)=0,0,IF(N(M1492)&gt;0,M1492*(1+N1492/30),N1492))=X1492,IF(N(M1492)&gt;0,M1492&amp;" x "&amp;N1492,N1492&amp;" reps"),""))))))</f>
        <v/>
      </c>
      <c r="R1492" s="20">
        <f>IF(N(X1492)=0,"",ROUND(X1492,1))</f>
        <v/>
      </c>
      <c r="S1492" s="18">
        <f>IF(N(X1492)=0,"",IF(AND(COUNTIFS(Log!$D$6:$D$1505,D1492,Log!$B$6:$B$1505,"&lt;"&amp;B1492)&gt;0,COUNTIFS(Log!$D$6:$D$1505,D1492,Log!$B$6:$B$1505,"&lt;"&amp;B1492,Log!$X$6:$X$1505,"&gt;="&amp;X1492)=0),"New best",""))</f>
        <v/>
      </c>
      <c r="T1492" s="26" t="n"/>
      <c r="U1492" s="1">
        <f>IF(D1492="","",IFERROR(INDEX(Exercises!$C$6:$C$105,MATCH(D1492,Exercises!$B$6:$B$105,0)),"Other"))</f>
        <v/>
      </c>
      <c r="V1492">
        <f>IF(B1492="","",IF(COUNTIF($B$6:B1492,B1492)=1,1,0))</f>
        <v/>
      </c>
      <c r="W1492">
        <f>IF(B1492="","",B1492-WEEKDAY(B1492,3))</f>
        <v/>
      </c>
      <c r="X1492">
        <f>IF(D1492="","",MAX(IF(N(F1492)=0,0,IF(N(E1492)&gt;0,E1492*(1+F1492/30),F1492)),IF(N(H1492)=0,0,IF(N(G1492)&gt;0,G1492*(1+H1492/30),H1492)),IF(N(J1492)=0,0,IF(N(I1492)&gt;0,I1492*(1+J1492/30),J1492)),IF(N(L1492)=0,0,IF(N(K1492)&gt;0,K1492*(1+L1492/30),L1492)),IF(N(N1492)=0,0,IF(N(M1492)&gt;0,M1492*(1+N1492/30),N1492))))</f>
        <v/>
      </c>
      <c r="Y1492">
        <f>IF(N(X1492)=0,"",X1492+ROW()/1000000000)</f>
        <v/>
      </c>
      <c r="Z1492">
        <f>IF(Y1492="","",IF(COUNTIFS(Log!$D$6:$D$1505,D1492,Log!$Y$6:$Y$1505,"&gt;"&amp;Y1492)=0,1,0))</f>
        <v/>
      </c>
      <c r="AA1492">
        <f>IF(OR(B1492="",D1492=""),"",B1492+ROW()/10000000)</f>
        <v/>
      </c>
      <c r="AB1492">
        <f>IF(AA1492="","",IF(COUNTIFS(Log!$D$6:$D$1505,D1492,Log!$AA$6:$AA$1505,"&gt;"&amp;AA1492)=0,1,0))</f>
        <v/>
      </c>
      <c r="AC1492">
        <f>IF(S1492="New best",AA1492,"")</f>
        <v/>
      </c>
      <c r="AD1492">
        <f>ROW()</f>
        <v/>
      </c>
    </row>
    <row r="1493">
      <c r="A1493" s="1" t="n"/>
      <c r="B1493" s="21" t="n"/>
      <c r="C1493" s="22" t="n"/>
      <c r="D1493" s="23" t="n"/>
      <c r="E1493" s="24" t="n"/>
      <c r="F1493" s="24" t="n"/>
      <c r="G1493" s="24" t="n"/>
      <c r="H1493" s="24" t="n"/>
      <c r="I1493" s="24" t="n"/>
      <c r="J1493" s="24" t="n"/>
      <c r="K1493" s="24" t="n"/>
      <c r="L1493" s="24" t="n"/>
      <c r="M1493" s="24" t="n"/>
      <c r="N1493" s="24" t="n"/>
      <c r="O1493" s="15">
        <f>IF(D1493="","",COUNT(F1493,H1493,J1493,L1493,N1493))</f>
        <v/>
      </c>
      <c r="P1493" s="25">
        <f>IF(D1493="","",N(E1493)*N(F1493)+N(G1493)*N(H1493)+N(I1493)*N(J1493)+N(K1493)*N(L1493)+N(M1493)*N(N1493))</f>
        <v/>
      </c>
      <c r="Q1493" s="18">
        <f>IF(N(X1493)=0,"",IF(IF(N(F1493)=0,0,IF(N(E1493)&gt;0,E1493*(1+F1493/30),F1493))=X1493,IF(N(E1493)&gt;0,E1493&amp;" x "&amp;F1493,F1493&amp;" reps"),IF(IF(N(H1493)=0,0,IF(N(G1493)&gt;0,G1493*(1+H1493/30),H1493))=X1493,IF(N(G1493)&gt;0,G1493&amp;" x "&amp;H1493,H1493&amp;" reps"),IF(IF(N(J1493)=0,0,IF(N(I1493)&gt;0,I1493*(1+J1493/30),J1493))=X1493,IF(N(I1493)&gt;0,I1493&amp;" x "&amp;J1493,J1493&amp;" reps"),IF(IF(N(L1493)=0,0,IF(N(K1493)&gt;0,K1493*(1+L1493/30),L1493))=X1493,IF(N(K1493)&gt;0,K1493&amp;" x "&amp;L1493,L1493&amp;" reps"),IF(IF(N(N1493)=0,0,IF(N(M1493)&gt;0,M1493*(1+N1493/30),N1493))=X1493,IF(N(M1493)&gt;0,M1493&amp;" x "&amp;N1493,N1493&amp;" reps"),""))))))</f>
        <v/>
      </c>
      <c r="R1493" s="20">
        <f>IF(N(X1493)=0,"",ROUND(X1493,1))</f>
        <v/>
      </c>
      <c r="S1493" s="18">
        <f>IF(N(X1493)=0,"",IF(AND(COUNTIFS(Log!$D$6:$D$1505,D1493,Log!$B$6:$B$1505,"&lt;"&amp;B1493)&gt;0,COUNTIFS(Log!$D$6:$D$1505,D1493,Log!$B$6:$B$1505,"&lt;"&amp;B1493,Log!$X$6:$X$1505,"&gt;="&amp;X1493)=0),"New best",""))</f>
        <v/>
      </c>
      <c r="T1493" s="26" t="n"/>
      <c r="U1493" s="1">
        <f>IF(D1493="","",IFERROR(INDEX(Exercises!$C$6:$C$105,MATCH(D1493,Exercises!$B$6:$B$105,0)),"Other"))</f>
        <v/>
      </c>
      <c r="V1493">
        <f>IF(B1493="","",IF(COUNTIF($B$6:B1493,B1493)=1,1,0))</f>
        <v/>
      </c>
      <c r="W1493">
        <f>IF(B1493="","",B1493-WEEKDAY(B1493,3))</f>
        <v/>
      </c>
      <c r="X1493">
        <f>IF(D1493="","",MAX(IF(N(F1493)=0,0,IF(N(E1493)&gt;0,E1493*(1+F1493/30),F1493)),IF(N(H1493)=0,0,IF(N(G1493)&gt;0,G1493*(1+H1493/30),H1493)),IF(N(J1493)=0,0,IF(N(I1493)&gt;0,I1493*(1+J1493/30),J1493)),IF(N(L1493)=0,0,IF(N(K1493)&gt;0,K1493*(1+L1493/30),L1493)),IF(N(N1493)=0,0,IF(N(M1493)&gt;0,M1493*(1+N1493/30),N1493))))</f>
        <v/>
      </c>
      <c r="Y1493">
        <f>IF(N(X1493)=0,"",X1493+ROW()/1000000000)</f>
        <v/>
      </c>
      <c r="Z1493">
        <f>IF(Y1493="","",IF(COUNTIFS(Log!$D$6:$D$1505,D1493,Log!$Y$6:$Y$1505,"&gt;"&amp;Y1493)=0,1,0))</f>
        <v/>
      </c>
      <c r="AA1493">
        <f>IF(OR(B1493="",D1493=""),"",B1493+ROW()/10000000)</f>
        <v/>
      </c>
      <c r="AB1493">
        <f>IF(AA1493="","",IF(COUNTIFS(Log!$D$6:$D$1505,D1493,Log!$AA$6:$AA$1505,"&gt;"&amp;AA1493)=0,1,0))</f>
        <v/>
      </c>
      <c r="AC1493">
        <f>IF(S1493="New best",AA1493,"")</f>
        <v/>
      </c>
      <c r="AD1493">
        <f>ROW()</f>
        <v/>
      </c>
    </row>
    <row r="1494">
      <c r="A1494" s="1" t="n"/>
      <c r="B1494" s="21" t="n"/>
      <c r="C1494" s="22" t="n"/>
      <c r="D1494" s="23" t="n"/>
      <c r="E1494" s="24" t="n"/>
      <c r="F1494" s="24" t="n"/>
      <c r="G1494" s="24" t="n"/>
      <c r="H1494" s="24" t="n"/>
      <c r="I1494" s="24" t="n"/>
      <c r="J1494" s="24" t="n"/>
      <c r="K1494" s="24" t="n"/>
      <c r="L1494" s="24" t="n"/>
      <c r="M1494" s="24" t="n"/>
      <c r="N1494" s="24" t="n"/>
      <c r="O1494" s="15">
        <f>IF(D1494="","",COUNT(F1494,H1494,J1494,L1494,N1494))</f>
        <v/>
      </c>
      <c r="P1494" s="25">
        <f>IF(D1494="","",N(E1494)*N(F1494)+N(G1494)*N(H1494)+N(I1494)*N(J1494)+N(K1494)*N(L1494)+N(M1494)*N(N1494))</f>
        <v/>
      </c>
      <c r="Q1494" s="18">
        <f>IF(N(X1494)=0,"",IF(IF(N(F1494)=0,0,IF(N(E1494)&gt;0,E1494*(1+F1494/30),F1494))=X1494,IF(N(E1494)&gt;0,E1494&amp;" x "&amp;F1494,F1494&amp;" reps"),IF(IF(N(H1494)=0,0,IF(N(G1494)&gt;0,G1494*(1+H1494/30),H1494))=X1494,IF(N(G1494)&gt;0,G1494&amp;" x "&amp;H1494,H1494&amp;" reps"),IF(IF(N(J1494)=0,0,IF(N(I1494)&gt;0,I1494*(1+J1494/30),J1494))=X1494,IF(N(I1494)&gt;0,I1494&amp;" x "&amp;J1494,J1494&amp;" reps"),IF(IF(N(L1494)=0,0,IF(N(K1494)&gt;0,K1494*(1+L1494/30),L1494))=X1494,IF(N(K1494)&gt;0,K1494&amp;" x "&amp;L1494,L1494&amp;" reps"),IF(IF(N(N1494)=0,0,IF(N(M1494)&gt;0,M1494*(1+N1494/30),N1494))=X1494,IF(N(M1494)&gt;0,M1494&amp;" x "&amp;N1494,N1494&amp;" reps"),""))))))</f>
        <v/>
      </c>
      <c r="R1494" s="20">
        <f>IF(N(X1494)=0,"",ROUND(X1494,1))</f>
        <v/>
      </c>
      <c r="S1494" s="18">
        <f>IF(N(X1494)=0,"",IF(AND(COUNTIFS(Log!$D$6:$D$1505,D1494,Log!$B$6:$B$1505,"&lt;"&amp;B1494)&gt;0,COUNTIFS(Log!$D$6:$D$1505,D1494,Log!$B$6:$B$1505,"&lt;"&amp;B1494,Log!$X$6:$X$1505,"&gt;="&amp;X1494)=0),"New best",""))</f>
        <v/>
      </c>
      <c r="T1494" s="26" t="n"/>
      <c r="U1494" s="1">
        <f>IF(D1494="","",IFERROR(INDEX(Exercises!$C$6:$C$105,MATCH(D1494,Exercises!$B$6:$B$105,0)),"Other"))</f>
        <v/>
      </c>
      <c r="V1494">
        <f>IF(B1494="","",IF(COUNTIF($B$6:B1494,B1494)=1,1,0))</f>
        <v/>
      </c>
      <c r="W1494">
        <f>IF(B1494="","",B1494-WEEKDAY(B1494,3))</f>
        <v/>
      </c>
      <c r="X1494">
        <f>IF(D1494="","",MAX(IF(N(F1494)=0,0,IF(N(E1494)&gt;0,E1494*(1+F1494/30),F1494)),IF(N(H1494)=0,0,IF(N(G1494)&gt;0,G1494*(1+H1494/30),H1494)),IF(N(J1494)=0,0,IF(N(I1494)&gt;0,I1494*(1+J1494/30),J1494)),IF(N(L1494)=0,0,IF(N(K1494)&gt;0,K1494*(1+L1494/30),L1494)),IF(N(N1494)=0,0,IF(N(M1494)&gt;0,M1494*(1+N1494/30),N1494))))</f>
        <v/>
      </c>
      <c r="Y1494">
        <f>IF(N(X1494)=0,"",X1494+ROW()/1000000000)</f>
        <v/>
      </c>
      <c r="Z1494">
        <f>IF(Y1494="","",IF(COUNTIFS(Log!$D$6:$D$1505,D1494,Log!$Y$6:$Y$1505,"&gt;"&amp;Y1494)=0,1,0))</f>
        <v/>
      </c>
      <c r="AA1494">
        <f>IF(OR(B1494="",D1494=""),"",B1494+ROW()/10000000)</f>
        <v/>
      </c>
      <c r="AB1494">
        <f>IF(AA1494="","",IF(COUNTIFS(Log!$D$6:$D$1505,D1494,Log!$AA$6:$AA$1505,"&gt;"&amp;AA1494)=0,1,0))</f>
        <v/>
      </c>
      <c r="AC1494">
        <f>IF(S1494="New best",AA1494,"")</f>
        <v/>
      </c>
      <c r="AD1494">
        <f>ROW()</f>
        <v/>
      </c>
    </row>
    <row r="1495">
      <c r="A1495" s="1" t="n"/>
      <c r="B1495" s="21" t="n"/>
      <c r="C1495" s="22" t="n"/>
      <c r="D1495" s="23" t="n"/>
      <c r="E1495" s="24" t="n"/>
      <c r="F1495" s="24" t="n"/>
      <c r="G1495" s="24" t="n"/>
      <c r="H1495" s="24" t="n"/>
      <c r="I1495" s="24" t="n"/>
      <c r="J1495" s="24" t="n"/>
      <c r="K1495" s="24" t="n"/>
      <c r="L1495" s="24" t="n"/>
      <c r="M1495" s="24" t="n"/>
      <c r="N1495" s="24" t="n"/>
      <c r="O1495" s="15">
        <f>IF(D1495="","",COUNT(F1495,H1495,J1495,L1495,N1495))</f>
        <v/>
      </c>
      <c r="P1495" s="25">
        <f>IF(D1495="","",N(E1495)*N(F1495)+N(G1495)*N(H1495)+N(I1495)*N(J1495)+N(K1495)*N(L1495)+N(M1495)*N(N1495))</f>
        <v/>
      </c>
      <c r="Q1495" s="18">
        <f>IF(N(X1495)=0,"",IF(IF(N(F1495)=0,0,IF(N(E1495)&gt;0,E1495*(1+F1495/30),F1495))=X1495,IF(N(E1495)&gt;0,E1495&amp;" x "&amp;F1495,F1495&amp;" reps"),IF(IF(N(H1495)=0,0,IF(N(G1495)&gt;0,G1495*(1+H1495/30),H1495))=X1495,IF(N(G1495)&gt;0,G1495&amp;" x "&amp;H1495,H1495&amp;" reps"),IF(IF(N(J1495)=0,0,IF(N(I1495)&gt;0,I1495*(1+J1495/30),J1495))=X1495,IF(N(I1495)&gt;0,I1495&amp;" x "&amp;J1495,J1495&amp;" reps"),IF(IF(N(L1495)=0,0,IF(N(K1495)&gt;0,K1495*(1+L1495/30),L1495))=X1495,IF(N(K1495)&gt;0,K1495&amp;" x "&amp;L1495,L1495&amp;" reps"),IF(IF(N(N1495)=0,0,IF(N(M1495)&gt;0,M1495*(1+N1495/30),N1495))=X1495,IF(N(M1495)&gt;0,M1495&amp;" x "&amp;N1495,N1495&amp;" reps"),""))))))</f>
        <v/>
      </c>
      <c r="R1495" s="20">
        <f>IF(N(X1495)=0,"",ROUND(X1495,1))</f>
        <v/>
      </c>
      <c r="S1495" s="18">
        <f>IF(N(X1495)=0,"",IF(AND(COUNTIFS(Log!$D$6:$D$1505,D1495,Log!$B$6:$B$1505,"&lt;"&amp;B1495)&gt;0,COUNTIFS(Log!$D$6:$D$1505,D1495,Log!$B$6:$B$1505,"&lt;"&amp;B1495,Log!$X$6:$X$1505,"&gt;="&amp;X1495)=0),"New best",""))</f>
        <v/>
      </c>
      <c r="T1495" s="26" t="n"/>
      <c r="U1495" s="1">
        <f>IF(D1495="","",IFERROR(INDEX(Exercises!$C$6:$C$105,MATCH(D1495,Exercises!$B$6:$B$105,0)),"Other"))</f>
        <v/>
      </c>
      <c r="V1495">
        <f>IF(B1495="","",IF(COUNTIF($B$6:B1495,B1495)=1,1,0))</f>
        <v/>
      </c>
      <c r="W1495">
        <f>IF(B1495="","",B1495-WEEKDAY(B1495,3))</f>
        <v/>
      </c>
      <c r="X1495">
        <f>IF(D1495="","",MAX(IF(N(F1495)=0,0,IF(N(E1495)&gt;0,E1495*(1+F1495/30),F1495)),IF(N(H1495)=0,0,IF(N(G1495)&gt;0,G1495*(1+H1495/30),H1495)),IF(N(J1495)=0,0,IF(N(I1495)&gt;0,I1495*(1+J1495/30),J1495)),IF(N(L1495)=0,0,IF(N(K1495)&gt;0,K1495*(1+L1495/30),L1495)),IF(N(N1495)=0,0,IF(N(M1495)&gt;0,M1495*(1+N1495/30),N1495))))</f>
        <v/>
      </c>
      <c r="Y1495">
        <f>IF(N(X1495)=0,"",X1495+ROW()/1000000000)</f>
        <v/>
      </c>
      <c r="Z1495">
        <f>IF(Y1495="","",IF(COUNTIFS(Log!$D$6:$D$1505,D1495,Log!$Y$6:$Y$1505,"&gt;"&amp;Y1495)=0,1,0))</f>
        <v/>
      </c>
      <c r="AA1495">
        <f>IF(OR(B1495="",D1495=""),"",B1495+ROW()/10000000)</f>
        <v/>
      </c>
      <c r="AB1495">
        <f>IF(AA1495="","",IF(COUNTIFS(Log!$D$6:$D$1505,D1495,Log!$AA$6:$AA$1505,"&gt;"&amp;AA1495)=0,1,0))</f>
        <v/>
      </c>
      <c r="AC1495">
        <f>IF(S1495="New best",AA1495,"")</f>
        <v/>
      </c>
      <c r="AD1495">
        <f>ROW()</f>
        <v/>
      </c>
    </row>
    <row r="1496">
      <c r="A1496" s="1" t="n"/>
      <c r="B1496" s="21" t="n"/>
      <c r="C1496" s="22" t="n"/>
      <c r="D1496" s="23" t="n"/>
      <c r="E1496" s="24" t="n"/>
      <c r="F1496" s="24" t="n"/>
      <c r="G1496" s="24" t="n"/>
      <c r="H1496" s="24" t="n"/>
      <c r="I1496" s="24" t="n"/>
      <c r="J1496" s="24" t="n"/>
      <c r="K1496" s="24" t="n"/>
      <c r="L1496" s="24" t="n"/>
      <c r="M1496" s="24" t="n"/>
      <c r="N1496" s="24" t="n"/>
      <c r="O1496" s="15">
        <f>IF(D1496="","",COUNT(F1496,H1496,J1496,L1496,N1496))</f>
        <v/>
      </c>
      <c r="P1496" s="25">
        <f>IF(D1496="","",N(E1496)*N(F1496)+N(G1496)*N(H1496)+N(I1496)*N(J1496)+N(K1496)*N(L1496)+N(M1496)*N(N1496))</f>
        <v/>
      </c>
      <c r="Q1496" s="18">
        <f>IF(N(X1496)=0,"",IF(IF(N(F1496)=0,0,IF(N(E1496)&gt;0,E1496*(1+F1496/30),F1496))=X1496,IF(N(E1496)&gt;0,E1496&amp;" x "&amp;F1496,F1496&amp;" reps"),IF(IF(N(H1496)=0,0,IF(N(G1496)&gt;0,G1496*(1+H1496/30),H1496))=X1496,IF(N(G1496)&gt;0,G1496&amp;" x "&amp;H1496,H1496&amp;" reps"),IF(IF(N(J1496)=0,0,IF(N(I1496)&gt;0,I1496*(1+J1496/30),J1496))=X1496,IF(N(I1496)&gt;0,I1496&amp;" x "&amp;J1496,J1496&amp;" reps"),IF(IF(N(L1496)=0,0,IF(N(K1496)&gt;0,K1496*(1+L1496/30),L1496))=X1496,IF(N(K1496)&gt;0,K1496&amp;" x "&amp;L1496,L1496&amp;" reps"),IF(IF(N(N1496)=0,0,IF(N(M1496)&gt;0,M1496*(1+N1496/30),N1496))=X1496,IF(N(M1496)&gt;0,M1496&amp;" x "&amp;N1496,N1496&amp;" reps"),""))))))</f>
        <v/>
      </c>
      <c r="R1496" s="20">
        <f>IF(N(X1496)=0,"",ROUND(X1496,1))</f>
        <v/>
      </c>
      <c r="S1496" s="18">
        <f>IF(N(X1496)=0,"",IF(AND(COUNTIFS(Log!$D$6:$D$1505,D1496,Log!$B$6:$B$1505,"&lt;"&amp;B1496)&gt;0,COUNTIFS(Log!$D$6:$D$1505,D1496,Log!$B$6:$B$1505,"&lt;"&amp;B1496,Log!$X$6:$X$1505,"&gt;="&amp;X1496)=0),"New best",""))</f>
        <v/>
      </c>
      <c r="T1496" s="26" t="n"/>
      <c r="U1496" s="1">
        <f>IF(D1496="","",IFERROR(INDEX(Exercises!$C$6:$C$105,MATCH(D1496,Exercises!$B$6:$B$105,0)),"Other"))</f>
        <v/>
      </c>
      <c r="V1496">
        <f>IF(B1496="","",IF(COUNTIF($B$6:B1496,B1496)=1,1,0))</f>
        <v/>
      </c>
      <c r="W1496">
        <f>IF(B1496="","",B1496-WEEKDAY(B1496,3))</f>
        <v/>
      </c>
      <c r="X1496">
        <f>IF(D1496="","",MAX(IF(N(F1496)=0,0,IF(N(E1496)&gt;0,E1496*(1+F1496/30),F1496)),IF(N(H1496)=0,0,IF(N(G1496)&gt;0,G1496*(1+H1496/30),H1496)),IF(N(J1496)=0,0,IF(N(I1496)&gt;0,I1496*(1+J1496/30),J1496)),IF(N(L1496)=0,0,IF(N(K1496)&gt;0,K1496*(1+L1496/30),L1496)),IF(N(N1496)=0,0,IF(N(M1496)&gt;0,M1496*(1+N1496/30),N1496))))</f>
        <v/>
      </c>
      <c r="Y1496">
        <f>IF(N(X1496)=0,"",X1496+ROW()/1000000000)</f>
        <v/>
      </c>
      <c r="Z1496">
        <f>IF(Y1496="","",IF(COUNTIFS(Log!$D$6:$D$1505,D1496,Log!$Y$6:$Y$1505,"&gt;"&amp;Y1496)=0,1,0))</f>
        <v/>
      </c>
      <c r="AA1496">
        <f>IF(OR(B1496="",D1496=""),"",B1496+ROW()/10000000)</f>
        <v/>
      </c>
      <c r="AB1496">
        <f>IF(AA1496="","",IF(COUNTIFS(Log!$D$6:$D$1505,D1496,Log!$AA$6:$AA$1505,"&gt;"&amp;AA1496)=0,1,0))</f>
        <v/>
      </c>
      <c r="AC1496">
        <f>IF(S1496="New best",AA1496,"")</f>
        <v/>
      </c>
      <c r="AD1496">
        <f>ROW()</f>
        <v/>
      </c>
    </row>
    <row r="1497">
      <c r="A1497" s="1" t="n"/>
      <c r="B1497" s="21" t="n"/>
      <c r="C1497" s="22" t="n"/>
      <c r="D1497" s="23" t="n"/>
      <c r="E1497" s="24" t="n"/>
      <c r="F1497" s="24" t="n"/>
      <c r="G1497" s="24" t="n"/>
      <c r="H1497" s="24" t="n"/>
      <c r="I1497" s="24" t="n"/>
      <c r="J1497" s="24" t="n"/>
      <c r="K1497" s="24" t="n"/>
      <c r="L1497" s="24" t="n"/>
      <c r="M1497" s="24" t="n"/>
      <c r="N1497" s="24" t="n"/>
      <c r="O1497" s="15">
        <f>IF(D1497="","",COUNT(F1497,H1497,J1497,L1497,N1497))</f>
        <v/>
      </c>
      <c r="P1497" s="25">
        <f>IF(D1497="","",N(E1497)*N(F1497)+N(G1497)*N(H1497)+N(I1497)*N(J1497)+N(K1497)*N(L1497)+N(M1497)*N(N1497))</f>
        <v/>
      </c>
      <c r="Q1497" s="18">
        <f>IF(N(X1497)=0,"",IF(IF(N(F1497)=0,0,IF(N(E1497)&gt;0,E1497*(1+F1497/30),F1497))=X1497,IF(N(E1497)&gt;0,E1497&amp;" x "&amp;F1497,F1497&amp;" reps"),IF(IF(N(H1497)=0,0,IF(N(G1497)&gt;0,G1497*(1+H1497/30),H1497))=X1497,IF(N(G1497)&gt;0,G1497&amp;" x "&amp;H1497,H1497&amp;" reps"),IF(IF(N(J1497)=0,0,IF(N(I1497)&gt;0,I1497*(1+J1497/30),J1497))=X1497,IF(N(I1497)&gt;0,I1497&amp;" x "&amp;J1497,J1497&amp;" reps"),IF(IF(N(L1497)=0,0,IF(N(K1497)&gt;0,K1497*(1+L1497/30),L1497))=X1497,IF(N(K1497)&gt;0,K1497&amp;" x "&amp;L1497,L1497&amp;" reps"),IF(IF(N(N1497)=0,0,IF(N(M1497)&gt;0,M1497*(1+N1497/30),N1497))=X1497,IF(N(M1497)&gt;0,M1497&amp;" x "&amp;N1497,N1497&amp;" reps"),""))))))</f>
        <v/>
      </c>
      <c r="R1497" s="20">
        <f>IF(N(X1497)=0,"",ROUND(X1497,1))</f>
        <v/>
      </c>
      <c r="S1497" s="18">
        <f>IF(N(X1497)=0,"",IF(AND(COUNTIFS(Log!$D$6:$D$1505,D1497,Log!$B$6:$B$1505,"&lt;"&amp;B1497)&gt;0,COUNTIFS(Log!$D$6:$D$1505,D1497,Log!$B$6:$B$1505,"&lt;"&amp;B1497,Log!$X$6:$X$1505,"&gt;="&amp;X1497)=0),"New best",""))</f>
        <v/>
      </c>
      <c r="T1497" s="26" t="n"/>
      <c r="U1497" s="1">
        <f>IF(D1497="","",IFERROR(INDEX(Exercises!$C$6:$C$105,MATCH(D1497,Exercises!$B$6:$B$105,0)),"Other"))</f>
        <v/>
      </c>
      <c r="V1497">
        <f>IF(B1497="","",IF(COUNTIF($B$6:B1497,B1497)=1,1,0))</f>
        <v/>
      </c>
      <c r="W1497">
        <f>IF(B1497="","",B1497-WEEKDAY(B1497,3))</f>
        <v/>
      </c>
      <c r="X1497">
        <f>IF(D1497="","",MAX(IF(N(F1497)=0,0,IF(N(E1497)&gt;0,E1497*(1+F1497/30),F1497)),IF(N(H1497)=0,0,IF(N(G1497)&gt;0,G1497*(1+H1497/30),H1497)),IF(N(J1497)=0,0,IF(N(I1497)&gt;0,I1497*(1+J1497/30),J1497)),IF(N(L1497)=0,0,IF(N(K1497)&gt;0,K1497*(1+L1497/30),L1497)),IF(N(N1497)=0,0,IF(N(M1497)&gt;0,M1497*(1+N1497/30),N1497))))</f>
        <v/>
      </c>
      <c r="Y1497">
        <f>IF(N(X1497)=0,"",X1497+ROW()/1000000000)</f>
        <v/>
      </c>
      <c r="Z1497">
        <f>IF(Y1497="","",IF(COUNTIFS(Log!$D$6:$D$1505,D1497,Log!$Y$6:$Y$1505,"&gt;"&amp;Y1497)=0,1,0))</f>
        <v/>
      </c>
      <c r="AA1497">
        <f>IF(OR(B1497="",D1497=""),"",B1497+ROW()/10000000)</f>
        <v/>
      </c>
      <c r="AB1497">
        <f>IF(AA1497="","",IF(COUNTIFS(Log!$D$6:$D$1505,D1497,Log!$AA$6:$AA$1505,"&gt;"&amp;AA1497)=0,1,0))</f>
        <v/>
      </c>
      <c r="AC1497">
        <f>IF(S1497="New best",AA1497,"")</f>
        <v/>
      </c>
      <c r="AD1497">
        <f>ROW()</f>
        <v/>
      </c>
    </row>
    <row r="1498">
      <c r="A1498" s="1" t="n"/>
      <c r="B1498" s="21" t="n"/>
      <c r="C1498" s="22" t="n"/>
      <c r="D1498" s="23" t="n"/>
      <c r="E1498" s="24" t="n"/>
      <c r="F1498" s="24" t="n"/>
      <c r="G1498" s="24" t="n"/>
      <c r="H1498" s="24" t="n"/>
      <c r="I1498" s="24" t="n"/>
      <c r="J1498" s="24" t="n"/>
      <c r="K1498" s="24" t="n"/>
      <c r="L1498" s="24" t="n"/>
      <c r="M1498" s="24" t="n"/>
      <c r="N1498" s="24" t="n"/>
      <c r="O1498" s="15">
        <f>IF(D1498="","",COUNT(F1498,H1498,J1498,L1498,N1498))</f>
        <v/>
      </c>
      <c r="P1498" s="25">
        <f>IF(D1498="","",N(E1498)*N(F1498)+N(G1498)*N(H1498)+N(I1498)*N(J1498)+N(K1498)*N(L1498)+N(M1498)*N(N1498))</f>
        <v/>
      </c>
      <c r="Q1498" s="18">
        <f>IF(N(X1498)=0,"",IF(IF(N(F1498)=0,0,IF(N(E1498)&gt;0,E1498*(1+F1498/30),F1498))=X1498,IF(N(E1498)&gt;0,E1498&amp;" x "&amp;F1498,F1498&amp;" reps"),IF(IF(N(H1498)=0,0,IF(N(G1498)&gt;0,G1498*(1+H1498/30),H1498))=X1498,IF(N(G1498)&gt;0,G1498&amp;" x "&amp;H1498,H1498&amp;" reps"),IF(IF(N(J1498)=0,0,IF(N(I1498)&gt;0,I1498*(1+J1498/30),J1498))=X1498,IF(N(I1498)&gt;0,I1498&amp;" x "&amp;J1498,J1498&amp;" reps"),IF(IF(N(L1498)=0,0,IF(N(K1498)&gt;0,K1498*(1+L1498/30),L1498))=X1498,IF(N(K1498)&gt;0,K1498&amp;" x "&amp;L1498,L1498&amp;" reps"),IF(IF(N(N1498)=0,0,IF(N(M1498)&gt;0,M1498*(1+N1498/30),N1498))=X1498,IF(N(M1498)&gt;0,M1498&amp;" x "&amp;N1498,N1498&amp;" reps"),""))))))</f>
        <v/>
      </c>
      <c r="R1498" s="20">
        <f>IF(N(X1498)=0,"",ROUND(X1498,1))</f>
        <v/>
      </c>
      <c r="S1498" s="18">
        <f>IF(N(X1498)=0,"",IF(AND(COUNTIFS(Log!$D$6:$D$1505,D1498,Log!$B$6:$B$1505,"&lt;"&amp;B1498)&gt;0,COUNTIFS(Log!$D$6:$D$1505,D1498,Log!$B$6:$B$1505,"&lt;"&amp;B1498,Log!$X$6:$X$1505,"&gt;="&amp;X1498)=0),"New best",""))</f>
        <v/>
      </c>
      <c r="T1498" s="26" t="n"/>
      <c r="U1498" s="1">
        <f>IF(D1498="","",IFERROR(INDEX(Exercises!$C$6:$C$105,MATCH(D1498,Exercises!$B$6:$B$105,0)),"Other"))</f>
        <v/>
      </c>
      <c r="V1498">
        <f>IF(B1498="","",IF(COUNTIF($B$6:B1498,B1498)=1,1,0))</f>
        <v/>
      </c>
      <c r="W1498">
        <f>IF(B1498="","",B1498-WEEKDAY(B1498,3))</f>
        <v/>
      </c>
      <c r="X1498">
        <f>IF(D1498="","",MAX(IF(N(F1498)=0,0,IF(N(E1498)&gt;0,E1498*(1+F1498/30),F1498)),IF(N(H1498)=0,0,IF(N(G1498)&gt;0,G1498*(1+H1498/30),H1498)),IF(N(J1498)=0,0,IF(N(I1498)&gt;0,I1498*(1+J1498/30),J1498)),IF(N(L1498)=0,0,IF(N(K1498)&gt;0,K1498*(1+L1498/30),L1498)),IF(N(N1498)=0,0,IF(N(M1498)&gt;0,M1498*(1+N1498/30),N1498))))</f>
        <v/>
      </c>
      <c r="Y1498">
        <f>IF(N(X1498)=0,"",X1498+ROW()/1000000000)</f>
        <v/>
      </c>
      <c r="Z1498">
        <f>IF(Y1498="","",IF(COUNTIFS(Log!$D$6:$D$1505,D1498,Log!$Y$6:$Y$1505,"&gt;"&amp;Y1498)=0,1,0))</f>
        <v/>
      </c>
      <c r="AA1498">
        <f>IF(OR(B1498="",D1498=""),"",B1498+ROW()/10000000)</f>
        <v/>
      </c>
      <c r="AB1498">
        <f>IF(AA1498="","",IF(COUNTIFS(Log!$D$6:$D$1505,D1498,Log!$AA$6:$AA$1505,"&gt;"&amp;AA1498)=0,1,0))</f>
        <v/>
      </c>
      <c r="AC1498">
        <f>IF(S1498="New best",AA1498,"")</f>
        <v/>
      </c>
      <c r="AD1498">
        <f>ROW()</f>
        <v/>
      </c>
    </row>
    <row r="1499">
      <c r="A1499" s="1" t="n"/>
      <c r="B1499" s="21" t="n"/>
      <c r="C1499" s="22" t="n"/>
      <c r="D1499" s="23" t="n"/>
      <c r="E1499" s="24" t="n"/>
      <c r="F1499" s="24" t="n"/>
      <c r="G1499" s="24" t="n"/>
      <c r="H1499" s="24" t="n"/>
      <c r="I1499" s="24" t="n"/>
      <c r="J1499" s="24" t="n"/>
      <c r="K1499" s="24" t="n"/>
      <c r="L1499" s="24" t="n"/>
      <c r="M1499" s="24" t="n"/>
      <c r="N1499" s="24" t="n"/>
      <c r="O1499" s="15">
        <f>IF(D1499="","",COUNT(F1499,H1499,J1499,L1499,N1499))</f>
        <v/>
      </c>
      <c r="P1499" s="25">
        <f>IF(D1499="","",N(E1499)*N(F1499)+N(G1499)*N(H1499)+N(I1499)*N(J1499)+N(K1499)*N(L1499)+N(M1499)*N(N1499))</f>
        <v/>
      </c>
      <c r="Q1499" s="18">
        <f>IF(N(X1499)=0,"",IF(IF(N(F1499)=0,0,IF(N(E1499)&gt;0,E1499*(1+F1499/30),F1499))=X1499,IF(N(E1499)&gt;0,E1499&amp;" x "&amp;F1499,F1499&amp;" reps"),IF(IF(N(H1499)=0,0,IF(N(G1499)&gt;0,G1499*(1+H1499/30),H1499))=X1499,IF(N(G1499)&gt;0,G1499&amp;" x "&amp;H1499,H1499&amp;" reps"),IF(IF(N(J1499)=0,0,IF(N(I1499)&gt;0,I1499*(1+J1499/30),J1499))=X1499,IF(N(I1499)&gt;0,I1499&amp;" x "&amp;J1499,J1499&amp;" reps"),IF(IF(N(L1499)=0,0,IF(N(K1499)&gt;0,K1499*(1+L1499/30),L1499))=X1499,IF(N(K1499)&gt;0,K1499&amp;" x "&amp;L1499,L1499&amp;" reps"),IF(IF(N(N1499)=0,0,IF(N(M1499)&gt;0,M1499*(1+N1499/30),N1499))=X1499,IF(N(M1499)&gt;0,M1499&amp;" x "&amp;N1499,N1499&amp;" reps"),""))))))</f>
        <v/>
      </c>
      <c r="R1499" s="20">
        <f>IF(N(X1499)=0,"",ROUND(X1499,1))</f>
        <v/>
      </c>
      <c r="S1499" s="18">
        <f>IF(N(X1499)=0,"",IF(AND(COUNTIFS(Log!$D$6:$D$1505,D1499,Log!$B$6:$B$1505,"&lt;"&amp;B1499)&gt;0,COUNTIFS(Log!$D$6:$D$1505,D1499,Log!$B$6:$B$1505,"&lt;"&amp;B1499,Log!$X$6:$X$1505,"&gt;="&amp;X1499)=0),"New best",""))</f>
        <v/>
      </c>
      <c r="T1499" s="26" t="n"/>
      <c r="U1499" s="1">
        <f>IF(D1499="","",IFERROR(INDEX(Exercises!$C$6:$C$105,MATCH(D1499,Exercises!$B$6:$B$105,0)),"Other"))</f>
        <v/>
      </c>
      <c r="V1499">
        <f>IF(B1499="","",IF(COUNTIF($B$6:B1499,B1499)=1,1,0))</f>
        <v/>
      </c>
      <c r="W1499">
        <f>IF(B1499="","",B1499-WEEKDAY(B1499,3))</f>
        <v/>
      </c>
      <c r="X1499">
        <f>IF(D1499="","",MAX(IF(N(F1499)=0,0,IF(N(E1499)&gt;0,E1499*(1+F1499/30),F1499)),IF(N(H1499)=0,0,IF(N(G1499)&gt;0,G1499*(1+H1499/30),H1499)),IF(N(J1499)=0,0,IF(N(I1499)&gt;0,I1499*(1+J1499/30),J1499)),IF(N(L1499)=0,0,IF(N(K1499)&gt;0,K1499*(1+L1499/30),L1499)),IF(N(N1499)=0,0,IF(N(M1499)&gt;0,M1499*(1+N1499/30),N1499))))</f>
        <v/>
      </c>
      <c r="Y1499">
        <f>IF(N(X1499)=0,"",X1499+ROW()/1000000000)</f>
        <v/>
      </c>
      <c r="Z1499">
        <f>IF(Y1499="","",IF(COUNTIFS(Log!$D$6:$D$1505,D1499,Log!$Y$6:$Y$1505,"&gt;"&amp;Y1499)=0,1,0))</f>
        <v/>
      </c>
      <c r="AA1499">
        <f>IF(OR(B1499="",D1499=""),"",B1499+ROW()/10000000)</f>
        <v/>
      </c>
      <c r="AB1499">
        <f>IF(AA1499="","",IF(COUNTIFS(Log!$D$6:$D$1505,D1499,Log!$AA$6:$AA$1505,"&gt;"&amp;AA1499)=0,1,0))</f>
        <v/>
      </c>
      <c r="AC1499">
        <f>IF(S1499="New best",AA1499,"")</f>
        <v/>
      </c>
      <c r="AD1499">
        <f>ROW()</f>
        <v/>
      </c>
    </row>
    <row r="1500">
      <c r="A1500" s="1" t="n"/>
      <c r="B1500" s="21" t="n"/>
      <c r="C1500" s="22" t="n"/>
      <c r="D1500" s="23" t="n"/>
      <c r="E1500" s="24" t="n"/>
      <c r="F1500" s="24" t="n"/>
      <c r="G1500" s="24" t="n"/>
      <c r="H1500" s="24" t="n"/>
      <c r="I1500" s="24" t="n"/>
      <c r="J1500" s="24" t="n"/>
      <c r="K1500" s="24" t="n"/>
      <c r="L1500" s="24" t="n"/>
      <c r="M1500" s="24" t="n"/>
      <c r="N1500" s="24" t="n"/>
      <c r="O1500" s="15">
        <f>IF(D1500="","",COUNT(F1500,H1500,J1500,L1500,N1500))</f>
        <v/>
      </c>
      <c r="P1500" s="25">
        <f>IF(D1500="","",N(E1500)*N(F1500)+N(G1500)*N(H1500)+N(I1500)*N(J1500)+N(K1500)*N(L1500)+N(M1500)*N(N1500))</f>
        <v/>
      </c>
      <c r="Q1500" s="18">
        <f>IF(N(X1500)=0,"",IF(IF(N(F1500)=0,0,IF(N(E1500)&gt;0,E1500*(1+F1500/30),F1500))=X1500,IF(N(E1500)&gt;0,E1500&amp;" x "&amp;F1500,F1500&amp;" reps"),IF(IF(N(H1500)=0,0,IF(N(G1500)&gt;0,G1500*(1+H1500/30),H1500))=X1500,IF(N(G1500)&gt;0,G1500&amp;" x "&amp;H1500,H1500&amp;" reps"),IF(IF(N(J1500)=0,0,IF(N(I1500)&gt;0,I1500*(1+J1500/30),J1500))=X1500,IF(N(I1500)&gt;0,I1500&amp;" x "&amp;J1500,J1500&amp;" reps"),IF(IF(N(L1500)=0,0,IF(N(K1500)&gt;0,K1500*(1+L1500/30),L1500))=X1500,IF(N(K1500)&gt;0,K1500&amp;" x "&amp;L1500,L1500&amp;" reps"),IF(IF(N(N1500)=0,0,IF(N(M1500)&gt;0,M1500*(1+N1500/30),N1500))=X1500,IF(N(M1500)&gt;0,M1500&amp;" x "&amp;N1500,N1500&amp;" reps"),""))))))</f>
        <v/>
      </c>
      <c r="R1500" s="20">
        <f>IF(N(X1500)=0,"",ROUND(X1500,1))</f>
        <v/>
      </c>
      <c r="S1500" s="18">
        <f>IF(N(X1500)=0,"",IF(AND(COUNTIFS(Log!$D$6:$D$1505,D1500,Log!$B$6:$B$1505,"&lt;"&amp;B1500)&gt;0,COUNTIFS(Log!$D$6:$D$1505,D1500,Log!$B$6:$B$1505,"&lt;"&amp;B1500,Log!$X$6:$X$1505,"&gt;="&amp;X1500)=0),"New best",""))</f>
        <v/>
      </c>
      <c r="T1500" s="26" t="n"/>
      <c r="U1500" s="1">
        <f>IF(D1500="","",IFERROR(INDEX(Exercises!$C$6:$C$105,MATCH(D1500,Exercises!$B$6:$B$105,0)),"Other"))</f>
        <v/>
      </c>
      <c r="V1500">
        <f>IF(B1500="","",IF(COUNTIF($B$6:B1500,B1500)=1,1,0))</f>
        <v/>
      </c>
      <c r="W1500">
        <f>IF(B1500="","",B1500-WEEKDAY(B1500,3))</f>
        <v/>
      </c>
      <c r="X1500">
        <f>IF(D1500="","",MAX(IF(N(F1500)=0,0,IF(N(E1500)&gt;0,E1500*(1+F1500/30),F1500)),IF(N(H1500)=0,0,IF(N(G1500)&gt;0,G1500*(1+H1500/30),H1500)),IF(N(J1500)=0,0,IF(N(I1500)&gt;0,I1500*(1+J1500/30),J1500)),IF(N(L1500)=0,0,IF(N(K1500)&gt;0,K1500*(1+L1500/30),L1500)),IF(N(N1500)=0,0,IF(N(M1500)&gt;0,M1500*(1+N1500/30),N1500))))</f>
        <v/>
      </c>
      <c r="Y1500">
        <f>IF(N(X1500)=0,"",X1500+ROW()/1000000000)</f>
        <v/>
      </c>
      <c r="Z1500">
        <f>IF(Y1500="","",IF(COUNTIFS(Log!$D$6:$D$1505,D1500,Log!$Y$6:$Y$1505,"&gt;"&amp;Y1500)=0,1,0))</f>
        <v/>
      </c>
      <c r="AA1500">
        <f>IF(OR(B1500="",D1500=""),"",B1500+ROW()/10000000)</f>
        <v/>
      </c>
      <c r="AB1500">
        <f>IF(AA1500="","",IF(COUNTIFS(Log!$D$6:$D$1505,D1500,Log!$AA$6:$AA$1505,"&gt;"&amp;AA1500)=0,1,0))</f>
        <v/>
      </c>
      <c r="AC1500">
        <f>IF(S1500="New best",AA1500,"")</f>
        <v/>
      </c>
      <c r="AD1500">
        <f>ROW()</f>
        <v/>
      </c>
    </row>
    <row r="1501">
      <c r="A1501" s="1" t="n"/>
      <c r="B1501" s="21" t="n"/>
      <c r="C1501" s="22" t="n"/>
      <c r="D1501" s="23" t="n"/>
      <c r="E1501" s="24" t="n"/>
      <c r="F1501" s="24" t="n"/>
      <c r="G1501" s="24" t="n"/>
      <c r="H1501" s="24" t="n"/>
      <c r="I1501" s="24" t="n"/>
      <c r="J1501" s="24" t="n"/>
      <c r="K1501" s="24" t="n"/>
      <c r="L1501" s="24" t="n"/>
      <c r="M1501" s="24" t="n"/>
      <c r="N1501" s="24" t="n"/>
      <c r="O1501" s="15">
        <f>IF(D1501="","",COUNT(F1501,H1501,J1501,L1501,N1501))</f>
        <v/>
      </c>
      <c r="P1501" s="25">
        <f>IF(D1501="","",N(E1501)*N(F1501)+N(G1501)*N(H1501)+N(I1501)*N(J1501)+N(K1501)*N(L1501)+N(M1501)*N(N1501))</f>
        <v/>
      </c>
      <c r="Q1501" s="18">
        <f>IF(N(X1501)=0,"",IF(IF(N(F1501)=0,0,IF(N(E1501)&gt;0,E1501*(1+F1501/30),F1501))=X1501,IF(N(E1501)&gt;0,E1501&amp;" x "&amp;F1501,F1501&amp;" reps"),IF(IF(N(H1501)=0,0,IF(N(G1501)&gt;0,G1501*(1+H1501/30),H1501))=X1501,IF(N(G1501)&gt;0,G1501&amp;" x "&amp;H1501,H1501&amp;" reps"),IF(IF(N(J1501)=0,0,IF(N(I1501)&gt;0,I1501*(1+J1501/30),J1501))=X1501,IF(N(I1501)&gt;0,I1501&amp;" x "&amp;J1501,J1501&amp;" reps"),IF(IF(N(L1501)=0,0,IF(N(K1501)&gt;0,K1501*(1+L1501/30),L1501))=X1501,IF(N(K1501)&gt;0,K1501&amp;" x "&amp;L1501,L1501&amp;" reps"),IF(IF(N(N1501)=0,0,IF(N(M1501)&gt;0,M1501*(1+N1501/30),N1501))=X1501,IF(N(M1501)&gt;0,M1501&amp;" x "&amp;N1501,N1501&amp;" reps"),""))))))</f>
        <v/>
      </c>
      <c r="R1501" s="20">
        <f>IF(N(X1501)=0,"",ROUND(X1501,1))</f>
        <v/>
      </c>
      <c r="S1501" s="18">
        <f>IF(N(X1501)=0,"",IF(AND(COUNTIFS(Log!$D$6:$D$1505,D1501,Log!$B$6:$B$1505,"&lt;"&amp;B1501)&gt;0,COUNTIFS(Log!$D$6:$D$1505,D1501,Log!$B$6:$B$1505,"&lt;"&amp;B1501,Log!$X$6:$X$1505,"&gt;="&amp;X1501)=0),"New best",""))</f>
        <v/>
      </c>
      <c r="T1501" s="26" t="n"/>
      <c r="U1501" s="1">
        <f>IF(D1501="","",IFERROR(INDEX(Exercises!$C$6:$C$105,MATCH(D1501,Exercises!$B$6:$B$105,0)),"Other"))</f>
        <v/>
      </c>
      <c r="V1501">
        <f>IF(B1501="","",IF(COUNTIF($B$6:B1501,B1501)=1,1,0))</f>
        <v/>
      </c>
      <c r="W1501">
        <f>IF(B1501="","",B1501-WEEKDAY(B1501,3))</f>
        <v/>
      </c>
      <c r="X1501">
        <f>IF(D1501="","",MAX(IF(N(F1501)=0,0,IF(N(E1501)&gt;0,E1501*(1+F1501/30),F1501)),IF(N(H1501)=0,0,IF(N(G1501)&gt;0,G1501*(1+H1501/30),H1501)),IF(N(J1501)=0,0,IF(N(I1501)&gt;0,I1501*(1+J1501/30),J1501)),IF(N(L1501)=0,0,IF(N(K1501)&gt;0,K1501*(1+L1501/30),L1501)),IF(N(N1501)=0,0,IF(N(M1501)&gt;0,M1501*(1+N1501/30),N1501))))</f>
        <v/>
      </c>
      <c r="Y1501">
        <f>IF(N(X1501)=0,"",X1501+ROW()/1000000000)</f>
        <v/>
      </c>
      <c r="Z1501">
        <f>IF(Y1501="","",IF(COUNTIFS(Log!$D$6:$D$1505,D1501,Log!$Y$6:$Y$1505,"&gt;"&amp;Y1501)=0,1,0))</f>
        <v/>
      </c>
      <c r="AA1501">
        <f>IF(OR(B1501="",D1501=""),"",B1501+ROW()/10000000)</f>
        <v/>
      </c>
      <c r="AB1501">
        <f>IF(AA1501="","",IF(COUNTIFS(Log!$D$6:$D$1505,D1501,Log!$AA$6:$AA$1505,"&gt;"&amp;AA1501)=0,1,0))</f>
        <v/>
      </c>
      <c r="AC1501">
        <f>IF(S1501="New best",AA1501,"")</f>
        <v/>
      </c>
      <c r="AD1501">
        <f>ROW()</f>
        <v/>
      </c>
    </row>
    <row r="1502">
      <c r="A1502" s="1" t="n"/>
      <c r="B1502" s="21" t="n"/>
      <c r="C1502" s="22" t="n"/>
      <c r="D1502" s="23" t="n"/>
      <c r="E1502" s="24" t="n"/>
      <c r="F1502" s="24" t="n"/>
      <c r="G1502" s="24" t="n"/>
      <c r="H1502" s="24" t="n"/>
      <c r="I1502" s="24" t="n"/>
      <c r="J1502" s="24" t="n"/>
      <c r="K1502" s="24" t="n"/>
      <c r="L1502" s="24" t="n"/>
      <c r="M1502" s="24" t="n"/>
      <c r="N1502" s="24" t="n"/>
      <c r="O1502" s="15">
        <f>IF(D1502="","",COUNT(F1502,H1502,J1502,L1502,N1502))</f>
        <v/>
      </c>
      <c r="P1502" s="25">
        <f>IF(D1502="","",N(E1502)*N(F1502)+N(G1502)*N(H1502)+N(I1502)*N(J1502)+N(K1502)*N(L1502)+N(M1502)*N(N1502))</f>
        <v/>
      </c>
      <c r="Q1502" s="18">
        <f>IF(N(X1502)=0,"",IF(IF(N(F1502)=0,0,IF(N(E1502)&gt;0,E1502*(1+F1502/30),F1502))=X1502,IF(N(E1502)&gt;0,E1502&amp;" x "&amp;F1502,F1502&amp;" reps"),IF(IF(N(H1502)=0,0,IF(N(G1502)&gt;0,G1502*(1+H1502/30),H1502))=X1502,IF(N(G1502)&gt;0,G1502&amp;" x "&amp;H1502,H1502&amp;" reps"),IF(IF(N(J1502)=0,0,IF(N(I1502)&gt;0,I1502*(1+J1502/30),J1502))=X1502,IF(N(I1502)&gt;0,I1502&amp;" x "&amp;J1502,J1502&amp;" reps"),IF(IF(N(L1502)=0,0,IF(N(K1502)&gt;0,K1502*(1+L1502/30),L1502))=X1502,IF(N(K1502)&gt;0,K1502&amp;" x "&amp;L1502,L1502&amp;" reps"),IF(IF(N(N1502)=0,0,IF(N(M1502)&gt;0,M1502*(1+N1502/30),N1502))=X1502,IF(N(M1502)&gt;0,M1502&amp;" x "&amp;N1502,N1502&amp;" reps"),""))))))</f>
        <v/>
      </c>
      <c r="R1502" s="20">
        <f>IF(N(X1502)=0,"",ROUND(X1502,1))</f>
        <v/>
      </c>
      <c r="S1502" s="18">
        <f>IF(N(X1502)=0,"",IF(AND(COUNTIFS(Log!$D$6:$D$1505,D1502,Log!$B$6:$B$1505,"&lt;"&amp;B1502)&gt;0,COUNTIFS(Log!$D$6:$D$1505,D1502,Log!$B$6:$B$1505,"&lt;"&amp;B1502,Log!$X$6:$X$1505,"&gt;="&amp;X1502)=0),"New best",""))</f>
        <v/>
      </c>
      <c r="T1502" s="26" t="n"/>
      <c r="U1502" s="1">
        <f>IF(D1502="","",IFERROR(INDEX(Exercises!$C$6:$C$105,MATCH(D1502,Exercises!$B$6:$B$105,0)),"Other"))</f>
        <v/>
      </c>
      <c r="V1502">
        <f>IF(B1502="","",IF(COUNTIF($B$6:B1502,B1502)=1,1,0))</f>
        <v/>
      </c>
      <c r="W1502">
        <f>IF(B1502="","",B1502-WEEKDAY(B1502,3))</f>
        <v/>
      </c>
      <c r="X1502">
        <f>IF(D1502="","",MAX(IF(N(F1502)=0,0,IF(N(E1502)&gt;0,E1502*(1+F1502/30),F1502)),IF(N(H1502)=0,0,IF(N(G1502)&gt;0,G1502*(1+H1502/30),H1502)),IF(N(J1502)=0,0,IF(N(I1502)&gt;0,I1502*(1+J1502/30),J1502)),IF(N(L1502)=0,0,IF(N(K1502)&gt;0,K1502*(1+L1502/30),L1502)),IF(N(N1502)=0,0,IF(N(M1502)&gt;0,M1502*(1+N1502/30),N1502))))</f>
        <v/>
      </c>
      <c r="Y1502">
        <f>IF(N(X1502)=0,"",X1502+ROW()/1000000000)</f>
        <v/>
      </c>
      <c r="Z1502">
        <f>IF(Y1502="","",IF(COUNTIFS(Log!$D$6:$D$1505,D1502,Log!$Y$6:$Y$1505,"&gt;"&amp;Y1502)=0,1,0))</f>
        <v/>
      </c>
      <c r="AA1502">
        <f>IF(OR(B1502="",D1502=""),"",B1502+ROW()/10000000)</f>
        <v/>
      </c>
      <c r="AB1502">
        <f>IF(AA1502="","",IF(COUNTIFS(Log!$D$6:$D$1505,D1502,Log!$AA$6:$AA$1505,"&gt;"&amp;AA1502)=0,1,0))</f>
        <v/>
      </c>
      <c r="AC1502">
        <f>IF(S1502="New best",AA1502,"")</f>
        <v/>
      </c>
      <c r="AD1502">
        <f>ROW()</f>
        <v/>
      </c>
    </row>
    <row r="1503">
      <c r="A1503" s="1" t="n"/>
      <c r="B1503" s="21" t="n"/>
      <c r="C1503" s="22" t="n"/>
      <c r="D1503" s="23" t="n"/>
      <c r="E1503" s="24" t="n"/>
      <c r="F1503" s="24" t="n"/>
      <c r="G1503" s="24" t="n"/>
      <c r="H1503" s="24" t="n"/>
      <c r="I1503" s="24" t="n"/>
      <c r="J1503" s="24" t="n"/>
      <c r="K1503" s="24" t="n"/>
      <c r="L1503" s="24" t="n"/>
      <c r="M1503" s="24" t="n"/>
      <c r="N1503" s="24" t="n"/>
      <c r="O1503" s="15">
        <f>IF(D1503="","",COUNT(F1503,H1503,J1503,L1503,N1503))</f>
        <v/>
      </c>
      <c r="P1503" s="25">
        <f>IF(D1503="","",N(E1503)*N(F1503)+N(G1503)*N(H1503)+N(I1503)*N(J1503)+N(K1503)*N(L1503)+N(M1503)*N(N1503))</f>
        <v/>
      </c>
      <c r="Q1503" s="18">
        <f>IF(N(X1503)=0,"",IF(IF(N(F1503)=0,0,IF(N(E1503)&gt;0,E1503*(1+F1503/30),F1503))=X1503,IF(N(E1503)&gt;0,E1503&amp;" x "&amp;F1503,F1503&amp;" reps"),IF(IF(N(H1503)=0,0,IF(N(G1503)&gt;0,G1503*(1+H1503/30),H1503))=X1503,IF(N(G1503)&gt;0,G1503&amp;" x "&amp;H1503,H1503&amp;" reps"),IF(IF(N(J1503)=0,0,IF(N(I1503)&gt;0,I1503*(1+J1503/30),J1503))=X1503,IF(N(I1503)&gt;0,I1503&amp;" x "&amp;J1503,J1503&amp;" reps"),IF(IF(N(L1503)=0,0,IF(N(K1503)&gt;0,K1503*(1+L1503/30),L1503))=X1503,IF(N(K1503)&gt;0,K1503&amp;" x "&amp;L1503,L1503&amp;" reps"),IF(IF(N(N1503)=0,0,IF(N(M1503)&gt;0,M1503*(1+N1503/30),N1503))=X1503,IF(N(M1503)&gt;0,M1503&amp;" x "&amp;N1503,N1503&amp;" reps"),""))))))</f>
        <v/>
      </c>
      <c r="R1503" s="20">
        <f>IF(N(X1503)=0,"",ROUND(X1503,1))</f>
        <v/>
      </c>
      <c r="S1503" s="18">
        <f>IF(N(X1503)=0,"",IF(AND(COUNTIFS(Log!$D$6:$D$1505,D1503,Log!$B$6:$B$1505,"&lt;"&amp;B1503)&gt;0,COUNTIFS(Log!$D$6:$D$1505,D1503,Log!$B$6:$B$1505,"&lt;"&amp;B1503,Log!$X$6:$X$1505,"&gt;="&amp;X1503)=0),"New best",""))</f>
        <v/>
      </c>
      <c r="T1503" s="26" t="n"/>
      <c r="U1503" s="1">
        <f>IF(D1503="","",IFERROR(INDEX(Exercises!$C$6:$C$105,MATCH(D1503,Exercises!$B$6:$B$105,0)),"Other"))</f>
        <v/>
      </c>
      <c r="V1503">
        <f>IF(B1503="","",IF(COUNTIF($B$6:B1503,B1503)=1,1,0))</f>
        <v/>
      </c>
      <c r="W1503">
        <f>IF(B1503="","",B1503-WEEKDAY(B1503,3))</f>
        <v/>
      </c>
      <c r="X1503">
        <f>IF(D1503="","",MAX(IF(N(F1503)=0,0,IF(N(E1503)&gt;0,E1503*(1+F1503/30),F1503)),IF(N(H1503)=0,0,IF(N(G1503)&gt;0,G1503*(1+H1503/30),H1503)),IF(N(J1503)=0,0,IF(N(I1503)&gt;0,I1503*(1+J1503/30),J1503)),IF(N(L1503)=0,0,IF(N(K1503)&gt;0,K1503*(1+L1503/30),L1503)),IF(N(N1503)=0,0,IF(N(M1503)&gt;0,M1503*(1+N1503/30),N1503))))</f>
        <v/>
      </c>
      <c r="Y1503">
        <f>IF(N(X1503)=0,"",X1503+ROW()/1000000000)</f>
        <v/>
      </c>
      <c r="Z1503">
        <f>IF(Y1503="","",IF(COUNTIFS(Log!$D$6:$D$1505,D1503,Log!$Y$6:$Y$1505,"&gt;"&amp;Y1503)=0,1,0))</f>
        <v/>
      </c>
      <c r="AA1503">
        <f>IF(OR(B1503="",D1503=""),"",B1503+ROW()/10000000)</f>
        <v/>
      </c>
      <c r="AB1503">
        <f>IF(AA1503="","",IF(COUNTIFS(Log!$D$6:$D$1505,D1503,Log!$AA$6:$AA$1505,"&gt;"&amp;AA1503)=0,1,0))</f>
        <v/>
      </c>
      <c r="AC1503">
        <f>IF(S1503="New best",AA1503,"")</f>
        <v/>
      </c>
      <c r="AD1503">
        <f>ROW()</f>
        <v/>
      </c>
    </row>
    <row r="1504">
      <c r="A1504" s="1" t="n"/>
      <c r="B1504" s="21" t="n"/>
      <c r="C1504" s="22" t="n"/>
      <c r="D1504" s="23" t="n"/>
      <c r="E1504" s="24" t="n"/>
      <c r="F1504" s="24" t="n"/>
      <c r="G1504" s="24" t="n"/>
      <c r="H1504" s="24" t="n"/>
      <c r="I1504" s="24" t="n"/>
      <c r="J1504" s="24" t="n"/>
      <c r="K1504" s="24" t="n"/>
      <c r="L1504" s="24" t="n"/>
      <c r="M1504" s="24" t="n"/>
      <c r="N1504" s="24" t="n"/>
      <c r="O1504" s="15">
        <f>IF(D1504="","",COUNT(F1504,H1504,J1504,L1504,N1504))</f>
        <v/>
      </c>
      <c r="P1504" s="25">
        <f>IF(D1504="","",N(E1504)*N(F1504)+N(G1504)*N(H1504)+N(I1504)*N(J1504)+N(K1504)*N(L1504)+N(M1504)*N(N1504))</f>
        <v/>
      </c>
      <c r="Q1504" s="18">
        <f>IF(N(X1504)=0,"",IF(IF(N(F1504)=0,0,IF(N(E1504)&gt;0,E1504*(1+F1504/30),F1504))=X1504,IF(N(E1504)&gt;0,E1504&amp;" x "&amp;F1504,F1504&amp;" reps"),IF(IF(N(H1504)=0,0,IF(N(G1504)&gt;0,G1504*(1+H1504/30),H1504))=X1504,IF(N(G1504)&gt;0,G1504&amp;" x "&amp;H1504,H1504&amp;" reps"),IF(IF(N(J1504)=0,0,IF(N(I1504)&gt;0,I1504*(1+J1504/30),J1504))=X1504,IF(N(I1504)&gt;0,I1504&amp;" x "&amp;J1504,J1504&amp;" reps"),IF(IF(N(L1504)=0,0,IF(N(K1504)&gt;0,K1504*(1+L1504/30),L1504))=X1504,IF(N(K1504)&gt;0,K1504&amp;" x "&amp;L1504,L1504&amp;" reps"),IF(IF(N(N1504)=0,0,IF(N(M1504)&gt;0,M1504*(1+N1504/30),N1504))=X1504,IF(N(M1504)&gt;0,M1504&amp;" x "&amp;N1504,N1504&amp;" reps"),""))))))</f>
        <v/>
      </c>
      <c r="R1504" s="20">
        <f>IF(N(X1504)=0,"",ROUND(X1504,1))</f>
        <v/>
      </c>
      <c r="S1504" s="18">
        <f>IF(N(X1504)=0,"",IF(AND(COUNTIFS(Log!$D$6:$D$1505,D1504,Log!$B$6:$B$1505,"&lt;"&amp;B1504)&gt;0,COUNTIFS(Log!$D$6:$D$1505,D1504,Log!$B$6:$B$1505,"&lt;"&amp;B1504,Log!$X$6:$X$1505,"&gt;="&amp;X1504)=0),"New best",""))</f>
        <v/>
      </c>
      <c r="T1504" s="26" t="n"/>
      <c r="U1504" s="1">
        <f>IF(D1504="","",IFERROR(INDEX(Exercises!$C$6:$C$105,MATCH(D1504,Exercises!$B$6:$B$105,0)),"Other"))</f>
        <v/>
      </c>
      <c r="V1504">
        <f>IF(B1504="","",IF(COUNTIF($B$6:B1504,B1504)=1,1,0))</f>
        <v/>
      </c>
      <c r="W1504">
        <f>IF(B1504="","",B1504-WEEKDAY(B1504,3))</f>
        <v/>
      </c>
      <c r="X1504">
        <f>IF(D1504="","",MAX(IF(N(F1504)=0,0,IF(N(E1504)&gt;0,E1504*(1+F1504/30),F1504)),IF(N(H1504)=0,0,IF(N(G1504)&gt;0,G1504*(1+H1504/30),H1504)),IF(N(J1504)=0,0,IF(N(I1504)&gt;0,I1504*(1+J1504/30),J1504)),IF(N(L1504)=0,0,IF(N(K1504)&gt;0,K1504*(1+L1504/30),L1504)),IF(N(N1504)=0,0,IF(N(M1504)&gt;0,M1504*(1+N1504/30),N1504))))</f>
        <v/>
      </c>
      <c r="Y1504">
        <f>IF(N(X1504)=0,"",X1504+ROW()/1000000000)</f>
        <v/>
      </c>
      <c r="Z1504">
        <f>IF(Y1504="","",IF(COUNTIFS(Log!$D$6:$D$1505,D1504,Log!$Y$6:$Y$1505,"&gt;"&amp;Y1504)=0,1,0))</f>
        <v/>
      </c>
      <c r="AA1504">
        <f>IF(OR(B1504="",D1504=""),"",B1504+ROW()/10000000)</f>
        <v/>
      </c>
      <c r="AB1504">
        <f>IF(AA1504="","",IF(COUNTIFS(Log!$D$6:$D$1505,D1504,Log!$AA$6:$AA$1505,"&gt;"&amp;AA1504)=0,1,0))</f>
        <v/>
      </c>
      <c r="AC1504">
        <f>IF(S1504="New best",AA1504,"")</f>
        <v/>
      </c>
      <c r="AD1504">
        <f>ROW()</f>
        <v/>
      </c>
    </row>
    <row r="1505">
      <c r="A1505" s="1" t="n"/>
      <c r="B1505" s="21" t="n"/>
      <c r="C1505" s="22" t="n"/>
      <c r="D1505" s="23" t="n"/>
      <c r="E1505" s="24" t="n"/>
      <c r="F1505" s="24" t="n"/>
      <c r="G1505" s="24" t="n"/>
      <c r="H1505" s="24" t="n"/>
      <c r="I1505" s="24" t="n"/>
      <c r="J1505" s="24" t="n"/>
      <c r="K1505" s="24" t="n"/>
      <c r="L1505" s="24" t="n"/>
      <c r="M1505" s="24" t="n"/>
      <c r="N1505" s="24" t="n"/>
      <c r="O1505" s="15">
        <f>IF(D1505="","",COUNT(F1505,H1505,J1505,L1505,N1505))</f>
        <v/>
      </c>
      <c r="P1505" s="25">
        <f>IF(D1505="","",N(E1505)*N(F1505)+N(G1505)*N(H1505)+N(I1505)*N(J1505)+N(K1505)*N(L1505)+N(M1505)*N(N1505))</f>
        <v/>
      </c>
      <c r="Q1505" s="18">
        <f>IF(N(X1505)=0,"",IF(IF(N(F1505)=0,0,IF(N(E1505)&gt;0,E1505*(1+F1505/30),F1505))=X1505,IF(N(E1505)&gt;0,E1505&amp;" x "&amp;F1505,F1505&amp;" reps"),IF(IF(N(H1505)=0,0,IF(N(G1505)&gt;0,G1505*(1+H1505/30),H1505))=X1505,IF(N(G1505)&gt;0,G1505&amp;" x "&amp;H1505,H1505&amp;" reps"),IF(IF(N(J1505)=0,0,IF(N(I1505)&gt;0,I1505*(1+J1505/30),J1505))=X1505,IF(N(I1505)&gt;0,I1505&amp;" x "&amp;J1505,J1505&amp;" reps"),IF(IF(N(L1505)=0,0,IF(N(K1505)&gt;0,K1505*(1+L1505/30),L1505))=X1505,IF(N(K1505)&gt;0,K1505&amp;" x "&amp;L1505,L1505&amp;" reps"),IF(IF(N(N1505)=0,0,IF(N(M1505)&gt;0,M1505*(1+N1505/30),N1505))=X1505,IF(N(M1505)&gt;0,M1505&amp;" x "&amp;N1505,N1505&amp;" reps"),""))))))</f>
        <v/>
      </c>
      <c r="R1505" s="20">
        <f>IF(N(X1505)=0,"",ROUND(X1505,1))</f>
        <v/>
      </c>
      <c r="S1505" s="18">
        <f>IF(N(X1505)=0,"",IF(AND(COUNTIFS(Log!$D$6:$D$1505,D1505,Log!$B$6:$B$1505,"&lt;"&amp;B1505)&gt;0,COUNTIFS(Log!$D$6:$D$1505,D1505,Log!$B$6:$B$1505,"&lt;"&amp;B1505,Log!$X$6:$X$1505,"&gt;="&amp;X1505)=0),"New best",""))</f>
        <v/>
      </c>
      <c r="T1505" s="26" t="n"/>
      <c r="U1505" s="1">
        <f>IF(D1505="","",IFERROR(INDEX(Exercises!$C$6:$C$105,MATCH(D1505,Exercises!$B$6:$B$105,0)),"Other"))</f>
        <v/>
      </c>
      <c r="V1505">
        <f>IF(B1505="","",IF(COUNTIF($B$6:B1505,B1505)=1,1,0))</f>
        <v/>
      </c>
      <c r="W1505">
        <f>IF(B1505="","",B1505-WEEKDAY(B1505,3))</f>
        <v/>
      </c>
      <c r="X1505">
        <f>IF(D1505="","",MAX(IF(N(F1505)=0,0,IF(N(E1505)&gt;0,E1505*(1+F1505/30),F1505)),IF(N(H1505)=0,0,IF(N(G1505)&gt;0,G1505*(1+H1505/30),H1505)),IF(N(J1505)=0,0,IF(N(I1505)&gt;0,I1505*(1+J1505/30),J1505)),IF(N(L1505)=0,0,IF(N(K1505)&gt;0,K1505*(1+L1505/30),L1505)),IF(N(N1505)=0,0,IF(N(M1505)&gt;0,M1505*(1+N1505/30),N1505))))</f>
        <v/>
      </c>
      <c r="Y1505">
        <f>IF(N(X1505)=0,"",X1505+ROW()/1000000000)</f>
        <v/>
      </c>
      <c r="Z1505">
        <f>IF(Y1505="","",IF(COUNTIFS(Log!$D$6:$D$1505,D1505,Log!$Y$6:$Y$1505,"&gt;"&amp;Y1505)=0,1,0))</f>
        <v/>
      </c>
      <c r="AA1505">
        <f>IF(OR(B1505="",D1505=""),"",B1505+ROW()/10000000)</f>
        <v/>
      </c>
      <c r="AB1505">
        <f>IF(AA1505="","",IF(COUNTIFS(Log!$D$6:$D$1505,D1505,Log!$AA$6:$AA$1505,"&gt;"&amp;AA1505)=0,1,0))</f>
        <v/>
      </c>
      <c r="AC1505">
        <f>IF(S1505="New best",AA1505,"")</f>
        <v/>
      </c>
      <c r="AD1505">
        <f>ROW()</f>
        <v/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  <c r="I1506" s="1" t="n"/>
      <c r="J1506" s="1" t="n"/>
      <c r="K1506" s="1" t="n"/>
      <c r="L1506" s="1" t="n"/>
      <c r="M1506" s="1" t="n"/>
      <c r="N1506" s="1" t="n"/>
      <c r="O1506" s="1" t="n"/>
      <c r="P1506" s="1" t="n"/>
      <c r="Q1506" s="1" t="n"/>
      <c r="R1506" s="1" t="n"/>
      <c r="S1506" s="1" t="n"/>
      <c r="T1506" s="1" t="n"/>
      <c r="U1506" s="1" t="n"/>
    </row>
  </sheetData>
  <conditionalFormatting sqref="S6:S1505">
    <cfRule type="expression" priority="1" dxfId="3">
      <formula>$S6="New best"</formula>
    </cfRule>
  </conditionalFormatting>
  <conditionalFormatting sqref="B6:D1505">
    <cfRule type="expression" priority="2" dxfId="0">
      <formula>AND($B6&lt;&gt;"",$V6=1,ROW()&gt;6)</formula>
    </cfRule>
  </conditionalFormatting>
  <dataValidations count="2">
    <dataValidation sqref="C6:C1505" showDropDown="0" showInputMessage="0" showErrorMessage="0" allowBlank="1" type="list">
      <formula1>=Plan!$B$42:$B$47</formula1>
    </dataValidation>
    <dataValidation sqref="D6:D1505" showDropDown="0" showInputMessage="0" showErrorMessage="1" allowBlank="1" type="list">
      <formula1>=Exercises!$B$6:$B$105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9" customWidth="1" min="5" max="5"/>
    <col width="13" customWidth="1" min="6" max="6"/>
    <col width="13" customWidth="1" min="7" max="7"/>
    <col width="11" customWidth="1" min="8" max="8"/>
    <col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Exercises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Your exercises with their muscle group. Bests and last times come from the log.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3" t="inlineStr">
        <is>
          <t>Exercise</t>
        </is>
      </c>
      <c r="C5" s="13" t="inlineStr">
        <is>
          <t>Muscle group</t>
        </is>
      </c>
      <c r="D5" s="13" t="inlineStr">
        <is>
          <t>Type</t>
        </is>
      </c>
      <c r="E5" s="13" t="inlineStr">
        <is>
          <t>Times done</t>
        </is>
      </c>
      <c r="F5" s="13" t="inlineStr">
        <is>
          <t>Last done</t>
        </is>
      </c>
      <c r="G5" s="13" t="inlineStr">
        <is>
          <t>Best set</t>
        </is>
      </c>
      <c r="H5" s="13" t="inlineStr">
        <is>
          <t>Est. max</t>
        </is>
      </c>
      <c r="I5" s="13" t="inlineStr">
        <is>
          <t>Best on</t>
        </is>
      </c>
      <c r="J5" s="1" t="n"/>
    </row>
    <row r="6">
      <c r="A6" s="1" t="n"/>
      <c r="B6" s="23" t="inlineStr">
        <is>
          <t>Bench press</t>
        </is>
      </c>
      <c r="C6" s="26" t="inlineStr">
        <is>
          <t>Chest</t>
        </is>
      </c>
      <c r="D6" s="26" t="inlineStr">
        <is>
          <t>Weights</t>
        </is>
      </c>
      <c r="E6" s="15">
        <f>IF(B6="","",COUNTIFS(Log!$D$6:$D$1505,B6))</f>
        <v/>
      </c>
      <c r="F6" s="27">
        <f>IF(N(E6)=0,"",INT(SUMIFS(Log!$AA$6:$AA$1505,Log!$D$6:$D$1505,B6,Log!$AB$6:$AB$1505,1)))</f>
        <v/>
      </c>
      <c r="G6" s="18">
        <f>IF(OR(N(E6)=0,SUMIFS(Log!$AD$6:$AD$1505,Log!$D$6:$D$1505,B6,Log!$Z$6:$Z$1505,1)=0),"",INDEX(Log!$Q:$Q,SUMIFS(Log!$AD$6:$AD$1505,Log!$D$6:$D$1505,B6,Log!$Z$6:$Z$1505,1)))</f>
        <v/>
      </c>
      <c r="H6" s="20">
        <f>IF(OR(N(E6)=0,SUMIFS(Log!$AD$6:$AD$1505,Log!$D$6:$D$1505,B6,Log!$Z$6:$Z$1505,1)=0),"",INDEX(Log!$R:$R,SUMIFS(Log!$AD$6:$AD$1505,Log!$D$6:$D$1505,B6,Log!$Z$6:$Z$1505,1)))</f>
        <v/>
      </c>
      <c r="I6" s="27">
        <f>IF(OR(N(E6)=0,SUMIFS(Log!$AD$6:$AD$1505,Log!$D$6:$D$1505,B6,Log!$Z$6:$Z$1505,1)=0),"",INDEX(Log!$B:$B,SUMIFS(Log!$AD$6:$AD$1505,Log!$D$6:$D$1505,B6,Log!$Z$6:$Z$1505,1)))</f>
        <v/>
      </c>
      <c r="J6" s="1" t="n"/>
    </row>
    <row r="7">
      <c r="A7" s="1" t="n"/>
      <c r="B7" s="23" t="inlineStr">
        <is>
          <t>Incline dumbbell press</t>
        </is>
      </c>
      <c r="C7" s="26" t="inlineStr">
        <is>
          <t>Chest</t>
        </is>
      </c>
      <c r="D7" s="26" t="inlineStr">
        <is>
          <t>Weights</t>
        </is>
      </c>
      <c r="E7" s="15">
        <f>IF(B7="","",COUNTIFS(Log!$D$6:$D$1505,B7))</f>
        <v/>
      </c>
      <c r="F7" s="27">
        <f>IF(N(E7)=0,"",INT(SUMIFS(Log!$AA$6:$AA$1505,Log!$D$6:$D$1505,B7,Log!$AB$6:$AB$1505,1)))</f>
        <v/>
      </c>
      <c r="G7" s="18">
        <f>IF(OR(N(E7)=0,SUMIFS(Log!$AD$6:$AD$1505,Log!$D$6:$D$1505,B7,Log!$Z$6:$Z$1505,1)=0),"",INDEX(Log!$Q:$Q,SUMIFS(Log!$AD$6:$AD$1505,Log!$D$6:$D$1505,B7,Log!$Z$6:$Z$1505,1)))</f>
        <v/>
      </c>
      <c r="H7" s="20">
        <f>IF(OR(N(E7)=0,SUMIFS(Log!$AD$6:$AD$1505,Log!$D$6:$D$1505,B7,Log!$Z$6:$Z$1505,1)=0),"",INDEX(Log!$R:$R,SUMIFS(Log!$AD$6:$AD$1505,Log!$D$6:$D$1505,B7,Log!$Z$6:$Z$1505,1)))</f>
        <v/>
      </c>
      <c r="I7" s="27">
        <f>IF(OR(N(E7)=0,SUMIFS(Log!$AD$6:$AD$1505,Log!$D$6:$D$1505,B7,Log!$Z$6:$Z$1505,1)=0),"",INDEX(Log!$B:$B,SUMIFS(Log!$AD$6:$AD$1505,Log!$D$6:$D$1505,B7,Log!$Z$6:$Z$1505,1)))</f>
        <v/>
      </c>
      <c r="J7" s="1" t="n"/>
    </row>
    <row r="8">
      <c r="A8" s="1" t="n"/>
      <c r="B8" s="23" t="inlineStr">
        <is>
          <t>Push-up</t>
        </is>
      </c>
      <c r="C8" s="26" t="inlineStr">
        <is>
          <t>Chest</t>
        </is>
      </c>
      <c r="D8" s="26" t="inlineStr">
        <is>
          <t>Bodyweight</t>
        </is>
      </c>
      <c r="E8" s="15">
        <f>IF(B8="","",COUNTIFS(Log!$D$6:$D$1505,B8))</f>
        <v/>
      </c>
      <c r="F8" s="27">
        <f>IF(N(E8)=0,"",INT(SUMIFS(Log!$AA$6:$AA$1505,Log!$D$6:$D$1505,B8,Log!$AB$6:$AB$1505,1)))</f>
        <v/>
      </c>
      <c r="G8" s="18">
        <f>IF(OR(N(E8)=0,SUMIFS(Log!$AD$6:$AD$1505,Log!$D$6:$D$1505,B8,Log!$Z$6:$Z$1505,1)=0),"",INDEX(Log!$Q:$Q,SUMIFS(Log!$AD$6:$AD$1505,Log!$D$6:$D$1505,B8,Log!$Z$6:$Z$1505,1)))</f>
        <v/>
      </c>
      <c r="H8" s="20">
        <f>IF(OR(N(E8)=0,SUMIFS(Log!$AD$6:$AD$1505,Log!$D$6:$D$1505,B8,Log!$Z$6:$Z$1505,1)=0),"",INDEX(Log!$R:$R,SUMIFS(Log!$AD$6:$AD$1505,Log!$D$6:$D$1505,B8,Log!$Z$6:$Z$1505,1)))</f>
        <v/>
      </c>
      <c r="I8" s="27">
        <f>IF(OR(N(E8)=0,SUMIFS(Log!$AD$6:$AD$1505,Log!$D$6:$D$1505,B8,Log!$Z$6:$Z$1505,1)=0),"",INDEX(Log!$B:$B,SUMIFS(Log!$AD$6:$AD$1505,Log!$D$6:$D$1505,B8,Log!$Z$6:$Z$1505,1)))</f>
        <v/>
      </c>
      <c r="J8" s="1" t="n"/>
    </row>
    <row r="9">
      <c r="A9" s="1" t="n"/>
      <c r="B9" s="23" t="inlineStr">
        <is>
          <t>Deadlift</t>
        </is>
      </c>
      <c r="C9" s="26" t="inlineStr">
        <is>
          <t>Back</t>
        </is>
      </c>
      <c r="D9" s="26" t="inlineStr">
        <is>
          <t>Weights</t>
        </is>
      </c>
      <c r="E9" s="15">
        <f>IF(B9="","",COUNTIFS(Log!$D$6:$D$1505,B9))</f>
        <v/>
      </c>
      <c r="F9" s="27">
        <f>IF(N(E9)=0,"",INT(SUMIFS(Log!$AA$6:$AA$1505,Log!$D$6:$D$1505,B9,Log!$AB$6:$AB$1505,1)))</f>
        <v/>
      </c>
      <c r="G9" s="18">
        <f>IF(OR(N(E9)=0,SUMIFS(Log!$AD$6:$AD$1505,Log!$D$6:$D$1505,B9,Log!$Z$6:$Z$1505,1)=0),"",INDEX(Log!$Q:$Q,SUMIFS(Log!$AD$6:$AD$1505,Log!$D$6:$D$1505,B9,Log!$Z$6:$Z$1505,1)))</f>
        <v/>
      </c>
      <c r="H9" s="20">
        <f>IF(OR(N(E9)=0,SUMIFS(Log!$AD$6:$AD$1505,Log!$D$6:$D$1505,B9,Log!$Z$6:$Z$1505,1)=0),"",INDEX(Log!$R:$R,SUMIFS(Log!$AD$6:$AD$1505,Log!$D$6:$D$1505,B9,Log!$Z$6:$Z$1505,1)))</f>
        <v/>
      </c>
      <c r="I9" s="27">
        <f>IF(OR(N(E9)=0,SUMIFS(Log!$AD$6:$AD$1505,Log!$D$6:$D$1505,B9,Log!$Z$6:$Z$1505,1)=0),"",INDEX(Log!$B:$B,SUMIFS(Log!$AD$6:$AD$1505,Log!$D$6:$D$1505,B9,Log!$Z$6:$Z$1505,1)))</f>
        <v/>
      </c>
      <c r="J9" s="1" t="n"/>
    </row>
    <row r="10">
      <c r="A10" s="1" t="n"/>
      <c r="B10" s="23" t="inlineStr">
        <is>
          <t>Pull-up</t>
        </is>
      </c>
      <c r="C10" s="26" t="inlineStr">
        <is>
          <t>Back</t>
        </is>
      </c>
      <c r="D10" s="26" t="inlineStr">
        <is>
          <t>Bodyweight</t>
        </is>
      </c>
      <c r="E10" s="15">
        <f>IF(B10="","",COUNTIFS(Log!$D$6:$D$1505,B10))</f>
        <v/>
      </c>
      <c r="F10" s="27">
        <f>IF(N(E10)=0,"",INT(SUMIFS(Log!$AA$6:$AA$1505,Log!$D$6:$D$1505,B10,Log!$AB$6:$AB$1505,1)))</f>
        <v/>
      </c>
      <c r="G10" s="18">
        <f>IF(OR(N(E10)=0,SUMIFS(Log!$AD$6:$AD$1505,Log!$D$6:$D$1505,B10,Log!$Z$6:$Z$1505,1)=0),"",INDEX(Log!$Q:$Q,SUMIFS(Log!$AD$6:$AD$1505,Log!$D$6:$D$1505,B10,Log!$Z$6:$Z$1505,1)))</f>
        <v/>
      </c>
      <c r="H10" s="20">
        <f>IF(OR(N(E10)=0,SUMIFS(Log!$AD$6:$AD$1505,Log!$D$6:$D$1505,B10,Log!$Z$6:$Z$1505,1)=0),"",INDEX(Log!$R:$R,SUMIFS(Log!$AD$6:$AD$1505,Log!$D$6:$D$1505,B10,Log!$Z$6:$Z$1505,1)))</f>
        <v/>
      </c>
      <c r="I10" s="27">
        <f>IF(OR(N(E10)=0,SUMIFS(Log!$AD$6:$AD$1505,Log!$D$6:$D$1505,B10,Log!$Z$6:$Z$1505,1)=0),"",INDEX(Log!$B:$B,SUMIFS(Log!$AD$6:$AD$1505,Log!$D$6:$D$1505,B10,Log!$Z$6:$Z$1505,1)))</f>
        <v/>
      </c>
      <c r="J10" s="1" t="n"/>
    </row>
    <row r="11">
      <c r="A11" s="1" t="n"/>
      <c r="B11" s="23" t="inlineStr">
        <is>
          <t>Barbell row</t>
        </is>
      </c>
      <c r="C11" s="26" t="inlineStr">
        <is>
          <t>Back</t>
        </is>
      </c>
      <c r="D11" s="26" t="inlineStr">
        <is>
          <t>Weights</t>
        </is>
      </c>
      <c r="E11" s="15">
        <f>IF(B11="","",COUNTIFS(Log!$D$6:$D$1505,B11))</f>
        <v/>
      </c>
      <c r="F11" s="27">
        <f>IF(N(E11)=0,"",INT(SUMIFS(Log!$AA$6:$AA$1505,Log!$D$6:$D$1505,B11,Log!$AB$6:$AB$1505,1)))</f>
        <v/>
      </c>
      <c r="G11" s="18">
        <f>IF(OR(N(E11)=0,SUMIFS(Log!$AD$6:$AD$1505,Log!$D$6:$D$1505,B11,Log!$Z$6:$Z$1505,1)=0),"",INDEX(Log!$Q:$Q,SUMIFS(Log!$AD$6:$AD$1505,Log!$D$6:$D$1505,B11,Log!$Z$6:$Z$1505,1)))</f>
        <v/>
      </c>
      <c r="H11" s="20">
        <f>IF(OR(N(E11)=0,SUMIFS(Log!$AD$6:$AD$1505,Log!$D$6:$D$1505,B11,Log!$Z$6:$Z$1505,1)=0),"",INDEX(Log!$R:$R,SUMIFS(Log!$AD$6:$AD$1505,Log!$D$6:$D$1505,B11,Log!$Z$6:$Z$1505,1)))</f>
        <v/>
      </c>
      <c r="I11" s="27">
        <f>IF(OR(N(E11)=0,SUMIFS(Log!$AD$6:$AD$1505,Log!$D$6:$D$1505,B11,Log!$Z$6:$Z$1505,1)=0),"",INDEX(Log!$B:$B,SUMIFS(Log!$AD$6:$AD$1505,Log!$D$6:$D$1505,B11,Log!$Z$6:$Z$1505,1)))</f>
        <v/>
      </c>
      <c r="J11" s="1" t="n"/>
    </row>
    <row r="12">
      <c r="A12" s="1" t="n"/>
      <c r="B12" s="23" t="inlineStr">
        <is>
          <t>Lat pulldown</t>
        </is>
      </c>
      <c r="C12" s="26" t="inlineStr">
        <is>
          <t>Back</t>
        </is>
      </c>
      <c r="D12" s="26" t="inlineStr">
        <is>
          <t>Weights</t>
        </is>
      </c>
      <c r="E12" s="15">
        <f>IF(B12="","",COUNTIFS(Log!$D$6:$D$1505,B12))</f>
        <v/>
      </c>
      <c r="F12" s="27">
        <f>IF(N(E12)=0,"",INT(SUMIFS(Log!$AA$6:$AA$1505,Log!$D$6:$D$1505,B12,Log!$AB$6:$AB$1505,1)))</f>
        <v/>
      </c>
      <c r="G12" s="18">
        <f>IF(OR(N(E12)=0,SUMIFS(Log!$AD$6:$AD$1505,Log!$D$6:$D$1505,B12,Log!$Z$6:$Z$1505,1)=0),"",INDEX(Log!$Q:$Q,SUMIFS(Log!$AD$6:$AD$1505,Log!$D$6:$D$1505,B12,Log!$Z$6:$Z$1505,1)))</f>
        <v/>
      </c>
      <c r="H12" s="20">
        <f>IF(OR(N(E12)=0,SUMIFS(Log!$AD$6:$AD$1505,Log!$D$6:$D$1505,B12,Log!$Z$6:$Z$1505,1)=0),"",INDEX(Log!$R:$R,SUMIFS(Log!$AD$6:$AD$1505,Log!$D$6:$D$1505,B12,Log!$Z$6:$Z$1505,1)))</f>
        <v/>
      </c>
      <c r="I12" s="27">
        <f>IF(OR(N(E12)=0,SUMIFS(Log!$AD$6:$AD$1505,Log!$D$6:$D$1505,B12,Log!$Z$6:$Z$1505,1)=0),"",INDEX(Log!$B:$B,SUMIFS(Log!$AD$6:$AD$1505,Log!$D$6:$D$1505,B12,Log!$Z$6:$Z$1505,1)))</f>
        <v/>
      </c>
      <c r="J12" s="1" t="n"/>
    </row>
    <row r="13">
      <c r="A13" s="1" t="n"/>
      <c r="B13" s="23" t="inlineStr">
        <is>
          <t>Overhead press</t>
        </is>
      </c>
      <c r="C13" s="26" t="inlineStr">
        <is>
          <t>Shoulders</t>
        </is>
      </c>
      <c r="D13" s="26" t="inlineStr">
        <is>
          <t>Weights</t>
        </is>
      </c>
      <c r="E13" s="15">
        <f>IF(B13="","",COUNTIFS(Log!$D$6:$D$1505,B13))</f>
        <v/>
      </c>
      <c r="F13" s="27">
        <f>IF(N(E13)=0,"",INT(SUMIFS(Log!$AA$6:$AA$1505,Log!$D$6:$D$1505,B13,Log!$AB$6:$AB$1505,1)))</f>
        <v/>
      </c>
      <c r="G13" s="18">
        <f>IF(OR(N(E13)=0,SUMIFS(Log!$AD$6:$AD$1505,Log!$D$6:$D$1505,B13,Log!$Z$6:$Z$1505,1)=0),"",INDEX(Log!$Q:$Q,SUMIFS(Log!$AD$6:$AD$1505,Log!$D$6:$D$1505,B13,Log!$Z$6:$Z$1505,1)))</f>
        <v/>
      </c>
      <c r="H13" s="20">
        <f>IF(OR(N(E13)=0,SUMIFS(Log!$AD$6:$AD$1505,Log!$D$6:$D$1505,B13,Log!$Z$6:$Z$1505,1)=0),"",INDEX(Log!$R:$R,SUMIFS(Log!$AD$6:$AD$1505,Log!$D$6:$D$1505,B13,Log!$Z$6:$Z$1505,1)))</f>
        <v/>
      </c>
      <c r="I13" s="27">
        <f>IF(OR(N(E13)=0,SUMIFS(Log!$AD$6:$AD$1505,Log!$D$6:$D$1505,B13,Log!$Z$6:$Z$1505,1)=0),"",INDEX(Log!$B:$B,SUMIFS(Log!$AD$6:$AD$1505,Log!$D$6:$D$1505,B13,Log!$Z$6:$Z$1505,1)))</f>
        <v/>
      </c>
      <c r="J13" s="1" t="n"/>
    </row>
    <row r="14">
      <c r="A14" s="1" t="n"/>
      <c r="B14" s="23" t="inlineStr">
        <is>
          <t>Lateral raise</t>
        </is>
      </c>
      <c r="C14" s="26" t="inlineStr">
        <is>
          <t>Shoulders</t>
        </is>
      </c>
      <c r="D14" s="26" t="inlineStr">
        <is>
          <t>Weights</t>
        </is>
      </c>
      <c r="E14" s="15">
        <f>IF(B14="","",COUNTIFS(Log!$D$6:$D$1505,B14))</f>
        <v/>
      </c>
      <c r="F14" s="27">
        <f>IF(N(E14)=0,"",INT(SUMIFS(Log!$AA$6:$AA$1505,Log!$D$6:$D$1505,B14,Log!$AB$6:$AB$1505,1)))</f>
        <v/>
      </c>
      <c r="G14" s="18">
        <f>IF(OR(N(E14)=0,SUMIFS(Log!$AD$6:$AD$1505,Log!$D$6:$D$1505,B14,Log!$Z$6:$Z$1505,1)=0),"",INDEX(Log!$Q:$Q,SUMIFS(Log!$AD$6:$AD$1505,Log!$D$6:$D$1505,B14,Log!$Z$6:$Z$1505,1)))</f>
        <v/>
      </c>
      <c r="H14" s="20">
        <f>IF(OR(N(E14)=0,SUMIFS(Log!$AD$6:$AD$1505,Log!$D$6:$D$1505,B14,Log!$Z$6:$Z$1505,1)=0),"",INDEX(Log!$R:$R,SUMIFS(Log!$AD$6:$AD$1505,Log!$D$6:$D$1505,B14,Log!$Z$6:$Z$1505,1)))</f>
        <v/>
      </c>
      <c r="I14" s="27">
        <f>IF(OR(N(E14)=0,SUMIFS(Log!$AD$6:$AD$1505,Log!$D$6:$D$1505,B14,Log!$Z$6:$Z$1505,1)=0),"",INDEX(Log!$B:$B,SUMIFS(Log!$AD$6:$AD$1505,Log!$D$6:$D$1505,B14,Log!$Z$6:$Z$1505,1)))</f>
        <v/>
      </c>
      <c r="J14" s="1" t="n"/>
    </row>
    <row r="15">
      <c r="A15" s="1" t="n"/>
      <c r="B15" s="23" t="inlineStr">
        <is>
          <t>Biceps curl</t>
        </is>
      </c>
      <c r="C15" s="26" t="inlineStr">
        <is>
          <t>Arms</t>
        </is>
      </c>
      <c r="D15" s="26" t="inlineStr">
        <is>
          <t>Weights</t>
        </is>
      </c>
      <c r="E15" s="15">
        <f>IF(B15="","",COUNTIFS(Log!$D$6:$D$1505,B15))</f>
        <v/>
      </c>
      <c r="F15" s="27">
        <f>IF(N(E15)=0,"",INT(SUMIFS(Log!$AA$6:$AA$1505,Log!$D$6:$D$1505,B15,Log!$AB$6:$AB$1505,1)))</f>
        <v/>
      </c>
      <c r="G15" s="18">
        <f>IF(OR(N(E15)=0,SUMIFS(Log!$AD$6:$AD$1505,Log!$D$6:$D$1505,B15,Log!$Z$6:$Z$1505,1)=0),"",INDEX(Log!$Q:$Q,SUMIFS(Log!$AD$6:$AD$1505,Log!$D$6:$D$1505,B15,Log!$Z$6:$Z$1505,1)))</f>
        <v/>
      </c>
      <c r="H15" s="20">
        <f>IF(OR(N(E15)=0,SUMIFS(Log!$AD$6:$AD$1505,Log!$D$6:$D$1505,B15,Log!$Z$6:$Z$1505,1)=0),"",INDEX(Log!$R:$R,SUMIFS(Log!$AD$6:$AD$1505,Log!$D$6:$D$1505,B15,Log!$Z$6:$Z$1505,1)))</f>
        <v/>
      </c>
      <c r="I15" s="27">
        <f>IF(OR(N(E15)=0,SUMIFS(Log!$AD$6:$AD$1505,Log!$D$6:$D$1505,B15,Log!$Z$6:$Z$1505,1)=0),"",INDEX(Log!$B:$B,SUMIFS(Log!$AD$6:$AD$1505,Log!$D$6:$D$1505,B15,Log!$Z$6:$Z$1505,1)))</f>
        <v/>
      </c>
      <c r="J15" s="1" t="n"/>
    </row>
    <row r="16">
      <c r="A16" s="1" t="n"/>
      <c r="B16" s="23" t="inlineStr">
        <is>
          <t>Triceps pushdown</t>
        </is>
      </c>
      <c r="C16" s="26" t="inlineStr">
        <is>
          <t>Arms</t>
        </is>
      </c>
      <c r="D16" s="26" t="inlineStr">
        <is>
          <t>Weights</t>
        </is>
      </c>
      <c r="E16" s="15">
        <f>IF(B16="","",COUNTIFS(Log!$D$6:$D$1505,B16))</f>
        <v/>
      </c>
      <c r="F16" s="27">
        <f>IF(N(E16)=0,"",INT(SUMIFS(Log!$AA$6:$AA$1505,Log!$D$6:$D$1505,B16,Log!$AB$6:$AB$1505,1)))</f>
        <v/>
      </c>
      <c r="G16" s="18">
        <f>IF(OR(N(E16)=0,SUMIFS(Log!$AD$6:$AD$1505,Log!$D$6:$D$1505,B16,Log!$Z$6:$Z$1505,1)=0),"",INDEX(Log!$Q:$Q,SUMIFS(Log!$AD$6:$AD$1505,Log!$D$6:$D$1505,B16,Log!$Z$6:$Z$1505,1)))</f>
        <v/>
      </c>
      <c r="H16" s="20">
        <f>IF(OR(N(E16)=0,SUMIFS(Log!$AD$6:$AD$1505,Log!$D$6:$D$1505,B16,Log!$Z$6:$Z$1505,1)=0),"",INDEX(Log!$R:$R,SUMIFS(Log!$AD$6:$AD$1505,Log!$D$6:$D$1505,B16,Log!$Z$6:$Z$1505,1)))</f>
        <v/>
      </c>
      <c r="I16" s="27">
        <f>IF(OR(N(E16)=0,SUMIFS(Log!$AD$6:$AD$1505,Log!$D$6:$D$1505,B16,Log!$Z$6:$Z$1505,1)=0),"",INDEX(Log!$B:$B,SUMIFS(Log!$AD$6:$AD$1505,Log!$D$6:$D$1505,B16,Log!$Z$6:$Z$1505,1)))</f>
        <v/>
      </c>
      <c r="J16" s="1" t="n"/>
    </row>
    <row r="17">
      <c r="A17" s="1" t="n"/>
      <c r="B17" s="23" t="inlineStr">
        <is>
          <t>Squat</t>
        </is>
      </c>
      <c r="C17" s="26" t="inlineStr">
        <is>
          <t>Legs</t>
        </is>
      </c>
      <c r="D17" s="26" t="inlineStr">
        <is>
          <t>Weights</t>
        </is>
      </c>
      <c r="E17" s="15">
        <f>IF(B17="","",COUNTIFS(Log!$D$6:$D$1505,B17))</f>
        <v/>
      </c>
      <c r="F17" s="27">
        <f>IF(N(E17)=0,"",INT(SUMIFS(Log!$AA$6:$AA$1505,Log!$D$6:$D$1505,B17,Log!$AB$6:$AB$1505,1)))</f>
        <v/>
      </c>
      <c r="G17" s="18">
        <f>IF(OR(N(E17)=0,SUMIFS(Log!$AD$6:$AD$1505,Log!$D$6:$D$1505,B17,Log!$Z$6:$Z$1505,1)=0),"",INDEX(Log!$Q:$Q,SUMIFS(Log!$AD$6:$AD$1505,Log!$D$6:$D$1505,B17,Log!$Z$6:$Z$1505,1)))</f>
        <v/>
      </c>
      <c r="H17" s="20">
        <f>IF(OR(N(E17)=0,SUMIFS(Log!$AD$6:$AD$1505,Log!$D$6:$D$1505,B17,Log!$Z$6:$Z$1505,1)=0),"",INDEX(Log!$R:$R,SUMIFS(Log!$AD$6:$AD$1505,Log!$D$6:$D$1505,B17,Log!$Z$6:$Z$1505,1)))</f>
        <v/>
      </c>
      <c r="I17" s="27">
        <f>IF(OR(N(E17)=0,SUMIFS(Log!$AD$6:$AD$1505,Log!$D$6:$D$1505,B17,Log!$Z$6:$Z$1505,1)=0),"",INDEX(Log!$B:$B,SUMIFS(Log!$AD$6:$AD$1505,Log!$D$6:$D$1505,B17,Log!$Z$6:$Z$1505,1)))</f>
        <v/>
      </c>
      <c r="J17" s="1" t="n"/>
    </row>
    <row r="18">
      <c r="A18" s="1" t="n"/>
      <c r="B18" s="23" t="inlineStr">
        <is>
          <t>Leg press</t>
        </is>
      </c>
      <c r="C18" s="26" t="inlineStr">
        <is>
          <t>Legs</t>
        </is>
      </c>
      <c r="D18" s="26" t="inlineStr">
        <is>
          <t>Weights</t>
        </is>
      </c>
      <c r="E18" s="15">
        <f>IF(B18="","",COUNTIFS(Log!$D$6:$D$1505,B18))</f>
        <v/>
      </c>
      <c r="F18" s="27">
        <f>IF(N(E18)=0,"",INT(SUMIFS(Log!$AA$6:$AA$1505,Log!$D$6:$D$1505,B18,Log!$AB$6:$AB$1505,1)))</f>
        <v/>
      </c>
      <c r="G18" s="18">
        <f>IF(OR(N(E18)=0,SUMIFS(Log!$AD$6:$AD$1505,Log!$D$6:$D$1505,B18,Log!$Z$6:$Z$1505,1)=0),"",INDEX(Log!$Q:$Q,SUMIFS(Log!$AD$6:$AD$1505,Log!$D$6:$D$1505,B18,Log!$Z$6:$Z$1505,1)))</f>
        <v/>
      </c>
      <c r="H18" s="20">
        <f>IF(OR(N(E18)=0,SUMIFS(Log!$AD$6:$AD$1505,Log!$D$6:$D$1505,B18,Log!$Z$6:$Z$1505,1)=0),"",INDEX(Log!$R:$R,SUMIFS(Log!$AD$6:$AD$1505,Log!$D$6:$D$1505,B18,Log!$Z$6:$Z$1505,1)))</f>
        <v/>
      </c>
      <c r="I18" s="27">
        <f>IF(OR(N(E18)=0,SUMIFS(Log!$AD$6:$AD$1505,Log!$D$6:$D$1505,B18,Log!$Z$6:$Z$1505,1)=0),"",INDEX(Log!$B:$B,SUMIFS(Log!$AD$6:$AD$1505,Log!$D$6:$D$1505,B18,Log!$Z$6:$Z$1505,1)))</f>
        <v/>
      </c>
      <c r="J18" s="1" t="n"/>
    </row>
    <row r="19">
      <c r="A19" s="1" t="n"/>
      <c r="B19" s="23" t="inlineStr">
        <is>
          <t>Leg curl</t>
        </is>
      </c>
      <c r="C19" s="26" t="inlineStr">
        <is>
          <t>Legs</t>
        </is>
      </c>
      <c r="D19" s="26" t="inlineStr">
        <is>
          <t>Weights</t>
        </is>
      </c>
      <c r="E19" s="15">
        <f>IF(B19="","",COUNTIFS(Log!$D$6:$D$1505,B19))</f>
        <v/>
      </c>
      <c r="F19" s="27">
        <f>IF(N(E19)=0,"",INT(SUMIFS(Log!$AA$6:$AA$1505,Log!$D$6:$D$1505,B19,Log!$AB$6:$AB$1505,1)))</f>
        <v/>
      </c>
      <c r="G19" s="18">
        <f>IF(OR(N(E19)=0,SUMIFS(Log!$AD$6:$AD$1505,Log!$D$6:$D$1505,B19,Log!$Z$6:$Z$1505,1)=0),"",INDEX(Log!$Q:$Q,SUMIFS(Log!$AD$6:$AD$1505,Log!$D$6:$D$1505,B19,Log!$Z$6:$Z$1505,1)))</f>
        <v/>
      </c>
      <c r="H19" s="20">
        <f>IF(OR(N(E19)=0,SUMIFS(Log!$AD$6:$AD$1505,Log!$D$6:$D$1505,B19,Log!$Z$6:$Z$1505,1)=0),"",INDEX(Log!$R:$R,SUMIFS(Log!$AD$6:$AD$1505,Log!$D$6:$D$1505,B19,Log!$Z$6:$Z$1505,1)))</f>
        <v/>
      </c>
      <c r="I19" s="27">
        <f>IF(OR(N(E19)=0,SUMIFS(Log!$AD$6:$AD$1505,Log!$D$6:$D$1505,B19,Log!$Z$6:$Z$1505,1)=0),"",INDEX(Log!$B:$B,SUMIFS(Log!$AD$6:$AD$1505,Log!$D$6:$D$1505,B19,Log!$Z$6:$Z$1505,1)))</f>
        <v/>
      </c>
      <c r="J19" s="1" t="n"/>
    </row>
    <row r="20">
      <c r="A20" s="1" t="n"/>
      <c r="B20" s="23" t="inlineStr">
        <is>
          <t>Calf raise</t>
        </is>
      </c>
      <c r="C20" s="26" t="inlineStr">
        <is>
          <t>Legs</t>
        </is>
      </c>
      <c r="D20" s="26" t="inlineStr">
        <is>
          <t>Weights</t>
        </is>
      </c>
      <c r="E20" s="15">
        <f>IF(B20="","",COUNTIFS(Log!$D$6:$D$1505,B20))</f>
        <v/>
      </c>
      <c r="F20" s="27">
        <f>IF(N(E20)=0,"",INT(SUMIFS(Log!$AA$6:$AA$1505,Log!$D$6:$D$1505,B20,Log!$AB$6:$AB$1505,1)))</f>
        <v/>
      </c>
      <c r="G20" s="18">
        <f>IF(OR(N(E20)=0,SUMIFS(Log!$AD$6:$AD$1505,Log!$D$6:$D$1505,B20,Log!$Z$6:$Z$1505,1)=0),"",INDEX(Log!$Q:$Q,SUMIFS(Log!$AD$6:$AD$1505,Log!$D$6:$D$1505,B20,Log!$Z$6:$Z$1505,1)))</f>
        <v/>
      </c>
      <c r="H20" s="20">
        <f>IF(OR(N(E20)=0,SUMIFS(Log!$AD$6:$AD$1505,Log!$D$6:$D$1505,B20,Log!$Z$6:$Z$1505,1)=0),"",INDEX(Log!$R:$R,SUMIFS(Log!$AD$6:$AD$1505,Log!$D$6:$D$1505,B20,Log!$Z$6:$Z$1505,1)))</f>
        <v/>
      </c>
      <c r="I20" s="27">
        <f>IF(OR(N(E20)=0,SUMIFS(Log!$AD$6:$AD$1505,Log!$D$6:$D$1505,B20,Log!$Z$6:$Z$1505,1)=0),"",INDEX(Log!$B:$B,SUMIFS(Log!$AD$6:$AD$1505,Log!$D$6:$D$1505,B20,Log!$Z$6:$Z$1505,1)))</f>
        <v/>
      </c>
      <c r="J20" s="1" t="n"/>
    </row>
    <row r="21">
      <c r="A21" s="1" t="n"/>
      <c r="B21" s="23" t="inlineStr">
        <is>
          <t>Romanian deadlift</t>
        </is>
      </c>
      <c r="C21" s="26" t="inlineStr">
        <is>
          <t>Glutes</t>
        </is>
      </c>
      <c r="D21" s="26" t="inlineStr">
        <is>
          <t>Weights</t>
        </is>
      </c>
      <c r="E21" s="15">
        <f>IF(B21="","",COUNTIFS(Log!$D$6:$D$1505,B21))</f>
        <v/>
      </c>
      <c r="F21" s="27">
        <f>IF(N(E21)=0,"",INT(SUMIFS(Log!$AA$6:$AA$1505,Log!$D$6:$D$1505,B21,Log!$AB$6:$AB$1505,1)))</f>
        <v/>
      </c>
      <c r="G21" s="18">
        <f>IF(OR(N(E21)=0,SUMIFS(Log!$AD$6:$AD$1505,Log!$D$6:$D$1505,B21,Log!$Z$6:$Z$1505,1)=0),"",INDEX(Log!$Q:$Q,SUMIFS(Log!$AD$6:$AD$1505,Log!$D$6:$D$1505,B21,Log!$Z$6:$Z$1505,1)))</f>
        <v/>
      </c>
      <c r="H21" s="20">
        <f>IF(OR(N(E21)=0,SUMIFS(Log!$AD$6:$AD$1505,Log!$D$6:$D$1505,B21,Log!$Z$6:$Z$1505,1)=0),"",INDEX(Log!$R:$R,SUMIFS(Log!$AD$6:$AD$1505,Log!$D$6:$D$1505,B21,Log!$Z$6:$Z$1505,1)))</f>
        <v/>
      </c>
      <c r="I21" s="27">
        <f>IF(OR(N(E21)=0,SUMIFS(Log!$AD$6:$AD$1505,Log!$D$6:$D$1505,B21,Log!$Z$6:$Z$1505,1)=0),"",INDEX(Log!$B:$B,SUMIFS(Log!$AD$6:$AD$1505,Log!$D$6:$D$1505,B21,Log!$Z$6:$Z$1505,1)))</f>
        <v/>
      </c>
      <c r="J21" s="1" t="n"/>
    </row>
    <row r="22">
      <c r="A22" s="1" t="n"/>
      <c r="B22" s="23" t="inlineStr">
        <is>
          <t>Hip thrust</t>
        </is>
      </c>
      <c r="C22" s="26" t="inlineStr">
        <is>
          <t>Glutes</t>
        </is>
      </c>
      <c r="D22" s="26" t="inlineStr">
        <is>
          <t>Weights</t>
        </is>
      </c>
      <c r="E22" s="15">
        <f>IF(B22="","",COUNTIFS(Log!$D$6:$D$1505,B22))</f>
        <v/>
      </c>
      <c r="F22" s="27">
        <f>IF(N(E22)=0,"",INT(SUMIFS(Log!$AA$6:$AA$1505,Log!$D$6:$D$1505,B22,Log!$AB$6:$AB$1505,1)))</f>
        <v/>
      </c>
      <c r="G22" s="18">
        <f>IF(OR(N(E22)=0,SUMIFS(Log!$AD$6:$AD$1505,Log!$D$6:$D$1505,B22,Log!$Z$6:$Z$1505,1)=0),"",INDEX(Log!$Q:$Q,SUMIFS(Log!$AD$6:$AD$1505,Log!$D$6:$D$1505,B22,Log!$Z$6:$Z$1505,1)))</f>
        <v/>
      </c>
      <c r="H22" s="20">
        <f>IF(OR(N(E22)=0,SUMIFS(Log!$AD$6:$AD$1505,Log!$D$6:$D$1505,B22,Log!$Z$6:$Z$1505,1)=0),"",INDEX(Log!$R:$R,SUMIFS(Log!$AD$6:$AD$1505,Log!$D$6:$D$1505,B22,Log!$Z$6:$Z$1505,1)))</f>
        <v/>
      </c>
      <c r="I22" s="27">
        <f>IF(OR(N(E22)=0,SUMIFS(Log!$AD$6:$AD$1505,Log!$D$6:$D$1505,B22,Log!$Z$6:$Z$1505,1)=0),"",INDEX(Log!$B:$B,SUMIFS(Log!$AD$6:$AD$1505,Log!$D$6:$D$1505,B22,Log!$Z$6:$Z$1505,1)))</f>
        <v/>
      </c>
      <c r="J22" s="1" t="n"/>
    </row>
    <row r="23">
      <c r="A23" s="1" t="n"/>
      <c r="B23" s="23" t="inlineStr">
        <is>
          <t>Plank</t>
        </is>
      </c>
      <c r="C23" s="26" t="inlineStr">
        <is>
          <t>Core</t>
        </is>
      </c>
      <c r="D23" s="26" t="inlineStr">
        <is>
          <t>Bodyweight</t>
        </is>
      </c>
      <c r="E23" s="15">
        <f>IF(B23="","",COUNTIFS(Log!$D$6:$D$1505,B23))</f>
        <v/>
      </c>
      <c r="F23" s="27">
        <f>IF(N(E23)=0,"",INT(SUMIFS(Log!$AA$6:$AA$1505,Log!$D$6:$D$1505,B23,Log!$AB$6:$AB$1505,1)))</f>
        <v/>
      </c>
      <c r="G23" s="18">
        <f>IF(OR(N(E23)=0,SUMIFS(Log!$AD$6:$AD$1505,Log!$D$6:$D$1505,B23,Log!$Z$6:$Z$1505,1)=0),"",INDEX(Log!$Q:$Q,SUMIFS(Log!$AD$6:$AD$1505,Log!$D$6:$D$1505,B23,Log!$Z$6:$Z$1505,1)))</f>
        <v/>
      </c>
      <c r="H23" s="20">
        <f>IF(OR(N(E23)=0,SUMIFS(Log!$AD$6:$AD$1505,Log!$D$6:$D$1505,B23,Log!$Z$6:$Z$1505,1)=0),"",INDEX(Log!$R:$R,SUMIFS(Log!$AD$6:$AD$1505,Log!$D$6:$D$1505,B23,Log!$Z$6:$Z$1505,1)))</f>
        <v/>
      </c>
      <c r="I23" s="27">
        <f>IF(OR(N(E23)=0,SUMIFS(Log!$AD$6:$AD$1505,Log!$D$6:$D$1505,B23,Log!$Z$6:$Z$1505,1)=0),"",INDEX(Log!$B:$B,SUMIFS(Log!$AD$6:$AD$1505,Log!$D$6:$D$1505,B23,Log!$Z$6:$Z$1505,1)))</f>
        <v/>
      </c>
      <c r="J23" s="1" t="n"/>
    </row>
    <row r="24">
      <c r="A24" s="1" t="n"/>
      <c r="B24" s="23" t="inlineStr">
        <is>
          <t>Hanging leg raise</t>
        </is>
      </c>
      <c r="C24" s="26" t="inlineStr">
        <is>
          <t>Core</t>
        </is>
      </c>
      <c r="D24" s="26" t="inlineStr">
        <is>
          <t>Bodyweight</t>
        </is>
      </c>
      <c r="E24" s="15">
        <f>IF(B24="","",COUNTIFS(Log!$D$6:$D$1505,B24))</f>
        <v/>
      </c>
      <c r="F24" s="27">
        <f>IF(N(E24)=0,"",INT(SUMIFS(Log!$AA$6:$AA$1505,Log!$D$6:$D$1505,B24,Log!$AB$6:$AB$1505,1)))</f>
        <v/>
      </c>
      <c r="G24" s="18">
        <f>IF(OR(N(E24)=0,SUMIFS(Log!$AD$6:$AD$1505,Log!$D$6:$D$1505,B24,Log!$Z$6:$Z$1505,1)=0),"",INDEX(Log!$Q:$Q,SUMIFS(Log!$AD$6:$AD$1505,Log!$D$6:$D$1505,B24,Log!$Z$6:$Z$1505,1)))</f>
        <v/>
      </c>
      <c r="H24" s="20">
        <f>IF(OR(N(E24)=0,SUMIFS(Log!$AD$6:$AD$1505,Log!$D$6:$D$1505,B24,Log!$Z$6:$Z$1505,1)=0),"",INDEX(Log!$R:$R,SUMIFS(Log!$AD$6:$AD$1505,Log!$D$6:$D$1505,B24,Log!$Z$6:$Z$1505,1)))</f>
        <v/>
      </c>
      <c r="I24" s="27">
        <f>IF(OR(N(E24)=0,SUMIFS(Log!$AD$6:$AD$1505,Log!$D$6:$D$1505,B24,Log!$Z$6:$Z$1505,1)=0),"",INDEX(Log!$B:$B,SUMIFS(Log!$AD$6:$AD$1505,Log!$D$6:$D$1505,B24,Log!$Z$6:$Z$1505,1)))</f>
        <v/>
      </c>
      <c r="J24" s="1" t="n"/>
    </row>
    <row r="25">
      <c r="A25" s="1" t="n"/>
      <c r="B25" s="23" t="n"/>
      <c r="C25" s="26" t="n"/>
      <c r="D25" s="26" t="n"/>
      <c r="E25" s="15">
        <f>IF(B25="","",COUNTIFS(Log!$D$6:$D$1505,B25))</f>
        <v/>
      </c>
      <c r="F25" s="27">
        <f>IF(N(E25)=0,"",INT(SUMIFS(Log!$AA$6:$AA$1505,Log!$D$6:$D$1505,B25,Log!$AB$6:$AB$1505,1)))</f>
        <v/>
      </c>
      <c r="G25" s="18">
        <f>IF(OR(N(E25)=0,SUMIFS(Log!$AD$6:$AD$1505,Log!$D$6:$D$1505,B25,Log!$Z$6:$Z$1505,1)=0),"",INDEX(Log!$Q:$Q,SUMIFS(Log!$AD$6:$AD$1505,Log!$D$6:$D$1505,B25,Log!$Z$6:$Z$1505,1)))</f>
        <v/>
      </c>
      <c r="H25" s="20">
        <f>IF(OR(N(E25)=0,SUMIFS(Log!$AD$6:$AD$1505,Log!$D$6:$D$1505,B25,Log!$Z$6:$Z$1505,1)=0),"",INDEX(Log!$R:$R,SUMIFS(Log!$AD$6:$AD$1505,Log!$D$6:$D$1505,B25,Log!$Z$6:$Z$1505,1)))</f>
        <v/>
      </c>
      <c r="I25" s="27">
        <f>IF(OR(N(E25)=0,SUMIFS(Log!$AD$6:$AD$1505,Log!$D$6:$D$1505,B25,Log!$Z$6:$Z$1505,1)=0),"",INDEX(Log!$B:$B,SUMIFS(Log!$AD$6:$AD$1505,Log!$D$6:$D$1505,B25,Log!$Z$6:$Z$1505,1)))</f>
        <v/>
      </c>
      <c r="J25" s="1" t="n"/>
    </row>
    <row r="26">
      <c r="A26" s="1" t="n"/>
      <c r="B26" s="23" t="n"/>
      <c r="C26" s="26" t="n"/>
      <c r="D26" s="26" t="n"/>
      <c r="E26" s="15">
        <f>IF(B26="","",COUNTIFS(Log!$D$6:$D$1505,B26))</f>
        <v/>
      </c>
      <c r="F26" s="27">
        <f>IF(N(E26)=0,"",INT(SUMIFS(Log!$AA$6:$AA$1505,Log!$D$6:$D$1505,B26,Log!$AB$6:$AB$1505,1)))</f>
        <v/>
      </c>
      <c r="G26" s="18">
        <f>IF(OR(N(E26)=0,SUMIFS(Log!$AD$6:$AD$1505,Log!$D$6:$D$1505,B26,Log!$Z$6:$Z$1505,1)=0),"",INDEX(Log!$Q:$Q,SUMIFS(Log!$AD$6:$AD$1505,Log!$D$6:$D$1505,B26,Log!$Z$6:$Z$1505,1)))</f>
        <v/>
      </c>
      <c r="H26" s="20">
        <f>IF(OR(N(E26)=0,SUMIFS(Log!$AD$6:$AD$1505,Log!$D$6:$D$1505,B26,Log!$Z$6:$Z$1505,1)=0),"",INDEX(Log!$R:$R,SUMIFS(Log!$AD$6:$AD$1505,Log!$D$6:$D$1505,B26,Log!$Z$6:$Z$1505,1)))</f>
        <v/>
      </c>
      <c r="I26" s="27">
        <f>IF(OR(N(E26)=0,SUMIFS(Log!$AD$6:$AD$1505,Log!$D$6:$D$1505,B26,Log!$Z$6:$Z$1505,1)=0),"",INDEX(Log!$B:$B,SUMIFS(Log!$AD$6:$AD$1505,Log!$D$6:$D$1505,B26,Log!$Z$6:$Z$1505,1)))</f>
        <v/>
      </c>
      <c r="J26" s="1" t="n"/>
    </row>
    <row r="27">
      <c r="A27" s="1" t="n"/>
      <c r="B27" s="23" t="n"/>
      <c r="C27" s="26" t="n"/>
      <c r="D27" s="26" t="n"/>
      <c r="E27" s="15">
        <f>IF(B27="","",COUNTIFS(Log!$D$6:$D$1505,B27))</f>
        <v/>
      </c>
      <c r="F27" s="27">
        <f>IF(N(E27)=0,"",INT(SUMIFS(Log!$AA$6:$AA$1505,Log!$D$6:$D$1505,B27,Log!$AB$6:$AB$1505,1)))</f>
        <v/>
      </c>
      <c r="G27" s="18">
        <f>IF(OR(N(E27)=0,SUMIFS(Log!$AD$6:$AD$1505,Log!$D$6:$D$1505,B27,Log!$Z$6:$Z$1505,1)=0),"",INDEX(Log!$Q:$Q,SUMIFS(Log!$AD$6:$AD$1505,Log!$D$6:$D$1505,B27,Log!$Z$6:$Z$1505,1)))</f>
        <v/>
      </c>
      <c r="H27" s="20">
        <f>IF(OR(N(E27)=0,SUMIFS(Log!$AD$6:$AD$1505,Log!$D$6:$D$1505,B27,Log!$Z$6:$Z$1505,1)=0),"",INDEX(Log!$R:$R,SUMIFS(Log!$AD$6:$AD$1505,Log!$D$6:$D$1505,B27,Log!$Z$6:$Z$1505,1)))</f>
        <v/>
      </c>
      <c r="I27" s="27">
        <f>IF(OR(N(E27)=0,SUMIFS(Log!$AD$6:$AD$1505,Log!$D$6:$D$1505,B27,Log!$Z$6:$Z$1505,1)=0),"",INDEX(Log!$B:$B,SUMIFS(Log!$AD$6:$AD$1505,Log!$D$6:$D$1505,B27,Log!$Z$6:$Z$1505,1)))</f>
        <v/>
      </c>
      <c r="J27" s="1" t="n"/>
    </row>
    <row r="28">
      <c r="A28" s="1" t="n"/>
      <c r="B28" s="23" t="n"/>
      <c r="C28" s="26" t="n"/>
      <c r="D28" s="26" t="n"/>
      <c r="E28" s="15">
        <f>IF(B28="","",COUNTIFS(Log!$D$6:$D$1505,B28))</f>
        <v/>
      </c>
      <c r="F28" s="27">
        <f>IF(N(E28)=0,"",INT(SUMIFS(Log!$AA$6:$AA$1505,Log!$D$6:$D$1505,B28,Log!$AB$6:$AB$1505,1)))</f>
        <v/>
      </c>
      <c r="G28" s="18">
        <f>IF(OR(N(E28)=0,SUMIFS(Log!$AD$6:$AD$1505,Log!$D$6:$D$1505,B28,Log!$Z$6:$Z$1505,1)=0),"",INDEX(Log!$Q:$Q,SUMIFS(Log!$AD$6:$AD$1505,Log!$D$6:$D$1505,B28,Log!$Z$6:$Z$1505,1)))</f>
        <v/>
      </c>
      <c r="H28" s="20">
        <f>IF(OR(N(E28)=0,SUMIFS(Log!$AD$6:$AD$1505,Log!$D$6:$D$1505,B28,Log!$Z$6:$Z$1505,1)=0),"",INDEX(Log!$R:$R,SUMIFS(Log!$AD$6:$AD$1505,Log!$D$6:$D$1505,B28,Log!$Z$6:$Z$1505,1)))</f>
        <v/>
      </c>
      <c r="I28" s="27">
        <f>IF(OR(N(E28)=0,SUMIFS(Log!$AD$6:$AD$1505,Log!$D$6:$D$1505,B28,Log!$Z$6:$Z$1505,1)=0),"",INDEX(Log!$B:$B,SUMIFS(Log!$AD$6:$AD$1505,Log!$D$6:$D$1505,B28,Log!$Z$6:$Z$1505,1)))</f>
        <v/>
      </c>
      <c r="J28" s="1" t="n"/>
    </row>
    <row r="29">
      <c r="A29" s="1" t="n"/>
      <c r="B29" s="23" t="n"/>
      <c r="C29" s="26" t="n"/>
      <c r="D29" s="26" t="n"/>
      <c r="E29" s="15">
        <f>IF(B29="","",COUNTIFS(Log!$D$6:$D$1505,B29))</f>
        <v/>
      </c>
      <c r="F29" s="27">
        <f>IF(N(E29)=0,"",INT(SUMIFS(Log!$AA$6:$AA$1505,Log!$D$6:$D$1505,B29,Log!$AB$6:$AB$1505,1)))</f>
        <v/>
      </c>
      <c r="G29" s="18">
        <f>IF(OR(N(E29)=0,SUMIFS(Log!$AD$6:$AD$1505,Log!$D$6:$D$1505,B29,Log!$Z$6:$Z$1505,1)=0),"",INDEX(Log!$Q:$Q,SUMIFS(Log!$AD$6:$AD$1505,Log!$D$6:$D$1505,B29,Log!$Z$6:$Z$1505,1)))</f>
        <v/>
      </c>
      <c r="H29" s="20">
        <f>IF(OR(N(E29)=0,SUMIFS(Log!$AD$6:$AD$1505,Log!$D$6:$D$1505,B29,Log!$Z$6:$Z$1505,1)=0),"",INDEX(Log!$R:$R,SUMIFS(Log!$AD$6:$AD$1505,Log!$D$6:$D$1505,B29,Log!$Z$6:$Z$1505,1)))</f>
        <v/>
      </c>
      <c r="I29" s="27">
        <f>IF(OR(N(E29)=0,SUMIFS(Log!$AD$6:$AD$1505,Log!$D$6:$D$1505,B29,Log!$Z$6:$Z$1505,1)=0),"",INDEX(Log!$B:$B,SUMIFS(Log!$AD$6:$AD$1505,Log!$D$6:$D$1505,B29,Log!$Z$6:$Z$1505,1)))</f>
        <v/>
      </c>
      <c r="J29" s="1" t="n"/>
    </row>
    <row r="30">
      <c r="A30" s="1" t="n"/>
      <c r="B30" s="23" t="n"/>
      <c r="C30" s="26" t="n"/>
      <c r="D30" s="26" t="n"/>
      <c r="E30" s="15">
        <f>IF(B30="","",COUNTIFS(Log!$D$6:$D$1505,B30))</f>
        <v/>
      </c>
      <c r="F30" s="27">
        <f>IF(N(E30)=0,"",INT(SUMIFS(Log!$AA$6:$AA$1505,Log!$D$6:$D$1505,B30,Log!$AB$6:$AB$1505,1)))</f>
        <v/>
      </c>
      <c r="G30" s="18">
        <f>IF(OR(N(E30)=0,SUMIFS(Log!$AD$6:$AD$1505,Log!$D$6:$D$1505,B30,Log!$Z$6:$Z$1505,1)=0),"",INDEX(Log!$Q:$Q,SUMIFS(Log!$AD$6:$AD$1505,Log!$D$6:$D$1505,B30,Log!$Z$6:$Z$1505,1)))</f>
        <v/>
      </c>
      <c r="H30" s="20">
        <f>IF(OR(N(E30)=0,SUMIFS(Log!$AD$6:$AD$1505,Log!$D$6:$D$1505,B30,Log!$Z$6:$Z$1505,1)=0),"",INDEX(Log!$R:$R,SUMIFS(Log!$AD$6:$AD$1505,Log!$D$6:$D$1505,B30,Log!$Z$6:$Z$1505,1)))</f>
        <v/>
      </c>
      <c r="I30" s="27">
        <f>IF(OR(N(E30)=0,SUMIFS(Log!$AD$6:$AD$1505,Log!$D$6:$D$1505,B30,Log!$Z$6:$Z$1505,1)=0),"",INDEX(Log!$B:$B,SUMIFS(Log!$AD$6:$AD$1505,Log!$D$6:$D$1505,B30,Log!$Z$6:$Z$1505,1)))</f>
        <v/>
      </c>
      <c r="J30" s="1" t="n"/>
    </row>
    <row r="31">
      <c r="A31" s="1" t="n"/>
      <c r="B31" s="23" t="n"/>
      <c r="C31" s="26" t="n"/>
      <c r="D31" s="26" t="n"/>
      <c r="E31" s="15">
        <f>IF(B31="","",COUNTIFS(Log!$D$6:$D$1505,B31))</f>
        <v/>
      </c>
      <c r="F31" s="27">
        <f>IF(N(E31)=0,"",INT(SUMIFS(Log!$AA$6:$AA$1505,Log!$D$6:$D$1505,B31,Log!$AB$6:$AB$1505,1)))</f>
        <v/>
      </c>
      <c r="G31" s="18">
        <f>IF(OR(N(E31)=0,SUMIFS(Log!$AD$6:$AD$1505,Log!$D$6:$D$1505,B31,Log!$Z$6:$Z$1505,1)=0),"",INDEX(Log!$Q:$Q,SUMIFS(Log!$AD$6:$AD$1505,Log!$D$6:$D$1505,B31,Log!$Z$6:$Z$1505,1)))</f>
        <v/>
      </c>
      <c r="H31" s="20">
        <f>IF(OR(N(E31)=0,SUMIFS(Log!$AD$6:$AD$1505,Log!$D$6:$D$1505,B31,Log!$Z$6:$Z$1505,1)=0),"",INDEX(Log!$R:$R,SUMIFS(Log!$AD$6:$AD$1505,Log!$D$6:$D$1505,B31,Log!$Z$6:$Z$1505,1)))</f>
        <v/>
      </c>
      <c r="I31" s="27">
        <f>IF(OR(N(E31)=0,SUMIFS(Log!$AD$6:$AD$1505,Log!$D$6:$D$1505,B31,Log!$Z$6:$Z$1505,1)=0),"",INDEX(Log!$B:$B,SUMIFS(Log!$AD$6:$AD$1505,Log!$D$6:$D$1505,B31,Log!$Z$6:$Z$1505,1)))</f>
        <v/>
      </c>
      <c r="J31" s="1" t="n"/>
    </row>
    <row r="32">
      <c r="A32" s="1" t="n"/>
      <c r="B32" s="23" t="n"/>
      <c r="C32" s="26" t="n"/>
      <c r="D32" s="26" t="n"/>
      <c r="E32" s="15">
        <f>IF(B32="","",COUNTIFS(Log!$D$6:$D$1505,B32))</f>
        <v/>
      </c>
      <c r="F32" s="27">
        <f>IF(N(E32)=0,"",INT(SUMIFS(Log!$AA$6:$AA$1505,Log!$D$6:$D$1505,B32,Log!$AB$6:$AB$1505,1)))</f>
        <v/>
      </c>
      <c r="G32" s="18">
        <f>IF(OR(N(E32)=0,SUMIFS(Log!$AD$6:$AD$1505,Log!$D$6:$D$1505,B32,Log!$Z$6:$Z$1505,1)=0),"",INDEX(Log!$Q:$Q,SUMIFS(Log!$AD$6:$AD$1505,Log!$D$6:$D$1505,B32,Log!$Z$6:$Z$1505,1)))</f>
        <v/>
      </c>
      <c r="H32" s="20">
        <f>IF(OR(N(E32)=0,SUMIFS(Log!$AD$6:$AD$1505,Log!$D$6:$D$1505,B32,Log!$Z$6:$Z$1505,1)=0),"",INDEX(Log!$R:$R,SUMIFS(Log!$AD$6:$AD$1505,Log!$D$6:$D$1505,B32,Log!$Z$6:$Z$1505,1)))</f>
        <v/>
      </c>
      <c r="I32" s="27">
        <f>IF(OR(N(E32)=0,SUMIFS(Log!$AD$6:$AD$1505,Log!$D$6:$D$1505,B32,Log!$Z$6:$Z$1505,1)=0),"",INDEX(Log!$B:$B,SUMIFS(Log!$AD$6:$AD$1505,Log!$D$6:$D$1505,B32,Log!$Z$6:$Z$1505,1)))</f>
        <v/>
      </c>
      <c r="J32" s="1" t="n"/>
    </row>
    <row r="33">
      <c r="A33" s="1" t="n"/>
      <c r="B33" s="23" t="n"/>
      <c r="C33" s="26" t="n"/>
      <c r="D33" s="26" t="n"/>
      <c r="E33" s="15">
        <f>IF(B33="","",COUNTIFS(Log!$D$6:$D$1505,B33))</f>
        <v/>
      </c>
      <c r="F33" s="27">
        <f>IF(N(E33)=0,"",INT(SUMIFS(Log!$AA$6:$AA$1505,Log!$D$6:$D$1505,B33,Log!$AB$6:$AB$1505,1)))</f>
        <v/>
      </c>
      <c r="G33" s="18">
        <f>IF(OR(N(E33)=0,SUMIFS(Log!$AD$6:$AD$1505,Log!$D$6:$D$1505,B33,Log!$Z$6:$Z$1505,1)=0),"",INDEX(Log!$Q:$Q,SUMIFS(Log!$AD$6:$AD$1505,Log!$D$6:$D$1505,B33,Log!$Z$6:$Z$1505,1)))</f>
        <v/>
      </c>
      <c r="H33" s="20">
        <f>IF(OR(N(E33)=0,SUMIFS(Log!$AD$6:$AD$1505,Log!$D$6:$D$1505,B33,Log!$Z$6:$Z$1505,1)=0),"",INDEX(Log!$R:$R,SUMIFS(Log!$AD$6:$AD$1505,Log!$D$6:$D$1505,B33,Log!$Z$6:$Z$1505,1)))</f>
        <v/>
      </c>
      <c r="I33" s="27">
        <f>IF(OR(N(E33)=0,SUMIFS(Log!$AD$6:$AD$1505,Log!$D$6:$D$1505,B33,Log!$Z$6:$Z$1505,1)=0),"",INDEX(Log!$B:$B,SUMIFS(Log!$AD$6:$AD$1505,Log!$D$6:$D$1505,B33,Log!$Z$6:$Z$1505,1)))</f>
        <v/>
      </c>
      <c r="J33" s="1" t="n"/>
    </row>
    <row r="34">
      <c r="A34" s="1" t="n"/>
      <c r="B34" s="23" t="n"/>
      <c r="C34" s="26" t="n"/>
      <c r="D34" s="26" t="n"/>
      <c r="E34" s="15">
        <f>IF(B34="","",COUNTIFS(Log!$D$6:$D$1505,B34))</f>
        <v/>
      </c>
      <c r="F34" s="27">
        <f>IF(N(E34)=0,"",INT(SUMIFS(Log!$AA$6:$AA$1505,Log!$D$6:$D$1505,B34,Log!$AB$6:$AB$1505,1)))</f>
        <v/>
      </c>
      <c r="G34" s="18">
        <f>IF(OR(N(E34)=0,SUMIFS(Log!$AD$6:$AD$1505,Log!$D$6:$D$1505,B34,Log!$Z$6:$Z$1505,1)=0),"",INDEX(Log!$Q:$Q,SUMIFS(Log!$AD$6:$AD$1505,Log!$D$6:$D$1505,B34,Log!$Z$6:$Z$1505,1)))</f>
        <v/>
      </c>
      <c r="H34" s="20">
        <f>IF(OR(N(E34)=0,SUMIFS(Log!$AD$6:$AD$1505,Log!$D$6:$D$1505,B34,Log!$Z$6:$Z$1505,1)=0),"",INDEX(Log!$R:$R,SUMIFS(Log!$AD$6:$AD$1505,Log!$D$6:$D$1505,B34,Log!$Z$6:$Z$1505,1)))</f>
        <v/>
      </c>
      <c r="I34" s="27">
        <f>IF(OR(N(E34)=0,SUMIFS(Log!$AD$6:$AD$1505,Log!$D$6:$D$1505,B34,Log!$Z$6:$Z$1505,1)=0),"",INDEX(Log!$B:$B,SUMIFS(Log!$AD$6:$AD$1505,Log!$D$6:$D$1505,B34,Log!$Z$6:$Z$1505,1)))</f>
        <v/>
      </c>
      <c r="J34" s="1" t="n"/>
    </row>
    <row r="35">
      <c r="A35" s="1" t="n"/>
      <c r="B35" s="23" t="n"/>
      <c r="C35" s="26" t="n"/>
      <c r="D35" s="26" t="n"/>
      <c r="E35" s="15">
        <f>IF(B35="","",COUNTIFS(Log!$D$6:$D$1505,B35))</f>
        <v/>
      </c>
      <c r="F35" s="27">
        <f>IF(N(E35)=0,"",INT(SUMIFS(Log!$AA$6:$AA$1505,Log!$D$6:$D$1505,B35,Log!$AB$6:$AB$1505,1)))</f>
        <v/>
      </c>
      <c r="G35" s="18">
        <f>IF(OR(N(E35)=0,SUMIFS(Log!$AD$6:$AD$1505,Log!$D$6:$D$1505,B35,Log!$Z$6:$Z$1505,1)=0),"",INDEX(Log!$Q:$Q,SUMIFS(Log!$AD$6:$AD$1505,Log!$D$6:$D$1505,B35,Log!$Z$6:$Z$1505,1)))</f>
        <v/>
      </c>
      <c r="H35" s="20">
        <f>IF(OR(N(E35)=0,SUMIFS(Log!$AD$6:$AD$1505,Log!$D$6:$D$1505,B35,Log!$Z$6:$Z$1505,1)=0),"",INDEX(Log!$R:$R,SUMIFS(Log!$AD$6:$AD$1505,Log!$D$6:$D$1505,B35,Log!$Z$6:$Z$1505,1)))</f>
        <v/>
      </c>
      <c r="I35" s="27">
        <f>IF(OR(N(E35)=0,SUMIFS(Log!$AD$6:$AD$1505,Log!$D$6:$D$1505,B35,Log!$Z$6:$Z$1505,1)=0),"",INDEX(Log!$B:$B,SUMIFS(Log!$AD$6:$AD$1505,Log!$D$6:$D$1505,B35,Log!$Z$6:$Z$1505,1)))</f>
        <v/>
      </c>
      <c r="J35" s="1" t="n"/>
    </row>
    <row r="36">
      <c r="A36" s="1" t="n"/>
      <c r="B36" s="23" t="n"/>
      <c r="C36" s="26" t="n"/>
      <c r="D36" s="26" t="n"/>
      <c r="E36" s="15">
        <f>IF(B36="","",COUNTIFS(Log!$D$6:$D$1505,B36))</f>
        <v/>
      </c>
      <c r="F36" s="27">
        <f>IF(N(E36)=0,"",INT(SUMIFS(Log!$AA$6:$AA$1505,Log!$D$6:$D$1505,B36,Log!$AB$6:$AB$1505,1)))</f>
        <v/>
      </c>
      <c r="G36" s="18">
        <f>IF(OR(N(E36)=0,SUMIFS(Log!$AD$6:$AD$1505,Log!$D$6:$D$1505,B36,Log!$Z$6:$Z$1505,1)=0),"",INDEX(Log!$Q:$Q,SUMIFS(Log!$AD$6:$AD$1505,Log!$D$6:$D$1505,B36,Log!$Z$6:$Z$1505,1)))</f>
        <v/>
      </c>
      <c r="H36" s="20">
        <f>IF(OR(N(E36)=0,SUMIFS(Log!$AD$6:$AD$1505,Log!$D$6:$D$1505,B36,Log!$Z$6:$Z$1505,1)=0),"",INDEX(Log!$R:$R,SUMIFS(Log!$AD$6:$AD$1505,Log!$D$6:$D$1505,B36,Log!$Z$6:$Z$1505,1)))</f>
        <v/>
      </c>
      <c r="I36" s="27">
        <f>IF(OR(N(E36)=0,SUMIFS(Log!$AD$6:$AD$1505,Log!$D$6:$D$1505,B36,Log!$Z$6:$Z$1505,1)=0),"",INDEX(Log!$B:$B,SUMIFS(Log!$AD$6:$AD$1505,Log!$D$6:$D$1505,B36,Log!$Z$6:$Z$1505,1)))</f>
        <v/>
      </c>
      <c r="J36" s="1" t="n"/>
    </row>
    <row r="37">
      <c r="A37" s="1" t="n"/>
      <c r="B37" s="23" t="n"/>
      <c r="C37" s="26" t="n"/>
      <c r="D37" s="26" t="n"/>
      <c r="E37" s="15">
        <f>IF(B37="","",COUNTIFS(Log!$D$6:$D$1505,B37))</f>
        <v/>
      </c>
      <c r="F37" s="27">
        <f>IF(N(E37)=0,"",INT(SUMIFS(Log!$AA$6:$AA$1505,Log!$D$6:$D$1505,B37,Log!$AB$6:$AB$1505,1)))</f>
        <v/>
      </c>
      <c r="G37" s="18">
        <f>IF(OR(N(E37)=0,SUMIFS(Log!$AD$6:$AD$1505,Log!$D$6:$D$1505,B37,Log!$Z$6:$Z$1505,1)=0),"",INDEX(Log!$Q:$Q,SUMIFS(Log!$AD$6:$AD$1505,Log!$D$6:$D$1505,B37,Log!$Z$6:$Z$1505,1)))</f>
        <v/>
      </c>
      <c r="H37" s="20">
        <f>IF(OR(N(E37)=0,SUMIFS(Log!$AD$6:$AD$1505,Log!$D$6:$D$1505,B37,Log!$Z$6:$Z$1505,1)=0),"",INDEX(Log!$R:$R,SUMIFS(Log!$AD$6:$AD$1505,Log!$D$6:$D$1505,B37,Log!$Z$6:$Z$1505,1)))</f>
        <v/>
      </c>
      <c r="I37" s="27">
        <f>IF(OR(N(E37)=0,SUMIFS(Log!$AD$6:$AD$1505,Log!$D$6:$D$1505,B37,Log!$Z$6:$Z$1505,1)=0),"",INDEX(Log!$B:$B,SUMIFS(Log!$AD$6:$AD$1505,Log!$D$6:$D$1505,B37,Log!$Z$6:$Z$1505,1)))</f>
        <v/>
      </c>
      <c r="J37" s="1" t="n"/>
    </row>
    <row r="38">
      <c r="A38" s="1" t="n"/>
      <c r="B38" s="23" t="n"/>
      <c r="C38" s="26" t="n"/>
      <c r="D38" s="26" t="n"/>
      <c r="E38" s="15">
        <f>IF(B38="","",COUNTIFS(Log!$D$6:$D$1505,B38))</f>
        <v/>
      </c>
      <c r="F38" s="27">
        <f>IF(N(E38)=0,"",INT(SUMIFS(Log!$AA$6:$AA$1505,Log!$D$6:$D$1505,B38,Log!$AB$6:$AB$1505,1)))</f>
        <v/>
      </c>
      <c r="G38" s="18">
        <f>IF(OR(N(E38)=0,SUMIFS(Log!$AD$6:$AD$1505,Log!$D$6:$D$1505,B38,Log!$Z$6:$Z$1505,1)=0),"",INDEX(Log!$Q:$Q,SUMIFS(Log!$AD$6:$AD$1505,Log!$D$6:$D$1505,B38,Log!$Z$6:$Z$1505,1)))</f>
        <v/>
      </c>
      <c r="H38" s="20">
        <f>IF(OR(N(E38)=0,SUMIFS(Log!$AD$6:$AD$1505,Log!$D$6:$D$1505,B38,Log!$Z$6:$Z$1505,1)=0),"",INDEX(Log!$R:$R,SUMIFS(Log!$AD$6:$AD$1505,Log!$D$6:$D$1505,B38,Log!$Z$6:$Z$1505,1)))</f>
        <v/>
      </c>
      <c r="I38" s="27">
        <f>IF(OR(N(E38)=0,SUMIFS(Log!$AD$6:$AD$1505,Log!$D$6:$D$1505,B38,Log!$Z$6:$Z$1505,1)=0),"",INDEX(Log!$B:$B,SUMIFS(Log!$AD$6:$AD$1505,Log!$D$6:$D$1505,B38,Log!$Z$6:$Z$1505,1)))</f>
        <v/>
      </c>
      <c r="J38" s="1" t="n"/>
    </row>
    <row r="39">
      <c r="A39" s="1" t="n"/>
      <c r="B39" s="23" t="n"/>
      <c r="C39" s="26" t="n"/>
      <c r="D39" s="26" t="n"/>
      <c r="E39" s="15">
        <f>IF(B39="","",COUNTIFS(Log!$D$6:$D$1505,B39))</f>
        <v/>
      </c>
      <c r="F39" s="27">
        <f>IF(N(E39)=0,"",INT(SUMIFS(Log!$AA$6:$AA$1505,Log!$D$6:$D$1505,B39,Log!$AB$6:$AB$1505,1)))</f>
        <v/>
      </c>
      <c r="G39" s="18">
        <f>IF(OR(N(E39)=0,SUMIFS(Log!$AD$6:$AD$1505,Log!$D$6:$D$1505,B39,Log!$Z$6:$Z$1505,1)=0),"",INDEX(Log!$Q:$Q,SUMIFS(Log!$AD$6:$AD$1505,Log!$D$6:$D$1505,B39,Log!$Z$6:$Z$1505,1)))</f>
        <v/>
      </c>
      <c r="H39" s="20">
        <f>IF(OR(N(E39)=0,SUMIFS(Log!$AD$6:$AD$1505,Log!$D$6:$D$1505,B39,Log!$Z$6:$Z$1505,1)=0),"",INDEX(Log!$R:$R,SUMIFS(Log!$AD$6:$AD$1505,Log!$D$6:$D$1505,B39,Log!$Z$6:$Z$1505,1)))</f>
        <v/>
      </c>
      <c r="I39" s="27">
        <f>IF(OR(N(E39)=0,SUMIFS(Log!$AD$6:$AD$1505,Log!$D$6:$D$1505,B39,Log!$Z$6:$Z$1505,1)=0),"",INDEX(Log!$B:$B,SUMIFS(Log!$AD$6:$AD$1505,Log!$D$6:$D$1505,B39,Log!$Z$6:$Z$1505,1)))</f>
        <v/>
      </c>
      <c r="J39" s="1" t="n"/>
    </row>
    <row r="40">
      <c r="A40" s="1" t="n"/>
      <c r="B40" s="23" t="n"/>
      <c r="C40" s="26" t="n"/>
      <c r="D40" s="26" t="n"/>
      <c r="E40" s="15">
        <f>IF(B40="","",COUNTIFS(Log!$D$6:$D$1505,B40))</f>
        <v/>
      </c>
      <c r="F40" s="27">
        <f>IF(N(E40)=0,"",INT(SUMIFS(Log!$AA$6:$AA$1505,Log!$D$6:$D$1505,B40,Log!$AB$6:$AB$1505,1)))</f>
        <v/>
      </c>
      <c r="G40" s="18">
        <f>IF(OR(N(E40)=0,SUMIFS(Log!$AD$6:$AD$1505,Log!$D$6:$D$1505,B40,Log!$Z$6:$Z$1505,1)=0),"",INDEX(Log!$Q:$Q,SUMIFS(Log!$AD$6:$AD$1505,Log!$D$6:$D$1505,B40,Log!$Z$6:$Z$1505,1)))</f>
        <v/>
      </c>
      <c r="H40" s="20">
        <f>IF(OR(N(E40)=0,SUMIFS(Log!$AD$6:$AD$1505,Log!$D$6:$D$1505,B40,Log!$Z$6:$Z$1505,1)=0),"",INDEX(Log!$R:$R,SUMIFS(Log!$AD$6:$AD$1505,Log!$D$6:$D$1505,B40,Log!$Z$6:$Z$1505,1)))</f>
        <v/>
      </c>
      <c r="I40" s="27">
        <f>IF(OR(N(E40)=0,SUMIFS(Log!$AD$6:$AD$1505,Log!$D$6:$D$1505,B40,Log!$Z$6:$Z$1505,1)=0),"",INDEX(Log!$B:$B,SUMIFS(Log!$AD$6:$AD$1505,Log!$D$6:$D$1505,B40,Log!$Z$6:$Z$1505,1)))</f>
        <v/>
      </c>
      <c r="J40" s="1" t="n"/>
    </row>
    <row r="41">
      <c r="A41" s="1" t="n"/>
      <c r="B41" s="23" t="n"/>
      <c r="C41" s="26" t="n"/>
      <c r="D41" s="26" t="n"/>
      <c r="E41" s="15">
        <f>IF(B41="","",COUNTIFS(Log!$D$6:$D$1505,B41))</f>
        <v/>
      </c>
      <c r="F41" s="27">
        <f>IF(N(E41)=0,"",INT(SUMIFS(Log!$AA$6:$AA$1505,Log!$D$6:$D$1505,B41,Log!$AB$6:$AB$1505,1)))</f>
        <v/>
      </c>
      <c r="G41" s="18">
        <f>IF(OR(N(E41)=0,SUMIFS(Log!$AD$6:$AD$1505,Log!$D$6:$D$1505,B41,Log!$Z$6:$Z$1505,1)=0),"",INDEX(Log!$Q:$Q,SUMIFS(Log!$AD$6:$AD$1505,Log!$D$6:$D$1505,B41,Log!$Z$6:$Z$1505,1)))</f>
        <v/>
      </c>
      <c r="H41" s="20">
        <f>IF(OR(N(E41)=0,SUMIFS(Log!$AD$6:$AD$1505,Log!$D$6:$D$1505,B41,Log!$Z$6:$Z$1505,1)=0),"",INDEX(Log!$R:$R,SUMIFS(Log!$AD$6:$AD$1505,Log!$D$6:$D$1505,B41,Log!$Z$6:$Z$1505,1)))</f>
        <v/>
      </c>
      <c r="I41" s="27">
        <f>IF(OR(N(E41)=0,SUMIFS(Log!$AD$6:$AD$1505,Log!$D$6:$D$1505,B41,Log!$Z$6:$Z$1505,1)=0),"",INDEX(Log!$B:$B,SUMIFS(Log!$AD$6:$AD$1505,Log!$D$6:$D$1505,B41,Log!$Z$6:$Z$1505,1)))</f>
        <v/>
      </c>
      <c r="J41" s="1" t="n"/>
    </row>
    <row r="42">
      <c r="A42" s="1" t="n"/>
      <c r="B42" s="23" t="n"/>
      <c r="C42" s="26" t="n"/>
      <c r="D42" s="26" t="n"/>
      <c r="E42" s="15">
        <f>IF(B42="","",COUNTIFS(Log!$D$6:$D$1505,B42))</f>
        <v/>
      </c>
      <c r="F42" s="27">
        <f>IF(N(E42)=0,"",INT(SUMIFS(Log!$AA$6:$AA$1505,Log!$D$6:$D$1505,B42,Log!$AB$6:$AB$1505,1)))</f>
        <v/>
      </c>
      <c r="G42" s="18">
        <f>IF(OR(N(E42)=0,SUMIFS(Log!$AD$6:$AD$1505,Log!$D$6:$D$1505,B42,Log!$Z$6:$Z$1505,1)=0),"",INDEX(Log!$Q:$Q,SUMIFS(Log!$AD$6:$AD$1505,Log!$D$6:$D$1505,B42,Log!$Z$6:$Z$1505,1)))</f>
        <v/>
      </c>
      <c r="H42" s="20">
        <f>IF(OR(N(E42)=0,SUMIFS(Log!$AD$6:$AD$1505,Log!$D$6:$D$1505,B42,Log!$Z$6:$Z$1505,1)=0),"",INDEX(Log!$R:$R,SUMIFS(Log!$AD$6:$AD$1505,Log!$D$6:$D$1505,B42,Log!$Z$6:$Z$1505,1)))</f>
        <v/>
      </c>
      <c r="I42" s="27">
        <f>IF(OR(N(E42)=0,SUMIFS(Log!$AD$6:$AD$1505,Log!$D$6:$D$1505,B42,Log!$Z$6:$Z$1505,1)=0),"",INDEX(Log!$B:$B,SUMIFS(Log!$AD$6:$AD$1505,Log!$D$6:$D$1505,B42,Log!$Z$6:$Z$1505,1)))</f>
        <v/>
      </c>
      <c r="J42" s="1" t="n"/>
    </row>
    <row r="43">
      <c r="A43" s="1" t="n"/>
      <c r="B43" s="23" t="n"/>
      <c r="C43" s="26" t="n"/>
      <c r="D43" s="26" t="n"/>
      <c r="E43" s="15">
        <f>IF(B43="","",COUNTIFS(Log!$D$6:$D$1505,B43))</f>
        <v/>
      </c>
      <c r="F43" s="27">
        <f>IF(N(E43)=0,"",INT(SUMIFS(Log!$AA$6:$AA$1505,Log!$D$6:$D$1505,B43,Log!$AB$6:$AB$1505,1)))</f>
        <v/>
      </c>
      <c r="G43" s="18">
        <f>IF(OR(N(E43)=0,SUMIFS(Log!$AD$6:$AD$1505,Log!$D$6:$D$1505,B43,Log!$Z$6:$Z$1505,1)=0),"",INDEX(Log!$Q:$Q,SUMIFS(Log!$AD$6:$AD$1505,Log!$D$6:$D$1505,B43,Log!$Z$6:$Z$1505,1)))</f>
        <v/>
      </c>
      <c r="H43" s="20">
        <f>IF(OR(N(E43)=0,SUMIFS(Log!$AD$6:$AD$1505,Log!$D$6:$D$1505,B43,Log!$Z$6:$Z$1505,1)=0),"",INDEX(Log!$R:$R,SUMIFS(Log!$AD$6:$AD$1505,Log!$D$6:$D$1505,B43,Log!$Z$6:$Z$1505,1)))</f>
        <v/>
      </c>
      <c r="I43" s="27">
        <f>IF(OR(N(E43)=0,SUMIFS(Log!$AD$6:$AD$1505,Log!$D$6:$D$1505,B43,Log!$Z$6:$Z$1505,1)=0),"",INDEX(Log!$B:$B,SUMIFS(Log!$AD$6:$AD$1505,Log!$D$6:$D$1505,B43,Log!$Z$6:$Z$1505,1)))</f>
        <v/>
      </c>
      <c r="J43" s="1" t="n"/>
    </row>
    <row r="44">
      <c r="A44" s="1" t="n"/>
      <c r="B44" s="23" t="n"/>
      <c r="C44" s="26" t="n"/>
      <c r="D44" s="26" t="n"/>
      <c r="E44" s="15">
        <f>IF(B44="","",COUNTIFS(Log!$D$6:$D$1505,B44))</f>
        <v/>
      </c>
      <c r="F44" s="27">
        <f>IF(N(E44)=0,"",INT(SUMIFS(Log!$AA$6:$AA$1505,Log!$D$6:$D$1505,B44,Log!$AB$6:$AB$1505,1)))</f>
        <v/>
      </c>
      <c r="G44" s="18">
        <f>IF(OR(N(E44)=0,SUMIFS(Log!$AD$6:$AD$1505,Log!$D$6:$D$1505,B44,Log!$Z$6:$Z$1505,1)=0),"",INDEX(Log!$Q:$Q,SUMIFS(Log!$AD$6:$AD$1505,Log!$D$6:$D$1505,B44,Log!$Z$6:$Z$1505,1)))</f>
        <v/>
      </c>
      <c r="H44" s="20">
        <f>IF(OR(N(E44)=0,SUMIFS(Log!$AD$6:$AD$1505,Log!$D$6:$D$1505,B44,Log!$Z$6:$Z$1505,1)=0),"",INDEX(Log!$R:$R,SUMIFS(Log!$AD$6:$AD$1505,Log!$D$6:$D$1505,B44,Log!$Z$6:$Z$1505,1)))</f>
        <v/>
      </c>
      <c r="I44" s="27">
        <f>IF(OR(N(E44)=0,SUMIFS(Log!$AD$6:$AD$1505,Log!$D$6:$D$1505,B44,Log!$Z$6:$Z$1505,1)=0),"",INDEX(Log!$B:$B,SUMIFS(Log!$AD$6:$AD$1505,Log!$D$6:$D$1505,B44,Log!$Z$6:$Z$1505,1)))</f>
        <v/>
      </c>
      <c r="J44" s="1" t="n"/>
    </row>
    <row r="45">
      <c r="A45" s="1" t="n"/>
      <c r="B45" s="23" t="n"/>
      <c r="C45" s="26" t="n"/>
      <c r="D45" s="26" t="n"/>
      <c r="E45" s="15">
        <f>IF(B45="","",COUNTIFS(Log!$D$6:$D$1505,B45))</f>
        <v/>
      </c>
      <c r="F45" s="27">
        <f>IF(N(E45)=0,"",INT(SUMIFS(Log!$AA$6:$AA$1505,Log!$D$6:$D$1505,B45,Log!$AB$6:$AB$1505,1)))</f>
        <v/>
      </c>
      <c r="G45" s="18">
        <f>IF(OR(N(E45)=0,SUMIFS(Log!$AD$6:$AD$1505,Log!$D$6:$D$1505,B45,Log!$Z$6:$Z$1505,1)=0),"",INDEX(Log!$Q:$Q,SUMIFS(Log!$AD$6:$AD$1505,Log!$D$6:$D$1505,B45,Log!$Z$6:$Z$1505,1)))</f>
        <v/>
      </c>
      <c r="H45" s="20">
        <f>IF(OR(N(E45)=0,SUMIFS(Log!$AD$6:$AD$1505,Log!$D$6:$D$1505,B45,Log!$Z$6:$Z$1505,1)=0),"",INDEX(Log!$R:$R,SUMIFS(Log!$AD$6:$AD$1505,Log!$D$6:$D$1505,B45,Log!$Z$6:$Z$1505,1)))</f>
        <v/>
      </c>
      <c r="I45" s="27">
        <f>IF(OR(N(E45)=0,SUMIFS(Log!$AD$6:$AD$1505,Log!$D$6:$D$1505,B45,Log!$Z$6:$Z$1505,1)=0),"",INDEX(Log!$B:$B,SUMIFS(Log!$AD$6:$AD$1505,Log!$D$6:$D$1505,B45,Log!$Z$6:$Z$1505,1)))</f>
        <v/>
      </c>
      <c r="J45" s="1" t="n"/>
    </row>
    <row r="46">
      <c r="A46" s="1" t="n"/>
      <c r="B46" s="23" t="n"/>
      <c r="C46" s="26" t="n"/>
      <c r="D46" s="26" t="n"/>
      <c r="E46" s="15">
        <f>IF(B46="","",COUNTIFS(Log!$D$6:$D$1505,B46))</f>
        <v/>
      </c>
      <c r="F46" s="27">
        <f>IF(N(E46)=0,"",INT(SUMIFS(Log!$AA$6:$AA$1505,Log!$D$6:$D$1505,B46,Log!$AB$6:$AB$1505,1)))</f>
        <v/>
      </c>
      <c r="G46" s="18">
        <f>IF(OR(N(E46)=0,SUMIFS(Log!$AD$6:$AD$1505,Log!$D$6:$D$1505,B46,Log!$Z$6:$Z$1505,1)=0),"",INDEX(Log!$Q:$Q,SUMIFS(Log!$AD$6:$AD$1505,Log!$D$6:$D$1505,B46,Log!$Z$6:$Z$1505,1)))</f>
        <v/>
      </c>
      <c r="H46" s="20">
        <f>IF(OR(N(E46)=0,SUMIFS(Log!$AD$6:$AD$1505,Log!$D$6:$D$1505,B46,Log!$Z$6:$Z$1505,1)=0),"",INDEX(Log!$R:$R,SUMIFS(Log!$AD$6:$AD$1505,Log!$D$6:$D$1505,B46,Log!$Z$6:$Z$1505,1)))</f>
        <v/>
      </c>
      <c r="I46" s="27">
        <f>IF(OR(N(E46)=0,SUMIFS(Log!$AD$6:$AD$1505,Log!$D$6:$D$1505,B46,Log!$Z$6:$Z$1505,1)=0),"",INDEX(Log!$B:$B,SUMIFS(Log!$AD$6:$AD$1505,Log!$D$6:$D$1505,B46,Log!$Z$6:$Z$1505,1)))</f>
        <v/>
      </c>
      <c r="J46" s="1" t="n"/>
    </row>
    <row r="47">
      <c r="A47" s="1" t="n"/>
      <c r="B47" s="23" t="n"/>
      <c r="C47" s="26" t="n"/>
      <c r="D47" s="26" t="n"/>
      <c r="E47" s="15">
        <f>IF(B47="","",COUNTIFS(Log!$D$6:$D$1505,B47))</f>
        <v/>
      </c>
      <c r="F47" s="27">
        <f>IF(N(E47)=0,"",INT(SUMIFS(Log!$AA$6:$AA$1505,Log!$D$6:$D$1505,B47,Log!$AB$6:$AB$1505,1)))</f>
        <v/>
      </c>
      <c r="G47" s="18">
        <f>IF(OR(N(E47)=0,SUMIFS(Log!$AD$6:$AD$1505,Log!$D$6:$D$1505,B47,Log!$Z$6:$Z$1505,1)=0),"",INDEX(Log!$Q:$Q,SUMIFS(Log!$AD$6:$AD$1505,Log!$D$6:$D$1505,B47,Log!$Z$6:$Z$1505,1)))</f>
        <v/>
      </c>
      <c r="H47" s="20">
        <f>IF(OR(N(E47)=0,SUMIFS(Log!$AD$6:$AD$1505,Log!$D$6:$D$1505,B47,Log!$Z$6:$Z$1505,1)=0),"",INDEX(Log!$R:$R,SUMIFS(Log!$AD$6:$AD$1505,Log!$D$6:$D$1505,B47,Log!$Z$6:$Z$1505,1)))</f>
        <v/>
      </c>
      <c r="I47" s="27">
        <f>IF(OR(N(E47)=0,SUMIFS(Log!$AD$6:$AD$1505,Log!$D$6:$D$1505,B47,Log!$Z$6:$Z$1505,1)=0),"",INDEX(Log!$B:$B,SUMIFS(Log!$AD$6:$AD$1505,Log!$D$6:$D$1505,B47,Log!$Z$6:$Z$1505,1)))</f>
        <v/>
      </c>
      <c r="J47" s="1" t="n"/>
    </row>
    <row r="48">
      <c r="A48" s="1" t="n"/>
      <c r="B48" s="23" t="n"/>
      <c r="C48" s="26" t="n"/>
      <c r="D48" s="26" t="n"/>
      <c r="E48" s="15">
        <f>IF(B48="","",COUNTIFS(Log!$D$6:$D$1505,B48))</f>
        <v/>
      </c>
      <c r="F48" s="27">
        <f>IF(N(E48)=0,"",INT(SUMIFS(Log!$AA$6:$AA$1505,Log!$D$6:$D$1505,B48,Log!$AB$6:$AB$1505,1)))</f>
        <v/>
      </c>
      <c r="G48" s="18">
        <f>IF(OR(N(E48)=0,SUMIFS(Log!$AD$6:$AD$1505,Log!$D$6:$D$1505,B48,Log!$Z$6:$Z$1505,1)=0),"",INDEX(Log!$Q:$Q,SUMIFS(Log!$AD$6:$AD$1505,Log!$D$6:$D$1505,B48,Log!$Z$6:$Z$1505,1)))</f>
        <v/>
      </c>
      <c r="H48" s="20">
        <f>IF(OR(N(E48)=0,SUMIFS(Log!$AD$6:$AD$1505,Log!$D$6:$D$1505,B48,Log!$Z$6:$Z$1505,1)=0),"",INDEX(Log!$R:$R,SUMIFS(Log!$AD$6:$AD$1505,Log!$D$6:$D$1505,B48,Log!$Z$6:$Z$1505,1)))</f>
        <v/>
      </c>
      <c r="I48" s="27">
        <f>IF(OR(N(E48)=0,SUMIFS(Log!$AD$6:$AD$1505,Log!$D$6:$D$1505,B48,Log!$Z$6:$Z$1505,1)=0),"",INDEX(Log!$B:$B,SUMIFS(Log!$AD$6:$AD$1505,Log!$D$6:$D$1505,B48,Log!$Z$6:$Z$1505,1)))</f>
        <v/>
      </c>
      <c r="J48" s="1" t="n"/>
    </row>
    <row r="49">
      <c r="A49" s="1" t="n"/>
      <c r="B49" s="23" t="n"/>
      <c r="C49" s="26" t="n"/>
      <c r="D49" s="26" t="n"/>
      <c r="E49" s="15">
        <f>IF(B49="","",COUNTIFS(Log!$D$6:$D$1505,B49))</f>
        <v/>
      </c>
      <c r="F49" s="27">
        <f>IF(N(E49)=0,"",INT(SUMIFS(Log!$AA$6:$AA$1505,Log!$D$6:$D$1505,B49,Log!$AB$6:$AB$1505,1)))</f>
        <v/>
      </c>
      <c r="G49" s="18">
        <f>IF(OR(N(E49)=0,SUMIFS(Log!$AD$6:$AD$1505,Log!$D$6:$D$1505,B49,Log!$Z$6:$Z$1505,1)=0),"",INDEX(Log!$Q:$Q,SUMIFS(Log!$AD$6:$AD$1505,Log!$D$6:$D$1505,B49,Log!$Z$6:$Z$1505,1)))</f>
        <v/>
      </c>
      <c r="H49" s="20">
        <f>IF(OR(N(E49)=0,SUMIFS(Log!$AD$6:$AD$1505,Log!$D$6:$D$1505,B49,Log!$Z$6:$Z$1505,1)=0),"",INDEX(Log!$R:$R,SUMIFS(Log!$AD$6:$AD$1505,Log!$D$6:$D$1505,B49,Log!$Z$6:$Z$1505,1)))</f>
        <v/>
      </c>
      <c r="I49" s="27">
        <f>IF(OR(N(E49)=0,SUMIFS(Log!$AD$6:$AD$1505,Log!$D$6:$D$1505,B49,Log!$Z$6:$Z$1505,1)=0),"",INDEX(Log!$B:$B,SUMIFS(Log!$AD$6:$AD$1505,Log!$D$6:$D$1505,B49,Log!$Z$6:$Z$1505,1)))</f>
        <v/>
      </c>
      <c r="J49" s="1" t="n"/>
    </row>
    <row r="50">
      <c r="A50" s="1" t="n"/>
      <c r="B50" s="23" t="n"/>
      <c r="C50" s="26" t="n"/>
      <c r="D50" s="26" t="n"/>
      <c r="E50" s="15">
        <f>IF(B50="","",COUNTIFS(Log!$D$6:$D$1505,B50))</f>
        <v/>
      </c>
      <c r="F50" s="27">
        <f>IF(N(E50)=0,"",INT(SUMIFS(Log!$AA$6:$AA$1505,Log!$D$6:$D$1505,B50,Log!$AB$6:$AB$1505,1)))</f>
        <v/>
      </c>
      <c r="G50" s="18">
        <f>IF(OR(N(E50)=0,SUMIFS(Log!$AD$6:$AD$1505,Log!$D$6:$D$1505,B50,Log!$Z$6:$Z$1505,1)=0),"",INDEX(Log!$Q:$Q,SUMIFS(Log!$AD$6:$AD$1505,Log!$D$6:$D$1505,B50,Log!$Z$6:$Z$1505,1)))</f>
        <v/>
      </c>
      <c r="H50" s="20">
        <f>IF(OR(N(E50)=0,SUMIFS(Log!$AD$6:$AD$1505,Log!$D$6:$D$1505,B50,Log!$Z$6:$Z$1505,1)=0),"",INDEX(Log!$R:$R,SUMIFS(Log!$AD$6:$AD$1505,Log!$D$6:$D$1505,B50,Log!$Z$6:$Z$1505,1)))</f>
        <v/>
      </c>
      <c r="I50" s="27">
        <f>IF(OR(N(E50)=0,SUMIFS(Log!$AD$6:$AD$1505,Log!$D$6:$D$1505,B50,Log!$Z$6:$Z$1505,1)=0),"",INDEX(Log!$B:$B,SUMIFS(Log!$AD$6:$AD$1505,Log!$D$6:$D$1505,B50,Log!$Z$6:$Z$1505,1)))</f>
        <v/>
      </c>
      <c r="J50" s="1" t="n"/>
    </row>
    <row r="51">
      <c r="A51" s="1" t="n"/>
      <c r="B51" s="23" t="n"/>
      <c r="C51" s="26" t="n"/>
      <c r="D51" s="26" t="n"/>
      <c r="E51" s="15">
        <f>IF(B51="","",COUNTIFS(Log!$D$6:$D$1505,B51))</f>
        <v/>
      </c>
      <c r="F51" s="27">
        <f>IF(N(E51)=0,"",INT(SUMIFS(Log!$AA$6:$AA$1505,Log!$D$6:$D$1505,B51,Log!$AB$6:$AB$1505,1)))</f>
        <v/>
      </c>
      <c r="G51" s="18">
        <f>IF(OR(N(E51)=0,SUMIFS(Log!$AD$6:$AD$1505,Log!$D$6:$D$1505,B51,Log!$Z$6:$Z$1505,1)=0),"",INDEX(Log!$Q:$Q,SUMIFS(Log!$AD$6:$AD$1505,Log!$D$6:$D$1505,B51,Log!$Z$6:$Z$1505,1)))</f>
        <v/>
      </c>
      <c r="H51" s="20">
        <f>IF(OR(N(E51)=0,SUMIFS(Log!$AD$6:$AD$1505,Log!$D$6:$D$1505,B51,Log!$Z$6:$Z$1505,1)=0),"",INDEX(Log!$R:$R,SUMIFS(Log!$AD$6:$AD$1505,Log!$D$6:$D$1505,B51,Log!$Z$6:$Z$1505,1)))</f>
        <v/>
      </c>
      <c r="I51" s="27">
        <f>IF(OR(N(E51)=0,SUMIFS(Log!$AD$6:$AD$1505,Log!$D$6:$D$1505,B51,Log!$Z$6:$Z$1505,1)=0),"",INDEX(Log!$B:$B,SUMIFS(Log!$AD$6:$AD$1505,Log!$D$6:$D$1505,B51,Log!$Z$6:$Z$1505,1)))</f>
        <v/>
      </c>
      <c r="J51" s="1" t="n"/>
    </row>
    <row r="52">
      <c r="A52" s="1" t="n"/>
      <c r="B52" s="23" t="n"/>
      <c r="C52" s="26" t="n"/>
      <c r="D52" s="26" t="n"/>
      <c r="E52" s="15">
        <f>IF(B52="","",COUNTIFS(Log!$D$6:$D$1505,B52))</f>
        <v/>
      </c>
      <c r="F52" s="27">
        <f>IF(N(E52)=0,"",INT(SUMIFS(Log!$AA$6:$AA$1505,Log!$D$6:$D$1505,B52,Log!$AB$6:$AB$1505,1)))</f>
        <v/>
      </c>
      <c r="G52" s="18">
        <f>IF(OR(N(E52)=0,SUMIFS(Log!$AD$6:$AD$1505,Log!$D$6:$D$1505,B52,Log!$Z$6:$Z$1505,1)=0),"",INDEX(Log!$Q:$Q,SUMIFS(Log!$AD$6:$AD$1505,Log!$D$6:$D$1505,B52,Log!$Z$6:$Z$1505,1)))</f>
        <v/>
      </c>
      <c r="H52" s="20">
        <f>IF(OR(N(E52)=0,SUMIFS(Log!$AD$6:$AD$1505,Log!$D$6:$D$1505,B52,Log!$Z$6:$Z$1505,1)=0),"",INDEX(Log!$R:$R,SUMIFS(Log!$AD$6:$AD$1505,Log!$D$6:$D$1505,B52,Log!$Z$6:$Z$1505,1)))</f>
        <v/>
      </c>
      <c r="I52" s="27">
        <f>IF(OR(N(E52)=0,SUMIFS(Log!$AD$6:$AD$1505,Log!$D$6:$D$1505,B52,Log!$Z$6:$Z$1505,1)=0),"",INDEX(Log!$B:$B,SUMIFS(Log!$AD$6:$AD$1505,Log!$D$6:$D$1505,B52,Log!$Z$6:$Z$1505,1)))</f>
        <v/>
      </c>
      <c r="J52" s="1" t="n"/>
    </row>
    <row r="53">
      <c r="A53" s="1" t="n"/>
      <c r="B53" s="23" t="n"/>
      <c r="C53" s="26" t="n"/>
      <c r="D53" s="26" t="n"/>
      <c r="E53" s="15">
        <f>IF(B53="","",COUNTIFS(Log!$D$6:$D$1505,B53))</f>
        <v/>
      </c>
      <c r="F53" s="27">
        <f>IF(N(E53)=0,"",INT(SUMIFS(Log!$AA$6:$AA$1505,Log!$D$6:$D$1505,B53,Log!$AB$6:$AB$1505,1)))</f>
        <v/>
      </c>
      <c r="G53" s="18">
        <f>IF(OR(N(E53)=0,SUMIFS(Log!$AD$6:$AD$1505,Log!$D$6:$D$1505,B53,Log!$Z$6:$Z$1505,1)=0),"",INDEX(Log!$Q:$Q,SUMIFS(Log!$AD$6:$AD$1505,Log!$D$6:$D$1505,B53,Log!$Z$6:$Z$1505,1)))</f>
        <v/>
      </c>
      <c r="H53" s="20">
        <f>IF(OR(N(E53)=0,SUMIFS(Log!$AD$6:$AD$1505,Log!$D$6:$D$1505,B53,Log!$Z$6:$Z$1505,1)=0),"",INDEX(Log!$R:$R,SUMIFS(Log!$AD$6:$AD$1505,Log!$D$6:$D$1505,B53,Log!$Z$6:$Z$1505,1)))</f>
        <v/>
      </c>
      <c r="I53" s="27">
        <f>IF(OR(N(E53)=0,SUMIFS(Log!$AD$6:$AD$1505,Log!$D$6:$D$1505,B53,Log!$Z$6:$Z$1505,1)=0),"",INDEX(Log!$B:$B,SUMIFS(Log!$AD$6:$AD$1505,Log!$D$6:$D$1505,B53,Log!$Z$6:$Z$1505,1)))</f>
        <v/>
      </c>
      <c r="J53" s="1" t="n"/>
    </row>
    <row r="54">
      <c r="A54" s="1" t="n"/>
      <c r="B54" s="23" t="n"/>
      <c r="C54" s="26" t="n"/>
      <c r="D54" s="26" t="n"/>
      <c r="E54" s="15">
        <f>IF(B54="","",COUNTIFS(Log!$D$6:$D$1505,B54))</f>
        <v/>
      </c>
      <c r="F54" s="27">
        <f>IF(N(E54)=0,"",INT(SUMIFS(Log!$AA$6:$AA$1505,Log!$D$6:$D$1505,B54,Log!$AB$6:$AB$1505,1)))</f>
        <v/>
      </c>
      <c r="G54" s="18">
        <f>IF(OR(N(E54)=0,SUMIFS(Log!$AD$6:$AD$1505,Log!$D$6:$D$1505,B54,Log!$Z$6:$Z$1505,1)=0),"",INDEX(Log!$Q:$Q,SUMIFS(Log!$AD$6:$AD$1505,Log!$D$6:$D$1505,B54,Log!$Z$6:$Z$1505,1)))</f>
        <v/>
      </c>
      <c r="H54" s="20">
        <f>IF(OR(N(E54)=0,SUMIFS(Log!$AD$6:$AD$1505,Log!$D$6:$D$1505,B54,Log!$Z$6:$Z$1505,1)=0),"",INDEX(Log!$R:$R,SUMIFS(Log!$AD$6:$AD$1505,Log!$D$6:$D$1505,B54,Log!$Z$6:$Z$1505,1)))</f>
        <v/>
      </c>
      <c r="I54" s="27">
        <f>IF(OR(N(E54)=0,SUMIFS(Log!$AD$6:$AD$1505,Log!$D$6:$D$1505,B54,Log!$Z$6:$Z$1505,1)=0),"",INDEX(Log!$B:$B,SUMIFS(Log!$AD$6:$AD$1505,Log!$D$6:$D$1505,B54,Log!$Z$6:$Z$1505,1)))</f>
        <v/>
      </c>
      <c r="J54" s="1" t="n"/>
    </row>
    <row r="55">
      <c r="A55" s="1" t="n"/>
      <c r="B55" s="23" t="n"/>
      <c r="C55" s="26" t="n"/>
      <c r="D55" s="26" t="n"/>
      <c r="E55" s="15">
        <f>IF(B55="","",COUNTIFS(Log!$D$6:$D$1505,B55))</f>
        <v/>
      </c>
      <c r="F55" s="27">
        <f>IF(N(E55)=0,"",INT(SUMIFS(Log!$AA$6:$AA$1505,Log!$D$6:$D$1505,B55,Log!$AB$6:$AB$1505,1)))</f>
        <v/>
      </c>
      <c r="G55" s="18">
        <f>IF(OR(N(E55)=0,SUMIFS(Log!$AD$6:$AD$1505,Log!$D$6:$D$1505,B55,Log!$Z$6:$Z$1505,1)=0),"",INDEX(Log!$Q:$Q,SUMIFS(Log!$AD$6:$AD$1505,Log!$D$6:$D$1505,B55,Log!$Z$6:$Z$1505,1)))</f>
        <v/>
      </c>
      <c r="H55" s="20">
        <f>IF(OR(N(E55)=0,SUMIFS(Log!$AD$6:$AD$1505,Log!$D$6:$D$1505,B55,Log!$Z$6:$Z$1505,1)=0),"",INDEX(Log!$R:$R,SUMIFS(Log!$AD$6:$AD$1505,Log!$D$6:$D$1505,B55,Log!$Z$6:$Z$1505,1)))</f>
        <v/>
      </c>
      <c r="I55" s="27">
        <f>IF(OR(N(E55)=0,SUMIFS(Log!$AD$6:$AD$1505,Log!$D$6:$D$1505,B55,Log!$Z$6:$Z$1505,1)=0),"",INDEX(Log!$B:$B,SUMIFS(Log!$AD$6:$AD$1505,Log!$D$6:$D$1505,B55,Log!$Z$6:$Z$1505,1)))</f>
        <v/>
      </c>
      <c r="J55" s="1" t="n"/>
    </row>
    <row r="56">
      <c r="A56" s="1" t="n"/>
      <c r="B56" s="23" t="n"/>
      <c r="C56" s="26" t="n"/>
      <c r="D56" s="26" t="n"/>
      <c r="E56" s="15">
        <f>IF(B56="","",COUNTIFS(Log!$D$6:$D$1505,B56))</f>
        <v/>
      </c>
      <c r="F56" s="27">
        <f>IF(N(E56)=0,"",INT(SUMIFS(Log!$AA$6:$AA$1505,Log!$D$6:$D$1505,B56,Log!$AB$6:$AB$1505,1)))</f>
        <v/>
      </c>
      <c r="G56" s="18">
        <f>IF(OR(N(E56)=0,SUMIFS(Log!$AD$6:$AD$1505,Log!$D$6:$D$1505,B56,Log!$Z$6:$Z$1505,1)=0),"",INDEX(Log!$Q:$Q,SUMIFS(Log!$AD$6:$AD$1505,Log!$D$6:$D$1505,B56,Log!$Z$6:$Z$1505,1)))</f>
        <v/>
      </c>
      <c r="H56" s="20">
        <f>IF(OR(N(E56)=0,SUMIFS(Log!$AD$6:$AD$1505,Log!$D$6:$D$1505,B56,Log!$Z$6:$Z$1505,1)=0),"",INDEX(Log!$R:$R,SUMIFS(Log!$AD$6:$AD$1505,Log!$D$6:$D$1505,B56,Log!$Z$6:$Z$1505,1)))</f>
        <v/>
      </c>
      <c r="I56" s="27">
        <f>IF(OR(N(E56)=0,SUMIFS(Log!$AD$6:$AD$1505,Log!$D$6:$D$1505,B56,Log!$Z$6:$Z$1505,1)=0),"",INDEX(Log!$B:$B,SUMIFS(Log!$AD$6:$AD$1505,Log!$D$6:$D$1505,B56,Log!$Z$6:$Z$1505,1)))</f>
        <v/>
      </c>
      <c r="J56" s="1" t="n"/>
    </row>
    <row r="57">
      <c r="A57" s="1" t="n"/>
      <c r="B57" s="23" t="n"/>
      <c r="C57" s="26" t="n"/>
      <c r="D57" s="26" t="n"/>
      <c r="E57" s="15">
        <f>IF(B57="","",COUNTIFS(Log!$D$6:$D$1505,B57))</f>
        <v/>
      </c>
      <c r="F57" s="27">
        <f>IF(N(E57)=0,"",INT(SUMIFS(Log!$AA$6:$AA$1505,Log!$D$6:$D$1505,B57,Log!$AB$6:$AB$1505,1)))</f>
        <v/>
      </c>
      <c r="G57" s="18">
        <f>IF(OR(N(E57)=0,SUMIFS(Log!$AD$6:$AD$1505,Log!$D$6:$D$1505,B57,Log!$Z$6:$Z$1505,1)=0),"",INDEX(Log!$Q:$Q,SUMIFS(Log!$AD$6:$AD$1505,Log!$D$6:$D$1505,B57,Log!$Z$6:$Z$1505,1)))</f>
        <v/>
      </c>
      <c r="H57" s="20">
        <f>IF(OR(N(E57)=0,SUMIFS(Log!$AD$6:$AD$1505,Log!$D$6:$D$1505,B57,Log!$Z$6:$Z$1505,1)=0),"",INDEX(Log!$R:$R,SUMIFS(Log!$AD$6:$AD$1505,Log!$D$6:$D$1505,B57,Log!$Z$6:$Z$1505,1)))</f>
        <v/>
      </c>
      <c r="I57" s="27">
        <f>IF(OR(N(E57)=0,SUMIFS(Log!$AD$6:$AD$1505,Log!$D$6:$D$1505,B57,Log!$Z$6:$Z$1505,1)=0),"",INDEX(Log!$B:$B,SUMIFS(Log!$AD$6:$AD$1505,Log!$D$6:$D$1505,B57,Log!$Z$6:$Z$1505,1)))</f>
        <v/>
      </c>
      <c r="J57" s="1" t="n"/>
    </row>
    <row r="58">
      <c r="A58" s="1" t="n"/>
      <c r="B58" s="23" t="n"/>
      <c r="C58" s="26" t="n"/>
      <c r="D58" s="26" t="n"/>
      <c r="E58" s="15">
        <f>IF(B58="","",COUNTIFS(Log!$D$6:$D$1505,B58))</f>
        <v/>
      </c>
      <c r="F58" s="27">
        <f>IF(N(E58)=0,"",INT(SUMIFS(Log!$AA$6:$AA$1505,Log!$D$6:$D$1505,B58,Log!$AB$6:$AB$1505,1)))</f>
        <v/>
      </c>
      <c r="G58" s="18">
        <f>IF(OR(N(E58)=0,SUMIFS(Log!$AD$6:$AD$1505,Log!$D$6:$D$1505,B58,Log!$Z$6:$Z$1505,1)=0),"",INDEX(Log!$Q:$Q,SUMIFS(Log!$AD$6:$AD$1505,Log!$D$6:$D$1505,B58,Log!$Z$6:$Z$1505,1)))</f>
        <v/>
      </c>
      <c r="H58" s="20">
        <f>IF(OR(N(E58)=0,SUMIFS(Log!$AD$6:$AD$1505,Log!$D$6:$D$1505,B58,Log!$Z$6:$Z$1505,1)=0),"",INDEX(Log!$R:$R,SUMIFS(Log!$AD$6:$AD$1505,Log!$D$6:$D$1505,B58,Log!$Z$6:$Z$1505,1)))</f>
        <v/>
      </c>
      <c r="I58" s="27">
        <f>IF(OR(N(E58)=0,SUMIFS(Log!$AD$6:$AD$1505,Log!$D$6:$D$1505,B58,Log!$Z$6:$Z$1505,1)=0),"",INDEX(Log!$B:$B,SUMIFS(Log!$AD$6:$AD$1505,Log!$D$6:$D$1505,B58,Log!$Z$6:$Z$1505,1)))</f>
        <v/>
      </c>
      <c r="J58" s="1" t="n"/>
    </row>
    <row r="59">
      <c r="A59" s="1" t="n"/>
      <c r="B59" s="23" t="n"/>
      <c r="C59" s="26" t="n"/>
      <c r="D59" s="26" t="n"/>
      <c r="E59" s="15">
        <f>IF(B59="","",COUNTIFS(Log!$D$6:$D$1505,B59))</f>
        <v/>
      </c>
      <c r="F59" s="27">
        <f>IF(N(E59)=0,"",INT(SUMIFS(Log!$AA$6:$AA$1505,Log!$D$6:$D$1505,B59,Log!$AB$6:$AB$1505,1)))</f>
        <v/>
      </c>
      <c r="G59" s="18">
        <f>IF(OR(N(E59)=0,SUMIFS(Log!$AD$6:$AD$1505,Log!$D$6:$D$1505,B59,Log!$Z$6:$Z$1505,1)=0),"",INDEX(Log!$Q:$Q,SUMIFS(Log!$AD$6:$AD$1505,Log!$D$6:$D$1505,B59,Log!$Z$6:$Z$1505,1)))</f>
        <v/>
      </c>
      <c r="H59" s="20">
        <f>IF(OR(N(E59)=0,SUMIFS(Log!$AD$6:$AD$1505,Log!$D$6:$D$1505,B59,Log!$Z$6:$Z$1505,1)=0),"",INDEX(Log!$R:$R,SUMIFS(Log!$AD$6:$AD$1505,Log!$D$6:$D$1505,B59,Log!$Z$6:$Z$1505,1)))</f>
        <v/>
      </c>
      <c r="I59" s="27">
        <f>IF(OR(N(E59)=0,SUMIFS(Log!$AD$6:$AD$1505,Log!$D$6:$D$1505,B59,Log!$Z$6:$Z$1505,1)=0),"",INDEX(Log!$B:$B,SUMIFS(Log!$AD$6:$AD$1505,Log!$D$6:$D$1505,B59,Log!$Z$6:$Z$1505,1)))</f>
        <v/>
      </c>
      <c r="J59" s="1" t="n"/>
    </row>
    <row r="60">
      <c r="A60" s="1" t="n"/>
      <c r="B60" s="23" t="n"/>
      <c r="C60" s="26" t="n"/>
      <c r="D60" s="26" t="n"/>
      <c r="E60" s="15">
        <f>IF(B60="","",COUNTIFS(Log!$D$6:$D$1505,B60))</f>
        <v/>
      </c>
      <c r="F60" s="27">
        <f>IF(N(E60)=0,"",INT(SUMIFS(Log!$AA$6:$AA$1505,Log!$D$6:$D$1505,B60,Log!$AB$6:$AB$1505,1)))</f>
        <v/>
      </c>
      <c r="G60" s="18">
        <f>IF(OR(N(E60)=0,SUMIFS(Log!$AD$6:$AD$1505,Log!$D$6:$D$1505,B60,Log!$Z$6:$Z$1505,1)=0),"",INDEX(Log!$Q:$Q,SUMIFS(Log!$AD$6:$AD$1505,Log!$D$6:$D$1505,B60,Log!$Z$6:$Z$1505,1)))</f>
        <v/>
      </c>
      <c r="H60" s="20">
        <f>IF(OR(N(E60)=0,SUMIFS(Log!$AD$6:$AD$1505,Log!$D$6:$D$1505,B60,Log!$Z$6:$Z$1505,1)=0),"",INDEX(Log!$R:$R,SUMIFS(Log!$AD$6:$AD$1505,Log!$D$6:$D$1505,B60,Log!$Z$6:$Z$1505,1)))</f>
        <v/>
      </c>
      <c r="I60" s="27">
        <f>IF(OR(N(E60)=0,SUMIFS(Log!$AD$6:$AD$1505,Log!$D$6:$D$1505,B60,Log!$Z$6:$Z$1505,1)=0),"",INDEX(Log!$B:$B,SUMIFS(Log!$AD$6:$AD$1505,Log!$D$6:$D$1505,B60,Log!$Z$6:$Z$1505,1)))</f>
        <v/>
      </c>
      <c r="J60" s="1" t="n"/>
    </row>
    <row r="61">
      <c r="A61" s="1" t="n"/>
      <c r="B61" s="23" t="n"/>
      <c r="C61" s="26" t="n"/>
      <c r="D61" s="26" t="n"/>
      <c r="E61" s="15">
        <f>IF(B61="","",COUNTIFS(Log!$D$6:$D$1505,B61))</f>
        <v/>
      </c>
      <c r="F61" s="27">
        <f>IF(N(E61)=0,"",INT(SUMIFS(Log!$AA$6:$AA$1505,Log!$D$6:$D$1505,B61,Log!$AB$6:$AB$1505,1)))</f>
        <v/>
      </c>
      <c r="G61" s="18">
        <f>IF(OR(N(E61)=0,SUMIFS(Log!$AD$6:$AD$1505,Log!$D$6:$D$1505,B61,Log!$Z$6:$Z$1505,1)=0),"",INDEX(Log!$Q:$Q,SUMIFS(Log!$AD$6:$AD$1505,Log!$D$6:$D$1505,B61,Log!$Z$6:$Z$1505,1)))</f>
        <v/>
      </c>
      <c r="H61" s="20">
        <f>IF(OR(N(E61)=0,SUMIFS(Log!$AD$6:$AD$1505,Log!$D$6:$D$1505,B61,Log!$Z$6:$Z$1505,1)=0),"",INDEX(Log!$R:$R,SUMIFS(Log!$AD$6:$AD$1505,Log!$D$6:$D$1505,B61,Log!$Z$6:$Z$1505,1)))</f>
        <v/>
      </c>
      <c r="I61" s="27">
        <f>IF(OR(N(E61)=0,SUMIFS(Log!$AD$6:$AD$1505,Log!$D$6:$D$1505,B61,Log!$Z$6:$Z$1505,1)=0),"",INDEX(Log!$B:$B,SUMIFS(Log!$AD$6:$AD$1505,Log!$D$6:$D$1505,B61,Log!$Z$6:$Z$1505,1)))</f>
        <v/>
      </c>
      <c r="J61" s="1" t="n"/>
    </row>
    <row r="62">
      <c r="A62" s="1" t="n"/>
      <c r="B62" s="23" t="n"/>
      <c r="C62" s="26" t="n"/>
      <c r="D62" s="26" t="n"/>
      <c r="E62" s="15">
        <f>IF(B62="","",COUNTIFS(Log!$D$6:$D$1505,B62))</f>
        <v/>
      </c>
      <c r="F62" s="27">
        <f>IF(N(E62)=0,"",INT(SUMIFS(Log!$AA$6:$AA$1505,Log!$D$6:$D$1505,B62,Log!$AB$6:$AB$1505,1)))</f>
        <v/>
      </c>
      <c r="G62" s="18">
        <f>IF(OR(N(E62)=0,SUMIFS(Log!$AD$6:$AD$1505,Log!$D$6:$D$1505,B62,Log!$Z$6:$Z$1505,1)=0),"",INDEX(Log!$Q:$Q,SUMIFS(Log!$AD$6:$AD$1505,Log!$D$6:$D$1505,B62,Log!$Z$6:$Z$1505,1)))</f>
        <v/>
      </c>
      <c r="H62" s="20">
        <f>IF(OR(N(E62)=0,SUMIFS(Log!$AD$6:$AD$1505,Log!$D$6:$D$1505,B62,Log!$Z$6:$Z$1505,1)=0),"",INDEX(Log!$R:$R,SUMIFS(Log!$AD$6:$AD$1505,Log!$D$6:$D$1505,B62,Log!$Z$6:$Z$1505,1)))</f>
        <v/>
      </c>
      <c r="I62" s="27">
        <f>IF(OR(N(E62)=0,SUMIFS(Log!$AD$6:$AD$1505,Log!$D$6:$D$1505,B62,Log!$Z$6:$Z$1505,1)=0),"",INDEX(Log!$B:$B,SUMIFS(Log!$AD$6:$AD$1505,Log!$D$6:$D$1505,B62,Log!$Z$6:$Z$1505,1)))</f>
        <v/>
      </c>
      <c r="J62" s="1" t="n"/>
    </row>
    <row r="63">
      <c r="A63" s="1" t="n"/>
      <c r="B63" s="23" t="n"/>
      <c r="C63" s="26" t="n"/>
      <c r="D63" s="26" t="n"/>
      <c r="E63" s="15">
        <f>IF(B63="","",COUNTIFS(Log!$D$6:$D$1505,B63))</f>
        <v/>
      </c>
      <c r="F63" s="27">
        <f>IF(N(E63)=0,"",INT(SUMIFS(Log!$AA$6:$AA$1505,Log!$D$6:$D$1505,B63,Log!$AB$6:$AB$1505,1)))</f>
        <v/>
      </c>
      <c r="G63" s="18">
        <f>IF(OR(N(E63)=0,SUMIFS(Log!$AD$6:$AD$1505,Log!$D$6:$D$1505,B63,Log!$Z$6:$Z$1505,1)=0),"",INDEX(Log!$Q:$Q,SUMIFS(Log!$AD$6:$AD$1505,Log!$D$6:$D$1505,B63,Log!$Z$6:$Z$1505,1)))</f>
        <v/>
      </c>
      <c r="H63" s="20">
        <f>IF(OR(N(E63)=0,SUMIFS(Log!$AD$6:$AD$1505,Log!$D$6:$D$1505,B63,Log!$Z$6:$Z$1505,1)=0),"",INDEX(Log!$R:$R,SUMIFS(Log!$AD$6:$AD$1505,Log!$D$6:$D$1505,B63,Log!$Z$6:$Z$1505,1)))</f>
        <v/>
      </c>
      <c r="I63" s="27">
        <f>IF(OR(N(E63)=0,SUMIFS(Log!$AD$6:$AD$1505,Log!$D$6:$D$1505,B63,Log!$Z$6:$Z$1505,1)=0),"",INDEX(Log!$B:$B,SUMIFS(Log!$AD$6:$AD$1505,Log!$D$6:$D$1505,B63,Log!$Z$6:$Z$1505,1)))</f>
        <v/>
      </c>
      <c r="J63" s="1" t="n"/>
    </row>
    <row r="64">
      <c r="A64" s="1" t="n"/>
      <c r="B64" s="23" t="n"/>
      <c r="C64" s="26" t="n"/>
      <c r="D64" s="26" t="n"/>
      <c r="E64" s="15">
        <f>IF(B64="","",COUNTIFS(Log!$D$6:$D$1505,B64))</f>
        <v/>
      </c>
      <c r="F64" s="27">
        <f>IF(N(E64)=0,"",INT(SUMIFS(Log!$AA$6:$AA$1505,Log!$D$6:$D$1505,B64,Log!$AB$6:$AB$1505,1)))</f>
        <v/>
      </c>
      <c r="G64" s="18">
        <f>IF(OR(N(E64)=0,SUMIFS(Log!$AD$6:$AD$1505,Log!$D$6:$D$1505,B64,Log!$Z$6:$Z$1505,1)=0),"",INDEX(Log!$Q:$Q,SUMIFS(Log!$AD$6:$AD$1505,Log!$D$6:$D$1505,B64,Log!$Z$6:$Z$1505,1)))</f>
        <v/>
      </c>
      <c r="H64" s="20">
        <f>IF(OR(N(E64)=0,SUMIFS(Log!$AD$6:$AD$1505,Log!$D$6:$D$1505,B64,Log!$Z$6:$Z$1505,1)=0),"",INDEX(Log!$R:$R,SUMIFS(Log!$AD$6:$AD$1505,Log!$D$6:$D$1505,B64,Log!$Z$6:$Z$1505,1)))</f>
        <v/>
      </c>
      <c r="I64" s="27">
        <f>IF(OR(N(E64)=0,SUMIFS(Log!$AD$6:$AD$1505,Log!$D$6:$D$1505,B64,Log!$Z$6:$Z$1505,1)=0),"",INDEX(Log!$B:$B,SUMIFS(Log!$AD$6:$AD$1505,Log!$D$6:$D$1505,B64,Log!$Z$6:$Z$1505,1)))</f>
        <v/>
      </c>
      <c r="J64" s="1" t="n"/>
    </row>
    <row r="65">
      <c r="A65" s="1" t="n"/>
      <c r="B65" s="23" t="n"/>
      <c r="C65" s="26" t="n"/>
      <c r="D65" s="26" t="n"/>
      <c r="E65" s="15">
        <f>IF(B65="","",COUNTIFS(Log!$D$6:$D$1505,B65))</f>
        <v/>
      </c>
      <c r="F65" s="27">
        <f>IF(N(E65)=0,"",INT(SUMIFS(Log!$AA$6:$AA$1505,Log!$D$6:$D$1505,B65,Log!$AB$6:$AB$1505,1)))</f>
        <v/>
      </c>
      <c r="G65" s="18">
        <f>IF(OR(N(E65)=0,SUMIFS(Log!$AD$6:$AD$1505,Log!$D$6:$D$1505,B65,Log!$Z$6:$Z$1505,1)=0),"",INDEX(Log!$Q:$Q,SUMIFS(Log!$AD$6:$AD$1505,Log!$D$6:$D$1505,B65,Log!$Z$6:$Z$1505,1)))</f>
        <v/>
      </c>
      <c r="H65" s="20">
        <f>IF(OR(N(E65)=0,SUMIFS(Log!$AD$6:$AD$1505,Log!$D$6:$D$1505,B65,Log!$Z$6:$Z$1505,1)=0),"",INDEX(Log!$R:$R,SUMIFS(Log!$AD$6:$AD$1505,Log!$D$6:$D$1505,B65,Log!$Z$6:$Z$1505,1)))</f>
        <v/>
      </c>
      <c r="I65" s="27">
        <f>IF(OR(N(E65)=0,SUMIFS(Log!$AD$6:$AD$1505,Log!$D$6:$D$1505,B65,Log!$Z$6:$Z$1505,1)=0),"",INDEX(Log!$B:$B,SUMIFS(Log!$AD$6:$AD$1505,Log!$D$6:$D$1505,B65,Log!$Z$6:$Z$1505,1)))</f>
        <v/>
      </c>
      <c r="J65" s="1" t="n"/>
    </row>
    <row r="66">
      <c r="A66" s="1" t="n"/>
      <c r="B66" s="23" t="n"/>
      <c r="C66" s="26" t="n"/>
      <c r="D66" s="26" t="n"/>
      <c r="E66" s="15">
        <f>IF(B66="","",COUNTIFS(Log!$D$6:$D$1505,B66))</f>
        <v/>
      </c>
      <c r="F66" s="27">
        <f>IF(N(E66)=0,"",INT(SUMIFS(Log!$AA$6:$AA$1505,Log!$D$6:$D$1505,B66,Log!$AB$6:$AB$1505,1)))</f>
        <v/>
      </c>
      <c r="G66" s="18">
        <f>IF(OR(N(E66)=0,SUMIFS(Log!$AD$6:$AD$1505,Log!$D$6:$D$1505,B66,Log!$Z$6:$Z$1505,1)=0),"",INDEX(Log!$Q:$Q,SUMIFS(Log!$AD$6:$AD$1505,Log!$D$6:$D$1505,B66,Log!$Z$6:$Z$1505,1)))</f>
        <v/>
      </c>
      <c r="H66" s="20">
        <f>IF(OR(N(E66)=0,SUMIFS(Log!$AD$6:$AD$1505,Log!$D$6:$D$1505,B66,Log!$Z$6:$Z$1505,1)=0),"",INDEX(Log!$R:$R,SUMIFS(Log!$AD$6:$AD$1505,Log!$D$6:$D$1505,B66,Log!$Z$6:$Z$1505,1)))</f>
        <v/>
      </c>
      <c r="I66" s="27">
        <f>IF(OR(N(E66)=0,SUMIFS(Log!$AD$6:$AD$1505,Log!$D$6:$D$1505,B66,Log!$Z$6:$Z$1505,1)=0),"",INDEX(Log!$B:$B,SUMIFS(Log!$AD$6:$AD$1505,Log!$D$6:$D$1505,B66,Log!$Z$6:$Z$1505,1)))</f>
        <v/>
      </c>
      <c r="J66" s="1" t="n"/>
    </row>
    <row r="67">
      <c r="A67" s="1" t="n"/>
      <c r="B67" s="23" t="n"/>
      <c r="C67" s="26" t="n"/>
      <c r="D67" s="26" t="n"/>
      <c r="E67" s="15">
        <f>IF(B67="","",COUNTIFS(Log!$D$6:$D$1505,B67))</f>
        <v/>
      </c>
      <c r="F67" s="27">
        <f>IF(N(E67)=0,"",INT(SUMIFS(Log!$AA$6:$AA$1505,Log!$D$6:$D$1505,B67,Log!$AB$6:$AB$1505,1)))</f>
        <v/>
      </c>
      <c r="G67" s="18">
        <f>IF(OR(N(E67)=0,SUMIFS(Log!$AD$6:$AD$1505,Log!$D$6:$D$1505,B67,Log!$Z$6:$Z$1505,1)=0),"",INDEX(Log!$Q:$Q,SUMIFS(Log!$AD$6:$AD$1505,Log!$D$6:$D$1505,B67,Log!$Z$6:$Z$1505,1)))</f>
        <v/>
      </c>
      <c r="H67" s="20">
        <f>IF(OR(N(E67)=0,SUMIFS(Log!$AD$6:$AD$1505,Log!$D$6:$D$1505,B67,Log!$Z$6:$Z$1505,1)=0),"",INDEX(Log!$R:$R,SUMIFS(Log!$AD$6:$AD$1505,Log!$D$6:$D$1505,B67,Log!$Z$6:$Z$1505,1)))</f>
        <v/>
      </c>
      <c r="I67" s="27">
        <f>IF(OR(N(E67)=0,SUMIFS(Log!$AD$6:$AD$1505,Log!$D$6:$D$1505,B67,Log!$Z$6:$Z$1505,1)=0),"",INDEX(Log!$B:$B,SUMIFS(Log!$AD$6:$AD$1505,Log!$D$6:$D$1505,B67,Log!$Z$6:$Z$1505,1)))</f>
        <v/>
      </c>
      <c r="J67" s="1" t="n"/>
    </row>
    <row r="68">
      <c r="A68" s="1" t="n"/>
      <c r="B68" s="23" t="n"/>
      <c r="C68" s="26" t="n"/>
      <c r="D68" s="26" t="n"/>
      <c r="E68" s="15">
        <f>IF(B68="","",COUNTIFS(Log!$D$6:$D$1505,B68))</f>
        <v/>
      </c>
      <c r="F68" s="27">
        <f>IF(N(E68)=0,"",INT(SUMIFS(Log!$AA$6:$AA$1505,Log!$D$6:$D$1505,B68,Log!$AB$6:$AB$1505,1)))</f>
        <v/>
      </c>
      <c r="G68" s="18">
        <f>IF(OR(N(E68)=0,SUMIFS(Log!$AD$6:$AD$1505,Log!$D$6:$D$1505,B68,Log!$Z$6:$Z$1505,1)=0),"",INDEX(Log!$Q:$Q,SUMIFS(Log!$AD$6:$AD$1505,Log!$D$6:$D$1505,B68,Log!$Z$6:$Z$1505,1)))</f>
        <v/>
      </c>
      <c r="H68" s="20">
        <f>IF(OR(N(E68)=0,SUMIFS(Log!$AD$6:$AD$1505,Log!$D$6:$D$1505,B68,Log!$Z$6:$Z$1505,1)=0),"",INDEX(Log!$R:$R,SUMIFS(Log!$AD$6:$AD$1505,Log!$D$6:$D$1505,B68,Log!$Z$6:$Z$1505,1)))</f>
        <v/>
      </c>
      <c r="I68" s="27">
        <f>IF(OR(N(E68)=0,SUMIFS(Log!$AD$6:$AD$1505,Log!$D$6:$D$1505,B68,Log!$Z$6:$Z$1505,1)=0),"",INDEX(Log!$B:$B,SUMIFS(Log!$AD$6:$AD$1505,Log!$D$6:$D$1505,B68,Log!$Z$6:$Z$1505,1)))</f>
        <v/>
      </c>
      <c r="J68" s="1" t="n"/>
    </row>
    <row r="69">
      <c r="A69" s="1" t="n"/>
      <c r="B69" s="23" t="n"/>
      <c r="C69" s="26" t="n"/>
      <c r="D69" s="26" t="n"/>
      <c r="E69" s="15">
        <f>IF(B69="","",COUNTIFS(Log!$D$6:$D$1505,B69))</f>
        <v/>
      </c>
      <c r="F69" s="27">
        <f>IF(N(E69)=0,"",INT(SUMIFS(Log!$AA$6:$AA$1505,Log!$D$6:$D$1505,B69,Log!$AB$6:$AB$1505,1)))</f>
        <v/>
      </c>
      <c r="G69" s="18">
        <f>IF(OR(N(E69)=0,SUMIFS(Log!$AD$6:$AD$1505,Log!$D$6:$D$1505,B69,Log!$Z$6:$Z$1505,1)=0),"",INDEX(Log!$Q:$Q,SUMIFS(Log!$AD$6:$AD$1505,Log!$D$6:$D$1505,B69,Log!$Z$6:$Z$1505,1)))</f>
        <v/>
      </c>
      <c r="H69" s="20">
        <f>IF(OR(N(E69)=0,SUMIFS(Log!$AD$6:$AD$1505,Log!$D$6:$D$1505,B69,Log!$Z$6:$Z$1505,1)=0),"",INDEX(Log!$R:$R,SUMIFS(Log!$AD$6:$AD$1505,Log!$D$6:$D$1505,B69,Log!$Z$6:$Z$1505,1)))</f>
        <v/>
      </c>
      <c r="I69" s="27">
        <f>IF(OR(N(E69)=0,SUMIFS(Log!$AD$6:$AD$1505,Log!$D$6:$D$1505,B69,Log!$Z$6:$Z$1505,1)=0),"",INDEX(Log!$B:$B,SUMIFS(Log!$AD$6:$AD$1505,Log!$D$6:$D$1505,B69,Log!$Z$6:$Z$1505,1)))</f>
        <v/>
      </c>
      <c r="J69" s="1" t="n"/>
    </row>
    <row r="70">
      <c r="A70" s="1" t="n"/>
      <c r="B70" s="23" t="n"/>
      <c r="C70" s="26" t="n"/>
      <c r="D70" s="26" t="n"/>
      <c r="E70" s="15">
        <f>IF(B70="","",COUNTIFS(Log!$D$6:$D$1505,B70))</f>
        <v/>
      </c>
      <c r="F70" s="27">
        <f>IF(N(E70)=0,"",INT(SUMIFS(Log!$AA$6:$AA$1505,Log!$D$6:$D$1505,B70,Log!$AB$6:$AB$1505,1)))</f>
        <v/>
      </c>
      <c r="G70" s="18">
        <f>IF(OR(N(E70)=0,SUMIFS(Log!$AD$6:$AD$1505,Log!$D$6:$D$1505,B70,Log!$Z$6:$Z$1505,1)=0),"",INDEX(Log!$Q:$Q,SUMIFS(Log!$AD$6:$AD$1505,Log!$D$6:$D$1505,B70,Log!$Z$6:$Z$1505,1)))</f>
        <v/>
      </c>
      <c r="H70" s="20">
        <f>IF(OR(N(E70)=0,SUMIFS(Log!$AD$6:$AD$1505,Log!$D$6:$D$1505,B70,Log!$Z$6:$Z$1505,1)=0),"",INDEX(Log!$R:$R,SUMIFS(Log!$AD$6:$AD$1505,Log!$D$6:$D$1505,B70,Log!$Z$6:$Z$1505,1)))</f>
        <v/>
      </c>
      <c r="I70" s="27">
        <f>IF(OR(N(E70)=0,SUMIFS(Log!$AD$6:$AD$1505,Log!$D$6:$D$1505,B70,Log!$Z$6:$Z$1505,1)=0),"",INDEX(Log!$B:$B,SUMIFS(Log!$AD$6:$AD$1505,Log!$D$6:$D$1505,B70,Log!$Z$6:$Z$1505,1)))</f>
        <v/>
      </c>
      <c r="J70" s="1" t="n"/>
    </row>
    <row r="71">
      <c r="A71" s="1" t="n"/>
      <c r="B71" s="23" t="n"/>
      <c r="C71" s="26" t="n"/>
      <c r="D71" s="26" t="n"/>
      <c r="E71" s="15">
        <f>IF(B71="","",COUNTIFS(Log!$D$6:$D$1505,B71))</f>
        <v/>
      </c>
      <c r="F71" s="27">
        <f>IF(N(E71)=0,"",INT(SUMIFS(Log!$AA$6:$AA$1505,Log!$D$6:$D$1505,B71,Log!$AB$6:$AB$1505,1)))</f>
        <v/>
      </c>
      <c r="G71" s="18">
        <f>IF(OR(N(E71)=0,SUMIFS(Log!$AD$6:$AD$1505,Log!$D$6:$D$1505,B71,Log!$Z$6:$Z$1505,1)=0),"",INDEX(Log!$Q:$Q,SUMIFS(Log!$AD$6:$AD$1505,Log!$D$6:$D$1505,B71,Log!$Z$6:$Z$1505,1)))</f>
        <v/>
      </c>
      <c r="H71" s="20">
        <f>IF(OR(N(E71)=0,SUMIFS(Log!$AD$6:$AD$1505,Log!$D$6:$D$1505,B71,Log!$Z$6:$Z$1505,1)=0),"",INDEX(Log!$R:$R,SUMIFS(Log!$AD$6:$AD$1505,Log!$D$6:$D$1505,B71,Log!$Z$6:$Z$1505,1)))</f>
        <v/>
      </c>
      <c r="I71" s="27">
        <f>IF(OR(N(E71)=0,SUMIFS(Log!$AD$6:$AD$1505,Log!$D$6:$D$1505,B71,Log!$Z$6:$Z$1505,1)=0),"",INDEX(Log!$B:$B,SUMIFS(Log!$AD$6:$AD$1505,Log!$D$6:$D$1505,B71,Log!$Z$6:$Z$1505,1)))</f>
        <v/>
      </c>
      <c r="J71" s="1" t="n"/>
    </row>
    <row r="72">
      <c r="A72" s="1" t="n"/>
      <c r="B72" s="23" t="n"/>
      <c r="C72" s="26" t="n"/>
      <c r="D72" s="26" t="n"/>
      <c r="E72" s="15">
        <f>IF(B72="","",COUNTIFS(Log!$D$6:$D$1505,B72))</f>
        <v/>
      </c>
      <c r="F72" s="27">
        <f>IF(N(E72)=0,"",INT(SUMIFS(Log!$AA$6:$AA$1505,Log!$D$6:$D$1505,B72,Log!$AB$6:$AB$1505,1)))</f>
        <v/>
      </c>
      <c r="G72" s="18">
        <f>IF(OR(N(E72)=0,SUMIFS(Log!$AD$6:$AD$1505,Log!$D$6:$D$1505,B72,Log!$Z$6:$Z$1505,1)=0),"",INDEX(Log!$Q:$Q,SUMIFS(Log!$AD$6:$AD$1505,Log!$D$6:$D$1505,B72,Log!$Z$6:$Z$1505,1)))</f>
        <v/>
      </c>
      <c r="H72" s="20">
        <f>IF(OR(N(E72)=0,SUMIFS(Log!$AD$6:$AD$1505,Log!$D$6:$D$1505,B72,Log!$Z$6:$Z$1505,1)=0),"",INDEX(Log!$R:$R,SUMIFS(Log!$AD$6:$AD$1505,Log!$D$6:$D$1505,B72,Log!$Z$6:$Z$1505,1)))</f>
        <v/>
      </c>
      <c r="I72" s="27">
        <f>IF(OR(N(E72)=0,SUMIFS(Log!$AD$6:$AD$1505,Log!$D$6:$D$1505,B72,Log!$Z$6:$Z$1505,1)=0),"",INDEX(Log!$B:$B,SUMIFS(Log!$AD$6:$AD$1505,Log!$D$6:$D$1505,B72,Log!$Z$6:$Z$1505,1)))</f>
        <v/>
      </c>
      <c r="J72" s="1" t="n"/>
    </row>
    <row r="73">
      <c r="A73" s="1" t="n"/>
      <c r="B73" s="23" t="n"/>
      <c r="C73" s="26" t="n"/>
      <c r="D73" s="26" t="n"/>
      <c r="E73" s="15">
        <f>IF(B73="","",COUNTIFS(Log!$D$6:$D$1505,B73))</f>
        <v/>
      </c>
      <c r="F73" s="27">
        <f>IF(N(E73)=0,"",INT(SUMIFS(Log!$AA$6:$AA$1505,Log!$D$6:$D$1505,B73,Log!$AB$6:$AB$1505,1)))</f>
        <v/>
      </c>
      <c r="G73" s="18">
        <f>IF(OR(N(E73)=0,SUMIFS(Log!$AD$6:$AD$1505,Log!$D$6:$D$1505,B73,Log!$Z$6:$Z$1505,1)=0),"",INDEX(Log!$Q:$Q,SUMIFS(Log!$AD$6:$AD$1505,Log!$D$6:$D$1505,B73,Log!$Z$6:$Z$1505,1)))</f>
        <v/>
      </c>
      <c r="H73" s="20">
        <f>IF(OR(N(E73)=0,SUMIFS(Log!$AD$6:$AD$1505,Log!$D$6:$D$1505,B73,Log!$Z$6:$Z$1505,1)=0),"",INDEX(Log!$R:$R,SUMIFS(Log!$AD$6:$AD$1505,Log!$D$6:$D$1505,B73,Log!$Z$6:$Z$1505,1)))</f>
        <v/>
      </c>
      <c r="I73" s="27">
        <f>IF(OR(N(E73)=0,SUMIFS(Log!$AD$6:$AD$1505,Log!$D$6:$D$1505,B73,Log!$Z$6:$Z$1505,1)=0),"",INDEX(Log!$B:$B,SUMIFS(Log!$AD$6:$AD$1505,Log!$D$6:$D$1505,B73,Log!$Z$6:$Z$1505,1)))</f>
        <v/>
      </c>
      <c r="J73" s="1" t="n"/>
    </row>
    <row r="74">
      <c r="A74" s="1" t="n"/>
      <c r="B74" s="23" t="n"/>
      <c r="C74" s="26" t="n"/>
      <c r="D74" s="26" t="n"/>
      <c r="E74" s="15">
        <f>IF(B74="","",COUNTIFS(Log!$D$6:$D$1505,B74))</f>
        <v/>
      </c>
      <c r="F74" s="27">
        <f>IF(N(E74)=0,"",INT(SUMIFS(Log!$AA$6:$AA$1505,Log!$D$6:$D$1505,B74,Log!$AB$6:$AB$1505,1)))</f>
        <v/>
      </c>
      <c r="G74" s="18">
        <f>IF(OR(N(E74)=0,SUMIFS(Log!$AD$6:$AD$1505,Log!$D$6:$D$1505,B74,Log!$Z$6:$Z$1505,1)=0),"",INDEX(Log!$Q:$Q,SUMIFS(Log!$AD$6:$AD$1505,Log!$D$6:$D$1505,B74,Log!$Z$6:$Z$1505,1)))</f>
        <v/>
      </c>
      <c r="H74" s="20">
        <f>IF(OR(N(E74)=0,SUMIFS(Log!$AD$6:$AD$1505,Log!$D$6:$D$1505,B74,Log!$Z$6:$Z$1505,1)=0),"",INDEX(Log!$R:$R,SUMIFS(Log!$AD$6:$AD$1505,Log!$D$6:$D$1505,B74,Log!$Z$6:$Z$1505,1)))</f>
        <v/>
      </c>
      <c r="I74" s="27">
        <f>IF(OR(N(E74)=0,SUMIFS(Log!$AD$6:$AD$1505,Log!$D$6:$D$1505,B74,Log!$Z$6:$Z$1505,1)=0),"",INDEX(Log!$B:$B,SUMIFS(Log!$AD$6:$AD$1505,Log!$D$6:$D$1505,B74,Log!$Z$6:$Z$1505,1)))</f>
        <v/>
      </c>
      <c r="J74" s="1" t="n"/>
    </row>
    <row r="75">
      <c r="A75" s="1" t="n"/>
      <c r="B75" s="23" t="n"/>
      <c r="C75" s="26" t="n"/>
      <c r="D75" s="26" t="n"/>
      <c r="E75" s="15">
        <f>IF(B75="","",COUNTIFS(Log!$D$6:$D$1505,B75))</f>
        <v/>
      </c>
      <c r="F75" s="27">
        <f>IF(N(E75)=0,"",INT(SUMIFS(Log!$AA$6:$AA$1505,Log!$D$6:$D$1505,B75,Log!$AB$6:$AB$1505,1)))</f>
        <v/>
      </c>
      <c r="G75" s="18">
        <f>IF(OR(N(E75)=0,SUMIFS(Log!$AD$6:$AD$1505,Log!$D$6:$D$1505,B75,Log!$Z$6:$Z$1505,1)=0),"",INDEX(Log!$Q:$Q,SUMIFS(Log!$AD$6:$AD$1505,Log!$D$6:$D$1505,B75,Log!$Z$6:$Z$1505,1)))</f>
        <v/>
      </c>
      <c r="H75" s="20">
        <f>IF(OR(N(E75)=0,SUMIFS(Log!$AD$6:$AD$1505,Log!$D$6:$D$1505,B75,Log!$Z$6:$Z$1505,1)=0),"",INDEX(Log!$R:$R,SUMIFS(Log!$AD$6:$AD$1505,Log!$D$6:$D$1505,B75,Log!$Z$6:$Z$1505,1)))</f>
        <v/>
      </c>
      <c r="I75" s="27">
        <f>IF(OR(N(E75)=0,SUMIFS(Log!$AD$6:$AD$1505,Log!$D$6:$D$1505,B75,Log!$Z$6:$Z$1505,1)=0),"",INDEX(Log!$B:$B,SUMIFS(Log!$AD$6:$AD$1505,Log!$D$6:$D$1505,B75,Log!$Z$6:$Z$1505,1)))</f>
        <v/>
      </c>
      <c r="J75" s="1" t="n"/>
    </row>
    <row r="76">
      <c r="A76" s="1" t="n"/>
      <c r="B76" s="23" t="n"/>
      <c r="C76" s="26" t="n"/>
      <c r="D76" s="26" t="n"/>
      <c r="E76" s="15">
        <f>IF(B76="","",COUNTIFS(Log!$D$6:$D$1505,B76))</f>
        <v/>
      </c>
      <c r="F76" s="27">
        <f>IF(N(E76)=0,"",INT(SUMIFS(Log!$AA$6:$AA$1505,Log!$D$6:$D$1505,B76,Log!$AB$6:$AB$1505,1)))</f>
        <v/>
      </c>
      <c r="G76" s="18">
        <f>IF(OR(N(E76)=0,SUMIFS(Log!$AD$6:$AD$1505,Log!$D$6:$D$1505,B76,Log!$Z$6:$Z$1505,1)=0),"",INDEX(Log!$Q:$Q,SUMIFS(Log!$AD$6:$AD$1505,Log!$D$6:$D$1505,B76,Log!$Z$6:$Z$1505,1)))</f>
        <v/>
      </c>
      <c r="H76" s="20">
        <f>IF(OR(N(E76)=0,SUMIFS(Log!$AD$6:$AD$1505,Log!$D$6:$D$1505,B76,Log!$Z$6:$Z$1505,1)=0),"",INDEX(Log!$R:$R,SUMIFS(Log!$AD$6:$AD$1505,Log!$D$6:$D$1505,B76,Log!$Z$6:$Z$1505,1)))</f>
        <v/>
      </c>
      <c r="I76" s="27">
        <f>IF(OR(N(E76)=0,SUMIFS(Log!$AD$6:$AD$1505,Log!$D$6:$D$1505,B76,Log!$Z$6:$Z$1505,1)=0),"",INDEX(Log!$B:$B,SUMIFS(Log!$AD$6:$AD$1505,Log!$D$6:$D$1505,B76,Log!$Z$6:$Z$1505,1)))</f>
        <v/>
      </c>
      <c r="J76" s="1" t="n"/>
    </row>
    <row r="77">
      <c r="A77" s="1" t="n"/>
      <c r="B77" s="23" t="n"/>
      <c r="C77" s="26" t="n"/>
      <c r="D77" s="26" t="n"/>
      <c r="E77" s="15">
        <f>IF(B77="","",COUNTIFS(Log!$D$6:$D$1505,B77))</f>
        <v/>
      </c>
      <c r="F77" s="27">
        <f>IF(N(E77)=0,"",INT(SUMIFS(Log!$AA$6:$AA$1505,Log!$D$6:$D$1505,B77,Log!$AB$6:$AB$1505,1)))</f>
        <v/>
      </c>
      <c r="G77" s="18">
        <f>IF(OR(N(E77)=0,SUMIFS(Log!$AD$6:$AD$1505,Log!$D$6:$D$1505,B77,Log!$Z$6:$Z$1505,1)=0),"",INDEX(Log!$Q:$Q,SUMIFS(Log!$AD$6:$AD$1505,Log!$D$6:$D$1505,B77,Log!$Z$6:$Z$1505,1)))</f>
        <v/>
      </c>
      <c r="H77" s="20">
        <f>IF(OR(N(E77)=0,SUMIFS(Log!$AD$6:$AD$1505,Log!$D$6:$D$1505,B77,Log!$Z$6:$Z$1505,1)=0),"",INDEX(Log!$R:$R,SUMIFS(Log!$AD$6:$AD$1505,Log!$D$6:$D$1505,B77,Log!$Z$6:$Z$1505,1)))</f>
        <v/>
      </c>
      <c r="I77" s="27">
        <f>IF(OR(N(E77)=0,SUMIFS(Log!$AD$6:$AD$1505,Log!$D$6:$D$1505,B77,Log!$Z$6:$Z$1505,1)=0),"",INDEX(Log!$B:$B,SUMIFS(Log!$AD$6:$AD$1505,Log!$D$6:$D$1505,B77,Log!$Z$6:$Z$1505,1)))</f>
        <v/>
      </c>
      <c r="J77" s="1" t="n"/>
    </row>
    <row r="78">
      <c r="A78" s="1" t="n"/>
      <c r="B78" s="23" t="n"/>
      <c r="C78" s="26" t="n"/>
      <c r="D78" s="26" t="n"/>
      <c r="E78" s="15">
        <f>IF(B78="","",COUNTIFS(Log!$D$6:$D$1505,B78))</f>
        <v/>
      </c>
      <c r="F78" s="27">
        <f>IF(N(E78)=0,"",INT(SUMIFS(Log!$AA$6:$AA$1505,Log!$D$6:$D$1505,B78,Log!$AB$6:$AB$1505,1)))</f>
        <v/>
      </c>
      <c r="G78" s="18">
        <f>IF(OR(N(E78)=0,SUMIFS(Log!$AD$6:$AD$1505,Log!$D$6:$D$1505,B78,Log!$Z$6:$Z$1505,1)=0),"",INDEX(Log!$Q:$Q,SUMIFS(Log!$AD$6:$AD$1505,Log!$D$6:$D$1505,B78,Log!$Z$6:$Z$1505,1)))</f>
        <v/>
      </c>
      <c r="H78" s="20">
        <f>IF(OR(N(E78)=0,SUMIFS(Log!$AD$6:$AD$1505,Log!$D$6:$D$1505,B78,Log!$Z$6:$Z$1505,1)=0),"",INDEX(Log!$R:$R,SUMIFS(Log!$AD$6:$AD$1505,Log!$D$6:$D$1505,B78,Log!$Z$6:$Z$1505,1)))</f>
        <v/>
      </c>
      <c r="I78" s="27">
        <f>IF(OR(N(E78)=0,SUMIFS(Log!$AD$6:$AD$1505,Log!$D$6:$D$1505,B78,Log!$Z$6:$Z$1505,1)=0),"",INDEX(Log!$B:$B,SUMIFS(Log!$AD$6:$AD$1505,Log!$D$6:$D$1505,B78,Log!$Z$6:$Z$1505,1)))</f>
        <v/>
      </c>
      <c r="J78" s="1" t="n"/>
    </row>
    <row r="79">
      <c r="A79" s="1" t="n"/>
      <c r="B79" s="23" t="n"/>
      <c r="C79" s="26" t="n"/>
      <c r="D79" s="26" t="n"/>
      <c r="E79" s="15">
        <f>IF(B79="","",COUNTIFS(Log!$D$6:$D$1505,B79))</f>
        <v/>
      </c>
      <c r="F79" s="27">
        <f>IF(N(E79)=0,"",INT(SUMIFS(Log!$AA$6:$AA$1505,Log!$D$6:$D$1505,B79,Log!$AB$6:$AB$1505,1)))</f>
        <v/>
      </c>
      <c r="G79" s="18">
        <f>IF(OR(N(E79)=0,SUMIFS(Log!$AD$6:$AD$1505,Log!$D$6:$D$1505,B79,Log!$Z$6:$Z$1505,1)=0),"",INDEX(Log!$Q:$Q,SUMIFS(Log!$AD$6:$AD$1505,Log!$D$6:$D$1505,B79,Log!$Z$6:$Z$1505,1)))</f>
        <v/>
      </c>
      <c r="H79" s="20">
        <f>IF(OR(N(E79)=0,SUMIFS(Log!$AD$6:$AD$1505,Log!$D$6:$D$1505,B79,Log!$Z$6:$Z$1505,1)=0),"",INDEX(Log!$R:$R,SUMIFS(Log!$AD$6:$AD$1505,Log!$D$6:$D$1505,B79,Log!$Z$6:$Z$1505,1)))</f>
        <v/>
      </c>
      <c r="I79" s="27">
        <f>IF(OR(N(E79)=0,SUMIFS(Log!$AD$6:$AD$1505,Log!$D$6:$D$1505,B79,Log!$Z$6:$Z$1505,1)=0),"",INDEX(Log!$B:$B,SUMIFS(Log!$AD$6:$AD$1505,Log!$D$6:$D$1505,B79,Log!$Z$6:$Z$1505,1)))</f>
        <v/>
      </c>
      <c r="J79" s="1" t="n"/>
    </row>
    <row r="80">
      <c r="A80" s="1" t="n"/>
      <c r="B80" s="23" t="n"/>
      <c r="C80" s="26" t="n"/>
      <c r="D80" s="26" t="n"/>
      <c r="E80" s="15">
        <f>IF(B80="","",COUNTIFS(Log!$D$6:$D$1505,B80))</f>
        <v/>
      </c>
      <c r="F80" s="27">
        <f>IF(N(E80)=0,"",INT(SUMIFS(Log!$AA$6:$AA$1505,Log!$D$6:$D$1505,B80,Log!$AB$6:$AB$1505,1)))</f>
        <v/>
      </c>
      <c r="G80" s="18">
        <f>IF(OR(N(E80)=0,SUMIFS(Log!$AD$6:$AD$1505,Log!$D$6:$D$1505,B80,Log!$Z$6:$Z$1505,1)=0),"",INDEX(Log!$Q:$Q,SUMIFS(Log!$AD$6:$AD$1505,Log!$D$6:$D$1505,B80,Log!$Z$6:$Z$1505,1)))</f>
        <v/>
      </c>
      <c r="H80" s="20">
        <f>IF(OR(N(E80)=0,SUMIFS(Log!$AD$6:$AD$1505,Log!$D$6:$D$1505,B80,Log!$Z$6:$Z$1505,1)=0),"",INDEX(Log!$R:$R,SUMIFS(Log!$AD$6:$AD$1505,Log!$D$6:$D$1505,B80,Log!$Z$6:$Z$1505,1)))</f>
        <v/>
      </c>
      <c r="I80" s="27">
        <f>IF(OR(N(E80)=0,SUMIFS(Log!$AD$6:$AD$1505,Log!$D$6:$D$1505,B80,Log!$Z$6:$Z$1505,1)=0),"",INDEX(Log!$B:$B,SUMIFS(Log!$AD$6:$AD$1505,Log!$D$6:$D$1505,B80,Log!$Z$6:$Z$1505,1)))</f>
        <v/>
      </c>
      <c r="J80" s="1" t="n"/>
    </row>
    <row r="81">
      <c r="A81" s="1" t="n"/>
      <c r="B81" s="23" t="n"/>
      <c r="C81" s="26" t="n"/>
      <c r="D81" s="26" t="n"/>
      <c r="E81" s="15">
        <f>IF(B81="","",COUNTIFS(Log!$D$6:$D$1505,B81))</f>
        <v/>
      </c>
      <c r="F81" s="27">
        <f>IF(N(E81)=0,"",INT(SUMIFS(Log!$AA$6:$AA$1505,Log!$D$6:$D$1505,B81,Log!$AB$6:$AB$1505,1)))</f>
        <v/>
      </c>
      <c r="G81" s="18">
        <f>IF(OR(N(E81)=0,SUMIFS(Log!$AD$6:$AD$1505,Log!$D$6:$D$1505,B81,Log!$Z$6:$Z$1505,1)=0),"",INDEX(Log!$Q:$Q,SUMIFS(Log!$AD$6:$AD$1505,Log!$D$6:$D$1505,B81,Log!$Z$6:$Z$1505,1)))</f>
        <v/>
      </c>
      <c r="H81" s="20">
        <f>IF(OR(N(E81)=0,SUMIFS(Log!$AD$6:$AD$1505,Log!$D$6:$D$1505,B81,Log!$Z$6:$Z$1505,1)=0),"",INDEX(Log!$R:$R,SUMIFS(Log!$AD$6:$AD$1505,Log!$D$6:$D$1505,B81,Log!$Z$6:$Z$1505,1)))</f>
        <v/>
      </c>
      <c r="I81" s="27">
        <f>IF(OR(N(E81)=0,SUMIFS(Log!$AD$6:$AD$1505,Log!$D$6:$D$1505,B81,Log!$Z$6:$Z$1505,1)=0),"",INDEX(Log!$B:$B,SUMIFS(Log!$AD$6:$AD$1505,Log!$D$6:$D$1505,B81,Log!$Z$6:$Z$1505,1)))</f>
        <v/>
      </c>
      <c r="J81" s="1" t="n"/>
    </row>
    <row r="82">
      <c r="A82" s="1" t="n"/>
      <c r="B82" s="23" t="n"/>
      <c r="C82" s="26" t="n"/>
      <c r="D82" s="26" t="n"/>
      <c r="E82" s="15">
        <f>IF(B82="","",COUNTIFS(Log!$D$6:$D$1505,B82))</f>
        <v/>
      </c>
      <c r="F82" s="27">
        <f>IF(N(E82)=0,"",INT(SUMIFS(Log!$AA$6:$AA$1505,Log!$D$6:$D$1505,B82,Log!$AB$6:$AB$1505,1)))</f>
        <v/>
      </c>
      <c r="G82" s="18">
        <f>IF(OR(N(E82)=0,SUMIFS(Log!$AD$6:$AD$1505,Log!$D$6:$D$1505,B82,Log!$Z$6:$Z$1505,1)=0),"",INDEX(Log!$Q:$Q,SUMIFS(Log!$AD$6:$AD$1505,Log!$D$6:$D$1505,B82,Log!$Z$6:$Z$1505,1)))</f>
        <v/>
      </c>
      <c r="H82" s="20">
        <f>IF(OR(N(E82)=0,SUMIFS(Log!$AD$6:$AD$1505,Log!$D$6:$D$1505,B82,Log!$Z$6:$Z$1505,1)=0),"",INDEX(Log!$R:$R,SUMIFS(Log!$AD$6:$AD$1505,Log!$D$6:$D$1505,B82,Log!$Z$6:$Z$1505,1)))</f>
        <v/>
      </c>
      <c r="I82" s="27">
        <f>IF(OR(N(E82)=0,SUMIFS(Log!$AD$6:$AD$1505,Log!$D$6:$D$1505,B82,Log!$Z$6:$Z$1505,1)=0),"",INDEX(Log!$B:$B,SUMIFS(Log!$AD$6:$AD$1505,Log!$D$6:$D$1505,B82,Log!$Z$6:$Z$1505,1)))</f>
        <v/>
      </c>
      <c r="J82" s="1" t="n"/>
    </row>
    <row r="83">
      <c r="A83" s="1" t="n"/>
      <c r="B83" s="23" t="n"/>
      <c r="C83" s="26" t="n"/>
      <c r="D83" s="26" t="n"/>
      <c r="E83" s="15">
        <f>IF(B83="","",COUNTIFS(Log!$D$6:$D$1505,B83))</f>
        <v/>
      </c>
      <c r="F83" s="27">
        <f>IF(N(E83)=0,"",INT(SUMIFS(Log!$AA$6:$AA$1505,Log!$D$6:$D$1505,B83,Log!$AB$6:$AB$1505,1)))</f>
        <v/>
      </c>
      <c r="G83" s="18">
        <f>IF(OR(N(E83)=0,SUMIFS(Log!$AD$6:$AD$1505,Log!$D$6:$D$1505,B83,Log!$Z$6:$Z$1505,1)=0),"",INDEX(Log!$Q:$Q,SUMIFS(Log!$AD$6:$AD$1505,Log!$D$6:$D$1505,B83,Log!$Z$6:$Z$1505,1)))</f>
        <v/>
      </c>
      <c r="H83" s="20">
        <f>IF(OR(N(E83)=0,SUMIFS(Log!$AD$6:$AD$1505,Log!$D$6:$D$1505,B83,Log!$Z$6:$Z$1505,1)=0),"",INDEX(Log!$R:$R,SUMIFS(Log!$AD$6:$AD$1505,Log!$D$6:$D$1505,B83,Log!$Z$6:$Z$1505,1)))</f>
        <v/>
      </c>
      <c r="I83" s="27">
        <f>IF(OR(N(E83)=0,SUMIFS(Log!$AD$6:$AD$1505,Log!$D$6:$D$1505,B83,Log!$Z$6:$Z$1505,1)=0),"",INDEX(Log!$B:$B,SUMIFS(Log!$AD$6:$AD$1505,Log!$D$6:$D$1505,B83,Log!$Z$6:$Z$1505,1)))</f>
        <v/>
      </c>
      <c r="J83" s="1" t="n"/>
    </row>
    <row r="84">
      <c r="A84" s="1" t="n"/>
      <c r="B84" s="23" t="n"/>
      <c r="C84" s="26" t="n"/>
      <c r="D84" s="26" t="n"/>
      <c r="E84" s="15">
        <f>IF(B84="","",COUNTIFS(Log!$D$6:$D$1505,B84))</f>
        <v/>
      </c>
      <c r="F84" s="27">
        <f>IF(N(E84)=0,"",INT(SUMIFS(Log!$AA$6:$AA$1505,Log!$D$6:$D$1505,B84,Log!$AB$6:$AB$1505,1)))</f>
        <v/>
      </c>
      <c r="G84" s="18">
        <f>IF(OR(N(E84)=0,SUMIFS(Log!$AD$6:$AD$1505,Log!$D$6:$D$1505,B84,Log!$Z$6:$Z$1505,1)=0),"",INDEX(Log!$Q:$Q,SUMIFS(Log!$AD$6:$AD$1505,Log!$D$6:$D$1505,B84,Log!$Z$6:$Z$1505,1)))</f>
        <v/>
      </c>
      <c r="H84" s="20">
        <f>IF(OR(N(E84)=0,SUMIFS(Log!$AD$6:$AD$1505,Log!$D$6:$D$1505,B84,Log!$Z$6:$Z$1505,1)=0),"",INDEX(Log!$R:$R,SUMIFS(Log!$AD$6:$AD$1505,Log!$D$6:$D$1505,B84,Log!$Z$6:$Z$1505,1)))</f>
        <v/>
      </c>
      <c r="I84" s="27">
        <f>IF(OR(N(E84)=0,SUMIFS(Log!$AD$6:$AD$1505,Log!$D$6:$D$1505,B84,Log!$Z$6:$Z$1505,1)=0),"",INDEX(Log!$B:$B,SUMIFS(Log!$AD$6:$AD$1505,Log!$D$6:$D$1505,B84,Log!$Z$6:$Z$1505,1)))</f>
        <v/>
      </c>
      <c r="J84" s="1" t="n"/>
    </row>
    <row r="85">
      <c r="A85" s="1" t="n"/>
      <c r="B85" s="23" t="n"/>
      <c r="C85" s="26" t="n"/>
      <c r="D85" s="26" t="n"/>
      <c r="E85" s="15">
        <f>IF(B85="","",COUNTIFS(Log!$D$6:$D$1505,B85))</f>
        <v/>
      </c>
      <c r="F85" s="27">
        <f>IF(N(E85)=0,"",INT(SUMIFS(Log!$AA$6:$AA$1505,Log!$D$6:$D$1505,B85,Log!$AB$6:$AB$1505,1)))</f>
        <v/>
      </c>
      <c r="G85" s="18">
        <f>IF(OR(N(E85)=0,SUMIFS(Log!$AD$6:$AD$1505,Log!$D$6:$D$1505,B85,Log!$Z$6:$Z$1505,1)=0),"",INDEX(Log!$Q:$Q,SUMIFS(Log!$AD$6:$AD$1505,Log!$D$6:$D$1505,B85,Log!$Z$6:$Z$1505,1)))</f>
        <v/>
      </c>
      <c r="H85" s="20">
        <f>IF(OR(N(E85)=0,SUMIFS(Log!$AD$6:$AD$1505,Log!$D$6:$D$1505,B85,Log!$Z$6:$Z$1505,1)=0),"",INDEX(Log!$R:$R,SUMIFS(Log!$AD$6:$AD$1505,Log!$D$6:$D$1505,B85,Log!$Z$6:$Z$1505,1)))</f>
        <v/>
      </c>
      <c r="I85" s="27">
        <f>IF(OR(N(E85)=0,SUMIFS(Log!$AD$6:$AD$1505,Log!$D$6:$D$1505,B85,Log!$Z$6:$Z$1505,1)=0),"",INDEX(Log!$B:$B,SUMIFS(Log!$AD$6:$AD$1505,Log!$D$6:$D$1505,B85,Log!$Z$6:$Z$1505,1)))</f>
        <v/>
      </c>
      <c r="J85" s="1" t="n"/>
    </row>
    <row r="86">
      <c r="A86" s="1" t="n"/>
      <c r="B86" s="23" t="n"/>
      <c r="C86" s="26" t="n"/>
      <c r="D86" s="26" t="n"/>
      <c r="E86" s="15">
        <f>IF(B86="","",COUNTIFS(Log!$D$6:$D$1505,B86))</f>
        <v/>
      </c>
      <c r="F86" s="27">
        <f>IF(N(E86)=0,"",INT(SUMIFS(Log!$AA$6:$AA$1505,Log!$D$6:$D$1505,B86,Log!$AB$6:$AB$1505,1)))</f>
        <v/>
      </c>
      <c r="G86" s="18">
        <f>IF(OR(N(E86)=0,SUMIFS(Log!$AD$6:$AD$1505,Log!$D$6:$D$1505,B86,Log!$Z$6:$Z$1505,1)=0),"",INDEX(Log!$Q:$Q,SUMIFS(Log!$AD$6:$AD$1505,Log!$D$6:$D$1505,B86,Log!$Z$6:$Z$1505,1)))</f>
        <v/>
      </c>
      <c r="H86" s="20">
        <f>IF(OR(N(E86)=0,SUMIFS(Log!$AD$6:$AD$1505,Log!$D$6:$D$1505,B86,Log!$Z$6:$Z$1505,1)=0),"",INDEX(Log!$R:$R,SUMIFS(Log!$AD$6:$AD$1505,Log!$D$6:$D$1505,B86,Log!$Z$6:$Z$1505,1)))</f>
        <v/>
      </c>
      <c r="I86" s="27">
        <f>IF(OR(N(E86)=0,SUMIFS(Log!$AD$6:$AD$1505,Log!$D$6:$D$1505,B86,Log!$Z$6:$Z$1505,1)=0),"",INDEX(Log!$B:$B,SUMIFS(Log!$AD$6:$AD$1505,Log!$D$6:$D$1505,B86,Log!$Z$6:$Z$1505,1)))</f>
        <v/>
      </c>
      <c r="J86" s="1" t="n"/>
    </row>
    <row r="87">
      <c r="A87" s="1" t="n"/>
      <c r="B87" s="23" t="n"/>
      <c r="C87" s="26" t="n"/>
      <c r="D87" s="26" t="n"/>
      <c r="E87" s="15">
        <f>IF(B87="","",COUNTIFS(Log!$D$6:$D$1505,B87))</f>
        <v/>
      </c>
      <c r="F87" s="27">
        <f>IF(N(E87)=0,"",INT(SUMIFS(Log!$AA$6:$AA$1505,Log!$D$6:$D$1505,B87,Log!$AB$6:$AB$1505,1)))</f>
        <v/>
      </c>
      <c r="G87" s="18">
        <f>IF(OR(N(E87)=0,SUMIFS(Log!$AD$6:$AD$1505,Log!$D$6:$D$1505,B87,Log!$Z$6:$Z$1505,1)=0),"",INDEX(Log!$Q:$Q,SUMIFS(Log!$AD$6:$AD$1505,Log!$D$6:$D$1505,B87,Log!$Z$6:$Z$1505,1)))</f>
        <v/>
      </c>
      <c r="H87" s="20">
        <f>IF(OR(N(E87)=0,SUMIFS(Log!$AD$6:$AD$1505,Log!$D$6:$D$1505,B87,Log!$Z$6:$Z$1505,1)=0),"",INDEX(Log!$R:$R,SUMIFS(Log!$AD$6:$AD$1505,Log!$D$6:$D$1505,B87,Log!$Z$6:$Z$1505,1)))</f>
        <v/>
      </c>
      <c r="I87" s="27">
        <f>IF(OR(N(E87)=0,SUMIFS(Log!$AD$6:$AD$1505,Log!$D$6:$D$1505,B87,Log!$Z$6:$Z$1505,1)=0),"",INDEX(Log!$B:$B,SUMIFS(Log!$AD$6:$AD$1505,Log!$D$6:$D$1505,B87,Log!$Z$6:$Z$1505,1)))</f>
        <v/>
      </c>
      <c r="J87" s="1" t="n"/>
    </row>
    <row r="88">
      <c r="A88" s="1" t="n"/>
      <c r="B88" s="23" t="n"/>
      <c r="C88" s="26" t="n"/>
      <c r="D88" s="26" t="n"/>
      <c r="E88" s="15">
        <f>IF(B88="","",COUNTIFS(Log!$D$6:$D$1505,B88))</f>
        <v/>
      </c>
      <c r="F88" s="27">
        <f>IF(N(E88)=0,"",INT(SUMIFS(Log!$AA$6:$AA$1505,Log!$D$6:$D$1505,B88,Log!$AB$6:$AB$1505,1)))</f>
        <v/>
      </c>
      <c r="G88" s="18">
        <f>IF(OR(N(E88)=0,SUMIFS(Log!$AD$6:$AD$1505,Log!$D$6:$D$1505,B88,Log!$Z$6:$Z$1505,1)=0),"",INDEX(Log!$Q:$Q,SUMIFS(Log!$AD$6:$AD$1505,Log!$D$6:$D$1505,B88,Log!$Z$6:$Z$1505,1)))</f>
        <v/>
      </c>
      <c r="H88" s="20">
        <f>IF(OR(N(E88)=0,SUMIFS(Log!$AD$6:$AD$1505,Log!$D$6:$D$1505,B88,Log!$Z$6:$Z$1505,1)=0),"",INDEX(Log!$R:$R,SUMIFS(Log!$AD$6:$AD$1505,Log!$D$6:$D$1505,B88,Log!$Z$6:$Z$1505,1)))</f>
        <v/>
      </c>
      <c r="I88" s="27">
        <f>IF(OR(N(E88)=0,SUMIFS(Log!$AD$6:$AD$1505,Log!$D$6:$D$1505,B88,Log!$Z$6:$Z$1505,1)=0),"",INDEX(Log!$B:$B,SUMIFS(Log!$AD$6:$AD$1505,Log!$D$6:$D$1505,B88,Log!$Z$6:$Z$1505,1)))</f>
        <v/>
      </c>
      <c r="J88" s="1" t="n"/>
    </row>
    <row r="89">
      <c r="A89" s="1" t="n"/>
      <c r="B89" s="23" t="n"/>
      <c r="C89" s="26" t="n"/>
      <c r="D89" s="26" t="n"/>
      <c r="E89" s="15">
        <f>IF(B89="","",COUNTIFS(Log!$D$6:$D$1505,B89))</f>
        <v/>
      </c>
      <c r="F89" s="27">
        <f>IF(N(E89)=0,"",INT(SUMIFS(Log!$AA$6:$AA$1505,Log!$D$6:$D$1505,B89,Log!$AB$6:$AB$1505,1)))</f>
        <v/>
      </c>
      <c r="G89" s="18">
        <f>IF(OR(N(E89)=0,SUMIFS(Log!$AD$6:$AD$1505,Log!$D$6:$D$1505,B89,Log!$Z$6:$Z$1505,1)=0),"",INDEX(Log!$Q:$Q,SUMIFS(Log!$AD$6:$AD$1505,Log!$D$6:$D$1505,B89,Log!$Z$6:$Z$1505,1)))</f>
        <v/>
      </c>
      <c r="H89" s="20">
        <f>IF(OR(N(E89)=0,SUMIFS(Log!$AD$6:$AD$1505,Log!$D$6:$D$1505,B89,Log!$Z$6:$Z$1505,1)=0),"",INDEX(Log!$R:$R,SUMIFS(Log!$AD$6:$AD$1505,Log!$D$6:$D$1505,B89,Log!$Z$6:$Z$1505,1)))</f>
        <v/>
      </c>
      <c r="I89" s="27">
        <f>IF(OR(N(E89)=0,SUMIFS(Log!$AD$6:$AD$1505,Log!$D$6:$D$1505,B89,Log!$Z$6:$Z$1505,1)=0),"",INDEX(Log!$B:$B,SUMIFS(Log!$AD$6:$AD$1505,Log!$D$6:$D$1505,B89,Log!$Z$6:$Z$1505,1)))</f>
        <v/>
      </c>
      <c r="J89" s="1" t="n"/>
    </row>
    <row r="90">
      <c r="A90" s="1" t="n"/>
      <c r="B90" s="23" t="n"/>
      <c r="C90" s="26" t="n"/>
      <c r="D90" s="26" t="n"/>
      <c r="E90" s="15">
        <f>IF(B90="","",COUNTIFS(Log!$D$6:$D$1505,B90))</f>
        <v/>
      </c>
      <c r="F90" s="27">
        <f>IF(N(E90)=0,"",INT(SUMIFS(Log!$AA$6:$AA$1505,Log!$D$6:$D$1505,B90,Log!$AB$6:$AB$1505,1)))</f>
        <v/>
      </c>
      <c r="G90" s="18">
        <f>IF(OR(N(E90)=0,SUMIFS(Log!$AD$6:$AD$1505,Log!$D$6:$D$1505,B90,Log!$Z$6:$Z$1505,1)=0),"",INDEX(Log!$Q:$Q,SUMIFS(Log!$AD$6:$AD$1505,Log!$D$6:$D$1505,B90,Log!$Z$6:$Z$1505,1)))</f>
        <v/>
      </c>
      <c r="H90" s="20">
        <f>IF(OR(N(E90)=0,SUMIFS(Log!$AD$6:$AD$1505,Log!$D$6:$D$1505,B90,Log!$Z$6:$Z$1505,1)=0),"",INDEX(Log!$R:$R,SUMIFS(Log!$AD$6:$AD$1505,Log!$D$6:$D$1505,B90,Log!$Z$6:$Z$1505,1)))</f>
        <v/>
      </c>
      <c r="I90" s="27">
        <f>IF(OR(N(E90)=0,SUMIFS(Log!$AD$6:$AD$1505,Log!$D$6:$D$1505,B90,Log!$Z$6:$Z$1505,1)=0),"",INDEX(Log!$B:$B,SUMIFS(Log!$AD$6:$AD$1505,Log!$D$6:$D$1505,B90,Log!$Z$6:$Z$1505,1)))</f>
        <v/>
      </c>
      <c r="J90" s="1" t="n"/>
    </row>
    <row r="91">
      <c r="A91" s="1" t="n"/>
      <c r="B91" s="23" t="n"/>
      <c r="C91" s="26" t="n"/>
      <c r="D91" s="26" t="n"/>
      <c r="E91" s="15">
        <f>IF(B91="","",COUNTIFS(Log!$D$6:$D$1505,B91))</f>
        <v/>
      </c>
      <c r="F91" s="27">
        <f>IF(N(E91)=0,"",INT(SUMIFS(Log!$AA$6:$AA$1505,Log!$D$6:$D$1505,B91,Log!$AB$6:$AB$1505,1)))</f>
        <v/>
      </c>
      <c r="G91" s="18">
        <f>IF(OR(N(E91)=0,SUMIFS(Log!$AD$6:$AD$1505,Log!$D$6:$D$1505,B91,Log!$Z$6:$Z$1505,1)=0),"",INDEX(Log!$Q:$Q,SUMIFS(Log!$AD$6:$AD$1505,Log!$D$6:$D$1505,B91,Log!$Z$6:$Z$1505,1)))</f>
        <v/>
      </c>
      <c r="H91" s="20">
        <f>IF(OR(N(E91)=0,SUMIFS(Log!$AD$6:$AD$1505,Log!$D$6:$D$1505,B91,Log!$Z$6:$Z$1505,1)=0),"",INDEX(Log!$R:$R,SUMIFS(Log!$AD$6:$AD$1505,Log!$D$6:$D$1505,B91,Log!$Z$6:$Z$1505,1)))</f>
        <v/>
      </c>
      <c r="I91" s="27">
        <f>IF(OR(N(E91)=0,SUMIFS(Log!$AD$6:$AD$1505,Log!$D$6:$D$1505,B91,Log!$Z$6:$Z$1505,1)=0),"",INDEX(Log!$B:$B,SUMIFS(Log!$AD$6:$AD$1505,Log!$D$6:$D$1505,B91,Log!$Z$6:$Z$1505,1)))</f>
        <v/>
      </c>
      <c r="J91" s="1" t="n"/>
    </row>
    <row r="92">
      <c r="A92" s="1" t="n"/>
      <c r="B92" s="23" t="n"/>
      <c r="C92" s="26" t="n"/>
      <c r="D92" s="26" t="n"/>
      <c r="E92" s="15">
        <f>IF(B92="","",COUNTIFS(Log!$D$6:$D$1505,B92))</f>
        <v/>
      </c>
      <c r="F92" s="27">
        <f>IF(N(E92)=0,"",INT(SUMIFS(Log!$AA$6:$AA$1505,Log!$D$6:$D$1505,B92,Log!$AB$6:$AB$1505,1)))</f>
        <v/>
      </c>
      <c r="G92" s="18">
        <f>IF(OR(N(E92)=0,SUMIFS(Log!$AD$6:$AD$1505,Log!$D$6:$D$1505,B92,Log!$Z$6:$Z$1505,1)=0),"",INDEX(Log!$Q:$Q,SUMIFS(Log!$AD$6:$AD$1505,Log!$D$6:$D$1505,B92,Log!$Z$6:$Z$1505,1)))</f>
        <v/>
      </c>
      <c r="H92" s="20">
        <f>IF(OR(N(E92)=0,SUMIFS(Log!$AD$6:$AD$1505,Log!$D$6:$D$1505,B92,Log!$Z$6:$Z$1505,1)=0),"",INDEX(Log!$R:$R,SUMIFS(Log!$AD$6:$AD$1505,Log!$D$6:$D$1505,B92,Log!$Z$6:$Z$1505,1)))</f>
        <v/>
      </c>
      <c r="I92" s="27">
        <f>IF(OR(N(E92)=0,SUMIFS(Log!$AD$6:$AD$1505,Log!$D$6:$D$1505,B92,Log!$Z$6:$Z$1505,1)=0),"",INDEX(Log!$B:$B,SUMIFS(Log!$AD$6:$AD$1505,Log!$D$6:$D$1505,B92,Log!$Z$6:$Z$1505,1)))</f>
        <v/>
      </c>
      <c r="J92" s="1" t="n"/>
    </row>
    <row r="93">
      <c r="A93" s="1" t="n"/>
      <c r="B93" s="23" t="n"/>
      <c r="C93" s="26" t="n"/>
      <c r="D93" s="26" t="n"/>
      <c r="E93" s="15">
        <f>IF(B93="","",COUNTIFS(Log!$D$6:$D$1505,B93))</f>
        <v/>
      </c>
      <c r="F93" s="27">
        <f>IF(N(E93)=0,"",INT(SUMIFS(Log!$AA$6:$AA$1505,Log!$D$6:$D$1505,B93,Log!$AB$6:$AB$1505,1)))</f>
        <v/>
      </c>
      <c r="G93" s="18">
        <f>IF(OR(N(E93)=0,SUMIFS(Log!$AD$6:$AD$1505,Log!$D$6:$D$1505,B93,Log!$Z$6:$Z$1505,1)=0),"",INDEX(Log!$Q:$Q,SUMIFS(Log!$AD$6:$AD$1505,Log!$D$6:$D$1505,B93,Log!$Z$6:$Z$1505,1)))</f>
        <v/>
      </c>
      <c r="H93" s="20">
        <f>IF(OR(N(E93)=0,SUMIFS(Log!$AD$6:$AD$1505,Log!$D$6:$D$1505,B93,Log!$Z$6:$Z$1505,1)=0),"",INDEX(Log!$R:$R,SUMIFS(Log!$AD$6:$AD$1505,Log!$D$6:$D$1505,B93,Log!$Z$6:$Z$1505,1)))</f>
        <v/>
      </c>
      <c r="I93" s="27">
        <f>IF(OR(N(E93)=0,SUMIFS(Log!$AD$6:$AD$1505,Log!$D$6:$D$1505,B93,Log!$Z$6:$Z$1505,1)=0),"",INDEX(Log!$B:$B,SUMIFS(Log!$AD$6:$AD$1505,Log!$D$6:$D$1505,B93,Log!$Z$6:$Z$1505,1)))</f>
        <v/>
      </c>
      <c r="J93" s="1" t="n"/>
    </row>
    <row r="94">
      <c r="A94" s="1" t="n"/>
      <c r="B94" s="23" t="n"/>
      <c r="C94" s="26" t="n"/>
      <c r="D94" s="26" t="n"/>
      <c r="E94" s="15">
        <f>IF(B94="","",COUNTIFS(Log!$D$6:$D$1505,B94))</f>
        <v/>
      </c>
      <c r="F94" s="27">
        <f>IF(N(E94)=0,"",INT(SUMIFS(Log!$AA$6:$AA$1505,Log!$D$6:$D$1505,B94,Log!$AB$6:$AB$1505,1)))</f>
        <v/>
      </c>
      <c r="G94" s="18">
        <f>IF(OR(N(E94)=0,SUMIFS(Log!$AD$6:$AD$1505,Log!$D$6:$D$1505,B94,Log!$Z$6:$Z$1505,1)=0),"",INDEX(Log!$Q:$Q,SUMIFS(Log!$AD$6:$AD$1505,Log!$D$6:$D$1505,B94,Log!$Z$6:$Z$1505,1)))</f>
        <v/>
      </c>
      <c r="H94" s="20">
        <f>IF(OR(N(E94)=0,SUMIFS(Log!$AD$6:$AD$1505,Log!$D$6:$D$1505,B94,Log!$Z$6:$Z$1505,1)=0),"",INDEX(Log!$R:$R,SUMIFS(Log!$AD$6:$AD$1505,Log!$D$6:$D$1505,B94,Log!$Z$6:$Z$1505,1)))</f>
        <v/>
      </c>
      <c r="I94" s="27">
        <f>IF(OR(N(E94)=0,SUMIFS(Log!$AD$6:$AD$1505,Log!$D$6:$D$1505,B94,Log!$Z$6:$Z$1505,1)=0),"",INDEX(Log!$B:$B,SUMIFS(Log!$AD$6:$AD$1505,Log!$D$6:$D$1505,B94,Log!$Z$6:$Z$1505,1)))</f>
        <v/>
      </c>
      <c r="J94" s="1" t="n"/>
    </row>
    <row r="95">
      <c r="A95" s="1" t="n"/>
      <c r="B95" s="23" t="n"/>
      <c r="C95" s="26" t="n"/>
      <c r="D95" s="26" t="n"/>
      <c r="E95" s="15">
        <f>IF(B95="","",COUNTIFS(Log!$D$6:$D$1505,B95))</f>
        <v/>
      </c>
      <c r="F95" s="27">
        <f>IF(N(E95)=0,"",INT(SUMIFS(Log!$AA$6:$AA$1505,Log!$D$6:$D$1505,B95,Log!$AB$6:$AB$1505,1)))</f>
        <v/>
      </c>
      <c r="G95" s="18">
        <f>IF(OR(N(E95)=0,SUMIFS(Log!$AD$6:$AD$1505,Log!$D$6:$D$1505,B95,Log!$Z$6:$Z$1505,1)=0),"",INDEX(Log!$Q:$Q,SUMIFS(Log!$AD$6:$AD$1505,Log!$D$6:$D$1505,B95,Log!$Z$6:$Z$1505,1)))</f>
        <v/>
      </c>
      <c r="H95" s="20">
        <f>IF(OR(N(E95)=0,SUMIFS(Log!$AD$6:$AD$1505,Log!$D$6:$D$1505,B95,Log!$Z$6:$Z$1505,1)=0),"",INDEX(Log!$R:$R,SUMIFS(Log!$AD$6:$AD$1505,Log!$D$6:$D$1505,B95,Log!$Z$6:$Z$1505,1)))</f>
        <v/>
      </c>
      <c r="I95" s="27">
        <f>IF(OR(N(E95)=0,SUMIFS(Log!$AD$6:$AD$1505,Log!$D$6:$D$1505,B95,Log!$Z$6:$Z$1505,1)=0),"",INDEX(Log!$B:$B,SUMIFS(Log!$AD$6:$AD$1505,Log!$D$6:$D$1505,B95,Log!$Z$6:$Z$1505,1)))</f>
        <v/>
      </c>
      <c r="J95" s="1" t="n"/>
    </row>
    <row r="96">
      <c r="A96" s="1" t="n"/>
      <c r="B96" s="23" t="n"/>
      <c r="C96" s="26" t="n"/>
      <c r="D96" s="26" t="n"/>
      <c r="E96" s="15">
        <f>IF(B96="","",COUNTIFS(Log!$D$6:$D$1505,B96))</f>
        <v/>
      </c>
      <c r="F96" s="27">
        <f>IF(N(E96)=0,"",INT(SUMIFS(Log!$AA$6:$AA$1505,Log!$D$6:$D$1505,B96,Log!$AB$6:$AB$1505,1)))</f>
        <v/>
      </c>
      <c r="G96" s="18">
        <f>IF(OR(N(E96)=0,SUMIFS(Log!$AD$6:$AD$1505,Log!$D$6:$D$1505,B96,Log!$Z$6:$Z$1505,1)=0),"",INDEX(Log!$Q:$Q,SUMIFS(Log!$AD$6:$AD$1505,Log!$D$6:$D$1505,B96,Log!$Z$6:$Z$1505,1)))</f>
        <v/>
      </c>
      <c r="H96" s="20">
        <f>IF(OR(N(E96)=0,SUMIFS(Log!$AD$6:$AD$1505,Log!$D$6:$D$1505,B96,Log!$Z$6:$Z$1505,1)=0),"",INDEX(Log!$R:$R,SUMIFS(Log!$AD$6:$AD$1505,Log!$D$6:$D$1505,B96,Log!$Z$6:$Z$1505,1)))</f>
        <v/>
      </c>
      <c r="I96" s="27">
        <f>IF(OR(N(E96)=0,SUMIFS(Log!$AD$6:$AD$1505,Log!$D$6:$D$1505,B96,Log!$Z$6:$Z$1505,1)=0),"",INDEX(Log!$B:$B,SUMIFS(Log!$AD$6:$AD$1505,Log!$D$6:$D$1505,B96,Log!$Z$6:$Z$1505,1)))</f>
        <v/>
      </c>
      <c r="J96" s="1" t="n"/>
    </row>
    <row r="97">
      <c r="A97" s="1" t="n"/>
      <c r="B97" s="23" t="n"/>
      <c r="C97" s="26" t="n"/>
      <c r="D97" s="26" t="n"/>
      <c r="E97" s="15">
        <f>IF(B97="","",COUNTIFS(Log!$D$6:$D$1505,B97))</f>
        <v/>
      </c>
      <c r="F97" s="27">
        <f>IF(N(E97)=0,"",INT(SUMIFS(Log!$AA$6:$AA$1505,Log!$D$6:$D$1505,B97,Log!$AB$6:$AB$1505,1)))</f>
        <v/>
      </c>
      <c r="G97" s="18">
        <f>IF(OR(N(E97)=0,SUMIFS(Log!$AD$6:$AD$1505,Log!$D$6:$D$1505,B97,Log!$Z$6:$Z$1505,1)=0),"",INDEX(Log!$Q:$Q,SUMIFS(Log!$AD$6:$AD$1505,Log!$D$6:$D$1505,B97,Log!$Z$6:$Z$1505,1)))</f>
        <v/>
      </c>
      <c r="H97" s="20">
        <f>IF(OR(N(E97)=0,SUMIFS(Log!$AD$6:$AD$1505,Log!$D$6:$D$1505,B97,Log!$Z$6:$Z$1505,1)=0),"",INDEX(Log!$R:$R,SUMIFS(Log!$AD$6:$AD$1505,Log!$D$6:$D$1505,B97,Log!$Z$6:$Z$1505,1)))</f>
        <v/>
      </c>
      <c r="I97" s="27">
        <f>IF(OR(N(E97)=0,SUMIFS(Log!$AD$6:$AD$1505,Log!$D$6:$D$1505,B97,Log!$Z$6:$Z$1505,1)=0),"",INDEX(Log!$B:$B,SUMIFS(Log!$AD$6:$AD$1505,Log!$D$6:$D$1505,B97,Log!$Z$6:$Z$1505,1)))</f>
        <v/>
      </c>
      <c r="J97" s="1" t="n"/>
    </row>
    <row r="98">
      <c r="A98" s="1" t="n"/>
      <c r="B98" s="23" t="n"/>
      <c r="C98" s="26" t="n"/>
      <c r="D98" s="26" t="n"/>
      <c r="E98" s="15">
        <f>IF(B98="","",COUNTIFS(Log!$D$6:$D$1505,B98))</f>
        <v/>
      </c>
      <c r="F98" s="27">
        <f>IF(N(E98)=0,"",INT(SUMIFS(Log!$AA$6:$AA$1505,Log!$D$6:$D$1505,B98,Log!$AB$6:$AB$1505,1)))</f>
        <v/>
      </c>
      <c r="G98" s="18">
        <f>IF(OR(N(E98)=0,SUMIFS(Log!$AD$6:$AD$1505,Log!$D$6:$D$1505,B98,Log!$Z$6:$Z$1505,1)=0),"",INDEX(Log!$Q:$Q,SUMIFS(Log!$AD$6:$AD$1505,Log!$D$6:$D$1505,B98,Log!$Z$6:$Z$1505,1)))</f>
        <v/>
      </c>
      <c r="H98" s="20">
        <f>IF(OR(N(E98)=0,SUMIFS(Log!$AD$6:$AD$1505,Log!$D$6:$D$1505,B98,Log!$Z$6:$Z$1505,1)=0),"",INDEX(Log!$R:$R,SUMIFS(Log!$AD$6:$AD$1505,Log!$D$6:$D$1505,B98,Log!$Z$6:$Z$1505,1)))</f>
        <v/>
      </c>
      <c r="I98" s="27">
        <f>IF(OR(N(E98)=0,SUMIFS(Log!$AD$6:$AD$1505,Log!$D$6:$D$1505,B98,Log!$Z$6:$Z$1505,1)=0),"",INDEX(Log!$B:$B,SUMIFS(Log!$AD$6:$AD$1505,Log!$D$6:$D$1505,B98,Log!$Z$6:$Z$1505,1)))</f>
        <v/>
      </c>
      <c r="J98" s="1" t="n"/>
    </row>
    <row r="99">
      <c r="A99" s="1" t="n"/>
      <c r="B99" s="23" t="n"/>
      <c r="C99" s="26" t="n"/>
      <c r="D99" s="26" t="n"/>
      <c r="E99" s="15">
        <f>IF(B99="","",COUNTIFS(Log!$D$6:$D$1505,B99))</f>
        <v/>
      </c>
      <c r="F99" s="27">
        <f>IF(N(E99)=0,"",INT(SUMIFS(Log!$AA$6:$AA$1505,Log!$D$6:$D$1505,B99,Log!$AB$6:$AB$1505,1)))</f>
        <v/>
      </c>
      <c r="G99" s="18">
        <f>IF(OR(N(E99)=0,SUMIFS(Log!$AD$6:$AD$1505,Log!$D$6:$D$1505,B99,Log!$Z$6:$Z$1505,1)=0),"",INDEX(Log!$Q:$Q,SUMIFS(Log!$AD$6:$AD$1505,Log!$D$6:$D$1505,B99,Log!$Z$6:$Z$1505,1)))</f>
        <v/>
      </c>
      <c r="H99" s="20">
        <f>IF(OR(N(E99)=0,SUMIFS(Log!$AD$6:$AD$1505,Log!$D$6:$D$1505,B99,Log!$Z$6:$Z$1505,1)=0),"",INDEX(Log!$R:$R,SUMIFS(Log!$AD$6:$AD$1505,Log!$D$6:$D$1505,B99,Log!$Z$6:$Z$1505,1)))</f>
        <v/>
      </c>
      <c r="I99" s="27">
        <f>IF(OR(N(E99)=0,SUMIFS(Log!$AD$6:$AD$1505,Log!$D$6:$D$1505,B99,Log!$Z$6:$Z$1505,1)=0),"",INDEX(Log!$B:$B,SUMIFS(Log!$AD$6:$AD$1505,Log!$D$6:$D$1505,B99,Log!$Z$6:$Z$1505,1)))</f>
        <v/>
      </c>
      <c r="J99" s="1" t="n"/>
    </row>
    <row r="100">
      <c r="A100" s="1" t="n"/>
      <c r="B100" s="23" t="n"/>
      <c r="C100" s="26" t="n"/>
      <c r="D100" s="26" t="n"/>
      <c r="E100" s="15">
        <f>IF(B100="","",COUNTIFS(Log!$D$6:$D$1505,B100))</f>
        <v/>
      </c>
      <c r="F100" s="27">
        <f>IF(N(E100)=0,"",INT(SUMIFS(Log!$AA$6:$AA$1505,Log!$D$6:$D$1505,B100,Log!$AB$6:$AB$1505,1)))</f>
        <v/>
      </c>
      <c r="G100" s="18">
        <f>IF(OR(N(E100)=0,SUMIFS(Log!$AD$6:$AD$1505,Log!$D$6:$D$1505,B100,Log!$Z$6:$Z$1505,1)=0),"",INDEX(Log!$Q:$Q,SUMIFS(Log!$AD$6:$AD$1505,Log!$D$6:$D$1505,B100,Log!$Z$6:$Z$1505,1)))</f>
        <v/>
      </c>
      <c r="H100" s="20">
        <f>IF(OR(N(E100)=0,SUMIFS(Log!$AD$6:$AD$1505,Log!$D$6:$D$1505,B100,Log!$Z$6:$Z$1505,1)=0),"",INDEX(Log!$R:$R,SUMIFS(Log!$AD$6:$AD$1505,Log!$D$6:$D$1505,B100,Log!$Z$6:$Z$1505,1)))</f>
        <v/>
      </c>
      <c r="I100" s="27">
        <f>IF(OR(N(E100)=0,SUMIFS(Log!$AD$6:$AD$1505,Log!$D$6:$D$1505,B100,Log!$Z$6:$Z$1505,1)=0),"",INDEX(Log!$B:$B,SUMIFS(Log!$AD$6:$AD$1505,Log!$D$6:$D$1505,B100,Log!$Z$6:$Z$1505,1)))</f>
        <v/>
      </c>
      <c r="J100" s="1" t="n"/>
    </row>
    <row r="101">
      <c r="A101" s="1" t="n"/>
      <c r="B101" s="23" t="n"/>
      <c r="C101" s="26" t="n"/>
      <c r="D101" s="26" t="n"/>
      <c r="E101" s="15">
        <f>IF(B101="","",COUNTIFS(Log!$D$6:$D$1505,B101))</f>
        <v/>
      </c>
      <c r="F101" s="27">
        <f>IF(N(E101)=0,"",INT(SUMIFS(Log!$AA$6:$AA$1505,Log!$D$6:$D$1505,B101,Log!$AB$6:$AB$1505,1)))</f>
        <v/>
      </c>
      <c r="G101" s="18">
        <f>IF(OR(N(E101)=0,SUMIFS(Log!$AD$6:$AD$1505,Log!$D$6:$D$1505,B101,Log!$Z$6:$Z$1505,1)=0),"",INDEX(Log!$Q:$Q,SUMIFS(Log!$AD$6:$AD$1505,Log!$D$6:$D$1505,B101,Log!$Z$6:$Z$1505,1)))</f>
        <v/>
      </c>
      <c r="H101" s="20">
        <f>IF(OR(N(E101)=0,SUMIFS(Log!$AD$6:$AD$1505,Log!$D$6:$D$1505,B101,Log!$Z$6:$Z$1505,1)=0),"",INDEX(Log!$R:$R,SUMIFS(Log!$AD$6:$AD$1505,Log!$D$6:$D$1505,B101,Log!$Z$6:$Z$1505,1)))</f>
        <v/>
      </c>
      <c r="I101" s="27">
        <f>IF(OR(N(E101)=0,SUMIFS(Log!$AD$6:$AD$1505,Log!$D$6:$D$1505,B101,Log!$Z$6:$Z$1505,1)=0),"",INDEX(Log!$B:$B,SUMIFS(Log!$AD$6:$AD$1505,Log!$D$6:$D$1505,B101,Log!$Z$6:$Z$1505,1)))</f>
        <v/>
      </c>
      <c r="J101" s="1" t="n"/>
    </row>
    <row r="102">
      <c r="A102" s="1" t="n"/>
      <c r="B102" s="23" t="n"/>
      <c r="C102" s="26" t="n"/>
      <c r="D102" s="26" t="n"/>
      <c r="E102" s="15">
        <f>IF(B102="","",COUNTIFS(Log!$D$6:$D$1505,B102))</f>
        <v/>
      </c>
      <c r="F102" s="27">
        <f>IF(N(E102)=0,"",INT(SUMIFS(Log!$AA$6:$AA$1505,Log!$D$6:$D$1505,B102,Log!$AB$6:$AB$1505,1)))</f>
        <v/>
      </c>
      <c r="G102" s="18">
        <f>IF(OR(N(E102)=0,SUMIFS(Log!$AD$6:$AD$1505,Log!$D$6:$D$1505,B102,Log!$Z$6:$Z$1505,1)=0),"",INDEX(Log!$Q:$Q,SUMIFS(Log!$AD$6:$AD$1505,Log!$D$6:$D$1505,B102,Log!$Z$6:$Z$1505,1)))</f>
        <v/>
      </c>
      <c r="H102" s="20">
        <f>IF(OR(N(E102)=0,SUMIFS(Log!$AD$6:$AD$1505,Log!$D$6:$D$1505,B102,Log!$Z$6:$Z$1505,1)=0),"",INDEX(Log!$R:$R,SUMIFS(Log!$AD$6:$AD$1505,Log!$D$6:$D$1505,B102,Log!$Z$6:$Z$1505,1)))</f>
        <v/>
      </c>
      <c r="I102" s="27">
        <f>IF(OR(N(E102)=0,SUMIFS(Log!$AD$6:$AD$1505,Log!$D$6:$D$1505,B102,Log!$Z$6:$Z$1505,1)=0),"",INDEX(Log!$B:$B,SUMIFS(Log!$AD$6:$AD$1505,Log!$D$6:$D$1505,B102,Log!$Z$6:$Z$1505,1)))</f>
        <v/>
      </c>
      <c r="J102" s="1" t="n"/>
    </row>
    <row r="103">
      <c r="A103" s="1" t="n"/>
      <c r="B103" s="23" t="n"/>
      <c r="C103" s="26" t="n"/>
      <c r="D103" s="26" t="n"/>
      <c r="E103" s="15">
        <f>IF(B103="","",COUNTIFS(Log!$D$6:$D$1505,B103))</f>
        <v/>
      </c>
      <c r="F103" s="27">
        <f>IF(N(E103)=0,"",INT(SUMIFS(Log!$AA$6:$AA$1505,Log!$D$6:$D$1505,B103,Log!$AB$6:$AB$1505,1)))</f>
        <v/>
      </c>
      <c r="G103" s="18">
        <f>IF(OR(N(E103)=0,SUMIFS(Log!$AD$6:$AD$1505,Log!$D$6:$D$1505,B103,Log!$Z$6:$Z$1505,1)=0),"",INDEX(Log!$Q:$Q,SUMIFS(Log!$AD$6:$AD$1505,Log!$D$6:$D$1505,B103,Log!$Z$6:$Z$1505,1)))</f>
        <v/>
      </c>
      <c r="H103" s="20">
        <f>IF(OR(N(E103)=0,SUMIFS(Log!$AD$6:$AD$1505,Log!$D$6:$D$1505,B103,Log!$Z$6:$Z$1505,1)=0),"",INDEX(Log!$R:$R,SUMIFS(Log!$AD$6:$AD$1505,Log!$D$6:$D$1505,B103,Log!$Z$6:$Z$1505,1)))</f>
        <v/>
      </c>
      <c r="I103" s="27">
        <f>IF(OR(N(E103)=0,SUMIFS(Log!$AD$6:$AD$1505,Log!$D$6:$D$1505,B103,Log!$Z$6:$Z$1505,1)=0),"",INDEX(Log!$B:$B,SUMIFS(Log!$AD$6:$AD$1505,Log!$D$6:$D$1505,B103,Log!$Z$6:$Z$1505,1)))</f>
        <v/>
      </c>
      <c r="J103" s="1" t="n"/>
    </row>
    <row r="104">
      <c r="A104" s="1" t="n"/>
      <c r="B104" s="23" t="n"/>
      <c r="C104" s="26" t="n"/>
      <c r="D104" s="26" t="n"/>
      <c r="E104" s="15">
        <f>IF(B104="","",COUNTIFS(Log!$D$6:$D$1505,B104))</f>
        <v/>
      </c>
      <c r="F104" s="27">
        <f>IF(N(E104)=0,"",INT(SUMIFS(Log!$AA$6:$AA$1505,Log!$D$6:$D$1505,B104,Log!$AB$6:$AB$1505,1)))</f>
        <v/>
      </c>
      <c r="G104" s="18">
        <f>IF(OR(N(E104)=0,SUMIFS(Log!$AD$6:$AD$1505,Log!$D$6:$D$1505,B104,Log!$Z$6:$Z$1505,1)=0),"",INDEX(Log!$Q:$Q,SUMIFS(Log!$AD$6:$AD$1505,Log!$D$6:$D$1505,B104,Log!$Z$6:$Z$1505,1)))</f>
        <v/>
      </c>
      <c r="H104" s="20">
        <f>IF(OR(N(E104)=0,SUMIFS(Log!$AD$6:$AD$1505,Log!$D$6:$D$1505,B104,Log!$Z$6:$Z$1505,1)=0),"",INDEX(Log!$R:$R,SUMIFS(Log!$AD$6:$AD$1505,Log!$D$6:$D$1505,B104,Log!$Z$6:$Z$1505,1)))</f>
        <v/>
      </c>
      <c r="I104" s="27">
        <f>IF(OR(N(E104)=0,SUMIFS(Log!$AD$6:$AD$1505,Log!$D$6:$D$1505,B104,Log!$Z$6:$Z$1505,1)=0),"",INDEX(Log!$B:$B,SUMIFS(Log!$AD$6:$AD$1505,Log!$D$6:$D$1505,B104,Log!$Z$6:$Z$1505,1)))</f>
        <v/>
      </c>
      <c r="J104" s="1" t="n"/>
    </row>
    <row r="105">
      <c r="A105" s="1" t="n"/>
      <c r="B105" s="23" t="n"/>
      <c r="C105" s="26" t="n"/>
      <c r="D105" s="26" t="n"/>
      <c r="E105" s="15">
        <f>IF(B105="","",COUNTIFS(Log!$D$6:$D$1505,B105))</f>
        <v/>
      </c>
      <c r="F105" s="27">
        <f>IF(N(E105)=0,"",INT(SUMIFS(Log!$AA$6:$AA$1505,Log!$D$6:$D$1505,B105,Log!$AB$6:$AB$1505,1)))</f>
        <v/>
      </c>
      <c r="G105" s="18">
        <f>IF(OR(N(E105)=0,SUMIFS(Log!$AD$6:$AD$1505,Log!$D$6:$D$1505,B105,Log!$Z$6:$Z$1505,1)=0),"",INDEX(Log!$Q:$Q,SUMIFS(Log!$AD$6:$AD$1505,Log!$D$6:$D$1505,B105,Log!$Z$6:$Z$1505,1)))</f>
        <v/>
      </c>
      <c r="H105" s="20">
        <f>IF(OR(N(E105)=0,SUMIFS(Log!$AD$6:$AD$1505,Log!$D$6:$D$1505,B105,Log!$Z$6:$Z$1505,1)=0),"",INDEX(Log!$R:$R,SUMIFS(Log!$AD$6:$AD$1505,Log!$D$6:$D$1505,B105,Log!$Z$6:$Z$1505,1)))</f>
        <v/>
      </c>
      <c r="I105" s="27">
        <f>IF(OR(N(E105)=0,SUMIFS(Log!$AD$6:$AD$1505,Log!$D$6:$D$1505,B105,Log!$Z$6:$Z$1505,1)=0),"",INDEX(Log!$B:$B,SUMIFS(Log!$AD$6:$AD$1505,Log!$D$6:$D$1505,B105,Log!$Z$6:$Z$1505,1)))</f>
        <v/>
      </c>
      <c r="J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>
      <c r="B107" s="28" t="inlineStr">
        <is>
          <t>Est. max is the weight you could lift once, estimated from your best set (weight x (1 + reps / 30)). For a bodyweight exercise it is the most reps in one set.</t>
        </is>
      </c>
    </row>
  </sheetData>
  <dataValidations count="2">
    <dataValidation sqref="C6:C105" showDropDown="0" showInputMessage="0" showErrorMessage="1" allowBlank="1" type="list">
      <formula1>"Chest,Back,Shoulders,Arms,Legs,Glutes,Core"</formula1>
    </dataValidation>
    <dataValidation sqref="D6:D105" showDropDown="0" showInputMessage="0" showErrorMessage="1" allowBlank="1" type="list">
      <formula1>"Weights,Bodyweight"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" customWidth="1" min="3" max="3"/>
    <col width="11" customWidth="1" min="4" max="4"/>
    <col width="4" customWidth="1" min="5" max="5"/>
    <col width="3" customWidth="1" min="6" max="6"/>
    <col width="24" customWidth="1" min="7" max="7"/>
    <col width="7" customWidth="1" min="8" max="8"/>
    <col width="11" customWidth="1" min="9" max="9"/>
    <col width="4" customWidth="1" min="10" max="10"/>
    <col width="3" customWidth="1" min="11" max="11"/>
    <col width="24" customWidth="1" min="12" max="12"/>
    <col width="7" customWidth="1" min="13" max="13"/>
    <col width="11" customWidth="1" min="14" max="14"/>
    <col width="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Weekly plan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Which workout on which day, and what each workout holds.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13" t="inlineStr">
        <is>
          <t>Day</t>
        </is>
      </c>
      <c r="C5" s="13" t="inlineStr">
        <is>
          <t>Workout</t>
        </is>
      </c>
      <c r="D5" s="2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7" t="inlineStr">
        <is>
          <t>Monday</t>
        </is>
      </c>
      <c r="C6" s="5" t="inlineStr">
        <is>
          <t>Push</t>
        </is>
      </c>
      <c r="D6" s="29" t="n"/>
      <c r="E6" s="1" t="n"/>
      <c r="F6" s="1" t="n"/>
      <c r="G6" s="30" t="inlineStr">
        <is>
          <t>Type a workout name for each day, or Rest.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n"/>
      <c r="B7" s="17" t="inlineStr">
        <is>
          <t>Tuesday</t>
        </is>
      </c>
      <c r="C7" s="5" t="inlineStr">
        <is>
          <t>Pull</t>
        </is>
      </c>
      <c r="D7" s="29" t="n"/>
      <c r="E7" s="1" t="n"/>
      <c r="F7" s="1" t="n"/>
      <c r="G7" s="30" t="inlineStr">
        <is>
          <t>The workouts below go into the list on the Log tab.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7" t="inlineStr">
        <is>
          <t>Wednesday</t>
        </is>
      </c>
      <c r="C8" s="5" t="inlineStr">
        <is>
          <t>Legs</t>
        </is>
      </c>
      <c r="D8" s="2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7" t="inlineStr">
        <is>
          <t>Thursday</t>
        </is>
      </c>
      <c r="C9" s="5" t="inlineStr">
        <is>
          <t>Rest</t>
        </is>
      </c>
      <c r="D9" s="2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7" t="inlineStr">
        <is>
          <t>Friday</t>
        </is>
      </c>
      <c r="C10" s="5" t="inlineStr">
        <is>
          <t>Upper</t>
        </is>
      </c>
      <c r="D10" s="2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7" t="inlineStr">
        <is>
          <t>Saturday</t>
        </is>
      </c>
      <c r="C11" s="5" t="inlineStr">
        <is>
          <t>Lower</t>
        </is>
      </c>
      <c r="D11" s="2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7" t="inlineStr">
        <is>
          <t>Sunday</t>
        </is>
      </c>
      <c r="C12" s="5" t="inlineStr">
        <is>
          <t>Rest</t>
        </is>
      </c>
      <c r="D12" s="2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31" t="inlineStr">
        <is>
          <t>Workouts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32" t="inlineStr">
        <is>
          <t>Push</t>
        </is>
      </c>
      <c r="C15" s="1" t="n"/>
      <c r="D15" s="1" t="n"/>
      <c r="E15" s="1" t="n"/>
      <c r="F15" s="1" t="n"/>
      <c r="G15" s="32" t="inlineStr">
        <is>
          <t>Pull</t>
        </is>
      </c>
      <c r="H15" s="1" t="n"/>
      <c r="I15" s="1" t="n"/>
      <c r="J15" s="1" t="n"/>
      <c r="K15" s="1" t="n"/>
      <c r="L15" s="32" t="inlineStr">
        <is>
          <t>Legs</t>
        </is>
      </c>
      <c r="M15" s="1" t="n"/>
      <c r="N15" s="1" t="n"/>
      <c r="O15" s="1" t="n"/>
      <c r="P15" s="1" t="n"/>
    </row>
    <row r="16" ht="30" customHeight="1">
      <c r="A16" s="1" t="n"/>
      <c r="B16" s="13" t="inlineStr">
        <is>
          <t>Exercise</t>
        </is>
      </c>
      <c r="C16" s="13" t="inlineStr">
        <is>
          <t>Sets</t>
        </is>
      </c>
      <c r="D16" s="13" t="inlineStr">
        <is>
          <t>Reps</t>
        </is>
      </c>
      <c r="E16" s="1" t="n"/>
      <c r="F16" s="1" t="n"/>
      <c r="G16" s="13" t="inlineStr">
        <is>
          <t>Exercise</t>
        </is>
      </c>
      <c r="H16" s="13" t="inlineStr">
        <is>
          <t>Sets</t>
        </is>
      </c>
      <c r="I16" s="13" t="inlineStr">
        <is>
          <t>Reps</t>
        </is>
      </c>
      <c r="J16" s="1" t="n"/>
      <c r="K16" s="1" t="n"/>
      <c r="L16" s="13" t="inlineStr">
        <is>
          <t>Exercise</t>
        </is>
      </c>
      <c r="M16" s="13" t="inlineStr">
        <is>
          <t>Sets</t>
        </is>
      </c>
      <c r="N16" s="13" t="inlineStr">
        <is>
          <t>Reps</t>
        </is>
      </c>
      <c r="O16" s="1" t="n"/>
      <c r="P16" s="1" t="n"/>
    </row>
    <row r="17">
      <c r="A17" s="1" t="n"/>
      <c r="B17" s="26" t="inlineStr">
        <is>
          <t>Bench press</t>
        </is>
      </c>
      <c r="C17" s="33" t="n">
        <v>4</v>
      </c>
      <c r="D17" s="22" t="inlineStr">
        <is>
          <t>6 to 8</t>
        </is>
      </c>
      <c r="E17" s="1" t="n"/>
      <c r="F17" s="1" t="n"/>
      <c r="G17" s="26" t="inlineStr">
        <is>
          <t>Deadlift</t>
        </is>
      </c>
      <c r="H17" s="33" t="n">
        <v>3</v>
      </c>
      <c r="I17" s="22" t="inlineStr">
        <is>
          <t>5</t>
        </is>
      </c>
      <c r="J17" s="1" t="n"/>
      <c r="K17" s="1" t="n"/>
      <c r="L17" s="26" t="inlineStr">
        <is>
          <t>Squat</t>
        </is>
      </c>
      <c r="M17" s="33" t="n">
        <v>4</v>
      </c>
      <c r="N17" s="22" t="inlineStr">
        <is>
          <t>5 to 6</t>
        </is>
      </c>
      <c r="O17" s="1" t="n"/>
      <c r="P17" s="1" t="n"/>
    </row>
    <row r="18">
      <c r="A18" s="1" t="n"/>
      <c r="B18" s="26" t="inlineStr">
        <is>
          <t>Overhead press</t>
        </is>
      </c>
      <c r="C18" s="33" t="n">
        <v>3</v>
      </c>
      <c r="D18" s="22" t="inlineStr">
        <is>
          <t>8 to 10</t>
        </is>
      </c>
      <c r="E18" s="1" t="n"/>
      <c r="F18" s="1" t="n"/>
      <c r="G18" s="26" t="inlineStr">
        <is>
          <t>Pull-up</t>
        </is>
      </c>
      <c r="H18" s="33" t="n">
        <v>3</v>
      </c>
      <c r="I18" s="22" t="inlineStr">
        <is>
          <t>6 to 10</t>
        </is>
      </c>
      <c r="J18" s="1" t="n"/>
      <c r="K18" s="1" t="n"/>
      <c r="L18" s="26" t="inlineStr">
        <is>
          <t>Romanian deadlift</t>
        </is>
      </c>
      <c r="M18" s="33" t="n">
        <v>3</v>
      </c>
      <c r="N18" s="22" t="inlineStr">
        <is>
          <t>8 to 10</t>
        </is>
      </c>
      <c r="O18" s="1" t="n"/>
      <c r="P18" s="1" t="n"/>
    </row>
    <row r="19">
      <c r="A19" s="1" t="n"/>
      <c r="B19" s="26" t="inlineStr">
        <is>
          <t>Incline dumbbell press</t>
        </is>
      </c>
      <c r="C19" s="33" t="n">
        <v>3</v>
      </c>
      <c r="D19" s="22" t="inlineStr">
        <is>
          <t>8 to 12</t>
        </is>
      </c>
      <c r="E19" s="1" t="n"/>
      <c r="F19" s="1" t="n"/>
      <c r="G19" s="26" t="inlineStr">
        <is>
          <t>Barbell row</t>
        </is>
      </c>
      <c r="H19" s="33" t="n">
        <v>3</v>
      </c>
      <c r="I19" s="22" t="inlineStr">
        <is>
          <t>8 to 10</t>
        </is>
      </c>
      <c r="J19" s="1" t="n"/>
      <c r="K19" s="1" t="n"/>
      <c r="L19" s="26" t="inlineStr">
        <is>
          <t>Leg press</t>
        </is>
      </c>
      <c r="M19" s="33" t="n">
        <v>3</v>
      </c>
      <c r="N19" s="22" t="inlineStr">
        <is>
          <t>10 to 12</t>
        </is>
      </c>
      <c r="O19" s="1" t="n"/>
      <c r="P19" s="1" t="n"/>
    </row>
    <row r="20">
      <c r="A20" s="1" t="n"/>
      <c r="B20" s="26" t="inlineStr">
        <is>
          <t>Lateral raise</t>
        </is>
      </c>
      <c r="C20" s="33" t="n">
        <v>3</v>
      </c>
      <c r="D20" s="22" t="inlineStr">
        <is>
          <t>12 to 15</t>
        </is>
      </c>
      <c r="E20" s="1" t="n"/>
      <c r="F20" s="1" t="n"/>
      <c r="G20" s="26" t="inlineStr">
        <is>
          <t>Lat pulldown</t>
        </is>
      </c>
      <c r="H20" s="33" t="n">
        <v>3</v>
      </c>
      <c r="I20" s="22" t="inlineStr">
        <is>
          <t>10 to 12</t>
        </is>
      </c>
      <c r="J20" s="1" t="n"/>
      <c r="K20" s="1" t="n"/>
      <c r="L20" s="26" t="inlineStr">
        <is>
          <t>Leg curl</t>
        </is>
      </c>
      <c r="M20" s="33" t="n">
        <v>3</v>
      </c>
      <c r="N20" s="22" t="inlineStr">
        <is>
          <t>10 to 12</t>
        </is>
      </c>
      <c r="O20" s="1" t="n"/>
      <c r="P20" s="1" t="n"/>
    </row>
    <row r="21">
      <c r="A21" s="1" t="n"/>
      <c r="B21" s="26" t="inlineStr">
        <is>
          <t>Triceps pushdown</t>
        </is>
      </c>
      <c r="C21" s="33" t="n">
        <v>3</v>
      </c>
      <c r="D21" s="22" t="inlineStr">
        <is>
          <t>10 to 12</t>
        </is>
      </c>
      <c r="E21" s="1" t="n"/>
      <c r="F21" s="1" t="n"/>
      <c r="G21" s="26" t="inlineStr">
        <is>
          <t>Biceps curl</t>
        </is>
      </c>
      <c r="H21" s="33" t="n">
        <v>3</v>
      </c>
      <c r="I21" s="22" t="inlineStr">
        <is>
          <t>10 to 12</t>
        </is>
      </c>
      <c r="J21" s="1" t="n"/>
      <c r="K21" s="1" t="n"/>
      <c r="L21" s="26" t="inlineStr">
        <is>
          <t>Calf raise</t>
        </is>
      </c>
      <c r="M21" s="33" t="n">
        <v>4</v>
      </c>
      <c r="N21" s="22" t="inlineStr">
        <is>
          <t>12 to 15</t>
        </is>
      </c>
      <c r="O21" s="1" t="n"/>
      <c r="P21" s="1" t="n"/>
    </row>
    <row r="22">
      <c r="A22" s="1" t="n"/>
      <c r="B22" s="26" t="n"/>
      <c r="C22" s="33" t="n"/>
      <c r="D22" s="22" t="n"/>
      <c r="E22" s="1" t="n"/>
      <c r="F22" s="1" t="n"/>
      <c r="G22" s="26" t="n"/>
      <c r="H22" s="33" t="n"/>
      <c r="I22" s="22" t="n"/>
      <c r="J22" s="1" t="n"/>
      <c r="K22" s="1" t="n"/>
      <c r="L22" s="26" t="n"/>
      <c r="M22" s="33" t="n"/>
      <c r="N22" s="22" t="n"/>
      <c r="O22" s="1" t="n"/>
      <c r="P22" s="1" t="n"/>
    </row>
    <row r="23">
      <c r="A23" s="1" t="n"/>
      <c r="B23" s="26" t="n"/>
      <c r="C23" s="33" t="n"/>
      <c r="D23" s="22" t="n"/>
      <c r="E23" s="1" t="n"/>
      <c r="F23" s="1" t="n"/>
      <c r="G23" s="26" t="n"/>
      <c r="H23" s="33" t="n"/>
      <c r="I23" s="22" t="n"/>
      <c r="J23" s="1" t="n"/>
      <c r="K23" s="1" t="n"/>
      <c r="L23" s="26" t="n"/>
      <c r="M23" s="33" t="n"/>
      <c r="N23" s="22" t="n"/>
      <c r="O23" s="1" t="n"/>
      <c r="P23" s="1" t="n"/>
    </row>
    <row r="24">
      <c r="A24" s="1" t="n"/>
      <c r="B24" s="26" t="n"/>
      <c r="C24" s="33" t="n"/>
      <c r="D24" s="22" t="n"/>
      <c r="E24" s="1" t="n"/>
      <c r="F24" s="1" t="n"/>
      <c r="G24" s="26" t="n"/>
      <c r="H24" s="33" t="n"/>
      <c r="I24" s="22" t="n"/>
      <c r="J24" s="1" t="n"/>
      <c r="K24" s="1" t="n"/>
      <c r="L24" s="26" t="n"/>
      <c r="M24" s="33" t="n"/>
      <c r="N24" s="22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32" t="inlineStr">
        <is>
          <t>Upper</t>
        </is>
      </c>
      <c r="C27" s="1" t="n"/>
      <c r="D27" s="1" t="n"/>
      <c r="E27" s="1" t="n"/>
      <c r="F27" s="1" t="n"/>
      <c r="G27" s="32" t="inlineStr">
        <is>
          <t>Lower</t>
        </is>
      </c>
      <c r="H27" s="1" t="n"/>
      <c r="I27" s="1" t="n"/>
      <c r="J27" s="1" t="n"/>
      <c r="K27" s="1" t="n"/>
      <c r="L27" s="32" t="n"/>
      <c r="M27" s="1" t="n"/>
      <c r="N27" s="1" t="n"/>
      <c r="O27" s="1" t="n"/>
      <c r="P27" s="1" t="n"/>
    </row>
    <row r="28" ht="30" customHeight="1">
      <c r="A28" s="1" t="n"/>
      <c r="B28" s="13" t="inlineStr">
        <is>
          <t>Exercise</t>
        </is>
      </c>
      <c r="C28" s="13" t="inlineStr">
        <is>
          <t>Sets</t>
        </is>
      </c>
      <c r="D28" s="13" t="inlineStr">
        <is>
          <t>Reps</t>
        </is>
      </c>
      <c r="E28" s="1" t="n"/>
      <c r="F28" s="1" t="n"/>
      <c r="G28" s="13" t="inlineStr">
        <is>
          <t>Exercise</t>
        </is>
      </c>
      <c r="H28" s="13" t="inlineStr">
        <is>
          <t>Sets</t>
        </is>
      </c>
      <c r="I28" s="13" t="inlineStr">
        <is>
          <t>Reps</t>
        </is>
      </c>
      <c r="J28" s="1" t="n"/>
      <c r="K28" s="1" t="n"/>
      <c r="L28" s="13" t="inlineStr">
        <is>
          <t>Exercise</t>
        </is>
      </c>
      <c r="M28" s="13" t="inlineStr">
        <is>
          <t>Sets</t>
        </is>
      </c>
      <c r="N28" s="13" t="inlineStr">
        <is>
          <t>Reps</t>
        </is>
      </c>
      <c r="O28" s="1" t="n"/>
      <c r="P28" s="1" t="n"/>
    </row>
    <row r="29">
      <c r="A29" s="1" t="n"/>
      <c r="B29" s="26" t="inlineStr">
        <is>
          <t>Bench press</t>
        </is>
      </c>
      <c r="C29" s="33" t="n">
        <v>3</v>
      </c>
      <c r="D29" s="22" t="inlineStr">
        <is>
          <t>8 to 10</t>
        </is>
      </c>
      <c r="E29" s="1" t="n"/>
      <c r="F29" s="1" t="n"/>
      <c r="G29" s="26" t="inlineStr">
        <is>
          <t>Squat</t>
        </is>
      </c>
      <c r="H29" s="33" t="n">
        <v>3</v>
      </c>
      <c r="I29" s="22" t="inlineStr">
        <is>
          <t>8</t>
        </is>
      </c>
      <c r="J29" s="1" t="n"/>
      <c r="K29" s="1" t="n"/>
      <c r="L29" s="26" t="n"/>
      <c r="M29" s="33" t="n"/>
      <c r="N29" s="22" t="n"/>
      <c r="O29" s="1" t="n"/>
      <c r="P29" s="1" t="n"/>
    </row>
    <row r="30">
      <c r="A30" s="1" t="n"/>
      <c r="B30" s="26" t="inlineStr">
        <is>
          <t>Barbell row</t>
        </is>
      </c>
      <c r="C30" s="33" t="n">
        <v>3</v>
      </c>
      <c r="D30" s="22" t="inlineStr">
        <is>
          <t>8 to 10</t>
        </is>
      </c>
      <c r="E30" s="1" t="n"/>
      <c r="F30" s="1" t="n"/>
      <c r="G30" s="26" t="inlineStr">
        <is>
          <t>Romanian deadlift</t>
        </is>
      </c>
      <c r="H30" s="33" t="n">
        <v>3</v>
      </c>
      <c r="I30" s="22" t="inlineStr">
        <is>
          <t>8 to 10</t>
        </is>
      </c>
      <c r="J30" s="1" t="n"/>
      <c r="K30" s="1" t="n"/>
      <c r="L30" s="26" t="n"/>
      <c r="M30" s="33" t="n"/>
      <c r="N30" s="22" t="n"/>
      <c r="O30" s="1" t="n"/>
      <c r="P30" s="1" t="n"/>
    </row>
    <row r="31">
      <c r="A31" s="1" t="n"/>
      <c r="B31" s="26" t="inlineStr">
        <is>
          <t>Overhead press</t>
        </is>
      </c>
      <c r="C31" s="33" t="n">
        <v>3</v>
      </c>
      <c r="D31" s="22" t="inlineStr">
        <is>
          <t>8 to 10</t>
        </is>
      </c>
      <c r="E31" s="1" t="n"/>
      <c r="F31" s="1" t="n"/>
      <c r="G31" s="26" t="inlineStr">
        <is>
          <t>Leg press</t>
        </is>
      </c>
      <c r="H31" s="33" t="n">
        <v>3</v>
      </c>
      <c r="I31" s="22" t="inlineStr">
        <is>
          <t>12 to 15</t>
        </is>
      </c>
      <c r="J31" s="1" t="n"/>
      <c r="K31" s="1" t="n"/>
      <c r="L31" s="26" t="n"/>
      <c r="M31" s="33" t="n"/>
      <c r="N31" s="22" t="n"/>
      <c r="O31" s="1" t="n"/>
      <c r="P31" s="1" t="n"/>
    </row>
    <row r="32">
      <c r="A32" s="1" t="n"/>
      <c r="B32" s="26" t="inlineStr">
        <is>
          <t>Pull-up</t>
        </is>
      </c>
      <c r="C32" s="33" t="n">
        <v>3</v>
      </c>
      <c r="D32" s="22" t="inlineStr">
        <is>
          <t>6 to 10</t>
        </is>
      </c>
      <c r="E32" s="1" t="n"/>
      <c r="F32" s="1" t="n"/>
      <c r="G32" s="26" t="inlineStr">
        <is>
          <t>Calf raise</t>
        </is>
      </c>
      <c r="H32" s="33" t="n">
        <v>3</v>
      </c>
      <c r="I32" s="22" t="inlineStr">
        <is>
          <t>15</t>
        </is>
      </c>
      <c r="J32" s="1" t="n"/>
      <c r="K32" s="1" t="n"/>
      <c r="L32" s="26" t="n"/>
      <c r="M32" s="33" t="n"/>
      <c r="N32" s="22" t="n"/>
      <c r="O32" s="1" t="n"/>
      <c r="P32" s="1" t="n"/>
    </row>
    <row r="33">
      <c r="A33" s="1" t="n"/>
      <c r="B33" s="26" t="inlineStr">
        <is>
          <t>Biceps curl</t>
        </is>
      </c>
      <c r="C33" s="33" t="n">
        <v>2</v>
      </c>
      <c r="D33" s="22" t="inlineStr">
        <is>
          <t>10 to 12</t>
        </is>
      </c>
      <c r="E33" s="1" t="n"/>
      <c r="F33" s="1" t="n"/>
      <c r="G33" s="26" t="n"/>
      <c r="H33" s="33" t="n"/>
      <c r="I33" s="22" t="n"/>
      <c r="J33" s="1" t="n"/>
      <c r="K33" s="1" t="n"/>
      <c r="L33" s="26" t="n"/>
      <c r="M33" s="33" t="n"/>
      <c r="N33" s="22" t="n"/>
      <c r="O33" s="1" t="n"/>
      <c r="P33" s="1" t="n"/>
    </row>
    <row r="34">
      <c r="A34" s="1" t="n"/>
      <c r="B34" s="26" t="inlineStr">
        <is>
          <t>Triceps pushdown</t>
        </is>
      </c>
      <c r="C34" s="33" t="n">
        <v>2</v>
      </c>
      <c r="D34" s="22" t="inlineStr">
        <is>
          <t>10 to 12</t>
        </is>
      </c>
      <c r="E34" s="1" t="n"/>
      <c r="F34" s="1" t="n"/>
      <c r="G34" s="26" t="n"/>
      <c r="H34" s="33" t="n"/>
      <c r="I34" s="22" t="n"/>
      <c r="J34" s="1" t="n"/>
      <c r="K34" s="1" t="n"/>
      <c r="L34" s="26" t="n"/>
      <c r="M34" s="33" t="n"/>
      <c r="N34" s="22" t="n"/>
      <c r="O34" s="1" t="n"/>
      <c r="P34" s="1" t="n"/>
    </row>
    <row r="35">
      <c r="A35" s="1" t="n"/>
      <c r="B35" s="26" t="n"/>
      <c r="C35" s="33" t="n"/>
      <c r="D35" s="22" t="n"/>
      <c r="E35" s="1" t="n"/>
      <c r="F35" s="1" t="n"/>
      <c r="G35" s="26" t="n"/>
      <c r="H35" s="33" t="n"/>
      <c r="I35" s="22" t="n"/>
      <c r="J35" s="1" t="n"/>
      <c r="K35" s="1" t="n"/>
      <c r="L35" s="26" t="n"/>
      <c r="M35" s="33" t="n"/>
      <c r="N35" s="22" t="n"/>
      <c r="O35" s="1" t="n"/>
      <c r="P35" s="1" t="n"/>
    </row>
    <row r="36">
      <c r="A36" s="1" t="n"/>
      <c r="B36" s="26" t="n"/>
      <c r="C36" s="33" t="n"/>
      <c r="D36" s="22" t="n"/>
      <c r="E36" s="1" t="n"/>
      <c r="F36" s="1" t="n"/>
      <c r="G36" s="26" t="n"/>
      <c r="H36" s="33" t="n"/>
      <c r="I36" s="22" t="n"/>
      <c r="J36" s="1" t="n"/>
      <c r="K36" s="1" t="n"/>
      <c r="L36" s="26" t="n"/>
      <c r="M36" s="33" t="n"/>
      <c r="N36" s="22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idden="1">
      <c r="A42" s="1" t="n"/>
      <c r="B42" s="1">
        <f>IF(B15="","",B15)</f>
        <v/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idden="1">
      <c r="A43" s="1" t="n"/>
      <c r="B43" s="1">
        <f>IF(G15="","",G15)</f>
        <v/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idden="1">
      <c r="A44" s="1" t="n"/>
      <c r="B44" s="1">
        <f>IF(L15="","",L15)</f>
        <v/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idden="1">
      <c r="A45" s="1" t="n"/>
      <c r="B45" s="1">
        <f>IF(B27="","",B27)</f>
        <v/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idden="1">
      <c r="A46" s="1" t="n"/>
      <c r="B46" s="1">
        <f>IF(G27="","",G27)</f>
        <v/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idden="1">
      <c r="A47" s="1" t="n"/>
      <c r="B47" s="1">
        <f>IF(L27="","",L27)</f>
        <v/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</sheetData>
  <mergeCells count="8">
    <mergeCell ref="C12:D12"/>
    <mergeCell ref="C6:D6"/>
    <mergeCell ref="C7:D7"/>
    <mergeCell ref="C10:D10"/>
    <mergeCell ref="C11:D11"/>
    <mergeCell ref="C5:D5"/>
    <mergeCell ref="C9:D9"/>
    <mergeCell ref="C8:D8"/>
  </mergeCells>
  <dataValidations count="6">
    <dataValidation sqref="B17:B24" showDropDown="0" showInputMessage="0" showErrorMessage="1" allowBlank="1" type="list">
      <formula1>=Exercises!$B$6:$B$105</formula1>
    </dataValidation>
    <dataValidation sqref="G17:G24" showDropDown="0" showInputMessage="0" showErrorMessage="1" allowBlank="1" type="list">
      <formula1>=Exercises!$B$6:$B$105</formula1>
    </dataValidation>
    <dataValidation sqref="L17:L24" showDropDown="0" showInputMessage="0" showErrorMessage="1" allowBlank="1" type="list">
      <formula1>=Exercises!$B$6:$B$105</formula1>
    </dataValidation>
    <dataValidation sqref="B29:B36" showDropDown="0" showInputMessage="0" showErrorMessage="1" allowBlank="1" type="list">
      <formula1>=Exercises!$B$6:$B$105</formula1>
    </dataValidation>
    <dataValidation sqref="G29:G36" showDropDown="0" showInputMessage="0" showErrorMessage="1" allowBlank="1" type="list">
      <formula1>=Exercises!$B$6:$B$105</formula1>
    </dataValidation>
    <dataValidation sqref="L29:L36" showDropDown="0" showInputMessage="0" showErrorMessage="1" allowBlank="1" type="list">
      <formula1>=Exercises!$B$6:$B$105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  <col width="4" customWidth="1" min="10" max="10"/>
    <col width="13" customWidth="1" min="11" max="11"/>
    <col width="10" customWidth="1" min="12" max="12"/>
    <col width="10" customWidth="1" min="13" max="13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Body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Weigh in once a week, same day and time. Measure every few weeks.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13" t="inlineStr">
        <is>
          <t>Date</t>
        </is>
      </c>
      <c r="C5" s="13" t="inlineStr">
        <is>
          <t>Weight</t>
        </is>
      </c>
      <c r="D5" s="13" t="inlineStr">
        <is>
          <t>Waist</t>
        </is>
      </c>
      <c r="E5" s="13" t="inlineStr">
        <is>
          <t>Chest</t>
        </is>
      </c>
      <c r="F5" s="13" t="inlineStr">
        <is>
          <t>Hips</t>
        </is>
      </c>
      <c r="G5" s="13" t="inlineStr">
        <is>
          <t>Arm</t>
        </is>
      </c>
      <c r="H5" s="13" t="inlineStr">
        <is>
          <t>Thigh</t>
        </is>
      </c>
      <c r="I5" s="13" t="inlineStr">
        <is>
          <t>Note</t>
        </is>
      </c>
      <c r="J5" s="1" t="n"/>
      <c r="K5" s="13" t="inlineStr">
        <is>
          <t>Last weigh-ins</t>
        </is>
      </c>
      <c r="L5" s="13" t="inlineStr">
        <is>
          <t>Weight</t>
        </is>
      </c>
      <c r="M5" s="13" t="inlineStr">
        <is>
          <t>Goal</t>
        </is>
      </c>
      <c r="N5" s="1" t="n"/>
    </row>
    <row r="6">
      <c r="A6" s="1" t="n"/>
      <c r="B6" s="21" t="n">
        <v>46209</v>
      </c>
      <c r="C6" s="24" t="n">
        <v>186.8</v>
      </c>
      <c r="D6" s="24" t="n">
        <v>36.5</v>
      </c>
      <c r="E6" s="24" t="n">
        <v>42</v>
      </c>
      <c r="F6" s="24" t="n">
        <v>40</v>
      </c>
      <c r="G6" s="24" t="n">
        <v>14.5</v>
      </c>
      <c r="H6" s="24" t="n">
        <v>23.5</v>
      </c>
      <c r="I6" s="26" t="inlineStr">
        <is>
          <t>Start</t>
        </is>
      </c>
      <c r="J6" s="1" t="n"/>
      <c r="K6" s="14">
        <f>IFERROR(INT(IF(COUNT(Body!$P$6:$P$405)-11+0&lt;1,"",SMALL(Body!$P$6:$P$405,COUNT(Body!$P$6:$P$405)-11+0))),"")</f>
        <v/>
      </c>
      <c r="L6" s="20">
        <f>IFERROR(INDEX(Body!$C$6:$C$405,MATCH(IF(COUNT(Body!$P$6:$P$405)-11+0&lt;1,"",SMALL(Body!$P$6:$P$405,COUNT(Body!$P$6:$P$405)-11+0)),Body!$P$6:$P$405,0)),"")</f>
        <v/>
      </c>
      <c r="M6" s="20">
        <f>IF(K6="","",IF(N(Dashboard!$F$4)=0,"",Dashboard!$F$4))</f>
        <v/>
      </c>
      <c r="N6" s="1" t="n"/>
      <c r="P6">
        <f>IF(OR(B6="",C6=""),"",B6+ROW()/10000000)</f>
        <v/>
      </c>
    </row>
    <row r="7">
      <c r="A7" s="1" t="n"/>
      <c r="B7" s="21" t="n">
        <v>46216</v>
      </c>
      <c r="C7" s="24" t="n">
        <v>185.8</v>
      </c>
      <c r="D7" s="24" t="n"/>
      <c r="E7" s="24" t="n"/>
      <c r="F7" s="24" t="n"/>
      <c r="G7" s="24" t="n"/>
      <c r="H7" s="24" t="n"/>
      <c r="I7" s="26" t="n"/>
      <c r="J7" s="1" t="n"/>
      <c r="K7" s="14">
        <f>IFERROR(INT(IF(COUNT(Body!$P$6:$P$405)-11+1&lt;1,"",SMALL(Body!$P$6:$P$405,COUNT(Body!$P$6:$P$405)-11+1))),"")</f>
        <v/>
      </c>
      <c r="L7" s="20">
        <f>IFERROR(INDEX(Body!$C$6:$C$405,MATCH(IF(COUNT(Body!$P$6:$P$405)-11+1&lt;1,"",SMALL(Body!$P$6:$P$405,COUNT(Body!$P$6:$P$405)-11+1)),Body!$P$6:$P$405,0)),"")</f>
        <v/>
      </c>
      <c r="M7" s="20">
        <f>IF(K7="","",IF(N(Dashboard!$F$4)=0,"",Dashboard!$F$4))</f>
        <v/>
      </c>
      <c r="N7" s="1" t="n"/>
      <c r="P7">
        <f>IF(OR(B7="",C7=""),"",B7+ROW()/10000000)</f>
        <v/>
      </c>
    </row>
    <row r="8">
      <c r="A8" s="1" t="n"/>
      <c r="B8" s="21" t="n">
        <v>46223</v>
      </c>
      <c r="C8" s="24" t="n">
        <v>185.8</v>
      </c>
      <c r="D8" s="24" t="n"/>
      <c r="E8" s="24" t="n"/>
      <c r="F8" s="24" t="n"/>
      <c r="G8" s="24" t="n"/>
      <c r="H8" s="24" t="n"/>
      <c r="I8" s="26" t="n"/>
      <c r="J8" s="1" t="n"/>
      <c r="K8" s="14">
        <f>IFERROR(INT(IF(COUNT(Body!$P$6:$P$405)-11+2&lt;1,"",SMALL(Body!$P$6:$P$405,COUNT(Body!$P$6:$P$405)-11+2))),"")</f>
        <v/>
      </c>
      <c r="L8" s="20">
        <f>IFERROR(INDEX(Body!$C$6:$C$405,MATCH(IF(COUNT(Body!$P$6:$P$405)-11+2&lt;1,"",SMALL(Body!$P$6:$P$405,COUNT(Body!$P$6:$P$405)-11+2)),Body!$P$6:$P$405,0)),"")</f>
        <v/>
      </c>
      <c r="M8" s="20">
        <f>IF(K8="","",IF(N(Dashboard!$F$4)=0,"",Dashboard!$F$4))</f>
        <v/>
      </c>
      <c r="N8" s="1" t="n"/>
      <c r="P8">
        <f>IF(OR(B8="",C8=""),"",B8+ROW()/10000000)</f>
        <v/>
      </c>
    </row>
    <row r="9">
      <c r="A9" s="1" t="n"/>
      <c r="B9" s="21" t="n">
        <v>46230</v>
      </c>
      <c r="C9" s="24" t="n">
        <v>185.2</v>
      </c>
      <c r="D9" s="24" t="n"/>
      <c r="E9" s="24" t="n"/>
      <c r="F9" s="24" t="n"/>
      <c r="G9" s="24" t="n"/>
      <c r="H9" s="24" t="n"/>
      <c r="I9" s="26" t="n"/>
      <c r="J9" s="1" t="n"/>
      <c r="K9" s="14">
        <f>IFERROR(INT(IF(COUNT(Body!$P$6:$P$405)-11+3&lt;1,"",SMALL(Body!$P$6:$P$405,COUNT(Body!$P$6:$P$405)-11+3))),"")</f>
        <v/>
      </c>
      <c r="L9" s="20">
        <f>IFERROR(INDEX(Body!$C$6:$C$405,MATCH(IF(COUNT(Body!$P$6:$P$405)-11+3&lt;1,"",SMALL(Body!$P$6:$P$405,COUNT(Body!$P$6:$P$405)-11+3)),Body!$P$6:$P$405,0)),"")</f>
        <v/>
      </c>
      <c r="M9" s="20">
        <f>IF(K9="","",IF(N(Dashboard!$F$4)=0,"",Dashboard!$F$4))</f>
        <v/>
      </c>
      <c r="N9" s="1" t="n"/>
      <c r="P9">
        <f>IF(OR(B9="",C9=""),"",B9+ROW()/10000000)</f>
        <v/>
      </c>
    </row>
    <row r="10">
      <c r="A10" s="1" t="n"/>
      <c r="B10" s="21" t="n">
        <v>46237</v>
      </c>
      <c r="C10" s="24" t="n">
        <v>184.5</v>
      </c>
      <c r="D10" s="24" t="n">
        <v>36.1</v>
      </c>
      <c r="E10" s="24" t="n">
        <v>42.1</v>
      </c>
      <c r="F10" s="24" t="n">
        <v>39.8</v>
      </c>
      <c r="G10" s="24" t="n">
        <v>14.6</v>
      </c>
      <c r="H10" s="24" t="n">
        <v>23.4</v>
      </c>
      <c r="I10" s="26" t="n"/>
      <c r="J10" s="1" t="n"/>
      <c r="K10" s="14">
        <f>IFERROR(INT(IF(COUNT(Body!$P$6:$P$405)-11+4&lt;1,"",SMALL(Body!$P$6:$P$405,COUNT(Body!$P$6:$P$405)-11+4))),"")</f>
        <v/>
      </c>
      <c r="L10" s="20">
        <f>IFERROR(INDEX(Body!$C$6:$C$405,MATCH(IF(COUNT(Body!$P$6:$P$405)-11+4&lt;1,"",SMALL(Body!$P$6:$P$405,COUNT(Body!$P$6:$P$405)-11+4)),Body!$P$6:$P$405,0)),"")</f>
        <v/>
      </c>
      <c r="M10" s="20">
        <f>IF(K10="","",IF(N(Dashboard!$F$4)=0,"",Dashboard!$F$4))</f>
        <v/>
      </c>
      <c r="N10" s="1" t="n"/>
      <c r="P10">
        <f>IF(OR(B10="",C10=""),"",B10+ROW()/10000000)</f>
        <v/>
      </c>
    </row>
    <row r="11">
      <c r="A11" s="1" t="n"/>
      <c r="B11" s="21" t="n">
        <v>46244</v>
      </c>
      <c r="C11" s="24" t="n">
        <v>184.4</v>
      </c>
      <c r="D11" s="24" t="n"/>
      <c r="E11" s="24" t="n"/>
      <c r="F11" s="24" t="n"/>
      <c r="G11" s="24" t="n"/>
      <c r="H11" s="24" t="n"/>
      <c r="I11" s="26" t="n"/>
      <c r="J11" s="1" t="n"/>
      <c r="K11" s="14">
        <f>IFERROR(INT(IF(COUNT(Body!$P$6:$P$405)-11+5&lt;1,"",SMALL(Body!$P$6:$P$405,COUNT(Body!$P$6:$P$405)-11+5))),"")</f>
        <v/>
      </c>
      <c r="L11" s="20">
        <f>IFERROR(INDEX(Body!$C$6:$C$405,MATCH(IF(COUNT(Body!$P$6:$P$405)-11+5&lt;1,"",SMALL(Body!$P$6:$P$405,COUNT(Body!$P$6:$P$405)-11+5)),Body!$P$6:$P$405,0)),"")</f>
        <v/>
      </c>
      <c r="M11" s="20">
        <f>IF(K11="","",IF(N(Dashboard!$F$4)=0,"",Dashboard!$F$4))</f>
        <v/>
      </c>
      <c r="N11" s="1" t="n"/>
      <c r="P11">
        <f>IF(OR(B11="",C11=""),"",B11+ROW()/10000000)</f>
        <v/>
      </c>
    </row>
    <row r="12">
      <c r="A12" s="1" t="n"/>
      <c r="B12" s="21" t="n">
        <v>46251</v>
      </c>
      <c r="C12" s="24" t="n">
        <v>183.8</v>
      </c>
      <c r="D12" s="24" t="n"/>
      <c r="E12" s="24" t="n"/>
      <c r="F12" s="24" t="n"/>
      <c r="G12" s="24" t="n"/>
      <c r="H12" s="24" t="n"/>
      <c r="I12" s="26" t="n"/>
      <c r="J12" s="1" t="n"/>
      <c r="K12" s="14">
        <f>IFERROR(INT(IF(COUNT(Body!$P$6:$P$405)-11+6&lt;1,"",SMALL(Body!$P$6:$P$405,COUNT(Body!$P$6:$P$405)-11+6))),"")</f>
        <v/>
      </c>
      <c r="L12" s="20">
        <f>IFERROR(INDEX(Body!$C$6:$C$405,MATCH(IF(COUNT(Body!$P$6:$P$405)-11+6&lt;1,"",SMALL(Body!$P$6:$P$405,COUNT(Body!$P$6:$P$405)-11+6)),Body!$P$6:$P$405,0)),"")</f>
        <v/>
      </c>
      <c r="M12" s="20">
        <f>IF(K12="","",IF(N(Dashboard!$F$4)=0,"",Dashboard!$F$4))</f>
        <v/>
      </c>
      <c r="N12" s="1" t="n"/>
      <c r="P12">
        <f>IF(OR(B12="",C12=""),"",B12+ROW()/10000000)</f>
        <v/>
      </c>
    </row>
    <row r="13">
      <c r="A13" s="1" t="n"/>
      <c r="B13" s="21" t="n">
        <v>46258</v>
      </c>
      <c r="C13" s="24" t="n">
        <v>183.1</v>
      </c>
      <c r="D13" s="24" t="n"/>
      <c r="E13" s="24" t="n"/>
      <c r="F13" s="24" t="n"/>
      <c r="G13" s="24" t="n"/>
      <c r="H13" s="24" t="n"/>
      <c r="I13" s="26" t="n"/>
      <c r="J13" s="1" t="n"/>
      <c r="K13" s="14">
        <f>IFERROR(INT(IF(COUNT(Body!$P$6:$P$405)-11+7&lt;1,"",SMALL(Body!$P$6:$P$405,COUNT(Body!$P$6:$P$405)-11+7))),"")</f>
        <v/>
      </c>
      <c r="L13" s="20">
        <f>IFERROR(INDEX(Body!$C$6:$C$405,MATCH(IF(COUNT(Body!$P$6:$P$405)-11+7&lt;1,"",SMALL(Body!$P$6:$P$405,COUNT(Body!$P$6:$P$405)-11+7)),Body!$P$6:$P$405,0)),"")</f>
        <v/>
      </c>
      <c r="M13" s="20">
        <f>IF(K13="","",IF(N(Dashboard!$F$4)=0,"",Dashboard!$F$4))</f>
        <v/>
      </c>
      <c r="N13" s="1" t="n"/>
      <c r="P13">
        <f>IF(OR(B13="",C13=""),"",B13+ROW()/10000000)</f>
        <v/>
      </c>
    </row>
    <row r="14">
      <c r="A14" s="1" t="n"/>
      <c r="B14" s="21" t="n">
        <v>46265</v>
      </c>
      <c r="C14" s="24" t="n">
        <v>183</v>
      </c>
      <c r="D14" s="24" t="n">
        <v>35.6</v>
      </c>
      <c r="E14" s="24" t="n">
        <v>42.2</v>
      </c>
      <c r="F14" s="24" t="n">
        <v>39.6</v>
      </c>
      <c r="G14" s="24" t="n">
        <v>14.7</v>
      </c>
      <c r="H14" s="24" t="n">
        <v>23.3</v>
      </c>
      <c r="I14" s="26" t="n"/>
      <c r="J14" s="1" t="n"/>
      <c r="K14" s="14">
        <f>IFERROR(INT(IF(COUNT(Body!$P$6:$P$405)-11+8&lt;1,"",SMALL(Body!$P$6:$P$405,COUNT(Body!$P$6:$P$405)-11+8))),"")</f>
        <v/>
      </c>
      <c r="L14" s="20">
        <f>IFERROR(INDEX(Body!$C$6:$C$405,MATCH(IF(COUNT(Body!$P$6:$P$405)-11+8&lt;1,"",SMALL(Body!$P$6:$P$405,COUNT(Body!$P$6:$P$405)-11+8)),Body!$P$6:$P$405,0)),"")</f>
        <v/>
      </c>
      <c r="M14" s="20">
        <f>IF(K14="","",IF(N(Dashboard!$F$4)=0,"",Dashboard!$F$4))</f>
        <v/>
      </c>
      <c r="N14" s="1" t="n"/>
      <c r="P14">
        <f>IF(OR(B14="",C14=""),"",B14+ROW()/10000000)</f>
        <v/>
      </c>
    </row>
    <row r="15">
      <c r="A15" s="1" t="n"/>
      <c r="B15" s="21" t="n">
        <v>46272</v>
      </c>
      <c r="C15" s="24" t="n">
        <v>182.4</v>
      </c>
      <c r="D15" s="24" t="n"/>
      <c r="E15" s="24" t="n"/>
      <c r="F15" s="24" t="n"/>
      <c r="G15" s="24" t="n"/>
      <c r="H15" s="24" t="n"/>
      <c r="I15" s="26" t="n"/>
      <c r="J15" s="1" t="n"/>
      <c r="K15" s="14">
        <f>IFERROR(INT(IF(COUNT(Body!$P$6:$P$405)-11+9&lt;1,"",SMALL(Body!$P$6:$P$405,COUNT(Body!$P$6:$P$405)-11+9))),"")</f>
        <v/>
      </c>
      <c r="L15" s="20">
        <f>IFERROR(INDEX(Body!$C$6:$C$405,MATCH(IF(COUNT(Body!$P$6:$P$405)-11+9&lt;1,"",SMALL(Body!$P$6:$P$405,COUNT(Body!$P$6:$P$405)-11+9)),Body!$P$6:$P$405,0)),"")</f>
        <v/>
      </c>
      <c r="M15" s="20">
        <f>IF(K15="","",IF(N(Dashboard!$F$4)=0,"",Dashboard!$F$4))</f>
        <v/>
      </c>
      <c r="N15" s="1" t="n"/>
      <c r="P15">
        <f>IF(OR(B15="",C15=""),"",B15+ROW()/10000000)</f>
        <v/>
      </c>
    </row>
    <row r="16">
      <c r="A16" s="1" t="n"/>
      <c r="B16" s="21" t="n">
        <v>46279</v>
      </c>
      <c r="C16" s="24" t="n">
        <v>182.1</v>
      </c>
      <c r="D16" s="24" t="n"/>
      <c r="E16" s="24" t="n"/>
      <c r="F16" s="24" t="n"/>
      <c r="G16" s="24" t="n"/>
      <c r="H16" s="24" t="n"/>
      <c r="I16" s="26" t="n"/>
      <c r="J16" s="1" t="n"/>
      <c r="K16" s="14">
        <f>IFERROR(INT(IF(COUNT(Body!$P$6:$P$405)-11+10&lt;1,"",SMALL(Body!$P$6:$P$405,COUNT(Body!$P$6:$P$405)-11+10))),"")</f>
        <v/>
      </c>
      <c r="L16" s="20">
        <f>IFERROR(INDEX(Body!$C$6:$C$405,MATCH(IF(COUNT(Body!$P$6:$P$405)-11+10&lt;1,"",SMALL(Body!$P$6:$P$405,COUNT(Body!$P$6:$P$405)-11+10)),Body!$P$6:$P$405,0)),"")</f>
        <v/>
      </c>
      <c r="M16" s="20">
        <f>IF(K16="","",IF(N(Dashboard!$F$4)=0,"",Dashboard!$F$4))</f>
        <v/>
      </c>
      <c r="N16" s="1" t="n"/>
      <c r="P16">
        <f>IF(OR(B16="",C16=""),"",B16+ROW()/10000000)</f>
        <v/>
      </c>
    </row>
    <row r="17">
      <c r="A17" s="1" t="n"/>
      <c r="B17" s="21" t="n">
        <v>46286</v>
      </c>
      <c r="C17" s="24" t="n">
        <v>181.5</v>
      </c>
      <c r="D17" s="24" t="n"/>
      <c r="E17" s="24" t="n"/>
      <c r="F17" s="24" t="n"/>
      <c r="G17" s="24" t="n"/>
      <c r="H17" s="24" t="n"/>
      <c r="I17" s="26" t="n"/>
      <c r="J17" s="1" t="n"/>
      <c r="K17" s="14">
        <f>IFERROR(INT(IF(COUNT(Body!$P$6:$P$405)-11+11&lt;1,"",SMALL(Body!$P$6:$P$405,COUNT(Body!$P$6:$P$405)-11+11))),"")</f>
        <v/>
      </c>
      <c r="L17" s="20">
        <f>IFERROR(INDEX(Body!$C$6:$C$405,MATCH(IF(COUNT(Body!$P$6:$P$405)-11+11&lt;1,"",SMALL(Body!$P$6:$P$405,COUNT(Body!$P$6:$P$405)-11+11)),Body!$P$6:$P$405,0)),"")</f>
        <v/>
      </c>
      <c r="M17" s="20">
        <f>IF(K17="","",IF(N(Dashboard!$F$4)=0,"",Dashboard!$F$4))</f>
        <v/>
      </c>
      <c r="N17" s="1" t="n"/>
      <c r="P17">
        <f>IF(OR(B17="",C17=""),"",B17+ROW()/10000000)</f>
        <v/>
      </c>
    </row>
    <row r="18">
      <c r="A18" s="1" t="n"/>
      <c r="B18" s="21" t="n">
        <v>46293</v>
      </c>
      <c r="C18" s="24" t="n">
        <v>181.2</v>
      </c>
      <c r="D18" s="24" t="n">
        <v>35.2</v>
      </c>
      <c r="E18" s="24" t="n">
        <v>42.4</v>
      </c>
      <c r="F18" s="24" t="n">
        <v>39.4</v>
      </c>
      <c r="G18" s="24" t="n">
        <v>14.9</v>
      </c>
      <c r="H18" s="24" t="n">
        <v>23.3</v>
      </c>
      <c r="I18" s="26" t="n"/>
      <c r="J18" s="1" t="n"/>
      <c r="K18" s="1" t="n"/>
      <c r="L18" s="1" t="n"/>
      <c r="M18" s="1" t="n"/>
      <c r="N18" s="1" t="n"/>
      <c r="P18">
        <f>IF(OR(B18="",C18=""),"",B18+ROW()/10000000)</f>
        <v/>
      </c>
    </row>
    <row r="19">
      <c r="A19" s="1" t="n"/>
      <c r="B19" s="21" t="n"/>
      <c r="C19" s="24" t="n"/>
      <c r="D19" s="24" t="n"/>
      <c r="E19" s="24" t="n"/>
      <c r="F19" s="24" t="n"/>
      <c r="G19" s="24" t="n"/>
      <c r="H19" s="24" t="n"/>
      <c r="I19" s="26" t="n"/>
      <c r="J19" s="1" t="n"/>
      <c r="K19" s="1" t="n"/>
      <c r="L19" s="1" t="n"/>
      <c r="M19" s="1" t="n"/>
      <c r="N19" s="1" t="n"/>
      <c r="P19">
        <f>IF(OR(B19="",C19=""),"",B19+ROW()/10000000)</f>
        <v/>
      </c>
    </row>
    <row r="20">
      <c r="A20" s="1" t="n"/>
      <c r="B20" s="21" t="n"/>
      <c r="C20" s="24" t="n"/>
      <c r="D20" s="24" t="n"/>
      <c r="E20" s="24" t="n"/>
      <c r="F20" s="24" t="n"/>
      <c r="G20" s="24" t="n"/>
      <c r="H20" s="24" t="n"/>
      <c r="I20" s="26" t="n"/>
      <c r="J20" s="1" t="n"/>
      <c r="K20" s="1" t="n"/>
      <c r="L20" s="1" t="n"/>
      <c r="M20" s="1" t="n"/>
      <c r="N20" s="1" t="n"/>
      <c r="P20">
        <f>IF(OR(B20="",C20=""),"",B20+ROW()/10000000)</f>
        <v/>
      </c>
    </row>
    <row r="21">
      <c r="A21" s="1" t="n"/>
      <c r="B21" s="21" t="n"/>
      <c r="C21" s="24" t="n"/>
      <c r="D21" s="24" t="n"/>
      <c r="E21" s="24" t="n"/>
      <c r="F21" s="24" t="n"/>
      <c r="G21" s="24" t="n"/>
      <c r="H21" s="24" t="n"/>
      <c r="I21" s="26" t="n"/>
      <c r="J21" s="1" t="n"/>
      <c r="K21" s="1" t="n"/>
      <c r="L21" s="1" t="n"/>
      <c r="M21" s="1" t="n"/>
      <c r="N21" s="1" t="n"/>
      <c r="P21">
        <f>IF(OR(B21="",C21=""),"",B21+ROW()/10000000)</f>
        <v/>
      </c>
    </row>
    <row r="22">
      <c r="A22" s="1" t="n"/>
      <c r="B22" s="21" t="n"/>
      <c r="C22" s="24" t="n"/>
      <c r="D22" s="24" t="n"/>
      <c r="E22" s="24" t="n"/>
      <c r="F22" s="24" t="n"/>
      <c r="G22" s="24" t="n"/>
      <c r="H22" s="24" t="n"/>
      <c r="I22" s="26" t="n"/>
      <c r="J22" s="1" t="n"/>
      <c r="K22" s="1" t="n"/>
      <c r="L22" s="1" t="n"/>
      <c r="M22" s="1" t="n"/>
      <c r="N22" s="1" t="n"/>
      <c r="P22">
        <f>IF(OR(B22="",C22=""),"",B22+ROW()/10000000)</f>
        <v/>
      </c>
    </row>
    <row r="23">
      <c r="A23" s="1" t="n"/>
      <c r="B23" s="21" t="n"/>
      <c r="C23" s="24" t="n"/>
      <c r="D23" s="24" t="n"/>
      <c r="E23" s="24" t="n"/>
      <c r="F23" s="24" t="n"/>
      <c r="G23" s="24" t="n"/>
      <c r="H23" s="24" t="n"/>
      <c r="I23" s="26" t="n"/>
      <c r="J23" s="1" t="n"/>
      <c r="K23" s="1" t="n"/>
      <c r="L23" s="1" t="n"/>
      <c r="M23" s="1" t="n"/>
      <c r="N23" s="1" t="n"/>
      <c r="P23">
        <f>IF(OR(B23="",C23=""),"",B23+ROW()/10000000)</f>
        <v/>
      </c>
    </row>
    <row r="24">
      <c r="A24" s="1" t="n"/>
      <c r="B24" s="21" t="n"/>
      <c r="C24" s="24" t="n"/>
      <c r="D24" s="24" t="n"/>
      <c r="E24" s="24" t="n"/>
      <c r="F24" s="24" t="n"/>
      <c r="G24" s="24" t="n"/>
      <c r="H24" s="24" t="n"/>
      <c r="I24" s="26" t="n"/>
      <c r="J24" s="1" t="n"/>
      <c r="K24" s="1" t="n"/>
      <c r="L24" s="1" t="n"/>
      <c r="M24" s="1" t="n"/>
      <c r="N24" s="1" t="n"/>
      <c r="P24">
        <f>IF(OR(B24="",C24=""),"",B24+ROW()/10000000)</f>
        <v/>
      </c>
    </row>
    <row r="25">
      <c r="A25" s="1" t="n"/>
      <c r="B25" s="21" t="n"/>
      <c r="C25" s="24" t="n"/>
      <c r="D25" s="24" t="n"/>
      <c r="E25" s="24" t="n"/>
      <c r="F25" s="24" t="n"/>
      <c r="G25" s="24" t="n"/>
      <c r="H25" s="24" t="n"/>
      <c r="I25" s="26" t="n"/>
      <c r="J25" s="1" t="n"/>
      <c r="K25" s="1" t="n"/>
      <c r="L25" s="1" t="n"/>
      <c r="M25" s="1" t="n"/>
      <c r="N25" s="1" t="n"/>
      <c r="P25">
        <f>IF(OR(B25="",C25=""),"",B25+ROW()/10000000)</f>
        <v/>
      </c>
    </row>
    <row r="26">
      <c r="A26" s="1" t="n"/>
      <c r="B26" s="21" t="n"/>
      <c r="C26" s="24" t="n"/>
      <c r="D26" s="24" t="n"/>
      <c r="E26" s="24" t="n"/>
      <c r="F26" s="24" t="n"/>
      <c r="G26" s="24" t="n"/>
      <c r="H26" s="24" t="n"/>
      <c r="I26" s="26" t="n"/>
      <c r="J26" s="1" t="n"/>
      <c r="K26" s="1" t="n"/>
      <c r="L26" s="1" t="n"/>
      <c r="M26" s="1" t="n"/>
      <c r="N26" s="1" t="n"/>
      <c r="P26">
        <f>IF(OR(B26="",C26=""),"",B26+ROW()/10000000)</f>
        <v/>
      </c>
    </row>
    <row r="27">
      <c r="A27" s="1" t="n"/>
      <c r="B27" s="21" t="n"/>
      <c r="C27" s="24" t="n"/>
      <c r="D27" s="24" t="n"/>
      <c r="E27" s="24" t="n"/>
      <c r="F27" s="24" t="n"/>
      <c r="G27" s="24" t="n"/>
      <c r="H27" s="24" t="n"/>
      <c r="I27" s="26" t="n"/>
      <c r="J27" s="1" t="n"/>
      <c r="K27" s="1" t="n"/>
      <c r="L27" s="1" t="n"/>
      <c r="M27" s="1" t="n"/>
      <c r="N27" s="1" t="n"/>
      <c r="P27">
        <f>IF(OR(B27="",C27=""),"",B27+ROW()/10000000)</f>
        <v/>
      </c>
    </row>
    <row r="28">
      <c r="A28" s="1" t="n"/>
      <c r="B28" s="21" t="n"/>
      <c r="C28" s="24" t="n"/>
      <c r="D28" s="24" t="n"/>
      <c r="E28" s="24" t="n"/>
      <c r="F28" s="24" t="n"/>
      <c r="G28" s="24" t="n"/>
      <c r="H28" s="24" t="n"/>
      <c r="I28" s="26" t="n"/>
      <c r="J28" s="1" t="n"/>
      <c r="K28" s="1" t="n"/>
      <c r="L28" s="1" t="n"/>
      <c r="M28" s="1" t="n"/>
      <c r="N28" s="1" t="n"/>
      <c r="P28">
        <f>IF(OR(B28="",C28=""),"",B28+ROW()/10000000)</f>
        <v/>
      </c>
    </row>
    <row r="29">
      <c r="A29" s="1" t="n"/>
      <c r="B29" s="21" t="n"/>
      <c r="C29" s="24" t="n"/>
      <c r="D29" s="24" t="n"/>
      <c r="E29" s="24" t="n"/>
      <c r="F29" s="24" t="n"/>
      <c r="G29" s="24" t="n"/>
      <c r="H29" s="24" t="n"/>
      <c r="I29" s="26" t="n"/>
      <c r="J29" s="1" t="n"/>
      <c r="K29" s="1" t="n"/>
      <c r="L29" s="1" t="n"/>
      <c r="M29" s="1" t="n"/>
      <c r="N29" s="1" t="n"/>
      <c r="P29">
        <f>IF(OR(B29="",C29=""),"",B29+ROW()/10000000)</f>
        <v/>
      </c>
    </row>
    <row r="30">
      <c r="A30" s="1" t="n"/>
      <c r="B30" s="21" t="n"/>
      <c r="C30" s="24" t="n"/>
      <c r="D30" s="24" t="n"/>
      <c r="E30" s="24" t="n"/>
      <c r="F30" s="24" t="n"/>
      <c r="G30" s="24" t="n"/>
      <c r="H30" s="24" t="n"/>
      <c r="I30" s="26" t="n"/>
      <c r="J30" s="1" t="n"/>
      <c r="K30" s="1" t="n"/>
      <c r="L30" s="1" t="n"/>
      <c r="M30" s="1" t="n"/>
      <c r="N30" s="1" t="n"/>
      <c r="P30">
        <f>IF(OR(B30="",C30=""),"",B30+ROW()/10000000)</f>
        <v/>
      </c>
    </row>
    <row r="31">
      <c r="A31" s="1" t="n"/>
      <c r="B31" s="21" t="n"/>
      <c r="C31" s="24" t="n"/>
      <c r="D31" s="24" t="n"/>
      <c r="E31" s="24" t="n"/>
      <c r="F31" s="24" t="n"/>
      <c r="G31" s="24" t="n"/>
      <c r="H31" s="24" t="n"/>
      <c r="I31" s="26" t="n"/>
      <c r="J31" s="1" t="n"/>
      <c r="K31" s="1" t="n"/>
      <c r="L31" s="1" t="n"/>
      <c r="M31" s="1" t="n"/>
      <c r="N31" s="1" t="n"/>
      <c r="P31">
        <f>IF(OR(B31="",C31=""),"",B31+ROW()/10000000)</f>
        <v/>
      </c>
    </row>
    <row r="32">
      <c r="A32" s="1" t="n"/>
      <c r="B32" s="21" t="n"/>
      <c r="C32" s="24" t="n"/>
      <c r="D32" s="24" t="n"/>
      <c r="E32" s="24" t="n"/>
      <c r="F32" s="24" t="n"/>
      <c r="G32" s="24" t="n"/>
      <c r="H32" s="24" t="n"/>
      <c r="I32" s="26" t="n"/>
      <c r="J32" s="1" t="n"/>
      <c r="K32" s="1" t="n"/>
      <c r="L32" s="1" t="n"/>
      <c r="M32" s="1" t="n"/>
      <c r="N32" s="1" t="n"/>
      <c r="P32">
        <f>IF(OR(B32="",C32=""),"",B32+ROW()/10000000)</f>
        <v/>
      </c>
    </row>
    <row r="33">
      <c r="A33" s="1" t="n"/>
      <c r="B33" s="21" t="n"/>
      <c r="C33" s="24" t="n"/>
      <c r="D33" s="24" t="n"/>
      <c r="E33" s="24" t="n"/>
      <c r="F33" s="24" t="n"/>
      <c r="G33" s="24" t="n"/>
      <c r="H33" s="24" t="n"/>
      <c r="I33" s="26" t="n"/>
      <c r="J33" s="1" t="n"/>
      <c r="K33" s="1" t="n"/>
      <c r="L33" s="1" t="n"/>
      <c r="M33" s="1" t="n"/>
      <c r="N33" s="1" t="n"/>
      <c r="P33">
        <f>IF(OR(B33="",C33=""),"",B33+ROW()/10000000)</f>
        <v/>
      </c>
    </row>
    <row r="34">
      <c r="A34" s="1" t="n"/>
      <c r="B34" s="21" t="n"/>
      <c r="C34" s="24" t="n"/>
      <c r="D34" s="24" t="n"/>
      <c r="E34" s="24" t="n"/>
      <c r="F34" s="24" t="n"/>
      <c r="G34" s="24" t="n"/>
      <c r="H34" s="24" t="n"/>
      <c r="I34" s="26" t="n"/>
      <c r="J34" s="1" t="n"/>
      <c r="K34" s="1" t="n"/>
      <c r="L34" s="1" t="n"/>
      <c r="M34" s="1" t="n"/>
      <c r="N34" s="1" t="n"/>
      <c r="P34">
        <f>IF(OR(B34="",C34=""),"",B34+ROW()/10000000)</f>
        <v/>
      </c>
    </row>
    <row r="35">
      <c r="A35" s="1" t="n"/>
      <c r="B35" s="21" t="n"/>
      <c r="C35" s="24" t="n"/>
      <c r="D35" s="24" t="n"/>
      <c r="E35" s="24" t="n"/>
      <c r="F35" s="24" t="n"/>
      <c r="G35" s="24" t="n"/>
      <c r="H35" s="24" t="n"/>
      <c r="I35" s="26" t="n"/>
      <c r="J35" s="1" t="n"/>
      <c r="K35" s="1" t="n"/>
      <c r="L35" s="1" t="n"/>
      <c r="M35" s="1" t="n"/>
      <c r="N35" s="1" t="n"/>
      <c r="P35">
        <f>IF(OR(B35="",C35=""),"",B35+ROW()/10000000)</f>
        <v/>
      </c>
    </row>
    <row r="36">
      <c r="A36" s="1" t="n"/>
      <c r="B36" s="21" t="n"/>
      <c r="C36" s="24" t="n"/>
      <c r="D36" s="24" t="n"/>
      <c r="E36" s="24" t="n"/>
      <c r="F36" s="24" t="n"/>
      <c r="G36" s="24" t="n"/>
      <c r="H36" s="24" t="n"/>
      <c r="I36" s="26" t="n"/>
      <c r="J36" s="1" t="n"/>
      <c r="K36" s="1" t="n"/>
      <c r="L36" s="1" t="n"/>
      <c r="M36" s="1" t="n"/>
      <c r="N36" s="1" t="n"/>
      <c r="P36">
        <f>IF(OR(B36="",C36=""),"",B36+ROW()/10000000)</f>
        <v/>
      </c>
    </row>
    <row r="37">
      <c r="A37" s="1" t="n"/>
      <c r="B37" s="21" t="n"/>
      <c r="C37" s="24" t="n"/>
      <c r="D37" s="24" t="n"/>
      <c r="E37" s="24" t="n"/>
      <c r="F37" s="24" t="n"/>
      <c r="G37" s="24" t="n"/>
      <c r="H37" s="24" t="n"/>
      <c r="I37" s="26" t="n"/>
      <c r="J37" s="1" t="n"/>
      <c r="K37" s="1" t="n"/>
      <c r="L37" s="1" t="n"/>
      <c r="M37" s="1" t="n"/>
      <c r="N37" s="1" t="n"/>
      <c r="P37">
        <f>IF(OR(B37="",C37=""),"",B37+ROW()/10000000)</f>
        <v/>
      </c>
    </row>
    <row r="38">
      <c r="A38" s="1" t="n"/>
      <c r="B38" s="21" t="n"/>
      <c r="C38" s="24" t="n"/>
      <c r="D38" s="24" t="n"/>
      <c r="E38" s="24" t="n"/>
      <c r="F38" s="24" t="n"/>
      <c r="G38" s="24" t="n"/>
      <c r="H38" s="24" t="n"/>
      <c r="I38" s="26" t="n"/>
      <c r="J38" s="1" t="n"/>
      <c r="K38" s="1" t="n"/>
      <c r="L38" s="1" t="n"/>
      <c r="M38" s="1" t="n"/>
      <c r="N38" s="1" t="n"/>
      <c r="P38">
        <f>IF(OR(B38="",C38=""),"",B38+ROW()/10000000)</f>
        <v/>
      </c>
    </row>
    <row r="39">
      <c r="A39" s="1" t="n"/>
      <c r="B39" s="21" t="n"/>
      <c r="C39" s="24" t="n"/>
      <c r="D39" s="24" t="n"/>
      <c r="E39" s="24" t="n"/>
      <c r="F39" s="24" t="n"/>
      <c r="G39" s="24" t="n"/>
      <c r="H39" s="24" t="n"/>
      <c r="I39" s="26" t="n"/>
      <c r="J39" s="1" t="n"/>
      <c r="K39" s="1" t="n"/>
      <c r="L39" s="1" t="n"/>
      <c r="M39" s="1" t="n"/>
      <c r="N39" s="1" t="n"/>
      <c r="P39">
        <f>IF(OR(B39="",C39=""),"",B39+ROW()/10000000)</f>
        <v/>
      </c>
    </row>
    <row r="40">
      <c r="A40" s="1" t="n"/>
      <c r="B40" s="21" t="n"/>
      <c r="C40" s="24" t="n"/>
      <c r="D40" s="24" t="n"/>
      <c r="E40" s="24" t="n"/>
      <c r="F40" s="24" t="n"/>
      <c r="G40" s="24" t="n"/>
      <c r="H40" s="24" t="n"/>
      <c r="I40" s="26" t="n"/>
      <c r="J40" s="1" t="n"/>
      <c r="K40" s="1" t="n"/>
      <c r="L40" s="1" t="n"/>
      <c r="M40" s="1" t="n"/>
      <c r="N40" s="1" t="n"/>
      <c r="P40">
        <f>IF(OR(B40="",C40=""),"",B40+ROW()/10000000)</f>
        <v/>
      </c>
    </row>
    <row r="41">
      <c r="A41" s="1" t="n"/>
      <c r="B41" s="21" t="n"/>
      <c r="C41" s="24" t="n"/>
      <c r="D41" s="24" t="n"/>
      <c r="E41" s="24" t="n"/>
      <c r="F41" s="24" t="n"/>
      <c r="G41" s="24" t="n"/>
      <c r="H41" s="24" t="n"/>
      <c r="I41" s="26" t="n"/>
      <c r="J41" s="1" t="n"/>
      <c r="K41" s="1" t="n"/>
      <c r="L41" s="1" t="n"/>
      <c r="M41" s="1" t="n"/>
      <c r="N41" s="1" t="n"/>
      <c r="P41">
        <f>IF(OR(B41="",C41=""),"",B41+ROW()/10000000)</f>
        <v/>
      </c>
    </row>
    <row r="42">
      <c r="A42" s="1" t="n"/>
      <c r="B42" s="21" t="n"/>
      <c r="C42" s="24" t="n"/>
      <c r="D42" s="24" t="n"/>
      <c r="E42" s="24" t="n"/>
      <c r="F42" s="24" t="n"/>
      <c r="G42" s="24" t="n"/>
      <c r="H42" s="24" t="n"/>
      <c r="I42" s="26" t="n"/>
      <c r="J42" s="1" t="n"/>
      <c r="K42" s="1" t="n"/>
      <c r="L42" s="1" t="n"/>
      <c r="M42" s="1" t="n"/>
      <c r="N42" s="1" t="n"/>
      <c r="P42">
        <f>IF(OR(B42="",C42=""),"",B42+ROW()/10000000)</f>
        <v/>
      </c>
    </row>
    <row r="43">
      <c r="A43" s="1" t="n"/>
      <c r="B43" s="21" t="n"/>
      <c r="C43" s="24" t="n"/>
      <c r="D43" s="24" t="n"/>
      <c r="E43" s="24" t="n"/>
      <c r="F43" s="24" t="n"/>
      <c r="G43" s="24" t="n"/>
      <c r="H43" s="24" t="n"/>
      <c r="I43" s="26" t="n"/>
      <c r="J43" s="1" t="n"/>
      <c r="K43" s="1" t="n"/>
      <c r="L43" s="1" t="n"/>
      <c r="M43" s="1" t="n"/>
      <c r="N43" s="1" t="n"/>
      <c r="P43">
        <f>IF(OR(B43="",C43=""),"",B43+ROW()/10000000)</f>
        <v/>
      </c>
    </row>
    <row r="44">
      <c r="A44" s="1" t="n"/>
      <c r="B44" s="21" t="n"/>
      <c r="C44" s="24" t="n"/>
      <c r="D44" s="24" t="n"/>
      <c r="E44" s="24" t="n"/>
      <c r="F44" s="24" t="n"/>
      <c r="G44" s="24" t="n"/>
      <c r="H44" s="24" t="n"/>
      <c r="I44" s="26" t="n"/>
      <c r="J44" s="1" t="n"/>
      <c r="K44" s="1" t="n"/>
      <c r="L44" s="1" t="n"/>
      <c r="M44" s="1" t="n"/>
      <c r="N44" s="1" t="n"/>
      <c r="P44">
        <f>IF(OR(B44="",C44=""),"",B44+ROW()/10000000)</f>
        <v/>
      </c>
    </row>
    <row r="45">
      <c r="A45" s="1" t="n"/>
      <c r="B45" s="21" t="n"/>
      <c r="C45" s="24" t="n"/>
      <c r="D45" s="24" t="n"/>
      <c r="E45" s="24" t="n"/>
      <c r="F45" s="24" t="n"/>
      <c r="G45" s="24" t="n"/>
      <c r="H45" s="24" t="n"/>
      <c r="I45" s="26" t="n"/>
      <c r="J45" s="1" t="n"/>
      <c r="K45" s="1" t="n"/>
      <c r="L45" s="1" t="n"/>
      <c r="M45" s="1" t="n"/>
      <c r="N45" s="1" t="n"/>
      <c r="P45">
        <f>IF(OR(B45="",C45=""),"",B45+ROW()/10000000)</f>
        <v/>
      </c>
    </row>
    <row r="46">
      <c r="A46" s="1" t="n"/>
      <c r="B46" s="21" t="n"/>
      <c r="C46" s="24" t="n"/>
      <c r="D46" s="24" t="n"/>
      <c r="E46" s="24" t="n"/>
      <c r="F46" s="24" t="n"/>
      <c r="G46" s="24" t="n"/>
      <c r="H46" s="24" t="n"/>
      <c r="I46" s="26" t="n"/>
      <c r="J46" s="1" t="n"/>
      <c r="K46" s="1" t="n"/>
      <c r="L46" s="1" t="n"/>
      <c r="M46" s="1" t="n"/>
      <c r="N46" s="1" t="n"/>
      <c r="P46">
        <f>IF(OR(B46="",C46=""),"",B46+ROW()/10000000)</f>
        <v/>
      </c>
    </row>
    <row r="47">
      <c r="A47" s="1" t="n"/>
      <c r="B47" s="21" t="n"/>
      <c r="C47" s="24" t="n"/>
      <c r="D47" s="24" t="n"/>
      <c r="E47" s="24" t="n"/>
      <c r="F47" s="24" t="n"/>
      <c r="G47" s="24" t="n"/>
      <c r="H47" s="24" t="n"/>
      <c r="I47" s="26" t="n"/>
      <c r="J47" s="1" t="n"/>
      <c r="K47" s="1" t="n"/>
      <c r="L47" s="1" t="n"/>
      <c r="M47" s="1" t="n"/>
      <c r="N47" s="1" t="n"/>
      <c r="P47">
        <f>IF(OR(B47="",C47=""),"",B47+ROW()/10000000)</f>
        <v/>
      </c>
    </row>
    <row r="48">
      <c r="A48" s="1" t="n"/>
      <c r="B48" s="21" t="n"/>
      <c r="C48" s="24" t="n"/>
      <c r="D48" s="24" t="n"/>
      <c r="E48" s="24" t="n"/>
      <c r="F48" s="24" t="n"/>
      <c r="G48" s="24" t="n"/>
      <c r="H48" s="24" t="n"/>
      <c r="I48" s="26" t="n"/>
      <c r="J48" s="1" t="n"/>
      <c r="K48" s="1" t="n"/>
      <c r="L48" s="1" t="n"/>
      <c r="M48" s="1" t="n"/>
      <c r="N48" s="1" t="n"/>
      <c r="P48">
        <f>IF(OR(B48="",C48=""),"",B48+ROW()/10000000)</f>
        <v/>
      </c>
    </row>
    <row r="49">
      <c r="A49" s="1" t="n"/>
      <c r="B49" s="21" t="n"/>
      <c r="C49" s="24" t="n"/>
      <c r="D49" s="24" t="n"/>
      <c r="E49" s="24" t="n"/>
      <c r="F49" s="24" t="n"/>
      <c r="G49" s="24" t="n"/>
      <c r="H49" s="24" t="n"/>
      <c r="I49" s="26" t="n"/>
      <c r="J49" s="1" t="n"/>
      <c r="K49" s="1" t="n"/>
      <c r="L49" s="1" t="n"/>
      <c r="M49" s="1" t="n"/>
      <c r="N49" s="1" t="n"/>
      <c r="P49">
        <f>IF(OR(B49="",C49=""),"",B49+ROW()/10000000)</f>
        <v/>
      </c>
    </row>
    <row r="50">
      <c r="A50" s="1" t="n"/>
      <c r="B50" s="21" t="n"/>
      <c r="C50" s="24" t="n"/>
      <c r="D50" s="24" t="n"/>
      <c r="E50" s="24" t="n"/>
      <c r="F50" s="24" t="n"/>
      <c r="G50" s="24" t="n"/>
      <c r="H50" s="24" t="n"/>
      <c r="I50" s="26" t="n"/>
      <c r="J50" s="1" t="n"/>
      <c r="K50" s="1" t="n"/>
      <c r="L50" s="1" t="n"/>
      <c r="M50" s="1" t="n"/>
      <c r="N50" s="1" t="n"/>
      <c r="P50">
        <f>IF(OR(B50="",C50=""),"",B50+ROW()/10000000)</f>
        <v/>
      </c>
    </row>
    <row r="51">
      <c r="A51" s="1" t="n"/>
      <c r="B51" s="21" t="n"/>
      <c r="C51" s="24" t="n"/>
      <c r="D51" s="24" t="n"/>
      <c r="E51" s="24" t="n"/>
      <c r="F51" s="24" t="n"/>
      <c r="G51" s="24" t="n"/>
      <c r="H51" s="24" t="n"/>
      <c r="I51" s="26" t="n"/>
      <c r="J51" s="1" t="n"/>
      <c r="K51" s="1" t="n"/>
      <c r="L51" s="1" t="n"/>
      <c r="M51" s="1" t="n"/>
      <c r="N51" s="1" t="n"/>
      <c r="P51">
        <f>IF(OR(B51="",C51=""),"",B51+ROW()/10000000)</f>
        <v/>
      </c>
    </row>
    <row r="52">
      <c r="A52" s="1" t="n"/>
      <c r="B52" s="21" t="n"/>
      <c r="C52" s="24" t="n"/>
      <c r="D52" s="24" t="n"/>
      <c r="E52" s="24" t="n"/>
      <c r="F52" s="24" t="n"/>
      <c r="G52" s="24" t="n"/>
      <c r="H52" s="24" t="n"/>
      <c r="I52" s="26" t="n"/>
      <c r="J52" s="1" t="n"/>
      <c r="K52" s="1" t="n"/>
      <c r="L52" s="1" t="n"/>
      <c r="M52" s="1" t="n"/>
      <c r="N52" s="1" t="n"/>
      <c r="P52">
        <f>IF(OR(B52="",C52=""),"",B52+ROW()/10000000)</f>
        <v/>
      </c>
    </row>
    <row r="53">
      <c r="A53" s="1" t="n"/>
      <c r="B53" s="21" t="n"/>
      <c r="C53" s="24" t="n"/>
      <c r="D53" s="24" t="n"/>
      <c r="E53" s="24" t="n"/>
      <c r="F53" s="24" t="n"/>
      <c r="G53" s="24" t="n"/>
      <c r="H53" s="24" t="n"/>
      <c r="I53" s="26" t="n"/>
      <c r="J53" s="1" t="n"/>
      <c r="K53" s="1" t="n"/>
      <c r="L53" s="1" t="n"/>
      <c r="M53" s="1" t="n"/>
      <c r="N53" s="1" t="n"/>
      <c r="P53">
        <f>IF(OR(B53="",C53=""),"",B53+ROW()/10000000)</f>
        <v/>
      </c>
    </row>
    <row r="54">
      <c r="A54" s="1" t="n"/>
      <c r="B54" s="21" t="n"/>
      <c r="C54" s="24" t="n"/>
      <c r="D54" s="24" t="n"/>
      <c r="E54" s="24" t="n"/>
      <c r="F54" s="24" t="n"/>
      <c r="G54" s="24" t="n"/>
      <c r="H54" s="24" t="n"/>
      <c r="I54" s="26" t="n"/>
      <c r="J54" s="1" t="n"/>
      <c r="K54" s="1" t="n"/>
      <c r="L54" s="1" t="n"/>
      <c r="M54" s="1" t="n"/>
      <c r="N54" s="1" t="n"/>
      <c r="P54">
        <f>IF(OR(B54="",C54=""),"",B54+ROW()/10000000)</f>
        <v/>
      </c>
    </row>
    <row r="55">
      <c r="A55" s="1" t="n"/>
      <c r="B55" s="21" t="n"/>
      <c r="C55" s="24" t="n"/>
      <c r="D55" s="24" t="n"/>
      <c r="E55" s="24" t="n"/>
      <c r="F55" s="24" t="n"/>
      <c r="G55" s="24" t="n"/>
      <c r="H55" s="24" t="n"/>
      <c r="I55" s="26" t="n"/>
      <c r="J55" s="1" t="n"/>
      <c r="K55" s="1" t="n"/>
      <c r="L55" s="1" t="n"/>
      <c r="M55" s="1" t="n"/>
      <c r="N55" s="1" t="n"/>
      <c r="P55">
        <f>IF(OR(B55="",C55=""),"",B55+ROW()/10000000)</f>
        <v/>
      </c>
    </row>
    <row r="56">
      <c r="A56" s="1" t="n"/>
      <c r="B56" s="21" t="n"/>
      <c r="C56" s="24" t="n"/>
      <c r="D56" s="24" t="n"/>
      <c r="E56" s="24" t="n"/>
      <c r="F56" s="24" t="n"/>
      <c r="G56" s="24" t="n"/>
      <c r="H56" s="24" t="n"/>
      <c r="I56" s="26" t="n"/>
      <c r="J56" s="1" t="n"/>
      <c r="K56" s="1" t="n"/>
      <c r="L56" s="1" t="n"/>
      <c r="M56" s="1" t="n"/>
      <c r="N56" s="1" t="n"/>
      <c r="P56">
        <f>IF(OR(B56="",C56=""),"",B56+ROW()/10000000)</f>
        <v/>
      </c>
    </row>
    <row r="57">
      <c r="A57" s="1" t="n"/>
      <c r="B57" s="21" t="n"/>
      <c r="C57" s="24" t="n"/>
      <c r="D57" s="24" t="n"/>
      <c r="E57" s="24" t="n"/>
      <c r="F57" s="24" t="n"/>
      <c r="G57" s="24" t="n"/>
      <c r="H57" s="24" t="n"/>
      <c r="I57" s="26" t="n"/>
      <c r="J57" s="1" t="n"/>
      <c r="K57" s="1" t="n"/>
      <c r="L57" s="1" t="n"/>
      <c r="M57" s="1" t="n"/>
      <c r="N57" s="1" t="n"/>
      <c r="P57">
        <f>IF(OR(B57="",C57=""),"",B57+ROW()/10000000)</f>
        <v/>
      </c>
    </row>
    <row r="58">
      <c r="A58" s="1" t="n"/>
      <c r="B58" s="21" t="n"/>
      <c r="C58" s="24" t="n"/>
      <c r="D58" s="24" t="n"/>
      <c r="E58" s="24" t="n"/>
      <c r="F58" s="24" t="n"/>
      <c r="G58" s="24" t="n"/>
      <c r="H58" s="24" t="n"/>
      <c r="I58" s="26" t="n"/>
      <c r="J58" s="1" t="n"/>
      <c r="K58" s="1" t="n"/>
      <c r="L58" s="1" t="n"/>
      <c r="M58" s="1" t="n"/>
      <c r="N58" s="1" t="n"/>
      <c r="P58">
        <f>IF(OR(B58="",C58=""),"",B58+ROW()/10000000)</f>
        <v/>
      </c>
    </row>
    <row r="59">
      <c r="A59" s="1" t="n"/>
      <c r="B59" s="21" t="n"/>
      <c r="C59" s="24" t="n"/>
      <c r="D59" s="24" t="n"/>
      <c r="E59" s="24" t="n"/>
      <c r="F59" s="24" t="n"/>
      <c r="G59" s="24" t="n"/>
      <c r="H59" s="24" t="n"/>
      <c r="I59" s="26" t="n"/>
      <c r="J59" s="1" t="n"/>
      <c r="K59" s="1" t="n"/>
      <c r="L59" s="1" t="n"/>
      <c r="M59" s="1" t="n"/>
      <c r="N59" s="1" t="n"/>
      <c r="P59">
        <f>IF(OR(B59="",C59=""),"",B59+ROW()/10000000)</f>
        <v/>
      </c>
    </row>
    <row r="60">
      <c r="A60" s="1" t="n"/>
      <c r="B60" s="21" t="n"/>
      <c r="C60" s="24" t="n"/>
      <c r="D60" s="24" t="n"/>
      <c r="E60" s="24" t="n"/>
      <c r="F60" s="24" t="n"/>
      <c r="G60" s="24" t="n"/>
      <c r="H60" s="24" t="n"/>
      <c r="I60" s="26" t="n"/>
      <c r="J60" s="1" t="n"/>
      <c r="K60" s="1" t="n"/>
      <c r="L60" s="1" t="n"/>
      <c r="M60" s="1" t="n"/>
      <c r="N60" s="1" t="n"/>
      <c r="P60">
        <f>IF(OR(B60="",C60=""),"",B60+ROW()/10000000)</f>
        <v/>
      </c>
    </row>
    <row r="61">
      <c r="A61" s="1" t="n"/>
      <c r="B61" s="21" t="n"/>
      <c r="C61" s="24" t="n"/>
      <c r="D61" s="24" t="n"/>
      <c r="E61" s="24" t="n"/>
      <c r="F61" s="24" t="n"/>
      <c r="G61" s="24" t="n"/>
      <c r="H61" s="24" t="n"/>
      <c r="I61" s="26" t="n"/>
      <c r="J61" s="1" t="n"/>
      <c r="K61" s="1" t="n"/>
      <c r="L61" s="1" t="n"/>
      <c r="M61" s="1" t="n"/>
      <c r="N61" s="1" t="n"/>
      <c r="P61">
        <f>IF(OR(B61="",C61=""),"",B61+ROW()/10000000)</f>
        <v/>
      </c>
    </row>
    <row r="62">
      <c r="A62" s="1" t="n"/>
      <c r="B62" s="21" t="n"/>
      <c r="C62" s="24" t="n"/>
      <c r="D62" s="24" t="n"/>
      <c r="E62" s="24" t="n"/>
      <c r="F62" s="24" t="n"/>
      <c r="G62" s="24" t="n"/>
      <c r="H62" s="24" t="n"/>
      <c r="I62" s="26" t="n"/>
      <c r="J62" s="1" t="n"/>
      <c r="K62" s="1" t="n"/>
      <c r="L62" s="1" t="n"/>
      <c r="M62" s="1" t="n"/>
      <c r="N62" s="1" t="n"/>
      <c r="P62">
        <f>IF(OR(B62="",C62=""),"",B62+ROW()/10000000)</f>
        <v/>
      </c>
    </row>
    <row r="63">
      <c r="A63" s="1" t="n"/>
      <c r="B63" s="21" t="n"/>
      <c r="C63" s="24" t="n"/>
      <c r="D63" s="24" t="n"/>
      <c r="E63" s="24" t="n"/>
      <c r="F63" s="24" t="n"/>
      <c r="G63" s="24" t="n"/>
      <c r="H63" s="24" t="n"/>
      <c r="I63" s="26" t="n"/>
      <c r="J63" s="1" t="n"/>
      <c r="K63" s="1" t="n"/>
      <c r="L63" s="1" t="n"/>
      <c r="M63" s="1" t="n"/>
      <c r="N63" s="1" t="n"/>
      <c r="P63">
        <f>IF(OR(B63="",C63=""),"",B63+ROW()/10000000)</f>
        <v/>
      </c>
    </row>
    <row r="64">
      <c r="A64" s="1" t="n"/>
      <c r="B64" s="21" t="n"/>
      <c r="C64" s="24" t="n"/>
      <c r="D64" s="24" t="n"/>
      <c r="E64" s="24" t="n"/>
      <c r="F64" s="24" t="n"/>
      <c r="G64" s="24" t="n"/>
      <c r="H64" s="24" t="n"/>
      <c r="I64" s="26" t="n"/>
      <c r="J64" s="1" t="n"/>
      <c r="K64" s="1" t="n"/>
      <c r="L64" s="1" t="n"/>
      <c r="M64" s="1" t="n"/>
      <c r="N64" s="1" t="n"/>
      <c r="P64">
        <f>IF(OR(B64="",C64=""),"",B64+ROW()/10000000)</f>
        <v/>
      </c>
    </row>
    <row r="65">
      <c r="A65" s="1" t="n"/>
      <c r="B65" s="21" t="n"/>
      <c r="C65" s="24" t="n"/>
      <c r="D65" s="24" t="n"/>
      <c r="E65" s="24" t="n"/>
      <c r="F65" s="24" t="n"/>
      <c r="G65" s="24" t="n"/>
      <c r="H65" s="24" t="n"/>
      <c r="I65" s="26" t="n"/>
      <c r="J65" s="1" t="n"/>
      <c r="K65" s="1" t="n"/>
      <c r="L65" s="1" t="n"/>
      <c r="M65" s="1" t="n"/>
      <c r="N65" s="1" t="n"/>
      <c r="P65">
        <f>IF(OR(B65="",C65=""),"",B65+ROW()/10000000)</f>
        <v/>
      </c>
    </row>
    <row r="66">
      <c r="A66" s="1" t="n"/>
      <c r="B66" s="21" t="n"/>
      <c r="C66" s="24" t="n"/>
      <c r="D66" s="24" t="n"/>
      <c r="E66" s="24" t="n"/>
      <c r="F66" s="24" t="n"/>
      <c r="G66" s="24" t="n"/>
      <c r="H66" s="24" t="n"/>
      <c r="I66" s="26" t="n"/>
      <c r="J66" s="1" t="n"/>
      <c r="K66" s="1" t="n"/>
      <c r="L66" s="1" t="n"/>
      <c r="M66" s="1" t="n"/>
      <c r="N66" s="1" t="n"/>
      <c r="P66">
        <f>IF(OR(B66="",C66=""),"",B66+ROW()/10000000)</f>
        <v/>
      </c>
    </row>
    <row r="67">
      <c r="A67" s="1" t="n"/>
      <c r="B67" s="21" t="n"/>
      <c r="C67" s="24" t="n"/>
      <c r="D67" s="24" t="n"/>
      <c r="E67" s="24" t="n"/>
      <c r="F67" s="24" t="n"/>
      <c r="G67" s="24" t="n"/>
      <c r="H67" s="24" t="n"/>
      <c r="I67" s="26" t="n"/>
      <c r="J67" s="1" t="n"/>
      <c r="K67" s="1" t="n"/>
      <c r="L67" s="1" t="n"/>
      <c r="M67" s="1" t="n"/>
      <c r="N67" s="1" t="n"/>
      <c r="P67">
        <f>IF(OR(B67="",C67=""),"",B67+ROW()/10000000)</f>
        <v/>
      </c>
    </row>
    <row r="68">
      <c r="A68" s="1" t="n"/>
      <c r="B68" s="21" t="n"/>
      <c r="C68" s="24" t="n"/>
      <c r="D68" s="24" t="n"/>
      <c r="E68" s="24" t="n"/>
      <c r="F68" s="24" t="n"/>
      <c r="G68" s="24" t="n"/>
      <c r="H68" s="24" t="n"/>
      <c r="I68" s="26" t="n"/>
      <c r="J68" s="1" t="n"/>
      <c r="K68" s="1" t="n"/>
      <c r="L68" s="1" t="n"/>
      <c r="M68" s="1" t="n"/>
      <c r="N68" s="1" t="n"/>
      <c r="P68">
        <f>IF(OR(B68="",C68=""),"",B68+ROW()/10000000)</f>
        <v/>
      </c>
    </row>
    <row r="69">
      <c r="A69" s="1" t="n"/>
      <c r="B69" s="21" t="n"/>
      <c r="C69" s="24" t="n"/>
      <c r="D69" s="24" t="n"/>
      <c r="E69" s="24" t="n"/>
      <c r="F69" s="24" t="n"/>
      <c r="G69" s="24" t="n"/>
      <c r="H69" s="24" t="n"/>
      <c r="I69" s="26" t="n"/>
      <c r="J69" s="1" t="n"/>
      <c r="K69" s="1" t="n"/>
      <c r="L69" s="1" t="n"/>
      <c r="M69" s="1" t="n"/>
      <c r="N69" s="1" t="n"/>
      <c r="P69">
        <f>IF(OR(B69="",C69=""),"",B69+ROW()/10000000)</f>
        <v/>
      </c>
    </row>
    <row r="70">
      <c r="A70" s="1" t="n"/>
      <c r="B70" s="21" t="n"/>
      <c r="C70" s="24" t="n"/>
      <c r="D70" s="24" t="n"/>
      <c r="E70" s="24" t="n"/>
      <c r="F70" s="24" t="n"/>
      <c r="G70" s="24" t="n"/>
      <c r="H70" s="24" t="n"/>
      <c r="I70" s="26" t="n"/>
      <c r="J70" s="1" t="n"/>
      <c r="K70" s="1" t="n"/>
      <c r="L70" s="1" t="n"/>
      <c r="M70" s="1" t="n"/>
      <c r="N70" s="1" t="n"/>
      <c r="P70">
        <f>IF(OR(B70="",C70=""),"",B70+ROW()/10000000)</f>
        <v/>
      </c>
    </row>
    <row r="71">
      <c r="A71" s="1" t="n"/>
      <c r="B71" s="21" t="n"/>
      <c r="C71" s="24" t="n"/>
      <c r="D71" s="24" t="n"/>
      <c r="E71" s="24" t="n"/>
      <c r="F71" s="24" t="n"/>
      <c r="G71" s="24" t="n"/>
      <c r="H71" s="24" t="n"/>
      <c r="I71" s="26" t="n"/>
      <c r="J71" s="1" t="n"/>
      <c r="K71" s="1" t="n"/>
      <c r="L71" s="1" t="n"/>
      <c r="M71" s="1" t="n"/>
      <c r="N71" s="1" t="n"/>
      <c r="P71">
        <f>IF(OR(B71="",C71=""),"",B71+ROW()/10000000)</f>
        <v/>
      </c>
    </row>
    <row r="72">
      <c r="A72" s="1" t="n"/>
      <c r="B72" s="21" t="n"/>
      <c r="C72" s="24" t="n"/>
      <c r="D72" s="24" t="n"/>
      <c r="E72" s="24" t="n"/>
      <c r="F72" s="24" t="n"/>
      <c r="G72" s="24" t="n"/>
      <c r="H72" s="24" t="n"/>
      <c r="I72" s="26" t="n"/>
      <c r="J72" s="1" t="n"/>
      <c r="K72" s="1" t="n"/>
      <c r="L72" s="1" t="n"/>
      <c r="M72" s="1" t="n"/>
      <c r="N72" s="1" t="n"/>
      <c r="P72">
        <f>IF(OR(B72="",C72=""),"",B72+ROW()/10000000)</f>
        <v/>
      </c>
    </row>
    <row r="73">
      <c r="A73" s="1" t="n"/>
      <c r="B73" s="21" t="n"/>
      <c r="C73" s="24" t="n"/>
      <c r="D73" s="24" t="n"/>
      <c r="E73" s="24" t="n"/>
      <c r="F73" s="24" t="n"/>
      <c r="G73" s="24" t="n"/>
      <c r="H73" s="24" t="n"/>
      <c r="I73" s="26" t="n"/>
      <c r="J73" s="1" t="n"/>
      <c r="K73" s="1" t="n"/>
      <c r="L73" s="1" t="n"/>
      <c r="M73" s="1" t="n"/>
      <c r="N73" s="1" t="n"/>
      <c r="P73">
        <f>IF(OR(B73="",C73=""),"",B73+ROW()/10000000)</f>
        <v/>
      </c>
    </row>
    <row r="74">
      <c r="A74" s="1" t="n"/>
      <c r="B74" s="21" t="n"/>
      <c r="C74" s="24" t="n"/>
      <c r="D74" s="24" t="n"/>
      <c r="E74" s="24" t="n"/>
      <c r="F74" s="24" t="n"/>
      <c r="G74" s="24" t="n"/>
      <c r="H74" s="24" t="n"/>
      <c r="I74" s="26" t="n"/>
      <c r="J74" s="1" t="n"/>
      <c r="K74" s="1" t="n"/>
      <c r="L74" s="1" t="n"/>
      <c r="M74" s="1" t="n"/>
      <c r="N74" s="1" t="n"/>
      <c r="P74">
        <f>IF(OR(B74="",C74=""),"",B74+ROW()/10000000)</f>
        <v/>
      </c>
    </row>
    <row r="75">
      <c r="A75" s="1" t="n"/>
      <c r="B75" s="21" t="n"/>
      <c r="C75" s="24" t="n"/>
      <c r="D75" s="24" t="n"/>
      <c r="E75" s="24" t="n"/>
      <c r="F75" s="24" t="n"/>
      <c r="G75" s="24" t="n"/>
      <c r="H75" s="24" t="n"/>
      <c r="I75" s="26" t="n"/>
      <c r="J75" s="1" t="n"/>
      <c r="K75" s="1" t="n"/>
      <c r="L75" s="1" t="n"/>
      <c r="M75" s="1" t="n"/>
      <c r="N75" s="1" t="n"/>
      <c r="P75">
        <f>IF(OR(B75="",C75=""),"",B75+ROW()/10000000)</f>
        <v/>
      </c>
    </row>
    <row r="76">
      <c r="A76" s="1" t="n"/>
      <c r="B76" s="21" t="n"/>
      <c r="C76" s="24" t="n"/>
      <c r="D76" s="24" t="n"/>
      <c r="E76" s="24" t="n"/>
      <c r="F76" s="24" t="n"/>
      <c r="G76" s="24" t="n"/>
      <c r="H76" s="24" t="n"/>
      <c r="I76" s="26" t="n"/>
      <c r="J76" s="1" t="n"/>
      <c r="K76" s="1" t="n"/>
      <c r="L76" s="1" t="n"/>
      <c r="M76" s="1" t="n"/>
      <c r="N76" s="1" t="n"/>
      <c r="P76">
        <f>IF(OR(B76="",C76=""),"",B76+ROW()/10000000)</f>
        <v/>
      </c>
    </row>
    <row r="77">
      <c r="A77" s="1" t="n"/>
      <c r="B77" s="21" t="n"/>
      <c r="C77" s="24" t="n"/>
      <c r="D77" s="24" t="n"/>
      <c r="E77" s="24" t="n"/>
      <c r="F77" s="24" t="n"/>
      <c r="G77" s="24" t="n"/>
      <c r="H77" s="24" t="n"/>
      <c r="I77" s="26" t="n"/>
      <c r="J77" s="1" t="n"/>
      <c r="K77" s="1" t="n"/>
      <c r="L77" s="1" t="n"/>
      <c r="M77" s="1" t="n"/>
      <c r="N77" s="1" t="n"/>
      <c r="P77">
        <f>IF(OR(B77="",C77=""),"",B77+ROW()/10000000)</f>
        <v/>
      </c>
    </row>
    <row r="78">
      <c r="A78" s="1" t="n"/>
      <c r="B78" s="21" t="n"/>
      <c r="C78" s="24" t="n"/>
      <c r="D78" s="24" t="n"/>
      <c r="E78" s="24" t="n"/>
      <c r="F78" s="24" t="n"/>
      <c r="G78" s="24" t="n"/>
      <c r="H78" s="24" t="n"/>
      <c r="I78" s="26" t="n"/>
      <c r="J78" s="1" t="n"/>
      <c r="K78" s="1" t="n"/>
      <c r="L78" s="1" t="n"/>
      <c r="M78" s="1" t="n"/>
      <c r="N78" s="1" t="n"/>
      <c r="P78">
        <f>IF(OR(B78="",C78=""),"",B78+ROW()/10000000)</f>
        <v/>
      </c>
    </row>
    <row r="79">
      <c r="A79" s="1" t="n"/>
      <c r="B79" s="21" t="n"/>
      <c r="C79" s="24" t="n"/>
      <c r="D79" s="24" t="n"/>
      <c r="E79" s="24" t="n"/>
      <c r="F79" s="24" t="n"/>
      <c r="G79" s="24" t="n"/>
      <c r="H79" s="24" t="n"/>
      <c r="I79" s="26" t="n"/>
      <c r="J79" s="1" t="n"/>
      <c r="K79" s="1" t="n"/>
      <c r="L79" s="1" t="n"/>
      <c r="M79" s="1" t="n"/>
      <c r="N79" s="1" t="n"/>
      <c r="P79">
        <f>IF(OR(B79="",C79=""),"",B79+ROW()/10000000)</f>
        <v/>
      </c>
    </row>
    <row r="80">
      <c r="A80" s="1" t="n"/>
      <c r="B80" s="21" t="n"/>
      <c r="C80" s="24" t="n"/>
      <c r="D80" s="24" t="n"/>
      <c r="E80" s="24" t="n"/>
      <c r="F80" s="24" t="n"/>
      <c r="G80" s="24" t="n"/>
      <c r="H80" s="24" t="n"/>
      <c r="I80" s="26" t="n"/>
      <c r="J80" s="1" t="n"/>
      <c r="K80" s="1" t="n"/>
      <c r="L80" s="1" t="n"/>
      <c r="M80" s="1" t="n"/>
      <c r="N80" s="1" t="n"/>
      <c r="P80">
        <f>IF(OR(B80="",C80=""),"",B80+ROW()/10000000)</f>
        <v/>
      </c>
    </row>
    <row r="81">
      <c r="A81" s="1" t="n"/>
      <c r="B81" s="21" t="n"/>
      <c r="C81" s="24" t="n"/>
      <c r="D81" s="24" t="n"/>
      <c r="E81" s="24" t="n"/>
      <c r="F81" s="24" t="n"/>
      <c r="G81" s="24" t="n"/>
      <c r="H81" s="24" t="n"/>
      <c r="I81" s="26" t="n"/>
      <c r="J81" s="1" t="n"/>
      <c r="K81" s="1" t="n"/>
      <c r="L81" s="1" t="n"/>
      <c r="M81" s="1" t="n"/>
      <c r="N81" s="1" t="n"/>
      <c r="P81">
        <f>IF(OR(B81="",C81=""),"",B81+ROW()/10000000)</f>
        <v/>
      </c>
    </row>
    <row r="82">
      <c r="A82" s="1" t="n"/>
      <c r="B82" s="21" t="n"/>
      <c r="C82" s="24" t="n"/>
      <c r="D82" s="24" t="n"/>
      <c r="E82" s="24" t="n"/>
      <c r="F82" s="24" t="n"/>
      <c r="G82" s="24" t="n"/>
      <c r="H82" s="24" t="n"/>
      <c r="I82" s="26" t="n"/>
      <c r="J82" s="1" t="n"/>
      <c r="K82" s="1" t="n"/>
      <c r="L82" s="1" t="n"/>
      <c r="M82" s="1" t="n"/>
      <c r="N82" s="1" t="n"/>
      <c r="P82">
        <f>IF(OR(B82="",C82=""),"",B82+ROW()/10000000)</f>
        <v/>
      </c>
    </row>
    <row r="83">
      <c r="A83" s="1" t="n"/>
      <c r="B83" s="21" t="n"/>
      <c r="C83" s="24" t="n"/>
      <c r="D83" s="24" t="n"/>
      <c r="E83" s="24" t="n"/>
      <c r="F83" s="24" t="n"/>
      <c r="G83" s="24" t="n"/>
      <c r="H83" s="24" t="n"/>
      <c r="I83" s="26" t="n"/>
      <c r="J83" s="1" t="n"/>
      <c r="K83" s="1" t="n"/>
      <c r="L83" s="1" t="n"/>
      <c r="M83" s="1" t="n"/>
      <c r="N83" s="1" t="n"/>
      <c r="P83">
        <f>IF(OR(B83="",C83=""),"",B83+ROW()/10000000)</f>
        <v/>
      </c>
    </row>
    <row r="84">
      <c r="A84" s="1" t="n"/>
      <c r="B84" s="21" t="n"/>
      <c r="C84" s="24" t="n"/>
      <c r="D84" s="24" t="n"/>
      <c r="E84" s="24" t="n"/>
      <c r="F84" s="24" t="n"/>
      <c r="G84" s="24" t="n"/>
      <c r="H84" s="24" t="n"/>
      <c r="I84" s="26" t="n"/>
      <c r="J84" s="1" t="n"/>
      <c r="K84" s="1" t="n"/>
      <c r="L84" s="1" t="n"/>
      <c r="M84" s="1" t="n"/>
      <c r="N84" s="1" t="n"/>
      <c r="P84">
        <f>IF(OR(B84="",C84=""),"",B84+ROW()/10000000)</f>
        <v/>
      </c>
    </row>
    <row r="85">
      <c r="A85" s="1" t="n"/>
      <c r="B85" s="21" t="n"/>
      <c r="C85" s="24" t="n"/>
      <c r="D85" s="24" t="n"/>
      <c r="E85" s="24" t="n"/>
      <c r="F85" s="24" t="n"/>
      <c r="G85" s="24" t="n"/>
      <c r="H85" s="24" t="n"/>
      <c r="I85" s="26" t="n"/>
      <c r="J85" s="1" t="n"/>
      <c r="K85" s="1" t="n"/>
      <c r="L85" s="1" t="n"/>
      <c r="M85" s="1" t="n"/>
      <c r="N85" s="1" t="n"/>
      <c r="P85">
        <f>IF(OR(B85="",C85=""),"",B85+ROW()/10000000)</f>
        <v/>
      </c>
    </row>
    <row r="86">
      <c r="A86" s="1" t="n"/>
      <c r="B86" s="21" t="n"/>
      <c r="C86" s="24" t="n"/>
      <c r="D86" s="24" t="n"/>
      <c r="E86" s="24" t="n"/>
      <c r="F86" s="24" t="n"/>
      <c r="G86" s="24" t="n"/>
      <c r="H86" s="24" t="n"/>
      <c r="I86" s="26" t="n"/>
      <c r="J86" s="1" t="n"/>
      <c r="K86" s="1" t="n"/>
      <c r="L86" s="1" t="n"/>
      <c r="M86" s="1" t="n"/>
      <c r="N86" s="1" t="n"/>
      <c r="P86">
        <f>IF(OR(B86="",C86=""),"",B86+ROW()/10000000)</f>
        <v/>
      </c>
    </row>
    <row r="87">
      <c r="A87" s="1" t="n"/>
      <c r="B87" s="21" t="n"/>
      <c r="C87" s="24" t="n"/>
      <c r="D87" s="24" t="n"/>
      <c r="E87" s="24" t="n"/>
      <c r="F87" s="24" t="n"/>
      <c r="G87" s="24" t="n"/>
      <c r="H87" s="24" t="n"/>
      <c r="I87" s="26" t="n"/>
      <c r="J87" s="1" t="n"/>
      <c r="K87" s="1" t="n"/>
      <c r="L87" s="1" t="n"/>
      <c r="M87" s="1" t="n"/>
      <c r="N87" s="1" t="n"/>
      <c r="P87">
        <f>IF(OR(B87="",C87=""),"",B87+ROW()/10000000)</f>
        <v/>
      </c>
    </row>
    <row r="88">
      <c r="A88" s="1" t="n"/>
      <c r="B88" s="21" t="n"/>
      <c r="C88" s="24" t="n"/>
      <c r="D88" s="24" t="n"/>
      <c r="E88" s="24" t="n"/>
      <c r="F88" s="24" t="n"/>
      <c r="G88" s="24" t="n"/>
      <c r="H88" s="24" t="n"/>
      <c r="I88" s="26" t="n"/>
      <c r="J88" s="1" t="n"/>
      <c r="K88" s="1" t="n"/>
      <c r="L88" s="1" t="n"/>
      <c r="M88" s="1" t="n"/>
      <c r="N88" s="1" t="n"/>
      <c r="P88">
        <f>IF(OR(B88="",C88=""),"",B88+ROW()/10000000)</f>
        <v/>
      </c>
    </row>
    <row r="89">
      <c r="A89" s="1" t="n"/>
      <c r="B89" s="21" t="n"/>
      <c r="C89" s="24" t="n"/>
      <c r="D89" s="24" t="n"/>
      <c r="E89" s="24" t="n"/>
      <c r="F89" s="24" t="n"/>
      <c r="G89" s="24" t="n"/>
      <c r="H89" s="24" t="n"/>
      <c r="I89" s="26" t="n"/>
      <c r="J89" s="1" t="n"/>
      <c r="K89" s="1" t="n"/>
      <c r="L89" s="1" t="n"/>
      <c r="M89" s="1" t="n"/>
      <c r="N89" s="1" t="n"/>
      <c r="P89">
        <f>IF(OR(B89="",C89=""),"",B89+ROW()/10000000)</f>
        <v/>
      </c>
    </row>
    <row r="90">
      <c r="A90" s="1" t="n"/>
      <c r="B90" s="21" t="n"/>
      <c r="C90" s="24" t="n"/>
      <c r="D90" s="24" t="n"/>
      <c r="E90" s="24" t="n"/>
      <c r="F90" s="24" t="n"/>
      <c r="G90" s="24" t="n"/>
      <c r="H90" s="24" t="n"/>
      <c r="I90" s="26" t="n"/>
      <c r="J90" s="1" t="n"/>
      <c r="K90" s="1" t="n"/>
      <c r="L90" s="1" t="n"/>
      <c r="M90" s="1" t="n"/>
      <c r="N90" s="1" t="n"/>
      <c r="P90">
        <f>IF(OR(B90="",C90=""),"",B90+ROW()/10000000)</f>
        <v/>
      </c>
    </row>
    <row r="91">
      <c r="A91" s="1" t="n"/>
      <c r="B91" s="21" t="n"/>
      <c r="C91" s="24" t="n"/>
      <c r="D91" s="24" t="n"/>
      <c r="E91" s="24" t="n"/>
      <c r="F91" s="24" t="n"/>
      <c r="G91" s="24" t="n"/>
      <c r="H91" s="24" t="n"/>
      <c r="I91" s="26" t="n"/>
      <c r="J91" s="1" t="n"/>
      <c r="K91" s="1" t="n"/>
      <c r="L91" s="1" t="n"/>
      <c r="M91" s="1" t="n"/>
      <c r="N91" s="1" t="n"/>
      <c r="P91">
        <f>IF(OR(B91="",C91=""),"",B91+ROW()/10000000)</f>
        <v/>
      </c>
    </row>
    <row r="92">
      <c r="A92" s="1" t="n"/>
      <c r="B92" s="21" t="n"/>
      <c r="C92" s="24" t="n"/>
      <c r="D92" s="24" t="n"/>
      <c r="E92" s="24" t="n"/>
      <c r="F92" s="24" t="n"/>
      <c r="G92" s="24" t="n"/>
      <c r="H92" s="24" t="n"/>
      <c r="I92" s="26" t="n"/>
      <c r="J92" s="1" t="n"/>
      <c r="K92" s="1" t="n"/>
      <c r="L92" s="1" t="n"/>
      <c r="M92" s="1" t="n"/>
      <c r="N92" s="1" t="n"/>
      <c r="P92">
        <f>IF(OR(B92="",C92=""),"",B92+ROW()/10000000)</f>
        <v/>
      </c>
    </row>
    <row r="93">
      <c r="A93" s="1" t="n"/>
      <c r="B93" s="21" t="n"/>
      <c r="C93" s="24" t="n"/>
      <c r="D93" s="24" t="n"/>
      <c r="E93" s="24" t="n"/>
      <c r="F93" s="24" t="n"/>
      <c r="G93" s="24" t="n"/>
      <c r="H93" s="24" t="n"/>
      <c r="I93" s="26" t="n"/>
      <c r="J93" s="1" t="n"/>
      <c r="K93" s="1" t="n"/>
      <c r="L93" s="1" t="n"/>
      <c r="M93" s="1" t="n"/>
      <c r="N93" s="1" t="n"/>
      <c r="P93">
        <f>IF(OR(B93="",C93=""),"",B93+ROW()/10000000)</f>
        <v/>
      </c>
    </row>
    <row r="94">
      <c r="A94" s="1" t="n"/>
      <c r="B94" s="21" t="n"/>
      <c r="C94" s="24" t="n"/>
      <c r="D94" s="24" t="n"/>
      <c r="E94" s="24" t="n"/>
      <c r="F94" s="24" t="n"/>
      <c r="G94" s="24" t="n"/>
      <c r="H94" s="24" t="n"/>
      <c r="I94" s="26" t="n"/>
      <c r="J94" s="1" t="n"/>
      <c r="K94" s="1" t="n"/>
      <c r="L94" s="1" t="n"/>
      <c r="M94" s="1" t="n"/>
      <c r="N94" s="1" t="n"/>
      <c r="P94">
        <f>IF(OR(B94="",C94=""),"",B94+ROW()/10000000)</f>
        <v/>
      </c>
    </row>
    <row r="95">
      <c r="A95" s="1" t="n"/>
      <c r="B95" s="21" t="n"/>
      <c r="C95" s="24" t="n"/>
      <c r="D95" s="24" t="n"/>
      <c r="E95" s="24" t="n"/>
      <c r="F95" s="24" t="n"/>
      <c r="G95" s="24" t="n"/>
      <c r="H95" s="24" t="n"/>
      <c r="I95" s="26" t="n"/>
      <c r="J95" s="1" t="n"/>
      <c r="K95" s="1" t="n"/>
      <c r="L95" s="1" t="n"/>
      <c r="M95" s="1" t="n"/>
      <c r="N95" s="1" t="n"/>
      <c r="P95">
        <f>IF(OR(B95="",C95=""),"",B95+ROW()/10000000)</f>
        <v/>
      </c>
    </row>
    <row r="96">
      <c r="A96" s="1" t="n"/>
      <c r="B96" s="21" t="n"/>
      <c r="C96" s="24" t="n"/>
      <c r="D96" s="24" t="n"/>
      <c r="E96" s="24" t="n"/>
      <c r="F96" s="24" t="n"/>
      <c r="G96" s="24" t="n"/>
      <c r="H96" s="24" t="n"/>
      <c r="I96" s="26" t="n"/>
      <c r="J96" s="1" t="n"/>
      <c r="K96" s="1" t="n"/>
      <c r="L96" s="1" t="n"/>
      <c r="M96" s="1" t="n"/>
      <c r="N96" s="1" t="n"/>
      <c r="P96">
        <f>IF(OR(B96="",C96=""),"",B96+ROW()/10000000)</f>
        <v/>
      </c>
    </row>
    <row r="97">
      <c r="A97" s="1" t="n"/>
      <c r="B97" s="21" t="n"/>
      <c r="C97" s="24" t="n"/>
      <c r="D97" s="24" t="n"/>
      <c r="E97" s="24" t="n"/>
      <c r="F97" s="24" t="n"/>
      <c r="G97" s="24" t="n"/>
      <c r="H97" s="24" t="n"/>
      <c r="I97" s="26" t="n"/>
      <c r="J97" s="1" t="n"/>
      <c r="K97" s="1" t="n"/>
      <c r="L97" s="1" t="n"/>
      <c r="M97" s="1" t="n"/>
      <c r="N97" s="1" t="n"/>
      <c r="P97">
        <f>IF(OR(B97="",C97=""),"",B97+ROW()/10000000)</f>
        <v/>
      </c>
    </row>
    <row r="98">
      <c r="A98" s="1" t="n"/>
      <c r="B98" s="21" t="n"/>
      <c r="C98" s="24" t="n"/>
      <c r="D98" s="24" t="n"/>
      <c r="E98" s="24" t="n"/>
      <c r="F98" s="24" t="n"/>
      <c r="G98" s="24" t="n"/>
      <c r="H98" s="24" t="n"/>
      <c r="I98" s="26" t="n"/>
      <c r="J98" s="1" t="n"/>
      <c r="K98" s="1" t="n"/>
      <c r="L98" s="1" t="n"/>
      <c r="M98" s="1" t="n"/>
      <c r="N98" s="1" t="n"/>
      <c r="P98">
        <f>IF(OR(B98="",C98=""),"",B98+ROW()/10000000)</f>
        <v/>
      </c>
    </row>
    <row r="99">
      <c r="A99" s="1" t="n"/>
      <c r="B99" s="21" t="n"/>
      <c r="C99" s="24" t="n"/>
      <c r="D99" s="24" t="n"/>
      <c r="E99" s="24" t="n"/>
      <c r="F99" s="24" t="n"/>
      <c r="G99" s="24" t="n"/>
      <c r="H99" s="24" t="n"/>
      <c r="I99" s="26" t="n"/>
      <c r="J99" s="1" t="n"/>
      <c r="K99" s="1" t="n"/>
      <c r="L99" s="1" t="n"/>
      <c r="M99" s="1" t="n"/>
      <c r="N99" s="1" t="n"/>
      <c r="P99">
        <f>IF(OR(B99="",C99=""),"",B99+ROW()/10000000)</f>
        <v/>
      </c>
    </row>
    <row r="100">
      <c r="A100" s="1" t="n"/>
      <c r="B100" s="21" t="n"/>
      <c r="C100" s="24" t="n"/>
      <c r="D100" s="24" t="n"/>
      <c r="E100" s="24" t="n"/>
      <c r="F100" s="24" t="n"/>
      <c r="G100" s="24" t="n"/>
      <c r="H100" s="24" t="n"/>
      <c r="I100" s="26" t="n"/>
      <c r="J100" s="1" t="n"/>
      <c r="K100" s="1" t="n"/>
      <c r="L100" s="1" t="n"/>
      <c r="M100" s="1" t="n"/>
      <c r="N100" s="1" t="n"/>
      <c r="P100">
        <f>IF(OR(B100="",C100=""),"",B100+ROW()/10000000)</f>
        <v/>
      </c>
    </row>
    <row r="101">
      <c r="A101" s="1" t="n"/>
      <c r="B101" s="21" t="n"/>
      <c r="C101" s="24" t="n"/>
      <c r="D101" s="24" t="n"/>
      <c r="E101" s="24" t="n"/>
      <c r="F101" s="24" t="n"/>
      <c r="G101" s="24" t="n"/>
      <c r="H101" s="24" t="n"/>
      <c r="I101" s="26" t="n"/>
      <c r="J101" s="1" t="n"/>
      <c r="K101" s="1" t="n"/>
      <c r="L101" s="1" t="n"/>
      <c r="M101" s="1" t="n"/>
      <c r="N101" s="1" t="n"/>
      <c r="P101">
        <f>IF(OR(B101="",C101=""),"",B101+ROW()/10000000)</f>
        <v/>
      </c>
    </row>
    <row r="102">
      <c r="A102" s="1" t="n"/>
      <c r="B102" s="21" t="n"/>
      <c r="C102" s="24" t="n"/>
      <c r="D102" s="24" t="n"/>
      <c r="E102" s="24" t="n"/>
      <c r="F102" s="24" t="n"/>
      <c r="G102" s="24" t="n"/>
      <c r="H102" s="24" t="n"/>
      <c r="I102" s="26" t="n"/>
      <c r="J102" s="1" t="n"/>
      <c r="K102" s="1" t="n"/>
      <c r="L102" s="1" t="n"/>
      <c r="M102" s="1" t="n"/>
      <c r="N102" s="1" t="n"/>
      <c r="P102">
        <f>IF(OR(B102="",C102=""),"",B102+ROW()/10000000)</f>
        <v/>
      </c>
    </row>
    <row r="103">
      <c r="A103" s="1" t="n"/>
      <c r="B103" s="21" t="n"/>
      <c r="C103" s="24" t="n"/>
      <c r="D103" s="24" t="n"/>
      <c r="E103" s="24" t="n"/>
      <c r="F103" s="24" t="n"/>
      <c r="G103" s="24" t="n"/>
      <c r="H103" s="24" t="n"/>
      <c r="I103" s="26" t="n"/>
      <c r="J103" s="1" t="n"/>
      <c r="K103" s="1" t="n"/>
      <c r="L103" s="1" t="n"/>
      <c r="M103" s="1" t="n"/>
      <c r="N103" s="1" t="n"/>
      <c r="P103">
        <f>IF(OR(B103="",C103=""),"",B103+ROW()/10000000)</f>
        <v/>
      </c>
    </row>
    <row r="104">
      <c r="A104" s="1" t="n"/>
      <c r="B104" s="21" t="n"/>
      <c r="C104" s="24" t="n"/>
      <c r="D104" s="24" t="n"/>
      <c r="E104" s="24" t="n"/>
      <c r="F104" s="24" t="n"/>
      <c r="G104" s="24" t="n"/>
      <c r="H104" s="24" t="n"/>
      <c r="I104" s="26" t="n"/>
      <c r="J104" s="1" t="n"/>
      <c r="K104" s="1" t="n"/>
      <c r="L104" s="1" t="n"/>
      <c r="M104" s="1" t="n"/>
      <c r="N104" s="1" t="n"/>
      <c r="P104">
        <f>IF(OR(B104="",C104=""),"",B104+ROW()/10000000)</f>
        <v/>
      </c>
    </row>
    <row r="105">
      <c r="A105" s="1" t="n"/>
      <c r="B105" s="21" t="n"/>
      <c r="C105" s="24" t="n"/>
      <c r="D105" s="24" t="n"/>
      <c r="E105" s="24" t="n"/>
      <c r="F105" s="24" t="n"/>
      <c r="G105" s="24" t="n"/>
      <c r="H105" s="24" t="n"/>
      <c r="I105" s="26" t="n"/>
      <c r="J105" s="1" t="n"/>
      <c r="K105" s="1" t="n"/>
      <c r="L105" s="1" t="n"/>
      <c r="M105" s="1" t="n"/>
      <c r="N105" s="1" t="n"/>
      <c r="P105">
        <f>IF(OR(B105="",C105=""),"",B105+ROW()/10000000)</f>
        <v/>
      </c>
    </row>
    <row r="106">
      <c r="A106" s="1" t="n"/>
      <c r="B106" s="21" t="n"/>
      <c r="C106" s="24" t="n"/>
      <c r="D106" s="24" t="n"/>
      <c r="E106" s="24" t="n"/>
      <c r="F106" s="24" t="n"/>
      <c r="G106" s="24" t="n"/>
      <c r="H106" s="24" t="n"/>
      <c r="I106" s="26" t="n"/>
      <c r="J106" s="1" t="n"/>
      <c r="K106" s="1" t="n"/>
      <c r="L106" s="1" t="n"/>
      <c r="M106" s="1" t="n"/>
      <c r="N106" s="1" t="n"/>
      <c r="P106">
        <f>IF(OR(B106="",C106=""),"",B106+ROW()/10000000)</f>
        <v/>
      </c>
    </row>
    <row r="107">
      <c r="A107" s="1" t="n"/>
      <c r="B107" s="21" t="n"/>
      <c r="C107" s="24" t="n"/>
      <c r="D107" s="24" t="n"/>
      <c r="E107" s="24" t="n"/>
      <c r="F107" s="24" t="n"/>
      <c r="G107" s="24" t="n"/>
      <c r="H107" s="24" t="n"/>
      <c r="I107" s="26" t="n"/>
      <c r="J107" s="1" t="n"/>
      <c r="K107" s="1" t="n"/>
      <c r="L107" s="1" t="n"/>
      <c r="M107" s="1" t="n"/>
      <c r="N107" s="1" t="n"/>
      <c r="P107">
        <f>IF(OR(B107="",C107=""),"",B107+ROW()/10000000)</f>
        <v/>
      </c>
    </row>
    <row r="108">
      <c r="A108" s="1" t="n"/>
      <c r="B108" s="21" t="n"/>
      <c r="C108" s="24" t="n"/>
      <c r="D108" s="24" t="n"/>
      <c r="E108" s="24" t="n"/>
      <c r="F108" s="24" t="n"/>
      <c r="G108" s="24" t="n"/>
      <c r="H108" s="24" t="n"/>
      <c r="I108" s="26" t="n"/>
      <c r="J108" s="1" t="n"/>
      <c r="K108" s="1" t="n"/>
      <c r="L108" s="1" t="n"/>
      <c r="M108" s="1" t="n"/>
      <c r="N108" s="1" t="n"/>
      <c r="P108">
        <f>IF(OR(B108="",C108=""),"",B108+ROW()/10000000)</f>
        <v/>
      </c>
    </row>
    <row r="109">
      <c r="A109" s="1" t="n"/>
      <c r="B109" s="21" t="n"/>
      <c r="C109" s="24" t="n"/>
      <c r="D109" s="24" t="n"/>
      <c r="E109" s="24" t="n"/>
      <c r="F109" s="24" t="n"/>
      <c r="G109" s="24" t="n"/>
      <c r="H109" s="24" t="n"/>
      <c r="I109" s="26" t="n"/>
      <c r="J109" s="1" t="n"/>
      <c r="K109" s="1" t="n"/>
      <c r="L109" s="1" t="n"/>
      <c r="M109" s="1" t="n"/>
      <c r="N109" s="1" t="n"/>
      <c r="P109">
        <f>IF(OR(B109="",C109=""),"",B109+ROW()/10000000)</f>
        <v/>
      </c>
    </row>
    <row r="110">
      <c r="A110" s="1" t="n"/>
      <c r="B110" s="21" t="n"/>
      <c r="C110" s="24" t="n"/>
      <c r="D110" s="24" t="n"/>
      <c r="E110" s="24" t="n"/>
      <c r="F110" s="24" t="n"/>
      <c r="G110" s="24" t="n"/>
      <c r="H110" s="24" t="n"/>
      <c r="I110" s="26" t="n"/>
      <c r="J110" s="1" t="n"/>
      <c r="K110" s="1" t="n"/>
      <c r="L110" s="1" t="n"/>
      <c r="M110" s="1" t="n"/>
      <c r="N110" s="1" t="n"/>
      <c r="P110">
        <f>IF(OR(B110="",C110=""),"",B110+ROW()/10000000)</f>
        <v/>
      </c>
    </row>
    <row r="111">
      <c r="A111" s="1" t="n"/>
      <c r="B111" s="21" t="n"/>
      <c r="C111" s="24" t="n"/>
      <c r="D111" s="24" t="n"/>
      <c r="E111" s="24" t="n"/>
      <c r="F111" s="24" t="n"/>
      <c r="G111" s="24" t="n"/>
      <c r="H111" s="24" t="n"/>
      <c r="I111" s="26" t="n"/>
      <c r="J111" s="1" t="n"/>
      <c r="K111" s="1" t="n"/>
      <c r="L111" s="1" t="n"/>
      <c r="M111" s="1" t="n"/>
      <c r="N111" s="1" t="n"/>
      <c r="P111">
        <f>IF(OR(B111="",C111=""),"",B111+ROW()/10000000)</f>
        <v/>
      </c>
    </row>
    <row r="112">
      <c r="A112" s="1" t="n"/>
      <c r="B112" s="21" t="n"/>
      <c r="C112" s="24" t="n"/>
      <c r="D112" s="24" t="n"/>
      <c r="E112" s="24" t="n"/>
      <c r="F112" s="24" t="n"/>
      <c r="G112" s="24" t="n"/>
      <c r="H112" s="24" t="n"/>
      <c r="I112" s="26" t="n"/>
      <c r="J112" s="1" t="n"/>
      <c r="K112" s="1" t="n"/>
      <c r="L112" s="1" t="n"/>
      <c r="M112" s="1" t="n"/>
      <c r="N112" s="1" t="n"/>
      <c r="P112">
        <f>IF(OR(B112="",C112=""),"",B112+ROW()/10000000)</f>
        <v/>
      </c>
    </row>
    <row r="113">
      <c r="A113" s="1" t="n"/>
      <c r="B113" s="21" t="n"/>
      <c r="C113" s="24" t="n"/>
      <c r="D113" s="24" t="n"/>
      <c r="E113" s="24" t="n"/>
      <c r="F113" s="24" t="n"/>
      <c r="G113" s="24" t="n"/>
      <c r="H113" s="24" t="n"/>
      <c r="I113" s="26" t="n"/>
      <c r="J113" s="1" t="n"/>
      <c r="K113" s="1" t="n"/>
      <c r="L113" s="1" t="n"/>
      <c r="M113" s="1" t="n"/>
      <c r="N113" s="1" t="n"/>
      <c r="P113">
        <f>IF(OR(B113="",C113=""),"",B113+ROW()/10000000)</f>
        <v/>
      </c>
    </row>
    <row r="114">
      <c r="A114" s="1" t="n"/>
      <c r="B114" s="21" t="n"/>
      <c r="C114" s="24" t="n"/>
      <c r="D114" s="24" t="n"/>
      <c r="E114" s="24" t="n"/>
      <c r="F114" s="24" t="n"/>
      <c r="G114" s="24" t="n"/>
      <c r="H114" s="24" t="n"/>
      <c r="I114" s="26" t="n"/>
      <c r="J114" s="1" t="n"/>
      <c r="K114" s="1" t="n"/>
      <c r="L114" s="1" t="n"/>
      <c r="M114" s="1" t="n"/>
      <c r="N114" s="1" t="n"/>
      <c r="P114">
        <f>IF(OR(B114="",C114=""),"",B114+ROW()/10000000)</f>
        <v/>
      </c>
    </row>
    <row r="115">
      <c r="A115" s="1" t="n"/>
      <c r="B115" s="21" t="n"/>
      <c r="C115" s="24" t="n"/>
      <c r="D115" s="24" t="n"/>
      <c r="E115" s="24" t="n"/>
      <c r="F115" s="24" t="n"/>
      <c r="G115" s="24" t="n"/>
      <c r="H115" s="24" t="n"/>
      <c r="I115" s="26" t="n"/>
      <c r="J115" s="1" t="n"/>
      <c r="K115" s="1" t="n"/>
      <c r="L115" s="1" t="n"/>
      <c r="M115" s="1" t="n"/>
      <c r="N115" s="1" t="n"/>
      <c r="P115">
        <f>IF(OR(B115="",C115=""),"",B115+ROW()/10000000)</f>
        <v/>
      </c>
    </row>
    <row r="116">
      <c r="A116" s="1" t="n"/>
      <c r="B116" s="21" t="n"/>
      <c r="C116" s="24" t="n"/>
      <c r="D116" s="24" t="n"/>
      <c r="E116" s="24" t="n"/>
      <c r="F116" s="24" t="n"/>
      <c r="G116" s="24" t="n"/>
      <c r="H116" s="24" t="n"/>
      <c r="I116" s="26" t="n"/>
      <c r="J116" s="1" t="n"/>
      <c r="K116" s="1" t="n"/>
      <c r="L116" s="1" t="n"/>
      <c r="M116" s="1" t="n"/>
      <c r="N116" s="1" t="n"/>
      <c r="P116">
        <f>IF(OR(B116="",C116=""),"",B116+ROW()/10000000)</f>
        <v/>
      </c>
    </row>
    <row r="117">
      <c r="A117" s="1" t="n"/>
      <c r="B117" s="21" t="n"/>
      <c r="C117" s="24" t="n"/>
      <c r="D117" s="24" t="n"/>
      <c r="E117" s="24" t="n"/>
      <c r="F117" s="24" t="n"/>
      <c r="G117" s="24" t="n"/>
      <c r="H117" s="24" t="n"/>
      <c r="I117" s="26" t="n"/>
      <c r="J117" s="1" t="n"/>
      <c r="K117" s="1" t="n"/>
      <c r="L117" s="1" t="n"/>
      <c r="M117" s="1" t="n"/>
      <c r="N117" s="1" t="n"/>
      <c r="P117">
        <f>IF(OR(B117="",C117=""),"",B117+ROW()/10000000)</f>
        <v/>
      </c>
    </row>
    <row r="118">
      <c r="A118" s="1" t="n"/>
      <c r="B118" s="21" t="n"/>
      <c r="C118" s="24" t="n"/>
      <c r="D118" s="24" t="n"/>
      <c r="E118" s="24" t="n"/>
      <c r="F118" s="24" t="n"/>
      <c r="G118" s="24" t="n"/>
      <c r="H118" s="24" t="n"/>
      <c r="I118" s="26" t="n"/>
      <c r="J118" s="1" t="n"/>
      <c r="K118" s="1" t="n"/>
      <c r="L118" s="1" t="n"/>
      <c r="M118" s="1" t="n"/>
      <c r="N118" s="1" t="n"/>
      <c r="P118">
        <f>IF(OR(B118="",C118=""),"",B118+ROW()/10000000)</f>
        <v/>
      </c>
    </row>
    <row r="119">
      <c r="A119" s="1" t="n"/>
      <c r="B119" s="21" t="n"/>
      <c r="C119" s="24" t="n"/>
      <c r="D119" s="24" t="n"/>
      <c r="E119" s="24" t="n"/>
      <c r="F119" s="24" t="n"/>
      <c r="G119" s="24" t="n"/>
      <c r="H119" s="24" t="n"/>
      <c r="I119" s="26" t="n"/>
      <c r="J119" s="1" t="n"/>
      <c r="K119" s="1" t="n"/>
      <c r="L119" s="1" t="n"/>
      <c r="M119" s="1" t="n"/>
      <c r="N119" s="1" t="n"/>
      <c r="P119">
        <f>IF(OR(B119="",C119=""),"",B119+ROW()/10000000)</f>
        <v/>
      </c>
    </row>
    <row r="120">
      <c r="A120" s="1" t="n"/>
      <c r="B120" s="21" t="n"/>
      <c r="C120" s="24" t="n"/>
      <c r="D120" s="24" t="n"/>
      <c r="E120" s="24" t="n"/>
      <c r="F120" s="24" t="n"/>
      <c r="G120" s="24" t="n"/>
      <c r="H120" s="24" t="n"/>
      <c r="I120" s="26" t="n"/>
      <c r="J120" s="1" t="n"/>
      <c r="K120" s="1" t="n"/>
      <c r="L120" s="1" t="n"/>
      <c r="M120" s="1" t="n"/>
      <c r="N120" s="1" t="n"/>
      <c r="P120">
        <f>IF(OR(B120="",C120=""),"",B120+ROW()/10000000)</f>
        <v/>
      </c>
    </row>
    <row r="121">
      <c r="A121" s="1" t="n"/>
      <c r="B121" s="21" t="n"/>
      <c r="C121" s="24" t="n"/>
      <c r="D121" s="24" t="n"/>
      <c r="E121" s="24" t="n"/>
      <c r="F121" s="24" t="n"/>
      <c r="G121" s="24" t="n"/>
      <c r="H121" s="24" t="n"/>
      <c r="I121" s="26" t="n"/>
      <c r="J121" s="1" t="n"/>
      <c r="K121" s="1" t="n"/>
      <c r="L121" s="1" t="n"/>
      <c r="M121" s="1" t="n"/>
      <c r="N121" s="1" t="n"/>
      <c r="P121">
        <f>IF(OR(B121="",C121=""),"",B121+ROW()/10000000)</f>
        <v/>
      </c>
    </row>
    <row r="122">
      <c r="A122" s="1" t="n"/>
      <c r="B122" s="21" t="n"/>
      <c r="C122" s="24" t="n"/>
      <c r="D122" s="24" t="n"/>
      <c r="E122" s="24" t="n"/>
      <c r="F122" s="24" t="n"/>
      <c r="G122" s="24" t="n"/>
      <c r="H122" s="24" t="n"/>
      <c r="I122" s="26" t="n"/>
      <c r="J122" s="1" t="n"/>
      <c r="K122" s="1" t="n"/>
      <c r="L122" s="1" t="n"/>
      <c r="M122" s="1" t="n"/>
      <c r="N122" s="1" t="n"/>
      <c r="P122">
        <f>IF(OR(B122="",C122=""),"",B122+ROW()/10000000)</f>
        <v/>
      </c>
    </row>
    <row r="123">
      <c r="A123" s="1" t="n"/>
      <c r="B123" s="21" t="n"/>
      <c r="C123" s="24" t="n"/>
      <c r="D123" s="24" t="n"/>
      <c r="E123" s="24" t="n"/>
      <c r="F123" s="24" t="n"/>
      <c r="G123" s="24" t="n"/>
      <c r="H123" s="24" t="n"/>
      <c r="I123" s="26" t="n"/>
      <c r="J123" s="1" t="n"/>
      <c r="K123" s="1" t="n"/>
      <c r="L123" s="1" t="n"/>
      <c r="M123" s="1" t="n"/>
      <c r="N123" s="1" t="n"/>
      <c r="P123">
        <f>IF(OR(B123="",C123=""),"",B123+ROW()/10000000)</f>
        <v/>
      </c>
    </row>
    <row r="124">
      <c r="A124" s="1" t="n"/>
      <c r="B124" s="21" t="n"/>
      <c r="C124" s="24" t="n"/>
      <c r="D124" s="24" t="n"/>
      <c r="E124" s="24" t="n"/>
      <c r="F124" s="24" t="n"/>
      <c r="G124" s="24" t="n"/>
      <c r="H124" s="24" t="n"/>
      <c r="I124" s="26" t="n"/>
      <c r="J124" s="1" t="n"/>
      <c r="K124" s="1" t="n"/>
      <c r="L124" s="1" t="n"/>
      <c r="M124" s="1" t="n"/>
      <c r="N124" s="1" t="n"/>
      <c r="P124">
        <f>IF(OR(B124="",C124=""),"",B124+ROW()/10000000)</f>
        <v/>
      </c>
    </row>
    <row r="125">
      <c r="A125" s="1" t="n"/>
      <c r="B125" s="21" t="n"/>
      <c r="C125" s="24" t="n"/>
      <c r="D125" s="24" t="n"/>
      <c r="E125" s="24" t="n"/>
      <c r="F125" s="24" t="n"/>
      <c r="G125" s="24" t="n"/>
      <c r="H125" s="24" t="n"/>
      <c r="I125" s="26" t="n"/>
      <c r="J125" s="1" t="n"/>
      <c r="K125" s="1" t="n"/>
      <c r="L125" s="1" t="n"/>
      <c r="M125" s="1" t="n"/>
      <c r="N125" s="1" t="n"/>
      <c r="P125">
        <f>IF(OR(B125="",C125=""),"",B125+ROW()/10000000)</f>
        <v/>
      </c>
    </row>
    <row r="126">
      <c r="A126" s="1" t="n"/>
      <c r="B126" s="21" t="n"/>
      <c r="C126" s="24" t="n"/>
      <c r="D126" s="24" t="n"/>
      <c r="E126" s="24" t="n"/>
      <c r="F126" s="24" t="n"/>
      <c r="G126" s="24" t="n"/>
      <c r="H126" s="24" t="n"/>
      <c r="I126" s="26" t="n"/>
      <c r="J126" s="1" t="n"/>
      <c r="K126" s="1" t="n"/>
      <c r="L126" s="1" t="n"/>
      <c r="M126" s="1" t="n"/>
      <c r="N126" s="1" t="n"/>
      <c r="P126">
        <f>IF(OR(B126="",C126=""),"",B126+ROW()/10000000)</f>
        <v/>
      </c>
    </row>
    <row r="127">
      <c r="A127" s="1" t="n"/>
      <c r="B127" s="21" t="n"/>
      <c r="C127" s="24" t="n"/>
      <c r="D127" s="24" t="n"/>
      <c r="E127" s="24" t="n"/>
      <c r="F127" s="24" t="n"/>
      <c r="G127" s="24" t="n"/>
      <c r="H127" s="24" t="n"/>
      <c r="I127" s="26" t="n"/>
      <c r="J127" s="1" t="n"/>
      <c r="K127" s="1" t="n"/>
      <c r="L127" s="1" t="n"/>
      <c r="M127" s="1" t="n"/>
      <c r="N127" s="1" t="n"/>
      <c r="P127">
        <f>IF(OR(B127="",C127=""),"",B127+ROW()/10000000)</f>
        <v/>
      </c>
    </row>
    <row r="128">
      <c r="A128" s="1" t="n"/>
      <c r="B128" s="21" t="n"/>
      <c r="C128" s="24" t="n"/>
      <c r="D128" s="24" t="n"/>
      <c r="E128" s="24" t="n"/>
      <c r="F128" s="24" t="n"/>
      <c r="G128" s="24" t="n"/>
      <c r="H128" s="24" t="n"/>
      <c r="I128" s="26" t="n"/>
      <c r="J128" s="1" t="n"/>
      <c r="K128" s="1" t="n"/>
      <c r="L128" s="1" t="n"/>
      <c r="M128" s="1" t="n"/>
      <c r="N128" s="1" t="n"/>
      <c r="P128">
        <f>IF(OR(B128="",C128=""),"",B128+ROW()/10000000)</f>
        <v/>
      </c>
    </row>
    <row r="129">
      <c r="A129" s="1" t="n"/>
      <c r="B129" s="21" t="n"/>
      <c r="C129" s="24" t="n"/>
      <c r="D129" s="24" t="n"/>
      <c r="E129" s="24" t="n"/>
      <c r="F129" s="24" t="n"/>
      <c r="G129" s="24" t="n"/>
      <c r="H129" s="24" t="n"/>
      <c r="I129" s="26" t="n"/>
      <c r="J129" s="1" t="n"/>
      <c r="K129" s="1" t="n"/>
      <c r="L129" s="1" t="n"/>
      <c r="M129" s="1" t="n"/>
      <c r="N129" s="1" t="n"/>
      <c r="P129">
        <f>IF(OR(B129="",C129=""),"",B129+ROW()/10000000)</f>
        <v/>
      </c>
    </row>
    <row r="130">
      <c r="A130" s="1" t="n"/>
      <c r="B130" s="21" t="n"/>
      <c r="C130" s="24" t="n"/>
      <c r="D130" s="24" t="n"/>
      <c r="E130" s="24" t="n"/>
      <c r="F130" s="24" t="n"/>
      <c r="G130" s="24" t="n"/>
      <c r="H130" s="24" t="n"/>
      <c r="I130" s="26" t="n"/>
      <c r="J130" s="1" t="n"/>
      <c r="K130" s="1" t="n"/>
      <c r="L130" s="1" t="n"/>
      <c r="M130" s="1" t="n"/>
      <c r="N130" s="1" t="n"/>
      <c r="P130">
        <f>IF(OR(B130="",C130=""),"",B130+ROW()/10000000)</f>
        <v/>
      </c>
    </row>
    <row r="131">
      <c r="A131" s="1" t="n"/>
      <c r="B131" s="21" t="n"/>
      <c r="C131" s="24" t="n"/>
      <c r="D131" s="24" t="n"/>
      <c r="E131" s="24" t="n"/>
      <c r="F131" s="24" t="n"/>
      <c r="G131" s="24" t="n"/>
      <c r="H131" s="24" t="n"/>
      <c r="I131" s="26" t="n"/>
      <c r="J131" s="1" t="n"/>
      <c r="K131" s="1" t="n"/>
      <c r="L131" s="1" t="n"/>
      <c r="M131" s="1" t="n"/>
      <c r="N131" s="1" t="n"/>
      <c r="P131">
        <f>IF(OR(B131="",C131=""),"",B131+ROW()/10000000)</f>
        <v/>
      </c>
    </row>
    <row r="132">
      <c r="A132" s="1" t="n"/>
      <c r="B132" s="21" t="n"/>
      <c r="C132" s="24" t="n"/>
      <c r="D132" s="24" t="n"/>
      <c r="E132" s="24" t="n"/>
      <c r="F132" s="24" t="n"/>
      <c r="G132" s="24" t="n"/>
      <c r="H132" s="24" t="n"/>
      <c r="I132" s="26" t="n"/>
      <c r="J132" s="1" t="n"/>
      <c r="K132" s="1" t="n"/>
      <c r="L132" s="1" t="n"/>
      <c r="M132" s="1" t="n"/>
      <c r="N132" s="1" t="n"/>
      <c r="P132">
        <f>IF(OR(B132="",C132=""),"",B132+ROW()/10000000)</f>
        <v/>
      </c>
    </row>
    <row r="133">
      <c r="A133" s="1" t="n"/>
      <c r="B133" s="21" t="n"/>
      <c r="C133" s="24" t="n"/>
      <c r="D133" s="24" t="n"/>
      <c r="E133" s="24" t="n"/>
      <c r="F133" s="24" t="n"/>
      <c r="G133" s="24" t="n"/>
      <c r="H133" s="24" t="n"/>
      <c r="I133" s="26" t="n"/>
      <c r="J133" s="1" t="n"/>
      <c r="K133" s="1" t="n"/>
      <c r="L133" s="1" t="n"/>
      <c r="M133" s="1" t="n"/>
      <c r="N133" s="1" t="n"/>
      <c r="P133">
        <f>IF(OR(B133="",C133=""),"",B133+ROW()/10000000)</f>
        <v/>
      </c>
    </row>
    <row r="134">
      <c r="A134" s="1" t="n"/>
      <c r="B134" s="21" t="n"/>
      <c r="C134" s="24" t="n"/>
      <c r="D134" s="24" t="n"/>
      <c r="E134" s="24" t="n"/>
      <c r="F134" s="24" t="n"/>
      <c r="G134" s="24" t="n"/>
      <c r="H134" s="24" t="n"/>
      <c r="I134" s="26" t="n"/>
      <c r="J134" s="1" t="n"/>
      <c r="K134" s="1" t="n"/>
      <c r="L134" s="1" t="n"/>
      <c r="M134" s="1" t="n"/>
      <c r="N134" s="1" t="n"/>
      <c r="P134">
        <f>IF(OR(B134="",C134=""),"",B134+ROW()/10000000)</f>
        <v/>
      </c>
    </row>
    <row r="135">
      <c r="A135" s="1" t="n"/>
      <c r="B135" s="21" t="n"/>
      <c r="C135" s="24" t="n"/>
      <c r="D135" s="24" t="n"/>
      <c r="E135" s="24" t="n"/>
      <c r="F135" s="24" t="n"/>
      <c r="G135" s="24" t="n"/>
      <c r="H135" s="24" t="n"/>
      <c r="I135" s="26" t="n"/>
      <c r="J135" s="1" t="n"/>
      <c r="K135" s="1" t="n"/>
      <c r="L135" s="1" t="n"/>
      <c r="M135" s="1" t="n"/>
      <c r="N135" s="1" t="n"/>
      <c r="P135">
        <f>IF(OR(B135="",C135=""),"",B135+ROW()/10000000)</f>
        <v/>
      </c>
    </row>
    <row r="136">
      <c r="A136" s="1" t="n"/>
      <c r="B136" s="21" t="n"/>
      <c r="C136" s="24" t="n"/>
      <c r="D136" s="24" t="n"/>
      <c r="E136" s="24" t="n"/>
      <c r="F136" s="24" t="n"/>
      <c r="G136" s="24" t="n"/>
      <c r="H136" s="24" t="n"/>
      <c r="I136" s="26" t="n"/>
      <c r="J136" s="1" t="n"/>
      <c r="K136" s="1" t="n"/>
      <c r="L136" s="1" t="n"/>
      <c r="M136" s="1" t="n"/>
      <c r="N136" s="1" t="n"/>
      <c r="P136">
        <f>IF(OR(B136="",C136=""),"",B136+ROW()/10000000)</f>
        <v/>
      </c>
    </row>
    <row r="137">
      <c r="A137" s="1" t="n"/>
      <c r="B137" s="21" t="n"/>
      <c r="C137" s="24" t="n"/>
      <c r="D137" s="24" t="n"/>
      <c r="E137" s="24" t="n"/>
      <c r="F137" s="24" t="n"/>
      <c r="G137" s="24" t="n"/>
      <c r="H137" s="24" t="n"/>
      <c r="I137" s="26" t="n"/>
      <c r="J137" s="1" t="n"/>
      <c r="K137" s="1" t="n"/>
      <c r="L137" s="1" t="n"/>
      <c r="M137" s="1" t="n"/>
      <c r="N137" s="1" t="n"/>
      <c r="P137">
        <f>IF(OR(B137="",C137=""),"",B137+ROW()/10000000)</f>
        <v/>
      </c>
    </row>
    <row r="138">
      <c r="A138" s="1" t="n"/>
      <c r="B138" s="21" t="n"/>
      <c r="C138" s="24" t="n"/>
      <c r="D138" s="24" t="n"/>
      <c r="E138" s="24" t="n"/>
      <c r="F138" s="24" t="n"/>
      <c r="G138" s="24" t="n"/>
      <c r="H138" s="24" t="n"/>
      <c r="I138" s="26" t="n"/>
      <c r="J138" s="1" t="n"/>
      <c r="K138" s="1" t="n"/>
      <c r="L138" s="1" t="n"/>
      <c r="M138" s="1" t="n"/>
      <c r="N138" s="1" t="n"/>
      <c r="P138">
        <f>IF(OR(B138="",C138=""),"",B138+ROW()/10000000)</f>
        <v/>
      </c>
    </row>
    <row r="139">
      <c r="A139" s="1" t="n"/>
      <c r="B139" s="21" t="n"/>
      <c r="C139" s="24" t="n"/>
      <c r="D139" s="24" t="n"/>
      <c r="E139" s="24" t="n"/>
      <c r="F139" s="24" t="n"/>
      <c r="G139" s="24" t="n"/>
      <c r="H139" s="24" t="n"/>
      <c r="I139" s="26" t="n"/>
      <c r="J139" s="1" t="n"/>
      <c r="K139" s="1" t="n"/>
      <c r="L139" s="1" t="n"/>
      <c r="M139" s="1" t="n"/>
      <c r="N139" s="1" t="n"/>
      <c r="P139">
        <f>IF(OR(B139="",C139=""),"",B139+ROW()/10000000)</f>
        <v/>
      </c>
    </row>
    <row r="140">
      <c r="A140" s="1" t="n"/>
      <c r="B140" s="21" t="n"/>
      <c r="C140" s="24" t="n"/>
      <c r="D140" s="24" t="n"/>
      <c r="E140" s="24" t="n"/>
      <c r="F140" s="24" t="n"/>
      <c r="G140" s="24" t="n"/>
      <c r="H140" s="24" t="n"/>
      <c r="I140" s="26" t="n"/>
      <c r="J140" s="1" t="n"/>
      <c r="K140" s="1" t="n"/>
      <c r="L140" s="1" t="n"/>
      <c r="M140" s="1" t="n"/>
      <c r="N140" s="1" t="n"/>
      <c r="P140">
        <f>IF(OR(B140="",C140=""),"",B140+ROW()/10000000)</f>
        <v/>
      </c>
    </row>
    <row r="141">
      <c r="A141" s="1" t="n"/>
      <c r="B141" s="21" t="n"/>
      <c r="C141" s="24" t="n"/>
      <c r="D141" s="24" t="n"/>
      <c r="E141" s="24" t="n"/>
      <c r="F141" s="24" t="n"/>
      <c r="G141" s="24" t="n"/>
      <c r="H141" s="24" t="n"/>
      <c r="I141" s="26" t="n"/>
      <c r="J141" s="1" t="n"/>
      <c r="K141" s="1" t="n"/>
      <c r="L141" s="1" t="n"/>
      <c r="M141" s="1" t="n"/>
      <c r="N141" s="1" t="n"/>
      <c r="P141">
        <f>IF(OR(B141="",C141=""),"",B141+ROW()/10000000)</f>
        <v/>
      </c>
    </row>
    <row r="142">
      <c r="A142" s="1" t="n"/>
      <c r="B142" s="21" t="n"/>
      <c r="C142" s="24" t="n"/>
      <c r="D142" s="24" t="n"/>
      <c r="E142" s="24" t="n"/>
      <c r="F142" s="24" t="n"/>
      <c r="G142" s="24" t="n"/>
      <c r="H142" s="24" t="n"/>
      <c r="I142" s="26" t="n"/>
      <c r="J142" s="1" t="n"/>
      <c r="K142" s="1" t="n"/>
      <c r="L142" s="1" t="n"/>
      <c r="M142" s="1" t="n"/>
      <c r="N142" s="1" t="n"/>
      <c r="P142">
        <f>IF(OR(B142="",C142=""),"",B142+ROW()/10000000)</f>
        <v/>
      </c>
    </row>
    <row r="143">
      <c r="A143" s="1" t="n"/>
      <c r="B143" s="21" t="n"/>
      <c r="C143" s="24" t="n"/>
      <c r="D143" s="24" t="n"/>
      <c r="E143" s="24" t="n"/>
      <c r="F143" s="24" t="n"/>
      <c r="G143" s="24" t="n"/>
      <c r="H143" s="24" t="n"/>
      <c r="I143" s="26" t="n"/>
      <c r="J143" s="1" t="n"/>
      <c r="K143" s="1" t="n"/>
      <c r="L143" s="1" t="n"/>
      <c r="M143" s="1" t="n"/>
      <c r="N143" s="1" t="n"/>
      <c r="P143">
        <f>IF(OR(B143="",C143=""),"",B143+ROW()/10000000)</f>
        <v/>
      </c>
    </row>
    <row r="144">
      <c r="A144" s="1" t="n"/>
      <c r="B144" s="21" t="n"/>
      <c r="C144" s="24" t="n"/>
      <c r="D144" s="24" t="n"/>
      <c r="E144" s="24" t="n"/>
      <c r="F144" s="24" t="n"/>
      <c r="G144" s="24" t="n"/>
      <c r="H144" s="24" t="n"/>
      <c r="I144" s="26" t="n"/>
      <c r="J144" s="1" t="n"/>
      <c r="K144" s="1" t="n"/>
      <c r="L144" s="1" t="n"/>
      <c r="M144" s="1" t="n"/>
      <c r="N144" s="1" t="n"/>
      <c r="P144">
        <f>IF(OR(B144="",C144=""),"",B144+ROW()/10000000)</f>
        <v/>
      </c>
    </row>
    <row r="145">
      <c r="A145" s="1" t="n"/>
      <c r="B145" s="21" t="n"/>
      <c r="C145" s="24" t="n"/>
      <c r="D145" s="24" t="n"/>
      <c r="E145" s="24" t="n"/>
      <c r="F145" s="24" t="n"/>
      <c r="G145" s="24" t="n"/>
      <c r="H145" s="24" t="n"/>
      <c r="I145" s="26" t="n"/>
      <c r="J145" s="1" t="n"/>
      <c r="K145" s="1" t="n"/>
      <c r="L145" s="1" t="n"/>
      <c r="M145" s="1" t="n"/>
      <c r="N145" s="1" t="n"/>
      <c r="P145">
        <f>IF(OR(B145="",C145=""),"",B145+ROW()/10000000)</f>
        <v/>
      </c>
    </row>
    <row r="146">
      <c r="A146" s="1" t="n"/>
      <c r="B146" s="21" t="n"/>
      <c r="C146" s="24" t="n"/>
      <c r="D146" s="24" t="n"/>
      <c r="E146" s="24" t="n"/>
      <c r="F146" s="24" t="n"/>
      <c r="G146" s="24" t="n"/>
      <c r="H146" s="24" t="n"/>
      <c r="I146" s="26" t="n"/>
      <c r="J146" s="1" t="n"/>
      <c r="K146" s="1" t="n"/>
      <c r="L146" s="1" t="n"/>
      <c r="M146" s="1" t="n"/>
      <c r="N146" s="1" t="n"/>
      <c r="P146">
        <f>IF(OR(B146="",C146=""),"",B146+ROW()/10000000)</f>
        <v/>
      </c>
    </row>
    <row r="147">
      <c r="A147" s="1" t="n"/>
      <c r="B147" s="21" t="n"/>
      <c r="C147" s="24" t="n"/>
      <c r="D147" s="24" t="n"/>
      <c r="E147" s="24" t="n"/>
      <c r="F147" s="24" t="n"/>
      <c r="G147" s="24" t="n"/>
      <c r="H147" s="24" t="n"/>
      <c r="I147" s="26" t="n"/>
      <c r="J147" s="1" t="n"/>
      <c r="K147" s="1" t="n"/>
      <c r="L147" s="1" t="n"/>
      <c r="M147" s="1" t="n"/>
      <c r="N147" s="1" t="n"/>
      <c r="P147">
        <f>IF(OR(B147="",C147=""),"",B147+ROW()/10000000)</f>
        <v/>
      </c>
    </row>
    <row r="148">
      <c r="A148" s="1" t="n"/>
      <c r="B148" s="21" t="n"/>
      <c r="C148" s="24" t="n"/>
      <c r="D148" s="24" t="n"/>
      <c r="E148" s="24" t="n"/>
      <c r="F148" s="24" t="n"/>
      <c r="G148" s="24" t="n"/>
      <c r="H148" s="24" t="n"/>
      <c r="I148" s="26" t="n"/>
      <c r="J148" s="1" t="n"/>
      <c r="K148" s="1" t="n"/>
      <c r="L148" s="1" t="n"/>
      <c r="M148" s="1" t="n"/>
      <c r="N148" s="1" t="n"/>
      <c r="P148">
        <f>IF(OR(B148="",C148=""),"",B148+ROW()/10000000)</f>
        <v/>
      </c>
    </row>
    <row r="149">
      <c r="A149" s="1" t="n"/>
      <c r="B149" s="21" t="n"/>
      <c r="C149" s="24" t="n"/>
      <c r="D149" s="24" t="n"/>
      <c r="E149" s="24" t="n"/>
      <c r="F149" s="24" t="n"/>
      <c r="G149" s="24" t="n"/>
      <c r="H149" s="24" t="n"/>
      <c r="I149" s="26" t="n"/>
      <c r="J149" s="1" t="n"/>
      <c r="K149" s="1" t="n"/>
      <c r="L149" s="1" t="n"/>
      <c r="M149" s="1" t="n"/>
      <c r="N149" s="1" t="n"/>
      <c r="P149">
        <f>IF(OR(B149="",C149=""),"",B149+ROW()/10000000)</f>
        <v/>
      </c>
    </row>
    <row r="150">
      <c r="A150" s="1" t="n"/>
      <c r="B150" s="21" t="n"/>
      <c r="C150" s="24" t="n"/>
      <c r="D150" s="24" t="n"/>
      <c r="E150" s="24" t="n"/>
      <c r="F150" s="24" t="n"/>
      <c r="G150" s="24" t="n"/>
      <c r="H150" s="24" t="n"/>
      <c r="I150" s="26" t="n"/>
      <c r="J150" s="1" t="n"/>
      <c r="K150" s="1" t="n"/>
      <c r="L150" s="1" t="n"/>
      <c r="M150" s="1" t="n"/>
      <c r="N150" s="1" t="n"/>
      <c r="P150">
        <f>IF(OR(B150="",C150=""),"",B150+ROW()/10000000)</f>
        <v/>
      </c>
    </row>
    <row r="151">
      <c r="A151" s="1" t="n"/>
      <c r="B151" s="21" t="n"/>
      <c r="C151" s="24" t="n"/>
      <c r="D151" s="24" t="n"/>
      <c r="E151" s="24" t="n"/>
      <c r="F151" s="24" t="n"/>
      <c r="G151" s="24" t="n"/>
      <c r="H151" s="24" t="n"/>
      <c r="I151" s="26" t="n"/>
      <c r="J151" s="1" t="n"/>
      <c r="K151" s="1" t="n"/>
      <c r="L151" s="1" t="n"/>
      <c r="M151" s="1" t="n"/>
      <c r="N151" s="1" t="n"/>
      <c r="P151">
        <f>IF(OR(B151="",C151=""),"",B151+ROW()/10000000)</f>
        <v/>
      </c>
    </row>
    <row r="152">
      <c r="A152" s="1" t="n"/>
      <c r="B152" s="21" t="n"/>
      <c r="C152" s="24" t="n"/>
      <c r="D152" s="24" t="n"/>
      <c r="E152" s="24" t="n"/>
      <c r="F152" s="24" t="n"/>
      <c r="G152" s="24" t="n"/>
      <c r="H152" s="24" t="n"/>
      <c r="I152" s="26" t="n"/>
      <c r="J152" s="1" t="n"/>
      <c r="K152" s="1" t="n"/>
      <c r="L152" s="1" t="n"/>
      <c r="M152" s="1" t="n"/>
      <c r="N152" s="1" t="n"/>
      <c r="P152">
        <f>IF(OR(B152="",C152=""),"",B152+ROW()/10000000)</f>
        <v/>
      </c>
    </row>
    <row r="153">
      <c r="A153" s="1" t="n"/>
      <c r="B153" s="21" t="n"/>
      <c r="C153" s="24" t="n"/>
      <c r="D153" s="24" t="n"/>
      <c r="E153" s="24" t="n"/>
      <c r="F153" s="24" t="n"/>
      <c r="G153" s="24" t="n"/>
      <c r="H153" s="24" t="n"/>
      <c r="I153" s="26" t="n"/>
      <c r="J153" s="1" t="n"/>
      <c r="K153" s="1" t="n"/>
      <c r="L153" s="1" t="n"/>
      <c r="M153" s="1" t="n"/>
      <c r="N153" s="1" t="n"/>
      <c r="P153">
        <f>IF(OR(B153="",C153=""),"",B153+ROW()/10000000)</f>
        <v/>
      </c>
    </row>
    <row r="154">
      <c r="A154" s="1" t="n"/>
      <c r="B154" s="21" t="n"/>
      <c r="C154" s="24" t="n"/>
      <c r="D154" s="24" t="n"/>
      <c r="E154" s="24" t="n"/>
      <c r="F154" s="24" t="n"/>
      <c r="G154" s="24" t="n"/>
      <c r="H154" s="24" t="n"/>
      <c r="I154" s="26" t="n"/>
      <c r="J154" s="1" t="n"/>
      <c r="K154" s="1" t="n"/>
      <c r="L154" s="1" t="n"/>
      <c r="M154" s="1" t="n"/>
      <c r="N154" s="1" t="n"/>
      <c r="P154">
        <f>IF(OR(B154="",C154=""),"",B154+ROW()/10000000)</f>
        <v/>
      </c>
    </row>
    <row r="155">
      <c r="A155" s="1" t="n"/>
      <c r="B155" s="21" t="n"/>
      <c r="C155" s="24" t="n"/>
      <c r="D155" s="24" t="n"/>
      <c r="E155" s="24" t="n"/>
      <c r="F155" s="24" t="n"/>
      <c r="G155" s="24" t="n"/>
      <c r="H155" s="24" t="n"/>
      <c r="I155" s="26" t="n"/>
      <c r="J155" s="1" t="n"/>
      <c r="K155" s="1" t="n"/>
      <c r="L155" s="1" t="n"/>
      <c r="M155" s="1" t="n"/>
      <c r="N155" s="1" t="n"/>
      <c r="P155">
        <f>IF(OR(B155="",C155=""),"",B155+ROW()/10000000)</f>
        <v/>
      </c>
    </row>
    <row r="156">
      <c r="A156" s="1" t="n"/>
      <c r="B156" s="21" t="n"/>
      <c r="C156" s="24" t="n"/>
      <c r="D156" s="24" t="n"/>
      <c r="E156" s="24" t="n"/>
      <c r="F156" s="24" t="n"/>
      <c r="G156" s="24" t="n"/>
      <c r="H156" s="24" t="n"/>
      <c r="I156" s="26" t="n"/>
      <c r="J156" s="1" t="n"/>
      <c r="K156" s="1" t="n"/>
      <c r="L156" s="1" t="n"/>
      <c r="M156" s="1" t="n"/>
      <c r="N156" s="1" t="n"/>
      <c r="P156">
        <f>IF(OR(B156="",C156=""),"",B156+ROW()/10000000)</f>
        <v/>
      </c>
    </row>
    <row r="157">
      <c r="A157" s="1" t="n"/>
      <c r="B157" s="21" t="n"/>
      <c r="C157" s="24" t="n"/>
      <c r="D157" s="24" t="n"/>
      <c r="E157" s="24" t="n"/>
      <c r="F157" s="24" t="n"/>
      <c r="G157" s="24" t="n"/>
      <c r="H157" s="24" t="n"/>
      <c r="I157" s="26" t="n"/>
      <c r="J157" s="1" t="n"/>
      <c r="K157" s="1" t="n"/>
      <c r="L157" s="1" t="n"/>
      <c r="M157" s="1" t="n"/>
      <c r="N157" s="1" t="n"/>
      <c r="P157">
        <f>IF(OR(B157="",C157=""),"",B157+ROW()/10000000)</f>
        <v/>
      </c>
    </row>
    <row r="158">
      <c r="A158" s="1" t="n"/>
      <c r="B158" s="21" t="n"/>
      <c r="C158" s="24" t="n"/>
      <c r="D158" s="24" t="n"/>
      <c r="E158" s="24" t="n"/>
      <c r="F158" s="24" t="n"/>
      <c r="G158" s="24" t="n"/>
      <c r="H158" s="24" t="n"/>
      <c r="I158" s="26" t="n"/>
      <c r="J158" s="1" t="n"/>
      <c r="K158" s="1" t="n"/>
      <c r="L158" s="1" t="n"/>
      <c r="M158" s="1" t="n"/>
      <c r="N158" s="1" t="n"/>
      <c r="P158">
        <f>IF(OR(B158="",C158=""),"",B158+ROW()/10000000)</f>
        <v/>
      </c>
    </row>
    <row r="159">
      <c r="A159" s="1" t="n"/>
      <c r="B159" s="21" t="n"/>
      <c r="C159" s="24" t="n"/>
      <c r="D159" s="24" t="n"/>
      <c r="E159" s="24" t="n"/>
      <c r="F159" s="24" t="n"/>
      <c r="G159" s="24" t="n"/>
      <c r="H159" s="24" t="n"/>
      <c r="I159" s="26" t="n"/>
      <c r="J159" s="1" t="n"/>
      <c r="K159" s="1" t="n"/>
      <c r="L159" s="1" t="n"/>
      <c r="M159" s="1" t="n"/>
      <c r="N159" s="1" t="n"/>
      <c r="P159">
        <f>IF(OR(B159="",C159=""),"",B159+ROW()/10000000)</f>
        <v/>
      </c>
    </row>
    <row r="160">
      <c r="A160" s="1" t="n"/>
      <c r="B160" s="21" t="n"/>
      <c r="C160" s="24" t="n"/>
      <c r="D160" s="24" t="n"/>
      <c r="E160" s="24" t="n"/>
      <c r="F160" s="24" t="n"/>
      <c r="G160" s="24" t="n"/>
      <c r="H160" s="24" t="n"/>
      <c r="I160" s="26" t="n"/>
      <c r="J160" s="1" t="n"/>
      <c r="K160" s="1" t="n"/>
      <c r="L160" s="1" t="n"/>
      <c r="M160" s="1" t="n"/>
      <c r="N160" s="1" t="n"/>
      <c r="P160">
        <f>IF(OR(B160="",C160=""),"",B160+ROW()/10000000)</f>
        <v/>
      </c>
    </row>
    <row r="161">
      <c r="A161" s="1" t="n"/>
      <c r="B161" s="21" t="n"/>
      <c r="C161" s="24" t="n"/>
      <c r="D161" s="24" t="n"/>
      <c r="E161" s="24" t="n"/>
      <c r="F161" s="24" t="n"/>
      <c r="G161" s="24" t="n"/>
      <c r="H161" s="24" t="n"/>
      <c r="I161" s="26" t="n"/>
      <c r="J161" s="1" t="n"/>
      <c r="K161" s="1" t="n"/>
      <c r="L161" s="1" t="n"/>
      <c r="M161" s="1" t="n"/>
      <c r="N161" s="1" t="n"/>
      <c r="P161">
        <f>IF(OR(B161="",C161=""),"",B161+ROW()/10000000)</f>
        <v/>
      </c>
    </row>
    <row r="162">
      <c r="A162" s="1" t="n"/>
      <c r="B162" s="21" t="n"/>
      <c r="C162" s="24" t="n"/>
      <c r="D162" s="24" t="n"/>
      <c r="E162" s="24" t="n"/>
      <c r="F162" s="24" t="n"/>
      <c r="G162" s="24" t="n"/>
      <c r="H162" s="24" t="n"/>
      <c r="I162" s="26" t="n"/>
      <c r="J162" s="1" t="n"/>
      <c r="K162" s="1" t="n"/>
      <c r="L162" s="1" t="n"/>
      <c r="M162" s="1" t="n"/>
      <c r="N162" s="1" t="n"/>
      <c r="P162">
        <f>IF(OR(B162="",C162=""),"",B162+ROW()/10000000)</f>
        <v/>
      </c>
    </row>
    <row r="163">
      <c r="A163" s="1" t="n"/>
      <c r="B163" s="21" t="n"/>
      <c r="C163" s="24" t="n"/>
      <c r="D163" s="24" t="n"/>
      <c r="E163" s="24" t="n"/>
      <c r="F163" s="24" t="n"/>
      <c r="G163" s="24" t="n"/>
      <c r="H163" s="24" t="n"/>
      <c r="I163" s="26" t="n"/>
      <c r="J163" s="1" t="n"/>
      <c r="K163" s="1" t="n"/>
      <c r="L163" s="1" t="n"/>
      <c r="M163" s="1" t="n"/>
      <c r="N163" s="1" t="n"/>
      <c r="P163">
        <f>IF(OR(B163="",C163=""),"",B163+ROW()/10000000)</f>
        <v/>
      </c>
    </row>
    <row r="164">
      <c r="A164" s="1" t="n"/>
      <c r="B164" s="21" t="n"/>
      <c r="C164" s="24" t="n"/>
      <c r="D164" s="24" t="n"/>
      <c r="E164" s="24" t="n"/>
      <c r="F164" s="24" t="n"/>
      <c r="G164" s="24" t="n"/>
      <c r="H164" s="24" t="n"/>
      <c r="I164" s="26" t="n"/>
      <c r="J164" s="1" t="n"/>
      <c r="K164" s="1" t="n"/>
      <c r="L164" s="1" t="n"/>
      <c r="M164" s="1" t="n"/>
      <c r="N164" s="1" t="n"/>
      <c r="P164">
        <f>IF(OR(B164="",C164=""),"",B164+ROW()/10000000)</f>
        <v/>
      </c>
    </row>
    <row r="165">
      <c r="A165" s="1" t="n"/>
      <c r="B165" s="21" t="n"/>
      <c r="C165" s="24" t="n"/>
      <c r="D165" s="24" t="n"/>
      <c r="E165" s="24" t="n"/>
      <c r="F165" s="24" t="n"/>
      <c r="G165" s="24" t="n"/>
      <c r="H165" s="24" t="n"/>
      <c r="I165" s="26" t="n"/>
      <c r="J165" s="1" t="n"/>
      <c r="K165" s="1" t="n"/>
      <c r="L165" s="1" t="n"/>
      <c r="M165" s="1" t="n"/>
      <c r="N165" s="1" t="n"/>
      <c r="P165">
        <f>IF(OR(B165="",C165=""),"",B165+ROW()/10000000)</f>
        <v/>
      </c>
    </row>
    <row r="166">
      <c r="A166" s="1" t="n"/>
      <c r="B166" s="21" t="n"/>
      <c r="C166" s="24" t="n"/>
      <c r="D166" s="24" t="n"/>
      <c r="E166" s="24" t="n"/>
      <c r="F166" s="24" t="n"/>
      <c r="G166" s="24" t="n"/>
      <c r="H166" s="24" t="n"/>
      <c r="I166" s="26" t="n"/>
      <c r="J166" s="1" t="n"/>
      <c r="K166" s="1" t="n"/>
      <c r="L166" s="1" t="n"/>
      <c r="M166" s="1" t="n"/>
      <c r="N166" s="1" t="n"/>
      <c r="P166">
        <f>IF(OR(B166="",C166=""),"",B166+ROW()/10000000)</f>
        <v/>
      </c>
    </row>
    <row r="167">
      <c r="A167" s="1" t="n"/>
      <c r="B167" s="21" t="n"/>
      <c r="C167" s="24" t="n"/>
      <c r="D167" s="24" t="n"/>
      <c r="E167" s="24" t="n"/>
      <c r="F167" s="24" t="n"/>
      <c r="G167" s="24" t="n"/>
      <c r="H167" s="24" t="n"/>
      <c r="I167" s="26" t="n"/>
      <c r="J167" s="1" t="n"/>
      <c r="K167" s="1" t="n"/>
      <c r="L167" s="1" t="n"/>
      <c r="M167" s="1" t="n"/>
      <c r="N167" s="1" t="n"/>
      <c r="P167">
        <f>IF(OR(B167="",C167=""),"",B167+ROW()/10000000)</f>
        <v/>
      </c>
    </row>
    <row r="168">
      <c r="A168" s="1" t="n"/>
      <c r="B168" s="21" t="n"/>
      <c r="C168" s="24" t="n"/>
      <c r="D168" s="24" t="n"/>
      <c r="E168" s="24" t="n"/>
      <c r="F168" s="24" t="n"/>
      <c r="G168" s="24" t="n"/>
      <c r="H168" s="24" t="n"/>
      <c r="I168" s="26" t="n"/>
      <c r="J168" s="1" t="n"/>
      <c r="K168" s="1" t="n"/>
      <c r="L168" s="1" t="n"/>
      <c r="M168" s="1" t="n"/>
      <c r="N168" s="1" t="n"/>
      <c r="P168">
        <f>IF(OR(B168="",C168=""),"",B168+ROW()/10000000)</f>
        <v/>
      </c>
    </row>
    <row r="169">
      <c r="A169" s="1" t="n"/>
      <c r="B169" s="21" t="n"/>
      <c r="C169" s="24" t="n"/>
      <c r="D169" s="24" t="n"/>
      <c r="E169" s="24" t="n"/>
      <c r="F169" s="24" t="n"/>
      <c r="G169" s="24" t="n"/>
      <c r="H169" s="24" t="n"/>
      <c r="I169" s="26" t="n"/>
      <c r="J169" s="1" t="n"/>
      <c r="K169" s="1" t="n"/>
      <c r="L169" s="1" t="n"/>
      <c r="M169" s="1" t="n"/>
      <c r="N169" s="1" t="n"/>
      <c r="P169">
        <f>IF(OR(B169="",C169=""),"",B169+ROW()/10000000)</f>
        <v/>
      </c>
    </row>
    <row r="170">
      <c r="A170" s="1" t="n"/>
      <c r="B170" s="21" t="n"/>
      <c r="C170" s="24" t="n"/>
      <c r="D170" s="24" t="n"/>
      <c r="E170" s="24" t="n"/>
      <c r="F170" s="24" t="n"/>
      <c r="G170" s="24" t="n"/>
      <c r="H170" s="24" t="n"/>
      <c r="I170" s="26" t="n"/>
      <c r="J170" s="1" t="n"/>
      <c r="K170" s="1" t="n"/>
      <c r="L170" s="1" t="n"/>
      <c r="M170" s="1" t="n"/>
      <c r="N170" s="1" t="n"/>
      <c r="P170">
        <f>IF(OR(B170="",C170=""),"",B170+ROW()/10000000)</f>
        <v/>
      </c>
    </row>
    <row r="171">
      <c r="A171" s="1" t="n"/>
      <c r="B171" s="21" t="n"/>
      <c r="C171" s="24" t="n"/>
      <c r="D171" s="24" t="n"/>
      <c r="E171" s="24" t="n"/>
      <c r="F171" s="24" t="n"/>
      <c r="G171" s="24" t="n"/>
      <c r="H171" s="24" t="n"/>
      <c r="I171" s="26" t="n"/>
      <c r="J171" s="1" t="n"/>
      <c r="K171" s="1" t="n"/>
      <c r="L171" s="1" t="n"/>
      <c r="M171" s="1" t="n"/>
      <c r="N171" s="1" t="n"/>
      <c r="P171">
        <f>IF(OR(B171="",C171=""),"",B171+ROW()/10000000)</f>
        <v/>
      </c>
    </row>
    <row r="172">
      <c r="A172" s="1" t="n"/>
      <c r="B172" s="21" t="n"/>
      <c r="C172" s="24" t="n"/>
      <c r="D172" s="24" t="n"/>
      <c r="E172" s="24" t="n"/>
      <c r="F172" s="24" t="n"/>
      <c r="G172" s="24" t="n"/>
      <c r="H172" s="24" t="n"/>
      <c r="I172" s="26" t="n"/>
      <c r="J172" s="1" t="n"/>
      <c r="K172" s="1" t="n"/>
      <c r="L172" s="1" t="n"/>
      <c r="M172" s="1" t="n"/>
      <c r="N172" s="1" t="n"/>
      <c r="P172">
        <f>IF(OR(B172="",C172=""),"",B172+ROW()/10000000)</f>
        <v/>
      </c>
    </row>
    <row r="173">
      <c r="A173" s="1" t="n"/>
      <c r="B173" s="21" t="n"/>
      <c r="C173" s="24" t="n"/>
      <c r="D173" s="24" t="n"/>
      <c r="E173" s="24" t="n"/>
      <c r="F173" s="24" t="n"/>
      <c r="G173" s="24" t="n"/>
      <c r="H173" s="24" t="n"/>
      <c r="I173" s="26" t="n"/>
      <c r="J173" s="1" t="n"/>
      <c r="K173" s="1" t="n"/>
      <c r="L173" s="1" t="n"/>
      <c r="M173" s="1" t="n"/>
      <c r="N173" s="1" t="n"/>
      <c r="P173">
        <f>IF(OR(B173="",C173=""),"",B173+ROW()/10000000)</f>
        <v/>
      </c>
    </row>
    <row r="174">
      <c r="A174" s="1" t="n"/>
      <c r="B174" s="21" t="n"/>
      <c r="C174" s="24" t="n"/>
      <c r="D174" s="24" t="n"/>
      <c r="E174" s="24" t="n"/>
      <c r="F174" s="24" t="n"/>
      <c r="G174" s="24" t="n"/>
      <c r="H174" s="24" t="n"/>
      <c r="I174" s="26" t="n"/>
      <c r="J174" s="1" t="n"/>
      <c r="K174" s="1" t="n"/>
      <c r="L174" s="1" t="n"/>
      <c r="M174" s="1" t="n"/>
      <c r="N174" s="1" t="n"/>
      <c r="P174">
        <f>IF(OR(B174="",C174=""),"",B174+ROW()/10000000)</f>
        <v/>
      </c>
    </row>
    <row r="175">
      <c r="A175" s="1" t="n"/>
      <c r="B175" s="21" t="n"/>
      <c r="C175" s="24" t="n"/>
      <c r="D175" s="24" t="n"/>
      <c r="E175" s="24" t="n"/>
      <c r="F175" s="24" t="n"/>
      <c r="G175" s="24" t="n"/>
      <c r="H175" s="24" t="n"/>
      <c r="I175" s="26" t="n"/>
      <c r="J175" s="1" t="n"/>
      <c r="K175" s="1" t="n"/>
      <c r="L175" s="1" t="n"/>
      <c r="M175" s="1" t="n"/>
      <c r="N175" s="1" t="n"/>
      <c r="P175">
        <f>IF(OR(B175="",C175=""),"",B175+ROW()/10000000)</f>
        <v/>
      </c>
    </row>
    <row r="176">
      <c r="A176" s="1" t="n"/>
      <c r="B176" s="21" t="n"/>
      <c r="C176" s="24" t="n"/>
      <c r="D176" s="24" t="n"/>
      <c r="E176" s="24" t="n"/>
      <c r="F176" s="24" t="n"/>
      <c r="G176" s="24" t="n"/>
      <c r="H176" s="24" t="n"/>
      <c r="I176" s="26" t="n"/>
      <c r="J176" s="1" t="n"/>
      <c r="K176" s="1" t="n"/>
      <c r="L176" s="1" t="n"/>
      <c r="M176" s="1" t="n"/>
      <c r="N176" s="1" t="n"/>
      <c r="P176">
        <f>IF(OR(B176="",C176=""),"",B176+ROW()/10000000)</f>
        <v/>
      </c>
    </row>
    <row r="177">
      <c r="A177" s="1" t="n"/>
      <c r="B177" s="21" t="n"/>
      <c r="C177" s="24" t="n"/>
      <c r="D177" s="24" t="n"/>
      <c r="E177" s="24" t="n"/>
      <c r="F177" s="24" t="n"/>
      <c r="G177" s="24" t="n"/>
      <c r="H177" s="24" t="n"/>
      <c r="I177" s="26" t="n"/>
      <c r="J177" s="1" t="n"/>
      <c r="K177" s="1" t="n"/>
      <c r="L177" s="1" t="n"/>
      <c r="M177" s="1" t="n"/>
      <c r="N177" s="1" t="n"/>
      <c r="P177">
        <f>IF(OR(B177="",C177=""),"",B177+ROW()/10000000)</f>
        <v/>
      </c>
    </row>
    <row r="178">
      <c r="A178" s="1" t="n"/>
      <c r="B178" s="21" t="n"/>
      <c r="C178" s="24" t="n"/>
      <c r="D178" s="24" t="n"/>
      <c r="E178" s="24" t="n"/>
      <c r="F178" s="24" t="n"/>
      <c r="G178" s="24" t="n"/>
      <c r="H178" s="24" t="n"/>
      <c r="I178" s="26" t="n"/>
      <c r="J178" s="1" t="n"/>
      <c r="K178" s="1" t="n"/>
      <c r="L178" s="1" t="n"/>
      <c r="M178" s="1" t="n"/>
      <c r="N178" s="1" t="n"/>
      <c r="P178">
        <f>IF(OR(B178="",C178=""),"",B178+ROW()/10000000)</f>
        <v/>
      </c>
    </row>
    <row r="179">
      <c r="A179" s="1" t="n"/>
      <c r="B179" s="21" t="n"/>
      <c r="C179" s="24" t="n"/>
      <c r="D179" s="24" t="n"/>
      <c r="E179" s="24" t="n"/>
      <c r="F179" s="24" t="n"/>
      <c r="G179" s="24" t="n"/>
      <c r="H179" s="24" t="n"/>
      <c r="I179" s="26" t="n"/>
      <c r="J179" s="1" t="n"/>
      <c r="K179" s="1" t="n"/>
      <c r="L179" s="1" t="n"/>
      <c r="M179" s="1" t="n"/>
      <c r="N179" s="1" t="n"/>
      <c r="P179">
        <f>IF(OR(B179="",C179=""),"",B179+ROW()/10000000)</f>
        <v/>
      </c>
    </row>
    <row r="180">
      <c r="A180" s="1" t="n"/>
      <c r="B180" s="21" t="n"/>
      <c r="C180" s="24" t="n"/>
      <c r="D180" s="24" t="n"/>
      <c r="E180" s="24" t="n"/>
      <c r="F180" s="24" t="n"/>
      <c r="G180" s="24" t="n"/>
      <c r="H180" s="24" t="n"/>
      <c r="I180" s="26" t="n"/>
      <c r="J180" s="1" t="n"/>
      <c r="K180" s="1" t="n"/>
      <c r="L180" s="1" t="n"/>
      <c r="M180" s="1" t="n"/>
      <c r="N180" s="1" t="n"/>
      <c r="P180">
        <f>IF(OR(B180="",C180=""),"",B180+ROW()/10000000)</f>
        <v/>
      </c>
    </row>
    <row r="181">
      <c r="A181" s="1" t="n"/>
      <c r="B181" s="21" t="n"/>
      <c r="C181" s="24" t="n"/>
      <c r="D181" s="24" t="n"/>
      <c r="E181" s="24" t="n"/>
      <c r="F181" s="24" t="n"/>
      <c r="G181" s="24" t="n"/>
      <c r="H181" s="24" t="n"/>
      <c r="I181" s="26" t="n"/>
      <c r="J181" s="1" t="n"/>
      <c r="K181" s="1" t="n"/>
      <c r="L181" s="1" t="n"/>
      <c r="M181" s="1" t="n"/>
      <c r="N181" s="1" t="n"/>
      <c r="P181">
        <f>IF(OR(B181="",C181=""),"",B181+ROW()/10000000)</f>
        <v/>
      </c>
    </row>
    <row r="182">
      <c r="A182" s="1" t="n"/>
      <c r="B182" s="21" t="n"/>
      <c r="C182" s="24" t="n"/>
      <c r="D182" s="24" t="n"/>
      <c r="E182" s="24" t="n"/>
      <c r="F182" s="24" t="n"/>
      <c r="G182" s="24" t="n"/>
      <c r="H182" s="24" t="n"/>
      <c r="I182" s="26" t="n"/>
      <c r="J182" s="1" t="n"/>
      <c r="K182" s="1" t="n"/>
      <c r="L182" s="1" t="n"/>
      <c r="M182" s="1" t="n"/>
      <c r="N182" s="1" t="n"/>
      <c r="P182">
        <f>IF(OR(B182="",C182=""),"",B182+ROW()/10000000)</f>
        <v/>
      </c>
    </row>
    <row r="183">
      <c r="A183" s="1" t="n"/>
      <c r="B183" s="21" t="n"/>
      <c r="C183" s="24" t="n"/>
      <c r="D183" s="24" t="n"/>
      <c r="E183" s="24" t="n"/>
      <c r="F183" s="24" t="n"/>
      <c r="G183" s="24" t="n"/>
      <c r="H183" s="24" t="n"/>
      <c r="I183" s="26" t="n"/>
      <c r="J183" s="1" t="n"/>
      <c r="K183" s="1" t="n"/>
      <c r="L183" s="1" t="n"/>
      <c r="M183" s="1" t="n"/>
      <c r="N183" s="1" t="n"/>
      <c r="P183">
        <f>IF(OR(B183="",C183=""),"",B183+ROW()/10000000)</f>
        <v/>
      </c>
    </row>
    <row r="184">
      <c r="A184" s="1" t="n"/>
      <c r="B184" s="21" t="n"/>
      <c r="C184" s="24" t="n"/>
      <c r="D184" s="24" t="n"/>
      <c r="E184" s="24" t="n"/>
      <c r="F184" s="24" t="n"/>
      <c r="G184" s="24" t="n"/>
      <c r="H184" s="24" t="n"/>
      <c r="I184" s="26" t="n"/>
      <c r="J184" s="1" t="n"/>
      <c r="K184" s="1" t="n"/>
      <c r="L184" s="1" t="n"/>
      <c r="M184" s="1" t="n"/>
      <c r="N184" s="1" t="n"/>
      <c r="P184">
        <f>IF(OR(B184="",C184=""),"",B184+ROW()/10000000)</f>
        <v/>
      </c>
    </row>
    <row r="185">
      <c r="A185" s="1" t="n"/>
      <c r="B185" s="21" t="n"/>
      <c r="C185" s="24" t="n"/>
      <c r="D185" s="24" t="n"/>
      <c r="E185" s="24" t="n"/>
      <c r="F185" s="24" t="n"/>
      <c r="G185" s="24" t="n"/>
      <c r="H185" s="24" t="n"/>
      <c r="I185" s="26" t="n"/>
      <c r="J185" s="1" t="n"/>
      <c r="K185" s="1" t="n"/>
      <c r="L185" s="1" t="n"/>
      <c r="M185" s="1" t="n"/>
      <c r="N185" s="1" t="n"/>
      <c r="P185">
        <f>IF(OR(B185="",C185=""),"",B185+ROW()/10000000)</f>
        <v/>
      </c>
    </row>
    <row r="186">
      <c r="A186" s="1" t="n"/>
      <c r="B186" s="21" t="n"/>
      <c r="C186" s="24" t="n"/>
      <c r="D186" s="24" t="n"/>
      <c r="E186" s="24" t="n"/>
      <c r="F186" s="24" t="n"/>
      <c r="G186" s="24" t="n"/>
      <c r="H186" s="24" t="n"/>
      <c r="I186" s="26" t="n"/>
      <c r="J186" s="1" t="n"/>
      <c r="K186" s="1" t="n"/>
      <c r="L186" s="1" t="n"/>
      <c r="M186" s="1" t="n"/>
      <c r="N186" s="1" t="n"/>
      <c r="P186">
        <f>IF(OR(B186="",C186=""),"",B186+ROW()/10000000)</f>
        <v/>
      </c>
    </row>
    <row r="187">
      <c r="A187" s="1" t="n"/>
      <c r="B187" s="21" t="n"/>
      <c r="C187" s="24" t="n"/>
      <c r="D187" s="24" t="n"/>
      <c r="E187" s="24" t="n"/>
      <c r="F187" s="24" t="n"/>
      <c r="G187" s="24" t="n"/>
      <c r="H187" s="24" t="n"/>
      <c r="I187" s="26" t="n"/>
      <c r="J187" s="1" t="n"/>
      <c r="K187" s="1" t="n"/>
      <c r="L187" s="1" t="n"/>
      <c r="M187" s="1" t="n"/>
      <c r="N187" s="1" t="n"/>
      <c r="P187">
        <f>IF(OR(B187="",C187=""),"",B187+ROW()/10000000)</f>
        <v/>
      </c>
    </row>
    <row r="188">
      <c r="A188" s="1" t="n"/>
      <c r="B188" s="21" t="n"/>
      <c r="C188" s="24" t="n"/>
      <c r="D188" s="24" t="n"/>
      <c r="E188" s="24" t="n"/>
      <c r="F188" s="24" t="n"/>
      <c r="G188" s="24" t="n"/>
      <c r="H188" s="24" t="n"/>
      <c r="I188" s="26" t="n"/>
      <c r="J188" s="1" t="n"/>
      <c r="K188" s="1" t="n"/>
      <c r="L188" s="1" t="n"/>
      <c r="M188" s="1" t="n"/>
      <c r="N188" s="1" t="n"/>
      <c r="P188">
        <f>IF(OR(B188="",C188=""),"",B188+ROW()/10000000)</f>
        <v/>
      </c>
    </row>
    <row r="189">
      <c r="A189" s="1" t="n"/>
      <c r="B189" s="21" t="n"/>
      <c r="C189" s="24" t="n"/>
      <c r="D189" s="24" t="n"/>
      <c r="E189" s="24" t="n"/>
      <c r="F189" s="24" t="n"/>
      <c r="G189" s="24" t="n"/>
      <c r="H189" s="24" t="n"/>
      <c r="I189" s="26" t="n"/>
      <c r="J189" s="1" t="n"/>
      <c r="K189" s="1" t="n"/>
      <c r="L189" s="1" t="n"/>
      <c r="M189" s="1" t="n"/>
      <c r="N189" s="1" t="n"/>
      <c r="P189">
        <f>IF(OR(B189="",C189=""),"",B189+ROW()/10000000)</f>
        <v/>
      </c>
    </row>
    <row r="190">
      <c r="A190" s="1" t="n"/>
      <c r="B190" s="21" t="n"/>
      <c r="C190" s="24" t="n"/>
      <c r="D190" s="24" t="n"/>
      <c r="E190" s="24" t="n"/>
      <c r="F190" s="24" t="n"/>
      <c r="G190" s="24" t="n"/>
      <c r="H190" s="24" t="n"/>
      <c r="I190" s="26" t="n"/>
      <c r="J190" s="1" t="n"/>
      <c r="K190" s="1" t="n"/>
      <c r="L190" s="1" t="n"/>
      <c r="M190" s="1" t="n"/>
      <c r="N190" s="1" t="n"/>
      <c r="P190">
        <f>IF(OR(B190="",C190=""),"",B190+ROW()/10000000)</f>
        <v/>
      </c>
    </row>
    <row r="191">
      <c r="A191" s="1" t="n"/>
      <c r="B191" s="21" t="n"/>
      <c r="C191" s="24" t="n"/>
      <c r="D191" s="24" t="n"/>
      <c r="E191" s="24" t="n"/>
      <c r="F191" s="24" t="n"/>
      <c r="G191" s="24" t="n"/>
      <c r="H191" s="24" t="n"/>
      <c r="I191" s="26" t="n"/>
      <c r="J191" s="1" t="n"/>
      <c r="K191" s="1" t="n"/>
      <c r="L191" s="1" t="n"/>
      <c r="M191" s="1" t="n"/>
      <c r="N191" s="1" t="n"/>
      <c r="P191">
        <f>IF(OR(B191="",C191=""),"",B191+ROW()/10000000)</f>
        <v/>
      </c>
    </row>
    <row r="192">
      <c r="A192" s="1" t="n"/>
      <c r="B192" s="21" t="n"/>
      <c r="C192" s="24" t="n"/>
      <c r="D192" s="24" t="n"/>
      <c r="E192" s="24" t="n"/>
      <c r="F192" s="24" t="n"/>
      <c r="G192" s="24" t="n"/>
      <c r="H192" s="24" t="n"/>
      <c r="I192" s="26" t="n"/>
      <c r="J192" s="1" t="n"/>
      <c r="K192" s="1" t="n"/>
      <c r="L192" s="1" t="n"/>
      <c r="M192" s="1" t="n"/>
      <c r="N192" s="1" t="n"/>
      <c r="P192">
        <f>IF(OR(B192="",C192=""),"",B192+ROW()/10000000)</f>
        <v/>
      </c>
    </row>
    <row r="193">
      <c r="A193" s="1" t="n"/>
      <c r="B193" s="21" t="n"/>
      <c r="C193" s="24" t="n"/>
      <c r="D193" s="24" t="n"/>
      <c r="E193" s="24" t="n"/>
      <c r="F193" s="24" t="n"/>
      <c r="G193" s="24" t="n"/>
      <c r="H193" s="24" t="n"/>
      <c r="I193" s="26" t="n"/>
      <c r="J193" s="1" t="n"/>
      <c r="K193" s="1" t="n"/>
      <c r="L193" s="1" t="n"/>
      <c r="M193" s="1" t="n"/>
      <c r="N193" s="1" t="n"/>
      <c r="P193">
        <f>IF(OR(B193="",C193=""),"",B193+ROW()/10000000)</f>
        <v/>
      </c>
    </row>
    <row r="194">
      <c r="A194" s="1" t="n"/>
      <c r="B194" s="21" t="n"/>
      <c r="C194" s="24" t="n"/>
      <c r="D194" s="24" t="n"/>
      <c r="E194" s="24" t="n"/>
      <c r="F194" s="24" t="n"/>
      <c r="G194" s="24" t="n"/>
      <c r="H194" s="24" t="n"/>
      <c r="I194" s="26" t="n"/>
      <c r="J194" s="1" t="n"/>
      <c r="K194" s="1" t="n"/>
      <c r="L194" s="1" t="n"/>
      <c r="M194" s="1" t="n"/>
      <c r="N194" s="1" t="n"/>
      <c r="P194">
        <f>IF(OR(B194="",C194=""),"",B194+ROW()/10000000)</f>
        <v/>
      </c>
    </row>
    <row r="195">
      <c r="A195" s="1" t="n"/>
      <c r="B195" s="21" t="n"/>
      <c r="C195" s="24" t="n"/>
      <c r="D195" s="24" t="n"/>
      <c r="E195" s="24" t="n"/>
      <c r="F195" s="24" t="n"/>
      <c r="G195" s="24" t="n"/>
      <c r="H195" s="24" t="n"/>
      <c r="I195" s="26" t="n"/>
      <c r="J195" s="1" t="n"/>
      <c r="K195" s="1" t="n"/>
      <c r="L195" s="1" t="n"/>
      <c r="M195" s="1" t="n"/>
      <c r="N195" s="1" t="n"/>
      <c r="P195">
        <f>IF(OR(B195="",C195=""),"",B195+ROW()/10000000)</f>
        <v/>
      </c>
    </row>
    <row r="196">
      <c r="A196" s="1" t="n"/>
      <c r="B196" s="21" t="n"/>
      <c r="C196" s="24" t="n"/>
      <c r="D196" s="24" t="n"/>
      <c r="E196" s="24" t="n"/>
      <c r="F196" s="24" t="n"/>
      <c r="G196" s="24" t="n"/>
      <c r="H196" s="24" t="n"/>
      <c r="I196" s="26" t="n"/>
      <c r="J196" s="1" t="n"/>
      <c r="K196" s="1" t="n"/>
      <c r="L196" s="1" t="n"/>
      <c r="M196" s="1" t="n"/>
      <c r="N196" s="1" t="n"/>
      <c r="P196">
        <f>IF(OR(B196="",C196=""),"",B196+ROW()/10000000)</f>
        <v/>
      </c>
    </row>
    <row r="197">
      <c r="A197" s="1" t="n"/>
      <c r="B197" s="21" t="n"/>
      <c r="C197" s="24" t="n"/>
      <c r="D197" s="24" t="n"/>
      <c r="E197" s="24" t="n"/>
      <c r="F197" s="24" t="n"/>
      <c r="G197" s="24" t="n"/>
      <c r="H197" s="24" t="n"/>
      <c r="I197" s="26" t="n"/>
      <c r="J197" s="1" t="n"/>
      <c r="K197" s="1" t="n"/>
      <c r="L197" s="1" t="n"/>
      <c r="M197" s="1" t="n"/>
      <c r="N197" s="1" t="n"/>
      <c r="P197">
        <f>IF(OR(B197="",C197=""),"",B197+ROW()/10000000)</f>
        <v/>
      </c>
    </row>
    <row r="198">
      <c r="A198" s="1" t="n"/>
      <c r="B198" s="21" t="n"/>
      <c r="C198" s="24" t="n"/>
      <c r="D198" s="24" t="n"/>
      <c r="E198" s="24" t="n"/>
      <c r="F198" s="24" t="n"/>
      <c r="G198" s="24" t="n"/>
      <c r="H198" s="24" t="n"/>
      <c r="I198" s="26" t="n"/>
      <c r="J198" s="1" t="n"/>
      <c r="K198" s="1" t="n"/>
      <c r="L198" s="1" t="n"/>
      <c r="M198" s="1" t="n"/>
      <c r="N198" s="1" t="n"/>
      <c r="P198">
        <f>IF(OR(B198="",C198=""),"",B198+ROW()/10000000)</f>
        <v/>
      </c>
    </row>
    <row r="199">
      <c r="A199" s="1" t="n"/>
      <c r="B199" s="21" t="n"/>
      <c r="C199" s="24" t="n"/>
      <c r="D199" s="24" t="n"/>
      <c r="E199" s="24" t="n"/>
      <c r="F199" s="24" t="n"/>
      <c r="G199" s="24" t="n"/>
      <c r="H199" s="24" t="n"/>
      <c r="I199" s="26" t="n"/>
      <c r="J199" s="1" t="n"/>
      <c r="K199" s="1" t="n"/>
      <c r="L199" s="1" t="n"/>
      <c r="M199" s="1" t="n"/>
      <c r="N199" s="1" t="n"/>
      <c r="P199">
        <f>IF(OR(B199="",C199=""),"",B199+ROW()/10000000)</f>
        <v/>
      </c>
    </row>
    <row r="200">
      <c r="A200" s="1" t="n"/>
      <c r="B200" s="21" t="n"/>
      <c r="C200" s="24" t="n"/>
      <c r="D200" s="24" t="n"/>
      <c r="E200" s="24" t="n"/>
      <c r="F200" s="24" t="n"/>
      <c r="G200" s="24" t="n"/>
      <c r="H200" s="24" t="n"/>
      <c r="I200" s="26" t="n"/>
      <c r="J200" s="1" t="n"/>
      <c r="K200" s="1" t="n"/>
      <c r="L200" s="1" t="n"/>
      <c r="M200" s="1" t="n"/>
      <c r="N200" s="1" t="n"/>
      <c r="P200">
        <f>IF(OR(B200="",C200=""),"",B200+ROW()/10000000)</f>
        <v/>
      </c>
    </row>
    <row r="201">
      <c r="A201" s="1" t="n"/>
      <c r="B201" s="21" t="n"/>
      <c r="C201" s="24" t="n"/>
      <c r="D201" s="24" t="n"/>
      <c r="E201" s="24" t="n"/>
      <c r="F201" s="24" t="n"/>
      <c r="G201" s="24" t="n"/>
      <c r="H201" s="24" t="n"/>
      <c r="I201" s="26" t="n"/>
      <c r="J201" s="1" t="n"/>
      <c r="K201" s="1" t="n"/>
      <c r="L201" s="1" t="n"/>
      <c r="M201" s="1" t="n"/>
      <c r="N201" s="1" t="n"/>
      <c r="P201">
        <f>IF(OR(B201="",C201=""),"",B201+ROW()/10000000)</f>
        <v/>
      </c>
    </row>
    <row r="202">
      <c r="A202" s="1" t="n"/>
      <c r="B202" s="21" t="n"/>
      <c r="C202" s="24" t="n"/>
      <c r="D202" s="24" t="n"/>
      <c r="E202" s="24" t="n"/>
      <c r="F202" s="24" t="n"/>
      <c r="G202" s="24" t="n"/>
      <c r="H202" s="24" t="n"/>
      <c r="I202" s="26" t="n"/>
      <c r="J202" s="1" t="n"/>
      <c r="K202" s="1" t="n"/>
      <c r="L202" s="1" t="n"/>
      <c r="M202" s="1" t="n"/>
      <c r="N202" s="1" t="n"/>
      <c r="P202">
        <f>IF(OR(B202="",C202=""),"",B202+ROW()/10000000)</f>
        <v/>
      </c>
    </row>
    <row r="203">
      <c r="A203" s="1" t="n"/>
      <c r="B203" s="21" t="n"/>
      <c r="C203" s="24" t="n"/>
      <c r="D203" s="24" t="n"/>
      <c r="E203" s="24" t="n"/>
      <c r="F203" s="24" t="n"/>
      <c r="G203" s="24" t="n"/>
      <c r="H203" s="24" t="n"/>
      <c r="I203" s="26" t="n"/>
      <c r="J203" s="1" t="n"/>
      <c r="K203" s="1" t="n"/>
      <c r="L203" s="1" t="n"/>
      <c r="M203" s="1" t="n"/>
      <c r="N203" s="1" t="n"/>
      <c r="P203">
        <f>IF(OR(B203="",C203=""),"",B203+ROW()/10000000)</f>
        <v/>
      </c>
    </row>
    <row r="204">
      <c r="A204" s="1" t="n"/>
      <c r="B204" s="21" t="n"/>
      <c r="C204" s="24" t="n"/>
      <c r="D204" s="24" t="n"/>
      <c r="E204" s="24" t="n"/>
      <c r="F204" s="24" t="n"/>
      <c r="G204" s="24" t="n"/>
      <c r="H204" s="24" t="n"/>
      <c r="I204" s="26" t="n"/>
      <c r="J204" s="1" t="n"/>
      <c r="K204" s="1" t="n"/>
      <c r="L204" s="1" t="n"/>
      <c r="M204" s="1" t="n"/>
      <c r="N204" s="1" t="n"/>
      <c r="P204">
        <f>IF(OR(B204="",C204=""),"",B204+ROW()/10000000)</f>
        <v/>
      </c>
    </row>
    <row r="205">
      <c r="A205" s="1" t="n"/>
      <c r="B205" s="21" t="n"/>
      <c r="C205" s="24" t="n"/>
      <c r="D205" s="24" t="n"/>
      <c r="E205" s="24" t="n"/>
      <c r="F205" s="24" t="n"/>
      <c r="G205" s="24" t="n"/>
      <c r="H205" s="24" t="n"/>
      <c r="I205" s="26" t="n"/>
      <c r="J205" s="1" t="n"/>
      <c r="K205" s="1" t="n"/>
      <c r="L205" s="1" t="n"/>
      <c r="M205" s="1" t="n"/>
      <c r="N205" s="1" t="n"/>
      <c r="P205">
        <f>IF(OR(B205="",C205=""),"",B205+ROW()/10000000)</f>
        <v/>
      </c>
    </row>
    <row r="206">
      <c r="A206" s="1" t="n"/>
      <c r="B206" s="21" t="n"/>
      <c r="C206" s="24" t="n"/>
      <c r="D206" s="24" t="n"/>
      <c r="E206" s="24" t="n"/>
      <c r="F206" s="24" t="n"/>
      <c r="G206" s="24" t="n"/>
      <c r="H206" s="24" t="n"/>
      <c r="I206" s="26" t="n"/>
      <c r="J206" s="1" t="n"/>
      <c r="K206" s="1" t="n"/>
      <c r="L206" s="1" t="n"/>
      <c r="M206" s="1" t="n"/>
      <c r="N206" s="1" t="n"/>
      <c r="P206">
        <f>IF(OR(B206="",C206=""),"",B206+ROW()/10000000)</f>
        <v/>
      </c>
    </row>
    <row r="207">
      <c r="A207" s="1" t="n"/>
      <c r="B207" s="21" t="n"/>
      <c r="C207" s="24" t="n"/>
      <c r="D207" s="24" t="n"/>
      <c r="E207" s="24" t="n"/>
      <c r="F207" s="24" t="n"/>
      <c r="G207" s="24" t="n"/>
      <c r="H207" s="24" t="n"/>
      <c r="I207" s="26" t="n"/>
      <c r="J207" s="1" t="n"/>
      <c r="K207" s="1" t="n"/>
      <c r="L207" s="1" t="n"/>
      <c r="M207" s="1" t="n"/>
      <c r="N207" s="1" t="n"/>
      <c r="P207">
        <f>IF(OR(B207="",C207=""),"",B207+ROW()/10000000)</f>
        <v/>
      </c>
    </row>
    <row r="208">
      <c r="A208" s="1" t="n"/>
      <c r="B208" s="21" t="n"/>
      <c r="C208" s="24" t="n"/>
      <c r="D208" s="24" t="n"/>
      <c r="E208" s="24" t="n"/>
      <c r="F208" s="24" t="n"/>
      <c r="G208" s="24" t="n"/>
      <c r="H208" s="24" t="n"/>
      <c r="I208" s="26" t="n"/>
      <c r="J208" s="1" t="n"/>
      <c r="K208" s="1" t="n"/>
      <c r="L208" s="1" t="n"/>
      <c r="M208" s="1" t="n"/>
      <c r="N208" s="1" t="n"/>
      <c r="P208">
        <f>IF(OR(B208="",C208=""),"",B208+ROW()/10000000)</f>
        <v/>
      </c>
    </row>
    <row r="209">
      <c r="A209" s="1" t="n"/>
      <c r="B209" s="21" t="n"/>
      <c r="C209" s="24" t="n"/>
      <c r="D209" s="24" t="n"/>
      <c r="E209" s="24" t="n"/>
      <c r="F209" s="24" t="n"/>
      <c r="G209" s="24" t="n"/>
      <c r="H209" s="24" t="n"/>
      <c r="I209" s="26" t="n"/>
      <c r="J209" s="1" t="n"/>
      <c r="K209" s="1" t="n"/>
      <c r="L209" s="1" t="n"/>
      <c r="M209" s="1" t="n"/>
      <c r="N209" s="1" t="n"/>
      <c r="P209">
        <f>IF(OR(B209="",C209=""),"",B209+ROW()/10000000)</f>
        <v/>
      </c>
    </row>
    <row r="210">
      <c r="A210" s="1" t="n"/>
      <c r="B210" s="21" t="n"/>
      <c r="C210" s="24" t="n"/>
      <c r="D210" s="24" t="n"/>
      <c r="E210" s="24" t="n"/>
      <c r="F210" s="24" t="n"/>
      <c r="G210" s="24" t="n"/>
      <c r="H210" s="24" t="n"/>
      <c r="I210" s="26" t="n"/>
      <c r="J210" s="1" t="n"/>
      <c r="K210" s="1" t="n"/>
      <c r="L210" s="1" t="n"/>
      <c r="M210" s="1" t="n"/>
      <c r="N210" s="1" t="n"/>
      <c r="P210">
        <f>IF(OR(B210="",C210=""),"",B210+ROW()/10000000)</f>
        <v/>
      </c>
    </row>
    <row r="211">
      <c r="A211" s="1" t="n"/>
      <c r="B211" s="21" t="n"/>
      <c r="C211" s="24" t="n"/>
      <c r="D211" s="24" t="n"/>
      <c r="E211" s="24" t="n"/>
      <c r="F211" s="24" t="n"/>
      <c r="G211" s="24" t="n"/>
      <c r="H211" s="24" t="n"/>
      <c r="I211" s="26" t="n"/>
      <c r="J211" s="1" t="n"/>
      <c r="K211" s="1" t="n"/>
      <c r="L211" s="1" t="n"/>
      <c r="M211" s="1" t="n"/>
      <c r="N211" s="1" t="n"/>
      <c r="P211">
        <f>IF(OR(B211="",C211=""),"",B211+ROW()/10000000)</f>
        <v/>
      </c>
    </row>
    <row r="212">
      <c r="A212" s="1" t="n"/>
      <c r="B212" s="21" t="n"/>
      <c r="C212" s="24" t="n"/>
      <c r="D212" s="24" t="n"/>
      <c r="E212" s="24" t="n"/>
      <c r="F212" s="24" t="n"/>
      <c r="G212" s="24" t="n"/>
      <c r="H212" s="24" t="n"/>
      <c r="I212" s="26" t="n"/>
      <c r="J212" s="1" t="n"/>
      <c r="K212" s="1" t="n"/>
      <c r="L212" s="1" t="n"/>
      <c r="M212" s="1" t="n"/>
      <c r="N212" s="1" t="n"/>
      <c r="P212">
        <f>IF(OR(B212="",C212=""),"",B212+ROW()/10000000)</f>
        <v/>
      </c>
    </row>
    <row r="213">
      <c r="A213" s="1" t="n"/>
      <c r="B213" s="21" t="n"/>
      <c r="C213" s="24" t="n"/>
      <c r="D213" s="24" t="n"/>
      <c r="E213" s="24" t="n"/>
      <c r="F213" s="24" t="n"/>
      <c r="G213" s="24" t="n"/>
      <c r="H213" s="24" t="n"/>
      <c r="I213" s="26" t="n"/>
      <c r="J213" s="1" t="n"/>
      <c r="K213" s="1" t="n"/>
      <c r="L213" s="1" t="n"/>
      <c r="M213" s="1" t="n"/>
      <c r="N213" s="1" t="n"/>
      <c r="P213">
        <f>IF(OR(B213="",C213=""),"",B213+ROW()/10000000)</f>
        <v/>
      </c>
    </row>
    <row r="214">
      <c r="A214" s="1" t="n"/>
      <c r="B214" s="21" t="n"/>
      <c r="C214" s="24" t="n"/>
      <c r="D214" s="24" t="n"/>
      <c r="E214" s="24" t="n"/>
      <c r="F214" s="24" t="n"/>
      <c r="G214" s="24" t="n"/>
      <c r="H214" s="24" t="n"/>
      <c r="I214" s="26" t="n"/>
      <c r="J214" s="1" t="n"/>
      <c r="K214" s="1" t="n"/>
      <c r="L214" s="1" t="n"/>
      <c r="M214" s="1" t="n"/>
      <c r="N214" s="1" t="n"/>
      <c r="P214">
        <f>IF(OR(B214="",C214=""),"",B214+ROW()/10000000)</f>
        <v/>
      </c>
    </row>
    <row r="215">
      <c r="A215" s="1" t="n"/>
      <c r="B215" s="21" t="n"/>
      <c r="C215" s="24" t="n"/>
      <c r="D215" s="24" t="n"/>
      <c r="E215" s="24" t="n"/>
      <c r="F215" s="24" t="n"/>
      <c r="G215" s="24" t="n"/>
      <c r="H215" s="24" t="n"/>
      <c r="I215" s="26" t="n"/>
      <c r="J215" s="1" t="n"/>
      <c r="K215" s="1" t="n"/>
      <c r="L215" s="1" t="n"/>
      <c r="M215" s="1" t="n"/>
      <c r="N215" s="1" t="n"/>
      <c r="P215">
        <f>IF(OR(B215="",C215=""),"",B215+ROW()/10000000)</f>
        <v/>
      </c>
    </row>
    <row r="216">
      <c r="A216" s="1" t="n"/>
      <c r="B216" s="21" t="n"/>
      <c r="C216" s="24" t="n"/>
      <c r="D216" s="24" t="n"/>
      <c r="E216" s="24" t="n"/>
      <c r="F216" s="24" t="n"/>
      <c r="G216" s="24" t="n"/>
      <c r="H216" s="24" t="n"/>
      <c r="I216" s="26" t="n"/>
      <c r="J216" s="1" t="n"/>
      <c r="K216" s="1" t="n"/>
      <c r="L216" s="1" t="n"/>
      <c r="M216" s="1" t="n"/>
      <c r="N216" s="1" t="n"/>
      <c r="P216">
        <f>IF(OR(B216="",C216=""),"",B216+ROW()/10000000)</f>
        <v/>
      </c>
    </row>
    <row r="217">
      <c r="A217" s="1" t="n"/>
      <c r="B217" s="21" t="n"/>
      <c r="C217" s="24" t="n"/>
      <c r="D217" s="24" t="n"/>
      <c r="E217" s="24" t="n"/>
      <c r="F217" s="24" t="n"/>
      <c r="G217" s="24" t="n"/>
      <c r="H217" s="24" t="n"/>
      <c r="I217" s="26" t="n"/>
      <c r="J217" s="1" t="n"/>
      <c r="K217" s="1" t="n"/>
      <c r="L217" s="1" t="n"/>
      <c r="M217" s="1" t="n"/>
      <c r="N217" s="1" t="n"/>
      <c r="P217">
        <f>IF(OR(B217="",C217=""),"",B217+ROW()/10000000)</f>
        <v/>
      </c>
    </row>
    <row r="218">
      <c r="A218" s="1" t="n"/>
      <c r="B218" s="21" t="n"/>
      <c r="C218" s="24" t="n"/>
      <c r="D218" s="24" t="n"/>
      <c r="E218" s="24" t="n"/>
      <c r="F218" s="24" t="n"/>
      <c r="G218" s="24" t="n"/>
      <c r="H218" s="24" t="n"/>
      <c r="I218" s="26" t="n"/>
      <c r="J218" s="1" t="n"/>
      <c r="K218" s="1" t="n"/>
      <c r="L218" s="1" t="n"/>
      <c r="M218" s="1" t="n"/>
      <c r="N218" s="1" t="n"/>
      <c r="P218">
        <f>IF(OR(B218="",C218=""),"",B218+ROW()/10000000)</f>
        <v/>
      </c>
    </row>
    <row r="219">
      <c r="A219" s="1" t="n"/>
      <c r="B219" s="21" t="n"/>
      <c r="C219" s="24" t="n"/>
      <c r="D219" s="24" t="n"/>
      <c r="E219" s="24" t="n"/>
      <c r="F219" s="24" t="n"/>
      <c r="G219" s="24" t="n"/>
      <c r="H219" s="24" t="n"/>
      <c r="I219" s="26" t="n"/>
      <c r="J219" s="1" t="n"/>
      <c r="K219" s="1" t="n"/>
      <c r="L219" s="1" t="n"/>
      <c r="M219" s="1" t="n"/>
      <c r="N219" s="1" t="n"/>
      <c r="P219">
        <f>IF(OR(B219="",C219=""),"",B219+ROW()/10000000)</f>
        <v/>
      </c>
    </row>
    <row r="220">
      <c r="A220" s="1" t="n"/>
      <c r="B220" s="21" t="n"/>
      <c r="C220" s="24" t="n"/>
      <c r="D220" s="24" t="n"/>
      <c r="E220" s="24" t="n"/>
      <c r="F220" s="24" t="n"/>
      <c r="G220" s="24" t="n"/>
      <c r="H220" s="24" t="n"/>
      <c r="I220" s="26" t="n"/>
      <c r="J220" s="1" t="n"/>
      <c r="K220" s="1" t="n"/>
      <c r="L220" s="1" t="n"/>
      <c r="M220" s="1" t="n"/>
      <c r="N220" s="1" t="n"/>
      <c r="P220">
        <f>IF(OR(B220="",C220=""),"",B220+ROW()/10000000)</f>
        <v/>
      </c>
    </row>
    <row r="221">
      <c r="A221" s="1" t="n"/>
      <c r="B221" s="21" t="n"/>
      <c r="C221" s="24" t="n"/>
      <c r="D221" s="24" t="n"/>
      <c r="E221" s="24" t="n"/>
      <c r="F221" s="24" t="n"/>
      <c r="G221" s="24" t="n"/>
      <c r="H221" s="24" t="n"/>
      <c r="I221" s="26" t="n"/>
      <c r="J221" s="1" t="n"/>
      <c r="K221" s="1" t="n"/>
      <c r="L221" s="1" t="n"/>
      <c r="M221" s="1" t="n"/>
      <c r="N221" s="1" t="n"/>
      <c r="P221">
        <f>IF(OR(B221="",C221=""),"",B221+ROW()/10000000)</f>
        <v/>
      </c>
    </row>
    <row r="222">
      <c r="A222" s="1" t="n"/>
      <c r="B222" s="21" t="n"/>
      <c r="C222" s="24" t="n"/>
      <c r="D222" s="24" t="n"/>
      <c r="E222" s="24" t="n"/>
      <c r="F222" s="24" t="n"/>
      <c r="G222" s="24" t="n"/>
      <c r="H222" s="24" t="n"/>
      <c r="I222" s="26" t="n"/>
      <c r="J222" s="1" t="n"/>
      <c r="K222" s="1" t="n"/>
      <c r="L222" s="1" t="n"/>
      <c r="M222" s="1" t="n"/>
      <c r="N222" s="1" t="n"/>
      <c r="P222">
        <f>IF(OR(B222="",C222=""),"",B222+ROW()/10000000)</f>
        <v/>
      </c>
    </row>
    <row r="223">
      <c r="A223" s="1" t="n"/>
      <c r="B223" s="21" t="n"/>
      <c r="C223" s="24" t="n"/>
      <c r="D223" s="24" t="n"/>
      <c r="E223" s="24" t="n"/>
      <c r="F223" s="24" t="n"/>
      <c r="G223" s="24" t="n"/>
      <c r="H223" s="24" t="n"/>
      <c r="I223" s="26" t="n"/>
      <c r="J223" s="1" t="n"/>
      <c r="K223" s="1" t="n"/>
      <c r="L223" s="1" t="n"/>
      <c r="M223" s="1" t="n"/>
      <c r="N223" s="1" t="n"/>
      <c r="P223">
        <f>IF(OR(B223="",C223=""),"",B223+ROW()/10000000)</f>
        <v/>
      </c>
    </row>
    <row r="224">
      <c r="A224" s="1" t="n"/>
      <c r="B224" s="21" t="n"/>
      <c r="C224" s="24" t="n"/>
      <c r="D224" s="24" t="n"/>
      <c r="E224" s="24" t="n"/>
      <c r="F224" s="24" t="n"/>
      <c r="G224" s="24" t="n"/>
      <c r="H224" s="24" t="n"/>
      <c r="I224" s="26" t="n"/>
      <c r="J224" s="1" t="n"/>
      <c r="K224" s="1" t="n"/>
      <c r="L224" s="1" t="n"/>
      <c r="M224" s="1" t="n"/>
      <c r="N224" s="1" t="n"/>
      <c r="P224">
        <f>IF(OR(B224="",C224=""),"",B224+ROW()/10000000)</f>
        <v/>
      </c>
    </row>
    <row r="225">
      <c r="A225" s="1" t="n"/>
      <c r="B225" s="21" t="n"/>
      <c r="C225" s="24" t="n"/>
      <c r="D225" s="24" t="n"/>
      <c r="E225" s="24" t="n"/>
      <c r="F225" s="24" t="n"/>
      <c r="G225" s="24" t="n"/>
      <c r="H225" s="24" t="n"/>
      <c r="I225" s="26" t="n"/>
      <c r="J225" s="1" t="n"/>
      <c r="K225" s="1" t="n"/>
      <c r="L225" s="1" t="n"/>
      <c r="M225" s="1" t="n"/>
      <c r="N225" s="1" t="n"/>
      <c r="P225">
        <f>IF(OR(B225="",C225=""),"",B225+ROW()/10000000)</f>
        <v/>
      </c>
    </row>
    <row r="226">
      <c r="A226" s="1" t="n"/>
      <c r="B226" s="21" t="n"/>
      <c r="C226" s="24" t="n"/>
      <c r="D226" s="24" t="n"/>
      <c r="E226" s="24" t="n"/>
      <c r="F226" s="24" t="n"/>
      <c r="G226" s="24" t="n"/>
      <c r="H226" s="24" t="n"/>
      <c r="I226" s="26" t="n"/>
      <c r="J226" s="1" t="n"/>
      <c r="K226" s="1" t="n"/>
      <c r="L226" s="1" t="n"/>
      <c r="M226" s="1" t="n"/>
      <c r="N226" s="1" t="n"/>
      <c r="P226">
        <f>IF(OR(B226="",C226=""),"",B226+ROW()/10000000)</f>
        <v/>
      </c>
    </row>
    <row r="227">
      <c r="A227" s="1" t="n"/>
      <c r="B227" s="21" t="n"/>
      <c r="C227" s="24" t="n"/>
      <c r="D227" s="24" t="n"/>
      <c r="E227" s="24" t="n"/>
      <c r="F227" s="24" t="n"/>
      <c r="G227" s="24" t="n"/>
      <c r="H227" s="24" t="n"/>
      <c r="I227" s="26" t="n"/>
      <c r="J227" s="1" t="n"/>
      <c r="K227" s="1" t="n"/>
      <c r="L227" s="1" t="n"/>
      <c r="M227" s="1" t="n"/>
      <c r="N227" s="1" t="n"/>
      <c r="P227">
        <f>IF(OR(B227="",C227=""),"",B227+ROW()/10000000)</f>
        <v/>
      </c>
    </row>
    <row r="228">
      <c r="A228" s="1" t="n"/>
      <c r="B228" s="21" t="n"/>
      <c r="C228" s="24" t="n"/>
      <c r="D228" s="24" t="n"/>
      <c r="E228" s="24" t="n"/>
      <c r="F228" s="24" t="n"/>
      <c r="G228" s="24" t="n"/>
      <c r="H228" s="24" t="n"/>
      <c r="I228" s="26" t="n"/>
      <c r="J228" s="1" t="n"/>
      <c r="K228" s="1" t="n"/>
      <c r="L228" s="1" t="n"/>
      <c r="M228" s="1" t="n"/>
      <c r="N228" s="1" t="n"/>
      <c r="P228">
        <f>IF(OR(B228="",C228=""),"",B228+ROW()/10000000)</f>
        <v/>
      </c>
    </row>
    <row r="229">
      <c r="A229" s="1" t="n"/>
      <c r="B229" s="21" t="n"/>
      <c r="C229" s="24" t="n"/>
      <c r="D229" s="24" t="n"/>
      <c r="E229" s="24" t="n"/>
      <c r="F229" s="24" t="n"/>
      <c r="G229" s="24" t="n"/>
      <c r="H229" s="24" t="n"/>
      <c r="I229" s="26" t="n"/>
      <c r="J229" s="1" t="n"/>
      <c r="K229" s="1" t="n"/>
      <c r="L229" s="1" t="n"/>
      <c r="M229" s="1" t="n"/>
      <c r="N229" s="1" t="n"/>
      <c r="P229">
        <f>IF(OR(B229="",C229=""),"",B229+ROW()/10000000)</f>
        <v/>
      </c>
    </row>
    <row r="230">
      <c r="A230" s="1" t="n"/>
      <c r="B230" s="21" t="n"/>
      <c r="C230" s="24" t="n"/>
      <c r="D230" s="24" t="n"/>
      <c r="E230" s="24" t="n"/>
      <c r="F230" s="24" t="n"/>
      <c r="G230" s="24" t="n"/>
      <c r="H230" s="24" t="n"/>
      <c r="I230" s="26" t="n"/>
      <c r="J230" s="1" t="n"/>
      <c r="K230" s="1" t="n"/>
      <c r="L230" s="1" t="n"/>
      <c r="M230" s="1" t="n"/>
      <c r="N230" s="1" t="n"/>
      <c r="P230">
        <f>IF(OR(B230="",C230=""),"",B230+ROW()/10000000)</f>
        <v/>
      </c>
    </row>
    <row r="231">
      <c r="A231" s="1" t="n"/>
      <c r="B231" s="21" t="n"/>
      <c r="C231" s="24" t="n"/>
      <c r="D231" s="24" t="n"/>
      <c r="E231" s="24" t="n"/>
      <c r="F231" s="24" t="n"/>
      <c r="G231" s="24" t="n"/>
      <c r="H231" s="24" t="n"/>
      <c r="I231" s="26" t="n"/>
      <c r="J231" s="1" t="n"/>
      <c r="K231" s="1" t="n"/>
      <c r="L231" s="1" t="n"/>
      <c r="M231" s="1" t="n"/>
      <c r="N231" s="1" t="n"/>
      <c r="P231">
        <f>IF(OR(B231="",C231=""),"",B231+ROW()/10000000)</f>
        <v/>
      </c>
    </row>
    <row r="232">
      <c r="A232" s="1" t="n"/>
      <c r="B232" s="21" t="n"/>
      <c r="C232" s="24" t="n"/>
      <c r="D232" s="24" t="n"/>
      <c r="E232" s="24" t="n"/>
      <c r="F232" s="24" t="n"/>
      <c r="G232" s="24" t="n"/>
      <c r="H232" s="24" t="n"/>
      <c r="I232" s="26" t="n"/>
      <c r="J232" s="1" t="n"/>
      <c r="K232" s="1" t="n"/>
      <c r="L232" s="1" t="n"/>
      <c r="M232" s="1" t="n"/>
      <c r="N232" s="1" t="n"/>
      <c r="P232">
        <f>IF(OR(B232="",C232=""),"",B232+ROW()/10000000)</f>
        <v/>
      </c>
    </row>
    <row r="233">
      <c r="A233" s="1" t="n"/>
      <c r="B233" s="21" t="n"/>
      <c r="C233" s="24" t="n"/>
      <c r="D233" s="24" t="n"/>
      <c r="E233" s="24" t="n"/>
      <c r="F233" s="24" t="n"/>
      <c r="G233" s="24" t="n"/>
      <c r="H233" s="24" t="n"/>
      <c r="I233" s="26" t="n"/>
      <c r="J233" s="1" t="n"/>
      <c r="K233" s="1" t="n"/>
      <c r="L233" s="1" t="n"/>
      <c r="M233" s="1" t="n"/>
      <c r="N233" s="1" t="n"/>
      <c r="P233">
        <f>IF(OR(B233="",C233=""),"",B233+ROW()/10000000)</f>
        <v/>
      </c>
    </row>
    <row r="234">
      <c r="A234" s="1" t="n"/>
      <c r="B234" s="21" t="n"/>
      <c r="C234" s="24" t="n"/>
      <c r="D234" s="24" t="n"/>
      <c r="E234" s="24" t="n"/>
      <c r="F234" s="24" t="n"/>
      <c r="G234" s="24" t="n"/>
      <c r="H234" s="24" t="n"/>
      <c r="I234" s="26" t="n"/>
      <c r="J234" s="1" t="n"/>
      <c r="K234" s="1" t="n"/>
      <c r="L234" s="1" t="n"/>
      <c r="M234" s="1" t="n"/>
      <c r="N234" s="1" t="n"/>
      <c r="P234">
        <f>IF(OR(B234="",C234=""),"",B234+ROW()/10000000)</f>
        <v/>
      </c>
    </row>
    <row r="235">
      <c r="A235" s="1" t="n"/>
      <c r="B235" s="21" t="n"/>
      <c r="C235" s="24" t="n"/>
      <c r="D235" s="24" t="n"/>
      <c r="E235" s="24" t="n"/>
      <c r="F235" s="24" t="n"/>
      <c r="G235" s="24" t="n"/>
      <c r="H235" s="24" t="n"/>
      <c r="I235" s="26" t="n"/>
      <c r="J235" s="1" t="n"/>
      <c r="K235" s="1" t="n"/>
      <c r="L235" s="1" t="n"/>
      <c r="M235" s="1" t="n"/>
      <c r="N235" s="1" t="n"/>
      <c r="P235">
        <f>IF(OR(B235="",C235=""),"",B235+ROW()/10000000)</f>
        <v/>
      </c>
    </row>
    <row r="236">
      <c r="A236" s="1" t="n"/>
      <c r="B236" s="21" t="n"/>
      <c r="C236" s="24" t="n"/>
      <c r="D236" s="24" t="n"/>
      <c r="E236" s="24" t="n"/>
      <c r="F236" s="24" t="n"/>
      <c r="G236" s="24" t="n"/>
      <c r="H236" s="24" t="n"/>
      <c r="I236" s="26" t="n"/>
      <c r="J236" s="1" t="n"/>
      <c r="K236" s="1" t="n"/>
      <c r="L236" s="1" t="n"/>
      <c r="M236" s="1" t="n"/>
      <c r="N236" s="1" t="n"/>
      <c r="P236">
        <f>IF(OR(B236="",C236=""),"",B236+ROW()/10000000)</f>
        <v/>
      </c>
    </row>
    <row r="237">
      <c r="A237" s="1" t="n"/>
      <c r="B237" s="21" t="n"/>
      <c r="C237" s="24" t="n"/>
      <c r="D237" s="24" t="n"/>
      <c r="E237" s="24" t="n"/>
      <c r="F237" s="24" t="n"/>
      <c r="G237" s="24" t="n"/>
      <c r="H237" s="24" t="n"/>
      <c r="I237" s="26" t="n"/>
      <c r="J237" s="1" t="n"/>
      <c r="K237" s="1" t="n"/>
      <c r="L237" s="1" t="n"/>
      <c r="M237" s="1" t="n"/>
      <c r="N237" s="1" t="n"/>
      <c r="P237">
        <f>IF(OR(B237="",C237=""),"",B237+ROW()/10000000)</f>
        <v/>
      </c>
    </row>
    <row r="238">
      <c r="A238" s="1" t="n"/>
      <c r="B238" s="21" t="n"/>
      <c r="C238" s="24" t="n"/>
      <c r="D238" s="24" t="n"/>
      <c r="E238" s="24" t="n"/>
      <c r="F238" s="24" t="n"/>
      <c r="G238" s="24" t="n"/>
      <c r="H238" s="24" t="n"/>
      <c r="I238" s="26" t="n"/>
      <c r="J238" s="1" t="n"/>
      <c r="K238" s="1" t="n"/>
      <c r="L238" s="1" t="n"/>
      <c r="M238" s="1" t="n"/>
      <c r="N238" s="1" t="n"/>
      <c r="P238">
        <f>IF(OR(B238="",C238=""),"",B238+ROW()/10000000)</f>
        <v/>
      </c>
    </row>
    <row r="239">
      <c r="A239" s="1" t="n"/>
      <c r="B239" s="21" t="n"/>
      <c r="C239" s="24" t="n"/>
      <c r="D239" s="24" t="n"/>
      <c r="E239" s="24" t="n"/>
      <c r="F239" s="24" t="n"/>
      <c r="G239" s="24" t="n"/>
      <c r="H239" s="24" t="n"/>
      <c r="I239" s="26" t="n"/>
      <c r="J239" s="1" t="n"/>
      <c r="K239" s="1" t="n"/>
      <c r="L239" s="1" t="n"/>
      <c r="M239" s="1" t="n"/>
      <c r="N239" s="1" t="n"/>
      <c r="P239">
        <f>IF(OR(B239="",C239=""),"",B239+ROW()/10000000)</f>
        <v/>
      </c>
    </row>
    <row r="240">
      <c r="A240" s="1" t="n"/>
      <c r="B240" s="21" t="n"/>
      <c r="C240" s="24" t="n"/>
      <c r="D240" s="24" t="n"/>
      <c r="E240" s="24" t="n"/>
      <c r="F240" s="24" t="n"/>
      <c r="G240" s="24" t="n"/>
      <c r="H240" s="24" t="n"/>
      <c r="I240" s="26" t="n"/>
      <c r="J240" s="1" t="n"/>
      <c r="K240" s="1" t="n"/>
      <c r="L240" s="1" t="n"/>
      <c r="M240" s="1" t="n"/>
      <c r="N240" s="1" t="n"/>
      <c r="P240">
        <f>IF(OR(B240="",C240=""),"",B240+ROW()/10000000)</f>
        <v/>
      </c>
    </row>
    <row r="241">
      <c r="A241" s="1" t="n"/>
      <c r="B241" s="21" t="n"/>
      <c r="C241" s="24" t="n"/>
      <c r="D241" s="24" t="n"/>
      <c r="E241" s="24" t="n"/>
      <c r="F241" s="24" t="n"/>
      <c r="G241" s="24" t="n"/>
      <c r="H241" s="24" t="n"/>
      <c r="I241" s="26" t="n"/>
      <c r="J241" s="1" t="n"/>
      <c r="K241" s="1" t="n"/>
      <c r="L241" s="1" t="n"/>
      <c r="M241" s="1" t="n"/>
      <c r="N241" s="1" t="n"/>
      <c r="P241">
        <f>IF(OR(B241="",C241=""),"",B241+ROW()/10000000)</f>
        <v/>
      </c>
    </row>
    <row r="242">
      <c r="A242" s="1" t="n"/>
      <c r="B242" s="21" t="n"/>
      <c r="C242" s="24" t="n"/>
      <c r="D242" s="24" t="n"/>
      <c r="E242" s="24" t="n"/>
      <c r="F242" s="24" t="n"/>
      <c r="G242" s="24" t="n"/>
      <c r="H242" s="24" t="n"/>
      <c r="I242" s="26" t="n"/>
      <c r="J242" s="1" t="n"/>
      <c r="K242" s="1" t="n"/>
      <c r="L242" s="1" t="n"/>
      <c r="M242" s="1" t="n"/>
      <c r="N242" s="1" t="n"/>
      <c r="P242">
        <f>IF(OR(B242="",C242=""),"",B242+ROW()/10000000)</f>
        <v/>
      </c>
    </row>
    <row r="243">
      <c r="A243" s="1" t="n"/>
      <c r="B243" s="21" t="n"/>
      <c r="C243" s="24" t="n"/>
      <c r="D243" s="24" t="n"/>
      <c r="E243" s="24" t="n"/>
      <c r="F243" s="24" t="n"/>
      <c r="G243" s="24" t="n"/>
      <c r="H243" s="24" t="n"/>
      <c r="I243" s="26" t="n"/>
      <c r="J243" s="1" t="n"/>
      <c r="K243" s="1" t="n"/>
      <c r="L243" s="1" t="n"/>
      <c r="M243" s="1" t="n"/>
      <c r="N243" s="1" t="n"/>
      <c r="P243">
        <f>IF(OR(B243="",C243=""),"",B243+ROW()/10000000)</f>
        <v/>
      </c>
    </row>
    <row r="244">
      <c r="A244" s="1" t="n"/>
      <c r="B244" s="21" t="n"/>
      <c r="C244" s="24" t="n"/>
      <c r="D244" s="24" t="n"/>
      <c r="E244" s="24" t="n"/>
      <c r="F244" s="24" t="n"/>
      <c r="G244" s="24" t="n"/>
      <c r="H244" s="24" t="n"/>
      <c r="I244" s="26" t="n"/>
      <c r="J244" s="1" t="n"/>
      <c r="K244" s="1" t="n"/>
      <c r="L244" s="1" t="n"/>
      <c r="M244" s="1" t="n"/>
      <c r="N244" s="1" t="n"/>
      <c r="P244">
        <f>IF(OR(B244="",C244=""),"",B244+ROW()/10000000)</f>
        <v/>
      </c>
    </row>
    <row r="245">
      <c r="A245" s="1" t="n"/>
      <c r="B245" s="21" t="n"/>
      <c r="C245" s="24" t="n"/>
      <c r="D245" s="24" t="n"/>
      <c r="E245" s="24" t="n"/>
      <c r="F245" s="24" t="n"/>
      <c r="G245" s="24" t="n"/>
      <c r="H245" s="24" t="n"/>
      <c r="I245" s="26" t="n"/>
      <c r="J245" s="1" t="n"/>
      <c r="K245" s="1" t="n"/>
      <c r="L245" s="1" t="n"/>
      <c r="M245" s="1" t="n"/>
      <c r="N245" s="1" t="n"/>
      <c r="P245">
        <f>IF(OR(B245="",C245=""),"",B245+ROW()/10000000)</f>
        <v/>
      </c>
    </row>
    <row r="246">
      <c r="A246" s="1" t="n"/>
      <c r="B246" s="21" t="n"/>
      <c r="C246" s="24" t="n"/>
      <c r="D246" s="24" t="n"/>
      <c r="E246" s="24" t="n"/>
      <c r="F246" s="24" t="n"/>
      <c r="G246" s="24" t="n"/>
      <c r="H246" s="24" t="n"/>
      <c r="I246" s="26" t="n"/>
      <c r="J246" s="1" t="n"/>
      <c r="K246" s="1" t="n"/>
      <c r="L246" s="1" t="n"/>
      <c r="M246" s="1" t="n"/>
      <c r="N246" s="1" t="n"/>
      <c r="P246">
        <f>IF(OR(B246="",C246=""),"",B246+ROW()/10000000)</f>
        <v/>
      </c>
    </row>
    <row r="247">
      <c r="A247" s="1" t="n"/>
      <c r="B247" s="21" t="n"/>
      <c r="C247" s="24" t="n"/>
      <c r="D247" s="24" t="n"/>
      <c r="E247" s="24" t="n"/>
      <c r="F247" s="24" t="n"/>
      <c r="G247" s="24" t="n"/>
      <c r="H247" s="24" t="n"/>
      <c r="I247" s="26" t="n"/>
      <c r="J247" s="1" t="n"/>
      <c r="K247" s="1" t="n"/>
      <c r="L247" s="1" t="n"/>
      <c r="M247" s="1" t="n"/>
      <c r="N247" s="1" t="n"/>
      <c r="P247">
        <f>IF(OR(B247="",C247=""),"",B247+ROW()/10000000)</f>
        <v/>
      </c>
    </row>
    <row r="248">
      <c r="A248" s="1" t="n"/>
      <c r="B248" s="21" t="n"/>
      <c r="C248" s="24" t="n"/>
      <c r="D248" s="24" t="n"/>
      <c r="E248" s="24" t="n"/>
      <c r="F248" s="24" t="n"/>
      <c r="G248" s="24" t="n"/>
      <c r="H248" s="24" t="n"/>
      <c r="I248" s="26" t="n"/>
      <c r="J248" s="1" t="n"/>
      <c r="K248" s="1" t="n"/>
      <c r="L248" s="1" t="n"/>
      <c r="M248" s="1" t="n"/>
      <c r="N248" s="1" t="n"/>
      <c r="P248">
        <f>IF(OR(B248="",C248=""),"",B248+ROW()/10000000)</f>
        <v/>
      </c>
    </row>
    <row r="249">
      <c r="A249" s="1" t="n"/>
      <c r="B249" s="21" t="n"/>
      <c r="C249" s="24" t="n"/>
      <c r="D249" s="24" t="n"/>
      <c r="E249" s="24" t="n"/>
      <c r="F249" s="24" t="n"/>
      <c r="G249" s="24" t="n"/>
      <c r="H249" s="24" t="n"/>
      <c r="I249" s="26" t="n"/>
      <c r="J249" s="1" t="n"/>
      <c r="K249" s="1" t="n"/>
      <c r="L249" s="1" t="n"/>
      <c r="M249" s="1" t="n"/>
      <c r="N249" s="1" t="n"/>
      <c r="P249">
        <f>IF(OR(B249="",C249=""),"",B249+ROW()/10000000)</f>
        <v/>
      </c>
    </row>
    <row r="250">
      <c r="A250" s="1" t="n"/>
      <c r="B250" s="21" t="n"/>
      <c r="C250" s="24" t="n"/>
      <c r="D250" s="24" t="n"/>
      <c r="E250" s="24" t="n"/>
      <c r="F250" s="24" t="n"/>
      <c r="G250" s="24" t="n"/>
      <c r="H250" s="24" t="n"/>
      <c r="I250" s="26" t="n"/>
      <c r="J250" s="1" t="n"/>
      <c r="K250" s="1" t="n"/>
      <c r="L250" s="1" t="n"/>
      <c r="M250" s="1" t="n"/>
      <c r="N250" s="1" t="n"/>
      <c r="P250">
        <f>IF(OR(B250="",C250=""),"",B250+ROW()/10000000)</f>
        <v/>
      </c>
    </row>
    <row r="251">
      <c r="A251" s="1" t="n"/>
      <c r="B251" s="21" t="n"/>
      <c r="C251" s="24" t="n"/>
      <c r="D251" s="24" t="n"/>
      <c r="E251" s="24" t="n"/>
      <c r="F251" s="24" t="n"/>
      <c r="G251" s="24" t="n"/>
      <c r="H251" s="24" t="n"/>
      <c r="I251" s="26" t="n"/>
      <c r="J251" s="1" t="n"/>
      <c r="K251" s="1" t="n"/>
      <c r="L251" s="1" t="n"/>
      <c r="M251" s="1" t="n"/>
      <c r="N251" s="1" t="n"/>
      <c r="P251">
        <f>IF(OR(B251="",C251=""),"",B251+ROW()/10000000)</f>
        <v/>
      </c>
    </row>
    <row r="252">
      <c r="A252" s="1" t="n"/>
      <c r="B252" s="21" t="n"/>
      <c r="C252" s="24" t="n"/>
      <c r="D252" s="24" t="n"/>
      <c r="E252" s="24" t="n"/>
      <c r="F252" s="24" t="n"/>
      <c r="G252" s="24" t="n"/>
      <c r="H252" s="24" t="n"/>
      <c r="I252" s="26" t="n"/>
      <c r="J252" s="1" t="n"/>
      <c r="K252" s="1" t="n"/>
      <c r="L252" s="1" t="n"/>
      <c r="M252" s="1" t="n"/>
      <c r="N252" s="1" t="n"/>
      <c r="P252">
        <f>IF(OR(B252="",C252=""),"",B252+ROW()/10000000)</f>
        <v/>
      </c>
    </row>
    <row r="253">
      <c r="A253" s="1" t="n"/>
      <c r="B253" s="21" t="n"/>
      <c r="C253" s="24" t="n"/>
      <c r="D253" s="24" t="n"/>
      <c r="E253" s="24" t="n"/>
      <c r="F253" s="24" t="n"/>
      <c r="G253" s="24" t="n"/>
      <c r="H253" s="24" t="n"/>
      <c r="I253" s="26" t="n"/>
      <c r="J253" s="1" t="n"/>
      <c r="K253" s="1" t="n"/>
      <c r="L253" s="1" t="n"/>
      <c r="M253" s="1" t="n"/>
      <c r="N253" s="1" t="n"/>
      <c r="P253">
        <f>IF(OR(B253="",C253=""),"",B253+ROW()/10000000)</f>
        <v/>
      </c>
    </row>
    <row r="254">
      <c r="A254" s="1" t="n"/>
      <c r="B254" s="21" t="n"/>
      <c r="C254" s="24" t="n"/>
      <c r="D254" s="24" t="n"/>
      <c r="E254" s="24" t="n"/>
      <c r="F254" s="24" t="n"/>
      <c r="G254" s="24" t="n"/>
      <c r="H254" s="24" t="n"/>
      <c r="I254" s="26" t="n"/>
      <c r="J254" s="1" t="n"/>
      <c r="K254" s="1" t="n"/>
      <c r="L254" s="1" t="n"/>
      <c r="M254" s="1" t="n"/>
      <c r="N254" s="1" t="n"/>
      <c r="P254">
        <f>IF(OR(B254="",C254=""),"",B254+ROW()/10000000)</f>
        <v/>
      </c>
    </row>
    <row r="255">
      <c r="A255" s="1" t="n"/>
      <c r="B255" s="21" t="n"/>
      <c r="C255" s="24" t="n"/>
      <c r="D255" s="24" t="n"/>
      <c r="E255" s="24" t="n"/>
      <c r="F255" s="24" t="n"/>
      <c r="G255" s="24" t="n"/>
      <c r="H255" s="24" t="n"/>
      <c r="I255" s="26" t="n"/>
      <c r="J255" s="1" t="n"/>
      <c r="K255" s="1" t="n"/>
      <c r="L255" s="1" t="n"/>
      <c r="M255" s="1" t="n"/>
      <c r="N255" s="1" t="n"/>
      <c r="P255">
        <f>IF(OR(B255="",C255=""),"",B255+ROW()/10000000)</f>
        <v/>
      </c>
    </row>
    <row r="256">
      <c r="A256" s="1" t="n"/>
      <c r="B256" s="21" t="n"/>
      <c r="C256" s="24" t="n"/>
      <c r="D256" s="24" t="n"/>
      <c r="E256" s="24" t="n"/>
      <c r="F256" s="24" t="n"/>
      <c r="G256" s="24" t="n"/>
      <c r="H256" s="24" t="n"/>
      <c r="I256" s="26" t="n"/>
      <c r="J256" s="1" t="n"/>
      <c r="K256" s="1" t="n"/>
      <c r="L256" s="1" t="n"/>
      <c r="M256" s="1" t="n"/>
      <c r="N256" s="1" t="n"/>
      <c r="P256">
        <f>IF(OR(B256="",C256=""),"",B256+ROW()/10000000)</f>
        <v/>
      </c>
    </row>
    <row r="257">
      <c r="A257" s="1" t="n"/>
      <c r="B257" s="21" t="n"/>
      <c r="C257" s="24" t="n"/>
      <c r="D257" s="24" t="n"/>
      <c r="E257" s="24" t="n"/>
      <c r="F257" s="24" t="n"/>
      <c r="G257" s="24" t="n"/>
      <c r="H257" s="24" t="n"/>
      <c r="I257" s="26" t="n"/>
      <c r="J257" s="1" t="n"/>
      <c r="K257" s="1" t="n"/>
      <c r="L257" s="1" t="n"/>
      <c r="M257" s="1" t="n"/>
      <c r="N257" s="1" t="n"/>
      <c r="P257">
        <f>IF(OR(B257="",C257=""),"",B257+ROW()/10000000)</f>
        <v/>
      </c>
    </row>
    <row r="258">
      <c r="A258" s="1" t="n"/>
      <c r="B258" s="21" t="n"/>
      <c r="C258" s="24" t="n"/>
      <c r="D258" s="24" t="n"/>
      <c r="E258" s="24" t="n"/>
      <c r="F258" s="24" t="n"/>
      <c r="G258" s="24" t="n"/>
      <c r="H258" s="24" t="n"/>
      <c r="I258" s="26" t="n"/>
      <c r="J258" s="1" t="n"/>
      <c r="K258" s="1" t="n"/>
      <c r="L258" s="1" t="n"/>
      <c r="M258" s="1" t="n"/>
      <c r="N258" s="1" t="n"/>
      <c r="P258">
        <f>IF(OR(B258="",C258=""),"",B258+ROW()/10000000)</f>
        <v/>
      </c>
    </row>
    <row r="259">
      <c r="A259" s="1" t="n"/>
      <c r="B259" s="21" t="n"/>
      <c r="C259" s="24" t="n"/>
      <c r="D259" s="24" t="n"/>
      <c r="E259" s="24" t="n"/>
      <c r="F259" s="24" t="n"/>
      <c r="G259" s="24" t="n"/>
      <c r="H259" s="24" t="n"/>
      <c r="I259" s="26" t="n"/>
      <c r="J259" s="1" t="n"/>
      <c r="K259" s="1" t="n"/>
      <c r="L259" s="1" t="n"/>
      <c r="M259" s="1" t="n"/>
      <c r="N259" s="1" t="n"/>
      <c r="P259">
        <f>IF(OR(B259="",C259=""),"",B259+ROW()/10000000)</f>
        <v/>
      </c>
    </row>
    <row r="260">
      <c r="A260" s="1" t="n"/>
      <c r="B260" s="21" t="n"/>
      <c r="C260" s="24" t="n"/>
      <c r="D260" s="24" t="n"/>
      <c r="E260" s="24" t="n"/>
      <c r="F260" s="24" t="n"/>
      <c r="G260" s="24" t="n"/>
      <c r="H260" s="24" t="n"/>
      <c r="I260" s="26" t="n"/>
      <c r="J260" s="1" t="n"/>
      <c r="K260" s="1" t="n"/>
      <c r="L260" s="1" t="n"/>
      <c r="M260" s="1" t="n"/>
      <c r="N260" s="1" t="n"/>
      <c r="P260">
        <f>IF(OR(B260="",C260=""),"",B260+ROW()/10000000)</f>
        <v/>
      </c>
    </row>
    <row r="261">
      <c r="A261" s="1" t="n"/>
      <c r="B261" s="21" t="n"/>
      <c r="C261" s="24" t="n"/>
      <c r="D261" s="24" t="n"/>
      <c r="E261" s="24" t="n"/>
      <c r="F261" s="24" t="n"/>
      <c r="G261" s="24" t="n"/>
      <c r="H261" s="24" t="n"/>
      <c r="I261" s="26" t="n"/>
      <c r="J261" s="1" t="n"/>
      <c r="K261" s="1" t="n"/>
      <c r="L261" s="1" t="n"/>
      <c r="M261" s="1" t="n"/>
      <c r="N261" s="1" t="n"/>
      <c r="P261">
        <f>IF(OR(B261="",C261=""),"",B261+ROW()/10000000)</f>
        <v/>
      </c>
    </row>
    <row r="262">
      <c r="A262" s="1" t="n"/>
      <c r="B262" s="21" t="n"/>
      <c r="C262" s="24" t="n"/>
      <c r="D262" s="24" t="n"/>
      <c r="E262" s="24" t="n"/>
      <c r="F262" s="24" t="n"/>
      <c r="G262" s="24" t="n"/>
      <c r="H262" s="24" t="n"/>
      <c r="I262" s="26" t="n"/>
      <c r="J262" s="1" t="n"/>
      <c r="K262" s="1" t="n"/>
      <c r="L262" s="1" t="n"/>
      <c r="M262" s="1" t="n"/>
      <c r="N262" s="1" t="n"/>
      <c r="P262">
        <f>IF(OR(B262="",C262=""),"",B262+ROW()/10000000)</f>
        <v/>
      </c>
    </row>
    <row r="263">
      <c r="A263" s="1" t="n"/>
      <c r="B263" s="21" t="n"/>
      <c r="C263" s="24" t="n"/>
      <c r="D263" s="24" t="n"/>
      <c r="E263" s="24" t="n"/>
      <c r="F263" s="24" t="n"/>
      <c r="G263" s="24" t="n"/>
      <c r="H263" s="24" t="n"/>
      <c r="I263" s="26" t="n"/>
      <c r="J263" s="1" t="n"/>
      <c r="K263" s="1" t="n"/>
      <c r="L263" s="1" t="n"/>
      <c r="M263" s="1" t="n"/>
      <c r="N263" s="1" t="n"/>
      <c r="P263">
        <f>IF(OR(B263="",C263=""),"",B263+ROW()/10000000)</f>
        <v/>
      </c>
    </row>
    <row r="264">
      <c r="A264" s="1" t="n"/>
      <c r="B264" s="21" t="n"/>
      <c r="C264" s="24" t="n"/>
      <c r="D264" s="24" t="n"/>
      <c r="E264" s="24" t="n"/>
      <c r="F264" s="24" t="n"/>
      <c r="G264" s="24" t="n"/>
      <c r="H264" s="24" t="n"/>
      <c r="I264" s="26" t="n"/>
      <c r="J264" s="1" t="n"/>
      <c r="K264" s="1" t="n"/>
      <c r="L264" s="1" t="n"/>
      <c r="M264" s="1" t="n"/>
      <c r="N264" s="1" t="n"/>
      <c r="P264">
        <f>IF(OR(B264="",C264=""),"",B264+ROW()/10000000)</f>
        <v/>
      </c>
    </row>
    <row r="265">
      <c r="A265" s="1" t="n"/>
      <c r="B265" s="21" t="n"/>
      <c r="C265" s="24" t="n"/>
      <c r="D265" s="24" t="n"/>
      <c r="E265" s="24" t="n"/>
      <c r="F265" s="24" t="n"/>
      <c r="G265" s="24" t="n"/>
      <c r="H265" s="24" t="n"/>
      <c r="I265" s="26" t="n"/>
      <c r="J265" s="1" t="n"/>
      <c r="K265" s="1" t="n"/>
      <c r="L265" s="1" t="n"/>
      <c r="M265" s="1" t="n"/>
      <c r="N265" s="1" t="n"/>
      <c r="P265">
        <f>IF(OR(B265="",C265=""),"",B265+ROW()/10000000)</f>
        <v/>
      </c>
    </row>
    <row r="266">
      <c r="A266" s="1" t="n"/>
      <c r="B266" s="21" t="n"/>
      <c r="C266" s="24" t="n"/>
      <c r="D266" s="24" t="n"/>
      <c r="E266" s="24" t="n"/>
      <c r="F266" s="24" t="n"/>
      <c r="G266" s="24" t="n"/>
      <c r="H266" s="24" t="n"/>
      <c r="I266" s="26" t="n"/>
      <c r="J266" s="1" t="n"/>
      <c r="K266" s="1" t="n"/>
      <c r="L266" s="1" t="n"/>
      <c r="M266" s="1" t="n"/>
      <c r="N266" s="1" t="n"/>
      <c r="P266">
        <f>IF(OR(B266="",C266=""),"",B266+ROW()/10000000)</f>
        <v/>
      </c>
    </row>
    <row r="267">
      <c r="A267" s="1" t="n"/>
      <c r="B267" s="21" t="n"/>
      <c r="C267" s="24" t="n"/>
      <c r="D267" s="24" t="n"/>
      <c r="E267" s="24" t="n"/>
      <c r="F267" s="24" t="n"/>
      <c r="G267" s="24" t="n"/>
      <c r="H267" s="24" t="n"/>
      <c r="I267" s="26" t="n"/>
      <c r="J267" s="1" t="n"/>
      <c r="K267" s="1" t="n"/>
      <c r="L267" s="1" t="n"/>
      <c r="M267" s="1" t="n"/>
      <c r="N267" s="1" t="n"/>
      <c r="P267">
        <f>IF(OR(B267="",C267=""),"",B267+ROW()/10000000)</f>
        <v/>
      </c>
    </row>
    <row r="268">
      <c r="A268" s="1" t="n"/>
      <c r="B268" s="21" t="n"/>
      <c r="C268" s="24" t="n"/>
      <c r="D268" s="24" t="n"/>
      <c r="E268" s="24" t="n"/>
      <c r="F268" s="24" t="n"/>
      <c r="G268" s="24" t="n"/>
      <c r="H268" s="24" t="n"/>
      <c r="I268" s="26" t="n"/>
      <c r="J268" s="1" t="n"/>
      <c r="K268" s="1" t="n"/>
      <c r="L268" s="1" t="n"/>
      <c r="M268" s="1" t="n"/>
      <c r="N268" s="1" t="n"/>
      <c r="P268">
        <f>IF(OR(B268="",C268=""),"",B268+ROW()/10000000)</f>
        <v/>
      </c>
    </row>
    <row r="269">
      <c r="A269" s="1" t="n"/>
      <c r="B269" s="21" t="n"/>
      <c r="C269" s="24" t="n"/>
      <c r="D269" s="24" t="n"/>
      <c r="E269" s="24" t="n"/>
      <c r="F269" s="24" t="n"/>
      <c r="G269" s="24" t="n"/>
      <c r="H269" s="24" t="n"/>
      <c r="I269" s="26" t="n"/>
      <c r="J269" s="1" t="n"/>
      <c r="K269" s="1" t="n"/>
      <c r="L269" s="1" t="n"/>
      <c r="M269" s="1" t="n"/>
      <c r="N269" s="1" t="n"/>
      <c r="P269">
        <f>IF(OR(B269="",C269=""),"",B269+ROW()/10000000)</f>
        <v/>
      </c>
    </row>
    <row r="270">
      <c r="A270" s="1" t="n"/>
      <c r="B270" s="21" t="n"/>
      <c r="C270" s="24" t="n"/>
      <c r="D270" s="24" t="n"/>
      <c r="E270" s="24" t="n"/>
      <c r="F270" s="24" t="n"/>
      <c r="G270" s="24" t="n"/>
      <c r="H270" s="24" t="n"/>
      <c r="I270" s="26" t="n"/>
      <c r="J270" s="1" t="n"/>
      <c r="K270" s="1" t="n"/>
      <c r="L270" s="1" t="n"/>
      <c r="M270" s="1" t="n"/>
      <c r="N270" s="1" t="n"/>
      <c r="P270">
        <f>IF(OR(B270="",C270=""),"",B270+ROW()/10000000)</f>
        <v/>
      </c>
    </row>
    <row r="271">
      <c r="A271" s="1" t="n"/>
      <c r="B271" s="21" t="n"/>
      <c r="C271" s="24" t="n"/>
      <c r="D271" s="24" t="n"/>
      <c r="E271" s="24" t="n"/>
      <c r="F271" s="24" t="n"/>
      <c r="G271" s="24" t="n"/>
      <c r="H271" s="24" t="n"/>
      <c r="I271" s="26" t="n"/>
      <c r="J271" s="1" t="n"/>
      <c r="K271" s="1" t="n"/>
      <c r="L271" s="1" t="n"/>
      <c r="M271" s="1" t="n"/>
      <c r="N271" s="1" t="n"/>
      <c r="P271">
        <f>IF(OR(B271="",C271=""),"",B271+ROW()/10000000)</f>
        <v/>
      </c>
    </row>
    <row r="272">
      <c r="A272" s="1" t="n"/>
      <c r="B272" s="21" t="n"/>
      <c r="C272" s="24" t="n"/>
      <c r="D272" s="24" t="n"/>
      <c r="E272" s="24" t="n"/>
      <c r="F272" s="24" t="n"/>
      <c r="G272" s="24" t="n"/>
      <c r="H272" s="24" t="n"/>
      <c r="I272" s="26" t="n"/>
      <c r="J272" s="1" t="n"/>
      <c r="K272" s="1" t="n"/>
      <c r="L272" s="1" t="n"/>
      <c r="M272" s="1" t="n"/>
      <c r="N272" s="1" t="n"/>
      <c r="P272">
        <f>IF(OR(B272="",C272=""),"",B272+ROW()/10000000)</f>
        <v/>
      </c>
    </row>
    <row r="273">
      <c r="A273" s="1" t="n"/>
      <c r="B273" s="21" t="n"/>
      <c r="C273" s="24" t="n"/>
      <c r="D273" s="24" t="n"/>
      <c r="E273" s="24" t="n"/>
      <c r="F273" s="24" t="n"/>
      <c r="G273" s="24" t="n"/>
      <c r="H273" s="24" t="n"/>
      <c r="I273" s="26" t="n"/>
      <c r="J273" s="1" t="n"/>
      <c r="K273" s="1" t="n"/>
      <c r="L273" s="1" t="n"/>
      <c r="M273" s="1" t="n"/>
      <c r="N273" s="1" t="n"/>
      <c r="P273">
        <f>IF(OR(B273="",C273=""),"",B273+ROW()/10000000)</f>
        <v/>
      </c>
    </row>
    <row r="274">
      <c r="A274" s="1" t="n"/>
      <c r="B274" s="21" t="n"/>
      <c r="C274" s="24" t="n"/>
      <c r="D274" s="24" t="n"/>
      <c r="E274" s="24" t="n"/>
      <c r="F274" s="24" t="n"/>
      <c r="G274" s="24" t="n"/>
      <c r="H274" s="24" t="n"/>
      <c r="I274" s="26" t="n"/>
      <c r="J274" s="1" t="n"/>
      <c r="K274" s="1" t="n"/>
      <c r="L274" s="1" t="n"/>
      <c r="M274" s="1" t="n"/>
      <c r="N274" s="1" t="n"/>
      <c r="P274">
        <f>IF(OR(B274="",C274=""),"",B274+ROW()/10000000)</f>
        <v/>
      </c>
    </row>
    <row r="275">
      <c r="A275" s="1" t="n"/>
      <c r="B275" s="21" t="n"/>
      <c r="C275" s="24" t="n"/>
      <c r="D275" s="24" t="n"/>
      <c r="E275" s="24" t="n"/>
      <c r="F275" s="24" t="n"/>
      <c r="G275" s="24" t="n"/>
      <c r="H275" s="24" t="n"/>
      <c r="I275" s="26" t="n"/>
      <c r="J275" s="1" t="n"/>
      <c r="K275" s="1" t="n"/>
      <c r="L275" s="1" t="n"/>
      <c r="M275" s="1" t="n"/>
      <c r="N275" s="1" t="n"/>
      <c r="P275">
        <f>IF(OR(B275="",C275=""),"",B275+ROW()/10000000)</f>
        <v/>
      </c>
    </row>
    <row r="276">
      <c r="A276" s="1" t="n"/>
      <c r="B276" s="21" t="n"/>
      <c r="C276" s="24" t="n"/>
      <c r="D276" s="24" t="n"/>
      <c r="E276" s="24" t="n"/>
      <c r="F276" s="24" t="n"/>
      <c r="G276" s="24" t="n"/>
      <c r="H276" s="24" t="n"/>
      <c r="I276" s="26" t="n"/>
      <c r="J276" s="1" t="n"/>
      <c r="K276" s="1" t="n"/>
      <c r="L276" s="1" t="n"/>
      <c r="M276" s="1" t="n"/>
      <c r="N276" s="1" t="n"/>
      <c r="P276">
        <f>IF(OR(B276="",C276=""),"",B276+ROW()/10000000)</f>
        <v/>
      </c>
    </row>
    <row r="277">
      <c r="A277" s="1" t="n"/>
      <c r="B277" s="21" t="n"/>
      <c r="C277" s="24" t="n"/>
      <c r="D277" s="24" t="n"/>
      <c r="E277" s="24" t="n"/>
      <c r="F277" s="24" t="n"/>
      <c r="G277" s="24" t="n"/>
      <c r="H277" s="24" t="n"/>
      <c r="I277" s="26" t="n"/>
      <c r="J277" s="1" t="n"/>
      <c r="K277" s="1" t="n"/>
      <c r="L277" s="1" t="n"/>
      <c r="M277" s="1" t="n"/>
      <c r="N277" s="1" t="n"/>
      <c r="P277">
        <f>IF(OR(B277="",C277=""),"",B277+ROW()/10000000)</f>
        <v/>
      </c>
    </row>
    <row r="278">
      <c r="A278" s="1" t="n"/>
      <c r="B278" s="21" t="n"/>
      <c r="C278" s="24" t="n"/>
      <c r="D278" s="24" t="n"/>
      <c r="E278" s="24" t="n"/>
      <c r="F278" s="24" t="n"/>
      <c r="G278" s="24" t="n"/>
      <c r="H278" s="24" t="n"/>
      <c r="I278" s="26" t="n"/>
      <c r="J278" s="1" t="n"/>
      <c r="K278" s="1" t="n"/>
      <c r="L278" s="1" t="n"/>
      <c r="M278" s="1" t="n"/>
      <c r="N278" s="1" t="n"/>
      <c r="P278">
        <f>IF(OR(B278="",C278=""),"",B278+ROW()/10000000)</f>
        <v/>
      </c>
    </row>
    <row r="279">
      <c r="A279" s="1" t="n"/>
      <c r="B279" s="21" t="n"/>
      <c r="C279" s="24" t="n"/>
      <c r="D279" s="24" t="n"/>
      <c r="E279" s="24" t="n"/>
      <c r="F279" s="24" t="n"/>
      <c r="G279" s="24" t="n"/>
      <c r="H279" s="24" t="n"/>
      <c r="I279" s="26" t="n"/>
      <c r="J279" s="1" t="n"/>
      <c r="K279" s="1" t="n"/>
      <c r="L279" s="1" t="n"/>
      <c r="M279" s="1" t="n"/>
      <c r="N279" s="1" t="n"/>
      <c r="P279">
        <f>IF(OR(B279="",C279=""),"",B279+ROW()/10000000)</f>
        <v/>
      </c>
    </row>
    <row r="280">
      <c r="A280" s="1" t="n"/>
      <c r="B280" s="21" t="n"/>
      <c r="C280" s="24" t="n"/>
      <c r="D280" s="24" t="n"/>
      <c r="E280" s="24" t="n"/>
      <c r="F280" s="24" t="n"/>
      <c r="G280" s="24" t="n"/>
      <c r="H280" s="24" t="n"/>
      <c r="I280" s="26" t="n"/>
      <c r="J280" s="1" t="n"/>
      <c r="K280" s="1" t="n"/>
      <c r="L280" s="1" t="n"/>
      <c r="M280" s="1" t="n"/>
      <c r="N280" s="1" t="n"/>
      <c r="P280">
        <f>IF(OR(B280="",C280=""),"",B280+ROW()/10000000)</f>
        <v/>
      </c>
    </row>
    <row r="281">
      <c r="A281" s="1" t="n"/>
      <c r="B281" s="21" t="n"/>
      <c r="C281" s="24" t="n"/>
      <c r="D281" s="24" t="n"/>
      <c r="E281" s="24" t="n"/>
      <c r="F281" s="24" t="n"/>
      <c r="G281" s="24" t="n"/>
      <c r="H281" s="24" t="n"/>
      <c r="I281" s="26" t="n"/>
      <c r="J281" s="1" t="n"/>
      <c r="K281" s="1" t="n"/>
      <c r="L281" s="1" t="n"/>
      <c r="M281" s="1" t="n"/>
      <c r="N281" s="1" t="n"/>
      <c r="P281">
        <f>IF(OR(B281="",C281=""),"",B281+ROW()/10000000)</f>
        <v/>
      </c>
    </row>
    <row r="282">
      <c r="A282" s="1" t="n"/>
      <c r="B282" s="21" t="n"/>
      <c r="C282" s="24" t="n"/>
      <c r="D282" s="24" t="n"/>
      <c r="E282" s="24" t="n"/>
      <c r="F282" s="24" t="n"/>
      <c r="G282" s="24" t="n"/>
      <c r="H282" s="24" t="n"/>
      <c r="I282" s="26" t="n"/>
      <c r="J282" s="1" t="n"/>
      <c r="K282" s="1" t="n"/>
      <c r="L282" s="1" t="n"/>
      <c r="M282" s="1" t="n"/>
      <c r="N282" s="1" t="n"/>
      <c r="P282">
        <f>IF(OR(B282="",C282=""),"",B282+ROW()/10000000)</f>
        <v/>
      </c>
    </row>
    <row r="283">
      <c r="A283" s="1" t="n"/>
      <c r="B283" s="21" t="n"/>
      <c r="C283" s="24" t="n"/>
      <c r="D283" s="24" t="n"/>
      <c r="E283" s="24" t="n"/>
      <c r="F283" s="24" t="n"/>
      <c r="G283" s="24" t="n"/>
      <c r="H283" s="24" t="n"/>
      <c r="I283" s="26" t="n"/>
      <c r="J283" s="1" t="n"/>
      <c r="K283" s="1" t="n"/>
      <c r="L283" s="1" t="n"/>
      <c r="M283" s="1" t="n"/>
      <c r="N283" s="1" t="n"/>
      <c r="P283">
        <f>IF(OR(B283="",C283=""),"",B283+ROW()/10000000)</f>
        <v/>
      </c>
    </row>
    <row r="284">
      <c r="A284" s="1" t="n"/>
      <c r="B284" s="21" t="n"/>
      <c r="C284" s="24" t="n"/>
      <c r="D284" s="24" t="n"/>
      <c r="E284" s="24" t="n"/>
      <c r="F284" s="24" t="n"/>
      <c r="G284" s="24" t="n"/>
      <c r="H284" s="24" t="n"/>
      <c r="I284" s="26" t="n"/>
      <c r="J284" s="1" t="n"/>
      <c r="K284" s="1" t="n"/>
      <c r="L284" s="1" t="n"/>
      <c r="M284" s="1" t="n"/>
      <c r="N284" s="1" t="n"/>
      <c r="P284">
        <f>IF(OR(B284="",C284=""),"",B284+ROW()/10000000)</f>
        <v/>
      </c>
    </row>
    <row r="285">
      <c r="A285" s="1" t="n"/>
      <c r="B285" s="21" t="n"/>
      <c r="C285" s="24" t="n"/>
      <c r="D285" s="24" t="n"/>
      <c r="E285" s="24" t="n"/>
      <c r="F285" s="24" t="n"/>
      <c r="G285" s="24" t="n"/>
      <c r="H285" s="24" t="n"/>
      <c r="I285" s="26" t="n"/>
      <c r="J285" s="1" t="n"/>
      <c r="K285" s="1" t="n"/>
      <c r="L285" s="1" t="n"/>
      <c r="M285" s="1" t="n"/>
      <c r="N285" s="1" t="n"/>
      <c r="P285">
        <f>IF(OR(B285="",C285=""),"",B285+ROW()/10000000)</f>
        <v/>
      </c>
    </row>
    <row r="286">
      <c r="A286" s="1" t="n"/>
      <c r="B286" s="21" t="n"/>
      <c r="C286" s="24" t="n"/>
      <c r="D286" s="24" t="n"/>
      <c r="E286" s="24" t="n"/>
      <c r="F286" s="24" t="n"/>
      <c r="G286" s="24" t="n"/>
      <c r="H286" s="24" t="n"/>
      <c r="I286" s="26" t="n"/>
      <c r="J286" s="1" t="n"/>
      <c r="K286" s="1" t="n"/>
      <c r="L286" s="1" t="n"/>
      <c r="M286" s="1" t="n"/>
      <c r="N286" s="1" t="n"/>
      <c r="P286">
        <f>IF(OR(B286="",C286=""),"",B286+ROW()/10000000)</f>
        <v/>
      </c>
    </row>
    <row r="287">
      <c r="A287" s="1" t="n"/>
      <c r="B287" s="21" t="n"/>
      <c r="C287" s="24" t="n"/>
      <c r="D287" s="24" t="n"/>
      <c r="E287" s="24" t="n"/>
      <c r="F287" s="24" t="n"/>
      <c r="G287" s="24" t="n"/>
      <c r="H287" s="24" t="n"/>
      <c r="I287" s="26" t="n"/>
      <c r="J287" s="1" t="n"/>
      <c r="K287" s="1" t="n"/>
      <c r="L287" s="1" t="n"/>
      <c r="M287" s="1" t="n"/>
      <c r="N287" s="1" t="n"/>
      <c r="P287">
        <f>IF(OR(B287="",C287=""),"",B287+ROW()/10000000)</f>
        <v/>
      </c>
    </row>
    <row r="288">
      <c r="A288" s="1" t="n"/>
      <c r="B288" s="21" t="n"/>
      <c r="C288" s="24" t="n"/>
      <c r="D288" s="24" t="n"/>
      <c r="E288" s="24" t="n"/>
      <c r="F288" s="24" t="n"/>
      <c r="G288" s="24" t="n"/>
      <c r="H288" s="24" t="n"/>
      <c r="I288" s="26" t="n"/>
      <c r="J288" s="1" t="n"/>
      <c r="K288" s="1" t="n"/>
      <c r="L288" s="1" t="n"/>
      <c r="M288" s="1" t="n"/>
      <c r="N288" s="1" t="n"/>
      <c r="P288">
        <f>IF(OR(B288="",C288=""),"",B288+ROW()/10000000)</f>
        <v/>
      </c>
    </row>
    <row r="289">
      <c r="A289" s="1" t="n"/>
      <c r="B289" s="21" t="n"/>
      <c r="C289" s="24" t="n"/>
      <c r="D289" s="24" t="n"/>
      <c r="E289" s="24" t="n"/>
      <c r="F289" s="24" t="n"/>
      <c r="G289" s="24" t="n"/>
      <c r="H289" s="24" t="n"/>
      <c r="I289" s="26" t="n"/>
      <c r="J289" s="1" t="n"/>
      <c r="K289" s="1" t="n"/>
      <c r="L289" s="1" t="n"/>
      <c r="M289" s="1" t="n"/>
      <c r="N289" s="1" t="n"/>
      <c r="P289">
        <f>IF(OR(B289="",C289=""),"",B289+ROW()/10000000)</f>
        <v/>
      </c>
    </row>
    <row r="290">
      <c r="A290" s="1" t="n"/>
      <c r="B290" s="21" t="n"/>
      <c r="C290" s="24" t="n"/>
      <c r="D290" s="24" t="n"/>
      <c r="E290" s="24" t="n"/>
      <c r="F290" s="24" t="n"/>
      <c r="G290" s="24" t="n"/>
      <c r="H290" s="24" t="n"/>
      <c r="I290" s="26" t="n"/>
      <c r="J290" s="1" t="n"/>
      <c r="K290" s="1" t="n"/>
      <c r="L290" s="1" t="n"/>
      <c r="M290" s="1" t="n"/>
      <c r="N290" s="1" t="n"/>
      <c r="P290">
        <f>IF(OR(B290="",C290=""),"",B290+ROW()/10000000)</f>
        <v/>
      </c>
    </row>
    <row r="291">
      <c r="A291" s="1" t="n"/>
      <c r="B291" s="21" t="n"/>
      <c r="C291" s="24" t="n"/>
      <c r="D291" s="24" t="n"/>
      <c r="E291" s="24" t="n"/>
      <c r="F291" s="24" t="n"/>
      <c r="G291" s="24" t="n"/>
      <c r="H291" s="24" t="n"/>
      <c r="I291" s="26" t="n"/>
      <c r="J291" s="1" t="n"/>
      <c r="K291" s="1" t="n"/>
      <c r="L291" s="1" t="n"/>
      <c r="M291" s="1" t="n"/>
      <c r="N291" s="1" t="n"/>
      <c r="P291">
        <f>IF(OR(B291="",C291=""),"",B291+ROW()/10000000)</f>
        <v/>
      </c>
    </row>
    <row r="292">
      <c r="A292" s="1" t="n"/>
      <c r="B292" s="21" t="n"/>
      <c r="C292" s="24" t="n"/>
      <c r="D292" s="24" t="n"/>
      <c r="E292" s="24" t="n"/>
      <c r="F292" s="24" t="n"/>
      <c r="G292" s="24" t="n"/>
      <c r="H292" s="24" t="n"/>
      <c r="I292" s="26" t="n"/>
      <c r="J292" s="1" t="n"/>
      <c r="K292" s="1" t="n"/>
      <c r="L292" s="1" t="n"/>
      <c r="M292" s="1" t="n"/>
      <c r="N292" s="1" t="n"/>
      <c r="P292">
        <f>IF(OR(B292="",C292=""),"",B292+ROW()/10000000)</f>
        <v/>
      </c>
    </row>
    <row r="293">
      <c r="A293" s="1" t="n"/>
      <c r="B293" s="21" t="n"/>
      <c r="C293" s="24" t="n"/>
      <c r="D293" s="24" t="n"/>
      <c r="E293" s="24" t="n"/>
      <c r="F293" s="24" t="n"/>
      <c r="G293" s="24" t="n"/>
      <c r="H293" s="24" t="n"/>
      <c r="I293" s="26" t="n"/>
      <c r="J293" s="1" t="n"/>
      <c r="K293" s="1" t="n"/>
      <c r="L293" s="1" t="n"/>
      <c r="M293" s="1" t="n"/>
      <c r="N293" s="1" t="n"/>
      <c r="P293">
        <f>IF(OR(B293="",C293=""),"",B293+ROW()/10000000)</f>
        <v/>
      </c>
    </row>
    <row r="294">
      <c r="A294" s="1" t="n"/>
      <c r="B294" s="21" t="n"/>
      <c r="C294" s="24" t="n"/>
      <c r="D294" s="24" t="n"/>
      <c r="E294" s="24" t="n"/>
      <c r="F294" s="24" t="n"/>
      <c r="G294" s="24" t="n"/>
      <c r="H294" s="24" t="n"/>
      <c r="I294" s="26" t="n"/>
      <c r="J294" s="1" t="n"/>
      <c r="K294" s="1" t="n"/>
      <c r="L294" s="1" t="n"/>
      <c r="M294" s="1" t="n"/>
      <c r="N294" s="1" t="n"/>
      <c r="P294">
        <f>IF(OR(B294="",C294=""),"",B294+ROW()/10000000)</f>
        <v/>
      </c>
    </row>
    <row r="295">
      <c r="A295" s="1" t="n"/>
      <c r="B295" s="21" t="n"/>
      <c r="C295" s="24" t="n"/>
      <c r="D295" s="24" t="n"/>
      <c r="E295" s="24" t="n"/>
      <c r="F295" s="24" t="n"/>
      <c r="G295" s="24" t="n"/>
      <c r="H295" s="24" t="n"/>
      <c r="I295" s="26" t="n"/>
      <c r="J295" s="1" t="n"/>
      <c r="K295" s="1" t="n"/>
      <c r="L295" s="1" t="n"/>
      <c r="M295" s="1" t="n"/>
      <c r="N295" s="1" t="n"/>
      <c r="P295">
        <f>IF(OR(B295="",C295=""),"",B295+ROW()/10000000)</f>
        <v/>
      </c>
    </row>
    <row r="296">
      <c r="A296" s="1" t="n"/>
      <c r="B296" s="21" t="n"/>
      <c r="C296" s="24" t="n"/>
      <c r="D296" s="24" t="n"/>
      <c r="E296" s="24" t="n"/>
      <c r="F296" s="24" t="n"/>
      <c r="G296" s="24" t="n"/>
      <c r="H296" s="24" t="n"/>
      <c r="I296" s="26" t="n"/>
      <c r="J296" s="1" t="n"/>
      <c r="K296" s="1" t="n"/>
      <c r="L296" s="1" t="n"/>
      <c r="M296" s="1" t="n"/>
      <c r="N296" s="1" t="n"/>
      <c r="P296">
        <f>IF(OR(B296="",C296=""),"",B296+ROW()/10000000)</f>
        <v/>
      </c>
    </row>
    <row r="297">
      <c r="A297" s="1" t="n"/>
      <c r="B297" s="21" t="n"/>
      <c r="C297" s="24" t="n"/>
      <c r="D297" s="24" t="n"/>
      <c r="E297" s="24" t="n"/>
      <c r="F297" s="24" t="n"/>
      <c r="G297" s="24" t="n"/>
      <c r="H297" s="24" t="n"/>
      <c r="I297" s="26" t="n"/>
      <c r="J297" s="1" t="n"/>
      <c r="K297" s="1" t="n"/>
      <c r="L297" s="1" t="n"/>
      <c r="M297" s="1" t="n"/>
      <c r="N297" s="1" t="n"/>
      <c r="P297">
        <f>IF(OR(B297="",C297=""),"",B297+ROW()/10000000)</f>
        <v/>
      </c>
    </row>
    <row r="298">
      <c r="A298" s="1" t="n"/>
      <c r="B298" s="21" t="n"/>
      <c r="C298" s="24" t="n"/>
      <c r="D298" s="24" t="n"/>
      <c r="E298" s="24" t="n"/>
      <c r="F298" s="24" t="n"/>
      <c r="G298" s="24" t="n"/>
      <c r="H298" s="24" t="n"/>
      <c r="I298" s="26" t="n"/>
      <c r="J298" s="1" t="n"/>
      <c r="K298" s="1" t="n"/>
      <c r="L298" s="1" t="n"/>
      <c r="M298" s="1" t="n"/>
      <c r="N298" s="1" t="n"/>
      <c r="P298">
        <f>IF(OR(B298="",C298=""),"",B298+ROW()/10000000)</f>
        <v/>
      </c>
    </row>
    <row r="299">
      <c r="A299" s="1" t="n"/>
      <c r="B299" s="21" t="n"/>
      <c r="C299" s="24" t="n"/>
      <c r="D299" s="24" t="n"/>
      <c r="E299" s="24" t="n"/>
      <c r="F299" s="24" t="n"/>
      <c r="G299" s="24" t="n"/>
      <c r="H299" s="24" t="n"/>
      <c r="I299" s="26" t="n"/>
      <c r="J299" s="1" t="n"/>
      <c r="K299" s="1" t="n"/>
      <c r="L299" s="1" t="n"/>
      <c r="M299" s="1" t="n"/>
      <c r="N299" s="1" t="n"/>
      <c r="P299">
        <f>IF(OR(B299="",C299=""),"",B299+ROW()/10000000)</f>
        <v/>
      </c>
    </row>
    <row r="300">
      <c r="A300" s="1" t="n"/>
      <c r="B300" s="21" t="n"/>
      <c r="C300" s="24" t="n"/>
      <c r="D300" s="24" t="n"/>
      <c r="E300" s="24" t="n"/>
      <c r="F300" s="24" t="n"/>
      <c r="G300" s="24" t="n"/>
      <c r="H300" s="24" t="n"/>
      <c r="I300" s="26" t="n"/>
      <c r="J300" s="1" t="n"/>
      <c r="K300" s="1" t="n"/>
      <c r="L300" s="1" t="n"/>
      <c r="M300" s="1" t="n"/>
      <c r="N300" s="1" t="n"/>
      <c r="P300">
        <f>IF(OR(B300="",C300=""),"",B300+ROW()/10000000)</f>
        <v/>
      </c>
    </row>
    <row r="301">
      <c r="A301" s="1" t="n"/>
      <c r="B301" s="21" t="n"/>
      <c r="C301" s="24" t="n"/>
      <c r="D301" s="24" t="n"/>
      <c r="E301" s="24" t="n"/>
      <c r="F301" s="24" t="n"/>
      <c r="G301" s="24" t="n"/>
      <c r="H301" s="24" t="n"/>
      <c r="I301" s="26" t="n"/>
      <c r="J301" s="1" t="n"/>
      <c r="K301" s="1" t="n"/>
      <c r="L301" s="1" t="n"/>
      <c r="M301" s="1" t="n"/>
      <c r="N301" s="1" t="n"/>
      <c r="P301">
        <f>IF(OR(B301="",C301=""),"",B301+ROW()/10000000)</f>
        <v/>
      </c>
    </row>
    <row r="302">
      <c r="A302" s="1" t="n"/>
      <c r="B302" s="21" t="n"/>
      <c r="C302" s="24" t="n"/>
      <c r="D302" s="24" t="n"/>
      <c r="E302" s="24" t="n"/>
      <c r="F302" s="24" t="n"/>
      <c r="G302" s="24" t="n"/>
      <c r="H302" s="24" t="n"/>
      <c r="I302" s="26" t="n"/>
      <c r="J302" s="1" t="n"/>
      <c r="K302" s="1" t="n"/>
      <c r="L302" s="1" t="n"/>
      <c r="M302" s="1" t="n"/>
      <c r="N302" s="1" t="n"/>
      <c r="P302">
        <f>IF(OR(B302="",C302=""),"",B302+ROW()/10000000)</f>
        <v/>
      </c>
    </row>
    <row r="303">
      <c r="A303" s="1" t="n"/>
      <c r="B303" s="21" t="n"/>
      <c r="C303" s="24" t="n"/>
      <c r="D303" s="24" t="n"/>
      <c r="E303" s="24" t="n"/>
      <c r="F303" s="24" t="n"/>
      <c r="G303" s="24" t="n"/>
      <c r="H303" s="24" t="n"/>
      <c r="I303" s="26" t="n"/>
      <c r="J303" s="1" t="n"/>
      <c r="K303" s="1" t="n"/>
      <c r="L303" s="1" t="n"/>
      <c r="M303" s="1" t="n"/>
      <c r="N303" s="1" t="n"/>
      <c r="P303">
        <f>IF(OR(B303="",C303=""),"",B303+ROW()/10000000)</f>
        <v/>
      </c>
    </row>
    <row r="304">
      <c r="A304" s="1" t="n"/>
      <c r="B304" s="21" t="n"/>
      <c r="C304" s="24" t="n"/>
      <c r="D304" s="24" t="n"/>
      <c r="E304" s="24" t="n"/>
      <c r="F304" s="24" t="n"/>
      <c r="G304" s="24" t="n"/>
      <c r="H304" s="24" t="n"/>
      <c r="I304" s="26" t="n"/>
      <c r="J304" s="1" t="n"/>
      <c r="K304" s="1" t="n"/>
      <c r="L304" s="1" t="n"/>
      <c r="M304" s="1" t="n"/>
      <c r="N304" s="1" t="n"/>
      <c r="P304">
        <f>IF(OR(B304="",C304=""),"",B304+ROW()/10000000)</f>
        <v/>
      </c>
    </row>
    <row r="305">
      <c r="A305" s="1" t="n"/>
      <c r="B305" s="21" t="n"/>
      <c r="C305" s="24" t="n"/>
      <c r="D305" s="24" t="n"/>
      <c r="E305" s="24" t="n"/>
      <c r="F305" s="24" t="n"/>
      <c r="G305" s="24" t="n"/>
      <c r="H305" s="24" t="n"/>
      <c r="I305" s="26" t="n"/>
      <c r="J305" s="1" t="n"/>
      <c r="K305" s="1" t="n"/>
      <c r="L305" s="1" t="n"/>
      <c r="M305" s="1" t="n"/>
      <c r="N305" s="1" t="n"/>
      <c r="P305">
        <f>IF(OR(B305="",C305=""),"",B305+ROW()/10000000)</f>
        <v/>
      </c>
    </row>
    <row r="306">
      <c r="A306" s="1" t="n"/>
      <c r="B306" s="21" t="n"/>
      <c r="C306" s="24" t="n"/>
      <c r="D306" s="24" t="n"/>
      <c r="E306" s="24" t="n"/>
      <c r="F306" s="24" t="n"/>
      <c r="G306" s="24" t="n"/>
      <c r="H306" s="24" t="n"/>
      <c r="I306" s="26" t="n"/>
      <c r="J306" s="1" t="n"/>
      <c r="K306" s="1" t="n"/>
      <c r="L306" s="1" t="n"/>
      <c r="M306" s="1" t="n"/>
      <c r="N306" s="1" t="n"/>
      <c r="P306">
        <f>IF(OR(B306="",C306=""),"",B306+ROW()/10000000)</f>
        <v/>
      </c>
    </row>
    <row r="307">
      <c r="A307" s="1" t="n"/>
      <c r="B307" s="21" t="n"/>
      <c r="C307" s="24" t="n"/>
      <c r="D307" s="24" t="n"/>
      <c r="E307" s="24" t="n"/>
      <c r="F307" s="24" t="n"/>
      <c r="G307" s="24" t="n"/>
      <c r="H307" s="24" t="n"/>
      <c r="I307" s="26" t="n"/>
      <c r="J307" s="1" t="n"/>
      <c r="K307" s="1" t="n"/>
      <c r="L307" s="1" t="n"/>
      <c r="M307" s="1" t="n"/>
      <c r="N307" s="1" t="n"/>
      <c r="P307">
        <f>IF(OR(B307="",C307=""),"",B307+ROW()/10000000)</f>
        <v/>
      </c>
    </row>
    <row r="308">
      <c r="A308" s="1" t="n"/>
      <c r="B308" s="21" t="n"/>
      <c r="C308" s="24" t="n"/>
      <c r="D308" s="24" t="n"/>
      <c r="E308" s="24" t="n"/>
      <c r="F308" s="24" t="n"/>
      <c r="G308" s="24" t="n"/>
      <c r="H308" s="24" t="n"/>
      <c r="I308" s="26" t="n"/>
      <c r="J308" s="1" t="n"/>
      <c r="K308" s="1" t="n"/>
      <c r="L308" s="1" t="n"/>
      <c r="M308" s="1" t="n"/>
      <c r="N308" s="1" t="n"/>
      <c r="P308">
        <f>IF(OR(B308="",C308=""),"",B308+ROW()/10000000)</f>
        <v/>
      </c>
    </row>
    <row r="309">
      <c r="A309" s="1" t="n"/>
      <c r="B309" s="21" t="n"/>
      <c r="C309" s="24" t="n"/>
      <c r="D309" s="24" t="n"/>
      <c r="E309" s="24" t="n"/>
      <c r="F309" s="24" t="n"/>
      <c r="G309" s="24" t="n"/>
      <c r="H309" s="24" t="n"/>
      <c r="I309" s="26" t="n"/>
      <c r="J309" s="1" t="n"/>
      <c r="K309" s="1" t="n"/>
      <c r="L309" s="1" t="n"/>
      <c r="M309" s="1" t="n"/>
      <c r="N309" s="1" t="n"/>
      <c r="P309">
        <f>IF(OR(B309="",C309=""),"",B309+ROW()/10000000)</f>
        <v/>
      </c>
    </row>
    <row r="310">
      <c r="A310" s="1" t="n"/>
      <c r="B310" s="21" t="n"/>
      <c r="C310" s="24" t="n"/>
      <c r="D310" s="24" t="n"/>
      <c r="E310" s="24" t="n"/>
      <c r="F310" s="24" t="n"/>
      <c r="G310" s="24" t="n"/>
      <c r="H310" s="24" t="n"/>
      <c r="I310" s="26" t="n"/>
      <c r="J310" s="1" t="n"/>
      <c r="K310" s="1" t="n"/>
      <c r="L310" s="1" t="n"/>
      <c r="M310" s="1" t="n"/>
      <c r="N310" s="1" t="n"/>
      <c r="P310">
        <f>IF(OR(B310="",C310=""),"",B310+ROW()/10000000)</f>
        <v/>
      </c>
    </row>
    <row r="311">
      <c r="A311" s="1" t="n"/>
      <c r="B311" s="21" t="n"/>
      <c r="C311" s="24" t="n"/>
      <c r="D311" s="24" t="n"/>
      <c r="E311" s="24" t="n"/>
      <c r="F311" s="24" t="n"/>
      <c r="G311" s="24" t="n"/>
      <c r="H311" s="24" t="n"/>
      <c r="I311" s="26" t="n"/>
      <c r="J311" s="1" t="n"/>
      <c r="K311" s="1" t="n"/>
      <c r="L311" s="1" t="n"/>
      <c r="M311" s="1" t="n"/>
      <c r="N311" s="1" t="n"/>
      <c r="P311">
        <f>IF(OR(B311="",C311=""),"",B311+ROW()/10000000)</f>
        <v/>
      </c>
    </row>
    <row r="312">
      <c r="A312" s="1" t="n"/>
      <c r="B312" s="21" t="n"/>
      <c r="C312" s="24" t="n"/>
      <c r="D312" s="24" t="n"/>
      <c r="E312" s="24" t="n"/>
      <c r="F312" s="24" t="n"/>
      <c r="G312" s="24" t="n"/>
      <c r="H312" s="24" t="n"/>
      <c r="I312" s="26" t="n"/>
      <c r="J312" s="1" t="n"/>
      <c r="K312" s="1" t="n"/>
      <c r="L312" s="1" t="n"/>
      <c r="M312" s="1" t="n"/>
      <c r="N312" s="1" t="n"/>
      <c r="P312">
        <f>IF(OR(B312="",C312=""),"",B312+ROW()/10000000)</f>
        <v/>
      </c>
    </row>
    <row r="313">
      <c r="A313" s="1" t="n"/>
      <c r="B313" s="21" t="n"/>
      <c r="C313" s="24" t="n"/>
      <c r="D313" s="24" t="n"/>
      <c r="E313" s="24" t="n"/>
      <c r="F313" s="24" t="n"/>
      <c r="G313" s="24" t="n"/>
      <c r="H313" s="24" t="n"/>
      <c r="I313" s="26" t="n"/>
      <c r="J313" s="1" t="n"/>
      <c r="K313" s="1" t="n"/>
      <c r="L313" s="1" t="n"/>
      <c r="M313" s="1" t="n"/>
      <c r="N313" s="1" t="n"/>
      <c r="P313">
        <f>IF(OR(B313="",C313=""),"",B313+ROW()/10000000)</f>
        <v/>
      </c>
    </row>
    <row r="314">
      <c r="A314" s="1" t="n"/>
      <c r="B314" s="21" t="n"/>
      <c r="C314" s="24" t="n"/>
      <c r="D314" s="24" t="n"/>
      <c r="E314" s="24" t="n"/>
      <c r="F314" s="24" t="n"/>
      <c r="G314" s="24" t="n"/>
      <c r="H314" s="24" t="n"/>
      <c r="I314" s="26" t="n"/>
      <c r="J314" s="1" t="n"/>
      <c r="K314" s="1" t="n"/>
      <c r="L314" s="1" t="n"/>
      <c r="M314" s="1" t="n"/>
      <c r="N314" s="1" t="n"/>
      <c r="P314">
        <f>IF(OR(B314="",C314=""),"",B314+ROW()/10000000)</f>
        <v/>
      </c>
    </row>
    <row r="315">
      <c r="A315" s="1" t="n"/>
      <c r="B315" s="21" t="n"/>
      <c r="C315" s="24" t="n"/>
      <c r="D315" s="24" t="n"/>
      <c r="E315" s="24" t="n"/>
      <c r="F315" s="24" t="n"/>
      <c r="G315" s="24" t="n"/>
      <c r="H315" s="24" t="n"/>
      <c r="I315" s="26" t="n"/>
      <c r="J315" s="1" t="n"/>
      <c r="K315" s="1" t="n"/>
      <c r="L315" s="1" t="n"/>
      <c r="M315" s="1" t="n"/>
      <c r="N315" s="1" t="n"/>
      <c r="P315">
        <f>IF(OR(B315="",C315=""),"",B315+ROW()/10000000)</f>
        <v/>
      </c>
    </row>
    <row r="316">
      <c r="A316" s="1" t="n"/>
      <c r="B316" s="21" t="n"/>
      <c r="C316" s="24" t="n"/>
      <c r="D316" s="24" t="n"/>
      <c r="E316" s="24" t="n"/>
      <c r="F316" s="24" t="n"/>
      <c r="G316" s="24" t="n"/>
      <c r="H316" s="24" t="n"/>
      <c r="I316" s="26" t="n"/>
      <c r="J316" s="1" t="n"/>
      <c r="K316" s="1" t="n"/>
      <c r="L316" s="1" t="n"/>
      <c r="M316" s="1" t="n"/>
      <c r="N316" s="1" t="n"/>
      <c r="P316">
        <f>IF(OR(B316="",C316=""),"",B316+ROW()/10000000)</f>
        <v/>
      </c>
    </row>
    <row r="317">
      <c r="A317" s="1" t="n"/>
      <c r="B317" s="21" t="n"/>
      <c r="C317" s="24" t="n"/>
      <c r="D317" s="24" t="n"/>
      <c r="E317" s="24" t="n"/>
      <c r="F317" s="24" t="n"/>
      <c r="G317" s="24" t="n"/>
      <c r="H317" s="24" t="n"/>
      <c r="I317" s="26" t="n"/>
      <c r="J317" s="1" t="n"/>
      <c r="K317" s="1" t="n"/>
      <c r="L317" s="1" t="n"/>
      <c r="M317" s="1" t="n"/>
      <c r="N317" s="1" t="n"/>
      <c r="P317">
        <f>IF(OR(B317="",C317=""),"",B317+ROW()/10000000)</f>
        <v/>
      </c>
    </row>
    <row r="318">
      <c r="A318" s="1" t="n"/>
      <c r="B318" s="21" t="n"/>
      <c r="C318" s="24" t="n"/>
      <c r="D318" s="24" t="n"/>
      <c r="E318" s="24" t="n"/>
      <c r="F318" s="24" t="n"/>
      <c r="G318" s="24" t="n"/>
      <c r="H318" s="24" t="n"/>
      <c r="I318" s="26" t="n"/>
      <c r="J318" s="1" t="n"/>
      <c r="K318" s="1" t="n"/>
      <c r="L318" s="1" t="n"/>
      <c r="M318" s="1" t="n"/>
      <c r="N318" s="1" t="n"/>
      <c r="P318">
        <f>IF(OR(B318="",C318=""),"",B318+ROW()/10000000)</f>
        <v/>
      </c>
    </row>
    <row r="319">
      <c r="A319" s="1" t="n"/>
      <c r="B319" s="21" t="n"/>
      <c r="C319" s="24" t="n"/>
      <c r="D319" s="24" t="n"/>
      <c r="E319" s="24" t="n"/>
      <c r="F319" s="24" t="n"/>
      <c r="G319" s="24" t="n"/>
      <c r="H319" s="24" t="n"/>
      <c r="I319" s="26" t="n"/>
      <c r="J319" s="1" t="n"/>
      <c r="K319" s="1" t="n"/>
      <c r="L319" s="1" t="n"/>
      <c r="M319" s="1" t="n"/>
      <c r="N319" s="1" t="n"/>
      <c r="P319">
        <f>IF(OR(B319="",C319=""),"",B319+ROW()/10000000)</f>
        <v/>
      </c>
    </row>
    <row r="320">
      <c r="A320" s="1" t="n"/>
      <c r="B320" s="21" t="n"/>
      <c r="C320" s="24" t="n"/>
      <c r="D320" s="24" t="n"/>
      <c r="E320" s="24" t="n"/>
      <c r="F320" s="24" t="n"/>
      <c r="G320" s="24" t="n"/>
      <c r="H320" s="24" t="n"/>
      <c r="I320" s="26" t="n"/>
      <c r="J320" s="1" t="n"/>
      <c r="K320" s="1" t="n"/>
      <c r="L320" s="1" t="n"/>
      <c r="M320" s="1" t="n"/>
      <c r="N320" s="1" t="n"/>
      <c r="P320">
        <f>IF(OR(B320="",C320=""),"",B320+ROW()/10000000)</f>
        <v/>
      </c>
    </row>
    <row r="321">
      <c r="A321" s="1" t="n"/>
      <c r="B321" s="21" t="n"/>
      <c r="C321" s="24" t="n"/>
      <c r="D321" s="24" t="n"/>
      <c r="E321" s="24" t="n"/>
      <c r="F321" s="24" t="n"/>
      <c r="G321" s="24" t="n"/>
      <c r="H321" s="24" t="n"/>
      <c r="I321" s="26" t="n"/>
      <c r="J321" s="1" t="n"/>
      <c r="K321" s="1" t="n"/>
      <c r="L321" s="1" t="n"/>
      <c r="M321" s="1" t="n"/>
      <c r="N321" s="1" t="n"/>
      <c r="P321">
        <f>IF(OR(B321="",C321=""),"",B321+ROW()/10000000)</f>
        <v/>
      </c>
    </row>
    <row r="322">
      <c r="A322" s="1" t="n"/>
      <c r="B322" s="21" t="n"/>
      <c r="C322" s="24" t="n"/>
      <c r="D322" s="24" t="n"/>
      <c r="E322" s="24" t="n"/>
      <c r="F322" s="24" t="n"/>
      <c r="G322" s="24" t="n"/>
      <c r="H322" s="24" t="n"/>
      <c r="I322" s="26" t="n"/>
      <c r="J322" s="1" t="n"/>
      <c r="K322" s="1" t="n"/>
      <c r="L322" s="1" t="n"/>
      <c r="M322" s="1" t="n"/>
      <c r="N322" s="1" t="n"/>
      <c r="P322">
        <f>IF(OR(B322="",C322=""),"",B322+ROW()/10000000)</f>
        <v/>
      </c>
    </row>
    <row r="323">
      <c r="A323" s="1" t="n"/>
      <c r="B323" s="21" t="n"/>
      <c r="C323" s="24" t="n"/>
      <c r="D323" s="24" t="n"/>
      <c r="E323" s="24" t="n"/>
      <c r="F323" s="24" t="n"/>
      <c r="G323" s="24" t="n"/>
      <c r="H323" s="24" t="n"/>
      <c r="I323" s="26" t="n"/>
      <c r="J323" s="1" t="n"/>
      <c r="K323" s="1" t="n"/>
      <c r="L323" s="1" t="n"/>
      <c r="M323" s="1" t="n"/>
      <c r="N323" s="1" t="n"/>
      <c r="P323">
        <f>IF(OR(B323="",C323=""),"",B323+ROW()/10000000)</f>
        <v/>
      </c>
    </row>
    <row r="324">
      <c r="A324" s="1" t="n"/>
      <c r="B324" s="21" t="n"/>
      <c r="C324" s="24" t="n"/>
      <c r="D324" s="24" t="n"/>
      <c r="E324" s="24" t="n"/>
      <c r="F324" s="24" t="n"/>
      <c r="G324" s="24" t="n"/>
      <c r="H324" s="24" t="n"/>
      <c r="I324" s="26" t="n"/>
      <c r="J324" s="1" t="n"/>
      <c r="K324" s="1" t="n"/>
      <c r="L324" s="1" t="n"/>
      <c r="M324" s="1" t="n"/>
      <c r="N324" s="1" t="n"/>
      <c r="P324">
        <f>IF(OR(B324="",C324=""),"",B324+ROW()/10000000)</f>
        <v/>
      </c>
    </row>
    <row r="325">
      <c r="A325" s="1" t="n"/>
      <c r="B325" s="21" t="n"/>
      <c r="C325" s="24" t="n"/>
      <c r="D325" s="24" t="n"/>
      <c r="E325" s="24" t="n"/>
      <c r="F325" s="24" t="n"/>
      <c r="G325" s="24" t="n"/>
      <c r="H325" s="24" t="n"/>
      <c r="I325" s="26" t="n"/>
      <c r="J325" s="1" t="n"/>
      <c r="K325" s="1" t="n"/>
      <c r="L325" s="1" t="n"/>
      <c r="M325" s="1" t="n"/>
      <c r="N325" s="1" t="n"/>
      <c r="P325">
        <f>IF(OR(B325="",C325=""),"",B325+ROW()/10000000)</f>
        <v/>
      </c>
    </row>
    <row r="326">
      <c r="A326" s="1" t="n"/>
      <c r="B326" s="21" t="n"/>
      <c r="C326" s="24" t="n"/>
      <c r="D326" s="24" t="n"/>
      <c r="E326" s="24" t="n"/>
      <c r="F326" s="24" t="n"/>
      <c r="G326" s="24" t="n"/>
      <c r="H326" s="24" t="n"/>
      <c r="I326" s="26" t="n"/>
      <c r="J326" s="1" t="n"/>
      <c r="K326" s="1" t="n"/>
      <c r="L326" s="1" t="n"/>
      <c r="M326" s="1" t="n"/>
      <c r="N326" s="1" t="n"/>
      <c r="P326">
        <f>IF(OR(B326="",C326=""),"",B326+ROW()/10000000)</f>
        <v/>
      </c>
    </row>
    <row r="327">
      <c r="A327" s="1" t="n"/>
      <c r="B327" s="21" t="n"/>
      <c r="C327" s="24" t="n"/>
      <c r="D327" s="24" t="n"/>
      <c r="E327" s="24" t="n"/>
      <c r="F327" s="24" t="n"/>
      <c r="G327" s="24" t="n"/>
      <c r="H327" s="24" t="n"/>
      <c r="I327" s="26" t="n"/>
      <c r="J327" s="1" t="n"/>
      <c r="K327" s="1" t="n"/>
      <c r="L327" s="1" t="n"/>
      <c r="M327" s="1" t="n"/>
      <c r="N327" s="1" t="n"/>
      <c r="P327">
        <f>IF(OR(B327="",C327=""),"",B327+ROW()/10000000)</f>
        <v/>
      </c>
    </row>
    <row r="328">
      <c r="A328" s="1" t="n"/>
      <c r="B328" s="21" t="n"/>
      <c r="C328" s="24" t="n"/>
      <c r="D328" s="24" t="n"/>
      <c r="E328" s="24" t="n"/>
      <c r="F328" s="24" t="n"/>
      <c r="G328" s="24" t="n"/>
      <c r="H328" s="24" t="n"/>
      <c r="I328" s="26" t="n"/>
      <c r="J328" s="1" t="n"/>
      <c r="K328" s="1" t="n"/>
      <c r="L328" s="1" t="n"/>
      <c r="M328" s="1" t="n"/>
      <c r="N328" s="1" t="n"/>
      <c r="P328">
        <f>IF(OR(B328="",C328=""),"",B328+ROW()/10000000)</f>
        <v/>
      </c>
    </row>
    <row r="329">
      <c r="A329" s="1" t="n"/>
      <c r="B329" s="21" t="n"/>
      <c r="C329" s="24" t="n"/>
      <c r="D329" s="24" t="n"/>
      <c r="E329" s="24" t="n"/>
      <c r="F329" s="24" t="n"/>
      <c r="G329" s="24" t="n"/>
      <c r="H329" s="24" t="n"/>
      <c r="I329" s="26" t="n"/>
      <c r="J329" s="1" t="n"/>
      <c r="K329" s="1" t="n"/>
      <c r="L329" s="1" t="n"/>
      <c r="M329" s="1" t="n"/>
      <c r="N329" s="1" t="n"/>
      <c r="P329">
        <f>IF(OR(B329="",C329=""),"",B329+ROW()/10000000)</f>
        <v/>
      </c>
    </row>
    <row r="330">
      <c r="A330" s="1" t="n"/>
      <c r="B330" s="21" t="n"/>
      <c r="C330" s="24" t="n"/>
      <c r="D330" s="24" t="n"/>
      <c r="E330" s="24" t="n"/>
      <c r="F330" s="24" t="n"/>
      <c r="G330" s="24" t="n"/>
      <c r="H330" s="24" t="n"/>
      <c r="I330" s="26" t="n"/>
      <c r="J330" s="1" t="n"/>
      <c r="K330" s="1" t="n"/>
      <c r="L330" s="1" t="n"/>
      <c r="M330" s="1" t="n"/>
      <c r="N330" s="1" t="n"/>
      <c r="P330">
        <f>IF(OR(B330="",C330=""),"",B330+ROW()/10000000)</f>
        <v/>
      </c>
    </row>
    <row r="331">
      <c r="A331" s="1" t="n"/>
      <c r="B331" s="21" t="n"/>
      <c r="C331" s="24" t="n"/>
      <c r="D331" s="24" t="n"/>
      <c r="E331" s="24" t="n"/>
      <c r="F331" s="24" t="n"/>
      <c r="G331" s="24" t="n"/>
      <c r="H331" s="24" t="n"/>
      <c r="I331" s="26" t="n"/>
      <c r="J331" s="1" t="n"/>
      <c r="K331" s="1" t="n"/>
      <c r="L331" s="1" t="n"/>
      <c r="M331" s="1" t="n"/>
      <c r="N331" s="1" t="n"/>
      <c r="P331">
        <f>IF(OR(B331="",C331=""),"",B331+ROW()/10000000)</f>
        <v/>
      </c>
    </row>
    <row r="332">
      <c r="A332" s="1" t="n"/>
      <c r="B332" s="21" t="n"/>
      <c r="C332" s="24" t="n"/>
      <c r="D332" s="24" t="n"/>
      <c r="E332" s="24" t="n"/>
      <c r="F332" s="24" t="n"/>
      <c r="G332" s="24" t="n"/>
      <c r="H332" s="24" t="n"/>
      <c r="I332" s="26" t="n"/>
      <c r="J332" s="1" t="n"/>
      <c r="K332" s="1" t="n"/>
      <c r="L332" s="1" t="n"/>
      <c r="M332" s="1" t="n"/>
      <c r="N332" s="1" t="n"/>
      <c r="P332">
        <f>IF(OR(B332="",C332=""),"",B332+ROW()/10000000)</f>
        <v/>
      </c>
    </row>
    <row r="333">
      <c r="A333" s="1" t="n"/>
      <c r="B333" s="21" t="n"/>
      <c r="C333" s="24" t="n"/>
      <c r="D333" s="24" t="n"/>
      <c r="E333" s="24" t="n"/>
      <c r="F333" s="24" t="n"/>
      <c r="G333" s="24" t="n"/>
      <c r="H333" s="24" t="n"/>
      <c r="I333" s="26" t="n"/>
      <c r="J333" s="1" t="n"/>
      <c r="K333" s="1" t="n"/>
      <c r="L333" s="1" t="n"/>
      <c r="M333" s="1" t="n"/>
      <c r="N333" s="1" t="n"/>
      <c r="P333">
        <f>IF(OR(B333="",C333=""),"",B333+ROW()/10000000)</f>
        <v/>
      </c>
    </row>
    <row r="334">
      <c r="A334" s="1" t="n"/>
      <c r="B334" s="21" t="n"/>
      <c r="C334" s="24" t="n"/>
      <c r="D334" s="24" t="n"/>
      <c r="E334" s="24" t="n"/>
      <c r="F334" s="24" t="n"/>
      <c r="G334" s="24" t="n"/>
      <c r="H334" s="24" t="n"/>
      <c r="I334" s="26" t="n"/>
      <c r="J334" s="1" t="n"/>
      <c r="K334" s="1" t="n"/>
      <c r="L334" s="1" t="n"/>
      <c r="M334" s="1" t="n"/>
      <c r="N334" s="1" t="n"/>
      <c r="P334">
        <f>IF(OR(B334="",C334=""),"",B334+ROW()/10000000)</f>
        <v/>
      </c>
    </row>
    <row r="335">
      <c r="A335" s="1" t="n"/>
      <c r="B335" s="21" t="n"/>
      <c r="C335" s="24" t="n"/>
      <c r="D335" s="24" t="n"/>
      <c r="E335" s="24" t="n"/>
      <c r="F335" s="24" t="n"/>
      <c r="G335" s="24" t="n"/>
      <c r="H335" s="24" t="n"/>
      <c r="I335" s="26" t="n"/>
      <c r="J335" s="1" t="n"/>
      <c r="K335" s="1" t="n"/>
      <c r="L335" s="1" t="n"/>
      <c r="M335" s="1" t="n"/>
      <c r="N335" s="1" t="n"/>
      <c r="P335">
        <f>IF(OR(B335="",C335=""),"",B335+ROW()/10000000)</f>
        <v/>
      </c>
    </row>
    <row r="336">
      <c r="A336" s="1" t="n"/>
      <c r="B336" s="21" t="n"/>
      <c r="C336" s="24" t="n"/>
      <c r="D336" s="24" t="n"/>
      <c r="E336" s="24" t="n"/>
      <c r="F336" s="24" t="n"/>
      <c r="G336" s="24" t="n"/>
      <c r="H336" s="24" t="n"/>
      <c r="I336" s="26" t="n"/>
      <c r="J336" s="1" t="n"/>
      <c r="K336" s="1" t="n"/>
      <c r="L336" s="1" t="n"/>
      <c r="M336" s="1" t="n"/>
      <c r="N336" s="1" t="n"/>
      <c r="P336">
        <f>IF(OR(B336="",C336=""),"",B336+ROW()/10000000)</f>
        <v/>
      </c>
    </row>
    <row r="337">
      <c r="A337" s="1" t="n"/>
      <c r="B337" s="21" t="n"/>
      <c r="C337" s="24" t="n"/>
      <c r="D337" s="24" t="n"/>
      <c r="E337" s="24" t="n"/>
      <c r="F337" s="24" t="n"/>
      <c r="G337" s="24" t="n"/>
      <c r="H337" s="24" t="n"/>
      <c r="I337" s="26" t="n"/>
      <c r="J337" s="1" t="n"/>
      <c r="K337" s="1" t="n"/>
      <c r="L337" s="1" t="n"/>
      <c r="M337" s="1" t="n"/>
      <c r="N337" s="1" t="n"/>
      <c r="P337">
        <f>IF(OR(B337="",C337=""),"",B337+ROW()/10000000)</f>
        <v/>
      </c>
    </row>
    <row r="338">
      <c r="A338" s="1" t="n"/>
      <c r="B338" s="21" t="n"/>
      <c r="C338" s="24" t="n"/>
      <c r="D338" s="24" t="n"/>
      <c r="E338" s="24" t="n"/>
      <c r="F338" s="24" t="n"/>
      <c r="G338" s="24" t="n"/>
      <c r="H338" s="24" t="n"/>
      <c r="I338" s="26" t="n"/>
      <c r="J338" s="1" t="n"/>
      <c r="K338" s="1" t="n"/>
      <c r="L338" s="1" t="n"/>
      <c r="M338" s="1" t="n"/>
      <c r="N338" s="1" t="n"/>
      <c r="P338">
        <f>IF(OR(B338="",C338=""),"",B338+ROW()/10000000)</f>
        <v/>
      </c>
    </row>
    <row r="339">
      <c r="A339" s="1" t="n"/>
      <c r="B339" s="21" t="n"/>
      <c r="C339" s="24" t="n"/>
      <c r="D339" s="24" t="n"/>
      <c r="E339" s="24" t="n"/>
      <c r="F339" s="24" t="n"/>
      <c r="G339" s="24" t="n"/>
      <c r="H339" s="24" t="n"/>
      <c r="I339" s="26" t="n"/>
      <c r="J339" s="1" t="n"/>
      <c r="K339" s="1" t="n"/>
      <c r="L339" s="1" t="n"/>
      <c r="M339" s="1" t="n"/>
      <c r="N339" s="1" t="n"/>
      <c r="P339">
        <f>IF(OR(B339="",C339=""),"",B339+ROW()/10000000)</f>
        <v/>
      </c>
    </row>
    <row r="340">
      <c r="A340" s="1" t="n"/>
      <c r="B340" s="21" t="n"/>
      <c r="C340" s="24" t="n"/>
      <c r="D340" s="24" t="n"/>
      <c r="E340" s="24" t="n"/>
      <c r="F340" s="24" t="n"/>
      <c r="G340" s="24" t="n"/>
      <c r="H340" s="24" t="n"/>
      <c r="I340" s="26" t="n"/>
      <c r="J340" s="1" t="n"/>
      <c r="K340" s="1" t="n"/>
      <c r="L340" s="1" t="n"/>
      <c r="M340" s="1" t="n"/>
      <c r="N340" s="1" t="n"/>
      <c r="P340">
        <f>IF(OR(B340="",C340=""),"",B340+ROW()/10000000)</f>
        <v/>
      </c>
    </row>
    <row r="341">
      <c r="A341" s="1" t="n"/>
      <c r="B341" s="21" t="n"/>
      <c r="C341" s="24" t="n"/>
      <c r="D341" s="24" t="n"/>
      <c r="E341" s="24" t="n"/>
      <c r="F341" s="24" t="n"/>
      <c r="G341" s="24" t="n"/>
      <c r="H341" s="24" t="n"/>
      <c r="I341" s="26" t="n"/>
      <c r="J341" s="1" t="n"/>
      <c r="K341" s="1" t="n"/>
      <c r="L341" s="1" t="n"/>
      <c r="M341" s="1" t="n"/>
      <c r="N341" s="1" t="n"/>
      <c r="P341">
        <f>IF(OR(B341="",C341=""),"",B341+ROW()/10000000)</f>
        <v/>
      </c>
    </row>
    <row r="342">
      <c r="A342" s="1" t="n"/>
      <c r="B342" s="21" t="n"/>
      <c r="C342" s="24" t="n"/>
      <c r="D342" s="24" t="n"/>
      <c r="E342" s="24" t="n"/>
      <c r="F342" s="24" t="n"/>
      <c r="G342" s="24" t="n"/>
      <c r="H342" s="24" t="n"/>
      <c r="I342" s="26" t="n"/>
      <c r="J342" s="1" t="n"/>
      <c r="K342" s="1" t="n"/>
      <c r="L342" s="1" t="n"/>
      <c r="M342" s="1" t="n"/>
      <c r="N342" s="1" t="n"/>
      <c r="P342">
        <f>IF(OR(B342="",C342=""),"",B342+ROW()/10000000)</f>
        <v/>
      </c>
    </row>
    <row r="343">
      <c r="A343" s="1" t="n"/>
      <c r="B343" s="21" t="n"/>
      <c r="C343" s="24" t="n"/>
      <c r="D343" s="24" t="n"/>
      <c r="E343" s="24" t="n"/>
      <c r="F343" s="24" t="n"/>
      <c r="G343" s="24" t="n"/>
      <c r="H343" s="24" t="n"/>
      <c r="I343" s="26" t="n"/>
      <c r="J343" s="1" t="n"/>
      <c r="K343" s="1" t="n"/>
      <c r="L343" s="1" t="n"/>
      <c r="M343" s="1" t="n"/>
      <c r="N343" s="1" t="n"/>
      <c r="P343">
        <f>IF(OR(B343="",C343=""),"",B343+ROW()/10000000)</f>
        <v/>
      </c>
    </row>
    <row r="344">
      <c r="A344" s="1" t="n"/>
      <c r="B344" s="21" t="n"/>
      <c r="C344" s="24" t="n"/>
      <c r="D344" s="24" t="n"/>
      <c r="E344" s="24" t="n"/>
      <c r="F344" s="24" t="n"/>
      <c r="G344" s="24" t="n"/>
      <c r="H344" s="24" t="n"/>
      <c r="I344" s="26" t="n"/>
      <c r="J344" s="1" t="n"/>
      <c r="K344" s="1" t="n"/>
      <c r="L344" s="1" t="n"/>
      <c r="M344" s="1" t="n"/>
      <c r="N344" s="1" t="n"/>
      <c r="P344">
        <f>IF(OR(B344="",C344=""),"",B344+ROW()/10000000)</f>
        <v/>
      </c>
    </row>
    <row r="345">
      <c r="A345" s="1" t="n"/>
      <c r="B345" s="21" t="n"/>
      <c r="C345" s="24" t="n"/>
      <c r="D345" s="24" t="n"/>
      <c r="E345" s="24" t="n"/>
      <c r="F345" s="24" t="n"/>
      <c r="G345" s="24" t="n"/>
      <c r="H345" s="24" t="n"/>
      <c r="I345" s="26" t="n"/>
      <c r="J345" s="1" t="n"/>
      <c r="K345" s="1" t="n"/>
      <c r="L345" s="1" t="n"/>
      <c r="M345" s="1" t="n"/>
      <c r="N345" s="1" t="n"/>
      <c r="P345">
        <f>IF(OR(B345="",C345=""),"",B345+ROW()/10000000)</f>
        <v/>
      </c>
    </row>
    <row r="346">
      <c r="A346" s="1" t="n"/>
      <c r="B346" s="21" t="n"/>
      <c r="C346" s="24" t="n"/>
      <c r="D346" s="24" t="n"/>
      <c r="E346" s="24" t="n"/>
      <c r="F346" s="24" t="n"/>
      <c r="G346" s="24" t="n"/>
      <c r="H346" s="24" t="n"/>
      <c r="I346" s="26" t="n"/>
      <c r="J346" s="1" t="n"/>
      <c r="K346" s="1" t="n"/>
      <c r="L346" s="1" t="n"/>
      <c r="M346" s="1" t="n"/>
      <c r="N346" s="1" t="n"/>
      <c r="P346">
        <f>IF(OR(B346="",C346=""),"",B346+ROW()/10000000)</f>
        <v/>
      </c>
    </row>
    <row r="347">
      <c r="A347" s="1" t="n"/>
      <c r="B347" s="21" t="n"/>
      <c r="C347" s="24" t="n"/>
      <c r="D347" s="24" t="n"/>
      <c r="E347" s="24" t="n"/>
      <c r="F347" s="24" t="n"/>
      <c r="G347" s="24" t="n"/>
      <c r="H347" s="24" t="n"/>
      <c r="I347" s="26" t="n"/>
      <c r="J347" s="1" t="n"/>
      <c r="K347" s="1" t="n"/>
      <c r="L347" s="1" t="n"/>
      <c r="M347" s="1" t="n"/>
      <c r="N347" s="1" t="n"/>
      <c r="P347">
        <f>IF(OR(B347="",C347=""),"",B347+ROW()/10000000)</f>
        <v/>
      </c>
    </row>
    <row r="348">
      <c r="A348" s="1" t="n"/>
      <c r="B348" s="21" t="n"/>
      <c r="C348" s="24" t="n"/>
      <c r="D348" s="24" t="n"/>
      <c r="E348" s="24" t="n"/>
      <c r="F348" s="24" t="n"/>
      <c r="G348" s="24" t="n"/>
      <c r="H348" s="24" t="n"/>
      <c r="I348" s="26" t="n"/>
      <c r="J348" s="1" t="n"/>
      <c r="K348" s="1" t="n"/>
      <c r="L348" s="1" t="n"/>
      <c r="M348" s="1" t="n"/>
      <c r="N348" s="1" t="n"/>
      <c r="P348">
        <f>IF(OR(B348="",C348=""),"",B348+ROW()/10000000)</f>
        <v/>
      </c>
    </row>
    <row r="349">
      <c r="A349" s="1" t="n"/>
      <c r="B349" s="21" t="n"/>
      <c r="C349" s="24" t="n"/>
      <c r="D349" s="24" t="n"/>
      <c r="E349" s="24" t="n"/>
      <c r="F349" s="24" t="n"/>
      <c r="G349" s="24" t="n"/>
      <c r="H349" s="24" t="n"/>
      <c r="I349" s="26" t="n"/>
      <c r="J349" s="1" t="n"/>
      <c r="K349" s="1" t="n"/>
      <c r="L349" s="1" t="n"/>
      <c r="M349" s="1" t="n"/>
      <c r="N349" s="1" t="n"/>
      <c r="P349">
        <f>IF(OR(B349="",C349=""),"",B349+ROW()/10000000)</f>
        <v/>
      </c>
    </row>
    <row r="350">
      <c r="A350" s="1" t="n"/>
      <c r="B350" s="21" t="n"/>
      <c r="C350" s="24" t="n"/>
      <c r="D350" s="24" t="n"/>
      <c r="E350" s="24" t="n"/>
      <c r="F350" s="24" t="n"/>
      <c r="G350" s="24" t="n"/>
      <c r="H350" s="24" t="n"/>
      <c r="I350" s="26" t="n"/>
      <c r="J350" s="1" t="n"/>
      <c r="K350" s="1" t="n"/>
      <c r="L350" s="1" t="n"/>
      <c r="M350" s="1" t="n"/>
      <c r="N350" s="1" t="n"/>
      <c r="P350">
        <f>IF(OR(B350="",C350=""),"",B350+ROW()/10000000)</f>
        <v/>
      </c>
    </row>
    <row r="351">
      <c r="A351" s="1" t="n"/>
      <c r="B351" s="21" t="n"/>
      <c r="C351" s="24" t="n"/>
      <c r="D351" s="24" t="n"/>
      <c r="E351" s="24" t="n"/>
      <c r="F351" s="24" t="n"/>
      <c r="G351" s="24" t="n"/>
      <c r="H351" s="24" t="n"/>
      <c r="I351" s="26" t="n"/>
      <c r="J351" s="1" t="n"/>
      <c r="K351" s="1" t="n"/>
      <c r="L351" s="1" t="n"/>
      <c r="M351" s="1" t="n"/>
      <c r="N351" s="1" t="n"/>
      <c r="P351">
        <f>IF(OR(B351="",C351=""),"",B351+ROW()/10000000)</f>
        <v/>
      </c>
    </row>
    <row r="352">
      <c r="A352" s="1" t="n"/>
      <c r="B352" s="21" t="n"/>
      <c r="C352" s="24" t="n"/>
      <c r="D352" s="24" t="n"/>
      <c r="E352" s="24" t="n"/>
      <c r="F352" s="24" t="n"/>
      <c r="G352" s="24" t="n"/>
      <c r="H352" s="24" t="n"/>
      <c r="I352" s="26" t="n"/>
      <c r="J352" s="1" t="n"/>
      <c r="K352" s="1" t="n"/>
      <c r="L352" s="1" t="n"/>
      <c r="M352" s="1" t="n"/>
      <c r="N352" s="1" t="n"/>
      <c r="P352">
        <f>IF(OR(B352="",C352=""),"",B352+ROW()/10000000)</f>
        <v/>
      </c>
    </row>
    <row r="353">
      <c r="A353" s="1" t="n"/>
      <c r="B353" s="21" t="n"/>
      <c r="C353" s="24" t="n"/>
      <c r="D353" s="24" t="n"/>
      <c r="E353" s="24" t="n"/>
      <c r="F353" s="24" t="n"/>
      <c r="G353" s="24" t="n"/>
      <c r="H353" s="24" t="n"/>
      <c r="I353" s="26" t="n"/>
      <c r="J353" s="1" t="n"/>
      <c r="K353" s="1" t="n"/>
      <c r="L353" s="1" t="n"/>
      <c r="M353" s="1" t="n"/>
      <c r="N353" s="1" t="n"/>
      <c r="P353">
        <f>IF(OR(B353="",C353=""),"",B353+ROW()/10000000)</f>
        <v/>
      </c>
    </row>
    <row r="354">
      <c r="A354" s="1" t="n"/>
      <c r="B354" s="21" t="n"/>
      <c r="C354" s="24" t="n"/>
      <c r="D354" s="24" t="n"/>
      <c r="E354" s="24" t="n"/>
      <c r="F354" s="24" t="n"/>
      <c r="G354" s="24" t="n"/>
      <c r="H354" s="24" t="n"/>
      <c r="I354" s="26" t="n"/>
      <c r="J354" s="1" t="n"/>
      <c r="K354" s="1" t="n"/>
      <c r="L354" s="1" t="n"/>
      <c r="M354" s="1" t="n"/>
      <c r="N354" s="1" t="n"/>
      <c r="P354">
        <f>IF(OR(B354="",C354=""),"",B354+ROW()/10000000)</f>
        <v/>
      </c>
    </row>
    <row r="355">
      <c r="A355" s="1" t="n"/>
      <c r="B355" s="21" t="n"/>
      <c r="C355" s="24" t="n"/>
      <c r="D355" s="24" t="n"/>
      <c r="E355" s="24" t="n"/>
      <c r="F355" s="24" t="n"/>
      <c r="G355" s="24" t="n"/>
      <c r="H355" s="24" t="n"/>
      <c r="I355" s="26" t="n"/>
      <c r="J355" s="1" t="n"/>
      <c r="K355" s="1" t="n"/>
      <c r="L355" s="1" t="n"/>
      <c r="M355" s="1" t="n"/>
      <c r="N355" s="1" t="n"/>
      <c r="P355">
        <f>IF(OR(B355="",C355=""),"",B355+ROW()/10000000)</f>
        <v/>
      </c>
    </row>
    <row r="356">
      <c r="A356" s="1" t="n"/>
      <c r="B356" s="21" t="n"/>
      <c r="C356" s="24" t="n"/>
      <c r="D356" s="24" t="n"/>
      <c r="E356" s="24" t="n"/>
      <c r="F356" s="24" t="n"/>
      <c r="G356" s="24" t="n"/>
      <c r="H356" s="24" t="n"/>
      <c r="I356" s="26" t="n"/>
      <c r="J356" s="1" t="n"/>
      <c r="K356" s="1" t="n"/>
      <c r="L356" s="1" t="n"/>
      <c r="M356" s="1" t="n"/>
      <c r="N356" s="1" t="n"/>
      <c r="P356">
        <f>IF(OR(B356="",C356=""),"",B356+ROW()/10000000)</f>
        <v/>
      </c>
    </row>
    <row r="357">
      <c r="A357" s="1" t="n"/>
      <c r="B357" s="21" t="n"/>
      <c r="C357" s="24" t="n"/>
      <c r="D357" s="24" t="n"/>
      <c r="E357" s="24" t="n"/>
      <c r="F357" s="24" t="n"/>
      <c r="G357" s="24" t="n"/>
      <c r="H357" s="24" t="n"/>
      <c r="I357" s="26" t="n"/>
      <c r="J357" s="1" t="n"/>
      <c r="K357" s="1" t="n"/>
      <c r="L357" s="1" t="n"/>
      <c r="M357" s="1" t="n"/>
      <c r="N357" s="1" t="n"/>
      <c r="P357">
        <f>IF(OR(B357="",C357=""),"",B357+ROW()/10000000)</f>
        <v/>
      </c>
    </row>
    <row r="358">
      <c r="A358" s="1" t="n"/>
      <c r="B358" s="21" t="n"/>
      <c r="C358" s="24" t="n"/>
      <c r="D358" s="24" t="n"/>
      <c r="E358" s="24" t="n"/>
      <c r="F358" s="24" t="n"/>
      <c r="G358" s="24" t="n"/>
      <c r="H358" s="24" t="n"/>
      <c r="I358" s="26" t="n"/>
      <c r="J358" s="1" t="n"/>
      <c r="K358" s="1" t="n"/>
      <c r="L358" s="1" t="n"/>
      <c r="M358" s="1" t="n"/>
      <c r="N358" s="1" t="n"/>
      <c r="P358">
        <f>IF(OR(B358="",C358=""),"",B358+ROW()/10000000)</f>
        <v/>
      </c>
    </row>
    <row r="359">
      <c r="A359" s="1" t="n"/>
      <c r="B359" s="21" t="n"/>
      <c r="C359" s="24" t="n"/>
      <c r="D359" s="24" t="n"/>
      <c r="E359" s="24" t="n"/>
      <c r="F359" s="24" t="n"/>
      <c r="G359" s="24" t="n"/>
      <c r="H359" s="24" t="n"/>
      <c r="I359" s="26" t="n"/>
      <c r="J359" s="1" t="n"/>
      <c r="K359" s="1" t="n"/>
      <c r="L359" s="1" t="n"/>
      <c r="M359" s="1" t="n"/>
      <c r="N359" s="1" t="n"/>
      <c r="P359">
        <f>IF(OR(B359="",C359=""),"",B359+ROW()/10000000)</f>
        <v/>
      </c>
    </row>
    <row r="360">
      <c r="A360" s="1" t="n"/>
      <c r="B360" s="21" t="n"/>
      <c r="C360" s="24" t="n"/>
      <c r="D360" s="24" t="n"/>
      <c r="E360" s="24" t="n"/>
      <c r="F360" s="24" t="n"/>
      <c r="G360" s="24" t="n"/>
      <c r="H360" s="24" t="n"/>
      <c r="I360" s="26" t="n"/>
      <c r="J360" s="1" t="n"/>
      <c r="K360" s="1" t="n"/>
      <c r="L360" s="1" t="n"/>
      <c r="M360" s="1" t="n"/>
      <c r="N360" s="1" t="n"/>
      <c r="P360">
        <f>IF(OR(B360="",C360=""),"",B360+ROW()/10000000)</f>
        <v/>
      </c>
    </row>
    <row r="361">
      <c r="A361" s="1" t="n"/>
      <c r="B361" s="21" t="n"/>
      <c r="C361" s="24" t="n"/>
      <c r="D361" s="24" t="n"/>
      <c r="E361" s="24" t="n"/>
      <c r="F361" s="24" t="n"/>
      <c r="G361" s="24" t="n"/>
      <c r="H361" s="24" t="n"/>
      <c r="I361" s="26" t="n"/>
      <c r="J361" s="1" t="n"/>
      <c r="K361" s="1" t="n"/>
      <c r="L361" s="1" t="n"/>
      <c r="M361" s="1" t="n"/>
      <c r="N361" s="1" t="n"/>
      <c r="P361">
        <f>IF(OR(B361="",C361=""),"",B361+ROW()/10000000)</f>
        <v/>
      </c>
    </row>
    <row r="362">
      <c r="A362" s="1" t="n"/>
      <c r="B362" s="21" t="n"/>
      <c r="C362" s="24" t="n"/>
      <c r="D362" s="24" t="n"/>
      <c r="E362" s="24" t="n"/>
      <c r="F362" s="24" t="n"/>
      <c r="G362" s="24" t="n"/>
      <c r="H362" s="24" t="n"/>
      <c r="I362" s="26" t="n"/>
      <c r="J362" s="1" t="n"/>
      <c r="K362" s="1" t="n"/>
      <c r="L362" s="1" t="n"/>
      <c r="M362" s="1" t="n"/>
      <c r="N362" s="1" t="n"/>
      <c r="P362">
        <f>IF(OR(B362="",C362=""),"",B362+ROW()/10000000)</f>
        <v/>
      </c>
    </row>
    <row r="363">
      <c r="A363" s="1" t="n"/>
      <c r="B363" s="21" t="n"/>
      <c r="C363" s="24" t="n"/>
      <c r="D363" s="24" t="n"/>
      <c r="E363" s="24" t="n"/>
      <c r="F363" s="24" t="n"/>
      <c r="G363" s="24" t="n"/>
      <c r="H363" s="24" t="n"/>
      <c r="I363" s="26" t="n"/>
      <c r="J363" s="1" t="n"/>
      <c r="K363" s="1" t="n"/>
      <c r="L363" s="1" t="n"/>
      <c r="M363" s="1" t="n"/>
      <c r="N363" s="1" t="n"/>
      <c r="P363">
        <f>IF(OR(B363="",C363=""),"",B363+ROW()/10000000)</f>
        <v/>
      </c>
    </row>
    <row r="364">
      <c r="A364" s="1" t="n"/>
      <c r="B364" s="21" t="n"/>
      <c r="C364" s="24" t="n"/>
      <c r="D364" s="24" t="n"/>
      <c r="E364" s="24" t="n"/>
      <c r="F364" s="24" t="n"/>
      <c r="G364" s="24" t="n"/>
      <c r="H364" s="24" t="n"/>
      <c r="I364" s="26" t="n"/>
      <c r="J364" s="1" t="n"/>
      <c r="K364" s="1" t="n"/>
      <c r="L364" s="1" t="n"/>
      <c r="M364" s="1" t="n"/>
      <c r="N364" s="1" t="n"/>
      <c r="P364">
        <f>IF(OR(B364="",C364=""),"",B364+ROW()/10000000)</f>
        <v/>
      </c>
    </row>
    <row r="365">
      <c r="A365" s="1" t="n"/>
      <c r="B365" s="21" t="n"/>
      <c r="C365" s="24" t="n"/>
      <c r="D365" s="24" t="n"/>
      <c r="E365" s="24" t="n"/>
      <c r="F365" s="24" t="n"/>
      <c r="G365" s="24" t="n"/>
      <c r="H365" s="24" t="n"/>
      <c r="I365" s="26" t="n"/>
      <c r="J365" s="1" t="n"/>
      <c r="K365" s="1" t="n"/>
      <c r="L365" s="1" t="n"/>
      <c r="M365" s="1" t="n"/>
      <c r="N365" s="1" t="n"/>
      <c r="P365">
        <f>IF(OR(B365="",C365=""),"",B365+ROW()/10000000)</f>
        <v/>
      </c>
    </row>
    <row r="366">
      <c r="A366" s="1" t="n"/>
      <c r="B366" s="21" t="n"/>
      <c r="C366" s="24" t="n"/>
      <c r="D366" s="24" t="n"/>
      <c r="E366" s="24" t="n"/>
      <c r="F366" s="24" t="n"/>
      <c r="G366" s="24" t="n"/>
      <c r="H366" s="24" t="n"/>
      <c r="I366" s="26" t="n"/>
      <c r="J366" s="1" t="n"/>
      <c r="K366" s="1" t="n"/>
      <c r="L366" s="1" t="n"/>
      <c r="M366" s="1" t="n"/>
      <c r="N366" s="1" t="n"/>
      <c r="P366">
        <f>IF(OR(B366="",C366=""),"",B366+ROW()/10000000)</f>
        <v/>
      </c>
    </row>
    <row r="367">
      <c r="A367" s="1" t="n"/>
      <c r="B367" s="21" t="n"/>
      <c r="C367" s="24" t="n"/>
      <c r="D367" s="24" t="n"/>
      <c r="E367" s="24" t="n"/>
      <c r="F367" s="24" t="n"/>
      <c r="G367" s="24" t="n"/>
      <c r="H367" s="24" t="n"/>
      <c r="I367" s="26" t="n"/>
      <c r="J367" s="1" t="n"/>
      <c r="K367" s="1" t="n"/>
      <c r="L367" s="1" t="n"/>
      <c r="M367" s="1" t="n"/>
      <c r="N367" s="1" t="n"/>
      <c r="P367">
        <f>IF(OR(B367="",C367=""),"",B367+ROW()/10000000)</f>
        <v/>
      </c>
    </row>
    <row r="368">
      <c r="A368" s="1" t="n"/>
      <c r="B368" s="21" t="n"/>
      <c r="C368" s="24" t="n"/>
      <c r="D368" s="24" t="n"/>
      <c r="E368" s="24" t="n"/>
      <c r="F368" s="24" t="n"/>
      <c r="G368" s="24" t="n"/>
      <c r="H368" s="24" t="n"/>
      <c r="I368" s="26" t="n"/>
      <c r="J368" s="1" t="n"/>
      <c r="K368" s="1" t="n"/>
      <c r="L368" s="1" t="n"/>
      <c r="M368" s="1" t="n"/>
      <c r="N368" s="1" t="n"/>
      <c r="P368">
        <f>IF(OR(B368="",C368=""),"",B368+ROW()/10000000)</f>
        <v/>
      </c>
    </row>
    <row r="369">
      <c r="A369" s="1" t="n"/>
      <c r="B369" s="21" t="n"/>
      <c r="C369" s="24" t="n"/>
      <c r="D369" s="24" t="n"/>
      <c r="E369" s="24" t="n"/>
      <c r="F369" s="24" t="n"/>
      <c r="G369" s="24" t="n"/>
      <c r="H369" s="24" t="n"/>
      <c r="I369" s="26" t="n"/>
      <c r="J369" s="1" t="n"/>
      <c r="K369" s="1" t="n"/>
      <c r="L369" s="1" t="n"/>
      <c r="M369" s="1" t="n"/>
      <c r="N369" s="1" t="n"/>
      <c r="P369">
        <f>IF(OR(B369="",C369=""),"",B369+ROW()/10000000)</f>
        <v/>
      </c>
    </row>
    <row r="370">
      <c r="A370" s="1" t="n"/>
      <c r="B370" s="21" t="n"/>
      <c r="C370" s="24" t="n"/>
      <c r="D370" s="24" t="n"/>
      <c r="E370" s="24" t="n"/>
      <c r="F370" s="24" t="n"/>
      <c r="G370" s="24" t="n"/>
      <c r="H370" s="24" t="n"/>
      <c r="I370" s="26" t="n"/>
      <c r="J370" s="1" t="n"/>
      <c r="K370" s="1" t="n"/>
      <c r="L370" s="1" t="n"/>
      <c r="M370" s="1" t="n"/>
      <c r="N370" s="1" t="n"/>
      <c r="P370">
        <f>IF(OR(B370="",C370=""),"",B370+ROW()/10000000)</f>
        <v/>
      </c>
    </row>
    <row r="371">
      <c r="A371" s="1" t="n"/>
      <c r="B371" s="21" t="n"/>
      <c r="C371" s="24" t="n"/>
      <c r="D371" s="24" t="n"/>
      <c r="E371" s="24" t="n"/>
      <c r="F371" s="24" t="n"/>
      <c r="G371" s="24" t="n"/>
      <c r="H371" s="24" t="n"/>
      <c r="I371" s="26" t="n"/>
      <c r="J371" s="1" t="n"/>
      <c r="K371" s="1" t="n"/>
      <c r="L371" s="1" t="n"/>
      <c r="M371" s="1" t="n"/>
      <c r="N371" s="1" t="n"/>
      <c r="P371">
        <f>IF(OR(B371="",C371=""),"",B371+ROW()/10000000)</f>
        <v/>
      </c>
    </row>
    <row r="372">
      <c r="A372" s="1" t="n"/>
      <c r="B372" s="21" t="n"/>
      <c r="C372" s="24" t="n"/>
      <c r="D372" s="24" t="n"/>
      <c r="E372" s="24" t="n"/>
      <c r="F372" s="24" t="n"/>
      <c r="G372" s="24" t="n"/>
      <c r="H372" s="24" t="n"/>
      <c r="I372" s="26" t="n"/>
      <c r="J372" s="1" t="n"/>
      <c r="K372" s="1" t="n"/>
      <c r="L372" s="1" t="n"/>
      <c r="M372" s="1" t="n"/>
      <c r="N372" s="1" t="n"/>
      <c r="P372">
        <f>IF(OR(B372="",C372=""),"",B372+ROW()/10000000)</f>
        <v/>
      </c>
    </row>
    <row r="373">
      <c r="A373" s="1" t="n"/>
      <c r="B373" s="21" t="n"/>
      <c r="C373" s="24" t="n"/>
      <c r="D373" s="24" t="n"/>
      <c r="E373" s="24" t="n"/>
      <c r="F373" s="24" t="n"/>
      <c r="G373" s="24" t="n"/>
      <c r="H373" s="24" t="n"/>
      <c r="I373" s="26" t="n"/>
      <c r="J373" s="1" t="n"/>
      <c r="K373" s="1" t="n"/>
      <c r="L373" s="1" t="n"/>
      <c r="M373" s="1" t="n"/>
      <c r="N373" s="1" t="n"/>
      <c r="P373">
        <f>IF(OR(B373="",C373=""),"",B373+ROW()/10000000)</f>
        <v/>
      </c>
    </row>
    <row r="374">
      <c r="A374" s="1" t="n"/>
      <c r="B374" s="21" t="n"/>
      <c r="C374" s="24" t="n"/>
      <c r="D374" s="24" t="n"/>
      <c r="E374" s="24" t="n"/>
      <c r="F374" s="24" t="n"/>
      <c r="G374" s="24" t="n"/>
      <c r="H374" s="24" t="n"/>
      <c r="I374" s="26" t="n"/>
      <c r="J374" s="1" t="n"/>
      <c r="K374" s="1" t="n"/>
      <c r="L374" s="1" t="n"/>
      <c r="M374" s="1" t="n"/>
      <c r="N374" s="1" t="n"/>
      <c r="P374">
        <f>IF(OR(B374="",C374=""),"",B374+ROW()/10000000)</f>
        <v/>
      </c>
    </row>
    <row r="375">
      <c r="A375" s="1" t="n"/>
      <c r="B375" s="21" t="n"/>
      <c r="C375" s="24" t="n"/>
      <c r="D375" s="24" t="n"/>
      <c r="E375" s="24" t="n"/>
      <c r="F375" s="24" t="n"/>
      <c r="G375" s="24" t="n"/>
      <c r="H375" s="24" t="n"/>
      <c r="I375" s="26" t="n"/>
      <c r="J375" s="1" t="n"/>
      <c r="K375" s="1" t="n"/>
      <c r="L375" s="1" t="n"/>
      <c r="M375" s="1" t="n"/>
      <c r="N375" s="1" t="n"/>
      <c r="P375">
        <f>IF(OR(B375="",C375=""),"",B375+ROW()/10000000)</f>
        <v/>
      </c>
    </row>
    <row r="376">
      <c r="A376" s="1" t="n"/>
      <c r="B376" s="21" t="n"/>
      <c r="C376" s="24" t="n"/>
      <c r="D376" s="24" t="n"/>
      <c r="E376" s="24" t="n"/>
      <c r="F376" s="24" t="n"/>
      <c r="G376" s="24" t="n"/>
      <c r="H376" s="24" t="n"/>
      <c r="I376" s="26" t="n"/>
      <c r="J376" s="1" t="n"/>
      <c r="K376" s="1" t="n"/>
      <c r="L376" s="1" t="n"/>
      <c r="M376" s="1" t="n"/>
      <c r="N376" s="1" t="n"/>
      <c r="P376">
        <f>IF(OR(B376="",C376=""),"",B376+ROW()/10000000)</f>
        <v/>
      </c>
    </row>
    <row r="377">
      <c r="A377" s="1" t="n"/>
      <c r="B377" s="21" t="n"/>
      <c r="C377" s="24" t="n"/>
      <c r="D377" s="24" t="n"/>
      <c r="E377" s="24" t="n"/>
      <c r="F377" s="24" t="n"/>
      <c r="G377" s="24" t="n"/>
      <c r="H377" s="24" t="n"/>
      <c r="I377" s="26" t="n"/>
      <c r="J377" s="1" t="n"/>
      <c r="K377" s="1" t="n"/>
      <c r="L377" s="1" t="n"/>
      <c r="M377" s="1" t="n"/>
      <c r="N377" s="1" t="n"/>
      <c r="P377">
        <f>IF(OR(B377="",C377=""),"",B377+ROW()/10000000)</f>
        <v/>
      </c>
    </row>
    <row r="378">
      <c r="A378" s="1" t="n"/>
      <c r="B378" s="21" t="n"/>
      <c r="C378" s="24" t="n"/>
      <c r="D378" s="24" t="n"/>
      <c r="E378" s="24" t="n"/>
      <c r="F378" s="24" t="n"/>
      <c r="G378" s="24" t="n"/>
      <c r="H378" s="24" t="n"/>
      <c r="I378" s="26" t="n"/>
      <c r="J378" s="1" t="n"/>
      <c r="K378" s="1" t="n"/>
      <c r="L378" s="1" t="n"/>
      <c r="M378" s="1" t="n"/>
      <c r="N378" s="1" t="n"/>
      <c r="P378">
        <f>IF(OR(B378="",C378=""),"",B378+ROW()/10000000)</f>
        <v/>
      </c>
    </row>
    <row r="379">
      <c r="A379" s="1" t="n"/>
      <c r="B379" s="21" t="n"/>
      <c r="C379" s="24" t="n"/>
      <c r="D379" s="24" t="n"/>
      <c r="E379" s="24" t="n"/>
      <c r="F379" s="24" t="n"/>
      <c r="G379" s="24" t="n"/>
      <c r="H379" s="24" t="n"/>
      <c r="I379" s="26" t="n"/>
      <c r="J379" s="1" t="n"/>
      <c r="K379" s="1" t="n"/>
      <c r="L379" s="1" t="n"/>
      <c r="M379" s="1" t="n"/>
      <c r="N379" s="1" t="n"/>
      <c r="P379">
        <f>IF(OR(B379="",C379=""),"",B379+ROW()/10000000)</f>
        <v/>
      </c>
    </row>
    <row r="380">
      <c r="A380" s="1" t="n"/>
      <c r="B380" s="21" t="n"/>
      <c r="C380" s="24" t="n"/>
      <c r="D380" s="24" t="n"/>
      <c r="E380" s="24" t="n"/>
      <c r="F380" s="24" t="n"/>
      <c r="G380" s="24" t="n"/>
      <c r="H380" s="24" t="n"/>
      <c r="I380" s="26" t="n"/>
      <c r="J380" s="1" t="n"/>
      <c r="K380" s="1" t="n"/>
      <c r="L380" s="1" t="n"/>
      <c r="M380" s="1" t="n"/>
      <c r="N380" s="1" t="n"/>
      <c r="P380">
        <f>IF(OR(B380="",C380=""),"",B380+ROW()/10000000)</f>
        <v/>
      </c>
    </row>
    <row r="381">
      <c r="A381" s="1" t="n"/>
      <c r="B381" s="21" t="n"/>
      <c r="C381" s="24" t="n"/>
      <c r="D381" s="24" t="n"/>
      <c r="E381" s="24" t="n"/>
      <c r="F381" s="24" t="n"/>
      <c r="G381" s="24" t="n"/>
      <c r="H381" s="24" t="n"/>
      <c r="I381" s="26" t="n"/>
      <c r="J381" s="1" t="n"/>
      <c r="K381" s="1" t="n"/>
      <c r="L381" s="1" t="n"/>
      <c r="M381" s="1" t="n"/>
      <c r="N381" s="1" t="n"/>
      <c r="P381">
        <f>IF(OR(B381="",C381=""),"",B381+ROW()/10000000)</f>
        <v/>
      </c>
    </row>
    <row r="382">
      <c r="A382" s="1" t="n"/>
      <c r="B382" s="21" t="n"/>
      <c r="C382" s="24" t="n"/>
      <c r="D382" s="24" t="n"/>
      <c r="E382" s="24" t="n"/>
      <c r="F382" s="24" t="n"/>
      <c r="G382" s="24" t="n"/>
      <c r="H382" s="24" t="n"/>
      <c r="I382" s="26" t="n"/>
      <c r="J382" s="1" t="n"/>
      <c r="K382" s="1" t="n"/>
      <c r="L382" s="1" t="n"/>
      <c r="M382" s="1" t="n"/>
      <c r="N382" s="1" t="n"/>
      <c r="P382">
        <f>IF(OR(B382="",C382=""),"",B382+ROW()/10000000)</f>
        <v/>
      </c>
    </row>
    <row r="383">
      <c r="A383" s="1" t="n"/>
      <c r="B383" s="21" t="n"/>
      <c r="C383" s="24" t="n"/>
      <c r="D383" s="24" t="n"/>
      <c r="E383" s="24" t="n"/>
      <c r="F383" s="24" t="n"/>
      <c r="G383" s="24" t="n"/>
      <c r="H383" s="24" t="n"/>
      <c r="I383" s="26" t="n"/>
      <c r="J383" s="1" t="n"/>
      <c r="K383" s="1" t="n"/>
      <c r="L383" s="1" t="n"/>
      <c r="M383" s="1" t="n"/>
      <c r="N383" s="1" t="n"/>
      <c r="P383">
        <f>IF(OR(B383="",C383=""),"",B383+ROW()/10000000)</f>
        <v/>
      </c>
    </row>
    <row r="384">
      <c r="A384" s="1" t="n"/>
      <c r="B384" s="21" t="n"/>
      <c r="C384" s="24" t="n"/>
      <c r="D384" s="24" t="n"/>
      <c r="E384" s="24" t="n"/>
      <c r="F384" s="24" t="n"/>
      <c r="G384" s="24" t="n"/>
      <c r="H384" s="24" t="n"/>
      <c r="I384" s="26" t="n"/>
      <c r="J384" s="1" t="n"/>
      <c r="K384" s="1" t="n"/>
      <c r="L384" s="1" t="n"/>
      <c r="M384" s="1" t="n"/>
      <c r="N384" s="1" t="n"/>
      <c r="P384">
        <f>IF(OR(B384="",C384=""),"",B384+ROW()/10000000)</f>
        <v/>
      </c>
    </row>
    <row r="385">
      <c r="A385" s="1" t="n"/>
      <c r="B385" s="21" t="n"/>
      <c r="C385" s="24" t="n"/>
      <c r="D385" s="24" t="n"/>
      <c r="E385" s="24" t="n"/>
      <c r="F385" s="24" t="n"/>
      <c r="G385" s="24" t="n"/>
      <c r="H385" s="24" t="n"/>
      <c r="I385" s="26" t="n"/>
      <c r="J385" s="1" t="n"/>
      <c r="K385" s="1" t="n"/>
      <c r="L385" s="1" t="n"/>
      <c r="M385" s="1" t="n"/>
      <c r="N385" s="1" t="n"/>
      <c r="P385">
        <f>IF(OR(B385="",C385=""),"",B385+ROW()/10000000)</f>
        <v/>
      </c>
    </row>
    <row r="386">
      <c r="A386" s="1" t="n"/>
      <c r="B386" s="21" t="n"/>
      <c r="C386" s="24" t="n"/>
      <c r="D386" s="24" t="n"/>
      <c r="E386" s="24" t="n"/>
      <c r="F386" s="24" t="n"/>
      <c r="G386" s="24" t="n"/>
      <c r="H386" s="24" t="n"/>
      <c r="I386" s="26" t="n"/>
      <c r="J386" s="1" t="n"/>
      <c r="K386" s="1" t="n"/>
      <c r="L386" s="1" t="n"/>
      <c r="M386" s="1" t="n"/>
      <c r="N386" s="1" t="n"/>
      <c r="P386">
        <f>IF(OR(B386="",C386=""),"",B386+ROW()/10000000)</f>
        <v/>
      </c>
    </row>
    <row r="387">
      <c r="A387" s="1" t="n"/>
      <c r="B387" s="21" t="n"/>
      <c r="C387" s="24" t="n"/>
      <c r="D387" s="24" t="n"/>
      <c r="E387" s="24" t="n"/>
      <c r="F387" s="24" t="n"/>
      <c r="G387" s="24" t="n"/>
      <c r="H387" s="24" t="n"/>
      <c r="I387" s="26" t="n"/>
      <c r="J387" s="1" t="n"/>
      <c r="K387" s="1" t="n"/>
      <c r="L387" s="1" t="n"/>
      <c r="M387" s="1" t="n"/>
      <c r="N387" s="1" t="n"/>
      <c r="P387">
        <f>IF(OR(B387="",C387=""),"",B387+ROW()/10000000)</f>
        <v/>
      </c>
    </row>
    <row r="388">
      <c r="A388" s="1" t="n"/>
      <c r="B388" s="21" t="n"/>
      <c r="C388" s="24" t="n"/>
      <c r="D388" s="24" t="n"/>
      <c r="E388" s="24" t="n"/>
      <c r="F388" s="24" t="n"/>
      <c r="G388" s="24" t="n"/>
      <c r="H388" s="24" t="n"/>
      <c r="I388" s="26" t="n"/>
      <c r="J388" s="1" t="n"/>
      <c r="K388" s="1" t="n"/>
      <c r="L388" s="1" t="n"/>
      <c r="M388" s="1" t="n"/>
      <c r="N388" s="1" t="n"/>
      <c r="P388">
        <f>IF(OR(B388="",C388=""),"",B388+ROW()/10000000)</f>
        <v/>
      </c>
    </row>
    <row r="389">
      <c r="A389" s="1" t="n"/>
      <c r="B389" s="21" t="n"/>
      <c r="C389" s="24" t="n"/>
      <c r="D389" s="24" t="n"/>
      <c r="E389" s="24" t="n"/>
      <c r="F389" s="24" t="n"/>
      <c r="G389" s="24" t="n"/>
      <c r="H389" s="24" t="n"/>
      <c r="I389" s="26" t="n"/>
      <c r="J389" s="1" t="n"/>
      <c r="K389" s="1" t="n"/>
      <c r="L389" s="1" t="n"/>
      <c r="M389" s="1" t="n"/>
      <c r="N389" s="1" t="n"/>
      <c r="P389">
        <f>IF(OR(B389="",C389=""),"",B389+ROW()/10000000)</f>
        <v/>
      </c>
    </row>
    <row r="390">
      <c r="A390" s="1" t="n"/>
      <c r="B390" s="21" t="n"/>
      <c r="C390" s="24" t="n"/>
      <c r="D390" s="24" t="n"/>
      <c r="E390" s="24" t="n"/>
      <c r="F390" s="24" t="n"/>
      <c r="G390" s="24" t="n"/>
      <c r="H390" s="24" t="n"/>
      <c r="I390" s="26" t="n"/>
      <c r="J390" s="1" t="n"/>
      <c r="K390" s="1" t="n"/>
      <c r="L390" s="1" t="n"/>
      <c r="M390" s="1" t="n"/>
      <c r="N390" s="1" t="n"/>
      <c r="P390">
        <f>IF(OR(B390="",C390=""),"",B390+ROW()/10000000)</f>
        <v/>
      </c>
    </row>
    <row r="391">
      <c r="A391" s="1" t="n"/>
      <c r="B391" s="21" t="n"/>
      <c r="C391" s="24" t="n"/>
      <c r="D391" s="24" t="n"/>
      <c r="E391" s="24" t="n"/>
      <c r="F391" s="24" t="n"/>
      <c r="G391" s="24" t="n"/>
      <c r="H391" s="24" t="n"/>
      <c r="I391" s="26" t="n"/>
      <c r="J391" s="1" t="n"/>
      <c r="K391" s="1" t="n"/>
      <c r="L391" s="1" t="n"/>
      <c r="M391" s="1" t="n"/>
      <c r="N391" s="1" t="n"/>
      <c r="P391">
        <f>IF(OR(B391="",C391=""),"",B391+ROW()/10000000)</f>
        <v/>
      </c>
    </row>
    <row r="392">
      <c r="A392" s="1" t="n"/>
      <c r="B392" s="21" t="n"/>
      <c r="C392" s="24" t="n"/>
      <c r="D392" s="24" t="n"/>
      <c r="E392" s="24" t="n"/>
      <c r="F392" s="24" t="n"/>
      <c r="G392" s="24" t="n"/>
      <c r="H392" s="24" t="n"/>
      <c r="I392" s="26" t="n"/>
      <c r="J392" s="1" t="n"/>
      <c r="K392" s="1" t="n"/>
      <c r="L392" s="1" t="n"/>
      <c r="M392" s="1" t="n"/>
      <c r="N392" s="1" t="n"/>
      <c r="P392">
        <f>IF(OR(B392="",C392=""),"",B392+ROW()/10000000)</f>
        <v/>
      </c>
    </row>
    <row r="393">
      <c r="A393" s="1" t="n"/>
      <c r="B393" s="21" t="n"/>
      <c r="C393" s="24" t="n"/>
      <c r="D393" s="24" t="n"/>
      <c r="E393" s="24" t="n"/>
      <c r="F393" s="24" t="n"/>
      <c r="G393" s="24" t="n"/>
      <c r="H393" s="24" t="n"/>
      <c r="I393" s="26" t="n"/>
      <c r="J393" s="1" t="n"/>
      <c r="K393" s="1" t="n"/>
      <c r="L393" s="1" t="n"/>
      <c r="M393" s="1" t="n"/>
      <c r="N393" s="1" t="n"/>
      <c r="P393">
        <f>IF(OR(B393="",C393=""),"",B393+ROW()/10000000)</f>
        <v/>
      </c>
    </row>
    <row r="394">
      <c r="A394" s="1" t="n"/>
      <c r="B394" s="21" t="n"/>
      <c r="C394" s="24" t="n"/>
      <c r="D394" s="24" t="n"/>
      <c r="E394" s="24" t="n"/>
      <c r="F394" s="24" t="n"/>
      <c r="G394" s="24" t="n"/>
      <c r="H394" s="24" t="n"/>
      <c r="I394" s="26" t="n"/>
      <c r="J394" s="1" t="n"/>
      <c r="K394" s="1" t="n"/>
      <c r="L394" s="1" t="n"/>
      <c r="M394" s="1" t="n"/>
      <c r="N394" s="1" t="n"/>
      <c r="P394">
        <f>IF(OR(B394="",C394=""),"",B394+ROW()/10000000)</f>
        <v/>
      </c>
    </row>
    <row r="395">
      <c r="A395" s="1" t="n"/>
      <c r="B395" s="21" t="n"/>
      <c r="C395" s="24" t="n"/>
      <c r="D395" s="24" t="n"/>
      <c r="E395" s="24" t="n"/>
      <c r="F395" s="24" t="n"/>
      <c r="G395" s="24" t="n"/>
      <c r="H395" s="24" t="n"/>
      <c r="I395" s="26" t="n"/>
      <c r="J395" s="1" t="n"/>
      <c r="K395" s="1" t="n"/>
      <c r="L395" s="1" t="n"/>
      <c r="M395" s="1" t="n"/>
      <c r="N395" s="1" t="n"/>
      <c r="P395">
        <f>IF(OR(B395="",C395=""),"",B395+ROW()/10000000)</f>
        <v/>
      </c>
    </row>
    <row r="396">
      <c r="A396" s="1" t="n"/>
      <c r="B396" s="21" t="n"/>
      <c r="C396" s="24" t="n"/>
      <c r="D396" s="24" t="n"/>
      <c r="E396" s="24" t="n"/>
      <c r="F396" s="24" t="n"/>
      <c r="G396" s="24" t="n"/>
      <c r="H396" s="24" t="n"/>
      <c r="I396" s="26" t="n"/>
      <c r="J396" s="1" t="n"/>
      <c r="K396" s="1" t="n"/>
      <c r="L396" s="1" t="n"/>
      <c r="M396" s="1" t="n"/>
      <c r="N396" s="1" t="n"/>
      <c r="P396">
        <f>IF(OR(B396="",C396=""),"",B396+ROW()/10000000)</f>
        <v/>
      </c>
    </row>
    <row r="397">
      <c r="A397" s="1" t="n"/>
      <c r="B397" s="21" t="n"/>
      <c r="C397" s="24" t="n"/>
      <c r="D397" s="24" t="n"/>
      <c r="E397" s="24" t="n"/>
      <c r="F397" s="24" t="n"/>
      <c r="G397" s="24" t="n"/>
      <c r="H397" s="24" t="n"/>
      <c r="I397" s="26" t="n"/>
      <c r="J397" s="1" t="n"/>
      <c r="K397" s="1" t="n"/>
      <c r="L397" s="1" t="n"/>
      <c r="M397" s="1" t="n"/>
      <c r="N397" s="1" t="n"/>
      <c r="P397">
        <f>IF(OR(B397="",C397=""),"",B397+ROW()/10000000)</f>
        <v/>
      </c>
    </row>
    <row r="398">
      <c r="A398" s="1" t="n"/>
      <c r="B398" s="21" t="n"/>
      <c r="C398" s="24" t="n"/>
      <c r="D398" s="24" t="n"/>
      <c r="E398" s="24" t="n"/>
      <c r="F398" s="24" t="n"/>
      <c r="G398" s="24" t="n"/>
      <c r="H398" s="24" t="n"/>
      <c r="I398" s="26" t="n"/>
      <c r="J398" s="1" t="n"/>
      <c r="K398" s="1" t="n"/>
      <c r="L398" s="1" t="n"/>
      <c r="M398" s="1" t="n"/>
      <c r="N398" s="1" t="n"/>
      <c r="P398">
        <f>IF(OR(B398="",C398=""),"",B398+ROW()/10000000)</f>
        <v/>
      </c>
    </row>
    <row r="399">
      <c r="A399" s="1" t="n"/>
      <c r="B399" s="21" t="n"/>
      <c r="C399" s="24" t="n"/>
      <c r="D399" s="24" t="n"/>
      <c r="E399" s="24" t="n"/>
      <c r="F399" s="24" t="n"/>
      <c r="G399" s="24" t="n"/>
      <c r="H399" s="24" t="n"/>
      <c r="I399" s="26" t="n"/>
      <c r="J399" s="1" t="n"/>
      <c r="K399" s="1" t="n"/>
      <c r="L399" s="1" t="n"/>
      <c r="M399" s="1" t="n"/>
      <c r="N399" s="1" t="n"/>
      <c r="P399">
        <f>IF(OR(B399="",C399=""),"",B399+ROW()/10000000)</f>
        <v/>
      </c>
    </row>
    <row r="400">
      <c r="A400" s="1" t="n"/>
      <c r="B400" s="21" t="n"/>
      <c r="C400" s="24" t="n"/>
      <c r="D400" s="24" t="n"/>
      <c r="E400" s="24" t="n"/>
      <c r="F400" s="24" t="n"/>
      <c r="G400" s="24" t="n"/>
      <c r="H400" s="24" t="n"/>
      <c r="I400" s="26" t="n"/>
      <c r="J400" s="1" t="n"/>
      <c r="K400" s="1" t="n"/>
      <c r="L400" s="1" t="n"/>
      <c r="M400" s="1" t="n"/>
      <c r="N400" s="1" t="n"/>
      <c r="P400">
        <f>IF(OR(B400="",C400=""),"",B400+ROW()/10000000)</f>
        <v/>
      </c>
    </row>
    <row r="401">
      <c r="A401" s="1" t="n"/>
      <c r="B401" s="21" t="n"/>
      <c r="C401" s="24" t="n"/>
      <c r="D401" s="24" t="n"/>
      <c r="E401" s="24" t="n"/>
      <c r="F401" s="24" t="n"/>
      <c r="G401" s="24" t="n"/>
      <c r="H401" s="24" t="n"/>
      <c r="I401" s="26" t="n"/>
      <c r="J401" s="1" t="n"/>
      <c r="K401" s="1" t="n"/>
      <c r="L401" s="1" t="n"/>
      <c r="M401" s="1" t="n"/>
      <c r="N401" s="1" t="n"/>
      <c r="P401">
        <f>IF(OR(B401="",C401=""),"",B401+ROW()/10000000)</f>
        <v/>
      </c>
    </row>
    <row r="402">
      <c r="A402" s="1" t="n"/>
      <c r="B402" s="21" t="n"/>
      <c r="C402" s="24" t="n"/>
      <c r="D402" s="24" t="n"/>
      <c r="E402" s="24" t="n"/>
      <c r="F402" s="24" t="n"/>
      <c r="G402" s="24" t="n"/>
      <c r="H402" s="24" t="n"/>
      <c r="I402" s="26" t="n"/>
      <c r="J402" s="1" t="n"/>
      <c r="K402" s="1" t="n"/>
      <c r="L402" s="1" t="n"/>
      <c r="M402" s="1" t="n"/>
      <c r="N402" s="1" t="n"/>
      <c r="P402">
        <f>IF(OR(B402="",C402=""),"",B402+ROW()/10000000)</f>
        <v/>
      </c>
    </row>
    <row r="403">
      <c r="A403" s="1" t="n"/>
      <c r="B403" s="21" t="n"/>
      <c r="C403" s="24" t="n"/>
      <c r="D403" s="24" t="n"/>
      <c r="E403" s="24" t="n"/>
      <c r="F403" s="24" t="n"/>
      <c r="G403" s="24" t="n"/>
      <c r="H403" s="24" t="n"/>
      <c r="I403" s="26" t="n"/>
      <c r="J403" s="1" t="n"/>
      <c r="K403" s="1" t="n"/>
      <c r="L403" s="1" t="n"/>
      <c r="M403" s="1" t="n"/>
      <c r="N403" s="1" t="n"/>
      <c r="P403">
        <f>IF(OR(B403="",C403=""),"",B403+ROW()/10000000)</f>
        <v/>
      </c>
    </row>
    <row r="404">
      <c r="A404" s="1" t="n"/>
      <c r="B404" s="21" t="n"/>
      <c r="C404" s="24" t="n"/>
      <c r="D404" s="24" t="n"/>
      <c r="E404" s="24" t="n"/>
      <c r="F404" s="24" t="n"/>
      <c r="G404" s="24" t="n"/>
      <c r="H404" s="24" t="n"/>
      <c r="I404" s="26" t="n"/>
      <c r="J404" s="1" t="n"/>
      <c r="K404" s="1" t="n"/>
      <c r="L404" s="1" t="n"/>
      <c r="M404" s="1" t="n"/>
      <c r="N404" s="1" t="n"/>
      <c r="P404">
        <f>IF(OR(B404="",C404=""),"",B404+ROW()/10000000)</f>
        <v/>
      </c>
    </row>
    <row r="405">
      <c r="A405" s="1" t="n"/>
      <c r="B405" s="21" t="n"/>
      <c r="C405" s="24" t="n"/>
      <c r="D405" s="24" t="n"/>
      <c r="E405" s="24" t="n"/>
      <c r="F405" s="24" t="n"/>
      <c r="G405" s="24" t="n"/>
      <c r="H405" s="24" t="n"/>
      <c r="I405" s="26" t="n"/>
      <c r="J405" s="1" t="n"/>
      <c r="K405" s="1" t="n"/>
      <c r="L405" s="1" t="n"/>
      <c r="M405" s="1" t="n"/>
      <c r="N405" s="1" t="n"/>
      <c r="P405">
        <f>IF(OR(B405="",C405=""),"",B405+ROW()/10000000)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Calendar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Every day you trained, for the month you pick.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4" t="inlineStr">
        <is>
          <t>Month</t>
        </is>
      </c>
      <c r="C4" s="34">
        <f>MONTH(TODAY())</f>
        <v/>
      </c>
      <c r="D4" s="6" t="inlineStr">
        <is>
          <t>Year</t>
        </is>
      </c>
      <c r="E4" s="34">
        <f>YEAR(TODAY())</f>
        <v/>
      </c>
      <c r="F4" s="30" t="inlineStr">
        <is>
          <t>Shows this month until you type another month and year.</t>
        </is>
      </c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30" customHeight="1">
      <c r="A6" s="1" t="n"/>
      <c r="B6" s="13" t="inlineStr">
        <is>
          <t>Monday</t>
        </is>
      </c>
      <c r="C6" s="13" t="inlineStr">
        <is>
          <t>Tuesday</t>
        </is>
      </c>
      <c r="D6" s="13" t="inlineStr">
        <is>
          <t>Wednesday</t>
        </is>
      </c>
      <c r="E6" s="13" t="inlineStr">
        <is>
          <t>Thursday</t>
        </is>
      </c>
      <c r="F6" s="13" t="inlineStr">
        <is>
          <t>Friday</t>
        </is>
      </c>
      <c r="G6" s="13" t="inlineStr">
        <is>
          <t>Saturday</t>
        </is>
      </c>
      <c r="H6" s="13" t="inlineStr">
        <is>
          <t>Sunday</t>
        </is>
      </c>
      <c r="I6" s="1" t="n"/>
    </row>
    <row r="7">
      <c r="A7" s="1" t="n"/>
      <c r="B7" s="35">
        <f>IF(MONTH((DATE($E$4,$C$4,1)-WEEKDAY(DATE($E$4,$C$4,1),3)+0))=$C$4,DAY((DATE($E$4,$C$4,1)-WEEKDAY(DATE($E$4,$C$4,1),3)+0)),"")</f>
        <v/>
      </c>
      <c r="C7" s="35">
        <f>IF(MONTH((DATE($E$4,$C$4,1)-WEEKDAY(DATE($E$4,$C$4,1),3)+1))=$C$4,DAY((DATE($E$4,$C$4,1)-WEEKDAY(DATE($E$4,$C$4,1),3)+1)),"")</f>
        <v/>
      </c>
      <c r="D7" s="35">
        <f>IF(MONTH((DATE($E$4,$C$4,1)-WEEKDAY(DATE($E$4,$C$4,1),3)+2))=$C$4,DAY((DATE($E$4,$C$4,1)-WEEKDAY(DATE($E$4,$C$4,1),3)+2)),"")</f>
        <v/>
      </c>
      <c r="E7" s="35">
        <f>IF(MONTH((DATE($E$4,$C$4,1)-WEEKDAY(DATE($E$4,$C$4,1),3)+3))=$C$4,DAY((DATE($E$4,$C$4,1)-WEEKDAY(DATE($E$4,$C$4,1),3)+3)),"")</f>
        <v/>
      </c>
      <c r="F7" s="35">
        <f>IF(MONTH((DATE($E$4,$C$4,1)-WEEKDAY(DATE($E$4,$C$4,1),3)+4))=$C$4,DAY((DATE($E$4,$C$4,1)-WEEKDAY(DATE($E$4,$C$4,1),3)+4)),"")</f>
        <v/>
      </c>
      <c r="G7" s="35">
        <f>IF(MONTH((DATE($E$4,$C$4,1)-WEEKDAY(DATE($E$4,$C$4,1),3)+5))=$C$4,DAY((DATE($E$4,$C$4,1)-WEEKDAY(DATE($E$4,$C$4,1),3)+5)),"")</f>
        <v/>
      </c>
      <c r="H7" s="35">
        <f>IF(MONTH((DATE($E$4,$C$4,1)-WEEKDAY(DATE($E$4,$C$4,1),3)+6))=$C$4,DAY((DATE($E$4,$C$4,1)-WEEKDAY(DATE($E$4,$C$4,1),3)+6)),"")</f>
        <v/>
      </c>
      <c r="I7" s="1" t="n"/>
    </row>
    <row r="8" ht="30" customHeight="1">
      <c r="A8" s="1" t="n"/>
      <c r="B8" s="36">
        <f>IF(MONTH((DATE($E$4,$C$4,1)-WEEKDAY(DATE($E$4,$C$4,1),3)+0))&lt;&gt;$C$4,"",IFERROR(INDEX(Log!$C$6:$C$1505,MATCH((DATE($E$4,$C$4,1)-WEEKDAY(DATE($E$4,$C$4,1),3)+0),Log!$B$6:$B$1505,0)),""))</f>
        <v/>
      </c>
      <c r="C8" s="36">
        <f>IF(MONTH((DATE($E$4,$C$4,1)-WEEKDAY(DATE($E$4,$C$4,1),3)+1))&lt;&gt;$C$4,"",IFERROR(INDEX(Log!$C$6:$C$1505,MATCH((DATE($E$4,$C$4,1)-WEEKDAY(DATE($E$4,$C$4,1),3)+1),Log!$B$6:$B$1505,0)),""))</f>
        <v/>
      </c>
      <c r="D8" s="36">
        <f>IF(MONTH((DATE($E$4,$C$4,1)-WEEKDAY(DATE($E$4,$C$4,1),3)+2))&lt;&gt;$C$4,"",IFERROR(INDEX(Log!$C$6:$C$1505,MATCH((DATE($E$4,$C$4,1)-WEEKDAY(DATE($E$4,$C$4,1),3)+2),Log!$B$6:$B$1505,0)),""))</f>
        <v/>
      </c>
      <c r="E8" s="36">
        <f>IF(MONTH((DATE($E$4,$C$4,1)-WEEKDAY(DATE($E$4,$C$4,1),3)+3))&lt;&gt;$C$4,"",IFERROR(INDEX(Log!$C$6:$C$1505,MATCH((DATE($E$4,$C$4,1)-WEEKDAY(DATE($E$4,$C$4,1),3)+3),Log!$B$6:$B$1505,0)),""))</f>
        <v/>
      </c>
      <c r="F8" s="36">
        <f>IF(MONTH((DATE($E$4,$C$4,1)-WEEKDAY(DATE($E$4,$C$4,1),3)+4))&lt;&gt;$C$4,"",IFERROR(INDEX(Log!$C$6:$C$1505,MATCH((DATE($E$4,$C$4,1)-WEEKDAY(DATE($E$4,$C$4,1),3)+4),Log!$B$6:$B$1505,0)),""))</f>
        <v/>
      </c>
      <c r="G8" s="36">
        <f>IF(MONTH((DATE($E$4,$C$4,1)-WEEKDAY(DATE($E$4,$C$4,1),3)+5))&lt;&gt;$C$4,"",IFERROR(INDEX(Log!$C$6:$C$1505,MATCH((DATE($E$4,$C$4,1)-WEEKDAY(DATE($E$4,$C$4,1),3)+5),Log!$B$6:$B$1505,0)),""))</f>
        <v/>
      </c>
      <c r="H8" s="36">
        <f>IF(MONTH((DATE($E$4,$C$4,1)-WEEKDAY(DATE($E$4,$C$4,1),3)+6))&lt;&gt;$C$4,"",IFERROR(INDEX(Log!$C$6:$C$1505,MATCH((DATE($E$4,$C$4,1)-WEEKDAY(DATE($E$4,$C$4,1),3)+6),Log!$B$6:$B$1505,0)),""))</f>
        <v/>
      </c>
      <c r="I8" s="1" t="n"/>
      <c r="K8">
        <f>IF(MONTH((DATE($E$4,$C$4,1)-WEEKDAY(DATE($E$4,$C$4,1),3)+0))&lt;&gt;$C$4,0,COUNTIF(Log!$B$6:$B$1505,(DATE($E$4,$C$4,1)-WEEKDAY(DATE($E$4,$C$4,1),3)+0)))</f>
        <v/>
      </c>
      <c r="L8">
        <f>IF(MONTH((DATE($E$4,$C$4,1)-WEEKDAY(DATE($E$4,$C$4,1),3)+1))&lt;&gt;$C$4,0,COUNTIF(Log!$B$6:$B$1505,(DATE($E$4,$C$4,1)-WEEKDAY(DATE($E$4,$C$4,1),3)+1)))</f>
        <v/>
      </c>
      <c r="M8">
        <f>IF(MONTH((DATE($E$4,$C$4,1)-WEEKDAY(DATE($E$4,$C$4,1),3)+2))&lt;&gt;$C$4,0,COUNTIF(Log!$B$6:$B$1505,(DATE($E$4,$C$4,1)-WEEKDAY(DATE($E$4,$C$4,1),3)+2)))</f>
        <v/>
      </c>
      <c r="N8">
        <f>IF(MONTH((DATE($E$4,$C$4,1)-WEEKDAY(DATE($E$4,$C$4,1),3)+3))&lt;&gt;$C$4,0,COUNTIF(Log!$B$6:$B$1505,(DATE($E$4,$C$4,1)-WEEKDAY(DATE($E$4,$C$4,1),3)+3)))</f>
        <v/>
      </c>
      <c r="O8">
        <f>IF(MONTH((DATE($E$4,$C$4,1)-WEEKDAY(DATE($E$4,$C$4,1),3)+4))&lt;&gt;$C$4,0,COUNTIF(Log!$B$6:$B$1505,(DATE($E$4,$C$4,1)-WEEKDAY(DATE($E$4,$C$4,1),3)+4)))</f>
        <v/>
      </c>
      <c r="P8">
        <f>IF(MONTH((DATE($E$4,$C$4,1)-WEEKDAY(DATE($E$4,$C$4,1),3)+5))&lt;&gt;$C$4,0,COUNTIF(Log!$B$6:$B$1505,(DATE($E$4,$C$4,1)-WEEKDAY(DATE($E$4,$C$4,1),3)+5)))</f>
        <v/>
      </c>
      <c r="Q8">
        <f>IF(MONTH((DATE($E$4,$C$4,1)-WEEKDAY(DATE($E$4,$C$4,1),3)+6))&lt;&gt;$C$4,0,COUNTIF(Log!$B$6:$B$1505,(DATE($E$4,$C$4,1)-WEEKDAY(DATE($E$4,$C$4,1),3)+6)))</f>
        <v/>
      </c>
    </row>
    <row r="9">
      <c r="A9" s="1" t="n"/>
      <c r="B9" s="35">
        <f>IF(MONTH((DATE($E$4,$C$4,1)-WEEKDAY(DATE($E$4,$C$4,1),3)+7))=$C$4,DAY((DATE($E$4,$C$4,1)-WEEKDAY(DATE($E$4,$C$4,1),3)+7)),"")</f>
        <v/>
      </c>
      <c r="C9" s="35">
        <f>IF(MONTH((DATE($E$4,$C$4,1)-WEEKDAY(DATE($E$4,$C$4,1),3)+8))=$C$4,DAY((DATE($E$4,$C$4,1)-WEEKDAY(DATE($E$4,$C$4,1),3)+8)),"")</f>
        <v/>
      </c>
      <c r="D9" s="35">
        <f>IF(MONTH((DATE($E$4,$C$4,1)-WEEKDAY(DATE($E$4,$C$4,1),3)+9))=$C$4,DAY((DATE($E$4,$C$4,1)-WEEKDAY(DATE($E$4,$C$4,1),3)+9)),"")</f>
        <v/>
      </c>
      <c r="E9" s="35">
        <f>IF(MONTH((DATE($E$4,$C$4,1)-WEEKDAY(DATE($E$4,$C$4,1),3)+10))=$C$4,DAY((DATE($E$4,$C$4,1)-WEEKDAY(DATE($E$4,$C$4,1),3)+10)),"")</f>
        <v/>
      </c>
      <c r="F9" s="35">
        <f>IF(MONTH((DATE($E$4,$C$4,1)-WEEKDAY(DATE($E$4,$C$4,1),3)+11))=$C$4,DAY((DATE($E$4,$C$4,1)-WEEKDAY(DATE($E$4,$C$4,1),3)+11)),"")</f>
        <v/>
      </c>
      <c r="G9" s="35">
        <f>IF(MONTH((DATE($E$4,$C$4,1)-WEEKDAY(DATE($E$4,$C$4,1),3)+12))=$C$4,DAY((DATE($E$4,$C$4,1)-WEEKDAY(DATE($E$4,$C$4,1),3)+12)),"")</f>
        <v/>
      </c>
      <c r="H9" s="35">
        <f>IF(MONTH((DATE($E$4,$C$4,1)-WEEKDAY(DATE($E$4,$C$4,1),3)+13))=$C$4,DAY((DATE($E$4,$C$4,1)-WEEKDAY(DATE($E$4,$C$4,1),3)+13)),"")</f>
        <v/>
      </c>
      <c r="I9" s="1" t="n"/>
    </row>
    <row r="10" ht="30" customHeight="1">
      <c r="A10" s="1" t="n"/>
      <c r="B10" s="36">
        <f>IF(MONTH((DATE($E$4,$C$4,1)-WEEKDAY(DATE($E$4,$C$4,1),3)+7))&lt;&gt;$C$4,"",IFERROR(INDEX(Log!$C$6:$C$1505,MATCH((DATE($E$4,$C$4,1)-WEEKDAY(DATE($E$4,$C$4,1),3)+7),Log!$B$6:$B$1505,0)),""))</f>
        <v/>
      </c>
      <c r="C10" s="36">
        <f>IF(MONTH((DATE($E$4,$C$4,1)-WEEKDAY(DATE($E$4,$C$4,1),3)+8))&lt;&gt;$C$4,"",IFERROR(INDEX(Log!$C$6:$C$1505,MATCH((DATE($E$4,$C$4,1)-WEEKDAY(DATE($E$4,$C$4,1),3)+8),Log!$B$6:$B$1505,0)),""))</f>
        <v/>
      </c>
      <c r="D10" s="36">
        <f>IF(MONTH((DATE($E$4,$C$4,1)-WEEKDAY(DATE($E$4,$C$4,1),3)+9))&lt;&gt;$C$4,"",IFERROR(INDEX(Log!$C$6:$C$1505,MATCH((DATE($E$4,$C$4,1)-WEEKDAY(DATE($E$4,$C$4,1),3)+9),Log!$B$6:$B$1505,0)),""))</f>
        <v/>
      </c>
      <c r="E10" s="36">
        <f>IF(MONTH((DATE($E$4,$C$4,1)-WEEKDAY(DATE($E$4,$C$4,1),3)+10))&lt;&gt;$C$4,"",IFERROR(INDEX(Log!$C$6:$C$1505,MATCH((DATE($E$4,$C$4,1)-WEEKDAY(DATE($E$4,$C$4,1),3)+10),Log!$B$6:$B$1505,0)),""))</f>
        <v/>
      </c>
      <c r="F10" s="36">
        <f>IF(MONTH((DATE($E$4,$C$4,1)-WEEKDAY(DATE($E$4,$C$4,1),3)+11))&lt;&gt;$C$4,"",IFERROR(INDEX(Log!$C$6:$C$1505,MATCH((DATE($E$4,$C$4,1)-WEEKDAY(DATE($E$4,$C$4,1),3)+11),Log!$B$6:$B$1505,0)),""))</f>
        <v/>
      </c>
      <c r="G10" s="36">
        <f>IF(MONTH((DATE($E$4,$C$4,1)-WEEKDAY(DATE($E$4,$C$4,1),3)+12))&lt;&gt;$C$4,"",IFERROR(INDEX(Log!$C$6:$C$1505,MATCH((DATE($E$4,$C$4,1)-WEEKDAY(DATE($E$4,$C$4,1),3)+12),Log!$B$6:$B$1505,0)),""))</f>
        <v/>
      </c>
      <c r="H10" s="36">
        <f>IF(MONTH((DATE($E$4,$C$4,1)-WEEKDAY(DATE($E$4,$C$4,1),3)+13))&lt;&gt;$C$4,"",IFERROR(INDEX(Log!$C$6:$C$1505,MATCH((DATE($E$4,$C$4,1)-WEEKDAY(DATE($E$4,$C$4,1),3)+13),Log!$B$6:$B$1505,0)),""))</f>
        <v/>
      </c>
      <c r="I10" s="1" t="n"/>
      <c r="K10">
        <f>IF(MONTH((DATE($E$4,$C$4,1)-WEEKDAY(DATE($E$4,$C$4,1),3)+7))&lt;&gt;$C$4,0,COUNTIF(Log!$B$6:$B$1505,(DATE($E$4,$C$4,1)-WEEKDAY(DATE($E$4,$C$4,1),3)+7)))</f>
        <v/>
      </c>
      <c r="L10">
        <f>IF(MONTH((DATE($E$4,$C$4,1)-WEEKDAY(DATE($E$4,$C$4,1),3)+8))&lt;&gt;$C$4,0,COUNTIF(Log!$B$6:$B$1505,(DATE($E$4,$C$4,1)-WEEKDAY(DATE($E$4,$C$4,1),3)+8)))</f>
        <v/>
      </c>
      <c r="M10">
        <f>IF(MONTH((DATE($E$4,$C$4,1)-WEEKDAY(DATE($E$4,$C$4,1),3)+9))&lt;&gt;$C$4,0,COUNTIF(Log!$B$6:$B$1505,(DATE($E$4,$C$4,1)-WEEKDAY(DATE($E$4,$C$4,1),3)+9)))</f>
        <v/>
      </c>
      <c r="N10">
        <f>IF(MONTH((DATE($E$4,$C$4,1)-WEEKDAY(DATE($E$4,$C$4,1),3)+10))&lt;&gt;$C$4,0,COUNTIF(Log!$B$6:$B$1505,(DATE($E$4,$C$4,1)-WEEKDAY(DATE($E$4,$C$4,1),3)+10)))</f>
        <v/>
      </c>
      <c r="O10">
        <f>IF(MONTH((DATE($E$4,$C$4,1)-WEEKDAY(DATE($E$4,$C$4,1),3)+11))&lt;&gt;$C$4,0,COUNTIF(Log!$B$6:$B$1505,(DATE($E$4,$C$4,1)-WEEKDAY(DATE($E$4,$C$4,1),3)+11)))</f>
        <v/>
      </c>
      <c r="P10">
        <f>IF(MONTH((DATE($E$4,$C$4,1)-WEEKDAY(DATE($E$4,$C$4,1),3)+12))&lt;&gt;$C$4,0,COUNTIF(Log!$B$6:$B$1505,(DATE($E$4,$C$4,1)-WEEKDAY(DATE($E$4,$C$4,1),3)+12)))</f>
        <v/>
      </c>
      <c r="Q10">
        <f>IF(MONTH((DATE($E$4,$C$4,1)-WEEKDAY(DATE($E$4,$C$4,1),3)+13))&lt;&gt;$C$4,0,COUNTIF(Log!$B$6:$B$1505,(DATE($E$4,$C$4,1)-WEEKDAY(DATE($E$4,$C$4,1),3)+13)))</f>
        <v/>
      </c>
    </row>
    <row r="11">
      <c r="A11" s="1" t="n"/>
      <c r="B11" s="35">
        <f>IF(MONTH((DATE($E$4,$C$4,1)-WEEKDAY(DATE($E$4,$C$4,1),3)+14))=$C$4,DAY((DATE($E$4,$C$4,1)-WEEKDAY(DATE($E$4,$C$4,1),3)+14)),"")</f>
        <v/>
      </c>
      <c r="C11" s="35">
        <f>IF(MONTH((DATE($E$4,$C$4,1)-WEEKDAY(DATE($E$4,$C$4,1),3)+15))=$C$4,DAY((DATE($E$4,$C$4,1)-WEEKDAY(DATE($E$4,$C$4,1),3)+15)),"")</f>
        <v/>
      </c>
      <c r="D11" s="35">
        <f>IF(MONTH((DATE($E$4,$C$4,1)-WEEKDAY(DATE($E$4,$C$4,1),3)+16))=$C$4,DAY((DATE($E$4,$C$4,1)-WEEKDAY(DATE($E$4,$C$4,1),3)+16)),"")</f>
        <v/>
      </c>
      <c r="E11" s="35">
        <f>IF(MONTH((DATE($E$4,$C$4,1)-WEEKDAY(DATE($E$4,$C$4,1),3)+17))=$C$4,DAY((DATE($E$4,$C$4,1)-WEEKDAY(DATE($E$4,$C$4,1),3)+17)),"")</f>
        <v/>
      </c>
      <c r="F11" s="35">
        <f>IF(MONTH((DATE($E$4,$C$4,1)-WEEKDAY(DATE($E$4,$C$4,1),3)+18))=$C$4,DAY((DATE($E$4,$C$4,1)-WEEKDAY(DATE($E$4,$C$4,1),3)+18)),"")</f>
        <v/>
      </c>
      <c r="G11" s="35">
        <f>IF(MONTH((DATE($E$4,$C$4,1)-WEEKDAY(DATE($E$4,$C$4,1),3)+19))=$C$4,DAY((DATE($E$4,$C$4,1)-WEEKDAY(DATE($E$4,$C$4,1),3)+19)),"")</f>
        <v/>
      </c>
      <c r="H11" s="35">
        <f>IF(MONTH((DATE($E$4,$C$4,1)-WEEKDAY(DATE($E$4,$C$4,1),3)+20))=$C$4,DAY((DATE($E$4,$C$4,1)-WEEKDAY(DATE($E$4,$C$4,1),3)+20)),"")</f>
        <v/>
      </c>
      <c r="I11" s="1" t="n"/>
    </row>
    <row r="12" ht="30" customHeight="1">
      <c r="A12" s="1" t="n"/>
      <c r="B12" s="36">
        <f>IF(MONTH((DATE($E$4,$C$4,1)-WEEKDAY(DATE($E$4,$C$4,1),3)+14))&lt;&gt;$C$4,"",IFERROR(INDEX(Log!$C$6:$C$1505,MATCH((DATE($E$4,$C$4,1)-WEEKDAY(DATE($E$4,$C$4,1),3)+14),Log!$B$6:$B$1505,0)),""))</f>
        <v/>
      </c>
      <c r="C12" s="36">
        <f>IF(MONTH((DATE($E$4,$C$4,1)-WEEKDAY(DATE($E$4,$C$4,1),3)+15))&lt;&gt;$C$4,"",IFERROR(INDEX(Log!$C$6:$C$1505,MATCH((DATE($E$4,$C$4,1)-WEEKDAY(DATE($E$4,$C$4,1),3)+15),Log!$B$6:$B$1505,0)),""))</f>
        <v/>
      </c>
      <c r="D12" s="36">
        <f>IF(MONTH((DATE($E$4,$C$4,1)-WEEKDAY(DATE($E$4,$C$4,1),3)+16))&lt;&gt;$C$4,"",IFERROR(INDEX(Log!$C$6:$C$1505,MATCH((DATE($E$4,$C$4,1)-WEEKDAY(DATE($E$4,$C$4,1),3)+16),Log!$B$6:$B$1505,0)),""))</f>
        <v/>
      </c>
      <c r="E12" s="36">
        <f>IF(MONTH((DATE($E$4,$C$4,1)-WEEKDAY(DATE($E$4,$C$4,1),3)+17))&lt;&gt;$C$4,"",IFERROR(INDEX(Log!$C$6:$C$1505,MATCH((DATE($E$4,$C$4,1)-WEEKDAY(DATE($E$4,$C$4,1),3)+17),Log!$B$6:$B$1505,0)),""))</f>
        <v/>
      </c>
      <c r="F12" s="36">
        <f>IF(MONTH((DATE($E$4,$C$4,1)-WEEKDAY(DATE($E$4,$C$4,1),3)+18))&lt;&gt;$C$4,"",IFERROR(INDEX(Log!$C$6:$C$1505,MATCH((DATE($E$4,$C$4,1)-WEEKDAY(DATE($E$4,$C$4,1),3)+18),Log!$B$6:$B$1505,0)),""))</f>
        <v/>
      </c>
      <c r="G12" s="36">
        <f>IF(MONTH((DATE($E$4,$C$4,1)-WEEKDAY(DATE($E$4,$C$4,1),3)+19))&lt;&gt;$C$4,"",IFERROR(INDEX(Log!$C$6:$C$1505,MATCH((DATE($E$4,$C$4,1)-WEEKDAY(DATE($E$4,$C$4,1),3)+19),Log!$B$6:$B$1505,0)),""))</f>
        <v/>
      </c>
      <c r="H12" s="36">
        <f>IF(MONTH((DATE($E$4,$C$4,1)-WEEKDAY(DATE($E$4,$C$4,1),3)+20))&lt;&gt;$C$4,"",IFERROR(INDEX(Log!$C$6:$C$1505,MATCH((DATE($E$4,$C$4,1)-WEEKDAY(DATE($E$4,$C$4,1),3)+20),Log!$B$6:$B$1505,0)),""))</f>
        <v/>
      </c>
      <c r="I12" s="1" t="n"/>
      <c r="K12">
        <f>IF(MONTH((DATE($E$4,$C$4,1)-WEEKDAY(DATE($E$4,$C$4,1),3)+14))&lt;&gt;$C$4,0,COUNTIF(Log!$B$6:$B$1505,(DATE($E$4,$C$4,1)-WEEKDAY(DATE($E$4,$C$4,1),3)+14)))</f>
        <v/>
      </c>
      <c r="L12">
        <f>IF(MONTH((DATE($E$4,$C$4,1)-WEEKDAY(DATE($E$4,$C$4,1),3)+15))&lt;&gt;$C$4,0,COUNTIF(Log!$B$6:$B$1505,(DATE($E$4,$C$4,1)-WEEKDAY(DATE($E$4,$C$4,1),3)+15)))</f>
        <v/>
      </c>
      <c r="M12">
        <f>IF(MONTH((DATE($E$4,$C$4,1)-WEEKDAY(DATE($E$4,$C$4,1),3)+16))&lt;&gt;$C$4,0,COUNTIF(Log!$B$6:$B$1505,(DATE($E$4,$C$4,1)-WEEKDAY(DATE($E$4,$C$4,1),3)+16)))</f>
        <v/>
      </c>
      <c r="N12">
        <f>IF(MONTH((DATE($E$4,$C$4,1)-WEEKDAY(DATE($E$4,$C$4,1),3)+17))&lt;&gt;$C$4,0,COUNTIF(Log!$B$6:$B$1505,(DATE($E$4,$C$4,1)-WEEKDAY(DATE($E$4,$C$4,1),3)+17)))</f>
        <v/>
      </c>
      <c r="O12">
        <f>IF(MONTH((DATE($E$4,$C$4,1)-WEEKDAY(DATE($E$4,$C$4,1),3)+18))&lt;&gt;$C$4,0,COUNTIF(Log!$B$6:$B$1505,(DATE($E$4,$C$4,1)-WEEKDAY(DATE($E$4,$C$4,1),3)+18)))</f>
        <v/>
      </c>
      <c r="P12">
        <f>IF(MONTH((DATE($E$4,$C$4,1)-WEEKDAY(DATE($E$4,$C$4,1),3)+19))&lt;&gt;$C$4,0,COUNTIF(Log!$B$6:$B$1505,(DATE($E$4,$C$4,1)-WEEKDAY(DATE($E$4,$C$4,1),3)+19)))</f>
        <v/>
      </c>
      <c r="Q12">
        <f>IF(MONTH((DATE($E$4,$C$4,1)-WEEKDAY(DATE($E$4,$C$4,1),3)+20))&lt;&gt;$C$4,0,COUNTIF(Log!$B$6:$B$1505,(DATE($E$4,$C$4,1)-WEEKDAY(DATE($E$4,$C$4,1),3)+20)))</f>
        <v/>
      </c>
    </row>
    <row r="13">
      <c r="A13" s="1" t="n"/>
      <c r="B13" s="35">
        <f>IF(MONTH((DATE($E$4,$C$4,1)-WEEKDAY(DATE($E$4,$C$4,1),3)+21))=$C$4,DAY((DATE($E$4,$C$4,1)-WEEKDAY(DATE($E$4,$C$4,1),3)+21)),"")</f>
        <v/>
      </c>
      <c r="C13" s="35">
        <f>IF(MONTH((DATE($E$4,$C$4,1)-WEEKDAY(DATE($E$4,$C$4,1),3)+22))=$C$4,DAY((DATE($E$4,$C$4,1)-WEEKDAY(DATE($E$4,$C$4,1),3)+22)),"")</f>
        <v/>
      </c>
      <c r="D13" s="35">
        <f>IF(MONTH((DATE($E$4,$C$4,1)-WEEKDAY(DATE($E$4,$C$4,1),3)+23))=$C$4,DAY((DATE($E$4,$C$4,1)-WEEKDAY(DATE($E$4,$C$4,1),3)+23)),"")</f>
        <v/>
      </c>
      <c r="E13" s="35">
        <f>IF(MONTH((DATE($E$4,$C$4,1)-WEEKDAY(DATE($E$4,$C$4,1),3)+24))=$C$4,DAY((DATE($E$4,$C$4,1)-WEEKDAY(DATE($E$4,$C$4,1),3)+24)),"")</f>
        <v/>
      </c>
      <c r="F13" s="35">
        <f>IF(MONTH((DATE($E$4,$C$4,1)-WEEKDAY(DATE($E$4,$C$4,1),3)+25))=$C$4,DAY((DATE($E$4,$C$4,1)-WEEKDAY(DATE($E$4,$C$4,1),3)+25)),"")</f>
        <v/>
      </c>
      <c r="G13" s="35">
        <f>IF(MONTH((DATE($E$4,$C$4,1)-WEEKDAY(DATE($E$4,$C$4,1),3)+26))=$C$4,DAY((DATE($E$4,$C$4,1)-WEEKDAY(DATE($E$4,$C$4,1),3)+26)),"")</f>
        <v/>
      </c>
      <c r="H13" s="35">
        <f>IF(MONTH((DATE($E$4,$C$4,1)-WEEKDAY(DATE($E$4,$C$4,1),3)+27))=$C$4,DAY((DATE($E$4,$C$4,1)-WEEKDAY(DATE($E$4,$C$4,1),3)+27)),"")</f>
        <v/>
      </c>
      <c r="I13" s="1" t="n"/>
    </row>
    <row r="14" ht="30" customHeight="1">
      <c r="A14" s="1" t="n"/>
      <c r="B14" s="36">
        <f>IF(MONTH((DATE($E$4,$C$4,1)-WEEKDAY(DATE($E$4,$C$4,1),3)+21))&lt;&gt;$C$4,"",IFERROR(INDEX(Log!$C$6:$C$1505,MATCH((DATE($E$4,$C$4,1)-WEEKDAY(DATE($E$4,$C$4,1),3)+21),Log!$B$6:$B$1505,0)),""))</f>
        <v/>
      </c>
      <c r="C14" s="36">
        <f>IF(MONTH((DATE($E$4,$C$4,1)-WEEKDAY(DATE($E$4,$C$4,1),3)+22))&lt;&gt;$C$4,"",IFERROR(INDEX(Log!$C$6:$C$1505,MATCH((DATE($E$4,$C$4,1)-WEEKDAY(DATE($E$4,$C$4,1),3)+22),Log!$B$6:$B$1505,0)),""))</f>
        <v/>
      </c>
      <c r="D14" s="36">
        <f>IF(MONTH((DATE($E$4,$C$4,1)-WEEKDAY(DATE($E$4,$C$4,1),3)+23))&lt;&gt;$C$4,"",IFERROR(INDEX(Log!$C$6:$C$1505,MATCH((DATE($E$4,$C$4,1)-WEEKDAY(DATE($E$4,$C$4,1),3)+23),Log!$B$6:$B$1505,0)),""))</f>
        <v/>
      </c>
      <c r="E14" s="36">
        <f>IF(MONTH((DATE($E$4,$C$4,1)-WEEKDAY(DATE($E$4,$C$4,1),3)+24))&lt;&gt;$C$4,"",IFERROR(INDEX(Log!$C$6:$C$1505,MATCH((DATE($E$4,$C$4,1)-WEEKDAY(DATE($E$4,$C$4,1),3)+24),Log!$B$6:$B$1505,0)),""))</f>
        <v/>
      </c>
      <c r="F14" s="36">
        <f>IF(MONTH((DATE($E$4,$C$4,1)-WEEKDAY(DATE($E$4,$C$4,1),3)+25))&lt;&gt;$C$4,"",IFERROR(INDEX(Log!$C$6:$C$1505,MATCH((DATE($E$4,$C$4,1)-WEEKDAY(DATE($E$4,$C$4,1),3)+25),Log!$B$6:$B$1505,0)),""))</f>
        <v/>
      </c>
      <c r="G14" s="36">
        <f>IF(MONTH((DATE($E$4,$C$4,1)-WEEKDAY(DATE($E$4,$C$4,1),3)+26))&lt;&gt;$C$4,"",IFERROR(INDEX(Log!$C$6:$C$1505,MATCH((DATE($E$4,$C$4,1)-WEEKDAY(DATE($E$4,$C$4,1),3)+26),Log!$B$6:$B$1505,0)),""))</f>
        <v/>
      </c>
      <c r="H14" s="36">
        <f>IF(MONTH((DATE($E$4,$C$4,1)-WEEKDAY(DATE($E$4,$C$4,1),3)+27))&lt;&gt;$C$4,"",IFERROR(INDEX(Log!$C$6:$C$1505,MATCH((DATE($E$4,$C$4,1)-WEEKDAY(DATE($E$4,$C$4,1),3)+27),Log!$B$6:$B$1505,0)),""))</f>
        <v/>
      </c>
      <c r="I14" s="1" t="n"/>
      <c r="K14">
        <f>IF(MONTH((DATE($E$4,$C$4,1)-WEEKDAY(DATE($E$4,$C$4,1),3)+21))&lt;&gt;$C$4,0,COUNTIF(Log!$B$6:$B$1505,(DATE($E$4,$C$4,1)-WEEKDAY(DATE($E$4,$C$4,1),3)+21)))</f>
        <v/>
      </c>
      <c r="L14">
        <f>IF(MONTH((DATE($E$4,$C$4,1)-WEEKDAY(DATE($E$4,$C$4,1),3)+22))&lt;&gt;$C$4,0,COUNTIF(Log!$B$6:$B$1505,(DATE($E$4,$C$4,1)-WEEKDAY(DATE($E$4,$C$4,1),3)+22)))</f>
        <v/>
      </c>
      <c r="M14">
        <f>IF(MONTH((DATE($E$4,$C$4,1)-WEEKDAY(DATE($E$4,$C$4,1),3)+23))&lt;&gt;$C$4,0,COUNTIF(Log!$B$6:$B$1505,(DATE($E$4,$C$4,1)-WEEKDAY(DATE($E$4,$C$4,1),3)+23)))</f>
        <v/>
      </c>
      <c r="N14">
        <f>IF(MONTH((DATE($E$4,$C$4,1)-WEEKDAY(DATE($E$4,$C$4,1),3)+24))&lt;&gt;$C$4,0,COUNTIF(Log!$B$6:$B$1505,(DATE($E$4,$C$4,1)-WEEKDAY(DATE($E$4,$C$4,1),3)+24)))</f>
        <v/>
      </c>
      <c r="O14">
        <f>IF(MONTH((DATE($E$4,$C$4,1)-WEEKDAY(DATE($E$4,$C$4,1),3)+25))&lt;&gt;$C$4,0,COUNTIF(Log!$B$6:$B$1505,(DATE($E$4,$C$4,1)-WEEKDAY(DATE($E$4,$C$4,1),3)+25)))</f>
        <v/>
      </c>
      <c r="P14">
        <f>IF(MONTH((DATE($E$4,$C$4,1)-WEEKDAY(DATE($E$4,$C$4,1),3)+26))&lt;&gt;$C$4,0,COUNTIF(Log!$B$6:$B$1505,(DATE($E$4,$C$4,1)-WEEKDAY(DATE($E$4,$C$4,1),3)+26)))</f>
        <v/>
      </c>
      <c r="Q14">
        <f>IF(MONTH((DATE($E$4,$C$4,1)-WEEKDAY(DATE($E$4,$C$4,1),3)+27))&lt;&gt;$C$4,0,COUNTIF(Log!$B$6:$B$1505,(DATE($E$4,$C$4,1)-WEEKDAY(DATE($E$4,$C$4,1),3)+27)))</f>
        <v/>
      </c>
    </row>
    <row r="15">
      <c r="A15" s="1" t="n"/>
      <c r="B15" s="35">
        <f>IF(MONTH((DATE($E$4,$C$4,1)-WEEKDAY(DATE($E$4,$C$4,1),3)+28))=$C$4,DAY((DATE($E$4,$C$4,1)-WEEKDAY(DATE($E$4,$C$4,1),3)+28)),"")</f>
        <v/>
      </c>
      <c r="C15" s="35">
        <f>IF(MONTH((DATE($E$4,$C$4,1)-WEEKDAY(DATE($E$4,$C$4,1),3)+29))=$C$4,DAY((DATE($E$4,$C$4,1)-WEEKDAY(DATE($E$4,$C$4,1),3)+29)),"")</f>
        <v/>
      </c>
      <c r="D15" s="35">
        <f>IF(MONTH((DATE($E$4,$C$4,1)-WEEKDAY(DATE($E$4,$C$4,1),3)+30))=$C$4,DAY((DATE($E$4,$C$4,1)-WEEKDAY(DATE($E$4,$C$4,1),3)+30)),"")</f>
        <v/>
      </c>
      <c r="E15" s="35">
        <f>IF(MONTH((DATE($E$4,$C$4,1)-WEEKDAY(DATE($E$4,$C$4,1),3)+31))=$C$4,DAY((DATE($E$4,$C$4,1)-WEEKDAY(DATE($E$4,$C$4,1),3)+31)),"")</f>
        <v/>
      </c>
      <c r="F15" s="35">
        <f>IF(MONTH((DATE($E$4,$C$4,1)-WEEKDAY(DATE($E$4,$C$4,1),3)+32))=$C$4,DAY((DATE($E$4,$C$4,1)-WEEKDAY(DATE($E$4,$C$4,1),3)+32)),"")</f>
        <v/>
      </c>
      <c r="G15" s="35">
        <f>IF(MONTH((DATE($E$4,$C$4,1)-WEEKDAY(DATE($E$4,$C$4,1),3)+33))=$C$4,DAY((DATE($E$4,$C$4,1)-WEEKDAY(DATE($E$4,$C$4,1),3)+33)),"")</f>
        <v/>
      </c>
      <c r="H15" s="35">
        <f>IF(MONTH((DATE($E$4,$C$4,1)-WEEKDAY(DATE($E$4,$C$4,1),3)+34))=$C$4,DAY((DATE($E$4,$C$4,1)-WEEKDAY(DATE($E$4,$C$4,1),3)+34)),"")</f>
        <v/>
      </c>
      <c r="I15" s="1" t="n"/>
    </row>
    <row r="16" ht="30" customHeight="1">
      <c r="A16" s="1" t="n"/>
      <c r="B16" s="36">
        <f>IF(MONTH((DATE($E$4,$C$4,1)-WEEKDAY(DATE($E$4,$C$4,1),3)+28))&lt;&gt;$C$4,"",IFERROR(INDEX(Log!$C$6:$C$1505,MATCH((DATE($E$4,$C$4,1)-WEEKDAY(DATE($E$4,$C$4,1),3)+28),Log!$B$6:$B$1505,0)),""))</f>
        <v/>
      </c>
      <c r="C16" s="36">
        <f>IF(MONTH((DATE($E$4,$C$4,1)-WEEKDAY(DATE($E$4,$C$4,1),3)+29))&lt;&gt;$C$4,"",IFERROR(INDEX(Log!$C$6:$C$1505,MATCH((DATE($E$4,$C$4,1)-WEEKDAY(DATE($E$4,$C$4,1),3)+29),Log!$B$6:$B$1505,0)),""))</f>
        <v/>
      </c>
      <c r="D16" s="36">
        <f>IF(MONTH((DATE($E$4,$C$4,1)-WEEKDAY(DATE($E$4,$C$4,1),3)+30))&lt;&gt;$C$4,"",IFERROR(INDEX(Log!$C$6:$C$1505,MATCH((DATE($E$4,$C$4,1)-WEEKDAY(DATE($E$4,$C$4,1),3)+30),Log!$B$6:$B$1505,0)),""))</f>
        <v/>
      </c>
      <c r="E16" s="36">
        <f>IF(MONTH((DATE($E$4,$C$4,1)-WEEKDAY(DATE($E$4,$C$4,1),3)+31))&lt;&gt;$C$4,"",IFERROR(INDEX(Log!$C$6:$C$1505,MATCH((DATE($E$4,$C$4,1)-WEEKDAY(DATE($E$4,$C$4,1),3)+31),Log!$B$6:$B$1505,0)),""))</f>
        <v/>
      </c>
      <c r="F16" s="36">
        <f>IF(MONTH((DATE($E$4,$C$4,1)-WEEKDAY(DATE($E$4,$C$4,1),3)+32))&lt;&gt;$C$4,"",IFERROR(INDEX(Log!$C$6:$C$1505,MATCH((DATE($E$4,$C$4,1)-WEEKDAY(DATE($E$4,$C$4,1),3)+32),Log!$B$6:$B$1505,0)),""))</f>
        <v/>
      </c>
      <c r="G16" s="36">
        <f>IF(MONTH((DATE($E$4,$C$4,1)-WEEKDAY(DATE($E$4,$C$4,1),3)+33))&lt;&gt;$C$4,"",IFERROR(INDEX(Log!$C$6:$C$1505,MATCH((DATE($E$4,$C$4,1)-WEEKDAY(DATE($E$4,$C$4,1),3)+33),Log!$B$6:$B$1505,0)),""))</f>
        <v/>
      </c>
      <c r="H16" s="36">
        <f>IF(MONTH((DATE($E$4,$C$4,1)-WEEKDAY(DATE($E$4,$C$4,1),3)+34))&lt;&gt;$C$4,"",IFERROR(INDEX(Log!$C$6:$C$1505,MATCH((DATE($E$4,$C$4,1)-WEEKDAY(DATE($E$4,$C$4,1),3)+34),Log!$B$6:$B$1505,0)),""))</f>
        <v/>
      </c>
      <c r="I16" s="1" t="n"/>
      <c r="K16">
        <f>IF(MONTH((DATE($E$4,$C$4,1)-WEEKDAY(DATE($E$4,$C$4,1),3)+28))&lt;&gt;$C$4,0,COUNTIF(Log!$B$6:$B$1505,(DATE($E$4,$C$4,1)-WEEKDAY(DATE($E$4,$C$4,1),3)+28)))</f>
        <v/>
      </c>
      <c r="L16">
        <f>IF(MONTH((DATE($E$4,$C$4,1)-WEEKDAY(DATE($E$4,$C$4,1),3)+29))&lt;&gt;$C$4,0,COUNTIF(Log!$B$6:$B$1505,(DATE($E$4,$C$4,1)-WEEKDAY(DATE($E$4,$C$4,1),3)+29)))</f>
        <v/>
      </c>
      <c r="M16">
        <f>IF(MONTH((DATE($E$4,$C$4,1)-WEEKDAY(DATE($E$4,$C$4,1),3)+30))&lt;&gt;$C$4,0,COUNTIF(Log!$B$6:$B$1505,(DATE($E$4,$C$4,1)-WEEKDAY(DATE($E$4,$C$4,1),3)+30)))</f>
        <v/>
      </c>
      <c r="N16">
        <f>IF(MONTH((DATE($E$4,$C$4,1)-WEEKDAY(DATE($E$4,$C$4,1),3)+31))&lt;&gt;$C$4,0,COUNTIF(Log!$B$6:$B$1505,(DATE($E$4,$C$4,1)-WEEKDAY(DATE($E$4,$C$4,1),3)+31)))</f>
        <v/>
      </c>
      <c r="O16">
        <f>IF(MONTH((DATE($E$4,$C$4,1)-WEEKDAY(DATE($E$4,$C$4,1),3)+32))&lt;&gt;$C$4,0,COUNTIF(Log!$B$6:$B$1505,(DATE($E$4,$C$4,1)-WEEKDAY(DATE($E$4,$C$4,1),3)+32)))</f>
        <v/>
      </c>
      <c r="P16">
        <f>IF(MONTH((DATE($E$4,$C$4,1)-WEEKDAY(DATE($E$4,$C$4,1),3)+33))&lt;&gt;$C$4,0,COUNTIF(Log!$B$6:$B$1505,(DATE($E$4,$C$4,1)-WEEKDAY(DATE($E$4,$C$4,1),3)+33)))</f>
        <v/>
      </c>
      <c r="Q16">
        <f>IF(MONTH((DATE($E$4,$C$4,1)-WEEKDAY(DATE($E$4,$C$4,1),3)+34))&lt;&gt;$C$4,0,COUNTIF(Log!$B$6:$B$1505,(DATE($E$4,$C$4,1)-WEEKDAY(DATE($E$4,$C$4,1),3)+34)))</f>
        <v/>
      </c>
    </row>
    <row r="17">
      <c r="A17" s="1" t="n"/>
      <c r="B17" s="35">
        <f>IF(MONTH((DATE($E$4,$C$4,1)-WEEKDAY(DATE($E$4,$C$4,1),3)+35))=$C$4,DAY((DATE($E$4,$C$4,1)-WEEKDAY(DATE($E$4,$C$4,1),3)+35)),"")</f>
        <v/>
      </c>
      <c r="C17" s="35">
        <f>IF(MONTH((DATE($E$4,$C$4,1)-WEEKDAY(DATE($E$4,$C$4,1),3)+36))=$C$4,DAY((DATE($E$4,$C$4,1)-WEEKDAY(DATE($E$4,$C$4,1),3)+36)),"")</f>
        <v/>
      </c>
      <c r="D17" s="35">
        <f>IF(MONTH((DATE($E$4,$C$4,1)-WEEKDAY(DATE($E$4,$C$4,1),3)+37))=$C$4,DAY((DATE($E$4,$C$4,1)-WEEKDAY(DATE($E$4,$C$4,1),3)+37)),"")</f>
        <v/>
      </c>
      <c r="E17" s="35">
        <f>IF(MONTH((DATE($E$4,$C$4,1)-WEEKDAY(DATE($E$4,$C$4,1),3)+38))=$C$4,DAY((DATE($E$4,$C$4,1)-WEEKDAY(DATE($E$4,$C$4,1),3)+38)),"")</f>
        <v/>
      </c>
      <c r="F17" s="35">
        <f>IF(MONTH((DATE($E$4,$C$4,1)-WEEKDAY(DATE($E$4,$C$4,1),3)+39))=$C$4,DAY((DATE($E$4,$C$4,1)-WEEKDAY(DATE($E$4,$C$4,1),3)+39)),"")</f>
        <v/>
      </c>
      <c r="G17" s="35">
        <f>IF(MONTH((DATE($E$4,$C$4,1)-WEEKDAY(DATE($E$4,$C$4,1),3)+40))=$C$4,DAY((DATE($E$4,$C$4,1)-WEEKDAY(DATE($E$4,$C$4,1),3)+40)),"")</f>
        <v/>
      </c>
      <c r="H17" s="35">
        <f>IF(MONTH((DATE($E$4,$C$4,1)-WEEKDAY(DATE($E$4,$C$4,1),3)+41))=$C$4,DAY((DATE($E$4,$C$4,1)-WEEKDAY(DATE($E$4,$C$4,1),3)+41)),"")</f>
        <v/>
      </c>
      <c r="I17" s="1" t="n"/>
    </row>
    <row r="18" ht="30" customHeight="1">
      <c r="A18" s="1" t="n"/>
      <c r="B18" s="36">
        <f>IF(MONTH((DATE($E$4,$C$4,1)-WEEKDAY(DATE($E$4,$C$4,1),3)+35))&lt;&gt;$C$4,"",IFERROR(INDEX(Log!$C$6:$C$1505,MATCH((DATE($E$4,$C$4,1)-WEEKDAY(DATE($E$4,$C$4,1),3)+35),Log!$B$6:$B$1505,0)),""))</f>
        <v/>
      </c>
      <c r="C18" s="36">
        <f>IF(MONTH((DATE($E$4,$C$4,1)-WEEKDAY(DATE($E$4,$C$4,1),3)+36))&lt;&gt;$C$4,"",IFERROR(INDEX(Log!$C$6:$C$1505,MATCH((DATE($E$4,$C$4,1)-WEEKDAY(DATE($E$4,$C$4,1),3)+36),Log!$B$6:$B$1505,0)),""))</f>
        <v/>
      </c>
      <c r="D18" s="36">
        <f>IF(MONTH((DATE($E$4,$C$4,1)-WEEKDAY(DATE($E$4,$C$4,1),3)+37))&lt;&gt;$C$4,"",IFERROR(INDEX(Log!$C$6:$C$1505,MATCH((DATE($E$4,$C$4,1)-WEEKDAY(DATE($E$4,$C$4,1),3)+37),Log!$B$6:$B$1505,0)),""))</f>
        <v/>
      </c>
      <c r="E18" s="36">
        <f>IF(MONTH((DATE($E$4,$C$4,1)-WEEKDAY(DATE($E$4,$C$4,1),3)+38))&lt;&gt;$C$4,"",IFERROR(INDEX(Log!$C$6:$C$1505,MATCH((DATE($E$4,$C$4,1)-WEEKDAY(DATE($E$4,$C$4,1),3)+38),Log!$B$6:$B$1505,0)),""))</f>
        <v/>
      </c>
      <c r="F18" s="36">
        <f>IF(MONTH((DATE($E$4,$C$4,1)-WEEKDAY(DATE($E$4,$C$4,1),3)+39))&lt;&gt;$C$4,"",IFERROR(INDEX(Log!$C$6:$C$1505,MATCH((DATE($E$4,$C$4,1)-WEEKDAY(DATE($E$4,$C$4,1),3)+39),Log!$B$6:$B$1505,0)),""))</f>
        <v/>
      </c>
      <c r="G18" s="36">
        <f>IF(MONTH((DATE($E$4,$C$4,1)-WEEKDAY(DATE($E$4,$C$4,1),3)+40))&lt;&gt;$C$4,"",IFERROR(INDEX(Log!$C$6:$C$1505,MATCH((DATE($E$4,$C$4,1)-WEEKDAY(DATE($E$4,$C$4,1),3)+40),Log!$B$6:$B$1505,0)),""))</f>
        <v/>
      </c>
      <c r="H18" s="36">
        <f>IF(MONTH((DATE($E$4,$C$4,1)-WEEKDAY(DATE($E$4,$C$4,1),3)+41))&lt;&gt;$C$4,"",IFERROR(INDEX(Log!$C$6:$C$1505,MATCH((DATE($E$4,$C$4,1)-WEEKDAY(DATE($E$4,$C$4,1),3)+41),Log!$B$6:$B$1505,0)),""))</f>
        <v/>
      </c>
      <c r="I18" s="1" t="n"/>
      <c r="K18">
        <f>IF(MONTH((DATE($E$4,$C$4,1)-WEEKDAY(DATE($E$4,$C$4,1),3)+35))&lt;&gt;$C$4,0,COUNTIF(Log!$B$6:$B$1505,(DATE($E$4,$C$4,1)-WEEKDAY(DATE($E$4,$C$4,1),3)+35)))</f>
        <v/>
      </c>
      <c r="L18">
        <f>IF(MONTH((DATE($E$4,$C$4,1)-WEEKDAY(DATE($E$4,$C$4,1),3)+36))&lt;&gt;$C$4,0,COUNTIF(Log!$B$6:$B$1505,(DATE($E$4,$C$4,1)-WEEKDAY(DATE($E$4,$C$4,1),3)+36)))</f>
        <v/>
      </c>
      <c r="M18">
        <f>IF(MONTH((DATE($E$4,$C$4,1)-WEEKDAY(DATE($E$4,$C$4,1),3)+37))&lt;&gt;$C$4,0,COUNTIF(Log!$B$6:$B$1505,(DATE($E$4,$C$4,1)-WEEKDAY(DATE($E$4,$C$4,1),3)+37)))</f>
        <v/>
      </c>
      <c r="N18">
        <f>IF(MONTH((DATE($E$4,$C$4,1)-WEEKDAY(DATE($E$4,$C$4,1),3)+38))&lt;&gt;$C$4,0,COUNTIF(Log!$B$6:$B$1505,(DATE($E$4,$C$4,1)-WEEKDAY(DATE($E$4,$C$4,1),3)+38)))</f>
        <v/>
      </c>
      <c r="O18">
        <f>IF(MONTH((DATE($E$4,$C$4,1)-WEEKDAY(DATE($E$4,$C$4,1),3)+39))&lt;&gt;$C$4,0,COUNTIF(Log!$B$6:$B$1505,(DATE($E$4,$C$4,1)-WEEKDAY(DATE($E$4,$C$4,1),3)+39)))</f>
        <v/>
      </c>
      <c r="P18">
        <f>IF(MONTH((DATE($E$4,$C$4,1)-WEEKDAY(DATE($E$4,$C$4,1),3)+40))&lt;&gt;$C$4,0,COUNTIF(Log!$B$6:$B$1505,(DATE($E$4,$C$4,1)-WEEKDAY(DATE($E$4,$C$4,1),3)+40)))</f>
        <v/>
      </c>
      <c r="Q18">
        <f>IF(MONTH((DATE($E$4,$C$4,1)-WEEKDAY(DATE($E$4,$C$4,1),3)+41))&lt;&gt;$C$4,0,COUNTIF(Log!$B$6:$B$1505,(DATE($E$4,$C$4,1)-WEEKDAY(DATE($E$4,$C$4,1),3)+41)))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8" t="inlineStr">
        <is>
          <t>Workouts</t>
        </is>
      </c>
      <c r="C20" s="8" t="inlineStr">
        <is>
          <t>Sets</t>
        </is>
      </c>
      <c r="D20" s="8" t="inlineStr">
        <is>
          <t>Volume</t>
        </is>
      </c>
      <c r="E20" s="8" t="inlineStr">
        <is>
          <t>New bests</t>
        </is>
      </c>
      <c r="F20" s="1" t="n"/>
      <c r="G20" s="1" t="n"/>
      <c r="H20" s="1" t="n"/>
      <c r="I20" s="1" t="n"/>
    </row>
    <row r="21" ht="34" customHeight="1">
      <c r="A21" s="1" t="n"/>
      <c r="B21" s="9">
        <f>COUNTIFS(Log!$V$6:$V$1505,1,Log!$B$6:$B$1505,"&gt;="&amp;DATE($E$4,$C$4,1),Log!$B$6:$B$1505,"&lt;="&amp;EOMONTH(DATE($E$4,$C$4,1),0))</f>
        <v/>
      </c>
      <c r="C21" s="9">
        <f>SUMIFS(Log!$O$6:$O$1505,Log!$B$6:$B$1505,"&gt;="&amp;DATE($E$4,$C$4,1),Log!$B$6:$B$1505,"&lt;="&amp;EOMONTH(DATE($E$4,$C$4,1),0))</f>
        <v/>
      </c>
      <c r="D21" s="10">
        <f>SUMIFS(Log!$P$6:$P$1505,Log!$B$6:$B$1505,"&gt;="&amp;DATE($E$4,$C$4,1),Log!$B$6:$B$1505,"&lt;="&amp;EOMONTH(DATE($E$4,$C$4,1),0))</f>
        <v/>
      </c>
      <c r="E21" s="11">
        <f>COUNTIFS(Log!$S$6:$S$1505,"New best",Log!$B$6:$B$1505,"&gt;="&amp;DATE($E$4,$C$4,1),Log!$B$6:$B$1505,"&lt;="&amp;EOMONTH(DATE($E$4,$C$4,1),0))</f>
        <v/>
      </c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</sheetData>
  <conditionalFormatting sqref="B7:H8">
    <cfRule type="expression" priority="1" dxfId="4">
      <formula>K$8&gt;0</formula>
    </cfRule>
    <cfRule type="expression" priority="2" dxfId="5">
      <formula>AND(B$7&lt;&gt;"",DATE($E$4,$C$4,B$7)=TODAY())</formula>
    </cfRule>
  </conditionalFormatting>
  <conditionalFormatting sqref="B9:H10">
    <cfRule type="expression" priority="3" dxfId="4">
      <formula>K$10&gt;0</formula>
    </cfRule>
    <cfRule type="expression" priority="4" dxfId="5">
      <formula>AND(B$9&lt;&gt;"",DATE($E$4,$C$4,B$9)=TODAY())</formula>
    </cfRule>
  </conditionalFormatting>
  <conditionalFormatting sqref="B11:H12">
    <cfRule type="expression" priority="5" dxfId="4">
      <formula>K$12&gt;0</formula>
    </cfRule>
    <cfRule type="expression" priority="6" dxfId="5">
      <formula>AND(B$11&lt;&gt;"",DATE($E$4,$C$4,B$11)=TODAY())</formula>
    </cfRule>
  </conditionalFormatting>
  <conditionalFormatting sqref="B13:H14">
    <cfRule type="expression" priority="7" dxfId="4">
      <formula>K$14&gt;0</formula>
    </cfRule>
    <cfRule type="expression" priority="8" dxfId="5">
      <formula>AND(B$13&lt;&gt;"",DATE($E$4,$C$4,B$13)=TODAY())</formula>
    </cfRule>
  </conditionalFormatting>
  <conditionalFormatting sqref="B15:H16">
    <cfRule type="expression" priority="9" dxfId="4">
      <formula>K$16&gt;0</formula>
    </cfRule>
    <cfRule type="expression" priority="10" dxfId="5">
      <formula>AND(B$15&lt;&gt;"",DATE($E$4,$C$4,B$15)=TODAY())</formula>
    </cfRule>
  </conditionalFormatting>
  <conditionalFormatting sqref="B17:H18">
    <cfRule type="expression" priority="11" dxfId="4">
      <formula>K$18&gt;0</formula>
    </cfRule>
    <cfRule type="expression" priority="12" dxfId="5">
      <formula>AND(B$17&lt;&gt;"",DATE($E$4,$C$4,B$17)=TODAY())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7" t="inlineStr">
        <is>
          <t>1</t>
        </is>
      </c>
      <c r="C5" s="38" t="inlineStr">
        <is>
          <t>Dashboard: pick lb or kg and type your goal weight.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7" t="inlineStr">
        <is>
          <t>2</t>
        </is>
      </c>
      <c r="C7" s="38" t="inlineStr">
        <is>
          <t>Exercises: the exercises you do, with their muscle group. Add your own under the list.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7" t="inlineStr">
        <is>
          <t>3</t>
        </is>
      </c>
      <c r="C9" s="38" t="inlineStr">
        <is>
          <t>Plan: the workout for each day of the week, and the exercises, sets and reps of each workout.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7" t="inlineStr">
        <is>
          <t>4</t>
        </is>
      </c>
      <c r="C11" s="38" t="inlineStr">
        <is>
          <t>Log: after each workout, one line per exercise with the weight and reps of each set.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7" t="inlineStr">
        <is>
          <t>5</t>
        </is>
      </c>
      <c r="C13" s="38" t="inlineStr">
        <is>
          <t>Body: your weight once a week and your measurements every few weeks.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A new best is a set that beats every earlier set of that exercise, by estimated max.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Volume is the weight times the reps of every set, added up.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log shows how it works. Delete it and start with your own workouts.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Excel. It is a training log and does not give medical advice.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2026-09-28T13:08:10Z</dcterms:created>
  <dcterms:modified xsi:type="dcterms:W3CDTF">2026-09-28T13:08:15Z</dcterms:modified>
</cp:coreProperties>
</file>