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aydays" sheetId="2" state="visible" r:id="rId2"/>
    <sheet name="Spending" sheetId="3" state="visible" r:id="rId3"/>
    <sheet name="Envelopes" sheetId="4" state="visible" r:id="rId4"/>
    <sheet name="Cash" sheetId="5" state="visible" r:id="rId5"/>
    <sheet name="Cards" sheetId="6" state="visible" r:id="rId6"/>
    <sheet name="Settings" sheetId="7" state="visible" r:id="rId7"/>
    <sheet name="Start He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mm yyyy"/>
    <numFmt numFmtId="165" formatCode="#,##0.##"/>
    <numFmt numFmtId="166" formatCode="DD MMM YYYY"/>
    <numFmt numFmtId="167" formatCode="yyyy-mm-dd"/>
    <numFmt numFmtId="168" formatCode="#,##0.00;-#,##0.00;&quot;&quot;"/>
    <numFmt numFmtId="169" formatCode="0;-0;&quot;&quot;"/>
    <numFmt numFmtId="170" formatCode="d mmm"/>
    <numFmt numFmtId="171" formatCode="d mmm yy"/>
  </numFmts>
  <fonts count="20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color rgb="001E2A2F"/>
      <sz val="11"/>
    </font>
    <font>
      <name val="Arial"/>
      <i val="1"/>
      <color rgb="006B7B80"/>
      <sz val="10"/>
    </font>
    <font>
      <name val="Arial"/>
      <b val="1"/>
      <color rgb="0015525A"/>
      <sz val="12"/>
    </font>
    <font>
      <name val="Arial"/>
      <b val="1"/>
      <color rgb="00FFFFFF"/>
      <sz val="11"/>
    </font>
    <font>
      <name val="Arial"/>
      <b val="1"/>
      <color rgb="006B7B80"/>
      <sz val="10"/>
    </font>
    <font>
      <name val="Arial"/>
      <b val="1"/>
      <color rgb="0015525A"/>
      <sz val="14"/>
    </font>
    <font>
      <name val="Arial"/>
      <b val="1"/>
      <color rgb="006B7B80"/>
      <sz val="11"/>
    </font>
    <font>
      <name val="Arial"/>
      <b val="1"/>
      <color rgb="00B23B2E"/>
      <sz val="10"/>
    </font>
    <font>
      <name val="Arial"/>
      <b val="1"/>
      <color rgb="0015525A"/>
      <sz val="11"/>
    </font>
    <font>
      <name val="Arial"/>
      <b val="1"/>
      <color rgb="0015525A"/>
      <sz val="13"/>
    </font>
    <font>
      <name val="Arial"/>
      <b val="1"/>
      <color rgb="00FFFFFF"/>
      <sz val="9"/>
    </font>
    <font>
      <name val="Arial"/>
      <b val="1"/>
      <color rgb="001F6F78"/>
      <sz val="16"/>
    </font>
    <font>
      <name val="Arial"/>
      <b val="1"/>
      <color rgb="00B86E1C"/>
      <sz val="16"/>
    </font>
    <font>
      <color rgb="001F6F78"/>
      <sz val="9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8" fillId="2" borderId="1" pivotButton="0" quotePrefix="0" xfId="0"/>
    <xf numFmtId="4" fontId="15" fillId="2" borderId="1" applyAlignment="1" pivotButton="0" quotePrefix="0" xfId="0">
      <alignment horizontal="right"/>
    </xf>
    <xf numFmtId="1" fontId="16" fillId="2" borderId="1" applyAlignment="1" pivotButton="0" quotePrefix="0" xfId="0">
      <alignment horizontal="right"/>
    </xf>
    <xf numFmtId="170" fontId="15" fillId="2" borderId="1" applyAlignment="1" pivotButton="0" quotePrefix="0" xfId="0">
      <alignment horizontal="right"/>
    </xf>
    <xf numFmtId="0" fontId="7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4" fontId="4" fillId="2" borderId="1" pivotButton="0" quotePrefix="0" xfId="0"/>
    <xf numFmtId="168" fontId="4" fillId="2" borderId="1" pivotButton="0" quotePrefix="0" xfId="0"/>
    <xf numFmtId="4" fontId="3" fillId="2" borderId="1" pivotButton="0" quotePrefix="0" xfId="0"/>
    <xf numFmtId="0" fontId="17" fillId="2" borderId="1" pivotButton="0" quotePrefix="0" xfId="0"/>
    <xf numFmtId="171" fontId="4" fillId="2" borderId="1" applyAlignment="1" pivotButton="0" quotePrefix="0" xfId="0">
      <alignment horizontal="center" vertical="center"/>
    </xf>
    <xf numFmtId="4" fontId="4" fillId="2" borderId="1" applyAlignment="1" pivotButton="0" quotePrefix="0" xfId="0">
      <alignment horizontal="right" vertical="center"/>
    </xf>
    <xf numFmtId="0" fontId="4" fillId="2" borderId="1" pivotButton="0" quotePrefix="0" xfId="0"/>
    <xf numFmtId="17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/>
    </xf>
    <xf numFmtId="4" fontId="5" fillId="2" borderId="0" applyAlignment="1" pivotButton="0" quotePrefix="0" xfId="0">
      <alignment horizontal="right"/>
    </xf>
    <xf numFmtId="166" fontId="4" fillId="3" borderId="1" applyAlignment="1" pivotButton="0" quotePrefix="0" xfId="0">
      <alignment horizontal="center" vertical="center"/>
    </xf>
    <xf numFmtId="4" fontId="4" fillId="3" borderId="1" pivotButton="0" quotePrefix="0" xfId="0"/>
    <xf numFmtId="0" fontId="3" fillId="3" borderId="1" pivotButton="0" quotePrefix="0" xfId="0"/>
    <xf numFmtId="0" fontId="4" fillId="3" borderId="1" applyAlignment="1" pivotButton="0" quotePrefix="0" xfId="0">
      <alignment horizontal="left" vertical="center" indent="1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0" pivotButton="0" quotePrefix="0" xfId="0"/>
    <xf numFmtId="166" fontId="3" fillId="3" borderId="1" applyAlignment="1" pivotButton="0" quotePrefix="0" xfId="0">
      <alignment horizontal="center" vertical="center"/>
    </xf>
    <xf numFmtId="0" fontId="11" fillId="2" borderId="0" pivotButton="0" quotePrefix="0" xfId="0"/>
    <xf numFmtId="4" fontId="9" fillId="2" borderId="0" pivotButton="0" quotePrefix="0" xfId="0"/>
    <xf numFmtId="0" fontId="10" fillId="2" borderId="0" pivotButton="0" quotePrefix="0" xfId="0"/>
    <xf numFmtId="165" fontId="7" fillId="4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/>
    </xf>
    <xf numFmtId="169" fontId="4" fillId="2" borderId="1" applyAlignment="1" pivotButton="0" quotePrefix="0" xfId="0">
      <alignment horizontal="center" vertical="center"/>
    </xf>
    <xf numFmtId="168" fontId="4" fillId="2" borderId="1" applyAlignment="1" pivotButton="0" quotePrefix="0" xfId="0">
      <alignment horizontal="center" vertical="center"/>
    </xf>
    <xf numFmtId="0" fontId="12" fillId="2" borderId="0" pivotButton="0" quotePrefix="0" xfId="0"/>
    <xf numFmtId="169" fontId="6" fillId="2" borderId="1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13" fillId="2" borderId="0" pivotButton="0" quotePrefix="0" xfId="0"/>
    <xf numFmtId="0" fontId="14" fillId="4" borderId="1" applyAlignment="1" pivotButton="0" quotePrefix="0" xfId="0">
      <alignment horizontal="center"/>
    </xf>
    <xf numFmtId="0" fontId="0" fillId="2" borderId="1" pivotButton="0" quotePrefix="0" xfId="0"/>
    <xf numFmtId="164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18" fillId="2" borderId="0" pivotButton="0" quotePrefix="0" xfId="0"/>
    <xf numFmtId="0" fontId="19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D8F0DC"/>
          <bgColor rgb="00D8F0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Stuffed and spent each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'Dashboard'!C26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'Dashboard'!$B$27:$B$38</f>
            </numRef>
          </cat>
          <val>
            <numRef>
              <f>'Dashboard'!$C$27:$C$38</f>
            </numRef>
          </val>
        </ser>
        <ser>
          <idx val="1"/>
          <order val="1"/>
          <tx>
            <strRef>
              <f>'Dashboard'!D26</f>
            </strRef>
          </tx>
          <spPr>
            <a:solidFill>
              <a:srgbClr val="E39A4B"/>
            </a:solidFill>
            <a:ln>
              <a:prstDash val="solid"/>
            </a:ln>
          </spPr>
          <cat>
            <numRef>
              <f>'Dashboard'!$B$27:$B$38</f>
            </numRef>
          </cat>
          <val>
            <numRef>
              <f>'Dashboard'!$D$27:$D$38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25</row>
      <rowOff>0</rowOff>
    </from>
    <ext cx="576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3" customWidth="1" min="9" max="9"/>
    <col width="18" customWidth="1" min="10" max="10"/>
    <col width="11" customWidth="1" min="11" max="11"/>
    <col width="15" customWidth="1" min="12" max="12"/>
    <col width="13" customWidth="1" min="13" max="13"/>
    <col width="11" customWidth="1" min="14" max="14"/>
    <col width="12" customWidth="1" min="15" max="15"/>
    <col width="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2" max="2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V1">
        <f>DATE(YEAR(Settings!$C$6),MONTH(Settings!$C$6),1)</f>
        <v/>
      </c>
    </row>
    <row r="2" ht="32" customHeight="1">
      <c r="A2" s="1" t="n"/>
      <c r="B2" s="2" t="inlineStr">
        <is>
          <t>Cash envelopes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V2">
        <f>DATE(YEAR(Settings!$C$6),MONTH(Settings!$C$6)+1,1)-1</f>
        <v/>
      </c>
    </row>
    <row r="3">
      <c r="A3" s="1" t="n"/>
      <c r="B3" s="3">
        <f>CHOOSE(MONTH(V1),"January","February","March","April","May","June","July","August","September","October","November","December")&amp;" "&amp;YEAR(V1)&amp;": what went into each envelope, what came out, and what is left."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>
      <c r="A4" s="1" t="n"/>
      <c r="B4" s="4" t="inlineStr">
        <is>
          <t>In your envelopes</t>
        </is>
      </c>
      <c r="C4" s="4" t="inlineStr">
        <is>
          <t>Stuffed</t>
        </is>
      </c>
      <c r="D4" s="4" t="inlineStr">
        <is>
          <t>Spent</t>
        </is>
      </c>
      <c r="E4" s="4" t="inlineStr">
        <is>
          <t>Left to spend</t>
        </is>
      </c>
      <c r="F4" s="4" t="inlineStr">
        <is>
          <t>In sinking funds</t>
        </is>
      </c>
      <c r="G4" s="4" t="inlineStr">
        <is>
          <t>Low now</t>
        </is>
      </c>
      <c r="H4" s="1" t="n"/>
      <c r="I4" s="1" t="n"/>
      <c r="J4" s="4" t="inlineStr">
        <is>
          <t>Plan per payday</t>
        </is>
      </c>
      <c r="K4" s="4" t="inlineStr">
        <is>
          <t>Last payday</t>
        </is>
      </c>
      <c r="L4" s="1" t="n"/>
      <c r="M4" s="1" t="n"/>
      <c r="N4" s="1" t="n"/>
      <c r="O4" s="1" t="n"/>
      <c r="P4" s="1" t="n"/>
      <c r="Q4" s="1" t="n"/>
    </row>
    <row r="5" ht="34" customHeight="1">
      <c r="A5" s="1" t="n"/>
      <c r="B5" s="5">
        <f>SUM(Envelopes!$L$6:$L$21)</f>
        <v/>
      </c>
      <c r="C5" s="5">
        <f>SUM(D8:D23)</f>
        <v/>
      </c>
      <c r="D5" s="5">
        <f>SUM(E8:E23)</f>
        <v/>
      </c>
      <c r="E5" s="5">
        <f>SUMIFS(G8:G23,Q8:Q23,"Spending")</f>
        <v/>
      </c>
      <c r="F5" s="5">
        <f>SUMIFS(G8:G23,Q8:Q23,"Sinking fund")</f>
        <v/>
      </c>
      <c r="G5" s="6">
        <f>COUNTIF(Envelopes!$M$6:$M$21,"Low")</f>
        <v/>
      </c>
      <c r="H5" s="1" t="n"/>
      <c r="I5" s="1" t="n"/>
      <c r="J5" s="5">
        <f>SUM(Envelopes!$D$6:$D$21)</f>
        <v/>
      </c>
      <c r="K5" s="7">
        <f>IF(COUNT(Paydays!$B$6:$B$205)=0,"",MAX(Paydays!$B$6:$B$205))</f>
        <v/>
      </c>
      <c r="L5" s="1" t="n"/>
      <c r="M5" s="1" t="n"/>
      <c r="N5" s="1" t="n"/>
      <c r="O5" s="1" t="n"/>
      <c r="P5" s="1" t="n"/>
      <c r="Q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0" customHeight="1">
      <c r="A7" s="1" t="n"/>
      <c r="B7" s="8" t="inlineStr">
        <is>
          <t>Envelope</t>
        </is>
      </c>
      <c r="C7" s="8" t="inlineStr">
        <is>
          <t>Carried in</t>
        </is>
      </c>
      <c r="D7" s="8" t="inlineStr">
        <is>
          <t>Stuffed</t>
        </is>
      </c>
      <c r="E7" s="8" t="inlineStr">
        <is>
          <t>Spent</t>
        </is>
      </c>
      <c r="F7" s="8" t="inlineStr">
        <is>
          <t>Moved</t>
        </is>
      </c>
      <c r="G7" s="8" t="inlineStr">
        <is>
          <t>Left</t>
        </is>
      </c>
      <c r="H7" s="8" t="inlineStr">
        <is>
          <t>Used</t>
        </is>
      </c>
      <c r="I7" s="1" t="n"/>
      <c r="J7" s="8" t="inlineStr">
        <is>
          <t>Sinking fund</t>
        </is>
      </c>
      <c r="K7" s="8" t="inlineStr">
        <is>
          <t>Target</t>
        </is>
      </c>
      <c r="L7" s="8" t="inlineStr">
        <is>
          <t>Saved</t>
        </is>
      </c>
      <c r="M7" s="8" t="inlineStr"/>
      <c r="N7" s="8" t="inlineStr">
        <is>
          <t>By</t>
        </is>
      </c>
      <c r="O7" s="8" t="inlineStr">
        <is>
          <t>Per payday</t>
        </is>
      </c>
      <c r="P7" s="1" t="n"/>
      <c r="Q7" s="1" t="n"/>
    </row>
    <row r="8" ht="18" customHeight="1">
      <c r="A8" s="1" t="n"/>
      <c r="B8" s="9">
        <f>IF(Envelopes!$B$6="","",Envelopes!$B$6)</f>
        <v/>
      </c>
      <c r="C8" s="10">
        <f>IF(B8="","",N(Envelopes!$H$6)+SUMIFS(Paydays!$E$6:$E$205,Paydays!$W$6:$W$205,"&gt;0",Paydays!$W$6:$W$205,"&lt;"&amp;Dashboard!$V$1)-SUMIFS(Spending!$D$6:$D$1005,Spending!$C$6:$C$1005,Envelopes!$B$6,Spending!$I$6:$I$1005,1,Spending!$H$6:$H$1005,"&lt;"&amp;Dashboard!$V$1)+SUMIFS(Spending!$D$6:$D$1005,Spending!$F$6:$F$1005,Envelopes!$B$6,Spending!$J$6:$J$1005,1,Spending!$H$6:$H$1005,"&lt;"&amp;Dashboard!$V$1)-SUMIFS(Spending!$D$6:$D$1005,Spending!$C$6:$C$1005,Envelopes!$B$6,Spending!$J$6:$J$1005,1,Spending!$H$6:$H$1005,"&lt;"&amp;Dashboard!$V$1))</f>
        <v/>
      </c>
      <c r="D8" s="10">
        <f>IF(B8="","",SUMIFS(Paydays!$E$6:$E$205,Paydays!$W$6:$W$205,"&gt;0",Paydays!$W$6:$W$205,"&gt;="&amp;Dashboard!$V$1,Paydays!$W$6:$W$205,"&lt;="&amp;Dashboard!$V$2))</f>
        <v/>
      </c>
      <c r="E8" s="10">
        <f>IF(B8="","",SUMIFS(Spending!$D$6:$D$1005,Spending!$C$6:$C$1005,Envelopes!$B$6,Spending!$I$6:$I$1005,1,Spending!$H$6:$H$1005,"&gt;="&amp;Dashboard!$V$1,Spending!$H$6:$H$1005,"&lt;="&amp;Dashboard!$V$2))</f>
        <v/>
      </c>
      <c r="F8" s="11">
        <f>IF(B8="","",SUMIFS(Spending!$D$6:$D$1005,Spending!$F$6:$F$1005,Envelopes!$B$6,Spending!$J$6:$J$1005,1,Spending!$H$6:$H$1005,"&gt;="&amp;Dashboard!$V$1,Spending!$H$6:$H$1005,"&lt;="&amp;Dashboard!$V$2)-SUMIFS(Spending!$D$6:$D$1005,Spending!$C$6:$C$1005,Envelopes!$B$6,Spending!$J$6:$J$1005,1,Spending!$H$6:$H$1005,"&gt;="&amp;Dashboard!$V$1,Spending!$H$6:$H$1005,"&lt;="&amp;Dashboard!$V$2))</f>
        <v/>
      </c>
      <c r="G8" s="12">
        <f>IF(B8="","",C8+D8-E8+F8)</f>
        <v/>
      </c>
      <c r="H8" s="13">
        <f>IF(B8="","",IF(C8+D8+MAX(0,F8)&lt;=0,"",REPT("█",MIN(10,MAX(0,ROUND((E8/(C8+D8+MAX(0,F8)))*10,0))))&amp;REPT("░",10-MIN(10,MAX(0,ROUND((E8/(C8+D8+MAX(0,F8)))*10,0))))))</f>
        <v/>
      </c>
      <c r="I8" s="1" t="n"/>
      <c r="J8" s="9">
        <f>IF(S8="","",INDEX(Envelopes!$B$1:$B$21,S8))</f>
        <v/>
      </c>
      <c r="K8" s="10">
        <f>IF(S8="","",IF(N(INDEX(Envelopes!$F$1:$F$21,S8))=0,"",INDEX(Envelopes!$F$1:$F$21,S8)))</f>
        <v/>
      </c>
      <c r="L8" s="12">
        <f>IF(S8="","",INDEX(Envelopes!$L$1:$L$21,S8))</f>
        <v/>
      </c>
      <c r="M8" s="13">
        <f>IF(OR(S8="",K8=""),"",REPT("█",MIN(10,MAX(0,ROUND((L8/K8)*10,0))))&amp;REPT("░",10-MIN(10,MAX(0,ROUND((L8/K8)*10,0)))))</f>
        <v/>
      </c>
      <c r="N8" s="14">
        <f>IF(S8="","",IF(INDEX(Envelopes!$G$1:$G$21,S8)="","",INDEX(Envelopes!$G$1:$G$21,S8)))</f>
        <v/>
      </c>
      <c r="O8" s="15">
        <f>IF(S8="","",IF(INDEX(Envelopes!$M$1:$M$21,S8)="Reached","Reached",IF(INDEX(Envelopes!$N$1:$N$21,S8)="","",INDEX(Envelopes!$N$1:$N$21,S8))))</f>
        <v/>
      </c>
      <c r="P8" s="1" t="n"/>
      <c r="Q8" s="1">
        <f>IF(B8="","",IF(Envelopes!$C$6="Sinking fund","Sinking fund","Spending"))</f>
        <v/>
      </c>
      <c r="R8">
        <f>IF(B8="","",Envelopes!$M$6)</f>
        <v/>
      </c>
      <c r="S8">
        <f>IFERROR(SMALL(Envelopes!$P$6:$P$21,1),"")</f>
        <v/>
      </c>
    </row>
    <row r="9" ht="18" customHeight="1">
      <c r="A9" s="1" t="n"/>
      <c r="B9" s="9">
        <f>IF(Envelopes!$B$7="","",Envelopes!$B$7)</f>
        <v/>
      </c>
      <c r="C9" s="10">
        <f>IF(B9="","",N(Envelopes!$H$7)+SUMIFS(Paydays!$F$6:$F$205,Paydays!$W$6:$W$205,"&gt;0",Paydays!$W$6:$W$205,"&lt;"&amp;Dashboard!$V$1)-SUMIFS(Spending!$D$6:$D$1005,Spending!$C$6:$C$1005,Envelopes!$B$7,Spending!$I$6:$I$1005,1,Spending!$H$6:$H$1005,"&lt;"&amp;Dashboard!$V$1)+SUMIFS(Spending!$D$6:$D$1005,Spending!$F$6:$F$1005,Envelopes!$B$7,Spending!$J$6:$J$1005,1,Spending!$H$6:$H$1005,"&lt;"&amp;Dashboard!$V$1)-SUMIFS(Spending!$D$6:$D$1005,Spending!$C$6:$C$1005,Envelopes!$B$7,Spending!$J$6:$J$1005,1,Spending!$H$6:$H$1005,"&lt;"&amp;Dashboard!$V$1))</f>
        <v/>
      </c>
      <c r="D9" s="10">
        <f>IF(B9="","",SUMIFS(Paydays!$F$6:$F$205,Paydays!$W$6:$W$205,"&gt;0",Paydays!$W$6:$W$205,"&gt;="&amp;Dashboard!$V$1,Paydays!$W$6:$W$205,"&lt;="&amp;Dashboard!$V$2))</f>
        <v/>
      </c>
      <c r="E9" s="10">
        <f>IF(B9="","",SUMIFS(Spending!$D$6:$D$1005,Spending!$C$6:$C$1005,Envelopes!$B$7,Spending!$I$6:$I$1005,1,Spending!$H$6:$H$1005,"&gt;="&amp;Dashboard!$V$1,Spending!$H$6:$H$1005,"&lt;="&amp;Dashboard!$V$2))</f>
        <v/>
      </c>
      <c r="F9" s="11">
        <f>IF(B9="","",SUMIFS(Spending!$D$6:$D$1005,Spending!$F$6:$F$1005,Envelopes!$B$7,Spending!$J$6:$J$1005,1,Spending!$H$6:$H$1005,"&gt;="&amp;Dashboard!$V$1,Spending!$H$6:$H$1005,"&lt;="&amp;Dashboard!$V$2)-SUMIFS(Spending!$D$6:$D$1005,Spending!$C$6:$C$1005,Envelopes!$B$7,Spending!$J$6:$J$1005,1,Spending!$H$6:$H$1005,"&gt;="&amp;Dashboard!$V$1,Spending!$H$6:$H$1005,"&lt;="&amp;Dashboard!$V$2))</f>
        <v/>
      </c>
      <c r="G9" s="12">
        <f>IF(B9="","",C9+D9-E9+F9)</f>
        <v/>
      </c>
      <c r="H9" s="13">
        <f>IF(B9="","",IF(C9+D9+MAX(0,F9)&lt;=0,"",REPT("█",MIN(10,MAX(0,ROUND((E9/(C9+D9+MAX(0,F9)))*10,0))))&amp;REPT("░",10-MIN(10,MAX(0,ROUND((E9/(C9+D9+MAX(0,F9)))*10,0))))))</f>
        <v/>
      </c>
      <c r="I9" s="1" t="n"/>
      <c r="J9" s="9">
        <f>IF(S9="","",INDEX(Envelopes!$B$1:$B$21,S9))</f>
        <v/>
      </c>
      <c r="K9" s="10">
        <f>IF(S9="","",IF(N(INDEX(Envelopes!$F$1:$F$21,S9))=0,"",INDEX(Envelopes!$F$1:$F$21,S9)))</f>
        <v/>
      </c>
      <c r="L9" s="12">
        <f>IF(S9="","",INDEX(Envelopes!$L$1:$L$21,S9))</f>
        <v/>
      </c>
      <c r="M9" s="13">
        <f>IF(OR(S9="",K9=""),"",REPT("█",MIN(10,MAX(0,ROUND((L9/K9)*10,0))))&amp;REPT("░",10-MIN(10,MAX(0,ROUND((L9/K9)*10,0)))))</f>
        <v/>
      </c>
      <c r="N9" s="14">
        <f>IF(S9="","",IF(INDEX(Envelopes!$G$1:$G$21,S9)="","",INDEX(Envelopes!$G$1:$G$21,S9)))</f>
        <v/>
      </c>
      <c r="O9" s="15">
        <f>IF(S9="","",IF(INDEX(Envelopes!$M$1:$M$21,S9)="Reached","Reached",IF(INDEX(Envelopes!$N$1:$N$21,S9)="","",INDEX(Envelopes!$N$1:$N$21,S9))))</f>
        <v/>
      </c>
      <c r="P9" s="1" t="n"/>
      <c r="Q9" s="1">
        <f>IF(B9="","",IF(Envelopes!$C$7="Sinking fund","Sinking fund","Spending"))</f>
        <v/>
      </c>
      <c r="R9">
        <f>IF(B9="","",Envelopes!$M$7)</f>
        <v/>
      </c>
      <c r="S9">
        <f>IFERROR(SMALL(Envelopes!$P$6:$P$21,2),"")</f>
        <v/>
      </c>
    </row>
    <row r="10" ht="18" customHeight="1">
      <c r="A10" s="1" t="n"/>
      <c r="B10" s="9">
        <f>IF(Envelopes!$B$8="","",Envelopes!$B$8)</f>
        <v/>
      </c>
      <c r="C10" s="10">
        <f>IF(B10="","",N(Envelopes!$H$8)+SUMIFS(Paydays!$G$6:$G$205,Paydays!$W$6:$W$205,"&gt;0",Paydays!$W$6:$W$205,"&lt;"&amp;Dashboard!$V$1)-SUMIFS(Spending!$D$6:$D$1005,Spending!$C$6:$C$1005,Envelopes!$B$8,Spending!$I$6:$I$1005,1,Spending!$H$6:$H$1005,"&lt;"&amp;Dashboard!$V$1)+SUMIFS(Spending!$D$6:$D$1005,Spending!$F$6:$F$1005,Envelopes!$B$8,Spending!$J$6:$J$1005,1,Spending!$H$6:$H$1005,"&lt;"&amp;Dashboard!$V$1)-SUMIFS(Spending!$D$6:$D$1005,Spending!$C$6:$C$1005,Envelopes!$B$8,Spending!$J$6:$J$1005,1,Spending!$H$6:$H$1005,"&lt;"&amp;Dashboard!$V$1))</f>
        <v/>
      </c>
      <c r="D10" s="10">
        <f>IF(B10="","",SUMIFS(Paydays!$G$6:$G$205,Paydays!$W$6:$W$205,"&gt;0",Paydays!$W$6:$W$205,"&gt;="&amp;Dashboard!$V$1,Paydays!$W$6:$W$205,"&lt;="&amp;Dashboard!$V$2))</f>
        <v/>
      </c>
      <c r="E10" s="10">
        <f>IF(B10="","",SUMIFS(Spending!$D$6:$D$1005,Spending!$C$6:$C$1005,Envelopes!$B$8,Spending!$I$6:$I$1005,1,Spending!$H$6:$H$1005,"&gt;="&amp;Dashboard!$V$1,Spending!$H$6:$H$1005,"&lt;="&amp;Dashboard!$V$2))</f>
        <v/>
      </c>
      <c r="F10" s="11">
        <f>IF(B10="","",SUMIFS(Spending!$D$6:$D$1005,Spending!$F$6:$F$1005,Envelopes!$B$8,Spending!$J$6:$J$1005,1,Spending!$H$6:$H$1005,"&gt;="&amp;Dashboard!$V$1,Spending!$H$6:$H$1005,"&lt;="&amp;Dashboard!$V$2)-SUMIFS(Spending!$D$6:$D$1005,Spending!$C$6:$C$1005,Envelopes!$B$8,Spending!$J$6:$J$1005,1,Spending!$H$6:$H$1005,"&gt;="&amp;Dashboard!$V$1,Spending!$H$6:$H$1005,"&lt;="&amp;Dashboard!$V$2))</f>
        <v/>
      </c>
      <c r="G10" s="12">
        <f>IF(B10="","",C10+D10-E10+F10)</f>
        <v/>
      </c>
      <c r="H10" s="13">
        <f>IF(B10="","",IF(C10+D10+MAX(0,F10)&lt;=0,"",REPT("█",MIN(10,MAX(0,ROUND((E10/(C10+D10+MAX(0,F10)))*10,0))))&amp;REPT("░",10-MIN(10,MAX(0,ROUND((E10/(C10+D10+MAX(0,F10)))*10,0))))))</f>
        <v/>
      </c>
      <c r="I10" s="1" t="n"/>
      <c r="J10" s="9">
        <f>IF(S10="","",INDEX(Envelopes!$B$1:$B$21,S10))</f>
        <v/>
      </c>
      <c r="K10" s="10">
        <f>IF(S10="","",IF(N(INDEX(Envelopes!$F$1:$F$21,S10))=0,"",INDEX(Envelopes!$F$1:$F$21,S10)))</f>
        <v/>
      </c>
      <c r="L10" s="12">
        <f>IF(S10="","",INDEX(Envelopes!$L$1:$L$21,S10))</f>
        <v/>
      </c>
      <c r="M10" s="13">
        <f>IF(OR(S10="",K10=""),"",REPT("█",MIN(10,MAX(0,ROUND((L10/K10)*10,0))))&amp;REPT("░",10-MIN(10,MAX(0,ROUND((L10/K10)*10,0)))))</f>
        <v/>
      </c>
      <c r="N10" s="14">
        <f>IF(S10="","",IF(INDEX(Envelopes!$G$1:$G$21,S10)="","",INDEX(Envelopes!$G$1:$G$21,S10)))</f>
        <v/>
      </c>
      <c r="O10" s="15">
        <f>IF(S10="","",IF(INDEX(Envelopes!$M$1:$M$21,S10)="Reached","Reached",IF(INDEX(Envelopes!$N$1:$N$21,S10)="","",INDEX(Envelopes!$N$1:$N$21,S10))))</f>
        <v/>
      </c>
      <c r="P10" s="1" t="n"/>
      <c r="Q10" s="1">
        <f>IF(B10="","",IF(Envelopes!$C$8="Sinking fund","Sinking fund","Spending"))</f>
        <v/>
      </c>
      <c r="R10">
        <f>IF(B10="","",Envelopes!$M$8)</f>
        <v/>
      </c>
      <c r="S10">
        <f>IFERROR(SMALL(Envelopes!$P$6:$P$21,3),"")</f>
        <v/>
      </c>
    </row>
    <row r="11" ht="18" customHeight="1">
      <c r="A11" s="1" t="n"/>
      <c r="B11" s="9">
        <f>IF(Envelopes!$B$9="","",Envelopes!$B$9)</f>
        <v/>
      </c>
      <c r="C11" s="10">
        <f>IF(B11="","",N(Envelopes!$H$9)+SUMIFS(Paydays!$H$6:$H$205,Paydays!$W$6:$W$205,"&gt;0",Paydays!$W$6:$W$205,"&lt;"&amp;Dashboard!$V$1)-SUMIFS(Spending!$D$6:$D$1005,Spending!$C$6:$C$1005,Envelopes!$B$9,Spending!$I$6:$I$1005,1,Spending!$H$6:$H$1005,"&lt;"&amp;Dashboard!$V$1)+SUMIFS(Spending!$D$6:$D$1005,Spending!$F$6:$F$1005,Envelopes!$B$9,Spending!$J$6:$J$1005,1,Spending!$H$6:$H$1005,"&lt;"&amp;Dashboard!$V$1)-SUMIFS(Spending!$D$6:$D$1005,Spending!$C$6:$C$1005,Envelopes!$B$9,Spending!$J$6:$J$1005,1,Spending!$H$6:$H$1005,"&lt;"&amp;Dashboard!$V$1))</f>
        <v/>
      </c>
      <c r="D11" s="10">
        <f>IF(B11="","",SUMIFS(Paydays!$H$6:$H$205,Paydays!$W$6:$W$205,"&gt;0",Paydays!$W$6:$W$205,"&gt;="&amp;Dashboard!$V$1,Paydays!$W$6:$W$205,"&lt;="&amp;Dashboard!$V$2))</f>
        <v/>
      </c>
      <c r="E11" s="10">
        <f>IF(B11="","",SUMIFS(Spending!$D$6:$D$1005,Spending!$C$6:$C$1005,Envelopes!$B$9,Spending!$I$6:$I$1005,1,Spending!$H$6:$H$1005,"&gt;="&amp;Dashboard!$V$1,Spending!$H$6:$H$1005,"&lt;="&amp;Dashboard!$V$2))</f>
        <v/>
      </c>
      <c r="F11" s="11">
        <f>IF(B11="","",SUMIFS(Spending!$D$6:$D$1005,Spending!$F$6:$F$1005,Envelopes!$B$9,Spending!$J$6:$J$1005,1,Spending!$H$6:$H$1005,"&gt;="&amp;Dashboard!$V$1,Spending!$H$6:$H$1005,"&lt;="&amp;Dashboard!$V$2)-SUMIFS(Spending!$D$6:$D$1005,Spending!$C$6:$C$1005,Envelopes!$B$9,Spending!$J$6:$J$1005,1,Spending!$H$6:$H$1005,"&gt;="&amp;Dashboard!$V$1,Spending!$H$6:$H$1005,"&lt;="&amp;Dashboard!$V$2))</f>
        <v/>
      </c>
      <c r="G11" s="12">
        <f>IF(B11="","",C11+D11-E11+F11)</f>
        <v/>
      </c>
      <c r="H11" s="13">
        <f>IF(B11="","",IF(C11+D11+MAX(0,F11)&lt;=0,"",REPT("█",MIN(10,MAX(0,ROUND((E11/(C11+D11+MAX(0,F11)))*10,0))))&amp;REPT("░",10-MIN(10,MAX(0,ROUND((E11/(C11+D11+MAX(0,F11)))*10,0))))))</f>
        <v/>
      </c>
      <c r="I11" s="1" t="n"/>
      <c r="J11" s="9">
        <f>IF(S11="","",INDEX(Envelopes!$B$1:$B$21,S11))</f>
        <v/>
      </c>
      <c r="K11" s="10">
        <f>IF(S11="","",IF(N(INDEX(Envelopes!$F$1:$F$21,S11))=0,"",INDEX(Envelopes!$F$1:$F$21,S11)))</f>
        <v/>
      </c>
      <c r="L11" s="12">
        <f>IF(S11="","",INDEX(Envelopes!$L$1:$L$21,S11))</f>
        <v/>
      </c>
      <c r="M11" s="13">
        <f>IF(OR(S11="",K11=""),"",REPT("█",MIN(10,MAX(0,ROUND((L11/K11)*10,0))))&amp;REPT("░",10-MIN(10,MAX(0,ROUND((L11/K11)*10,0)))))</f>
        <v/>
      </c>
      <c r="N11" s="14">
        <f>IF(S11="","",IF(INDEX(Envelopes!$G$1:$G$21,S11)="","",INDEX(Envelopes!$G$1:$G$21,S11)))</f>
        <v/>
      </c>
      <c r="O11" s="15">
        <f>IF(S11="","",IF(INDEX(Envelopes!$M$1:$M$21,S11)="Reached","Reached",IF(INDEX(Envelopes!$N$1:$N$21,S11)="","",INDEX(Envelopes!$N$1:$N$21,S11))))</f>
        <v/>
      </c>
      <c r="P11" s="1" t="n"/>
      <c r="Q11" s="1">
        <f>IF(B11="","",IF(Envelopes!$C$9="Sinking fund","Sinking fund","Spending"))</f>
        <v/>
      </c>
      <c r="R11">
        <f>IF(B11="","",Envelopes!$M$9)</f>
        <v/>
      </c>
      <c r="S11">
        <f>IFERROR(SMALL(Envelopes!$P$6:$P$21,4),"")</f>
        <v/>
      </c>
    </row>
    <row r="12" ht="18" customHeight="1">
      <c r="A12" s="1" t="n"/>
      <c r="B12" s="9">
        <f>IF(Envelopes!$B$10="","",Envelopes!$B$10)</f>
        <v/>
      </c>
      <c r="C12" s="10">
        <f>IF(B12="","",N(Envelopes!$H$10)+SUMIFS(Paydays!$I$6:$I$205,Paydays!$W$6:$W$205,"&gt;0",Paydays!$W$6:$W$205,"&lt;"&amp;Dashboard!$V$1)-SUMIFS(Spending!$D$6:$D$1005,Spending!$C$6:$C$1005,Envelopes!$B$10,Spending!$I$6:$I$1005,1,Spending!$H$6:$H$1005,"&lt;"&amp;Dashboard!$V$1)+SUMIFS(Spending!$D$6:$D$1005,Spending!$F$6:$F$1005,Envelopes!$B$10,Spending!$J$6:$J$1005,1,Spending!$H$6:$H$1005,"&lt;"&amp;Dashboard!$V$1)-SUMIFS(Spending!$D$6:$D$1005,Spending!$C$6:$C$1005,Envelopes!$B$10,Spending!$J$6:$J$1005,1,Spending!$H$6:$H$1005,"&lt;"&amp;Dashboard!$V$1))</f>
        <v/>
      </c>
      <c r="D12" s="10">
        <f>IF(B12="","",SUMIFS(Paydays!$I$6:$I$205,Paydays!$W$6:$W$205,"&gt;0",Paydays!$W$6:$W$205,"&gt;="&amp;Dashboard!$V$1,Paydays!$W$6:$W$205,"&lt;="&amp;Dashboard!$V$2))</f>
        <v/>
      </c>
      <c r="E12" s="10">
        <f>IF(B12="","",SUMIFS(Spending!$D$6:$D$1005,Spending!$C$6:$C$1005,Envelopes!$B$10,Spending!$I$6:$I$1005,1,Spending!$H$6:$H$1005,"&gt;="&amp;Dashboard!$V$1,Spending!$H$6:$H$1005,"&lt;="&amp;Dashboard!$V$2))</f>
        <v/>
      </c>
      <c r="F12" s="11">
        <f>IF(B12="","",SUMIFS(Spending!$D$6:$D$1005,Spending!$F$6:$F$1005,Envelopes!$B$10,Spending!$J$6:$J$1005,1,Spending!$H$6:$H$1005,"&gt;="&amp;Dashboard!$V$1,Spending!$H$6:$H$1005,"&lt;="&amp;Dashboard!$V$2)-SUMIFS(Spending!$D$6:$D$1005,Spending!$C$6:$C$1005,Envelopes!$B$10,Spending!$J$6:$J$1005,1,Spending!$H$6:$H$1005,"&gt;="&amp;Dashboard!$V$1,Spending!$H$6:$H$1005,"&lt;="&amp;Dashboard!$V$2))</f>
        <v/>
      </c>
      <c r="G12" s="12">
        <f>IF(B12="","",C12+D12-E12+F12)</f>
        <v/>
      </c>
      <c r="H12" s="13">
        <f>IF(B12="","",IF(C12+D12+MAX(0,F12)&lt;=0,"",REPT("█",MIN(10,MAX(0,ROUND((E12/(C12+D12+MAX(0,F12)))*10,0))))&amp;REPT("░",10-MIN(10,MAX(0,ROUND((E12/(C12+D12+MAX(0,F12)))*10,0))))))</f>
        <v/>
      </c>
      <c r="I12" s="1" t="n"/>
      <c r="J12" s="9">
        <f>IF(S12="","",INDEX(Envelopes!$B$1:$B$21,S12))</f>
        <v/>
      </c>
      <c r="K12" s="10">
        <f>IF(S12="","",IF(N(INDEX(Envelopes!$F$1:$F$21,S12))=0,"",INDEX(Envelopes!$F$1:$F$21,S12)))</f>
        <v/>
      </c>
      <c r="L12" s="12">
        <f>IF(S12="","",INDEX(Envelopes!$L$1:$L$21,S12))</f>
        <v/>
      </c>
      <c r="M12" s="13">
        <f>IF(OR(S12="",K12=""),"",REPT("█",MIN(10,MAX(0,ROUND((L12/K12)*10,0))))&amp;REPT("░",10-MIN(10,MAX(0,ROUND((L12/K12)*10,0)))))</f>
        <v/>
      </c>
      <c r="N12" s="14">
        <f>IF(S12="","",IF(INDEX(Envelopes!$G$1:$G$21,S12)="","",INDEX(Envelopes!$G$1:$G$21,S12)))</f>
        <v/>
      </c>
      <c r="O12" s="15">
        <f>IF(S12="","",IF(INDEX(Envelopes!$M$1:$M$21,S12)="Reached","Reached",IF(INDEX(Envelopes!$N$1:$N$21,S12)="","",INDEX(Envelopes!$N$1:$N$21,S12))))</f>
        <v/>
      </c>
      <c r="P12" s="1" t="n"/>
      <c r="Q12" s="1">
        <f>IF(B12="","",IF(Envelopes!$C$10="Sinking fund","Sinking fund","Spending"))</f>
        <v/>
      </c>
      <c r="R12">
        <f>IF(B12="","",Envelopes!$M$10)</f>
        <v/>
      </c>
      <c r="S12">
        <f>IFERROR(SMALL(Envelopes!$P$6:$P$21,5),"")</f>
        <v/>
      </c>
    </row>
    <row r="13" ht="18" customHeight="1">
      <c r="A13" s="1" t="n"/>
      <c r="B13" s="9">
        <f>IF(Envelopes!$B$11="","",Envelopes!$B$11)</f>
        <v/>
      </c>
      <c r="C13" s="10">
        <f>IF(B13="","",N(Envelopes!$H$11)+SUMIFS(Paydays!$J$6:$J$205,Paydays!$W$6:$W$205,"&gt;0",Paydays!$W$6:$W$205,"&lt;"&amp;Dashboard!$V$1)-SUMIFS(Spending!$D$6:$D$1005,Spending!$C$6:$C$1005,Envelopes!$B$11,Spending!$I$6:$I$1005,1,Spending!$H$6:$H$1005,"&lt;"&amp;Dashboard!$V$1)+SUMIFS(Spending!$D$6:$D$1005,Spending!$F$6:$F$1005,Envelopes!$B$11,Spending!$J$6:$J$1005,1,Spending!$H$6:$H$1005,"&lt;"&amp;Dashboard!$V$1)-SUMIFS(Spending!$D$6:$D$1005,Spending!$C$6:$C$1005,Envelopes!$B$11,Spending!$J$6:$J$1005,1,Spending!$H$6:$H$1005,"&lt;"&amp;Dashboard!$V$1))</f>
        <v/>
      </c>
      <c r="D13" s="10">
        <f>IF(B13="","",SUMIFS(Paydays!$J$6:$J$205,Paydays!$W$6:$W$205,"&gt;0",Paydays!$W$6:$W$205,"&gt;="&amp;Dashboard!$V$1,Paydays!$W$6:$W$205,"&lt;="&amp;Dashboard!$V$2))</f>
        <v/>
      </c>
      <c r="E13" s="10">
        <f>IF(B13="","",SUMIFS(Spending!$D$6:$D$1005,Spending!$C$6:$C$1005,Envelopes!$B$11,Spending!$I$6:$I$1005,1,Spending!$H$6:$H$1005,"&gt;="&amp;Dashboard!$V$1,Spending!$H$6:$H$1005,"&lt;="&amp;Dashboard!$V$2))</f>
        <v/>
      </c>
      <c r="F13" s="11">
        <f>IF(B13="","",SUMIFS(Spending!$D$6:$D$1005,Spending!$F$6:$F$1005,Envelopes!$B$11,Spending!$J$6:$J$1005,1,Spending!$H$6:$H$1005,"&gt;="&amp;Dashboard!$V$1,Spending!$H$6:$H$1005,"&lt;="&amp;Dashboard!$V$2)-SUMIFS(Spending!$D$6:$D$1005,Spending!$C$6:$C$1005,Envelopes!$B$11,Spending!$J$6:$J$1005,1,Spending!$H$6:$H$1005,"&gt;="&amp;Dashboard!$V$1,Spending!$H$6:$H$1005,"&lt;="&amp;Dashboard!$V$2))</f>
        <v/>
      </c>
      <c r="G13" s="12">
        <f>IF(B13="","",C13+D13-E13+F13)</f>
        <v/>
      </c>
      <c r="H13" s="13">
        <f>IF(B13="","",IF(C13+D13+MAX(0,F13)&lt;=0,"",REPT("█",MIN(10,MAX(0,ROUND((E13/(C13+D13+MAX(0,F13)))*10,0))))&amp;REPT("░",10-MIN(10,MAX(0,ROUND((E13/(C13+D13+MAX(0,F13)))*10,0))))))</f>
        <v/>
      </c>
      <c r="I13" s="1" t="n"/>
      <c r="J13" s="9">
        <f>IF(S13="","",INDEX(Envelopes!$B$1:$B$21,S13))</f>
        <v/>
      </c>
      <c r="K13" s="10">
        <f>IF(S13="","",IF(N(INDEX(Envelopes!$F$1:$F$21,S13))=0,"",INDEX(Envelopes!$F$1:$F$21,S13)))</f>
        <v/>
      </c>
      <c r="L13" s="12">
        <f>IF(S13="","",INDEX(Envelopes!$L$1:$L$21,S13))</f>
        <v/>
      </c>
      <c r="M13" s="13">
        <f>IF(OR(S13="",K13=""),"",REPT("█",MIN(10,MAX(0,ROUND((L13/K13)*10,0))))&amp;REPT("░",10-MIN(10,MAX(0,ROUND((L13/K13)*10,0)))))</f>
        <v/>
      </c>
      <c r="N13" s="14">
        <f>IF(S13="","",IF(INDEX(Envelopes!$G$1:$G$21,S13)="","",INDEX(Envelopes!$G$1:$G$21,S13)))</f>
        <v/>
      </c>
      <c r="O13" s="15">
        <f>IF(S13="","",IF(INDEX(Envelopes!$M$1:$M$21,S13)="Reached","Reached",IF(INDEX(Envelopes!$N$1:$N$21,S13)="","",INDEX(Envelopes!$N$1:$N$21,S13))))</f>
        <v/>
      </c>
      <c r="P13" s="1" t="n"/>
      <c r="Q13" s="1">
        <f>IF(B13="","",IF(Envelopes!$C$11="Sinking fund","Sinking fund","Spending"))</f>
        <v/>
      </c>
      <c r="R13">
        <f>IF(B13="","",Envelopes!$M$11)</f>
        <v/>
      </c>
      <c r="S13">
        <f>IFERROR(SMALL(Envelopes!$P$6:$P$21,6),"")</f>
        <v/>
      </c>
    </row>
    <row r="14" ht="18" customHeight="1">
      <c r="A14" s="1" t="n"/>
      <c r="B14" s="9">
        <f>IF(Envelopes!$B$12="","",Envelopes!$B$12)</f>
        <v/>
      </c>
      <c r="C14" s="10">
        <f>IF(B14="","",N(Envelopes!$H$12)+SUMIFS(Paydays!$K$6:$K$205,Paydays!$W$6:$W$205,"&gt;0",Paydays!$W$6:$W$205,"&lt;"&amp;Dashboard!$V$1)-SUMIFS(Spending!$D$6:$D$1005,Spending!$C$6:$C$1005,Envelopes!$B$12,Spending!$I$6:$I$1005,1,Spending!$H$6:$H$1005,"&lt;"&amp;Dashboard!$V$1)+SUMIFS(Spending!$D$6:$D$1005,Spending!$F$6:$F$1005,Envelopes!$B$12,Spending!$J$6:$J$1005,1,Spending!$H$6:$H$1005,"&lt;"&amp;Dashboard!$V$1)-SUMIFS(Spending!$D$6:$D$1005,Spending!$C$6:$C$1005,Envelopes!$B$12,Spending!$J$6:$J$1005,1,Spending!$H$6:$H$1005,"&lt;"&amp;Dashboard!$V$1))</f>
        <v/>
      </c>
      <c r="D14" s="10">
        <f>IF(B14="","",SUMIFS(Paydays!$K$6:$K$205,Paydays!$W$6:$W$205,"&gt;0",Paydays!$W$6:$W$205,"&gt;="&amp;Dashboard!$V$1,Paydays!$W$6:$W$205,"&lt;="&amp;Dashboard!$V$2))</f>
        <v/>
      </c>
      <c r="E14" s="10">
        <f>IF(B14="","",SUMIFS(Spending!$D$6:$D$1005,Spending!$C$6:$C$1005,Envelopes!$B$12,Spending!$I$6:$I$1005,1,Spending!$H$6:$H$1005,"&gt;="&amp;Dashboard!$V$1,Spending!$H$6:$H$1005,"&lt;="&amp;Dashboard!$V$2))</f>
        <v/>
      </c>
      <c r="F14" s="11">
        <f>IF(B14="","",SUMIFS(Spending!$D$6:$D$1005,Spending!$F$6:$F$1005,Envelopes!$B$12,Spending!$J$6:$J$1005,1,Spending!$H$6:$H$1005,"&gt;="&amp;Dashboard!$V$1,Spending!$H$6:$H$1005,"&lt;="&amp;Dashboard!$V$2)-SUMIFS(Spending!$D$6:$D$1005,Spending!$C$6:$C$1005,Envelopes!$B$12,Spending!$J$6:$J$1005,1,Spending!$H$6:$H$1005,"&gt;="&amp;Dashboard!$V$1,Spending!$H$6:$H$1005,"&lt;="&amp;Dashboard!$V$2))</f>
        <v/>
      </c>
      <c r="G14" s="12">
        <f>IF(B14="","",C14+D14-E14+F14)</f>
        <v/>
      </c>
      <c r="H14" s="13">
        <f>IF(B14="","",IF(C14+D14+MAX(0,F14)&lt;=0,"",REPT("█",MIN(10,MAX(0,ROUND((E14/(C14+D14+MAX(0,F14)))*10,0))))&amp;REPT("░",10-MIN(10,MAX(0,ROUND((E14/(C14+D14+MAX(0,F14)))*10,0))))))</f>
        <v/>
      </c>
      <c r="I14" s="1" t="n"/>
      <c r="J14" s="9">
        <f>IF(S14="","",INDEX(Envelopes!$B$1:$B$21,S14))</f>
        <v/>
      </c>
      <c r="K14" s="10">
        <f>IF(S14="","",IF(N(INDEX(Envelopes!$F$1:$F$21,S14))=0,"",INDEX(Envelopes!$F$1:$F$21,S14)))</f>
        <v/>
      </c>
      <c r="L14" s="12">
        <f>IF(S14="","",INDEX(Envelopes!$L$1:$L$21,S14))</f>
        <v/>
      </c>
      <c r="M14" s="13">
        <f>IF(OR(S14="",K14=""),"",REPT("█",MIN(10,MAX(0,ROUND((L14/K14)*10,0))))&amp;REPT("░",10-MIN(10,MAX(0,ROUND((L14/K14)*10,0)))))</f>
        <v/>
      </c>
      <c r="N14" s="14">
        <f>IF(S14="","",IF(INDEX(Envelopes!$G$1:$G$21,S14)="","",INDEX(Envelopes!$G$1:$G$21,S14)))</f>
        <v/>
      </c>
      <c r="O14" s="15">
        <f>IF(S14="","",IF(INDEX(Envelopes!$M$1:$M$21,S14)="Reached","Reached",IF(INDEX(Envelopes!$N$1:$N$21,S14)="","",INDEX(Envelopes!$N$1:$N$21,S14))))</f>
        <v/>
      </c>
      <c r="P14" s="1" t="n"/>
      <c r="Q14" s="1">
        <f>IF(B14="","",IF(Envelopes!$C$12="Sinking fund","Sinking fund","Spending"))</f>
        <v/>
      </c>
      <c r="R14">
        <f>IF(B14="","",Envelopes!$M$12)</f>
        <v/>
      </c>
      <c r="S14">
        <f>IFERROR(SMALL(Envelopes!$P$6:$P$21,7),"")</f>
        <v/>
      </c>
    </row>
    <row r="15" ht="18" customHeight="1">
      <c r="A15" s="1" t="n"/>
      <c r="B15" s="9">
        <f>IF(Envelopes!$B$13="","",Envelopes!$B$13)</f>
        <v/>
      </c>
      <c r="C15" s="10">
        <f>IF(B15="","",N(Envelopes!$H$13)+SUMIFS(Paydays!$L$6:$L$205,Paydays!$W$6:$W$205,"&gt;0",Paydays!$W$6:$W$205,"&lt;"&amp;Dashboard!$V$1)-SUMIFS(Spending!$D$6:$D$1005,Spending!$C$6:$C$1005,Envelopes!$B$13,Spending!$I$6:$I$1005,1,Spending!$H$6:$H$1005,"&lt;"&amp;Dashboard!$V$1)+SUMIFS(Spending!$D$6:$D$1005,Spending!$F$6:$F$1005,Envelopes!$B$13,Spending!$J$6:$J$1005,1,Spending!$H$6:$H$1005,"&lt;"&amp;Dashboard!$V$1)-SUMIFS(Spending!$D$6:$D$1005,Spending!$C$6:$C$1005,Envelopes!$B$13,Spending!$J$6:$J$1005,1,Spending!$H$6:$H$1005,"&lt;"&amp;Dashboard!$V$1))</f>
        <v/>
      </c>
      <c r="D15" s="10">
        <f>IF(B15="","",SUMIFS(Paydays!$L$6:$L$205,Paydays!$W$6:$W$205,"&gt;0",Paydays!$W$6:$W$205,"&gt;="&amp;Dashboard!$V$1,Paydays!$W$6:$W$205,"&lt;="&amp;Dashboard!$V$2))</f>
        <v/>
      </c>
      <c r="E15" s="10">
        <f>IF(B15="","",SUMIFS(Spending!$D$6:$D$1005,Spending!$C$6:$C$1005,Envelopes!$B$13,Spending!$I$6:$I$1005,1,Spending!$H$6:$H$1005,"&gt;="&amp;Dashboard!$V$1,Spending!$H$6:$H$1005,"&lt;="&amp;Dashboard!$V$2))</f>
        <v/>
      </c>
      <c r="F15" s="11">
        <f>IF(B15="","",SUMIFS(Spending!$D$6:$D$1005,Spending!$F$6:$F$1005,Envelopes!$B$13,Spending!$J$6:$J$1005,1,Spending!$H$6:$H$1005,"&gt;="&amp;Dashboard!$V$1,Spending!$H$6:$H$1005,"&lt;="&amp;Dashboard!$V$2)-SUMIFS(Spending!$D$6:$D$1005,Spending!$C$6:$C$1005,Envelopes!$B$13,Spending!$J$6:$J$1005,1,Spending!$H$6:$H$1005,"&gt;="&amp;Dashboard!$V$1,Spending!$H$6:$H$1005,"&lt;="&amp;Dashboard!$V$2))</f>
        <v/>
      </c>
      <c r="G15" s="12">
        <f>IF(B15="","",C15+D15-E15+F15)</f>
        <v/>
      </c>
      <c r="H15" s="13">
        <f>IF(B15="","",IF(C15+D15+MAX(0,F15)&lt;=0,"",REPT("█",MIN(10,MAX(0,ROUND((E15/(C15+D15+MAX(0,F15)))*10,0))))&amp;REPT("░",10-MIN(10,MAX(0,ROUND((E15/(C15+D15+MAX(0,F15)))*10,0))))))</f>
        <v/>
      </c>
      <c r="I15" s="1" t="n"/>
      <c r="J15" s="9">
        <f>IF(S15="","",INDEX(Envelopes!$B$1:$B$21,S15))</f>
        <v/>
      </c>
      <c r="K15" s="10">
        <f>IF(S15="","",IF(N(INDEX(Envelopes!$F$1:$F$21,S15))=0,"",INDEX(Envelopes!$F$1:$F$21,S15)))</f>
        <v/>
      </c>
      <c r="L15" s="12">
        <f>IF(S15="","",INDEX(Envelopes!$L$1:$L$21,S15))</f>
        <v/>
      </c>
      <c r="M15" s="13">
        <f>IF(OR(S15="",K15=""),"",REPT("█",MIN(10,MAX(0,ROUND((L15/K15)*10,0))))&amp;REPT("░",10-MIN(10,MAX(0,ROUND((L15/K15)*10,0)))))</f>
        <v/>
      </c>
      <c r="N15" s="14">
        <f>IF(S15="","",IF(INDEX(Envelopes!$G$1:$G$21,S15)="","",INDEX(Envelopes!$G$1:$G$21,S15)))</f>
        <v/>
      </c>
      <c r="O15" s="15">
        <f>IF(S15="","",IF(INDEX(Envelopes!$M$1:$M$21,S15)="Reached","Reached",IF(INDEX(Envelopes!$N$1:$N$21,S15)="","",INDEX(Envelopes!$N$1:$N$21,S15))))</f>
        <v/>
      </c>
      <c r="P15" s="1" t="n"/>
      <c r="Q15" s="1">
        <f>IF(B15="","",IF(Envelopes!$C$13="Sinking fund","Sinking fund","Spending"))</f>
        <v/>
      </c>
      <c r="R15">
        <f>IF(B15="","",Envelopes!$M$13)</f>
        <v/>
      </c>
      <c r="S15">
        <f>IFERROR(SMALL(Envelopes!$P$6:$P$21,8),"")</f>
        <v/>
      </c>
    </row>
    <row r="16" ht="18" customHeight="1">
      <c r="A16" s="1" t="n"/>
      <c r="B16" s="9">
        <f>IF(Envelopes!$B$14="","",Envelopes!$B$14)</f>
        <v/>
      </c>
      <c r="C16" s="10">
        <f>IF(B16="","",N(Envelopes!$H$14)+SUMIFS(Paydays!$M$6:$M$205,Paydays!$W$6:$W$205,"&gt;0",Paydays!$W$6:$W$205,"&lt;"&amp;Dashboard!$V$1)-SUMIFS(Spending!$D$6:$D$1005,Spending!$C$6:$C$1005,Envelopes!$B$14,Spending!$I$6:$I$1005,1,Spending!$H$6:$H$1005,"&lt;"&amp;Dashboard!$V$1)+SUMIFS(Spending!$D$6:$D$1005,Spending!$F$6:$F$1005,Envelopes!$B$14,Spending!$J$6:$J$1005,1,Spending!$H$6:$H$1005,"&lt;"&amp;Dashboard!$V$1)-SUMIFS(Spending!$D$6:$D$1005,Spending!$C$6:$C$1005,Envelopes!$B$14,Spending!$J$6:$J$1005,1,Spending!$H$6:$H$1005,"&lt;"&amp;Dashboard!$V$1))</f>
        <v/>
      </c>
      <c r="D16" s="10">
        <f>IF(B16="","",SUMIFS(Paydays!$M$6:$M$205,Paydays!$W$6:$W$205,"&gt;0",Paydays!$W$6:$W$205,"&gt;="&amp;Dashboard!$V$1,Paydays!$W$6:$W$205,"&lt;="&amp;Dashboard!$V$2))</f>
        <v/>
      </c>
      <c r="E16" s="10">
        <f>IF(B16="","",SUMIFS(Spending!$D$6:$D$1005,Spending!$C$6:$C$1005,Envelopes!$B$14,Spending!$I$6:$I$1005,1,Spending!$H$6:$H$1005,"&gt;="&amp;Dashboard!$V$1,Spending!$H$6:$H$1005,"&lt;="&amp;Dashboard!$V$2))</f>
        <v/>
      </c>
      <c r="F16" s="11">
        <f>IF(B16="","",SUMIFS(Spending!$D$6:$D$1005,Spending!$F$6:$F$1005,Envelopes!$B$14,Spending!$J$6:$J$1005,1,Spending!$H$6:$H$1005,"&gt;="&amp;Dashboard!$V$1,Spending!$H$6:$H$1005,"&lt;="&amp;Dashboard!$V$2)-SUMIFS(Spending!$D$6:$D$1005,Spending!$C$6:$C$1005,Envelopes!$B$14,Spending!$J$6:$J$1005,1,Spending!$H$6:$H$1005,"&gt;="&amp;Dashboard!$V$1,Spending!$H$6:$H$1005,"&lt;="&amp;Dashboard!$V$2))</f>
        <v/>
      </c>
      <c r="G16" s="12">
        <f>IF(B16="","",C16+D16-E16+F16)</f>
        <v/>
      </c>
      <c r="H16" s="13">
        <f>IF(B16="","",IF(C16+D16+MAX(0,F16)&lt;=0,"",REPT("█",MIN(10,MAX(0,ROUND((E16/(C16+D16+MAX(0,F16)))*10,0))))&amp;REPT("░",10-MIN(10,MAX(0,ROUND((E16/(C16+D16+MAX(0,F16)))*10,0))))))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>
        <f>IF(B16="","",IF(Envelopes!$C$14="Sinking fund","Sinking fund","Spending"))</f>
        <v/>
      </c>
      <c r="R16">
        <f>IF(B16="","",Envelopes!$M$14)</f>
        <v/>
      </c>
    </row>
    <row r="17" ht="18" customHeight="1">
      <c r="A17" s="1" t="n"/>
      <c r="B17" s="9">
        <f>IF(Envelopes!$B$15="","",Envelopes!$B$15)</f>
        <v/>
      </c>
      <c r="C17" s="10">
        <f>IF(B17="","",N(Envelopes!$H$15)+SUMIFS(Paydays!$N$6:$N$205,Paydays!$W$6:$W$205,"&gt;0",Paydays!$W$6:$W$205,"&lt;"&amp;Dashboard!$V$1)-SUMIFS(Spending!$D$6:$D$1005,Spending!$C$6:$C$1005,Envelopes!$B$15,Spending!$I$6:$I$1005,1,Spending!$H$6:$H$1005,"&lt;"&amp;Dashboard!$V$1)+SUMIFS(Spending!$D$6:$D$1005,Spending!$F$6:$F$1005,Envelopes!$B$15,Spending!$J$6:$J$1005,1,Spending!$H$6:$H$1005,"&lt;"&amp;Dashboard!$V$1)-SUMIFS(Spending!$D$6:$D$1005,Spending!$C$6:$C$1005,Envelopes!$B$15,Spending!$J$6:$J$1005,1,Spending!$H$6:$H$1005,"&lt;"&amp;Dashboard!$V$1))</f>
        <v/>
      </c>
      <c r="D17" s="10">
        <f>IF(B17="","",SUMIFS(Paydays!$N$6:$N$205,Paydays!$W$6:$W$205,"&gt;0",Paydays!$W$6:$W$205,"&gt;="&amp;Dashboard!$V$1,Paydays!$W$6:$W$205,"&lt;="&amp;Dashboard!$V$2))</f>
        <v/>
      </c>
      <c r="E17" s="10">
        <f>IF(B17="","",SUMIFS(Spending!$D$6:$D$1005,Spending!$C$6:$C$1005,Envelopes!$B$15,Spending!$I$6:$I$1005,1,Spending!$H$6:$H$1005,"&gt;="&amp;Dashboard!$V$1,Spending!$H$6:$H$1005,"&lt;="&amp;Dashboard!$V$2))</f>
        <v/>
      </c>
      <c r="F17" s="11">
        <f>IF(B17="","",SUMIFS(Spending!$D$6:$D$1005,Spending!$F$6:$F$1005,Envelopes!$B$15,Spending!$J$6:$J$1005,1,Spending!$H$6:$H$1005,"&gt;="&amp;Dashboard!$V$1,Spending!$H$6:$H$1005,"&lt;="&amp;Dashboard!$V$2)-SUMIFS(Spending!$D$6:$D$1005,Spending!$C$6:$C$1005,Envelopes!$B$15,Spending!$J$6:$J$1005,1,Spending!$H$6:$H$1005,"&gt;="&amp;Dashboard!$V$1,Spending!$H$6:$H$1005,"&lt;="&amp;Dashboard!$V$2))</f>
        <v/>
      </c>
      <c r="G17" s="12">
        <f>IF(B17="","",C17+D17-E17+F17)</f>
        <v/>
      </c>
      <c r="H17" s="13">
        <f>IF(B17="","",IF(C17+D17+MAX(0,F17)&lt;=0,"",REPT("█",MIN(10,MAX(0,ROUND((E17/(C17+D17+MAX(0,F17)))*10,0))))&amp;REPT("░",10-MIN(10,MAX(0,ROUND((E17/(C17+D17+MAX(0,F17)))*10,0))))))</f>
        <v/>
      </c>
      <c r="I17" s="1" t="n"/>
      <c r="J17" s="8" t="inlineStr">
        <is>
          <t>Latest spending</t>
        </is>
      </c>
      <c r="K17" s="8" t="inlineStr">
        <is>
          <t>Date</t>
        </is>
      </c>
      <c r="L17" s="8" t="inlineStr">
        <is>
          <t>Envelope</t>
        </is>
      </c>
      <c r="M17" s="8" t="inlineStr">
        <is>
          <t>Amount</t>
        </is>
      </c>
      <c r="N17" s="1" t="n"/>
      <c r="O17" s="1" t="n"/>
      <c r="P17" s="1" t="n"/>
      <c r="Q17" s="1">
        <f>IF(B17="","",IF(Envelopes!$C$15="Sinking fund","Sinking fund","Spending"))</f>
        <v/>
      </c>
      <c r="R17">
        <f>IF(B17="","",Envelopes!$M$15)</f>
        <v/>
      </c>
    </row>
    <row r="18" ht="18" customHeight="1">
      <c r="A18" s="1" t="n"/>
      <c r="B18" s="9">
        <f>IF(Envelopes!$B$16="","",Envelopes!$B$16)</f>
        <v/>
      </c>
      <c r="C18" s="10">
        <f>IF(B18="","",N(Envelopes!$H$16)+SUMIFS(Paydays!$O$6:$O$205,Paydays!$W$6:$W$205,"&gt;0",Paydays!$W$6:$W$205,"&lt;"&amp;Dashboard!$V$1)-SUMIFS(Spending!$D$6:$D$1005,Spending!$C$6:$C$1005,Envelopes!$B$16,Spending!$I$6:$I$1005,1,Spending!$H$6:$H$1005,"&lt;"&amp;Dashboard!$V$1)+SUMIFS(Spending!$D$6:$D$1005,Spending!$F$6:$F$1005,Envelopes!$B$16,Spending!$J$6:$J$1005,1,Spending!$H$6:$H$1005,"&lt;"&amp;Dashboard!$V$1)-SUMIFS(Spending!$D$6:$D$1005,Spending!$C$6:$C$1005,Envelopes!$B$16,Spending!$J$6:$J$1005,1,Spending!$H$6:$H$1005,"&lt;"&amp;Dashboard!$V$1))</f>
        <v/>
      </c>
      <c r="D18" s="10">
        <f>IF(B18="","",SUMIFS(Paydays!$O$6:$O$205,Paydays!$W$6:$W$205,"&gt;0",Paydays!$W$6:$W$205,"&gt;="&amp;Dashboard!$V$1,Paydays!$W$6:$W$205,"&lt;="&amp;Dashboard!$V$2))</f>
        <v/>
      </c>
      <c r="E18" s="10">
        <f>IF(B18="","",SUMIFS(Spending!$D$6:$D$1005,Spending!$C$6:$C$1005,Envelopes!$B$16,Spending!$I$6:$I$1005,1,Spending!$H$6:$H$1005,"&gt;="&amp;Dashboard!$V$1,Spending!$H$6:$H$1005,"&lt;="&amp;Dashboard!$V$2))</f>
        <v/>
      </c>
      <c r="F18" s="11">
        <f>IF(B18="","",SUMIFS(Spending!$D$6:$D$1005,Spending!$F$6:$F$1005,Envelopes!$B$16,Spending!$J$6:$J$1005,1,Spending!$H$6:$H$1005,"&gt;="&amp;Dashboard!$V$1,Spending!$H$6:$H$1005,"&lt;="&amp;Dashboard!$V$2)-SUMIFS(Spending!$D$6:$D$1005,Spending!$C$6:$C$1005,Envelopes!$B$16,Spending!$J$6:$J$1005,1,Spending!$H$6:$H$1005,"&gt;="&amp;Dashboard!$V$1,Spending!$H$6:$H$1005,"&lt;="&amp;Dashboard!$V$2))</f>
        <v/>
      </c>
      <c r="G18" s="12">
        <f>IF(B18="","",C18+D18-E18+F18)</f>
        <v/>
      </c>
      <c r="H18" s="13">
        <f>IF(B18="","",IF(C18+D18+MAX(0,F18)&lt;=0,"",REPT("█",MIN(10,MAX(0,ROUND((E18/(C18+D18+MAX(0,F18)))*10,0))))&amp;REPT("░",10-MIN(10,MAX(0,ROUND((E18/(C18+D18+MAX(0,F18)))*10,0))))))</f>
        <v/>
      </c>
      <c r="I18" s="1" t="n"/>
      <c r="J18" s="16">
        <f>IF(T18="","",IF(INDEX(Spending!$E$1:$E$1005,MOD(T18,10000))="","",INDEX(Spending!$E$1:$E$1005,MOD(T18,10000))))</f>
        <v/>
      </c>
      <c r="K18" s="17">
        <f>IF(T18="","",INDEX(Spending!$B$1:$B$1005,MOD(T18,10000)))</f>
        <v/>
      </c>
      <c r="L18" s="18">
        <f>IF(T18="","",INDEX(Spending!$C$1:$C$1005,MOD(T18,10000)))</f>
        <v/>
      </c>
      <c r="M18" s="10">
        <f>IF(T18="","",INDEX(Spending!$D$1:$D$1005,MOD(T18,10000)))</f>
        <v/>
      </c>
      <c r="N18" s="1" t="n"/>
      <c r="O18" s="1" t="n"/>
      <c r="P18" s="1" t="n"/>
      <c r="Q18" s="1">
        <f>IF(B18="","",IF(Envelopes!$C$16="Sinking fund","Sinking fund","Spending"))</f>
        <v/>
      </c>
      <c r="R18">
        <f>IF(B18="","",Envelopes!$M$16)</f>
        <v/>
      </c>
      <c r="T18">
        <f>IFERROR(LARGE(Spending!$K$6:$K$1005,1),"")</f>
        <v/>
      </c>
    </row>
    <row r="19" ht="18" customHeight="1">
      <c r="A19" s="1" t="n"/>
      <c r="B19" s="9">
        <f>IF(Envelopes!$B$17="","",Envelopes!$B$17)</f>
        <v/>
      </c>
      <c r="C19" s="10">
        <f>IF(B19="","",N(Envelopes!$H$17)+SUMIFS(Paydays!$P$6:$P$205,Paydays!$W$6:$W$205,"&gt;0",Paydays!$W$6:$W$205,"&lt;"&amp;Dashboard!$V$1)-SUMIFS(Spending!$D$6:$D$1005,Spending!$C$6:$C$1005,Envelopes!$B$17,Spending!$I$6:$I$1005,1,Spending!$H$6:$H$1005,"&lt;"&amp;Dashboard!$V$1)+SUMIFS(Spending!$D$6:$D$1005,Spending!$F$6:$F$1005,Envelopes!$B$17,Spending!$J$6:$J$1005,1,Spending!$H$6:$H$1005,"&lt;"&amp;Dashboard!$V$1)-SUMIFS(Spending!$D$6:$D$1005,Spending!$C$6:$C$1005,Envelopes!$B$17,Spending!$J$6:$J$1005,1,Spending!$H$6:$H$1005,"&lt;"&amp;Dashboard!$V$1))</f>
        <v/>
      </c>
      <c r="D19" s="10">
        <f>IF(B19="","",SUMIFS(Paydays!$P$6:$P$205,Paydays!$W$6:$W$205,"&gt;0",Paydays!$W$6:$W$205,"&gt;="&amp;Dashboard!$V$1,Paydays!$W$6:$W$205,"&lt;="&amp;Dashboard!$V$2))</f>
        <v/>
      </c>
      <c r="E19" s="10">
        <f>IF(B19="","",SUMIFS(Spending!$D$6:$D$1005,Spending!$C$6:$C$1005,Envelopes!$B$17,Spending!$I$6:$I$1005,1,Spending!$H$6:$H$1005,"&gt;="&amp;Dashboard!$V$1,Spending!$H$6:$H$1005,"&lt;="&amp;Dashboard!$V$2))</f>
        <v/>
      </c>
      <c r="F19" s="11">
        <f>IF(B19="","",SUMIFS(Spending!$D$6:$D$1005,Spending!$F$6:$F$1005,Envelopes!$B$17,Spending!$J$6:$J$1005,1,Spending!$H$6:$H$1005,"&gt;="&amp;Dashboard!$V$1,Spending!$H$6:$H$1005,"&lt;="&amp;Dashboard!$V$2)-SUMIFS(Spending!$D$6:$D$1005,Spending!$C$6:$C$1005,Envelopes!$B$17,Spending!$J$6:$J$1005,1,Spending!$H$6:$H$1005,"&gt;="&amp;Dashboard!$V$1,Spending!$H$6:$H$1005,"&lt;="&amp;Dashboard!$V$2))</f>
        <v/>
      </c>
      <c r="G19" s="12">
        <f>IF(B19="","",C19+D19-E19+F19)</f>
        <v/>
      </c>
      <c r="H19" s="13">
        <f>IF(B19="","",IF(C19+D19+MAX(0,F19)&lt;=0,"",REPT("█",MIN(10,MAX(0,ROUND((E19/(C19+D19+MAX(0,F19)))*10,0))))&amp;REPT("░",10-MIN(10,MAX(0,ROUND((E19/(C19+D19+MAX(0,F19)))*10,0))))))</f>
        <v/>
      </c>
      <c r="I19" s="1" t="n"/>
      <c r="J19" s="16">
        <f>IF(T19="","",IF(INDEX(Spending!$E$1:$E$1005,MOD(T19,10000))="","",INDEX(Spending!$E$1:$E$1005,MOD(T19,10000))))</f>
        <v/>
      </c>
      <c r="K19" s="17">
        <f>IF(T19="","",INDEX(Spending!$B$1:$B$1005,MOD(T19,10000)))</f>
        <v/>
      </c>
      <c r="L19" s="18">
        <f>IF(T19="","",INDEX(Spending!$C$1:$C$1005,MOD(T19,10000)))</f>
        <v/>
      </c>
      <c r="M19" s="10">
        <f>IF(T19="","",INDEX(Spending!$D$1:$D$1005,MOD(T19,10000)))</f>
        <v/>
      </c>
      <c r="N19" s="1" t="n"/>
      <c r="O19" s="1" t="n"/>
      <c r="P19" s="1" t="n"/>
      <c r="Q19" s="1">
        <f>IF(B19="","",IF(Envelopes!$C$17="Sinking fund","Sinking fund","Spending"))</f>
        <v/>
      </c>
      <c r="R19">
        <f>IF(B19="","",Envelopes!$M$17)</f>
        <v/>
      </c>
      <c r="T19">
        <f>IFERROR(LARGE(Spending!$K$6:$K$1005,2),"")</f>
        <v/>
      </c>
    </row>
    <row r="20" ht="18" customHeight="1">
      <c r="A20" s="1" t="n"/>
      <c r="B20" s="9">
        <f>IF(Envelopes!$B$18="","",Envelopes!$B$18)</f>
        <v/>
      </c>
      <c r="C20" s="10">
        <f>IF(B20="","",N(Envelopes!$H$18)+SUMIFS(Paydays!$Q$6:$Q$205,Paydays!$W$6:$W$205,"&gt;0",Paydays!$W$6:$W$205,"&lt;"&amp;Dashboard!$V$1)-SUMIFS(Spending!$D$6:$D$1005,Spending!$C$6:$C$1005,Envelopes!$B$18,Spending!$I$6:$I$1005,1,Spending!$H$6:$H$1005,"&lt;"&amp;Dashboard!$V$1)+SUMIFS(Spending!$D$6:$D$1005,Spending!$F$6:$F$1005,Envelopes!$B$18,Spending!$J$6:$J$1005,1,Spending!$H$6:$H$1005,"&lt;"&amp;Dashboard!$V$1)-SUMIFS(Spending!$D$6:$D$1005,Spending!$C$6:$C$1005,Envelopes!$B$18,Spending!$J$6:$J$1005,1,Spending!$H$6:$H$1005,"&lt;"&amp;Dashboard!$V$1))</f>
        <v/>
      </c>
      <c r="D20" s="10">
        <f>IF(B20="","",SUMIFS(Paydays!$Q$6:$Q$205,Paydays!$W$6:$W$205,"&gt;0",Paydays!$W$6:$W$205,"&gt;="&amp;Dashboard!$V$1,Paydays!$W$6:$W$205,"&lt;="&amp;Dashboard!$V$2))</f>
        <v/>
      </c>
      <c r="E20" s="10">
        <f>IF(B20="","",SUMIFS(Spending!$D$6:$D$1005,Spending!$C$6:$C$1005,Envelopes!$B$18,Spending!$I$6:$I$1005,1,Spending!$H$6:$H$1005,"&gt;="&amp;Dashboard!$V$1,Spending!$H$6:$H$1005,"&lt;="&amp;Dashboard!$V$2))</f>
        <v/>
      </c>
      <c r="F20" s="11">
        <f>IF(B20="","",SUMIFS(Spending!$D$6:$D$1005,Spending!$F$6:$F$1005,Envelopes!$B$18,Spending!$J$6:$J$1005,1,Spending!$H$6:$H$1005,"&gt;="&amp;Dashboard!$V$1,Spending!$H$6:$H$1005,"&lt;="&amp;Dashboard!$V$2)-SUMIFS(Spending!$D$6:$D$1005,Spending!$C$6:$C$1005,Envelopes!$B$18,Spending!$J$6:$J$1005,1,Spending!$H$6:$H$1005,"&gt;="&amp;Dashboard!$V$1,Spending!$H$6:$H$1005,"&lt;="&amp;Dashboard!$V$2))</f>
        <v/>
      </c>
      <c r="G20" s="12">
        <f>IF(B20="","",C20+D20-E20+F20)</f>
        <v/>
      </c>
      <c r="H20" s="13">
        <f>IF(B20="","",IF(C20+D20+MAX(0,F20)&lt;=0,"",REPT("█",MIN(10,MAX(0,ROUND((E20/(C20+D20+MAX(0,F20)))*10,0))))&amp;REPT("░",10-MIN(10,MAX(0,ROUND((E20/(C20+D20+MAX(0,F20)))*10,0))))))</f>
        <v/>
      </c>
      <c r="I20" s="1" t="n"/>
      <c r="J20" s="16">
        <f>IF(T20="","",IF(INDEX(Spending!$E$1:$E$1005,MOD(T20,10000))="","",INDEX(Spending!$E$1:$E$1005,MOD(T20,10000))))</f>
        <v/>
      </c>
      <c r="K20" s="17">
        <f>IF(T20="","",INDEX(Spending!$B$1:$B$1005,MOD(T20,10000)))</f>
        <v/>
      </c>
      <c r="L20" s="18">
        <f>IF(T20="","",INDEX(Spending!$C$1:$C$1005,MOD(T20,10000)))</f>
        <v/>
      </c>
      <c r="M20" s="10">
        <f>IF(T20="","",INDEX(Spending!$D$1:$D$1005,MOD(T20,10000)))</f>
        <v/>
      </c>
      <c r="N20" s="1" t="n"/>
      <c r="O20" s="1" t="n"/>
      <c r="P20" s="1" t="n"/>
      <c r="Q20" s="1">
        <f>IF(B20="","",IF(Envelopes!$C$18="Sinking fund","Sinking fund","Spending"))</f>
        <v/>
      </c>
      <c r="R20">
        <f>IF(B20="","",Envelopes!$M$18)</f>
        <v/>
      </c>
      <c r="T20">
        <f>IFERROR(LARGE(Spending!$K$6:$K$1005,3),"")</f>
        <v/>
      </c>
    </row>
    <row r="21" ht="18" customHeight="1">
      <c r="A21" s="1" t="n"/>
      <c r="B21" s="9">
        <f>IF(Envelopes!$B$19="","",Envelopes!$B$19)</f>
        <v/>
      </c>
      <c r="C21" s="10">
        <f>IF(B21="","",N(Envelopes!$H$19)+SUMIFS(Paydays!$R$6:$R$205,Paydays!$W$6:$W$205,"&gt;0",Paydays!$W$6:$W$205,"&lt;"&amp;Dashboard!$V$1)-SUMIFS(Spending!$D$6:$D$1005,Spending!$C$6:$C$1005,Envelopes!$B$19,Spending!$I$6:$I$1005,1,Spending!$H$6:$H$1005,"&lt;"&amp;Dashboard!$V$1)+SUMIFS(Spending!$D$6:$D$1005,Spending!$F$6:$F$1005,Envelopes!$B$19,Spending!$J$6:$J$1005,1,Spending!$H$6:$H$1005,"&lt;"&amp;Dashboard!$V$1)-SUMIFS(Spending!$D$6:$D$1005,Spending!$C$6:$C$1005,Envelopes!$B$19,Spending!$J$6:$J$1005,1,Spending!$H$6:$H$1005,"&lt;"&amp;Dashboard!$V$1))</f>
        <v/>
      </c>
      <c r="D21" s="10">
        <f>IF(B21="","",SUMIFS(Paydays!$R$6:$R$205,Paydays!$W$6:$W$205,"&gt;0",Paydays!$W$6:$W$205,"&gt;="&amp;Dashboard!$V$1,Paydays!$W$6:$W$205,"&lt;="&amp;Dashboard!$V$2))</f>
        <v/>
      </c>
      <c r="E21" s="10">
        <f>IF(B21="","",SUMIFS(Spending!$D$6:$D$1005,Spending!$C$6:$C$1005,Envelopes!$B$19,Spending!$I$6:$I$1005,1,Spending!$H$6:$H$1005,"&gt;="&amp;Dashboard!$V$1,Spending!$H$6:$H$1005,"&lt;="&amp;Dashboard!$V$2))</f>
        <v/>
      </c>
      <c r="F21" s="11">
        <f>IF(B21="","",SUMIFS(Spending!$D$6:$D$1005,Spending!$F$6:$F$1005,Envelopes!$B$19,Spending!$J$6:$J$1005,1,Spending!$H$6:$H$1005,"&gt;="&amp;Dashboard!$V$1,Spending!$H$6:$H$1005,"&lt;="&amp;Dashboard!$V$2)-SUMIFS(Spending!$D$6:$D$1005,Spending!$C$6:$C$1005,Envelopes!$B$19,Spending!$J$6:$J$1005,1,Spending!$H$6:$H$1005,"&gt;="&amp;Dashboard!$V$1,Spending!$H$6:$H$1005,"&lt;="&amp;Dashboard!$V$2))</f>
        <v/>
      </c>
      <c r="G21" s="12">
        <f>IF(B21="","",C21+D21-E21+F21)</f>
        <v/>
      </c>
      <c r="H21" s="13">
        <f>IF(B21="","",IF(C21+D21+MAX(0,F21)&lt;=0,"",REPT("█",MIN(10,MAX(0,ROUND((E21/(C21+D21+MAX(0,F21)))*10,0))))&amp;REPT("░",10-MIN(10,MAX(0,ROUND((E21/(C21+D21+MAX(0,F21)))*10,0))))))</f>
        <v/>
      </c>
      <c r="I21" s="1" t="n"/>
      <c r="J21" s="16">
        <f>IF(T21="","",IF(INDEX(Spending!$E$1:$E$1005,MOD(T21,10000))="","",INDEX(Spending!$E$1:$E$1005,MOD(T21,10000))))</f>
        <v/>
      </c>
      <c r="K21" s="17">
        <f>IF(T21="","",INDEX(Spending!$B$1:$B$1005,MOD(T21,10000)))</f>
        <v/>
      </c>
      <c r="L21" s="18">
        <f>IF(T21="","",INDEX(Spending!$C$1:$C$1005,MOD(T21,10000)))</f>
        <v/>
      </c>
      <c r="M21" s="10">
        <f>IF(T21="","",INDEX(Spending!$D$1:$D$1005,MOD(T21,10000)))</f>
        <v/>
      </c>
      <c r="N21" s="1" t="n"/>
      <c r="O21" s="1" t="n"/>
      <c r="P21" s="1" t="n"/>
      <c r="Q21" s="1">
        <f>IF(B21="","",IF(Envelopes!$C$19="Sinking fund","Sinking fund","Spending"))</f>
        <v/>
      </c>
      <c r="R21">
        <f>IF(B21="","",Envelopes!$M$19)</f>
        <v/>
      </c>
      <c r="T21">
        <f>IFERROR(LARGE(Spending!$K$6:$K$1005,4),"")</f>
        <v/>
      </c>
    </row>
    <row r="22" ht="18" customHeight="1">
      <c r="A22" s="1" t="n"/>
      <c r="B22" s="9">
        <f>IF(Envelopes!$B$20="","",Envelopes!$B$20)</f>
        <v/>
      </c>
      <c r="C22" s="10">
        <f>IF(B22="","",N(Envelopes!$H$20)+SUMIFS(Paydays!$S$6:$S$205,Paydays!$W$6:$W$205,"&gt;0",Paydays!$W$6:$W$205,"&lt;"&amp;Dashboard!$V$1)-SUMIFS(Spending!$D$6:$D$1005,Spending!$C$6:$C$1005,Envelopes!$B$20,Spending!$I$6:$I$1005,1,Spending!$H$6:$H$1005,"&lt;"&amp;Dashboard!$V$1)+SUMIFS(Spending!$D$6:$D$1005,Spending!$F$6:$F$1005,Envelopes!$B$20,Spending!$J$6:$J$1005,1,Spending!$H$6:$H$1005,"&lt;"&amp;Dashboard!$V$1)-SUMIFS(Spending!$D$6:$D$1005,Spending!$C$6:$C$1005,Envelopes!$B$20,Spending!$J$6:$J$1005,1,Spending!$H$6:$H$1005,"&lt;"&amp;Dashboard!$V$1))</f>
        <v/>
      </c>
      <c r="D22" s="10">
        <f>IF(B22="","",SUMIFS(Paydays!$S$6:$S$205,Paydays!$W$6:$W$205,"&gt;0",Paydays!$W$6:$W$205,"&gt;="&amp;Dashboard!$V$1,Paydays!$W$6:$W$205,"&lt;="&amp;Dashboard!$V$2))</f>
        <v/>
      </c>
      <c r="E22" s="10">
        <f>IF(B22="","",SUMIFS(Spending!$D$6:$D$1005,Spending!$C$6:$C$1005,Envelopes!$B$20,Spending!$I$6:$I$1005,1,Spending!$H$6:$H$1005,"&gt;="&amp;Dashboard!$V$1,Spending!$H$6:$H$1005,"&lt;="&amp;Dashboard!$V$2))</f>
        <v/>
      </c>
      <c r="F22" s="11">
        <f>IF(B22="","",SUMIFS(Spending!$D$6:$D$1005,Spending!$F$6:$F$1005,Envelopes!$B$20,Spending!$J$6:$J$1005,1,Spending!$H$6:$H$1005,"&gt;="&amp;Dashboard!$V$1,Spending!$H$6:$H$1005,"&lt;="&amp;Dashboard!$V$2)-SUMIFS(Spending!$D$6:$D$1005,Spending!$C$6:$C$1005,Envelopes!$B$20,Spending!$J$6:$J$1005,1,Spending!$H$6:$H$1005,"&gt;="&amp;Dashboard!$V$1,Spending!$H$6:$H$1005,"&lt;="&amp;Dashboard!$V$2))</f>
        <v/>
      </c>
      <c r="G22" s="12">
        <f>IF(B22="","",C22+D22-E22+F22)</f>
        <v/>
      </c>
      <c r="H22" s="13">
        <f>IF(B22="","",IF(C22+D22+MAX(0,F22)&lt;=0,"",REPT("█",MIN(10,MAX(0,ROUND((E22/(C22+D22+MAX(0,F22)))*10,0))))&amp;REPT("░",10-MIN(10,MAX(0,ROUND((E22/(C22+D22+MAX(0,F22)))*10,0))))))</f>
        <v/>
      </c>
      <c r="I22" s="1" t="n"/>
      <c r="J22" s="16">
        <f>IF(T22="","",IF(INDEX(Spending!$E$1:$E$1005,MOD(T22,10000))="","",INDEX(Spending!$E$1:$E$1005,MOD(T22,10000))))</f>
        <v/>
      </c>
      <c r="K22" s="17">
        <f>IF(T22="","",INDEX(Spending!$B$1:$B$1005,MOD(T22,10000)))</f>
        <v/>
      </c>
      <c r="L22" s="18">
        <f>IF(T22="","",INDEX(Spending!$C$1:$C$1005,MOD(T22,10000)))</f>
        <v/>
      </c>
      <c r="M22" s="10">
        <f>IF(T22="","",INDEX(Spending!$D$1:$D$1005,MOD(T22,10000)))</f>
        <v/>
      </c>
      <c r="N22" s="1" t="n"/>
      <c r="O22" s="1" t="n"/>
      <c r="P22" s="1" t="n"/>
      <c r="Q22" s="1">
        <f>IF(B22="","",IF(Envelopes!$C$20="Sinking fund","Sinking fund","Spending"))</f>
        <v/>
      </c>
      <c r="R22">
        <f>IF(B22="","",Envelopes!$M$20)</f>
        <v/>
      </c>
      <c r="T22">
        <f>IFERROR(LARGE(Spending!$K$6:$K$1005,5),"")</f>
        <v/>
      </c>
    </row>
    <row r="23" ht="18" customHeight="1">
      <c r="A23" s="1" t="n"/>
      <c r="B23" s="9">
        <f>IF(Envelopes!$B$21="","",Envelopes!$B$21)</f>
        <v/>
      </c>
      <c r="C23" s="10">
        <f>IF(B23="","",N(Envelopes!$H$21)+SUMIFS(Paydays!$T$6:$T$205,Paydays!$W$6:$W$205,"&gt;0",Paydays!$W$6:$W$205,"&lt;"&amp;Dashboard!$V$1)-SUMIFS(Spending!$D$6:$D$1005,Spending!$C$6:$C$1005,Envelopes!$B$21,Spending!$I$6:$I$1005,1,Spending!$H$6:$H$1005,"&lt;"&amp;Dashboard!$V$1)+SUMIFS(Spending!$D$6:$D$1005,Spending!$F$6:$F$1005,Envelopes!$B$21,Spending!$J$6:$J$1005,1,Spending!$H$6:$H$1005,"&lt;"&amp;Dashboard!$V$1)-SUMIFS(Spending!$D$6:$D$1005,Spending!$C$6:$C$1005,Envelopes!$B$21,Spending!$J$6:$J$1005,1,Spending!$H$6:$H$1005,"&lt;"&amp;Dashboard!$V$1))</f>
        <v/>
      </c>
      <c r="D23" s="10">
        <f>IF(B23="","",SUMIFS(Paydays!$T$6:$T$205,Paydays!$W$6:$W$205,"&gt;0",Paydays!$W$6:$W$205,"&gt;="&amp;Dashboard!$V$1,Paydays!$W$6:$W$205,"&lt;="&amp;Dashboard!$V$2))</f>
        <v/>
      </c>
      <c r="E23" s="10">
        <f>IF(B23="","",SUMIFS(Spending!$D$6:$D$1005,Spending!$C$6:$C$1005,Envelopes!$B$21,Spending!$I$6:$I$1005,1,Spending!$H$6:$H$1005,"&gt;="&amp;Dashboard!$V$1,Spending!$H$6:$H$1005,"&lt;="&amp;Dashboard!$V$2))</f>
        <v/>
      </c>
      <c r="F23" s="11">
        <f>IF(B23="","",SUMIFS(Spending!$D$6:$D$1005,Spending!$F$6:$F$1005,Envelopes!$B$21,Spending!$J$6:$J$1005,1,Spending!$H$6:$H$1005,"&gt;="&amp;Dashboard!$V$1,Spending!$H$6:$H$1005,"&lt;="&amp;Dashboard!$V$2)-SUMIFS(Spending!$D$6:$D$1005,Spending!$C$6:$C$1005,Envelopes!$B$21,Spending!$J$6:$J$1005,1,Spending!$H$6:$H$1005,"&gt;="&amp;Dashboard!$V$1,Spending!$H$6:$H$1005,"&lt;="&amp;Dashboard!$V$2))</f>
        <v/>
      </c>
      <c r="G23" s="12">
        <f>IF(B23="","",C23+D23-E23+F23)</f>
        <v/>
      </c>
      <c r="H23" s="13">
        <f>IF(B23="","",IF(C23+D23+MAX(0,F23)&lt;=0,"",REPT("█",MIN(10,MAX(0,ROUND((E23/(C23+D23+MAX(0,F23)))*10,0))))&amp;REPT("░",10-MIN(10,MAX(0,ROUND((E23/(C23+D23+MAX(0,F23)))*10,0))))))</f>
        <v/>
      </c>
      <c r="I23" s="1" t="n"/>
      <c r="J23" s="16">
        <f>IF(T23="","",IF(INDEX(Spending!$E$1:$E$1005,MOD(T23,10000))="","",INDEX(Spending!$E$1:$E$1005,MOD(T23,10000))))</f>
        <v/>
      </c>
      <c r="K23" s="17">
        <f>IF(T23="","",INDEX(Spending!$B$1:$B$1005,MOD(T23,10000)))</f>
        <v/>
      </c>
      <c r="L23" s="18">
        <f>IF(T23="","",INDEX(Spending!$C$1:$C$1005,MOD(T23,10000)))</f>
        <v/>
      </c>
      <c r="M23" s="10">
        <f>IF(T23="","",INDEX(Spending!$D$1:$D$1005,MOD(T23,10000)))</f>
        <v/>
      </c>
      <c r="N23" s="1" t="n"/>
      <c r="O23" s="1" t="n"/>
      <c r="P23" s="1" t="n"/>
      <c r="Q23" s="1">
        <f>IF(B23="","",IF(Envelopes!$C$21="Sinking fund","Sinking fund","Spending"))</f>
        <v/>
      </c>
      <c r="R23">
        <f>IF(B23="","",Envelopes!$M$21)</f>
        <v/>
      </c>
      <c r="T23">
        <f>IFERROR(LARGE(Spending!$K$6:$K$1005,6),"")</f>
        <v/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6">
        <f>IF(T24="","",IF(INDEX(Spending!$E$1:$E$1005,MOD(T24,10000))="","",INDEX(Spending!$E$1:$E$1005,MOD(T24,10000))))</f>
        <v/>
      </c>
      <c r="K24" s="17">
        <f>IF(T24="","",INDEX(Spending!$B$1:$B$1005,MOD(T24,10000)))</f>
        <v/>
      </c>
      <c r="L24" s="18">
        <f>IF(T24="","",INDEX(Spending!$C$1:$C$1005,MOD(T24,10000)))</f>
        <v/>
      </c>
      <c r="M24" s="10">
        <f>IF(T24="","",INDEX(Spending!$D$1:$D$1005,MOD(T24,10000)))</f>
        <v/>
      </c>
      <c r="N24" s="1" t="n"/>
      <c r="O24" s="1" t="n"/>
      <c r="P24" s="1" t="n"/>
      <c r="Q24" s="1" t="n"/>
      <c r="T24">
        <f>IFERROR(LARGE(Spending!$K$6:$K$1005,7),"")</f>
        <v/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6">
        <f>IF(T25="","",IF(INDEX(Spending!$E$1:$E$1005,MOD(T25,10000))="","",INDEX(Spending!$E$1:$E$1005,MOD(T25,10000))))</f>
        <v/>
      </c>
      <c r="K25" s="17">
        <f>IF(T25="","",INDEX(Spending!$B$1:$B$1005,MOD(T25,10000)))</f>
        <v/>
      </c>
      <c r="L25" s="18">
        <f>IF(T25="","",INDEX(Spending!$C$1:$C$1005,MOD(T25,10000)))</f>
        <v/>
      </c>
      <c r="M25" s="10">
        <f>IF(T25="","",INDEX(Spending!$D$1:$D$1005,MOD(T25,10000)))</f>
        <v/>
      </c>
      <c r="N25" s="1" t="n"/>
      <c r="O25" s="1" t="n"/>
      <c r="P25" s="1" t="n"/>
      <c r="Q25" s="1" t="n"/>
      <c r="T25">
        <f>IFERROR(LARGE(Spending!$K$6:$K$1005,8),"")</f>
        <v/>
      </c>
    </row>
    <row r="26" ht="30" customHeight="1">
      <c r="A26" s="1" t="n"/>
      <c r="B26" s="8" t="inlineStr">
        <is>
          <t>Month</t>
        </is>
      </c>
      <c r="C26" s="8" t="inlineStr">
        <is>
          <t>Stuffed</t>
        </is>
      </c>
      <c r="D26" s="8" t="inlineStr">
        <is>
          <t>Spent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8" customHeight="1">
      <c r="A27" s="1" t="n"/>
      <c r="B27" s="9" t="inlineStr">
        <is>
          <t>Jan</t>
        </is>
      </c>
      <c r="C27" s="10">
        <f>SUMIFS(Paydays!$D$6:$D$205,Paydays!$W$6:$W$205,"&gt;="&amp;DATE(YEAR(Dashboard!$V$1),1,1),Paydays!$W$6:$W$205,"&lt;="&amp;DATE(YEAR(Dashboard!$V$1),2,1)-1)</f>
        <v/>
      </c>
      <c r="D27" s="10">
        <f>SUMIFS(Spending!$D$6:$D$1005,Spending!$I$6:$I$1005,1,Spending!$H$6:$H$1005,"&gt;="&amp;DATE(YEAR(Dashboard!$V$1),1,1),Spending!$H$6:$H$1005,"&lt;="&amp;DATE(YEAR(Dashboard!$V$1),2,1)-1)</f>
        <v/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18" customHeight="1">
      <c r="A28" s="1" t="n"/>
      <c r="B28" s="9" t="inlineStr">
        <is>
          <t>Feb</t>
        </is>
      </c>
      <c r="C28" s="10">
        <f>SUMIFS(Paydays!$D$6:$D$205,Paydays!$W$6:$W$205,"&gt;="&amp;DATE(YEAR(Dashboard!$V$1),2,1),Paydays!$W$6:$W$205,"&lt;="&amp;DATE(YEAR(Dashboard!$V$1),3,1)-1)</f>
        <v/>
      </c>
      <c r="D28" s="10">
        <f>SUMIFS(Spending!$D$6:$D$1005,Spending!$I$6:$I$1005,1,Spending!$H$6:$H$1005,"&gt;="&amp;DATE(YEAR(Dashboard!$V$1),2,1),Spending!$H$6:$H$1005,"&lt;="&amp;DATE(YEAR(Dashboard!$V$1),3,1)-1)</f>
        <v/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18" customHeight="1">
      <c r="A29" s="1" t="n"/>
      <c r="B29" s="9" t="inlineStr">
        <is>
          <t>Mar</t>
        </is>
      </c>
      <c r="C29" s="10">
        <f>SUMIFS(Paydays!$D$6:$D$205,Paydays!$W$6:$W$205,"&gt;="&amp;DATE(YEAR(Dashboard!$V$1),3,1),Paydays!$W$6:$W$205,"&lt;="&amp;DATE(YEAR(Dashboard!$V$1),4,1)-1)</f>
        <v/>
      </c>
      <c r="D29" s="10">
        <f>SUMIFS(Spending!$D$6:$D$1005,Spending!$I$6:$I$1005,1,Spending!$H$6:$H$1005,"&gt;="&amp;DATE(YEAR(Dashboard!$V$1),3,1),Spending!$H$6:$H$1005,"&lt;="&amp;DATE(YEAR(Dashboard!$V$1),4,1)-1)</f>
        <v/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8" customHeight="1">
      <c r="A30" s="1" t="n"/>
      <c r="B30" s="9" t="inlineStr">
        <is>
          <t>Apr</t>
        </is>
      </c>
      <c r="C30" s="10">
        <f>SUMIFS(Paydays!$D$6:$D$205,Paydays!$W$6:$W$205,"&gt;="&amp;DATE(YEAR(Dashboard!$V$1),4,1),Paydays!$W$6:$W$205,"&lt;="&amp;DATE(YEAR(Dashboard!$V$1),5,1)-1)</f>
        <v/>
      </c>
      <c r="D30" s="10">
        <f>SUMIFS(Spending!$D$6:$D$1005,Spending!$I$6:$I$1005,1,Spending!$H$6:$H$1005,"&gt;="&amp;DATE(YEAR(Dashboard!$V$1),4,1),Spending!$H$6:$H$1005,"&lt;="&amp;DATE(YEAR(Dashboard!$V$1),5,1)-1)</f>
        <v/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8" customHeight="1">
      <c r="A31" s="1" t="n"/>
      <c r="B31" s="9" t="inlineStr">
        <is>
          <t>May</t>
        </is>
      </c>
      <c r="C31" s="10">
        <f>SUMIFS(Paydays!$D$6:$D$205,Paydays!$W$6:$W$205,"&gt;="&amp;DATE(YEAR(Dashboard!$V$1),5,1),Paydays!$W$6:$W$205,"&lt;="&amp;DATE(YEAR(Dashboard!$V$1),6,1)-1)</f>
        <v/>
      </c>
      <c r="D31" s="10">
        <f>SUMIFS(Spending!$D$6:$D$1005,Spending!$I$6:$I$1005,1,Spending!$H$6:$H$1005,"&gt;="&amp;DATE(YEAR(Dashboard!$V$1),5,1),Spending!$H$6:$H$1005,"&lt;="&amp;DATE(YEAR(Dashboard!$V$1),6,1)-1)</f>
        <v/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18" customHeight="1">
      <c r="A32" s="1" t="n"/>
      <c r="B32" s="9" t="inlineStr">
        <is>
          <t>Jun</t>
        </is>
      </c>
      <c r="C32" s="10">
        <f>SUMIFS(Paydays!$D$6:$D$205,Paydays!$W$6:$W$205,"&gt;="&amp;DATE(YEAR(Dashboard!$V$1),6,1),Paydays!$W$6:$W$205,"&lt;="&amp;DATE(YEAR(Dashboard!$V$1),7,1)-1)</f>
        <v/>
      </c>
      <c r="D32" s="10">
        <f>SUMIFS(Spending!$D$6:$D$1005,Spending!$I$6:$I$1005,1,Spending!$H$6:$H$1005,"&gt;="&amp;DATE(YEAR(Dashboard!$V$1),6,1),Spending!$H$6:$H$1005,"&lt;="&amp;DATE(YEAR(Dashboard!$V$1),7,1)-1)</f>
        <v/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18" customHeight="1">
      <c r="A33" s="1" t="n"/>
      <c r="B33" s="9" t="inlineStr">
        <is>
          <t>Jul</t>
        </is>
      </c>
      <c r="C33" s="10">
        <f>SUMIFS(Paydays!$D$6:$D$205,Paydays!$W$6:$W$205,"&gt;="&amp;DATE(YEAR(Dashboard!$V$1),7,1),Paydays!$W$6:$W$205,"&lt;="&amp;DATE(YEAR(Dashboard!$V$1),8,1)-1)</f>
        <v/>
      </c>
      <c r="D33" s="10">
        <f>SUMIFS(Spending!$D$6:$D$1005,Spending!$I$6:$I$1005,1,Spending!$H$6:$H$1005,"&gt;="&amp;DATE(YEAR(Dashboard!$V$1),7,1),Spending!$H$6:$H$1005,"&lt;="&amp;DATE(YEAR(Dashboard!$V$1),8,1)-1)</f>
        <v/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9" t="inlineStr">
        <is>
          <t>Aug</t>
        </is>
      </c>
      <c r="C34" s="10">
        <f>SUMIFS(Paydays!$D$6:$D$205,Paydays!$W$6:$W$205,"&gt;="&amp;DATE(YEAR(Dashboard!$V$1),8,1),Paydays!$W$6:$W$205,"&lt;="&amp;DATE(YEAR(Dashboard!$V$1),9,1)-1)</f>
        <v/>
      </c>
      <c r="D34" s="10">
        <f>SUMIFS(Spending!$D$6:$D$1005,Spending!$I$6:$I$1005,1,Spending!$H$6:$H$1005,"&gt;="&amp;DATE(YEAR(Dashboard!$V$1),8,1),Spending!$H$6:$H$1005,"&lt;="&amp;DATE(YEAR(Dashboard!$V$1),9,1)-1)</f>
        <v/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9" t="inlineStr">
        <is>
          <t>Sep</t>
        </is>
      </c>
      <c r="C35" s="10">
        <f>SUMIFS(Paydays!$D$6:$D$205,Paydays!$W$6:$W$205,"&gt;="&amp;DATE(YEAR(Dashboard!$V$1),9,1),Paydays!$W$6:$W$205,"&lt;="&amp;DATE(YEAR(Dashboard!$V$1),10,1)-1)</f>
        <v/>
      </c>
      <c r="D35" s="10">
        <f>SUMIFS(Spending!$D$6:$D$1005,Spending!$I$6:$I$1005,1,Spending!$H$6:$H$1005,"&gt;="&amp;DATE(YEAR(Dashboard!$V$1),9,1),Spending!$H$6:$H$1005,"&lt;="&amp;DATE(YEAR(Dashboard!$V$1),10,1)-1)</f>
        <v/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9" t="inlineStr">
        <is>
          <t>Oct</t>
        </is>
      </c>
      <c r="C36" s="10">
        <f>SUMIFS(Paydays!$D$6:$D$205,Paydays!$W$6:$W$205,"&gt;="&amp;DATE(YEAR(Dashboard!$V$1),10,1),Paydays!$W$6:$W$205,"&lt;="&amp;DATE(YEAR(Dashboard!$V$1),11,1)-1)</f>
        <v/>
      </c>
      <c r="D36" s="10">
        <f>SUMIFS(Spending!$D$6:$D$1005,Spending!$I$6:$I$1005,1,Spending!$H$6:$H$1005,"&gt;="&amp;DATE(YEAR(Dashboard!$V$1),10,1),Spending!$H$6:$H$1005,"&lt;="&amp;DATE(YEAR(Dashboard!$V$1),11,1)-1)</f>
        <v/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</row>
    <row r="37" ht="18" customHeight="1">
      <c r="A37" s="1" t="n"/>
      <c r="B37" s="9" t="inlineStr">
        <is>
          <t>Nov</t>
        </is>
      </c>
      <c r="C37" s="10">
        <f>SUMIFS(Paydays!$D$6:$D$205,Paydays!$W$6:$W$205,"&gt;="&amp;DATE(YEAR(Dashboard!$V$1),11,1),Paydays!$W$6:$W$205,"&lt;="&amp;DATE(YEAR(Dashboard!$V$1),12,1)-1)</f>
        <v/>
      </c>
      <c r="D37" s="10">
        <f>SUMIFS(Spending!$D$6:$D$1005,Spending!$I$6:$I$1005,1,Spending!$H$6:$H$1005,"&gt;="&amp;DATE(YEAR(Dashboard!$V$1),11,1),Spending!$H$6:$H$1005,"&lt;="&amp;DATE(YEAR(Dashboard!$V$1),12,1)-1)</f>
        <v/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18" customHeight="1">
      <c r="A38" s="1" t="n"/>
      <c r="B38" s="9" t="inlineStr">
        <is>
          <t>Dec</t>
        </is>
      </c>
      <c r="C38" s="10">
        <f>SUMIFS(Paydays!$D$6:$D$205,Paydays!$W$6:$W$205,"&gt;="&amp;DATE(YEAR(Dashboard!$V$1),12,1),Paydays!$W$6:$W$205,"&lt;="&amp;DATE(YEAR(Dashboard!$V$1),13,1)-1)</f>
        <v/>
      </c>
      <c r="D38" s="10">
        <f>SUMIFS(Spending!$D$6:$D$1005,Spending!$I$6:$I$1005,1,Spending!$H$6:$H$1005,"&gt;="&amp;DATE(YEAR(Dashboard!$V$1),12,1),Spending!$H$6:$H$1005,"&lt;="&amp;DATE(YEAR(Dashboard!$V$1),13,1)-1)</f>
        <v/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</sheetData>
  <conditionalFormatting sqref="G8:G23">
    <cfRule type="expression" priority="1" dxfId="0">
      <formula>AND(ISNUMBER(G8),G8&lt;0)</formula>
    </cfRule>
    <cfRule type="expression" priority="2" dxfId="1">
      <formula>R8="Low"</formula>
    </cfRule>
  </conditionalFormatting>
  <conditionalFormatting sqref="O8:O15">
    <cfRule type="expression" priority="3" dxfId="2">
      <formula>O8="Reached"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206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3" customWidth="1" min="21" max="21"/>
    <col width="24" customWidth="1" min="22" max="22"/>
    <col hidden="1" width="13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32" customHeight="1">
      <c r="A2" s="1" t="n"/>
      <c r="B2" s="2" t="inlineStr">
        <is>
          <t>Paydays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3" t="inlineStr">
        <is>
          <t>Each payday, what goes into each envelope. The plan row above the names shows your usual amounts.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1" t="n"/>
      <c r="B4" s="1" t="n"/>
      <c r="C4" s="1" t="n"/>
      <c r="D4" s="19" t="inlineStr">
        <is>
          <t>Plan</t>
        </is>
      </c>
      <c r="E4" s="20">
        <f>IF(Envelopes!$B$6="","",N(Envelopes!$D$6))</f>
        <v/>
      </c>
      <c r="F4" s="20">
        <f>IF(Envelopes!$B$7="","",N(Envelopes!$D$7))</f>
        <v/>
      </c>
      <c r="G4" s="20">
        <f>IF(Envelopes!$B$8="","",N(Envelopes!$D$8))</f>
        <v/>
      </c>
      <c r="H4" s="20">
        <f>IF(Envelopes!$B$9="","",N(Envelopes!$D$9))</f>
        <v/>
      </c>
      <c r="I4" s="20">
        <f>IF(Envelopes!$B$10="","",N(Envelopes!$D$10))</f>
        <v/>
      </c>
      <c r="J4" s="20">
        <f>IF(Envelopes!$B$11="","",N(Envelopes!$D$11))</f>
        <v/>
      </c>
      <c r="K4" s="20">
        <f>IF(Envelopes!$B$12="","",N(Envelopes!$D$12))</f>
        <v/>
      </c>
      <c r="L4" s="20">
        <f>IF(Envelopes!$B$13="","",N(Envelopes!$D$13))</f>
        <v/>
      </c>
      <c r="M4" s="20">
        <f>IF(Envelopes!$B$14="","",N(Envelopes!$D$14))</f>
        <v/>
      </c>
      <c r="N4" s="20">
        <f>IF(Envelopes!$B$15="","",N(Envelopes!$D$15))</f>
        <v/>
      </c>
      <c r="O4" s="20">
        <f>IF(Envelopes!$B$16="","",N(Envelopes!$D$16))</f>
        <v/>
      </c>
      <c r="P4" s="20">
        <f>IF(Envelopes!$B$17="","",N(Envelopes!$D$17))</f>
        <v/>
      </c>
      <c r="Q4" s="20">
        <f>IF(Envelopes!$B$18="","",N(Envelopes!$D$18))</f>
        <v/>
      </c>
      <c r="R4" s="20">
        <f>IF(Envelopes!$B$19="","",N(Envelopes!$D$19))</f>
        <v/>
      </c>
      <c r="S4" s="20">
        <f>IF(Envelopes!$B$20="","",N(Envelopes!$D$20))</f>
        <v/>
      </c>
      <c r="T4" s="20">
        <f>IF(Envelopes!$B$21="","",N(Envelopes!$D$21))</f>
        <v/>
      </c>
      <c r="U4" s="1" t="n"/>
      <c r="V4" s="1" t="n"/>
      <c r="W4" s="1" t="n"/>
    </row>
    <row r="5" ht="30" customHeight="1">
      <c r="A5" s="1" t="n"/>
      <c r="B5" s="8" t="inlineStr">
        <is>
          <t>Payday</t>
        </is>
      </c>
      <c r="C5" s="8" t="inlineStr">
        <is>
          <t>Paycheck</t>
        </is>
      </c>
      <c r="D5" s="8" t="inlineStr">
        <is>
          <t>Stuffed</t>
        </is>
      </c>
      <c r="E5" s="8">
        <f>IF(Envelopes!$B$6="","",Envelopes!$B$6)</f>
        <v/>
      </c>
      <c r="F5" s="8">
        <f>IF(Envelopes!$B$7="","",Envelopes!$B$7)</f>
        <v/>
      </c>
      <c r="G5" s="8">
        <f>IF(Envelopes!$B$8="","",Envelopes!$B$8)</f>
        <v/>
      </c>
      <c r="H5" s="8">
        <f>IF(Envelopes!$B$9="","",Envelopes!$B$9)</f>
        <v/>
      </c>
      <c r="I5" s="8">
        <f>IF(Envelopes!$B$10="","",Envelopes!$B$10)</f>
        <v/>
      </c>
      <c r="J5" s="8">
        <f>IF(Envelopes!$B$11="","",Envelopes!$B$11)</f>
        <v/>
      </c>
      <c r="K5" s="8">
        <f>IF(Envelopes!$B$12="","",Envelopes!$B$12)</f>
        <v/>
      </c>
      <c r="L5" s="8">
        <f>IF(Envelopes!$B$13="","",Envelopes!$B$13)</f>
        <v/>
      </c>
      <c r="M5" s="8">
        <f>IF(Envelopes!$B$14="","",Envelopes!$B$14)</f>
        <v/>
      </c>
      <c r="N5" s="8">
        <f>IF(Envelopes!$B$15="","",Envelopes!$B$15)</f>
        <v/>
      </c>
      <c r="O5" s="8">
        <f>IF(Envelopes!$B$16="","",Envelopes!$B$16)</f>
        <v/>
      </c>
      <c r="P5" s="8">
        <f>IF(Envelopes!$B$17="","",Envelopes!$B$17)</f>
        <v/>
      </c>
      <c r="Q5" s="8">
        <f>IF(Envelopes!$B$18="","",Envelopes!$B$18)</f>
        <v/>
      </c>
      <c r="R5" s="8">
        <f>IF(Envelopes!$B$19="","",Envelopes!$B$19)</f>
        <v/>
      </c>
      <c r="S5" s="8">
        <f>IF(Envelopes!$B$20="","",Envelopes!$B$20)</f>
        <v/>
      </c>
      <c r="T5" s="8">
        <f>IF(Envelopes!$B$21="","",Envelopes!$B$21)</f>
        <v/>
      </c>
      <c r="U5" s="8" t="inlineStr">
        <is>
          <t>Not in envelopes</t>
        </is>
      </c>
      <c r="V5" s="8" t="inlineStr">
        <is>
          <t>Check</t>
        </is>
      </c>
      <c r="W5" s="1" t="n"/>
    </row>
    <row r="6">
      <c r="A6" s="1" t="n"/>
      <c r="B6" s="21" t="n">
        <v>45989</v>
      </c>
      <c r="C6" s="22" t="n">
        <v>1480</v>
      </c>
      <c r="D6" s="12">
        <f>IF(AND(B6="",SUMPRODUCT((E6:T6&lt;&gt;"")*1)=0),"",SUMPRODUCT((E$5:T$5&lt;&gt;"")*1,E6:T6))</f>
        <v/>
      </c>
      <c r="E6" s="22" t="n">
        <v>180</v>
      </c>
      <c r="F6" s="22" t="n">
        <v>60</v>
      </c>
      <c r="G6" s="22" t="n">
        <v>40</v>
      </c>
      <c r="H6" s="22" t="n">
        <v>30</v>
      </c>
      <c r="I6" s="22" t="n">
        <v>25</v>
      </c>
      <c r="J6" s="22" t="n">
        <v>30</v>
      </c>
      <c r="K6" s="22" t="n">
        <v>35</v>
      </c>
      <c r="L6" s="22" t="n">
        <v>25</v>
      </c>
      <c r="M6" s="22" t="n">
        <v>20</v>
      </c>
      <c r="N6" s="22" t="n">
        <v>40</v>
      </c>
      <c r="O6" s="22" t="n">
        <v>15</v>
      </c>
      <c r="P6" s="22" t="n">
        <v>50</v>
      </c>
      <c r="Q6" s="22" t="n"/>
      <c r="R6" s="22" t="n"/>
      <c r="S6" s="22" t="n"/>
      <c r="T6" s="22" t="n"/>
      <c r="U6" s="10">
        <f>IF(OR(NOT(ISNUMBER(C6)),D6=""),"",C6-D6)</f>
        <v/>
      </c>
      <c r="V6" s="18">
        <f>IF(AND(B6="",C6="",SUMPRODUCT((E6:T6&lt;&gt;"")*1)=0),"",IF(NOT(ISNUMBER(B6)),"Needs a date",IF(SUMPRODUCT((E6:T6&lt;&gt;"")*(1-ISNUMBER(E6:T6)))&gt;0,"Amount not a number",IF(SUMPRODUCT((E$5:T$5="")*(E6:T6&lt;&gt;""))&gt;0,"Amount under no envelope",IF(COUNTIF(E6:T6,"&lt;0")&gt;0,"Amount below zero",IF(AND(ISNUMBER(C6),N(D6)&gt;C6),"More than the paycheck",""))))))</f>
        <v/>
      </c>
      <c r="W6" s="1">
        <f>IF(ISNUMBER(B6),INT(B6),0)</f>
        <v/>
      </c>
    </row>
    <row r="7">
      <c r="A7" s="1" t="n"/>
      <c r="B7" s="21" t="n">
        <v>46003</v>
      </c>
      <c r="C7" s="22" t="n">
        <v>1480</v>
      </c>
      <c r="D7" s="12">
        <f>IF(AND(B7="",SUMPRODUCT((E7:T7&lt;&gt;"")*1)=0),"",SUMPRODUCT((E$5:T$5&lt;&gt;"")*1,E7:T7))</f>
        <v/>
      </c>
      <c r="E7" s="22" t="n">
        <v>180</v>
      </c>
      <c r="F7" s="22" t="n">
        <v>60</v>
      </c>
      <c r="G7" s="22" t="n">
        <v>40</v>
      </c>
      <c r="H7" s="22" t="n">
        <v>30</v>
      </c>
      <c r="I7" s="22" t="n">
        <v>25</v>
      </c>
      <c r="J7" s="22" t="n">
        <v>30</v>
      </c>
      <c r="K7" s="22" t="n">
        <v>35</v>
      </c>
      <c r="L7" s="22" t="n">
        <v>25</v>
      </c>
      <c r="M7" s="22" t="n">
        <v>20</v>
      </c>
      <c r="N7" s="22" t="n">
        <v>40</v>
      </c>
      <c r="O7" s="22" t="n">
        <v>15</v>
      </c>
      <c r="P7" s="22" t="n">
        <v>50</v>
      </c>
      <c r="Q7" s="22" t="n"/>
      <c r="R7" s="22" t="n"/>
      <c r="S7" s="22" t="n"/>
      <c r="T7" s="22" t="n"/>
      <c r="U7" s="10">
        <f>IF(OR(NOT(ISNUMBER(C7)),D7=""),"",C7-D7)</f>
        <v/>
      </c>
      <c r="V7" s="18">
        <f>IF(AND(B7="",C7="",SUMPRODUCT((E7:T7&lt;&gt;"")*1)=0),"",IF(NOT(ISNUMBER(B7)),"Needs a date",IF(SUMPRODUCT((E7:T7&lt;&gt;"")*(1-ISNUMBER(E7:T7)))&gt;0,"Amount not a number",IF(SUMPRODUCT((E$5:T$5="")*(E7:T7&lt;&gt;""))&gt;0,"Amount under no envelope",IF(COUNTIF(E7:T7,"&lt;0")&gt;0,"Amount below zero",IF(AND(ISNUMBER(C7),N(D7)&gt;C7),"More than the paycheck",""))))))</f>
        <v/>
      </c>
      <c r="W7" s="1">
        <f>IF(ISNUMBER(B7),INT(B7),0)</f>
        <v/>
      </c>
    </row>
    <row r="8">
      <c r="A8" s="1" t="n"/>
      <c r="B8" s="21" t="n">
        <v>46017</v>
      </c>
      <c r="C8" s="22" t="n">
        <v>1480</v>
      </c>
      <c r="D8" s="12">
        <f>IF(AND(B8="",SUMPRODUCT((E8:T8&lt;&gt;"")*1)=0),"",SUMPRODUCT((E$5:T$5&lt;&gt;"")*1,E8:T8))</f>
        <v/>
      </c>
      <c r="E8" s="22" t="n">
        <v>180</v>
      </c>
      <c r="F8" s="22" t="n">
        <v>60</v>
      </c>
      <c r="G8" s="22" t="n">
        <v>40</v>
      </c>
      <c r="H8" s="22" t="n">
        <v>30</v>
      </c>
      <c r="I8" s="22" t="n">
        <v>25</v>
      </c>
      <c r="J8" s="22" t="n">
        <v>30</v>
      </c>
      <c r="K8" s="22" t="n">
        <v>35</v>
      </c>
      <c r="L8" s="22" t="n">
        <v>25</v>
      </c>
      <c r="M8" s="22" t="n">
        <v>20</v>
      </c>
      <c r="N8" s="22" t="n">
        <v>40</v>
      </c>
      <c r="O8" s="22" t="n">
        <v>15</v>
      </c>
      <c r="P8" s="22" t="n">
        <v>50</v>
      </c>
      <c r="Q8" s="22" t="n"/>
      <c r="R8" s="22" t="n"/>
      <c r="S8" s="22" t="n"/>
      <c r="T8" s="22" t="n"/>
      <c r="U8" s="10">
        <f>IF(OR(NOT(ISNUMBER(C8)),D8=""),"",C8-D8)</f>
        <v/>
      </c>
      <c r="V8" s="18">
        <f>IF(AND(B8="",C8="",SUMPRODUCT((E8:T8&lt;&gt;"")*1)=0),"",IF(NOT(ISNUMBER(B8)),"Needs a date",IF(SUMPRODUCT((E8:T8&lt;&gt;"")*(1-ISNUMBER(E8:T8)))&gt;0,"Amount not a number",IF(SUMPRODUCT((E$5:T$5="")*(E8:T8&lt;&gt;""))&gt;0,"Amount under no envelope",IF(COUNTIF(E8:T8,"&lt;0")&gt;0,"Amount below zero",IF(AND(ISNUMBER(C8),N(D8)&gt;C8),"More than the paycheck",""))))))</f>
        <v/>
      </c>
      <c r="W8" s="1">
        <f>IF(ISNUMBER(B8),INT(B8),0)</f>
        <v/>
      </c>
    </row>
    <row r="9">
      <c r="A9" s="1" t="n"/>
      <c r="B9" s="21" t="n">
        <v>46031</v>
      </c>
      <c r="C9" s="22" t="n">
        <v>1480</v>
      </c>
      <c r="D9" s="12">
        <f>IF(AND(B9="",SUMPRODUCT((E9:T9&lt;&gt;"")*1)=0),"",SUMPRODUCT((E$5:T$5&lt;&gt;"")*1,E9:T9))</f>
        <v/>
      </c>
      <c r="E9" s="22" t="n">
        <v>180</v>
      </c>
      <c r="F9" s="22" t="n">
        <v>60</v>
      </c>
      <c r="G9" s="22" t="n">
        <v>40</v>
      </c>
      <c r="H9" s="22" t="n">
        <v>30</v>
      </c>
      <c r="I9" s="22" t="n">
        <v>25</v>
      </c>
      <c r="J9" s="22" t="n">
        <v>30</v>
      </c>
      <c r="K9" s="22" t="n">
        <v>35</v>
      </c>
      <c r="L9" s="22" t="n">
        <v>25</v>
      </c>
      <c r="M9" s="22" t="n">
        <v>20</v>
      </c>
      <c r="N9" s="22" t="n">
        <v>40</v>
      </c>
      <c r="O9" s="22" t="n">
        <v>15</v>
      </c>
      <c r="P9" s="22" t="n">
        <v>50</v>
      </c>
      <c r="Q9" s="22" t="n"/>
      <c r="R9" s="22" t="n"/>
      <c r="S9" s="22" t="n"/>
      <c r="T9" s="22" t="n"/>
      <c r="U9" s="10">
        <f>IF(OR(NOT(ISNUMBER(C9)),D9=""),"",C9-D9)</f>
        <v/>
      </c>
      <c r="V9" s="18">
        <f>IF(AND(B9="",C9="",SUMPRODUCT((E9:T9&lt;&gt;"")*1)=0),"",IF(NOT(ISNUMBER(B9)),"Needs a date",IF(SUMPRODUCT((E9:T9&lt;&gt;"")*(1-ISNUMBER(E9:T9)))&gt;0,"Amount not a number",IF(SUMPRODUCT((E$5:T$5="")*(E9:T9&lt;&gt;""))&gt;0,"Amount under no envelope",IF(COUNTIF(E9:T9,"&lt;0")&gt;0,"Amount below zero",IF(AND(ISNUMBER(C9),N(D9)&gt;C9),"More than the paycheck",""))))))</f>
        <v/>
      </c>
      <c r="W9" s="1">
        <f>IF(ISNUMBER(B9),INT(B9),0)</f>
        <v/>
      </c>
    </row>
    <row r="10">
      <c r="A10" s="1" t="n"/>
      <c r="B10" s="21" t="n">
        <v>46045</v>
      </c>
      <c r="C10" s="22" t="n">
        <v>1480</v>
      </c>
      <c r="D10" s="12">
        <f>IF(AND(B10="",SUMPRODUCT((E10:T10&lt;&gt;"")*1)=0),"",SUMPRODUCT((E$5:T$5&lt;&gt;"")*1,E10:T10))</f>
        <v/>
      </c>
      <c r="E10" s="22" t="n">
        <v>180</v>
      </c>
      <c r="F10" s="22" t="n">
        <v>60</v>
      </c>
      <c r="G10" s="22" t="n">
        <v>40</v>
      </c>
      <c r="H10" s="22" t="n">
        <v>30</v>
      </c>
      <c r="I10" s="22" t="n">
        <v>25</v>
      </c>
      <c r="J10" s="22" t="n">
        <v>30</v>
      </c>
      <c r="K10" s="22" t="n">
        <v>35</v>
      </c>
      <c r="L10" s="22" t="n">
        <v>25</v>
      </c>
      <c r="M10" s="22" t="n">
        <v>20</v>
      </c>
      <c r="N10" s="22" t="n">
        <v>40</v>
      </c>
      <c r="O10" s="22" t="n">
        <v>15</v>
      </c>
      <c r="P10" s="22" t="n">
        <v>50</v>
      </c>
      <c r="Q10" s="22" t="n"/>
      <c r="R10" s="22" t="n"/>
      <c r="S10" s="22" t="n"/>
      <c r="T10" s="22" t="n"/>
      <c r="U10" s="10">
        <f>IF(OR(NOT(ISNUMBER(C10)),D10=""),"",C10-D10)</f>
        <v/>
      </c>
      <c r="V10" s="18">
        <f>IF(AND(B10="",C10="",SUMPRODUCT((E10:T10&lt;&gt;"")*1)=0),"",IF(NOT(ISNUMBER(B10)),"Needs a date",IF(SUMPRODUCT((E10:T10&lt;&gt;"")*(1-ISNUMBER(E10:T10)))&gt;0,"Amount not a number",IF(SUMPRODUCT((E$5:T$5="")*(E10:T10&lt;&gt;""))&gt;0,"Amount under no envelope",IF(COUNTIF(E10:T10,"&lt;0")&gt;0,"Amount below zero",IF(AND(ISNUMBER(C10),N(D10)&gt;C10),"More than the paycheck",""))))))</f>
        <v/>
      </c>
      <c r="W10" s="1">
        <f>IF(ISNUMBER(B10),INT(B10),0)</f>
        <v/>
      </c>
    </row>
    <row r="11">
      <c r="A11" s="1" t="n"/>
      <c r="B11" s="21" t="n">
        <v>46059</v>
      </c>
      <c r="C11" s="22" t="n">
        <v>1480</v>
      </c>
      <c r="D11" s="12">
        <f>IF(AND(B11="",SUMPRODUCT((E11:T11&lt;&gt;"")*1)=0),"",SUMPRODUCT((E$5:T$5&lt;&gt;"")*1,E11:T11))</f>
        <v/>
      </c>
      <c r="E11" s="22" t="n">
        <v>180</v>
      </c>
      <c r="F11" s="22" t="n">
        <v>60</v>
      </c>
      <c r="G11" s="22" t="n">
        <v>40</v>
      </c>
      <c r="H11" s="22" t="n">
        <v>30</v>
      </c>
      <c r="I11" s="22" t="n">
        <v>25</v>
      </c>
      <c r="J11" s="22" t="n">
        <v>30</v>
      </c>
      <c r="K11" s="22" t="n">
        <v>35</v>
      </c>
      <c r="L11" s="22" t="n">
        <v>25</v>
      </c>
      <c r="M11" s="22" t="n">
        <v>20</v>
      </c>
      <c r="N11" s="22" t="n">
        <v>40</v>
      </c>
      <c r="O11" s="22" t="n">
        <v>15</v>
      </c>
      <c r="P11" s="22" t="n">
        <v>50</v>
      </c>
      <c r="Q11" s="22" t="n"/>
      <c r="R11" s="22" t="n"/>
      <c r="S11" s="22" t="n"/>
      <c r="T11" s="22" t="n"/>
      <c r="U11" s="10">
        <f>IF(OR(NOT(ISNUMBER(C11)),D11=""),"",C11-D11)</f>
        <v/>
      </c>
      <c r="V11" s="18">
        <f>IF(AND(B11="",C11="",SUMPRODUCT((E11:T11&lt;&gt;"")*1)=0),"",IF(NOT(ISNUMBER(B11)),"Needs a date",IF(SUMPRODUCT((E11:T11&lt;&gt;"")*(1-ISNUMBER(E11:T11)))&gt;0,"Amount not a number",IF(SUMPRODUCT((E$5:T$5="")*(E11:T11&lt;&gt;""))&gt;0,"Amount under no envelope",IF(COUNTIF(E11:T11,"&lt;0")&gt;0,"Amount below zero",IF(AND(ISNUMBER(C11),N(D11)&gt;C11),"More than the paycheck",""))))))</f>
        <v/>
      </c>
      <c r="W11" s="1">
        <f>IF(ISNUMBER(B11),INT(B11),0)</f>
        <v/>
      </c>
    </row>
    <row r="12">
      <c r="A12" s="1" t="n"/>
      <c r="B12" s="21" t="n">
        <v>46073</v>
      </c>
      <c r="C12" s="22" t="n">
        <v>1480</v>
      </c>
      <c r="D12" s="12">
        <f>IF(AND(B12="",SUMPRODUCT((E12:T12&lt;&gt;"")*1)=0),"",SUMPRODUCT((E$5:T$5&lt;&gt;"")*1,E12:T12))</f>
        <v/>
      </c>
      <c r="E12" s="22" t="n">
        <v>180</v>
      </c>
      <c r="F12" s="22" t="n">
        <v>60</v>
      </c>
      <c r="G12" s="22" t="n">
        <v>40</v>
      </c>
      <c r="H12" s="22" t="n">
        <v>30</v>
      </c>
      <c r="I12" s="22" t="n">
        <v>25</v>
      </c>
      <c r="J12" s="22" t="n">
        <v>30</v>
      </c>
      <c r="K12" s="22" t="n">
        <v>35</v>
      </c>
      <c r="L12" s="22" t="n">
        <v>25</v>
      </c>
      <c r="M12" s="22" t="n">
        <v>20</v>
      </c>
      <c r="N12" s="22" t="n">
        <v>40</v>
      </c>
      <c r="O12" s="22" t="n">
        <v>15</v>
      </c>
      <c r="P12" s="22" t="n">
        <v>50</v>
      </c>
      <c r="Q12" s="22" t="n"/>
      <c r="R12" s="22" t="n"/>
      <c r="S12" s="22" t="n"/>
      <c r="T12" s="22" t="n"/>
      <c r="U12" s="10">
        <f>IF(OR(NOT(ISNUMBER(C12)),D12=""),"",C12-D12)</f>
        <v/>
      </c>
      <c r="V12" s="18">
        <f>IF(AND(B12="",C12="",SUMPRODUCT((E12:T12&lt;&gt;"")*1)=0),"",IF(NOT(ISNUMBER(B12)),"Needs a date",IF(SUMPRODUCT((E12:T12&lt;&gt;"")*(1-ISNUMBER(E12:T12)))&gt;0,"Amount not a number",IF(SUMPRODUCT((E$5:T$5="")*(E12:T12&lt;&gt;""))&gt;0,"Amount under no envelope",IF(COUNTIF(E12:T12,"&lt;0")&gt;0,"Amount below zero",IF(AND(ISNUMBER(C12),N(D12)&gt;C12),"More than the paycheck",""))))))</f>
        <v/>
      </c>
      <c r="W12" s="1">
        <f>IF(ISNUMBER(B12),INT(B12),0)</f>
        <v/>
      </c>
    </row>
    <row r="13">
      <c r="A13" s="1" t="n"/>
      <c r="B13" s="21" t="n">
        <v>46087</v>
      </c>
      <c r="C13" s="22" t="n">
        <v>1480</v>
      </c>
      <c r="D13" s="12">
        <f>IF(AND(B13="",SUMPRODUCT((E13:T13&lt;&gt;"")*1)=0),"",SUMPRODUCT((E$5:T$5&lt;&gt;"")*1,E13:T13))</f>
        <v/>
      </c>
      <c r="E13" s="22" t="n">
        <v>180</v>
      </c>
      <c r="F13" s="22" t="n">
        <v>60</v>
      </c>
      <c r="G13" s="22" t="n">
        <v>40</v>
      </c>
      <c r="H13" s="22" t="n">
        <v>30</v>
      </c>
      <c r="I13" s="22" t="n">
        <v>25</v>
      </c>
      <c r="J13" s="22" t="n">
        <v>30</v>
      </c>
      <c r="K13" s="22" t="n">
        <v>35</v>
      </c>
      <c r="L13" s="22" t="n">
        <v>25</v>
      </c>
      <c r="M13" s="22" t="n">
        <v>20</v>
      </c>
      <c r="N13" s="22" t="n">
        <v>40</v>
      </c>
      <c r="O13" s="22" t="n">
        <v>15</v>
      </c>
      <c r="P13" s="22" t="n">
        <v>50</v>
      </c>
      <c r="Q13" s="22" t="n"/>
      <c r="R13" s="22" t="n"/>
      <c r="S13" s="22" t="n"/>
      <c r="T13" s="22" t="n"/>
      <c r="U13" s="10">
        <f>IF(OR(NOT(ISNUMBER(C13)),D13=""),"",C13-D13)</f>
        <v/>
      </c>
      <c r="V13" s="18">
        <f>IF(AND(B13="",C13="",SUMPRODUCT((E13:T13&lt;&gt;"")*1)=0),"",IF(NOT(ISNUMBER(B13)),"Needs a date",IF(SUMPRODUCT((E13:T13&lt;&gt;"")*(1-ISNUMBER(E13:T13)))&gt;0,"Amount not a number",IF(SUMPRODUCT((E$5:T$5="")*(E13:T13&lt;&gt;""))&gt;0,"Amount under no envelope",IF(COUNTIF(E13:T13,"&lt;0")&gt;0,"Amount below zero",IF(AND(ISNUMBER(C13),N(D13)&gt;C13),"More than the paycheck",""))))))</f>
        <v/>
      </c>
      <c r="W13" s="1">
        <f>IF(ISNUMBER(B13),INT(B13),0)</f>
        <v/>
      </c>
    </row>
    <row r="14">
      <c r="A14" s="1" t="n"/>
      <c r="B14" s="21" t="n">
        <v>46101</v>
      </c>
      <c r="C14" s="22" t="n">
        <v>1480</v>
      </c>
      <c r="D14" s="12">
        <f>IF(AND(B14="",SUMPRODUCT((E14:T14&lt;&gt;"")*1)=0),"",SUMPRODUCT((E$5:T$5&lt;&gt;"")*1,E14:T14))</f>
        <v/>
      </c>
      <c r="E14" s="22" t="n">
        <v>180</v>
      </c>
      <c r="F14" s="22" t="n">
        <v>60</v>
      </c>
      <c r="G14" s="22" t="n">
        <v>40</v>
      </c>
      <c r="H14" s="22" t="n">
        <v>30</v>
      </c>
      <c r="I14" s="22" t="n">
        <v>25</v>
      </c>
      <c r="J14" s="22" t="n">
        <v>30</v>
      </c>
      <c r="K14" s="22" t="n">
        <v>35</v>
      </c>
      <c r="L14" s="22" t="n">
        <v>25</v>
      </c>
      <c r="M14" s="22" t="n">
        <v>20</v>
      </c>
      <c r="N14" s="22" t="n">
        <v>40</v>
      </c>
      <c r="O14" s="22" t="n">
        <v>15</v>
      </c>
      <c r="P14" s="22" t="n">
        <v>50</v>
      </c>
      <c r="Q14" s="22" t="n"/>
      <c r="R14" s="22" t="n"/>
      <c r="S14" s="22" t="n"/>
      <c r="T14" s="22" t="n"/>
      <c r="U14" s="10">
        <f>IF(OR(NOT(ISNUMBER(C14)),D14=""),"",C14-D14)</f>
        <v/>
      </c>
      <c r="V14" s="18">
        <f>IF(AND(B14="",C14="",SUMPRODUCT((E14:T14&lt;&gt;"")*1)=0),"",IF(NOT(ISNUMBER(B14)),"Needs a date",IF(SUMPRODUCT((E14:T14&lt;&gt;"")*(1-ISNUMBER(E14:T14)))&gt;0,"Amount not a number",IF(SUMPRODUCT((E$5:T$5="")*(E14:T14&lt;&gt;""))&gt;0,"Amount under no envelope",IF(COUNTIF(E14:T14,"&lt;0")&gt;0,"Amount below zero",IF(AND(ISNUMBER(C14),N(D14)&gt;C14),"More than the paycheck",""))))))</f>
        <v/>
      </c>
      <c r="W14" s="1">
        <f>IF(ISNUMBER(B14),INT(B14),0)</f>
        <v/>
      </c>
    </row>
    <row r="15">
      <c r="A15" s="1" t="n"/>
      <c r="B15" s="21" t="n">
        <v>46115</v>
      </c>
      <c r="C15" s="22" t="n">
        <v>1780</v>
      </c>
      <c r="D15" s="12">
        <f>IF(AND(B15="",SUMPRODUCT((E15:T15&lt;&gt;"")*1)=0),"",SUMPRODUCT((E$5:T$5&lt;&gt;"")*1,E15:T15))</f>
        <v/>
      </c>
      <c r="E15" s="22" t="n">
        <v>180</v>
      </c>
      <c r="F15" s="22" t="n">
        <v>60</v>
      </c>
      <c r="G15" s="22" t="n">
        <v>40</v>
      </c>
      <c r="H15" s="22" t="n">
        <v>30</v>
      </c>
      <c r="I15" s="22" t="n">
        <v>25</v>
      </c>
      <c r="J15" s="22" t="n">
        <v>30</v>
      </c>
      <c r="K15" s="22" t="n">
        <v>35</v>
      </c>
      <c r="L15" s="22" t="n">
        <v>25</v>
      </c>
      <c r="M15" s="22" t="n">
        <v>20</v>
      </c>
      <c r="N15" s="22" t="n">
        <v>140</v>
      </c>
      <c r="O15" s="22" t="n">
        <v>15</v>
      </c>
      <c r="P15" s="22" t="n">
        <v>150</v>
      </c>
      <c r="Q15" s="22" t="n"/>
      <c r="R15" s="22" t="n"/>
      <c r="S15" s="22" t="n"/>
      <c r="T15" s="22" t="n"/>
      <c r="U15" s="10">
        <f>IF(OR(NOT(ISNUMBER(C15)),D15=""),"",C15-D15)</f>
        <v/>
      </c>
      <c r="V15" s="18">
        <f>IF(AND(B15="",C15="",SUMPRODUCT((E15:T15&lt;&gt;"")*1)=0),"",IF(NOT(ISNUMBER(B15)),"Needs a date",IF(SUMPRODUCT((E15:T15&lt;&gt;"")*(1-ISNUMBER(E15:T15)))&gt;0,"Amount not a number",IF(SUMPRODUCT((E$5:T$5="")*(E15:T15&lt;&gt;""))&gt;0,"Amount under no envelope",IF(COUNTIF(E15:T15,"&lt;0")&gt;0,"Amount below zero",IF(AND(ISNUMBER(C15),N(D15)&gt;C15),"More than the paycheck",""))))))</f>
        <v/>
      </c>
      <c r="W15" s="1">
        <f>IF(ISNUMBER(B15),INT(B15),0)</f>
        <v/>
      </c>
    </row>
    <row r="16">
      <c r="A16" s="1" t="n"/>
      <c r="B16" s="21" t="n">
        <v>46129</v>
      </c>
      <c r="C16" s="22" t="n">
        <v>1480</v>
      </c>
      <c r="D16" s="12">
        <f>IF(AND(B16="",SUMPRODUCT((E16:T16&lt;&gt;"")*1)=0),"",SUMPRODUCT((E$5:T$5&lt;&gt;"")*1,E16:T16))</f>
        <v/>
      </c>
      <c r="E16" s="22" t="n">
        <v>180</v>
      </c>
      <c r="F16" s="22" t="n">
        <v>60</v>
      </c>
      <c r="G16" s="22" t="n">
        <v>40</v>
      </c>
      <c r="H16" s="22" t="n">
        <v>30</v>
      </c>
      <c r="I16" s="22" t="n">
        <v>25</v>
      </c>
      <c r="J16" s="22" t="n">
        <v>30</v>
      </c>
      <c r="K16" s="22" t="n">
        <v>35</v>
      </c>
      <c r="L16" s="22" t="n">
        <v>25</v>
      </c>
      <c r="M16" s="22" t="n">
        <v>20</v>
      </c>
      <c r="N16" s="22" t="n">
        <v>40</v>
      </c>
      <c r="O16" s="22" t="n">
        <v>15</v>
      </c>
      <c r="P16" s="22" t="n">
        <v>50</v>
      </c>
      <c r="Q16" s="22" t="n"/>
      <c r="R16" s="22" t="n"/>
      <c r="S16" s="22" t="n"/>
      <c r="T16" s="22" t="n"/>
      <c r="U16" s="10">
        <f>IF(OR(NOT(ISNUMBER(C16)),D16=""),"",C16-D16)</f>
        <v/>
      </c>
      <c r="V16" s="18">
        <f>IF(AND(B16="",C16="",SUMPRODUCT((E16:T16&lt;&gt;"")*1)=0),"",IF(NOT(ISNUMBER(B16)),"Needs a date",IF(SUMPRODUCT((E16:T16&lt;&gt;"")*(1-ISNUMBER(E16:T16)))&gt;0,"Amount not a number",IF(SUMPRODUCT((E$5:T$5="")*(E16:T16&lt;&gt;""))&gt;0,"Amount under no envelope",IF(COUNTIF(E16:T16,"&lt;0")&gt;0,"Amount below zero",IF(AND(ISNUMBER(C16),N(D16)&gt;C16),"More than the paycheck",""))))))</f>
        <v/>
      </c>
      <c r="W16" s="1">
        <f>IF(ISNUMBER(B16),INT(B16),0)</f>
        <v/>
      </c>
    </row>
    <row r="17">
      <c r="A17" s="1" t="n"/>
      <c r="B17" s="21" t="n">
        <v>46143</v>
      </c>
      <c r="C17" s="22" t="n">
        <v>1480</v>
      </c>
      <c r="D17" s="12">
        <f>IF(AND(B17="",SUMPRODUCT((E17:T17&lt;&gt;"")*1)=0),"",SUMPRODUCT((E$5:T$5&lt;&gt;"")*1,E17:T17))</f>
        <v/>
      </c>
      <c r="E17" s="22" t="n">
        <v>180</v>
      </c>
      <c r="F17" s="22" t="n">
        <v>60</v>
      </c>
      <c r="G17" s="22" t="n">
        <v>40</v>
      </c>
      <c r="H17" s="22" t="n">
        <v>30</v>
      </c>
      <c r="I17" s="22" t="n">
        <v>25</v>
      </c>
      <c r="J17" s="22" t="n">
        <v>30</v>
      </c>
      <c r="K17" s="22" t="n">
        <v>35</v>
      </c>
      <c r="L17" s="22" t="n">
        <v>25</v>
      </c>
      <c r="M17" s="22" t="n">
        <v>20</v>
      </c>
      <c r="N17" s="22" t="n">
        <v>40</v>
      </c>
      <c r="O17" s="22" t="n">
        <v>15</v>
      </c>
      <c r="P17" s="22" t="n">
        <v>50</v>
      </c>
      <c r="Q17" s="22" t="n"/>
      <c r="R17" s="22" t="n"/>
      <c r="S17" s="22" t="n"/>
      <c r="T17" s="22" t="n"/>
      <c r="U17" s="10">
        <f>IF(OR(NOT(ISNUMBER(C17)),D17=""),"",C17-D17)</f>
        <v/>
      </c>
      <c r="V17" s="18">
        <f>IF(AND(B17="",C17="",SUMPRODUCT((E17:T17&lt;&gt;"")*1)=0),"",IF(NOT(ISNUMBER(B17)),"Needs a date",IF(SUMPRODUCT((E17:T17&lt;&gt;"")*(1-ISNUMBER(E17:T17)))&gt;0,"Amount not a number",IF(SUMPRODUCT((E$5:T$5="")*(E17:T17&lt;&gt;""))&gt;0,"Amount under no envelope",IF(COUNTIF(E17:T17,"&lt;0")&gt;0,"Amount below zero",IF(AND(ISNUMBER(C17),N(D17)&gt;C17),"More than the paycheck",""))))))</f>
        <v/>
      </c>
      <c r="W17" s="1">
        <f>IF(ISNUMBER(B17),INT(B17),0)</f>
        <v/>
      </c>
    </row>
    <row r="18">
      <c r="A18" s="1" t="n"/>
      <c r="B18" s="21" t="n">
        <v>46157</v>
      </c>
      <c r="C18" s="22" t="n">
        <v>1480</v>
      </c>
      <c r="D18" s="12">
        <f>IF(AND(B18="",SUMPRODUCT((E18:T18&lt;&gt;"")*1)=0),"",SUMPRODUCT((E$5:T$5&lt;&gt;"")*1,E18:T18))</f>
        <v/>
      </c>
      <c r="E18" s="22" t="n">
        <v>180</v>
      </c>
      <c r="F18" s="22" t="n">
        <v>60</v>
      </c>
      <c r="G18" s="22" t="n">
        <v>40</v>
      </c>
      <c r="H18" s="22" t="n">
        <v>30</v>
      </c>
      <c r="I18" s="22" t="n">
        <v>25</v>
      </c>
      <c r="J18" s="22" t="n">
        <v>30</v>
      </c>
      <c r="K18" s="22" t="n">
        <v>35</v>
      </c>
      <c r="L18" s="22" t="n">
        <v>25</v>
      </c>
      <c r="M18" s="22" t="n">
        <v>20</v>
      </c>
      <c r="N18" s="22" t="n">
        <v>40</v>
      </c>
      <c r="O18" s="22" t="n">
        <v>15</v>
      </c>
      <c r="P18" s="22" t="n">
        <v>50</v>
      </c>
      <c r="Q18" s="22" t="n"/>
      <c r="R18" s="22" t="n"/>
      <c r="S18" s="22" t="n"/>
      <c r="T18" s="22" t="n"/>
      <c r="U18" s="10">
        <f>IF(OR(NOT(ISNUMBER(C18)),D18=""),"",C18-D18)</f>
        <v/>
      </c>
      <c r="V18" s="18">
        <f>IF(AND(B18="",C18="",SUMPRODUCT((E18:T18&lt;&gt;"")*1)=0),"",IF(NOT(ISNUMBER(B18)),"Needs a date",IF(SUMPRODUCT((E18:T18&lt;&gt;"")*(1-ISNUMBER(E18:T18)))&gt;0,"Amount not a number",IF(SUMPRODUCT((E$5:T$5="")*(E18:T18&lt;&gt;""))&gt;0,"Amount under no envelope",IF(COUNTIF(E18:T18,"&lt;0")&gt;0,"Amount below zero",IF(AND(ISNUMBER(C18),N(D18)&gt;C18),"More than the paycheck",""))))))</f>
        <v/>
      </c>
      <c r="W18" s="1">
        <f>IF(ISNUMBER(B18),INT(B18),0)</f>
        <v/>
      </c>
    </row>
    <row r="19">
      <c r="A19" s="1" t="n"/>
      <c r="B19" s="21" t="n">
        <v>46171</v>
      </c>
      <c r="C19" s="22" t="n">
        <v>1480</v>
      </c>
      <c r="D19" s="12">
        <f>IF(AND(B19="",SUMPRODUCT((E19:T19&lt;&gt;"")*1)=0),"",SUMPRODUCT((E$5:T$5&lt;&gt;"")*1,E19:T19))</f>
        <v/>
      </c>
      <c r="E19" s="22" t="n">
        <v>180</v>
      </c>
      <c r="F19" s="22" t="n">
        <v>60</v>
      </c>
      <c r="G19" s="22" t="n">
        <v>40</v>
      </c>
      <c r="H19" s="22" t="n">
        <v>30</v>
      </c>
      <c r="I19" s="22" t="n">
        <v>25</v>
      </c>
      <c r="J19" s="22" t="n">
        <v>30</v>
      </c>
      <c r="K19" s="22" t="n">
        <v>35</v>
      </c>
      <c r="L19" s="22" t="n">
        <v>25</v>
      </c>
      <c r="M19" s="22" t="n">
        <v>20</v>
      </c>
      <c r="N19" s="22" t="n">
        <v>40</v>
      </c>
      <c r="O19" s="22" t="n">
        <v>15</v>
      </c>
      <c r="P19" s="22" t="n">
        <v>50</v>
      </c>
      <c r="Q19" s="22" t="n"/>
      <c r="R19" s="22" t="n"/>
      <c r="S19" s="22" t="n"/>
      <c r="T19" s="22" t="n"/>
      <c r="U19" s="10">
        <f>IF(OR(NOT(ISNUMBER(C19)),D19=""),"",C19-D19)</f>
        <v/>
      </c>
      <c r="V19" s="18">
        <f>IF(AND(B19="",C19="",SUMPRODUCT((E19:T19&lt;&gt;"")*1)=0),"",IF(NOT(ISNUMBER(B19)),"Needs a date",IF(SUMPRODUCT((E19:T19&lt;&gt;"")*(1-ISNUMBER(E19:T19)))&gt;0,"Amount not a number",IF(SUMPRODUCT((E$5:T$5="")*(E19:T19&lt;&gt;""))&gt;0,"Amount under no envelope",IF(COUNTIF(E19:T19,"&lt;0")&gt;0,"Amount below zero",IF(AND(ISNUMBER(C19),N(D19)&gt;C19),"More than the paycheck",""))))))</f>
        <v/>
      </c>
      <c r="W19" s="1">
        <f>IF(ISNUMBER(B19),INT(B19),0)</f>
        <v/>
      </c>
    </row>
    <row r="20">
      <c r="A20" s="1" t="n"/>
      <c r="B20" s="21" t="n">
        <v>46185</v>
      </c>
      <c r="C20" s="22" t="n">
        <v>1480</v>
      </c>
      <c r="D20" s="12">
        <f>IF(AND(B20="",SUMPRODUCT((E20:T20&lt;&gt;"")*1)=0),"",SUMPRODUCT((E$5:T$5&lt;&gt;"")*1,E20:T20))</f>
        <v/>
      </c>
      <c r="E20" s="22" t="n">
        <v>180</v>
      </c>
      <c r="F20" s="22" t="n">
        <v>60</v>
      </c>
      <c r="G20" s="22" t="n">
        <v>20</v>
      </c>
      <c r="H20" s="22" t="n">
        <v>15</v>
      </c>
      <c r="I20" s="22" t="n">
        <v>25</v>
      </c>
      <c r="J20" s="22" t="n">
        <v>30</v>
      </c>
      <c r="K20" s="22" t="n">
        <v>35</v>
      </c>
      <c r="L20" s="22" t="n">
        <v>25</v>
      </c>
      <c r="M20" s="22" t="n">
        <v>20</v>
      </c>
      <c r="N20" s="22" t="n">
        <v>40</v>
      </c>
      <c r="O20" s="22" t="n">
        <v>15</v>
      </c>
      <c r="P20" s="22" t="n">
        <v>50</v>
      </c>
      <c r="Q20" s="22" t="n"/>
      <c r="R20" s="22" t="n"/>
      <c r="S20" s="22" t="n"/>
      <c r="T20" s="22" t="n"/>
      <c r="U20" s="10">
        <f>IF(OR(NOT(ISNUMBER(C20)),D20=""),"",C20-D20)</f>
        <v/>
      </c>
      <c r="V20" s="18">
        <f>IF(AND(B20="",C20="",SUMPRODUCT((E20:T20&lt;&gt;"")*1)=0),"",IF(NOT(ISNUMBER(B20)),"Needs a date",IF(SUMPRODUCT((E20:T20&lt;&gt;"")*(1-ISNUMBER(E20:T20)))&gt;0,"Amount not a number",IF(SUMPRODUCT((E$5:T$5="")*(E20:T20&lt;&gt;""))&gt;0,"Amount under no envelope",IF(COUNTIF(E20:T20,"&lt;0")&gt;0,"Amount below zero",IF(AND(ISNUMBER(C20),N(D20)&gt;C20),"More than the paycheck",""))))))</f>
        <v/>
      </c>
      <c r="W20" s="1">
        <f>IF(ISNUMBER(B20),INT(B20),0)</f>
        <v/>
      </c>
    </row>
    <row r="21">
      <c r="A21" s="1" t="n"/>
      <c r="B21" s="21" t="n">
        <v>46199</v>
      </c>
      <c r="C21" s="22" t="n">
        <v>1480</v>
      </c>
      <c r="D21" s="12">
        <f>IF(AND(B21="",SUMPRODUCT((E21:T21&lt;&gt;"")*1)=0),"",SUMPRODUCT((E$5:T$5&lt;&gt;"")*1,E21:T21))</f>
        <v/>
      </c>
      <c r="E21" s="22" t="n">
        <v>180</v>
      </c>
      <c r="F21" s="22" t="n">
        <v>60</v>
      </c>
      <c r="G21" s="22" t="n">
        <v>40</v>
      </c>
      <c r="H21" s="22" t="n">
        <v>30</v>
      </c>
      <c r="I21" s="22" t="n">
        <v>25</v>
      </c>
      <c r="J21" s="22" t="n">
        <v>30</v>
      </c>
      <c r="K21" s="22" t="n">
        <v>35</v>
      </c>
      <c r="L21" s="22" t="n">
        <v>25</v>
      </c>
      <c r="M21" s="22" t="n">
        <v>20</v>
      </c>
      <c r="N21" s="22" t="n">
        <v>40</v>
      </c>
      <c r="O21" s="22" t="n">
        <v>15</v>
      </c>
      <c r="P21" s="22" t="n">
        <v>50</v>
      </c>
      <c r="Q21" s="22" t="n"/>
      <c r="R21" s="22" t="n"/>
      <c r="S21" s="22" t="n"/>
      <c r="T21" s="22" t="n"/>
      <c r="U21" s="10">
        <f>IF(OR(NOT(ISNUMBER(C21)),D21=""),"",C21-D21)</f>
        <v/>
      </c>
      <c r="V21" s="18">
        <f>IF(AND(B21="",C21="",SUMPRODUCT((E21:T21&lt;&gt;"")*1)=0),"",IF(NOT(ISNUMBER(B21)),"Needs a date",IF(SUMPRODUCT((E21:T21&lt;&gt;"")*(1-ISNUMBER(E21:T21)))&gt;0,"Amount not a number",IF(SUMPRODUCT((E$5:T$5="")*(E21:T21&lt;&gt;""))&gt;0,"Amount under no envelope",IF(COUNTIF(E21:T21,"&lt;0")&gt;0,"Amount below zero",IF(AND(ISNUMBER(C21),N(D21)&gt;C21),"More than the paycheck",""))))))</f>
        <v/>
      </c>
      <c r="W21" s="1">
        <f>IF(ISNUMBER(B21),INT(B21),0)</f>
        <v/>
      </c>
    </row>
    <row r="22">
      <c r="A22" s="1" t="n"/>
      <c r="B22" s="21" t="n">
        <v>46213</v>
      </c>
      <c r="C22" s="22" t="n">
        <v>1480</v>
      </c>
      <c r="D22" s="12">
        <f>IF(AND(B22="",SUMPRODUCT((E22:T22&lt;&gt;"")*1)=0),"",SUMPRODUCT((E$5:T$5&lt;&gt;"")*1,E22:T22))</f>
        <v/>
      </c>
      <c r="E22" s="22" t="n">
        <v>180</v>
      </c>
      <c r="F22" s="22" t="n">
        <v>60</v>
      </c>
      <c r="G22" s="22" t="n">
        <v>40</v>
      </c>
      <c r="H22" s="22" t="n">
        <v>30</v>
      </c>
      <c r="I22" s="22" t="n">
        <v>25</v>
      </c>
      <c r="J22" s="22" t="n">
        <v>30</v>
      </c>
      <c r="K22" s="22" t="n">
        <v>35</v>
      </c>
      <c r="L22" s="22" t="n">
        <v>25</v>
      </c>
      <c r="M22" s="22" t="n">
        <v>20</v>
      </c>
      <c r="N22" s="22" t="n">
        <v>40</v>
      </c>
      <c r="O22" s="22" t="n">
        <v>15</v>
      </c>
      <c r="P22" s="22" t="n">
        <v>50</v>
      </c>
      <c r="Q22" s="22" t="n"/>
      <c r="R22" s="22" t="n"/>
      <c r="S22" s="22" t="n"/>
      <c r="T22" s="22" t="n"/>
      <c r="U22" s="10">
        <f>IF(OR(NOT(ISNUMBER(C22)),D22=""),"",C22-D22)</f>
        <v/>
      </c>
      <c r="V22" s="18">
        <f>IF(AND(B22="",C22="",SUMPRODUCT((E22:T22&lt;&gt;"")*1)=0),"",IF(NOT(ISNUMBER(B22)),"Needs a date",IF(SUMPRODUCT((E22:T22&lt;&gt;"")*(1-ISNUMBER(E22:T22)))&gt;0,"Amount not a number",IF(SUMPRODUCT((E$5:T$5="")*(E22:T22&lt;&gt;""))&gt;0,"Amount under no envelope",IF(COUNTIF(E22:T22,"&lt;0")&gt;0,"Amount below zero",IF(AND(ISNUMBER(C22),N(D22)&gt;C22),"More than the paycheck",""))))))</f>
        <v/>
      </c>
      <c r="W22" s="1">
        <f>IF(ISNUMBER(B22),INT(B22),0)</f>
        <v/>
      </c>
    </row>
    <row r="23">
      <c r="A23" s="1" t="n"/>
      <c r="B23" s="21" t="n">
        <v>46227</v>
      </c>
      <c r="C23" s="22" t="n">
        <v>1480</v>
      </c>
      <c r="D23" s="12">
        <f>IF(AND(B23="",SUMPRODUCT((E23:T23&lt;&gt;"")*1)=0),"",SUMPRODUCT((E$5:T$5&lt;&gt;"")*1,E23:T23))</f>
        <v/>
      </c>
      <c r="E23" s="22" t="n">
        <v>180</v>
      </c>
      <c r="F23" s="22" t="n">
        <v>60</v>
      </c>
      <c r="G23" s="22" t="n">
        <v>40</v>
      </c>
      <c r="H23" s="22" t="n">
        <v>30</v>
      </c>
      <c r="I23" s="22" t="n">
        <v>25</v>
      </c>
      <c r="J23" s="22" t="n">
        <v>30</v>
      </c>
      <c r="K23" s="22" t="n">
        <v>35</v>
      </c>
      <c r="L23" s="22" t="n">
        <v>25</v>
      </c>
      <c r="M23" s="22" t="n">
        <v>20</v>
      </c>
      <c r="N23" s="22" t="n">
        <v>40</v>
      </c>
      <c r="O23" s="22" t="n">
        <v>15</v>
      </c>
      <c r="P23" s="22" t="n">
        <v>50</v>
      </c>
      <c r="Q23" s="22" t="n"/>
      <c r="R23" s="22" t="n"/>
      <c r="S23" s="22" t="n"/>
      <c r="T23" s="22" t="n"/>
      <c r="U23" s="10">
        <f>IF(OR(NOT(ISNUMBER(C23)),D23=""),"",C23-D23)</f>
        <v/>
      </c>
      <c r="V23" s="18">
        <f>IF(AND(B23="",C23="",SUMPRODUCT((E23:T23&lt;&gt;"")*1)=0),"",IF(NOT(ISNUMBER(B23)),"Needs a date",IF(SUMPRODUCT((E23:T23&lt;&gt;"")*(1-ISNUMBER(E23:T23)))&gt;0,"Amount not a number",IF(SUMPRODUCT((E$5:T$5="")*(E23:T23&lt;&gt;""))&gt;0,"Amount under no envelope",IF(COUNTIF(E23:T23,"&lt;0")&gt;0,"Amount below zero",IF(AND(ISNUMBER(C23),N(D23)&gt;C23),"More than the paycheck",""))))))</f>
        <v/>
      </c>
      <c r="W23" s="1">
        <f>IF(ISNUMBER(B23),INT(B23),0)</f>
        <v/>
      </c>
    </row>
    <row r="24">
      <c r="A24" s="1" t="n"/>
      <c r="B24" s="21" t="n">
        <v>46241</v>
      </c>
      <c r="C24" s="22" t="n">
        <v>1480</v>
      </c>
      <c r="D24" s="12">
        <f>IF(AND(B24="",SUMPRODUCT((E24:T24&lt;&gt;"")*1)=0),"",SUMPRODUCT((E$5:T$5&lt;&gt;"")*1,E24:T24))</f>
        <v/>
      </c>
      <c r="E24" s="22" t="n">
        <v>180</v>
      </c>
      <c r="F24" s="22" t="n">
        <v>60</v>
      </c>
      <c r="G24" s="22" t="n">
        <v>40</v>
      </c>
      <c r="H24" s="22" t="n">
        <v>30</v>
      </c>
      <c r="I24" s="22" t="n">
        <v>25</v>
      </c>
      <c r="J24" s="22" t="n">
        <v>30</v>
      </c>
      <c r="K24" s="22" t="n">
        <v>35</v>
      </c>
      <c r="L24" s="22" t="n">
        <v>25</v>
      </c>
      <c r="M24" s="22" t="n">
        <v>20</v>
      </c>
      <c r="N24" s="22" t="n">
        <v>40</v>
      </c>
      <c r="O24" s="22" t="n">
        <v>15</v>
      </c>
      <c r="P24" s="22" t="n">
        <v>50</v>
      </c>
      <c r="Q24" s="22" t="n"/>
      <c r="R24" s="22" t="n"/>
      <c r="S24" s="22" t="n"/>
      <c r="T24" s="22" t="n"/>
      <c r="U24" s="10">
        <f>IF(OR(NOT(ISNUMBER(C24)),D24=""),"",C24-D24)</f>
        <v/>
      </c>
      <c r="V24" s="18">
        <f>IF(AND(B24="",C24="",SUMPRODUCT((E24:T24&lt;&gt;"")*1)=0),"",IF(NOT(ISNUMBER(B24)),"Needs a date",IF(SUMPRODUCT((E24:T24&lt;&gt;"")*(1-ISNUMBER(E24:T24)))&gt;0,"Amount not a number",IF(SUMPRODUCT((E$5:T$5="")*(E24:T24&lt;&gt;""))&gt;0,"Amount under no envelope",IF(COUNTIF(E24:T24,"&lt;0")&gt;0,"Amount below zero",IF(AND(ISNUMBER(C24),N(D24)&gt;C24),"More than the paycheck",""))))))</f>
        <v/>
      </c>
      <c r="W24" s="1">
        <f>IF(ISNUMBER(B24),INT(B24),0)</f>
        <v/>
      </c>
    </row>
    <row r="25">
      <c r="A25" s="1" t="n"/>
      <c r="B25" s="21" t="n">
        <v>46255</v>
      </c>
      <c r="C25" s="22" t="n">
        <v>1480</v>
      </c>
      <c r="D25" s="12">
        <f>IF(AND(B25="",SUMPRODUCT((E25:T25&lt;&gt;"")*1)=0),"",SUMPRODUCT((E$5:T$5&lt;&gt;"")*1,E25:T25))</f>
        <v/>
      </c>
      <c r="E25" s="22" t="n">
        <v>180</v>
      </c>
      <c r="F25" s="22" t="n">
        <v>60</v>
      </c>
      <c r="G25" s="22" t="n">
        <v>40</v>
      </c>
      <c r="H25" s="22" t="n">
        <v>30</v>
      </c>
      <c r="I25" s="22" t="n">
        <v>25</v>
      </c>
      <c r="J25" s="22" t="n">
        <v>30</v>
      </c>
      <c r="K25" s="22" t="n">
        <v>35</v>
      </c>
      <c r="L25" s="22" t="n">
        <v>25</v>
      </c>
      <c r="M25" s="22" t="n">
        <v>20</v>
      </c>
      <c r="N25" s="22" t="n">
        <v>40</v>
      </c>
      <c r="O25" s="22" t="n">
        <v>15</v>
      </c>
      <c r="P25" s="22" t="n">
        <v>50</v>
      </c>
      <c r="Q25" s="22" t="n"/>
      <c r="R25" s="22" t="n"/>
      <c r="S25" s="22" t="n"/>
      <c r="T25" s="22" t="n"/>
      <c r="U25" s="10">
        <f>IF(OR(NOT(ISNUMBER(C25)),D25=""),"",C25-D25)</f>
        <v/>
      </c>
      <c r="V25" s="18">
        <f>IF(AND(B25="",C25="",SUMPRODUCT((E25:T25&lt;&gt;"")*1)=0),"",IF(NOT(ISNUMBER(B25)),"Needs a date",IF(SUMPRODUCT((E25:T25&lt;&gt;"")*(1-ISNUMBER(E25:T25)))&gt;0,"Amount not a number",IF(SUMPRODUCT((E$5:T$5="")*(E25:T25&lt;&gt;""))&gt;0,"Amount under no envelope",IF(COUNTIF(E25:T25,"&lt;0")&gt;0,"Amount below zero",IF(AND(ISNUMBER(C25),N(D25)&gt;C25),"More than the paycheck",""))))))</f>
        <v/>
      </c>
      <c r="W25" s="1">
        <f>IF(ISNUMBER(B25),INT(B25),0)</f>
        <v/>
      </c>
    </row>
    <row r="26">
      <c r="A26" s="1" t="n"/>
      <c r="B26" s="21" t="n">
        <v>46269</v>
      </c>
      <c r="C26" s="22" t="n">
        <v>1480</v>
      </c>
      <c r="D26" s="12">
        <f>IF(AND(B26="",SUMPRODUCT((E26:T26&lt;&gt;"")*1)=0),"",SUMPRODUCT((E$5:T$5&lt;&gt;"")*1,E26:T26))</f>
        <v/>
      </c>
      <c r="E26" s="22" t="n">
        <v>180</v>
      </c>
      <c r="F26" s="22" t="n">
        <v>60</v>
      </c>
      <c r="G26" s="22" t="n">
        <v>40</v>
      </c>
      <c r="H26" s="22" t="n">
        <v>30</v>
      </c>
      <c r="I26" s="22" t="n">
        <v>25</v>
      </c>
      <c r="J26" s="22" t="n">
        <v>30</v>
      </c>
      <c r="K26" s="22" t="n">
        <v>35</v>
      </c>
      <c r="L26" s="22" t="n">
        <v>25</v>
      </c>
      <c r="M26" s="22" t="n">
        <v>20</v>
      </c>
      <c r="N26" s="22" t="n">
        <v>40</v>
      </c>
      <c r="O26" s="22" t="n">
        <v>15</v>
      </c>
      <c r="P26" s="22" t="n">
        <v>50</v>
      </c>
      <c r="Q26" s="22" t="n"/>
      <c r="R26" s="22" t="n"/>
      <c r="S26" s="22" t="n"/>
      <c r="T26" s="22" t="n"/>
      <c r="U26" s="10">
        <f>IF(OR(NOT(ISNUMBER(C26)),D26=""),"",C26-D26)</f>
        <v/>
      </c>
      <c r="V26" s="18">
        <f>IF(AND(B26="",C26="",SUMPRODUCT((E26:T26&lt;&gt;"")*1)=0),"",IF(NOT(ISNUMBER(B26)),"Needs a date",IF(SUMPRODUCT((E26:T26&lt;&gt;"")*(1-ISNUMBER(E26:T26)))&gt;0,"Amount not a number",IF(SUMPRODUCT((E$5:T$5="")*(E26:T26&lt;&gt;""))&gt;0,"Amount under no envelope",IF(COUNTIF(E26:T26,"&lt;0")&gt;0,"Amount below zero",IF(AND(ISNUMBER(C26),N(D26)&gt;C26),"More than the paycheck",""))))))</f>
        <v/>
      </c>
      <c r="W26" s="1">
        <f>IF(ISNUMBER(B26),INT(B26),0)</f>
        <v/>
      </c>
    </row>
    <row r="27">
      <c r="A27" s="1" t="n"/>
      <c r="B27" s="21" t="n">
        <v>46283</v>
      </c>
      <c r="C27" s="22" t="n">
        <v>1480</v>
      </c>
      <c r="D27" s="12">
        <f>IF(AND(B27="",SUMPRODUCT((E27:T27&lt;&gt;"")*1)=0),"",SUMPRODUCT((E$5:T$5&lt;&gt;"")*1,E27:T27))</f>
        <v/>
      </c>
      <c r="E27" s="22" t="n">
        <v>180</v>
      </c>
      <c r="F27" s="22" t="n">
        <v>62.5</v>
      </c>
      <c r="G27" s="22" t="n">
        <v>40</v>
      </c>
      <c r="H27" s="22" t="n">
        <v>33</v>
      </c>
      <c r="I27" s="22" t="n">
        <v>25</v>
      </c>
      <c r="J27" s="22" t="n">
        <v>30</v>
      </c>
      <c r="K27" s="22" t="n">
        <v>35</v>
      </c>
      <c r="L27" s="22" t="n">
        <v>25</v>
      </c>
      <c r="M27" s="22" t="n">
        <v>20</v>
      </c>
      <c r="N27" s="22" t="n">
        <v>40</v>
      </c>
      <c r="O27" s="22" t="n">
        <v>15</v>
      </c>
      <c r="P27" s="22" t="n">
        <v>50</v>
      </c>
      <c r="Q27" s="22" t="n"/>
      <c r="R27" s="22" t="n"/>
      <c r="S27" s="22" t="n"/>
      <c r="T27" s="22" t="n"/>
      <c r="U27" s="10">
        <f>IF(OR(NOT(ISNUMBER(C27)),D27=""),"",C27-D27)</f>
        <v/>
      </c>
      <c r="V27" s="18">
        <f>IF(AND(B27="",C27="",SUMPRODUCT((E27:T27&lt;&gt;"")*1)=0),"",IF(NOT(ISNUMBER(B27)),"Needs a date",IF(SUMPRODUCT((E27:T27&lt;&gt;"")*(1-ISNUMBER(E27:T27)))&gt;0,"Amount not a number",IF(SUMPRODUCT((E$5:T$5="")*(E27:T27&lt;&gt;""))&gt;0,"Amount under no envelope",IF(COUNTIF(E27:T27,"&lt;0")&gt;0,"Amount below zero",IF(AND(ISNUMBER(C27),N(D27)&gt;C27),"More than the paycheck",""))))))</f>
        <v/>
      </c>
      <c r="W27" s="1">
        <f>IF(ISNUMBER(B27),INT(B27),0)</f>
        <v/>
      </c>
    </row>
    <row r="28">
      <c r="A28" s="1" t="n"/>
      <c r="B28" s="21" t="n"/>
      <c r="C28" s="22" t="n"/>
      <c r="D28" s="12">
        <f>IF(AND(B28="",SUMPRODUCT((E28:T28&lt;&gt;"")*1)=0),"",SUMPRODUCT((E$5:T$5&lt;&gt;"")*1,E28:T28))</f>
        <v/>
      </c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10">
        <f>IF(OR(NOT(ISNUMBER(C28)),D28=""),"",C28-D28)</f>
        <v/>
      </c>
      <c r="V28" s="18">
        <f>IF(AND(B28="",C28="",SUMPRODUCT((E28:T28&lt;&gt;"")*1)=0),"",IF(NOT(ISNUMBER(B28)),"Needs a date",IF(SUMPRODUCT((E28:T28&lt;&gt;"")*(1-ISNUMBER(E28:T28)))&gt;0,"Amount not a number",IF(SUMPRODUCT((E$5:T$5="")*(E28:T28&lt;&gt;""))&gt;0,"Amount under no envelope",IF(COUNTIF(E28:T28,"&lt;0")&gt;0,"Amount below zero",IF(AND(ISNUMBER(C28),N(D28)&gt;C28),"More than the paycheck",""))))))</f>
        <v/>
      </c>
      <c r="W28" s="1">
        <f>IF(ISNUMBER(B28),INT(B28),0)</f>
        <v/>
      </c>
    </row>
    <row r="29">
      <c r="A29" s="1" t="n"/>
      <c r="B29" s="21" t="n"/>
      <c r="C29" s="22" t="n"/>
      <c r="D29" s="12">
        <f>IF(AND(B29="",SUMPRODUCT((E29:T29&lt;&gt;"")*1)=0),"",SUMPRODUCT((E$5:T$5&lt;&gt;"")*1,E29:T29))</f>
        <v/>
      </c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10">
        <f>IF(OR(NOT(ISNUMBER(C29)),D29=""),"",C29-D29)</f>
        <v/>
      </c>
      <c r="V29" s="18">
        <f>IF(AND(B29="",C29="",SUMPRODUCT((E29:T29&lt;&gt;"")*1)=0),"",IF(NOT(ISNUMBER(B29)),"Needs a date",IF(SUMPRODUCT((E29:T29&lt;&gt;"")*(1-ISNUMBER(E29:T29)))&gt;0,"Amount not a number",IF(SUMPRODUCT((E$5:T$5="")*(E29:T29&lt;&gt;""))&gt;0,"Amount under no envelope",IF(COUNTIF(E29:T29,"&lt;0")&gt;0,"Amount below zero",IF(AND(ISNUMBER(C29),N(D29)&gt;C29),"More than the paycheck",""))))))</f>
        <v/>
      </c>
      <c r="W29" s="1">
        <f>IF(ISNUMBER(B29),INT(B29),0)</f>
        <v/>
      </c>
    </row>
    <row r="30">
      <c r="A30" s="1" t="n"/>
      <c r="B30" s="21" t="n"/>
      <c r="C30" s="22" t="n"/>
      <c r="D30" s="12">
        <f>IF(AND(B30="",SUMPRODUCT((E30:T30&lt;&gt;"")*1)=0),"",SUMPRODUCT((E$5:T$5&lt;&gt;"")*1,E30:T30))</f>
        <v/>
      </c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10">
        <f>IF(OR(NOT(ISNUMBER(C30)),D30=""),"",C30-D30)</f>
        <v/>
      </c>
      <c r="V30" s="18">
        <f>IF(AND(B30="",C30="",SUMPRODUCT((E30:T30&lt;&gt;"")*1)=0),"",IF(NOT(ISNUMBER(B30)),"Needs a date",IF(SUMPRODUCT((E30:T30&lt;&gt;"")*(1-ISNUMBER(E30:T30)))&gt;0,"Amount not a number",IF(SUMPRODUCT((E$5:T$5="")*(E30:T30&lt;&gt;""))&gt;0,"Amount under no envelope",IF(COUNTIF(E30:T30,"&lt;0")&gt;0,"Amount below zero",IF(AND(ISNUMBER(C30),N(D30)&gt;C30),"More than the paycheck",""))))))</f>
        <v/>
      </c>
      <c r="W30" s="1">
        <f>IF(ISNUMBER(B30),INT(B30),0)</f>
        <v/>
      </c>
    </row>
    <row r="31">
      <c r="A31" s="1" t="n"/>
      <c r="B31" s="21" t="n"/>
      <c r="C31" s="22" t="n"/>
      <c r="D31" s="12">
        <f>IF(AND(B31="",SUMPRODUCT((E31:T31&lt;&gt;"")*1)=0),"",SUMPRODUCT((E$5:T$5&lt;&gt;"")*1,E31:T31))</f>
        <v/>
      </c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10">
        <f>IF(OR(NOT(ISNUMBER(C31)),D31=""),"",C31-D31)</f>
        <v/>
      </c>
      <c r="V31" s="18">
        <f>IF(AND(B31="",C31="",SUMPRODUCT((E31:T31&lt;&gt;"")*1)=0),"",IF(NOT(ISNUMBER(B31)),"Needs a date",IF(SUMPRODUCT((E31:T31&lt;&gt;"")*(1-ISNUMBER(E31:T31)))&gt;0,"Amount not a number",IF(SUMPRODUCT((E$5:T$5="")*(E31:T31&lt;&gt;""))&gt;0,"Amount under no envelope",IF(COUNTIF(E31:T31,"&lt;0")&gt;0,"Amount below zero",IF(AND(ISNUMBER(C31),N(D31)&gt;C31),"More than the paycheck",""))))))</f>
        <v/>
      </c>
      <c r="W31" s="1">
        <f>IF(ISNUMBER(B31),INT(B31),0)</f>
        <v/>
      </c>
    </row>
    <row r="32">
      <c r="A32" s="1" t="n"/>
      <c r="B32" s="21" t="n"/>
      <c r="C32" s="22" t="n"/>
      <c r="D32" s="12">
        <f>IF(AND(B32="",SUMPRODUCT((E32:T32&lt;&gt;"")*1)=0),"",SUMPRODUCT((E$5:T$5&lt;&gt;"")*1,E32:T32))</f>
        <v/>
      </c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10">
        <f>IF(OR(NOT(ISNUMBER(C32)),D32=""),"",C32-D32)</f>
        <v/>
      </c>
      <c r="V32" s="18">
        <f>IF(AND(B32="",C32="",SUMPRODUCT((E32:T32&lt;&gt;"")*1)=0),"",IF(NOT(ISNUMBER(B32)),"Needs a date",IF(SUMPRODUCT((E32:T32&lt;&gt;"")*(1-ISNUMBER(E32:T32)))&gt;0,"Amount not a number",IF(SUMPRODUCT((E$5:T$5="")*(E32:T32&lt;&gt;""))&gt;0,"Amount under no envelope",IF(COUNTIF(E32:T32,"&lt;0")&gt;0,"Amount below zero",IF(AND(ISNUMBER(C32),N(D32)&gt;C32),"More than the paycheck",""))))))</f>
        <v/>
      </c>
      <c r="W32" s="1">
        <f>IF(ISNUMBER(B32),INT(B32),0)</f>
        <v/>
      </c>
    </row>
    <row r="33">
      <c r="A33" s="1" t="n"/>
      <c r="B33" s="21" t="n"/>
      <c r="C33" s="22" t="n"/>
      <c r="D33" s="12">
        <f>IF(AND(B33="",SUMPRODUCT((E33:T33&lt;&gt;"")*1)=0),"",SUMPRODUCT((E$5:T$5&lt;&gt;"")*1,E33:T33))</f>
        <v/>
      </c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10">
        <f>IF(OR(NOT(ISNUMBER(C33)),D33=""),"",C33-D33)</f>
        <v/>
      </c>
      <c r="V33" s="18">
        <f>IF(AND(B33="",C33="",SUMPRODUCT((E33:T33&lt;&gt;"")*1)=0),"",IF(NOT(ISNUMBER(B33)),"Needs a date",IF(SUMPRODUCT((E33:T33&lt;&gt;"")*(1-ISNUMBER(E33:T33)))&gt;0,"Amount not a number",IF(SUMPRODUCT((E$5:T$5="")*(E33:T33&lt;&gt;""))&gt;0,"Amount under no envelope",IF(COUNTIF(E33:T33,"&lt;0")&gt;0,"Amount below zero",IF(AND(ISNUMBER(C33),N(D33)&gt;C33),"More than the paycheck",""))))))</f>
        <v/>
      </c>
      <c r="W33" s="1">
        <f>IF(ISNUMBER(B33),INT(B33),0)</f>
        <v/>
      </c>
    </row>
    <row r="34">
      <c r="A34" s="1" t="n"/>
      <c r="B34" s="21" t="n"/>
      <c r="C34" s="22" t="n"/>
      <c r="D34" s="12">
        <f>IF(AND(B34="",SUMPRODUCT((E34:T34&lt;&gt;"")*1)=0),"",SUMPRODUCT((E$5:T$5&lt;&gt;"")*1,E34:T34))</f>
        <v/>
      </c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10">
        <f>IF(OR(NOT(ISNUMBER(C34)),D34=""),"",C34-D34)</f>
        <v/>
      </c>
      <c r="V34" s="18">
        <f>IF(AND(B34="",C34="",SUMPRODUCT((E34:T34&lt;&gt;"")*1)=0),"",IF(NOT(ISNUMBER(B34)),"Needs a date",IF(SUMPRODUCT((E34:T34&lt;&gt;"")*(1-ISNUMBER(E34:T34)))&gt;0,"Amount not a number",IF(SUMPRODUCT((E$5:T$5="")*(E34:T34&lt;&gt;""))&gt;0,"Amount under no envelope",IF(COUNTIF(E34:T34,"&lt;0")&gt;0,"Amount below zero",IF(AND(ISNUMBER(C34),N(D34)&gt;C34),"More than the paycheck",""))))))</f>
        <v/>
      </c>
      <c r="W34" s="1">
        <f>IF(ISNUMBER(B34),INT(B34),0)</f>
        <v/>
      </c>
    </row>
    <row r="35">
      <c r="A35" s="1" t="n"/>
      <c r="B35" s="21" t="n"/>
      <c r="C35" s="22" t="n"/>
      <c r="D35" s="12">
        <f>IF(AND(B35="",SUMPRODUCT((E35:T35&lt;&gt;"")*1)=0),"",SUMPRODUCT((E$5:T$5&lt;&gt;"")*1,E35:T35))</f>
        <v/>
      </c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10">
        <f>IF(OR(NOT(ISNUMBER(C35)),D35=""),"",C35-D35)</f>
        <v/>
      </c>
      <c r="V35" s="18">
        <f>IF(AND(B35="",C35="",SUMPRODUCT((E35:T35&lt;&gt;"")*1)=0),"",IF(NOT(ISNUMBER(B35)),"Needs a date",IF(SUMPRODUCT((E35:T35&lt;&gt;"")*(1-ISNUMBER(E35:T35)))&gt;0,"Amount not a number",IF(SUMPRODUCT((E$5:T$5="")*(E35:T35&lt;&gt;""))&gt;0,"Amount under no envelope",IF(COUNTIF(E35:T35,"&lt;0")&gt;0,"Amount below zero",IF(AND(ISNUMBER(C35),N(D35)&gt;C35),"More than the paycheck",""))))))</f>
        <v/>
      </c>
      <c r="W35" s="1">
        <f>IF(ISNUMBER(B35),INT(B35),0)</f>
        <v/>
      </c>
    </row>
    <row r="36">
      <c r="A36" s="1" t="n"/>
      <c r="B36" s="21" t="n"/>
      <c r="C36" s="22" t="n"/>
      <c r="D36" s="12">
        <f>IF(AND(B36="",SUMPRODUCT((E36:T36&lt;&gt;"")*1)=0),"",SUMPRODUCT((E$5:T$5&lt;&gt;"")*1,E36:T36))</f>
        <v/>
      </c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10">
        <f>IF(OR(NOT(ISNUMBER(C36)),D36=""),"",C36-D36)</f>
        <v/>
      </c>
      <c r="V36" s="18">
        <f>IF(AND(B36="",C36="",SUMPRODUCT((E36:T36&lt;&gt;"")*1)=0),"",IF(NOT(ISNUMBER(B36)),"Needs a date",IF(SUMPRODUCT((E36:T36&lt;&gt;"")*(1-ISNUMBER(E36:T36)))&gt;0,"Amount not a number",IF(SUMPRODUCT((E$5:T$5="")*(E36:T36&lt;&gt;""))&gt;0,"Amount under no envelope",IF(COUNTIF(E36:T36,"&lt;0")&gt;0,"Amount below zero",IF(AND(ISNUMBER(C36),N(D36)&gt;C36),"More than the paycheck",""))))))</f>
        <v/>
      </c>
      <c r="W36" s="1">
        <f>IF(ISNUMBER(B36),INT(B36),0)</f>
        <v/>
      </c>
    </row>
    <row r="37">
      <c r="A37" s="1" t="n"/>
      <c r="B37" s="21" t="n"/>
      <c r="C37" s="22" t="n"/>
      <c r="D37" s="12">
        <f>IF(AND(B37="",SUMPRODUCT((E37:T37&lt;&gt;"")*1)=0),"",SUMPRODUCT((E$5:T$5&lt;&gt;"")*1,E37:T37))</f>
        <v/>
      </c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10">
        <f>IF(OR(NOT(ISNUMBER(C37)),D37=""),"",C37-D37)</f>
        <v/>
      </c>
      <c r="V37" s="18">
        <f>IF(AND(B37="",C37="",SUMPRODUCT((E37:T37&lt;&gt;"")*1)=0),"",IF(NOT(ISNUMBER(B37)),"Needs a date",IF(SUMPRODUCT((E37:T37&lt;&gt;"")*(1-ISNUMBER(E37:T37)))&gt;0,"Amount not a number",IF(SUMPRODUCT((E$5:T$5="")*(E37:T37&lt;&gt;""))&gt;0,"Amount under no envelope",IF(COUNTIF(E37:T37,"&lt;0")&gt;0,"Amount below zero",IF(AND(ISNUMBER(C37),N(D37)&gt;C37),"More than the paycheck",""))))))</f>
        <v/>
      </c>
      <c r="W37" s="1">
        <f>IF(ISNUMBER(B37),INT(B37),0)</f>
        <v/>
      </c>
    </row>
    <row r="38">
      <c r="A38" s="1" t="n"/>
      <c r="B38" s="21" t="n"/>
      <c r="C38" s="22" t="n"/>
      <c r="D38" s="12">
        <f>IF(AND(B38="",SUMPRODUCT((E38:T38&lt;&gt;"")*1)=0),"",SUMPRODUCT((E$5:T$5&lt;&gt;"")*1,E38:T38))</f>
        <v/>
      </c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10">
        <f>IF(OR(NOT(ISNUMBER(C38)),D38=""),"",C38-D38)</f>
        <v/>
      </c>
      <c r="V38" s="18">
        <f>IF(AND(B38="",C38="",SUMPRODUCT((E38:T38&lt;&gt;"")*1)=0),"",IF(NOT(ISNUMBER(B38)),"Needs a date",IF(SUMPRODUCT((E38:T38&lt;&gt;"")*(1-ISNUMBER(E38:T38)))&gt;0,"Amount not a number",IF(SUMPRODUCT((E$5:T$5="")*(E38:T38&lt;&gt;""))&gt;0,"Amount under no envelope",IF(COUNTIF(E38:T38,"&lt;0")&gt;0,"Amount below zero",IF(AND(ISNUMBER(C38),N(D38)&gt;C38),"More than the paycheck",""))))))</f>
        <v/>
      </c>
      <c r="W38" s="1">
        <f>IF(ISNUMBER(B38),INT(B38),0)</f>
        <v/>
      </c>
    </row>
    <row r="39">
      <c r="A39" s="1" t="n"/>
      <c r="B39" s="21" t="n"/>
      <c r="C39" s="22" t="n"/>
      <c r="D39" s="12">
        <f>IF(AND(B39="",SUMPRODUCT((E39:T39&lt;&gt;"")*1)=0),"",SUMPRODUCT((E$5:T$5&lt;&gt;"")*1,E39:T39))</f>
        <v/>
      </c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10">
        <f>IF(OR(NOT(ISNUMBER(C39)),D39=""),"",C39-D39)</f>
        <v/>
      </c>
      <c r="V39" s="18">
        <f>IF(AND(B39="",C39="",SUMPRODUCT((E39:T39&lt;&gt;"")*1)=0),"",IF(NOT(ISNUMBER(B39)),"Needs a date",IF(SUMPRODUCT((E39:T39&lt;&gt;"")*(1-ISNUMBER(E39:T39)))&gt;0,"Amount not a number",IF(SUMPRODUCT((E$5:T$5="")*(E39:T39&lt;&gt;""))&gt;0,"Amount under no envelope",IF(COUNTIF(E39:T39,"&lt;0")&gt;0,"Amount below zero",IF(AND(ISNUMBER(C39),N(D39)&gt;C39),"More than the paycheck",""))))))</f>
        <v/>
      </c>
      <c r="W39" s="1">
        <f>IF(ISNUMBER(B39),INT(B39),0)</f>
        <v/>
      </c>
    </row>
    <row r="40">
      <c r="A40" s="1" t="n"/>
      <c r="B40" s="21" t="n"/>
      <c r="C40" s="22" t="n"/>
      <c r="D40" s="12">
        <f>IF(AND(B40="",SUMPRODUCT((E40:T40&lt;&gt;"")*1)=0),"",SUMPRODUCT((E$5:T$5&lt;&gt;"")*1,E40:T40))</f>
        <v/>
      </c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10">
        <f>IF(OR(NOT(ISNUMBER(C40)),D40=""),"",C40-D40)</f>
        <v/>
      </c>
      <c r="V40" s="18">
        <f>IF(AND(B40="",C40="",SUMPRODUCT((E40:T40&lt;&gt;"")*1)=0),"",IF(NOT(ISNUMBER(B40)),"Needs a date",IF(SUMPRODUCT((E40:T40&lt;&gt;"")*(1-ISNUMBER(E40:T40)))&gt;0,"Amount not a number",IF(SUMPRODUCT((E$5:T$5="")*(E40:T40&lt;&gt;""))&gt;0,"Amount under no envelope",IF(COUNTIF(E40:T40,"&lt;0")&gt;0,"Amount below zero",IF(AND(ISNUMBER(C40),N(D40)&gt;C40),"More than the paycheck",""))))))</f>
        <v/>
      </c>
      <c r="W40" s="1">
        <f>IF(ISNUMBER(B40),INT(B40),0)</f>
        <v/>
      </c>
    </row>
    <row r="41">
      <c r="A41" s="1" t="n"/>
      <c r="B41" s="21" t="n"/>
      <c r="C41" s="22" t="n"/>
      <c r="D41" s="12">
        <f>IF(AND(B41="",SUMPRODUCT((E41:T41&lt;&gt;"")*1)=0),"",SUMPRODUCT((E$5:T$5&lt;&gt;"")*1,E41:T41))</f>
        <v/>
      </c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10">
        <f>IF(OR(NOT(ISNUMBER(C41)),D41=""),"",C41-D41)</f>
        <v/>
      </c>
      <c r="V41" s="18">
        <f>IF(AND(B41="",C41="",SUMPRODUCT((E41:T41&lt;&gt;"")*1)=0),"",IF(NOT(ISNUMBER(B41)),"Needs a date",IF(SUMPRODUCT((E41:T41&lt;&gt;"")*(1-ISNUMBER(E41:T41)))&gt;0,"Amount not a number",IF(SUMPRODUCT((E$5:T$5="")*(E41:T41&lt;&gt;""))&gt;0,"Amount under no envelope",IF(COUNTIF(E41:T41,"&lt;0")&gt;0,"Amount below zero",IF(AND(ISNUMBER(C41),N(D41)&gt;C41),"More than the paycheck",""))))))</f>
        <v/>
      </c>
      <c r="W41" s="1">
        <f>IF(ISNUMBER(B41),INT(B41),0)</f>
        <v/>
      </c>
    </row>
    <row r="42">
      <c r="A42" s="1" t="n"/>
      <c r="B42" s="21" t="n"/>
      <c r="C42" s="22" t="n"/>
      <c r="D42" s="12">
        <f>IF(AND(B42="",SUMPRODUCT((E42:T42&lt;&gt;"")*1)=0),"",SUMPRODUCT((E$5:T$5&lt;&gt;"")*1,E42:T42))</f>
        <v/>
      </c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10">
        <f>IF(OR(NOT(ISNUMBER(C42)),D42=""),"",C42-D42)</f>
        <v/>
      </c>
      <c r="V42" s="18">
        <f>IF(AND(B42="",C42="",SUMPRODUCT((E42:T42&lt;&gt;"")*1)=0),"",IF(NOT(ISNUMBER(B42)),"Needs a date",IF(SUMPRODUCT((E42:T42&lt;&gt;"")*(1-ISNUMBER(E42:T42)))&gt;0,"Amount not a number",IF(SUMPRODUCT((E$5:T$5="")*(E42:T42&lt;&gt;""))&gt;0,"Amount under no envelope",IF(COUNTIF(E42:T42,"&lt;0")&gt;0,"Amount below zero",IF(AND(ISNUMBER(C42),N(D42)&gt;C42),"More than the paycheck",""))))))</f>
        <v/>
      </c>
      <c r="W42" s="1">
        <f>IF(ISNUMBER(B42),INT(B42),0)</f>
        <v/>
      </c>
    </row>
    <row r="43">
      <c r="A43" s="1" t="n"/>
      <c r="B43" s="21" t="n"/>
      <c r="C43" s="22" t="n"/>
      <c r="D43" s="12">
        <f>IF(AND(B43="",SUMPRODUCT((E43:T43&lt;&gt;"")*1)=0),"",SUMPRODUCT((E$5:T$5&lt;&gt;"")*1,E43:T43))</f>
        <v/>
      </c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10">
        <f>IF(OR(NOT(ISNUMBER(C43)),D43=""),"",C43-D43)</f>
        <v/>
      </c>
      <c r="V43" s="18">
        <f>IF(AND(B43="",C43="",SUMPRODUCT((E43:T43&lt;&gt;"")*1)=0),"",IF(NOT(ISNUMBER(B43)),"Needs a date",IF(SUMPRODUCT((E43:T43&lt;&gt;"")*(1-ISNUMBER(E43:T43)))&gt;0,"Amount not a number",IF(SUMPRODUCT((E$5:T$5="")*(E43:T43&lt;&gt;""))&gt;0,"Amount under no envelope",IF(COUNTIF(E43:T43,"&lt;0")&gt;0,"Amount below zero",IF(AND(ISNUMBER(C43),N(D43)&gt;C43),"More than the paycheck",""))))))</f>
        <v/>
      </c>
      <c r="W43" s="1">
        <f>IF(ISNUMBER(B43),INT(B43),0)</f>
        <v/>
      </c>
    </row>
    <row r="44">
      <c r="A44" s="1" t="n"/>
      <c r="B44" s="21" t="n"/>
      <c r="C44" s="22" t="n"/>
      <c r="D44" s="12">
        <f>IF(AND(B44="",SUMPRODUCT((E44:T44&lt;&gt;"")*1)=0),"",SUMPRODUCT((E$5:T$5&lt;&gt;"")*1,E44:T44))</f>
        <v/>
      </c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10">
        <f>IF(OR(NOT(ISNUMBER(C44)),D44=""),"",C44-D44)</f>
        <v/>
      </c>
      <c r="V44" s="18">
        <f>IF(AND(B44="",C44="",SUMPRODUCT((E44:T44&lt;&gt;"")*1)=0),"",IF(NOT(ISNUMBER(B44)),"Needs a date",IF(SUMPRODUCT((E44:T44&lt;&gt;"")*(1-ISNUMBER(E44:T44)))&gt;0,"Amount not a number",IF(SUMPRODUCT((E$5:T$5="")*(E44:T44&lt;&gt;""))&gt;0,"Amount under no envelope",IF(COUNTIF(E44:T44,"&lt;0")&gt;0,"Amount below zero",IF(AND(ISNUMBER(C44),N(D44)&gt;C44),"More than the paycheck",""))))))</f>
        <v/>
      </c>
      <c r="W44" s="1">
        <f>IF(ISNUMBER(B44),INT(B44),0)</f>
        <v/>
      </c>
    </row>
    <row r="45">
      <c r="A45" s="1" t="n"/>
      <c r="B45" s="21" t="n"/>
      <c r="C45" s="22" t="n"/>
      <c r="D45" s="12">
        <f>IF(AND(B45="",SUMPRODUCT((E45:T45&lt;&gt;"")*1)=0),"",SUMPRODUCT((E$5:T$5&lt;&gt;"")*1,E45:T45))</f>
        <v/>
      </c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10">
        <f>IF(OR(NOT(ISNUMBER(C45)),D45=""),"",C45-D45)</f>
        <v/>
      </c>
      <c r="V45" s="18">
        <f>IF(AND(B45="",C45="",SUMPRODUCT((E45:T45&lt;&gt;"")*1)=0),"",IF(NOT(ISNUMBER(B45)),"Needs a date",IF(SUMPRODUCT((E45:T45&lt;&gt;"")*(1-ISNUMBER(E45:T45)))&gt;0,"Amount not a number",IF(SUMPRODUCT((E$5:T$5="")*(E45:T45&lt;&gt;""))&gt;0,"Amount under no envelope",IF(COUNTIF(E45:T45,"&lt;0")&gt;0,"Amount below zero",IF(AND(ISNUMBER(C45),N(D45)&gt;C45),"More than the paycheck",""))))))</f>
        <v/>
      </c>
      <c r="W45" s="1">
        <f>IF(ISNUMBER(B45),INT(B45),0)</f>
        <v/>
      </c>
    </row>
    <row r="46">
      <c r="A46" s="1" t="n"/>
      <c r="B46" s="21" t="n"/>
      <c r="C46" s="22" t="n"/>
      <c r="D46" s="12">
        <f>IF(AND(B46="",SUMPRODUCT((E46:T46&lt;&gt;"")*1)=0),"",SUMPRODUCT((E$5:T$5&lt;&gt;"")*1,E46:T46))</f>
        <v/>
      </c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10">
        <f>IF(OR(NOT(ISNUMBER(C46)),D46=""),"",C46-D46)</f>
        <v/>
      </c>
      <c r="V46" s="18">
        <f>IF(AND(B46="",C46="",SUMPRODUCT((E46:T46&lt;&gt;"")*1)=0),"",IF(NOT(ISNUMBER(B46)),"Needs a date",IF(SUMPRODUCT((E46:T46&lt;&gt;"")*(1-ISNUMBER(E46:T46)))&gt;0,"Amount not a number",IF(SUMPRODUCT((E$5:T$5="")*(E46:T46&lt;&gt;""))&gt;0,"Amount under no envelope",IF(COUNTIF(E46:T46,"&lt;0")&gt;0,"Amount below zero",IF(AND(ISNUMBER(C46),N(D46)&gt;C46),"More than the paycheck",""))))))</f>
        <v/>
      </c>
      <c r="W46" s="1">
        <f>IF(ISNUMBER(B46),INT(B46),0)</f>
        <v/>
      </c>
    </row>
    <row r="47">
      <c r="A47" s="1" t="n"/>
      <c r="B47" s="21" t="n"/>
      <c r="C47" s="22" t="n"/>
      <c r="D47" s="12">
        <f>IF(AND(B47="",SUMPRODUCT((E47:T47&lt;&gt;"")*1)=0),"",SUMPRODUCT((E$5:T$5&lt;&gt;"")*1,E47:T47))</f>
        <v/>
      </c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10">
        <f>IF(OR(NOT(ISNUMBER(C47)),D47=""),"",C47-D47)</f>
        <v/>
      </c>
      <c r="V47" s="18">
        <f>IF(AND(B47="",C47="",SUMPRODUCT((E47:T47&lt;&gt;"")*1)=0),"",IF(NOT(ISNUMBER(B47)),"Needs a date",IF(SUMPRODUCT((E47:T47&lt;&gt;"")*(1-ISNUMBER(E47:T47)))&gt;0,"Amount not a number",IF(SUMPRODUCT((E$5:T$5="")*(E47:T47&lt;&gt;""))&gt;0,"Amount under no envelope",IF(COUNTIF(E47:T47,"&lt;0")&gt;0,"Amount below zero",IF(AND(ISNUMBER(C47),N(D47)&gt;C47),"More than the paycheck",""))))))</f>
        <v/>
      </c>
      <c r="W47" s="1">
        <f>IF(ISNUMBER(B47),INT(B47),0)</f>
        <v/>
      </c>
    </row>
    <row r="48">
      <c r="A48" s="1" t="n"/>
      <c r="B48" s="21" t="n"/>
      <c r="C48" s="22" t="n"/>
      <c r="D48" s="12">
        <f>IF(AND(B48="",SUMPRODUCT((E48:T48&lt;&gt;"")*1)=0),"",SUMPRODUCT((E$5:T$5&lt;&gt;"")*1,E48:T48))</f>
        <v/>
      </c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10">
        <f>IF(OR(NOT(ISNUMBER(C48)),D48=""),"",C48-D48)</f>
        <v/>
      </c>
      <c r="V48" s="18">
        <f>IF(AND(B48="",C48="",SUMPRODUCT((E48:T48&lt;&gt;"")*1)=0),"",IF(NOT(ISNUMBER(B48)),"Needs a date",IF(SUMPRODUCT((E48:T48&lt;&gt;"")*(1-ISNUMBER(E48:T48)))&gt;0,"Amount not a number",IF(SUMPRODUCT((E$5:T$5="")*(E48:T48&lt;&gt;""))&gt;0,"Amount under no envelope",IF(COUNTIF(E48:T48,"&lt;0")&gt;0,"Amount below zero",IF(AND(ISNUMBER(C48),N(D48)&gt;C48),"More than the paycheck",""))))))</f>
        <v/>
      </c>
      <c r="W48" s="1">
        <f>IF(ISNUMBER(B48),INT(B48),0)</f>
        <v/>
      </c>
    </row>
    <row r="49">
      <c r="A49" s="1" t="n"/>
      <c r="B49" s="21" t="n"/>
      <c r="C49" s="22" t="n"/>
      <c r="D49" s="12">
        <f>IF(AND(B49="",SUMPRODUCT((E49:T49&lt;&gt;"")*1)=0),"",SUMPRODUCT((E$5:T$5&lt;&gt;"")*1,E49:T49))</f>
        <v/>
      </c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10">
        <f>IF(OR(NOT(ISNUMBER(C49)),D49=""),"",C49-D49)</f>
        <v/>
      </c>
      <c r="V49" s="18">
        <f>IF(AND(B49="",C49="",SUMPRODUCT((E49:T49&lt;&gt;"")*1)=0),"",IF(NOT(ISNUMBER(B49)),"Needs a date",IF(SUMPRODUCT((E49:T49&lt;&gt;"")*(1-ISNUMBER(E49:T49)))&gt;0,"Amount not a number",IF(SUMPRODUCT((E$5:T$5="")*(E49:T49&lt;&gt;""))&gt;0,"Amount under no envelope",IF(COUNTIF(E49:T49,"&lt;0")&gt;0,"Amount below zero",IF(AND(ISNUMBER(C49),N(D49)&gt;C49),"More than the paycheck",""))))))</f>
        <v/>
      </c>
      <c r="W49" s="1">
        <f>IF(ISNUMBER(B49),INT(B49),0)</f>
        <v/>
      </c>
    </row>
    <row r="50">
      <c r="A50" s="1" t="n"/>
      <c r="B50" s="21" t="n"/>
      <c r="C50" s="22" t="n"/>
      <c r="D50" s="12">
        <f>IF(AND(B50="",SUMPRODUCT((E50:T50&lt;&gt;"")*1)=0),"",SUMPRODUCT((E$5:T$5&lt;&gt;"")*1,E50:T50))</f>
        <v/>
      </c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10">
        <f>IF(OR(NOT(ISNUMBER(C50)),D50=""),"",C50-D50)</f>
        <v/>
      </c>
      <c r="V50" s="18">
        <f>IF(AND(B50="",C50="",SUMPRODUCT((E50:T50&lt;&gt;"")*1)=0),"",IF(NOT(ISNUMBER(B50)),"Needs a date",IF(SUMPRODUCT((E50:T50&lt;&gt;"")*(1-ISNUMBER(E50:T50)))&gt;0,"Amount not a number",IF(SUMPRODUCT((E$5:T$5="")*(E50:T50&lt;&gt;""))&gt;0,"Amount under no envelope",IF(COUNTIF(E50:T50,"&lt;0")&gt;0,"Amount below zero",IF(AND(ISNUMBER(C50),N(D50)&gt;C50),"More than the paycheck",""))))))</f>
        <v/>
      </c>
      <c r="W50" s="1">
        <f>IF(ISNUMBER(B50),INT(B50),0)</f>
        <v/>
      </c>
    </row>
    <row r="51">
      <c r="A51" s="1" t="n"/>
      <c r="B51" s="21" t="n"/>
      <c r="C51" s="22" t="n"/>
      <c r="D51" s="12">
        <f>IF(AND(B51="",SUMPRODUCT((E51:T51&lt;&gt;"")*1)=0),"",SUMPRODUCT((E$5:T$5&lt;&gt;"")*1,E51:T51))</f>
        <v/>
      </c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10">
        <f>IF(OR(NOT(ISNUMBER(C51)),D51=""),"",C51-D51)</f>
        <v/>
      </c>
      <c r="V51" s="18">
        <f>IF(AND(B51="",C51="",SUMPRODUCT((E51:T51&lt;&gt;"")*1)=0),"",IF(NOT(ISNUMBER(B51)),"Needs a date",IF(SUMPRODUCT((E51:T51&lt;&gt;"")*(1-ISNUMBER(E51:T51)))&gt;0,"Amount not a number",IF(SUMPRODUCT((E$5:T$5="")*(E51:T51&lt;&gt;""))&gt;0,"Amount under no envelope",IF(COUNTIF(E51:T51,"&lt;0")&gt;0,"Amount below zero",IF(AND(ISNUMBER(C51),N(D51)&gt;C51),"More than the paycheck",""))))))</f>
        <v/>
      </c>
      <c r="W51" s="1">
        <f>IF(ISNUMBER(B51),INT(B51),0)</f>
        <v/>
      </c>
    </row>
    <row r="52">
      <c r="A52" s="1" t="n"/>
      <c r="B52" s="21" t="n"/>
      <c r="C52" s="22" t="n"/>
      <c r="D52" s="12">
        <f>IF(AND(B52="",SUMPRODUCT((E52:T52&lt;&gt;"")*1)=0),"",SUMPRODUCT((E$5:T$5&lt;&gt;"")*1,E52:T52))</f>
        <v/>
      </c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10">
        <f>IF(OR(NOT(ISNUMBER(C52)),D52=""),"",C52-D52)</f>
        <v/>
      </c>
      <c r="V52" s="18">
        <f>IF(AND(B52="",C52="",SUMPRODUCT((E52:T52&lt;&gt;"")*1)=0),"",IF(NOT(ISNUMBER(B52)),"Needs a date",IF(SUMPRODUCT((E52:T52&lt;&gt;"")*(1-ISNUMBER(E52:T52)))&gt;0,"Amount not a number",IF(SUMPRODUCT((E$5:T$5="")*(E52:T52&lt;&gt;""))&gt;0,"Amount under no envelope",IF(COUNTIF(E52:T52,"&lt;0")&gt;0,"Amount below zero",IF(AND(ISNUMBER(C52),N(D52)&gt;C52),"More than the paycheck",""))))))</f>
        <v/>
      </c>
      <c r="W52" s="1">
        <f>IF(ISNUMBER(B52),INT(B52),0)</f>
        <v/>
      </c>
    </row>
    <row r="53">
      <c r="A53" s="1" t="n"/>
      <c r="B53" s="21" t="n"/>
      <c r="C53" s="22" t="n"/>
      <c r="D53" s="12">
        <f>IF(AND(B53="",SUMPRODUCT((E53:T53&lt;&gt;"")*1)=0),"",SUMPRODUCT((E$5:T$5&lt;&gt;"")*1,E53:T53))</f>
        <v/>
      </c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10">
        <f>IF(OR(NOT(ISNUMBER(C53)),D53=""),"",C53-D53)</f>
        <v/>
      </c>
      <c r="V53" s="18">
        <f>IF(AND(B53="",C53="",SUMPRODUCT((E53:T53&lt;&gt;"")*1)=0),"",IF(NOT(ISNUMBER(B53)),"Needs a date",IF(SUMPRODUCT((E53:T53&lt;&gt;"")*(1-ISNUMBER(E53:T53)))&gt;0,"Amount not a number",IF(SUMPRODUCT((E$5:T$5="")*(E53:T53&lt;&gt;""))&gt;0,"Amount under no envelope",IF(COUNTIF(E53:T53,"&lt;0")&gt;0,"Amount below zero",IF(AND(ISNUMBER(C53),N(D53)&gt;C53),"More than the paycheck",""))))))</f>
        <v/>
      </c>
      <c r="W53" s="1">
        <f>IF(ISNUMBER(B53),INT(B53),0)</f>
        <v/>
      </c>
    </row>
    <row r="54">
      <c r="A54" s="1" t="n"/>
      <c r="B54" s="21" t="n"/>
      <c r="C54" s="22" t="n"/>
      <c r="D54" s="12">
        <f>IF(AND(B54="",SUMPRODUCT((E54:T54&lt;&gt;"")*1)=0),"",SUMPRODUCT((E$5:T$5&lt;&gt;"")*1,E54:T54))</f>
        <v/>
      </c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10">
        <f>IF(OR(NOT(ISNUMBER(C54)),D54=""),"",C54-D54)</f>
        <v/>
      </c>
      <c r="V54" s="18">
        <f>IF(AND(B54="",C54="",SUMPRODUCT((E54:T54&lt;&gt;"")*1)=0),"",IF(NOT(ISNUMBER(B54)),"Needs a date",IF(SUMPRODUCT((E54:T54&lt;&gt;"")*(1-ISNUMBER(E54:T54)))&gt;0,"Amount not a number",IF(SUMPRODUCT((E$5:T$5="")*(E54:T54&lt;&gt;""))&gt;0,"Amount under no envelope",IF(COUNTIF(E54:T54,"&lt;0")&gt;0,"Amount below zero",IF(AND(ISNUMBER(C54),N(D54)&gt;C54),"More than the paycheck",""))))))</f>
        <v/>
      </c>
      <c r="W54" s="1">
        <f>IF(ISNUMBER(B54),INT(B54),0)</f>
        <v/>
      </c>
    </row>
    <row r="55">
      <c r="A55" s="1" t="n"/>
      <c r="B55" s="21" t="n"/>
      <c r="C55" s="22" t="n"/>
      <c r="D55" s="12">
        <f>IF(AND(B55="",SUMPRODUCT((E55:T55&lt;&gt;"")*1)=0),"",SUMPRODUCT((E$5:T$5&lt;&gt;"")*1,E55:T55))</f>
        <v/>
      </c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10">
        <f>IF(OR(NOT(ISNUMBER(C55)),D55=""),"",C55-D55)</f>
        <v/>
      </c>
      <c r="V55" s="18">
        <f>IF(AND(B55="",C55="",SUMPRODUCT((E55:T55&lt;&gt;"")*1)=0),"",IF(NOT(ISNUMBER(B55)),"Needs a date",IF(SUMPRODUCT((E55:T55&lt;&gt;"")*(1-ISNUMBER(E55:T55)))&gt;0,"Amount not a number",IF(SUMPRODUCT((E$5:T$5="")*(E55:T55&lt;&gt;""))&gt;0,"Amount under no envelope",IF(COUNTIF(E55:T55,"&lt;0")&gt;0,"Amount below zero",IF(AND(ISNUMBER(C55),N(D55)&gt;C55),"More than the paycheck",""))))))</f>
        <v/>
      </c>
      <c r="W55" s="1">
        <f>IF(ISNUMBER(B55),INT(B55),0)</f>
        <v/>
      </c>
    </row>
    <row r="56">
      <c r="A56" s="1" t="n"/>
      <c r="B56" s="21" t="n"/>
      <c r="C56" s="22" t="n"/>
      <c r="D56" s="12">
        <f>IF(AND(B56="",SUMPRODUCT((E56:T56&lt;&gt;"")*1)=0),"",SUMPRODUCT((E$5:T$5&lt;&gt;"")*1,E56:T56))</f>
        <v/>
      </c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10">
        <f>IF(OR(NOT(ISNUMBER(C56)),D56=""),"",C56-D56)</f>
        <v/>
      </c>
      <c r="V56" s="18">
        <f>IF(AND(B56="",C56="",SUMPRODUCT((E56:T56&lt;&gt;"")*1)=0),"",IF(NOT(ISNUMBER(B56)),"Needs a date",IF(SUMPRODUCT((E56:T56&lt;&gt;"")*(1-ISNUMBER(E56:T56)))&gt;0,"Amount not a number",IF(SUMPRODUCT((E$5:T$5="")*(E56:T56&lt;&gt;""))&gt;0,"Amount under no envelope",IF(COUNTIF(E56:T56,"&lt;0")&gt;0,"Amount below zero",IF(AND(ISNUMBER(C56),N(D56)&gt;C56),"More than the paycheck",""))))))</f>
        <v/>
      </c>
      <c r="W56" s="1">
        <f>IF(ISNUMBER(B56),INT(B56),0)</f>
        <v/>
      </c>
    </row>
    <row r="57">
      <c r="A57" s="1" t="n"/>
      <c r="B57" s="21" t="n"/>
      <c r="C57" s="22" t="n"/>
      <c r="D57" s="12">
        <f>IF(AND(B57="",SUMPRODUCT((E57:T57&lt;&gt;"")*1)=0),"",SUMPRODUCT((E$5:T$5&lt;&gt;"")*1,E57:T57))</f>
        <v/>
      </c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10">
        <f>IF(OR(NOT(ISNUMBER(C57)),D57=""),"",C57-D57)</f>
        <v/>
      </c>
      <c r="V57" s="18">
        <f>IF(AND(B57="",C57="",SUMPRODUCT((E57:T57&lt;&gt;"")*1)=0),"",IF(NOT(ISNUMBER(B57)),"Needs a date",IF(SUMPRODUCT((E57:T57&lt;&gt;"")*(1-ISNUMBER(E57:T57)))&gt;0,"Amount not a number",IF(SUMPRODUCT((E$5:T$5="")*(E57:T57&lt;&gt;""))&gt;0,"Amount under no envelope",IF(COUNTIF(E57:T57,"&lt;0")&gt;0,"Amount below zero",IF(AND(ISNUMBER(C57),N(D57)&gt;C57),"More than the paycheck",""))))))</f>
        <v/>
      </c>
      <c r="W57" s="1">
        <f>IF(ISNUMBER(B57),INT(B57),0)</f>
        <v/>
      </c>
    </row>
    <row r="58">
      <c r="A58" s="1" t="n"/>
      <c r="B58" s="21" t="n"/>
      <c r="C58" s="22" t="n"/>
      <c r="D58" s="12">
        <f>IF(AND(B58="",SUMPRODUCT((E58:T58&lt;&gt;"")*1)=0),"",SUMPRODUCT((E$5:T$5&lt;&gt;"")*1,E58:T58))</f>
        <v/>
      </c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10">
        <f>IF(OR(NOT(ISNUMBER(C58)),D58=""),"",C58-D58)</f>
        <v/>
      </c>
      <c r="V58" s="18">
        <f>IF(AND(B58="",C58="",SUMPRODUCT((E58:T58&lt;&gt;"")*1)=0),"",IF(NOT(ISNUMBER(B58)),"Needs a date",IF(SUMPRODUCT((E58:T58&lt;&gt;"")*(1-ISNUMBER(E58:T58)))&gt;0,"Amount not a number",IF(SUMPRODUCT((E$5:T$5="")*(E58:T58&lt;&gt;""))&gt;0,"Amount under no envelope",IF(COUNTIF(E58:T58,"&lt;0")&gt;0,"Amount below zero",IF(AND(ISNUMBER(C58),N(D58)&gt;C58),"More than the paycheck",""))))))</f>
        <v/>
      </c>
      <c r="W58" s="1">
        <f>IF(ISNUMBER(B58),INT(B58),0)</f>
        <v/>
      </c>
    </row>
    <row r="59">
      <c r="A59" s="1" t="n"/>
      <c r="B59" s="21" t="n"/>
      <c r="C59" s="22" t="n"/>
      <c r="D59" s="12">
        <f>IF(AND(B59="",SUMPRODUCT((E59:T59&lt;&gt;"")*1)=0),"",SUMPRODUCT((E$5:T$5&lt;&gt;"")*1,E59:T59))</f>
        <v/>
      </c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10">
        <f>IF(OR(NOT(ISNUMBER(C59)),D59=""),"",C59-D59)</f>
        <v/>
      </c>
      <c r="V59" s="18">
        <f>IF(AND(B59="",C59="",SUMPRODUCT((E59:T59&lt;&gt;"")*1)=0),"",IF(NOT(ISNUMBER(B59)),"Needs a date",IF(SUMPRODUCT((E59:T59&lt;&gt;"")*(1-ISNUMBER(E59:T59)))&gt;0,"Amount not a number",IF(SUMPRODUCT((E$5:T$5="")*(E59:T59&lt;&gt;""))&gt;0,"Amount under no envelope",IF(COUNTIF(E59:T59,"&lt;0")&gt;0,"Amount below zero",IF(AND(ISNUMBER(C59),N(D59)&gt;C59),"More than the paycheck",""))))))</f>
        <v/>
      </c>
      <c r="W59" s="1">
        <f>IF(ISNUMBER(B59),INT(B59),0)</f>
        <v/>
      </c>
    </row>
    <row r="60">
      <c r="A60" s="1" t="n"/>
      <c r="B60" s="21" t="n"/>
      <c r="C60" s="22" t="n"/>
      <c r="D60" s="12">
        <f>IF(AND(B60="",SUMPRODUCT((E60:T60&lt;&gt;"")*1)=0),"",SUMPRODUCT((E$5:T$5&lt;&gt;"")*1,E60:T60))</f>
        <v/>
      </c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10">
        <f>IF(OR(NOT(ISNUMBER(C60)),D60=""),"",C60-D60)</f>
        <v/>
      </c>
      <c r="V60" s="18">
        <f>IF(AND(B60="",C60="",SUMPRODUCT((E60:T60&lt;&gt;"")*1)=0),"",IF(NOT(ISNUMBER(B60)),"Needs a date",IF(SUMPRODUCT((E60:T60&lt;&gt;"")*(1-ISNUMBER(E60:T60)))&gt;0,"Amount not a number",IF(SUMPRODUCT((E$5:T$5="")*(E60:T60&lt;&gt;""))&gt;0,"Amount under no envelope",IF(COUNTIF(E60:T60,"&lt;0")&gt;0,"Amount below zero",IF(AND(ISNUMBER(C60),N(D60)&gt;C60),"More than the paycheck",""))))))</f>
        <v/>
      </c>
      <c r="W60" s="1">
        <f>IF(ISNUMBER(B60),INT(B60),0)</f>
        <v/>
      </c>
    </row>
    <row r="61">
      <c r="A61" s="1" t="n"/>
      <c r="B61" s="21" t="n"/>
      <c r="C61" s="22" t="n"/>
      <c r="D61" s="12">
        <f>IF(AND(B61="",SUMPRODUCT((E61:T61&lt;&gt;"")*1)=0),"",SUMPRODUCT((E$5:T$5&lt;&gt;"")*1,E61:T61))</f>
        <v/>
      </c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10">
        <f>IF(OR(NOT(ISNUMBER(C61)),D61=""),"",C61-D61)</f>
        <v/>
      </c>
      <c r="V61" s="18">
        <f>IF(AND(B61="",C61="",SUMPRODUCT((E61:T61&lt;&gt;"")*1)=0),"",IF(NOT(ISNUMBER(B61)),"Needs a date",IF(SUMPRODUCT((E61:T61&lt;&gt;"")*(1-ISNUMBER(E61:T61)))&gt;0,"Amount not a number",IF(SUMPRODUCT((E$5:T$5="")*(E61:T61&lt;&gt;""))&gt;0,"Amount under no envelope",IF(COUNTIF(E61:T61,"&lt;0")&gt;0,"Amount below zero",IF(AND(ISNUMBER(C61),N(D61)&gt;C61),"More than the paycheck",""))))))</f>
        <v/>
      </c>
      <c r="W61" s="1">
        <f>IF(ISNUMBER(B61),INT(B61),0)</f>
        <v/>
      </c>
    </row>
    <row r="62">
      <c r="A62" s="1" t="n"/>
      <c r="B62" s="21" t="n"/>
      <c r="C62" s="22" t="n"/>
      <c r="D62" s="12">
        <f>IF(AND(B62="",SUMPRODUCT((E62:T62&lt;&gt;"")*1)=0),"",SUMPRODUCT((E$5:T$5&lt;&gt;"")*1,E62:T62))</f>
        <v/>
      </c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10">
        <f>IF(OR(NOT(ISNUMBER(C62)),D62=""),"",C62-D62)</f>
        <v/>
      </c>
      <c r="V62" s="18">
        <f>IF(AND(B62="",C62="",SUMPRODUCT((E62:T62&lt;&gt;"")*1)=0),"",IF(NOT(ISNUMBER(B62)),"Needs a date",IF(SUMPRODUCT((E62:T62&lt;&gt;"")*(1-ISNUMBER(E62:T62)))&gt;0,"Amount not a number",IF(SUMPRODUCT((E$5:T$5="")*(E62:T62&lt;&gt;""))&gt;0,"Amount under no envelope",IF(COUNTIF(E62:T62,"&lt;0")&gt;0,"Amount below zero",IF(AND(ISNUMBER(C62),N(D62)&gt;C62),"More than the paycheck",""))))))</f>
        <v/>
      </c>
      <c r="W62" s="1">
        <f>IF(ISNUMBER(B62),INT(B62),0)</f>
        <v/>
      </c>
    </row>
    <row r="63">
      <c r="A63" s="1" t="n"/>
      <c r="B63" s="21" t="n"/>
      <c r="C63" s="22" t="n"/>
      <c r="D63" s="12">
        <f>IF(AND(B63="",SUMPRODUCT((E63:T63&lt;&gt;"")*1)=0),"",SUMPRODUCT((E$5:T$5&lt;&gt;"")*1,E63:T63))</f>
        <v/>
      </c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10">
        <f>IF(OR(NOT(ISNUMBER(C63)),D63=""),"",C63-D63)</f>
        <v/>
      </c>
      <c r="V63" s="18">
        <f>IF(AND(B63="",C63="",SUMPRODUCT((E63:T63&lt;&gt;"")*1)=0),"",IF(NOT(ISNUMBER(B63)),"Needs a date",IF(SUMPRODUCT((E63:T63&lt;&gt;"")*(1-ISNUMBER(E63:T63)))&gt;0,"Amount not a number",IF(SUMPRODUCT((E$5:T$5="")*(E63:T63&lt;&gt;""))&gt;0,"Amount under no envelope",IF(COUNTIF(E63:T63,"&lt;0")&gt;0,"Amount below zero",IF(AND(ISNUMBER(C63),N(D63)&gt;C63),"More than the paycheck",""))))))</f>
        <v/>
      </c>
      <c r="W63" s="1">
        <f>IF(ISNUMBER(B63),INT(B63),0)</f>
        <v/>
      </c>
    </row>
    <row r="64">
      <c r="A64" s="1" t="n"/>
      <c r="B64" s="21" t="n"/>
      <c r="C64" s="22" t="n"/>
      <c r="D64" s="12">
        <f>IF(AND(B64="",SUMPRODUCT((E64:T64&lt;&gt;"")*1)=0),"",SUMPRODUCT((E$5:T$5&lt;&gt;"")*1,E64:T64))</f>
        <v/>
      </c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10">
        <f>IF(OR(NOT(ISNUMBER(C64)),D64=""),"",C64-D64)</f>
        <v/>
      </c>
      <c r="V64" s="18">
        <f>IF(AND(B64="",C64="",SUMPRODUCT((E64:T64&lt;&gt;"")*1)=0),"",IF(NOT(ISNUMBER(B64)),"Needs a date",IF(SUMPRODUCT((E64:T64&lt;&gt;"")*(1-ISNUMBER(E64:T64)))&gt;0,"Amount not a number",IF(SUMPRODUCT((E$5:T$5="")*(E64:T64&lt;&gt;""))&gt;0,"Amount under no envelope",IF(COUNTIF(E64:T64,"&lt;0")&gt;0,"Amount below zero",IF(AND(ISNUMBER(C64),N(D64)&gt;C64),"More than the paycheck",""))))))</f>
        <v/>
      </c>
      <c r="W64" s="1">
        <f>IF(ISNUMBER(B64),INT(B64),0)</f>
        <v/>
      </c>
    </row>
    <row r="65">
      <c r="A65" s="1" t="n"/>
      <c r="B65" s="21" t="n"/>
      <c r="C65" s="22" t="n"/>
      <c r="D65" s="12">
        <f>IF(AND(B65="",SUMPRODUCT((E65:T65&lt;&gt;"")*1)=0),"",SUMPRODUCT((E$5:T$5&lt;&gt;"")*1,E65:T65))</f>
        <v/>
      </c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10">
        <f>IF(OR(NOT(ISNUMBER(C65)),D65=""),"",C65-D65)</f>
        <v/>
      </c>
      <c r="V65" s="18">
        <f>IF(AND(B65="",C65="",SUMPRODUCT((E65:T65&lt;&gt;"")*1)=0),"",IF(NOT(ISNUMBER(B65)),"Needs a date",IF(SUMPRODUCT((E65:T65&lt;&gt;"")*(1-ISNUMBER(E65:T65)))&gt;0,"Amount not a number",IF(SUMPRODUCT((E$5:T$5="")*(E65:T65&lt;&gt;""))&gt;0,"Amount under no envelope",IF(COUNTIF(E65:T65,"&lt;0")&gt;0,"Amount below zero",IF(AND(ISNUMBER(C65),N(D65)&gt;C65),"More than the paycheck",""))))))</f>
        <v/>
      </c>
      <c r="W65" s="1">
        <f>IF(ISNUMBER(B65),INT(B65),0)</f>
        <v/>
      </c>
    </row>
    <row r="66">
      <c r="A66" s="1" t="n"/>
      <c r="B66" s="21" t="n"/>
      <c r="C66" s="22" t="n"/>
      <c r="D66" s="12">
        <f>IF(AND(B66="",SUMPRODUCT((E66:T66&lt;&gt;"")*1)=0),"",SUMPRODUCT((E$5:T$5&lt;&gt;"")*1,E66:T66))</f>
        <v/>
      </c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10">
        <f>IF(OR(NOT(ISNUMBER(C66)),D66=""),"",C66-D66)</f>
        <v/>
      </c>
      <c r="V66" s="18">
        <f>IF(AND(B66="",C66="",SUMPRODUCT((E66:T66&lt;&gt;"")*1)=0),"",IF(NOT(ISNUMBER(B66)),"Needs a date",IF(SUMPRODUCT((E66:T66&lt;&gt;"")*(1-ISNUMBER(E66:T66)))&gt;0,"Amount not a number",IF(SUMPRODUCT((E$5:T$5="")*(E66:T66&lt;&gt;""))&gt;0,"Amount under no envelope",IF(COUNTIF(E66:T66,"&lt;0")&gt;0,"Amount below zero",IF(AND(ISNUMBER(C66),N(D66)&gt;C66),"More than the paycheck",""))))))</f>
        <v/>
      </c>
      <c r="W66" s="1">
        <f>IF(ISNUMBER(B66),INT(B66),0)</f>
        <v/>
      </c>
    </row>
    <row r="67">
      <c r="A67" s="1" t="n"/>
      <c r="B67" s="21" t="n"/>
      <c r="C67" s="22" t="n"/>
      <c r="D67" s="12">
        <f>IF(AND(B67="",SUMPRODUCT((E67:T67&lt;&gt;"")*1)=0),"",SUMPRODUCT((E$5:T$5&lt;&gt;"")*1,E67:T67))</f>
        <v/>
      </c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10">
        <f>IF(OR(NOT(ISNUMBER(C67)),D67=""),"",C67-D67)</f>
        <v/>
      </c>
      <c r="V67" s="18">
        <f>IF(AND(B67="",C67="",SUMPRODUCT((E67:T67&lt;&gt;"")*1)=0),"",IF(NOT(ISNUMBER(B67)),"Needs a date",IF(SUMPRODUCT((E67:T67&lt;&gt;"")*(1-ISNUMBER(E67:T67)))&gt;0,"Amount not a number",IF(SUMPRODUCT((E$5:T$5="")*(E67:T67&lt;&gt;""))&gt;0,"Amount under no envelope",IF(COUNTIF(E67:T67,"&lt;0")&gt;0,"Amount below zero",IF(AND(ISNUMBER(C67),N(D67)&gt;C67),"More than the paycheck",""))))))</f>
        <v/>
      </c>
      <c r="W67" s="1">
        <f>IF(ISNUMBER(B67),INT(B67),0)</f>
        <v/>
      </c>
    </row>
    <row r="68">
      <c r="A68" s="1" t="n"/>
      <c r="B68" s="21" t="n"/>
      <c r="C68" s="22" t="n"/>
      <c r="D68" s="12">
        <f>IF(AND(B68="",SUMPRODUCT((E68:T68&lt;&gt;"")*1)=0),"",SUMPRODUCT((E$5:T$5&lt;&gt;"")*1,E68:T68))</f>
        <v/>
      </c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10">
        <f>IF(OR(NOT(ISNUMBER(C68)),D68=""),"",C68-D68)</f>
        <v/>
      </c>
      <c r="V68" s="18">
        <f>IF(AND(B68="",C68="",SUMPRODUCT((E68:T68&lt;&gt;"")*1)=0),"",IF(NOT(ISNUMBER(B68)),"Needs a date",IF(SUMPRODUCT((E68:T68&lt;&gt;"")*(1-ISNUMBER(E68:T68)))&gt;0,"Amount not a number",IF(SUMPRODUCT((E$5:T$5="")*(E68:T68&lt;&gt;""))&gt;0,"Amount under no envelope",IF(COUNTIF(E68:T68,"&lt;0")&gt;0,"Amount below zero",IF(AND(ISNUMBER(C68),N(D68)&gt;C68),"More than the paycheck",""))))))</f>
        <v/>
      </c>
      <c r="W68" s="1">
        <f>IF(ISNUMBER(B68),INT(B68),0)</f>
        <v/>
      </c>
    </row>
    <row r="69">
      <c r="A69" s="1" t="n"/>
      <c r="B69" s="21" t="n"/>
      <c r="C69" s="22" t="n"/>
      <c r="D69" s="12">
        <f>IF(AND(B69="",SUMPRODUCT((E69:T69&lt;&gt;"")*1)=0),"",SUMPRODUCT((E$5:T$5&lt;&gt;"")*1,E69:T69))</f>
        <v/>
      </c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10">
        <f>IF(OR(NOT(ISNUMBER(C69)),D69=""),"",C69-D69)</f>
        <v/>
      </c>
      <c r="V69" s="18">
        <f>IF(AND(B69="",C69="",SUMPRODUCT((E69:T69&lt;&gt;"")*1)=0),"",IF(NOT(ISNUMBER(B69)),"Needs a date",IF(SUMPRODUCT((E69:T69&lt;&gt;"")*(1-ISNUMBER(E69:T69)))&gt;0,"Amount not a number",IF(SUMPRODUCT((E$5:T$5="")*(E69:T69&lt;&gt;""))&gt;0,"Amount under no envelope",IF(COUNTIF(E69:T69,"&lt;0")&gt;0,"Amount below zero",IF(AND(ISNUMBER(C69),N(D69)&gt;C69),"More than the paycheck",""))))))</f>
        <v/>
      </c>
      <c r="W69" s="1">
        <f>IF(ISNUMBER(B69),INT(B69),0)</f>
        <v/>
      </c>
    </row>
    <row r="70">
      <c r="A70" s="1" t="n"/>
      <c r="B70" s="21" t="n"/>
      <c r="C70" s="22" t="n"/>
      <c r="D70" s="12">
        <f>IF(AND(B70="",SUMPRODUCT((E70:T70&lt;&gt;"")*1)=0),"",SUMPRODUCT((E$5:T$5&lt;&gt;"")*1,E70:T70))</f>
        <v/>
      </c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10">
        <f>IF(OR(NOT(ISNUMBER(C70)),D70=""),"",C70-D70)</f>
        <v/>
      </c>
      <c r="V70" s="18">
        <f>IF(AND(B70="",C70="",SUMPRODUCT((E70:T70&lt;&gt;"")*1)=0),"",IF(NOT(ISNUMBER(B70)),"Needs a date",IF(SUMPRODUCT((E70:T70&lt;&gt;"")*(1-ISNUMBER(E70:T70)))&gt;0,"Amount not a number",IF(SUMPRODUCT((E$5:T$5="")*(E70:T70&lt;&gt;""))&gt;0,"Amount under no envelope",IF(COUNTIF(E70:T70,"&lt;0")&gt;0,"Amount below zero",IF(AND(ISNUMBER(C70),N(D70)&gt;C70),"More than the paycheck",""))))))</f>
        <v/>
      </c>
      <c r="W70" s="1">
        <f>IF(ISNUMBER(B70),INT(B70),0)</f>
        <v/>
      </c>
    </row>
    <row r="71">
      <c r="A71" s="1" t="n"/>
      <c r="B71" s="21" t="n"/>
      <c r="C71" s="22" t="n"/>
      <c r="D71" s="12">
        <f>IF(AND(B71="",SUMPRODUCT((E71:T71&lt;&gt;"")*1)=0),"",SUMPRODUCT((E$5:T$5&lt;&gt;"")*1,E71:T71))</f>
        <v/>
      </c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10">
        <f>IF(OR(NOT(ISNUMBER(C71)),D71=""),"",C71-D71)</f>
        <v/>
      </c>
      <c r="V71" s="18">
        <f>IF(AND(B71="",C71="",SUMPRODUCT((E71:T71&lt;&gt;"")*1)=0),"",IF(NOT(ISNUMBER(B71)),"Needs a date",IF(SUMPRODUCT((E71:T71&lt;&gt;"")*(1-ISNUMBER(E71:T71)))&gt;0,"Amount not a number",IF(SUMPRODUCT((E$5:T$5="")*(E71:T71&lt;&gt;""))&gt;0,"Amount under no envelope",IF(COUNTIF(E71:T71,"&lt;0")&gt;0,"Amount below zero",IF(AND(ISNUMBER(C71),N(D71)&gt;C71),"More than the paycheck",""))))))</f>
        <v/>
      </c>
      <c r="W71" s="1">
        <f>IF(ISNUMBER(B71),INT(B71),0)</f>
        <v/>
      </c>
    </row>
    <row r="72">
      <c r="A72" s="1" t="n"/>
      <c r="B72" s="21" t="n"/>
      <c r="C72" s="22" t="n"/>
      <c r="D72" s="12">
        <f>IF(AND(B72="",SUMPRODUCT((E72:T72&lt;&gt;"")*1)=0),"",SUMPRODUCT((E$5:T$5&lt;&gt;"")*1,E72:T72))</f>
        <v/>
      </c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10">
        <f>IF(OR(NOT(ISNUMBER(C72)),D72=""),"",C72-D72)</f>
        <v/>
      </c>
      <c r="V72" s="18">
        <f>IF(AND(B72="",C72="",SUMPRODUCT((E72:T72&lt;&gt;"")*1)=0),"",IF(NOT(ISNUMBER(B72)),"Needs a date",IF(SUMPRODUCT((E72:T72&lt;&gt;"")*(1-ISNUMBER(E72:T72)))&gt;0,"Amount not a number",IF(SUMPRODUCT((E$5:T$5="")*(E72:T72&lt;&gt;""))&gt;0,"Amount under no envelope",IF(COUNTIF(E72:T72,"&lt;0")&gt;0,"Amount below zero",IF(AND(ISNUMBER(C72),N(D72)&gt;C72),"More than the paycheck",""))))))</f>
        <v/>
      </c>
      <c r="W72" s="1">
        <f>IF(ISNUMBER(B72),INT(B72),0)</f>
        <v/>
      </c>
    </row>
    <row r="73">
      <c r="A73" s="1" t="n"/>
      <c r="B73" s="21" t="n"/>
      <c r="C73" s="22" t="n"/>
      <c r="D73" s="12">
        <f>IF(AND(B73="",SUMPRODUCT((E73:T73&lt;&gt;"")*1)=0),"",SUMPRODUCT((E$5:T$5&lt;&gt;"")*1,E73:T73))</f>
        <v/>
      </c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10">
        <f>IF(OR(NOT(ISNUMBER(C73)),D73=""),"",C73-D73)</f>
        <v/>
      </c>
      <c r="V73" s="18">
        <f>IF(AND(B73="",C73="",SUMPRODUCT((E73:T73&lt;&gt;"")*1)=0),"",IF(NOT(ISNUMBER(B73)),"Needs a date",IF(SUMPRODUCT((E73:T73&lt;&gt;"")*(1-ISNUMBER(E73:T73)))&gt;0,"Amount not a number",IF(SUMPRODUCT((E$5:T$5="")*(E73:T73&lt;&gt;""))&gt;0,"Amount under no envelope",IF(COUNTIF(E73:T73,"&lt;0")&gt;0,"Amount below zero",IF(AND(ISNUMBER(C73),N(D73)&gt;C73),"More than the paycheck",""))))))</f>
        <v/>
      </c>
      <c r="W73" s="1">
        <f>IF(ISNUMBER(B73),INT(B73),0)</f>
        <v/>
      </c>
    </row>
    <row r="74">
      <c r="A74" s="1" t="n"/>
      <c r="B74" s="21" t="n"/>
      <c r="C74" s="22" t="n"/>
      <c r="D74" s="12">
        <f>IF(AND(B74="",SUMPRODUCT((E74:T74&lt;&gt;"")*1)=0),"",SUMPRODUCT((E$5:T$5&lt;&gt;"")*1,E74:T74))</f>
        <v/>
      </c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10">
        <f>IF(OR(NOT(ISNUMBER(C74)),D74=""),"",C74-D74)</f>
        <v/>
      </c>
      <c r="V74" s="18">
        <f>IF(AND(B74="",C74="",SUMPRODUCT((E74:T74&lt;&gt;"")*1)=0),"",IF(NOT(ISNUMBER(B74)),"Needs a date",IF(SUMPRODUCT((E74:T74&lt;&gt;"")*(1-ISNUMBER(E74:T74)))&gt;0,"Amount not a number",IF(SUMPRODUCT((E$5:T$5="")*(E74:T74&lt;&gt;""))&gt;0,"Amount under no envelope",IF(COUNTIF(E74:T74,"&lt;0")&gt;0,"Amount below zero",IF(AND(ISNUMBER(C74),N(D74)&gt;C74),"More than the paycheck",""))))))</f>
        <v/>
      </c>
      <c r="W74" s="1">
        <f>IF(ISNUMBER(B74),INT(B74),0)</f>
        <v/>
      </c>
    </row>
    <row r="75">
      <c r="A75" s="1" t="n"/>
      <c r="B75" s="21" t="n"/>
      <c r="C75" s="22" t="n"/>
      <c r="D75" s="12">
        <f>IF(AND(B75="",SUMPRODUCT((E75:T75&lt;&gt;"")*1)=0),"",SUMPRODUCT((E$5:T$5&lt;&gt;"")*1,E75:T75))</f>
        <v/>
      </c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10">
        <f>IF(OR(NOT(ISNUMBER(C75)),D75=""),"",C75-D75)</f>
        <v/>
      </c>
      <c r="V75" s="18">
        <f>IF(AND(B75="",C75="",SUMPRODUCT((E75:T75&lt;&gt;"")*1)=0),"",IF(NOT(ISNUMBER(B75)),"Needs a date",IF(SUMPRODUCT((E75:T75&lt;&gt;"")*(1-ISNUMBER(E75:T75)))&gt;0,"Amount not a number",IF(SUMPRODUCT((E$5:T$5="")*(E75:T75&lt;&gt;""))&gt;0,"Amount under no envelope",IF(COUNTIF(E75:T75,"&lt;0")&gt;0,"Amount below zero",IF(AND(ISNUMBER(C75),N(D75)&gt;C75),"More than the paycheck",""))))))</f>
        <v/>
      </c>
      <c r="W75" s="1">
        <f>IF(ISNUMBER(B75),INT(B75),0)</f>
        <v/>
      </c>
    </row>
    <row r="76">
      <c r="A76" s="1" t="n"/>
      <c r="B76" s="21" t="n"/>
      <c r="C76" s="22" t="n"/>
      <c r="D76" s="12">
        <f>IF(AND(B76="",SUMPRODUCT((E76:T76&lt;&gt;"")*1)=0),"",SUMPRODUCT((E$5:T$5&lt;&gt;"")*1,E76:T76))</f>
        <v/>
      </c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10">
        <f>IF(OR(NOT(ISNUMBER(C76)),D76=""),"",C76-D76)</f>
        <v/>
      </c>
      <c r="V76" s="18">
        <f>IF(AND(B76="",C76="",SUMPRODUCT((E76:T76&lt;&gt;"")*1)=0),"",IF(NOT(ISNUMBER(B76)),"Needs a date",IF(SUMPRODUCT((E76:T76&lt;&gt;"")*(1-ISNUMBER(E76:T76)))&gt;0,"Amount not a number",IF(SUMPRODUCT((E$5:T$5="")*(E76:T76&lt;&gt;""))&gt;0,"Amount under no envelope",IF(COUNTIF(E76:T76,"&lt;0")&gt;0,"Amount below zero",IF(AND(ISNUMBER(C76),N(D76)&gt;C76),"More than the paycheck",""))))))</f>
        <v/>
      </c>
      <c r="W76" s="1">
        <f>IF(ISNUMBER(B76),INT(B76),0)</f>
        <v/>
      </c>
    </row>
    <row r="77">
      <c r="A77" s="1" t="n"/>
      <c r="B77" s="21" t="n"/>
      <c r="C77" s="22" t="n"/>
      <c r="D77" s="12">
        <f>IF(AND(B77="",SUMPRODUCT((E77:T77&lt;&gt;"")*1)=0),"",SUMPRODUCT((E$5:T$5&lt;&gt;"")*1,E77:T77))</f>
        <v/>
      </c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10">
        <f>IF(OR(NOT(ISNUMBER(C77)),D77=""),"",C77-D77)</f>
        <v/>
      </c>
      <c r="V77" s="18">
        <f>IF(AND(B77="",C77="",SUMPRODUCT((E77:T77&lt;&gt;"")*1)=0),"",IF(NOT(ISNUMBER(B77)),"Needs a date",IF(SUMPRODUCT((E77:T77&lt;&gt;"")*(1-ISNUMBER(E77:T77)))&gt;0,"Amount not a number",IF(SUMPRODUCT((E$5:T$5="")*(E77:T77&lt;&gt;""))&gt;0,"Amount under no envelope",IF(COUNTIF(E77:T77,"&lt;0")&gt;0,"Amount below zero",IF(AND(ISNUMBER(C77),N(D77)&gt;C77),"More than the paycheck",""))))))</f>
        <v/>
      </c>
      <c r="W77" s="1">
        <f>IF(ISNUMBER(B77),INT(B77),0)</f>
        <v/>
      </c>
    </row>
    <row r="78">
      <c r="A78" s="1" t="n"/>
      <c r="B78" s="21" t="n"/>
      <c r="C78" s="22" t="n"/>
      <c r="D78" s="12">
        <f>IF(AND(B78="",SUMPRODUCT((E78:T78&lt;&gt;"")*1)=0),"",SUMPRODUCT((E$5:T$5&lt;&gt;"")*1,E78:T78))</f>
        <v/>
      </c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10">
        <f>IF(OR(NOT(ISNUMBER(C78)),D78=""),"",C78-D78)</f>
        <v/>
      </c>
      <c r="V78" s="18">
        <f>IF(AND(B78="",C78="",SUMPRODUCT((E78:T78&lt;&gt;"")*1)=0),"",IF(NOT(ISNUMBER(B78)),"Needs a date",IF(SUMPRODUCT((E78:T78&lt;&gt;"")*(1-ISNUMBER(E78:T78)))&gt;0,"Amount not a number",IF(SUMPRODUCT((E$5:T$5="")*(E78:T78&lt;&gt;""))&gt;0,"Amount under no envelope",IF(COUNTIF(E78:T78,"&lt;0")&gt;0,"Amount below zero",IF(AND(ISNUMBER(C78),N(D78)&gt;C78),"More than the paycheck",""))))))</f>
        <v/>
      </c>
      <c r="W78" s="1">
        <f>IF(ISNUMBER(B78),INT(B78),0)</f>
        <v/>
      </c>
    </row>
    <row r="79">
      <c r="A79" s="1" t="n"/>
      <c r="B79" s="21" t="n"/>
      <c r="C79" s="22" t="n"/>
      <c r="D79" s="12">
        <f>IF(AND(B79="",SUMPRODUCT((E79:T79&lt;&gt;"")*1)=0),"",SUMPRODUCT((E$5:T$5&lt;&gt;"")*1,E79:T79))</f>
        <v/>
      </c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10">
        <f>IF(OR(NOT(ISNUMBER(C79)),D79=""),"",C79-D79)</f>
        <v/>
      </c>
      <c r="V79" s="18">
        <f>IF(AND(B79="",C79="",SUMPRODUCT((E79:T79&lt;&gt;"")*1)=0),"",IF(NOT(ISNUMBER(B79)),"Needs a date",IF(SUMPRODUCT((E79:T79&lt;&gt;"")*(1-ISNUMBER(E79:T79)))&gt;0,"Amount not a number",IF(SUMPRODUCT((E$5:T$5="")*(E79:T79&lt;&gt;""))&gt;0,"Amount under no envelope",IF(COUNTIF(E79:T79,"&lt;0")&gt;0,"Amount below zero",IF(AND(ISNUMBER(C79),N(D79)&gt;C79),"More than the paycheck",""))))))</f>
        <v/>
      </c>
      <c r="W79" s="1">
        <f>IF(ISNUMBER(B79),INT(B79),0)</f>
        <v/>
      </c>
    </row>
    <row r="80">
      <c r="A80" s="1" t="n"/>
      <c r="B80" s="21" t="n"/>
      <c r="C80" s="22" t="n"/>
      <c r="D80" s="12">
        <f>IF(AND(B80="",SUMPRODUCT((E80:T80&lt;&gt;"")*1)=0),"",SUMPRODUCT((E$5:T$5&lt;&gt;"")*1,E80:T80))</f>
        <v/>
      </c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10">
        <f>IF(OR(NOT(ISNUMBER(C80)),D80=""),"",C80-D80)</f>
        <v/>
      </c>
      <c r="V80" s="18">
        <f>IF(AND(B80="",C80="",SUMPRODUCT((E80:T80&lt;&gt;"")*1)=0),"",IF(NOT(ISNUMBER(B80)),"Needs a date",IF(SUMPRODUCT((E80:T80&lt;&gt;"")*(1-ISNUMBER(E80:T80)))&gt;0,"Amount not a number",IF(SUMPRODUCT((E$5:T$5="")*(E80:T80&lt;&gt;""))&gt;0,"Amount under no envelope",IF(COUNTIF(E80:T80,"&lt;0")&gt;0,"Amount below zero",IF(AND(ISNUMBER(C80),N(D80)&gt;C80),"More than the paycheck",""))))))</f>
        <v/>
      </c>
      <c r="W80" s="1">
        <f>IF(ISNUMBER(B80),INT(B80),0)</f>
        <v/>
      </c>
    </row>
    <row r="81">
      <c r="A81" s="1" t="n"/>
      <c r="B81" s="21" t="n"/>
      <c r="C81" s="22" t="n"/>
      <c r="D81" s="12">
        <f>IF(AND(B81="",SUMPRODUCT((E81:T81&lt;&gt;"")*1)=0),"",SUMPRODUCT((E$5:T$5&lt;&gt;"")*1,E81:T81))</f>
        <v/>
      </c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10">
        <f>IF(OR(NOT(ISNUMBER(C81)),D81=""),"",C81-D81)</f>
        <v/>
      </c>
      <c r="V81" s="18">
        <f>IF(AND(B81="",C81="",SUMPRODUCT((E81:T81&lt;&gt;"")*1)=0),"",IF(NOT(ISNUMBER(B81)),"Needs a date",IF(SUMPRODUCT((E81:T81&lt;&gt;"")*(1-ISNUMBER(E81:T81)))&gt;0,"Amount not a number",IF(SUMPRODUCT((E$5:T$5="")*(E81:T81&lt;&gt;""))&gt;0,"Amount under no envelope",IF(COUNTIF(E81:T81,"&lt;0")&gt;0,"Amount below zero",IF(AND(ISNUMBER(C81),N(D81)&gt;C81),"More than the paycheck",""))))))</f>
        <v/>
      </c>
      <c r="W81" s="1">
        <f>IF(ISNUMBER(B81),INT(B81),0)</f>
        <v/>
      </c>
    </row>
    <row r="82">
      <c r="A82" s="1" t="n"/>
      <c r="B82" s="21" t="n"/>
      <c r="C82" s="22" t="n"/>
      <c r="D82" s="12">
        <f>IF(AND(B82="",SUMPRODUCT((E82:T82&lt;&gt;"")*1)=0),"",SUMPRODUCT((E$5:T$5&lt;&gt;"")*1,E82:T82))</f>
        <v/>
      </c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10">
        <f>IF(OR(NOT(ISNUMBER(C82)),D82=""),"",C82-D82)</f>
        <v/>
      </c>
      <c r="V82" s="18">
        <f>IF(AND(B82="",C82="",SUMPRODUCT((E82:T82&lt;&gt;"")*1)=0),"",IF(NOT(ISNUMBER(B82)),"Needs a date",IF(SUMPRODUCT((E82:T82&lt;&gt;"")*(1-ISNUMBER(E82:T82)))&gt;0,"Amount not a number",IF(SUMPRODUCT((E$5:T$5="")*(E82:T82&lt;&gt;""))&gt;0,"Amount under no envelope",IF(COUNTIF(E82:T82,"&lt;0")&gt;0,"Amount below zero",IF(AND(ISNUMBER(C82),N(D82)&gt;C82),"More than the paycheck",""))))))</f>
        <v/>
      </c>
      <c r="W82" s="1">
        <f>IF(ISNUMBER(B82),INT(B82),0)</f>
        <v/>
      </c>
    </row>
    <row r="83">
      <c r="A83" s="1" t="n"/>
      <c r="B83" s="21" t="n"/>
      <c r="C83" s="22" t="n"/>
      <c r="D83" s="12">
        <f>IF(AND(B83="",SUMPRODUCT((E83:T83&lt;&gt;"")*1)=0),"",SUMPRODUCT((E$5:T$5&lt;&gt;"")*1,E83:T83))</f>
        <v/>
      </c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10">
        <f>IF(OR(NOT(ISNUMBER(C83)),D83=""),"",C83-D83)</f>
        <v/>
      </c>
      <c r="V83" s="18">
        <f>IF(AND(B83="",C83="",SUMPRODUCT((E83:T83&lt;&gt;"")*1)=0),"",IF(NOT(ISNUMBER(B83)),"Needs a date",IF(SUMPRODUCT((E83:T83&lt;&gt;"")*(1-ISNUMBER(E83:T83)))&gt;0,"Amount not a number",IF(SUMPRODUCT((E$5:T$5="")*(E83:T83&lt;&gt;""))&gt;0,"Amount under no envelope",IF(COUNTIF(E83:T83,"&lt;0")&gt;0,"Amount below zero",IF(AND(ISNUMBER(C83),N(D83)&gt;C83),"More than the paycheck",""))))))</f>
        <v/>
      </c>
      <c r="W83" s="1">
        <f>IF(ISNUMBER(B83),INT(B83),0)</f>
        <v/>
      </c>
    </row>
    <row r="84">
      <c r="A84" s="1" t="n"/>
      <c r="B84" s="21" t="n"/>
      <c r="C84" s="22" t="n"/>
      <c r="D84" s="12">
        <f>IF(AND(B84="",SUMPRODUCT((E84:T84&lt;&gt;"")*1)=0),"",SUMPRODUCT((E$5:T$5&lt;&gt;"")*1,E84:T84))</f>
        <v/>
      </c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10">
        <f>IF(OR(NOT(ISNUMBER(C84)),D84=""),"",C84-D84)</f>
        <v/>
      </c>
      <c r="V84" s="18">
        <f>IF(AND(B84="",C84="",SUMPRODUCT((E84:T84&lt;&gt;"")*1)=0),"",IF(NOT(ISNUMBER(B84)),"Needs a date",IF(SUMPRODUCT((E84:T84&lt;&gt;"")*(1-ISNUMBER(E84:T84)))&gt;0,"Amount not a number",IF(SUMPRODUCT((E$5:T$5="")*(E84:T84&lt;&gt;""))&gt;0,"Amount under no envelope",IF(COUNTIF(E84:T84,"&lt;0")&gt;0,"Amount below zero",IF(AND(ISNUMBER(C84),N(D84)&gt;C84),"More than the paycheck",""))))))</f>
        <v/>
      </c>
      <c r="W84" s="1">
        <f>IF(ISNUMBER(B84),INT(B84),0)</f>
        <v/>
      </c>
    </row>
    <row r="85">
      <c r="A85" s="1" t="n"/>
      <c r="B85" s="21" t="n"/>
      <c r="C85" s="22" t="n"/>
      <c r="D85" s="12">
        <f>IF(AND(B85="",SUMPRODUCT((E85:T85&lt;&gt;"")*1)=0),"",SUMPRODUCT((E$5:T$5&lt;&gt;"")*1,E85:T85))</f>
        <v/>
      </c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10">
        <f>IF(OR(NOT(ISNUMBER(C85)),D85=""),"",C85-D85)</f>
        <v/>
      </c>
      <c r="V85" s="18">
        <f>IF(AND(B85="",C85="",SUMPRODUCT((E85:T85&lt;&gt;"")*1)=0),"",IF(NOT(ISNUMBER(B85)),"Needs a date",IF(SUMPRODUCT((E85:T85&lt;&gt;"")*(1-ISNUMBER(E85:T85)))&gt;0,"Amount not a number",IF(SUMPRODUCT((E$5:T$5="")*(E85:T85&lt;&gt;""))&gt;0,"Amount under no envelope",IF(COUNTIF(E85:T85,"&lt;0")&gt;0,"Amount below zero",IF(AND(ISNUMBER(C85),N(D85)&gt;C85),"More than the paycheck",""))))))</f>
        <v/>
      </c>
      <c r="W85" s="1">
        <f>IF(ISNUMBER(B85),INT(B85),0)</f>
        <v/>
      </c>
    </row>
    <row r="86">
      <c r="A86" s="1" t="n"/>
      <c r="B86" s="21" t="n"/>
      <c r="C86" s="22" t="n"/>
      <c r="D86" s="12">
        <f>IF(AND(B86="",SUMPRODUCT((E86:T86&lt;&gt;"")*1)=0),"",SUMPRODUCT((E$5:T$5&lt;&gt;"")*1,E86:T86))</f>
        <v/>
      </c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10">
        <f>IF(OR(NOT(ISNUMBER(C86)),D86=""),"",C86-D86)</f>
        <v/>
      </c>
      <c r="V86" s="18">
        <f>IF(AND(B86="",C86="",SUMPRODUCT((E86:T86&lt;&gt;"")*1)=0),"",IF(NOT(ISNUMBER(B86)),"Needs a date",IF(SUMPRODUCT((E86:T86&lt;&gt;"")*(1-ISNUMBER(E86:T86)))&gt;0,"Amount not a number",IF(SUMPRODUCT((E$5:T$5="")*(E86:T86&lt;&gt;""))&gt;0,"Amount under no envelope",IF(COUNTIF(E86:T86,"&lt;0")&gt;0,"Amount below zero",IF(AND(ISNUMBER(C86),N(D86)&gt;C86),"More than the paycheck",""))))))</f>
        <v/>
      </c>
      <c r="W86" s="1">
        <f>IF(ISNUMBER(B86),INT(B86),0)</f>
        <v/>
      </c>
    </row>
    <row r="87">
      <c r="A87" s="1" t="n"/>
      <c r="B87" s="21" t="n"/>
      <c r="C87" s="22" t="n"/>
      <c r="D87" s="12">
        <f>IF(AND(B87="",SUMPRODUCT((E87:T87&lt;&gt;"")*1)=0),"",SUMPRODUCT((E$5:T$5&lt;&gt;"")*1,E87:T87))</f>
        <v/>
      </c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10">
        <f>IF(OR(NOT(ISNUMBER(C87)),D87=""),"",C87-D87)</f>
        <v/>
      </c>
      <c r="V87" s="18">
        <f>IF(AND(B87="",C87="",SUMPRODUCT((E87:T87&lt;&gt;"")*1)=0),"",IF(NOT(ISNUMBER(B87)),"Needs a date",IF(SUMPRODUCT((E87:T87&lt;&gt;"")*(1-ISNUMBER(E87:T87)))&gt;0,"Amount not a number",IF(SUMPRODUCT((E$5:T$5="")*(E87:T87&lt;&gt;""))&gt;0,"Amount under no envelope",IF(COUNTIF(E87:T87,"&lt;0")&gt;0,"Amount below zero",IF(AND(ISNUMBER(C87),N(D87)&gt;C87),"More than the paycheck",""))))))</f>
        <v/>
      </c>
      <c r="W87" s="1">
        <f>IF(ISNUMBER(B87),INT(B87),0)</f>
        <v/>
      </c>
    </row>
    <row r="88">
      <c r="A88" s="1" t="n"/>
      <c r="B88" s="21" t="n"/>
      <c r="C88" s="22" t="n"/>
      <c r="D88" s="12">
        <f>IF(AND(B88="",SUMPRODUCT((E88:T88&lt;&gt;"")*1)=0),"",SUMPRODUCT((E$5:T$5&lt;&gt;"")*1,E88:T88))</f>
        <v/>
      </c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10">
        <f>IF(OR(NOT(ISNUMBER(C88)),D88=""),"",C88-D88)</f>
        <v/>
      </c>
      <c r="V88" s="18">
        <f>IF(AND(B88="",C88="",SUMPRODUCT((E88:T88&lt;&gt;"")*1)=0),"",IF(NOT(ISNUMBER(B88)),"Needs a date",IF(SUMPRODUCT((E88:T88&lt;&gt;"")*(1-ISNUMBER(E88:T88)))&gt;0,"Amount not a number",IF(SUMPRODUCT((E$5:T$5="")*(E88:T88&lt;&gt;""))&gt;0,"Amount under no envelope",IF(COUNTIF(E88:T88,"&lt;0")&gt;0,"Amount below zero",IF(AND(ISNUMBER(C88),N(D88)&gt;C88),"More than the paycheck",""))))))</f>
        <v/>
      </c>
      <c r="W88" s="1">
        <f>IF(ISNUMBER(B88),INT(B88),0)</f>
        <v/>
      </c>
    </row>
    <row r="89">
      <c r="A89" s="1" t="n"/>
      <c r="B89" s="21" t="n"/>
      <c r="C89" s="22" t="n"/>
      <c r="D89" s="12">
        <f>IF(AND(B89="",SUMPRODUCT((E89:T89&lt;&gt;"")*1)=0),"",SUMPRODUCT((E$5:T$5&lt;&gt;"")*1,E89:T89))</f>
        <v/>
      </c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10">
        <f>IF(OR(NOT(ISNUMBER(C89)),D89=""),"",C89-D89)</f>
        <v/>
      </c>
      <c r="V89" s="18">
        <f>IF(AND(B89="",C89="",SUMPRODUCT((E89:T89&lt;&gt;"")*1)=0),"",IF(NOT(ISNUMBER(B89)),"Needs a date",IF(SUMPRODUCT((E89:T89&lt;&gt;"")*(1-ISNUMBER(E89:T89)))&gt;0,"Amount not a number",IF(SUMPRODUCT((E$5:T$5="")*(E89:T89&lt;&gt;""))&gt;0,"Amount under no envelope",IF(COUNTIF(E89:T89,"&lt;0")&gt;0,"Amount below zero",IF(AND(ISNUMBER(C89),N(D89)&gt;C89),"More than the paycheck",""))))))</f>
        <v/>
      </c>
      <c r="W89" s="1">
        <f>IF(ISNUMBER(B89),INT(B89),0)</f>
        <v/>
      </c>
    </row>
    <row r="90">
      <c r="A90" s="1" t="n"/>
      <c r="B90" s="21" t="n"/>
      <c r="C90" s="22" t="n"/>
      <c r="D90" s="12">
        <f>IF(AND(B90="",SUMPRODUCT((E90:T90&lt;&gt;"")*1)=0),"",SUMPRODUCT((E$5:T$5&lt;&gt;"")*1,E90:T90))</f>
        <v/>
      </c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10">
        <f>IF(OR(NOT(ISNUMBER(C90)),D90=""),"",C90-D90)</f>
        <v/>
      </c>
      <c r="V90" s="18">
        <f>IF(AND(B90="",C90="",SUMPRODUCT((E90:T90&lt;&gt;"")*1)=0),"",IF(NOT(ISNUMBER(B90)),"Needs a date",IF(SUMPRODUCT((E90:T90&lt;&gt;"")*(1-ISNUMBER(E90:T90)))&gt;0,"Amount not a number",IF(SUMPRODUCT((E$5:T$5="")*(E90:T90&lt;&gt;""))&gt;0,"Amount under no envelope",IF(COUNTIF(E90:T90,"&lt;0")&gt;0,"Amount below zero",IF(AND(ISNUMBER(C90),N(D90)&gt;C90),"More than the paycheck",""))))))</f>
        <v/>
      </c>
      <c r="W90" s="1">
        <f>IF(ISNUMBER(B90),INT(B90),0)</f>
        <v/>
      </c>
    </row>
    <row r="91">
      <c r="A91" s="1" t="n"/>
      <c r="B91" s="21" t="n"/>
      <c r="C91" s="22" t="n"/>
      <c r="D91" s="12">
        <f>IF(AND(B91="",SUMPRODUCT((E91:T91&lt;&gt;"")*1)=0),"",SUMPRODUCT((E$5:T$5&lt;&gt;"")*1,E91:T91))</f>
        <v/>
      </c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10">
        <f>IF(OR(NOT(ISNUMBER(C91)),D91=""),"",C91-D91)</f>
        <v/>
      </c>
      <c r="V91" s="18">
        <f>IF(AND(B91="",C91="",SUMPRODUCT((E91:T91&lt;&gt;"")*1)=0),"",IF(NOT(ISNUMBER(B91)),"Needs a date",IF(SUMPRODUCT((E91:T91&lt;&gt;"")*(1-ISNUMBER(E91:T91)))&gt;0,"Amount not a number",IF(SUMPRODUCT((E$5:T$5="")*(E91:T91&lt;&gt;""))&gt;0,"Amount under no envelope",IF(COUNTIF(E91:T91,"&lt;0")&gt;0,"Amount below zero",IF(AND(ISNUMBER(C91),N(D91)&gt;C91),"More than the paycheck",""))))))</f>
        <v/>
      </c>
      <c r="W91" s="1">
        <f>IF(ISNUMBER(B91),INT(B91),0)</f>
        <v/>
      </c>
    </row>
    <row r="92">
      <c r="A92" s="1" t="n"/>
      <c r="B92" s="21" t="n"/>
      <c r="C92" s="22" t="n"/>
      <c r="D92" s="12">
        <f>IF(AND(B92="",SUMPRODUCT((E92:T92&lt;&gt;"")*1)=0),"",SUMPRODUCT((E$5:T$5&lt;&gt;"")*1,E92:T92))</f>
        <v/>
      </c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10">
        <f>IF(OR(NOT(ISNUMBER(C92)),D92=""),"",C92-D92)</f>
        <v/>
      </c>
      <c r="V92" s="18">
        <f>IF(AND(B92="",C92="",SUMPRODUCT((E92:T92&lt;&gt;"")*1)=0),"",IF(NOT(ISNUMBER(B92)),"Needs a date",IF(SUMPRODUCT((E92:T92&lt;&gt;"")*(1-ISNUMBER(E92:T92)))&gt;0,"Amount not a number",IF(SUMPRODUCT((E$5:T$5="")*(E92:T92&lt;&gt;""))&gt;0,"Amount under no envelope",IF(COUNTIF(E92:T92,"&lt;0")&gt;0,"Amount below zero",IF(AND(ISNUMBER(C92),N(D92)&gt;C92),"More than the paycheck",""))))))</f>
        <v/>
      </c>
      <c r="W92" s="1">
        <f>IF(ISNUMBER(B92),INT(B92),0)</f>
        <v/>
      </c>
    </row>
    <row r="93">
      <c r="A93" s="1" t="n"/>
      <c r="B93" s="21" t="n"/>
      <c r="C93" s="22" t="n"/>
      <c r="D93" s="12">
        <f>IF(AND(B93="",SUMPRODUCT((E93:T93&lt;&gt;"")*1)=0),"",SUMPRODUCT((E$5:T$5&lt;&gt;"")*1,E93:T93))</f>
        <v/>
      </c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10">
        <f>IF(OR(NOT(ISNUMBER(C93)),D93=""),"",C93-D93)</f>
        <v/>
      </c>
      <c r="V93" s="18">
        <f>IF(AND(B93="",C93="",SUMPRODUCT((E93:T93&lt;&gt;"")*1)=0),"",IF(NOT(ISNUMBER(B93)),"Needs a date",IF(SUMPRODUCT((E93:T93&lt;&gt;"")*(1-ISNUMBER(E93:T93)))&gt;0,"Amount not a number",IF(SUMPRODUCT((E$5:T$5="")*(E93:T93&lt;&gt;""))&gt;0,"Amount under no envelope",IF(COUNTIF(E93:T93,"&lt;0")&gt;0,"Amount below zero",IF(AND(ISNUMBER(C93),N(D93)&gt;C93),"More than the paycheck",""))))))</f>
        <v/>
      </c>
      <c r="W93" s="1">
        <f>IF(ISNUMBER(B93),INT(B93),0)</f>
        <v/>
      </c>
    </row>
    <row r="94">
      <c r="A94" s="1" t="n"/>
      <c r="B94" s="21" t="n"/>
      <c r="C94" s="22" t="n"/>
      <c r="D94" s="12">
        <f>IF(AND(B94="",SUMPRODUCT((E94:T94&lt;&gt;"")*1)=0),"",SUMPRODUCT((E$5:T$5&lt;&gt;"")*1,E94:T94))</f>
        <v/>
      </c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10">
        <f>IF(OR(NOT(ISNUMBER(C94)),D94=""),"",C94-D94)</f>
        <v/>
      </c>
      <c r="V94" s="18">
        <f>IF(AND(B94="",C94="",SUMPRODUCT((E94:T94&lt;&gt;"")*1)=0),"",IF(NOT(ISNUMBER(B94)),"Needs a date",IF(SUMPRODUCT((E94:T94&lt;&gt;"")*(1-ISNUMBER(E94:T94)))&gt;0,"Amount not a number",IF(SUMPRODUCT((E$5:T$5="")*(E94:T94&lt;&gt;""))&gt;0,"Amount under no envelope",IF(COUNTIF(E94:T94,"&lt;0")&gt;0,"Amount below zero",IF(AND(ISNUMBER(C94),N(D94)&gt;C94),"More than the paycheck",""))))))</f>
        <v/>
      </c>
      <c r="W94" s="1">
        <f>IF(ISNUMBER(B94),INT(B94),0)</f>
        <v/>
      </c>
    </row>
    <row r="95">
      <c r="A95" s="1" t="n"/>
      <c r="B95" s="21" t="n"/>
      <c r="C95" s="22" t="n"/>
      <c r="D95" s="12">
        <f>IF(AND(B95="",SUMPRODUCT((E95:T95&lt;&gt;"")*1)=0),"",SUMPRODUCT((E$5:T$5&lt;&gt;"")*1,E95:T95))</f>
        <v/>
      </c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10">
        <f>IF(OR(NOT(ISNUMBER(C95)),D95=""),"",C95-D95)</f>
        <v/>
      </c>
      <c r="V95" s="18">
        <f>IF(AND(B95="",C95="",SUMPRODUCT((E95:T95&lt;&gt;"")*1)=0),"",IF(NOT(ISNUMBER(B95)),"Needs a date",IF(SUMPRODUCT((E95:T95&lt;&gt;"")*(1-ISNUMBER(E95:T95)))&gt;0,"Amount not a number",IF(SUMPRODUCT((E$5:T$5="")*(E95:T95&lt;&gt;""))&gt;0,"Amount under no envelope",IF(COUNTIF(E95:T95,"&lt;0")&gt;0,"Amount below zero",IF(AND(ISNUMBER(C95),N(D95)&gt;C95),"More than the paycheck",""))))))</f>
        <v/>
      </c>
      <c r="W95" s="1">
        <f>IF(ISNUMBER(B95),INT(B95),0)</f>
        <v/>
      </c>
    </row>
    <row r="96">
      <c r="A96" s="1" t="n"/>
      <c r="B96" s="21" t="n"/>
      <c r="C96" s="22" t="n"/>
      <c r="D96" s="12">
        <f>IF(AND(B96="",SUMPRODUCT((E96:T96&lt;&gt;"")*1)=0),"",SUMPRODUCT((E$5:T$5&lt;&gt;"")*1,E96:T96))</f>
        <v/>
      </c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10">
        <f>IF(OR(NOT(ISNUMBER(C96)),D96=""),"",C96-D96)</f>
        <v/>
      </c>
      <c r="V96" s="18">
        <f>IF(AND(B96="",C96="",SUMPRODUCT((E96:T96&lt;&gt;"")*1)=0),"",IF(NOT(ISNUMBER(B96)),"Needs a date",IF(SUMPRODUCT((E96:T96&lt;&gt;"")*(1-ISNUMBER(E96:T96)))&gt;0,"Amount not a number",IF(SUMPRODUCT((E$5:T$5="")*(E96:T96&lt;&gt;""))&gt;0,"Amount under no envelope",IF(COUNTIF(E96:T96,"&lt;0")&gt;0,"Amount below zero",IF(AND(ISNUMBER(C96),N(D96)&gt;C96),"More than the paycheck",""))))))</f>
        <v/>
      </c>
      <c r="W96" s="1">
        <f>IF(ISNUMBER(B96),INT(B96),0)</f>
        <v/>
      </c>
    </row>
    <row r="97">
      <c r="A97" s="1" t="n"/>
      <c r="B97" s="21" t="n"/>
      <c r="C97" s="22" t="n"/>
      <c r="D97" s="12">
        <f>IF(AND(B97="",SUMPRODUCT((E97:T97&lt;&gt;"")*1)=0),"",SUMPRODUCT((E$5:T$5&lt;&gt;"")*1,E97:T97))</f>
        <v/>
      </c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10">
        <f>IF(OR(NOT(ISNUMBER(C97)),D97=""),"",C97-D97)</f>
        <v/>
      </c>
      <c r="V97" s="18">
        <f>IF(AND(B97="",C97="",SUMPRODUCT((E97:T97&lt;&gt;"")*1)=0),"",IF(NOT(ISNUMBER(B97)),"Needs a date",IF(SUMPRODUCT((E97:T97&lt;&gt;"")*(1-ISNUMBER(E97:T97)))&gt;0,"Amount not a number",IF(SUMPRODUCT((E$5:T$5="")*(E97:T97&lt;&gt;""))&gt;0,"Amount under no envelope",IF(COUNTIF(E97:T97,"&lt;0")&gt;0,"Amount below zero",IF(AND(ISNUMBER(C97),N(D97)&gt;C97),"More than the paycheck",""))))))</f>
        <v/>
      </c>
      <c r="W97" s="1">
        <f>IF(ISNUMBER(B97),INT(B97),0)</f>
        <v/>
      </c>
    </row>
    <row r="98">
      <c r="A98" s="1" t="n"/>
      <c r="B98" s="21" t="n"/>
      <c r="C98" s="22" t="n"/>
      <c r="D98" s="12">
        <f>IF(AND(B98="",SUMPRODUCT((E98:T98&lt;&gt;"")*1)=0),"",SUMPRODUCT((E$5:T$5&lt;&gt;"")*1,E98:T98))</f>
        <v/>
      </c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10">
        <f>IF(OR(NOT(ISNUMBER(C98)),D98=""),"",C98-D98)</f>
        <v/>
      </c>
      <c r="V98" s="18">
        <f>IF(AND(B98="",C98="",SUMPRODUCT((E98:T98&lt;&gt;"")*1)=0),"",IF(NOT(ISNUMBER(B98)),"Needs a date",IF(SUMPRODUCT((E98:T98&lt;&gt;"")*(1-ISNUMBER(E98:T98)))&gt;0,"Amount not a number",IF(SUMPRODUCT((E$5:T$5="")*(E98:T98&lt;&gt;""))&gt;0,"Amount under no envelope",IF(COUNTIF(E98:T98,"&lt;0")&gt;0,"Amount below zero",IF(AND(ISNUMBER(C98),N(D98)&gt;C98),"More than the paycheck",""))))))</f>
        <v/>
      </c>
      <c r="W98" s="1">
        <f>IF(ISNUMBER(B98),INT(B98),0)</f>
        <v/>
      </c>
    </row>
    <row r="99">
      <c r="A99" s="1" t="n"/>
      <c r="B99" s="21" t="n"/>
      <c r="C99" s="22" t="n"/>
      <c r="D99" s="12">
        <f>IF(AND(B99="",SUMPRODUCT((E99:T99&lt;&gt;"")*1)=0),"",SUMPRODUCT((E$5:T$5&lt;&gt;"")*1,E99:T99))</f>
        <v/>
      </c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10">
        <f>IF(OR(NOT(ISNUMBER(C99)),D99=""),"",C99-D99)</f>
        <v/>
      </c>
      <c r="V99" s="18">
        <f>IF(AND(B99="",C99="",SUMPRODUCT((E99:T99&lt;&gt;"")*1)=0),"",IF(NOT(ISNUMBER(B99)),"Needs a date",IF(SUMPRODUCT((E99:T99&lt;&gt;"")*(1-ISNUMBER(E99:T99)))&gt;0,"Amount not a number",IF(SUMPRODUCT((E$5:T$5="")*(E99:T99&lt;&gt;""))&gt;0,"Amount under no envelope",IF(COUNTIF(E99:T99,"&lt;0")&gt;0,"Amount below zero",IF(AND(ISNUMBER(C99),N(D99)&gt;C99),"More than the paycheck",""))))))</f>
        <v/>
      </c>
      <c r="W99" s="1">
        <f>IF(ISNUMBER(B99),INT(B99),0)</f>
        <v/>
      </c>
    </row>
    <row r="100">
      <c r="A100" s="1" t="n"/>
      <c r="B100" s="21" t="n"/>
      <c r="C100" s="22" t="n"/>
      <c r="D100" s="12">
        <f>IF(AND(B100="",SUMPRODUCT((E100:T100&lt;&gt;"")*1)=0),"",SUMPRODUCT((E$5:T$5&lt;&gt;"")*1,E100:T100))</f>
        <v/>
      </c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10">
        <f>IF(OR(NOT(ISNUMBER(C100)),D100=""),"",C100-D100)</f>
        <v/>
      </c>
      <c r="V100" s="18">
        <f>IF(AND(B100="",C100="",SUMPRODUCT((E100:T100&lt;&gt;"")*1)=0),"",IF(NOT(ISNUMBER(B100)),"Needs a date",IF(SUMPRODUCT((E100:T100&lt;&gt;"")*(1-ISNUMBER(E100:T100)))&gt;0,"Amount not a number",IF(SUMPRODUCT((E$5:T$5="")*(E100:T100&lt;&gt;""))&gt;0,"Amount under no envelope",IF(COUNTIF(E100:T100,"&lt;0")&gt;0,"Amount below zero",IF(AND(ISNUMBER(C100),N(D100)&gt;C100),"More than the paycheck",""))))))</f>
        <v/>
      </c>
      <c r="W100" s="1">
        <f>IF(ISNUMBER(B100),INT(B100),0)</f>
        <v/>
      </c>
    </row>
    <row r="101">
      <c r="A101" s="1" t="n"/>
      <c r="B101" s="21" t="n"/>
      <c r="C101" s="22" t="n"/>
      <c r="D101" s="12">
        <f>IF(AND(B101="",SUMPRODUCT((E101:T101&lt;&gt;"")*1)=0),"",SUMPRODUCT((E$5:T$5&lt;&gt;"")*1,E101:T101))</f>
        <v/>
      </c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10">
        <f>IF(OR(NOT(ISNUMBER(C101)),D101=""),"",C101-D101)</f>
        <v/>
      </c>
      <c r="V101" s="18">
        <f>IF(AND(B101="",C101="",SUMPRODUCT((E101:T101&lt;&gt;"")*1)=0),"",IF(NOT(ISNUMBER(B101)),"Needs a date",IF(SUMPRODUCT((E101:T101&lt;&gt;"")*(1-ISNUMBER(E101:T101)))&gt;0,"Amount not a number",IF(SUMPRODUCT((E$5:T$5="")*(E101:T101&lt;&gt;""))&gt;0,"Amount under no envelope",IF(COUNTIF(E101:T101,"&lt;0")&gt;0,"Amount below zero",IF(AND(ISNUMBER(C101),N(D101)&gt;C101),"More than the paycheck",""))))))</f>
        <v/>
      </c>
      <c r="W101" s="1">
        <f>IF(ISNUMBER(B101),INT(B101),0)</f>
        <v/>
      </c>
    </row>
    <row r="102">
      <c r="A102" s="1" t="n"/>
      <c r="B102" s="21" t="n"/>
      <c r="C102" s="22" t="n"/>
      <c r="D102" s="12">
        <f>IF(AND(B102="",SUMPRODUCT((E102:T102&lt;&gt;"")*1)=0),"",SUMPRODUCT((E$5:T$5&lt;&gt;"")*1,E102:T102))</f>
        <v/>
      </c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10">
        <f>IF(OR(NOT(ISNUMBER(C102)),D102=""),"",C102-D102)</f>
        <v/>
      </c>
      <c r="V102" s="18">
        <f>IF(AND(B102="",C102="",SUMPRODUCT((E102:T102&lt;&gt;"")*1)=0),"",IF(NOT(ISNUMBER(B102)),"Needs a date",IF(SUMPRODUCT((E102:T102&lt;&gt;"")*(1-ISNUMBER(E102:T102)))&gt;0,"Amount not a number",IF(SUMPRODUCT((E$5:T$5="")*(E102:T102&lt;&gt;""))&gt;0,"Amount under no envelope",IF(COUNTIF(E102:T102,"&lt;0")&gt;0,"Amount below zero",IF(AND(ISNUMBER(C102),N(D102)&gt;C102),"More than the paycheck",""))))))</f>
        <v/>
      </c>
      <c r="W102" s="1">
        <f>IF(ISNUMBER(B102),INT(B102),0)</f>
        <v/>
      </c>
    </row>
    <row r="103">
      <c r="A103" s="1" t="n"/>
      <c r="B103" s="21" t="n"/>
      <c r="C103" s="22" t="n"/>
      <c r="D103" s="12">
        <f>IF(AND(B103="",SUMPRODUCT((E103:T103&lt;&gt;"")*1)=0),"",SUMPRODUCT((E$5:T$5&lt;&gt;"")*1,E103:T103))</f>
        <v/>
      </c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10">
        <f>IF(OR(NOT(ISNUMBER(C103)),D103=""),"",C103-D103)</f>
        <v/>
      </c>
      <c r="V103" s="18">
        <f>IF(AND(B103="",C103="",SUMPRODUCT((E103:T103&lt;&gt;"")*1)=0),"",IF(NOT(ISNUMBER(B103)),"Needs a date",IF(SUMPRODUCT((E103:T103&lt;&gt;"")*(1-ISNUMBER(E103:T103)))&gt;0,"Amount not a number",IF(SUMPRODUCT((E$5:T$5="")*(E103:T103&lt;&gt;""))&gt;0,"Amount under no envelope",IF(COUNTIF(E103:T103,"&lt;0")&gt;0,"Amount below zero",IF(AND(ISNUMBER(C103),N(D103)&gt;C103),"More than the paycheck",""))))))</f>
        <v/>
      </c>
      <c r="W103" s="1">
        <f>IF(ISNUMBER(B103),INT(B103),0)</f>
        <v/>
      </c>
    </row>
    <row r="104">
      <c r="A104" s="1" t="n"/>
      <c r="B104" s="21" t="n"/>
      <c r="C104" s="22" t="n"/>
      <c r="D104" s="12">
        <f>IF(AND(B104="",SUMPRODUCT((E104:T104&lt;&gt;"")*1)=0),"",SUMPRODUCT((E$5:T$5&lt;&gt;"")*1,E104:T104))</f>
        <v/>
      </c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10">
        <f>IF(OR(NOT(ISNUMBER(C104)),D104=""),"",C104-D104)</f>
        <v/>
      </c>
      <c r="V104" s="18">
        <f>IF(AND(B104="",C104="",SUMPRODUCT((E104:T104&lt;&gt;"")*1)=0),"",IF(NOT(ISNUMBER(B104)),"Needs a date",IF(SUMPRODUCT((E104:T104&lt;&gt;"")*(1-ISNUMBER(E104:T104)))&gt;0,"Amount not a number",IF(SUMPRODUCT((E$5:T$5="")*(E104:T104&lt;&gt;""))&gt;0,"Amount under no envelope",IF(COUNTIF(E104:T104,"&lt;0")&gt;0,"Amount below zero",IF(AND(ISNUMBER(C104),N(D104)&gt;C104),"More than the paycheck",""))))))</f>
        <v/>
      </c>
      <c r="W104" s="1">
        <f>IF(ISNUMBER(B104),INT(B104),0)</f>
        <v/>
      </c>
    </row>
    <row r="105">
      <c r="A105" s="1" t="n"/>
      <c r="B105" s="21" t="n"/>
      <c r="C105" s="22" t="n"/>
      <c r="D105" s="12">
        <f>IF(AND(B105="",SUMPRODUCT((E105:T105&lt;&gt;"")*1)=0),"",SUMPRODUCT((E$5:T$5&lt;&gt;"")*1,E105:T105))</f>
        <v/>
      </c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10">
        <f>IF(OR(NOT(ISNUMBER(C105)),D105=""),"",C105-D105)</f>
        <v/>
      </c>
      <c r="V105" s="18">
        <f>IF(AND(B105="",C105="",SUMPRODUCT((E105:T105&lt;&gt;"")*1)=0),"",IF(NOT(ISNUMBER(B105)),"Needs a date",IF(SUMPRODUCT((E105:T105&lt;&gt;"")*(1-ISNUMBER(E105:T105)))&gt;0,"Amount not a number",IF(SUMPRODUCT((E$5:T$5="")*(E105:T105&lt;&gt;""))&gt;0,"Amount under no envelope",IF(COUNTIF(E105:T105,"&lt;0")&gt;0,"Amount below zero",IF(AND(ISNUMBER(C105),N(D105)&gt;C105),"More than the paycheck",""))))))</f>
        <v/>
      </c>
      <c r="W105" s="1">
        <f>IF(ISNUMBER(B105),INT(B105),0)</f>
        <v/>
      </c>
    </row>
    <row r="106">
      <c r="A106" s="1" t="n"/>
      <c r="B106" s="21" t="n"/>
      <c r="C106" s="22" t="n"/>
      <c r="D106" s="12">
        <f>IF(AND(B106="",SUMPRODUCT((E106:T106&lt;&gt;"")*1)=0),"",SUMPRODUCT((E$5:T$5&lt;&gt;"")*1,E106:T106))</f>
        <v/>
      </c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10">
        <f>IF(OR(NOT(ISNUMBER(C106)),D106=""),"",C106-D106)</f>
        <v/>
      </c>
      <c r="V106" s="18">
        <f>IF(AND(B106="",C106="",SUMPRODUCT((E106:T106&lt;&gt;"")*1)=0),"",IF(NOT(ISNUMBER(B106)),"Needs a date",IF(SUMPRODUCT((E106:T106&lt;&gt;"")*(1-ISNUMBER(E106:T106)))&gt;0,"Amount not a number",IF(SUMPRODUCT((E$5:T$5="")*(E106:T106&lt;&gt;""))&gt;0,"Amount under no envelope",IF(COUNTIF(E106:T106,"&lt;0")&gt;0,"Amount below zero",IF(AND(ISNUMBER(C106),N(D106)&gt;C106),"More than the paycheck",""))))))</f>
        <v/>
      </c>
      <c r="W106" s="1">
        <f>IF(ISNUMBER(B106),INT(B106),0)</f>
        <v/>
      </c>
    </row>
    <row r="107">
      <c r="A107" s="1" t="n"/>
      <c r="B107" s="21" t="n"/>
      <c r="C107" s="22" t="n"/>
      <c r="D107" s="12">
        <f>IF(AND(B107="",SUMPRODUCT((E107:T107&lt;&gt;"")*1)=0),"",SUMPRODUCT((E$5:T$5&lt;&gt;"")*1,E107:T107))</f>
        <v/>
      </c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10">
        <f>IF(OR(NOT(ISNUMBER(C107)),D107=""),"",C107-D107)</f>
        <v/>
      </c>
      <c r="V107" s="18">
        <f>IF(AND(B107="",C107="",SUMPRODUCT((E107:T107&lt;&gt;"")*1)=0),"",IF(NOT(ISNUMBER(B107)),"Needs a date",IF(SUMPRODUCT((E107:T107&lt;&gt;"")*(1-ISNUMBER(E107:T107)))&gt;0,"Amount not a number",IF(SUMPRODUCT((E$5:T$5="")*(E107:T107&lt;&gt;""))&gt;0,"Amount under no envelope",IF(COUNTIF(E107:T107,"&lt;0")&gt;0,"Amount below zero",IF(AND(ISNUMBER(C107),N(D107)&gt;C107),"More than the paycheck",""))))))</f>
        <v/>
      </c>
      <c r="W107" s="1">
        <f>IF(ISNUMBER(B107),INT(B107),0)</f>
        <v/>
      </c>
    </row>
    <row r="108">
      <c r="A108" s="1" t="n"/>
      <c r="B108" s="21" t="n"/>
      <c r="C108" s="22" t="n"/>
      <c r="D108" s="12">
        <f>IF(AND(B108="",SUMPRODUCT((E108:T108&lt;&gt;"")*1)=0),"",SUMPRODUCT((E$5:T$5&lt;&gt;"")*1,E108:T108))</f>
        <v/>
      </c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10">
        <f>IF(OR(NOT(ISNUMBER(C108)),D108=""),"",C108-D108)</f>
        <v/>
      </c>
      <c r="V108" s="18">
        <f>IF(AND(B108="",C108="",SUMPRODUCT((E108:T108&lt;&gt;"")*1)=0),"",IF(NOT(ISNUMBER(B108)),"Needs a date",IF(SUMPRODUCT((E108:T108&lt;&gt;"")*(1-ISNUMBER(E108:T108)))&gt;0,"Amount not a number",IF(SUMPRODUCT((E$5:T$5="")*(E108:T108&lt;&gt;""))&gt;0,"Amount under no envelope",IF(COUNTIF(E108:T108,"&lt;0")&gt;0,"Amount below zero",IF(AND(ISNUMBER(C108),N(D108)&gt;C108),"More than the paycheck",""))))))</f>
        <v/>
      </c>
      <c r="W108" s="1">
        <f>IF(ISNUMBER(B108),INT(B108),0)</f>
        <v/>
      </c>
    </row>
    <row r="109">
      <c r="A109" s="1" t="n"/>
      <c r="B109" s="21" t="n"/>
      <c r="C109" s="22" t="n"/>
      <c r="D109" s="12">
        <f>IF(AND(B109="",SUMPRODUCT((E109:T109&lt;&gt;"")*1)=0),"",SUMPRODUCT((E$5:T$5&lt;&gt;"")*1,E109:T109))</f>
        <v/>
      </c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10">
        <f>IF(OR(NOT(ISNUMBER(C109)),D109=""),"",C109-D109)</f>
        <v/>
      </c>
      <c r="V109" s="18">
        <f>IF(AND(B109="",C109="",SUMPRODUCT((E109:T109&lt;&gt;"")*1)=0),"",IF(NOT(ISNUMBER(B109)),"Needs a date",IF(SUMPRODUCT((E109:T109&lt;&gt;"")*(1-ISNUMBER(E109:T109)))&gt;0,"Amount not a number",IF(SUMPRODUCT((E$5:T$5="")*(E109:T109&lt;&gt;""))&gt;0,"Amount under no envelope",IF(COUNTIF(E109:T109,"&lt;0")&gt;0,"Amount below zero",IF(AND(ISNUMBER(C109),N(D109)&gt;C109),"More than the paycheck",""))))))</f>
        <v/>
      </c>
      <c r="W109" s="1">
        <f>IF(ISNUMBER(B109),INT(B109),0)</f>
        <v/>
      </c>
    </row>
    <row r="110">
      <c r="A110" s="1" t="n"/>
      <c r="B110" s="21" t="n"/>
      <c r="C110" s="22" t="n"/>
      <c r="D110" s="12">
        <f>IF(AND(B110="",SUMPRODUCT((E110:T110&lt;&gt;"")*1)=0),"",SUMPRODUCT((E$5:T$5&lt;&gt;"")*1,E110:T110))</f>
        <v/>
      </c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10">
        <f>IF(OR(NOT(ISNUMBER(C110)),D110=""),"",C110-D110)</f>
        <v/>
      </c>
      <c r="V110" s="18">
        <f>IF(AND(B110="",C110="",SUMPRODUCT((E110:T110&lt;&gt;"")*1)=0),"",IF(NOT(ISNUMBER(B110)),"Needs a date",IF(SUMPRODUCT((E110:T110&lt;&gt;"")*(1-ISNUMBER(E110:T110)))&gt;0,"Amount not a number",IF(SUMPRODUCT((E$5:T$5="")*(E110:T110&lt;&gt;""))&gt;0,"Amount under no envelope",IF(COUNTIF(E110:T110,"&lt;0")&gt;0,"Amount below zero",IF(AND(ISNUMBER(C110),N(D110)&gt;C110),"More than the paycheck",""))))))</f>
        <v/>
      </c>
      <c r="W110" s="1">
        <f>IF(ISNUMBER(B110),INT(B110),0)</f>
        <v/>
      </c>
    </row>
    <row r="111">
      <c r="A111" s="1" t="n"/>
      <c r="B111" s="21" t="n"/>
      <c r="C111" s="22" t="n"/>
      <c r="D111" s="12">
        <f>IF(AND(B111="",SUMPRODUCT((E111:T111&lt;&gt;"")*1)=0),"",SUMPRODUCT((E$5:T$5&lt;&gt;"")*1,E111:T111))</f>
        <v/>
      </c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10">
        <f>IF(OR(NOT(ISNUMBER(C111)),D111=""),"",C111-D111)</f>
        <v/>
      </c>
      <c r="V111" s="18">
        <f>IF(AND(B111="",C111="",SUMPRODUCT((E111:T111&lt;&gt;"")*1)=0),"",IF(NOT(ISNUMBER(B111)),"Needs a date",IF(SUMPRODUCT((E111:T111&lt;&gt;"")*(1-ISNUMBER(E111:T111)))&gt;0,"Amount not a number",IF(SUMPRODUCT((E$5:T$5="")*(E111:T111&lt;&gt;""))&gt;0,"Amount under no envelope",IF(COUNTIF(E111:T111,"&lt;0")&gt;0,"Amount below zero",IF(AND(ISNUMBER(C111),N(D111)&gt;C111),"More than the paycheck",""))))))</f>
        <v/>
      </c>
      <c r="W111" s="1">
        <f>IF(ISNUMBER(B111),INT(B111),0)</f>
        <v/>
      </c>
    </row>
    <row r="112">
      <c r="A112" s="1" t="n"/>
      <c r="B112" s="21" t="n"/>
      <c r="C112" s="22" t="n"/>
      <c r="D112" s="12">
        <f>IF(AND(B112="",SUMPRODUCT((E112:T112&lt;&gt;"")*1)=0),"",SUMPRODUCT((E$5:T$5&lt;&gt;"")*1,E112:T112))</f>
        <v/>
      </c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10">
        <f>IF(OR(NOT(ISNUMBER(C112)),D112=""),"",C112-D112)</f>
        <v/>
      </c>
      <c r="V112" s="18">
        <f>IF(AND(B112="",C112="",SUMPRODUCT((E112:T112&lt;&gt;"")*1)=0),"",IF(NOT(ISNUMBER(B112)),"Needs a date",IF(SUMPRODUCT((E112:T112&lt;&gt;"")*(1-ISNUMBER(E112:T112)))&gt;0,"Amount not a number",IF(SUMPRODUCT((E$5:T$5="")*(E112:T112&lt;&gt;""))&gt;0,"Amount under no envelope",IF(COUNTIF(E112:T112,"&lt;0")&gt;0,"Amount below zero",IF(AND(ISNUMBER(C112),N(D112)&gt;C112),"More than the paycheck",""))))))</f>
        <v/>
      </c>
      <c r="W112" s="1">
        <f>IF(ISNUMBER(B112),INT(B112),0)</f>
        <v/>
      </c>
    </row>
    <row r="113">
      <c r="A113" s="1" t="n"/>
      <c r="B113" s="21" t="n"/>
      <c r="C113" s="22" t="n"/>
      <c r="D113" s="12">
        <f>IF(AND(B113="",SUMPRODUCT((E113:T113&lt;&gt;"")*1)=0),"",SUMPRODUCT((E$5:T$5&lt;&gt;"")*1,E113:T113))</f>
        <v/>
      </c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10">
        <f>IF(OR(NOT(ISNUMBER(C113)),D113=""),"",C113-D113)</f>
        <v/>
      </c>
      <c r="V113" s="18">
        <f>IF(AND(B113="",C113="",SUMPRODUCT((E113:T113&lt;&gt;"")*1)=0),"",IF(NOT(ISNUMBER(B113)),"Needs a date",IF(SUMPRODUCT((E113:T113&lt;&gt;"")*(1-ISNUMBER(E113:T113)))&gt;0,"Amount not a number",IF(SUMPRODUCT((E$5:T$5="")*(E113:T113&lt;&gt;""))&gt;0,"Amount under no envelope",IF(COUNTIF(E113:T113,"&lt;0")&gt;0,"Amount below zero",IF(AND(ISNUMBER(C113),N(D113)&gt;C113),"More than the paycheck",""))))))</f>
        <v/>
      </c>
      <c r="W113" s="1">
        <f>IF(ISNUMBER(B113),INT(B113),0)</f>
        <v/>
      </c>
    </row>
    <row r="114">
      <c r="A114" s="1" t="n"/>
      <c r="B114" s="21" t="n"/>
      <c r="C114" s="22" t="n"/>
      <c r="D114" s="12">
        <f>IF(AND(B114="",SUMPRODUCT((E114:T114&lt;&gt;"")*1)=0),"",SUMPRODUCT((E$5:T$5&lt;&gt;"")*1,E114:T114))</f>
        <v/>
      </c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10">
        <f>IF(OR(NOT(ISNUMBER(C114)),D114=""),"",C114-D114)</f>
        <v/>
      </c>
      <c r="V114" s="18">
        <f>IF(AND(B114="",C114="",SUMPRODUCT((E114:T114&lt;&gt;"")*1)=0),"",IF(NOT(ISNUMBER(B114)),"Needs a date",IF(SUMPRODUCT((E114:T114&lt;&gt;"")*(1-ISNUMBER(E114:T114)))&gt;0,"Amount not a number",IF(SUMPRODUCT((E$5:T$5="")*(E114:T114&lt;&gt;""))&gt;0,"Amount under no envelope",IF(COUNTIF(E114:T114,"&lt;0")&gt;0,"Amount below zero",IF(AND(ISNUMBER(C114),N(D114)&gt;C114),"More than the paycheck",""))))))</f>
        <v/>
      </c>
      <c r="W114" s="1">
        <f>IF(ISNUMBER(B114),INT(B114),0)</f>
        <v/>
      </c>
    </row>
    <row r="115">
      <c r="A115" s="1" t="n"/>
      <c r="B115" s="21" t="n"/>
      <c r="C115" s="22" t="n"/>
      <c r="D115" s="12">
        <f>IF(AND(B115="",SUMPRODUCT((E115:T115&lt;&gt;"")*1)=0),"",SUMPRODUCT((E$5:T$5&lt;&gt;"")*1,E115:T115))</f>
        <v/>
      </c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10">
        <f>IF(OR(NOT(ISNUMBER(C115)),D115=""),"",C115-D115)</f>
        <v/>
      </c>
      <c r="V115" s="18">
        <f>IF(AND(B115="",C115="",SUMPRODUCT((E115:T115&lt;&gt;"")*1)=0),"",IF(NOT(ISNUMBER(B115)),"Needs a date",IF(SUMPRODUCT((E115:T115&lt;&gt;"")*(1-ISNUMBER(E115:T115)))&gt;0,"Amount not a number",IF(SUMPRODUCT((E$5:T$5="")*(E115:T115&lt;&gt;""))&gt;0,"Amount under no envelope",IF(COUNTIF(E115:T115,"&lt;0")&gt;0,"Amount below zero",IF(AND(ISNUMBER(C115),N(D115)&gt;C115),"More than the paycheck",""))))))</f>
        <v/>
      </c>
      <c r="W115" s="1">
        <f>IF(ISNUMBER(B115),INT(B115),0)</f>
        <v/>
      </c>
    </row>
    <row r="116">
      <c r="A116" s="1" t="n"/>
      <c r="B116" s="21" t="n"/>
      <c r="C116" s="22" t="n"/>
      <c r="D116" s="12">
        <f>IF(AND(B116="",SUMPRODUCT((E116:T116&lt;&gt;"")*1)=0),"",SUMPRODUCT((E$5:T$5&lt;&gt;"")*1,E116:T116))</f>
        <v/>
      </c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10">
        <f>IF(OR(NOT(ISNUMBER(C116)),D116=""),"",C116-D116)</f>
        <v/>
      </c>
      <c r="V116" s="18">
        <f>IF(AND(B116="",C116="",SUMPRODUCT((E116:T116&lt;&gt;"")*1)=0),"",IF(NOT(ISNUMBER(B116)),"Needs a date",IF(SUMPRODUCT((E116:T116&lt;&gt;"")*(1-ISNUMBER(E116:T116)))&gt;0,"Amount not a number",IF(SUMPRODUCT((E$5:T$5="")*(E116:T116&lt;&gt;""))&gt;0,"Amount under no envelope",IF(COUNTIF(E116:T116,"&lt;0")&gt;0,"Amount below zero",IF(AND(ISNUMBER(C116),N(D116)&gt;C116),"More than the paycheck",""))))))</f>
        <v/>
      </c>
      <c r="W116" s="1">
        <f>IF(ISNUMBER(B116),INT(B116),0)</f>
        <v/>
      </c>
    </row>
    <row r="117">
      <c r="A117" s="1" t="n"/>
      <c r="B117" s="21" t="n"/>
      <c r="C117" s="22" t="n"/>
      <c r="D117" s="12">
        <f>IF(AND(B117="",SUMPRODUCT((E117:T117&lt;&gt;"")*1)=0),"",SUMPRODUCT((E$5:T$5&lt;&gt;"")*1,E117:T117))</f>
        <v/>
      </c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10">
        <f>IF(OR(NOT(ISNUMBER(C117)),D117=""),"",C117-D117)</f>
        <v/>
      </c>
      <c r="V117" s="18">
        <f>IF(AND(B117="",C117="",SUMPRODUCT((E117:T117&lt;&gt;"")*1)=0),"",IF(NOT(ISNUMBER(B117)),"Needs a date",IF(SUMPRODUCT((E117:T117&lt;&gt;"")*(1-ISNUMBER(E117:T117)))&gt;0,"Amount not a number",IF(SUMPRODUCT((E$5:T$5="")*(E117:T117&lt;&gt;""))&gt;0,"Amount under no envelope",IF(COUNTIF(E117:T117,"&lt;0")&gt;0,"Amount below zero",IF(AND(ISNUMBER(C117),N(D117)&gt;C117),"More than the paycheck",""))))))</f>
        <v/>
      </c>
      <c r="W117" s="1">
        <f>IF(ISNUMBER(B117),INT(B117),0)</f>
        <v/>
      </c>
    </row>
    <row r="118">
      <c r="A118" s="1" t="n"/>
      <c r="B118" s="21" t="n"/>
      <c r="C118" s="22" t="n"/>
      <c r="D118" s="12">
        <f>IF(AND(B118="",SUMPRODUCT((E118:T118&lt;&gt;"")*1)=0),"",SUMPRODUCT((E$5:T$5&lt;&gt;"")*1,E118:T118))</f>
        <v/>
      </c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10">
        <f>IF(OR(NOT(ISNUMBER(C118)),D118=""),"",C118-D118)</f>
        <v/>
      </c>
      <c r="V118" s="18">
        <f>IF(AND(B118="",C118="",SUMPRODUCT((E118:T118&lt;&gt;"")*1)=0),"",IF(NOT(ISNUMBER(B118)),"Needs a date",IF(SUMPRODUCT((E118:T118&lt;&gt;"")*(1-ISNUMBER(E118:T118)))&gt;0,"Amount not a number",IF(SUMPRODUCT((E$5:T$5="")*(E118:T118&lt;&gt;""))&gt;0,"Amount under no envelope",IF(COUNTIF(E118:T118,"&lt;0")&gt;0,"Amount below zero",IF(AND(ISNUMBER(C118),N(D118)&gt;C118),"More than the paycheck",""))))))</f>
        <v/>
      </c>
      <c r="W118" s="1">
        <f>IF(ISNUMBER(B118),INT(B118),0)</f>
        <v/>
      </c>
    </row>
    <row r="119">
      <c r="A119" s="1" t="n"/>
      <c r="B119" s="21" t="n"/>
      <c r="C119" s="22" t="n"/>
      <c r="D119" s="12">
        <f>IF(AND(B119="",SUMPRODUCT((E119:T119&lt;&gt;"")*1)=0),"",SUMPRODUCT((E$5:T$5&lt;&gt;"")*1,E119:T119))</f>
        <v/>
      </c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10">
        <f>IF(OR(NOT(ISNUMBER(C119)),D119=""),"",C119-D119)</f>
        <v/>
      </c>
      <c r="V119" s="18">
        <f>IF(AND(B119="",C119="",SUMPRODUCT((E119:T119&lt;&gt;"")*1)=0),"",IF(NOT(ISNUMBER(B119)),"Needs a date",IF(SUMPRODUCT((E119:T119&lt;&gt;"")*(1-ISNUMBER(E119:T119)))&gt;0,"Amount not a number",IF(SUMPRODUCT((E$5:T$5="")*(E119:T119&lt;&gt;""))&gt;0,"Amount under no envelope",IF(COUNTIF(E119:T119,"&lt;0")&gt;0,"Amount below zero",IF(AND(ISNUMBER(C119),N(D119)&gt;C119),"More than the paycheck",""))))))</f>
        <v/>
      </c>
      <c r="W119" s="1">
        <f>IF(ISNUMBER(B119),INT(B119),0)</f>
        <v/>
      </c>
    </row>
    <row r="120">
      <c r="A120" s="1" t="n"/>
      <c r="B120" s="21" t="n"/>
      <c r="C120" s="22" t="n"/>
      <c r="D120" s="12">
        <f>IF(AND(B120="",SUMPRODUCT((E120:T120&lt;&gt;"")*1)=0),"",SUMPRODUCT((E$5:T$5&lt;&gt;"")*1,E120:T120))</f>
        <v/>
      </c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10">
        <f>IF(OR(NOT(ISNUMBER(C120)),D120=""),"",C120-D120)</f>
        <v/>
      </c>
      <c r="V120" s="18">
        <f>IF(AND(B120="",C120="",SUMPRODUCT((E120:T120&lt;&gt;"")*1)=0),"",IF(NOT(ISNUMBER(B120)),"Needs a date",IF(SUMPRODUCT((E120:T120&lt;&gt;"")*(1-ISNUMBER(E120:T120)))&gt;0,"Amount not a number",IF(SUMPRODUCT((E$5:T$5="")*(E120:T120&lt;&gt;""))&gt;0,"Amount under no envelope",IF(COUNTIF(E120:T120,"&lt;0")&gt;0,"Amount below zero",IF(AND(ISNUMBER(C120),N(D120)&gt;C120),"More than the paycheck",""))))))</f>
        <v/>
      </c>
      <c r="W120" s="1">
        <f>IF(ISNUMBER(B120),INT(B120),0)</f>
        <v/>
      </c>
    </row>
    <row r="121">
      <c r="A121" s="1" t="n"/>
      <c r="B121" s="21" t="n"/>
      <c r="C121" s="22" t="n"/>
      <c r="D121" s="12">
        <f>IF(AND(B121="",SUMPRODUCT((E121:T121&lt;&gt;"")*1)=0),"",SUMPRODUCT((E$5:T$5&lt;&gt;"")*1,E121:T121))</f>
        <v/>
      </c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10">
        <f>IF(OR(NOT(ISNUMBER(C121)),D121=""),"",C121-D121)</f>
        <v/>
      </c>
      <c r="V121" s="18">
        <f>IF(AND(B121="",C121="",SUMPRODUCT((E121:T121&lt;&gt;"")*1)=0),"",IF(NOT(ISNUMBER(B121)),"Needs a date",IF(SUMPRODUCT((E121:T121&lt;&gt;"")*(1-ISNUMBER(E121:T121)))&gt;0,"Amount not a number",IF(SUMPRODUCT((E$5:T$5="")*(E121:T121&lt;&gt;""))&gt;0,"Amount under no envelope",IF(COUNTIF(E121:T121,"&lt;0")&gt;0,"Amount below zero",IF(AND(ISNUMBER(C121),N(D121)&gt;C121),"More than the paycheck",""))))))</f>
        <v/>
      </c>
      <c r="W121" s="1">
        <f>IF(ISNUMBER(B121),INT(B121),0)</f>
        <v/>
      </c>
    </row>
    <row r="122">
      <c r="A122" s="1" t="n"/>
      <c r="B122" s="21" t="n"/>
      <c r="C122" s="22" t="n"/>
      <c r="D122" s="12">
        <f>IF(AND(B122="",SUMPRODUCT((E122:T122&lt;&gt;"")*1)=0),"",SUMPRODUCT((E$5:T$5&lt;&gt;"")*1,E122:T122))</f>
        <v/>
      </c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10">
        <f>IF(OR(NOT(ISNUMBER(C122)),D122=""),"",C122-D122)</f>
        <v/>
      </c>
      <c r="V122" s="18">
        <f>IF(AND(B122="",C122="",SUMPRODUCT((E122:T122&lt;&gt;"")*1)=0),"",IF(NOT(ISNUMBER(B122)),"Needs a date",IF(SUMPRODUCT((E122:T122&lt;&gt;"")*(1-ISNUMBER(E122:T122)))&gt;0,"Amount not a number",IF(SUMPRODUCT((E$5:T$5="")*(E122:T122&lt;&gt;""))&gt;0,"Amount under no envelope",IF(COUNTIF(E122:T122,"&lt;0")&gt;0,"Amount below zero",IF(AND(ISNUMBER(C122),N(D122)&gt;C122),"More than the paycheck",""))))))</f>
        <v/>
      </c>
      <c r="W122" s="1">
        <f>IF(ISNUMBER(B122),INT(B122),0)</f>
        <v/>
      </c>
    </row>
    <row r="123">
      <c r="A123" s="1" t="n"/>
      <c r="B123" s="21" t="n"/>
      <c r="C123" s="22" t="n"/>
      <c r="D123" s="12">
        <f>IF(AND(B123="",SUMPRODUCT((E123:T123&lt;&gt;"")*1)=0),"",SUMPRODUCT((E$5:T$5&lt;&gt;"")*1,E123:T123))</f>
        <v/>
      </c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10">
        <f>IF(OR(NOT(ISNUMBER(C123)),D123=""),"",C123-D123)</f>
        <v/>
      </c>
      <c r="V123" s="18">
        <f>IF(AND(B123="",C123="",SUMPRODUCT((E123:T123&lt;&gt;"")*1)=0),"",IF(NOT(ISNUMBER(B123)),"Needs a date",IF(SUMPRODUCT((E123:T123&lt;&gt;"")*(1-ISNUMBER(E123:T123)))&gt;0,"Amount not a number",IF(SUMPRODUCT((E$5:T$5="")*(E123:T123&lt;&gt;""))&gt;0,"Amount under no envelope",IF(COUNTIF(E123:T123,"&lt;0")&gt;0,"Amount below zero",IF(AND(ISNUMBER(C123),N(D123)&gt;C123),"More than the paycheck",""))))))</f>
        <v/>
      </c>
      <c r="W123" s="1">
        <f>IF(ISNUMBER(B123),INT(B123),0)</f>
        <v/>
      </c>
    </row>
    <row r="124">
      <c r="A124" s="1" t="n"/>
      <c r="B124" s="21" t="n"/>
      <c r="C124" s="22" t="n"/>
      <c r="D124" s="12">
        <f>IF(AND(B124="",SUMPRODUCT((E124:T124&lt;&gt;"")*1)=0),"",SUMPRODUCT((E$5:T$5&lt;&gt;"")*1,E124:T124))</f>
        <v/>
      </c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10">
        <f>IF(OR(NOT(ISNUMBER(C124)),D124=""),"",C124-D124)</f>
        <v/>
      </c>
      <c r="V124" s="18">
        <f>IF(AND(B124="",C124="",SUMPRODUCT((E124:T124&lt;&gt;"")*1)=0),"",IF(NOT(ISNUMBER(B124)),"Needs a date",IF(SUMPRODUCT((E124:T124&lt;&gt;"")*(1-ISNUMBER(E124:T124)))&gt;0,"Amount not a number",IF(SUMPRODUCT((E$5:T$5="")*(E124:T124&lt;&gt;""))&gt;0,"Amount under no envelope",IF(COUNTIF(E124:T124,"&lt;0")&gt;0,"Amount below zero",IF(AND(ISNUMBER(C124),N(D124)&gt;C124),"More than the paycheck",""))))))</f>
        <v/>
      </c>
      <c r="W124" s="1">
        <f>IF(ISNUMBER(B124),INT(B124),0)</f>
        <v/>
      </c>
    </row>
    <row r="125">
      <c r="A125" s="1" t="n"/>
      <c r="B125" s="21" t="n"/>
      <c r="C125" s="22" t="n"/>
      <c r="D125" s="12">
        <f>IF(AND(B125="",SUMPRODUCT((E125:T125&lt;&gt;"")*1)=0),"",SUMPRODUCT((E$5:T$5&lt;&gt;"")*1,E125:T125))</f>
        <v/>
      </c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10">
        <f>IF(OR(NOT(ISNUMBER(C125)),D125=""),"",C125-D125)</f>
        <v/>
      </c>
      <c r="V125" s="18">
        <f>IF(AND(B125="",C125="",SUMPRODUCT((E125:T125&lt;&gt;"")*1)=0),"",IF(NOT(ISNUMBER(B125)),"Needs a date",IF(SUMPRODUCT((E125:T125&lt;&gt;"")*(1-ISNUMBER(E125:T125)))&gt;0,"Amount not a number",IF(SUMPRODUCT((E$5:T$5="")*(E125:T125&lt;&gt;""))&gt;0,"Amount under no envelope",IF(COUNTIF(E125:T125,"&lt;0")&gt;0,"Amount below zero",IF(AND(ISNUMBER(C125),N(D125)&gt;C125),"More than the paycheck",""))))))</f>
        <v/>
      </c>
      <c r="W125" s="1">
        <f>IF(ISNUMBER(B125),INT(B125),0)</f>
        <v/>
      </c>
    </row>
    <row r="126">
      <c r="A126" s="1" t="n"/>
      <c r="B126" s="21" t="n"/>
      <c r="C126" s="22" t="n"/>
      <c r="D126" s="12">
        <f>IF(AND(B126="",SUMPRODUCT((E126:T126&lt;&gt;"")*1)=0),"",SUMPRODUCT((E$5:T$5&lt;&gt;"")*1,E126:T126))</f>
        <v/>
      </c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10">
        <f>IF(OR(NOT(ISNUMBER(C126)),D126=""),"",C126-D126)</f>
        <v/>
      </c>
      <c r="V126" s="18">
        <f>IF(AND(B126="",C126="",SUMPRODUCT((E126:T126&lt;&gt;"")*1)=0),"",IF(NOT(ISNUMBER(B126)),"Needs a date",IF(SUMPRODUCT((E126:T126&lt;&gt;"")*(1-ISNUMBER(E126:T126)))&gt;0,"Amount not a number",IF(SUMPRODUCT((E$5:T$5="")*(E126:T126&lt;&gt;""))&gt;0,"Amount under no envelope",IF(COUNTIF(E126:T126,"&lt;0")&gt;0,"Amount below zero",IF(AND(ISNUMBER(C126),N(D126)&gt;C126),"More than the paycheck",""))))))</f>
        <v/>
      </c>
      <c r="W126" s="1">
        <f>IF(ISNUMBER(B126),INT(B126),0)</f>
        <v/>
      </c>
    </row>
    <row r="127">
      <c r="A127" s="1" t="n"/>
      <c r="B127" s="21" t="n"/>
      <c r="C127" s="22" t="n"/>
      <c r="D127" s="12">
        <f>IF(AND(B127="",SUMPRODUCT((E127:T127&lt;&gt;"")*1)=0),"",SUMPRODUCT((E$5:T$5&lt;&gt;"")*1,E127:T127))</f>
        <v/>
      </c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10">
        <f>IF(OR(NOT(ISNUMBER(C127)),D127=""),"",C127-D127)</f>
        <v/>
      </c>
      <c r="V127" s="18">
        <f>IF(AND(B127="",C127="",SUMPRODUCT((E127:T127&lt;&gt;"")*1)=0),"",IF(NOT(ISNUMBER(B127)),"Needs a date",IF(SUMPRODUCT((E127:T127&lt;&gt;"")*(1-ISNUMBER(E127:T127)))&gt;0,"Amount not a number",IF(SUMPRODUCT((E$5:T$5="")*(E127:T127&lt;&gt;""))&gt;0,"Amount under no envelope",IF(COUNTIF(E127:T127,"&lt;0")&gt;0,"Amount below zero",IF(AND(ISNUMBER(C127),N(D127)&gt;C127),"More than the paycheck",""))))))</f>
        <v/>
      </c>
      <c r="W127" s="1">
        <f>IF(ISNUMBER(B127),INT(B127),0)</f>
        <v/>
      </c>
    </row>
    <row r="128">
      <c r="A128" s="1" t="n"/>
      <c r="B128" s="21" t="n"/>
      <c r="C128" s="22" t="n"/>
      <c r="D128" s="12">
        <f>IF(AND(B128="",SUMPRODUCT((E128:T128&lt;&gt;"")*1)=0),"",SUMPRODUCT((E$5:T$5&lt;&gt;"")*1,E128:T128))</f>
        <v/>
      </c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10">
        <f>IF(OR(NOT(ISNUMBER(C128)),D128=""),"",C128-D128)</f>
        <v/>
      </c>
      <c r="V128" s="18">
        <f>IF(AND(B128="",C128="",SUMPRODUCT((E128:T128&lt;&gt;"")*1)=0),"",IF(NOT(ISNUMBER(B128)),"Needs a date",IF(SUMPRODUCT((E128:T128&lt;&gt;"")*(1-ISNUMBER(E128:T128)))&gt;0,"Amount not a number",IF(SUMPRODUCT((E$5:T$5="")*(E128:T128&lt;&gt;""))&gt;0,"Amount under no envelope",IF(COUNTIF(E128:T128,"&lt;0")&gt;0,"Amount below zero",IF(AND(ISNUMBER(C128),N(D128)&gt;C128),"More than the paycheck",""))))))</f>
        <v/>
      </c>
      <c r="W128" s="1">
        <f>IF(ISNUMBER(B128),INT(B128),0)</f>
        <v/>
      </c>
    </row>
    <row r="129">
      <c r="A129" s="1" t="n"/>
      <c r="B129" s="21" t="n"/>
      <c r="C129" s="22" t="n"/>
      <c r="D129" s="12">
        <f>IF(AND(B129="",SUMPRODUCT((E129:T129&lt;&gt;"")*1)=0),"",SUMPRODUCT((E$5:T$5&lt;&gt;"")*1,E129:T129))</f>
        <v/>
      </c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10">
        <f>IF(OR(NOT(ISNUMBER(C129)),D129=""),"",C129-D129)</f>
        <v/>
      </c>
      <c r="V129" s="18">
        <f>IF(AND(B129="",C129="",SUMPRODUCT((E129:T129&lt;&gt;"")*1)=0),"",IF(NOT(ISNUMBER(B129)),"Needs a date",IF(SUMPRODUCT((E129:T129&lt;&gt;"")*(1-ISNUMBER(E129:T129)))&gt;0,"Amount not a number",IF(SUMPRODUCT((E$5:T$5="")*(E129:T129&lt;&gt;""))&gt;0,"Amount under no envelope",IF(COUNTIF(E129:T129,"&lt;0")&gt;0,"Amount below zero",IF(AND(ISNUMBER(C129),N(D129)&gt;C129),"More than the paycheck",""))))))</f>
        <v/>
      </c>
      <c r="W129" s="1">
        <f>IF(ISNUMBER(B129),INT(B129),0)</f>
        <v/>
      </c>
    </row>
    <row r="130">
      <c r="A130" s="1" t="n"/>
      <c r="B130" s="21" t="n"/>
      <c r="C130" s="22" t="n"/>
      <c r="D130" s="12">
        <f>IF(AND(B130="",SUMPRODUCT((E130:T130&lt;&gt;"")*1)=0),"",SUMPRODUCT((E$5:T$5&lt;&gt;"")*1,E130:T130))</f>
        <v/>
      </c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10">
        <f>IF(OR(NOT(ISNUMBER(C130)),D130=""),"",C130-D130)</f>
        <v/>
      </c>
      <c r="V130" s="18">
        <f>IF(AND(B130="",C130="",SUMPRODUCT((E130:T130&lt;&gt;"")*1)=0),"",IF(NOT(ISNUMBER(B130)),"Needs a date",IF(SUMPRODUCT((E130:T130&lt;&gt;"")*(1-ISNUMBER(E130:T130)))&gt;0,"Amount not a number",IF(SUMPRODUCT((E$5:T$5="")*(E130:T130&lt;&gt;""))&gt;0,"Amount under no envelope",IF(COUNTIF(E130:T130,"&lt;0")&gt;0,"Amount below zero",IF(AND(ISNUMBER(C130),N(D130)&gt;C130),"More than the paycheck",""))))))</f>
        <v/>
      </c>
      <c r="W130" s="1">
        <f>IF(ISNUMBER(B130),INT(B130),0)</f>
        <v/>
      </c>
    </row>
    <row r="131">
      <c r="A131" s="1" t="n"/>
      <c r="B131" s="21" t="n"/>
      <c r="C131" s="22" t="n"/>
      <c r="D131" s="12">
        <f>IF(AND(B131="",SUMPRODUCT((E131:T131&lt;&gt;"")*1)=0),"",SUMPRODUCT((E$5:T$5&lt;&gt;"")*1,E131:T131))</f>
        <v/>
      </c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10">
        <f>IF(OR(NOT(ISNUMBER(C131)),D131=""),"",C131-D131)</f>
        <v/>
      </c>
      <c r="V131" s="18">
        <f>IF(AND(B131="",C131="",SUMPRODUCT((E131:T131&lt;&gt;"")*1)=0),"",IF(NOT(ISNUMBER(B131)),"Needs a date",IF(SUMPRODUCT((E131:T131&lt;&gt;"")*(1-ISNUMBER(E131:T131)))&gt;0,"Amount not a number",IF(SUMPRODUCT((E$5:T$5="")*(E131:T131&lt;&gt;""))&gt;0,"Amount under no envelope",IF(COUNTIF(E131:T131,"&lt;0")&gt;0,"Amount below zero",IF(AND(ISNUMBER(C131),N(D131)&gt;C131),"More than the paycheck",""))))))</f>
        <v/>
      </c>
      <c r="W131" s="1">
        <f>IF(ISNUMBER(B131),INT(B131),0)</f>
        <v/>
      </c>
    </row>
    <row r="132">
      <c r="A132" s="1" t="n"/>
      <c r="B132" s="21" t="n"/>
      <c r="C132" s="22" t="n"/>
      <c r="D132" s="12">
        <f>IF(AND(B132="",SUMPRODUCT((E132:T132&lt;&gt;"")*1)=0),"",SUMPRODUCT((E$5:T$5&lt;&gt;"")*1,E132:T132))</f>
        <v/>
      </c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10">
        <f>IF(OR(NOT(ISNUMBER(C132)),D132=""),"",C132-D132)</f>
        <v/>
      </c>
      <c r="V132" s="18">
        <f>IF(AND(B132="",C132="",SUMPRODUCT((E132:T132&lt;&gt;"")*1)=0),"",IF(NOT(ISNUMBER(B132)),"Needs a date",IF(SUMPRODUCT((E132:T132&lt;&gt;"")*(1-ISNUMBER(E132:T132)))&gt;0,"Amount not a number",IF(SUMPRODUCT((E$5:T$5="")*(E132:T132&lt;&gt;""))&gt;0,"Amount under no envelope",IF(COUNTIF(E132:T132,"&lt;0")&gt;0,"Amount below zero",IF(AND(ISNUMBER(C132),N(D132)&gt;C132),"More than the paycheck",""))))))</f>
        <v/>
      </c>
      <c r="W132" s="1">
        <f>IF(ISNUMBER(B132),INT(B132),0)</f>
        <v/>
      </c>
    </row>
    <row r="133">
      <c r="A133" s="1" t="n"/>
      <c r="B133" s="21" t="n"/>
      <c r="C133" s="22" t="n"/>
      <c r="D133" s="12">
        <f>IF(AND(B133="",SUMPRODUCT((E133:T133&lt;&gt;"")*1)=0),"",SUMPRODUCT((E$5:T$5&lt;&gt;"")*1,E133:T133))</f>
        <v/>
      </c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10">
        <f>IF(OR(NOT(ISNUMBER(C133)),D133=""),"",C133-D133)</f>
        <v/>
      </c>
      <c r="V133" s="18">
        <f>IF(AND(B133="",C133="",SUMPRODUCT((E133:T133&lt;&gt;"")*1)=0),"",IF(NOT(ISNUMBER(B133)),"Needs a date",IF(SUMPRODUCT((E133:T133&lt;&gt;"")*(1-ISNUMBER(E133:T133)))&gt;0,"Amount not a number",IF(SUMPRODUCT((E$5:T$5="")*(E133:T133&lt;&gt;""))&gt;0,"Amount under no envelope",IF(COUNTIF(E133:T133,"&lt;0")&gt;0,"Amount below zero",IF(AND(ISNUMBER(C133),N(D133)&gt;C133),"More than the paycheck",""))))))</f>
        <v/>
      </c>
      <c r="W133" s="1">
        <f>IF(ISNUMBER(B133),INT(B133),0)</f>
        <v/>
      </c>
    </row>
    <row r="134">
      <c r="A134" s="1" t="n"/>
      <c r="B134" s="21" t="n"/>
      <c r="C134" s="22" t="n"/>
      <c r="D134" s="12">
        <f>IF(AND(B134="",SUMPRODUCT((E134:T134&lt;&gt;"")*1)=0),"",SUMPRODUCT((E$5:T$5&lt;&gt;"")*1,E134:T134))</f>
        <v/>
      </c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10">
        <f>IF(OR(NOT(ISNUMBER(C134)),D134=""),"",C134-D134)</f>
        <v/>
      </c>
      <c r="V134" s="18">
        <f>IF(AND(B134="",C134="",SUMPRODUCT((E134:T134&lt;&gt;"")*1)=0),"",IF(NOT(ISNUMBER(B134)),"Needs a date",IF(SUMPRODUCT((E134:T134&lt;&gt;"")*(1-ISNUMBER(E134:T134)))&gt;0,"Amount not a number",IF(SUMPRODUCT((E$5:T$5="")*(E134:T134&lt;&gt;""))&gt;0,"Amount under no envelope",IF(COUNTIF(E134:T134,"&lt;0")&gt;0,"Amount below zero",IF(AND(ISNUMBER(C134),N(D134)&gt;C134),"More than the paycheck",""))))))</f>
        <v/>
      </c>
      <c r="W134" s="1">
        <f>IF(ISNUMBER(B134),INT(B134),0)</f>
        <v/>
      </c>
    </row>
    <row r="135">
      <c r="A135" s="1" t="n"/>
      <c r="B135" s="21" t="n"/>
      <c r="C135" s="22" t="n"/>
      <c r="D135" s="12">
        <f>IF(AND(B135="",SUMPRODUCT((E135:T135&lt;&gt;"")*1)=0),"",SUMPRODUCT((E$5:T$5&lt;&gt;"")*1,E135:T135))</f>
        <v/>
      </c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10">
        <f>IF(OR(NOT(ISNUMBER(C135)),D135=""),"",C135-D135)</f>
        <v/>
      </c>
      <c r="V135" s="18">
        <f>IF(AND(B135="",C135="",SUMPRODUCT((E135:T135&lt;&gt;"")*1)=0),"",IF(NOT(ISNUMBER(B135)),"Needs a date",IF(SUMPRODUCT((E135:T135&lt;&gt;"")*(1-ISNUMBER(E135:T135)))&gt;0,"Amount not a number",IF(SUMPRODUCT((E$5:T$5="")*(E135:T135&lt;&gt;""))&gt;0,"Amount under no envelope",IF(COUNTIF(E135:T135,"&lt;0")&gt;0,"Amount below zero",IF(AND(ISNUMBER(C135),N(D135)&gt;C135),"More than the paycheck",""))))))</f>
        <v/>
      </c>
      <c r="W135" s="1">
        <f>IF(ISNUMBER(B135),INT(B135),0)</f>
        <v/>
      </c>
    </row>
    <row r="136">
      <c r="A136" s="1" t="n"/>
      <c r="B136" s="21" t="n"/>
      <c r="C136" s="22" t="n"/>
      <c r="D136" s="12">
        <f>IF(AND(B136="",SUMPRODUCT((E136:T136&lt;&gt;"")*1)=0),"",SUMPRODUCT((E$5:T$5&lt;&gt;"")*1,E136:T136))</f>
        <v/>
      </c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10">
        <f>IF(OR(NOT(ISNUMBER(C136)),D136=""),"",C136-D136)</f>
        <v/>
      </c>
      <c r="V136" s="18">
        <f>IF(AND(B136="",C136="",SUMPRODUCT((E136:T136&lt;&gt;"")*1)=0),"",IF(NOT(ISNUMBER(B136)),"Needs a date",IF(SUMPRODUCT((E136:T136&lt;&gt;"")*(1-ISNUMBER(E136:T136)))&gt;0,"Amount not a number",IF(SUMPRODUCT((E$5:T$5="")*(E136:T136&lt;&gt;""))&gt;0,"Amount under no envelope",IF(COUNTIF(E136:T136,"&lt;0")&gt;0,"Amount below zero",IF(AND(ISNUMBER(C136),N(D136)&gt;C136),"More than the paycheck",""))))))</f>
        <v/>
      </c>
      <c r="W136" s="1">
        <f>IF(ISNUMBER(B136),INT(B136),0)</f>
        <v/>
      </c>
    </row>
    <row r="137">
      <c r="A137" s="1" t="n"/>
      <c r="B137" s="21" t="n"/>
      <c r="C137" s="22" t="n"/>
      <c r="D137" s="12">
        <f>IF(AND(B137="",SUMPRODUCT((E137:T137&lt;&gt;"")*1)=0),"",SUMPRODUCT((E$5:T$5&lt;&gt;"")*1,E137:T137))</f>
        <v/>
      </c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10">
        <f>IF(OR(NOT(ISNUMBER(C137)),D137=""),"",C137-D137)</f>
        <v/>
      </c>
      <c r="V137" s="18">
        <f>IF(AND(B137="",C137="",SUMPRODUCT((E137:T137&lt;&gt;"")*1)=0),"",IF(NOT(ISNUMBER(B137)),"Needs a date",IF(SUMPRODUCT((E137:T137&lt;&gt;"")*(1-ISNUMBER(E137:T137)))&gt;0,"Amount not a number",IF(SUMPRODUCT((E$5:T$5="")*(E137:T137&lt;&gt;""))&gt;0,"Amount under no envelope",IF(COUNTIF(E137:T137,"&lt;0")&gt;0,"Amount below zero",IF(AND(ISNUMBER(C137),N(D137)&gt;C137),"More than the paycheck",""))))))</f>
        <v/>
      </c>
      <c r="W137" s="1">
        <f>IF(ISNUMBER(B137),INT(B137),0)</f>
        <v/>
      </c>
    </row>
    <row r="138">
      <c r="A138" s="1" t="n"/>
      <c r="B138" s="21" t="n"/>
      <c r="C138" s="22" t="n"/>
      <c r="D138" s="12">
        <f>IF(AND(B138="",SUMPRODUCT((E138:T138&lt;&gt;"")*1)=0),"",SUMPRODUCT((E$5:T$5&lt;&gt;"")*1,E138:T138))</f>
        <v/>
      </c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10">
        <f>IF(OR(NOT(ISNUMBER(C138)),D138=""),"",C138-D138)</f>
        <v/>
      </c>
      <c r="V138" s="18">
        <f>IF(AND(B138="",C138="",SUMPRODUCT((E138:T138&lt;&gt;"")*1)=0),"",IF(NOT(ISNUMBER(B138)),"Needs a date",IF(SUMPRODUCT((E138:T138&lt;&gt;"")*(1-ISNUMBER(E138:T138)))&gt;0,"Amount not a number",IF(SUMPRODUCT((E$5:T$5="")*(E138:T138&lt;&gt;""))&gt;0,"Amount under no envelope",IF(COUNTIF(E138:T138,"&lt;0")&gt;0,"Amount below zero",IF(AND(ISNUMBER(C138),N(D138)&gt;C138),"More than the paycheck",""))))))</f>
        <v/>
      </c>
      <c r="W138" s="1">
        <f>IF(ISNUMBER(B138),INT(B138),0)</f>
        <v/>
      </c>
    </row>
    <row r="139">
      <c r="A139" s="1" t="n"/>
      <c r="B139" s="21" t="n"/>
      <c r="C139" s="22" t="n"/>
      <c r="D139" s="12">
        <f>IF(AND(B139="",SUMPRODUCT((E139:T139&lt;&gt;"")*1)=0),"",SUMPRODUCT((E$5:T$5&lt;&gt;"")*1,E139:T139))</f>
        <v/>
      </c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10">
        <f>IF(OR(NOT(ISNUMBER(C139)),D139=""),"",C139-D139)</f>
        <v/>
      </c>
      <c r="V139" s="18">
        <f>IF(AND(B139="",C139="",SUMPRODUCT((E139:T139&lt;&gt;"")*1)=0),"",IF(NOT(ISNUMBER(B139)),"Needs a date",IF(SUMPRODUCT((E139:T139&lt;&gt;"")*(1-ISNUMBER(E139:T139)))&gt;0,"Amount not a number",IF(SUMPRODUCT((E$5:T$5="")*(E139:T139&lt;&gt;""))&gt;0,"Amount under no envelope",IF(COUNTIF(E139:T139,"&lt;0")&gt;0,"Amount below zero",IF(AND(ISNUMBER(C139),N(D139)&gt;C139),"More than the paycheck",""))))))</f>
        <v/>
      </c>
      <c r="W139" s="1">
        <f>IF(ISNUMBER(B139),INT(B139),0)</f>
        <v/>
      </c>
    </row>
    <row r="140">
      <c r="A140" s="1" t="n"/>
      <c r="B140" s="21" t="n"/>
      <c r="C140" s="22" t="n"/>
      <c r="D140" s="12">
        <f>IF(AND(B140="",SUMPRODUCT((E140:T140&lt;&gt;"")*1)=0),"",SUMPRODUCT((E$5:T$5&lt;&gt;"")*1,E140:T140))</f>
        <v/>
      </c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10">
        <f>IF(OR(NOT(ISNUMBER(C140)),D140=""),"",C140-D140)</f>
        <v/>
      </c>
      <c r="V140" s="18">
        <f>IF(AND(B140="",C140="",SUMPRODUCT((E140:T140&lt;&gt;"")*1)=0),"",IF(NOT(ISNUMBER(B140)),"Needs a date",IF(SUMPRODUCT((E140:T140&lt;&gt;"")*(1-ISNUMBER(E140:T140)))&gt;0,"Amount not a number",IF(SUMPRODUCT((E$5:T$5="")*(E140:T140&lt;&gt;""))&gt;0,"Amount under no envelope",IF(COUNTIF(E140:T140,"&lt;0")&gt;0,"Amount below zero",IF(AND(ISNUMBER(C140),N(D140)&gt;C140),"More than the paycheck",""))))))</f>
        <v/>
      </c>
      <c r="W140" s="1">
        <f>IF(ISNUMBER(B140),INT(B140),0)</f>
        <v/>
      </c>
    </row>
    <row r="141">
      <c r="A141" s="1" t="n"/>
      <c r="B141" s="21" t="n"/>
      <c r="C141" s="22" t="n"/>
      <c r="D141" s="12">
        <f>IF(AND(B141="",SUMPRODUCT((E141:T141&lt;&gt;"")*1)=0),"",SUMPRODUCT((E$5:T$5&lt;&gt;"")*1,E141:T141))</f>
        <v/>
      </c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10">
        <f>IF(OR(NOT(ISNUMBER(C141)),D141=""),"",C141-D141)</f>
        <v/>
      </c>
      <c r="V141" s="18">
        <f>IF(AND(B141="",C141="",SUMPRODUCT((E141:T141&lt;&gt;"")*1)=0),"",IF(NOT(ISNUMBER(B141)),"Needs a date",IF(SUMPRODUCT((E141:T141&lt;&gt;"")*(1-ISNUMBER(E141:T141)))&gt;0,"Amount not a number",IF(SUMPRODUCT((E$5:T$5="")*(E141:T141&lt;&gt;""))&gt;0,"Amount under no envelope",IF(COUNTIF(E141:T141,"&lt;0")&gt;0,"Amount below zero",IF(AND(ISNUMBER(C141),N(D141)&gt;C141),"More than the paycheck",""))))))</f>
        <v/>
      </c>
      <c r="W141" s="1">
        <f>IF(ISNUMBER(B141),INT(B141),0)</f>
        <v/>
      </c>
    </row>
    <row r="142">
      <c r="A142" s="1" t="n"/>
      <c r="B142" s="21" t="n"/>
      <c r="C142" s="22" t="n"/>
      <c r="D142" s="12">
        <f>IF(AND(B142="",SUMPRODUCT((E142:T142&lt;&gt;"")*1)=0),"",SUMPRODUCT((E$5:T$5&lt;&gt;"")*1,E142:T142))</f>
        <v/>
      </c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10">
        <f>IF(OR(NOT(ISNUMBER(C142)),D142=""),"",C142-D142)</f>
        <v/>
      </c>
      <c r="V142" s="18">
        <f>IF(AND(B142="",C142="",SUMPRODUCT((E142:T142&lt;&gt;"")*1)=0),"",IF(NOT(ISNUMBER(B142)),"Needs a date",IF(SUMPRODUCT((E142:T142&lt;&gt;"")*(1-ISNUMBER(E142:T142)))&gt;0,"Amount not a number",IF(SUMPRODUCT((E$5:T$5="")*(E142:T142&lt;&gt;""))&gt;0,"Amount under no envelope",IF(COUNTIF(E142:T142,"&lt;0")&gt;0,"Amount below zero",IF(AND(ISNUMBER(C142),N(D142)&gt;C142),"More than the paycheck",""))))))</f>
        <v/>
      </c>
      <c r="W142" s="1">
        <f>IF(ISNUMBER(B142),INT(B142),0)</f>
        <v/>
      </c>
    </row>
    <row r="143">
      <c r="A143" s="1" t="n"/>
      <c r="B143" s="21" t="n"/>
      <c r="C143" s="22" t="n"/>
      <c r="D143" s="12">
        <f>IF(AND(B143="",SUMPRODUCT((E143:T143&lt;&gt;"")*1)=0),"",SUMPRODUCT((E$5:T$5&lt;&gt;"")*1,E143:T143))</f>
        <v/>
      </c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10">
        <f>IF(OR(NOT(ISNUMBER(C143)),D143=""),"",C143-D143)</f>
        <v/>
      </c>
      <c r="V143" s="18">
        <f>IF(AND(B143="",C143="",SUMPRODUCT((E143:T143&lt;&gt;"")*1)=0),"",IF(NOT(ISNUMBER(B143)),"Needs a date",IF(SUMPRODUCT((E143:T143&lt;&gt;"")*(1-ISNUMBER(E143:T143)))&gt;0,"Amount not a number",IF(SUMPRODUCT((E$5:T$5="")*(E143:T143&lt;&gt;""))&gt;0,"Amount under no envelope",IF(COUNTIF(E143:T143,"&lt;0")&gt;0,"Amount below zero",IF(AND(ISNUMBER(C143),N(D143)&gt;C143),"More than the paycheck",""))))))</f>
        <v/>
      </c>
      <c r="W143" s="1">
        <f>IF(ISNUMBER(B143),INT(B143),0)</f>
        <v/>
      </c>
    </row>
    <row r="144">
      <c r="A144" s="1" t="n"/>
      <c r="B144" s="21" t="n"/>
      <c r="C144" s="22" t="n"/>
      <c r="D144" s="12">
        <f>IF(AND(B144="",SUMPRODUCT((E144:T144&lt;&gt;"")*1)=0),"",SUMPRODUCT((E$5:T$5&lt;&gt;"")*1,E144:T144))</f>
        <v/>
      </c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10">
        <f>IF(OR(NOT(ISNUMBER(C144)),D144=""),"",C144-D144)</f>
        <v/>
      </c>
      <c r="V144" s="18">
        <f>IF(AND(B144="",C144="",SUMPRODUCT((E144:T144&lt;&gt;"")*1)=0),"",IF(NOT(ISNUMBER(B144)),"Needs a date",IF(SUMPRODUCT((E144:T144&lt;&gt;"")*(1-ISNUMBER(E144:T144)))&gt;0,"Amount not a number",IF(SUMPRODUCT((E$5:T$5="")*(E144:T144&lt;&gt;""))&gt;0,"Amount under no envelope",IF(COUNTIF(E144:T144,"&lt;0")&gt;0,"Amount below zero",IF(AND(ISNUMBER(C144),N(D144)&gt;C144),"More than the paycheck",""))))))</f>
        <v/>
      </c>
      <c r="W144" s="1">
        <f>IF(ISNUMBER(B144),INT(B144),0)</f>
        <v/>
      </c>
    </row>
    <row r="145">
      <c r="A145" s="1" t="n"/>
      <c r="B145" s="21" t="n"/>
      <c r="C145" s="22" t="n"/>
      <c r="D145" s="12">
        <f>IF(AND(B145="",SUMPRODUCT((E145:T145&lt;&gt;"")*1)=0),"",SUMPRODUCT((E$5:T$5&lt;&gt;"")*1,E145:T145))</f>
        <v/>
      </c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10">
        <f>IF(OR(NOT(ISNUMBER(C145)),D145=""),"",C145-D145)</f>
        <v/>
      </c>
      <c r="V145" s="18">
        <f>IF(AND(B145="",C145="",SUMPRODUCT((E145:T145&lt;&gt;"")*1)=0),"",IF(NOT(ISNUMBER(B145)),"Needs a date",IF(SUMPRODUCT((E145:T145&lt;&gt;"")*(1-ISNUMBER(E145:T145)))&gt;0,"Amount not a number",IF(SUMPRODUCT((E$5:T$5="")*(E145:T145&lt;&gt;""))&gt;0,"Amount under no envelope",IF(COUNTIF(E145:T145,"&lt;0")&gt;0,"Amount below zero",IF(AND(ISNUMBER(C145),N(D145)&gt;C145),"More than the paycheck",""))))))</f>
        <v/>
      </c>
      <c r="W145" s="1">
        <f>IF(ISNUMBER(B145),INT(B145),0)</f>
        <v/>
      </c>
    </row>
    <row r="146">
      <c r="A146" s="1" t="n"/>
      <c r="B146" s="21" t="n"/>
      <c r="C146" s="22" t="n"/>
      <c r="D146" s="12">
        <f>IF(AND(B146="",SUMPRODUCT((E146:T146&lt;&gt;"")*1)=0),"",SUMPRODUCT((E$5:T$5&lt;&gt;"")*1,E146:T146))</f>
        <v/>
      </c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10">
        <f>IF(OR(NOT(ISNUMBER(C146)),D146=""),"",C146-D146)</f>
        <v/>
      </c>
      <c r="V146" s="18">
        <f>IF(AND(B146="",C146="",SUMPRODUCT((E146:T146&lt;&gt;"")*1)=0),"",IF(NOT(ISNUMBER(B146)),"Needs a date",IF(SUMPRODUCT((E146:T146&lt;&gt;"")*(1-ISNUMBER(E146:T146)))&gt;0,"Amount not a number",IF(SUMPRODUCT((E$5:T$5="")*(E146:T146&lt;&gt;""))&gt;0,"Amount under no envelope",IF(COUNTIF(E146:T146,"&lt;0")&gt;0,"Amount below zero",IF(AND(ISNUMBER(C146),N(D146)&gt;C146),"More than the paycheck",""))))))</f>
        <v/>
      </c>
      <c r="W146" s="1">
        <f>IF(ISNUMBER(B146),INT(B146),0)</f>
        <v/>
      </c>
    </row>
    <row r="147">
      <c r="A147" s="1" t="n"/>
      <c r="B147" s="21" t="n"/>
      <c r="C147" s="22" t="n"/>
      <c r="D147" s="12">
        <f>IF(AND(B147="",SUMPRODUCT((E147:T147&lt;&gt;"")*1)=0),"",SUMPRODUCT((E$5:T$5&lt;&gt;"")*1,E147:T147))</f>
        <v/>
      </c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10">
        <f>IF(OR(NOT(ISNUMBER(C147)),D147=""),"",C147-D147)</f>
        <v/>
      </c>
      <c r="V147" s="18">
        <f>IF(AND(B147="",C147="",SUMPRODUCT((E147:T147&lt;&gt;"")*1)=0),"",IF(NOT(ISNUMBER(B147)),"Needs a date",IF(SUMPRODUCT((E147:T147&lt;&gt;"")*(1-ISNUMBER(E147:T147)))&gt;0,"Amount not a number",IF(SUMPRODUCT((E$5:T$5="")*(E147:T147&lt;&gt;""))&gt;0,"Amount under no envelope",IF(COUNTIF(E147:T147,"&lt;0")&gt;0,"Amount below zero",IF(AND(ISNUMBER(C147),N(D147)&gt;C147),"More than the paycheck",""))))))</f>
        <v/>
      </c>
      <c r="W147" s="1">
        <f>IF(ISNUMBER(B147),INT(B147),0)</f>
        <v/>
      </c>
    </row>
    <row r="148">
      <c r="A148" s="1" t="n"/>
      <c r="B148" s="21" t="n"/>
      <c r="C148" s="22" t="n"/>
      <c r="D148" s="12">
        <f>IF(AND(B148="",SUMPRODUCT((E148:T148&lt;&gt;"")*1)=0),"",SUMPRODUCT((E$5:T$5&lt;&gt;"")*1,E148:T148))</f>
        <v/>
      </c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10">
        <f>IF(OR(NOT(ISNUMBER(C148)),D148=""),"",C148-D148)</f>
        <v/>
      </c>
      <c r="V148" s="18">
        <f>IF(AND(B148="",C148="",SUMPRODUCT((E148:T148&lt;&gt;"")*1)=0),"",IF(NOT(ISNUMBER(B148)),"Needs a date",IF(SUMPRODUCT((E148:T148&lt;&gt;"")*(1-ISNUMBER(E148:T148)))&gt;0,"Amount not a number",IF(SUMPRODUCT((E$5:T$5="")*(E148:T148&lt;&gt;""))&gt;0,"Amount under no envelope",IF(COUNTIF(E148:T148,"&lt;0")&gt;0,"Amount below zero",IF(AND(ISNUMBER(C148),N(D148)&gt;C148),"More than the paycheck",""))))))</f>
        <v/>
      </c>
      <c r="W148" s="1">
        <f>IF(ISNUMBER(B148),INT(B148),0)</f>
        <v/>
      </c>
    </row>
    <row r="149">
      <c r="A149" s="1" t="n"/>
      <c r="B149" s="21" t="n"/>
      <c r="C149" s="22" t="n"/>
      <c r="D149" s="12">
        <f>IF(AND(B149="",SUMPRODUCT((E149:T149&lt;&gt;"")*1)=0),"",SUMPRODUCT((E$5:T$5&lt;&gt;"")*1,E149:T149))</f>
        <v/>
      </c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10">
        <f>IF(OR(NOT(ISNUMBER(C149)),D149=""),"",C149-D149)</f>
        <v/>
      </c>
      <c r="V149" s="18">
        <f>IF(AND(B149="",C149="",SUMPRODUCT((E149:T149&lt;&gt;"")*1)=0),"",IF(NOT(ISNUMBER(B149)),"Needs a date",IF(SUMPRODUCT((E149:T149&lt;&gt;"")*(1-ISNUMBER(E149:T149)))&gt;0,"Amount not a number",IF(SUMPRODUCT((E$5:T$5="")*(E149:T149&lt;&gt;""))&gt;0,"Amount under no envelope",IF(COUNTIF(E149:T149,"&lt;0")&gt;0,"Amount below zero",IF(AND(ISNUMBER(C149),N(D149)&gt;C149),"More than the paycheck",""))))))</f>
        <v/>
      </c>
      <c r="W149" s="1">
        <f>IF(ISNUMBER(B149),INT(B149),0)</f>
        <v/>
      </c>
    </row>
    <row r="150">
      <c r="A150" s="1" t="n"/>
      <c r="B150" s="21" t="n"/>
      <c r="C150" s="22" t="n"/>
      <c r="D150" s="12">
        <f>IF(AND(B150="",SUMPRODUCT((E150:T150&lt;&gt;"")*1)=0),"",SUMPRODUCT((E$5:T$5&lt;&gt;"")*1,E150:T150))</f>
        <v/>
      </c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10">
        <f>IF(OR(NOT(ISNUMBER(C150)),D150=""),"",C150-D150)</f>
        <v/>
      </c>
      <c r="V150" s="18">
        <f>IF(AND(B150="",C150="",SUMPRODUCT((E150:T150&lt;&gt;"")*1)=0),"",IF(NOT(ISNUMBER(B150)),"Needs a date",IF(SUMPRODUCT((E150:T150&lt;&gt;"")*(1-ISNUMBER(E150:T150)))&gt;0,"Amount not a number",IF(SUMPRODUCT((E$5:T$5="")*(E150:T150&lt;&gt;""))&gt;0,"Amount under no envelope",IF(COUNTIF(E150:T150,"&lt;0")&gt;0,"Amount below zero",IF(AND(ISNUMBER(C150),N(D150)&gt;C150),"More than the paycheck",""))))))</f>
        <v/>
      </c>
      <c r="W150" s="1">
        <f>IF(ISNUMBER(B150),INT(B150),0)</f>
        <v/>
      </c>
    </row>
    <row r="151">
      <c r="A151" s="1" t="n"/>
      <c r="B151" s="21" t="n"/>
      <c r="C151" s="22" t="n"/>
      <c r="D151" s="12">
        <f>IF(AND(B151="",SUMPRODUCT((E151:T151&lt;&gt;"")*1)=0),"",SUMPRODUCT((E$5:T$5&lt;&gt;"")*1,E151:T151))</f>
        <v/>
      </c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10">
        <f>IF(OR(NOT(ISNUMBER(C151)),D151=""),"",C151-D151)</f>
        <v/>
      </c>
      <c r="V151" s="18">
        <f>IF(AND(B151="",C151="",SUMPRODUCT((E151:T151&lt;&gt;"")*1)=0),"",IF(NOT(ISNUMBER(B151)),"Needs a date",IF(SUMPRODUCT((E151:T151&lt;&gt;"")*(1-ISNUMBER(E151:T151)))&gt;0,"Amount not a number",IF(SUMPRODUCT((E$5:T$5="")*(E151:T151&lt;&gt;""))&gt;0,"Amount under no envelope",IF(COUNTIF(E151:T151,"&lt;0")&gt;0,"Amount below zero",IF(AND(ISNUMBER(C151),N(D151)&gt;C151),"More than the paycheck",""))))))</f>
        <v/>
      </c>
      <c r="W151" s="1">
        <f>IF(ISNUMBER(B151),INT(B151),0)</f>
        <v/>
      </c>
    </row>
    <row r="152">
      <c r="A152" s="1" t="n"/>
      <c r="B152" s="21" t="n"/>
      <c r="C152" s="22" t="n"/>
      <c r="D152" s="12">
        <f>IF(AND(B152="",SUMPRODUCT((E152:T152&lt;&gt;"")*1)=0),"",SUMPRODUCT((E$5:T$5&lt;&gt;"")*1,E152:T152))</f>
        <v/>
      </c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10">
        <f>IF(OR(NOT(ISNUMBER(C152)),D152=""),"",C152-D152)</f>
        <v/>
      </c>
      <c r="V152" s="18">
        <f>IF(AND(B152="",C152="",SUMPRODUCT((E152:T152&lt;&gt;"")*1)=0),"",IF(NOT(ISNUMBER(B152)),"Needs a date",IF(SUMPRODUCT((E152:T152&lt;&gt;"")*(1-ISNUMBER(E152:T152)))&gt;0,"Amount not a number",IF(SUMPRODUCT((E$5:T$5="")*(E152:T152&lt;&gt;""))&gt;0,"Amount under no envelope",IF(COUNTIF(E152:T152,"&lt;0")&gt;0,"Amount below zero",IF(AND(ISNUMBER(C152),N(D152)&gt;C152),"More than the paycheck",""))))))</f>
        <v/>
      </c>
      <c r="W152" s="1">
        <f>IF(ISNUMBER(B152),INT(B152),0)</f>
        <v/>
      </c>
    </row>
    <row r="153">
      <c r="A153" s="1" t="n"/>
      <c r="B153" s="21" t="n"/>
      <c r="C153" s="22" t="n"/>
      <c r="D153" s="12">
        <f>IF(AND(B153="",SUMPRODUCT((E153:T153&lt;&gt;"")*1)=0),"",SUMPRODUCT((E$5:T$5&lt;&gt;"")*1,E153:T153))</f>
        <v/>
      </c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10">
        <f>IF(OR(NOT(ISNUMBER(C153)),D153=""),"",C153-D153)</f>
        <v/>
      </c>
      <c r="V153" s="18">
        <f>IF(AND(B153="",C153="",SUMPRODUCT((E153:T153&lt;&gt;"")*1)=0),"",IF(NOT(ISNUMBER(B153)),"Needs a date",IF(SUMPRODUCT((E153:T153&lt;&gt;"")*(1-ISNUMBER(E153:T153)))&gt;0,"Amount not a number",IF(SUMPRODUCT((E$5:T$5="")*(E153:T153&lt;&gt;""))&gt;0,"Amount under no envelope",IF(COUNTIF(E153:T153,"&lt;0")&gt;0,"Amount below zero",IF(AND(ISNUMBER(C153),N(D153)&gt;C153),"More than the paycheck",""))))))</f>
        <v/>
      </c>
      <c r="W153" s="1">
        <f>IF(ISNUMBER(B153),INT(B153),0)</f>
        <v/>
      </c>
    </row>
    <row r="154">
      <c r="A154" s="1" t="n"/>
      <c r="B154" s="21" t="n"/>
      <c r="C154" s="22" t="n"/>
      <c r="D154" s="12">
        <f>IF(AND(B154="",SUMPRODUCT((E154:T154&lt;&gt;"")*1)=0),"",SUMPRODUCT((E$5:T$5&lt;&gt;"")*1,E154:T154))</f>
        <v/>
      </c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10">
        <f>IF(OR(NOT(ISNUMBER(C154)),D154=""),"",C154-D154)</f>
        <v/>
      </c>
      <c r="V154" s="18">
        <f>IF(AND(B154="",C154="",SUMPRODUCT((E154:T154&lt;&gt;"")*1)=0),"",IF(NOT(ISNUMBER(B154)),"Needs a date",IF(SUMPRODUCT((E154:T154&lt;&gt;"")*(1-ISNUMBER(E154:T154)))&gt;0,"Amount not a number",IF(SUMPRODUCT((E$5:T$5="")*(E154:T154&lt;&gt;""))&gt;0,"Amount under no envelope",IF(COUNTIF(E154:T154,"&lt;0")&gt;0,"Amount below zero",IF(AND(ISNUMBER(C154),N(D154)&gt;C154),"More than the paycheck",""))))))</f>
        <v/>
      </c>
      <c r="W154" s="1">
        <f>IF(ISNUMBER(B154),INT(B154),0)</f>
        <v/>
      </c>
    </row>
    <row r="155">
      <c r="A155" s="1" t="n"/>
      <c r="B155" s="21" t="n"/>
      <c r="C155" s="22" t="n"/>
      <c r="D155" s="12">
        <f>IF(AND(B155="",SUMPRODUCT((E155:T155&lt;&gt;"")*1)=0),"",SUMPRODUCT((E$5:T$5&lt;&gt;"")*1,E155:T155))</f>
        <v/>
      </c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10">
        <f>IF(OR(NOT(ISNUMBER(C155)),D155=""),"",C155-D155)</f>
        <v/>
      </c>
      <c r="V155" s="18">
        <f>IF(AND(B155="",C155="",SUMPRODUCT((E155:T155&lt;&gt;"")*1)=0),"",IF(NOT(ISNUMBER(B155)),"Needs a date",IF(SUMPRODUCT((E155:T155&lt;&gt;"")*(1-ISNUMBER(E155:T155)))&gt;0,"Amount not a number",IF(SUMPRODUCT((E$5:T$5="")*(E155:T155&lt;&gt;""))&gt;0,"Amount under no envelope",IF(COUNTIF(E155:T155,"&lt;0")&gt;0,"Amount below zero",IF(AND(ISNUMBER(C155),N(D155)&gt;C155),"More than the paycheck",""))))))</f>
        <v/>
      </c>
      <c r="W155" s="1">
        <f>IF(ISNUMBER(B155),INT(B155),0)</f>
        <v/>
      </c>
    </row>
    <row r="156">
      <c r="A156" s="1" t="n"/>
      <c r="B156" s="21" t="n"/>
      <c r="C156" s="22" t="n"/>
      <c r="D156" s="12">
        <f>IF(AND(B156="",SUMPRODUCT((E156:T156&lt;&gt;"")*1)=0),"",SUMPRODUCT((E$5:T$5&lt;&gt;"")*1,E156:T156))</f>
        <v/>
      </c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10">
        <f>IF(OR(NOT(ISNUMBER(C156)),D156=""),"",C156-D156)</f>
        <v/>
      </c>
      <c r="V156" s="18">
        <f>IF(AND(B156="",C156="",SUMPRODUCT((E156:T156&lt;&gt;"")*1)=0),"",IF(NOT(ISNUMBER(B156)),"Needs a date",IF(SUMPRODUCT((E156:T156&lt;&gt;"")*(1-ISNUMBER(E156:T156)))&gt;0,"Amount not a number",IF(SUMPRODUCT((E$5:T$5="")*(E156:T156&lt;&gt;""))&gt;0,"Amount under no envelope",IF(COUNTIF(E156:T156,"&lt;0")&gt;0,"Amount below zero",IF(AND(ISNUMBER(C156),N(D156)&gt;C156),"More than the paycheck",""))))))</f>
        <v/>
      </c>
      <c r="W156" s="1">
        <f>IF(ISNUMBER(B156),INT(B156),0)</f>
        <v/>
      </c>
    </row>
    <row r="157">
      <c r="A157" s="1" t="n"/>
      <c r="B157" s="21" t="n"/>
      <c r="C157" s="22" t="n"/>
      <c r="D157" s="12">
        <f>IF(AND(B157="",SUMPRODUCT((E157:T157&lt;&gt;"")*1)=0),"",SUMPRODUCT((E$5:T$5&lt;&gt;"")*1,E157:T157))</f>
        <v/>
      </c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10">
        <f>IF(OR(NOT(ISNUMBER(C157)),D157=""),"",C157-D157)</f>
        <v/>
      </c>
      <c r="V157" s="18">
        <f>IF(AND(B157="",C157="",SUMPRODUCT((E157:T157&lt;&gt;"")*1)=0),"",IF(NOT(ISNUMBER(B157)),"Needs a date",IF(SUMPRODUCT((E157:T157&lt;&gt;"")*(1-ISNUMBER(E157:T157)))&gt;0,"Amount not a number",IF(SUMPRODUCT((E$5:T$5="")*(E157:T157&lt;&gt;""))&gt;0,"Amount under no envelope",IF(COUNTIF(E157:T157,"&lt;0")&gt;0,"Amount below zero",IF(AND(ISNUMBER(C157),N(D157)&gt;C157),"More than the paycheck",""))))))</f>
        <v/>
      </c>
      <c r="W157" s="1">
        <f>IF(ISNUMBER(B157),INT(B157),0)</f>
        <v/>
      </c>
    </row>
    <row r="158">
      <c r="A158" s="1" t="n"/>
      <c r="B158" s="21" t="n"/>
      <c r="C158" s="22" t="n"/>
      <c r="D158" s="12">
        <f>IF(AND(B158="",SUMPRODUCT((E158:T158&lt;&gt;"")*1)=0),"",SUMPRODUCT((E$5:T$5&lt;&gt;"")*1,E158:T158))</f>
        <v/>
      </c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10">
        <f>IF(OR(NOT(ISNUMBER(C158)),D158=""),"",C158-D158)</f>
        <v/>
      </c>
      <c r="V158" s="18">
        <f>IF(AND(B158="",C158="",SUMPRODUCT((E158:T158&lt;&gt;"")*1)=0),"",IF(NOT(ISNUMBER(B158)),"Needs a date",IF(SUMPRODUCT((E158:T158&lt;&gt;"")*(1-ISNUMBER(E158:T158)))&gt;0,"Amount not a number",IF(SUMPRODUCT((E$5:T$5="")*(E158:T158&lt;&gt;""))&gt;0,"Amount under no envelope",IF(COUNTIF(E158:T158,"&lt;0")&gt;0,"Amount below zero",IF(AND(ISNUMBER(C158),N(D158)&gt;C158),"More than the paycheck",""))))))</f>
        <v/>
      </c>
      <c r="W158" s="1">
        <f>IF(ISNUMBER(B158),INT(B158),0)</f>
        <v/>
      </c>
    </row>
    <row r="159">
      <c r="A159" s="1" t="n"/>
      <c r="B159" s="21" t="n"/>
      <c r="C159" s="22" t="n"/>
      <c r="D159" s="12">
        <f>IF(AND(B159="",SUMPRODUCT((E159:T159&lt;&gt;"")*1)=0),"",SUMPRODUCT((E$5:T$5&lt;&gt;"")*1,E159:T159))</f>
        <v/>
      </c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10">
        <f>IF(OR(NOT(ISNUMBER(C159)),D159=""),"",C159-D159)</f>
        <v/>
      </c>
      <c r="V159" s="18">
        <f>IF(AND(B159="",C159="",SUMPRODUCT((E159:T159&lt;&gt;"")*1)=0),"",IF(NOT(ISNUMBER(B159)),"Needs a date",IF(SUMPRODUCT((E159:T159&lt;&gt;"")*(1-ISNUMBER(E159:T159)))&gt;0,"Amount not a number",IF(SUMPRODUCT((E$5:T$5="")*(E159:T159&lt;&gt;""))&gt;0,"Amount under no envelope",IF(COUNTIF(E159:T159,"&lt;0")&gt;0,"Amount below zero",IF(AND(ISNUMBER(C159),N(D159)&gt;C159),"More than the paycheck",""))))))</f>
        <v/>
      </c>
      <c r="W159" s="1">
        <f>IF(ISNUMBER(B159),INT(B159),0)</f>
        <v/>
      </c>
    </row>
    <row r="160">
      <c r="A160" s="1" t="n"/>
      <c r="B160" s="21" t="n"/>
      <c r="C160" s="22" t="n"/>
      <c r="D160" s="12">
        <f>IF(AND(B160="",SUMPRODUCT((E160:T160&lt;&gt;"")*1)=0),"",SUMPRODUCT((E$5:T$5&lt;&gt;"")*1,E160:T160))</f>
        <v/>
      </c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10">
        <f>IF(OR(NOT(ISNUMBER(C160)),D160=""),"",C160-D160)</f>
        <v/>
      </c>
      <c r="V160" s="18">
        <f>IF(AND(B160="",C160="",SUMPRODUCT((E160:T160&lt;&gt;"")*1)=0),"",IF(NOT(ISNUMBER(B160)),"Needs a date",IF(SUMPRODUCT((E160:T160&lt;&gt;"")*(1-ISNUMBER(E160:T160)))&gt;0,"Amount not a number",IF(SUMPRODUCT((E$5:T$5="")*(E160:T160&lt;&gt;""))&gt;0,"Amount under no envelope",IF(COUNTIF(E160:T160,"&lt;0")&gt;0,"Amount below zero",IF(AND(ISNUMBER(C160),N(D160)&gt;C160),"More than the paycheck",""))))))</f>
        <v/>
      </c>
      <c r="W160" s="1">
        <f>IF(ISNUMBER(B160),INT(B160),0)</f>
        <v/>
      </c>
    </row>
    <row r="161">
      <c r="A161" s="1" t="n"/>
      <c r="B161" s="21" t="n"/>
      <c r="C161" s="22" t="n"/>
      <c r="D161" s="12">
        <f>IF(AND(B161="",SUMPRODUCT((E161:T161&lt;&gt;"")*1)=0),"",SUMPRODUCT((E$5:T$5&lt;&gt;"")*1,E161:T161))</f>
        <v/>
      </c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10">
        <f>IF(OR(NOT(ISNUMBER(C161)),D161=""),"",C161-D161)</f>
        <v/>
      </c>
      <c r="V161" s="18">
        <f>IF(AND(B161="",C161="",SUMPRODUCT((E161:T161&lt;&gt;"")*1)=0),"",IF(NOT(ISNUMBER(B161)),"Needs a date",IF(SUMPRODUCT((E161:T161&lt;&gt;"")*(1-ISNUMBER(E161:T161)))&gt;0,"Amount not a number",IF(SUMPRODUCT((E$5:T$5="")*(E161:T161&lt;&gt;""))&gt;0,"Amount under no envelope",IF(COUNTIF(E161:T161,"&lt;0")&gt;0,"Amount below zero",IF(AND(ISNUMBER(C161),N(D161)&gt;C161),"More than the paycheck",""))))))</f>
        <v/>
      </c>
      <c r="W161" s="1">
        <f>IF(ISNUMBER(B161),INT(B161),0)</f>
        <v/>
      </c>
    </row>
    <row r="162">
      <c r="A162" s="1" t="n"/>
      <c r="B162" s="21" t="n"/>
      <c r="C162" s="22" t="n"/>
      <c r="D162" s="12">
        <f>IF(AND(B162="",SUMPRODUCT((E162:T162&lt;&gt;"")*1)=0),"",SUMPRODUCT((E$5:T$5&lt;&gt;"")*1,E162:T162))</f>
        <v/>
      </c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10">
        <f>IF(OR(NOT(ISNUMBER(C162)),D162=""),"",C162-D162)</f>
        <v/>
      </c>
      <c r="V162" s="18">
        <f>IF(AND(B162="",C162="",SUMPRODUCT((E162:T162&lt;&gt;"")*1)=0),"",IF(NOT(ISNUMBER(B162)),"Needs a date",IF(SUMPRODUCT((E162:T162&lt;&gt;"")*(1-ISNUMBER(E162:T162)))&gt;0,"Amount not a number",IF(SUMPRODUCT((E$5:T$5="")*(E162:T162&lt;&gt;""))&gt;0,"Amount under no envelope",IF(COUNTIF(E162:T162,"&lt;0")&gt;0,"Amount below zero",IF(AND(ISNUMBER(C162),N(D162)&gt;C162),"More than the paycheck",""))))))</f>
        <v/>
      </c>
      <c r="W162" s="1">
        <f>IF(ISNUMBER(B162),INT(B162),0)</f>
        <v/>
      </c>
    </row>
    <row r="163">
      <c r="A163" s="1" t="n"/>
      <c r="B163" s="21" t="n"/>
      <c r="C163" s="22" t="n"/>
      <c r="D163" s="12">
        <f>IF(AND(B163="",SUMPRODUCT((E163:T163&lt;&gt;"")*1)=0),"",SUMPRODUCT((E$5:T$5&lt;&gt;"")*1,E163:T163))</f>
        <v/>
      </c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10">
        <f>IF(OR(NOT(ISNUMBER(C163)),D163=""),"",C163-D163)</f>
        <v/>
      </c>
      <c r="V163" s="18">
        <f>IF(AND(B163="",C163="",SUMPRODUCT((E163:T163&lt;&gt;"")*1)=0),"",IF(NOT(ISNUMBER(B163)),"Needs a date",IF(SUMPRODUCT((E163:T163&lt;&gt;"")*(1-ISNUMBER(E163:T163)))&gt;0,"Amount not a number",IF(SUMPRODUCT((E$5:T$5="")*(E163:T163&lt;&gt;""))&gt;0,"Amount under no envelope",IF(COUNTIF(E163:T163,"&lt;0")&gt;0,"Amount below zero",IF(AND(ISNUMBER(C163),N(D163)&gt;C163),"More than the paycheck",""))))))</f>
        <v/>
      </c>
      <c r="W163" s="1">
        <f>IF(ISNUMBER(B163),INT(B163),0)</f>
        <v/>
      </c>
    </row>
    <row r="164">
      <c r="A164" s="1" t="n"/>
      <c r="B164" s="21" t="n"/>
      <c r="C164" s="22" t="n"/>
      <c r="D164" s="12">
        <f>IF(AND(B164="",SUMPRODUCT((E164:T164&lt;&gt;"")*1)=0),"",SUMPRODUCT((E$5:T$5&lt;&gt;"")*1,E164:T164))</f>
        <v/>
      </c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10">
        <f>IF(OR(NOT(ISNUMBER(C164)),D164=""),"",C164-D164)</f>
        <v/>
      </c>
      <c r="V164" s="18">
        <f>IF(AND(B164="",C164="",SUMPRODUCT((E164:T164&lt;&gt;"")*1)=0),"",IF(NOT(ISNUMBER(B164)),"Needs a date",IF(SUMPRODUCT((E164:T164&lt;&gt;"")*(1-ISNUMBER(E164:T164)))&gt;0,"Amount not a number",IF(SUMPRODUCT((E$5:T$5="")*(E164:T164&lt;&gt;""))&gt;0,"Amount under no envelope",IF(COUNTIF(E164:T164,"&lt;0")&gt;0,"Amount below zero",IF(AND(ISNUMBER(C164),N(D164)&gt;C164),"More than the paycheck",""))))))</f>
        <v/>
      </c>
      <c r="W164" s="1">
        <f>IF(ISNUMBER(B164),INT(B164),0)</f>
        <v/>
      </c>
    </row>
    <row r="165">
      <c r="A165" s="1" t="n"/>
      <c r="B165" s="21" t="n"/>
      <c r="C165" s="22" t="n"/>
      <c r="D165" s="12">
        <f>IF(AND(B165="",SUMPRODUCT((E165:T165&lt;&gt;"")*1)=0),"",SUMPRODUCT((E$5:T$5&lt;&gt;"")*1,E165:T165))</f>
        <v/>
      </c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10">
        <f>IF(OR(NOT(ISNUMBER(C165)),D165=""),"",C165-D165)</f>
        <v/>
      </c>
      <c r="V165" s="18">
        <f>IF(AND(B165="",C165="",SUMPRODUCT((E165:T165&lt;&gt;"")*1)=0),"",IF(NOT(ISNUMBER(B165)),"Needs a date",IF(SUMPRODUCT((E165:T165&lt;&gt;"")*(1-ISNUMBER(E165:T165)))&gt;0,"Amount not a number",IF(SUMPRODUCT((E$5:T$5="")*(E165:T165&lt;&gt;""))&gt;0,"Amount under no envelope",IF(COUNTIF(E165:T165,"&lt;0")&gt;0,"Amount below zero",IF(AND(ISNUMBER(C165),N(D165)&gt;C165),"More than the paycheck",""))))))</f>
        <v/>
      </c>
      <c r="W165" s="1">
        <f>IF(ISNUMBER(B165),INT(B165),0)</f>
        <v/>
      </c>
    </row>
    <row r="166">
      <c r="A166" s="1" t="n"/>
      <c r="B166" s="21" t="n"/>
      <c r="C166" s="22" t="n"/>
      <c r="D166" s="12">
        <f>IF(AND(B166="",SUMPRODUCT((E166:T166&lt;&gt;"")*1)=0),"",SUMPRODUCT((E$5:T$5&lt;&gt;"")*1,E166:T166))</f>
        <v/>
      </c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10">
        <f>IF(OR(NOT(ISNUMBER(C166)),D166=""),"",C166-D166)</f>
        <v/>
      </c>
      <c r="V166" s="18">
        <f>IF(AND(B166="",C166="",SUMPRODUCT((E166:T166&lt;&gt;"")*1)=0),"",IF(NOT(ISNUMBER(B166)),"Needs a date",IF(SUMPRODUCT((E166:T166&lt;&gt;"")*(1-ISNUMBER(E166:T166)))&gt;0,"Amount not a number",IF(SUMPRODUCT((E$5:T$5="")*(E166:T166&lt;&gt;""))&gt;0,"Amount under no envelope",IF(COUNTIF(E166:T166,"&lt;0")&gt;0,"Amount below zero",IF(AND(ISNUMBER(C166),N(D166)&gt;C166),"More than the paycheck",""))))))</f>
        <v/>
      </c>
      <c r="W166" s="1">
        <f>IF(ISNUMBER(B166),INT(B166),0)</f>
        <v/>
      </c>
    </row>
    <row r="167">
      <c r="A167" s="1" t="n"/>
      <c r="B167" s="21" t="n"/>
      <c r="C167" s="22" t="n"/>
      <c r="D167" s="12">
        <f>IF(AND(B167="",SUMPRODUCT((E167:T167&lt;&gt;"")*1)=0),"",SUMPRODUCT((E$5:T$5&lt;&gt;"")*1,E167:T167))</f>
        <v/>
      </c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10">
        <f>IF(OR(NOT(ISNUMBER(C167)),D167=""),"",C167-D167)</f>
        <v/>
      </c>
      <c r="V167" s="18">
        <f>IF(AND(B167="",C167="",SUMPRODUCT((E167:T167&lt;&gt;"")*1)=0),"",IF(NOT(ISNUMBER(B167)),"Needs a date",IF(SUMPRODUCT((E167:T167&lt;&gt;"")*(1-ISNUMBER(E167:T167)))&gt;0,"Amount not a number",IF(SUMPRODUCT((E$5:T$5="")*(E167:T167&lt;&gt;""))&gt;0,"Amount under no envelope",IF(COUNTIF(E167:T167,"&lt;0")&gt;0,"Amount below zero",IF(AND(ISNUMBER(C167),N(D167)&gt;C167),"More than the paycheck",""))))))</f>
        <v/>
      </c>
      <c r="W167" s="1">
        <f>IF(ISNUMBER(B167),INT(B167),0)</f>
        <v/>
      </c>
    </row>
    <row r="168">
      <c r="A168" s="1" t="n"/>
      <c r="B168" s="21" t="n"/>
      <c r="C168" s="22" t="n"/>
      <c r="D168" s="12">
        <f>IF(AND(B168="",SUMPRODUCT((E168:T168&lt;&gt;"")*1)=0),"",SUMPRODUCT((E$5:T$5&lt;&gt;"")*1,E168:T168))</f>
        <v/>
      </c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10">
        <f>IF(OR(NOT(ISNUMBER(C168)),D168=""),"",C168-D168)</f>
        <v/>
      </c>
      <c r="V168" s="18">
        <f>IF(AND(B168="",C168="",SUMPRODUCT((E168:T168&lt;&gt;"")*1)=0),"",IF(NOT(ISNUMBER(B168)),"Needs a date",IF(SUMPRODUCT((E168:T168&lt;&gt;"")*(1-ISNUMBER(E168:T168)))&gt;0,"Amount not a number",IF(SUMPRODUCT((E$5:T$5="")*(E168:T168&lt;&gt;""))&gt;0,"Amount under no envelope",IF(COUNTIF(E168:T168,"&lt;0")&gt;0,"Amount below zero",IF(AND(ISNUMBER(C168),N(D168)&gt;C168),"More than the paycheck",""))))))</f>
        <v/>
      </c>
      <c r="W168" s="1">
        <f>IF(ISNUMBER(B168),INT(B168),0)</f>
        <v/>
      </c>
    </row>
    <row r="169">
      <c r="A169" s="1" t="n"/>
      <c r="B169" s="21" t="n"/>
      <c r="C169" s="22" t="n"/>
      <c r="D169" s="12">
        <f>IF(AND(B169="",SUMPRODUCT((E169:T169&lt;&gt;"")*1)=0),"",SUMPRODUCT((E$5:T$5&lt;&gt;"")*1,E169:T169))</f>
        <v/>
      </c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10">
        <f>IF(OR(NOT(ISNUMBER(C169)),D169=""),"",C169-D169)</f>
        <v/>
      </c>
      <c r="V169" s="18">
        <f>IF(AND(B169="",C169="",SUMPRODUCT((E169:T169&lt;&gt;"")*1)=0),"",IF(NOT(ISNUMBER(B169)),"Needs a date",IF(SUMPRODUCT((E169:T169&lt;&gt;"")*(1-ISNUMBER(E169:T169)))&gt;0,"Amount not a number",IF(SUMPRODUCT((E$5:T$5="")*(E169:T169&lt;&gt;""))&gt;0,"Amount under no envelope",IF(COUNTIF(E169:T169,"&lt;0")&gt;0,"Amount below zero",IF(AND(ISNUMBER(C169),N(D169)&gt;C169),"More than the paycheck",""))))))</f>
        <v/>
      </c>
      <c r="W169" s="1">
        <f>IF(ISNUMBER(B169),INT(B169),0)</f>
        <v/>
      </c>
    </row>
    <row r="170">
      <c r="A170" s="1" t="n"/>
      <c r="B170" s="21" t="n"/>
      <c r="C170" s="22" t="n"/>
      <c r="D170" s="12">
        <f>IF(AND(B170="",SUMPRODUCT((E170:T170&lt;&gt;"")*1)=0),"",SUMPRODUCT((E$5:T$5&lt;&gt;"")*1,E170:T170))</f>
        <v/>
      </c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10">
        <f>IF(OR(NOT(ISNUMBER(C170)),D170=""),"",C170-D170)</f>
        <v/>
      </c>
      <c r="V170" s="18">
        <f>IF(AND(B170="",C170="",SUMPRODUCT((E170:T170&lt;&gt;"")*1)=0),"",IF(NOT(ISNUMBER(B170)),"Needs a date",IF(SUMPRODUCT((E170:T170&lt;&gt;"")*(1-ISNUMBER(E170:T170)))&gt;0,"Amount not a number",IF(SUMPRODUCT((E$5:T$5="")*(E170:T170&lt;&gt;""))&gt;0,"Amount under no envelope",IF(COUNTIF(E170:T170,"&lt;0")&gt;0,"Amount below zero",IF(AND(ISNUMBER(C170),N(D170)&gt;C170),"More than the paycheck",""))))))</f>
        <v/>
      </c>
      <c r="W170" s="1">
        <f>IF(ISNUMBER(B170),INT(B170),0)</f>
        <v/>
      </c>
    </row>
    <row r="171">
      <c r="A171" s="1" t="n"/>
      <c r="B171" s="21" t="n"/>
      <c r="C171" s="22" t="n"/>
      <c r="D171" s="12">
        <f>IF(AND(B171="",SUMPRODUCT((E171:T171&lt;&gt;"")*1)=0),"",SUMPRODUCT((E$5:T$5&lt;&gt;"")*1,E171:T171))</f>
        <v/>
      </c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10">
        <f>IF(OR(NOT(ISNUMBER(C171)),D171=""),"",C171-D171)</f>
        <v/>
      </c>
      <c r="V171" s="18">
        <f>IF(AND(B171="",C171="",SUMPRODUCT((E171:T171&lt;&gt;"")*1)=0),"",IF(NOT(ISNUMBER(B171)),"Needs a date",IF(SUMPRODUCT((E171:T171&lt;&gt;"")*(1-ISNUMBER(E171:T171)))&gt;0,"Amount not a number",IF(SUMPRODUCT((E$5:T$5="")*(E171:T171&lt;&gt;""))&gt;0,"Amount under no envelope",IF(COUNTIF(E171:T171,"&lt;0")&gt;0,"Amount below zero",IF(AND(ISNUMBER(C171),N(D171)&gt;C171),"More than the paycheck",""))))))</f>
        <v/>
      </c>
      <c r="W171" s="1">
        <f>IF(ISNUMBER(B171),INT(B171),0)</f>
        <v/>
      </c>
    </row>
    <row r="172">
      <c r="A172" s="1" t="n"/>
      <c r="B172" s="21" t="n"/>
      <c r="C172" s="22" t="n"/>
      <c r="D172" s="12">
        <f>IF(AND(B172="",SUMPRODUCT((E172:T172&lt;&gt;"")*1)=0),"",SUMPRODUCT((E$5:T$5&lt;&gt;"")*1,E172:T172))</f>
        <v/>
      </c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10">
        <f>IF(OR(NOT(ISNUMBER(C172)),D172=""),"",C172-D172)</f>
        <v/>
      </c>
      <c r="V172" s="18">
        <f>IF(AND(B172="",C172="",SUMPRODUCT((E172:T172&lt;&gt;"")*1)=0),"",IF(NOT(ISNUMBER(B172)),"Needs a date",IF(SUMPRODUCT((E172:T172&lt;&gt;"")*(1-ISNUMBER(E172:T172)))&gt;0,"Amount not a number",IF(SUMPRODUCT((E$5:T$5="")*(E172:T172&lt;&gt;""))&gt;0,"Amount under no envelope",IF(COUNTIF(E172:T172,"&lt;0")&gt;0,"Amount below zero",IF(AND(ISNUMBER(C172),N(D172)&gt;C172),"More than the paycheck",""))))))</f>
        <v/>
      </c>
      <c r="W172" s="1">
        <f>IF(ISNUMBER(B172),INT(B172),0)</f>
        <v/>
      </c>
    </row>
    <row r="173">
      <c r="A173" s="1" t="n"/>
      <c r="B173" s="21" t="n"/>
      <c r="C173" s="22" t="n"/>
      <c r="D173" s="12">
        <f>IF(AND(B173="",SUMPRODUCT((E173:T173&lt;&gt;"")*1)=0),"",SUMPRODUCT((E$5:T$5&lt;&gt;"")*1,E173:T173))</f>
        <v/>
      </c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10">
        <f>IF(OR(NOT(ISNUMBER(C173)),D173=""),"",C173-D173)</f>
        <v/>
      </c>
      <c r="V173" s="18">
        <f>IF(AND(B173="",C173="",SUMPRODUCT((E173:T173&lt;&gt;"")*1)=0),"",IF(NOT(ISNUMBER(B173)),"Needs a date",IF(SUMPRODUCT((E173:T173&lt;&gt;"")*(1-ISNUMBER(E173:T173)))&gt;0,"Amount not a number",IF(SUMPRODUCT((E$5:T$5="")*(E173:T173&lt;&gt;""))&gt;0,"Amount under no envelope",IF(COUNTIF(E173:T173,"&lt;0")&gt;0,"Amount below zero",IF(AND(ISNUMBER(C173),N(D173)&gt;C173),"More than the paycheck",""))))))</f>
        <v/>
      </c>
      <c r="W173" s="1">
        <f>IF(ISNUMBER(B173),INT(B173),0)</f>
        <v/>
      </c>
    </row>
    <row r="174">
      <c r="A174" s="1" t="n"/>
      <c r="B174" s="21" t="n"/>
      <c r="C174" s="22" t="n"/>
      <c r="D174" s="12">
        <f>IF(AND(B174="",SUMPRODUCT((E174:T174&lt;&gt;"")*1)=0),"",SUMPRODUCT((E$5:T$5&lt;&gt;"")*1,E174:T174))</f>
        <v/>
      </c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10">
        <f>IF(OR(NOT(ISNUMBER(C174)),D174=""),"",C174-D174)</f>
        <v/>
      </c>
      <c r="V174" s="18">
        <f>IF(AND(B174="",C174="",SUMPRODUCT((E174:T174&lt;&gt;"")*1)=0),"",IF(NOT(ISNUMBER(B174)),"Needs a date",IF(SUMPRODUCT((E174:T174&lt;&gt;"")*(1-ISNUMBER(E174:T174)))&gt;0,"Amount not a number",IF(SUMPRODUCT((E$5:T$5="")*(E174:T174&lt;&gt;""))&gt;0,"Amount under no envelope",IF(COUNTIF(E174:T174,"&lt;0")&gt;0,"Amount below zero",IF(AND(ISNUMBER(C174),N(D174)&gt;C174),"More than the paycheck",""))))))</f>
        <v/>
      </c>
      <c r="W174" s="1">
        <f>IF(ISNUMBER(B174),INT(B174),0)</f>
        <v/>
      </c>
    </row>
    <row r="175">
      <c r="A175" s="1" t="n"/>
      <c r="B175" s="21" t="n"/>
      <c r="C175" s="22" t="n"/>
      <c r="D175" s="12">
        <f>IF(AND(B175="",SUMPRODUCT((E175:T175&lt;&gt;"")*1)=0),"",SUMPRODUCT((E$5:T$5&lt;&gt;"")*1,E175:T175))</f>
        <v/>
      </c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10">
        <f>IF(OR(NOT(ISNUMBER(C175)),D175=""),"",C175-D175)</f>
        <v/>
      </c>
      <c r="V175" s="18">
        <f>IF(AND(B175="",C175="",SUMPRODUCT((E175:T175&lt;&gt;"")*1)=0),"",IF(NOT(ISNUMBER(B175)),"Needs a date",IF(SUMPRODUCT((E175:T175&lt;&gt;"")*(1-ISNUMBER(E175:T175)))&gt;0,"Amount not a number",IF(SUMPRODUCT((E$5:T$5="")*(E175:T175&lt;&gt;""))&gt;0,"Amount under no envelope",IF(COUNTIF(E175:T175,"&lt;0")&gt;0,"Amount below zero",IF(AND(ISNUMBER(C175),N(D175)&gt;C175),"More than the paycheck",""))))))</f>
        <v/>
      </c>
      <c r="W175" s="1">
        <f>IF(ISNUMBER(B175),INT(B175),0)</f>
        <v/>
      </c>
    </row>
    <row r="176">
      <c r="A176" s="1" t="n"/>
      <c r="B176" s="21" t="n"/>
      <c r="C176" s="22" t="n"/>
      <c r="D176" s="12">
        <f>IF(AND(B176="",SUMPRODUCT((E176:T176&lt;&gt;"")*1)=0),"",SUMPRODUCT((E$5:T$5&lt;&gt;"")*1,E176:T176))</f>
        <v/>
      </c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10">
        <f>IF(OR(NOT(ISNUMBER(C176)),D176=""),"",C176-D176)</f>
        <v/>
      </c>
      <c r="V176" s="18">
        <f>IF(AND(B176="",C176="",SUMPRODUCT((E176:T176&lt;&gt;"")*1)=0),"",IF(NOT(ISNUMBER(B176)),"Needs a date",IF(SUMPRODUCT((E176:T176&lt;&gt;"")*(1-ISNUMBER(E176:T176)))&gt;0,"Amount not a number",IF(SUMPRODUCT((E$5:T$5="")*(E176:T176&lt;&gt;""))&gt;0,"Amount under no envelope",IF(COUNTIF(E176:T176,"&lt;0")&gt;0,"Amount below zero",IF(AND(ISNUMBER(C176),N(D176)&gt;C176),"More than the paycheck",""))))))</f>
        <v/>
      </c>
      <c r="W176" s="1">
        <f>IF(ISNUMBER(B176),INT(B176),0)</f>
        <v/>
      </c>
    </row>
    <row r="177">
      <c r="A177" s="1" t="n"/>
      <c r="B177" s="21" t="n"/>
      <c r="C177" s="22" t="n"/>
      <c r="D177" s="12">
        <f>IF(AND(B177="",SUMPRODUCT((E177:T177&lt;&gt;"")*1)=0),"",SUMPRODUCT((E$5:T$5&lt;&gt;"")*1,E177:T177))</f>
        <v/>
      </c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10">
        <f>IF(OR(NOT(ISNUMBER(C177)),D177=""),"",C177-D177)</f>
        <v/>
      </c>
      <c r="V177" s="18">
        <f>IF(AND(B177="",C177="",SUMPRODUCT((E177:T177&lt;&gt;"")*1)=0),"",IF(NOT(ISNUMBER(B177)),"Needs a date",IF(SUMPRODUCT((E177:T177&lt;&gt;"")*(1-ISNUMBER(E177:T177)))&gt;0,"Amount not a number",IF(SUMPRODUCT((E$5:T$5="")*(E177:T177&lt;&gt;""))&gt;0,"Amount under no envelope",IF(COUNTIF(E177:T177,"&lt;0")&gt;0,"Amount below zero",IF(AND(ISNUMBER(C177),N(D177)&gt;C177),"More than the paycheck",""))))))</f>
        <v/>
      </c>
      <c r="W177" s="1">
        <f>IF(ISNUMBER(B177),INT(B177),0)</f>
        <v/>
      </c>
    </row>
    <row r="178">
      <c r="A178" s="1" t="n"/>
      <c r="B178" s="21" t="n"/>
      <c r="C178" s="22" t="n"/>
      <c r="D178" s="12">
        <f>IF(AND(B178="",SUMPRODUCT((E178:T178&lt;&gt;"")*1)=0),"",SUMPRODUCT((E$5:T$5&lt;&gt;"")*1,E178:T178))</f>
        <v/>
      </c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10">
        <f>IF(OR(NOT(ISNUMBER(C178)),D178=""),"",C178-D178)</f>
        <v/>
      </c>
      <c r="V178" s="18">
        <f>IF(AND(B178="",C178="",SUMPRODUCT((E178:T178&lt;&gt;"")*1)=0),"",IF(NOT(ISNUMBER(B178)),"Needs a date",IF(SUMPRODUCT((E178:T178&lt;&gt;"")*(1-ISNUMBER(E178:T178)))&gt;0,"Amount not a number",IF(SUMPRODUCT((E$5:T$5="")*(E178:T178&lt;&gt;""))&gt;0,"Amount under no envelope",IF(COUNTIF(E178:T178,"&lt;0")&gt;0,"Amount below zero",IF(AND(ISNUMBER(C178),N(D178)&gt;C178),"More than the paycheck",""))))))</f>
        <v/>
      </c>
      <c r="W178" s="1">
        <f>IF(ISNUMBER(B178),INT(B178),0)</f>
        <v/>
      </c>
    </row>
    <row r="179">
      <c r="A179" s="1" t="n"/>
      <c r="B179" s="21" t="n"/>
      <c r="C179" s="22" t="n"/>
      <c r="D179" s="12">
        <f>IF(AND(B179="",SUMPRODUCT((E179:T179&lt;&gt;"")*1)=0),"",SUMPRODUCT((E$5:T$5&lt;&gt;"")*1,E179:T179))</f>
        <v/>
      </c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10">
        <f>IF(OR(NOT(ISNUMBER(C179)),D179=""),"",C179-D179)</f>
        <v/>
      </c>
      <c r="V179" s="18">
        <f>IF(AND(B179="",C179="",SUMPRODUCT((E179:T179&lt;&gt;"")*1)=0),"",IF(NOT(ISNUMBER(B179)),"Needs a date",IF(SUMPRODUCT((E179:T179&lt;&gt;"")*(1-ISNUMBER(E179:T179)))&gt;0,"Amount not a number",IF(SUMPRODUCT((E$5:T$5="")*(E179:T179&lt;&gt;""))&gt;0,"Amount under no envelope",IF(COUNTIF(E179:T179,"&lt;0")&gt;0,"Amount below zero",IF(AND(ISNUMBER(C179),N(D179)&gt;C179),"More than the paycheck",""))))))</f>
        <v/>
      </c>
      <c r="W179" s="1">
        <f>IF(ISNUMBER(B179),INT(B179),0)</f>
        <v/>
      </c>
    </row>
    <row r="180">
      <c r="A180" s="1" t="n"/>
      <c r="B180" s="21" t="n"/>
      <c r="C180" s="22" t="n"/>
      <c r="D180" s="12">
        <f>IF(AND(B180="",SUMPRODUCT((E180:T180&lt;&gt;"")*1)=0),"",SUMPRODUCT((E$5:T$5&lt;&gt;"")*1,E180:T180))</f>
        <v/>
      </c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10">
        <f>IF(OR(NOT(ISNUMBER(C180)),D180=""),"",C180-D180)</f>
        <v/>
      </c>
      <c r="V180" s="18">
        <f>IF(AND(B180="",C180="",SUMPRODUCT((E180:T180&lt;&gt;"")*1)=0),"",IF(NOT(ISNUMBER(B180)),"Needs a date",IF(SUMPRODUCT((E180:T180&lt;&gt;"")*(1-ISNUMBER(E180:T180)))&gt;0,"Amount not a number",IF(SUMPRODUCT((E$5:T$5="")*(E180:T180&lt;&gt;""))&gt;0,"Amount under no envelope",IF(COUNTIF(E180:T180,"&lt;0")&gt;0,"Amount below zero",IF(AND(ISNUMBER(C180),N(D180)&gt;C180),"More than the paycheck",""))))))</f>
        <v/>
      </c>
      <c r="W180" s="1">
        <f>IF(ISNUMBER(B180),INT(B180),0)</f>
        <v/>
      </c>
    </row>
    <row r="181">
      <c r="A181" s="1" t="n"/>
      <c r="B181" s="21" t="n"/>
      <c r="C181" s="22" t="n"/>
      <c r="D181" s="12">
        <f>IF(AND(B181="",SUMPRODUCT((E181:T181&lt;&gt;"")*1)=0),"",SUMPRODUCT((E$5:T$5&lt;&gt;"")*1,E181:T181))</f>
        <v/>
      </c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10">
        <f>IF(OR(NOT(ISNUMBER(C181)),D181=""),"",C181-D181)</f>
        <v/>
      </c>
      <c r="V181" s="18">
        <f>IF(AND(B181="",C181="",SUMPRODUCT((E181:T181&lt;&gt;"")*1)=0),"",IF(NOT(ISNUMBER(B181)),"Needs a date",IF(SUMPRODUCT((E181:T181&lt;&gt;"")*(1-ISNUMBER(E181:T181)))&gt;0,"Amount not a number",IF(SUMPRODUCT((E$5:T$5="")*(E181:T181&lt;&gt;""))&gt;0,"Amount under no envelope",IF(COUNTIF(E181:T181,"&lt;0")&gt;0,"Amount below zero",IF(AND(ISNUMBER(C181),N(D181)&gt;C181),"More than the paycheck",""))))))</f>
        <v/>
      </c>
      <c r="W181" s="1">
        <f>IF(ISNUMBER(B181),INT(B181),0)</f>
        <v/>
      </c>
    </row>
    <row r="182">
      <c r="A182" s="1" t="n"/>
      <c r="B182" s="21" t="n"/>
      <c r="C182" s="22" t="n"/>
      <c r="D182" s="12">
        <f>IF(AND(B182="",SUMPRODUCT((E182:T182&lt;&gt;"")*1)=0),"",SUMPRODUCT((E$5:T$5&lt;&gt;"")*1,E182:T182))</f>
        <v/>
      </c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10">
        <f>IF(OR(NOT(ISNUMBER(C182)),D182=""),"",C182-D182)</f>
        <v/>
      </c>
      <c r="V182" s="18">
        <f>IF(AND(B182="",C182="",SUMPRODUCT((E182:T182&lt;&gt;"")*1)=0),"",IF(NOT(ISNUMBER(B182)),"Needs a date",IF(SUMPRODUCT((E182:T182&lt;&gt;"")*(1-ISNUMBER(E182:T182)))&gt;0,"Amount not a number",IF(SUMPRODUCT((E$5:T$5="")*(E182:T182&lt;&gt;""))&gt;0,"Amount under no envelope",IF(COUNTIF(E182:T182,"&lt;0")&gt;0,"Amount below zero",IF(AND(ISNUMBER(C182),N(D182)&gt;C182),"More than the paycheck",""))))))</f>
        <v/>
      </c>
      <c r="W182" s="1">
        <f>IF(ISNUMBER(B182),INT(B182),0)</f>
        <v/>
      </c>
    </row>
    <row r="183">
      <c r="A183" s="1" t="n"/>
      <c r="B183" s="21" t="n"/>
      <c r="C183" s="22" t="n"/>
      <c r="D183" s="12">
        <f>IF(AND(B183="",SUMPRODUCT((E183:T183&lt;&gt;"")*1)=0),"",SUMPRODUCT((E$5:T$5&lt;&gt;"")*1,E183:T183))</f>
        <v/>
      </c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10">
        <f>IF(OR(NOT(ISNUMBER(C183)),D183=""),"",C183-D183)</f>
        <v/>
      </c>
      <c r="V183" s="18">
        <f>IF(AND(B183="",C183="",SUMPRODUCT((E183:T183&lt;&gt;"")*1)=0),"",IF(NOT(ISNUMBER(B183)),"Needs a date",IF(SUMPRODUCT((E183:T183&lt;&gt;"")*(1-ISNUMBER(E183:T183)))&gt;0,"Amount not a number",IF(SUMPRODUCT((E$5:T$5="")*(E183:T183&lt;&gt;""))&gt;0,"Amount under no envelope",IF(COUNTIF(E183:T183,"&lt;0")&gt;0,"Amount below zero",IF(AND(ISNUMBER(C183),N(D183)&gt;C183),"More than the paycheck",""))))))</f>
        <v/>
      </c>
      <c r="W183" s="1">
        <f>IF(ISNUMBER(B183),INT(B183),0)</f>
        <v/>
      </c>
    </row>
    <row r="184">
      <c r="A184" s="1" t="n"/>
      <c r="B184" s="21" t="n"/>
      <c r="C184" s="22" t="n"/>
      <c r="D184" s="12">
        <f>IF(AND(B184="",SUMPRODUCT((E184:T184&lt;&gt;"")*1)=0),"",SUMPRODUCT((E$5:T$5&lt;&gt;"")*1,E184:T184))</f>
        <v/>
      </c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10">
        <f>IF(OR(NOT(ISNUMBER(C184)),D184=""),"",C184-D184)</f>
        <v/>
      </c>
      <c r="V184" s="18">
        <f>IF(AND(B184="",C184="",SUMPRODUCT((E184:T184&lt;&gt;"")*1)=0),"",IF(NOT(ISNUMBER(B184)),"Needs a date",IF(SUMPRODUCT((E184:T184&lt;&gt;"")*(1-ISNUMBER(E184:T184)))&gt;0,"Amount not a number",IF(SUMPRODUCT((E$5:T$5="")*(E184:T184&lt;&gt;""))&gt;0,"Amount under no envelope",IF(COUNTIF(E184:T184,"&lt;0")&gt;0,"Amount below zero",IF(AND(ISNUMBER(C184),N(D184)&gt;C184),"More than the paycheck",""))))))</f>
        <v/>
      </c>
      <c r="W184" s="1">
        <f>IF(ISNUMBER(B184),INT(B184),0)</f>
        <v/>
      </c>
    </row>
    <row r="185">
      <c r="A185" s="1" t="n"/>
      <c r="B185" s="21" t="n"/>
      <c r="C185" s="22" t="n"/>
      <c r="D185" s="12">
        <f>IF(AND(B185="",SUMPRODUCT((E185:T185&lt;&gt;"")*1)=0),"",SUMPRODUCT((E$5:T$5&lt;&gt;"")*1,E185:T185))</f>
        <v/>
      </c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10">
        <f>IF(OR(NOT(ISNUMBER(C185)),D185=""),"",C185-D185)</f>
        <v/>
      </c>
      <c r="V185" s="18">
        <f>IF(AND(B185="",C185="",SUMPRODUCT((E185:T185&lt;&gt;"")*1)=0),"",IF(NOT(ISNUMBER(B185)),"Needs a date",IF(SUMPRODUCT((E185:T185&lt;&gt;"")*(1-ISNUMBER(E185:T185)))&gt;0,"Amount not a number",IF(SUMPRODUCT((E$5:T$5="")*(E185:T185&lt;&gt;""))&gt;0,"Amount under no envelope",IF(COUNTIF(E185:T185,"&lt;0")&gt;0,"Amount below zero",IF(AND(ISNUMBER(C185),N(D185)&gt;C185),"More than the paycheck",""))))))</f>
        <v/>
      </c>
      <c r="W185" s="1">
        <f>IF(ISNUMBER(B185),INT(B185),0)</f>
        <v/>
      </c>
    </row>
    <row r="186">
      <c r="A186" s="1" t="n"/>
      <c r="B186" s="21" t="n"/>
      <c r="C186" s="22" t="n"/>
      <c r="D186" s="12">
        <f>IF(AND(B186="",SUMPRODUCT((E186:T186&lt;&gt;"")*1)=0),"",SUMPRODUCT((E$5:T$5&lt;&gt;"")*1,E186:T186))</f>
        <v/>
      </c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10">
        <f>IF(OR(NOT(ISNUMBER(C186)),D186=""),"",C186-D186)</f>
        <v/>
      </c>
      <c r="V186" s="18">
        <f>IF(AND(B186="",C186="",SUMPRODUCT((E186:T186&lt;&gt;"")*1)=0),"",IF(NOT(ISNUMBER(B186)),"Needs a date",IF(SUMPRODUCT((E186:T186&lt;&gt;"")*(1-ISNUMBER(E186:T186)))&gt;0,"Amount not a number",IF(SUMPRODUCT((E$5:T$5="")*(E186:T186&lt;&gt;""))&gt;0,"Amount under no envelope",IF(COUNTIF(E186:T186,"&lt;0")&gt;0,"Amount below zero",IF(AND(ISNUMBER(C186),N(D186)&gt;C186),"More than the paycheck",""))))))</f>
        <v/>
      </c>
      <c r="W186" s="1">
        <f>IF(ISNUMBER(B186),INT(B186),0)</f>
        <v/>
      </c>
    </row>
    <row r="187">
      <c r="A187" s="1" t="n"/>
      <c r="B187" s="21" t="n"/>
      <c r="C187" s="22" t="n"/>
      <c r="D187" s="12">
        <f>IF(AND(B187="",SUMPRODUCT((E187:T187&lt;&gt;"")*1)=0),"",SUMPRODUCT((E$5:T$5&lt;&gt;"")*1,E187:T187))</f>
        <v/>
      </c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10">
        <f>IF(OR(NOT(ISNUMBER(C187)),D187=""),"",C187-D187)</f>
        <v/>
      </c>
      <c r="V187" s="18">
        <f>IF(AND(B187="",C187="",SUMPRODUCT((E187:T187&lt;&gt;"")*1)=0),"",IF(NOT(ISNUMBER(B187)),"Needs a date",IF(SUMPRODUCT((E187:T187&lt;&gt;"")*(1-ISNUMBER(E187:T187)))&gt;0,"Amount not a number",IF(SUMPRODUCT((E$5:T$5="")*(E187:T187&lt;&gt;""))&gt;0,"Amount under no envelope",IF(COUNTIF(E187:T187,"&lt;0")&gt;0,"Amount below zero",IF(AND(ISNUMBER(C187),N(D187)&gt;C187),"More than the paycheck",""))))))</f>
        <v/>
      </c>
      <c r="W187" s="1">
        <f>IF(ISNUMBER(B187),INT(B187),0)</f>
        <v/>
      </c>
    </row>
    <row r="188">
      <c r="A188" s="1" t="n"/>
      <c r="B188" s="21" t="n"/>
      <c r="C188" s="22" t="n"/>
      <c r="D188" s="12">
        <f>IF(AND(B188="",SUMPRODUCT((E188:T188&lt;&gt;"")*1)=0),"",SUMPRODUCT((E$5:T$5&lt;&gt;"")*1,E188:T188))</f>
        <v/>
      </c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10">
        <f>IF(OR(NOT(ISNUMBER(C188)),D188=""),"",C188-D188)</f>
        <v/>
      </c>
      <c r="V188" s="18">
        <f>IF(AND(B188="",C188="",SUMPRODUCT((E188:T188&lt;&gt;"")*1)=0),"",IF(NOT(ISNUMBER(B188)),"Needs a date",IF(SUMPRODUCT((E188:T188&lt;&gt;"")*(1-ISNUMBER(E188:T188)))&gt;0,"Amount not a number",IF(SUMPRODUCT((E$5:T$5="")*(E188:T188&lt;&gt;""))&gt;0,"Amount under no envelope",IF(COUNTIF(E188:T188,"&lt;0")&gt;0,"Amount below zero",IF(AND(ISNUMBER(C188),N(D188)&gt;C188),"More than the paycheck",""))))))</f>
        <v/>
      </c>
      <c r="W188" s="1">
        <f>IF(ISNUMBER(B188),INT(B188),0)</f>
        <v/>
      </c>
    </row>
    <row r="189">
      <c r="A189" s="1" t="n"/>
      <c r="B189" s="21" t="n"/>
      <c r="C189" s="22" t="n"/>
      <c r="D189" s="12">
        <f>IF(AND(B189="",SUMPRODUCT((E189:T189&lt;&gt;"")*1)=0),"",SUMPRODUCT((E$5:T$5&lt;&gt;"")*1,E189:T189))</f>
        <v/>
      </c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10">
        <f>IF(OR(NOT(ISNUMBER(C189)),D189=""),"",C189-D189)</f>
        <v/>
      </c>
      <c r="V189" s="18">
        <f>IF(AND(B189="",C189="",SUMPRODUCT((E189:T189&lt;&gt;"")*1)=0),"",IF(NOT(ISNUMBER(B189)),"Needs a date",IF(SUMPRODUCT((E189:T189&lt;&gt;"")*(1-ISNUMBER(E189:T189)))&gt;0,"Amount not a number",IF(SUMPRODUCT((E$5:T$5="")*(E189:T189&lt;&gt;""))&gt;0,"Amount under no envelope",IF(COUNTIF(E189:T189,"&lt;0")&gt;0,"Amount below zero",IF(AND(ISNUMBER(C189),N(D189)&gt;C189),"More than the paycheck",""))))))</f>
        <v/>
      </c>
      <c r="W189" s="1">
        <f>IF(ISNUMBER(B189),INT(B189),0)</f>
        <v/>
      </c>
    </row>
    <row r="190">
      <c r="A190" s="1" t="n"/>
      <c r="B190" s="21" t="n"/>
      <c r="C190" s="22" t="n"/>
      <c r="D190" s="12">
        <f>IF(AND(B190="",SUMPRODUCT((E190:T190&lt;&gt;"")*1)=0),"",SUMPRODUCT((E$5:T$5&lt;&gt;"")*1,E190:T190))</f>
        <v/>
      </c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10">
        <f>IF(OR(NOT(ISNUMBER(C190)),D190=""),"",C190-D190)</f>
        <v/>
      </c>
      <c r="V190" s="18">
        <f>IF(AND(B190="",C190="",SUMPRODUCT((E190:T190&lt;&gt;"")*1)=0),"",IF(NOT(ISNUMBER(B190)),"Needs a date",IF(SUMPRODUCT((E190:T190&lt;&gt;"")*(1-ISNUMBER(E190:T190)))&gt;0,"Amount not a number",IF(SUMPRODUCT((E$5:T$5="")*(E190:T190&lt;&gt;""))&gt;0,"Amount under no envelope",IF(COUNTIF(E190:T190,"&lt;0")&gt;0,"Amount below zero",IF(AND(ISNUMBER(C190),N(D190)&gt;C190),"More than the paycheck",""))))))</f>
        <v/>
      </c>
      <c r="W190" s="1">
        <f>IF(ISNUMBER(B190),INT(B190),0)</f>
        <v/>
      </c>
    </row>
    <row r="191">
      <c r="A191" s="1" t="n"/>
      <c r="B191" s="21" t="n"/>
      <c r="C191" s="22" t="n"/>
      <c r="D191" s="12">
        <f>IF(AND(B191="",SUMPRODUCT((E191:T191&lt;&gt;"")*1)=0),"",SUMPRODUCT((E$5:T$5&lt;&gt;"")*1,E191:T191))</f>
        <v/>
      </c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10">
        <f>IF(OR(NOT(ISNUMBER(C191)),D191=""),"",C191-D191)</f>
        <v/>
      </c>
      <c r="V191" s="18">
        <f>IF(AND(B191="",C191="",SUMPRODUCT((E191:T191&lt;&gt;"")*1)=0),"",IF(NOT(ISNUMBER(B191)),"Needs a date",IF(SUMPRODUCT((E191:T191&lt;&gt;"")*(1-ISNUMBER(E191:T191)))&gt;0,"Amount not a number",IF(SUMPRODUCT((E$5:T$5="")*(E191:T191&lt;&gt;""))&gt;0,"Amount under no envelope",IF(COUNTIF(E191:T191,"&lt;0")&gt;0,"Amount below zero",IF(AND(ISNUMBER(C191),N(D191)&gt;C191),"More than the paycheck",""))))))</f>
        <v/>
      </c>
      <c r="W191" s="1">
        <f>IF(ISNUMBER(B191),INT(B191),0)</f>
        <v/>
      </c>
    </row>
    <row r="192">
      <c r="A192" s="1" t="n"/>
      <c r="B192" s="21" t="n"/>
      <c r="C192" s="22" t="n"/>
      <c r="D192" s="12">
        <f>IF(AND(B192="",SUMPRODUCT((E192:T192&lt;&gt;"")*1)=0),"",SUMPRODUCT((E$5:T$5&lt;&gt;"")*1,E192:T192))</f>
        <v/>
      </c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10">
        <f>IF(OR(NOT(ISNUMBER(C192)),D192=""),"",C192-D192)</f>
        <v/>
      </c>
      <c r="V192" s="18">
        <f>IF(AND(B192="",C192="",SUMPRODUCT((E192:T192&lt;&gt;"")*1)=0),"",IF(NOT(ISNUMBER(B192)),"Needs a date",IF(SUMPRODUCT((E192:T192&lt;&gt;"")*(1-ISNUMBER(E192:T192)))&gt;0,"Amount not a number",IF(SUMPRODUCT((E$5:T$5="")*(E192:T192&lt;&gt;""))&gt;0,"Amount under no envelope",IF(COUNTIF(E192:T192,"&lt;0")&gt;0,"Amount below zero",IF(AND(ISNUMBER(C192),N(D192)&gt;C192),"More than the paycheck",""))))))</f>
        <v/>
      </c>
      <c r="W192" s="1">
        <f>IF(ISNUMBER(B192),INT(B192),0)</f>
        <v/>
      </c>
    </row>
    <row r="193">
      <c r="A193" s="1" t="n"/>
      <c r="B193" s="21" t="n"/>
      <c r="C193" s="22" t="n"/>
      <c r="D193" s="12">
        <f>IF(AND(B193="",SUMPRODUCT((E193:T193&lt;&gt;"")*1)=0),"",SUMPRODUCT((E$5:T$5&lt;&gt;"")*1,E193:T193))</f>
        <v/>
      </c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10">
        <f>IF(OR(NOT(ISNUMBER(C193)),D193=""),"",C193-D193)</f>
        <v/>
      </c>
      <c r="V193" s="18">
        <f>IF(AND(B193="",C193="",SUMPRODUCT((E193:T193&lt;&gt;"")*1)=0),"",IF(NOT(ISNUMBER(B193)),"Needs a date",IF(SUMPRODUCT((E193:T193&lt;&gt;"")*(1-ISNUMBER(E193:T193)))&gt;0,"Amount not a number",IF(SUMPRODUCT((E$5:T$5="")*(E193:T193&lt;&gt;""))&gt;0,"Amount under no envelope",IF(COUNTIF(E193:T193,"&lt;0")&gt;0,"Amount below zero",IF(AND(ISNUMBER(C193),N(D193)&gt;C193),"More than the paycheck",""))))))</f>
        <v/>
      </c>
      <c r="W193" s="1">
        <f>IF(ISNUMBER(B193),INT(B193),0)</f>
        <v/>
      </c>
    </row>
    <row r="194">
      <c r="A194" s="1" t="n"/>
      <c r="B194" s="21" t="n"/>
      <c r="C194" s="22" t="n"/>
      <c r="D194" s="12">
        <f>IF(AND(B194="",SUMPRODUCT((E194:T194&lt;&gt;"")*1)=0),"",SUMPRODUCT((E$5:T$5&lt;&gt;"")*1,E194:T194))</f>
        <v/>
      </c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10">
        <f>IF(OR(NOT(ISNUMBER(C194)),D194=""),"",C194-D194)</f>
        <v/>
      </c>
      <c r="V194" s="18">
        <f>IF(AND(B194="",C194="",SUMPRODUCT((E194:T194&lt;&gt;"")*1)=0),"",IF(NOT(ISNUMBER(B194)),"Needs a date",IF(SUMPRODUCT((E194:T194&lt;&gt;"")*(1-ISNUMBER(E194:T194)))&gt;0,"Amount not a number",IF(SUMPRODUCT((E$5:T$5="")*(E194:T194&lt;&gt;""))&gt;0,"Amount under no envelope",IF(COUNTIF(E194:T194,"&lt;0")&gt;0,"Amount below zero",IF(AND(ISNUMBER(C194),N(D194)&gt;C194),"More than the paycheck",""))))))</f>
        <v/>
      </c>
      <c r="W194" s="1">
        <f>IF(ISNUMBER(B194),INT(B194),0)</f>
        <v/>
      </c>
    </row>
    <row r="195">
      <c r="A195" s="1" t="n"/>
      <c r="B195" s="21" t="n"/>
      <c r="C195" s="22" t="n"/>
      <c r="D195" s="12">
        <f>IF(AND(B195="",SUMPRODUCT((E195:T195&lt;&gt;"")*1)=0),"",SUMPRODUCT((E$5:T$5&lt;&gt;"")*1,E195:T195))</f>
        <v/>
      </c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10">
        <f>IF(OR(NOT(ISNUMBER(C195)),D195=""),"",C195-D195)</f>
        <v/>
      </c>
      <c r="V195" s="18">
        <f>IF(AND(B195="",C195="",SUMPRODUCT((E195:T195&lt;&gt;"")*1)=0),"",IF(NOT(ISNUMBER(B195)),"Needs a date",IF(SUMPRODUCT((E195:T195&lt;&gt;"")*(1-ISNUMBER(E195:T195)))&gt;0,"Amount not a number",IF(SUMPRODUCT((E$5:T$5="")*(E195:T195&lt;&gt;""))&gt;0,"Amount under no envelope",IF(COUNTIF(E195:T195,"&lt;0")&gt;0,"Amount below zero",IF(AND(ISNUMBER(C195),N(D195)&gt;C195),"More than the paycheck",""))))))</f>
        <v/>
      </c>
      <c r="W195" s="1">
        <f>IF(ISNUMBER(B195),INT(B195),0)</f>
        <v/>
      </c>
    </row>
    <row r="196">
      <c r="A196" s="1" t="n"/>
      <c r="B196" s="21" t="n"/>
      <c r="C196" s="22" t="n"/>
      <c r="D196" s="12">
        <f>IF(AND(B196="",SUMPRODUCT((E196:T196&lt;&gt;"")*1)=0),"",SUMPRODUCT((E$5:T$5&lt;&gt;"")*1,E196:T196))</f>
        <v/>
      </c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10">
        <f>IF(OR(NOT(ISNUMBER(C196)),D196=""),"",C196-D196)</f>
        <v/>
      </c>
      <c r="V196" s="18">
        <f>IF(AND(B196="",C196="",SUMPRODUCT((E196:T196&lt;&gt;"")*1)=0),"",IF(NOT(ISNUMBER(B196)),"Needs a date",IF(SUMPRODUCT((E196:T196&lt;&gt;"")*(1-ISNUMBER(E196:T196)))&gt;0,"Amount not a number",IF(SUMPRODUCT((E$5:T$5="")*(E196:T196&lt;&gt;""))&gt;0,"Amount under no envelope",IF(COUNTIF(E196:T196,"&lt;0")&gt;0,"Amount below zero",IF(AND(ISNUMBER(C196),N(D196)&gt;C196),"More than the paycheck",""))))))</f>
        <v/>
      </c>
      <c r="W196" s="1">
        <f>IF(ISNUMBER(B196),INT(B196),0)</f>
        <v/>
      </c>
    </row>
    <row r="197">
      <c r="A197" s="1" t="n"/>
      <c r="B197" s="21" t="n"/>
      <c r="C197" s="22" t="n"/>
      <c r="D197" s="12">
        <f>IF(AND(B197="",SUMPRODUCT((E197:T197&lt;&gt;"")*1)=0),"",SUMPRODUCT((E$5:T$5&lt;&gt;"")*1,E197:T197))</f>
        <v/>
      </c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10">
        <f>IF(OR(NOT(ISNUMBER(C197)),D197=""),"",C197-D197)</f>
        <v/>
      </c>
      <c r="V197" s="18">
        <f>IF(AND(B197="",C197="",SUMPRODUCT((E197:T197&lt;&gt;"")*1)=0),"",IF(NOT(ISNUMBER(B197)),"Needs a date",IF(SUMPRODUCT((E197:T197&lt;&gt;"")*(1-ISNUMBER(E197:T197)))&gt;0,"Amount not a number",IF(SUMPRODUCT((E$5:T$5="")*(E197:T197&lt;&gt;""))&gt;0,"Amount under no envelope",IF(COUNTIF(E197:T197,"&lt;0")&gt;0,"Amount below zero",IF(AND(ISNUMBER(C197),N(D197)&gt;C197),"More than the paycheck",""))))))</f>
        <v/>
      </c>
      <c r="W197" s="1">
        <f>IF(ISNUMBER(B197),INT(B197),0)</f>
        <v/>
      </c>
    </row>
    <row r="198">
      <c r="A198" s="1" t="n"/>
      <c r="B198" s="21" t="n"/>
      <c r="C198" s="22" t="n"/>
      <c r="D198" s="12">
        <f>IF(AND(B198="",SUMPRODUCT((E198:T198&lt;&gt;"")*1)=0),"",SUMPRODUCT((E$5:T$5&lt;&gt;"")*1,E198:T198))</f>
        <v/>
      </c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10">
        <f>IF(OR(NOT(ISNUMBER(C198)),D198=""),"",C198-D198)</f>
        <v/>
      </c>
      <c r="V198" s="18">
        <f>IF(AND(B198="",C198="",SUMPRODUCT((E198:T198&lt;&gt;"")*1)=0),"",IF(NOT(ISNUMBER(B198)),"Needs a date",IF(SUMPRODUCT((E198:T198&lt;&gt;"")*(1-ISNUMBER(E198:T198)))&gt;0,"Amount not a number",IF(SUMPRODUCT((E$5:T$5="")*(E198:T198&lt;&gt;""))&gt;0,"Amount under no envelope",IF(COUNTIF(E198:T198,"&lt;0")&gt;0,"Amount below zero",IF(AND(ISNUMBER(C198),N(D198)&gt;C198),"More than the paycheck",""))))))</f>
        <v/>
      </c>
      <c r="W198" s="1">
        <f>IF(ISNUMBER(B198),INT(B198),0)</f>
        <v/>
      </c>
    </row>
    <row r="199">
      <c r="A199" s="1" t="n"/>
      <c r="B199" s="21" t="n"/>
      <c r="C199" s="22" t="n"/>
      <c r="D199" s="12">
        <f>IF(AND(B199="",SUMPRODUCT((E199:T199&lt;&gt;"")*1)=0),"",SUMPRODUCT((E$5:T$5&lt;&gt;"")*1,E199:T199))</f>
        <v/>
      </c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10">
        <f>IF(OR(NOT(ISNUMBER(C199)),D199=""),"",C199-D199)</f>
        <v/>
      </c>
      <c r="V199" s="18">
        <f>IF(AND(B199="",C199="",SUMPRODUCT((E199:T199&lt;&gt;"")*1)=0),"",IF(NOT(ISNUMBER(B199)),"Needs a date",IF(SUMPRODUCT((E199:T199&lt;&gt;"")*(1-ISNUMBER(E199:T199)))&gt;0,"Amount not a number",IF(SUMPRODUCT((E$5:T$5="")*(E199:T199&lt;&gt;""))&gt;0,"Amount under no envelope",IF(COUNTIF(E199:T199,"&lt;0")&gt;0,"Amount below zero",IF(AND(ISNUMBER(C199),N(D199)&gt;C199),"More than the paycheck",""))))))</f>
        <v/>
      </c>
      <c r="W199" s="1">
        <f>IF(ISNUMBER(B199),INT(B199),0)</f>
        <v/>
      </c>
    </row>
    <row r="200">
      <c r="A200" s="1" t="n"/>
      <c r="B200" s="21" t="n"/>
      <c r="C200" s="22" t="n"/>
      <c r="D200" s="12">
        <f>IF(AND(B200="",SUMPRODUCT((E200:T200&lt;&gt;"")*1)=0),"",SUMPRODUCT((E$5:T$5&lt;&gt;"")*1,E200:T200))</f>
        <v/>
      </c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10">
        <f>IF(OR(NOT(ISNUMBER(C200)),D200=""),"",C200-D200)</f>
        <v/>
      </c>
      <c r="V200" s="18">
        <f>IF(AND(B200="",C200="",SUMPRODUCT((E200:T200&lt;&gt;"")*1)=0),"",IF(NOT(ISNUMBER(B200)),"Needs a date",IF(SUMPRODUCT((E200:T200&lt;&gt;"")*(1-ISNUMBER(E200:T200)))&gt;0,"Amount not a number",IF(SUMPRODUCT((E$5:T$5="")*(E200:T200&lt;&gt;""))&gt;0,"Amount under no envelope",IF(COUNTIF(E200:T200,"&lt;0")&gt;0,"Amount below zero",IF(AND(ISNUMBER(C200),N(D200)&gt;C200),"More than the paycheck",""))))))</f>
        <v/>
      </c>
      <c r="W200" s="1">
        <f>IF(ISNUMBER(B200),INT(B200),0)</f>
        <v/>
      </c>
    </row>
    <row r="201">
      <c r="A201" s="1" t="n"/>
      <c r="B201" s="21" t="n"/>
      <c r="C201" s="22" t="n"/>
      <c r="D201" s="12">
        <f>IF(AND(B201="",SUMPRODUCT((E201:T201&lt;&gt;"")*1)=0),"",SUMPRODUCT((E$5:T$5&lt;&gt;"")*1,E201:T201))</f>
        <v/>
      </c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10">
        <f>IF(OR(NOT(ISNUMBER(C201)),D201=""),"",C201-D201)</f>
        <v/>
      </c>
      <c r="V201" s="18">
        <f>IF(AND(B201="",C201="",SUMPRODUCT((E201:T201&lt;&gt;"")*1)=0),"",IF(NOT(ISNUMBER(B201)),"Needs a date",IF(SUMPRODUCT((E201:T201&lt;&gt;"")*(1-ISNUMBER(E201:T201)))&gt;0,"Amount not a number",IF(SUMPRODUCT((E$5:T$5="")*(E201:T201&lt;&gt;""))&gt;0,"Amount under no envelope",IF(COUNTIF(E201:T201,"&lt;0")&gt;0,"Amount below zero",IF(AND(ISNUMBER(C201),N(D201)&gt;C201),"More than the paycheck",""))))))</f>
        <v/>
      </c>
      <c r="W201" s="1">
        <f>IF(ISNUMBER(B201),INT(B201),0)</f>
        <v/>
      </c>
    </row>
    <row r="202">
      <c r="A202" s="1" t="n"/>
      <c r="B202" s="21" t="n"/>
      <c r="C202" s="22" t="n"/>
      <c r="D202" s="12">
        <f>IF(AND(B202="",SUMPRODUCT((E202:T202&lt;&gt;"")*1)=0),"",SUMPRODUCT((E$5:T$5&lt;&gt;"")*1,E202:T202))</f>
        <v/>
      </c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10">
        <f>IF(OR(NOT(ISNUMBER(C202)),D202=""),"",C202-D202)</f>
        <v/>
      </c>
      <c r="V202" s="18">
        <f>IF(AND(B202="",C202="",SUMPRODUCT((E202:T202&lt;&gt;"")*1)=0),"",IF(NOT(ISNUMBER(B202)),"Needs a date",IF(SUMPRODUCT((E202:T202&lt;&gt;"")*(1-ISNUMBER(E202:T202)))&gt;0,"Amount not a number",IF(SUMPRODUCT((E$5:T$5="")*(E202:T202&lt;&gt;""))&gt;0,"Amount under no envelope",IF(COUNTIF(E202:T202,"&lt;0")&gt;0,"Amount below zero",IF(AND(ISNUMBER(C202),N(D202)&gt;C202),"More than the paycheck",""))))))</f>
        <v/>
      </c>
      <c r="W202" s="1">
        <f>IF(ISNUMBER(B202),INT(B202),0)</f>
        <v/>
      </c>
    </row>
    <row r="203">
      <c r="A203" s="1" t="n"/>
      <c r="B203" s="21" t="n"/>
      <c r="C203" s="22" t="n"/>
      <c r="D203" s="12">
        <f>IF(AND(B203="",SUMPRODUCT((E203:T203&lt;&gt;"")*1)=0),"",SUMPRODUCT((E$5:T$5&lt;&gt;"")*1,E203:T203))</f>
        <v/>
      </c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10">
        <f>IF(OR(NOT(ISNUMBER(C203)),D203=""),"",C203-D203)</f>
        <v/>
      </c>
      <c r="V203" s="18">
        <f>IF(AND(B203="",C203="",SUMPRODUCT((E203:T203&lt;&gt;"")*1)=0),"",IF(NOT(ISNUMBER(B203)),"Needs a date",IF(SUMPRODUCT((E203:T203&lt;&gt;"")*(1-ISNUMBER(E203:T203)))&gt;0,"Amount not a number",IF(SUMPRODUCT((E$5:T$5="")*(E203:T203&lt;&gt;""))&gt;0,"Amount under no envelope",IF(COUNTIF(E203:T203,"&lt;0")&gt;0,"Amount below zero",IF(AND(ISNUMBER(C203),N(D203)&gt;C203),"More than the paycheck",""))))))</f>
        <v/>
      </c>
      <c r="W203" s="1">
        <f>IF(ISNUMBER(B203),INT(B203),0)</f>
        <v/>
      </c>
    </row>
    <row r="204">
      <c r="A204" s="1" t="n"/>
      <c r="B204" s="21" t="n"/>
      <c r="C204" s="22" t="n"/>
      <c r="D204" s="12">
        <f>IF(AND(B204="",SUMPRODUCT((E204:T204&lt;&gt;"")*1)=0),"",SUMPRODUCT((E$5:T$5&lt;&gt;"")*1,E204:T204))</f>
        <v/>
      </c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10">
        <f>IF(OR(NOT(ISNUMBER(C204)),D204=""),"",C204-D204)</f>
        <v/>
      </c>
      <c r="V204" s="18">
        <f>IF(AND(B204="",C204="",SUMPRODUCT((E204:T204&lt;&gt;"")*1)=0),"",IF(NOT(ISNUMBER(B204)),"Needs a date",IF(SUMPRODUCT((E204:T204&lt;&gt;"")*(1-ISNUMBER(E204:T204)))&gt;0,"Amount not a number",IF(SUMPRODUCT((E$5:T$5="")*(E204:T204&lt;&gt;""))&gt;0,"Amount under no envelope",IF(COUNTIF(E204:T204,"&lt;0")&gt;0,"Amount below zero",IF(AND(ISNUMBER(C204),N(D204)&gt;C204),"More than the paycheck",""))))))</f>
        <v/>
      </c>
      <c r="W204" s="1">
        <f>IF(ISNUMBER(B204),INT(B204),0)</f>
        <v/>
      </c>
    </row>
    <row r="205">
      <c r="A205" s="1" t="n"/>
      <c r="B205" s="21" t="n"/>
      <c r="C205" s="22" t="n"/>
      <c r="D205" s="12">
        <f>IF(AND(B205="",SUMPRODUCT((E205:T205&lt;&gt;"")*1)=0),"",SUMPRODUCT((E$5:T$5&lt;&gt;"")*1,E205:T205))</f>
        <v/>
      </c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10">
        <f>IF(OR(NOT(ISNUMBER(C205)),D205=""),"",C205-D205)</f>
        <v/>
      </c>
      <c r="V205" s="18">
        <f>IF(AND(B205="",C205="",SUMPRODUCT((E205:T205&lt;&gt;"")*1)=0),"",IF(NOT(ISNUMBER(B205)),"Needs a date",IF(SUMPRODUCT((E205:T205&lt;&gt;"")*(1-ISNUMBER(E205:T205)))&gt;0,"Amount not a number",IF(SUMPRODUCT((E$5:T$5="")*(E205:T205&lt;&gt;""))&gt;0,"Amount under no envelope",IF(COUNTIF(E205:T205,"&lt;0")&gt;0,"Amount below zero",IF(AND(ISNUMBER(C205),N(D205)&gt;C205),"More than the paycheck",""))))))</f>
        <v/>
      </c>
      <c r="W205" s="1">
        <f>IF(ISNUMBER(B205),INT(B205),0)</f>
        <v/>
      </c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</row>
  </sheetData>
  <conditionalFormatting sqref="V6:V205">
    <cfRule type="expression" priority="1" dxfId="0">
      <formula>V6&lt;&gt;""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8" customWidth="1" min="3" max="3"/>
    <col width="12" customWidth="1" min="4" max="4"/>
    <col width="26" customWidth="1" min="5" max="5"/>
    <col width="18" customWidth="1" min="6" max="6"/>
    <col width="30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Spending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Each time you spend cash from an envelope. To move cash to another envelope, pick it under Moved to.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8" t="inlineStr">
        <is>
          <t>Date</t>
        </is>
      </c>
      <c r="C5" s="8" t="inlineStr">
        <is>
          <t>Envelope</t>
        </is>
      </c>
      <c r="D5" s="8" t="inlineStr">
        <is>
          <t>Amount</t>
        </is>
      </c>
      <c r="E5" s="8" t="inlineStr">
        <is>
          <t>What</t>
        </is>
      </c>
      <c r="F5" s="8" t="inlineStr">
        <is>
          <t>Moved to</t>
        </is>
      </c>
      <c r="G5" s="8" t="inlineStr">
        <is>
          <t>Check</t>
        </is>
      </c>
      <c r="H5" s="1" t="n"/>
    </row>
    <row r="6">
      <c r="A6" s="1" t="n"/>
      <c r="B6" s="21" t="n">
        <v>45991</v>
      </c>
      <c r="C6" s="23" t="inlineStr">
        <is>
          <t>Personal care</t>
        </is>
      </c>
      <c r="D6" s="22" t="n">
        <v>24.65</v>
      </c>
      <c r="E6" s="24" t="inlineStr">
        <is>
          <t>Pharmacy</t>
        </is>
      </c>
      <c r="F6" s="25" t="n"/>
      <c r="G6" s="18">
        <f>IF(AND(C6="",D6=""),"",IF(NOT(ISNUMBER(B6)),"Needs a date",IF(NOT(ISNUMBER(D6)),"Needs the amount",IF(C6="","Needs an envelope",IF(COUNTIF(Envelopes!$B$6:$B$21,C6)=0,"Not on Envelopes",IF(F6="",IF(D6=0,"Needs the amount",""),IF(COUNTIF(Envelopes!$B$6:$B$21,F6)=0,"Moved to: not on Envelopes",IF(D6&lt;=0,"A move needs an amount",IF(F6=C6,"Moved to the same envelope","")))))))))</f>
        <v/>
      </c>
      <c r="H6" s="1">
        <f>IF(ISNUMBER(B6),INT(B6),0)</f>
        <v/>
      </c>
      <c r="I6">
        <f>IF(AND(H6&gt;0,ISNUMBER(D6),COUNTIF(Envelopes!$B$6:$B$21,C6)&gt;0,F6=""),1,0)</f>
        <v/>
      </c>
      <c r="J6">
        <f>IF(AND(H6&gt;0,ISNUMBER(D6),COUNTIF(Envelopes!$B$6:$B$21,C6)&gt;0,F6&lt;&gt;"",COUNTIF(Envelopes!$B$6:$B$21,F6)&gt;0),1,0)</f>
        <v/>
      </c>
      <c r="K6">
        <f>IF(I6=1,H6*10000+ROW(),"")</f>
        <v/>
      </c>
    </row>
    <row r="7">
      <c r="A7" s="1" t="n"/>
      <c r="B7" s="21" t="n">
        <v>45991</v>
      </c>
      <c r="C7" s="23" t="inlineStr">
        <is>
          <t>Kids</t>
        </is>
      </c>
      <c r="D7" s="22" t="n">
        <v>32.59</v>
      </c>
      <c r="E7" s="24" t="inlineStr">
        <is>
          <t>Swimming</t>
        </is>
      </c>
      <c r="F7" s="25" t="n"/>
      <c r="G7" s="18">
        <f>IF(AND(C7="",D7=""),"",IF(NOT(ISNUMBER(B7)),"Needs a date",IF(NOT(ISNUMBER(D7)),"Needs the amount",IF(C7="","Needs an envelope",IF(COUNTIF(Envelopes!$B$6:$B$21,C7)=0,"Not on Envelopes",IF(F7="",IF(D7=0,"Needs the amount",""),IF(COUNTIF(Envelopes!$B$6:$B$21,F7)=0,"Moved to: not on Envelopes",IF(D7&lt;=0,"A move needs an amount",IF(F7=C7,"Moved to the same envelope","")))))))))</f>
        <v/>
      </c>
      <c r="H7" s="1">
        <f>IF(ISNUMBER(B7),INT(B7),0)</f>
        <v/>
      </c>
      <c r="I7">
        <f>IF(AND(H7&gt;0,ISNUMBER(D7),COUNTIF(Envelopes!$B$6:$B$21,C7)&gt;0,F7=""),1,0)</f>
        <v/>
      </c>
      <c r="J7">
        <f>IF(AND(H7&gt;0,ISNUMBER(D7),COUNTIF(Envelopes!$B$6:$B$21,C7)&gt;0,F7&lt;&gt;"",COUNTIF(Envelopes!$B$6:$B$21,F7)&gt;0),1,0)</f>
        <v/>
      </c>
      <c r="K7">
        <f>IF(I7=1,H7*10000+ROW(),"")</f>
        <v/>
      </c>
    </row>
    <row r="8">
      <c r="A8" s="1" t="n"/>
      <c r="B8" s="21" t="n">
        <v>45992</v>
      </c>
      <c r="C8" s="23" t="inlineStr">
        <is>
          <t>Groceries</t>
        </is>
      </c>
      <c r="D8" s="22" t="n">
        <v>43.59</v>
      </c>
      <c r="E8" s="24" t="inlineStr">
        <is>
          <t>Supermarket</t>
        </is>
      </c>
      <c r="F8" s="25" t="n"/>
      <c r="G8" s="18">
        <f>IF(AND(C8="",D8=""),"",IF(NOT(ISNUMBER(B8)),"Needs a date",IF(NOT(ISNUMBER(D8)),"Needs the amount",IF(C8="","Needs an envelope",IF(COUNTIF(Envelopes!$B$6:$B$21,C8)=0,"Not on Envelopes",IF(F8="",IF(D8=0,"Needs the amount",""),IF(COUNTIF(Envelopes!$B$6:$B$21,F8)=0,"Moved to: not on Envelopes",IF(D8&lt;=0,"A move needs an amount",IF(F8=C8,"Moved to the same envelope","")))))))))</f>
        <v/>
      </c>
      <c r="H8" s="1">
        <f>IF(ISNUMBER(B8),INT(B8),0)</f>
        <v/>
      </c>
      <c r="I8">
        <f>IF(AND(H8&gt;0,ISNUMBER(D8),COUNTIF(Envelopes!$B$6:$B$21,C8)&gt;0,F8=""),1,0)</f>
        <v/>
      </c>
      <c r="J8">
        <f>IF(AND(H8&gt;0,ISNUMBER(D8),COUNTIF(Envelopes!$B$6:$B$21,C8)&gt;0,F8&lt;&gt;"",COUNTIF(Envelopes!$B$6:$B$21,F8)&gt;0),1,0)</f>
        <v/>
      </c>
      <c r="K8">
        <f>IF(I8=1,H8*10000+ROW(),"")</f>
        <v/>
      </c>
    </row>
    <row r="9">
      <c r="A9" s="1" t="n"/>
      <c r="B9" s="21" t="n">
        <v>45994</v>
      </c>
      <c r="C9" s="23" t="inlineStr">
        <is>
          <t>Gas</t>
        </is>
      </c>
      <c r="D9" s="22" t="n">
        <v>44.04</v>
      </c>
      <c r="E9" s="24" t="inlineStr">
        <is>
          <t>Gas station</t>
        </is>
      </c>
      <c r="F9" s="25" t="n"/>
      <c r="G9" s="18">
        <f>IF(AND(C9="",D9=""),"",IF(NOT(ISNUMBER(B9)),"Needs a date",IF(NOT(ISNUMBER(D9)),"Needs the amount",IF(C9="","Needs an envelope",IF(COUNTIF(Envelopes!$B$6:$B$21,C9)=0,"Not on Envelopes",IF(F9="",IF(D9=0,"Needs the amount",""),IF(COUNTIF(Envelopes!$B$6:$B$21,F9)=0,"Moved to: not on Envelopes",IF(D9&lt;=0,"A move needs an amount",IF(F9=C9,"Moved to the same envelope","")))))))))</f>
        <v/>
      </c>
      <c r="H9" s="1">
        <f>IF(ISNUMBER(B9),INT(B9),0)</f>
        <v/>
      </c>
      <c r="I9">
        <f>IF(AND(H9&gt;0,ISNUMBER(D9),COUNTIF(Envelopes!$B$6:$B$21,C9)&gt;0,F9=""),1,0)</f>
        <v/>
      </c>
      <c r="J9">
        <f>IF(AND(H9&gt;0,ISNUMBER(D9),COUNTIF(Envelopes!$B$6:$B$21,C9)&gt;0,F9&lt;&gt;"",COUNTIF(Envelopes!$B$6:$B$21,F9)&gt;0),1,0)</f>
        <v/>
      </c>
      <c r="K9">
        <f>IF(I9=1,H9*10000+ROW(),"")</f>
        <v/>
      </c>
    </row>
    <row r="10">
      <c r="A10" s="1" t="n"/>
      <c r="B10" s="21" t="n">
        <v>45995</v>
      </c>
      <c r="C10" s="23" t="inlineStr">
        <is>
          <t>Groceries</t>
        </is>
      </c>
      <c r="D10" s="22" t="n">
        <v>24.11</v>
      </c>
      <c r="E10" s="24" t="inlineStr">
        <is>
          <t>Supermarket</t>
        </is>
      </c>
      <c r="F10" s="25" t="n"/>
      <c r="G10" s="18">
        <f>IF(AND(C10="",D10=""),"",IF(NOT(ISNUMBER(B10)),"Needs a date",IF(NOT(ISNUMBER(D10)),"Needs the amount",IF(C10="","Needs an envelope",IF(COUNTIF(Envelopes!$B$6:$B$21,C10)=0,"Not on Envelopes",IF(F10="",IF(D10=0,"Needs the amount",""),IF(COUNTIF(Envelopes!$B$6:$B$21,F10)=0,"Moved to: not on Envelopes",IF(D10&lt;=0,"A move needs an amount",IF(F10=C10,"Moved to the same envelope","")))))))))</f>
        <v/>
      </c>
      <c r="H10" s="1">
        <f>IF(ISNUMBER(B10),INT(B10),0)</f>
        <v/>
      </c>
      <c r="I10">
        <f>IF(AND(H10&gt;0,ISNUMBER(D10),COUNTIF(Envelopes!$B$6:$B$21,C10)&gt;0,F10=""),1,0)</f>
        <v/>
      </c>
      <c r="J10">
        <f>IF(AND(H10&gt;0,ISNUMBER(D10),COUNTIF(Envelopes!$B$6:$B$21,C10)&gt;0,F10&lt;&gt;"",COUNTIF(Envelopes!$B$6:$B$21,F10)&gt;0),1,0)</f>
        <v/>
      </c>
      <c r="K10">
        <f>IF(I10=1,H10*10000+ROW(),"")</f>
        <v/>
      </c>
    </row>
    <row r="11">
      <c r="A11" s="1" t="n"/>
      <c r="B11" s="21" t="n">
        <v>45995</v>
      </c>
      <c r="C11" s="23" t="inlineStr">
        <is>
          <t>Eating out</t>
        </is>
      </c>
      <c r="D11" s="22" t="n">
        <v>5.69</v>
      </c>
      <c r="E11" s="24" t="inlineStr">
        <is>
          <t>Tacos</t>
        </is>
      </c>
      <c r="F11" s="25" t="n"/>
      <c r="G11" s="18">
        <f>IF(AND(C11="",D11=""),"",IF(NOT(ISNUMBER(B11)),"Needs a date",IF(NOT(ISNUMBER(D11)),"Needs the amount",IF(C11="","Needs an envelope",IF(COUNTIF(Envelopes!$B$6:$B$21,C11)=0,"Not on Envelopes",IF(F11="",IF(D11=0,"Needs the amount",""),IF(COUNTIF(Envelopes!$B$6:$B$21,F11)=0,"Moved to: not on Envelopes",IF(D11&lt;=0,"A move needs an amount",IF(F11=C11,"Moved to the same envelope","")))))))))</f>
        <v/>
      </c>
      <c r="H11" s="1">
        <f>IF(ISNUMBER(B11),INT(B11),0)</f>
        <v/>
      </c>
      <c r="I11">
        <f>IF(AND(H11&gt;0,ISNUMBER(D11),COUNTIF(Envelopes!$B$6:$B$21,C11)&gt;0,F11=""),1,0)</f>
        <v/>
      </c>
      <c r="J11">
        <f>IF(AND(H11&gt;0,ISNUMBER(D11),COUNTIF(Envelopes!$B$6:$B$21,C11)&gt;0,F11&lt;&gt;"",COUNTIF(Envelopes!$B$6:$B$21,F11)&gt;0),1,0)</f>
        <v/>
      </c>
      <c r="K11">
        <f>IF(I11=1,H11*10000+ROW(),"")</f>
        <v/>
      </c>
    </row>
    <row r="12">
      <c r="A12" s="1" t="n"/>
      <c r="B12" s="21" t="n">
        <v>45996</v>
      </c>
      <c r="C12" s="23" t="inlineStr">
        <is>
          <t>Groceries</t>
        </is>
      </c>
      <c r="D12" s="22" t="n">
        <v>6.3</v>
      </c>
      <c r="E12" s="24" t="inlineStr">
        <is>
          <t>Farmers market</t>
        </is>
      </c>
      <c r="F12" s="25" t="n"/>
      <c r="G12" s="18">
        <f>IF(AND(C12="",D12=""),"",IF(NOT(ISNUMBER(B12)),"Needs a date",IF(NOT(ISNUMBER(D12)),"Needs the amount",IF(C12="","Needs an envelope",IF(COUNTIF(Envelopes!$B$6:$B$21,C12)=0,"Not on Envelopes",IF(F12="",IF(D12=0,"Needs the amount",""),IF(COUNTIF(Envelopes!$B$6:$B$21,F12)=0,"Moved to: not on Envelopes",IF(D12&lt;=0,"A move needs an amount",IF(F12=C12,"Moved to the same envelope","")))))))))</f>
        <v/>
      </c>
      <c r="H12" s="1">
        <f>IF(ISNUMBER(B12),INT(B12),0)</f>
        <v/>
      </c>
      <c r="I12">
        <f>IF(AND(H12&gt;0,ISNUMBER(D12),COUNTIF(Envelopes!$B$6:$B$21,C12)&gt;0,F12=""),1,0)</f>
        <v/>
      </c>
      <c r="J12">
        <f>IF(AND(H12&gt;0,ISNUMBER(D12),COUNTIF(Envelopes!$B$6:$B$21,C12)&gt;0,F12&lt;&gt;"",COUNTIF(Envelopes!$B$6:$B$21,F12)&gt;0),1,0)</f>
        <v/>
      </c>
      <c r="K12">
        <f>IF(I12=1,H12*10000+ROW(),"")</f>
        <v/>
      </c>
    </row>
    <row r="13">
      <c r="A13" s="1" t="n"/>
      <c r="B13" s="21" t="n">
        <v>45997</v>
      </c>
      <c r="C13" s="23" t="inlineStr">
        <is>
          <t>Gas</t>
        </is>
      </c>
      <c r="D13" s="22" t="n">
        <v>25.91</v>
      </c>
      <c r="E13" s="24" t="inlineStr">
        <is>
          <t>Gas station</t>
        </is>
      </c>
      <c r="F13" s="25" t="n"/>
      <c r="G13" s="18">
        <f>IF(AND(C13="",D13=""),"",IF(NOT(ISNUMBER(B13)),"Needs a date",IF(NOT(ISNUMBER(D13)),"Needs the amount",IF(C13="","Needs an envelope",IF(COUNTIF(Envelopes!$B$6:$B$21,C13)=0,"Not on Envelopes",IF(F13="",IF(D13=0,"Needs the amount",""),IF(COUNTIF(Envelopes!$B$6:$B$21,F13)=0,"Moved to: not on Envelopes",IF(D13&lt;=0,"A move needs an amount",IF(F13=C13,"Moved to the same envelope","")))))))))</f>
        <v/>
      </c>
      <c r="H13" s="1">
        <f>IF(ISNUMBER(B13),INT(B13),0)</f>
        <v/>
      </c>
      <c r="I13">
        <f>IF(AND(H13&gt;0,ISNUMBER(D13),COUNTIF(Envelopes!$B$6:$B$21,C13)&gt;0,F13=""),1,0)</f>
        <v/>
      </c>
      <c r="J13">
        <f>IF(AND(H13&gt;0,ISNUMBER(D13),COUNTIF(Envelopes!$B$6:$B$21,C13)&gt;0,F13&lt;&gt;"",COUNTIF(Envelopes!$B$6:$B$21,F13)&gt;0),1,0)</f>
        <v/>
      </c>
      <c r="K13">
        <f>IF(I13=1,H13*10000+ROW(),"")</f>
        <v/>
      </c>
    </row>
    <row r="14">
      <c r="A14" s="1" t="n"/>
      <c r="B14" s="21" t="n">
        <v>45997</v>
      </c>
      <c r="C14" s="23" t="inlineStr">
        <is>
          <t>Christmas</t>
        </is>
      </c>
      <c r="D14" s="22" t="n">
        <v>180</v>
      </c>
      <c r="E14" s="24" t="inlineStr">
        <is>
          <t>Presents</t>
        </is>
      </c>
      <c r="F14" s="25" t="n"/>
      <c r="G14" s="18">
        <f>IF(AND(C14="",D14=""),"",IF(NOT(ISNUMBER(B14)),"Needs a date",IF(NOT(ISNUMBER(D14)),"Needs the amount",IF(C14="","Needs an envelope",IF(COUNTIF(Envelopes!$B$6:$B$21,C14)=0,"Not on Envelopes",IF(F14="",IF(D14=0,"Needs the amount",""),IF(COUNTIF(Envelopes!$B$6:$B$21,F14)=0,"Moved to: not on Envelopes",IF(D14&lt;=0,"A move needs an amount",IF(F14=C14,"Moved to the same envelope","")))))))))</f>
        <v/>
      </c>
      <c r="H14" s="1">
        <f>IF(ISNUMBER(B14),INT(B14),0)</f>
        <v/>
      </c>
      <c r="I14">
        <f>IF(AND(H14&gt;0,ISNUMBER(D14),COUNTIF(Envelopes!$B$6:$B$21,C14)&gt;0,F14=""),1,0)</f>
        <v/>
      </c>
      <c r="J14">
        <f>IF(AND(H14&gt;0,ISNUMBER(D14),COUNTIF(Envelopes!$B$6:$B$21,C14)&gt;0,F14&lt;&gt;"",COUNTIF(Envelopes!$B$6:$B$21,F14)&gt;0),1,0)</f>
        <v/>
      </c>
      <c r="K14">
        <f>IF(I14=1,H14*10000+ROW(),"")</f>
        <v/>
      </c>
    </row>
    <row r="15">
      <c r="A15" s="1" t="n"/>
      <c r="B15" s="21" t="n">
        <v>45998</v>
      </c>
      <c r="C15" s="23" t="inlineStr">
        <is>
          <t>Eating out</t>
        </is>
      </c>
      <c r="D15" s="22" t="n">
        <v>22.22</v>
      </c>
      <c r="E15" s="24" t="inlineStr">
        <is>
          <t>Lunch out</t>
        </is>
      </c>
      <c r="F15" s="25" t="n"/>
      <c r="G15" s="18">
        <f>IF(AND(C15="",D15=""),"",IF(NOT(ISNUMBER(B15)),"Needs a date",IF(NOT(ISNUMBER(D15)),"Needs the amount",IF(C15="","Needs an envelope",IF(COUNTIF(Envelopes!$B$6:$B$21,C15)=0,"Not on Envelopes",IF(F15="",IF(D15=0,"Needs the amount",""),IF(COUNTIF(Envelopes!$B$6:$B$21,F15)=0,"Moved to: not on Envelopes",IF(D15&lt;=0,"A move needs an amount",IF(F15=C15,"Moved to the same envelope","")))))))))</f>
        <v/>
      </c>
      <c r="H15" s="1">
        <f>IF(ISNUMBER(B15),INT(B15),0)</f>
        <v/>
      </c>
      <c r="I15">
        <f>IF(AND(H15&gt;0,ISNUMBER(D15),COUNTIF(Envelopes!$B$6:$B$21,C15)&gt;0,F15=""),1,0)</f>
        <v/>
      </c>
      <c r="J15">
        <f>IF(AND(H15&gt;0,ISNUMBER(D15),COUNTIF(Envelopes!$B$6:$B$21,C15)&gt;0,F15&lt;&gt;"",COUNTIF(Envelopes!$B$6:$B$21,F15)&gt;0),1,0)</f>
        <v/>
      </c>
      <c r="K15">
        <f>IF(I15=1,H15*10000+ROW(),"")</f>
        <v/>
      </c>
    </row>
    <row r="16">
      <c r="A16" s="1" t="n"/>
      <c r="B16" s="21" t="n">
        <v>45999</v>
      </c>
      <c r="C16" s="23" t="inlineStr">
        <is>
          <t>Fun money</t>
        </is>
      </c>
      <c r="D16" s="22" t="n">
        <v>35.39</v>
      </c>
      <c r="E16" s="24" t="inlineStr">
        <is>
          <t>Cinema</t>
        </is>
      </c>
      <c r="F16" s="25" t="n"/>
      <c r="G16" s="18">
        <f>IF(AND(C16="",D16=""),"",IF(NOT(ISNUMBER(B16)),"Needs a date",IF(NOT(ISNUMBER(D16)),"Needs the amount",IF(C16="","Needs an envelope",IF(COUNTIF(Envelopes!$B$6:$B$21,C16)=0,"Not on Envelopes",IF(F16="",IF(D16=0,"Needs the amount",""),IF(COUNTIF(Envelopes!$B$6:$B$21,F16)=0,"Moved to: not on Envelopes",IF(D16&lt;=0,"A move needs an amount",IF(F16=C16,"Moved to the same envelope","")))))))))</f>
        <v/>
      </c>
      <c r="H16" s="1">
        <f>IF(ISNUMBER(B16),INT(B16),0)</f>
        <v/>
      </c>
      <c r="I16">
        <f>IF(AND(H16&gt;0,ISNUMBER(D16),COUNTIF(Envelopes!$B$6:$B$21,C16)&gt;0,F16=""),1,0)</f>
        <v/>
      </c>
      <c r="J16">
        <f>IF(AND(H16&gt;0,ISNUMBER(D16),COUNTIF(Envelopes!$B$6:$B$21,C16)&gt;0,F16&lt;&gt;"",COUNTIF(Envelopes!$B$6:$B$21,F16)&gt;0),1,0)</f>
        <v/>
      </c>
      <c r="K16">
        <f>IF(I16=1,H16*10000+ROW(),"")</f>
        <v/>
      </c>
    </row>
    <row r="17">
      <c r="A17" s="1" t="n"/>
      <c r="B17" s="21" t="n">
        <v>46000</v>
      </c>
      <c r="C17" s="23" t="inlineStr">
        <is>
          <t>Groceries</t>
        </is>
      </c>
      <c r="D17" s="22" t="n">
        <v>128.74</v>
      </c>
      <c r="E17" s="24" t="inlineStr">
        <is>
          <t>Supermarket</t>
        </is>
      </c>
      <c r="F17" s="25" t="n"/>
      <c r="G17" s="18">
        <f>IF(AND(C17="",D17=""),"",IF(NOT(ISNUMBER(B17)),"Needs a date",IF(NOT(ISNUMBER(D17)),"Needs the amount",IF(C17="","Needs an envelope",IF(COUNTIF(Envelopes!$B$6:$B$21,C17)=0,"Not on Envelopes",IF(F17="",IF(D17=0,"Needs the amount",""),IF(COUNTIF(Envelopes!$B$6:$B$21,F17)=0,"Moved to: not on Envelopes",IF(D17&lt;=0,"A move needs an amount",IF(F17=C17,"Moved to the same envelope","")))))))))</f>
        <v/>
      </c>
      <c r="H17" s="1">
        <f>IF(ISNUMBER(B17),INT(B17),0)</f>
        <v/>
      </c>
      <c r="I17">
        <f>IF(AND(H17&gt;0,ISNUMBER(D17),COUNTIF(Envelopes!$B$6:$B$21,C17)&gt;0,F17=""),1,0)</f>
        <v/>
      </c>
      <c r="J17">
        <f>IF(AND(H17&gt;0,ISNUMBER(D17),COUNTIF(Envelopes!$B$6:$B$21,C17)&gt;0,F17&lt;&gt;"",COUNTIF(Envelopes!$B$6:$B$21,F17)&gt;0),1,0)</f>
        <v/>
      </c>
      <c r="K17">
        <f>IF(I17=1,H17*10000+ROW(),"")</f>
        <v/>
      </c>
    </row>
    <row r="18">
      <c r="A18" s="1" t="n"/>
      <c r="B18" s="21" t="n">
        <v>46000</v>
      </c>
      <c r="C18" s="23" t="inlineStr">
        <is>
          <t>Household</t>
        </is>
      </c>
      <c r="D18" s="22" t="n">
        <v>32.28</v>
      </c>
      <c r="E18" s="24" t="inlineStr">
        <is>
          <t>Hardware store</t>
        </is>
      </c>
      <c r="F18" s="25" t="n"/>
      <c r="G18" s="18">
        <f>IF(AND(C18="",D18=""),"",IF(NOT(ISNUMBER(B18)),"Needs a date",IF(NOT(ISNUMBER(D18)),"Needs the amount",IF(C18="","Needs an envelope",IF(COUNTIF(Envelopes!$B$6:$B$21,C18)=0,"Not on Envelopes",IF(F18="",IF(D18=0,"Needs the amount",""),IF(COUNTIF(Envelopes!$B$6:$B$21,F18)=0,"Moved to: not on Envelopes",IF(D18&lt;=0,"A move needs an amount",IF(F18=C18,"Moved to the same envelope","")))))))))</f>
        <v/>
      </c>
      <c r="H18" s="1">
        <f>IF(ISNUMBER(B18),INT(B18),0)</f>
        <v/>
      </c>
      <c r="I18">
        <f>IF(AND(H18&gt;0,ISNUMBER(D18),COUNTIF(Envelopes!$B$6:$B$21,C18)&gt;0,F18=""),1,0)</f>
        <v/>
      </c>
      <c r="J18">
        <f>IF(AND(H18&gt;0,ISNUMBER(D18),COUNTIF(Envelopes!$B$6:$B$21,C18)&gt;0,F18&lt;&gt;"",COUNTIF(Envelopes!$B$6:$B$21,F18)&gt;0),1,0)</f>
        <v/>
      </c>
      <c r="K18">
        <f>IF(I18=1,H18*10000+ROW(),"")</f>
        <v/>
      </c>
    </row>
    <row r="19">
      <c r="A19" s="1" t="n"/>
      <c r="B19" s="21" t="n">
        <v>46004</v>
      </c>
      <c r="C19" s="23" t="inlineStr">
        <is>
          <t>Christmas</t>
        </is>
      </c>
      <c r="D19" s="22" t="n">
        <v>85</v>
      </c>
      <c r="E19" s="24" t="inlineStr">
        <is>
          <t>Christmas dinner</t>
        </is>
      </c>
      <c r="F19" s="25" t="n"/>
      <c r="G19" s="18">
        <f>IF(AND(C19="",D19=""),"",IF(NOT(ISNUMBER(B19)),"Needs a date",IF(NOT(ISNUMBER(D19)),"Needs the amount",IF(C19="","Needs an envelope",IF(COUNTIF(Envelopes!$B$6:$B$21,C19)=0,"Not on Envelopes",IF(F19="",IF(D19=0,"Needs the amount",""),IF(COUNTIF(Envelopes!$B$6:$B$21,F19)=0,"Moved to: not on Envelopes",IF(D19&lt;=0,"A move needs an amount",IF(F19=C19,"Moved to the same envelope","")))))))))</f>
        <v/>
      </c>
      <c r="H19" s="1">
        <f>IF(ISNUMBER(B19),INT(B19),0)</f>
        <v/>
      </c>
      <c r="I19">
        <f>IF(AND(H19&gt;0,ISNUMBER(D19),COUNTIF(Envelopes!$B$6:$B$21,C19)&gt;0,F19=""),1,0)</f>
        <v/>
      </c>
      <c r="J19">
        <f>IF(AND(H19&gt;0,ISNUMBER(D19),COUNTIF(Envelopes!$B$6:$B$21,C19)&gt;0,F19&lt;&gt;"",COUNTIF(Envelopes!$B$6:$B$21,F19)&gt;0),1,0)</f>
        <v/>
      </c>
      <c r="K19">
        <f>IF(I19=1,H19*10000+ROW(),"")</f>
        <v/>
      </c>
    </row>
    <row r="20">
      <c r="A20" s="1" t="n"/>
      <c r="B20" s="21" t="n">
        <v>46005</v>
      </c>
      <c r="C20" s="23" t="inlineStr">
        <is>
          <t>Groceries</t>
        </is>
      </c>
      <c r="D20" s="22" t="n">
        <v>73.34999999999999</v>
      </c>
      <c r="E20" s="24" t="inlineStr">
        <is>
          <t>Farmers market</t>
        </is>
      </c>
      <c r="F20" s="25" t="n"/>
      <c r="G20" s="18">
        <f>IF(AND(C20="",D20=""),"",IF(NOT(ISNUMBER(B20)),"Needs a date",IF(NOT(ISNUMBER(D20)),"Needs the amount",IF(C20="","Needs an envelope",IF(COUNTIF(Envelopes!$B$6:$B$21,C20)=0,"Not on Envelopes",IF(F20="",IF(D20=0,"Needs the amount",""),IF(COUNTIF(Envelopes!$B$6:$B$21,F20)=0,"Moved to: not on Envelopes",IF(D20&lt;=0,"A move needs an amount",IF(F20=C20,"Moved to the same envelope","")))))))))</f>
        <v/>
      </c>
      <c r="H20" s="1">
        <f>IF(ISNUMBER(B20),INT(B20),0)</f>
        <v/>
      </c>
      <c r="I20">
        <f>IF(AND(H20&gt;0,ISNUMBER(D20),COUNTIF(Envelopes!$B$6:$B$21,C20)&gt;0,F20=""),1,0)</f>
        <v/>
      </c>
      <c r="J20">
        <f>IF(AND(H20&gt;0,ISNUMBER(D20),COUNTIF(Envelopes!$B$6:$B$21,C20)&gt;0,F20&lt;&gt;"",COUNTIF(Envelopes!$B$6:$B$21,F20)&gt;0),1,0)</f>
        <v/>
      </c>
      <c r="K20">
        <f>IF(I20=1,H20*10000+ROW(),"")</f>
        <v/>
      </c>
    </row>
    <row r="21">
      <c r="A21" s="1" t="n"/>
      <c r="B21" s="21" t="n">
        <v>46006</v>
      </c>
      <c r="C21" s="23" t="inlineStr">
        <is>
          <t>Gas</t>
        </is>
      </c>
      <c r="D21" s="22" t="n">
        <v>24.51</v>
      </c>
      <c r="E21" s="24" t="inlineStr">
        <is>
          <t>Gas station</t>
        </is>
      </c>
      <c r="F21" s="25" t="n"/>
      <c r="G21" s="18">
        <f>IF(AND(C21="",D21=""),"",IF(NOT(ISNUMBER(B21)),"Needs a date",IF(NOT(ISNUMBER(D21)),"Needs the amount",IF(C21="","Needs an envelope",IF(COUNTIF(Envelopes!$B$6:$B$21,C21)=0,"Not on Envelopes",IF(F21="",IF(D21=0,"Needs the amount",""),IF(COUNTIF(Envelopes!$B$6:$B$21,F21)=0,"Moved to: not on Envelopes",IF(D21&lt;=0,"A move needs an amount",IF(F21=C21,"Moved to the same envelope","")))))))))</f>
        <v/>
      </c>
      <c r="H21" s="1">
        <f>IF(ISNUMBER(B21),INT(B21),0)</f>
        <v/>
      </c>
      <c r="I21">
        <f>IF(AND(H21&gt;0,ISNUMBER(D21),COUNTIF(Envelopes!$B$6:$B$21,C21)&gt;0,F21=""),1,0)</f>
        <v/>
      </c>
      <c r="J21">
        <f>IF(AND(H21&gt;0,ISNUMBER(D21),COUNTIF(Envelopes!$B$6:$B$21,C21)&gt;0,F21&lt;&gt;"",COUNTIF(Envelopes!$B$6:$B$21,F21)&gt;0),1,0)</f>
        <v/>
      </c>
      <c r="K21">
        <f>IF(I21=1,H21*10000+ROW(),"")</f>
        <v/>
      </c>
    </row>
    <row r="22">
      <c r="A22" s="1" t="n"/>
      <c r="B22" s="21" t="n">
        <v>46006</v>
      </c>
      <c r="C22" s="23" t="inlineStr">
        <is>
          <t>Household</t>
        </is>
      </c>
      <c r="D22" s="22" t="n">
        <v>29.62</v>
      </c>
      <c r="E22" s="24" t="inlineStr">
        <is>
          <t>Light bulbs</t>
        </is>
      </c>
      <c r="F22" s="25" t="n"/>
      <c r="G22" s="18">
        <f>IF(AND(C22="",D22=""),"",IF(NOT(ISNUMBER(B22)),"Needs a date",IF(NOT(ISNUMBER(D22)),"Needs the amount",IF(C22="","Needs an envelope",IF(COUNTIF(Envelopes!$B$6:$B$21,C22)=0,"Not on Envelopes",IF(F22="",IF(D22=0,"Needs the amount",""),IF(COUNTIF(Envelopes!$B$6:$B$21,F22)=0,"Moved to: not on Envelopes",IF(D22&lt;=0,"A move needs an amount",IF(F22=C22,"Moved to the same envelope","")))))))))</f>
        <v/>
      </c>
      <c r="H22" s="1">
        <f>IF(ISNUMBER(B22),INT(B22),0)</f>
        <v/>
      </c>
      <c r="I22">
        <f>IF(AND(H22&gt;0,ISNUMBER(D22),COUNTIF(Envelopes!$B$6:$B$21,C22)&gt;0,F22=""),1,0)</f>
        <v/>
      </c>
      <c r="J22">
        <f>IF(AND(H22&gt;0,ISNUMBER(D22),COUNTIF(Envelopes!$B$6:$B$21,C22)&gt;0,F22&lt;&gt;"",COUNTIF(Envelopes!$B$6:$B$21,F22)&gt;0),1,0)</f>
        <v/>
      </c>
      <c r="K22">
        <f>IF(I22=1,H22*10000+ROW(),"")</f>
        <v/>
      </c>
    </row>
    <row r="23">
      <c r="A23" s="1" t="n"/>
      <c r="B23" s="21" t="n">
        <v>46007</v>
      </c>
      <c r="C23" s="23" t="inlineStr">
        <is>
          <t>Fun money</t>
        </is>
      </c>
      <c r="D23" s="22" t="n">
        <v>27.6</v>
      </c>
      <c r="E23" s="24" t="inlineStr">
        <is>
          <t>Game</t>
        </is>
      </c>
      <c r="F23" s="25" t="n"/>
      <c r="G23" s="18">
        <f>IF(AND(C23="",D23=""),"",IF(NOT(ISNUMBER(B23)),"Needs a date",IF(NOT(ISNUMBER(D23)),"Needs the amount",IF(C23="","Needs an envelope",IF(COUNTIF(Envelopes!$B$6:$B$21,C23)=0,"Not on Envelopes",IF(F23="",IF(D23=0,"Needs the amount",""),IF(COUNTIF(Envelopes!$B$6:$B$21,F23)=0,"Moved to: not on Envelopes",IF(D23&lt;=0,"A move needs an amount",IF(F23=C23,"Moved to the same envelope","")))))))))</f>
        <v/>
      </c>
      <c r="H23" s="1">
        <f>IF(ISNUMBER(B23),INT(B23),0)</f>
        <v/>
      </c>
      <c r="I23">
        <f>IF(AND(H23&gt;0,ISNUMBER(D23),COUNTIF(Envelopes!$B$6:$B$21,C23)&gt;0,F23=""),1,0)</f>
        <v/>
      </c>
      <c r="J23">
        <f>IF(AND(H23&gt;0,ISNUMBER(D23),COUNTIF(Envelopes!$B$6:$B$21,C23)&gt;0,F23&lt;&gt;"",COUNTIF(Envelopes!$B$6:$B$21,F23)&gt;0),1,0)</f>
        <v/>
      </c>
      <c r="K23">
        <f>IF(I23=1,H23*10000+ROW(),"")</f>
        <v/>
      </c>
    </row>
    <row r="24">
      <c r="A24" s="1" t="n"/>
      <c r="B24" s="21" t="n">
        <v>46009</v>
      </c>
      <c r="C24" s="23" t="inlineStr">
        <is>
          <t>Groceries</t>
        </is>
      </c>
      <c r="D24" s="22" t="n">
        <v>39.28</v>
      </c>
      <c r="E24" s="24" t="inlineStr">
        <is>
          <t>Supermarket</t>
        </is>
      </c>
      <c r="F24" s="25" t="n"/>
      <c r="G24" s="18">
        <f>IF(AND(C24="",D24=""),"",IF(NOT(ISNUMBER(B24)),"Needs a date",IF(NOT(ISNUMBER(D24)),"Needs the amount",IF(C24="","Needs an envelope",IF(COUNTIF(Envelopes!$B$6:$B$21,C24)=0,"Not on Envelopes",IF(F24="",IF(D24=0,"Needs the amount",""),IF(COUNTIF(Envelopes!$B$6:$B$21,F24)=0,"Moved to: not on Envelopes",IF(D24&lt;=0,"A move needs an amount",IF(F24=C24,"Moved to the same envelope","")))))))))</f>
        <v/>
      </c>
      <c r="H24" s="1">
        <f>IF(ISNUMBER(B24),INT(B24),0)</f>
        <v/>
      </c>
      <c r="I24">
        <f>IF(AND(H24&gt;0,ISNUMBER(D24),COUNTIF(Envelopes!$B$6:$B$21,C24)&gt;0,F24=""),1,0)</f>
        <v/>
      </c>
      <c r="J24">
        <f>IF(AND(H24&gt;0,ISNUMBER(D24),COUNTIF(Envelopes!$B$6:$B$21,C24)&gt;0,F24&lt;&gt;"",COUNTIF(Envelopes!$B$6:$B$21,F24)&gt;0),1,0)</f>
        <v/>
      </c>
      <c r="K24">
        <f>IF(I24=1,H24*10000+ROW(),"")</f>
        <v/>
      </c>
    </row>
    <row r="25">
      <c r="A25" s="1" t="n"/>
      <c r="B25" s="21" t="n">
        <v>46010</v>
      </c>
      <c r="C25" s="23" t="inlineStr">
        <is>
          <t>Eating out</t>
        </is>
      </c>
      <c r="D25" s="22" t="n">
        <v>16.56</v>
      </c>
      <c r="E25" s="24" t="inlineStr">
        <is>
          <t>Pizza night</t>
        </is>
      </c>
      <c r="F25" s="25" t="n"/>
      <c r="G25" s="18">
        <f>IF(AND(C25="",D25=""),"",IF(NOT(ISNUMBER(B25)),"Needs a date",IF(NOT(ISNUMBER(D25)),"Needs the amount",IF(C25="","Needs an envelope",IF(COUNTIF(Envelopes!$B$6:$B$21,C25)=0,"Not on Envelopes",IF(F25="",IF(D25=0,"Needs the amount",""),IF(COUNTIF(Envelopes!$B$6:$B$21,F25)=0,"Moved to: not on Envelopes",IF(D25&lt;=0,"A move needs an amount",IF(F25=C25,"Moved to the same envelope","")))))))))</f>
        <v/>
      </c>
      <c r="H25" s="1">
        <f>IF(ISNUMBER(B25),INT(B25),0)</f>
        <v/>
      </c>
      <c r="I25">
        <f>IF(AND(H25&gt;0,ISNUMBER(D25),COUNTIF(Envelopes!$B$6:$B$21,C25)&gt;0,F25=""),1,0)</f>
        <v/>
      </c>
      <c r="J25">
        <f>IF(AND(H25&gt;0,ISNUMBER(D25),COUNTIF(Envelopes!$B$6:$B$21,C25)&gt;0,F25&lt;&gt;"",COUNTIF(Envelopes!$B$6:$B$21,F25)&gt;0),1,0)</f>
        <v/>
      </c>
      <c r="K25">
        <f>IF(I25=1,H25*10000+ROW(),"")</f>
        <v/>
      </c>
    </row>
    <row r="26">
      <c r="A26" s="1" t="n"/>
      <c r="B26" s="21" t="n">
        <v>46011</v>
      </c>
      <c r="C26" s="23" t="inlineStr">
        <is>
          <t>Gas</t>
        </is>
      </c>
      <c r="D26" s="22" t="n">
        <v>32.74</v>
      </c>
      <c r="E26" s="24" t="inlineStr">
        <is>
          <t>Gas station</t>
        </is>
      </c>
      <c r="F26" s="25" t="n"/>
      <c r="G26" s="18">
        <f>IF(AND(C26="",D26=""),"",IF(NOT(ISNUMBER(B26)),"Needs a date",IF(NOT(ISNUMBER(D26)),"Needs the amount",IF(C26="","Needs an envelope",IF(COUNTIF(Envelopes!$B$6:$B$21,C26)=0,"Not on Envelopes",IF(F26="",IF(D26=0,"Needs the amount",""),IF(COUNTIF(Envelopes!$B$6:$B$21,F26)=0,"Moved to: not on Envelopes",IF(D26&lt;=0,"A move needs an amount",IF(F26=C26,"Moved to the same envelope","")))))))))</f>
        <v/>
      </c>
      <c r="H26" s="1">
        <f>IF(ISNUMBER(B26),INT(B26),0)</f>
        <v/>
      </c>
      <c r="I26">
        <f>IF(AND(H26&gt;0,ISNUMBER(D26),COUNTIF(Envelopes!$B$6:$B$21,C26)&gt;0,F26=""),1,0)</f>
        <v/>
      </c>
      <c r="J26">
        <f>IF(AND(H26&gt;0,ISNUMBER(D26),COUNTIF(Envelopes!$B$6:$B$21,C26)&gt;0,F26&lt;&gt;"",COUNTIF(Envelopes!$B$6:$B$21,F26)&gt;0),1,0)</f>
        <v/>
      </c>
      <c r="K26">
        <f>IF(I26=1,H26*10000+ROW(),"")</f>
        <v/>
      </c>
    </row>
    <row r="27">
      <c r="A27" s="1" t="n"/>
      <c r="B27" s="21" t="n">
        <v>46011</v>
      </c>
      <c r="C27" s="23" t="inlineStr">
        <is>
          <t>Christmas</t>
        </is>
      </c>
      <c r="D27" s="22" t="n">
        <v>55</v>
      </c>
      <c r="E27" s="24" t="inlineStr">
        <is>
          <t>Tree and lights</t>
        </is>
      </c>
      <c r="F27" s="25" t="n"/>
      <c r="G27" s="18">
        <f>IF(AND(C27="",D27=""),"",IF(NOT(ISNUMBER(B27)),"Needs a date",IF(NOT(ISNUMBER(D27)),"Needs the amount",IF(C27="","Needs an envelope",IF(COUNTIF(Envelopes!$B$6:$B$21,C27)=0,"Not on Envelopes",IF(F27="",IF(D27=0,"Needs the amount",""),IF(COUNTIF(Envelopes!$B$6:$B$21,F27)=0,"Moved to: not on Envelopes",IF(D27&lt;=0,"A move needs an amount",IF(F27=C27,"Moved to the same envelope","")))))))))</f>
        <v/>
      </c>
      <c r="H27" s="1">
        <f>IF(ISNUMBER(B27),INT(B27),0)</f>
        <v/>
      </c>
      <c r="I27">
        <f>IF(AND(H27&gt;0,ISNUMBER(D27),COUNTIF(Envelopes!$B$6:$B$21,C27)&gt;0,F27=""),1,0)</f>
        <v/>
      </c>
      <c r="J27">
        <f>IF(AND(H27&gt;0,ISNUMBER(D27),COUNTIF(Envelopes!$B$6:$B$21,C27)&gt;0,F27&lt;&gt;"",COUNTIF(Envelopes!$B$6:$B$21,F27)&gt;0),1,0)</f>
        <v/>
      </c>
      <c r="K27">
        <f>IF(I27=1,H27*10000+ROW(),"")</f>
        <v/>
      </c>
    </row>
    <row r="28">
      <c r="A28" s="1" t="n"/>
      <c r="B28" s="21" t="n">
        <v>46012</v>
      </c>
      <c r="C28" s="23" t="inlineStr">
        <is>
          <t>Groceries</t>
        </is>
      </c>
      <c r="D28" s="22" t="n">
        <v>30.07</v>
      </c>
      <c r="E28" s="24" t="inlineStr">
        <is>
          <t>Bakery</t>
        </is>
      </c>
      <c r="F28" s="25" t="n"/>
      <c r="G28" s="18">
        <f>IF(AND(C28="",D28=""),"",IF(NOT(ISNUMBER(B28)),"Needs a date",IF(NOT(ISNUMBER(D28)),"Needs the amount",IF(C28="","Needs an envelope",IF(COUNTIF(Envelopes!$B$6:$B$21,C28)=0,"Not on Envelopes",IF(F28="",IF(D28=0,"Needs the amount",""),IF(COUNTIF(Envelopes!$B$6:$B$21,F28)=0,"Moved to: not on Envelopes",IF(D28&lt;=0,"A move needs an amount",IF(F28=C28,"Moved to the same envelope","")))))))))</f>
        <v/>
      </c>
      <c r="H28" s="1">
        <f>IF(ISNUMBER(B28),INT(B28),0)</f>
        <v/>
      </c>
      <c r="I28">
        <f>IF(AND(H28&gt;0,ISNUMBER(D28),COUNTIF(Envelopes!$B$6:$B$21,C28)&gt;0,F28=""),1,0)</f>
        <v/>
      </c>
      <c r="J28">
        <f>IF(AND(H28&gt;0,ISNUMBER(D28),COUNTIF(Envelopes!$B$6:$B$21,C28)&gt;0,F28&lt;&gt;"",COUNTIF(Envelopes!$B$6:$B$21,F28)&gt;0),1,0)</f>
        <v/>
      </c>
      <c r="K28">
        <f>IF(I28=1,H28*10000+ROW(),"")</f>
        <v/>
      </c>
    </row>
    <row r="29">
      <c r="A29" s="1" t="n"/>
      <c r="B29" s="21" t="n">
        <v>46014</v>
      </c>
      <c r="C29" s="23" t="inlineStr">
        <is>
          <t>Eating out</t>
        </is>
      </c>
      <c r="D29" s="22" t="n">
        <v>29.43</v>
      </c>
      <c r="E29" s="24" t="inlineStr">
        <is>
          <t>Lunch out</t>
        </is>
      </c>
      <c r="F29" s="25" t="n"/>
      <c r="G29" s="18">
        <f>IF(AND(C29="",D29=""),"",IF(NOT(ISNUMBER(B29)),"Needs a date",IF(NOT(ISNUMBER(D29)),"Needs the amount",IF(C29="","Needs an envelope",IF(COUNTIF(Envelopes!$B$6:$B$21,C29)=0,"Not on Envelopes",IF(F29="",IF(D29=0,"Needs the amount",""),IF(COUNTIF(Envelopes!$B$6:$B$21,F29)=0,"Moved to: not on Envelopes",IF(D29&lt;=0,"A move needs an amount",IF(F29=C29,"Moved to the same envelope","")))))))))</f>
        <v/>
      </c>
      <c r="H29" s="1">
        <f>IF(ISNUMBER(B29),INT(B29),0)</f>
        <v/>
      </c>
      <c r="I29">
        <f>IF(AND(H29&gt;0,ISNUMBER(D29),COUNTIF(Envelopes!$B$6:$B$21,C29)&gt;0,F29=""),1,0)</f>
        <v/>
      </c>
      <c r="J29">
        <f>IF(AND(H29&gt;0,ISNUMBER(D29),COUNTIF(Envelopes!$B$6:$B$21,C29)&gt;0,F29&lt;&gt;"",COUNTIF(Envelopes!$B$6:$B$21,F29)&gt;0),1,0)</f>
        <v/>
      </c>
      <c r="K29">
        <f>IF(I29=1,H29*10000+ROW(),"")</f>
        <v/>
      </c>
    </row>
    <row r="30">
      <c r="A30" s="1" t="n"/>
      <c r="B30" s="21" t="n">
        <v>46014</v>
      </c>
      <c r="C30" s="23" t="inlineStr">
        <is>
          <t>Kids</t>
        </is>
      </c>
      <c r="D30" s="22" t="n">
        <v>32.99</v>
      </c>
      <c r="E30" s="24" t="inlineStr">
        <is>
          <t>Shoes</t>
        </is>
      </c>
      <c r="F30" s="25" t="n"/>
      <c r="G30" s="18">
        <f>IF(AND(C30="",D30=""),"",IF(NOT(ISNUMBER(B30)),"Needs a date",IF(NOT(ISNUMBER(D30)),"Needs the amount",IF(C30="","Needs an envelope",IF(COUNTIF(Envelopes!$B$6:$B$21,C30)=0,"Not on Envelopes",IF(F30="",IF(D30=0,"Needs the amount",""),IF(COUNTIF(Envelopes!$B$6:$B$21,F30)=0,"Moved to: not on Envelopes",IF(D30&lt;=0,"A move needs an amount",IF(F30=C30,"Moved to the same envelope","")))))))))</f>
        <v/>
      </c>
      <c r="H30" s="1">
        <f>IF(ISNUMBER(B30),INT(B30),0)</f>
        <v/>
      </c>
      <c r="I30">
        <f>IF(AND(H30&gt;0,ISNUMBER(D30),COUNTIF(Envelopes!$B$6:$B$21,C30)&gt;0,F30=""),1,0)</f>
        <v/>
      </c>
      <c r="J30">
        <f>IF(AND(H30&gt;0,ISNUMBER(D30),COUNTIF(Envelopes!$B$6:$B$21,C30)&gt;0,F30&lt;&gt;"",COUNTIF(Envelopes!$B$6:$B$21,F30)&gt;0),1,0)</f>
        <v/>
      </c>
      <c r="K30">
        <f>IF(I30=1,H30*10000+ROW(),"")</f>
        <v/>
      </c>
    </row>
    <row r="31">
      <c r="A31" s="1" t="n"/>
      <c r="B31" s="21" t="n">
        <v>46016</v>
      </c>
      <c r="C31" s="23" t="inlineStr">
        <is>
          <t>Groceries</t>
        </is>
      </c>
      <c r="D31" s="22" t="n">
        <v>52.43</v>
      </c>
      <c r="E31" s="24" t="inlineStr">
        <is>
          <t>Farmers market</t>
        </is>
      </c>
      <c r="F31" s="25" t="n"/>
      <c r="G31" s="18">
        <f>IF(AND(C31="",D31=""),"",IF(NOT(ISNUMBER(B31)),"Needs a date",IF(NOT(ISNUMBER(D31)),"Needs the amount",IF(C31="","Needs an envelope",IF(COUNTIF(Envelopes!$B$6:$B$21,C31)=0,"Not on Envelopes",IF(F31="",IF(D31=0,"Needs the amount",""),IF(COUNTIF(Envelopes!$B$6:$B$21,F31)=0,"Moved to: not on Envelopes",IF(D31&lt;=0,"A move needs an amount",IF(F31=C31,"Moved to the same envelope","")))))))))</f>
        <v/>
      </c>
      <c r="H31" s="1">
        <f>IF(ISNUMBER(B31),INT(B31),0)</f>
        <v/>
      </c>
      <c r="I31">
        <f>IF(AND(H31&gt;0,ISNUMBER(D31),COUNTIF(Envelopes!$B$6:$B$21,C31)&gt;0,F31=""),1,0)</f>
        <v/>
      </c>
      <c r="J31">
        <f>IF(AND(H31&gt;0,ISNUMBER(D31),COUNTIF(Envelopes!$B$6:$B$21,C31)&gt;0,F31&lt;&gt;"",COUNTIF(Envelopes!$B$6:$B$21,F31)&gt;0),1,0)</f>
        <v/>
      </c>
      <c r="K31">
        <f>IF(I31=1,H31*10000+ROW(),"")</f>
        <v/>
      </c>
    </row>
    <row r="32">
      <c r="A32" s="1" t="n"/>
      <c r="B32" s="21" t="n">
        <v>46016</v>
      </c>
      <c r="C32" s="23" t="inlineStr">
        <is>
          <t>Personal care</t>
        </is>
      </c>
      <c r="D32" s="22" t="n">
        <v>23.93</v>
      </c>
      <c r="E32" s="24" t="inlineStr">
        <is>
          <t>Shampoo</t>
        </is>
      </c>
      <c r="F32" s="25" t="n"/>
      <c r="G32" s="18">
        <f>IF(AND(C32="",D32=""),"",IF(NOT(ISNUMBER(B32)),"Needs a date",IF(NOT(ISNUMBER(D32)),"Needs the amount",IF(C32="","Needs an envelope",IF(COUNTIF(Envelopes!$B$6:$B$21,C32)=0,"Not on Envelopes",IF(F32="",IF(D32=0,"Needs the amount",""),IF(COUNTIF(Envelopes!$B$6:$B$21,F32)=0,"Moved to: not on Envelopes",IF(D32&lt;=0,"A move needs an amount",IF(F32=C32,"Moved to the same envelope","")))))))))</f>
        <v/>
      </c>
      <c r="H32" s="1">
        <f>IF(ISNUMBER(B32),INT(B32),0)</f>
        <v/>
      </c>
      <c r="I32">
        <f>IF(AND(H32&gt;0,ISNUMBER(D32),COUNTIF(Envelopes!$B$6:$B$21,C32)&gt;0,F32=""),1,0)</f>
        <v/>
      </c>
      <c r="J32">
        <f>IF(AND(H32&gt;0,ISNUMBER(D32),COUNTIF(Envelopes!$B$6:$B$21,C32)&gt;0,F32&lt;&gt;"",COUNTIF(Envelopes!$B$6:$B$21,F32)&gt;0),1,0)</f>
        <v/>
      </c>
      <c r="K32">
        <f>IF(I32=1,H32*10000+ROW(),"")</f>
        <v/>
      </c>
    </row>
    <row r="33">
      <c r="A33" s="1" t="n"/>
      <c r="B33" s="21" t="n">
        <v>46016</v>
      </c>
      <c r="C33" s="23" t="inlineStr">
        <is>
          <t>Eating out</t>
        </is>
      </c>
      <c r="D33" s="22" t="n">
        <v>6.1</v>
      </c>
      <c r="E33" s="24" t="inlineStr">
        <is>
          <t>Leftover to savings</t>
        </is>
      </c>
      <c r="F33" s="25" t="inlineStr">
        <is>
          <t>Emergency fund</t>
        </is>
      </c>
      <c r="G33" s="18">
        <f>IF(AND(C33="",D33=""),"",IF(NOT(ISNUMBER(B33)),"Needs a date",IF(NOT(ISNUMBER(D33)),"Needs the amount",IF(C33="","Needs an envelope",IF(COUNTIF(Envelopes!$B$6:$B$21,C33)=0,"Not on Envelopes",IF(F33="",IF(D33=0,"Needs the amount",""),IF(COUNTIF(Envelopes!$B$6:$B$21,F33)=0,"Moved to: not on Envelopes",IF(D33&lt;=0,"A move needs an amount",IF(F33=C33,"Moved to the same envelope","")))))))))</f>
        <v/>
      </c>
      <c r="H33" s="1">
        <f>IF(ISNUMBER(B33),INT(B33),0)</f>
        <v/>
      </c>
      <c r="I33">
        <f>IF(AND(H33&gt;0,ISNUMBER(D33),COUNTIF(Envelopes!$B$6:$B$21,C33)&gt;0,F33=""),1,0)</f>
        <v/>
      </c>
      <c r="J33">
        <f>IF(AND(H33&gt;0,ISNUMBER(D33),COUNTIF(Envelopes!$B$6:$B$21,C33)&gt;0,F33&lt;&gt;"",COUNTIF(Envelopes!$B$6:$B$21,F33)&gt;0),1,0)</f>
        <v/>
      </c>
      <c r="K33">
        <f>IF(I33=1,H33*10000+ROW(),"")</f>
        <v/>
      </c>
    </row>
    <row r="34">
      <c r="A34" s="1" t="n"/>
      <c r="B34" s="21" t="n">
        <v>46016</v>
      </c>
      <c r="C34" s="23" t="inlineStr">
        <is>
          <t>Fun money</t>
        </is>
      </c>
      <c r="D34" s="22" t="n">
        <v>7.01</v>
      </c>
      <c r="E34" s="24" t="inlineStr">
        <is>
          <t>Leftover to savings</t>
        </is>
      </c>
      <c r="F34" s="25" t="inlineStr">
        <is>
          <t>Emergency fund</t>
        </is>
      </c>
      <c r="G34" s="18">
        <f>IF(AND(C34="",D34=""),"",IF(NOT(ISNUMBER(B34)),"Needs a date",IF(NOT(ISNUMBER(D34)),"Needs the amount",IF(C34="","Needs an envelope",IF(COUNTIF(Envelopes!$B$6:$B$21,C34)=0,"Not on Envelopes",IF(F34="",IF(D34=0,"Needs the amount",""),IF(COUNTIF(Envelopes!$B$6:$B$21,F34)=0,"Moved to: not on Envelopes",IF(D34&lt;=0,"A move needs an amount",IF(F34=C34,"Moved to the same envelope","")))))))))</f>
        <v/>
      </c>
      <c r="H34" s="1">
        <f>IF(ISNUMBER(B34),INT(B34),0)</f>
        <v/>
      </c>
      <c r="I34">
        <f>IF(AND(H34&gt;0,ISNUMBER(D34),COUNTIF(Envelopes!$B$6:$B$21,C34)&gt;0,F34=""),1,0)</f>
        <v/>
      </c>
      <c r="J34">
        <f>IF(AND(H34&gt;0,ISNUMBER(D34),COUNTIF(Envelopes!$B$6:$B$21,C34)&gt;0,F34&lt;&gt;"",COUNTIF(Envelopes!$B$6:$B$21,F34)&gt;0),1,0)</f>
        <v/>
      </c>
      <c r="K34">
        <f>IF(I34=1,H34*10000+ROW(),"")</f>
        <v/>
      </c>
    </row>
    <row r="35">
      <c r="A35" s="1" t="n"/>
      <c r="B35" s="21" t="n">
        <v>46018</v>
      </c>
      <c r="C35" s="23" t="inlineStr">
        <is>
          <t>Eating out</t>
        </is>
      </c>
      <c r="D35" s="22" t="n">
        <v>25.85</v>
      </c>
      <c r="E35" s="24" t="inlineStr">
        <is>
          <t>Tacos</t>
        </is>
      </c>
      <c r="F35" s="25" t="n"/>
      <c r="G35" s="18">
        <f>IF(AND(C35="",D35=""),"",IF(NOT(ISNUMBER(B35)),"Needs a date",IF(NOT(ISNUMBER(D35)),"Needs the amount",IF(C35="","Needs an envelope",IF(COUNTIF(Envelopes!$B$6:$B$21,C35)=0,"Not on Envelopes",IF(F35="",IF(D35=0,"Needs the amount",""),IF(COUNTIF(Envelopes!$B$6:$B$21,F35)=0,"Moved to: not on Envelopes",IF(D35&lt;=0,"A move needs an amount",IF(F35=C35,"Moved to the same envelope","")))))))))</f>
        <v/>
      </c>
      <c r="H35" s="1">
        <f>IF(ISNUMBER(B35),INT(B35),0)</f>
        <v/>
      </c>
      <c r="I35">
        <f>IF(AND(H35&gt;0,ISNUMBER(D35),COUNTIF(Envelopes!$B$6:$B$21,C35)&gt;0,F35=""),1,0)</f>
        <v/>
      </c>
      <c r="J35">
        <f>IF(AND(H35&gt;0,ISNUMBER(D35),COUNTIF(Envelopes!$B$6:$B$21,C35)&gt;0,F35&lt;&gt;"",COUNTIF(Envelopes!$B$6:$B$21,F35)&gt;0),1,0)</f>
        <v/>
      </c>
      <c r="K35">
        <f>IF(I35=1,H35*10000+ROW(),"")</f>
        <v/>
      </c>
    </row>
    <row r="36">
      <c r="A36" s="1" t="n"/>
      <c r="B36" s="21" t="n">
        <v>46019</v>
      </c>
      <c r="C36" s="23" t="inlineStr">
        <is>
          <t>Gas</t>
        </is>
      </c>
      <c r="D36" s="22" t="n">
        <v>35.2</v>
      </c>
      <c r="E36" s="24" t="inlineStr">
        <is>
          <t>Gas station</t>
        </is>
      </c>
      <c r="F36" s="25" t="n"/>
      <c r="G36" s="18">
        <f>IF(AND(C36="",D36=""),"",IF(NOT(ISNUMBER(B36)),"Needs a date",IF(NOT(ISNUMBER(D36)),"Needs the amount",IF(C36="","Needs an envelope",IF(COUNTIF(Envelopes!$B$6:$B$21,C36)=0,"Not on Envelopes",IF(F36="",IF(D36=0,"Needs the amount",""),IF(COUNTIF(Envelopes!$B$6:$B$21,F36)=0,"Moved to: not on Envelopes",IF(D36&lt;=0,"A move needs an amount",IF(F36=C36,"Moved to the same envelope","")))))))))</f>
        <v/>
      </c>
      <c r="H36" s="1">
        <f>IF(ISNUMBER(B36),INT(B36),0)</f>
        <v/>
      </c>
      <c r="I36">
        <f>IF(AND(H36&gt;0,ISNUMBER(D36),COUNTIF(Envelopes!$B$6:$B$21,C36)&gt;0,F36=""),1,0)</f>
        <v/>
      </c>
      <c r="J36">
        <f>IF(AND(H36&gt;0,ISNUMBER(D36),COUNTIF(Envelopes!$B$6:$B$21,C36)&gt;0,F36&lt;&gt;"",COUNTIF(Envelopes!$B$6:$B$21,F36)&gt;0),1,0)</f>
        <v/>
      </c>
      <c r="K36">
        <f>IF(I36=1,H36*10000+ROW(),"")</f>
        <v/>
      </c>
    </row>
    <row r="37">
      <c r="A37" s="1" t="n"/>
      <c r="B37" s="21" t="n">
        <v>46019</v>
      </c>
      <c r="C37" s="23" t="inlineStr">
        <is>
          <t>Fun money</t>
        </is>
      </c>
      <c r="D37" s="22" t="n">
        <v>20.54</v>
      </c>
      <c r="E37" s="24" t="inlineStr">
        <is>
          <t>Book</t>
        </is>
      </c>
      <c r="F37" s="25" t="n"/>
      <c r="G37" s="18">
        <f>IF(AND(C37="",D37=""),"",IF(NOT(ISNUMBER(B37)),"Needs a date",IF(NOT(ISNUMBER(D37)),"Needs the amount",IF(C37="","Needs an envelope",IF(COUNTIF(Envelopes!$B$6:$B$21,C37)=0,"Not on Envelopes",IF(F37="",IF(D37=0,"Needs the amount",""),IF(COUNTIF(Envelopes!$B$6:$B$21,F37)=0,"Moved to: not on Envelopes",IF(D37&lt;=0,"A move needs an amount",IF(F37=C37,"Moved to the same envelope","")))))))))</f>
        <v/>
      </c>
      <c r="H37" s="1">
        <f>IF(ISNUMBER(B37),INT(B37),0)</f>
        <v/>
      </c>
      <c r="I37">
        <f>IF(AND(H37&gt;0,ISNUMBER(D37),COUNTIF(Envelopes!$B$6:$B$21,C37)&gt;0,F37=""),1,0)</f>
        <v/>
      </c>
      <c r="J37">
        <f>IF(AND(H37&gt;0,ISNUMBER(D37),COUNTIF(Envelopes!$B$6:$B$21,C37)&gt;0,F37&lt;&gt;"",COUNTIF(Envelopes!$B$6:$B$21,F37)&gt;0),1,0)</f>
        <v/>
      </c>
      <c r="K37">
        <f>IF(I37=1,H37*10000+ROW(),"")</f>
        <v/>
      </c>
    </row>
    <row r="38">
      <c r="A38" s="1" t="n"/>
      <c r="B38" s="21" t="n">
        <v>46020</v>
      </c>
      <c r="C38" s="23" t="inlineStr">
        <is>
          <t>Groceries</t>
        </is>
      </c>
      <c r="D38" s="22" t="n">
        <v>38.34</v>
      </c>
      <c r="E38" s="24" t="inlineStr">
        <is>
          <t>Bakery</t>
        </is>
      </c>
      <c r="F38" s="25" t="n"/>
      <c r="G38" s="18">
        <f>IF(AND(C38="",D38=""),"",IF(NOT(ISNUMBER(B38)),"Needs a date",IF(NOT(ISNUMBER(D38)),"Needs the amount",IF(C38="","Needs an envelope",IF(COUNTIF(Envelopes!$B$6:$B$21,C38)=0,"Not on Envelopes",IF(F38="",IF(D38=0,"Needs the amount",""),IF(COUNTIF(Envelopes!$B$6:$B$21,F38)=0,"Moved to: not on Envelopes",IF(D38&lt;=0,"A move needs an amount",IF(F38=C38,"Moved to the same envelope","")))))))))</f>
        <v/>
      </c>
      <c r="H38" s="1">
        <f>IF(ISNUMBER(B38),INT(B38),0)</f>
        <v/>
      </c>
      <c r="I38">
        <f>IF(AND(H38&gt;0,ISNUMBER(D38),COUNTIF(Envelopes!$B$6:$B$21,C38)&gt;0,F38=""),1,0)</f>
        <v/>
      </c>
      <c r="J38">
        <f>IF(AND(H38&gt;0,ISNUMBER(D38),COUNTIF(Envelopes!$B$6:$B$21,C38)&gt;0,F38&lt;&gt;"",COUNTIF(Envelopes!$B$6:$B$21,F38)&gt;0),1,0)</f>
        <v/>
      </c>
      <c r="K38">
        <f>IF(I38=1,H38*10000+ROW(),"")</f>
        <v/>
      </c>
    </row>
    <row r="39">
      <c r="A39" s="1" t="n"/>
      <c r="B39" s="21" t="n">
        <v>46021</v>
      </c>
      <c r="C39" s="23" t="inlineStr">
        <is>
          <t>Groceries</t>
        </is>
      </c>
      <c r="D39" s="22" t="n">
        <v>32.15</v>
      </c>
      <c r="E39" s="24" t="inlineStr">
        <is>
          <t>Corner shop</t>
        </is>
      </c>
      <c r="F39" s="25" t="n"/>
      <c r="G39" s="18">
        <f>IF(AND(C39="",D39=""),"",IF(NOT(ISNUMBER(B39)),"Needs a date",IF(NOT(ISNUMBER(D39)),"Needs the amount",IF(C39="","Needs an envelope",IF(COUNTIF(Envelopes!$B$6:$B$21,C39)=0,"Not on Envelopes",IF(F39="",IF(D39=0,"Needs the amount",""),IF(COUNTIF(Envelopes!$B$6:$B$21,F39)=0,"Moved to: not on Envelopes",IF(D39&lt;=0,"A move needs an amount",IF(F39=C39,"Moved to the same envelope","")))))))))</f>
        <v/>
      </c>
      <c r="H39" s="1">
        <f>IF(ISNUMBER(B39),INT(B39),0)</f>
        <v/>
      </c>
      <c r="I39">
        <f>IF(AND(H39&gt;0,ISNUMBER(D39),COUNTIF(Envelopes!$B$6:$B$21,C39)&gt;0,F39=""),1,0)</f>
        <v/>
      </c>
      <c r="J39">
        <f>IF(AND(H39&gt;0,ISNUMBER(D39),COUNTIF(Envelopes!$B$6:$B$21,C39)&gt;0,F39&lt;&gt;"",COUNTIF(Envelopes!$B$6:$B$21,F39)&gt;0),1,0)</f>
        <v/>
      </c>
      <c r="K39">
        <f>IF(I39=1,H39*10000+ROW(),"")</f>
        <v/>
      </c>
    </row>
    <row r="40">
      <c r="A40" s="1" t="n"/>
      <c r="B40" s="21" t="n">
        <v>46023</v>
      </c>
      <c r="C40" s="23" t="inlineStr">
        <is>
          <t>Personal care</t>
        </is>
      </c>
      <c r="D40" s="22" t="n">
        <v>23.45</v>
      </c>
      <c r="E40" s="24" t="inlineStr">
        <is>
          <t>Haircut</t>
        </is>
      </c>
      <c r="F40" s="25" t="n"/>
      <c r="G40" s="18">
        <f>IF(AND(C40="",D40=""),"",IF(NOT(ISNUMBER(B40)),"Needs a date",IF(NOT(ISNUMBER(D40)),"Needs the amount",IF(C40="","Needs an envelope",IF(COUNTIF(Envelopes!$B$6:$B$21,C40)=0,"Not on Envelopes",IF(F40="",IF(D40=0,"Needs the amount",""),IF(COUNTIF(Envelopes!$B$6:$B$21,F40)=0,"Moved to: not on Envelopes",IF(D40&lt;=0,"A move needs an amount",IF(F40=C40,"Moved to the same envelope","")))))))))</f>
        <v/>
      </c>
      <c r="H40" s="1">
        <f>IF(ISNUMBER(B40),INT(B40),0)</f>
        <v/>
      </c>
      <c r="I40">
        <f>IF(AND(H40&gt;0,ISNUMBER(D40),COUNTIF(Envelopes!$B$6:$B$21,C40)&gt;0,F40=""),1,0)</f>
        <v/>
      </c>
      <c r="J40">
        <f>IF(AND(H40&gt;0,ISNUMBER(D40),COUNTIF(Envelopes!$B$6:$B$21,C40)&gt;0,F40&lt;&gt;"",COUNTIF(Envelopes!$B$6:$B$21,F40)&gt;0),1,0)</f>
        <v/>
      </c>
      <c r="K40">
        <f>IF(I40=1,H40*10000+ROW(),"")</f>
        <v/>
      </c>
    </row>
    <row r="41">
      <c r="A41" s="1" t="n"/>
      <c r="B41" s="21" t="n">
        <v>46025</v>
      </c>
      <c r="C41" s="23" t="inlineStr">
        <is>
          <t>Groceries</t>
        </is>
      </c>
      <c r="D41" s="22" t="n">
        <v>38.76</v>
      </c>
      <c r="E41" s="24" t="inlineStr">
        <is>
          <t>Corner shop</t>
        </is>
      </c>
      <c r="F41" s="25" t="n"/>
      <c r="G41" s="18">
        <f>IF(AND(C41="",D41=""),"",IF(NOT(ISNUMBER(B41)),"Needs a date",IF(NOT(ISNUMBER(D41)),"Needs the amount",IF(C41="","Needs an envelope",IF(COUNTIF(Envelopes!$B$6:$B$21,C41)=0,"Not on Envelopes",IF(F41="",IF(D41=0,"Needs the amount",""),IF(COUNTIF(Envelopes!$B$6:$B$21,F41)=0,"Moved to: not on Envelopes",IF(D41&lt;=0,"A move needs an amount",IF(F41=C41,"Moved to the same envelope","")))))))))</f>
        <v/>
      </c>
      <c r="H41" s="1">
        <f>IF(ISNUMBER(B41),INT(B41),0)</f>
        <v/>
      </c>
      <c r="I41">
        <f>IF(AND(H41&gt;0,ISNUMBER(D41),COUNTIF(Envelopes!$B$6:$B$21,C41)&gt;0,F41=""),1,0)</f>
        <v/>
      </c>
      <c r="J41">
        <f>IF(AND(H41&gt;0,ISNUMBER(D41),COUNTIF(Envelopes!$B$6:$B$21,C41)&gt;0,F41&lt;&gt;"",COUNTIF(Envelopes!$B$6:$B$21,F41)&gt;0),1,0)</f>
        <v/>
      </c>
      <c r="K41">
        <f>IF(I41=1,H41*10000+ROW(),"")</f>
        <v/>
      </c>
    </row>
    <row r="42">
      <c r="A42" s="1" t="n"/>
      <c r="B42" s="21" t="n">
        <v>46025</v>
      </c>
      <c r="C42" s="23" t="inlineStr">
        <is>
          <t>Eating out</t>
        </is>
      </c>
      <c r="D42" s="22" t="n">
        <v>6.53</v>
      </c>
      <c r="E42" s="24" t="inlineStr">
        <is>
          <t>Pizza night</t>
        </is>
      </c>
      <c r="F42" s="25" t="n"/>
      <c r="G42" s="18">
        <f>IF(AND(C42="",D42=""),"",IF(NOT(ISNUMBER(B42)),"Needs a date",IF(NOT(ISNUMBER(D42)),"Needs the amount",IF(C42="","Needs an envelope",IF(COUNTIF(Envelopes!$B$6:$B$21,C42)=0,"Not on Envelopes",IF(F42="",IF(D42=0,"Needs the amount",""),IF(COUNTIF(Envelopes!$B$6:$B$21,F42)=0,"Moved to: not on Envelopes",IF(D42&lt;=0,"A move needs an amount",IF(F42=C42,"Moved to the same envelope","")))))))))</f>
        <v/>
      </c>
      <c r="H42" s="1">
        <f>IF(ISNUMBER(B42),INT(B42),0)</f>
        <v/>
      </c>
      <c r="I42">
        <f>IF(AND(H42&gt;0,ISNUMBER(D42),COUNTIF(Envelopes!$B$6:$B$21,C42)&gt;0,F42=""),1,0)</f>
        <v/>
      </c>
      <c r="J42">
        <f>IF(AND(H42&gt;0,ISNUMBER(D42),COUNTIF(Envelopes!$B$6:$B$21,C42)&gt;0,F42&lt;&gt;"",COUNTIF(Envelopes!$B$6:$B$21,F42)&gt;0),1,0)</f>
        <v/>
      </c>
      <c r="K42">
        <f>IF(I42=1,H42*10000+ROW(),"")</f>
        <v/>
      </c>
    </row>
    <row r="43">
      <c r="A43" s="1" t="n"/>
      <c r="B43" s="21" t="n">
        <v>46025</v>
      </c>
      <c r="C43" s="23" t="inlineStr">
        <is>
          <t>Household</t>
        </is>
      </c>
      <c r="D43" s="22" t="n">
        <v>31.37</v>
      </c>
      <c r="E43" s="24" t="inlineStr">
        <is>
          <t>Light bulbs</t>
        </is>
      </c>
      <c r="F43" s="25" t="n"/>
      <c r="G43" s="18">
        <f>IF(AND(C43="",D43=""),"",IF(NOT(ISNUMBER(B43)),"Needs a date",IF(NOT(ISNUMBER(D43)),"Needs the amount",IF(C43="","Needs an envelope",IF(COUNTIF(Envelopes!$B$6:$B$21,C43)=0,"Not on Envelopes",IF(F43="",IF(D43=0,"Needs the amount",""),IF(COUNTIF(Envelopes!$B$6:$B$21,F43)=0,"Moved to: not on Envelopes",IF(D43&lt;=0,"A move needs an amount",IF(F43=C43,"Moved to the same envelope","")))))))))</f>
        <v/>
      </c>
      <c r="H43" s="1">
        <f>IF(ISNUMBER(B43),INT(B43),0)</f>
        <v/>
      </c>
      <c r="I43">
        <f>IF(AND(H43&gt;0,ISNUMBER(D43),COUNTIF(Envelopes!$B$6:$B$21,C43)&gt;0,F43=""),1,0)</f>
        <v/>
      </c>
      <c r="J43">
        <f>IF(AND(H43&gt;0,ISNUMBER(D43),COUNTIF(Envelopes!$B$6:$B$21,C43)&gt;0,F43&lt;&gt;"",COUNTIF(Envelopes!$B$6:$B$21,F43)&gt;0),1,0)</f>
        <v/>
      </c>
      <c r="K43">
        <f>IF(I43=1,H43*10000+ROW(),"")</f>
        <v/>
      </c>
    </row>
    <row r="44">
      <c r="A44" s="1" t="n"/>
      <c r="B44" s="21" t="n">
        <v>46028</v>
      </c>
      <c r="C44" s="23" t="inlineStr">
        <is>
          <t>Groceries</t>
        </is>
      </c>
      <c r="D44" s="22" t="n">
        <v>50.69</v>
      </c>
      <c r="E44" s="24" t="inlineStr">
        <is>
          <t>Farmers market</t>
        </is>
      </c>
      <c r="F44" s="25" t="n"/>
      <c r="G44" s="18">
        <f>IF(AND(C44="",D44=""),"",IF(NOT(ISNUMBER(B44)),"Needs a date",IF(NOT(ISNUMBER(D44)),"Needs the amount",IF(C44="","Needs an envelope",IF(COUNTIF(Envelopes!$B$6:$B$21,C44)=0,"Not on Envelopes",IF(F44="",IF(D44=0,"Needs the amount",""),IF(COUNTIF(Envelopes!$B$6:$B$21,F44)=0,"Moved to: not on Envelopes",IF(D44&lt;=0,"A move needs an amount",IF(F44=C44,"Moved to the same envelope","")))))))))</f>
        <v/>
      </c>
      <c r="H44" s="1">
        <f>IF(ISNUMBER(B44),INT(B44),0)</f>
        <v/>
      </c>
      <c r="I44">
        <f>IF(AND(H44&gt;0,ISNUMBER(D44),COUNTIF(Envelopes!$B$6:$B$21,C44)&gt;0,F44=""),1,0)</f>
        <v/>
      </c>
      <c r="J44">
        <f>IF(AND(H44&gt;0,ISNUMBER(D44),COUNTIF(Envelopes!$B$6:$B$21,C44)&gt;0,F44&lt;&gt;"",COUNTIF(Envelopes!$B$6:$B$21,F44)&gt;0),1,0)</f>
        <v/>
      </c>
      <c r="K44">
        <f>IF(I44=1,H44*10000+ROW(),"")</f>
        <v/>
      </c>
    </row>
    <row r="45">
      <c r="A45" s="1" t="n"/>
      <c r="B45" s="21" t="n">
        <v>46030</v>
      </c>
      <c r="C45" s="23" t="inlineStr">
        <is>
          <t>Gas</t>
        </is>
      </c>
      <c r="D45" s="22" t="n">
        <v>30.38</v>
      </c>
      <c r="E45" s="24" t="inlineStr">
        <is>
          <t>Gas station</t>
        </is>
      </c>
      <c r="F45" s="25" t="n"/>
      <c r="G45" s="18">
        <f>IF(AND(C45="",D45=""),"",IF(NOT(ISNUMBER(B45)),"Needs a date",IF(NOT(ISNUMBER(D45)),"Needs the amount",IF(C45="","Needs an envelope",IF(COUNTIF(Envelopes!$B$6:$B$21,C45)=0,"Not on Envelopes",IF(F45="",IF(D45=0,"Needs the amount",""),IF(COUNTIF(Envelopes!$B$6:$B$21,F45)=0,"Moved to: not on Envelopes",IF(D45&lt;=0,"A move needs an amount",IF(F45=C45,"Moved to the same envelope","")))))))))</f>
        <v/>
      </c>
      <c r="H45" s="1">
        <f>IF(ISNUMBER(B45),INT(B45),0)</f>
        <v/>
      </c>
      <c r="I45">
        <f>IF(AND(H45&gt;0,ISNUMBER(D45),COUNTIF(Envelopes!$B$6:$B$21,C45)&gt;0,F45=""),1,0)</f>
        <v/>
      </c>
      <c r="J45">
        <f>IF(AND(H45&gt;0,ISNUMBER(D45),COUNTIF(Envelopes!$B$6:$B$21,C45)&gt;0,F45&lt;&gt;"",COUNTIF(Envelopes!$B$6:$B$21,F45)&gt;0),1,0)</f>
        <v/>
      </c>
      <c r="K45">
        <f>IF(I45=1,H45*10000+ROW(),"")</f>
        <v/>
      </c>
    </row>
    <row r="46">
      <c r="A46" s="1" t="n"/>
      <c r="B46" s="21" t="n">
        <v>46030</v>
      </c>
      <c r="C46" s="23" t="inlineStr">
        <is>
          <t>Kids</t>
        </is>
      </c>
      <c r="D46" s="22" t="n">
        <v>36.64</v>
      </c>
      <c r="E46" s="24" t="inlineStr">
        <is>
          <t>School trip</t>
        </is>
      </c>
      <c r="F46" s="25" t="n"/>
      <c r="G46" s="18">
        <f>IF(AND(C46="",D46=""),"",IF(NOT(ISNUMBER(B46)),"Needs a date",IF(NOT(ISNUMBER(D46)),"Needs the amount",IF(C46="","Needs an envelope",IF(COUNTIF(Envelopes!$B$6:$B$21,C46)=0,"Not on Envelopes",IF(F46="",IF(D46=0,"Needs the amount",""),IF(COUNTIF(Envelopes!$B$6:$B$21,F46)=0,"Moved to: not on Envelopes",IF(D46&lt;=0,"A move needs an amount",IF(F46=C46,"Moved to the same envelope","")))))))))</f>
        <v/>
      </c>
      <c r="H46" s="1">
        <f>IF(ISNUMBER(B46),INT(B46),0)</f>
        <v/>
      </c>
      <c r="I46">
        <f>IF(AND(H46&gt;0,ISNUMBER(D46),COUNTIF(Envelopes!$B$6:$B$21,C46)&gt;0,F46=""),1,0)</f>
        <v/>
      </c>
      <c r="J46">
        <f>IF(AND(H46&gt;0,ISNUMBER(D46),COUNTIF(Envelopes!$B$6:$B$21,C46)&gt;0,F46&lt;&gt;"",COUNTIF(Envelopes!$B$6:$B$21,F46)&gt;0),1,0)</f>
        <v/>
      </c>
      <c r="K46">
        <f>IF(I46=1,H46*10000+ROW(),"")</f>
        <v/>
      </c>
    </row>
    <row r="47">
      <c r="A47" s="1" t="n"/>
      <c r="B47" s="21" t="n">
        <v>46033</v>
      </c>
      <c r="C47" s="23" t="inlineStr">
        <is>
          <t>Eating out</t>
        </is>
      </c>
      <c r="D47" s="22" t="n">
        <v>17.76</v>
      </c>
      <c r="E47" s="24" t="inlineStr">
        <is>
          <t>Coffee and cake</t>
        </is>
      </c>
      <c r="F47" s="25" t="n"/>
      <c r="G47" s="18">
        <f>IF(AND(C47="",D47=""),"",IF(NOT(ISNUMBER(B47)),"Needs a date",IF(NOT(ISNUMBER(D47)),"Needs the amount",IF(C47="","Needs an envelope",IF(COUNTIF(Envelopes!$B$6:$B$21,C47)=0,"Not on Envelopes",IF(F47="",IF(D47=0,"Needs the amount",""),IF(COUNTIF(Envelopes!$B$6:$B$21,F47)=0,"Moved to: not on Envelopes",IF(D47&lt;=0,"A move needs an amount",IF(F47=C47,"Moved to the same envelope","")))))))))</f>
        <v/>
      </c>
      <c r="H47" s="1">
        <f>IF(ISNUMBER(B47),INT(B47),0)</f>
        <v/>
      </c>
      <c r="I47">
        <f>IF(AND(H47&gt;0,ISNUMBER(D47),COUNTIF(Envelopes!$B$6:$B$21,C47)&gt;0,F47=""),1,0)</f>
        <v/>
      </c>
      <c r="J47">
        <f>IF(AND(H47&gt;0,ISNUMBER(D47),COUNTIF(Envelopes!$B$6:$B$21,C47)&gt;0,F47&lt;&gt;"",COUNTIF(Envelopes!$B$6:$B$21,F47)&gt;0),1,0)</f>
        <v/>
      </c>
      <c r="K47">
        <f>IF(I47=1,H47*10000+ROW(),"")</f>
        <v/>
      </c>
    </row>
    <row r="48">
      <c r="A48" s="1" t="n"/>
      <c r="B48" s="21" t="n">
        <v>46033</v>
      </c>
      <c r="C48" s="23" t="inlineStr">
        <is>
          <t>Kids</t>
        </is>
      </c>
      <c r="D48" s="22" t="n">
        <v>32.81</v>
      </c>
      <c r="E48" s="24" t="inlineStr">
        <is>
          <t>Swimming</t>
        </is>
      </c>
      <c r="F48" s="25" t="n"/>
      <c r="G48" s="18">
        <f>IF(AND(C48="",D48=""),"",IF(NOT(ISNUMBER(B48)),"Needs a date",IF(NOT(ISNUMBER(D48)),"Needs the amount",IF(C48="","Needs an envelope",IF(COUNTIF(Envelopes!$B$6:$B$21,C48)=0,"Not on Envelopes",IF(F48="",IF(D48=0,"Needs the amount",""),IF(COUNTIF(Envelopes!$B$6:$B$21,F48)=0,"Moved to: not on Envelopes",IF(D48&lt;=0,"A move needs an amount",IF(F48=C48,"Moved to the same envelope","")))))))))</f>
        <v/>
      </c>
      <c r="H48" s="1">
        <f>IF(ISNUMBER(B48),INT(B48),0)</f>
        <v/>
      </c>
      <c r="I48">
        <f>IF(AND(H48&gt;0,ISNUMBER(D48),COUNTIF(Envelopes!$B$6:$B$21,C48)&gt;0,F48=""),1,0)</f>
        <v/>
      </c>
      <c r="J48">
        <f>IF(AND(H48&gt;0,ISNUMBER(D48),COUNTIF(Envelopes!$B$6:$B$21,C48)&gt;0,F48&lt;&gt;"",COUNTIF(Envelopes!$B$6:$B$21,F48)&gt;0),1,0)</f>
        <v/>
      </c>
      <c r="K48">
        <f>IF(I48=1,H48*10000+ROW(),"")</f>
        <v/>
      </c>
    </row>
    <row r="49">
      <c r="A49" s="1" t="n"/>
      <c r="B49" s="21" t="n">
        <v>46034</v>
      </c>
      <c r="C49" s="23" t="inlineStr">
        <is>
          <t>Groceries</t>
        </is>
      </c>
      <c r="D49" s="22" t="n">
        <v>49.4</v>
      </c>
      <c r="E49" s="24" t="inlineStr">
        <is>
          <t>Bakery</t>
        </is>
      </c>
      <c r="F49" s="25" t="n"/>
      <c r="G49" s="18">
        <f>IF(AND(C49="",D49=""),"",IF(NOT(ISNUMBER(B49)),"Needs a date",IF(NOT(ISNUMBER(D49)),"Needs the amount",IF(C49="","Needs an envelope",IF(COUNTIF(Envelopes!$B$6:$B$21,C49)=0,"Not on Envelopes",IF(F49="",IF(D49=0,"Needs the amount",""),IF(COUNTIF(Envelopes!$B$6:$B$21,F49)=0,"Moved to: not on Envelopes",IF(D49&lt;=0,"A move needs an amount",IF(F49=C49,"Moved to the same envelope","")))))))))</f>
        <v/>
      </c>
      <c r="H49" s="1">
        <f>IF(ISNUMBER(B49),INT(B49),0)</f>
        <v/>
      </c>
      <c r="I49">
        <f>IF(AND(H49&gt;0,ISNUMBER(D49),COUNTIF(Envelopes!$B$6:$B$21,C49)&gt;0,F49=""),1,0)</f>
        <v/>
      </c>
      <c r="J49">
        <f>IF(AND(H49&gt;0,ISNUMBER(D49),COUNTIF(Envelopes!$B$6:$B$21,C49)&gt;0,F49&lt;&gt;"",COUNTIF(Envelopes!$B$6:$B$21,F49)&gt;0),1,0)</f>
        <v/>
      </c>
      <c r="K49">
        <f>IF(I49=1,H49*10000+ROW(),"")</f>
        <v/>
      </c>
    </row>
    <row r="50">
      <c r="A50" s="1" t="n"/>
      <c r="B50" s="21" t="n">
        <v>46035</v>
      </c>
      <c r="C50" s="23" t="inlineStr">
        <is>
          <t>Groceries</t>
        </is>
      </c>
      <c r="D50" s="22" t="n">
        <v>70.18000000000001</v>
      </c>
      <c r="E50" s="24" t="inlineStr">
        <is>
          <t>Corner shop</t>
        </is>
      </c>
      <c r="F50" s="25" t="n"/>
      <c r="G50" s="18">
        <f>IF(AND(C50="",D50=""),"",IF(NOT(ISNUMBER(B50)),"Needs a date",IF(NOT(ISNUMBER(D50)),"Needs the amount",IF(C50="","Needs an envelope",IF(COUNTIF(Envelopes!$B$6:$B$21,C50)=0,"Not on Envelopes",IF(F50="",IF(D50=0,"Needs the amount",""),IF(COUNTIF(Envelopes!$B$6:$B$21,F50)=0,"Moved to: not on Envelopes",IF(D50&lt;=0,"A move needs an amount",IF(F50=C50,"Moved to the same envelope","")))))))))</f>
        <v/>
      </c>
      <c r="H50" s="1">
        <f>IF(ISNUMBER(B50),INT(B50),0)</f>
        <v/>
      </c>
      <c r="I50">
        <f>IF(AND(H50&gt;0,ISNUMBER(D50),COUNTIF(Envelopes!$B$6:$B$21,C50)&gt;0,F50=""),1,0)</f>
        <v/>
      </c>
      <c r="J50">
        <f>IF(AND(H50&gt;0,ISNUMBER(D50),COUNTIF(Envelopes!$B$6:$B$21,C50)&gt;0,F50&lt;&gt;"",COUNTIF(Envelopes!$B$6:$B$21,F50)&gt;0),1,0)</f>
        <v/>
      </c>
      <c r="K50">
        <f>IF(I50=1,H50*10000+ROW(),"")</f>
        <v/>
      </c>
    </row>
    <row r="51">
      <c r="A51" s="1" t="n"/>
      <c r="B51" s="21" t="n">
        <v>46035</v>
      </c>
      <c r="C51" s="23" t="inlineStr">
        <is>
          <t>Gas</t>
        </is>
      </c>
      <c r="D51" s="22" t="n">
        <v>35.14</v>
      </c>
      <c r="E51" s="24" t="inlineStr">
        <is>
          <t>Gas station</t>
        </is>
      </c>
      <c r="F51" s="25" t="n"/>
      <c r="G51" s="18">
        <f>IF(AND(C51="",D51=""),"",IF(NOT(ISNUMBER(B51)),"Needs a date",IF(NOT(ISNUMBER(D51)),"Needs the amount",IF(C51="","Needs an envelope",IF(COUNTIF(Envelopes!$B$6:$B$21,C51)=0,"Not on Envelopes",IF(F51="",IF(D51=0,"Needs the amount",""),IF(COUNTIF(Envelopes!$B$6:$B$21,F51)=0,"Moved to: not on Envelopes",IF(D51&lt;=0,"A move needs an amount",IF(F51=C51,"Moved to the same envelope","")))))))))</f>
        <v/>
      </c>
      <c r="H51" s="1">
        <f>IF(ISNUMBER(B51),INT(B51),0)</f>
        <v/>
      </c>
      <c r="I51">
        <f>IF(AND(H51&gt;0,ISNUMBER(D51),COUNTIF(Envelopes!$B$6:$B$21,C51)&gt;0,F51=""),1,0)</f>
        <v/>
      </c>
      <c r="J51">
        <f>IF(AND(H51&gt;0,ISNUMBER(D51),COUNTIF(Envelopes!$B$6:$B$21,C51)&gt;0,F51&lt;&gt;"",COUNTIF(Envelopes!$B$6:$B$21,F51)&gt;0),1,0)</f>
        <v/>
      </c>
      <c r="K51">
        <f>IF(I51=1,H51*10000+ROW(),"")</f>
        <v/>
      </c>
    </row>
    <row r="52">
      <c r="A52" s="1" t="n"/>
      <c r="B52" s="21" t="n">
        <v>46035</v>
      </c>
      <c r="C52" s="23" t="inlineStr">
        <is>
          <t>Household</t>
        </is>
      </c>
      <c r="D52" s="22" t="n">
        <v>30.65</v>
      </c>
      <c r="E52" s="24" t="inlineStr">
        <is>
          <t>Hardware store</t>
        </is>
      </c>
      <c r="F52" s="25" t="n"/>
      <c r="G52" s="18">
        <f>IF(AND(C52="",D52=""),"",IF(NOT(ISNUMBER(B52)),"Needs a date",IF(NOT(ISNUMBER(D52)),"Needs the amount",IF(C52="","Needs an envelope",IF(COUNTIF(Envelopes!$B$6:$B$21,C52)=0,"Not on Envelopes",IF(F52="",IF(D52=0,"Needs the amount",""),IF(COUNTIF(Envelopes!$B$6:$B$21,F52)=0,"Moved to: not on Envelopes",IF(D52&lt;=0,"A move needs an amount",IF(F52=C52,"Moved to the same envelope","")))))))))</f>
        <v/>
      </c>
      <c r="H52" s="1">
        <f>IF(ISNUMBER(B52),INT(B52),0)</f>
        <v/>
      </c>
      <c r="I52">
        <f>IF(AND(H52&gt;0,ISNUMBER(D52),COUNTIF(Envelopes!$B$6:$B$21,C52)&gt;0,F52=""),1,0)</f>
        <v/>
      </c>
      <c r="J52">
        <f>IF(AND(H52&gt;0,ISNUMBER(D52),COUNTIF(Envelopes!$B$6:$B$21,C52)&gt;0,F52&lt;&gt;"",COUNTIF(Envelopes!$B$6:$B$21,F52)&gt;0),1,0)</f>
        <v/>
      </c>
      <c r="K52">
        <f>IF(I52=1,H52*10000+ROW(),"")</f>
        <v/>
      </c>
    </row>
    <row r="53">
      <c r="A53" s="1" t="n"/>
      <c r="B53" s="21" t="n">
        <v>46038</v>
      </c>
      <c r="C53" s="23" t="inlineStr">
        <is>
          <t>Fun money</t>
        </is>
      </c>
      <c r="D53" s="22" t="n">
        <v>31.97</v>
      </c>
      <c r="E53" s="24" t="inlineStr">
        <is>
          <t>Cinema</t>
        </is>
      </c>
      <c r="F53" s="25" t="n"/>
      <c r="G53" s="18">
        <f>IF(AND(C53="",D53=""),"",IF(NOT(ISNUMBER(B53)),"Needs a date",IF(NOT(ISNUMBER(D53)),"Needs the amount",IF(C53="","Needs an envelope",IF(COUNTIF(Envelopes!$B$6:$B$21,C53)=0,"Not on Envelopes",IF(F53="",IF(D53=0,"Needs the amount",""),IF(COUNTIF(Envelopes!$B$6:$B$21,F53)=0,"Moved to: not on Envelopes",IF(D53&lt;=0,"A move needs an amount",IF(F53=C53,"Moved to the same envelope","")))))))))</f>
        <v/>
      </c>
      <c r="H53" s="1">
        <f>IF(ISNUMBER(B53),INT(B53),0)</f>
        <v/>
      </c>
      <c r="I53">
        <f>IF(AND(H53&gt;0,ISNUMBER(D53),COUNTIF(Envelopes!$B$6:$B$21,C53)&gt;0,F53=""),1,0)</f>
        <v/>
      </c>
      <c r="J53">
        <f>IF(AND(H53&gt;0,ISNUMBER(D53),COUNTIF(Envelopes!$B$6:$B$21,C53)&gt;0,F53&lt;&gt;"",COUNTIF(Envelopes!$B$6:$B$21,F53)&gt;0),1,0)</f>
        <v/>
      </c>
      <c r="K53">
        <f>IF(I53=1,H53*10000+ROW(),"")</f>
        <v/>
      </c>
    </row>
    <row r="54">
      <c r="A54" s="1" t="n"/>
      <c r="B54" s="21" t="n">
        <v>46039</v>
      </c>
      <c r="C54" s="23" t="inlineStr">
        <is>
          <t>Groceries</t>
        </is>
      </c>
      <c r="D54" s="22" t="n">
        <v>14.77</v>
      </c>
      <c r="E54" s="24" t="inlineStr">
        <is>
          <t>Supermarket</t>
        </is>
      </c>
      <c r="F54" s="25" t="n"/>
      <c r="G54" s="18">
        <f>IF(AND(C54="",D54=""),"",IF(NOT(ISNUMBER(B54)),"Needs a date",IF(NOT(ISNUMBER(D54)),"Needs the amount",IF(C54="","Needs an envelope",IF(COUNTIF(Envelopes!$B$6:$B$21,C54)=0,"Not on Envelopes",IF(F54="",IF(D54=0,"Needs the amount",""),IF(COUNTIF(Envelopes!$B$6:$B$21,F54)=0,"Moved to: not on Envelopes",IF(D54&lt;=0,"A move needs an amount",IF(F54=C54,"Moved to the same envelope","")))))))))</f>
        <v/>
      </c>
      <c r="H54" s="1">
        <f>IF(ISNUMBER(B54),INT(B54),0)</f>
        <v/>
      </c>
      <c r="I54">
        <f>IF(AND(H54&gt;0,ISNUMBER(D54),COUNTIF(Envelopes!$B$6:$B$21,C54)&gt;0,F54=""),1,0)</f>
        <v/>
      </c>
      <c r="J54">
        <f>IF(AND(H54&gt;0,ISNUMBER(D54),COUNTIF(Envelopes!$B$6:$B$21,C54)&gt;0,F54&lt;&gt;"",COUNTIF(Envelopes!$B$6:$B$21,F54)&gt;0),1,0)</f>
        <v/>
      </c>
      <c r="K54">
        <f>IF(I54=1,H54*10000+ROW(),"")</f>
        <v/>
      </c>
    </row>
    <row r="55">
      <c r="A55" s="1" t="n"/>
      <c r="B55" s="21" t="n">
        <v>46043</v>
      </c>
      <c r="C55" s="23" t="inlineStr">
        <is>
          <t>Eating out</t>
        </is>
      </c>
      <c r="D55" s="22" t="n">
        <v>17.44</v>
      </c>
      <c r="E55" s="24" t="inlineStr">
        <is>
          <t>Pizza night</t>
        </is>
      </c>
      <c r="F55" s="25" t="n"/>
      <c r="G55" s="18">
        <f>IF(AND(C55="",D55=""),"",IF(NOT(ISNUMBER(B55)),"Needs a date",IF(NOT(ISNUMBER(D55)),"Needs the amount",IF(C55="","Needs an envelope",IF(COUNTIF(Envelopes!$B$6:$B$21,C55)=0,"Not on Envelopes",IF(F55="",IF(D55=0,"Needs the amount",""),IF(COUNTIF(Envelopes!$B$6:$B$21,F55)=0,"Moved to: not on Envelopes",IF(D55&lt;=0,"A move needs an amount",IF(F55=C55,"Moved to the same envelope","")))))))))</f>
        <v/>
      </c>
      <c r="H55" s="1">
        <f>IF(ISNUMBER(B55),INT(B55),0)</f>
        <v/>
      </c>
      <c r="I55">
        <f>IF(AND(H55&gt;0,ISNUMBER(D55),COUNTIF(Envelopes!$B$6:$B$21,C55)&gt;0,F55=""),1,0)</f>
        <v/>
      </c>
      <c r="J55">
        <f>IF(AND(H55&gt;0,ISNUMBER(D55),COUNTIF(Envelopes!$B$6:$B$21,C55)&gt;0,F55&lt;&gt;"",COUNTIF(Envelopes!$B$6:$B$21,F55)&gt;0),1,0)</f>
        <v/>
      </c>
      <c r="K55">
        <f>IF(I55=1,H55*10000+ROW(),"")</f>
        <v/>
      </c>
    </row>
    <row r="56">
      <c r="A56" s="1" t="n"/>
      <c r="B56" s="21" t="n">
        <v>46043</v>
      </c>
      <c r="C56" s="23" t="inlineStr">
        <is>
          <t>Personal care</t>
        </is>
      </c>
      <c r="D56" s="22" t="n">
        <v>24.49</v>
      </c>
      <c r="E56" s="24" t="inlineStr">
        <is>
          <t>Pharmacy</t>
        </is>
      </c>
      <c r="F56" s="25" t="n"/>
      <c r="G56" s="18">
        <f>IF(AND(C56="",D56=""),"",IF(NOT(ISNUMBER(B56)),"Needs a date",IF(NOT(ISNUMBER(D56)),"Needs the amount",IF(C56="","Needs an envelope",IF(COUNTIF(Envelopes!$B$6:$B$21,C56)=0,"Not on Envelopes",IF(F56="",IF(D56=0,"Needs the amount",""),IF(COUNTIF(Envelopes!$B$6:$B$21,F56)=0,"Moved to: not on Envelopes",IF(D56&lt;=0,"A move needs an amount",IF(F56=C56,"Moved to the same envelope","")))))))))</f>
        <v/>
      </c>
      <c r="H56" s="1">
        <f>IF(ISNUMBER(B56),INT(B56),0)</f>
        <v/>
      </c>
      <c r="I56">
        <f>IF(AND(H56&gt;0,ISNUMBER(D56),COUNTIF(Envelopes!$B$6:$B$21,C56)&gt;0,F56=""),1,0)</f>
        <v/>
      </c>
      <c r="J56">
        <f>IF(AND(H56&gt;0,ISNUMBER(D56),COUNTIF(Envelopes!$B$6:$B$21,C56)&gt;0,F56&lt;&gt;"",COUNTIF(Envelopes!$B$6:$B$21,F56)&gt;0),1,0)</f>
        <v/>
      </c>
      <c r="K56">
        <f>IF(I56=1,H56*10000+ROW(),"")</f>
        <v/>
      </c>
    </row>
    <row r="57">
      <c r="A57" s="1" t="n"/>
      <c r="B57" s="21" t="n">
        <v>46044</v>
      </c>
      <c r="C57" s="23" t="inlineStr">
        <is>
          <t>Groceries</t>
        </is>
      </c>
      <c r="D57" s="22" t="n">
        <v>49.47</v>
      </c>
      <c r="E57" s="24" t="inlineStr">
        <is>
          <t>Bakery</t>
        </is>
      </c>
      <c r="F57" s="25" t="n"/>
      <c r="G57" s="18">
        <f>IF(AND(C57="",D57=""),"",IF(NOT(ISNUMBER(B57)),"Needs a date",IF(NOT(ISNUMBER(D57)),"Needs the amount",IF(C57="","Needs an envelope",IF(COUNTIF(Envelopes!$B$6:$B$21,C57)=0,"Not on Envelopes",IF(F57="",IF(D57=0,"Needs the amount",""),IF(COUNTIF(Envelopes!$B$6:$B$21,F57)=0,"Moved to: not on Envelopes",IF(D57&lt;=0,"A move needs an amount",IF(F57=C57,"Moved to the same envelope","")))))))))</f>
        <v/>
      </c>
      <c r="H57" s="1">
        <f>IF(ISNUMBER(B57),INT(B57),0)</f>
        <v/>
      </c>
      <c r="I57">
        <f>IF(AND(H57&gt;0,ISNUMBER(D57),COUNTIF(Envelopes!$B$6:$B$21,C57)&gt;0,F57=""),1,0)</f>
        <v/>
      </c>
      <c r="J57">
        <f>IF(AND(H57&gt;0,ISNUMBER(D57),COUNTIF(Envelopes!$B$6:$B$21,C57)&gt;0,F57&lt;&gt;"",COUNTIF(Envelopes!$B$6:$B$21,F57)&gt;0),1,0)</f>
        <v/>
      </c>
      <c r="K57">
        <f>IF(I57=1,H57*10000+ROW(),"")</f>
        <v/>
      </c>
    </row>
    <row r="58">
      <c r="A58" s="1" t="n"/>
      <c r="B58" s="21" t="n">
        <v>46044</v>
      </c>
      <c r="C58" s="23" t="inlineStr">
        <is>
          <t>Gas</t>
        </is>
      </c>
      <c r="D58" s="22" t="n">
        <v>18.33</v>
      </c>
      <c r="E58" s="24" t="inlineStr">
        <is>
          <t>Gas station</t>
        </is>
      </c>
      <c r="F58" s="25" t="n"/>
      <c r="G58" s="18">
        <f>IF(AND(C58="",D58=""),"",IF(NOT(ISNUMBER(B58)),"Needs a date",IF(NOT(ISNUMBER(D58)),"Needs the amount",IF(C58="","Needs an envelope",IF(COUNTIF(Envelopes!$B$6:$B$21,C58)=0,"Not on Envelopes",IF(F58="",IF(D58=0,"Needs the amount",""),IF(COUNTIF(Envelopes!$B$6:$B$21,F58)=0,"Moved to: not on Envelopes",IF(D58&lt;=0,"A move needs an amount",IF(F58=C58,"Moved to the same envelope","")))))))))</f>
        <v/>
      </c>
      <c r="H58" s="1">
        <f>IF(ISNUMBER(B58),INT(B58),0)</f>
        <v/>
      </c>
      <c r="I58">
        <f>IF(AND(H58&gt;0,ISNUMBER(D58),COUNTIF(Envelopes!$B$6:$B$21,C58)&gt;0,F58=""),1,0)</f>
        <v/>
      </c>
      <c r="J58">
        <f>IF(AND(H58&gt;0,ISNUMBER(D58),COUNTIF(Envelopes!$B$6:$B$21,C58)&gt;0,F58&lt;&gt;"",COUNTIF(Envelopes!$B$6:$B$21,F58)&gt;0),1,0)</f>
        <v/>
      </c>
      <c r="K58">
        <f>IF(I58=1,H58*10000+ROW(),"")</f>
        <v/>
      </c>
    </row>
    <row r="59">
      <c r="A59" s="1" t="n"/>
      <c r="B59" s="21" t="n">
        <v>46044</v>
      </c>
      <c r="C59" s="23" t="inlineStr">
        <is>
          <t>Eating out</t>
        </is>
      </c>
      <c r="D59" s="22" t="n">
        <v>12.42</v>
      </c>
      <c r="E59" s="24" t="inlineStr">
        <is>
          <t>Leftover to savings</t>
        </is>
      </c>
      <c r="F59" s="25" t="inlineStr">
        <is>
          <t>Emergency fund</t>
        </is>
      </c>
      <c r="G59" s="18">
        <f>IF(AND(C59="",D59=""),"",IF(NOT(ISNUMBER(B59)),"Needs a date",IF(NOT(ISNUMBER(D59)),"Needs the amount",IF(C59="","Needs an envelope",IF(COUNTIF(Envelopes!$B$6:$B$21,C59)=0,"Not on Envelopes",IF(F59="",IF(D59=0,"Needs the amount",""),IF(COUNTIF(Envelopes!$B$6:$B$21,F59)=0,"Moved to: not on Envelopes",IF(D59&lt;=0,"A move needs an amount",IF(F59=C59,"Moved to the same envelope","")))))))))</f>
        <v/>
      </c>
      <c r="H59" s="1">
        <f>IF(ISNUMBER(B59),INT(B59),0)</f>
        <v/>
      </c>
      <c r="I59">
        <f>IF(AND(H59&gt;0,ISNUMBER(D59),COUNTIF(Envelopes!$B$6:$B$21,C59)&gt;0,F59=""),1,0)</f>
        <v/>
      </c>
      <c r="J59">
        <f>IF(AND(H59&gt;0,ISNUMBER(D59),COUNTIF(Envelopes!$B$6:$B$21,C59)&gt;0,F59&lt;&gt;"",COUNTIF(Envelopes!$B$6:$B$21,F59)&gt;0),1,0)</f>
        <v/>
      </c>
      <c r="K59">
        <f>IF(I59=1,H59*10000+ROW(),"")</f>
        <v/>
      </c>
    </row>
    <row r="60">
      <c r="A60" s="1" t="n"/>
      <c r="B60" s="21" t="n">
        <v>46044</v>
      </c>
      <c r="C60" s="23" t="inlineStr">
        <is>
          <t>Fun money</t>
        </is>
      </c>
      <c r="D60" s="22" t="n">
        <v>7.49</v>
      </c>
      <c r="E60" s="24" t="inlineStr">
        <is>
          <t>Leftover to savings</t>
        </is>
      </c>
      <c r="F60" s="25" t="inlineStr">
        <is>
          <t>Emergency fund</t>
        </is>
      </c>
      <c r="G60" s="18">
        <f>IF(AND(C60="",D60=""),"",IF(NOT(ISNUMBER(B60)),"Needs a date",IF(NOT(ISNUMBER(D60)),"Needs the amount",IF(C60="","Needs an envelope",IF(COUNTIF(Envelopes!$B$6:$B$21,C60)=0,"Not on Envelopes",IF(F60="",IF(D60=0,"Needs the amount",""),IF(COUNTIF(Envelopes!$B$6:$B$21,F60)=0,"Moved to: not on Envelopes",IF(D60&lt;=0,"A move needs an amount",IF(F60=C60,"Moved to the same envelope","")))))))))</f>
        <v/>
      </c>
      <c r="H60" s="1">
        <f>IF(ISNUMBER(B60),INT(B60),0)</f>
        <v/>
      </c>
      <c r="I60">
        <f>IF(AND(H60&gt;0,ISNUMBER(D60),COUNTIF(Envelopes!$B$6:$B$21,C60)&gt;0,F60=""),1,0)</f>
        <v/>
      </c>
      <c r="J60">
        <f>IF(AND(H60&gt;0,ISNUMBER(D60),COUNTIF(Envelopes!$B$6:$B$21,C60)&gt;0,F60&lt;&gt;"",COUNTIF(Envelopes!$B$6:$B$21,F60)&gt;0),1,0)</f>
        <v/>
      </c>
      <c r="K60">
        <f>IF(I60=1,H60*10000+ROW(),"")</f>
        <v/>
      </c>
    </row>
    <row r="61">
      <c r="A61" s="1" t="n"/>
      <c r="B61" s="21" t="n">
        <v>46048</v>
      </c>
      <c r="C61" s="23" t="inlineStr">
        <is>
          <t>Groceries</t>
        </is>
      </c>
      <c r="D61" s="22" t="n">
        <v>48.57</v>
      </c>
      <c r="E61" s="24" t="inlineStr">
        <is>
          <t>Farmers market</t>
        </is>
      </c>
      <c r="F61" s="25" t="n"/>
      <c r="G61" s="18">
        <f>IF(AND(C61="",D61=""),"",IF(NOT(ISNUMBER(B61)),"Needs a date",IF(NOT(ISNUMBER(D61)),"Needs the amount",IF(C61="","Needs an envelope",IF(COUNTIF(Envelopes!$B$6:$B$21,C61)=0,"Not on Envelopes",IF(F61="",IF(D61=0,"Needs the amount",""),IF(COUNTIF(Envelopes!$B$6:$B$21,F61)=0,"Moved to: not on Envelopes",IF(D61&lt;=0,"A move needs an amount",IF(F61=C61,"Moved to the same envelope","")))))))))</f>
        <v/>
      </c>
      <c r="H61" s="1">
        <f>IF(ISNUMBER(B61),INT(B61),0)</f>
        <v/>
      </c>
      <c r="I61">
        <f>IF(AND(H61&gt;0,ISNUMBER(D61),COUNTIF(Envelopes!$B$6:$B$21,C61)&gt;0,F61=""),1,0)</f>
        <v/>
      </c>
      <c r="J61">
        <f>IF(AND(H61&gt;0,ISNUMBER(D61),COUNTIF(Envelopes!$B$6:$B$21,C61)&gt;0,F61&lt;&gt;"",COUNTIF(Envelopes!$B$6:$B$21,F61)&gt;0),1,0)</f>
        <v/>
      </c>
      <c r="K61">
        <f>IF(I61=1,H61*10000+ROW(),"")</f>
        <v/>
      </c>
    </row>
    <row r="62">
      <c r="A62" s="1" t="n"/>
      <c r="B62" s="21" t="n">
        <v>46048</v>
      </c>
      <c r="C62" s="23" t="inlineStr">
        <is>
          <t>Gas</t>
        </is>
      </c>
      <c r="D62" s="22" t="n">
        <v>35.27</v>
      </c>
      <c r="E62" s="24" t="inlineStr">
        <is>
          <t>Gas station</t>
        </is>
      </c>
      <c r="F62" s="25" t="n"/>
      <c r="G62" s="18">
        <f>IF(AND(C62="",D62=""),"",IF(NOT(ISNUMBER(B62)),"Needs a date",IF(NOT(ISNUMBER(D62)),"Needs the amount",IF(C62="","Needs an envelope",IF(COUNTIF(Envelopes!$B$6:$B$21,C62)=0,"Not on Envelopes",IF(F62="",IF(D62=0,"Needs the amount",""),IF(COUNTIF(Envelopes!$B$6:$B$21,F62)=0,"Moved to: not on Envelopes",IF(D62&lt;=0,"A move needs an amount",IF(F62=C62,"Moved to the same envelope","")))))))))</f>
        <v/>
      </c>
      <c r="H62" s="1">
        <f>IF(ISNUMBER(B62),INT(B62),0)</f>
        <v/>
      </c>
      <c r="I62">
        <f>IF(AND(H62&gt;0,ISNUMBER(D62),COUNTIF(Envelopes!$B$6:$B$21,C62)&gt;0,F62=""),1,0)</f>
        <v/>
      </c>
      <c r="J62">
        <f>IF(AND(H62&gt;0,ISNUMBER(D62),COUNTIF(Envelopes!$B$6:$B$21,C62)&gt;0,F62&lt;&gt;"",COUNTIF(Envelopes!$B$6:$B$21,F62)&gt;0),1,0)</f>
        <v/>
      </c>
      <c r="K62">
        <f>IF(I62=1,H62*10000+ROW(),"")</f>
        <v/>
      </c>
    </row>
    <row r="63">
      <c r="A63" s="1" t="n"/>
      <c r="B63" s="21" t="n">
        <v>46049</v>
      </c>
      <c r="C63" s="23" t="inlineStr">
        <is>
          <t>Eating out</t>
        </is>
      </c>
      <c r="D63" s="22" t="n">
        <v>7.52</v>
      </c>
      <c r="E63" s="24" t="inlineStr">
        <is>
          <t>Lunch out</t>
        </is>
      </c>
      <c r="F63" s="25" t="n"/>
      <c r="G63" s="18">
        <f>IF(AND(C63="",D63=""),"",IF(NOT(ISNUMBER(B63)),"Needs a date",IF(NOT(ISNUMBER(D63)),"Needs the amount",IF(C63="","Needs an envelope",IF(COUNTIF(Envelopes!$B$6:$B$21,C63)=0,"Not on Envelopes",IF(F63="",IF(D63=0,"Needs the amount",""),IF(COUNTIF(Envelopes!$B$6:$B$21,F63)=0,"Moved to: not on Envelopes",IF(D63&lt;=0,"A move needs an amount",IF(F63=C63,"Moved to the same envelope","")))))))))</f>
        <v/>
      </c>
      <c r="H63" s="1">
        <f>IF(ISNUMBER(B63),INT(B63),0)</f>
        <v/>
      </c>
      <c r="I63">
        <f>IF(AND(H63&gt;0,ISNUMBER(D63),COUNTIF(Envelopes!$B$6:$B$21,C63)&gt;0,F63=""),1,0)</f>
        <v/>
      </c>
      <c r="J63">
        <f>IF(AND(H63&gt;0,ISNUMBER(D63),COUNTIF(Envelopes!$B$6:$B$21,C63)&gt;0,F63&lt;&gt;"",COUNTIF(Envelopes!$B$6:$B$21,F63)&gt;0),1,0)</f>
        <v/>
      </c>
      <c r="K63">
        <f>IF(I63=1,H63*10000+ROW(),"")</f>
        <v/>
      </c>
    </row>
    <row r="64">
      <c r="A64" s="1" t="n"/>
      <c r="B64" s="21" t="n">
        <v>46049</v>
      </c>
      <c r="C64" s="23" t="inlineStr">
        <is>
          <t>Personal care</t>
        </is>
      </c>
      <c r="D64" s="22" t="n">
        <v>28.21</v>
      </c>
      <c r="E64" s="24" t="inlineStr">
        <is>
          <t>Shampoo</t>
        </is>
      </c>
      <c r="F64" s="25" t="n"/>
      <c r="G64" s="18">
        <f>IF(AND(C64="",D64=""),"",IF(NOT(ISNUMBER(B64)),"Needs a date",IF(NOT(ISNUMBER(D64)),"Needs the amount",IF(C64="","Needs an envelope",IF(COUNTIF(Envelopes!$B$6:$B$21,C64)=0,"Not on Envelopes",IF(F64="",IF(D64=0,"Needs the amount",""),IF(COUNTIF(Envelopes!$B$6:$B$21,F64)=0,"Moved to: not on Envelopes",IF(D64&lt;=0,"A move needs an amount",IF(F64=C64,"Moved to the same envelope","")))))))))</f>
        <v/>
      </c>
      <c r="H64" s="1">
        <f>IF(ISNUMBER(B64),INT(B64),0)</f>
        <v/>
      </c>
      <c r="I64">
        <f>IF(AND(H64&gt;0,ISNUMBER(D64),COUNTIF(Envelopes!$B$6:$B$21,C64)&gt;0,F64=""),1,0)</f>
        <v/>
      </c>
      <c r="J64">
        <f>IF(AND(H64&gt;0,ISNUMBER(D64),COUNTIF(Envelopes!$B$6:$B$21,C64)&gt;0,F64&lt;&gt;"",COUNTIF(Envelopes!$B$6:$B$21,F64)&gt;0),1,0)</f>
        <v/>
      </c>
      <c r="K64">
        <f>IF(I64=1,H64*10000+ROW(),"")</f>
        <v/>
      </c>
    </row>
    <row r="65">
      <c r="A65" s="1" t="n"/>
      <c r="B65" s="21" t="n">
        <v>46050</v>
      </c>
      <c r="C65" s="23" t="inlineStr">
        <is>
          <t>Groceries</t>
        </is>
      </c>
      <c r="D65" s="22" t="n">
        <v>43.06</v>
      </c>
      <c r="E65" s="24" t="inlineStr">
        <is>
          <t>Corner shop</t>
        </is>
      </c>
      <c r="F65" s="25" t="n"/>
      <c r="G65" s="18">
        <f>IF(AND(C65="",D65=""),"",IF(NOT(ISNUMBER(B65)),"Needs a date",IF(NOT(ISNUMBER(D65)),"Needs the amount",IF(C65="","Needs an envelope",IF(COUNTIF(Envelopes!$B$6:$B$21,C65)=0,"Not on Envelopes",IF(F65="",IF(D65=0,"Needs the amount",""),IF(COUNTIF(Envelopes!$B$6:$B$21,F65)=0,"Moved to: not on Envelopes",IF(D65&lt;=0,"A move needs an amount",IF(F65=C65,"Moved to the same envelope","")))))))))</f>
        <v/>
      </c>
      <c r="H65" s="1">
        <f>IF(ISNUMBER(B65),INT(B65),0)</f>
        <v/>
      </c>
      <c r="I65">
        <f>IF(AND(H65&gt;0,ISNUMBER(D65),COUNTIF(Envelopes!$B$6:$B$21,C65)&gt;0,F65=""),1,0)</f>
        <v/>
      </c>
      <c r="J65">
        <f>IF(AND(H65&gt;0,ISNUMBER(D65),COUNTIF(Envelopes!$B$6:$B$21,C65)&gt;0,F65&lt;&gt;"",COUNTIF(Envelopes!$B$6:$B$21,F65)&gt;0),1,0)</f>
        <v/>
      </c>
      <c r="K65">
        <f>IF(I65=1,H65*10000+ROW(),"")</f>
        <v/>
      </c>
    </row>
    <row r="66">
      <c r="A66" s="1" t="n"/>
      <c r="B66" s="21" t="n">
        <v>46052</v>
      </c>
      <c r="C66" s="23" t="inlineStr">
        <is>
          <t>Eating out</t>
        </is>
      </c>
      <c r="D66" s="22" t="n">
        <v>27.84</v>
      </c>
      <c r="E66" s="24" t="inlineStr">
        <is>
          <t>Pizza night</t>
        </is>
      </c>
      <c r="F66" s="25" t="n"/>
      <c r="G66" s="18">
        <f>IF(AND(C66="",D66=""),"",IF(NOT(ISNUMBER(B66)),"Needs a date",IF(NOT(ISNUMBER(D66)),"Needs the amount",IF(C66="","Needs an envelope",IF(COUNTIF(Envelopes!$B$6:$B$21,C66)=0,"Not on Envelopes",IF(F66="",IF(D66=0,"Needs the amount",""),IF(COUNTIF(Envelopes!$B$6:$B$21,F66)=0,"Moved to: not on Envelopes",IF(D66&lt;=0,"A move needs an amount",IF(F66=C66,"Moved to the same envelope","")))))))))</f>
        <v/>
      </c>
      <c r="H66" s="1">
        <f>IF(ISNUMBER(B66),INT(B66),0)</f>
        <v/>
      </c>
      <c r="I66">
        <f>IF(AND(H66&gt;0,ISNUMBER(D66),COUNTIF(Envelopes!$B$6:$B$21,C66)&gt;0,F66=""),1,0)</f>
        <v/>
      </c>
      <c r="J66">
        <f>IF(AND(H66&gt;0,ISNUMBER(D66),COUNTIF(Envelopes!$B$6:$B$21,C66)&gt;0,F66&lt;&gt;"",COUNTIF(Envelopes!$B$6:$B$21,F66)&gt;0),1,0)</f>
        <v/>
      </c>
      <c r="K66">
        <f>IF(I66=1,H66*10000+ROW(),"")</f>
        <v/>
      </c>
    </row>
    <row r="67">
      <c r="A67" s="1" t="n"/>
      <c r="B67" s="21" t="n">
        <v>46053</v>
      </c>
      <c r="C67" s="23" t="inlineStr">
        <is>
          <t>Gas</t>
        </is>
      </c>
      <c r="D67" s="22" t="n">
        <v>24.52</v>
      </c>
      <c r="E67" s="24" t="inlineStr">
        <is>
          <t>Gas station</t>
        </is>
      </c>
      <c r="F67" s="25" t="n"/>
      <c r="G67" s="18">
        <f>IF(AND(C67="",D67=""),"",IF(NOT(ISNUMBER(B67)),"Needs a date",IF(NOT(ISNUMBER(D67)),"Needs the amount",IF(C67="","Needs an envelope",IF(COUNTIF(Envelopes!$B$6:$B$21,C67)=0,"Not on Envelopes",IF(F67="",IF(D67=0,"Needs the amount",""),IF(COUNTIF(Envelopes!$B$6:$B$21,F67)=0,"Moved to: not on Envelopes",IF(D67&lt;=0,"A move needs an amount",IF(F67=C67,"Moved to the same envelope","")))))))))</f>
        <v/>
      </c>
      <c r="H67" s="1">
        <f>IF(ISNUMBER(B67),INT(B67),0)</f>
        <v/>
      </c>
      <c r="I67">
        <f>IF(AND(H67&gt;0,ISNUMBER(D67),COUNTIF(Envelopes!$B$6:$B$21,C67)&gt;0,F67=""),1,0)</f>
        <v/>
      </c>
      <c r="J67">
        <f>IF(AND(H67&gt;0,ISNUMBER(D67),COUNTIF(Envelopes!$B$6:$B$21,C67)&gt;0,F67&lt;&gt;"",COUNTIF(Envelopes!$B$6:$B$21,F67)&gt;0),1,0)</f>
        <v/>
      </c>
      <c r="K67">
        <f>IF(I67=1,H67*10000+ROW(),"")</f>
        <v/>
      </c>
    </row>
    <row r="68">
      <c r="A68" s="1" t="n"/>
      <c r="B68" s="21" t="n">
        <v>46053</v>
      </c>
      <c r="C68" s="23" t="inlineStr">
        <is>
          <t>Household</t>
        </is>
      </c>
      <c r="D68" s="22" t="n">
        <v>28.9</v>
      </c>
      <c r="E68" s="24" t="inlineStr">
        <is>
          <t>Hardware store</t>
        </is>
      </c>
      <c r="F68" s="25" t="n"/>
      <c r="G68" s="18">
        <f>IF(AND(C68="",D68=""),"",IF(NOT(ISNUMBER(B68)),"Needs a date",IF(NOT(ISNUMBER(D68)),"Needs the amount",IF(C68="","Needs an envelope",IF(COUNTIF(Envelopes!$B$6:$B$21,C68)=0,"Not on Envelopes",IF(F68="",IF(D68=0,"Needs the amount",""),IF(COUNTIF(Envelopes!$B$6:$B$21,F68)=0,"Moved to: not on Envelopes",IF(D68&lt;=0,"A move needs an amount",IF(F68=C68,"Moved to the same envelope","")))))))))</f>
        <v/>
      </c>
      <c r="H68" s="1">
        <f>IF(ISNUMBER(B68),INT(B68),0)</f>
        <v/>
      </c>
      <c r="I68">
        <f>IF(AND(H68&gt;0,ISNUMBER(D68),COUNTIF(Envelopes!$B$6:$B$21,C68)&gt;0,F68=""),1,0)</f>
        <v/>
      </c>
      <c r="J68">
        <f>IF(AND(H68&gt;0,ISNUMBER(D68),COUNTIF(Envelopes!$B$6:$B$21,C68)&gt;0,F68&lt;&gt;"",COUNTIF(Envelopes!$B$6:$B$21,F68)&gt;0),1,0)</f>
        <v/>
      </c>
      <c r="K68">
        <f>IF(I68=1,H68*10000+ROW(),"")</f>
        <v/>
      </c>
    </row>
    <row r="69">
      <c r="A69" s="1" t="n"/>
      <c r="B69" s="21" t="n">
        <v>46053</v>
      </c>
      <c r="C69" s="23" t="inlineStr">
        <is>
          <t>Kids</t>
        </is>
      </c>
      <c r="D69" s="22" t="n">
        <v>35.06</v>
      </c>
      <c r="E69" s="24" t="inlineStr">
        <is>
          <t>Swimming</t>
        </is>
      </c>
      <c r="F69" s="25" t="n"/>
      <c r="G69" s="18">
        <f>IF(AND(C69="",D69=""),"",IF(NOT(ISNUMBER(B69)),"Needs a date",IF(NOT(ISNUMBER(D69)),"Needs the amount",IF(C69="","Needs an envelope",IF(COUNTIF(Envelopes!$B$6:$B$21,C69)=0,"Not on Envelopes",IF(F69="",IF(D69=0,"Needs the amount",""),IF(COUNTIF(Envelopes!$B$6:$B$21,F69)=0,"Moved to: not on Envelopes",IF(D69&lt;=0,"A move needs an amount",IF(F69=C69,"Moved to the same envelope","")))))))))</f>
        <v/>
      </c>
      <c r="H69" s="1">
        <f>IF(ISNUMBER(B69),INT(B69),0)</f>
        <v/>
      </c>
      <c r="I69">
        <f>IF(AND(H69&gt;0,ISNUMBER(D69),COUNTIF(Envelopes!$B$6:$B$21,C69)&gt;0,F69=""),1,0)</f>
        <v/>
      </c>
      <c r="J69">
        <f>IF(AND(H69&gt;0,ISNUMBER(D69),COUNTIF(Envelopes!$B$6:$B$21,C69)&gt;0,F69&lt;&gt;"",COUNTIF(Envelopes!$B$6:$B$21,F69)&gt;0),1,0)</f>
        <v/>
      </c>
      <c r="K69">
        <f>IF(I69=1,H69*10000+ROW(),"")</f>
        <v/>
      </c>
    </row>
    <row r="70">
      <c r="A70" s="1" t="n"/>
      <c r="B70" s="21" t="n">
        <v>46055</v>
      </c>
      <c r="C70" s="23" t="inlineStr">
        <is>
          <t>Groceries</t>
        </is>
      </c>
      <c r="D70" s="22" t="n">
        <v>47.11</v>
      </c>
      <c r="E70" s="24" t="inlineStr">
        <is>
          <t>Farmers market</t>
        </is>
      </c>
      <c r="F70" s="25" t="n"/>
      <c r="G70" s="18">
        <f>IF(AND(C70="",D70=""),"",IF(NOT(ISNUMBER(B70)),"Needs a date",IF(NOT(ISNUMBER(D70)),"Needs the amount",IF(C70="","Needs an envelope",IF(COUNTIF(Envelopes!$B$6:$B$21,C70)=0,"Not on Envelopes",IF(F70="",IF(D70=0,"Needs the amount",""),IF(COUNTIF(Envelopes!$B$6:$B$21,F70)=0,"Moved to: not on Envelopes",IF(D70&lt;=0,"A move needs an amount",IF(F70=C70,"Moved to the same envelope","")))))))))</f>
        <v/>
      </c>
      <c r="H70" s="1">
        <f>IF(ISNUMBER(B70),INT(B70),0)</f>
        <v/>
      </c>
      <c r="I70">
        <f>IF(AND(H70&gt;0,ISNUMBER(D70),COUNTIF(Envelopes!$B$6:$B$21,C70)&gt;0,F70=""),1,0)</f>
        <v/>
      </c>
      <c r="J70">
        <f>IF(AND(H70&gt;0,ISNUMBER(D70),COUNTIF(Envelopes!$B$6:$B$21,C70)&gt;0,F70&lt;&gt;"",COUNTIF(Envelopes!$B$6:$B$21,F70)&gt;0),1,0)</f>
        <v/>
      </c>
      <c r="K70">
        <f>IF(I70=1,H70*10000+ROW(),"")</f>
        <v/>
      </c>
    </row>
    <row r="71">
      <c r="A71" s="1" t="n"/>
      <c r="B71" s="21" t="n">
        <v>46057</v>
      </c>
      <c r="C71" s="23" t="inlineStr">
        <is>
          <t>Fun money</t>
        </is>
      </c>
      <c r="D71" s="22" t="n">
        <v>25.28</v>
      </c>
      <c r="E71" s="24" t="inlineStr">
        <is>
          <t>Bowling</t>
        </is>
      </c>
      <c r="F71" s="25" t="n"/>
      <c r="G71" s="18">
        <f>IF(AND(C71="",D71=""),"",IF(NOT(ISNUMBER(B71)),"Needs a date",IF(NOT(ISNUMBER(D71)),"Needs the amount",IF(C71="","Needs an envelope",IF(COUNTIF(Envelopes!$B$6:$B$21,C71)=0,"Not on Envelopes",IF(F71="",IF(D71=0,"Needs the amount",""),IF(COUNTIF(Envelopes!$B$6:$B$21,F71)=0,"Moved to: not on Envelopes",IF(D71&lt;=0,"A move needs an amount",IF(F71=C71,"Moved to the same envelope","")))))))))</f>
        <v/>
      </c>
      <c r="H71" s="1">
        <f>IF(ISNUMBER(B71),INT(B71),0)</f>
        <v/>
      </c>
      <c r="I71">
        <f>IF(AND(H71&gt;0,ISNUMBER(D71),COUNTIF(Envelopes!$B$6:$B$21,C71)&gt;0,F71=""),1,0)</f>
        <v/>
      </c>
      <c r="J71">
        <f>IF(AND(H71&gt;0,ISNUMBER(D71),COUNTIF(Envelopes!$B$6:$B$21,C71)&gt;0,F71&lt;&gt;"",COUNTIF(Envelopes!$B$6:$B$21,F71)&gt;0),1,0)</f>
        <v/>
      </c>
      <c r="K71">
        <f>IF(I71=1,H71*10000+ROW(),"")</f>
        <v/>
      </c>
    </row>
    <row r="72">
      <c r="A72" s="1" t="n"/>
      <c r="B72" s="21" t="n">
        <v>46058</v>
      </c>
      <c r="C72" s="23" t="inlineStr">
        <is>
          <t>Groceries</t>
        </is>
      </c>
      <c r="D72" s="22" t="n">
        <v>37.6</v>
      </c>
      <c r="E72" s="24" t="inlineStr">
        <is>
          <t>Corner shop</t>
        </is>
      </c>
      <c r="F72" s="25" t="n"/>
      <c r="G72" s="18">
        <f>IF(AND(C72="",D72=""),"",IF(NOT(ISNUMBER(B72)),"Needs a date",IF(NOT(ISNUMBER(D72)),"Needs the amount",IF(C72="","Needs an envelope",IF(COUNTIF(Envelopes!$B$6:$B$21,C72)=0,"Not on Envelopes",IF(F72="",IF(D72=0,"Needs the amount",""),IF(COUNTIF(Envelopes!$B$6:$B$21,F72)=0,"Moved to: not on Envelopes",IF(D72&lt;=0,"A move needs an amount",IF(F72=C72,"Moved to the same envelope","")))))))))</f>
        <v/>
      </c>
      <c r="H72" s="1">
        <f>IF(ISNUMBER(B72),INT(B72),0)</f>
        <v/>
      </c>
      <c r="I72">
        <f>IF(AND(H72&gt;0,ISNUMBER(D72),COUNTIF(Envelopes!$B$6:$B$21,C72)&gt;0,F72=""),1,0)</f>
        <v/>
      </c>
      <c r="J72">
        <f>IF(AND(H72&gt;0,ISNUMBER(D72),COUNTIF(Envelopes!$B$6:$B$21,C72)&gt;0,F72&lt;&gt;"",COUNTIF(Envelopes!$B$6:$B$21,F72)&gt;0),1,0)</f>
        <v/>
      </c>
      <c r="K72">
        <f>IF(I72=1,H72*10000+ROW(),"")</f>
        <v/>
      </c>
    </row>
    <row r="73">
      <c r="A73" s="1" t="n"/>
      <c r="B73" s="21" t="n">
        <v>46061</v>
      </c>
      <c r="C73" s="23" t="inlineStr">
        <is>
          <t>Eating out</t>
        </is>
      </c>
      <c r="D73" s="22" t="n">
        <v>10.02</v>
      </c>
      <c r="E73" s="24" t="inlineStr">
        <is>
          <t>Tacos</t>
        </is>
      </c>
      <c r="F73" s="25" t="n"/>
      <c r="G73" s="18">
        <f>IF(AND(C73="",D73=""),"",IF(NOT(ISNUMBER(B73)),"Needs a date",IF(NOT(ISNUMBER(D73)),"Needs the amount",IF(C73="","Needs an envelope",IF(COUNTIF(Envelopes!$B$6:$B$21,C73)=0,"Not on Envelopes",IF(F73="",IF(D73=0,"Needs the amount",""),IF(COUNTIF(Envelopes!$B$6:$B$21,F73)=0,"Moved to: not on Envelopes",IF(D73&lt;=0,"A move needs an amount",IF(F73=C73,"Moved to the same envelope","")))))))))</f>
        <v/>
      </c>
      <c r="H73" s="1">
        <f>IF(ISNUMBER(B73),INT(B73),0)</f>
        <v/>
      </c>
      <c r="I73">
        <f>IF(AND(H73&gt;0,ISNUMBER(D73),COUNTIF(Envelopes!$B$6:$B$21,C73)&gt;0,F73=""),1,0)</f>
        <v/>
      </c>
      <c r="J73">
        <f>IF(AND(H73&gt;0,ISNUMBER(D73),COUNTIF(Envelopes!$B$6:$B$21,C73)&gt;0,F73&lt;&gt;"",COUNTIF(Envelopes!$B$6:$B$21,F73)&gt;0),1,0)</f>
        <v/>
      </c>
      <c r="K73">
        <f>IF(I73=1,H73*10000+ROW(),"")</f>
        <v/>
      </c>
    </row>
    <row r="74">
      <c r="A74" s="1" t="n"/>
      <c r="B74" s="21" t="n">
        <v>46062</v>
      </c>
      <c r="C74" s="23" t="inlineStr">
        <is>
          <t>Groceries</t>
        </is>
      </c>
      <c r="D74" s="22" t="n">
        <v>50.16</v>
      </c>
      <c r="E74" s="24" t="inlineStr">
        <is>
          <t>Bakery</t>
        </is>
      </c>
      <c r="F74" s="25" t="n"/>
      <c r="G74" s="18">
        <f>IF(AND(C74="",D74=""),"",IF(NOT(ISNUMBER(B74)),"Needs a date",IF(NOT(ISNUMBER(D74)),"Needs the amount",IF(C74="","Needs an envelope",IF(COUNTIF(Envelopes!$B$6:$B$21,C74)=0,"Not on Envelopes",IF(F74="",IF(D74=0,"Needs the amount",""),IF(COUNTIF(Envelopes!$B$6:$B$21,F74)=0,"Moved to: not on Envelopes",IF(D74&lt;=0,"A move needs an amount",IF(F74=C74,"Moved to the same envelope","")))))))))</f>
        <v/>
      </c>
      <c r="H74" s="1">
        <f>IF(ISNUMBER(B74),INT(B74),0)</f>
        <v/>
      </c>
      <c r="I74">
        <f>IF(AND(H74&gt;0,ISNUMBER(D74),COUNTIF(Envelopes!$B$6:$B$21,C74)&gt;0,F74=""),1,0)</f>
        <v/>
      </c>
      <c r="J74">
        <f>IF(AND(H74&gt;0,ISNUMBER(D74),COUNTIF(Envelopes!$B$6:$B$21,C74)&gt;0,F74&lt;&gt;"",COUNTIF(Envelopes!$B$6:$B$21,F74)&gt;0),1,0)</f>
        <v/>
      </c>
      <c r="K74">
        <f>IF(I74=1,H74*10000+ROW(),"")</f>
        <v/>
      </c>
    </row>
    <row r="75">
      <c r="A75" s="1" t="n"/>
      <c r="B75" s="21" t="n">
        <v>46064</v>
      </c>
      <c r="C75" s="23" t="inlineStr">
        <is>
          <t>Groceries</t>
        </is>
      </c>
      <c r="D75" s="22" t="n">
        <v>36.68</v>
      </c>
      <c r="E75" s="24" t="inlineStr">
        <is>
          <t>Corner shop</t>
        </is>
      </c>
      <c r="F75" s="25" t="n"/>
      <c r="G75" s="18">
        <f>IF(AND(C75="",D75=""),"",IF(NOT(ISNUMBER(B75)),"Needs a date",IF(NOT(ISNUMBER(D75)),"Needs the amount",IF(C75="","Needs an envelope",IF(COUNTIF(Envelopes!$B$6:$B$21,C75)=0,"Not on Envelopes",IF(F75="",IF(D75=0,"Needs the amount",""),IF(COUNTIF(Envelopes!$B$6:$B$21,F75)=0,"Moved to: not on Envelopes",IF(D75&lt;=0,"A move needs an amount",IF(F75=C75,"Moved to the same envelope","")))))))))</f>
        <v/>
      </c>
      <c r="H75" s="1">
        <f>IF(ISNUMBER(B75),INT(B75),0)</f>
        <v/>
      </c>
      <c r="I75">
        <f>IF(AND(H75&gt;0,ISNUMBER(D75),COUNTIF(Envelopes!$B$6:$B$21,C75)&gt;0,F75=""),1,0)</f>
        <v/>
      </c>
      <c r="J75">
        <f>IF(AND(H75&gt;0,ISNUMBER(D75),COUNTIF(Envelopes!$B$6:$B$21,C75)&gt;0,F75&lt;&gt;"",COUNTIF(Envelopes!$B$6:$B$21,F75)&gt;0),1,0)</f>
        <v/>
      </c>
      <c r="K75">
        <f>IF(I75=1,H75*10000+ROW(),"")</f>
        <v/>
      </c>
    </row>
    <row r="76">
      <c r="A76" s="1" t="n"/>
      <c r="B76" s="21" t="n">
        <v>46065</v>
      </c>
      <c r="C76" s="23" t="inlineStr">
        <is>
          <t>Gas</t>
        </is>
      </c>
      <c r="D76" s="22" t="n">
        <v>43.57</v>
      </c>
      <c r="E76" s="24" t="inlineStr">
        <is>
          <t>Gas station</t>
        </is>
      </c>
      <c r="F76" s="25" t="n"/>
      <c r="G76" s="18">
        <f>IF(AND(C76="",D76=""),"",IF(NOT(ISNUMBER(B76)),"Needs a date",IF(NOT(ISNUMBER(D76)),"Needs the amount",IF(C76="","Needs an envelope",IF(COUNTIF(Envelopes!$B$6:$B$21,C76)=0,"Not on Envelopes",IF(F76="",IF(D76=0,"Needs the amount",""),IF(COUNTIF(Envelopes!$B$6:$B$21,F76)=0,"Moved to: not on Envelopes",IF(D76&lt;=0,"A move needs an amount",IF(F76=C76,"Moved to the same envelope","")))))))))</f>
        <v/>
      </c>
      <c r="H76" s="1">
        <f>IF(ISNUMBER(B76),INT(B76),0)</f>
        <v/>
      </c>
      <c r="I76">
        <f>IF(AND(H76&gt;0,ISNUMBER(D76),COUNTIF(Envelopes!$B$6:$B$21,C76)&gt;0,F76=""),1,0)</f>
        <v/>
      </c>
      <c r="J76">
        <f>IF(AND(H76&gt;0,ISNUMBER(D76),COUNTIF(Envelopes!$B$6:$B$21,C76)&gt;0,F76&lt;&gt;"",COUNTIF(Envelopes!$B$6:$B$21,F76)&gt;0),1,0)</f>
        <v/>
      </c>
      <c r="K76">
        <f>IF(I76=1,H76*10000+ROW(),"")</f>
        <v/>
      </c>
    </row>
    <row r="77">
      <c r="A77" s="1" t="n"/>
      <c r="B77" s="21" t="n">
        <v>46066</v>
      </c>
      <c r="C77" s="23" t="inlineStr">
        <is>
          <t>Kids</t>
        </is>
      </c>
      <c r="D77" s="22" t="n">
        <v>39.04</v>
      </c>
      <c r="E77" s="24" t="inlineStr">
        <is>
          <t>Shoes</t>
        </is>
      </c>
      <c r="F77" s="25" t="n"/>
      <c r="G77" s="18">
        <f>IF(AND(C77="",D77=""),"",IF(NOT(ISNUMBER(B77)),"Needs a date",IF(NOT(ISNUMBER(D77)),"Needs the amount",IF(C77="","Needs an envelope",IF(COUNTIF(Envelopes!$B$6:$B$21,C77)=0,"Not on Envelopes",IF(F77="",IF(D77=0,"Needs the amount",""),IF(COUNTIF(Envelopes!$B$6:$B$21,F77)=0,"Moved to: not on Envelopes",IF(D77&lt;=0,"A move needs an amount",IF(F77=C77,"Moved to the same envelope","")))))))))</f>
        <v/>
      </c>
      <c r="H77" s="1">
        <f>IF(ISNUMBER(B77),INT(B77),0)</f>
        <v/>
      </c>
      <c r="I77">
        <f>IF(AND(H77&gt;0,ISNUMBER(D77),COUNTIF(Envelopes!$B$6:$B$21,C77)&gt;0,F77=""),1,0)</f>
        <v/>
      </c>
      <c r="J77">
        <f>IF(AND(H77&gt;0,ISNUMBER(D77),COUNTIF(Envelopes!$B$6:$B$21,C77)&gt;0,F77&lt;&gt;"",COUNTIF(Envelopes!$B$6:$B$21,F77)&gt;0),1,0)</f>
        <v/>
      </c>
      <c r="K77">
        <f>IF(I77=1,H77*10000+ROW(),"")</f>
        <v/>
      </c>
    </row>
    <row r="78">
      <c r="A78" s="1" t="n"/>
      <c r="B78" s="21" t="n">
        <v>46068</v>
      </c>
      <c r="C78" s="23" t="inlineStr">
        <is>
          <t>Gas</t>
        </is>
      </c>
      <c r="D78" s="22" t="n">
        <v>24.84</v>
      </c>
      <c r="E78" s="24" t="inlineStr">
        <is>
          <t>Gas station</t>
        </is>
      </c>
      <c r="F78" s="25" t="n"/>
      <c r="G78" s="18">
        <f>IF(AND(C78="",D78=""),"",IF(NOT(ISNUMBER(B78)),"Needs a date",IF(NOT(ISNUMBER(D78)),"Needs the amount",IF(C78="","Needs an envelope",IF(COUNTIF(Envelopes!$B$6:$B$21,C78)=0,"Not on Envelopes",IF(F78="",IF(D78=0,"Needs the amount",""),IF(COUNTIF(Envelopes!$B$6:$B$21,F78)=0,"Moved to: not on Envelopes",IF(D78&lt;=0,"A move needs an amount",IF(F78=C78,"Moved to the same envelope","")))))))))</f>
        <v/>
      </c>
      <c r="H78" s="1">
        <f>IF(ISNUMBER(B78),INT(B78),0)</f>
        <v/>
      </c>
      <c r="I78">
        <f>IF(AND(H78&gt;0,ISNUMBER(D78),COUNTIF(Envelopes!$B$6:$B$21,C78)&gt;0,F78=""),1,0)</f>
        <v/>
      </c>
      <c r="J78">
        <f>IF(AND(H78&gt;0,ISNUMBER(D78),COUNTIF(Envelopes!$B$6:$B$21,C78)&gt;0,F78&lt;&gt;"",COUNTIF(Envelopes!$B$6:$B$21,F78)&gt;0),1,0)</f>
        <v/>
      </c>
      <c r="K78">
        <f>IF(I78=1,H78*10000+ROW(),"")</f>
        <v/>
      </c>
    </row>
    <row r="79">
      <c r="A79" s="1" t="n"/>
      <c r="B79" s="21" t="n">
        <v>46068</v>
      </c>
      <c r="C79" s="23" t="inlineStr">
        <is>
          <t>Eating out</t>
        </is>
      </c>
      <c r="D79" s="22" t="n">
        <v>25.26</v>
      </c>
      <c r="E79" s="24" t="inlineStr">
        <is>
          <t>Pizza night</t>
        </is>
      </c>
      <c r="F79" s="25" t="n"/>
      <c r="G79" s="18">
        <f>IF(AND(C79="",D79=""),"",IF(NOT(ISNUMBER(B79)),"Needs a date",IF(NOT(ISNUMBER(D79)),"Needs the amount",IF(C79="","Needs an envelope",IF(COUNTIF(Envelopes!$B$6:$B$21,C79)=0,"Not on Envelopes",IF(F79="",IF(D79=0,"Needs the amount",""),IF(COUNTIF(Envelopes!$B$6:$B$21,F79)=0,"Moved to: not on Envelopes",IF(D79&lt;=0,"A move needs an amount",IF(F79=C79,"Moved to the same envelope","")))))))))</f>
        <v/>
      </c>
      <c r="H79" s="1">
        <f>IF(ISNUMBER(B79),INT(B79),0)</f>
        <v/>
      </c>
      <c r="I79">
        <f>IF(AND(H79&gt;0,ISNUMBER(D79),COUNTIF(Envelopes!$B$6:$B$21,C79)&gt;0,F79=""),1,0)</f>
        <v/>
      </c>
      <c r="J79">
        <f>IF(AND(H79&gt;0,ISNUMBER(D79),COUNTIF(Envelopes!$B$6:$B$21,C79)&gt;0,F79&lt;&gt;"",COUNTIF(Envelopes!$B$6:$B$21,F79)&gt;0),1,0)</f>
        <v/>
      </c>
      <c r="K79">
        <f>IF(I79=1,H79*10000+ROW(),"")</f>
        <v/>
      </c>
    </row>
    <row r="80">
      <c r="A80" s="1" t="n"/>
      <c r="B80" s="21" t="n">
        <v>46069</v>
      </c>
      <c r="C80" s="23" t="inlineStr">
        <is>
          <t>Groceries</t>
        </is>
      </c>
      <c r="D80" s="22" t="n">
        <v>7.73</v>
      </c>
      <c r="E80" s="24" t="inlineStr">
        <is>
          <t>Supermarket</t>
        </is>
      </c>
      <c r="F80" s="25" t="n"/>
      <c r="G80" s="18">
        <f>IF(AND(C80="",D80=""),"",IF(NOT(ISNUMBER(B80)),"Needs a date",IF(NOT(ISNUMBER(D80)),"Needs the amount",IF(C80="","Needs an envelope",IF(COUNTIF(Envelopes!$B$6:$B$21,C80)=0,"Not on Envelopes",IF(F80="",IF(D80=0,"Needs the amount",""),IF(COUNTIF(Envelopes!$B$6:$B$21,F80)=0,"Moved to: not on Envelopes",IF(D80&lt;=0,"A move needs an amount",IF(F80=C80,"Moved to the same envelope","")))))))))</f>
        <v/>
      </c>
      <c r="H80" s="1">
        <f>IF(ISNUMBER(B80),INT(B80),0)</f>
        <v/>
      </c>
      <c r="I80">
        <f>IF(AND(H80&gt;0,ISNUMBER(D80),COUNTIF(Envelopes!$B$6:$B$21,C80)&gt;0,F80=""),1,0)</f>
        <v/>
      </c>
      <c r="J80">
        <f>IF(AND(H80&gt;0,ISNUMBER(D80),COUNTIF(Envelopes!$B$6:$B$21,C80)&gt;0,F80&lt;&gt;"",COUNTIF(Envelopes!$B$6:$B$21,F80)&gt;0),1,0)</f>
        <v/>
      </c>
      <c r="K80">
        <f>IF(I80=1,H80*10000+ROW(),"")</f>
        <v/>
      </c>
    </row>
    <row r="81">
      <c r="A81" s="1" t="n"/>
      <c r="B81" s="21" t="n">
        <v>46071</v>
      </c>
      <c r="C81" s="23" t="inlineStr">
        <is>
          <t>Groceries</t>
        </is>
      </c>
      <c r="D81" s="22" t="n">
        <v>100.9</v>
      </c>
      <c r="E81" s="24" t="inlineStr">
        <is>
          <t>Supermarket</t>
        </is>
      </c>
      <c r="F81" s="25" t="n"/>
      <c r="G81" s="18">
        <f>IF(AND(C81="",D81=""),"",IF(NOT(ISNUMBER(B81)),"Needs a date",IF(NOT(ISNUMBER(D81)),"Needs the amount",IF(C81="","Needs an envelope",IF(COUNTIF(Envelopes!$B$6:$B$21,C81)=0,"Not on Envelopes",IF(F81="",IF(D81=0,"Needs the amount",""),IF(COUNTIF(Envelopes!$B$6:$B$21,F81)=0,"Moved to: not on Envelopes",IF(D81&lt;=0,"A move needs an amount",IF(F81=C81,"Moved to the same envelope","")))))))))</f>
        <v/>
      </c>
      <c r="H81" s="1">
        <f>IF(ISNUMBER(B81),INT(B81),0)</f>
        <v/>
      </c>
      <c r="I81">
        <f>IF(AND(H81&gt;0,ISNUMBER(D81),COUNTIF(Envelopes!$B$6:$B$21,C81)&gt;0,F81=""),1,0)</f>
        <v/>
      </c>
      <c r="J81">
        <f>IF(AND(H81&gt;0,ISNUMBER(D81),COUNTIF(Envelopes!$B$6:$B$21,C81)&gt;0,F81&lt;&gt;"",COUNTIF(Envelopes!$B$6:$B$21,F81)&gt;0),1,0)</f>
        <v/>
      </c>
      <c r="K81">
        <f>IF(I81=1,H81*10000+ROW(),"")</f>
        <v/>
      </c>
    </row>
    <row r="82">
      <c r="A82" s="1" t="n"/>
      <c r="B82" s="21" t="n">
        <v>46071</v>
      </c>
      <c r="C82" s="23" t="inlineStr">
        <is>
          <t>Fun money</t>
        </is>
      </c>
      <c r="D82" s="22" t="n">
        <v>28.4</v>
      </c>
      <c r="E82" s="24" t="inlineStr">
        <is>
          <t>Cinema</t>
        </is>
      </c>
      <c r="F82" s="25" t="n"/>
      <c r="G82" s="18">
        <f>IF(AND(C82="",D82=""),"",IF(NOT(ISNUMBER(B82)),"Needs a date",IF(NOT(ISNUMBER(D82)),"Needs the amount",IF(C82="","Needs an envelope",IF(COUNTIF(Envelopes!$B$6:$B$21,C82)=0,"Not on Envelopes",IF(F82="",IF(D82=0,"Needs the amount",""),IF(COUNTIF(Envelopes!$B$6:$B$21,F82)=0,"Moved to: not on Envelopes",IF(D82&lt;=0,"A move needs an amount",IF(F82=C82,"Moved to the same envelope","")))))))))</f>
        <v/>
      </c>
      <c r="H82" s="1">
        <f>IF(ISNUMBER(B82),INT(B82),0)</f>
        <v/>
      </c>
      <c r="I82">
        <f>IF(AND(H82&gt;0,ISNUMBER(D82),COUNTIF(Envelopes!$B$6:$B$21,C82)&gt;0,F82=""),1,0)</f>
        <v/>
      </c>
      <c r="J82">
        <f>IF(AND(H82&gt;0,ISNUMBER(D82),COUNTIF(Envelopes!$B$6:$B$21,C82)&gt;0,F82&lt;&gt;"",COUNTIF(Envelopes!$B$6:$B$21,F82)&gt;0),1,0)</f>
        <v/>
      </c>
      <c r="K82">
        <f>IF(I82=1,H82*10000+ROW(),"")</f>
        <v/>
      </c>
    </row>
    <row r="83">
      <c r="A83" s="1" t="n"/>
      <c r="B83" s="21" t="n">
        <v>46072</v>
      </c>
      <c r="C83" s="23" t="inlineStr">
        <is>
          <t>Personal care</t>
        </is>
      </c>
      <c r="D83" s="22" t="n">
        <v>25.08</v>
      </c>
      <c r="E83" s="24" t="inlineStr">
        <is>
          <t>Haircut</t>
        </is>
      </c>
      <c r="F83" s="25" t="n"/>
      <c r="G83" s="18">
        <f>IF(AND(C83="",D83=""),"",IF(NOT(ISNUMBER(B83)),"Needs a date",IF(NOT(ISNUMBER(D83)),"Needs the amount",IF(C83="","Needs an envelope",IF(COUNTIF(Envelopes!$B$6:$B$21,C83)=0,"Not on Envelopes",IF(F83="",IF(D83=0,"Needs the amount",""),IF(COUNTIF(Envelopes!$B$6:$B$21,F83)=0,"Moved to: not on Envelopes",IF(D83&lt;=0,"A move needs an amount",IF(F83=C83,"Moved to the same envelope","")))))))))</f>
        <v/>
      </c>
      <c r="H83" s="1">
        <f>IF(ISNUMBER(B83),INT(B83),0)</f>
        <v/>
      </c>
      <c r="I83">
        <f>IF(AND(H83&gt;0,ISNUMBER(D83),COUNTIF(Envelopes!$B$6:$B$21,C83)&gt;0,F83=""),1,0)</f>
        <v/>
      </c>
      <c r="J83">
        <f>IF(AND(H83&gt;0,ISNUMBER(D83),COUNTIF(Envelopes!$B$6:$B$21,C83)&gt;0,F83&lt;&gt;"",COUNTIF(Envelopes!$B$6:$B$21,F83)&gt;0),1,0)</f>
        <v/>
      </c>
      <c r="K83">
        <f>IF(I83=1,H83*10000+ROW(),"")</f>
        <v/>
      </c>
    </row>
    <row r="84">
      <c r="A84" s="1" t="n"/>
      <c r="B84" s="21" t="n">
        <v>46072</v>
      </c>
      <c r="C84" s="23" t="inlineStr">
        <is>
          <t>Household</t>
        </is>
      </c>
      <c r="D84" s="22" t="n">
        <v>27.82</v>
      </c>
      <c r="E84" s="24" t="inlineStr">
        <is>
          <t>Cleaning things</t>
        </is>
      </c>
      <c r="F84" s="25" t="n"/>
      <c r="G84" s="18">
        <f>IF(AND(C84="",D84=""),"",IF(NOT(ISNUMBER(B84)),"Needs a date",IF(NOT(ISNUMBER(D84)),"Needs the amount",IF(C84="","Needs an envelope",IF(COUNTIF(Envelopes!$B$6:$B$21,C84)=0,"Not on Envelopes",IF(F84="",IF(D84=0,"Needs the amount",""),IF(COUNTIF(Envelopes!$B$6:$B$21,F84)=0,"Moved to: not on Envelopes",IF(D84&lt;=0,"A move needs an amount",IF(F84=C84,"Moved to the same envelope","")))))))))</f>
        <v/>
      </c>
      <c r="H84" s="1">
        <f>IF(ISNUMBER(B84),INT(B84),0)</f>
        <v/>
      </c>
      <c r="I84">
        <f>IF(AND(H84&gt;0,ISNUMBER(D84),COUNTIF(Envelopes!$B$6:$B$21,C84)&gt;0,F84=""),1,0)</f>
        <v/>
      </c>
      <c r="J84">
        <f>IF(AND(H84&gt;0,ISNUMBER(D84),COUNTIF(Envelopes!$B$6:$B$21,C84)&gt;0,F84&lt;&gt;"",COUNTIF(Envelopes!$B$6:$B$21,F84)&gt;0),1,0)</f>
        <v/>
      </c>
      <c r="K84">
        <f>IF(I84=1,H84*10000+ROW(),"")</f>
        <v/>
      </c>
    </row>
    <row r="85">
      <c r="A85" s="1" t="n"/>
      <c r="B85" s="21" t="n">
        <v>46072</v>
      </c>
      <c r="C85" s="23" t="inlineStr">
        <is>
          <t>Eating out</t>
        </is>
      </c>
      <c r="D85" s="22" t="n">
        <v>9.359999999999999</v>
      </c>
      <c r="E85" s="24" t="inlineStr">
        <is>
          <t>Leftover to savings</t>
        </is>
      </c>
      <c r="F85" s="25" t="inlineStr">
        <is>
          <t>Emergency fund</t>
        </is>
      </c>
      <c r="G85" s="18">
        <f>IF(AND(C85="",D85=""),"",IF(NOT(ISNUMBER(B85)),"Needs a date",IF(NOT(ISNUMBER(D85)),"Needs the amount",IF(C85="","Needs an envelope",IF(COUNTIF(Envelopes!$B$6:$B$21,C85)=0,"Not on Envelopes",IF(F85="",IF(D85=0,"Needs the amount",""),IF(COUNTIF(Envelopes!$B$6:$B$21,F85)=0,"Moved to: not on Envelopes",IF(D85&lt;=0,"A move needs an amount",IF(F85=C85,"Moved to the same envelope","")))))))))</f>
        <v/>
      </c>
      <c r="H85" s="1">
        <f>IF(ISNUMBER(B85),INT(B85),0)</f>
        <v/>
      </c>
      <c r="I85">
        <f>IF(AND(H85&gt;0,ISNUMBER(D85),COUNTIF(Envelopes!$B$6:$B$21,C85)&gt;0,F85=""),1,0)</f>
        <v/>
      </c>
      <c r="J85">
        <f>IF(AND(H85&gt;0,ISNUMBER(D85),COUNTIF(Envelopes!$B$6:$B$21,C85)&gt;0,F85&lt;&gt;"",COUNTIF(Envelopes!$B$6:$B$21,F85)&gt;0),1,0)</f>
        <v/>
      </c>
      <c r="K85">
        <f>IF(I85=1,H85*10000+ROW(),"")</f>
        <v/>
      </c>
    </row>
    <row r="86">
      <c r="A86" s="1" t="n"/>
      <c r="B86" s="21" t="n">
        <v>46072</v>
      </c>
      <c r="C86" s="23" t="inlineStr">
        <is>
          <t>Fun money</t>
        </is>
      </c>
      <c r="D86" s="22" t="n">
        <v>6.32</v>
      </c>
      <c r="E86" s="24" t="inlineStr">
        <is>
          <t>Leftover to savings</t>
        </is>
      </c>
      <c r="F86" s="25" t="inlineStr">
        <is>
          <t>Emergency fund</t>
        </is>
      </c>
      <c r="G86" s="18">
        <f>IF(AND(C86="",D86=""),"",IF(NOT(ISNUMBER(B86)),"Needs a date",IF(NOT(ISNUMBER(D86)),"Needs the amount",IF(C86="","Needs an envelope",IF(COUNTIF(Envelopes!$B$6:$B$21,C86)=0,"Not on Envelopes",IF(F86="",IF(D86=0,"Needs the amount",""),IF(COUNTIF(Envelopes!$B$6:$B$21,F86)=0,"Moved to: not on Envelopes",IF(D86&lt;=0,"A move needs an amount",IF(F86=C86,"Moved to the same envelope","")))))))))</f>
        <v/>
      </c>
      <c r="H86" s="1">
        <f>IF(ISNUMBER(B86),INT(B86),0)</f>
        <v/>
      </c>
      <c r="I86">
        <f>IF(AND(H86&gt;0,ISNUMBER(D86),COUNTIF(Envelopes!$B$6:$B$21,C86)&gt;0,F86=""),1,0)</f>
        <v/>
      </c>
      <c r="J86">
        <f>IF(AND(H86&gt;0,ISNUMBER(D86),COUNTIF(Envelopes!$B$6:$B$21,C86)&gt;0,F86&lt;&gt;"",COUNTIF(Envelopes!$B$6:$B$21,F86)&gt;0),1,0)</f>
        <v/>
      </c>
      <c r="K86">
        <f>IF(I86=1,H86*10000+ROW(),"")</f>
        <v/>
      </c>
    </row>
    <row r="87">
      <c r="A87" s="1" t="n"/>
      <c r="B87" s="21" t="n">
        <v>46075</v>
      </c>
      <c r="C87" s="23" t="inlineStr">
        <is>
          <t>Groceries</t>
        </is>
      </c>
      <c r="D87" s="22" t="n">
        <v>32.85</v>
      </c>
      <c r="E87" s="24" t="inlineStr">
        <is>
          <t>Corner shop</t>
        </is>
      </c>
      <c r="F87" s="25" t="n"/>
      <c r="G87" s="18">
        <f>IF(AND(C87="",D87=""),"",IF(NOT(ISNUMBER(B87)),"Needs a date",IF(NOT(ISNUMBER(D87)),"Needs the amount",IF(C87="","Needs an envelope",IF(COUNTIF(Envelopes!$B$6:$B$21,C87)=0,"Not on Envelopes",IF(F87="",IF(D87=0,"Needs the amount",""),IF(COUNTIF(Envelopes!$B$6:$B$21,F87)=0,"Moved to: not on Envelopes",IF(D87&lt;=0,"A move needs an amount",IF(F87=C87,"Moved to the same envelope","")))))))))</f>
        <v/>
      </c>
      <c r="H87" s="1">
        <f>IF(ISNUMBER(B87),INT(B87),0)</f>
        <v/>
      </c>
      <c r="I87">
        <f>IF(AND(H87&gt;0,ISNUMBER(D87),COUNTIF(Envelopes!$B$6:$B$21,C87)&gt;0,F87=""),1,0)</f>
        <v/>
      </c>
      <c r="J87">
        <f>IF(AND(H87&gt;0,ISNUMBER(D87),COUNTIF(Envelopes!$B$6:$B$21,C87)&gt;0,F87&lt;&gt;"",COUNTIF(Envelopes!$B$6:$B$21,F87)&gt;0),1,0)</f>
        <v/>
      </c>
      <c r="K87">
        <f>IF(I87=1,H87*10000+ROW(),"")</f>
        <v/>
      </c>
    </row>
    <row r="88">
      <c r="A88" s="1" t="n"/>
      <c r="B88" s="21" t="n">
        <v>46075</v>
      </c>
      <c r="C88" s="23" t="inlineStr">
        <is>
          <t>Eating out</t>
        </is>
      </c>
      <c r="D88" s="22" t="n">
        <v>22.04</v>
      </c>
      <c r="E88" s="24" t="inlineStr">
        <is>
          <t>Pizza night</t>
        </is>
      </c>
      <c r="F88" s="25" t="n"/>
      <c r="G88" s="18">
        <f>IF(AND(C88="",D88=""),"",IF(NOT(ISNUMBER(B88)),"Needs a date",IF(NOT(ISNUMBER(D88)),"Needs the amount",IF(C88="","Needs an envelope",IF(COUNTIF(Envelopes!$B$6:$B$21,C88)=0,"Not on Envelopes",IF(F88="",IF(D88=0,"Needs the amount",""),IF(COUNTIF(Envelopes!$B$6:$B$21,F88)=0,"Moved to: not on Envelopes",IF(D88&lt;=0,"A move needs an amount",IF(F88=C88,"Moved to the same envelope","")))))))))</f>
        <v/>
      </c>
      <c r="H88" s="1">
        <f>IF(ISNUMBER(B88),INT(B88),0)</f>
        <v/>
      </c>
      <c r="I88">
        <f>IF(AND(H88&gt;0,ISNUMBER(D88),COUNTIF(Envelopes!$B$6:$B$21,C88)&gt;0,F88=""),1,0)</f>
        <v/>
      </c>
      <c r="J88">
        <f>IF(AND(H88&gt;0,ISNUMBER(D88),COUNTIF(Envelopes!$B$6:$B$21,C88)&gt;0,F88&lt;&gt;"",COUNTIF(Envelopes!$B$6:$B$21,F88)&gt;0),1,0)</f>
        <v/>
      </c>
      <c r="K88">
        <f>IF(I88=1,H88*10000+ROW(),"")</f>
        <v/>
      </c>
    </row>
    <row r="89">
      <c r="A89" s="1" t="n"/>
      <c r="B89" s="21" t="n">
        <v>46078</v>
      </c>
      <c r="C89" s="23" t="inlineStr">
        <is>
          <t>Groceries</t>
        </is>
      </c>
      <c r="D89" s="22" t="n">
        <v>15.91</v>
      </c>
      <c r="E89" s="24" t="inlineStr">
        <is>
          <t>Corner shop</t>
        </is>
      </c>
      <c r="F89" s="25" t="n"/>
      <c r="G89" s="18">
        <f>IF(AND(C89="",D89=""),"",IF(NOT(ISNUMBER(B89)),"Needs a date",IF(NOT(ISNUMBER(D89)),"Needs the amount",IF(C89="","Needs an envelope",IF(COUNTIF(Envelopes!$B$6:$B$21,C89)=0,"Not on Envelopes",IF(F89="",IF(D89=0,"Needs the amount",""),IF(COUNTIF(Envelopes!$B$6:$B$21,F89)=0,"Moved to: not on Envelopes",IF(D89&lt;=0,"A move needs an amount",IF(F89=C89,"Moved to the same envelope","")))))))))</f>
        <v/>
      </c>
      <c r="H89" s="1">
        <f>IF(ISNUMBER(B89),INT(B89),0)</f>
        <v/>
      </c>
      <c r="I89">
        <f>IF(AND(H89&gt;0,ISNUMBER(D89),COUNTIF(Envelopes!$B$6:$B$21,C89)&gt;0,F89=""),1,0)</f>
        <v/>
      </c>
      <c r="J89">
        <f>IF(AND(H89&gt;0,ISNUMBER(D89),COUNTIF(Envelopes!$B$6:$B$21,C89)&gt;0,F89&lt;&gt;"",COUNTIF(Envelopes!$B$6:$B$21,F89)&gt;0),1,0)</f>
        <v/>
      </c>
      <c r="K89">
        <f>IF(I89=1,H89*10000+ROW(),"")</f>
        <v/>
      </c>
    </row>
    <row r="90">
      <c r="A90" s="1" t="n"/>
      <c r="B90" s="21" t="n">
        <v>46078</v>
      </c>
      <c r="C90" s="23" t="inlineStr">
        <is>
          <t>Gas</t>
        </is>
      </c>
      <c r="D90" s="22" t="n">
        <v>29.07</v>
      </c>
      <c r="E90" s="24" t="inlineStr">
        <is>
          <t>Gas station</t>
        </is>
      </c>
      <c r="F90" s="25" t="n"/>
      <c r="G90" s="18">
        <f>IF(AND(C90="",D90=""),"",IF(NOT(ISNUMBER(B90)),"Needs a date",IF(NOT(ISNUMBER(D90)),"Needs the amount",IF(C90="","Needs an envelope",IF(COUNTIF(Envelopes!$B$6:$B$21,C90)=0,"Not on Envelopes",IF(F90="",IF(D90=0,"Needs the amount",""),IF(COUNTIF(Envelopes!$B$6:$B$21,F90)=0,"Moved to: not on Envelopes",IF(D90&lt;=0,"A move needs an amount",IF(F90=C90,"Moved to the same envelope","")))))))))</f>
        <v/>
      </c>
      <c r="H90" s="1">
        <f>IF(ISNUMBER(B90),INT(B90),0)</f>
        <v/>
      </c>
      <c r="I90">
        <f>IF(AND(H90&gt;0,ISNUMBER(D90),COUNTIF(Envelopes!$B$6:$B$21,C90)&gt;0,F90=""),1,0)</f>
        <v/>
      </c>
      <c r="J90">
        <f>IF(AND(H90&gt;0,ISNUMBER(D90),COUNTIF(Envelopes!$B$6:$B$21,C90)&gt;0,F90&lt;&gt;"",COUNTIF(Envelopes!$B$6:$B$21,F90)&gt;0),1,0)</f>
        <v/>
      </c>
      <c r="K90">
        <f>IF(I90=1,H90*10000+ROW(),"")</f>
        <v/>
      </c>
    </row>
    <row r="91">
      <c r="A91" s="1" t="n"/>
      <c r="B91" s="21" t="n">
        <v>46080</v>
      </c>
      <c r="C91" s="23" t="inlineStr">
        <is>
          <t>Gas</t>
        </is>
      </c>
      <c r="D91" s="22" t="n">
        <v>26.27</v>
      </c>
      <c r="E91" s="24" t="inlineStr">
        <is>
          <t>Gas station</t>
        </is>
      </c>
      <c r="F91" s="25" t="n"/>
      <c r="G91" s="18">
        <f>IF(AND(C91="",D91=""),"",IF(NOT(ISNUMBER(B91)),"Needs a date",IF(NOT(ISNUMBER(D91)),"Needs the amount",IF(C91="","Needs an envelope",IF(COUNTIF(Envelopes!$B$6:$B$21,C91)=0,"Not on Envelopes",IF(F91="",IF(D91=0,"Needs the amount",""),IF(COUNTIF(Envelopes!$B$6:$B$21,F91)=0,"Moved to: not on Envelopes",IF(D91&lt;=0,"A move needs an amount",IF(F91=C91,"Moved to the same envelope","")))))))))</f>
        <v/>
      </c>
      <c r="H91" s="1">
        <f>IF(ISNUMBER(B91),INT(B91),0)</f>
        <v/>
      </c>
      <c r="I91">
        <f>IF(AND(H91&gt;0,ISNUMBER(D91),COUNTIF(Envelopes!$B$6:$B$21,C91)&gt;0,F91=""),1,0)</f>
        <v/>
      </c>
      <c r="J91">
        <f>IF(AND(H91&gt;0,ISNUMBER(D91),COUNTIF(Envelopes!$B$6:$B$21,C91)&gt;0,F91&lt;&gt;"",COUNTIF(Envelopes!$B$6:$B$21,F91)&gt;0),1,0)</f>
        <v/>
      </c>
      <c r="K91">
        <f>IF(I91=1,H91*10000+ROW(),"")</f>
        <v/>
      </c>
    </row>
    <row r="92">
      <c r="A92" s="1" t="n"/>
      <c r="B92" s="21" t="n">
        <v>46081</v>
      </c>
      <c r="C92" s="23" t="inlineStr">
        <is>
          <t>Groceries</t>
        </is>
      </c>
      <c r="D92" s="22" t="n">
        <v>72.25</v>
      </c>
      <c r="E92" s="24" t="inlineStr">
        <is>
          <t>Bakery</t>
        </is>
      </c>
      <c r="F92" s="25" t="n"/>
      <c r="G92" s="18">
        <f>IF(AND(C92="",D92=""),"",IF(NOT(ISNUMBER(B92)),"Needs a date",IF(NOT(ISNUMBER(D92)),"Needs the amount",IF(C92="","Needs an envelope",IF(COUNTIF(Envelopes!$B$6:$B$21,C92)=0,"Not on Envelopes",IF(F92="",IF(D92=0,"Needs the amount",""),IF(COUNTIF(Envelopes!$B$6:$B$21,F92)=0,"Moved to: not on Envelopes",IF(D92&lt;=0,"A move needs an amount",IF(F92=C92,"Moved to the same envelope","")))))))))</f>
        <v/>
      </c>
      <c r="H92" s="1">
        <f>IF(ISNUMBER(B92),INT(B92),0)</f>
        <v/>
      </c>
      <c r="I92">
        <f>IF(AND(H92&gt;0,ISNUMBER(D92),COUNTIF(Envelopes!$B$6:$B$21,C92)&gt;0,F92=""),1,0)</f>
        <v/>
      </c>
      <c r="J92">
        <f>IF(AND(H92&gt;0,ISNUMBER(D92),COUNTIF(Envelopes!$B$6:$B$21,C92)&gt;0,F92&lt;&gt;"",COUNTIF(Envelopes!$B$6:$B$21,F92)&gt;0),1,0)</f>
        <v/>
      </c>
      <c r="K92">
        <f>IF(I92=1,H92*10000+ROW(),"")</f>
        <v/>
      </c>
    </row>
    <row r="93">
      <c r="A93" s="1" t="n"/>
      <c r="B93" s="21" t="n">
        <v>46081</v>
      </c>
      <c r="C93" s="23" t="inlineStr">
        <is>
          <t>Household</t>
        </is>
      </c>
      <c r="D93" s="22" t="n">
        <v>33.25</v>
      </c>
      <c r="E93" s="24" t="inlineStr">
        <is>
          <t>Hardware store</t>
        </is>
      </c>
      <c r="F93" s="25" t="n"/>
      <c r="G93" s="18">
        <f>IF(AND(C93="",D93=""),"",IF(NOT(ISNUMBER(B93)),"Needs a date",IF(NOT(ISNUMBER(D93)),"Needs the amount",IF(C93="","Needs an envelope",IF(COUNTIF(Envelopes!$B$6:$B$21,C93)=0,"Not on Envelopes",IF(F93="",IF(D93=0,"Needs the amount",""),IF(COUNTIF(Envelopes!$B$6:$B$21,F93)=0,"Moved to: not on Envelopes",IF(D93&lt;=0,"A move needs an amount",IF(F93=C93,"Moved to the same envelope","")))))))))</f>
        <v/>
      </c>
      <c r="H93" s="1">
        <f>IF(ISNUMBER(B93),INT(B93),0)</f>
        <v/>
      </c>
      <c r="I93">
        <f>IF(AND(H93&gt;0,ISNUMBER(D93),COUNTIF(Envelopes!$B$6:$B$21,C93)&gt;0,F93=""),1,0)</f>
        <v/>
      </c>
      <c r="J93">
        <f>IF(AND(H93&gt;0,ISNUMBER(D93),COUNTIF(Envelopes!$B$6:$B$21,C93)&gt;0,F93&lt;&gt;"",COUNTIF(Envelopes!$B$6:$B$21,F93)&gt;0),1,0)</f>
        <v/>
      </c>
      <c r="K93">
        <f>IF(I93=1,H93*10000+ROW(),"")</f>
        <v/>
      </c>
    </row>
    <row r="94">
      <c r="A94" s="1" t="n"/>
      <c r="B94" s="21" t="n">
        <v>46082</v>
      </c>
      <c r="C94" s="23" t="inlineStr">
        <is>
          <t>Fun money</t>
        </is>
      </c>
      <c r="D94" s="22" t="n">
        <v>22.54</v>
      </c>
      <c r="E94" s="24" t="inlineStr">
        <is>
          <t>Book</t>
        </is>
      </c>
      <c r="F94" s="25" t="n"/>
      <c r="G94" s="18">
        <f>IF(AND(C94="",D94=""),"",IF(NOT(ISNUMBER(B94)),"Needs a date",IF(NOT(ISNUMBER(D94)),"Needs the amount",IF(C94="","Needs an envelope",IF(COUNTIF(Envelopes!$B$6:$B$21,C94)=0,"Not on Envelopes",IF(F94="",IF(D94=0,"Needs the amount",""),IF(COUNTIF(Envelopes!$B$6:$B$21,F94)=0,"Moved to: not on Envelopes",IF(D94&lt;=0,"A move needs an amount",IF(F94=C94,"Moved to the same envelope","")))))))))</f>
        <v/>
      </c>
      <c r="H94" s="1">
        <f>IF(ISNUMBER(B94),INT(B94),0)</f>
        <v/>
      </c>
      <c r="I94">
        <f>IF(AND(H94&gt;0,ISNUMBER(D94),COUNTIF(Envelopes!$B$6:$B$21,C94)&gt;0,F94=""),1,0)</f>
        <v/>
      </c>
      <c r="J94">
        <f>IF(AND(H94&gt;0,ISNUMBER(D94),COUNTIF(Envelopes!$B$6:$B$21,C94)&gt;0,F94&lt;&gt;"",COUNTIF(Envelopes!$B$6:$B$21,F94)&gt;0),1,0)</f>
        <v/>
      </c>
      <c r="K94">
        <f>IF(I94=1,H94*10000+ROW(),"")</f>
        <v/>
      </c>
    </row>
    <row r="95">
      <c r="A95" s="1" t="n"/>
      <c r="B95" s="21" t="n">
        <v>46082</v>
      </c>
      <c r="C95" s="23" t="inlineStr">
        <is>
          <t>Kids</t>
        </is>
      </c>
      <c r="D95" s="22" t="n">
        <v>35.44</v>
      </c>
      <c r="E95" s="24" t="inlineStr">
        <is>
          <t>Art supplies</t>
        </is>
      </c>
      <c r="F95" s="25" t="n"/>
      <c r="G95" s="18">
        <f>IF(AND(C95="",D95=""),"",IF(NOT(ISNUMBER(B95)),"Needs a date",IF(NOT(ISNUMBER(D95)),"Needs the amount",IF(C95="","Needs an envelope",IF(COUNTIF(Envelopes!$B$6:$B$21,C95)=0,"Not on Envelopes",IF(F95="",IF(D95=0,"Needs the amount",""),IF(COUNTIF(Envelopes!$B$6:$B$21,F95)=0,"Moved to: not on Envelopes",IF(D95&lt;=0,"A move needs an amount",IF(F95=C95,"Moved to the same envelope","")))))))))</f>
        <v/>
      </c>
      <c r="H95" s="1">
        <f>IF(ISNUMBER(B95),INT(B95),0)</f>
        <v/>
      </c>
      <c r="I95">
        <f>IF(AND(H95&gt;0,ISNUMBER(D95),COUNTIF(Envelopes!$B$6:$B$21,C95)&gt;0,F95=""),1,0)</f>
        <v/>
      </c>
      <c r="J95">
        <f>IF(AND(H95&gt;0,ISNUMBER(D95),COUNTIF(Envelopes!$B$6:$B$21,C95)&gt;0,F95&lt;&gt;"",COUNTIF(Envelopes!$B$6:$B$21,F95)&gt;0),1,0)</f>
        <v/>
      </c>
      <c r="K95">
        <f>IF(I95=1,H95*10000+ROW(),"")</f>
        <v/>
      </c>
    </row>
    <row r="96">
      <c r="A96" s="1" t="n"/>
      <c r="B96" s="21" t="n">
        <v>46084</v>
      </c>
      <c r="C96" s="23" t="inlineStr">
        <is>
          <t>Groceries</t>
        </is>
      </c>
      <c r="D96" s="22" t="n">
        <v>42.2</v>
      </c>
      <c r="E96" s="24" t="inlineStr">
        <is>
          <t>Supermarket</t>
        </is>
      </c>
      <c r="F96" s="25" t="n"/>
      <c r="G96" s="18">
        <f>IF(AND(C96="",D96=""),"",IF(NOT(ISNUMBER(B96)),"Needs a date",IF(NOT(ISNUMBER(D96)),"Needs the amount",IF(C96="","Needs an envelope",IF(COUNTIF(Envelopes!$B$6:$B$21,C96)=0,"Not on Envelopes",IF(F96="",IF(D96=0,"Needs the amount",""),IF(COUNTIF(Envelopes!$B$6:$B$21,F96)=0,"Moved to: not on Envelopes",IF(D96&lt;=0,"A move needs an amount",IF(F96=C96,"Moved to the same envelope","")))))))))</f>
        <v/>
      </c>
      <c r="H96" s="1">
        <f>IF(ISNUMBER(B96),INT(B96),0)</f>
        <v/>
      </c>
      <c r="I96">
        <f>IF(AND(H96&gt;0,ISNUMBER(D96),COUNTIF(Envelopes!$B$6:$B$21,C96)&gt;0,F96=""),1,0)</f>
        <v/>
      </c>
      <c r="J96">
        <f>IF(AND(H96&gt;0,ISNUMBER(D96),COUNTIF(Envelopes!$B$6:$B$21,C96)&gt;0,F96&lt;&gt;"",COUNTIF(Envelopes!$B$6:$B$21,F96)&gt;0),1,0)</f>
        <v/>
      </c>
      <c r="K96">
        <f>IF(I96=1,H96*10000+ROW(),"")</f>
        <v/>
      </c>
    </row>
    <row r="97">
      <c r="A97" s="1" t="n"/>
      <c r="B97" s="21" t="n">
        <v>46086</v>
      </c>
      <c r="C97" s="23" t="inlineStr">
        <is>
          <t>Eating out</t>
        </is>
      </c>
      <c r="D97" s="22" t="n">
        <v>8.93</v>
      </c>
      <c r="E97" s="24" t="inlineStr">
        <is>
          <t>Pizza night</t>
        </is>
      </c>
      <c r="F97" s="25" t="n"/>
      <c r="G97" s="18">
        <f>IF(AND(C97="",D97=""),"",IF(NOT(ISNUMBER(B97)),"Needs a date",IF(NOT(ISNUMBER(D97)),"Needs the amount",IF(C97="","Needs an envelope",IF(COUNTIF(Envelopes!$B$6:$B$21,C97)=0,"Not on Envelopes",IF(F97="",IF(D97=0,"Needs the amount",""),IF(COUNTIF(Envelopes!$B$6:$B$21,F97)=0,"Moved to: not on Envelopes",IF(D97&lt;=0,"A move needs an amount",IF(F97=C97,"Moved to the same envelope","")))))))))</f>
        <v/>
      </c>
      <c r="H97" s="1">
        <f>IF(ISNUMBER(B97),INT(B97),0)</f>
        <v/>
      </c>
      <c r="I97">
        <f>IF(AND(H97&gt;0,ISNUMBER(D97),COUNTIF(Envelopes!$B$6:$B$21,C97)&gt;0,F97=""),1,0)</f>
        <v/>
      </c>
      <c r="J97">
        <f>IF(AND(H97&gt;0,ISNUMBER(D97),COUNTIF(Envelopes!$B$6:$B$21,C97)&gt;0,F97&lt;&gt;"",COUNTIF(Envelopes!$B$6:$B$21,F97)&gt;0),1,0)</f>
        <v/>
      </c>
      <c r="K97">
        <f>IF(I97=1,H97*10000+ROW(),"")</f>
        <v/>
      </c>
    </row>
    <row r="98">
      <c r="A98" s="1" t="n"/>
      <c r="B98" s="21" t="n">
        <v>46086</v>
      </c>
      <c r="C98" s="23" t="inlineStr">
        <is>
          <t>Personal care</t>
        </is>
      </c>
      <c r="D98" s="22" t="n">
        <v>23.68</v>
      </c>
      <c r="E98" s="24" t="inlineStr">
        <is>
          <t>Shampoo</t>
        </is>
      </c>
      <c r="F98" s="25" t="n"/>
      <c r="G98" s="18">
        <f>IF(AND(C98="",D98=""),"",IF(NOT(ISNUMBER(B98)),"Needs a date",IF(NOT(ISNUMBER(D98)),"Needs the amount",IF(C98="","Needs an envelope",IF(COUNTIF(Envelopes!$B$6:$B$21,C98)=0,"Not on Envelopes",IF(F98="",IF(D98=0,"Needs the amount",""),IF(COUNTIF(Envelopes!$B$6:$B$21,F98)=0,"Moved to: not on Envelopes",IF(D98&lt;=0,"A move needs an amount",IF(F98=C98,"Moved to the same envelope","")))))))))</f>
        <v/>
      </c>
      <c r="H98" s="1">
        <f>IF(ISNUMBER(B98),INT(B98),0)</f>
        <v/>
      </c>
      <c r="I98">
        <f>IF(AND(H98&gt;0,ISNUMBER(D98),COUNTIF(Envelopes!$B$6:$B$21,C98)&gt;0,F98=""),1,0)</f>
        <v/>
      </c>
      <c r="J98">
        <f>IF(AND(H98&gt;0,ISNUMBER(D98),COUNTIF(Envelopes!$B$6:$B$21,C98)&gt;0,F98&lt;&gt;"",COUNTIF(Envelopes!$B$6:$B$21,F98)&gt;0),1,0)</f>
        <v/>
      </c>
      <c r="K98">
        <f>IF(I98=1,H98*10000+ROW(),"")</f>
        <v/>
      </c>
    </row>
    <row r="99">
      <c r="A99" s="1" t="n"/>
      <c r="B99" s="21" t="n">
        <v>46089</v>
      </c>
      <c r="C99" s="23" t="inlineStr">
        <is>
          <t>Groceries</t>
        </is>
      </c>
      <c r="D99" s="22" t="n">
        <v>57.45</v>
      </c>
      <c r="E99" s="24" t="inlineStr">
        <is>
          <t>Bakery</t>
        </is>
      </c>
      <c r="F99" s="25" t="n"/>
      <c r="G99" s="18">
        <f>IF(AND(C99="",D99=""),"",IF(NOT(ISNUMBER(B99)),"Needs a date",IF(NOT(ISNUMBER(D99)),"Needs the amount",IF(C99="","Needs an envelope",IF(COUNTIF(Envelopes!$B$6:$B$21,C99)=0,"Not on Envelopes",IF(F99="",IF(D99=0,"Needs the amount",""),IF(COUNTIF(Envelopes!$B$6:$B$21,F99)=0,"Moved to: not on Envelopes",IF(D99&lt;=0,"A move needs an amount",IF(F99=C99,"Moved to the same envelope","")))))))))</f>
        <v/>
      </c>
      <c r="H99" s="1">
        <f>IF(ISNUMBER(B99),INT(B99),0)</f>
        <v/>
      </c>
      <c r="I99">
        <f>IF(AND(H99&gt;0,ISNUMBER(D99),COUNTIF(Envelopes!$B$6:$B$21,C99)&gt;0,F99=""),1,0)</f>
        <v/>
      </c>
      <c r="J99">
        <f>IF(AND(H99&gt;0,ISNUMBER(D99),COUNTIF(Envelopes!$B$6:$B$21,C99)&gt;0,F99&lt;&gt;"",COUNTIF(Envelopes!$B$6:$B$21,F99)&gt;0),1,0)</f>
        <v/>
      </c>
      <c r="K99">
        <f>IF(I99=1,H99*10000+ROW(),"")</f>
        <v/>
      </c>
    </row>
    <row r="100">
      <c r="A100" s="1" t="n"/>
      <c r="B100" s="21" t="n">
        <v>46089</v>
      </c>
      <c r="C100" s="23" t="inlineStr">
        <is>
          <t>Personal care</t>
        </is>
      </c>
      <c r="D100" s="22" t="n">
        <v>22.99</v>
      </c>
      <c r="E100" s="24" t="inlineStr">
        <is>
          <t>Haircut</t>
        </is>
      </c>
      <c r="F100" s="25" t="n"/>
      <c r="G100" s="18">
        <f>IF(AND(C100="",D100=""),"",IF(NOT(ISNUMBER(B100)),"Needs a date",IF(NOT(ISNUMBER(D100)),"Needs the amount",IF(C100="","Needs an envelope",IF(COUNTIF(Envelopes!$B$6:$B$21,C100)=0,"Not on Envelopes",IF(F100="",IF(D100=0,"Needs the amount",""),IF(COUNTIF(Envelopes!$B$6:$B$21,F100)=0,"Moved to: not on Envelopes",IF(D100&lt;=0,"A move needs an amount",IF(F100=C100,"Moved to the same envelope","")))))))))</f>
        <v/>
      </c>
      <c r="H100" s="1">
        <f>IF(ISNUMBER(B100),INT(B100),0)</f>
        <v/>
      </c>
      <c r="I100">
        <f>IF(AND(H100&gt;0,ISNUMBER(D100),COUNTIF(Envelopes!$B$6:$B$21,C100)&gt;0,F100=""),1,0)</f>
        <v/>
      </c>
      <c r="J100">
        <f>IF(AND(H100&gt;0,ISNUMBER(D100),COUNTIF(Envelopes!$B$6:$B$21,C100)&gt;0,F100&lt;&gt;"",COUNTIF(Envelopes!$B$6:$B$21,F100)&gt;0),1,0)</f>
        <v/>
      </c>
      <c r="K100">
        <f>IF(I100=1,H100*10000+ROW(),"")</f>
        <v/>
      </c>
    </row>
    <row r="101">
      <c r="A101" s="1" t="n"/>
      <c r="B101" s="21" t="n">
        <v>46090</v>
      </c>
      <c r="C101" s="23" t="inlineStr">
        <is>
          <t>Gas</t>
        </is>
      </c>
      <c r="D101" s="22" t="n">
        <v>16.95</v>
      </c>
      <c r="E101" s="24" t="inlineStr">
        <is>
          <t>Gas station</t>
        </is>
      </c>
      <c r="F101" s="25" t="n"/>
      <c r="G101" s="18">
        <f>IF(AND(C101="",D101=""),"",IF(NOT(ISNUMBER(B101)),"Needs a date",IF(NOT(ISNUMBER(D101)),"Needs the amount",IF(C101="","Needs an envelope",IF(COUNTIF(Envelopes!$B$6:$B$21,C101)=0,"Not on Envelopes",IF(F101="",IF(D101=0,"Needs the amount",""),IF(COUNTIF(Envelopes!$B$6:$B$21,F101)=0,"Moved to: not on Envelopes",IF(D101&lt;=0,"A move needs an amount",IF(F101=C101,"Moved to the same envelope","")))))))))</f>
        <v/>
      </c>
      <c r="H101" s="1">
        <f>IF(ISNUMBER(B101),INT(B101),0)</f>
        <v/>
      </c>
      <c r="I101">
        <f>IF(AND(H101&gt;0,ISNUMBER(D101),COUNTIF(Envelopes!$B$6:$B$21,C101)&gt;0,F101=""),1,0)</f>
        <v/>
      </c>
      <c r="J101">
        <f>IF(AND(H101&gt;0,ISNUMBER(D101),COUNTIF(Envelopes!$B$6:$B$21,C101)&gt;0,F101&lt;&gt;"",COUNTIF(Envelopes!$B$6:$B$21,F101)&gt;0),1,0)</f>
        <v/>
      </c>
      <c r="K101">
        <f>IF(I101=1,H101*10000+ROW(),"")</f>
        <v/>
      </c>
    </row>
    <row r="102">
      <c r="A102" s="1" t="n"/>
      <c r="B102" s="21" t="n">
        <v>46091</v>
      </c>
      <c r="C102" s="23" t="inlineStr">
        <is>
          <t>Eating out</t>
        </is>
      </c>
      <c r="D102" s="22" t="n">
        <v>19.53</v>
      </c>
      <c r="E102" s="24" t="inlineStr">
        <is>
          <t>Coffee and cake</t>
        </is>
      </c>
      <c r="F102" s="25" t="n"/>
      <c r="G102" s="18">
        <f>IF(AND(C102="",D102=""),"",IF(NOT(ISNUMBER(B102)),"Needs a date",IF(NOT(ISNUMBER(D102)),"Needs the amount",IF(C102="","Needs an envelope",IF(COUNTIF(Envelopes!$B$6:$B$21,C102)=0,"Not on Envelopes",IF(F102="",IF(D102=0,"Needs the amount",""),IF(COUNTIF(Envelopes!$B$6:$B$21,F102)=0,"Moved to: not on Envelopes",IF(D102&lt;=0,"A move needs an amount",IF(F102=C102,"Moved to the same envelope","")))))))))</f>
        <v/>
      </c>
      <c r="H102" s="1">
        <f>IF(ISNUMBER(B102),INT(B102),0)</f>
        <v/>
      </c>
      <c r="I102">
        <f>IF(AND(H102&gt;0,ISNUMBER(D102),COUNTIF(Envelopes!$B$6:$B$21,C102)&gt;0,F102=""),1,0)</f>
        <v/>
      </c>
      <c r="J102">
        <f>IF(AND(H102&gt;0,ISNUMBER(D102),COUNTIF(Envelopes!$B$6:$B$21,C102)&gt;0,F102&lt;&gt;"",COUNTIF(Envelopes!$B$6:$B$21,F102)&gt;0),1,0)</f>
        <v/>
      </c>
      <c r="K102">
        <f>IF(I102=1,H102*10000+ROW(),"")</f>
        <v/>
      </c>
    </row>
    <row r="103">
      <c r="A103" s="1" t="n"/>
      <c r="B103" s="21" t="n">
        <v>46092</v>
      </c>
      <c r="C103" s="23" t="inlineStr">
        <is>
          <t>Groceries</t>
        </is>
      </c>
      <c r="D103" s="22" t="n">
        <v>3.68</v>
      </c>
      <c r="E103" s="24" t="inlineStr">
        <is>
          <t>Supermarket</t>
        </is>
      </c>
      <c r="F103" s="25" t="n"/>
      <c r="G103" s="18">
        <f>IF(AND(C103="",D103=""),"",IF(NOT(ISNUMBER(B103)),"Needs a date",IF(NOT(ISNUMBER(D103)),"Needs the amount",IF(C103="","Needs an envelope",IF(COUNTIF(Envelopes!$B$6:$B$21,C103)=0,"Not on Envelopes",IF(F103="",IF(D103=0,"Needs the amount",""),IF(COUNTIF(Envelopes!$B$6:$B$21,F103)=0,"Moved to: not on Envelopes",IF(D103&lt;=0,"A move needs an amount",IF(F103=C103,"Moved to the same envelope","")))))))))</f>
        <v/>
      </c>
      <c r="H103" s="1">
        <f>IF(ISNUMBER(B103),INT(B103),0)</f>
        <v/>
      </c>
      <c r="I103">
        <f>IF(AND(H103&gt;0,ISNUMBER(D103),COUNTIF(Envelopes!$B$6:$B$21,C103)&gt;0,F103=""),1,0)</f>
        <v/>
      </c>
      <c r="J103">
        <f>IF(AND(H103&gt;0,ISNUMBER(D103),COUNTIF(Envelopes!$B$6:$B$21,C103)&gt;0,F103&lt;&gt;"",COUNTIF(Envelopes!$B$6:$B$21,F103)&gt;0),1,0)</f>
        <v/>
      </c>
      <c r="K103">
        <f>IF(I103=1,H103*10000+ROW(),"")</f>
        <v/>
      </c>
    </row>
    <row r="104">
      <c r="A104" s="1" t="n"/>
      <c r="B104" s="21" t="n">
        <v>46094</v>
      </c>
      <c r="C104" s="23" t="inlineStr">
        <is>
          <t>Groceries</t>
        </is>
      </c>
      <c r="D104" s="22" t="n">
        <v>51.03</v>
      </c>
      <c r="E104" s="24" t="inlineStr">
        <is>
          <t>Supermarket</t>
        </is>
      </c>
      <c r="F104" s="25" t="n"/>
      <c r="G104" s="18">
        <f>IF(AND(C104="",D104=""),"",IF(NOT(ISNUMBER(B104)),"Needs a date",IF(NOT(ISNUMBER(D104)),"Needs the amount",IF(C104="","Needs an envelope",IF(COUNTIF(Envelopes!$B$6:$B$21,C104)=0,"Not on Envelopes",IF(F104="",IF(D104=0,"Needs the amount",""),IF(COUNTIF(Envelopes!$B$6:$B$21,F104)=0,"Moved to: not on Envelopes",IF(D104&lt;=0,"A move needs an amount",IF(F104=C104,"Moved to the same envelope","")))))))))</f>
        <v/>
      </c>
      <c r="H104" s="1">
        <f>IF(ISNUMBER(B104),INT(B104),0)</f>
        <v/>
      </c>
      <c r="I104">
        <f>IF(AND(H104&gt;0,ISNUMBER(D104),COUNTIF(Envelopes!$B$6:$B$21,C104)&gt;0,F104=""),1,0)</f>
        <v/>
      </c>
      <c r="J104">
        <f>IF(AND(H104&gt;0,ISNUMBER(D104),COUNTIF(Envelopes!$B$6:$B$21,C104)&gt;0,F104&lt;&gt;"",COUNTIF(Envelopes!$B$6:$B$21,F104)&gt;0),1,0)</f>
        <v/>
      </c>
      <c r="K104">
        <f>IF(I104=1,H104*10000+ROW(),"")</f>
        <v/>
      </c>
    </row>
    <row r="105">
      <c r="A105" s="1" t="n"/>
      <c r="B105" s="21" t="n">
        <v>46095</v>
      </c>
      <c r="C105" s="23" t="inlineStr">
        <is>
          <t>Fun money</t>
        </is>
      </c>
      <c r="D105" s="22" t="n">
        <v>29.45</v>
      </c>
      <c r="E105" s="24" t="inlineStr">
        <is>
          <t>Cinema</t>
        </is>
      </c>
      <c r="F105" s="25" t="n"/>
      <c r="G105" s="18">
        <f>IF(AND(C105="",D105=""),"",IF(NOT(ISNUMBER(B105)),"Needs a date",IF(NOT(ISNUMBER(D105)),"Needs the amount",IF(C105="","Needs an envelope",IF(COUNTIF(Envelopes!$B$6:$B$21,C105)=0,"Not on Envelopes",IF(F105="",IF(D105=0,"Needs the amount",""),IF(COUNTIF(Envelopes!$B$6:$B$21,F105)=0,"Moved to: not on Envelopes",IF(D105&lt;=0,"A move needs an amount",IF(F105=C105,"Moved to the same envelope","")))))))))</f>
        <v/>
      </c>
      <c r="H105" s="1">
        <f>IF(ISNUMBER(B105),INT(B105),0)</f>
        <v/>
      </c>
      <c r="I105">
        <f>IF(AND(H105&gt;0,ISNUMBER(D105),COUNTIF(Envelopes!$B$6:$B$21,C105)&gt;0,F105=""),1,0)</f>
        <v/>
      </c>
      <c r="J105">
        <f>IF(AND(H105&gt;0,ISNUMBER(D105),COUNTIF(Envelopes!$B$6:$B$21,C105)&gt;0,F105&lt;&gt;"",COUNTIF(Envelopes!$B$6:$B$21,F105)&gt;0),1,0)</f>
        <v/>
      </c>
      <c r="K105">
        <f>IF(I105=1,H105*10000+ROW(),"")</f>
        <v/>
      </c>
    </row>
    <row r="106">
      <c r="A106" s="1" t="n"/>
      <c r="B106" s="21" t="n">
        <v>46095</v>
      </c>
      <c r="C106" s="23" t="inlineStr">
        <is>
          <t>Kids</t>
        </is>
      </c>
      <c r="D106" s="22" t="n">
        <v>34</v>
      </c>
      <c r="E106" s="24" t="inlineStr">
        <is>
          <t>Art supplies</t>
        </is>
      </c>
      <c r="F106" s="25" t="n"/>
      <c r="G106" s="18">
        <f>IF(AND(C106="",D106=""),"",IF(NOT(ISNUMBER(B106)),"Needs a date",IF(NOT(ISNUMBER(D106)),"Needs the amount",IF(C106="","Needs an envelope",IF(COUNTIF(Envelopes!$B$6:$B$21,C106)=0,"Not on Envelopes",IF(F106="",IF(D106=0,"Needs the amount",""),IF(COUNTIF(Envelopes!$B$6:$B$21,F106)=0,"Moved to: not on Envelopes",IF(D106&lt;=0,"A move needs an amount",IF(F106=C106,"Moved to the same envelope","")))))))))</f>
        <v/>
      </c>
      <c r="H106" s="1">
        <f>IF(ISNUMBER(B106),INT(B106),0)</f>
        <v/>
      </c>
      <c r="I106">
        <f>IF(AND(H106&gt;0,ISNUMBER(D106),COUNTIF(Envelopes!$B$6:$B$21,C106)&gt;0,F106=""),1,0)</f>
        <v/>
      </c>
      <c r="J106">
        <f>IF(AND(H106&gt;0,ISNUMBER(D106),COUNTIF(Envelopes!$B$6:$B$21,C106)&gt;0,F106&lt;&gt;"",COUNTIF(Envelopes!$B$6:$B$21,F106)&gt;0),1,0)</f>
        <v/>
      </c>
      <c r="K106">
        <f>IF(I106=1,H106*10000+ROW(),"")</f>
        <v/>
      </c>
    </row>
    <row r="107">
      <c r="A107" s="1" t="n"/>
      <c r="B107" s="21" t="n">
        <v>46095</v>
      </c>
      <c r="C107" s="23" t="inlineStr">
        <is>
          <t>Birthdays</t>
        </is>
      </c>
      <c r="D107" s="22" t="n">
        <v>60</v>
      </c>
      <c r="E107" s="24" t="inlineStr">
        <is>
          <t>Birthday present</t>
        </is>
      </c>
      <c r="F107" s="25" t="n"/>
      <c r="G107" s="18">
        <f>IF(AND(C107="",D107=""),"",IF(NOT(ISNUMBER(B107)),"Needs a date",IF(NOT(ISNUMBER(D107)),"Needs the amount",IF(C107="","Needs an envelope",IF(COUNTIF(Envelopes!$B$6:$B$21,C107)=0,"Not on Envelopes",IF(F107="",IF(D107=0,"Needs the amount",""),IF(COUNTIF(Envelopes!$B$6:$B$21,F107)=0,"Moved to: not on Envelopes",IF(D107&lt;=0,"A move needs an amount",IF(F107=C107,"Moved to the same envelope","")))))))))</f>
        <v/>
      </c>
      <c r="H107" s="1">
        <f>IF(ISNUMBER(B107),INT(B107),0)</f>
        <v/>
      </c>
      <c r="I107">
        <f>IF(AND(H107&gt;0,ISNUMBER(D107),COUNTIF(Envelopes!$B$6:$B$21,C107)&gt;0,F107=""),1,0)</f>
        <v/>
      </c>
      <c r="J107">
        <f>IF(AND(H107&gt;0,ISNUMBER(D107),COUNTIF(Envelopes!$B$6:$B$21,C107)&gt;0,F107&lt;&gt;"",COUNTIF(Envelopes!$B$6:$B$21,F107)&gt;0),1,0)</f>
        <v/>
      </c>
      <c r="K107">
        <f>IF(I107=1,H107*10000+ROW(),"")</f>
        <v/>
      </c>
    </row>
    <row r="108">
      <c r="A108" s="1" t="n"/>
      <c r="B108" s="21" t="n">
        <v>46097</v>
      </c>
      <c r="C108" s="23" t="inlineStr">
        <is>
          <t>Groceries</t>
        </is>
      </c>
      <c r="D108" s="22" t="n">
        <v>65.95</v>
      </c>
      <c r="E108" s="24" t="inlineStr">
        <is>
          <t>Farmers market</t>
        </is>
      </c>
      <c r="F108" s="25" t="n"/>
      <c r="G108" s="18">
        <f>IF(AND(C108="",D108=""),"",IF(NOT(ISNUMBER(B108)),"Needs a date",IF(NOT(ISNUMBER(D108)),"Needs the amount",IF(C108="","Needs an envelope",IF(COUNTIF(Envelopes!$B$6:$B$21,C108)=0,"Not on Envelopes",IF(F108="",IF(D108=0,"Needs the amount",""),IF(COUNTIF(Envelopes!$B$6:$B$21,F108)=0,"Moved to: not on Envelopes",IF(D108&lt;=0,"A move needs an amount",IF(F108=C108,"Moved to the same envelope","")))))))))</f>
        <v/>
      </c>
      <c r="H108" s="1">
        <f>IF(ISNUMBER(B108),INT(B108),0)</f>
        <v/>
      </c>
      <c r="I108">
        <f>IF(AND(H108&gt;0,ISNUMBER(D108),COUNTIF(Envelopes!$B$6:$B$21,C108)&gt;0,F108=""),1,0)</f>
        <v/>
      </c>
      <c r="J108">
        <f>IF(AND(H108&gt;0,ISNUMBER(D108),COUNTIF(Envelopes!$B$6:$B$21,C108)&gt;0,F108&lt;&gt;"",COUNTIF(Envelopes!$B$6:$B$21,F108)&gt;0),1,0)</f>
        <v/>
      </c>
      <c r="K108">
        <f>IF(I108=1,H108*10000+ROW(),"")</f>
        <v/>
      </c>
    </row>
    <row r="109">
      <c r="A109" s="1" t="n"/>
      <c r="B109" s="21" t="n">
        <v>46097</v>
      </c>
      <c r="C109" s="23" t="inlineStr">
        <is>
          <t>Household</t>
        </is>
      </c>
      <c r="D109" s="22" t="n">
        <v>27.11</v>
      </c>
      <c r="E109" s="24" t="inlineStr">
        <is>
          <t>Cleaning things</t>
        </is>
      </c>
      <c r="F109" s="25" t="n"/>
      <c r="G109" s="18">
        <f>IF(AND(C109="",D109=""),"",IF(NOT(ISNUMBER(B109)),"Needs a date",IF(NOT(ISNUMBER(D109)),"Needs the amount",IF(C109="","Needs an envelope",IF(COUNTIF(Envelopes!$B$6:$B$21,C109)=0,"Not on Envelopes",IF(F109="",IF(D109=0,"Needs the amount",""),IF(COUNTIF(Envelopes!$B$6:$B$21,F109)=0,"Moved to: not on Envelopes",IF(D109&lt;=0,"A move needs an amount",IF(F109=C109,"Moved to the same envelope","")))))))))</f>
        <v/>
      </c>
      <c r="H109" s="1">
        <f>IF(ISNUMBER(B109),INT(B109),0)</f>
        <v/>
      </c>
      <c r="I109">
        <f>IF(AND(H109&gt;0,ISNUMBER(D109),COUNTIF(Envelopes!$B$6:$B$21,C109)&gt;0,F109=""),1,0)</f>
        <v/>
      </c>
      <c r="J109">
        <f>IF(AND(H109&gt;0,ISNUMBER(D109),COUNTIF(Envelopes!$B$6:$B$21,C109)&gt;0,F109&lt;&gt;"",COUNTIF(Envelopes!$B$6:$B$21,F109)&gt;0),1,0)</f>
        <v/>
      </c>
      <c r="K109">
        <f>IF(I109=1,H109*10000+ROW(),"")</f>
        <v/>
      </c>
    </row>
    <row r="110">
      <c r="A110" s="1" t="n"/>
      <c r="B110" s="21" t="n">
        <v>46098</v>
      </c>
      <c r="C110" s="23" t="inlineStr">
        <is>
          <t>Eating out</t>
        </is>
      </c>
      <c r="D110" s="22" t="n">
        <v>22.65</v>
      </c>
      <c r="E110" s="24" t="inlineStr">
        <is>
          <t>Pizza night</t>
        </is>
      </c>
      <c r="F110" s="25" t="n"/>
      <c r="G110" s="18">
        <f>IF(AND(C110="",D110=""),"",IF(NOT(ISNUMBER(B110)),"Needs a date",IF(NOT(ISNUMBER(D110)),"Needs the amount",IF(C110="","Needs an envelope",IF(COUNTIF(Envelopes!$B$6:$B$21,C110)=0,"Not on Envelopes",IF(F110="",IF(D110=0,"Needs the amount",""),IF(COUNTIF(Envelopes!$B$6:$B$21,F110)=0,"Moved to: not on Envelopes",IF(D110&lt;=0,"A move needs an amount",IF(F110=C110,"Moved to the same envelope","")))))))))</f>
        <v/>
      </c>
      <c r="H110" s="1">
        <f>IF(ISNUMBER(B110),INT(B110),0)</f>
        <v/>
      </c>
      <c r="I110">
        <f>IF(AND(H110&gt;0,ISNUMBER(D110),COUNTIF(Envelopes!$B$6:$B$21,C110)&gt;0,F110=""),1,0)</f>
        <v/>
      </c>
      <c r="J110">
        <f>IF(AND(H110&gt;0,ISNUMBER(D110),COUNTIF(Envelopes!$B$6:$B$21,C110)&gt;0,F110&lt;&gt;"",COUNTIF(Envelopes!$B$6:$B$21,F110)&gt;0),1,0)</f>
        <v/>
      </c>
      <c r="K110">
        <f>IF(I110=1,H110*10000+ROW(),"")</f>
        <v/>
      </c>
    </row>
    <row r="111">
      <c r="A111" s="1" t="n"/>
      <c r="B111" s="21" t="n">
        <v>46100</v>
      </c>
      <c r="C111" s="23" t="inlineStr">
        <is>
          <t>Gas</t>
        </is>
      </c>
      <c r="D111" s="22" t="n">
        <v>43.71</v>
      </c>
      <c r="E111" s="24" t="inlineStr">
        <is>
          <t>Gas station</t>
        </is>
      </c>
      <c r="F111" s="25" t="n"/>
      <c r="G111" s="18">
        <f>IF(AND(C111="",D111=""),"",IF(NOT(ISNUMBER(B111)),"Needs a date",IF(NOT(ISNUMBER(D111)),"Needs the amount",IF(C111="","Needs an envelope",IF(COUNTIF(Envelopes!$B$6:$B$21,C111)=0,"Not on Envelopes",IF(F111="",IF(D111=0,"Needs the amount",""),IF(COUNTIF(Envelopes!$B$6:$B$21,F111)=0,"Moved to: not on Envelopes",IF(D111&lt;=0,"A move needs an amount",IF(F111=C111,"Moved to the same envelope","")))))))))</f>
        <v/>
      </c>
      <c r="H111" s="1">
        <f>IF(ISNUMBER(B111),INT(B111),0)</f>
        <v/>
      </c>
      <c r="I111">
        <f>IF(AND(H111&gt;0,ISNUMBER(D111),COUNTIF(Envelopes!$B$6:$B$21,C111)&gt;0,F111=""),1,0)</f>
        <v/>
      </c>
      <c r="J111">
        <f>IF(AND(H111&gt;0,ISNUMBER(D111),COUNTIF(Envelopes!$B$6:$B$21,C111)&gt;0,F111&lt;&gt;"",COUNTIF(Envelopes!$B$6:$B$21,F111)&gt;0),1,0)</f>
        <v/>
      </c>
      <c r="K111">
        <f>IF(I111=1,H111*10000+ROW(),"")</f>
        <v/>
      </c>
    </row>
    <row r="112">
      <c r="A112" s="1" t="n"/>
      <c r="B112" s="21" t="n">
        <v>46100</v>
      </c>
      <c r="C112" s="23" t="inlineStr">
        <is>
          <t>Eating out</t>
        </is>
      </c>
      <c r="D112" s="22" t="n">
        <v>6.85</v>
      </c>
      <c r="E112" s="24" t="inlineStr">
        <is>
          <t>Leftover to savings</t>
        </is>
      </c>
      <c r="F112" s="25" t="inlineStr">
        <is>
          <t>Emergency fund</t>
        </is>
      </c>
      <c r="G112" s="18">
        <f>IF(AND(C112="",D112=""),"",IF(NOT(ISNUMBER(B112)),"Needs a date",IF(NOT(ISNUMBER(D112)),"Needs the amount",IF(C112="","Needs an envelope",IF(COUNTIF(Envelopes!$B$6:$B$21,C112)=0,"Not on Envelopes",IF(F112="",IF(D112=0,"Needs the amount",""),IF(COUNTIF(Envelopes!$B$6:$B$21,F112)=0,"Moved to: not on Envelopes",IF(D112&lt;=0,"A move needs an amount",IF(F112=C112,"Moved to the same envelope","")))))))))</f>
        <v/>
      </c>
      <c r="H112" s="1">
        <f>IF(ISNUMBER(B112),INT(B112),0)</f>
        <v/>
      </c>
      <c r="I112">
        <f>IF(AND(H112&gt;0,ISNUMBER(D112),COUNTIF(Envelopes!$B$6:$B$21,C112)&gt;0,F112=""),1,0)</f>
        <v/>
      </c>
      <c r="J112">
        <f>IF(AND(H112&gt;0,ISNUMBER(D112),COUNTIF(Envelopes!$B$6:$B$21,C112)&gt;0,F112&lt;&gt;"",COUNTIF(Envelopes!$B$6:$B$21,F112)&gt;0),1,0)</f>
        <v/>
      </c>
      <c r="K112">
        <f>IF(I112=1,H112*10000+ROW(),"")</f>
        <v/>
      </c>
    </row>
    <row r="113">
      <c r="A113" s="1" t="n"/>
      <c r="B113" s="21" t="n">
        <v>46100</v>
      </c>
      <c r="C113" s="23" t="inlineStr">
        <is>
          <t>Fun money</t>
        </is>
      </c>
      <c r="D113" s="22" t="n">
        <v>8.01</v>
      </c>
      <c r="E113" s="24" t="inlineStr">
        <is>
          <t>Leftover to savings</t>
        </is>
      </c>
      <c r="F113" s="25" t="inlineStr">
        <is>
          <t>Emergency fund</t>
        </is>
      </c>
      <c r="G113" s="18">
        <f>IF(AND(C113="",D113=""),"",IF(NOT(ISNUMBER(B113)),"Needs a date",IF(NOT(ISNUMBER(D113)),"Needs the amount",IF(C113="","Needs an envelope",IF(COUNTIF(Envelopes!$B$6:$B$21,C113)=0,"Not on Envelopes",IF(F113="",IF(D113=0,"Needs the amount",""),IF(COUNTIF(Envelopes!$B$6:$B$21,F113)=0,"Moved to: not on Envelopes",IF(D113&lt;=0,"A move needs an amount",IF(F113=C113,"Moved to the same envelope","")))))))))</f>
        <v/>
      </c>
      <c r="H113" s="1">
        <f>IF(ISNUMBER(B113),INT(B113),0)</f>
        <v/>
      </c>
      <c r="I113">
        <f>IF(AND(H113&gt;0,ISNUMBER(D113),COUNTIF(Envelopes!$B$6:$B$21,C113)&gt;0,F113=""),1,0)</f>
        <v/>
      </c>
      <c r="J113">
        <f>IF(AND(H113&gt;0,ISNUMBER(D113),COUNTIF(Envelopes!$B$6:$B$21,C113)&gt;0,F113&lt;&gt;"",COUNTIF(Envelopes!$B$6:$B$21,F113)&gt;0),1,0)</f>
        <v/>
      </c>
      <c r="K113">
        <f>IF(I113=1,H113*10000+ROW(),"")</f>
        <v/>
      </c>
    </row>
    <row r="114">
      <c r="A114" s="1" t="n"/>
      <c r="B114" s="21" t="n">
        <v>46102</v>
      </c>
      <c r="C114" s="23" t="inlineStr">
        <is>
          <t>Fun money</t>
        </is>
      </c>
      <c r="D114" s="22" t="n">
        <v>23.78</v>
      </c>
      <c r="E114" s="24" t="inlineStr">
        <is>
          <t>Bowling</t>
        </is>
      </c>
      <c r="F114" s="25" t="n"/>
      <c r="G114" s="18">
        <f>IF(AND(C114="",D114=""),"",IF(NOT(ISNUMBER(B114)),"Needs a date",IF(NOT(ISNUMBER(D114)),"Needs the amount",IF(C114="","Needs an envelope",IF(COUNTIF(Envelopes!$B$6:$B$21,C114)=0,"Not on Envelopes",IF(F114="",IF(D114=0,"Needs the amount",""),IF(COUNTIF(Envelopes!$B$6:$B$21,F114)=0,"Moved to: not on Envelopes",IF(D114&lt;=0,"A move needs an amount",IF(F114=C114,"Moved to the same envelope","")))))))))</f>
        <v/>
      </c>
      <c r="H114" s="1">
        <f>IF(ISNUMBER(B114),INT(B114),0)</f>
        <v/>
      </c>
      <c r="I114">
        <f>IF(AND(H114&gt;0,ISNUMBER(D114),COUNTIF(Envelopes!$B$6:$B$21,C114)&gt;0,F114=""),1,0)</f>
        <v/>
      </c>
      <c r="J114">
        <f>IF(AND(H114&gt;0,ISNUMBER(D114),COUNTIF(Envelopes!$B$6:$B$21,C114)&gt;0,F114&lt;&gt;"",COUNTIF(Envelopes!$B$6:$B$21,F114)&gt;0),1,0)</f>
        <v/>
      </c>
      <c r="K114">
        <f>IF(I114=1,H114*10000+ROW(),"")</f>
        <v/>
      </c>
    </row>
    <row r="115">
      <c r="A115" s="1" t="n"/>
      <c r="B115" s="21" t="n">
        <v>46104</v>
      </c>
      <c r="C115" s="23" t="inlineStr">
        <is>
          <t>Groceries</t>
        </is>
      </c>
      <c r="D115" s="22" t="n">
        <v>71.58</v>
      </c>
      <c r="E115" s="24" t="inlineStr">
        <is>
          <t>Supermarket</t>
        </is>
      </c>
      <c r="F115" s="25" t="n"/>
      <c r="G115" s="18">
        <f>IF(AND(C115="",D115=""),"",IF(NOT(ISNUMBER(B115)),"Needs a date",IF(NOT(ISNUMBER(D115)),"Needs the amount",IF(C115="","Needs an envelope",IF(COUNTIF(Envelopes!$B$6:$B$21,C115)=0,"Not on Envelopes",IF(F115="",IF(D115=0,"Needs the amount",""),IF(COUNTIF(Envelopes!$B$6:$B$21,F115)=0,"Moved to: not on Envelopes",IF(D115&lt;=0,"A move needs an amount",IF(F115=C115,"Moved to the same envelope","")))))))))</f>
        <v/>
      </c>
      <c r="H115" s="1">
        <f>IF(ISNUMBER(B115),INT(B115),0)</f>
        <v/>
      </c>
      <c r="I115">
        <f>IF(AND(H115&gt;0,ISNUMBER(D115),COUNTIF(Envelopes!$B$6:$B$21,C115)&gt;0,F115=""),1,0)</f>
        <v/>
      </c>
      <c r="J115">
        <f>IF(AND(H115&gt;0,ISNUMBER(D115),COUNTIF(Envelopes!$B$6:$B$21,C115)&gt;0,F115&lt;&gt;"",COUNTIF(Envelopes!$B$6:$B$21,F115)&gt;0),1,0)</f>
        <v/>
      </c>
      <c r="K115">
        <f>IF(I115=1,H115*10000+ROW(),"")</f>
        <v/>
      </c>
    </row>
    <row r="116">
      <c r="A116" s="1" t="n"/>
      <c r="B116" s="21" t="n">
        <v>46104</v>
      </c>
      <c r="C116" s="23" t="inlineStr">
        <is>
          <t>Household</t>
        </is>
      </c>
      <c r="D116" s="22" t="n">
        <v>29.95</v>
      </c>
      <c r="E116" s="24" t="inlineStr">
        <is>
          <t>Cleaning things</t>
        </is>
      </c>
      <c r="F116" s="25" t="n"/>
      <c r="G116" s="18">
        <f>IF(AND(C116="",D116=""),"",IF(NOT(ISNUMBER(B116)),"Needs a date",IF(NOT(ISNUMBER(D116)),"Needs the amount",IF(C116="","Needs an envelope",IF(COUNTIF(Envelopes!$B$6:$B$21,C116)=0,"Not on Envelopes",IF(F116="",IF(D116=0,"Needs the amount",""),IF(COUNTIF(Envelopes!$B$6:$B$21,F116)=0,"Moved to: not on Envelopes",IF(D116&lt;=0,"A move needs an amount",IF(F116=C116,"Moved to the same envelope","")))))))))</f>
        <v/>
      </c>
      <c r="H116" s="1">
        <f>IF(ISNUMBER(B116),INT(B116),0)</f>
        <v/>
      </c>
      <c r="I116">
        <f>IF(AND(H116&gt;0,ISNUMBER(D116),COUNTIF(Envelopes!$B$6:$B$21,C116)&gt;0,F116=""),1,0)</f>
        <v/>
      </c>
      <c r="J116">
        <f>IF(AND(H116&gt;0,ISNUMBER(D116),COUNTIF(Envelopes!$B$6:$B$21,C116)&gt;0,F116&lt;&gt;"",COUNTIF(Envelopes!$B$6:$B$21,F116)&gt;0),1,0)</f>
        <v/>
      </c>
      <c r="K116">
        <f>IF(I116=1,H116*10000+ROW(),"")</f>
        <v/>
      </c>
    </row>
    <row r="117">
      <c r="A117" s="1" t="n"/>
      <c r="B117" s="21" t="n">
        <v>46105</v>
      </c>
      <c r="C117" s="23" t="inlineStr">
        <is>
          <t>Groceries</t>
        </is>
      </c>
      <c r="D117" s="22" t="n">
        <v>26.91</v>
      </c>
      <c r="E117" s="24" t="inlineStr">
        <is>
          <t>Corner shop</t>
        </is>
      </c>
      <c r="F117" s="25" t="n"/>
      <c r="G117" s="18">
        <f>IF(AND(C117="",D117=""),"",IF(NOT(ISNUMBER(B117)),"Needs a date",IF(NOT(ISNUMBER(D117)),"Needs the amount",IF(C117="","Needs an envelope",IF(COUNTIF(Envelopes!$B$6:$B$21,C117)=0,"Not on Envelopes",IF(F117="",IF(D117=0,"Needs the amount",""),IF(COUNTIF(Envelopes!$B$6:$B$21,F117)=0,"Moved to: not on Envelopes",IF(D117&lt;=0,"A move needs an amount",IF(F117=C117,"Moved to the same envelope","")))))))))</f>
        <v/>
      </c>
      <c r="H117" s="1">
        <f>IF(ISNUMBER(B117),INT(B117),0)</f>
        <v/>
      </c>
      <c r="I117">
        <f>IF(AND(H117&gt;0,ISNUMBER(D117),COUNTIF(Envelopes!$B$6:$B$21,C117)&gt;0,F117=""),1,0)</f>
        <v/>
      </c>
      <c r="J117">
        <f>IF(AND(H117&gt;0,ISNUMBER(D117),COUNTIF(Envelopes!$B$6:$B$21,C117)&gt;0,F117&lt;&gt;"",COUNTIF(Envelopes!$B$6:$B$21,F117)&gt;0),1,0)</f>
        <v/>
      </c>
      <c r="K117">
        <f>IF(I117=1,H117*10000+ROW(),"")</f>
        <v/>
      </c>
    </row>
    <row r="118">
      <c r="A118" s="1" t="n"/>
      <c r="B118" s="21" t="n">
        <v>46106</v>
      </c>
      <c r="C118" s="23" t="inlineStr">
        <is>
          <t>Gas</t>
        </is>
      </c>
      <c r="D118" s="22" t="n">
        <v>21.01</v>
      </c>
      <c r="E118" s="24" t="inlineStr">
        <is>
          <t>Gas station</t>
        </is>
      </c>
      <c r="F118" s="25" t="n"/>
      <c r="G118" s="18">
        <f>IF(AND(C118="",D118=""),"",IF(NOT(ISNUMBER(B118)),"Needs a date",IF(NOT(ISNUMBER(D118)),"Needs the amount",IF(C118="","Needs an envelope",IF(COUNTIF(Envelopes!$B$6:$B$21,C118)=0,"Not on Envelopes",IF(F118="",IF(D118=0,"Needs the amount",""),IF(COUNTIF(Envelopes!$B$6:$B$21,F118)=0,"Moved to: not on Envelopes",IF(D118&lt;=0,"A move needs an amount",IF(F118=C118,"Moved to the same envelope","")))))))))</f>
        <v/>
      </c>
      <c r="H118" s="1">
        <f>IF(ISNUMBER(B118),INT(B118),0)</f>
        <v/>
      </c>
      <c r="I118">
        <f>IF(AND(H118&gt;0,ISNUMBER(D118),COUNTIF(Envelopes!$B$6:$B$21,C118)&gt;0,F118=""),1,0)</f>
        <v/>
      </c>
      <c r="J118">
        <f>IF(AND(H118&gt;0,ISNUMBER(D118),COUNTIF(Envelopes!$B$6:$B$21,C118)&gt;0,F118&lt;&gt;"",COUNTIF(Envelopes!$B$6:$B$21,F118)&gt;0),1,0)</f>
        <v/>
      </c>
      <c r="K118">
        <f>IF(I118=1,H118*10000+ROW(),"")</f>
        <v/>
      </c>
    </row>
    <row r="119">
      <c r="A119" s="1" t="n"/>
      <c r="B119" s="21" t="n">
        <v>46106</v>
      </c>
      <c r="C119" s="23" t="inlineStr">
        <is>
          <t>Kids</t>
        </is>
      </c>
      <c r="D119" s="22" t="n">
        <v>32.93</v>
      </c>
      <c r="E119" s="24" t="inlineStr">
        <is>
          <t>Swimming</t>
        </is>
      </c>
      <c r="F119" s="25" t="n"/>
      <c r="G119" s="18">
        <f>IF(AND(C119="",D119=""),"",IF(NOT(ISNUMBER(B119)),"Needs a date",IF(NOT(ISNUMBER(D119)),"Needs the amount",IF(C119="","Needs an envelope",IF(COUNTIF(Envelopes!$B$6:$B$21,C119)=0,"Not on Envelopes",IF(F119="",IF(D119=0,"Needs the amount",""),IF(COUNTIF(Envelopes!$B$6:$B$21,F119)=0,"Moved to: not on Envelopes",IF(D119&lt;=0,"A move needs an amount",IF(F119=C119,"Moved to the same envelope","")))))))))</f>
        <v/>
      </c>
      <c r="H119" s="1">
        <f>IF(ISNUMBER(B119),INT(B119),0)</f>
        <v/>
      </c>
      <c r="I119">
        <f>IF(AND(H119&gt;0,ISNUMBER(D119),COUNTIF(Envelopes!$B$6:$B$21,C119)&gt;0,F119=""),1,0)</f>
        <v/>
      </c>
      <c r="J119">
        <f>IF(AND(H119&gt;0,ISNUMBER(D119),COUNTIF(Envelopes!$B$6:$B$21,C119)&gt;0,F119&lt;&gt;"",COUNTIF(Envelopes!$B$6:$B$21,F119)&gt;0),1,0)</f>
        <v/>
      </c>
      <c r="K119">
        <f>IF(I119=1,H119*10000+ROW(),"")</f>
        <v/>
      </c>
    </row>
    <row r="120">
      <c r="A120" s="1" t="n"/>
      <c r="B120" s="21" t="n">
        <v>46107</v>
      </c>
      <c r="C120" s="23" t="inlineStr">
        <is>
          <t>Eating out</t>
        </is>
      </c>
      <c r="D120" s="22" t="n">
        <v>25.73</v>
      </c>
      <c r="E120" s="24" t="inlineStr">
        <is>
          <t>Pizza night</t>
        </is>
      </c>
      <c r="F120" s="25" t="n"/>
      <c r="G120" s="18">
        <f>IF(AND(C120="",D120=""),"",IF(NOT(ISNUMBER(B120)),"Needs a date",IF(NOT(ISNUMBER(D120)),"Needs the amount",IF(C120="","Needs an envelope",IF(COUNTIF(Envelopes!$B$6:$B$21,C120)=0,"Not on Envelopes",IF(F120="",IF(D120=0,"Needs the amount",""),IF(COUNTIF(Envelopes!$B$6:$B$21,F120)=0,"Moved to: not on Envelopes",IF(D120&lt;=0,"A move needs an amount",IF(F120=C120,"Moved to the same envelope","")))))))))</f>
        <v/>
      </c>
      <c r="H120" s="1">
        <f>IF(ISNUMBER(B120),INT(B120),0)</f>
        <v/>
      </c>
      <c r="I120">
        <f>IF(AND(H120&gt;0,ISNUMBER(D120),COUNTIF(Envelopes!$B$6:$B$21,C120)&gt;0,F120=""),1,0)</f>
        <v/>
      </c>
      <c r="J120">
        <f>IF(AND(H120&gt;0,ISNUMBER(D120),COUNTIF(Envelopes!$B$6:$B$21,C120)&gt;0,F120&lt;&gt;"",COUNTIF(Envelopes!$B$6:$B$21,F120)&gt;0),1,0)</f>
        <v/>
      </c>
      <c r="K120">
        <f>IF(I120=1,H120*10000+ROW(),"")</f>
        <v/>
      </c>
    </row>
    <row r="121">
      <c r="A121" s="1" t="n"/>
      <c r="B121" s="21" t="n">
        <v>46111</v>
      </c>
      <c r="C121" s="23" t="inlineStr">
        <is>
          <t>Groceries</t>
        </is>
      </c>
      <c r="D121" s="22" t="n">
        <v>17.46</v>
      </c>
      <c r="E121" s="24" t="inlineStr">
        <is>
          <t>Supermarket</t>
        </is>
      </c>
      <c r="F121" s="25" t="n"/>
      <c r="G121" s="18">
        <f>IF(AND(C121="",D121=""),"",IF(NOT(ISNUMBER(B121)),"Needs a date",IF(NOT(ISNUMBER(D121)),"Needs the amount",IF(C121="","Needs an envelope",IF(COUNTIF(Envelopes!$B$6:$B$21,C121)=0,"Not on Envelopes",IF(F121="",IF(D121=0,"Needs the amount",""),IF(COUNTIF(Envelopes!$B$6:$B$21,F121)=0,"Moved to: not on Envelopes",IF(D121&lt;=0,"A move needs an amount",IF(F121=C121,"Moved to the same envelope","")))))))))</f>
        <v/>
      </c>
      <c r="H121" s="1">
        <f>IF(ISNUMBER(B121),INT(B121),0)</f>
        <v/>
      </c>
      <c r="I121">
        <f>IF(AND(H121&gt;0,ISNUMBER(D121),COUNTIF(Envelopes!$B$6:$B$21,C121)&gt;0,F121=""),1,0)</f>
        <v/>
      </c>
      <c r="J121">
        <f>IF(AND(H121&gt;0,ISNUMBER(D121),COUNTIF(Envelopes!$B$6:$B$21,C121)&gt;0,F121&lt;&gt;"",COUNTIF(Envelopes!$B$6:$B$21,F121)&gt;0),1,0)</f>
        <v/>
      </c>
      <c r="K121">
        <f>IF(I121=1,H121*10000+ROW(),"")</f>
        <v/>
      </c>
    </row>
    <row r="122">
      <c r="A122" s="1" t="n"/>
      <c r="B122" s="21" t="n">
        <v>46111</v>
      </c>
      <c r="C122" s="23" t="inlineStr">
        <is>
          <t>Groceries</t>
        </is>
      </c>
      <c r="D122" s="22" t="n">
        <v>83.79000000000001</v>
      </c>
      <c r="E122" s="24" t="inlineStr">
        <is>
          <t>Farmers market</t>
        </is>
      </c>
      <c r="F122" s="25" t="n"/>
      <c r="G122" s="18">
        <f>IF(AND(C122="",D122=""),"",IF(NOT(ISNUMBER(B122)),"Needs a date",IF(NOT(ISNUMBER(D122)),"Needs the amount",IF(C122="","Needs an envelope",IF(COUNTIF(Envelopes!$B$6:$B$21,C122)=0,"Not on Envelopes",IF(F122="",IF(D122=0,"Needs the amount",""),IF(COUNTIF(Envelopes!$B$6:$B$21,F122)=0,"Moved to: not on Envelopes",IF(D122&lt;=0,"A move needs an amount",IF(F122=C122,"Moved to the same envelope","")))))))))</f>
        <v/>
      </c>
      <c r="H122" s="1">
        <f>IF(ISNUMBER(B122),INT(B122),0)</f>
        <v/>
      </c>
      <c r="I122">
        <f>IF(AND(H122&gt;0,ISNUMBER(D122),COUNTIF(Envelopes!$B$6:$B$21,C122)&gt;0,F122=""),1,0)</f>
        <v/>
      </c>
      <c r="J122">
        <f>IF(AND(H122&gt;0,ISNUMBER(D122),COUNTIF(Envelopes!$B$6:$B$21,C122)&gt;0,F122&lt;&gt;"",COUNTIF(Envelopes!$B$6:$B$21,F122)&gt;0),1,0)</f>
        <v/>
      </c>
      <c r="K122">
        <f>IF(I122=1,H122*10000+ROW(),"")</f>
        <v/>
      </c>
    </row>
    <row r="123">
      <c r="A123" s="1" t="n"/>
      <c r="B123" s="21" t="n">
        <v>46112</v>
      </c>
      <c r="C123" s="23" t="inlineStr">
        <is>
          <t>Gas</t>
        </is>
      </c>
      <c r="D123" s="22" t="n">
        <v>37.81</v>
      </c>
      <c r="E123" s="24" t="inlineStr">
        <is>
          <t>Gas station</t>
        </is>
      </c>
      <c r="F123" s="25" t="n"/>
      <c r="G123" s="18">
        <f>IF(AND(C123="",D123=""),"",IF(NOT(ISNUMBER(B123)),"Needs a date",IF(NOT(ISNUMBER(D123)),"Needs the amount",IF(C123="","Needs an envelope",IF(COUNTIF(Envelopes!$B$6:$B$21,C123)=0,"Not on Envelopes",IF(F123="",IF(D123=0,"Needs the amount",""),IF(COUNTIF(Envelopes!$B$6:$B$21,F123)=0,"Moved to: not on Envelopes",IF(D123&lt;=0,"A move needs an amount",IF(F123=C123,"Moved to the same envelope","")))))))))</f>
        <v/>
      </c>
      <c r="H123" s="1">
        <f>IF(ISNUMBER(B123),INT(B123),0)</f>
        <v/>
      </c>
      <c r="I123">
        <f>IF(AND(H123&gt;0,ISNUMBER(D123),COUNTIF(Envelopes!$B$6:$B$21,C123)&gt;0,F123=""),1,0)</f>
        <v/>
      </c>
      <c r="J123">
        <f>IF(AND(H123&gt;0,ISNUMBER(D123),COUNTIF(Envelopes!$B$6:$B$21,C123)&gt;0,F123&lt;&gt;"",COUNTIF(Envelopes!$B$6:$B$21,F123)&gt;0),1,0)</f>
        <v/>
      </c>
      <c r="K123">
        <f>IF(I123=1,H123*10000+ROW(),"")</f>
        <v/>
      </c>
    </row>
    <row r="124">
      <c r="A124" s="1" t="n"/>
      <c r="B124" s="21" t="n">
        <v>46112</v>
      </c>
      <c r="C124" s="23" t="inlineStr">
        <is>
          <t>Personal care</t>
        </is>
      </c>
      <c r="D124" s="22" t="n">
        <v>25.15</v>
      </c>
      <c r="E124" s="24" t="inlineStr">
        <is>
          <t>Haircut</t>
        </is>
      </c>
      <c r="F124" s="25" t="n"/>
      <c r="G124" s="18">
        <f>IF(AND(C124="",D124=""),"",IF(NOT(ISNUMBER(B124)),"Needs a date",IF(NOT(ISNUMBER(D124)),"Needs the amount",IF(C124="","Needs an envelope",IF(COUNTIF(Envelopes!$B$6:$B$21,C124)=0,"Not on Envelopes",IF(F124="",IF(D124=0,"Needs the amount",""),IF(COUNTIF(Envelopes!$B$6:$B$21,F124)=0,"Moved to: not on Envelopes",IF(D124&lt;=0,"A move needs an amount",IF(F124=C124,"Moved to the same envelope","")))))))))</f>
        <v/>
      </c>
      <c r="H124" s="1">
        <f>IF(ISNUMBER(B124),INT(B124),0)</f>
        <v/>
      </c>
      <c r="I124">
        <f>IF(AND(H124&gt;0,ISNUMBER(D124),COUNTIF(Envelopes!$B$6:$B$21,C124)&gt;0,F124=""),1,0)</f>
        <v/>
      </c>
      <c r="J124">
        <f>IF(AND(H124&gt;0,ISNUMBER(D124),COUNTIF(Envelopes!$B$6:$B$21,C124)&gt;0,F124&lt;&gt;"",COUNTIF(Envelopes!$B$6:$B$21,F124)&gt;0),1,0)</f>
        <v/>
      </c>
      <c r="K124">
        <f>IF(I124=1,H124*10000+ROW(),"")</f>
        <v/>
      </c>
    </row>
    <row r="125">
      <c r="A125" s="1" t="n"/>
      <c r="B125" s="21" t="n">
        <v>46113</v>
      </c>
      <c r="C125" s="23" t="inlineStr">
        <is>
          <t>Eating out</t>
        </is>
      </c>
      <c r="D125" s="22" t="n">
        <v>9.52</v>
      </c>
      <c r="E125" s="24" t="inlineStr">
        <is>
          <t>Lunch out</t>
        </is>
      </c>
      <c r="F125" s="25" t="n"/>
      <c r="G125" s="18">
        <f>IF(AND(C125="",D125=""),"",IF(NOT(ISNUMBER(B125)),"Needs a date",IF(NOT(ISNUMBER(D125)),"Needs the amount",IF(C125="","Needs an envelope",IF(COUNTIF(Envelopes!$B$6:$B$21,C125)=0,"Not on Envelopes",IF(F125="",IF(D125=0,"Needs the amount",""),IF(COUNTIF(Envelopes!$B$6:$B$21,F125)=0,"Moved to: not on Envelopes",IF(D125&lt;=0,"A move needs an amount",IF(F125=C125,"Moved to the same envelope","")))))))))</f>
        <v/>
      </c>
      <c r="H125" s="1">
        <f>IF(ISNUMBER(B125),INT(B125),0)</f>
        <v/>
      </c>
      <c r="I125">
        <f>IF(AND(H125&gt;0,ISNUMBER(D125),COUNTIF(Envelopes!$B$6:$B$21,C125)&gt;0,F125=""),1,0)</f>
        <v/>
      </c>
      <c r="J125">
        <f>IF(AND(H125&gt;0,ISNUMBER(D125),COUNTIF(Envelopes!$B$6:$B$21,C125)&gt;0,F125&lt;&gt;"",COUNTIF(Envelopes!$B$6:$B$21,F125)&gt;0),1,0)</f>
        <v/>
      </c>
      <c r="K125">
        <f>IF(I125=1,H125*10000+ROW(),"")</f>
        <v/>
      </c>
    </row>
    <row r="126">
      <c r="A126" s="1" t="n"/>
      <c r="B126" s="21" t="n">
        <v>46116</v>
      </c>
      <c r="C126" s="23" t="inlineStr">
        <is>
          <t>Groceries</t>
        </is>
      </c>
      <c r="D126" s="22" t="n">
        <v>54.46</v>
      </c>
      <c r="E126" s="24" t="inlineStr">
        <is>
          <t>Farmers market</t>
        </is>
      </c>
      <c r="F126" s="25" t="n"/>
      <c r="G126" s="18">
        <f>IF(AND(C126="",D126=""),"",IF(NOT(ISNUMBER(B126)),"Needs a date",IF(NOT(ISNUMBER(D126)),"Needs the amount",IF(C126="","Needs an envelope",IF(COUNTIF(Envelopes!$B$6:$B$21,C126)=0,"Not on Envelopes",IF(F126="",IF(D126=0,"Needs the amount",""),IF(COUNTIF(Envelopes!$B$6:$B$21,F126)=0,"Moved to: not on Envelopes",IF(D126&lt;=0,"A move needs an amount",IF(F126=C126,"Moved to the same envelope","")))))))))</f>
        <v/>
      </c>
      <c r="H126" s="1">
        <f>IF(ISNUMBER(B126),INT(B126),0)</f>
        <v/>
      </c>
      <c r="I126">
        <f>IF(AND(H126&gt;0,ISNUMBER(D126),COUNTIF(Envelopes!$B$6:$B$21,C126)&gt;0,F126=""),1,0)</f>
        <v/>
      </c>
      <c r="J126">
        <f>IF(AND(H126&gt;0,ISNUMBER(D126),COUNTIF(Envelopes!$B$6:$B$21,C126)&gt;0,F126&lt;&gt;"",COUNTIF(Envelopes!$B$6:$B$21,F126)&gt;0),1,0)</f>
        <v/>
      </c>
      <c r="K126">
        <f>IF(I126=1,H126*10000+ROW(),"")</f>
        <v/>
      </c>
    </row>
    <row r="127">
      <c r="A127" s="1" t="n"/>
      <c r="B127" s="21" t="n">
        <v>46119</v>
      </c>
      <c r="C127" s="23" t="inlineStr">
        <is>
          <t>Eating out</t>
        </is>
      </c>
      <c r="D127" s="22" t="n">
        <v>8.24</v>
      </c>
      <c r="E127" s="24" t="inlineStr">
        <is>
          <t>Lunch out</t>
        </is>
      </c>
      <c r="F127" s="25" t="n"/>
      <c r="G127" s="18">
        <f>IF(AND(C127="",D127=""),"",IF(NOT(ISNUMBER(B127)),"Needs a date",IF(NOT(ISNUMBER(D127)),"Needs the amount",IF(C127="","Needs an envelope",IF(COUNTIF(Envelopes!$B$6:$B$21,C127)=0,"Not on Envelopes",IF(F127="",IF(D127=0,"Needs the amount",""),IF(COUNTIF(Envelopes!$B$6:$B$21,F127)=0,"Moved to: not on Envelopes",IF(D127&lt;=0,"A move needs an amount",IF(F127=C127,"Moved to the same envelope","")))))))))</f>
        <v/>
      </c>
      <c r="H127" s="1">
        <f>IF(ISNUMBER(B127),INT(B127),0)</f>
        <v/>
      </c>
      <c r="I127">
        <f>IF(AND(H127&gt;0,ISNUMBER(D127),COUNTIF(Envelopes!$B$6:$B$21,C127)&gt;0,F127=""),1,0)</f>
        <v/>
      </c>
      <c r="J127">
        <f>IF(AND(H127&gt;0,ISNUMBER(D127),COUNTIF(Envelopes!$B$6:$B$21,C127)&gt;0,F127&lt;&gt;"",COUNTIF(Envelopes!$B$6:$B$21,F127)&gt;0),1,0)</f>
        <v/>
      </c>
      <c r="K127">
        <f>IF(I127=1,H127*10000+ROW(),"")</f>
        <v/>
      </c>
    </row>
    <row r="128">
      <c r="A128" s="1" t="n"/>
      <c r="B128" s="21" t="n">
        <v>46121</v>
      </c>
      <c r="C128" s="23" t="inlineStr">
        <is>
          <t>Gas</t>
        </is>
      </c>
      <c r="D128" s="22" t="n">
        <v>42.04</v>
      </c>
      <c r="E128" s="24" t="inlineStr">
        <is>
          <t>Gas station</t>
        </is>
      </c>
      <c r="F128" s="25" t="n"/>
      <c r="G128" s="18">
        <f>IF(AND(C128="",D128=""),"",IF(NOT(ISNUMBER(B128)),"Needs a date",IF(NOT(ISNUMBER(D128)),"Needs the amount",IF(C128="","Needs an envelope",IF(COUNTIF(Envelopes!$B$6:$B$21,C128)=0,"Not on Envelopes",IF(F128="",IF(D128=0,"Needs the amount",""),IF(COUNTIF(Envelopes!$B$6:$B$21,F128)=0,"Moved to: not on Envelopes",IF(D128&lt;=0,"A move needs an amount",IF(F128=C128,"Moved to the same envelope","")))))))))</f>
        <v/>
      </c>
      <c r="H128" s="1">
        <f>IF(ISNUMBER(B128),INT(B128),0)</f>
        <v/>
      </c>
      <c r="I128">
        <f>IF(AND(H128&gt;0,ISNUMBER(D128),COUNTIF(Envelopes!$B$6:$B$21,C128)&gt;0,F128=""),1,0)</f>
        <v/>
      </c>
      <c r="J128">
        <f>IF(AND(H128&gt;0,ISNUMBER(D128),COUNTIF(Envelopes!$B$6:$B$21,C128)&gt;0,F128&lt;&gt;"",COUNTIF(Envelopes!$B$6:$B$21,F128)&gt;0),1,0)</f>
        <v/>
      </c>
      <c r="K128">
        <f>IF(I128=1,H128*10000+ROW(),"")</f>
        <v/>
      </c>
    </row>
    <row r="129">
      <c r="A129" s="1" t="n"/>
      <c r="B129" s="21" t="n">
        <v>46122</v>
      </c>
      <c r="C129" s="23" t="inlineStr">
        <is>
          <t>Groceries</t>
        </is>
      </c>
      <c r="D129" s="22" t="n">
        <v>48.98</v>
      </c>
      <c r="E129" s="24" t="inlineStr">
        <is>
          <t>Supermarket</t>
        </is>
      </c>
      <c r="F129" s="25" t="n"/>
      <c r="G129" s="18">
        <f>IF(AND(C129="",D129=""),"",IF(NOT(ISNUMBER(B129)),"Needs a date",IF(NOT(ISNUMBER(D129)),"Needs the amount",IF(C129="","Needs an envelope",IF(COUNTIF(Envelopes!$B$6:$B$21,C129)=0,"Not on Envelopes",IF(F129="",IF(D129=0,"Needs the amount",""),IF(COUNTIF(Envelopes!$B$6:$B$21,F129)=0,"Moved to: not on Envelopes",IF(D129&lt;=0,"A move needs an amount",IF(F129=C129,"Moved to the same envelope","")))))))))</f>
        <v/>
      </c>
      <c r="H129" s="1">
        <f>IF(ISNUMBER(B129),INT(B129),0)</f>
        <v/>
      </c>
      <c r="I129">
        <f>IF(AND(H129&gt;0,ISNUMBER(D129),COUNTIF(Envelopes!$B$6:$B$21,C129)&gt;0,F129=""),1,0)</f>
        <v/>
      </c>
      <c r="J129">
        <f>IF(AND(H129&gt;0,ISNUMBER(D129),COUNTIF(Envelopes!$B$6:$B$21,C129)&gt;0,F129&lt;&gt;"",COUNTIF(Envelopes!$B$6:$B$21,F129)&gt;0),1,0)</f>
        <v/>
      </c>
      <c r="K129">
        <f>IF(I129=1,H129*10000+ROW(),"")</f>
        <v/>
      </c>
    </row>
    <row r="130">
      <c r="A130" s="1" t="n"/>
      <c r="B130" s="21" t="n">
        <v>46122</v>
      </c>
      <c r="C130" s="23" t="inlineStr">
        <is>
          <t>Kids</t>
        </is>
      </c>
      <c r="D130" s="22" t="n">
        <v>36.66</v>
      </c>
      <c r="E130" s="24" t="inlineStr">
        <is>
          <t>Art supplies</t>
        </is>
      </c>
      <c r="F130" s="25" t="n"/>
      <c r="G130" s="18">
        <f>IF(AND(C130="",D130=""),"",IF(NOT(ISNUMBER(B130)),"Needs a date",IF(NOT(ISNUMBER(D130)),"Needs the amount",IF(C130="","Needs an envelope",IF(COUNTIF(Envelopes!$B$6:$B$21,C130)=0,"Not on Envelopes",IF(F130="",IF(D130=0,"Needs the amount",""),IF(COUNTIF(Envelopes!$B$6:$B$21,F130)=0,"Moved to: not on Envelopes",IF(D130&lt;=0,"A move needs an amount",IF(F130=C130,"Moved to the same envelope","")))))))))</f>
        <v/>
      </c>
      <c r="H130" s="1">
        <f>IF(ISNUMBER(B130),INT(B130),0)</f>
        <v/>
      </c>
      <c r="I130">
        <f>IF(AND(H130&gt;0,ISNUMBER(D130),COUNTIF(Envelopes!$B$6:$B$21,C130)&gt;0,F130=""),1,0)</f>
        <v/>
      </c>
      <c r="J130">
        <f>IF(AND(H130&gt;0,ISNUMBER(D130),COUNTIF(Envelopes!$B$6:$B$21,C130)&gt;0,F130&lt;&gt;"",COUNTIF(Envelopes!$B$6:$B$21,F130)&gt;0),1,0)</f>
        <v/>
      </c>
      <c r="K130">
        <f>IF(I130=1,H130*10000+ROW(),"")</f>
        <v/>
      </c>
    </row>
    <row r="131">
      <c r="A131" s="1" t="n"/>
      <c r="B131" s="21" t="n">
        <v>46123</v>
      </c>
      <c r="C131" s="23" t="inlineStr">
        <is>
          <t>Groceries</t>
        </is>
      </c>
      <c r="D131" s="22" t="n">
        <v>16.84</v>
      </c>
      <c r="E131" s="24" t="inlineStr">
        <is>
          <t>Bakery</t>
        </is>
      </c>
      <c r="F131" s="25" t="n"/>
      <c r="G131" s="18">
        <f>IF(AND(C131="",D131=""),"",IF(NOT(ISNUMBER(B131)),"Needs a date",IF(NOT(ISNUMBER(D131)),"Needs the amount",IF(C131="","Needs an envelope",IF(COUNTIF(Envelopes!$B$6:$B$21,C131)=0,"Not on Envelopes",IF(F131="",IF(D131=0,"Needs the amount",""),IF(COUNTIF(Envelopes!$B$6:$B$21,F131)=0,"Moved to: not on Envelopes",IF(D131&lt;=0,"A move needs an amount",IF(F131=C131,"Moved to the same envelope","")))))))))</f>
        <v/>
      </c>
      <c r="H131" s="1">
        <f>IF(ISNUMBER(B131),INT(B131),0)</f>
        <v/>
      </c>
      <c r="I131">
        <f>IF(AND(H131&gt;0,ISNUMBER(D131),COUNTIF(Envelopes!$B$6:$B$21,C131)&gt;0,F131=""),1,0)</f>
        <v/>
      </c>
      <c r="J131">
        <f>IF(AND(H131&gt;0,ISNUMBER(D131),COUNTIF(Envelopes!$B$6:$B$21,C131)&gt;0,F131&lt;&gt;"",COUNTIF(Envelopes!$B$6:$B$21,F131)&gt;0),1,0)</f>
        <v/>
      </c>
      <c r="K131">
        <f>IF(I131=1,H131*10000+ROW(),"")</f>
        <v/>
      </c>
    </row>
    <row r="132">
      <c r="A132" s="1" t="n"/>
      <c r="B132" s="21" t="n">
        <v>46123</v>
      </c>
      <c r="C132" s="23" t="inlineStr">
        <is>
          <t>Gas</t>
        </is>
      </c>
      <c r="D132" s="22" t="n">
        <v>16.47</v>
      </c>
      <c r="E132" s="24" t="inlineStr">
        <is>
          <t>Gas station</t>
        </is>
      </c>
      <c r="F132" s="25" t="n"/>
      <c r="G132" s="18">
        <f>IF(AND(C132="",D132=""),"",IF(NOT(ISNUMBER(B132)),"Needs a date",IF(NOT(ISNUMBER(D132)),"Needs the amount",IF(C132="","Needs an envelope",IF(COUNTIF(Envelopes!$B$6:$B$21,C132)=0,"Not on Envelopes",IF(F132="",IF(D132=0,"Needs the amount",""),IF(COUNTIF(Envelopes!$B$6:$B$21,F132)=0,"Moved to: not on Envelopes",IF(D132&lt;=0,"A move needs an amount",IF(F132=C132,"Moved to the same envelope","")))))))))</f>
        <v/>
      </c>
      <c r="H132" s="1">
        <f>IF(ISNUMBER(B132),INT(B132),0)</f>
        <v/>
      </c>
      <c r="I132">
        <f>IF(AND(H132&gt;0,ISNUMBER(D132),COUNTIF(Envelopes!$B$6:$B$21,C132)&gt;0,F132=""),1,0)</f>
        <v/>
      </c>
      <c r="J132">
        <f>IF(AND(H132&gt;0,ISNUMBER(D132),COUNTIF(Envelopes!$B$6:$B$21,C132)&gt;0,F132&lt;&gt;"",COUNTIF(Envelopes!$B$6:$B$21,F132)&gt;0),1,0)</f>
        <v/>
      </c>
      <c r="K132">
        <f>IF(I132=1,H132*10000+ROW(),"")</f>
        <v/>
      </c>
    </row>
    <row r="133">
      <c r="A133" s="1" t="n"/>
      <c r="B133" s="21" t="n">
        <v>46124</v>
      </c>
      <c r="C133" s="23" t="inlineStr">
        <is>
          <t>Personal care</t>
        </is>
      </c>
      <c r="D133" s="22" t="n">
        <v>27.53</v>
      </c>
      <c r="E133" s="24" t="inlineStr">
        <is>
          <t>Pharmacy</t>
        </is>
      </c>
      <c r="F133" s="25" t="n"/>
      <c r="G133" s="18">
        <f>IF(AND(C133="",D133=""),"",IF(NOT(ISNUMBER(B133)),"Needs a date",IF(NOT(ISNUMBER(D133)),"Needs the amount",IF(C133="","Needs an envelope",IF(COUNTIF(Envelopes!$B$6:$B$21,C133)=0,"Not on Envelopes",IF(F133="",IF(D133=0,"Needs the amount",""),IF(COUNTIF(Envelopes!$B$6:$B$21,F133)=0,"Moved to: not on Envelopes",IF(D133&lt;=0,"A move needs an amount",IF(F133=C133,"Moved to the same envelope","")))))))))</f>
        <v/>
      </c>
      <c r="H133" s="1">
        <f>IF(ISNUMBER(B133),INT(B133),0)</f>
        <v/>
      </c>
      <c r="I133">
        <f>IF(AND(H133&gt;0,ISNUMBER(D133),COUNTIF(Envelopes!$B$6:$B$21,C133)&gt;0,F133=""),1,0)</f>
        <v/>
      </c>
      <c r="J133">
        <f>IF(AND(H133&gt;0,ISNUMBER(D133),COUNTIF(Envelopes!$B$6:$B$21,C133)&gt;0,F133&lt;&gt;"",COUNTIF(Envelopes!$B$6:$B$21,F133)&gt;0),1,0)</f>
        <v/>
      </c>
      <c r="K133">
        <f>IF(I133=1,H133*10000+ROW(),"")</f>
        <v/>
      </c>
    </row>
    <row r="134">
      <c r="A134" s="1" t="n"/>
      <c r="B134" s="21" t="n">
        <v>46126</v>
      </c>
      <c r="C134" s="23" t="inlineStr">
        <is>
          <t>Fun money</t>
        </is>
      </c>
      <c r="D134" s="22" t="n">
        <v>30.6</v>
      </c>
      <c r="E134" s="24" t="inlineStr">
        <is>
          <t>Book</t>
        </is>
      </c>
      <c r="F134" s="25" t="n"/>
      <c r="G134" s="18">
        <f>IF(AND(C134="",D134=""),"",IF(NOT(ISNUMBER(B134)),"Needs a date",IF(NOT(ISNUMBER(D134)),"Needs the amount",IF(C134="","Needs an envelope",IF(COUNTIF(Envelopes!$B$6:$B$21,C134)=0,"Not on Envelopes",IF(F134="",IF(D134=0,"Needs the amount",""),IF(COUNTIF(Envelopes!$B$6:$B$21,F134)=0,"Moved to: not on Envelopes",IF(D134&lt;=0,"A move needs an amount",IF(F134=C134,"Moved to the same envelope","")))))))))</f>
        <v/>
      </c>
      <c r="H134" s="1">
        <f>IF(ISNUMBER(B134),INT(B134),0)</f>
        <v/>
      </c>
      <c r="I134">
        <f>IF(AND(H134&gt;0,ISNUMBER(D134),COUNTIF(Envelopes!$B$6:$B$21,C134)&gt;0,F134=""),1,0)</f>
        <v/>
      </c>
      <c r="J134">
        <f>IF(AND(H134&gt;0,ISNUMBER(D134),COUNTIF(Envelopes!$B$6:$B$21,C134)&gt;0,F134&lt;&gt;"",COUNTIF(Envelopes!$B$6:$B$21,F134)&gt;0),1,0)</f>
        <v/>
      </c>
      <c r="K134">
        <f>IF(I134=1,H134*10000+ROW(),"")</f>
        <v/>
      </c>
    </row>
    <row r="135">
      <c r="A135" s="1" t="n"/>
      <c r="B135" s="21" t="n">
        <v>46127</v>
      </c>
      <c r="C135" s="23" t="inlineStr">
        <is>
          <t>Eating out</t>
        </is>
      </c>
      <c r="D135" s="22" t="n">
        <v>28.68</v>
      </c>
      <c r="E135" s="24" t="inlineStr">
        <is>
          <t>Tacos</t>
        </is>
      </c>
      <c r="F135" s="25" t="n"/>
      <c r="G135" s="18">
        <f>IF(AND(C135="",D135=""),"",IF(NOT(ISNUMBER(B135)),"Needs a date",IF(NOT(ISNUMBER(D135)),"Needs the amount",IF(C135="","Needs an envelope",IF(COUNTIF(Envelopes!$B$6:$B$21,C135)=0,"Not on Envelopes",IF(F135="",IF(D135=0,"Needs the amount",""),IF(COUNTIF(Envelopes!$B$6:$B$21,F135)=0,"Moved to: not on Envelopes",IF(D135&lt;=0,"A move needs an amount",IF(F135=C135,"Moved to the same envelope","")))))))))</f>
        <v/>
      </c>
      <c r="H135" s="1">
        <f>IF(ISNUMBER(B135),INT(B135),0)</f>
        <v/>
      </c>
      <c r="I135">
        <f>IF(AND(H135&gt;0,ISNUMBER(D135),COUNTIF(Envelopes!$B$6:$B$21,C135)&gt;0,F135=""),1,0)</f>
        <v/>
      </c>
      <c r="J135">
        <f>IF(AND(H135&gt;0,ISNUMBER(D135),COUNTIF(Envelopes!$B$6:$B$21,C135)&gt;0,F135&lt;&gt;"",COUNTIF(Envelopes!$B$6:$B$21,F135)&gt;0),1,0)</f>
        <v/>
      </c>
      <c r="K135">
        <f>IF(I135=1,H135*10000+ROW(),"")</f>
        <v/>
      </c>
    </row>
    <row r="136">
      <c r="A136" s="1" t="n"/>
      <c r="B136" s="21" t="n">
        <v>46127</v>
      </c>
      <c r="C136" s="23" t="inlineStr">
        <is>
          <t>Household</t>
        </is>
      </c>
      <c r="D136" s="22" t="n">
        <v>32.57</v>
      </c>
      <c r="E136" s="24" t="inlineStr">
        <is>
          <t>Light bulbs</t>
        </is>
      </c>
      <c r="F136" s="25" t="n"/>
      <c r="G136" s="18">
        <f>IF(AND(C136="",D136=""),"",IF(NOT(ISNUMBER(B136)),"Needs a date",IF(NOT(ISNUMBER(D136)),"Needs the amount",IF(C136="","Needs an envelope",IF(COUNTIF(Envelopes!$B$6:$B$21,C136)=0,"Not on Envelopes",IF(F136="",IF(D136=0,"Needs the amount",""),IF(COUNTIF(Envelopes!$B$6:$B$21,F136)=0,"Moved to: not on Envelopes",IF(D136&lt;=0,"A move needs an amount",IF(F136=C136,"Moved to the same envelope","")))))))))</f>
        <v/>
      </c>
      <c r="H136" s="1">
        <f>IF(ISNUMBER(B136),INT(B136),0)</f>
        <v/>
      </c>
      <c r="I136">
        <f>IF(AND(H136&gt;0,ISNUMBER(D136),COUNTIF(Envelopes!$B$6:$B$21,C136)&gt;0,F136=""),1,0)</f>
        <v/>
      </c>
      <c r="J136">
        <f>IF(AND(H136&gt;0,ISNUMBER(D136),COUNTIF(Envelopes!$B$6:$B$21,C136)&gt;0,F136&lt;&gt;"",COUNTIF(Envelopes!$B$6:$B$21,F136)&gt;0),1,0)</f>
        <v/>
      </c>
      <c r="K136">
        <f>IF(I136=1,H136*10000+ROW(),"")</f>
        <v/>
      </c>
    </row>
    <row r="137">
      <c r="A137" s="1" t="n"/>
      <c r="B137" s="21" t="n">
        <v>46128</v>
      </c>
      <c r="C137" s="23" t="inlineStr">
        <is>
          <t>Groceries</t>
        </is>
      </c>
      <c r="D137" s="22" t="n">
        <v>38.93</v>
      </c>
      <c r="E137" s="24" t="inlineStr">
        <is>
          <t>Corner shop</t>
        </is>
      </c>
      <c r="F137" s="25" t="n"/>
      <c r="G137" s="18">
        <f>IF(AND(C137="",D137=""),"",IF(NOT(ISNUMBER(B137)),"Needs a date",IF(NOT(ISNUMBER(D137)),"Needs the amount",IF(C137="","Needs an envelope",IF(COUNTIF(Envelopes!$B$6:$B$21,C137)=0,"Not on Envelopes",IF(F137="",IF(D137=0,"Needs the amount",""),IF(COUNTIF(Envelopes!$B$6:$B$21,F137)=0,"Moved to: not on Envelopes",IF(D137&lt;=0,"A move needs an amount",IF(F137=C137,"Moved to the same envelope","")))))))))</f>
        <v/>
      </c>
      <c r="H137" s="1">
        <f>IF(ISNUMBER(B137),INT(B137),0)</f>
        <v/>
      </c>
      <c r="I137">
        <f>IF(AND(H137&gt;0,ISNUMBER(D137),COUNTIF(Envelopes!$B$6:$B$21,C137)&gt;0,F137=""),1,0)</f>
        <v/>
      </c>
      <c r="J137">
        <f>IF(AND(H137&gt;0,ISNUMBER(D137),COUNTIF(Envelopes!$B$6:$B$21,C137)&gt;0,F137&lt;&gt;"",COUNTIF(Envelopes!$B$6:$B$21,F137)&gt;0),1,0)</f>
        <v/>
      </c>
      <c r="K137">
        <f>IF(I137=1,H137*10000+ROW(),"")</f>
        <v/>
      </c>
    </row>
    <row r="138">
      <c r="A138" s="1" t="n"/>
      <c r="B138" s="21" t="n">
        <v>46128</v>
      </c>
      <c r="C138" s="23" t="inlineStr">
        <is>
          <t>Eating out</t>
        </is>
      </c>
      <c r="D138" s="22" t="n">
        <v>7.83</v>
      </c>
      <c r="E138" s="24" t="inlineStr">
        <is>
          <t>Leftover to savings</t>
        </is>
      </c>
      <c r="F138" s="25" t="inlineStr">
        <is>
          <t>Emergency fund</t>
        </is>
      </c>
      <c r="G138" s="18">
        <f>IF(AND(C138="",D138=""),"",IF(NOT(ISNUMBER(B138)),"Needs a date",IF(NOT(ISNUMBER(D138)),"Needs the amount",IF(C138="","Needs an envelope",IF(COUNTIF(Envelopes!$B$6:$B$21,C138)=0,"Not on Envelopes",IF(F138="",IF(D138=0,"Needs the amount",""),IF(COUNTIF(Envelopes!$B$6:$B$21,F138)=0,"Moved to: not on Envelopes",IF(D138&lt;=0,"A move needs an amount",IF(F138=C138,"Moved to the same envelope","")))))))))</f>
        <v/>
      </c>
      <c r="H138" s="1">
        <f>IF(ISNUMBER(B138),INT(B138),0)</f>
        <v/>
      </c>
      <c r="I138">
        <f>IF(AND(H138&gt;0,ISNUMBER(D138),COUNTIF(Envelopes!$B$6:$B$21,C138)&gt;0,F138=""),1,0)</f>
        <v/>
      </c>
      <c r="J138">
        <f>IF(AND(H138&gt;0,ISNUMBER(D138),COUNTIF(Envelopes!$B$6:$B$21,C138)&gt;0,F138&lt;&gt;"",COUNTIF(Envelopes!$B$6:$B$21,F138)&gt;0),1,0)</f>
        <v/>
      </c>
      <c r="K138">
        <f>IF(I138=1,H138*10000+ROW(),"")</f>
        <v/>
      </c>
    </row>
    <row r="139">
      <c r="A139" s="1" t="n"/>
      <c r="B139" s="21" t="n">
        <v>46128</v>
      </c>
      <c r="C139" s="23" t="inlineStr">
        <is>
          <t>Fun money</t>
        </is>
      </c>
      <c r="D139" s="22" t="n">
        <v>5.62</v>
      </c>
      <c r="E139" s="24" t="inlineStr">
        <is>
          <t>Leftover to savings</t>
        </is>
      </c>
      <c r="F139" s="25" t="inlineStr">
        <is>
          <t>Emergency fund</t>
        </is>
      </c>
      <c r="G139" s="18">
        <f>IF(AND(C139="",D139=""),"",IF(NOT(ISNUMBER(B139)),"Needs a date",IF(NOT(ISNUMBER(D139)),"Needs the amount",IF(C139="","Needs an envelope",IF(COUNTIF(Envelopes!$B$6:$B$21,C139)=0,"Not on Envelopes",IF(F139="",IF(D139=0,"Needs the amount",""),IF(COUNTIF(Envelopes!$B$6:$B$21,F139)=0,"Moved to: not on Envelopes",IF(D139&lt;=0,"A move needs an amount",IF(F139=C139,"Moved to the same envelope","")))))))))</f>
        <v/>
      </c>
      <c r="H139" s="1">
        <f>IF(ISNUMBER(B139),INT(B139),0)</f>
        <v/>
      </c>
      <c r="I139">
        <f>IF(AND(H139&gt;0,ISNUMBER(D139),COUNTIF(Envelopes!$B$6:$B$21,C139)&gt;0,F139=""),1,0)</f>
        <v/>
      </c>
      <c r="J139">
        <f>IF(AND(H139&gt;0,ISNUMBER(D139),COUNTIF(Envelopes!$B$6:$B$21,C139)&gt;0,F139&lt;&gt;"",COUNTIF(Envelopes!$B$6:$B$21,F139)&gt;0),1,0)</f>
        <v/>
      </c>
      <c r="K139">
        <f>IF(I139=1,H139*10000+ROW(),"")</f>
        <v/>
      </c>
    </row>
    <row r="140">
      <c r="A140" s="1" t="n"/>
      <c r="B140" s="21" t="n">
        <v>46131</v>
      </c>
      <c r="C140" s="23" t="inlineStr">
        <is>
          <t>Gas</t>
        </is>
      </c>
      <c r="D140" s="22" t="n">
        <v>34.8</v>
      </c>
      <c r="E140" s="24" t="inlineStr">
        <is>
          <t>Gas station</t>
        </is>
      </c>
      <c r="F140" s="25" t="n"/>
      <c r="G140" s="18">
        <f>IF(AND(C140="",D140=""),"",IF(NOT(ISNUMBER(B140)),"Needs a date",IF(NOT(ISNUMBER(D140)),"Needs the amount",IF(C140="","Needs an envelope",IF(COUNTIF(Envelopes!$B$6:$B$21,C140)=0,"Not on Envelopes",IF(F140="",IF(D140=0,"Needs the amount",""),IF(COUNTIF(Envelopes!$B$6:$B$21,F140)=0,"Moved to: not on Envelopes",IF(D140&lt;=0,"A move needs an amount",IF(F140=C140,"Moved to the same envelope","")))))))))</f>
        <v/>
      </c>
      <c r="H140" s="1">
        <f>IF(ISNUMBER(B140),INT(B140),0)</f>
        <v/>
      </c>
      <c r="I140">
        <f>IF(AND(H140&gt;0,ISNUMBER(D140),COUNTIF(Envelopes!$B$6:$B$21,C140)&gt;0,F140=""),1,0)</f>
        <v/>
      </c>
      <c r="J140">
        <f>IF(AND(H140&gt;0,ISNUMBER(D140),COUNTIF(Envelopes!$B$6:$B$21,C140)&gt;0,F140&lt;&gt;"",COUNTIF(Envelopes!$B$6:$B$21,F140)&gt;0),1,0)</f>
        <v/>
      </c>
      <c r="K140">
        <f>IF(I140=1,H140*10000+ROW(),"")</f>
        <v/>
      </c>
    </row>
    <row r="141">
      <c r="A141" s="1" t="n"/>
      <c r="B141" s="21" t="n">
        <v>46131</v>
      </c>
      <c r="C141" s="23" t="inlineStr">
        <is>
          <t>Household</t>
        </is>
      </c>
      <c r="D141" s="22" t="n">
        <v>30.15</v>
      </c>
      <c r="E141" s="24" t="inlineStr">
        <is>
          <t>Light bulbs</t>
        </is>
      </c>
      <c r="F141" s="25" t="n"/>
      <c r="G141" s="18">
        <f>IF(AND(C141="",D141=""),"",IF(NOT(ISNUMBER(B141)),"Needs a date",IF(NOT(ISNUMBER(D141)),"Needs the amount",IF(C141="","Needs an envelope",IF(COUNTIF(Envelopes!$B$6:$B$21,C141)=0,"Not on Envelopes",IF(F141="",IF(D141=0,"Needs the amount",""),IF(COUNTIF(Envelopes!$B$6:$B$21,F141)=0,"Moved to: not on Envelopes",IF(D141&lt;=0,"A move needs an amount",IF(F141=C141,"Moved to the same envelope","")))))))))</f>
        <v/>
      </c>
      <c r="H141" s="1">
        <f>IF(ISNUMBER(B141),INT(B141),0)</f>
        <v/>
      </c>
      <c r="I141">
        <f>IF(AND(H141&gt;0,ISNUMBER(D141),COUNTIF(Envelopes!$B$6:$B$21,C141)&gt;0,F141=""),1,0)</f>
        <v/>
      </c>
      <c r="J141">
        <f>IF(AND(H141&gt;0,ISNUMBER(D141),COUNTIF(Envelopes!$B$6:$B$21,C141)&gt;0,F141&lt;&gt;"",COUNTIF(Envelopes!$B$6:$B$21,F141)&gt;0),1,0)</f>
        <v/>
      </c>
      <c r="K141">
        <f>IF(I141=1,H141*10000+ROW(),"")</f>
        <v/>
      </c>
    </row>
    <row r="142">
      <c r="A142" s="1" t="n"/>
      <c r="B142" s="21" t="n">
        <v>46133</v>
      </c>
      <c r="C142" s="23" t="inlineStr">
        <is>
          <t>Groceries</t>
        </is>
      </c>
      <c r="D142" s="22" t="n">
        <v>48.71</v>
      </c>
      <c r="E142" s="24" t="inlineStr">
        <is>
          <t>Bakery</t>
        </is>
      </c>
      <c r="F142" s="25" t="n"/>
      <c r="G142" s="18">
        <f>IF(AND(C142="",D142=""),"",IF(NOT(ISNUMBER(B142)),"Needs a date",IF(NOT(ISNUMBER(D142)),"Needs the amount",IF(C142="","Needs an envelope",IF(COUNTIF(Envelopes!$B$6:$B$21,C142)=0,"Not on Envelopes",IF(F142="",IF(D142=0,"Needs the amount",""),IF(COUNTIF(Envelopes!$B$6:$B$21,F142)=0,"Moved to: not on Envelopes",IF(D142&lt;=0,"A move needs an amount",IF(F142=C142,"Moved to the same envelope","")))))))))</f>
        <v/>
      </c>
      <c r="H142" s="1">
        <f>IF(ISNUMBER(B142),INT(B142),0)</f>
        <v/>
      </c>
      <c r="I142">
        <f>IF(AND(H142&gt;0,ISNUMBER(D142),COUNTIF(Envelopes!$B$6:$B$21,C142)&gt;0,F142=""),1,0)</f>
        <v/>
      </c>
      <c r="J142">
        <f>IF(AND(H142&gt;0,ISNUMBER(D142),COUNTIF(Envelopes!$B$6:$B$21,C142)&gt;0,F142&lt;&gt;"",COUNTIF(Envelopes!$B$6:$B$21,F142)&gt;0),1,0)</f>
        <v/>
      </c>
      <c r="K142">
        <f>IF(I142=1,H142*10000+ROW(),"")</f>
        <v/>
      </c>
    </row>
    <row r="143">
      <c r="A143" s="1" t="n"/>
      <c r="B143" s="21" t="n">
        <v>46133</v>
      </c>
      <c r="C143" s="23" t="inlineStr">
        <is>
          <t>Groceries</t>
        </is>
      </c>
      <c r="D143" s="22" t="n">
        <v>6.86</v>
      </c>
      <c r="E143" s="24" t="inlineStr">
        <is>
          <t>Corner shop</t>
        </is>
      </c>
      <c r="F143" s="25" t="n"/>
      <c r="G143" s="18">
        <f>IF(AND(C143="",D143=""),"",IF(NOT(ISNUMBER(B143)),"Needs a date",IF(NOT(ISNUMBER(D143)),"Needs the amount",IF(C143="","Needs an envelope",IF(COUNTIF(Envelopes!$B$6:$B$21,C143)=0,"Not on Envelopes",IF(F143="",IF(D143=0,"Needs the amount",""),IF(COUNTIF(Envelopes!$B$6:$B$21,F143)=0,"Moved to: not on Envelopes",IF(D143&lt;=0,"A move needs an amount",IF(F143=C143,"Moved to the same envelope","")))))))))</f>
        <v/>
      </c>
      <c r="H143" s="1">
        <f>IF(ISNUMBER(B143),INT(B143),0)</f>
        <v/>
      </c>
      <c r="I143">
        <f>IF(AND(H143&gt;0,ISNUMBER(D143),COUNTIF(Envelopes!$B$6:$B$21,C143)&gt;0,F143=""),1,0)</f>
        <v/>
      </c>
      <c r="J143">
        <f>IF(AND(H143&gt;0,ISNUMBER(D143),COUNTIF(Envelopes!$B$6:$B$21,C143)&gt;0,F143&lt;&gt;"",COUNTIF(Envelopes!$B$6:$B$21,F143)&gt;0),1,0)</f>
        <v/>
      </c>
      <c r="K143">
        <f>IF(I143=1,H143*10000+ROW(),"")</f>
        <v/>
      </c>
    </row>
    <row r="144">
      <c r="A144" s="1" t="n"/>
      <c r="B144" s="21" t="n">
        <v>46133</v>
      </c>
      <c r="C144" s="23" t="inlineStr">
        <is>
          <t>Fun money</t>
        </is>
      </c>
      <c r="D144" s="22" t="n">
        <v>21.6</v>
      </c>
      <c r="E144" s="24" t="inlineStr">
        <is>
          <t>Bowling</t>
        </is>
      </c>
      <c r="F144" s="25" t="n"/>
      <c r="G144" s="18">
        <f>IF(AND(C144="",D144=""),"",IF(NOT(ISNUMBER(B144)),"Needs a date",IF(NOT(ISNUMBER(D144)),"Needs the amount",IF(C144="","Needs an envelope",IF(COUNTIF(Envelopes!$B$6:$B$21,C144)=0,"Not on Envelopes",IF(F144="",IF(D144=0,"Needs the amount",""),IF(COUNTIF(Envelopes!$B$6:$B$21,F144)=0,"Moved to: not on Envelopes",IF(D144&lt;=0,"A move needs an amount",IF(F144=C144,"Moved to the same envelope","")))))))))</f>
        <v/>
      </c>
      <c r="H144" s="1">
        <f>IF(ISNUMBER(B144),INT(B144),0)</f>
        <v/>
      </c>
      <c r="I144">
        <f>IF(AND(H144&gt;0,ISNUMBER(D144),COUNTIF(Envelopes!$B$6:$B$21,C144)&gt;0,F144=""),1,0)</f>
        <v/>
      </c>
      <c r="J144">
        <f>IF(AND(H144&gt;0,ISNUMBER(D144),COUNTIF(Envelopes!$B$6:$B$21,C144)&gt;0,F144&lt;&gt;"",COUNTIF(Envelopes!$B$6:$B$21,F144)&gt;0),1,0)</f>
        <v/>
      </c>
      <c r="K144">
        <f>IF(I144=1,H144*10000+ROW(),"")</f>
        <v/>
      </c>
    </row>
    <row r="145">
      <c r="A145" s="1" t="n"/>
      <c r="B145" s="21" t="n">
        <v>46134</v>
      </c>
      <c r="C145" s="23" t="inlineStr">
        <is>
          <t>Eating out</t>
        </is>
      </c>
      <c r="D145" s="22" t="n">
        <v>7.83</v>
      </c>
      <c r="E145" s="24" t="inlineStr">
        <is>
          <t>Coffee and cake</t>
        </is>
      </c>
      <c r="F145" s="25" t="n"/>
      <c r="G145" s="18">
        <f>IF(AND(C145="",D145=""),"",IF(NOT(ISNUMBER(B145)),"Needs a date",IF(NOT(ISNUMBER(D145)),"Needs the amount",IF(C145="","Needs an envelope",IF(COUNTIF(Envelopes!$B$6:$B$21,C145)=0,"Not on Envelopes",IF(F145="",IF(D145=0,"Needs the amount",""),IF(COUNTIF(Envelopes!$B$6:$B$21,F145)=0,"Moved to: not on Envelopes",IF(D145&lt;=0,"A move needs an amount",IF(F145=C145,"Moved to the same envelope","")))))))))</f>
        <v/>
      </c>
      <c r="H145" s="1">
        <f>IF(ISNUMBER(B145),INT(B145),0)</f>
        <v/>
      </c>
      <c r="I145">
        <f>IF(AND(H145&gt;0,ISNUMBER(D145),COUNTIF(Envelopes!$B$6:$B$21,C145)&gt;0,F145=""),1,0)</f>
        <v/>
      </c>
      <c r="J145">
        <f>IF(AND(H145&gt;0,ISNUMBER(D145),COUNTIF(Envelopes!$B$6:$B$21,C145)&gt;0,F145&lt;&gt;"",COUNTIF(Envelopes!$B$6:$B$21,F145)&gt;0),1,0)</f>
        <v/>
      </c>
      <c r="K145">
        <f>IF(I145=1,H145*10000+ROW(),"")</f>
        <v/>
      </c>
    </row>
    <row r="146">
      <c r="A146" s="1" t="n"/>
      <c r="B146" s="21" t="n">
        <v>46134</v>
      </c>
      <c r="C146" s="23" t="inlineStr">
        <is>
          <t>Personal care</t>
        </is>
      </c>
      <c r="D146" s="22" t="n">
        <v>23.34</v>
      </c>
      <c r="E146" s="24" t="inlineStr">
        <is>
          <t>Shampoo</t>
        </is>
      </c>
      <c r="F146" s="25" t="n"/>
      <c r="G146" s="18">
        <f>IF(AND(C146="",D146=""),"",IF(NOT(ISNUMBER(B146)),"Needs a date",IF(NOT(ISNUMBER(D146)),"Needs the amount",IF(C146="","Needs an envelope",IF(COUNTIF(Envelopes!$B$6:$B$21,C146)=0,"Not on Envelopes",IF(F146="",IF(D146=0,"Needs the amount",""),IF(COUNTIF(Envelopes!$B$6:$B$21,F146)=0,"Moved to: not on Envelopes",IF(D146&lt;=0,"A move needs an amount",IF(F146=C146,"Moved to the same envelope","")))))))))</f>
        <v/>
      </c>
      <c r="H146" s="1">
        <f>IF(ISNUMBER(B146),INT(B146),0)</f>
        <v/>
      </c>
      <c r="I146">
        <f>IF(AND(H146&gt;0,ISNUMBER(D146),COUNTIF(Envelopes!$B$6:$B$21,C146)&gt;0,F146=""),1,0)</f>
        <v/>
      </c>
      <c r="J146">
        <f>IF(AND(H146&gt;0,ISNUMBER(D146),COUNTIF(Envelopes!$B$6:$B$21,C146)&gt;0,F146&lt;&gt;"",COUNTIF(Envelopes!$B$6:$B$21,F146)&gt;0),1,0)</f>
        <v/>
      </c>
      <c r="K146">
        <f>IF(I146=1,H146*10000+ROW(),"")</f>
        <v/>
      </c>
    </row>
    <row r="147">
      <c r="A147" s="1" t="n"/>
      <c r="B147" s="21" t="n">
        <v>46134</v>
      </c>
      <c r="C147" s="23" t="inlineStr">
        <is>
          <t>Kids</t>
        </is>
      </c>
      <c r="D147" s="22" t="n">
        <v>33.35</v>
      </c>
      <c r="E147" s="24" t="inlineStr">
        <is>
          <t>Shoes</t>
        </is>
      </c>
      <c r="F147" s="25" t="n"/>
      <c r="G147" s="18">
        <f>IF(AND(C147="",D147=""),"",IF(NOT(ISNUMBER(B147)),"Needs a date",IF(NOT(ISNUMBER(D147)),"Needs the amount",IF(C147="","Needs an envelope",IF(COUNTIF(Envelopes!$B$6:$B$21,C147)=0,"Not on Envelopes",IF(F147="",IF(D147=0,"Needs the amount",""),IF(COUNTIF(Envelopes!$B$6:$B$21,F147)=0,"Moved to: not on Envelopes",IF(D147&lt;=0,"A move needs an amount",IF(F147=C147,"Moved to the same envelope","")))))))))</f>
        <v/>
      </c>
      <c r="H147" s="1">
        <f>IF(ISNUMBER(B147),INT(B147),0)</f>
        <v/>
      </c>
      <c r="I147">
        <f>IF(AND(H147&gt;0,ISNUMBER(D147),COUNTIF(Envelopes!$B$6:$B$21,C147)&gt;0,F147=""),1,0)</f>
        <v/>
      </c>
      <c r="J147">
        <f>IF(AND(H147&gt;0,ISNUMBER(D147),COUNTIF(Envelopes!$B$6:$B$21,C147)&gt;0,F147&lt;&gt;"",COUNTIF(Envelopes!$B$6:$B$21,F147)&gt;0),1,0)</f>
        <v/>
      </c>
      <c r="K147">
        <f>IF(I147=1,H147*10000+ROW(),"")</f>
        <v/>
      </c>
    </row>
    <row r="148">
      <c r="A148" s="1" t="n"/>
      <c r="B148" s="21" t="n">
        <v>46136</v>
      </c>
      <c r="C148" s="23" t="inlineStr">
        <is>
          <t>Gas</t>
        </is>
      </c>
      <c r="D148" s="22" t="n">
        <v>28.95</v>
      </c>
      <c r="E148" s="24" t="inlineStr">
        <is>
          <t>Gas station</t>
        </is>
      </c>
      <c r="F148" s="25" t="n"/>
      <c r="G148" s="18">
        <f>IF(AND(C148="",D148=""),"",IF(NOT(ISNUMBER(B148)),"Needs a date",IF(NOT(ISNUMBER(D148)),"Needs the amount",IF(C148="","Needs an envelope",IF(COUNTIF(Envelopes!$B$6:$B$21,C148)=0,"Not on Envelopes",IF(F148="",IF(D148=0,"Needs the amount",""),IF(COUNTIF(Envelopes!$B$6:$B$21,F148)=0,"Moved to: not on Envelopes",IF(D148&lt;=0,"A move needs an amount",IF(F148=C148,"Moved to the same envelope","")))))))))</f>
        <v/>
      </c>
      <c r="H148" s="1">
        <f>IF(ISNUMBER(B148),INT(B148),0)</f>
        <v/>
      </c>
      <c r="I148">
        <f>IF(AND(H148&gt;0,ISNUMBER(D148),COUNTIF(Envelopes!$B$6:$B$21,C148)&gt;0,F148=""),1,0)</f>
        <v/>
      </c>
      <c r="J148">
        <f>IF(AND(H148&gt;0,ISNUMBER(D148),COUNTIF(Envelopes!$B$6:$B$21,C148)&gt;0,F148&lt;&gt;"",COUNTIF(Envelopes!$B$6:$B$21,F148)&gt;0),1,0)</f>
        <v/>
      </c>
      <c r="K148">
        <f>IF(I148=1,H148*10000+ROW(),"")</f>
        <v/>
      </c>
    </row>
    <row r="149">
      <c r="A149" s="1" t="n"/>
      <c r="B149" s="21" t="n">
        <v>46137</v>
      </c>
      <c r="C149" s="23" t="inlineStr">
        <is>
          <t>Groceries</t>
        </is>
      </c>
      <c r="D149" s="22" t="n">
        <v>85.95999999999999</v>
      </c>
      <c r="E149" s="24" t="inlineStr">
        <is>
          <t>Bakery</t>
        </is>
      </c>
      <c r="F149" s="25" t="n"/>
      <c r="G149" s="18">
        <f>IF(AND(C149="",D149=""),"",IF(NOT(ISNUMBER(B149)),"Needs a date",IF(NOT(ISNUMBER(D149)),"Needs the amount",IF(C149="","Needs an envelope",IF(COUNTIF(Envelopes!$B$6:$B$21,C149)=0,"Not on Envelopes",IF(F149="",IF(D149=0,"Needs the amount",""),IF(COUNTIF(Envelopes!$B$6:$B$21,F149)=0,"Moved to: not on Envelopes",IF(D149&lt;=0,"A move needs an amount",IF(F149=C149,"Moved to the same envelope","")))))))))</f>
        <v/>
      </c>
      <c r="H149" s="1">
        <f>IF(ISNUMBER(B149),INT(B149),0)</f>
        <v/>
      </c>
      <c r="I149">
        <f>IF(AND(H149&gt;0,ISNUMBER(D149),COUNTIF(Envelopes!$B$6:$B$21,C149)&gt;0,F149=""),1,0)</f>
        <v/>
      </c>
      <c r="J149">
        <f>IF(AND(H149&gt;0,ISNUMBER(D149),COUNTIF(Envelopes!$B$6:$B$21,C149)&gt;0,F149&lt;&gt;"",COUNTIF(Envelopes!$B$6:$B$21,F149)&gt;0),1,0)</f>
        <v/>
      </c>
      <c r="K149">
        <f>IF(I149=1,H149*10000+ROW(),"")</f>
        <v/>
      </c>
    </row>
    <row r="150">
      <c r="A150" s="1" t="n"/>
      <c r="B150" s="21" t="n">
        <v>46140</v>
      </c>
      <c r="C150" s="23" t="inlineStr">
        <is>
          <t>Eating out</t>
        </is>
      </c>
      <c r="D150" s="22" t="n">
        <v>24.53</v>
      </c>
      <c r="E150" s="24" t="inlineStr">
        <is>
          <t>Pizza night</t>
        </is>
      </c>
      <c r="F150" s="25" t="n"/>
      <c r="G150" s="18">
        <f>IF(AND(C150="",D150=""),"",IF(NOT(ISNUMBER(B150)),"Needs a date",IF(NOT(ISNUMBER(D150)),"Needs the amount",IF(C150="","Needs an envelope",IF(COUNTIF(Envelopes!$B$6:$B$21,C150)=0,"Not on Envelopes",IF(F150="",IF(D150=0,"Needs the amount",""),IF(COUNTIF(Envelopes!$B$6:$B$21,F150)=0,"Moved to: not on Envelopes",IF(D150&lt;=0,"A move needs an amount",IF(F150=C150,"Moved to the same envelope","")))))))))</f>
        <v/>
      </c>
      <c r="H150" s="1">
        <f>IF(ISNUMBER(B150),INT(B150),0)</f>
        <v/>
      </c>
      <c r="I150">
        <f>IF(AND(H150&gt;0,ISNUMBER(D150),COUNTIF(Envelopes!$B$6:$B$21,C150)&gt;0,F150=""),1,0)</f>
        <v/>
      </c>
      <c r="J150">
        <f>IF(AND(H150&gt;0,ISNUMBER(D150),COUNTIF(Envelopes!$B$6:$B$21,C150)&gt;0,F150&lt;&gt;"",COUNTIF(Envelopes!$B$6:$B$21,F150)&gt;0),1,0)</f>
        <v/>
      </c>
      <c r="K150">
        <f>IF(I150=1,H150*10000+ROW(),"")</f>
        <v/>
      </c>
    </row>
    <row r="151">
      <c r="A151" s="1" t="n"/>
      <c r="B151" s="21" t="n">
        <v>46141</v>
      </c>
      <c r="C151" s="23" t="inlineStr">
        <is>
          <t>Groceries</t>
        </is>
      </c>
      <c r="D151" s="22" t="n">
        <v>39.4</v>
      </c>
      <c r="E151" s="24" t="inlineStr">
        <is>
          <t>Supermarket</t>
        </is>
      </c>
      <c r="F151" s="25" t="n"/>
      <c r="G151" s="18">
        <f>IF(AND(C151="",D151=""),"",IF(NOT(ISNUMBER(B151)),"Needs a date",IF(NOT(ISNUMBER(D151)),"Needs the amount",IF(C151="","Needs an envelope",IF(COUNTIF(Envelopes!$B$6:$B$21,C151)=0,"Not on Envelopes",IF(F151="",IF(D151=0,"Needs the amount",""),IF(COUNTIF(Envelopes!$B$6:$B$21,F151)=0,"Moved to: not on Envelopes",IF(D151&lt;=0,"A move needs an amount",IF(F151=C151,"Moved to the same envelope","")))))))))</f>
        <v/>
      </c>
      <c r="H151" s="1">
        <f>IF(ISNUMBER(B151),INT(B151),0)</f>
        <v/>
      </c>
      <c r="I151">
        <f>IF(AND(H151&gt;0,ISNUMBER(D151),COUNTIF(Envelopes!$B$6:$B$21,C151)&gt;0,F151=""),1,0)</f>
        <v/>
      </c>
      <c r="J151">
        <f>IF(AND(H151&gt;0,ISNUMBER(D151),COUNTIF(Envelopes!$B$6:$B$21,C151)&gt;0,F151&lt;&gt;"",COUNTIF(Envelopes!$B$6:$B$21,F151)&gt;0),1,0)</f>
        <v/>
      </c>
      <c r="K151">
        <f>IF(I151=1,H151*10000+ROW(),"")</f>
        <v/>
      </c>
    </row>
    <row r="152">
      <c r="A152" s="1" t="n"/>
      <c r="B152" s="21" t="n">
        <v>46144</v>
      </c>
      <c r="C152" s="23" t="inlineStr">
        <is>
          <t>Groceries</t>
        </is>
      </c>
      <c r="D152" s="22" t="n">
        <v>37.79</v>
      </c>
      <c r="E152" s="24" t="inlineStr">
        <is>
          <t>Corner shop</t>
        </is>
      </c>
      <c r="F152" s="25" t="n"/>
      <c r="G152" s="18">
        <f>IF(AND(C152="",D152=""),"",IF(NOT(ISNUMBER(B152)),"Needs a date",IF(NOT(ISNUMBER(D152)),"Needs the amount",IF(C152="","Needs an envelope",IF(COUNTIF(Envelopes!$B$6:$B$21,C152)=0,"Not on Envelopes",IF(F152="",IF(D152=0,"Needs the amount",""),IF(COUNTIF(Envelopes!$B$6:$B$21,F152)=0,"Moved to: not on Envelopes",IF(D152&lt;=0,"A move needs an amount",IF(F152=C152,"Moved to the same envelope","")))))))))</f>
        <v/>
      </c>
      <c r="H152" s="1">
        <f>IF(ISNUMBER(B152),INT(B152),0)</f>
        <v/>
      </c>
      <c r="I152">
        <f>IF(AND(H152&gt;0,ISNUMBER(D152),COUNTIF(Envelopes!$B$6:$B$21,C152)&gt;0,F152=""),1,0)</f>
        <v/>
      </c>
      <c r="J152">
        <f>IF(AND(H152&gt;0,ISNUMBER(D152),COUNTIF(Envelopes!$B$6:$B$21,C152)&gt;0,F152&lt;&gt;"",COUNTIF(Envelopes!$B$6:$B$21,F152)&gt;0),1,0)</f>
        <v/>
      </c>
      <c r="K152">
        <f>IF(I152=1,H152*10000+ROW(),"")</f>
        <v/>
      </c>
    </row>
    <row r="153">
      <c r="A153" s="1" t="n"/>
      <c r="B153" s="21" t="n">
        <v>46144</v>
      </c>
      <c r="C153" s="23" t="inlineStr">
        <is>
          <t>Fun money</t>
        </is>
      </c>
      <c r="D153" s="22" t="n">
        <v>34.29</v>
      </c>
      <c r="E153" s="24" t="inlineStr">
        <is>
          <t>Game</t>
        </is>
      </c>
      <c r="F153" s="25" t="n"/>
      <c r="G153" s="18">
        <f>IF(AND(C153="",D153=""),"",IF(NOT(ISNUMBER(B153)),"Needs a date",IF(NOT(ISNUMBER(D153)),"Needs the amount",IF(C153="","Needs an envelope",IF(COUNTIF(Envelopes!$B$6:$B$21,C153)=0,"Not on Envelopes",IF(F153="",IF(D153=0,"Needs the amount",""),IF(COUNTIF(Envelopes!$B$6:$B$21,F153)=0,"Moved to: not on Envelopes",IF(D153&lt;=0,"A move needs an amount",IF(F153=C153,"Moved to the same envelope","")))))))))</f>
        <v/>
      </c>
      <c r="H153" s="1">
        <f>IF(ISNUMBER(B153),INT(B153),0)</f>
        <v/>
      </c>
      <c r="I153">
        <f>IF(AND(H153&gt;0,ISNUMBER(D153),COUNTIF(Envelopes!$B$6:$B$21,C153)&gt;0,F153=""),1,0)</f>
        <v/>
      </c>
      <c r="J153">
        <f>IF(AND(H153&gt;0,ISNUMBER(D153),COUNTIF(Envelopes!$B$6:$B$21,C153)&gt;0,F153&lt;&gt;"",COUNTIF(Envelopes!$B$6:$B$21,F153)&gt;0),1,0)</f>
        <v/>
      </c>
      <c r="K153">
        <f>IF(I153=1,H153*10000+ROW(),"")</f>
        <v/>
      </c>
    </row>
    <row r="154">
      <c r="A154" s="1" t="n"/>
      <c r="B154" s="21" t="n">
        <v>46145</v>
      </c>
      <c r="C154" s="23" t="inlineStr">
        <is>
          <t>Eating out</t>
        </is>
      </c>
      <c r="D154" s="22" t="n">
        <v>32.94</v>
      </c>
      <c r="E154" s="24" t="inlineStr">
        <is>
          <t>Coffee and cake</t>
        </is>
      </c>
      <c r="F154" s="25" t="n"/>
      <c r="G154" s="18">
        <f>IF(AND(C154="",D154=""),"",IF(NOT(ISNUMBER(B154)),"Needs a date",IF(NOT(ISNUMBER(D154)),"Needs the amount",IF(C154="","Needs an envelope",IF(COUNTIF(Envelopes!$B$6:$B$21,C154)=0,"Not on Envelopes",IF(F154="",IF(D154=0,"Needs the amount",""),IF(COUNTIF(Envelopes!$B$6:$B$21,F154)=0,"Moved to: not on Envelopes",IF(D154&lt;=0,"A move needs an amount",IF(F154=C154,"Moved to the same envelope","")))))))))</f>
        <v/>
      </c>
      <c r="H154" s="1">
        <f>IF(ISNUMBER(B154),INT(B154),0)</f>
        <v/>
      </c>
      <c r="I154">
        <f>IF(AND(H154&gt;0,ISNUMBER(D154),COUNTIF(Envelopes!$B$6:$B$21,C154)&gt;0,F154=""),1,0)</f>
        <v/>
      </c>
      <c r="J154">
        <f>IF(AND(H154&gt;0,ISNUMBER(D154),COUNTIF(Envelopes!$B$6:$B$21,C154)&gt;0,F154&lt;&gt;"",COUNTIF(Envelopes!$B$6:$B$21,F154)&gt;0),1,0)</f>
        <v/>
      </c>
      <c r="K154">
        <f>IF(I154=1,H154*10000+ROW(),"")</f>
        <v/>
      </c>
    </row>
    <row r="155">
      <c r="A155" s="1" t="n"/>
      <c r="B155" s="21" t="n">
        <v>46148</v>
      </c>
      <c r="C155" s="23" t="inlineStr">
        <is>
          <t>Gas</t>
        </is>
      </c>
      <c r="D155" s="22" t="n">
        <v>43.71</v>
      </c>
      <c r="E155" s="24" t="inlineStr">
        <is>
          <t>Gas station</t>
        </is>
      </c>
      <c r="F155" s="25" t="n"/>
      <c r="G155" s="18">
        <f>IF(AND(C155="",D155=""),"",IF(NOT(ISNUMBER(B155)),"Needs a date",IF(NOT(ISNUMBER(D155)),"Needs the amount",IF(C155="","Needs an envelope",IF(COUNTIF(Envelopes!$B$6:$B$21,C155)=0,"Not on Envelopes",IF(F155="",IF(D155=0,"Needs the amount",""),IF(COUNTIF(Envelopes!$B$6:$B$21,F155)=0,"Moved to: not on Envelopes",IF(D155&lt;=0,"A move needs an amount",IF(F155=C155,"Moved to the same envelope","")))))))))</f>
        <v/>
      </c>
      <c r="H155" s="1">
        <f>IF(ISNUMBER(B155),INT(B155),0)</f>
        <v/>
      </c>
      <c r="I155">
        <f>IF(AND(H155&gt;0,ISNUMBER(D155),COUNTIF(Envelopes!$B$6:$B$21,C155)&gt;0,F155=""),1,0)</f>
        <v/>
      </c>
      <c r="J155">
        <f>IF(AND(H155&gt;0,ISNUMBER(D155),COUNTIF(Envelopes!$B$6:$B$21,C155)&gt;0,F155&lt;&gt;"",COUNTIF(Envelopes!$B$6:$B$21,F155)&gt;0),1,0)</f>
        <v/>
      </c>
      <c r="K155">
        <f>IF(I155=1,H155*10000+ROW(),"")</f>
        <v/>
      </c>
    </row>
    <row r="156">
      <c r="A156" s="1" t="n"/>
      <c r="B156" s="21" t="n">
        <v>46148</v>
      </c>
      <c r="C156" s="23" t="inlineStr">
        <is>
          <t>Kids</t>
        </is>
      </c>
      <c r="D156" s="22" t="n">
        <v>34.72</v>
      </c>
      <c r="E156" s="24" t="inlineStr">
        <is>
          <t>Swimming</t>
        </is>
      </c>
      <c r="F156" s="25" t="n"/>
      <c r="G156" s="18">
        <f>IF(AND(C156="",D156=""),"",IF(NOT(ISNUMBER(B156)),"Needs a date",IF(NOT(ISNUMBER(D156)),"Needs the amount",IF(C156="","Needs an envelope",IF(COUNTIF(Envelopes!$B$6:$B$21,C156)=0,"Not on Envelopes",IF(F156="",IF(D156=0,"Needs the amount",""),IF(COUNTIF(Envelopes!$B$6:$B$21,F156)=0,"Moved to: not on Envelopes",IF(D156&lt;=0,"A move needs an amount",IF(F156=C156,"Moved to the same envelope","")))))))))</f>
        <v/>
      </c>
      <c r="H156" s="1">
        <f>IF(ISNUMBER(B156),INT(B156),0)</f>
        <v/>
      </c>
      <c r="I156">
        <f>IF(AND(H156&gt;0,ISNUMBER(D156),COUNTIF(Envelopes!$B$6:$B$21,C156)&gt;0,F156=""),1,0)</f>
        <v/>
      </c>
      <c r="J156">
        <f>IF(AND(H156&gt;0,ISNUMBER(D156),COUNTIF(Envelopes!$B$6:$B$21,C156)&gt;0,F156&lt;&gt;"",COUNTIF(Envelopes!$B$6:$B$21,F156)&gt;0),1,0)</f>
        <v/>
      </c>
      <c r="K156">
        <f>IF(I156=1,H156*10000+ROW(),"")</f>
        <v/>
      </c>
    </row>
    <row r="157">
      <c r="A157" s="1" t="n"/>
      <c r="B157" s="21" t="n">
        <v>46149</v>
      </c>
      <c r="C157" s="23" t="inlineStr">
        <is>
          <t>Groceries</t>
        </is>
      </c>
      <c r="D157" s="22" t="n">
        <v>34.03</v>
      </c>
      <c r="E157" s="24" t="inlineStr">
        <is>
          <t>Bakery</t>
        </is>
      </c>
      <c r="F157" s="25" t="n"/>
      <c r="G157" s="18">
        <f>IF(AND(C157="",D157=""),"",IF(NOT(ISNUMBER(B157)),"Needs a date",IF(NOT(ISNUMBER(D157)),"Needs the amount",IF(C157="","Needs an envelope",IF(COUNTIF(Envelopes!$B$6:$B$21,C157)=0,"Not on Envelopes",IF(F157="",IF(D157=0,"Needs the amount",""),IF(COUNTIF(Envelopes!$B$6:$B$21,F157)=0,"Moved to: not on Envelopes",IF(D157&lt;=0,"A move needs an amount",IF(F157=C157,"Moved to the same envelope","")))))))))</f>
        <v/>
      </c>
      <c r="H157" s="1">
        <f>IF(ISNUMBER(B157),INT(B157),0)</f>
        <v/>
      </c>
      <c r="I157">
        <f>IF(AND(H157&gt;0,ISNUMBER(D157),COUNTIF(Envelopes!$B$6:$B$21,C157)&gt;0,F157=""),1,0)</f>
        <v/>
      </c>
      <c r="J157">
        <f>IF(AND(H157&gt;0,ISNUMBER(D157),COUNTIF(Envelopes!$B$6:$B$21,C157)&gt;0,F157&lt;&gt;"",COUNTIF(Envelopes!$B$6:$B$21,F157)&gt;0),1,0)</f>
        <v/>
      </c>
      <c r="K157">
        <f>IF(I157=1,H157*10000+ROW(),"")</f>
        <v/>
      </c>
    </row>
    <row r="158">
      <c r="A158" s="1" t="n"/>
      <c r="B158" s="21" t="n">
        <v>46151</v>
      </c>
      <c r="C158" s="23" t="inlineStr">
        <is>
          <t>Eating out</t>
        </is>
      </c>
      <c r="D158" s="22" t="n">
        <v>9.77</v>
      </c>
      <c r="E158" s="24" t="inlineStr">
        <is>
          <t>Lunch out</t>
        </is>
      </c>
      <c r="F158" s="25" t="n"/>
      <c r="G158" s="18">
        <f>IF(AND(C158="",D158=""),"",IF(NOT(ISNUMBER(B158)),"Needs a date",IF(NOT(ISNUMBER(D158)),"Needs the amount",IF(C158="","Needs an envelope",IF(COUNTIF(Envelopes!$B$6:$B$21,C158)=0,"Not on Envelopes",IF(F158="",IF(D158=0,"Needs the amount",""),IF(COUNTIF(Envelopes!$B$6:$B$21,F158)=0,"Moved to: not on Envelopes",IF(D158&lt;=0,"A move needs an amount",IF(F158=C158,"Moved to the same envelope","")))))))))</f>
        <v/>
      </c>
      <c r="H158" s="1">
        <f>IF(ISNUMBER(B158),INT(B158),0)</f>
        <v/>
      </c>
      <c r="I158">
        <f>IF(AND(H158&gt;0,ISNUMBER(D158),COUNTIF(Envelopes!$B$6:$B$21,C158)&gt;0,F158=""),1,0)</f>
        <v/>
      </c>
      <c r="J158">
        <f>IF(AND(H158&gt;0,ISNUMBER(D158),COUNTIF(Envelopes!$B$6:$B$21,C158)&gt;0,F158&lt;&gt;"",COUNTIF(Envelopes!$B$6:$B$21,F158)&gt;0),1,0)</f>
        <v/>
      </c>
      <c r="K158">
        <f>IF(I158=1,H158*10000+ROW(),"")</f>
        <v/>
      </c>
    </row>
    <row r="159">
      <c r="A159" s="1" t="n"/>
      <c r="B159" s="21" t="n">
        <v>46152</v>
      </c>
      <c r="C159" s="23" t="inlineStr">
        <is>
          <t>Groceries</t>
        </is>
      </c>
      <c r="D159" s="22" t="n">
        <v>27.97</v>
      </c>
      <c r="E159" s="24" t="inlineStr">
        <is>
          <t>Corner shop</t>
        </is>
      </c>
      <c r="F159" s="25" t="n"/>
      <c r="G159" s="18">
        <f>IF(AND(C159="",D159=""),"",IF(NOT(ISNUMBER(B159)),"Needs a date",IF(NOT(ISNUMBER(D159)),"Needs the amount",IF(C159="","Needs an envelope",IF(COUNTIF(Envelopes!$B$6:$B$21,C159)=0,"Not on Envelopes",IF(F159="",IF(D159=0,"Needs the amount",""),IF(COUNTIF(Envelopes!$B$6:$B$21,F159)=0,"Moved to: not on Envelopes",IF(D159&lt;=0,"A move needs an amount",IF(F159=C159,"Moved to the same envelope","")))))))))</f>
        <v/>
      </c>
      <c r="H159" s="1">
        <f>IF(ISNUMBER(B159),INT(B159),0)</f>
        <v/>
      </c>
      <c r="I159">
        <f>IF(AND(H159&gt;0,ISNUMBER(D159),COUNTIF(Envelopes!$B$6:$B$21,C159)&gt;0,F159=""),1,0)</f>
        <v/>
      </c>
      <c r="J159">
        <f>IF(AND(H159&gt;0,ISNUMBER(D159),COUNTIF(Envelopes!$B$6:$B$21,C159)&gt;0,F159&lt;&gt;"",COUNTIF(Envelopes!$B$6:$B$21,F159)&gt;0),1,0)</f>
        <v/>
      </c>
      <c r="K159">
        <f>IF(I159=1,H159*10000+ROW(),"")</f>
        <v/>
      </c>
    </row>
    <row r="160">
      <c r="A160" s="1" t="n"/>
      <c r="B160" s="21" t="n">
        <v>46152</v>
      </c>
      <c r="C160" s="23" t="inlineStr">
        <is>
          <t>Gas</t>
        </is>
      </c>
      <c r="D160" s="22" t="n">
        <v>12.62</v>
      </c>
      <c r="E160" s="24" t="inlineStr">
        <is>
          <t>Gas station</t>
        </is>
      </c>
      <c r="F160" s="25" t="n"/>
      <c r="G160" s="18">
        <f>IF(AND(C160="",D160=""),"",IF(NOT(ISNUMBER(B160)),"Needs a date",IF(NOT(ISNUMBER(D160)),"Needs the amount",IF(C160="","Needs an envelope",IF(COUNTIF(Envelopes!$B$6:$B$21,C160)=0,"Not on Envelopes",IF(F160="",IF(D160=0,"Needs the amount",""),IF(COUNTIF(Envelopes!$B$6:$B$21,F160)=0,"Moved to: not on Envelopes",IF(D160&lt;=0,"A move needs an amount",IF(F160=C160,"Moved to the same envelope","")))))))))</f>
        <v/>
      </c>
      <c r="H160" s="1">
        <f>IF(ISNUMBER(B160),INT(B160),0)</f>
        <v/>
      </c>
      <c r="I160">
        <f>IF(AND(H160&gt;0,ISNUMBER(D160),COUNTIF(Envelopes!$B$6:$B$21,C160)&gt;0,F160=""),1,0)</f>
        <v/>
      </c>
      <c r="J160">
        <f>IF(AND(H160&gt;0,ISNUMBER(D160),COUNTIF(Envelopes!$B$6:$B$21,C160)&gt;0,F160&lt;&gt;"",COUNTIF(Envelopes!$B$6:$B$21,F160)&gt;0),1,0)</f>
        <v/>
      </c>
      <c r="K160">
        <f>IF(I160=1,H160*10000+ROW(),"")</f>
        <v/>
      </c>
    </row>
    <row r="161">
      <c r="A161" s="1" t="n"/>
      <c r="B161" s="21" t="n">
        <v>46152</v>
      </c>
      <c r="C161" s="23" t="inlineStr">
        <is>
          <t>Household</t>
        </is>
      </c>
      <c r="D161" s="22" t="n">
        <v>29.47</v>
      </c>
      <c r="E161" s="24" t="inlineStr">
        <is>
          <t>Cleaning things</t>
        </is>
      </c>
      <c r="F161" s="25" t="n"/>
      <c r="G161" s="18">
        <f>IF(AND(C161="",D161=""),"",IF(NOT(ISNUMBER(B161)),"Needs a date",IF(NOT(ISNUMBER(D161)),"Needs the amount",IF(C161="","Needs an envelope",IF(COUNTIF(Envelopes!$B$6:$B$21,C161)=0,"Not on Envelopes",IF(F161="",IF(D161=0,"Needs the amount",""),IF(COUNTIF(Envelopes!$B$6:$B$21,F161)=0,"Moved to: not on Envelopes",IF(D161&lt;=0,"A move needs an amount",IF(F161=C161,"Moved to the same envelope","")))))))))</f>
        <v/>
      </c>
      <c r="H161" s="1">
        <f>IF(ISNUMBER(B161),INT(B161),0)</f>
        <v/>
      </c>
      <c r="I161">
        <f>IF(AND(H161&gt;0,ISNUMBER(D161),COUNTIF(Envelopes!$B$6:$B$21,C161)&gt;0,F161=""),1,0)</f>
        <v/>
      </c>
      <c r="J161">
        <f>IF(AND(H161&gt;0,ISNUMBER(D161),COUNTIF(Envelopes!$B$6:$B$21,C161)&gt;0,F161&lt;&gt;"",COUNTIF(Envelopes!$B$6:$B$21,F161)&gt;0),1,0)</f>
        <v/>
      </c>
      <c r="K161">
        <f>IF(I161=1,H161*10000+ROW(),"")</f>
        <v/>
      </c>
    </row>
    <row r="162">
      <c r="A162" s="1" t="n"/>
      <c r="B162" s="21" t="n">
        <v>46153</v>
      </c>
      <c r="C162" s="23" t="inlineStr">
        <is>
          <t>Personal care</t>
        </is>
      </c>
      <c r="D162" s="22" t="n">
        <v>25.21</v>
      </c>
      <c r="E162" s="24" t="inlineStr">
        <is>
          <t>Pharmacy</t>
        </is>
      </c>
      <c r="F162" s="25" t="n"/>
      <c r="G162" s="18">
        <f>IF(AND(C162="",D162=""),"",IF(NOT(ISNUMBER(B162)),"Needs a date",IF(NOT(ISNUMBER(D162)),"Needs the amount",IF(C162="","Needs an envelope",IF(COUNTIF(Envelopes!$B$6:$B$21,C162)=0,"Not on Envelopes",IF(F162="",IF(D162=0,"Needs the amount",""),IF(COUNTIF(Envelopes!$B$6:$B$21,F162)=0,"Moved to: not on Envelopes",IF(D162&lt;=0,"A move needs an amount",IF(F162=C162,"Moved to the same envelope","")))))))))</f>
        <v/>
      </c>
      <c r="H162" s="1">
        <f>IF(ISNUMBER(B162),INT(B162),0)</f>
        <v/>
      </c>
      <c r="I162">
        <f>IF(AND(H162&gt;0,ISNUMBER(D162),COUNTIF(Envelopes!$B$6:$B$21,C162)&gt;0,F162=""),1,0)</f>
        <v/>
      </c>
      <c r="J162">
        <f>IF(AND(H162&gt;0,ISNUMBER(D162),COUNTIF(Envelopes!$B$6:$B$21,C162)&gt;0,F162&lt;&gt;"",COUNTIF(Envelopes!$B$6:$B$21,F162)&gt;0),1,0)</f>
        <v/>
      </c>
      <c r="K162">
        <f>IF(I162=1,H162*10000+ROW(),"")</f>
        <v/>
      </c>
    </row>
    <row r="163">
      <c r="A163" s="1" t="n"/>
      <c r="B163" s="21" t="n">
        <v>46155</v>
      </c>
      <c r="C163" s="23" t="inlineStr">
        <is>
          <t>Groceries</t>
        </is>
      </c>
      <c r="D163" s="22" t="n">
        <v>88.95</v>
      </c>
      <c r="E163" s="24" t="inlineStr">
        <is>
          <t>Corner shop</t>
        </is>
      </c>
      <c r="F163" s="25" t="n"/>
      <c r="G163" s="18">
        <f>IF(AND(C163="",D163=""),"",IF(NOT(ISNUMBER(B163)),"Needs a date",IF(NOT(ISNUMBER(D163)),"Needs the amount",IF(C163="","Needs an envelope",IF(COUNTIF(Envelopes!$B$6:$B$21,C163)=0,"Not on Envelopes",IF(F163="",IF(D163=0,"Needs the amount",""),IF(COUNTIF(Envelopes!$B$6:$B$21,F163)=0,"Moved to: not on Envelopes",IF(D163&lt;=0,"A move needs an amount",IF(F163=C163,"Moved to the same envelope","")))))))))</f>
        <v/>
      </c>
      <c r="H163" s="1">
        <f>IF(ISNUMBER(B163),INT(B163),0)</f>
        <v/>
      </c>
      <c r="I163">
        <f>IF(AND(H163&gt;0,ISNUMBER(D163),COUNTIF(Envelopes!$B$6:$B$21,C163)&gt;0,F163=""),1,0)</f>
        <v/>
      </c>
      <c r="J163">
        <f>IF(AND(H163&gt;0,ISNUMBER(D163),COUNTIF(Envelopes!$B$6:$B$21,C163)&gt;0,F163&lt;&gt;"",COUNTIF(Envelopes!$B$6:$B$21,F163)&gt;0),1,0)</f>
        <v/>
      </c>
      <c r="K163">
        <f>IF(I163=1,H163*10000+ROW(),"")</f>
        <v/>
      </c>
    </row>
    <row r="164">
      <c r="A164" s="1" t="n"/>
      <c r="B164" s="21" t="n">
        <v>46158</v>
      </c>
      <c r="C164" s="23" t="inlineStr">
        <is>
          <t>Gas</t>
        </is>
      </c>
      <c r="D164" s="22" t="n">
        <v>16.06</v>
      </c>
      <c r="E164" s="24" t="inlineStr">
        <is>
          <t>Gas station</t>
        </is>
      </c>
      <c r="F164" s="25" t="n"/>
      <c r="G164" s="18">
        <f>IF(AND(C164="",D164=""),"",IF(NOT(ISNUMBER(B164)),"Needs a date",IF(NOT(ISNUMBER(D164)),"Needs the amount",IF(C164="","Needs an envelope",IF(COUNTIF(Envelopes!$B$6:$B$21,C164)=0,"Not on Envelopes",IF(F164="",IF(D164=0,"Needs the amount",""),IF(COUNTIF(Envelopes!$B$6:$B$21,F164)=0,"Moved to: not on Envelopes",IF(D164&lt;=0,"A move needs an amount",IF(F164=C164,"Moved to the same envelope","")))))))))</f>
        <v/>
      </c>
      <c r="H164" s="1">
        <f>IF(ISNUMBER(B164),INT(B164),0)</f>
        <v/>
      </c>
      <c r="I164">
        <f>IF(AND(H164&gt;0,ISNUMBER(D164),COUNTIF(Envelopes!$B$6:$B$21,C164)&gt;0,F164=""),1,0)</f>
        <v/>
      </c>
      <c r="J164">
        <f>IF(AND(H164&gt;0,ISNUMBER(D164),COUNTIF(Envelopes!$B$6:$B$21,C164)&gt;0,F164&lt;&gt;"",COUNTIF(Envelopes!$B$6:$B$21,F164)&gt;0),1,0)</f>
        <v/>
      </c>
      <c r="K164">
        <f>IF(I164=1,H164*10000+ROW(),"")</f>
        <v/>
      </c>
    </row>
    <row r="165">
      <c r="A165" s="1" t="n"/>
      <c r="B165" s="21" t="n">
        <v>46160</v>
      </c>
      <c r="C165" s="23" t="inlineStr">
        <is>
          <t>Groceries</t>
        </is>
      </c>
      <c r="D165" s="22" t="n">
        <v>38.64</v>
      </c>
      <c r="E165" s="24" t="inlineStr">
        <is>
          <t>Supermarket</t>
        </is>
      </c>
      <c r="F165" s="25" t="n"/>
      <c r="G165" s="18">
        <f>IF(AND(C165="",D165=""),"",IF(NOT(ISNUMBER(B165)),"Needs a date",IF(NOT(ISNUMBER(D165)),"Needs the amount",IF(C165="","Needs an envelope",IF(COUNTIF(Envelopes!$B$6:$B$21,C165)=0,"Not on Envelopes",IF(F165="",IF(D165=0,"Needs the amount",""),IF(COUNTIF(Envelopes!$B$6:$B$21,F165)=0,"Moved to: not on Envelopes",IF(D165&lt;=0,"A move needs an amount",IF(F165=C165,"Moved to the same envelope","")))))))))</f>
        <v/>
      </c>
      <c r="H165" s="1">
        <f>IF(ISNUMBER(B165),INT(B165),0)</f>
        <v/>
      </c>
      <c r="I165">
        <f>IF(AND(H165&gt;0,ISNUMBER(D165),COUNTIF(Envelopes!$B$6:$B$21,C165)&gt;0,F165=""),1,0)</f>
        <v/>
      </c>
      <c r="J165">
        <f>IF(AND(H165&gt;0,ISNUMBER(D165),COUNTIF(Envelopes!$B$6:$B$21,C165)&gt;0,F165&lt;&gt;"",COUNTIF(Envelopes!$B$6:$B$21,F165)&gt;0),1,0)</f>
        <v/>
      </c>
      <c r="K165">
        <f>IF(I165=1,H165*10000+ROW(),"")</f>
        <v/>
      </c>
    </row>
    <row r="166">
      <c r="A166" s="1" t="n"/>
      <c r="B166" s="21" t="n">
        <v>46161</v>
      </c>
      <c r="C166" s="23" t="inlineStr">
        <is>
          <t>Eating out</t>
        </is>
      </c>
      <c r="D166" s="22" t="n">
        <v>23.1</v>
      </c>
      <c r="E166" s="24" t="inlineStr">
        <is>
          <t>Tacos</t>
        </is>
      </c>
      <c r="F166" s="25" t="n"/>
      <c r="G166" s="18">
        <f>IF(AND(C166="",D166=""),"",IF(NOT(ISNUMBER(B166)),"Needs a date",IF(NOT(ISNUMBER(D166)),"Needs the amount",IF(C166="","Needs an envelope",IF(COUNTIF(Envelopes!$B$6:$B$21,C166)=0,"Not on Envelopes",IF(F166="",IF(D166=0,"Needs the amount",""),IF(COUNTIF(Envelopes!$B$6:$B$21,F166)=0,"Moved to: not on Envelopes",IF(D166&lt;=0,"A move needs an amount",IF(F166=C166,"Moved to the same envelope","")))))))))</f>
        <v/>
      </c>
      <c r="H166" s="1">
        <f>IF(ISNUMBER(B166),INT(B166),0)</f>
        <v/>
      </c>
      <c r="I166">
        <f>IF(AND(H166&gt;0,ISNUMBER(D166),COUNTIF(Envelopes!$B$6:$B$21,C166)&gt;0,F166=""),1,0)</f>
        <v/>
      </c>
      <c r="J166">
        <f>IF(AND(H166&gt;0,ISNUMBER(D166),COUNTIF(Envelopes!$B$6:$B$21,C166)&gt;0,F166&lt;&gt;"",COUNTIF(Envelopes!$B$6:$B$21,F166)&gt;0),1,0)</f>
        <v/>
      </c>
      <c r="K166">
        <f>IF(I166=1,H166*10000+ROW(),"")</f>
        <v/>
      </c>
    </row>
    <row r="167">
      <c r="A167" s="1" t="n"/>
      <c r="B167" s="21" t="n">
        <v>46161</v>
      </c>
      <c r="C167" s="23" t="inlineStr">
        <is>
          <t>Kids</t>
        </is>
      </c>
      <c r="D167" s="22" t="n">
        <v>35.48</v>
      </c>
      <c r="E167" s="24" t="inlineStr">
        <is>
          <t>School trip</t>
        </is>
      </c>
      <c r="F167" s="25" t="n"/>
      <c r="G167" s="18">
        <f>IF(AND(C167="",D167=""),"",IF(NOT(ISNUMBER(B167)),"Needs a date",IF(NOT(ISNUMBER(D167)),"Needs the amount",IF(C167="","Needs an envelope",IF(COUNTIF(Envelopes!$B$6:$B$21,C167)=0,"Not on Envelopes",IF(F167="",IF(D167=0,"Needs the amount",""),IF(COUNTIF(Envelopes!$B$6:$B$21,F167)=0,"Moved to: not on Envelopes",IF(D167&lt;=0,"A move needs an amount",IF(F167=C167,"Moved to the same envelope","")))))))))</f>
        <v/>
      </c>
      <c r="H167" s="1">
        <f>IF(ISNUMBER(B167),INT(B167),0)</f>
        <v/>
      </c>
      <c r="I167">
        <f>IF(AND(H167&gt;0,ISNUMBER(D167),COUNTIF(Envelopes!$B$6:$B$21,C167)&gt;0,F167=""),1,0)</f>
        <v/>
      </c>
      <c r="J167">
        <f>IF(AND(H167&gt;0,ISNUMBER(D167),COUNTIF(Envelopes!$B$6:$B$21,C167)&gt;0,F167&lt;&gt;"",COUNTIF(Envelopes!$B$6:$B$21,F167)&gt;0),1,0)</f>
        <v/>
      </c>
      <c r="K167">
        <f>IF(I167=1,H167*10000+ROW(),"")</f>
        <v/>
      </c>
    </row>
    <row r="168">
      <c r="A168" s="1" t="n"/>
      <c r="B168" s="21" t="n">
        <v>46162</v>
      </c>
      <c r="C168" s="23" t="inlineStr">
        <is>
          <t>Emergency fund</t>
        </is>
      </c>
      <c r="D168" s="22" t="n">
        <v>150</v>
      </c>
      <c r="E168" s="24" t="inlineStr">
        <is>
          <t>Vet visit</t>
        </is>
      </c>
      <c r="F168" s="25" t="n"/>
      <c r="G168" s="18">
        <f>IF(AND(C168="",D168=""),"",IF(NOT(ISNUMBER(B168)),"Needs a date",IF(NOT(ISNUMBER(D168)),"Needs the amount",IF(C168="","Needs an envelope",IF(COUNTIF(Envelopes!$B$6:$B$21,C168)=0,"Not on Envelopes",IF(F168="",IF(D168=0,"Needs the amount",""),IF(COUNTIF(Envelopes!$B$6:$B$21,F168)=0,"Moved to: not on Envelopes",IF(D168&lt;=0,"A move needs an amount",IF(F168=C168,"Moved to the same envelope","")))))))))</f>
        <v/>
      </c>
      <c r="H168" s="1">
        <f>IF(ISNUMBER(B168),INT(B168),0)</f>
        <v/>
      </c>
      <c r="I168">
        <f>IF(AND(H168&gt;0,ISNUMBER(D168),COUNTIF(Envelopes!$B$6:$B$21,C168)&gt;0,F168=""),1,0)</f>
        <v/>
      </c>
      <c r="J168">
        <f>IF(AND(H168&gt;0,ISNUMBER(D168),COUNTIF(Envelopes!$B$6:$B$21,C168)&gt;0,F168&lt;&gt;"",COUNTIF(Envelopes!$B$6:$B$21,F168)&gt;0),1,0)</f>
        <v/>
      </c>
      <c r="K168">
        <f>IF(I168=1,H168*10000+ROW(),"")</f>
        <v/>
      </c>
    </row>
    <row r="169">
      <c r="A169" s="1" t="n"/>
      <c r="B169" s="21" t="n">
        <v>46163</v>
      </c>
      <c r="C169" s="23" t="inlineStr">
        <is>
          <t>Groceries</t>
        </is>
      </c>
      <c r="D169" s="22" t="n">
        <v>74.17</v>
      </c>
      <c r="E169" s="24" t="inlineStr">
        <is>
          <t>Farmers market</t>
        </is>
      </c>
      <c r="F169" s="25" t="n"/>
      <c r="G169" s="18">
        <f>IF(AND(C169="",D169=""),"",IF(NOT(ISNUMBER(B169)),"Needs a date",IF(NOT(ISNUMBER(D169)),"Needs the amount",IF(C169="","Needs an envelope",IF(COUNTIF(Envelopes!$B$6:$B$21,C169)=0,"Not on Envelopes",IF(F169="",IF(D169=0,"Needs the amount",""),IF(COUNTIF(Envelopes!$B$6:$B$21,F169)=0,"Moved to: not on Envelopes",IF(D169&lt;=0,"A move needs an amount",IF(F169=C169,"Moved to the same envelope","")))))))))</f>
        <v/>
      </c>
      <c r="H169" s="1">
        <f>IF(ISNUMBER(B169),INT(B169),0)</f>
        <v/>
      </c>
      <c r="I169">
        <f>IF(AND(H169&gt;0,ISNUMBER(D169),COUNTIF(Envelopes!$B$6:$B$21,C169)&gt;0,F169=""),1,0)</f>
        <v/>
      </c>
      <c r="J169">
        <f>IF(AND(H169&gt;0,ISNUMBER(D169),COUNTIF(Envelopes!$B$6:$B$21,C169)&gt;0,F169&lt;&gt;"",COUNTIF(Envelopes!$B$6:$B$21,F169)&gt;0),1,0)</f>
        <v/>
      </c>
      <c r="K169">
        <f>IF(I169=1,H169*10000+ROW(),"")</f>
        <v/>
      </c>
    </row>
    <row r="170">
      <c r="A170" s="1" t="n"/>
      <c r="B170" s="21" t="n">
        <v>46165</v>
      </c>
      <c r="C170" s="23" t="inlineStr">
        <is>
          <t>Groceries</t>
        </is>
      </c>
      <c r="D170" s="22" t="n">
        <v>10.82</v>
      </c>
      <c r="E170" s="24" t="inlineStr">
        <is>
          <t>Corner shop</t>
        </is>
      </c>
      <c r="F170" s="25" t="n"/>
      <c r="G170" s="18">
        <f>IF(AND(C170="",D170=""),"",IF(NOT(ISNUMBER(B170)),"Needs a date",IF(NOT(ISNUMBER(D170)),"Needs the amount",IF(C170="","Needs an envelope",IF(COUNTIF(Envelopes!$B$6:$B$21,C170)=0,"Not on Envelopes",IF(F170="",IF(D170=0,"Needs the amount",""),IF(COUNTIF(Envelopes!$B$6:$B$21,F170)=0,"Moved to: not on Envelopes",IF(D170&lt;=0,"A move needs an amount",IF(F170=C170,"Moved to the same envelope","")))))))))</f>
        <v/>
      </c>
      <c r="H170" s="1">
        <f>IF(ISNUMBER(B170),INT(B170),0)</f>
        <v/>
      </c>
      <c r="I170">
        <f>IF(AND(H170&gt;0,ISNUMBER(D170),COUNTIF(Envelopes!$B$6:$B$21,C170)&gt;0,F170=""),1,0)</f>
        <v/>
      </c>
      <c r="J170">
        <f>IF(AND(H170&gt;0,ISNUMBER(D170),COUNTIF(Envelopes!$B$6:$B$21,C170)&gt;0,F170&lt;&gt;"",COUNTIF(Envelopes!$B$6:$B$21,F170)&gt;0),1,0)</f>
        <v/>
      </c>
      <c r="K170">
        <f>IF(I170=1,H170*10000+ROW(),"")</f>
        <v/>
      </c>
    </row>
    <row r="171">
      <c r="A171" s="1" t="n"/>
      <c r="B171" s="21" t="n">
        <v>46167</v>
      </c>
      <c r="C171" s="23" t="inlineStr">
        <is>
          <t>Groceries</t>
        </is>
      </c>
      <c r="D171" s="22" t="n">
        <v>66.40000000000001</v>
      </c>
      <c r="E171" s="24" t="inlineStr">
        <is>
          <t>Farmers market</t>
        </is>
      </c>
      <c r="F171" s="25" t="n"/>
      <c r="G171" s="18">
        <f>IF(AND(C171="",D171=""),"",IF(NOT(ISNUMBER(B171)),"Needs a date",IF(NOT(ISNUMBER(D171)),"Needs the amount",IF(C171="","Needs an envelope",IF(COUNTIF(Envelopes!$B$6:$B$21,C171)=0,"Not on Envelopes",IF(F171="",IF(D171=0,"Needs the amount",""),IF(COUNTIF(Envelopes!$B$6:$B$21,F171)=0,"Moved to: not on Envelopes",IF(D171&lt;=0,"A move needs an amount",IF(F171=C171,"Moved to the same envelope","")))))))))</f>
        <v/>
      </c>
      <c r="H171" s="1">
        <f>IF(ISNUMBER(B171),INT(B171),0)</f>
        <v/>
      </c>
      <c r="I171">
        <f>IF(AND(H171&gt;0,ISNUMBER(D171),COUNTIF(Envelopes!$B$6:$B$21,C171)&gt;0,F171=""),1,0)</f>
        <v/>
      </c>
      <c r="J171">
        <f>IF(AND(H171&gt;0,ISNUMBER(D171),COUNTIF(Envelopes!$B$6:$B$21,C171)&gt;0,F171&lt;&gt;"",COUNTIF(Envelopes!$B$6:$B$21,F171)&gt;0),1,0)</f>
        <v/>
      </c>
      <c r="K171">
        <f>IF(I171=1,H171*10000+ROW(),"")</f>
        <v/>
      </c>
    </row>
    <row r="172">
      <c r="A172" s="1" t="n"/>
      <c r="B172" s="21" t="n">
        <v>46167</v>
      </c>
      <c r="C172" s="23" t="inlineStr">
        <is>
          <t>Fun money</t>
        </is>
      </c>
      <c r="D172" s="22" t="n">
        <v>24.38</v>
      </c>
      <c r="E172" s="24" t="inlineStr">
        <is>
          <t>Game</t>
        </is>
      </c>
      <c r="F172" s="25" t="n"/>
      <c r="G172" s="18">
        <f>IF(AND(C172="",D172=""),"",IF(NOT(ISNUMBER(B172)),"Needs a date",IF(NOT(ISNUMBER(D172)),"Needs the amount",IF(C172="","Needs an envelope",IF(COUNTIF(Envelopes!$B$6:$B$21,C172)=0,"Not on Envelopes",IF(F172="",IF(D172=0,"Needs the amount",""),IF(COUNTIF(Envelopes!$B$6:$B$21,F172)=0,"Moved to: not on Envelopes",IF(D172&lt;=0,"A move needs an amount",IF(F172=C172,"Moved to the same envelope","")))))))))</f>
        <v/>
      </c>
      <c r="H172" s="1">
        <f>IF(ISNUMBER(B172),INT(B172),0)</f>
        <v/>
      </c>
      <c r="I172">
        <f>IF(AND(H172&gt;0,ISNUMBER(D172),COUNTIF(Envelopes!$B$6:$B$21,C172)&gt;0,F172=""),1,0)</f>
        <v/>
      </c>
      <c r="J172">
        <f>IF(AND(H172&gt;0,ISNUMBER(D172),COUNTIF(Envelopes!$B$6:$B$21,C172)&gt;0,F172&lt;&gt;"",COUNTIF(Envelopes!$B$6:$B$21,F172)&gt;0),1,0)</f>
        <v/>
      </c>
      <c r="K172">
        <f>IF(I172=1,H172*10000+ROW(),"")</f>
        <v/>
      </c>
    </row>
    <row r="173">
      <c r="A173" s="1" t="n"/>
      <c r="B173" s="21" t="n">
        <v>46167</v>
      </c>
      <c r="C173" s="23" t="inlineStr">
        <is>
          <t>Personal care</t>
        </is>
      </c>
      <c r="D173" s="22" t="n">
        <v>25.6</v>
      </c>
      <c r="E173" s="24" t="inlineStr">
        <is>
          <t>Shampoo</t>
        </is>
      </c>
      <c r="F173" s="25" t="n"/>
      <c r="G173" s="18">
        <f>IF(AND(C173="",D173=""),"",IF(NOT(ISNUMBER(B173)),"Needs a date",IF(NOT(ISNUMBER(D173)),"Needs the amount",IF(C173="","Needs an envelope",IF(COUNTIF(Envelopes!$B$6:$B$21,C173)=0,"Not on Envelopes",IF(F173="",IF(D173=0,"Needs the amount",""),IF(COUNTIF(Envelopes!$B$6:$B$21,F173)=0,"Moved to: not on Envelopes",IF(D173&lt;=0,"A move needs an amount",IF(F173=C173,"Moved to the same envelope","")))))))))</f>
        <v/>
      </c>
      <c r="H173" s="1">
        <f>IF(ISNUMBER(B173),INT(B173),0)</f>
        <v/>
      </c>
      <c r="I173">
        <f>IF(AND(H173&gt;0,ISNUMBER(D173),COUNTIF(Envelopes!$B$6:$B$21,C173)&gt;0,F173=""),1,0)</f>
        <v/>
      </c>
      <c r="J173">
        <f>IF(AND(H173&gt;0,ISNUMBER(D173),COUNTIF(Envelopes!$B$6:$B$21,C173)&gt;0,F173&lt;&gt;"",COUNTIF(Envelopes!$B$6:$B$21,F173)&gt;0),1,0)</f>
        <v/>
      </c>
      <c r="K173">
        <f>IF(I173=1,H173*10000+ROW(),"")</f>
        <v/>
      </c>
    </row>
    <row r="174">
      <c r="A174" s="1" t="n"/>
      <c r="B174" s="21" t="n">
        <v>46168</v>
      </c>
      <c r="C174" s="23" t="inlineStr">
        <is>
          <t>Gas</t>
        </is>
      </c>
      <c r="D174" s="22" t="n">
        <v>42.82</v>
      </c>
      <c r="E174" s="24" t="inlineStr">
        <is>
          <t>Gas station</t>
        </is>
      </c>
      <c r="F174" s="25" t="n"/>
      <c r="G174" s="18">
        <f>IF(AND(C174="",D174=""),"",IF(NOT(ISNUMBER(B174)),"Needs a date",IF(NOT(ISNUMBER(D174)),"Needs the amount",IF(C174="","Needs an envelope",IF(COUNTIF(Envelopes!$B$6:$B$21,C174)=0,"Not on Envelopes",IF(F174="",IF(D174=0,"Needs the amount",""),IF(COUNTIF(Envelopes!$B$6:$B$21,F174)=0,"Moved to: not on Envelopes",IF(D174&lt;=0,"A move needs an amount",IF(F174=C174,"Moved to the same envelope","")))))))))</f>
        <v/>
      </c>
      <c r="H174" s="1">
        <f>IF(ISNUMBER(B174),INT(B174),0)</f>
        <v/>
      </c>
      <c r="I174">
        <f>IF(AND(H174&gt;0,ISNUMBER(D174),COUNTIF(Envelopes!$B$6:$B$21,C174)&gt;0,F174=""),1,0)</f>
        <v/>
      </c>
      <c r="J174">
        <f>IF(AND(H174&gt;0,ISNUMBER(D174),COUNTIF(Envelopes!$B$6:$B$21,C174)&gt;0,F174&lt;&gt;"",COUNTIF(Envelopes!$B$6:$B$21,F174)&gt;0),1,0)</f>
        <v/>
      </c>
      <c r="K174">
        <f>IF(I174=1,H174*10000+ROW(),"")</f>
        <v/>
      </c>
    </row>
    <row r="175">
      <c r="A175" s="1" t="n"/>
      <c r="B175" s="21" t="n">
        <v>46168</v>
      </c>
      <c r="C175" s="23" t="inlineStr">
        <is>
          <t>Household</t>
        </is>
      </c>
      <c r="D175" s="22" t="n">
        <v>30.61</v>
      </c>
      <c r="E175" s="24" t="inlineStr">
        <is>
          <t>Light bulbs</t>
        </is>
      </c>
      <c r="F175" s="25" t="n"/>
      <c r="G175" s="18">
        <f>IF(AND(C175="",D175=""),"",IF(NOT(ISNUMBER(B175)),"Needs a date",IF(NOT(ISNUMBER(D175)),"Needs the amount",IF(C175="","Needs an envelope",IF(COUNTIF(Envelopes!$B$6:$B$21,C175)=0,"Not on Envelopes",IF(F175="",IF(D175=0,"Needs the amount",""),IF(COUNTIF(Envelopes!$B$6:$B$21,F175)=0,"Moved to: not on Envelopes",IF(D175&lt;=0,"A move needs an amount",IF(F175=C175,"Moved to the same envelope","")))))))))</f>
        <v/>
      </c>
      <c r="H175" s="1">
        <f>IF(ISNUMBER(B175),INT(B175),0)</f>
        <v/>
      </c>
      <c r="I175">
        <f>IF(AND(H175&gt;0,ISNUMBER(D175),COUNTIF(Envelopes!$B$6:$B$21,C175)&gt;0,F175=""),1,0)</f>
        <v/>
      </c>
      <c r="J175">
        <f>IF(AND(H175&gt;0,ISNUMBER(D175),COUNTIF(Envelopes!$B$6:$B$21,C175)&gt;0,F175&lt;&gt;"",COUNTIF(Envelopes!$B$6:$B$21,F175)&gt;0),1,0)</f>
        <v/>
      </c>
      <c r="K175">
        <f>IF(I175=1,H175*10000+ROW(),"")</f>
        <v/>
      </c>
    </row>
    <row r="176">
      <c r="A176" s="1" t="n"/>
      <c r="B176" s="21" t="n">
        <v>46169</v>
      </c>
      <c r="C176" s="23" t="inlineStr">
        <is>
          <t>Eating out</t>
        </is>
      </c>
      <c r="D176" s="22" t="n">
        <v>8.33</v>
      </c>
      <c r="E176" s="24" t="inlineStr">
        <is>
          <t>Tacos</t>
        </is>
      </c>
      <c r="F176" s="25" t="n"/>
      <c r="G176" s="18">
        <f>IF(AND(C176="",D176=""),"",IF(NOT(ISNUMBER(B176)),"Needs a date",IF(NOT(ISNUMBER(D176)),"Needs the amount",IF(C176="","Needs an envelope",IF(COUNTIF(Envelopes!$B$6:$B$21,C176)=0,"Not on Envelopes",IF(F176="",IF(D176=0,"Needs the amount",""),IF(COUNTIF(Envelopes!$B$6:$B$21,F176)=0,"Moved to: not on Envelopes",IF(D176&lt;=0,"A move needs an amount",IF(F176=C176,"Moved to the same envelope","")))))))))</f>
        <v/>
      </c>
      <c r="H176" s="1">
        <f>IF(ISNUMBER(B176),INT(B176),0)</f>
        <v/>
      </c>
      <c r="I176">
        <f>IF(AND(H176&gt;0,ISNUMBER(D176),COUNTIF(Envelopes!$B$6:$B$21,C176)&gt;0,F176=""),1,0)</f>
        <v/>
      </c>
      <c r="J176">
        <f>IF(AND(H176&gt;0,ISNUMBER(D176),COUNTIF(Envelopes!$B$6:$B$21,C176)&gt;0,F176&lt;&gt;"",COUNTIF(Envelopes!$B$6:$B$21,F176)&gt;0),1,0)</f>
        <v/>
      </c>
      <c r="K176">
        <f>IF(I176=1,H176*10000+ROW(),"")</f>
        <v/>
      </c>
    </row>
    <row r="177">
      <c r="A177" s="1" t="n"/>
      <c r="B177" s="21" t="n">
        <v>46172</v>
      </c>
      <c r="C177" s="23" t="inlineStr">
        <is>
          <t>Groceries</t>
        </is>
      </c>
      <c r="D177" s="22" t="n">
        <v>57.01</v>
      </c>
      <c r="E177" s="24" t="inlineStr">
        <is>
          <t>Farmers market</t>
        </is>
      </c>
      <c r="F177" s="25" t="n"/>
      <c r="G177" s="18">
        <f>IF(AND(C177="",D177=""),"",IF(NOT(ISNUMBER(B177)),"Needs a date",IF(NOT(ISNUMBER(D177)),"Needs the amount",IF(C177="","Needs an envelope",IF(COUNTIF(Envelopes!$B$6:$B$21,C177)=0,"Not on Envelopes",IF(F177="",IF(D177=0,"Needs the amount",""),IF(COUNTIF(Envelopes!$B$6:$B$21,F177)=0,"Moved to: not on Envelopes",IF(D177&lt;=0,"A move needs an amount",IF(F177=C177,"Moved to the same envelope","")))))))))</f>
        <v/>
      </c>
      <c r="H177" s="1">
        <f>IF(ISNUMBER(B177),INT(B177),0)</f>
        <v/>
      </c>
      <c r="I177">
        <f>IF(AND(H177&gt;0,ISNUMBER(D177),COUNTIF(Envelopes!$B$6:$B$21,C177)&gt;0,F177=""),1,0)</f>
        <v/>
      </c>
      <c r="J177">
        <f>IF(AND(H177&gt;0,ISNUMBER(D177),COUNTIF(Envelopes!$B$6:$B$21,C177)&gt;0,F177&lt;&gt;"",COUNTIF(Envelopes!$B$6:$B$21,F177)&gt;0),1,0)</f>
        <v/>
      </c>
      <c r="K177">
        <f>IF(I177=1,H177*10000+ROW(),"")</f>
        <v/>
      </c>
    </row>
    <row r="178">
      <c r="A178" s="1" t="n"/>
      <c r="B178" s="21" t="n">
        <v>46172</v>
      </c>
      <c r="C178" s="23" t="inlineStr">
        <is>
          <t>Kids</t>
        </is>
      </c>
      <c r="D178" s="22" t="n">
        <v>36</v>
      </c>
      <c r="E178" s="24" t="inlineStr">
        <is>
          <t>Art supplies</t>
        </is>
      </c>
      <c r="F178" s="25" t="n"/>
      <c r="G178" s="18">
        <f>IF(AND(C178="",D178=""),"",IF(NOT(ISNUMBER(B178)),"Needs a date",IF(NOT(ISNUMBER(D178)),"Needs the amount",IF(C178="","Needs an envelope",IF(COUNTIF(Envelopes!$B$6:$B$21,C178)=0,"Not on Envelopes",IF(F178="",IF(D178=0,"Needs the amount",""),IF(COUNTIF(Envelopes!$B$6:$B$21,F178)=0,"Moved to: not on Envelopes",IF(D178&lt;=0,"A move needs an amount",IF(F178=C178,"Moved to the same envelope","")))))))))</f>
        <v/>
      </c>
      <c r="H178" s="1">
        <f>IF(ISNUMBER(B178),INT(B178),0)</f>
        <v/>
      </c>
      <c r="I178">
        <f>IF(AND(H178&gt;0,ISNUMBER(D178),COUNTIF(Envelopes!$B$6:$B$21,C178)&gt;0,F178=""),1,0)</f>
        <v/>
      </c>
      <c r="J178">
        <f>IF(AND(H178&gt;0,ISNUMBER(D178),COUNTIF(Envelopes!$B$6:$B$21,C178)&gt;0,F178&lt;&gt;"",COUNTIF(Envelopes!$B$6:$B$21,F178)&gt;0),1,0)</f>
        <v/>
      </c>
      <c r="K178">
        <f>IF(I178=1,H178*10000+ROW(),"")</f>
        <v/>
      </c>
    </row>
    <row r="179">
      <c r="A179" s="1" t="n"/>
      <c r="B179" s="21" t="n">
        <v>46173</v>
      </c>
      <c r="C179" s="23" t="inlineStr">
        <is>
          <t>Gas</t>
        </is>
      </c>
      <c r="D179" s="22" t="n">
        <v>28.49</v>
      </c>
      <c r="E179" s="24" t="inlineStr">
        <is>
          <t>Gas station</t>
        </is>
      </c>
      <c r="F179" s="25" t="n"/>
      <c r="G179" s="18">
        <f>IF(AND(C179="",D179=""),"",IF(NOT(ISNUMBER(B179)),"Needs a date",IF(NOT(ISNUMBER(D179)),"Needs the amount",IF(C179="","Needs an envelope",IF(COUNTIF(Envelopes!$B$6:$B$21,C179)=0,"Not on Envelopes",IF(F179="",IF(D179=0,"Needs the amount",""),IF(COUNTIF(Envelopes!$B$6:$B$21,F179)=0,"Moved to: not on Envelopes",IF(D179&lt;=0,"A move needs an amount",IF(F179=C179,"Moved to the same envelope","")))))))))</f>
        <v/>
      </c>
      <c r="H179" s="1">
        <f>IF(ISNUMBER(B179),INT(B179),0)</f>
        <v/>
      </c>
      <c r="I179">
        <f>IF(AND(H179&gt;0,ISNUMBER(D179),COUNTIF(Envelopes!$B$6:$B$21,C179)&gt;0,F179=""),1,0)</f>
        <v/>
      </c>
      <c r="J179">
        <f>IF(AND(H179&gt;0,ISNUMBER(D179),COUNTIF(Envelopes!$B$6:$B$21,C179)&gt;0,F179&lt;&gt;"",COUNTIF(Envelopes!$B$6:$B$21,F179)&gt;0),1,0)</f>
        <v/>
      </c>
      <c r="K179">
        <f>IF(I179=1,H179*10000+ROW(),"")</f>
        <v/>
      </c>
    </row>
    <row r="180">
      <c r="A180" s="1" t="n"/>
      <c r="B180" s="21" t="n">
        <v>46174</v>
      </c>
      <c r="C180" s="23" t="inlineStr">
        <is>
          <t>Eating out</t>
        </is>
      </c>
      <c r="D180" s="22" t="n">
        <v>26.99</v>
      </c>
      <c r="E180" s="24" t="inlineStr">
        <is>
          <t>Pizza night</t>
        </is>
      </c>
      <c r="F180" s="25" t="n"/>
      <c r="G180" s="18">
        <f>IF(AND(C180="",D180=""),"",IF(NOT(ISNUMBER(B180)),"Needs a date",IF(NOT(ISNUMBER(D180)),"Needs the amount",IF(C180="","Needs an envelope",IF(COUNTIF(Envelopes!$B$6:$B$21,C180)=0,"Not on Envelopes",IF(F180="",IF(D180=0,"Needs the amount",""),IF(COUNTIF(Envelopes!$B$6:$B$21,F180)=0,"Moved to: not on Envelopes",IF(D180&lt;=0,"A move needs an amount",IF(F180=C180,"Moved to the same envelope","")))))))))</f>
        <v/>
      </c>
      <c r="H180" s="1">
        <f>IF(ISNUMBER(B180),INT(B180),0)</f>
        <v/>
      </c>
      <c r="I180">
        <f>IF(AND(H180&gt;0,ISNUMBER(D180),COUNTIF(Envelopes!$B$6:$B$21,C180)&gt;0,F180=""),1,0)</f>
        <v/>
      </c>
      <c r="J180">
        <f>IF(AND(H180&gt;0,ISNUMBER(D180),COUNTIF(Envelopes!$B$6:$B$21,C180)&gt;0,F180&lt;&gt;"",COUNTIF(Envelopes!$B$6:$B$21,F180)&gt;0),1,0)</f>
        <v/>
      </c>
      <c r="K180">
        <f>IF(I180=1,H180*10000+ROW(),"")</f>
        <v/>
      </c>
    </row>
    <row r="181">
      <c r="A181" s="1" t="n"/>
      <c r="B181" s="21" t="n">
        <v>46176</v>
      </c>
      <c r="C181" s="23" t="inlineStr">
        <is>
          <t>Groceries</t>
        </is>
      </c>
      <c r="D181" s="22" t="n">
        <v>10.18</v>
      </c>
      <c r="E181" s="24" t="inlineStr">
        <is>
          <t>Farmers market</t>
        </is>
      </c>
      <c r="F181" s="25" t="n"/>
      <c r="G181" s="18">
        <f>IF(AND(C181="",D181=""),"",IF(NOT(ISNUMBER(B181)),"Needs a date",IF(NOT(ISNUMBER(D181)),"Needs the amount",IF(C181="","Needs an envelope",IF(COUNTIF(Envelopes!$B$6:$B$21,C181)=0,"Not on Envelopes",IF(F181="",IF(D181=0,"Needs the amount",""),IF(COUNTIF(Envelopes!$B$6:$B$21,F181)=0,"Moved to: not on Envelopes",IF(D181&lt;=0,"A move needs an amount",IF(F181=C181,"Moved to the same envelope","")))))))))</f>
        <v/>
      </c>
      <c r="H181" s="1">
        <f>IF(ISNUMBER(B181),INT(B181),0)</f>
        <v/>
      </c>
      <c r="I181">
        <f>IF(AND(H181&gt;0,ISNUMBER(D181),COUNTIF(Envelopes!$B$6:$B$21,C181)&gt;0,F181=""),1,0)</f>
        <v/>
      </c>
      <c r="J181">
        <f>IF(AND(H181&gt;0,ISNUMBER(D181),COUNTIF(Envelopes!$B$6:$B$21,C181)&gt;0,F181&lt;&gt;"",COUNTIF(Envelopes!$B$6:$B$21,F181)&gt;0),1,0)</f>
        <v/>
      </c>
      <c r="K181">
        <f>IF(I181=1,H181*10000+ROW(),"")</f>
        <v/>
      </c>
    </row>
    <row r="182">
      <c r="A182" s="1" t="n"/>
      <c r="B182" s="21" t="n">
        <v>46178</v>
      </c>
      <c r="C182" s="23" t="inlineStr">
        <is>
          <t>Household</t>
        </is>
      </c>
      <c r="D182" s="22" t="n">
        <v>27.21</v>
      </c>
      <c r="E182" s="24" t="inlineStr">
        <is>
          <t>Light bulbs</t>
        </is>
      </c>
      <c r="F182" s="25" t="n"/>
      <c r="G182" s="18">
        <f>IF(AND(C182="",D182=""),"",IF(NOT(ISNUMBER(B182)),"Needs a date",IF(NOT(ISNUMBER(D182)),"Needs the amount",IF(C182="","Needs an envelope",IF(COUNTIF(Envelopes!$B$6:$B$21,C182)=0,"Not on Envelopes",IF(F182="",IF(D182=0,"Needs the amount",""),IF(COUNTIF(Envelopes!$B$6:$B$21,F182)=0,"Moved to: not on Envelopes",IF(D182&lt;=0,"A move needs an amount",IF(F182=C182,"Moved to the same envelope","")))))))))</f>
        <v/>
      </c>
      <c r="H182" s="1">
        <f>IF(ISNUMBER(B182),INT(B182),0)</f>
        <v/>
      </c>
      <c r="I182">
        <f>IF(AND(H182&gt;0,ISNUMBER(D182),COUNTIF(Envelopes!$B$6:$B$21,C182)&gt;0,F182=""),1,0)</f>
        <v/>
      </c>
      <c r="J182">
        <f>IF(AND(H182&gt;0,ISNUMBER(D182),COUNTIF(Envelopes!$B$6:$B$21,C182)&gt;0,F182&lt;&gt;"",COUNTIF(Envelopes!$B$6:$B$21,F182)&gt;0),1,0)</f>
        <v/>
      </c>
      <c r="K182">
        <f>IF(I182=1,H182*10000+ROW(),"")</f>
        <v/>
      </c>
    </row>
    <row r="183">
      <c r="A183" s="1" t="n"/>
      <c r="B183" s="21" t="n">
        <v>46180</v>
      </c>
      <c r="C183" s="23" t="inlineStr">
        <is>
          <t>Groceries</t>
        </is>
      </c>
      <c r="D183" s="22" t="n">
        <v>55.94</v>
      </c>
      <c r="E183" s="24" t="inlineStr">
        <is>
          <t>Supermarket</t>
        </is>
      </c>
      <c r="F183" s="25" t="n"/>
      <c r="G183" s="18">
        <f>IF(AND(C183="",D183=""),"",IF(NOT(ISNUMBER(B183)),"Needs a date",IF(NOT(ISNUMBER(D183)),"Needs the amount",IF(C183="","Needs an envelope",IF(COUNTIF(Envelopes!$B$6:$B$21,C183)=0,"Not on Envelopes",IF(F183="",IF(D183=0,"Needs the amount",""),IF(COUNTIF(Envelopes!$B$6:$B$21,F183)=0,"Moved to: not on Envelopes",IF(D183&lt;=0,"A move needs an amount",IF(F183=C183,"Moved to the same envelope","")))))))))</f>
        <v/>
      </c>
      <c r="H183" s="1">
        <f>IF(ISNUMBER(B183),INT(B183),0)</f>
        <v/>
      </c>
      <c r="I183">
        <f>IF(AND(H183&gt;0,ISNUMBER(D183),COUNTIF(Envelopes!$B$6:$B$21,C183)&gt;0,F183=""),1,0)</f>
        <v/>
      </c>
      <c r="J183">
        <f>IF(AND(H183&gt;0,ISNUMBER(D183),COUNTIF(Envelopes!$B$6:$B$21,C183)&gt;0,F183&lt;&gt;"",COUNTIF(Envelopes!$B$6:$B$21,F183)&gt;0),1,0)</f>
        <v/>
      </c>
      <c r="K183">
        <f>IF(I183=1,H183*10000+ROW(),"")</f>
        <v/>
      </c>
    </row>
    <row r="184">
      <c r="A184" s="1" t="n"/>
      <c r="B184" s="21" t="n">
        <v>46181</v>
      </c>
      <c r="C184" s="23" t="inlineStr">
        <is>
          <t>Gas</t>
        </is>
      </c>
      <c r="D184" s="22" t="n">
        <v>34.89</v>
      </c>
      <c r="E184" s="24" t="inlineStr">
        <is>
          <t>Gas station</t>
        </is>
      </c>
      <c r="F184" s="25" t="n"/>
      <c r="G184" s="18">
        <f>IF(AND(C184="",D184=""),"",IF(NOT(ISNUMBER(B184)),"Needs a date",IF(NOT(ISNUMBER(D184)),"Needs the amount",IF(C184="","Needs an envelope",IF(COUNTIF(Envelopes!$B$6:$B$21,C184)=0,"Not on Envelopes",IF(F184="",IF(D184=0,"Needs the amount",""),IF(COUNTIF(Envelopes!$B$6:$B$21,F184)=0,"Moved to: not on Envelopes",IF(D184&lt;=0,"A move needs an amount",IF(F184=C184,"Moved to the same envelope","")))))))))</f>
        <v/>
      </c>
      <c r="H184" s="1">
        <f>IF(ISNUMBER(B184),INT(B184),0)</f>
        <v/>
      </c>
      <c r="I184">
        <f>IF(AND(H184&gt;0,ISNUMBER(D184),COUNTIF(Envelopes!$B$6:$B$21,C184)&gt;0,F184=""),1,0)</f>
        <v/>
      </c>
      <c r="J184">
        <f>IF(AND(H184&gt;0,ISNUMBER(D184),COUNTIF(Envelopes!$B$6:$B$21,C184)&gt;0,F184&lt;&gt;"",COUNTIF(Envelopes!$B$6:$B$21,F184)&gt;0),1,0)</f>
        <v/>
      </c>
      <c r="K184">
        <f>IF(I184=1,H184*10000+ROW(),"")</f>
        <v/>
      </c>
    </row>
    <row r="185">
      <c r="A185" s="1" t="n"/>
      <c r="B185" s="21" t="n">
        <v>46181</v>
      </c>
      <c r="C185" s="23" t="inlineStr">
        <is>
          <t>Personal care</t>
        </is>
      </c>
      <c r="D185" s="22" t="n">
        <v>24.67</v>
      </c>
      <c r="E185" s="24" t="inlineStr">
        <is>
          <t>Shampoo</t>
        </is>
      </c>
      <c r="F185" s="25" t="n"/>
      <c r="G185" s="18">
        <f>IF(AND(C185="",D185=""),"",IF(NOT(ISNUMBER(B185)),"Needs a date",IF(NOT(ISNUMBER(D185)),"Needs the amount",IF(C185="","Needs an envelope",IF(COUNTIF(Envelopes!$B$6:$B$21,C185)=0,"Not on Envelopes",IF(F185="",IF(D185=0,"Needs the amount",""),IF(COUNTIF(Envelopes!$B$6:$B$21,F185)=0,"Moved to: not on Envelopes",IF(D185&lt;=0,"A move needs an amount",IF(F185=C185,"Moved to the same envelope","")))))))))</f>
        <v/>
      </c>
      <c r="H185" s="1">
        <f>IF(ISNUMBER(B185),INT(B185),0)</f>
        <v/>
      </c>
      <c r="I185">
        <f>IF(AND(H185&gt;0,ISNUMBER(D185),COUNTIF(Envelopes!$B$6:$B$21,C185)&gt;0,F185=""),1,0)</f>
        <v/>
      </c>
      <c r="J185">
        <f>IF(AND(H185&gt;0,ISNUMBER(D185),COUNTIF(Envelopes!$B$6:$B$21,C185)&gt;0,F185&lt;&gt;"",COUNTIF(Envelopes!$B$6:$B$21,F185)&gt;0),1,0)</f>
        <v/>
      </c>
      <c r="K185">
        <f>IF(I185=1,H185*10000+ROW(),"")</f>
        <v/>
      </c>
    </row>
    <row r="186">
      <c r="A186" s="1" t="n"/>
      <c r="B186" s="21" t="n">
        <v>46183</v>
      </c>
      <c r="C186" s="23" t="inlineStr">
        <is>
          <t>Groceries</t>
        </is>
      </c>
      <c r="D186" s="22" t="n">
        <v>44.19</v>
      </c>
      <c r="E186" s="24" t="inlineStr">
        <is>
          <t>Bakery</t>
        </is>
      </c>
      <c r="F186" s="25" t="n"/>
      <c r="G186" s="18">
        <f>IF(AND(C186="",D186=""),"",IF(NOT(ISNUMBER(B186)),"Needs a date",IF(NOT(ISNUMBER(D186)),"Needs the amount",IF(C186="","Needs an envelope",IF(COUNTIF(Envelopes!$B$6:$B$21,C186)=0,"Not on Envelopes",IF(F186="",IF(D186=0,"Needs the amount",""),IF(COUNTIF(Envelopes!$B$6:$B$21,F186)=0,"Moved to: not on Envelopes",IF(D186&lt;=0,"A move needs an amount",IF(F186=C186,"Moved to the same envelope","")))))))))</f>
        <v/>
      </c>
      <c r="H186" s="1">
        <f>IF(ISNUMBER(B186),INT(B186),0)</f>
        <v/>
      </c>
      <c r="I186">
        <f>IF(AND(H186&gt;0,ISNUMBER(D186),COUNTIF(Envelopes!$B$6:$B$21,C186)&gt;0,F186=""),1,0)</f>
        <v/>
      </c>
      <c r="J186">
        <f>IF(AND(H186&gt;0,ISNUMBER(D186),COUNTIF(Envelopes!$B$6:$B$21,C186)&gt;0,F186&lt;&gt;"",COUNTIF(Envelopes!$B$6:$B$21,F186)&gt;0),1,0)</f>
        <v/>
      </c>
      <c r="K186">
        <f>IF(I186=1,H186*10000+ROW(),"")</f>
        <v/>
      </c>
    </row>
    <row r="187">
      <c r="A187" s="1" t="n"/>
      <c r="B187" s="21" t="n">
        <v>46183</v>
      </c>
      <c r="C187" s="23" t="inlineStr">
        <is>
          <t>Fun money</t>
        </is>
      </c>
      <c r="D187" s="22" t="n">
        <v>31.08</v>
      </c>
      <c r="E187" s="24" t="inlineStr">
        <is>
          <t>Game</t>
        </is>
      </c>
      <c r="F187" s="25" t="n"/>
      <c r="G187" s="18">
        <f>IF(AND(C187="",D187=""),"",IF(NOT(ISNUMBER(B187)),"Needs a date",IF(NOT(ISNUMBER(D187)),"Needs the amount",IF(C187="","Needs an envelope",IF(COUNTIF(Envelopes!$B$6:$B$21,C187)=0,"Not on Envelopes",IF(F187="",IF(D187=0,"Needs the amount",""),IF(COUNTIF(Envelopes!$B$6:$B$21,F187)=0,"Moved to: not on Envelopes",IF(D187&lt;=0,"A move needs an amount",IF(F187=C187,"Moved to the same envelope","")))))))))</f>
        <v/>
      </c>
      <c r="H187" s="1">
        <f>IF(ISNUMBER(B187),INT(B187),0)</f>
        <v/>
      </c>
      <c r="I187">
        <f>IF(AND(H187&gt;0,ISNUMBER(D187),COUNTIF(Envelopes!$B$6:$B$21,C187)&gt;0,F187=""),1,0)</f>
        <v/>
      </c>
      <c r="J187">
        <f>IF(AND(H187&gt;0,ISNUMBER(D187),COUNTIF(Envelopes!$B$6:$B$21,C187)&gt;0,F187&lt;&gt;"",COUNTIF(Envelopes!$B$6:$B$21,F187)&gt;0),1,0)</f>
        <v/>
      </c>
      <c r="K187">
        <f>IF(I187=1,H187*10000+ROW(),"")</f>
        <v/>
      </c>
    </row>
    <row r="188">
      <c r="A188" s="1" t="n"/>
      <c r="B188" s="21" t="n">
        <v>46183</v>
      </c>
      <c r="C188" s="23" t="inlineStr">
        <is>
          <t>Car repairs</t>
        </is>
      </c>
      <c r="D188" s="22" t="n">
        <v>380</v>
      </c>
      <c r="E188" s="24" t="inlineStr">
        <is>
          <t>New tires</t>
        </is>
      </c>
      <c r="F188" s="25" t="n"/>
      <c r="G188" s="18">
        <f>IF(AND(C188="",D188=""),"",IF(NOT(ISNUMBER(B188)),"Needs a date",IF(NOT(ISNUMBER(D188)),"Needs the amount",IF(C188="","Needs an envelope",IF(COUNTIF(Envelopes!$B$6:$B$21,C188)=0,"Not on Envelopes",IF(F188="",IF(D188=0,"Needs the amount",""),IF(COUNTIF(Envelopes!$B$6:$B$21,F188)=0,"Moved to: not on Envelopes",IF(D188&lt;=0,"A move needs an amount",IF(F188=C188,"Moved to the same envelope","")))))))))</f>
        <v/>
      </c>
      <c r="H188" s="1">
        <f>IF(ISNUMBER(B188),INT(B188),0)</f>
        <v/>
      </c>
      <c r="I188">
        <f>IF(AND(H188&gt;0,ISNUMBER(D188),COUNTIF(Envelopes!$B$6:$B$21,C188)&gt;0,F188=""),1,0)</f>
        <v/>
      </c>
      <c r="J188">
        <f>IF(AND(H188&gt;0,ISNUMBER(D188),COUNTIF(Envelopes!$B$6:$B$21,C188)&gt;0,F188&lt;&gt;"",COUNTIF(Envelopes!$B$6:$B$21,F188)&gt;0),1,0)</f>
        <v/>
      </c>
      <c r="K188">
        <f>IF(I188=1,H188*10000+ROW(),"")</f>
        <v/>
      </c>
    </row>
    <row r="189">
      <c r="A189" s="1" t="n"/>
      <c r="B189" s="21" t="n">
        <v>46184</v>
      </c>
      <c r="C189" s="23" t="inlineStr">
        <is>
          <t>Eating out</t>
        </is>
      </c>
      <c r="D189" s="22" t="n">
        <v>13.94</v>
      </c>
      <c r="E189" s="24" t="inlineStr">
        <is>
          <t>Coffee and cake</t>
        </is>
      </c>
      <c r="F189" s="25" t="n"/>
      <c r="G189" s="18">
        <f>IF(AND(C189="",D189=""),"",IF(NOT(ISNUMBER(B189)),"Needs a date",IF(NOT(ISNUMBER(D189)),"Needs the amount",IF(C189="","Needs an envelope",IF(COUNTIF(Envelopes!$B$6:$B$21,C189)=0,"Not on Envelopes",IF(F189="",IF(D189=0,"Needs the amount",""),IF(COUNTIF(Envelopes!$B$6:$B$21,F189)=0,"Moved to: not on Envelopes",IF(D189&lt;=0,"A move needs an amount",IF(F189=C189,"Moved to the same envelope","")))))))))</f>
        <v/>
      </c>
      <c r="H189" s="1">
        <f>IF(ISNUMBER(B189),INT(B189),0)</f>
        <v/>
      </c>
      <c r="I189">
        <f>IF(AND(H189&gt;0,ISNUMBER(D189),COUNTIF(Envelopes!$B$6:$B$21,C189)&gt;0,F189=""),1,0)</f>
        <v/>
      </c>
      <c r="J189">
        <f>IF(AND(H189&gt;0,ISNUMBER(D189),COUNTIF(Envelopes!$B$6:$B$21,C189)&gt;0,F189&lt;&gt;"",COUNTIF(Envelopes!$B$6:$B$21,F189)&gt;0),1,0)</f>
        <v/>
      </c>
      <c r="K189">
        <f>IF(I189=1,H189*10000+ROW(),"")</f>
        <v/>
      </c>
    </row>
    <row r="190">
      <c r="A190" s="1" t="n"/>
      <c r="B190" s="21" t="n">
        <v>46184</v>
      </c>
      <c r="C190" s="23" t="inlineStr">
        <is>
          <t>Eating out</t>
        </is>
      </c>
      <c r="D190" s="22" t="n">
        <v>12.57</v>
      </c>
      <c r="E190" s="24" t="inlineStr">
        <is>
          <t>Leftover to savings</t>
        </is>
      </c>
      <c r="F190" s="25" t="inlineStr">
        <is>
          <t>Emergency fund</t>
        </is>
      </c>
      <c r="G190" s="18">
        <f>IF(AND(C190="",D190=""),"",IF(NOT(ISNUMBER(B190)),"Needs a date",IF(NOT(ISNUMBER(D190)),"Needs the amount",IF(C190="","Needs an envelope",IF(COUNTIF(Envelopes!$B$6:$B$21,C190)=0,"Not on Envelopes",IF(F190="",IF(D190=0,"Needs the amount",""),IF(COUNTIF(Envelopes!$B$6:$B$21,F190)=0,"Moved to: not on Envelopes",IF(D190&lt;=0,"A move needs an amount",IF(F190=C190,"Moved to the same envelope","")))))))))</f>
        <v/>
      </c>
      <c r="H190" s="1">
        <f>IF(ISNUMBER(B190),INT(B190),0)</f>
        <v/>
      </c>
      <c r="I190">
        <f>IF(AND(H190&gt;0,ISNUMBER(D190),COUNTIF(Envelopes!$B$6:$B$21,C190)&gt;0,F190=""),1,0)</f>
        <v/>
      </c>
      <c r="J190">
        <f>IF(AND(H190&gt;0,ISNUMBER(D190),COUNTIF(Envelopes!$B$6:$B$21,C190)&gt;0,F190&lt;&gt;"",COUNTIF(Envelopes!$B$6:$B$21,F190)&gt;0),1,0)</f>
        <v/>
      </c>
      <c r="K190">
        <f>IF(I190=1,H190*10000+ROW(),"")</f>
        <v/>
      </c>
    </row>
    <row r="191">
      <c r="A191" s="1" t="n"/>
      <c r="B191" s="21" t="n">
        <v>46184</v>
      </c>
      <c r="C191" s="23" t="inlineStr">
        <is>
          <t>Fun money</t>
        </is>
      </c>
      <c r="D191" s="22" t="n">
        <v>8.65</v>
      </c>
      <c r="E191" s="24" t="inlineStr">
        <is>
          <t>Leftover to savings</t>
        </is>
      </c>
      <c r="F191" s="25" t="inlineStr">
        <is>
          <t>Emergency fund</t>
        </is>
      </c>
      <c r="G191" s="18">
        <f>IF(AND(C191="",D191=""),"",IF(NOT(ISNUMBER(B191)),"Needs a date",IF(NOT(ISNUMBER(D191)),"Needs the amount",IF(C191="","Needs an envelope",IF(COUNTIF(Envelopes!$B$6:$B$21,C191)=0,"Not on Envelopes",IF(F191="",IF(D191=0,"Needs the amount",""),IF(COUNTIF(Envelopes!$B$6:$B$21,F191)=0,"Moved to: not on Envelopes",IF(D191&lt;=0,"A move needs an amount",IF(F191=C191,"Moved to the same envelope","")))))))))</f>
        <v/>
      </c>
      <c r="H191" s="1">
        <f>IF(ISNUMBER(B191),INT(B191),0)</f>
        <v/>
      </c>
      <c r="I191">
        <f>IF(AND(H191&gt;0,ISNUMBER(D191),COUNTIF(Envelopes!$B$6:$B$21,C191)&gt;0,F191=""),1,0)</f>
        <v/>
      </c>
      <c r="J191">
        <f>IF(AND(H191&gt;0,ISNUMBER(D191),COUNTIF(Envelopes!$B$6:$B$21,C191)&gt;0,F191&lt;&gt;"",COUNTIF(Envelopes!$B$6:$B$21,F191)&gt;0),1,0)</f>
        <v/>
      </c>
      <c r="K191">
        <f>IF(I191=1,H191*10000+ROW(),"")</f>
        <v/>
      </c>
    </row>
    <row r="192">
      <c r="A192" s="1" t="n"/>
      <c r="B192" s="21" t="n">
        <v>46188</v>
      </c>
      <c r="C192" s="23" t="inlineStr">
        <is>
          <t>Groceries</t>
        </is>
      </c>
      <c r="D192" s="22" t="n">
        <v>114.98</v>
      </c>
      <c r="E192" s="24" t="inlineStr">
        <is>
          <t>Supermarket</t>
        </is>
      </c>
      <c r="F192" s="25" t="n"/>
      <c r="G192" s="18">
        <f>IF(AND(C192="",D192=""),"",IF(NOT(ISNUMBER(B192)),"Needs a date",IF(NOT(ISNUMBER(D192)),"Needs the amount",IF(C192="","Needs an envelope",IF(COUNTIF(Envelopes!$B$6:$B$21,C192)=0,"Not on Envelopes",IF(F192="",IF(D192=0,"Needs the amount",""),IF(COUNTIF(Envelopes!$B$6:$B$21,F192)=0,"Moved to: not on Envelopes",IF(D192&lt;=0,"A move needs an amount",IF(F192=C192,"Moved to the same envelope","")))))))))</f>
        <v/>
      </c>
      <c r="H192" s="1">
        <f>IF(ISNUMBER(B192),INT(B192),0)</f>
        <v/>
      </c>
      <c r="I192">
        <f>IF(AND(H192&gt;0,ISNUMBER(D192),COUNTIF(Envelopes!$B$6:$B$21,C192)&gt;0,F192=""),1,0)</f>
        <v/>
      </c>
      <c r="J192">
        <f>IF(AND(H192&gt;0,ISNUMBER(D192),COUNTIF(Envelopes!$B$6:$B$21,C192)&gt;0,F192&lt;&gt;"",COUNTIF(Envelopes!$B$6:$B$21,F192)&gt;0),1,0)</f>
        <v/>
      </c>
      <c r="K192">
        <f>IF(I192=1,H192*10000+ROW(),"")</f>
        <v/>
      </c>
    </row>
    <row r="193">
      <c r="A193" s="1" t="n"/>
      <c r="B193" s="21" t="n">
        <v>46188</v>
      </c>
      <c r="C193" s="23" t="inlineStr">
        <is>
          <t>Gas</t>
        </is>
      </c>
      <c r="D193" s="22" t="n">
        <v>22.52</v>
      </c>
      <c r="E193" s="24" t="inlineStr">
        <is>
          <t>Gas station</t>
        </is>
      </c>
      <c r="F193" s="25" t="n"/>
      <c r="G193" s="18">
        <f>IF(AND(C193="",D193=""),"",IF(NOT(ISNUMBER(B193)),"Needs a date",IF(NOT(ISNUMBER(D193)),"Needs the amount",IF(C193="","Needs an envelope",IF(COUNTIF(Envelopes!$B$6:$B$21,C193)=0,"Not on Envelopes",IF(F193="",IF(D193=0,"Needs the amount",""),IF(COUNTIF(Envelopes!$B$6:$B$21,F193)=0,"Moved to: not on Envelopes",IF(D193&lt;=0,"A move needs an amount",IF(F193=C193,"Moved to the same envelope","")))))))))</f>
        <v/>
      </c>
      <c r="H193" s="1">
        <f>IF(ISNUMBER(B193),INT(B193),0)</f>
        <v/>
      </c>
      <c r="I193">
        <f>IF(AND(H193&gt;0,ISNUMBER(D193),COUNTIF(Envelopes!$B$6:$B$21,C193)&gt;0,F193=""),1,0)</f>
        <v/>
      </c>
      <c r="J193">
        <f>IF(AND(H193&gt;0,ISNUMBER(D193),COUNTIF(Envelopes!$B$6:$B$21,C193)&gt;0,F193&lt;&gt;"",COUNTIF(Envelopes!$B$6:$B$21,F193)&gt;0),1,0)</f>
        <v/>
      </c>
      <c r="K193">
        <f>IF(I193=1,H193*10000+ROW(),"")</f>
        <v/>
      </c>
    </row>
    <row r="194">
      <c r="A194" s="1" t="n"/>
      <c r="B194" s="21" t="n">
        <v>46188</v>
      </c>
      <c r="C194" s="23" t="inlineStr">
        <is>
          <t>Eating out</t>
        </is>
      </c>
      <c r="D194" s="22" t="n">
        <v>12.8</v>
      </c>
      <c r="E194" s="24" t="inlineStr">
        <is>
          <t>Pizza night</t>
        </is>
      </c>
      <c r="F194" s="25" t="n"/>
      <c r="G194" s="18">
        <f>IF(AND(C194="",D194=""),"",IF(NOT(ISNUMBER(B194)),"Needs a date",IF(NOT(ISNUMBER(D194)),"Needs the amount",IF(C194="","Needs an envelope",IF(COUNTIF(Envelopes!$B$6:$B$21,C194)=0,"Not on Envelopes",IF(F194="",IF(D194=0,"Needs the amount",""),IF(COUNTIF(Envelopes!$B$6:$B$21,F194)=0,"Moved to: not on Envelopes",IF(D194&lt;=0,"A move needs an amount",IF(F194=C194,"Moved to the same envelope","")))))))))</f>
        <v/>
      </c>
      <c r="H194" s="1">
        <f>IF(ISNUMBER(B194),INT(B194),0)</f>
        <v/>
      </c>
      <c r="I194">
        <f>IF(AND(H194&gt;0,ISNUMBER(D194),COUNTIF(Envelopes!$B$6:$B$21,C194)&gt;0,F194=""),1,0)</f>
        <v/>
      </c>
      <c r="J194">
        <f>IF(AND(H194&gt;0,ISNUMBER(D194),COUNTIF(Envelopes!$B$6:$B$21,C194)&gt;0,F194&lt;&gt;"",COUNTIF(Envelopes!$B$6:$B$21,F194)&gt;0),1,0)</f>
        <v/>
      </c>
      <c r="K194">
        <f>IF(I194=1,H194*10000+ROW(),"")</f>
        <v/>
      </c>
    </row>
    <row r="195">
      <c r="A195" s="1" t="n"/>
      <c r="B195" s="21" t="n">
        <v>46188</v>
      </c>
      <c r="C195" s="23" t="inlineStr">
        <is>
          <t>Household</t>
        </is>
      </c>
      <c r="D195" s="22" t="n">
        <v>29.77</v>
      </c>
      <c r="E195" s="24" t="inlineStr">
        <is>
          <t>Cleaning things</t>
        </is>
      </c>
      <c r="F195" s="25" t="n"/>
      <c r="G195" s="18">
        <f>IF(AND(C195="",D195=""),"",IF(NOT(ISNUMBER(B195)),"Needs a date",IF(NOT(ISNUMBER(D195)),"Needs the amount",IF(C195="","Needs an envelope",IF(COUNTIF(Envelopes!$B$6:$B$21,C195)=0,"Not on Envelopes",IF(F195="",IF(D195=0,"Needs the amount",""),IF(COUNTIF(Envelopes!$B$6:$B$21,F195)=0,"Moved to: not on Envelopes",IF(D195&lt;=0,"A move needs an amount",IF(F195=C195,"Moved to the same envelope","")))))))))</f>
        <v/>
      </c>
      <c r="H195" s="1">
        <f>IF(ISNUMBER(B195),INT(B195),0)</f>
        <v/>
      </c>
      <c r="I195">
        <f>IF(AND(H195&gt;0,ISNUMBER(D195),COUNTIF(Envelopes!$B$6:$B$21,C195)&gt;0,F195=""),1,0)</f>
        <v/>
      </c>
      <c r="J195">
        <f>IF(AND(H195&gt;0,ISNUMBER(D195),COUNTIF(Envelopes!$B$6:$B$21,C195)&gt;0,F195&lt;&gt;"",COUNTIF(Envelopes!$B$6:$B$21,F195)&gt;0),1,0)</f>
        <v/>
      </c>
      <c r="K195">
        <f>IF(I195=1,H195*10000+ROW(),"")</f>
        <v/>
      </c>
    </row>
    <row r="196">
      <c r="A196" s="1" t="n"/>
      <c r="B196" s="21" t="n">
        <v>46189</v>
      </c>
      <c r="C196" s="23" t="inlineStr">
        <is>
          <t>Kids</t>
        </is>
      </c>
      <c r="D196" s="22" t="n">
        <v>34.03</v>
      </c>
      <c r="E196" s="24" t="inlineStr">
        <is>
          <t>Swimming</t>
        </is>
      </c>
      <c r="F196" s="25" t="n"/>
      <c r="G196" s="18">
        <f>IF(AND(C196="",D196=""),"",IF(NOT(ISNUMBER(B196)),"Needs a date",IF(NOT(ISNUMBER(D196)),"Needs the amount",IF(C196="","Needs an envelope",IF(COUNTIF(Envelopes!$B$6:$B$21,C196)=0,"Not on Envelopes",IF(F196="",IF(D196=0,"Needs the amount",""),IF(COUNTIF(Envelopes!$B$6:$B$21,F196)=0,"Moved to: not on Envelopes",IF(D196&lt;=0,"A move needs an amount",IF(F196=C196,"Moved to the same envelope","")))))))))</f>
        <v/>
      </c>
      <c r="H196" s="1">
        <f>IF(ISNUMBER(B196),INT(B196),0)</f>
        <v/>
      </c>
      <c r="I196">
        <f>IF(AND(H196&gt;0,ISNUMBER(D196),COUNTIF(Envelopes!$B$6:$B$21,C196)&gt;0,F196=""),1,0)</f>
        <v/>
      </c>
      <c r="J196">
        <f>IF(AND(H196&gt;0,ISNUMBER(D196),COUNTIF(Envelopes!$B$6:$B$21,C196)&gt;0,F196&lt;&gt;"",COUNTIF(Envelopes!$B$6:$B$21,F196)&gt;0),1,0)</f>
        <v/>
      </c>
      <c r="K196">
        <f>IF(I196=1,H196*10000+ROW(),"")</f>
        <v/>
      </c>
    </row>
    <row r="197">
      <c r="A197" s="1" t="n"/>
      <c r="B197" s="21" t="n">
        <v>46190</v>
      </c>
      <c r="C197" s="23" t="inlineStr">
        <is>
          <t>Fun money</t>
        </is>
      </c>
      <c r="D197" s="22" t="n">
        <v>9.75</v>
      </c>
      <c r="E197" s="24" t="inlineStr">
        <is>
          <t>Cinema</t>
        </is>
      </c>
      <c r="F197" s="25" t="n"/>
      <c r="G197" s="18">
        <f>IF(AND(C197="",D197=""),"",IF(NOT(ISNUMBER(B197)),"Needs a date",IF(NOT(ISNUMBER(D197)),"Needs the amount",IF(C197="","Needs an envelope",IF(COUNTIF(Envelopes!$B$6:$B$21,C197)=0,"Not on Envelopes",IF(F197="",IF(D197=0,"Needs the amount",""),IF(COUNTIF(Envelopes!$B$6:$B$21,F197)=0,"Moved to: not on Envelopes",IF(D197&lt;=0,"A move needs an amount",IF(F197=C197,"Moved to the same envelope","")))))))))</f>
        <v/>
      </c>
      <c r="H197" s="1">
        <f>IF(ISNUMBER(B197),INT(B197),0)</f>
        <v/>
      </c>
      <c r="I197">
        <f>IF(AND(H197&gt;0,ISNUMBER(D197),COUNTIF(Envelopes!$B$6:$B$21,C197)&gt;0,F197=""),1,0)</f>
        <v/>
      </c>
      <c r="J197">
        <f>IF(AND(H197&gt;0,ISNUMBER(D197),COUNTIF(Envelopes!$B$6:$B$21,C197)&gt;0,F197&lt;&gt;"",COUNTIF(Envelopes!$B$6:$B$21,F197)&gt;0),1,0)</f>
        <v/>
      </c>
      <c r="K197">
        <f>IF(I197=1,H197*10000+ROW(),"")</f>
        <v/>
      </c>
    </row>
    <row r="198">
      <c r="A198" s="1" t="n"/>
      <c r="B198" s="21" t="n">
        <v>46192</v>
      </c>
      <c r="C198" s="23" t="inlineStr">
        <is>
          <t>Groceries</t>
        </is>
      </c>
      <c r="D198" s="22" t="n">
        <v>8.039999999999999</v>
      </c>
      <c r="E198" s="24" t="inlineStr">
        <is>
          <t>Supermarket</t>
        </is>
      </c>
      <c r="F198" s="25" t="n"/>
      <c r="G198" s="18">
        <f>IF(AND(C198="",D198=""),"",IF(NOT(ISNUMBER(B198)),"Needs a date",IF(NOT(ISNUMBER(D198)),"Needs the amount",IF(C198="","Needs an envelope",IF(COUNTIF(Envelopes!$B$6:$B$21,C198)=0,"Not on Envelopes",IF(F198="",IF(D198=0,"Needs the amount",""),IF(COUNTIF(Envelopes!$B$6:$B$21,F198)=0,"Moved to: not on Envelopes",IF(D198&lt;=0,"A move needs an amount",IF(F198=C198,"Moved to the same envelope","")))))))))</f>
        <v/>
      </c>
      <c r="H198" s="1">
        <f>IF(ISNUMBER(B198),INT(B198),0)</f>
        <v/>
      </c>
      <c r="I198">
        <f>IF(AND(H198&gt;0,ISNUMBER(D198),COUNTIF(Envelopes!$B$6:$B$21,C198)&gt;0,F198=""),1,0)</f>
        <v/>
      </c>
      <c r="J198">
        <f>IF(AND(H198&gt;0,ISNUMBER(D198),COUNTIF(Envelopes!$B$6:$B$21,C198)&gt;0,F198&lt;&gt;"",COUNTIF(Envelopes!$B$6:$B$21,F198)&gt;0),1,0)</f>
        <v/>
      </c>
      <c r="K198">
        <f>IF(I198=1,H198*10000+ROW(),"")</f>
        <v/>
      </c>
    </row>
    <row r="199">
      <c r="A199" s="1" t="n"/>
      <c r="B199" s="21" t="n">
        <v>46192</v>
      </c>
      <c r="C199" s="23" t="inlineStr">
        <is>
          <t>Groceries</t>
        </is>
      </c>
      <c r="D199" s="22" t="n">
        <v>4.61</v>
      </c>
      <c r="E199" s="24" t="inlineStr">
        <is>
          <t>Corner shop</t>
        </is>
      </c>
      <c r="F199" s="25" t="n"/>
      <c r="G199" s="18">
        <f>IF(AND(C199="",D199=""),"",IF(NOT(ISNUMBER(B199)),"Needs a date",IF(NOT(ISNUMBER(D199)),"Needs the amount",IF(C199="","Needs an envelope",IF(COUNTIF(Envelopes!$B$6:$B$21,C199)=0,"Not on Envelopes",IF(F199="",IF(D199=0,"Needs the amount",""),IF(COUNTIF(Envelopes!$B$6:$B$21,F199)=0,"Moved to: not on Envelopes",IF(D199&lt;=0,"A move needs an amount",IF(F199=C199,"Moved to the same envelope","")))))))))</f>
        <v/>
      </c>
      <c r="H199" s="1">
        <f>IF(ISNUMBER(B199),INT(B199),0)</f>
        <v/>
      </c>
      <c r="I199">
        <f>IF(AND(H199&gt;0,ISNUMBER(D199),COUNTIF(Envelopes!$B$6:$B$21,C199)&gt;0,F199=""),1,0)</f>
        <v/>
      </c>
      <c r="J199">
        <f>IF(AND(H199&gt;0,ISNUMBER(D199),COUNTIF(Envelopes!$B$6:$B$21,C199)&gt;0,F199&lt;&gt;"",COUNTIF(Envelopes!$B$6:$B$21,F199)&gt;0),1,0)</f>
        <v/>
      </c>
      <c r="K199">
        <f>IF(I199=1,H199*10000+ROW(),"")</f>
        <v/>
      </c>
    </row>
    <row r="200">
      <c r="A200" s="1" t="n"/>
      <c r="B200" s="21" t="n">
        <v>46194</v>
      </c>
      <c r="C200" s="23" t="inlineStr">
        <is>
          <t>Gas</t>
        </is>
      </c>
      <c r="D200" s="22" t="n">
        <v>40.72</v>
      </c>
      <c r="E200" s="24" t="inlineStr">
        <is>
          <t>Gas station</t>
        </is>
      </c>
      <c r="F200" s="25" t="n"/>
      <c r="G200" s="18">
        <f>IF(AND(C200="",D200=""),"",IF(NOT(ISNUMBER(B200)),"Needs a date",IF(NOT(ISNUMBER(D200)),"Needs the amount",IF(C200="","Needs an envelope",IF(COUNTIF(Envelopes!$B$6:$B$21,C200)=0,"Not on Envelopes",IF(F200="",IF(D200=0,"Needs the amount",""),IF(COUNTIF(Envelopes!$B$6:$B$21,F200)=0,"Moved to: not on Envelopes",IF(D200&lt;=0,"A move needs an amount",IF(F200=C200,"Moved to the same envelope","")))))))))</f>
        <v/>
      </c>
      <c r="H200" s="1">
        <f>IF(ISNUMBER(B200),INT(B200),0)</f>
        <v/>
      </c>
      <c r="I200">
        <f>IF(AND(H200&gt;0,ISNUMBER(D200),COUNTIF(Envelopes!$B$6:$B$21,C200)&gt;0,F200=""),1,0)</f>
        <v/>
      </c>
      <c r="J200">
        <f>IF(AND(H200&gt;0,ISNUMBER(D200),COUNTIF(Envelopes!$B$6:$B$21,C200)&gt;0,F200&lt;&gt;"",COUNTIF(Envelopes!$B$6:$B$21,F200)&gt;0),1,0)</f>
        <v/>
      </c>
      <c r="K200">
        <f>IF(I200=1,H200*10000+ROW(),"")</f>
        <v/>
      </c>
    </row>
    <row r="201">
      <c r="A201" s="1" t="n"/>
      <c r="B201" s="21" t="n">
        <v>46194</v>
      </c>
      <c r="C201" s="23" t="inlineStr">
        <is>
          <t>Personal care</t>
        </is>
      </c>
      <c r="D201" s="22" t="n">
        <v>24.09</v>
      </c>
      <c r="E201" s="24" t="inlineStr">
        <is>
          <t>Haircut</t>
        </is>
      </c>
      <c r="F201" s="25" t="n"/>
      <c r="G201" s="18">
        <f>IF(AND(C201="",D201=""),"",IF(NOT(ISNUMBER(B201)),"Needs a date",IF(NOT(ISNUMBER(D201)),"Needs the amount",IF(C201="","Needs an envelope",IF(COUNTIF(Envelopes!$B$6:$B$21,C201)=0,"Not on Envelopes",IF(F201="",IF(D201=0,"Needs the amount",""),IF(COUNTIF(Envelopes!$B$6:$B$21,F201)=0,"Moved to: not on Envelopes",IF(D201&lt;=0,"A move needs an amount",IF(F201=C201,"Moved to the same envelope","")))))))))</f>
        <v/>
      </c>
      <c r="H201" s="1">
        <f>IF(ISNUMBER(B201),INT(B201),0)</f>
        <v/>
      </c>
      <c r="I201">
        <f>IF(AND(H201&gt;0,ISNUMBER(D201),COUNTIF(Envelopes!$B$6:$B$21,C201)&gt;0,F201=""),1,0)</f>
        <v/>
      </c>
      <c r="J201">
        <f>IF(AND(H201&gt;0,ISNUMBER(D201),COUNTIF(Envelopes!$B$6:$B$21,C201)&gt;0,F201&lt;&gt;"",COUNTIF(Envelopes!$B$6:$B$21,F201)&gt;0),1,0)</f>
        <v/>
      </c>
      <c r="K201">
        <f>IF(I201=1,H201*10000+ROW(),"")</f>
        <v/>
      </c>
    </row>
    <row r="202">
      <c r="A202" s="1" t="n"/>
      <c r="B202" s="21" t="n">
        <v>46195</v>
      </c>
      <c r="C202" s="23" t="inlineStr">
        <is>
          <t>Eating out</t>
        </is>
      </c>
      <c r="D202" s="22" t="n">
        <v>3.81</v>
      </c>
      <c r="E202" s="24" t="inlineStr">
        <is>
          <t>Pizza night</t>
        </is>
      </c>
      <c r="F202" s="25" t="n"/>
      <c r="G202" s="18">
        <f>IF(AND(C202="",D202=""),"",IF(NOT(ISNUMBER(B202)),"Needs a date",IF(NOT(ISNUMBER(D202)),"Needs the amount",IF(C202="","Needs an envelope",IF(COUNTIF(Envelopes!$B$6:$B$21,C202)=0,"Not on Envelopes",IF(F202="",IF(D202=0,"Needs the amount",""),IF(COUNTIF(Envelopes!$B$6:$B$21,F202)=0,"Moved to: not on Envelopes",IF(D202&lt;=0,"A move needs an amount",IF(F202=C202,"Moved to the same envelope","")))))))))</f>
        <v/>
      </c>
      <c r="H202" s="1">
        <f>IF(ISNUMBER(B202),INT(B202),0)</f>
        <v/>
      </c>
      <c r="I202">
        <f>IF(AND(H202&gt;0,ISNUMBER(D202),COUNTIF(Envelopes!$B$6:$B$21,C202)&gt;0,F202=""),1,0)</f>
        <v/>
      </c>
      <c r="J202">
        <f>IF(AND(H202&gt;0,ISNUMBER(D202),COUNTIF(Envelopes!$B$6:$B$21,C202)&gt;0,F202&lt;&gt;"",COUNTIF(Envelopes!$B$6:$B$21,F202)&gt;0),1,0)</f>
        <v/>
      </c>
      <c r="K202">
        <f>IF(I202=1,H202*10000+ROW(),"")</f>
        <v/>
      </c>
    </row>
    <row r="203">
      <c r="A203" s="1" t="n"/>
      <c r="B203" s="21" t="n">
        <v>46196</v>
      </c>
      <c r="C203" s="23" t="inlineStr">
        <is>
          <t>Groceries</t>
        </is>
      </c>
      <c r="D203" s="22" t="n">
        <v>53.58</v>
      </c>
      <c r="E203" s="24" t="inlineStr">
        <is>
          <t>Corner shop</t>
        </is>
      </c>
      <c r="F203" s="25" t="n"/>
      <c r="G203" s="18">
        <f>IF(AND(C203="",D203=""),"",IF(NOT(ISNUMBER(B203)),"Needs a date",IF(NOT(ISNUMBER(D203)),"Needs the amount",IF(C203="","Needs an envelope",IF(COUNTIF(Envelopes!$B$6:$B$21,C203)=0,"Not on Envelopes",IF(F203="",IF(D203=0,"Needs the amount",""),IF(COUNTIF(Envelopes!$B$6:$B$21,F203)=0,"Moved to: not on Envelopes",IF(D203&lt;=0,"A move needs an amount",IF(F203=C203,"Moved to the same envelope","")))))))))</f>
        <v/>
      </c>
      <c r="H203" s="1">
        <f>IF(ISNUMBER(B203),INT(B203),0)</f>
        <v/>
      </c>
      <c r="I203">
        <f>IF(AND(H203&gt;0,ISNUMBER(D203),COUNTIF(Envelopes!$B$6:$B$21,C203)&gt;0,F203=""),1,0)</f>
        <v/>
      </c>
      <c r="J203">
        <f>IF(AND(H203&gt;0,ISNUMBER(D203),COUNTIF(Envelopes!$B$6:$B$21,C203)&gt;0,F203&lt;&gt;"",COUNTIF(Envelopes!$B$6:$B$21,F203)&gt;0),1,0)</f>
        <v/>
      </c>
      <c r="K203">
        <f>IF(I203=1,H203*10000+ROW(),"")</f>
        <v/>
      </c>
    </row>
    <row r="204">
      <c r="A204" s="1" t="n"/>
      <c r="B204" s="21" t="n">
        <v>46202</v>
      </c>
      <c r="C204" s="23" t="inlineStr">
        <is>
          <t>Groceries</t>
        </is>
      </c>
      <c r="D204" s="22" t="n">
        <v>59.53</v>
      </c>
      <c r="E204" s="24" t="inlineStr">
        <is>
          <t>Farmers market</t>
        </is>
      </c>
      <c r="F204" s="25" t="n"/>
      <c r="G204" s="18">
        <f>IF(AND(C204="",D204=""),"",IF(NOT(ISNUMBER(B204)),"Needs a date",IF(NOT(ISNUMBER(D204)),"Needs the amount",IF(C204="","Needs an envelope",IF(COUNTIF(Envelopes!$B$6:$B$21,C204)=0,"Not on Envelopes",IF(F204="",IF(D204=0,"Needs the amount",""),IF(COUNTIF(Envelopes!$B$6:$B$21,F204)=0,"Moved to: not on Envelopes",IF(D204&lt;=0,"A move needs an amount",IF(F204=C204,"Moved to the same envelope","")))))))))</f>
        <v/>
      </c>
      <c r="H204" s="1">
        <f>IF(ISNUMBER(B204),INT(B204),0)</f>
        <v/>
      </c>
      <c r="I204">
        <f>IF(AND(H204&gt;0,ISNUMBER(D204),COUNTIF(Envelopes!$B$6:$B$21,C204)&gt;0,F204=""),1,0)</f>
        <v/>
      </c>
      <c r="J204">
        <f>IF(AND(H204&gt;0,ISNUMBER(D204),COUNTIF(Envelopes!$B$6:$B$21,C204)&gt;0,F204&lt;&gt;"",COUNTIF(Envelopes!$B$6:$B$21,F204)&gt;0),1,0)</f>
        <v/>
      </c>
      <c r="K204">
        <f>IF(I204=1,H204*10000+ROW(),"")</f>
        <v/>
      </c>
    </row>
    <row r="205">
      <c r="A205" s="1" t="n"/>
      <c r="B205" s="21" t="n">
        <v>46203</v>
      </c>
      <c r="C205" s="23" t="inlineStr">
        <is>
          <t>Gas</t>
        </is>
      </c>
      <c r="D205" s="22" t="n">
        <v>42.74</v>
      </c>
      <c r="E205" s="24" t="inlineStr">
        <is>
          <t>Gas station</t>
        </is>
      </c>
      <c r="F205" s="25" t="n"/>
      <c r="G205" s="18">
        <f>IF(AND(C205="",D205=""),"",IF(NOT(ISNUMBER(B205)),"Needs a date",IF(NOT(ISNUMBER(D205)),"Needs the amount",IF(C205="","Needs an envelope",IF(COUNTIF(Envelopes!$B$6:$B$21,C205)=0,"Not on Envelopes",IF(F205="",IF(D205=0,"Needs the amount",""),IF(COUNTIF(Envelopes!$B$6:$B$21,F205)=0,"Moved to: not on Envelopes",IF(D205&lt;=0,"A move needs an amount",IF(F205=C205,"Moved to the same envelope","")))))))))</f>
        <v/>
      </c>
      <c r="H205" s="1">
        <f>IF(ISNUMBER(B205),INT(B205),0)</f>
        <v/>
      </c>
      <c r="I205">
        <f>IF(AND(H205&gt;0,ISNUMBER(D205),COUNTIF(Envelopes!$B$6:$B$21,C205)&gt;0,F205=""),1,0)</f>
        <v/>
      </c>
      <c r="J205">
        <f>IF(AND(H205&gt;0,ISNUMBER(D205),COUNTIF(Envelopes!$B$6:$B$21,C205)&gt;0,F205&lt;&gt;"",COUNTIF(Envelopes!$B$6:$B$21,F205)&gt;0),1,0)</f>
        <v/>
      </c>
      <c r="K205">
        <f>IF(I205=1,H205*10000+ROW(),"")</f>
        <v/>
      </c>
    </row>
    <row r="206">
      <c r="A206" s="1" t="n"/>
      <c r="B206" s="21" t="n">
        <v>46204</v>
      </c>
      <c r="C206" s="23" t="inlineStr">
        <is>
          <t>Eating out</t>
        </is>
      </c>
      <c r="D206" s="22" t="n">
        <v>23.73</v>
      </c>
      <c r="E206" s="24" t="inlineStr">
        <is>
          <t>Pizza night</t>
        </is>
      </c>
      <c r="F206" s="25" t="n"/>
      <c r="G206" s="18">
        <f>IF(AND(C206="",D206=""),"",IF(NOT(ISNUMBER(B206)),"Needs a date",IF(NOT(ISNUMBER(D206)),"Needs the amount",IF(C206="","Needs an envelope",IF(COUNTIF(Envelopes!$B$6:$B$21,C206)=0,"Not on Envelopes",IF(F206="",IF(D206=0,"Needs the amount",""),IF(COUNTIF(Envelopes!$B$6:$B$21,F206)=0,"Moved to: not on Envelopes",IF(D206&lt;=0,"A move needs an amount",IF(F206=C206,"Moved to the same envelope","")))))))))</f>
        <v/>
      </c>
      <c r="H206" s="1">
        <f>IF(ISNUMBER(B206),INT(B206),0)</f>
        <v/>
      </c>
      <c r="I206">
        <f>IF(AND(H206&gt;0,ISNUMBER(D206),COUNTIF(Envelopes!$B$6:$B$21,C206)&gt;0,F206=""),1,0)</f>
        <v/>
      </c>
      <c r="J206">
        <f>IF(AND(H206&gt;0,ISNUMBER(D206),COUNTIF(Envelopes!$B$6:$B$21,C206)&gt;0,F206&lt;&gt;"",COUNTIF(Envelopes!$B$6:$B$21,F206)&gt;0),1,0)</f>
        <v/>
      </c>
      <c r="K206">
        <f>IF(I206=1,H206*10000+ROW(),"")</f>
        <v/>
      </c>
    </row>
    <row r="207">
      <c r="A207" s="1" t="n"/>
      <c r="B207" s="21" t="n">
        <v>46205</v>
      </c>
      <c r="C207" s="23" t="inlineStr">
        <is>
          <t>Groceries</t>
        </is>
      </c>
      <c r="D207" s="22" t="n">
        <v>37.36</v>
      </c>
      <c r="E207" s="24" t="inlineStr">
        <is>
          <t>Supermarket</t>
        </is>
      </c>
      <c r="F207" s="25" t="n"/>
      <c r="G207" s="18">
        <f>IF(AND(C207="",D207=""),"",IF(NOT(ISNUMBER(B207)),"Needs a date",IF(NOT(ISNUMBER(D207)),"Needs the amount",IF(C207="","Needs an envelope",IF(COUNTIF(Envelopes!$B$6:$B$21,C207)=0,"Not on Envelopes",IF(F207="",IF(D207=0,"Needs the amount",""),IF(COUNTIF(Envelopes!$B$6:$B$21,F207)=0,"Moved to: not on Envelopes",IF(D207&lt;=0,"A move needs an amount",IF(F207=C207,"Moved to the same envelope","")))))))))</f>
        <v/>
      </c>
      <c r="H207" s="1">
        <f>IF(ISNUMBER(B207),INT(B207),0)</f>
        <v/>
      </c>
      <c r="I207">
        <f>IF(AND(H207&gt;0,ISNUMBER(D207),COUNTIF(Envelopes!$B$6:$B$21,C207)&gt;0,F207=""),1,0)</f>
        <v/>
      </c>
      <c r="J207">
        <f>IF(AND(H207&gt;0,ISNUMBER(D207),COUNTIF(Envelopes!$B$6:$B$21,C207)&gt;0,F207&lt;&gt;"",COUNTIF(Envelopes!$B$6:$B$21,F207)&gt;0),1,0)</f>
        <v/>
      </c>
      <c r="K207">
        <f>IF(I207=1,H207*10000+ROW(),"")</f>
        <v/>
      </c>
    </row>
    <row r="208">
      <c r="A208" s="1" t="n"/>
      <c r="B208" s="21" t="n">
        <v>46205</v>
      </c>
      <c r="C208" s="23" t="inlineStr">
        <is>
          <t>Household</t>
        </is>
      </c>
      <c r="D208" s="22" t="n">
        <v>32.71</v>
      </c>
      <c r="E208" s="24" t="inlineStr">
        <is>
          <t>Light bulbs</t>
        </is>
      </c>
      <c r="F208" s="25" t="n"/>
      <c r="G208" s="18">
        <f>IF(AND(C208="",D208=""),"",IF(NOT(ISNUMBER(B208)),"Needs a date",IF(NOT(ISNUMBER(D208)),"Needs the amount",IF(C208="","Needs an envelope",IF(COUNTIF(Envelopes!$B$6:$B$21,C208)=0,"Not on Envelopes",IF(F208="",IF(D208=0,"Needs the amount",""),IF(COUNTIF(Envelopes!$B$6:$B$21,F208)=0,"Moved to: not on Envelopes",IF(D208&lt;=0,"A move needs an amount",IF(F208=C208,"Moved to the same envelope","")))))))))</f>
        <v/>
      </c>
      <c r="H208" s="1">
        <f>IF(ISNUMBER(B208),INT(B208),0)</f>
        <v/>
      </c>
      <c r="I208">
        <f>IF(AND(H208&gt;0,ISNUMBER(D208),COUNTIF(Envelopes!$B$6:$B$21,C208)&gt;0,F208=""),1,0)</f>
        <v/>
      </c>
      <c r="J208">
        <f>IF(AND(H208&gt;0,ISNUMBER(D208),COUNTIF(Envelopes!$B$6:$B$21,C208)&gt;0,F208&lt;&gt;"",COUNTIF(Envelopes!$B$6:$B$21,F208)&gt;0),1,0)</f>
        <v/>
      </c>
      <c r="K208">
        <f>IF(I208=1,H208*10000+ROW(),"")</f>
        <v/>
      </c>
    </row>
    <row r="209">
      <c r="A209" s="1" t="n"/>
      <c r="B209" s="21" t="n">
        <v>46207</v>
      </c>
      <c r="C209" s="23" t="inlineStr">
        <is>
          <t>Fun money</t>
        </is>
      </c>
      <c r="D209" s="22" t="n">
        <v>25.87</v>
      </c>
      <c r="E209" s="24" t="inlineStr">
        <is>
          <t>Cinema</t>
        </is>
      </c>
      <c r="F209" s="25" t="n"/>
      <c r="G209" s="18">
        <f>IF(AND(C209="",D209=""),"",IF(NOT(ISNUMBER(B209)),"Needs a date",IF(NOT(ISNUMBER(D209)),"Needs the amount",IF(C209="","Needs an envelope",IF(COUNTIF(Envelopes!$B$6:$B$21,C209)=0,"Not on Envelopes",IF(F209="",IF(D209=0,"Needs the amount",""),IF(COUNTIF(Envelopes!$B$6:$B$21,F209)=0,"Moved to: not on Envelopes",IF(D209&lt;=0,"A move needs an amount",IF(F209=C209,"Moved to the same envelope","")))))))))</f>
        <v/>
      </c>
      <c r="H209" s="1">
        <f>IF(ISNUMBER(B209),INT(B209),0)</f>
        <v/>
      </c>
      <c r="I209">
        <f>IF(AND(H209&gt;0,ISNUMBER(D209),COUNTIF(Envelopes!$B$6:$B$21,C209)&gt;0,F209=""),1,0)</f>
        <v/>
      </c>
      <c r="J209">
        <f>IF(AND(H209&gt;0,ISNUMBER(D209),COUNTIF(Envelopes!$B$6:$B$21,C209)&gt;0,F209&lt;&gt;"",COUNTIF(Envelopes!$B$6:$B$21,F209)&gt;0),1,0)</f>
        <v/>
      </c>
      <c r="K209">
        <f>IF(I209=1,H209*10000+ROW(),"")</f>
        <v/>
      </c>
    </row>
    <row r="210">
      <c r="A210" s="1" t="n"/>
      <c r="B210" s="21" t="n">
        <v>46207</v>
      </c>
      <c r="C210" s="23" t="inlineStr">
        <is>
          <t>Personal care</t>
        </is>
      </c>
      <c r="D210" s="22" t="n">
        <v>24.94</v>
      </c>
      <c r="E210" s="24" t="inlineStr">
        <is>
          <t>Haircut</t>
        </is>
      </c>
      <c r="F210" s="25" t="n"/>
      <c r="G210" s="18">
        <f>IF(AND(C210="",D210=""),"",IF(NOT(ISNUMBER(B210)),"Needs a date",IF(NOT(ISNUMBER(D210)),"Needs the amount",IF(C210="","Needs an envelope",IF(COUNTIF(Envelopes!$B$6:$B$21,C210)=0,"Not on Envelopes",IF(F210="",IF(D210=0,"Needs the amount",""),IF(COUNTIF(Envelopes!$B$6:$B$21,F210)=0,"Moved to: not on Envelopes",IF(D210&lt;=0,"A move needs an amount",IF(F210=C210,"Moved to the same envelope","")))))))))</f>
        <v/>
      </c>
      <c r="H210" s="1">
        <f>IF(ISNUMBER(B210),INT(B210),0)</f>
        <v/>
      </c>
      <c r="I210">
        <f>IF(AND(H210&gt;0,ISNUMBER(D210),COUNTIF(Envelopes!$B$6:$B$21,C210)&gt;0,F210=""),1,0)</f>
        <v/>
      </c>
      <c r="J210">
        <f>IF(AND(H210&gt;0,ISNUMBER(D210),COUNTIF(Envelopes!$B$6:$B$21,C210)&gt;0,F210&lt;&gt;"",COUNTIF(Envelopes!$B$6:$B$21,F210)&gt;0),1,0)</f>
        <v/>
      </c>
      <c r="K210">
        <f>IF(I210=1,H210*10000+ROW(),"")</f>
        <v/>
      </c>
    </row>
    <row r="211">
      <c r="A211" s="1" t="n"/>
      <c r="B211" s="21" t="n">
        <v>46208</v>
      </c>
      <c r="C211" s="23" t="inlineStr">
        <is>
          <t>Kids</t>
        </is>
      </c>
      <c r="D211" s="22" t="n">
        <v>37.9</v>
      </c>
      <c r="E211" s="24" t="inlineStr">
        <is>
          <t>School trip</t>
        </is>
      </c>
      <c r="F211" s="25" t="n"/>
      <c r="G211" s="18">
        <f>IF(AND(C211="",D211=""),"",IF(NOT(ISNUMBER(B211)),"Needs a date",IF(NOT(ISNUMBER(D211)),"Needs the amount",IF(C211="","Needs an envelope",IF(COUNTIF(Envelopes!$B$6:$B$21,C211)=0,"Not on Envelopes",IF(F211="",IF(D211=0,"Needs the amount",""),IF(COUNTIF(Envelopes!$B$6:$B$21,F211)=0,"Moved to: not on Envelopes",IF(D211&lt;=0,"A move needs an amount",IF(F211=C211,"Moved to the same envelope","")))))))))</f>
        <v/>
      </c>
      <c r="H211" s="1">
        <f>IF(ISNUMBER(B211),INT(B211),0)</f>
        <v/>
      </c>
      <c r="I211">
        <f>IF(AND(H211&gt;0,ISNUMBER(D211),COUNTIF(Envelopes!$B$6:$B$21,C211)&gt;0,F211=""),1,0)</f>
        <v/>
      </c>
      <c r="J211">
        <f>IF(AND(H211&gt;0,ISNUMBER(D211),COUNTIF(Envelopes!$B$6:$B$21,C211)&gt;0,F211&lt;&gt;"",COUNTIF(Envelopes!$B$6:$B$21,F211)&gt;0),1,0)</f>
        <v/>
      </c>
      <c r="K211">
        <f>IF(I211=1,H211*10000+ROW(),"")</f>
        <v/>
      </c>
    </row>
    <row r="212">
      <c r="A212" s="1" t="n"/>
      <c r="B212" s="21" t="n">
        <v>46209</v>
      </c>
      <c r="C212" s="23" t="inlineStr">
        <is>
          <t>Groceries</t>
        </is>
      </c>
      <c r="D212" s="22" t="n">
        <v>14.63</v>
      </c>
      <c r="E212" s="24" t="inlineStr">
        <is>
          <t>Farmers market</t>
        </is>
      </c>
      <c r="F212" s="25" t="n"/>
      <c r="G212" s="18">
        <f>IF(AND(C212="",D212=""),"",IF(NOT(ISNUMBER(B212)),"Needs a date",IF(NOT(ISNUMBER(D212)),"Needs the amount",IF(C212="","Needs an envelope",IF(COUNTIF(Envelopes!$B$6:$B$21,C212)=0,"Not on Envelopes",IF(F212="",IF(D212=0,"Needs the amount",""),IF(COUNTIF(Envelopes!$B$6:$B$21,F212)=0,"Moved to: not on Envelopes",IF(D212&lt;=0,"A move needs an amount",IF(F212=C212,"Moved to the same envelope","")))))))))</f>
        <v/>
      </c>
      <c r="H212" s="1">
        <f>IF(ISNUMBER(B212),INT(B212),0)</f>
        <v/>
      </c>
      <c r="I212">
        <f>IF(AND(H212&gt;0,ISNUMBER(D212),COUNTIF(Envelopes!$B$6:$B$21,C212)&gt;0,F212=""),1,0)</f>
        <v/>
      </c>
      <c r="J212">
        <f>IF(AND(H212&gt;0,ISNUMBER(D212),COUNTIF(Envelopes!$B$6:$B$21,C212)&gt;0,F212&lt;&gt;"",COUNTIF(Envelopes!$B$6:$B$21,F212)&gt;0),1,0)</f>
        <v/>
      </c>
      <c r="K212">
        <f>IF(I212=1,H212*10000+ROW(),"")</f>
        <v/>
      </c>
    </row>
    <row r="213">
      <c r="A213" s="1" t="n"/>
      <c r="B213" s="21" t="n">
        <v>46209</v>
      </c>
      <c r="C213" s="23" t="inlineStr">
        <is>
          <t>Gas</t>
        </is>
      </c>
      <c r="D213" s="22" t="n">
        <v>13.69</v>
      </c>
      <c r="E213" s="24" t="inlineStr">
        <is>
          <t>Gas station</t>
        </is>
      </c>
      <c r="F213" s="25" t="n"/>
      <c r="G213" s="18">
        <f>IF(AND(C213="",D213=""),"",IF(NOT(ISNUMBER(B213)),"Needs a date",IF(NOT(ISNUMBER(D213)),"Needs the amount",IF(C213="","Needs an envelope",IF(COUNTIF(Envelopes!$B$6:$B$21,C213)=0,"Not on Envelopes",IF(F213="",IF(D213=0,"Needs the amount",""),IF(COUNTIF(Envelopes!$B$6:$B$21,F213)=0,"Moved to: not on Envelopes",IF(D213&lt;=0,"A move needs an amount",IF(F213=C213,"Moved to the same envelope","")))))))))</f>
        <v/>
      </c>
      <c r="H213" s="1">
        <f>IF(ISNUMBER(B213),INT(B213),0)</f>
        <v/>
      </c>
      <c r="I213">
        <f>IF(AND(H213&gt;0,ISNUMBER(D213),COUNTIF(Envelopes!$B$6:$B$21,C213)&gt;0,F213=""),1,0)</f>
        <v/>
      </c>
      <c r="J213">
        <f>IF(AND(H213&gt;0,ISNUMBER(D213),COUNTIF(Envelopes!$B$6:$B$21,C213)&gt;0,F213&lt;&gt;"",COUNTIF(Envelopes!$B$6:$B$21,F213)&gt;0),1,0)</f>
        <v/>
      </c>
      <c r="K213">
        <f>IF(I213=1,H213*10000+ROW(),"")</f>
        <v/>
      </c>
    </row>
    <row r="214">
      <c r="A214" s="1" t="n"/>
      <c r="B214" s="21" t="n">
        <v>46211</v>
      </c>
      <c r="C214" s="23" t="inlineStr">
        <is>
          <t>Eating out</t>
        </is>
      </c>
      <c r="D214" s="22" t="n">
        <v>14.9</v>
      </c>
      <c r="E214" s="24" t="inlineStr">
        <is>
          <t>Coffee and cake</t>
        </is>
      </c>
      <c r="F214" s="25" t="n"/>
      <c r="G214" s="18">
        <f>IF(AND(C214="",D214=""),"",IF(NOT(ISNUMBER(B214)),"Needs a date",IF(NOT(ISNUMBER(D214)),"Needs the amount",IF(C214="","Needs an envelope",IF(COUNTIF(Envelopes!$B$6:$B$21,C214)=0,"Not on Envelopes",IF(F214="",IF(D214=0,"Needs the amount",""),IF(COUNTIF(Envelopes!$B$6:$B$21,F214)=0,"Moved to: not on Envelopes",IF(D214&lt;=0,"A move needs an amount",IF(F214=C214,"Moved to the same envelope","")))))))))</f>
        <v/>
      </c>
      <c r="H214" s="1">
        <f>IF(ISNUMBER(B214),INT(B214),0)</f>
        <v/>
      </c>
      <c r="I214">
        <f>IF(AND(H214&gt;0,ISNUMBER(D214),COUNTIF(Envelopes!$B$6:$B$21,C214)&gt;0,F214=""),1,0)</f>
        <v/>
      </c>
      <c r="J214">
        <f>IF(AND(H214&gt;0,ISNUMBER(D214),COUNTIF(Envelopes!$B$6:$B$21,C214)&gt;0,F214&lt;&gt;"",COUNTIF(Envelopes!$B$6:$B$21,F214)&gt;0),1,0)</f>
        <v/>
      </c>
      <c r="K214">
        <f>IF(I214=1,H214*10000+ROW(),"")</f>
        <v/>
      </c>
    </row>
    <row r="215">
      <c r="A215" s="1" t="n"/>
      <c r="B215" s="21" t="n">
        <v>46212</v>
      </c>
      <c r="C215" s="23" t="inlineStr">
        <is>
          <t>Groceries</t>
        </is>
      </c>
      <c r="D215" s="22" t="n">
        <v>68.45999999999999</v>
      </c>
      <c r="E215" s="24" t="inlineStr">
        <is>
          <t>Supermarket</t>
        </is>
      </c>
      <c r="F215" s="25" t="n"/>
      <c r="G215" s="18">
        <f>IF(AND(C215="",D215=""),"",IF(NOT(ISNUMBER(B215)),"Needs a date",IF(NOT(ISNUMBER(D215)),"Needs the amount",IF(C215="","Needs an envelope",IF(COUNTIF(Envelopes!$B$6:$B$21,C215)=0,"Not on Envelopes",IF(F215="",IF(D215=0,"Needs the amount",""),IF(COUNTIF(Envelopes!$B$6:$B$21,F215)=0,"Moved to: not on Envelopes",IF(D215&lt;=0,"A move needs an amount",IF(F215=C215,"Moved to the same envelope","")))))))))</f>
        <v/>
      </c>
      <c r="H215" s="1">
        <f>IF(ISNUMBER(B215),INT(B215),0)</f>
        <v/>
      </c>
      <c r="I215">
        <f>IF(AND(H215&gt;0,ISNUMBER(D215),COUNTIF(Envelopes!$B$6:$B$21,C215)&gt;0,F215=""),1,0)</f>
        <v/>
      </c>
      <c r="J215">
        <f>IF(AND(H215&gt;0,ISNUMBER(D215),COUNTIF(Envelopes!$B$6:$B$21,C215)&gt;0,F215&lt;&gt;"",COUNTIF(Envelopes!$B$6:$B$21,F215)&gt;0),1,0)</f>
        <v/>
      </c>
      <c r="K215">
        <f>IF(I215=1,H215*10000+ROW(),"")</f>
        <v/>
      </c>
    </row>
    <row r="216">
      <c r="A216" s="1" t="n"/>
      <c r="B216" s="21" t="n">
        <v>46212</v>
      </c>
      <c r="C216" s="23" t="inlineStr">
        <is>
          <t>Fun money</t>
        </is>
      </c>
      <c r="D216" s="22" t="n">
        <v>9.380000000000001</v>
      </c>
      <c r="E216" s="24" t="inlineStr">
        <is>
          <t>Leftover to savings</t>
        </is>
      </c>
      <c r="F216" s="25" t="inlineStr">
        <is>
          <t>Emergency fund</t>
        </is>
      </c>
      <c r="G216" s="18">
        <f>IF(AND(C216="",D216=""),"",IF(NOT(ISNUMBER(B216)),"Needs a date",IF(NOT(ISNUMBER(D216)),"Needs the amount",IF(C216="","Needs an envelope",IF(COUNTIF(Envelopes!$B$6:$B$21,C216)=0,"Not on Envelopes",IF(F216="",IF(D216=0,"Needs the amount",""),IF(COUNTIF(Envelopes!$B$6:$B$21,F216)=0,"Moved to: not on Envelopes",IF(D216&lt;=0,"A move needs an amount",IF(F216=C216,"Moved to the same envelope","")))))))))</f>
        <v/>
      </c>
      <c r="H216" s="1">
        <f>IF(ISNUMBER(B216),INT(B216),0)</f>
        <v/>
      </c>
      <c r="I216">
        <f>IF(AND(H216&gt;0,ISNUMBER(D216),COUNTIF(Envelopes!$B$6:$B$21,C216)&gt;0,F216=""),1,0)</f>
        <v/>
      </c>
      <c r="J216">
        <f>IF(AND(H216&gt;0,ISNUMBER(D216),COUNTIF(Envelopes!$B$6:$B$21,C216)&gt;0,F216&lt;&gt;"",COUNTIF(Envelopes!$B$6:$B$21,F216)&gt;0),1,0)</f>
        <v/>
      </c>
      <c r="K216">
        <f>IF(I216=1,H216*10000+ROW(),"")</f>
        <v/>
      </c>
    </row>
    <row r="217">
      <c r="A217" s="1" t="n"/>
      <c r="B217" s="21" t="n">
        <v>46216</v>
      </c>
      <c r="C217" s="23" t="inlineStr">
        <is>
          <t>Groceries</t>
        </is>
      </c>
      <c r="D217" s="22" t="n">
        <v>46.12</v>
      </c>
      <c r="E217" s="24" t="inlineStr">
        <is>
          <t>Corner shop</t>
        </is>
      </c>
      <c r="F217" s="25" t="n"/>
      <c r="G217" s="18">
        <f>IF(AND(C217="",D217=""),"",IF(NOT(ISNUMBER(B217)),"Needs a date",IF(NOT(ISNUMBER(D217)),"Needs the amount",IF(C217="","Needs an envelope",IF(COUNTIF(Envelopes!$B$6:$B$21,C217)=0,"Not on Envelopes",IF(F217="",IF(D217=0,"Needs the amount",""),IF(COUNTIF(Envelopes!$B$6:$B$21,F217)=0,"Moved to: not on Envelopes",IF(D217&lt;=0,"A move needs an amount",IF(F217=C217,"Moved to the same envelope","")))))))))</f>
        <v/>
      </c>
      <c r="H217" s="1">
        <f>IF(ISNUMBER(B217),INT(B217),0)</f>
        <v/>
      </c>
      <c r="I217">
        <f>IF(AND(H217&gt;0,ISNUMBER(D217),COUNTIF(Envelopes!$B$6:$B$21,C217)&gt;0,F217=""),1,0)</f>
        <v/>
      </c>
      <c r="J217">
        <f>IF(AND(H217&gt;0,ISNUMBER(D217),COUNTIF(Envelopes!$B$6:$B$21,C217)&gt;0,F217&lt;&gt;"",COUNTIF(Envelopes!$B$6:$B$21,F217)&gt;0),1,0)</f>
        <v/>
      </c>
      <c r="K217">
        <f>IF(I217=1,H217*10000+ROW(),"")</f>
        <v/>
      </c>
    </row>
    <row r="218">
      <c r="A218" s="1" t="n"/>
      <c r="B218" s="21" t="n">
        <v>46216</v>
      </c>
      <c r="C218" s="23" t="inlineStr">
        <is>
          <t>Fun money</t>
        </is>
      </c>
      <c r="D218" s="22" t="n">
        <v>20.62</v>
      </c>
      <c r="E218" s="24" t="inlineStr">
        <is>
          <t>Book</t>
        </is>
      </c>
      <c r="F218" s="25" t="n"/>
      <c r="G218" s="18">
        <f>IF(AND(C218="",D218=""),"",IF(NOT(ISNUMBER(B218)),"Needs a date",IF(NOT(ISNUMBER(D218)),"Needs the amount",IF(C218="","Needs an envelope",IF(COUNTIF(Envelopes!$B$6:$B$21,C218)=0,"Not on Envelopes",IF(F218="",IF(D218=0,"Needs the amount",""),IF(COUNTIF(Envelopes!$B$6:$B$21,F218)=0,"Moved to: not on Envelopes",IF(D218&lt;=0,"A move needs an amount",IF(F218=C218,"Moved to the same envelope","")))))))))</f>
        <v/>
      </c>
      <c r="H218" s="1">
        <f>IF(ISNUMBER(B218),INT(B218),0)</f>
        <v/>
      </c>
      <c r="I218">
        <f>IF(AND(H218&gt;0,ISNUMBER(D218),COUNTIF(Envelopes!$B$6:$B$21,C218)&gt;0,F218=""),1,0)</f>
        <v/>
      </c>
      <c r="J218">
        <f>IF(AND(H218&gt;0,ISNUMBER(D218),COUNTIF(Envelopes!$B$6:$B$21,C218)&gt;0,F218&lt;&gt;"",COUNTIF(Envelopes!$B$6:$B$21,F218)&gt;0),1,0)</f>
        <v/>
      </c>
      <c r="K218">
        <f>IF(I218=1,H218*10000+ROW(),"")</f>
        <v/>
      </c>
    </row>
    <row r="219">
      <c r="A219" s="1" t="n"/>
      <c r="B219" s="21" t="n">
        <v>46217</v>
      </c>
      <c r="C219" s="23" t="inlineStr">
        <is>
          <t>Gas</t>
        </is>
      </c>
      <c r="D219" s="22" t="n">
        <v>42.44</v>
      </c>
      <c r="E219" s="24" t="inlineStr">
        <is>
          <t>Gas station</t>
        </is>
      </c>
      <c r="F219" s="25" t="n"/>
      <c r="G219" s="18">
        <f>IF(AND(C219="",D219=""),"",IF(NOT(ISNUMBER(B219)),"Needs a date",IF(NOT(ISNUMBER(D219)),"Needs the amount",IF(C219="","Needs an envelope",IF(COUNTIF(Envelopes!$B$6:$B$21,C219)=0,"Not on Envelopes",IF(F219="",IF(D219=0,"Needs the amount",""),IF(COUNTIF(Envelopes!$B$6:$B$21,F219)=0,"Moved to: not on Envelopes",IF(D219&lt;=0,"A move needs an amount",IF(F219=C219,"Moved to the same envelope","")))))))))</f>
        <v/>
      </c>
      <c r="H219" s="1">
        <f>IF(ISNUMBER(B219),INT(B219),0)</f>
        <v/>
      </c>
      <c r="I219">
        <f>IF(AND(H219&gt;0,ISNUMBER(D219),COUNTIF(Envelopes!$B$6:$B$21,C219)&gt;0,F219=""),1,0)</f>
        <v/>
      </c>
      <c r="J219">
        <f>IF(AND(H219&gt;0,ISNUMBER(D219),COUNTIF(Envelopes!$B$6:$B$21,C219)&gt;0,F219&lt;&gt;"",COUNTIF(Envelopes!$B$6:$B$21,F219)&gt;0),1,0)</f>
        <v/>
      </c>
      <c r="K219">
        <f>IF(I219=1,H219*10000+ROW(),"")</f>
        <v/>
      </c>
    </row>
    <row r="220">
      <c r="A220" s="1" t="n"/>
      <c r="B220" s="21" t="n">
        <v>46217</v>
      </c>
      <c r="C220" s="23" t="inlineStr">
        <is>
          <t>Personal care</t>
        </is>
      </c>
      <c r="D220" s="22" t="n">
        <v>26.66</v>
      </c>
      <c r="E220" s="24" t="inlineStr">
        <is>
          <t>Pharmacy</t>
        </is>
      </c>
      <c r="F220" s="25" t="n"/>
      <c r="G220" s="18">
        <f>IF(AND(C220="",D220=""),"",IF(NOT(ISNUMBER(B220)),"Needs a date",IF(NOT(ISNUMBER(D220)),"Needs the amount",IF(C220="","Needs an envelope",IF(COUNTIF(Envelopes!$B$6:$B$21,C220)=0,"Not on Envelopes",IF(F220="",IF(D220=0,"Needs the amount",""),IF(COUNTIF(Envelopes!$B$6:$B$21,F220)=0,"Moved to: not on Envelopes",IF(D220&lt;=0,"A move needs an amount",IF(F220=C220,"Moved to the same envelope","")))))))))</f>
        <v/>
      </c>
      <c r="H220" s="1">
        <f>IF(ISNUMBER(B220),INT(B220),0)</f>
        <v/>
      </c>
      <c r="I220">
        <f>IF(AND(H220&gt;0,ISNUMBER(D220),COUNTIF(Envelopes!$B$6:$B$21,C220)&gt;0,F220=""),1,0)</f>
        <v/>
      </c>
      <c r="J220">
        <f>IF(AND(H220&gt;0,ISNUMBER(D220),COUNTIF(Envelopes!$B$6:$B$21,C220)&gt;0,F220&lt;&gt;"",COUNTIF(Envelopes!$B$6:$B$21,F220)&gt;0),1,0)</f>
        <v/>
      </c>
      <c r="K220">
        <f>IF(I220=1,H220*10000+ROW(),"")</f>
        <v/>
      </c>
    </row>
    <row r="221">
      <c r="A221" s="1" t="n"/>
      <c r="B221" s="21" t="n">
        <v>46218</v>
      </c>
      <c r="C221" s="23" t="inlineStr">
        <is>
          <t>Eating out</t>
        </is>
      </c>
      <c r="D221" s="22" t="n">
        <v>17.86</v>
      </c>
      <c r="E221" s="24" t="inlineStr">
        <is>
          <t>Tacos</t>
        </is>
      </c>
      <c r="F221" s="25" t="n"/>
      <c r="G221" s="18">
        <f>IF(AND(C221="",D221=""),"",IF(NOT(ISNUMBER(B221)),"Needs a date",IF(NOT(ISNUMBER(D221)),"Needs the amount",IF(C221="","Needs an envelope",IF(COUNTIF(Envelopes!$B$6:$B$21,C221)=0,"Not on Envelopes",IF(F221="",IF(D221=0,"Needs the amount",""),IF(COUNTIF(Envelopes!$B$6:$B$21,F221)=0,"Moved to: not on Envelopes",IF(D221&lt;=0,"A move needs an amount",IF(F221=C221,"Moved to the same envelope","")))))))))</f>
        <v/>
      </c>
      <c r="H221" s="1">
        <f>IF(ISNUMBER(B221),INT(B221),0)</f>
        <v/>
      </c>
      <c r="I221">
        <f>IF(AND(H221&gt;0,ISNUMBER(D221),COUNTIF(Envelopes!$B$6:$B$21,C221)&gt;0,F221=""),1,0)</f>
        <v/>
      </c>
      <c r="J221">
        <f>IF(AND(H221&gt;0,ISNUMBER(D221),COUNTIF(Envelopes!$B$6:$B$21,C221)&gt;0,F221&lt;&gt;"",COUNTIF(Envelopes!$B$6:$B$21,F221)&gt;0),1,0)</f>
        <v/>
      </c>
      <c r="K221">
        <f>IF(I221=1,H221*10000+ROW(),"")</f>
        <v/>
      </c>
    </row>
    <row r="222">
      <c r="A222" s="1" t="n"/>
      <c r="B222" s="21" t="n">
        <v>46219</v>
      </c>
      <c r="C222" s="23" t="inlineStr">
        <is>
          <t>Groceries</t>
        </is>
      </c>
      <c r="D222" s="22" t="n">
        <v>75.31999999999999</v>
      </c>
      <c r="E222" s="24" t="inlineStr">
        <is>
          <t>Corner shop</t>
        </is>
      </c>
      <c r="F222" s="25" t="n"/>
      <c r="G222" s="18">
        <f>IF(AND(C222="",D222=""),"",IF(NOT(ISNUMBER(B222)),"Needs a date",IF(NOT(ISNUMBER(D222)),"Needs the amount",IF(C222="","Needs an envelope",IF(COUNTIF(Envelopes!$B$6:$B$21,C222)=0,"Not on Envelopes",IF(F222="",IF(D222=0,"Needs the amount",""),IF(COUNTIF(Envelopes!$B$6:$B$21,F222)=0,"Moved to: not on Envelopes",IF(D222&lt;=0,"A move needs an amount",IF(F222=C222,"Moved to the same envelope","")))))))))</f>
        <v/>
      </c>
      <c r="H222" s="1">
        <f>IF(ISNUMBER(B222),INT(B222),0)</f>
        <v/>
      </c>
      <c r="I222">
        <f>IF(AND(H222&gt;0,ISNUMBER(D222),COUNTIF(Envelopes!$B$6:$B$21,C222)&gt;0,F222=""),1,0)</f>
        <v/>
      </c>
      <c r="J222">
        <f>IF(AND(H222&gt;0,ISNUMBER(D222),COUNTIF(Envelopes!$B$6:$B$21,C222)&gt;0,F222&lt;&gt;"",COUNTIF(Envelopes!$B$6:$B$21,F222)&gt;0),1,0)</f>
        <v/>
      </c>
      <c r="K222">
        <f>IF(I222=1,H222*10000+ROW(),"")</f>
        <v/>
      </c>
    </row>
    <row r="223">
      <c r="A223" s="1" t="n"/>
      <c r="B223" s="21" t="n">
        <v>46220</v>
      </c>
      <c r="C223" s="23" t="inlineStr">
        <is>
          <t>Kids</t>
        </is>
      </c>
      <c r="D223" s="22" t="n">
        <v>32.44</v>
      </c>
      <c r="E223" s="24" t="inlineStr">
        <is>
          <t>Shoes</t>
        </is>
      </c>
      <c r="F223" s="25" t="n"/>
      <c r="G223" s="18">
        <f>IF(AND(C223="",D223=""),"",IF(NOT(ISNUMBER(B223)),"Needs a date",IF(NOT(ISNUMBER(D223)),"Needs the amount",IF(C223="","Needs an envelope",IF(COUNTIF(Envelopes!$B$6:$B$21,C223)=0,"Not on Envelopes",IF(F223="",IF(D223=0,"Needs the amount",""),IF(COUNTIF(Envelopes!$B$6:$B$21,F223)=0,"Moved to: not on Envelopes",IF(D223&lt;=0,"A move needs an amount",IF(F223=C223,"Moved to the same envelope","")))))))))</f>
        <v/>
      </c>
      <c r="H223" s="1">
        <f>IF(ISNUMBER(B223),INT(B223),0)</f>
        <v/>
      </c>
      <c r="I223">
        <f>IF(AND(H223&gt;0,ISNUMBER(D223),COUNTIF(Envelopes!$B$6:$B$21,C223)&gt;0,F223=""),1,0)</f>
        <v/>
      </c>
      <c r="J223">
        <f>IF(AND(H223&gt;0,ISNUMBER(D223),COUNTIF(Envelopes!$B$6:$B$21,C223)&gt;0,F223&lt;&gt;"",COUNTIF(Envelopes!$B$6:$B$21,F223)&gt;0),1,0)</f>
        <v/>
      </c>
      <c r="K223">
        <f>IF(I223=1,H223*10000+ROW(),"")</f>
        <v/>
      </c>
    </row>
    <row r="224">
      <c r="A224" s="1" t="n"/>
      <c r="B224" s="21" t="n">
        <v>46221</v>
      </c>
      <c r="C224" s="23" t="inlineStr">
        <is>
          <t>Groceries</t>
        </is>
      </c>
      <c r="D224" s="22" t="n">
        <v>14.55</v>
      </c>
      <c r="E224" s="24" t="inlineStr">
        <is>
          <t>Bakery</t>
        </is>
      </c>
      <c r="F224" s="25" t="n"/>
      <c r="G224" s="18">
        <f>IF(AND(C224="",D224=""),"",IF(NOT(ISNUMBER(B224)),"Needs a date",IF(NOT(ISNUMBER(D224)),"Needs the amount",IF(C224="","Needs an envelope",IF(COUNTIF(Envelopes!$B$6:$B$21,C224)=0,"Not on Envelopes",IF(F224="",IF(D224=0,"Needs the amount",""),IF(COUNTIF(Envelopes!$B$6:$B$21,F224)=0,"Moved to: not on Envelopes",IF(D224&lt;=0,"A move needs an amount",IF(F224=C224,"Moved to the same envelope","")))))))))</f>
        <v/>
      </c>
      <c r="H224" s="1">
        <f>IF(ISNUMBER(B224),INT(B224),0)</f>
        <v/>
      </c>
      <c r="I224">
        <f>IF(AND(H224&gt;0,ISNUMBER(D224),COUNTIF(Envelopes!$B$6:$B$21,C224)&gt;0,F224=""),1,0)</f>
        <v/>
      </c>
      <c r="J224">
        <f>IF(AND(H224&gt;0,ISNUMBER(D224),COUNTIF(Envelopes!$B$6:$B$21,C224)&gt;0,F224&lt;&gt;"",COUNTIF(Envelopes!$B$6:$B$21,F224)&gt;0),1,0)</f>
        <v/>
      </c>
      <c r="K224">
        <f>IF(I224=1,H224*10000+ROW(),"")</f>
        <v/>
      </c>
    </row>
    <row r="225">
      <c r="A225" s="1" t="n"/>
      <c r="B225" s="21" t="n">
        <v>46222</v>
      </c>
      <c r="C225" s="23" t="inlineStr">
        <is>
          <t>Eating out</t>
        </is>
      </c>
      <c r="D225" s="22" t="n">
        <v>20.11</v>
      </c>
      <c r="E225" s="24" t="inlineStr">
        <is>
          <t>Tacos</t>
        </is>
      </c>
      <c r="F225" s="25" t="n"/>
      <c r="G225" s="18">
        <f>IF(AND(C225="",D225=""),"",IF(NOT(ISNUMBER(B225)),"Needs a date",IF(NOT(ISNUMBER(D225)),"Needs the amount",IF(C225="","Needs an envelope",IF(COUNTIF(Envelopes!$B$6:$B$21,C225)=0,"Not on Envelopes",IF(F225="",IF(D225=0,"Needs the amount",""),IF(COUNTIF(Envelopes!$B$6:$B$21,F225)=0,"Moved to: not on Envelopes",IF(D225&lt;=0,"A move needs an amount",IF(F225=C225,"Moved to the same envelope","")))))))))</f>
        <v/>
      </c>
      <c r="H225" s="1">
        <f>IF(ISNUMBER(B225),INT(B225),0)</f>
        <v/>
      </c>
      <c r="I225">
        <f>IF(AND(H225&gt;0,ISNUMBER(D225),COUNTIF(Envelopes!$B$6:$B$21,C225)&gt;0,F225=""),1,0)</f>
        <v/>
      </c>
      <c r="J225">
        <f>IF(AND(H225&gt;0,ISNUMBER(D225),COUNTIF(Envelopes!$B$6:$B$21,C225)&gt;0,F225&lt;&gt;"",COUNTIF(Envelopes!$B$6:$B$21,F225)&gt;0),1,0)</f>
        <v/>
      </c>
      <c r="K225">
        <f>IF(I225=1,H225*10000+ROW(),"")</f>
        <v/>
      </c>
    </row>
    <row r="226">
      <c r="A226" s="1" t="n"/>
      <c r="B226" s="21" t="n">
        <v>46223</v>
      </c>
      <c r="C226" s="23" t="inlineStr">
        <is>
          <t>Household</t>
        </is>
      </c>
      <c r="D226" s="22" t="n">
        <v>27.6</v>
      </c>
      <c r="E226" s="24" t="inlineStr">
        <is>
          <t>Light bulbs</t>
        </is>
      </c>
      <c r="F226" s="25" t="n"/>
      <c r="G226" s="18">
        <f>IF(AND(C226="",D226=""),"",IF(NOT(ISNUMBER(B226)),"Needs a date",IF(NOT(ISNUMBER(D226)),"Needs the amount",IF(C226="","Needs an envelope",IF(COUNTIF(Envelopes!$B$6:$B$21,C226)=0,"Not on Envelopes",IF(F226="",IF(D226=0,"Needs the amount",""),IF(COUNTIF(Envelopes!$B$6:$B$21,F226)=0,"Moved to: not on Envelopes",IF(D226&lt;=0,"A move needs an amount",IF(F226=C226,"Moved to the same envelope","")))))))))</f>
        <v/>
      </c>
      <c r="H226" s="1">
        <f>IF(ISNUMBER(B226),INT(B226),0)</f>
        <v/>
      </c>
      <c r="I226">
        <f>IF(AND(H226&gt;0,ISNUMBER(D226),COUNTIF(Envelopes!$B$6:$B$21,C226)&gt;0,F226=""),1,0)</f>
        <v/>
      </c>
      <c r="J226">
        <f>IF(AND(H226&gt;0,ISNUMBER(D226),COUNTIF(Envelopes!$B$6:$B$21,C226)&gt;0,F226&lt;&gt;"",COUNTIF(Envelopes!$B$6:$B$21,F226)&gt;0),1,0)</f>
        <v/>
      </c>
      <c r="K226">
        <f>IF(I226=1,H226*10000+ROW(),"")</f>
        <v/>
      </c>
    </row>
    <row r="227">
      <c r="A227" s="1" t="n"/>
      <c r="B227" s="21" t="n">
        <v>46225</v>
      </c>
      <c r="C227" s="23" t="inlineStr">
        <is>
          <t>Groceries</t>
        </is>
      </c>
      <c r="D227" s="22" t="n">
        <v>39.15</v>
      </c>
      <c r="E227" s="24" t="inlineStr">
        <is>
          <t>Corner shop</t>
        </is>
      </c>
      <c r="F227" s="25" t="n"/>
      <c r="G227" s="18">
        <f>IF(AND(C227="",D227=""),"",IF(NOT(ISNUMBER(B227)),"Needs a date",IF(NOT(ISNUMBER(D227)),"Needs the amount",IF(C227="","Needs an envelope",IF(COUNTIF(Envelopes!$B$6:$B$21,C227)=0,"Not on Envelopes",IF(F227="",IF(D227=0,"Needs the amount",""),IF(COUNTIF(Envelopes!$B$6:$B$21,F227)=0,"Moved to: not on Envelopes",IF(D227&lt;=0,"A move needs an amount",IF(F227=C227,"Moved to the same envelope","")))))))))</f>
        <v/>
      </c>
      <c r="H227" s="1">
        <f>IF(ISNUMBER(B227),INT(B227),0)</f>
        <v/>
      </c>
      <c r="I227">
        <f>IF(AND(H227&gt;0,ISNUMBER(D227),COUNTIF(Envelopes!$B$6:$B$21,C227)&gt;0,F227=""),1,0)</f>
        <v/>
      </c>
      <c r="J227">
        <f>IF(AND(H227&gt;0,ISNUMBER(D227),COUNTIF(Envelopes!$B$6:$B$21,C227)&gt;0,F227&lt;&gt;"",COUNTIF(Envelopes!$B$6:$B$21,F227)&gt;0),1,0)</f>
        <v/>
      </c>
      <c r="K227">
        <f>IF(I227=1,H227*10000+ROW(),"")</f>
        <v/>
      </c>
    </row>
    <row r="228">
      <c r="A228" s="1" t="n"/>
      <c r="B228" s="21" t="n">
        <v>46226</v>
      </c>
      <c r="C228" s="23" t="inlineStr">
        <is>
          <t>Gas</t>
        </is>
      </c>
      <c r="D228" s="22" t="n">
        <v>18.59</v>
      </c>
      <c r="E228" s="24" t="inlineStr">
        <is>
          <t>Gas station</t>
        </is>
      </c>
      <c r="F228" s="25" t="n"/>
      <c r="G228" s="18">
        <f>IF(AND(C228="",D228=""),"",IF(NOT(ISNUMBER(B228)),"Needs a date",IF(NOT(ISNUMBER(D228)),"Needs the amount",IF(C228="","Needs an envelope",IF(COUNTIF(Envelopes!$B$6:$B$21,C228)=0,"Not on Envelopes",IF(F228="",IF(D228=0,"Needs the amount",""),IF(COUNTIF(Envelopes!$B$6:$B$21,F228)=0,"Moved to: not on Envelopes",IF(D228&lt;=0,"A move needs an amount",IF(F228=C228,"Moved to the same envelope","")))))))))</f>
        <v/>
      </c>
      <c r="H228" s="1">
        <f>IF(ISNUMBER(B228),INT(B228),0)</f>
        <v/>
      </c>
      <c r="I228">
        <f>IF(AND(H228&gt;0,ISNUMBER(D228),COUNTIF(Envelopes!$B$6:$B$21,C228)&gt;0,F228=""),1,0)</f>
        <v/>
      </c>
      <c r="J228">
        <f>IF(AND(H228&gt;0,ISNUMBER(D228),COUNTIF(Envelopes!$B$6:$B$21,C228)&gt;0,F228&lt;&gt;"",COUNTIF(Envelopes!$B$6:$B$21,F228)&gt;0),1,0)</f>
        <v/>
      </c>
      <c r="K228">
        <f>IF(I228=1,H228*10000+ROW(),"")</f>
        <v/>
      </c>
    </row>
    <row r="229">
      <c r="A229" s="1" t="n"/>
      <c r="B229" s="21" t="n">
        <v>46229</v>
      </c>
      <c r="C229" s="23" t="inlineStr">
        <is>
          <t>Eating out</t>
        </is>
      </c>
      <c r="D229" s="22" t="n">
        <v>18.55</v>
      </c>
      <c r="E229" s="24" t="inlineStr">
        <is>
          <t>Lunch out</t>
        </is>
      </c>
      <c r="F229" s="25" t="n"/>
      <c r="G229" s="18">
        <f>IF(AND(C229="",D229=""),"",IF(NOT(ISNUMBER(B229)),"Needs a date",IF(NOT(ISNUMBER(D229)),"Needs the amount",IF(C229="","Needs an envelope",IF(COUNTIF(Envelopes!$B$6:$B$21,C229)=0,"Not on Envelopes",IF(F229="",IF(D229=0,"Needs the amount",""),IF(COUNTIF(Envelopes!$B$6:$B$21,F229)=0,"Moved to: not on Envelopes",IF(D229&lt;=0,"A move needs an amount",IF(F229=C229,"Moved to the same envelope","")))))))))</f>
        <v/>
      </c>
      <c r="H229" s="1">
        <f>IF(ISNUMBER(B229),INT(B229),0)</f>
        <v/>
      </c>
      <c r="I229">
        <f>IF(AND(H229&gt;0,ISNUMBER(D229),COUNTIF(Envelopes!$B$6:$B$21,C229)&gt;0,F229=""),1,0)</f>
        <v/>
      </c>
      <c r="J229">
        <f>IF(AND(H229&gt;0,ISNUMBER(D229),COUNTIF(Envelopes!$B$6:$B$21,C229)&gt;0,F229&lt;&gt;"",COUNTIF(Envelopes!$B$6:$B$21,F229)&gt;0),1,0)</f>
        <v/>
      </c>
      <c r="K229">
        <f>IF(I229=1,H229*10000+ROW(),"")</f>
        <v/>
      </c>
    </row>
    <row r="230">
      <c r="A230" s="1" t="n"/>
      <c r="B230" s="21" t="n">
        <v>46230</v>
      </c>
      <c r="C230" s="23" t="inlineStr">
        <is>
          <t>Groceries</t>
        </is>
      </c>
      <c r="D230" s="22" t="n">
        <v>98.94</v>
      </c>
      <c r="E230" s="24" t="inlineStr">
        <is>
          <t>Corner shop</t>
        </is>
      </c>
      <c r="F230" s="25" t="n"/>
      <c r="G230" s="18">
        <f>IF(AND(C230="",D230=""),"",IF(NOT(ISNUMBER(B230)),"Needs a date",IF(NOT(ISNUMBER(D230)),"Needs the amount",IF(C230="","Needs an envelope",IF(COUNTIF(Envelopes!$B$6:$B$21,C230)=0,"Not on Envelopes",IF(F230="",IF(D230=0,"Needs the amount",""),IF(COUNTIF(Envelopes!$B$6:$B$21,F230)=0,"Moved to: not on Envelopes",IF(D230&lt;=0,"A move needs an amount",IF(F230=C230,"Moved to the same envelope","")))))))))</f>
        <v/>
      </c>
      <c r="H230" s="1">
        <f>IF(ISNUMBER(B230),INT(B230),0)</f>
        <v/>
      </c>
      <c r="I230">
        <f>IF(AND(H230&gt;0,ISNUMBER(D230),COUNTIF(Envelopes!$B$6:$B$21,C230)&gt;0,F230=""),1,0)</f>
        <v/>
      </c>
      <c r="J230">
        <f>IF(AND(H230&gt;0,ISNUMBER(D230),COUNTIF(Envelopes!$B$6:$B$21,C230)&gt;0,F230&lt;&gt;"",COUNTIF(Envelopes!$B$6:$B$21,F230)&gt;0),1,0)</f>
        <v/>
      </c>
      <c r="K230">
        <f>IF(I230=1,H230*10000+ROW(),"")</f>
        <v/>
      </c>
    </row>
    <row r="231">
      <c r="A231" s="1" t="n"/>
      <c r="B231" s="21" t="n">
        <v>46231</v>
      </c>
      <c r="C231" s="23" t="inlineStr">
        <is>
          <t>Gas</t>
        </is>
      </c>
      <c r="D231" s="22" t="n">
        <v>33.72</v>
      </c>
      <c r="E231" s="24" t="inlineStr">
        <is>
          <t>Gas station</t>
        </is>
      </c>
      <c r="F231" s="25" t="n"/>
      <c r="G231" s="18">
        <f>IF(AND(C231="",D231=""),"",IF(NOT(ISNUMBER(B231)),"Needs a date",IF(NOT(ISNUMBER(D231)),"Needs the amount",IF(C231="","Needs an envelope",IF(COUNTIF(Envelopes!$B$6:$B$21,C231)=0,"Not on Envelopes",IF(F231="",IF(D231=0,"Needs the amount",""),IF(COUNTIF(Envelopes!$B$6:$B$21,F231)=0,"Moved to: not on Envelopes",IF(D231&lt;=0,"A move needs an amount",IF(F231=C231,"Moved to the same envelope","")))))))))</f>
        <v/>
      </c>
      <c r="H231" s="1">
        <f>IF(ISNUMBER(B231),INT(B231),0)</f>
        <v/>
      </c>
      <c r="I231">
        <f>IF(AND(H231&gt;0,ISNUMBER(D231),COUNTIF(Envelopes!$B$6:$B$21,C231)&gt;0,F231=""),1,0)</f>
        <v/>
      </c>
      <c r="J231">
        <f>IF(AND(H231&gt;0,ISNUMBER(D231),COUNTIF(Envelopes!$B$6:$B$21,C231)&gt;0,F231&lt;&gt;"",COUNTIF(Envelopes!$B$6:$B$21,F231)&gt;0),1,0)</f>
        <v/>
      </c>
      <c r="K231">
        <f>IF(I231=1,H231*10000+ROW(),"")</f>
        <v/>
      </c>
    </row>
    <row r="232">
      <c r="A232" s="1" t="n"/>
      <c r="B232" s="21" t="n">
        <v>46232</v>
      </c>
      <c r="C232" s="23" t="inlineStr">
        <is>
          <t>Groceries</t>
        </is>
      </c>
      <c r="D232" s="22" t="n">
        <v>27.87</v>
      </c>
      <c r="E232" s="24" t="inlineStr">
        <is>
          <t>Supermarket</t>
        </is>
      </c>
      <c r="F232" s="25" t="n"/>
      <c r="G232" s="18">
        <f>IF(AND(C232="",D232=""),"",IF(NOT(ISNUMBER(B232)),"Needs a date",IF(NOT(ISNUMBER(D232)),"Needs the amount",IF(C232="","Needs an envelope",IF(COUNTIF(Envelopes!$B$6:$B$21,C232)=0,"Not on Envelopes",IF(F232="",IF(D232=0,"Needs the amount",""),IF(COUNTIF(Envelopes!$B$6:$B$21,F232)=0,"Moved to: not on Envelopes",IF(D232&lt;=0,"A move needs an amount",IF(F232=C232,"Moved to the same envelope","")))))))))</f>
        <v/>
      </c>
      <c r="H232" s="1">
        <f>IF(ISNUMBER(B232),INT(B232),0)</f>
        <v/>
      </c>
      <c r="I232">
        <f>IF(AND(H232&gt;0,ISNUMBER(D232),COUNTIF(Envelopes!$B$6:$B$21,C232)&gt;0,F232=""),1,0)</f>
        <v/>
      </c>
      <c r="J232">
        <f>IF(AND(H232&gt;0,ISNUMBER(D232),COUNTIF(Envelopes!$B$6:$B$21,C232)&gt;0,F232&lt;&gt;"",COUNTIF(Envelopes!$B$6:$B$21,F232)&gt;0),1,0)</f>
        <v/>
      </c>
      <c r="K232">
        <f>IF(I232=1,H232*10000+ROW(),"")</f>
        <v/>
      </c>
    </row>
    <row r="233">
      <c r="A233" s="1" t="n"/>
      <c r="B233" s="21" t="n">
        <v>46234</v>
      </c>
      <c r="C233" s="23" t="inlineStr">
        <is>
          <t>Groceries</t>
        </is>
      </c>
      <c r="D233" s="22" t="n">
        <v>4.59</v>
      </c>
      <c r="E233" s="24" t="inlineStr">
        <is>
          <t>Farmers market</t>
        </is>
      </c>
      <c r="F233" s="25" t="n"/>
      <c r="G233" s="18">
        <f>IF(AND(C233="",D233=""),"",IF(NOT(ISNUMBER(B233)),"Needs a date",IF(NOT(ISNUMBER(D233)),"Needs the amount",IF(C233="","Needs an envelope",IF(COUNTIF(Envelopes!$B$6:$B$21,C233)=0,"Not on Envelopes",IF(F233="",IF(D233=0,"Needs the amount",""),IF(COUNTIF(Envelopes!$B$6:$B$21,F233)=0,"Moved to: not on Envelopes",IF(D233&lt;=0,"A move needs an amount",IF(F233=C233,"Moved to the same envelope","")))))))))</f>
        <v/>
      </c>
      <c r="H233" s="1">
        <f>IF(ISNUMBER(B233),INT(B233),0)</f>
        <v/>
      </c>
      <c r="I233">
        <f>IF(AND(H233&gt;0,ISNUMBER(D233),COUNTIF(Envelopes!$B$6:$B$21,C233)&gt;0,F233=""),1,0)</f>
        <v/>
      </c>
      <c r="J233">
        <f>IF(AND(H233&gt;0,ISNUMBER(D233),COUNTIF(Envelopes!$B$6:$B$21,C233)&gt;0,F233&lt;&gt;"",COUNTIF(Envelopes!$B$6:$B$21,F233)&gt;0),1,0)</f>
        <v/>
      </c>
      <c r="K233">
        <f>IF(I233=1,H233*10000+ROW(),"")</f>
        <v/>
      </c>
    </row>
    <row r="234">
      <c r="A234" s="1" t="n"/>
      <c r="B234" s="21" t="n">
        <v>46235</v>
      </c>
      <c r="C234" s="23" t="inlineStr">
        <is>
          <t>Eating out</t>
        </is>
      </c>
      <c r="D234" s="22" t="n">
        <v>20.72</v>
      </c>
      <c r="E234" s="24" t="inlineStr">
        <is>
          <t>Lunch out</t>
        </is>
      </c>
      <c r="F234" s="25" t="n"/>
      <c r="G234" s="18">
        <f>IF(AND(C234="",D234=""),"",IF(NOT(ISNUMBER(B234)),"Needs a date",IF(NOT(ISNUMBER(D234)),"Needs the amount",IF(C234="","Needs an envelope",IF(COUNTIF(Envelopes!$B$6:$B$21,C234)=0,"Not on Envelopes",IF(F234="",IF(D234=0,"Needs the amount",""),IF(COUNTIF(Envelopes!$B$6:$B$21,F234)=0,"Moved to: not on Envelopes",IF(D234&lt;=0,"A move needs an amount",IF(F234=C234,"Moved to the same envelope","")))))))))</f>
        <v/>
      </c>
      <c r="H234" s="1">
        <f>IF(ISNUMBER(B234),INT(B234),0)</f>
        <v/>
      </c>
      <c r="I234">
        <f>IF(AND(H234&gt;0,ISNUMBER(D234),COUNTIF(Envelopes!$B$6:$B$21,C234)&gt;0,F234=""),1,0)</f>
        <v/>
      </c>
      <c r="J234">
        <f>IF(AND(H234&gt;0,ISNUMBER(D234),COUNTIF(Envelopes!$B$6:$B$21,C234)&gt;0,F234&lt;&gt;"",COUNTIF(Envelopes!$B$6:$B$21,F234)&gt;0),1,0)</f>
        <v/>
      </c>
      <c r="K234">
        <f>IF(I234=1,H234*10000+ROW(),"")</f>
        <v/>
      </c>
    </row>
    <row r="235">
      <c r="A235" s="1" t="n"/>
      <c r="B235" s="21" t="n">
        <v>46236</v>
      </c>
      <c r="C235" s="23" t="inlineStr">
        <is>
          <t>Vacation</t>
        </is>
      </c>
      <c r="D235" s="22" t="n">
        <v>250</v>
      </c>
      <c r="E235" s="24" t="inlineStr">
        <is>
          <t>Cabin deposit</t>
        </is>
      </c>
      <c r="F235" s="25" t="n"/>
      <c r="G235" s="18">
        <f>IF(AND(C235="",D235=""),"",IF(NOT(ISNUMBER(B235)),"Needs a date",IF(NOT(ISNUMBER(D235)),"Needs the amount",IF(C235="","Needs an envelope",IF(COUNTIF(Envelopes!$B$6:$B$21,C235)=0,"Not on Envelopes",IF(F235="",IF(D235=0,"Needs the amount",""),IF(COUNTIF(Envelopes!$B$6:$B$21,F235)=0,"Moved to: not on Envelopes",IF(D235&lt;=0,"A move needs an amount",IF(F235=C235,"Moved to the same envelope","")))))))))</f>
        <v/>
      </c>
      <c r="H235" s="1">
        <f>IF(ISNUMBER(B235),INT(B235),0)</f>
        <v/>
      </c>
      <c r="I235">
        <f>IF(AND(H235&gt;0,ISNUMBER(D235),COUNTIF(Envelopes!$B$6:$B$21,C235)&gt;0,F235=""),1,0)</f>
        <v/>
      </c>
      <c r="J235">
        <f>IF(AND(H235&gt;0,ISNUMBER(D235),COUNTIF(Envelopes!$B$6:$B$21,C235)&gt;0,F235&lt;&gt;"",COUNTIF(Envelopes!$B$6:$B$21,F235)&gt;0),1,0)</f>
        <v/>
      </c>
      <c r="K235">
        <f>IF(I235=1,H235*10000+ROW(),"")</f>
        <v/>
      </c>
    </row>
    <row r="236">
      <c r="A236" s="1" t="n"/>
      <c r="B236" s="21" t="n">
        <v>46237</v>
      </c>
      <c r="C236" s="23" t="inlineStr">
        <is>
          <t>Gas</t>
        </is>
      </c>
      <c r="D236" s="22" t="n">
        <v>27.7</v>
      </c>
      <c r="E236" s="24" t="inlineStr">
        <is>
          <t>Gas station</t>
        </is>
      </c>
      <c r="F236" s="25" t="n"/>
      <c r="G236" s="18">
        <f>IF(AND(C236="",D236=""),"",IF(NOT(ISNUMBER(B236)),"Needs a date",IF(NOT(ISNUMBER(D236)),"Needs the amount",IF(C236="","Needs an envelope",IF(COUNTIF(Envelopes!$B$6:$B$21,C236)=0,"Not on Envelopes",IF(F236="",IF(D236=0,"Needs the amount",""),IF(COUNTIF(Envelopes!$B$6:$B$21,F236)=0,"Moved to: not on Envelopes",IF(D236&lt;=0,"A move needs an amount",IF(F236=C236,"Moved to the same envelope","")))))))))</f>
        <v/>
      </c>
      <c r="H236" s="1">
        <f>IF(ISNUMBER(B236),INT(B236),0)</f>
        <v/>
      </c>
      <c r="I236">
        <f>IF(AND(H236&gt;0,ISNUMBER(D236),COUNTIF(Envelopes!$B$6:$B$21,C236)&gt;0,F236=""),1,0)</f>
        <v/>
      </c>
      <c r="J236">
        <f>IF(AND(H236&gt;0,ISNUMBER(D236),COUNTIF(Envelopes!$B$6:$B$21,C236)&gt;0,F236&lt;&gt;"",COUNTIF(Envelopes!$B$6:$B$21,F236)&gt;0),1,0)</f>
        <v/>
      </c>
      <c r="K236">
        <f>IF(I236=1,H236*10000+ROW(),"")</f>
        <v/>
      </c>
    </row>
    <row r="237">
      <c r="A237" s="1" t="n"/>
      <c r="B237" s="21" t="n">
        <v>46237</v>
      </c>
      <c r="C237" s="23" t="inlineStr">
        <is>
          <t>Fun money</t>
        </is>
      </c>
      <c r="D237" s="22" t="n">
        <v>34.01</v>
      </c>
      <c r="E237" s="24" t="inlineStr">
        <is>
          <t>Book</t>
        </is>
      </c>
      <c r="F237" s="25" t="n"/>
      <c r="G237" s="18">
        <f>IF(AND(C237="",D237=""),"",IF(NOT(ISNUMBER(B237)),"Needs a date",IF(NOT(ISNUMBER(D237)),"Needs the amount",IF(C237="","Needs an envelope",IF(COUNTIF(Envelopes!$B$6:$B$21,C237)=0,"Not on Envelopes",IF(F237="",IF(D237=0,"Needs the amount",""),IF(COUNTIF(Envelopes!$B$6:$B$21,F237)=0,"Moved to: not on Envelopes",IF(D237&lt;=0,"A move needs an amount",IF(F237=C237,"Moved to the same envelope","")))))))))</f>
        <v/>
      </c>
      <c r="H237" s="1">
        <f>IF(ISNUMBER(B237),INT(B237),0)</f>
        <v/>
      </c>
      <c r="I237">
        <f>IF(AND(H237&gt;0,ISNUMBER(D237),COUNTIF(Envelopes!$B$6:$B$21,C237)&gt;0,F237=""),1,0)</f>
        <v/>
      </c>
      <c r="J237">
        <f>IF(AND(H237&gt;0,ISNUMBER(D237),COUNTIF(Envelopes!$B$6:$B$21,C237)&gt;0,F237&lt;&gt;"",COUNTIF(Envelopes!$B$6:$B$21,F237)&gt;0),1,0)</f>
        <v/>
      </c>
      <c r="K237">
        <f>IF(I237=1,H237*10000+ROW(),"")</f>
        <v/>
      </c>
    </row>
    <row r="238">
      <c r="A238" s="1" t="n"/>
      <c r="B238" s="21" t="n">
        <v>46237</v>
      </c>
      <c r="C238" s="23" t="inlineStr">
        <is>
          <t>Personal care</t>
        </is>
      </c>
      <c r="D238" s="22" t="n">
        <v>25.61</v>
      </c>
      <c r="E238" s="24" t="inlineStr">
        <is>
          <t>Pharmacy</t>
        </is>
      </c>
      <c r="F238" s="25" t="n"/>
      <c r="G238" s="18">
        <f>IF(AND(C238="",D238=""),"",IF(NOT(ISNUMBER(B238)),"Needs a date",IF(NOT(ISNUMBER(D238)),"Needs the amount",IF(C238="","Needs an envelope",IF(COUNTIF(Envelopes!$B$6:$B$21,C238)=0,"Not on Envelopes",IF(F238="",IF(D238=0,"Needs the amount",""),IF(COUNTIF(Envelopes!$B$6:$B$21,F238)=0,"Moved to: not on Envelopes",IF(D238&lt;=0,"A move needs an amount",IF(F238=C238,"Moved to the same envelope","")))))))))</f>
        <v/>
      </c>
      <c r="H238" s="1">
        <f>IF(ISNUMBER(B238),INT(B238),0)</f>
        <v/>
      </c>
      <c r="I238">
        <f>IF(AND(H238&gt;0,ISNUMBER(D238),COUNTIF(Envelopes!$B$6:$B$21,C238)&gt;0,F238=""),1,0)</f>
        <v/>
      </c>
      <c r="J238">
        <f>IF(AND(H238&gt;0,ISNUMBER(D238),COUNTIF(Envelopes!$B$6:$B$21,C238)&gt;0,F238&lt;&gt;"",COUNTIF(Envelopes!$B$6:$B$21,F238)&gt;0),1,0)</f>
        <v/>
      </c>
      <c r="K238">
        <f>IF(I238=1,H238*10000+ROW(),"")</f>
        <v/>
      </c>
    </row>
    <row r="239">
      <c r="A239" s="1" t="n"/>
      <c r="B239" s="21" t="n">
        <v>46239</v>
      </c>
      <c r="C239" s="23" t="inlineStr">
        <is>
          <t>Groceries</t>
        </is>
      </c>
      <c r="D239" s="22" t="n">
        <v>69.23</v>
      </c>
      <c r="E239" s="24" t="inlineStr">
        <is>
          <t>Farmers market</t>
        </is>
      </c>
      <c r="F239" s="25" t="n"/>
      <c r="G239" s="18">
        <f>IF(AND(C239="",D239=""),"",IF(NOT(ISNUMBER(B239)),"Needs a date",IF(NOT(ISNUMBER(D239)),"Needs the amount",IF(C239="","Needs an envelope",IF(COUNTIF(Envelopes!$B$6:$B$21,C239)=0,"Not on Envelopes",IF(F239="",IF(D239=0,"Needs the amount",""),IF(COUNTIF(Envelopes!$B$6:$B$21,F239)=0,"Moved to: not on Envelopes",IF(D239&lt;=0,"A move needs an amount",IF(F239=C239,"Moved to the same envelope","")))))))))</f>
        <v/>
      </c>
      <c r="H239" s="1">
        <f>IF(ISNUMBER(B239),INT(B239),0)</f>
        <v/>
      </c>
      <c r="I239">
        <f>IF(AND(H239&gt;0,ISNUMBER(D239),COUNTIF(Envelopes!$B$6:$B$21,C239)&gt;0,F239=""),1,0)</f>
        <v/>
      </c>
      <c r="J239">
        <f>IF(AND(H239&gt;0,ISNUMBER(D239),COUNTIF(Envelopes!$B$6:$B$21,C239)&gt;0,F239&lt;&gt;"",COUNTIF(Envelopes!$B$6:$B$21,F239)&gt;0),1,0)</f>
        <v/>
      </c>
      <c r="K239">
        <f>IF(I239=1,H239*10000+ROW(),"")</f>
        <v/>
      </c>
    </row>
    <row r="240">
      <c r="A240" s="1" t="n"/>
      <c r="B240" s="21" t="n">
        <v>46240</v>
      </c>
      <c r="C240" s="23" t="inlineStr">
        <is>
          <t>Household</t>
        </is>
      </c>
      <c r="D240" s="22" t="n">
        <v>30.7</v>
      </c>
      <c r="E240" s="24" t="inlineStr">
        <is>
          <t>Hardware store</t>
        </is>
      </c>
      <c r="F240" s="25" t="n"/>
      <c r="G240" s="18">
        <f>IF(AND(C240="",D240=""),"",IF(NOT(ISNUMBER(B240)),"Needs a date",IF(NOT(ISNUMBER(D240)),"Needs the amount",IF(C240="","Needs an envelope",IF(COUNTIF(Envelopes!$B$6:$B$21,C240)=0,"Not on Envelopes",IF(F240="",IF(D240=0,"Needs the amount",""),IF(COUNTIF(Envelopes!$B$6:$B$21,F240)=0,"Moved to: not on Envelopes",IF(D240&lt;=0,"A move needs an amount",IF(F240=C240,"Moved to the same envelope","")))))))))</f>
        <v/>
      </c>
      <c r="H240" s="1">
        <f>IF(ISNUMBER(B240),INT(B240),0)</f>
        <v/>
      </c>
      <c r="I240">
        <f>IF(AND(H240&gt;0,ISNUMBER(D240),COUNTIF(Envelopes!$B$6:$B$21,C240)&gt;0,F240=""),1,0)</f>
        <v/>
      </c>
      <c r="J240">
        <f>IF(AND(H240&gt;0,ISNUMBER(D240),COUNTIF(Envelopes!$B$6:$B$21,C240)&gt;0,F240&lt;&gt;"",COUNTIF(Envelopes!$B$6:$B$21,F240)&gt;0),1,0)</f>
        <v/>
      </c>
      <c r="K240">
        <f>IF(I240=1,H240*10000+ROW(),"")</f>
        <v/>
      </c>
    </row>
    <row r="241">
      <c r="A241" s="1" t="n"/>
      <c r="B241" s="21" t="n">
        <v>46240</v>
      </c>
      <c r="C241" s="23" t="inlineStr">
        <is>
          <t>Kids</t>
        </is>
      </c>
      <c r="D241" s="22" t="n">
        <v>34.79</v>
      </c>
      <c r="E241" s="24" t="inlineStr">
        <is>
          <t>Shoes</t>
        </is>
      </c>
      <c r="F241" s="25" t="n"/>
      <c r="G241" s="18">
        <f>IF(AND(C241="",D241=""),"",IF(NOT(ISNUMBER(B241)),"Needs a date",IF(NOT(ISNUMBER(D241)),"Needs the amount",IF(C241="","Needs an envelope",IF(COUNTIF(Envelopes!$B$6:$B$21,C241)=0,"Not on Envelopes",IF(F241="",IF(D241=0,"Needs the amount",""),IF(COUNTIF(Envelopes!$B$6:$B$21,F241)=0,"Moved to: not on Envelopes",IF(D241&lt;=0,"A move needs an amount",IF(F241=C241,"Moved to the same envelope","")))))))))</f>
        <v/>
      </c>
      <c r="H241" s="1">
        <f>IF(ISNUMBER(B241),INT(B241),0)</f>
        <v/>
      </c>
      <c r="I241">
        <f>IF(AND(H241&gt;0,ISNUMBER(D241),COUNTIF(Envelopes!$B$6:$B$21,C241)&gt;0,F241=""),1,0)</f>
        <v/>
      </c>
      <c r="J241">
        <f>IF(AND(H241&gt;0,ISNUMBER(D241),COUNTIF(Envelopes!$B$6:$B$21,C241)&gt;0,F241&lt;&gt;"",COUNTIF(Envelopes!$B$6:$B$21,F241)&gt;0),1,0)</f>
        <v/>
      </c>
      <c r="K241">
        <f>IF(I241=1,H241*10000+ROW(),"")</f>
        <v/>
      </c>
    </row>
    <row r="242">
      <c r="A242" s="1" t="n"/>
      <c r="B242" s="21" t="n">
        <v>46240</v>
      </c>
      <c r="C242" s="23" t="inlineStr">
        <is>
          <t>Eating out</t>
        </is>
      </c>
      <c r="D242" s="22" t="n">
        <v>7.52</v>
      </c>
      <c r="E242" s="24" t="inlineStr">
        <is>
          <t>Leftover to savings</t>
        </is>
      </c>
      <c r="F242" s="25" t="inlineStr">
        <is>
          <t>Emergency fund</t>
        </is>
      </c>
      <c r="G242" s="18">
        <f>IF(AND(C242="",D242=""),"",IF(NOT(ISNUMBER(B242)),"Needs a date",IF(NOT(ISNUMBER(D242)),"Needs the amount",IF(C242="","Needs an envelope",IF(COUNTIF(Envelopes!$B$6:$B$21,C242)=0,"Not on Envelopes",IF(F242="",IF(D242=0,"Needs the amount",""),IF(COUNTIF(Envelopes!$B$6:$B$21,F242)=0,"Moved to: not on Envelopes",IF(D242&lt;=0,"A move needs an amount",IF(F242=C242,"Moved to the same envelope","")))))))))</f>
        <v/>
      </c>
      <c r="H242" s="1">
        <f>IF(ISNUMBER(B242),INT(B242),0)</f>
        <v/>
      </c>
      <c r="I242">
        <f>IF(AND(H242&gt;0,ISNUMBER(D242),COUNTIF(Envelopes!$B$6:$B$21,C242)&gt;0,F242=""),1,0)</f>
        <v/>
      </c>
      <c r="J242">
        <f>IF(AND(H242&gt;0,ISNUMBER(D242),COUNTIF(Envelopes!$B$6:$B$21,C242)&gt;0,F242&lt;&gt;"",COUNTIF(Envelopes!$B$6:$B$21,F242)&gt;0),1,0)</f>
        <v/>
      </c>
      <c r="K242">
        <f>IF(I242=1,H242*10000+ROW(),"")</f>
        <v/>
      </c>
    </row>
    <row r="243">
      <c r="A243" s="1" t="n"/>
      <c r="B243" s="21" t="n">
        <v>46240</v>
      </c>
      <c r="C243" s="23" t="inlineStr">
        <is>
          <t>Fun money</t>
        </is>
      </c>
      <c r="D243" s="22" t="n">
        <v>5.37</v>
      </c>
      <c r="E243" s="24" t="inlineStr">
        <is>
          <t>Leftover to savings</t>
        </is>
      </c>
      <c r="F243" s="25" t="inlineStr">
        <is>
          <t>Emergency fund</t>
        </is>
      </c>
      <c r="G243" s="18">
        <f>IF(AND(C243="",D243=""),"",IF(NOT(ISNUMBER(B243)),"Needs a date",IF(NOT(ISNUMBER(D243)),"Needs the amount",IF(C243="","Needs an envelope",IF(COUNTIF(Envelopes!$B$6:$B$21,C243)=0,"Not on Envelopes",IF(F243="",IF(D243=0,"Needs the amount",""),IF(COUNTIF(Envelopes!$B$6:$B$21,F243)=0,"Moved to: not on Envelopes",IF(D243&lt;=0,"A move needs an amount",IF(F243=C243,"Moved to the same envelope","")))))))))</f>
        <v/>
      </c>
      <c r="H243" s="1">
        <f>IF(ISNUMBER(B243),INT(B243),0)</f>
        <v/>
      </c>
      <c r="I243">
        <f>IF(AND(H243&gt;0,ISNUMBER(D243),COUNTIF(Envelopes!$B$6:$B$21,C243)&gt;0,F243=""),1,0)</f>
        <v/>
      </c>
      <c r="J243">
        <f>IF(AND(H243&gt;0,ISNUMBER(D243),COUNTIF(Envelopes!$B$6:$B$21,C243)&gt;0,F243&lt;&gt;"",COUNTIF(Envelopes!$B$6:$B$21,F243)&gt;0),1,0)</f>
        <v/>
      </c>
      <c r="K243">
        <f>IF(I243=1,H243*10000+ROW(),"")</f>
        <v/>
      </c>
    </row>
    <row r="244">
      <c r="A244" s="1" t="n"/>
      <c r="B244" s="21" t="n">
        <v>46242</v>
      </c>
      <c r="C244" s="23" t="inlineStr">
        <is>
          <t>Groceries</t>
        </is>
      </c>
      <c r="D244" s="22" t="n">
        <v>66.47</v>
      </c>
      <c r="E244" s="24" t="inlineStr">
        <is>
          <t>Supermarket</t>
        </is>
      </c>
      <c r="F244" s="25" t="n"/>
      <c r="G244" s="18">
        <f>IF(AND(C244="",D244=""),"",IF(NOT(ISNUMBER(B244)),"Needs a date",IF(NOT(ISNUMBER(D244)),"Needs the amount",IF(C244="","Needs an envelope",IF(COUNTIF(Envelopes!$B$6:$B$21,C244)=0,"Not on Envelopes",IF(F244="",IF(D244=0,"Needs the amount",""),IF(COUNTIF(Envelopes!$B$6:$B$21,F244)=0,"Moved to: not on Envelopes",IF(D244&lt;=0,"A move needs an amount",IF(F244=C244,"Moved to the same envelope","")))))))))</f>
        <v/>
      </c>
      <c r="H244" s="1">
        <f>IF(ISNUMBER(B244),INT(B244),0)</f>
        <v/>
      </c>
      <c r="I244">
        <f>IF(AND(H244&gt;0,ISNUMBER(D244),COUNTIF(Envelopes!$B$6:$B$21,C244)&gt;0,F244=""),1,0)</f>
        <v/>
      </c>
      <c r="J244">
        <f>IF(AND(H244&gt;0,ISNUMBER(D244),COUNTIF(Envelopes!$B$6:$B$21,C244)&gt;0,F244&lt;&gt;"",COUNTIF(Envelopes!$B$6:$B$21,F244)&gt;0),1,0)</f>
        <v/>
      </c>
      <c r="K244">
        <f>IF(I244=1,H244*10000+ROW(),"")</f>
        <v/>
      </c>
    </row>
    <row r="245">
      <c r="A245" s="1" t="n"/>
      <c r="B245" s="21" t="n">
        <v>46243</v>
      </c>
      <c r="C245" s="23" t="inlineStr">
        <is>
          <t>Gas</t>
        </is>
      </c>
      <c r="D245" s="22" t="n">
        <v>12.82</v>
      </c>
      <c r="E245" s="24" t="inlineStr">
        <is>
          <t>Gas station</t>
        </is>
      </c>
      <c r="F245" s="25" t="n"/>
      <c r="G245" s="18">
        <f>IF(AND(C245="",D245=""),"",IF(NOT(ISNUMBER(B245)),"Needs a date",IF(NOT(ISNUMBER(D245)),"Needs the amount",IF(C245="","Needs an envelope",IF(COUNTIF(Envelopes!$B$6:$B$21,C245)=0,"Not on Envelopes",IF(F245="",IF(D245=0,"Needs the amount",""),IF(COUNTIF(Envelopes!$B$6:$B$21,F245)=0,"Moved to: not on Envelopes",IF(D245&lt;=0,"A move needs an amount",IF(F245=C245,"Moved to the same envelope","")))))))))</f>
        <v/>
      </c>
      <c r="H245" s="1">
        <f>IF(ISNUMBER(B245),INT(B245),0)</f>
        <v/>
      </c>
      <c r="I245">
        <f>IF(AND(H245&gt;0,ISNUMBER(D245),COUNTIF(Envelopes!$B$6:$B$21,C245)&gt;0,F245=""),1,0)</f>
        <v/>
      </c>
      <c r="J245">
        <f>IF(AND(H245&gt;0,ISNUMBER(D245),COUNTIF(Envelopes!$B$6:$B$21,C245)&gt;0,F245&lt;&gt;"",COUNTIF(Envelopes!$B$6:$B$21,F245)&gt;0),1,0)</f>
        <v/>
      </c>
      <c r="K245">
        <f>IF(I245=1,H245*10000+ROW(),"")</f>
        <v/>
      </c>
    </row>
    <row r="246">
      <c r="A246" s="1" t="n"/>
      <c r="B246" s="21" t="n">
        <v>46245</v>
      </c>
      <c r="C246" s="23" t="inlineStr">
        <is>
          <t>Household</t>
        </is>
      </c>
      <c r="D246" s="22" t="n">
        <v>32.88</v>
      </c>
      <c r="E246" s="24" t="inlineStr">
        <is>
          <t>Hardware store</t>
        </is>
      </c>
      <c r="F246" s="25" t="n"/>
      <c r="G246" s="18">
        <f>IF(AND(C246="",D246=""),"",IF(NOT(ISNUMBER(B246)),"Needs a date",IF(NOT(ISNUMBER(D246)),"Needs the amount",IF(C246="","Needs an envelope",IF(COUNTIF(Envelopes!$B$6:$B$21,C246)=0,"Not on Envelopes",IF(F246="",IF(D246=0,"Needs the amount",""),IF(COUNTIF(Envelopes!$B$6:$B$21,F246)=0,"Moved to: not on Envelopes",IF(D246&lt;=0,"A move needs an amount",IF(F246=C246,"Moved to the same envelope","")))))))))</f>
        <v/>
      </c>
      <c r="H246" s="1">
        <f>IF(ISNUMBER(B246),INT(B246),0)</f>
        <v/>
      </c>
      <c r="I246">
        <f>IF(AND(H246&gt;0,ISNUMBER(D246),COUNTIF(Envelopes!$B$6:$B$21,C246)&gt;0,F246=""),1,0)</f>
        <v/>
      </c>
      <c r="J246">
        <f>IF(AND(H246&gt;0,ISNUMBER(D246),COUNTIF(Envelopes!$B$6:$B$21,C246)&gt;0,F246&lt;&gt;"",COUNTIF(Envelopes!$B$6:$B$21,F246)&gt;0),1,0)</f>
        <v/>
      </c>
      <c r="K246">
        <f>IF(I246=1,H246*10000+ROW(),"")</f>
        <v/>
      </c>
    </row>
    <row r="247">
      <c r="A247" s="1" t="n"/>
      <c r="B247" s="21" t="n">
        <v>46247</v>
      </c>
      <c r="C247" s="23" t="inlineStr">
        <is>
          <t>Eating out</t>
        </is>
      </c>
      <c r="D247" s="22" t="n">
        <v>9.26</v>
      </c>
      <c r="E247" s="24" t="inlineStr">
        <is>
          <t>Pizza night</t>
        </is>
      </c>
      <c r="F247" s="25" t="n"/>
      <c r="G247" s="18">
        <f>IF(AND(C247="",D247=""),"",IF(NOT(ISNUMBER(B247)),"Needs a date",IF(NOT(ISNUMBER(D247)),"Needs the amount",IF(C247="","Needs an envelope",IF(COUNTIF(Envelopes!$B$6:$B$21,C247)=0,"Not on Envelopes",IF(F247="",IF(D247=0,"Needs the amount",""),IF(COUNTIF(Envelopes!$B$6:$B$21,F247)=0,"Moved to: not on Envelopes",IF(D247&lt;=0,"A move needs an amount",IF(F247=C247,"Moved to the same envelope","")))))))))</f>
        <v/>
      </c>
      <c r="H247" s="1">
        <f>IF(ISNUMBER(B247),INT(B247),0)</f>
        <v/>
      </c>
      <c r="I247">
        <f>IF(AND(H247&gt;0,ISNUMBER(D247),COUNTIF(Envelopes!$B$6:$B$21,C247)&gt;0,F247=""),1,0)</f>
        <v/>
      </c>
      <c r="J247">
        <f>IF(AND(H247&gt;0,ISNUMBER(D247),COUNTIF(Envelopes!$B$6:$B$21,C247)&gt;0,F247&lt;&gt;"",COUNTIF(Envelopes!$B$6:$B$21,F247)&gt;0),1,0)</f>
        <v/>
      </c>
      <c r="K247">
        <f>IF(I247=1,H247*10000+ROW(),"")</f>
        <v/>
      </c>
    </row>
    <row r="248">
      <c r="A248" s="1" t="n"/>
      <c r="B248" s="21" t="n">
        <v>46248</v>
      </c>
      <c r="C248" s="23" t="inlineStr">
        <is>
          <t>Groceries</t>
        </is>
      </c>
      <c r="D248" s="22" t="n">
        <v>6.13</v>
      </c>
      <c r="E248" s="24" t="inlineStr">
        <is>
          <t>Bakery</t>
        </is>
      </c>
      <c r="F248" s="25" t="n"/>
      <c r="G248" s="18">
        <f>IF(AND(C248="",D248=""),"",IF(NOT(ISNUMBER(B248)),"Needs a date",IF(NOT(ISNUMBER(D248)),"Needs the amount",IF(C248="","Needs an envelope",IF(COUNTIF(Envelopes!$B$6:$B$21,C248)=0,"Not on Envelopes",IF(F248="",IF(D248=0,"Needs the amount",""),IF(COUNTIF(Envelopes!$B$6:$B$21,F248)=0,"Moved to: not on Envelopes",IF(D248&lt;=0,"A move needs an amount",IF(F248=C248,"Moved to the same envelope","")))))))))</f>
        <v/>
      </c>
      <c r="H248" s="1">
        <f>IF(ISNUMBER(B248),INT(B248),0)</f>
        <v/>
      </c>
      <c r="I248">
        <f>IF(AND(H248&gt;0,ISNUMBER(D248),COUNTIF(Envelopes!$B$6:$B$21,C248)&gt;0,F248=""),1,0)</f>
        <v/>
      </c>
      <c r="J248">
        <f>IF(AND(H248&gt;0,ISNUMBER(D248),COUNTIF(Envelopes!$B$6:$B$21,C248)&gt;0,F248&lt;&gt;"",COUNTIF(Envelopes!$B$6:$B$21,F248)&gt;0),1,0)</f>
        <v/>
      </c>
      <c r="K248">
        <f>IF(I248=1,H248*10000+ROW(),"")</f>
        <v/>
      </c>
    </row>
    <row r="249">
      <c r="A249" s="1" t="n"/>
      <c r="B249" s="21" t="n">
        <v>46249</v>
      </c>
      <c r="C249" s="23" t="inlineStr">
        <is>
          <t>Fun money</t>
        </is>
      </c>
      <c r="D249" s="22" t="n">
        <v>23.31</v>
      </c>
      <c r="E249" s="24" t="inlineStr">
        <is>
          <t>Cinema</t>
        </is>
      </c>
      <c r="F249" s="25" t="n"/>
      <c r="G249" s="18">
        <f>IF(AND(C249="",D249=""),"",IF(NOT(ISNUMBER(B249)),"Needs a date",IF(NOT(ISNUMBER(D249)),"Needs the amount",IF(C249="","Needs an envelope",IF(COUNTIF(Envelopes!$B$6:$B$21,C249)=0,"Not on Envelopes",IF(F249="",IF(D249=0,"Needs the amount",""),IF(COUNTIF(Envelopes!$B$6:$B$21,F249)=0,"Moved to: not on Envelopes",IF(D249&lt;=0,"A move needs an amount",IF(F249=C249,"Moved to the same envelope","")))))))))</f>
        <v/>
      </c>
      <c r="H249" s="1">
        <f>IF(ISNUMBER(B249),INT(B249),0)</f>
        <v/>
      </c>
      <c r="I249">
        <f>IF(AND(H249&gt;0,ISNUMBER(D249),COUNTIF(Envelopes!$B$6:$B$21,C249)&gt;0,F249=""),1,0)</f>
        <v/>
      </c>
      <c r="J249">
        <f>IF(AND(H249&gt;0,ISNUMBER(D249),COUNTIF(Envelopes!$B$6:$B$21,C249)&gt;0,F249&lt;&gt;"",COUNTIF(Envelopes!$B$6:$B$21,F249)&gt;0),1,0)</f>
        <v/>
      </c>
      <c r="K249">
        <f>IF(I249=1,H249*10000+ROW(),"")</f>
        <v/>
      </c>
    </row>
    <row r="250">
      <c r="A250" s="1" t="n"/>
      <c r="B250" s="21" t="n">
        <v>46249</v>
      </c>
      <c r="C250" s="23" t="inlineStr">
        <is>
          <t>Kids</t>
        </is>
      </c>
      <c r="D250" s="22" t="n">
        <v>34.12</v>
      </c>
      <c r="E250" s="24" t="inlineStr">
        <is>
          <t>Shoes</t>
        </is>
      </c>
      <c r="F250" s="25" t="n"/>
      <c r="G250" s="18">
        <f>IF(AND(C250="",D250=""),"",IF(NOT(ISNUMBER(B250)),"Needs a date",IF(NOT(ISNUMBER(D250)),"Needs the amount",IF(C250="","Needs an envelope",IF(COUNTIF(Envelopes!$B$6:$B$21,C250)=0,"Not on Envelopes",IF(F250="",IF(D250=0,"Needs the amount",""),IF(COUNTIF(Envelopes!$B$6:$B$21,F250)=0,"Moved to: not on Envelopes",IF(D250&lt;=0,"A move needs an amount",IF(F250=C250,"Moved to the same envelope","")))))))))</f>
        <v/>
      </c>
      <c r="H250" s="1">
        <f>IF(ISNUMBER(B250),INT(B250),0)</f>
        <v/>
      </c>
      <c r="I250">
        <f>IF(AND(H250&gt;0,ISNUMBER(D250),COUNTIF(Envelopes!$B$6:$B$21,C250)&gt;0,F250=""),1,0)</f>
        <v/>
      </c>
      <c r="J250">
        <f>IF(AND(H250&gt;0,ISNUMBER(D250),COUNTIF(Envelopes!$B$6:$B$21,C250)&gt;0,F250&lt;&gt;"",COUNTIF(Envelopes!$B$6:$B$21,F250)&gt;0),1,0)</f>
        <v/>
      </c>
      <c r="K250">
        <f>IF(I250=1,H250*10000+ROW(),"")</f>
        <v/>
      </c>
    </row>
    <row r="251">
      <c r="A251" s="1" t="n"/>
      <c r="B251" s="21" t="n">
        <v>46250</v>
      </c>
      <c r="C251" s="23" t="inlineStr">
        <is>
          <t>Groceries</t>
        </is>
      </c>
      <c r="D251" s="22" t="n">
        <v>36.31</v>
      </c>
      <c r="E251" s="24" t="inlineStr">
        <is>
          <t>Farmers market</t>
        </is>
      </c>
      <c r="F251" s="25" t="n"/>
      <c r="G251" s="18">
        <f>IF(AND(C251="",D251=""),"",IF(NOT(ISNUMBER(B251)),"Needs a date",IF(NOT(ISNUMBER(D251)),"Needs the amount",IF(C251="","Needs an envelope",IF(COUNTIF(Envelopes!$B$6:$B$21,C251)=0,"Not on Envelopes",IF(F251="",IF(D251=0,"Needs the amount",""),IF(COUNTIF(Envelopes!$B$6:$B$21,F251)=0,"Moved to: not on Envelopes",IF(D251&lt;=0,"A move needs an amount",IF(F251=C251,"Moved to the same envelope","")))))))))</f>
        <v/>
      </c>
      <c r="H251" s="1">
        <f>IF(ISNUMBER(B251),INT(B251),0)</f>
        <v/>
      </c>
      <c r="I251">
        <f>IF(AND(H251&gt;0,ISNUMBER(D251),COUNTIF(Envelopes!$B$6:$B$21,C251)&gt;0,F251=""),1,0)</f>
        <v/>
      </c>
      <c r="J251">
        <f>IF(AND(H251&gt;0,ISNUMBER(D251),COUNTIF(Envelopes!$B$6:$B$21,C251)&gt;0,F251&lt;&gt;"",COUNTIF(Envelopes!$B$6:$B$21,F251)&gt;0),1,0)</f>
        <v/>
      </c>
      <c r="K251">
        <f>IF(I251=1,H251*10000+ROW(),"")</f>
        <v/>
      </c>
    </row>
    <row r="252">
      <c r="A252" s="1" t="n"/>
      <c r="B252" s="21" t="n">
        <v>46251</v>
      </c>
      <c r="C252" s="23" t="inlineStr">
        <is>
          <t>Gas</t>
        </is>
      </c>
      <c r="D252" s="22" t="n">
        <v>49.02</v>
      </c>
      <c r="E252" s="24" t="inlineStr">
        <is>
          <t>Gas station</t>
        </is>
      </c>
      <c r="F252" s="25" t="n"/>
      <c r="G252" s="18">
        <f>IF(AND(C252="",D252=""),"",IF(NOT(ISNUMBER(B252)),"Needs a date",IF(NOT(ISNUMBER(D252)),"Needs the amount",IF(C252="","Needs an envelope",IF(COUNTIF(Envelopes!$B$6:$B$21,C252)=0,"Not on Envelopes",IF(F252="",IF(D252=0,"Needs the amount",""),IF(COUNTIF(Envelopes!$B$6:$B$21,F252)=0,"Moved to: not on Envelopes",IF(D252&lt;=0,"A move needs an amount",IF(F252=C252,"Moved to the same envelope","")))))))))</f>
        <v/>
      </c>
      <c r="H252" s="1">
        <f>IF(ISNUMBER(B252),INT(B252),0)</f>
        <v/>
      </c>
      <c r="I252">
        <f>IF(AND(H252&gt;0,ISNUMBER(D252),COUNTIF(Envelopes!$B$6:$B$21,C252)&gt;0,F252=""),1,0)</f>
        <v/>
      </c>
      <c r="J252">
        <f>IF(AND(H252&gt;0,ISNUMBER(D252),COUNTIF(Envelopes!$B$6:$B$21,C252)&gt;0,F252&lt;&gt;"",COUNTIF(Envelopes!$B$6:$B$21,F252)&gt;0),1,0)</f>
        <v/>
      </c>
      <c r="K252">
        <f>IF(I252=1,H252*10000+ROW(),"")</f>
        <v/>
      </c>
    </row>
    <row r="253">
      <c r="A253" s="1" t="n"/>
      <c r="B253" s="21" t="n">
        <v>46252</v>
      </c>
      <c r="C253" s="23" t="inlineStr">
        <is>
          <t>Personal care</t>
        </is>
      </c>
      <c r="D253" s="22" t="n">
        <v>25.15</v>
      </c>
      <c r="E253" s="24" t="inlineStr">
        <is>
          <t>Pharmacy</t>
        </is>
      </c>
      <c r="F253" s="25" t="n"/>
      <c r="G253" s="18">
        <f>IF(AND(C253="",D253=""),"",IF(NOT(ISNUMBER(B253)),"Needs a date",IF(NOT(ISNUMBER(D253)),"Needs the amount",IF(C253="","Needs an envelope",IF(COUNTIF(Envelopes!$B$6:$B$21,C253)=0,"Not on Envelopes",IF(F253="",IF(D253=0,"Needs the amount",""),IF(COUNTIF(Envelopes!$B$6:$B$21,F253)=0,"Moved to: not on Envelopes",IF(D253&lt;=0,"A move needs an amount",IF(F253=C253,"Moved to the same envelope","")))))))))</f>
        <v/>
      </c>
      <c r="H253" s="1">
        <f>IF(ISNUMBER(B253),INT(B253),0)</f>
        <v/>
      </c>
      <c r="I253">
        <f>IF(AND(H253&gt;0,ISNUMBER(D253),COUNTIF(Envelopes!$B$6:$B$21,C253)&gt;0,F253=""),1,0)</f>
        <v/>
      </c>
      <c r="J253">
        <f>IF(AND(H253&gt;0,ISNUMBER(D253),COUNTIF(Envelopes!$B$6:$B$21,C253)&gt;0,F253&lt;&gt;"",COUNTIF(Envelopes!$B$6:$B$21,F253)&gt;0),1,0)</f>
        <v/>
      </c>
      <c r="K253">
        <f>IF(I253=1,H253*10000+ROW(),"")</f>
        <v/>
      </c>
    </row>
    <row r="254">
      <c r="A254" s="1" t="n"/>
      <c r="B254" s="21" t="n">
        <v>46253</v>
      </c>
      <c r="C254" s="23" t="inlineStr">
        <is>
          <t>Groceries</t>
        </is>
      </c>
      <c r="D254" s="22" t="n">
        <v>65.40000000000001</v>
      </c>
      <c r="E254" s="24" t="inlineStr">
        <is>
          <t>Corner shop</t>
        </is>
      </c>
      <c r="F254" s="25" t="n"/>
      <c r="G254" s="18">
        <f>IF(AND(C254="",D254=""),"",IF(NOT(ISNUMBER(B254)),"Needs a date",IF(NOT(ISNUMBER(D254)),"Needs the amount",IF(C254="","Needs an envelope",IF(COUNTIF(Envelopes!$B$6:$B$21,C254)=0,"Not on Envelopes",IF(F254="",IF(D254=0,"Needs the amount",""),IF(COUNTIF(Envelopes!$B$6:$B$21,F254)=0,"Moved to: not on Envelopes",IF(D254&lt;=0,"A move needs an amount",IF(F254=C254,"Moved to the same envelope","")))))))))</f>
        <v/>
      </c>
      <c r="H254" s="1">
        <f>IF(ISNUMBER(B254),INT(B254),0)</f>
        <v/>
      </c>
      <c r="I254">
        <f>IF(AND(H254&gt;0,ISNUMBER(D254),COUNTIF(Envelopes!$B$6:$B$21,C254)&gt;0,F254=""),1,0)</f>
        <v/>
      </c>
      <c r="J254">
        <f>IF(AND(H254&gt;0,ISNUMBER(D254),COUNTIF(Envelopes!$B$6:$B$21,C254)&gt;0,F254&lt;&gt;"",COUNTIF(Envelopes!$B$6:$B$21,F254)&gt;0),1,0)</f>
        <v/>
      </c>
      <c r="K254">
        <f>IF(I254=1,H254*10000+ROW(),"")</f>
        <v/>
      </c>
    </row>
    <row r="255">
      <c r="A255" s="1" t="n"/>
      <c r="B255" s="21" t="n">
        <v>46253</v>
      </c>
      <c r="C255" s="23" t="inlineStr">
        <is>
          <t>Eating out</t>
        </is>
      </c>
      <c r="D255" s="22" t="n">
        <v>17.09</v>
      </c>
      <c r="E255" s="24" t="inlineStr">
        <is>
          <t>Tacos</t>
        </is>
      </c>
      <c r="F255" s="25" t="n"/>
      <c r="G255" s="18">
        <f>IF(AND(C255="",D255=""),"",IF(NOT(ISNUMBER(B255)),"Needs a date",IF(NOT(ISNUMBER(D255)),"Needs the amount",IF(C255="","Needs an envelope",IF(COUNTIF(Envelopes!$B$6:$B$21,C255)=0,"Not on Envelopes",IF(F255="",IF(D255=0,"Needs the amount",""),IF(COUNTIF(Envelopes!$B$6:$B$21,F255)=0,"Moved to: not on Envelopes",IF(D255&lt;=0,"A move needs an amount",IF(F255=C255,"Moved to the same envelope","")))))))))</f>
        <v/>
      </c>
      <c r="H255" s="1">
        <f>IF(ISNUMBER(B255),INT(B255),0)</f>
        <v/>
      </c>
      <c r="I255">
        <f>IF(AND(H255&gt;0,ISNUMBER(D255),COUNTIF(Envelopes!$B$6:$B$21,C255)&gt;0,F255=""),1,0)</f>
        <v/>
      </c>
      <c r="J255">
        <f>IF(AND(H255&gt;0,ISNUMBER(D255),COUNTIF(Envelopes!$B$6:$B$21,C255)&gt;0,F255&lt;&gt;"",COUNTIF(Envelopes!$B$6:$B$21,F255)&gt;0),1,0)</f>
        <v/>
      </c>
      <c r="K255">
        <f>IF(I255=1,H255*10000+ROW(),"")</f>
        <v/>
      </c>
    </row>
    <row r="256">
      <c r="A256" s="1" t="n"/>
      <c r="B256" s="21" t="n">
        <v>46256</v>
      </c>
      <c r="C256" s="23" t="inlineStr">
        <is>
          <t>Gas</t>
        </is>
      </c>
      <c r="D256" s="22" t="n">
        <v>19.84</v>
      </c>
      <c r="E256" s="24" t="inlineStr">
        <is>
          <t>Gas station</t>
        </is>
      </c>
      <c r="F256" s="25" t="n"/>
      <c r="G256" s="18">
        <f>IF(AND(C256="",D256=""),"",IF(NOT(ISNUMBER(B256)),"Needs a date",IF(NOT(ISNUMBER(D256)),"Needs the amount",IF(C256="","Needs an envelope",IF(COUNTIF(Envelopes!$B$6:$B$21,C256)=0,"Not on Envelopes",IF(F256="",IF(D256=0,"Needs the amount",""),IF(COUNTIF(Envelopes!$B$6:$B$21,F256)=0,"Moved to: not on Envelopes",IF(D256&lt;=0,"A move needs an amount",IF(F256=C256,"Moved to the same envelope","")))))))))</f>
        <v/>
      </c>
      <c r="H256" s="1">
        <f>IF(ISNUMBER(B256),INT(B256),0)</f>
        <v/>
      </c>
      <c r="I256">
        <f>IF(AND(H256&gt;0,ISNUMBER(D256),COUNTIF(Envelopes!$B$6:$B$21,C256)&gt;0,F256=""),1,0)</f>
        <v/>
      </c>
      <c r="J256">
        <f>IF(AND(H256&gt;0,ISNUMBER(D256),COUNTIF(Envelopes!$B$6:$B$21,C256)&gt;0,F256&lt;&gt;"",COUNTIF(Envelopes!$B$6:$B$21,F256)&gt;0),1,0)</f>
        <v/>
      </c>
      <c r="K256">
        <f>IF(I256=1,H256*10000+ROW(),"")</f>
        <v/>
      </c>
    </row>
    <row r="257">
      <c r="A257" s="1" t="n"/>
      <c r="B257" s="21" t="n">
        <v>46257</v>
      </c>
      <c r="C257" s="23" t="inlineStr">
        <is>
          <t>Groceries</t>
        </is>
      </c>
      <c r="D257" s="22" t="n">
        <v>63.22</v>
      </c>
      <c r="E257" s="24" t="inlineStr">
        <is>
          <t>Corner shop</t>
        </is>
      </c>
      <c r="F257" s="25" t="n"/>
      <c r="G257" s="18">
        <f>IF(AND(C257="",D257=""),"",IF(NOT(ISNUMBER(B257)),"Needs a date",IF(NOT(ISNUMBER(D257)),"Needs the amount",IF(C257="","Needs an envelope",IF(COUNTIF(Envelopes!$B$6:$B$21,C257)=0,"Not on Envelopes",IF(F257="",IF(D257=0,"Needs the amount",""),IF(COUNTIF(Envelopes!$B$6:$B$21,F257)=0,"Moved to: not on Envelopes",IF(D257&lt;=0,"A move needs an amount",IF(F257=C257,"Moved to the same envelope","")))))))))</f>
        <v/>
      </c>
      <c r="H257" s="1">
        <f>IF(ISNUMBER(B257),INT(B257),0)</f>
        <v/>
      </c>
      <c r="I257">
        <f>IF(AND(H257&gt;0,ISNUMBER(D257),COUNTIF(Envelopes!$B$6:$B$21,C257)&gt;0,F257=""),1,0)</f>
        <v/>
      </c>
      <c r="J257">
        <f>IF(AND(H257&gt;0,ISNUMBER(D257),COUNTIF(Envelopes!$B$6:$B$21,C257)&gt;0,F257&lt;&gt;"",COUNTIF(Envelopes!$B$6:$B$21,F257)&gt;0),1,0)</f>
        <v/>
      </c>
      <c r="K257">
        <f>IF(I257=1,H257*10000+ROW(),"")</f>
        <v/>
      </c>
    </row>
    <row r="258">
      <c r="A258" s="1" t="n"/>
      <c r="B258" s="21" t="n">
        <v>46258</v>
      </c>
      <c r="C258" s="23" t="inlineStr">
        <is>
          <t>Kids</t>
        </is>
      </c>
      <c r="D258" s="22" t="n">
        <v>34.79</v>
      </c>
      <c r="E258" s="24" t="inlineStr">
        <is>
          <t>School trip</t>
        </is>
      </c>
      <c r="F258" s="25" t="n"/>
      <c r="G258" s="18">
        <f>IF(AND(C258="",D258=""),"",IF(NOT(ISNUMBER(B258)),"Needs a date",IF(NOT(ISNUMBER(D258)),"Needs the amount",IF(C258="","Needs an envelope",IF(COUNTIF(Envelopes!$B$6:$B$21,C258)=0,"Not on Envelopes",IF(F258="",IF(D258=0,"Needs the amount",""),IF(COUNTIF(Envelopes!$B$6:$B$21,F258)=0,"Moved to: not on Envelopes",IF(D258&lt;=0,"A move needs an amount",IF(F258=C258,"Moved to the same envelope","")))))))))</f>
        <v/>
      </c>
      <c r="H258" s="1">
        <f>IF(ISNUMBER(B258),INT(B258),0)</f>
        <v/>
      </c>
      <c r="I258">
        <f>IF(AND(H258&gt;0,ISNUMBER(D258),COUNTIF(Envelopes!$B$6:$B$21,C258)&gt;0,F258=""),1,0)</f>
        <v/>
      </c>
      <c r="J258">
        <f>IF(AND(H258&gt;0,ISNUMBER(D258),COUNTIF(Envelopes!$B$6:$B$21,C258)&gt;0,F258&lt;&gt;"",COUNTIF(Envelopes!$B$6:$B$21,F258)&gt;0),1,0)</f>
        <v/>
      </c>
      <c r="K258">
        <f>IF(I258=1,H258*10000+ROW(),"")</f>
        <v/>
      </c>
    </row>
    <row r="259">
      <c r="A259" s="1" t="n"/>
      <c r="B259" s="21" t="n">
        <v>46259</v>
      </c>
      <c r="C259" s="23" t="inlineStr">
        <is>
          <t>Fun money</t>
        </is>
      </c>
      <c r="D259" s="22" t="n">
        <v>31.53</v>
      </c>
      <c r="E259" s="24" t="inlineStr">
        <is>
          <t>Game</t>
        </is>
      </c>
      <c r="F259" s="25" t="n"/>
      <c r="G259" s="18">
        <f>IF(AND(C259="",D259=""),"",IF(NOT(ISNUMBER(B259)),"Needs a date",IF(NOT(ISNUMBER(D259)),"Needs the amount",IF(C259="","Needs an envelope",IF(COUNTIF(Envelopes!$B$6:$B$21,C259)=0,"Not on Envelopes",IF(F259="",IF(D259=0,"Needs the amount",""),IF(COUNTIF(Envelopes!$B$6:$B$21,F259)=0,"Moved to: not on Envelopes",IF(D259&lt;=0,"A move needs an amount",IF(F259=C259,"Moved to the same envelope","")))))))))</f>
        <v/>
      </c>
      <c r="H259" s="1">
        <f>IF(ISNUMBER(B259),INT(B259),0)</f>
        <v/>
      </c>
      <c r="I259">
        <f>IF(AND(H259&gt;0,ISNUMBER(D259),COUNTIF(Envelopes!$B$6:$B$21,C259)&gt;0,F259=""),1,0)</f>
        <v/>
      </c>
      <c r="J259">
        <f>IF(AND(H259&gt;0,ISNUMBER(D259),COUNTIF(Envelopes!$B$6:$B$21,C259)&gt;0,F259&lt;&gt;"",COUNTIF(Envelopes!$B$6:$B$21,F259)&gt;0),1,0)</f>
        <v/>
      </c>
      <c r="K259">
        <f>IF(I259=1,H259*10000+ROW(),"")</f>
        <v/>
      </c>
    </row>
    <row r="260">
      <c r="A260" s="1" t="n"/>
      <c r="B260" s="21" t="n">
        <v>46259</v>
      </c>
      <c r="C260" s="23" t="inlineStr">
        <is>
          <t>Personal care</t>
        </is>
      </c>
      <c r="D260" s="22" t="n">
        <v>25.3</v>
      </c>
      <c r="E260" s="24" t="inlineStr">
        <is>
          <t>Pharmacy</t>
        </is>
      </c>
      <c r="F260" s="25" t="n"/>
      <c r="G260" s="18">
        <f>IF(AND(C260="",D260=""),"",IF(NOT(ISNUMBER(B260)),"Needs a date",IF(NOT(ISNUMBER(D260)),"Needs the amount",IF(C260="","Needs an envelope",IF(COUNTIF(Envelopes!$B$6:$B$21,C260)=0,"Not on Envelopes",IF(F260="",IF(D260=0,"Needs the amount",""),IF(COUNTIF(Envelopes!$B$6:$B$21,F260)=0,"Moved to: not on Envelopes",IF(D260&lt;=0,"A move needs an amount",IF(F260=C260,"Moved to the same envelope","")))))))))</f>
        <v/>
      </c>
      <c r="H260" s="1">
        <f>IF(ISNUMBER(B260),INT(B260),0)</f>
        <v/>
      </c>
      <c r="I260">
        <f>IF(AND(H260&gt;0,ISNUMBER(D260),COUNTIF(Envelopes!$B$6:$B$21,C260)&gt;0,F260=""),1,0)</f>
        <v/>
      </c>
      <c r="J260">
        <f>IF(AND(H260&gt;0,ISNUMBER(D260),COUNTIF(Envelopes!$B$6:$B$21,C260)&gt;0,F260&lt;&gt;"",COUNTIF(Envelopes!$B$6:$B$21,F260)&gt;0),1,0)</f>
        <v/>
      </c>
      <c r="K260">
        <f>IF(I260=1,H260*10000+ROW(),"")</f>
        <v/>
      </c>
    </row>
    <row r="261">
      <c r="A261" s="1" t="n"/>
      <c r="B261" s="21" t="n">
        <v>46260</v>
      </c>
      <c r="C261" s="23" t="inlineStr">
        <is>
          <t>Groceries</t>
        </is>
      </c>
      <c r="D261" s="22" t="n">
        <v>8.32</v>
      </c>
      <c r="E261" s="24" t="inlineStr">
        <is>
          <t>Supermarket</t>
        </is>
      </c>
      <c r="F261" s="25" t="n"/>
      <c r="G261" s="18">
        <f>IF(AND(C261="",D261=""),"",IF(NOT(ISNUMBER(B261)),"Needs a date",IF(NOT(ISNUMBER(D261)),"Needs the amount",IF(C261="","Needs an envelope",IF(COUNTIF(Envelopes!$B$6:$B$21,C261)=0,"Not on Envelopes",IF(F261="",IF(D261=0,"Needs the amount",""),IF(COUNTIF(Envelopes!$B$6:$B$21,F261)=0,"Moved to: not on Envelopes",IF(D261&lt;=0,"A move needs an amount",IF(F261=C261,"Moved to the same envelope","")))))))))</f>
        <v/>
      </c>
      <c r="H261" s="1">
        <f>IF(ISNUMBER(B261),INT(B261),0)</f>
        <v/>
      </c>
      <c r="I261">
        <f>IF(AND(H261&gt;0,ISNUMBER(D261),COUNTIF(Envelopes!$B$6:$B$21,C261)&gt;0,F261=""),1,0)</f>
        <v/>
      </c>
      <c r="J261">
        <f>IF(AND(H261&gt;0,ISNUMBER(D261),COUNTIF(Envelopes!$B$6:$B$21,C261)&gt;0,F261&lt;&gt;"",COUNTIF(Envelopes!$B$6:$B$21,F261)&gt;0),1,0)</f>
        <v/>
      </c>
      <c r="K261">
        <f>IF(I261=1,H261*10000+ROW(),"")</f>
        <v/>
      </c>
    </row>
    <row r="262">
      <c r="A262" s="1" t="n"/>
      <c r="B262" s="21" t="n">
        <v>46260</v>
      </c>
      <c r="C262" s="23" t="inlineStr">
        <is>
          <t>Eating out</t>
        </is>
      </c>
      <c r="D262" s="22" t="n">
        <v>21.4</v>
      </c>
      <c r="E262" s="24" t="inlineStr">
        <is>
          <t>Tacos</t>
        </is>
      </c>
      <c r="F262" s="25" t="n"/>
      <c r="G262" s="18">
        <f>IF(AND(C262="",D262=""),"",IF(NOT(ISNUMBER(B262)),"Needs a date",IF(NOT(ISNUMBER(D262)),"Needs the amount",IF(C262="","Needs an envelope",IF(COUNTIF(Envelopes!$B$6:$B$21,C262)=0,"Not on Envelopes",IF(F262="",IF(D262=0,"Needs the amount",""),IF(COUNTIF(Envelopes!$B$6:$B$21,F262)=0,"Moved to: not on Envelopes",IF(D262&lt;=0,"A move needs an amount",IF(F262=C262,"Moved to the same envelope","")))))))))</f>
        <v/>
      </c>
      <c r="H262" s="1">
        <f>IF(ISNUMBER(B262),INT(B262),0)</f>
        <v/>
      </c>
      <c r="I262">
        <f>IF(AND(H262&gt;0,ISNUMBER(D262),COUNTIF(Envelopes!$B$6:$B$21,C262)&gt;0,F262=""),1,0)</f>
        <v/>
      </c>
      <c r="J262">
        <f>IF(AND(H262&gt;0,ISNUMBER(D262),COUNTIF(Envelopes!$B$6:$B$21,C262)&gt;0,F262&lt;&gt;"",COUNTIF(Envelopes!$B$6:$B$21,F262)&gt;0),1,0)</f>
        <v/>
      </c>
      <c r="K262">
        <f>IF(I262=1,H262*10000+ROW(),"")</f>
        <v/>
      </c>
    </row>
    <row r="263">
      <c r="A263" s="1" t="n"/>
      <c r="B263" s="21" t="n">
        <v>46263</v>
      </c>
      <c r="C263" s="23" t="inlineStr">
        <is>
          <t>Gas</t>
        </is>
      </c>
      <c r="D263" s="22" t="n">
        <v>35.45</v>
      </c>
      <c r="E263" s="24" t="inlineStr">
        <is>
          <t>Gas station</t>
        </is>
      </c>
      <c r="F263" s="25" t="n"/>
      <c r="G263" s="18">
        <f>IF(AND(C263="",D263=""),"",IF(NOT(ISNUMBER(B263)),"Needs a date",IF(NOT(ISNUMBER(D263)),"Needs the amount",IF(C263="","Needs an envelope",IF(COUNTIF(Envelopes!$B$6:$B$21,C263)=0,"Not on Envelopes",IF(F263="",IF(D263=0,"Needs the amount",""),IF(COUNTIF(Envelopes!$B$6:$B$21,F263)=0,"Moved to: not on Envelopes",IF(D263&lt;=0,"A move needs an amount",IF(F263=C263,"Moved to the same envelope","")))))))))</f>
        <v/>
      </c>
      <c r="H263" s="1">
        <f>IF(ISNUMBER(B263),INT(B263),0)</f>
        <v/>
      </c>
      <c r="I263">
        <f>IF(AND(H263&gt;0,ISNUMBER(D263),COUNTIF(Envelopes!$B$6:$B$21,C263)&gt;0,F263=""),1,0)</f>
        <v/>
      </c>
      <c r="J263">
        <f>IF(AND(H263&gt;0,ISNUMBER(D263),COUNTIF(Envelopes!$B$6:$B$21,C263)&gt;0,F263&lt;&gt;"",COUNTIF(Envelopes!$B$6:$B$21,F263)&gt;0),1,0)</f>
        <v/>
      </c>
      <c r="K263">
        <f>IF(I263=1,H263*10000+ROW(),"")</f>
        <v/>
      </c>
    </row>
    <row r="264">
      <c r="A264" s="1" t="n"/>
      <c r="B264" s="21" t="n">
        <v>46264</v>
      </c>
      <c r="C264" s="23" t="inlineStr">
        <is>
          <t>Groceries</t>
        </is>
      </c>
      <c r="D264" s="22" t="n">
        <v>52.94</v>
      </c>
      <c r="E264" s="24" t="inlineStr">
        <is>
          <t>Supermarket</t>
        </is>
      </c>
      <c r="F264" s="25" t="n"/>
      <c r="G264" s="18">
        <f>IF(AND(C264="",D264=""),"",IF(NOT(ISNUMBER(B264)),"Needs a date",IF(NOT(ISNUMBER(D264)),"Needs the amount",IF(C264="","Needs an envelope",IF(COUNTIF(Envelopes!$B$6:$B$21,C264)=0,"Not on Envelopes",IF(F264="",IF(D264=0,"Needs the amount",""),IF(COUNTIF(Envelopes!$B$6:$B$21,F264)=0,"Moved to: not on Envelopes",IF(D264&lt;=0,"A move needs an amount",IF(F264=C264,"Moved to the same envelope","")))))))))</f>
        <v/>
      </c>
      <c r="H264" s="1">
        <f>IF(ISNUMBER(B264),INT(B264),0)</f>
        <v/>
      </c>
      <c r="I264">
        <f>IF(AND(H264&gt;0,ISNUMBER(D264),COUNTIF(Envelopes!$B$6:$B$21,C264)&gt;0,F264=""),1,0)</f>
        <v/>
      </c>
      <c r="J264">
        <f>IF(AND(H264&gt;0,ISNUMBER(D264),COUNTIF(Envelopes!$B$6:$B$21,C264)&gt;0,F264&lt;&gt;"",COUNTIF(Envelopes!$B$6:$B$21,F264)&gt;0),1,0)</f>
        <v/>
      </c>
      <c r="K264">
        <f>IF(I264=1,H264*10000+ROW(),"")</f>
        <v/>
      </c>
    </row>
    <row r="265">
      <c r="A265" s="1" t="n"/>
      <c r="B265" s="21" t="n">
        <v>46264</v>
      </c>
      <c r="C265" s="23" t="inlineStr">
        <is>
          <t>Eating out</t>
        </is>
      </c>
      <c r="D265" s="22" t="n">
        <v>26.68</v>
      </c>
      <c r="E265" s="24" t="inlineStr">
        <is>
          <t>Lunch out</t>
        </is>
      </c>
      <c r="F265" s="25" t="n"/>
      <c r="G265" s="18">
        <f>IF(AND(C265="",D265=""),"",IF(NOT(ISNUMBER(B265)),"Needs a date",IF(NOT(ISNUMBER(D265)),"Needs the amount",IF(C265="","Needs an envelope",IF(COUNTIF(Envelopes!$B$6:$B$21,C265)=0,"Not on Envelopes",IF(F265="",IF(D265=0,"Needs the amount",""),IF(COUNTIF(Envelopes!$B$6:$B$21,F265)=0,"Moved to: not on Envelopes",IF(D265&lt;=0,"A move needs an amount",IF(F265=C265,"Moved to the same envelope","")))))))))</f>
        <v/>
      </c>
      <c r="H265" s="1">
        <f>IF(ISNUMBER(B265),INT(B265),0)</f>
        <v/>
      </c>
      <c r="I265">
        <f>IF(AND(H265&gt;0,ISNUMBER(D265),COUNTIF(Envelopes!$B$6:$B$21,C265)&gt;0,F265=""),1,0)</f>
        <v/>
      </c>
      <c r="J265">
        <f>IF(AND(H265&gt;0,ISNUMBER(D265),COUNTIF(Envelopes!$B$6:$B$21,C265)&gt;0,F265&lt;&gt;"",COUNTIF(Envelopes!$B$6:$B$21,F265)&gt;0),1,0)</f>
        <v/>
      </c>
      <c r="K265">
        <f>IF(I265=1,H265*10000+ROW(),"")</f>
        <v/>
      </c>
    </row>
    <row r="266">
      <c r="A266" s="1" t="n"/>
      <c r="B266" s="21" t="n">
        <v>46264</v>
      </c>
      <c r="C266" s="23" t="inlineStr">
        <is>
          <t>Household</t>
        </is>
      </c>
      <c r="D266" s="22" t="n">
        <v>26.83</v>
      </c>
      <c r="E266" s="24" t="inlineStr">
        <is>
          <t>Hardware store</t>
        </is>
      </c>
      <c r="F266" s="25" t="n"/>
      <c r="G266" s="18">
        <f>IF(AND(C266="",D266=""),"",IF(NOT(ISNUMBER(B266)),"Needs a date",IF(NOT(ISNUMBER(D266)),"Needs the amount",IF(C266="","Needs an envelope",IF(COUNTIF(Envelopes!$B$6:$B$21,C266)=0,"Not on Envelopes",IF(F266="",IF(D266=0,"Needs the amount",""),IF(COUNTIF(Envelopes!$B$6:$B$21,F266)=0,"Moved to: not on Envelopes",IF(D266&lt;=0,"A move needs an amount",IF(F266=C266,"Moved to the same envelope","")))))))))</f>
        <v/>
      </c>
      <c r="H266" s="1">
        <f>IF(ISNUMBER(B266),INT(B266),0)</f>
        <v/>
      </c>
      <c r="I266">
        <f>IF(AND(H266&gt;0,ISNUMBER(D266),COUNTIF(Envelopes!$B$6:$B$21,C266)&gt;0,F266=""),1,0)</f>
        <v/>
      </c>
      <c r="J266">
        <f>IF(AND(H266&gt;0,ISNUMBER(D266),COUNTIF(Envelopes!$B$6:$B$21,C266)&gt;0,F266&lt;&gt;"",COUNTIF(Envelopes!$B$6:$B$21,F266)&gt;0),1,0)</f>
        <v/>
      </c>
      <c r="K266">
        <f>IF(I266=1,H266*10000+ROW(),"")</f>
        <v/>
      </c>
    </row>
    <row r="267">
      <c r="A267" s="1" t="n"/>
      <c r="B267" s="21" t="n">
        <v>46268</v>
      </c>
      <c r="C267" s="23" t="inlineStr">
        <is>
          <t>Groceries</t>
        </is>
      </c>
      <c r="D267" s="22" t="n">
        <v>42.58</v>
      </c>
      <c r="E267" s="24" t="inlineStr">
        <is>
          <t>Farmers market</t>
        </is>
      </c>
      <c r="F267" s="25" t="n"/>
      <c r="G267" s="18">
        <f>IF(AND(C267="",D267=""),"",IF(NOT(ISNUMBER(B267)),"Needs a date",IF(NOT(ISNUMBER(D267)),"Needs the amount",IF(C267="","Needs an envelope",IF(COUNTIF(Envelopes!$B$6:$B$21,C267)=0,"Not on Envelopes",IF(F267="",IF(D267=0,"Needs the amount",""),IF(COUNTIF(Envelopes!$B$6:$B$21,F267)=0,"Moved to: not on Envelopes",IF(D267&lt;=0,"A move needs an amount",IF(F267=C267,"Moved to the same envelope","")))))))))</f>
        <v/>
      </c>
      <c r="H267" s="1">
        <f>IF(ISNUMBER(B267),INT(B267),0)</f>
        <v/>
      </c>
      <c r="I267">
        <f>IF(AND(H267&gt;0,ISNUMBER(D267),COUNTIF(Envelopes!$B$6:$B$21,C267)&gt;0,F267=""),1,0)</f>
        <v/>
      </c>
      <c r="J267">
        <f>IF(AND(H267&gt;0,ISNUMBER(D267),COUNTIF(Envelopes!$B$6:$B$21,C267)&gt;0,F267&lt;&gt;"",COUNTIF(Envelopes!$B$6:$B$21,F267)&gt;0),1,0)</f>
        <v/>
      </c>
      <c r="K267">
        <f>IF(I267=1,H267*10000+ROW(),"")</f>
        <v/>
      </c>
    </row>
    <row r="268">
      <c r="A268" s="1" t="n"/>
      <c r="B268" s="21" t="n">
        <v>46268</v>
      </c>
      <c r="C268" s="23" t="inlineStr">
        <is>
          <t>Eating out</t>
        </is>
      </c>
      <c r="D268" s="22" t="n">
        <v>5.57</v>
      </c>
      <c r="E268" s="24" t="inlineStr">
        <is>
          <t>Leftover to savings</t>
        </is>
      </c>
      <c r="F268" s="25" t="inlineStr">
        <is>
          <t>Emergency fund</t>
        </is>
      </c>
      <c r="G268" s="18">
        <f>IF(AND(C268="",D268=""),"",IF(NOT(ISNUMBER(B268)),"Needs a date",IF(NOT(ISNUMBER(D268)),"Needs the amount",IF(C268="","Needs an envelope",IF(COUNTIF(Envelopes!$B$6:$B$21,C268)=0,"Not on Envelopes",IF(F268="",IF(D268=0,"Needs the amount",""),IF(COUNTIF(Envelopes!$B$6:$B$21,F268)=0,"Moved to: not on Envelopes",IF(D268&lt;=0,"A move needs an amount",IF(F268=C268,"Moved to the same envelope","")))))))))</f>
        <v/>
      </c>
      <c r="H268" s="1">
        <f>IF(ISNUMBER(B268),INT(B268),0)</f>
        <v/>
      </c>
      <c r="I268">
        <f>IF(AND(H268&gt;0,ISNUMBER(D268),COUNTIF(Envelopes!$B$6:$B$21,C268)&gt;0,F268=""),1,0)</f>
        <v/>
      </c>
      <c r="J268">
        <f>IF(AND(H268&gt;0,ISNUMBER(D268),COUNTIF(Envelopes!$B$6:$B$21,C268)&gt;0,F268&lt;&gt;"",COUNTIF(Envelopes!$B$6:$B$21,F268)&gt;0),1,0)</f>
        <v/>
      </c>
      <c r="K268">
        <f>IF(I268=1,H268*10000+ROW(),"")</f>
        <v/>
      </c>
    </row>
    <row r="269">
      <c r="A269" s="1" t="n"/>
      <c r="B269" s="21" t="n">
        <v>46268</v>
      </c>
      <c r="C269" s="23" t="inlineStr">
        <is>
          <t>Fun money</t>
        </is>
      </c>
      <c r="D269" s="22" t="n">
        <v>5.16</v>
      </c>
      <c r="E269" s="24" t="inlineStr">
        <is>
          <t>Leftover to savings</t>
        </is>
      </c>
      <c r="F269" s="25" t="inlineStr">
        <is>
          <t>Emergency fund</t>
        </is>
      </c>
      <c r="G269" s="18">
        <f>IF(AND(C269="",D269=""),"",IF(NOT(ISNUMBER(B269)),"Needs a date",IF(NOT(ISNUMBER(D269)),"Needs the amount",IF(C269="","Needs an envelope",IF(COUNTIF(Envelopes!$B$6:$B$21,C269)=0,"Not on Envelopes",IF(F269="",IF(D269=0,"Needs the amount",""),IF(COUNTIF(Envelopes!$B$6:$B$21,F269)=0,"Moved to: not on Envelopes",IF(D269&lt;=0,"A move needs an amount",IF(F269=C269,"Moved to the same envelope","")))))))))</f>
        <v/>
      </c>
      <c r="H269" s="1">
        <f>IF(ISNUMBER(B269),INT(B269),0)</f>
        <v/>
      </c>
      <c r="I269">
        <f>IF(AND(H269&gt;0,ISNUMBER(D269),COUNTIF(Envelopes!$B$6:$B$21,C269)&gt;0,F269=""),1,0)</f>
        <v/>
      </c>
      <c r="J269">
        <f>IF(AND(H269&gt;0,ISNUMBER(D269),COUNTIF(Envelopes!$B$6:$B$21,C269)&gt;0,F269&lt;&gt;"",COUNTIF(Envelopes!$B$6:$B$21,F269)&gt;0),1,0)</f>
        <v/>
      </c>
      <c r="K269">
        <f>IF(I269=1,H269*10000+ROW(),"")</f>
        <v/>
      </c>
    </row>
    <row r="270">
      <c r="A270" s="1" t="n"/>
      <c r="B270" s="21" t="n">
        <v>46270</v>
      </c>
      <c r="C270" s="23" t="inlineStr">
        <is>
          <t>Groceries</t>
        </is>
      </c>
      <c r="D270" s="22" t="n">
        <v>109.62</v>
      </c>
      <c r="E270" s="24" t="inlineStr">
        <is>
          <t>Farmers market</t>
        </is>
      </c>
      <c r="F270" s="25" t="n"/>
      <c r="G270" s="18">
        <f>IF(AND(C270="",D270=""),"",IF(NOT(ISNUMBER(B270)),"Needs a date",IF(NOT(ISNUMBER(D270)),"Needs the amount",IF(C270="","Needs an envelope",IF(COUNTIF(Envelopes!$B$6:$B$21,C270)=0,"Not on Envelopes",IF(F270="",IF(D270=0,"Needs the amount",""),IF(COUNTIF(Envelopes!$B$6:$B$21,F270)=0,"Moved to: not on Envelopes",IF(D270&lt;=0,"A move needs an amount",IF(F270=C270,"Moved to the same envelope","")))))))))</f>
        <v/>
      </c>
      <c r="H270" s="1">
        <f>IF(ISNUMBER(B270),INT(B270),0)</f>
        <v/>
      </c>
      <c r="I270">
        <f>IF(AND(H270&gt;0,ISNUMBER(D270),COUNTIF(Envelopes!$B$6:$B$21,C270)&gt;0,F270=""),1,0)</f>
        <v/>
      </c>
      <c r="J270">
        <f>IF(AND(H270&gt;0,ISNUMBER(D270),COUNTIF(Envelopes!$B$6:$B$21,C270)&gt;0,F270&lt;&gt;"",COUNTIF(Envelopes!$B$6:$B$21,F270)&gt;0),1,0)</f>
        <v/>
      </c>
      <c r="K270">
        <f>IF(I270=1,H270*10000+ROW(),"")</f>
        <v/>
      </c>
    </row>
    <row r="271">
      <c r="A271" s="1" t="n"/>
      <c r="B271" s="21" t="n">
        <v>46270</v>
      </c>
      <c r="C271" s="23" t="inlineStr">
        <is>
          <t>Eating out</t>
        </is>
      </c>
      <c r="D271" s="22" t="n">
        <v>16.11</v>
      </c>
      <c r="E271" s="24" t="inlineStr">
        <is>
          <t>Lunch out</t>
        </is>
      </c>
      <c r="F271" s="25" t="n"/>
      <c r="G271" s="18">
        <f>IF(AND(C271="",D271=""),"",IF(NOT(ISNUMBER(B271)),"Needs a date",IF(NOT(ISNUMBER(D271)),"Needs the amount",IF(C271="","Needs an envelope",IF(COUNTIF(Envelopes!$B$6:$B$21,C271)=0,"Not on Envelopes",IF(F271="",IF(D271=0,"Needs the amount",""),IF(COUNTIF(Envelopes!$B$6:$B$21,F271)=0,"Moved to: not on Envelopes",IF(D271&lt;=0,"A move needs an amount",IF(F271=C271,"Moved to the same envelope","")))))))))</f>
        <v/>
      </c>
      <c r="H271" s="1">
        <f>IF(ISNUMBER(B271),INT(B271),0)</f>
        <v/>
      </c>
      <c r="I271">
        <f>IF(AND(H271&gt;0,ISNUMBER(D271),COUNTIF(Envelopes!$B$6:$B$21,C271)&gt;0,F271=""),1,0)</f>
        <v/>
      </c>
      <c r="J271">
        <f>IF(AND(H271&gt;0,ISNUMBER(D271),COUNTIF(Envelopes!$B$6:$B$21,C271)&gt;0,F271&lt;&gt;"",COUNTIF(Envelopes!$B$6:$B$21,F271)&gt;0),1,0)</f>
        <v/>
      </c>
      <c r="K271">
        <f>IF(I271=1,H271*10000+ROW(),"")</f>
        <v/>
      </c>
    </row>
    <row r="272">
      <c r="A272" s="1" t="n"/>
      <c r="B272" s="21" t="n">
        <v>46273</v>
      </c>
      <c r="C272" s="23" t="inlineStr">
        <is>
          <t>Gas</t>
        </is>
      </c>
      <c r="D272" s="22" t="n">
        <v>28.59</v>
      </c>
      <c r="E272" s="24" t="inlineStr">
        <is>
          <t>Gas station</t>
        </is>
      </c>
      <c r="F272" s="25" t="n"/>
      <c r="G272" s="18">
        <f>IF(AND(C272="",D272=""),"",IF(NOT(ISNUMBER(B272)),"Needs a date",IF(NOT(ISNUMBER(D272)),"Needs the amount",IF(C272="","Needs an envelope",IF(COUNTIF(Envelopes!$B$6:$B$21,C272)=0,"Not on Envelopes",IF(F272="",IF(D272=0,"Needs the amount",""),IF(COUNTIF(Envelopes!$B$6:$B$21,F272)=0,"Moved to: not on Envelopes",IF(D272&lt;=0,"A move needs an amount",IF(F272=C272,"Moved to the same envelope","")))))))))</f>
        <v/>
      </c>
      <c r="H272" s="1">
        <f>IF(ISNUMBER(B272),INT(B272),0)</f>
        <v/>
      </c>
      <c r="I272">
        <f>IF(AND(H272&gt;0,ISNUMBER(D272),COUNTIF(Envelopes!$B$6:$B$21,C272)&gt;0,F272=""),1,0)</f>
        <v/>
      </c>
      <c r="J272">
        <f>IF(AND(H272&gt;0,ISNUMBER(D272),COUNTIF(Envelopes!$B$6:$B$21,C272)&gt;0,F272&lt;&gt;"",COUNTIF(Envelopes!$B$6:$B$21,F272)&gt;0),1,0)</f>
        <v/>
      </c>
      <c r="K272">
        <f>IF(I272=1,H272*10000+ROW(),"")</f>
        <v/>
      </c>
    </row>
    <row r="273">
      <c r="A273" s="1" t="n"/>
      <c r="B273" s="21" t="n">
        <v>46275</v>
      </c>
      <c r="C273" s="23" t="inlineStr">
        <is>
          <t>Groceries</t>
        </is>
      </c>
      <c r="D273" s="22" t="n">
        <v>20</v>
      </c>
      <c r="E273" s="24" t="inlineStr">
        <is>
          <t>Bakery</t>
        </is>
      </c>
      <c r="F273" s="25" t="n"/>
      <c r="G273" s="18">
        <f>IF(AND(C273="",D273=""),"",IF(NOT(ISNUMBER(B273)),"Needs a date",IF(NOT(ISNUMBER(D273)),"Needs the amount",IF(C273="","Needs an envelope",IF(COUNTIF(Envelopes!$B$6:$B$21,C273)=0,"Not on Envelopes",IF(F273="",IF(D273=0,"Needs the amount",""),IF(COUNTIF(Envelopes!$B$6:$B$21,F273)=0,"Moved to: not on Envelopes",IF(D273&lt;=0,"A move needs an amount",IF(F273=C273,"Moved to the same envelope","")))))))))</f>
        <v/>
      </c>
      <c r="H273" s="1">
        <f>IF(ISNUMBER(B273),INT(B273),0)</f>
        <v/>
      </c>
      <c r="I273">
        <f>IF(AND(H273&gt;0,ISNUMBER(D273),COUNTIF(Envelopes!$B$6:$B$21,C273)&gt;0,F273=""),1,0)</f>
        <v/>
      </c>
      <c r="J273">
        <f>IF(AND(H273&gt;0,ISNUMBER(D273),COUNTIF(Envelopes!$B$6:$B$21,C273)&gt;0,F273&lt;&gt;"",COUNTIF(Envelopes!$B$6:$B$21,F273)&gt;0),1,0)</f>
        <v/>
      </c>
      <c r="K273">
        <f>IF(I273=1,H273*10000+ROW(),"")</f>
        <v/>
      </c>
    </row>
    <row r="274">
      <c r="A274" s="1" t="n"/>
      <c r="B274" s="21" t="n">
        <v>46277</v>
      </c>
      <c r="C274" s="23" t="inlineStr">
        <is>
          <t>Groceries</t>
        </is>
      </c>
      <c r="D274" s="22" t="n">
        <v>9.140000000000001</v>
      </c>
      <c r="E274" s="24" t="inlineStr">
        <is>
          <t>Corner shop</t>
        </is>
      </c>
      <c r="F274" s="25" t="n"/>
      <c r="G274" s="18">
        <f>IF(AND(C274="",D274=""),"",IF(NOT(ISNUMBER(B274)),"Needs a date",IF(NOT(ISNUMBER(D274)),"Needs the amount",IF(C274="","Needs an envelope",IF(COUNTIF(Envelopes!$B$6:$B$21,C274)=0,"Not on Envelopes",IF(F274="",IF(D274=0,"Needs the amount",""),IF(COUNTIF(Envelopes!$B$6:$B$21,F274)=0,"Moved to: not on Envelopes",IF(D274&lt;=0,"A move needs an amount",IF(F274=C274,"Moved to the same envelope","")))))))))</f>
        <v/>
      </c>
      <c r="H274" s="1">
        <f>IF(ISNUMBER(B274),INT(B274),0)</f>
        <v/>
      </c>
      <c r="I274">
        <f>IF(AND(H274&gt;0,ISNUMBER(D274),COUNTIF(Envelopes!$B$6:$B$21,C274)&gt;0,F274=""),1,0)</f>
        <v/>
      </c>
      <c r="J274">
        <f>IF(AND(H274&gt;0,ISNUMBER(D274),COUNTIF(Envelopes!$B$6:$B$21,C274)&gt;0,F274&lt;&gt;"",COUNTIF(Envelopes!$B$6:$B$21,F274)&gt;0),1,0)</f>
        <v/>
      </c>
      <c r="K274">
        <f>IF(I274=1,H274*10000+ROW(),"")</f>
        <v/>
      </c>
    </row>
    <row r="275">
      <c r="A275" s="1" t="n"/>
      <c r="B275" s="21" t="n">
        <v>46277</v>
      </c>
      <c r="C275" s="23" t="inlineStr">
        <is>
          <t>Kids</t>
        </is>
      </c>
      <c r="D275" s="22" t="n">
        <v>38.27</v>
      </c>
      <c r="E275" s="24" t="inlineStr">
        <is>
          <t>Swimming</t>
        </is>
      </c>
      <c r="F275" s="25" t="n"/>
      <c r="G275" s="18">
        <f>IF(AND(C275="",D275=""),"",IF(NOT(ISNUMBER(B275)),"Needs a date",IF(NOT(ISNUMBER(D275)),"Needs the amount",IF(C275="","Needs an envelope",IF(COUNTIF(Envelopes!$B$6:$B$21,C275)=0,"Not on Envelopes",IF(F275="",IF(D275=0,"Needs the amount",""),IF(COUNTIF(Envelopes!$B$6:$B$21,F275)=0,"Moved to: not on Envelopes",IF(D275&lt;=0,"A move needs an amount",IF(F275=C275,"Moved to the same envelope","")))))))))</f>
        <v/>
      </c>
      <c r="H275" s="1">
        <f>IF(ISNUMBER(B275),INT(B275),0)</f>
        <v/>
      </c>
      <c r="I275">
        <f>IF(AND(H275&gt;0,ISNUMBER(D275),COUNTIF(Envelopes!$B$6:$B$21,C275)&gt;0,F275=""),1,0)</f>
        <v/>
      </c>
      <c r="J275">
        <f>IF(AND(H275&gt;0,ISNUMBER(D275),COUNTIF(Envelopes!$B$6:$B$21,C275)&gt;0,F275&lt;&gt;"",COUNTIF(Envelopes!$B$6:$B$21,F275)&gt;0),1,0)</f>
        <v/>
      </c>
      <c r="K275">
        <f>IF(I275=1,H275*10000+ROW(),"")</f>
        <v/>
      </c>
    </row>
    <row r="276">
      <c r="A276" s="1" t="n"/>
      <c r="B276" s="21" t="n">
        <v>46277</v>
      </c>
      <c r="C276" s="23" t="inlineStr">
        <is>
          <t>Birthdays</t>
        </is>
      </c>
      <c r="D276" s="22" t="n">
        <v>45</v>
      </c>
      <c r="E276" s="24" t="inlineStr">
        <is>
          <t>Party supplies</t>
        </is>
      </c>
      <c r="F276" s="25" t="n"/>
      <c r="G276" s="18">
        <f>IF(AND(C276="",D276=""),"",IF(NOT(ISNUMBER(B276)),"Needs a date",IF(NOT(ISNUMBER(D276)),"Needs the amount",IF(C276="","Needs an envelope",IF(COUNTIF(Envelopes!$B$6:$B$21,C276)=0,"Not on Envelopes",IF(F276="",IF(D276=0,"Needs the amount",""),IF(COUNTIF(Envelopes!$B$6:$B$21,F276)=0,"Moved to: not on Envelopes",IF(D276&lt;=0,"A move needs an amount",IF(F276=C276,"Moved to the same envelope","")))))))))</f>
        <v/>
      </c>
      <c r="H276" s="1">
        <f>IF(ISNUMBER(B276),INT(B276),0)</f>
        <v/>
      </c>
      <c r="I276">
        <f>IF(AND(H276&gt;0,ISNUMBER(D276),COUNTIF(Envelopes!$B$6:$B$21,C276)&gt;0,F276=""),1,0)</f>
        <v/>
      </c>
      <c r="J276">
        <f>IF(AND(H276&gt;0,ISNUMBER(D276),COUNTIF(Envelopes!$B$6:$B$21,C276)&gt;0,F276&lt;&gt;"",COUNTIF(Envelopes!$B$6:$B$21,F276)&gt;0),1,0)</f>
        <v/>
      </c>
      <c r="K276">
        <f>IF(I276=1,H276*10000+ROW(),"")</f>
        <v/>
      </c>
    </row>
    <row r="277">
      <c r="A277" s="1" t="n"/>
      <c r="B277" s="21" t="n">
        <v>46278</v>
      </c>
      <c r="C277" s="23" t="inlineStr">
        <is>
          <t>Fun money</t>
        </is>
      </c>
      <c r="D277" s="22" t="n">
        <v>19.5</v>
      </c>
      <c r="E277" s="24" t="inlineStr">
        <is>
          <t>Bowling</t>
        </is>
      </c>
      <c r="F277" s="25" t="n"/>
      <c r="G277" s="18">
        <f>IF(AND(C277="",D277=""),"",IF(NOT(ISNUMBER(B277)),"Needs a date",IF(NOT(ISNUMBER(D277)),"Needs the amount",IF(C277="","Needs an envelope",IF(COUNTIF(Envelopes!$B$6:$B$21,C277)=0,"Not on Envelopes",IF(F277="",IF(D277=0,"Needs the amount",""),IF(COUNTIF(Envelopes!$B$6:$B$21,F277)=0,"Moved to: not on Envelopes",IF(D277&lt;=0,"A move needs an amount",IF(F277=C277,"Moved to the same envelope","")))))))))</f>
        <v/>
      </c>
      <c r="H277" s="1">
        <f>IF(ISNUMBER(B277),INT(B277),0)</f>
        <v/>
      </c>
      <c r="I277">
        <f>IF(AND(H277&gt;0,ISNUMBER(D277),COUNTIF(Envelopes!$B$6:$B$21,C277)&gt;0,F277=""),1,0)</f>
        <v/>
      </c>
      <c r="J277">
        <f>IF(AND(H277&gt;0,ISNUMBER(D277),COUNTIF(Envelopes!$B$6:$B$21,C277)&gt;0,F277&lt;&gt;"",COUNTIF(Envelopes!$B$6:$B$21,F277)&gt;0),1,0)</f>
        <v/>
      </c>
      <c r="K277">
        <f>IF(I277=1,H277*10000+ROW(),"")</f>
        <v/>
      </c>
    </row>
    <row r="278">
      <c r="A278" s="1" t="n"/>
      <c r="B278" s="21" t="n">
        <v>46278</v>
      </c>
      <c r="C278" s="23" t="inlineStr">
        <is>
          <t>Household</t>
        </is>
      </c>
      <c r="D278" s="22" t="n">
        <v>31.43</v>
      </c>
      <c r="E278" s="24" t="inlineStr">
        <is>
          <t>Light bulbs</t>
        </is>
      </c>
      <c r="F278" s="25" t="n"/>
      <c r="G278" s="18">
        <f>IF(AND(C278="",D278=""),"",IF(NOT(ISNUMBER(B278)),"Needs a date",IF(NOT(ISNUMBER(D278)),"Needs the amount",IF(C278="","Needs an envelope",IF(COUNTIF(Envelopes!$B$6:$B$21,C278)=0,"Not on Envelopes",IF(F278="",IF(D278=0,"Needs the amount",""),IF(COUNTIF(Envelopes!$B$6:$B$21,F278)=0,"Moved to: not on Envelopes",IF(D278&lt;=0,"A move needs an amount",IF(F278=C278,"Moved to the same envelope","")))))))))</f>
        <v/>
      </c>
      <c r="H278" s="1">
        <f>IF(ISNUMBER(B278),INT(B278),0)</f>
        <v/>
      </c>
      <c r="I278">
        <f>IF(AND(H278&gt;0,ISNUMBER(D278),COUNTIF(Envelopes!$B$6:$B$21,C278)&gt;0,F278=""),1,0)</f>
        <v/>
      </c>
      <c r="J278">
        <f>IF(AND(H278&gt;0,ISNUMBER(D278),COUNTIF(Envelopes!$B$6:$B$21,C278)&gt;0,F278&lt;&gt;"",COUNTIF(Envelopes!$B$6:$B$21,F278)&gt;0),1,0)</f>
        <v/>
      </c>
      <c r="K278">
        <f>IF(I278=1,H278*10000+ROW(),"")</f>
        <v/>
      </c>
    </row>
    <row r="279">
      <c r="A279" s="1" t="n"/>
      <c r="B279" s="21" t="n">
        <v>46279</v>
      </c>
      <c r="C279" s="23" t="inlineStr">
        <is>
          <t>Personal care</t>
        </is>
      </c>
      <c r="D279" s="22" t="n">
        <v>23.11</v>
      </c>
      <c r="E279" s="24" t="inlineStr">
        <is>
          <t>Haircut</t>
        </is>
      </c>
      <c r="F279" s="25" t="n"/>
      <c r="G279" s="18">
        <f>IF(AND(C279="",D279=""),"",IF(NOT(ISNUMBER(B279)),"Needs a date",IF(NOT(ISNUMBER(D279)),"Needs the amount",IF(C279="","Needs an envelope",IF(COUNTIF(Envelopes!$B$6:$B$21,C279)=0,"Not on Envelopes",IF(F279="",IF(D279=0,"Needs the amount",""),IF(COUNTIF(Envelopes!$B$6:$B$21,F279)=0,"Moved to: not on Envelopes",IF(D279&lt;=0,"A move needs an amount",IF(F279=C279,"Moved to the same envelope","")))))))))</f>
        <v/>
      </c>
      <c r="H279" s="1">
        <f>IF(ISNUMBER(B279),INT(B279),0)</f>
        <v/>
      </c>
      <c r="I279">
        <f>IF(AND(H279&gt;0,ISNUMBER(D279),COUNTIF(Envelopes!$B$6:$B$21,C279)&gt;0,F279=""),1,0)</f>
        <v/>
      </c>
      <c r="J279">
        <f>IF(AND(H279&gt;0,ISNUMBER(D279),COUNTIF(Envelopes!$B$6:$B$21,C279)&gt;0,F279&lt;&gt;"",COUNTIF(Envelopes!$B$6:$B$21,F279)&gt;0),1,0)</f>
        <v/>
      </c>
      <c r="K279">
        <f>IF(I279=1,H279*10000+ROW(),"")</f>
        <v/>
      </c>
    </row>
    <row r="280">
      <c r="A280" s="1" t="n"/>
      <c r="B280" s="21" t="n">
        <v>46280</v>
      </c>
      <c r="C280" s="23" t="inlineStr">
        <is>
          <t>Gas</t>
        </is>
      </c>
      <c r="D280" s="22" t="n">
        <v>28.56</v>
      </c>
      <c r="E280" s="24" t="inlineStr">
        <is>
          <t>Gas station</t>
        </is>
      </c>
      <c r="F280" s="25" t="n"/>
      <c r="G280" s="18">
        <f>IF(AND(C280="",D280=""),"",IF(NOT(ISNUMBER(B280)),"Needs a date",IF(NOT(ISNUMBER(D280)),"Needs the amount",IF(C280="","Needs an envelope",IF(COUNTIF(Envelopes!$B$6:$B$21,C280)=0,"Not on Envelopes",IF(F280="",IF(D280=0,"Needs the amount",""),IF(COUNTIF(Envelopes!$B$6:$B$21,F280)=0,"Moved to: not on Envelopes",IF(D280&lt;=0,"A move needs an amount",IF(F280=C280,"Moved to the same envelope","")))))))))</f>
        <v/>
      </c>
      <c r="H280" s="1">
        <f>IF(ISNUMBER(B280),INT(B280),0)</f>
        <v/>
      </c>
      <c r="I280">
        <f>IF(AND(H280&gt;0,ISNUMBER(D280),COUNTIF(Envelopes!$B$6:$B$21,C280)&gt;0,F280=""),1,0)</f>
        <v/>
      </c>
      <c r="J280">
        <f>IF(AND(H280&gt;0,ISNUMBER(D280),COUNTIF(Envelopes!$B$6:$B$21,C280)&gt;0,F280&lt;&gt;"",COUNTIF(Envelopes!$B$6:$B$21,F280)&gt;0),1,0)</f>
        <v/>
      </c>
      <c r="K280">
        <f>IF(I280=1,H280*10000+ROW(),"")</f>
        <v/>
      </c>
    </row>
    <row r="281">
      <c r="A281" s="1" t="n"/>
      <c r="B281" s="21" t="n">
        <v>46281</v>
      </c>
      <c r="C281" s="23" t="inlineStr">
        <is>
          <t>Groceries</t>
        </is>
      </c>
      <c r="D281" s="22" t="n">
        <v>47.48</v>
      </c>
      <c r="E281" s="24" t="inlineStr">
        <is>
          <t>Corner shop</t>
        </is>
      </c>
      <c r="F281" s="25" t="n"/>
      <c r="G281" s="18">
        <f>IF(AND(C281="",D281=""),"",IF(NOT(ISNUMBER(B281)),"Needs a date",IF(NOT(ISNUMBER(D281)),"Needs the amount",IF(C281="","Needs an envelope",IF(COUNTIF(Envelopes!$B$6:$B$21,C281)=0,"Not on Envelopes",IF(F281="",IF(D281=0,"Needs the amount",""),IF(COUNTIF(Envelopes!$B$6:$B$21,F281)=0,"Moved to: not on Envelopes",IF(D281&lt;=0,"A move needs an amount",IF(F281=C281,"Moved to the same envelope","")))))))))</f>
        <v/>
      </c>
      <c r="H281" s="1">
        <f>IF(ISNUMBER(B281),INT(B281),0)</f>
        <v/>
      </c>
      <c r="I281">
        <f>IF(AND(H281&gt;0,ISNUMBER(D281),COUNTIF(Envelopes!$B$6:$B$21,C281)&gt;0,F281=""),1,0)</f>
        <v/>
      </c>
      <c r="J281">
        <f>IF(AND(H281&gt;0,ISNUMBER(D281),COUNTIF(Envelopes!$B$6:$B$21,C281)&gt;0,F281&lt;&gt;"",COUNTIF(Envelopes!$B$6:$B$21,F281)&gt;0),1,0)</f>
        <v/>
      </c>
      <c r="K281">
        <f>IF(I281=1,H281*10000+ROW(),"")</f>
        <v/>
      </c>
    </row>
    <row r="282">
      <c r="A282" s="1" t="n"/>
      <c r="B282" s="21" t="n">
        <v>46282</v>
      </c>
      <c r="C282" s="23" t="inlineStr">
        <is>
          <t>Eating out</t>
        </is>
      </c>
      <c r="D282" s="22" t="n">
        <v>12.54</v>
      </c>
      <c r="E282" s="24" t="inlineStr">
        <is>
          <t>Pizza night</t>
        </is>
      </c>
      <c r="F282" s="25" t="n"/>
      <c r="G282" s="18">
        <f>IF(AND(C282="",D282=""),"",IF(NOT(ISNUMBER(B282)),"Needs a date",IF(NOT(ISNUMBER(D282)),"Needs the amount",IF(C282="","Needs an envelope",IF(COUNTIF(Envelopes!$B$6:$B$21,C282)=0,"Not on Envelopes",IF(F282="",IF(D282=0,"Needs the amount",""),IF(COUNTIF(Envelopes!$B$6:$B$21,F282)=0,"Moved to: not on Envelopes",IF(D282&lt;=0,"A move needs an amount",IF(F282=C282,"Moved to the same envelope","")))))))))</f>
        <v/>
      </c>
      <c r="H282" s="1">
        <f>IF(ISNUMBER(B282),INT(B282),0)</f>
        <v/>
      </c>
      <c r="I282">
        <f>IF(AND(H282&gt;0,ISNUMBER(D282),COUNTIF(Envelopes!$B$6:$B$21,C282)&gt;0,F282=""),1,0)</f>
        <v/>
      </c>
      <c r="J282">
        <f>IF(AND(H282&gt;0,ISNUMBER(D282),COUNTIF(Envelopes!$B$6:$B$21,C282)&gt;0,F282&lt;&gt;"",COUNTIF(Envelopes!$B$6:$B$21,F282)&gt;0),1,0)</f>
        <v/>
      </c>
      <c r="K282">
        <f>IF(I282=1,H282*10000+ROW(),"")</f>
        <v/>
      </c>
    </row>
    <row r="283">
      <c r="A283" s="1" t="n"/>
      <c r="B283" s="21" t="n">
        <v>46285</v>
      </c>
      <c r="C283" s="23" t="inlineStr">
        <is>
          <t>Groceries</t>
        </is>
      </c>
      <c r="D283" s="22" t="n">
        <v>79.39</v>
      </c>
      <c r="E283" s="24" t="inlineStr">
        <is>
          <t>Bakery</t>
        </is>
      </c>
      <c r="F283" s="25" t="n"/>
      <c r="G283" s="18">
        <f>IF(AND(C283="",D283=""),"",IF(NOT(ISNUMBER(B283)),"Needs a date",IF(NOT(ISNUMBER(D283)),"Needs the amount",IF(C283="","Needs an envelope",IF(COUNTIF(Envelopes!$B$6:$B$21,C283)=0,"Not on Envelopes",IF(F283="",IF(D283=0,"Needs the amount",""),IF(COUNTIF(Envelopes!$B$6:$B$21,F283)=0,"Moved to: not on Envelopes",IF(D283&lt;=0,"A move needs an amount",IF(F283=C283,"Moved to the same envelope","")))))))))</f>
        <v/>
      </c>
      <c r="H283" s="1">
        <f>IF(ISNUMBER(B283),INT(B283),0)</f>
        <v/>
      </c>
      <c r="I283">
        <f>IF(AND(H283&gt;0,ISNUMBER(D283),COUNTIF(Envelopes!$B$6:$B$21,C283)&gt;0,F283=""),1,0)</f>
        <v/>
      </c>
      <c r="J283">
        <f>IF(AND(H283&gt;0,ISNUMBER(D283),COUNTIF(Envelopes!$B$6:$B$21,C283)&gt;0,F283&lt;&gt;"",COUNTIF(Envelopes!$B$6:$B$21,F283)&gt;0),1,0)</f>
        <v/>
      </c>
      <c r="K283">
        <f>IF(I283=1,H283*10000+ROW(),"")</f>
        <v/>
      </c>
    </row>
    <row r="284">
      <c r="A284" s="1" t="n"/>
      <c r="B284" s="21" t="n">
        <v>46286</v>
      </c>
      <c r="C284" s="23" t="inlineStr">
        <is>
          <t>Eating out</t>
        </is>
      </c>
      <c r="D284" s="22" t="n">
        <v>32.8</v>
      </c>
      <c r="E284" s="24" t="inlineStr">
        <is>
          <t>Coffee and cake</t>
        </is>
      </c>
      <c r="F284" s="25" t="n"/>
      <c r="G284" s="18">
        <f>IF(AND(C284="",D284=""),"",IF(NOT(ISNUMBER(B284)),"Needs a date",IF(NOT(ISNUMBER(D284)),"Needs the amount",IF(C284="","Needs an envelope",IF(COUNTIF(Envelopes!$B$6:$B$21,C284)=0,"Not on Envelopes",IF(F284="",IF(D284=0,"Needs the amount",""),IF(COUNTIF(Envelopes!$B$6:$B$21,F284)=0,"Moved to: not on Envelopes",IF(D284&lt;=0,"A move needs an amount",IF(F284=C284,"Moved to the same envelope","")))))))))</f>
        <v/>
      </c>
      <c r="H284" s="1">
        <f>IF(ISNUMBER(B284),INT(B284),0)</f>
        <v/>
      </c>
      <c r="I284">
        <f>IF(AND(H284&gt;0,ISNUMBER(D284),COUNTIF(Envelopes!$B$6:$B$21,C284)&gt;0,F284=""),1,0)</f>
        <v/>
      </c>
      <c r="J284">
        <f>IF(AND(H284&gt;0,ISNUMBER(D284),COUNTIF(Envelopes!$B$6:$B$21,C284)&gt;0,F284&lt;&gt;"",COUNTIF(Envelopes!$B$6:$B$21,F284)&gt;0),1,0)</f>
        <v/>
      </c>
      <c r="K284">
        <f>IF(I284=1,H284*10000+ROW(),"")</f>
        <v/>
      </c>
    </row>
    <row r="285">
      <c r="A285" s="1" t="n"/>
      <c r="B285" s="21" t="n">
        <v>46288</v>
      </c>
      <c r="C285" s="23" t="inlineStr">
        <is>
          <t>Personal care</t>
        </is>
      </c>
      <c r="D285" s="22" t="n">
        <v>14.3</v>
      </c>
      <c r="E285" s="24" t="inlineStr">
        <is>
          <t>Pharmacy</t>
        </is>
      </c>
      <c r="F285" s="25" t="n"/>
      <c r="G285" s="18">
        <f>IF(AND(C285="",D285=""),"",IF(NOT(ISNUMBER(B285)),"Needs a date",IF(NOT(ISNUMBER(D285)),"Needs the amount",IF(C285="","Needs an envelope",IF(COUNTIF(Envelopes!$B$6:$B$21,C285)=0,"Not on Envelopes",IF(F285="",IF(D285=0,"Needs the amount",""),IF(COUNTIF(Envelopes!$B$6:$B$21,F285)=0,"Moved to: not on Envelopes",IF(D285&lt;=0,"A move needs an amount",IF(F285=C285,"Moved to the same envelope","")))))))))</f>
        <v/>
      </c>
      <c r="H285" s="1">
        <f>IF(ISNUMBER(B285),INT(B285),0)</f>
        <v/>
      </c>
      <c r="I285">
        <f>IF(AND(H285&gt;0,ISNUMBER(D285),COUNTIF(Envelopes!$B$6:$B$21,C285)&gt;0,F285=""),1,0)</f>
        <v/>
      </c>
      <c r="J285">
        <f>IF(AND(H285&gt;0,ISNUMBER(D285),COUNTIF(Envelopes!$B$6:$B$21,C285)&gt;0,F285&lt;&gt;"",COUNTIF(Envelopes!$B$6:$B$21,F285)&gt;0),1,0)</f>
        <v/>
      </c>
      <c r="K285">
        <f>IF(I285=1,H285*10000+ROW(),"")</f>
        <v/>
      </c>
    </row>
    <row r="286">
      <c r="A286" s="1" t="n"/>
      <c r="B286" s="21" t="n">
        <v>46288</v>
      </c>
      <c r="C286" s="23" t="inlineStr">
        <is>
          <t>Household</t>
        </is>
      </c>
      <c r="D286" s="22" t="n">
        <v>21.21</v>
      </c>
      <c r="E286" s="24" t="inlineStr">
        <is>
          <t>Hardware store</t>
        </is>
      </c>
      <c r="F286" s="25" t="n"/>
      <c r="G286" s="18">
        <f>IF(AND(C286="",D286=""),"",IF(NOT(ISNUMBER(B286)),"Needs a date",IF(NOT(ISNUMBER(D286)),"Needs the amount",IF(C286="","Needs an envelope",IF(COUNTIF(Envelopes!$B$6:$B$21,C286)=0,"Not on Envelopes",IF(F286="",IF(D286=0,"Needs the amount",""),IF(COUNTIF(Envelopes!$B$6:$B$21,F286)=0,"Moved to: not on Envelopes",IF(D286&lt;=0,"A move needs an amount",IF(F286=C286,"Moved to the same envelope","")))))))))</f>
        <v/>
      </c>
      <c r="H286" s="1">
        <f>IF(ISNUMBER(B286),INT(B286),0)</f>
        <v/>
      </c>
      <c r="I286">
        <f>IF(AND(H286&gt;0,ISNUMBER(D286),COUNTIF(Envelopes!$B$6:$B$21,C286)&gt;0,F286=""),1,0)</f>
        <v/>
      </c>
      <c r="J286">
        <f>IF(AND(H286&gt;0,ISNUMBER(D286),COUNTIF(Envelopes!$B$6:$B$21,C286)&gt;0,F286&lt;&gt;"",COUNTIF(Envelopes!$B$6:$B$21,F286)&gt;0),1,0)</f>
        <v/>
      </c>
      <c r="K286">
        <f>IF(I286=1,H286*10000+ROW(),"")</f>
        <v/>
      </c>
    </row>
    <row r="287">
      <c r="A287" s="1" t="n"/>
      <c r="B287" s="21" t="n">
        <v>46289</v>
      </c>
      <c r="C287" s="23" t="inlineStr">
        <is>
          <t>Groceries</t>
        </is>
      </c>
      <c r="D287" s="22" t="n">
        <v>49.32</v>
      </c>
      <c r="E287" s="24" t="inlineStr">
        <is>
          <t>Farmers market</t>
        </is>
      </c>
      <c r="F287" s="25" t="n"/>
      <c r="G287" s="18">
        <f>IF(AND(C287="",D287=""),"",IF(NOT(ISNUMBER(B287)),"Needs a date",IF(NOT(ISNUMBER(D287)),"Needs the amount",IF(C287="","Needs an envelope",IF(COUNTIF(Envelopes!$B$6:$B$21,C287)=0,"Not on Envelopes",IF(F287="",IF(D287=0,"Needs the amount",""),IF(COUNTIF(Envelopes!$B$6:$B$21,F287)=0,"Moved to: not on Envelopes",IF(D287&lt;=0,"A move needs an amount",IF(F287=C287,"Moved to the same envelope","")))))))))</f>
        <v/>
      </c>
      <c r="H287" s="1">
        <f>IF(ISNUMBER(B287),INT(B287),0)</f>
        <v/>
      </c>
      <c r="I287">
        <f>IF(AND(H287&gt;0,ISNUMBER(D287),COUNTIF(Envelopes!$B$6:$B$21,C287)&gt;0,F287=""),1,0)</f>
        <v/>
      </c>
      <c r="J287">
        <f>IF(AND(H287&gt;0,ISNUMBER(D287),COUNTIF(Envelopes!$B$6:$B$21,C287)&gt;0,F287&lt;&gt;"",COUNTIF(Envelopes!$B$6:$B$21,F287)&gt;0),1,0)</f>
        <v/>
      </c>
      <c r="K287">
        <f>IF(I287=1,H287*10000+ROW(),"")</f>
        <v/>
      </c>
    </row>
    <row r="288">
      <c r="A288" s="1" t="n"/>
      <c r="B288" s="21" t="n">
        <v>46289</v>
      </c>
      <c r="C288" s="23" t="inlineStr">
        <is>
          <t>Kids</t>
        </is>
      </c>
      <c r="D288" s="22" t="n">
        <v>17.08</v>
      </c>
      <c r="E288" s="24" t="inlineStr">
        <is>
          <t>School trip</t>
        </is>
      </c>
      <c r="F288" s="25" t="n"/>
      <c r="G288" s="18">
        <f>IF(AND(C288="",D288=""),"",IF(NOT(ISNUMBER(B288)),"Needs a date",IF(NOT(ISNUMBER(D288)),"Needs the amount",IF(C288="","Needs an envelope",IF(COUNTIF(Envelopes!$B$6:$B$21,C288)=0,"Not on Envelopes",IF(F288="",IF(D288=0,"Needs the amount",""),IF(COUNTIF(Envelopes!$B$6:$B$21,F288)=0,"Moved to: not on Envelopes",IF(D288&lt;=0,"A move needs an amount",IF(F288=C288,"Moved to the same envelope","")))))))))</f>
        <v/>
      </c>
      <c r="H288" s="1">
        <f>IF(ISNUMBER(B288),INT(B288),0)</f>
        <v/>
      </c>
      <c r="I288">
        <f>IF(AND(H288&gt;0,ISNUMBER(D288),COUNTIF(Envelopes!$B$6:$B$21,C288)&gt;0,F288=""),1,0)</f>
        <v/>
      </c>
      <c r="J288">
        <f>IF(AND(H288&gt;0,ISNUMBER(D288),COUNTIF(Envelopes!$B$6:$B$21,C288)&gt;0,F288&lt;&gt;"",COUNTIF(Envelopes!$B$6:$B$21,F288)&gt;0),1,0)</f>
        <v/>
      </c>
      <c r="K288">
        <f>IF(I288=1,H288*10000+ROW(),"")</f>
        <v/>
      </c>
    </row>
    <row r="289">
      <c r="A289" s="1" t="n"/>
      <c r="B289" s="21" t="n">
        <v>46290</v>
      </c>
      <c r="C289" s="23" t="inlineStr">
        <is>
          <t>Groceries</t>
        </is>
      </c>
      <c r="D289" s="22" t="n">
        <v>35.99</v>
      </c>
      <c r="E289" s="24" t="inlineStr">
        <is>
          <t>Corner shop</t>
        </is>
      </c>
      <c r="F289" s="25" t="n"/>
      <c r="G289" s="18">
        <f>IF(AND(C289="",D289=""),"",IF(NOT(ISNUMBER(B289)),"Needs a date",IF(NOT(ISNUMBER(D289)),"Needs the amount",IF(C289="","Needs an envelope",IF(COUNTIF(Envelopes!$B$6:$B$21,C289)=0,"Not on Envelopes",IF(F289="",IF(D289=0,"Needs the amount",""),IF(COUNTIF(Envelopes!$B$6:$B$21,F289)=0,"Moved to: not on Envelopes",IF(D289&lt;=0,"A move needs an amount",IF(F289=C289,"Moved to the same envelope","")))))))))</f>
        <v/>
      </c>
      <c r="H289" s="1">
        <f>IF(ISNUMBER(B289),INT(B289),0)</f>
        <v/>
      </c>
      <c r="I289">
        <f>IF(AND(H289&gt;0,ISNUMBER(D289),COUNTIF(Envelopes!$B$6:$B$21,C289)&gt;0,F289=""),1,0)</f>
        <v/>
      </c>
      <c r="J289">
        <f>IF(AND(H289&gt;0,ISNUMBER(D289),COUNTIF(Envelopes!$B$6:$B$21,C289)&gt;0,F289&lt;&gt;"",COUNTIF(Envelopes!$B$6:$B$21,F289)&gt;0),1,0)</f>
        <v/>
      </c>
      <c r="K289">
        <f>IF(I289=1,H289*10000+ROW(),"")</f>
        <v/>
      </c>
    </row>
    <row r="290">
      <c r="A290" s="1" t="n"/>
      <c r="B290" s="21" t="n">
        <v>46290</v>
      </c>
      <c r="C290" s="23" t="inlineStr">
        <is>
          <t>Fun money</t>
        </is>
      </c>
      <c r="D290" s="22" t="n">
        <v>30.99</v>
      </c>
      <c r="E290" s="24" t="inlineStr">
        <is>
          <t>Cinema</t>
        </is>
      </c>
      <c r="F290" s="25" t="n"/>
      <c r="G290" s="18">
        <f>IF(AND(C290="",D290=""),"",IF(NOT(ISNUMBER(B290)),"Needs a date",IF(NOT(ISNUMBER(D290)),"Needs the amount",IF(C290="","Needs an envelope",IF(COUNTIF(Envelopes!$B$6:$B$21,C290)=0,"Not on Envelopes",IF(F290="",IF(D290=0,"Needs the amount",""),IF(COUNTIF(Envelopes!$B$6:$B$21,F290)=0,"Moved to: not on Envelopes",IF(D290&lt;=0,"A move needs an amount",IF(F290=C290,"Moved to the same envelope","")))))))))</f>
        <v/>
      </c>
      <c r="H290" s="1">
        <f>IF(ISNUMBER(B290),INT(B290),0)</f>
        <v/>
      </c>
      <c r="I290">
        <f>IF(AND(H290&gt;0,ISNUMBER(D290),COUNTIF(Envelopes!$B$6:$B$21,C290)&gt;0,F290=""),1,0)</f>
        <v/>
      </c>
      <c r="J290">
        <f>IF(AND(H290&gt;0,ISNUMBER(D290),COUNTIF(Envelopes!$B$6:$B$21,C290)&gt;0,F290&lt;&gt;"",COUNTIF(Envelopes!$B$6:$B$21,F290)&gt;0),1,0)</f>
        <v/>
      </c>
      <c r="K290">
        <f>IF(I290=1,H290*10000+ROW(),"")</f>
        <v/>
      </c>
    </row>
    <row r="291">
      <c r="A291" s="1" t="n"/>
      <c r="B291" s="21" t="n">
        <v>46290</v>
      </c>
      <c r="C291" s="23" t="inlineStr">
        <is>
          <t>Fun money</t>
        </is>
      </c>
      <c r="D291" s="22" t="n">
        <v>10</v>
      </c>
      <c r="E291" s="24" t="inlineStr">
        <is>
          <t>Top up for groceries</t>
        </is>
      </c>
      <c r="F291" s="25" t="inlineStr">
        <is>
          <t>Groceries</t>
        </is>
      </c>
      <c r="G291" s="18">
        <f>IF(AND(C291="",D291=""),"",IF(NOT(ISNUMBER(B291)),"Needs a date",IF(NOT(ISNUMBER(D291)),"Needs the amount",IF(C291="","Needs an envelope",IF(COUNTIF(Envelopes!$B$6:$B$21,C291)=0,"Not on Envelopes",IF(F291="",IF(D291=0,"Needs the amount",""),IF(COUNTIF(Envelopes!$B$6:$B$21,F291)=0,"Moved to: not on Envelopes",IF(D291&lt;=0,"A move needs an amount",IF(F291=C291,"Moved to the same envelope","")))))))))</f>
        <v/>
      </c>
      <c r="H291" s="1">
        <f>IF(ISNUMBER(B291),INT(B291),0)</f>
        <v/>
      </c>
      <c r="I291">
        <f>IF(AND(H291&gt;0,ISNUMBER(D291),COUNTIF(Envelopes!$B$6:$B$21,C291)&gt;0,F291=""),1,0)</f>
        <v/>
      </c>
      <c r="J291">
        <f>IF(AND(H291&gt;0,ISNUMBER(D291),COUNTIF(Envelopes!$B$6:$B$21,C291)&gt;0,F291&lt;&gt;"",COUNTIF(Envelopes!$B$6:$B$21,F291)&gt;0),1,0)</f>
        <v/>
      </c>
      <c r="K291">
        <f>IF(I291=1,H291*10000+ROW(),"")</f>
        <v/>
      </c>
    </row>
    <row r="292">
      <c r="A292" s="1" t="n"/>
      <c r="B292" s="21" t="n">
        <v>46292</v>
      </c>
      <c r="C292" s="23" t="inlineStr">
        <is>
          <t>Gas</t>
        </is>
      </c>
      <c r="D292" s="22" t="n">
        <v>44.6</v>
      </c>
      <c r="E292" s="24" t="inlineStr">
        <is>
          <t>Gas station</t>
        </is>
      </c>
      <c r="F292" s="25" t="n"/>
      <c r="G292" s="18">
        <f>IF(AND(C292="",D292=""),"",IF(NOT(ISNUMBER(B292)),"Needs a date",IF(NOT(ISNUMBER(D292)),"Needs the amount",IF(C292="","Needs an envelope",IF(COUNTIF(Envelopes!$B$6:$B$21,C292)=0,"Not on Envelopes",IF(F292="",IF(D292=0,"Needs the amount",""),IF(COUNTIF(Envelopes!$B$6:$B$21,F292)=0,"Moved to: not on Envelopes",IF(D292&lt;=0,"A move needs an amount",IF(F292=C292,"Moved to the same envelope","")))))))))</f>
        <v/>
      </c>
      <c r="H292" s="1">
        <f>IF(ISNUMBER(B292),INT(B292),0)</f>
        <v/>
      </c>
      <c r="I292">
        <f>IF(AND(H292&gt;0,ISNUMBER(D292),COUNTIF(Envelopes!$B$6:$B$21,C292)&gt;0,F292=""),1,0)</f>
        <v/>
      </c>
      <c r="J292">
        <f>IF(AND(H292&gt;0,ISNUMBER(D292),COUNTIF(Envelopes!$B$6:$B$21,C292)&gt;0,F292&lt;&gt;"",COUNTIF(Envelopes!$B$6:$B$21,F292)&gt;0),1,0)</f>
        <v/>
      </c>
      <c r="K292">
        <f>IF(I292=1,H292*10000+ROW(),"")</f>
        <v/>
      </c>
    </row>
    <row r="293">
      <c r="A293" s="1" t="n"/>
      <c r="B293" s="21" t="n"/>
      <c r="C293" s="23" t="n"/>
      <c r="D293" s="22" t="n"/>
      <c r="E293" s="24" t="n"/>
      <c r="F293" s="25" t="n"/>
      <c r="G293" s="18">
        <f>IF(AND(C293="",D293=""),"",IF(NOT(ISNUMBER(B293)),"Needs a date",IF(NOT(ISNUMBER(D293)),"Needs the amount",IF(C293="","Needs an envelope",IF(COUNTIF(Envelopes!$B$6:$B$21,C293)=0,"Not on Envelopes",IF(F293="",IF(D293=0,"Needs the amount",""),IF(COUNTIF(Envelopes!$B$6:$B$21,F293)=0,"Moved to: not on Envelopes",IF(D293&lt;=0,"A move needs an amount",IF(F293=C293,"Moved to the same envelope","")))))))))</f>
        <v/>
      </c>
      <c r="H293" s="1">
        <f>IF(ISNUMBER(B293),INT(B293),0)</f>
        <v/>
      </c>
      <c r="I293">
        <f>IF(AND(H293&gt;0,ISNUMBER(D293),COUNTIF(Envelopes!$B$6:$B$21,C293)&gt;0,F293=""),1,0)</f>
        <v/>
      </c>
      <c r="J293">
        <f>IF(AND(H293&gt;0,ISNUMBER(D293),COUNTIF(Envelopes!$B$6:$B$21,C293)&gt;0,F293&lt;&gt;"",COUNTIF(Envelopes!$B$6:$B$21,F293)&gt;0),1,0)</f>
        <v/>
      </c>
      <c r="K293">
        <f>IF(I293=1,H293*10000+ROW(),"")</f>
        <v/>
      </c>
    </row>
    <row r="294">
      <c r="A294" s="1" t="n"/>
      <c r="B294" s="21" t="n"/>
      <c r="C294" s="23" t="n"/>
      <c r="D294" s="22" t="n"/>
      <c r="E294" s="24" t="n"/>
      <c r="F294" s="25" t="n"/>
      <c r="G294" s="18">
        <f>IF(AND(C294="",D294=""),"",IF(NOT(ISNUMBER(B294)),"Needs a date",IF(NOT(ISNUMBER(D294)),"Needs the amount",IF(C294="","Needs an envelope",IF(COUNTIF(Envelopes!$B$6:$B$21,C294)=0,"Not on Envelopes",IF(F294="",IF(D294=0,"Needs the amount",""),IF(COUNTIF(Envelopes!$B$6:$B$21,F294)=0,"Moved to: not on Envelopes",IF(D294&lt;=0,"A move needs an amount",IF(F294=C294,"Moved to the same envelope","")))))))))</f>
        <v/>
      </c>
      <c r="H294" s="1">
        <f>IF(ISNUMBER(B294),INT(B294),0)</f>
        <v/>
      </c>
      <c r="I294">
        <f>IF(AND(H294&gt;0,ISNUMBER(D294),COUNTIF(Envelopes!$B$6:$B$21,C294)&gt;0,F294=""),1,0)</f>
        <v/>
      </c>
      <c r="J294">
        <f>IF(AND(H294&gt;0,ISNUMBER(D294),COUNTIF(Envelopes!$B$6:$B$21,C294)&gt;0,F294&lt;&gt;"",COUNTIF(Envelopes!$B$6:$B$21,F294)&gt;0),1,0)</f>
        <v/>
      </c>
      <c r="K294">
        <f>IF(I294=1,H294*10000+ROW(),"")</f>
        <v/>
      </c>
    </row>
    <row r="295">
      <c r="A295" s="1" t="n"/>
      <c r="B295" s="21" t="n"/>
      <c r="C295" s="23" t="n"/>
      <c r="D295" s="22" t="n"/>
      <c r="E295" s="24" t="n"/>
      <c r="F295" s="25" t="n"/>
      <c r="G295" s="18">
        <f>IF(AND(C295="",D295=""),"",IF(NOT(ISNUMBER(B295)),"Needs a date",IF(NOT(ISNUMBER(D295)),"Needs the amount",IF(C295="","Needs an envelope",IF(COUNTIF(Envelopes!$B$6:$B$21,C295)=0,"Not on Envelopes",IF(F295="",IF(D295=0,"Needs the amount",""),IF(COUNTIF(Envelopes!$B$6:$B$21,F295)=0,"Moved to: not on Envelopes",IF(D295&lt;=0,"A move needs an amount",IF(F295=C295,"Moved to the same envelope","")))))))))</f>
        <v/>
      </c>
      <c r="H295" s="1">
        <f>IF(ISNUMBER(B295),INT(B295),0)</f>
        <v/>
      </c>
      <c r="I295">
        <f>IF(AND(H295&gt;0,ISNUMBER(D295),COUNTIF(Envelopes!$B$6:$B$21,C295)&gt;0,F295=""),1,0)</f>
        <v/>
      </c>
      <c r="J295">
        <f>IF(AND(H295&gt;0,ISNUMBER(D295),COUNTIF(Envelopes!$B$6:$B$21,C295)&gt;0,F295&lt;&gt;"",COUNTIF(Envelopes!$B$6:$B$21,F295)&gt;0),1,0)</f>
        <v/>
      </c>
      <c r="K295">
        <f>IF(I295=1,H295*10000+ROW(),"")</f>
        <v/>
      </c>
    </row>
    <row r="296">
      <c r="A296" s="1" t="n"/>
      <c r="B296" s="21" t="n"/>
      <c r="C296" s="23" t="n"/>
      <c r="D296" s="22" t="n"/>
      <c r="E296" s="24" t="n"/>
      <c r="F296" s="25" t="n"/>
      <c r="G296" s="18">
        <f>IF(AND(C296="",D296=""),"",IF(NOT(ISNUMBER(B296)),"Needs a date",IF(NOT(ISNUMBER(D296)),"Needs the amount",IF(C296="","Needs an envelope",IF(COUNTIF(Envelopes!$B$6:$B$21,C296)=0,"Not on Envelopes",IF(F296="",IF(D296=0,"Needs the amount",""),IF(COUNTIF(Envelopes!$B$6:$B$21,F296)=0,"Moved to: not on Envelopes",IF(D296&lt;=0,"A move needs an amount",IF(F296=C296,"Moved to the same envelope","")))))))))</f>
        <v/>
      </c>
      <c r="H296" s="1">
        <f>IF(ISNUMBER(B296),INT(B296),0)</f>
        <v/>
      </c>
      <c r="I296">
        <f>IF(AND(H296&gt;0,ISNUMBER(D296),COUNTIF(Envelopes!$B$6:$B$21,C296)&gt;0,F296=""),1,0)</f>
        <v/>
      </c>
      <c r="J296">
        <f>IF(AND(H296&gt;0,ISNUMBER(D296),COUNTIF(Envelopes!$B$6:$B$21,C296)&gt;0,F296&lt;&gt;"",COUNTIF(Envelopes!$B$6:$B$21,F296)&gt;0),1,0)</f>
        <v/>
      </c>
      <c r="K296">
        <f>IF(I296=1,H296*10000+ROW(),"")</f>
        <v/>
      </c>
    </row>
    <row r="297">
      <c r="A297" s="1" t="n"/>
      <c r="B297" s="21" t="n"/>
      <c r="C297" s="23" t="n"/>
      <c r="D297" s="22" t="n"/>
      <c r="E297" s="24" t="n"/>
      <c r="F297" s="25" t="n"/>
      <c r="G297" s="18">
        <f>IF(AND(C297="",D297=""),"",IF(NOT(ISNUMBER(B297)),"Needs a date",IF(NOT(ISNUMBER(D297)),"Needs the amount",IF(C297="","Needs an envelope",IF(COUNTIF(Envelopes!$B$6:$B$21,C297)=0,"Not on Envelopes",IF(F297="",IF(D297=0,"Needs the amount",""),IF(COUNTIF(Envelopes!$B$6:$B$21,F297)=0,"Moved to: not on Envelopes",IF(D297&lt;=0,"A move needs an amount",IF(F297=C297,"Moved to the same envelope","")))))))))</f>
        <v/>
      </c>
      <c r="H297" s="1">
        <f>IF(ISNUMBER(B297),INT(B297),0)</f>
        <v/>
      </c>
      <c r="I297">
        <f>IF(AND(H297&gt;0,ISNUMBER(D297),COUNTIF(Envelopes!$B$6:$B$21,C297)&gt;0,F297=""),1,0)</f>
        <v/>
      </c>
      <c r="J297">
        <f>IF(AND(H297&gt;0,ISNUMBER(D297),COUNTIF(Envelopes!$B$6:$B$21,C297)&gt;0,F297&lt;&gt;"",COUNTIF(Envelopes!$B$6:$B$21,F297)&gt;0),1,0)</f>
        <v/>
      </c>
      <c r="K297">
        <f>IF(I297=1,H297*10000+ROW(),"")</f>
        <v/>
      </c>
    </row>
    <row r="298">
      <c r="A298" s="1" t="n"/>
      <c r="B298" s="21" t="n"/>
      <c r="C298" s="23" t="n"/>
      <c r="D298" s="22" t="n"/>
      <c r="E298" s="24" t="n"/>
      <c r="F298" s="25" t="n"/>
      <c r="G298" s="18">
        <f>IF(AND(C298="",D298=""),"",IF(NOT(ISNUMBER(B298)),"Needs a date",IF(NOT(ISNUMBER(D298)),"Needs the amount",IF(C298="","Needs an envelope",IF(COUNTIF(Envelopes!$B$6:$B$21,C298)=0,"Not on Envelopes",IF(F298="",IF(D298=0,"Needs the amount",""),IF(COUNTIF(Envelopes!$B$6:$B$21,F298)=0,"Moved to: not on Envelopes",IF(D298&lt;=0,"A move needs an amount",IF(F298=C298,"Moved to the same envelope","")))))))))</f>
        <v/>
      </c>
      <c r="H298" s="1">
        <f>IF(ISNUMBER(B298),INT(B298),0)</f>
        <v/>
      </c>
      <c r="I298">
        <f>IF(AND(H298&gt;0,ISNUMBER(D298),COUNTIF(Envelopes!$B$6:$B$21,C298)&gt;0,F298=""),1,0)</f>
        <v/>
      </c>
      <c r="J298">
        <f>IF(AND(H298&gt;0,ISNUMBER(D298),COUNTIF(Envelopes!$B$6:$B$21,C298)&gt;0,F298&lt;&gt;"",COUNTIF(Envelopes!$B$6:$B$21,F298)&gt;0),1,0)</f>
        <v/>
      </c>
      <c r="K298">
        <f>IF(I298=1,H298*10000+ROW(),"")</f>
        <v/>
      </c>
    </row>
    <row r="299">
      <c r="A299" s="1" t="n"/>
      <c r="B299" s="21" t="n"/>
      <c r="C299" s="23" t="n"/>
      <c r="D299" s="22" t="n"/>
      <c r="E299" s="24" t="n"/>
      <c r="F299" s="25" t="n"/>
      <c r="G299" s="18">
        <f>IF(AND(C299="",D299=""),"",IF(NOT(ISNUMBER(B299)),"Needs a date",IF(NOT(ISNUMBER(D299)),"Needs the amount",IF(C299="","Needs an envelope",IF(COUNTIF(Envelopes!$B$6:$B$21,C299)=0,"Not on Envelopes",IF(F299="",IF(D299=0,"Needs the amount",""),IF(COUNTIF(Envelopes!$B$6:$B$21,F299)=0,"Moved to: not on Envelopes",IF(D299&lt;=0,"A move needs an amount",IF(F299=C299,"Moved to the same envelope","")))))))))</f>
        <v/>
      </c>
      <c r="H299" s="1">
        <f>IF(ISNUMBER(B299),INT(B299),0)</f>
        <v/>
      </c>
      <c r="I299">
        <f>IF(AND(H299&gt;0,ISNUMBER(D299),COUNTIF(Envelopes!$B$6:$B$21,C299)&gt;0,F299=""),1,0)</f>
        <v/>
      </c>
      <c r="J299">
        <f>IF(AND(H299&gt;0,ISNUMBER(D299),COUNTIF(Envelopes!$B$6:$B$21,C299)&gt;0,F299&lt;&gt;"",COUNTIF(Envelopes!$B$6:$B$21,F299)&gt;0),1,0)</f>
        <v/>
      </c>
      <c r="K299">
        <f>IF(I299=1,H299*10000+ROW(),"")</f>
        <v/>
      </c>
    </row>
    <row r="300">
      <c r="A300" s="1" t="n"/>
      <c r="B300" s="21" t="n"/>
      <c r="C300" s="23" t="n"/>
      <c r="D300" s="22" t="n"/>
      <c r="E300" s="24" t="n"/>
      <c r="F300" s="25" t="n"/>
      <c r="G300" s="18">
        <f>IF(AND(C300="",D300=""),"",IF(NOT(ISNUMBER(B300)),"Needs a date",IF(NOT(ISNUMBER(D300)),"Needs the amount",IF(C300="","Needs an envelope",IF(COUNTIF(Envelopes!$B$6:$B$21,C300)=0,"Not on Envelopes",IF(F300="",IF(D300=0,"Needs the amount",""),IF(COUNTIF(Envelopes!$B$6:$B$21,F300)=0,"Moved to: not on Envelopes",IF(D300&lt;=0,"A move needs an amount",IF(F300=C300,"Moved to the same envelope","")))))))))</f>
        <v/>
      </c>
      <c r="H300" s="1">
        <f>IF(ISNUMBER(B300),INT(B300),0)</f>
        <v/>
      </c>
      <c r="I300">
        <f>IF(AND(H300&gt;0,ISNUMBER(D300),COUNTIF(Envelopes!$B$6:$B$21,C300)&gt;0,F300=""),1,0)</f>
        <v/>
      </c>
      <c r="J300">
        <f>IF(AND(H300&gt;0,ISNUMBER(D300),COUNTIF(Envelopes!$B$6:$B$21,C300)&gt;0,F300&lt;&gt;"",COUNTIF(Envelopes!$B$6:$B$21,F300)&gt;0),1,0)</f>
        <v/>
      </c>
      <c r="K300">
        <f>IF(I300=1,H300*10000+ROW(),"")</f>
        <v/>
      </c>
    </row>
    <row r="301">
      <c r="A301" s="1" t="n"/>
      <c r="B301" s="21" t="n"/>
      <c r="C301" s="23" t="n"/>
      <c r="D301" s="22" t="n"/>
      <c r="E301" s="24" t="n"/>
      <c r="F301" s="25" t="n"/>
      <c r="G301" s="18">
        <f>IF(AND(C301="",D301=""),"",IF(NOT(ISNUMBER(B301)),"Needs a date",IF(NOT(ISNUMBER(D301)),"Needs the amount",IF(C301="","Needs an envelope",IF(COUNTIF(Envelopes!$B$6:$B$21,C301)=0,"Not on Envelopes",IF(F301="",IF(D301=0,"Needs the amount",""),IF(COUNTIF(Envelopes!$B$6:$B$21,F301)=0,"Moved to: not on Envelopes",IF(D301&lt;=0,"A move needs an amount",IF(F301=C301,"Moved to the same envelope","")))))))))</f>
        <v/>
      </c>
      <c r="H301" s="1">
        <f>IF(ISNUMBER(B301),INT(B301),0)</f>
        <v/>
      </c>
      <c r="I301">
        <f>IF(AND(H301&gt;0,ISNUMBER(D301),COUNTIF(Envelopes!$B$6:$B$21,C301)&gt;0,F301=""),1,0)</f>
        <v/>
      </c>
      <c r="J301">
        <f>IF(AND(H301&gt;0,ISNUMBER(D301),COUNTIF(Envelopes!$B$6:$B$21,C301)&gt;0,F301&lt;&gt;"",COUNTIF(Envelopes!$B$6:$B$21,F301)&gt;0),1,0)</f>
        <v/>
      </c>
      <c r="K301">
        <f>IF(I301=1,H301*10000+ROW(),"")</f>
        <v/>
      </c>
    </row>
    <row r="302">
      <c r="A302" s="1" t="n"/>
      <c r="B302" s="21" t="n"/>
      <c r="C302" s="23" t="n"/>
      <c r="D302" s="22" t="n"/>
      <c r="E302" s="24" t="n"/>
      <c r="F302" s="25" t="n"/>
      <c r="G302" s="18">
        <f>IF(AND(C302="",D302=""),"",IF(NOT(ISNUMBER(B302)),"Needs a date",IF(NOT(ISNUMBER(D302)),"Needs the amount",IF(C302="","Needs an envelope",IF(COUNTIF(Envelopes!$B$6:$B$21,C302)=0,"Not on Envelopes",IF(F302="",IF(D302=0,"Needs the amount",""),IF(COUNTIF(Envelopes!$B$6:$B$21,F302)=0,"Moved to: not on Envelopes",IF(D302&lt;=0,"A move needs an amount",IF(F302=C302,"Moved to the same envelope","")))))))))</f>
        <v/>
      </c>
      <c r="H302" s="1">
        <f>IF(ISNUMBER(B302),INT(B302),0)</f>
        <v/>
      </c>
      <c r="I302">
        <f>IF(AND(H302&gt;0,ISNUMBER(D302),COUNTIF(Envelopes!$B$6:$B$21,C302)&gt;0,F302=""),1,0)</f>
        <v/>
      </c>
      <c r="J302">
        <f>IF(AND(H302&gt;0,ISNUMBER(D302),COUNTIF(Envelopes!$B$6:$B$21,C302)&gt;0,F302&lt;&gt;"",COUNTIF(Envelopes!$B$6:$B$21,F302)&gt;0),1,0)</f>
        <v/>
      </c>
      <c r="K302">
        <f>IF(I302=1,H302*10000+ROW(),"")</f>
        <v/>
      </c>
    </row>
    <row r="303">
      <c r="A303" s="1" t="n"/>
      <c r="B303" s="21" t="n"/>
      <c r="C303" s="23" t="n"/>
      <c r="D303" s="22" t="n"/>
      <c r="E303" s="24" t="n"/>
      <c r="F303" s="25" t="n"/>
      <c r="G303" s="18">
        <f>IF(AND(C303="",D303=""),"",IF(NOT(ISNUMBER(B303)),"Needs a date",IF(NOT(ISNUMBER(D303)),"Needs the amount",IF(C303="","Needs an envelope",IF(COUNTIF(Envelopes!$B$6:$B$21,C303)=0,"Not on Envelopes",IF(F303="",IF(D303=0,"Needs the amount",""),IF(COUNTIF(Envelopes!$B$6:$B$21,F303)=0,"Moved to: not on Envelopes",IF(D303&lt;=0,"A move needs an amount",IF(F303=C303,"Moved to the same envelope","")))))))))</f>
        <v/>
      </c>
      <c r="H303" s="1">
        <f>IF(ISNUMBER(B303),INT(B303),0)</f>
        <v/>
      </c>
      <c r="I303">
        <f>IF(AND(H303&gt;0,ISNUMBER(D303),COUNTIF(Envelopes!$B$6:$B$21,C303)&gt;0,F303=""),1,0)</f>
        <v/>
      </c>
      <c r="J303">
        <f>IF(AND(H303&gt;0,ISNUMBER(D303),COUNTIF(Envelopes!$B$6:$B$21,C303)&gt;0,F303&lt;&gt;"",COUNTIF(Envelopes!$B$6:$B$21,F303)&gt;0),1,0)</f>
        <v/>
      </c>
      <c r="K303">
        <f>IF(I303=1,H303*10000+ROW(),"")</f>
        <v/>
      </c>
    </row>
    <row r="304">
      <c r="A304" s="1" t="n"/>
      <c r="B304" s="21" t="n"/>
      <c r="C304" s="23" t="n"/>
      <c r="D304" s="22" t="n"/>
      <c r="E304" s="24" t="n"/>
      <c r="F304" s="25" t="n"/>
      <c r="G304" s="18">
        <f>IF(AND(C304="",D304=""),"",IF(NOT(ISNUMBER(B304)),"Needs a date",IF(NOT(ISNUMBER(D304)),"Needs the amount",IF(C304="","Needs an envelope",IF(COUNTIF(Envelopes!$B$6:$B$21,C304)=0,"Not on Envelopes",IF(F304="",IF(D304=0,"Needs the amount",""),IF(COUNTIF(Envelopes!$B$6:$B$21,F304)=0,"Moved to: not on Envelopes",IF(D304&lt;=0,"A move needs an amount",IF(F304=C304,"Moved to the same envelope","")))))))))</f>
        <v/>
      </c>
      <c r="H304" s="1">
        <f>IF(ISNUMBER(B304),INT(B304),0)</f>
        <v/>
      </c>
      <c r="I304">
        <f>IF(AND(H304&gt;0,ISNUMBER(D304),COUNTIF(Envelopes!$B$6:$B$21,C304)&gt;0,F304=""),1,0)</f>
        <v/>
      </c>
      <c r="J304">
        <f>IF(AND(H304&gt;0,ISNUMBER(D304),COUNTIF(Envelopes!$B$6:$B$21,C304)&gt;0,F304&lt;&gt;"",COUNTIF(Envelopes!$B$6:$B$21,F304)&gt;0),1,0)</f>
        <v/>
      </c>
      <c r="K304">
        <f>IF(I304=1,H304*10000+ROW(),"")</f>
        <v/>
      </c>
    </row>
    <row r="305">
      <c r="A305" s="1" t="n"/>
      <c r="B305" s="21" t="n"/>
      <c r="C305" s="23" t="n"/>
      <c r="D305" s="22" t="n"/>
      <c r="E305" s="24" t="n"/>
      <c r="F305" s="25" t="n"/>
      <c r="G305" s="18">
        <f>IF(AND(C305="",D305=""),"",IF(NOT(ISNUMBER(B305)),"Needs a date",IF(NOT(ISNUMBER(D305)),"Needs the amount",IF(C305="","Needs an envelope",IF(COUNTIF(Envelopes!$B$6:$B$21,C305)=0,"Not on Envelopes",IF(F305="",IF(D305=0,"Needs the amount",""),IF(COUNTIF(Envelopes!$B$6:$B$21,F305)=0,"Moved to: not on Envelopes",IF(D305&lt;=0,"A move needs an amount",IF(F305=C305,"Moved to the same envelope","")))))))))</f>
        <v/>
      </c>
      <c r="H305" s="1">
        <f>IF(ISNUMBER(B305),INT(B305),0)</f>
        <v/>
      </c>
      <c r="I305">
        <f>IF(AND(H305&gt;0,ISNUMBER(D305),COUNTIF(Envelopes!$B$6:$B$21,C305)&gt;0,F305=""),1,0)</f>
        <v/>
      </c>
      <c r="J305">
        <f>IF(AND(H305&gt;0,ISNUMBER(D305),COUNTIF(Envelopes!$B$6:$B$21,C305)&gt;0,F305&lt;&gt;"",COUNTIF(Envelopes!$B$6:$B$21,F305)&gt;0),1,0)</f>
        <v/>
      </c>
      <c r="K305">
        <f>IF(I305=1,H305*10000+ROW(),"")</f>
        <v/>
      </c>
    </row>
    <row r="306">
      <c r="A306" s="1" t="n"/>
      <c r="B306" s="21" t="n"/>
      <c r="C306" s="23" t="n"/>
      <c r="D306" s="22" t="n"/>
      <c r="E306" s="24" t="n"/>
      <c r="F306" s="25" t="n"/>
      <c r="G306" s="18">
        <f>IF(AND(C306="",D306=""),"",IF(NOT(ISNUMBER(B306)),"Needs a date",IF(NOT(ISNUMBER(D306)),"Needs the amount",IF(C306="","Needs an envelope",IF(COUNTIF(Envelopes!$B$6:$B$21,C306)=0,"Not on Envelopes",IF(F306="",IF(D306=0,"Needs the amount",""),IF(COUNTIF(Envelopes!$B$6:$B$21,F306)=0,"Moved to: not on Envelopes",IF(D306&lt;=0,"A move needs an amount",IF(F306=C306,"Moved to the same envelope","")))))))))</f>
        <v/>
      </c>
      <c r="H306" s="1">
        <f>IF(ISNUMBER(B306),INT(B306),0)</f>
        <v/>
      </c>
      <c r="I306">
        <f>IF(AND(H306&gt;0,ISNUMBER(D306),COUNTIF(Envelopes!$B$6:$B$21,C306)&gt;0,F306=""),1,0)</f>
        <v/>
      </c>
      <c r="J306">
        <f>IF(AND(H306&gt;0,ISNUMBER(D306),COUNTIF(Envelopes!$B$6:$B$21,C306)&gt;0,F306&lt;&gt;"",COUNTIF(Envelopes!$B$6:$B$21,F306)&gt;0),1,0)</f>
        <v/>
      </c>
      <c r="K306">
        <f>IF(I306=1,H306*10000+ROW(),"")</f>
        <v/>
      </c>
    </row>
    <row r="307">
      <c r="A307" s="1" t="n"/>
      <c r="B307" s="21" t="n"/>
      <c r="C307" s="23" t="n"/>
      <c r="D307" s="22" t="n"/>
      <c r="E307" s="24" t="n"/>
      <c r="F307" s="25" t="n"/>
      <c r="G307" s="18">
        <f>IF(AND(C307="",D307=""),"",IF(NOT(ISNUMBER(B307)),"Needs a date",IF(NOT(ISNUMBER(D307)),"Needs the amount",IF(C307="","Needs an envelope",IF(COUNTIF(Envelopes!$B$6:$B$21,C307)=0,"Not on Envelopes",IF(F307="",IF(D307=0,"Needs the amount",""),IF(COUNTIF(Envelopes!$B$6:$B$21,F307)=0,"Moved to: not on Envelopes",IF(D307&lt;=0,"A move needs an amount",IF(F307=C307,"Moved to the same envelope","")))))))))</f>
        <v/>
      </c>
      <c r="H307" s="1">
        <f>IF(ISNUMBER(B307),INT(B307),0)</f>
        <v/>
      </c>
      <c r="I307">
        <f>IF(AND(H307&gt;0,ISNUMBER(D307),COUNTIF(Envelopes!$B$6:$B$21,C307)&gt;0,F307=""),1,0)</f>
        <v/>
      </c>
      <c r="J307">
        <f>IF(AND(H307&gt;0,ISNUMBER(D307),COUNTIF(Envelopes!$B$6:$B$21,C307)&gt;0,F307&lt;&gt;"",COUNTIF(Envelopes!$B$6:$B$21,F307)&gt;0),1,0)</f>
        <v/>
      </c>
      <c r="K307">
        <f>IF(I307=1,H307*10000+ROW(),"")</f>
        <v/>
      </c>
    </row>
    <row r="308">
      <c r="A308" s="1" t="n"/>
      <c r="B308" s="21" t="n"/>
      <c r="C308" s="23" t="n"/>
      <c r="D308" s="22" t="n"/>
      <c r="E308" s="24" t="n"/>
      <c r="F308" s="25" t="n"/>
      <c r="G308" s="18">
        <f>IF(AND(C308="",D308=""),"",IF(NOT(ISNUMBER(B308)),"Needs a date",IF(NOT(ISNUMBER(D308)),"Needs the amount",IF(C308="","Needs an envelope",IF(COUNTIF(Envelopes!$B$6:$B$21,C308)=0,"Not on Envelopes",IF(F308="",IF(D308=0,"Needs the amount",""),IF(COUNTIF(Envelopes!$B$6:$B$21,F308)=0,"Moved to: not on Envelopes",IF(D308&lt;=0,"A move needs an amount",IF(F308=C308,"Moved to the same envelope","")))))))))</f>
        <v/>
      </c>
      <c r="H308" s="1">
        <f>IF(ISNUMBER(B308),INT(B308),0)</f>
        <v/>
      </c>
      <c r="I308">
        <f>IF(AND(H308&gt;0,ISNUMBER(D308),COUNTIF(Envelopes!$B$6:$B$21,C308)&gt;0,F308=""),1,0)</f>
        <v/>
      </c>
      <c r="J308">
        <f>IF(AND(H308&gt;0,ISNUMBER(D308),COUNTIF(Envelopes!$B$6:$B$21,C308)&gt;0,F308&lt;&gt;"",COUNTIF(Envelopes!$B$6:$B$21,F308)&gt;0),1,0)</f>
        <v/>
      </c>
      <c r="K308">
        <f>IF(I308=1,H308*10000+ROW(),"")</f>
        <v/>
      </c>
    </row>
    <row r="309">
      <c r="A309" s="1" t="n"/>
      <c r="B309" s="21" t="n"/>
      <c r="C309" s="23" t="n"/>
      <c r="D309" s="22" t="n"/>
      <c r="E309" s="24" t="n"/>
      <c r="F309" s="25" t="n"/>
      <c r="G309" s="18">
        <f>IF(AND(C309="",D309=""),"",IF(NOT(ISNUMBER(B309)),"Needs a date",IF(NOT(ISNUMBER(D309)),"Needs the amount",IF(C309="","Needs an envelope",IF(COUNTIF(Envelopes!$B$6:$B$21,C309)=0,"Not on Envelopes",IF(F309="",IF(D309=0,"Needs the amount",""),IF(COUNTIF(Envelopes!$B$6:$B$21,F309)=0,"Moved to: not on Envelopes",IF(D309&lt;=0,"A move needs an amount",IF(F309=C309,"Moved to the same envelope","")))))))))</f>
        <v/>
      </c>
      <c r="H309" s="1">
        <f>IF(ISNUMBER(B309),INT(B309),0)</f>
        <v/>
      </c>
      <c r="I309">
        <f>IF(AND(H309&gt;0,ISNUMBER(D309),COUNTIF(Envelopes!$B$6:$B$21,C309)&gt;0,F309=""),1,0)</f>
        <v/>
      </c>
      <c r="J309">
        <f>IF(AND(H309&gt;0,ISNUMBER(D309),COUNTIF(Envelopes!$B$6:$B$21,C309)&gt;0,F309&lt;&gt;"",COUNTIF(Envelopes!$B$6:$B$21,F309)&gt;0),1,0)</f>
        <v/>
      </c>
      <c r="K309">
        <f>IF(I309=1,H309*10000+ROW(),"")</f>
        <v/>
      </c>
    </row>
    <row r="310">
      <c r="A310" s="1" t="n"/>
      <c r="B310" s="21" t="n"/>
      <c r="C310" s="23" t="n"/>
      <c r="D310" s="22" t="n"/>
      <c r="E310" s="24" t="n"/>
      <c r="F310" s="25" t="n"/>
      <c r="G310" s="18">
        <f>IF(AND(C310="",D310=""),"",IF(NOT(ISNUMBER(B310)),"Needs a date",IF(NOT(ISNUMBER(D310)),"Needs the amount",IF(C310="","Needs an envelope",IF(COUNTIF(Envelopes!$B$6:$B$21,C310)=0,"Not on Envelopes",IF(F310="",IF(D310=0,"Needs the amount",""),IF(COUNTIF(Envelopes!$B$6:$B$21,F310)=0,"Moved to: not on Envelopes",IF(D310&lt;=0,"A move needs an amount",IF(F310=C310,"Moved to the same envelope","")))))))))</f>
        <v/>
      </c>
      <c r="H310" s="1">
        <f>IF(ISNUMBER(B310),INT(B310),0)</f>
        <v/>
      </c>
      <c r="I310">
        <f>IF(AND(H310&gt;0,ISNUMBER(D310),COUNTIF(Envelopes!$B$6:$B$21,C310)&gt;0,F310=""),1,0)</f>
        <v/>
      </c>
      <c r="J310">
        <f>IF(AND(H310&gt;0,ISNUMBER(D310),COUNTIF(Envelopes!$B$6:$B$21,C310)&gt;0,F310&lt;&gt;"",COUNTIF(Envelopes!$B$6:$B$21,F310)&gt;0),1,0)</f>
        <v/>
      </c>
      <c r="K310">
        <f>IF(I310=1,H310*10000+ROW(),"")</f>
        <v/>
      </c>
    </row>
    <row r="311">
      <c r="A311" s="1" t="n"/>
      <c r="B311" s="21" t="n"/>
      <c r="C311" s="23" t="n"/>
      <c r="D311" s="22" t="n"/>
      <c r="E311" s="24" t="n"/>
      <c r="F311" s="25" t="n"/>
      <c r="G311" s="18">
        <f>IF(AND(C311="",D311=""),"",IF(NOT(ISNUMBER(B311)),"Needs a date",IF(NOT(ISNUMBER(D311)),"Needs the amount",IF(C311="","Needs an envelope",IF(COUNTIF(Envelopes!$B$6:$B$21,C311)=0,"Not on Envelopes",IF(F311="",IF(D311=0,"Needs the amount",""),IF(COUNTIF(Envelopes!$B$6:$B$21,F311)=0,"Moved to: not on Envelopes",IF(D311&lt;=0,"A move needs an amount",IF(F311=C311,"Moved to the same envelope","")))))))))</f>
        <v/>
      </c>
      <c r="H311" s="1">
        <f>IF(ISNUMBER(B311),INT(B311),0)</f>
        <v/>
      </c>
      <c r="I311">
        <f>IF(AND(H311&gt;0,ISNUMBER(D311),COUNTIF(Envelopes!$B$6:$B$21,C311)&gt;0,F311=""),1,0)</f>
        <v/>
      </c>
      <c r="J311">
        <f>IF(AND(H311&gt;0,ISNUMBER(D311),COUNTIF(Envelopes!$B$6:$B$21,C311)&gt;0,F311&lt;&gt;"",COUNTIF(Envelopes!$B$6:$B$21,F311)&gt;0),1,0)</f>
        <v/>
      </c>
      <c r="K311">
        <f>IF(I311=1,H311*10000+ROW(),"")</f>
        <v/>
      </c>
    </row>
    <row r="312">
      <c r="A312" s="1" t="n"/>
      <c r="B312" s="21" t="n"/>
      <c r="C312" s="23" t="n"/>
      <c r="D312" s="22" t="n"/>
      <c r="E312" s="24" t="n"/>
      <c r="F312" s="25" t="n"/>
      <c r="G312" s="18">
        <f>IF(AND(C312="",D312=""),"",IF(NOT(ISNUMBER(B312)),"Needs a date",IF(NOT(ISNUMBER(D312)),"Needs the amount",IF(C312="","Needs an envelope",IF(COUNTIF(Envelopes!$B$6:$B$21,C312)=0,"Not on Envelopes",IF(F312="",IF(D312=0,"Needs the amount",""),IF(COUNTIF(Envelopes!$B$6:$B$21,F312)=0,"Moved to: not on Envelopes",IF(D312&lt;=0,"A move needs an amount",IF(F312=C312,"Moved to the same envelope","")))))))))</f>
        <v/>
      </c>
      <c r="H312" s="1">
        <f>IF(ISNUMBER(B312),INT(B312),0)</f>
        <v/>
      </c>
      <c r="I312">
        <f>IF(AND(H312&gt;0,ISNUMBER(D312),COUNTIF(Envelopes!$B$6:$B$21,C312)&gt;0,F312=""),1,0)</f>
        <v/>
      </c>
      <c r="J312">
        <f>IF(AND(H312&gt;0,ISNUMBER(D312),COUNTIF(Envelopes!$B$6:$B$21,C312)&gt;0,F312&lt;&gt;"",COUNTIF(Envelopes!$B$6:$B$21,F312)&gt;0),1,0)</f>
        <v/>
      </c>
      <c r="K312">
        <f>IF(I312=1,H312*10000+ROW(),"")</f>
        <v/>
      </c>
    </row>
    <row r="313">
      <c r="A313" s="1" t="n"/>
      <c r="B313" s="21" t="n"/>
      <c r="C313" s="23" t="n"/>
      <c r="D313" s="22" t="n"/>
      <c r="E313" s="24" t="n"/>
      <c r="F313" s="25" t="n"/>
      <c r="G313" s="18">
        <f>IF(AND(C313="",D313=""),"",IF(NOT(ISNUMBER(B313)),"Needs a date",IF(NOT(ISNUMBER(D313)),"Needs the amount",IF(C313="","Needs an envelope",IF(COUNTIF(Envelopes!$B$6:$B$21,C313)=0,"Not on Envelopes",IF(F313="",IF(D313=0,"Needs the amount",""),IF(COUNTIF(Envelopes!$B$6:$B$21,F313)=0,"Moved to: not on Envelopes",IF(D313&lt;=0,"A move needs an amount",IF(F313=C313,"Moved to the same envelope","")))))))))</f>
        <v/>
      </c>
      <c r="H313" s="1">
        <f>IF(ISNUMBER(B313),INT(B313),0)</f>
        <v/>
      </c>
      <c r="I313">
        <f>IF(AND(H313&gt;0,ISNUMBER(D313),COUNTIF(Envelopes!$B$6:$B$21,C313)&gt;0,F313=""),1,0)</f>
        <v/>
      </c>
      <c r="J313">
        <f>IF(AND(H313&gt;0,ISNUMBER(D313),COUNTIF(Envelopes!$B$6:$B$21,C313)&gt;0,F313&lt;&gt;"",COUNTIF(Envelopes!$B$6:$B$21,F313)&gt;0),1,0)</f>
        <v/>
      </c>
      <c r="K313">
        <f>IF(I313=1,H313*10000+ROW(),"")</f>
        <v/>
      </c>
    </row>
    <row r="314">
      <c r="A314" s="1" t="n"/>
      <c r="B314" s="21" t="n"/>
      <c r="C314" s="23" t="n"/>
      <c r="D314" s="22" t="n"/>
      <c r="E314" s="24" t="n"/>
      <c r="F314" s="25" t="n"/>
      <c r="G314" s="18">
        <f>IF(AND(C314="",D314=""),"",IF(NOT(ISNUMBER(B314)),"Needs a date",IF(NOT(ISNUMBER(D314)),"Needs the amount",IF(C314="","Needs an envelope",IF(COUNTIF(Envelopes!$B$6:$B$21,C314)=0,"Not on Envelopes",IF(F314="",IF(D314=0,"Needs the amount",""),IF(COUNTIF(Envelopes!$B$6:$B$21,F314)=0,"Moved to: not on Envelopes",IF(D314&lt;=0,"A move needs an amount",IF(F314=C314,"Moved to the same envelope","")))))))))</f>
        <v/>
      </c>
      <c r="H314" s="1">
        <f>IF(ISNUMBER(B314),INT(B314),0)</f>
        <v/>
      </c>
      <c r="I314">
        <f>IF(AND(H314&gt;0,ISNUMBER(D314),COUNTIF(Envelopes!$B$6:$B$21,C314)&gt;0,F314=""),1,0)</f>
        <v/>
      </c>
      <c r="J314">
        <f>IF(AND(H314&gt;0,ISNUMBER(D314),COUNTIF(Envelopes!$B$6:$B$21,C314)&gt;0,F314&lt;&gt;"",COUNTIF(Envelopes!$B$6:$B$21,F314)&gt;0),1,0)</f>
        <v/>
      </c>
      <c r="K314">
        <f>IF(I314=1,H314*10000+ROW(),"")</f>
        <v/>
      </c>
    </row>
    <row r="315">
      <c r="A315" s="1" t="n"/>
      <c r="B315" s="21" t="n"/>
      <c r="C315" s="23" t="n"/>
      <c r="D315" s="22" t="n"/>
      <c r="E315" s="24" t="n"/>
      <c r="F315" s="25" t="n"/>
      <c r="G315" s="18">
        <f>IF(AND(C315="",D315=""),"",IF(NOT(ISNUMBER(B315)),"Needs a date",IF(NOT(ISNUMBER(D315)),"Needs the amount",IF(C315="","Needs an envelope",IF(COUNTIF(Envelopes!$B$6:$B$21,C315)=0,"Not on Envelopes",IF(F315="",IF(D315=0,"Needs the amount",""),IF(COUNTIF(Envelopes!$B$6:$B$21,F315)=0,"Moved to: not on Envelopes",IF(D315&lt;=0,"A move needs an amount",IF(F315=C315,"Moved to the same envelope","")))))))))</f>
        <v/>
      </c>
      <c r="H315" s="1">
        <f>IF(ISNUMBER(B315),INT(B315),0)</f>
        <v/>
      </c>
      <c r="I315">
        <f>IF(AND(H315&gt;0,ISNUMBER(D315),COUNTIF(Envelopes!$B$6:$B$21,C315)&gt;0,F315=""),1,0)</f>
        <v/>
      </c>
      <c r="J315">
        <f>IF(AND(H315&gt;0,ISNUMBER(D315),COUNTIF(Envelopes!$B$6:$B$21,C315)&gt;0,F315&lt;&gt;"",COUNTIF(Envelopes!$B$6:$B$21,F315)&gt;0),1,0)</f>
        <v/>
      </c>
      <c r="K315">
        <f>IF(I315=1,H315*10000+ROW(),"")</f>
        <v/>
      </c>
    </row>
    <row r="316">
      <c r="A316" s="1" t="n"/>
      <c r="B316" s="21" t="n"/>
      <c r="C316" s="23" t="n"/>
      <c r="D316" s="22" t="n"/>
      <c r="E316" s="24" t="n"/>
      <c r="F316" s="25" t="n"/>
      <c r="G316" s="18">
        <f>IF(AND(C316="",D316=""),"",IF(NOT(ISNUMBER(B316)),"Needs a date",IF(NOT(ISNUMBER(D316)),"Needs the amount",IF(C316="","Needs an envelope",IF(COUNTIF(Envelopes!$B$6:$B$21,C316)=0,"Not on Envelopes",IF(F316="",IF(D316=0,"Needs the amount",""),IF(COUNTIF(Envelopes!$B$6:$B$21,F316)=0,"Moved to: not on Envelopes",IF(D316&lt;=0,"A move needs an amount",IF(F316=C316,"Moved to the same envelope","")))))))))</f>
        <v/>
      </c>
      <c r="H316" s="1">
        <f>IF(ISNUMBER(B316),INT(B316),0)</f>
        <v/>
      </c>
      <c r="I316">
        <f>IF(AND(H316&gt;0,ISNUMBER(D316),COUNTIF(Envelopes!$B$6:$B$21,C316)&gt;0,F316=""),1,0)</f>
        <v/>
      </c>
      <c r="J316">
        <f>IF(AND(H316&gt;0,ISNUMBER(D316),COUNTIF(Envelopes!$B$6:$B$21,C316)&gt;0,F316&lt;&gt;"",COUNTIF(Envelopes!$B$6:$B$21,F316)&gt;0),1,0)</f>
        <v/>
      </c>
      <c r="K316">
        <f>IF(I316=1,H316*10000+ROW(),"")</f>
        <v/>
      </c>
    </row>
    <row r="317">
      <c r="A317" s="1" t="n"/>
      <c r="B317" s="21" t="n"/>
      <c r="C317" s="23" t="n"/>
      <c r="D317" s="22" t="n"/>
      <c r="E317" s="24" t="n"/>
      <c r="F317" s="25" t="n"/>
      <c r="G317" s="18">
        <f>IF(AND(C317="",D317=""),"",IF(NOT(ISNUMBER(B317)),"Needs a date",IF(NOT(ISNUMBER(D317)),"Needs the amount",IF(C317="","Needs an envelope",IF(COUNTIF(Envelopes!$B$6:$B$21,C317)=0,"Not on Envelopes",IF(F317="",IF(D317=0,"Needs the amount",""),IF(COUNTIF(Envelopes!$B$6:$B$21,F317)=0,"Moved to: not on Envelopes",IF(D317&lt;=0,"A move needs an amount",IF(F317=C317,"Moved to the same envelope","")))))))))</f>
        <v/>
      </c>
      <c r="H317" s="1">
        <f>IF(ISNUMBER(B317),INT(B317),0)</f>
        <v/>
      </c>
      <c r="I317">
        <f>IF(AND(H317&gt;0,ISNUMBER(D317),COUNTIF(Envelopes!$B$6:$B$21,C317)&gt;0,F317=""),1,0)</f>
        <v/>
      </c>
      <c r="J317">
        <f>IF(AND(H317&gt;0,ISNUMBER(D317),COUNTIF(Envelopes!$B$6:$B$21,C317)&gt;0,F317&lt;&gt;"",COUNTIF(Envelopes!$B$6:$B$21,F317)&gt;0),1,0)</f>
        <v/>
      </c>
      <c r="K317">
        <f>IF(I317=1,H317*10000+ROW(),"")</f>
        <v/>
      </c>
    </row>
    <row r="318">
      <c r="A318" s="1" t="n"/>
      <c r="B318" s="21" t="n"/>
      <c r="C318" s="23" t="n"/>
      <c r="D318" s="22" t="n"/>
      <c r="E318" s="24" t="n"/>
      <c r="F318" s="25" t="n"/>
      <c r="G318" s="18">
        <f>IF(AND(C318="",D318=""),"",IF(NOT(ISNUMBER(B318)),"Needs a date",IF(NOT(ISNUMBER(D318)),"Needs the amount",IF(C318="","Needs an envelope",IF(COUNTIF(Envelopes!$B$6:$B$21,C318)=0,"Not on Envelopes",IF(F318="",IF(D318=0,"Needs the amount",""),IF(COUNTIF(Envelopes!$B$6:$B$21,F318)=0,"Moved to: not on Envelopes",IF(D318&lt;=0,"A move needs an amount",IF(F318=C318,"Moved to the same envelope","")))))))))</f>
        <v/>
      </c>
      <c r="H318" s="1">
        <f>IF(ISNUMBER(B318),INT(B318),0)</f>
        <v/>
      </c>
      <c r="I318">
        <f>IF(AND(H318&gt;0,ISNUMBER(D318),COUNTIF(Envelopes!$B$6:$B$21,C318)&gt;0,F318=""),1,0)</f>
        <v/>
      </c>
      <c r="J318">
        <f>IF(AND(H318&gt;0,ISNUMBER(D318),COUNTIF(Envelopes!$B$6:$B$21,C318)&gt;0,F318&lt;&gt;"",COUNTIF(Envelopes!$B$6:$B$21,F318)&gt;0),1,0)</f>
        <v/>
      </c>
      <c r="K318">
        <f>IF(I318=1,H318*10000+ROW(),"")</f>
        <v/>
      </c>
    </row>
    <row r="319">
      <c r="A319" s="1" t="n"/>
      <c r="B319" s="21" t="n"/>
      <c r="C319" s="23" t="n"/>
      <c r="D319" s="22" t="n"/>
      <c r="E319" s="24" t="n"/>
      <c r="F319" s="25" t="n"/>
      <c r="G319" s="18">
        <f>IF(AND(C319="",D319=""),"",IF(NOT(ISNUMBER(B319)),"Needs a date",IF(NOT(ISNUMBER(D319)),"Needs the amount",IF(C319="","Needs an envelope",IF(COUNTIF(Envelopes!$B$6:$B$21,C319)=0,"Not on Envelopes",IF(F319="",IF(D319=0,"Needs the amount",""),IF(COUNTIF(Envelopes!$B$6:$B$21,F319)=0,"Moved to: not on Envelopes",IF(D319&lt;=0,"A move needs an amount",IF(F319=C319,"Moved to the same envelope","")))))))))</f>
        <v/>
      </c>
      <c r="H319" s="1">
        <f>IF(ISNUMBER(B319),INT(B319),0)</f>
        <v/>
      </c>
      <c r="I319">
        <f>IF(AND(H319&gt;0,ISNUMBER(D319),COUNTIF(Envelopes!$B$6:$B$21,C319)&gt;0,F319=""),1,0)</f>
        <v/>
      </c>
      <c r="J319">
        <f>IF(AND(H319&gt;0,ISNUMBER(D319),COUNTIF(Envelopes!$B$6:$B$21,C319)&gt;0,F319&lt;&gt;"",COUNTIF(Envelopes!$B$6:$B$21,F319)&gt;0),1,0)</f>
        <v/>
      </c>
      <c r="K319">
        <f>IF(I319=1,H319*10000+ROW(),"")</f>
        <v/>
      </c>
    </row>
    <row r="320">
      <c r="A320" s="1" t="n"/>
      <c r="B320" s="21" t="n"/>
      <c r="C320" s="23" t="n"/>
      <c r="D320" s="22" t="n"/>
      <c r="E320" s="24" t="n"/>
      <c r="F320" s="25" t="n"/>
      <c r="G320" s="18">
        <f>IF(AND(C320="",D320=""),"",IF(NOT(ISNUMBER(B320)),"Needs a date",IF(NOT(ISNUMBER(D320)),"Needs the amount",IF(C320="","Needs an envelope",IF(COUNTIF(Envelopes!$B$6:$B$21,C320)=0,"Not on Envelopes",IF(F320="",IF(D320=0,"Needs the amount",""),IF(COUNTIF(Envelopes!$B$6:$B$21,F320)=0,"Moved to: not on Envelopes",IF(D320&lt;=0,"A move needs an amount",IF(F320=C320,"Moved to the same envelope","")))))))))</f>
        <v/>
      </c>
      <c r="H320" s="1">
        <f>IF(ISNUMBER(B320),INT(B320),0)</f>
        <v/>
      </c>
      <c r="I320">
        <f>IF(AND(H320&gt;0,ISNUMBER(D320),COUNTIF(Envelopes!$B$6:$B$21,C320)&gt;0,F320=""),1,0)</f>
        <v/>
      </c>
      <c r="J320">
        <f>IF(AND(H320&gt;0,ISNUMBER(D320),COUNTIF(Envelopes!$B$6:$B$21,C320)&gt;0,F320&lt;&gt;"",COUNTIF(Envelopes!$B$6:$B$21,F320)&gt;0),1,0)</f>
        <v/>
      </c>
      <c r="K320">
        <f>IF(I320=1,H320*10000+ROW(),"")</f>
        <v/>
      </c>
    </row>
    <row r="321">
      <c r="A321" s="1" t="n"/>
      <c r="B321" s="21" t="n"/>
      <c r="C321" s="23" t="n"/>
      <c r="D321" s="22" t="n"/>
      <c r="E321" s="24" t="n"/>
      <c r="F321" s="25" t="n"/>
      <c r="G321" s="18">
        <f>IF(AND(C321="",D321=""),"",IF(NOT(ISNUMBER(B321)),"Needs a date",IF(NOT(ISNUMBER(D321)),"Needs the amount",IF(C321="","Needs an envelope",IF(COUNTIF(Envelopes!$B$6:$B$21,C321)=0,"Not on Envelopes",IF(F321="",IF(D321=0,"Needs the amount",""),IF(COUNTIF(Envelopes!$B$6:$B$21,F321)=0,"Moved to: not on Envelopes",IF(D321&lt;=0,"A move needs an amount",IF(F321=C321,"Moved to the same envelope","")))))))))</f>
        <v/>
      </c>
      <c r="H321" s="1">
        <f>IF(ISNUMBER(B321),INT(B321),0)</f>
        <v/>
      </c>
      <c r="I321">
        <f>IF(AND(H321&gt;0,ISNUMBER(D321),COUNTIF(Envelopes!$B$6:$B$21,C321)&gt;0,F321=""),1,0)</f>
        <v/>
      </c>
      <c r="J321">
        <f>IF(AND(H321&gt;0,ISNUMBER(D321),COUNTIF(Envelopes!$B$6:$B$21,C321)&gt;0,F321&lt;&gt;"",COUNTIF(Envelopes!$B$6:$B$21,F321)&gt;0),1,0)</f>
        <v/>
      </c>
      <c r="K321">
        <f>IF(I321=1,H321*10000+ROW(),"")</f>
        <v/>
      </c>
    </row>
    <row r="322">
      <c r="A322" s="1" t="n"/>
      <c r="B322" s="21" t="n"/>
      <c r="C322" s="23" t="n"/>
      <c r="D322" s="22" t="n"/>
      <c r="E322" s="24" t="n"/>
      <c r="F322" s="25" t="n"/>
      <c r="G322" s="18">
        <f>IF(AND(C322="",D322=""),"",IF(NOT(ISNUMBER(B322)),"Needs a date",IF(NOT(ISNUMBER(D322)),"Needs the amount",IF(C322="","Needs an envelope",IF(COUNTIF(Envelopes!$B$6:$B$21,C322)=0,"Not on Envelopes",IF(F322="",IF(D322=0,"Needs the amount",""),IF(COUNTIF(Envelopes!$B$6:$B$21,F322)=0,"Moved to: not on Envelopes",IF(D322&lt;=0,"A move needs an amount",IF(F322=C322,"Moved to the same envelope","")))))))))</f>
        <v/>
      </c>
      <c r="H322" s="1">
        <f>IF(ISNUMBER(B322),INT(B322),0)</f>
        <v/>
      </c>
      <c r="I322">
        <f>IF(AND(H322&gt;0,ISNUMBER(D322),COUNTIF(Envelopes!$B$6:$B$21,C322)&gt;0,F322=""),1,0)</f>
        <v/>
      </c>
      <c r="J322">
        <f>IF(AND(H322&gt;0,ISNUMBER(D322),COUNTIF(Envelopes!$B$6:$B$21,C322)&gt;0,F322&lt;&gt;"",COUNTIF(Envelopes!$B$6:$B$21,F322)&gt;0),1,0)</f>
        <v/>
      </c>
      <c r="K322">
        <f>IF(I322=1,H322*10000+ROW(),"")</f>
        <v/>
      </c>
    </row>
    <row r="323">
      <c r="A323" s="1" t="n"/>
      <c r="B323" s="21" t="n"/>
      <c r="C323" s="23" t="n"/>
      <c r="D323" s="22" t="n"/>
      <c r="E323" s="24" t="n"/>
      <c r="F323" s="25" t="n"/>
      <c r="G323" s="18">
        <f>IF(AND(C323="",D323=""),"",IF(NOT(ISNUMBER(B323)),"Needs a date",IF(NOT(ISNUMBER(D323)),"Needs the amount",IF(C323="","Needs an envelope",IF(COUNTIF(Envelopes!$B$6:$B$21,C323)=0,"Not on Envelopes",IF(F323="",IF(D323=0,"Needs the amount",""),IF(COUNTIF(Envelopes!$B$6:$B$21,F323)=0,"Moved to: not on Envelopes",IF(D323&lt;=0,"A move needs an amount",IF(F323=C323,"Moved to the same envelope","")))))))))</f>
        <v/>
      </c>
      <c r="H323" s="1">
        <f>IF(ISNUMBER(B323),INT(B323),0)</f>
        <v/>
      </c>
      <c r="I323">
        <f>IF(AND(H323&gt;0,ISNUMBER(D323),COUNTIF(Envelopes!$B$6:$B$21,C323)&gt;0,F323=""),1,0)</f>
        <v/>
      </c>
      <c r="J323">
        <f>IF(AND(H323&gt;0,ISNUMBER(D323),COUNTIF(Envelopes!$B$6:$B$21,C323)&gt;0,F323&lt;&gt;"",COUNTIF(Envelopes!$B$6:$B$21,F323)&gt;0),1,0)</f>
        <v/>
      </c>
      <c r="K323">
        <f>IF(I323=1,H323*10000+ROW(),"")</f>
        <v/>
      </c>
    </row>
    <row r="324">
      <c r="A324" s="1" t="n"/>
      <c r="B324" s="21" t="n"/>
      <c r="C324" s="23" t="n"/>
      <c r="D324" s="22" t="n"/>
      <c r="E324" s="24" t="n"/>
      <c r="F324" s="25" t="n"/>
      <c r="G324" s="18">
        <f>IF(AND(C324="",D324=""),"",IF(NOT(ISNUMBER(B324)),"Needs a date",IF(NOT(ISNUMBER(D324)),"Needs the amount",IF(C324="","Needs an envelope",IF(COUNTIF(Envelopes!$B$6:$B$21,C324)=0,"Not on Envelopes",IF(F324="",IF(D324=0,"Needs the amount",""),IF(COUNTIF(Envelopes!$B$6:$B$21,F324)=0,"Moved to: not on Envelopes",IF(D324&lt;=0,"A move needs an amount",IF(F324=C324,"Moved to the same envelope","")))))))))</f>
        <v/>
      </c>
      <c r="H324" s="1">
        <f>IF(ISNUMBER(B324),INT(B324),0)</f>
        <v/>
      </c>
      <c r="I324">
        <f>IF(AND(H324&gt;0,ISNUMBER(D324),COUNTIF(Envelopes!$B$6:$B$21,C324)&gt;0,F324=""),1,0)</f>
        <v/>
      </c>
      <c r="J324">
        <f>IF(AND(H324&gt;0,ISNUMBER(D324),COUNTIF(Envelopes!$B$6:$B$21,C324)&gt;0,F324&lt;&gt;"",COUNTIF(Envelopes!$B$6:$B$21,F324)&gt;0),1,0)</f>
        <v/>
      </c>
      <c r="K324">
        <f>IF(I324=1,H324*10000+ROW(),"")</f>
        <v/>
      </c>
    </row>
    <row r="325">
      <c r="A325" s="1" t="n"/>
      <c r="B325" s="21" t="n"/>
      <c r="C325" s="23" t="n"/>
      <c r="D325" s="22" t="n"/>
      <c r="E325" s="24" t="n"/>
      <c r="F325" s="25" t="n"/>
      <c r="G325" s="18">
        <f>IF(AND(C325="",D325=""),"",IF(NOT(ISNUMBER(B325)),"Needs a date",IF(NOT(ISNUMBER(D325)),"Needs the amount",IF(C325="","Needs an envelope",IF(COUNTIF(Envelopes!$B$6:$B$21,C325)=0,"Not on Envelopes",IF(F325="",IF(D325=0,"Needs the amount",""),IF(COUNTIF(Envelopes!$B$6:$B$21,F325)=0,"Moved to: not on Envelopes",IF(D325&lt;=0,"A move needs an amount",IF(F325=C325,"Moved to the same envelope","")))))))))</f>
        <v/>
      </c>
      <c r="H325" s="1">
        <f>IF(ISNUMBER(B325),INT(B325),0)</f>
        <v/>
      </c>
      <c r="I325">
        <f>IF(AND(H325&gt;0,ISNUMBER(D325),COUNTIF(Envelopes!$B$6:$B$21,C325)&gt;0,F325=""),1,0)</f>
        <v/>
      </c>
      <c r="J325">
        <f>IF(AND(H325&gt;0,ISNUMBER(D325),COUNTIF(Envelopes!$B$6:$B$21,C325)&gt;0,F325&lt;&gt;"",COUNTIF(Envelopes!$B$6:$B$21,F325)&gt;0),1,0)</f>
        <v/>
      </c>
      <c r="K325">
        <f>IF(I325=1,H325*10000+ROW(),"")</f>
        <v/>
      </c>
    </row>
    <row r="326">
      <c r="A326" s="1" t="n"/>
      <c r="B326" s="21" t="n"/>
      <c r="C326" s="23" t="n"/>
      <c r="D326" s="22" t="n"/>
      <c r="E326" s="24" t="n"/>
      <c r="F326" s="25" t="n"/>
      <c r="G326" s="18">
        <f>IF(AND(C326="",D326=""),"",IF(NOT(ISNUMBER(B326)),"Needs a date",IF(NOT(ISNUMBER(D326)),"Needs the amount",IF(C326="","Needs an envelope",IF(COUNTIF(Envelopes!$B$6:$B$21,C326)=0,"Not on Envelopes",IF(F326="",IF(D326=0,"Needs the amount",""),IF(COUNTIF(Envelopes!$B$6:$B$21,F326)=0,"Moved to: not on Envelopes",IF(D326&lt;=0,"A move needs an amount",IF(F326=C326,"Moved to the same envelope","")))))))))</f>
        <v/>
      </c>
      <c r="H326" s="1">
        <f>IF(ISNUMBER(B326),INT(B326),0)</f>
        <v/>
      </c>
      <c r="I326">
        <f>IF(AND(H326&gt;0,ISNUMBER(D326),COUNTIF(Envelopes!$B$6:$B$21,C326)&gt;0,F326=""),1,0)</f>
        <v/>
      </c>
      <c r="J326">
        <f>IF(AND(H326&gt;0,ISNUMBER(D326),COUNTIF(Envelopes!$B$6:$B$21,C326)&gt;0,F326&lt;&gt;"",COUNTIF(Envelopes!$B$6:$B$21,F326)&gt;0),1,0)</f>
        <v/>
      </c>
      <c r="K326">
        <f>IF(I326=1,H326*10000+ROW(),"")</f>
        <v/>
      </c>
    </row>
    <row r="327">
      <c r="A327" s="1" t="n"/>
      <c r="B327" s="21" t="n"/>
      <c r="C327" s="23" t="n"/>
      <c r="D327" s="22" t="n"/>
      <c r="E327" s="24" t="n"/>
      <c r="F327" s="25" t="n"/>
      <c r="G327" s="18">
        <f>IF(AND(C327="",D327=""),"",IF(NOT(ISNUMBER(B327)),"Needs a date",IF(NOT(ISNUMBER(D327)),"Needs the amount",IF(C327="","Needs an envelope",IF(COUNTIF(Envelopes!$B$6:$B$21,C327)=0,"Not on Envelopes",IF(F327="",IF(D327=0,"Needs the amount",""),IF(COUNTIF(Envelopes!$B$6:$B$21,F327)=0,"Moved to: not on Envelopes",IF(D327&lt;=0,"A move needs an amount",IF(F327=C327,"Moved to the same envelope","")))))))))</f>
        <v/>
      </c>
      <c r="H327" s="1">
        <f>IF(ISNUMBER(B327),INT(B327),0)</f>
        <v/>
      </c>
      <c r="I327">
        <f>IF(AND(H327&gt;0,ISNUMBER(D327),COUNTIF(Envelopes!$B$6:$B$21,C327)&gt;0,F327=""),1,0)</f>
        <v/>
      </c>
      <c r="J327">
        <f>IF(AND(H327&gt;0,ISNUMBER(D327),COUNTIF(Envelopes!$B$6:$B$21,C327)&gt;0,F327&lt;&gt;"",COUNTIF(Envelopes!$B$6:$B$21,F327)&gt;0),1,0)</f>
        <v/>
      </c>
      <c r="K327">
        <f>IF(I327=1,H327*10000+ROW(),"")</f>
        <v/>
      </c>
    </row>
    <row r="328">
      <c r="A328" s="1" t="n"/>
      <c r="B328" s="21" t="n"/>
      <c r="C328" s="23" t="n"/>
      <c r="D328" s="22" t="n"/>
      <c r="E328" s="24" t="n"/>
      <c r="F328" s="25" t="n"/>
      <c r="G328" s="18">
        <f>IF(AND(C328="",D328=""),"",IF(NOT(ISNUMBER(B328)),"Needs a date",IF(NOT(ISNUMBER(D328)),"Needs the amount",IF(C328="","Needs an envelope",IF(COUNTIF(Envelopes!$B$6:$B$21,C328)=0,"Not on Envelopes",IF(F328="",IF(D328=0,"Needs the amount",""),IF(COUNTIF(Envelopes!$B$6:$B$21,F328)=0,"Moved to: not on Envelopes",IF(D328&lt;=0,"A move needs an amount",IF(F328=C328,"Moved to the same envelope","")))))))))</f>
        <v/>
      </c>
      <c r="H328" s="1">
        <f>IF(ISNUMBER(B328),INT(B328),0)</f>
        <v/>
      </c>
      <c r="I328">
        <f>IF(AND(H328&gt;0,ISNUMBER(D328),COUNTIF(Envelopes!$B$6:$B$21,C328)&gt;0,F328=""),1,0)</f>
        <v/>
      </c>
      <c r="J328">
        <f>IF(AND(H328&gt;0,ISNUMBER(D328),COUNTIF(Envelopes!$B$6:$B$21,C328)&gt;0,F328&lt;&gt;"",COUNTIF(Envelopes!$B$6:$B$21,F328)&gt;0),1,0)</f>
        <v/>
      </c>
      <c r="K328">
        <f>IF(I328=1,H328*10000+ROW(),"")</f>
        <v/>
      </c>
    </row>
    <row r="329">
      <c r="A329" s="1" t="n"/>
      <c r="B329" s="21" t="n"/>
      <c r="C329" s="23" t="n"/>
      <c r="D329" s="22" t="n"/>
      <c r="E329" s="24" t="n"/>
      <c r="F329" s="25" t="n"/>
      <c r="G329" s="18">
        <f>IF(AND(C329="",D329=""),"",IF(NOT(ISNUMBER(B329)),"Needs a date",IF(NOT(ISNUMBER(D329)),"Needs the amount",IF(C329="","Needs an envelope",IF(COUNTIF(Envelopes!$B$6:$B$21,C329)=0,"Not on Envelopes",IF(F329="",IF(D329=0,"Needs the amount",""),IF(COUNTIF(Envelopes!$B$6:$B$21,F329)=0,"Moved to: not on Envelopes",IF(D329&lt;=0,"A move needs an amount",IF(F329=C329,"Moved to the same envelope","")))))))))</f>
        <v/>
      </c>
      <c r="H329" s="1">
        <f>IF(ISNUMBER(B329),INT(B329),0)</f>
        <v/>
      </c>
      <c r="I329">
        <f>IF(AND(H329&gt;0,ISNUMBER(D329),COUNTIF(Envelopes!$B$6:$B$21,C329)&gt;0,F329=""),1,0)</f>
        <v/>
      </c>
      <c r="J329">
        <f>IF(AND(H329&gt;0,ISNUMBER(D329),COUNTIF(Envelopes!$B$6:$B$21,C329)&gt;0,F329&lt;&gt;"",COUNTIF(Envelopes!$B$6:$B$21,F329)&gt;0),1,0)</f>
        <v/>
      </c>
      <c r="K329">
        <f>IF(I329=1,H329*10000+ROW(),"")</f>
        <v/>
      </c>
    </row>
    <row r="330">
      <c r="A330" s="1" t="n"/>
      <c r="B330" s="21" t="n"/>
      <c r="C330" s="23" t="n"/>
      <c r="D330" s="22" t="n"/>
      <c r="E330" s="24" t="n"/>
      <c r="F330" s="25" t="n"/>
      <c r="G330" s="18">
        <f>IF(AND(C330="",D330=""),"",IF(NOT(ISNUMBER(B330)),"Needs a date",IF(NOT(ISNUMBER(D330)),"Needs the amount",IF(C330="","Needs an envelope",IF(COUNTIF(Envelopes!$B$6:$B$21,C330)=0,"Not on Envelopes",IF(F330="",IF(D330=0,"Needs the amount",""),IF(COUNTIF(Envelopes!$B$6:$B$21,F330)=0,"Moved to: not on Envelopes",IF(D330&lt;=0,"A move needs an amount",IF(F330=C330,"Moved to the same envelope","")))))))))</f>
        <v/>
      </c>
      <c r="H330" s="1">
        <f>IF(ISNUMBER(B330),INT(B330),0)</f>
        <v/>
      </c>
      <c r="I330">
        <f>IF(AND(H330&gt;0,ISNUMBER(D330),COUNTIF(Envelopes!$B$6:$B$21,C330)&gt;0,F330=""),1,0)</f>
        <v/>
      </c>
      <c r="J330">
        <f>IF(AND(H330&gt;0,ISNUMBER(D330),COUNTIF(Envelopes!$B$6:$B$21,C330)&gt;0,F330&lt;&gt;"",COUNTIF(Envelopes!$B$6:$B$21,F330)&gt;0),1,0)</f>
        <v/>
      </c>
      <c r="K330">
        <f>IF(I330=1,H330*10000+ROW(),"")</f>
        <v/>
      </c>
    </row>
    <row r="331">
      <c r="A331" s="1" t="n"/>
      <c r="B331" s="21" t="n"/>
      <c r="C331" s="23" t="n"/>
      <c r="D331" s="22" t="n"/>
      <c r="E331" s="24" t="n"/>
      <c r="F331" s="25" t="n"/>
      <c r="G331" s="18">
        <f>IF(AND(C331="",D331=""),"",IF(NOT(ISNUMBER(B331)),"Needs a date",IF(NOT(ISNUMBER(D331)),"Needs the amount",IF(C331="","Needs an envelope",IF(COUNTIF(Envelopes!$B$6:$B$21,C331)=0,"Not on Envelopes",IF(F331="",IF(D331=0,"Needs the amount",""),IF(COUNTIF(Envelopes!$B$6:$B$21,F331)=0,"Moved to: not on Envelopes",IF(D331&lt;=0,"A move needs an amount",IF(F331=C331,"Moved to the same envelope","")))))))))</f>
        <v/>
      </c>
      <c r="H331" s="1">
        <f>IF(ISNUMBER(B331),INT(B331),0)</f>
        <v/>
      </c>
      <c r="I331">
        <f>IF(AND(H331&gt;0,ISNUMBER(D331),COUNTIF(Envelopes!$B$6:$B$21,C331)&gt;0,F331=""),1,0)</f>
        <v/>
      </c>
      <c r="J331">
        <f>IF(AND(H331&gt;0,ISNUMBER(D331),COUNTIF(Envelopes!$B$6:$B$21,C331)&gt;0,F331&lt;&gt;"",COUNTIF(Envelopes!$B$6:$B$21,F331)&gt;0),1,0)</f>
        <v/>
      </c>
      <c r="K331">
        <f>IF(I331=1,H331*10000+ROW(),"")</f>
        <v/>
      </c>
    </row>
    <row r="332">
      <c r="A332" s="1" t="n"/>
      <c r="B332" s="21" t="n"/>
      <c r="C332" s="23" t="n"/>
      <c r="D332" s="22" t="n"/>
      <c r="E332" s="24" t="n"/>
      <c r="F332" s="25" t="n"/>
      <c r="G332" s="18">
        <f>IF(AND(C332="",D332=""),"",IF(NOT(ISNUMBER(B332)),"Needs a date",IF(NOT(ISNUMBER(D332)),"Needs the amount",IF(C332="","Needs an envelope",IF(COUNTIF(Envelopes!$B$6:$B$21,C332)=0,"Not on Envelopes",IF(F332="",IF(D332=0,"Needs the amount",""),IF(COUNTIF(Envelopes!$B$6:$B$21,F332)=0,"Moved to: not on Envelopes",IF(D332&lt;=0,"A move needs an amount",IF(F332=C332,"Moved to the same envelope","")))))))))</f>
        <v/>
      </c>
      <c r="H332" s="1">
        <f>IF(ISNUMBER(B332),INT(B332),0)</f>
        <v/>
      </c>
      <c r="I332">
        <f>IF(AND(H332&gt;0,ISNUMBER(D332),COUNTIF(Envelopes!$B$6:$B$21,C332)&gt;0,F332=""),1,0)</f>
        <v/>
      </c>
      <c r="J332">
        <f>IF(AND(H332&gt;0,ISNUMBER(D332),COUNTIF(Envelopes!$B$6:$B$21,C332)&gt;0,F332&lt;&gt;"",COUNTIF(Envelopes!$B$6:$B$21,F332)&gt;0),1,0)</f>
        <v/>
      </c>
      <c r="K332">
        <f>IF(I332=1,H332*10000+ROW(),"")</f>
        <v/>
      </c>
    </row>
    <row r="333">
      <c r="A333" s="1" t="n"/>
      <c r="B333" s="21" t="n"/>
      <c r="C333" s="23" t="n"/>
      <c r="D333" s="22" t="n"/>
      <c r="E333" s="24" t="n"/>
      <c r="F333" s="25" t="n"/>
      <c r="G333" s="18">
        <f>IF(AND(C333="",D333=""),"",IF(NOT(ISNUMBER(B333)),"Needs a date",IF(NOT(ISNUMBER(D333)),"Needs the amount",IF(C333="","Needs an envelope",IF(COUNTIF(Envelopes!$B$6:$B$21,C333)=0,"Not on Envelopes",IF(F333="",IF(D333=0,"Needs the amount",""),IF(COUNTIF(Envelopes!$B$6:$B$21,F333)=0,"Moved to: not on Envelopes",IF(D333&lt;=0,"A move needs an amount",IF(F333=C333,"Moved to the same envelope","")))))))))</f>
        <v/>
      </c>
      <c r="H333" s="1">
        <f>IF(ISNUMBER(B333),INT(B333),0)</f>
        <v/>
      </c>
      <c r="I333">
        <f>IF(AND(H333&gt;0,ISNUMBER(D333),COUNTIF(Envelopes!$B$6:$B$21,C333)&gt;0,F333=""),1,0)</f>
        <v/>
      </c>
      <c r="J333">
        <f>IF(AND(H333&gt;0,ISNUMBER(D333),COUNTIF(Envelopes!$B$6:$B$21,C333)&gt;0,F333&lt;&gt;"",COUNTIF(Envelopes!$B$6:$B$21,F333)&gt;0),1,0)</f>
        <v/>
      </c>
      <c r="K333">
        <f>IF(I333=1,H333*10000+ROW(),"")</f>
        <v/>
      </c>
    </row>
    <row r="334">
      <c r="A334" s="1" t="n"/>
      <c r="B334" s="21" t="n"/>
      <c r="C334" s="23" t="n"/>
      <c r="D334" s="22" t="n"/>
      <c r="E334" s="24" t="n"/>
      <c r="F334" s="25" t="n"/>
      <c r="G334" s="18">
        <f>IF(AND(C334="",D334=""),"",IF(NOT(ISNUMBER(B334)),"Needs a date",IF(NOT(ISNUMBER(D334)),"Needs the amount",IF(C334="","Needs an envelope",IF(COUNTIF(Envelopes!$B$6:$B$21,C334)=0,"Not on Envelopes",IF(F334="",IF(D334=0,"Needs the amount",""),IF(COUNTIF(Envelopes!$B$6:$B$21,F334)=0,"Moved to: not on Envelopes",IF(D334&lt;=0,"A move needs an amount",IF(F334=C334,"Moved to the same envelope","")))))))))</f>
        <v/>
      </c>
      <c r="H334" s="1">
        <f>IF(ISNUMBER(B334),INT(B334),0)</f>
        <v/>
      </c>
      <c r="I334">
        <f>IF(AND(H334&gt;0,ISNUMBER(D334),COUNTIF(Envelopes!$B$6:$B$21,C334)&gt;0,F334=""),1,0)</f>
        <v/>
      </c>
      <c r="J334">
        <f>IF(AND(H334&gt;0,ISNUMBER(D334),COUNTIF(Envelopes!$B$6:$B$21,C334)&gt;0,F334&lt;&gt;"",COUNTIF(Envelopes!$B$6:$B$21,F334)&gt;0),1,0)</f>
        <v/>
      </c>
      <c r="K334">
        <f>IF(I334=1,H334*10000+ROW(),"")</f>
        <v/>
      </c>
    </row>
    <row r="335">
      <c r="A335" s="1" t="n"/>
      <c r="B335" s="21" t="n"/>
      <c r="C335" s="23" t="n"/>
      <c r="D335" s="22" t="n"/>
      <c r="E335" s="24" t="n"/>
      <c r="F335" s="25" t="n"/>
      <c r="G335" s="18">
        <f>IF(AND(C335="",D335=""),"",IF(NOT(ISNUMBER(B335)),"Needs a date",IF(NOT(ISNUMBER(D335)),"Needs the amount",IF(C335="","Needs an envelope",IF(COUNTIF(Envelopes!$B$6:$B$21,C335)=0,"Not on Envelopes",IF(F335="",IF(D335=0,"Needs the amount",""),IF(COUNTIF(Envelopes!$B$6:$B$21,F335)=0,"Moved to: not on Envelopes",IF(D335&lt;=0,"A move needs an amount",IF(F335=C335,"Moved to the same envelope","")))))))))</f>
        <v/>
      </c>
      <c r="H335" s="1">
        <f>IF(ISNUMBER(B335),INT(B335),0)</f>
        <v/>
      </c>
      <c r="I335">
        <f>IF(AND(H335&gt;0,ISNUMBER(D335),COUNTIF(Envelopes!$B$6:$B$21,C335)&gt;0,F335=""),1,0)</f>
        <v/>
      </c>
      <c r="J335">
        <f>IF(AND(H335&gt;0,ISNUMBER(D335),COUNTIF(Envelopes!$B$6:$B$21,C335)&gt;0,F335&lt;&gt;"",COUNTIF(Envelopes!$B$6:$B$21,F335)&gt;0),1,0)</f>
        <v/>
      </c>
      <c r="K335">
        <f>IF(I335=1,H335*10000+ROW(),"")</f>
        <v/>
      </c>
    </row>
    <row r="336">
      <c r="A336" s="1" t="n"/>
      <c r="B336" s="21" t="n"/>
      <c r="C336" s="23" t="n"/>
      <c r="D336" s="22" t="n"/>
      <c r="E336" s="24" t="n"/>
      <c r="F336" s="25" t="n"/>
      <c r="G336" s="18">
        <f>IF(AND(C336="",D336=""),"",IF(NOT(ISNUMBER(B336)),"Needs a date",IF(NOT(ISNUMBER(D336)),"Needs the amount",IF(C336="","Needs an envelope",IF(COUNTIF(Envelopes!$B$6:$B$21,C336)=0,"Not on Envelopes",IF(F336="",IF(D336=0,"Needs the amount",""),IF(COUNTIF(Envelopes!$B$6:$B$21,F336)=0,"Moved to: not on Envelopes",IF(D336&lt;=0,"A move needs an amount",IF(F336=C336,"Moved to the same envelope","")))))))))</f>
        <v/>
      </c>
      <c r="H336" s="1">
        <f>IF(ISNUMBER(B336),INT(B336),0)</f>
        <v/>
      </c>
      <c r="I336">
        <f>IF(AND(H336&gt;0,ISNUMBER(D336),COUNTIF(Envelopes!$B$6:$B$21,C336)&gt;0,F336=""),1,0)</f>
        <v/>
      </c>
      <c r="J336">
        <f>IF(AND(H336&gt;0,ISNUMBER(D336),COUNTIF(Envelopes!$B$6:$B$21,C336)&gt;0,F336&lt;&gt;"",COUNTIF(Envelopes!$B$6:$B$21,F336)&gt;0),1,0)</f>
        <v/>
      </c>
      <c r="K336">
        <f>IF(I336=1,H336*10000+ROW(),"")</f>
        <v/>
      </c>
    </row>
    <row r="337">
      <c r="A337" s="1" t="n"/>
      <c r="B337" s="21" t="n"/>
      <c r="C337" s="23" t="n"/>
      <c r="D337" s="22" t="n"/>
      <c r="E337" s="24" t="n"/>
      <c r="F337" s="25" t="n"/>
      <c r="G337" s="18">
        <f>IF(AND(C337="",D337=""),"",IF(NOT(ISNUMBER(B337)),"Needs a date",IF(NOT(ISNUMBER(D337)),"Needs the amount",IF(C337="","Needs an envelope",IF(COUNTIF(Envelopes!$B$6:$B$21,C337)=0,"Not on Envelopes",IF(F337="",IF(D337=0,"Needs the amount",""),IF(COUNTIF(Envelopes!$B$6:$B$21,F337)=0,"Moved to: not on Envelopes",IF(D337&lt;=0,"A move needs an amount",IF(F337=C337,"Moved to the same envelope","")))))))))</f>
        <v/>
      </c>
      <c r="H337" s="1">
        <f>IF(ISNUMBER(B337),INT(B337),0)</f>
        <v/>
      </c>
      <c r="I337">
        <f>IF(AND(H337&gt;0,ISNUMBER(D337),COUNTIF(Envelopes!$B$6:$B$21,C337)&gt;0,F337=""),1,0)</f>
        <v/>
      </c>
      <c r="J337">
        <f>IF(AND(H337&gt;0,ISNUMBER(D337),COUNTIF(Envelopes!$B$6:$B$21,C337)&gt;0,F337&lt;&gt;"",COUNTIF(Envelopes!$B$6:$B$21,F337)&gt;0),1,0)</f>
        <v/>
      </c>
      <c r="K337">
        <f>IF(I337=1,H337*10000+ROW(),"")</f>
        <v/>
      </c>
    </row>
    <row r="338">
      <c r="A338" s="1" t="n"/>
      <c r="B338" s="21" t="n"/>
      <c r="C338" s="23" t="n"/>
      <c r="D338" s="22" t="n"/>
      <c r="E338" s="24" t="n"/>
      <c r="F338" s="25" t="n"/>
      <c r="G338" s="18">
        <f>IF(AND(C338="",D338=""),"",IF(NOT(ISNUMBER(B338)),"Needs a date",IF(NOT(ISNUMBER(D338)),"Needs the amount",IF(C338="","Needs an envelope",IF(COUNTIF(Envelopes!$B$6:$B$21,C338)=0,"Not on Envelopes",IF(F338="",IF(D338=0,"Needs the amount",""),IF(COUNTIF(Envelopes!$B$6:$B$21,F338)=0,"Moved to: not on Envelopes",IF(D338&lt;=0,"A move needs an amount",IF(F338=C338,"Moved to the same envelope","")))))))))</f>
        <v/>
      </c>
      <c r="H338" s="1">
        <f>IF(ISNUMBER(B338),INT(B338),0)</f>
        <v/>
      </c>
      <c r="I338">
        <f>IF(AND(H338&gt;0,ISNUMBER(D338),COUNTIF(Envelopes!$B$6:$B$21,C338)&gt;0,F338=""),1,0)</f>
        <v/>
      </c>
      <c r="J338">
        <f>IF(AND(H338&gt;0,ISNUMBER(D338),COUNTIF(Envelopes!$B$6:$B$21,C338)&gt;0,F338&lt;&gt;"",COUNTIF(Envelopes!$B$6:$B$21,F338)&gt;0),1,0)</f>
        <v/>
      </c>
      <c r="K338">
        <f>IF(I338=1,H338*10000+ROW(),"")</f>
        <v/>
      </c>
    </row>
    <row r="339">
      <c r="A339" s="1" t="n"/>
      <c r="B339" s="21" t="n"/>
      <c r="C339" s="23" t="n"/>
      <c r="D339" s="22" t="n"/>
      <c r="E339" s="24" t="n"/>
      <c r="F339" s="25" t="n"/>
      <c r="G339" s="18">
        <f>IF(AND(C339="",D339=""),"",IF(NOT(ISNUMBER(B339)),"Needs a date",IF(NOT(ISNUMBER(D339)),"Needs the amount",IF(C339="","Needs an envelope",IF(COUNTIF(Envelopes!$B$6:$B$21,C339)=0,"Not on Envelopes",IF(F339="",IF(D339=0,"Needs the amount",""),IF(COUNTIF(Envelopes!$B$6:$B$21,F339)=0,"Moved to: not on Envelopes",IF(D339&lt;=0,"A move needs an amount",IF(F339=C339,"Moved to the same envelope","")))))))))</f>
        <v/>
      </c>
      <c r="H339" s="1">
        <f>IF(ISNUMBER(B339),INT(B339),0)</f>
        <v/>
      </c>
      <c r="I339">
        <f>IF(AND(H339&gt;0,ISNUMBER(D339),COUNTIF(Envelopes!$B$6:$B$21,C339)&gt;0,F339=""),1,0)</f>
        <v/>
      </c>
      <c r="J339">
        <f>IF(AND(H339&gt;0,ISNUMBER(D339),COUNTIF(Envelopes!$B$6:$B$21,C339)&gt;0,F339&lt;&gt;"",COUNTIF(Envelopes!$B$6:$B$21,F339)&gt;0),1,0)</f>
        <v/>
      </c>
      <c r="K339">
        <f>IF(I339=1,H339*10000+ROW(),"")</f>
        <v/>
      </c>
    </row>
    <row r="340">
      <c r="A340" s="1" t="n"/>
      <c r="B340" s="21" t="n"/>
      <c r="C340" s="23" t="n"/>
      <c r="D340" s="22" t="n"/>
      <c r="E340" s="24" t="n"/>
      <c r="F340" s="25" t="n"/>
      <c r="G340" s="18">
        <f>IF(AND(C340="",D340=""),"",IF(NOT(ISNUMBER(B340)),"Needs a date",IF(NOT(ISNUMBER(D340)),"Needs the amount",IF(C340="","Needs an envelope",IF(COUNTIF(Envelopes!$B$6:$B$21,C340)=0,"Not on Envelopes",IF(F340="",IF(D340=0,"Needs the amount",""),IF(COUNTIF(Envelopes!$B$6:$B$21,F340)=0,"Moved to: not on Envelopes",IF(D340&lt;=0,"A move needs an amount",IF(F340=C340,"Moved to the same envelope","")))))))))</f>
        <v/>
      </c>
      <c r="H340" s="1">
        <f>IF(ISNUMBER(B340),INT(B340),0)</f>
        <v/>
      </c>
      <c r="I340">
        <f>IF(AND(H340&gt;0,ISNUMBER(D340),COUNTIF(Envelopes!$B$6:$B$21,C340)&gt;0,F340=""),1,0)</f>
        <v/>
      </c>
      <c r="J340">
        <f>IF(AND(H340&gt;0,ISNUMBER(D340),COUNTIF(Envelopes!$B$6:$B$21,C340)&gt;0,F340&lt;&gt;"",COUNTIF(Envelopes!$B$6:$B$21,F340)&gt;0),1,0)</f>
        <v/>
      </c>
      <c r="K340">
        <f>IF(I340=1,H340*10000+ROW(),"")</f>
        <v/>
      </c>
    </row>
    <row r="341">
      <c r="A341" s="1" t="n"/>
      <c r="B341" s="21" t="n"/>
      <c r="C341" s="23" t="n"/>
      <c r="D341" s="22" t="n"/>
      <c r="E341" s="24" t="n"/>
      <c r="F341" s="25" t="n"/>
      <c r="G341" s="18">
        <f>IF(AND(C341="",D341=""),"",IF(NOT(ISNUMBER(B341)),"Needs a date",IF(NOT(ISNUMBER(D341)),"Needs the amount",IF(C341="","Needs an envelope",IF(COUNTIF(Envelopes!$B$6:$B$21,C341)=0,"Not on Envelopes",IF(F341="",IF(D341=0,"Needs the amount",""),IF(COUNTIF(Envelopes!$B$6:$B$21,F341)=0,"Moved to: not on Envelopes",IF(D341&lt;=0,"A move needs an amount",IF(F341=C341,"Moved to the same envelope","")))))))))</f>
        <v/>
      </c>
      <c r="H341" s="1">
        <f>IF(ISNUMBER(B341),INT(B341),0)</f>
        <v/>
      </c>
      <c r="I341">
        <f>IF(AND(H341&gt;0,ISNUMBER(D341),COUNTIF(Envelopes!$B$6:$B$21,C341)&gt;0,F341=""),1,0)</f>
        <v/>
      </c>
      <c r="J341">
        <f>IF(AND(H341&gt;0,ISNUMBER(D341),COUNTIF(Envelopes!$B$6:$B$21,C341)&gt;0,F341&lt;&gt;"",COUNTIF(Envelopes!$B$6:$B$21,F341)&gt;0),1,0)</f>
        <v/>
      </c>
      <c r="K341">
        <f>IF(I341=1,H341*10000+ROW(),"")</f>
        <v/>
      </c>
    </row>
    <row r="342">
      <c r="A342" s="1" t="n"/>
      <c r="B342" s="21" t="n"/>
      <c r="C342" s="23" t="n"/>
      <c r="D342" s="22" t="n"/>
      <c r="E342" s="24" t="n"/>
      <c r="F342" s="25" t="n"/>
      <c r="G342" s="18">
        <f>IF(AND(C342="",D342=""),"",IF(NOT(ISNUMBER(B342)),"Needs a date",IF(NOT(ISNUMBER(D342)),"Needs the amount",IF(C342="","Needs an envelope",IF(COUNTIF(Envelopes!$B$6:$B$21,C342)=0,"Not on Envelopes",IF(F342="",IF(D342=0,"Needs the amount",""),IF(COUNTIF(Envelopes!$B$6:$B$21,F342)=0,"Moved to: not on Envelopes",IF(D342&lt;=0,"A move needs an amount",IF(F342=C342,"Moved to the same envelope","")))))))))</f>
        <v/>
      </c>
      <c r="H342" s="1">
        <f>IF(ISNUMBER(B342),INT(B342),0)</f>
        <v/>
      </c>
      <c r="I342">
        <f>IF(AND(H342&gt;0,ISNUMBER(D342),COUNTIF(Envelopes!$B$6:$B$21,C342)&gt;0,F342=""),1,0)</f>
        <v/>
      </c>
      <c r="J342">
        <f>IF(AND(H342&gt;0,ISNUMBER(D342),COUNTIF(Envelopes!$B$6:$B$21,C342)&gt;0,F342&lt;&gt;"",COUNTIF(Envelopes!$B$6:$B$21,F342)&gt;0),1,0)</f>
        <v/>
      </c>
      <c r="K342">
        <f>IF(I342=1,H342*10000+ROW(),"")</f>
        <v/>
      </c>
    </row>
    <row r="343">
      <c r="A343" s="1" t="n"/>
      <c r="B343" s="21" t="n"/>
      <c r="C343" s="23" t="n"/>
      <c r="D343" s="22" t="n"/>
      <c r="E343" s="24" t="n"/>
      <c r="F343" s="25" t="n"/>
      <c r="G343" s="18">
        <f>IF(AND(C343="",D343=""),"",IF(NOT(ISNUMBER(B343)),"Needs a date",IF(NOT(ISNUMBER(D343)),"Needs the amount",IF(C343="","Needs an envelope",IF(COUNTIF(Envelopes!$B$6:$B$21,C343)=0,"Not on Envelopes",IF(F343="",IF(D343=0,"Needs the amount",""),IF(COUNTIF(Envelopes!$B$6:$B$21,F343)=0,"Moved to: not on Envelopes",IF(D343&lt;=0,"A move needs an amount",IF(F343=C343,"Moved to the same envelope","")))))))))</f>
        <v/>
      </c>
      <c r="H343" s="1">
        <f>IF(ISNUMBER(B343),INT(B343),0)</f>
        <v/>
      </c>
      <c r="I343">
        <f>IF(AND(H343&gt;0,ISNUMBER(D343),COUNTIF(Envelopes!$B$6:$B$21,C343)&gt;0,F343=""),1,0)</f>
        <v/>
      </c>
      <c r="J343">
        <f>IF(AND(H343&gt;0,ISNUMBER(D343),COUNTIF(Envelopes!$B$6:$B$21,C343)&gt;0,F343&lt;&gt;"",COUNTIF(Envelopes!$B$6:$B$21,F343)&gt;0),1,0)</f>
        <v/>
      </c>
      <c r="K343">
        <f>IF(I343=1,H343*10000+ROW(),"")</f>
        <v/>
      </c>
    </row>
    <row r="344">
      <c r="A344" s="1" t="n"/>
      <c r="B344" s="21" t="n"/>
      <c r="C344" s="23" t="n"/>
      <c r="D344" s="22" t="n"/>
      <c r="E344" s="24" t="n"/>
      <c r="F344" s="25" t="n"/>
      <c r="G344" s="18">
        <f>IF(AND(C344="",D344=""),"",IF(NOT(ISNUMBER(B344)),"Needs a date",IF(NOT(ISNUMBER(D344)),"Needs the amount",IF(C344="","Needs an envelope",IF(COUNTIF(Envelopes!$B$6:$B$21,C344)=0,"Not on Envelopes",IF(F344="",IF(D344=0,"Needs the amount",""),IF(COUNTIF(Envelopes!$B$6:$B$21,F344)=0,"Moved to: not on Envelopes",IF(D344&lt;=0,"A move needs an amount",IF(F344=C344,"Moved to the same envelope","")))))))))</f>
        <v/>
      </c>
      <c r="H344" s="1">
        <f>IF(ISNUMBER(B344),INT(B344),0)</f>
        <v/>
      </c>
      <c r="I344">
        <f>IF(AND(H344&gt;0,ISNUMBER(D344),COUNTIF(Envelopes!$B$6:$B$21,C344)&gt;0,F344=""),1,0)</f>
        <v/>
      </c>
      <c r="J344">
        <f>IF(AND(H344&gt;0,ISNUMBER(D344),COUNTIF(Envelopes!$B$6:$B$21,C344)&gt;0,F344&lt;&gt;"",COUNTIF(Envelopes!$B$6:$B$21,F344)&gt;0),1,0)</f>
        <v/>
      </c>
      <c r="K344">
        <f>IF(I344=1,H344*10000+ROW(),"")</f>
        <v/>
      </c>
    </row>
    <row r="345">
      <c r="A345" s="1" t="n"/>
      <c r="B345" s="21" t="n"/>
      <c r="C345" s="23" t="n"/>
      <c r="D345" s="22" t="n"/>
      <c r="E345" s="24" t="n"/>
      <c r="F345" s="25" t="n"/>
      <c r="G345" s="18">
        <f>IF(AND(C345="",D345=""),"",IF(NOT(ISNUMBER(B345)),"Needs a date",IF(NOT(ISNUMBER(D345)),"Needs the amount",IF(C345="","Needs an envelope",IF(COUNTIF(Envelopes!$B$6:$B$21,C345)=0,"Not on Envelopes",IF(F345="",IF(D345=0,"Needs the amount",""),IF(COUNTIF(Envelopes!$B$6:$B$21,F345)=0,"Moved to: not on Envelopes",IF(D345&lt;=0,"A move needs an amount",IF(F345=C345,"Moved to the same envelope","")))))))))</f>
        <v/>
      </c>
      <c r="H345" s="1">
        <f>IF(ISNUMBER(B345),INT(B345),0)</f>
        <v/>
      </c>
      <c r="I345">
        <f>IF(AND(H345&gt;0,ISNUMBER(D345),COUNTIF(Envelopes!$B$6:$B$21,C345)&gt;0,F345=""),1,0)</f>
        <v/>
      </c>
      <c r="J345">
        <f>IF(AND(H345&gt;0,ISNUMBER(D345),COUNTIF(Envelopes!$B$6:$B$21,C345)&gt;0,F345&lt;&gt;"",COUNTIF(Envelopes!$B$6:$B$21,F345)&gt;0),1,0)</f>
        <v/>
      </c>
      <c r="K345">
        <f>IF(I345=1,H345*10000+ROW(),"")</f>
        <v/>
      </c>
    </row>
    <row r="346">
      <c r="A346" s="1" t="n"/>
      <c r="B346" s="21" t="n"/>
      <c r="C346" s="23" t="n"/>
      <c r="D346" s="22" t="n"/>
      <c r="E346" s="24" t="n"/>
      <c r="F346" s="25" t="n"/>
      <c r="G346" s="18">
        <f>IF(AND(C346="",D346=""),"",IF(NOT(ISNUMBER(B346)),"Needs a date",IF(NOT(ISNUMBER(D346)),"Needs the amount",IF(C346="","Needs an envelope",IF(COUNTIF(Envelopes!$B$6:$B$21,C346)=0,"Not on Envelopes",IF(F346="",IF(D346=0,"Needs the amount",""),IF(COUNTIF(Envelopes!$B$6:$B$21,F346)=0,"Moved to: not on Envelopes",IF(D346&lt;=0,"A move needs an amount",IF(F346=C346,"Moved to the same envelope","")))))))))</f>
        <v/>
      </c>
      <c r="H346" s="1">
        <f>IF(ISNUMBER(B346),INT(B346),0)</f>
        <v/>
      </c>
      <c r="I346">
        <f>IF(AND(H346&gt;0,ISNUMBER(D346),COUNTIF(Envelopes!$B$6:$B$21,C346)&gt;0,F346=""),1,0)</f>
        <v/>
      </c>
      <c r="J346">
        <f>IF(AND(H346&gt;0,ISNUMBER(D346),COUNTIF(Envelopes!$B$6:$B$21,C346)&gt;0,F346&lt;&gt;"",COUNTIF(Envelopes!$B$6:$B$21,F346)&gt;0),1,0)</f>
        <v/>
      </c>
      <c r="K346">
        <f>IF(I346=1,H346*10000+ROW(),"")</f>
        <v/>
      </c>
    </row>
    <row r="347">
      <c r="A347" s="1" t="n"/>
      <c r="B347" s="21" t="n"/>
      <c r="C347" s="23" t="n"/>
      <c r="D347" s="22" t="n"/>
      <c r="E347" s="24" t="n"/>
      <c r="F347" s="25" t="n"/>
      <c r="G347" s="18">
        <f>IF(AND(C347="",D347=""),"",IF(NOT(ISNUMBER(B347)),"Needs a date",IF(NOT(ISNUMBER(D347)),"Needs the amount",IF(C347="","Needs an envelope",IF(COUNTIF(Envelopes!$B$6:$B$21,C347)=0,"Not on Envelopes",IF(F347="",IF(D347=0,"Needs the amount",""),IF(COUNTIF(Envelopes!$B$6:$B$21,F347)=0,"Moved to: not on Envelopes",IF(D347&lt;=0,"A move needs an amount",IF(F347=C347,"Moved to the same envelope","")))))))))</f>
        <v/>
      </c>
      <c r="H347" s="1">
        <f>IF(ISNUMBER(B347),INT(B347),0)</f>
        <v/>
      </c>
      <c r="I347">
        <f>IF(AND(H347&gt;0,ISNUMBER(D347),COUNTIF(Envelopes!$B$6:$B$21,C347)&gt;0,F347=""),1,0)</f>
        <v/>
      </c>
      <c r="J347">
        <f>IF(AND(H347&gt;0,ISNUMBER(D347),COUNTIF(Envelopes!$B$6:$B$21,C347)&gt;0,F347&lt;&gt;"",COUNTIF(Envelopes!$B$6:$B$21,F347)&gt;0),1,0)</f>
        <v/>
      </c>
      <c r="K347">
        <f>IF(I347=1,H347*10000+ROW(),"")</f>
        <v/>
      </c>
    </row>
    <row r="348">
      <c r="A348" s="1" t="n"/>
      <c r="B348" s="21" t="n"/>
      <c r="C348" s="23" t="n"/>
      <c r="D348" s="22" t="n"/>
      <c r="E348" s="24" t="n"/>
      <c r="F348" s="25" t="n"/>
      <c r="G348" s="18">
        <f>IF(AND(C348="",D348=""),"",IF(NOT(ISNUMBER(B348)),"Needs a date",IF(NOT(ISNUMBER(D348)),"Needs the amount",IF(C348="","Needs an envelope",IF(COUNTIF(Envelopes!$B$6:$B$21,C348)=0,"Not on Envelopes",IF(F348="",IF(D348=0,"Needs the amount",""),IF(COUNTIF(Envelopes!$B$6:$B$21,F348)=0,"Moved to: not on Envelopes",IF(D348&lt;=0,"A move needs an amount",IF(F348=C348,"Moved to the same envelope","")))))))))</f>
        <v/>
      </c>
      <c r="H348" s="1">
        <f>IF(ISNUMBER(B348),INT(B348),0)</f>
        <v/>
      </c>
      <c r="I348">
        <f>IF(AND(H348&gt;0,ISNUMBER(D348),COUNTIF(Envelopes!$B$6:$B$21,C348)&gt;0,F348=""),1,0)</f>
        <v/>
      </c>
      <c r="J348">
        <f>IF(AND(H348&gt;0,ISNUMBER(D348),COUNTIF(Envelopes!$B$6:$B$21,C348)&gt;0,F348&lt;&gt;"",COUNTIF(Envelopes!$B$6:$B$21,F348)&gt;0),1,0)</f>
        <v/>
      </c>
      <c r="K348">
        <f>IF(I348=1,H348*10000+ROW(),"")</f>
        <v/>
      </c>
    </row>
    <row r="349">
      <c r="A349" s="1" t="n"/>
      <c r="B349" s="21" t="n"/>
      <c r="C349" s="23" t="n"/>
      <c r="D349" s="22" t="n"/>
      <c r="E349" s="24" t="n"/>
      <c r="F349" s="25" t="n"/>
      <c r="G349" s="18">
        <f>IF(AND(C349="",D349=""),"",IF(NOT(ISNUMBER(B349)),"Needs a date",IF(NOT(ISNUMBER(D349)),"Needs the amount",IF(C349="","Needs an envelope",IF(COUNTIF(Envelopes!$B$6:$B$21,C349)=0,"Not on Envelopes",IF(F349="",IF(D349=0,"Needs the amount",""),IF(COUNTIF(Envelopes!$B$6:$B$21,F349)=0,"Moved to: not on Envelopes",IF(D349&lt;=0,"A move needs an amount",IF(F349=C349,"Moved to the same envelope","")))))))))</f>
        <v/>
      </c>
      <c r="H349" s="1">
        <f>IF(ISNUMBER(B349),INT(B349),0)</f>
        <v/>
      </c>
      <c r="I349">
        <f>IF(AND(H349&gt;0,ISNUMBER(D349),COUNTIF(Envelopes!$B$6:$B$21,C349)&gt;0,F349=""),1,0)</f>
        <v/>
      </c>
      <c r="J349">
        <f>IF(AND(H349&gt;0,ISNUMBER(D349),COUNTIF(Envelopes!$B$6:$B$21,C349)&gt;0,F349&lt;&gt;"",COUNTIF(Envelopes!$B$6:$B$21,F349)&gt;0),1,0)</f>
        <v/>
      </c>
      <c r="K349">
        <f>IF(I349=1,H349*10000+ROW(),"")</f>
        <v/>
      </c>
    </row>
    <row r="350">
      <c r="A350" s="1" t="n"/>
      <c r="B350" s="21" t="n"/>
      <c r="C350" s="23" t="n"/>
      <c r="D350" s="22" t="n"/>
      <c r="E350" s="24" t="n"/>
      <c r="F350" s="25" t="n"/>
      <c r="G350" s="18">
        <f>IF(AND(C350="",D350=""),"",IF(NOT(ISNUMBER(B350)),"Needs a date",IF(NOT(ISNUMBER(D350)),"Needs the amount",IF(C350="","Needs an envelope",IF(COUNTIF(Envelopes!$B$6:$B$21,C350)=0,"Not on Envelopes",IF(F350="",IF(D350=0,"Needs the amount",""),IF(COUNTIF(Envelopes!$B$6:$B$21,F350)=0,"Moved to: not on Envelopes",IF(D350&lt;=0,"A move needs an amount",IF(F350=C350,"Moved to the same envelope","")))))))))</f>
        <v/>
      </c>
      <c r="H350" s="1">
        <f>IF(ISNUMBER(B350),INT(B350),0)</f>
        <v/>
      </c>
      <c r="I350">
        <f>IF(AND(H350&gt;0,ISNUMBER(D350),COUNTIF(Envelopes!$B$6:$B$21,C350)&gt;0,F350=""),1,0)</f>
        <v/>
      </c>
      <c r="J350">
        <f>IF(AND(H350&gt;0,ISNUMBER(D350),COUNTIF(Envelopes!$B$6:$B$21,C350)&gt;0,F350&lt;&gt;"",COUNTIF(Envelopes!$B$6:$B$21,F350)&gt;0),1,0)</f>
        <v/>
      </c>
      <c r="K350">
        <f>IF(I350=1,H350*10000+ROW(),"")</f>
        <v/>
      </c>
    </row>
    <row r="351">
      <c r="A351" s="1" t="n"/>
      <c r="B351" s="21" t="n"/>
      <c r="C351" s="23" t="n"/>
      <c r="D351" s="22" t="n"/>
      <c r="E351" s="24" t="n"/>
      <c r="F351" s="25" t="n"/>
      <c r="G351" s="18">
        <f>IF(AND(C351="",D351=""),"",IF(NOT(ISNUMBER(B351)),"Needs a date",IF(NOT(ISNUMBER(D351)),"Needs the amount",IF(C351="","Needs an envelope",IF(COUNTIF(Envelopes!$B$6:$B$21,C351)=0,"Not on Envelopes",IF(F351="",IF(D351=0,"Needs the amount",""),IF(COUNTIF(Envelopes!$B$6:$B$21,F351)=0,"Moved to: not on Envelopes",IF(D351&lt;=0,"A move needs an amount",IF(F351=C351,"Moved to the same envelope","")))))))))</f>
        <v/>
      </c>
      <c r="H351" s="1">
        <f>IF(ISNUMBER(B351),INT(B351),0)</f>
        <v/>
      </c>
      <c r="I351">
        <f>IF(AND(H351&gt;0,ISNUMBER(D351),COUNTIF(Envelopes!$B$6:$B$21,C351)&gt;0,F351=""),1,0)</f>
        <v/>
      </c>
      <c r="J351">
        <f>IF(AND(H351&gt;0,ISNUMBER(D351),COUNTIF(Envelopes!$B$6:$B$21,C351)&gt;0,F351&lt;&gt;"",COUNTIF(Envelopes!$B$6:$B$21,F351)&gt;0),1,0)</f>
        <v/>
      </c>
      <c r="K351">
        <f>IF(I351=1,H351*10000+ROW(),"")</f>
        <v/>
      </c>
    </row>
    <row r="352">
      <c r="A352" s="1" t="n"/>
      <c r="B352" s="21" t="n"/>
      <c r="C352" s="23" t="n"/>
      <c r="D352" s="22" t="n"/>
      <c r="E352" s="24" t="n"/>
      <c r="F352" s="25" t="n"/>
      <c r="G352" s="18">
        <f>IF(AND(C352="",D352=""),"",IF(NOT(ISNUMBER(B352)),"Needs a date",IF(NOT(ISNUMBER(D352)),"Needs the amount",IF(C352="","Needs an envelope",IF(COUNTIF(Envelopes!$B$6:$B$21,C352)=0,"Not on Envelopes",IF(F352="",IF(D352=0,"Needs the amount",""),IF(COUNTIF(Envelopes!$B$6:$B$21,F352)=0,"Moved to: not on Envelopes",IF(D352&lt;=0,"A move needs an amount",IF(F352=C352,"Moved to the same envelope","")))))))))</f>
        <v/>
      </c>
      <c r="H352" s="1">
        <f>IF(ISNUMBER(B352),INT(B352),0)</f>
        <v/>
      </c>
      <c r="I352">
        <f>IF(AND(H352&gt;0,ISNUMBER(D352),COUNTIF(Envelopes!$B$6:$B$21,C352)&gt;0,F352=""),1,0)</f>
        <v/>
      </c>
      <c r="J352">
        <f>IF(AND(H352&gt;0,ISNUMBER(D352),COUNTIF(Envelopes!$B$6:$B$21,C352)&gt;0,F352&lt;&gt;"",COUNTIF(Envelopes!$B$6:$B$21,F352)&gt;0),1,0)</f>
        <v/>
      </c>
      <c r="K352">
        <f>IF(I352=1,H352*10000+ROW(),"")</f>
        <v/>
      </c>
    </row>
    <row r="353">
      <c r="A353" s="1" t="n"/>
      <c r="B353" s="21" t="n"/>
      <c r="C353" s="23" t="n"/>
      <c r="D353" s="22" t="n"/>
      <c r="E353" s="24" t="n"/>
      <c r="F353" s="25" t="n"/>
      <c r="G353" s="18">
        <f>IF(AND(C353="",D353=""),"",IF(NOT(ISNUMBER(B353)),"Needs a date",IF(NOT(ISNUMBER(D353)),"Needs the amount",IF(C353="","Needs an envelope",IF(COUNTIF(Envelopes!$B$6:$B$21,C353)=0,"Not on Envelopes",IF(F353="",IF(D353=0,"Needs the amount",""),IF(COUNTIF(Envelopes!$B$6:$B$21,F353)=0,"Moved to: not on Envelopes",IF(D353&lt;=0,"A move needs an amount",IF(F353=C353,"Moved to the same envelope","")))))))))</f>
        <v/>
      </c>
      <c r="H353" s="1">
        <f>IF(ISNUMBER(B353),INT(B353),0)</f>
        <v/>
      </c>
      <c r="I353">
        <f>IF(AND(H353&gt;0,ISNUMBER(D353),COUNTIF(Envelopes!$B$6:$B$21,C353)&gt;0,F353=""),1,0)</f>
        <v/>
      </c>
      <c r="J353">
        <f>IF(AND(H353&gt;0,ISNUMBER(D353),COUNTIF(Envelopes!$B$6:$B$21,C353)&gt;0,F353&lt;&gt;"",COUNTIF(Envelopes!$B$6:$B$21,F353)&gt;0),1,0)</f>
        <v/>
      </c>
      <c r="K353">
        <f>IF(I353=1,H353*10000+ROW(),"")</f>
        <v/>
      </c>
    </row>
    <row r="354">
      <c r="A354" s="1" t="n"/>
      <c r="B354" s="21" t="n"/>
      <c r="C354" s="23" t="n"/>
      <c r="D354" s="22" t="n"/>
      <c r="E354" s="24" t="n"/>
      <c r="F354" s="25" t="n"/>
      <c r="G354" s="18">
        <f>IF(AND(C354="",D354=""),"",IF(NOT(ISNUMBER(B354)),"Needs a date",IF(NOT(ISNUMBER(D354)),"Needs the amount",IF(C354="","Needs an envelope",IF(COUNTIF(Envelopes!$B$6:$B$21,C354)=0,"Not on Envelopes",IF(F354="",IF(D354=0,"Needs the amount",""),IF(COUNTIF(Envelopes!$B$6:$B$21,F354)=0,"Moved to: not on Envelopes",IF(D354&lt;=0,"A move needs an amount",IF(F354=C354,"Moved to the same envelope","")))))))))</f>
        <v/>
      </c>
      <c r="H354" s="1">
        <f>IF(ISNUMBER(B354),INT(B354),0)</f>
        <v/>
      </c>
      <c r="I354">
        <f>IF(AND(H354&gt;0,ISNUMBER(D354),COUNTIF(Envelopes!$B$6:$B$21,C354)&gt;0,F354=""),1,0)</f>
        <v/>
      </c>
      <c r="J354">
        <f>IF(AND(H354&gt;0,ISNUMBER(D354),COUNTIF(Envelopes!$B$6:$B$21,C354)&gt;0,F354&lt;&gt;"",COUNTIF(Envelopes!$B$6:$B$21,F354)&gt;0),1,0)</f>
        <v/>
      </c>
      <c r="K354">
        <f>IF(I354=1,H354*10000+ROW(),"")</f>
        <v/>
      </c>
    </row>
    <row r="355">
      <c r="A355" s="1" t="n"/>
      <c r="B355" s="21" t="n"/>
      <c r="C355" s="23" t="n"/>
      <c r="D355" s="22" t="n"/>
      <c r="E355" s="24" t="n"/>
      <c r="F355" s="25" t="n"/>
      <c r="G355" s="18">
        <f>IF(AND(C355="",D355=""),"",IF(NOT(ISNUMBER(B355)),"Needs a date",IF(NOT(ISNUMBER(D355)),"Needs the amount",IF(C355="","Needs an envelope",IF(COUNTIF(Envelopes!$B$6:$B$21,C355)=0,"Not on Envelopes",IF(F355="",IF(D355=0,"Needs the amount",""),IF(COUNTIF(Envelopes!$B$6:$B$21,F355)=0,"Moved to: not on Envelopes",IF(D355&lt;=0,"A move needs an amount",IF(F355=C355,"Moved to the same envelope","")))))))))</f>
        <v/>
      </c>
      <c r="H355" s="1">
        <f>IF(ISNUMBER(B355),INT(B355),0)</f>
        <v/>
      </c>
      <c r="I355">
        <f>IF(AND(H355&gt;0,ISNUMBER(D355),COUNTIF(Envelopes!$B$6:$B$21,C355)&gt;0,F355=""),1,0)</f>
        <v/>
      </c>
      <c r="J355">
        <f>IF(AND(H355&gt;0,ISNUMBER(D355),COUNTIF(Envelopes!$B$6:$B$21,C355)&gt;0,F355&lt;&gt;"",COUNTIF(Envelopes!$B$6:$B$21,F355)&gt;0),1,0)</f>
        <v/>
      </c>
      <c r="K355">
        <f>IF(I355=1,H355*10000+ROW(),"")</f>
        <v/>
      </c>
    </row>
    <row r="356">
      <c r="A356" s="1" t="n"/>
      <c r="B356" s="21" t="n"/>
      <c r="C356" s="23" t="n"/>
      <c r="D356" s="22" t="n"/>
      <c r="E356" s="24" t="n"/>
      <c r="F356" s="25" t="n"/>
      <c r="G356" s="18">
        <f>IF(AND(C356="",D356=""),"",IF(NOT(ISNUMBER(B356)),"Needs a date",IF(NOT(ISNUMBER(D356)),"Needs the amount",IF(C356="","Needs an envelope",IF(COUNTIF(Envelopes!$B$6:$B$21,C356)=0,"Not on Envelopes",IF(F356="",IF(D356=0,"Needs the amount",""),IF(COUNTIF(Envelopes!$B$6:$B$21,F356)=0,"Moved to: not on Envelopes",IF(D356&lt;=0,"A move needs an amount",IF(F356=C356,"Moved to the same envelope","")))))))))</f>
        <v/>
      </c>
      <c r="H356" s="1">
        <f>IF(ISNUMBER(B356),INT(B356),0)</f>
        <v/>
      </c>
      <c r="I356">
        <f>IF(AND(H356&gt;0,ISNUMBER(D356),COUNTIF(Envelopes!$B$6:$B$21,C356)&gt;0,F356=""),1,0)</f>
        <v/>
      </c>
      <c r="J356">
        <f>IF(AND(H356&gt;0,ISNUMBER(D356),COUNTIF(Envelopes!$B$6:$B$21,C356)&gt;0,F356&lt;&gt;"",COUNTIF(Envelopes!$B$6:$B$21,F356)&gt;0),1,0)</f>
        <v/>
      </c>
      <c r="K356">
        <f>IF(I356=1,H356*10000+ROW(),"")</f>
        <v/>
      </c>
    </row>
    <row r="357">
      <c r="A357" s="1" t="n"/>
      <c r="B357" s="21" t="n"/>
      <c r="C357" s="23" t="n"/>
      <c r="D357" s="22" t="n"/>
      <c r="E357" s="24" t="n"/>
      <c r="F357" s="25" t="n"/>
      <c r="G357" s="18">
        <f>IF(AND(C357="",D357=""),"",IF(NOT(ISNUMBER(B357)),"Needs a date",IF(NOT(ISNUMBER(D357)),"Needs the amount",IF(C357="","Needs an envelope",IF(COUNTIF(Envelopes!$B$6:$B$21,C357)=0,"Not on Envelopes",IF(F357="",IF(D357=0,"Needs the amount",""),IF(COUNTIF(Envelopes!$B$6:$B$21,F357)=0,"Moved to: not on Envelopes",IF(D357&lt;=0,"A move needs an amount",IF(F357=C357,"Moved to the same envelope","")))))))))</f>
        <v/>
      </c>
      <c r="H357" s="1">
        <f>IF(ISNUMBER(B357),INT(B357),0)</f>
        <v/>
      </c>
      <c r="I357">
        <f>IF(AND(H357&gt;0,ISNUMBER(D357),COUNTIF(Envelopes!$B$6:$B$21,C357)&gt;0,F357=""),1,0)</f>
        <v/>
      </c>
      <c r="J357">
        <f>IF(AND(H357&gt;0,ISNUMBER(D357),COUNTIF(Envelopes!$B$6:$B$21,C357)&gt;0,F357&lt;&gt;"",COUNTIF(Envelopes!$B$6:$B$21,F357)&gt;0),1,0)</f>
        <v/>
      </c>
      <c r="K357">
        <f>IF(I357=1,H357*10000+ROW(),"")</f>
        <v/>
      </c>
    </row>
    <row r="358">
      <c r="A358" s="1" t="n"/>
      <c r="B358" s="21" t="n"/>
      <c r="C358" s="23" t="n"/>
      <c r="D358" s="22" t="n"/>
      <c r="E358" s="24" t="n"/>
      <c r="F358" s="25" t="n"/>
      <c r="G358" s="18">
        <f>IF(AND(C358="",D358=""),"",IF(NOT(ISNUMBER(B358)),"Needs a date",IF(NOT(ISNUMBER(D358)),"Needs the amount",IF(C358="","Needs an envelope",IF(COUNTIF(Envelopes!$B$6:$B$21,C358)=0,"Not on Envelopes",IF(F358="",IF(D358=0,"Needs the amount",""),IF(COUNTIF(Envelopes!$B$6:$B$21,F358)=0,"Moved to: not on Envelopes",IF(D358&lt;=0,"A move needs an amount",IF(F358=C358,"Moved to the same envelope","")))))))))</f>
        <v/>
      </c>
      <c r="H358" s="1">
        <f>IF(ISNUMBER(B358),INT(B358),0)</f>
        <v/>
      </c>
      <c r="I358">
        <f>IF(AND(H358&gt;0,ISNUMBER(D358),COUNTIF(Envelopes!$B$6:$B$21,C358)&gt;0,F358=""),1,0)</f>
        <v/>
      </c>
      <c r="J358">
        <f>IF(AND(H358&gt;0,ISNUMBER(D358),COUNTIF(Envelopes!$B$6:$B$21,C358)&gt;0,F358&lt;&gt;"",COUNTIF(Envelopes!$B$6:$B$21,F358)&gt;0),1,0)</f>
        <v/>
      </c>
      <c r="K358">
        <f>IF(I358=1,H358*10000+ROW(),"")</f>
        <v/>
      </c>
    </row>
    <row r="359">
      <c r="A359" s="1" t="n"/>
      <c r="B359" s="21" t="n"/>
      <c r="C359" s="23" t="n"/>
      <c r="D359" s="22" t="n"/>
      <c r="E359" s="24" t="n"/>
      <c r="F359" s="25" t="n"/>
      <c r="G359" s="18">
        <f>IF(AND(C359="",D359=""),"",IF(NOT(ISNUMBER(B359)),"Needs a date",IF(NOT(ISNUMBER(D359)),"Needs the amount",IF(C359="","Needs an envelope",IF(COUNTIF(Envelopes!$B$6:$B$21,C359)=0,"Not on Envelopes",IF(F359="",IF(D359=0,"Needs the amount",""),IF(COUNTIF(Envelopes!$B$6:$B$21,F359)=0,"Moved to: not on Envelopes",IF(D359&lt;=0,"A move needs an amount",IF(F359=C359,"Moved to the same envelope","")))))))))</f>
        <v/>
      </c>
      <c r="H359" s="1">
        <f>IF(ISNUMBER(B359),INT(B359),0)</f>
        <v/>
      </c>
      <c r="I359">
        <f>IF(AND(H359&gt;0,ISNUMBER(D359),COUNTIF(Envelopes!$B$6:$B$21,C359)&gt;0,F359=""),1,0)</f>
        <v/>
      </c>
      <c r="J359">
        <f>IF(AND(H359&gt;0,ISNUMBER(D359),COUNTIF(Envelopes!$B$6:$B$21,C359)&gt;0,F359&lt;&gt;"",COUNTIF(Envelopes!$B$6:$B$21,F359)&gt;0),1,0)</f>
        <v/>
      </c>
      <c r="K359">
        <f>IF(I359=1,H359*10000+ROW(),"")</f>
        <v/>
      </c>
    </row>
    <row r="360">
      <c r="A360" s="1" t="n"/>
      <c r="B360" s="21" t="n"/>
      <c r="C360" s="23" t="n"/>
      <c r="D360" s="22" t="n"/>
      <c r="E360" s="24" t="n"/>
      <c r="F360" s="25" t="n"/>
      <c r="G360" s="18">
        <f>IF(AND(C360="",D360=""),"",IF(NOT(ISNUMBER(B360)),"Needs a date",IF(NOT(ISNUMBER(D360)),"Needs the amount",IF(C360="","Needs an envelope",IF(COUNTIF(Envelopes!$B$6:$B$21,C360)=0,"Not on Envelopes",IF(F360="",IF(D360=0,"Needs the amount",""),IF(COUNTIF(Envelopes!$B$6:$B$21,F360)=0,"Moved to: not on Envelopes",IF(D360&lt;=0,"A move needs an amount",IF(F360=C360,"Moved to the same envelope","")))))))))</f>
        <v/>
      </c>
      <c r="H360" s="1">
        <f>IF(ISNUMBER(B360),INT(B360),0)</f>
        <v/>
      </c>
      <c r="I360">
        <f>IF(AND(H360&gt;0,ISNUMBER(D360),COUNTIF(Envelopes!$B$6:$B$21,C360)&gt;0,F360=""),1,0)</f>
        <v/>
      </c>
      <c r="J360">
        <f>IF(AND(H360&gt;0,ISNUMBER(D360),COUNTIF(Envelopes!$B$6:$B$21,C360)&gt;0,F360&lt;&gt;"",COUNTIF(Envelopes!$B$6:$B$21,F360)&gt;0),1,0)</f>
        <v/>
      </c>
      <c r="K360">
        <f>IF(I360=1,H360*10000+ROW(),"")</f>
        <v/>
      </c>
    </row>
    <row r="361">
      <c r="A361" s="1" t="n"/>
      <c r="B361" s="21" t="n"/>
      <c r="C361" s="23" t="n"/>
      <c r="D361" s="22" t="n"/>
      <c r="E361" s="24" t="n"/>
      <c r="F361" s="25" t="n"/>
      <c r="G361" s="18">
        <f>IF(AND(C361="",D361=""),"",IF(NOT(ISNUMBER(B361)),"Needs a date",IF(NOT(ISNUMBER(D361)),"Needs the amount",IF(C361="","Needs an envelope",IF(COUNTIF(Envelopes!$B$6:$B$21,C361)=0,"Not on Envelopes",IF(F361="",IF(D361=0,"Needs the amount",""),IF(COUNTIF(Envelopes!$B$6:$B$21,F361)=0,"Moved to: not on Envelopes",IF(D361&lt;=0,"A move needs an amount",IF(F361=C361,"Moved to the same envelope","")))))))))</f>
        <v/>
      </c>
      <c r="H361" s="1">
        <f>IF(ISNUMBER(B361),INT(B361),0)</f>
        <v/>
      </c>
      <c r="I361">
        <f>IF(AND(H361&gt;0,ISNUMBER(D361),COUNTIF(Envelopes!$B$6:$B$21,C361)&gt;0,F361=""),1,0)</f>
        <v/>
      </c>
      <c r="J361">
        <f>IF(AND(H361&gt;0,ISNUMBER(D361),COUNTIF(Envelopes!$B$6:$B$21,C361)&gt;0,F361&lt;&gt;"",COUNTIF(Envelopes!$B$6:$B$21,F361)&gt;0),1,0)</f>
        <v/>
      </c>
      <c r="K361">
        <f>IF(I361=1,H361*10000+ROW(),"")</f>
        <v/>
      </c>
    </row>
    <row r="362">
      <c r="A362" s="1" t="n"/>
      <c r="B362" s="21" t="n"/>
      <c r="C362" s="23" t="n"/>
      <c r="D362" s="22" t="n"/>
      <c r="E362" s="24" t="n"/>
      <c r="F362" s="25" t="n"/>
      <c r="G362" s="18">
        <f>IF(AND(C362="",D362=""),"",IF(NOT(ISNUMBER(B362)),"Needs a date",IF(NOT(ISNUMBER(D362)),"Needs the amount",IF(C362="","Needs an envelope",IF(COUNTIF(Envelopes!$B$6:$B$21,C362)=0,"Not on Envelopes",IF(F362="",IF(D362=0,"Needs the amount",""),IF(COUNTIF(Envelopes!$B$6:$B$21,F362)=0,"Moved to: not on Envelopes",IF(D362&lt;=0,"A move needs an amount",IF(F362=C362,"Moved to the same envelope","")))))))))</f>
        <v/>
      </c>
      <c r="H362" s="1">
        <f>IF(ISNUMBER(B362),INT(B362),0)</f>
        <v/>
      </c>
      <c r="I362">
        <f>IF(AND(H362&gt;0,ISNUMBER(D362),COUNTIF(Envelopes!$B$6:$B$21,C362)&gt;0,F362=""),1,0)</f>
        <v/>
      </c>
      <c r="J362">
        <f>IF(AND(H362&gt;0,ISNUMBER(D362),COUNTIF(Envelopes!$B$6:$B$21,C362)&gt;0,F362&lt;&gt;"",COUNTIF(Envelopes!$B$6:$B$21,F362)&gt;0),1,0)</f>
        <v/>
      </c>
      <c r="K362">
        <f>IF(I362=1,H362*10000+ROW(),"")</f>
        <v/>
      </c>
    </row>
    <row r="363">
      <c r="A363" s="1" t="n"/>
      <c r="B363" s="21" t="n"/>
      <c r="C363" s="23" t="n"/>
      <c r="D363" s="22" t="n"/>
      <c r="E363" s="24" t="n"/>
      <c r="F363" s="25" t="n"/>
      <c r="G363" s="18">
        <f>IF(AND(C363="",D363=""),"",IF(NOT(ISNUMBER(B363)),"Needs a date",IF(NOT(ISNUMBER(D363)),"Needs the amount",IF(C363="","Needs an envelope",IF(COUNTIF(Envelopes!$B$6:$B$21,C363)=0,"Not on Envelopes",IF(F363="",IF(D363=0,"Needs the amount",""),IF(COUNTIF(Envelopes!$B$6:$B$21,F363)=0,"Moved to: not on Envelopes",IF(D363&lt;=0,"A move needs an amount",IF(F363=C363,"Moved to the same envelope","")))))))))</f>
        <v/>
      </c>
      <c r="H363" s="1">
        <f>IF(ISNUMBER(B363),INT(B363),0)</f>
        <v/>
      </c>
      <c r="I363">
        <f>IF(AND(H363&gt;0,ISNUMBER(D363),COUNTIF(Envelopes!$B$6:$B$21,C363)&gt;0,F363=""),1,0)</f>
        <v/>
      </c>
      <c r="J363">
        <f>IF(AND(H363&gt;0,ISNUMBER(D363),COUNTIF(Envelopes!$B$6:$B$21,C363)&gt;0,F363&lt;&gt;"",COUNTIF(Envelopes!$B$6:$B$21,F363)&gt;0),1,0)</f>
        <v/>
      </c>
      <c r="K363">
        <f>IF(I363=1,H363*10000+ROW(),"")</f>
        <v/>
      </c>
    </row>
    <row r="364">
      <c r="A364" s="1" t="n"/>
      <c r="B364" s="21" t="n"/>
      <c r="C364" s="23" t="n"/>
      <c r="D364" s="22" t="n"/>
      <c r="E364" s="24" t="n"/>
      <c r="F364" s="25" t="n"/>
      <c r="G364" s="18">
        <f>IF(AND(C364="",D364=""),"",IF(NOT(ISNUMBER(B364)),"Needs a date",IF(NOT(ISNUMBER(D364)),"Needs the amount",IF(C364="","Needs an envelope",IF(COUNTIF(Envelopes!$B$6:$B$21,C364)=0,"Not on Envelopes",IF(F364="",IF(D364=0,"Needs the amount",""),IF(COUNTIF(Envelopes!$B$6:$B$21,F364)=0,"Moved to: not on Envelopes",IF(D364&lt;=0,"A move needs an amount",IF(F364=C364,"Moved to the same envelope","")))))))))</f>
        <v/>
      </c>
      <c r="H364" s="1">
        <f>IF(ISNUMBER(B364),INT(B364),0)</f>
        <v/>
      </c>
      <c r="I364">
        <f>IF(AND(H364&gt;0,ISNUMBER(D364),COUNTIF(Envelopes!$B$6:$B$21,C364)&gt;0,F364=""),1,0)</f>
        <v/>
      </c>
      <c r="J364">
        <f>IF(AND(H364&gt;0,ISNUMBER(D364),COUNTIF(Envelopes!$B$6:$B$21,C364)&gt;0,F364&lt;&gt;"",COUNTIF(Envelopes!$B$6:$B$21,F364)&gt;0),1,0)</f>
        <v/>
      </c>
      <c r="K364">
        <f>IF(I364=1,H364*10000+ROW(),"")</f>
        <v/>
      </c>
    </row>
    <row r="365">
      <c r="A365" s="1" t="n"/>
      <c r="B365" s="21" t="n"/>
      <c r="C365" s="23" t="n"/>
      <c r="D365" s="22" t="n"/>
      <c r="E365" s="24" t="n"/>
      <c r="F365" s="25" t="n"/>
      <c r="G365" s="18">
        <f>IF(AND(C365="",D365=""),"",IF(NOT(ISNUMBER(B365)),"Needs a date",IF(NOT(ISNUMBER(D365)),"Needs the amount",IF(C365="","Needs an envelope",IF(COUNTIF(Envelopes!$B$6:$B$21,C365)=0,"Not on Envelopes",IF(F365="",IF(D365=0,"Needs the amount",""),IF(COUNTIF(Envelopes!$B$6:$B$21,F365)=0,"Moved to: not on Envelopes",IF(D365&lt;=0,"A move needs an amount",IF(F365=C365,"Moved to the same envelope","")))))))))</f>
        <v/>
      </c>
      <c r="H365" s="1">
        <f>IF(ISNUMBER(B365),INT(B365),0)</f>
        <v/>
      </c>
      <c r="I365">
        <f>IF(AND(H365&gt;0,ISNUMBER(D365),COUNTIF(Envelopes!$B$6:$B$21,C365)&gt;0,F365=""),1,0)</f>
        <v/>
      </c>
      <c r="J365">
        <f>IF(AND(H365&gt;0,ISNUMBER(D365),COUNTIF(Envelopes!$B$6:$B$21,C365)&gt;0,F365&lt;&gt;"",COUNTIF(Envelopes!$B$6:$B$21,F365)&gt;0),1,0)</f>
        <v/>
      </c>
      <c r="K365">
        <f>IF(I365=1,H365*10000+ROW(),"")</f>
        <v/>
      </c>
    </row>
    <row r="366">
      <c r="A366" s="1" t="n"/>
      <c r="B366" s="21" t="n"/>
      <c r="C366" s="23" t="n"/>
      <c r="D366" s="22" t="n"/>
      <c r="E366" s="24" t="n"/>
      <c r="F366" s="25" t="n"/>
      <c r="G366" s="18">
        <f>IF(AND(C366="",D366=""),"",IF(NOT(ISNUMBER(B366)),"Needs a date",IF(NOT(ISNUMBER(D366)),"Needs the amount",IF(C366="","Needs an envelope",IF(COUNTIF(Envelopes!$B$6:$B$21,C366)=0,"Not on Envelopes",IF(F366="",IF(D366=0,"Needs the amount",""),IF(COUNTIF(Envelopes!$B$6:$B$21,F366)=0,"Moved to: not on Envelopes",IF(D366&lt;=0,"A move needs an amount",IF(F366=C366,"Moved to the same envelope","")))))))))</f>
        <v/>
      </c>
      <c r="H366" s="1">
        <f>IF(ISNUMBER(B366),INT(B366),0)</f>
        <v/>
      </c>
      <c r="I366">
        <f>IF(AND(H366&gt;0,ISNUMBER(D366),COUNTIF(Envelopes!$B$6:$B$21,C366)&gt;0,F366=""),1,0)</f>
        <v/>
      </c>
      <c r="J366">
        <f>IF(AND(H366&gt;0,ISNUMBER(D366),COUNTIF(Envelopes!$B$6:$B$21,C366)&gt;0,F366&lt;&gt;"",COUNTIF(Envelopes!$B$6:$B$21,F366)&gt;0),1,0)</f>
        <v/>
      </c>
      <c r="K366">
        <f>IF(I366=1,H366*10000+ROW(),"")</f>
        <v/>
      </c>
    </row>
    <row r="367">
      <c r="A367" s="1" t="n"/>
      <c r="B367" s="21" t="n"/>
      <c r="C367" s="23" t="n"/>
      <c r="D367" s="22" t="n"/>
      <c r="E367" s="24" t="n"/>
      <c r="F367" s="25" t="n"/>
      <c r="G367" s="18">
        <f>IF(AND(C367="",D367=""),"",IF(NOT(ISNUMBER(B367)),"Needs a date",IF(NOT(ISNUMBER(D367)),"Needs the amount",IF(C367="","Needs an envelope",IF(COUNTIF(Envelopes!$B$6:$B$21,C367)=0,"Not on Envelopes",IF(F367="",IF(D367=0,"Needs the amount",""),IF(COUNTIF(Envelopes!$B$6:$B$21,F367)=0,"Moved to: not on Envelopes",IF(D367&lt;=0,"A move needs an amount",IF(F367=C367,"Moved to the same envelope","")))))))))</f>
        <v/>
      </c>
      <c r="H367" s="1">
        <f>IF(ISNUMBER(B367),INT(B367),0)</f>
        <v/>
      </c>
      <c r="I367">
        <f>IF(AND(H367&gt;0,ISNUMBER(D367),COUNTIF(Envelopes!$B$6:$B$21,C367)&gt;0,F367=""),1,0)</f>
        <v/>
      </c>
      <c r="J367">
        <f>IF(AND(H367&gt;0,ISNUMBER(D367),COUNTIF(Envelopes!$B$6:$B$21,C367)&gt;0,F367&lt;&gt;"",COUNTIF(Envelopes!$B$6:$B$21,F367)&gt;0),1,0)</f>
        <v/>
      </c>
      <c r="K367">
        <f>IF(I367=1,H367*10000+ROW(),"")</f>
        <v/>
      </c>
    </row>
    <row r="368">
      <c r="A368" s="1" t="n"/>
      <c r="B368" s="21" t="n"/>
      <c r="C368" s="23" t="n"/>
      <c r="D368" s="22" t="n"/>
      <c r="E368" s="24" t="n"/>
      <c r="F368" s="25" t="n"/>
      <c r="G368" s="18">
        <f>IF(AND(C368="",D368=""),"",IF(NOT(ISNUMBER(B368)),"Needs a date",IF(NOT(ISNUMBER(D368)),"Needs the amount",IF(C368="","Needs an envelope",IF(COUNTIF(Envelopes!$B$6:$B$21,C368)=0,"Not on Envelopes",IF(F368="",IF(D368=0,"Needs the amount",""),IF(COUNTIF(Envelopes!$B$6:$B$21,F368)=0,"Moved to: not on Envelopes",IF(D368&lt;=0,"A move needs an amount",IF(F368=C368,"Moved to the same envelope","")))))))))</f>
        <v/>
      </c>
      <c r="H368" s="1">
        <f>IF(ISNUMBER(B368),INT(B368),0)</f>
        <v/>
      </c>
      <c r="I368">
        <f>IF(AND(H368&gt;0,ISNUMBER(D368),COUNTIF(Envelopes!$B$6:$B$21,C368)&gt;0,F368=""),1,0)</f>
        <v/>
      </c>
      <c r="J368">
        <f>IF(AND(H368&gt;0,ISNUMBER(D368),COUNTIF(Envelopes!$B$6:$B$21,C368)&gt;0,F368&lt;&gt;"",COUNTIF(Envelopes!$B$6:$B$21,F368)&gt;0),1,0)</f>
        <v/>
      </c>
      <c r="K368">
        <f>IF(I368=1,H368*10000+ROW(),"")</f>
        <v/>
      </c>
    </row>
    <row r="369">
      <c r="A369" s="1" t="n"/>
      <c r="B369" s="21" t="n"/>
      <c r="C369" s="23" t="n"/>
      <c r="D369" s="22" t="n"/>
      <c r="E369" s="24" t="n"/>
      <c r="F369" s="25" t="n"/>
      <c r="G369" s="18">
        <f>IF(AND(C369="",D369=""),"",IF(NOT(ISNUMBER(B369)),"Needs a date",IF(NOT(ISNUMBER(D369)),"Needs the amount",IF(C369="","Needs an envelope",IF(COUNTIF(Envelopes!$B$6:$B$21,C369)=0,"Not on Envelopes",IF(F369="",IF(D369=0,"Needs the amount",""),IF(COUNTIF(Envelopes!$B$6:$B$21,F369)=0,"Moved to: not on Envelopes",IF(D369&lt;=0,"A move needs an amount",IF(F369=C369,"Moved to the same envelope","")))))))))</f>
        <v/>
      </c>
      <c r="H369" s="1">
        <f>IF(ISNUMBER(B369),INT(B369),0)</f>
        <v/>
      </c>
      <c r="I369">
        <f>IF(AND(H369&gt;0,ISNUMBER(D369),COUNTIF(Envelopes!$B$6:$B$21,C369)&gt;0,F369=""),1,0)</f>
        <v/>
      </c>
      <c r="J369">
        <f>IF(AND(H369&gt;0,ISNUMBER(D369),COUNTIF(Envelopes!$B$6:$B$21,C369)&gt;0,F369&lt;&gt;"",COUNTIF(Envelopes!$B$6:$B$21,F369)&gt;0),1,0)</f>
        <v/>
      </c>
      <c r="K369">
        <f>IF(I369=1,H369*10000+ROW(),"")</f>
        <v/>
      </c>
    </row>
    <row r="370">
      <c r="A370" s="1" t="n"/>
      <c r="B370" s="21" t="n"/>
      <c r="C370" s="23" t="n"/>
      <c r="D370" s="22" t="n"/>
      <c r="E370" s="24" t="n"/>
      <c r="F370" s="25" t="n"/>
      <c r="G370" s="18">
        <f>IF(AND(C370="",D370=""),"",IF(NOT(ISNUMBER(B370)),"Needs a date",IF(NOT(ISNUMBER(D370)),"Needs the amount",IF(C370="","Needs an envelope",IF(COUNTIF(Envelopes!$B$6:$B$21,C370)=0,"Not on Envelopes",IF(F370="",IF(D370=0,"Needs the amount",""),IF(COUNTIF(Envelopes!$B$6:$B$21,F370)=0,"Moved to: not on Envelopes",IF(D370&lt;=0,"A move needs an amount",IF(F370=C370,"Moved to the same envelope","")))))))))</f>
        <v/>
      </c>
      <c r="H370" s="1">
        <f>IF(ISNUMBER(B370),INT(B370),0)</f>
        <v/>
      </c>
      <c r="I370">
        <f>IF(AND(H370&gt;0,ISNUMBER(D370),COUNTIF(Envelopes!$B$6:$B$21,C370)&gt;0,F370=""),1,0)</f>
        <v/>
      </c>
      <c r="J370">
        <f>IF(AND(H370&gt;0,ISNUMBER(D370),COUNTIF(Envelopes!$B$6:$B$21,C370)&gt;0,F370&lt;&gt;"",COUNTIF(Envelopes!$B$6:$B$21,F370)&gt;0),1,0)</f>
        <v/>
      </c>
      <c r="K370">
        <f>IF(I370=1,H370*10000+ROW(),"")</f>
        <v/>
      </c>
    </row>
    <row r="371">
      <c r="A371" s="1" t="n"/>
      <c r="B371" s="21" t="n"/>
      <c r="C371" s="23" t="n"/>
      <c r="D371" s="22" t="n"/>
      <c r="E371" s="24" t="n"/>
      <c r="F371" s="25" t="n"/>
      <c r="G371" s="18">
        <f>IF(AND(C371="",D371=""),"",IF(NOT(ISNUMBER(B371)),"Needs a date",IF(NOT(ISNUMBER(D371)),"Needs the amount",IF(C371="","Needs an envelope",IF(COUNTIF(Envelopes!$B$6:$B$21,C371)=0,"Not on Envelopes",IF(F371="",IF(D371=0,"Needs the amount",""),IF(COUNTIF(Envelopes!$B$6:$B$21,F371)=0,"Moved to: not on Envelopes",IF(D371&lt;=0,"A move needs an amount",IF(F371=C371,"Moved to the same envelope","")))))))))</f>
        <v/>
      </c>
      <c r="H371" s="1">
        <f>IF(ISNUMBER(B371),INT(B371),0)</f>
        <v/>
      </c>
      <c r="I371">
        <f>IF(AND(H371&gt;0,ISNUMBER(D371),COUNTIF(Envelopes!$B$6:$B$21,C371)&gt;0,F371=""),1,0)</f>
        <v/>
      </c>
      <c r="J371">
        <f>IF(AND(H371&gt;0,ISNUMBER(D371),COUNTIF(Envelopes!$B$6:$B$21,C371)&gt;0,F371&lt;&gt;"",COUNTIF(Envelopes!$B$6:$B$21,F371)&gt;0),1,0)</f>
        <v/>
      </c>
      <c r="K371">
        <f>IF(I371=1,H371*10000+ROW(),"")</f>
        <v/>
      </c>
    </row>
    <row r="372">
      <c r="A372" s="1" t="n"/>
      <c r="B372" s="21" t="n"/>
      <c r="C372" s="23" t="n"/>
      <c r="D372" s="22" t="n"/>
      <c r="E372" s="24" t="n"/>
      <c r="F372" s="25" t="n"/>
      <c r="G372" s="18">
        <f>IF(AND(C372="",D372=""),"",IF(NOT(ISNUMBER(B372)),"Needs a date",IF(NOT(ISNUMBER(D372)),"Needs the amount",IF(C372="","Needs an envelope",IF(COUNTIF(Envelopes!$B$6:$B$21,C372)=0,"Not on Envelopes",IF(F372="",IF(D372=0,"Needs the amount",""),IF(COUNTIF(Envelopes!$B$6:$B$21,F372)=0,"Moved to: not on Envelopes",IF(D372&lt;=0,"A move needs an amount",IF(F372=C372,"Moved to the same envelope","")))))))))</f>
        <v/>
      </c>
      <c r="H372" s="1">
        <f>IF(ISNUMBER(B372),INT(B372),0)</f>
        <v/>
      </c>
      <c r="I372">
        <f>IF(AND(H372&gt;0,ISNUMBER(D372),COUNTIF(Envelopes!$B$6:$B$21,C372)&gt;0,F372=""),1,0)</f>
        <v/>
      </c>
      <c r="J372">
        <f>IF(AND(H372&gt;0,ISNUMBER(D372),COUNTIF(Envelopes!$B$6:$B$21,C372)&gt;0,F372&lt;&gt;"",COUNTIF(Envelopes!$B$6:$B$21,F372)&gt;0),1,0)</f>
        <v/>
      </c>
      <c r="K372">
        <f>IF(I372=1,H372*10000+ROW(),"")</f>
        <v/>
      </c>
    </row>
    <row r="373">
      <c r="A373" s="1" t="n"/>
      <c r="B373" s="21" t="n"/>
      <c r="C373" s="23" t="n"/>
      <c r="D373" s="22" t="n"/>
      <c r="E373" s="24" t="n"/>
      <c r="F373" s="25" t="n"/>
      <c r="G373" s="18">
        <f>IF(AND(C373="",D373=""),"",IF(NOT(ISNUMBER(B373)),"Needs a date",IF(NOT(ISNUMBER(D373)),"Needs the amount",IF(C373="","Needs an envelope",IF(COUNTIF(Envelopes!$B$6:$B$21,C373)=0,"Not on Envelopes",IF(F373="",IF(D373=0,"Needs the amount",""),IF(COUNTIF(Envelopes!$B$6:$B$21,F373)=0,"Moved to: not on Envelopes",IF(D373&lt;=0,"A move needs an amount",IF(F373=C373,"Moved to the same envelope","")))))))))</f>
        <v/>
      </c>
      <c r="H373" s="1">
        <f>IF(ISNUMBER(B373),INT(B373),0)</f>
        <v/>
      </c>
      <c r="I373">
        <f>IF(AND(H373&gt;0,ISNUMBER(D373),COUNTIF(Envelopes!$B$6:$B$21,C373)&gt;0,F373=""),1,0)</f>
        <v/>
      </c>
      <c r="J373">
        <f>IF(AND(H373&gt;0,ISNUMBER(D373),COUNTIF(Envelopes!$B$6:$B$21,C373)&gt;0,F373&lt;&gt;"",COUNTIF(Envelopes!$B$6:$B$21,F373)&gt;0),1,0)</f>
        <v/>
      </c>
      <c r="K373">
        <f>IF(I373=1,H373*10000+ROW(),"")</f>
        <v/>
      </c>
    </row>
    <row r="374">
      <c r="A374" s="1" t="n"/>
      <c r="B374" s="21" t="n"/>
      <c r="C374" s="23" t="n"/>
      <c r="D374" s="22" t="n"/>
      <c r="E374" s="24" t="n"/>
      <c r="F374" s="25" t="n"/>
      <c r="G374" s="18">
        <f>IF(AND(C374="",D374=""),"",IF(NOT(ISNUMBER(B374)),"Needs a date",IF(NOT(ISNUMBER(D374)),"Needs the amount",IF(C374="","Needs an envelope",IF(COUNTIF(Envelopes!$B$6:$B$21,C374)=0,"Not on Envelopes",IF(F374="",IF(D374=0,"Needs the amount",""),IF(COUNTIF(Envelopes!$B$6:$B$21,F374)=0,"Moved to: not on Envelopes",IF(D374&lt;=0,"A move needs an amount",IF(F374=C374,"Moved to the same envelope","")))))))))</f>
        <v/>
      </c>
      <c r="H374" s="1">
        <f>IF(ISNUMBER(B374),INT(B374),0)</f>
        <v/>
      </c>
      <c r="I374">
        <f>IF(AND(H374&gt;0,ISNUMBER(D374),COUNTIF(Envelopes!$B$6:$B$21,C374)&gt;0,F374=""),1,0)</f>
        <v/>
      </c>
      <c r="J374">
        <f>IF(AND(H374&gt;0,ISNUMBER(D374),COUNTIF(Envelopes!$B$6:$B$21,C374)&gt;0,F374&lt;&gt;"",COUNTIF(Envelopes!$B$6:$B$21,F374)&gt;0),1,0)</f>
        <v/>
      </c>
      <c r="K374">
        <f>IF(I374=1,H374*10000+ROW(),"")</f>
        <v/>
      </c>
    </row>
    <row r="375">
      <c r="A375" s="1" t="n"/>
      <c r="B375" s="21" t="n"/>
      <c r="C375" s="23" t="n"/>
      <c r="D375" s="22" t="n"/>
      <c r="E375" s="24" t="n"/>
      <c r="F375" s="25" t="n"/>
      <c r="G375" s="18">
        <f>IF(AND(C375="",D375=""),"",IF(NOT(ISNUMBER(B375)),"Needs a date",IF(NOT(ISNUMBER(D375)),"Needs the amount",IF(C375="","Needs an envelope",IF(COUNTIF(Envelopes!$B$6:$B$21,C375)=0,"Not on Envelopes",IF(F375="",IF(D375=0,"Needs the amount",""),IF(COUNTIF(Envelopes!$B$6:$B$21,F375)=0,"Moved to: not on Envelopes",IF(D375&lt;=0,"A move needs an amount",IF(F375=C375,"Moved to the same envelope","")))))))))</f>
        <v/>
      </c>
      <c r="H375" s="1">
        <f>IF(ISNUMBER(B375),INT(B375),0)</f>
        <v/>
      </c>
      <c r="I375">
        <f>IF(AND(H375&gt;0,ISNUMBER(D375),COUNTIF(Envelopes!$B$6:$B$21,C375)&gt;0,F375=""),1,0)</f>
        <v/>
      </c>
      <c r="J375">
        <f>IF(AND(H375&gt;0,ISNUMBER(D375),COUNTIF(Envelopes!$B$6:$B$21,C375)&gt;0,F375&lt;&gt;"",COUNTIF(Envelopes!$B$6:$B$21,F375)&gt;0),1,0)</f>
        <v/>
      </c>
      <c r="K375">
        <f>IF(I375=1,H375*10000+ROW(),"")</f>
        <v/>
      </c>
    </row>
    <row r="376">
      <c r="A376" s="1" t="n"/>
      <c r="B376" s="21" t="n"/>
      <c r="C376" s="23" t="n"/>
      <c r="D376" s="22" t="n"/>
      <c r="E376" s="24" t="n"/>
      <c r="F376" s="25" t="n"/>
      <c r="G376" s="18">
        <f>IF(AND(C376="",D376=""),"",IF(NOT(ISNUMBER(B376)),"Needs a date",IF(NOT(ISNUMBER(D376)),"Needs the amount",IF(C376="","Needs an envelope",IF(COUNTIF(Envelopes!$B$6:$B$21,C376)=0,"Not on Envelopes",IF(F376="",IF(D376=0,"Needs the amount",""),IF(COUNTIF(Envelopes!$B$6:$B$21,F376)=0,"Moved to: not on Envelopes",IF(D376&lt;=0,"A move needs an amount",IF(F376=C376,"Moved to the same envelope","")))))))))</f>
        <v/>
      </c>
      <c r="H376" s="1">
        <f>IF(ISNUMBER(B376),INT(B376),0)</f>
        <v/>
      </c>
      <c r="I376">
        <f>IF(AND(H376&gt;0,ISNUMBER(D376),COUNTIF(Envelopes!$B$6:$B$21,C376)&gt;0,F376=""),1,0)</f>
        <v/>
      </c>
      <c r="J376">
        <f>IF(AND(H376&gt;0,ISNUMBER(D376),COUNTIF(Envelopes!$B$6:$B$21,C376)&gt;0,F376&lt;&gt;"",COUNTIF(Envelopes!$B$6:$B$21,F376)&gt;0),1,0)</f>
        <v/>
      </c>
      <c r="K376">
        <f>IF(I376=1,H376*10000+ROW(),"")</f>
        <v/>
      </c>
    </row>
    <row r="377">
      <c r="A377" s="1" t="n"/>
      <c r="B377" s="21" t="n"/>
      <c r="C377" s="23" t="n"/>
      <c r="D377" s="22" t="n"/>
      <c r="E377" s="24" t="n"/>
      <c r="F377" s="25" t="n"/>
      <c r="G377" s="18">
        <f>IF(AND(C377="",D377=""),"",IF(NOT(ISNUMBER(B377)),"Needs a date",IF(NOT(ISNUMBER(D377)),"Needs the amount",IF(C377="","Needs an envelope",IF(COUNTIF(Envelopes!$B$6:$B$21,C377)=0,"Not on Envelopes",IF(F377="",IF(D377=0,"Needs the amount",""),IF(COUNTIF(Envelopes!$B$6:$B$21,F377)=0,"Moved to: not on Envelopes",IF(D377&lt;=0,"A move needs an amount",IF(F377=C377,"Moved to the same envelope","")))))))))</f>
        <v/>
      </c>
      <c r="H377" s="1">
        <f>IF(ISNUMBER(B377),INT(B377),0)</f>
        <v/>
      </c>
      <c r="I377">
        <f>IF(AND(H377&gt;0,ISNUMBER(D377),COUNTIF(Envelopes!$B$6:$B$21,C377)&gt;0,F377=""),1,0)</f>
        <v/>
      </c>
      <c r="J377">
        <f>IF(AND(H377&gt;0,ISNUMBER(D377),COUNTIF(Envelopes!$B$6:$B$21,C377)&gt;0,F377&lt;&gt;"",COUNTIF(Envelopes!$B$6:$B$21,F377)&gt;0),1,0)</f>
        <v/>
      </c>
      <c r="K377">
        <f>IF(I377=1,H377*10000+ROW(),"")</f>
        <v/>
      </c>
    </row>
    <row r="378">
      <c r="A378" s="1" t="n"/>
      <c r="B378" s="21" t="n"/>
      <c r="C378" s="23" t="n"/>
      <c r="D378" s="22" t="n"/>
      <c r="E378" s="24" t="n"/>
      <c r="F378" s="25" t="n"/>
      <c r="G378" s="18">
        <f>IF(AND(C378="",D378=""),"",IF(NOT(ISNUMBER(B378)),"Needs a date",IF(NOT(ISNUMBER(D378)),"Needs the amount",IF(C378="","Needs an envelope",IF(COUNTIF(Envelopes!$B$6:$B$21,C378)=0,"Not on Envelopes",IF(F378="",IF(D378=0,"Needs the amount",""),IF(COUNTIF(Envelopes!$B$6:$B$21,F378)=0,"Moved to: not on Envelopes",IF(D378&lt;=0,"A move needs an amount",IF(F378=C378,"Moved to the same envelope","")))))))))</f>
        <v/>
      </c>
      <c r="H378" s="1">
        <f>IF(ISNUMBER(B378),INT(B378),0)</f>
        <v/>
      </c>
      <c r="I378">
        <f>IF(AND(H378&gt;0,ISNUMBER(D378),COUNTIF(Envelopes!$B$6:$B$21,C378)&gt;0,F378=""),1,0)</f>
        <v/>
      </c>
      <c r="J378">
        <f>IF(AND(H378&gt;0,ISNUMBER(D378),COUNTIF(Envelopes!$B$6:$B$21,C378)&gt;0,F378&lt;&gt;"",COUNTIF(Envelopes!$B$6:$B$21,F378)&gt;0),1,0)</f>
        <v/>
      </c>
      <c r="K378">
        <f>IF(I378=1,H378*10000+ROW(),"")</f>
        <v/>
      </c>
    </row>
    <row r="379">
      <c r="A379" s="1" t="n"/>
      <c r="B379" s="21" t="n"/>
      <c r="C379" s="23" t="n"/>
      <c r="D379" s="22" t="n"/>
      <c r="E379" s="24" t="n"/>
      <c r="F379" s="25" t="n"/>
      <c r="G379" s="18">
        <f>IF(AND(C379="",D379=""),"",IF(NOT(ISNUMBER(B379)),"Needs a date",IF(NOT(ISNUMBER(D379)),"Needs the amount",IF(C379="","Needs an envelope",IF(COUNTIF(Envelopes!$B$6:$B$21,C379)=0,"Not on Envelopes",IF(F379="",IF(D379=0,"Needs the amount",""),IF(COUNTIF(Envelopes!$B$6:$B$21,F379)=0,"Moved to: not on Envelopes",IF(D379&lt;=0,"A move needs an amount",IF(F379=C379,"Moved to the same envelope","")))))))))</f>
        <v/>
      </c>
      <c r="H379" s="1">
        <f>IF(ISNUMBER(B379),INT(B379),0)</f>
        <v/>
      </c>
      <c r="I379">
        <f>IF(AND(H379&gt;0,ISNUMBER(D379),COUNTIF(Envelopes!$B$6:$B$21,C379)&gt;0,F379=""),1,0)</f>
        <v/>
      </c>
      <c r="J379">
        <f>IF(AND(H379&gt;0,ISNUMBER(D379),COUNTIF(Envelopes!$B$6:$B$21,C379)&gt;0,F379&lt;&gt;"",COUNTIF(Envelopes!$B$6:$B$21,F379)&gt;0),1,0)</f>
        <v/>
      </c>
      <c r="K379">
        <f>IF(I379=1,H379*10000+ROW(),"")</f>
        <v/>
      </c>
    </row>
    <row r="380">
      <c r="A380" s="1" t="n"/>
      <c r="B380" s="21" t="n"/>
      <c r="C380" s="23" t="n"/>
      <c r="D380" s="22" t="n"/>
      <c r="E380" s="24" t="n"/>
      <c r="F380" s="25" t="n"/>
      <c r="G380" s="18">
        <f>IF(AND(C380="",D380=""),"",IF(NOT(ISNUMBER(B380)),"Needs a date",IF(NOT(ISNUMBER(D380)),"Needs the amount",IF(C380="","Needs an envelope",IF(COUNTIF(Envelopes!$B$6:$B$21,C380)=0,"Not on Envelopes",IF(F380="",IF(D380=0,"Needs the amount",""),IF(COUNTIF(Envelopes!$B$6:$B$21,F380)=0,"Moved to: not on Envelopes",IF(D380&lt;=0,"A move needs an amount",IF(F380=C380,"Moved to the same envelope","")))))))))</f>
        <v/>
      </c>
      <c r="H380" s="1">
        <f>IF(ISNUMBER(B380),INT(B380),0)</f>
        <v/>
      </c>
      <c r="I380">
        <f>IF(AND(H380&gt;0,ISNUMBER(D380),COUNTIF(Envelopes!$B$6:$B$21,C380)&gt;0,F380=""),1,0)</f>
        <v/>
      </c>
      <c r="J380">
        <f>IF(AND(H380&gt;0,ISNUMBER(D380),COUNTIF(Envelopes!$B$6:$B$21,C380)&gt;0,F380&lt;&gt;"",COUNTIF(Envelopes!$B$6:$B$21,F380)&gt;0),1,0)</f>
        <v/>
      </c>
      <c r="K380">
        <f>IF(I380=1,H380*10000+ROW(),"")</f>
        <v/>
      </c>
    </row>
    <row r="381">
      <c r="A381" s="1" t="n"/>
      <c r="B381" s="21" t="n"/>
      <c r="C381" s="23" t="n"/>
      <c r="D381" s="22" t="n"/>
      <c r="E381" s="24" t="n"/>
      <c r="F381" s="25" t="n"/>
      <c r="G381" s="18">
        <f>IF(AND(C381="",D381=""),"",IF(NOT(ISNUMBER(B381)),"Needs a date",IF(NOT(ISNUMBER(D381)),"Needs the amount",IF(C381="","Needs an envelope",IF(COUNTIF(Envelopes!$B$6:$B$21,C381)=0,"Not on Envelopes",IF(F381="",IF(D381=0,"Needs the amount",""),IF(COUNTIF(Envelopes!$B$6:$B$21,F381)=0,"Moved to: not on Envelopes",IF(D381&lt;=0,"A move needs an amount",IF(F381=C381,"Moved to the same envelope","")))))))))</f>
        <v/>
      </c>
      <c r="H381" s="1">
        <f>IF(ISNUMBER(B381),INT(B381),0)</f>
        <v/>
      </c>
      <c r="I381">
        <f>IF(AND(H381&gt;0,ISNUMBER(D381),COUNTIF(Envelopes!$B$6:$B$21,C381)&gt;0,F381=""),1,0)</f>
        <v/>
      </c>
      <c r="J381">
        <f>IF(AND(H381&gt;0,ISNUMBER(D381),COUNTIF(Envelopes!$B$6:$B$21,C381)&gt;0,F381&lt;&gt;"",COUNTIF(Envelopes!$B$6:$B$21,F381)&gt;0),1,0)</f>
        <v/>
      </c>
      <c r="K381">
        <f>IF(I381=1,H381*10000+ROW(),"")</f>
        <v/>
      </c>
    </row>
    <row r="382">
      <c r="A382" s="1" t="n"/>
      <c r="B382" s="21" t="n"/>
      <c r="C382" s="23" t="n"/>
      <c r="D382" s="22" t="n"/>
      <c r="E382" s="24" t="n"/>
      <c r="F382" s="25" t="n"/>
      <c r="G382" s="18">
        <f>IF(AND(C382="",D382=""),"",IF(NOT(ISNUMBER(B382)),"Needs a date",IF(NOT(ISNUMBER(D382)),"Needs the amount",IF(C382="","Needs an envelope",IF(COUNTIF(Envelopes!$B$6:$B$21,C382)=0,"Not on Envelopes",IF(F382="",IF(D382=0,"Needs the amount",""),IF(COUNTIF(Envelopes!$B$6:$B$21,F382)=0,"Moved to: not on Envelopes",IF(D382&lt;=0,"A move needs an amount",IF(F382=C382,"Moved to the same envelope","")))))))))</f>
        <v/>
      </c>
      <c r="H382" s="1">
        <f>IF(ISNUMBER(B382),INT(B382),0)</f>
        <v/>
      </c>
      <c r="I382">
        <f>IF(AND(H382&gt;0,ISNUMBER(D382),COUNTIF(Envelopes!$B$6:$B$21,C382)&gt;0,F382=""),1,0)</f>
        <v/>
      </c>
      <c r="J382">
        <f>IF(AND(H382&gt;0,ISNUMBER(D382),COUNTIF(Envelopes!$B$6:$B$21,C382)&gt;0,F382&lt;&gt;"",COUNTIF(Envelopes!$B$6:$B$21,F382)&gt;0),1,0)</f>
        <v/>
      </c>
      <c r="K382">
        <f>IF(I382=1,H382*10000+ROW(),"")</f>
        <v/>
      </c>
    </row>
    <row r="383">
      <c r="A383" s="1" t="n"/>
      <c r="B383" s="21" t="n"/>
      <c r="C383" s="23" t="n"/>
      <c r="D383" s="22" t="n"/>
      <c r="E383" s="24" t="n"/>
      <c r="F383" s="25" t="n"/>
      <c r="G383" s="18">
        <f>IF(AND(C383="",D383=""),"",IF(NOT(ISNUMBER(B383)),"Needs a date",IF(NOT(ISNUMBER(D383)),"Needs the amount",IF(C383="","Needs an envelope",IF(COUNTIF(Envelopes!$B$6:$B$21,C383)=0,"Not on Envelopes",IF(F383="",IF(D383=0,"Needs the amount",""),IF(COUNTIF(Envelopes!$B$6:$B$21,F383)=0,"Moved to: not on Envelopes",IF(D383&lt;=0,"A move needs an amount",IF(F383=C383,"Moved to the same envelope","")))))))))</f>
        <v/>
      </c>
      <c r="H383" s="1">
        <f>IF(ISNUMBER(B383),INT(B383),0)</f>
        <v/>
      </c>
      <c r="I383">
        <f>IF(AND(H383&gt;0,ISNUMBER(D383),COUNTIF(Envelopes!$B$6:$B$21,C383)&gt;0,F383=""),1,0)</f>
        <v/>
      </c>
      <c r="J383">
        <f>IF(AND(H383&gt;0,ISNUMBER(D383),COUNTIF(Envelopes!$B$6:$B$21,C383)&gt;0,F383&lt;&gt;"",COUNTIF(Envelopes!$B$6:$B$21,F383)&gt;0),1,0)</f>
        <v/>
      </c>
      <c r="K383">
        <f>IF(I383=1,H383*10000+ROW(),"")</f>
        <v/>
      </c>
    </row>
    <row r="384">
      <c r="A384" s="1" t="n"/>
      <c r="B384" s="21" t="n"/>
      <c r="C384" s="23" t="n"/>
      <c r="D384" s="22" t="n"/>
      <c r="E384" s="24" t="n"/>
      <c r="F384" s="25" t="n"/>
      <c r="G384" s="18">
        <f>IF(AND(C384="",D384=""),"",IF(NOT(ISNUMBER(B384)),"Needs a date",IF(NOT(ISNUMBER(D384)),"Needs the amount",IF(C384="","Needs an envelope",IF(COUNTIF(Envelopes!$B$6:$B$21,C384)=0,"Not on Envelopes",IF(F384="",IF(D384=0,"Needs the amount",""),IF(COUNTIF(Envelopes!$B$6:$B$21,F384)=0,"Moved to: not on Envelopes",IF(D384&lt;=0,"A move needs an amount",IF(F384=C384,"Moved to the same envelope","")))))))))</f>
        <v/>
      </c>
      <c r="H384" s="1">
        <f>IF(ISNUMBER(B384),INT(B384),0)</f>
        <v/>
      </c>
      <c r="I384">
        <f>IF(AND(H384&gt;0,ISNUMBER(D384),COUNTIF(Envelopes!$B$6:$B$21,C384)&gt;0,F384=""),1,0)</f>
        <v/>
      </c>
      <c r="J384">
        <f>IF(AND(H384&gt;0,ISNUMBER(D384),COUNTIF(Envelopes!$B$6:$B$21,C384)&gt;0,F384&lt;&gt;"",COUNTIF(Envelopes!$B$6:$B$21,F384)&gt;0),1,0)</f>
        <v/>
      </c>
      <c r="K384">
        <f>IF(I384=1,H384*10000+ROW(),"")</f>
        <v/>
      </c>
    </row>
    <row r="385">
      <c r="A385" s="1" t="n"/>
      <c r="B385" s="21" t="n"/>
      <c r="C385" s="23" t="n"/>
      <c r="D385" s="22" t="n"/>
      <c r="E385" s="24" t="n"/>
      <c r="F385" s="25" t="n"/>
      <c r="G385" s="18">
        <f>IF(AND(C385="",D385=""),"",IF(NOT(ISNUMBER(B385)),"Needs a date",IF(NOT(ISNUMBER(D385)),"Needs the amount",IF(C385="","Needs an envelope",IF(COUNTIF(Envelopes!$B$6:$B$21,C385)=0,"Not on Envelopes",IF(F385="",IF(D385=0,"Needs the amount",""),IF(COUNTIF(Envelopes!$B$6:$B$21,F385)=0,"Moved to: not on Envelopes",IF(D385&lt;=0,"A move needs an amount",IF(F385=C385,"Moved to the same envelope","")))))))))</f>
        <v/>
      </c>
      <c r="H385" s="1">
        <f>IF(ISNUMBER(B385),INT(B385),0)</f>
        <v/>
      </c>
      <c r="I385">
        <f>IF(AND(H385&gt;0,ISNUMBER(D385),COUNTIF(Envelopes!$B$6:$B$21,C385)&gt;0,F385=""),1,0)</f>
        <v/>
      </c>
      <c r="J385">
        <f>IF(AND(H385&gt;0,ISNUMBER(D385),COUNTIF(Envelopes!$B$6:$B$21,C385)&gt;0,F385&lt;&gt;"",COUNTIF(Envelopes!$B$6:$B$21,F385)&gt;0),1,0)</f>
        <v/>
      </c>
      <c r="K385">
        <f>IF(I385=1,H385*10000+ROW(),"")</f>
        <v/>
      </c>
    </row>
    <row r="386">
      <c r="A386" s="1" t="n"/>
      <c r="B386" s="21" t="n"/>
      <c r="C386" s="23" t="n"/>
      <c r="D386" s="22" t="n"/>
      <c r="E386" s="24" t="n"/>
      <c r="F386" s="25" t="n"/>
      <c r="G386" s="18">
        <f>IF(AND(C386="",D386=""),"",IF(NOT(ISNUMBER(B386)),"Needs a date",IF(NOT(ISNUMBER(D386)),"Needs the amount",IF(C386="","Needs an envelope",IF(COUNTIF(Envelopes!$B$6:$B$21,C386)=0,"Not on Envelopes",IF(F386="",IF(D386=0,"Needs the amount",""),IF(COUNTIF(Envelopes!$B$6:$B$21,F386)=0,"Moved to: not on Envelopes",IF(D386&lt;=0,"A move needs an amount",IF(F386=C386,"Moved to the same envelope","")))))))))</f>
        <v/>
      </c>
      <c r="H386" s="1">
        <f>IF(ISNUMBER(B386),INT(B386),0)</f>
        <v/>
      </c>
      <c r="I386">
        <f>IF(AND(H386&gt;0,ISNUMBER(D386),COUNTIF(Envelopes!$B$6:$B$21,C386)&gt;0,F386=""),1,0)</f>
        <v/>
      </c>
      <c r="J386">
        <f>IF(AND(H386&gt;0,ISNUMBER(D386),COUNTIF(Envelopes!$B$6:$B$21,C386)&gt;0,F386&lt;&gt;"",COUNTIF(Envelopes!$B$6:$B$21,F386)&gt;0),1,0)</f>
        <v/>
      </c>
      <c r="K386">
        <f>IF(I386=1,H386*10000+ROW(),"")</f>
        <v/>
      </c>
    </row>
    <row r="387">
      <c r="A387" s="1" t="n"/>
      <c r="B387" s="21" t="n"/>
      <c r="C387" s="23" t="n"/>
      <c r="D387" s="22" t="n"/>
      <c r="E387" s="24" t="n"/>
      <c r="F387" s="25" t="n"/>
      <c r="G387" s="18">
        <f>IF(AND(C387="",D387=""),"",IF(NOT(ISNUMBER(B387)),"Needs a date",IF(NOT(ISNUMBER(D387)),"Needs the amount",IF(C387="","Needs an envelope",IF(COUNTIF(Envelopes!$B$6:$B$21,C387)=0,"Not on Envelopes",IF(F387="",IF(D387=0,"Needs the amount",""),IF(COUNTIF(Envelopes!$B$6:$B$21,F387)=0,"Moved to: not on Envelopes",IF(D387&lt;=0,"A move needs an amount",IF(F387=C387,"Moved to the same envelope","")))))))))</f>
        <v/>
      </c>
      <c r="H387" s="1">
        <f>IF(ISNUMBER(B387),INT(B387),0)</f>
        <v/>
      </c>
      <c r="I387">
        <f>IF(AND(H387&gt;0,ISNUMBER(D387),COUNTIF(Envelopes!$B$6:$B$21,C387)&gt;0,F387=""),1,0)</f>
        <v/>
      </c>
      <c r="J387">
        <f>IF(AND(H387&gt;0,ISNUMBER(D387),COUNTIF(Envelopes!$B$6:$B$21,C387)&gt;0,F387&lt;&gt;"",COUNTIF(Envelopes!$B$6:$B$21,F387)&gt;0),1,0)</f>
        <v/>
      </c>
      <c r="K387">
        <f>IF(I387=1,H387*10000+ROW(),"")</f>
        <v/>
      </c>
    </row>
    <row r="388">
      <c r="A388" s="1" t="n"/>
      <c r="B388" s="21" t="n"/>
      <c r="C388" s="23" t="n"/>
      <c r="D388" s="22" t="n"/>
      <c r="E388" s="24" t="n"/>
      <c r="F388" s="25" t="n"/>
      <c r="G388" s="18">
        <f>IF(AND(C388="",D388=""),"",IF(NOT(ISNUMBER(B388)),"Needs a date",IF(NOT(ISNUMBER(D388)),"Needs the amount",IF(C388="","Needs an envelope",IF(COUNTIF(Envelopes!$B$6:$B$21,C388)=0,"Not on Envelopes",IF(F388="",IF(D388=0,"Needs the amount",""),IF(COUNTIF(Envelopes!$B$6:$B$21,F388)=0,"Moved to: not on Envelopes",IF(D388&lt;=0,"A move needs an amount",IF(F388=C388,"Moved to the same envelope","")))))))))</f>
        <v/>
      </c>
      <c r="H388" s="1">
        <f>IF(ISNUMBER(B388),INT(B388),0)</f>
        <v/>
      </c>
      <c r="I388">
        <f>IF(AND(H388&gt;0,ISNUMBER(D388),COUNTIF(Envelopes!$B$6:$B$21,C388)&gt;0,F388=""),1,0)</f>
        <v/>
      </c>
      <c r="J388">
        <f>IF(AND(H388&gt;0,ISNUMBER(D388),COUNTIF(Envelopes!$B$6:$B$21,C388)&gt;0,F388&lt;&gt;"",COUNTIF(Envelopes!$B$6:$B$21,F388)&gt;0),1,0)</f>
        <v/>
      </c>
      <c r="K388">
        <f>IF(I388=1,H388*10000+ROW(),"")</f>
        <v/>
      </c>
    </row>
    <row r="389">
      <c r="A389" s="1" t="n"/>
      <c r="B389" s="21" t="n"/>
      <c r="C389" s="23" t="n"/>
      <c r="D389" s="22" t="n"/>
      <c r="E389" s="24" t="n"/>
      <c r="F389" s="25" t="n"/>
      <c r="G389" s="18">
        <f>IF(AND(C389="",D389=""),"",IF(NOT(ISNUMBER(B389)),"Needs a date",IF(NOT(ISNUMBER(D389)),"Needs the amount",IF(C389="","Needs an envelope",IF(COUNTIF(Envelopes!$B$6:$B$21,C389)=0,"Not on Envelopes",IF(F389="",IF(D389=0,"Needs the amount",""),IF(COUNTIF(Envelopes!$B$6:$B$21,F389)=0,"Moved to: not on Envelopes",IF(D389&lt;=0,"A move needs an amount",IF(F389=C389,"Moved to the same envelope","")))))))))</f>
        <v/>
      </c>
      <c r="H389" s="1">
        <f>IF(ISNUMBER(B389),INT(B389),0)</f>
        <v/>
      </c>
      <c r="I389">
        <f>IF(AND(H389&gt;0,ISNUMBER(D389),COUNTIF(Envelopes!$B$6:$B$21,C389)&gt;0,F389=""),1,0)</f>
        <v/>
      </c>
      <c r="J389">
        <f>IF(AND(H389&gt;0,ISNUMBER(D389),COUNTIF(Envelopes!$B$6:$B$21,C389)&gt;0,F389&lt;&gt;"",COUNTIF(Envelopes!$B$6:$B$21,F389)&gt;0),1,0)</f>
        <v/>
      </c>
      <c r="K389">
        <f>IF(I389=1,H389*10000+ROW(),"")</f>
        <v/>
      </c>
    </row>
    <row r="390">
      <c r="A390" s="1" t="n"/>
      <c r="B390" s="21" t="n"/>
      <c r="C390" s="23" t="n"/>
      <c r="D390" s="22" t="n"/>
      <c r="E390" s="24" t="n"/>
      <c r="F390" s="25" t="n"/>
      <c r="G390" s="18">
        <f>IF(AND(C390="",D390=""),"",IF(NOT(ISNUMBER(B390)),"Needs a date",IF(NOT(ISNUMBER(D390)),"Needs the amount",IF(C390="","Needs an envelope",IF(COUNTIF(Envelopes!$B$6:$B$21,C390)=0,"Not on Envelopes",IF(F390="",IF(D390=0,"Needs the amount",""),IF(COUNTIF(Envelopes!$B$6:$B$21,F390)=0,"Moved to: not on Envelopes",IF(D390&lt;=0,"A move needs an amount",IF(F390=C390,"Moved to the same envelope","")))))))))</f>
        <v/>
      </c>
      <c r="H390" s="1">
        <f>IF(ISNUMBER(B390),INT(B390),0)</f>
        <v/>
      </c>
      <c r="I390">
        <f>IF(AND(H390&gt;0,ISNUMBER(D390),COUNTIF(Envelopes!$B$6:$B$21,C390)&gt;0,F390=""),1,0)</f>
        <v/>
      </c>
      <c r="J390">
        <f>IF(AND(H390&gt;0,ISNUMBER(D390),COUNTIF(Envelopes!$B$6:$B$21,C390)&gt;0,F390&lt;&gt;"",COUNTIF(Envelopes!$B$6:$B$21,F390)&gt;0),1,0)</f>
        <v/>
      </c>
      <c r="K390">
        <f>IF(I390=1,H390*10000+ROW(),"")</f>
        <v/>
      </c>
    </row>
    <row r="391">
      <c r="A391" s="1" t="n"/>
      <c r="B391" s="21" t="n"/>
      <c r="C391" s="23" t="n"/>
      <c r="D391" s="22" t="n"/>
      <c r="E391" s="24" t="n"/>
      <c r="F391" s="25" t="n"/>
      <c r="G391" s="18">
        <f>IF(AND(C391="",D391=""),"",IF(NOT(ISNUMBER(B391)),"Needs a date",IF(NOT(ISNUMBER(D391)),"Needs the amount",IF(C391="","Needs an envelope",IF(COUNTIF(Envelopes!$B$6:$B$21,C391)=0,"Not on Envelopes",IF(F391="",IF(D391=0,"Needs the amount",""),IF(COUNTIF(Envelopes!$B$6:$B$21,F391)=0,"Moved to: not on Envelopes",IF(D391&lt;=0,"A move needs an amount",IF(F391=C391,"Moved to the same envelope","")))))))))</f>
        <v/>
      </c>
      <c r="H391" s="1">
        <f>IF(ISNUMBER(B391),INT(B391),0)</f>
        <v/>
      </c>
      <c r="I391">
        <f>IF(AND(H391&gt;0,ISNUMBER(D391),COUNTIF(Envelopes!$B$6:$B$21,C391)&gt;0,F391=""),1,0)</f>
        <v/>
      </c>
      <c r="J391">
        <f>IF(AND(H391&gt;0,ISNUMBER(D391),COUNTIF(Envelopes!$B$6:$B$21,C391)&gt;0,F391&lt;&gt;"",COUNTIF(Envelopes!$B$6:$B$21,F391)&gt;0),1,0)</f>
        <v/>
      </c>
      <c r="K391">
        <f>IF(I391=1,H391*10000+ROW(),"")</f>
        <v/>
      </c>
    </row>
    <row r="392">
      <c r="A392" s="1" t="n"/>
      <c r="B392" s="21" t="n"/>
      <c r="C392" s="23" t="n"/>
      <c r="D392" s="22" t="n"/>
      <c r="E392" s="24" t="n"/>
      <c r="F392" s="25" t="n"/>
      <c r="G392" s="18">
        <f>IF(AND(C392="",D392=""),"",IF(NOT(ISNUMBER(B392)),"Needs a date",IF(NOT(ISNUMBER(D392)),"Needs the amount",IF(C392="","Needs an envelope",IF(COUNTIF(Envelopes!$B$6:$B$21,C392)=0,"Not on Envelopes",IF(F392="",IF(D392=0,"Needs the amount",""),IF(COUNTIF(Envelopes!$B$6:$B$21,F392)=0,"Moved to: not on Envelopes",IF(D392&lt;=0,"A move needs an amount",IF(F392=C392,"Moved to the same envelope","")))))))))</f>
        <v/>
      </c>
      <c r="H392" s="1">
        <f>IF(ISNUMBER(B392),INT(B392),0)</f>
        <v/>
      </c>
      <c r="I392">
        <f>IF(AND(H392&gt;0,ISNUMBER(D392),COUNTIF(Envelopes!$B$6:$B$21,C392)&gt;0,F392=""),1,0)</f>
        <v/>
      </c>
      <c r="J392">
        <f>IF(AND(H392&gt;0,ISNUMBER(D392),COUNTIF(Envelopes!$B$6:$B$21,C392)&gt;0,F392&lt;&gt;"",COUNTIF(Envelopes!$B$6:$B$21,F392)&gt;0),1,0)</f>
        <v/>
      </c>
      <c r="K392">
        <f>IF(I392=1,H392*10000+ROW(),"")</f>
        <v/>
      </c>
    </row>
    <row r="393">
      <c r="A393" s="1" t="n"/>
      <c r="B393" s="21" t="n"/>
      <c r="C393" s="23" t="n"/>
      <c r="D393" s="22" t="n"/>
      <c r="E393" s="24" t="n"/>
      <c r="F393" s="25" t="n"/>
      <c r="G393" s="18">
        <f>IF(AND(C393="",D393=""),"",IF(NOT(ISNUMBER(B393)),"Needs a date",IF(NOT(ISNUMBER(D393)),"Needs the amount",IF(C393="","Needs an envelope",IF(COUNTIF(Envelopes!$B$6:$B$21,C393)=0,"Not on Envelopes",IF(F393="",IF(D393=0,"Needs the amount",""),IF(COUNTIF(Envelopes!$B$6:$B$21,F393)=0,"Moved to: not on Envelopes",IF(D393&lt;=0,"A move needs an amount",IF(F393=C393,"Moved to the same envelope","")))))))))</f>
        <v/>
      </c>
      <c r="H393" s="1">
        <f>IF(ISNUMBER(B393),INT(B393),0)</f>
        <v/>
      </c>
      <c r="I393">
        <f>IF(AND(H393&gt;0,ISNUMBER(D393),COUNTIF(Envelopes!$B$6:$B$21,C393)&gt;0,F393=""),1,0)</f>
        <v/>
      </c>
      <c r="J393">
        <f>IF(AND(H393&gt;0,ISNUMBER(D393),COUNTIF(Envelopes!$B$6:$B$21,C393)&gt;0,F393&lt;&gt;"",COUNTIF(Envelopes!$B$6:$B$21,F393)&gt;0),1,0)</f>
        <v/>
      </c>
      <c r="K393">
        <f>IF(I393=1,H393*10000+ROW(),"")</f>
        <v/>
      </c>
    </row>
    <row r="394">
      <c r="A394" s="1" t="n"/>
      <c r="B394" s="21" t="n"/>
      <c r="C394" s="23" t="n"/>
      <c r="D394" s="22" t="n"/>
      <c r="E394" s="24" t="n"/>
      <c r="F394" s="25" t="n"/>
      <c r="G394" s="18">
        <f>IF(AND(C394="",D394=""),"",IF(NOT(ISNUMBER(B394)),"Needs a date",IF(NOT(ISNUMBER(D394)),"Needs the amount",IF(C394="","Needs an envelope",IF(COUNTIF(Envelopes!$B$6:$B$21,C394)=0,"Not on Envelopes",IF(F394="",IF(D394=0,"Needs the amount",""),IF(COUNTIF(Envelopes!$B$6:$B$21,F394)=0,"Moved to: not on Envelopes",IF(D394&lt;=0,"A move needs an amount",IF(F394=C394,"Moved to the same envelope","")))))))))</f>
        <v/>
      </c>
      <c r="H394" s="1">
        <f>IF(ISNUMBER(B394),INT(B394),0)</f>
        <v/>
      </c>
      <c r="I394">
        <f>IF(AND(H394&gt;0,ISNUMBER(D394),COUNTIF(Envelopes!$B$6:$B$21,C394)&gt;0,F394=""),1,0)</f>
        <v/>
      </c>
      <c r="J394">
        <f>IF(AND(H394&gt;0,ISNUMBER(D394),COUNTIF(Envelopes!$B$6:$B$21,C394)&gt;0,F394&lt;&gt;"",COUNTIF(Envelopes!$B$6:$B$21,F394)&gt;0),1,0)</f>
        <v/>
      </c>
      <c r="K394">
        <f>IF(I394=1,H394*10000+ROW(),"")</f>
        <v/>
      </c>
    </row>
    <row r="395">
      <c r="A395" s="1" t="n"/>
      <c r="B395" s="21" t="n"/>
      <c r="C395" s="23" t="n"/>
      <c r="D395" s="22" t="n"/>
      <c r="E395" s="24" t="n"/>
      <c r="F395" s="25" t="n"/>
      <c r="G395" s="18">
        <f>IF(AND(C395="",D395=""),"",IF(NOT(ISNUMBER(B395)),"Needs a date",IF(NOT(ISNUMBER(D395)),"Needs the amount",IF(C395="","Needs an envelope",IF(COUNTIF(Envelopes!$B$6:$B$21,C395)=0,"Not on Envelopes",IF(F395="",IF(D395=0,"Needs the amount",""),IF(COUNTIF(Envelopes!$B$6:$B$21,F395)=0,"Moved to: not on Envelopes",IF(D395&lt;=0,"A move needs an amount",IF(F395=C395,"Moved to the same envelope","")))))))))</f>
        <v/>
      </c>
      <c r="H395" s="1">
        <f>IF(ISNUMBER(B395),INT(B395),0)</f>
        <v/>
      </c>
      <c r="I395">
        <f>IF(AND(H395&gt;0,ISNUMBER(D395),COUNTIF(Envelopes!$B$6:$B$21,C395)&gt;0,F395=""),1,0)</f>
        <v/>
      </c>
      <c r="J395">
        <f>IF(AND(H395&gt;0,ISNUMBER(D395),COUNTIF(Envelopes!$B$6:$B$21,C395)&gt;0,F395&lt;&gt;"",COUNTIF(Envelopes!$B$6:$B$21,F395)&gt;0),1,0)</f>
        <v/>
      </c>
      <c r="K395">
        <f>IF(I395=1,H395*10000+ROW(),"")</f>
        <v/>
      </c>
    </row>
    <row r="396">
      <c r="A396" s="1" t="n"/>
      <c r="B396" s="21" t="n"/>
      <c r="C396" s="23" t="n"/>
      <c r="D396" s="22" t="n"/>
      <c r="E396" s="24" t="n"/>
      <c r="F396" s="25" t="n"/>
      <c r="G396" s="18">
        <f>IF(AND(C396="",D396=""),"",IF(NOT(ISNUMBER(B396)),"Needs a date",IF(NOT(ISNUMBER(D396)),"Needs the amount",IF(C396="","Needs an envelope",IF(COUNTIF(Envelopes!$B$6:$B$21,C396)=0,"Not on Envelopes",IF(F396="",IF(D396=0,"Needs the amount",""),IF(COUNTIF(Envelopes!$B$6:$B$21,F396)=0,"Moved to: not on Envelopes",IF(D396&lt;=0,"A move needs an amount",IF(F396=C396,"Moved to the same envelope","")))))))))</f>
        <v/>
      </c>
      <c r="H396" s="1">
        <f>IF(ISNUMBER(B396),INT(B396),0)</f>
        <v/>
      </c>
      <c r="I396">
        <f>IF(AND(H396&gt;0,ISNUMBER(D396),COUNTIF(Envelopes!$B$6:$B$21,C396)&gt;0,F396=""),1,0)</f>
        <v/>
      </c>
      <c r="J396">
        <f>IF(AND(H396&gt;0,ISNUMBER(D396),COUNTIF(Envelopes!$B$6:$B$21,C396)&gt;0,F396&lt;&gt;"",COUNTIF(Envelopes!$B$6:$B$21,F396)&gt;0),1,0)</f>
        <v/>
      </c>
      <c r="K396">
        <f>IF(I396=1,H396*10000+ROW(),"")</f>
        <v/>
      </c>
    </row>
    <row r="397">
      <c r="A397" s="1" t="n"/>
      <c r="B397" s="21" t="n"/>
      <c r="C397" s="23" t="n"/>
      <c r="D397" s="22" t="n"/>
      <c r="E397" s="24" t="n"/>
      <c r="F397" s="25" t="n"/>
      <c r="G397" s="18">
        <f>IF(AND(C397="",D397=""),"",IF(NOT(ISNUMBER(B397)),"Needs a date",IF(NOT(ISNUMBER(D397)),"Needs the amount",IF(C397="","Needs an envelope",IF(COUNTIF(Envelopes!$B$6:$B$21,C397)=0,"Not on Envelopes",IF(F397="",IF(D397=0,"Needs the amount",""),IF(COUNTIF(Envelopes!$B$6:$B$21,F397)=0,"Moved to: not on Envelopes",IF(D397&lt;=0,"A move needs an amount",IF(F397=C397,"Moved to the same envelope","")))))))))</f>
        <v/>
      </c>
      <c r="H397" s="1">
        <f>IF(ISNUMBER(B397),INT(B397),0)</f>
        <v/>
      </c>
      <c r="I397">
        <f>IF(AND(H397&gt;0,ISNUMBER(D397),COUNTIF(Envelopes!$B$6:$B$21,C397)&gt;0,F397=""),1,0)</f>
        <v/>
      </c>
      <c r="J397">
        <f>IF(AND(H397&gt;0,ISNUMBER(D397),COUNTIF(Envelopes!$B$6:$B$21,C397)&gt;0,F397&lt;&gt;"",COUNTIF(Envelopes!$B$6:$B$21,F397)&gt;0),1,0)</f>
        <v/>
      </c>
      <c r="K397">
        <f>IF(I397=1,H397*10000+ROW(),"")</f>
        <v/>
      </c>
    </row>
    <row r="398">
      <c r="A398" s="1" t="n"/>
      <c r="B398" s="21" t="n"/>
      <c r="C398" s="23" t="n"/>
      <c r="D398" s="22" t="n"/>
      <c r="E398" s="24" t="n"/>
      <c r="F398" s="25" t="n"/>
      <c r="G398" s="18">
        <f>IF(AND(C398="",D398=""),"",IF(NOT(ISNUMBER(B398)),"Needs a date",IF(NOT(ISNUMBER(D398)),"Needs the amount",IF(C398="","Needs an envelope",IF(COUNTIF(Envelopes!$B$6:$B$21,C398)=0,"Not on Envelopes",IF(F398="",IF(D398=0,"Needs the amount",""),IF(COUNTIF(Envelopes!$B$6:$B$21,F398)=0,"Moved to: not on Envelopes",IF(D398&lt;=0,"A move needs an amount",IF(F398=C398,"Moved to the same envelope","")))))))))</f>
        <v/>
      </c>
      <c r="H398" s="1">
        <f>IF(ISNUMBER(B398),INT(B398),0)</f>
        <v/>
      </c>
      <c r="I398">
        <f>IF(AND(H398&gt;0,ISNUMBER(D398),COUNTIF(Envelopes!$B$6:$B$21,C398)&gt;0,F398=""),1,0)</f>
        <v/>
      </c>
      <c r="J398">
        <f>IF(AND(H398&gt;0,ISNUMBER(D398),COUNTIF(Envelopes!$B$6:$B$21,C398)&gt;0,F398&lt;&gt;"",COUNTIF(Envelopes!$B$6:$B$21,F398)&gt;0),1,0)</f>
        <v/>
      </c>
      <c r="K398">
        <f>IF(I398=1,H398*10000+ROW(),"")</f>
        <v/>
      </c>
    </row>
    <row r="399">
      <c r="A399" s="1" t="n"/>
      <c r="B399" s="21" t="n"/>
      <c r="C399" s="23" t="n"/>
      <c r="D399" s="22" t="n"/>
      <c r="E399" s="24" t="n"/>
      <c r="F399" s="25" t="n"/>
      <c r="G399" s="18">
        <f>IF(AND(C399="",D399=""),"",IF(NOT(ISNUMBER(B399)),"Needs a date",IF(NOT(ISNUMBER(D399)),"Needs the amount",IF(C399="","Needs an envelope",IF(COUNTIF(Envelopes!$B$6:$B$21,C399)=0,"Not on Envelopes",IF(F399="",IF(D399=0,"Needs the amount",""),IF(COUNTIF(Envelopes!$B$6:$B$21,F399)=0,"Moved to: not on Envelopes",IF(D399&lt;=0,"A move needs an amount",IF(F399=C399,"Moved to the same envelope","")))))))))</f>
        <v/>
      </c>
      <c r="H399" s="1">
        <f>IF(ISNUMBER(B399),INT(B399),0)</f>
        <v/>
      </c>
      <c r="I399">
        <f>IF(AND(H399&gt;0,ISNUMBER(D399),COUNTIF(Envelopes!$B$6:$B$21,C399)&gt;0,F399=""),1,0)</f>
        <v/>
      </c>
      <c r="J399">
        <f>IF(AND(H399&gt;0,ISNUMBER(D399),COUNTIF(Envelopes!$B$6:$B$21,C399)&gt;0,F399&lt;&gt;"",COUNTIF(Envelopes!$B$6:$B$21,F399)&gt;0),1,0)</f>
        <v/>
      </c>
      <c r="K399">
        <f>IF(I399=1,H399*10000+ROW(),"")</f>
        <v/>
      </c>
    </row>
    <row r="400">
      <c r="A400" s="1" t="n"/>
      <c r="B400" s="21" t="n"/>
      <c r="C400" s="23" t="n"/>
      <c r="D400" s="22" t="n"/>
      <c r="E400" s="24" t="n"/>
      <c r="F400" s="25" t="n"/>
      <c r="G400" s="18">
        <f>IF(AND(C400="",D400=""),"",IF(NOT(ISNUMBER(B400)),"Needs a date",IF(NOT(ISNUMBER(D400)),"Needs the amount",IF(C400="","Needs an envelope",IF(COUNTIF(Envelopes!$B$6:$B$21,C400)=0,"Not on Envelopes",IF(F400="",IF(D400=0,"Needs the amount",""),IF(COUNTIF(Envelopes!$B$6:$B$21,F400)=0,"Moved to: not on Envelopes",IF(D400&lt;=0,"A move needs an amount",IF(F400=C400,"Moved to the same envelope","")))))))))</f>
        <v/>
      </c>
      <c r="H400" s="1">
        <f>IF(ISNUMBER(B400),INT(B400),0)</f>
        <v/>
      </c>
      <c r="I400">
        <f>IF(AND(H400&gt;0,ISNUMBER(D400),COUNTIF(Envelopes!$B$6:$B$21,C400)&gt;0,F400=""),1,0)</f>
        <v/>
      </c>
      <c r="J400">
        <f>IF(AND(H400&gt;0,ISNUMBER(D400),COUNTIF(Envelopes!$B$6:$B$21,C400)&gt;0,F400&lt;&gt;"",COUNTIF(Envelopes!$B$6:$B$21,F400)&gt;0),1,0)</f>
        <v/>
      </c>
      <c r="K400">
        <f>IF(I400=1,H400*10000+ROW(),"")</f>
        <v/>
      </c>
    </row>
    <row r="401">
      <c r="A401" s="1" t="n"/>
      <c r="B401" s="21" t="n"/>
      <c r="C401" s="23" t="n"/>
      <c r="D401" s="22" t="n"/>
      <c r="E401" s="24" t="n"/>
      <c r="F401" s="25" t="n"/>
      <c r="G401" s="18">
        <f>IF(AND(C401="",D401=""),"",IF(NOT(ISNUMBER(B401)),"Needs a date",IF(NOT(ISNUMBER(D401)),"Needs the amount",IF(C401="","Needs an envelope",IF(COUNTIF(Envelopes!$B$6:$B$21,C401)=0,"Not on Envelopes",IF(F401="",IF(D401=0,"Needs the amount",""),IF(COUNTIF(Envelopes!$B$6:$B$21,F401)=0,"Moved to: not on Envelopes",IF(D401&lt;=0,"A move needs an amount",IF(F401=C401,"Moved to the same envelope","")))))))))</f>
        <v/>
      </c>
      <c r="H401" s="1">
        <f>IF(ISNUMBER(B401),INT(B401),0)</f>
        <v/>
      </c>
      <c r="I401">
        <f>IF(AND(H401&gt;0,ISNUMBER(D401),COUNTIF(Envelopes!$B$6:$B$21,C401)&gt;0,F401=""),1,0)</f>
        <v/>
      </c>
      <c r="J401">
        <f>IF(AND(H401&gt;0,ISNUMBER(D401),COUNTIF(Envelopes!$B$6:$B$21,C401)&gt;0,F401&lt;&gt;"",COUNTIF(Envelopes!$B$6:$B$21,F401)&gt;0),1,0)</f>
        <v/>
      </c>
      <c r="K401">
        <f>IF(I401=1,H401*10000+ROW(),"")</f>
        <v/>
      </c>
    </row>
    <row r="402">
      <c r="A402" s="1" t="n"/>
      <c r="B402" s="21" t="n"/>
      <c r="C402" s="23" t="n"/>
      <c r="D402" s="22" t="n"/>
      <c r="E402" s="24" t="n"/>
      <c r="F402" s="25" t="n"/>
      <c r="G402" s="18">
        <f>IF(AND(C402="",D402=""),"",IF(NOT(ISNUMBER(B402)),"Needs a date",IF(NOT(ISNUMBER(D402)),"Needs the amount",IF(C402="","Needs an envelope",IF(COUNTIF(Envelopes!$B$6:$B$21,C402)=0,"Not on Envelopes",IF(F402="",IF(D402=0,"Needs the amount",""),IF(COUNTIF(Envelopes!$B$6:$B$21,F402)=0,"Moved to: not on Envelopes",IF(D402&lt;=0,"A move needs an amount",IF(F402=C402,"Moved to the same envelope","")))))))))</f>
        <v/>
      </c>
      <c r="H402" s="1">
        <f>IF(ISNUMBER(B402),INT(B402),0)</f>
        <v/>
      </c>
      <c r="I402">
        <f>IF(AND(H402&gt;0,ISNUMBER(D402),COUNTIF(Envelopes!$B$6:$B$21,C402)&gt;0,F402=""),1,0)</f>
        <v/>
      </c>
      <c r="J402">
        <f>IF(AND(H402&gt;0,ISNUMBER(D402),COUNTIF(Envelopes!$B$6:$B$21,C402)&gt;0,F402&lt;&gt;"",COUNTIF(Envelopes!$B$6:$B$21,F402)&gt;0),1,0)</f>
        <v/>
      </c>
      <c r="K402">
        <f>IF(I402=1,H402*10000+ROW(),"")</f>
        <v/>
      </c>
    </row>
    <row r="403">
      <c r="A403" s="1" t="n"/>
      <c r="B403" s="21" t="n"/>
      <c r="C403" s="23" t="n"/>
      <c r="D403" s="22" t="n"/>
      <c r="E403" s="24" t="n"/>
      <c r="F403" s="25" t="n"/>
      <c r="G403" s="18">
        <f>IF(AND(C403="",D403=""),"",IF(NOT(ISNUMBER(B403)),"Needs a date",IF(NOT(ISNUMBER(D403)),"Needs the amount",IF(C403="","Needs an envelope",IF(COUNTIF(Envelopes!$B$6:$B$21,C403)=0,"Not on Envelopes",IF(F403="",IF(D403=0,"Needs the amount",""),IF(COUNTIF(Envelopes!$B$6:$B$21,F403)=0,"Moved to: not on Envelopes",IF(D403&lt;=0,"A move needs an amount",IF(F403=C403,"Moved to the same envelope","")))))))))</f>
        <v/>
      </c>
      <c r="H403" s="1">
        <f>IF(ISNUMBER(B403),INT(B403),0)</f>
        <v/>
      </c>
      <c r="I403">
        <f>IF(AND(H403&gt;0,ISNUMBER(D403),COUNTIF(Envelopes!$B$6:$B$21,C403)&gt;0,F403=""),1,0)</f>
        <v/>
      </c>
      <c r="J403">
        <f>IF(AND(H403&gt;0,ISNUMBER(D403),COUNTIF(Envelopes!$B$6:$B$21,C403)&gt;0,F403&lt;&gt;"",COUNTIF(Envelopes!$B$6:$B$21,F403)&gt;0),1,0)</f>
        <v/>
      </c>
      <c r="K403">
        <f>IF(I403=1,H403*10000+ROW(),"")</f>
        <v/>
      </c>
    </row>
    <row r="404">
      <c r="A404" s="1" t="n"/>
      <c r="B404" s="21" t="n"/>
      <c r="C404" s="23" t="n"/>
      <c r="D404" s="22" t="n"/>
      <c r="E404" s="24" t="n"/>
      <c r="F404" s="25" t="n"/>
      <c r="G404" s="18">
        <f>IF(AND(C404="",D404=""),"",IF(NOT(ISNUMBER(B404)),"Needs a date",IF(NOT(ISNUMBER(D404)),"Needs the amount",IF(C404="","Needs an envelope",IF(COUNTIF(Envelopes!$B$6:$B$21,C404)=0,"Not on Envelopes",IF(F404="",IF(D404=0,"Needs the amount",""),IF(COUNTIF(Envelopes!$B$6:$B$21,F404)=0,"Moved to: not on Envelopes",IF(D404&lt;=0,"A move needs an amount",IF(F404=C404,"Moved to the same envelope","")))))))))</f>
        <v/>
      </c>
      <c r="H404" s="1">
        <f>IF(ISNUMBER(B404),INT(B404),0)</f>
        <v/>
      </c>
      <c r="I404">
        <f>IF(AND(H404&gt;0,ISNUMBER(D404),COUNTIF(Envelopes!$B$6:$B$21,C404)&gt;0,F404=""),1,0)</f>
        <v/>
      </c>
      <c r="J404">
        <f>IF(AND(H404&gt;0,ISNUMBER(D404),COUNTIF(Envelopes!$B$6:$B$21,C404)&gt;0,F404&lt;&gt;"",COUNTIF(Envelopes!$B$6:$B$21,F404)&gt;0),1,0)</f>
        <v/>
      </c>
      <c r="K404">
        <f>IF(I404=1,H404*10000+ROW(),"")</f>
        <v/>
      </c>
    </row>
    <row r="405">
      <c r="A405" s="1" t="n"/>
      <c r="B405" s="21" t="n"/>
      <c r="C405" s="23" t="n"/>
      <c r="D405" s="22" t="n"/>
      <c r="E405" s="24" t="n"/>
      <c r="F405" s="25" t="n"/>
      <c r="G405" s="18">
        <f>IF(AND(C405="",D405=""),"",IF(NOT(ISNUMBER(B405)),"Needs a date",IF(NOT(ISNUMBER(D405)),"Needs the amount",IF(C405="","Needs an envelope",IF(COUNTIF(Envelopes!$B$6:$B$21,C405)=0,"Not on Envelopes",IF(F405="",IF(D405=0,"Needs the amount",""),IF(COUNTIF(Envelopes!$B$6:$B$21,F405)=0,"Moved to: not on Envelopes",IF(D405&lt;=0,"A move needs an amount",IF(F405=C405,"Moved to the same envelope","")))))))))</f>
        <v/>
      </c>
      <c r="H405" s="1">
        <f>IF(ISNUMBER(B405),INT(B405),0)</f>
        <v/>
      </c>
      <c r="I405">
        <f>IF(AND(H405&gt;0,ISNUMBER(D405),COUNTIF(Envelopes!$B$6:$B$21,C405)&gt;0,F405=""),1,0)</f>
        <v/>
      </c>
      <c r="J405">
        <f>IF(AND(H405&gt;0,ISNUMBER(D405),COUNTIF(Envelopes!$B$6:$B$21,C405)&gt;0,F405&lt;&gt;"",COUNTIF(Envelopes!$B$6:$B$21,F405)&gt;0),1,0)</f>
        <v/>
      </c>
      <c r="K405">
        <f>IF(I405=1,H405*10000+ROW(),"")</f>
        <v/>
      </c>
    </row>
    <row r="406">
      <c r="A406" s="1" t="n"/>
      <c r="B406" s="21" t="n"/>
      <c r="C406" s="23" t="n"/>
      <c r="D406" s="22" t="n"/>
      <c r="E406" s="24" t="n"/>
      <c r="F406" s="25" t="n"/>
      <c r="G406" s="18">
        <f>IF(AND(C406="",D406=""),"",IF(NOT(ISNUMBER(B406)),"Needs a date",IF(NOT(ISNUMBER(D406)),"Needs the amount",IF(C406="","Needs an envelope",IF(COUNTIF(Envelopes!$B$6:$B$21,C406)=0,"Not on Envelopes",IF(F406="",IF(D406=0,"Needs the amount",""),IF(COUNTIF(Envelopes!$B$6:$B$21,F406)=0,"Moved to: not on Envelopes",IF(D406&lt;=0,"A move needs an amount",IF(F406=C406,"Moved to the same envelope","")))))))))</f>
        <v/>
      </c>
      <c r="H406" s="1">
        <f>IF(ISNUMBER(B406),INT(B406),0)</f>
        <v/>
      </c>
      <c r="I406">
        <f>IF(AND(H406&gt;0,ISNUMBER(D406),COUNTIF(Envelopes!$B$6:$B$21,C406)&gt;0,F406=""),1,0)</f>
        <v/>
      </c>
      <c r="J406">
        <f>IF(AND(H406&gt;0,ISNUMBER(D406),COUNTIF(Envelopes!$B$6:$B$21,C406)&gt;0,F406&lt;&gt;"",COUNTIF(Envelopes!$B$6:$B$21,F406)&gt;0),1,0)</f>
        <v/>
      </c>
      <c r="K406">
        <f>IF(I406=1,H406*10000+ROW(),"")</f>
        <v/>
      </c>
    </row>
    <row r="407">
      <c r="A407" s="1" t="n"/>
      <c r="B407" s="21" t="n"/>
      <c r="C407" s="23" t="n"/>
      <c r="D407" s="22" t="n"/>
      <c r="E407" s="24" t="n"/>
      <c r="F407" s="25" t="n"/>
      <c r="G407" s="18">
        <f>IF(AND(C407="",D407=""),"",IF(NOT(ISNUMBER(B407)),"Needs a date",IF(NOT(ISNUMBER(D407)),"Needs the amount",IF(C407="","Needs an envelope",IF(COUNTIF(Envelopes!$B$6:$B$21,C407)=0,"Not on Envelopes",IF(F407="",IF(D407=0,"Needs the amount",""),IF(COUNTIF(Envelopes!$B$6:$B$21,F407)=0,"Moved to: not on Envelopes",IF(D407&lt;=0,"A move needs an amount",IF(F407=C407,"Moved to the same envelope","")))))))))</f>
        <v/>
      </c>
      <c r="H407" s="1">
        <f>IF(ISNUMBER(B407),INT(B407),0)</f>
        <v/>
      </c>
      <c r="I407">
        <f>IF(AND(H407&gt;0,ISNUMBER(D407),COUNTIF(Envelopes!$B$6:$B$21,C407)&gt;0,F407=""),1,0)</f>
        <v/>
      </c>
      <c r="J407">
        <f>IF(AND(H407&gt;0,ISNUMBER(D407),COUNTIF(Envelopes!$B$6:$B$21,C407)&gt;0,F407&lt;&gt;"",COUNTIF(Envelopes!$B$6:$B$21,F407)&gt;0),1,0)</f>
        <v/>
      </c>
      <c r="K407">
        <f>IF(I407=1,H407*10000+ROW(),"")</f>
        <v/>
      </c>
    </row>
    <row r="408">
      <c r="A408" s="1" t="n"/>
      <c r="B408" s="21" t="n"/>
      <c r="C408" s="23" t="n"/>
      <c r="D408" s="22" t="n"/>
      <c r="E408" s="24" t="n"/>
      <c r="F408" s="25" t="n"/>
      <c r="G408" s="18">
        <f>IF(AND(C408="",D408=""),"",IF(NOT(ISNUMBER(B408)),"Needs a date",IF(NOT(ISNUMBER(D408)),"Needs the amount",IF(C408="","Needs an envelope",IF(COUNTIF(Envelopes!$B$6:$B$21,C408)=0,"Not on Envelopes",IF(F408="",IF(D408=0,"Needs the amount",""),IF(COUNTIF(Envelopes!$B$6:$B$21,F408)=0,"Moved to: not on Envelopes",IF(D408&lt;=0,"A move needs an amount",IF(F408=C408,"Moved to the same envelope","")))))))))</f>
        <v/>
      </c>
      <c r="H408" s="1">
        <f>IF(ISNUMBER(B408),INT(B408),0)</f>
        <v/>
      </c>
      <c r="I408">
        <f>IF(AND(H408&gt;0,ISNUMBER(D408),COUNTIF(Envelopes!$B$6:$B$21,C408)&gt;0,F408=""),1,0)</f>
        <v/>
      </c>
      <c r="J408">
        <f>IF(AND(H408&gt;0,ISNUMBER(D408),COUNTIF(Envelopes!$B$6:$B$21,C408)&gt;0,F408&lt;&gt;"",COUNTIF(Envelopes!$B$6:$B$21,F408)&gt;0),1,0)</f>
        <v/>
      </c>
      <c r="K408">
        <f>IF(I408=1,H408*10000+ROW(),"")</f>
        <v/>
      </c>
    </row>
    <row r="409">
      <c r="A409" s="1" t="n"/>
      <c r="B409" s="21" t="n"/>
      <c r="C409" s="23" t="n"/>
      <c r="D409" s="22" t="n"/>
      <c r="E409" s="24" t="n"/>
      <c r="F409" s="25" t="n"/>
      <c r="G409" s="18">
        <f>IF(AND(C409="",D409=""),"",IF(NOT(ISNUMBER(B409)),"Needs a date",IF(NOT(ISNUMBER(D409)),"Needs the amount",IF(C409="","Needs an envelope",IF(COUNTIF(Envelopes!$B$6:$B$21,C409)=0,"Not on Envelopes",IF(F409="",IF(D409=0,"Needs the amount",""),IF(COUNTIF(Envelopes!$B$6:$B$21,F409)=0,"Moved to: not on Envelopes",IF(D409&lt;=0,"A move needs an amount",IF(F409=C409,"Moved to the same envelope","")))))))))</f>
        <v/>
      </c>
      <c r="H409" s="1">
        <f>IF(ISNUMBER(B409),INT(B409),0)</f>
        <v/>
      </c>
      <c r="I409">
        <f>IF(AND(H409&gt;0,ISNUMBER(D409),COUNTIF(Envelopes!$B$6:$B$21,C409)&gt;0,F409=""),1,0)</f>
        <v/>
      </c>
      <c r="J409">
        <f>IF(AND(H409&gt;0,ISNUMBER(D409),COUNTIF(Envelopes!$B$6:$B$21,C409)&gt;0,F409&lt;&gt;"",COUNTIF(Envelopes!$B$6:$B$21,F409)&gt;0),1,0)</f>
        <v/>
      </c>
      <c r="K409">
        <f>IF(I409=1,H409*10000+ROW(),"")</f>
        <v/>
      </c>
    </row>
    <row r="410">
      <c r="A410" s="1" t="n"/>
      <c r="B410" s="21" t="n"/>
      <c r="C410" s="23" t="n"/>
      <c r="D410" s="22" t="n"/>
      <c r="E410" s="24" t="n"/>
      <c r="F410" s="25" t="n"/>
      <c r="G410" s="18">
        <f>IF(AND(C410="",D410=""),"",IF(NOT(ISNUMBER(B410)),"Needs a date",IF(NOT(ISNUMBER(D410)),"Needs the amount",IF(C410="","Needs an envelope",IF(COUNTIF(Envelopes!$B$6:$B$21,C410)=0,"Not on Envelopes",IF(F410="",IF(D410=0,"Needs the amount",""),IF(COUNTIF(Envelopes!$B$6:$B$21,F410)=0,"Moved to: not on Envelopes",IF(D410&lt;=0,"A move needs an amount",IF(F410=C410,"Moved to the same envelope","")))))))))</f>
        <v/>
      </c>
      <c r="H410" s="1">
        <f>IF(ISNUMBER(B410),INT(B410),0)</f>
        <v/>
      </c>
      <c r="I410">
        <f>IF(AND(H410&gt;0,ISNUMBER(D410),COUNTIF(Envelopes!$B$6:$B$21,C410)&gt;0,F410=""),1,0)</f>
        <v/>
      </c>
      <c r="J410">
        <f>IF(AND(H410&gt;0,ISNUMBER(D410),COUNTIF(Envelopes!$B$6:$B$21,C410)&gt;0,F410&lt;&gt;"",COUNTIF(Envelopes!$B$6:$B$21,F410)&gt;0),1,0)</f>
        <v/>
      </c>
      <c r="K410">
        <f>IF(I410=1,H410*10000+ROW(),"")</f>
        <v/>
      </c>
    </row>
    <row r="411">
      <c r="A411" s="1" t="n"/>
      <c r="B411" s="21" t="n"/>
      <c r="C411" s="23" t="n"/>
      <c r="D411" s="22" t="n"/>
      <c r="E411" s="24" t="n"/>
      <c r="F411" s="25" t="n"/>
      <c r="G411" s="18">
        <f>IF(AND(C411="",D411=""),"",IF(NOT(ISNUMBER(B411)),"Needs a date",IF(NOT(ISNUMBER(D411)),"Needs the amount",IF(C411="","Needs an envelope",IF(COUNTIF(Envelopes!$B$6:$B$21,C411)=0,"Not on Envelopes",IF(F411="",IF(D411=0,"Needs the amount",""),IF(COUNTIF(Envelopes!$B$6:$B$21,F411)=0,"Moved to: not on Envelopes",IF(D411&lt;=0,"A move needs an amount",IF(F411=C411,"Moved to the same envelope","")))))))))</f>
        <v/>
      </c>
      <c r="H411" s="1">
        <f>IF(ISNUMBER(B411),INT(B411),0)</f>
        <v/>
      </c>
      <c r="I411">
        <f>IF(AND(H411&gt;0,ISNUMBER(D411),COUNTIF(Envelopes!$B$6:$B$21,C411)&gt;0,F411=""),1,0)</f>
        <v/>
      </c>
      <c r="J411">
        <f>IF(AND(H411&gt;0,ISNUMBER(D411),COUNTIF(Envelopes!$B$6:$B$21,C411)&gt;0,F411&lt;&gt;"",COUNTIF(Envelopes!$B$6:$B$21,F411)&gt;0),1,0)</f>
        <v/>
      </c>
      <c r="K411">
        <f>IF(I411=1,H411*10000+ROW(),"")</f>
        <v/>
      </c>
    </row>
    <row r="412">
      <c r="A412" s="1" t="n"/>
      <c r="B412" s="21" t="n"/>
      <c r="C412" s="23" t="n"/>
      <c r="D412" s="22" t="n"/>
      <c r="E412" s="24" t="n"/>
      <c r="F412" s="25" t="n"/>
      <c r="G412" s="18">
        <f>IF(AND(C412="",D412=""),"",IF(NOT(ISNUMBER(B412)),"Needs a date",IF(NOT(ISNUMBER(D412)),"Needs the amount",IF(C412="","Needs an envelope",IF(COUNTIF(Envelopes!$B$6:$B$21,C412)=0,"Not on Envelopes",IF(F412="",IF(D412=0,"Needs the amount",""),IF(COUNTIF(Envelopes!$B$6:$B$21,F412)=0,"Moved to: not on Envelopes",IF(D412&lt;=0,"A move needs an amount",IF(F412=C412,"Moved to the same envelope","")))))))))</f>
        <v/>
      </c>
      <c r="H412" s="1">
        <f>IF(ISNUMBER(B412),INT(B412),0)</f>
        <v/>
      </c>
      <c r="I412">
        <f>IF(AND(H412&gt;0,ISNUMBER(D412),COUNTIF(Envelopes!$B$6:$B$21,C412)&gt;0,F412=""),1,0)</f>
        <v/>
      </c>
      <c r="J412">
        <f>IF(AND(H412&gt;0,ISNUMBER(D412),COUNTIF(Envelopes!$B$6:$B$21,C412)&gt;0,F412&lt;&gt;"",COUNTIF(Envelopes!$B$6:$B$21,F412)&gt;0),1,0)</f>
        <v/>
      </c>
      <c r="K412">
        <f>IF(I412=1,H412*10000+ROW(),"")</f>
        <v/>
      </c>
    </row>
    <row r="413">
      <c r="A413" s="1" t="n"/>
      <c r="B413" s="21" t="n"/>
      <c r="C413" s="23" t="n"/>
      <c r="D413" s="22" t="n"/>
      <c r="E413" s="24" t="n"/>
      <c r="F413" s="25" t="n"/>
      <c r="G413" s="18">
        <f>IF(AND(C413="",D413=""),"",IF(NOT(ISNUMBER(B413)),"Needs a date",IF(NOT(ISNUMBER(D413)),"Needs the amount",IF(C413="","Needs an envelope",IF(COUNTIF(Envelopes!$B$6:$B$21,C413)=0,"Not on Envelopes",IF(F413="",IF(D413=0,"Needs the amount",""),IF(COUNTIF(Envelopes!$B$6:$B$21,F413)=0,"Moved to: not on Envelopes",IF(D413&lt;=0,"A move needs an amount",IF(F413=C413,"Moved to the same envelope","")))))))))</f>
        <v/>
      </c>
      <c r="H413" s="1">
        <f>IF(ISNUMBER(B413),INT(B413),0)</f>
        <v/>
      </c>
      <c r="I413">
        <f>IF(AND(H413&gt;0,ISNUMBER(D413),COUNTIF(Envelopes!$B$6:$B$21,C413)&gt;0,F413=""),1,0)</f>
        <v/>
      </c>
      <c r="J413">
        <f>IF(AND(H413&gt;0,ISNUMBER(D413),COUNTIF(Envelopes!$B$6:$B$21,C413)&gt;0,F413&lt;&gt;"",COUNTIF(Envelopes!$B$6:$B$21,F413)&gt;0),1,0)</f>
        <v/>
      </c>
      <c r="K413">
        <f>IF(I413=1,H413*10000+ROW(),"")</f>
        <v/>
      </c>
    </row>
    <row r="414">
      <c r="A414" s="1" t="n"/>
      <c r="B414" s="21" t="n"/>
      <c r="C414" s="23" t="n"/>
      <c r="D414" s="22" t="n"/>
      <c r="E414" s="24" t="n"/>
      <c r="F414" s="25" t="n"/>
      <c r="G414" s="18">
        <f>IF(AND(C414="",D414=""),"",IF(NOT(ISNUMBER(B414)),"Needs a date",IF(NOT(ISNUMBER(D414)),"Needs the amount",IF(C414="","Needs an envelope",IF(COUNTIF(Envelopes!$B$6:$B$21,C414)=0,"Not on Envelopes",IF(F414="",IF(D414=0,"Needs the amount",""),IF(COUNTIF(Envelopes!$B$6:$B$21,F414)=0,"Moved to: not on Envelopes",IF(D414&lt;=0,"A move needs an amount",IF(F414=C414,"Moved to the same envelope","")))))))))</f>
        <v/>
      </c>
      <c r="H414" s="1">
        <f>IF(ISNUMBER(B414),INT(B414),0)</f>
        <v/>
      </c>
      <c r="I414">
        <f>IF(AND(H414&gt;0,ISNUMBER(D414),COUNTIF(Envelopes!$B$6:$B$21,C414)&gt;0,F414=""),1,0)</f>
        <v/>
      </c>
      <c r="J414">
        <f>IF(AND(H414&gt;0,ISNUMBER(D414),COUNTIF(Envelopes!$B$6:$B$21,C414)&gt;0,F414&lt;&gt;"",COUNTIF(Envelopes!$B$6:$B$21,F414)&gt;0),1,0)</f>
        <v/>
      </c>
      <c r="K414">
        <f>IF(I414=1,H414*10000+ROW(),"")</f>
        <v/>
      </c>
    </row>
    <row r="415">
      <c r="A415" s="1" t="n"/>
      <c r="B415" s="21" t="n"/>
      <c r="C415" s="23" t="n"/>
      <c r="D415" s="22" t="n"/>
      <c r="E415" s="24" t="n"/>
      <c r="F415" s="25" t="n"/>
      <c r="G415" s="18">
        <f>IF(AND(C415="",D415=""),"",IF(NOT(ISNUMBER(B415)),"Needs a date",IF(NOT(ISNUMBER(D415)),"Needs the amount",IF(C415="","Needs an envelope",IF(COUNTIF(Envelopes!$B$6:$B$21,C415)=0,"Not on Envelopes",IF(F415="",IF(D415=0,"Needs the amount",""),IF(COUNTIF(Envelopes!$B$6:$B$21,F415)=0,"Moved to: not on Envelopes",IF(D415&lt;=0,"A move needs an amount",IF(F415=C415,"Moved to the same envelope","")))))))))</f>
        <v/>
      </c>
      <c r="H415" s="1">
        <f>IF(ISNUMBER(B415),INT(B415),0)</f>
        <v/>
      </c>
      <c r="I415">
        <f>IF(AND(H415&gt;0,ISNUMBER(D415),COUNTIF(Envelopes!$B$6:$B$21,C415)&gt;0,F415=""),1,0)</f>
        <v/>
      </c>
      <c r="J415">
        <f>IF(AND(H415&gt;0,ISNUMBER(D415),COUNTIF(Envelopes!$B$6:$B$21,C415)&gt;0,F415&lt;&gt;"",COUNTIF(Envelopes!$B$6:$B$21,F415)&gt;0),1,0)</f>
        <v/>
      </c>
      <c r="K415">
        <f>IF(I415=1,H415*10000+ROW(),"")</f>
        <v/>
      </c>
    </row>
    <row r="416">
      <c r="A416" s="1" t="n"/>
      <c r="B416" s="21" t="n"/>
      <c r="C416" s="23" t="n"/>
      <c r="D416" s="22" t="n"/>
      <c r="E416" s="24" t="n"/>
      <c r="F416" s="25" t="n"/>
      <c r="G416" s="18">
        <f>IF(AND(C416="",D416=""),"",IF(NOT(ISNUMBER(B416)),"Needs a date",IF(NOT(ISNUMBER(D416)),"Needs the amount",IF(C416="","Needs an envelope",IF(COUNTIF(Envelopes!$B$6:$B$21,C416)=0,"Not on Envelopes",IF(F416="",IF(D416=0,"Needs the amount",""),IF(COUNTIF(Envelopes!$B$6:$B$21,F416)=0,"Moved to: not on Envelopes",IF(D416&lt;=0,"A move needs an amount",IF(F416=C416,"Moved to the same envelope","")))))))))</f>
        <v/>
      </c>
      <c r="H416" s="1">
        <f>IF(ISNUMBER(B416),INT(B416),0)</f>
        <v/>
      </c>
      <c r="I416">
        <f>IF(AND(H416&gt;0,ISNUMBER(D416),COUNTIF(Envelopes!$B$6:$B$21,C416)&gt;0,F416=""),1,0)</f>
        <v/>
      </c>
      <c r="J416">
        <f>IF(AND(H416&gt;0,ISNUMBER(D416),COUNTIF(Envelopes!$B$6:$B$21,C416)&gt;0,F416&lt;&gt;"",COUNTIF(Envelopes!$B$6:$B$21,F416)&gt;0),1,0)</f>
        <v/>
      </c>
      <c r="K416">
        <f>IF(I416=1,H416*10000+ROW(),"")</f>
        <v/>
      </c>
    </row>
    <row r="417">
      <c r="A417" s="1" t="n"/>
      <c r="B417" s="21" t="n"/>
      <c r="C417" s="23" t="n"/>
      <c r="D417" s="22" t="n"/>
      <c r="E417" s="24" t="n"/>
      <c r="F417" s="25" t="n"/>
      <c r="G417" s="18">
        <f>IF(AND(C417="",D417=""),"",IF(NOT(ISNUMBER(B417)),"Needs a date",IF(NOT(ISNUMBER(D417)),"Needs the amount",IF(C417="","Needs an envelope",IF(COUNTIF(Envelopes!$B$6:$B$21,C417)=0,"Not on Envelopes",IF(F417="",IF(D417=0,"Needs the amount",""),IF(COUNTIF(Envelopes!$B$6:$B$21,F417)=0,"Moved to: not on Envelopes",IF(D417&lt;=0,"A move needs an amount",IF(F417=C417,"Moved to the same envelope","")))))))))</f>
        <v/>
      </c>
      <c r="H417" s="1">
        <f>IF(ISNUMBER(B417),INT(B417),0)</f>
        <v/>
      </c>
      <c r="I417">
        <f>IF(AND(H417&gt;0,ISNUMBER(D417),COUNTIF(Envelopes!$B$6:$B$21,C417)&gt;0,F417=""),1,0)</f>
        <v/>
      </c>
      <c r="J417">
        <f>IF(AND(H417&gt;0,ISNUMBER(D417),COUNTIF(Envelopes!$B$6:$B$21,C417)&gt;0,F417&lt;&gt;"",COUNTIF(Envelopes!$B$6:$B$21,F417)&gt;0),1,0)</f>
        <v/>
      </c>
      <c r="K417">
        <f>IF(I417=1,H417*10000+ROW(),"")</f>
        <v/>
      </c>
    </row>
    <row r="418">
      <c r="A418" s="1" t="n"/>
      <c r="B418" s="21" t="n"/>
      <c r="C418" s="23" t="n"/>
      <c r="D418" s="22" t="n"/>
      <c r="E418" s="24" t="n"/>
      <c r="F418" s="25" t="n"/>
      <c r="G418" s="18">
        <f>IF(AND(C418="",D418=""),"",IF(NOT(ISNUMBER(B418)),"Needs a date",IF(NOT(ISNUMBER(D418)),"Needs the amount",IF(C418="","Needs an envelope",IF(COUNTIF(Envelopes!$B$6:$B$21,C418)=0,"Not on Envelopes",IF(F418="",IF(D418=0,"Needs the amount",""),IF(COUNTIF(Envelopes!$B$6:$B$21,F418)=0,"Moved to: not on Envelopes",IF(D418&lt;=0,"A move needs an amount",IF(F418=C418,"Moved to the same envelope","")))))))))</f>
        <v/>
      </c>
      <c r="H418" s="1">
        <f>IF(ISNUMBER(B418),INT(B418),0)</f>
        <v/>
      </c>
      <c r="I418">
        <f>IF(AND(H418&gt;0,ISNUMBER(D418),COUNTIF(Envelopes!$B$6:$B$21,C418)&gt;0,F418=""),1,0)</f>
        <v/>
      </c>
      <c r="J418">
        <f>IF(AND(H418&gt;0,ISNUMBER(D418),COUNTIF(Envelopes!$B$6:$B$21,C418)&gt;0,F418&lt;&gt;"",COUNTIF(Envelopes!$B$6:$B$21,F418)&gt;0),1,0)</f>
        <v/>
      </c>
      <c r="K418">
        <f>IF(I418=1,H418*10000+ROW(),"")</f>
        <v/>
      </c>
    </row>
    <row r="419">
      <c r="A419" s="1" t="n"/>
      <c r="B419" s="21" t="n"/>
      <c r="C419" s="23" t="n"/>
      <c r="D419" s="22" t="n"/>
      <c r="E419" s="24" t="n"/>
      <c r="F419" s="25" t="n"/>
      <c r="G419" s="18">
        <f>IF(AND(C419="",D419=""),"",IF(NOT(ISNUMBER(B419)),"Needs a date",IF(NOT(ISNUMBER(D419)),"Needs the amount",IF(C419="","Needs an envelope",IF(COUNTIF(Envelopes!$B$6:$B$21,C419)=0,"Not on Envelopes",IF(F419="",IF(D419=0,"Needs the amount",""),IF(COUNTIF(Envelopes!$B$6:$B$21,F419)=0,"Moved to: not on Envelopes",IF(D419&lt;=0,"A move needs an amount",IF(F419=C419,"Moved to the same envelope","")))))))))</f>
        <v/>
      </c>
      <c r="H419" s="1">
        <f>IF(ISNUMBER(B419),INT(B419),0)</f>
        <v/>
      </c>
      <c r="I419">
        <f>IF(AND(H419&gt;0,ISNUMBER(D419),COUNTIF(Envelopes!$B$6:$B$21,C419)&gt;0,F419=""),1,0)</f>
        <v/>
      </c>
      <c r="J419">
        <f>IF(AND(H419&gt;0,ISNUMBER(D419),COUNTIF(Envelopes!$B$6:$B$21,C419)&gt;0,F419&lt;&gt;"",COUNTIF(Envelopes!$B$6:$B$21,F419)&gt;0),1,0)</f>
        <v/>
      </c>
      <c r="K419">
        <f>IF(I419=1,H419*10000+ROW(),"")</f>
        <v/>
      </c>
    </row>
    <row r="420">
      <c r="A420" s="1" t="n"/>
      <c r="B420" s="21" t="n"/>
      <c r="C420" s="23" t="n"/>
      <c r="D420" s="22" t="n"/>
      <c r="E420" s="24" t="n"/>
      <c r="F420" s="25" t="n"/>
      <c r="G420" s="18">
        <f>IF(AND(C420="",D420=""),"",IF(NOT(ISNUMBER(B420)),"Needs a date",IF(NOT(ISNUMBER(D420)),"Needs the amount",IF(C420="","Needs an envelope",IF(COUNTIF(Envelopes!$B$6:$B$21,C420)=0,"Not on Envelopes",IF(F420="",IF(D420=0,"Needs the amount",""),IF(COUNTIF(Envelopes!$B$6:$B$21,F420)=0,"Moved to: not on Envelopes",IF(D420&lt;=0,"A move needs an amount",IF(F420=C420,"Moved to the same envelope","")))))))))</f>
        <v/>
      </c>
      <c r="H420" s="1">
        <f>IF(ISNUMBER(B420),INT(B420),0)</f>
        <v/>
      </c>
      <c r="I420">
        <f>IF(AND(H420&gt;0,ISNUMBER(D420),COUNTIF(Envelopes!$B$6:$B$21,C420)&gt;0,F420=""),1,0)</f>
        <v/>
      </c>
      <c r="J420">
        <f>IF(AND(H420&gt;0,ISNUMBER(D420),COUNTIF(Envelopes!$B$6:$B$21,C420)&gt;0,F420&lt;&gt;"",COUNTIF(Envelopes!$B$6:$B$21,F420)&gt;0),1,0)</f>
        <v/>
      </c>
      <c r="K420">
        <f>IF(I420=1,H420*10000+ROW(),"")</f>
        <v/>
      </c>
    </row>
    <row r="421">
      <c r="A421" s="1" t="n"/>
      <c r="B421" s="21" t="n"/>
      <c r="C421" s="23" t="n"/>
      <c r="D421" s="22" t="n"/>
      <c r="E421" s="24" t="n"/>
      <c r="F421" s="25" t="n"/>
      <c r="G421" s="18">
        <f>IF(AND(C421="",D421=""),"",IF(NOT(ISNUMBER(B421)),"Needs a date",IF(NOT(ISNUMBER(D421)),"Needs the amount",IF(C421="","Needs an envelope",IF(COUNTIF(Envelopes!$B$6:$B$21,C421)=0,"Not on Envelopes",IF(F421="",IF(D421=0,"Needs the amount",""),IF(COUNTIF(Envelopes!$B$6:$B$21,F421)=0,"Moved to: not on Envelopes",IF(D421&lt;=0,"A move needs an amount",IF(F421=C421,"Moved to the same envelope","")))))))))</f>
        <v/>
      </c>
      <c r="H421" s="1">
        <f>IF(ISNUMBER(B421),INT(B421),0)</f>
        <v/>
      </c>
      <c r="I421">
        <f>IF(AND(H421&gt;0,ISNUMBER(D421),COUNTIF(Envelopes!$B$6:$B$21,C421)&gt;0,F421=""),1,0)</f>
        <v/>
      </c>
      <c r="J421">
        <f>IF(AND(H421&gt;0,ISNUMBER(D421),COUNTIF(Envelopes!$B$6:$B$21,C421)&gt;0,F421&lt;&gt;"",COUNTIF(Envelopes!$B$6:$B$21,F421)&gt;0),1,0)</f>
        <v/>
      </c>
      <c r="K421">
        <f>IF(I421=1,H421*10000+ROW(),"")</f>
        <v/>
      </c>
    </row>
    <row r="422">
      <c r="A422" s="1" t="n"/>
      <c r="B422" s="21" t="n"/>
      <c r="C422" s="23" t="n"/>
      <c r="D422" s="22" t="n"/>
      <c r="E422" s="24" t="n"/>
      <c r="F422" s="25" t="n"/>
      <c r="G422" s="18">
        <f>IF(AND(C422="",D422=""),"",IF(NOT(ISNUMBER(B422)),"Needs a date",IF(NOT(ISNUMBER(D422)),"Needs the amount",IF(C422="","Needs an envelope",IF(COUNTIF(Envelopes!$B$6:$B$21,C422)=0,"Not on Envelopes",IF(F422="",IF(D422=0,"Needs the amount",""),IF(COUNTIF(Envelopes!$B$6:$B$21,F422)=0,"Moved to: not on Envelopes",IF(D422&lt;=0,"A move needs an amount",IF(F422=C422,"Moved to the same envelope","")))))))))</f>
        <v/>
      </c>
      <c r="H422" s="1">
        <f>IF(ISNUMBER(B422),INT(B422),0)</f>
        <v/>
      </c>
      <c r="I422">
        <f>IF(AND(H422&gt;0,ISNUMBER(D422),COUNTIF(Envelopes!$B$6:$B$21,C422)&gt;0,F422=""),1,0)</f>
        <v/>
      </c>
      <c r="J422">
        <f>IF(AND(H422&gt;0,ISNUMBER(D422),COUNTIF(Envelopes!$B$6:$B$21,C422)&gt;0,F422&lt;&gt;"",COUNTIF(Envelopes!$B$6:$B$21,F422)&gt;0),1,0)</f>
        <v/>
      </c>
      <c r="K422">
        <f>IF(I422=1,H422*10000+ROW(),"")</f>
        <v/>
      </c>
    </row>
    <row r="423">
      <c r="A423" s="1" t="n"/>
      <c r="B423" s="21" t="n"/>
      <c r="C423" s="23" t="n"/>
      <c r="D423" s="22" t="n"/>
      <c r="E423" s="24" t="n"/>
      <c r="F423" s="25" t="n"/>
      <c r="G423" s="18">
        <f>IF(AND(C423="",D423=""),"",IF(NOT(ISNUMBER(B423)),"Needs a date",IF(NOT(ISNUMBER(D423)),"Needs the amount",IF(C423="","Needs an envelope",IF(COUNTIF(Envelopes!$B$6:$B$21,C423)=0,"Not on Envelopes",IF(F423="",IF(D423=0,"Needs the amount",""),IF(COUNTIF(Envelopes!$B$6:$B$21,F423)=0,"Moved to: not on Envelopes",IF(D423&lt;=0,"A move needs an amount",IF(F423=C423,"Moved to the same envelope","")))))))))</f>
        <v/>
      </c>
      <c r="H423" s="1">
        <f>IF(ISNUMBER(B423),INT(B423),0)</f>
        <v/>
      </c>
      <c r="I423">
        <f>IF(AND(H423&gt;0,ISNUMBER(D423),COUNTIF(Envelopes!$B$6:$B$21,C423)&gt;0,F423=""),1,0)</f>
        <v/>
      </c>
      <c r="J423">
        <f>IF(AND(H423&gt;0,ISNUMBER(D423),COUNTIF(Envelopes!$B$6:$B$21,C423)&gt;0,F423&lt;&gt;"",COUNTIF(Envelopes!$B$6:$B$21,F423)&gt;0),1,0)</f>
        <v/>
      </c>
      <c r="K423">
        <f>IF(I423=1,H423*10000+ROW(),"")</f>
        <v/>
      </c>
    </row>
    <row r="424">
      <c r="A424" s="1" t="n"/>
      <c r="B424" s="21" t="n"/>
      <c r="C424" s="23" t="n"/>
      <c r="D424" s="22" t="n"/>
      <c r="E424" s="24" t="n"/>
      <c r="F424" s="25" t="n"/>
      <c r="G424" s="18">
        <f>IF(AND(C424="",D424=""),"",IF(NOT(ISNUMBER(B424)),"Needs a date",IF(NOT(ISNUMBER(D424)),"Needs the amount",IF(C424="","Needs an envelope",IF(COUNTIF(Envelopes!$B$6:$B$21,C424)=0,"Not on Envelopes",IF(F424="",IF(D424=0,"Needs the amount",""),IF(COUNTIF(Envelopes!$B$6:$B$21,F424)=0,"Moved to: not on Envelopes",IF(D424&lt;=0,"A move needs an amount",IF(F424=C424,"Moved to the same envelope","")))))))))</f>
        <v/>
      </c>
      <c r="H424" s="1">
        <f>IF(ISNUMBER(B424),INT(B424),0)</f>
        <v/>
      </c>
      <c r="I424">
        <f>IF(AND(H424&gt;0,ISNUMBER(D424),COUNTIF(Envelopes!$B$6:$B$21,C424)&gt;0,F424=""),1,0)</f>
        <v/>
      </c>
      <c r="J424">
        <f>IF(AND(H424&gt;0,ISNUMBER(D424),COUNTIF(Envelopes!$B$6:$B$21,C424)&gt;0,F424&lt;&gt;"",COUNTIF(Envelopes!$B$6:$B$21,F424)&gt;0),1,0)</f>
        <v/>
      </c>
      <c r="K424">
        <f>IF(I424=1,H424*10000+ROW(),"")</f>
        <v/>
      </c>
    </row>
    <row r="425">
      <c r="A425" s="1" t="n"/>
      <c r="B425" s="21" t="n"/>
      <c r="C425" s="23" t="n"/>
      <c r="D425" s="22" t="n"/>
      <c r="E425" s="24" t="n"/>
      <c r="F425" s="25" t="n"/>
      <c r="G425" s="18">
        <f>IF(AND(C425="",D425=""),"",IF(NOT(ISNUMBER(B425)),"Needs a date",IF(NOT(ISNUMBER(D425)),"Needs the amount",IF(C425="","Needs an envelope",IF(COUNTIF(Envelopes!$B$6:$B$21,C425)=0,"Not on Envelopes",IF(F425="",IF(D425=0,"Needs the amount",""),IF(COUNTIF(Envelopes!$B$6:$B$21,F425)=0,"Moved to: not on Envelopes",IF(D425&lt;=0,"A move needs an amount",IF(F425=C425,"Moved to the same envelope","")))))))))</f>
        <v/>
      </c>
      <c r="H425" s="1">
        <f>IF(ISNUMBER(B425),INT(B425),0)</f>
        <v/>
      </c>
      <c r="I425">
        <f>IF(AND(H425&gt;0,ISNUMBER(D425),COUNTIF(Envelopes!$B$6:$B$21,C425)&gt;0,F425=""),1,0)</f>
        <v/>
      </c>
      <c r="J425">
        <f>IF(AND(H425&gt;0,ISNUMBER(D425),COUNTIF(Envelopes!$B$6:$B$21,C425)&gt;0,F425&lt;&gt;"",COUNTIF(Envelopes!$B$6:$B$21,F425)&gt;0),1,0)</f>
        <v/>
      </c>
      <c r="K425">
        <f>IF(I425=1,H425*10000+ROW(),"")</f>
        <v/>
      </c>
    </row>
    <row r="426">
      <c r="A426" s="1" t="n"/>
      <c r="B426" s="21" t="n"/>
      <c r="C426" s="23" t="n"/>
      <c r="D426" s="22" t="n"/>
      <c r="E426" s="24" t="n"/>
      <c r="F426" s="25" t="n"/>
      <c r="G426" s="18">
        <f>IF(AND(C426="",D426=""),"",IF(NOT(ISNUMBER(B426)),"Needs a date",IF(NOT(ISNUMBER(D426)),"Needs the amount",IF(C426="","Needs an envelope",IF(COUNTIF(Envelopes!$B$6:$B$21,C426)=0,"Not on Envelopes",IF(F426="",IF(D426=0,"Needs the amount",""),IF(COUNTIF(Envelopes!$B$6:$B$21,F426)=0,"Moved to: not on Envelopes",IF(D426&lt;=0,"A move needs an amount",IF(F426=C426,"Moved to the same envelope","")))))))))</f>
        <v/>
      </c>
      <c r="H426" s="1">
        <f>IF(ISNUMBER(B426),INT(B426),0)</f>
        <v/>
      </c>
      <c r="I426">
        <f>IF(AND(H426&gt;0,ISNUMBER(D426),COUNTIF(Envelopes!$B$6:$B$21,C426)&gt;0,F426=""),1,0)</f>
        <v/>
      </c>
      <c r="J426">
        <f>IF(AND(H426&gt;0,ISNUMBER(D426),COUNTIF(Envelopes!$B$6:$B$21,C426)&gt;0,F426&lt;&gt;"",COUNTIF(Envelopes!$B$6:$B$21,F426)&gt;0),1,0)</f>
        <v/>
      </c>
      <c r="K426">
        <f>IF(I426=1,H426*10000+ROW(),"")</f>
        <v/>
      </c>
    </row>
    <row r="427">
      <c r="A427" s="1" t="n"/>
      <c r="B427" s="21" t="n"/>
      <c r="C427" s="23" t="n"/>
      <c r="D427" s="22" t="n"/>
      <c r="E427" s="24" t="n"/>
      <c r="F427" s="25" t="n"/>
      <c r="G427" s="18">
        <f>IF(AND(C427="",D427=""),"",IF(NOT(ISNUMBER(B427)),"Needs a date",IF(NOT(ISNUMBER(D427)),"Needs the amount",IF(C427="","Needs an envelope",IF(COUNTIF(Envelopes!$B$6:$B$21,C427)=0,"Not on Envelopes",IF(F427="",IF(D427=0,"Needs the amount",""),IF(COUNTIF(Envelopes!$B$6:$B$21,F427)=0,"Moved to: not on Envelopes",IF(D427&lt;=0,"A move needs an amount",IF(F427=C427,"Moved to the same envelope","")))))))))</f>
        <v/>
      </c>
      <c r="H427" s="1">
        <f>IF(ISNUMBER(B427),INT(B427),0)</f>
        <v/>
      </c>
      <c r="I427">
        <f>IF(AND(H427&gt;0,ISNUMBER(D427),COUNTIF(Envelopes!$B$6:$B$21,C427)&gt;0,F427=""),1,0)</f>
        <v/>
      </c>
      <c r="J427">
        <f>IF(AND(H427&gt;0,ISNUMBER(D427),COUNTIF(Envelopes!$B$6:$B$21,C427)&gt;0,F427&lt;&gt;"",COUNTIF(Envelopes!$B$6:$B$21,F427)&gt;0),1,0)</f>
        <v/>
      </c>
      <c r="K427">
        <f>IF(I427=1,H427*10000+ROW(),"")</f>
        <v/>
      </c>
    </row>
    <row r="428">
      <c r="A428" s="1" t="n"/>
      <c r="B428" s="21" t="n"/>
      <c r="C428" s="23" t="n"/>
      <c r="D428" s="22" t="n"/>
      <c r="E428" s="24" t="n"/>
      <c r="F428" s="25" t="n"/>
      <c r="G428" s="18">
        <f>IF(AND(C428="",D428=""),"",IF(NOT(ISNUMBER(B428)),"Needs a date",IF(NOT(ISNUMBER(D428)),"Needs the amount",IF(C428="","Needs an envelope",IF(COUNTIF(Envelopes!$B$6:$B$21,C428)=0,"Not on Envelopes",IF(F428="",IF(D428=0,"Needs the amount",""),IF(COUNTIF(Envelopes!$B$6:$B$21,F428)=0,"Moved to: not on Envelopes",IF(D428&lt;=0,"A move needs an amount",IF(F428=C428,"Moved to the same envelope","")))))))))</f>
        <v/>
      </c>
      <c r="H428" s="1">
        <f>IF(ISNUMBER(B428),INT(B428),0)</f>
        <v/>
      </c>
      <c r="I428">
        <f>IF(AND(H428&gt;0,ISNUMBER(D428),COUNTIF(Envelopes!$B$6:$B$21,C428)&gt;0,F428=""),1,0)</f>
        <v/>
      </c>
      <c r="J428">
        <f>IF(AND(H428&gt;0,ISNUMBER(D428),COUNTIF(Envelopes!$B$6:$B$21,C428)&gt;0,F428&lt;&gt;"",COUNTIF(Envelopes!$B$6:$B$21,F428)&gt;0),1,0)</f>
        <v/>
      </c>
      <c r="K428">
        <f>IF(I428=1,H428*10000+ROW(),"")</f>
        <v/>
      </c>
    </row>
    <row r="429">
      <c r="A429" s="1" t="n"/>
      <c r="B429" s="21" t="n"/>
      <c r="C429" s="23" t="n"/>
      <c r="D429" s="22" t="n"/>
      <c r="E429" s="24" t="n"/>
      <c r="F429" s="25" t="n"/>
      <c r="G429" s="18">
        <f>IF(AND(C429="",D429=""),"",IF(NOT(ISNUMBER(B429)),"Needs a date",IF(NOT(ISNUMBER(D429)),"Needs the amount",IF(C429="","Needs an envelope",IF(COUNTIF(Envelopes!$B$6:$B$21,C429)=0,"Not on Envelopes",IF(F429="",IF(D429=0,"Needs the amount",""),IF(COUNTIF(Envelopes!$B$6:$B$21,F429)=0,"Moved to: not on Envelopes",IF(D429&lt;=0,"A move needs an amount",IF(F429=C429,"Moved to the same envelope","")))))))))</f>
        <v/>
      </c>
      <c r="H429" s="1">
        <f>IF(ISNUMBER(B429),INT(B429),0)</f>
        <v/>
      </c>
      <c r="I429">
        <f>IF(AND(H429&gt;0,ISNUMBER(D429),COUNTIF(Envelopes!$B$6:$B$21,C429)&gt;0,F429=""),1,0)</f>
        <v/>
      </c>
      <c r="J429">
        <f>IF(AND(H429&gt;0,ISNUMBER(D429),COUNTIF(Envelopes!$B$6:$B$21,C429)&gt;0,F429&lt;&gt;"",COUNTIF(Envelopes!$B$6:$B$21,F429)&gt;0),1,0)</f>
        <v/>
      </c>
      <c r="K429">
        <f>IF(I429=1,H429*10000+ROW(),"")</f>
        <v/>
      </c>
    </row>
    <row r="430">
      <c r="A430" s="1" t="n"/>
      <c r="B430" s="21" t="n"/>
      <c r="C430" s="23" t="n"/>
      <c r="D430" s="22" t="n"/>
      <c r="E430" s="24" t="n"/>
      <c r="F430" s="25" t="n"/>
      <c r="G430" s="18">
        <f>IF(AND(C430="",D430=""),"",IF(NOT(ISNUMBER(B430)),"Needs a date",IF(NOT(ISNUMBER(D430)),"Needs the amount",IF(C430="","Needs an envelope",IF(COUNTIF(Envelopes!$B$6:$B$21,C430)=0,"Not on Envelopes",IF(F430="",IF(D430=0,"Needs the amount",""),IF(COUNTIF(Envelopes!$B$6:$B$21,F430)=0,"Moved to: not on Envelopes",IF(D430&lt;=0,"A move needs an amount",IF(F430=C430,"Moved to the same envelope","")))))))))</f>
        <v/>
      </c>
      <c r="H430" s="1">
        <f>IF(ISNUMBER(B430),INT(B430),0)</f>
        <v/>
      </c>
      <c r="I430">
        <f>IF(AND(H430&gt;0,ISNUMBER(D430),COUNTIF(Envelopes!$B$6:$B$21,C430)&gt;0,F430=""),1,0)</f>
        <v/>
      </c>
      <c r="J430">
        <f>IF(AND(H430&gt;0,ISNUMBER(D430),COUNTIF(Envelopes!$B$6:$B$21,C430)&gt;0,F430&lt;&gt;"",COUNTIF(Envelopes!$B$6:$B$21,F430)&gt;0),1,0)</f>
        <v/>
      </c>
      <c r="K430">
        <f>IF(I430=1,H430*10000+ROW(),"")</f>
        <v/>
      </c>
    </row>
    <row r="431">
      <c r="A431" s="1" t="n"/>
      <c r="B431" s="21" t="n"/>
      <c r="C431" s="23" t="n"/>
      <c r="D431" s="22" t="n"/>
      <c r="E431" s="24" t="n"/>
      <c r="F431" s="25" t="n"/>
      <c r="G431" s="18">
        <f>IF(AND(C431="",D431=""),"",IF(NOT(ISNUMBER(B431)),"Needs a date",IF(NOT(ISNUMBER(D431)),"Needs the amount",IF(C431="","Needs an envelope",IF(COUNTIF(Envelopes!$B$6:$B$21,C431)=0,"Not on Envelopes",IF(F431="",IF(D431=0,"Needs the amount",""),IF(COUNTIF(Envelopes!$B$6:$B$21,F431)=0,"Moved to: not on Envelopes",IF(D431&lt;=0,"A move needs an amount",IF(F431=C431,"Moved to the same envelope","")))))))))</f>
        <v/>
      </c>
      <c r="H431" s="1">
        <f>IF(ISNUMBER(B431),INT(B431),0)</f>
        <v/>
      </c>
      <c r="I431">
        <f>IF(AND(H431&gt;0,ISNUMBER(D431),COUNTIF(Envelopes!$B$6:$B$21,C431)&gt;0,F431=""),1,0)</f>
        <v/>
      </c>
      <c r="J431">
        <f>IF(AND(H431&gt;0,ISNUMBER(D431),COUNTIF(Envelopes!$B$6:$B$21,C431)&gt;0,F431&lt;&gt;"",COUNTIF(Envelopes!$B$6:$B$21,F431)&gt;0),1,0)</f>
        <v/>
      </c>
      <c r="K431">
        <f>IF(I431=1,H431*10000+ROW(),"")</f>
        <v/>
      </c>
    </row>
    <row r="432">
      <c r="A432" s="1" t="n"/>
      <c r="B432" s="21" t="n"/>
      <c r="C432" s="23" t="n"/>
      <c r="D432" s="22" t="n"/>
      <c r="E432" s="24" t="n"/>
      <c r="F432" s="25" t="n"/>
      <c r="G432" s="18">
        <f>IF(AND(C432="",D432=""),"",IF(NOT(ISNUMBER(B432)),"Needs a date",IF(NOT(ISNUMBER(D432)),"Needs the amount",IF(C432="","Needs an envelope",IF(COUNTIF(Envelopes!$B$6:$B$21,C432)=0,"Not on Envelopes",IF(F432="",IF(D432=0,"Needs the amount",""),IF(COUNTIF(Envelopes!$B$6:$B$21,F432)=0,"Moved to: not on Envelopes",IF(D432&lt;=0,"A move needs an amount",IF(F432=C432,"Moved to the same envelope","")))))))))</f>
        <v/>
      </c>
      <c r="H432" s="1">
        <f>IF(ISNUMBER(B432),INT(B432),0)</f>
        <v/>
      </c>
      <c r="I432">
        <f>IF(AND(H432&gt;0,ISNUMBER(D432),COUNTIF(Envelopes!$B$6:$B$21,C432)&gt;0,F432=""),1,0)</f>
        <v/>
      </c>
      <c r="J432">
        <f>IF(AND(H432&gt;0,ISNUMBER(D432),COUNTIF(Envelopes!$B$6:$B$21,C432)&gt;0,F432&lt;&gt;"",COUNTIF(Envelopes!$B$6:$B$21,F432)&gt;0),1,0)</f>
        <v/>
      </c>
      <c r="K432">
        <f>IF(I432=1,H432*10000+ROW(),"")</f>
        <v/>
      </c>
    </row>
    <row r="433">
      <c r="A433" s="1" t="n"/>
      <c r="B433" s="21" t="n"/>
      <c r="C433" s="23" t="n"/>
      <c r="D433" s="22" t="n"/>
      <c r="E433" s="24" t="n"/>
      <c r="F433" s="25" t="n"/>
      <c r="G433" s="18">
        <f>IF(AND(C433="",D433=""),"",IF(NOT(ISNUMBER(B433)),"Needs a date",IF(NOT(ISNUMBER(D433)),"Needs the amount",IF(C433="","Needs an envelope",IF(COUNTIF(Envelopes!$B$6:$B$21,C433)=0,"Not on Envelopes",IF(F433="",IF(D433=0,"Needs the amount",""),IF(COUNTIF(Envelopes!$B$6:$B$21,F433)=0,"Moved to: not on Envelopes",IF(D433&lt;=0,"A move needs an amount",IF(F433=C433,"Moved to the same envelope","")))))))))</f>
        <v/>
      </c>
      <c r="H433" s="1">
        <f>IF(ISNUMBER(B433),INT(B433),0)</f>
        <v/>
      </c>
      <c r="I433">
        <f>IF(AND(H433&gt;0,ISNUMBER(D433),COUNTIF(Envelopes!$B$6:$B$21,C433)&gt;0,F433=""),1,0)</f>
        <v/>
      </c>
      <c r="J433">
        <f>IF(AND(H433&gt;0,ISNUMBER(D433),COUNTIF(Envelopes!$B$6:$B$21,C433)&gt;0,F433&lt;&gt;"",COUNTIF(Envelopes!$B$6:$B$21,F433)&gt;0),1,0)</f>
        <v/>
      </c>
      <c r="K433">
        <f>IF(I433=1,H433*10000+ROW(),"")</f>
        <v/>
      </c>
    </row>
    <row r="434">
      <c r="A434" s="1" t="n"/>
      <c r="B434" s="21" t="n"/>
      <c r="C434" s="23" t="n"/>
      <c r="D434" s="22" t="n"/>
      <c r="E434" s="24" t="n"/>
      <c r="F434" s="25" t="n"/>
      <c r="G434" s="18">
        <f>IF(AND(C434="",D434=""),"",IF(NOT(ISNUMBER(B434)),"Needs a date",IF(NOT(ISNUMBER(D434)),"Needs the amount",IF(C434="","Needs an envelope",IF(COUNTIF(Envelopes!$B$6:$B$21,C434)=0,"Not on Envelopes",IF(F434="",IF(D434=0,"Needs the amount",""),IF(COUNTIF(Envelopes!$B$6:$B$21,F434)=0,"Moved to: not on Envelopes",IF(D434&lt;=0,"A move needs an amount",IF(F434=C434,"Moved to the same envelope","")))))))))</f>
        <v/>
      </c>
      <c r="H434" s="1">
        <f>IF(ISNUMBER(B434),INT(B434),0)</f>
        <v/>
      </c>
      <c r="I434">
        <f>IF(AND(H434&gt;0,ISNUMBER(D434),COUNTIF(Envelopes!$B$6:$B$21,C434)&gt;0,F434=""),1,0)</f>
        <v/>
      </c>
      <c r="J434">
        <f>IF(AND(H434&gt;0,ISNUMBER(D434),COUNTIF(Envelopes!$B$6:$B$21,C434)&gt;0,F434&lt;&gt;"",COUNTIF(Envelopes!$B$6:$B$21,F434)&gt;0),1,0)</f>
        <v/>
      </c>
      <c r="K434">
        <f>IF(I434=1,H434*10000+ROW(),"")</f>
        <v/>
      </c>
    </row>
    <row r="435">
      <c r="A435" s="1" t="n"/>
      <c r="B435" s="21" t="n"/>
      <c r="C435" s="23" t="n"/>
      <c r="D435" s="22" t="n"/>
      <c r="E435" s="24" t="n"/>
      <c r="F435" s="25" t="n"/>
      <c r="G435" s="18">
        <f>IF(AND(C435="",D435=""),"",IF(NOT(ISNUMBER(B435)),"Needs a date",IF(NOT(ISNUMBER(D435)),"Needs the amount",IF(C435="","Needs an envelope",IF(COUNTIF(Envelopes!$B$6:$B$21,C435)=0,"Not on Envelopes",IF(F435="",IF(D435=0,"Needs the amount",""),IF(COUNTIF(Envelopes!$B$6:$B$21,F435)=0,"Moved to: not on Envelopes",IF(D435&lt;=0,"A move needs an amount",IF(F435=C435,"Moved to the same envelope","")))))))))</f>
        <v/>
      </c>
      <c r="H435" s="1">
        <f>IF(ISNUMBER(B435),INT(B435),0)</f>
        <v/>
      </c>
      <c r="I435">
        <f>IF(AND(H435&gt;0,ISNUMBER(D435),COUNTIF(Envelopes!$B$6:$B$21,C435)&gt;0,F435=""),1,0)</f>
        <v/>
      </c>
      <c r="J435">
        <f>IF(AND(H435&gt;0,ISNUMBER(D435),COUNTIF(Envelopes!$B$6:$B$21,C435)&gt;0,F435&lt;&gt;"",COUNTIF(Envelopes!$B$6:$B$21,F435)&gt;0),1,0)</f>
        <v/>
      </c>
      <c r="K435">
        <f>IF(I435=1,H435*10000+ROW(),"")</f>
        <v/>
      </c>
    </row>
    <row r="436">
      <c r="A436" s="1" t="n"/>
      <c r="B436" s="21" t="n"/>
      <c r="C436" s="23" t="n"/>
      <c r="D436" s="22" t="n"/>
      <c r="E436" s="24" t="n"/>
      <c r="F436" s="25" t="n"/>
      <c r="G436" s="18">
        <f>IF(AND(C436="",D436=""),"",IF(NOT(ISNUMBER(B436)),"Needs a date",IF(NOT(ISNUMBER(D436)),"Needs the amount",IF(C436="","Needs an envelope",IF(COUNTIF(Envelopes!$B$6:$B$21,C436)=0,"Not on Envelopes",IF(F436="",IF(D436=0,"Needs the amount",""),IF(COUNTIF(Envelopes!$B$6:$B$21,F436)=0,"Moved to: not on Envelopes",IF(D436&lt;=0,"A move needs an amount",IF(F436=C436,"Moved to the same envelope","")))))))))</f>
        <v/>
      </c>
      <c r="H436" s="1">
        <f>IF(ISNUMBER(B436),INT(B436),0)</f>
        <v/>
      </c>
      <c r="I436">
        <f>IF(AND(H436&gt;0,ISNUMBER(D436),COUNTIF(Envelopes!$B$6:$B$21,C436)&gt;0,F436=""),1,0)</f>
        <v/>
      </c>
      <c r="J436">
        <f>IF(AND(H436&gt;0,ISNUMBER(D436),COUNTIF(Envelopes!$B$6:$B$21,C436)&gt;0,F436&lt;&gt;"",COUNTIF(Envelopes!$B$6:$B$21,F436)&gt;0),1,0)</f>
        <v/>
      </c>
      <c r="K436">
        <f>IF(I436=1,H436*10000+ROW(),"")</f>
        <v/>
      </c>
    </row>
    <row r="437">
      <c r="A437" s="1" t="n"/>
      <c r="B437" s="21" t="n"/>
      <c r="C437" s="23" t="n"/>
      <c r="D437" s="22" t="n"/>
      <c r="E437" s="24" t="n"/>
      <c r="F437" s="25" t="n"/>
      <c r="G437" s="18">
        <f>IF(AND(C437="",D437=""),"",IF(NOT(ISNUMBER(B437)),"Needs a date",IF(NOT(ISNUMBER(D437)),"Needs the amount",IF(C437="","Needs an envelope",IF(COUNTIF(Envelopes!$B$6:$B$21,C437)=0,"Not on Envelopes",IF(F437="",IF(D437=0,"Needs the amount",""),IF(COUNTIF(Envelopes!$B$6:$B$21,F437)=0,"Moved to: not on Envelopes",IF(D437&lt;=0,"A move needs an amount",IF(F437=C437,"Moved to the same envelope","")))))))))</f>
        <v/>
      </c>
      <c r="H437" s="1">
        <f>IF(ISNUMBER(B437),INT(B437),0)</f>
        <v/>
      </c>
      <c r="I437">
        <f>IF(AND(H437&gt;0,ISNUMBER(D437),COUNTIF(Envelopes!$B$6:$B$21,C437)&gt;0,F437=""),1,0)</f>
        <v/>
      </c>
      <c r="J437">
        <f>IF(AND(H437&gt;0,ISNUMBER(D437),COUNTIF(Envelopes!$B$6:$B$21,C437)&gt;0,F437&lt;&gt;"",COUNTIF(Envelopes!$B$6:$B$21,F437)&gt;0),1,0)</f>
        <v/>
      </c>
      <c r="K437">
        <f>IF(I437=1,H437*10000+ROW(),"")</f>
        <v/>
      </c>
    </row>
    <row r="438">
      <c r="A438" s="1" t="n"/>
      <c r="B438" s="21" t="n"/>
      <c r="C438" s="23" t="n"/>
      <c r="D438" s="22" t="n"/>
      <c r="E438" s="24" t="n"/>
      <c r="F438" s="25" t="n"/>
      <c r="G438" s="18">
        <f>IF(AND(C438="",D438=""),"",IF(NOT(ISNUMBER(B438)),"Needs a date",IF(NOT(ISNUMBER(D438)),"Needs the amount",IF(C438="","Needs an envelope",IF(COUNTIF(Envelopes!$B$6:$B$21,C438)=0,"Not on Envelopes",IF(F438="",IF(D438=0,"Needs the amount",""),IF(COUNTIF(Envelopes!$B$6:$B$21,F438)=0,"Moved to: not on Envelopes",IF(D438&lt;=0,"A move needs an amount",IF(F438=C438,"Moved to the same envelope","")))))))))</f>
        <v/>
      </c>
      <c r="H438" s="1">
        <f>IF(ISNUMBER(B438),INT(B438),0)</f>
        <v/>
      </c>
      <c r="I438">
        <f>IF(AND(H438&gt;0,ISNUMBER(D438),COUNTIF(Envelopes!$B$6:$B$21,C438)&gt;0,F438=""),1,0)</f>
        <v/>
      </c>
      <c r="J438">
        <f>IF(AND(H438&gt;0,ISNUMBER(D438),COUNTIF(Envelopes!$B$6:$B$21,C438)&gt;0,F438&lt;&gt;"",COUNTIF(Envelopes!$B$6:$B$21,F438)&gt;0),1,0)</f>
        <v/>
      </c>
      <c r="K438">
        <f>IF(I438=1,H438*10000+ROW(),"")</f>
        <v/>
      </c>
    </row>
    <row r="439">
      <c r="A439" s="1" t="n"/>
      <c r="B439" s="21" t="n"/>
      <c r="C439" s="23" t="n"/>
      <c r="D439" s="22" t="n"/>
      <c r="E439" s="24" t="n"/>
      <c r="F439" s="25" t="n"/>
      <c r="G439" s="18">
        <f>IF(AND(C439="",D439=""),"",IF(NOT(ISNUMBER(B439)),"Needs a date",IF(NOT(ISNUMBER(D439)),"Needs the amount",IF(C439="","Needs an envelope",IF(COUNTIF(Envelopes!$B$6:$B$21,C439)=0,"Not on Envelopes",IF(F439="",IF(D439=0,"Needs the amount",""),IF(COUNTIF(Envelopes!$B$6:$B$21,F439)=0,"Moved to: not on Envelopes",IF(D439&lt;=0,"A move needs an amount",IF(F439=C439,"Moved to the same envelope","")))))))))</f>
        <v/>
      </c>
      <c r="H439" s="1">
        <f>IF(ISNUMBER(B439),INT(B439),0)</f>
        <v/>
      </c>
      <c r="I439">
        <f>IF(AND(H439&gt;0,ISNUMBER(D439),COUNTIF(Envelopes!$B$6:$B$21,C439)&gt;0,F439=""),1,0)</f>
        <v/>
      </c>
      <c r="J439">
        <f>IF(AND(H439&gt;0,ISNUMBER(D439),COUNTIF(Envelopes!$B$6:$B$21,C439)&gt;0,F439&lt;&gt;"",COUNTIF(Envelopes!$B$6:$B$21,F439)&gt;0),1,0)</f>
        <v/>
      </c>
      <c r="K439">
        <f>IF(I439=1,H439*10000+ROW(),"")</f>
        <v/>
      </c>
    </row>
    <row r="440">
      <c r="A440" s="1" t="n"/>
      <c r="B440" s="21" t="n"/>
      <c r="C440" s="23" t="n"/>
      <c r="D440" s="22" t="n"/>
      <c r="E440" s="24" t="n"/>
      <c r="F440" s="25" t="n"/>
      <c r="G440" s="18">
        <f>IF(AND(C440="",D440=""),"",IF(NOT(ISNUMBER(B440)),"Needs a date",IF(NOT(ISNUMBER(D440)),"Needs the amount",IF(C440="","Needs an envelope",IF(COUNTIF(Envelopes!$B$6:$B$21,C440)=0,"Not on Envelopes",IF(F440="",IF(D440=0,"Needs the amount",""),IF(COUNTIF(Envelopes!$B$6:$B$21,F440)=0,"Moved to: not on Envelopes",IF(D440&lt;=0,"A move needs an amount",IF(F440=C440,"Moved to the same envelope","")))))))))</f>
        <v/>
      </c>
      <c r="H440" s="1">
        <f>IF(ISNUMBER(B440),INT(B440),0)</f>
        <v/>
      </c>
      <c r="I440">
        <f>IF(AND(H440&gt;0,ISNUMBER(D440),COUNTIF(Envelopes!$B$6:$B$21,C440)&gt;0,F440=""),1,0)</f>
        <v/>
      </c>
      <c r="J440">
        <f>IF(AND(H440&gt;0,ISNUMBER(D440),COUNTIF(Envelopes!$B$6:$B$21,C440)&gt;0,F440&lt;&gt;"",COUNTIF(Envelopes!$B$6:$B$21,F440)&gt;0),1,0)</f>
        <v/>
      </c>
      <c r="K440">
        <f>IF(I440=1,H440*10000+ROW(),"")</f>
        <v/>
      </c>
    </row>
    <row r="441">
      <c r="A441" s="1" t="n"/>
      <c r="B441" s="21" t="n"/>
      <c r="C441" s="23" t="n"/>
      <c r="D441" s="22" t="n"/>
      <c r="E441" s="24" t="n"/>
      <c r="F441" s="25" t="n"/>
      <c r="G441" s="18">
        <f>IF(AND(C441="",D441=""),"",IF(NOT(ISNUMBER(B441)),"Needs a date",IF(NOT(ISNUMBER(D441)),"Needs the amount",IF(C441="","Needs an envelope",IF(COUNTIF(Envelopes!$B$6:$B$21,C441)=0,"Not on Envelopes",IF(F441="",IF(D441=0,"Needs the amount",""),IF(COUNTIF(Envelopes!$B$6:$B$21,F441)=0,"Moved to: not on Envelopes",IF(D441&lt;=0,"A move needs an amount",IF(F441=C441,"Moved to the same envelope","")))))))))</f>
        <v/>
      </c>
      <c r="H441" s="1">
        <f>IF(ISNUMBER(B441),INT(B441),0)</f>
        <v/>
      </c>
      <c r="I441">
        <f>IF(AND(H441&gt;0,ISNUMBER(D441),COUNTIF(Envelopes!$B$6:$B$21,C441)&gt;0,F441=""),1,0)</f>
        <v/>
      </c>
      <c r="J441">
        <f>IF(AND(H441&gt;0,ISNUMBER(D441),COUNTIF(Envelopes!$B$6:$B$21,C441)&gt;0,F441&lt;&gt;"",COUNTIF(Envelopes!$B$6:$B$21,F441)&gt;0),1,0)</f>
        <v/>
      </c>
      <c r="K441">
        <f>IF(I441=1,H441*10000+ROW(),"")</f>
        <v/>
      </c>
    </row>
    <row r="442">
      <c r="A442" s="1" t="n"/>
      <c r="B442" s="21" t="n"/>
      <c r="C442" s="23" t="n"/>
      <c r="D442" s="22" t="n"/>
      <c r="E442" s="24" t="n"/>
      <c r="F442" s="25" t="n"/>
      <c r="G442" s="18">
        <f>IF(AND(C442="",D442=""),"",IF(NOT(ISNUMBER(B442)),"Needs a date",IF(NOT(ISNUMBER(D442)),"Needs the amount",IF(C442="","Needs an envelope",IF(COUNTIF(Envelopes!$B$6:$B$21,C442)=0,"Not on Envelopes",IF(F442="",IF(D442=0,"Needs the amount",""),IF(COUNTIF(Envelopes!$B$6:$B$21,F442)=0,"Moved to: not on Envelopes",IF(D442&lt;=0,"A move needs an amount",IF(F442=C442,"Moved to the same envelope","")))))))))</f>
        <v/>
      </c>
      <c r="H442" s="1">
        <f>IF(ISNUMBER(B442),INT(B442),0)</f>
        <v/>
      </c>
      <c r="I442">
        <f>IF(AND(H442&gt;0,ISNUMBER(D442),COUNTIF(Envelopes!$B$6:$B$21,C442)&gt;0,F442=""),1,0)</f>
        <v/>
      </c>
      <c r="J442">
        <f>IF(AND(H442&gt;0,ISNUMBER(D442),COUNTIF(Envelopes!$B$6:$B$21,C442)&gt;0,F442&lt;&gt;"",COUNTIF(Envelopes!$B$6:$B$21,F442)&gt;0),1,0)</f>
        <v/>
      </c>
      <c r="K442">
        <f>IF(I442=1,H442*10000+ROW(),"")</f>
        <v/>
      </c>
    </row>
    <row r="443">
      <c r="A443" s="1" t="n"/>
      <c r="B443" s="21" t="n"/>
      <c r="C443" s="23" t="n"/>
      <c r="D443" s="22" t="n"/>
      <c r="E443" s="24" t="n"/>
      <c r="F443" s="25" t="n"/>
      <c r="G443" s="18">
        <f>IF(AND(C443="",D443=""),"",IF(NOT(ISNUMBER(B443)),"Needs a date",IF(NOT(ISNUMBER(D443)),"Needs the amount",IF(C443="","Needs an envelope",IF(COUNTIF(Envelopes!$B$6:$B$21,C443)=0,"Not on Envelopes",IF(F443="",IF(D443=0,"Needs the amount",""),IF(COUNTIF(Envelopes!$B$6:$B$21,F443)=0,"Moved to: not on Envelopes",IF(D443&lt;=0,"A move needs an amount",IF(F443=C443,"Moved to the same envelope","")))))))))</f>
        <v/>
      </c>
      <c r="H443" s="1">
        <f>IF(ISNUMBER(B443),INT(B443),0)</f>
        <v/>
      </c>
      <c r="I443">
        <f>IF(AND(H443&gt;0,ISNUMBER(D443),COUNTIF(Envelopes!$B$6:$B$21,C443)&gt;0,F443=""),1,0)</f>
        <v/>
      </c>
      <c r="J443">
        <f>IF(AND(H443&gt;0,ISNUMBER(D443),COUNTIF(Envelopes!$B$6:$B$21,C443)&gt;0,F443&lt;&gt;"",COUNTIF(Envelopes!$B$6:$B$21,F443)&gt;0),1,0)</f>
        <v/>
      </c>
      <c r="K443">
        <f>IF(I443=1,H443*10000+ROW(),"")</f>
        <v/>
      </c>
    </row>
    <row r="444">
      <c r="A444" s="1" t="n"/>
      <c r="B444" s="21" t="n"/>
      <c r="C444" s="23" t="n"/>
      <c r="D444" s="22" t="n"/>
      <c r="E444" s="24" t="n"/>
      <c r="F444" s="25" t="n"/>
      <c r="G444" s="18">
        <f>IF(AND(C444="",D444=""),"",IF(NOT(ISNUMBER(B444)),"Needs a date",IF(NOT(ISNUMBER(D444)),"Needs the amount",IF(C444="","Needs an envelope",IF(COUNTIF(Envelopes!$B$6:$B$21,C444)=0,"Not on Envelopes",IF(F444="",IF(D444=0,"Needs the amount",""),IF(COUNTIF(Envelopes!$B$6:$B$21,F444)=0,"Moved to: not on Envelopes",IF(D444&lt;=0,"A move needs an amount",IF(F444=C444,"Moved to the same envelope","")))))))))</f>
        <v/>
      </c>
      <c r="H444" s="1">
        <f>IF(ISNUMBER(B444),INT(B444),0)</f>
        <v/>
      </c>
      <c r="I444">
        <f>IF(AND(H444&gt;0,ISNUMBER(D444),COUNTIF(Envelopes!$B$6:$B$21,C444)&gt;0,F444=""),1,0)</f>
        <v/>
      </c>
      <c r="J444">
        <f>IF(AND(H444&gt;0,ISNUMBER(D444),COUNTIF(Envelopes!$B$6:$B$21,C444)&gt;0,F444&lt;&gt;"",COUNTIF(Envelopes!$B$6:$B$21,F444)&gt;0),1,0)</f>
        <v/>
      </c>
      <c r="K444">
        <f>IF(I444=1,H444*10000+ROW(),"")</f>
        <v/>
      </c>
    </row>
    <row r="445">
      <c r="A445" s="1" t="n"/>
      <c r="B445" s="21" t="n"/>
      <c r="C445" s="23" t="n"/>
      <c r="D445" s="22" t="n"/>
      <c r="E445" s="24" t="n"/>
      <c r="F445" s="25" t="n"/>
      <c r="G445" s="18">
        <f>IF(AND(C445="",D445=""),"",IF(NOT(ISNUMBER(B445)),"Needs a date",IF(NOT(ISNUMBER(D445)),"Needs the amount",IF(C445="","Needs an envelope",IF(COUNTIF(Envelopes!$B$6:$B$21,C445)=0,"Not on Envelopes",IF(F445="",IF(D445=0,"Needs the amount",""),IF(COUNTIF(Envelopes!$B$6:$B$21,F445)=0,"Moved to: not on Envelopes",IF(D445&lt;=0,"A move needs an amount",IF(F445=C445,"Moved to the same envelope","")))))))))</f>
        <v/>
      </c>
      <c r="H445" s="1">
        <f>IF(ISNUMBER(B445),INT(B445),0)</f>
        <v/>
      </c>
      <c r="I445">
        <f>IF(AND(H445&gt;0,ISNUMBER(D445),COUNTIF(Envelopes!$B$6:$B$21,C445)&gt;0,F445=""),1,0)</f>
        <v/>
      </c>
      <c r="J445">
        <f>IF(AND(H445&gt;0,ISNUMBER(D445),COUNTIF(Envelopes!$B$6:$B$21,C445)&gt;0,F445&lt;&gt;"",COUNTIF(Envelopes!$B$6:$B$21,F445)&gt;0),1,0)</f>
        <v/>
      </c>
      <c r="K445">
        <f>IF(I445=1,H445*10000+ROW(),"")</f>
        <v/>
      </c>
    </row>
    <row r="446">
      <c r="A446" s="1" t="n"/>
      <c r="B446" s="21" t="n"/>
      <c r="C446" s="23" t="n"/>
      <c r="D446" s="22" t="n"/>
      <c r="E446" s="24" t="n"/>
      <c r="F446" s="25" t="n"/>
      <c r="G446" s="18">
        <f>IF(AND(C446="",D446=""),"",IF(NOT(ISNUMBER(B446)),"Needs a date",IF(NOT(ISNUMBER(D446)),"Needs the amount",IF(C446="","Needs an envelope",IF(COUNTIF(Envelopes!$B$6:$B$21,C446)=0,"Not on Envelopes",IF(F446="",IF(D446=0,"Needs the amount",""),IF(COUNTIF(Envelopes!$B$6:$B$21,F446)=0,"Moved to: not on Envelopes",IF(D446&lt;=0,"A move needs an amount",IF(F446=C446,"Moved to the same envelope","")))))))))</f>
        <v/>
      </c>
      <c r="H446" s="1">
        <f>IF(ISNUMBER(B446),INT(B446),0)</f>
        <v/>
      </c>
      <c r="I446">
        <f>IF(AND(H446&gt;0,ISNUMBER(D446),COUNTIF(Envelopes!$B$6:$B$21,C446)&gt;0,F446=""),1,0)</f>
        <v/>
      </c>
      <c r="J446">
        <f>IF(AND(H446&gt;0,ISNUMBER(D446),COUNTIF(Envelopes!$B$6:$B$21,C446)&gt;0,F446&lt;&gt;"",COUNTIF(Envelopes!$B$6:$B$21,F446)&gt;0),1,0)</f>
        <v/>
      </c>
      <c r="K446">
        <f>IF(I446=1,H446*10000+ROW(),"")</f>
        <v/>
      </c>
    </row>
    <row r="447">
      <c r="A447" s="1" t="n"/>
      <c r="B447" s="21" t="n"/>
      <c r="C447" s="23" t="n"/>
      <c r="D447" s="22" t="n"/>
      <c r="E447" s="24" t="n"/>
      <c r="F447" s="25" t="n"/>
      <c r="G447" s="18">
        <f>IF(AND(C447="",D447=""),"",IF(NOT(ISNUMBER(B447)),"Needs a date",IF(NOT(ISNUMBER(D447)),"Needs the amount",IF(C447="","Needs an envelope",IF(COUNTIF(Envelopes!$B$6:$B$21,C447)=0,"Not on Envelopes",IF(F447="",IF(D447=0,"Needs the amount",""),IF(COUNTIF(Envelopes!$B$6:$B$21,F447)=0,"Moved to: not on Envelopes",IF(D447&lt;=0,"A move needs an amount",IF(F447=C447,"Moved to the same envelope","")))))))))</f>
        <v/>
      </c>
      <c r="H447" s="1">
        <f>IF(ISNUMBER(B447),INT(B447),0)</f>
        <v/>
      </c>
      <c r="I447">
        <f>IF(AND(H447&gt;0,ISNUMBER(D447),COUNTIF(Envelopes!$B$6:$B$21,C447)&gt;0,F447=""),1,0)</f>
        <v/>
      </c>
      <c r="J447">
        <f>IF(AND(H447&gt;0,ISNUMBER(D447),COUNTIF(Envelopes!$B$6:$B$21,C447)&gt;0,F447&lt;&gt;"",COUNTIF(Envelopes!$B$6:$B$21,F447)&gt;0),1,0)</f>
        <v/>
      </c>
      <c r="K447">
        <f>IF(I447=1,H447*10000+ROW(),"")</f>
        <v/>
      </c>
    </row>
    <row r="448">
      <c r="A448" s="1" t="n"/>
      <c r="B448" s="21" t="n"/>
      <c r="C448" s="23" t="n"/>
      <c r="D448" s="22" t="n"/>
      <c r="E448" s="24" t="n"/>
      <c r="F448" s="25" t="n"/>
      <c r="G448" s="18">
        <f>IF(AND(C448="",D448=""),"",IF(NOT(ISNUMBER(B448)),"Needs a date",IF(NOT(ISNUMBER(D448)),"Needs the amount",IF(C448="","Needs an envelope",IF(COUNTIF(Envelopes!$B$6:$B$21,C448)=0,"Not on Envelopes",IF(F448="",IF(D448=0,"Needs the amount",""),IF(COUNTIF(Envelopes!$B$6:$B$21,F448)=0,"Moved to: not on Envelopes",IF(D448&lt;=0,"A move needs an amount",IF(F448=C448,"Moved to the same envelope","")))))))))</f>
        <v/>
      </c>
      <c r="H448" s="1">
        <f>IF(ISNUMBER(B448),INT(B448),0)</f>
        <v/>
      </c>
      <c r="I448">
        <f>IF(AND(H448&gt;0,ISNUMBER(D448),COUNTIF(Envelopes!$B$6:$B$21,C448)&gt;0,F448=""),1,0)</f>
        <v/>
      </c>
      <c r="J448">
        <f>IF(AND(H448&gt;0,ISNUMBER(D448),COUNTIF(Envelopes!$B$6:$B$21,C448)&gt;0,F448&lt;&gt;"",COUNTIF(Envelopes!$B$6:$B$21,F448)&gt;0),1,0)</f>
        <v/>
      </c>
      <c r="K448">
        <f>IF(I448=1,H448*10000+ROW(),"")</f>
        <v/>
      </c>
    </row>
    <row r="449">
      <c r="A449" s="1" t="n"/>
      <c r="B449" s="21" t="n"/>
      <c r="C449" s="23" t="n"/>
      <c r="D449" s="22" t="n"/>
      <c r="E449" s="24" t="n"/>
      <c r="F449" s="25" t="n"/>
      <c r="G449" s="18">
        <f>IF(AND(C449="",D449=""),"",IF(NOT(ISNUMBER(B449)),"Needs a date",IF(NOT(ISNUMBER(D449)),"Needs the amount",IF(C449="","Needs an envelope",IF(COUNTIF(Envelopes!$B$6:$B$21,C449)=0,"Not on Envelopes",IF(F449="",IF(D449=0,"Needs the amount",""),IF(COUNTIF(Envelopes!$B$6:$B$21,F449)=0,"Moved to: not on Envelopes",IF(D449&lt;=0,"A move needs an amount",IF(F449=C449,"Moved to the same envelope","")))))))))</f>
        <v/>
      </c>
      <c r="H449" s="1">
        <f>IF(ISNUMBER(B449),INT(B449),0)</f>
        <v/>
      </c>
      <c r="I449">
        <f>IF(AND(H449&gt;0,ISNUMBER(D449),COUNTIF(Envelopes!$B$6:$B$21,C449)&gt;0,F449=""),1,0)</f>
        <v/>
      </c>
      <c r="J449">
        <f>IF(AND(H449&gt;0,ISNUMBER(D449),COUNTIF(Envelopes!$B$6:$B$21,C449)&gt;0,F449&lt;&gt;"",COUNTIF(Envelopes!$B$6:$B$21,F449)&gt;0),1,0)</f>
        <v/>
      </c>
      <c r="K449">
        <f>IF(I449=1,H449*10000+ROW(),"")</f>
        <v/>
      </c>
    </row>
    <row r="450">
      <c r="A450" s="1" t="n"/>
      <c r="B450" s="21" t="n"/>
      <c r="C450" s="23" t="n"/>
      <c r="D450" s="22" t="n"/>
      <c r="E450" s="24" t="n"/>
      <c r="F450" s="25" t="n"/>
      <c r="G450" s="18">
        <f>IF(AND(C450="",D450=""),"",IF(NOT(ISNUMBER(B450)),"Needs a date",IF(NOT(ISNUMBER(D450)),"Needs the amount",IF(C450="","Needs an envelope",IF(COUNTIF(Envelopes!$B$6:$B$21,C450)=0,"Not on Envelopes",IF(F450="",IF(D450=0,"Needs the amount",""),IF(COUNTIF(Envelopes!$B$6:$B$21,F450)=0,"Moved to: not on Envelopes",IF(D450&lt;=0,"A move needs an amount",IF(F450=C450,"Moved to the same envelope","")))))))))</f>
        <v/>
      </c>
      <c r="H450" s="1">
        <f>IF(ISNUMBER(B450),INT(B450),0)</f>
        <v/>
      </c>
      <c r="I450">
        <f>IF(AND(H450&gt;0,ISNUMBER(D450),COUNTIF(Envelopes!$B$6:$B$21,C450)&gt;0,F450=""),1,0)</f>
        <v/>
      </c>
      <c r="J450">
        <f>IF(AND(H450&gt;0,ISNUMBER(D450),COUNTIF(Envelopes!$B$6:$B$21,C450)&gt;0,F450&lt;&gt;"",COUNTIF(Envelopes!$B$6:$B$21,F450)&gt;0),1,0)</f>
        <v/>
      </c>
      <c r="K450">
        <f>IF(I450=1,H450*10000+ROW(),"")</f>
        <v/>
      </c>
    </row>
    <row r="451">
      <c r="A451" s="1" t="n"/>
      <c r="B451" s="21" t="n"/>
      <c r="C451" s="23" t="n"/>
      <c r="D451" s="22" t="n"/>
      <c r="E451" s="24" t="n"/>
      <c r="F451" s="25" t="n"/>
      <c r="G451" s="18">
        <f>IF(AND(C451="",D451=""),"",IF(NOT(ISNUMBER(B451)),"Needs a date",IF(NOT(ISNUMBER(D451)),"Needs the amount",IF(C451="","Needs an envelope",IF(COUNTIF(Envelopes!$B$6:$B$21,C451)=0,"Not on Envelopes",IF(F451="",IF(D451=0,"Needs the amount",""),IF(COUNTIF(Envelopes!$B$6:$B$21,F451)=0,"Moved to: not on Envelopes",IF(D451&lt;=0,"A move needs an amount",IF(F451=C451,"Moved to the same envelope","")))))))))</f>
        <v/>
      </c>
      <c r="H451" s="1">
        <f>IF(ISNUMBER(B451),INT(B451),0)</f>
        <v/>
      </c>
      <c r="I451">
        <f>IF(AND(H451&gt;0,ISNUMBER(D451),COUNTIF(Envelopes!$B$6:$B$21,C451)&gt;0,F451=""),1,0)</f>
        <v/>
      </c>
      <c r="J451">
        <f>IF(AND(H451&gt;0,ISNUMBER(D451),COUNTIF(Envelopes!$B$6:$B$21,C451)&gt;0,F451&lt;&gt;"",COUNTIF(Envelopes!$B$6:$B$21,F451)&gt;0),1,0)</f>
        <v/>
      </c>
      <c r="K451">
        <f>IF(I451=1,H451*10000+ROW(),"")</f>
        <v/>
      </c>
    </row>
    <row r="452">
      <c r="A452" s="1" t="n"/>
      <c r="B452" s="21" t="n"/>
      <c r="C452" s="23" t="n"/>
      <c r="D452" s="22" t="n"/>
      <c r="E452" s="24" t="n"/>
      <c r="F452" s="25" t="n"/>
      <c r="G452" s="18">
        <f>IF(AND(C452="",D452=""),"",IF(NOT(ISNUMBER(B452)),"Needs a date",IF(NOT(ISNUMBER(D452)),"Needs the amount",IF(C452="","Needs an envelope",IF(COUNTIF(Envelopes!$B$6:$B$21,C452)=0,"Not on Envelopes",IF(F452="",IF(D452=0,"Needs the amount",""),IF(COUNTIF(Envelopes!$B$6:$B$21,F452)=0,"Moved to: not on Envelopes",IF(D452&lt;=0,"A move needs an amount",IF(F452=C452,"Moved to the same envelope","")))))))))</f>
        <v/>
      </c>
      <c r="H452" s="1">
        <f>IF(ISNUMBER(B452),INT(B452),0)</f>
        <v/>
      </c>
      <c r="I452">
        <f>IF(AND(H452&gt;0,ISNUMBER(D452),COUNTIF(Envelopes!$B$6:$B$21,C452)&gt;0,F452=""),1,0)</f>
        <v/>
      </c>
      <c r="J452">
        <f>IF(AND(H452&gt;0,ISNUMBER(D452),COUNTIF(Envelopes!$B$6:$B$21,C452)&gt;0,F452&lt;&gt;"",COUNTIF(Envelopes!$B$6:$B$21,F452)&gt;0),1,0)</f>
        <v/>
      </c>
      <c r="K452">
        <f>IF(I452=1,H452*10000+ROW(),"")</f>
        <v/>
      </c>
    </row>
    <row r="453">
      <c r="A453" s="1" t="n"/>
      <c r="B453" s="21" t="n"/>
      <c r="C453" s="23" t="n"/>
      <c r="D453" s="22" t="n"/>
      <c r="E453" s="24" t="n"/>
      <c r="F453" s="25" t="n"/>
      <c r="G453" s="18">
        <f>IF(AND(C453="",D453=""),"",IF(NOT(ISNUMBER(B453)),"Needs a date",IF(NOT(ISNUMBER(D453)),"Needs the amount",IF(C453="","Needs an envelope",IF(COUNTIF(Envelopes!$B$6:$B$21,C453)=0,"Not on Envelopes",IF(F453="",IF(D453=0,"Needs the amount",""),IF(COUNTIF(Envelopes!$B$6:$B$21,F453)=0,"Moved to: not on Envelopes",IF(D453&lt;=0,"A move needs an amount",IF(F453=C453,"Moved to the same envelope","")))))))))</f>
        <v/>
      </c>
      <c r="H453" s="1">
        <f>IF(ISNUMBER(B453),INT(B453),0)</f>
        <v/>
      </c>
      <c r="I453">
        <f>IF(AND(H453&gt;0,ISNUMBER(D453),COUNTIF(Envelopes!$B$6:$B$21,C453)&gt;0,F453=""),1,0)</f>
        <v/>
      </c>
      <c r="J453">
        <f>IF(AND(H453&gt;0,ISNUMBER(D453),COUNTIF(Envelopes!$B$6:$B$21,C453)&gt;0,F453&lt;&gt;"",COUNTIF(Envelopes!$B$6:$B$21,F453)&gt;0),1,0)</f>
        <v/>
      </c>
      <c r="K453">
        <f>IF(I453=1,H453*10000+ROW(),"")</f>
        <v/>
      </c>
    </row>
    <row r="454">
      <c r="A454" s="1" t="n"/>
      <c r="B454" s="21" t="n"/>
      <c r="C454" s="23" t="n"/>
      <c r="D454" s="22" t="n"/>
      <c r="E454" s="24" t="n"/>
      <c r="F454" s="25" t="n"/>
      <c r="G454" s="18">
        <f>IF(AND(C454="",D454=""),"",IF(NOT(ISNUMBER(B454)),"Needs a date",IF(NOT(ISNUMBER(D454)),"Needs the amount",IF(C454="","Needs an envelope",IF(COUNTIF(Envelopes!$B$6:$B$21,C454)=0,"Not on Envelopes",IF(F454="",IF(D454=0,"Needs the amount",""),IF(COUNTIF(Envelopes!$B$6:$B$21,F454)=0,"Moved to: not on Envelopes",IF(D454&lt;=0,"A move needs an amount",IF(F454=C454,"Moved to the same envelope","")))))))))</f>
        <v/>
      </c>
      <c r="H454" s="1">
        <f>IF(ISNUMBER(B454),INT(B454),0)</f>
        <v/>
      </c>
      <c r="I454">
        <f>IF(AND(H454&gt;0,ISNUMBER(D454),COUNTIF(Envelopes!$B$6:$B$21,C454)&gt;0,F454=""),1,0)</f>
        <v/>
      </c>
      <c r="J454">
        <f>IF(AND(H454&gt;0,ISNUMBER(D454),COUNTIF(Envelopes!$B$6:$B$21,C454)&gt;0,F454&lt;&gt;"",COUNTIF(Envelopes!$B$6:$B$21,F454)&gt;0),1,0)</f>
        <v/>
      </c>
      <c r="K454">
        <f>IF(I454=1,H454*10000+ROW(),"")</f>
        <v/>
      </c>
    </row>
    <row r="455">
      <c r="A455" s="1" t="n"/>
      <c r="B455" s="21" t="n"/>
      <c r="C455" s="23" t="n"/>
      <c r="D455" s="22" t="n"/>
      <c r="E455" s="24" t="n"/>
      <c r="F455" s="25" t="n"/>
      <c r="G455" s="18">
        <f>IF(AND(C455="",D455=""),"",IF(NOT(ISNUMBER(B455)),"Needs a date",IF(NOT(ISNUMBER(D455)),"Needs the amount",IF(C455="","Needs an envelope",IF(COUNTIF(Envelopes!$B$6:$B$21,C455)=0,"Not on Envelopes",IF(F455="",IF(D455=0,"Needs the amount",""),IF(COUNTIF(Envelopes!$B$6:$B$21,F455)=0,"Moved to: not on Envelopes",IF(D455&lt;=0,"A move needs an amount",IF(F455=C455,"Moved to the same envelope","")))))))))</f>
        <v/>
      </c>
      <c r="H455" s="1">
        <f>IF(ISNUMBER(B455),INT(B455),0)</f>
        <v/>
      </c>
      <c r="I455">
        <f>IF(AND(H455&gt;0,ISNUMBER(D455),COUNTIF(Envelopes!$B$6:$B$21,C455)&gt;0,F455=""),1,0)</f>
        <v/>
      </c>
      <c r="J455">
        <f>IF(AND(H455&gt;0,ISNUMBER(D455),COUNTIF(Envelopes!$B$6:$B$21,C455)&gt;0,F455&lt;&gt;"",COUNTIF(Envelopes!$B$6:$B$21,F455)&gt;0),1,0)</f>
        <v/>
      </c>
      <c r="K455">
        <f>IF(I455=1,H455*10000+ROW(),"")</f>
        <v/>
      </c>
    </row>
    <row r="456">
      <c r="A456" s="1" t="n"/>
      <c r="B456" s="21" t="n"/>
      <c r="C456" s="23" t="n"/>
      <c r="D456" s="22" t="n"/>
      <c r="E456" s="24" t="n"/>
      <c r="F456" s="25" t="n"/>
      <c r="G456" s="18">
        <f>IF(AND(C456="",D456=""),"",IF(NOT(ISNUMBER(B456)),"Needs a date",IF(NOT(ISNUMBER(D456)),"Needs the amount",IF(C456="","Needs an envelope",IF(COUNTIF(Envelopes!$B$6:$B$21,C456)=0,"Not on Envelopes",IF(F456="",IF(D456=0,"Needs the amount",""),IF(COUNTIF(Envelopes!$B$6:$B$21,F456)=0,"Moved to: not on Envelopes",IF(D456&lt;=0,"A move needs an amount",IF(F456=C456,"Moved to the same envelope","")))))))))</f>
        <v/>
      </c>
      <c r="H456" s="1">
        <f>IF(ISNUMBER(B456),INT(B456),0)</f>
        <v/>
      </c>
      <c r="I456">
        <f>IF(AND(H456&gt;0,ISNUMBER(D456),COUNTIF(Envelopes!$B$6:$B$21,C456)&gt;0,F456=""),1,0)</f>
        <v/>
      </c>
      <c r="J456">
        <f>IF(AND(H456&gt;0,ISNUMBER(D456),COUNTIF(Envelopes!$B$6:$B$21,C456)&gt;0,F456&lt;&gt;"",COUNTIF(Envelopes!$B$6:$B$21,F456)&gt;0),1,0)</f>
        <v/>
      </c>
      <c r="K456">
        <f>IF(I456=1,H456*10000+ROW(),"")</f>
        <v/>
      </c>
    </row>
    <row r="457">
      <c r="A457" s="1" t="n"/>
      <c r="B457" s="21" t="n"/>
      <c r="C457" s="23" t="n"/>
      <c r="D457" s="22" t="n"/>
      <c r="E457" s="24" t="n"/>
      <c r="F457" s="25" t="n"/>
      <c r="G457" s="18">
        <f>IF(AND(C457="",D457=""),"",IF(NOT(ISNUMBER(B457)),"Needs a date",IF(NOT(ISNUMBER(D457)),"Needs the amount",IF(C457="","Needs an envelope",IF(COUNTIF(Envelopes!$B$6:$B$21,C457)=0,"Not on Envelopes",IF(F457="",IF(D457=0,"Needs the amount",""),IF(COUNTIF(Envelopes!$B$6:$B$21,F457)=0,"Moved to: not on Envelopes",IF(D457&lt;=0,"A move needs an amount",IF(F457=C457,"Moved to the same envelope","")))))))))</f>
        <v/>
      </c>
      <c r="H457" s="1">
        <f>IF(ISNUMBER(B457),INT(B457),0)</f>
        <v/>
      </c>
      <c r="I457">
        <f>IF(AND(H457&gt;0,ISNUMBER(D457),COUNTIF(Envelopes!$B$6:$B$21,C457)&gt;0,F457=""),1,0)</f>
        <v/>
      </c>
      <c r="J457">
        <f>IF(AND(H457&gt;0,ISNUMBER(D457),COUNTIF(Envelopes!$B$6:$B$21,C457)&gt;0,F457&lt;&gt;"",COUNTIF(Envelopes!$B$6:$B$21,F457)&gt;0),1,0)</f>
        <v/>
      </c>
      <c r="K457">
        <f>IF(I457=1,H457*10000+ROW(),"")</f>
        <v/>
      </c>
    </row>
    <row r="458">
      <c r="A458" s="1" t="n"/>
      <c r="B458" s="21" t="n"/>
      <c r="C458" s="23" t="n"/>
      <c r="D458" s="22" t="n"/>
      <c r="E458" s="24" t="n"/>
      <c r="F458" s="25" t="n"/>
      <c r="G458" s="18">
        <f>IF(AND(C458="",D458=""),"",IF(NOT(ISNUMBER(B458)),"Needs a date",IF(NOT(ISNUMBER(D458)),"Needs the amount",IF(C458="","Needs an envelope",IF(COUNTIF(Envelopes!$B$6:$B$21,C458)=0,"Not on Envelopes",IF(F458="",IF(D458=0,"Needs the amount",""),IF(COUNTIF(Envelopes!$B$6:$B$21,F458)=0,"Moved to: not on Envelopes",IF(D458&lt;=0,"A move needs an amount",IF(F458=C458,"Moved to the same envelope","")))))))))</f>
        <v/>
      </c>
      <c r="H458" s="1">
        <f>IF(ISNUMBER(B458),INT(B458),0)</f>
        <v/>
      </c>
      <c r="I458">
        <f>IF(AND(H458&gt;0,ISNUMBER(D458),COUNTIF(Envelopes!$B$6:$B$21,C458)&gt;0,F458=""),1,0)</f>
        <v/>
      </c>
      <c r="J458">
        <f>IF(AND(H458&gt;0,ISNUMBER(D458),COUNTIF(Envelopes!$B$6:$B$21,C458)&gt;0,F458&lt;&gt;"",COUNTIF(Envelopes!$B$6:$B$21,F458)&gt;0),1,0)</f>
        <v/>
      </c>
      <c r="K458">
        <f>IF(I458=1,H458*10000+ROW(),"")</f>
        <v/>
      </c>
    </row>
    <row r="459">
      <c r="A459" s="1" t="n"/>
      <c r="B459" s="21" t="n"/>
      <c r="C459" s="23" t="n"/>
      <c r="D459" s="22" t="n"/>
      <c r="E459" s="24" t="n"/>
      <c r="F459" s="25" t="n"/>
      <c r="G459" s="18">
        <f>IF(AND(C459="",D459=""),"",IF(NOT(ISNUMBER(B459)),"Needs a date",IF(NOT(ISNUMBER(D459)),"Needs the amount",IF(C459="","Needs an envelope",IF(COUNTIF(Envelopes!$B$6:$B$21,C459)=0,"Not on Envelopes",IF(F459="",IF(D459=0,"Needs the amount",""),IF(COUNTIF(Envelopes!$B$6:$B$21,F459)=0,"Moved to: not on Envelopes",IF(D459&lt;=0,"A move needs an amount",IF(F459=C459,"Moved to the same envelope","")))))))))</f>
        <v/>
      </c>
      <c r="H459" s="1">
        <f>IF(ISNUMBER(B459),INT(B459),0)</f>
        <v/>
      </c>
      <c r="I459">
        <f>IF(AND(H459&gt;0,ISNUMBER(D459),COUNTIF(Envelopes!$B$6:$B$21,C459)&gt;0,F459=""),1,0)</f>
        <v/>
      </c>
      <c r="J459">
        <f>IF(AND(H459&gt;0,ISNUMBER(D459),COUNTIF(Envelopes!$B$6:$B$21,C459)&gt;0,F459&lt;&gt;"",COUNTIF(Envelopes!$B$6:$B$21,F459)&gt;0),1,0)</f>
        <v/>
      </c>
      <c r="K459">
        <f>IF(I459=1,H459*10000+ROW(),"")</f>
        <v/>
      </c>
    </row>
    <row r="460">
      <c r="A460" s="1" t="n"/>
      <c r="B460" s="21" t="n"/>
      <c r="C460" s="23" t="n"/>
      <c r="D460" s="22" t="n"/>
      <c r="E460" s="24" t="n"/>
      <c r="F460" s="25" t="n"/>
      <c r="G460" s="18">
        <f>IF(AND(C460="",D460=""),"",IF(NOT(ISNUMBER(B460)),"Needs a date",IF(NOT(ISNUMBER(D460)),"Needs the amount",IF(C460="","Needs an envelope",IF(COUNTIF(Envelopes!$B$6:$B$21,C460)=0,"Not on Envelopes",IF(F460="",IF(D460=0,"Needs the amount",""),IF(COUNTIF(Envelopes!$B$6:$B$21,F460)=0,"Moved to: not on Envelopes",IF(D460&lt;=0,"A move needs an amount",IF(F460=C460,"Moved to the same envelope","")))))))))</f>
        <v/>
      </c>
      <c r="H460" s="1">
        <f>IF(ISNUMBER(B460),INT(B460),0)</f>
        <v/>
      </c>
      <c r="I460">
        <f>IF(AND(H460&gt;0,ISNUMBER(D460),COUNTIF(Envelopes!$B$6:$B$21,C460)&gt;0,F460=""),1,0)</f>
        <v/>
      </c>
      <c r="J460">
        <f>IF(AND(H460&gt;0,ISNUMBER(D460),COUNTIF(Envelopes!$B$6:$B$21,C460)&gt;0,F460&lt;&gt;"",COUNTIF(Envelopes!$B$6:$B$21,F460)&gt;0),1,0)</f>
        <v/>
      </c>
      <c r="K460">
        <f>IF(I460=1,H460*10000+ROW(),"")</f>
        <v/>
      </c>
    </row>
    <row r="461">
      <c r="A461" s="1" t="n"/>
      <c r="B461" s="21" t="n"/>
      <c r="C461" s="23" t="n"/>
      <c r="D461" s="22" t="n"/>
      <c r="E461" s="24" t="n"/>
      <c r="F461" s="25" t="n"/>
      <c r="G461" s="18">
        <f>IF(AND(C461="",D461=""),"",IF(NOT(ISNUMBER(B461)),"Needs a date",IF(NOT(ISNUMBER(D461)),"Needs the amount",IF(C461="","Needs an envelope",IF(COUNTIF(Envelopes!$B$6:$B$21,C461)=0,"Not on Envelopes",IF(F461="",IF(D461=0,"Needs the amount",""),IF(COUNTIF(Envelopes!$B$6:$B$21,F461)=0,"Moved to: not on Envelopes",IF(D461&lt;=0,"A move needs an amount",IF(F461=C461,"Moved to the same envelope","")))))))))</f>
        <v/>
      </c>
      <c r="H461" s="1">
        <f>IF(ISNUMBER(B461),INT(B461),0)</f>
        <v/>
      </c>
      <c r="I461">
        <f>IF(AND(H461&gt;0,ISNUMBER(D461),COUNTIF(Envelopes!$B$6:$B$21,C461)&gt;0,F461=""),1,0)</f>
        <v/>
      </c>
      <c r="J461">
        <f>IF(AND(H461&gt;0,ISNUMBER(D461),COUNTIF(Envelopes!$B$6:$B$21,C461)&gt;0,F461&lt;&gt;"",COUNTIF(Envelopes!$B$6:$B$21,F461)&gt;0),1,0)</f>
        <v/>
      </c>
      <c r="K461">
        <f>IF(I461=1,H461*10000+ROW(),"")</f>
        <v/>
      </c>
    </row>
    <row r="462">
      <c r="A462" s="1" t="n"/>
      <c r="B462" s="21" t="n"/>
      <c r="C462" s="23" t="n"/>
      <c r="D462" s="22" t="n"/>
      <c r="E462" s="24" t="n"/>
      <c r="F462" s="25" t="n"/>
      <c r="G462" s="18">
        <f>IF(AND(C462="",D462=""),"",IF(NOT(ISNUMBER(B462)),"Needs a date",IF(NOT(ISNUMBER(D462)),"Needs the amount",IF(C462="","Needs an envelope",IF(COUNTIF(Envelopes!$B$6:$B$21,C462)=0,"Not on Envelopes",IF(F462="",IF(D462=0,"Needs the amount",""),IF(COUNTIF(Envelopes!$B$6:$B$21,F462)=0,"Moved to: not on Envelopes",IF(D462&lt;=0,"A move needs an amount",IF(F462=C462,"Moved to the same envelope","")))))))))</f>
        <v/>
      </c>
      <c r="H462" s="1">
        <f>IF(ISNUMBER(B462),INT(B462),0)</f>
        <v/>
      </c>
      <c r="I462">
        <f>IF(AND(H462&gt;0,ISNUMBER(D462),COUNTIF(Envelopes!$B$6:$B$21,C462)&gt;0,F462=""),1,0)</f>
        <v/>
      </c>
      <c r="J462">
        <f>IF(AND(H462&gt;0,ISNUMBER(D462),COUNTIF(Envelopes!$B$6:$B$21,C462)&gt;0,F462&lt;&gt;"",COUNTIF(Envelopes!$B$6:$B$21,F462)&gt;0),1,0)</f>
        <v/>
      </c>
      <c r="K462">
        <f>IF(I462=1,H462*10000+ROW(),"")</f>
        <v/>
      </c>
    </row>
    <row r="463">
      <c r="A463" s="1" t="n"/>
      <c r="B463" s="21" t="n"/>
      <c r="C463" s="23" t="n"/>
      <c r="D463" s="22" t="n"/>
      <c r="E463" s="24" t="n"/>
      <c r="F463" s="25" t="n"/>
      <c r="G463" s="18">
        <f>IF(AND(C463="",D463=""),"",IF(NOT(ISNUMBER(B463)),"Needs a date",IF(NOT(ISNUMBER(D463)),"Needs the amount",IF(C463="","Needs an envelope",IF(COUNTIF(Envelopes!$B$6:$B$21,C463)=0,"Not on Envelopes",IF(F463="",IF(D463=0,"Needs the amount",""),IF(COUNTIF(Envelopes!$B$6:$B$21,F463)=0,"Moved to: not on Envelopes",IF(D463&lt;=0,"A move needs an amount",IF(F463=C463,"Moved to the same envelope","")))))))))</f>
        <v/>
      </c>
      <c r="H463" s="1">
        <f>IF(ISNUMBER(B463),INT(B463),0)</f>
        <v/>
      </c>
      <c r="I463">
        <f>IF(AND(H463&gt;0,ISNUMBER(D463),COUNTIF(Envelopes!$B$6:$B$21,C463)&gt;0,F463=""),1,0)</f>
        <v/>
      </c>
      <c r="J463">
        <f>IF(AND(H463&gt;0,ISNUMBER(D463),COUNTIF(Envelopes!$B$6:$B$21,C463)&gt;0,F463&lt;&gt;"",COUNTIF(Envelopes!$B$6:$B$21,F463)&gt;0),1,0)</f>
        <v/>
      </c>
      <c r="K463">
        <f>IF(I463=1,H463*10000+ROW(),"")</f>
        <v/>
      </c>
    </row>
    <row r="464">
      <c r="A464" s="1" t="n"/>
      <c r="B464" s="21" t="n"/>
      <c r="C464" s="23" t="n"/>
      <c r="D464" s="22" t="n"/>
      <c r="E464" s="24" t="n"/>
      <c r="F464" s="25" t="n"/>
      <c r="G464" s="18">
        <f>IF(AND(C464="",D464=""),"",IF(NOT(ISNUMBER(B464)),"Needs a date",IF(NOT(ISNUMBER(D464)),"Needs the amount",IF(C464="","Needs an envelope",IF(COUNTIF(Envelopes!$B$6:$B$21,C464)=0,"Not on Envelopes",IF(F464="",IF(D464=0,"Needs the amount",""),IF(COUNTIF(Envelopes!$B$6:$B$21,F464)=0,"Moved to: not on Envelopes",IF(D464&lt;=0,"A move needs an amount",IF(F464=C464,"Moved to the same envelope","")))))))))</f>
        <v/>
      </c>
      <c r="H464" s="1">
        <f>IF(ISNUMBER(B464),INT(B464),0)</f>
        <v/>
      </c>
      <c r="I464">
        <f>IF(AND(H464&gt;0,ISNUMBER(D464),COUNTIF(Envelopes!$B$6:$B$21,C464)&gt;0,F464=""),1,0)</f>
        <v/>
      </c>
      <c r="J464">
        <f>IF(AND(H464&gt;0,ISNUMBER(D464),COUNTIF(Envelopes!$B$6:$B$21,C464)&gt;0,F464&lt;&gt;"",COUNTIF(Envelopes!$B$6:$B$21,F464)&gt;0),1,0)</f>
        <v/>
      </c>
      <c r="K464">
        <f>IF(I464=1,H464*10000+ROW(),"")</f>
        <v/>
      </c>
    </row>
    <row r="465">
      <c r="A465" s="1" t="n"/>
      <c r="B465" s="21" t="n"/>
      <c r="C465" s="23" t="n"/>
      <c r="D465" s="22" t="n"/>
      <c r="E465" s="24" t="n"/>
      <c r="F465" s="25" t="n"/>
      <c r="G465" s="18">
        <f>IF(AND(C465="",D465=""),"",IF(NOT(ISNUMBER(B465)),"Needs a date",IF(NOT(ISNUMBER(D465)),"Needs the amount",IF(C465="","Needs an envelope",IF(COUNTIF(Envelopes!$B$6:$B$21,C465)=0,"Not on Envelopes",IF(F465="",IF(D465=0,"Needs the amount",""),IF(COUNTIF(Envelopes!$B$6:$B$21,F465)=0,"Moved to: not on Envelopes",IF(D465&lt;=0,"A move needs an amount",IF(F465=C465,"Moved to the same envelope","")))))))))</f>
        <v/>
      </c>
      <c r="H465" s="1">
        <f>IF(ISNUMBER(B465),INT(B465),0)</f>
        <v/>
      </c>
      <c r="I465">
        <f>IF(AND(H465&gt;0,ISNUMBER(D465),COUNTIF(Envelopes!$B$6:$B$21,C465)&gt;0,F465=""),1,0)</f>
        <v/>
      </c>
      <c r="J465">
        <f>IF(AND(H465&gt;0,ISNUMBER(D465),COUNTIF(Envelopes!$B$6:$B$21,C465)&gt;0,F465&lt;&gt;"",COUNTIF(Envelopes!$B$6:$B$21,F465)&gt;0),1,0)</f>
        <v/>
      </c>
      <c r="K465">
        <f>IF(I465=1,H465*10000+ROW(),"")</f>
        <v/>
      </c>
    </row>
    <row r="466">
      <c r="A466" s="1" t="n"/>
      <c r="B466" s="21" t="n"/>
      <c r="C466" s="23" t="n"/>
      <c r="D466" s="22" t="n"/>
      <c r="E466" s="24" t="n"/>
      <c r="F466" s="25" t="n"/>
      <c r="G466" s="18">
        <f>IF(AND(C466="",D466=""),"",IF(NOT(ISNUMBER(B466)),"Needs a date",IF(NOT(ISNUMBER(D466)),"Needs the amount",IF(C466="","Needs an envelope",IF(COUNTIF(Envelopes!$B$6:$B$21,C466)=0,"Not on Envelopes",IF(F466="",IF(D466=0,"Needs the amount",""),IF(COUNTIF(Envelopes!$B$6:$B$21,F466)=0,"Moved to: not on Envelopes",IF(D466&lt;=0,"A move needs an amount",IF(F466=C466,"Moved to the same envelope","")))))))))</f>
        <v/>
      </c>
      <c r="H466" s="1">
        <f>IF(ISNUMBER(B466),INT(B466),0)</f>
        <v/>
      </c>
      <c r="I466">
        <f>IF(AND(H466&gt;0,ISNUMBER(D466),COUNTIF(Envelopes!$B$6:$B$21,C466)&gt;0,F466=""),1,0)</f>
        <v/>
      </c>
      <c r="J466">
        <f>IF(AND(H466&gt;0,ISNUMBER(D466),COUNTIF(Envelopes!$B$6:$B$21,C466)&gt;0,F466&lt;&gt;"",COUNTIF(Envelopes!$B$6:$B$21,F466)&gt;0),1,0)</f>
        <v/>
      </c>
      <c r="K466">
        <f>IF(I466=1,H466*10000+ROW(),"")</f>
        <v/>
      </c>
    </row>
    <row r="467">
      <c r="A467" s="1" t="n"/>
      <c r="B467" s="21" t="n"/>
      <c r="C467" s="23" t="n"/>
      <c r="D467" s="22" t="n"/>
      <c r="E467" s="24" t="n"/>
      <c r="F467" s="25" t="n"/>
      <c r="G467" s="18">
        <f>IF(AND(C467="",D467=""),"",IF(NOT(ISNUMBER(B467)),"Needs a date",IF(NOT(ISNUMBER(D467)),"Needs the amount",IF(C467="","Needs an envelope",IF(COUNTIF(Envelopes!$B$6:$B$21,C467)=0,"Not on Envelopes",IF(F467="",IF(D467=0,"Needs the amount",""),IF(COUNTIF(Envelopes!$B$6:$B$21,F467)=0,"Moved to: not on Envelopes",IF(D467&lt;=0,"A move needs an amount",IF(F467=C467,"Moved to the same envelope","")))))))))</f>
        <v/>
      </c>
      <c r="H467" s="1">
        <f>IF(ISNUMBER(B467),INT(B467),0)</f>
        <v/>
      </c>
      <c r="I467">
        <f>IF(AND(H467&gt;0,ISNUMBER(D467),COUNTIF(Envelopes!$B$6:$B$21,C467)&gt;0,F467=""),1,0)</f>
        <v/>
      </c>
      <c r="J467">
        <f>IF(AND(H467&gt;0,ISNUMBER(D467),COUNTIF(Envelopes!$B$6:$B$21,C467)&gt;0,F467&lt;&gt;"",COUNTIF(Envelopes!$B$6:$B$21,F467)&gt;0),1,0)</f>
        <v/>
      </c>
      <c r="K467">
        <f>IF(I467=1,H467*10000+ROW(),"")</f>
        <v/>
      </c>
    </row>
    <row r="468">
      <c r="A468" s="1" t="n"/>
      <c r="B468" s="21" t="n"/>
      <c r="C468" s="23" t="n"/>
      <c r="D468" s="22" t="n"/>
      <c r="E468" s="24" t="n"/>
      <c r="F468" s="25" t="n"/>
      <c r="G468" s="18">
        <f>IF(AND(C468="",D468=""),"",IF(NOT(ISNUMBER(B468)),"Needs a date",IF(NOT(ISNUMBER(D468)),"Needs the amount",IF(C468="","Needs an envelope",IF(COUNTIF(Envelopes!$B$6:$B$21,C468)=0,"Not on Envelopes",IF(F468="",IF(D468=0,"Needs the amount",""),IF(COUNTIF(Envelopes!$B$6:$B$21,F468)=0,"Moved to: not on Envelopes",IF(D468&lt;=0,"A move needs an amount",IF(F468=C468,"Moved to the same envelope","")))))))))</f>
        <v/>
      </c>
      <c r="H468" s="1">
        <f>IF(ISNUMBER(B468),INT(B468),0)</f>
        <v/>
      </c>
      <c r="I468">
        <f>IF(AND(H468&gt;0,ISNUMBER(D468),COUNTIF(Envelopes!$B$6:$B$21,C468)&gt;0,F468=""),1,0)</f>
        <v/>
      </c>
      <c r="J468">
        <f>IF(AND(H468&gt;0,ISNUMBER(D468),COUNTIF(Envelopes!$B$6:$B$21,C468)&gt;0,F468&lt;&gt;"",COUNTIF(Envelopes!$B$6:$B$21,F468)&gt;0),1,0)</f>
        <v/>
      </c>
      <c r="K468">
        <f>IF(I468=1,H468*10000+ROW(),"")</f>
        <v/>
      </c>
    </row>
    <row r="469">
      <c r="A469" s="1" t="n"/>
      <c r="B469" s="21" t="n"/>
      <c r="C469" s="23" t="n"/>
      <c r="D469" s="22" t="n"/>
      <c r="E469" s="24" t="n"/>
      <c r="F469" s="25" t="n"/>
      <c r="G469" s="18">
        <f>IF(AND(C469="",D469=""),"",IF(NOT(ISNUMBER(B469)),"Needs a date",IF(NOT(ISNUMBER(D469)),"Needs the amount",IF(C469="","Needs an envelope",IF(COUNTIF(Envelopes!$B$6:$B$21,C469)=0,"Not on Envelopes",IF(F469="",IF(D469=0,"Needs the amount",""),IF(COUNTIF(Envelopes!$B$6:$B$21,F469)=0,"Moved to: not on Envelopes",IF(D469&lt;=0,"A move needs an amount",IF(F469=C469,"Moved to the same envelope","")))))))))</f>
        <v/>
      </c>
      <c r="H469" s="1">
        <f>IF(ISNUMBER(B469),INT(B469),0)</f>
        <v/>
      </c>
      <c r="I469">
        <f>IF(AND(H469&gt;0,ISNUMBER(D469),COUNTIF(Envelopes!$B$6:$B$21,C469)&gt;0,F469=""),1,0)</f>
        <v/>
      </c>
      <c r="J469">
        <f>IF(AND(H469&gt;0,ISNUMBER(D469),COUNTIF(Envelopes!$B$6:$B$21,C469)&gt;0,F469&lt;&gt;"",COUNTIF(Envelopes!$B$6:$B$21,F469)&gt;0),1,0)</f>
        <v/>
      </c>
      <c r="K469">
        <f>IF(I469=1,H469*10000+ROW(),"")</f>
        <v/>
      </c>
    </row>
    <row r="470">
      <c r="A470" s="1" t="n"/>
      <c r="B470" s="21" t="n"/>
      <c r="C470" s="23" t="n"/>
      <c r="D470" s="22" t="n"/>
      <c r="E470" s="24" t="n"/>
      <c r="F470" s="25" t="n"/>
      <c r="G470" s="18">
        <f>IF(AND(C470="",D470=""),"",IF(NOT(ISNUMBER(B470)),"Needs a date",IF(NOT(ISNUMBER(D470)),"Needs the amount",IF(C470="","Needs an envelope",IF(COUNTIF(Envelopes!$B$6:$B$21,C470)=0,"Not on Envelopes",IF(F470="",IF(D470=0,"Needs the amount",""),IF(COUNTIF(Envelopes!$B$6:$B$21,F470)=0,"Moved to: not on Envelopes",IF(D470&lt;=0,"A move needs an amount",IF(F470=C470,"Moved to the same envelope","")))))))))</f>
        <v/>
      </c>
      <c r="H470" s="1">
        <f>IF(ISNUMBER(B470),INT(B470),0)</f>
        <v/>
      </c>
      <c r="I470">
        <f>IF(AND(H470&gt;0,ISNUMBER(D470),COUNTIF(Envelopes!$B$6:$B$21,C470)&gt;0,F470=""),1,0)</f>
        <v/>
      </c>
      <c r="J470">
        <f>IF(AND(H470&gt;0,ISNUMBER(D470),COUNTIF(Envelopes!$B$6:$B$21,C470)&gt;0,F470&lt;&gt;"",COUNTIF(Envelopes!$B$6:$B$21,F470)&gt;0),1,0)</f>
        <v/>
      </c>
      <c r="K470">
        <f>IF(I470=1,H470*10000+ROW(),"")</f>
        <v/>
      </c>
    </row>
    <row r="471">
      <c r="A471" s="1" t="n"/>
      <c r="B471" s="21" t="n"/>
      <c r="C471" s="23" t="n"/>
      <c r="D471" s="22" t="n"/>
      <c r="E471" s="24" t="n"/>
      <c r="F471" s="25" t="n"/>
      <c r="G471" s="18">
        <f>IF(AND(C471="",D471=""),"",IF(NOT(ISNUMBER(B471)),"Needs a date",IF(NOT(ISNUMBER(D471)),"Needs the amount",IF(C471="","Needs an envelope",IF(COUNTIF(Envelopes!$B$6:$B$21,C471)=0,"Not on Envelopes",IF(F471="",IF(D471=0,"Needs the amount",""),IF(COUNTIF(Envelopes!$B$6:$B$21,F471)=0,"Moved to: not on Envelopes",IF(D471&lt;=0,"A move needs an amount",IF(F471=C471,"Moved to the same envelope","")))))))))</f>
        <v/>
      </c>
      <c r="H471" s="1">
        <f>IF(ISNUMBER(B471),INT(B471),0)</f>
        <v/>
      </c>
      <c r="I471">
        <f>IF(AND(H471&gt;0,ISNUMBER(D471),COUNTIF(Envelopes!$B$6:$B$21,C471)&gt;0,F471=""),1,0)</f>
        <v/>
      </c>
      <c r="J471">
        <f>IF(AND(H471&gt;0,ISNUMBER(D471),COUNTIF(Envelopes!$B$6:$B$21,C471)&gt;0,F471&lt;&gt;"",COUNTIF(Envelopes!$B$6:$B$21,F471)&gt;0),1,0)</f>
        <v/>
      </c>
      <c r="K471">
        <f>IF(I471=1,H471*10000+ROW(),"")</f>
        <v/>
      </c>
    </row>
    <row r="472">
      <c r="A472" s="1" t="n"/>
      <c r="B472" s="21" t="n"/>
      <c r="C472" s="23" t="n"/>
      <c r="D472" s="22" t="n"/>
      <c r="E472" s="24" t="n"/>
      <c r="F472" s="25" t="n"/>
      <c r="G472" s="18">
        <f>IF(AND(C472="",D472=""),"",IF(NOT(ISNUMBER(B472)),"Needs a date",IF(NOT(ISNUMBER(D472)),"Needs the amount",IF(C472="","Needs an envelope",IF(COUNTIF(Envelopes!$B$6:$B$21,C472)=0,"Not on Envelopes",IF(F472="",IF(D472=0,"Needs the amount",""),IF(COUNTIF(Envelopes!$B$6:$B$21,F472)=0,"Moved to: not on Envelopes",IF(D472&lt;=0,"A move needs an amount",IF(F472=C472,"Moved to the same envelope","")))))))))</f>
        <v/>
      </c>
      <c r="H472" s="1">
        <f>IF(ISNUMBER(B472),INT(B472),0)</f>
        <v/>
      </c>
      <c r="I472">
        <f>IF(AND(H472&gt;0,ISNUMBER(D472),COUNTIF(Envelopes!$B$6:$B$21,C472)&gt;0,F472=""),1,0)</f>
        <v/>
      </c>
      <c r="J472">
        <f>IF(AND(H472&gt;0,ISNUMBER(D472),COUNTIF(Envelopes!$B$6:$B$21,C472)&gt;0,F472&lt;&gt;"",COUNTIF(Envelopes!$B$6:$B$21,F472)&gt;0),1,0)</f>
        <v/>
      </c>
      <c r="K472">
        <f>IF(I472=1,H472*10000+ROW(),"")</f>
        <v/>
      </c>
    </row>
    <row r="473">
      <c r="A473" s="1" t="n"/>
      <c r="B473" s="21" t="n"/>
      <c r="C473" s="23" t="n"/>
      <c r="D473" s="22" t="n"/>
      <c r="E473" s="24" t="n"/>
      <c r="F473" s="25" t="n"/>
      <c r="G473" s="18">
        <f>IF(AND(C473="",D473=""),"",IF(NOT(ISNUMBER(B473)),"Needs a date",IF(NOT(ISNUMBER(D473)),"Needs the amount",IF(C473="","Needs an envelope",IF(COUNTIF(Envelopes!$B$6:$B$21,C473)=0,"Not on Envelopes",IF(F473="",IF(D473=0,"Needs the amount",""),IF(COUNTIF(Envelopes!$B$6:$B$21,F473)=0,"Moved to: not on Envelopes",IF(D473&lt;=0,"A move needs an amount",IF(F473=C473,"Moved to the same envelope","")))))))))</f>
        <v/>
      </c>
      <c r="H473" s="1">
        <f>IF(ISNUMBER(B473),INT(B473),0)</f>
        <v/>
      </c>
      <c r="I473">
        <f>IF(AND(H473&gt;0,ISNUMBER(D473),COUNTIF(Envelopes!$B$6:$B$21,C473)&gt;0,F473=""),1,0)</f>
        <v/>
      </c>
      <c r="J473">
        <f>IF(AND(H473&gt;0,ISNUMBER(D473),COUNTIF(Envelopes!$B$6:$B$21,C473)&gt;0,F473&lt;&gt;"",COUNTIF(Envelopes!$B$6:$B$21,F473)&gt;0),1,0)</f>
        <v/>
      </c>
      <c r="K473">
        <f>IF(I473=1,H473*10000+ROW(),"")</f>
        <v/>
      </c>
    </row>
    <row r="474">
      <c r="A474" s="1" t="n"/>
      <c r="B474" s="21" t="n"/>
      <c r="C474" s="23" t="n"/>
      <c r="D474" s="22" t="n"/>
      <c r="E474" s="24" t="n"/>
      <c r="F474" s="25" t="n"/>
      <c r="G474" s="18">
        <f>IF(AND(C474="",D474=""),"",IF(NOT(ISNUMBER(B474)),"Needs a date",IF(NOT(ISNUMBER(D474)),"Needs the amount",IF(C474="","Needs an envelope",IF(COUNTIF(Envelopes!$B$6:$B$21,C474)=0,"Not on Envelopes",IF(F474="",IF(D474=0,"Needs the amount",""),IF(COUNTIF(Envelopes!$B$6:$B$21,F474)=0,"Moved to: not on Envelopes",IF(D474&lt;=0,"A move needs an amount",IF(F474=C474,"Moved to the same envelope","")))))))))</f>
        <v/>
      </c>
      <c r="H474" s="1">
        <f>IF(ISNUMBER(B474),INT(B474),0)</f>
        <v/>
      </c>
      <c r="I474">
        <f>IF(AND(H474&gt;0,ISNUMBER(D474),COUNTIF(Envelopes!$B$6:$B$21,C474)&gt;0,F474=""),1,0)</f>
        <v/>
      </c>
      <c r="J474">
        <f>IF(AND(H474&gt;0,ISNUMBER(D474),COUNTIF(Envelopes!$B$6:$B$21,C474)&gt;0,F474&lt;&gt;"",COUNTIF(Envelopes!$B$6:$B$21,F474)&gt;0),1,0)</f>
        <v/>
      </c>
      <c r="K474">
        <f>IF(I474=1,H474*10000+ROW(),"")</f>
        <v/>
      </c>
    </row>
    <row r="475">
      <c r="A475" s="1" t="n"/>
      <c r="B475" s="21" t="n"/>
      <c r="C475" s="23" t="n"/>
      <c r="D475" s="22" t="n"/>
      <c r="E475" s="24" t="n"/>
      <c r="F475" s="25" t="n"/>
      <c r="G475" s="18">
        <f>IF(AND(C475="",D475=""),"",IF(NOT(ISNUMBER(B475)),"Needs a date",IF(NOT(ISNUMBER(D475)),"Needs the amount",IF(C475="","Needs an envelope",IF(COUNTIF(Envelopes!$B$6:$B$21,C475)=0,"Not on Envelopes",IF(F475="",IF(D475=0,"Needs the amount",""),IF(COUNTIF(Envelopes!$B$6:$B$21,F475)=0,"Moved to: not on Envelopes",IF(D475&lt;=0,"A move needs an amount",IF(F475=C475,"Moved to the same envelope","")))))))))</f>
        <v/>
      </c>
      <c r="H475" s="1">
        <f>IF(ISNUMBER(B475),INT(B475),0)</f>
        <v/>
      </c>
      <c r="I475">
        <f>IF(AND(H475&gt;0,ISNUMBER(D475),COUNTIF(Envelopes!$B$6:$B$21,C475)&gt;0,F475=""),1,0)</f>
        <v/>
      </c>
      <c r="J475">
        <f>IF(AND(H475&gt;0,ISNUMBER(D475),COUNTIF(Envelopes!$B$6:$B$21,C475)&gt;0,F475&lt;&gt;"",COUNTIF(Envelopes!$B$6:$B$21,F475)&gt;0),1,0)</f>
        <v/>
      </c>
      <c r="K475">
        <f>IF(I475=1,H475*10000+ROW(),"")</f>
        <v/>
      </c>
    </row>
    <row r="476">
      <c r="A476" s="1" t="n"/>
      <c r="B476" s="21" t="n"/>
      <c r="C476" s="23" t="n"/>
      <c r="D476" s="22" t="n"/>
      <c r="E476" s="24" t="n"/>
      <c r="F476" s="25" t="n"/>
      <c r="G476" s="18">
        <f>IF(AND(C476="",D476=""),"",IF(NOT(ISNUMBER(B476)),"Needs a date",IF(NOT(ISNUMBER(D476)),"Needs the amount",IF(C476="","Needs an envelope",IF(COUNTIF(Envelopes!$B$6:$B$21,C476)=0,"Not on Envelopes",IF(F476="",IF(D476=0,"Needs the amount",""),IF(COUNTIF(Envelopes!$B$6:$B$21,F476)=0,"Moved to: not on Envelopes",IF(D476&lt;=0,"A move needs an amount",IF(F476=C476,"Moved to the same envelope","")))))))))</f>
        <v/>
      </c>
      <c r="H476" s="1">
        <f>IF(ISNUMBER(B476),INT(B476),0)</f>
        <v/>
      </c>
      <c r="I476">
        <f>IF(AND(H476&gt;0,ISNUMBER(D476),COUNTIF(Envelopes!$B$6:$B$21,C476)&gt;0,F476=""),1,0)</f>
        <v/>
      </c>
      <c r="J476">
        <f>IF(AND(H476&gt;0,ISNUMBER(D476),COUNTIF(Envelopes!$B$6:$B$21,C476)&gt;0,F476&lt;&gt;"",COUNTIF(Envelopes!$B$6:$B$21,F476)&gt;0),1,0)</f>
        <v/>
      </c>
      <c r="K476">
        <f>IF(I476=1,H476*10000+ROW(),"")</f>
        <v/>
      </c>
    </row>
    <row r="477">
      <c r="A477" s="1" t="n"/>
      <c r="B477" s="21" t="n"/>
      <c r="C477" s="23" t="n"/>
      <c r="D477" s="22" t="n"/>
      <c r="E477" s="24" t="n"/>
      <c r="F477" s="25" t="n"/>
      <c r="G477" s="18">
        <f>IF(AND(C477="",D477=""),"",IF(NOT(ISNUMBER(B477)),"Needs a date",IF(NOT(ISNUMBER(D477)),"Needs the amount",IF(C477="","Needs an envelope",IF(COUNTIF(Envelopes!$B$6:$B$21,C477)=0,"Not on Envelopes",IF(F477="",IF(D477=0,"Needs the amount",""),IF(COUNTIF(Envelopes!$B$6:$B$21,F477)=0,"Moved to: not on Envelopes",IF(D477&lt;=0,"A move needs an amount",IF(F477=C477,"Moved to the same envelope","")))))))))</f>
        <v/>
      </c>
      <c r="H477" s="1">
        <f>IF(ISNUMBER(B477),INT(B477),0)</f>
        <v/>
      </c>
      <c r="I477">
        <f>IF(AND(H477&gt;0,ISNUMBER(D477),COUNTIF(Envelopes!$B$6:$B$21,C477)&gt;0,F477=""),1,0)</f>
        <v/>
      </c>
      <c r="J477">
        <f>IF(AND(H477&gt;0,ISNUMBER(D477),COUNTIF(Envelopes!$B$6:$B$21,C477)&gt;0,F477&lt;&gt;"",COUNTIF(Envelopes!$B$6:$B$21,F477)&gt;0),1,0)</f>
        <v/>
      </c>
      <c r="K477">
        <f>IF(I477=1,H477*10000+ROW(),"")</f>
        <v/>
      </c>
    </row>
    <row r="478">
      <c r="A478" s="1" t="n"/>
      <c r="B478" s="21" t="n"/>
      <c r="C478" s="23" t="n"/>
      <c r="D478" s="22" t="n"/>
      <c r="E478" s="24" t="n"/>
      <c r="F478" s="25" t="n"/>
      <c r="G478" s="18">
        <f>IF(AND(C478="",D478=""),"",IF(NOT(ISNUMBER(B478)),"Needs a date",IF(NOT(ISNUMBER(D478)),"Needs the amount",IF(C478="","Needs an envelope",IF(COUNTIF(Envelopes!$B$6:$B$21,C478)=0,"Not on Envelopes",IF(F478="",IF(D478=0,"Needs the amount",""),IF(COUNTIF(Envelopes!$B$6:$B$21,F478)=0,"Moved to: not on Envelopes",IF(D478&lt;=0,"A move needs an amount",IF(F478=C478,"Moved to the same envelope","")))))))))</f>
        <v/>
      </c>
      <c r="H478" s="1">
        <f>IF(ISNUMBER(B478),INT(B478),0)</f>
        <v/>
      </c>
      <c r="I478">
        <f>IF(AND(H478&gt;0,ISNUMBER(D478),COUNTIF(Envelopes!$B$6:$B$21,C478)&gt;0,F478=""),1,0)</f>
        <v/>
      </c>
      <c r="J478">
        <f>IF(AND(H478&gt;0,ISNUMBER(D478),COUNTIF(Envelopes!$B$6:$B$21,C478)&gt;0,F478&lt;&gt;"",COUNTIF(Envelopes!$B$6:$B$21,F478)&gt;0),1,0)</f>
        <v/>
      </c>
      <c r="K478">
        <f>IF(I478=1,H478*10000+ROW(),"")</f>
        <v/>
      </c>
    </row>
    <row r="479">
      <c r="A479" s="1" t="n"/>
      <c r="B479" s="21" t="n"/>
      <c r="C479" s="23" t="n"/>
      <c r="D479" s="22" t="n"/>
      <c r="E479" s="24" t="n"/>
      <c r="F479" s="25" t="n"/>
      <c r="G479" s="18">
        <f>IF(AND(C479="",D479=""),"",IF(NOT(ISNUMBER(B479)),"Needs a date",IF(NOT(ISNUMBER(D479)),"Needs the amount",IF(C479="","Needs an envelope",IF(COUNTIF(Envelopes!$B$6:$B$21,C479)=0,"Not on Envelopes",IF(F479="",IF(D479=0,"Needs the amount",""),IF(COUNTIF(Envelopes!$B$6:$B$21,F479)=0,"Moved to: not on Envelopes",IF(D479&lt;=0,"A move needs an amount",IF(F479=C479,"Moved to the same envelope","")))))))))</f>
        <v/>
      </c>
      <c r="H479" s="1">
        <f>IF(ISNUMBER(B479),INT(B479),0)</f>
        <v/>
      </c>
      <c r="I479">
        <f>IF(AND(H479&gt;0,ISNUMBER(D479),COUNTIF(Envelopes!$B$6:$B$21,C479)&gt;0,F479=""),1,0)</f>
        <v/>
      </c>
      <c r="J479">
        <f>IF(AND(H479&gt;0,ISNUMBER(D479),COUNTIF(Envelopes!$B$6:$B$21,C479)&gt;0,F479&lt;&gt;"",COUNTIF(Envelopes!$B$6:$B$21,F479)&gt;0),1,0)</f>
        <v/>
      </c>
      <c r="K479">
        <f>IF(I479=1,H479*10000+ROW(),"")</f>
        <v/>
      </c>
    </row>
    <row r="480">
      <c r="A480" s="1" t="n"/>
      <c r="B480" s="21" t="n"/>
      <c r="C480" s="23" t="n"/>
      <c r="D480" s="22" t="n"/>
      <c r="E480" s="24" t="n"/>
      <c r="F480" s="25" t="n"/>
      <c r="G480" s="18">
        <f>IF(AND(C480="",D480=""),"",IF(NOT(ISNUMBER(B480)),"Needs a date",IF(NOT(ISNUMBER(D480)),"Needs the amount",IF(C480="","Needs an envelope",IF(COUNTIF(Envelopes!$B$6:$B$21,C480)=0,"Not on Envelopes",IF(F480="",IF(D480=0,"Needs the amount",""),IF(COUNTIF(Envelopes!$B$6:$B$21,F480)=0,"Moved to: not on Envelopes",IF(D480&lt;=0,"A move needs an amount",IF(F480=C480,"Moved to the same envelope","")))))))))</f>
        <v/>
      </c>
      <c r="H480" s="1">
        <f>IF(ISNUMBER(B480),INT(B480),0)</f>
        <v/>
      </c>
      <c r="I480">
        <f>IF(AND(H480&gt;0,ISNUMBER(D480),COUNTIF(Envelopes!$B$6:$B$21,C480)&gt;0,F480=""),1,0)</f>
        <v/>
      </c>
      <c r="J480">
        <f>IF(AND(H480&gt;0,ISNUMBER(D480),COUNTIF(Envelopes!$B$6:$B$21,C480)&gt;0,F480&lt;&gt;"",COUNTIF(Envelopes!$B$6:$B$21,F480)&gt;0),1,0)</f>
        <v/>
      </c>
      <c r="K480">
        <f>IF(I480=1,H480*10000+ROW(),"")</f>
        <v/>
      </c>
    </row>
    <row r="481">
      <c r="A481" s="1" t="n"/>
      <c r="B481" s="21" t="n"/>
      <c r="C481" s="23" t="n"/>
      <c r="D481" s="22" t="n"/>
      <c r="E481" s="24" t="n"/>
      <c r="F481" s="25" t="n"/>
      <c r="G481" s="18">
        <f>IF(AND(C481="",D481=""),"",IF(NOT(ISNUMBER(B481)),"Needs a date",IF(NOT(ISNUMBER(D481)),"Needs the amount",IF(C481="","Needs an envelope",IF(COUNTIF(Envelopes!$B$6:$B$21,C481)=0,"Not on Envelopes",IF(F481="",IF(D481=0,"Needs the amount",""),IF(COUNTIF(Envelopes!$B$6:$B$21,F481)=0,"Moved to: not on Envelopes",IF(D481&lt;=0,"A move needs an amount",IF(F481=C481,"Moved to the same envelope","")))))))))</f>
        <v/>
      </c>
      <c r="H481" s="1">
        <f>IF(ISNUMBER(B481),INT(B481),0)</f>
        <v/>
      </c>
      <c r="I481">
        <f>IF(AND(H481&gt;0,ISNUMBER(D481),COUNTIF(Envelopes!$B$6:$B$21,C481)&gt;0,F481=""),1,0)</f>
        <v/>
      </c>
      <c r="J481">
        <f>IF(AND(H481&gt;0,ISNUMBER(D481),COUNTIF(Envelopes!$B$6:$B$21,C481)&gt;0,F481&lt;&gt;"",COUNTIF(Envelopes!$B$6:$B$21,F481)&gt;0),1,0)</f>
        <v/>
      </c>
      <c r="K481">
        <f>IF(I481=1,H481*10000+ROW(),"")</f>
        <v/>
      </c>
    </row>
    <row r="482">
      <c r="A482" s="1" t="n"/>
      <c r="B482" s="21" t="n"/>
      <c r="C482" s="23" t="n"/>
      <c r="D482" s="22" t="n"/>
      <c r="E482" s="24" t="n"/>
      <c r="F482" s="25" t="n"/>
      <c r="G482" s="18">
        <f>IF(AND(C482="",D482=""),"",IF(NOT(ISNUMBER(B482)),"Needs a date",IF(NOT(ISNUMBER(D482)),"Needs the amount",IF(C482="","Needs an envelope",IF(COUNTIF(Envelopes!$B$6:$B$21,C482)=0,"Not on Envelopes",IF(F482="",IF(D482=0,"Needs the amount",""),IF(COUNTIF(Envelopes!$B$6:$B$21,F482)=0,"Moved to: not on Envelopes",IF(D482&lt;=0,"A move needs an amount",IF(F482=C482,"Moved to the same envelope","")))))))))</f>
        <v/>
      </c>
      <c r="H482" s="1">
        <f>IF(ISNUMBER(B482),INT(B482),0)</f>
        <v/>
      </c>
      <c r="I482">
        <f>IF(AND(H482&gt;0,ISNUMBER(D482),COUNTIF(Envelopes!$B$6:$B$21,C482)&gt;0,F482=""),1,0)</f>
        <v/>
      </c>
      <c r="J482">
        <f>IF(AND(H482&gt;0,ISNUMBER(D482),COUNTIF(Envelopes!$B$6:$B$21,C482)&gt;0,F482&lt;&gt;"",COUNTIF(Envelopes!$B$6:$B$21,F482)&gt;0),1,0)</f>
        <v/>
      </c>
      <c r="K482">
        <f>IF(I482=1,H482*10000+ROW(),"")</f>
        <v/>
      </c>
    </row>
    <row r="483">
      <c r="A483" s="1" t="n"/>
      <c r="B483" s="21" t="n"/>
      <c r="C483" s="23" t="n"/>
      <c r="D483" s="22" t="n"/>
      <c r="E483" s="24" t="n"/>
      <c r="F483" s="25" t="n"/>
      <c r="G483" s="18">
        <f>IF(AND(C483="",D483=""),"",IF(NOT(ISNUMBER(B483)),"Needs a date",IF(NOT(ISNUMBER(D483)),"Needs the amount",IF(C483="","Needs an envelope",IF(COUNTIF(Envelopes!$B$6:$B$21,C483)=0,"Not on Envelopes",IF(F483="",IF(D483=0,"Needs the amount",""),IF(COUNTIF(Envelopes!$B$6:$B$21,F483)=0,"Moved to: not on Envelopes",IF(D483&lt;=0,"A move needs an amount",IF(F483=C483,"Moved to the same envelope","")))))))))</f>
        <v/>
      </c>
      <c r="H483" s="1">
        <f>IF(ISNUMBER(B483),INT(B483),0)</f>
        <v/>
      </c>
      <c r="I483">
        <f>IF(AND(H483&gt;0,ISNUMBER(D483),COUNTIF(Envelopes!$B$6:$B$21,C483)&gt;0,F483=""),1,0)</f>
        <v/>
      </c>
      <c r="J483">
        <f>IF(AND(H483&gt;0,ISNUMBER(D483),COUNTIF(Envelopes!$B$6:$B$21,C483)&gt;0,F483&lt;&gt;"",COUNTIF(Envelopes!$B$6:$B$21,F483)&gt;0),1,0)</f>
        <v/>
      </c>
      <c r="K483">
        <f>IF(I483=1,H483*10000+ROW(),"")</f>
        <v/>
      </c>
    </row>
    <row r="484">
      <c r="A484" s="1" t="n"/>
      <c r="B484" s="21" t="n"/>
      <c r="C484" s="23" t="n"/>
      <c r="D484" s="22" t="n"/>
      <c r="E484" s="24" t="n"/>
      <c r="F484" s="25" t="n"/>
      <c r="G484" s="18">
        <f>IF(AND(C484="",D484=""),"",IF(NOT(ISNUMBER(B484)),"Needs a date",IF(NOT(ISNUMBER(D484)),"Needs the amount",IF(C484="","Needs an envelope",IF(COUNTIF(Envelopes!$B$6:$B$21,C484)=0,"Not on Envelopes",IF(F484="",IF(D484=0,"Needs the amount",""),IF(COUNTIF(Envelopes!$B$6:$B$21,F484)=0,"Moved to: not on Envelopes",IF(D484&lt;=0,"A move needs an amount",IF(F484=C484,"Moved to the same envelope","")))))))))</f>
        <v/>
      </c>
      <c r="H484" s="1">
        <f>IF(ISNUMBER(B484),INT(B484),0)</f>
        <v/>
      </c>
      <c r="I484">
        <f>IF(AND(H484&gt;0,ISNUMBER(D484),COUNTIF(Envelopes!$B$6:$B$21,C484)&gt;0,F484=""),1,0)</f>
        <v/>
      </c>
      <c r="J484">
        <f>IF(AND(H484&gt;0,ISNUMBER(D484),COUNTIF(Envelopes!$B$6:$B$21,C484)&gt;0,F484&lt;&gt;"",COUNTIF(Envelopes!$B$6:$B$21,F484)&gt;0),1,0)</f>
        <v/>
      </c>
      <c r="K484">
        <f>IF(I484=1,H484*10000+ROW(),"")</f>
        <v/>
      </c>
    </row>
    <row r="485">
      <c r="A485" s="1" t="n"/>
      <c r="B485" s="21" t="n"/>
      <c r="C485" s="23" t="n"/>
      <c r="D485" s="22" t="n"/>
      <c r="E485" s="24" t="n"/>
      <c r="F485" s="25" t="n"/>
      <c r="G485" s="18">
        <f>IF(AND(C485="",D485=""),"",IF(NOT(ISNUMBER(B485)),"Needs a date",IF(NOT(ISNUMBER(D485)),"Needs the amount",IF(C485="","Needs an envelope",IF(COUNTIF(Envelopes!$B$6:$B$21,C485)=0,"Not on Envelopes",IF(F485="",IF(D485=0,"Needs the amount",""),IF(COUNTIF(Envelopes!$B$6:$B$21,F485)=0,"Moved to: not on Envelopes",IF(D485&lt;=0,"A move needs an amount",IF(F485=C485,"Moved to the same envelope","")))))))))</f>
        <v/>
      </c>
      <c r="H485" s="1">
        <f>IF(ISNUMBER(B485),INT(B485),0)</f>
        <v/>
      </c>
      <c r="I485">
        <f>IF(AND(H485&gt;0,ISNUMBER(D485),COUNTIF(Envelopes!$B$6:$B$21,C485)&gt;0,F485=""),1,0)</f>
        <v/>
      </c>
      <c r="J485">
        <f>IF(AND(H485&gt;0,ISNUMBER(D485),COUNTIF(Envelopes!$B$6:$B$21,C485)&gt;0,F485&lt;&gt;"",COUNTIF(Envelopes!$B$6:$B$21,F485)&gt;0),1,0)</f>
        <v/>
      </c>
      <c r="K485">
        <f>IF(I485=1,H485*10000+ROW(),"")</f>
        <v/>
      </c>
    </row>
    <row r="486">
      <c r="A486" s="1" t="n"/>
      <c r="B486" s="21" t="n"/>
      <c r="C486" s="23" t="n"/>
      <c r="D486" s="22" t="n"/>
      <c r="E486" s="24" t="n"/>
      <c r="F486" s="25" t="n"/>
      <c r="G486" s="18">
        <f>IF(AND(C486="",D486=""),"",IF(NOT(ISNUMBER(B486)),"Needs a date",IF(NOT(ISNUMBER(D486)),"Needs the amount",IF(C486="","Needs an envelope",IF(COUNTIF(Envelopes!$B$6:$B$21,C486)=0,"Not on Envelopes",IF(F486="",IF(D486=0,"Needs the amount",""),IF(COUNTIF(Envelopes!$B$6:$B$21,F486)=0,"Moved to: not on Envelopes",IF(D486&lt;=0,"A move needs an amount",IF(F486=C486,"Moved to the same envelope","")))))))))</f>
        <v/>
      </c>
      <c r="H486" s="1">
        <f>IF(ISNUMBER(B486),INT(B486),0)</f>
        <v/>
      </c>
      <c r="I486">
        <f>IF(AND(H486&gt;0,ISNUMBER(D486),COUNTIF(Envelopes!$B$6:$B$21,C486)&gt;0,F486=""),1,0)</f>
        <v/>
      </c>
      <c r="J486">
        <f>IF(AND(H486&gt;0,ISNUMBER(D486),COUNTIF(Envelopes!$B$6:$B$21,C486)&gt;0,F486&lt;&gt;"",COUNTIF(Envelopes!$B$6:$B$21,F486)&gt;0),1,0)</f>
        <v/>
      </c>
      <c r="K486">
        <f>IF(I486=1,H486*10000+ROW(),"")</f>
        <v/>
      </c>
    </row>
    <row r="487">
      <c r="A487" s="1" t="n"/>
      <c r="B487" s="21" t="n"/>
      <c r="C487" s="23" t="n"/>
      <c r="D487" s="22" t="n"/>
      <c r="E487" s="24" t="n"/>
      <c r="F487" s="25" t="n"/>
      <c r="G487" s="18">
        <f>IF(AND(C487="",D487=""),"",IF(NOT(ISNUMBER(B487)),"Needs a date",IF(NOT(ISNUMBER(D487)),"Needs the amount",IF(C487="","Needs an envelope",IF(COUNTIF(Envelopes!$B$6:$B$21,C487)=0,"Not on Envelopes",IF(F487="",IF(D487=0,"Needs the amount",""),IF(COUNTIF(Envelopes!$B$6:$B$21,F487)=0,"Moved to: not on Envelopes",IF(D487&lt;=0,"A move needs an amount",IF(F487=C487,"Moved to the same envelope","")))))))))</f>
        <v/>
      </c>
      <c r="H487" s="1">
        <f>IF(ISNUMBER(B487),INT(B487),0)</f>
        <v/>
      </c>
      <c r="I487">
        <f>IF(AND(H487&gt;0,ISNUMBER(D487),COUNTIF(Envelopes!$B$6:$B$21,C487)&gt;0,F487=""),1,0)</f>
        <v/>
      </c>
      <c r="J487">
        <f>IF(AND(H487&gt;0,ISNUMBER(D487),COUNTIF(Envelopes!$B$6:$B$21,C487)&gt;0,F487&lt;&gt;"",COUNTIF(Envelopes!$B$6:$B$21,F487)&gt;0),1,0)</f>
        <v/>
      </c>
      <c r="K487">
        <f>IF(I487=1,H487*10000+ROW(),"")</f>
        <v/>
      </c>
    </row>
    <row r="488">
      <c r="A488" s="1" t="n"/>
      <c r="B488" s="21" t="n"/>
      <c r="C488" s="23" t="n"/>
      <c r="D488" s="22" t="n"/>
      <c r="E488" s="24" t="n"/>
      <c r="F488" s="25" t="n"/>
      <c r="G488" s="18">
        <f>IF(AND(C488="",D488=""),"",IF(NOT(ISNUMBER(B488)),"Needs a date",IF(NOT(ISNUMBER(D488)),"Needs the amount",IF(C488="","Needs an envelope",IF(COUNTIF(Envelopes!$B$6:$B$21,C488)=0,"Not on Envelopes",IF(F488="",IF(D488=0,"Needs the amount",""),IF(COUNTIF(Envelopes!$B$6:$B$21,F488)=0,"Moved to: not on Envelopes",IF(D488&lt;=0,"A move needs an amount",IF(F488=C488,"Moved to the same envelope","")))))))))</f>
        <v/>
      </c>
      <c r="H488" s="1">
        <f>IF(ISNUMBER(B488),INT(B488),0)</f>
        <v/>
      </c>
      <c r="I488">
        <f>IF(AND(H488&gt;0,ISNUMBER(D488),COUNTIF(Envelopes!$B$6:$B$21,C488)&gt;0,F488=""),1,0)</f>
        <v/>
      </c>
      <c r="J488">
        <f>IF(AND(H488&gt;0,ISNUMBER(D488),COUNTIF(Envelopes!$B$6:$B$21,C488)&gt;0,F488&lt;&gt;"",COUNTIF(Envelopes!$B$6:$B$21,F488)&gt;0),1,0)</f>
        <v/>
      </c>
      <c r="K488">
        <f>IF(I488=1,H488*10000+ROW(),"")</f>
        <v/>
      </c>
    </row>
    <row r="489">
      <c r="A489" s="1" t="n"/>
      <c r="B489" s="21" t="n"/>
      <c r="C489" s="23" t="n"/>
      <c r="D489" s="22" t="n"/>
      <c r="E489" s="24" t="n"/>
      <c r="F489" s="25" t="n"/>
      <c r="G489" s="18">
        <f>IF(AND(C489="",D489=""),"",IF(NOT(ISNUMBER(B489)),"Needs a date",IF(NOT(ISNUMBER(D489)),"Needs the amount",IF(C489="","Needs an envelope",IF(COUNTIF(Envelopes!$B$6:$B$21,C489)=0,"Not on Envelopes",IF(F489="",IF(D489=0,"Needs the amount",""),IF(COUNTIF(Envelopes!$B$6:$B$21,F489)=0,"Moved to: not on Envelopes",IF(D489&lt;=0,"A move needs an amount",IF(F489=C489,"Moved to the same envelope","")))))))))</f>
        <v/>
      </c>
      <c r="H489" s="1">
        <f>IF(ISNUMBER(B489),INT(B489),0)</f>
        <v/>
      </c>
      <c r="I489">
        <f>IF(AND(H489&gt;0,ISNUMBER(D489),COUNTIF(Envelopes!$B$6:$B$21,C489)&gt;0,F489=""),1,0)</f>
        <v/>
      </c>
      <c r="J489">
        <f>IF(AND(H489&gt;0,ISNUMBER(D489),COUNTIF(Envelopes!$B$6:$B$21,C489)&gt;0,F489&lt;&gt;"",COUNTIF(Envelopes!$B$6:$B$21,F489)&gt;0),1,0)</f>
        <v/>
      </c>
      <c r="K489">
        <f>IF(I489=1,H489*10000+ROW(),"")</f>
        <v/>
      </c>
    </row>
    <row r="490">
      <c r="A490" s="1" t="n"/>
      <c r="B490" s="21" t="n"/>
      <c r="C490" s="23" t="n"/>
      <c r="D490" s="22" t="n"/>
      <c r="E490" s="24" t="n"/>
      <c r="F490" s="25" t="n"/>
      <c r="G490" s="18">
        <f>IF(AND(C490="",D490=""),"",IF(NOT(ISNUMBER(B490)),"Needs a date",IF(NOT(ISNUMBER(D490)),"Needs the amount",IF(C490="","Needs an envelope",IF(COUNTIF(Envelopes!$B$6:$B$21,C490)=0,"Not on Envelopes",IF(F490="",IF(D490=0,"Needs the amount",""),IF(COUNTIF(Envelopes!$B$6:$B$21,F490)=0,"Moved to: not on Envelopes",IF(D490&lt;=0,"A move needs an amount",IF(F490=C490,"Moved to the same envelope","")))))))))</f>
        <v/>
      </c>
      <c r="H490" s="1">
        <f>IF(ISNUMBER(B490),INT(B490),0)</f>
        <v/>
      </c>
      <c r="I490">
        <f>IF(AND(H490&gt;0,ISNUMBER(D490),COUNTIF(Envelopes!$B$6:$B$21,C490)&gt;0,F490=""),1,0)</f>
        <v/>
      </c>
      <c r="J490">
        <f>IF(AND(H490&gt;0,ISNUMBER(D490),COUNTIF(Envelopes!$B$6:$B$21,C490)&gt;0,F490&lt;&gt;"",COUNTIF(Envelopes!$B$6:$B$21,F490)&gt;0),1,0)</f>
        <v/>
      </c>
      <c r="K490">
        <f>IF(I490=1,H490*10000+ROW(),"")</f>
        <v/>
      </c>
    </row>
    <row r="491">
      <c r="A491" s="1" t="n"/>
      <c r="B491" s="21" t="n"/>
      <c r="C491" s="23" t="n"/>
      <c r="D491" s="22" t="n"/>
      <c r="E491" s="24" t="n"/>
      <c r="F491" s="25" t="n"/>
      <c r="G491" s="18">
        <f>IF(AND(C491="",D491=""),"",IF(NOT(ISNUMBER(B491)),"Needs a date",IF(NOT(ISNUMBER(D491)),"Needs the amount",IF(C491="","Needs an envelope",IF(COUNTIF(Envelopes!$B$6:$B$21,C491)=0,"Not on Envelopes",IF(F491="",IF(D491=0,"Needs the amount",""),IF(COUNTIF(Envelopes!$B$6:$B$21,F491)=0,"Moved to: not on Envelopes",IF(D491&lt;=0,"A move needs an amount",IF(F491=C491,"Moved to the same envelope","")))))))))</f>
        <v/>
      </c>
      <c r="H491" s="1">
        <f>IF(ISNUMBER(B491),INT(B491),0)</f>
        <v/>
      </c>
      <c r="I491">
        <f>IF(AND(H491&gt;0,ISNUMBER(D491),COUNTIF(Envelopes!$B$6:$B$21,C491)&gt;0,F491=""),1,0)</f>
        <v/>
      </c>
      <c r="J491">
        <f>IF(AND(H491&gt;0,ISNUMBER(D491),COUNTIF(Envelopes!$B$6:$B$21,C491)&gt;0,F491&lt;&gt;"",COUNTIF(Envelopes!$B$6:$B$21,F491)&gt;0),1,0)</f>
        <v/>
      </c>
      <c r="K491">
        <f>IF(I491=1,H491*10000+ROW(),"")</f>
        <v/>
      </c>
    </row>
    <row r="492">
      <c r="A492" s="1" t="n"/>
      <c r="B492" s="21" t="n"/>
      <c r="C492" s="23" t="n"/>
      <c r="D492" s="22" t="n"/>
      <c r="E492" s="24" t="n"/>
      <c r="F492" s="25" t="n"/>
      <c r="G492" s="18">
        <f>IF(AND(C492="",D492=""),"",IF(NOT(ISNUMBER(B492)),"Needs a date",IF(NOT(ISNUMBER(D492)),"Needs the amount",IF(C492="","Needs an envelope",IF(COUNTIF(Envelopes!$B$6:$B$21,C492)=0,"Not on Envelopes",IF(F492="",IF(D492=0,"Needs the amount",""),IF(COUNTIF(Envelopes!$B$6:$B$21,F492)=0,"Moved to: not on Envelopes",IF(D492&lt;=0,"A move needs an amount",IF(F492=C492,"Moved to the same envelope","")))))))))</f>
        <v/>
      </c>
      <c r="H492" s="1">
        <f>IF(ISNUMBER(B492),INT(B492),0)</f>
        <v/>
      </c>
      <c r="I492">
        <f>IF(AND(H492&gt;0,ISNUMBER(D492),COUNTIF(Envelopes!$B$6:$B$21,C492)&gt;0,F492=""),1,0)</f>
        <v/>
      </c>
      <c r="J492">
        <f>IF(AND(H492&gt;0,ISNUMBER(D492),COUNTIF(Envelopes!$B$6:$B$21,C492)&gt;0,F492&lt;&gt;"",COUNTIF(Envelopes!$B$6:$B$21,F492)&gt;0),1,0)</f>
        <v/>
      </c>
      <c r="K492">
        <f>IF(I492=1,H492*10000+ROW(),"")</f>
        <v/>
      </c>
    </row>
    <row r="493">
      <c r="A493" s="1" t="n"/>
      <c r="B493" s="21" t="n"/>
      <c r="C493" s="23" t="n"/>
      <c r="D493" s="22" t="n"/>
      <c r="E493" s="24" t="n"/>
      <c r="F493" s="25" t="n"/>
      <c r="G493" s="18">
        <f>IF(AND(C493="",D493=""),"",IF(NOT(ISNUMBER(B493)),"Needs a date",IF(NOT(ISNUMBER(D493)),"Needs the amount",IF(C493="","Needs an envelope",IF(COUNTIF(Envelopes!$B$6:$B$21,C493)=0,"Not on Envelopes",IF(F493="",IF(D493=0,"Needs the amount",""),IF(COUNTIF(Envelopes!$B$6:$B$21,F493)=0,"Moved to: not on Envelopes",IF(D493&lt;=0,"A move needs an amount",IF(F493=C493,"Moved to the same envelope","")))))))))</f>
        <v/>
      </c>
      <c r="H493" s="1">
        <f>IF(ISNUMBER(B493),INT(B493),0)</f>
        <v/>
      </c>
      <c r="I493">
        <f>IF(AND(H493&gt;0,ISNUMBER(D493),COUNTIF(Envelopes!$B$6:$B$21,C493)&gt;0,F493=""),1,0)</f>
        <v/>
      </c>
      <c r="J493">
        <f>IF(AND(H493&gt;0,ISNUMBER(D493),COUNTIF(Envelopes!$B$6:$B$21,C493)&gt;0,F493&lt;&gt;"",COUNTIF(Envelopes!$B$6:$B$21,F493)&gt;0),1,0)</f>
        <v/>
      </c>
      <c r="K493">
        <f>IF(I493=1,H493*10000+ROW(),"")</f>
        <v/>
      </c>
    </row>
    <row r="494">
      <c r="A494" s="1" t="n"/>
      <c r="B494" s="21" t="n"/>
      <c r="C494" s="23" t="n"/>
      <c r="D494" s="22" t="n"/>
      <c r="E494" s="24" t="n"/>
      <c r="F494" s="25" t="n"/>
      <c r="G494" s="18">
        <f>IF(AND(C494="",D494=""),"",IF(NOT(ISNUMBER(B494)),"Needs a date",IF(NOT(ISNUMBER(D494)),"Needs the amount",IF(C494="","Needs an envelope",IF(COUNTIF(Envelopes!$B$6:$B$21,C494)=0,"Not on Envelopes",IF(F494="",IF(D494=0,"Needs the amount",""),IF(COUNTIF(Envelopes!$B$6:$B$21,F494)=0,"Moved to: not on Envelopes",IF(D494&lt;=0,"A move needs an amount",IF(F494=C494,"Moved to the same envelope","")))))))))</f>
        <v/>
      </c>
      <c r="H494" s="1">
        <f>IF(ISNUMBER(B494),INT(B494),0)</f>
        <v/>
      </c>
      <c r="I494">
        <f>IF(AND(H494&gt;0,ISNUMBER(D494),COUNTIF(Envelopes!$B$6:$B$21,C494)&gt;0,F494=""),1,0)</f>
        <v/>
      </c>
      <c r="J494">
        <f>IF(AND(H494&gt;0,ISNUMBER(D494),COUNTIF(Envelopes!$B$6:$B$21,C494)&gt;0,F494&lt;&gt;"",COUNTIF(Envelopes!$B$6:$B$21,F494)&gt;0),1,0)</f>
        <v/>
      </c>
      <c r="K494">
        <f>IF(I494=1,H494*10000+ROW(),"")</f>
        <v/>
      </c>
    </row>
    <row r="495">
      <c r="A495" s="1" t="n"/>
      <c r="B495" s="21" t="n"/>
      <c r="C495" s="23" t="n"/>
      <c r="D495" s="22" t="n"/>
      <c r="E495" s="24" t="n"/>
      <c r="F495" s="25" t="n"/>
      <c r="G495" s="18">
        <f>IF(AND(C495="",D495=""),"",IF(NOT(ISNUMBER(B495)),"Needs a date",IF(NOT(ISNUMBER(D495)),"Needs the amount",IF(C495="","Needs an envelope",IF(COUNTIF(Envelopes!$B$6:$B$21,C495)=0,"Not on Envelopes",IF(F495="",IF(D495=0,"Needs the amount",""),IF(COUNTIF(Envelopes!$B$6:$B$21,F495)=0,"Moved to: not on Envelopes",IF(D495&lt;=0,"A move needs an amount",IF(F495=C495,"Moved to the same envelope","")))))))))</f>
        <v/>
      </c>
      <c r="H495" s="1">
        <f>IF(ISNUMBER(B495),INT(B495),0)</f>
        <v/>
      </c>
      <c r="I495">
        <f>IF(AND(H495&gt;0,ISNUMBER(D495),COUNTIF(Envelopes!$B$6:$B$21,C495)&gt;0,F495=""),1,0)</f>
        <v/>
      </c>
      <c r="J495">
        <f>IF(AND(H495&gt;0,ISNUMBER(D495),COUNTIF(Envelopes!$B$6:$B$21,C495)&gt;0,F495&lt;&gt;"",COUNTIF(Envelopes!$B$6:$B$21,F495)&gt;0),1,0)</f>
        <v/>
      </c>
      <c r="K495">
        <f>IF(I495=1,H495*10000+ROW(),"")</f>
        <v/>
      </c>
    </row>
    <row r="496">
      <c r="A496" s="1" t="n"/>
      <c r="B496" s="21" t="n"/>
      <c r="C496" s="23" t="n"/>
      <c r="D496" s="22" t="n"/>
      <c r="E496" s="24" t="n"/>
      <c r="F496" s="25" t="n"/>
      <c r="G496" s="18">
        <f>IF(AND(C496="",D496=""),"",IF(NOT(ISNUMBER(B496)),"Needs a date",IF(NOT(ISNUMBER(D496)),"Needs the amount",IF(C496="","Needs an envelope",IF(COUNTIF(Envelopes!$B$6:$B$21,C496)=0,"Not on Envelopes",IF(F496="",IF(D496=0,"Needs the amount",""),IF(COUNTIF(Envelopes!$B$6:$B$21,F496)=0,"Moved to: not on Envelopes",IF(D496&lt;=0,"A move needs an amount",IF(F496=C496,"Moved to the same envelope","")))))))))</f>
        <v/>
      </c>
      <c r="H496" s="1">
        <f>IF(ISNUMBER(B496),INT(B496),0)</f>
        <v/>
      </c>
      <c r="I496">
        <f>IF(AND(H496&gt;0,ISNUMBER(D496),COUNTIF(Envelopes!$B$6:$B$21,C496)&gt;0,F496=""),1,0)</f>
        <v/>
      </c>
      <c r="J496">
        <f>IF(AND(H496&gt;0,ISNUMBER(D496),COUNTIF(Envelopes!$B$6:$B$21,C496)&gt;0,F496&lt;&gt;"",COUNTIF(Envelopes!$B$6:$B$21,F496)&gt;0),1,0)</f>
        <v/>
      </c>
      <c r="K496">
        <f>IF(I496=1,H496*10000+ROW(),"")</f>
        <v/>
      </c>
    </row>
    <row r="497">
      <c r="A497" s="1" t="n"/>
      <c r="B497" s="21" t="n"/>
      <c r="C497" s="23" t="n"/>
      <c r="D497" s="22" t="n"/>
      <c r="E497" s="24" t="n"/>
      <c r="F497" s="25" t="n"/>
      <c r="G497" s="18">
        <f>IF(AND(C497="",D497=""),"",IF(NOT(ISNUMBER(B497)),"Needs a date",IF(NOT(ISNUMBER(D497)),"Needs the amount",IF(C497="","Needs an envelope",IF(COUNTIF(Envelopes!$B$6:$B$21,C497)=0,"Not on Envelopes",IF(F497="",IF(D497=0,"Needs the amount",""),IF(COUNTIF(Envelopes!$B$6:$B$21,F497)=0,"Moved to: not on Envelopes",IF(D497&lt;=0,"A move needs an amount",IF(F497=C497,"Moved to the same envelope","")))))))))</f>
        <v/>
      </c>
      <c r="H497" s="1">
        <f>IF(ISNUMBER(B497),INT(B497),0)</f>
        <v/>
      </c>
      <c r="I497">
        <f>IF(AND(H497&gt;0,ISNUMBER(D497),COUNTIF(Envelopes!$B$6:$B$21,C497)&gt;0,F497=""),1,0)</f>
        <v/>
      </c>
      <c r="J497">
        <f>IF(AND(H497&gt;0,ISNUMBER(D497),COUNTIF(Envelopes!$B$6:$B$21,C497)&gt;0,F497&lt;&gt;"",COUNTIF(Envelopes!$B$6:$B$21,F497)&gt;0),1,0)</f>
        <v/>
      </c>
      <c r="K497">
        <f>IF(I497=1,H497*10000+ROW(),"")</f>
        <v/>
      </c>
    </row>
    <row r="498">
      <c r="A498" s="1" t="n"/>
      <c r="B498" s="21" t="n"/>
      <c r="C498" s="23" t="n"/>
      <c r="D498" s="22" t="n"/>
      <c r="E498" s="24" t="n"/>
      <c r="F498" s="25" t="n"/>
      <c r="G498" s="18">
        <f>IF(AND(C498="",D498=""),"",IF(NOT(ISNUMBER(B498)),"Needs a date",IF(NOT(ISNUMBER(D498)),"Needs the amount",IF(C498="","Needs an envelope",IF(COUNTIF(Envelopes!$B$6:$B$21,C498)=0,"Not on Envelopes",IF(F498="",IF(D498=0,"Needs the amount",""),IF(COUNTIF(Envelopes!$B$6:$B$21,F498)=0,"Moved to: not on Envelopes",IF(D498&lt;=0,"A move needs an amount",IF(F498=C498,"Moved to the same envelope","")))))))))</f>
        <v/>
      </c>
      <c r="H498" s="1">
        <f>IF(ISNUMBER(B498),INT(B498),0)</f>
        <v/>
      </c>
      <c r="I498">
        <f>IF(AND(H498&gt;0,ISNUMBER(D498),COUNTIF(Envelopes!$B$6:$B$21,C498)&gt;0,F498=""),1,0)</f>
        <v/>
      </c>
      <c r="J498">
        <f>IF(AND(H498&gt;0,ISNUMBER(D498),COUNTIF(Envelopes!$B$6:$B$21,C498)&gt;0,F498&lt;&gt;"",COUNTIF(Envelopes!$B$6:$B$21,F498)&gt;0),1,0)</f>
        <v/>
      </c>
      <c r="K498">
        <f>IF(I498=1,H498*10000+ROW(),"")</f>
        <v/>
      </c>
    </row>
    <row r="499">
      <c r="A499" s="1" t="n"/>
      <c r="B499" s="21" t="n"/>
      <c r="C499" s="23" t="n"/>
      <c r="D499" s="22" t="n"/>
      <c r="E499" s="24" t="n"/>
      <c r="F499" s="25" t="n"/>
      <c r="G499" s="18">
        <f>IF(AND(C499="",D499=""),"",IF(NOT(ISNUMBER(B499)),"Needs a date",IF(NOT(ISNUMBER(D499)),"Needs the amount",IF(C499="","Needs an envelope",IF(COUNTIF(Envelopes!$B$6:$B$21,C499)=0,"Not on Envelopes",IF(F499="",IF(D499=0,"Needs the amount",""),IF(COUNTIF(Envelopes!$B$6:$B$21,F499)=0,"Moved to: not on Envelopes",IF(D499&lt;=0,"A move needs an amount",IF(F499=C499,"Moved to the same envelope","")))))))))</f>
        <v/>
      </c>
      <c r="H499" s="1">
        <f>IF(ISNUMBER(B499),INT(B499),0)</f>
        <v/>
      </c>
      <c r="I499">
        <f>IF(AND(H499&gt;0,ISNUMBER(D499),COUNTIF(Envelopes!$B$6:$B$21,C499)&gt;0,F499=""),1,0)</f>
        <v/>
      </c>
      <c r="J499">
        <f>IF(AND(H499&gt;0,ISNUMBER(D499),COUNTIF(Envelopes!$B$6:$B$21,C499)&gt;0,F499&lt;&gt;"",COUNTIF(Envelopes!$B$6:$B$21,F499)&gt;0),1,0)</f>
        <v/>
      </c>
      <c r="K499">
        <f>IF(I499=1,H499*10000+ROW(),"")</f>
        <v/>
      </c>
    </row>
    <row r="500">
      <c r="A500" s="1" t="n"/>
      <c r="B500" s="21" t="n"/>
      <c r="C500" s="23" t="n"/>
      <c r="D500" s="22" t="n"/>
      <c r="E500" s="24" t="n"/>
      <c r="F500" s="25" t="n"/>
      <c r="G500" s="18">
        <f>IF(AND(C500="",D500=""),"",IF(NOT(ISNUMBER(B500)),"Needs a date",IF(NOT(ISNUMBER(D500)),"Needs the amount",IF(C500="","Needs an envelope",IF(COUNTIF(Envelopes!$B$6:$B$21,C500)=0,"Not on Envelopes",IF(F500="",IF(D500=0,"Needs the amount",""),IF(COUNTIF(Envelopes!$B$6:$B$21,F500)=0,"Moved to: not on Envelopes",IF(D500&lt;=0,"A move needs an amount",IF(F500=C500,"Moved to the same envelope","")))))))))</f>
        <v/>
      </c>
      <c r="H500" s="1">
        <f>IF(ISNUMBER(B500),INT(B500),0)</f>
        <v/>
      </c>
      <c r="I500">
        <f>IF(AND(H500&gt;0,ISNUMBER(D500),COUNTIF(Envelopes!$B$6:$B$21,C500)&gt;0,F500=""),1,0)</f>
        <v/>
      </c>
      <c r="J500">
        <f>IF(AND(H500&gt;0,ISNUMBER(D500),COUNTIF(Envelopes!$B$6:$B$21,C500)&gt;0,F500&lt;&gt;"",COUNTIF(Envelopes!$B$6:$B$21,F500)&gt;0),1,0)</f>
        <v/>
      </c>
      <c r="K500">
        <f>IF(I500=1,H500*10000+ROW(),"")</f>
        <v/>
      </c>
    </row>
    <row r="501">
      <c r="A501" s="1" t="n"/>
      <c r="B501" s="21" t="n"/>
      <c r="C501" s="23" t="n"/>
      <c r="D501" s="22" t="n"/>
      <c r="E501" s="24" t="n"/>
      <c r="F501" s="25" t="n"/>
      <c r="G501" s="18">
        <f>IF(AND(C501="",D501=""),"",IF(NOT(ISNUMBER(B501)),"Needs a date",IF(NOT(ISNUMBER(D501)),"Needs the amount",IF(C501="","Needs an envelope",IF(COUNTIF(Envelopes!$B$6:$B$21,C501)=0,"Not on Envelopes",IF(F501="",IF(D501=0,"Needs the amount",""),IF(COUNTIF(Envelopes!$B$6:$B$21,F501)=0,"Moved to: not on Envelopes",IF(D501&lt;=0,"A move needs an amount",IF(F501=C501,"Moved to the same envelope","")))))))))</f>
        <v/>
      </c>
      <c r="H501" s="1">
        <f>IF(ISNUMBER(B501),INT(B501),0)</f>
        <v/>
      </c>
      <c r="I501">
        <f>IF(AND(H501&gt;0,ISNUMBER(D501),COUNTIF(Envelopes!$B$6:$B$21,C501)&gt;0,F501=""),1,0)</f>
        <v/>
      </c>
      <c r="J501">
        <f>IF(AND(H501&gt;0,ISNUMBER(D501),COUNTIF(Envelopes!$B$6:$B$21,C501)&gt;0,F501&lt;&gt;"",COUNTIF(Envelopes!$B$6:$B$21,F501)&gt;0),1,0)</f>
        <v/>
      </c>
      <c r="K501">
        <f>IF(I501=1,H501*10000+ROW(),"")</f>
        <v/>
      </c>
    </row>
    <row r="502">
      <c r="A502" s="1" t="n"/>
      <c r="B502" s="21" t="n"/>
      <c r="C502" s="23" t="n"/>
      <c r="D502" s="22" t="n"/>
      <c r="E502" s="24" t="n"/>
      <c r="F502" s="25" t="n"/>
      <c r="G502" s="18">
        <f>IF(AND(C502="",D502=""),"",IF(NOT(ISNUMBER(B502)),"Needs a date",IF(NOT(ISNUMBER(D502)),"Needs the amount",IF(C502="","Needs an envelope",IF(COUNTIF(Envelopes!$B$6:$B$21,C502)=0,"Not on Envelopes",IF(F502="",IF(D502=0,"Needs the amount",""),IF(COUNTIF(Envelopes!$B$6:$B$21,F502)=0,"Moved to: not on Envelopes",IF(D502&lt;=0,"A move needs an amount",IF(F502=C502,"Moved to the same envelope","")))))))))</f>
        <v/>
      </c>
      <c r="H502" s="1">
        <f>IF(ISNUMBER(B502),INT(B502),0)</f>
        <v/>
      </c>
      <c r="I502">
        <f>IF(AND(H502&gt;0,ISNUMBER(D502),COUNTIF(Envelopes!$B$6:$B$21,C502)&gt;0,F502=""),1,0)</f>
        <v/>
      </c>
      <c r="J502">
        <f>IF(AND(H502&gt;0,ISNUMBER(D502),COUNTIF(Envelopes!$B$6:$B$21,C502)&gt;0,F502&lt;&gt;"",COUNTIF(Envelopes!$B$6:$B$21,F502)&gt;0),1,0)</f>
        <v/>
      </c>
      <c r="K502">
        <f>IF(I502=1,H502*10000+ROW(),"")</f>
        <v/>
      </c>
    </row>
    <row r="503">
      <c r="A503" s="1" t="n"/>
      <c r="B503" s="21" t="n"/>
      <c r="C503" s="23" t="n"/>
      <c r="D503" s="22" t="n"/>
      <c r="E503" s="24" t="n"/>
      <c r="F503" s="25" t="n"/>
      <c r="G503" s="18">
        <f>IF(AND(C503="",D503=""),"",IF(NOT(ISNUMBER(B503)),"Needs a date",IF(NOT(ISNUMBER(D503)),"Needs the amount",IF(C503="","Needs an envelope",IF(COUNTIF(Envelopes!$B$6:$B$21,C503)=0,"Not on Envelopes",IF(F503="",IF(D503=0,"Needs the amount",""),IF(COUNTIF(Envelopes!$B$6:$B$21,F503)=0,"Moved to: not on Envelopes",IF(D503&lt;=0,"A move needs an amount",IF(F503=C503,"Moved to the same envelope","")))))))))</f>
        <v/>
      </c>
      <c r="H503" s="1">
        <f>IF(ISNUMBER(B503),INT(B503),0)</f>
        <v/>
      </c>
      <c r="I503">
        <f>IF(AND(H503&gt;0,ISNUMBER(D503),COUNTIF(Envelopes!$B$6:$B$21,C503)&gt;0,F503=""),1,0)</f>
        <v/>
      </c>
      <c r="J503">
        <f>IF(AND(H503&gt;0,ISNUMBER(D503),COUNTIF(Envelopes!$B$6:$B$21,C503)&gt;0,F503&lt;&gt;"",COUNTIF(Envelopes!$B$6:$B$21,F503)&gt;0),1,0)</f>
        <v/>
      </c>
      <c r="K503">
        <f>IF(I503=1,H503*10000+ROW(),"")</f>
        <v/>
      </c>
    </row>
    <row r="504">
      <c r="A504" s="1" t="n"/>
      <c r="B504" s="21" t="n"/>
      <c r="C504" s="23" t="n"/>
      <c r="D504" s="22" t="n"/>
      <c r="E504" s="24" t="n"/>
      <c r="F504" s="25" t="n"/>
      <c r="G504" s="18">
        <f>IF(AND(C504="",D504=""),"",IF(NOT(ISNUMBER(B504)),"Needs a date",IF(NOT(ISNUMBER(D504)),"Needs the amount",IF(C504="","Needs an envelope",IF(COUNTIF(Envelopes!$B$6:$B$21,C504)=0,"Not on Envelopes",IF(F504="",IF(D504=0,"Needs the amount",""),IF(COUNTIF(Envelopes!$B$6:$B$21,F504)=0,"Moved to: not on Envelopes",IF(D504&lt;=0,"A move needs an amount",IF(F504=C504,"Moved to the same envelope","")))))))))</f>
        <v/>
      </c>
      <c r="H504" s="1">
        <f>IF(ISNUMBER(B504),INT(B504),0)</f>
        <v/>
      </c>
      <c r="I504">
        <f>IF(AND(H504&gt;0,ISNUMBER(D504),COUNTIF(Envelopes!$B$6:$B$21,C504)&gt;0,F504=""),1,0)</f>
        <v/>
      </c>
      <c r="J504">
        <f>IF(AND(H504&gt;0,ISNUMBER(D504),COUNTIF(Envelopes!$B$6:$B$21,C504)&gt;0,F504&lt;&gt;"",COUNTIF(Envelopes!$B$6:$B$21,F504)&gt;0),1,0)</f>
        <v/>
      </c>
      <c r="K504">
        <f>IF(I504=1,H504*10000+ROW(),"")</f>
        <v/>
      </c>
    </row>
    <row r="505">
      <c r="A505" s="1" t="n"/>
      <c r="B505" s="21" t="n"/>
      <c r="C505" s="23" t="n"/>
      <c r="D505" s="22" t="n"/>
      <c r="E505" s="24" t="n"/>
      <c r="F505" s="25" t="n"/>
      <c r="G505" s="18">
        <f>IF(AND(C505="",D505=""),"",IF(NOT(ISNUMBER(B505)),"Needs a date",IF(NOT(ISNUMBER(D505)),"Needs the amount",IF(C505="","Needs an envelope",IF(COUNTIF(Envelopes!$B$6:$B$21,C505)=0,"Not on Envelopes",IF(F505="",IF(D505=0,"Needs the amount",""),IF(COUNTIF(Envelopes!$B$6:$B$21,F505)=0,"Moved to: not on Envelopes",IF(D505&lt;=0,"A move needs an amount",IF(F505=C505,"Moved to the same envelope","")))))))))</f>
        <v/>
      </c>
      <c r="H505" s="1">
        <f>IF(ISNUMBER(B505),INT(B505),0)</f>
        <v/>
      </c>
      <c r="I505">
        <f>IF(AND(H505&gt;0,ISNUMBER(D505),COUNTIF(Envelopes!$B$6:$B$21,C505)&gt;0,F505=""),1,0)</f>
        <v/>
      </c>
      <c r="J505">
        <f>IF(AND(H505&gt;0,ISNUMBER(D505),COUNTIF(Envelopes!$B$6:$B$21,C505)&gt;0,F505&lt;&gt;"",COUNTIF(Envelopes!$B$6:$B$21,F505)&gt;0),1,0)</f>
        <v/>
      </c>
      <c r="K505">
        <f>IF(I505=1,H505*10000+ROW(),"")</f>
        <v/>
      </c>
    </row>
    <row r="506">
      <c r="A506" s="1" t="n"/>
      <c r="B506" s="21" t="n"/>
      <c r="C506" s="23" t="n"/>
      <c r="D506" s="22" t="n"/>
      <c r="E506" s="24" t="n"/>
      <c r="F506" s="25" t="n"/>
      <c r="G506" s="18">
        <f>IF(AND(C506="",D506=""),"",IF(NOT(ISNUMBER(B506)),"Needs a date",IF(NOT(ISNUMBER(D506)),"Needs the amount",IF(C506="","Needs an envelope",IF(COUNTIF(Envelopes!$B$6:$B$21,C506)=0,"Not on Envelopes",IF(F506="",IF(D506=0,"Needs the amount",""),IF(COUNTIF(Envelopes!$B$6:$B$21,F506)=0,"Moved to: not on Envelopes",IF(D506&lt;=0,"A move needs an amount",IF(F506=C506,"Moved to the same envelope","")))))))))</f>
        <v/>
      </c>
      <c r="H506" s="1">
        <f>IF(ISNUMBER(B506),INT(B506),0)</f>
        <v/>
      </c>
      <c r="I506">
        <f>IF(AND(H506&gt;0,ISNUMBER(D506),COUNTIF(Envelopes!$B$6:$B$21,C506)&gt;0,F506=""),1,0)</f>
        <v/>
      </c>
      <c r="J506">
        <f>IF(AND(H506&gt;0,ISNUMBER(D506),COUNTIF(Envelopes!$B$6:$B$21,C506)&gt;0,F506&lt;&gt;"",COUNTIF(Envelopes!$B$6:$B$21,F506)&gt;0),1,0)</f>
        <v/>
      </c>
      <c r="K506">
        <f>IF(I506=1,H506*10000+ROW(),"")</f>
        <v/>
      </c>
    </row>
    <row r="507">
      <c r="A507" s="1" t="n"/>
      <c r="B507" s="21" t="n"/>
      <c r="C507" s="23" t="n"/>
      <c r="D507" s="22" t="n"/>
      <c r="E507" s="24" t="n"/>
      <c r="F507" s="25" t="n"/>
      <c r="G507" s="18">
        <f>IF(AND(C507="",D507=""),"",IF(NOT(ISNUMBER(B507)),"Needs a date",IF(NOT(ISNUMBER(D507)),"Needs the amount",IF(C507="","Needs an envelope",IF(COUNTIF(Envelopes!$B$6:$B$21,C507)=0,"Not on Envelopes",IF(F507="",IF(D507=0,"Needs the amount",""),IF(COUNTIF(Envelopes!$B$6:$B$21,F507)=0,"Moved to: not on Envelopes",IF(D507&lt;=0,"A move needs an amount",IF(F507=C507,"Moved to the same envelope","")))))))))</f>
        <v/>
      </c>
      <c r="H507" s="1">
        <f>IF(ISNUMBER(B507),INT(B507),0)</f>
        <v/>
      </c>
      <c r="I507">
        <f>IF(AND(H507&gt;0,ISNUMBER(D507),COUNTIF(Envelopes!$B$6:$B$21,C507)&gt;0,F507=""),1,0)</f>
        <v/>
      </c>
      <c r="J507">
        <f>IF(AND(H507&gt;0,ISNUMBER(D507),COUNTIF(Envelopes!$B$6:$B$21,C507)&gt;0,F507&lt;&gt;"",COUNTIF(Envelopes!$B$6:$B$21,F507)&gt;0),1,0)</f>
        <v/>
      </c>
      <c r="K507">
        <f>IF(I507=1,H507*10000+ROW(),"")</f>
        <v/>
      </c>
    </row>
    <row r="508">
      <c r="A508" s="1" t="n"/>
      <c r="B508" s="21" t="n"/>
      <c r="C508" s="23" t="n"/>
      <c r="D508" s="22" t="n"/>
      <c r="E508" s="24" t="n"/>
      <c r="F508" s="25" t="n"/>
      <c r="G508" s="18">
        <f>IF(AND(C508="",D508=""),"",IF(NOT(ISNUMBER(B508)),"Needs a date",IF(NOT(ISNUMBER(D508)),"Needs the amount",IF(C508="","Needs an envelope",IF(COUNTIF(Envelopes!$B$6:$B$21,C508)=0,"Not on Envelopes",IF(F508="",IF(D508=0,"Needs the amount",""),IF(COUNTIF(Envelopes!$B$6:$B$21,F508)=0,"Moved to: not on Envelopes",IF(D508&lt;=0,"A move needs an amount",IF(F508=C508,"Moved to the same envelope","")))))))))</f>
        <v/>
      </c>
      <c r="H508" s="1">
        <f>IF(ISNUMBER(B508),INT(B508),0)</f>
        <v/>
      </c>
      <c r="I508">
        <f>IF(AND(H508&gt;0,ISNUMBER(D508),COUNTIF(Envelopes!$B$6:$B$21,C508)&gt;0,F508=""),1,0)</f>
        <v/>
      </c>
      <c r="J508">
        <f>IF(AND(H508&gt;0,ISNUMBER(D508),COUNTIF(Envelopes!$B$6:$B$21,C508)&gt;0,F508&lt;&gt;"",COUNTIF(Envelopes!$B$6:$B$21,F508)&gt;0),1,0)</f>
        <v/>
      </c>
      <c r="K508">
        <f>IF(I508=1,H508*10000+ROW(),"")</f>
        <v/>
      </c>
    </row>
    <row r="509">
      <c r="A509" s="1" t="n"/>
      <c r="B509" s="21" t="n"/>
      <c r="C509" s="23" t="n"/>
      <c r="D509" s="22" t="n"/>
      <c r="E509" s="24" t="n"/>
      <c r="F509" s="25" t="n"/>
      <c r="G509" s="18">
        <f>IF(AND(C509="",D509=""),"",IF(NOT(ISNUMBER(B509)),"Needs a date",IF(NOT(ISNUMBER(D509)),"Needs the amount",IF(C509="","Needs an envelope",IF(COUNTIF(Envelopes!$B$6:$B$21,C509)=0,"Not on Envelopes",IF(F509="",IF(D509=0,"Needs the amount",""),IF(COUNTIF(Envelopes!$B$6:$B$21,F509)=0,"Moved to: not on Envelopes",IF(D509&lt;=0,"A move needs an amount",IF(F509=C509,"Moved to the same envelope","")))))))))</f>
        <v/>
      </c>
      <c r="H509" s="1">
        <f>IF(ISNUMBER(B509),INT(B509),0)</f>
        <v/>
      </c>
      <c r="I509">
        <f>IF(AND(H509&gt;0,ISNUMBER(D509),COUNTIF(Envelopes!$B$6:$B$21,C509)&gt;0,F509=""),1,0)</f>
        <v/>
      </c>
      <c r="J509">
        <f>IF(AND(H509&gt;0,ISNUMBER(D509),COUNTIF(Envelopes!$B$6:$B$21,C509)&gt;0,F509&lt;&gt;"",COUNTIF(Envelopes!$B$6:$B$21,F509)&gt;0),1,0)</f>
        <v/>
      </c>
      <c r="K509">
        <f>IF(I509=1,H509*10000+ROW(),"")</f>
        <v/>
      </c>
    </row>
    <row r="510">
      <c r="A510" s="1" t="n"/>
      <c r="B510" s="21" t="n"/>
      <c r="C510" s="23" t="n"/>
      <c r="D510" s="22" t="n"/>
      <c r="E510" s="24" t="n"/>
      <c r="F510" s="25" t="n"/>
      <c r="G510" s="18">
        <f>IF(AND(C510="",D510=""),"",IF(NOT(ISNUMBER(B510)),"Needs a date",IF(NOT(ISNUMBER(D510)),"Needs the amount",IF(C510="","Needs an envelope",IF(COUNTIF(Envelopes!$B$6:$B$21,C510)=0,"Not on Envelopes",IF(F510="",IF(D510=0,"Needs the amount",""),IF(COUNTIF(Envelopes!$B$6:$B$21,F510)=0,"Moved to: not on Envelopes",IF(D510&lt;=0,"A move needs an amount",IF(F510=C510,"Moved to the same envelope","")))))))))</f>
        <v/>
      </c>
      <c r="H510" s="1">
        <f>IF(ISNUMBER(B510),INT(B510),0)</f>
        <v/>
      </c>
      <c r="I510">
        <f>IF(AND(H510&gt;0,ISNUMBER(D510),COUNTIF(Envelopes!$B$6:$B$21,C510)&gt;0,F510=""),1,0)</f>
        <v/>
      </c>
      <c r="J510">
        <f>IF(AND(H510&gt;0,ISNUMBER(D510),COUNTIF(Envelopes!$B$6:$B$21,C510)&gt;0,F510&lt;&gt;"",COUNTIF(Envelopes!$B$6:$B$21,F510)&gt;0),1,0)</f>
        <v/>
      </c>
      <c r="K510">
        <f>IF(I510=1,H510*10000+ROW(),"")</f>
        <v/>
      </c>
    </row>
    <row r="511">
      <c r="A511" s="1" t="n"/>
      <c r="B511" s="21" t="n"/>
      <c r="C511" s="23" t="n"/>
      <c r="D511" s="22" t="n"/>
      <c r="E511" s="24" t="n"/>
      <c r="F511" s="25" t="n"/>
      <c r="G511" s="18">
        <f>IF(AND(C511="",D511=""),"",IF(NOT(ISNUMBER(B511)),"Needs a date",IF(NOT(ISNUMBER(D511)),"Needs the amount",IF(C511="","Needs an envelope",IF(COUNTIF(Envelopes!$B$6:$B$21,C511)=0,"Not on Envelopes",IF(F511="",IF(D511=0,"Needs the amount",""),IF(COUNTIF(Envelopes!$B$6:$B$21,F511)=0,"Moved to: not on Envelopes",IF(D511&lt;=0,"A move needs an amount",IF(F511=C511,"Moved to the same envelope","")))))))))</f>
        <v/>
      </c>
      <c r="H511" s="1">
        <f>IF(ISNUMBER(B511),INT(B511),0)</f>
        <v/>
      </c>
      <c r="I511">
        <f>IF(AND(H511&gt;0,ISNUMBER(D511),COUNTIF(Envelopes!$B$6:$B$21,C511)&gt;0,F511=""),1,0)</f>
        <v/>
      </c>
      <c r="J511">
        <f>IF(AND(H511&gt;0,ISNUMBER(D511),COUNTIF(Envelopes!$B$6:$B$21,C511)&gt;0,F511&lt;&gt;"",COUNTIF(Envelopes!$B$6:$B$21,F511)&gt;0),1,0)</f>
        <v/>
      </c>
      <c r="K511">
        <f>IF(I511=1,H511*10000+ROW(),"")</f>
        <v/>
      </c>
    </row>
    <row r="512">
      <c r="A512" s="1" t="n"/>
      <c r="B512" s="21" t="n"/>
      <c r="C512" s="23" t="n"/>
      <c r="D512" s="22" t="n"/>
      <c r="E512" s="24" t="n"/>
      <c r="F512" s="25" t="n"/>
      <c r="G512" s="18">
        <f>IF(AND(C512="",D512=""),"",IF(NOT(ISNUMBER(B512)),"Needs a date",IF(NOT(ISNUMBER(D512)),"Needs the amount",IF(C512="","Needs an envelope",IF(COUNTIF(Envelopes!$B$6:$B$21,C512)=0,"Not on Envelopes",IF(F512="",IF(D512=0,"Needs the amount",""),IF(COUNTIF(Envelopes!$B$6:$B$21,F512)=0,"Moved to: not on Envelopes",IF(D512&lt;=0,"A move needs an amount",IF(F512=C512,"Moved to the same envelope","")))))))))</f>
        <v/>
      </c>
      <c r="H512" s="1">
        <f>IF(ISNUMBER(B512),INT(B512),0)</f>
        <v/>
      </c>
      <c r="I512">
        <f>IF(AND(H512&gt;0,ISNUMBER(D512),COUNTIF(Envelopes!$B$6:$B$21,C512)&gt;0,F512=""),1,0)</f>
        <v/>
      </c>
      <c r="J512">
        <f>IF(AND(H512&gt;0,ISNUMBER(D512),COUNTIF(Envelopes!$B$6:$B$21,C512)&gt;0,F512&lt;&gt;"",COUNTIF(Envelopes!$B$6:$B$21,F512)&gt;0),1,0)</f>
        <v/>
      </c>
      <c r="K512">
        <f>IF(I512=1,H512*10000+ROW(),"")</f>
        <v/>
      </c>
    </row>
    <row r="513">
      <c r="A513" s="1" t="n"/>
      <c r="B513" s="21" t="n"/>
      <c r="C513" s="23" t="n"/>
      <c r="D513" s="22" t="n"/>
      <c r="E513" s="24" t="n"/>
      <c r="F513" s="25" t="n"/>
      <c r="G513" s="18">
        <f>IF(AND(C513="",D513=""),"",IF(NOT(ISNUMBER(B513)),"Needs a date",IF(NOT(ISNUMBER(D513)),"Needs the amount",IF(C513="","Needs an envelope",IF(COUNTIF(Envelopes!$B$6:$B$21,C513)=0,"Not on Envelopes",IF(F513="",IF(D513=0,"Needs the amount",""),IF(COUNTIF(Envelopes!$B$6:$B$21,F513)=0,"Moved to: not on Envelopes",IF(D513&lt;=0,"A move needs an amount",IF(F513=C513,"Moved to the same envelope","")))))))))</f>
        <v/>
      </c>
      <c r="H513" s="1">
        <f>IF(ISNUMBER(B513),INT(B513),0)</f>
        <v/>
      </c>
      <c r="I513">
        <f>IF(AND(H513&gt;0,ISNUMBER(D513),COUNTIF(Envelopes!$B$6:$B$21,C513)&gt;0,F513=""),1,0)</f>
        <v/>
      </c>
      <c r="J513">
        <f>IF(AND(H513&gt;0,ISNUMBER(D513),COUNTIF(Envelopes!$B$6:$B$21,C513)&gt;0,F513&lt;&gt;"",COUNTIF(Envelopes!$B$6:$B$21,F513)&gt;0),1,0)</f>
        <v/>
      </c>
      <c r="K513">
        <f>IF(I513=1,H513*10000+ROW(),"")</f>
        <v/>
      </c>
    </row>
    <row r="514">
      <c r="A514" s="1" t="n"/>
      <c r="B514" s="21" t="n"/>
      <c r="C514" s="23" t="n"/>
      <c r="D514" s="22" t="n"/>
      <c r="E514" s="24" t="n"/>
      <c r="F514" s="25" t="n"/>
      <c r="G514" s="18">
        <f>IF(AND(C514="",D514=""),"",IF(NOT(ISNUMBER(B514)),"Needs a date",IF(NOT(ISNUMBER(D514)),"Needs the amount",IF(C514="","Needs an envelope",IF(COUNTIF(Envelopes!$B$6:$B$21,C514)=0,"Not on Envelopes",IF(F514="",IF(D514=0,"Needs the amount",""),IF(COUNTIF(Envelopes!$B$6:$B$21,F514)=0,"Moved to: not on Envelopes",IF(D514&lt;=0,"A move needs an amount",IF(F514=C514,"Moved to the same envelope","")))))))))</f>
        <v/>
      </c>
      <c r="H514" s="1">
        <f>IF(ISNUMBER(B514),INT(B514),0)</f>
        <v/>
      </c>
      <c r="I514">
        <f>IF(AND(H514&gt;0,ISNUMBER(D514),COUNTIF(Envelopes!$B$6:$B$21,C514)&gt;0,F514=""),1,0)</f>
        <v/>
      </c>
      <c r="J514">
        <f>IF(AND(H514&gt;0,ISNUMBER(D514),COUNTIF(Envelopes!$B$6:$B$21,C514)&gt;0,F514&lt;&gt;"",COUNTIF(Envelopes!$B$6:$B$21,F514)&gt;0),1,0)</f>
        <v/>
      </c>
      <c r="K514">
        <f>IF(I514=1,H514*10000+ROW(),"")</f>
        <v/>
      </c>
    </row>
    <row r="515">
      <c r="A515" s="1" t="n"/>
      <c r="B515" s="21" t="n"/>
      <c r="C515" s="23" t="n"/>
      <c r="D515" s="22" t="n"/>
      <c r="E515" s="24" t="n"/>
      <c r="F515" s="25" t="n"/>
      <c r="G515" s="18">
        <f>IF(AND(C515="",D515=""),"",IF(NOT(ISNUMBER(B515)),"Needs a date",IF(NOT(ISNUMBER(D515)),"Needs the amount",IF(C515="","Needs an envelope",IF(COUNTIF(Envelopes!$B$6:$B$21,C515)=0,"Not on Envelopes",IF(F515="",IF(D515=0,"Needs the amount",""),IF(COUNTIF(Envelopes!$B$6:$B$21,F515)=0,"Moved to: not on Envelopes",IF(D515&lt;=0,"A move needs an amount",IF(F515=C515,"Moved to the same envelope","")))))))))</f>
        <v/>
      </c>
      <c r="H515" s="1">
        <f>IF(ISNUMBER(B515),INT(B515),0)</f>
        <v/>
      </c>
      <c r="I515">
        <f>IF(AND(H515&gt;0,ISNUMBER(D515),COUNTIF(Envelopes!$B$6:$B$21,C515)&gt;0,F515=""),1,0)</f>
        <v/>
      </c>
      <c r="J515">
        <f>IF(AND(H515&gt;0,ISNUMBER(D515),COUNTIF(Envelopes!$B$6:$B$21,C515)&gt;0,F515&lt;&gt;"",COUNTIF(Envelopes!$B$6:$B$21,F515)&gt;0),1,0)</f>
        <v/>
      </c>
      <c r="K515">
        <f>IF(I515=1,H515*10000+ROW(),"")</f>
        <v/>
      </c>
    </row>
    <row r="516">
      <c r="A516" s="1" t="n"/>
      <c r="B516" s="21" t="n"/>
      <c r="C516" s="23" t="n"/>
      <c r="D516" s="22" t="n"/>
      <c r="E516" s="24" t="n"/>
      <c r="F516" s="25" t="n"/>
      <c r="G516" s="18">
        <f>IF(AND(C516="",D516=""),"",IF(NOT(ISNUMBER(B516)),"Needs a date",IF(NOT(ISNUMBER(D516)),"Needs the amount",IF(C516="","Needs an envelope",IF(COUNTIF(Envelopes!$B$6:$B$21,C516)=0,"Not on Envelopes",IF(F516="",IF(D516=0,"Needs the amount",""),IF(COUNTIF(Envelopes!$B$6:$B$21,F516)=0,"Moved to: not on Envelopes",IF(D516&lt;=0,"A move needs an amount",IF(F516=C516,"Moved to the same envelope","")))))))))</f>
        <v/>
      </c>
      <c r="H516" s="1">
        <f>IF(ISNUMBER(B516),INT(B516),0)</f>
        <v/>
      </c>
      <c r="I516">
        <f>IF(AND(H516&gt;0,ISNUMBER(D516),COUNTIF(Envelopes!$B$6:$B$21,C516)&gt;0,F516=""),1,0)</f>
        <v/>
      </c>
      <c r="J516">
        <f>IF(AND(H516&gt;0,ISNUMBER(D516),COUNTIF(Envelopes!$B$6:$B$21,C516)&gt;0,F516&lt;&gt;"",COUNTIF(Envelopes!$B$6:$B$21,F516)&gt;0),1,0)</f>
        <v/>
      </c>
      <c r="K516">
        <f>IF(I516=1,H516*10000+ROW(),"")</f>
        <v/>
      </c>
    </row>
    <row r="517">
      <c r="A517" s="1" t="n"/>
      <c r="B517" s="21" t="n"/>
      <c r="C517" s="23" t="n"/>
      <c r="D517" s="22" t="n"/>
      <c r="E517" s="24" t="n"/>
      <c r="F517" s="25" t="n"/>
      <c r="G517" s="18">
        <f>IF(AND(C517="",D517=""),"",IF(NOT(ISNUMBER(B517)),"Needs a date",IF(NOT(ISNUMBER(D517)),"Needs the amount",IF(C517="","Needs an envelope",IF(COUNTIF(Envelopes!$B$6:$B$21,C517)=0,"Not on Envelopes",IF(F517="",IF(D517=0,"Needs the amount",""),IF(COUNTIF(Envelopes!$B$6:$B$21,F517)=0,"Moved to: not on Envelopes",IF(D517&lt;=0,"A move needs an amount",IF(F517=C517,"Moved to the same envelope","")))))))))</f>
        <v/>
      </c>
      <c r="H517" s="1">
        <f>IF(ISNUMBER(B517),INT(B517),0)</f>
        <v/>
      </c>
      <c r="I517">
        <f>IF(AND(H517&gt;0,ISNUMBER(D517),COUNTIF(Envelopes!$B$6:$B$21,C517)&gt;0,F517=""),1,0)</f>
        <v/>
      </c>
      <c r="J517">
        <f>IF(AND(H517&gt;0,ISNUMBER(D517),COUNTIF(Envelopes!$B$6:$B$21,C517)&gt;0,F517&lt;&gt;"",COUNTIF(Envelopes!$B$6:$B$21,F517)&gt;0),1,0)</f>
        <v/>
      </c>
      <c r="K517">
        <f>IF(I517=1,H517*10000+ROW(),"")</f>
        <v/>
      </c>
    </row>
    <row r="518">
      <c r="A518" s="1" t="n"/>
      <c r="B518" s="21" t="n"/>
      <c r="C518" s="23" t="n"/>
      <c r="D518" s="22" t="n"/>
      <c r="E518" s="24" t="n"/>
      <c r="F518" s="25" t="n"/>
      <c r="G518" s="18">
        <f>IF(AND(C518="",D518=""),"",IF(NOT(ISNUMBER(B518)),"Needs a date",IF(NOT(ISNUMBER(D518)),"Needs the amount",IF(C518="","Needs an envelope",IF(COUNTIF(Envelopes!$B$6:$B$21,C518)=0,"Not on Envelopes",IF(F518="",IF(D518=0,"Needs the amount",""),IF(COUNTIF(Envelopes!$B$6:$B$21,F518)=0,"Moved to: not on Envelopes",IF(D518&lt;=0,"A move needs an amount",IF(F518=C518,"Moved to the same envelope","")))))))))</f>
        <v/>
      </c>
      <c r="H518" s="1">
        <f>IF(ISNUMBER(B518),INT(B518),0)</f>
        <v/>
      </c>
      <c r="I518">
        <f>IF(AND(H518&gt;0,ISNUMBER(D518),COUNTIF(Envelopes!$B$6:$B$21,C518)&gt;0,F518=""),1,0)</f>
        <v/>
      </c>
      <c r="J518">
        <f>IF(AND(H518&gt;0,ISNUMBER(D518),COUNTIF(Envelopes!$B$6:$B$21,C518)&gt;0,F518&lt;&gt;"",COUNTIF(Envelopes!$B$6:$B$21,F518)&gt;0),1,0)</f>
        <v/>
      </c>
      <c r="K518">
        <f>IF(I518=1,H518*10000+ROW(),"")</f>
        <v/>
      </c>
    </row>
    <row r="519">
      <c r="A519" s="1" t="n"/>
      <c r="B519" s="21" t="n"/>
      <c r="C519" s="23" t="n"/>
      <c r="D519" s="22" t="n"/>
      <c r="E519" s="24" t="n"/>
      <c r="F519" s="25" t="n"/>
      <c r="G519" s="18">
        <f>IF(AND(C519="",D519=""),"",IF(NOT(ISNUMBER(B519)),"Needs a date",IF(NOT(ISNUMBER(D519)),"Needs the amount",IF(C519="","Needs an envelope",IF(COUNTIF(Envelopes!$B$6:$B$21,C519)=0,"Not on Envelopes",IF(F519="",IF(D519=0,"Needs the amount",""),IF(COUNTIF(Envelopes!$B$6:$B$21,F519)=0,"Moved to: not on Envelopes",IF(D519&lt;=0,"A move needs an amount",IF(F519=C519,"Moved to the same envelope","")))))))))</f>
        <v/>
      </c>
      <c r="H519" s="1">
        <f>IF(ISNUMBER(B519),INT(B519),0)</f>
        <v/>
      </c>
      <c r="I519">
        <f>IF(AND(H519&gt;0,ISNUMBER(D519),COUNTIF(Envelopes!$B$6:$B$21,C519)&gt;0,F519=""),1,0)</f>
        <v/>
      </c>
      <c r="J519">
        <f>IF(AND(H519&gt;0,ISNUMBER(D519),COUNTIF(Envelopes!$B$6:$B$21,C519)&gt;0,F519&lt;&gt;"",COUNTIF(Envelopes!$B$6:$B$21,F519)&gt;0),1,0)</f>
        <v/>
      </c>
      <c r="K519">
        <f>IF(I519=1,H519*10000+ROW(),"")</f>
        <v/>
      </c>
    </row>
    <row r="520">
      <c r="A520" s="1" t="n"/>
      <c r="B520" s="21" t="n"/>
      <c r="C520" s="23" t="n"/>
      <c r="D520" s="22" t="n"/>
      <c r="E520" s="24" t="n"/>
      <c r="F520" s="25" t="n"/>
      <c r="G520" s="18">
        <f>IF(AND(C520="",D520=""),"",IF(NOT(ISNUMBER(B520)),"Needs a date",IF(NOT(ISNUMBER(D520)),"Needs the amount",IF(C520="","Needs an envelope",IF(COUNTIF(Envelopes!$B$6:$B$21,C520)=0,"Not on Envelopes",IF(F520="",IF(D520=0,"Needs the amount",""),IF(COUNTIF(Envelopes!$B$6:$B$21,F520)=0,"Moved to: not on Envelopes",IF(D520&lt;=0,"A move needs an amount",IF(F520=C520,"Moved to the same envelope","")))))))))</f>
        <v/>
      </c>
      <c r="H520" s="1">
        <f>IF(ISNUMBER(B520),INT(B520),0)</f>
        <v/>
      </c>
      <c r="I520">
        <f>IF(AND(H520&gt;0,ISNUMBER(D520),COUNTIF(Envelopes!$B$6:$B$21,C520)&gt;0,F520=""),1,0)</f>
        <v/>
      </c>
      <c r="J520">
        <f>IF(AND(H520&gt;0,ISNUMBER(D520),COUNTIF(Envelopes!$B$6:$B$21,C520)&gt;0,F520&lt;&gt;"",COUNTIF(Envelopes!$B$6:$B$21,F520)&gt;0),1,0)</f>
        <v/>
      </c>
      <c r="K520">
        <f>IF(I520=1,H520*10000+ROW(),"")</f>
        <v/>
      </c>
    </row>
    <row r="521">
      <c r="A521" s="1" t="n"/>
      <c r="B521" s="21" t="n"/>
      <c r="C521" s="23" t="n"/>
      <c r="D521" s="22" t="n"/>
      <c r="E521" s="24" t="n"/>
      <c r="F521" s="25" t="n"/>
      <c r="G521" s="18">
        <f>IF(AND(C521="",D521=""),"",IF(NOT(ISNUMBER(B521)),"Needs a date",IF(NOT(ISNUMBER(D521)),"Needs the amount",IF(C521="","Needs an envelope",IF(COUNTIF(Envelopes!$B$6:$B$21,C521)=0,"Not on Envelopes",IF(F521="",IF(D521=0,"Needs the amount",""),IF(COUNTIF(Envelopes!$B$6:$B$21,F521)=0,"Moved to: not on Envelopes",IF(D521&lt;=0,"A move needs an amount",IF(F521=C521,"Moved to the same envelope","")))))))))</f>
        <v/>
      </c>
      <c r="H521" s="1">
        <f>IF(ISNUMBER(B521),INT(B521),0)</f>
        <v/>
      </c>
      <c r="I521">
        <f>IF(AND(H521&gt;0,ISNUMBER(D521),COUNTIF(Envelopes!$B$6:$B$21,C521)&gt;0,F521=""),1,0)</f>
        <v/>
      </c>
      <c r="J521">
        <f>IF(AND(H521&gt;0,ISNUMBER(D521),COUNTIF(Envelopes!$B$6:$B$21,C521)&gt;0,F521&lt;&gt;"",COUNTIF(Envelopes!$B$6:$B$21,F521)&gt;0),1,0)</f>
        <v/>
      </c>
      <c r="K521">
        <f>IF(I521=1,H521*10000+ROW(),"")</f>
        <v/>
      </c>
    </row>
    <row r="522">
      <c r="A522" s="1" t="n"/>
      <c r="B522" s="21" t="n"/>
      <c r="C522" s="23" t="n"/>
      <c r="D522" s="22" t="n"/>
      <c r="E522" s="24" t="n"/>
      <c r="F522" s="25" t="n"/>
      <c r="G522" s="18">
        <f>IF(AND(C522="",D522=""),"",IF(NOT(ISNUMBER(B522)),"Needs a date",IF(NOT(ISNUMBER(D522)),"Needs the amount",IF(C522="","Needs an envelope",IF(COUNTIF(Envelopes!$B$6:$B$21,C522)=0,"Not on Envelopes",IF(F522="",IF(D522=0,"Needs the amount",""),IF(COUNTIF(Envelopes!$B$6:$B$21,F522)=0,"Moved to: not on Envelopes",IF(D522&lt;=0,"A move needs an amount",IF(F522=C522,"Moved to the same envelope","")))))))))</f>
        <v/>
      </c>
      <c r="H522" s="1">
        <f>IF(ISNUMBER(B522),INT(B522),0)</f>
        <v/>
      </c>
      <c r="I522">
        <f>IF(AND(H522&gt;0,ISNUMBER(D522),COUNTIF(Envelopes!$B$6:$B$21,C522)&gt;0,F522=""),1,0)</f>
        <v/>
      </c>
      <c r="J522">
        <f>IF(AND(H522&gt;0,ISNUMBER(D522),COUNTIF(Envelopes!$B$6:$B$21,C522)&gt;0,F522&lt;&gt;"",COUNTIF(Envelopes!$B$6:$B$21,F522)&gt;0),1,0)</f>
        <v/>
      </c>
      <c r="K522">
        <f>IF(I522=1,H522*10000+ROW(),"")</f>
        <v/>
      </c>
    </row>
    <row r="523">
      <c r="A523" s="1" t="n"/>
      <c r="B523" s="21" t="n"/>
      <c r="C523" s="23" t="n"/>
      <c r="D523" s="22" t="n"/>
      <c r="E523" s="24" t="n"/>
      <c r="F523" s="25" t="n"/>
      <c r="G523" s="18">
        <f>IF(AND(C523="",D523=""),"",IF(NOT(ISNUMBER(B523)),"Needs a date",IF(NOT(ISNUMBER(D523)),"Needs the amount",IF(C523="","Needs an envelope",IF(COUNTIF(Envelopes!$B$6:$B$21,C523)=0,"Not on Envelopes",IF(F523="",IF(D523=0,"Needs the amount",""),IF(COUNTIF(Envelopes!$B$6:$B$21,F523)=0,"Moved to: not on Envelopes",IF(D523&lt;=0,"A move needs an amount",IF(F523=C523,"Moved to the same envelope","")))))))))</f>
        <v/>
      </c>
      <c r="H523" s="1">
        <f>IF(ISNUMBER(B523),INT(B523),0)</f>
        <v/>
      </c>
      <c r="I523">
        <f>IF(AND(H523&gt;0,ISNUMBER(D523),COUNTIF(Envelopes!$B$6:$B$21,C523)&gt;0,F523=""),1,0)</f>
        <v/>
      </c>
      <c r="J523">
        <f>IF(AND(H523&gt;0,ISNUMBER(D523),COUNTIF(Envelopes!$B$6:$B$21,C523)&gt;0,F523&lt;&gt;"",COUNTIF(Envelopes!$B$6:$B$21,F523)&gt;0),1,0)</f>
        <v/>
      </c>
      <c r="K523">
        <f>IF(I523=1,H523*10000+ROW(),"")</f>
        <v/>
      </c>
    </row>
    <row r="524">
      <c r="A524" s="1" t="n"/>
      <c r="B524" s="21" t="n"/>
      <c r="C524" s="23" t="n"/>
      <c r="D524" s="22" t="n"/>
      <c r="E524" s="24" t="n"/>
      <c r="F524" s="25" t="n"/>
      <c r="G524" s="18">
        <f>IF(AND(C524="",D524=""),"",IF(NOT(ISNUMBER(B524)),"Needs a date",IF(NOT(ISNUMBER(D524)),"Needs the amount",IF(C524="","Needs an envelope",IF(COUNTIF(Envelopes!$B$6:$B$21,C524)=0,"Not on Envelopes",IF(F524="",IF(D524=0,"Needs the amount",""),IF(COUNTIF(Envelopes!$B$6:$B$21,F524)=0,"Moved to: not on Envelopes",IF(D524&lt;=0,"A move needs an amount",IF(F524=C524,"Moved to the same envelope","")))))))))</f>
        <v/>
      </c>
      <c r="H524" s="1">
        <f>IF(ISNUMBER(B524),INT(B524),0)</f>
        <v/>
      </c>
      <c r="I524">
        <f>IF(AND(H524&gt;0,ISNUMBER(D524),COUNTIF(Envelopes!$B$6:$B$21,C524)&gt;0,F524=""),1,0)</f>
        <v/>
      </c>
      <c r="J524">
        <f>IF(AND(H524&gt;0,ISNUMBER(D524),COUNTIF(Envelopes!$B$6:$B$21,C524)&gt;0,F524&lt;&gt;"",COUNTIF(Envelopes!$B$6:$B$21,F524)&gt;0),1,0)</f>
        <v/>
      </c>
      <c r="K524">
        <f>IF(I524=1,H524*10000+ROW(),"")</f>
        <v/>
      </c>
    </row>
    <row r="525">
      <c r="A525" s="1" t="n"/>
      <c r="B525" s="21" t="n"/>
      <c r="C525" s="23" t="n"/>
      <c r="D525" s="22" t="n"/>
      <c r="E525" s="24" t="n"/>
      <c r="F525" s="25" t="n"/>
      <c r="G525" s="18">
        <f>IF(AND(C525="",D525=""),"",IF(NOT(ISNUMBER(B525)),"Needs a date",IF(NOT(ISNUMBER(D525)),"Needs the amount",IF(C525="","Needs an envelope",IF(COUNTIF(Envelopes!$B$6:$B$21,C525)=0,"Not on Envelopes",IF(F525="",IF(D525=0,"Needs the amount",""),IF(COUNTIF(Envelopes!$B$6:$B$21,F525)=0,"Moved to: not on Envelopes",IF(D525&lt;=0,"A move needs an amount",IF(F525=C525,"Moved to the same envelope","")))))))))</f>
        <v/>
      </c>
      <c r="H525" s="1">
        <f>IF(ISNUMBER(B525),INT(B525),0)</f>
        <v/>
      </c>
      <c r="I525">
        <f>IF(AND(H525&gt;0,ISNUMBER(D525),COUNTIF(Envelopes!$B$6:$B$21,C525)&gt;0,F525=""),1,0)</f>
        <v/>
      </c>
      <c r="J525">
        <f>IF(AND(H525&gt;0,ISNUMBER(D525),COUNTIF(Envelopes!$B$6:$B$21,C525)&gt;0,F525&lt;&gt;"",COUNTIF(Envelopes!$B$6:$B$21,F525)&gt;0),1,0)</f>
        <v/>
      </c>
      <c r="K525">
        <f>IF(I525=1,H525*10000+ROW(),"")</f>
        <v/>
      </c>
    </row>
    <row r="526">
      <c r="A526" s="1" t="n"/>
      <c r="B526" s="21" t="n"/>
      <c r="C526" s="23" t="n"/>
      <c r="D526" s="22" t="n"/>
      <c r="E526" s="24" t="n"/>
      <c r="F526" s="25" t="n"/>
      <c r="G526" s="18">
        <f>IF(AND(C526="",D526=""),"",IF(NOT(ISNUMBER(B526)),"Needs a date",IF(NOT(ISNUMBER(D526)),"Needs the amount",IF(C526="","Needs an envelope",IF(COUNTIF(Envelopes!$B$6:$B$21,C526)=0,"Not on Envelopes",IF(F526="",IF(D526=0,"Needs the amount",""),IF(COUNTIF(Envelopes!$B$6:$B$21,F526)=0,"Moved to: not on Envelopes",IF(D526&lt;=0,"A move needs an amount",IF(F526=C526,"Moved to the same envelope","")))))))))</f>
        <v/>
      </c>
      <c r="H526" s="1">
        <f>IF(ISNUMBER(B526),INT(B526),0)</f>
        <v/>
      </c>
      <c r="I526">
        <f>IF(AND(H526&gt;0,ISNUMBER(D526),COUNTIF(Envelopes!$B$6:$B$21,C526)&gt;0,F526=""),1,0)</f>
        <v/>
      </c>
      <c r="J526">
        <f>IF(AND(H526&gt;0,ISNUMBER(D526),COUNTIF(Envelopes!$B$6:$B$21,C526)&gt;0,F526&lt;&gt;"",COUNTIF(Envelopes!$B$6:$B$21,F526)&gt;0),1,0)</f>
        <v/>
      </c>
      <c r="K526">
        <f>IF(I526=1,H526*10000+ROW(),"")</f>
        <v/>
      </c>
    </row>
    <row r="527">
      <c r="A527" s="1" t="n"/>
      <c r="B527" s="21" t="n"/>
      <c r="C527" s="23" t="n"/>
      <c r="D527" s="22" t="n"/>
      <c r="E527" s="24" t="n"/>
      <c r="F527" s="25" t="n"/>
      <c r="G527" s="18">
        <f>IF(AND(C527="",D527=""),"",IF(NOT(ISNUMBER(B527)),"Needs a date",IF(NOT(ISNUMBER(D527)),"Needs the amount",IF(C527="","Needs an envelope",IF(COUNTIF(Envelopes!$B$6:$B$21,C527)=0,"Not on Envelopes",IF(F527="",IF(D527=0,"Needs the amount",""),IF(COUNTIF(Envelopes!$B$6:$B$21,F527)=0,"Moved to: not on Envelopes",IF(D527&lt;=0,"A move needs an amount",IF(F527=C527,"Moved to the same envelope","")))))))))</f>
        <v/>
      </c>
      <c r="H527" s="1">
        <f>IF(ISNUMBER(B527),INT(B527),0)</f>
        <v/>
      </c>
      <c r="I527">
        <f>IF(AND(H527&gt;0,ISNUMBER(D527),COUNTIF(Envelopes!$B$6:$B$21,C527)&gt;0,F527=""),1,0)</f>
        <v/>
      </c>
      <c r="J527">
        <f>IF(AND(H527&gt;0,ISNUMBER(D527),COUNTIF(Envelopes!$B$6:$B$21,C527)&gt;0,F527&lt;&gt;"",COUNTIF(Envelopes!$B$6:$B$21,F527)&gt;0),1,0)</f>
        <v/>
      </c>
      <c r="K527">
        <f>IF(I527=1,H527*10000+ROW(),"")</f>
        <v/>
      </c>
    </row>
    <row r="528">
      <c r="A528" s="1" t="n"/>
      <c r="B528" s="21" t="n"/>
      <c r="C528" s="23" t="n"/>
      <c r="D528" s="22" t="n"/>
      <c r="E528" s="24" t="n"/>
      <c r="F528" s="25" t="n"/>
      <c r="G528" s="18">
        <f>IF(AND(C528="",D528=""),"",IF(NOT(ISNUMBER(B528)),"Needs a date",IF(NOT(ISNUMBER(D528)),"Needs the amount",IF(C528="","Needs an envelope",IF(COUNTIF(Envelopes!$B$6:$B$21,C528)=0,"Not on Envelopes",IF(F528="",IF(D528=0,"Needs the amount",""),IF(COUNTIF(Envelopes!$B$6:$B$21,F528)=0,"Moved to: not on Envelopes",IF(D528&lt;=0,"A move needs an amount",IF(F528=C528,"Moved to the same envelope","")))))))))</f>
        <v/>
      </c>
      <c r="H528" s="1">
        <f>IF(ISNUMBER(B528),INT(B528),0)</f>
        <v/>
      </c>
      <c r="I528">
        <f>IF(AND(H528&gt;0,ISNUMBER(D528),COUNTIF(Envelopes!$B$6:$B$21,C528)&gt;0,F528=""),1,0)</f>
        <v/>
      </c>
      <c r="J528">
        <f>IF(AND(H528&gt;0,ISNUMBER(D528),COUNTIF(Envelopes!$B$6:$B$21,C528)&gt;0,F528&lt;&gt;"",COUNTIF(Envelopes!$B$6:$B$21,F528)&gt;0),1,0)</f>
        <v/>
      </c>
      <c r="K528">
        <f>IF(I528=1,H528*10000+ROW(),"")</f>
        <v/>
      </c>
    </row>
    <row r="529">
      <c r="A529" s="1" t="n"/>
      <c r="B529" s="21" t="n"/>
      <c r="C529" s="23" t="n"/>
      <c r="D529" s="22" t="n"/>
      <c r="E529" s="24" t="n"/>
      <c r="F529" s="25" t="n"/>
      <c r="G529" s="18">
        <f>IF(AND(C529="",D529=""),"",IF(NOT(ISNUMBER(B529)),"Needs a date",IF(NOT(ISNUMBER(D529)),"Needs the amount",IF(C529="","Needs an envelope",IF(COUNTIF(Envelopes!$B$6:$B$21,C529)=0,"Not on Envelopes",IF(F529="",IF(D529=0,"Needs the amount",""),IF(COUNTIF(Envelopes!$B$6:$B$21,F529)=0,"Moved to: not on Envelopes",IF(D529&lt;=0,"A move needs an amount",IF(F529=C529,"Moved to the same envelope","")))))))))</f>
        <v/>
      </c>
      <c r="H529" s="1">
        <f>IF(ISNUMBER(B529),INT(B529),0)</f>
        <v/>
      </c>
      <c r="I529">
        <f>IF(AND(H529&gt;0,ISNUMBER(D529),COUNTIF(Envelopes!$B$6:$B$21,C529)&gt;0,F529=""),1,0)</f>
        <v/>
      </c>
      <c r="J529">
        <f>IF(AND(H529&gt;0,ISNUMBER(D529),COUNTIF(Envelopes!$B$6:$B$21,C529)&gt;0,F529&lt;&gt;"",COUNTIF(Envelopes!$B$6:$B$21,F529)&gt;0),1,0)</f>
        <v/>
      </c>
      <c r="K529">
        <f>IF(I529=1,H529*10000+ROW(),"")</f>
        <v/>
      </c>
    </row>
    <row r="530">
      <c r="A530" s="1" t="n"/>
      <c r="B530" s="21" t="n"/>
      <c r="C530" s="23" t="n"/>
      <c r="D530" s="22" t="n"/>
      <c r="E530" s="24" t="n"/>
      <c r="F530" s="25" t="n"/>
      <c r="G530" s="18">
        <f>IF(AND(C530="",D530=""),"",IF(NOT(ISNUMBER(B530)),"Needs a date",IF(NOT(ISNUMBER(D530)),"Needs the amount",IF(C530="","Needs an envelope",IF(COUNTIF(Envelopes!$B$6:$B$21,C530)=0,"Not on Envelopes",IF(F530="",IF(D530=0,"Needs the amount",""),IF(COUNTIF(Envelopes!$B$6:$B$21,F530)=0,"Moved to: not on Envelopes",IF(D530&lt;=0,"A move needs an amount",IF(F530=C530,"Moved to the same envelope","")))))))))</f>
        <v/>
      </c>
      <c r="H530" s="1">
        <f>IF(ISNUMBER(B530),INT(B530),0)</f>
        <v/>
      </c>
      <c r="I530">
        <f>IF(AND(H530&gt;0,ISNUMBER(D530),COUNTIF(Envelopes!$B$6:$B$21,C530)&gt;0,F530=""),1,0)</f>
        <v/>
      </c>
      <c r="J530">
        <f>IF(AND(H530&gt;0,ISNUMBER(D530),COUNTIF(Envelopes!$B$6:$B$21,C530)&gt;0,F530&lt;&gt;"",COUNTIF(Envelopes!$B$6:$B$21,F530)&gt;0),1,0)</f>
        <v/>
      </c>
      <c r="K530">
        <f>IF(I530=1,H530*10000+ROW(),"")</f>
        <v/>
      </c>
    </row>
    <row r="531">
      <c r="A531" s="1" t="n"/>
      <c r="B531" s="21" t="n"/>
      <c r="C531" s="23" t="n"/>
      <c r="D531" s="22" t="n"/>
      <c r="E531" s="24" t="n"/>
      <c r="F531" s="25" t="n"/>
      <c r="G531" s="18">
        <f>IF(AND(C531="",D531=""),"",IF(NOT(ISNUMBER(B531)),"Needs a date",IF(NOT(ISNUMBER(D531)),"Needs the amount",IF(C531="","Needs an envelope",IF(COUNTIF(Envelopes!$B$6:$B$21,C531)=0,"Not on Envelopes",IF(F531="",IF(D531=0,"Needs the amount",""),IF(COUNTIF(Envelopes!$B$6:$B$21,F531)=0,"Moved to: not on Envelopes",IF(D531&lt;=0,"A move needs an amount",IF(F531=C531,"Moved to the same envelope","")))))))))</f>
        <v/>
      </c>
      <c r="H531" s="1">
        <f>IF(ISNUMBER(B531),INT(B531),0)</f>
        <v/>
      </c>
      <c r="I531">
        <f>IF(AND(H531&gt;0,ISNUMBER(D531),COUNTIF(Envelopes!$B$6:$B$21,C531)&gt;0,F531=""),1,0)</f>
        <v/>
      </c>
      <c r="J531">
        <f>IF(AND(H531&gt;0,ISNUMBER(D531),COUNTIF(Envelopes!$B$6:$B$21,C531)&gt;0,F531&lt;&gt;"",COUNTIF(Envelopes!$B$6:$B$21,F531)&gt;0),1,0)</f>
        <v/>
      </c>
      <c r="K531">
        <f>IF(I531=1,H531*10000+ROW(),"")</f>
        <v/>
      </c>
    </row>
    <row r="532">
      <c r="A532" s="1" t="n"/>
      <c r="B532" s="21" t="n"/>
      <c r="C532" s="23" t="n"/>
      <c r="D532" s="22" t="n"/>
      <c r="E532" s="24" t="n"/>
      <c r="F532" s="25" t="n"/>
      <c r="G532" s="18">
        <f>IF(AND(C532="",D532=""),"",IF(NOT(ISNUMBER(B532)),"Needs a date",IF(NOT(ISNUMBER(D532)),"Needs the amount",IF(C532="","Needs an envelope",IF(COUNTIF(Envelopes!$B$6:$B$21,C532)=0,"Not on Envelopes",IF(F532="",IF(D532=0,"Needs the amount",""),IF(COUNTIF(Envelopes!$B$6:$B$21,F532)=0,"Moved to: not on Envelopes",IF(D532&lt;=0,"A move needs an amount",IF(F532=C532,"Moved to the same envelope","")))))))))</f>
        <v/>
      </c>
      <c r="H532" s="1">
        <f>IF(ISNUMBER(B532),INT(B532),0)</f>
        <v/>
      </c>
      <c r="I532">
        <f>IF(AND(H532&gt;0,ISNUMBER(D532),COUNTIF(Envelopes!$B$6:$B$21,C532)&gt;0,F532=""),1,0)</f>
        <v/>
      </c>
      <c r="J532">
        <f>IF(AND(H532&gt;0,ISNUMBER(D532),COUNTIF(Envelopes!$B$6:$B$21,C532)&gt;0,F532&lt;&gt;"",COUNTIF(Envelopes!$B$6:$B$21,F532)&gt;0),1,0)</f>
        <v/>
      </c>
      <c r="K532">
        <f>IF(I532=1,H532*10000+ROW(),"")</f>
        <v/>
      </c>
    </row>
    <row r="533">
      <c r="A533" s="1" t="n"/>
      <c r="B533" s="21" t="n"/>
      <c r="C533" s="23" t="n"/>
      <c r="D533" s="22" t="n"/>
      <c r="E533" s="24" t="n"/>
      <c r="F533" s="25" t="n"/>
      <c r="G533" s="18">
        <f>IF(AND(C533="",D533=""),"",IF(NOT(ISNUMBER(B533)),"Needs a date",IF(NOT(ISNUMBER(D533)),"Needs the amount",IF(C533="","Needs an envelope",IF(COUNTIF(Envelopes!$B$6:$B$21,C533)=0,"Not on Envelopes",IF(F533="",IF(D533=0,"Needs the amount",""),IF(COUNTIF(Envelopes!$B$6:$B$21,F533)=0,"Moved to: not on Envelopes",IF(D533&lt;=0,"A move needs an amount",IF(F533=C533,"Moved to the same envelope","")))))))))</f>
        <v/>
      </c>
      <c r="H533" s="1">
        <f>IF(ISNUMBER(B533),INT(B533),0)</f>
        <v/>
      </c>
      <c r="I533">
        <f>IF(AND(H533&gt;0,ISNUMBER(D533),COUNTIF(Envelopes!$B$6:$B$21,C533)&gt;0,F533=""),1,0)</f>
        <v/>
      </c>
      <c r="J533">
        <f>IF(AND(H533&gt;0,ISNUMBER(D533),COUNTIF(Envelopes!$B$6:$B$21,C533)&gt;0,F533&lt;&gt;"",COUNTIF(Envelopes!$B$6:$B$21,F533)&gt;0),1,0)</f>
        <v/>
      </c>
      <c r="K533">
        <f>IF(I533=1,H533*10000+ROW(),"")</f>
        <v/>
      </c>
    </row>
    <row r="534">
      <c r="A534" s="1" t="n"/>
      <c r="B534" s="21" t="n"/>
      <c r="C534" s="23" t="n"/>
      <c r="D534" s="22" t="n"/>
      <c r="E534" s="24" t="n"/>
      <c r="F534" s="25" t="n"/>
      <c r="G534" s="18">
        <f>IF(AND(C534="",D534=""),"",IF(NOT(ISNUMBER(B534)),"Needs a date",IF(NOT(ISNUMBER(D534)),"Needs the amount",IF(C534="","Needs an envelope",IF(COUNTIF(Envelopes!$B$6:$B$21,C534)=0,"Not on Envelopes",IF(F534="",IF(D534=0,"Needs the amount",""),IF(COUNTIF(Envelopes!$B$6:$B$21,F534)=0,"Moved to: not on Envelopes",IF(D534&lt;=0,"A move needs an amount",IF(F534=C534,"Moved to the same envelope","")))))))))</f>
        <v/>
      </c>
      <c r="H534" s="1">
        <f>IF(ISNUMBER(B534),INT(B534),0)</f>
        <v/>
      </c>
      <c r="I534">
        <f>IF(AND(H534&gt;0,ISNUMBER(D534),COUNTIF(Envelopes!$B$6:$B$21,C534)&gt;0,F534=""),1,0)</f>
        <v/>
      </c>
      <c r="J534">
        <f>IF(AND(H534&gt;0,ISNUMBER(D534),COUNTIF(Envelopes!$B$6:$B$21,C534)&gt;0,F534&lt;&gt;"",COUNTIF(Envelopes!$B$6:$B$21,F534)&gt;0),1,0)</f>
        <v/>
      </c>
      <c r="K534">
        <f>IF(I534=1,H534*10000+ROW(),"")</f>
        <v/>
      </c>
    </row>
    <row r="535">
      <c r="A535" s="1" t="n"/>
      <c r="B535" s="21" t="n"/>
      <c r="C535" s="23" t="n"/>
      <c r="D535" s="22" t="n"/>
      <c r="E535" s="24" t="n"/>
      <c r="F535" s="25" t="n"/>
      <c r="G535" s="18">
        <f>IF(AND(C535="",D535=""),"",IF(NOT(ISNUMBER(B535)),"Needs a date",IF(NOT(ISNUMBER(D535)),"Needs the amount",IF(C535="","Needs an envelope",IF(COUNTIF(Envelopes!$B$6:$B$21,C535)=0,"Not on Envelopes",IF(F535="",IF(D535=0,"Needs the amount",""),IF(COUNTIF(Envelopes!$B$6:$B$21,F535)=0,"Moved to: not on Envelopes",IF(D535&lt;=0,"A move needs an amount",IF(F535=C535,"Moved to the same envelope","")))))))))</f>
        <v/>
      </c>
      <c r="H535" s="1">
        <f>IF(ISNUMBER(B535),INT(B535),0)</f>
        <v/>
      </c>
      <c r="I535">
        <f>IF(AND(H535&gt;0,ISNUMBER(D535),COUNTIF(Envelopes!$B$6:$B$21,C535)&gt;0,F535=""),1,0)</f>
        <v/>
      </c>
      <c r="J535">
        <f>IF(AND(H535&gt;0,ISNUMBER(D535),COUNTIF(Envelopes!$B$6:$B$21,C535)&gt;0,F535&lt;&gt;"",COUNTIF(Envelopes!$B$6:$B$21,F535)&gt;0),1,0)</f>
        <v/>
      </c>
      <c r="K535">
        <f>IF(I535=1,H535*10000+ROW(),"")</f>
        <v/>
      </c>
    </row>
    <row r="536">
      <c r="A536" s="1" t="n"/>
      <c r="B536" s="21" t="n"/>
      <c r="C536" s="23" t="n"/>
      <c r="D536" s="22" t="n"/>
      <c r="E536" s="24" t="n"/>
      <c r="F536" s="25" t="n"/>
      <c r="G536" s="18">
        <f>IF(AND(C536="",D536=""),"",IF(NOT(ISNUMBER(B536)),"Needs a date",IF(NOT(ISNUMBER(D536)),"Needs the amount",IF(C536="","Needs an envelope",IF(COUNTIF(Envelopes!$B$6:$B$21,C536)=0,"Not on Envelopes",IF(F536="",IF(D536=0,"Needs the amount",""),IF(COUNTIF(Envelopes!$B$6:$B$21,F536)=0,"Moved to: not on Envelopes",IF(D536&lt;=0,"A move needs an amount",IF(F536=C536,"Moved to the same envelope","")))))))))</f>
        <v/>
      </c>
      <c r="H536" s="1">
        <f>IF(ISNUMBER(B536),INT(B536),0)</f>
        <v/>
      </c>
      <c r="I536">
        <f>IF(AND(H536&gt;0,ISNUMBER(D536),COUNTIF(Envelopes!$B$6:$B$21,C536)&gt;0,F536=""),1,0)</f>
        <v/>
      </c>
      <c r="J536">
        <f>IF(AND(H536&gt;0,ISNUMBER(D536),COUNTIF(Envelopes!$B$6:$B$21,C536)&gt;0,F536&lt;&gt;"",COUNTIF(Envelopes!$B$6:$B$21,F536)&gt;0),1,0)</f>
        <v/>
      </c>
      <c r="K536">
        <f>IF(I536=1,H536*10000+ROW(),"")</f>
        <v/>
      </c>
    </row>
    <row r="537">
      <c r="A537" s="1" t="n"/>
      <c r="B537" s="21" t="n"/>
      <c r="C537" s="23" t="n"/>
      <c r="D537" s="22" t="n"/>
      <c r="E537" s="24" t="n"/>
      <c r="F537" s="25" t="n"/>
      <c r="G537" s="18">
        <f>IF(AND(C537="",D537=""),"",IF(NOT(ISNUMBER(B537)),"Needs a date",IF(NOT(ISNUMBER(D537)),"Needs the amount",IF(C537="","Needs an envelope",IF(COUNTIF(Envelopes!$B$6:$B$21,C537)=0,"Not on Envelopes",IF(F537="",IF(D537=0,"Needs the amount",""),IF(COUNTIF(Envelopes!$B$6:$B$21,F537)=0,"Moved to: not on Envelopes",IF(D537&lt;=0,"A move needs an amount",IF(F537=C537,"Moved to the same envelope","")))))))))</f>
        <v/>
      </c>
      <c r="H537" s="1">
        <f>IF(ISNUMBER(B537),INT(B537),0)</f>
        <v/>
      </c>
      <c r="I537">
        <f>IF(AND(H537&gt;0,ISNUMBER(D537),COUNTIF(Envelopes!$B$6:$B$21,C537)&gt;0,F537=""),1,0)</f>
        <v/>
      </c>
      <c r="J537">
        <f>IF(AND(H537&gt;0,ISNUMBER(D537),COUNTIF(Envelopes!$B$6:$B$21,C537)&gt;0,F537&lt;&gt;"",COUNTIF(Envelopes!$B$6:$B$21,F537)&gt;0),1,0)</f>
        <v/>
      </c>
      <c r="K537">
        <f>IF(I537=1,H537*10000+ROW(),"")</f>
        <v/>
      </c>
    </row>
    <row r="538">
      <c r="A538" s="1" t="n"/>
      <c r="B538" s="21" t="n"/>
      <c r="C538" s="23" t="n"/>
      <c r="D538" s="22" t="n"/>
      <c r="E538" s="24" t="n"/>
      <c r="F538" s="25" t="n"/>
      <c r="G538" s="18">
        <f>IF(AND(C538="",D538=""),"",IF(NOT(ISNUMBER(B538)),"Needs a date",IF(NOT(ISNUMBER(D538)),"Needs the amount",IF(C538="","Needs an envelope",IF(COUNTIF(Envelopes!$B$6:$B$21,C538)=0,"Not on Envelopes",IF(F538="",IF(D538=0,"Needs the amount",""),IF(COUNTIF(Envelopes!$B$6:$B$21,F538)=0,"Moved to: not on Envelopes",IF(D538&lt;=0,"A move needs an amount",IF(F538=C538,"Moved to the same envelope","")))))))))</f>
        <v/>
      </c>
      <c r="H538" s="1">
        <f>IF(ISNUMBER(B538),INT(B538),0)</f>
        <v/>
      </c>
      <c r="I538">
        <f>IF(AND(H538&gt;0,ISNUMBER(D538),COUNTIF(Envelopes!$B$6:$B$21,C538)&gt;0,F538=""),1,0)</f>
        <v/>
      </c>
      <c r="J538">
        <f>IF(AND(H538&gt;0,ISNUMBER(D538),COUNTIF(Envelopes!$B$6:$B$21,C538)&gt;0,F538&lt;&gt;"",COUNTIF(Envelopes!$B$6:$B$21,F538)&gt;0),1,0)</f>
        <v/>
      </c>
      <c r="K538">
        <f>IF(I538=1,H538*10000+ROW(),"")</f>
        <v/>
      </c>
    </row>
    <row r="539">
      <c r="A539" s="1" t="n"/>
      <c r="B539" s="21" t="n"/>
      <c r="C539" s="23" t="n"/>
      <c r="D539" s="22" t="n"/>
      <c r="E539" s="24" t="n"/>
      <c r="F539" s="25" t="n"/>
      <c r="G539" s="18">
        <f>IF(AND(C539="",D539=""),"",IF(NOT(ISNUMBER(B539)),"Needs a date",IF(NOT(ISNUMBER(D539)),"Needs the amount",IF(C539="","Needs an envelope",IF(COUNTIF(Envelopes!$B$6:$B$21,C539)=0,"Not on Envelopes",IF(F539="",IF(D539=0,"Needs the amount",""),IF(COUNTIF(Envelopes!$B$6:$B$21,F539)=0,"Moved to: not on Envelopes",IF(D539&lt;=0,"A move needs an amount",IF(F539=C539,"Moved to the same envelope","")))))))))</f>
        <v/>
      </c>
      <c r="H539" s="1">
        <f>IF(ISNUMBER(B539),INT(B539),0)</f>
        <v/>
      </c>
      <c r="I539">
        <f>IF(AND(H539&gt;0,ISNUMBER(D539),COUNTIF(Envelopes!$B$6:$B$21,C539)&gt;0,F539=""),1,0)</f>
        <v/>
      </c>
      <c r="J539">
        <f>IF(AND(H539&gt;0,ISNUMBER(D539),COUNTIF(Envelopes!$B$6:$B$21,C539)&gt;0,F539&lt;&gt;"",COUNTIF(Envelopes!$B$6:$B$21,F539)&gt;0),1,0)</f>
        <v/>
      </c>
      <c r="K539">
        <f>IF(I539=1,H539*10000+ROW(),"")</f>
        <v/>
      </c>
    </row>
    <row r="540">
      <c r="A540" s="1" t="n"/>
      <c r="B540" s="21" t="n"/>
      <c r="C540" s="23" t="n"/>
      <c r="D540" s="22" t="n"/>
      <c r="E540" s="24" t="n"/>
      <c r="F540" s="25" t="n"/>
      <c r="G540" s="18">
        <f>IF(AND(C540="",D540=""),"",IF(NOT(ISNUMBER(B540)),"Needs a date",IF(NOT(ISNUMBER(D540)),"Needs the amount",IF(C540="","Needs an envelope",IF(COUNTIF(Envelopes!$B$6:$B$21,C540)=0,"Not on Envelopes",IF(F540="",IF(D540=0,"Needs the amount",""),IF(COUNTIF(Envelopes!$B$6:$B$21,F540)=0,"Moved to: not on Envelopes",IF(D540&lt;=0,"A move needs an amount",IF(F540=C540,"Moved to the same envelope","")))))))))</f>
        <v/>
      </c>
      <c r="H540" s="1">
        <f>IF(ISNUMBER(B540),INT(B540),0)</f>
        <v/>
      </c>
      <c r="I540">
        <f>IF(AND(H540&gt;0,ISNUMBER(D540),COUNTIF(Envelopes!$B$6:$B$21,C540)&gt;0,F540=""),1,0)</f>
        <v/>
      </c>
      <c r="J540">
        <f>IF(AND(H540&gt;0,ISNUMBER(D540),COUNTIF(Envelopes!$B$6:$B$21,C540)&gt;0,F540&lt;&gt;"",COUNTIF(Envelopes!$B$6:$B$21,F540)&gt;0),1,0)</f>
        <v/>
      </c>
      <c r="K540">
        <f>IF(I540=1,H540*10000+ROW(),"")</f>
        <v/>
      </c>
    </row>
    <row r="541">
      <c r="A541" s="1" t="n"/>
      <c r="B541" s="21" t="n"/>
      <c r="C541" s="23" t="n"/>
      <c r="D541" s="22" t="n"/>
      <c r="E541" s="24" t="n"/>
      <c r="F541" s="25" t="n"/>
      <c r="G541" s="18">
        <f>IF(AND(C541="",D541=""),"",IF(NOT(ISNUMBER(B541)),"Needs a date",IF(NOT(ISNUMBER(D541)),"Needs the amount",IF(C541="","Needs an envelope",IF(COUNTIF(Envelopes!$B$6:$B$21,C541)=0,"Not on Envelopes",IF(F541="",IF(D541=0,"Needs the amount",""),IF(COUNTIF(Envelopes!$B$6:$B$21,F541)=0,"Moved to: not on Envelopes",IF(D541&lt;=0,"A move needs an amount",IF(F541=C541,"Moved to the same envelope","")))))))))</f>
        <v/>
      </c>
      <c r="H541" s="1">
        <f>IF(ISNUMBER(B541),INT(B541),0)</f>
        <v/>
      </c>
      <c r="I541">
        <f>IF(AND(H541&gt;0,ISNUMBER(D541),COUNTIF(Envelopes!$B$6:$B$21,C541)&gt;0,F541=""),1,0)</f>
        <v/>
      </c>
      <c r="J541">
        <f>IF(AND(H541&gt;0,ISNUMBER(D541),COUNTIF(Envelopes!$B$6:$B$21,C541)&gt;0,F541&lt;&gt;"",COUNTIF(Envelopes!$B$6:$B$21,F541)&gt;0),1,0)</f>
        <v/>
      </c>
      <c r="K541">
        <f>IF(I541=1,H541*10000+ROW(),"")</f>
        <v/>
      </c>
    </row>
    <row r="542">
      <c r="A542" s="1" t="n"/>
      <c r="B542" s="21" t="n"/>
      <c r="C542" s="23" t="n"/>
      <c r="D542" s="22" t="n"/>
      <c r="E542" s="24" t="n"/>
      <c r="F542" s="25" t="n"/>
      <c r="G542" s="18">
        <f>IF(AND(C542="",D542=""),"",IF(NOT(ISNUMBER(B542)),"Needs a date",IF(NOT(ISNUMBER(D542)),"Needs the amount",IF(C542="","Needs an envelope",IF(COUNTIF(Envelopes!$B$6:$B$21,C542)=0,"Not on Envelopes",IF(F542="",IF(D542=0,"Needs the amount",""),IF(COUNTIF(Envelopes!$B$6:$B$21,F542)=0,"Moved to: not on Envelopes",IF(D542&lt;=0,"A move needs an amount",IF(F542=C542,"Moved to the same envelope","")))))))))</f>
        <v/>
      </c>
      <c r="H542" s="1">
        <f>IF(ISNUMBER(B542),INT(B542),0)</f>
        <v/>
      </c>
      <c r="I542">
        <f>IF(AND(H542&gt;0,ISNUMBER(D542),COUNTIF(Envelopes!$B$6:$B$21,C542)&gt;0,F542=""),1,0)</f>
        <v/>
      </c>
      <c r="J542">
        <f>IF(AND(H542&gt;0,ISNUMBER(D542),COUNTIF(Envelopes!$B$6:$B$21,C542)&gt;0,F542&lt;&gt;"",COUNTIF(Envelopes!$B$6:$B$21,F542)&gt;0),1,0)</f>
        <v/>
      </c>
      <c r="K542">
        <f>IF(I542=1,H542*10000+ROW(),"")</f>
        <v/>
      </c>
    </row>
    <row r="543">
      <c r="A543" s="1" t="n"/>
      <c r="B543" s="21" t="n"/>
      <c r="C543" s="23" t="n"/>
      <c r="D543" s="22" t="n"/>
      <c r="E543" s="24" t="n"/>
      <c r="F543" s="25" t="n"/>
      <c r="G543" s="18">
        <f>IF(AND(C543="",D543=""),"",IF(NOT(ISNUMBER(B543)),"Needs a date",IF(NOT(ISNUMBER(D543)),"Needs the amount",IF(C543="","Needs an envelope",IF(COUNTIF(Envelopes!$B$6:$B$21,C543)=0,"Not on Envelopes",IF(F543="",IF(D543=0,"Needs the amount",""),IF(COUNTIF(Envelopes!$B$6:$B$21,F543)=0,"Moved to: not on Envelopes",IF(D543&lt;=0,"A move needs an amount",IF(F543=C543,"Moved to the same envelope","")))))))))</f>
        <v/>
      </c>
      <c r="H543" s="1">
        <f>IF(ISNUMBER(B543),INT(B543),0)</f>
        <v/>
      </c>
      <c r="I543">
        <f>IF(AND(H543&gt;0,ISNUMBER(D543),COUNTIF(Envelopes!$B$6:$B$21,C543)&gt;0,F543=""),1,0)</f>
        <v/>
      </c>
      <c r="J543">
        <f>IF(AND(H543&gt;0,ISNUMBER(D543),COUNTIF(Envelopes!$B$6:$B$21,C543)&gt;0,F543&lt;&gt;"",COUNTIF(Envelopes!$B$6:$B$21,F543)&gt;0),1,0)</f>
        <v/>
      </c>
      <c r="K543">
        <f>IF(I543=1,H543*10000+ROW(),"")</f>
        <v/>
      </c>
    </row>
    <row r="544">
      <c r="A544" s="1" t="n"/>
      <c r="B544" s="21" t="n"/>
      <c r="C544" s="23" t="n"/>
      <c r="D544" s="22" t="n"/>
      <c r="E544" s="24" t="n"/>
      <c r="F544" s="25" t="n"/>
      <c r="G544" s="18">
        <f>IF(AND(C544="",D544=""),"",IF(NOT(ISNUMBER(B544)),"Needs a date",IF(NOT(ISNUMBER(D544)),"Needs the amount",IF(C544="","Needs an envelope",IF(COUNTIF(Envelopes!$B$6:$B$21,C544)=0,"Not on Envelopes",IF(F544="",IF(D544=0,"Needs the amount",""),IF(COUNTIF(Envelopes!$B$6:$B$21,F544)=0,"Moved to: not on Envelopes",IF(D544&lt;=0,"A move needs an amount",IF(F544=C544,"Moved to the same envelope","")))))))))</f>
        <v/>
      </c>
      <c r="H544" s="1">
        <f>IF(ISNUMBER(B544),INT(B544),0)</f>
        <v/>
      </c>
      <c r="I544">
        <f>IF(AND(H544&gt;0,ISNUMBER(D544),COUNTIF(Envelopes!$B$6:$B$21,C544)&gt;0,F544=""),1,0)</f>
        <v/>
      </c>
      <c r="J544">
        <f>IF(AND(H544&gt;0,ISNUMBER(D544),COUNTIF(Envelopes!$B$6:$B$21,C544)&gt;0,F544&lt;&gt;"",COUNTIF(Envelopes!$B$6:$B$21,F544)&gt;0),1,0)</f>
        <v/>
      </c>
      <c r="K544">
        <f>IF(I544=1,H544*10000+ROW(),"")</f>
        <v/>
      </c>
    </row>
    <row r="545">
      <c r="A545" s="1" t="n"/>
      <c r="B545" s="21" t="n"/>
      <c r="C545" s="23" t="n"/>
      <c r="D545" s="22" t="n"/>
      <c r="E545" s="24" t="n"/>
      <c r="F545" s="25" t="n"/>
      <c r="G545" s="18">
        <f>IF(AND(C545="",D545=""),"",IF(NOT(ISNUMBER(B545)),"Needs a date",IF(NOT(ISNUMBER(D545)),"Needs the amount",IF(C545="","Needs an envelope",IF(COUNTIF(Envelopes!$B$6:$B$21,C545)=0,"Not on Envelopes",IF(F545="",IF(D545=0,"Needs the amount",""),IF(COUNTIF(Envelopes!$B$6:$B$21,F545)=0,"Moved to: not on Envelopes",IF(D545&lt;=0,"A move needs an amount",IF(F545=C545,"Moved to the same envelope","")))))))))</f>
        <v/>
      </c>
      <c r="H545" s="1">
        <f>IF(ISNUMBER(B545),INT(B545),0)</f>
        <v/>
      </c>
      <c r="I545">
        <f>IF(AND(H545&gt;0,ISNUMBER(D545),COUNTIF(Envelopes!$B$6:$B$21,C545)&gt;0,F545=""),1,0)</f>
        <v/>
      </c>
      <c r="J545">
        <f>IF(AND(H545&gt;0,ISNUMBER(D545),COUNTIF(Envelopes!$B$6:$B$21,C545)&gt;0,F545&lt;&gt;"",COUNTIF(Envelopes!$B$6:$B$21,F545)&gt;0),1,0)</f>
        <v/>
      </c>
      <c r="K545">
        <f>IF(I545=1,H545*10000+ROW(),"")</f>
        <v/>
      </c>
    </row>
    <row r="546">
      <c r="A546" s="1" t="n"/>
      <c r="B546" s="21" t="n"/>
      <c r="C546" s="23" t="n"/>
      <c r="D546" s="22" t="n"/>
      <c r="E546" s="24" t="n"/>
      <c r="F546" s="25" t="n"/>
      <c r="G546" s="18">
        <f>IF(AND(C546="",D546=""),"",IF(NOT(ISNUMBER(B546)),"Needs a date",IF(NOT(ISNUMBER(D546)),"Needs the amount",IF(C546="","Needs an envelope",IF(COUNTIF(Envelopes!$B$6:$B$21,C546)=0,"Not on Envelopes",IF(F546="",IF(D546=0,"Needs the amount",""),IF(COUNTIF(Envelopes!$B$6:$B$21,F546)=0,"Moved to: not on Envelopes",IF(D546&lt;=0,"A move needs an amount",IF(F546=C546,"Moved to the same envelope","")))))))))</f>
        <v/>
      </c>
      <c r="H546" s="1">
        <f>IF(ISNUMBER(B546),INT(B546),0)</f>
        <v/>
      </c>
      <c r="I546">
        <f>IF(AND(H546&gt;0,ISNUMBER(D546),COUNTIF(Envelopes!$B$6:$B$21,C546)&gt;0,F546=""),1,0)</f>
        <v/>
      </c>
      <c r="J546">
        <f>IF(AND(H546&gt;0,ISNUMBER(D546),COUNTIF(Envelopes!$B$6:$B$21,C546)&gt;0,F546&lt;&gt;"",COUNTIF(Envelopes!$B$6:$B$21,F546)&gt;0),1,0)</f>
        <v/>
      </c>
      <c r="K546">
        <f>IF(I546=1,H546*10000+ROW(),"")</f>
        <v/>
      </c>
    </row>
    <row r="547">
      <c r="A547" s="1" t="n"/>
      <c r="B547" s="21" t="n"/>
      <c r="C547" s="23" t="n"/>
      <c r="D547" s="22" t="n"/>
      <c r="E547" s="24" t="n"/>
      <c r="F547" s="25" t="n"/>
      <c r="G547" s="18">
        <f>IF(AND(C547="",D547=""),"",IF(NOT(ISNUMBER(B547)),"Needs a date",IF(NOT(ISNUMBER(D547)),"Needs the amount",IF(C547="","Needs an envelope",IF(COUNTIF(Envelopes!$B$6:$B$21,C547)=0,"Not on Envelopes",IF(F547="",IF(D547=0,"Needs the amount",""),IF(COUNTIF(Envelopes!$B$6:$B$21,F547)=0,"Moved to: not on Envelopes",IF(D547&lt;=0,"A move needs an amount",IF(F547=C547,"Moved to the same envelope","")))))))))</f>
        <v/>
      </c>
      <c r="H547" s="1">
        <f>IF(ISNUMBER(B547),INT(B547),0)</f>
        <v/>
      </c>
      <c r="I547">
        <f>IF(AND(H547&gt;0,ISNUMBER(D547),COUNTIF(Envelopes!$B$6:$B$21,C547)&gt;0,F547=""),1,0)</f>
        <v/>
      </c>
      <c r="J547">
        <f>IF(AND(H547&gt;0,ISNUMBER(D547),COUNTIF(Envelopes!$B$6:$B$21,C547)&gt;0,F547&lt;&gt;"",COUNTIF(Envelopes!$B$6:$B$21,F547)&gt;0),1,0)</f>
        <v/>
      </c>
      <c r="K547">
        <f>IF(I547=1,H547*10000+ROW(),"")</f>
        <v/>
      </c>
    </row>
    <row r="548">
      <c r="A548" s="1" t="n"/>
      <c r="B548" s="21" t="n"/>
      <c r="C548" s="23" t="n"/>
      <c r="D548" s="22" t="n"/>
      <c r="E548" s="24" t="n"/>
      <c r="F548" s="25" t="n"/>
      <c r="G548" s="18">
        <f>IF(AND(C548="",D548=""),"",IF(NOT(ISNUMBER(B548)),"Needs a date",IF(NOT(ISNUMBER(D548)),"Needs the amount",IF(C548="","Needs an envelope",IF(COUNTIF(Envelopes!$B$6:$B$21,C548)=0,"Not on Envelopes",IF(F548="",IF(D548=0,"Needs the amount",""),IF(COUNTIF(Envelopes!$B$6:$B$21,F548)=0,"Moved to: not on Envelopes",IF(D548&lt;=0,"A move needs an amount",IF(F548=C548,"Moved to the same envelope","")))))))))</f>
        <v/>
      </c>
      <c r="H548" s="1">
        <f>IF(ISNUMBER(B548),INT(B548),0)</f>
        <v/>
      </c>
      <c r="I548">
        <f>IF(AND(H548&gt;0,ISNUMBER(D548),COUNTIF(Envelopes!$B$6:$B$21,C548)&gt;0,F548=""),1,0)</f>
        <v/>
      </c>
      <c r="J548">
        <f>IF(AND(H548&gt;0,ISNUMBER(D548),COUNTIF(Envelopes!$B$6:$B$21,C548)&gt;0,F548&lt;&gt;"",COUNTIF(Envelopes!$B$6:$B$21,F548)&gt;0),1,0)</f>
        <v/>
      </c>
      <c r="K548">
        <f>IF(I548=1,H548*10000+ROW(),"")</f>
        <v/>
      </c>
    </row>
    <row r="549">
      <c r="A549" s="1" t="n"/>
      <c r="B549" s="21" t="n"/>
      <c r="C549" s="23" t="n"/>
      <c r="D549" s="22" t="n"/>
      <c r="E549" s="24" t="n"/>
      <c r="F549" s="25" t="n"/>
      <c r="G549" s="18">
        <f>IF(AND(C549="",D549=""),"",IF(NOT(ISNUMBER(B549)),"Needs a date",IF(NOT(ISNUMBER(D549)),"Needs the amount",IF(C549="","Needs an envelope",IF(COUNTIF(Envelopes!$B$6:$B$21,C549)=0,"Not on Envelopes",IF(F549="",IF(D549=0,"Needs the amount",""),IF(COUNTIF(Envelopes!$B$6:$B$21,F549)=0,"Moved to: not on Envelopes",IF(D549&lt;=0,"A move needs an amount",IF(F549=C549,"Moved to the same envelope","")))))))))</f>
        <v/>
      </c>
      <c r="H549" s="1">
        <f>IF(ISNUMBER(B549),INT(B549),0)</f>
        <v/>
      </c>
      <c r="I549">
        <f>IF(AND(H549&gt;0,ISNUMBER(D549),COUNTIF(Envelopes!$B$6:$B$21,C549)&gt;0,F549=""),1,0)</f>
        <v/>
      </c>
      <c r="J549">
        <f>IF(AND(H549&gt;0,ISNUMBER(D549),COUNTIF(Envelopes!$B$6:$B$21,C549)&gt;0,F549&lt;&gt;"",COUNTIF(Envelopes!$B$6:$B$21,F549)&gt;0),1,0)</f>
        <v/>
      </c>
      <c r="K549">
        <f>IF(I549=1,H549*10000+ROW(),"")</f>
        <v/>
      </c>
    </row>
    <row r="550">
      <c r="A550" s="1" t="n"/>
      <c r="B550" s="21" t="n"/>
      <c r="C550" s="23" t="n"/>
      <c r="D550" s="22" t="n"/>
      <c r="E550" s="24" t="n"/>
      <c r="F550" s="25" t="n"/>
      <c r="G550" s="18">
        <f>IF(AND(C550="",D550=""),"",IF(NOT(ISNUMBER(B550)),"Needs a date",IF(NOT(ISNUMBER(D550)),"Needs the amount",IF(C550="","Needs an envelope",IF(COUNTIF(Envelopes!$B$6:$B$21,C550)=0,"Not on Envelopes",IF(F550="",IF(D550=0,"Needs the amount",""),IF(COUNTIF(Envelopes!$B$6:$B$21,F550)=0,"Moved to: not on Envelopes",IF(D550&lt;=0,"A move needs an amount",IF(F550=C550,"Moved to the same envelope","")))))))))</f>
        <v/>
      </c>
      <c r="H550" s="1">
        <f>IF(ISNUMBER(B550),INT(B550),0)</f>
        <v/>
      </c>
      <c r="I550">
        <f>IF(AND(H550&gt;0,ISNUMBER(D550),COUNTIF(Envelopes!$B$6:$B$21,C550)&gt;0,F550=""),1,0)</f>
        <v/>
      </c>
      <c r="J550">
        <f>IF(AND(H550&gt;0,ISNUMBER(D550),COUNTIF(Envelopes!$B$6:$B$21,C550)&gt;0,F550&lt;&gt;"",COUNTIF(Envelopes!$B$6:$B$21,F550)&gt;0),1,0)</f>
        <v/>
      </c>
      <c r="K550">
        <f>IF(I550=1,H550*10000+ROW(),"")</f>
        <v/>
      </c>
    </row>
    <row r="551">
      <c r="A551" s="1" t="n"/>
      <c r="B551" s="21" t="n"/>
      <c r="C551" s="23" t="n"/>
      <c r="D551" s="22" t="n"/>
      <c r="E551" s="24" t="n"/>
      <c r="F551" s="25" t="n"/>
      <c r="G551" s="18">
        <f>IF(AND(C551="",D551=""),"",IF(NOT(ISNUMBER(B551)),"Needs a date",IF(NOT(ISNUMBER(D551)),"Needs the amount",IF(C551="","Needs an envelope",IF(COUNTIF(Envelopes!$B$6:$B$21,C551)=0,"Not on Envelopes",IF(F551="",IF(D551=0,"Needs the amount",""),IF(COUNTIF(Envelopes!$B$6:$B$21,F551)=0,"Moved to: not on Envelopes",IF(D551&lt;=0,"A move needs an amount",IF(F551=C551,"Moved to the same envelope","")))))))))</f>
        <v/>
      </c>
      <c r="H551" s="1">
        <f>IF(ISNUMBER(B551),INT(B551),0)</f>
        <v/>
      </c>
      <c r="I551">
        <f>IF(AND(H551&gt;0,ISNUMBER(D551),COUNTIF(Envelopes!$B$6:$B$21,C551)&gt;0,F551=""),1,0)</f>
        <v/>
      </c>
      <c r="J551">
        <f>IF(AND(H551&gt;0,ISNUMBER(D551),COUNTIF(Envelopes!$B$6:$B$21,C551)&gt;0,F551&lt;&gt;"",COUNTIF(Envelopes!$B$6:$B$21,F551)&gt;0),1,0)</f>
        <v/>
      </c>
      <c r="K551">
        <f>IF(I551=1,H551*10000+ROW(),"")</f>
        <v/>
      </c>
    </row>
    <row r="552">
      <c r="A552" s="1" t="n"/>
      <c r="B552" s="21" t="n"/>
      <c r="C552" s="23" t="n"/>
      <c r="D552" s="22" t="n"/>
      <c r="E552" s="24" t="n"/>
      <c r="F552" s="25" t="n"/>
      <c r="G552" s="18">
        <f>IF(AND(C552="",D552=""),"",IF(NOT(ISNUMBER(B552)),"Needs a date",IF(NOT(ISNUMBER(D552)),"Needs the amount",IF(C552="","Needs an envelope",IF(COUNTIF(Envelopes!$B$6:$B$21,C552)=0,"Not on Envelopes",IF(F552="",IF(D552=0,"Needs the amount",""),IF(COUNTIF(Envelopes!$B$6:$B$21,F552)=0,"Moved to: not on Envelopes",IF(D552&lt;=0,"A move needs an amount",IF(F552=C552,"Moved to the same envelope","")))))))))</f>
        <v/>
      </c>
      <c r="H552" s="1">
        <f>IF(ISNUMBER(B552),INT(B552),0)</f>
        <v/>
      </c>
      <c r="I552">
        <f>IF(AND(H552&gt;0,ISNUMBER(D552),COUNTIF(Envelopes!$B$6:$B$21,C552)&gt;0,F552=""),1,0)</f>
        <v/>
      </c>
      <c r="J552">
        <f>IF(AND(H552&gt;0,ISNUMBER(D552),COUNTIF(Envelopes!$B$6:$B$21,C552)&gt;0,F552&lt;&gt;"",COUNTIF(Envelopes!$B$6:$B$21,F552)&gt;0),1,0)</f>
        <v/>
      </c>
      <c r="K552">
        <f>IF(I552=1,H552*10000+ROW(),"")</f>
        <v/>
      </c>
    </row>
    <row r="553">
      <c r="A553" s="1" t="n"/>
      <c r="B553" s="21" t="n"/>
      <c r="C553" s="23" t="n"/>
      <c r="D553" s="22" t="n"/>
      <c r="E553" s="24" t="n"/>
      <c r="F553" s="25" t="n"/>
      <c r="G553" s="18">
        <f>IF(AND(C553="",D553=""),"",IF(NOT(ISNUMBER(B553)),"Needs a date",IF(NOT(ISNUMBER(D553)),"Needs the amount",IF(C553="","Needs an envelope",IF(COUNTIF(Envelopes!$B$6:$B$21,C553)=0,"Not on Envelopes",IF(F553="",IF(D553=0,"Needs the amount",""),IF(COUNTIF(Envelopes!$B$6:$B$21,F553)=0,"Moved to: not on Envelopes",IF(D553&lt;=0,"A move needs an amount",IF(F553=C553,"Moved to the same envelope","")))))))))</f>
        <v/>
      </c>
      <c r="H553" s="1">
        <f>IF(ISNUMBER(B553),INT(B553),0)</f>
        <v/>
      </c>
      <c r="I553">
        <f>IF(AND(H553&gt;0,ISNUMBER(D553),COUNTIF(Envelopes!$B$6:$B$21,C553)&gt;0,F553=""),1,0)</f>
        <v/>
      </c>
      <c r="J553">
        <f>IF(AND(H553&gt;0,ISNUMBER(D553),COUNTIF(Envelopes!$B$6:$B$21,C553)&gt;0,F553&lt;&gt;"",COUNTIF(Envelopes!$B$6:$B$21,F553)&gt;0),1,0)</f>
        <v/>
      </c>
      <c r="K553">
        <f>IF(I553=1,H553*10000+ROW(),"")</f>
        <v/>
      </c>
    </row>
    <row r="554">
      <c r="A554" s="1" t="n"/>
      <c r="B554" s="21" t="n"/>
      <c r="C554" s="23" t="n"/>
      <c r="D554" s="22" t="n"/>
      <c r="E554" s="24" t="n"/>
      <c r="F554" s="25" t="n"/>
      <c r="G554" s="18">
        <f>IF(AND(C554="",D554=""),"",IF(NOT(ISNUMBER(B554)),"Needs a date",IF(NOT(ISNUMBER(D554)),"Needs the amount",IF(C554="","Needs an envelope",IF(COUNTIF(Envelopes!$B$6:$B$21,C554)=0,"Not on Envelopes",IF(F554="",IF(D554=0,"Needs the amount",""),IF(COUNTIF(Envelopes!$B$6:$B$21,F554)=0,"Moved to: not on Envelopes",IF(D554&lt;=0,"A move needs an amount",IF(F554=C554,"Moved to the same envelope","")))))))))</f>
        <v/>
      </c>
      <c r="H554" s="1">
        <f>IF(ISNUMBER(B554),INT(B554),0)</f>
        <v/>
      </c>
      <c r="I554">
        <f>IF(AND(H554&gt;0,ISNUMBER(D554),COUNTIF(Envelopes!$B$6:$B$21,C554)&gt;0,F554=""),1,0)</f>
        <v/>
      </c>
      <c r="J554">
        <f>IF(AND(H554&gt;0,ISNUMBER(D554),COUNTIF(Envelopes!$B$6:$B$21,C554)&gt;0,F554&lt;&gt;"",COUNTIF(Envelopes!$B$6:$B$21,F554)&gt;0),1,0)</f>
        <v/>
      </c>
      <c r="K554">
        <f>IF(I554=1,H554*10000+ROW(),"")</f>
        <v/>
      </c>
    </row>
    <row r="555">
      <c r="A555" s="1" t="n"/>
      <c r="B555" s="21" t="n"/>
      <c r="C555" s="23" t="n"/>
      <c r="D555" s="22" t="n"/>
      <c r="E555" s="24" t="n"/>
      <c r="F555" s="25" t="n"/>
      <c r="G555" s="18">
        <f>IF(AND(C555="",D555=""),"",IF(NOT(ISNUMBER(B555)),"Needs a date",IF(NOT(ISNUMBER(D555)),"Needs the amount",IF(C555="","Needs an envelope",IF(COUNTIF(Envelopes!$B$6:$B$21,C555)=0,"Not on Envelopes",IF(F555="",IF(D555=0,"Needs the amount",""),IF(COUNTIF(Envelopes!$B$6:$B$21,F555)=0,"Moved to: not on Envelopes",IF(D555&lt;=0,"A move needs an amount",IF(F555=C555,"Moved to the same envelope","")))))))))</f>
        <v/>
      </c>
      <c r="H555" s="1">
        <f>IF(ISNUMBER(B555),INT(B555),0)</f>
        <v/>
      </c>
      <c r="I555">
        <f>IF(AND(H555&gt;0,ISNUMBER(D555),COUNTIF(Envelopes!$B$6:$B$21,C555)&gt;0,F555=""),1,0)</f>
        <v/>
      </c>
      <c r="J555">
        <f>IF(AND(H555&gt;0,ISNUMBER(D555),COUNTIF(Envelopes!$B$6:$B$21,C555)&gt;0,F555&lt;&gt;"",COUNTIF(Envelopes!$B$6:$B$21,F555)&gt;0),1,0)</f>
        <v/>
      </c>
      <c r="K555">
        <f>IF(I555=1,H555*10000+ROW(),"")</f>
        <v/>
      </c>
    </row>
    <row r="556">
      <c r="A556" s="1" t="n"/>
      <c r="B556" s="21" t="n"/>
      <c r="C556" s="23" t="n"/>
      <c r="D556" s="22" t="n"/>
      <c r="E556" s="24" t="n"/>
      <c r="F556" s="25" t="n"/>
      <c r="G556" s="18">
        <f>IF(AND(C556="",D556=""),"",IF(NOT(ISNUMBER(B556)),"Needs a date",IF(NOT(ISNUMBER(D556)),"Needs the amount",IF(C556="","Needs an envelope",IF(COUNTIF(Envelopes!$B$6:$B$21,C556)=0,"Not on Envelopes",IF(F556="",IF(D556=0,"Needs the amount",""),IF(COUNTIF(Envelopes!$B$6:$B$21,F556)=0,"Moved to: not on Envelopes",IF(D556&lt;=0,"A move needs an amount",IF(F556=C556,"Moved to the same envelope","")))))))))</f>
        <v/>
      </c>
      <c r="H556" s="1">
        <f>IF(ISNUMBER(B556),INT(B556),0)</f>
        <v/>
      </c>
      <c r="I556">
        <f>IF(AND(H556&gt;0,ISNUMBER(D556),COUNTIF(Envelopes!$B$6:$B$21,C556)&gt;0,F556=""),1,0)</f>
        <v/>
      </c>
      <c r="J556">
        <f>IF(AND(H556&gt;0,ISNUMBER(D556),COUNTIF(Envelopes!$B$6:$B$21,C556)&gt;0,F556&lt;&gt;"",COUNTIF(Envelopes!$B$6:$B$21,F556)&gt;0),1,0)</f>
        <v/>
      </c>
      <c r="K556">
        <f>IF(I556=1,H556*10000+ROW(),"")</f>
        <v/>
      </c>
    </row>
    <row r="557">
      <c r="A557" s="1" t="n"/>
      <c r="B557" s="21" t="n"/>
      <c r="C557" s="23" t="n"/>
      <c r="D557" s="22" t="n"/>
      <c r="E557" s="24" t="n"/>
      <c r="F557" s="25" t="n"/>
      <c r="G557" s="18">
        <f>IF(AND(C557="",D557=""),"",IF(NOT(ISNUMBER(B557)),"Needs a date",IF(NOT(ISNUMBER(D557)),"Needs the amount",IF(C557="","Needs an envelope",IF(COUNTIF(Envelopes!$B$6:$B$21,C557)=0,"Not on Envelopes",IF(F557="",IF(D557=0,"Needs the amount",""),IF(COUNTIF(Envelopes!$B$6:$B$21,F557)=0,"Moved to: not on Envelopes",IF(D557&lt;=0,"A move needs an amount",IF(F557=C557,"Moved to the same envelope","")))))))))</f>
        <v/>
      </c>
      <c r="H557" s="1">
        <f>IF(ISNUMBER(B557),INT(B557),0)</f>
        <v/>
      </c>
      <c r="I557">
        <f>IF(AND(H557&gt;0,ISNUMBER(D557),COUNTIF(Envelopes!$B$6:$B$21,C557)&gt;0,F557=""),1,0)</f>
        <v/>
      </c>
      <c r="J557">
        <f>IF(AND(H557&gt;0,ISNUMBER(D557),COUNTIF(Envelopes!$B$6:$B$21,C557)&gt;0,F557&lt;&gt;"",COUNTIF(Envelopes!$B$6:$B$21,F557)&gt;0),1,0)</f>
        <v/>
      </c>
      <c r="K557">
        <f>IF(I557=1,H557*10000+ROW(),"")</f>
        <v/>
      </c>
    </row>
    <row r="558">
      <c r="A558" s="1" t="n"/>
      <c r="B558" s="21" t="n"/>
      <c r="C558" s="23" t="n"/>
      <c r="D558" s="22" t="n"/>
      <c r="E558" s="24" t="n"/>
      <c r="F558" s="25" t="n"/>
      <c r="G558" s="18">
        <f>IF(AND(C558="",D558=""),"",IF(NOT(ISNUMBER(B558)),"Needs a date",IF(NOT(ISNUMBER(D558)),"Needs the amount",IF(C558="","Needs an envelope",IF(COUNTIF(Envelopes!$B$6:$B$21,C558)=0,"Not on Envelopes",IF(F558="",IF(D558=0,"Needs the amount",""),IF(COUNTIF(Envelopes!$B$6:$B$21,F558)=0,"Moved to: not on Envelopes",IF(D558&lt;=0,"A move needs an amount",IF(F558=C558,"Moved to the same envelope","")))))))))</f>
        <v/>
      </c>
      <c r="H558" s="1">
        <f>IF(ISNUMBER(B558),INT(B558),0)</f>
        <v/>
      </c>
      <c r="I558">
        <f>IF(AND(H558&gt;0,ISNUMBER(D558),COUNTIF(Envelopes!$B$6:$B$21,C558)&gt;0,F558=""),1,0)</f>
        <v/>
      </c>
      <c r="J558">
        <f>IF(AND(H558&gt;0,ISNUMBER(D558),COUNTIF(Envelopes!$B$6:$B$21,C558)&gt;0,F558&lt;&gt;"",COUNTIF(Envelopes!$B$6:$B$21,F558)&gt;0),1,0)</f>
        <v/>
      </c>
      <c r="K558">
        <f>IF(I558=1,H558*10000+ROW(),"")</f>
        <v/>
      </c>
    </row>
    <row r="559">
      <c r="A559" s="1" t="n"/>
      <c r="B559" s="21" t="n"/>
      <c r="C559" s="23" t="n"/>
      <c r="D559" s="22" t="n"/>
      <c r="E559" s="24" t="n"/>
      <c r="F559" s="25" t="n"/>
      <c r="G559" s="18">
        <f>IF(AND(C559="",D559=""),"",IF(NOT(ISNUMBER(B559)),"Needs a date",IF(NOT(ISNUMBER(D559)),"Needs the amount",IF(C559="","Needs an envelope",IF(COUNTIF(Envelopes!$B$6:$B$21,C559)=0,"Not on Envelopes",IF(F559="",IF(D559=0,"Needs the amount",""),IF(COUNTIF(Envelopes!$B$6:$B$21,F559)=0,"Moved to: not on Envelopes",IF(D559&lt;=0,"A move needs an amount",IF(F559=C559,"Moved to the same envelope","")))))))))</f>
        <v/>
      </c>
      <c r="H559" s="1">
        <f>IF(ISNUMBER(B559),INT(B559),0)</f>
        <v/>
      </c>
      <c r="I559">
        <f>IF(AND(H559&gt;0,ISNUMBER(D559),COUNTIF(Envelopes!$B$6:$B$21,C559)&gt;0,F559=""),1,0)</f>
        <v/>
      </c>
      <c r="J559">
        <f>IF(AND(H559&gt;0,ISNUMBER(D559),COUNTIF(Envelopes!$B$6:$B$21,C559)&gt;0,F559&lt;&gt;"",COUNTIF(Envelopes!$B$6:$B$21,F559)&gt;0),1,0)</f>
        <v/>
      </c>
      <c r="K559">
        <f>IF(I559=1,H559*10000+ROW(),"")</f>
        <v/>
      </c>
    </row>
    <row r="560">
      <c r="A560" s="1" t="n"/>
      <c r="B560" s="21" t="n"/>
      <c r="C560" s="23" t="n"/>
      <c r="D560" s="22" t="n"/>
      <c r="E560" s="24" t="n"/>
      <c r="F560" s="25" t="n"/>
      <c r="G560" s="18">
        <f>IF(AND(C560="",D560=""),"",IF(NOT(ISNUMBER(B560)),"Needs a date",IF(NOT(ISNUMBER(D560)),"Needs the amount",IF(C560="","Needs an envelope",IF(COUNTIF(Envelopes!$B$6:$B$21,C560)=0,"Not on Envelopes",IF(F560="",IF(D560=0,"Needs the amount",""),IF(COUNTIF(Envelopes!$B$6:$B$21,F560)=0,"Moved to: not on Envelopes",IF(D560&lt;=0,"A move needs an amount",IF(F560=C560,"Moved to the same envelope","")))))))))</f>
        <v/>
      </c>
      <c r="H560" s="1">
        <f>IF(ISNUMBER(B560),INT(B560),0)</f>
        <v/>
      </c>
      <c r="I560">
        <f>IF(AND(H560&gt;0,ISNUMBER(D560),COUNTIF(Envelopes!$B$6:$B$21,C560)&gt;0,F560=""),1,0)</f>
        <v/>
      </c>
      <c r="J560">
        <f>IF(AND(H560&gt;0,ISNUMBER(D560),COUNTIF(Envelopes!$B$6:$B$21,C560)&gt;0,F560&lt;&gt;"",COUNTIF(Envelopes!$B$6:$B$21,F560)&gt;0),1,0)</f>
        <v/>
      </c>
      <c r="K560">
        <f>IF(I560=1,H560*10000+ROW(),"")</f>
        <v/>
      </c>
    </row>
    <row r="561">
      <c r="A561" s="1" t="n"/>
      <c r="B561" s="21" t="n"/>
      <c r="C561" s="23" t="n"/>
      <c r="D561" s="22" t="n"/>
      <c r="E561" s="24" t="n"/>
      <c r="F561" s="25" t="n"/>
      <c r="G561" s="18">
        <f>IF(AND(C561="",D561=""),"",IF(NOT(ISNUMBER(B561)),"Needs a date",IF(NOT(ISNUMBER(D561)),"Needs the amount",IF(C561="","Needs an envelope",IF(COUNTIF(Envelopes!$B$6:$B$21,C561)=0,"Not on Envelopes",IF(F561="",IF(D561=0,"Needs the amount",""),IF(COUNTIF(Envelopes!$B$6:$B$21,F561)=0,"Moved to: not on Envelopes",IF(D561&lt;=0,"A move needs an amount",IF(F561=C561,"Moved to the same envelope","")))))))))</f>
        <v/>
      </c>
      <c r="H561" s="1">
        <f>IF(ISNUMBER(B561),INT(B561),0)</f>
        <v/>
      </c>
      <c r="I561">
        <f>IF(AND(H561&gt;0,ISNUMBER(D561),COUNTIF(Envelopes!$B$6:$B$21,C561)&gt;0,F561=""),1,0)</f>
        <v/>
      </c>
      <c r="J561">
        <f>IF(AND(H561&gt;0,ISNUMBER(D561),COUNTIF(Envelopes!$B$6:$B$21,C561)&gt;0,F561&lt;&gt;"",COUNTIF(Envelopes!$B$6:$B$21,F561)&gt;0),1,0)</f>
        <v/>
      </c>
      <c r="K561">
        <f>IF(I561=1,H561*10000+ROW(),"")</f>
        <v/>
      </c>
    </row>
    <row r="562">
      <c r="A562" s="1" t="n"/>
      <c r="B562" s="21" t="n"/>
      <c r="C562" s="23" t="n"/>
      <c r="D562" s="22" t="n"/>
      <c r="E562" s="24" t="n"/>
      <c r="F562" s="25" t="n"/>
      <c r="G562" s="18">
        <f>IF(AND(C562="",D562=""),"",IF(NOT(ISNUMBER(B562)),"Needs a date",IF(NOT(ISNUMBER(D562)),"Needs the amount",IF(C562="","Needs an envelope",IF(COUNTIF(Envelopes!$B$6:$B$21,C562)=0,"Not on Envelopes",IF(F562="",IF(D562=0,"Needs the amount",""),IF(COUNTIF(Envelopes!$B$6:$B$21,F562)=0,"Moved to: not on Envelopes",IF(D562&lt;=0,"A move needs an amount",IF(F562=C562,"Moved to the same envelope","")))))))))</f>
        <v/>
      </c>
      <c r="H562" s="1">
        <f>IF(ISNUMBER(B562),INT(B562),0)</f>
        <v/>
      </c>
      <c r="I562">
        <f>IF(AND(H562&gt;0,ISNUMBER(D562),COUNTIF(Envelopes!$B$6:$B$21,C562)&gt;0,F562=""),1,0)</f>
        <v/>
      </c>
      <c r="J562">
        <f>IF(AND(H562&gt;0,ISNUMBER(D562),COUNTIF(Envelopes!$B$6:$B$21,C562)&gt;0,F562&lt;&gt;"",COUNTIF(Envelopes!$B$6:$B$21,F562)&gt;0),1,0)</f>
        <v/>
      </c>
      <c r="K562">
        <f>IF(I562=1,H562*10000+ROW(),"")</f>
        <v/>
      </c>
    </row>
    <row r="563">
      <c r="A563" s="1" t="n"/>
      <c r="B563" s="21" t="n"/>
      <c r="C563" s="23" t="n"/>
      <c r="D563" s="22" t="n"/>
      <c r="E563" s="24" t="n"/>
      <c r="F563" s="25" t="n"/>
      <c r="G563" s="18">
        <f>IF(AND(C563="",D563=""),"",IF(NOT(ISNUMBER(B563)),"Needs a date",IF(NOT(ISNUMBER(D563)),"Needs the amount",IF(C563="","Needs an envelope",IF(COUNTIF(Envelopes!$B$6:$B$21,C563)=0,"Not on Envelopes",IF(F563="",IF(D563=0,"Needs the amount",""),IF(COUNTIF(Envelopes!$B$6:$B$21,F563)=0,"Moved to: not on Envelopes",IF(D563&lt;=0,"A move needs an amount",IF(F563=C563,"Moved to the same envelope","")))))))))</f>
        <v/>
      </c>
      <c r="H563" s="1">
        <f>IF(ISNUMBER(B563),INT(B563),0)</f>
        <v/>
      </c>
      <c r="I563">
        <f>IF(AND(H563&gt;0,ISNUMBER(D563),COUNTIF(Envelopes!$B$6:$B$21,C563)&gt;0,F563=""),1,0)</f>
        <v/>
      </c>
      <c r="J563">
        <f>IF(AND(H563&gt;0,ISNUMBER(D563),COUNTIF(Envelopes!$B$6:$B$21,C563)&gt;0,F563&lt;&gt;"",COUNTIF(Envelopes!$B$6:$B$21,F563)&gt;0),1,0)</f>
        <v/>
      </c>
      <c r="K563">
        <f>IF(I563=1,H563*10000+ROW(),"")</f>
        <v/>
      </c>
    </row>
    <row r="564">
      <c r="A564" s="1" t="n"/>
      <c r="B564" s="21" t="n"/>
      <c r="C564" s="23" t="n"/>
      <c r="D564" s="22" t="n"/>
      <c r="E564" s="24" t="n"/>
      <c r="F564" s="25" t="n"/>
      <c r="G564" s="18">
        <f>IF(AND(C564="",D564=""),"",IF(NOT(ISNUMBER(B564)),"Needs a date",IF(NOT(ISNUMBER(D564)),"Needs the amount",IF(C564="","Needs an envelope",IF(COUNTIF(Envelopes!$B$6:$B$21,C564)=0,"Not on Envelopes",IF(F564="",IF(D564=0,"Needs the amount",""),IF(COUNTIF(Envelopes!$B$6:$B$21,F564)=0,"Moved to: not on Envelopes",IF(D564&lt;=0,"A move needs an amount",IF(F564=C564,"Moved to the same envelope","")))))))))</f>
        <v/>
      </c>
      <c r="H564" s="1">
        <f>IF(ISNUMBER(B564),INT(B564),0)</f>
        <v/>
      </c>
      <c r="I564">
        <f>IF(AND(H564&gt;0,ISNUMBER(D564),COUNTIF(Envelopes!$B$6:$B$21,C564)&gt;0,F564=""),1,0)</f>
        <v/>
      </c>
      <c r="J564">
        <f>IF(AND(H564&gt;0,ISNUMBER(D564),COUNTIF(Envelopes!$B$6:$B$21,C564)&gt;0,F564&lt;&gt;"",COUNTIF(Envelopes!$B$6:$B$21,F564)&gt;0),1,0)</f>
        <v/>
      </c>
      <c r="K564">
        <f>IF(I564=1,H564*10000+ROW(),"")</f>
        <v/>
      </c>
    </row>
    <row r="565">
      <c r="A565" s="1" t="n"/>
      <c r="B565" s="21" t="n"/>
      <c r="C565" s="23" t="n"/>
      <c r="D565" s="22" t="n"/>
      <c r="E565" s="24" t="n"/>
      <c r="F565" s="25" t="n"/>
      <c r="G565" s="18">
        <f>IF(AND(C565="",D565=""),"",IF(NOT(ISNUMBER(B565)),"Needs a date",IF(NOT(ISNUMBER(D565)),"Needs the amount",IF(C565="","Needs an envelope",IF(COUNTIF(Envelopes!$B$6:$B$21,C565)=0,"Not on Envelopes",IF(F565="",IF(D565=0,"Needs the amount",""),IF(COUNTIF(Envelopes!$B$6:$B$21,F565)=0,"Moved to: not on Envelopes",IF(D565&lt;=0,"A move needs an amount",IF(F565=C565,"Moved to the same envelope","")))))))))</f>
        <v/>
      </c>
      <c r="H565" s="1">
        <f>IF(ISNUMBER(B565),INT(B565),0)</f>
        <v/>
      </c>
      <c r="I565">
        <f>IF(AND(H565&gt;0,ISNUMBER(D565),COUNTIF(Envelopes!$B$6:$B$21,C565)&gt;0,F565=""),1,0)</f>
        <v/>
      </c>
      <c r="J565">
        <f>IF(AND(H565&gt;0,ISNUMBER(D565),COUNTIF(Envelopes!$B$6:$B$21,C565)&gt;0,F565&lt;&gt;"",COUNTIF(Envelopes!$B$6:$B$21,F565)&gt;0),1,0)</f>
        <v/>
      </c>
      <c r="K565">
        <f>IF(I565=1,H565*10000+ROW(),"")</f>
        <v/>
      </c>
    </row>
    <row r="566">
      <c r="A566" s="1" t="n"/>
      <c r="B566" s="21" t="n"/>
      <c r="C566" s="23" t="n"/>
      <c r="D566" s="22" t="n"/>
      <c r="E566" s="24" t="n"/>
      <c r="F566" s="25" t="n"/>
      <c r="G566" s="18">
        <f>IF(AND(C566="",D566=""),"",IF(NOT(ISNUMBER(B566)),"Needs a date",IF(NOT(ISNUMBER(D566)),"Needs the amount",IF(C566="","Needs an envelope",IF(COUNTIF(Envelopes!$B$6:$B$21,C566)=0,"Not on Envelopes",IF(F566="",IF(D566=0,"Needs the amount",""),IF(COUNTIF(Envelopes!$B$6:$B$21,F566)=0,"Moved to: not on Envelopes",IF(D566&lt;=0,"A move needs an amount",IF(F566=C566,"Moved to the same envelope","")))))))))</f>
        <v/>
      </c>
      <c r="H566" s="1">
        <f>IF(ISNUMBER(B566),INT(B566),0)</f>
        <v/>
      </c>
      <c r="I566">
        <f>IF(AND(H566&gt;0,ISNUMBER(D566),COUNTIF(Envelopes!$B$6:$B$21,C566)&gt;0,F566=""),1,0)</f>
        <v/>
      </c>
      <c r="J566">
        <f>IF(AND(H566&gt;0,ISNUMBER(D566),COUNTIF(Envelopes!$B$6:$B$21,C566)&gt;0,F566&lt;&gt;"",COUNTIF(Envelopes!$B$6:$B$21,F566)&gt;0),1,0)</f>
        <v/>
      </c>
      <c r="K566">
        <f>IF(I566=1,H566*10000+ROW(),"")</f>
        <v/>
      </c>
    </row>
    <row r="567">
      <c r="A567" s="1" t="n"/>
      <c r="B567" s="21" t="n"/>
      <c r="C567" s="23" t="n"/>
      <c r="D567" s="22" t="n"/>
      <c r="E567" s="24" t="n"/>
      <c r="F567" s="25" t="n"/>
      <c r="G567" s="18">
        <f>IF(AND(C567="",D567=""),"",IF(NOT(ISNUMBER(B567)),"Needs a date",IF(NOT(ISNUMBER(D567)),"Needs the amount",IF(C567="","Needs an envelope",IF(COUNTIF(Envelopes!$B$6:$B$21,C567)=0,"Not on Envelopes",IF(F567="",IF(D567=0,"Needs the amount",""),IF(COUNTIF(Envelopes!$B$6:$B$21,F567)=0,"Moved to: not on Envelopes",IF(D567&lt;=0,"A move needs an amount",IF(F567=C567,"Moved to the same envelope","")))))))))</f>
        <v/>
      </c>
      <c r="H567" s="1">
        <f>IF(ISNUMBER(B567),INT(B567),0)</f>
        <v/>
      </c>
      <c r="I567">
        <f>IF(AND(H567&gt;0,ISNUMBER(D567),COUNTIF(Envelopes!$B$6:$B$21,C567)&gt;0,F567=""),1,0)</f>
        <v/>
      </c>
      <c r="J567">
        <f>IF(AND(H567&gt;0,ISNUMBER(D567),COUNTIF(Envelopes!$B$6:$B$21,C567)&gt;0,F567&lt;&gt;"",COUNTIF(Envelopes!$B$6:$B$21,F567)&gt;0),1,0)</f>
        <v/>
      </c>
      <c r="K567">
        <f>IF(I567=1,H567*10000+ROW(),"")</f>
        <v/>
      </c>
    </row>
    <row r="568">
      <c r="A568" s="1" t="n"/>
      <c r="B568" s="21" t="n"/>
      <c r="C568" s="23" t="n"/>
      <c r="D568" s="22" t="n"/>
      <c r="E568" s="24" t="n"/>
      <c r="F568" s="25" t="n"/>
      <c r="G568" s="18">
        <f>IF(AND(C568="",D568=""),"",IF(NOT(ISNUMBER(B568)),"Needs a date",IF(NOT(ISNUMBER(D568)),"Needs the amount",IF(C568="","Needs an envelope",IF(COUNTIF(Envelopes!$B$6:$B$21,C568)=0,"Not on Envelopes",IF(F568="",IF(D568=0,"Needs the amount",""),IF(COUNTIF(Envelopes!$B$6:$B$21,F568)=0,"Moved to: not on Envelopes",IF(D568&lt;=0,"A move needs an amount",IF(F568=C568,"Moved to the same envelope","")))))))))</f>
        <v/>
      </c>
      <c r="H568" s="1">
        <f>IF(ISNUMBER(B568),INT(B568),0)</f>
        <v/>
      </c>
      <c r="I568">
        <f>IF(AND(H568&gt;0,ISNUMBER(D568),COUNTIF(Envelopes!$B$6:$B$21,C568)&gt;0,F568=""),1,0)</f>
        <v/>
      </c>
      <c r="J568">
        <f>IF(AND(H568&gt;0,ISNUMBER(D568),COUNTIF(Envelopes!$B$6:$B$21,C568)&gt;0,F568&lt;&gt;"",COUNTIF(Envelopes!$B$6:$B$21,F568)&gt;0),1,0)</f>
        <v/>
      </c>
      <c r="K568">
        <f>IF(I568=1,H568*10000+ROW(),"")</f>
        <v/>
      </c>
    </row>
    <row r="569">
      <c r="A569" s="1" t="n"/>
      <c r="B569" s="21" t="n"/>
      <c r="C569" s="23" t="n"/>
      <c r="D569" s="22" t="n"/>
      <c r="E569" s="24" t="n"/>
      <c r="F569" s="25" t="n"/>
      <c r="G569" s="18">
        <f>IF(AND(C569="",D569=""),"",IF(NOT(ISNUMBER(B569)),"Needs a date",IF(NOT(ISNUMBER(D569)),"Needs the amount",IF(C569="","Needs an envelope",IF(COUNTIF(Envelopes!$B$6:$B$21,C569)=0,"Not on Envelopes",IF(F569="",IF(D569=0,"Needs the amount",""),IF(COUNTIF(Envelopes!$B$6:$B$21,F569)=0,"Moved to: not on Envelopes",IF(D569&lt;=0,"A move needs an amount",IF(F569=C569,"Moved to the same envelope","")))))))))</f>
        <v/>
      </c>
      <c r="H569" s="1">
        <f>IF(ISNUMBER(B569),INT(B569),0)</f>
        <v/>
      </c>
      <c r="I569">
        <f>IF(AND(H569&gt;0,ISNUMBER(D569),COUNTIF(Envelopes!$B$6:$B$21,C569)&gt;0,F569=""),1,0)</f>
        <v/>
      </c>
      <c r="J569">
        <f>IF(AND(H569&gt;0,ISNUMBER(D569),COUNTIF(Envelopes!$B$6:$B$21,C569)&gt;0,F569&lt;&gt;"",COUNTIF(Envelopes!$B$6:$B$21,F569)&gt;0),1,0)</f>
        <v/>
      </c>
      <c r="K569">
        <f>IF(I569=1,H569*10000+ROW(),"")</f>
        <v/>
      </c>
    </row>
    <row r="570">
      <c r="A570" s="1" t="n"/>
      <c r="B570" s="21" t="n"/>
      <c r="C570" s="23" t="n"/>
      <c r="D570" s="22" t="n"/>
      <c r="E570" s="24" t="n"/>
      <c r="F570" s="25" t="n"/>
      <c r="G570" s="18">
        <f>IF(AND(C570="",D570=""),"",IF(NOT(ISNUMBER(B570)),"Needs a date",IF(NOT(ISNUMBER(D570)),"Needs the amount",IF(C570="","Needs an envelope",IF(COUNTIF(Envelopes!$B$6:$B$21,C570)=0,"Not on Envelopes",IF(F570="",IF(D570=0,"Needs the amount",""),IF(COUNTIF(Envelopes!$B$6:$B$21,F570)=0,"Moved to: not on Envelopes",IF(D570&lt;=0,"A move needs an amount",IF(F570=C570,"Moved to the same envelope","")))))))))</f>
        <v/>
      </c>
      <c r="H570" s="1">
        <f>IF(ISNUMBER(B570),INT(B570),0)</f>
        <v/>
      </c>
      <c r="I570">
        <f>IF(AND(H570&gt;0,ISNUMBER(D570),COUNTIF(Envelopes!$B$6:$B$21,C570)&gt;0,F570=""),1,0)</f>
        <v/>
      </c>
      <c r="J570">
        <f>IF(AND(H570&gt;0,ISNUMBER(D570),COUNTIF(Envelopes!$B$6:$B$21,C570)&gt;0,F570&lt;&gt;"",COUNTIF(Envelopes!$B$6:$B$21,F570)&gt;0),1,0)</f>
        <v/>
      </c>
      <c r="K570">
        <f>IF(I570=1,H570*10000+ROW(),"")</f>
        <v/>
      </c>
    </row>
    <row r="571">
      <c r="A571" s="1" t="n"/>
      <c r="B571" s="21" t="n"/>
      <c r="C571" s="23" t="n"/>
      <c r="D571" s="22" t="n"/>
      <c r="E571" s="24" t="n"/>
      <c r="F571" s="25" t="n"/>
      <c r="G571" s="18">
        <f>IF(AND(C571="",D571=""),"",IF(NOT(ISNUMBER(B571)),"Needs a date",IF(NOT(ISNUMBER(D571)),"Needs the amount",IF(C571="","Needs an envelope",IF(COUNTIF(Envelopes!$B$6:$B$21,C571)=0,"Not on Envelopes",IF(F571="",IF(D571=0,"Needs the amount",""),IF(COUNTIF(Envelopes!$B$6:$B$21,F571)=0,"Moved to: not on Envelopes",IF(D571&lt;=0,"A move needs an amount",IF(F571=C571,"Moved to the same envelope","")))))))))</f>
        <v/>
      </c>
      <c r="H571" s="1">
        <f>IF(ISNUMBER(B571),INT(B571),0)</f>
        <v/>
      </c>
      <c r="I571">
        <f>IF(AND(H571&gt;0,ISNUMBER(D571),COUNTIF(Envelopes!$B$6:$B$21,C571)&gt;0,F571=""),1,0)</f>
        <v/>
      </c>
      <c r="J571">
        <f>IF(AND(H571&gt;0,ISNUMBER(D571),COUNTIF(Envelopes!$B$6:$B$21,C571)&gt;0,F571&lt;&gt;"",COUNTIF(Envelopes!$B$6:$B$21,F571)&gt;0),1,0)</f>
        <v/>
      </c>
      <c r="K571">
        <f>IF(I571=1,H571*10000+ROW(),"")</f>
        <v/>
      </c>
    </row>
    <row r="572">
      <c r="A572" s="1" t="n"/>
      <c r="B572" s="21" t="n"/>
      <c r="C572" s="23" t="n"/>
      <c r="D572" s="22" t="n"/>
      <c r="E572" s="24" t="n"/>
      <c r="F572" s="25" t="n"/>
      <c r="G572" s="18">
        <f>IF(AND(C572="",D572=""),"",IF(NOT(ISNUMBER(B572)),"Needs a date",IF(NOT(ISNUMBER(D572)),"Needs the amount",IF(C572="","Needs an envelope",IF(COUNTIF(Envelopes!$B$6:$B$21,C572)=0,"Not on Envelopes",IF(F572="",IF(D572=0,"Needs the amount",""),IF(COUNTIF(Envelopes!$B$6:$B$21,F572)=0,"Moved to: not on Envelopes",IF(D572&lt;=0,"A move needs an amount",IF(F572=C572,"Moved to the same envelope","")))))))))</f>
        <v/>
      </c>
      <c r="H572" s="1">
        <f>IF(ISNUMBER(B572),INT(B572),0)</f>
        <v/>
      </c>
      <c r="I572">
        <f>IF(AND(H572&gt;0,ISNUMBER(D572),COUNTIF(Envelopes!$B$6:$B$21,C572)&gt;0,F572=""),1,0)</f>
        <v/>
      </c>
      <c r="J572">
        <f>IF(AND(H572&gt;0,ISNUMBER(D572),COUNTIF(Envelopes!$B$6:$B$21,C572)&gt;0,F572&lt;&gt;"",COUNTIF(Envelopes!$B$6:$B$21,F572)&gt;0),1,0)</f>
        <v/>
      </c>
      <c r="K572">
        <f>IF(I572=1,H572*10000+ROW(),"")</f>
        <v/>
      </c>
    </row>
    <row r="573">
      <c r="A573" s="1" t="n"/>
      <c r="B573" s="21" t="n"/>
      <c r="C573" s="23" t="n"/>
      <c r="D573" s="22" t="n"/>
      <c r="E573" s="24" t="n"/>
      <c r="F573" s="25" t="n"/>
      <c r="G573" s="18">
        <f>IF(AND(C573="",D573=""),"",IF(NOT(ISNUMBER(B573)),"Needs a date",IF(NOT(ISNUMBER(D573)),"Needs the amount",IF(C573="","Needs an envelope",IF(COUNTIF(Envelopes!$B$6:$B$21,C573)=0,"Not on Envelopes",IF(F573="",IF(D573=0,"Needs the amount",""),IF(COUNTIF(Envelopes!$B$6:$B$21,F573)=0,"Moved to: not on Envelopes",IF(D573&lt;=0,"A move needs an amount",IF(F573=C573,"Moved to the same envelope","")))))))))</f>
        <v/>
      </c>
      <c r="H573" s="1">
        <f>IF(ISNUMBER(B573),INT(B573),0)</f>
        <v/>
      </c>
      <c r="I573">
        <f>IF(AND(H573&gt;0,ISNUMBER(D573),COUNTIF(Envelopes!$B$6:$B$21,C573)&gt;0,F573=""),1,0)</f>
        <v/>
      </c>
      <c r="J573">
        <f>IF(AND(H573&gt;0,ISNUMBER(D573),COUNTIF(Envelopes!$B$6:$B$21,C573)&gt;0,F573&lt;&gt;"",COUNTIF(Envelopes!$B$6:$B$21,F573)&gt;0),1,0)</f>
        <v/>
      </c>
      <c r="K573">
        <f>IF(I573=1,H573*10000+ROW(),"")</f>
        <v/>
      </c>
    </row>
    <row r="574">
      <c r="A574" s="1" t="n"/>
      <c r="B574" s="21" t="n"/>
      <c r="C574" s="23" t="n"/>
      <c r="D574" s="22" t="n"/>
      <c r="E574" s="24" t="n"/>
      <c r="F574" s="25" t="n"/>
      <c r="G574" s="18">
        <f>IF(AND(C574="",D574=""),"",IF(NOT(ISNUMBER(B574)),"Needs a date",IF(NOT(ISNUMBER(D574)),"Needs the amount",IF(C574="","Needs an envelope",IF(COUNTIF(Envelopes!$B$6:$B$21,C574)=0,"Not on Envelopes",IF(F574="",IF(D574=0,"Needs the amount",""),IF(COUNTIF(Envelopes!$B$6:$B$21,F574)=0,"Moved to: not on Envelopes",IF(D574&lt;=0,"A move needs an amount",IF(F574=C574,"Moved to the same envelope","")))))))))</f>
        <v/>
      </c>
      <c r="H574" s="1">
        <f>IF(ISNUMBER(B574),INT(B574),0)</f>
        <v/>
      </c>
      <c r="I574">
        <f>IF(AND(H574&gt;0,ISNUMBER(D574),COUNTIF(Envelopes!$B$6:$B$21,C574)&gt;0,F574=""),1,0)</f>
        <v/>
      </c>
      <c r="J574">
        <f>IF(AND(H574&gt;0,ISNUMBER(D574),COUNTIF(Envelopes!$B$6:$B$21,C574)&gt;0,F574&lt;&gt;"",COUNTIF(Envelopes!$B$6:$B$21,F574)&gt;0),1,0)</f>
        <v/>
      </c>
      <c r="K574">
        <f>IF(I574=1,H574*10000+ROW(),"")</f>
        <v/>
      </c>
    </row>
    <row r="575">
      <c r="A575" s="1" t="n"/>
      <c r="B575" s="21" t="n"/>
      <c r="C575" s="23" t="n"/>
      <c r="D575" s="22" t="n"/>
      <c r="E575" s="24" t="n"/>
      <c r="F575" s="25" t="n"/>
      <c r="G575" s="18">
        <f>IF(AND(C575="",D575=""),"",IF(NOT(ISNUMBER(B575)),"Needs a date",IF(NOT(ISNUMBER(D575)),"Needs the amount",IF(C575="","Needs an envelope",IF(COUNTIF(Envelopes!$B$6:$B$21,C575)=0,"Not on Envelopes",IF(F575="",IF(D575=0,"Needs the amount",""),IF(COUNTIF(Envelopes!$B$6:$B$21,F575)=0,"Moved to: not on Envelopes",IF(D575&lt;=0,"A move needs an amount",IF(F575=C575,"Moved to the same envelope","")))))))))</f>
        <v/>
      </c>
      <c r="H575" s="1">
        <f>IF(ISNUMBER(B575),INT(B575),0)</f>
        <v/>
      </c>
      <c r="I575">
        <f>IF(AND(H575&gt;0,ISNUMBER(D575),COUNTIF(Envelopes!$B$6:$B$21,C575)&gt;0,F575=""),1,0)</f>
        <v/>
      </c>
      <c r="J575">
        <f>IF(AND(H575&gt;0,ISNUMBER(D575),COUNTIF(Envelopes!$B$6:$B$21,C575)&gt;0,F575&lt;&gt;"",COUNTIF(Envelopes!$B$6:$B$21,F575)&gt;0),1,0)</f>
        <v/>
      </c>
      <c r="K575">
        <f>IF(I575=1,H575*10000+ROW(),"")</f>
        <v/>
      </c>
    </row>
    <row r="576">
      <c r="A576" s="1" t="n"/>
      <c r="B576" s="21" t="n"/>
      <c r="C576" s="23" t="n"/>
      <c r="D576" s="22" t="n"/>
      <c r="E576" s="24" t="n"/>
      <c r="F576" s="25" t="n"/>
      <c r="G576" s="18">
        <f>IF(AND(C576="",D576=""),"",IF(NOT(ISNUMBER(B576)),"Needs a date",IF(NOT(ISNUMBER(D576)),"Needs the amount",IF(C576="","Needs an envelope",IF(COUNTIF(Envelopes!$B$6:$B$21,C576)=0,"Not on Envelopes",IF(F576="",IF(D576=0,"Needs the amount",""),IF(COUNTIF(Envelopes!$B$6:$B$21,F576)=0,"Moved to: not on Envelopes",IF(D576&lt;=0,"A move needs an amount",IF(F576=C576,"Moved to the same envelope","")))))))))</f>
        <v/>
      </c>
      <c r="H576" s="1">
        <f>IF(ISNUMBER(B576),INT(B576),0)</f>
        <v/>
      </c>
      <c r="I576">
        <f>IF(AND(H576&gt;0,ISNUMBER(D576),COUNTIF(Envelopes!$B$6:$B$21,C576)&gt;0,F576=""),1,0)</f>
        <v/>
      </c>
      <c r="J576">
        <f>IF(AND(H576&gt;0,ISNUMBER(D576),COUNTIF(Envelopes!$B$6:$B$21,C576)&gt;0,F576&lt;&gt;"",COUNTIF(Envelopes!$B$6:$B$21,F576)&gt;0),1,0)</f>
        <v/>
      </c>
      <c r="K576">
        <f>IF(I576=1,H576*10000+ROW(),"")</f>
        <v/>
      </c>
    </row>
    <row r="577">
      <c r="A577" s="1" t="n"/>
      <c r="B577" s="21" t="n"/>
      <c r="C577" s="23" t="n"/>
      <c r="D577" s="22" t="n"/>
      <c r="E577" s="24" t="n"/>
      <c r="F577" s="25" t="n"/>
      <c r="G577" s="18">
        <f>IF(AND(C577="",D577=""),"",IF(NOT(ISNUMBER(B577)),"Needs a date",IF(NOT(ISNUMBER(D577)),"Needs the amount",IF(C577="","Needs an envelope",IF(COUNTIF(Envelopes!$B$6:$B$21,C577)=0,"Not on Envelopes",IF(F577="",IF(D577=0,"Needs the amount",""),IF(COUNTIF(Envelopes!$B$6:$B$21,F577)=0,"Moved to: not on Envelopes",IF(D577&lt;=0,"A move needs an amount",IF(F577=C577,"Moved to the same envelope","")))))))))</f>
        <v/>
      </c>
      <c r="H577" s="1">
        <f>IF(ISNUMBER(B577),INT(B577),0)</f>
        <v/>
      </c>
      <c r="I577">
        <f>IF(AND(H577&gt;0,ISNUMBER(D577),COUNTIF(Envelopes!$B$6:$B$21,C577)&gt;0,F577=""),1,0)</f>
        <v/>
      </c>
      <c r="J577">
        <f>IF(AND(H577&gt;0,ISNUMBER(D577),COUNTIF(Envelopes!$B$6:$B$21,C577)&gt;0,F577&lt;&gt;"",COUNTIF(Envelopes!$B$6:$B$21,F577)&gt;0),1,0)</f>
        <v/>
      </c>
      <c r="K577">
        <f>IF(I577=1,H577*10000+ROW(),"")</f>
        <v/>
      </c>
    </row>
    <row r="578">
      <c r="A578" s="1" t="n"/>
      <c r="B578" s="21" t="n"/>
      <c r="C578" s="23" t="n"/>
      <c r="D578" s="22" t="n"/>
      <c r="E578" s="24" t="n"/>
      <c r="F578" s="25" t="n"/>
      <c r="G578" s="18">
        <f>IF(AND(C578="",D578=""),"",IF(NOT(ISNUMBER(B578)),"Needs a date",IF(NOT(ISNUMBER(D578)),"Needs the amount",IF(C578="","Needs an envelope",IF(COUNTIF(Envelopes!$B$6:$B$21,C578)=0,"Not on Envelopes",IF(F578="",IF(D578=0,"Needs the amount",""),IF(COUNTIF(Envelopes!$B$6:$B$21,F578)=0,"Moved to: not on Envelopes",IF(D578&lt;=0,"A move needs an amount",IF(F578=C578,"Moved to the same envelope","")))))))))</f>
        <v/>
      </c>
      <c r="H578" s="1">
        <f>IF(ISNUMBER(B578),INT(B578),0)</f>
        <v/>
      </c>
      <c r="I578">
        <f>IF(AND(H578&gt;0,ISNUMBER(D578),COUNTIF(Envelopes!$B$6:$B$21,C578)&gt;0,F578=""),1,0)</f>
        <v/>
      </c>
      <c r="J578">
        <f>IF(AND(H578&gt;0,ISNUMBER(D578),COUNTIF(Envelopes!$B$6:$B$21,C578)&gt;0,F578&lt;&gt;"",COUNTIF(Envelopes!$B$6:$B$21,F578)&gt;0),1,0)</f>
        <v/>
      </c>
      <c r="K578">
        <f>IF(I578=1,H578*10000+ROW(),"")</f>
        <v/>
      </c>
    </row>
    <row r="579">
      <c r="A579" s="1" t="n"/>
      <c r="B579" s="21" t="n"/>
      <c r="C579" s="23" t="n"/>
      <c r="D579" s="22" t="n"/>
      <c r="E579" s="24" t="n"/>
      <c r="F579" s="25" t="n"/>
      <c r="G579" s="18">
        <f>IF(AND(C579="",D579=""),"",IF(NOT(ISNUMBER(B579)),"Needs a date",IF(NOT(ISNUMBER(D579)),"Needs the amount",IF(C579="","Needs an envelope",IF(COUNTIF(Envelopes!$B$6:$B$21,C579)=0,"Not on Envelopes",IF(F579="",IF(D579=0,"Needs the amount",""),IF(COUNTIF(Envelopes!$B$6:$B$21,F579)=0,"Moved to: not on Envelopes",IF(D579&lt;=0,"A move needs an amount",IF(F579=C579,"Moved to the same envelope","")))))))))</f>
        <v/>
      </c>
      <c r="H579" s="1">
        <f>IF(ISNUMBER(B579),INT(B579),0)</f>
        <v/>
      </c>
      <c r="I579">
        <f>IF(AND(H579&gt;0,ISNUMBER(D579),COUNTIF(Envelopes!$B$6:$B$21,C579)&gt;0,F579=""),1,0)</f>
        <v/>
      </c>
      <c r="J579">
        <f>IF(AND(H579&gt;0,ISNUMBER(D579),COUNTIF(Envelopes!$B$6:$B$21,C579)&gt;0,F579&lt;&gt;"",COUNTIF(Envelopes!$B$6:$B$21,F579)&gt;0),1,0)</f>
        <v/>
      </c>
      <c r="K579">
        <f>IF(I579=1,H579*10000+ROW(),"")</f>
        <v/>
      </c>
    </row>
    <row r="580">
      <c r="A580" s="1" t="n"/>
      <c r="B580" s="21" t="n"/>
      <c r="C580" s="23" t="n"/>
      <c r="D580" s="22" t="n"/>
      <c r="E580" s="24" t="n"/>
      <c r="F580" s="25" t="n"/>
      <c r="G580" s="18">
        <f>IF(AND(C580="",D580=""),"",IF(NOT(ISNUMBER(B580)),"Needs a date",IF(NOT(ISNUMBER(D580)),"Needs the amount",IF(C580="","Needs an envelope",IF(COUNTIF(Envelopes!$B$6:$B$21,C580)=0,"Not on Envelopes",IF(F580="",IF(D580=0,"Needs the amount",""),IF(COUNTIF(Envelopes!$B$6:$B$21,F580)=0,"Moved to: not on Envelopes",IF(D580&lt;=0,"A move needs an amount",IF(F580=C580,"Moved to the same envelope","")))))))))</f>
        <v/>
      </c>
      <c r="H580" s="1">
        <f>IF(ISNUMBER(B580),INT(B580),0)</f>
        <v/>
      </c>
      <c r="I580">
        <f>IF(AND(H580&gt;0,ISNUMBER(D580),COUNTIF(Envelopes!$B$6:$B$21,C580)&gt;0,F580=""),1,0)</f>
        <v/>
      </c>
      <c r="J580">
        <f>IF(AND(H580&gt;0,ISNUMBER(D580),COUNTIF(Envelopes!$B$6:$B$21,C580)&gt;0,F580&lt;&gt;"",COUNTIF(Envelopes!$B$6:$B$21,F580)&gt;0),1,0)</f>
        <v/>
      </c>
      <c r="K580">
        <f>IF(I580=1,H580*10000+ROW(),"")</f>
        <v/>
      </c>
    </row>
    <row r="581">
      <c r="A581" s="1" t="n"/>
      <c r="B581" s="21" t="n"/>
      <c r="C581" s="23" t="n"/>
      <c r="D581" s="22" t="n"/>
      <c r="E581" s="24" t="n"/>
      <c r="F581" s="25" t="n"/>
      <c r="G581" s="18">
        <f>IF(AND(C581="",D581=""),"",IF(NOT(ISNUMBER(B581)),"Needs a date",IF(NOT(ISNUMBER(D581)),"Needs the amount",IF(C581="","Needs an envelope",IF(COUNTIF(Envelopes!$B$6:$B$21,C581)=0,"Not on Envelopes",IF(F581="",IF(D581=0,"Needs the amount",""),IF(COUNTIF(Envelopes!$B$6:$B$21,F581)=0,"Moved to: not on Envelopes",IF(D581&lt;=0,"A move needs an amount",IF(F581=C581,"Moved to the same envelope","")))))))))</f>
        <v/>
      </c>
      <c r="H581" s="1">
        <f>IF(ISNUMBER(B581),INT(B581),0)</f>
        <v/>
      </c>
      <c r="I581">
        <f>IF(AND(H581&gt;0,ISNUMBER(D581),COUNTIF(Envelopes!$B$6:$B$21,C581)&gt;0,F581=""),1,0)</f>
        <v/>
      </c>
      <c r="J581">
        <f>IF(AND(H581&gt;0,ISNUMBER(D581),COUNTIF(Envelopes!$B$6:$B$21,C581)&gt;0,F581&lt;&gt;"",COUNTIF(Envelopes!$B$6:$B$21,F581)&gt;0),1,0)</f>
        <v/>
      </c>
      <c r="K581">
        <f>IF(I581=1,H581*10000+ROW(),"")</f>
        <v/>
      </c>
    </row>
    <row r="582">
      <c r="A582" s="1" t="n"/>
      <c r="B582" s="21" t="n"/>
      <c r="C582" s="23" t="n"/>
      <c r="D582" s="22" t="n"/>
      <c r="E582" s="24" t="n"/>
      <c r="F582" s="25" t="n"/>
      <c r="G582" s="18">
        <f>IF(AND(C582="",D582=""),"",IF(NOT(ISNUMBER(B582)),"Needs a date",IF(NOT(ISNUMBER(D582)),"Needs the amount",IF(C582="","Needs an envelope",IF(COUNTIF(Envelopes!$B$6:$B$21,C582)=0,"Not on Envelopes",IF(F582="",IF(D582=0,"Needs the amount",""),IF(COUNTIF(Envelopes!$B$6:$B$21,F582)=0,"Moved to: not on Envelopes",IF(D582&lt;=0,"A move needs an amount",IF(F582=C582,"Moved to the same envelope","")))))))))</f>
        <v/>
      </c>
      <c r="H582" s="1">
        <f>IF(ISNUMBER(B582),INT(B582),0)</f>
        <v/>
      </c>
      <c r="I582">
        <f>IF(AND(H582&gt;0,ISNUMBER(D582),COUNTIF(Envelopes!$B$6:$B$21,C582)&gt;0,F582=""),1,0)</f>
        <v/>
      </c>
      <c r="J582">
        <f>IF(AND(H582&gt;0,ISNUMBER(D582),COUNTIF(Envelopes!$B$6:$B$21,C582)&gt;0,F582&lt;&gt;"",COUNTIF(Envelopes!$B$6:$B$21,F582)&gt;0),1,0)</f>
        <v/>
      </c>
      <c r="K582">
        <f>IF(I582=1,H582*10000+ROW(),"")</f>
        <v/>
      </c>
    </row>
    <row r="583">
      <c r="A583" s="1" t="n"/>
      <c r="B583" s="21" t="n"/>
      <c r="C583" s="23" t="n"/>
      <c r="D583" s="22" t="n"/>
      <c r="E583" s="24" t="n"/>
      <c r="F583" s="25" t="n"/>
      <c r="G583" s="18">
        <f>IF(AND(C583="",D583=""),"",IF(NOT(ISNUMBER(B583)),"Needs a date",IF(NOT(ISNUMBER(D583)),"Needs the amount",IF(C583="","Needs an envelope",IF(COUNTIF(Envelopes!$B$6:$B$21,C583)=0,"Not on Envelopes",IF(F583="",IF(D583=0,"Needs the amount",""),IF(COUNTIF(Envelopes!$B$6:$B$21,F583)=0,"Moved to: not on Envelopes",IF(D583&lt;=0,"A move needs an amount",IF(F583=C583,"Moved to the same envelope","")))))))))</f>
        <v/>
      </c>
      <c r="H583" s="1">
        <f>IF(ISNUMBER(B583),INT(B583),0)</f>
        <v/>
      </c>
      <c r="I583">
        <f>IF(AND(H583&gt;0,ISNUMBER(D583),COUNTIF(Envelopes!$B$6:$B$21,C583)&gt;0,F583=""),1,0)</f>
        <v/>
      </c>
      <c r="J583">
        <f>IF(AND(H583&gt;0,ISNUMBER(D583),COUNTIF(Envelopes!$B$6:$B$21,C583)&gt;0,F583&lt;&gt;"",COUNTIF(Envelopes!$B$6:$B$21,F583)&gt;0),1,0)</f>
        <v/>
      </c>
      <c r="K583">
        <f>IF(I583=1,H583*10000+ROW(),"")</f>
        <v/>
      </c>
    </row>
    <row r="584">
      <c r="A584" s="1" t="n"/>
      <c r="B584" s="21" t="n"/>
      <c r="C584" s="23" t="n"/>
      <c r="D584" s="22" t="n"/>
      <c r="E584" s="24" t="n"/>
      <c r="F584" s="25" t="n"/>
      <c r="G584" s="18">
        <f>IF(AND(C584="",D584=""),"",IF(NOT(ISNUMBER(B584)),"Needs a date",IF(NOT(ISNUMBER(D584)),"Needs the amount",IF(C584="","Needs an envelope",IF(COUNTIF(Envelopes!$B$6:$B$21,C584)=0,"Not on Envelopes",IF(F584="",IF(D584=0,"Needs the amount",""),IF(COUNTIF(Envelopes!$B$6:$B$21,F584)=0,"Moved to: not on Envelopes",IF(D584&lt;=0,"A move needs an amount",IF(F584=C584,"Moved to the same envelope","")))))))))</f>
        <v/>
      </c>
      <c r="H584" s="1">
        <f>IF(ISNUMBER(B584),INT(B584),0)</f>
        <v/>
      </c>
      <c r="I584">
        <f>IF(AND(H584&gt;0,ISNUMBER(D584),COUNTIF(Envelopes!$B$6:$B$21,C584)&gt;0,F584=""),1,0)</f>
        <v/>
      </c>
      <c r="J584">
        <f>IF(AND(H584&gt;0,ISNUMBER(D584),COUNTIF(Envelopes!$B$6:$B$21,C584)&gt;0,F584&lt;&gt;"",COUNTIF(Envelopes!$B$6:$B$21,F584)&gt;0),1,0)</f>
        <v/>
      </c>
      <c r="K584">
        <f>IF(I584=1,H584*10000+ROW(),"")</f>
        <v/>
      </c>
    </row>
    <row r="585">
      <c r="A585" s="1" t="n"/>
      <c r="B585" s="21" t="n"/>
      <c r="C585" s="23" t="n"/>
      <c r="D585" s="22" t="n"/>
      <c r="E585" s="24" t="n"/>
      <c r="F585" s="25" t="n"/>
      <c r="G585" s="18">
        <f>IF(AND(C585="",D585=""),"",IF(NOT(ISNUMBER(B585)),"Needs a date",IF(NOT(ISNUMBER(D585)),"Needs the amount",IF(C585="","Needs an envelope",IF(COUNTIF(Envelopes!$B$6:$B$21,C585)=0,"Not on Envelopes",IF(F585="",IF(D585=0,"Needs the amount",""),IF(COUNTIF(Envelopes!$B$6:$B$21,F585)=0,"Moved to: not on Envelopes",IF(D585&lt;=0,"A move needs an amount",IF(F585=C585,"Moved to the same envelope","")))))))))</f>
        <v/>
      </c>
      <c r="H585" s="1">
        <f>IF(ISNUMBER(B585),INT(B585),0)</f>
        <v/>
      </c>
      <c r="I585">
        <f>IF(AND(H585&gt;0,ISNUMBER(D585),COUNTIF(Envelopes!$B$6:$B$21,C585)&gt;0,F585=""),1,0)</f>
        <v/>
      </c>
      <c r="J585">
        <f>IF(AND(H585&gt;0,ISNUMBER(D585),COUNTIF(Envelopes!$B$6:$B$21,C585)&gt;0,F585&lt;&gt;"",COUNTIF(Envelopes!$B$6:$B$21,F585)&gt;0),1,0)</f>
        <v/>
      </c>
      <c r="K585">
        <f>IF(I585=1,H585*10000+ROW(),"")</f>
        <v/>
      </c>
    </row>
    <row r="586">
      <c r="A586" s="1" t="n"/>
      <c r="B586" s="21" t="n"/>
      <c r="C586" s="23" t="n"/>
      <c r="D586" s="22" t="n"/>
      <c r="E586" s="24" t="n"/>
      <c r="F586" s="25" t="n"/>
      <c r="G586" s="18">
        <f>IF(AND(C586="",D586=""),"",IF(NOT(ISNUMBER(B586)),"Needs a date",IF(NOT(ISNUMBER(D586)),"Needs the amount",IF(C586="","Needs an envelope",IF(COUNTIF(Envelopes!$B$6:$B$21,C586)=0,"Not on Envelopes",IF(F586="",IF(D586=0,"Needs the amount",""),IF(COUNTIF(Envelopes!$B$6:$B$21,F586)=0,"Moved to: not on Envelopes",IF(D586&lt;=0,"A move needs an amount",IF(F586=C586,"Moved to the same envelope","")))))))))</f>
        <v/>
      </c>
      <c r="H586" s="1">
        <f>IF(ISNUMBER(B586),INT(B586),0)</f>
        <v/>
      </c>
      <c r="I586">
        <f>IF(AND(H586&gt;0,ISNUMBER(D586),COUNTIF(Envelopes!$B$6:$B$21,C586)&gt;0,F586=""),1,0)</f>
        <v/>
      </c>
      <c r="J586">
        <f>IF(AND(H586&gt;0,ISNUMBER(D586),COUNTIF(Envelopes!$B$6:$B$21,C586)&gt;0,F586&lt;&gt;"",COUNTIF(Envelopes!$B$6:$B$21,F586)&gt;0),1,0)</f>
        <v/>
      </c>
      <c r="K586">
        <f>IF(I586=1,H586*10000+ROW(),"")</f>
        <v/>
      </c>
    </row>
    <row r="587">
      <c r="A587" s="1" t="n"/>
      <c r="B587" s="21" t="n"/>
      <c r="C587" s="23" t="n"/>
      <c r="D587" s="22" t="n"/>
      <c r="E587" s="24" t="n"/>
      <c r="F587" s="25" t="n"/>
      <c r="G587" s="18">
        <f>IF(AND(C587="",D587=""),"",IF(NOT(ISNUMBER(B587)),"Needs a date",IF(NOT(ISNUMBER(D587)),"Needs the amount",IF(C587="","Needs an envelope",IF(COUNTIF(Envelopes!$B$6:$B$21,C587)=0,"Not on Envelopes",IF(F587="",IF(D587=0,"Needs the amount",""),IF(COUNTIF(Envelopes!$B$6:$B$21,F587)=0,"Moved to: not on Envelopes",IF(D587&lt;=0,"A move needs an amount",IF(F587=C587,"Moved to the same envelope","")))))))))</f>
        <v/>
      </c>
      <c r="H587" s="1">
        <f>IF(ISNUMBER(B587),INT(B587),0)</f>
        <v/>
      </c>
      <c r="I587">
        <f>IF(AND(H587&gt;0,ISNUMBER(D587),COUNTIF(Envelopes!$B$6:$B$21,C587)&gt;0,F587=""),1,0)</f>
        <v/>
      </c>
      <c r="J587">
        <f>IF(AND(H587&gt;0,ISNUMBER(D587),COUNTIF(Envelopes!$B$6:$B$21,C587)&gt;0,F587&lt;&gt;"",COUNTIF(Envelopes!$B$6:$B$21,F587)&gt;0),1,0)</f>
        <v/>
      </c>
      <c r="K587">
        <f>IF(I587=1,H587*10000+ROW(),"")</f>
        <v/>
      </c>
    </row>
    <row r="588">
      <c r="A588" s="1" t="n"/>
      <c r="B588" s="21" t="n"/>
      <c r="C588" s="23" t="n"/>
      <c r="D588" s="22" t="n"/>
      <c r="E588" s="24" t="n"/>
      <c r="F588" s="25" t="n"/>
      <c r="G588" s="18">
        <f>IF(AND(C588="",D588=""),"",IF(NOT(ISNUMBER(B588)),"Needs a date",IF(NOT(ISNUMBER(D588)),"Needs the amount",IF(C588="","Needs an envelope",IF(COUNTIF(Envelopes!$B$6:$B$21,C588)=0,"Not on Envelopes",IF(F588="",IF(D588=0,"Needs the amount",""),IF(COUNTIF(Envelopes!$B$6:$B$21,F588)=0,"Moved to: not on Envelopes",IF(D588&lt;=0,"A move needs an amount",IF(F588=C588,"Moved to the same envelope","")))))))))</f>
        <v/>
      </c>
      <c r="H588" s="1">
        <f>IF(ISNUMBER(B588),INT(B588),0)</f>
        <v/>
      </c>
      <c r="I588">
        <f>IF(AND(H588&gt;0,ISNUMBER(D588),COUNTIF(Envelopes!$B$6:$B$21,C588)&gt;0,F588=""),1,0)</f>
        <v/>
      </c>
      <c r="J588">
        <f>IF(AND(H588&gt;0,ISNUMBER(D588),COUNTIF(Envelopes!$B$6:$B$21,C588)&gt;0,F588&lt;&gt;"",COUNTIF(Envelopes!$B$6:$B$21,F588)&gt;0),1,0)</f>
        <v/>
      </c>
      <c r="K588">
        <f>IF(I588=1,H588*10000+ROW(),"")</f>
        <v/>
      </c>
    </row>
    <row r="589">
      <c r="A589" s="1" t="n"/>
      <c r="B589" s="21" t="n"/>
      <c r="C589" s="23" t="n"/>
      <c r="D589" s="22" t="n"/>
      <c r="E589" s="24" t="n"/>
      <c r="F589" s="25" t="n"/>
      <c r="G589" s="18">
        <f>IF(AND(C589="",D589=""),"",IF(NOT(ISNUMBER(B589)),"Needs a date",IF(NOT(ISNUMBER(D589)),"Needs the amount",IF(C589="","Needs an envelope",IF(COUNTIF(Envelopes!$B$6:$B$21,C589)=0,"Not on Envelopes",IF(F589="",IF(D589=0,"Needs the amount",""),IF(COUNTIF(Envelopes!$B$6:$B$21,F589)=0,"Moved to: not on Envelopes",IF(D589&lt;=0,"A move needs an amount",IF(F589=C589,"Moved to the same envelope","")))))))))</f>
        <v/>
      </c>
      <c r="H589" s="1">
        <f>IF(ISNUMBER(B589),INT(B589),0)</f>
        <v/>
      </c>
      <c r="I589">
        <f>IF(AND(H589&gt;0,ISNUMBER(D589),COUNTIF(Envelopes!$B$6:$B$21,C589)&gt;0,F589=""),1,0)</f>
        <v/>
      </c>
      <c r="J589">
        <f>IF(AND(H589&gt;0,ISNUMBER(D589),COUNTIF(Envelopes!$B$6:$B$21,C589)&gt;0,F589&lt;&gt;"",COUNTIF(Envelopes!$B$6:$B$21,F589)&gt;0),1,0)</f>
        <v/>
      </c>
      <c r="K589">
        <f>IF(I589=1,H589*10000+ROW(),"")</f>
        <v/>
      </c>
    </row>
    <row r="590">
      <c r="A590" s="1" t="n"/>
      <c r="B590" s="21" t="n"/>
      <c r="C590" s="23" t="n"/>
      <c r="D590" s="22" t="n"/>
      <c r="E590" s="24" t="n"/>
      <c r="F590" s="25" t="n"/>
      <c r="G590" s="18">
        <f>IF(AND(C590="",D590=""),"",IF(NOT(ISNUMBER(B590)),"Needs a date",IF(NOT(ISNUMBER(D590)),"Needs the amount",IF(C590="","Needs an envelope",IF(COUNTIF(Envelopes!$B$6:$B$21,C590)=0,"Not on Envelopes",IF(F590="",IF(D590=0,"Needs the amount",""),IF(COUNTIF(Envelopes!$B$6:$B$21,F590)=0,"Moved to: not on Envelopes",IF(D590&lt;=0,"A move needs an amount",IF(F590=C590,"Moved to the same envelope","")))))))))</f>
        <v/>
      </c>
      <c r="H590" s="1">
        <f>IF(ISNUMBER(B590),INT(B590),0)</f>
        <v/>
      </c>
      <c r="I590">
        <f>IF(AND(H590&gt;0,ISNUMBER(D590),COUNTIF(Envelopes!$B$6:$B$21,C590)&gt;0,F590=""),1,0)</f>
        <v/>
      </c>
      <c r="J590">
        <f>IF(AND(H590&gt;0,ISNUMBER(D590),COUNTIF(Envelopes!$B$6:$B$21,C590)&gt;0,F590&lt;&gt;"",COUNTIF(Envelopes!$B$6:$B$21,F590)&gt;0),1,0)</f>
        <v/>
      </c>
      <c r="K590">
        <f>IF(I590=1,H590*10000+ROW(),"")</f>
        <v/>
      </c>
    </row>
    <row r="591">
      <c r="A591" s="1" t="n"/>
      <c r="B591" s="21" t="n"/>
      <c r="C591" s="23" t="n"/>
      <c r="D591" s="22" t="n"/>
      <c r="E591" s="24" t="n"/>
      <c r="F591" s="25" t="n"/>
      <c r="G591" s="18">
        <f>IF(AND(C591="",D591=""),"",IF(NOT(ISNUMBER(B591)),"Needs a date",IF(NOT(ISNUMBER(D591)),"Needs the amount",IF(C591="","Needs an envelope",IF(COUNTIF(Envelopes!$B$6:$B$21,C591)=0,"Not on Envelopes",IF(F591="",IF(D591=0,"Needs the amount",""),IF(COUNTIF(Envelopes!$B$6:$B$21,F591)=0,"Moved to: not on Envelopes",IF(D591&lt;=0,"A move needs an amount",IF(F591=C591,"Moved to the same envelope","")))))))))</f>
        <v/>
      </c>
      <c r="H591" s="1">
        <f>IF(ISNUMBER(B591),INT(B591),0)</f>
        <v/>
      </c>
      <c r="I591">
        <f>IF(AND(H591&gt;0,ISNUMBER(D591),COUNTIF(Envelopes!$B$6:$B$21,C591)&gt;0,F591=""),1,0)</f>
        <v/>
      </c>
      <c r="J591">
        <f>IF(AND(H591&gt;0,ISNUMBER(D591),COUNTIF(Envelopes!$B$6:$B$21,C591)&gt;0,F591&lt;&gt;"",COUNTIF(Envelopes!$B$6:$B$21,F591)&gt;0),1,0)</f>
        <v/>
      </c>
      <c r="K591">
        <f>IF(I591=1,H591*10000+ROW(),"")</f>
        <v/>
      </c>
    </row>
    <row r="592">
      <c r="A592" s="1" t="n"/>
      <c r="B592" s="21" t="n"/>
      <c r="C592" s="23" t="n"/>
      <c r="D592" s="22" t="n"/>
      <c r="E592" s="24" t="n"/>
      <c r="F592" s="25" t="n"/>
      <c r="G592" s="18">
        <f>IF(AND(C592="",D592=""),"",IF(NOT(ISNUMBER(B592)),"Needs a date",IF(NOT(ISNUMBER(D592)),"Needs the amount",IF(C592="","Needs an envelope",IF(COUNTIF(Envelopes!$B$6:$B$21,C592)=0,"Not on Envelopes",IF(F592="",IF(D592=0,"Needs the amount",""),IF(COUNTIF(Envelopes!$B$6:$B$21,F592)=0,"Moved to: not on Envelopes",IF(D592&lt;=0,"A move needs an amount",IF(F592=C592,"Moved to the same envelope","")))))))))</f>
        <v/>
      </c>
      <c r="H592" s="1">
        <f>IF(ISNUMBER(B592),INT(B592),0)</f>
        <v/>
      </c>
      <c r="I592">
        <f>IF(AND(H592&gt;0,ISNUMBER(D592),COUNTIF(Envelopes!$B$6:$B$21,C592)&gt;0,F592=""),1,0)</f>
        <v/>
      </c>
      <c r="J592">
        <f>IF(AND(H592&gt;0,ISNUMBER(D592),COUNTIF(Envelopes!$B$6:$B$21,C592)&gt;0,F592&lt;&gt;"",COUNTIF(Envelopes!$B$6:$B$21,F592)&gt;0),1,0)</f>
        <v/>
      </c>
      <c r="K592">
        <f>IF(I592=1,H592*10000+ROW(),"")</f>
        <v/>
      </c>
    </row>
    <row r="593">
      <c r="A593" s="1" t="n"/>
      <c r="B593" s="21" t="n"/>
      <c r="C593" s="23" t="n"/>
      <c r="D593" s="22" t="n"/>
      <c r="E593" s="24" t="n"/>
      <c r="F593" s="25" t="n"/>
      <c r="G593" s="18">
        <f>IF(AND(C593="",D593=""),"",IF(NOT(ISNUMBER(B593)),"Needs a date",IF(NOT(ISNUMBER(D593)),"Needs the amount",IF(C593="","Needs an envelope",IF(COUNTIF(Envelopes!$B$6:$B$21,C593)=0,"Not on Envelopes",IF(F593="",IF(D593=0,"Needs the amount",""),IF(COUNTIF(Envelopes!$B$6:$B$21,F593)=0,"Moved to: not on Envelopes",IF(D593&lt;=0,"A move needs an amount",IF(F593=C593,"Moved to the same envelope","")))))))))</f>
        <v/>
      </c>
      <c r="H593" s="1">
        <f>IF(ISNUMBER(B593),INT(B593),0)</f>
        <v/>
      </c>
      <c r="I593">
        <f>IF(AND(H593&gt;0,ISNUMBER(D593),COUNTIF(Envelopes!$B$6:$B$21,C593)&gt;0,F593=""),1,0)</f>
        <v/>
      </c>
      <c r="J593">
        <f>IF(AND(H593&gt;0,ISNUMBER(D593),COUNTIF(Envelopes!$B$6:$B$21,C593)&gt;0,F593&lt;&gt;"",COUNTIF(Envelopes!$B$6:$B$21,F593)&gt;0),1,0)</f>
        <v/>
      </c>
      <c r="K593">
        <f>IF(I593=1,H593*10000+ROW(),"")</f>
        <v/>
      </c>
    </row>
    <row r="594">
      <c r="A594" s="1" t="n"/>
      <c r="B594" s="21" t="n"/>
      <c r="C594" s="23" t="n"/>
      <c r="D594" s="22" t="n"/>
      <c r="E594" s="24" t="n"/>
      <c r="F594" s="25" t="n"/>
      <c r="G594" s="18">
        <f>IF(AND(C594="",D594=""),"",IF(NOT(ISNUMBER(B594)),"Needs a date",IF(NOT(ISNUMBER(D594)),"Needs the amount",IF(C594="","Needs an envelope",IF(COUNTIF(Envelopes!$B$6:$B$21,C594)=0,"Not on Envelopes",IF(F594="",IF(D594=0,"Needs the amount",""),IF(COUNTIF(Envelopes!$B$6:$B$21,F594)=0,"Moved to: not on Envelopes",IF(D594&lt;=0,"A move needs an amount",IF(F594=C594,"Moved to the same envelope","")))))))))</f>
        <v/>
      </c>
      <c r="H594" s="1">
        <f>IF(ISNUMBER(B594),INT(B594),0)</f>
        <v/>
      </c>
      <c r="I594">
        <f>IF(AND(H594&gt;0,ISNUMBER(D594),COUNTIF(Envelopes!$B$6:$B$21,C594)&gt;0,F594=""),1,0)</f>
        <v/>
      </c>
      <c r="J594">
        <f>IF(AND(H594&gt;0,ISNUMBER(D594),COUNTIF(Envelopes!$B$6:$B$21,C594)&gt;0,F594&lt;&gt;"",COUNTIF(Envelopes!$B$6:$B$21,F594)&gt;0),1,0)</f>
        <v/>
      </c>
      <c r="K594">
        <f>IF(I594=1,H594*10000+ROW(),"")</f>
        <v/>
      </c>
    </row>
    <row r="595">
      <c r="A595" s="1" t="n"/>
      <c r="B595" s="21" t="n"/>
      <c r="C595" s="23" t="n"/>
      <c r="D595" s="22" t="n"/>
      <c r="E595" s="24" t="n"/>
      <c r="F595" s="25" t="n"/>
      <c r="G595" s="18">
        <f>IF(AND(C595="",D595=""),"",IF(NOT(ISNUMBER(B595)),"Needs a date",IF(NOT(ISNUMBER(D595)),"Needs the amount",IF(C595="","Needs an envelope",IF(COUNTIF(Envelopes!$B$6:$B$21,C595)=0,"Not on Envelopes",IF(F595="",IF(D595=0,"Needs the amount",""),IF(COUNTIF(Envelopes!$B$6:$B$21,F595)=0,"Moved to: not on Envelopes",IF(D595&lt;=0,"A move needs an amount",IF(F595=C595,"Moved to the same envelope","")))))))))</f>
        <v/>
      </c>
      <c r="H595" s="1">
        <f>IF(ISNUMBER(B595),INT(B595),0)</f>
        <v/>
      </c>
      <c r="I595">
        <f>IF(AND(H595&gt;0,ISNUMBER(D595),COUNTIF(Envelopes!$B$6:$B$21,C595)&gt;0,F595=""),1,0)</f>
        <v/>
      </c>
      <c r="J595">
        <f>IF(AND(H595&gt;0,ISNUMBER(D595),COUNTIF(Envelopes!$B$6:$B$21,C595)&gt;0,F595&lt;&gt;"",COUNTIF(Envelopes!$B$6:$B$21,F595)&gt;0),1,0)</f>
        <v/>
      </c>
      <c r="K595">
        <f>IF(I595=1,H595*10000+ROW(),"")</f>
        <v/>
      </c>
    </row>
    <row r="596">
      <c r="A596" s="1" t="n"/>
      <c r="B596" s="21" t="n"/>
      <c r="C596" s="23" t="n"/>
      <c r="D596" s="22" t="n"/>
      <c r="E596" s="24" t="n"/>
      <c r="F596" s="25" t="n"/>
      <c r="G596" s="18">
        <f>IF(AND(C596="",D596=""),"",IF(NOT(ISNUMBER(B596)),"Needs a date",IF(NOT(ISNUMBER(D596)),"Needs the amount",IF(C596="","Needs an envelope",IF(COUNTIF(Envelopes!$B$6:$B$21,C596)=0,"Not on Envelopes",IF(F596="",IF(D596=0,"Needs the amount",""),IF(COUNTIF(Envelopes!$B$6:$B$21,F596)=0,"Moved to: not on Envelopes",IF(D596&lt;=0,"A move needs an amount",IF(F596=C596,"Moved to the same envelope","")))))))))</f>
        <v/>
      </c>
      <c r="H596" s="1">
        <f>IF(ISNUMBER(B596),INT(B596),0)</f>
        <v/>
      </c>
      <c r="I596">
        <f>IF(AND(H596&gt;0,ISNUMBER(D596),COUNTIF(Envelopes!$B$6:$B$21,C596)&gt;0,F596=""),1,0)</f>
        <v/>
      </c>
      <c r="J596">
        <f>IF(AND(H596&gt;0,ISNUMBER(D596),COUNTIF(Envelopes!$B$6:$B$21,C596)&gt;0,F596&lt;&gt;"",COUNTIF(Envelopes!$B$6:$B$21,F596)&gt;0),1,0)</f>
        <v/>
      </c>
      <c r="K596">
        <f>IF(I596=1,H596*10000+ROW(),"")</f>
        <v/>
      </c>
    </row>
    <row r="597">
      <c r="A597" s="1" t="n"/>
      <c r="B597" s="21" t="n"/>
      <c r="C597" s="23" t="n"/>
      <c r="D597" s="22" t="n"/>
      <c r="E597" s="24" t="n"/>
      <c r="F597" s="25" t="n"/>
      <c r="G597" s="18">
        <f>IF(AND(C597="",D597=""),"",IF(NOT(ISNUMBER(B597)),"Needs a date",IF(NOT(ISNUMBER(D597)),"Needs the amount",IF(C597="","Needs an envelope",IF(COUNTIF(Envelopes!$B$6:$B$21,C597)=0,"Not on Envelopes",IF(F597="",IF(D597=0,"Needs the amount",""),IF(COUNTIF(Envelopes!$B$6:$B$21,F597)=0,"Moved to: not on Envelopes",IF(D597&lt;=0,"A move needs an amount",IF(F597=C597,"Moved to the same envelope","")))))))))</f>
        <v/>
      </c>
      <c r="H597" s="1">
        <f>IF(ISNUMBER(B597),INT(B597),0)</f>
        <v/>
      </c>
      <c r="I597">
        <f>IF(AND(H597&gt;0,ISNUMBER(D597),COUNTIF(Envelopes!$B$6:$B$21,C597)&gt;0,F597=""),1,0)</f>
        <v/>
      </c>
      <c r="J597">
        <f>IF(AND(H597&gt;0,ISNUMBER(D597),COUNTIF(Envelopes!$B$6:$B$21,C597)&gt;0,F597&lt;&gt;"",COUNTIF(Envelopes!$B$6:$B$21,F597)&gt;0),1,0)</f>
        <v/>
      </c>
      <c r="K597">
        <f>IF(I597=1,H597*10000+ROW(),"")</f>
        <v/>
      </c>
    </row>
    <row r="598">
      <c r="A598" s="1" t="n"/>
      <c r="B598" s="21" t="n"/>
      <c r="C598" s="23" t="n"/>
      <c r="D598" s="22" t="n"/>
      <c r="E598" s="24" t="n"/>
      <c r="F598" s="25" t="n"/>
      <c r="G598" s="18">
        <f>IF(AND(C598="",D598=""),"",IF(NOT(ISNUMBER(B598)),"Needs a date",IF(NOT(ISNUMBER(D598)),"Needs the amount",IF(C598="","Needs an envelope",IF(COUNTIF(Envelopes!$B$6:$B$21,C598)=0,"Not on Envelopes",IF(F598="",IF(D598=0,"Needs the amount",""),IF(COUNTIF(Envelopes!$B$6:$B$21,F598)=0,"Moved to: not on Envelopes",IF(D598&lt;=0,"A move needs an amount",IF(F598=C598,"Moved to the same envelope","")))))))))</f>
        <v/>
      </c>
      <c r="H598" s="1">
        <f>IF(ISNUMBER(B598),INT(B598),0)</f>
        <v/>
      </c>
      <c r="I598">
        <f>IF(AND(H598&gt;0,ISNUMBER(D598),COUNTIF(Envelopes!$B$6:$B$21,C598)&gt;0,F598=""),1,0)</f>
        <v/>
      </c>
      <c r="J598">
        <f>IF(AND(H598&gt;0,ISNUMBER(D598),COUNTIF(Envelopes!$B$6:$B$21,C598)&gt;0,F598&lt;&gt;"",COUNTIF(Envelopes!$B$6:$B$21,F598)&gt;0),1,0)</f>
        <v/>
      </c>
      <c r="K598">
        <f>IF(I598=1,H598*10000+ROW(),"")</f>
        <v/>
      </c>
    </row>
    <row r="599">
      <c r="A599" s="1" t="n"/>
      <c r="B599" s="21" t="n"/>
      <c r="C599" s="23" t="n"/>
      <c r="D599" s="22" t="n"/>
      <c r="E599" s="24" t="n"/>
      <c r="F599" s="25" t="n"/>
      <c r="G599" s="18">
        <f>IF(AND(C599="",D599=""),"",IF(NOT(ISNUMBER(B599)),"Needs a date",IF(NOT(ISNUMBER(D599)),"Needs the amount",IF(C599="","Needs an envelope",IF(COUNTIF(Envelopes!$B$6:$B$21,C599)=0,"Not on Envelopes",IF(F599="",IF(D599=0,"Needs the amount",""),IF(COUNTIF(Envelopes!$B$6:$B$21,F599)=0,"Moved to: not on Envelopes",IF(D599&lt;=0,"A move needs an amount",IF(F599=C599,"Moved to the same envelope","")))))))))</f>
        <v/>
      </c>
      <c r="H599" s="1">
        <f>IF(ISNUMBER(B599),INT(B599),0)</f>
        <v/>
      </c>
      <c r="I599">
        <f>IF(AND(H599&gt;0,ISNUMBER(D599),COUNTIF(Envelopes!$B$6:$B$21,C599)&gt;0,F599=""),1,0)</f>
        <v/>
      </c>
      <c r="J599">
        <f>IF(AND(H599&gt;0,ISNUMBER(D599),COUNTIF(Envelopes!$B$6:$B$21,C599)&gt;0,F599&lt;&gt;"",COUNTIF(Envelopes!$B$6:$B$21,F599)&gt;0),1,0)</f>
        <v/>
      </c>
      <c r="K599">
        <f>IF(I599=1,H599*10000+ROW(),"")</f>
        <v/>
      </c>
    </row>
    <row r="600">
      <c r="A600" s="1" t="n"/>
      <c r="B600" s="21" t="n"/>
      <c r="C600" s="23" t="n"/>
      <c r="D600" s="22" t="n"/>
      <c r="E600" s="24" t="n"/>
      <c r="F600" s="25" t="n"/>
      <c r="G600" s="18">
        <f>IF(AND(C600="",D600=""),"",IF(NOT(ISNUMBER(B600)),"Needs a date",IF(NOT(ISNUMBER(D600)),"Needs the amount",IF(C600="","Needs an envelope",IF(COUNTIF(Envelopes!$B$6:$B$21,C600)=0,"Not on Envelopes",IF(F600="",IF(D600=0,"Needs the amount",""),IF(COUNTIF(Envelopes!$B$6:$B$21,F600)=0,"Moved to: not on Envelopes",IF(D600&lt;=0,"A move needs an amount",IF(F600=C600,"Moved to the same envelope","")))))))))</f>
        <v/>
      </c>
      <c r="H600" s="1">
        <f>IF(ISNUMBER(B600),INT(B600),0)</f>
        <v/>
      </c>
      <c r="I600">
        <f>IF(AND(H600&gt;0,ISNUMBER(D600),COUNTIF(Envelopes!$B$6:$B$21,C600)&gt;0,F600=""),1,0)</f>
        <v/>
      </c>
      <c r="J600">
        <f>IF(AND(H600&gt;0,ISNUMBER(D600),COUNTIF(Envelopes!$B$6:$B$21,C600)&gt;0,F600&lt;&gt;"",COUNTIF(Envelopes!$B$6:$B$21,F600)&gt;0),1,0)</f>
        <v/>
      </c>
      <c r="K600">
        <f>IF(I600=1,H600*10000+ROW(),"")</f>
        <v/>
      </c>
    </row>
    <row r="601">
      <c r="A601" s="1" t="n"/>
      <c r="B601" s="21" t="n"/>
      <c r="C601" s="23" t="n"/>
      <c r="D601" s="22" t="n"/>
      <c r="E601" s="24" t="n"/>
      <c r="F601" s="25" t="n"/>
      <c r="G601" s="18">
        <f>IF(AND(C601="",D601=""),"",IF(NOT(ISNUMBER(B601)),"Needs a date",IF(NOT(ISNUMBER(D601)),"Needs the amount",IF(C601="","Needs an envelope",IF(COUNTIF(Envelopes!$B$6:$B$21,C601)=0,"Not on Envelopes",IF(F601="",IF(D601=0,"Needs the amount",""),IF(COUNTIF(Envelopes!$B$6:$B$21,F601)=0,"Moved to: not on Envelopes",IF(D601&lt;=0,"A move needs an amount",IF(F601=C601,"Moved to the same envelope","")))))))))</f>
        <v/>
      </c>
      <c r="H601" s="1">
        <f>IF(ISNUMBER(B601),INT(B601),0)</f>
        <v/>
      </c>
      <c r="I601">
        <f>IF(AND(H601&gt;0,ISNUMBER(D601),COUNTIF(Envelopes!$B$6:$B$21,C601)&gt;0,F601=""),1,0)</f>
        <v/>
      </c>
      <c r="J601">
        <f>IF(AND(H601&gt;0,ISNUMBER(D601),COUNTIF(Envelopes!$B$6:$B$21,C601)&gt;0,F601&lt;&gt;"",COUNTIF(Envelopes!$B$6:$B$21,F601)&gt;0),1,0)</f>
        <v/>
      </c>
      <c r="K601">
        <f>IF(I601=1,H601*10000+ROW(),"")</f>
        <v/>
      </c>
    </row>
    <row r="602">
      <c r="A602" s="1" t="n"/>
      <c r="B602" s="21" t="n"/>
      <c r="C602" s="23" t="n"/>
      <c r="D602" s="22" t="n"/>
      <c r="E602" s="24" t="n"/>
      <c r="F602" s="25" t="n"/>
      <c r="G602" s="18">
        <f>IF(AND(C602="",D602=""),"",IF(NOT(ISNUMBER(B602)),"Needs a date",IF(NOT(ISNUMBER(D602)),"Needs the amount",IF(C602="","Needs an envelope",IF(COUNTIF(Envelopes!$B$6:$B$21,C602)=0,"Not on Envelopes",IF(F602="",IF(D602=0,"Needs the amount",""),IF(COUNTIF(Envelopes!$B$6:$B$21,F602)=0,"Moved to: not on Envelopes",IF(D602&lt;=0,"A move needs an amount",IF(F602=C602,"Moved to the same envelope","")))))))))</f>
        <v/>
      </c>
      <c r="H602" s="1">
        <f>IF(ISNUMBER(B602),INT(B602),0)</f>
        <v/>
      </c>
      <c r="I602">
        <f>IF(AND(H602&gt;0,ISNUMBER(D602),COUNTIF(Envelopes!$B$6:$B$21,C602)&gt;0,F602=""),1,0)</f>
        <v/>
      </c>
      <c r="J602">
        <f>IF(AND(H602&gt;0,ISNUMBER(D602),COUNTIF(Envelopes!$B$6:$B$21,C602)&gt;0,F602&lt;&gt;"",COUNTIF(Envelopes!$B$6:$B$21,F602)&gt;0),1,0)</f>
        <v/>
      </c>
      <c r="K602">
        <f>IF(I602=1,H602*10000+ROW(),"")</f>
        <v/>
      </c>
    </row>
    <row r="603">
      <c r="A603" s="1" t="n"/>
      <c r="B603" s="21" t="n"/>
      <c r="C603" s="23" t="n"/>
      <c r="D603" s="22" t="n"/>
      <c r="E603" s="24" t="n"/>
      <c r="F603" s="25" t="n"/>
      <c r="G603" s="18">
        <f>IF(AND(C603="",D603=""),"",IF(NOT(ISNUMBER(B603)),"Needs a date",IF(NOT(ISNUMBER(D603)),"Needs the amount",IF(C603="","Needs an envelope",IF(COUNTIF(Envelopes!$B$6:$B$21,C603)=0,"Not on Envelopes",IF(F603="",IF(D603=0,"Needs the amount",""),IF(COUNTIF(Envelopes!$B$6:$B$21,F603)=0,"Moved to: not on Envelopes",IF(D603&lt;=0,"A move needs an amount",IF(F603=C603,"Moved to the same envelope","")))))))))</f>
        <v/>
      </c>
      <c r="H603" s="1">
        <f>IF(ISNUMBER(B603),INT(B603),0)</f>
        <v/>
      </c>
      <c r="I603">
        <f>IF(AND(H603&gt;0,ISNUMBER(D603),COUNTIF(Envelopes!$B$6:$B$21,C603)&gt;0,F603=""),1,0)</f>
        <v/>
      </c>
      <c r="J603">
        <f>IF(AND(H603&gt;0,ISNUMBER(D603),COUNTIF(Envelopes!$B$6:$B$21,C603)&gt;0,F603&lt;&gt;"",COUNTIF(Envelopes!$B$6:$B$21,F603)&gt;0),1,0)</f>
        <v/>
      </c>
      <c r="K603">
        <f>IF(I603=1,H603*10000+ROW(),"")</f>
        <v/>
      </c>
    </row>
    <row r="604">
      <c r="A604" s="1" t="n"/>
      <c r="B604" s="21" t="n"/>
      <c r="C604" s="23" t="n"/>
      <c r="D604" s="22" t="n"/>
      <c r="E604" s="24" t="n"/>
      <c r="F604" s="25" t="n"/>
      <c r="G604" s="18">
        <f>IF(AND(C604="",D604=""),"",IF(NOT(ISNUMBER(B604)),"Needs a date",IF(NOT(ISNUMBER(D604)),"Needs the amount",IF(C604="","Needs an envelope",IF(COUNTIF(Envelopes!$B$6:$B$21,C604)=0,"Not on Envelopes",IF(F604="",IF(D604=0,"Needs the amount",""),IF(COUNTIF(Envelopes!$B$6:$B$21,F604)=0,"Moved to: not on Envelopes",IF(D604&lt;=0,"A move needs an amount",IF(F604=C604,"Moved to the same envelope","")))))))))</f>
        <v/>
      </c>
      <c r="H604" s="1">
        <f>IF(ISNUMBER(B604),INT(B604),0)</f>
        <v/>
      </c>
      <c r="I604">
        <f>IF(AND(H604&gt;0,ISNUMBER(D604),COUNTIF(Envelopes!$B$6:$B$21,C604)&gt;0,F604=""),1,0)</f>
        <v/>
      </c>
      <c r="J604">
        <f>IF(AND(H604&gt;0,ISNUMBER(D604),COUNTIF(Envelopes!$B$6:$B$21,C604)&gt;0,F604&lt;&gt;"",COUNTIF(Envelopes!$B$6:$B$21,F604)&gt;0),1,0)</f>
        <v/>
      </c>
      <c r="K604">
        <f>IF(I604=1,H604*10000+ROW(),"")</f>
        <v/>
      </c>
    </row>
    <row r="605">
      <c r="A605" s="1" t="n"/>
      <c r="B605" s="21" t="n"/>
      <c r="C605" s="23" t="n"/>
      <c r="D605" s="22" t="n"/>
      <c r="E605" s="24" t="n"/>
      <c r="F605" s="25" t="n"/>
      <c r="G605" s="18">
        <f>IF(AND(C605="",D605=""),"",IF(NOT(ISNUMBER(B605)),"Needs a date",IF(NOT(ISNUMBER(D605)),"Needs the amount",IF(C605="","Needs an envelope",IF(COUNTIF(Envelopes!$B$6:$B$21,C605)=0,"Not on Envelopes",IF(F605="",IF(D605=0,"Needs the amount",""),IF(COUNTIF(Envelopes!$B$6:$B$21,F605)=0,"Moved to: not on Envelopes",IF(D605&lt;=0,"A move needs an amount",IF(F605=C605,"Moved to the same envelope","")))))))))</f>
        <v/>
      </c>
      <c r="H605" s="1">
        <f>IF(ISNUMBER(B605),INT(B605),0)</f>
        <v/>
      </c>
      <c r="I605">
        <f>IF(AND(H605&gt;0,ISNUMBER(D605),COUNTIF(Envelopes!$B$6:$B$21,C605)&gt;0,F605=""),1,0)</f>
        <v/>
      </c>
      <c r="J605">
        <f>IF(AND(H605&gt;0,ISNUMBER(D605),COUNTIF(Envelopes!$B$6:$B$21,C605)&gt;0,F605&lt;&gt;"",COUNTIF(Envelopes!$B$6:$B$21,F605)&gt;0),1,0)</f>
        <v/>
      </c>
      <c r="K605">
        <f>IF(I605=1,H605*10000+ROW(),"")</f>
        <v/>
      </c>
    </row>
    <row r="606">
      <c r="A606" s="1" t="n"/>
      <c r="B606" s="21" t="n"/>
      <c r="C606" s="23" t="n"/>
      <c r="D606" s="22" t="n"/>
      <c r="E606" s="24" t="n"/>
      <c r="F606" s="25" t="n"/>
      <c r="G606" s="18">
        <f>IF(AND(C606="",D606=""),"",IF(NOT(ISNUMBER(B606)),"Needs a date",IF(NOT(ISNUMBER(D606)),"Needs the amount",IF(C606="","Needs an envelope",IF(COUNTIF(Envelopes!$B$6:$B$21,C606)=0,"Not on Envelopes",IF(F606="",IF(D606=0,"Needs the amount",""),IF(COUNTIF(Envelopes!$B$6:$B$21,F606)=0,"Moved to: not on Envelopes",IF(D606&lt;=0,"A move needs an amount",IF(F606=C606,"Moved to the same envelope","")))))))))</f>
        <v/>
      </c>
      <c r="H606" s="1">
        <f>IF(ISNUMBER(B606),INT(B606),0)</f>
        <v/>
      </c>
      <c r="I606">
        <f>IF(AND(H606&gt;0,ISNUMBER(D606),COUNTIF(Envelopes!$B$6:$B$21,C606)&gt;0,F606=""),1,0)</f>
        <v/>
      </c>
      <c r="J606">
        <f>IF(AND(H606&gt;0,ISNUMBER(D606),COUNTIF(Envelopes!$B$6:$B$21,C606)&gt;0,F606&lt;&gt;"",COUNTIF(Envelopes!$B$6:$B$21,F606)&gt;0),1,0)</f>
        <v/>
      </c>
      <c r="K606">
        <f>IF(I606=1,H606*10000+ROW(),"")</f>
        <v/>
      </c>
    </row>
    <row r="607">
      <c r="A607" s="1" t="n"/>
      <c r="B607" s="21" t="n"/>
      <c r="C607" s="23" t="n"/>
      <c r="D607" s="22" t="n"/>
      <c r="E607" s="24" t="n"/>
      <c r="F607" s="25" t="n"/>
      <c r="G607" s="18">
        <f>IF(AND(C607="",D607=""),"",IF(NOT(ISNUMBER(B607)),"Needs a date",IF(NOT(ISNUMBER(D607)),"Needs the amount",IF(C607="","Needs an envelope",IF(COUNTIF(Envelopes!$B$6:$B$21,C607)=0,"Not on Envelopes",IF(F607="",IF(D607=0,"Needs the amount",""),IF(COUNTIF(Envelopes!$B$6:$B$21,F607)=0,"Moved to: not on Envelopes",IF(D607&lt;=0,"A move needs an amount",IF(F607=C607,"Moved to the same envelope","")))))))))</f>
        <v/>
      </c>
      <c r="H607" s="1">
        <f>IF(ISNUMBER(B607),INT(B607),0)</f>
        <v/>
      </c>
      <c r="I607">
        <f>IF(AND(H607&gt;0,ISNUMBER(D607),COUNTIF(Envelopes!$B$6:$B$21,C607)&gt;0,F607=""),1,0)</f>
        <v/>
      </c>
      <c r="J607">
        <f>IF(AND(H607&gt;0,ISNUMBER(D607),COUNTIF(Envelopes!$B$6:$B$21,C607)&gt;0,F607&lt;&gt;"",COUNTIF(Envelopes!$B$6:$B$21,F607)&gt;0),1,0)</f>
        <v/>
      </c>
      <c r="K607">
        <f>IF(I607=1,H607*10000+ROW(),"")</f>
        <v/>
      </c>
    </row>
    <row r="608">
      <c r="A608" s="1" t="n"/>
      <c r="B608" s="21" t="n"/>
      <c r="C608" s="23" t="n"/>
      <c r="D608" s="22" t="n"/>
      <c r="E608" s="24" t="n"/>
      <c r="F608" s="25" t="n"/>
      <c r="G608" s="18">
        <f>IF(AND(C608="",D608=""),"",IF(NOT(ISNUMBER(B608)),"Needs a date",IF(NOT(ISNUMBER(D608)),"Needs the amount",IF(C608="","Needs an envelope",IF(COUNTIF(Envelopes!$B$6:$B$21,C608)=0,"Not on Envelopes",IF(F608="",IF(D608=0,"Needs the amount",""),IF(COUNTIF(Envelopes!$B$6:$B$21,F608)=0,"Moved to: not on Envelopes",IF(D608&lt;=0,"A move needs an amount",IF(F608=C608,"Moved to the same envelope","")))))))))</f>
        <v/>
      </c>
      <c r="H608" s="1">
        <f>IF(ISNUMBER(B608),INT(B608),0)</f>
        <v/>
      </c>
      <c r="I608">
        <f>IF(AND(H608&gt;0,ISNUMBER(D608),COUNTIF(Envelopes!$B$6:$B$21,C608)&gt;0,F608=""),1,0)</f>
        <v/>
      </c>
      <c r="J608">
        <f>IF(AND(H608&gt;0,ISNUMBER(D608),COUNTIF(Envelopes!$B$6:$B$21,C608)&gt;0,F608&lt;&gt;"",COUNTIF(Envelopes!$B$6:$B$21,F608)&gt;0),1,0)</f>
        <v/>
      </c>
      <c r="K608">
        <f>IF(I608=1,H608*10000+ROW(),"")</f>
        <v/>
      </c>
    </row>
    <row r="609">
      <c r="A609" s="1" t="n"/>
      <c r="B609" s="21" t="n"/>
      <c r="C609" s="23" t="n"/>
      <c r="D609" s="22" t="n"/>
      <c r="E609" s="24" t="n"/>
      <c r="F609" s="25" t="n"/>
      <c r="G609" s="18">
        <f>IF(AND(C609="",D609=""),"",IF(NOT(ISNUMBER(B609)),"Needs a date",IF(NOT(ISNUMBER(D609)),"Needs the amount",IF(C609="","Needs an envelope",IF(COUNTIF(Envelopes!$B$6:$B$21,C609)=0,"Not on Envelopes",IF(F609="",IF(D609=0,"Needs the amount",""),IF(COUNTIF(Envelopes!$B$6:$B$21,F609)=0,"Moved to: not on Envelopes",IF(D609&lt;=0,"A move needs an amount",IF(F609=C609,"Moved to the same envelope","")))))))))</f>
        <v/>
      </c>
      <c r="H609" s="1">
        <f>IF(ISNUMBER(B609),INT(B609),0)</f>
        <v/>
      </c>
      <c r="I609">
        <f>IF(AND(H609&gt;0,ISNUMBER(D609),COUNTIF(Envelopes!$B$6:$B$21,C609)&gt;0,F609=""),1,0)</f>
        <v/>
      </c>
      <c r="J609">
        <f>IF(AND(H609&gt;0,ISNUMBER(D609),COUNTIF(Envelopes!$B$6:$B$21,C609)&gt;0,F609&lt;&gt;"",COUNTIF(Envelopes!$B$6:$B$21,F609)&gt;0),1,0)</f>
        <v/>
      </c>
      <c r="K609">
        <f>IF(I609=1,H609*10000+ROW(),"")</f>
        <v/>
      </c>
    </row>
    <row r="610">
      <c r="A610" s="1" t="n"/>
      <c r="B610" s="21" t="n"/>
      <c r="C610" s="23" t="n"/>
      <c r="D610" s="22" t="n"/>
      <c r="E610" s="24" t="n"/>
      <c r="F610" s="25" t="n"/>
      <c r="G610" s="18">
        <f>IF(AND(C610="",D610=""),"",IF(NOT(ISNUMBER(B610)),"Needs a date",IF(NOT(ISNUMBER(D610)),"Needs the amount",IF(C610="","Needs an envelope",IF(COUNTIF(Envelopes!$B$6:$B$21,C610)=0,"Not on Envelopes",IF(F610="",IF(D610=0,"Needs the amount",""),IF(COUNTIF(Envelopes!$B$6:$B$21,F610)=0,"Moved to: not on Envelopes",IF(D610&lt;=0,"A move needs an amount",IF(F610=C610,"Moved to the same envelope","")))))))))</f>
        <v/>
      </c>
      <c r="H610" s="1">
        <f>IF(ISNUMBER(B610),INT(B610),0)</f>
        <v/>
      </c>
      <c r="I610">
        <f>IF(AND(H610&gt;0,ISNUMBER(D610),COUNTIF(Envelopes!$B$6:$B$21,C610)&gt;0,F610=""),1,0)</f>
        <v/>
      </c>
      <c r="J610">
        <f>IF(AND(H610&gt;0,ISNUMBER(D610),COUNTIF(Envelopes!$B$6:$B$21,C610)&gt;0,F610&lt;&gt;"",COUNTIF(Envelopes!$B$6:$B$21,F610)&gt;0),1,0)</f>
        <v/>
      </c>
      <c r="K610">
        <f>IF(I610=1,H610*10000+ROW(),"")</f>
        <v/>
      </c>
    </row>
    <row r="611">
      <c r="A611" s="1" t="n"/>
      <c r="B611" s="21" t="n"/>
      <c r="C611" s="23" t="n"/>
      <c r="D611" s="22" t="n"/>
      <c r="E611" s="24" t="n"/>
      <c r="F611" s="25" t="n"/>
      <c r="G611" s="18">
        <f>IF(AND(C611="",D611=""),"",IF(NOT(ISNUMBER(B611)),"Needs a date",IF(NOT(ISNUMBER(D611)),"Needs the amount",IF(C611="","Needs an envelope",IF(COUNTIF(Envelopes!$B$6:$B$21,C611)=0,"Not on Envelopes",IF(F611="",IF(D611=0,"Needs the amount",""),IF(COUNTIF(Envelopes!$B$6:$B$21,F611)=0,"Moved to: not on Envelopes",IF(D611&lt;=0,"A move needs an amount",IF(F611=C611,"Moved to the same envelope","")))))))))</f>
        <v/>
      </c>
      <c r="H611" s="1">
        <f>IF(ISNUMBER(B611),INT(B611),0)</f>
        <v/>
      </c>
      <c r="I611">
        <f>IF(AND(H611&gt;0,ISNUMBER(D611),COUNTIF(Envelopes!$B$6:$B$21,C611)&gt;0,F611=""),1,0)</f>
        <v/>
      </c>
      <c r="J611">
        <f>IF(AND(H611&gt;0,ISNUMBER(D611),COUNTIF(Envelopes!$B$6:$B$21,C611)&gt;0,F611&lt;&gt;"",COUNTIF(Envelopes!$B$6:$B$21,F611)&gt;0),1,0)</f>
        <v/>
      </c>
      <c r="K611">
        <f>IF(I611=1,H611*10000+ROW(),"")</f>
        <v/>
      </c>
    </row>
    <row r="612">
      <c r="A612" s="1" t="n"/>
      <c r="B612" s="21" t="n"/>
      <c r="C612" s="23" t="n"/>
      <c r="D612" s="22" t="n"/>
      <c r="E612" s="24" t="n"/>
      <c r="F612" s="25" t="n"/>
      <c r="G612" s="18">
        <f>IF(AND(C612="",D612=""),"",IF(NOT(ISNUMBER(B612)),"Needs a date",IF(NOT(ISNUMBER(D612)),"Needs the amount",IF(C612="","Needs an envelope",IF(COUNTIF(Envelopes!$B$6:$B$21,C612)=0,"Not on Envelopes",IF(F612="",IF(D612=0,"Needs the amount",""),IF(COUNTIF(Envelopes!$B$6:$B$21,F612)=0,"Moved to: not on Envelopes",IF(D612&lt;=0,"A move needs an amount",IF(F612=C612,"Moved to the same envelope","")))))))))</f>
        <v/>
      </c>
      <c r="H612" s="1">
        <f>IF(ISNUMBER(B612),INT(B612),0)</f>
        <v/>
      </c>
      <c r="I612">
        <f>IF(AND(H612&gt;0,ISNUMBER(D612),COUNTIF(Envelopes!$B$6:$B$21,C612)&gt;0,F612=""),1,0)</f>
        <v/>
      </c>
      <c r="J612">
        <f>IF(AND(H612&gt;0,ISNUMBER(D612),COUNTIF(Envelopes!$B$6:$B$21,C612)&gt;0,F612&lt;&gt;"",COUNTIF(Envelopes!$B$6:$B$21,F612)&gt;0),1,0)</f>
        <v/>
      </c>
      <c r="K612">
        <f>IF(I612=1,H612*10000+ROW(),"")</f>
        <v/>
      </c>
    </row>
    <row r="613">
      <c r="A613" s="1" t="n"/>
      <c r="B613" s="21" t="n"/>
      <c r="C613" s="23" t="n"/>
      <c r="D613" s="22" t="n"/>
      <c r="E613" s="24" t="n"/>
      <c r="F613" s="25" t="n"/>
      <c r="G613" s="18">
        <f>IF(AND(C613="",D613=""),"",IF(NOT(ISNUMBER(B613)),"Needs a date",IF(NOT(ISNUMBER(D613)),"Needs the amount",IF(C613="","Needs an envelope",IF(COUNTIF(Envelopes!$B$6:$B$21,C613)=0,"Not on Envelopes",IF(F613="",IF(D613=0,"Needs the amount",""),IF(COUNTIF(Envelopes!$B$6:$B$21,F613)=0,"Moved to: not on Envelopes",IF(D613&lt;=0,"A move needs an amount",IF(F613=C613,"Moved to the same envelope","")))))))))</f>
        <v/>
      </c>
      <c r="H613" s="1">
        <f>IF(ISNUMBER(B613),INT(B613),0)</f>
        <v/>
      </c>
      <c r="I613">
        <f>IF(AND(H613&gt;0,ISNUMBER(D613),COUNTIF(Envelopes!$B$6:$B$21,C613)&gt;0,F613=""),1,0)</f>
        <v/>
      </c>
      <c r="J613">
        <f>IF(AND(H613&gt;0,ISNUMBER(D613),COUNTIF(Envelopes!$B$6:$B$21,C613)&gt;0,F613&lt;&gt;"",COUNTIF(Envelopes!$B$6:$B$21,F613)&gt;0),1,0)</f>
        <v/>
      </c>
      <c r="K613">
        <f>IF(I613=1,H613*10000+ROW(),"")</f>
        <v/>
      </c>
    </row>
    <row r="614">
      <c r="A614" s="1" t="n"/>
      <c r="B614" s="21" t="n"/>
      <c r="C614" s="23" t="n"/>
      <c r="D614" s="22" t="n"/>
      <c r="E614" s="24" t="n"/>
      <c r="F614" s="25" t="n"/>
      <c r="G614" s="18">
        <f>IF(AND(C614="",D614=""),"",IF(NOT(ISNUMBER(B614)),"Needs a date",IF(NOT(ISNUMBER(D614)),"Needs the amount",IF(C614="","Needs an envelope",IF(COUNTIF(Envelopes!$B$6:$B$21,C614)=0,"Not on Envelopes",IF(F614="",IF(D614=0,"Needs the amount",""),IF(COUNTIF(Envelopes!$B$6:$B$21,F614)=0,"Moved to: not on Envelopes",IF(D614&lt;=0,"A move needs an amount",IF(F614=C614,"Moved to the same envelope","")))))))))</f>
        <v/>
      </c>
      <c r="H614" s="1">
        <f>IF(ISNUMBER(B614),INT(B614),0)</f>
        <v/>
      </c>
      <c r="I614">
        <f>IF(AND(H614&gt;0,ISNUMBER(D614),COUNTIF(Envelopes!$B$6:$B$21,C614)&gt;0,F614=""),1,0)</f>
        <v/>
      </c>
      <c r="J614">
        <f>IF(AND(H614&gt;0,ISNUMBER(D614),COUNTIF(Envelopes!$B$6:$B$21,C614)&gt;0,F614&lt;&gt;"",COUNTIF(Envelopes!$B$6:$B$21,F614)&gt;0),1,0)</f>
        <v/>
      </c>
      <c r="K614">
        <f>IF(I614=1,H614*10000+ROW(),"")</f>
        <v/>
      </c>
    </row>
    <row r="615">
      <c r="A615" s="1" t="n"/>
      <c r="B615" s="21" t="n"/>
      <c r="C615" s="23" t="n"/>
      <c r="D615" s="22" t="n"/>
      <c r="E615" s="24" t="n"/>
      <c r="F615" s="25" t="n"/>
      <c r="G615" s="18">
        <f>IF(AND(C615="",D615=""),"",IF(NOT(ISNUMBER(B615)),"Needs a date",IF(NOT(ISNUMBER(D615)),"Needs the amount",IF(C615="","Needs an envelope",IF(COUNTIF(Envelopes!$B$6:$B$21,C615)=0,"Not on Envelopes",IF(F615="",IF(D615=0,"Needs the amount",""),IF(COUNTIF(Envelopes!$B$6:$B$21,F615)=0,"Moved to: not on Envelopes",IF(D615&lt;=0,"A move needs an amount",IF(F615=C615,"Moved to the same envelope","")))))))))</f>
        <v/>
      </c>
      <c r="H615" s="1">
        <f>IF(ISNUMBER(B615),INT(B615),0)</f>
        <v/>
      </c>
      <c r="I615">
        <f>IF(AND(H615&gt;0,ISNUMBER(D615),COUNTIF(Envelopes!$B$6:$B$21,C615)&gt;0,F615=""),1,0)</f>
        <v/>
      </c>
      <c r="J615">
        <f>IF(AND(H615&gt;0,ISNUMBER(D615),COUNTIF(Envelopes!$B$6:$B$21,C615)&gt;0,F615&lt;&gt;"",COUNTIF(Envelopes!$B$6:$B$21,F615)&gt;0),1,0)</f>
        <v/>
      </c>
      <c r="K615">
        <f>IF(I615=1,H615*10000+ROW(),"")</f>
        <v/>
      </c>
    </row>
    <row r="616">
      <c r="A616" s="1" t="n"/>
      <c r="B616" s="21" t="n"/>
      <c r="C616" s="23" t="n"/>
      <c r="D616" s="22" t="n"/>
      <c r="E616" s="24" t="n"/>
      <c r="F616" s="25" t="n"/>
      <c r="G616" s="18">
        <f>IF(AND(C616="",D616=""),"",IF(NOT(ISNUMBER(B616)),"Needs a date",IF(NOT(ISNUMBER(D616)),"Needs the amount",IF(C616="","Needs an envelope",IF(COUNTIF(Envelopes!$B$6:$B$21,C616)=0,"Not on Envelopes",IF(F616="",IF(D616=0,"Needs the amount",""),IF(COUNTIF(Envelopes!$B$6:$B$21,F616)=0,"Moved to: not on Envelopes",IF(D616&lt;=0,"A move needs an amount",IF(F616=C616,"Moved to the same envelope","")))))))))</f>
        <v/>
      </c>
      <c r="H616" s="1">
        <f>IF(ISNUMBER(B616),INT(B616),0)</f>
        <v/>
      </c>
      <c r="I616">
        <f>IF(AND(H616&gt;0,ISNUMBER(D616),COUNTIF(Envelopes!$B$6:$B$21,C616)&gt;0,F616=""),1,0)</f>
        <v/>
      </c>
      <c r="J616">
        <f>IF(AND(H616&gt;0,ISNUMBER(D616),COUNTIF(Envelopes!$B$6:$B$21,C616)&gt;0,F616&lt;&gt;"",COUNTIF(Envelopes!$B$6:$B$21,F616)&gt;0),1,0)</f>
        <v/>
      </c>
      <c r="K616">
        <f>IF(I616=1,H616*10000+ROW(),"")</f>
        <v/>
      </c>
    </row>
    <row r="617">
      <c r="A617" s="1" t="n"/>
      <c r="B617" s="21" t="n"/>
      <c r="C617" s="23" t="n"/>
      <c r="D617" s="22" t="n"/>
      <c r="E617" s="24" t="n"/>
      <c r="F617" s="25" t="n"/>
      <c r="G617" s="18">
        <f>IF(AND(C617="",D617=""),"",IF(NOT(ISNUMBER(B617)),"Needs a date",IF(NOT(ISNUMBER(D617)),"Needs the amount",IF(C617="","Needs an envelope",IF(COUNTIF(Envelopes!$B$6:$B$21,C617)=0,"Not on Envelopes",IF(F617="",IF(D617=0,"Needs the amount",""),IF(COUNTIF(Envelopes!$B$6:$B$21,F617)=0,"Moved to: not on Envelopes",IF(D617&lt;=0,"A move needs an amount",IF(F617=C617,"Moved to the same envelope","")))))))))</f>
        <v/>
      </c>
      <c r="H617" s="1">
        <f>IF(ISNUMBER(B617),INT(B617),0)</f>
        <v/>
      </c>
      <c r="I617">
        <f>IF(AND(H617&gt;0,ISNUMBER(D617),COUNTIF(Envelopes!$B$6:$B$21,C617)&gt;0,F617=""),1,0)</f>
        <v/>
      </c>
      <c r="J617">
        <f>IF(AND(H617&gt;0,ISNUMBER(D617),COUNTIF(Envelopes!$B$6:$B$21,C617)&gt;0,F617&lt;&gt;"",COUNTIF(Envelopes!$B$6:$B$21,F617)&gt;0),1,0)</f>
        <v/>
      </c>
      <c r="K617">
        <f>IF(I617=1,H617*10000+ROW(),"")</f>
        <v/>
      </c>
    </row>
    <row r="618">
      <c r="A618" s="1" t="n"/>
      <c r="B618" s="21" t="n"/>
      <c r="C618" s="23" t="n"/>
      <c r="D618" s="22" t="n"/>
      <c r="E618" s="24" t="n"/>
      <c r="F618" s="25" t="n"/>
      <c r="G618" s="18">
        <f>IF(AND(C618="",D618=""),"",IF(NOT(ISNUMBER(B618)),"Needs a date",IF(NOT(ISNUMBER(D618)),"Needs the amount",IF(C618="","Needs an envelope",IF(COUNTIF(Envelopes!$B$6:$B$21,C618)=0,"Not on Envelopes",IF(F618="",IF(D618=0,"Needs the amount",""),IF(COUNTIF(Envelopes!$B$6:$B$21,F618)=0,"Moved to: not on Envelopes",IF(D618&lt;=0,"A move needs an amount",IF(F618=C618,"Moved to the same envelope","")))))))))</f>
        <v/>
      </c>
      <c r="H618" s="1">
        <f>IF(ISNUMBER(B618),INT(B618),0)</f>
        <v/>
      </c>
      <c r="I618">
        <f>IF(AND(H618&gt;0,ISNUMBER(D618),COUNTIF(Envelopes!$B$6:$B$21,C618)&gt;0,F618=""),1,0)</f>
        <v/>
      </c>
      <c r="J618">
        <f>IF(AND(H618&gt;0,ISNUMBER(D618),COUNTIF(Envelopes!$B$6:$B$21,C618)&gt;0,F618&lt;&gt;"",COUNTIF(Envelopes!$B$6:$B$21,F618)&gt;0),1,0)</f>
        <v/>
      </c>
      <c r="K618">
        <f>IF(I618=1,H618*10000+ROW(),"")</f>
        <v/>
      </c>
    </row>
    <row r="619">
      <c r="A619" s="1" t="n"/>
      <c r="B619" s="21" t="n"/>
      <c r="C619" s="23" t="n"/>
      <c r="D619" s="22" t="n"/>
      <c r="E619" s="24" t="n"/>
      <c r="F619" s="25" t="n"/>
      <c r="G619" s="18">
        <f>IF(AND(C619="",D619=""),"",IF(NOT(ISNUMBER(B619)),"Needs a date",IF(NOT(ISNUMBER(D619)),"Needs the amount",IF(C619="","Needs an envelope",IF(COUNTIF(Envelopes!$B$6:$B$21,C619)=0,"Not on Envelopes",IF(F619="",IF(D619=0,"Needs the amount",""),IF(COUNTIF(Envelopes!$B$6:$B$21,F619)=0,"Moved to: not on Envelopes",IF(D619&lt;=0,"A move needs an amount",IF(F619=C619,"Moved to the same envelope","")))))))))</f>
        <v/>
      </c>
      <c r="H619" s="1">
        <f>IF(ISNUMBER(B619),INT(B619),0)</f>
        <v/>
      </c>
      <c r="I619">
        <f>IF(AND(H619&gt;0,ISNUMBER(D619),COUNTIF(Envelopes!$B$6:$B$21,C619)&gt;0,F619=""),1,0)</f>
        <v/>
      </c>
      <c r="J619">
        <f>IF(AND(H619&gt;0,ISNUMBER(D619),COUNTIF(Envelopes!$B$6:$B$21,C619)&gt;0,F619&lt;&gt;"",COUNTIF(Envelopes!$B$6:$B$21,F619)&gt;0),1,0)</f>
        <v/>
      </c>
      <c r="K619">
        <f>IF(I619=1,H619*10000+ROW(),"")</f>
        <v/>
      </c>
    </row>
    <row r="620">
      <c r="A620" s="1" t="n"/>
      <c r="B620" s="21" t="n"/>
      <c r="C620" s="23" t="n"/>
      <c r="D620" s="22" t="n"/>
      <c r="E620" s="24" t="n"/>
      <c r="F620" s="25" t="n"/>
      <c r="G620" s="18">
        <f>IF(AND(C620="",D620=""),"",IF(NOT(ISNUMBER(B620)),"Needs a date",IF(NOT(ISNUMBER(D620)),"Needs the amount",IF(C620="","Needs an envelope",IF(COUNTIF(Envelopes!$B$6:$B$21,C620)=0,"Not on Envelopes",IF(F620="",IF(D620=0,"Needs the amount",""),IF(COUNTIF(Envelopes!$B$6:$B$21,F620)=0,"Moved to: not on Envelopes",IF(D620&lt;=0,"A move needs an amount",IF(F620=C620,"Moved to the same envelope","")))))))))</f>
        <v/>
      </c>
      <c r="H620" s="1">
        <f>IF(ISNUMBER(B620),INT(B620),0)</f>
        <v/>
      </c>
      <c r="I620">
        <f>IF(AND(H620&gt;0,ISNUMBER(D620),COUNTIF(Envelopes!$B$6:$B$21,C620)&gt;0,F620=""),1,0)</f>
        <v/>
      </c>
      <c r="J620">
        <f>IF(AND(H620&gt;0,ISNUMBER(D620),COUNTIF(Envelopes!$B$6:$B$21,C620)&gt;0,F620&lt;&gt;"",COUNTIF(Envelopes!$B$6:$B$21,F620)&gt;0),1,0)</f>
        <v/>
      </c>
      <c r="K620">
        <f>IF(I620=1,H620*10000+ROW(),"")</f>
        <v/>
      </c>
    </row>
    <row r="621">
      <c r="A621" s="1" t="n"/>
      <c r="B621" s="21" t="n"/>
      <c r="C621" s="23" t="n"/>
      <c r="D621" s="22" t="n"/>
      <c r="E621" s="24" t="n"/>
      <c r="F621" s="25" t="n"/>
      <c r="G621" s="18">
        <f>IF(AND(C621="",D621=""),"",IF(NOT(ISNUMBER(B621)),"Needs a date",IF(NOT(ISNUMBER(D621)),"Needs the amount",IF(C621="","Needs an envelope",IF(COUNTIF(Envelopes!$B$6:$B$21,C621)=0,"Not on Envelopes",IF(F621="",IF(D621=0,"Needs the amount",""),IF(COUNTIF(Envelopes!$B$6:$B$21,F621)=0,"Moved to: not on Envelopes",IF(D621&lt;=0,"A move needs an amount",IF(F621=C621,"Moved to the same envelope","")))))))))</f>
        <v/>
      </c>
      <c r="H621" s="1">
        <f>IF(ISNUMBER(B621),INT(B621),0)</f>
        <v/>
      </c>
      <c r="I621">
        <f>IF(AND(H621&gt;0,ISNUMBER(D621),COUNTIF(Envelopes!$B$6:$B$21,C621)&gt;0,F621=""),1,0)</f>
        <v/>
      </c>
      <c r="J621">
        <f>IF(AND(H621&gt;0,ISNUMBER(D621),COUNTIF(Envelopes!$B$6:$B$21,C621)&gt;0,F621&lt;&gt;"",COUNTIF(Envelopes!$B$6:$B$21,F621)&gt;0),1,0)</f>
        <v/>
      </c>
      <c r="K621">
        <f>IF(I621=1,H621*10000+ROW(),"")</f>
        <v/>
      </c>
    </row>
    <row r="622">
      <c r="A622" s="1" t="n"/>
      <c r="B622" s="21" t="n"/>
      <c r="C622" s="23" t="n"/>
      <c r="D622" s="22" t="n"/>
      <c r="E622" s="24" t="n"/>
      <c r="F622" s="25" t="n"/>
      <c r="G622" s="18">
        <f>IF(AND(C622="",D622=""),"",IF(NOT(ISNUMBER(B622)),"Needs a date",IF(NOT(ISNUMBER(D622)),"Needs the amount",IF(C622="","Needs an envelope",IF(COUNTIF(Envelopes!$B$6:$B$21,C622)=0,"Not on Envelopes",IF(F622="",IF(D622=0,"Needs the amount",""),IF(COUNTIF(Envelopes!$B$6:$B$21,F622)=0,"Moved to: not on Envelopes",IF(D622&lt;=0,"A move needs an amount",IF(F622=C622,"Moved to the same envelope","")))))))))</f>
        <v/>
      </c>
      <c r="H622" s="1">
        <f>IF(ISNUMBER(B622),INT(B622),0)</f>
        <v/>
      </c>
      <c r="I622">
        <f>IF(AND(H622&gt;0,ISNUMBER(D622),COUNTIF(Envelopes!$B$6:$B$21,C622)&gt;0,F622=""),1,0)</f>
        <v/>
      </c>
      <c r="J622">
        <f>IF(AND(H622&gt;0,ISNUMBER(D622),COUNTIF(Envelopes!$B$6:$B$21,C622)&gt;0,F622&lt;&gt;"",COUNTIF(Envelopes!$B$6:$B$21,F622)&gt;0),1,0)</f>
        <v/>
      </c>
      <c r="K622">
        <f>IF(I622=1,H622*10000+ROW(),"")</f>
        <v/>
      </c>
    </row>
    <row r="623">
      <c r="A623" s="1" t="n"/>
      <c r="B623" s="21" t="n"/>
      <c r="C623" s="23" t="n"/>
      <c r="D623" s="22" t="n"/>
      <c r="E623" s="24" t="n"/>
      <c r="F623" s="25" t="n"/>
      <c r="G623" s="18">
        <f>IF(AND(C623="",D623=""),"",IF(NOT(ISNUMBER(B623)),"Needs a date",IF(NOT(ISNUMBER(D623)),"Needs the amount",IF(C623="","Needs an envelope",IF(COUNTIF(Envelopes!$B$6:$B$21,C623)=0,"Not on Envelopes",IF(F623="",IF(D623=0,"Needs the amount",""),IF(COUNTIF(Envelopes!$B$6:$B$21,F623)=0,"Moved to: not on Envelopes",IF(D623&lt;=0,"A move needs an amount",IF(F623=C623,"Moved to the same envelope","")))))))))</f>
        <v/>
      </c>
      <c r="H623" s="1">
        <f>IF(ISNUMBER(B623),INT(B623),0)</f>
        <v/>
      </c>
      <c r="I623">
        <f>IF(AND(H623&gt;0,ISNUMBER(D623),COUNTIF(Envelopes!$B$6:$B$21,C623)&gt;0,F623=""),1,0)</f>
        <v/>
      </c>
      <c r="J623">
        <f>IF(AND(H623&gt;0,ISNUMBER(D623),COUNTIF(Envelopes!$B$6:$B$21,C623)&gt;0,F623&lt;&gt;"",COUNTIF(Envelopes!$B$6:$B$21,F623)&gt;0),1,0)</f>
        <v/>
      </c>
      <c r="K623">
        <f>IF(I623=1,H623*10000+ROW(),"")</f>
        <v/>
      </c>
    </row>
    <row r="624">
      <c r="A624" s="1" t="n"/>
      <c r="B624" s="21" t="n"/>
      <c r="C624" s="23" t="n"/>
      <c r="D624" s="22" t="n"/>
      <c r="E624" s="24" t="n"/>
      <c r="F624" s="25" t="n"/>
      <c r="G624" s="18">
        <f>IF(AND(C624="",D624=""),"",IF(NOT(ISNUMBER(B624)),"Needs a date",IF(NOT(ISNUMBER(D624)),"Needs the amount",IF(C624="","Needs an envelope",IF(COUNTIF(Envelopes!$B$6:$B$21,C624)=0,"Not on Envelopes",IF(F624="",IF(D624=0,"Needs the amount",""),IF(COUNTIF(Envelopes!$B$6:$B$21,F624)=0,"Moved to: not on Envelopes",IF(D624&lt;=0,"A move needs an amount",IF(F624=C624,"Moved to the same envelope","")))))))))</f>
        <v/>
      </c>
      <c r="H624" s="1">
        <f>IF(ISNUMBER(B624),INT(B624),0)</f>
        <v/>
      </c>
      <c r="I624">
        <f>IF(AND(H624&gt;0,ISNUMBER(D624),COUNTIF(Envelopes!$B$6:$B$21,C624)&gt;0,F624=""),1,0)</f>
        <v/>
      </c>
      <c r="J624">
        <f>IF(AND(H624&gt;0,ISNUMBER(D624),COUNTIF(Envelopes!$B$6:$B$21,C624)&gt;0,F624&lt;&gt;"",COUNTIF(Envelopes!$B$6:$B$21,F624)&gt;0),1,0)</f>
        <v/>
      </c>
      <c r="K624">
        <f>IF(I624=1,H624*10000+ROW(),"")</f>
        <v/>
      </c>
    </row>
    <row r="625">
      <c r="A625" s="1" t="n"/>
      <c r="B625" s="21" t="n"/>
      <c r="C625" s="23" t="n"/>
      <c r="D625" s="22" t="n"/>
      <c r="E625" s="24" t="n"/>
      <c r="F625" s="25" t="n"/>
      <c r="G625" s="18">
        <f>IF(AND(C625="",D625=""),"",IF(NOT(ISNUMBER(B625)),"Needs a date",IF(NOT(ISNUMBER(D625)),"Needs the amount",IF(C625="","Needs an envelope",IF(COUNTIF(Envelopes!$B$6:$B$21,C625)=0,"Not on Envelopes",IF(F625="",IF(D625=0,"Needs the amount",""),IF(COUNTIF(Envelopes!$B$6:$B$21,F625)=0,"Moved to: not on Envelopes",IF(D625&lt;=0,"A move needs an amount",IF(F625=C625,"Moved to the same envelope","")))))))))</f>
        <v/>
      </c>
      <c r="H625" s="1">
        <f>IF(ISNUMBER(B625),INT(B625),0)</f>
        <v/>
      </c>
      <c r="I625">
        <f>IF(AND(H625&gt;0,ISNUMBER(D625),COUNTIF(Envelopes!$B$6:$B$21,C625)&gt;0,F625=""),1,0)</f>
        <v/>
      </c>
      <c r="J625">
        <f>IF(AND(H625&gt;0,ISNUMBER(D625),COUNTIF(Envelopes!$B$6:$B$21,C625)&gt;0,F625&lt;&gt;"",COUNTIF(Envelopes!$B$6:$B$21,F625)&gt;0),1,0)</f>
        <v/>
      </c>
      <c r="K625">
        <f>IF(I625=1,H625*10000+ROW(),"")</f>
        <v/>
      </c>
    </row>
    <row r="626">
      <c r="A626" s="1" t="n"/>
      <c r="B626" s="21" t="n"/>
      <c r="C626" s="23" t="n"/>
      <c r="D626" s="22" t="n"/>
      <c r="E626" s="24" t="n"/>
      <c r="F626" s="25" t="n"/>
      <c r="G626" s="18">
        <f>IF(AND(C626="",D626=""),"",IF(NOT(ISNUMBER(B626)),"Needs a date",IF(NOT(ISNUMBER(D626)),"Needs the amount",IF(C626="","Needs an envelope",IF(COUNTIF(Envelopes!$B$6:$B$21,C626)=0,"Not on Envelopes",IF(F626="",IF(D626=0,"Needs the amount",""),IF(COUNTIF(Envelopes!$B$6:$B$21,F626)=0,"Moved to: not on Envelopes",IF(D626&lt;=0,"A move needs an amount",IF(F626=C626,"Moved to the same envelope","")))))))))</f>
        <v/>
      </c>
      <c r="H626" s="1">
        <f>IF(ISNUMBER(B626),INT(B626),0)</f>
        <v/>
      </c>
      <c r="I626">
        <f>IF(AND(H626&gt;0,ISNUMBER(D626),COUNTIF(Envelopes!$B$6:$B$21,C626)&gt;0,F626=""),1,0)</f>
        <v/>
      </c>
      <c r="J626">
        <f>IF(AND(H626&gt;0,ISNUMBER(D626),COUNTIF(Envelopes!$B$6:$B$21,C626)&gt;0,F626&lt;&gt;"",COUNTIF(Envelopes!$B$6:$B$21,F626)&gt;0),1,0)</f>
        <v/>
      </c>
      <c r="K626">
        <f>IF(I626=1,H626*10000+ROW(),"")</f>
        <v/>
      </c>
    </row>
    <row r="627">
      <c r="A627" s="1" t="n"/>
      <c r="B627" s="21" t="n"/>
      <c r="C627" s="23" t="n"/>
      <c r="D627" s="22" t="n"/>
      <c r="E627" s="24" t="n"/>
      <c r="F627" s="25" t="n"/>
      <c r="G627" s="18">
        <f>IF(AND(C627="",D627=""),"",IF(NOT(ISNUMBER(B627)),"Needs a date",IF(NOT(ISNUMBER(D627)),"Needs the amount",IF(C627="","Needs an envelope",IF(COUNTIF(Envelopes!$B$6:$B$21,C627)=0,"Not on Envelopes",IF(F627="",IF(D627=0,"Needs the amount",""),IF(COUNTIF(Envelopes!$B$6:$B$21,F627)=0,"Moved to: not on Envelopes",IF(D627&lt;=0,"A move needs an amount",IF(F627=C627,"Moved to the same envelope","")))))))))</f>
        <v/>
      </c>
      <c r="H627" s="1">
        <f>IF(ISNUMBER(B627),INT(B627),0)</f>
        <v/>
      </c>
      <c r="I627">
        <f>IF(AND(H627&gt;0,ISNUMBER(D627),COUNTIF(Envelopes!$B$6:$B$21,C627)&gt;0,F627=""),1,0)</f>
        <v/>
      </c>
      <c r="J627">
        <f>IF(AND(H627&gt;0,ISNUMBER(D627),COUNTIF(Envelopes!$B$6:$B$21,C627)&gt;0,F627&lt;&gt;"",COUNTIF(Envelopes!$B$6:$B$21,F627)&gt;0),1,0)</f>
        <v/>
      </c>
      <c r="K627">
        <f>IF(I627=1,H627*10000+ROW(),"")</f>
        <v/>
      </c>
    </row>
    <row r="628">
      <c r="A628" s="1" t="n"/>
      <c r="B628" s="21" t="n"/>
      <c r="C628" s="23" t="n"/>
      <c r="D628" s="22" t="n"/>
      <c r="E628" s="24" t="n"/>
      <c r="F628" s="25" t="n"/>
      <c r="G628" s="18">
        <f>IF(AND(C628="",D628=""),"",IF(NOT(ISNUMBER(B628)),"Needs a date",IF(NOT(ISNUMBER(D628)),"Needs the amount",IF(C628="","Needs an envelope",IF(COUNTIF(Envelopes!$B$6:$B$21,C628)=0,"Not on Envelopes",IF(F628="",IF(D628=0,"Needs the amount",""),IF(COUNTIF(Envelopes!$B$6:$B$21,F628)=0,"Moved to: not on Envelopes",IF(D628&lt;=0,"A move needs an amount",IF(F628=C628,"Moved to the same envelope","")))))))))</f>
        <v/>
      </c>
      <c r="H628" s="1">
        <f>IF(ISNUMBER(B628),INT(B628),0)</f>
        <v/>
      </c>
      <c r="I628">
        <f>IF(AND(H628&gt;0,ISNUMBER(D628),COUNTIF(Envelopes!$B$6:$B$21,C628)&gt;0,F628=""),1,0)</f>
        <v/>
      </c>
      <c r="J628">
        <f>IF(AND(H628&gt;0,ISNUMBER(D628),COUNTIF(Envelopes!$B$6:$B$21,C628)&gt;0,F628&lt;&gt;"",COUNTIF(Envelopes!$B$6:$B$21,F628)&gt;0),1,0)</f>
        <v/>
      </c>
      <c r="K628">
        <f>IF(I628=1,H628*10000+ROW(),"")</f>
        <v/>
      </c>
    </row>
    <row r="629">
      <c r="A629" s="1" t="n"/>
      <c r="B629" s="21" t="n"/>
      <c r="C629" s="23" t="n"/>
      <c r="D629" s="22" t="n"/>
      <c r="E629" s="24" t="n"/>
      <c r="F629" s="25" t="n"/>
      <c r="G629" s="18">
        <f>IF(AND(C629="",D629=""),"",IF(NOT(ISNUMBER(B629)),"Needs a date",IF(NOT(ISNUMBER(D629)),"Needs the amount",IF(C629="","Needs an envelope",IF(COUNTIF(Envelopes!$B$6:$B$21,C629)=0,"Not on Envelopes",IF(F629="",IF(D629=0,"Needs the amount",""),IF(COUNTIF(Envelopes!$B$6:$B$21,F629)=0,"Moved to: not on Envelopes",IF(D629&lt;=0,"A move needs an amount",IF(F629=C629,"Moved to the same envelope","")))))))))</f>
        <v/>
      </c>
      <c r="H629" s="1">
        <f>IF(ISNUMBER(B629),INT(B629),0)</f>
        <v/>
      </c>
      <c r="I629">
        <f>IF(AND(H629&gt;0,ISNUMBER(D629),COUNTIF(Envelopes!$B$6:$B$21,C629)&gt;0,F629=""),1,0)</f>
        <v/>
      </c>
      <c r="J629">
        <f>IF(AND(H629&gt;0,ISNUMBER(D629),COUNTIF(Envelopes!$B$6:$B$21,C629)&gt;0,F629&lt;&gt;"",COUNTIF(Envelopes!$B$6:$B$21,F629)&gt;0),1,0)</f>
        <v/>
      </c>
      <c r="K629">
        <f>IF(I629=1,H629*10000+ROW(),"")</f>
        <v/>
      </c>
    </row>
    <row r="630">
      <c r="A630" s="1" t="n"/>
      <c r="B630" s="21" t="n"/>
      <c r="C630" s="23" t="n"/>
      <c r="D630" s="22" t="n"/>
      <c r="E630" s="24" t="n"/>
      <c r="F630" s="25" t="n"/>
      <c r="G630" s="18">
        <f>IF(AND(C630="",D630=""),"",IF(NOT(ISNUMBER(B630)),"Needs a date",IF(NOT(ISNUMBER(D630)),"Needs the amount",IF(C630="","Needs an envelope",IF(COUNTIF(Envelopes!$B$6:$B$21,C630)=0,"Not on Envelopes",IF(F630="",IF(D630=0,"Needs the amount",""),IF(COUNTIF(Envelopes!$B$6:$B$21,F630)=0,"Moved to: not on Envelopes",IF(D630&lt;=0,"A move needs an amount",IF(F630=C630,"Moved to the same envelope","")))))))))</f>
        <v/>
      </c>
      <c r="H630" s="1">
        <f>IF(ISNUMBER(B630),INT(B630),0)</f>
        <v/>
      </c>
      <c r="I630">
        <f>IF(AND(H630&gt;0,ISNUMBER(D630),COUNTIF(Envelopes!$B$6:$B$21,C630)&gt;0,F630=""),1,0)</f>
        <v/>
      </c>
      <c r="J630">
        <f>IF(AND(H630&gt;0,ISNUMBER(D630),COUNTIF(Envelopes!$B$6:$B$21,C630)&gt;0,F630&lt;&gt;"",COUNTIF(Envelopes!$B$6:$B$21,F630)&gt;0),1,0)</f>
        <v/>
      </c>
      <c r="K630">
        <f>IF(I630=1,H630*10000+ROW(),"")</f>
        <v/>
      </c>
    </row>
    <row r="631">
      <c r="A631" s="1" t="n"/>
      <c r="B631" s="21" t="n"/>
      <c r="C631" s="23" t="n"/>
      <c r="D631" s="22" t="n"/>
      <c r="E631" s="24" t="n"/>
      <c r="F631" s="25" t="n"/>
      <c r="G631" s="18">
        <f>IF(AND(C631="",D631=""),"",IF(NOT(ISNUMBER(B631)),"Needs a date",IF(NOT(ISNUMBER(D631)),"Needs the amount",IF(C631="","Needs an envelope",IF(COUNTIF(Envelopes!$B$6:$B$21,C631)=0,"Not on Envelopes",IF(F631="",IF(D631=0,"Needs the amount",""),IF(COUNTIF(Envelopes!$B$6:$B$21,F631)=0,"Moved to: not on Envelopes",IF(D631&lt;=0,"A move needs an amount",IF(F631=C631,"Moved to the same envelope","")))))))))</f>
        <v/>
      </c>
      <c r="H631" s="1">
        <f>IF(ISNUMBER(B631),INT(B631),0)</f>
        <v/>
      </c>
      <c r="I631">
        <f>IF(AND(H631&gt;0,ISNUMBER(D631),COUNTIF(Envelopes!$B$6:$B$21,C631)&gt;0,F631=""),1,0)</f>
        <v/>
      </c>
      <c r="J631">
        <f>IF(AND(H631&gt;0,ISNUMBER(D631),COUNTIF(Envelopes!$B$6:$B$21,C631)&gt;0,F631&lt;&gt;"",COUNTIF(Envelopes!$B$6:$B$21,F631)&gt;0),1,0)</f>
        <v/>
      </c>
      <c r="K631">
        <f>IF(I631=1,H631*10000+ROW(),"")</f>
        <v/>
      </c>
    </row>
    <row r="632">
      <c r="A632" s="1" t="n"/>
      <c r="B632" s="21" t="n"/>
      <c r="C632" s="23" t="n"/>
      <c r="D632" s="22" t="n"/>
      <c r="E632" s="24" t="n"/>
      <c r="F632" s="25" t="n"/>
      <c r="G632" s="18">
        <f>IF(AND(C632="",D632=""),"",IF(NOT(ISNUMBER(B632)),"Needs a date",IF(NOT(ISNUMBER(D632)),"Needs the amount",IF(C632="","Needs an envelope",IF(COUNTIF(Envelopes!$B$6:$B$21,C632)=0,"Not on Envelopes",IF(F632="",IF(D632=0,"Needs the amount",""),IF(COUNTIF(Envelopes!$B$6:$B$21,F632)=0,"Moved to: not on Envelopes",IF(D632&lt;=0,"A move needs an amount",IF(F632=C632,"Moved to the same envelope","")))))))))</f>
        <v/>
      </c>
      <c r="H632" s="1">
        <f>IF(ISNUMBER(B632),INT(B632),0)</f>
        <v/>
      </c>
      <c r="I632">
        <f>IF(AND(H632&gt;0,ISNUMBER(D632),COUNTIF(Envelopes!$B$6:$B$21,C632)&gt;0,F632=""),1,0)</f>
        <v/>
      </c>
      <c r="J632">
        <f>IF(AND(H632&gt;0,ISNUMBER(D632),COUNTIF(Envelopes!$B$6:$B$21,C632)&gt;0,F632&lt;&gt;"",COUNTIF(Envelopes!$B$6:$B$21,F632)&gt;0),1,0)</f>
        <v/>
      </c>
      <c r="K632">
        <f>IF(I632=1,H632*10000+ROW(),"")</f>
        <v/>
      </c>
    </row>
    <row r="633">
      <c r="A633" s="1" t="n"/>
      <c r="B633" s="21" t="n"/>
      <c r="C633" s="23" t="n"/>
      <c r="D633" s="22" t="n"/>
      <c r="E633" s="24" t="n"/>
      <c r="F633" s="25" t="n"/>
      <c r="G633" s="18">
        <f>IF(AND(C633="",D633=""),"",IF(NOT(ISNUMBER(B633)),"Needs a date",IF(NOT(ISNUMBER(D633)),"Needs the amount",IF(C633="","Needs an envelope",IF(COUNTIF(Envelopes!$B$6:$B$21,C633)=0,"Not on Envelopes",IF(F633="",IF(D633=0,"Needs the amount",""),IF(COUNTIF(Envelopes!$B$6:$B$21,F633)=0,"Moved to: not on Envelopes",IF(D633&lt;=0,"A move needs an amount",IF(F633=C633,"Moved to the same envelope","")))))))))</f>
        <v/>
      </c>
      <c r="H633" s="1">
        <f>IF(ISNUMBER(B633),INT(B633),0)</f>
        <v/>
      </c>
      <c r="I633">
        <f>IF(AND(H633&gt;0,ISNUMBER(D633),COUNTIF(Envelopes!$B$6:$B$21,C633)&gt;0,F633=""),1,0)</f>
        <v/>
      </c>
      <c r="J633">
        <f>IF(AND(H633&gt;0,ISNUMBER(D633),COUNTIF(Envelopes!$B$6:$B$21,C633)&gt;0,F633&lt;&gt;"",COUNTIF(Envelopes!$B$6:$B$21,F633)&gt;0),1,0)</f>
        <v/>
      </c>
      <c r="K633">
        <f>IF(I633=1,H633*10000+ROW(),"")</f>
        <v/>
      </c>
    </row>
    <row r="634">
      <c r="A634" s="1" t="n"/>
      <c r="B634" s="21" t="n"/>
      <c r="C634" s="23" t="n"/>
      <c r="D634" s="22" t="n"/>
      <c r="E634" s="24" t="n"/>
      <c r="F634" s="25" t="n"/>
      <c r="G634" s="18">
        <f>IF(AND(C634="",D634=""),"",IF(NOT(ISNUMBER(B634)),"Needs a date",IF(NOT(ISNUMBER(D634)),"Needs the amount",IF(C634="","Needs an envelope",IF(COUNTIF(Envelopes!$B$6:$B$21,C634)=0,"Not on Envelopes",IF(F634="",IF(D634=0,"Needs the amount",""),IF(COUNTIF(Envelopes!$B$6:$B$21,F634)=0,"Moved to: not on Envelopes",IF(D634&lt;=0,"A move needs an amount",IF(F634=C634,"Moved to the same envelope","")))))))))</f>
        <v/>
      </c>
      <c r="H634" s="1">
        <f>IF(ISNUMBER(B634),INT(B634),0)</f>
        <v/>
      </c>
      <c r="I634">
        <f>IF(AND(H634&gt;0,ISNUMBER(D634),COUNTIF(Envelopes!$B$6:$B$21,C634)&gt;0,F634=""),1,0)</f>
        <v/>
      </c>
      <c r="J634">
        <f>IF(AND(H634&gt;0,ISNUMBER(D634),COUNTIF(Envelopes!$B$6:$B$21,C634)&gt;0,F634&lt;&gt;"",COUNTIF(Envelopes!$B$6:$B$21,F634)&gt;0),1,0)</f>
        <v/>
      </c>
      <c r="K634">
        <f>IF(I634=1,H634*10000+ROW(),"")</f>
        <v/>
      </c>
    </row>
    <row r="635">
      <c r="A635" s="1" t="n"/>
      <c r="B635" s="21" t="n"/>
      <c r="C635" s="23" t="n"/>
      <c r="D635" s="22" t="n"/>
      <c r="E635" s="24" t="n"/>
      <c r="F635" s="25" t="n"/>
      <c r="G635" s="18">
        <f>IF(AND(C635="",D635=""),"",IF(NOT(ISNUMBER(B635)),"Needs a date",IF(NOT(ISNUMBER(D635)),"Needs the amount",IF(C635="","Needs an envelope",IF(COUNTIF(Envelopes!$B$6:$B$21,C635)=0,"Not on Envelopes",IF(F635="",IF(D635=0,"Needs the amount",""),IF(COUNTIF(Envelopes!$B$6:$B$21,F635)=0,"Moved to: not on Envelopes",IF(D635&lt;=0,"A move needs an amount",IF(F635=C635,"Moved to the same envelope","")))))))))</f>
        <v/>
      </c>
      <c r="H635" s="1">
        <f>IF(ISNUMBER(B635),INT(B635),0)</f>
        <v/>
      </c>
      <c r="I635">
        <f>IF(AND(H635&gt;0,ISNUMBER(D635),COUNTIF(Envelopes!$B$6:$B$21,C635)&gt;0,F635=""),1,0)</f>
        <v/>
      </c>
      <c r="J635">
        <f>IF(AND(H635&gt;0,ISNUMBER(D635),COUNTIF(Envelopes!$B$6:$B$21,C635)&gt;0,F635&lt;&gt;"",COUNTIF(Envelopes!$B$6:$B$21,F635)&gt;0),1,0)</f>
        <v/>
      </c>
      <c r="K635">
        <f>IF(I635=1,H635*10000+ROW(),"")</f>
        <v/>
      </c>
    </row>
    <row r="636">
      <c r="A636" s="1" t="n"/>
      <c r="B636" s="21" t="n"/>
      <c r="C636" s="23" t="n"/>
      <c r="D636" s="22" t="n"/>
      <c r="E636" s="24" t="n"/>
      <c r="F636" s="25" t="n"/>
      <c r="G636" s="18">
        <f>IF(AND(C636="",D636=""),"",IF(NOT(ISNUMBER(B636)),"Needs a date",IF(NOT(ISNUMBER(D636)),"Needs the amount",IF(C636="","Needs an envelope",IF(COUNTIF(Envelopes!$B$6:$B$21,C636)=0,"Not on Envelopes",IF(F636="",IF(D636=0,"Needs the amount",""),IF(COUNTIF(Envelopes!$B$6:$B$21,F636)=0,"Moved to: not on Envelopes",IF(D636&lt;=0,"A move needs an amount",IF(F636=C636,"Moved to the same envelope","")))))))))</f>
        <v/>
      </c>
      <c r="H636" s="1">
        <f>IF(ISNUMBER(B636),INT(B636),0)</f>
        <v/>
      </c>
      <c r="I636">
        <f>IF(AND(H636&gt;0,ISNUMBER(D636),COUNTIF(Envelopes!$B$6:$B$21,C636)&gt;0,F636=""),1,0)</f>
        <v/>
      </c>
      <c r="J636">
        <f>IF(AND(H636&gt;0,ISNUMBER(D636),COUNTIF(Envelopes!$B$6:$B$21,C636)&gt;0,F636&lt;&gt;"",COUNTIF(Envelopes!$B$6:$B$21,F636)&gt;0),1,0)</f>
        <v/>
      </c>
      <c r="K636">
        <f>IF(I636=1,H636*10000+ROW(),"")</f>
        <v/>
      </c>
    </row>
    <row r="637">
      <c r="A637" s="1" t="n"/>
      <c r="B637" s="21" t="n"/>
      <c r="C637" s="23" t="n"/>
      <c r="D637" s="22" t="n"/>
      <c r="E637" s="24" t="n"/>
      <c r="F637" s="25" t="n"/>
      <c r="G637" s="18">
        <f>IF(AND(C637="",D637=""),"",IF(NOT(ISNUMBER(B637)),"Needs a date",IF(NOT(ISNUMBER(D637)),"Needs the amount",IF(C637="","Needs an envelope",IF(COUNTIF(Envelopes!$B$6:$B$21,C637)=0,"Not on Envelopes",IF(F637="",IF(D637=0,"Needs the amount",""),IF(COUNTIF(Envelopes!$B$6:$B$21,F637)=0,"Moved to: not on Envelopes",IF(D637&lt;=0,"A move needs an amount",IF(F637=C637,"Moved to the same envelope","")))))))))</f>
        <v/>
      </c>
      <c r="H637" s="1">
        <f>IF(ISNUMBER(B637),INT(B637),0)</f>
        <v/>
      </c>
      <c r="I637">
        <f>IF(AND(H637&gt;0,ISNUMBER(D637),COUNTIF(Envelopes!$B$6:$B$21,C637)&gt;0,F637=""),1,0)</f>
        <v/>
      </c>
      <c r="J637">
        <f>IF(AND(H637&gt;0,ISNUMBER(D637),COUNTIF(Envelopes!$B$6:$B$21,C637)&gt;0,F637&lt;&gt;"",COUNTIF(Envelopes!$B$6:$B$21,F637)&gt;0),1,0)</f>
        <v/>
      </c>
      <c r="K637">
        <f>IF(I637=1,H637*10000+ROW(),"")</f>
        <v/>
      </c>
    </row>
    <row r="638">
      <c r="A638" s="1" t="n"/>
      <c r="B638" s="21" t="n"/>
      <c r="C638" s="23" t="n"/>
      <c r="D638" s="22" t="n"/>
      <c r="E638" s="24" t="n"/>
      <c r="F638" s="25" t="n"/>
      <c r="G638" s="18">
        <f>IF(AND(C638="",D638=""),"",IF(NOT(ISNUMBER(B638)),"Needs a date",IF(NOT(ISNUMBER(D638)),"Needs the amount",IF(C638="","Needs an envelope",IF(COUNTIF(Envelopes!$B$6:$B$21,C638)=0,"Not on Envelopes",IF(F638="",IF(D638=0,"Needs the amount",""),IF(COUNTIF(Envelopes!$B$6:$B$21,F638)=0,"Moved to: not on Envelopes",IF(D638&lt;=0,"A move needs an amount",IF(F638=C638,"Moved to the same envelope","")))))))))</f>
        <v/>
      </c>
      <c r="H638" s="1">
        <f>IF(ISNUMBER(B638),INT(B638),0)</f>
        <v/>
      </c>
      <c r="I638">
        <f>IF(AND(H638&gt;0,ISNUMBER(D638),COUNTIF(Envelopes!$B$6:$B$21,C638)&gt;0,F638=""),1,0)</f>
        <v/>
      </c>
      <c r="J638">
        <f>IF(AND(H638&gt;0,ISNUMBER(D638),COUNTIF(Envelopes!$B$6:$B$21,C638)&gt;0,F638&lt;&gt;"",COUNTIF(Envelopes!$B$6:$B$21,F638)&gt;0),1,0)</f>
        <v/>
      </c>
      <c r="K638">
        <f>IF(I638=1,H638*10000+ROW(),"")</f>
        <v/>
      </c>
    </row>
    <row r="639">
      <c r="A639" s="1" t="n"/>
      <c r="B639" s="21" t="n"/>
      <c r="C639" s="23" t="n"/>
      <c r="D639" s="22" t="n"/>
      <c r="E639" s="24" t="n"/>
      <c r="F639" s="25" t="n"/>
      <c r="G639" s="18">
        <f>IF(AND(C639="",D639=""),"",IF(NOT(ISNUMBER(B639)),"Needs a date",IF(NOT(ISNUMBER(D639)),"Needs the amount",IF(C639="","Needs an envelope",IF(COUNTIF(Envelopes!$B$6:$B$21,C639)=0,"Not on Envelopes",IF(F639="",IF(D639=0,"Needs the amount",""),IF(COUNTIF(Envelopes!$B$6:$B$21,F639)=0,"Moved to: not on Envelopes",IF(D639&lt;=0,"A move needs an amount",IF(F639=C639,"Moved to the same envelope","")))))))))</f>
        <v/>
      </c>
      <c r="H639" s="1">
        <f>IF(ISNUMBER(B639),INT(B639),0)</f>
        <v/>
      </c>
      <c r="I639">
        <f>IF(AND(H639&gt;0,ISNUMBER(D639),COUNTIF(Envelopes!$B$6:$B$21,C639)&gt;0,F639=""),1,0)</f>
        <v/>
      </c>
      <c r="J639">
        <f>IF(AND(H639&gt;0,ISNUMBER(D639),COUNTIF(Envelopes!$B$6:$B$21,C639)&gt;0,F639&lt;&gt;"",COUNTIF(Envelopes!$B$6:$B$21,F639)&gt;0),1,0)</f>
        <v/>
      </c>
      <c r="K639">
        <f>IF(I639=1,H639*10000+ROW(),"")</f>
        <v/>
      </c>
    </row>
    <row r="640">
      <c r="A640" s="1" t="n"/>
      <c r="B640" s="21" t="n"/>
      <c r="C640" s="23" t="n"/>
      <c r="D640" s="22" t="n"/>
      <c r="E640" s="24" t="n"/>
      <c r="F640" s="25" t="n"/>
      <c r="G640" s="18">
        <f>IF(AND(C640="",D640=""),"",IF(NOT(ISNUMBER(B640)),"Needs a date",IF(NOT(ISNUMBER(D640)),"Needs the amount",IF(C640="","Needs an envelope",IF(COUNTIF(Envelopes!$B$6:$B$21,C640)=0,"Not on Envelopes",IF(F640="",IF(D640=0,"Needs the amount",""),IF(COUNTIF(Envelopes!$B$6:$B$21,F640)=0,"Moved to: not on Envelopes",IF(D640&lt;=0,"A move needs an amount",IF(F640=C640,"Moved to the same envelope","")))))))))</f>
        <v/>
      </c>
      <c r="H640" s="1">
        <f>IF(ISNUMBER(B640),INT(B640),0)</f>
        <v/>
      </c>
      <c r="I640">
        <f>IF(AND(H640&gt;0,ISNUMBER(D640),COUNTIF(Envelopes!$B$6:$B$21,C640)&gt;0,F640=""),1,0)</f>
        <v/>
      </c>
      <c r="J640">
        <f>IF(AND(H640&gt;0,ISNUMBER(D640),COUNTIF(Envelopes!$B$6:$B$21,C640)&gt;0,F640&lt;&gt;"",COUNTIF(Envelopes!$B$6:$B$21,F640)&gt;0),1,0)</f>
        <v/>
      </c>
      <c r="K640">
        <f>IF(I640=1,H640*10000+ROW(),"")</f>
        <v/>
      </c>
    </row>
    <row r="641">
      <c r="A641" s="1" t="n"/>
      <c r="B641" s="21" t="n"/>
      <c r="C641" s="23" t="n"/>
      <c r="D641" s="22" t="n"/>
      <c r="E641" s="24" t="n"/>
      <c r="F641" s="25" t="n"/>
      <c r="G641" s="18">
        <f>IF(AND(C641="",D641=""),"",IF(NOT(ISNUMBER(B641)),"Needs a date",IF(NOT(ISNUMBER(D641)),"Needs the amount",IF(C641="","Needs an envelope",IF(COUNTIF(Envelopes!$B$6:$B$21,C641)=0,"Not on Envelopes",IF(F641="",IF(D641=0,"Needs the amount",""),IF(COUNTIF(Envelopes!$B$6:$B$21,F641)=0,"Moved to: not on Envelopes",IF(D641&lt;=0,"A move needs an amount",IF(F641=C641,"Moved to the same envelope","")))))))))</f>
        <v/>
      </c>
      <c r="H641" s="1">
        <f>IF(ISNUMBER(B641),INT(B641),0)</f>
        <v/>
      </c>
      <c r="I641">
        <f>IF(AND(H641&gt;0,ISNUMBER(D641),COUNTIF(Envelopes!$B$6:$B$21,C641)&gt;0,F641=""),1,0)</f>
        <v/>
      </c>
      <c r="J641">
        <f>IF(AND(H641&gt;0,ISNUMBER(D641),COUNTIF(Envelopes!$B$6:$B$21,C641)&gt;0,F641&lt;&gt;"",COUNTIF(Envelopes!$B$6:$B$21,F641)&gt;0),1,0)</f>
        <v/>
      </c>
      <c r="K641">
        <f>IF(I641=1,H641*10000+ROW(),"")</f>
        <v/>
      </c>
    </row>
    <row r="642">
      <c r="A642" s="1" t="n"/>
      <c r="B642" s="21" t="n"/>
      <c r="C642" s="23" t="n"/>
      <c r="D642" s="22" t="n"/>
      <c r="E642" s="24" t="n"/>
      <c r="F642" s="25" t="n"/>
      <c r="G642" s="18">
        <f>IF(AND(C642="",D642=""),"",IF(NOT(ISNUMBER(B642)),"Needs a date",IF(NOT(ISNUMBER(D642)),"Needs the amount",IF(C642="","Needs an envelope",IF(COUNTIF(Envelopes!$B$6:$B$21,C642)=0,"Not on Envelopes",IF(F642="",IF(D642=0,"Needs the amount",""),IF(COUNTIF(Envelopes!$B$6:$B$21,F642)=0,"Moved to: not on Envelopes",IF(D642&lt;=0,"A move needs an amount",IF(F642=C642,"Moved to the same envelope","")))))))))</f>
        <v/>
      </c>
      <c r="H642" s="1">
        <f>IF(ISNUMBER(B642),INT(B642),0)</f>
        <v/>
      </c>
      <c r="I642">
        <f>IF(AND(H642&gt;0,ISNUMBER(D642),COUNTIF(Envelopes!$B$6:$B$21,C642)&gt;0,F642=""),1,0)</f>
        <v/>
      </c>
      <c r="J642">
        <f>IF(AND(H642&gt;0,ISNUMBER(D642),COUNTIF(Envelopes!$B$6:$B$21,C642)&gt;0,F642&lt;&gt;"",COUNTIF(Envelopes!$B$6:$B$21,F642)&gt;0),1,0)</f>
        <v/>
      </c>
      <c r="K642">
        <f>IF(I642=1,H642*10000+ROW(),"")</f>
        <v/>
      </c>
    </row>
    <row r="643">
      <c r="A643" s="1" t="n"/>
      <c r="B643" s="21" t="n"/>
      <c r="C643" s="23" t="n"/>
      <c r="D643" s="22" t="n"/>
      <c r="E643" s="24" t="n"/>
      <c r="F643" s="25" t="n"/>
      <c r="G643" s="18">
        <f>IF(AND(C643="",D643=""),"",IF(NOT(ISNUMBER(B643)),"Needs a date",IF(NOT(ISNUMBER(D643)),"Needs the amount",IF(C643="","Needs an envelope",IF(COUNTIF(Envelopes!$B$6:$B$21,C643)=0,"Not on Envelopes",IF(F643="",IF(D643=0,"Needs the amount",""),IF(COUNTIF(Envelopes!$B$6:$B$21,F643)=0,"Moved to: not on Envelopes",IF(D643&lt;=0,"A move needs an amount",IF(F643=C643,"Moved to the same envelope","")))))))))</f>
        <v/>
      </c>
      <c r="H643" s="1">
        <f>IF(ISNUMBER(B643),INT(B643),0)</f>
        <v/>
      </c>
      <c r="I643">
        <f>IF(AND(H643&gt;0,ISNUMBER(D643),COUNTIF(Envelopes!$B$6:$B$21,C643)&gt;0,F643=""),1,0)</f>
        <v/>
      </c>
      <c r="J643">
        <f>IF(AND(H643&gt;0,ISNUMBER(D643),COUNTIF(Envelopes!$B$6:$B$21,C643)&gt;0,F643&lt;&gt;"",COUNTIF(Envelopes!$B$6:$B$21,F643)&gt;0),1,0)</f>
        <v/>
      </c>
      <c r="K643">
        <f>IF(I643=1,H643*10000+ROW(),"")</f>
        <v/>
      </c>
    </row>
    <row r="644">
      <c r="A644" s="1" t="n"/>
      <c r="B644" s="21" t="n"/>
      <c r="C644" s="23" t="n"/>
      <c r="D644" s="22" t="n"/>
      <c r="E644" s="24" t="n"/>
      <c r="F644" s="25" t="n"/>
      <c r="G644" s="18">
        <f>IF(AND(C644="",D644=""),"",IF(NOT(ISNUMBER(B644)),"Needs a date",IF(NOT(ISNUMBER(D644)),"Needs the amount",IF(C644="","Needs an envelope",IF(COUNTIF(Envelopes!$B$6:$B$21,C644)=0,"Not on Envelopes",IF(F644="",IF(D644=0,"Needs the amount",""),IF(COUNTIF(Envelopes!$B$6:$B$21,F644)=0,"Moved to: not on Envelopes",IF(D644&lt;=0,"A move needs an amount",IF(F644=C644,"Moved to the same envelope","")))))))))</f>
        <v/>
      </c>
      <c r="H644" s="1">
        <f>IF(ISNUMBER(B644),INT(B644),0)</f>
        <v/>
      </c>
      <c r="I644">
        <f>IF(AND(H644&gt;0,ISNUMBER(D644),COUNTIF(Envelopes!$B$6:$B$21,C644)&gt;0,F644=""),1,0)</f>
        <v/>
      </c>
      <c r="J644">
        <f>IF(AND(H644&gt;0,ISNUMBER(D644),COUNTIF(Envelopes!$B$6:$B$21,C644)&gt;0,F644&lt;&gt;"",COUNTIF(Envelopes!$B$6:$B$21,F644)&gt;0),1,0)</f>
        <v/>
      </c>
      <c r="K644">
        <f>IF(I644=1,H644*10000+ROW(),"")</f>
        <v/>
      </c>
    </row>
    <row r="645">
      <c r="A645" s="1" t="n"/>
      <c r="B645" s="21" t="n"/>
      <c r="C645" s="23" t="n"/>
      <c r="D645" s="22" t="n"/>
      <c r="E645" s="24" t="n"/>
      <c r="F645" s="25" t="n"/>
      <c r="G645" s="18">
        <f>IF(AND(C645="",D645=""),"",IF(NOT(ISNUMBER(B645)),"Needs a date",IF(NOT(ISNUMBER(D645)),"Needs the amount",IF(C645="","Needs an envelope",IF(COUNTIF(Envelopes!$B$6:$B$21,C645)=0,"Not on Envelopes",IF(F645="",IF(D645=0,"Needs the amount",""),IF(COUNTIF(Envelopes!$B$6:$B$21,F645)=0,"Moved to: not on Envelopes",IF(D645&lt;=0,"A move needs an amount",IF(F645=C645,"Moved to the same envelope","")))))))))</f>
        <v/>
      </c>
      <c r="H645" s="1">
        <f>IF(ISNUMBER(B645),INT(B645),0)</f>
        <v/>
      </c>
      <c r="I645">
        <f>IF(AND(H645&gt;0,ISNUMBER(D645),COUNTIF(Envelopes!$B$6:$B$21,C645)&gt;0,F645=""),1,0)</f>
        <v/>
      </c>
      <c r="J645">
        <f>IF(AND(H645&gt;0,ISNUMBER(D645),COUNTIF(Envelopes!$B$6:$B$21,C645)&gt;0,F645&lt;&gt;"",COUNTIF(Envelopes!$B$6:$B$21,F645)&gt;0),1,0)</f>
        <v/>
      </c>
      <c r="K645">
        <f>IF(I645=1,H645*10000+ROW(),"")</f>
        <v/>
      </c>
    </row>
    <row r="646">
      <c r="A646" s="1" t="n"/>
      <c r="B646" s="21" t="n"/>
      <c r="C646" s="23" t="n"/>
      <c r="D646" s="22" t="n"/>
      <c r="E646" s="24" t="n"/>
      <c r="F646" s="25" t="n"/>
      <c r="G646" s="18">
        <f>IF(AND(C646="",D646=""),"",IF(NOT(ISNUMBER(B646)),"Needs a date",IF(NOT(ISNUMBER(D646)),"Needs the amount",IF(C646="","Needs an envelope",IF(COUNTIF(Envelopes!$B$6:$B$21,C646)=0,"Not on Envelopes",IF(F646="",IF(D646=0,"Needs the amount",""),IF(COUNTIF(Envelopes!$B$6:$B$21,F646)=0,"Moved to: not on Envelopes",IF(D646&lt;=0,"A move needs an amount",IF(F646=C646,"Moved to the same envelope","")))))))))</f>
        <v/>
      </c>
      <c r="H646" s="1">
        <f>IF(ISNUMBER(B646),INT(B646),0)</f>
        <v/>
      </c>
      <c r="I646">
        <f>IF(AND(H646&gt;0,ISNUMBER(D646),COUNTIF(Envelopes!$B$6:$B$21,C646)&gt;0,F646=""),1,0)</f>
        <v/>
      </c>
      <c r="J646">
        <f>IF(AND(H646&gt;0,ISNUMBER(D646),COUNTIF(Envelopes!$B$6:$B$21,C646)&gt;0,F646&lt;&gt;"",COUNTIF(Envelopes!$B$6:$B$21,F646)&gt;0),1,0)</f>
        <v/>
      </c>
      <c r="K646">
        <f>IF(I646=1,H646*10000+ROW(),"")</f>
        <v/>
      </c>
    </row>
    <row r="647">
      <c r="A647" s="1" t="n"/>
      <c r="B647" s="21" t="n"/>
      <c r="C647" s="23" t="n"/>
      <c r="D647" s="22" t="n"/>
      <c r="E647" s="24" t="n"/>
      <c r="F647" s="25" t="n"/>
      <c r="G647" s="18">
        <f>IF(AND(C647="",D647=""),"",IF(NOT(ISNUMBER(B647)),"Needs a date",IF(NOT(ISNUMBER(D647)),"Needs the amount",IF(C647="","Needs an envelope",IF(COUNTIF(Envelopes!$B$6:$B$21,C647)=0,"Not on Envelopes",IF(F647="",IF(D647=0,"Needs the amount",""),IF(COUNTIF(Envelopes!$B$6:$B$21,F647)=0,"Moved to: not on Envelopes",IF(D647&lt;=0,"A move needs an amount",IF(F647=C647,"Moved to the same envelope","")))))))))</f>
        <v/>
      </c>
      <c r="H647" s="1">
        <f>IF(ISNUMBER(B647),INT(B647),0)</f>
        <v/>
      </c>
      <c r="I647">
        <f>IF(AND(H647&gt;0,ISNUMBER(D647),COUNTIF(Envelopes!$B$6:$B$21,C647)&gt;0,F647=""),1,0)</f>
        <v/>
      </c>
      <c r="J647">
        <f>IF(AND(H647&gt;0,ISNUMBER(D647),COUNTIF(Envelopes!$B$6:$B$21,C647)&gt;0,F647&lt;&gt;"",COUNTIF(Envelopes!$B$6:$B$21,F647)&gt;0),1,0)</f>
        <v/>
      </c>
      <c r="K647">
        <f>IF(I647=1,H647*10000+ROW(),"")</f>
        <v/>
      </c>
    </row>
    <row r="648">
      <c r="A648" s="1" t="n"/>
      <c r="B648" s="21" t="n"/>
      <c r="C648" s="23" t="n"/>
      <c r="D648" s="22" t="n"/>
      <c r="E648" s="24" t="n"/>
      <c r="F648" s="25" t="n"/>
      <c r="G648" s="18">
        <f>IF(AND(C648="",D648=""),"",IF(NOT(ISNUMBER(B648)),"Needs a date",IF(NOT(ISNUMBER(D648)),"Needs the amount",IF(C648="","Needs an envelope",IF(COUNTIF(Envelopes!$B$6:$B$21,C648)=0,"Not on Envelopes",IF(F648="",IF(D648=0,"Needs the amount",""),IF(COUNTIF(Envelopes!$B$6:$B$21,F648)=0,"Moved to: not on Envelopes",IF(D648&lt;=0,"A move needs an amount",IF(F648=C648,"Moved to the same envelope","")))))))))</f>
        <v/>
      </c>
      <c r="H648" s="1">
        <f>IF(ISNUMBER(B648),INT(B648),0)</f>
        <v/>
      </c>
      <c r="I648">
        <f>IF(AND(H648&gt;0,ISNUMBER(D648),COUNTIF(Envelopes!$B$6:$B$21,C648)&gt;0,F648=""),1,0)</f>
        <v/>
      </c>
      <c r="J648">
        <f>IF(AND(H648&gt;0,ISNUMBER(D648),COUNTIF(Envelopes!$B$6:$B$21,C648)&gt;0,F648&lt;&gt;"",COUNTIF(Envelopes!$B$6:$B$21,F648)&gt;0),1,0)</f>
        <v/>
      </c>
      <c r="K648">
        <f>IF(I648=1,H648*10000+ROW(),"")</f>
        <v/>
      </c>
    </row>
    <row r="649">
      <c r="A649" s="1" t="n"/>
      <c r="B649" s="21" t="n"/>
      <c r="C649" s="23" t="n"/>
      <c r="D649" s="22" t="n"/>
      <c r="E649" s="24" t="n"/>
      <c r="F649" s="25" t="n"/>
      <c r="G649" s="18">
        <f>IF(AND(C649="",D649=""),"",IF(NOT(ISNUMBER(B649)),"Needs a date",IF(NOT(ISNUMBER(D649)),"Needs the amount",IF(C649="","Needs an envelope",IF(COUNTIF(Envelopes!$B$6:$B$21,C649)=0,"Not on Envelopes",IF(F649="",IF(D649=0,"Needs the amount",""),IF(COUNTIF(Envelopes!$B$6:$B$21,F649)=0,"Moved to: not on Envelopes",IF(D649&lt;=0,"A move needs an amount",IF(F649=C649,"Moved to the same envelope","")))))))))</f>
        <v/>
      </c>
      <c r="H649" s="1">
        <f>IF(ISNUMBER(B649),INT(B649),0)</f>
        <v/>
      </c>
      <c r="I649">
        <f>IF(AND(H649&gt;0,ISNUMBER(D649),COUNTIF(Envelopes!$B$6:$B$21,C649)&gt;0,F649=""),1,0)</f>
        <v/>
      </c>
      <c r="J649">
        <f>IF(AND(H649&gt;0,ISNUMBER(D649),COUNTIF(Envelopes!$B$6:$B$21,C649)&gt;0,F649&lt;&gt;"",COUNTIF(Envelopes!$B$6:$B$21,F649)&gt;0),1,0)</f>
        <v/>
      </c>
      <c r="K649">
        <f>IF(I649=1,H649*10000+ROW(),"")</f>
        <v/>
      </c>
    </row>
    <row r="650">
      <c r="A650" s="1" t="n"/>
      <c r="B650" s="21" t="n"/>
      <c r="C650" s="23" t="n"/>
      <c r="D650" s="22" t="n"/>
      <c r="E650" s="24" t="n"/>
      <c r="F650" s="25" t="n"/>
      <c r="G650" s="18">
        <f>IF(AND(C650="",D650=""),"",IF(NOT(ISNUMBER(B650)),"Needs a date",IF(NOT(ISNUMBER(D650)),"Needs the amount",IF(C650="","Needs an envelope",IF(COUNTIF(Envelopes!$B$6:$B$21,C650)=0,"Not on Envelopes",IF(F650="",IF(D650=0,"Needs the amount",""),IF(COUNTIF(Envelopes!$B$6:$B$21,F650)=0,"Moved to: not on Envelopes",IF(D650&lt;=0,"A move needs an amount",IF(F650=C650,"Moved to the same envelope","")))))))))</f>
        <v/>
      </c>
      <c r="H650" s="1">
        <f>IF(ISNUMBER(B650),INT(B650),0)</f>
        <v/>
      </c>
      <c r="I650">
        <f>IF(AND(H650&gt;0,ISNUMBER(D650),COUNTIF(Envelopes!$B$6:$B$21,C650)&gt;0,F650=""),1,0)</f>
        <v/>
      </c>
      <c r="J650">
        <f>IF(AND(H650&gt;0,ISNUMBER(D650),COUNTIF(Envelopes!$B$6:$B$21,C650)&gt;0,F650&lt;&gt;"",COUNTIF(Envelopes!$B$6:$B$21,F650)&gt;0),1,0)</f>
        <v/>
      </c>
      <c r="K650">
        <f>IF(I650=1,H650*10000+ROW(),"")</f>
        <v/>
      </c>
    </row>
    <row r="651">
      <c r="A651" s="1" t="n"/>
      <c r="B651" s="21" t="n"/>
      <c r="C651" s="23" t="n"/>
      <c r="D651" s="22" t="n"/>
      <c r="E651" s="24" t="n"/>
      <c r="F651" s="25" t="n"/>
      <c r="G651" s="18">
        <f>IF(AND(C651="",D651=""),"",IF(NOT(ISNUMBER(B651)),"Needs a date",IF(NOT(ISNUMBER(D651)),"Needs the amount",IF(C651="","Needs an envelope",IF(COUNTIF(Envelopes!$B$6:$B$21,C651)=0,"Not on Envelopes",IF(F651="",IF(D651=0,"Needs the amount",""),IF(COUNTIF(Envelopes!$B$6:$B$21,F651)=0,"Moved to: not on Envelopes",IF(D651&lt;=0,"A move needs an amount",IF(F651=C651,"Moved to the same envelope","")))))))))</f>
        <v/>
      </c>
      <c r="H651" s="1">
        <f>IF(ISNUMBER(B651),INT(B651),0)</f>
        <v/>
      </c>
      <c r="I651">
        <f>IF(AND(H651&gt;0,ISNUMBER(D651),COUNTIF(Envelopes!$B$6:$B$21,C651)&gt;0,F651=""),1,0)</f>
        <v/>
      </c>
      <c r="J651">
        <f>IF(AND(H651&gt;0,ISNUMBER(D651),COUNTIF(Envelopes!$B$6:$B$21,C651)&gt;0,F651&lt;&gt;"",COUNTIF(Envelopes!$B$6:$B$21,F651)&gt;0),1,0)</f>
        <v/>
      </c>
      <c r="K651">
        <f>IF(I651=1,H651*10000+ROW(),"")</f>
        <v/>
      </c>
    </row>
    <row r="652">
      <c r="A652" s="1" t="n"/>
      <c r="B652" s="21" t="n"/>
      <c r="C652" s="23" t="n"/>
      <c r="D652" s="22" t="n"/>
      <c r="E652" s="24" t="n"/>
      <c r="F652" s="25" t="n"/>
      <c r="G652" s="18">
        <f>IF(AND(C652="",D652=""),"",IF(NOT(ISNUMBER(B652)),"Needs a date",IF(NOT(ISNUMBER(D652)),"Needs the amount",IF(C652="","Needs an envelope",IF(COUNTIF(Envelopes!$B$6:$B$21,C652)=0,"Not on Envelopes",IF(F652="",IF(D652=0,"Needs the amount",""),IF(COUNTIF(Envelopes!$B$6:$B$21,F652)=0,"Moved to: not on Envelopes",IF(D652&lt;=0,"A move needs an amount",IF(F652=C652,"Moved to the same envelope","")))))))))</f>
        <v/>
      </c>
      <c r="H652" s="1">
        <f>IF(ISNUMBER(B652),INT(B652),0)</f>
        <v/>
      </c>
      <c r="I652">
        <f>IF(AND(H652&gt;0,ISNUMBER(D652),COUNTIF(Envelopes!$B$6:$B$21,C652)&gt;0,F652=""),1,0)</f>
        <v/>
      </c>
      <c r="J652">
        <f>IF(AND(H652&gt;0,ISNUMBER(D652),COUNTIF(Envelopes!$B$6:$B$21,C652)&gt;0,F652&lt;&gt;"",COUNTIF(Envelopes!$B$6:$B$21,F652)&gt;0),1,0)</f>
        <v/>
      </c>
      <c r="K652">
        <f>IF(I652=1,H652*10000+ROW(),"")</f>
        <v/>
      </c>
    </row>
    <row r="653">
      <c r="A653" s="1" t="n"/>
      <c r="B653" s="21" t="n"/>
      <c r="C653" s="23" t="n"/>
      <c r="D653" s="22" t="n"/>
      <c r="E653" s="24" t="n"/>
      <c r="F653" s="25" t="n"/>
      <c r="G653" s="18">
        <f>IF(AND(C653="",D653=""),"",IF(NOT(ISNUMBER(B653)),"Needs a date",IF(NOT(ISNUMBER(D653)),"Needs the amount",IF(C653="","Needs an envelope",IF(COUNTIF(Envelopes!$B$6:$B$21,C653)=0,"Not on Envelopes",IF(F653="",IF(D653=0,"Needs the amount",""),IF(COUNTIF(Envelopes!$B$6:$B$21,F653)=0,"Moved to: not on Envelopes",IF(D653&lt;=0,"A move needs an amount",IF(F653=C653,"Moved to the same envelope","")))))))))</f>
        <v/>
      </c>
      <c r="H653" s="1">
        <f>IF(ISNUMBER(B653),INT(B653),0)</f>
        <v/>
      </c>
      <c r="I653">
        <f>IF(AND(H653&gt;0,ISNUMBER(D653),COUNTIF(Envelopes!$B$6:$B$21,C653)&gt;0,F653=""),1,0)</f>
        <v/>
      </c>
      <c r="J653">
        <f>IF(AND(H653&gt;0,ISNUMBER(D653),COUNTIF(Envelopes!$B$6:$B$21,C653)&gt;0,F653&lt;&gt;"",COUNTIF(Envelopes!$B$6:$B$21,F653)&gt;0),1,0)</f>
        <v/>
      </c>
      <c r="K653">
        <f>IF(I653=1,H653*10000+ROW(),"")</f>
        <v/>
      </c>
    </row>
    <row r="654">
      <c r="A654" s="1" t="n"/>
      <c r="B654" s="21" t="n"/>
      <c r="C654" s="23" t="n"/>
      <c r="D654" s="22" t="n"/>
      <c r="E654" s="24" t="n"/>
      <c r="F654" s="25" t="n"/>
      <c r="G654" s="18">
        <f>IF(AND(C654="",D654=""),"",IF(NOT(ISNUMBER(B654)),"Needs a date",IF(NOT(ISNUMBER(D654)),"Needs the amount",IF(C654="","Needs an envelope",IF(COUNTIF(Envelopes!$B$6:$B$21,C654)=0,"Not on Envelopes",IF(F654="",IF(D654=0,"Needs the amount",""),IF(COUNTIF(Envelopes!$B$6:$B$21,F654)=0,"Moved to: not on Envelopes",IF(D654&lt;=0,"A move needs an amount",IF(F654=C654,"Moved to the same envelope","")))))))))</f>
        <v/>
      </c>
      <c r="H654" s="1">
        <f>IF(ISNUMBER(B654),INT(B654),0)</f>
        <v/>
      </c>
      <c r="I654">
        <f>IF(AND(H654&gt;0,ISNUMBER(D654),COUNTIF(Envelopes!$B$6:$B$21,C654)&gt;0,F654=""),1,0)</f>
        <v/>
      </c>
      <c r="J654">
        <f>IF(AND(H654&gt;0,ISNUMBER(D654),COUNTIF(Envelopes!$B$6:$B$21,C654)&gt;0,F654&lt;&gt;"",COUNTIF(Envelopes!$B$6:$B$21,F654)&gt;0),1,0)</f>
        <v/>
      </c>
      <c r="K654">
        <f>IF(I654=1,H654*10000+ROW(),"")</f>
        <v/>
      </c>
    </row>
    <row r="655">
      <c r="A655" s="1" t="n"/>
      <c r="B655" s="21" t="n"/>
      <c r="C655" s="23" t="n"/>
      <c r="D655" s="22" t="n"/>
      <c r="E655" s="24" t="n"/>
      <c r="F655" s="25" t="n"/>
      <c r="G655" s="18">
        <f>IF(AND(C655="",D655=""),"",IF(NOT(ISNUMBER(B655)),"Needs a date",IF(NOT(ISNUMBER(D655)),"Needs the amount",IF(C655="","Needs an envelope",IF(COUNTIF(Envelopes!$B$6:$B$21,C655)=0,"Not on Envelopes",IF(F655="",IF(D655=0,"Needs the amount",""),IF(COUNTIF(Envelopes!$B$6:$B$21,F655)=0,"Moved to: not on Envelopes",IF(D655&lt;=0,"A move needs an amount",IF(F655=C655,"Moved to the same envelope","")))))))))</f>
        <v/>
      </c>
      <c r="H655" s="1">
        <f>IF(ISNUMBER(B655),INT(B655),0)</f>
        <v/>
      </c>
      <c r="I655">
        <f>IF(AND(H655&gt;0,ISNUMBER(D655),COUNTIF(Envelopes!$B$6:$B$21,C655)&gt;0,F655=""),1,0)</f>
        <v/>
      </c>
      <c r="J655">
        <f>IF(AND(H655&gt;0,ISNUMBER(D655),COUNTIF(Envelopes!$B$6:$B$21,C655)&gt;0,F655&lt;&gt;"",COUNTIF(Envelopes!$B$6:$B$21,F655)&gt;0),1,0)</f>
        <v/>
      </c>
      <c r="K655">
        <f>IF(I655=1,H655*10000+ROW(),"")</f>
        <v/>
      </c>
    </row>
    <row r="656">
      <c r="A656" s="1" t="n"/>
      <c r="B656" s="21" t="n"/>
      <c r="C656" s="23" t="n"/>
      <c r="D656" s="22" t="n"/>
      <c r="E656" s="24" t="n"/>
      <c r="F656" s="25" t="n"/>
      <c r="G656" s="18">
        <f>IF(AND(C656="",D656=""),"",IF(NOT(ISNUMBER(B656)),"Needs a date",IF(NOT(ISNUMBER(D656)),"Needs the amount",IF(C656="","Needs an envelope",IF(COUNTIF(Envelopes!$B$6:$B$21,C656)=0,"Not on Envelopes",IF(F656="",IF(D656=0,"Needs the amount",""),IF(COUNTIF(Envelopes!$B$6:$B$21,F656)=0,"Moved to: not on Envelopes",IF(D656&lt;=0,"A move needs an amount",IF(F656=C656,"Moved to the same envelope","")))))))))</f>
        <v/>
      </c>
      <c r="H656" s="1">
        <f>IF(ISNUMBER(B656),INT(B656),0)</f>
        <v/>
      </c>
      <c r="I656">
        <f>IF(AND(H656&gt;0,ISNUMBER(D656),COUNTIF(Envelopes!$B$6:$B$21,C656)&gt;0,F656=""),1,0)</f>
        <v/>
      </c>
      <c r="J656">
        <f>IF(AND(H656&gt;0,ISNUMBER(D656),COUNTIF(Envelopes!$B$6:$B$21,C656)&gt;0,F656&lt;&gt;"",COUNTIF(Envelopes!$B$6:$B$21,F656)&gt;0),1,0)</f>
        <v/>
      </c>
      <c r="K656">
        <f>IF(I656=1,H656*10000+ROW(),"")</f>
        <v/>
      </c>
    </row>
    <row r="657">
      <c r="A657" s="1" t="n"/>
      <c r="B657" s="21" t="n"/>
      <c r="C657" s="23" t="n"/>
      <c r="D657" s="22" t="n"/>
      <c r="E657" s="24" t="n"/>
      <c r="F657" s="25" t="n"/>
      <c r="G657" s="18">
        <f>IF(AND(C657="",D657=""),"",IF(NOT(ISNUMBER(B657)),"Needs a date",IF(NOT(ISNUMBER(D657)),"Needs the amount",IF(C657="","Needs an envelope",IF(COUNTIF(Envelopes!$B$6:$B$21,C657)=0,"Not on Envelopes",IF(F657="",IF(D657=0,"Needs the amount",""),IF(COUNTIF(Envelopes!$B$6:$B$21,F657)=0,"Moved to: not on Envelopes",IF(D657&lt;=0,"A move needs an amount",IF(F657=C657,"Moved to the same envelope","")))))))))</f>
        <v/>
      </c>
      <c r="H657" s="1">
        <f>IF(ISNUMBER(B657),INT(B657),0)</f>
        <v/>
      </c>
      <c r="I657">
        <f>IF(AND(H657&gt;0,ISNUMBER(D657),COUNTIF(Envelopes!$B$6:$B$21,C657)&gt;0,F657=""),1,0)</f>
        <v/>
      </c>
      <c r="J657">
        <f>IF(AND(H657&gt;0,ISNUMBER(D657),COUNTIF(Envelopes!$B$6:$B$21,C657)&gt;0,F657&lt;&gt;"",COUNTIF(Envelopes!$B$6:$B$21,F657)&gt;0),1,0)</f>
        <v/>
      </c>
      <c r="K657">
        <f>IF(I657=1,H657*10000+ROW(),"")</f>
        <v/>
      </c>
    </row>
    <row r="658">
      <c r="A658" s="1" t="n"/>
      <c r="B658" s="21" t="n"/>
      <c r="C658" s="23" t="n"/>
      <c r="D658" s="22" t="n"/>
      <c r="E658" s="24" t="n"/>
      <c r="F658" s="25" t="n"/>
      <c r="G658" s="18">
        <f>IF(AND(C658="",D658=""),"",IF(NOT(ISNUMBER(B658)),"Needs a date",IF(NOT(ISNUMBER(D658)),"Needs the amount",IF(C658="","Needs an envelope",IF(COUNTIF(Envelopes!$B$6:$B$21,C658)=0,"Not on Envelopes",IF(F658="",IF(D658=0,"Needs the amount",""),IF(COUNTIF(Envelopes!$B$6:$B$21,F658)=0,"Moved to: not on Envelopes",IF(D658&lt;=0,"A move needs an amount",IF(F658=C658,"Moved to the same envelope","")))))))))</f>
        <v/>
      </c>
      <c r="H658" s="1">
        <f>IF(ISNUMBER(B658),INT(B658),0)</f>
        <v/>
      </c>
      <c r="I658">
        <f>IF(AND(H658&gt;0,ISNUMBER(D658),COUNTIF(Envelopes!$B$6:$B$21,C658)&gt;0,F658=""),1,0)</f>
        <v/>
      </c>
      <c r="J658">
        <f>IF(AND(H658&gt;0,ISNUMBER(D658),COUNTIF(Envelopes!$B$6:$B$21,C658)&gt;0,F658&lt;&gt;"",COUNTIF(Envelopes!$B$6:$B$21,F658)&gt;0),1,0)</f>
        <v/>
      </c>
      <c r="K658">
        <f>IF(I658=1,H658*10000+ROW(),"")</f>
        <v/>
      </c>
    </row>
    <row r="659">
      <c r="A659" s="1" t="n"/>
      <c r="B659" s="21" t="n"/>
      <c r="C659" s="23" t="n"/>
      <c r="D659" s="22" t="n"/>
      <c r="E659" s="24" t="n"/>
      <c r="F659" s="25" t="n"/>
      <c r="G659" s="18">
        <f>IF(AND(C659="",D659=""),"",IF(NOT(ISNUMBER(B659)),"Needs a date",IF(NOT(ISNUMBER(D659)),"Needs the amount",IF(C659="","Needs an envelope",IF(COUNTIF(Envelopes!$B$6:$B$21,C659)=0,"Not on Envelopes",IF(F659="",IF(D659=0,"Needs the amount",""),IF(COUNTIF(Envelopes!$B$6:$B$21,F659)=0,"Moved to: not on Envelopes",IF(D659&lt;=0,"A move needs an amount",IF(F659=C659,"Moved to the same envelope","")))))))))</f>
        <v/>
      </c>
      <c r="H659" s="1">
        <f>IF(ISNUMBER(B659),INT(B659),0)</f>
        <v/>
      </c>
      <c r="I659">
        <f>IF(AND(H659&gt;0,ISNUMBER(D659),COUNTIF(Envelopes!$B$6:$B$21,C659)&gt;0,F659=""),1,0)</f>
        <v/>
      </c>
      <c r="J659">
        <f>IF(AND(H659&gt;0,ISNUMBER(D659),COUNTIF(Envelopes!$B$6:$B$21,C659)&gt;0,F659&lt;&gt;"",COUNTIF(Envelopes!$B$6:$B$21,F659)&gt;0),1,0)</f>
        <v/>
      </c>
      <c r="K659">
        <f>IF(I659=1,H659*10000+ROW(),"")</f>
        <v/>
      </c>
    </row>
    <row r="660">
      <c r="A660" s="1" t="n"/>
      <c r="B660" s="21" t="n"/>
      <c r="C660" s="23" t="n"/>
      <c r="D660" s="22" t="n"/>
      <c r="E660" s="24" t="n"/>
      <c r="F660" s="25" t="n"/>
      <c r="G660" s="18">
        <f>IF(AND(C660="",D660=""),"",IF(NOT(ISNUMBER(B660)),"Needs a date",IF(NOT(ISNUMBER(D660)),"Needs the amount",IF(C660="","Needs an envelope",IF(COUNTIF(Envelopes!$B$6:$B$21,C660)=0,"Not on Envelopes",IF(F660="",IF(D660=0,"Needs the amount",""),IF(COUNTIF(Envelopes!$B$6:$B$21,F660)=0,"Moved to: not on Envelopes",IF(D660&lt;=0,"A move needs an amount",IF(F660=C660,"Moved to the same envelope","")))))))))</f>
        <v/>
      </c>
      <c r="H660" s="1">
        <f>IF(ISNUMBER(B660),INT(B660),0)</f>
        <v/>
      </c>
      <c r="I660">
        <f>IF(AND(H660&gt;0,ISNUMBER(D660),COUNTIF(Envelopes!$B$6:$B$21,C660)&gt;0,F660=""),1,0)</f>
        <v/>
      </c>
      <c r="J660">
        <f>IF(AND(H660&gt;0,ISNUMBER(D660),COUNTIF(Envelopes!$B$6:$B$21,C660)&gt;0,F660&lt;&gt;"",COUNTIF(Envelopes!$B$6:$B$21,F660)&gt;0),1,0)</f>
        <v/>
      </c>
      <c r="K660">
        <f>IF(I660=1,H660*10000+ROW(),"")</f>
        <v/>
      </c>
    </row>
    <row r="661">
      <c r="A661" s="1" t="n"/>
      <c r="B661" s="21" t="n"/>
      <c r="C661" s="23" t="n"/>
      <c r="D661" s="22" t="n"/>
      <c r="E661" s="24" t="n"/>
      <c r="F661" s="25" t="n"/>
      <c r="G661" s="18">
        <f>IF(AND(C661="",D661=""),"",IF(NOT(ISNUMBER(B661)),"Needs a date",IF(NOT(ISNUMBER(D661)),"Needs the amount",IF(C661="","Needs an envelope",IF(COUNTIF(Envelopes!$B$6:$B$21,C661)=0,"Not on Envelopes",IF(F661="",IF(D661=0,"Needs the amount",""),IF(COUNTIF(Envelopes!$B$6:$B$21,F661)=0,"Moved to: not on Envelopes",IF(D661&lt;=0,"A move needs an amount",IF(F661=C661,"Moved to the same envelope","")))))))))</f>
        <v/>
      </c>
      <c r="H661" s="1">
        <f>IF(ISNUMBER(B661),INT(B661),0)</f>
        <v/>
      </c>
      <c r="I661">
        <f>IF(AND(H661&gt;0,ISNUMBER(D661),COUNTIF(Envelopes!$B$6:$B$21,C661)&gt;0,F661=""),1,0)</f>
        <v/>
      </c>
      <c r="J661">
        <f>IF(AND(H661&gt;0,ISNUMBER(D661),COUNTIF(Envelopes!$B$6:$B$21,C661)&gt;0,F661&lt;&gt;"",COUNTIF(Envelopes!$B$6:$B$21,F661)&gt;0),1,0)</f>
        <v/>
      </c>
      <c r="K661">
        <f>IF(I661=1,H661*10000+ROW(),"")</f>
        <v/>
      </c>
    </row>
    <row r="662">
      <c r="A662" s="1" t="n"/>
      <c r="B662" s="21" t="n"/>
      <c r="C662" s="23" t="n"/>
      <c r="D662" s="22" t="n"/>
      <c r="E662" s="24" t="n"/>
      <c r="F662" s="25" t="n"/>
      <c r="G662" s="18">
        <f>IF(AND(C662="",D662=""),"",IF(NOT(ISNUMBER(B662)),"Needs a date",IF(NOT(ISNUMBER(D662)),"Needs the amount",IF(C662="","Needs an envelope",IF(COUNTIF(Envelopes!$B$6:$B$21,C662)=0,"Not on Envelopes",IF(F662="",IF(D662=0,"Needs the amount",""),IF(COUNTIF(Envelopes!$B$6:$B$21,F662)=0,"Moved to: not on Envelopes",IF(D662&lt;=0,"A move needs an amount",IF(F662=C662,"Moved to the same envelope","")))))))))</f>
        <v/>
      </c>
      <c r="H662" s="1">
        <f>IF(ISNUMBER(B662),INT(B662),0)</f>
        <v/>
      </c>
      <c r="I662">
        <f>IF(AND(H662&gt;0,ISNUMBER(D662),COUNTIF(Envelopes!$B$6:$B$21,C662)&gt;0,F662=""),1,0)</f>
        <v/>
      </c>
      <c r="J662">
        <f>IF(AND(H662&gt;0,ISNUMBER(D662),COUNTIF(Envelopes!$B$6:$B$21,C662)&gt;0,F662&lt;&gt;"",COUNTIF(Envelopes!$B$6:$B$21,F662)&gt;0),1,0)</f>
        <v/>
      </c>
      <c r="K662">
        <f>IF(I662=1,H662*10000+ROW(),"")</f>
        <v/>
      </c>
    </row>
    <row r="663">
      <c r="A663" s="1" t="n"/>
      <c r="B663" s="21" t="n"/>
      <c r="C663" s="23" t="n"/>
      <c r="D663" s="22" t="n"/>
      <c r="E663" s="24" t="n"/>
      <c r="F663" s="25" t="n"/>
      <c r="G663" s="18">
        <f>IF(AND(C663="",D663=""),"",IF(NOT(ISNUMBER(B663)),"Needs a date",IF(NOT(ISNUMBER(D663)),"Needs the amount",IF(C663="","Needs an envelope",IF(COUNTIF(Envelopes!$B$6:$B$21,C663)=0,"Not on Envelopes",IF(F663="",IF(D663=0,"Needs the amount",""),IF(COUNTIF(Envelopes!$B$6:$B$21,F663)=0,"Moved to: not on Envelopes",IF(D663&lt;=0,"A move needs an amount",IF(F663=C663,"Moved to the same envelope","")))))))))</f>
        <v/>
      </c>
      <c r="H663" s="1">
        <f>IF(ISNUMBER(B663),INT(B663),0)</f>
        <v/>
      </c>
      <c r="I663">
        <f>IF(AND(H663&gt;0,ISNUMBER(D663),COUNTIF(Envelopes!$B$6:$B$21,C663)&gt;0,F663=""),1,0)</f>
        <v/>
      </c>
      <c r="J663">
        <f>IF(AND(H663&gt;0,ISNUMBER(D663),COUNTIF(Envelopes!$B$6:$B$21,C663)&gt;0,F663&lt;&gt;"",COUNTIF(Envelopes!$B$6:$B$21,F663)&gt;0),1,0)</f>
        <v/>
      </c>
      <c r="K663">
        <f>IF(I663=1,H663*10000+ROW(),"")</f>
        <v/>
      </c>
    </row>
    <row r="664">
      <c r="A664" s="1" t="n"/>
      <c r="B664" s="21" t="n"/>
      <c r="C664" s="23" t="n"/>
      <c r="D664" s="22" t="n"/>
      <c r="E664" s="24" t="n"/>
      <c r="F664" s="25" t="n"/>
      <c r="G664" s="18">
        <f>IF(AND(C664="",D664=""),"",IF(NOT(ISNUMBER(B664)),"Needs a date",IF(NOT(ISNUMBER(D664)),"Needs the amount",IF(C664="","Needs an envelope",IF(COUNTIF(Envelopes!$B$6:$B$21,C664)=0,"Not on Envelopes",IF(F664="",IF(D664=0,"Needs the amount",""),IF(COUNTIF(Envelopes!$B$6:$B$21,F664)=0,"Moved to: not on Envelopes",IF(D664&lt;=0,"A move needs an amount",IF(F664=C664,"Moved to the same envelope","")))))))))</f>
        <v/>
      </c>
      <c r="H664" s="1">
        <f>IF(ISNUMBER(B664),INT(B664),0)</f>
        <v/>
      </c>
      <c r="I664">
        <f>IF(AND(H664&gt;0,ISNUMBER(D664),COUNTIF(Envelopes!$B$6:$B$21,C664)&gt;0,F664=""),1,0)</f>
        <v/>
      </c>
      <c r="J664">
        <f>IF(AND(H664&gt;0,ISNUMBER(D664),COUNTIF(Envelopes!$B$6:$B$21,C664)&gt;0,F664&lt;&gt;"",COUNTIF(Envelopes!$B$6:$B$21,F664)&gt;0),1,0)</f>
        <v/>
      </c>
      <c r="K664">
        <f>IF(I664=1,H664*10000+ROW(),"")</f>
        <v/>
      </c>
    </row>
    <row r="665">
      <c r="A665" s="1" t="n"/>
      <c r="B665" s="21" t="n"/>
      <c r="C665" s="23" t="n"/>
      <c r="D665" s="22" t="n"/>
      <c r="E665" s="24" t="n"/>
      <c r="F665" s="25" t="n"/>
      <c r="G665" s="18">
        <f>IF(AND(C665="",D665=""),"",IF(NOT(ISNUMBER(B665)),"Needs a date",IF(NOT(ISNUMBER(D665)),"Needs the amount",IF(C665="","Needs an envelope",IF(COUNTIF(Envelopes!$B$6:$B$21,C665)=0,"Not on Envelopes",IF(F665="",IF(D665=0,"Needs the amount",""),IF(COUNTIF(Envelopes!$B$6:$B$21,F665)=0,"Moved to: not on Envelopes",IF(D665&lt;=0,"A move needs an amount",IF(F665=C665,"Moved to the same envelope","")))))))))</f>
        <v/>
      </c>
      <c r="H665" s="1">
        <f>IF(ISNUMBER(B665),INT(B665),0)</f>
        <v/>
      </c>
      <c r="I665">
        <f>IF(AND(H665&gt;0,ISNUMBER(D665),COUNTIF(Envelopes!$B$6:$B$21,C665)&gt;0,F665=""),1,0)</f>
        <v/>
      </c>
      <c r="J665">
        <f>IF(AND(H665&gt;0,ISNUMBER(D665),COUNTIF(Envelopes!$B$6:$B$21,C665)&gt;0,F665&lt;&gt;"",COUNTIF(Envelopes!$B$6:$B$21,F665)&gt;0),1,0)</f>
        <v/>
      </c>
      <c r="K665">
        <f>IF(I665=1,H665*10000+ROW(),"")</f>
        <v/>
      </c>
    </row>
    <row r="666">
      <c r="A666" s="1" t="n"/>
      <c r="B666" s="21" t="n"/>
      <c r="C666" s="23" t="n"/>
      <c r="D666" s="22" t="n"/>
      <c r="E666" s="24" t="n"/>
      <c r="F666" s="25" t="n"/>
      <c r="G666" s="18">
        <f>IF(AND(C666="",D666=""),"",IF(NOT(ISNUMBER(B666)),"Needs a date",IF(NOT(ISNUMBER(D666)),"Needs the amount",IF(C666="","Needs an envelope",IF(COUNTIF(Envelopes!$B$6:$B$21,C666)=0,"Not on Envelopes",IF(F666="",IF(D666=0,"Needs the amount",""),IF(COUNTIF(Envelopes!$B$6:$B$21,F666)=0,"Moved to: not on Envelopes",IF(D666&lt;=0,"A move needs an amount",IF(F666=C666,"Moved to the same envelope","")))))))))</f>
        <v/>
      </c>
      <c r="H666" s="1">
        <f>IF(ISNUMBER(B666),INT(B666),0)</f>
        <v/>
      </c>
      <c r="I666">
        <f>IF(AND(H666&gt;0,ISNUMBER(D666),COUNTIF(Envelopes!$B$6:$B$21,C666)&gt;0,F666=""),1,0)</f>
        <v/>
      </c>
      <c r="J666">
        <f>IF(AND(H666&gt;0,ISNUMBER(D666),COUNTIF(Envelopes!$B$6:$B$21,C666)&gt;0,F666&lt;&gt;"",COUNTIF(Envelopes!$B$6:$B$21,F666)&gt;0),1,0)</f>
        <v/>
      </c>
      <c r="K666">
        <f>IF(I666=1,H666*10000+ROW(),"")</f>
        <v/>
      </c>
    </row>
    <row r="667">
      <c r="A667" s="1" t="n"/>
      <c r="B667" s="21" t="n"/>
      <c r="C667" s="23" t="n"/>
      <c r="D667" s="22" t="n"/>
      <c r="E667" s="24" t="n"/>
      <c r="F667" s="25" t="n"/>
      <c r="G667" s="18">
        <f>IF(AND(C667="",D667=""),"",IF(NOT(ISNUMBER(B667)),"Needs a date",IF(NOT(ISNUMBER(D667)),"Needs the amount",IF(C667="","Needs an envelope",IF(COUNTIF(Envelopes!$B$6:$B$21,C667)=0,"Not on Envelopes",IF(F667="",IF(D667=0,"Needs the amount",""),IF(COUNTIF(Envelopes!$B$6:$B$21,F667)=0,"Moved to: not on Envelopes",IF(D667&lt;=0,"A move needs an amount",IF(F667=C667,"Moved to the same envelope","")))))))))</f>
        <v/>
      </c>
      <c r="H667" s="1">
        <f>IF(ISNUMBER(B667),INT(B667),0)</f>
        <v/>
      </c>
      <c r="I667">
        <f>IF(AND(H667&gt;0,ISNUMBER(D667),COUNTIF(Envelopes!$B$6:$B$21,C667)&gt;0,F667=""),1,0)</f>
        <v/>
      </c>
      <c r="J667">
        <f>IF(AND(H667&gt;0,ISNUMBER(D667),COUNTIF(Envelopes!$B$6:$B$21,C667)&gt;0,F667&lt;&gt;"",COUNTIF(Envelopes!$B$6:$B$21,F667)&gt;0),1,0)</f>
        <v/>
      </c>
      <c r="K667">
        <f>IF(I667=1,H667*10000+ROW(),"")</f>
        <v/>
      </c>
    </row>
    <row r="668">
      <c r="A668" s="1" t="n"/>
      <c r="B668" s="21" t="n"/>
      <c r="C668" s="23" t="n"/>
      <c r="D668" s="22" t="n"/>
      <c r="E668" s="24" t="n"/>
      <c r="F668" s="25" t="n"/>
      <c r="G668" s="18">
        <f>IF(AND(C668="",D668=""),"",IF(NOT(ISNUMBER(B668)),"Needs a date",IF(NOT(ISNUMBER(D668)),"Needs the amount",IF(C668="","Needs an envelope",IF(COUNTIF(Envelopes!$B$6:$B$21,C668)=0,"Not on Envelopes",IF(F668="",IF(D668=0,"Needs the amount",""),IF(COUNTIF(Envelopes!$B$6:$B$21,F668)=0,"Moved to: not on Envelopes",IF(D668&lt;=0,"A move needs an amount",IF(F668=C668,"Moved to the same envelope","")))))))))</f>
        <v/>
      </c>
      <c r="H668" s="1">
        <f>IF(ISNUMBER(B668),INT(B668),0)</f>
        <v/>
      </c>
      <c r="I668">
        <f>IF(AND(H668&gt;0,ISNUMBER(D668),COUNTIF(Envelopes!$B$6:$B$21,C668)&gt;0,F668=""),1,0)</f>
        <v/>
      </c>
      <c r="J668">
        <f>IF(AND(H668&gt;0,ISNUMBER(D668),COUNTIF(Envelopes!$B$6:$B$21,C668)&gt;0,F668&lt;&gt;"",COUNTIF(Envelopes!$B$6:$B$21,F668)&gt;0),1,0)</f>
        <v/>
      </c>
      <c r="K668">
        <f>IF(I668=1,H668*10000+ROW(),"")</f>
        <v/>
      </c>
    </row>
    <row r="669">
      <c r="A669" s="1" t="n"/>
      <c r="B669" s="21" t="n"/>
      <c r="C669" s="23" t="n"/>
      <c r="D669" s="22" t="n"/>
      <c r="E669" s="24" t="n"/>
      <c r="F669" s="25" t="n"/>
      <c r="G669" s="18">
        <f>IF(AND(C669="",D669=""),"",IF(NOT(ISNUMBER(B669)),"Needs a date",IF(NOT(ISNUMBER(D669)),"Needs the amount",IF(C669="","Needs an envelope",IF(COUNTIF(Envelopes!$B$6:$B$21,C669)=0,"Not on Envelopes",IF(F669="",IF(D669=0,"Needs the amount",""),IF(COUNTIF(Envelopes!$B$6:$B$21,F669)=0,"Moved to: not on Envelopes",IF(D669&lt;=0,"A move needs an amount",IF(F669=C669,"Moved to the same envelope","")))))))))</f>
        <v/>
      </c>
      <c r="H669" s="1">
        <f>IF(ISNUMBER(B669),INT(B669),0)</f>
        <v/>
      </c>
      <c r="I669">
        <f>IF(AND(H669&gt;0,ISNUMBER(D669),COUNTIF(Envelopes!$B$6:$B$21,C669)&gt;0,F669=""),1,0)</f>
        <v/>
      </c>
      <c r="J669">
        <f>IF(AND(H669&gt;0,ISNUMBER(D669),COUNTIF(Envelopes!$B$6:$B$21,C669)&gt;0,F669&lt;&gt;"",COUNTIF(Envelopes!$B$6:$B$21,F669)&gt;0),1,0)</f>
        <v/>
      </c>
      <c r="K669">
        <f>IF(I669=1,H669*10000+ROW(),"")</f>
        <v/>
      </c>
    </row>
    <row r="670">
      <c r="A670" s="1" t="n"/>
      <c r="B670" s="21" t="n"/>
      <c r="C670" s="23" t="n"/>
      <c r="D670" s="22" t="n"/>
      <c r="E670" s="24" t="n"/>
      <c r="F670" s="25" t="n"/>
      <c r="G670" s="18">
        <f>IF(AND(C670="",D670=""),"",IF(NOT(ISNUMBER(B670)),"Needs a date",IF(NOT(ISNUMBER(D670)),"Needs the amount",IF(C670="","Needs an envelope",IF(COUNTIF(Envelopes!$B$6:$B$21,C670)=0,"Not on Envelopes",IF(F670="",IF(D670=0,"Needs the amount",""),IF(COUNTIF(Envelopes!$B$6:$B$21,F670)=0,"Moved to: not on Envelopes",IF(D670&lt;=0,"A move needs an amount",IF(F670=C670,"Moved to the same envelope","")))))))))</f>
        <v/>
      </c>
      <c r="H670" s="1">
        <f>IF(ISNUMBER(B670),INT(B670),0)</f>
        <v/>
      </c>
      <c r="I670">
        <f>IF(AND(H670&gt;0,ISNUMBER(D670),COUNTIF(Envelopes!$B$6:$B$21,C670)&gt;0,F670=""),1,0)</f>
        <v/>
      </c>
      <c r="J670">
        <f>IF(AND(H670&gt;0,ISNUMBER(D670),COUNTIF(Envelopes!$B$6:$B$21,C670)&gt;0,F670&lt;&gt;"",COUNTIF(Envelopes!$B$6:$B$21,F670)&gt;0),1,0)</f>
        <v/>
      </c>
      <c r="K670">
        <f>IF(I670=1,H670*10000+ROW(),"")</f>
        <v/>
      </c>
    </row>
    <row r="671">
      <c r="A671" s="1" t="n"/>
      <c r="B671" s="21" t="n"/>
      <c r="C671" s="23" t="n"/>
      <c r="D671" s="22" t="n"/>
      <c r="E671" s="24" t="n"/>
      <c r="F671" s="25" t="n"/>
      <c r="G671" s="18">
        <f>IF(AND(C671="",D671=""),"",IF(NOT(ISNUMBER(B671)),"Needs a date",IF(NOT(ISNUMBER(D671)),"Needs the amount",IF(C671="","Needs an envelope",IF(COUNTIF(Envelopes!$B$6:$B$21,C671)=0,"Not on Envelopes",IF(F671="",IF(D671=0,"Needs the amount",""),IF(COUNTIF(Envelopes!$B$6:$B$21,F671)=0,"Moved to: not on Envelopes",IF(D671&lt;=0,"A move needs an amount",IF(F671=C671,"Moved to the same envelope","")))))))))</f>
        <v/>
      </c>
      <c r="H671" s="1">
        <f>IF(ISNUMBER(B671),INT(B671),0)</f>
        <v/>
      </c>
      <c r="I671">
        <f>IF(AND(H671&gt;0,ISNUMBER(D671),COUNTIF(Envelopes!$B$6:$B$21,C671)&gt;0,F671=""),1,0)</f>
        <v/>
      </c>
      <c r="J671">
        <f>IF(AND(H671&gt;0,ISNUMBER(D671),COUNTIF(Envelopes!$B$6:$B$21,C671)&gt;0,F671&lt;&gt;"",COUNTIF(Envelopes!$B$6:$B$21,F671)&gt;0),1,0)</f>
        <v/>
      </c>
      <c r="K671">
        <f>IF(I671=1,H671*10000+ROW(),"")</f>
        <v/>
      </c>
    </row>
    <row r="672">
      <c r="A672" s="1" t="n"/>
      <c r="B672" s="21" t="n"/>
      <c r="C672" s="23" t="n"/>
      <c r="D672" s="22" t="n"/>
      <c r="E672" s="24" t="n"/>
      <c r="F672" s="25" t="n"/>
      <c r="G672" s="18">
        <f>IF(AND(C672="",D672=""),"",IF(NOT(ISNUMBER(B672)),"Needs a date",IF(NOT(ISNUMBER(D672)),"Needs the amount",IF(C672="","Needs an envelope",IF(COUNTIF(Envelopes!$B$6:$B$21,C672)=0,"Not on Envelopes",IF(F672="",IF(D672=0,"Needs the amount",""),IF(COUNTIF(Envelopes!$B$6:$B$21,F672)=0,"Moved to: not on Envelopes",IF(D672&lt;=0,"A move needs an amount",IF(F672=C672,"Moved to the same envelope","")))))))))</f>
        <v/>
      </c>
      <c r="H672" s="1">
        <f>IF(ISNUMBER(B672),INT(B672),0)</f>
        <v/>
      </c>
      <c r="I672">
        <f>IF(AND(H672&gt;0,ISNUMBER(D672),COUNTIF(Envelopes!$B$6:$B$21,C672)&gt;0,F672=""),1,0)</f>
        <v/>
      </c>
      <c r="J672">
        <f>IF(AND(H672&gt;0,ISNUMBER(D672),COUNTIF(Envelopes!$B$6:$B$21,C672)&gt;0,F672&lt;&gt;"",COUNTIF(Envelopes!$B$6:$B$21,F672)&gt;0),1,0)</f>
        <v/>
      </c>
      <c r="K672">
        <f>IF(I672=1,H672*10000+ROW(),"")</f>
        <v/>
      </c>
    </row>
    <row r="673">
      <c r="A673" s="1" t="n"/>
      <c r="B673" s="21" t="n"/>
      <c r="C673" s="23" t="n"/>
      <c r="D673" s="22" t="n"/>
      <c r="E673" s="24" t="n"/>
      <c r="F673" s="25" t="n"/>
      <c r="G673" s="18">
        <f>IF(AND(C673="",D673=""),"",IF(NOT(ISNUMBER(B673)),"Needs a date",IF(NOT(ISNUMBER(D673)),"Needs the amount",IF(C673="","Needs an envelope",IF(COUNTIF(Envelopes!$B$6:$B$21,C673)=0,"Not on Envelopes",IF(F673="",IF(D673=0,"Needs the amount",""),IF(COUNTIF(Envelopes!$B$6:$B$21,F673)=0,"Moved to: not on Envelopes",IF(D673&lt;=0,"A move needs an amount",IF(F673=C673,"Moved to the same envelope","")))))))))</f>
        <v/>
      </c>
      <c r="H673" s="1">
        <f>IF(ISNUMBER(B673),INT(B673),0)</f>
        <v/>
      </c>
      <c r="I673">
        <f>IF(AND(H673&gt;0,ISNUMBER(D673),COUNTIF(Envelopes!$B$6:$B$21,C673)&gt;0,F673=""),1,0)</f>
        <v/>
      </c>
      <c r="J673">
        <f>IF(AND(H673&gt;0,ISNUMBER(D673),COUNTIF(Envelopes!$B$6:$B$21,C673)&gt;0,F673&lt;&gt;"",COUNTIF(Envelopes!$B$6:$B$21,F673)&gt;0),1,0)</f>
        <v/>
      </c>
      <c r="K673">
        <f>IF(I673=1,H673*10000+ROW(),"")</f>
        <v/>
      </c>
    </row>
    <row r="674">
      <c r="A674" s="1" t="n"/>
      <c r="B674" s="21" t="n"/>
      <c r="C674" s="23" t="n"/>
      <c r="D674" s="22" t="n"/>
      <c r="E674" s="24" t="n"/>
      <c r="F674" s="25" t="n"/>
      <c r="G674" s="18">
        <f>IF(AND(C674="",D674=""),"",IF(NOT(ISNUMBER(B674)),"Needs a date",IF(NOT(ISNUMBER(D674)),"Needs the amount",IF(C674="","Needs an envelope",IF(COUNTIF(Envelopes!$B$6:$B$21,C674)=0,"Not on Envelopes",IF(F674="",IF(D674=0,"Needs the amount",""),IF(COUNTIF(Envelopes!$B$6:$B$21,F674)=0,"Moved to: not on Envelopes",IF(D674&lt;=0,"A move needs an amount",IF(F674=C674,"Moved to the same envelope","")))))))))</f>
        <v/>
      </c>
      <c r="H674" s="1">
        <f>IF(ISNUMBER(B674),INT(B674),0)</f>
        <v/>
      </c>
      <c r="I674">
        <f>IF(AND(H674&gt;0,ISNUMBER(D674),COUNTIF(Envelopes!$B$6:$B$21,C674)&gt;0,F674=""),1,0)</f>
        <v/>
      </c>
      <c r="J674">
        <f>IF(AND(H674&gt;0,ISNUMBER(D674),COUNTIF(Envelopes!$B$6:$B$21,C674)&gt;0,F674&lt;&gt;"",COUNTIF(Envelopes!$B$6:$B$21,F674)&gt;0),1,0)</f>
        <v/>
      </c>
      <c r="K674">
        <f>IF(I674=1,H674*10000+ROW(),"")</f>
        <v/>
      </c>
    </row>
    <row r="675">
      <c r="A675" s="1" t="n"/>
      <c r="B675" s="21" t="n"/>
      <c r="C675" s="23" t="n"/>
      <c r="D675" s="22" t="n"/>
      <c r="E675" s="24" t="n"/>
      <c r="F675" s="25" t="n"/>
      <c r="G675" s="18">
        <f>IF(AND(C675="",D675=""),"",IF(NOT(ISNUMBER(B675)),"Needs a date",IF(NOT(ISNUMBER(D675)),"Needs the amount",IF(C675="","Needs an envelope",IF(COUNTIF(Envelopes!$B$6:$B$21,C675)=0,"Not on Envelopes",IF(F675="",IF(D675=0,"Needs the amount",""),IF(COUNTIF(Envelopes!$B$6:$B$21,F675)=0,"Moved to: not on Envelopes",IF(D675&lt;=0,"A move needs an amount",IF(F675=C675,"Moved to the same envelope","")))))))))</f>
        <v/>
      </c>
      <c r="H675" s="1">
        <f>IF(ISNUMBER(B675),INT(B675),0)</f>
        <v/>
      </c>
      <c r="I675">
        <f>IF(AND(H675&gt;0,ISNUMBER(D675),COUNTIF(Envelopes!$B$6:$B$21,C675)&gt;0,F675=""),1,0)</f>
        <v/>
      </c>
      <c r="J675">
        <f>IF(AND(H675&gt;0,ISNUMBER(D675),COUNTIF(Envelopes!$B$6:$B$21,C675)&gt;0,F675&lt;&gt;"",COUNTIF(Envelopes!$B$6:$B$21,F675)&gt;0),1,0)</f>
        <v/>
      </c>
      <c r="K675">
        <f>IF(I675=1,H675*10000+ROW(),"")</f>
        <v/>
      </c>
    </row>
    <row r="676">
      <c r="A676" s="1" t="n"/>
      <c r="B676" s="21" t="n"/>
      <c r="C676" s="23" t="n"/>
      <c r="D676" s="22" t="n"/>
      <c r="E676" s="24" t="n"/>
      <c r="F676" s="25" t="n"/>
      <c r="G676" s="18">
        <f>IF(AND(C676="",D676=""),"",IF(NOT(ISNUMBER(B676)),"Needs a date",IF(NOT(ISNUMBER(D676)),"Needs the amount",IF(C676="","Needs an envelope",IF(COUNTIF(Envelopes!$B$6:$B$21,C676)=0,"Not on Envelopes",IF(F676="",IF(D676=0,"Needs the amount",""),IF(COUNTIF(Envelopes!$B$6:$B$21,F676)=0,"Moved to: not on Envelopes",IF(D676&lt;=0,"A move needs an amount",IF(F676=C676,"Moved to the same envelope","")))))))))</f>
        <v/>
      </c>
      <c r="H676" s="1">
        <f>IF(ISNUMBER(B676),INT(B676),0)</f>
        <v/>
      </c>
      <c r="I676">
        <f>IF(AND(H676&gt;0,ISNUMBER(D676),COUNTIF(Envelopes!$B$6:$B$21,C676)&gt;0,F676=""),1,0)</f>
        <v/>
      </c>
      <c r="J676">
        <f>IF(AND(H676&gt;0,ISNUMBER(D676),COUNTIF(Envelopes!$B$6:$B$21,C676)&gt;0,F676&lt;&gt;"",COUNTIF(Envelopes!$B$6:$B$21,F676)&gt;0),1,0)</f>
        <v/>
      </c>
      <c r="K676">
        <f>IF(I676=1,H676*10000+ROW(),"")</f>
        <v/>
      </c>
    </row>
    <row r="677">
      <c r="A677" s="1" t="n"/>
      <c r="B677" s="21" t="n"/>
      <c r="C677" s="23" t="n"/>
      <c r="D677" s="22" t="n"/>
      <c r="E677" s="24" t="n"/>
      <c r="F677" s="25" t="n"/>
      <c r="G677" s="18">
        <f>IF(AND(C677="",D677=""),"",IF(NOT(ISNUMBER(B677)),"Needs a date",IF(NOT(ISNUMBER(D677)),"Needs the amount",IF(C677="","Needs an envelope",IF(COUNTIF(Envelopes!$B$6:$B$21,C677)=0,"Not on Envelopes",IF(F677="",IF(D677=0,"Needs the amount",""),IF(COUNTIF(Envelopes!$B$6:$B$21,F677)=0,"Moved to: not on Envelopes",IF(D677&lt;=0,"A move needs an amount",IF(F677=C677,"Moved to the same envelope","")))))))))</f>
        <v/>
      </c>
      <c r="H677" s="1">
        <f>IF(ISNUMBER(B677),INT(B677),0)</f>
        <v/>
      </c>
      <c r="I677">
        <f>IF(AND(H677&gt;0,ISNUMBER(D677),COUNTIF(Envelopes!$B$6:$B$21,C677)&gt;0,F677=""),1,0)</f>
        <v/>
      </c>
      <c r="J677">
        <f>IF(AND(H677&gt;0,ISNUMBER(D677),COUNTIF(Envelopes!$B$6:$B$21,C677)&gt;0,F677&lt;&gt;"",COUNTIF(Envelopes!$B$6:$B$21,F677)&gt;0),1,0)</f>
        <v/>
      </c>
      <c r="K677">
        <f>IF(I677=1,H677*10000+ROW(),"")</f>
        <v/>
      </c>
    </row>
    <row r="678">
      <c r="A678" s="1" t="n"/>
      <c r="B678" s="21" t="n"/>
      <c r="C678" s="23" t="n"/>
      <c r="D678" s="22" t="n"/>
      <c r="E678" s="24" t="n"/>
      <c r="F678" s="25" t="n"/>
      <c r="G678" s="18">
        <f>IF(AND(C678="",D678=""),"",IF(NOT(ISNUMBER(B678)),"Needs a date",IF(NOT(ISNUMBER(D678)),"Needs the amount",IF(C678="","Needs an envelope",IF(COUNTIF(Envelopes!$B$6:$B$21,C678)=0,"Not on Envelopes",IF(F678="",IF(D678=0,"Needs the amount",""),IF(COUNTIF(Envelopes!$B$6:$B$21,F678)=0,"Moved to: not on Envelopes",IF(D678&lt;=0,"A move needs an amount",IF(F678=C678,"Moved to the same envelope","")))))))))</f>
        <v/>
      </c>
      <c r="H678" s="1">
        <f>IF(ISNUMBER(B678),INT(B678),0)</f>
        <v/>
      </c>
      <c r="I678">
        <f>IF(AND(H678&gt;0,ISNUMBER(D678),COUNTIF(Envelopes!$B$6:$B$21,C678)&gt;0,F678=""),1,0)</f>
        <v/>
      </c>
      <c r="J678">
        <f>IF(AND(H678&gt;0,ISNUMBER(D678),COUNTIF(Envelopes!$B$6:$B$21,C678)&gt;0,F678&lt;&gt;"",COUNTIF(Envelopes!$B$6:$B$21,F678)&gt;0),1,0)</f>
        <v/>
      </c>
      <c r="K678">
        <f>IF(I678=1,H678*10000+ROW(),"")</f>
        <v/>
      </c>
    </row>
    <row r="679">
      <c r="A679" s="1" t="n"/>
      <c r="B679" s="21" t="n"/>
      <c r="C679" s="23" t="n"/>
      <c r="D679" s="22" t="n"/>
      <c r="E679" s="24" t="n"/>
      <c r="F679" s="25" t="n"/>
      <c r="G679" s="18">
        <f>IF(AND(C679="",D679=""),"",IF(NOT(ISNUMBER(B679)),"Needs a date",IF(NOT(ISNUMBER(D679)),"Needs the amount",IF(C679="","Needs an envelope",IF(COUNTIF(Envelopes!$B$6:$B$21,C679)=0,"Not on Envelopes",IF(F679="",IF(D679=0,"Needs the amount",""),IF(COUNTIF(Envelopes!$B$6:$B$21,F679)=0,"Moved to: not on Envelopes",IF(D679&lt;=0,"A move needs an amount",IF(F679=C679,"Moved to the same envelope","")))))))))</f>
        <v/>
      </c>
      <c r="H679" s="1">
        <f>IF(ISNUMBER(B679),INT(B679),0)</f>
        <v/>
      </c>
      <c r="I679">
        <f>IF(AND(H679&gt;0,ISNUMBER(D679),COUNTIF(Envelopes!$B$6:$B$21,C679)&gt;0,F679=""),1,0)</f>
        <v/>
      </c>
      <c r="J679">
        <f>IF(AND(H679&gt;0,ISNUMBER(D679),COUNTIF(Envelopes!$B$6:$B$21,C679)&gt;0,F679&lt;&gt;"",COUNTIF(Envelopes!$B$6:$B$21,F679)&gt;0),1,0)</f>
        <v/>
      </c>
      <c r="K679">
        <f>IF(I679=1,H679*10000+ROW(),"")</f>
        <v/>
      </c>
    </row>
    <row r="680">
      <c r="A680" s="1" t="n"/>
      <c r="B680" s="21" t="n"/>
      <c r="C680" s="23" t="n"/>
      <c r="D680" s="22" t="n"/>
      <c r="E680" s="24" t="n"/>
      <c r="F680" s="25" t="n"/>
      <c r="G680" s="18">
        <f>IF(AND(C680="",D680=""),"",IF(NOT(ISNUMBER(B680)),"Needs a date",IF(NOT(ISNUMBER(D680)),"Needs the amount",IF(C680="","Needs an envelope",IF(COUNTIF(Envelopes!$B$6:$B$21,C680)=0,"Not on Envelopes",IF(F680="",IF(D680=0,"Needs the amount",""),IF(COUNTIF(Envelopes!$B$6:$B$21,F680)=0,"Moved to: not on Envelopes",IF(D680&lt;=0,"A move needs an amount",IF(F680=C680,"Moved to the same envelope","")))))))))</f>
        <v/>
      </c>
      <c r="H680" s="1">
        <f>IF(ISNUMBER(B680),INT(B680),0)</f>
        <v/>
      </c>
      <c r="I680">
        <f>IF(AND(H680&gt;0,ISNUMBER(D680),COUNTIF(Envelopes!$B$6:$B$21,C680)&gt;0,F680=""),1,0)</f>
        <v/>
      </c>
      <c r="J680">
        <f>IF(AND(H680&gt;0,ISNUMBER(D680),COUNTIF(Envelopes!$B$6:$B$21,C680)&gt;0,F680&lt;&gt;"",COUNTIF(Envelopes!$B$6:$B$21,F680)&gt;0),1,0)</f>
        <v/>
      </c>
      <c r="K680">
        <f>IF(I680=1,H680*10000+ROW(),"")</f>
        <v/>
      </c>
    </row>
    <row r="681">
      <c r="A681" s="1" t="n"/>
      <c r="B681" s="21" t="n"/>
      <c r="C681" s="23" t="n"/>
      <c r="D681" s="22" t="n"/>
      <c r="E681" s="24" t="n"/>
      <c r="F681" s="25" t="n"/>
      <c r="G681" s="18">
        <f>IF(AND(C681="",D681=""),"",IF(NOT(ISNUMBER(B681)),"Needs a date",IF(NOT(ISNUMBER(D681)),"Needs the amount",IF(C681="","Needs an envelope",IF(COUNTIF(Envelopes!$B$6:$B$21,C681)=0,"Not on Envelopes",IF(F681="",IF(D681=0,"Needs the amount",""),IF(COUNTIF(Envelopes!$B$6:$B$21,F681)=0,"Moved to: not on Envelopes",IF(D681&lt;=0,"A move needs an amount",IF(F681=C681,"Moved to the same envelope","")))))))))</f>
        <v/>
      </c>
      <c r="H681" s="1">
        <f>IF(ISNUMBER(B681),INT(B681),0)</f>
        <v/>
      </c>
      <c r="I681">
        <f>IF(AND(H681&gt;0,ISNUMBER(D681),COUNTIF(Envelopes!$B$6:$B$21,C681)&gt;0,F681=""),1,0)</f>
        <v/>
      </c>
      <c r="J681">
        <f>IF(AND(H681&gt;0,ISNUMBER(D681),COUNTIF(Envelopes!$B$6:$B$21,C681)&gt;0,F681&lt;&gt;"",COUNTIF(Envelopes!$B$6:$B$21,F681)&gt;0),1,0)</f>
        <v/>
      </c>
      <c r="K681">
        <f>IF(I681=1,H681*10000+ROW(),"")</f>
        <v/>
      </c>
    </row>
    <row r="682">
      <c r="A682" s="1" t="n"/>
      <c r="B682" s="21" t="n"/>
      <c r="C682" s="23" t="n"/>
      <c r="D682" s="22" t="n"/>
      <c r="E682" s="24" t="n"/>
      <c r="F682" s="25" t="n"/>
      <c r="G682" s="18">
        <f>IF(AND(C682="",D682=""),"",IF(NOT(ISNUMBER(B682)),"Needs a date",IF(NOT(ISNUMBER(D682)),"Needs the amount",IF(C682="","Needs an envelope",IF(COUNTIF(Envelopes!$B$6:$B$21,C682)=0,"Not on Envelopes",IF(F682="",IF(D682=0,"Needs the amount",""),IF(COUNTIF(Envelopes!$B$6:$B$21,F682)=0,"Moved to: not on Envelopes",IF(D682&lt;=0,"A move needs an amount",IF(F682=C682,"Moved to the same envelope","")))))))))</f>
        <v/>
      </c>
      <c r="H682" s="1">
        <f>IF(ISNUMBER(B682),INT(B682),0)</f>
        <v/>
      </c>
      <c r="I682">
        <f>IF(AND(H682&gt;0,ISNUMBER(D682),COUNTIF(Envelopes!$B$6:$B$21,C682)&gt;0,F682=""),1,0)</f>
        <v/>
      </c>
      <c r="J682">
        <f>IF(AND(H682&gt;0,ISNUMBER(D682),COUNTIF(Envelopes!$B$6:$B$21,C682)&gt;0,F682&lt;&gt;"",COUNTIF(Envelopes!$B$6:$B$21,F682)&gt;0),1,0)</f>
        <v/>
      </c>
      <c r="K682">
        <f>IF(I682=1,H682*10000+ROW(),"")</f>
        <v/>
      </c>
    </row>
    <row r="683">
      <c r="A683" s="1" t="n"/>
      <c r="B683" s="21" t="n"/>
      <c r="C683" s="23" t="n"/>
      <c r="D683" s="22" t="n"/>
      <c r="E683" s="24" t="n"/>
      <c r="F683" s="25" t="n"/>
      <c r="G683" s="18">
        <f>IF(AND(C683="",D683=""),"",IF(NOT(ISNUMBER(B683)),"Needs a date",IF(NOT(ISNUMBER(D683)),"Needs the amount",IF(C683="","Needs an envelope",IF(COUNTIF(Envelopes!$B$6:$B$21,C683)=0,"Not on Envelopes",IF(F683="",IF(D683=0,"Needs the amount",""),IF(COUNTIF(Envelopes!$B$6:$B$21,F683)=0,"Moved to: not on Envelopes",IF(D683&lt;=0,"A move needs an amount",IF(F683=C683,"Moved to the same envelope","")))))))))</f>
        <v/>
      </c>
      <c r="H683" s="1">
        <f>IF(ISNUMBER(B683),INT(B683),0)</f>
        <v/>
      </c>
      <c r="I683">
        <f>IF(AND(H683&gt;0,ISNUMBER(D683),COUNTIF(Envelopes!$B$6:$B$21,C683)&gt;0,F683=""),1,0)</f>
        <v/>
      </c>
      <c r="J683">
        <f>IF(AND(H683&gt;0,ISNUMBER(D683),COUNTIF(Envelopes!$B$6:$B$21,C683)&gt;0,F683&lt;&gt;"",COUNTIF(Envelopes!$B$6:$B$21,F683)&gt;0),1,0)</f>
        <v/>
      </c>
      <c r="K683">
        <f>IF(I683=1,H683*10000+ROW(),"")</f>
        <v/>
      </c>
    </row>
    <row r="684">
      <c r="A684" s="1" t="n"/>
      <c r="B684" s="21" t="n"/>
      <c r="C684" s="23" t="n"/>
      <c r="D684" s="22" t="n"/>
      <c r="E684" s="24" t="n"/>
      <c r="F684" s="25" t="n"/>
      <c r="G684" s="18">
        <f>IF(AND(C684="",D684=""),"",IF(NOT(ISNUMBER(B684)),"Needs a date",IF(NOT(ISNUMBER(D684)),"Needs the amount",IF(C684="","Needs an envelope",IF(COUNTIF(Envelopes!$B$6:$B$21,C684)=0,"Not on Envelopes",IF(F684="",IF(D684=0,"Needs the amount",""),IF(COUNTIF(Envelopes!$B$6:$B$21,F684)=0,"Moved to: not on Envelopes",IF(D684&lt;=0,"A move needs an amount",IF(F684=C684,"Moved to the same envelope","")))))))))</f>
        <v/>
      </c>
      <c r="H684" s="1">
        <f>IF(ISNUMBER(B684),INT(B684),0)</f>
        <v/>
      </c>
      <c r="I684">
        <f>IF(AND(H684&gt;0,ISNUMBER(D684),COUNTIF(Envelopes!$B$6:$B$21,C684)&gt;0,F684=""),1,0)</f>
        <v/>
      </c>
      <c r="J684">
        <f>IF(AND(H684&gt;0,ISNUMBER(D684),COUNTIF(Envelopes!$B$6:$B$21,C684)&gt;0,F684&lt;&gt;"",COUNTIF(Envelopes!$B$6:$B$21,F684)&gt;0),1,0)</f>
        <v/>
      </c>
      <c r="K684">
        <f>IF(I684=1,H684*10000+ROW(),"")</f>
        <v/>
      </c>
    </row>
    <row r="685">
      <c r="A685" s="1" t="n"/>
      <c r="B685" s="21" t="n"/>
      <c r="C685" s="23" t="n"/>
      <c r="D685" s="22" t="n"/>
      <c r="E685" s="24" t="n"/>
      <c r="F685" s="25" t="n"/>
      <c r="G685" s="18">
        <f>IF(AND(C685="",D685=""),"",IF(NOT(ISNUMBER(B685)),"Needs a date",IF(NOT(ISNUMBER(D685)),"Needs the amount",IF(C685="","Needs an envelope",IF(COUNTIF(Envelopes!$B$6:$B$21,C685)=0,"Not on Envelopes",IF(F685="",IF(D685=0,"Needs the amount",""),IF(COUNTIF(Envelopes!$B$6:$B$21,F685)=0,"Moved to: not on Envelopes",IF(D685&lt;=0,"A move needs an amount",IF(F685=C685,"Moved to the same envelope","")))))))))</f>
        <v/>
      </c>
      <c r="H685" s="1">
        <f>IF(ISNUMBER(B685),INT(B685),0)</f>
        <v/>
      </c>
      <c r="I685">
        <f>IF(AND(H685&gt;0,ISNUMBER(D685),COUNTIF(Envelopes!$B$6:$B$21,C685)&gt;0,F685=""),1,0)</f>
        <v/>
      </c>
      <c r="J685">
        <f>IF(AND(H685&gt;0,ISNUMBER(D685),COUNTIF(Envelopes!$B$6:$B$21,C685)&gt;0,F685&lt;&gt;"",COUNTIF(Envelopes!$B$6:$B$21,F685)&gt;0),1,0)</f>
        <v/>
      </c>
      <c r="K685">
        <f>IF(I685=1,H685*10000+ROW(),"")</f>
        <v/>
      </c>
    </row>
    <row r="686">
      <c r="A686" s="1" t="n"/>
      <c r="B686" s="21" t="n"/>
      <c r="C686" s="23" t="n"/>
      <c r="D686" s="22" t="n"/>
      <c r="E686" s="24" t="n"/>
      <c r="F686" s="25" t="n"/>
      <c r="G686" s="18">
        <f>IF(AND(C686="",D686=""),"",IF(NOT(ISNUMBER(B686)),"Needs a date",IF(NOT(ISNUMBER(D686)),"Needs the amount",IF(C686="","Needs an envelope",IF(COUNTIF(Envelopes!$B$6:$B$21,C686)=0,"Not on Envelopes",IF(F686="",IF(D686=0,"Needs the amount",""),IF(COUNTIF(Envelopes!$B$6:$B$21,F686)=0,"Moved to: not on Envelopes",IF(D686&lt;=0,"A move needs an amount",IF(F686=C686,"Moved to the same envelope","")))))))))</f>
        <v/>
      </c>
      <c r="H686" s="1">
        <f>IF(ISNUMBER(B686),INT(B686),0)</f>
        <v/>
      </c>
      <c r="I686">
        <f>IF(AND(H686&gt;0,ISNUMBER(D686),COUNTIF(Envelopes!$B$6:$B$21,C686)&gt;0,F686=""),1,0)</f>
        <v/>
      </c>
      <c r="J686">
        <f>IF(AND(H686&gt;0,ISNUMBER(D686),COUNTIF(Envelopes!$B$6:$B$21,C686)&gt;0,F686&lt;&gt;"",COUNTIF(Envelopes!$B$6:$B$21,F686)&gt;0),1,0)</f>
        <v/>
      </c>
      <c r="K686">
        <f>IF(I686=1,H686*10000+ROW(),"")</f>
        <v/>
      </c>
    </row>
    <row r="687">
      <c r="A687" s="1" t="n"/>
      <c r="B687" s="21" t="n"/>
      <c r="C687" s="23" t="n"/>
      <c r="D687" s="22" t="n"/>
      <c r="E687" s="24" t="n"/>
      <c r="F687" s="25" t="n"/>
      <c r="G687" s="18">
        <f>IF(AND(C687="",D687=""),"",IF(NOT(ISNUMBER(B687)),"Needs a date",IF(NOT(ISNUMBER(D687)),"Needs the amount",IF(C687="","Needs an envelope",IF(COUNTIF(Envelopes!$B$6:$B$21,C687)=0,"Not on Envelopes",IF(F687="",IF(D687=0,"Needs the amount",""),IF(COUNTIF(Envelopes!$B$6:$B$21,F687)=0,"Moved to: not on Envelopes",IF(D687&lt;=0,"A move needs an amount",IF(F687=C687,"Moved to the same envelope","")))))))))</f>
        <v/>
      </c>
      <c r="H687" s="1">
        <f>IF(ISNUMBER(B687),INT(B687),0)</f>
        <v/>
      </c>
      <c r="I687">
        <f>IF(AND(H687&gt;0,ISNUMBER(D687),COUNTIF(Envelopes!$B$6:$B$21,C687)&gt;0,F687=""),1,0)</f>
        <v/>
      </c>
      <c r="J687">
        <f>IF(AND(H687&gt;0,ISNUMBER(D687),COUNTIF(Envelopes!$B$6:$B$21,C687)&gt;0,F687&lt;&gt;"",COUNTIF(Envelopes!$B$6:$B$21,F687)&gt;0),1,0)</f>
        <v/>
      </c>
      <c r="K687">
        <f>IF(I687=1,H687*10000+ROW(),"")</f>
        <v/>
      </c>
    </row>
    <row r="688">
      <c r="A688" s="1" t="n"/>
      <c r="B688" s="21" t="n"/>
      <c r="C688" s="23" t="n"/>
      <c r="D688" s="22" t="n"/>
      <c r="E688" s="24" t="n"/>
      <c r="F688" s="25" t="n"/>
      <c r="G688" s="18">
        <f>IF(AND(C688="",D688=""),"",IF(NOT(ISNUMBER(B688)),"Needs a date",IF(NOT(ISNUMBER(D688)),"Needs the amount",IF(C688="","Needs an envelope",IF(COUNTIF(Envelopes!$B$6:$B$21,C688)=0,"Not on Envelopes",IF(F688="",IF(D688=0,"Needs the amount",""),IF(COUNTIF(Envelopes!$B$6:$B$21,F688)=0,"Moved to: not on Envelopes",IF(D688&lt;=0,"A move needs an amount",IF(F688=C688,"Moved to the same envelope","")))))))))</f>
        <v/>
      </c>
      <c r="H688" s="1">
        <f>IF(ISNUMBER(B688),INT(B688),0)</f>
        <v/>
      </c>
      <c r="I688">
        <f>IF(AND(H688&gt;0,ISNUMBER(D688),COUNTIF(Envelopes!$B$6:$B$21,C688)&gt;0,F688=""),1,0)</f>
        <v/>
      </c>
      <c r="J688">
        <f>IF(AND(H688&gt;0,ISNUMBER(D688),COUNTIF(Envelopes!$B$6:$B$21,C688)&gt;0,F688&lt;&gt;"",COUNTIF(Envelopes!$B$6:$B$21,F688)&gt;0),1,0)</f>
        <v/>
      </c>
      <c r="K688">
        <f>IF(I688=1,H688*10000+ROW(),"")</f>
        <v/>
      </c>
    </row>
    <row r="689">
      <c r="A689" s="1" t="n"/>
      <c r="B689" s="21" t="n"/>
      <c r="C689" s="23" t="n"/>
      <c r="D689" s="22" t="n"/>
      <c r="E689" s="24" t="n"/>
      <c r="F689" s="25" t="n"/>
      <c r="G689" s="18">
        <f>IF(AND(C689="",D689=""),"",IF(NOT(ISNUMBER(B689)),"Needs a date",IF(NOT(ISNUMBER(D689)),"Needs the amount",IF(C689="","Needs an envelope",IF(COUNTIF(Envelopes!$B$6:$B$21,C689)=0,"Not on Envelopes",IF(F689="",IF(D689=0,"Needs the amount",""),IF(COUNTIF(Envelopes!$B$6:$B$21,F689)=0,"Moved to: not on Envelopes",IF(D689&lt;=0,"A move needs an amount",IF(F689=C689,"Moved to the same envelope","")))))))))</f>
        <v/>
      </c>
      <c r="H689" s="1">
        <f>IF(ISNUMBER(B689),INT(B689),0)</f>
        <v/>
      </c>
      <c r="I689">
        <f>IF(AND(H689&gt;0,ISNUMBER(D689),COUNTIF(Envelopes!$B$6:$B$21,C689)&gt;0,F689=""),1,0)</f>
        <v/>
      </c>
      <c r="J689">
        <f>IF(AND(H689&gt;0,ISNUMBER(D689),COUNTIF(Envelopes!$B$6:$B$21,C689)&gt;0,F689&lt;&gt;"",COUNTIF(Envelopes!$B$6:$B$21,F689)&gt;0),1,0)</f>
        <v/>
      </c>
      <c r="K689">
        <f>IF(I689=1,H689*10000+ROW(),"")</f>
        <v/>
      </c>
    </row>
    <row r="690">
      <c r="A690" s="1" t="n"/>
      <c r="B690" s="21" t="n"/>
      <c r="C690" s="23" t="n"/>
      <c r="D690" s="22" t="n"/>
      <c r="E690" s="24" t="n"/>
      <c r="F690" s="25" t="n"/>
      <c r="G690" s="18">
        <f>IF(AND(C690="",D690=""),"",IF(NOT(ISNUMBER(B690)),"Needs a date",IF(NOT(ISNUMBER(D690)),"Needs the amount",IF(C690="","Needs an envelope",IF(COUNTIF(Envelopes!$B$6:$B$21,C690)=0,"Not on Envelopes",IF(F690="",IF(D690=0,"Needs the amount",""),IF(COUNTIF(Envelopes!$B$6:$B$21,F690)=0,"Moved to: not on Envelopes",IF(D690&lt;=0,"A move needs an amount",IF(F690=C690,"Moved to the same envelope","")))))))))</f>
        <v/>
      </c>
      <c r="H690" s="1">
        <f>IF(ISNUMBER(B690),INT(B690),0)</f>
        <v/>
      </c>
      <c r="I690">
        <f>IF(AND(H690&gt;0,ISNUMBER(D690),COUNTIF(Envelopes!$B$6:$B$21,C690)&gt;0,F690=""),1,0)</f>
        <v/>
      </c>
      <c r="J690">
        <f>IF(AND(H690&gt;0,ISNUMBER(D690),COUNTIF(Envelopes!$B$6:$B$21,C690)&gt;0,F690&lt;&gt;"",COUNTIF(Envelopes!$B$6:$B$21,F690)&gt;0),1,0)</f>
        <v/>
      </c>
      <c r="K690">
        <f>IF(I690=1,H690*10000+ROW(),"")</f>
        <v/>
      </c>
    </row>
    <row r="691">
      <c r="A691" s="1" t="n"/>
      <c r="B691" s="21" t="n"/>
      <c r="C691" s="23" t="n"/>
      <c r="D691" s="22" t="n"/>
      <c r="E691" s="24" t="n"/>
      <c r="F691" s="25" t="n"/>
      <c r="G691" s="18">
        <f>IF(AND(C691="",D691=""),"",IF(NOT(ISNUMBER(B691)),"Needs a date",IF(NOT(ISNUMBER(D691)),"Needs the amount",IF(C691="","Needs an envelope",IF(COUNTIF(Envelopes!$B$6:$B$21,C691)=0,"Not on Envelopes",IF(F691="",IF(D691=0,"Needs the amount",""),IF(COUNTIF(Envelopes!$B$6:$B$21,F691)=0,"Moved to: not on Envelopes",IF(D691&lt;=0,"A move needs an amount",IF(F691=C691,"Moved to the same envelope","")))))))))</f>
        <v/>
      </c>
      <c r="H691" s="1">
        <f>IF(ISNUMBER(B691),INT(B691),0)</f>
        <v/>
      </c>
      <c r="I691">
        <f>IF(AND(H691&gt;0,ISNUMBER(D691),COUNTIF(Envelopes!$B$6:$B$21,C691)&gt;0,F691=""),1,0)</f>
        <v/>
      </c>
      <c r="J691">
        <f>IF(AND(H691&gt;0,ISNUMBER(D691),COUNTIF(Envelopes!$B$6:$B$21,C691)&gt;0,F691&lt;&gt;"",COUNTIF(Envelopes!$B$6:$B$21,F691)&gt;0),1,0)</f>
        <v/>
      </c>
      <c r="K691">
        <f>IF(I691=1,H691*10000+ROW(),"")</f>
        <v/>
      </c>
    </row>
    <row r="692">
      <c r="A692" s="1" t="n"/>
      <c r="B692" s="21" t="n"/>
      <c r="C692" s="23" t="n"/>
      <c r="D692" s="22" t="n"/>
      <c r="E692" s="24" t="n"/>
      <c r="F692" s="25" t="n"/>
      <c r="G692" s="18">
        <f>IF(AND(C692="",D692=""),"",IF(NOT(ISNUMBER(B692)),"Needs a date",IF(NOT(ISNUMBER(D692)),"Needs the amount",IF(C692="","Needs an envelope",IF(COUNTIF(Envelopes!$B$6:$B$21,C692)=0,"Not on Envelopes",IF(F692="",IF(D692=0,"Needs the amount",""),IF(COUNTIF(Envelopes!$B$6:$B$21,F692)=0,"Moved to: not on Envelopes",IF(D692&lt;=0,"A move needs an amount",IF(F692=C692,"Moved to the same envelope","")))))))))</f>
        <v/>
      </c>
      <c r="H692" s="1">
        <f>IF(ISNUMBER(B692),INT(B692),0)</f>
        <v/>
      </c>
      <c r="I692">
        <f>IF(AND(H692&gt;0,ISNUMBER(D692),COUNTIF(Envelopes!$B$6:$B$21,C692)&gt;0,F692=""),1,0)</f>
        <v/>
      </c>
      <c r="J692">
        <f>IF(AND(H692&gt;0,ISNUMBER(D692),COUNTIF(Envelopes!$B$6:$B$21,C692)&gt;0,F692&lt;&gt;"",COUNTIF(Envelopes!$B$6:$B$21,F692)&gt;0),1,0)</f>
        <v/>
      </c>
      <c r="K692">
        <f>IF(I692=1,H692*10000+ROW(),"")</f>
        <v/>
      </c>
    </row>
    <row r="693">
      <c r="A693" s="1" t="n"/>
      <c r="B693" s="21" t="n"/>
      <c r="C693" s="23" t="n"/>
      <c r="D693" s="22" t="n"/>
      <c r="E693" s="24" t="n"/>
      <c r="F693" s="25" t="n"/>
      <c r="G693" s="18">
        <f>IF(AND(C693="",D693=""),"",IF(NOT(ISNUMBER(B693)),"Needs a date",IF(NOT(ISNUMBER(D693)),"Needs the amount",IF(C693="","Needs an envelope",IF(COUNTIF(Envelopes!$B$6:$B$21,C693)=0,"Not on Envelopes",IF(F693="",IF(D693=0,"Needs the amount",""),IF(COUNTIF(Envelopes!$B$6:$B$21,F693)=0,"Moved to: not on Envelopes",IF(D693&lt;=0,"A move needs an amount",IF(F693=C693,"Moved to the same envelope","")))))))))</f>
        <v/>
      </c>
      <c r="H693" s="1">
        <f>IF(ISNUMBER(B693),INT(B693),0)</f>
        <v/>
      </c>
      <c r="I693">
        <f>IF(AND(H693&gt;0,ISNUMBER(D693),COUNTIF(Envelopes!$B$6:$B$21,C693)&gt;0,F693=""),1,0)</f>
        <v/>
      </c>
      <c r="J693">
        <f>IF(AND(H693&gt;0,ISNUMBER(D693),COUNTIF(Envelopes!$B$6:$B$21,C693)&gt;0,F693&lt;&gt;"",COUNTIF(Envelopes!$B$6:$B$21,F693)&gt;0),1,0)</f>
        <v/>
      </c>
      <c r="K693">
        <f>IF(I693=1,H693*10000+ROW(),"")</f>
        <v/>
      </c>
    </row>
    <row r="694">
      <c r="A694" s="1" t="n"/>
      <c r="B694" s="21" t="n"/>
      <c r="C694" s="23" t="n"/>
      <c r="D694" s="22" t="n"/>
      <c r="E694" s="24" t="n"/>
      <c r="F694" s="25" t="n"/>
      <c r="G694" s="18">
        <f>IF(AND(C694="",D694=""),"",IF(NOT(ISNUMBER(B694)),"Needs a date",IF(NOT(ISNUMBER(D694)),"Needs the amount",IF(C694="","Needs an envelope",IF(COUNTIF(Envelopes!$B$6:$B$21,C694)=0,"Not on Envelopes",IF(F694="",IF(D694=0,"Needs the amount",""),IF(COUNTIF(Envelopes!$B$6:$B$21,F694)=0,"Moved to: not on Envelopes",IF(D694&lt;=0,"A move needs an amount",IF(F694=C694,"Moved to the same envelope","")))))))))</f>
        <v/>
      </c>
      <c r="H694" s="1">
        <f>IF(ISNUMBER(B694),INT(B694),0)</f>
        <v/>
      </c>
      <c r="I694">
        <f>IF(AND(H694&gt;0,ISNUMBER(D694),COUNTIF(Envelopes!$B$6:$B$21,C694)&gt;0,F694=""),1,0)</f>
        <v/>
      </c>
      <c r="J694">
        <f>IF(AND(H694&gt;0,ISNUMBER(D694),COUNTIF(Envelopes!$B$6:$B$21,C694)&gt;0,F694&lt;&gt;"",COUNTIF(Envelopes!$B$6:$B$21,F694)&gt;0),1,0)</f>
        <v/>
      </c>
      <c r="K694">
        <f>IF(I694=1,H694*10000+ROW(),"")</f>
        <v/>
      </c>
    </row>
    <row r="695">
      <c r="A695" s="1" t="n"/>
      <c r="B695" s="21" t="n"/>
      <c r="C695" s="23" t="n"/>
      <c r="D695" s="22" t="n"/>
      <c r="E695" s="24" t="n"/>
      <c r="F695" s="25" t="n"/>
      <c r="G695" s="18">
        <f>IF(AND(C695="",D695=""),"",IF(NOT(ISNUMBER(B695)),"Needs a date",IF(NOT(ISNUMBER(D695)),"Needs the amount",IF(C695="","Needs an envelope",IF(COUNTIF(Envelopes!$B$6:$B$21,C695)=0,"Not on Envelopes",IF(F695="",IF(D695=0,"Needs the amount",""),IF(COUNTIF(Envelopes!$B$6:$B$21,F695)=0,"Moved to: not on Envelopes",IF(D695&lt;=0,"A move needs an amount",IF(F695=C695,"Moved to the same envelope","")))))))))</f>
        <v/>
      </c>
      <c r="H695" s="1">
        <f>IF(ISNUMBER(B695),INT(B695),0)</f>
        <v/>
      </c>
      <c r="I695">
        <f>IF(AND(H695&gt;0,ISNUMBER(D695),COUNTIF(Envelopes!$B$6:$B$21,C695)&gt;0,F695=""),1,0)</f>
        <v/>
      </c>
      <c r="J695">
        <f>IF(AND(H695&gt;0,ISNUMBER(D695),COUNTIF(Envelopes!$B$6:$B$21,C695)&gt;0,F695&lt;&gt;"",COUNTIF(Envelopes!$B$6:$B$21,F695)&gt;0),1,0)</f>
        <v/>
      </c>
      <c r="K695">
        <f>IF(I695=1,H695*10000+ROW(),"")</f>
        <v/>
      </c>
    </row>
    <row r="696">
      <c r="A696" s="1" t="n"/>
      <c r="B696" s="21" t="n"/>
      <c r="C696" s="23" t="n"/>
      <c r="D696" s="22" t="n"/>
      <c r="E696" s="24" t="n"/>
      <c r="F696" s="25" t="n"/>
      <c r="G696" s="18">
        <f>IF(AND(C696="",D696=""),"",IF(NOT(ISNUMBER(B696)),"Needs a date",IF(NOT(ISNUMBER(D696)),"Needs the amount",IF(C696="","Needs an envelope",IF(COUNTIF(Envelopes!$B$6:$B$21,C696)=0,"Not on Envelopes",IF(F696="",IF(D696=0,"Needs the amount",""),IF(COUNTIF(Envelopes!$B$6:$B$21,F696)=0,"Moved to: not on Envelopes",IF(D696&lt;=0,"A move needs an amount",IF(F696=C696,"Moved to the same envelope","")))))))))</f>
        <v/>
      </c>
      <c r="H696" s="1">
        <f>IF(ISNUMBER(B696),INT(B696),0)</f>
        <v/>
      </c>
      <c r="I696">
        <f>IF(AND(H696&gt;0,ISNUMBER(D696),COUNTIF(Envelopes!$B$6:$B$21,C696)&gt;0,F696=""),1,0)</f>
        <v/>
      </c>
      <c r="J696">
        <f>IF(AND(H696&gt;0,ISNUMBER(D696),COUNTIF(Envelopes!$B$6:$B$21,C696)&gt;0,F696&lt;&gt;"",COUNTIF(Envelopes!$B$6:$B$21,F696)&gt;0),1,0)</f>
        <v/>
      </c>
      <c r="K696">
        <f>IF(I696=1,H696*10000+ROW(),"")</f>
        <v/>
      </c>
    </row>
    <row r="697">
      <c r="A697" s="1" t="n"/>
      <c r="B697" s="21" t="n"/>
      <c r="C697" s="23" t="n"/>
      <c r="D697" s="22" t="n"/>
      <c r="E697" s="24" t="n"/>
      <c r="F697" s="25" t="n"/>
      <c r="G697" s="18">
        <f>IF(AND(C697="",D697=""),"",IF(NOT(ISNUMBER(B697)),"Needs a date",IF(NOT(ISNUMBER(D697)),"Needs the amount",IF(C697="","Needs an envelope",IF(COUNTIF(Envelopes!$B$6:$B$21,C697)=0,"Not on Envelopes",IF(F697="",IF(D697=0,"Needs the amount",""),IF(COUNTIF(Envelopes!$B$6:$B$21,F697)=0,"Moved to: not on Envelopes",IF(D697&lt;=0,"A move needs an amount",IF(F697=C697,"Moved to the same envelope","")))))))))</f>
        <v/>
      </c>
      <c r="H697" s="1">
        <f>IF(ISNUMBER(B697),INT(B697),0)</f>
        <v/>
      </c>
      <c r="I697">
        <f>IF(AND(H697&gt;0,ISNUMBER(D697),COUNTIF(Envelopes!$B$6:$B$21,C697)&gt;0,F697=""),1,0)</f>
        <v/>
      </c>
      <c r="J697">
        <f>IF(AND(H697&gt;0,ISNUMBER(D697),COUNTIF(Envelopes!$B$6:$B$21,C697)&gt;0,F697&lt;&gt;"",COUNTIF(Envelopes!$B$6:$B$21,F697)&gt;0),1,0)</f>
        <v/>
      </c>
      <c r="K697">
        <f>IF(I697=1,H697*10000+ROW(),"")</f>
        <v/>
      </c>
    </row>
    <row r="698">
      <c r="A698" s="1" t="n"/>
      <c r="B698" s="21" t="n"/>
      <c r="C698" s="23" t="n"/>
      <c r="D698" s="22" t="n"/>
      <c r="E698" s="24" t="n"/>
      <c r="F698" s="25" t="n"/>
      <c r="G698" s="18">
        <f>IF(AND(C698="",D698=""),"",IF(NOT(ISNUMBER(B698)),"Needs a date",IF(NOT(ISNUMBER(D698)),"Needs the amount",IF(C698="","Needs an envelope",IF(COUNTIF(Envelopes!$B$6:$B$21,C698)=0,"Not on Envelopes",IF(F698="",IF(D698=0,"Needs the amount",""),IF(COUNTIF(Envelopes!$B$6:$B$21,F698)=0,"Moved to: not on Envelopes",IF(D698&lt;=0,"A move needs an amount",IF(F698=C698,"Moved to the same envelope","")))))))))</f>
        <v/>
      </c>
      <c r="H698" s="1">
        <f>IF(ISNUMBER(B698),INT(B698),0)</f>
        <v/>
      </c>
      <c r="I698">
        <f>IF(AND(H698&gt;0,ISNUMBER(D698),COUNTIF(Envelopes!$B$6:$B$21,C698)&gt;0,F698=""),1,0)</f>
        <v/>
      </c>
      <c r="J698">
        <f>IF(AND(H698&gt;0,ISNUMBER(D698),COUNTIF(Envelopes!$B$6:$B$21,C698)&gt;0,F698&lt;&gt;"",COUNTIF(Envelopes!$B$6:$B$21,F698)&gt;0),1,0)</f>
        <v/>
      </c>
      <c r="K698">
        <f>IF(I698=1,H698*10000+ROW(),"")</f>
        <v/>
      </c>
    </row>
    <row r="699">
      <c r="A699" s="1" t="n"/>
      <c r="B699" s="21" t="n"/>
      <c r="C699" s="23" t="n"/>
      <c r="D699" s="22" t="n"/>
      <c r="E699" s="24" t="n"/>
      <c r="F699" s="25" t="n"/>
      <c r="G699" s="18">
        <f>IF(AND(C699="",D699=""),"",IF(NOT(ISNUMBER(B699)),"Needs a date",IF(NOT(ISNUMBER(D699)),"Needs the amount",IF(C699="","Needs an envelope",IF(COUNTIF(Envelopes!$B$6:$B$21,C699)=0,"Not on Envelopes",IF(F699="",IF(D699=0,"Needs the amount",""),IF(COUNTIF(Envelopes!$B$6:$B$21,F699)=0,"Moved to: not on Envelopes",IF(D699&lt;=0,"A move needs an amount",IF(F699=C699,"Moved to the same envelope","")))))))))</f>
        <v/>
      </c>
      <c r="H699" s="1">
        <f>IF(ISNUMBER(B699),INT(B699),0)</f>
        <v/>
      </c>
      <c r="I699">
        <f>IF(AND(H699&gt;0,ISNUMBER(D699),COUNTIF(Envelopes!$B$6:$B$21,C699)&gt;0,F699=""),1,0)</f>
        <v/>
      </c>
      <c r="J699">
        <f>IF(AND(H699&gt;0,ISNUMBER(D699),COUNTIF(Envelopes!$B$6:$B$21,C699)&gt;0,F699&lt;&gt;"",COUNTIF(Envelopes!$B$6:$B$21,F699)&gt;0),1,0)</f>
        <v/>
      </c>
      <c r="K699">
        <f>IF(I699=1,H699*10000+ROW(),"")</f>
        <v/>
      </c>
    </row>
    <row r="700">
      <c r="A700" s="1" t="n"/>
      <c r="B700" s="21" t="n"/>
      <c r="C700" s="23" t="n"/>
      <c r="D700" s="22" t="n"/>
      <c r="E700" s="24" t="n"/>
      <c r="F700" s="25" t="n"/>
      <c r="G700" s="18">
        <f>IF(AND(C700="",D700=""),"",IF(NOT(ISNUMBER(B700)),"Needs a date",IF(NOT(ISNUMBER(D700)),"Needs the amount",IF(C700="","Needs an envelope",IF(COUNTIF(Envelopes!$B$6:$B$21,C700)=0,"Not on Envelopes",IF(F700="",IF(D700=0,"Needs the amount",""),IF(COUNTIF(Envelopes!$B$6:$B$21,F700)=0,"Moved to: not on Envelopes",IF(D700&lt;=0,"A move needs an amount",IF(F700=C700,"Moved to the same envelope","")))))))))</f>
        <v/>
      </c>
      <c r="H700" s="1">
        <f>IF(ISNUMBER(B700),INT(B700),0)</f>
        <v/>
      </c>
      <c r="I700">
        <f>IF(AND(H700&gt;0,ISNUMBER(D700),COUNTIF(Envelopes!$B$6:$B$21,C700)&gt;0,F700=""),1,0)</f>
        <v/>
      </c>
      <c r="J700">
        <f>IF(AND(H700&gt;0,ISNUMBER(D700),COUNTIF(Envelopes!$B$6:$B$21,C700)&gt;0,F700&lt;&gt;"",COUNTIF(Envelopes!$B$6:$B$21,F700)&gt;0),1,0)</f>
        <v/>
      </c>
      <c r="K700">
        <f>IF(I700=1,H700*10000+ROW(),"")</f>
        <v/>
      </c>
    </row>
    <row r="701">
      <c r="A701" s="1" t="n"/>
      <c r="B701" s="21" t="n"/>
      <c r="C701" s="23" t="n"/>
      <c r="D701" s="22" t="n"/>
      <c r="E701" s="24" t="n"/>
      <c r="F701" s="25" t="n"/>
      <c r="G701" s="18">
        <f>IF(AND(C701="",D701=""),"",IF(NOT(ISNUMBER(B701)),"Needs a date",IF(NOT(ISNUMBER(D701)),"Needs the amount",IF(C701="","Needs an envelope",IF(COUNTIF(Envelopes!$B$6:$B$21,C701)=0,"Not on Envelopes",IF(F701="",IF(D701=0,"Needs the amount",""),IF(COUNTIF(Envelopes!$B$6:$B$21,F701)=0,"Moved to: not on Envelopes",IF(D701&lt;=0,"A move needs an amount",IF(F701=C701,"Moved to the same envelope","")))))))))</f>
        <v/>
      </c>
      <c r="H701" s="1">
        <f>IF(ISNUMBER(B701),INT(B701),0)</f>
        <v/>
      </c>
      <c r="I701">
        <f>IF(AND(H701&gt;0,ISNUMBER(D701),COUNTIF(Envelopes!$B$6:$B$21,C701)&gt;0,F701=""),1,0)</f>
        <v/>
      </c>
      <c r="J701">
        <f>IF(AND(H701&gt;0,ISNUMBER(D701),COUNTIF(Envelopes!$B$6:$B$21,C701)&gt;0,F701&lt;&gt;"",COUNTIF(Envelopes!$B$6:$B$21,F701)&gt;0),1,0)</f>
        <v/>
      </c>
      <c r="K701">
        <f>IF(I701=1,H701*10000+ROW(),"")</f>
        <v/>
      </c>
    </row>
    <row r="702">
      <c r="A702" s="1" t="n"/>
      <c r="B702" s="21" t="n"/>
      <c r="C702" s="23" t="n"/>
      <c r="D702" s="22" t="n"/>
      <c r="E702" s="24" t="n"/>
      <c r="F702" s="25" t="n"/>
      <c r="G702" s="18">
        <f>IF(AND(C702="",D702=""),"",IF(NOT(ISNUMBER(B702)),"Needs a date",IF(NOT(ISNUMBER(D702)),"Needs the amount",IF(C702="","Needs an envelope",IF(COUNTIF(Envelopes!$B$6:$B$21,C702)=0,"Not on Envelopes",IF(F702="",IF(D702=0,"Needs the amount",""),IF(COUNTIF(Envelopes!$B$6:$B$21,F702)=0,"Moved to: not on Envelopes",IF(D702&lt;=0,"A move needs an amount",IF(F702=C702,"Moved to the same envelope","")))))))))</f>
        <v/>
      </c>
      <c r="H702" s="1">
        <f>IF(ISNUMBER(B702),INT(B702),0)</f>
        <v/>
      </c>
      <c r="I702">
        <f>IF(AND(H702&gt;0,ISNUMBER(D702),COUNTIF(Envelopes!$B$6:$B$21,C702)&gt;0,F702=""),1,0)</f>
        <v/>
      </c>
      <c r="J702">
        <f>IF(AND(H702&gt;0,ISNUMBER(D702),COUNTIF(Envelopes!$B$6:$B$21,C702)&gt;0,F702&lt;&gt;"",COUNTIF(Envelopes!$B$6:$B$21,F702)&gt;0),1,0)</f>
        <v/>
      </c>
      <c r="K702">
        <f>IF(I702=1,H702*10000+ROW(),"")</f>
        <v/>
      </c>
    </row>
    <row r="703">
      <c r="A703" s="1" t="n"/>
      <c r="B703" s="21" t="n"/>
      <c r="C703" s="23" t="n"/>
      <c r="D703" s="22" t="n"/>
      <c r="E703" s="24" t="n"/>
      <c r="F703" s="25" t="n"/>
      <c r="G703" s="18">
        <f>IF(AND(C703="",D703=""),"",IF(NOT(ISNUMBER(B703)),"Needs a date",IF(NOT(ISNUMBER(D703)),"Needs the amount",IF(C703="","Needs an envelope",IF(COUNTIF(Envelopes!$B$6:$B$21,C703)=0,"Not on Envelopes",IF(F703="",IF(D703=0,"Needs the amount",""),IF(COUNTIF(Envelopes!$B$6:$B$21,F703)=0,"Moved to: not on Envelopes",IF(D703&lt;=0,"A move needs an amount",IF(F703=C703,"Moved to the same envelope","")))))))))</f>
        <v/>
      </c>
      <c r="H703" s="1">
        <f>IF(ISNUMBER(B703),INT(B703),0)</f>
        <v/>
      </c>
      <c r="I703">
        <f>IF(AND(H703&gt;0,ISNUMBER(D703),COUNTIF(Envelopes!$B$6:$B$21,C703)&gt;0,F703=""),1,0)</f>
        <v/>
      </c>
      <c r="J703">
        <f>IF(AND(H703&gt;0,ISNUMBER(D703),COUNTIF(Envelopes!$B$6:$B$21,C703)&gt;0,F703&lt;&gt;"",COUNTIF(Envelopes!$B$6:$B$21,F703)&gt;0),1,0)</f>
        <v/>
      </c>
      <c r="K703">
        <f>IF(I703=1,H703*10000+ROW(),"")</f>
        <v/>
      </c>
    </row>
    <row r="704">
      <c r="A704" s="1" t="n"/>
      <c r="B704" s="21" t="n"/>
      <c r="C704" s="23" t="n"/>
      <c r="D704" s="22" t="n"/>
      <c r="E704" s="24" t="n"/>
      <c r="F704" s="25" t="n"/>
      <c r="G704" s="18">
        <f>IF(AND(C704="",D704=""),"",IF(NOT(ISNUMBER(B704)),"Needs a date",IF(NOT(ISNUMBER(D704)),"Needs the amount",IF(C704="","Needs an envelope",IF(COUNTIF(Envelopes!$B$6:$B$21,C704)=0,"Not on Envelopes",IF(F704="",IF(D704=0,"Needs the amount",""),IF(COUNTIF(Envelopes!$B$6:$B$21,F704)=0,"Moved to: not on Envelopes",IF(D704&lt;=0,"A move needs an amount",IF(F704=C704,"Moved to the same envelope","")))))))))</f>
        <v/>
      </c>
      <c r="H704" s="1">
        <f>IF(ISNUMBER(B704),INT(B704),0)</f>
        <v/>
      </c>
      <c r="I704">
        <f>IF(AND(H704&gt;0,ISNUMBER(D704),COUNTIF(Envelopes!$B$6:$B$21,C704)&gt;0,F704=""),1,0)</f>
        <v/>
      </c>
      <c r="J704">
        <f>IF(AND(H704&gt;0,ISNUMBER(D704),COUNTIF(Envelopes!$B$6:$B$21,C704)&gt;0,F704&lt;&gt;"",COUNTIF(Envelopes!$B$6:$B$21,F704)&gt;0),1,0)</f>
        <v/>
      </c>
      <c r="K704">
        <f>IF(I704=1,H704*10000+ROW(),"")</f>
        <v/>
      </c>
    </row>
    <row r="705">
      <c r="A705" s="1" t="n"/>
      <c r="B705" s="21" t="n"/>
      <c r="C705" s="23" t="n"/>
      <c r="D705" s="22" t="n"/>
      <c r="E705" s="24" t="n"/>
      <c r="F705" s="25" t="n"/>
      <c r="G705" s="18">
        <f>IF(AND(C705="",D705=""),"",IF(NOT(ISNUMBER(B705)),"Needs a date",IF(NOT(ISNUMBER(D705)),"Needs the amount",IF(C705="","Needs an envelope",IF(COUNTIF(Envelopes!$B$6:$B$21,C705)=0,"Not on Envelopes",IF(F705="",IF(D705=0,"Needs the amount",""),IF(COUNTIF(Envelopes!$B$6:$B$21,F705)=0,"Moved to: not on Envelopes",IF(D705&lt;=0,"A move needs an amount",IF(F705=C705,"Moved to the same envelope","")))))))))</f>
        <v/>
      </c>
      <c r="H705" s="1">
        <f>IF(ISNUMBER(B705),INT(B705),0)</f>
        <v/>
      </c>
      <c r="I705">
        <f>IF(AND(H705&gt;0,ISNUMBER(D705),COUNTIF(Envelopes!$B$6:$B$21,C705)&gt;0,F705=""),1,0)</f>
        <v/>
      </c>
      <c r="J705">
        <f>IF(AND(H705&gt;0,ISNUMBER(D705),COUNTIF(Envelopes!$B$6:$B$21,C705)&gt;0,F705&lt;&gt;"",COUNTIF(Envelopes!$B$6:$B$21,F705)&gt;0),1,0)</f>
        <v/>
      </c>
      <c r="K705">
        <f>IF(I705=1,H705*10000+ROW(),"")</f>
        <v/>
      </c>
    </row>
    <row r="706">
      <c r="A706" s="1" t="n"/>
      <c r="B706" s="21" t="n"/>
      <c r="C706" s="23" t="n"/>
      <c r="D706" s="22" t="n"/>
      <c r="E706" s="24" t="n"/>
      <c r="F706" s="25" t="n"/>
      <c r="G706" s="18">
        <f>IF(AND(C706="",D706=""),"",IF(NOT(ISNUMBER(B706)),"Needs a date",IF(NOT(ISNUMBER(D706)),"Needs the amount",IF(C706="","Needs an envelope",IF(COUNTIF(Envelopes!$B$6:$B$21,C706)=0,"Not on Envelopes",IF(F706="",IF(D706=0,"Needs the amount",""),IF(COUNTIF(Envelopes!$B$6:$B$21,F706)=0,"Moved to: not on Envelopes",IF(D706&lt;=0,"A move needs an amount",IF(F706=C706,"Moved to the same envelope","")))))))))</f>
        <v/>
      </c>
      <c r="H706" s="1">
        <f>IF(ISNUMBER(B706),INT(B706),0)</f>
        <v/>
      </c>
      <c r="I706">
        <f>IF(AND(H706&gt;0,ISNUMBER(D706),COUNTIF(Envelopes!$B$6:$B$21,C706)&gt;0,F706=""),1,0)</f>
        <v/>
      </c>
      <c r="J706">
        <f>IF(AND(H706&gt;0,ISNUMBER(D706),COUNTIF(Envelopes!$B$6:$B$21,C706)&gt;0,F706&lt;&gt;"",COUNTIF(Envelopes!$B$6:$B$21,F706)&gt;0),1,0)</f>
        <v/>
      </c>
      <c r="K706">
        <f>IF(I706=1,H706*10000+ROW(),"")</f>
        <v/>
      </c>
    </row>
    <row r="707">
      <c r="A707" s="1" t="n"/>
      <c r="B707" s="21" t="n"/>
      <c r="C707" s="23" t="n"/>
      <c r="D707" s="22" t="n"/>
      <c r="E707" s="24" t="n"/>
      <c r="F707" s="25" t="n"/>
      <c r="G707" s="18">
        <f>IF(AND(C707="",D707=""),"",IF(NOT(ISNUMBER(B707)),"Needs a date",IF(NOT(ISNUMBER(D707)),"Needs the amount",IF(C707="","Needs an envelope",IF(COUNTIF(Envelopes!$B$6:$B$21,C707)=0,"Not on Envelopes",IF(F707="",IF(D707=0,"Needs the amount",""),IF(COUNTIF(Envelopes!$B$6:$B$21,F707)=0,"Moved to: not on Envelopes",IF(D707&lt;=0,"A move needs an amount",IF(F707=C707,"Moved to the same envelope","")))))))))</f>
        <v/>
      </c>
      <c r="H707" s="1">
        <f>IF(ISNUMBER(B707),INT(B707),0)</f>
        <v/>
      </c>
      <c r="I707">
        <f>IF(AND(H707&gt;0,ISNUMBER(D707),COUNTIF(Envelopes!$B$6:$B$21,C707)&gt;0,F707=""),1,0)</f>
        <v/>
      </c>
      <c r="J707">
        <f>IF(AND(H707&gt;0,ISNUMBER(D707),COUNTIF(Envelopes!$B$6:$B$21,C707)&gt;0,F707&lt;&gt;"",COUNTIF(Envelopes!$B$6:$B$21,F707)&gt;0),1,0)</f>
        <v/>
      </c>
      <c r="K707">
        <f>IF(I707=1,H707*10000+ROW(),"")</f>
        <v/>
      </c>
    </row>
    <row r="708">
      <c r="A708" s="1" t="n"/>
      <c r="B708" s="21" t="n"/>
      <c r="C708" s="23" t="n"/>
      <c r="D708" s="22" t="n"/>
      <c r="E708" s="24" t="n"/>
      <c r="F708" s="25" t="n"/>
      <c r="G708" s="18">
        <f>IF(AND(C708="",D708=""),"",IF(NOT(ISNUMBER(B708)),"Needs a date",IF(NOT(ISNUMBER(D708)),"Needs the amount",IF(C708="","Needs an envelope",IF(COUNTIF(Envelopes!$B$6:$B$21,C708)=0,"Not on Envelopes",IF(F708="",IF(D708=0,"Needs the amount",""),IF(COUNTIF(Envelopes!$B$6:$B$21,F708)=0,"Moved to: not on Envelopes",IF(D708&lt;=0,"A move needs an amount",IF(F708=C708,"Moved to the same envelope","")))))))))</f>
        <v/>
      </c>
      <c r="H708" s="1">
        <f>IF(ISNUMBER(B708),INT(B708),0)</f>
        <v/>
      </c>
      <c r="I708">
        <f>IF(AND(H708&gt;0,ISNUMBER(D708),COUNTIF(Envelopes!$B$6:$B$21,C708)&gt;0,F708=""),1,0)</f>
        <v/>
      </c>
      <c r="J708">
        <f>IF(AND(H708&gt;0,ISNUMBER(D708),COUNTIF(Envelopes!$B$6:$B$21,C708)&gt;0,F708&lt;&gt;"",COUNTIF(Envelopes!$B$6:$B$21,F708)&gt;0),1,0)</f>
        <v/>
      </c>
      <c r="K708">
        <f>IF(I708=1,H708*10000+ROW(),"")</f>
        <v/>
      </c>
    </row>
    <row r="709">
      <c r="A709" s="1" t="n"/>
      <c r="B709" s="21" t="n"/>
      <c r="C709" s="23" t="n"/>
      <c r="D709" s="22" t="n"/>
      <c r="E709" s="24" t="n"/>
      <c r="F709" s="25" t="n"/>
      <c r="G709" s="18">
        <f>IF(AND(C709="",D709=""),"",IF(NOT(ISNUMBER(B709)),"Needs a date",IF(NOT(ISNUMBER(D709)),"Needs the amount",IF(C709="","Needs an envelope",IF(COUNTIF(Envelopes!$B$6:$B$21,C709)=0,"Not on Envelopes",IF(F709="",IF(D709=0,"Needs the amount",""),IF(COUNTIF(Envelopes!$B$6:$B$21,F709)=0,"Moved to: not on Envelopes",IF(D709&lt;=0,"A move needs an amount",IF(F709=C709,"Moved to the same envelope","")))))))))</f>
        <v/>
      </c>
      <c r="H709" s="1">
        <f>IF(ISNUMBER(B709),INT(B709),0)</f>
        <v/>
      </c>
      <c r="I709">
        <f>IF(AND(H709&gt;0,ISNUMBER(D709),COUNTIF(Envelopes!$B$6:$B$21,C709)&gt;0,F709=""),1,0)</f>
        <v/>
      </c>
      <c r="J709">
        <f>IF(AND(H709&gt;0,ISNUMBER(D709),COUNTIF(Envelopes!$B$6:$B$21,C709)&gt;0,F709&lt;&gt;"",COUNTIF(Envelopes!$B$6:$B$21,F709)&gt;0),1,0)</f>
        <v/>
      </c>
      <c r="K709">
        <f>IF(I709=1,H709*10000+ROW(),"")</f>
        <v/>
      </c>
    </row>
    <row r="710">
      <c r="A710" s="1" t="n"/>
      <c r="B710" s="21" t="n"/>
      <c r="C710" s="23" t="n"/>
      <c r="D710" s="22" t="n"/>
      <c r="E710" s="24" t="n"/>
      <c r="F710" s="25" t="n"/>
      <c r="G710" s="18">
        <f>IF(AND(C710="",D710=""),"",IF(NOT(ISNUMBER(B710)),"Needs a date",IF(NOT(ISNUMBER(D710)),"Needs the amount",IF(C710="","Needs an envelope",IF(COUNTIF(Envelopes!$B$6:$B$21,C710)=0,"Not on Envelopes",IF(F710="",IF(D710=0,"Needs the amount",""),IF(COUNTIF(Envelopes!$B$6:$B$21,F710)=0,"Moved to: not on Envelopes",IF(D710&lt;=0,"A move needs an amount",IF(F710=C710,"Moved to the same envelope","")))))))))</f>
        <v/>
      </c>
      <c r="H710" s="1">
        <f>IF(ISNUMBER(B710),INT(B710),0)</f>
        <v/>
      </c>
      <c r="I710">
        <f>IF(AND(H710&gt;0,ISNUMBER(D710),COUNTIF(Envelopes!$B$6:$B$21,C710)&gt;0,F710=""),1,0)</f>
        <v/>
      </c>
      <c r="J710">
        <f>IF(AND(H710&gt;0,ISNUMBER(D710),COUNTIF(Envelopes!$B$6:$B$21,C710)&gt;0,F710&lt;&gt;"",COUNTIF(Envelopes!$B$6:$B$21,F710)&gt;0),1,0)</f>
        <v/>
      </c>
      <c r="K710">
        <f>IF(I710=1,H710*10000+ROW(),"")</f>
        <v/>
      </c>
    </row>
    <row r="711">
      <c r="A711" s="1" t="n"/>
      <c r="B711" s="21" t="n"/>
      <c r="C711" s="23" t="n"/>
      <c r="D711" s="22" t="n"/>
      <c r="E711" s="24" t="n"/>
      <c r="F711" s="25" t="n"/>
      <c r="G711" s="18">
        <f>IF(AND(C711="",D711=""),"",IF(NOT(ISNUMBER(B711)),"Needs a date",IF(NOT(ISNUMBER(D711)),"Needs the amount",IF(C711="","Needs an envelope",IF(COUNTIF(Envelopes!$B$6:$B$21,C711)=0,"Not on Envelopes",IF(F711="",IF(D711=0,"Needs the amount",""),IF(COUNTIF(Envelopes!$B$6:$B$21,F711)=0,"Moved to: not on Envelopes",IF(D711&lt;=0,"A move needs an amount",IF(F711=C711,"Moved to the same envelope","")))))))))</f>
        <v/>
      </c>
      <c r="H711" s="1">
        <f>IF(ISNUMBER(B711),INT(B711),0)</f>
        <v/>
      </c>
      <c r="I711">
        <f>IF(AND(H711&gt;0,ISNUMBER(D711),COUNTIF(Envelopes!$B$6:$B$21,C711)&gt;0,F711=""),1,0)</f>
        <v/>
      </c>
      <c r="J711">
        <f>IF(AND(H711&gt;0,ISNUMBER(D711),COUNTIF(Envelopes!$B$6:$B$21,C711)&gt;0,F711&lt;&gt;"",COUNTIF(Envelopes!$B$6:$B$21,F711)&gt;0),1,0)</f>
        <v/>
      </c>
      <c r="K711">
        <f>IF(I711=1,H711*10000+ROW(),"")</f>
        <v/>
      </c>
    </row>
    <row r="712">
      <c r="A712" s="1" t="n"/>
      <c r="B712" s="21" t="n"/>
      <c r="C712" s="23" t="n"/>
      <c r="D712" s="22" t="n"/>
      <c r="E712" s="24" t="n"/>
      <c r="F712" s="25" t="n"/>
      <c r="G712" s="18">
        <f>IF(AND(C712="",D712=""),"",IF(NOT(ISNUMBER(B712)),"Needs a date",IF(NOT(ISNUMBER(D712)),"Needs the amount",IF(C712="","Needs an envelope",IF(COUNTIF(Envelopes!$B$6:$B$21,C712)=0,"Not on Envelopes",IF(F712="",IF(D712=0,"Needs the amount",""),IF(COUNTIF(Envelopes!$B$6:$B$21,F712)=0,"Moved to: not on Envelopes",IF(D712&lt;=0,"A move needs an amount",IF(F712=C712,"Moved to the same envelope","")))))))))</f>
        <v/>
      </c>
      <c r="H712" s="1">
        <f>IF(ISNUMBER(B712),INT(B712),0)</f>
        <v/>
      </c>
      <c r="I712">
        <f>IF(AND(H712&gt;0,ISNUMBER(D712),COUNTIF(Envelopes!$B$6:$B$21,C712)&gt;0,F712=""),1,0)</f>
        <v/>
      </c>
      <c r="J712">
        <f>IF(AND(H712&gt;0,ISNUMBER(D712),COUNTIF(Envelopes!$B$6:$B$21,C712)&gt;0,F712&lt;&gt;"",COUNTIF(Envelopes!$B$6:$B$21,F712)&gt;0),1,0)</f>
        <v/>
      </c>
      <c r="K712">
        <f>IF(I712=1,H712*10000+ROW(),"")</f>
        <v/>
      </c>
    </row>
    <row r="713">
      <c r="A713" s="1" t="n"/>
      <c r="B713" s="21" t="n"/>
      <c r="C713" s="23" t="n"/>
      <c r="D713" s="22" t="n"/>
      <c r="E713" s="24" t="n"/>
      <c r="F713" s="25" t="n"/>
      <c r="G713" s="18">
        <f>IF(AND(C713="",D713=""),"",IF(NOT(ISNUMBER(B713)),"Needs a date",IF(NOT(ISNUMBER(D713)),"Needs the amount",IF(C713="","Needs an envelope",IF(COUNTIF(Envelopes!$B$6:$B$21,C713)=0,"Not on Envelopes",IF(F713="",IF(D713=0,"Needs the amount",""),IF(COUNTIF(Envelopes!$B$6:$B$21,F713)=0,"Moved to: not on Envelopes",IF(D713&lt;=0,"A move needs an amount",IF(F713=C713,"Moved to the same envelope","")))))))))</f>
        <v/>
      </c>
      <c r="H713" s="1">
        <f>IF(ISNUMBER(B713),INT(B713),0)</f>
        <v/>
      </c>
      <c r="I713">
        <f>IF(AND(H713&gt;0,ISNUMBER(D713),COUNTIF(Envelopes!$B$6:$B$21,C713)&gt;0,F713=""),1,0)</f>
        <v/>
      </c>
      <c r="J713">
        <f>IF(AND(H713&gt;0,ISNUMBER(D713),COUNTIF(Envelopes!$B$6:$B$21,C713)&gt;0,F713&lt;&gt;"",COUNTIF(Envelopes!$B$6:$B$21,F713)&gt;0),1,0)</f>
        <v/>
      </c>
      <c r="K713">
        <f>IF(I713=1,H713*10000+ROW(),"")</f>
        <v/>
      </c>
    </row>
    <row r="714">
      <c r="A714" s="1" t="n"/>
      <c r="B714" s="21" t="n"/>
      <c r="C714" s="23" t="n"/>
      <c r="D714" s="22" t="n"/>
      <c r="E714" s="24" t="n"/>
      <c r="F714" s="25" t="n"/>
      <c r="G714" s="18">
        <f>IF(AND(C714="",D714=""),"",IF(NOT(ISNUMBER(B714)),"Needs a date",IF(NOT(ISNUMBER(D714)),"Needs the amount",IF(C714="","Needs an envelope",IF(COUNTIF(Envelopes!$B$6:$B$21,C714)=0,"Not on Envelopes",IF(F714="",IF(D714=0,"Needs the amount",""),IF(COUNTIF(Envelopes!$B$6:$B$21,F714)=0,"Moved to: not on Envelopes",IF(D714&lt;=0,"A move needs an amount",IF(F714=C714,"Moved to the same envelope","")))))))))</f>
        <v/>
      </c>
      <c r="H714" s="1">
        <f>IF(ISNUMBER(B714),INT(B714),0)</f>
        <v/>
      </c>
      <c r="I714">
        <f>IF(AND(H714&gt;0,ISNUMBER(D714),COUNTIF(Envelopes!$B$6:$B$21,C714)&gt;0,F714=""),1,0)</f>
        <v/>
      </c>
      <c r="J714">
        <f>IF(AND(H714&gt;0,ISNUMBER(D714),COUNTIF(Envelopes!$B$6:$B$21,C714)&gt;0,F714&lt;&gt;"",COUNTIF(Envelopes!$B$6:$B$21,F714)&gt;0),1,0)</f>
        <v/>
      </c>
      <c r="K714">
        <f>IF(I714=1,H714*10000+ROW(),"")</f>
        <v/>
      </c>
    </row>
    <row r="715">
      <c r="A715" s="1" t="n"/>
      <c r="B715" s="21" t="n"/>
      <c r="C715" s="23" t="n"/>
      <c r="D715" s="22" t="n"/>
      <c r="E715" s="24" t="n"/>
      <c r="F715" s="25" t="n"/>
      <c r="G715" s="18">
        <f>IF(AND(C715="",D715=""),"",IF(NOT(ISNUMBER(B715)),"Needs a date",IF(NOT(ISNUMBER(D715)),"Needs the amount",IF(C715="","Needs an envelope",IF(COUNTIF(Envelopes!$B$6:$B$21,C715)=0,"Not on Envelopes",IF(F715="",IF(D715=0,"Needs the amount",""),IF(COUNTIF(Envelopes!$B$6:$B$21,F715)=0,"Moved to: not on Envelopes",IF(D715&lt;=0,"A move needs an amount",IF(F715=C715,"Moved to the same envelope","")))))))))</f>
        <v/>
      </c>
      <c r="H715" s="1">
        <f>IF(ISNUMBER(B715),INT(B715),0)</f>
        <v/>
      </c>
      <c r="I715">
        <f>IF(AND(H715&gt;0,ISNUMBER(D715),COUNTIF(Envelopes!$B$6:$B$21,C715)&gt;0,F715=""),1,0)</f>
        <v/>
      </c>
      <c r="J715">
        <f>IF(AND(H715&gt;0,ISNUMBER(D715),COUNTIF(Envelopes!$B$6:$B$21,C715)&gt;0,F715&lt;&gt;"",COUNTIF(Envelopes!$B$6:$B$21,F715)&gt;0),1,0)</f>
        <v/>
      </c>
      <c r="K715">
        <f>IF(I715=1,H715*10000+ROW(),"")</f>
        <v/>
      </c>
    </row>
    <row r="716">
      <c r="A716" s="1" t="n"/>
      <c r="B716" s="21" t="n"/>
      <c r="C716" s="23" t="n"/>
      <c r="D716" s="22" t="n"/>
      <c r="E716" s="24" t="n"/>
      <c r="F716" s="25" t="n"/>
      <c r="G716" s="18">
        <f>IF(AND(C716="",D716=""),"",IF(NOT(ISNUMBER(B716)),"Needs a date",IF(NOT(ISNUMBER(D716)),"Needs the amount",IF(C716="","Needs an envelope",IF(COUNTIF(Envelopes!$B$6:$B$21,C716)=0,"Not on Envelopes",IF(F716="",IF(D716=0,"Needs the amount",""),IF(COUNTIF(Envelopes!$B$6:$B$21,F716)=0,"Moved to: not on Envelopes",IF(D716&lt;=0,"A move needs an amount",IF(F716=C716,"Moved to the same envelope","")))))))))</f>
        <v/>
      </c>
      <c r="H716" s="1">
        <f>IF(ISNUMBER(B716),INT(B716),0)</f>
        <v/>
      </c>
      <c r="I716">
        <f>IF(AND(H716&gt;0,ISNUMBER(D716),COUNTIF(Envelopes!$B$6:$B$21,C716)&gt;0,F716=""),1,0)</f>
        <v/>
      </c>
      <c r="J716">
        <f>IF(AND(H716&gt;0,ISNUMBER(D716),COUNTIF(Envelopes!$B$6:$B$21,C716)&gt;0,F716&lt;&gt;"",COUNTIF(Envelopes!$B$6:$B$21,F716)&gt;0),1,0)</f>
        <v/>
      </c>
      <c r="K716">
        <f>IF(I716=1,H716*10000+ROW(),"")</f>
        <v/>
      </c>
    </row>
    <row r="717">
      <c r="A717" s="1" t="n"/>
      <c r="B717" s="21" t="n"/>
      <c r="C717" s="23" t="n"/>
      <c r="D717" s="22" t="n"/>
      <c r="E717" s="24" t="n"/>
      <c r="F717" s="25" t="n"/>
      <c r="G717" s="18">
        <f>IF(AND(C717="",D717=""),"",IF(NOT(ISNUMBER(B717)),"Needs a date",IF(NOT(ISNUMBER(D717)),"Needs the amount",IF(C717="","Needs an envelope",IF(COUNTIF(Envelopes!$B$6:$B$21,C717)=0,"Not on Envelopes",IF(F717="",IF(D717=0,"Needs the amount",""),IF(COUNTIF(Envelopes!$B$6:$B$21,F717)=0,"Moved to: not on Envelopes",IF(D717&lt;=0,"A move needs an amount",IF(F717=C717,"Moved to the same envelope","")))))))))</f>
        <v/>
      </c>
      <c r="H717" s="1">
        <f>IF(ISNUMBER(B717),INT(B717),0)</f>
        <v/>
      </c>
      <c r="I717">
        <f>IF(AND(H717&gt;0,ISNUMBER(D717),COUNTIF(Envelopes!$B$6:$B$21,C717)&gt;0,F717=""),1,0)</f>
        <v/>
      </c>
      <c r="J717">
        <f>IF(AND(H717&gt;0,ISNUMBER(D717),COUNTIF(Envelopes!$B$6:$B$21,C717)&gt;0,F717&lt;&gt;"",COUNTIF(Envelopes!$B$6:$B$21,F717)&gt;0),1,0)</f>
        <v/>
      </c>
      <c r="K717">
        <f>IF(I717=1,H717*10000+ROW(),"")</f>
        <v/>
      </c>
    </row>
    <row r="718">
      <c r="A718" s="1" t="n"/>
      <c r="B718" s="21" t="n"/>
      <c r="C718" s="23" t="n"/>
      <c r="D718" s="22" t="n"/>
      <c r="E718" s="24" t="n"/>
      <c r="F718" s="25" t="n"/>
      <c r="G718" s="18">
        <f>IF(AND(C718="",D718=""),"",IF(NOT(ISNUMBER(B718)),"Needs a date",IF(NOT(ISNUMBER(D718)),"Needs the amount",IF(C718="","Needs an envelope",IF(COUNTIF(Envelopes!$B$6:$B$21,C718)=0,"Not on Envelopes",IF(F718="",IF(D718=0,"Needs the amount",""),IF(COUNTIF(Envelopes!$B$6:$B$21,F718)=0,"Moved to: not on Envelopes",IF(D718&lt;=0,"A move needs an amount",IF(F718=C718,"Moved to the same envelope","")))))))))</f>
        <v/>
      </c>
      <c r="H718" s="1">
        <f>IF(ISNUMBER(B718),INT(B718),0)</f>
        <v/>
      </c>
      <c r="I718">
        <f>IF(AND(H718&gt;0,ISNUMBER(D718),COUNTIF(Envelopes!$B$6:$B$21,C718)&gt;0,F718=""),1,0)</f>
        <v/>
      </c>
      <c r="J718">
        <f>IF(AND(H718&gt;0,ISNUMBER(D718),COUNTIF(Envelopes!$B$6:$B$21,C718)&gt;0,F718&lt;&gt;"",COUNTIF(Envelopes!$B$6:$B$21,F718)&gt;0),1,0)</f>
        <v/>
      </c>
      <c r="K718">
        <f>IF(I718=1,H718*10000+ROW(),"")</f>
        <v/>
      </c>
    </row>
    <row r="719">
      <c r="A719" s="1" t="n"/>
      <c r="B719" s="21" t="n"/>
      <c r="C719" s="23" t="n"/>
      <c r="D719" s="22" t="n"/>
      <c r="E719" s="24" t="n"/>
      <c r="F719" s="25" t="n"/>
      <c r="G719" s="18">
        <f>IF(AND(C719="",D719=""),"",IF(NOT(ISNUMBER(B719)),"Needs a date",IF(NOT(ISNUMBER(D719)),"Needs the amount",IF(C719="","Needs an envelope",IF(COUNTIF(Envelopes!$B$6:$B$21,C719)=0,"Not on Envelopes",IF(F719="",IF(D719=0,"Needs the amount",""),IF(COUNTIF(Envelopes!$B$6:$B$21,F719)=0,"Moved to: not on Envelopes",IF(D719&lt;=0,"A move needs an amount",IF(F719=C719,"Moved to the same envelope","")))))))))</f>
        <v/>
      </c>
      <c r="H719" s="1">
        <f>IF(ISNUMBER(B719),INT(B719),0)</f>
        <v/>
      </c>
      <c r="I719">
        <f>IF(AND(H719&gt;0,ISNUMBER(D719),COUNTIF(Envelopes!$B$6:$B$21,C719)&gt;0,F719=""),1,0)</f>
        <v/>
      </c>
      <c r="J719">
        <f>IF(AND(H719&gt;0,ISNUMBER(D719),COUNTIF(Envelopes!$B$6:$B$21,C719)&gt;0,F719&lt;&gt;"",COUNTIF(Envelopes!$B$6:$B$21,F719)&gt;0),1,0)</f>
        <v/>
      </c>
      <c r="K719">
        <f>IF(I719=1,H719*10000+ROW(),"")</f>
        <v/>
      </c>
    </row>
    <row r="720">
      <c r="A720" s="1" t="n"/>
      <c r="B720" s="21" t="n"/>
      <c r="C720" s="23" t="n"/>
      <c r="D720" s="22" t="n"/>
      <c r="E720" s="24" t="n"/>
      <c r="F720" s="25" t="n"/>
      <c r="G720" s="18">
        <f>IF(AND(C720="",D720=""),"",IF(NOT(ISNUMBER(B720)),"Needs a date",IF(NOT(ISNUMBER(D720)),"Needs the amount",IF(C720="","Needs an envelope",IF(COUNTIF(Envelopes!$B$6:$B$21,C720)=0,"Not on Envelopes",IF(F720="",IF(D720=0,"Needs the amount",""),IF(COUNTIF(Envelopes!$B$6:$B$21,F720)=0,"Moved to: not on Envelopes",IF(D720&lt;=0,"A move needs an amount",IF(F720=C720,"Moved to the same envelope","")))))))))</f>
        <v/>
      </c>
      <c r="H720" s="1">
        <f>IF(ISNUMBER(B720),INT(B720),0)</f>
        <v/>
      </c>
      <c r="I720">
        <f>IF(AND(H720&gt;0,ISNUMBER(D720),COUNTIF(Envelopes!$B$6:$B$21,C720)&gt;0,F720=""),1,0)</f>
        <v/>
      </c>
      <c r="J720">
        <f>IF(AND(H720&gt;0,ISNUMBER(D720),COUNTIF(Envelopes!$B$6:$B$21,C720)&gt;0,F720&lt;&gt;"",COUNTIF(Envelopes!$B$6:$B$21,F720)&gt;0),1,0)</f>
        <v/>
      </c>
      <c r="K720">
        <f>IF(I720=1,H720*10000+ROW(),"")</f>
        <v/>
      </c>
    </row>
    <row r="721">
      <c r="A721" s="1" t="n"/>
      <c r="B721" s="21" t="n"/>
      <c r="C721" s="23" t="n"/>
      <c r="D721" s="22" t="n"/>
      <c r="E721" s="24" t="n"/>
      <c r="F721" s="25" t="n"/>
      <c r="G721" s="18">
        <f>IF(AND(C721="",D721=""),"",IF(NOT(ISNUMBER(B721)),"Needs a date",IF(NOT(ISNUMBER(D721)),"Needs the amount",IF(C721="","Needs an envelope",IF(COUNTIF(Envelopes!$B$6:$B$21,C721)=0,"Not on Envelopes",IF(F721="",IF(D721=0,"Needs the amount",""),IF(COUNTIF(Envelopes!$B$6:$B$21,F721)=0,"Moved to: not on Envelopes",IF(D721&lt;=0,"A move needs an amount",IF(F721=C721,"Moved to the same envelope","")))))))))</f>
        <v/>
      </c>
      <c r="H721" s="1">
        <f>IF(ISNUMBER(B721),INT(B721),0)</f>
        <v/>
      </c>
      <c r="I721">
        <f>IF(AND(H721&gt;0,ISNUMBER(D721),COUNTIF(Envelopes!$B$6:$B$21,C721)&gt;0,F721=""),1,0)</f>
        <v/>
      </c>
      <c r="J721">
        <f>IF(AND(H721&gt;0,ISNUMBER(D721),COUNTIF(Envelopes!$B$6:$B$21,C721)&gt;0,F721&lt;&gt;"",COUNTIF(Envelopes!$B$6:$B$21,F721)&gt;0),1,0)</f>
        <v/>
      </c>
      <c r="K721">
        <f>IF(I721=1,H721*10000+ROW(),"")</f>
        <v/>
      </c>
    </row>
    <row r="722">
      <c r="A722" s="1" t="n"/>
      <c r="B722" s="21" t="n"/>
      <c r="C722" s="23" t="n"/>
      <c r="D722" s="22" t="n"/>
      <c r="E722" s="24" t="n"/>
      <c r="F722" s="25" t="n"/>
      <c r="G722" s="18">
        <f>IF(AND(C722="",D722=""),"",IF(NOT(ISNUMBER(B722)),"Needs a date",IF(NOT(ISNUMBER(D722)),"Needs the amount",IF(C722="","Needs an envelope",IF(COUNTIF(Envelopes!$B$6:$B$21,C722)=0,"Not on Envelopes",IF(F722="",IF(D722=0,"Needs the amount",""),IF(COUNTIF(Envelopes!$B$6:$B$21,F722)=0,"Moved to: not on Envelopes",IF(D722&lt;=0,"A move needs an amount",IF(F722=C722,"Moved to the same envelope","")))))))))</f>
        <v/>
      </c>
      <c r="H722" s="1">
        <f>IF(ISNUMBER(B722),INT(B722),0)</f>
        <v/>
      </c>
      <c r="I722">
        <f>IF(AND(H722&gt;0,ISNUMBER(D722),COUNTIF(Envelopes!$B$6:$B$21,C722)&gt;0,F722=""),1,0)</f>
        <v/>
      </c>
      <c r="J722">
        <f>IF(AND(H722&gt;0,ISNUMBER(D722),COUNTIF(Envelopes!$B$6:$B$21,C722)&gt;0,F722&lt;&gt;"",COUNTIF(Envelopes!$B$6:$B$21,F722)&gt;0),1,0)</f>
        <v/>
      </c>
      <c r="K722">
        <f>IF(I722=1,H722*10000+ROW(),"")</f>
        <v/>
      </c>
    </row>
    <row r="723">
      <c r="A723" s="1" t="n"/>
      <c r="B723" s="21" t="n"/>
      <c r="C723" s="23" t="n"/>
      <c r="D723" s="22" t="n"/>
      <c r="E723" s="24" t="n"/>
      <c r="F723" s="25" t="n"/>
      <c r="G723" s="18">
        <f>IF(AND(C723="",D723=""),"",IF(NOT(ISNUMBER(B723)),"Needs a date",IF(NOT(ISNUMBER(D723)),"Needs the amount",IF(C723="","Needs an envelope",IF(COUNTIF(Envelopes!$B$6:$B$21,C723)=0,"Not on Envelopes",IF(F723="",IF(D723=0,"Needs the amount",""),IF(COUNTIF(Envelopes!$B$6:$B$21,F723)=0,"Moved to: not on Envelopes",IF(D723&lt;=0,"A move needs an amount",IF(F723=C723,"Moved to the same envelope","")))))))))</f>
        <v/>
      </c>
      <c r="H723" s="1">
        <f>IF(ISNUMBER(B723),INT(B723),0)</f>
        <v/>
      </c>
      <c r="I723">
        <f>IF(AND(H723&gt;0,ISNUMBER(D723),COUNTIF(Envelopes!$B$6:$B$21,C723)&gt;0,F723=""),1,0)</f>
        <v/>
      </c>
      <c r="J723">
        <f>IF(AND(H723&gt;0,ISNUMBER(D723),COUNTIF(Envelopes!$B$6:$B$21,C723)&gt;0,F723&lt;&gt;"",COUNTIF(Envelopes!$B$6:$B$21,F723)&gt;0),1,0)</f>
        <v/>
      </c>
      <c r="K723">
        <f>IF(I723=1,H723*10000+ROW(),"")</f>
        <v/>
      </c>
    </row>
    <row r="724">
      <c r="A724" s="1" t="n"/>
      <c r="B724" s="21" t="n"/>
      <c r="C724" s="23" t="n"/>
      <c r="D724" s="22" t="n"/>
      <c r="E724" s="24" t="n"/>
      <c r="F724" s="25" t="n"/>
      <c r="G724" s="18">
        <f>IF(AND(C724="",D724=""),"",IF(NOT(ISNUMBER(B724)),"Needs a date",IF(NOT(ISNUMBER(D724)),"Needs the amount",IF(C724="","Needs an envelope",IF(COUNTIF(Envelopes!$B$6:$B$21,C724)=0,"Not on Envelopes",IF(F724="",IF(D724=0,"Needs the amount",""),IF(COUNTIF(Envelopes!$B$6:$B$21,F724)=0,"Moved to: not on Envelopes",IF(D724&lt;=0,"A move needs an amount",IF(F724=C724,"Moved to the same envelope","")))))))))</f>
        <v/>
      </c>
      <c r="H724" s="1">
        <f>IF(ISNUMBER(B724),INT(B724),0)</f>
        <v/>
      </c>
      <c r="I724">
        <f>IF(AND(H724&gt;0,ISNUMBER(D724),COUNTIF(Envelopes!$B$6:$B$21,C724)&gt;0,F724=""),1,0)</f>
        <v/>
      </c>
      <c r="J724">
        <f>IF(AND(H724&gt;0,ISNUMBER(D724),COUNTIF(Envelopes!$B$6:$B$21,C724)&gt;0,F724&lt;&gt;"",COUNTIF(Envelopes!$B$6:$B$21,F724)&gt;0),1,0)</f>
        <v/>
      </c>
      <c r="K724">
        <f>IF(I724=1,H724*10000+ROW(),"")</f>
        <v/>
      </c>
    </row>
    <row r="725">
      <c r="A725" s="1" t="n"/>
      <c r="B725" s="21" t="n"/>
      <c r="C725" s="23" t="n"/>
      <c r="D725" s="22" t="n"/>
      <c r="E725" s="24" t="n"/>
      <c r="F725" s="25" t="n"/>
      <c r="G725" s="18">
        <f>IF(AND(C725="",D725=""),"",IF(NOT(ISNUMBER(B725)),"Needs a date",IF(NOT(ISNUMBER(D725)),"Needs the amount",IF(C725="","Needs an envelope",IF(COUNTIF(Envelopes!$B$6:$B$21,C725)=0,"Not on Envelopes",IF(F725="",IF(D725=0,"Needs the amount",""),IF(COUNTIF(Envelopes!$B$6:$B$21,F725)=0,"Moved to: not on Envelopes",IF(D725&lt;=0,"A move needs an amount",IF(F725=C725,"Moved to the same envelope","")))))))))</f>
        <v/>
      </c>
      <c r="H725" s="1">
        <f>IF(ISNUMBER(B725),INT(B725),0)</f>
        <v/>
      </c>
      <c r="I725">
        <f>IF(AND(H725&gt;0,ISNUMBER(D725),COUNTIF(Envelopes!$B$6:$B$21,C725)&gt;0,F725=""),1,0)</f>
        <v/>
      </c>
      <c r="J725">
        <f>IF(AND(H725&gt;0,ISNUMBER(D725),COUNTIF(Envelopes!$B$6:$B$21,C725)&gt;0,F725&lt;&gt;"",COUNTIF(Envelopes!$B$6:$B$21,F725)&gt;0),1,0)</f>
        <v/>
      </c>
      <c r="K725">
        <f>IF(I725=1,H725*10000+ROW(),"")</f>
        <v/>
      </c>
    </row>
    <row r="726">
      <c r="A726" s="1" t="n"/>
      <c r="B726" s="21" t="n"/>
      <c r="C726" s="23" t="n"/>
      <c r="D726" s="22" t="n"/>
      <c r="E726" s="24" t="n"/>
      <c r="F726" s="25" t="n"/>
      <c r="G726" s="18">
        <f>IF(AND(C726="",D726=""),"",IF(NOT(ISNUMBER(B726)),"Needs a date",IF(NOT(ISNUMBER(D726)),"Needs the amount",IF(C726="","Needs an envelope",IF(COUNTIF(Envelopes!$B$6:$B$21,C726)=0,"Not on Envelopes",IF(F726="",IF(D726=0,"Needs the amount",""),IF(COUNTIF(Envelopes!$B$6:$B$21,F726)=0,"Moved to: not on Envelopes",IF(D726&lt;=0,"A move needs an amount",IF(F726=C726,"Moved to the same envelope","")))))))))</f>
        <v/>
      </c>
      <c r="H726" s="1">
        <f>IF(ISNUMBER(B726),INT(B726),0)</f>
        <v/>
      </c>
      <c r="I726">
        <f>IF(AND(H726&gt;0,ISNUMBER(D726),COUNTIF(Envelopes!$B$6:$B$21,C726)&gt;0,F726=""),1,0)</f>
        <v/>
      </c>
      <c r="J726">
        <f>IF(AND(H726&gt;0,ISNUMBER(D726),COUNTIF(Envelopes!$B$6:$B$21,C726)&gt;0,F726&lt;&gt;"",COUNTIF(Envelopes!$B$6:$B$21,F726)&gt;0),1,0)</f>
        <v/>
      </c>
      <c r="K726">
        <f>IF(I726=1,H726*10000+ROW(),"")</f>
        <v/>
      </c>
    </row>
    <row r="727">
      <c r="A727" s="1" t="n"/>
      <c r="B727" s="21" t="n"/>
      <c r="C727" s="23" t="n"/>
      <c r="D727" s="22" t="n"/>
      <c r="E727" s="24" t="n"/>
      <c r="F727" s="25" t="n"/>
      <c r="G727" s="18">
        <f>IF(AND(C727="",D727=""),"",IF(NOT(ISNUMBER(B727)),"Needs a date",IF(NOT(ISNUMBER(D727)),"Needs the amount",IF(C727="","Needs an envelope",IF(COUNTIF(Envelopes!$B$6:$B$21,C727)=0,"Not on Envelopes",IF(F727="",IF(D727=0,"Needs the amount",""),IF(COUNTIF(Envelopes!$B$6:$B$21,F727)=0,"Moved to: not on Envelopes",IF(D727&lt;=0,"A move needs an amount",IF(F727=C727,"Moved to the same envelope","")))))))))</f>
        <v/>
      </c>
      <c r="H727" s="1">
        <f>IF(ISNUMBER(B727),INT(B727),0)</f>
        <v/>
      </c>
      <c r="I727">
        <f>IF(AND(H727&gt;0,ISNUMBER(D727),COUNTIF(Envelopes!$B$6:$B$21,C727)&gt;0,F727=""),1,0)</f>
        <v/>
      </c>
      <c r="J727">
        <f>IF(AND(H727&gt;0,ISNUMBER(D727),COUNTIF(Envelopes!$B$6:$B$21,C727)&gt;0,F727&lt;&gt;"",COUNTIF(Envelopes!$B$6:$B$21,F727)&gt;0),1,0)</f>
        <v/>
      </c>
      <c r="K727">
        <f>IF(I727=1,H727*10000+ROW(),"")</f>
        <v/>
      </c>
    </row>
    <row r="728">
      <c r="A728" s="1" t="n"/>
      <c r="B728" s="21" t="n"/>
      <c r="C728" s="23" t="n"/>
      <c r="D728" s="22" t="n"/>
      <c r="E728" s="24" t="n"/>
      <c r="F728" s="25" t="n"/>
      <c r="G728" s="18">
        <f>IF(AND(C728="",D728=""),"",IF(NOT(ISNUMBER(B728)),"Needs a date",IF(NOT(ISNUMBER(D728)),"Needs the amount",IF(C728="","Needs an envelope",IF(COUNTIF(Envelopes!$B$6:$B$21,C728)=0,"Not on Envelopes",IF(F728="",IF(D728=0,"Needs the amount",""),IF(COUNTIF(Envelopes!$B$6:$B$21,F728)=0,"Moved to: not on Envelopes",IF(D728&lt;=0,"A move needs an amount",IF(F728=C728,"Moved to the same envelope","")))))))))</f>
        <v/>
      </c>
      <c r="H728" s="1">
        <f>IF(ISNUMBER(B728),INT(B728),0)</f>
        <v/>
      </c>
      <c r="I728">
        <f>IF(AND(H728&gt;0,ISNUMBER(D728),COUNTIF(Envelopes!$B$6:$B$21,C728)&gt;0,F728=""),1,0)</f>
        <v/>
      </c>
      <c r="J728">
        <f>IF(AND(H728&gt;0,ISNUMBER(D728),COUNTIF(Envelopes!$B$6:$B$21,C728)&gt;0,F728&lt;&gt;"",COUNTIF(Envelopes!$B$6:$B$21,F728)&gt;0),1,0)</f>
        <v/>
      </c>
      <c r="K728">
        <f>IF(I728=1,H728*10000+ROW(),"")</f>
        <v/>
      </c>
    </row>
    <row r="729">
      <c r="A729" s="1" t="n"/>
      <c r="B729" s="21" t="n"/>
      <c r="C729" s="23" t="n"/>
      <c r="D729" s="22" t="n"/>
      <c r="E729" s="24" t="n"/>
      <c r="F729" s="25" t="n"/>
      <c r="G729" s="18">
        <f>IF(AND(C729="",D729=""),"",IF(NOT(ISNUMBER(B729)),"Needs a date",IF(NOT(ISNUMBER(D729)),"Needs the amount",IF(C729="","Needs an envelope",IF(COUNTIF(Envelopes!$B$6:$B$21,C729)=0,"Not on Envelopes",IF(F729="",IF(D729=0,"Needs the amount",""),IF(COUNTIF(Envelopes!$B$6:$B$21,F729)=0,"Moved to: not on Envelopes",IF(D729&lt;=0,"A move needs an amount",IF(F729=C729,"Moved to the same envelope","")))))))))</f>
        <v/>
      </c>
      <c r="H729" s="1">
        <f>IF(ISNUMBER(B729),INT(B729),0)</f>
        <v/>
      </c>
      <c r="I729">
        <f>IF(AND(H729&gt;0,ISNUMBER(D729),COUNTIF(Envelopes!$B$6:$B$21,C729)&gt;0,F729=""),1,0)</f>
        <v/>
      </c>
      <c r="J729">
        <f>IF(AND(H729&gt;0,ISNUMBER(D729),COUNTIF(Envelopes!$B$6:$B$21,C729)&gt;0,F729&lt;&gt;"",COUNTIF(Envelopes!$B$6:$B$21,F729)&gt;0),1,0)</f>
        <v/>
      </c>
      <c r="K729">
        <f>IF(I729=1,H729*10000+ROW(),"")</f>
        <v/>
      </c>
    </row>
    <row r="730">
      <c r="A730" s="1" t="n"/>
      <c r="B730" s="21" t="n"/>
      <c r="C730" s="23" t="n"/>
      <c r="D730" s="22" t="n"/>
      <c r="E730" s="24" t="n"/>
      <c r="F730" s="25" t="n"/>
      <c r="G730" s="18">
        <f>IF(AND(C730="",D730=""),"",IF(NOT(ISNUMBER(B730)),"Needs a date",IF(NOT(ISNUMBER(D730)),"Needs the amount",IF(C730="","Needs an envelope",IF(COUNTIF(Envelopes!$B$6:$B$21,C730)=0,"Not on Envelopes",IF(F730="",IF(D730=0,"Needs the amount",""),IF(COUNTIF(Envelopes!$B$6:$B$21,F730)=0,"Moved to: not on Envelopes",IF(D730&lt;=0,"A move needs an amount",IF(F730=C730,"Moved to the same envelope","")))))))))</f>
        <v/>
      </c>
      <c r="H730" s="1">
        <f>IF(ISNUMBER(B730),INT(B730),0)</f>
        <v/>
      </c>
      <c r="I730">
        <f>IF(AND(H730&gt;0,ISNUMBER(D730),COUNTIF(Envelopes!$B$6:$B$21,C730)&gt;0,F730=""),1,0)</f>
        <v/>
      </c>
      <c r="J730">
        <f>IF(AND(H730&gt;0,ISNUMBER(D730),COUNTIF(Envelopes!$B$6:$B$21,C730)&gt;0,F730&lt;&gt;"",COUNTIF(Envelopes!$B$6:$B$21,F730)&gt;0),1,0)</f>
        <v/>
      </c>
      <c r="K730">
        <f>IF(I730=1,H730*10000+ROW(),"")</f>
        <v/>
      </c>
    </row>
    <row r="731">
      <c r="A731" s="1" t="n"/>
      <c r="B731" s="21" t="n"/>
      <c r="C731" s="23" t="n"/>
      <c r="D731" s="22" t="n"/>
      <c r="E731" s="24" t="n"/>
      <c r="F731" s="25" t="n"/>
      <c r="G731" s="18">
        <f>IF(AND(C731="",D731=""),"",IF(NOT(ISNUMBER(B731)),"Needs a date",IF(NOT(ISNUMBER(D731)),"Needs the amount",IF(C731="","Needs an envelope",IF(COUNTIF(Envelopes!$B$6:$B$21,C731)=0,"Not on Envelopes",IF(F731="",IF(D731=0,"Needs the amount",""),IF(COUNTIF(Envelopes!$B$6:$B$21,F731)=0,"Moved to: not on Envelopes",IF(D731&lt;=0,"A move needs an amount",IF(F731=C731,"Moved to the same envelope","")))))))))</f>
        <v/>
      </c>
      <c r="H731" s="1">
        <f>IF(ISNUMBER(B731),INT(B731),0)</f>
        <v/>
      </c>
      <c r="I731">
        <f>IF(AND(H731&gt;0,ISNUMBER(D731),COUNTIF(Envelopes!$B$6:$B$21,C731)&gt;0,F731=""),1,0)</f>
        <v/>
      </c>
      <c r="J731">
        <f>IF(AND(H731&gt;0,ISNUMBER(D731),COUNTIF(Envelopes!$B$6:$B$21,C731)&gt;0,F731&lt;&gt;"",COUNTIF(Envelopes!$B$6:$B$21,F731)&gt;0),1,0)</f>
        <v/>
      </c>
      <c r="K731">
        <f>IF(I731=1,H731*10000+ROW(),"")</f>
        <v/>
      </c>
    </row>
    <row r="732">
      <c r="A732" s="1" t="n"/>
      <c r="B732" s="21" t="n"/>
      <c r="C732" s="23" t="n"/>
      <c r="D732" s="22" t="n"/>
      <c r="E732" s="24" t="n"/>
      <c r="F732" s="25" t="n"/>
      <c r="G732" s="18">
        <f>IF(AND(C732="",D732=""),"",IF(NOT(ISNUMBER(B732)),"Needs a date",IF(NOT(ISNUMBER(D732)),"Needs the amount",IF(C732="","Needs an envelope",IF(COUNTIF(Envelopes!$B$6:$B$21,C732)=0,"Not on Envelopes",IF(F732="",IF(D732=0,"Needs the amount",""),IF(COUNTIF(Envelopes!$B$6:$B$21,F732)=0,"Moved to: not on Envelopes",IF(D732&lt;=0,"A move needs an amount",IF(F732=C732,"Moved to the same envelope","")))))))))</f>
        <v/>
      </c>
      <c r="H732" s="1">
        <f>IF(ISNUMBER(B732),INT(B732),0)</f>
        <v/>
      </c>
      <c r="I732">
        <f>IF(AND(H732&gt;0,ISNUMBER(D732),COUNTIF(Envelopes!$B$6:$B$21,C732)&gt;0,F732=""),1,0)</f>
        <v/>
      </c>
      <c r="J732">
        <f>IF(AND(H732&gt;0,ISNUMBER(D732),COUNTIF(Envelopes!$B$6:$B$21,C732)&gt;0,F732&lt;&gt;"",COUNTIF(Envelopes!$B$6:$B$21,F732)&gt;0),1,0)</f>
        <v/>
      </c>
      <c r="K732">
        <f>IF(I732=1,H732*10000+ROW(),"")</f>
        <v/>
      </c>
    </row>
    <row r="733">
      <c r="A733" s="1" t="n"/>
      <c r="B733" s="21" t="n"/>
      <c r="C733" s="23" t="n"/>
      <c r="D733" s="22" t="n"/>
      <c r="E733" s="24" t="n"/>
      <c r="F733" s="25" t="n"/>
      <c r="G733" s="18">
        <f>IF(AND(C733="",D733=""),"",IF(NOT(ISNUMBER(B733)),"Needs a date",IF(NOT(ISNUMBER(D733)),"Needs the amount",IF(C733="","Needs an envelope",IF(COUNTIF(Envelopes!$B$6:$B$21,C733)=0,"Not on Envelopes",IF(F733="",IF(D733=0,"Needs the amount",""),IF(COUNTIF(Envelopes!$B$6:$B$21,F733)=0,"Moved to: not on Envelopes",IF(D733&lt;=0,"A move needs an amount",IF(F733=C733,"Moved to the same envelope","")))))))))</f>
        <v/>
      </c>
      <c r="H733" s="1">
        <f>IF(ISNUMBER(B733),INT(B733),0)</f>
        <v/>
      </c>
      <c r="I733">
        <f>IF(AND(H733&gt;0,ISNUMBER(D733),COUNTIF(Envelopes!$B$6:$B$21,C733)&gt;0,F733=""),1,0)</f>
        <v/>
      </c>
      <c r="J733">
        <f>IF(AND(H733&gt;0,ISNUMBER(D733),COUNTIF(Envelopes!$B$6:$B$21,C733)&gt;0,F733&lt;&gt;"",COUNTIF(Envelopes!$B$6:$B$21,F733)&gt;0),1,0)</f>
        <v/>
      </c>
      <c r="K733">
        <f>IF(I733=1,H733*10000+ROW(),"")</f>
        <v/>
      </c>
    </row>
    <row r="734">
      <c r="A734" s="1" t="n"/>
      <c r="B734" s="21" t="n"/>
      <c r="C734" s="23" t="n"/>
      <c r="D734" s="22" t="n"/>
      <c r="E734" s="24" t="n"/>
      <c r="F734" s="25" t="n"/>
      <c r="G734" s="18">
        <f>IF(AND(C734="",D734=""),"",IF(NOT(ISNUMBER(B734)),"Needs a date",IF(NOT(ISNUMBER(D734)),"Needs the amount",IF(C734="","Needs an envelope",IF(COUNTIF(Envelopes!$B$6:$B$21,C734)=0,"Not on Envelopes",IF(F734="",IF(D734=0,"Needs the amount",""),IF(COUNTIF(Envelopes!$B$6:$B$21,F734)=0,"Moved to: not on Envelopes",IF(D734&lt;=0,"A move needs an amount",IF(F734=C734,"Moved to the same envelope","")))))))))</f>
        <v/>
      </c>
      <c r="H734" s="1">
        <f>IF(ISNUMBER(B734),INT(B734),0)</f>
        <v/>
      </c>
      <c r="I734">
        <f>IF(AND(H734&gt;0,ISNUMBER(D734),COUNTIF(Envelopes!$B$6:$B$21,C734)&gt;0,F734=""),1,0)</f>
        <v/>
      </c>
      <c r="J734">
        <f>IF(AND(H734&gt;0,ISNUMBER(D734),COUNTIF(Envelopes!$B$6:$B$21,C734)&gt;0,F734&lt;&gt;"",COUNTIF(Envelopes!$B$6:$B$21,F734)&gt;0),1,0)</f>
        <v/>
      </c>
      <c r="K734">
        <f>IF(I734=1,H734*10000+ROW(),"")</f>
        <v/>
      </c>
    </row>
    <row r="735">
      <c r="A735" s="1" t="n"/>
      <c r="B735" s="21" t="n"/>
      <c r="C735" s="23" t="n"/>
      <c r="D735" s="22" t="n"/>
      <c r="E735" s="24" t="n"/>
      <c r="F735" s="25" t="n"/>
      <c r="G735" s="18">
        <f>IF(AND(C735="",D735=""),"",IF(NOT(ISNUMBER(B735)),"Needs a date",IF(NOT(ISNUMBER(D735)),"Needs the amount",IF(C735="","Needs an envelope",IF(COUNTIF(Envelopes!$B$6:$B$21,C735)=0,"Not on Envelopes",IF(F735="",IF(D735=0,"Needs the amount",""),IF(COUNTIF(Envelopes!$B$6:$B$21,F735)=0,"Moved to: not on Envelopes",IF(D735&lt;=0,"A move needs an amount",IF(F735=C735,"Moved to the same envelope","")))))))))</f>
        <v/>
      </c>
      <c r="H735" s="1">
        <f>IF(ISNUMBER(B735),INT(B735),0)</f>
        <v/>
      </c>
      <c r="I735">
        <f>IF(AND(H735&gt;0,ISNUMBER(D735),COUNTIF(Envelopes!$B$6:$B$21,C735)&gt;0,F735=""),1,0)</f>
        <v/>
      </c>
      <c r="J735">
        <f>IF(AND(H735&gt;0,ISNUMBER(D735),COUNTIF(Envelopes!$B$6:$B$21,C735)&gt;0,F735&lt;&gt;"",COUNTIF(Envelopes!$B$6:$B$21,F735)&gt;0),1,0)</f>
        <v/>
      </c>
      <c r="K735">
        <f>IF(I735=1,H735*10000+ROW(),"")</f>
        <v/>
      </c>
    </row>
    <row r="736">
      <c r="A736" s="1" t="n"/>
      <c r="B736" s="21" t="n"/>
      <c r="C736" s="23" t="n"/>
      <c r="D736" s="22" t="n"/>
      <c r="E736" s="24" t="n"/>
      <c r="F736" s="25" t="n"/>
      <c r="G736" s="18">
        <f>IF(AND(C736="",D736=""),"",IF(NOT(ISNUMBER(B736)),"Needs a date",IF(NOT(ISNUMBER(D736)),"Needs the amount",IF(C736="","Needs an envelope",IF(COUNTIF(Envelopes!$B$6:$B$21,C736)=0,"Not on Envelopes",IF(F736="",IF(D736=0,"Needs the amount",""),IF(COUNTIF(Envelopes!$B$6:$B$21,F736)=0,"Moved to: not on Envelopes",IF(D736&lt;=0,"A move needs an amount",IF(F736=C736,"Moved to the same envelope","")))))))))</f>
        <v/>
      </c>
      <c r="H736" s="1">
        <f>IF(ISNUMBER(B736),INT(B736),0)</f>
        <v/>
      </c>
      <c r="I736">
        <f>IF(AND(H736&gt;0,ISNUMBER(D736),COUNTIF(Envelopes!$B$6:$B$21,C736)&gt;0,F736=""),1,0)</f>
        <v/>
      </c>
      <c r="J736">
        <f>IF(AND(H736&gt;0,ISNUMBER(D736),COUNTIF(Envelopes!$B$6:$B$21,C736)&gt;0,F736&lt;&gt;"",COUNTIF(Envelopes!$B$6:$B$21,F736)&gt;0),1,0)</f>
        <v/>
      </c>
      <c r="K736">
        <f>IF(I736=1,H736*10000+ROW(),"")</f>
        <v/>
      </c>
    </row>
    <row r="737">
      <c r="A737" s="1" t="n"/>
      <c r="B737" s="21" t="n"/>
      <c r="C737" s="23" t="n"/>
      <c r="D737" s="22" t="n"/>
      <c r="E737" s="24" t="n"/>
      <c r="F737" s="25" t="n"/>
      <c r="G737" s="18">
        <f>IF(AND(C737="",D737=""),"",IF(NOT(ISNUMBER(B737)),"Needs a date",IF(NOT(ISNUMBER(D737)),"Needs the amount",IF(C737="","Needs an envelope",IF(COUNTIF(Envelopes!$B$6:$B$21,C737)=0,"Not on Envelopes",IF(F737="",IF(D737=0,"Needs the amount",""),IF(COUNTIF(Envelopes!$B$6:$B$21,F737)=0,"Moved to: not on Envelopes",IF(D737&lt;=0,"A move needs an amount",IF(F737=C737,"Moved to the same envelope","")))))))))</f>
        <v/>
      </c>
      <c r="H737" s="1">
        <f>IF(ISNUMBER(B737),INT(B737),0)</f>
        <v/>
      </c>
      <c r="I737">
        <f>IF(AND(H737&gt;0,ISNUMBER(D737),COUNTIF(Envelopes!$B$6:$B$21,C737)&gt;0,F737=""),1,0)</f>
        <v/>
      </c>
      <c r="J737">
        <f>IF(AND(H737&gt;0,ISNUMBER(D737),COUNTIF(Envelopes!$B$6:$B$21,C737)&gt;0,F737&lt;&gt;"",COUNTIF(Envelopes!$B$6:$B$21,F737)&gt;0),1,0)</f>
        <v/>
      </c>
      <c r="K737">
        <f>IF(I737=1,H737*10000+ROW(),"")</f>
        <v/>
      </c>
    </row>
    <row r="738">
      <c r="A738" s="1" t="n"/>
      <c r="B738" s="21" t="n"/>
      <c r="C738" s="23" t="n"/>
      <c r="D738" s="22" t="n"/>
      <c r="E738" s="24" t="n"/>
      <c r="F738" s="25" t="n"/>
      <c r="G738" s="18">
        <f>IF(AND(C738="",D738=""),"",IF(NOT(ISNUMBER(B738)),"Needs a date",IF(NOT(ISNUMBER(D738)),"Needs the amount",IF(C738="","Needs an envelope",IF(COUNTIF(Envelopes!$B$6:$B$21,C738)=0,"Not on Envelopes",IF(F738="",IF(D738=0,"Needs the amount",""),IF(COUNTIF(Envelopes!$B$6:$B$21,F738)=0,"Moved to: not on Envelopes",IF(D738&lt;=0,"A move needs an amount",IF(F738=C738,"Moved to the same envelope","")))))))))</f>
        <v/>
      </c>
      <c r="H738" s="1">
        <f>IF(ISNUMBER(B738),INT(B738),0)</f>
        <v/>
      </c>
      <c r="I738">
        <f>IF(AND(H738&gt;0,ISNUMBER(D738),COUNTIF(Envelopes!$B$6:$B$21,C738)&gt;0,F738=""),1,0)</f>
        <v/>
      </c>
      <c r="J738">
        <f>IF(AND(H738&gt;0,ISNUMBER(D738),COUNTIF(Envelopes!$B$6:$B$21,C738)&gt;0,F738&lt;&gt;"",COUNTIF(Envelopes!$B$6:$B$21,F738)&gt;0),1,0)</f>
        <v/>
      </c>
      <c r="K738">
        <f>IF(I738=1,H738*10000+ROW(),"")</f>
        <v/>
      </c>
    </row>
    <row r="739">
      <c r="A739" s="1" t="n"/>
      <c r="B739" s="21" t="n"/>
      <c r="C739" s="23" t="n"/>
      <c r="D739" s="22" t="n"/>
      <c r="E739" s="24" t="n"/>
      <c r="F739" s="25" t="n"/>
      <c r="G739" s="18">
        <f>IF(AND(C739="",D739=""),"",IF(NOT(ISNUMBER(B739)),"Needs a date",IF(NOT(ISNUMBER(D739)),"Needs the amount",IF(C739="","Needs an envelope",IF(COUNTIF(Envelopes!$B$6:$B$21,C739)=0,"Not on Envelopes",IF(F739="",IF(D739=0,"Needs the amount",""),IF(COUNTIF(Envelopes!$B$6:$B$21,F739)=0,"Moved to: not on Envelopes",IF(D739&lt;=0,"A move needs an amount",IF(F739=C739,"Moved to the same envelope","")))))))))</f>
        <v/>
      </c>
      <c r="H739" s="1">
        <f>IF(ISNUMBER(B739),INT(B739),0)</f>
        <v/>
      </c>
      <c r="I739">
        <f>IF(AND(H739&gt;0,ISNUMBER(D739),COUNTIF(Envelopes!$B$6:$B$21,C739)&gt;0,F739=""),1,0)</f>
        <v/>
      </c>
      <c r="J739">
        <f>IF(AND(H739&gt;0,ISNUMBER(D739),COUNTIF(Envelopes!$B$6:$B$21,C739)&gt;0,F739&lt;&gt;"",COUNTIF(Envelopes!$B$6:$B$21,F739)&gt;0),1,0)</f>
        <v/>
      </c>
      <c r="K739">
        <f>IF(I739=1,H739*10000+ROW(),"")</f>
        <v/>
      </c>
    </row>
    <row r="740">
      <c r="A740" s="1" t="n"/>
      <c r="B740" s="21" t="n"/>
      <c r="C740" s="23" t="n"/>
      <c r="D740" s="22" t="n"/>
      <c r="E740" s="24" t="n"/>
      <c r="F740" s="25" t="n"/>
      <c r="G740" s="18">
        <f>IF(AND(C740="",D740=""),"",IF(NOT(ISNUMBER(B740)),"Needs a date",IF(NOT(ISNUMBER(D740)),"Needs the amount",IF(C740="","Needs an envelope",IF(COUNTIF(Envelopes!$B$6:$B$21,C740)=0,"Not on Envelopes",IF(F740="",IF(D740=0,"Needs the amount",""),IF(COUNTIF(Envelopes!$B$6:$B$21,F740)=0,"Moved to: not on Envelopes",IF(D740&lt;=0,"A move needs an amount",IF(F740=C740,"Moved to the same envelope","")))))))))</f>
        <v/>
      </c>
      <c r="H740" s="1">
        <f>IF(ISNUMBER(B740),INT(B740),0)</f>
        <v/>
      </c>
      <c r="I740">
        <f>IF(AND(H740&gt;0,ISNUMBER(D740),COUNTIF(Envelopes!$B$6:$B$21,C740)&gt;0,F740=""),1,0)</f>
        <v/>
      </c>
      <c r="J740">
        <f>IF(AND(H740&gt;0,ISNUMBER(D740),COUNTIF(Envelopes!$B$6:$B$21,C740)&gt;0,F740&lt;&gt;"",COUNTIF(Envelopes!$B$6:$B$21,F740)&gt;0),1,0)</f>
        <v/>
      </c>
      <c r="K740">
        <f>IF(I740=1,H740*10000+ROW(),"")</f>
        <v/>
      </c>
    </row>
    <row r="741">
      <c r="A741" s="1" t="n"/>
      <c r="B741" s="21" t="n"/>
      <c r="C741" s="23" t="n"/>
      <c r="D741" s="22" t="n"/>
      <c r="E741" s="24" t="n"/>
      <c r="F741" s="25" t="n"/>
      <c r="G741" s="18">
        <f>IF(AND(C741="",D741=""),"",IF(NOT(ISNUMBER(B741)),"Needs a date",IF(NOT(ISNUMBER(D741)),"Needs the amount",IF(C741="","Needs an envelope",IF(COUNTIF(Envelopes!$B$6:$B$21,C741)=0,"Not on Envelopes",IF(F741="",IF(D741=0,"Needs the amount",""),IF(COUNTIF(Envelopes!$B$6:$B$21,F741)=0,"Moved to: not on Envelopes",IF(D741&lt;=0,"A move needs an amount",IF(F741=C741,"Moved to the same envelope","")))))))))</f>
        <v/>
      </c>
      <c r="H741" s="1">
        <f>IF(ISNUMBER(B741),INT(B741),0)</f>
        <v/>
      </c>
      <c r="I741">
        <f>IF(AND(H741&gt;0,ISNUMBER(D741),COUNTIF(Envelopes!$B$6:$B$21,C741)&gt;0,F741=""),1,0)</f>
        <v/>
      </c>
      <c r="J741">
        <f>IF(AND(H741&gt;0,ISNUMBER(D741),COUNTIF(Envelopes!$B$6:$B$21,C741)&gt;0,F741&lt;&gt;"",COUNTIF(Envelopes!$B$6:$B$21,F741)&gt;0),1,0)</f>
        <v/>
      </c>
      <c r="K741">
        <f>IF(I741=1,H741*10000+ROW(),"")</f>
        <v/>
      </c>
    </row>
    <row r="742">
      <c r="A742" s="1" t="n"/>
      <c r="B742" s="21" t="n"/>
      <c r="C742" s="23" t="n"/>
      <c r="D742" s="22" t="n"/>
      <c r="E742" s="24" t="n"/>
      <c r="F742" s="25" t="n"/>
      <c r="G742" s="18">
        <f>IF(AND(C742="",D742=""),"",IF(NOT(ISNUMBER(B742)),"Needs a date",IF(NOT(ISNUMBER(D742)),"Needs the amount",IF(C742="","Needs an envelope",IF(COUNTIF(Envelopes!$B$6:$B$21,C742)=0,"Not on Envelopes",IF(F742="",IF(D742=0,"Needs the amount",""),IF(COUNTIF(Envelopes!$B$6:$B$21,F742)=0,"Moved to: not on Envelopes",IF(D742&lt;=0,"A move needs an amount",IF(F742=C742,"Moved to the same envelope","")))))))))</f>
        <v/>
      </c>
      <c r="H742" s="1">
        <f>IF(ISNUMBER(B742),INT(B742),0)</f>
        <v/>
      </c>
      <c r="I742">
        <f>IF(AND(H742&gt;0,ISNUMBER(D742),COUNTIF(Envelopes!$B$6:$B$21,C742)&gt;0,F742=""),1,0)</f>
        <v/>
      </c>
      <c r="J742">
        <f>IF(AND(H742&gt;0,ISNUMBER(D742),COUNTIF(Envelopes!$B$6:$B$21,C742)&gt;0,F742&lt;&gt;"",COUNTIF(Envelopes!$B$6:$B$21,F742)&gt;0),1,0)</f>
        <v/>
      </c>
      <c r="K742">
        <f>IF(I742=1,H742*10000+ROW(),"")</f>
        <v/>
      </c>
    </row>
    <row r="743">
      <c r="A743" s="1" t="n"/>
      <c r="B743" s="21" t="n"/>
      <c r="C743" s="23" t="n"/>
      <c r="D743" s="22" t="n"/>
      <c r="E743" s="24" t="n"/>
      <c r="F743" s="25" t="n"/>
      <c r="G743" s="18">
        <f>IF(AND(C743="",D743=""),"",IF(NOT(ISNUMBER(B743)),"Needs a date",IF(NOT(ISNUMBER(D743)),"Needs the amount",IF(C743="","Needs an envelope",IF(COUNTIF(Envelopes!$B$6:$B$21,C743)=0,"Not on Envelopes",IF(F743="",IF(D743=0,"Needs the amount",""),IF(COUNTIF(Envelopes!$B$6:$B$21,F743)=0,"Moved to: not on Envelopes",IF(D743&lt;=0,"A move needs an amount",IF(F743=C743,"Moved to the same envelope","")))))))))</f>
        <v/>
      </c>
      <c r="H743" s="1">
        <f>IF(ISNUMBER(B743),INT(B743),0)</f>
        <v/>
      </c>
      <c r="I743">
        <f>IF(AND(H743&gt;0,ISNUMBER(D743),COUNTIF(Envelopes!$B$6:$B$21,C743)&gt;0,F743=""),1,0)</f>
        <v/>
      </c>
      <c r="J743">
        <f>IF(AND(H743&gt;0,ISNUMBER(D743),COUNTIF(Envelopes!$B$6:$B$21,C743)&gt;0,F743&lt;&gt;"",COUNTIF(Envelopes!$B$6:$B$21,F743)&gt;0),1,0)</f>
        <v/>
      </c>
      <c r="K743">
        <f>IF(I743=1,H743*10000+ROW(),"")</f>
        <v/>
      </c>
    </row>
    <row r="744">
      <c r="A744" s="1" t="n"/>
      <c r="B744" s="21" t="n"/>
      <c r="C744" s="23" t="n"/>
      <c r="D744" s="22" t="n"/>
      <c r="E744" s="24" t="n"/>
      <c r="F744" s="25" t="n"/>
      <c r="G744" s="18">
        <f>IF(AND(C744="",D744=""),"",IF(NOT(ISNUMBER(B744)),"Needs a date",IF(NOT(ISNUMBER(D744)),"Needs the amount",IF(C744="","Needs an envelope",IF(COUNTIF(Envelopes!$B$6:$B$21,C744)=0,"Not on Envelopes",IF(F744="",IF(D744=0,"Needs the amount",""),IF(COUNTIF(Envelopes!$B$6:$B$21,F744)=0,"Moved to: not on Envelopes",IF(D744&lt;=0,"A move needs an amount",IF(F744=C744,"Moved to the same envelope","")))))))))</f>
        <v/>
      </c>
      <c r="H744" s="1">
        <f>IF(ISNUMBER(B744),INT(B744),0)</f>
        <v/>
      </c>
      <c r="I744">
        <f>IF(AND(H744&gt;0,ISNUMBER(D744),COUNTIF(Envelopes!$B$6:$B$21,C744)&gt;0,F744=""),1,0)</f>
        <v/>
      </c>
      <c r="J744">
        <f>IF(AND(H744&gt;0,ISNUMBER(D744),COUNTIF(Envelopes!$B$6:$B$21,C744)&gt;0,F744&lt;&gt;"",COUNTIF(Envelopes!$B$6:$B$21,F744)&gt;0),1,0)</f>
        <v/>
      </c>
      <c r="K744">
        <f>IF(I744=1,H744*10000+ROW(),"")</f>
        <v/>
      </c>
    </row>
    <row r="745">
      <c r="A745" s="1" t="n"/>
      <c r="B745" s="21" t="n"/>
      <c r="C745" s="23" t="n"/>
      <c r="D745" s="22" t="n"/>
      <c r="E745" s="24" t="n"/>
      <c r="F745" s="25" t="n"/>
      <c r="G745" s="18">
        <f>IF(AND(C745="",D745=""),"",IF(NOT(ISNUMBER(B745)),"Needs a date",IF(NOT(ISNUMBER(D745)),"Needs the amount",IF(C745="","Needs an envelope",IF(COUNTIF(Envelopes!$B$6:$B$21,C745)=0,"Not on Envelopes",IF(F745="",IF(D745=0,"Needs the amount",""),IF(COUNTIF(Envelopes!$B$6:$B$21,F745)=0,"Moved to: not on Envelopes",IF(D745&lt;=0,"A move needs an amount",IF(F745=C745,"Moved to the same envelope","")))))))))</f>
        <v/>
      </c>
      <c r="H745" s="1">
        <f>IF(ISNUMBER(B745),INT(B745),0)</f>
        <v/>
      </c>
      <c r="I745">
        <f>IF(AND(H745&gt;0,ISNUMBER(D745),COUNTIF(Envelopes!$B$6:$B$21,C745)&gt;0,F745=""),1,0)</f>
        <v/>
      </c>
      <c r="J745">
        <f>IF(AND(H745&gt;0,ISNUMBER(D745),COUNTIF(Envelopes!$B$6:$B$21,C745)&gt;0,F745&lt;&gt;"",COUNTIF(Envelopes!$B$6:$B$21,F745)&gt;0),1,0)</f>
        <v/>
      </c>
      <c r="K745">
        <f>IF(I745=1,H745*10000+ROW(),"")</f>
        <v/>
      </c>
    </row>
    <row r="746">
      <c r="A746" s="1" t="n"/>
      <c r="B746" s="21" t="n"/>
      <c r="C746" s="23" t="n"/>
      <c r="D746" s="22" t="n"/>
      <c r="E746" s="24" t="n"/>
      <c r="F746" s="25" t="n"/>
      <c r="G746" s="18">
        <f>IF(AND(C746="",D746=""),"",IF(NOT(ISNUMBER(B746)),"Needs a date",IF(NOT(ISNUMBER(D746)),"Needs the amount",IF(C746="","Needs an envelope",IF(COUNTIF(Envelopes!$B$6:$B$21,C746)=0,"Not on Envelopes",IF(F746="",IF(D746=0,"Needs the amount",""),IF(COUNTIF(Envelopes!$B$6:$B$21,F746)=0,"Moved to: not on Envelopes",IF(D746&lt;=0,"A move needs an amount",IF(F746=C746,"Moved to the same envelope","")))))))))</f>
        <v/>
      </c>
      <c r="H746" s="1">
        <f>IF(ISNUMBER(B746),INT(B746),0)</f>
        <v/>
      </c>
      <c r="I746">
        <f>IF(AND(H746&gt;0,ISNUMBER(D746),COUNTIF(Envelopes!$B$6:$B$21,C746)&gt;0,F746=""),1,0)</f>
        <v/>
      </c>
      <c r="J746">
        <f>IF(AND(H746&gt;0,ISNUMBER(D746),COUNTIF(Envelopes!$B$6:$B$21,C746)&gt;0,F746&lt;&gt;"",COUNTIF(Envelopes!$B$6:$B$21,F746)&gt;0),1,0)</f>
        <v/>
      </c>
      <c r="K746">
        <f>IF(I746=1,H746*10000+ROW(),"")</f>
        <v/>
      </c>
    </row>
    <row r="747">
      <c r="A747" s="1" t="n"/>
      <c r="B747" s="21" t="n"/>
      <c r="C747" s="23" t="n"/>
      <c r="D747" s="22" t="n"/>
      <c r="E747" s="24" t="n"/>
      <c r="F747" s="25" t="n"/>
      <c r="G747" s="18">
        <f>IF(AND(C747="",D747=""),"",IF(NOT(ISNUMBER(B747)),"Needs a date",IF(NOT(ISNUMBER(D747)),"Needs the amount",IF(C747="","Needs an envelope",IF(COUNTIF(Envelopes!$B$6:$B$21,C747)=0,"Not on Envelopes",IF(F747="",IF(D747=0,"Needs the amount",""),IF(COUNTIF(Envelopes!$B$6:$B$21,F747)=0,"Moved to: not on Envelopes",IF(D747&lt;=0,"A move needs an amount",IF(F747=C747,"Moved to the same envelope","")))))))))</f>
        <v/>
      </c>
      <c r="H747" s="1">
        <f>IF(ISNUMBER(B747),INT(B747),0)</f>
        <v/>
      </c>
      <c r="I747">
        <f>IF(AND(H747&gt;0,ISNUMBER(D747),COUNTIF(Envelopes!$B$6:$B$21,C747)&gt;0,F747=""),1,0)</f>
        <v/>
      </c>
      <c r="J747">
        <f>IF(AND(H747&gt;0,ISNUMBER(D747),COUNTIF(Envelopes!$B$6:$B$21,C747)&gt;0,F747&lt;&gt;"",COUNTIF(Envelopes!$B$6:$B$21,F747)&gt;0),1,0)</f>
        <v/>
      </c>
      <c r="K747">
        <f>IF(I747=1,H747*10000+ROW(),"")</f>
        <v/>
      </c>
    </row>
    <row r="748">
      <c r="A748" s="1" t="n"/>
      <c r="B748" s="21" t="n"/>
      <c r="C748" s="23" t="n"/>
      <c r="D748" s="22" t="n"/>
      <c r="E748" s="24" t="n"/>
      <c r="F748" s="25" t="n"/>
      <c r="G748" s="18">
        <f>IF(AND(C748="",D748=""),"",IF(NOT(ISNUMBER(B748)),"Needs a date",IF(NOT(ISNUMBER(D748)),"Needs the amount",IF(C748="","Needs an envelope",IF(COUNTIF(Envelopes!$B$6:$B$21,C748)=0,"Not on Envelopes",IF(F748="",IF(D748=0,"Needs the amount",""),IF(COUNTIF(Envelopes!$B$6:$B$21,F748)=0,"Moved to: not on Envelopes",IF(D748&lt;=0,"A move needs an amount",IF(F748=C748,"Moved to the same envelope","")))))))))</f>
        <v/>
      </c>
      <c r="H748" s="1">
        <f>IF(ISNUMBER(B748),INT(B748),0)</f>
        <v/>
      </c>
      <c r="I748">
        <f>IF(AND(H748&gt;0,ISNUMBER(D748),COUNTIF(Envelopes!$B$6:$B$21,C748)&gt;0,F748=""),1,0)</f>
        <v/>
      </c>
      <c r="J748">
        <f>IF(AND(H748&gt;0,ISNUMBER(D748),COUNTIF(Envelopes!$B$6:$B$21,C748)&gt;0,F748&lt;&gt;"",COUNTIF(Envelopes!$B$6:$B$21,F748)&gt;0),1,0)</f>
        <v/>
      </c>
      <c r="K748">
        <f>IF(I748=1,H748*10000+ROW(),"")</f>
        <v/>
      </c>
    </row>
    <row r="749">
      <c r="A749" s="1" t="n"/>
      <c r="B749" s="21" t="n"/>
      <c r="C749" s="23" t="n"/>
      <c r="D749" s="22" t="n"/>
      <c r="E749" s="24" t="n"/>
      <c r="F749" s="25" t="n"/>
      <c r="G749" s="18">
        <f>IF(AND(C749="",D749=""),"",IF(NOT(ISNUMBER(B749)),"Needs a date",IF(NOT(ISNUMBER(D749)),"Needs the amount",IF(C749="","Needs an envelope",IF(COUNTIF(Envelopes!$B$6:$B$21,C749)=0,"Not on Envelopes",IF(F749="",IF(D749=0,"Needs the amount",""),IF(COUNTIF(Envelopes!$B$6:$B$21,F749)=0,"Moved to: not on Envelopes",IF(D749&lt;=0,"A move needs an amount",IF(F749=C749,"Moved to the same envelope","")))))))))</f>
        <v/>
      </c>
      <c r="H749" s="1">
        <f>IF(ISNUMBER(B749),INT(B749),0)</f>
        <v/>
      </c>
      <c r="I749">
        <f>IF(AND(H749&gt;0,ISNUMBER(D749),COUNTIF(Envelopes!$B$6:$B$21,C749)&gt;0,F749=""),1,0)</f>
        <v/>
      </c>
      <c r="J749">
        <f>IF(AND(H749&gt;0,ISNUMBER(D749),COUNTIF(Envelopes!$B$6:$B$21,C749)&gt;0,F749&lt;&gt;"",COUNTIF(Envelopes!$B$6:$B$21,F749)&gt;0),1,0)</f>
        <v/>
      </c>
      <c r="K749">
        <f>IF(I749=1,H749*10000+ROW(),"")</f>
        <v/>
      </c>
    </row>
    <row r="750">
      <c r="A750" s="1" t="n"/>
      <c r="B750" s="21" t="n"/>
      <c r="C750" s="23" t="n"/>
      <c r="D750" s="22" t="n"/>
      <c r="E750" s="24" t="n"/>
      <c r="F750" s="25" t="n"/>
      <c r="G750" s="18">
        <f>IF(AND(C750="",D750=""),"",IF(NOT(ISNUMBER(B750)),"Needs a date",IF(NOT(ISNUMBER(D750)),"Needs the amount",IF(C750="","Needs an envelope",IF(COUNTIF(Envelopes!$B$6:$B$21,C750)=0,"Not on Envelopes",IF(F750="",IF(D750=0,"Needs the amount",""),IF(COUNTIF(Envelopes!$B$6:$B$21,F750)=0,"Moved to: not on Envelopes",IF(D750&lt;=0,"A move needs an amount",IF(F750=C750,"Moved to the same envelope","")))))))))</f>
        <v/>
      </c>
      <c r="H750" s="1">
        <f>IF(ISNUMBER(B750),INT(B750),0)</f>
        <v/>
      </c>
      <c r="I750">
        <f>IF(AND(H750&gt;0,ISNUMBER(D750),COUNTIF(Envelopes!$B$6:$B$21,C750)&gt;0,F750=""),1,0)</f>
        <v/>
      </c>
      <c r="J750">
        <f>IF(AND(H750&gt;0,ISNUMBER(D750),COUNTIF(Envelopes!$B$6:$B$21,C750)&gt;0,F750&lt;&gt;"",COUNTIF(Envelopes!$B$6:$B$21,F750)&gt;0),1,0)</f>
        <v/>
      </c>
      <c r="K750">
        <f>IF(I750=1,H750*10000+ROW(),"")</f>
        <v/>
      </c>
    </row>
    <row r="751">
      <c r="A751" s="1" t="n"/>
      <c r="B751" s="21" t="n"/>
      <c r="C751" s="23" t="n"/>
      <c r="D751" s="22" t="n"/>
      <c r="E751" s="24" t="n"/>
      <c r="F751" s="25" t="n"/>
      <c r="G751" s="18">
        <f>IF(AND(C751="",D751=""),"",IF(NOT(ISNUMBER(B751)),"Needs a date",IF(NOT(ISNUMBER(D751)),"Needs the amount",IF(C751="","Needs an envelope",IF(COUNTIF(Envelopes!$B$6:$B$21,C751)=0,"Not on Envelopes",IF(F751="",IF(D751=0,"Needs the amount",""),IF(COUNTIF(Envelopes!$B$6:$B$21,F751)=0,"Moved to: not on Envelopes",IF(D751&lt;=0,"A move needs an amount",IF(F751=C751,"Moved to the same envelope","")))))))))</f>
        <v/>
      </c>
      <c r="H751" s="1">
        <f>IF(ISNUMBER(B751),INT(B751),0)</f>
        <v/>
      </c>
      <c r="I751">
        <f>IF(AND(H751&gt;0,ISNUMBER(D751),COUNTIF(Envelopes!$B$6:$B$21,C751)&gt;0,F751=""),1,0)</f>
        <v/>
      </c>
      <c r="J751">
        <f>IF(AND(H751&gt;0,ISNUMBER(D751),COUNTIF(Envelopes!$B$6:$B$21,C751)&gt;0,F751&lt;&gt;"",COUNTIF(Envelopes!$B$6:$B$21,F751)&gt;0),1,0)</f>
        <v/>
      </c>
      <c r="K751">
        <f>IF(I751=1,H751*10000+ROW(),"")</f>
        <v/>
      </c>
    </row>
    <row r="752">
      <c r="A752" s="1" t="n"/>
      <c r="B752" s="21" t="n"/>
      <c r="C752" s="23" t="n"/>
      <c r="D752" s="22" t="n"/>
      <c r="E752" s="24" t="n"/>
      <c r="F752" s="25" t="n"/>
      <c r="G752" s="18">
        <f>IF(AND(C752="",D752=""),"",IF(NOT(ISNUMBER(B752)),"Needs a date",IF(NOT(ISNUMBER(D752)),"Needs the amount",IF(C752="","Needs an envelope",IF(COUNTIF(Envelopes!$B$6:$B$21,C752)=0,"Not on Envelopes",IF(F752="",IF(D752=0,"Needs the amount",""),IF(COUNTIF(Envelopes!$B$6:$B$21,F752)=0,"Moved to: not on Envelopes",IF(D752&lt;=0,"A move needs an amount",IF(F752=C752,"Moved to the same envelope","")))))))))</f>
        <v/>
      </c>
      <c r="H752" s="1">
        <f>IF(ISNUMBER(B752),INT(B752),0)</f>
        <v/>
      </c>
      <c r="I752">
        <f>IF(AND(H752&gt;0,ISNUMBER(D752),COUNTIF(Envelopes!$B$6:$B$21,C752)&gt;0,F752=""),1,0)</f>
        <v/>
      </c>
      <c r="J752">
        <f>IF(AND(H752&gt;0,ISNUMBER(D752),COUNTIF(Envelopes!$B$6:$B$21,C752)&gt;0,F752&lt;&gt;"",COUNTIF(Envelopes!$B$6:$B$21,F752)&gt;0),1,0)</f>
        <v/>
      </c>
      <c r="K752">
        <f>IF(I752=1,H752*10000+ROW(),"")</f>
        <v/>
      </c>
    </row>
    <row r="753">
      <c r="A753" s="1" t="n"/>
      <c r="B753" s="21" t="n"/>
      <c r="C753" s="23" t="n"/>
      <c r="D753" s="22" t="n"/>
      <c r="E753" s="24" t="n"/>
      <c r="F753" s="25" t="n"/>
      <c r="G753" s="18">
        <f>IF(AND(C753="",D753=""),"",IF(NOT(ISNUMBER(B753)),"Needs a date",IF(NOT(ISNUMBER(D753)),"Needs the amount",IF(C753="","Needs an envelope",IF(COUNTIF(Envelopes!$B$6:$B$21,C753)=0,"Not on Envelopes",IF(F753="",IF(D753=0,"Needs the amount",""),IF(COUNTIF(Envelopes!$B$6:$B$21,F753)=0,"Moved to: not on Envelopes",IF(D753&lt;=0,"A move needs an amount",IF(F753=C753,"Moved to the same envelope","")))))))))</f>
        <v/>
      </c>
      <c r="H753" s="1">
        <f>IF(ISNUMBER(B753),INT(B753),0)</f>
        <v/>
      </c>
      <c r="I753">
        <f>IF(AND(H753&gt;0,ISNUMBER(D753),COUNTIF(Envelopes!$B$6:$B$21,C753)&gt;0,F753=""),1,0)</f>
        <v/>
      </c>
      <c r="J753">
        <f>IF(AND(H753&gt;0,ISNUMBER(D753),COUNTIF(Envelopes!$B$6:$B$21,C753)&gt;0,F753&lt;&gt;"",COUNTIF(Envelopes!$B$6:$B$21,F753)&gt;0),1,0)</f>
        <v/>
      </c>
      <c r="K753">
        <f>IF(I753=1,H753*10000+ROW(),"")</f>
        <v/>
      </c>
    </row>
    <row r="754">
      <c r="A754" s="1" t="n"/>
      <c r="B754" s="21" t="n"/>
      <c r="C754" s="23" t="n"/>
      <c r="D754" s="22" t="n"/>
      <c r="E754" s="24" t="n"/>
      <c r="F754" s="25" t="n"/>
      <c r="G754" s="18">
        <f>IF(AND(C754="",D754=""),"",IF(NOT(ISNUMBER(B754)),"Needs a date",IF(NOT(ISNUMBER(D754)),"Needs the amount",IF(C754="","Needs an envelope",IF(COUNTIF(Envelopes!$B$6:$B$21,C754)=0,"Not on Envelopes",IF(F754="",IF(D754=0,"Needs the amount",""),IF(COUNTIF(Envelopes!$B$6:$B$21,F754)=0,"Moved to: not on Envelopes",IF(D754&lt;=0,"A move needs an amount",IF(F754=C754,"Moved to the same envelope","")))))))))</f>
        <v/>
      </c>
      <c r="H754" s="1">
        <f>IF(ISNUMBER(B754),INT(B754),0)</f>
        <v/>
      </c>
      <c r="I754">
        <f>IF(AND(H754&gt;0,ISNUMBER(D754),COUNTIF(Envelopes!$B$6:$B$21,C754)&gt;0,F754=""),1,0)</f>
        <v/>
      </c>
      <c r="J754">
        <f>IF(AND(H754&gt;0,ISNUMBER(D754),COUNTIF(Envelopes!$B$6:$B$21,C754)&gt;0,F754&lt;&gt;"",COUNTIF(Envelopes!$B$6:$B$21,F754)&gt;0),1,0)</f>
        <v/>
      </c>
      <c r="K754">
        <f>IF(I754=1,H754*10000+ROW(),"")</f>
        <v/>
      </c>
    </row>
    <row r="755">
      <c r="A755" s="1" t="n"/>
      <c r="B755" s="21" t="n"/>
      <c r="C755" s="23" t="n"/>
      <c r="D755" s="22" t="n"/>
      <c r="E755" s="24" t="n"/>
      <c r="F755" s="25" t="n"/>
      <c r="G755" s="18">
        <f>IF(AND(C755="",D755=""),"",IF(NOT(ISNUMBER(B755)),"Needs a date",IF(NOT(ISNUMBER(D755)),"Needs the amount",IF(C755="","Needs an envelope",IF(COUNTIF(Envelopes!$B$6:$B$21,C755)=0,"Not on Envelopes",IF(F755="",IF(D755=0,"Needs the amount",""),IF(COUNTIF(Envelopes!$B$6:$B$21,F755)=0,"Moved to: not on Envelopes",IF(D755&lt;=0,"A move needs an amount",IF(F755=C755,"Moved to the same envelope","")))))))))</f>
        <v/>
      </c>
      <c r="H755" s="1">
        <f>IF(ISNUMBER(B755),INT(B755),0)</f>
        <v/>
      </c>
      <c r="I755">
        <f>IF(AND(H755&gt;0,ISNUMBER(D755),COUNTIF(Envelopes!$B$6:$B$21,C755)&gt;0,F755=""),1,0)</f>
        <v/>
      </c>
      <c r="J755">
        <f>IF(AND(H755&gt;0,ISNUMBER(D755),COUNTIF(Envelopes!$B$6:$B$21,C755)&gt;0,F755&lt;&gt;"",COUNTIF(Envelopes!$B$6:$B$21,F755)&gt;0),1,0)</f>
        <v/>
      </c>
      <c r="K755">
        <f>IF(I755=1,H755*10000+ROW(),"")</f>
        <v/>
      </c>
    </row>
    <row r="756">
      <c r="A756" s="1" t="n"/>
      <c r="B756" s="21" t="n"/>
      <c r="C756" s="23" t="n"/>
      <c r="D756" s="22" t="n"/>
      <c r="E756" s="24" t="n"/>
      <c r="F756" s="25" t="n"/>
      <c r="G756" s="18">
        <f>IF(AND(C756="",D756=""),"",IF(NOT(ISNUMBER(B756)),"Needs a date",IF(NOT(ISNUMBER(D756)),"Needs the amount",IF(C756="","Needs an envelope",IF(COUNTIF(Envelopes!$B$6:$B$21,C756)=0,"Not on Envelopes",IF(F756="",IF(D756=0,"Needs the amount",""),IF(COUNTIF(Envelopes!$B$6:$B$21,F756)=0,"Moved to: not on Envelopes",IF(D756&lt;=0,"A move needs an amount",IF(F756=C756,"Moved to the same envelope","")))))))))</f>
        <v/>
      </c>
      <c r="H756" s="1">
        <f>IF(ISNUMBER(B756),INT(B756),0)</f>
        <v/>
      </c>
      <c r="I756">
        <f>IF(AND(H756&gt;0,ISNUMBER(D756),COUNTIF(Envelopes!$B$6:$B$21,C756)&gt;0,F756=""),1,0)</f>
        <v/>
      </c>
      <c r="J756">
        <f>IF(AND(H756&gt;0,ISNUMBER(D756),COUNTIF(Envelopes!$B$6:$B$21,C756)&gt;0,F756&lt;&gt;"",COUNTIF(Envelopes!$B$6:$B$21,F756)&gt;0),1,0)</f>
        <v/>
      </c>
      <c r="K756">
        <f>IF(I756=1,H756*10000+ROW(),"")</f>
        <v/>
      </c>
    </row>
    <row r="757">
      <c r="A757" s="1" t="n"/>
      <c r="B757" s="21" t="n"/>
      <c r="C757" s="23" t="n"/>
      <c r="D757" s="22" t="n"/>
      <c r="E757" s="24" t="n"/>
      <c r="F757" s="25" t="n"/>
      <c r="G757" s="18">
        <f>IF(AND(C757="",D757=""),"",IF(NOT(ISNUMBER(B757)),"Needs a date",IF(NOT(ISNUMBER(D757)),"Needs the amount",IF(C757="","Needs an envelope",IF(COUNTIF(Envelopes!$B$6:$B$21,C757)=0,"Not on Envelopes",IF(F757="",IF(D757=0,"Needs the amount",""),IF(COUNTIF(Envelopes!$B$6:$B$21,F757)=0,"Moved to: not on Envelopes",IF(D757&lt;=0,"A move needs an amount",IF(F757=C757,"Moved to the same envelope","")))))))))</f>
        <v/>
      </c>
      <c r="H757" s="1">
        <f>IF(ISNUMBER(B757),INT(B757),0)</f>
        <v/>
      </c>
      <c r="I757">
        <f>IF(AND(H757&gt;0,ISNUMBER(D757),COUNTIF(Envelopes!$B$6:$B$21,C757)&gt;0,F757=""),1,0)</f>
        <v/>
      </c>
      <c r="J757">
        <f>IF(AND(H757&gt;0,ISNUMBER(D757),COUNTIF(Envelopes!$B$6:$B$21,C757)&gt;0,F757&lt;&gt;"",COUNTIF(Envelopes!$B$6:$B$21,F757)&gt;0),1,0)</f>
        <v/>
      </c>
      <c r="K757">
        <f>IF(I757=1,H757*10000+ROW(),"")</f>
        <v/>
      </c>
    </row>
    <row r="758">
      <c r="A758" s="1" t="n"/>
      <c r="B758" s="21" t="n"/>
      <c r="C758" s="23" t="n"/>
      <c r="D758" s="22" t="n"/>
      <c r="E758" s="24" t="n"/>
      <c r="F758" s="25" t="n"/>
      <c r="G758" s="18">
        <f>IF(AND(C758="",D758=""),"",IF(NOT(ISNUMBER(B758)),"Needs a date",IF(NOT(ISNUMBER(D758)),"Needs the amount",IF(C758="","Needs an envelope",IF(COUNTIF(Envelopes!$B$6:$B$21,C758)=0,"Not on Envelopes",IF(F758="",IF(D758=0,"Needs the amount",""),IF(COUNTIF(Envelopes!$B$6:$B$21,F758)=0,"Moved to: not on Envelopes",IF(D758&lt;=0,"A move needs an amount",IF(F758=C758,"Moved to the same envelope","")))))))))</f>
        <v/>
      </c>
      <c r="H758" s="1">
        <f>IF(ISNUMBER(B758),INT(B758),0)</f>
        <v/>
      </c>
      <c r="I758">
        <f>IF(AND(H758&gt;0,ISNUMBER(D758),COUNTIF(Envelopes!$B$6:$B$21,C758)&gt;0,F758=""),1,0)</f>
        <v/>
      </c>
      <c r="J758">
        <f>IF(AND(H758&gt;0,ISNUMBER(D758),COUNTIF(Envelopes!$B$6:$B$21,C758)&gt;0,F758&lt;&gt;"",COUNTIF(Envelopes!$B$6:$B$21,F758)&gt;0),1,0)</f>
        <v/>
      </c>
      <c r="K758">
        <f>IF(I758=1,H758*10000+ROW(),"")</f>
        <v/>
      </c>
    </row>
    <row r="759">
      <c r="A759" s="1" t="n"/>
      <c r="B759" s="21" t="n"/>
      <c r="C759" s="23" t="n"/>
      <c r="D759" s="22" t="n"/>
      <c r="E759" s="24" t="n"/>
      <c r="F759" s="25" t="n"/>
      <c r="G759" s="18">
        <f>IF(AND(C759="",D759=""),"",IF(NOT(ISNUMBER(B759)),"Needs a date",IF(NOT(ISNUMBER(D759)),"Needs the amount",IF(C759="","Needs an envelope",IF(COUNTIF(Envelopes!$B$6:$B$21,C759)=0,"Not on Envelopes",IF(F759="",IF(D759=0,"Needs the amount",""),IF(COUNTIF(Envelopes!$B$6:$B$21,F759)=0,"Moved to: not on Envelopes",IF(D759&lt;=0,"A move needs an amount",IF(F759=C759,"Moved to the same envelope","")))))))))</f>
        <v/>
      </c>
      <c r="H759" s="1">
        <f>IF(ISNUMBER(B759),INT(B759),0)</f>
        <v/>
      </c>
      <c r="I759">
        <f>IF(AND(H759&gt;0,ISNUMBER(D759),COUNTIF(Envelopes!$B$6:$B$21,C759)&gt;0,F759=""),1,0)</f>
        <v/>
      </c>
      <c r="J759">
        <f>IF(AND(H759&gt;0,ISNUMBER(D759),COUNTIF(Envelopes!$B$6:$B$21,C759)&gt;0,F759&lt;&gt;"",COUNTIF(Envelopes!$B$6:$B$21,F759)&gt;0),1,0)</f>
        <v/>
      </c>
      <c r="K759">
        <f>IF(I759=1,H759*10000+ROW(),"")</f>
        <v/>
      </c>
    </row>
    <row r="760">
      <c r="A760" s="1" t="n"/>
      <c r="B760" s="21" t="n"/>
      <c r="C760" s="23" t="n"/>
      <c r="D760" s="22" t="n"/>
      <c r="E760" s="24" t="n"/>
      <c r="F760" s="25" t="n"/>
      <c r="G760" s="18">
        <f>IF(AND(C760="",D760=""),"",IF(NOT(ISNUMBER(B760)),"Needs a date",IF(NOT(ISNUMBER(D760)),"Needs the amount",IF(C760="","Needs an envelope",IF(COUNTIF(Envelopes!$B$6:$B$21,C760)=0,"Not on Envelopes",IF(F760="",IF(D760=0,"Needs the amount",""),IF(COUNTIF(Envelopes!$B$6:$B$21,F760)=0,"Moved to: not on Envelopes",IF(D760&lt;=0,"A move needs an amount",IF(F760=C760,"Moved to the same envelope","")))))))))</f>
        <v/>
      </c>
      <c r="H760" s="1">
        <f>IF(ISNUMBER(B760),INT(B760),0)</f>
        <v/>
      </c>
      <c r="I760">
        <f>IF(AND(H760&gt;0,ISNUMBER(D760),COUNTIF(Envelopes!$B$6:$B$21,C760)&gt;0,F760=""),1,0)</f>
        <v/>
      </c>
      <c r="J760">
        <f>IF(AND(H760&gt;0,ISNUMBER(D760),COUNTIF(Envelopes!$B$6:$B$21,C760)&gt;0,F760&lt;&gt;"",COUNTIF(Envelopes!$B$6:$B$21,F760)&gt;0),1,0)</f>
        <v/>
      </c>
      <c r="K760">
        <f>IF(I760=1,H760*10000+ROW(),"")</f>
        <v/>
      </c>
    </row>
    <row r="761">
      <c r="A761" s="1" t="n"/>
      <c r="B761" s="21" t="n"/>
      <c r="C761" s="23" t="n"/>
      <c r="D761" s="22" t="n"/>
      <c r="E761" s="24" t="n"/>
      <c r="F761" s="25" t="n"/>
      <c r="G761" s="18">
        <f>IF(AND(C761="",D761=""),"",IF(NOT(ISNUMBER(B761)),"Needs a date",IF(NOT(ISNUMBER(D761)),"Needs the amount",IF(C761="","Needs an envelope",IF(COUNTIF(Envelopes!$B$6:$B$21,C761)=0,"Not on Envelopes",IF(F761="",IF(D761=0,"Needs the amount",""),IF(COUNTIF(Envelopes!$B$6:$B$21,F761)=0,"Moved to: not on Envelopes",IF(D761&lt;=0,"A move needs an amount",IF(F761=C761,"Moved to the same envelope","")))))))))</f>
        <v/>
      </c>
      <c r="H761" s="1">
        <f>IF(ISNUMBER(B761),INT(B761),0)</f>
        <v/>
      </c>
      <c r="I761">
        <f>IF(AND(H761&gt;0,ISNUMBER(D761),COUNTIF(Envelopes!$B$6:$B$21,C761)&gt;0,F761=""),1,0)</f>
        <v/>
      </c>
      <c r="J761">
        <f>IF(AND(H761&gt;0,ISNUMBER(D761),COUNTIF(Envelopes!$B$6:$B$21,C761)&gt;0,F761&lt;&gt;"",COUNTIF(Envelopes!$B$6:$B$21,F761)&gt;0),1,0)</f>
        <v/>
      </c>
      <c r="K761">
        <f>IF(I761=1,H761*10000+ROW(),"")</f>
        <v/>
      </c>
    </row>
    <row r="762">
      <c r="A762" s="1" t="n"/>
      <c r="B762" s="21" t="n"/>
      <c r="C762" s="23" t="n"/>
      <c r="D762" s="22" t="n"/>
      <c r="E762" s="24" t="n"/>
      <c r="F762" s="25" t="n"/>
      <c r="G762" s="18">
        <f>IF(AND(C762="",D762=""),"",IF(NOT(ISNUMBER(B762)),"Needs a date",IF(NOT(ISNUMBER(D762)),"Needs the amount",IF(C762="","Needs an envelope",IF(COUNTIF(Envelopes!$B$6:$B$21,C762)=0,"Not on Envelopes",IF(F762="",IF(D762=0,"Needs the amount",""),IF(COUNTIF(Envelopes!$B$6:$B$21,F762)=0,"Moved to: not on Envelopes",IF(D762&lt;=0,"A move needs an amount",IF(F762=C762,"Moved to the same envelope","")))))))))</f>
        <v/>
      </c>
      <c r="H762" s="1">
        <f>IF(ISNUMBER(B762),INT(B762),0)</f>
        <v/>
      </c>
      <c r="I762">
        <f>IF(AND(H762&gt;0,ISNUMBER(D762),COUNTIF(Envelopes!$B$6:$B$21,C762)&gt;0,F762=""),1,0)</f>
        <v/>
      </c>
      <c r="J762">
        <f>IF(AND(H762&gt;0,ISNUMBER(D762),COUNTIF(Envelopes!$B$6:$B$21,C762)&gt;0,F762&lt;&gt;"",COUNTIF(Envelopes!$B$6:$B$21,F762)&gt;0),1,0)</f>
        <v/>
      </c>
      <c r="K762">
        <f>IF(I762=1,H762*10000+ROW(),"")</f>
        <v/>
      </c>
    </row>
    <row r="763">
      <c r="A763" s="1" t="n"/>
      <c r="B763" s="21" t="n"/>
      <c r="C763" s="23" t="n"/>
      <c r="D763" s="22" t="n"/>
      <c r="E763" s="24" t="n"/>
      <c r="F763" s="25" t="n"/>
      <c r="G763" s="18">
        <f>IF(AND(C763="",D763=""),"",IF(NOT(ISNUMBER(B763)),"Needs a date",IF(NOT(ISNUMBER(D763)),"Needs the amount",IF(C763="","Needs an envelope",IF(COUNTIF(Envelopes!$B$6:$B$21,C763)=0,"Not on Envelopes",IF(F763="",IF(D763=0,"Needs the amount",""),IF(COUNTIF(Envelopes!$B$6:$B$21,F763)=0,"Moved to: not on Envelopes",IF(D763&lt;=0,"A move needs an amount",IF(F763=C763,"Moved to the same envelope","")))))))))</f>
        <v/>
      </c>
      <c r="H763" s="1">
        <f>IF(ISNUMBER(B763),INT(B763),0)</f>
        <v/>
      </c>
      <c r="I763">
        <f>IF(AND(H763&gt;0,ISNUMBER(D763),COUNTIF(Envelopes!$B$6:$B$21,C763)&gt;0,F763=""),1,0)</f>
        <v/>
      </c>
      <c r="J763">
        <f>IF(AND(H763&gt;0,ISNUMBER(D763),COUNTIF(Envelopes!$B$6:$B$21,C763)&gt;0,F763&lt;&gt;"",COUNTIF(Envelopes!$B$6:$B$21,F763)&gt;0),1,0)</f>
        <v/>
      </c>
      <c r="K763">
        <f>IF(I763=1,H763*10000+ROW(),"")</f>
        <v/>
      </c>
    </row>
    <row r="764">
      <c r="A764" s="1" t="n"/>
      <c r="B764" s="21" t="n"/>
      <c r="C764" s="23" t="n"/>
      <c r="D764" s="22" t="n"/>
      <c r="E764" s="24" t="n"/>
      <c r="F764" s="25" t="n"/>
      <c r="G764" s="18">
        <f>IF(AND(C764="",D764=""),"",IF(NOT(ISNUMBER(B764)),"Needs a date",IF(NOT(ISNUMBER(D764)),"Needs the amount",IF(C764="","Needs an envelope",IF(COUNTIF(Envelopes!$B$6:$B$21,C764)=0,"Not on Envelopes",IF(F764="",IF(D764=0,"Needs the amount",""),IF(COUNTIF(Envelopes!$B$6:$B$21,F764)=0,"Moved to: not on Envelopes",IF(D764&lt;=0,"A move needs an amount",IF(F764=C764,"Moved to the same envelope","")))))))))</f>
        <v/>
      </c>
      <c r="H764" s="1">
        <f>IF(ISNUMBER(B764),INT(B764),0)</f>
        <v/>
      </c>
      <c r="I764">
        <f>IF(AND(H764&gt;0,ISNUMBER(D764),COUNTIF(Envelopes!$B$6:$B$21,C764)&gt;0,F764=""),1,0)</f>
        <v/>
      </c>
      <c r="J764">
        <f>IF(AND(H764&gt;0,ISNUMBER(D764),COUNTIF(Envelopes!$B$6:$B$21,C764)&gt;0,F764&lt;&gt;"",COUNTIF(Envelopes!$B$6:$B$21,F764)&gt;0),1,0)</f>
        <v/>
      </c>
      <c r="K764">
        <f>IF(I764=1,H764*10000+ROW(),"")</f>
        <v/>
      </c>
    </row>
    <row r="765">
      <c r="A765" s="1" t="n"/>
      <c r="B765" s="21" t="n"/>
      <c r="C765" s="23" t="n"/>
      <c r="D765" s="22" t="n"/>
      <c r="E765" s="24" t="n"/>
      <c r="F765" s="25" t="n"/>
      <c r="G765" s="18">
        <f>IF(AND(C765="",D765=""),"",IF(NOT(ISNUMBER(B765)),"Needs a date",IF(NOT(ISNUMBER(D765)),"Needs the amount",IF(C765="","Needs an envelope",IF(COUNTIF(Envelopes!$B$6:$B$21,C765)=0,"Not on Envelopes",IF(F765="",IF(D765=0,"Needs the amount",""),IF(COUNTIF(Envelopes!$B$6:$B$21,F765)=0,"Moved to: not on Envelopes",IF(D765&lt;=0,"A move needs an amount",IF(F765=C765,"Moved to the same envelope","")))))))))</f>
        <v/>
      </c>
      <c r="H765" s="1">
        <f>IF(ISNUMBER(B765),INT(B765),0)</f>
        <v/>
      </c>
      <c r="I765">
        <f>IF(AND(H765&gt;0,ISNUMBER(D765),COUNTIF(Envelopes!$B$6:$B$21,C765)&gt;0,F765=""),1,0)</f>
        <v/>
      </c>
      <c r="J765">
        <f>IF(AND(H765&gt;0,ISNUMBER(D765),COUNTIF(Envelopes!$B$6:$B$21,C765)&gt;0,F765&lt;&gt;"",COUNTIF(Envelopes!$B$6:$B$21,F765)&gt;0),1,0)</f>
        <v/>
      </c>
      <c r="K765">
        <f>IF(I765=1,H765*10000+ROW(),"")</f>
        <v/>
      </c>
    </row>
    <row r="766">
      <c r="A766" s="1" t="n"/>
      <c r="B766" s="21" t="n"/>
      <c r="C766" s="23" t="n"/>
      <c r="D766" s="22" t="n"/>
      <c r="E766" s="24" t="n"/>
      <c r="F766" s="25" t="n"/>
      <c r="G766" s="18">
        <f>IF(AND(C766="",D766=""),"",IF(NOT(ISNUMBER(B766)),"Needs a date",IF(NOT(ISNUMBER(D766)),"Needs the amount",IF(C766="","Needs an envelope",IF(COUNTIF(Envelopes!$B$6:$B$21,C766)=0,"Not on Envelopes",IF(F766="",IF(D766=0,"Needs the amount",""),IF(COUNTIF(Envelopes!$B$6:$B$21,F766)=0,"Moved to: not on Envelopes",IF(D766&lt;=0,"A move needs an amount",IF(F766=C766,"Moved to the same envelope","")))))))))</f>
        <v/>
      </c>
      <c r="H766" s="1">
        <f>IF(ISNUMBER(B766),INT(B766),0)</f>
        <v/>
      </c>
      <c r="I766">
        <f>IF(AND(H766&gt;0,ISNUMBER(D766),COUNTIF(Envelopes!$B$6:$B$21,C766)&gt;0,F766=""),1,0)</f>
        <v/>
      </c>
      <c r="J766">
        <f>IF(AND(H766&gt;0,ISNUMBER(D766),COUNTIF(Envelopes!$B$6:$B$21,C766)&gt;0,F766&lt;&gt;"",COUNTIF(Envelopes!$B$6:$B$21,F766)&gt;0),1,0)</f>
        <v/>
      </c>
      <c r="K766">
        <f>IF(I766=1,H766*10000+ROW(),"")</f>
        <v/>
      </c>
    </row>
    <row r="767">
      <c r="A767" s="1" t="n"/>
      <c r="B767" s="21" t="n"/>
      <c r="C767" s="23" t="n"/>
      <c r="D767" s="22" t="n"/>
      <c r="E767" s="24" t="n"/>
      <c r="F767" s="25" t="n"/>
      <c r="G767" s="18">
        <f>IF(AND(C767="",D767=""),"",IF(NOT(ISNUMBER(B767)),"Needs a date",IF(NOT(ISNUMBER(D767)),"Needs the amount",IF(C767="","Needs an envelope",IF(COUNTIF(Envelopes!$B$6:$B$21,C767)=0,"Not on Envelopes",IF(F767="",IF(D767=0,"Needs the amount",""),IF(COUNTIF(Envelopes!$B$6:$B$21,F767)=0,"Moved to: not on Envelopes",IF(D767&lt;=0,"A move needs an amount",IF(F767=C767,"Moved to the same envelope","")))))))))</f>
        <v/>
      </c>
      <c r="H767" s="1">
        <f>IF(ISNUMBER(B767),INT(B767),0)</f>
        <v/>
      </c>
      <c r="I767">
        <f>IF(AND(H767&gt;0,ISNUMBER(D767),COUNTIF(Envelopes!$B$6:$B$21,C767)&gt;0,F767=""),1,0)</f>
        <v/>
      </c>
      <c r="J767">
        <f>IF(AND(H767&gt;0,ISNUMBER(D767),COUNTIF(Envelopes!$B$6:$B$21,C767)&gt;0,F767&lt;&gt;"",COUNTIF(Envelopes!$B$6:$B$21,F767)&gt;0),1,0)</f>
        <v/>
      </c>
      <c r="K767">
        <f>IF(I767=1,H767*10000+ROW(),"")</f>
        <v/>
      </c>
    </row>
    <row r="768">
      <c r="A768" s="1" t="n"/>
      <c r="B768" s="21" t="n"/>
      <c r="C768" s="23" t="n"/>
      <c r="D768" s="22" t="n"/>
      <c r="E768" s="24" t="n"/>
      <c r="F768" s="25" t="n"/>
      <c r="G768" s="18">
        <f>IF(AND(C768="",D768=""),"",IF(NOT(ISNUMBER(B768)),"Needs a date",IF(NOT(ISNUMBER(D768)),"Needs the amount",IF(C768="","Needs an envelope",IF(COUNTIF(Envelopes!$B$6:$B$21,C768)=0,"Not on Envelopes",IF(F768="",IF(D768=0,"Needs the amount",""),IF(COUNTIF(Envelopes!$B$6:$B$21,F768)=0,"Moved to: not on Envelopes",IF(D768&lt;=0,"A move needs an amount",IF(F768=C768,"Moved to the same envelope","")))))))))</f>
        <v/>
      </c>
      <c r="H768" s="1">
        <f>IF(ISNUMBER(B768),INT(B768),0)</f>
        <v/>
      </c>
      <c r="I768">
        <f>IF(AND(H768&gt;0,ISNUMBER(D768),COUNTIF(Envelopes!$B$6:$B$21,C768)&gt;0,F768=""),1,0)</f>
        <v/>
      </c>
      <c r="J768">
        <f>IF(AND(H768&gt;0,ISNUMBER(D768),COUNTIF(Envelopes!$B$6:$B$21,C768)&gt;0,F768&lt;&gt;"",COUNTIF(Envelopes!$B$6:$B$21,F768)&gt;0),1,0)</f>
        <v/>
      </c>
      <c r="K768">
        <f>IF(I768=1,H768*10000+ROW(),"")</f>
        <v/>
      </c>
    </row>
    <row r="769">
      <c r="A769" s="1" t="n"/>
      <c r="B769" s="21" t="n"/>
      <c r="C769" s="23" t="n"/>
      <c r="D769" s="22" t="n"/>
      <c r="E769" s="24" t="n"/>
      <c r="F769" s="25" t="n"/>
      <c r="G769" s="18">
        <f>IF(AND(C769="",D769=""),"",IF(NOT(ISNUMBER(B769)),"Needs a date",IF(NOT(ISNUMBER(D769)),"Needs the amount",IF(C769="","Needs an envelope",IF(COUNTIF(Envelopes!$B$6:$B$21,C769)=0,"Not on Envelopes",IF(F769="",IF(D769=0,"Needs the amount",""),IF(COUNTIF(Envelopes!$B$6:$B$21,F769)=0,"Moved to: not on Envelopes",IF(D769&lt;=0,"A move needs an amount",IF(F769=C769,"Moved to the same envelope","")))))))))</f>
        <v/>
      </c>
      <c r="H769" s="1">
        <f>IF(ISNUMBER(B769),INT(B769),0)</f>
        <v/>
      </c>
      <c r="I769">
        <f>IF(AND(H769&gt;0,ISNUMBER(D769),COUNTIF(Envelopes!$B$6:$B$21,C769)&gt;0,F769=""),1,0)</f>
        <v/>
      </c>
      <c r="J769">
        <f>IF(AND(H769&gt;0,ISNUMBER(D769),COUNTIF(Envelopes!$B$6:$B$21,C769)&gt;0,F769&lt;&gt;"",COUNTIF(Envelopes!$B$6:$B$21,F769)&gt;0),1,0)</f>
        <v/>
      </c>
      <c r="K769">
        <f>IF(I769=1,H769*10000+ROW(),"")</f>
        <v/>
      </c>
    </row>
    <row r="770">
      <c r="A770" s="1" t="n"/>
      <c r="B770" s="21" t="n"/>
      <c r="C770" s="23" t="n"/>
      <c r="D770" s="22" t="n"/>
      <c r="E770" s="24" t="n"/>
      <c r="F770" s="25" t="n"/>
      <c r="G770" s="18">
        <f>IF(AND(C770="",D770=""),"",IF(NOT(ISNUMBER(B770)),"Needs a date",IF(NOT(ISNUMBER(D770)),"Needs the amount",IF(C770="","Needs an envelope",IF(COUNTIF(Envelopes!$B$6:$B$21,C770)=0,"Not on Envelopes",IF(F770="",IF(D770=0,"Needs the amount",""),IF(COUNTIF(Envelopes!$B$6:$B$21,F770)=0,"Moved to: not on Envelopes",IF(D770&lt;=0,"A move needs an amount",IF(F770=C770,"Moved to the same envelope","")))))))))</f>
        <v/>
      </c>
      <c r="H770" s="1">
        <f>IF(ISNUMBER(B770),INT(B770),0)</f>
        <v/>
      </c>
      <c r="I770">
        <f>IF(AND(H770&gt;0,ISNUMBER(D770),COUNTIF(Envelopes!$B$6:$B$21,C770)&gt;0,F770=""),1,0)</f>
        <v/>
      </c>
      <c r="J770">
        <f>IF(AND(H770&gt;0,ISNUMBER(D770),COUNTIF(Envelopes!$B$6:$B$21,C770)&gt;0,F770&lt;&gt;"",COUNTIF(Envelopes!$B$6:$B$21,F770)&gt;0),1,0)</f>
        <v/>
      </c>
      <c r="K770">
        <f>IF(I770=1,H770*10000+ROW(),"")</f>
        <v/>
      </c>
    </row>
    <row r="771">
      <c r="A771" s="1" t="n"/>
      <c r="B771" s="21" t="n"/>
      <c r="C771" s="23" t="n"/>
      <c r="D771" s="22" t="n"/>
      <c r="E771" s="24" t="n"/>
      <c r="F771" s="25" t="n"/>
      <c r="G771" s="18">
        <f>IF(AND(C771="",D771=""),"",IF(NOT(ISNUMBER(B771)),"Needs a date",IF(NOT(ISNUMBER(D771)),"Needs the amount",IF(C771="","Needs an envelope",IF(COUNTIF(Envelopes!$B$6:$B$21,C771)=0,"Not on Envelopes",IF(F771="",IF(D771=0,"Needs the amount",""),IF(COUNTIF(Envelopes!$B$6:$B$21,F771)=0,"Moved to: not on Envelopes",IF(D771&lt;=0,"A move needs an amount",IF(F771=C771,"Moved to the same envelope","")))))))))</f>
        <v/>
      </c>
      <c r="H771" s="1">
        <f>IF(ISNUMBER(B771),INT(B771),0)</f>
        <v/>
      </c>
      <c r="I771">
        <f>IF(AND(H771&gt;0,ISNUMBER(D771),COUNTIF(Envelopes!$B$6:$B$21,C771)&gt;0,F771=""),1,0)</f>
        <v/>
      </c>
      <c r="J771">
        <f>IF(AND(H771&gt;0,ISNUMBER(D771),COUNTIF(Envelopes!$B$6:$B$21,C771)&gt;0,F771&lt;&gt;"",COUNTIF(Envelopes!$B$6:$B$21,F771)&gt;0),1,0)</f>
        <v/>
      </c>
      <c r="K771">
        <f>IF(I771=1,H771*10000+ROW(),"")</f>
        <v/>
      </c>
    </row>
    <row r="772">
      <c r="A772" s="1" t="n"/>
      <c r="B772" s="21" t="n"/>
      <c r="C772" s="23" t="n"/>
      <c r="D772" s="22" t="n"/>
      <c r="E772" s="24" t="n"/>
      <c r="F772" s="25" t="n"/>
      <c r="G772" s="18">
        <f>IF(AND(C772="",D772=""),"",IF(NOT(ISNUMBER(B772)),"Needs a date",IF(NOT(ISNUMBER(D772)),"Needs the amount",IF(C772="","Needs an envelope",IF(COUNTIF(Envelopes!$B$6:$B$21,C772)=0,"Not on Envelopes",IF(F772="",IF(D772=0,"Needs the amount",""),IF(COUNTIF(Envelopes!$B$6:$B$21,F772)=0,"Moved to: not on Envelopes",IF(D772&lt;=0,"A move needs an amount",IF(F772=C772,"Moved to the same envelope","")))))))))</f>
        <v/>
      </c>
      <c r="H772" s="1">
        <f>IF(ISNUMBER(B772),INT(B772),0)</f>
        <v/>
      </c>
      <c r="I772">
        <f>IF(AND(H772&gt;0,ISNUMBER(D772),COUNTIF(Envelopes!$B$6:$B$21,C772)&gt;0,F772=""),1,0)</f>
        <v/>
      </c>
      <c r="J772">
        <f>IF(AND(H772&gt;0,ISNUMBER(D772),COUNTIF(Envelopes!$B$6:$B$21,C772)&gt;0,F772&lt;&gt;"",COUNTIF(Envelopes!$B$6:$B$21,F772)&gt;0),1,0)</f>
        <v/>
      </c>
      <c r="K772">
        <f>IF(I772=1,H772*10000+ROW(),"")</f>
        <v/>
      </c>
    </row>
    <row r="773">
      <c r="A773" s="1" t="n"/>
      <c r="B773" s="21" t="n"/>
      <c r="C773" s="23" t="n"/>
      <c r="D773" s="22" t="n"/>
      <c r="E773" s="24" t="n"/>
      <c r="F773" s="25" t="n"/>
      <c r="G773" s="18">
        <f>IF(AND(C773="",D773=""),"",IF(NOT(ISNUMBER(B773)),"Needs a date",IF(NOT(ISNUMBER(D773)),"Needs the amount",IF(C773="","Needs an envelope",IF(COUNTIF(Envelopes!$B$6:$B$21,C773)=0,"Not on Envelopes",IF(F773="",IF(D773=0,"Needs the amount",""),IF(COUNTIF(Envelopes!$B$6:$B$21,F773)=0,"Moved to: not on Envelopes",IF(D773&lt;=0,"A move needs an amount",IF(F773=C773,"Moved to the same envelope","")))))))))</f>
        <v/>
      </c>
      <c r="H773" s="1">
        <f>IF(ISNUMBER(B773),INT(B773),0)</f>
        <v/>
      </c>
      <c r="I773">
        <f>IF(AND(H773&gt;0,ISNUMBER(D773),COUNTIF(Envelopes!$B$6:$B$21,C773)&gt;0,F773=""),1,0)</f>
        <v/>
      </c>
      <c r="J773">
        <f>IF(AND(H773&gt;0,ISNUMBER(D773),COUNTIF(Envelopes!$B$6:$B$21,C773)&gt;0,F773&lt;&gt;"",COUNTIF(Envelopes!$B$6:$B$21,F773)&gt;0),1,0)</f>
        <v/>
      </c>
      <c r="K773">
        <f>IF(I773=1,H773*10000+ROW(),"")</f>
        <v/>
      </c>
    </row>
    <row r="774">
      <c r="A774" s="1" t="n"/>
      <c r="B774" s="21" t="n"/>
      <c r="C774" s="23" t="n"/>
      <c r="D774" s="22" t="n"/>
      <c r="E774" s="24" t="n"/>
      <c r="F774" s="25" t="n"/>
      <c r="G774" s="18">
        <f>IF(AND(C774="",D774=""),"",IF(NOT(ISNUMBER(B774)),"Needs a date",IF(NOT(ISNUMBER(D774)),"Needs the amount",IF(C774="","Needs an envelope",IF(COUNTIF(Envelopes!$B$6:$B$21,C774)=0,"Not on Envelopes",IF(F774="",IF(D774=0,"Needs the amount",""),IF(COUNTIF(Envelopes!$B$6:$B$21,F774)=0,"Moved to: not on Envelopes",IF(D774&lt;=0,"A move needs an amount",IF(F774=C774,"Moved to the same envelope","")))))))))</f>
        <v/>
      </c>
      <c r="H774" s="1">
        <f>IF(ISNUMBER(B774),INT(B774),0)</f>
        <v/>
      </c>
      <c r="I774">
        <f>IF(AND(H774&gt;0,ISNUMBER(D774),COUNTIF(Envelopes!$B$6:$B$21,C774)&gt;0,F774=""),1,0)</f>
        <v/>
      </c>
      <c r="J774">
        <f>IF(AND(H774&gt;0,ISNUMBER(D774),COUNTIF(Envelopes!$B$6:$B$21,C774)&gt;0,F774&lt;&gt;"",COUNTIF(Envelopes!$B$6:$B$21,F774)&gt;0),1,0)</f>
        <v/>
      </c>
      <c r="K774">
        <f>IF(I774=1,H774*10000+ROW(),"")</f>
        <v/>
      </c>
    </row>
    <row r="775">
      <c r="A775" s="1" t="n"/>
      <c r="B775" s="21" t="n"/>
      <c r="C775" s="23" t="n"/>
      <c r="D775" s="22" t="n"/>
      <c r="E775" s="24" t="n"/>
      <c r="F775" s="25" t="n"/>
      <c r="G775" s="18">
        <f>IF(AND(C775="",D775=""),"",IF(NOT(ISNUMBER(B775)),"Needs a date",IF(NOT(ISNUMBER(D775)),"Needs the amount",IF(C775="","Needs an envelope",IF(COUNTIF(Envelopes!$B$6:$B$21,C775)=0,"Not on Envelopes",IF(F775="",IF(D775=0,"Needs the amount",""),IF(COUNTIF(Envelopes!$B$6:$B$21,F775)=0,"Moved to: not on Envelopes",IF(D775&lt;=0,"A move needs an amount",IF(F775=C775,"Moved to the same envelope","")))))))))</f>
        <v/>
      </c>
      <c r="H775" s="1">
        <f>IF(ISNUMBER(B775),INT(B775),0)</f>
        <v/>
      </c>
      <c r="I775">
        <f>IF(AND(H775&gt;0,ISNUMBER(D775),COUNTIF(Envelopes!$B$6:$B$21,C775)&gt;0,F775=""),1,0)</f>
        <v/>
      </c>
      <c r="J775">
        <f>IF(AND(H775&gt;0,ISNUMBER(D775),COUNTIF(Envelopes!$B$6:$B$21,C775)&gt;0,F775&lt;&gt;"",COUNTIF(Envelopes!$B$6:$B$21,F775)&gt;0),1,0)</f>
        <v/>
      </c>
      <c r="K775">
        <f>IF(I775=1,H775*10000+ROW(),"")</f>
        <v/>
      </c>
    </row>
    <row r="776">
      <c r="A776" s="1" t="n"/>
      <c r="B776" s="21" t="n"/>
      <c r="C776" s="23" t="n"/>
      <c r="D776" s="22" t="n"/>
      <c r="E776" s="24" t="n"/>
      <c r="F776" s="25" t="n"/>
      <c r="G776" s="18">
        <f>IF(AND(C776="",D776=""),"",IF(NOT(ISNUMBER(B776)),"Needs a date",IF(NOT(ISNUMBER(D776)),"Needs the amount",IF(C776="","Needs an envelope",IF(COUNTIF(Envelopes!$B$6:$B$21,C776)=0,"Not on Envelopes",IF(F776="",IF(D776=0,"Needs the amount",""),IF(COUNTIF(Envelopes!$B$6:$B$21,F776)=0,"Moved to: not on Envelopes",IF(D776&lt;=0,"A move needs an amount",IF(F776=C776,"Moved to the same envelope","")))))))))</f>
        <v/>
      </c>
      <c r="H776" s="1">
        <f>IF(ISNUMBER(B776),INT(B776),0)</f>
        <v/>
      </c>
      <c r="I776">
        <f>IF(AND(H776&gt;0,ISNUMBER(D776),COUNTIF(Envelopes!$B$6:$B$21,C776)&gt;0,F776=""),1,0)</f>
        <v/>
      </c>
      <c r="J776">
        <f>IF(AND(H776&gt;0,ISNUMBER(D776),COUNTIF(Envelopes!$B$6:$B$21,C776)&gt;0,F776&lt;&gt;"",COUNTIF(Envelopes!$B$6:$B$21,F776)&gt;0),1,0)</f>
        <v/>
      </c>
      <c r="K776">
        <f>IF(I776=1,H776*10000+ROW(),"")</f>
        <v/>
      </c>
    </row>
    <row r="777">
      <c r="A777" s="1" t="n"/>
      <c r="B777" s="21" t="n"/>
      <c r="C777" s="23" t="n"/>
      <c r="D777" s="22" t="n"/>
      <c r="E777" s="24" t="n"/>
      <c r="F777" s="25" t="n"/>
      <c r="G777" s="18">
        <f>IF(AND(C777="",D777=""),"",IF(NOT(ISNUMBER(B777)),"Needs a date",IF(NOT(ISNUMBER(D777)),"Needs the amount",IF(C777="","Needs an envelope",IF(COUNTIF(Envelopes!$B$6:$B$21,C777)=0,"Not on Envelopes",IF(F777="",IF(D777=0,"Needs the amount",""),IF(COUNTIF(Envelopes!$B$6:$B$21,F777)=0,"Moved to: not on Envelopes",IF(D777&lt;=0,"A move needs an amount",IF(F777=C777,"Moved to the same envelope","")))))))))</f>
        <v/>
      </c>
      <c r="H777" s="1">
        <f>IF(ISNUMBER(B777),INT(B777),0)</f>
        <v/>
      </c>
      <c r="I777">
        <f>IF(AND(H777&gt;0,ISNUMBER(D777),COUNTIF(Envelopes!$B$6:$B$21,C777)&gt;0,F777=""),1,0)</f>
        <v/>
      </c>
      <c r="J777">
        <f>IF(AND(H777&gt;0,ISNUMBER(D777),COUNTIF(Envelopes!$B$6:$B$21,C777)&gt;0,F777&lt;&gt;"",COUNTIF(Envelopes!$B$6:$B$21,F777)&gt;0),1,0)</f>
        <v/>
      </c>
      <c r="K777">
        <f>IF(I777=1,H777*10000+ROW(),"")</f>
        <v/>
      </c>
    </row>
    <row r="778">
      <c r="A778" s="1" t="n"/>
      <c r="B778" s="21" t="n"/>
      <c r="C778" s="23" t="n"/>
      <c r="D778" s="22" t="n"/>
      <c r="E778" s="24" t="n"/>
      <c r="F778" s="25" t="n"/>
      <c r="G778" s="18">
        <f>IF(AND(C778="",D778=""),"",IF(NOT(ISNUMBER(B778)),"Needs a date",IF(NOT(ISNUMBER(D778)),"Needs the amount",IF(C778="","Needs an envelope",IF(COUNTIF(Envelopes!$B$6:$B$21,C778)=0,"Not on Envelopes",IF(F778="",IF(D778=0,"Needs the amount",""),IF(COUNTIF(Envelopes!$B$6:$B$21,F778)=0,"Moved to: not on Envelopes",IF(D778&lt;=0,"A move needs an amount",IF(F778=C778,"Moved to the same envelope","")))))))))</f>
        <v/>
      </c>
      <c r="H778" s="1">
        <f>IF(ISNUMBER(B778),INT(B778),0)</f>
        <v/>
      </c>
      <c r="I778">
        <f>IF(AND(H778&gt;0,ISNUMBER(D778),COUNTIF(Envelopes!$B$6:$B$21,C778)&gt;0,F778=""),1,0)</f>
        <v/>
      </c>
      <c r="J778">
        <f>IF(AND(H778&gt;0,ISNUMBER(D778),COUNTIF(Envelopes!$B$6:$B$21,C778)&gt;0,F778&lt;&gt;"",COUNTIF(Envelopes!$B$6:$B$21,F778)&gt;0),1,0)</f>
        <v/>
      </c>
      <c r="K778">
        <f>IF(I778=1,H778*10000+ROW(),"")</f>
        <v/>
      </c>
    </row>
    <row r="779">
      <c r="A779" s="1" t="n"/>
      <c r="B779" s="21" t="n"/>
      <c r="C779" s="23" t="n"/>
      <c r="D779" s="22" t="n"/>
      <c r="E779" s="24" t="n"/>
      <c r="F779" s="25" t="n"/>
      <c r="G779" s="18">
        <f>IF(AND(C779="",D779=""),"",IF(NOT(ISNUMBER(B779)),"Needs a date",IF(NOT(ISNUMBER(D779)),"Needs the amount",IF(C779="","Needs an envelope",IF(COUNTIF(Envelopes!$B$6:$B$21,C779)=0,"Not on Envelopes",IF(F779="",IF(D779=0,"Needs the amount",""),IF(COUNTIF(Envelopes!$B$6:$B$21,F779)=0,"Moved to: not on Envelopes",IF(D779&lt;=0,"A move needs an amount",IF(F779=C779,"Moved to the same envelope","")))))))))</f>
        <v/>
      </c>
      <c r="H779" s="1">
        <f>IF(ISNUMBER(B779),INT(B779),0)</f>
        <v/>
      </c>
      <c r="I779">
        <f>IF(AND(H779&gt;0,ISNUMBER(D779),COUNTIF(Envelopes!$B$6:$B$21,C779)&gt;0,F779=""),1,0)</f>
        <v/>
      </c>
      <c r="J779">
        <f>IF(AND(H779&gt;0,ISNUMBER(D779),COUNTIF(Envelopes!$B$6:$B$21,C779)&gt;0,F779&lt;&gt;"",COUNTIF(Envelopes!$B$6:$B$21,F779)&gt;0),1,0)</f>
        <v/>
      </c>
      <c r="K779">
        <f>IF(I779=1,H779*10000+ROW(),"")</f>
        <v/>
      </c>
    </row>
    <row r="780">
      <c r="A780" s="1" t="n"/>
      <c r="B780" s="21" t="n"/>
      <c r="C780" s="23" t="n"/>
      <c r="D780" s="22" t="n"/>
      <c r="E780" s="24" t="n"/>
      <c r="F780" s="25" t="n"/>
      <c r="G780" s="18">
        <f>IF(AND(C780="",D780=""),"",IF(NOT(ISNUMBER(B780)),"Needs a date",IF(NOT(ISNUMBER(D780)),"Needs the amount",IF(C780="","Needs an envelope",IF(COUNTIF(Envelopes!$B$6:$B$21,C780)=0,"Not on Envelopes",IF(F780="",IF(D780=0,"Needs the amount",""),IF(COUNTIF(Envelopes!$B$6:$B$21,F780)=0,"Moved to: not on Envelopes",IF(D780&lt;=0,"A move needs an amount",IF(F780=C780,"Moved to the same envelope","")))))))))</f>
        <v/>
      </c>
      <c r="H780" s="1">
        <f>IF(ISNUMBER(B780),INT(B780),0)</f>
        <v/>
      </c>
      <c r="I780">
        <f>IF(AND(H780&gt;0,ISNUMBER(D780),COUNTIF(Envelopes!$B$6:$B$21,C780)&gt;0,F780=""),1,0)</f>
        <v/>
      </c>
      <c r="J780">
        <f>IF(AND(H780&gt;0,ISNUMBER(D780),COUNTIF(Envelopes!$B$6:$B$21,C780)&gt;0,F780&lt;&gt;"",COUNTIF(Envelopes!$B$6:$B$21,F780)&gt;0),1,0)</f>
        <v/>
      </c>
      <c r="K780">
        <f>IF(I780=1,H780*10000+ROW(),"")</f>
        <v/>
      </c>
    </row>
    <row r="781">
      <c r="A781" s="1" t="n"/>
      <c r="B781" s="21" t="n"/>
      <c r="C781" s="23" t="n"/>
      <c r="D781" s="22" t="n"/>
      <c r="E781" s="24" t="n"/>
      <c r="F781" s="25" t="n"/>
      <c r="G781" s="18">
        <f>IF(AND(C781="",D781=""),"",IF(NOT(ISNUMBER(B781)),"Needs a date",IF(NOT(ISNUMBER(D781)),"Needs the amount",IF(C781="","Needs an envelope",IF(COUNTIF(Envelopes!$B$6:$B$21,C781)=0,"Not on Envelopes",IF(F781="",IF(D781=0,"Needs the amount",""),IF(COUNTIF(Envelopes!$B$6:$B$21,F781)=0,"Moved to: not on Envelopes",IF(D781&lt;=0,"A move needs an amount",IF(F781=C781,"Moved to the same envelope","")))))))))</f>
        <v/>
      </c>
      <c r="H781" s="1">
        <f>IF(ISNUMBER(B781),INT(B781),0)</f>
        <v/>
      </c>
      <c r="I781">
        <f>IF(AND(H781&gt;0,ISNUMBER(D781),COUNTIF(Envelopes!$B$6:$B$21,C781)&gt;0,F781=""),1,0)</f>
        <v/>
      </c>
      <c r="J781">
        <f>IF(AND(H781&gt;0,ISNUMBER(D781),COUNTIF(Envelopes!$B$6:$B$21,C781)&gt;0,F781&lt;&gt;"",COUNTIF(Envelopes!$B$6:$B$21,F781)&gt;0),1,0)</f>
        <v/>
      </c>
      <c r="K781">
        <f>IF(I781=1,H781*10000+ROW(),"")</f>
        <v/>
      </c>
    </row>
    <row r="782">
      <c r="A782" s="1" t="n"/>
      <c r="B782" s="21" t="n"/>
      <c r="C782" s="23" t="n"/>
      <c r="D782" s="22" t="n"/>
      <c r="E782" s="24" t="n"/>
      <c r="F782" s="25" t="n"/>
      <c r="G782" s="18">
        <f>IF(AND(C782="",D782=""),"",IF(NOT(ISNUMBER(B782)),"Needs a date",IF(NOT(ISNUMBER(D782)),"Needs the amount",IF(C782="","Needs an envelope",IF(COUNTIF(Envelopes!$B$6:$B$21,C782)=0,"Not on Envelopes",IF(F782="",IF(D782=0,"Needs the amount",""),IF(COUNTIF(Envelopes!$B$6:$B$21,F782)=0,"Moved to: not on Envelopes",IF(D782&lt;=0,"A move needs an amount",IF(F782=C782,"Moved to the same envelope","")))))))))</f>
        <v/>
      </c>
      <c r="H782" s="1">
        <f>IF(ISNUMBER(B782),INT(B782),0)</f>
        <v/>
      </c>
      <c r="I782">
        <f>IF(AND(H782&gt;0,ISNUMBER(D782),COUNTIF(Envelopes!$B$6:$B$21,C782)&gt;0,F782=""),1,0)</f>
        <v/>
      </c>
      <c r="J782">
        <f>IF(AND(H782&gt;0,ISNUMBER(D782),COUNTIF(Envelopes!$B$6:$B$21,C782)&gt;0,F782&lt;&gt;"",COUNTIF(Envelopes!$B$6:$B$21,F782)&gt;0),1,0)</f>
        <v/>
      </c>
      <c r="K782">
        <f>IF(I782=1,H782*10000+ROW(),"")</f>
        <v/>
      </c>
    </row>
    <row r="783">
      <c r="A783" s="1" t="n"/>
      <c r="B783" s="21" t="n"/>
      <c r="C783" s="23" t="n"/>
      <c r="D783" s="22" t="n"/>
      <c r="E783" s="24" t="n"/>
      <c r="F783" s="25" t="n"/>
      <c r="G783" s="18">
        <f>IF(AND(C783="",D783=""),"",IF(NOT(ISNUMBER(B783)),"Needs a date",IF(NOT(ISNUMBER(D783)),"Needs the amount",IF(C783="","Needs an envelope",IF(COUNTIF(Envelopes!$B$6:$B$21,C783)=0,"Not on Envelopes",IF(F783="",IF(D783=0,"Needs the amount",""),IF(COUNTIF(Envelopes!$B$6:$B$21,F783)=0,"Moved to: not on Envelopes",IF(D783&lt;=0,"A move needs an amount",IF(F783=C783,"Moved to the same envelope","")))))))))</f>
        <v/>
      </c>
      <c r="H783" s="1">
        <f>IF(ISNUMBER(B783),INT(B783),0)</f>
        <v/>
      </c>
      <c r="I783">
        <f>IF(AND(H783&gt;0,ISNUMBER(D783),COUNTIF(Envelopes!$B$6:$B$21,C783)&gt;0,F783=""),1,0)</f>
        <v/>
      </c>
      <c r="J783">
        <f>IF(AND(H783&gt;0,ISNUMBER(D783),COUNTIF(Envelopes!$B$6:$B$21,C783)&gt;0,F783&lt;&gt;"",COUNTIF(Envelopes!$B$6:$B$21,F783)&gt;0),1,0)</f>
        <v/>
      </c>
      <c r="K783">
        <f>IF(I783=1,H783*10000+ROW(),"")</f>
        <v/>
      </c>
    </row>
    <row r="784">
      <c r="A784" s="1" t="n"/>
      <c r="B784" s="21" t="n"/>
      <c r="C784" s="23" t="n"/>
      <c r="D784" s="22" t="n"/>
      <c r="E784" s="24" t="n"/>
      <c r="F784" s="25" t="n"/>
      <c r="G784" s="18">
        <f>IF(AND(C784="",D784=""),"",IF(NOT(ISNUMBER(B784)),"Needs a date",IF(NOT(ISNUMBER(D784)),"Needs the amount",IF(C784="","Needs an envelope",IF(COUNTIF(Envelopes!$B$6:$B$21,C784)=0,"Not on Envelopes",IF(F784="",IF(D784=0,"Needs the amount",""),IF(COUNTIF(Envelopes!$B$6:$B$21,F784)=0,"Moved to: not on Envelopes",IF(D784&lt;=0,"A move needs an amount",IF(F784=C784,"Moved to the same envelope","")))))))))</f>
        <v/>
      </c>
      <c r="H784" s="1">
        <f>IF(ISNUMBER(B784),INT(B784),0)</f>
        <v/>
      </c>
      <c r="I784">
        <f>IF(AND(H784&gt;0,ISNUMBER(D784),COUNTIF(Envelopes!$B$6:$B$21,C784)&gt;0,F784=""),1,0)</f>
        <v/>
      </c>
      <c r="J784">
        <f>IF(AND(H784&gt;0,ISNUMBER(D784),COUNTIF(Envelopes!$B$6:$B$21,C784)&gt;0,F784&lt;&gt;"",COUNTIF(Envelopes!$B$6:$B$21,F784)&gt;0),1,0)</f>
        <v/>
      </c>
      <c r="K784">
        <f>IF(I784=1,H784*10000+ROW(),"")</f>
        <v/>
      </c>
    </row>
    <row r="785">
      <c r="A785" s="1" t="n"/>
      <c r="B785" s="21" t="n"/>
      <c r="C785" s="23" t="n"/>
      <c r="D785" s="22" t="n"/>
      <c r="E785" s="24" t="n"/>
      <c r="F785" s="25" t="n"/>
      <c r="G785" s="18">
        <f>IF(AND(C785="",D785=""),"",IF(NOT(ISNUMBER(B785)),"Needs a date",IF(NOT(ISNUMBER(D785)),"Needs the amount",IF(C785="","Needs an envelope",IF(COUNTIF(Envelopes!$B$6:$B$21,C785)=0,"Not on Envelopes",IF(F785="",IF(D785=0,"Needs the amount",""),IF(COUNTIF(Envelopes!$B$6:$B$21,F785)=0,"Moved to: not on Envelopes",IF(D785&lt;=0,"A move needs an amount",IF(F785=C785,"Moved to the same envelope","")))))))))</f>
        <v/>
      </c>
      <c r="H785" s="1">
        <f>IF(ISNUMBER(B785),INT(B785),0)</f>
        <v/>
      </c>
      <c r="I785">
        <f>IF(AND(H785&gt;0,ISNUMBER(D785),COUNTIF(Envelopes!$B$6:$B$21,C785)&gt;0,F785=""),1,0)</f>
        <v/>
      </c>
      <c r="J785">
        <f>IF(AND(H785&gt;0,ISNUMBER(D785),COUNTIF(Envelopes!$B$6:$B$21,C785)&gt;0,F785&lt;&gt;"",COUNTIF(Envelopes!$B$6:$B$21,F785)&gt;0),1,0)</f>
        <v/>
      </c>
      <c r="K785">
        <f>IF(I785=1,H785*10000+ROW(),"")</f>
        <v/>
      </c>
    </row>
    <row r="786">
      <c r="A786" s="1" t="n"/>
      <c r="B786" s="21" t="n"/>
      <c r="C786" s="23" t="n"/>
      <c r="D786" s="22" t="n"/>
      <c r="E786" s="24" t="n"/>
      <c r="F786" s="25" t="n"/>
      <c r="G786" s="18">
        <f>IF(AND(C786="",D786=""),"",IF(NOT(ISNUMBER(B786)),"Needs a date",IF(NOT(ISNUMBER(D786)),"Needs the amount",IF(C786="","Needs an envelope",IF(COUNTIF(Envelopes!$B$6:$B$21,C786)=0,"Not on Envelopes",IF(F786="",IF(D786=0,"Needs the amount",""),IF(COUNTIF(Envelopes!$B$6:$B$21,F786)=0,"Moved to: not on Envelopes",IF(D786&lt;=0,"A move needs an amount",IF(F786=C786,"Moved to the same envelope","")))))))))</f>
        <v/>
      </c>
      <c r="H786" s="1">
        <f>IF(ISNUMBER(B786),INT(B786),0)</f>
        <v/>
      </c>
      <c r="I786">
        <f>IF(AND(H786&gt;0,ISNUMBER(D786),COUNTIF(Envelopes!$B$6:$B$21,C786)&gt;0,F786=""),1,0)</f>
        <v/>
      </c>
      <c r="J786">
        <f>IF(AND(H786&gt;0,ISNUMBER(D786),COUNTIF(Envelopes!$B$6:$B$21,C786)&gt;0,F786&lt;&gt;"",COUNTIF(Envelopes!$B$6:$B$21,F786)&gt;0),1,0)</f>
        <v/>
      </c>
      <c r="K786">
        <f>IF(I786=1,H786*10000+ROW(),"")</f>
        <v/>
      </c>
    </row>
    <row r="787">
      <c r="A787" s="1" t="n"/>
      <c r="B787" s="21" t="n"/>
      <c r="C787" s="23" t="n"/>
      <c r="D787" s="22" t="n"/>
      <c r="E787" s="24" t="n"/>
      <c r="F787" s="25" t="n"/>
      <c r="G787" s="18">
        <f>IF(AND(C787="",D787=""),"",IF(NOT(ISNUMBER(B787)),"Needs a date",IF(NOT(ISNUMBER(D787)),"Needs the amount",IF(C787="","Needs an envelope",IF(COUNTIF(Envelopes!$B$6:$B$21,C787)=0,"Not on Envelopes",IF(F787="",IF(D787=0,"Needs the amount",""),IF(COUNTIF(Envelopes!$B$6:$B$21,F787)=0,"Moved to: not on Envelopes",IF(D787&lt;=0,"A move needs an amount",IF(F787=C787,"Moved to the same envelope","")))))))))</f>
        <v/>
      </c>
      <c r="H787" s="1">
        <f>IF(ISNUMBER(B787),INT(B787),0)</f>
        <v/>
      </c>
      <c r="I787">
        <f>IF(AND(H787&gt;0,ISNUMBER(D787),COUNTIF(Envelopes!$B$6:$B$21,C787)&gt;0,F787=""),1,0)</f>
        <v/>
      </c>
      <c r="J787">
        <f>IF(AND(H787&gt;0,ISNUMBER(D787),COUNTIF(Envelopes!$B$6:$B$21,C787)&gt;0,F787&lt;&gt;"",COUNTIF(Envelopes!$B$6:$B$21,F787)&gt;0),1,0)</f>
        <v/>
      </c>
      <c r="K787">
        <f>IF(I787=1,H787*10000+ROW(),"")</f>
        <v/>
      </c>
    </row>
    <row r="788">
      <c r="A788" s="1" t="n"/>
      <c r="B788" s="21" t="n"/>
      <c r="C788" s="23" t="n"/>
      <c r="D788" s="22" t="n"/>
      <c r="E788" s="24" t="n"/>
      <c r="F788" s="25" t="n"/>
      <c r="G788" s="18">
        <f>IF(AND(C788="",D788=""),"",IF(NOT(ISNUMBER(B788)),"Needs a date",IF(NOT(ISNUMBER(D788)),"Needs the amount",IF(C788="","Needs an envelope",IF(COUNTIF(Envelopes!$B$6:$B$21,C788)=0,"Not on Envelopes",IF(F788="",IF(D788=0,"Needs the amount",""),IF(COUNTIF(Envelopes!$B$6:$B$21,F788)=0,"Moved to: not on Envelopes",IF(D788&lt;=0,"A move needs an amount",IF(F788=C788,"Moved to the same envelope","")))))))))</f>
        <v/>
      </c>
      <c r="H788" s="1">
        <f>IF(ISNUMBER(B788),INT(B788),0)</f>
        <v/>
      </c>
      <c r="I788">
        <f>IF(AND(H788&gt;0,ISNUMBER(D788),COUNTIF(Envelopes!$B$6:$B$21,C788)&gt;0,F788=""),1,0)</f>
        <v/>
      </c>
      <c r="J788">
        <f>IF(AND(H788&gt;0,ISNUMBER(D788),COUNTIF(Envelopes!$B$6:$B$21,C788)&gt;0,F788&lt;&gt;"",COUNTIF(Envelopes!$B$6:$B$21,F788)&gt;0),1,0)</f>
        <v/>
      </c>
      <c r="K788">
        <f>IF(I788=1,H788*10000+ROW(),"")</f>
        <v/>
      </c>
    </row>
    <row r="789">
      <c r="A789" s="1" t="n"/>
      <c r="B789" s="21" t="n"/>
      <c r="C789" s="23" t="n"/>
      <c r="D789" s="22" t="n"/>
      <c r="E789" s="24" t="n"/>
      <c r="F789" s="25" t="n"/>
      <c r="G789" s="18">
        <f>IF(AND(C789="",D789=""),"",IF(NOT(ISNUMBER(B789)),"Needs a date",IF(NOT(ISNUMBER(D789)),"Needs the amount",IF(C789="","Needs an envelope",IF(COUNTIF(Envelopes!$B$6:$B$21,C789)=0,"Not on Envelopes",IF(F789="",IF(D789=0,"Needs the amount",""),IF(COUNTIF(Envelopes!$B$6:$B$21,F789)=0,"Moved to: not on Envelopes",IF(D789&lt;=0,"A move needs an amount",IF(F789=C789,"Moved to the same envelope","")))))))))</f>
        <v/>
      </c>
      <c r="H789" s="1">
        <f>IF(ISNUMBER(B789),INT(B789),0)</f>
        <v/>
      </c>
      <c r="I789">
        <f>IF(AND(H789&gt;0,ISNUMBER(D789),COUNTIF(Envelopes!$B$6:$B$21,C789)&gt;0,F789=""),1,0)</f>
        <v/>
      </c>
      <c r="J789">
        <f>IF(AND(H789&gt;0,ISNUMBER(D789),COUNTIF(Envelopes!$B$6:$B$21,C789)&gt;0,F789&lt;&gt;"",COUNTIF(Envelopes!$B$6:$B$21,F789)&gt;0),1,0)</f>
        <v/>
      </c>
      <c r="K789">
        <f>IF(I789=1,H789*10000+ROW(),"")</f>
        <v/>
      </c>
    </row>
    <row r="790">
      <c r="A790" s="1" t="n"/>
      <c r="B790" s="21" t="n"/>
      <c r="C790" s="23" t="n"/>
      <c r="D790" s="22" t="n"/>
      <c r="E790" s="24" t="n"/>
      <c r="F790" s="25" t="n"/>
      <c r="G790" s="18">
        <f>IF(AND(C790="",D790=""),"",IF(NOT(ISNUMBER(B790)),"Needs a date",IF(NOT(ISNUMBER(D790)),"Needs the amount",IF(C790="","Needs an envelope",IF(COUNTIF(Envelopes!$B$6:$B$21,C790)=0,"Not on Envelopes",IF(F790="",IF(D790=0,"Needs the amount",""),IF(COUNTIF(Envelopes!$B$6:$B$21,F790)=0,"Moved to: not on Envelopes",IF(D790&lt;=0,"A move needs an amount",IF(F790=C790,"Moved to the same envelope","")))))))))</f>
        <v/>
      </c>
      <c r="H790" s="1">
        <f>IF(ISNUMBER(B790),INT(B790),0)</f>
        <v/>
      </c>
      <c r="I790">
        <f>IF(AND(H790&gt;0,ISNUMBER(D790),COUNTIF(Envelopes!$B$6:$B$21,C790)&gt;0,F790=""),1,0)</f>
        <v/>
      </c>
      <c r="J790">
        <f>IF(AND(H790&gt;0,ISNUMBER(D790),COUNTIF(Envelopes!$B$6:$B$21,C790)&gt;0,F790&lt;&gt;"",COUNTIF(Envelopes!$B$6:$B$21,F790)&gt;0),1,0)</f>
        <v/>
      </c>
      <c r="K790">
        <f>IF(I790=1,H790*10000+ROW(),"")</f>
        <v/>
      </c>
    </row>
    <row r="791">
      <c r="A791" s="1" t="n"/>
      <c r="B791" s="21" t="n"/>
      <c r="C791" s="23" t="n"/>
      <c r="D791" s="22" t="n"/>
      <c r="E791" s="24" t="n"/>
      <c r="F791" s="25" t="n"/>
      <c r="G791" s="18">
        <f>IF(AND(C791="",D791=""),"",IF(NOT(ISNUMBER(B791)),"Needs a date",IF(NOT(ISNUMBER(D791)),"Needs the amount",IF(C791="","Needs an envelope",IF(COUNTIF(Envelopes!$B$6:$B$21,C791)=0,"Not on Envelopes",IF(F791="",IF(D791=0,"Needs the amount",""),IF(COUNTIF(Envelopes!$B$6:$B$21,F791)=0,"Moved to: not on Envelopes",IF(D791&lt;=0,"A move needs an amount",IF(F791=C791,"Moved to the same envelope","")))))))))</f>
        <v/>
      </c>
      <c r="H791" s="1">
        <f>IF(ISNUMBER(B791),INT(B791),0)</f>
        <v/>
      </c>
      <c r="I791">
        <f>IF(AND(H791&gt;0,ISNUMBER(D791),COUNTIF(Envelopes!$B$6:$B$21,C791)&gt;0,F791=""),1,0)</f>
        <v/>
      </c>
      <c r="J791">
        <f>IF(AND(H791&gt;0,ISNUMBER(D791),COUNTIF(Envelopes!$B$6:$B$21,C791)&gt;0,F791&lt;&gt;"",COUNTIF(Envelopes!$B$6:$B$21,F791)&gt;0),1,0)</f>
        <v/>
      </c>
      <c r="K791">
        <f>IF(I791=1,H791*10000+ROW(),"")</f>
        <v/>
      </c>
    </row>
    <row r="792">
      <c r="A792" s="1" t="n"/>
      <c r="B792" s="21" t="n"/>
      <c r="C792" s="23" t="n"/>
      <c r="D792" s="22" t="n"/>
      <c r="E792" s="24" t="n"/>
      <c r="F792" s="25" t="n"/>
      <c r="G792" s="18">
        <f>IF(AND(C792="",D792=""),"",IF(NOT(ISNUMBER(B792)),"Needs a date",IF(NOT(ISNUMBER(D792)),"Needs the amount",IF(C792="","Needs an envelope",IF(COUNTIF(Envelopes!$B$6:$B$21,C792)=0,"Not on Envelopes",IF(F792="",IF(D792=0,"Needs the amount",""),IF(COUNTIF(Envelopes!$B$6:$B$21,F792)=0,"Moved to: not on Envelopes",IF(D792&lt;=0,"A move needs an amount",IF(F792=C792,"Moved to the same envelope","")))))))))</f>
        <v/>
      </c>
      <c r="H792" s="1">
        <f>IF(ISNUMBER(B792),INT(B792),0)</f>
        <v/>
      </c>
      <c r="I792">
        <f>IF(AND(H792&gt;0,ISNUMBER(D792),COUNTIF(Envelopes!$B$6:$B$21,C792)&gt;0,F792=""),1,0)</f>
        <v/>
      </c>
      <c r="J792">
        <f>IF(AND(H792&gt;0,ISNUMBER(D792),COUNTIF(Envelopes!$B$6:$B$21,C792)&gt;0,F792&lt;&gt;"",COUNTIF(Envelopes!$B$6:$B$21,F792)&gt;0),1,0)</f>
        <v/>
      </c>
      <c r="K792">
        <f>IF(I792=1,H792*10000+ROW(),"")</f>
        <v/>
      </c>
    </row>
    <row r="793">
      <c r="A793" s="1" t="n"/>
      <c r="B793" s="21" t="n"/>
      <c r="C793" s="23" t="n"/>
      <c r="D793" s="22" t="n"/>
      <c r="E793" s="24" t="n"/>
      <c r="F793" s="25" t="n"/>
      <c r="G793" s="18">
        <f>IF(AND(C793="",D793=""),"",IF(NOT(ISNUMBER(B793)),"Needs a date",IF(NOT(ISNUMBER(D793)),"Needs the amount",IF(C793="","Needs an envelope",IF(COUNTIF(Envelopes!$B$6:$B$21,C793)=0,"Not on Envelopes",IF(F793="",IF(D793=0,"Needs the amount",""),IF(COUNTIF(Envelopes!$B$6:$B$21,F793)=0,"Moved to: not on Envelopes",IF(D793&lt;=0,"A move needs an amount",IF(F793=C793,"Moved to the same envelope","")))))))))</f>
        <v/>
      </c>
      <c r="H793" s="1">
        <f>IF(ISNUMBER(B793),INT(B793),0)</f>
        <v/>
      </c>
      <c r="I793">
        <f>IF(AND(H793&gt;0,ISNUMBER(D793),COUNTIF(Envelopes!$B$6:$B$21,C793)&gt;0,F793=""),1,0)</f>
        <v/>
      </c>
      <c r="J793">
        <f>IF(AND(H793&gt;0,ISNUMBER(D793),COUNTIF(Envelopes!$B$6:$B$21,C793)&gt;0,F793&lt;&gt;"",COUNTIF(Envelopes!$B$6:$B$21,F793)&gt;0),1,0)</f>
        <v/>
      </c>
      <c r="K793">
        <f>IF(I793=1,H793*10000+ROW(),"")</f>
        <v/>
      </c>
    </row>
    <row r="794">
      <c r="A794" s="1" t="n"/>
      <c r="B794" s="21" t="n"/>
      <c r="C794" s="23" t="n"/>
      <c r="D794" s="22" t="n"/>
      <c r="E794" s="24" t="n"/>
      <c r="F794" s="25" t="n"/>
      <c r="G794" s="18">
        <f>IF(AND(C794="",D794=""),"",IF(NOT(ISNUMBER(B794)),"Needs a date",IF(NOT(ISNUMBER(D794)),"Needs the amount",IF(C794="","Needs an envelope",IF(COUNTIF(Envelopes!$B$6:$B$21,C794)=0,"Not on Envelopes",IF(F794="",IF(D794=0,"Needs the amount",""),IF(COUNTIF(Envelopes!$B$6:$B$21,F794)=0,"Moved to: not on Envelopes",IF(D794&lt;=0,"A move needs an amount",IF(F794=C794,"Moved to the same envelope","")))))))))</f>
        <v/>
      </c>
      <c r="H794" s="1">
        <f>IF(ISNUMBER(B794),INT(B794),0)</f>
        <v/>
      </c>
      <c r="I794">
        <f>IF(AND(H794&gt;0,ISNUMBER(D794),COUNTIF(Envelopes!$B$6:$B$21,C794)&gt;0,F794=""),1,0)</f>
        <v/>
      </c>
      <c r="J794">
        <f>IF(AND(H794&gt;0,ISNUMBER(D794),COUNTIF(Envelopes!$B$6:$B$21,C794)&gt;0,F794&lt;&gt;"",COUNTIF(Envelopes!$B$6:$B$21,F794)&gt;0),1,0)</f>
        <v/>
      </c>
      <c r="K794">
        <f>IF(I794=1,H794*10000+ROW(),"")</f>
        <v/>
      </c>
    </row>
    <row r="795">
      <c r="A795" s="1" t="n"/>
      <c r="B795" s="21" t="n"/>
      <c r="C795" s="23" t="n"/>
      <c r="D795" s="22" t="n"/>
      <c r="E795" s="24" t="n"/>
      <c r="F795" s="25" t="n"/>
      <c r="G795" s="18">
        <f>IF(AND(C795="",D795=""),"",IF(NOT(ISNUMBER(B795)),"Needs a date",IF(NOT(ISNUMBER(D795)),"Needs the amount",IF(C795="","Needs an envelope",IF(COUNTIF(Envelopes!$B$6:$B$21,C795)=0,"Not on Envelopes",IF(F795="",IF(D795=0,"Needs the amount",""),IF(COUNTIF(Envelopes!$B$6:$B$21,F795)=0,"Moved to: not on Envelopes",IF(D795&lt;=0,"A move needs an amount",IF(F795=C795,"Moved to the same envelope","")))))))))</f>
        <v/>
      </c>
      <c r="H795" s="1">
        <f>IF(ISNUMBER(B795),INT(B795),0)</f>
        <v/>
      </c>
      <c r="I795">
        <f>IF(AND(H795&gt;0,ISNUMBER(D795),COUNTIF(Envelopes!$B$6:$B$21,C795)&gt;0,F795=""),1,0)</f>
        <v/>
      </c>
      <c r="J795">
        <f>IF(AND(H795&gt;0,ISNUMBER(D795),COUNTIF(Envelopes!$B$6:$B$21,C795)&gt;0,F795&lt;&gt;"",COUNTIF(Envelopes!$B$6:$B$21,F795)&gt;0),1,0)</f>
        <v/>
      </c>
      <c r="K795">
        <f>IF(I795=1,H795*10000+ROW(),"")</f>
        <v/>
      </c>
    </row>
    <row r="796">
      <c r="A796" s="1" t="n"/>
      <c r="B796" s="21" t="n"/>
      <c r="C796" s="23" t="n"/>
      <c r="D796" s="22" t="n"/>
      <c r="E796" s="24" t="n"/>
      <c r="F796" s="25" t="n"/>
      <c r="G796" s="18">
        <f>IF(AND(C796="",D796=""),"",IF(NOT(ISNUMBER(B796)),"Needs a date",IF(NOT(ISNUMBER(D796)),"Needs the amount",IF(C796="","Needs an envelope",IF(COUNTIF(Envelopes!$B$6:$B$21,C796)=0,"Not on Envelopes",IF(F796="",IF(D796=0,"Needs the amount",""),IF(COUNTIF(Envelopes!$B$6:$B$21,F796)=0,"Moved to: not on Envelopes",IF(D796&lt;=0,"A move needs an amount",IF(F796=C796,"Moved to the same envelope","")))))))))</f>
        <v/>
      </c>
      <c r="H796" s="1">
        <f>IF(ISNUMBER(B796),INT(B796),0)</f>
        <v/>
      </c>
      <c r="I796">
        <f>IF(AND(H796&gt;0,ISNUMBER(D796),COUNTIF(Envelopes!$B$6:$B$21,C796)&gt;0,F796=""),1,0)</f>
        <v/>
      </c>
      <c r="J796">
        <f>IF(AND(H796&gt;0,ISNUMBER(D796),COUNTIF(Envelopes!$B$6:$B$21,C796)&gt;0,F796&lt;&gt;"",COUNTIF(Envelopes!$B$6:$B$21,F796)&gt;0),1,0)</f>
        <v/>
      </c>
      <c r="K796">
        <f>IF(I796=1,H796*10000+ROW(),"")</f>
        <v/>
      </c>
    </row>
    <row r="797">
      <c r="A797" s="1" t="n"/>
      <c r="B797" s="21" t="n"/>
      <c r="C797" s="23" t="n"/>
      <c r="D797" s="22" t="n"/>
      <c r="E797" s="24" t="n"/>
      <c r="F797" s="25" t="n"/>
      <c r="G797" s="18">
        <f>IF(AND(C797="",D797=""),"",IF(NOT(ISNUMBER(B797)),"Needs a date",IF(NOT(ISNUMBER(D797)),"Needs the amount",IF(C797="","Needs an envelope",IF(COUNTIF(Envelopes!$B$6:$B$21,C797)=0,"Not on Envelopes",IF(F797="",IF(D797=0,"Needs the amount",""),IF(COUNTIF(Envelopes!$B$6:$B$21,F797)=0,"Moved to: not on Envelopes",IF(D797&lt;=0,"A move needs an amount",IF(F797=C797,"Moved to the same envelope","")))))))))</f>
        <v/>
      </c>
      <c r="H797" s="1">
        <f>IF(ISNUMBER(B797),INT(B797),0)</f>
        <v/>
      </c>
      <c r="I797">
        <f>IF(AND(H797&gt;0,ISNUMBER(D797),COUNTIF(Envelopes!$B$6:$B$21,C797)&gt;0,F797=""),1,0)</f>
        <v/>
      </c>
      <c r="J797">
        <f>IF(AND(H797&gt;0,ISNUMBER(D797),COUNTIF(Envelopes!$B$6:$B$21,C797)&gt;0,F797&lt;&gt;"",COUNTIF(Envelopes!$B$6:$B$21,F797)&gt;0),1,0)</f>
        <v/>
      </c>
      <c r="K797">
        <f>IF(I797=1,H797*10000+ROW(),"")</f>
        <v/>
      </c>
    </row>
    <row r="798">
      <c r="A798" s="1" t="n"/>
      <c r="B798" s="21" t="n"/>
      <c r="C798" s="23" t="n"/>
      <c r="D798" s="22" t="n"/>
      <c r="E798" s="24" t="n"/>
      <c r="F798" s="25" t="n"/>
      <c r="G798" s="18">
        <f>IF(AND(C798="",D798=""),"",IF(NOT(ISNUMBER(B798)),"Needs a date",IF(NOT(ISNUMBER(D798)),"Needs the amount",IF(C798="","Needs an envelope",IF(COUNTIF(Envelopes!$B$6:$B$21,C798)=0,"Not on Envelopes",IF(F798="",IF(D798=0,"Needs the amount",""),IF(COUNTIF(Envelopes!$B$6:$B$21,F798)=0,"Moved to: not on Envelopes",IF(D798&lt;=0,"A move needs an amount",IF(F798=C798,"Moved to the same envelope","")))))))))</f>
        <v/>
      </c>
      <c r="H798" s="1">
        <f>IF(ISNUMBER(B798),INT(B798),0)</f>
        <v/>
      </c>
      <c r="I798">
        <f>IF(AND(H798&gt;0,ISNUMBER(D798),COUNTIF(Envelopes!$B$6:$B$21,C798)&gt;0,F798=""),1,0)</f>
        <v/>
      </c>
      <c r="J798">
        <f>IF(AND(H798&gt;0,ISNUMBER(D798),COUNTIF(Envelopes!$B$6:$B$21,C798)&gt;0,F798&lt;&gt;"",COUNTIF(Envelopes!$B$6:$B$21,F798)&gt;0),1,0)</f>
        <v/>
      </c>
      <c r="K798">
        <f>IF(I798=1,H798*10000+ROW(),"")</f>
        <v/>
      </c>
    </row>
    <row r="799">
      <c r="A799" s="1" t="n"/>
      <c r="B799" s="21" t="n"/>
      <c r="C799" s="23" t="n"/>
      <c r="D799" s="22" t="n"/>
      <c r="E799" s="24" t="n"/>
      <c r="F799" s="25" t="n"/>
      <c r="G799" s="18">
        <f>IF(AND(C799="",D799=""),"",IF(NOT(ISNUMBER(B799)),"Needs a date",IF(NOT(ISNUMBER(D799)),"Needs the amount",IF(C799="","Needs an envelope",IF(COUNTIF(Envelopes!$B$6:$B$21,C799)=0,"Not on Envelopes",IF(F799="",IF(D799=0,"Needs the amount",""),IF(COUNTIF(Envelopes!$B$6:$B$21,F799)=0,"Moved to: not on Envelopes",IF(D799&lt;=0,"A move needs an amount",IF(F799=C799,"Moved to the same envelope","")))))))))</f>
        <v/>
      </c>
      <c r="H799" s="1">
        <f>IF(ISNUMBER(B799),INT(B799),0)</f>
        <v/>
      </c>
      <c r="I799">
        <f>IF(AND(H799&gt;0,ISNUMBER(D799),COUNTIF(Envelopes!$B$6:$B$21,C799)&gt;0,F799=""),1,0)</f>
        <v/>
      </c>
      <c r="J799">
        <f>IF(AND(H799&gt;0,ISNUMBER(D799),COUNTIF(Envelopes!$B$6:$B$21,C799)&gt;0,F799&lt;&gt;"",COUNTIF(Envelopes!$B$6:$B$21,F799)&gt;0),1,0)</f>
        <v/>
      </c>
      <c r="K799">
        <f>IF(I799=1,H799*10000+ROW(),"")</f>
        <v/>
      </c>
    </row>
    <row r="800">
      <c r="A800" s="1" t="n"/>
      <c r="B800" s="21" t="n"/>
      <c r="C800" s="23" t="n"/>
      <c r="D800" s="22" t="n"/>
      <c r="E800" s="24" t="n"/>
      <c r="F800" s="25" t="n"/>
      <c r="G800" s="18">
        <f>IF(AND(C800="",D800=""),"",IF(NOT(ISNUMBER(B800)),"Needs a date",IF(NOT(ISNUMBER(D800)),"Needs the amount",IF(C800="","Needs an envelope",IF(COUNTIF(Envelopes!$B$6:$B$21,C800)=0,"Not on Envelopes",IF(F800="",IF(D800=0,"Needs the amount",""),IF(COUNTIF(Envelopes!$B$6:$B$21,F800)=0,"Moved to: not on Envelopes",IF(D800&lt;=0,"A move needs an amount",IF(F800=C800,"Moved to the same envelope","")))))))))</f>
        <v/>
      </c>
      <c r="H800" s="1">
        <f>IF(ISNUMBER(B800),INT(B800),0)</f>
        <v/>
      </c>
      <c r="I800">
        <f>IF(AND(H800&gt;0,ISNUMBER(D800),COUNTIF(Envelopes!$B$6:$B$21,C800)&gt;0,F800=""),1,0)</f>
        <v/>
      </c>
      <c r="J800">
        <f>IF(AND(H800&gt;0,ISNUMBER(D800),COUNTIF(Envelopes!$B$6:$B$21,C800)&gt;0,F800&lt;&gt;"",COUNTIF(Envelopes!$B$6:$B$21,F800)&gt;0),1,0)</f>
        <v/>
      </c>
      <c r="K800">
        <f>IF(I800=1,H800*10000+ROW(),"")</f>
        <v/>
      </c>
    </row>
    <row r="801">
      <c r="A801" s="1" t="n"/>
      <c r="B801" s="21" t="n"/>
      <c r="C801" s="23" t="n"/>
      <c r="D801" s="22" t="n"/>
      <c r="E801" s="24" t="n"/>
      <c r="F801" s="25" t="n"/>
      <c r="G801" s="18">
        <f>IF(AND(C801="",D801=""),"",IF(NOT(ISNUMBER(B801)),"Needs a date",IF(NOT(ISNUMBER(D801)),"Needs the amount",IF(C801="","Needs an envelope",IF(COUNTIF(Envelopes!$B$6:$B$21,C801)=0,"Not on Envelopes",IF(F801="",IF(D801=0,"Needs the amount",""),IF(COUNTIF(Envelopes!$B$6:$B$21,F801)=0,"Moved to: not on Envelopes",IF(D801&lt;=0,"A move needs an amount",IF(F801=C801,"Moved to the same envelope","")))))))))</f>
        <v/>
      </c>
      <c r="H801" s="1">
        <f>IF(ISNUMBER(B801),INT(B801),0)</f>
        <v/>
      </c>
      <c r="I801">
        <f>IF(AND(H801&gt;0,ISNUMBER(D801),COUNTIF(Envelopes!$B$6:$B$21,C801)&gt;0,F801=""),1,0)</f>
        <v/>
      </c>
      <c r="J801">
        <f>IF(AND(H801&gt;0,ISNUMBER(D801),COUNTIF(Envelopes!$B$6:$B$21,C801)&gt;0,F801&lt;&gt;"",COUNTIF(Envelopes!$B$6:$B$21,F801)&gt;0),1,0)</f>
        <v/>
      </c>
      <c r="K801">
        <f>IF(I801=1,H801*10000+ROW(),"")</f>
        <v/>
      </c>
    </row>
    <row r="802">
      <c r="A802" s="1" t="n"/>
      <c r="B802" s="21" t="n"/>
      <c r="C802" s="23" t="n"/>
      <c r="D802" s="22" t="n"/>
      <c r="E802" s="24" t="n"/>
      <c r="F802" s="25" t="n"/>
      <c r="G802" s="18">
        <f>IF(AND(C802="",D802=""),"",IF(NOT(ISNUMBER(B802)),"Needs a date",IF(NOT(ISNUMBER(D802)),"Needs the amount",IF(C802="","Needs an envelope",IF(COUNTIF(Envelopes!$B$6:$B$21,C802)=0,"Not on Envelopes",IF(F802="",IF(D802=0,"Needs the amount",""),IF(COUNTIF(Envelopes!$B$6:$B$21,F802)=0,"Moved to: not on Envelopes",IF(D802&lt;=0,"A move needs an amount",IF(F802=C802,"Moved to the same envelope","")))))))))</f>
        <v/>
      </c>
      <c r="H802" s="1">
        <f>IF(ISNUMBER(B802),INT(B802),0)</f>
        <v/>
      </c>
      <c r="I802">
        <f>IF(AND(H802&gt;0,ISNUMBER(D802),COUNTIF(Envelopes!$B$6:$B$21,C802)&gt;0,F802=""),1,0)</f>
        <v/>
      </c>
      <c r="J802">
        <f>IF(AND(H802&gt;0,ISNUMBER(D802),COUNTIF(Envelopes!$B$6:$B$21,C802)&gt;0,F802&lt;&gt;"",COUNTIF(Envelopes!$B$6:$B$21,F802)&gt;0),1,0)</f>
        <v/>
      </c>
      <c r="K802">
        <f>IF(I802=1,H802*10000+ROW(),"")</f>
        <v/>
      </c>
    </row>
    <row r="803">
      <c r="A803" s="1" t="n"/>
      <c r="B803" s="21" t="n"/>
      <c r="C803" s="23" t="n"/>
      <c r="D803" s="22" t="n"/>
      <c r="E803" s="24" t="n"/>
      <c r="F803" s="25" t="n"/>
      <c r="G803" s="18">
        <f>IF(AND(C803="",D803=""),"",IF(NOT(ISNUMBER(B803)),"Needs a date",IF(NOT(ISNUMBER(D803)),"Needs the amount",IF(C803="","Needs an envelope",IF(COUNTIF(Envelopes!$B$6:$B$21,C803)=0,"Not on Envelopes",IF(F803="",IF(D803=0,"Needs the amount",""),IF(COUNTIF(Envelopes!$B$6:$B$21,F803)=0,"Moved to: not on Envelopes",IF(D803&lt;=0,"A move needs an amount",IF(F803=C803,"Moved to the same envelope","")))))))))</f>
        <v/>
      </c>
      <c r="H803" s="1">
        <f>IF(ISNUMBER(B803),INT(B803),0)</f>
        <v/>
      </c>
      <c r="I803">
        <f>IF(AND(H803&gt;0,ISNUMBER(D803),COUNTIF(Envelopes!$B$6:$B$21,C803)&gt;0,F803=""),1,0)</f>
        <v/>
      </c>
      <c r="J803">
        <f>IF(AND(H803&gt;0,ISNUMBER(D803),COUNTIF(Envelopes!$B$6:$B$21,C803)&gt;0,F803&lt;&gt;"",COUNTIF(Envelopes!$B$6:$B$21,F803)&gt;0),1,0)</f>
        <v/>
      </c>
      <c r="K803">
        <f>IF(I803=1,H803*10000+ROW(),"")</f>
        <v/>
      </c>
    </row>
    <row r="804">
      <c r="A804" s="1" t="n"/>
      <c r="B804" s="21" t="n"/>
      <c r="C804" s="23" t="n"/>
      <c r="D804" s="22" t="n"/>
      <c r="E804" s="24" t="n"/>
      <c r="F804" s="25" t="n"/>
      <c r="G804" s="18">
        <f>IF(AND(C804="",D804=""),"",IF(NOT(ISNUMBER(B804)),"Needs a date",IF(NOT(ISNUMBER(D804)),"Needs the amount",IF(C804="","Needs an envelope",IF(COUNTIF(Envelopes!$B$6:$B$21,C804)=0,"Not on Envelopes",IF(F804="",IF(D804=0,"Needs the amount",""),IF(COUNTIF(Envelopes!$B$6:$B$21,F804)=0,"Moved to: not on Envelopes",IF(D804&lt;=0,"A move needs an amount",IF(F804=C804,"Moved to the same envelope","")))))))))</f>
        <v/>
      </c>
      <c r="H804" s="1">
        <f>IF(ISNUMBER(B804),INT(B804),0)</f>
        <v/>
      </c>
      <c r="I804">
        <f>IF(AND(H804&gt;0,ISNUMBER(D804),COUNTIF(Envelopes!$B$6:$B$21,C804)&gt;0,F804=""),1,0)</f>
        <v/>
      </c>
      <c r="J804">
        <f>IF(AND(H804&gt;0,ISNUMBER(D804),COUNTIF(Envelopes!$B$6:$B$21,C804)&gt;0,F804&lt;&gt;"",COUNTIF(Envelopes!$B$6:$B$21,F804)&gt;0),1,0)</f>
        <v/>
      </c>
      <c r="K804">
        <f>IF(I804=1,H804*10000+ROW(),"")</f>
        <v/>
      </c>
    </row>
    <row r="805">
      <c r="A805" s="1" t="n"/>
      <c r="B805" s="21" t="n"/>
      <c r="C805" s="23" t="n"/>
      <c r="D805" s="22" t="n"/>
      <c r="E805" s="24" t="n"/>
      <c r="F805" s="25" t="n"/>
      <c r="G805" s="18">
        <f>IF(AND(C805="",D805=""),"",IF(NOT(ISNUMBER(B805)),"Needs a date",IF(NOT(ISNUMBER(D805)),"Needs the amount",IF(C805="","Needs an envelope",IF(COUNTIF(Envelopes!$B$6:$B$21,C805)=0,"Not on Envelopes",IF(F805="",IF(D805=0,"Needs the amount",""),IF(COUNTIF(Envelopes!$B$6:$B$21,F805)=0,"Moved to: not on Envelopes",IF(D805&lt;=0,"A move needs an amount",IF(F805=C805,"Moved to the same envelope","")))))))))</f>
        <v/>
      </c>
      <c r="H805" s="1">
        <f>IF(ISNUMBER(B805),INT(B805),0)</f>
        <v/>
      </c>
      <c r="I805">
        <f>IF(AND(H805&gt;0,ISNUMBER(D805),COUNTIF(Envelopes!$B$6:$B$21,C805)&gt;0,F805=""),1,0)</f>
        <v/>
      </c>
      <c r="J805">
        <f>IF(AND(H805&gt;0,ISNUMBER(D805),COUNTIF(Envelopes!$B$6:$B$21,C805)&gt;0,F805&lt;&gt;"",COUNTIF(Envelopes!$B$6:$B$21,F805)&gt;0),1,0)</f>
        <v/>
      </c>
      <c r="K805">
        <f>IF(I805=1,H805*10000+ROW(),"")</f>
        <v/>
      </c>
    </row>
    <row r="806">
      <c r="A806" s="1" t="n"/>
      <c r="B806" s="21" t="n"/>
      <c r="C806" s="23" t="n"/>
      <c r="D806" s="22" t="n"/>
      <c r="E806" s="24" t="n"/>
      <c r="F806" s="25" t="n"/>
      <c r="G806" s="18">
        <f>IF(AND(C806="",D806=""),"",IF(NOT(ISNUMBER(B806)),"Needs a date",IF(NOT(ISNUMBER(D806)),"Needs the amount",IF(C806="","Needs an envelope",IF(COUNTIF(Envelopes!$B$6:$B$21,C806)=0,"Not on Envelopes",IF(F806="",IF(D806=0,"Needs the amount",""),IF(COUNTIF(Envelopes!$B$6:$B$21,F806)=0,"Moved to: not on Envelopes",IF(D806&lt;=0,"A move needs an amount",IF(F806=C806,"Moved to the same envelope","")))))))))</f>
        <v/>
      </c>
      <c r="H806" s="1">
        <f>IF(ISNUMBER(B806),INT(B806),0)</f>
        <v/>
      </c>
      <c r="I806">
        <f>IF(AND(H806&gt;0,ISNUMBER(D806),COUNTIF(Envelopes!$B$6:$B$21,C806)&gt;0,F806=""),1,0)</f>
        <v/>
      </c>
      <c r="J806">
        <f>IF(AND(H806&gt;0,ISNUMBER(D806),COUNTIF(Envelopes!$B$6:$B$21,C806)&gt;0,F806&lt;&gt;"",COUNTIF(Envelopes!$B$6:$B$21,F806)&gt;0),1,0)</f>
        <v/>
      </c>
      <c r="K806">
        <f>IF(I806=1,H806*10000+ROW(),"")</f>
        <v/>
      </c>
    </row>
    <row r="807">
      <c r="A807" s="1" t="n"/>
      <c r="B807" s="21" t="n"/>
      <c r="C807" s="23" t="n"/>
      <c r="D807" s="22" t="n"/>
      <c r="E807" s="24" t="n"/>
      <c r="F807" s="25" t="n"/>
      <c r="G807" s="18">
        <f>IF(AND(C807="",D807=""),"",IF(NOT(ISNUMBER(B807)),"Needs a date",IF(NOT(ISNUMBER(D807)),"Needs the amount",IF(C807="","Needs an envelope",IF(COUNTIF(Envelopes!$B$6:$B$21,C807)=0,"Not on Envelopes",IF(F807="",IF(D807=0,"Needs the amount",""),IF(COUNTIF(Envelopes!$B$6:$B$21,F807)=0,"Moved to: not on Envelopes",IF(D807&lt;=0,"A move needs an amount",IF(F807=C807,"Moved to the same envelope","")))))))))</f>
        <v/>
      </c>
      <c r="H807" s="1">
        <f>IF(ISNUMBER(B807),INT(B807),0)</f>
        <v/>
      </c>
      <c r="I807">
        <f>IF(AND(H807&gt;0,ISNUMBER(D807),COUNTIF(Envelopes!$B$6:$B$21,C807)&gt;0,F807=""),1,0)</f>
        <v/>
      </c>
      <c r="J807">
        <f>IF(AND(H807&gt;0,ISNUMBER(D807),COUNTIF(Envelopes!$B$6:$B$21,C807)&gt;0,F807&lt;&gt;"",COUNTIF(Envelopes!$B$6:$B$21,F807)&gt;0),1,0)</f>
        <v/>
      </c>
      <c r="K807">
        <f>IF(I807=1,H807*10000+ROW(),"")</f>
        <v/>
      </c>
    </row>
    <row r="808">
      <c r="A808" s="1" t="n"/>
      <c r="B808" s="21" t="n"/>
      <c r="C808" s="23" t="n"/>
      <c r="D808" s="22" t="n"/>
      <c r="E808" s="24" t="n"/>
      <c r="F808" s="25" t="n"/>
      <c r="G808" s="18">
        <f>IF(AND(C808="",D808=""),"",IF(NOT(ISNUMBER(B808)),"Needs a date",IF(NOT(ISNUMBER(D808)),"Needs the amount",IF(C808="","Needs an envelope",IF(COUNTIF(Envelopes!$B$6:$B$21,C808)=0,"Not on Envelopes",IF(F808="",IF(D808=0,"Needs the amount",""),IF(COUNTIF(Envelopes!$B$6:$B$21,F808)=0,"Moved to: not on Envelopes",IF(D808&lt;=0,"A move needs an amount",IF(F808=C808,"Moved to the same envelope","")))))))))</f>
        <v/>
      </c>
      <c r="H808" s="1">
        <f>IF(ISNUMBER(B808),INT(B808),0)</f>
        <v/>
      </c>
      <c r="I808">
        <f>IF(AND(H808&gt;0,ISNUMBER(D808),COUNTIF(Envelopes!$B$6:$B$21,C808)&gt;0,F808=""),1,0)</f>
        <v/>
      </c>
      <c r="J808">
        <f>IF(AND(H808&gt;0,ISNUMBER(D808),COUNTIF(Envelopes!$B$6:$B$21,C808)&gt;0,F808&lt;&gt;"",COUNTIF(Envelopes!$B$6:$B$21,F808)&gt;0),1,0)</f>
        <v/>
      </c>
      <c r="K808">
        <f>IF(I808=1,H808*10000+ROW(),"")</f>
        <v/>
      </c>
    </row>
    <row r="809">
      <c r="A809" s="1" t="n"/>
      <c r="B809" s="21" t="n"/>
      <c r="C809" s="23" t="n"/>
      <c r="D809" s="22" t="n"/>
      <c r="E809" s="24" t="n"/>
      <c r="F809" s="25" t="n"/>
      <c r="G809" s="18">
        <f>IF(AND(C809="",D809=""),"",IF(NOT(ISNUMBER(B809)),"Needs a date",IF(NOT(ISNUMBER(D809)),"Needs the amount",IF(C809="","Needs an envelope",IF(COUNTIF(Envelopes!$B$6:$B$21,C809)=0,"Not on Envelopes",IF(F809="",IF(D809=0,"Needs the amount",""),IF(COUNTIF(Envelopes!$B$6:$B$21,F809)=0,"Moved to: not on Envelopes",IF(D809&lt;=0,"A move needs an amount",IF(F809=C809,"Moved to the same envelope","")))))))))</f>
        <v/>
      </c>
      <c r="H809" s="1">
        <f>IF(ISNUMBER(B809),INT(B809),0)</f>
        <v/>
      </c>
      <c r="I809">
        <f>IF(AND(H809&gt;0,ISNUMBER(D809),COUNTIF(Envelopes!$B$6:$B$21,C809)&gt;0,F809=""),1,0)</f>
        <v/>
      </c>
      <c r="J809">
        <f>IF(AND(H809&gt;0,ISNUMBER(D809),COUNTIF(Envelopes!$B$6:$B$21,C809)&gt;0,F809&lt;&gt;"",COUNTIF(Envelopes!$B$6:$B$21,F809)&gt;0),1,0)</f>
        <v/>
      </c>
      <c r="K809">
        <f>IF(I809=1,H809*10000+ROW(),"")</f>
        <v/>
      </c>
    </row>
    <row r="810">
      <c r="A810" s="1" t="n"/>
      <c r="B810" s="21" t="n"/>
      <c r="C810" s="23" t="n"/>
      <c r="D810" s="22" t="n"/>
      <c r="E810" s="24" t="n"/>
      <c r="F810" s="25" t="n"/>
      <c r="G810" s="18">
        <f>IF(AND(C810="",D810=""),"",IF(NOT(ISNUMBER(B810)),"Needs a date",IF(NOT(ISNUMBER(D810)),"Needs the amount",IF(C810="","Needs an envelope",IF(COUNTIF(Envelopes!$B$6:$B$21,C810)=0,"Not on Envelopes",IF(F810="",IF(D810=0,"Needs the amount",""),IF(COUNTIF(Envelopes!$B$6:$B$21,F810)=0,"Moved to: not on Envelopes",IF(D810&lt;=0,"A move needs an amount",IF(F810=C810,"Moved to the same envelope","")))))))))</f>
        <v/>
      </c>
      <c r="H810" s="1">
        <f>IF(ISNUMBER(B810),INT(B810),0)</f>
        <v/>
      </c>
      <c r="I810">
        <f>IF(AND(H810&gt;0,ISNUMBER(D810),COUNTIF(Envelopes!$B$6:$B$21,C810)&gt;0,F810=""),1,0)</f>
        <v/>
      </c>
      <c r="J810">
        <f>IF(AND(H810&gt;0,ISNUMBER(D810),COUNTIF(Envelopes!$B$6:$B$21,C810)&gt;0,F810&lt;&gt;"",COUNTIF(Envelopes!$B$6:$B$21,F810)&gt;0),1,0)</f>
        <v/>
      </c>
      <c r="K810">
        <f>IF(I810=1,H810*10000+ROW(),"")</f>
        <v/>
      </c>
    </row>
    <row r="811">
      <c r="A811" s="1" t="n"/>
      <c r="B811" s="21" t="n"/>
      <c r="C811" s="23" t="n"/>
      <c r="D811" s="22" t="n"/>
      <c r="E811" s="24" t="n"/>
      <c r="F811" s="25" t="n"/>
      <c r="G811" s="18">
        <f>IF(AND(C811="",D811=""),"",IF(NOT(ISNUMBER(B811)),"Needs a date",IF(NOT(ISNUMBER(D811)),"Needs the amount",IF(C811="","Needs an envelope",IF(COUNTIF(Envelopes!$B$6:$B$21,C811)=0,"Not on Envelopes",IF(F811="",IF(D811=0,"Needs the amount",""),IF(COUNTIF(Envelopes!$B$6:$B$21,F811)=0,"Moved to: not on Envelopes",IF(D811&lt;=0,"A move needs an amount",IF(F811=C811,"Moved to the same envelope","")))))))))</f>
        <v/>
      </c>
      <c r="H811" s="1">
        <f>IF(ISNUMBER(B811),INT(B811),0)</f>
        <v/>
      </c>
      <c r="I811">
        <f>IF(AND(H811&gt;0,ISNUMBER(D811),COUNTIF(Envelopes!$B$6:$B$21,C811)&gt;0,F811=""),1,0)</f>
        <v/>
      </c>
      <c r="J811">
        <f>IF(AND(H811&gt;0,ISNUMBER(D811),COUNTIF(Envelopes!$B$6:$B$21,C811)&gt;0,F811&lt;&gt;"",COUNTIF(Envelopes!$B$6:$B$21,F811)&gt;0),1,0)</f>
        <v/>
      </c>
      <c r="K811">
        <f>IF(I811=1,H811*10000+ROW(),"")</f>
        <v/>
      </c>
    </row>
    <row r="812">
      <c r="A812" s="1" t="n"/>
      <c r="B812" s="21" t="n"/>
      <c r="C812" s="23" t="n"/>
      <c r="D812" s="22" t="n"/>
      <c r="E812" s="24" t="n"/>
      <c r="F812" s="25" t="n"/>
      <c r="G812" s="18">
        <f>IF(AND(C812="",D812=""),"",IF(NOT(ISNUMBER(B812)),"Needs a date",IF(NOT(ISNUMBER(D812)),"Needs the amount",IF(C812="","Needs an envelope",IF(COUNTIF(Envelopes!$B$6:$B$21,C812)=0,"Not on Envelopes",IF(F812="",IF(D812=0,"Needs the amount",""),IF(COUNTIF(Envelopes!$B$6:$B$21,F812)=0,"Moved to: not on Envelopes",IF(D812&lt;=0,"A move needs an amount",IF(F812=C812,"Moved to the same envelope","")))))))))</f>
        <v/>
      </c>
      <c r="H812" s="1">
        <f>IF(ISNUMBER(B812),INT(B812),0)</f>
        <v/>
      </c>
      <c r="I812">
        <f>IF(AND(H812&gt;0,ISNUMBER(D812),COUNTIF(Envelopes!$B$6:$B$21,C812)&gt;0,F812=""),1,0)</f>
        <v/>
      </c>
      <c r="J812">
        <f>IF(AND(H812&gt;0,ISNUMBER(D812),COUNTIF(Envelopes!$B$6:$B$21,C812)&gt;0,F812&lt;&gt;"",COUNTIF(Envelopes!$B$6:$B$21,F812)&gt;0),1,0)</f>
        <v/>
      </c>
      <c r="K812">
        <f>IF(I812=1,H812*10000+ROW(),"")</f>
        <v/>
      </c>
    </row>
    <row r="813">
      <c r="A813" s="1" t="n"/>
      <c r="B813" s="21" t="n"/>
      <c r="C813" s="23" t="n"/>
      <c r="D813" s="22" t="n"/>
      <c r="E813" s="24" t="n"/>
      <c r="F813" s="25" t="n"/>
      <c r="G813" s="18">
        <f>IF(AND(C813="",D813=""),"",IF(NOT(ISNUMBER(B813)),"Needs a date",IF(NOT(ISNUMBER(D813)),"Needs the amount",IF(C813="","Needs an envelope",IF(COUNTIF(Envelopes!$B$6:$B$21,C813)=0,"Not on Envelopes",IF(F813="",IF(D813=0,"Needs the amount",""),IF(COUNTIF(Envelopes!$B$6:$B$21,F813)=0,"Moved to: not on Envelopes",IF(D813&lt;=0,"A move needs an amount",IF(F813=C813,"Moved to the same envelope","")))))))))</f>
        <v/>
      </c>
      <c r="H813" s="1">
        <f>IF(ISNUMBER(B813),INT(B813),0)</f>
        <v/>
      </c>
      <c r="I813">
        <f>IF(AND(H813&gt;0,ISNUMBER(D813),COUNTIF(Envelopes!$B$6:$B$21,C813)&gt;0,F813=""),1,0)</f>
        <v/>
      </c>
      <c r="J813">
        <f>IF(AND(H813&gt;0,ISNUMBER(D813),COUNTIF(Envelopes!$B$6:$B$21,C813)&gt;0,F813&lt;&gt;"",COUNTIF(Envelopes!$B$6:$B$21,F813)&gt;0),1,0)</f>
        <v/>
      </c>
      <c r="K813">
        <f>IF(I813=1,H813*10000+ROW(),"")</f>
        <v/>
      </c>
    </row>
    <row r="814">
      <c r="A814" s="1" t="n"/>
      <c r="B814" s="21" t="n"/>
      <c r="C814" s="23" t="n"/>
      <c r="D814" s="22" t="n"/>
      <c r="E814" s="24" t="n"/>
      <c r="F814" s="25" t="n"/>
      <c r="G814" s="18">
        <f>IF(AND(C814="",D814=""),"",IF(NOT(ISNUMBER(B814)),"Needs a date",IF(NOT(ISNUMBER(D814)),"Needs the amount",IF(C814="","Needs an envelope",IF(COUNTIF(Envelopes!$B$6:$B$21,C814)=0,"Not on Envelopes",IF(F814="",IF(D814=0,"Needs the amount",""),IF(COUNTIF(Envelopes!$B$6:$B$21,F814)=0,"Moved to: not on Envelopes",IF(D814&lt;=0,"A move needs an amount",IF(F814=C814,"Moved to the same envelope","")))))))))</f>
        <v/>
      </c>
      <c r="H814" s="1">
        <f>IF(ISNUMBER(B814),INT(B814),0)</f>
        <v/>
      </c>
      <c r="I814">
        <f>IF(AND(H814&gt;0,ISNUMBER(D814),COUNTIF(Envelopes!$B$6:$B$21,C814)&gt;0,F814=""),1,0)</f>
        <v/>
      </c>
      <c r="J814">
        <f>IF(AND(H814&gt;0,ISNUMBER(D814),COUNTIF(Envelopes!$B$6:$B$21,C814)&gt;0,F814&lt;&gt;"",COUNTIF(Envelopes!$B$6:$B$21,F814)&gt;0),1,0)</f>
        <v/>
      </c>
      <c r="K814">
        <f>IF(I814=1,H814*10000+ROW(),"")</f>
        <v/>
      </c>
    </row>
    <row r="815">
      <c r="A815" s="1" t="n"/>
      <c r="B815" s="21" t="n"/>
      <c r="C815" s="23" t="n"/>
      <c r="D815" s="22" t="n"/>
      <c r="E815" s="24" t="n"/>
      <c r="F815" s="25" t="n"/>
      <c r="G815" s="18">
        <f>IF(AND(C815="",D815=""),"",IF(NOT(ISNUMBER(B815)),"Needs a date",IF(NOT(ISNUMBER(D815)),"Needs the amount",IF(C815="","Needs an envelope",IF(COUNTIF(Envelopes!$B$6:$B$21,C815)=0,"Not on Envelopes",IF(F815="",IF(D815=0,"Needs the amount",""),IF(COUNTIF(Envelopes!$B$6:$B$21,F815)=0,"Moved to: not on Envelopes",IF(D815&lt;=0,"A move needs an amount",IF(F815=C815,"Moved to the same envelope","")))))))))</f>
        <v/>
      </c>
      <c r="H815" s="1">
        <f>IF(ISNUMBER(B815),INT(B815),0)</f>
        <v/>
      </c>
      <c r="I815">
        <f>IF(AND(H815&gt;0,ISNUMBER(D815),COUNTIF(Envelopes!$B$6:$B$21,C815)&gt;0,F815=""),1,0)</f>
        <v/>
      </c>
      <c r="J815">
        <f>IF(AND(H815&gt;0,ISNUMBER(D815),COUNTIF(Envelopes!$B$6:$B$21,C815)&gt;0,F815&lt;&gt;"",COUNTIF(Envelopes!$B$6:$B$21,F815)&gt;0),1,0)</f>
        <v/>
      </c>
      <c r="K815">
        <f>IF(I815=1,H815*10000+ROW(),"")</f>
        <v/>
      </c>
    </row>
    <row r="816">
      <c r="A816" s="1" t="n"/>
      <c r="B816" s="21" t="n"/>
      <c r="C816" s="23" t="n"/>
      <c r="D816" s="22" t="n"/>
      <c r="E816" s="24" t="n"/>
      <c r="F816" s="25" t="n"/>
      <c r="G816" s="18">
        <f>IF(AND(C816="",D816=""),"",IF(NOT(ISNUMBER(B816)),"Needs a date",IF(NOT(ISNUMBER(D816)),"Needs the amount",IF(C816="","Needs an envelope",IF(COUNTIF(Envelopes!$B$6:$B$21,C816)=0,"Not on Envelopes",IF(F816="",IF(D816=0,"Needs the amount",""),IF(COUNTIF(Envelopes!$B$6:$B$21,F816)=0,"Moved to: not on Envelopes",IF(D816&lt;=0,"A move needs an amount",IF(F816=C816,"Moved to the same envelope","")))))))))</f>
        <v/>
      </c>
      <c r="H816" s="1">
        <f>IF(ISNUMBER(B816),INT(B816),0)</f>
        <v/>
      </c>
      <c r="I816">
        <f>IF(AND(H816&gt;0,ISNUMBER(D816),COUNTIF(Envelopes!$B$6:$B$21,C816)&gt;0,F816=""),1,0)</f>
        <v/>
      </c>
      <c r="J816">
        <f>IF(AND(H816&gt;0,ISNUMBER(D816),COUNTIF(Envelopes!$B$6:$B$21,C816)&gt;0,F816&lt;&gt;"",COUNTIF(Envelopes!$B$6:$B$21,F816)&gt;0),1,0)</f>
        <v/>
      </c>
      <c r="K816">
        <f>IF(I816=1,H816*10000+ROW(),"")</f>
        <v/>
      </c>
    </row>
    <row r="817">
      <c r="A817" s="1" t="n"/>
      <c r="B817" s="21" t="n"/>
      <c r="C817" s="23" t="n"/>
      <c r="D817" s="22" t="n"/>
      <c r="E817" s="24" t="n"/>
      <c r="F817" s="25" t="n"/>
      <c r="G817" s="18">
        <f>IF(AND(C817="",D817=""),"",IF(NOT(ISNUMBER(B817)),"Needs a date",IF(NOT(ISNUMBER(D817)),"Needs the amount",IF(C817="","Needs an envelope",IF(COUNTIF(Envelopes!$B$6:$B$21,C817)=0,"Not on Envelopes",IF(F817="",IF(D817=0,"Needs the amount",""),IF(COUNTIF(Envelopes!$B$6:$B$21,F817)=0,"Moved to: not on Envelopes",IF(D817&lt;=0,"A move needs an amount",IF(F817=C817,"Moved to the same envelope","")))))))))</f>
        <v/>
      </c>
      <c r="H817" s="1">
        <f>IF(ISNUMBER(B817),INT(B817),0)</f>
        <v/>
      </c>
      <c r="I817">
        <f>IF(AND(H817&gt;0,ISNUMBER(D817),COUNTIF(Envelopes!$B$6:$B$21,C817)&gt;0,F817=""),1,0)</f>
        <v/>
      </c>
      <c r="J817">
        <f>IF(AND(H817&gt;0,ISNUMBER(D817),COUNTIF(Envelopes!$B$6:$B$21,C817)&gt;0,F817&lt;&gt;"",COUNTIF(Envelopes!$B$6:$B$21,F817)&gt;0),1,0)</f>
        <v/>
      </c>
      <c r="K817">
        <f>IF(I817=1,H817*10000+ROW(),"")</f>
        <v/>
      </c>
    </row>
    <row r="818">
      <c r="A818" s="1" t="n"/>
      <c r="B818" s="21" t="n"/>
      <c r="C818" s="23" t="n"/>
      <c r="D818" s="22" t="n"/>
      <c r="E818" s="24" t="n"/>
      <c r="F818" s="25" t="n"/>
      <c r="G818" s="18">
        <f>IF(AND(C818="",D818=""),"",IF(NOT(ISNUMBER(B818)),"Needs a date",IF(NOT(ISNUMBER(D818)),"Needs the amount",IF(C818="","Needs an envelope",IF(COUNTIF(Envelopes!$B$6:$B$21,C818)=0,"Not on Envelopes",IF(F818="",IF(D818=0,"Needs the amount",""),IF(COUNTIF(Envelopes!$B$6:$B$21,F818)=0,"Moved to: not on Envelopes",IF(D818&lt;=0,"A move needs an amount",IF(F818=C818,"Moved to the same envelope","")))))))))</f>
        <v/>
      </c>
      <c r="H818" s="1">
        <f>IF(ISNUMBER(B818),INT(B818),0)</f>
        <v/>
      </c>
      <c r="I818">
        <f>IF(AND(H818&gt;0,ISNUMBER(D818),COUNTIF(Envelopes!$B$6:$B$21,C818)&gt;0,F818=""),1,0)</f>
        <v/>
      </c>
      <c r="J818">
        <f>IF(AND(H818&gt;0,ISNUMBER(D818),COUNTIF(Envelopes!$B$6:$B$21,C818)&gt;0,F818&lt;&gt;"",COUNTIF(Envelopes!$B$6:$B$21,F818)&gt;0),1,0)</f>
        <v/>
      </c>
      <c r="K818">
        <f>IF(I818=1,H818*10000+ROW(),"")</f>
        <v/>
      </c>
    </row>
    <row r="819">
      <c r="A819" s="1" t="n"/>
      <c r="B819" s="21" t="n"/>
      <c r="C819" s="23" t="n"/>
      <c r="D819" s="22" t="n"/>
      <c r="E819" s="24" t="n"/>
      <c r="F819" s="25" t="n"/>
      <c r="G819" s="18">
        <f>IF(AND(C819="",D819=""),"",IF(NOT(ISNUMBER(B819)),"Needs a date",IF(NOT(ISNUMBER(D819)),"Needs the amount",IF(C819="","Needs an envelope",IF(COUNTIF(Envelopes!$B$6:$B$21,C819)=0,"Not on Envelopes",IF(F819="",IF(D819=0,"Needs the amount",""),IF(COUNTIF(Envelopes!$B$6:$B$21,F819)=0,"Moved to: not on Envelopes",IF(D819&lt;=0,"A move needs an amount",IF(F819=C819,"Moved to the same envelope","")))))))))</f>
        <v/>
      </c>
      <c r="H819" s="1">
        <f>IF(ISNUMBER(B819),INT(B819),0)</f>
        <v/>
      </c>
      <c r="I819">
        <f>IF(AND(H819&gt;0,ISNUMBER(D819),COUNTIF(Envelopes!$B$6:$B$21,C819)&gt;0,F819=""),1,0)</f>
        <v/>
      </c>
      <c r="J819">
        <f>IF(AND(H819&gt;0,ISNUMBER(D819),COUNTIF(Envelopes!$B$6:$B$21,C819)&gt;0,F819&lt;&gt;"",COUNTIF(Envelopes!$B$6:$B$21,F819)&gt;0),1,0)</f>
        <v/>
      </c>
      <c r="K819">
        <f>IF(I819=1,H819*10000+ROW(),"")</f>
        <v/>
      </c>
    </row>
    <row r="820">
      <c r="A820" s="1" t="n"/>
      <c r="B820" s="21" t="n"/>
      <c r="C820" s="23" t="n"/>
      <c r="D820" s="22" t="n"/>
      <c r="E820" s="24" t="n"/>
      <c r="F820" s="25" t="n"/>
      <c r="G820" s="18">
        <f>IF(AND(C820="",D820=""),"",IF(NOT(ISNUMBER(B820)),"Needs a date",IF(NOT(ISNUMBER(D820)),"Needs the amount",IF(C820="","Needs an envelope",IF(COUNTIF(Envelopes!$B$6:$B$21,C820)=0,"Not on Envelopes",IF(F820="",IF(D820=0,"Needs the amount",""),IF(COUNTIF(Envelopes!$B$6:$B$21,F820)=0,"Moved to: not on Envelopes",IF(D820&lt;=0,"A move needs an amount",IF(F820=C820,"Moved to the same envelope","")))))))))</f>
        <v/>
      </c>
      <c r="H820" s="1">
        <f>IF(ISNUMBER(B820),INT(B820),0)</f>
        <v/>
      </c>
      <c r="I820">
        <f>IF(AND(H820&gt;0,ISNUMBER(D820),COUNTIF(Envelopes!$B$6:$B$21,C820)&gt;0,F820=""),1,0)</f>
        <v/>
      </c>
      <c r="J820">
        <f>IF(AND(H820&gt;0,ISNUMBER(D820),COUNTIF(Envelopes!$B$6:$B$21,C820)&gt;0,F820&lt;&gt;"",COUNTIF(Envelopes!$B$6:$B$21,F820)&gt;0),1,0)</f>
        <v/>
      </c>
      <c r="K820">
        <f>IF(I820=1,H820*10000+ROW(),"")</f>
        <v/>
      </c>
    </row>
    <row r="821">
      <c r="A821" s="1" t="n"/>
      <c r="B821" s="21" t="n"/>
      <c r="C821" s="23" t="n"/>
      <c r="D821" s="22" t="n"/>
      <c r="E821" s="24" t="n"/>
      <c r="F821" s="25" t="n"/>
      <c r="G821" s="18">
        <f>IF(AND(C821="",D821=""),"",IF(NOT(ISNUMBER(B821)),"Needs a date",IF(NOT(ISNUMBER(D821)),"Needs the amount",IF(C821="","Needs an envelope",IF(COUNTIF(Envelopes!$B$6:$B$21,C821)=0,"Not on Envelopes",IF(F821="",IF(D821=0,"Needs the amount",""),IF(COUNTIF(Envelopes!$B$6:$B$21,F821)=0,"Moved to: not on Envelopes",IF(D821&lt;=0,"A move needs an amount",IF(F821=C821,"Moved to the same envelope","")))))))))</f>
        <v/>
      </c>
      <c r="H821" s="1">
        <f>IF(ISNUMBER(B821),INT(B821),0)</f>
        <v/>
      </c>
      <c r="I821">
        <f>IF(AND(H821&gt;0,ISNUMBER(D821),COUNTIF(Envelopes!$B$6:$B$21,C821)&gt;0,F821=""),1,0)</f>
        <v/>
      </c>
      <c r="J821">
        <f>IF(AND(H821&gt;0,ISNUMBER(D821),COUNTIF(Envelopes!$B$6:$B$21,C821)&gt;0,F821&lt;&gt;"",COUNTIF(Envelopes!$B$6:$B$21,F821)&gt;0),1,0)</f>
        <v/>
      </c>
      <c r="K821">
        <f>IF(I821=1,H821*10000+ROW(),"")</f>
        <v/>
      </c>
    </row>
    <row r="822">
      <c r="A822" s="1" t="n"/>
      <c r="B822" s="21" t="n"/>
      <c r="C822" s="23" t="n"/>
      <c r="D822" s="22" t="n"/>
      <c r="E822" s="24" t="n"/>
      <c r="F822" s="25" t="n"/>
      <c r="G822" s="18">
        <f>IF(AND(C822="",D822=""),"",IF(NOT(ISNUMBER(B822)),"Needs a date",IF(NOT(ISNUMBER(D822)),"Needs the amount",IF(C822="","Needs an envelope",IF(COUNTIF(Envelopes!$B$6:$B$21,C822)=0,"Not on Envelopes",IF(F822="",IF(D822=0,"Needs the amount",""),IF(COUNTIF(Envelopes!$B$6:$B$21,F822)=0,"Moved to: not on Envelopes",IF(D822&lt;=0,"A move needs an amount",IF(F822=C822,"Moved to the same envelope","")))))))))</f>
        <v/>
      </c>
      <c r="H822" s="1">
        <f>IF(ISNUMBER(B822),INT(B822),0)</f>
        <v/>
      </c>
      <c r="I822">
        <f>IF(AND(H822&gt;0,ISNUMBER(D822),COUNTIF(Envelopes!$B$6:$B$21,C822)&gt;0,F822=""),1,0)</f>
        <v/>
      </c>
      <c r="J822">
        <f>IF(AND(H822&gt;0,ISNUMBER(D822),COUNTIF(Envelopes!$B$6:$B$21,C822)&gt;0,F822&lt;&gt;"",COUNTIF(Envelopes!$B$6:$B$21,F822)&gt;0),1,0)</f>
        <v/>
      </c>
      <c r="K822">
        <f>IF(I822=1,H822*10000+ROW(),"")</f>
        <v/>
      </c>
    </row>
    <row r="823">
      <c r="A823" s="1" t="n"/>
      <c r="B823" s="21" t="n"/>
      <c r="C823" s="23" t="n"/>
      <c r="D823" s="22" t="n"/>
      <c r="E823" s="24" t="n"/>
      <c r="F823" s="25" t="n"/>
      <c r="G823" s="18">
        <f>IF(AND(C823="",D823=""),"",IF(NOT(ISNUMBER(B823)),"Needs a date",IF(NOT(ISNUMBER(D823)),"Needs the amount",IF(C823="","Needs an envelope",IF(COUNTIF(Envelopes!$B$6:$B$21,C823)=0,"Not on Envelopes",IF(F823="",IF(D823=0,"Needs the amount",""),IF(COUNTIF(Envelopes!$B$6:$B$21,F823)=0,"Moved to: not on Envelopes",IF(D823&lt;=0,"A move needs an amount",IF(F823=C823,"Moved to the same envelope","")))))))))</f>
        <v/>
      </c>
      <c r="H823" s="1">
        <f>IF(ISNUMBER(B823),INT(B823),0)</f>
        <v/>
      </c>
      <c r="I823">
        <f>IF(AND(H823&gt;0,ISNUMBER(D823),COUNTIF(Envelopes!$B$6:$B$21,C823)&gt;0,F823=""),1,0)</f>
        <v/>
      </c>
      <c r="J823">
        <f>IF(AND(H823&gt;0,ISNUMBER(D823),COUNTIF(Envelopes!$B$6:$B$21,C823)&gt;0,F823&lt;&gt;"",COUNTIF(Envelopes!$B$6:$B$21,F823)&gt;0),1,0)</f>
        <v/>
      </c>
      <c r="K823">
        <f>IF(I823=1,H823*10000+ROW(),"")</f>
        <v/>
      </c>
    </row>
    <row r="824">
      <c r="A824" s="1" t="n"/>
      <c r="B824" s="21" t="n"/>
      <c r="C824" s="23" t="n"/>
      <c r="D824" s="22" t="n"/>
      <c r="E824" s="24" t="n"/>
      <c r="F824" s="25" t="n"/>
      <c r="G824" s="18">
        <f>IF(AND(C824="",D824=""),"",IF(NOT(ISNUMBER(B824)),"Needs a date",IF(NOT(ISNUMBER(D824)),"Needs the amount",IF(C824="","Needs an envelope",IF(COUNTIF(Envelopes!$B$6:$B$21,C824)=0,"Not on Envelopes",IF(F824="",IF(D824=0,"Needs the amount",""),IF(COUNTIF(Envelopes!$B$6:$B$21,F824)=0,"Moved to: not on Envelopes",IF(D824&lt;=0,"A move needs an amount",IF(F824=C824,"Moved to the same envelope","")))))))))</f>
        <v/>
      </c>
      <c r="H824" s="1">
        <f>IF(ISNUMBER(B824),INT(B824),0)</f>
        <v/>
      </c>
      <c r="I824">
        <f>IF(AND(H824&gt;0,ISNUMBER(D824),COUNTIF(Envelopes!$B$6:$B$21,C824)&gt;0,F824=""),1,0)</f>
        <v/>
      </c>
      <c r="J824">
        <f>IF(AND(H824&gt;0,ISNUMBER(D824),COUNTIF(Envelopes!$B$6:$B$21,C824)&gt;0,F824&lt;&gt;"",COUNTIF(Envelopes!$B$6:$B$21,F824)&gt;0),1,0)</f>
        <v/>
      </c>
      <c r="K824">
        <f>IF(I824=1,H824*10000+ROW(),"")</f>
        <v/>
      </c>
    </row>
    <row r="825">
      <c r="A825" s="1" t="n"/>
      <c r="B825" s="21" t="n"/>
      <c r="C825" s="23" t="n"/>
      <c r="D825" s="22" t="n"/>
      <c r="E825" s="24" t="n"/>
      <c r="F825" s="25" t="n"/>
      <c r="G825" s="18">
        <f>IF(AND(C825="",D825=""),"",IF(NOT(ISNUMBER(B825)),"Needs a date",IF(NOT(ISNUMBER(D825)),"Needs the amount",IF(C825="","Needs an envelope",IF(COUNTIF(Envelopes!$B$6:$B$21,C825)=0,"Not on Envelopes",IF(F825="",IF(D825=0,"Needs the amount",""),IF(COUNTIF(Envelopes!$B$6:$B$21,F825)=0,"Moved to: not on Envelopes",IF(D825&lt;=0,"A move needs an amount",IF(F825=C825,"Moved to the same envelope","")))))))))</f>
        <v/>
      </c>
      <c r="H825" s="1">
        <f>IF(ISNUMBER(B825),INT(B825),0)</f>
        <v/>
      </c>
      <c r="I825">
        <f>IF(AND(H825&gt;0,ISNUMBER(D825),COUNTIF(Envelopes!$B$6:$B$21,C825)&gt;0,F825=""),1,0)</f>
        <v/>
      </c>
      <c r="J825">
        <f>IF(AND(H825&gt;0,ISNUMBER(D825),COUNTIF(Envelopes!$B$6:$B$21,C825)&gt;0,F825&lt;&gt;"",COUNTIF(Envelopes!$B$6:$B$21,F825)&gt;0),1,0)</f>
        <v/>
      </c>
      <c r="K825">
        <f>IF(I825=1,H825*10000+ROW(),"")</f>
        <v/>
      </c>
    </row>
    <row r="826">
      <c r="A826" s="1" t="n"/>
      <c r="B826" s="21" t="n"/>
      <c r="C826" s="23" t="n"/>
      <c r="D826" s="22" t="n"/>
      <c r="E826" s="24" t="n"/>
      <c r="F826" s="25" t="n"/>
      <c r="G826" s="18">
        <f>IF(AND(C826="",D826=""),"",IF(NOT(ISNUMBER(B826)),"Needs a date",IF(NOT(ISNUMBER(D826)),"Needs the amount",IF(C826="","Needs an envelope",IF(COUNTIF(Envelopes!$B$6:$B$21,C826)=0,"Not on Envelopes",IF(F826="",IF(D826=0,"Needs the amount",""),IF(COUNTIF(Envelopes!$B$6:$B$21,F826)=0,"Moved to: not on Envelopes",IF(D826&lt;=0,"A move needs an amount",IF(F826=C826,"Moved to the same envelope","")))))))))</f>
        <v/>
      </c>
      <c r="H826" s="1">
        <f>IF(ISNUMBER(B826),INT(B826),0)</f>
        <v/>
      </c>
      <c r="I826">
        <f>IF(AND(H826&gt;0,ISNUMBER(D826),COUNTIF(Envelopes!$B$6:$B$21,C826)&gt;0,F826=""),1,0)</f>
        <v/>
      </c>
      <c r="J826">
        <f>IF(AND(H826&gt;0,ISNUMBER(D826),COUNTIF(Envelopes!$B$6:$B$21,C826)&gt;0,F826&lt;&gt;"",COUNTIF(Envelopes!$B$6:$B$21,F826)&gt;0),1,0)</f>
        <v/>
      </c>
      <c r="K826">
        <f>IF(I826=1,H826*10000+ROW(),"")</f>
        <v/>
      </c>
    </row>
    <row r="827">
      <c r="A827" s="1" t="n"/>
      <c r="B827" s="21" t="n"/>
      <c r="C827" s="23" t="n"/>
      <c r="D827" s="22" t="n"/>
      <c r="E827" s="24" t="n"/>
      <c r="F827" s="25" t="n"/>
      <c r="G827" s="18">
        <f>IF(AND(C827="",D827=""),"",IF(NOT(ISNUMBER(B827)),"Needs a date",IF(NOT(ISNUMBER(D827)),"Needs the amount",IF(C827="","Needs an envelope",IF(COUNTIF(Envelopes!$B$6:$B$21,C827)=0,"Not on Envelopes",IF(F827="",IF(D827=0,"Needs the amount",""),IF(COUNTIF(Envelopes!$B$6:$B$21,F827)=0,"Moved to: not on Envelopes",IF(D827&lt;=0,"A move needs an amount",IF(F827=C827,"Moved to the same envelope","")))))))))</f>
        <v/>
      </c>
      <c r="H827" s="1">
        <f>IF(ISNUMBER(B827),INT(B827),0)</f>
        <v/>
      </c>
      <c r="I827">
        <f>IF(AND(H827&gt;0,ISNUMBER(D827),COUNTIF(Envelopes!$B$6:$B$21,C827)&gt;0,F827=""),1,0)</f>
        <v/>
      </c>
      <c r="J827">
        <f>IF(AND(H827&gt;0,ISNUMBER(D827),COUNTIF(Envelopes!$B$6:$B$21,C827)&gt;0,F827&lt;&gt;"",COUNTIF(Envelopes!$B$6:$B$21,F827)&gt;0),1,0)</f>
        <v/>
      </c>
      <c r="K827">
        <f>IF(I827=1,H827*10000+ROW(),"")</f>
        <v/>
      </c>
    </row>
    <row r="828">
      <c r="A828" s="1" t="n"/>
      <c r="B828" s="21" t="n"/>
      <c r="C828" s="23" t="n"/>
      <c r="D828" s="22" t="n"/>
      <c r="E828" s="24" t="n"/>
      <c r="F828" s="25" t="n"/>
      <c r="G828" s="18">
        <f>IF(AND(C828="",D828=""),"",IF(NOT(ISNUMBER(B828)),"Needs a date",IF(NOT(ISNUMBER(D828)),"Needs the amount",IF(C828="","Needs an envelope",IF(COUNTIF(Envelopes!$B$6:$B$21,C828)=0,"Not on Envelopes",IF(F828="",IF(D828=0,"Needs the amount",""),IF(COUNTIF(Envelopes!$B$6:$B$21,F828)=0,"Moved to: not on Envelopes",IF(D828&lt;=0,"A move needs an amount",IF(F828=C828,"Moved to the same envelope","")))))))))</f>
        <v/>
      </c>
      <c r="H828" s="1">
        <f>IF(ISNUMBER(B828),INT(B828),0)</f>
        <v/>
      </c>
      <c r="I828">
        <f>IF(AND(H828&gt;0,ISNUMBER(D828),COUNTIF(Envelopes!$B$6:$B$21,C828)&gt;0,F828=""),1,0)</f>
        <v/>
      </c>
      <c r="J828">
        <f>IF(AND(H828&gt;0,ISNUMBER(D828),COUNTIF(Envelopes!$B$6:$B$21,C828)&gt;0,F828&lt;&gt;"",COUNTIF(Envelopes!$B$6:$B$21,F828)&gt;0),1,0)</f>
        <v/>
      </c>
      <c r="K828">
        <f>IF(I828=1,H828*10000+ROW(),"")</f>
        <v/>
      </c>
    </row>
    <row r="829">
      <c r="A829" s="1" t="n"/>
      <c r="B829" s="21" t="n"/>
      <c r="C829" s="23" t="n"/>
      <c r="D829" s="22" t="n"/>
      <c r="E829" s="24" t="n"/>
      <c r="F829" s="25" t="n"/>
      <c r="G829" s="18">
        <f>IF(AND(C829="",D829=""),"",IF(NOT(ISNUMBER(B829)),"Needs a date",IF(NOT(ISNUMBER(D829)),"Needs the amount",IF(C829="","Needs an envelope",IF(COUNTIF(Envelopes!$B$6:$B$21,C829)=0,"Not on Envelopes",IF(F829="",IF(D829=0,"Needs the amount",""),IF(COUNTIF(Envelopes!$B$6:$B$21,F829)=0,"Moved to: not on Envelopes",IF(D829&lt;=0,"A move needs an amount",IF(F829=C829,"Moved to the same envelope","")))))))))</f>
        <v/>
      </c>
      <c r="H829" s="1">
        <f>IF(ISNUMBER(B829),INT(B829),0)</f>
        <v/>
      </c>
      <c r="I829">
        <f>IF(AND(H829&gt;0,ISNUMBER(D829),COUNTIF(Envelopes!$B$6:$B$21,C829)&gt;0,F829=""),1,0)</f>
        <v/>
      </c>
      <c r="J829">
        <f>IF(AND(H829&gt;0,ISNUMBER(D829),COUNTIF(Envelopes!$B$6:$B$21,C829)&gt;0,F829&lt;&gt;"",COUNTIF(Envelopes!$B$6:$B$21,F829)&gt;0),1,0)</f>
        <v/>
      </c>
      <c r="K829">
        <f>IF(I829=1,H829*10000+ROW(),"")</f>
        <v/>
      </c>
    </row>
    <row r="830">
      <c r="A830" s="1" t="n"/>
      <c r="B830" s="21" t="n"/>
      <c r="C830" s="23" t="n"/>
      <c r="D830" s="22" t="n"/>
      <c r="E830" s="24" t="n"/>
      <c r="F830" s="25" t="n"/>
      <c r="G830" s="18">
        <f>IF(AND(C830="",D830=""),"",IF(NOT(ISNUMBER(B830)),"Needs a date",IF(NOT(ISNUMBER(D830)),"Needs the amount",IF(C830="","Needs an envelope",IF(COUNTIF(Envelopes!$B$6:$B$21,C830)=0,"Not on Envelopes",IF(F830="",IF(D830=0,"Needs the amount",""),IF(COUNTIF(Envelopes!$B$6:$B$21,F830)=0,"Moved to: not on Envelopes",IF(D830&lt;=0,"A move needs an amount",IF(F830=C830,"Moved to the same envelope","")))))))))</f>
        <v/>
      </c>
      <c r="H830" s="1">
        <f>IF(ISNUMBER(B830),INT(B830),0)</f>
        <v/>
      </c>
      <c r="I830">
        <f>IF(AND(H830&gt;0,ISNUMBER(D830),COUNTIF(Envelopes!$B$6:$B$21,C830)&gt;0,F830=""),1,0)</f>
        <v/>
      </c>
      <c r="J830">
        <f>IF(AND(H830&gt;0,ISNUMBER(D830),COUNTIF(Envelopes!$B$6:$B$21,C830)&gt;0,F830&lt;&gt;"",COUNTIF(Envelopes!$B$6:$B$21,F830)&gt;0),1,0)</f>
        <v/>
      </c>
      <c r="K830">
        <f>IF(I830=1,H830*10000+ROW(),"")</f>
        <v/>
      </c>
    </row>
    <row r="831">
      <c r="A831" s="1" t="n"/>
      <c r="B831" s="21" t="n"/>
      <c r="C831" s="23" t="n"/>
      <c r="D831" s="22" t="n"/>
      <c r="E831" s="24" t="n"/>
      <c r="F831" s="25" t="n"/>
      <c r="G831" s="18">
        <f>IF(AND(C831="",D831=""),"",IF(NOT(ISNUMBER(B831)),"Needs a date",IF(NOT(ISNUMBER(D831)),"Needs the amount",IF(C831="","Needs an envelope",IF(COUNTIF(Envelopes!$B$6:$B$21,C831)=0,"Not on Envelopes",IF(F831="",IF(D831=0,"Needs the amount",""),IF(COUNTIF(Envelopes!$B$6:$B$21,F831)=0,"Moved to: not on Envelopes",IF(D831&lt;=0,"A move needs an amount",IF(F831=C831,"Moved to the same envelope","")))))))))</f>
        <v/>
      </c>
      <c r="H831" s="1">
        <f>IF(ISNUMBER(B831),INT(B831),0)</f>
        <v/>
      </c>
      <c r="I831">
        <f>IF(AND(H831&gt;0,ISNUMBER(D831),COUNTIF(Envelopes!$B$6:$B$21,C831)&gt;0,F831=""),1,0)</f>
        <v/>
      </c>
      <c r="J831">
        <f>IF(AND(H831&gt;0,ISNUMBER(D831),COUNTIF(Envelopes!$B$6:$B$21,C831)&gt;0,F831&lt;&gt;"",COUNTIF(Envelopes!$B$6:$B$21,F831)&gt;0),1,0)</f>
        <v/>
      </c>
      <c r="K831">
        <f>IF(I831=1,H831*10000+ROW(),"")</f>
        <v/>
      </c>
    </row>
    <row r="832">
      <c r="A832" s="1" t="n"/>
      <c r="B832" s="21" t="n"/>
      <c r="C832" s="23" t="n"/>
      <c r="D832" s="22" t="n"/>
      <c r="E832" s="24" t="n"/>
      <c r="F832" s="25" t="n"/>
      <c r="G832" s="18">
        <f>IF(AND(C832="",D832=""),"",IF(NOT(ISNUMBER(B832)),"Needs a date",IF(NOT(ISNUMBER(D832)),"Needs the amount",IF(C832="","Needs an envelope",IF(COUNTIF(Envelopes!$B$6:$B$21,C832)=0,"Not on Envelopes",IF(F832="",IF(D832=0,"Needs the amount",""),IF(COUNTIF(Envelopes!$B$6:$B$21,F832)=0,"Moved to: not on Envelopes",IF(D832&lt;=0,"A move needs an amount",IF(F832=C832,"Moved to the same envelope","")))))))))</f>
        <v/>
      </c>
      <c r="H832" s="1">
        <f>IF(ISNUMBER(B832),INT(B832),0)</f>
        <v/>
      </c>
      <c r="I832">
        <f>IF(AND(H832&gt;0,ISNUMBER(D832),COUNTIF(Envelopes!$B$6:$B$21,C832)&gt;0,F832=""),1,0)</f>
        <v/>
      </c>
      <c r="J832">
        <f>IF(AND(H832&gt;0,ISNUMBER(D832),COUNTIF(Envelopes!$B$6:$B$21,C832)&gt;0,F832&lt;&gt;"",COUNTIF(Envelopes!$B$6:$B$21,F832)&gt;0),1,0)</f>
        <v/>
      </c>
      <c r="K832">
        <f>IF(I832=1,H832*10000+ROW(),"")</f>
        <v/>
      </c>
    </row>
    <row r="833">
      <c r="A833" s="1" t="n"/>
      <c r="B833" s="21" t="n"/>
      <c r="C833" s="23" t="n"/>
      <c r="D833" s="22" t="n"/>
      <c r="E833" s="24" t="n"/>
      <c r="F833" s="25" t="n"/>
      <c r="G833" s="18">
        <f>IF(AND(C833="",D833=""),"",IF(NOT(ISNUMBER(B833)),"Needs a date",IF(NOT(ISNUMBER(D833)),"Needs the amount",IF(C833="","Needs an envelope",IF(COUNTIF(Envelopes!$B$6:$B$21,C833)=0,"Not on Envelopes",IF(F833="",IF(D833=0,"Needs the amount",""),IF(COUNTIF(Envelopes!$B$6:$B$21,F833)=0,"Moved to: not on Envelopes",IF(D833&lt;=0,"A move needs an amount",IF(F833=C833,"Moved to the same envelope","")))))))))</f>
        <v/>
      </c>
      <c r="H833" s="1">
        <f>IF(ISNUMBER(B833),INT(B833),0)</f>
        <v/>
      </c>
      <c r="I833">
        <f>IF(AND(H833&gt;0,ISNUMBER(D833),COUNTIF(Envelopes!$B$6:$B$21,C833)&gt;0,F833=""),1,0)</f>
        <v/>
      </c>
      <c r="J833">
        <f>IF(AND(H833&gt;0,ISNUMBER(D833),COUNTIF(Envelopes!$B$6:$B$21,C833)&gt;0,F833&lt;&gt;"",COUNTIF(Envelopes!$B$6:$B$21,F833)&gt;0),1,0)</f>
        <v/>
      </c>
      <c r="K833">
        <f>IF(I833=1,H833*10000+ROW(),"")</f>
        <v/>
      </c>
    </row>
    <row r="834">
      <c r="A834" s="1" t="n"/>
      <c r="B834" s="21" t="n"/>
      <c r="C834" s="23" t="n"/>
      <c r="D834" s="22" t="n"/>
      <c r="E834" s="24" t="n"/>
      <c r="F834" s="25" t="n"/>
      <c r="G834" s="18">
        <f>IF(AND(C834="",D834=""),"",IF(NOT(ISNUMBER(B834)),"Needs a date",IF(NOT(ISNUMBER(D834)),"Needs the amount",IF(C834="","Needs an envelope",IF(COUNTIF(Envelopes!$B$6:$B$21,C834)=0,"Not on Envelopes",IF(F834="",IF(D834=0,"Needs the amount",""),IF(COUNTIF(Envelopes!$B$6:$B$21,F834)=0,"Moved to: not on Envelopes",IF(D834&lt;=0,"A move needs an amount",IF(F834=C834,"Moved to the same envelope","")))))))))</f>
        <v/>
      </c>
      <c r="H834" s="1">
        <f>IF(ISNUMBER(B834),INT(B834),0)</f>
        <v/>
      </c>
      <c r="I834">
        <f>IF(AND(H834&gt;0,ISNUMBER(D834),COUNTIF(Envelopes!$B$6:$B$21,C834)&gt;0,F834=""),1,0)</f>
        <v/>
      </c>
      <c r="J834">
        <f>IF(AND(H834&gt;0,ISNUMBER(D834),COUNTIF(Envelopes!$B$6:$B$21,C834)&gt;0,F834&lt;&gt;"",COUNTIF(Envelopes!$B$6:$B$21,F834)&gt;0),1,0)</f>
        <v/>
      </c>
      <c r="K834">
        <f>IF(I834=1,H834*10000+ROW(),"")</f>
        <v/>
      </c>
    </row>
    <row r="835">
      <c r="A835" s="1" t="n"/>
      <c r="B835" s="21" t="n"/>
      <c r="C835" s="23" t="n"/>
      <c r="D835" s="22" t="n"/>
      <c r="E835" s="24" t="n"/>
      <c r="F835" s="25" t="n"/>
      <c r="G835" s="18">
        <f>IF(AND(C835="",D835=""),"",IF(NOT(ISNUMBER(B835)),"Needs a date",IF(NOT(ISNUMBER(D835)),"Needs the amount",IF(C835="","Needs an envelope",IF(COUNTIF(Envelopes!$B$6:$B$21,C835)=0,"Not on Envelopes",IF(F835="",IF(D835=0,"Needs the amount",""),IF(COUNTIF(Envelopes!$B$6:$B$21,F835)=0,"Moved to: not on Envelopes",IF(D835&lt;=0,"A move needs an amount",IF(F835=C835,"Moved to the same envelope","")))))))))</f>
        <v/>
      </c>
      <c r="H835" s="1">
        <f>IF(ISNUMBER(B835),INT(B835),0)</f>
        <v/>
      </c>
      <c r="I835">
        <f>IF(AND(H835&gt;0,ISNUMBER(D835),COUNTIF(Envelopes!$B$6:$B$21,C835)&gt;0,F835=""),1,0)</f>
        <v/>
      </c>
      <c r="J835">
        <f>IF(AND(H835&gt;0,ISNUMBER(D835),COUNTIF(Envelopes!$B$6:$B$21,C835)&gt;0,F835&lt;&gt;"",COUNTIF(Envelopes!$B$6:$B$21,F835)&gt;0),1,0)</f>
        <v/>
      </c>
      <c r="K835">
        <f>IF(I835=1,H835*10000+ROW(),"")</f>
        <v/>
      </c>
    </row>
    <row r="836">
      <c r="A836" s="1" t="n"/>
      <c r="B836" s="21" t="n"/>
      <c r="C836" s="23" t="n"/>
      <c r="D836" s="22" t="n"/>
      <c r="E836" s="24" t="n"/>
      <c r="F836" s="25" t="n"/>
      <c r="G836" s="18">
        <f>IF(AND(C836="",D836=""),"",IF(NOT(ISNUMBER(B836)),"Needs a date",IF(NOT(ISNUMBER(D836)),"Needs the amount",IF(C836="","Needs an envelope",IF(COUNTIF(Envelopes!$B$6:$B$21,C836)=0,"Not on Envelopes",IF(F836="",IF(D836=0,"Needs the amount",""),IF(COUNTIF(Envelopes!$B$6:$B$21,F836)=0,"Moved to: not on Envelopes",IF(D836&lt;=0,"A move needs an amount",IF(F836=C836,"Moved to the same envelope","")))))))))</f>
        <v/>
      </c>
      <c r="H836" s="1">
        <f>IF(ISNUMBER(B836),INT(B836),0)</f>
        <v/>
      </c>
      <c r="I836">
        <f>IF(AND(H836&gt;0,ISNUMBER(D836),COUNTIF(Envelopes!$B$6:$B$21,C836)&gt;0,F836=""),1,0)</f>
        <v/>
      </c>
      <c r="J836">
        <f>IF(AND(H836&gt;0,ISNUMBER(D836),COUNTIF(Envelopes!$B$6:$B$21,C836)&gt;0,F836&lt;&gt;"",COUNTIF(Envelopes!$B$6:$B$21,F836)&gt;0),1,0)</f>
        <v/>
      </c>
      <c r="K836">
        <f>IF(I836=1,H836*10000+ROW(),"")</f>
        <v/>
      </c>
    </row>
    <row r="837">
      <c r="A837" s="1" t="n"/>
      <c r="B837" s="21" t="n"/>
      <c r="C837" s="23" t="n"/>
      <c r="D837" s="22" t="n"/>
      <c r="E837" s="24" t="n"/>
      <c r="F837" s="25" t="n"/>
      <c r="G837" s="18">
        <f>IF(AND(C837="",D837=""),"",IF(NOT(ISNUMBER(B837)),"Needs a date",IF(NOT(ISNUMBER(D837)),"Needs the amount",IF(C837="","Needs an envelope",IF(COUNTIF(Envelopes!$B$6:$B$21,C837)=0,"Not on Envelopes",IF(F837="",IF(D837=0,"Needs the amount",""),IF(COUNTIF(Envelopes!$B$6:$B$21,F837)=0,"Moved to: not on Envelopes",IF(D837&lt;=0,"A move needs an amount",IF(F837=C837,"Moved to the same envelope","")))))))))</f>
        <v/>
      </c>
      <c r="H837" s="1">
        <f>IF(ISNUMBER(B837),INT(B837),0)</f>
        <v/>
      </c>
      <c r="I837">
        <f>IF(AND(H837&gt;0,ISNUMBER(D837),COUNTIF(Envelopes!$B$6:$B$21,C837)&gt;0,F837=""),1,0)</f>
        <v/>
      </c>
      <c r="J837">
        <f>IF(AND(H837&gt;0,ISNUMBER(D837),COUNTIF(Envelopes!$B$6:$B$21,C837)&gt;0,F837&lt;&gt;"",COUNTIF(Envelopes!$B$6:$B$21,F837)&gt;0),1,0)</f>
        <v/>
      </c>
      <c r="K837">
        <f>IF(I837=1,H837*10000+ROW(),"")</f>
        <v/>
      </c>
    </row>
    <row r="838">
      <c r="A838" s="1" t="n"/>
      <c r="B838" s="21" t="n"/>
      <c r="C838" s="23" t="n"/>
      <c r="D838" s="22" t="n"/>
      <c r="E838" s="24" t="n"/>
      <c r="F838" s="25" t="n"/>
      <c r="G838" s="18">
        <f>IF(AND(C838="",D838=""),"",IF(NOT(ISNUMBER(B838)),"Needs a date",IF(NOT(ISNUMBER(D838)),"Needs the amount",IF(C838="","Needs an envelope",IF(COUNTIF(Envelopes!$B$6:$B$21,C838)=0,"Not on Envelopes",IF(F838="",IF(D838=0,"Needs the amount",""),IF(COUNTIF(Envelopes!$B$6:$B$21,F838)=0,"Moved to: not on Envelopes",IF(D838&lt;=0,"A move needs an amount",IF(F838=C838,"Moved to the same envelope","")))))))))</f>
        <v/>
      </c>
      <c r="H838" s="1">
        <f>IF(ISNUMBER(B838),INT(B838),0)</f>
        <v/>
      </c>
      <c r="I838">
        <f>IF(AND(H838&gt;0,ISNUMBER(D838),COUNTIF(Envelopes!$B$6:$B$21,C838)&gt;0,F838=""),1,0)</f>
        <v/>
      </c>
      <c r="J838">
        <f>IF(AND(H838&gt;0,ISNUMBER(D838),COUNTIF(Envelopes!$B$6:$B$21,C838)&gt;0,F838&lt;&gt;"",COUNTIF(Envelopes!$B$6:$B$21,F838)&gt;0),1,0)</f>
        <v/>
      </c>
      <c r="K838">
        <f>IF(I838=1,H838*10000+ROW(),"")</f>
        <v/>
      </c>
    </row>
    <row r="839">
      <c r="A839" s="1" t="n"/>
      <c r="B839" s="21" t="n"/>
      <c r="C839" s="23" t="n"/>
      <c r="D839" s="22" t="n"/>
      <c r="E839" s="24" t="n"/>
      <c r="F839" s="25" t="n"/>
      <c r="G839" s="18">
        <f>IF(AND(C839="",D839=""),"",IF(NOT(ISNUMBER(B839)),"Needs a date",IF(NOT(ISNUMBER(D839)),"Needs the amount",IF(C839="","Needs an envelope",IF(COUNTIF(Envelopes!$B$6:$B$21,C839)=0,"Not on Envelopes",IF(F839="",IF(D839=0,"Needs the amount",""),IF(COUNTIF(Envelopes!$B$6:$B$21,F839)=0,"Moved to: not on Envelopes",IF(D839&lt;=0,"A move needs an amount",IF(F839=C839,"Moved to the same envelope","")))))))))</f>
        <v/>
      </c>
      <c r="H839" s="1">
        <f>IF(ISNUMBER(B839),INT(B839),0)</f>
        <v/>
      </c>
      <c r="I839">
        <f>IF(AND(H839&gt;0,ISNUMBER(D839),COUNTIF(Envelopes!$B$6:$B$21,C839)&gt;0,F839=""),1,0)</f>
        <v/>
      </c>
      <c r="J839">
        <f>IF(AND(H839&gt;0,ISNUMBER(D839),COUNTIF(Envelopes!$B$6:$B$21,C839)&gt;0,F839&lt;&gt;"",COUNTIF(Envelopes!$B$6:$B$21,F839)&gt;0),1,0)</f>
        <v/>
      </c>
      <c r="K839">
        <f>IF(I839=1,H839*10000+ROW(),"")</f>
        <v/>
      </c>
    </row>
    <row r="840">
      <c r="A840" s="1" t="n"/>
      <c r="B840" s="21" t="n"/>
      <c r="C840" s="23" t="n"/>
      <c r="D840" s="22" t="n"/>
      <c r="E840" s="24" t="n"/>
      <c r="F840" s="25" t="n"/>
      <c r="G840" s="18">
        <f>IF(AND(C840="",D840=""),"",IF(NOT(ISNUMBER(B840)),"Needs a date",IF(NOT(ISNUMBER(D840)),"Needs the amount",IF(C840="","Needs an envelope",IF(COUNTIF(Envelopes!$B$6:$B$21,C840)=0,"Not on Envelopes",IF(F840="",IF(D840=0,"Needs the amount",""),IF(COUNTIF(Envelopes!$B$6:$B$21,F840)=0,"Moved to: not on Envelopes",IF(D840&lt;=0,"A move needs an amount",IF(F840=C840,"Moved to the same envelope","")))))))))</f>
        <v/>
      </c>
      <c r="H840" s="1">
        <f>IF(ISNUMBER(B840),INT(B840),0)</f>
        <v/>
      </c>
      <c r="I840">
        <f>IF(AND(H840&gt;0,ISNUMBER(D840),COUNTIF(Envelopes!$B$6:$B$21,C840)&gt;0,F840=""),1,0)</f>
        <v/>
      </c>
      <c r="J840">
        <f>IF(AND(H840&gt;0,ISNUMBER(D840),COUNTIF(Envelopes!$B$6:$B$21,C840)&gt;0,F840&lt;&gt;"",COUNTIF(Envelopes!$B$6:$B$21,F840)&gt;0),1,0)</f>
        <v/>
      </c>
      <c r="K840">
        <f>IF(I840=1,H840*10000+ROW(),"")</f>
        <v/>
      </c>
    </row>
    <row r="841">
      <c r="A841" s="1" t="n"/>
      <c r="B841" s="21" t="n"/>
      <c r="C841" s="23" t="n"/>
      <c r="D841" s="22" t="n"/>
      <c r="E841" s="24" t="n"/>
      <c r="F841" s="25" t="n"/>
      <c r="G841" s="18">
        <f>IF(AND(C841="",D841=""),"",IF(NOT(ISNUMBER(B841)),"Needs a date",IF(NOT(ISNUMBER(D841)),"Needs the amount",IF(C841="","Needs an envelope",IF(COUNTIF(Envelopes!$B$6:$B$21,C841)=0,"Not on Envelopes",IF(F841="",IF(D841=0,"Needs the amount",""),IF(COUNTIF(Envelopes!$B$6:$B$21,F841)=0,"Moved to: not on Envelopes",IF(D841&lt;=0,"A move needs an amount",IF(F841=C841,"Moved to the same envelope","")))))))))</f>
        <v/>
      </c>
      <c r="H841" s="1">
        <f>IF(ISNUMBER(B841),INT(B841),0)</f>
        <v/>
      </c>
      <c r="I841">
        <f>IF(AND(H841&gt;0,ISNUMBER(D841),COUNTIF(Envelopes!$B$6:$B$21,C841)&gt;0,F841=""),1,0)</f>
        <v/>
      </c>
      <c r="J841">
        <f>IF(AND(H841&gt;0,ISNUMBER(D841),COUNTIF(Envelopes!$B$6:$B$21,C841)&gt;0,F841&lt;&gt;"",COUNTIF(Envelopes!$B$6:$B$21,F841)&gt;0),1,0)</f>
        <v/>
      </c>
      <c r="K841">
        <f>IF(I841=1,H841*10000+ROW(),"")</f>
        <v/>
      </c>
    </row>
    <row r="842">
      <c r="A842" s="1" t="n"/>
      <c r="B842" s="21" t="n"/>
      <c r="C842" s="23" t="n"/>
      <c r="D842" s="22" t="n"/>
      <c r="E842" s="24" t="n"/>
      <c r="F842" s="25" t="n"/>
      <c r="G842" s="18">
        <f>IF(AND(C842="",D842=""),"",IF(NOT(ISNUMBER(B842)),"Needs a date",IF(NOT(ISNUMBER(D842)),"Needs the amount",IF(C842="","Needs an envelope",IF(COUNTIF(Envelopes!$B$6:$B$21,C842)=0,"Not on Envelopes",IF(F842="",IF(D842=0,"Needs the amount",""),IF(COUNTIF(Envelopes!$B$6:$B$21,F842)=0,"Moved to: not on Envelopes",IF(D842&lt;=0,"A move needs an amount",IF(F842=C842,"Moved to the same envelope","")))))))))</f>
        <v/>
      </c>
      <c r="H842" s="1">
        <f>IF(ISNUMBER(B842),INT(B842),0)</f>
        <v/>
      </c>
      <c r="I842">
        <f>IF(AND(H842&gt;0,ISNUMBER(D842),COUNTIF(Envelopes!$B$6:$B$21,C842)&gt;0,F842=""),1,0)</f>
        <v/>
      </c>
      <c r="J842">
        <f>IF(AND(H842&gt;0,ISNUMBER(D842),COUNTIF(Envelopes!$B$6:$B$21,C842)&gt;0,F842&lt;&gt;"",COUNTIF(Envelopes!$B$6:$B$21,F842)&gt;0),1,0)</f>
        <v/>
      </c>
      <c r="K842">
        <f>IF(I842=1,H842*10000+ROW(),"")</f>
        <v/>
      </c>
    </row>
    <row r="843">
      <c r="A843" s="1" t="n"/>
      <c r="B843" s="21" t="n"/>
      <c r="C843" s="23" t="n"/>
      <c r="D843" s="22" t="n"/>
      <c r="E843" s="24" t="n"/>
      <c r="F843" s="25" t="n"/>
      <c r="G843" s="18">
        <f>IF(AND(C843="",D843=""),"",IF(NOT(ISNUMBER(B843)),"Needs a date",IF(NOT(ISNUMBER(D843)),"Needs the amount",IF(C843="","Needs an envelope",IF(COUNTIF(Envelopes!$B$6:$B$21,C843)=0,"Not on Envelopes",IF(F843="",IF(D843=0,"Needs the amount",""),IF(COUNTIF(Envelopes!$B$6:$B$21,F843)=0,"Moved to: not on Envelopes",IF(D843&lt;=0,"A move needs an amount",IF(F843=C843,"Moved to the same envelope","")))))))))</f>
        <v/>
      </c>
      <c r="H843" s="1">
        <f>IF(ISNUMBER(B843),INT(B843),0)</f>
        <v/>
      </c>
      <c r="I843">
        <f>IF(AND(H843&gt;0,ISNUMBER(D843),COUNTIF(Envelopes!$B$6:$B$21,C843)&gt;0,F843=""),1,0)</f>
        <v/>
      </c>
      <c r="J843">
        <f>IF(AND(H843&gt;0,ISNUMBER(D843),COUNTIF(Envelopes!$B$6:$B$21,C843)&gt;0,F843&lt;&gt;"",COUNTIF(Envelopes!$B$6:$B$21,F843)&gt;0),1,0)</f>
        <v/>
      </c>
      <c r="K843">
        <f>IF(I843=1,H843*10000+ROW(),"")</f>
        <v/>
      </c>
    </row>
    <row r="844">
      <c r="A844" s="1" t="n"/>
      <c r="B844" s="21" t="n"/>
      <c r="C844" s="23" t="n"/>
      <c r="D844" s="22" t="n"/>
      <c r="E844" s="24" t="n"/>
      <c r="F844" s="25" t="n"/>
      <c r="G844" s="18">
        <f>IF(AND(C844="",D844=""),"",IF(NOT(ISNUMBER(B844)),"Needs a date",IF(NOT(ISNUMBER(D844)),"Needs the amount",IF(C844="","Needs an envelope",IF(COUNTIF(Envelopes!$B$6:$B$21,C844)=0,"Not on Envelopes",IF(F844="",IF(D844=0,"Needs the amount",""),IF(COUNTIF(Envelopes!$B$6:$B$21,F844)=0,"Moved to: not on Envelopes",IF(D844&lt;=0,"A move needs an amount",IF(F844=C844,"Moved to the same envelope","")))))))))</f>
        <v/>
      </c>
      <c r="H844" s="1">
        <f>IF(ISNUMBER(B844),INT(B844),0)</f>
        <v/>
      </c>
      <c r="I844">
        <f>IF(AND(H844&gt;0,ISNUMBER(D844),COUNTIF(Envelopes!$B$6:$B$21,C844)&gt;0,F844=""),1,0)</f>
        <v/>
      </c>
      <c r="J844">
        <f>IF(AND(H844&gt;0,ISNUMBER(D844),COUNTIF(Envelopes!$B$6:$B$21,C844)&gt;0,F844&lt;&gt;"",COUNTIF(Envelopes!$B$6:$B$21,F844)&gt;0),1,0)</f>
        <v/>
      </c>
      <c r="K844">
        <f>IF(I844=1,H844*10000+ROW(),"")</f>
        <v/>
      </c>
    </row>
    <row r="845">
      <c r="A845" s="1" t="n"/>
      <c r="B845" s="21" t="n"/>
      <c r="C845" s="23" t="n"/>
      <c r="D845" s="22" t="n"/>
      <c r="E845" s="24" t="n"/>
      <c r="F845" s="25" t="n"/>
      <c r="G845" s="18">
        <f>IF(AND(C845="",D845=""),"",IF(NOT(ISNUMBER(B845)),"Needs a date",IF(NOT(ISNUMBER(D845)),"Needs the amount",IF(C845="","Needs an envelope",IF(COUNTIF(Envelopes!$B$6:$B$21,C845)=0,"Not on Envelopes",IF(F845="",IF(D845=0,"Needs the amount",""),IF(COUNTIF(Envelopes!$B$6:$B$21,F845)=0,"Moved to: not on Envelopes",IF(D845&lt;=0,"A move needs an amount",IF(F845=C845,"Moved to the same envelope","")))))))))</f>
        <v/>
      </c>
      <c r="H845" s="1">
        <f>IF(ISNUMBER(B845),INT(B845),0)</f>
        <v/>
      </c>
      <c r="I845">
        <f>IF(AND(H845&gt;0,ISNUMBER(D845),COUNTIF(Envelopes!$B$6:$B$21,C845)&gt;0,F845=""),1,0)</f>
        <v/>
      </c>
      <c r="J845">
        <f>IF(AND(H845&gt;0,ISNUMBER(D845),COUNTIF(Envelopes!$B$6:$B$21,C845)&gt;0,F845&lt;&gt;"",COUNTIF(Envelopes!$B$6:$B$21,F845)&gt;0),1,0)</f>
        <v/>
      </c>
      <c r="K845">
        <f>IF(I845=1,H845*10000+ROW(),"")</f>
        <v/>
      </c>
    </row>
    <row r="846">
      <c r="A846" s="1" t="n"/>
      <c r="B846" s="21" t="n"/>
      <c r="C846" s="23" t="n"/>
      <c r="D846" s="22" t="n"/>
      <c r="E846" s="24" t="n"/>
      <c r="F846" s="25" t="n"/>
      <c r="G846" s="18">
        <f>IF(AND(C846="",D846=""),"",IF(NOT(ISNUMBER(B846)),"Needs a date",IF(NOT(ISNUMBER(D846)),"Needs the amount",IF(C846="","Needs an envelope",IF(COUNTIF(Envelopes!$B$6:$B$21,C846)=0,"Not on Envelopes",IF(F846="",IF(D846=0,"Needs the amount",""),IF(COUNTIF(Envelopes!$B$6:$B$21,F846)=0,"Moved to: not on Envelopes",IF(D846&lt;=0,"A move needs an amount",IF(F846=C846,"Moved to the same envelope","")))))))))</f>
        <v/>
      </c>
      <c r="H846" s="1">
        <f>IF(ISNUMBER(B846),INT(B846),0)</f>
        <v/>
      </c>
      <c r="I846">
        <f>IF(AND(H846&gt;0,ISNUMBER(D846),COUNTIF(Envelopes!$B$6:$B$21,C846)&gt;0,F846=""),1,0)</f>
        <v/>
      </c>
      <c r="J846">
        <f>IF(AND(H846&gt;0,ISNUMBER(D846),COUNTIF(Envelopes!$B$6:$B$21,C846)&gt;0,F846&lt;&gt;"",COUNTIF(Envelopes!$B$6:$B$21,F846)&gt;0),1,0)</f>
        <v/>
      </c>
      <c r="K846">
        <f>IF(I846=1,H846*10000+ROW(),"")</f>
        <v/>
      </c>
    </row>
    <row r="847">
      <c r="A847" s="1" t="n"/>
      <c r="B847" s="21" t="n"/>
      <c r="C847" s="23" t="n"/>
      <c r="D847" s="22" t="n"/>
      <c r="E847" s="24" t="n"/>
      <c r="F847" s="25" t="n"/>
      <c r="G847" s="18">
        <f>IF(AND(C847="",D847=""),"",IF(NOT(ISNUMBER(B847)),"Needs a date",IF(NOT(ISNUMBER(D847)),"Needs the amount",IF(C847="","Needs an envelope",IF(COUNTIF(Envelopes!$B$6:$B$21,C847)=0,"Not on Envelopes",IF(F847="",IF(D847=0,"Needs the amount",""),IF(COUNTIF(Envelopes!$B$6:$B$21,F847)=0,"Moved to: not on Envelopes",IF(D847&lt;=0,"A move needs an amount",IF(F847=C847,"Moved to the same envelope","")))))))))</f>
        <v/>
      </c>
      <c r="H847" s="1">
        <f>IF(ISNUMBER(B847),INT(B847),0)</f>
        <v/>
      </c>
      <c r="I847">
        <f>IF(AND(H847&gt;0,ISNUMBER(D847),COUNTIF(Envelopes!$B$6:$B$21,C847)&gt;0,F847=""),1,0)</f>
        <v/>
      </c>
      <c r="J847">
        <f>IF(AND(H847&gt;0,ISNUMBER(D847),COUNTIF(Envelopes!$B$6:$B$21,C847)&gt;0,F847&lt;&gt;"",COUNTIF(Envelopes!$B$6:$B$21,F847)&gt;0),1,0)</f>
        <v/>
      </c>
      <c r="K847">
        <f>IF(I847=1,H847*10000+ROW(),"")</f>
        <v/>
      </c>
    </row>
    <row r="848">
      <c r="A848" s="1" t="n"/>
      <c r="B848" s="21" t="n"/>
      <c r="C848" s="23" t="n"/>
      <c r="D848" s="22" t="n"/>
      <c r="E848" s="24" t="n"/>
      <c r="F848" s="25" t="n"/>
      <c r="G848" s="18">
        <f>IF(AND(C848="",D848=""),"",IF(NOT(ISNUMBER(B848)),"Needs a date",IF(NOT(ISNUMBER(D848)),"Needs the amount",IF(C848="","Needs an envelope",IF(COUNTIF(Envelopes!$B$6:$B$21,C848)=0,"Not on Envelopes",IF(F848="",IF(D848=0,"Needs the amount",""),IF(COUNTIF(Envelopes!$B$6:$B$21,F848)=0,"Moved to: not on Envelopes",IF(D848&lt;=0,"A move needs an amount",IF(F848=C848,"Moved to the same envelope","")))))))))</f>
        <v/>
      </c>
      <c r="H848" s="1">
        <f>IF(ISNUMBER(B848),INT(B848),0)</f>
        <v/>
      </c>
      <c r="I848">
        <f>IF(AND(H848&gt;0,ISNUMBER(D848),COUNTIF(Envelopes!$B$6:$B$21,C848)&gt;0,F848=""),1,0)</f>
        <v/>
      </c>
      <c r="J848">
        <f>IF(AND(H848&gt;0,ISNUMBER(D848),COUNTIF(Envelopes!$B$6:$B$21,C848)&gt;0,F848&lt;&gt;"",COUNTIF(Envelopes!$B$6:$B$21,F848)&gt;0),1,0)</f>
        <v/>
      </c>
      <c r="K848">
        <f>IF(I848=1,H848*10000+ROW(),"")</f>
        <v/>
      </c>
    </row>
    <row r="849">
      <c r="A849" s="1" t="n"/>
      <c r="B849" s="21" t="n"/>
      <c r="C849" s="23" t="n"/>
      <c r="D849" s="22" t="n"/>
      <c r="E849" s="24" t="n"/>
      <c r="F849" s="25" t="n"/>
      <c r="G849" s="18">
        <f>IF(AND(C849="",D849=""),"",IF(NOT(ISNUMBER(B849)),"Needs a date",IF(NOT(ISNUMBER(D849)),"Needs the amount",IF(C849="","Needs an envelope",IF(COUNTIF(Envelopes!$B$6:$B$21,C849)=0,"Not on Envelopes",IF(F849="",IF(D849=0,"Needs the amount",""),IF(COUNTIF(Envelopes!$B$6:$B$21,F849)=0,"Moved to: not on Envelopes",IF(D849&lt;=0,"A move needs an amount",IF(F849=C849,"Moved to the same envelope","")))))))))</f>
        <v/>
      </c>
      <c r="H849" s="1">
        <f>IF(ISNUMBER(B849),INT(B849),0)</f>
        <v/>
      </c>
      <c r="I849">
        <f>IF(AND(H849&gt;0,ISNUMBER(D849),COUNTIF(Envelopes!$B$6:$B$21,C849)&gt;0,F849=""),1,0)</f>
        <v/>
      </c>
      <c r="J849">
        <f>IF(AND(H849&gt;0,ISNUMBER(D849),COUNTIF(Envelopes!$B$6:$B$21,C849)&gt;0,F849&lt;&gt;"",COUNTIF(Envelopes!$B$6:$B$21,F849)&gt;0),1,0)</f>
        <v/>
      </c>
      <c r="K849">
        <f>IF(I849=1,H849*10000+ROW(),"")</f>
        <v/>
      </c>
    </row>
    <row r="850">
      <c r="A850" s="1" t="n"/>
      <c r="B850" s="21" t="n"/>
      <c r="C850" s="23" t="n"/>
      <c r="D850" s="22" t="n"/>
      <c r="E850" s="24" t="n"/>
      <c r="F850" s="25" t="n"/>
      <c r="G850" s="18">
        <f>IF(AND(C850="",D850=""),"",IF(NOT(ISNUMBER(B850)),"Needs a date",IF(NOT(ISNUMBER(D850)),"Needs the amount",IF(C850="","Needs an envelope",IF(COUNTIF(Envelopes!$B$6:$B$21,C850)=0,"Not on Envelopes",IF(F850="",IF(D850=0,"Needs the amount",""),IF(COUNTIF(Envelopes!$B$6:$B$21,F850)=0,"Moved to: not on Envelopes",IF(D850&lt;=0,"A move needs an amount",IF(F850=C850,"Moved to the same envelope","")))))))))</f>
        <v/>
      </c>
      <c r="H850" s="1">
        <f>IF(ISNUMBER(B850),INT(B850),0)</f>
        <v/>
      </c>
      <c r="I850">
        <f>IF(AND(H850&gt;0,ISNUMBER(D850),COUNTIF(Envelopes!$B$6:$B$21,C850)&gt;0,F850=""),1,0)</f>
        <v/>
      </c>
      <c r="J850">
        <f>IF(AND(H850&gt;0,ISNUMBER(D850),COUNTIF(Envelopes!$B$6:$B$21,C850)&gt;0,F850&lt;&gt;"",COUNTIF(Envelopes!$B$6:$B$21,F850)&gt;0),1,0)</f>
        <v/>
      </c>
      <c r="K850">
        <f>IF(I850=1,H850*10000+ROW(),"")</f>
        <v/>
      </c>
    </row>
    <row r="851">
      <c r="A851" s="1" t="n"/>
      <c r="B851" s="21" t="n"/>
      <c r="C851" s="23" t="n"/>
      <c r="D851" s="22" t="n"/>
      <c r="E851" s="24" t="n"/>
      <c r="F851" s="25" t="n"/>
      <c r="G851" s="18">
        <f>IF(AND(C851="",D851=""),"",IF(NOT(ISNUMBER(B851)),"Needs a date",IF(NOT(ISNUMBER(D851)),"Needs the amount",IF(C851="","Needs an envelope",IF(COUNTIF(Envelopes!$B$6:$B$21,C851)=0,"Not on Envelopes",IF(F851="",IF(D851=0,"Needs the amount",""),IF(COUNTIF(Envelopes!$B$6:$B$21,F851)=0,"Moved to: not on Envelopes",IF(D851&lt;=0,"A move needs an amount",IF(F851=C851,"Moved to the same envelope","")))))))))</f>
        <v/>
      </c>
      <c r="H851" s="1">
        <f>IF(ISNUMBER(B851),INT(B851),0)</f>
        <v/>
      </c>
      <c r="I851">
        <f>IF(AND(H851&gt;0,ISNUMBER(D851),COUNTIF(Envelopes!$B$6:$B$21,C851)&gt;0,F851=""),1,0)</f>
        <v/>
      </c>
      <c r="J851">
        <f>IF(AND(H851&gt;0,ISNUMBER(D851),COUNTIF(Envelopes!$B$6:$B$21,C851)&gt;0,F851&lt;&gt;"",COUNTIF(Envelopes!$B$6:$B$21,F851)&gt;0),1,0)</f>
        <v/>
      </c>
      <c r="K851">
        <f>IF(I851=1,H851*10000+ROW(),"")</f>
        <v/>
      </c>
    </row>
    <row r="852">
      <c r="A852" s="1" t="n"/>
      <c r="B852" s="21" t="n"/>
      <c r="C852" s="23" t="n"/>
      <c r="D852" s="22" t="n"/>
      <c r="E852" s="24" t="n"/>
      <c r="F852" s="25" t="n"/>
      <c r="G852" s="18">
        <f>IF(AND(C852="",D852=""),"",IF(NOT(ISNUMBER(B852)),"Needs a date",IF(NOT(ISNUMBER(D852)),"Needs the amount",IF(C852="","Needs an envelope",IF(COUNTIF(Envelopes!$B$6:$B$21,C852)=0,"Not on Envelopes",IF(F852="",IF(D852=0,"Needs the amount",""),IF(COUNTIF(Envelopes!$B$6:$B$21,F852)=0,"Moved to: not on Envelopes",IF(D852&lt;=0,"A move needs an amount",IF(F852=C852,"Moved to the same envelope","")))))))))</f>
        <v/>
      </c>
      <c r="H852" s="1">
        <f>IF(ISNUMBER(B852),INT(B852),0)</f>
        <v/>
      </c>
      <c r="I852">
        <f>IF(AND(H852&gt;0,ISNUMBER(D852),COUNTIF(Envelopes!$B$6:$B$21,C852)&gt;0,F852=""),1,0)</f>
        <v/>
      </c>
      <c r="J852">
        <f>IF(AND(H852&gt;0,ISNUMBER(D852),COUNTIF(Envelopes!$B$6:$B$21,C852)&gt;0,F852&lt;&gt;"",COUNTIF(Envelopes!$B$6:$B$21,F852)&gt;0),1,0)</f>
        <v/>
      </c>
      <c r="K852">
        <f>IF(I852=1,H852*10000+ROW(),"")</f>
        <v/>
      </c>
    </row>
    <row r="853">
      <c r="A853" s="1" t="n"/>
      <c r="B853" s="21" t="n"/>
      <c r="C853" s="23" t="n"/>
      <c r="D853" s="22" t="n"/>
      <c r="E853" s="24" t="n"/>
      <c r="F853" s="25" t="n"/>
      <c r="G853" s="18">
        <f>IF(AND(C853="",D853=""),"",IF(NOT(ISNUMBER(B853)),"Needs a date",IF(NOT(ISNUMBER(D853)),"Needs the amount",IF(C853="","Needs an envelope",IF(COUNTIF(Envelopes!$B$6:$B$21,C853)=0,"Not on Envelopes",IF(F853="",IF(D853=0,"Needs the amount",""),IF(COUNTIF(Envelopes!$B$6:$B$21,F853)=0,"Moved to: not on Envelopes",IF(D853&lt;=0,"A move needs an amount",IF(F853=C853,"Moved to the same envelope","")))))))))</f>
        <v/>
      </c>
      <c r="H853" s="1">
        <f>IF(ISNUMBER(B853),INT(B853),0)</f>
        <v/>
      </c>
      <c r="I853">
        <f>IF(AND(H853&gt;0,ISNUMBER(D853),COUNTIF(Envelopes!$B$6:$B$21,C853)&gt;0,F853=""),1,0)</f>
        <v/>
      </c>
      <c r="J853">
        <f>IF(AND(H853&gt;0,ISNUMBER(D853),COUNTIF(Envelopes!$B$6:$B$21,C853)&gt;0,F853&lt;&gt;"",COUNTIF(Envelopes!$B$6:$B$21,F853)&gt;0),1,0)</f>
        <v/>
      </c>
      <c r="K853">
        <f>IF(I853=1,H853*10000+ROW(),"")</f>
        <v/>
      </c>
    </row>
    <row r="854">
      <c r="A854" s="1" t="n"/>
      <c r="B854" s="21" t="n"/>
      <c r="C854" s="23" t="n"/>
      <c r="D854" s="22" t="n"/>
      <c r="E854" s="24" t="n"/>
      <c r="F854" s="25" t="n"/>
      <c r="G854" s="18">
        <f>IF(AND(C854="",D854=""),"",IF(NOT(ISNUMBER(B854)),"Needs a date",IF(NOT(ISNUMBER(D854)),"Needs the amount",IF(C854="","Needs an envelope",IF(COUNTIF(Envelopes!$B$6:$B$21,C854)=0,"Not on Envelopes",IF(F854="",IF(D854=0,"Needs the amount",""),IF(COUNTIF(Envelopes!$B$6:$B$21,F854)=0,"Moved to: not on Envelopes",IF(D854&lt;=0,"A move needs an amount",IF(F854=C854,"Moved to the same envelope","")))))))))</f>
        <v/>
      </c>
      <c r="H854" s="1">
        <f>IF(ISNUMBER(B854),INT(B854),0)</f>
        <v/>
      </c>
      <c r="I854">
        <f>IF(AND(H854&gt;0,ISNUMBER(D854),COUNTIF(Envelopes!$B$6:$B$21,C854)&gt;0,F854=""),1,0)</f>
        <v/>
      </c>
      <c r="J854">
        <f>IF(AND(H854&gt;0,ISNUMBER(D854),COUNTIF(Envelopes!$B$6:$B$21,C854)&gt;0,F854&lt;&gt;"",COUNTIF(Envelopes!$B$6:$B$21,F854)&gt;0),1,0)</f>
        <v/>
      </c>
      <c r="K854">
        <f>IF(I854=1,H854*10000+ROW(),"")</f>
        <v/>
      </c>
    </row>
    <row r="855">
      <c r="A855" s="1" t="n"/>
      <c r="B855" s="21" t="n"/>
      <c r="C855" s="23" t="n"/>
      <c r="D855" s="22" t="n"/>
      <c r="E855" s="24" t="n"/>
      <c r="F855" s="25" t="n"/>
      <c r="G855" s="18">
        <f>IF(AND(C855="",D855=""),"",IF(NOT(ISNUMBER(B855)),"Needs a date",IF(NOT(ISNUMBER(D855)),"Needs the amount",IF(C855="","Needs an envelope",IF(COUNTIF(Envelopes!$B$6:$B$21,C855)=0,"Not on Envelopes",IF(F855="",IF(D855=0,"Needs the amount",""),IF(COUNTIF(Envelopes!$B$6:$B$21,F855)=0,"Moved to: not on Envelopes",IF(D855&lt;=0,"A move needs an amount",IF(F855=C855,"Moved to the same envelope","")))))))))</f>
        <v/>
      </c>
      <c r="H855" s="1">
        <f>IF(ISNUMBER(B855),INT(B855),0)</f>
        <v/>
      </c>
      <c r="I855">
        <f>IF(AND(H855&gt;0,ISNUMBER(D855),COUNTIF(Envelopes!$B$6:$B$21,C855)&gt;0,F855=""),1,0)</f>
        <v/>
      </c>
      <c r="J855">
        <f>IF(AND(H855&gt;0,ISNUMBER(D855),COUNTIF(Envelopes!$B$6:$B$21,C855)&gt;0,F855&lt;&gt;"",COUNTIF(Envelopes!$B$6:$B$21,F855)&gt;0),1,0)</f>
        <v/>
      </c>
      <c r="K855">
        <f>IF(I855=1,H855*10000+ROW(),"")</f>
        <v/>
      </c>
    </row>
    <row r="856">
      <c r="A856" s="1" t="n"/>
      <c r="B856" s="21" t="n"/>
      <c r="C856" s="23" t="n"/>
      <c r="D856" s="22" t="n"/>
      <c r="E856" s="24" t="n"/>
      <c r="F856" s="25" t="n"/>
      <c r="G856" s="18">
        <f>IF(AND(C856="",D856=""),"",IF(NOT(ISNUMBER(B856)),"Needs a date",IF(NOT(ISNUMBER(D856)),"Needs the amount",IF(C856="","Needs an envelope",IF(COUNTIF(Envelopes!$B$6:$B$21,C856)=0,"Not on Envelopes",IF(F856="",IF(D856=0,"Needs the amount",""),IF(COUNTIF(Envelopes!$B$6:$B$21,F856)=0,"Moved to: not on Envelopes",IF(D856&lt;=0,"A move needs an amount",IF(F856=C856,"Moved to the same envelope","")))))))))</f>
        <v/>
      </c>
      <c r="H856" s="1">
        <f>IF(ISNUMBER(B856),INT(B856),0)</f>
        <v/>
      </c>
      <c r="I856">
        <f>IF(AND(H856&gt;0,ISNUMBER(D856),COUNTIF(Envelopes!$B$6:$B$21,C856)&gt;0,F856=""),1,0)</f>
        <v/>
      </c>
      <c r="J856">
        <f>IF(AND(H856&gt;0,ISNUMBER(D856),COUNTIF(Envelopes!$B$6:$B$21,C856)&gt;0,F856&lt;&gt;"",COUNTIF(Envelopes!$B$6:$B$21,F856)&gt;0),1,0)</f>
        <v/>
      </c>
      <c r="K856">
        <f>IF(I856=1,H856*10000+ROW(),"")</f>
        <v/>
      </c>
    </row>
    <row r="857">
      <c r="A857" s="1" t="n"/>
      <c r="B857" s="21" t="n"/>
      <c r="C857" s="23" t="n"/>
      <c r="D857" s="22" t="n"/>
      <c r="E857" s="24" t="n"/>
      <c r="F857" s="25" t="n"/>
      <c r="G857" s="18">
        <f>IF(AND(C857="",D857=""),"",IF(NOT(ISNUMBER(B857)),"Needs a date",IF(NOT(ISNUMBER(D857)),"Needs the amount",IF(C857="","Needs an envelope",IF(COUNTIF(Envelopes!$B$6:$B$21,C857)=0,"Not on Envelopes",IF(F857="",IF(D857=0,"Needs the amount",""),IF(COUNTIF(Envelopes!$B$6:$B$21,F857)=0,"Moved to: not on Envelopes",IF(D857&lt;=0,"A move needs an amount",IF(F857=C857,"Moved to the same envelope","")))))))))</f>
        <v/>
      </c>
      <c r="H857" s="1">
        <f>IF(ISNUMBER(B857),INT(B857),0)</f>
        <v/>
      </c>
      <c r="I857">
        <f>IF(AND(H857&gt;0,ISNUMBER(D857),COUNTIF(Envelopes!$B$6:$B$21,C857)&gt;0,F857=""),1,0)</f>
        <v/>
      </c>
      <c r="J857">
        <f>IF(AND(H857&gt;0,ISNUMBER(D857),COUNTIF(Envelopes!$B$6:$B$21,C857)&gt;0,F857&lt;&gt;"",COUNTIF(Envelopes!$B$6:$B$21,F857)&gt;0),1,0)</f>
        <v/>
      </c>
      <c r="K857">
        <f>IF(I857=1,H857*10000+ROW(),"")</f>
        <v/>
      </c>
    </row>
    <row r="858">
      <c r="A858" s="1" t="n"/>
      <c r="B858" s="21" t="n"/>
      <c r="C858" s="23" t="n"/>
      <c r="D858" s="22" t="n"/>
      <c r="E858" s="24" t="n"/>
      <c r="F858" s="25" t="n"/>
      <c r="G858" s="18">
        <f>IF(AND(C858="",D858=""),"",IF(NOT(ISNUMBER(B858)),"Needs a date",IF(NOT(ISNUMBER(D858)),"Needs the amount",IF(C858="","Needs an envelope",IF(COUNTIF(Envelopes!$B$6:$B$21,C858)=0,"Not on Envelopes",IF(F858="",IF(D858=0,"Needs the amount",""),IF(COUNTIF(Envelopes!$B$6:$B$21,F858)=0,"Moved to: not on Envelopes",IF(D858&lt;=0,"A move needs an amount",IF(F858=C858,"Moved to the same envelope","")))))))))</f>
        <v/>
      </c>
      <c r="H858" s="1">
        <f>IF(ISNUMBER(B858),INT(B858),0)</f>
        <v/>
      </c>
      <c r="I858">
        <f>IF(AND(H858&gt;0,ISNUMBER(D858),COUNTIF(Envelopes!$B$6:$B$21,C858)&gt;0,F858=""),1,0)</f>
        <v/>
      </c>
      <c r="J858">
        <f>IF(AND(H858&gt;0,ISNUMBER(D858),COUNTIF(Envelopes!$B$6:$B$21,C858)&gt;0,F858&lt;&gt;"",COUNTIF(Envelopes!$B$6:$B$21,F858)&gt;0),1,0)</f>
        <v/>
      </c>
      <c r="K858">
        <f>IF(I858=1,H858*10000+ROW(),"")</f>
        <v/>
      </c>
    </row>
    <row r="859">
      <c r="A859" s="1" t="n"/>
      <c r="B859" s="21" t="n"/>
      <c r="C859" s="23" t="n"/>
      <c r="D859" s="22" t="n"/>
      <c r="E859" s="24" t="n"/>
      <c r="F859" s="25" t="n"/>
      <c r="G859" s="18">
        <f>IF(AND(C859="",D859=""),"",IF(NOT(ISNUMBER(B859)),"Needs a date",IF(NOT(ISNUMBER(D859)),"Needs the amount",IF(C859="","Needs an envelope",IF(COUNTIF(Envelopes!$B$6:$B$21,C859)=0,"Not on Envelopes",IF(F859="",IF(D859=0,"Needs the amount",""),IF(COUNTIF(Envelopes!$B$6:$B$21,F859)=0,"Moved to: not on Envelopes",IF(D859&lt;=0,"A move needs an amount",IF(F859=C859,"Moved to the same envelope","")))))))))</f>
        <v/>
      </c>
      <c r="H859" s="1">
        <f>IF(ISNUMBER(B859),INT(B859),0)</f>
        <v/>
      </c>
      <c r="I859">
        <f>IF(AND(H859&gt;0,ISNUMBER(D859),COUNTIF(Envelopes!$B$6:$B$21,C859)&gt;0,F859=""),1,0)</f>
        <v/>
      </c>
      <c r="J859">
        <f>IF(AND(H859&gt;0,ISNUMBER(D859),COUNTIF(Envelopes!$B$6:$B$21,C859)&gt;0,F859&lt;&gt;"",COUNTIF(Envelopes!$B$6:$B$21,F859)&gt;0),1,0)</f>
        <v/>
      </c>
      <c r="K859">
        <f>IF(I859=1,H859*10000+ROW(),"")</f>
        <v/>
      </c>
    </row>
    <row r="860">
      <c r="A860" s="1" t="n"/>
      <c r="B860" s="21" t="n"/>
      <c r="C860" s="23" t="n"/>
      <c r="D860" s="22" t="n"/>
      <c r="E860" s="24" t="n"/>
      <c r="F860" s="25" t="n"/>
      <c r="G860" s="18">
        <f>IF(AND(C860="",D860=""),"",IF(NOT(ISNUMBER(B860)),"Needs a date",IF(NOT(ISNUMBER(D860)),"Needs the amount",IF(C860="","Needs an envelope",IF(COUNTIF(Envelopes!$B$6:$B$21,C860)=0,"Not on Envelopes",IF(F860="",IF(D860=0,"Needs the amount",""),IF(COUNTIF(Envelopes!$B$6:$B$21,F860)=0,"Moved to: not on Envelopes",IF(D860&lt;=0,"A move needs an amount",IF(F860=C860,"Moved to the same envelope","")))))))))</f>
        <v/>
      </c>
      <c r="H860" s="1">
        <f>IF(ISNUMBER(B860),INT(B860),0)</f>
        <v/>
      </c>
      <c r="I860">
        <f>IF(AND(H860&gt;0,ISNUMBER(D860),COUNTIF(Envelopes!$B$6:$B$21,C860)&gt;0,F860=""),1,0)</f>
        <v/>
      </c>
      <c r="J860">
        <f>IF(AND(H860&gt;0,ISNUMBER(D860),COUNTIF(Envelopes!$B$6:$B$21,C860)&gt;0,F860&lt;&gt;"",COUNTIF(Envelopes!$B$6:$B$21,F860)&gt;0),1,0)</f>
        <v/>
      </c>
      <c r="K860">
        <f>IF(I860=1,H860*10000+ROW(),"")</f>
        <v/>
      </c>
    </row>
    <row r="861">
      <c r="A861" s="1" t="n"/>
      <c r="B861" s="21" t="n"/>
      <c r="C861" s="23" t="n"/>
      <c r="D861" s="22" t="n"/>
      <c r="E861" s="24" t="n"/>
      <c r="F861" s="25" t="n"/>
      <c r="G861" s="18">
        <f>IF(AND(C861="",D861=""),"",IF(NOT(ISNUMBER(B861)),"Needs a date",IF(NOT(ISNUMBER(D861)),"Needs the amount",IF(C861="","Needs an envelope",IF(COUNTIF(Envelopes!$B$6:$B$21,C861)=0,"Not on Envelopes",IF(F861="",IF(D861=0,"Needs the amount",""),IF(COUNTIF(Envelopes!$B$6:$B$21,F861)=0,"Moved to: not on Envelopes",IF(D861&lt;=0,"A move needs an amount",IF(F861=C861,"Moved to the same envelope","")))))))))</f>
        <v/>
      </c>
      <c r="H861" s="1">
        <f>IF(ISNUMBER(B861),INT(B861),0)</f>
        <v/>
      </c>
      <c r="I861">
        <f>IF(AND(H861&gt;0,ISNUMBER(D861),COUNTIF(Envelopes!$B$6:$B$21,C861)&gt;0,F861=""),1,0)</f>
        <v/>
      </c>
      <c r="J861">
        <f>IF(AND(H861&gt;0,ISNUMBER(D861),COUNTIF(Envelopes!$B$6:$B$21,C861)&gt;0,F861&lt;&gt;"",COUNTIF(Envelopes!$B$6:$B$21,F861)&gt;0),1,0)</f>
        <v/>
      </c>
      <c r="K861">
        <f>IF(I861=1,H861*10000+ROW(),"")</f>
        <v/>
      </c>
    </row>
    <row r="862">
      <c r="A862" s="1" t="n"/>
      <c r="B862" s="21" t="n"/>
      <c r="C862" s="23" t="n"/>
      <c r="D862" s="22" t="n"/>
      <c r="E862" s="24" t="n"/>
      <c r="F862" s="25" t="n"/>
      <c r="G862" s="18">
        <f>IF(AND(C862="",D862=""),"",IF(NOT(ISNUMBER(B862)),"Needs a date",IF(NOT(ISNUMBER(D862)),"Needs the amount",IF(C862="","Needs an envelope",IF(COUNTIF(Envelopes!$B$6:$B$21,C862)=0,"Not on Envelopes",IF(F862="",IF(D862=0,"Needs the amount",""),IF(COUNTIF(Envelopes!$B$6:$B$21,F862)=0,"Moved to: not on Envelopes",IF(D862&lt;=0,"A move needs an amount",IF(F862=C862,"Moved to the same envelope","")))))))))</f>
        <v/>
      </c>
      <c r="H862" s="1">
        <f>IF(ISNUMBER(B862),INT(B862),0)</f>
        <v/>
      </c>
      <c r="I862">
        <f>IF(AND(H862&gt;0,ISNUMBER(D862),COUNTIF(Envelopes!$B$6:$B$21,C862)&gt;0,F862=""),1,0)</f>
        <v/>
      </c>
      <c r="J862">
        <f>IF(AND(H862&gt;0,ISNUMBER(D862),COUNTIF(Envelopes!$B$6:$B$21,C862)&gt;0,F862&lt;&gt;"",COUNTIF(Envelopes!$B$6:$B$21,F862)&gt;0),1,0)</f>
        <v/>
      </c>
      <c r="K862">
        <f>IF(I862=1,H862*10000+ROW(),"")</f>
        <v/>
      </c>
    </row>
    <row r="863">
      <c r="A863" s="1" t="n"/>
      <c r="B863" s="21" t="n"/>
      <c r="C863" s="23" t="n"/>
      <c r="D863" s="22" t="n"/>
      <c r="E863" s="24" t="n"/>
      <c r="F863" s="25" t="n"/>
      <c r="G863" s="18">
        <f>IF(AND(C863="",D863=""),"",IF(NOT(ISNUMBER(B863)),"Needs a date",IF(NOT(ISNUMBER(D863)),"Needs the amount",IF(C863="","Needs an envelope",IF(COUNTIF(Envelopes!$B$6:$B$21,C863)=0,"Not on Envelopes",IF(F863="",IF(D863=0,"Needs the amount",""),IF(COUNTIF(Envelopes!$B$6:$B$21,F863)=0,"Moved to: not on Envelopes",IF(D863&lt;=0,"A move needs an amount",IF(F863=C863,"Moved to the same envelope","")))))))))</f>
        <v/>
      </c>
      <c r="H863" s="1">
        <f>IF(ISNUMBER(B863),INT(B863),0)</f>
        <v/>
      </c>
      <c r="I863">
        <f>IF(AND(H863&gt;0,ISNUMBER(D863),COUNTIF(Envelopes!$B$6:$B$21,C863)&gt;0,F863=""),1,0)</f>
        <v/>
      </c>
      <c r="J863">
        <f>IF(AND(H863&gt;0,ISNUMBER(D863),COUNTIF(Envelopes!$B$6:$B$21,C863)&gt;0,F863&lt;&gt;"",COUNTIF(Envelopes!$B$6:$B$21,F863)&gt;0),1,0)</f>
        <v/>
      </c>
      <c r="K863">
        <f>IF(I863=1,H863*10000+ROW(),"")</f>
        <v/>
      </c>
    </row>
    <row r="864">
      <c r="A864" s="1" t="n"/>
      <c r="B864" s="21" t="n"/>
      <c r="C864" s="23" t="n"/>
      <c r="D864" s="22" t="n"/>
      <c r="E864" s="24" t="n"/>
      <c r="F864" s="25" t="n"/>
      <c r="G864" s="18">
        <f>IF(AND(C864="",D864=""),"",IF(NOT(ISNUMBER(B864)),"Needs a date",IF(NOT(ISNUMBER(D864)),"Needs the amount",IF(C864="","Needs an envelope",IF(COUNTIF(Envelopes!$B$6:$B$21,C864)=0,"Not on Envelopes",IF(F864="",IF(D864=0,"Needs the amount",""),IF(COUNTIF(Envelopes!$B$6:$B$21,F864)=0,"Moved to: not on Envelopes",IF(D864&lt;=0,"A move needs an amount",IF(F864=C864,"Moved to the same envelope","")))))))))</f>
        <v/>
      </c>
      <c r="H864" s="1">
        <f>IF(ISNUMBER(B864),INT(B864),0)</f>
        <v/>
      </c>
      <c r="I864">
        <f>IF(AND(H864&gt;0,ISNUMBER(D864),COUNTIF(Envelopes!$B$6:$B$21,C864)&gt;0,F864=""),1,0)</f>
        <v/>
      </c>
      <c r="J864">
        <f>IF(AND(H864&gt;0,ISNUMBER(D864),COUNTIF(Envelopes!$B$6:$B$21,C864)&gt;0,F864&lt;&gt;"",COUNTIF(Envelopes!$B$6:$B$21,F864)&gt;0),1,0)</f>
        <v/>
      </c>
      <c r="K864">
        <f>IF(I864=1,H864*10000+ROW(),"")</f>
        <v/>
      </c>
    </row>
    <row r="865">
      <c r="A865" s="1" t="n"/>
      <c r="B865" s="21" t="n"/>
      <c r="C865" s="23" t="n"/>
      <c r="D865" s="22" t="n"/>
      <c r="E865" s="24" t="n"/>
      <c r="F865" s="25" t="n"/>
      <c r="G865" s="18">
        <f>IF(AND(C865="",D865=""),"",IF(NOT(ISNUMBER(B865)),"Needs a date",IF(NOT(ISNUMBER(D865)),"Needs the amount",IF(C865="","Needs an envelope",IF(COUNTIF(Envelopes!$B$6:$B$21,C865)=0,"Not on Envelopes",IF(F865="",IF(D865=0,"Needs the amount",""),IF(COUNTIF(Envelopes!$B$6:$B$21,F865)=0,"Moved to: not on Envelopes",IF(D865&lt;=0,"A move needs an amount",IF(F865=C865,"Moved to the same envelope","")))))))))</f>
        <v/>
      </c>
      <c r="H865" s="1">
        <f>IF(ISNUMBER(B865),INT(B865),0)</f>
        <v/>
      </c>
      <c r="I865">
        <f>IF(AND(H865&gt;0,ISNUMBER(D865),COUNTIF(Envelopes!$B$6:$B$21,C865)&gt;0,F865=""),1,0)</f>
        <v/>
      </c>
      <c r="J865">
        <f>IF(AND(H865&gt;0,ISNUMBER(D865),COUNTIF(Envelopes!$B$6:$B$21,C865)&gt;0,F865&lt;&gt;"",COUNTIF(Envelopes!$B$6:$B$21,F865)&gt;0),1,0)</f>
        <v/>
      </c>
      <c r="K865">
        <f>IF(I865=1,H865*10000+ROW(),"")</f>
        <v/>
      </c>
    </row>
    <row r="866">
      <c r="A866" s="1" t="n"/>
      <c r="B866" s="21" t="n"/>
      <c r="C866" s="23" t="n"/>
      <c r="D866" s="22" t="n"/>
      <c r="E866" s="24" t="n"/>
      <c r="F866" s="25" t="n"/>
      <c r="G866" s="18">
        <f>IF(AND(C866="",D866=""),"",IF(NOT(ISNUMBER(B866)),"Needs a date",IF(NOT(ISNUMBER(D866)),"Needs the amount",IF(C866="","Needs an envelope",IF(COUNTIF(Envelopes!$B$6:$B$21,C866)=0,"Not on Envelopes",IF(F866="",IF(D866=0,"Needs the amount",""),IF(COUNTIF(Envelopes!$B$6:$B$21,F866)=0,"Moved to: not on Envelopes",IF(D866&lt;=0,"A move needs an amount",IF(F866=C866,"Moved to the same envelope","")))))))))</f>
        <v/>
      </c>
      <c r="H866" s="1">
        <f>IF(ISNUMBER(B866),INT(B866),0)</f>
        <v/>
      </c>
      <c r="I866">
        <f>IF(AND(H866&gt;0,ISNUMBER(D866),COUNTIF(Envelopes!$B$6:$B$21,C866)&gt;0,F866=""),1,0)</f>
        <v/>
      </c>
      <c r="J866">
        <f>IF(AND(H866&gt;0,ISNUMBER(D866),COUNTIF(Envelopes!$B$6:$B$21,C866)&gt;0,F866&lt;&gt;"",COUNTIF(Envelopes!$B$6:$B$21,F866)&gt;0),1,0)</f>
        <v/>
      </c>
      <c r="K866">
        <f>IF(I866=1,H866*10000+ROW(),"")</f>
        <v/>
      </c>
    </row>
    <row r="867">
      <c r="A867" s="1" t="n"/>
      <c r="B867" s="21" t="n"/>
      <c r="C867" s="23" t="n"/>
      <c r="D867" s="22" t="n"/>
      <c r="E867" s="24" t="n"/>
      <c r="F867" s="25" t="n"/>
      <c r="G867" s="18">
        <f>IF(AND(C867="",D867=""),"",IF(NOT(ISNUMBER(B867)),"Needs a date",IF(NOT(ISNUMBER(D867)),"Needs the amount",IF(C867="","Needs an envelope",IF(COUNTIF(Envelopes!$B$6:$B$21,C867)=0,"Not on Envelopes",IF(F867="",IF(D867=0,"Needs the amount",""),IF(COUNTIF(Envelopes!$B$6:$B$21,F867)=0,"Moved to: not on Envelopes",IF(D867&lt;=0,"A move needs an amount",IF(F867=C867,"Moved to the same envelope","")))))))))</f>
        <v/>
      </c>
      <c r="H867" s="1">
        <f>IF(ISNUMBER(B867),INT(B867),0)</f>
        <v/>
      </c>
      <c r="I867">
        <f>IF(AND(H867&gt;0,ISNUMBER(D867),COUNTIF(Envelopes!$B$6:$B$21,C867)&gt;0,F867=""),1,0)</f>
        <v/>
      </c>
      <c r="J867">
        <f>IF(AND(H867&gt;0,ISNUMBER(D867),COUNTIF(Envelopes!$B$6:$B$21,C867)&gt;0,F867&lt;&gt;"",COUNTIF(Envelopes!$B$6:$B$21,F867)&gt;0),1,0)</f>
        <v/>
      </c>
      <c r="K867">
        <f>IF(I867=1,H867*10000+ROW(),"")</f>
        <v/>
      </c>
    </row>
    <row r="868">
      <c r="A868" s="1" t="n"/>
      <c r="B868" s="21" t="n"/>
      <c r="C868" s="23" t="n"/>
      <c r="D868" s="22" t="n"/>
      <c r="E868" s="24" t="n"/>
      <c r="F868" s="25" t="n"/>
      <c r="G868" s="18">
        <f>IF(AND(C868="",D868=""),"",IF(NOT(ISNUMBER(B868)),"Needs a date",IF(NOT(ISNUMBER(D868)),"Needs the amount",IF(C868="","Needs an envelope",IF(COUNTIF(Envelopes!$B$6:$B$21,C868)=0,"Not on Envelopes",IF(F868="",IF(D868=0,"Needs the amount",""),IF(COUNTIF(Envelopes!$B$6:$B$21,F868)=0,"Moved to: not on Envelopes",IF(D868&lt;=0,"A move needs an amount",IF(F868=C868,"Moved to the same envelope","")))))))))</f>
        <v/>
      </c>
      <c r="H868" s="1">
        <f>IF(ISNUMBER(B868),INT(B868),0)</f>
        <v/>
      </c>
      <c r="I868">
        <f>IF(AND(H868&gt;0,ISNUMBER(D868),COUNTIF(Envelopes!$B$6:$B$21,C868)&gt;0,F868=""),1,0)</f>
        <v/>
      </c>
      <c r="J868">
        <f>IF(AND(H868&gt;0,ISNUMBER(D868),COUNTIF(Envelopes!$B$6:$B$21,C868)&gt;0,F868&lt;&gt;"",COUNTIF(Envelopes!$B$6:$B$21,F868)&gt;0),1,0)</f>
        <v/>
      </c>
      <c r="K868">
        <f>IF(I868=1,H868*10000+ROW(),"")</f>
        <v/>
      </c>
    </row>
    <row r="869">
      <c r="A869" s="1" t="n"/>
      <c r="B869" s="21" t="n"/>
      <c r="C869" s="23" t="n"/>
      <c r="D869" s="22" t="n"/>
      <c r="E869" s="24" t="n"/>
      <c r="F869" s="25" t="n"/>
      <c r="G869" s="18">
        <f>IF(AND(C869="",D869=""),"",IF(NOT(ISNUMBER(B869)),"Needs a date",IF(NOT(ISNUMBER(D869)),"Needs the amount",IF(C869="","Needs an envelope",IF(COUNTIF(Envelopes!$B$6:$B$21,C869)=0,"Not on Envelopes",IF(F869="",IF(D869=0,"Needs the amount",""),IF(COUNTIF(Envelopes!$B$6:$B$21,F869)=0,"Moved to: not on Envelopes",IF(D869&lt;=0,"A move needs an amount",IF(F869=C869,"Moved to the same envelope","")))))))))</f>
        <v/>
      </c>
      <c r="H869" s="1">
        <f>IF(ISNUMBER(B869),INT(B869),0)</f>
        <v/>
      </c>
      <c r="I869">
        <f>IF(AND(H869&gt;0,ISNUMBER(D869),COUNTIF(Envelopes!$B$6:$B$21,C869)&gt;0,F869=""),1,0)</f>
        <v/>
      </c>
      <c r="J869">
        <f>IF(AND(H869&gt;0,ISNUMBER(D869),COUNTIF(Envelopes!$B$6:$B$21,C869)&gt;0,F869&lt;&gt;"",COUNTIF(Envelopes!$B$6:$B$21,F869)&gt;0),1,0)</f>
        <v/>
      </c>
      <c r="K869">
        <f>IF(I869=1,H869*10000+ROW(),"")</f>
        <v/>
      </c>
    </row>
    <row r="870">
      <c r="A870" s="1" t="n"/>
      <c r="B870" s="21" t="n"/>
      <c r="C870" s="23" t="n"/>
      <c r="D870" s="22" t="n"/>
      <c r="E870" s="24" t="n"/>
      <c r="F870" s="25" t="n"/>
      <c r="G870" s="18">
        <f>IF(AND(C870="",D870=""),"",IF(NOT(ISNUMBER(B870)),"Needs a date",IF(NOT(ISNUMBER(D870)),"Needs the amount",IF(C870="","Needs an envelope",IF(COUNTIF(Envelopes!$B$6:$B$21,C870)=0,"Not on Envelopes",IF(F870="",IF(D870=0,"Needs the amount",""),IF(COUNTIF(Envelopes!$B$6:$B$21,F870)=0,"Moved to: not on Envelopes",IF(D870&lt;=0,"A move needs an amount",IF(F870=C870,"Moved to the same envelope","")))))))))</f>
        <v/>
      </c>
      <c r="H870" s="1">
        <f>IF(ISNUMBER(B870),INT(B870),0)</f>
        <v/>
      </c>
      <c r="I870">
        <f>IF(AND(H870&gt;0,ISNUMBER(D870),COUNTIF(Envelopes!$B$6:$B$21,C870)&gt;0,F870=""),1,0)</f>
        <v/>
      </c>
      <c r="J870">
        <f>IF(AND(H870&gt;0,ISNUMBER(D870),COUNTIF(Envelopes!$B$6:$B$21,C870)&gt;0,F870&lt;&gt;"",COUNTIF(Envelopes!$B$6:$B$21,F870)&gt;0),1,0)</f>
        <v/>
      </c>
      <c r="K870">
        <f>IF(I870=1,H870*10000+ROW(),"")</f>
        <v/>
      </c>
    </row>
    <row r="871">
      <c r="A871" s="1" t="n"/>
      <c r="B871" s="21" t="n"/>
      <c r="C871" s="23" t="n"/>
      <c r="D871" s="22" t="n"/>
      <c r="E871" s="24" t="n"/>
      <c r="F871" s="25" t="n"/>
      <c r="G871" s="18">
        <f>IF(AND(C871="",D871=""),"",IF(NOT(ISNUMBER(B871)),"Needs a date",IF(NOT(ISNUMBER(D871)),"Needs the amount",IF(C871="","Needs an envelope",IF(COUNTIF(Envelopes!$B$6:$B$21,C871)=0,"Not on Envelopes",IF(F871="",IF(D871=0,"Needs the amount",""),IF(COUNTIF(Envelopes!$B$6:$B$21,F871)=0,"Moved to: not on Envelopes",IF(D871&lt;=0,"A move needs an amount",IF(F871=C871,"Moved to the same envelope","")))))))))</f>
        <v/>
      </c>
      <c r="H871" s="1">
        <f>IF(ISNUMBER(B871),INT(B871),0)</f>
        <v/>
      </c>
      <c r="I871">
        <f>IF(AND(H871&gt;0,ISNUMBER(D871),COUNTIF(Envelopes!$B$6:$B$21,C871)&gt;0,F871=""),1,0)</f>
        <v/>
      </c>
      <c r="J871">
        <f>IF(AND(H871&gt;0,ISNUMBER(D871),COUNTIF(Envelopes!$B$6:$B$21,C871)&gt;0,F871&lt;&gt;"",COUNTIF(Envelopes!$B$6:$B$21,F871)&gt;0),1,0)</f>
        <v/>
      </c>
      <c r="K871">
        <f>IF(I871=1,H871*10000+ROW(),"")</f>
        <v/>
      </c>
    </row>
    <row r="872">
      <c r="A872" s="1" t="n"/>
      <c r="B872" s="21" t="n"/>
      <c r="C872" s="23" t="n"/>
      <c r="D872" s="22" t="n"/>
      <c r="E872" s="24" t="n"/>
      <c r="F872" s="25" t="n"/>
      <c r="G872" s="18">
        <f>IF(AND(C872="",D872=""),"",IF(NOT(ISNUMBER(B872)),"Needs a date",IF(NOT(ISNUMBER(D872)),"Needs the amount",IF(C872="","Needs an envelope",IF(COUNTIF(Envelopes!$B$6:$B$21,C872)=0,"Not on Envelopes",IF(F872="",IF(D872=0,"Needs the amount",""),IF(COUNTIF(Envelopes!$B$6:$B$21,F872)=0,"Moved to: not on Envelopes",IF(D872&lt;=0,"A move needs an amount",IF(F872=C872,"Moved to the same envelope","")))))))))</f>
        <v/>
      </c>
      <c r="H872" s="1">
        <f>IF(ISNUMBER(B872),INT(B872),0)</f>
        <v/>
      </c>
      <c r="I872">
        <f>IF(AND(H872&gt;0,ISNUMBER(D872),COUNTIF(Envelopes!$B$6:$B$21,C872)&gt;0,F872=""),1,0)</f>
        <v/>
      </c>
      <c r="J872">
        <f>IF(AND(H872&gt;0,ISNUMBER(D872),COUNTIF(Envelopes!$B$6:$B$21,C872)&gt;0,F872&lt;&gt;"",COUNTIF(Envelopes!$B$6:$B$21,F872)&gt;0),1,0)</f>
        <v/>
      </c>
      <c r="K872">
        <f>IF(I872=1,H872*10000+ROW(),"")</f>
        <v/>
      </c>
    </row>
    <row r="873">
      <c r="A873" s="1" t="n"/>
      <c r="B873" s="21" t="n"/>
      <c r="C873" s="23" t="n"/>
      <c r="D873" s="22" t="n"/>
      <c r="E873" s="24" t="n"/>
      <c r="F873" s="25" t="n"/>
      <c r="G873" s="18">
        <f>IF(AND(C873="",D873=""),"",IF(NOT(ISNUMBER(B873)),"Needs a date",IF(NOT(ISNUMBER(D873)),"Needs the amount",IF(C873="","Needs an envelope",IF(COUNTIF(Envelopes!$B$6:$B$21,C873)=0,"Not on Envelopes",IF(F873="",IF(D873=0,"Needs the amount",""),IF(COUNTIF(Envelopes!$B$6:$B$21,F873)=0,"Moved to: not on Envelopes",IF(D873&lt;=0,"A move needs an amount",IF(F873=C873,"Moved to the same envelope","")))))))))</f>
        <v/>
      </c>
      <c r="H873" s="1">
        <f>IF(ISNUMBER(B873),INT(B873),0)</f>
        <v/>
      </c>
      <c r="I873">
        <f>IF(AND(H873&gt;0,ISNUMBER(D873),COUNTIF(Envelopes!$B$6:$B$21,C873)&gt;0,F873=""),1,0)</f>
        <v/>
      </c>
      <c r="J873">
        <f>IF(AND(H873&gt;0,ISNUMBER(D873),COUNTIF(Envelopes!$B$6:$B$21,C873)&gt;0,F873&lt;&gt;"",COUNTIF(Envelopes!$B$6:$B$21,F873)&gt;0),1,0)</f>
        <v/>
      </c>
      <c r="K873">
        <f>IF(I873=1,H873*10000+ROW(),"")</f>
        <v/>
      </c>
    </row>
    <row r="874">
      <c r="A874" s="1" t="n"/>
      <c r="B874" s="21" t="n"/>
      <c r="C874" s="23" t="n"/>
      <c r="D874" s="22" t="n"/>
      <c r="E874" s="24" t="n"/>
      <c r="F874" s="25" t="n"/>
      <c r="G874" s="18">
        <f>IF(AND(C874="",D874=""),"",IF(NOT(ISNUMBER(B874)),"Needs a date",IF(NOT(ISNUMBER(D874)),"Needs the amount",IF(C874="","Needs an envelope",IF(COUNTIF(Envelopes!$B$6:$B$21,C874)=0,"Not on Envelopes",IF(F874="",IF(D874=0,"Needs the amount",""),IF(COUNTIF(Envelopes!$B$6:$B$21,F874)=0,"Moved to: not on Envelopes",IF(D874&lt;=0,"A move needs an amount",IF(F874=C874,"Moved to the same envelope","")))))))))</f>
        <v/>
      </c>
      <c r="H874" s="1">
        <f>IF(ISNUMBER(B874),INT(B874),0)</f>
        <v/>
      </c>
      <c r="I874">
        <f>IF(AND(H874&gt;0,ISNUMBER(D874),COUNTIF(Envelopes!$B$6:$B$21,C874)&gt;0,F874=""),1,0)</f>
        <v/>
      </c>
      <c r="J874">
        <f>IF(AND(H874&gt;0,ISNUMBER(D874),COUNTIF(Envelopes!$B$6:$B$21,C874)&gt;0,F874&lt;&gt;"",COUNTIF(Envelopes!$B$6:$B$21,F874)&gt;0),1,0)</f>
        <v/>
      </c>
      <c r="K874">
        <f>IF(I874=1,H874*10000+ROW(),"")</f>
        <v/>
      </c>
    </row>
    <row r="875">
      <c r="A875" s="1" t="n"/>
      <c r="B875" s="21" t="n"/>
      <c r="C875" s="23" t="n"/>
      <c r="D875" s="22" t="n"/>
      <c r="E875" s="24" t="n"/>
      <c r="F875" s="25" t="n"/>
      <c r="G875" s="18">
        <f>IF(AND(C875="",D875=""),"",IF(NOT(ISNUMBER(B875)),"Needs a date",IF(NOT(ISNUMBER(D875)),"Needs the amount",IF(C875="","Needs an envelope",IF(COUNTIF(Envelopes!$B$6:$B$21,C875)=0,"Not on Envelopes",IF(F875="",IF(D875=0,"Needs the amount",""),IF(COUNTIF(Envelopes!$B$6:$B$21,F875)=0,"Moved to: not on Envelopes",IF(D875&lt;=0,"A move needs an amount",IF(F875=C875,"Moved to the same envelope","")))))))))</f>
        <v/>
      </c>
      <c r="H875" s="1">
        <f>IF(ISNUMBER(B875),INT(B875),0)</f>
        <v/>
      </c>
      <c r="I875">
        <f>IF(AND(H875&gt;0,ISNUMBER(D875),COUNTIF(Envelopes!$B$6:$B$21,C875)&gt;0,F875=""),1,0)</f>
        <v/>
      </c>
      <c r="J875">
        <f>IF(AND(H875&gt;0,ISNUMBER(D875),COUNTIF(Envelopes!$B$6:$B$21,C875)&gt;0,F875&lt;&gt;"",COUNTIF(Envelopes!$B$6:$B$21,F875)&gt;0),1,0)</f>
        <v/>
      </c>
      <c r="K875">
        <f>IF(I875=1,H875*10000+ROW(),"")</f>
        <v/>
      </c>
    </row>
    <row r="876">
      <c r="A876" s="1" t="n"/>
      <c r="B876" s="21" t="n"/>
      <c r="C876" s="23" t="n"/>
      <c r="D876" s="22" t="n"/>
      <c r="E876" s="24" t="n"/>
      <c r="F876" s="25" t="n"/>
      <c r="G876" s="18">
        <f>IF(AND(C876="",D876=""),"",IF(NOT(ISNUMBER(B876)),"Needs a date",IF(NOT(ISNUMBER(D876)),"Needs the amount",IF(C876="","Needs an envelope",IF(COUNTIF(Envelopes!$B$6:$B$21,C876)=0,"Not on Envelopes",IF(F876="",IF(D876=0,"Needs the amount",""),IF(COUNTIF(Envelopes!$B$6:$B$21,F876)=0,"Moved to: not on Envelopes",IF(D876&lt;=0,"A move needs an amount",IF(F876=C876,"Moved to the same envelope","")))))))))</f>
        <v/>
      </c>
      <c r="H876" s="1">
        <f>IF(ISNUMBER(B876),INT(B876),0)</f>
        <v/>
      </c>
      <c r="I876">
        <f>IF(AND(H876&gt;0,ISNUMBER(D876),COUNTIF(Envelopes!$B$6:$B$21,C876)&gt;0,F876=""),1,0)</f>
        <v/>
      </c>
      <c r="J876">
        <f>IF(AND(H876&gt;0,ISNUMBER(D876),COUNTIF(Envelopes!$B$6:$B$21,C876)&gt;0,F876&lt;&gt;"",COUNTIF(Envelopes!$B$6:$B$21,F876)&gt;0),1,0)</f>
        <v/>
      </c>
      <c r="K876">
        <f>IF(I876=1,H876*10000+ROW(),"")</f>
        <v/>
      </c>
    </row>
    <row r="877">
      <c r="A877" s="1" t="n"/>
      <c r="B877" s="21" t="n"/>
      <c r="C877" s="23" t="n"/>
      <c r="D877" s="22" t="n"/>
      <c r="E877" s="24" t="n"/>
      <c r="F877" s="25" t="n"/>
      <c r="G877" s="18">
        <f>IF(AND(C877="",D877=""),"",IF(NOT(ISNUMBER(B877)),"Needs a date",IF(NOT(ISNUMBER(D877)),"Needs the amount",IF(C877="","Needs an envelope",IF(COUNTIF(Envelopes!$B$6:$B$21,C877)=0,"Not on Envelopes",IF(F877="",IF(D877=0,"Needs the amount",""),IF(COUNTIF(Envelopes!$B$6:$B$21,F877)=0,"Moved to: not on Envelopes",IF(D877&lt;=0,"A move needs an amount",IF(F877=C877,"Moved to the same envelope","")))))))))</f>
        <v/>
      </c>
      <c r="H877" s="1">
        <f>IF(ISNUMBER(B877),INT(B877),0)</f>
        <v/>
      </c>
      <c r="I877">
        <f>IF(AND(H877&gt;0,ISNUMBER(D877),COUNTIF(Envelopes!$B$6:$B$21,C877)&gt;0,F877=""),1,0)</f>
        <v/>
      </c>
      <c r="J877">
        <f>IF(AND(H877&gt;0,ISNUMBER(D877),COUNTIF(Envelopes!$B$6:$B$21,C877)&gt;0,F877&lt;&gt;"",COUNTIF(Envelopes!$B$6:$B$21,F877)&gt;0),1,0)</f>
        <v/>
      </c>
      <c r="K877">
        <f>IF(I877=1,H877*10000+ROW(),"")</f>
        <v/>
      </c>
    </row>
    <row r="878">
      <c r="A878" s="1" t="n"/>
      <c r="B878" s="21" t="n"/>
      <c r="C878" s="23" t="n"/>
      <c r="D878" s="22" t="n"/>
      <c r="E878" s="24" t="n"/>
      <c r="F878" s="25" t="n"/>
      <c r="G878" s="18">
        <f>IF(AND(C878="",D878=""),"",IF(NOT(ISNUMBER(B878)),"Needs a date",IF(NOT(ISNUMBER(D878)),"Needs the amount",IF(C878="","Needs an envelope",IF(COUNTIF(Envelopes!$B$6:$B$21,C878)=0,"Not on Envelopes",IF(F878="",IF(D878=0,"Needs the amount",""),IF(COUNTIF(Envelopes!$B$6:$B$21,F878)=0,"Moved to: not on Envelopes",IF(D878&lt;=0,"A move needs an amount",IF(F878=C878,"Moved to the same envelope","")))))))))</f>
        <v/>
      </c>
      <c r="H878" s="1">
        <f>IF(ISNUMBER(B878),INT(B878),0)</f>
        <v/>
      </c>
      <c r="I878">
        <f>IF(AND(H878&gt;0,ISNUMBER(D878),COUNTIF(Envelopes!$B$6:$B$21,C878)&gt;0,F878=""),1,0)</f>
        <v/>
      </c>
      <c r="J878">
        <f>IF(AND(H878&gt;0,ISNUMBER(D878),COUNTIF(Envelopes!$B$6:$B$21,C878)&gt;0,F878&lt;&gt;"",COUNTIF(Envelopes!$B$6:$B$21,F878)&gt;0),1,0)</f>
        <v/>
      </c>
      <c r="K878">
        <f>IF(I878=1,H878*10000+ROW(),"")</f>
        <v/>
      </c>
    </row>
    <row r="879">
      <c r="A879" s="1" t="n"/>
      <c r="B879" s="21" t="n"/>
      <c r="C879" s="23" t="n"/>
      <c r="D879" s="22" t="n"/>
      <c r="E879" s="24" t="n"/>
      <c r="F879" s="25" t="n"/>
      <c r="G879" s="18">
        <f>IF(AND(C879="",D879=""),"",IF(NOT(ISNUMBER(B879)),"Needs a date",IF(NOT(ISNUMBER(D879)),"Needs the amount",IF(C879="","Needs an envelope",IF(COUNTIF(Envelopes!$B$6:$B$21,C879)=0,"Not on Envelopes",IF(F879="",IF(D879=0,"Needs the amount",""),IF(COUNTIF(Envelopes!$B$6:$B$21,F879)=0,"Moved to: not on Envelopes",IF(D879&lt;=0,"A move needs an amount",IF(F879=C879,"Moved to the same envelope","")))))))))</f>
        <v/>
      </c>
      <c r="H879" s="1">
        <f>IF(ISNUMBER(B879),INT(B879),0)</f>
        <v/>
      </c>
      <c r="I879">
        <f>IF(AND(H879&gt;0,ISNUMBER(D879),COUNTIF(Envelopes!$B$6:$B$21,C879)&gt;0,F879=""),1,0)</f>
        <v/>
      </c>
      <c r="J879">
        <f>IF(AND(H879&gt;0,ISNUMBER(D879),COUNTIF(Envelopes!$B$6:$B$21,C879)&gt;0,F879&lt;&gt;"",COUNTIF(Envelopes!$B$6:$B$21,F879)&gt;0),1,0)</f>
        <v/>
      </c>
      <c r="K879">
        <f>IF(I879=1,H879*10000+ROW(),"")</f>
        <v/>
      </c>
    </row>
    <row r="880">
      <c r="A880" s="1" t="n"/>
      <c r="B880" s="21" t="n"/>
      <c r="C880" s="23" t="n"/>
      <c r="D880" s="22" t="n"/>
      <c r="E880" s="24" t="n"/>
      <c r="F880" s="25" t="n"/>
      <c r="G880" s="18">
        <f>IF(AND(C880="",D880=""),"",IF(NOT(ISNUMBER(B880)),"Needs a date",IF(NOT(ISNUMBER(D880)),"Needs the amount",IF(C880="","Needs an envelope",IF(COUNTIF(Envelopes!$B$6:$B$21,C880)=0,"Not on Envelopes",IF(F880="",IF(D880=0,"Needs the amount",""),IF(COUNTIF(Envelopes!$B$6:$B$21,F880)=0,"Moved to: not on Envelopes",IF(D880&lt;=0,"A move needs an amount",IF(F880=C880,"Moved to the same envelope","")))))))))</f>
        <v/>
      </c>
      <c r="H880" s="1">
        <f>IF(ISNUMBER(B880),INT(B880),0)</f>
        <v/>
      </c>
      <c r="I880">
        <f>IF(AND(H880&gt;0,ISNUMBER(D880),COUNTIF(Envelopes!$B$6:$B$21,C880)&gt;0,F880=""),1,0)</f>
        <v/>
      </c>
      <c r="J880">
        <f>IF(AND(H880&gt;0,ISNUMBER(D880),COUNTIF(Envelopes!$B$6:$B$21,C880)&gt;0,F880&lt;&gt;"",COUNTIF(Envelopes!$B$6:$B$21,F880)&gt;0),1,0)</f>
        <v/>
      </c>
      <c r="K880">
        <f>IF(I880=1,H880*10000+ROW(),"")</f>
        <v/>
      </c>
    </row>
    <row r="881">
      <c r="A881" s="1" t="n"/>
      <c r="B881" s="21" t="n"/>
      <c r="C881" s="23" t="n"/>
      <c r="D881" s="22" t="n"/>
      <c r="E881" s="24" t="n"/>
      <c r="F881" s="25" t="n"/>
      <c r="G881" s="18">
        <f>IF(AND(C881="",D881=""),"",IF(NOT(ISNUMBER(B881)),"Needs a date",IF(NOT(ISNUMBER(D881)),"Needs the amount",IF(C881="","Needs an envelope",IF(COUNTIF(Envelopes!$B$6:$B$21,C881)=0,"Not on Envelopes",IF(F881="",IF(D881=0,"Needs the amount",""),IF(COUNTIF(Envelopes!$B$6:$B$21,F881)=0,"Moved to: not on Envelopes",IF(D881&lt;=0,"A move needs an amount",IF(F881=C881,"Moved to the same envelope","")))))))))</f>
        <v/>
      </c>
      <c r="H881" s="1">
        <f>IF(ISNUMBER(B881),INT(B881),0)</f>
        <v/>
      </c>
      <c r="I881">
        <f>IF(AND(H881&gt;0,ISNUMBER(D881),COUNTIF(Envelopes!$B$6:$B$21,C881)&gt;0,F881=""),1,0)</f>
        <v/>
      </c>
      <c r="J881">
        <f>IF(AND(H881&gt;0,ISNUMBER(D881),COUNTIF(Envelopes!$B$6:$B$21,C881)&gt;0,F881&lt;&gt;"",COUNTIF(Envelopes!$B$6:$B$21,F881)&gt;0),1,0)</f>
        <v/>
      </c>
      <c r="K881">
        <f>IF(I881=1,H881*10000+ROW(),"")</f>
        <v/>
      </c>
    </row>
    <row r="882">
      <c r="A882" s="1" t="n"/>
      <c r="B882" s="21" t="n"/>
      <c r="C882" s="23" t="n"/>
      <c r="D882" s="22" t="n"/>
      <c r="E882" s="24" t="n"/>
      <c r="F882" s="25" t="n"/>
      <c r="G882" s="18">
        <f>IF(AND(C882="",D882=""),"",IF(NOT(ISNUMBER(B882)),"Needs a date",IF(NOT(ISNUMBER(D882)),"Needs the amount",IF(C882="","Needs an envelope",IF(COUNTIF(Envelopes!$B$6:$B$21,C882)=0,"Not on Envelopes",IF(F882="",IF(D882=0,"Needs the amount",""),IF(COUNTIF(Envelopes!$B$6:$B$21,F882)=0,"Moved to: not on Envelopes",IF(D882&lt;=0,"A move needs an amount",IF(F882=C882,"Moved to the same envelope","")))))))))</f>
        <v/>
      </c>
      <c r="H882" s="1">
        <f>IF(ISNUMBER(B882),INT(B882),0)</f>
        <v/>
      </c>
      <c r="I882">
        <f>IF(AND(H882&gt;0,ISNUMBER(D882),COUNTIF(Envelopes!$B$6:$B$21,C882)&gt;0,F882=""),1,0)</f>
        <v/>
      </c>
      <c r="J882">
        <f>IF(AND(H882&gt;0,ISNUMBER(D882),COUNTIF(Envelopes!$B$6:$B$21,C882)&gt;0,F882&lt;&gt;"",COUNTIF(Envelopes!$B$6:$B$21,F882)&gt;0),1,0)</f>
        <v/>
      </c>
      <c r="K882">
        <f>IF(I882=1,H882*10000+ROW(),"")</f>
        <v/>
      </c>
    </row>
    <row r="883">
      <c r="A883" s="1" t="n"/>
      <c r="B883" s="21" t="n"/>
      <c r="C883" s="23" t="n"/>
      <c r="D883" s="22" t="n"/>
      <c r="E883" s="24" t="n"/>
      <c r="F883" s="25" t="n"/>
      <c r="G883" s="18">
        <f>IF(AND(C883="",D883=""),"",IF(NOT(ISNUMBER(B883)),"Needs a date",IF(NOT(ISNUMBER(D883)),"Needs the amount",IF(C883="","Needs an envelope",IF(COUNTIF(Envelopes!$B$6:$B$21,C883)=0,"Not on Envelopes",IF(F883="",IF(D883=0,"Needs the amount",""),IF(COUNTIF(Envelopes!$B$6:$B$21,F883)=0,"Moved to: not on Envelopes",IF(D883&lt;=0,"A move needs an amount",IF(F883=C883,"Moved to the same envelope","")))))))))</f>
        <v/>
      </c>
      <c r="H883" s="1">
        <f>IF(ISNUMBER(B883),INT(B883),0)</f>
        <v/>
      </c>
      <c r="I883">
        <f>IF(AND(H883&gt;0,ISNUMBER(D883),COUNTIF(Envelopes!$B$6:$B$21,C883)&gt;0,F883=""),1,0)</f>
        <v/>
      </c>
      <c r="J883">
        <f>IF(AND(H883&gt;0,ISNUMBER(D883),COUNTIF(Envelopes!$B$6:$B$21,C883)&gt;0,F883&lt;&gt;"",COUNTIF(Envelopes!$B$6:$B$21,F883)&gt;0),1,0)</f>
        <v/>
      </c>
      <c r="K883">
        <f>IF(I883=1,H883*10000+ROW(),"")</f>
        <v/>
      </c>
    </row>
    <row r="884">
      <c r="A884" s="1" t="n"/>
      <c r="B884" s="21" t="n"/>
      <c r="C884" s="23" t="n"/>
      <c r="D884" s="22" t="n"/>
      <c r="E884" s="24" t="n"/>
      <c r="F884" s="25" t="n"/>
      <c r="G884" s="18">
        <f>IF(AND(C884="",D884=""),"",IF(NOT(ISNUMBER(B884)),"Needs a date",IF(NOT(ISNUMBER(D884)),"Needs the amount",IF(C884="","Needs an envelope",IF(COUNTIF(Envelopes!$B$6:$B$21,C884)=0,"Not on Envelopes",IF(F884="",IF(D884=0,"Needs the amount",""),IF(COUNTIF(Envelopes!$B$6:$B$21,F884)=0,"Moved to: not on Envelopes",IF(D884&lt;=0,"A move needs an amount",IF(F884=C884,"Moved to the same envelope","")))))))))</f>
        <v/>
      </c>
      <c r="H884" s="1">
        <f>IF(ISNUMBER(B884),INT(B884),0)</f>
        <v/>
      </c>
      <c r="I884">
        <f>IF(AND(H884&gt;0,ISNUMBER(D884),COUNTIF(Envelopes!$B$6:$B$21,C884)&gt;0,F884=""),1,0)</f>
        <v/>
      </c>
      <c r="J884">
        <f>IF(AND(H884&gt;0,ISNUMBER(D884),COUNTIF(Envelopes!$B$6:$B$21,C884)&gt;0,F884&lt;&gt;"",COUNTIF(Envelopes!$B$6:$B$21,F884)&gt;0),1,0)</f>
        <v/>
      </c>
      <c r="K884">
        <f>IF(I884=1,H884*10000+ROW(),"")</f>
        <v/>
      </c>
    </row>
    <row r="885">
      <c r="A885" s="1" t="n"/>
      <c r="B885" s="21" t="n"/>
      <c r="C885" s="23" t="n"/>
      <c r="D885" s="22" t="n"/>
      <c r="E885" s="24" t="n"/>
      <c r="F885" s="25" t="n"/>
      <c r="G885" s="18">
        <f>IF(AND(C885="",D885=""),"",IF(NOT(ISNUMBER(B885)),"Needs a date",IF(NOT(ISNUMBER(D885)),"Needs the amount",IF(C885="","Needs an envelope",IF(COUNTIF(Envelopes!$B$6:$B$21,C885)=0,"Not on Envelopes",IF(F885="",IF(D885=0,"Needs the amount",""),IF(COUNTIF(Envelopes!$B$6:$B$21,F885)=0,"Moved to: not on Envelopes",IF(D885&lt;=0,"A move needs an amount",IF(F885=C885,"Moved to the same envelope","")))))))))</f>
        <v/>
      </c>
      <c r="H885" s="1">
        <f>IF(ISNUMBER(B885),INT(B885),0)</f>
        <v/>
      </c>
      <c r="I885">
        <f>IF(AND(H885&gt;0,ISNUMBER(D885),COUNTIF(Envelopes!$B$6:$B$21,C885)&gt;0,F885=""),1,0)</f>
        <v/>
      </c>
      <c r="J885">
        <f>IF(AND(H885&gt;0,ISNUMBER(D885),COUNTIF(Envelopes!$B$6:$B$21,C885)&gt;0,F885&lt;&gt;"",COUNTIF(Envelopes!$B$6:$B$21,F885)&gt;0),1,0)</f>
        <v/>
      </c>
      <c r="K885">
        <f>IF(I885=1,H885*10000+ROW(),"")</f>
        <v/>
      </c>
    </row>
    <row r="886">
      <c r="A886" s="1" t="n"/>
      <c r="B886" s="21" t="n"/>
      <c r="C886" s="23" t="n"/>
      <c r="D886" s="22" t="n"/>
      <c r="E886" s="24" t="n"/>
      <c r="F886" s="25" t="n"/>
      <c r="G886" s="18">
        <f>IF(AND(C886="",D886=""),"",IF(NOT(ISNUMBER(B886)),"Needs a date",IF(NOT(ISNUMBER(D886)),"Needs the amount",IF(C886="","Needs an envelope",IF(COUNTIF(Envelopes!$B$6:$B$21,C886)=0,"Not on Envelopes",IF(F886="",IF(D886=0,"Needs the amount",""),IF(COUNTIF(Envelopes!$B$6:$B$21,F886)=0,"Moved to: not on Envelopes",IF(D886&lt;=0,"A move needs an amount",IF(F886=C886,"Moved to the same envelope","")))))))))</f>
        <v/>
      </c>
      <c r="H886" s="1">
        <f>IF(ISNUMBER(B886),INT(B886),0)</f>
        <v/>
      </c>
      <c r="I886">
        <f>IF(AND(H886&gt;0,ISNUMBER(D886),COUNTIF(Envelopes!$B$6:$B$21,C886)&gt;0,F886=""),1,0)</f>
        <v/>
      </c>
      <c r="J886">
        <f>IF(AND(H886&gt;0,ISNUMBER(D886),COUNTIF(Envelopes!$B$6:$B$21,C886)&gt;0,F886&lt;&gt;"",COUNTIF(Envelopes!$B$6:$B$21,F886)&gt;0),1,0)</f>
        <v/>
      </c>
      <c r="K886">
        <f>IF(I886=1,H886*10000+ROW(),"")</f>
        <v/>
      </c>
    </row>
    <row r="887">
      <c r="A887" s="1" t="n"/>
      <c r="B887" s="21" t="n"/>
      <c r="C887" s="23" t="n"/>
      <c r="D887" s="22" t="n"/>
      <c r="E887" s="24" t="n"/>
      <c r="F887" s="25" t="n"/>
      <c r="G887" s="18">
        <f>IF(AND(C887="",D887=""),"",IF(NOT(ISNUMBER(B887)),"Needs a date",IF(NOT(ISNUMBER(D887)),"Needs the amount",IF(C887="","Needs an envelope",IF(COUNTIF(Envelopes!$B$6:$B$21,C887)=0,"Not on Envelopes",IF(F887="",IF(D887=0,"Needs the amount",""),IF(COUNTIF(Envelopes!$B$6:$B$21,F887)=0,"Moved to: not on Envelopes",IF(D887&lt;=0,"A move needs an amount",IF(F887=C887,"Moved to the same envelope","")))))))))</f>
        <v/>
      </c>
      <c r="H887" s="1">
        <f>IF(ISNUMBER(B887),INT(B887),0)</f>
        <v/>
      </c>
      <c r="I887">
        <f>IF(AND(H887&gt;0,ISNUMBER(D887),COUNTIF(Envelopes!$B$6:$B$21,C887)&gt;0,F887=""),1,0)</f>
        <v/>
      </c>
      <c r="J887">
        <f>IF(AND(H887&gt;0,ISNUMBER(D887),COUNTIF(Envelopes!$B$6:$B$21,C887)&gt;0,F887&lt;&gt;"",COUNTIF(Envelopes!$B$6:$B$21,F887)&gt;0),1,0)</f>
        <v/>
      </c>
      <c r="K887">
        <f>IF(I887=1,H887*10000+ROW(),"")</f>
        <v/>
      </c>
    </row>
    <row r="888">
      <c r="A888" s="1" t="n"/>
      <c r="B888" s="21" t="n"/>
      <c r="C888" s="23" t="n"/>
      <c r="D888" s="22" t="n"/>
      <c r="E888" s="24" t="n"/>
      <c r="F888" s="25" t="n"/>
      <c r="G888" s="18">
        <f>IF(AND(C888="",D888=""),"",IF(NOT(ISNUMBER(B888)),"Needs a date",IF(NOT(ISNUMBER(D888)),"Needs the amount",IF(C888="","Needs an envelope",IF(COUNTIF(Envelopes!$B$6:$B$21,C888)=0,"Not on Envelopes",IF(F888="",IF(D888=0,"Needs the amount",""),IF(COUNTIF(Envelopes!$B$6:$B$21,F888)=0,"Moved to: not on Envelopes",IF(D888&lt;=0,"A move needs an amount",IF(F888=C888,"Moved to the same envelope","")))))))))</f>
        <v/>
      </c>
      <c r="H888" s="1">
        <f>IF(ISNUMBER(B888),INT(B888),0)</f>
        <v/>
      </c>
      <c r="I888">
        <f>IF(AND(H888&gt;0,ISNUMBER(D888),COUNTIF(Envelopes!$B$6:$B$21,C888)&gt;0,F888=""),1,0)</f>
        <v/>
      </c>
      <c r="J888">
        <f>IF(AND(H888&gt;0,ISNUMBER(D888),COUNTIF(Envelopes!$B$6:$B$21,C888)&gt;0,F888&lt;&gt;"",COUNTIF(Envelopes!$B$6:$B$21,F888)&gt;0),1,0)</f>
        <v/>
      </c>
      <c r="K888">
        <f>IF(I888=1,H888*10000+ROW(),"")</f>
        <v/>
      </c>
    </row>
    <row r="889">
      <c r="A889" s="1" t="n"/>
      <c r="B889" s="21" t="n"/>
      <c r="C889" s="23" t="n"/>
      <c r="D889" s="22" t="n"/>
      <c r="E889" s="24" t="n"/>
      <c r="F889" s="25" t="n"/>
      <c r="G889" s="18">
        <f>IF(AND(C889="",D889=""),"",IF(NOT(ISNUMBER(B889)),"Needs a date",IF(NOT(ISNUMBER(D889)),"Needs the amount",IF(C889="","Needs an envelope",IF(COUNTIF(Envelopes!$B$6:$B$21,C889)=0,"Not on Envelopes",IF(F889="",IF(D889=0,"Needs the amount",""),IF(COUNTIF(Envelopes!$B$6:$B$21,F889)=0,"Moved to: not on Envelopes",IF(D889&lt;=0,"A move needs an amount",IF(F889=C889,"Moved to the same envelope","")))))))))</f>
        <v/>
      </c>
      <c r="H889" s="1">
        <f>IF(ISNUMBER(B889),INT(B889),0)</f>
        <v/>
      </c>
      <c r="I889">
        <f>IF(AND(H889&gt;0,ISNUMBER(D889),COUNTIF(Envelopes!$B$6:$B$21,C889)&gt;0,F889=""),1,0)</f>
        <v/>
      </c>
      <c r="J889">
        <f>IF(AND(H889&gt;0,ISNUMBER(D889),COUNTIF(Envelopes!$B$6:$B$21,C889)&gt;0,F889&lt;&gt;"",COUNTIF(Envelopes!$B$6:$B$21,F889)&gt;0),1,0)</f>
        <v/>
      </c>
      <c r="K889">
        <f>IF(I889=1,H889*10000+ROW(),"")</f>
        <v/>
      </c>
    </row>
    <row r="890">
      <c r="A890" s="1" t="n"/>
      <c r="B890" s="21" t="n"/>
      <c r="C890" s="23" t="n"/>
      <c r="D890" s="22" t="n"/>
      <c r="E890" s="24" t="n"/>
      <c r="F890" s="25" t="n"/>
      <c r="G890" s="18">
        <f>IF(AND(C890="",D890=""),"",IF(NOT(ISNUMBER(B890)),"Needs a date",IF(NOT(ISNUMBER(D890)),"Needs the amount",IF(C890="","Needs an envelope",IF(COUNTIF(Envelopes!$B$6:$B$21,C890)=0,"Not on Envelopes",IF(F890="",IF(D890=0,"Needs the amount",""),IF(COUNTIF(Envelopes!$B$6:$B$21,F890)=0,"Moved to: not on Envelopes",IF(D890&lt;=0,"A move needs an amount",IF(F890=C890,"Moved to the same envelope","")))))))))</f>
        <v/>
      </c>
      <c r="H890" s="1">
        <f>IF(ISNUMBER(B890),INT(B890),0)</f>
        <v/>
      </c>
      <c r="I890">
        <f>IF(AND(H890&gt;0,ISNUMBER(D890),COUNTIF(Envelopes!$B$6:$B$21,C890)&gt;0,F890=""),1,0)</f>
        <v/>
      </c>
      <c r="J890">
        <f>IF(AND(H890&gt;0,ISNUMBER(D890),COUNTIF(Envelopes!$B$6:$B$21,C890)&gt;0,F890&lt;&gt;"",COUNTIF(Envelopes!$B$6:$B$21,F890)&gt;0),1,0)</f>
        <v/>
      </c>
      <c r="K890">
        <f>IF(I890=1,H890*10000+ROW(),"")</f>
        <v/>
      </c>
    </row>
    <row r="891">
      <c r="A891" s="1" t="n"/>
      <c r="B891" s="21" t="n"/>
      <c r="C891" s="23" t="n"/>
      <c r="D891" s="22" t="n"/>
      <c r="E891" s="24" t="n"/>
      <c r="F891" s="25" t="n"/>
      <c r="G891" s="18">
        <f>IF(AND(C891="",D891=""),"",IF(NOT(ISNUMBER(B891)),"Needs a date",IF(NOT(ISNUMBER(D891)),"Needs the amount",IF(C891="","Needs an envelope",IF(COUNTIF(Envelopes!$B$6:$B$21,C891)=0,"Not on Envelopes",IF(F891="",IF(D891=0,"Needs the amount",""),IF(COUNTIF(Envelopes!$B$6:$B$21,F891)=0,"Moved to: not on Envelopes",IF(D891&lt;=0,"A move needs an amount",IF(F891=C891,"Moved to the same envelope","")))))))))</f>
        <v/>
      </c>
      <c r="H891" s="1">
        <f>IF(ISNUMBER(B891),INT(B891),0)</f>
        <v/>
      </c>
      <c r="I891">
        <f>IF(AND(H891&gt;0,ISNUMBER(D891),COUNTIF(Envelopes!$B$6:$B$21,C891)&gt;0,F891=""),1,0)</f>
        <v/>
      </c>
      <c r="J891">
        <f>IF(AND(H891&gt;0,ISNUMBER(D891),COUNTIF(Envelopes!$B$6:$B$21,C891)&gt;0,F891&lt;&gt;"",COUNTIF(Envelopes!$B$6:$B$21,F891)&gt;0),1,0)</f>
        <v/>
      </c>
      <c r="K891">
        <f>IF(I891=1,H891*10000+ROW(),"")</f>
        <v/>
      </c>
    </row>
    <row r="892">
      <c r="A892" s="1" t="n"/>
      <c r="B892" s="21" t="n"/>
      <c r="C892" s="23" t="n"/>
      <c r="D892" s="22" t="n"/>
      <c r="E892" s="24" t="n"/>
      <c r="F892" s="25" t="n"/>
      <c r="G892" s="18">
        <f>IF(AND(C892="",D892=""),"",IF(NOT(ISNUMBER(B892)),"Needs a date",IF(NOT(ISNUMBER(D892)),"Needs the amount",IF(C892="","Needs an envelope",IF(COUNTIF(Envelopes!$B$6:$B$21,C892)=0,"Not on Envelopes",IF(F892="",IF(D892=0,"Needs the amount",""),IF(COUNTIF(Envelopes!$B$6:$B$21,F892)=0,"Moved to: not on Envelopes",IF(D892&lt;=0,"A move needs an amount",IF(F892=C892,"Moved to the same envelope","")))))))))</f>
        <v/>
      </c>
      <c r="H892" s="1">
        <f>IF(ISNUMBER(B892),INT(B892),0)</f>
        <v/>
      </c>
      <c r="I892">
        <f>IF(AND(H892&gt;0,ISNUMBER(D892),COUNTIF(Envelopes!$B$6:$B$21,C892)&gt;0,F892=""),1,0)</f>
        <v/>
      </c>
      <c r="J892">
        <f>IF(AND(H892&gt;0,ISNUMBER(D892),COUNTIF(Envelopes!$B$6:$B$21,C892)&gt;0,F892&lt;&gt;"",COUNTIF(Envelopes!$B$6:$B$21,F892)&gt;0),1,0)</f>
        <v/>
      </c>
      <c r="K892">
        <f>IF(I892=1,H892*10000+ROW(),"")</f>
        <v/>
      </c>
    </row>
    <row r="893">
      <c r="A893" s="1" t="n"/>
      <c r="B893" s="21" t="n"/>
      <c r="C893" s="23" t="n"/>
      <c r="D893" s="22" t="n"/>
      <c r="E893" s="24" t="n"/>
      <c r="F893" s="25" t="n"/>
      <c r="G893" s="18">
        <f>IF(AND(C893="",D893=""),"",IF(NOT(ISNUMBER(B893)),"Needs a date",IF(NOT(ISNUMBER(D893)),"Needs the amount",IF(C893="","Needs an envelope",IF(COUNTIF(Envelopes!$B$6:$B$21,C893)=0,"Not on Envelopes",IF(F893="",IF(D893=0,"Needs the amount",""),IF(COUNTIF(Envelopes!$B$6:$B$21,F893)=0,"Moved to: not on Envelopes",IF(D893&lt;=0,"A move needs an amount",IF(F893=C893,"Moved to the same envelope","")))))))))</f>
        <v/>
      </c>
      <c r="H893" s="1">
        <f>IF(ISNUMBER(B893),INT(B893),0)</f>
        <v/>
      </c>
      <c r="I893">
        <f>IF(AND(H893&gt;0,ISNUMBER(D893),COUNTIF(Envelopes!$B$6:$B$21,C893)&gt;0,F893=""),1,0)</f>
        <v/>
      </c>
      <c r="J893">
        <f>IF(AND(H893&gt;0,ISNUMBER(D893),COUNTIF(Envelopes!$B$6:$B$21,C893)&gt;0,F893&lt;&gt;"",COUNTIF(Envelopes!$B$6:$B$21,F893)&gt;0),1,0)</f>
        <v/>
      </c>
      <c r="K893">
        <f>IF(I893=1,H893*10000+ROW(),"")</f>
        <v/>
      </c>
    </row>
    <row r="894">
      <c r="A894" s="1" t="n"/>
      <c r="B894" s="21" t="n"/>
      <c r="C894" s="23" t="n"/>
      <c r="D894" s="22" t="n"/>
      <c r="E894" s="24" t="n"/>
      <c r="F894" s="25" t="n"/>
      <c r="G894" s="18">
        <f>IF(AND(C894="",D894=""),"",IF(NOT(ISNUMBER(B894)),"Needs a date",IF(NOT(ISNUMBER(D894)),"Needs the amount",IF(C894="","Needs an envelope",IF(COUNTIF(Envelopes!$B$6:$B$21,C894)=0,"Not on Envelopes",IF(F894="",IF(D894=0,"Needs the amount",""),IF(COUNTIF(Envelopes!$B$6:$B$21,F894)=0,"Moved to: not on Envelopes",IF(D894&lt;=0,"A move needs an amount",IF(F894=C894,"Moved to the same envelope","")))))))))</f>
        <v/>
      </c>
      <c r="H894" s="1">
        <f>IF(ISNUMBER(B894),INT(B894),0)</f>
        <v/>
      </c>
      <c r="I894">
        <f>IF(AND(H894&gt;0,ISNUMBER(D894),COUNTIF(Envelopes!$B$6:$B$21,C894)&gt;0,F894=""),1,0)</f>
        <v/>
      </c>
      <c r="J894">
        <f>IF(AND(H894&gt;0,ISNUMBER(D894),COUNTIF(Envelopes!$B$6:$B$21,C894)&gt;0,F894&lt;&gt;"",COUNTIF(Envelopes!$B$6:$B$21,F894)&gt;0),1,0)</f>
        <v/>
      </c>
      <c r="K894">
        <f>IF(I894=1,H894*10000+ROW(),"")</f>
        <v/>
      </c>
    </row>
    <row r="895">
      <c r="A895" s="1" t="n"/>
      <c r="B895" s="21" t="n"/>
      <c r="C895" s="23" t="n"/>
      <c r="D895" s="22" t="n"/>
      <c r="E895" s="24" t="n"/>
      <c r="F895" s="25" t="n"/>
      <c r="G895" s="18">
        <f>IF(AND(C895="",D895=""),"",IF(NOT(ISNUMBER(B895)),"Needs a date",IF(NOT(ISNUMBER(D895)),"Needs the amount",IF(C895="","Needs an envelope",IF(COUNTIF(Envelopes!$B$6:$B$21,C895)=0,"Not on Envelopes",IF(F895="",IF(D895=0,"Needs the amount",""),IF(COUNTIF(Envelopes!$B$6:$B$21,F895)=0,"Moved to: not on Envelopes",IF(D895&lt;=0,"A move needs an amount",IF(F895=C895,"Moved to the same envelope","")))))))))</f>
        <v/>
      </c>
      <c r="H895" s="1">
        <f>IF(ISNUMBER(B895),INT(B895),0)</f>
        <v/>
      </c>
      <c r="I895">
        <f>IF(AND(H895&gt;0,ISNUMBER(D895),COUNTIF(Envelopes!$B$6:$B$21,C895)&gt;0,F895=""),1,0)</f>
        <v/>
      </c>
      <c r="J895">
        <f>IF(AND(H895&gt;0,ISNUMBER(D895),COUNTIF(Envelopes!$B$6:$B$21,C895)&gt;0,F895&lt;&gt;"",COUNTIF(Envelopes!$B$6:$B$21,F895)&gt;0),1,0)</f>
        <v/>
      </c>
      <c r="K895">
        <f>IF(I895=1,H895*10000+ROW(),"")</f>
        <v/>
      </c>
    </row>
    <row r="896">
      <c r="A896" s="1" t="n"/>
      <c r="B896" s="21" t="n"/>
      <c r="C896" s="23" t="n"/>
      <c r="D896" s="22" t="n"/>
      <c r="E896" s="24" t="n"/>
      <c r="F896" s="25" t="n"/>
      <c r="G896" s="18">
        <f>IF(AND(C896="",D896=""),"",IF(NOT(ISNUMBER(B896)),"Needs a date",IF(NOT(ISNUMBER(D896)),"Needs the amount",IF(C896="","Needs an envelope",IF(COUNTIF(Envelopes!$B$6:$B$21,C896)=0,"Not on Envelopes",IF(F896="",IF(D896=0,"Needs the amount",""),IF(COUNTIF(Envelopes!$B$6:$B$21,F896)=0,"Moved to: not on Envelopes",IF(D896&lt;=0,"A move needs an amount",IF(F896=C896,"Moved to the same envelope","")))))))))</f>
        <v/>
      </c>
      <c r="H896" s="1">
        <f>IF(ISNUMBER(B896),INT(B896),0)</f>
        <v/>
      </c>
      <c r="I896">
        <f>IF(AND(H896&gt;0,ISNUMBER(D896),COUNTIF(Envelopes!$B$6:$B$21,C896)&gt;0,F896=""),1,0)</f>
        <v/>
      </c>
      <c r="J896">
        <f>IF(AND(H896&gt;0,ISNUMBER(D896),COUNTIF(Envelopes!$B$6:$B$21,C896)&gt;0,F896&lt;&gt;"",COUNTIF(Envelopes!$B$6:$B$21,F896)&gt;0),1,0)</f>
        <v/>
      </c>
      <c r="K896">
        <f>IF(I896=1,H896*10000+ROW(),"")</f>
        <v/>
      </c>
    </row>
    <row r="897">
      <c r="A897" s="1" t="n"/>
      <c r="B897" s="21" t="n"/>
      <c r="C897" s="23" t="n"/>
      <c r="D897" s="22" t="n"/>
      <c r="E897" s="24" t="n"/>
      <c r="F897" s="25" t="n"/>
      <c r="G897" s="18">
        <f>IF(AND(C897="",D897=""),"",IF(NOT(ISNUMBER(B897)),"Needs a date",IF(NOT(ISNUMBER(D897)),"Needs the amount",IF(C897="","Needs an envelope",IF(COUNTIF(Envelopes!$B$6:$B$21,C897)=0,"Not on Envelopes",IF(F897="",IF(D897=0,"Needs the amount",""),IF(COUNTIF(Envelopes!$B$6:$B$21,F897)=0,"Moved to: not on Envelopes",IF(D897&lt;=0,"A move needs an amount",IF(F897=C897,"Moved to the same envelope","")))))))))</f>
        <v/>
      </c>
      <c r="H897" s="1">
        <f>IF(ISNUMBER(B897),INT(B897),0)</f>
        <v/>
      </c>
      <c r="I897">
        <f>IF(AND(H897&gt;0,ISNUMBER(D897),COUNTIF(Envelopes!$B$6:$B$21,C897)&gt;0,F897=""),1,0)</f>
        <v/>
      </c>
      <c r="J897">
        <f>IF(AND(H897&gt;0,ISNUMBER(D897),COUNTIF(Envelopes!$B$6:$B$21,C897)&gt;0,F897&lt;&gt;"",COUNTIF(Envelopes!$B$6:$B$21,F897)&gt;0),1,0)</f>
        <v/>
      </c>
      <c r="K897">
        <f>IF(I897=1,H897*10000+ROW(),"")</f>
        <v/>
      </c>
    </row>
    <row r="898">
      <c r="A898" s="1" t="n"/>
      <c r="B898" s="21" t="n"/>
      <c r="C898" s="23" t="n"/>
      <c r="D898" s="22" t="n"/>
      <c r="E898" s="24" t="n"/>
      <c r="F898" s="25" t="n"/>
      <c r="G898" s="18">
        <f>IF(AND(C898="",D898=""),"",IF(NOT(ISNUMBER(B898)),"Needs a date",IF(NOT(ISNUMBER(D898)),"Needs the amount",IF(C898="","Needs an envelope",IF(COUNTIF(Envelopes!$B$6:$B$21,C898)=0,"Not on Envelopes",IF(F898="",IF(D898=0,"Needs the amount",""),IF(COUNTIF(Envelopes!$B$6:$B$21,F898)=0,"Moved to: not on Envelopes",IF(D898&lt;=0,"A move needs an amount",IF(F898=C898,"Moved to the same envelope","")))))))))</f>
        <v/>
      </c>
      <c r="H898" s="1">
        <f>IF(ISNUMBER(B898),INT(B898),0)</f>
        <v/>
      </c>
      <c r="I898">
        <f>IF(AND(H898&gt;0,ISNUMBER(D898),COUNTIF(Envelopes!$B$6:$B$21,C898)&gt;0,F898=""),1,0)</f>
        <v/>
      </c>
      <c r="J898">
        <f>IF(AND(H898&gt;0,ISNUMBER(D898),COUNTIF(Envelopes!$B$6:$B$21,C898)&gt;0,F898&lt;&gt;"",COUNTIF(Envelopes!$B$6:$B$21,F898)&gt;0),1,0)</f>
        <v/>
      </c>
      <c r="K898">
        <f>IF(I898=1,H898*10000+ROW(),"")</f>
        <v/>
      </c>
    </row>
    <row r="899">
      <c r="A899" s="1" t="n"/>
      <c r="B899" s="21" t="n"/>
      <c r="C899" s="23" t="n"/>
      <c r="D899" s="22" t="n"/>
      <c r="E899" s="24" t="n"/>
      <c r="F899" s="25" t="n"/>
      <c r="G899" s="18">
        <f>IF(AND(C899="",D899=""),"",IF(NOT(ISNUMBER(B899)),"Needs a date",IF(NOT(ISNUMBER(D899)),"Needs the amount",IF(C899="","Needs an envelope",IF(COUNTIF(Envelopes!$B$6:$B$21,C899)=0,"Not on Envelopes",IF(F899="",IF(D899=0,"Needs the amount",""),IF(COUNTIF(Envelopes!$B$6:$B$21,F899)=0,"Moved to: not on Envelopes",IF(D899&lt;=0,"A move needs an amount",IF(F899=C899,"Moved to the same envelope","")))))))))</f>
        <v/>
      </c>
      <c r="H899" s="1">
        <f>IF(ISNUMBER(B899),INT(B899),0)</f>
        <v/>
      </c>
      <c r="I899">
        <f>IF(AND(H899&gt;0,ISNUMBER(D899),COUNTIF(Envelopes!$B$6:$B$21,C899)&gt;0,F899=""),1,0)</f>
        <v/>
      </c>
      <c r="J899">
        <f>IF(AND(H899&gt;0,ISNUMBER(D899),COUNTIF(Envelopes!$B$6:$B$21,C899)&gt;0,F899&lt;&gt;"",COUNTIF(Envelopes!$B$6:$B$21,F899)&gt;0),1,0)</f>
        <v/>
      </c>
      <c r="K899">
        <f>IF(I899=1,H899*10000+ROW(),"")</f>
        <v/>
      </c>
    </row>
    <row r="900">
      <c r="A900" s="1" t="n"/>
      <c r="B900" s="21" t="n"/>
      <c r="C900" s="23" t="n"/>
      <c r="D900" s="22" t="n"/>
      <c r="E900" s="24" t="n"/>
      <c r="F900" s="25" t="n"/>
      <c r="G900" s="18">
        <f>IF(AND(C900="",D900=""),"",IF(NOT(ISNUMBER(B900)),"Needs a date",IF(NOT(ISNUMBER(D900)),"Needs the amount",IF(C900="","Needs an envelope",IF(COUNTIF(Envelopes!$B$6:$B$21,C900)=0,"Not on Envelopes",IF(F900="",IF(D900=0,"Needs the amount",""),IF(COUNTIF(Envelopes!$B$6:$B$21,F900)=0,"Moved to: not on Envelopes",IF(D900&lt;=0,"A move needs an amount",IF(F900=C900,"Moved to the same envelope","")))))))))</f>
        <v/>
      </c>
      <c r="H900" s="1">
        <f>IF(ISNUMBER(B900),INT(B900),0)</f>
        <v/>
      </c>
      <c r="I900">
        <f>IF(AND(H900&gt;0,ISNUMBER(D900),COUNTIF(Envelopes!$B$6:$B$21,C900)&gt;0,F900=""),1,0)</f>
        <v/>
      </c>
      <c r="J900">
        <f>IF(AND(H900&gt;0,ISNUMBER(D900),COUNTIF(Envelopes!$B$6:$B$21,C900)&gt;0,F900&lt;&gt;"",COUNTIF(Envelopes!$B$6:$B$21,F900)&gt;0),1,0)</f>
        <v/>
      </c>
      <c r="K900">
        <f>IF(I900=1,H900*10000+ROW(),"")</f>
        <v/>
      </c>
    </row>
    <row r="901">
      <c r="A901" s="1" t="n"/>
      <c r="B901" s="21" t="n"/>
      <c r="C901" s="23" t="n"/>
      <c r="D901" s="22" t="n"/>
      <c r="E901" s="24" t="n"/>
      <c r="F901" s="25" t="n"/>
      <c r="G901" s="18">
        <f>IF(AND(C901="",D901=""),"",IF(NOT(ISNUMBER(B901)),"Needs a date",IF(NOT(ISNUMBER(D901)),"Needs the amount",IF(C901="","Needs an envelope",IF(COUNTIF(Envelopes!$B$6:$B$21,C901)=0,"Not on Envelopes",IF(F901="",IF(D901=0,"Needs the amount",""),IF(COUNTIF(Envelopes!$B$6:$B$21,F901)=0,"Moved to: not on Envelopes",IF(D901&lt;=0,"A move needs an amount",IF(F901=C901,"Moved to the same envelope","")))))))))</f>
        <v/>
      </c>
      <c r="H901" s="1">
        <f>IF(ISNUMBER(B901),INT(B901),0)</f>
        <v/>
      </c>
      <c r="I901">
        <f>IF(AND(H901&gt;0,ISNUMBER(D901),COUNTIF(Envelopes!$B$6:$B$21,C901)&gt;0,F901=""),1,0)</f>
        <v/>
      </c>
      <c r="J901">
        <f>IF(AND(H901&gt;0,ISNUMBER(D901),COUNTIF(Envelopes!$B$6:$B$21,C901)&gt;0,F901&lt;&gt;"",COUNTIF(Envelopes!$B$6:$B$21,F901)&gt;0),1,0)</f>
        <v/>
      </c>
      <c r="K901">
        <f>IF(I901=1,H901*10000+ROW(),"")</f>
        <v/>
      </c>
    </row>
    <row r="902">
      <c r="A902" s="1" t="n"/>
      <c r="B902" s="21" t="n"/>
      <c r="C902" s="23" t="n"/>
      <c r="D902" s="22" t="n"/>
      <c r="E902" s="24" t="n"/>
      <c r="F902" s="25" t="n"/>
      <c r="G902" s="18">
        <f>IF(AND(C902="",D902=""),"",IF(NOT(ISNUMBER(B902)),"Needs a date",IF(NOT(ISNUMBER(D902)),"Needs the amount",IF(C902="","Needs an envelope",IF(COUNTIF(Envelopes!$B$6:$B$21,C902)=0,"Not on Envelopes",IF(F902="",IF(D902=0,"Needs the amount",""),IF(COUNTIF(Envelopes!$B$6:$B$21,F902)=0,"Moved to: not on Envelopes",IF(D902&lt;=0,"A move needs an amount",IF(F902=C902,"Moved to the same envelope","")))))))))</f>
        <v/>
      </c>
      <c r="H902" s="1">
        <f>IF(ISNUMBER(B902),INT(B902),0)</f>
        <v/>
      </c>
      <c r="I902">
        <f>IF(AND(H902&gt;0,ISNUMBER(D902),COUNTIF(Envelopes!$B$6:$B$21,C902)&gt;0,F902=""),1,0)</f>
        <v/>
      </c>
      <c r="J902">
        <f>IF(AND(H902&gt;0,ISNUMBER(D902),COUNTIF(Envelopes!$B$6:$B$21,C902)&gt;0,F902&lt;&gt;"",COUNTIF(Envelopes!$B$6:$B$21,F902)&gt;0),1,0)</f>
        <v/>
      </c>
      <c r="K902">
        <f>IF(I902=1,H902*10000+ROW(),"")</f>
        <v/>
      </c>
    </row>
    <row r="903">
      <c r="A903" s="1" t="n"/>
      <c r="B903" s="21" t="n"/>
      <c r="C903" s="23" t="n"/>
      <c r="D903" s="22" t="n"/>
      <c r="E903" s="24" t="n"/>
      <c r="F903" s="25" t="n"/>
      <c r="G903" s="18">
        <f>IF(AND(C903="",D903=""),"",IF(NOT(ISNUMBER(B903)),"Needs a date",IF(NOT(ISNUMBER(D903)),"Needs the amount",IF(C903="","Needs an envelope",IF(COUNTIF(Envelopes!$B$6:$B$21,C903)=0,"Not on Envelopes",IF(F903="",IF(D903=0,"Needs the amount",""),IF(COUNTIF(Envelopes!$B$6:$B$21,F903)=0,"Moved to: not on Envelopes",IF(D903&lt;=0,"A move needs an amount",IF(F903=C903,"Moved to the same envelope","")))))))))</f>
        <v/>
      </c>
      <c r="H903" s="1">
        <f>IF(ISNUMBER(B903),INT(B903),0)</f>
        <v/>
      </c>
      <c r="I903">
        <f>IF(AND(H903&gt;0,ISNUMBER(D903),COUNTIF(Envelopes!$B$6:$B$21,C903)&gt;0,F903=""),1,0)</f>
        <v/>
      </c>
      <c r="J903">
        <f>IF(AND(H903&gt;0,ISNUMBER(D903),COUNTIF(Envelopes!$B$6:$B$21,C903)&gt;0,F903&lt;&gt;"",COUNTIF(Envelopes!$B$6:$B$21,F903)&gt;0),1,0)</f>
        <v/>
      </c>
      <c r="K903">
        <f>IF(I903=1,H903*10000+ROW(),"")</f>
        <v/>
      </c>
    </row>
    <row r="904">
      <c r="A904" s="1" t="n"/>
      <c r="B904" s="21" t="n"/>
      <c r="C904" s="23" t="n"/>
      <c r="D904" s="22" t="n"/>
      <c r="E904" s="24" t="n"/>
      <c r="F904" s="25" t="n"/>
      <c r="G904" s="18">
        <f>IF(AND(C904="",D904=""),"",IF(NOT(ISNUMBER(B904)),"Needs a date",IF(NOT(ISNUMBER(D904)),"Needs the amount",IF(C904="","Needs an envelope",IF(COUNTIF(Envelopes!$B$6:$B$21,C904)=0,"Not on Envelopes",IF(F904="",IF(D904=0,"Needs the amount",""),IF(COUNTIF(Envelopes!$B$6:$B$21,F904)=0,"Moved to: not on Envelopes",IF(D904&lt;=0,"A move needs an amount",IF(F904=C904,"Moved to the same envelope","")))))))))</f>
        <v/>
      </c>
      <c r="H904" s="1">
        <f>IF(ISNUMBER(B904),INT(B904),0)</f>
        <v/>
      </c>
      <c r="I904">
        <f>IF(AND(H904&gt;0,ISNUMBER(D904),COUNTIF(Envelopes!$B$6:$B$21,C904)&gt;0,F904=""),1,0)</f>
        <v/>
      </c>
      <c r="J904">
        <f>IF(AND(H904&gt;0,ISNUMBER(D904),COUNTIF(Envelopes!$B$6:$B$21,C904)&gt;0,F904&lt;&gt;"",COUNTIF(Envelopes!$B$6:$B$21,F904)&gt;0),1,0)</f>
        <v/>
      </c>
      <c r="K904">
        <f>IF(I904=1,H904*10000+ROW(),"")</f>
        <v/>
      </c>
    </row>
    <row r="905">
      <c r="A905" s="1" t="n"/>
      <c r="B905" s="21" t="n"/>
      <c r="C905" s="23" t="n"/>
      <c r="D905" s="22" t="n"/>
      <c r="E905" s="24" t="n"/>
      <c r="F905" s="25" t="n"/>
      <c r="G905" s="18">
        <f>IF(AND(C905="",D905=""),"",IF(NOT(ISNUMBER(B905)),"Needs a date",IF(NOT(ISNUMBER(D905)),"Needs the amount",IF(C905="","Needs an envelope",IF(COUNTIF(Envelopes!$B$6:$B$21,C905)=0,"Not on Envelopes",IF(F905="",IF(D905=0,"Needs the amount",""),IF(COUNTIF(Envelopes!$B$6:$B$21,F905)=0,"Moved to: not on Envelopes",IF(D905&lt;=0,"A move needs an amount",IF(F905=C905,"Moved to the same envelope","")))))))))</f>
        <v/>
      </c>
      <c r="H905" s="1">
        <f>IF(ISNUMBER(B905),INT(B905),0)</f>
        <v/>
      </c>
      <c r="I905">
        <f>IF(AND(H905&gt;0,ISNUMBER(D905),COUNTIF(Envelopes!$B$6:$B$21,C905)&gt;0,F905=""),1,0)</f>
        <v/>
      </c>
      <c r="J905">
        <f>IF(AND(H905&gt;0,ISNUMBER(D905),COUNTIF(Envelopes!$B$6:$B$21,C905)&gt;0,F905&lt;&gt;"",COUNTIF(Envelopes!$B$6:$B$21,F905)&gt;0),1,0)</f>
        <v/>
      </c>
      <c r="K905">
        <f>IF(I905=1,H905*10000+ROW(),"")</f>
        <v/>
      </c>
    </row>
    <row r="906">
      <c r="A906" s="1" t="n"/>
      <c r="B906" s="21" t="n"/>
      <c r="C906" s="23" t="n"/>
      <c r="D906" s="22" t="n"/>
      <c r="E906" s="24" t="n"/>
      <c r="F906" s="25" t="n"/>
      <c r="G906" s="18">
        <f>IF(AND(C906="",D906=""),"",IF(NOT(ISNUMBER(B906)),"Needs a date",IF(NOT(ISNUMBER(D906)),"Needs the amount",IF(C906="","Needs an envelope",IF(COUNTIF(Envelopes!$B$6:$B$21,C906)=0,"Not on Envelopes",IF(F906="",IF(D906=0,"Needs the amount",""),IF(COUNTIF(Envelopes!$B$6:$B$21,F906)=0,"Moved to: not on Envelopes",IF(D906&lt;=0,"A move needs an amount",IF(F906=C906,"Moved to the same envelope","")))))))))</f>
        <v/>
      </c>
      <c r="H906" s="1">
        <f>IF(ISNUMBER(B906),INT(B906),0)</f>
        <v/>
      </c>
      <c r="I906">
        <f>IF(AND(H906&gt;0,ISNUMBER(D906),COUNTIF(Envelopes!$B$6:$B$21,C906)&gt;0,F906=""),1,0)</f>
        <v/>
      </c>
      <c r="J906">
        <f>IF(AND(H906&gt;0,ISNUMBER(D906),COUNTIF(Envelopes!$B$6:$B$21,C906)&gt;0,F906&lt;&gt;"",COUNTIF(Envelopes!$B$6:$B$21,F906)&gt;0),1,0)</f>
        <v/>
      </c>
      <c r="K906">
        <f>IF(I906=1,H906*10000+ROW(),"")</f>
        <v/>
      </c>
    </row>
    <row r="907">
      <c r="A907" s="1" t="n"/>
      <c r="B907" s="21" t="n"/>
      <c r="C907" s="23" t="n"/>
      <c r="D907" s="22" t="n"/>
      <c r="E907" s="24" t="n"/>
      <c r="F907" s="25" t="n"/>
      <c r="G907" s="18">
        <f>IF(AND(C907="",D907=""),"",IF(NOT(ISNUMBER(B907)),"Needs a date",IF(NOT(ISNUMBER(D907)),"Needs the amount",IF(C907="","Needs an envelope",IF(COUNTIF(Envelopes!$B$6:$B$21,C907)=0,"Not on Envelopes",IF(F907="",IF(D907=0,"Needs the amount",""),IF(COUNTIF(Envelopes!$B$6:$B$21,F907)=0,"Moved to: not on Envelopes",IF(D907&lt;=0,"A move needs an amount",IF(F907=C907,"Moved to the same envelope","")))))))))</f>
        <v/>
      </c>
      <c r="H907" s="1">
        <f>IF(ISNUMBER(B907),INT(B907),0)</f>
        <v/>
      </c>
      <c r="I907">
        <f>IF(AND(H907&gt;0,ISNUMBER(D907),COUNTIF(Envelopes!$B$6:$B$21,C907)&gt;0,F907=""),1,0)</f>
        <v/>
      </c>
      <c r="J907">
        <f>IF(AND(H907&gt;0,ISNUMBER(D907),COUNTIF(Envelopes!$B$6:$B$21,C907)&gt;0,F907&lt;&gt;"",COUNTIF(Envelopes!$B$6:$B$21,F907)&gt;0),1,0)</f>
        <v/>
      </c>
      <c r="K907">
        <f>IF(I907=1,H907*10000+ROW(),"")</f>
        <v/>
      </c>
    </row>
    <row r="908">
      <c r="A908" s="1" t="n"/>
      <c r="B908" s="21" t="n"/>
      <c r="C908" s="23" t="n"/>
      <c r="D908" s="22" t="n"/>
      <c r="E908" s="24" t="n"/>
      <c r="F908" s="25" t="n"/>
      <c r="G908" s="18">
        <f>IF(AND(C908="",D908=""),"",IF(NOT(ISNUMBER(B908)),"Needs a date",IF(NOT(ISNUMBER(D908)),"Needs the amount",IF(C908="","Needs an envelope",IF(COUNTIF(Envelopes!$B$6:$B$21,C908)=0,"Not on Envelopes",IF(F908="",IF(D908=0,"Needs the amount",""),IF(COUNTIF(Envelopes!$B$6:$B$21,F908)=0,"Moved to: not on Envelopes",IF(D908&lt;=0,"A move needs an amount",IF(F908=C908,"Moved to the same envelope","")))))))))</f>
        <v/>
      </c>
      <c r="H908" s="1">
        <f>IF(ISNUMBER(B908),INT(B908),0)</f>
        <v/>
      </c>
      <c r="I908">
        <f>IF(AND(H908&gt;0,ISNUMBER(D908),COUNTIF(Envelopes!$B$6:$B$21,C908)&gt;0,F908=""),1,0)</f>
        <v/>
      </c>
      <c r="J908">
        <f>IF(AND(H908&gt;0,ISNUMBER(D908),COUNTIF(Envelopes!$B$6:$B$21,C908)&gt;0,F908&lt;&gt;"",COUNTIF(Envelopes!$B$6:$B$21,F908)&gt;0),1,0)</f>
        <v/>
      </c>
      <c r="K908">
        <f>IF(I908=1,H908*10000+ROW(),"")</f>
        <v/>
      </c>
    </row>
    <row r="909">
      <c r="A909" s="1" t="n"/>
      <c r="B909" s="21" t="n"/>
      <c r="C909" s="23" t="n"/>
      <c r="D909" s="22" t="n"/>
      <c r="E909" s="24" t="n"/>
      <c r="F909" s="25" t="n"/>
      <c r="G909" s="18">
        <f>IF(AND(C909="",D909=""),"",IF(NOT(ISNUMBER(B909)),"Needs a date",IF(NOT(ISNUMBER(D909)),"Needs the amount",IF(C909="","Needs an envelope",IF(COUNTIF(Envelopes!$B$6:$B$21,C909)=0,"Not on Envelopes",IF(F909="",IF(D909=0,"Needs the amount",""),IF(COUNTIF(Envelopes!$B$6:$B$21,F909)=0,"Moved to: not on Envelopes",IF(D909&lt;=0,"A move needs an amount",IF(F909=C909,"Moved to the same envelope","")))))))))</f>
        <v/>
      </c>
      <c r="H909" s="1">
        <f>IF(ISNUMBER(B909),INT(B909),0)</f>
        <v/>
      </c>
      <c r="I909">
        <f>IF(AND(H909&gt;0,ISNUMBER(D909),COUNTIF(Envelopes!$B$6:$B$21,C909)&gt;0,F909=""),1,0)</f>
        <v/>
      </c>
      <c r="J909">
        <f>IF(AND(H909&gt;0,ISNUMBER(D909),COUNTIF(Envelopes!$B$6:$B$21,C909)&gt;0,F909&lt;&gt;"",COUNTIF(Envelopes!$B$6:$B$21,F909)&gt;0),1,0)</f>
        <v/>
      </c>
      <c r="K909">
        <f>IF(I909=1,H909*10000+ROW(),"")</f>
        <v/>
      </c>
    </row>
    <row r="910">
      <c r="A910" s="1" t="n"/>
      <c r="B910" s="21" t="n"/>
      <c r="C910" s="23" t="n"/>
      <c r="D910" s="22" t="n"/>
      <c r="E910" s="24" t="n"/>
      <c r="F910" s="25" t="n"/>
      <c r="G910" s="18">
        <f>IF(AND(C910="",D910=""),"",IF(NOT(ISNUMBER(B910)),"Needs a date",IF(NOT(ISNUMBER(D910)),"Needs the amount",IF(C910="","Needs an envelope",IF(COUNTIF(Envelopes!$B$6:$B$21,C910)=0,"Not on Envelopes",IF(F910="",IF(D910=0,"Needs the amount",""),IF(COUNTIF(Envelopes!$B$6:$B$21,F910)=0,"Moved to: not on Envelopes",IF(D910&lt;=0,"A move needs an amount",IF(F910=C910,"Moved to the same envelope","")))))))))</f>
        <v/>
      </c>
      <c r="H910" s="1">
        <f>IF(ISNUMBER(B910),INT(B910),0)</f>
        <v/>
      </c>
      <c r="I910">
        <f>IF(AND(H910&gt;0,ISNUMBER(D910),COUNTIF(Envelopes!$B$6:$B$21,C910)&gt;0,F910=""),1,0)</f>
        <v/>
      </c>
      <c r="J910">
        <f>IF(AND(H910&gt;0,ISNUMBER(D910),COUNTIF(Envelopes!$B$6:$B$21,C910)&gt;0,F910&lt;&gt;"",COUNTIF(Envelopes!$B$6:$B$21,F910)&gt;0),1,0)</f>
        <v/>
      </c>
      <c r="K910">
        <f>IF(I910=1,H910*10000+ROW(),"")</f>
        <v/>
      </c>
    </row>
    <row r="911">
      <c r="A911" s="1" t="n"/>
      <c r="B911" s="21" t="n"/>
      <c r="C911" s="23" t="n"/>
      <c r="D911" s="22" t="n"/>
      <c r="E911" s="24" t="n"/>
      <c r="F911" s="25" t="n"/>
      <c r="G911" s="18">
        <f>IF(AND(C911="",D911=""),"",IF(NOT(ISNUMBER(B911)),"Needs a date",IF(NOT(ISNUMBER(D911)),"Needs the amount",IF(C911="","Needs an envelope",IF(COUNTIF(Envelopes!$B$6:$B$21,C911)=0,"Not on Envelopes",IF(F911="",IF(D911=0,"Needs the amount",""),IF(COUNTIF(Envelopes!$B$6:$B$21,F911)=0,"Moved to: not on Envelopes",IF(D911&lt;=0,"A move needs an amount",IF(F911=C911,"Moved to the same envelope","")))))))))</f>
        <v/>
      </c>
      <c r="H911" s="1">
        <f>IF(ISNUMBER(B911),INT(B911),0)</f>
        <v/>
      </c>
      <c r="I911">
        <f>IF(AND(H911&gt;0,ISNUMBER(D911),COUNTIF(Envelopes!$B$6:$B$21,C911)&gt;0,F911=""),1,0)</f>
        <v/>
      </c>
      <c r="J911">
        <f>IF(AND(H911&gt;0,ISNUMBER(D911),COUNTIF(Envelopes!$B$6:$B$21,C911)&gt;0,F911&lt;&gt;"",COUNTIF(Envelopes!$B$6:$B$21,F911)&gt;0),1,0)</f>
        <v/>
      </c>
      <c r="K911">
        <f>IF(I911=1,H911*10000+ROW(),"")</f>
        <v/>
      </c>
    </row>
    <row r="912">
      <c r="A912" s="1" t="n"/>
      <c r="B912" s="21" t="n"/>
      <c r="C912" s="23" t="n"/>
      <c r="D912" s="22" t="n"/>
      <c r="E912" s="24" t="n"/>
      <c r="F912" s="25" t="n"/>
      <c r="G912" s="18">
        <f>IF(AND(C912="",D912=""),"",IF(NOT(ISNUMBER(B912)),"Needs a date",IF(NOT(ISNUMBER(D912)),"Needs the amount",IF(C912="","Needs an envelope",IF(COUNTIF(Envelopes!$B$6:$B$21,C912)=0,"Not on Envelopes",IF(F912="",IF(D912=0,"Needs the amount",""),IF(COUNTIF(Envelopes!$B$6:$B$21,F912)=0,"Moved to: not on Envelopes",IF(D912&lt;=0,"A move needs an amount",IF(F912=C912,"Moved to the same envelope","")))))))))</f>
        <v/>
      </c>
      <c r="H912" s="1">
        <f>IF(ISNUMBER(B912),INT(B912),0)</f>
        <v/>
      </c>
      <c r="I912">
        <f>IF(AND(H912&gt;0,ISNUMBER(D912),COUNTIF(Envelopes!$B$6:$B$21,C912)&gt;0,F912=""),1,0)</f>
        <v/>
      </c>
      <c r="J912">
        <f>IF(AND(H912&gt;0,ISNUMBER(D912),COUNTIF(Envelopes!$B$6:$B$21,C912)&gt;0,F912&lt;&gt;"",COUNTIF(Envelopes!$B$6:$B$21,F912)&gt;0),1,0)</f>
        <v/>
      </c>
      <c r="K912">
        <f>IF(I912=1,H912*10000+ROW(),"")</f>
        <v/>
      </c>
    </row>
    <row r="913">
      <c r="A913" s="1" t="n"/>
      <c r="B913" s="21" t="n"/>
      <c r="C913" s="23" t="n"/>
      <c r="D913" s="22" t="n"/>
      <c r="E913" s="24" t="n"/>
      <c r="F913" s="25" t="n"/>
      <c r="G913" s="18">
        <f>IF(AND(C913="",D913=""),"",IF(NOT(ISNUMBER(B913)),"Needs a date",IF(NOT(ISNUMBER(D913)),"Needs the amount",IF(C913="","Needs an envelope",IF(COUNTIF(Envelopes!$B$6:$B$21,C913)=0,"Not on Envelopes",IF(F913="",IF(D913=0,"Needs the amount",""),IF(COUNTIF(Envelopes!$B$6:$B$21,F913)=0,"Moved to: not on Envelopes",IF(D913&lt;=0,"A move needs an amount",IF(F913=C913,"Moved to the same envelope","")))))))))</f>
        <v/>
      </c>
      <c r="H913" s="1">
        <f>IF(ISNUMBER(B913),INT(B913),0)</f>
        <v/>
      </c>
      <c r="I913">
        <f>IF(AND(H913&gt;0,ISNUMBER(D913),COUNTIF(Envelopes!$B$6:$B$21,C913)&gt;0,F913=""),1,0)</f>
        <v/>
      </c>
      <c r="J913">
        <f>IF(AND(H913&gt;0,ISNUMBER(D913),COUNTIF(Envelopes!$B$6:$B$21,C913)&gt;0,F913&lt;&gt;"",COUNTIF(Envelopes!$B$6:$B$21,F913)&gt;0),1,0)</f>
        <v/>
      </c>
      <c r="K913">
        <f>IF(I913=1,H913*10000+ROW(),"")</f>
        <v/>
      </c>
    </row>
    <row r="914">
      <c r="A914" s="1" t="n"/>
      <c r="B914" s="21" t="n"/>
      <c r="C914" s="23" t="n"/>
      <c r="D914" s="22" t="n"/>
      <c r="E914" s="24" t="n"/>
      <c r="F914" s="25" t="n"/>
      <c r="G914" s="18">
        <f>IF(AND(C914="",D914=""),"",IF(NOT(ISNUMBER(B914)),"Needs a date",IF(NOT(ISNUMBER(D914)),"Needs the amount",IF(C914="","Needs an envelope",IF(COUNTIF(Envelopes!$B$6:$B$21,C914)=0,"Not on Envelopes",IF(F914="",IF(D914=0,"Needs the amount",""),IF(COUNTIF(Envelopes!$B$6:$B$21,F914)=0,"Moved to: not on Envelopes",IF(D914&lt;=0,"A move needs an amount",IF(F914=C914,"Moved to the same envelope","")))))))))</f>
        <v/>
      </c>
      <c r="H914" s="1">
        <f>IF(ISNUMBER(B914),INT(B914),0)</f>
        <v/>
      </c>
      <c r="I914">
        <f>IF(AND(H914&gt;0,ISNUMBER(D914),COUNTIF(Envelopes!$B$6:$B$21,C914)&gt;0,F914=""),1,0)</f>
        <v/>
      </c>
      <c r="J914">
        <f>IF(AND(H914&gt;0,ISNUMBER(D914),COUNTIF(Envelopes!$B$6:$B$21,C914)&gt;0,F914&lt;&gt;"",COUNTIF(Envelopes!$B$6:$B$21,F914)&gt;0),1,0)</f>
        <v/>
      </c>
      <c r="K914">
        <f>IF(I914=1,H914*10000+ROW(),"")</f>
        <v/>
      </c>
    </row>
    <row r="915">
      <c r="A915" s="1" t="n"/>
      <c r="B915" s="21" t="n"/>
      <c r="C915" s="23" t="n"/>
      <c r="D915" s="22" t="n"/>
      <c r="E915" s="24" t="n"/>
      <c r="F915" s="25" t="n"/>
      <c r="G915" s="18">
        <f>IF(AND(C915="",D915=""),"",IF(NOT(ISNUMBER(B915)),"Needs a date",IF(NOT(ISNUMBER(D915)),"Needs the amount",IF(C915="","Needs an envelope",IF(COUNTIF(Envelopes!$B$6:$B$21,C915)=0,"Not on Envelopes",IF(F915="",IF(D915=0,"Needs the amount",""),IF(COUNTIF(Envelopes!$B$6:$B$21,F915)=0,"Moved to: not on Envelopes",IF(D915&lt;=0,"A move needs an amount",IF(F915=C915,"Moved to the same envelope","")))))))))</f>
        <v/>
      </c>
      <c r="H915" s="1">
        <f>IF(ISNUMBER(B915),INT(B915),0)</f>
        <v/>
      </c>
      <c r="I915">
        <f>IF(AND(H915&gt;0,ISNUMBER(D915),COUNTIF(Envelopes!$B$6:$B$21,C915)&gt;0,F915=""),1,0)</f>
        <v/>
      </c>
      <c r="J915">
        <f>IF(AND(H915&gt;0,ISNUMBER(D915),COUNTIF(Envelopes!$B$6:$B$21,C915)&gt;0,F915&lt;&gt;"",COUNTIF(Envelopes!$B$6:$B$21,F915)&gt;0),1,0)</f>
        <v/>
      </c>
      <c r="K915">
        <f>IF(I915=1,H915*10000+ROW(),"")</f>
        <v/>
      </c>
    </row>
    <row r="916">
      <c r="A916" s="1" t="n"/>
      <c r="B916" s="21" t="n"/>
      <c r="C916" s="23" t="n"/>
      <c r="D916" s="22" t="n"/>
      <c r="E916" s="24" t="n"/>
      <c r="F916" s="25" t="n"/>
      <c r="G916" s="18">
        <f>IF(AND(C916="",D916=""),"",IF(NOT(ISNUMBER(B916)),"Needs a date",IF(NOT(ISNUMBER(D916)),"Needs the amount",IF(C916="","Needs an envelope",IF(COUNTIF(Envelopes!$B$6:$B$21,C916)=0,"Not on Envelopes",IF(F916="",IF(D916=0,"Needs the amount",""),IF(COUNTIF(Envelopes!$B$6:$B$21,F916)=0,"Moved to: not on Envelopes",IF(D916&lt;=0,"A move needs an amount",IF(F916=C916,"Moved to the same envelope","")))))))))</f>
        <v/>
      </c>
      <c r="H916" s="1">
        <f>IF(ISNUMBER(B916),INT(B916),0)</f>
        <v/>
      </c>
      <c r="I916">
        <f>IF(AND(H916&gt;0,ISNUMBER(D916),COUNTIF(Envelopes!$B$6:$B$21,C916)&gt;0,F916=""),1,0)</f>
        <v/>
      </c>
      <c r="J916">
        <f>IF(AND(H916&gt;0,ISNUMBER(D916),COUNTIF(Envelopes!$B$6:$B$21,C916)&gt;0,F916&lt;&gt;"",COUNTIF(Envelopes!$B$6:$B$21,F916)&gt;0),1,0)</f>
        <v/>
      </c>
      <c r="K916">
        <f>IF(I916=1,H916*10000+ROW(),"")</f>
        <v/>
      </c>
    </row>
    <row r="917">
      <c r="A917" s="1" t="n"/>
      <c r="B917" s="21" t="n"/>
      <c r="C917" s="23" t="n"/>
      <c r="D917" s="22" t="n"/>
      <c r="E917" s="24" t="n"/>
      <c r="F917" s="25" t="n"/>
      <c r="G917" s="18">
        <f>IF(AND(C917="",D917=""),"",IF(NOT(ISNUMBER(B917)),"Needs a date",IF(NOT(ISNUMBER(D917)),"Needs the amount",IF(C917="","Needs an envelope",IF(COUNTIF(Envelopes!$B$6:$B$21,C917)=0,"Not on Envelopes",IF(F917="",IF(D917=0,"Needs the amount",""),IF(COUNTIF(Envelopes!$B$6:$B$21,F917)=0,"Moved to: not on Envelopes",IF(D917&lt;=0,"A move needs an amount",IF(F917=C917,"Moved to the same envelope","")))))))))</f>
        <v/>
      </c>
      <c r="H917" s="1">
        <f>IF(ISNUMBER(B917),INT(B917),0)</f>
        <v/>
      </c>
      <c r="I917">
        <f>IF(AND(H917&gt;0,ISNUMBER(D917),COUNTIF(Envelopes!$B$6:$B$21,C917)&gt;0,F917=""),1,0)</f>
        <v/>
      </c>
      <c r="J917">
        <f>IF(AND(H917&gt;0,ISNUMBER(D917),COUNTIF(Envelopes!$B$6:$B$21,C917)&gt;0,F917&lt;&gt;"",COUNTIF(Envelopes!$B$6:$B$21,F917)&gt;0),1,0)</f>
        <v/>
      </c>
      <c r="K917">
        <f>IF(I917=1,H917*10000+ROW(),"")</f>
        <v/>
      </c>
    </row>
    <row r="918">
      <c r="A918" s="1" t="n"/>
      <c r="B918" s="21" t="n"/>
      <c r="C918" s="23" t="n"/>
      <c r="D918" s="22" t="n"/>
      <c r="E918" s="24" t="n"/>
      <c r="F918" s="25" t="n"/>
      <c r="G918" s="18">
        <f>IF(AND(C918="",D918=""),"",IF(NOT(ISNUMBER(B918)),"Needs a date",IF(NOT(ISNUMBER(D918)),"Needs the amount",IF(C918="","Needs an envelope",IF(COUNTIF(Envelopes!$B$6:$B$21,C918)=0,"Not on Envelopes",IF(F918="",IF(D918=0,"Needs the amount",""),IF(COUNTIF(Envelopes!$B$6:$B$21,F918)=0,"Moved to: not on Envelopes",IF(D918&lt;=0,"A move needs an amount",IF(F918=C918,"Moved to the same envelope","")))))))))</f>
        <v/>
      </c>
      <c r="H918" s="1">
        <f>IF(ISNUMBER(B918),INT(B918),0)</f>
        <v/>
      </c>
      <c r="I918">
        <f>IF(AND(H918&gt;0,ISNUMBER(D918),COUNTIF(Envelopes!$B$6:$B$21,C918)&gt;0,F918=""),1,0)</f>
        <v/>
      </c>
      <c r="J918">
        <f>IF(AND(H918&gt;0,ISNUMBER(D918),COUNTIF(Envelopes!$B$6:$B$21,C918)&gt;0,F918&lt;&gt;"",COUNTIF(Envelopes!$B$6:$B$21,F918)&gt;0),1,0)</f>
        <v/>
      </c>
      <c r="K918">
        <f>IF(I918=1,H918*10000+ROW(),"")</f>
        <v/>
      </c>
    </row>
    <row r="919">
      <c r="A919" s="1" t="n"/>
      <c r="B919" s="21" t="n"/>
      <c r="C919" s="23" t="n"/>
      <c r="D919" s="22" t="n"/>
      <c r="E919" s="24" t="n"/>
      <c r="F919" s="25" t="n"/>
      <c r="G919" s="18">
        <f>IF(AND(C919="",D919=""),"",IF(NOT(ISNUMBER(B919)),"Needs a date",IF(NOT(ISNUMBER(D919)),"Needs the amount",IF(C919="","Needs an envelope",IF(COUNTIF(Envelopes!$B$6:$B$21,C919)=0,"Not on Envelopes",IF(F919="",IF(D919=0,"Needs the amount",""),IF(COUNTIF(Envelopes!$B$6:$B$21,F919)=0,"Moved to: not on Envelopes",IF(D919&lt;=0,"A move needs an amount",IF(F919=C919,"Moved to the same envelope","")))))))))</f>
        <v/>
      </c>
      <c r="H919" s="1">
        <f>IF(ISNUMBER(B919),INT(B919),0)</f>
        <v/>
      </c>
      <c r="I919">
        <f>IF(AND(H919&gt;0,ISNUMBER(D919),COUNTIF(Envelopes!$B$6:$B$21,C919)&gt;0,F919=""),1,0)</f>
        <v/>
      </c>
      <c r="J919">
        <f>IF(AND(H919&gt;0,ISNUMBER(D919),COUNTIF(Envelopes!$B$6:$B$21,C919)&gt;0,F919&lt;&gt;"",COUNTIF(Envelopes!$B$6:$B$21,F919)&gt;0),1,0)</f>
        <v/>
      </c>
      <c r="K919">
        <f>IF(I919=1,H919*10000+ROW(),"")</f>
        <v/>
      </c>
    </row>
    <row r="920">
      <c r="A920" s="1" t="n"/>
      <c r="B920" s="21" t="n"/>
      <c r="C920" s="23" t="n"/>
      <c r="D920" s="22" t="n"/>
      <c r="E920" s="24" t="n"/>
      <c r="F920" s="25" t="n"/>
      <c r="G920" s="18">
        <f>IF(AND(C920="",D920=""),"",IF(NOT(ISNUMBER(B920)),"Needs a date",IF(NOT(ISNUMBER(D920)),"Needs the amount",IF(C920="","Needs an envelope",IF(COUNTIF(Envelopes!$B$6:$B$21,C920)=0,"Not on Envelopes",IF(F920="",IF(D920=0,"Needs the amount",""),IF(COUNTIF(Envelopes!$B$6:$B$21,F920)=0,"Moved to: not on Envelopes",IF(D920&lt;=0,"A move needs an amount",IF(F920=C920,"Moved to the same envelope","")))))))))</f>
        <v/>
      </c>
      <c r="H920" s="1">
        <f>IF(ISNUMBER(B920),INT(B920),0)</f>
        <v/>
      </c>
      <c r="I920">
        <f>IF(AND(H920&gt;0,ISNUMBER(D920),COUNTIF(Envelopes!$B$6:$B$21,C920)&gt;0,F920=""),1,0)</f>
        <v/>
      </c>
      <c r="J920">
        <f>IF(AND(H920&gt;0,ISNUMBER(D920),COUNTIF(Envelopes!$B$6:$B$21,C920)&gt;0,F920&lt;&gt;"",COUNTIF(Envelopes!$B$6:$B$21,F920)&gt;0),1,0)</f>
        <v/>
      </c>
      <c r="K920">
        <f>IF(I920=1,H920*10000+ROW(),"")</f>
        <v/>
      </c>
    </row>
    <row r="921">
      <c r="A921" s="1" t="n"/>
      <c r="B921" s="21" t="n"/>
      <c r="C921" s="23" t="n"/>
      <c r="D921" s="22" t="n"/>
      <c r="E921" s="24" t="n"/>
      <c r="F921" s="25" t="n"/>
      <c r="G921" s="18">
        <f>IF(AND(C921="",D921=""),"",IF(NOT(ISNUMBER(B921)),"Needs a date",IF(NOT(ISNUMBER(D921)),"Needs the amount",IF(C921="","Needs an envelope",IF(COUNTIF(Envelopes!$B$6:$B$21,C921)=0,"Not on Envelopes",IF(F921="",IF(D921=0,"Needs the amount",""),IF(COUNTIF(Envelopes!$B$6:$B$21,F921)=0,"Moved to: not on Envelopes",IF(D921&lt;=0,"A move needs an amount",IF(F921=C921,"Moved to the same envelope","")))))))))</f>
        <v/>
      </c>
      <c r="H921" s="1">
        <f>IF(ISNUMBER(B921),INT(B921),0)</f>
        <v/>
      </c>
      <c r="I921">
        <f>IF(AND(H921&gt;0,ISNUMBER(D921),COUNTIF(Envelopes!$B$6:$B$21,C921)&gt;0,F921=""),1,0)</f>
        <v/>
      </c>
      <c r="J921">
        <f>IF(AND(H921&gt;0,ISNUMBER(D921),COUNTIF(Envelopes!$B$6:$B$21,C921)&gt;0,F921&lt;&gt;"",COUNTIF(Envelopes!$B$6:$B$21,F921)&gt;0),1,0)</f>
        <v/>
      </c>
      <c r="K921">
        <f>IF(I921=1,H921*10000+ROW(),"")</f>
        <v/>
      </c>
    </row>
    <row r="922">
      <c r="A922" s="1" t="n"/>
      <c r="B922" s="21" t="n"/>
      <c r="C922" s="23" t="n"/>
      <c r="D922" s="22" t="n"/>
      <c r="E922" s="24" t="n"/>
      <c r="F922" s="25" t="n"/>
      <c r="G922" s="18">
        <f>IF(AND(C922="",D922=""),"",IF(NOT(ISNUMBER(B922)),"Needs a date",IF(NOT(ISNUMBER(D922)),"Needs the amount",IF(C922="","Needs an envelope",IF(COUNTIF(Envelopes!$B$6:$B$21,C922)=0,"Not on Envelopes",IF(F922="",IF(D922=0,"Needs the amount",""),IF(COUNTIF(Envelopes!$B$6:$B$21,F922)=0,"Moved to: not on Envelopes",IF(D922&lt;=0,"A move needs an amount",IF(F922=C922,"Moved to the same envelope","")))))))))</f>
        <v/>
      </c>
      <c r="H922" s="1">
        <f>IF(ISNUMBER(B922),INT(B922),0)</f>
        <v/>
      </c>
      <c r="I922">
        <f>IF(AND(H922&gt;0,ISNUMBER(D922),COUNTIF(Envelopes!$B$6:$B$21,C922)&gt;0,F922=""),1,0)</f>
        <v/>
      </c>
      <c r="J922">
        <f>IF(AND(H922&gt;0,ISNUMBER(D922),COUNTIF(Envelopes!$B$6:$B$21,C922)&gt;0,F922&lt;&gt;"",COUNTIF(Envelopes!$B$6:$B$21,F922)&gt;0),1,0)</f>
        <v/>
      </c>
      <c r="K922">
        <f>IF(I922=1,H922*10000+ROW(),"")</f>
        <v/>
      </c>
    </row>
    <row r="923">
      <c r="A923" s="1" t="n"/>
      <c r="B923" s="21" t="n"/>
      <c r="C923" s="23" t="n"/>
      <c r="D923" s="22" t="n"/>
      <c r="E923" s="24" t="n"/>
      <c r="F923" s="25" t="n"/>
      <c r="G923" s="18">
        <f>IF(AND(C923="",D923=""),"",IF(NOT(ISNUMBER(B923)),"Needs a date",IF(NOT(ISNUMBER(D923)),"Needs the amount",IF(C923="","Needs an envelope",IF(COUNTIF(Envelopes!$B$6:$B$21,C923)=0,"Not on Envelopes",IF(F923="",IF(D923=0,"Needs the amount",""),IF(COUNTIF(Envelopes!$B$6:$B$21,F923)=0,"Moved to: not on Envelopes",IF(D923&lt;=0,"A move needs an amount",IF(F923=C923,"Moved to the same envelope","")))))))))</f>
        <v/>
      </c>
      <c r="H923" s="1">
        <f>IF(ISNUMBER(B923),INT(B923),0)</f>
        <v/>
      </c>
      <c r="I923">
        <f>IF(AND(H923&gt;0,ISNUMBER(D923),COUNTIF(Envelopes!$B$6:$B$21,C923)&gt;0,F923=""),1,0)</f>
        <v/>
      </c>
      <c r="J923">
        <f>IF(AND(H923&gt;0,ISNUMBER(D923),COUNTIF(Envelopes!$B$6:$B$21,C923)&gt;0,F923&lt;&gt;"",COUNTIF(Envelopes!$B$6:$B$21,F923)&gt;0),1,0)</f>
        <v/>
      </c>
      <c r="K923">
        <f>IF(I923=1,H923*10000+ROW(),"")</f>
        <v/>
      </c>
    </row>
    <row r="924">
      <c r="A924" s="1" t="n"/>
      <c r="B924" s="21" t="n"/>
      <c r="C924" s="23" t="n"/>
      <c r="D924" s="22" t="n"/>
      <c r="E924" s="24" t="n"/>
      <c r="F924" s="25" t="n"/>
      <c r="G924" s="18">
        <f>IF(AND(C924="",D924=""),"",IF(NOT(ISNUMBER(B924)),"Needs a date",IF(NOT(ISNUMBER(D924)),"Needs the amount",IF(C924="","Needs an envelope",IF(COUNTIF(Envelopes!$B$6:$B$21,C924)=0,"Not on Envelopes",IF(F924="",IF(D924=0,"Needs the amount",""),IF(COUNTIF(Envelopes!$B$6:$B$21,F924)=0,"Moved to: not on Envelopes",IF(D924&lt;=0,"A move needs an amount",IF(F924=C924,"Moved to the same envelope","")))))))))</f>
        <v/>
      </c>
      <c r="H924" s="1">
        <f>IF(ISNUMBER(B924),INT(B924),0)</f>
        <v/>
      </c>
      <c r="I924">
        <f>IF(AND(H924&gt;0,ISNUMBER(D924),COUNTIF(Envelopes!$B$6:$B$21,C924)&gt;0,F924=""),1,0)</f>
        <v/>
      </c>
      <c r="J924">
        <f>IF(AND(H924&gt;0,ISNUMBER(D924),COUNTIF(Envelopes!$B$6:$B$21,C924)&gt;0,F924&lt;&gt;"",COUNTIF(Envelopes!$B$6:$B$21,F924)&gt;0),1,0)</f>
        <v/>
      </c>
      <c r="K924">
        <f>IF(I924=1,H924*10000+ROW(),"")</f>
        <v/>
      </c>
    </row>
    <row r="925">
      <c r="A925" s="1" t="n"/>
      <c r="B925" s="21" t="n"/>
      <c r="C925" s="23" t="n"/>
      <c r="D925" s="22" t="n"/>
      <c r="E925" s="24" t="n"/>
      <c r="F925" s="25" t="n"/>
      <c r="G925" s="18">
        <f>IF(AND(C925="",D925=""),"",IF(NOT(ISNUMBER(B925)),"Needs a date",IF(NOT(ISNUMBER(D925)),"Needs the amount",IF(C925="","Needs an envelope",IF(COUNTIF(Envelopes!$B$6:$B$21,C925)=0,"Not on Envelopes",IF(F925="",IF(D925=0,"Needs the amount",""),IF(COUNTIF(Envelopes!$B$6:$B$21,F925)=0,"Moved to: not on Envelopes",IF(D925&lt;=0,"A move needs an amount",IF(F925=C925,"Moved to the same envelope","")))))))))</f>
        <v/>
      </c>
      <c r="H925" s="1">
        <f>IF(ISNUMBER(B925),INT(B925),0)</f>
        <v/>
      </c>
      <c r="I925">
        <f>IF(AND(H925&gt;0,ISNUMBER(D925),COUNTIF(Envelopes!$B$6:$B$21,C925)&gt;0,F925=""),1,0)</f>
        <v/>
      </c>
      <c r="J925">
        <f>IF(AND(H925&gt;0,ISNUMBER(D925),COUNTIF(Envelopes!$B$6:$B$21,C925)&gt;0,F925&lt;&gt;"",COUNTIF(Envelopes!$B$6:$B$21,F925)&gt;0),1,0)</f>
        <v/>
      </c>
      <c r="K925">
        <f>IF(I925=1,H925*10000+ROW(),"")</f>
        <v/>
      </c>
    </row>
    <row r="926">
      <c r="A926" s="1" t="n"/>
      <c r="B926" s="21" t="n"/>
      <c r="C926" s="23" t="n"/>
      <c r="D926" s="22" t="n"/>
      <c r="E926" s="24" t="n"/>
      <c r="F926" s="25" t="n"/>
      <c r="G926" s="18">
        <f>IF(AND(C926="",D926=""),"",IF(NOT(ISNUMBER(B926)),"Needs a date",IF(NOT(ISNUMBER(D926)),"Needs the amount",IF(C926="","Needs an envelope",IF(COUNTIF(Envelopes!$B$6:$B$21,C926)=0,"Not on Envelopes",IF(F926="",IF(D926=0,"Needs the amount",""),IF(COUNTIF(Envelopes!$B$6:$B$21,F926)=0,"Moved to: not on Envelopes",IF(D926&lt;=0,"A move needs an amount",IF(F926=C926,"Moved to the same envelope","")))))))))</f>
        <v/>
      </c>
      <c r="H926" s="1">
        <f>IF(ISNUMBER(B926),INT(B926),0)</f>
        <v/>
      </c>
      <c r="I926">
        <f>IF(AND(H926&gt;0,ISNUMBER(D926),COUNTIF(Envelopes!$B$6:$B$21,C926)&gt;0,F926=""),1,0)</f>
        <v/>
      </c>
      <c r="J926">
        <f>IF(AND(H926&gt;0,ISNUMBER(D926),COUNTIF(Envelopes!$B$6:$B$21,C926)&gt;0,F926&lt;&gt;"",COUNTIF(Envelopes!$B$6:$B$21,F926)&gt;0),1,0)</f>
        <v/>
      </c>
      <c r="K926">
        <f>IF(I926=1,H926*10000+ROW(),"")</f>
        <v/>
      </c>
    </row>
    <row r="927">
      <c r="A927" s="1" t="n"/>
      <c r="B927" s="21" t="n"/>
      <c r="C927" s="23" t="n"/>
      <c r="D927" s="22" t="n"/>
      <c r="E927" s="24" t="n"/>
      <c r="F927" s="25" t="n"/>
      <c r="G927" s="18">
        <f>IF(AND(C927="",D927=""),"",IF(NOT(ISNUMBER(B927)),"Needs a date",IF(NOT(ISNUMBER(D927)),"Needs the amount",IF(C927="","Needs an envelope",IF(COUNTIF(Envelopes!$B$6:$B$21,C927)=0,"Not on Envelopes",IF(F927="",IF(D927=0,"Needs the amount",""),IF(COUNTIF(Envelopes!$B$6:$B$21,F927)=0,"Moved to: not on Envelopes",IF(D927&lt;=0,"A move needs an amount",IF(F927=C927,"Moved to the same envelope","")))))))))</f>
        <v/>
      </c>
      <c r="H927" s="1">
        <f>IF(ISNUMBER(B927),INT(B927),0)</f>
        <v/>
      </c>
      <c r="I927">
        <f>IF(AND(H927&gt;0,ISNUMBER(D927),COUNTIF(Envelopes!$B$6:$B$21,C927)&gt;0,F927=""),1,0)</f>
        <v/>
      </c>
      <c r="J927">
        <f>IF(AND(H927&gt;0,ISNUMBER(D927),COUNTIF(Envelopes!$B$6:$B$21,C927)&gt;0,F927&lt;&gt;"",COUNTIF(Envelopes!$B$6:$B$21,F927)&gt;0),1,0)</f>
        <v/>
      </c>
      <c r="K927">
        <f>IF(I927=1,H927*10000+ROW(),"")</f>
        <v/>
      </c>
    </row>
    <row r="928">
      <c r="A928" s="1" t="n"/>
      <c r="B928" s="21" t="n"/>
      <c r="C928" s="23" t="n"/>
      <c r="D928" s="22" t="n"/>
      <c r="E928" s="24" t="n"/>
      <c r="F928" s="25" t="n"/>
      <c r="G928" s="18">
        <f>IF(AND(C928="",D928=""),"",IF(NOT(ISNUMBER(B928)),"Needs a date",IF(NOT(ISNUMBER(D928)),"Needs the amount",IF(C928="","Needs an envelope",IF(COUNTIF(Envelopes!$B$6:$B$21,C928)=0,"Not on Envelopes",IF(F928="",IF(D928=0,"Needs the amount",""),IF(COUNTIF(Envelopes!$B$6:$B$21,F928)=0,"Moved to: not on Envelopes",IF(D928&lt;=0,"A move needs an amount",IF(F928=C928,"Moved to the same envelope","")))))))))</f>
        <v/>
      </c>
      <c r="H928" s="1">
        <f>IF(ISNUMBER(B928),INT(B928),0)</f>
        <v/>
      </c>
      <c r="I928">
        <f>IF(AND(H928&gt;0,ISNUMBER(D928),COUNTIF(Envelopes!$B$6:$B$21,C928)&gt;0,F928=""),1,0)</f>
        <v/>
      </c>
      <c r="J928">
        <f>IF(AND(H928&gt;0,ISNUMBER(D928),COUNTIF(Envelopes!$B$6:$B$21,C928)&gt;0,F928&lt;&gt;"",COUNTIF(Envelopes!$B$6:$B$21,F928)&gt;0),1,0)</f>
        <v/>
      </c>
      <c r="K928">
        <f>IF(I928=1,H928*10000+ROW(),"")</f>
        <v/>
      </c>
    </row>
    <row r="929">
      <c r="A929" s="1" t="n"/>
      <c r="B929" s="21" t="n"/>
      <c r="C929" s="23" t="n"/>
      <c r="D929" s="22" t="n"/>
      <c r="E929" s="24" t="n"/>
      <c r="F929" s="25" t="n"/>
      <c r="G929" s="18">
        <f>IF(AND(C929="",D929=""),"",IF(NOT(ISNUMBER(B929)),"Needs a date",IF(NOT(ISNUMBER(D929)),"Needs the amount",IF(C929="","Needs an envelope",IF(COUNTIF(Envelopes!$B$6:$B$21,C929)=0,"Not on Envelopes",IF(F929="",IF(D929=0,"Needs the amount",""),IF(COUNTIF(Envelopes!$B$6:$B$21,F929)=0,"Moved to: not on Envelopes",IF(D929&lt;=0,"A move needs an amount",IF(F929=C929,"Moved to the same envelope","")))))))))</f>
        <v/>
      </c>
      <c r="H929" s="1">
        <f>IF(ISNUMBER(B929),INT(B929),0)</f>
        <v/>
      </c>
      <c r="I929">
        <f>IF(AND(H929&gt;0,ISNUMBER(D929),COUNTIF(Envelopes!$B$6:$B$21,C929)&gt;0,F929=""),1,0)</f>
        <v/>
      </c>
      <c r="J929">
        <f>IF(AND(H929&gt;0,ISNUMBER(D929),COUNTIF(Envelopes!$B$6:$B$21,C929)&gt;0,F929&lt;&gt;"",COUNTIF(Envelopes!$B$6:$B$21,F929)&gt;0),1,0)</f>
        <v/>
      </c>
      <c r="K929">
        <f>IF(I929=1,H929*10000+ROW(),"")</f>
        <v/>
      </c>
    </row>
    <row r="930">
      <c r="A930" s="1" t="n"/>
      <c r="B930" s="21" t="n"/>
      <c r="C930" s="23" t="n"/>
      <c r="D930" s="22" t="n"/>
      <c r="E930" s="24" t="n"/>
      <c r="F930" s="25" t="n"/>
      <c r="G930" s="18">
        <f>IF(AND(C930="",D930=""),"",IF(NOT(ISNUMBER(B930)),"Needs a date",IF(NOT(ISNUMBER(D930)),"Needs the amount",IF(C930="","Needs an envelope",IF(COUNTIF(Envelopes!$B$6:$B$21,C930)=0,"Not on Envelopes",IF(F930="",IF(D930=0,"Needs the amount",""),IF(COUNTIF(Envelopes!$B$6:$B$21,F930)=0,"Moved to: not on Envelopes",IF(D930&lt;=0,"A move needs an amount",IF(F930=C930,"Moved to the same envelope","")))))))))</f>
        <v/>
      </c>
      <c r="H930" s="1">
        <f>IF(ISNUMBER(B930),INT(B930),0)</f>
        <v/>
      </c>
      <c r="I930">
        <f>IF(AND(H930&gt;0,ISNUMBER(D930),COUNTIF(Envelopes!$B$6:$B$21,C930)&gt;0,F930=""),1,0)</f>
        <v/>
      </c>
      <c r="J930">
        <f>IF(AND(H930&gt;0,ISNUMBER(D930),COUNTIF(Envelopes!$B$6:$B$21,C930)&gt;0,F930&lt;&gt;"",COUNTIF(Envelopes!$B$6:$B$21,F930)&gt;0),1,0)</f>
        <v/>
      </c>
      <c r="K930">
        <f>IF(I930=1,H930*10000+ROW(),"")</f>
        <v/>
      </c>
    </row>
    <row r="931">
      <c r="A931" s="1" t="n"/>
      <c r="B931" s="21" t="n"/>
      <c r="C931" s="23" t="n"/>
      <c r="D931" s="22" t="n"/>
      <c r="E931" s="24" t="n"/>
      <c r="F931" s="25" t="n"/>
      <c r="G931" s="18">
        <f>IF(AND(C931="",D931=""),"",IF(NOT(ISNUMBER(B931)),"Needs a date",IF(NOT(ISNUMBER(D931)),"Needs the amount",IF(C931="","Needs an envelope",IF(COUNTIF(Envelopes!$B$6:$B$21,C931)=0,"Not on Envelopes",IF(F931="",IF(D931=0,"Needs the amount",""),IF(COUNTIF(Envelopes!$B$6:$B$21,F931)=0,"Moved to: not on Envelopes",IF(D931&lt;=0,"A move needs an amount",IF(F931=C931,"Moved to the same envelope","")))))))))</f>
        <v/>
      </c>
      <c r="H931" s="1">
        <f>IF(ISNUMBER(B931),INT(B931),0)</f>
        <v/>
      </c>
      <c r="I931">
        <f>IF(AND(H931&gt;0,ISNUMBER(D931),COUNTIF(Envelopes!$B$6:$B$21,C931)&gt;0,F931=""),1,0)</f>
        <v/>
      </c>
      <c r="J931">
        <f>IF(AND(H931&gt;0,ISNUMBER(D931),COUNTIF(Envelopes!$B$6:$B$21,C931)&gt;0,F931&lt;&gt;"",COUNTIF(Envelopes!$B$6:$B$21,F931)&gt;0),1,0)</f>
        <v/>
      </c>
      <c r="K931">
        <f>IF(I931=1,H931*10000+ROW(),"")</f>
        <v/>
      </c>
    </row>
    <row r="932">
      <c r="A932" s="1" t="n"/>
      <c r="B932" s="21" t="n"/>
      <c r="C932" s="23" t="n"/>
      <c r="D932" s="22" t="n"/>
      <c r="E932" s="24" t="n"/>
      <c r="F932" s="25" t="n"/>
      <c r="G932" s="18">
        <f>IF(AND(C932="",D932=""),"",IF(NOT(ISNUMBER(B932)),"Needs a date",IF(NOT(ISNUMBER(D932)),"Needs the amount",IF(C932="","Needs an envelope",IF(COUNTIF(Envelopes!$B$6:$B$21,C932)=0,"Not on Envelopes",IF(F932="",IF(D932=0,"Needs the amount",""),IF(COUNTIF(Envelopes!$B$6:$B$21,F932)=0,"Moved to: not on Envelopes",IF(D932&lt;=0,"A move needs an amount",IF(F932=C932,"Moved to the same envelope","")))))))))</f>
        <v/>
      </c>
      <c r="H932" s="1">
        <f>IF(ISNUMBER(B932),INT(B932),0)</f>
        <v/>
      </c>
      <c r="I932">
        <f>IF(AND(H932&gt;0,ISNUMBER(D932),COUNTIF(Envelopes!$B$6:$B$21,C932)&gt;0,F932=""),1,0)</f>
        <v/>
      </c>
      <c r="J932">
        <f>IF(AND(H932&gt;0,ISNUMBER(D932),COUNTIF(Envelopes!$B$6:$B$21,C932)&gt;0,F932&lt;&gt;"",COUNTIF(Envelopes!$B$6:$B$21,F932)&gt;0),1,0)</f>
        <v/>
      </c>
      <c r="K932">
        <f>IF(I932=1,H932*10000+ROW(),"")</f>
        <v/>
      </c>
    </row>
    <row r="933">
      <c r="A933" s="1" t="n"/>
      <c r="B933" s="21" t="n"/>
      <c r="C933" s="23" t="n"/>
      <c r="D933" s="22" t="n"/>
      <c r="E933" s="24" t="n"/>
      <c r="F933" s="25" t="n"/>
      <c r="G933" s="18">
        <f>IF(AND(C933="",D933=""),"",IF(NOT(ISNUMBER(B933)),"Needs a date",IF(NOT(ISNUMBER(D933)),"Needs the amount",IF(C933="","Needs an envelope",IF(COUNTIF(Envelopes!$B$6:$B$21,C933)=0,"Not on Envelopes",IF(F933="",IF(D933=0,"Needs the amount",""),IF(COUNTIF(Envelopes!$B$6:$B$21,F933)=0,"Moved to: not on Envelopes",IF(D933&lt;=0,"A move needs an amount",IF(F933=C933,"Moved to the same envelope","")))))))))</f>
        <v/>
      </c>
      <c r="H933" s="1">
        <f>IF(ISNUMBER(B933),INT(B933),0)</f>
        <v/>
      </c>
      <c r="I933">
        <f>IF(AND(H933&gt;0,ISNUMBER(D933),COUNTIF(Envelopes!$B$6:$B$21,C933)&gt;0,F933=""),1,0)</f>
        <v/>
      </c>
      <c r="J933">
        <f>IF(AND(H933&gt;0,ISNUMBER(D933),COUNTIF(Envelopes!$B$6:$B$21,C933)&gt;0,F933&lt;&gt;"",COUNTIF(Envelopes!$B$6:$B$21,F933)&gt;0),1,0)</f>
        <v/>
      </c>
      <c r="K933">
        <f>IF(I933=1,H933*10000+ROW(),"")</f>
        <v/>
      </c>
    </row>
    <row r="934">
      <c r="A934" s="1" t="n"/>
      <c r="B934" s="21" t="n"/>
      <c r="C934" s="23" t="n"/>
      <c r="D934" s="22" t="n"/>
      <c r="E934" s="24" t="n"/>
      <c r="F934" s="25" t="n"/>
      <c r="G934" s="18">
        <f>IF(AND(C934="",D934=""),"",IF(NOT(ISNUMBER(B934)),"Needs a date",IF(NOT(ISNUMBER(D934)),"Needs the amount",IF(C934="","Needs an envelope",IF(COUNTIF(Envelopes!$B$6:$B$21,C934)=0,"Not on Envelopes",IF(F934="",IF(D934=0,"Needs the amount",""),IF(COUNTIF(Envelopes!$B$6:$B$21,F934)=0,"Moved to: not on Envelopes",IF(D934&lt;=0,"A move needs an amount",IF(F934=C934,"Moved to the same envelope","")))))))))</f>
        <v/>
      </c>
      <c r="H934" s="1">
        <f>IF(ISNUMBER(B934),INT(B934),0)</f>
        <v/>
      </c>
      <c r="I934">
        <f>IF(AND(H934&gt;0,ISNUMBER(D934),COUNTIF(Envelopes!$B$6:$B$21,C934)&gt;0,F934=""),1,0)</f>
        <v/>
      </c>
      <c r="J934">
        <f>IF(AND(H934&gt;0,ISNUMBER(D934),COUNTIF(Envelopes!$B$6:$B$21,C934)&gt;0,F934&lt;&gt;"",COUNTIF(Envelopes!$B$6:$B$21,F934)&gt;0),1,0)</f>
        <v/>
      </c>
      <c r="K934">
        <f>IF(I934=1,H934*10000+ROW(),"")</f>
        <v/>
      </c>
    </row>
    <row r="935">
      <c r="A935" s="1" t="n"/>
      <c r="B935" s="21" t="n"/>
      <c r="C935" s="23" t="n"/>
      <c r="D935" s="22" t="n"/>
      <c r="E935" s="24" t="n"/>
      <c r="F935" s="25" t="n"/>
      <c r="G935" s="18">
        <f>IF(AND(C935="",D935=""),"",IF(NOT(ISNUMBER(B935)),"Needs a date",IF(NOT(ISNUMBER(D935)),"Needs the amount",IF(C935="","Needs an envelope",IF(COUNTIF(Envelopes!$B$6:$B$21,C935)=0,"Not on Envelopes",IF(F935="",IF(D935=0,"Needs the amount",""),IF(COUNTIF(Envelopes!$B$6:$B$21,F935)=0,"Moved to: not on Envelopes",IF(D935&lt;=0,"A move needs an amount",IF(F935=C935,"Moved to the same envelope","")))))))))</f>
        <v/>
      </c>
      <c r="H935" s="1">
        <f>IF(ISNUMBER(B935),INT(B935),0)</f>
        <v/>
      </c>
      <c r="I935">
        <f>IF(AND(H935&gt;0,ISNUMBER(D935),COUNTIF(Envelopes!$B$6:$B$21,C935)&gt;0,F935=""),1,0)</f>
        <v/>
      </c>
      <c r="J935">
        <f>IF(AND(H935&gt;0,ISNUMBER(D935),COUNTIF(Envelopes!$B$6:$B$21,C935)&gt;0,F935&lt;&gt;"",COUNTIF(Envelopes!$B$6:$B$21,F935)&gt;0),1,0)</f>
        <v/>
      </c>
      <c r="K935">
        <f>IF(I935=1,H935*10000+ROW(),"")</f>
        <v/>
      </c>
    </row>
    <row r="936">
      <c r="A936" s="1" t="n"/>
      <c r="B936" s="21" t="n"/>
      <c r="C936" s="23" t="n"/>
      <c r="D936" s="22" t="n"/>
      <c r="E936" s="24" t="n"/>
      <c r="F936" s="25" t="n"/>
      <c r="G936" s="18">
        <f>IF(AND(C936="",D936=""),"",IF(NOT(ISNUMBER(B936)),"Needs a date",IF(NOT(ISNUMBER(D936)),"Needs the amount",IF(C936="","Needs an envelope",IF(COUNTIF(Envelopes!$B$6:$B$21,C936)=0,"Not on Envelopes",IF(F936="",IF(D936=0,"Needs the amount",""),IF(COUNTIF(Envelopes!$B$6:$B$21,F936)=0,"Moved to: not on Envelopes",IF(D936&lt;=0,"A move needs an amount",IF(F936=C936,"Moved to the same envelope","")))))))))</f>
        <v/>
      </c>
      <c r="H936" s="1">
        <f>IF(ISNUMBER(B936),INT(B936),0)</f>
        <v/>
      </c>
      <c r="I936">
        <f>IF(AND(H936&gt;0,ISNUMBER(D936),COUNTIF(Envelopes!$B$6:$B$21,C936)&gt;0,F936=""),1,0)</f>
        <v/>
      </c>
      <c r="J936">
        <f>IF(AND(H936&gt;0,ISNUMBER(D936),COUNTIF(Envelopes!$B$6:$B$21,C936)&gt;0,F936&lt;&gt;"",COUNTIF(Envelopes!$B$6:$B$21,F936)&gt;0),1,0)</f>
        <v/>
      </c>
      <c r="K936">
        <f>IF(I936=1,H936*10000+ROW(),"")</f>
        <v/>
      </c>
    </row>
    <row r="937">
      <c r="A937" s="1" t="n"/>
      <c r="B937" s="21" t="n"/>
      <c r="C937" s="23" t="n"/>
      <c r="D937" s="22" t="n"/>
      <c r="E937" s="24" t="n"/>
      <c r="F937" s="25" t="n"/>
      <c r="G937" s="18">
        <f>IF(AND(C937="",D937=""),"",IF(NOT(ISNUMBER(B937)),"Needs a date",IF(NOT(ISNUMBER(D937)),"Needs the amount",IF(C937="","Needs an envelope",IF(COUNTIF(Envelopes!$B$6:$B$21,C937)=0,"Not on Envelopes",IF(F937="",IF(D937=0,"Needs the amount",""),IF(COUNTIF(Envelopes!$B$6:$B$21,F937)=0,"Moved to: not on Envelopes",IF(D937&lt;=0,"A move needs an amount",IF(F937=C937,"Moved to the same envelope","")))))))))</f>
        <v/>
      </c>
      <c r="H937" s="1">
        <f>IF(ISNUMBER(B937),INT(B937),0)</f>
        <v/>
      </c>
      <c r="I937">
        <f>IF(AND(H937&gt;0,ISNUMBER(D937),COUNTIF(Envelopes!$B$6:$B$21,C937)&gt;0,F937=""),1,0)</f>
        <v/>
      </c>
      <c r="J937">
        <f>IF(AND(H937&gt;0,ISNUMBER(D937),COUNTIF(Envelopes!$B$6:$B$21,C937)&gt;0,F937&lt;&gt;"",COUNTIF(Envelopes!$B$6:$B$21,F937)&gt;0),1,0)</f>
        <v/>
      </c>
      <c r="K937">
        <f>IF(I937=1,H937*10000+ROW(),"")</f>
        <v/>
      </c>
    </row>
    <row r="938">
      <c r="A938" s="1" t="n"/>
      <c r="B938" s="21" t="n"/>
      <c r="C938" s="23" t="n"/>
      <c r="D938" s="22" t="n"/>
      <c r="E938" s="24" t="n"/>
      <c r="F938" s="25" t="n"/>
      <c r="G938" s="18">
        <f>IF(AND(C938="",D938=""),"",IF(NOT(ISNUMBER(B938)),"Needs a date",IF(NOT(ISNUMBER(D938)),"Needs the amount",IF(C938="","Needs an envelope",IF(COUNTIF(Envelopes!$B$6:$B$21,C938)=0,"Not on Envelopes",IF(F938="",IF(D938=0,"Needs the amount",""),IF(COUNTIF(Envelopes!$B$6:$B$21,F938)=0,"Moved to: not on Envelopes",IF(D938&lt;=0,"A move needs an amount",IF(F938=C938,"Moved to the same envelope","")))))))))</f>
        <v/>
      </c>
      <c r="H938" s="1">
        <f>IF(ISNUMBER(B938),INT(B938),0)</f>
        <v/>
      </c>
      <c r="I938">
        <f>IF(AND(H938&gt;0,ISNUMBER(D938),COUNTIF(Envelopes!$B$6:$B$21,C938)&gt;0,F938=""),1,0)</f>
        <v/>
      </c>
      <c r="J938">
        <f>IF(AND(H938&gt;0,ISNUMBER(D938),COUNTIF(Envelopes!$B$6:$B$21,C938)&gt;0,F938&lt;&gt;"",COUNTIF(Envelopes!$B$6:$B$21,F938)&gt;0),1,0)</f>
        <v/>
      </c>
      <c r="K938">
        <f>IF(I938=1,H938*10000+ROW(),"")</f>
        <v/>
      </c>
    </row>
    <row r="939">
      <c r="A939" s="1" t="n"/>
      <c r="B939" s="21" t="n"/>
      <c r="C939" s="23" t="n"/>
      <c r="D939" s="22" t="n"/>
      <c r="E939" s="24" t="n"/>
      <c r="F939" s="25" t="n"/>
      <c r="G939" s="18">
        <f>IF(AND(C939="",D939=""),"",IF(NOT(ISNUMBER(B939)),"Needs a date",IF(NOT(ISNUMBER(D939)),"Needs the amount",IF(C939="","Needs an envelope",IF(COUNTIF(Envelopes!$B$6:$B$21,C939)=0,"Not on Envelopes",IF(F939="",IF(D939=0,"Needs the amount",""),IF(COUNTIF(Envelopes!$B$6:$B$21,F939)=0,"Moved to: not on Envelopes",IF(D939&lt;=0,"A move needs an amount",IF(F939=C939,"Moved to the same envelope","")))))))))</f>
        <v/>
      </c>
      <c r="H939" s="1">
        <f>IF(ISNUMBER(B939),INT(B939),0)</f>
        <v/>
      </c>
      <c r="I939">
        <f>IF(AND(H939&gt;0,ISNUMBER(D939),COUNTIF(Envelopes!$B$6:$B$21,C939)&gt;0,F939=""),1,0)</f>
        <v/>
      </c>
      <c r="J939">
        <f>IF(AND(H939&gt;0,ISNUMBER(D939),COUNTIF(Envelopes!$B$6:$B$21,C939)&gt;0,F939&lt;&gt;"",COUNTIF(Envelopes!$B$6:$B$21,F939)&gt;0),1,0)</f>
        <v/>
      </c>
      <c r="K939">
        <f>IF(I939=1,H939*10000+ROW(),"")</f>
        <v/>
      </c>
    </row>
    <row r="940">
      <c r="A940" s="1" t="n"/>
      <c r="B940" s="21" t="n"/>
      <c r="C940" s="23" t="n"/>
      <c r="D940" s="22" t="n"/>
      <c r="E940" s="24" t="n"/>
      <c r="F940" s="25" t="n"/>
      <c r="G940" s="18">
        <f>IF(AND(C940="",D940=""),"",IF(NOT(ISNUMBER(B940)),"Needs a date",IF(NOT(ISNUMBER(D940)),"Needs the amount",IF(C940="","Needs an envelope",IF(COUNTIF(Envelopes!$B$6:$B$21,C940)=0,"Not on Envelopes",IF(F940="",IF(D940=0,"Needs the amount",""),IF(COUNTIF(Envelopes!$B$6:$B$21,F940)=0,"Moved to: not on Envelopes",IF(D940&lt;=0,"A move needs an amount",IF(F940=C940,"Moved to the same envelope","")))))))))</f>
        <v/>
      </c>
      <c r="H940" s="1">
        <f>IF(ISNUMBER(B940),INT(B940),0)</f>
        <v/>
      </c>
      <c r="I940">
        <f>IF(AND(H940&gt;0,ISNUMBER(D940),COUNTIF(Envelopes!$B$6:$B$21,C940)&gt;0,F940=""),1,0)</f>
        <v/>
      </c>
      <c r="J940">
        <f>IF(AND(H940&gt;0,ISNUMBER(D940),COUNTIF(Envelopes!$B$6:$B$21,C940)&gt;0,F940&lt;&gt;"",COUNTIF(Envelopes!$B$6:$B$21,F940)&gt;0),1,0)</f>
        <v/>
      </c>
      <c r="K940">
        <f>IF(I940=1,H940*10000+ROW(),"")</f>
        <v/>
      </c>
    </row>
    <row r="941">
      <c r="A941" s="1" t="n"/>
      <c r="B941" s="21" t="n"/>
      <c r="C941" s="23" t="n"/>
      <c r="D941" s="22" t="n"/>
      <c r="E941" s="24" t="n"/>
      <c r="F941" s="25" t="n"/>
      <c r="G941" s="18">
        <f>IF(AND(C941="",D941=""),"",IF(NOT(ISNUMBER(B941)),"Needs a date",IF(NOT(ISNUMBER(D941)),"Needs the amount",IF(C941="","Needs an envelope",IF(COUNTIF(Envelopes!$B$6:$B$21,C941)=0,"Not on Envelopes",IF(F941="",IF(D941=0,"Needs the amount",""),IF(COUNTIF(Envelopes!$B$6:$B$21,F941)=0,"Moved to: not on Envelopes",IF(D941&lt;=0,"A move needs an amount",IF(F941=C941,"Moved to the same envelope","")))))))))</f>
        <v/>
      </c>
      <c r="H941" s="1">
        <f>IF(ISNUMBER(B941),INT(B941),0)</f>
        <v/>
      </c>
      <c r="I941">
        <f>IF(AND(H941&gt;0,ISNUMBER(D941),COUNTIF(Envelopes!$B$6:$B$21,C941)&gt;0,F941=""),1,0)</f>
        <v/>
      </c>
      <c r="J941">
        <f>IF(AND(H941&gt;0,ISNUMBER(D941),COUNTIF(Envelopes!$B$6:$B$21,C941)&gt;0,F941&lt;&gt;"",COUNTIF(Envelopes!$B$6:$B$21,F941)&gt;0),1,0)</f>
        <v/>
      </c>
      <c r="K941">
        <f>IF(I941=1,H941*10000+ROW(),"")</f>
        <v/>
      </c>
    </row>
    <row r="942">
      <c r="A942" s="1" t="n"/>
      <c r="B942" s="21" t="n"/>
      <c r="C942" s="23" t="n"/>
      <c r="D942" s="22" t="n"/>
      <c r="E942" s="24" t="n"/>
      <c r="F942" s="25" t="n"/>
      <c r="G942" s="18">
        <f>IF(AND(C942="",D942=""),"",IF(NOT(ISNUMBER(B942)),"Needs a date",IF(NOT(ISNUMBER(D942)),"Needs the amount",IF(C942="","Needs an envelope",IF(COUNTIF(Envelopes!$B$6:$B$21,C942)=0,"Not on Envelopes",IF(F942="",IF(D942=0,"Needs the amount",""),IF(COUNTIF(Envelopes!$B$6:$B$21,F942)=0,"Moved to: not on Envelopes",IF(D942&lt;=0,"A move needs an amount",IF(F942=C942,"Moved to the same envelope","")))))))))</f>
        <v/>
      </c>
      <c r="H942" s="1">
        <f>IF(ISNUMBER(B942),INT(B942),0)</f>
        <v/>
      </c>
      <c r="I942">
        <f>IF(AND(H942&gt;0,ISNUMBER(D942),COUNTIF(Envelopes!$B$6:$B$21,C942)&gt;0,F942=""),1,0)</f>
        <v/>
      </c>
      <c r="J942">
        <f>IF(AND(H942&gt;0,ISNUMBER(D942),COUNTIF(Envelopes!$B$6:$B$21,C942)&gt;0,F942&lt;&gt;"",COUNTIF(Envelopes!$B$6:$B$21,F942)&gt;0),1,0)</f>
        <v/>
      </c>
      <c r="K942">
        <f>IF(I942=1,H942*10000+ROW(),"")</f>
        <v/>
      </c>
    </row>
    <row r="943">
      <c r="A943" s="1" t="n"/>
      <c r="B943" s="21" t="n"/>
      <c r="C943" s="23" t="n"/>
      <c r="D943" s="22" t="n"/>
      <c r="E943" s="24" t="n"/>
      <c r="F943" s="25" t="n"/>
      <c r="G943" s="18">
        <f>IF(AND(C943="",D943=""),"",IF(NOT(ISNUMBER(B943)),"Needs a date",IF(NOT(ISNUMBER(D943)),"Needs the amount",IF(C943="","Needs an envelope",IF(COUNTIF(Envelopes!$B$6:$B$21,C943)=0,"Not on Envelopes",IF(F943="",IF(D943=0,"Needs the amount",""),IF(COUNTIF(Envelopes!$B$6:$B$21,F943)=0,"Moved to: not on Envelopes",IF(D943&lt;=0,"A move needs an amount",IF(F943=C943,"Moved to the same envelope","")))))))))</f>
        <v/>
      </c>
      <c r="H943" s="1">
        <f>IF(ISNUMBER(B943),INT(B943),0)</f>
        <v/>
      </c>
      <c r="I943">
        <f>IF(AND(H943&gt;0,ISNUMBER(D943),COUNTIF(Envelopes!$B$6:$B$21,C943)&gt;0,F943=""),1,0)</f>
        <v/>
      </c>
      <c r="J943">
        <f>IF(AND(H943&gt;0,ISNUMBER(D943),COUNTIF(Envelopes!$B$6:$B$21,C943)&gt;0,F943&lt;&gt;"",COUNTIF(Envelopes!$B$6:$B$21,F943)&gt;0),1,0)</f>
        <v/>
      </c>
      <c r="K943">
        <f>IF(I943=1,H943*10000+ROW(),"")</f>
        <v/>
      </c>
    </row>
    <row r="944">
      <c r="A944" s="1" t="n"/>
      <c r="B944" s="21" t="n"/>
      <c r="C944" s="23" t="n"/>
      <c r="D944" s="22" t="n"/>
      <c r="E944" s="24" t="n"/>
      <c r="F944" s="25" t="n"/>
      <c r="G944" s="18">
        <f>IF(AND(C944="",D944=""),"",IF(NOT(ISNUMBER(B944)),"Needs a date",IF(NOT(ISNUMBER(D944)),"Needs the amount",IF(C944="","Needs an envelope",IF(COUNTIF(Envelopes!$B$6:$B$21,C944)=0,"Not on Envelopes",IF(F944="",IF(D944=0,"Needs the amount",""),IF(COUNTIF(Envelopes!$B$6:$B$21,F944)=0,"Moved to: not on Envelopes",IF(D944&lt;=0,"A move needs an amount",IF(F944=C944,"Moved to the same envelope","")))))))))</f>
        <v/>
      </c>
      <c r="H944" s="1">
        <f>IF(ISNUMBER(B944),INT(B944),0)</f>
        <v/>
      </c>
      <c r="I944">
        <f>IF(AND(H944&gt;0,ISNUMBER(D944),COUNTIF(Envelopes!$B$6:$B$21,C944)&gt;0,F944=""),1,0)</f>
        <v/>
      </c>
      <c r="J944">
        <f>IF(AND(H944&gt;0,ISNUMBER(D944),COUNTIF(Envelopes!$B$6:$B$21,C944)&gt;0,F944&lt;&gt;"",COUNTIF(Envelopes!$B$6:$B$21,F944)&gt;0),1,0)</f>
        <v/>
      </c>
      <c r="K944">
        <f>IF(I944=1,H944*10000+ROW(),"")</f>
        <v/>
      </c>
    </row>
    <row r="945">
      <c r="A945" s="1" t="n"/>
      <c r="B945" s="21" t="n"/>
      <c r="C945" s="23" t="n"/>
      <c r="D945" s="22" t="n"/>
      <c r="E945" s="24" t="n"/>
      <c r="F945" s="25" t="n"/>
      <c r="G945" s="18">
        <f>IF(AND(C945="",D945=""),"",IF(NOT(ISNUMBER(B945)),"Needs a date",IF(NOT(ISNUMBER(D945)),"Needs the amount",IF(C945="","Needs an envelope",IF(COUNTIF(Envelopes!$B$6:$B$21,C945)=0,"Not on Envelopes",IF(F945="",IF(D945=0,"Needs the amount",""),IF(COUNTIF(Envelopes!$B$6:$B$21,F945)=0,"Moved to: not on Envelopes",IF(D945&lt;=0,"A move needs an amount",IF(F945=C945,"Moved to the same envelope","")))))))))</f>
        <v/>
      </c>
      <c r="H945" s="1">
        <f>IF(ISNUMBER(B945),INT(B945),0)</f>
        <v/>
      </c>
      <c r="I945">
        <f>IF(AND(H945&gt;0,ISNUMBER(D945),COUNTIF(Envelopes!$B$6:$B$21,C945)&gt;0,F945=""),1,0)</f>
        <v/>
      </c>
      <c r="J945">
        <f>IF(AND(H945&gt;0,ISNUMBER(D945),COUNTIF(Envelopes!$B$6:$B$21,C945)&gt;0,F945&lt;&gt;"",COUNTIF(Envelopes!$B$6:$B$21,F945)&gt;0),1,0)</f>
        <v/>
      </c>
      <c r="K945">
        <f>IF(I945=1,H945*10000+ROW(),"")</f>
        <v/>
      </c>
    </row>
    <row r="946">
      <c r="A946" s="1" t="n"/>
      <c r="B946" s="21" t="n"/>
      <c r="C946" s="23" t="n"/>
      <c r="D946" s="22" t="n"/>
      <c r="E946" s="24" t="n"/>
      <c r="F946" s="25" t="n"/>
      <c r="G946" s="18">
        <f>IF(AND(C946="",D946=""),"",IF(NOT(ISNUMBER(B946)),"Needs a date",IF(NOT(ISNUMBER(D946)),"Needs the amount",IF(C946="","Needs an envelope",IF(COUNTIF(Envelopes!$B$6:$B$21,C946)=0,"Not on Envelopes",IF(F946="",IF(D946=0,"Needs the amount",""),IF(COUNTIF(Envelopes!$B$6:$B$21,F946)=0,"Moved to: not on Envelopes",IF(D946&lt;=0,"A move needs an amount",IF(F946=C946,"Moved to the same envelope","")))))))))</f>
        <v/>
      </c>
      <c r="H946" s="1">
        <f>IF(ISNUMBER(B946),INT(B946),0)</f>
        <v/>
      </c>
      <c r="I946">
        <f>IF(AND(H946&gt;0,ISNUMBER(D946),COUNTIF(Envelopes!$B$6:$B$21,C946)&gt;0,F946=""),1,0)</f>
        <v/>
      </c>
      <c r="J946">
        <f>IF(AND(H946&gt;0,ISNUMBER(D946),COUNTIF(Envelopes!$B$6:$B$21,C946)&gt;0,F946&lt;&gt;"",COUNTIF(Envelopes!$B$6:$B$21,F946)&gt;0),1,0)</f>
        <v/>
      </c>
      <c r="K946">
        <f>IF(I946=1,H946*10000+ROW(),"")</f>
        <v/>
      </c>
    </row>
    <row r="947">
      <c r="A947" s="1" t="n"/>
      <c r="B947" s="21" t="n"/>
      <c r="C947" s="23" t="n"/>
      <c r="D947" s="22" t="n"/>
      <c r="E947" s="24" t="n"/>
      <c r="F947" s="25" t="n"/>
      <c r="G947" s="18">
        <f>IF(AND(C947="",D947=""),"",IF(NOT(ISNUMBER(B947)),"Needs a date",IF(NOT(ISNUMBER(D947)),"Needs the amount",IF(C947="","Needs an envelope",IF(COUNTIF(Envelopes!$B$6:$B$21,C947)=0,"Not on Envelopes",IF(F947="",IF(D947=0,"Needs the amount",""),IF(COUNTIF(Envelopes!$B$6:$B$21,F947)=0,"Moved to: not on Envelopes",IF(D947&lt;=0,"A move needs an amount",IF(F947=C947,"Moved to the same envelope","")))))))))</f>
        <v/>
      </c>
      <c r="H947" s="1">
        <f>IF(ISNUMBER(B947),INT(B947),0)</f>
        <v/>
      </c>
      <c r="I947">
        <f>IF(AND(H947&gt;0,ISNUMBER(D947),COUNTIF(Envelopes!$B$6:$B$21,C947)&gt;0,F947=""),1,0)</f>
        <v/>
      </c>
      <c r="J947">
        <f>IF(AND(H947&gt;0,ISNUMBER(D947),COUNTIF(Envelopes!$B$6:$B$21,C947)&gt;0,F947&lt;&gt;"",COUNTIF(Envelopes!$B$6:$B$21,F947)&gt;0),1,0)</f>
        <v/>
      </c>
      <c r="K947">
        <f>IF(I947=1,H947*10000+ROW(),"")</f>
        <v/>
      </c>
    </row>
    <row r="948">
      <c r="A948" s="1" t="n"/>
      <c r="B948" s="21" t="n"/>
      <c r="C948" s="23" t="n"/>
      <c r="D948" s="22" t="n"/>
      <c r="E948" s="24" t="n"/>
      <c r="F948" s="25" t="n"/>
      <c r="G948" s="18">
        <f>IF(AND(C948="",D948=""),"",IF(NOT(ISNUMBER(B948)),"Needs a date",IF(NOT(ISNUMBER(D948)),"Needs the amount",IF(C948="","Needs an envelope",IF(COUNTIF(Envelopes!$B$6:$B$21,C948)=0,"Not on Envelopes",IF(F948="",IF(D948=0,"Needs the amount",""),IF(COUNTIF(Envelopes!$B$6:$B$21,F948)=0,"Moved to: not on Envelopes",IF(D948&lt;=0,"A move needs an amount",IF(F948=C948,"Moved to the same envelope","")))))))))</f>
        <v/>
      </c>
      <c r="H948" s="1">
        <f>IF(ISNUMBER(B948),INT(B948),0)</f>
        <v/>
      </c>
      <c r="I948">
        <f>IF(AND(H948&gt;0,ISNUMBER(D948),COUNTIF(Envelopes!$B$6:$B$21,C948)&gt;0,F948=""),1,0)</f>
        <v/>
      </c>
      <c r="J948">
        <f>IF(AND(H948&gt;0,ISNUMBER(D948),COUNTIF(Envelopes!$B$6:$B$21,C948)&gt;0,F948&lt;&gt;"",COUNTIF(Envelopes!$B$6:$B$21,F948)&gt;0),1,0)</f>
        <v/>
      </c>
      <c r="K948">
        <f>IF(I948=1,H948*10000+ROW(),"")</f>
        <v/>
      </c>
    </row>
    <row r="949">
      <c r="A949" s="1" t="n"/>
      <c r="B949" s="21" t="n"/>
      <c r="C949" s="23" t="n"/>
      <c r="D949" s="22" t="n"/>
      <c r="E949" s="24" t="n"/>
      <c r="F949" s="25" t="n"/>
      <c r="G949" s="18">
        <f>IF(AND(C949="",D949=""),"",IF(NOT(ISNUMBER(B949)),"Needs a date",IF(NOT(ISNUMBER(D949)),"Needs the amount",IF(C949="","Needs an envelope",IF(COUNTIF(Envelopes!$B$6:$B$21,C949)=0,"Not on Envelopes",IF(F949="",IF(D949=0,"Needs the amount",""),IF(COUNTIF(Envelopes!$B$6:$B$21,F949)=0,"Moved to: not on Envelopes",IF(D949&lt;=0,"A move needs an amount",IF(F949=C949,"Moved to the same envelope","")))))))))</f>
        <v/>
      </c>
      <c r="H949" s="1">
        <f>IF(ISNUMBER(B949),INT(B949),0)</f>
        <v/>
      </c>
      <c r="I949">
        <f>IF(AND(H949&gt;0,ISNUMBER(D949),COUNTIF(Envelopes!$B$6:$B$21,C949)&gt;0,F949=""),1,0)</f>
        <v/>
      </c>
      <c r="J949">
        <f>IF(AND(H949&gt;0,ISNUMBER(D949),COUNTIF(Envelopes!$B$6:$B$21,C949)&gt;0,F949&lt;&gt;"",COUNTIF(Envelopes!$B$6:$B$21,F949)&gt;0),1,0)</f>
        <v/>
      </c>
      <c r="K949">
        <f>IF(I949=1,H949*10000+ROW(),"")</f>
        <v/>
      </c>
    </row>
    <row r="950">
      <c r="A950" s="1" t="n"/>
      <c r="B950" s="21" t="n"/>
      <c r="C950" s="23" t="n"/>
      <c r="D950" s="22" t="n"/>
      <c r="E950" s="24" t="n"/>
      <c r="F950" s="25" t="n"/>
      <c r="G950" s="18">
        <f>IF(AND(C950="",D950=""),"",IF(NOT(ISNUMBER(B950)),"Needs a date",IF(NOT(ISNUMBER(D950)),"Needs the amount",IF(C950="","Needs an envelope",IF(COUNTIF(Envelopes!$B$6:$B$21,C950)=0,"Not on Envelopes",IF(F950="",IF(D950=0,"Needs the amount",""),IF(COUNTIF(Envelopes!$B$6:$B$21,F950)=0,"Moved to: not on Envelopes",IF(D950&lt;=0,"A move needs an amount",IF(F950=C950,"Moved to the same envelope","")))))))))</f>
        <v/>
      </c>
      <c r="H950" s="1">
        <f>IF(ISNUMBER(B950),INT(B950),0)</f>
        <v/>
      </c>
      <c r="I950">
        <f>IF(AND(H950&gt;0,ISNUMBER(D950),COUNTIF(Envelopes!$B$6:$B$21,C950)&gt;0,F950=""),1,0)</f>
        <v/>
      </c>
      <c r="J950">
        <f>IF(AND(H950&gt;0,ISNUMBER(D950),COUNTIF(Envelopes!$B$6:$B$21,C950)&gt;0,F950&lt;&gt;"",COUNTIF(Envelopes!$B$6:$B$21,F950)&gt;0),1,0)</f>
        <v/>
      </c>
      <c r="K950">
        <f>IF(I950=1,H950*10000+ROW(),"")</f>
        <v/>
      </c>
    </row>
    <row r="951">
      <c r="A951" s="1" t="n"/>
      <c r="B951" s="21" t="n"/>
      <c r="C951" s="23" t="n"/>
      <c r="D951" s="22" t="n"/>
      <c r="E951" s="24" t="n"/>
      <c r="F951" s="25" t="n"/>
      <c r="G951" s="18">
        <f>IF(AND(C951="",D951=""),"",IF(NOT(ISNUMBER(B951)),"Needs a date",IF(NOT(ISNUMBER(D951)),"Needs the amount",IF(C951="","Needs an envelope",IF(COUNTIF(Envelopes!$B$6:$B$21,C951)=0,"Not on Envelopes",IF(F951="",IF(D951=0,"Needs the amount",""),IF(COUNTIF(Envelopes!$B$6:$B$21,F951)=0,"Moved to: not on Envelopes",IF(D951&lt;=0,"A move needs an amount",IF(F951=C951,"Moved to the same envelope","")))))))))</f>
        <v/>
      </c>
      <c r="H951" s="1">
        <f>IF(ISNUMBER(B951),INT(B951),0)</f>
        <v/>
      </c>
      <c r="I951">
        <f>IF(AND(H951&gt;0,ISNUMBER(D951),COUNTIF(Envelopes!$B$6:$B$21,C951)&gt;0,F951=""),1,0)</f>
        <v/>
      </c>
      <c r="J951">
        <f>IF(AND(H951&gt;0,ISNUMBER(D951),COUNTIF(Envelopes!$B$6:$B$21,C951)&gt;0,F951&lt;&gt;"",COUNTIF(Envelopes!$B$6:$B$21,F951)&gt;0),1,0)</f>
        <v/>
      </c>
      <c r="K951">
        <f>IF(I951=1,H951*10000+ROW(),"")</f>
        <v/>
      </c>
    </row>
    <row r="952">
      <c r="A952" s="1" t="n"/>
      <c r="B952" s="21" t="n"/>
      <c r="C952" s="23" t="n"/>
      <c r="D952" s="22" t="n"/>
      <c r="E952" s="24" t="n"/>
      <c r="F952" s="25" t="n"/>
      <c r="G952" s="18">
        <f>IF(AND(C952="",D952=""),"",IF(NOT(ISNUMBER(B952)),"Needs a date",IF(NOT(ISNUMBER(D952)),"Needs the amount",IF(C952="","Needs an envelope",IF(COUNTIF(Envelopes!$B$6:$B$21,C952)=0,"Not on Envelopes",IF(F952="",IF(D952=0,"Needs the amount",""),IF(COUNTIF(Envelopes!$B$6:$B$21,F952)=0,"Moved to: not on Envelopes",IF(D952&lt;=0,"A move needs an amount",IF(F952=C952,"Moved to the same envelope","")))))))))</f>
        <v/>
      </c>
      <c r="H952" s="1">
        <f>IF(ISNUMBER(B952),INT(B952),0)</f>
        <v/>
      </c>
      <c r="I952">
        <f>IF(AND(H952&gt;0,ISNUMBER(D952),COUNTIF(Envelopes!$B$6:$B$21,C952)&gt;0,F952=""),1,0)</f>
        <v/>
      </c>
      <c r="J952">
        <f>IF(AND(H952&gt;0,ISNUMBER(D952),COUNTIF(Envelopes!$B$6:$B$21,C952)&gt;0,F952&lt;&gt;"",COUNTIF(Envelopes!$B$6:$B$21,F952)&gt;0),1,0)</f>
        <v/>
      </c>
      <c r="K952">
        <f>IF(I952=1,H952*10000+ROW(),"")</f>
        <v/>
      </c>
    </row>
    <row r="953">
      <c r="A953" s="1" t="n"/>
      <c r="B953" s="21" t="n"/>
      <c r="C953" s="23" t="n"/>
      <c r="D953" s="22" t="n"/>
      <c r="E953" s="24" t="n"/>
      <c r="F953" s="25" t="n"/>
      <c r="G953" s="18">
        <f>IF(AND(C953="",D953=""),"",IF(NOT(ISNUMBER(B953)),"Needs a date",IF(NOT(ISNUMBER(D953)),"Needs the amount",IF(C953="","Needs an envelope",IF(COUNTIF(Envelopes!$B$6:$B$21,C953)=0,"Not on Envelopes",IF(F953="",IF(D953=0,"Needs the amount",""),IF(COUNTIF(Envelopes!$B$6:$B$21,F953)=0,"Moved to: not on Envelopes",IF(D953&lt;=0,"A move needs an amount",IF(F953=C953,"Moved to the same envelope","")))))))))</f>
        <v/>
      </c>
      <c r="H953" s="1">
        <f>IF(ISNUMBER(B953),INT(B953),0)</f>
        <v/>
      </c>
      <c r="I953">
        <f>IF(AND(H953&gt;0,ISNUMBER(D953),COUNTIF(Envelopes!$B$6:$B$21,C953)&gt;0,F953=""),1,0)</f>
        <v/>
      </c>
      <c r="J953">
        <f>IF(AND(H953&gt;0,ISNUMBER(D953),COUNTIF(Envelopes!$B$6:$B$21,C953)&gt;0,F953&lt;&gt;"",COUNTIF(Envelopes!$B$6:$B$21,F953)&gt;0),1,0)</f>
        <v/>
      </c>
      <c r="K953">
        <f>IF(I953=1,H953*10000+ROW(),"")</f>
        <v/>
      </c>
    </row>
    <row r="954">
      <c r="A954" s="1" t="n"/>
      <c r="B954" s="21" t="n"/>
      <c r="C954" s="23" t="n"/>
      <c r="D954" s="22" t="n"/>
      <c r="E954" s="24" t="n"/>
      <c r="F954" s="25" t="n"/>
      <c r="G954" s="18">
        <f>IF(AND(C954="",D954=""),"",IF(NOT(ISNUMBER(B954)),"Needs a date",IF(NOT(ISNUMBER(D954)),"Needs the amount",IF(C954="","Needs an envelope",IF(COUNTIF(Envelopes!$B$6:$B$21,C954)=0,"Not on Envelopes",IF(F954="",IF(D954=0,"Needs the amount",""),IF(COUNTIF(Envelopes!$B$6:$B$21,F954)=0,"Moved to: not on Envelopes",IF(D954&lt;=0,"A move needs an amount",IF(F954=C954,"Moved to the same envelope","")))))))))</f>
        <v/>
      </c>
      <c r="H954" s="1">
        <f>IF(ISNUMBER(B954),INT(B954),0)</f>
        <v/>
      </c>
      <c r="I954">
        <f>IF(AND(H954&gt;0,ISNUMBER(D954),COUNTIF(Envelopes!$B$6:$B$21,C954)&gt;0,F954=""),1,0)</f>
        <v/>
      </c>
      <c r="J954">
        <f>IF(AND(H954&gt;0,ISNUMBER(D954),COUNTIF(Envelopes!$B$6:$B$21,C954)&gt;0,F954&lt;&gt;"",COUNTIF(Envelopes!$B$6:$B$21,F954)&gt;0),1,0)</f>
        <v/>
      </c>
      <c r="K954">
        <f>IF(I954=1,H954*10000+ROW(),"")</f>
        <v/>
      </c>
    </row>
    <row r="955">
      <c r="A955" s="1" t="n"/>
      <c r="B955" s="21" t="n"/>
      <c r="C955" s="23" t="n"/>
      <c r="D955" s="22" t="n"/>
      <c r="E955" s="24" t="n"/>
      <c r="F955" s="25" t="n"/>
      <c r="G955" s="18">
        <f>IF(AND(C955="",D955=""),"",IF(NOT(ISNUMBER(B955)),"Needs a date",IF(NOT(ISNUMBER(D955)),"Needs the amount",IF(C955="","Needs an envelope",IF(COUNTIF(Envelopes!$B$6:$B$21,C955)=0,"Not on Envelopes",IF(F955="",IF(D955=0,"Needs the amount",""),IF(COUNTIF(Envelopes!$B$6:$B$21,F955)=0,"Moved to: not on Envelopes",IF(D955&lt;=0,"A move needs an amount",IF(F955=C955,"Moved to the same envelope","")))))))))</f>
        <v/>
      </c>
      <c r="H955" s="1">
        <f>IF(ISNUMBER(B955),INT(B955),0)</f>
        <v/>
      </c>
      <c r="I955">
        <f>IF(AND(H955&gt;0,ISNUMBER(D955),COUNTIF(Envelopes!$B$6:$B$21,C955)&gt;0,F955=""),1,0)</f>
        <v/>
      </c>
      <c r="J955">
        <f>IF(AND(H955&gt;0,ISNUMBER(D955),COUNTIF(Envelopes!$B$6:$B$21,C955)&gt;0,F955&lt;&gt;"",COUNTIF(Envelopes!$B$6:$B$21,F955)&gt;0),1,0)</f>
        <v/>
      </c>
      <c r="K955">
        <f>IF(I955=1,H955*10000+ROW(),"")</f>
        <v/>
      </c>
    </row>
    <row r="956">
      <c r="A956" s="1" t="n"/>
      <c r="B956" s="21" t="n"/>
      <c r="C956" s="23" t="n"/>
      <c r="D956" s="22" t="n"/>
      <c r="E956" s="24" t="n"/>
      <c r="F956" s="25" t="n"/>
      <c r="G956" s="18">
        <f>IF(AND(C956="",D956=""),"",IF(NOT(ISNUMBER(B956)),"Needs a date",IF(NOT(ISNUMBER(D956)),"Needs the amount",IF(C956="","Needs an envelope",IF(COUNTIF(Envelopes!$B$6:$B$21,C956)=0,"Not on Envelopes",IF(F956="",IF(D956=0,"Needs the amount",""),IF(COUNTIF(Envelopes!$B$6:$B$21,F956)=0,"Moved to: not on Envelopes",IF(D956&lt;=0,"A move needs an amount",IF(F956=C956,"Moved to the same envelope","")))))))))</f>
        <v/>
      </c>
      <c r="H956" s="1">
        <f>IF(ISNUMBER(B956),INT(B956),0)</f>
        <v/>
      </c>
      <c r="I956">
        <f>IF(AND(H956&gt;0,ISNUMBER(D956),COUNTIF(Envelopes!$B$6:$B$21,C956)&gt;0,F956=""),1,0)</f>
        <v/>
      </c>
      <c r="J956">
        <f>IF(AND(H956&gt;0,ISNUMBER(D956),COUNTIF(Envelopes!$B$6:$B$21,C956)&gt;0,F956&lt;&gt;"",COUNTIF(Envelopes!$B$6:$B$21,F956)&gt;0),1,0)</f>
        <v/>
      </c>
      <c r="K956">
        <f>IF(I956=1,H956*10000+ROW(),"")</f>
        <v/>
      </c>
    </row>
    <row r="957">
      <c r="A957" s="1" t="n"/>
      <c r="B957" s="21" t="n"/>
      <c r="C957" s="23" t="n"/>
      <c r="D957" s="22" t="n"/>
      <c r="E957" s="24" t="n"/>
      <c r="F957" s="25" t="n"/>
      <c r="G957" s="18">
        <f>IF(AND(C957="",D957=""),"",IF(NOT(ISNUMBER(B957)),"Needs a date",IF(NOT(ISNUMBER(D957)),"Needs the amount",IF(C957="","Needs an envelope",IF(COUNTIF(Envelopes!$B$6:$B$21,C957)=0,"Not on Envelopes",IF(F957="",IF(D957=0,"Needs the amount",""),IF(COUNTIF(Envelopes!$B$6:$B$21,F957)=0,"Moved to: not on Envelopes",IF(D957&lt;=0,"A move needs an amount",IF(F957=C957,"Moved to the same envelope","")))))))))</f>
        <v/>
      </c>
      <c r="H957" s="1">
        <f>IF(ISNUMBER(B957),INT(B957),0)</f>
        <v/>
      </c>
      <c r="I957">
        <f>IF(AND(H957&gt;0,ISNUMBER(D957),COUNTIF(Envelopes!$B$6:$B$21,C957)&gt;0,F957=""),1,0)</f>
        <v/>
      </c>
      <c r="J957">
        <f>IF(AND(H957&gt;0,ISNUMBER(D957),COUNTIF(Envelopes!$B$6:$B$21,C957)&gt;0,F957&lt;&gt;"",COUNTIF(Envelopes!$B$6:$B$21,F957)&gt;0),1,0)</f>
        <v/>
      </c>
      <c r="K957">
        <f>IF(I957=1,H957*10000+ROW(),"")</f>
        <v/>
      </c>
    </row>
    <row r="958">
      <c r="A958" s="1" t="n"/>
      <c r="B958" s="21" t="n"/>
      <c r="C958" s="23" t="n"/>
      <c r="D958" s="22" t="n"/>
      <c r="E958" s="24" t="n"/>
      <c r="F958" s="25" t="n"/>
      <c r="G958" s="18">
        <f>IF(AND(C958="",D958=""),"",IF(NOT(ISNUMBER(B958)),"Needs a date",IF(NOT(ISNUMBER(D958)),"Needs the amount",IF(C958="","Needs an envelope",IF(COUNTIF(Envelopes!$B$6:$B$21,C958)=0,"Not on Envelopes",IF(F958="",IF(D958=0,"Needs the amount",""),IF(COUNTIF(Envelopes!$B$6:$B$21,F958)=0,"Moved to: not on Envelopes",IF(D958&lt;=0,"A move needs an amount",IF(F958=C958,"Moved to the same envelope","")))))))))</f>
        <v/>
      </c>
      <c r="H958" s="1">
        <f>IF(ISNUMBER(B958),INT(B958),0)</f>
        <v/>
      </c>
      <c r="I958">
        <f>IF(AND(H958&gt;0,ISNUMBER(D958),COUNTIF(Envelopes!$B$6:$B$21,C958)&gt;0,F958=""),1,0)</f>
        <v/>
      </c>
      <c r="J958">
        <f>IF(AND(H958&gt;0,ISNUMBER(D958),COUNTIF(Envelopes!$B$6:$B$21,C958)&gt;0,F958&lt;&gt;"",COUNTIF(Envelopes!$B$6:$B$21,F958)&gt;0),1,0)</f>
        <v/>
      </c>
      <c r="K958">
        <f>IF(I958=1,H958*10000+ROW(),"")</f>
        <v/>
      </c>
    </row>
    <row r="959">
      <c r="A959" s="1" t="n"/>
      <c r="B959" s="21" t="n"/>
      <c r="C959" s="23" t="n"/>
      <c r="D959" s="22" t="n"/>
      <c r="E959" s="24" t="n"/>
      <c r="F959" s="25" t="n"/>
      <c r="G959" s="18">
        <f>IF(AND(C959="",D959=""),"",IF(NOT(ISNUMBER(B959)),"Needs a date",IF(NOT(ISNUMBER(D959)),"Needs the amount",IF(C959="","Needs an envelope",IF(COUNTIF(Envelopes!$B$6:$B$21,C959)=0,"Not on Envelopes",IF(F959="",IF(D959=0,"Needs the amount",""),IF(COUNTIF(Envelopes!$B$6:$B$21,F959)=0,"Moved to: not on Envelopes",IF(D959&lt;=0,"A move needs an amount",IF(F959=C959,"Moved to the same envelope","")))))))))</f>
        <v/>
      </c>
      <c r="H959" s="1">
        <f>IF(ISNUMBER(B959),INT(B959),0)</f>
        <v/>
      </c>
      <c r="I959">
        <f>IF(AND(H959&gt;0,ISNUMBER(D959),COUNTIF(Envelopes!$B$6:$B$21,C959)&gt;0,F959=""),1,0)</f>
        <v/>
      </c>
      <c r="J959">
        <f>IF(AND(H959&gt;0,ISNUMBER(D959),COUNTIF(Envelopes!$B$6:$B$21,C959)&gt;0,F959&lt;&gt;"",COUNTIF(Envelopes!$B$6:$B$21,F959)&gt;0),1,0)</f>
        <v/>
      </c>
      <c r="K959">
        <f>IF(I959=1,H959*10000+ROW(),"")</f>
        <v/>
      </c>
    </row>
    <row r="960">
      <c r="A960" s="1" t="n"/>
      <c r="B960" s="21" t="n"/>
      <c r="C960" s="23" t="n"/>
      <c r="D960" s="22" t="n"/>
      <c r="E960" s="24" t="n"/>
      <c r="F960" s="25" t="n"/>
      <c r="G960" s="18">
        <f>IF(AND(C960="",D960=""),"",IF(NOT(ISNUMBER(B960)),"Needs a date",IF(NOT(ISNUMBER(D960)),"Needs the amount",IF(C960="","Needs an envelope",IF(COUNTIF(Envelopes!$B$6:$B$21,C960)=0,"Not on Envelopes",IF(F960="",IF(D960=0,"Needs the amount",""),IF(COUNTIF(Envelopes!$B$6:$B$21,F960)=0,"Moved to: not on Envelopes",IF(D960&lt;=0,"A move needs an amount",IF(F960=C960,"Moved to the same envelope","")))))))))</f>
        <v/>
      </c>
      <c r="H960" s="1">
        <f>IF(ISNUMBER(B960),INT(B960),0)</f>
        <v/>
      </c>
      <c r="I960">
        <f>IF(AND(H960&gt;0,ISNUMBER(D960),COUNTIF(Envelopes!$B$6:$B$21,C960)&gt;0,F960=""),1,0)</f>
        <v/>
      </c>
      <c r="J960">
        <f>IF(AND(H960&gt;0,ISNUMBER(D960),COUNTIF(Envelopes!$B$6:$B$21,C960)&gt;0,F960&lt;&gt;"",COUNTIF(Envelopes!$B$6:$B$21,F960)&gt;0),1,0)</f>
        <v/>
      </c>
      <c r="K960">
        <f>IF(I960=1,H960*10000+ROW(),"")</f>
        <v/>
      </c>
    </row>
    <row r="961">
      <c r="A961" s="1" t="n"/>
      <c r="B961" s="21" t="n"/>
      <c r="C961" s="23" t="n"/>
      <c r="D961" s="22" t="n"/>
      <c r="E961" s="24" t="n"/>
      <c r="F961" s="25" t="n"/>
      <c r="G961" s="18">
        <f>IF(AND(C961="",D961=""),"",IF(NOT(ISNUMBER(B961)),"Needs a date",IF(NOT(ISNUMBER(D961)),"Needs the amount",IF(C961="","Needs an envelope",IF(COUNTIF(Envelopes!$B$6:$B$21,C961)=0,"Not on Envelopes",IF(F961="",IF(D961=0,"Needs the amount",""),IF(COUNTIF(Envelopes!$B$6:$B$21,F961)=0,"Moved to: not on Envelopes",IF(D961&lt;=0,"A move needs an amount",IF(F961=C961,"Moved to the same envelope","")))))))))</f>
        <v/>
      </c>
      <c r="H961" s="1">
        <f>IF(ISNUMBER(B961),INT(B961),0)</f>
        <v/>
      </c>
      <c r="I961">
        <f>IF(AND(H961&gt;0,ISNUMBER(D961),COUNTIF(Envelopes!$B$6:$B$21,C961)&gt;0,F961=""),1,0)</f>
        <v/>
      </c>
      <c r="J961">
        <f>IF(AND(H961&gt;0,ISNUMBER(D961),COUNTIF(Envelopes!$B$6:$B$21,C961)&gt;0,F961&lt;&gt;"",COUNTIF(Envelopes!$B$6:$B$21,F961)&gt;0),1,0)</f>
        <v/>
      </c>
      <c r="K961">
        <f>IF(I961=1,H961*10000+ROW(),"")</f>
        <v/>
      </c>
    </row>
    <row r="962">
      <c r="A962" s="1" t="n"/>
      <c r="B962" s="21" t="n"/>
      <c r="C962" s="23" t="n"/>
      <c r="D962" s="22" t="n"/>
      <c r="E962" s="24" t="n"/>
      <c r="F962" s="25" t="n"/>
      <c r="G962" s="18">
        <f>IF(AND(C962="",D962=""),"",IF(NOT(ISNUMBER(B962)),"Needs a date",IF(NOT(ISNUMBER(D962)),"Needs the amount",IF(C962="","Needs an envelope",IF(COUNTIF(Envelopes!$B$6:$B$21,C962)=0,"Not on Envelopes",IF(F962="",IF(D962=0,"Needs the amount",""),IF(COUNTIF(Envelopes!$B$6:$B$21,F962)=0,"Moved to: not on Envelopes",IF(D962&lt;=0,"A move needs an amount",IF(F962=C962,"Moved to the same envelope","")))))))))</f>
        <v/>
      </c>
      <c r="H962" s="1">
        <f>IF(ISNUMBER(B962),INT(B962),0)</f>
        <v/>
      </c>
      <c r="I962">
        <f>IF(AND(H962&gt;0,ISNUMBER(D962),COUNTIF(Envelopes!$B$6:$B$21,C962)&gt;0,F962=""),1,0)</f>
        <v/>
      </c>
      <c r="J962">
        <f>IF(AND(H962&gt;0,ISNUMBER(D962),COUNTIF(Envelopes!$B$6:$B$21,C962)&gt;0,F962&lt;&gt;"",COUNTIF(Envelopes!$B$6:$B$21,F962)&gt;0),1,0)</f>
        <v/>
      </c>
      <c r="K962">
        <f>IF(I962=1,H962*10000+ROW(),"")</f>
        <v/>
      </c>
    </row>
    <row r="963">
      <c r="A963" s="1" t="n"/>
      <c r="B963" s="21" t="n"/>
      <c r="C963" s="23" t="n"/>
      <c r="D963" s="22" t="n"/>
      <c r="E963" s="24" t="n"/>
      <c r="F963" s="25" t="n"/>
      <c r="G963" s="18">
        <f>IF(AND(C963="",D963=""),"",IF(NOT(ISNUMBER(B963)),"Needs a date",IF(NOT(ISNUMBER(D963)),"Needs the amount",IF(C963="","Needs an envelope",IF(COUNTIF(Envelopes!$B$6:$B$21,C963)=0,"Not on Envelopes",IF(F963="",IF(D963=0,"Needs the amount",""),IF(COUNTIF(Envelopes!$B$6:$B$21,F963)=0,"Moved to: not on Envelopes",IF(D963&lt;=0,"A move needs an amount",IF(F963=C963,"Moved to the same envelope","")))))))))</f>
        <v/>
      </c>
      <c r="H963" s="1">
        <f>IF(ISNUMBER(B963),INT(B963),0)</f>
        <v/>
      </c>
      <c r="I963">
        <f>IF(AND(H963&gt;0,ISNUMBER(D963),COUNTIF(Envelopes!$B$6:$B$21,C963)&gt;0,F963=""),1,0)</f>
        <v/>
      </c>
      <c r="J963">
        <f>IF(AND(H963&gt;0,ISNUMBER(D963),COUNTIF(Envelopes!$B$6:$B$21,C963)&gt;0,F963&lt;&gt;"",COUNTIF(Envelopes!$B$6:$B$21,F963)&gt;0),1,0)</f>
        <v/>
      </c>
      <c r="K963">
        <f>IF(I963=1,H963*10000+ROW(),"")</f>
        <v/>
      </c>
    </row>
    <row r="964">
      <c r="A964" s="1" t="n"/>
      <c r="B964" s="21" t="n"/>
      <c r="C964" s="23" t="n"/>
      <c r="D964" s="22" t="n"/>
      <c r="E964" s="24" t="n"/>
      <c r="F964" s="25" t="n"/>
      <c r="G964" s="18">
        <f>IF(AND(C964="",D964=""),"",IF(NOT(ISNUMBER(B964)),"Needs a date",IF(NOT(ISNUMBER(D964)),"Needs the amount",IF(C964="","Needs an envelope",IF(COUNTIF(Envelopes!$B$6:$B$21,C964)=0,"Not on Envelopes",IF(F964="",IF(D964=0,"Needs the amount",""),IF(COUNTIF(Envelopes!$B$6:$B$21,F964)=0,"Moved to: not on Envelopes",IF(D964&lt;=0,"A move needs an amount",IF(F964=C964,"Moved to the same envelope","")))))))))</f>
        <v/>
      </c>
      <c r="H964" s="1">
        <f>IF(ISNUMBER(B964),INT(B964),0)</f>
        <v/>
      </c>
      <c r="I964">
        <f>IF(AND(H964&gt;0,ISNUMBER(D964),COUNTIF(Envelopes!$B$6:$B$21,C964)&gt;0,F964=""),1,0)</f>
        <v/>
      </c>
      <c r="J964">
        <f>IF(AND(H964&gt;0,ISNUMBER(D964),COUNTIF(Envelopes!$B$6:$B$21,C964)&gt;0,F964&lt;&gt;"",COUNTIF(Envelopes!$B$6:$B$21,F964)&gt;0),1,0)</f>
        <v/>
      </c>
      <c r="K964">
        <f>IF(I964=1,H964*10000+ROW(),"")</f>
        <v/>
      </c>
    </row>
    <row r="965">
      <c r="A965" s="1" t="n"/>
      <c r="B965" s="21" t="n"/>
      <c r="C965" s="23" t="n"/>
      <c r="D965" s="22" t="n"/>
      <c r="E965" s="24" t="n"/>
      <c r="F965" s="25" t="n"/>
      <c r="G965" s="18">
        <f>IF(AND(C965="",D965=""),"",IF(NOT(ISNUMBER(B965)),"Needs a date",IF(NOT(ISNUMBER(D965)),"Needs the amount",IF(C965="","Needs an envelope",IF(COUNTIF(Envelopes!$B$6:$B$21,C965)=0,"Not on Envelopes",IF(F965="",IF(D965=0,"Needs the amount",""),IF(COUNTIF(Envelopes!$B$6:$B$21,F965)=0,"Moved to: not on Envelopes",IF(D965&lt;=0,"A move needs an amount",IF(F965=C965,"Moved to the same envelope","")))))))))</f>
        <v/>
      </c>
      <c r="H965" s="1">
        <f>IF(ISNUMBER(B965),INT(B965),0)</f>
        <v/>
      </c>
      <c r="I965">
        <f>IF(AND(H965&gt;0,ISNUMBER(D965),COUNTIF(Envelopes!$B$6:$B$21,C965)&gt;0,F965=""),1,0)</f>
        <v/>
      </c>
      <c r="J965">
        <f>IF(AND(H965&gt;0,ISNUMBER(D965),COUNTIF(Envelopes!$B$6:$B$21,C965)&gt;0,F965&lt;&gt;"",COUNTIF(Envelopes!$B$6:$B$21,F965)&gt;0),1,0)</f>
        <v/>
      </c>
      <c r="K965">
        <f>IF(I965=1,H965*10000+ROW(),"")</f>
        <v/>
      </c>
    </row>
    <row r="966">
      <c r="A966" s="1" t="n"/>
      <c r="B966" s="21" t="n"/>
      <c r="C966" s="23" t="n"/>
      <c r="D966" s="22" t="n"/>
      <c r="E966" s="24" t="n"/>
      <c r="F966" s="25" t="n"/>
      <c r="G966" s="18">
        <f>IF(AND(C966="",D966=""),"",IF(NOT(ISNUMBER(B966)),"Needs a date",IF(NOT(ISNUMBER(D966)),"Needs the amount",IF(C966="","Needs an envelope",IF(COUNTIF(Envelopes!$B$6:$B$21,C966)=0,"Not on Envelopes",IF(F966="",IF(D966=0,"Needs the amount",""),IF(COUNTIF(Envelopes!$B$6:$B$21,F966)=0,"Moved to: not on Envelopes",IF(D966&lt;=0,"A move needs an amount",IF(F966=C966,"Moved to the same envelope","")))))))))</f>
        <v/>
      </c>
      <c r="H966" s="1">
        <f>IF(ISNUMBER(B966),INT(B966),0)</f>
        <v/>
      </c>
      <c r="I966">
        <f>IF(AND(H966&gt;0,ISNUMBER(D966),COUNTIF(Envelopes!$B$6:$B$21,C966)&gt;0,F966=""),1,0)</f>
        <v/>
      </c>
      <c r="J966">
        <f>IF(AND(H966&gt;0,ISNUMBER(D966),COUNTIF(Envelopes!$B$6:$B$21,C966)&gt;0,F966&lt;&gt;"",COUNTIF(Envelopes!$B$6:$B$21,F966)&gt;0),1,0)</f>
        <v/>
      </c>
      <c r="K966">
        <f>IF(I966=1,H966*10000+ROW(),"")</f>
        <v/>
      </c>
    </row>
    <row r="967">
      <c r="A967" s="1" t="n"/>
      <c r="B967" s="21" t="n"/>
      <c r="C967" s="23" t="n"/>
      <c r="D967" s="22" t="n"/>
      <c r="E967" s="24" t="n"/>
      <c r="F967" s="25" t="n"/>
      <c r="G967" s="18">
        <f>IF(AND(C967="",D967=""),"",IF(NOT(ISNUMBER(B967)),"Needs a date",IF(NOT(ISNUMBER(D967)),"Needs the amount",IF(C967="","Needs an envelope",IF(COUNTIF(Envelopes!$B$6:$B$21,C967)=0,"Not on Envelopes",IF(F967="",IF(D967=0,"Needs the amount",""),IF(COUNTIF(Envelopes!$B$6:$B$21,F967)=0,"Moved to: not on Envelopes",IF(D967&lt;=0,"A move needs an amount",IF(F967=C967,"Moved to the same envelope","")))))))))</f>
        <v/>
      </c>
      <c r="H967" s="1">
        <f>IF(ISNUMBER(B967),INT(B967),0)</f>
        <v/>
      </c>
      <c r="I967">
        <f>IF(AND(H967&gt;0,ISNUMBER(D967),COUNTIF(Envelopes!$B$6:$B$21,C967)&gt;0,F967=""),1,0)</f>
        <v/>
      </c>
      <c r="J967">
        <f>IF(AND(H967&gt;0,ISNUMBER(D967),COUNTIF(Envelopes!$B$6:$B$21,C967)&gt;0,F967&lt;&gt;"",COUNTIF(Envelopes!$B$6:$B$21,F967)&gt;0),1,0)</f>
        <v/>
      </c>
      <c r="K967">
        <f>IF(I967=1,H967*10000+ROW(),"")</f>
        <v/>
      </c>
    </row>
    <row r="968">
      <c r="A968" s="1" t="n"/>
      <c r="B968" s="21" t="n"/>
      <c r="C968" s="23" t="n"/>
      <c r="D968" s="22" t="n"/>
      <c r="E968" s="24" t="n"/>
      <c r="F968" s="25" t="n"/>
      <c r="G968" s="18">
        <f>IF(AND(C968="",D968=""),"",IF(NOT(ISNUMBER(B968)),"Needs a date",IF(NOT(ISNUMBER(D968)),"Needs the amount",IF(C968="","Needs an envelope",IF(COUNTIF(Envelopes!$B$6:$B$21,C968)=0,"Not on Envelopes",IF(F968="",IF(D968=0,"Needs the amount",""),IF(COUNTIF(Envelopes!$B$6:$B$21,F968)=0,"Moved to: not on Envelopes",IF(D968&lt;=0,"A move needs an amount",IF(F968=C968,"Moved to the same envelope","")))))))))</f>
        <v/>
      </c>
      <c r="H968" s="1">
        <f>IF(ISNUMBER(B968),INT(B968),0)</f>
        <v/>
      </c>
      <c r="I968">
        <f>IF(AND(H968&gt;0,ISNUMBER(D968),COUNTIF(Envelopes!$B$6:$B$21,C968)&gt;0,F968=""),1,0)</f>
        <v/>
      </c>
      <c r="J968">
        <f>IF(AND(H968&gt;0,ISNUMBER(D968),COUNTIF(Envelopes!$B$6:$B$21,C968)&gt;0,F968&lt;&gt;"",COUNTIF(Envelopes!$B$6:$B$21,F968)&gt;0),1,0)</f>
        <v/>
      </c>
      <c r="K968">
        <f>IF(I968=1,H968*10000+ROW(),"")</f>
        <v/>
      </c>
    </row>
    <row r="969">
      <c r="A969" s="1" t="n"/>
      <c r="B969" s="21" t="n"/>
      <c r="C969" s="23" t="n"/>
      <c r="D969" s="22" t="n"/>
      <c r="E969" s="24" t="n"/>
      <c r="F969" s="25" t="n"/>
      <c r="G969" s="18">
        <f>IF(AND(C969="",D969=""),"",IF(NOT(ISNUMBER(B969)),"Needs a date",IF(NOT(ISNUMBER(D969)),"Needs the amount",IF(C969="","Needs an envelope",IF(COUNTIF(Envelopes!$B$6:$B$21,C969)=0,"Not on Envelopes",IF(F969="",IF(D969=0,"Needs the amount",""),IF(COUNTIF(Envelopes!$B$6:$B$21,F969)=0,"Moved to: not on Envelopes",IF(D969&lt;=0,"A move needs an amount",IF(F969=C969,"Moved to the same envelope","")))))))))</f>
        <v/>
      </c>
      <c r="H969" s="1">
        <f>IF(ISNUMBER(B969),INT(B969),0)</f>
        <v/>
      </c>
      <c r="I969">
        <f>IF(AND(H969&gt;0,ISNUMBER(D969),COUNTIF(Envelopes!$B$6:$B$21,C969)&gt;0,F969=""),1,0)</f>
        <v/>
      </c>
      <c r="J969">
        <f>IF(AND(H969&gt;0,ISNUMBER(D969),COUNTIF(Envelopes!$B$6:$B$21,C969)&gt;0,F969&lt;&gt;"",COUNTIF(Envelopes!$B$6:$B$21,F969)&gt;0),1,0)</f>
        <v/>
      </c>
      <c r="K969">
        <f>IF(I969=1,H969*10000+ROW(),"")</f>
        <v/>
      </c>
    </row>
    <row r="970">
      <c r="A970" s="1" t="n"/>
      <c r="B970" s="21" t="n"/>
      <c r="C970" s="23" t="n"/>
      <c r="D970" s="22" t="n"/>
      <c r="E970" s="24" t="n"/>
      <c r="F970" s="25" t="n"/>
      <c r="G970" s="18">
        <f>IF(AND(C970="",D970=""),"",IF(NOT(ISNUMBER(B970)),"Needs a date",IF(NOT(ISNUMBER(D970)),"Needs the amount",IF(C970="","Needs an envelope",IF(COUNTIF(Envelopes!$B$6:$B$21,C970)=0,"Not on Envelopes",IF(F970="",IF(D970=0,"Needs the amount",""),IF(COUNTIF(Envelopes!$B$6:$B$21,F970)=0,"Moved to: not on Envelopes",IF(D970&lt;=0,"A move needs an amount",IF(F970=C970,"Moved to the same envelope","")))))))))</f>
        <v/>
      </c>
      <c r="H970" s="1">
        <f>IF(ISNUMBER(B970),INT(B970),0)</f>
        <v/>
      </c>
      <c r="I970">
        <f>IF(AND(H970&gt;0,ISNUMBER(D970),COUNTIF(Envelopes!$B$6:$B$21,C970)&gt;0,F970=""),1,0)</f>
        <v/>
      </c>
      <c r="J970">
        <f>IF(AND(H970&gt;0,ISNUMBER(D970),COUNTIF(Envelopes!$B$6:$B$21,C970)&gt;0,F970&lt;&gt;"",COUNTIF(Envelopes!$B$6:$B$21,F970)&gt;0),1,0)</f>
        <v/>
      </c>
      <c r="K970">
        <f>IF(I970=1,H970*10000+ROW(),"")</f>
        <v/>
      </c>
    </row>
    <row r="971">
      <c r="A971" s="1" t="n"/>
      <c r="B971" s="21" t="n"/>
      <c r="C971" s="23" t="n"/>
      <c r="D971" s="22" t="n"/>
      <c r="E971" s="24" t="n"/>
      <c r="F971" s="25" t="n"/>
      <c r="G971" s="18">
        <f>IF(AND(C971="",D971=""),"",IF(NOT(ISNUMBER(B971)),"Needs a date",IF(NOT(ISNUMBER(D971)),"Needs the amount",IF(C971="","Needs an envelope",IF(COUNTIF(Envelopes!$B$6:$B$21,C971)=0,"Not on Envelopes",IF(F971="",IF(D971=0,"Needs the amount",""),IF(COUNTIF(Envelopes!$B$6:$B$21,F971)=0,"Moved to: not on Envelopes",IF(D971&lt;=0,"A move needs an amount",IF(F971=C971,"Moved to the same envelope","")))))))))</f>
        <v/>
      </c>
      <c r="H971" s="1">
        <f>IF(ISNUMBER(B971),INT(B971),0)</f>
        <v/>
      </c>
      <c r="I971">
        <f>IF(AND(H971&gt;0,ISNUMBER(D971),COUNTIF(Envelopes!$B$6:$B$21,C971)&gt;0,F971=""),1,0)</f>
        <v/>
      </c>
      <c r="J971">
        <f>IF(AND(H971&gt;0,ISNUMBER(D971),COUNTIF(Envelopes!$B$6:$B$21,C971)&gt;0,F971&lt;&gt;"",COUNTIF(Envelopes!$B$6:$B$21,F971)&gt;0),1,0)</f>
        <v/>
      </c>
      <c r="K971">
        <f>IF(I971=1,H971*10000+ROW(),"")</f>
        <v/>
      </c>
    </row>
    <row r="972">
      <c r="A972" s="1" t="n"/>
      <c r="B972" s="21" t="n"/>
      <c r="C972" s="23" t="n"/>
      <c r="D972" s="22" t="n"/>
      <c r="E972" s="24" t="n"/>
      <c r="F972" s="25" t="n"/>
      <c r="G972" s="18">
        <f>IF(AND(C972="",D972=""),"",IF(NOT(ISNUMBER(B972)),"Needs a date",IF(NOT(ISNUMBER(D972)),"Needs the amount",IF(C972="","Needs an envelope",IF(COUNTIF(Envelopes!$B$6:$B$21,C972)=0,"Not on Envelopes",IF(F972="",IF(D972=0,"Needs the amount",""),IF(COUNTIF(Envelopes!$B$6:$B$21,F972)=0,"Moved to: not on Envelopes",IF(D972&lt;=0,"A move needs an amount",IF(F972=C972,"Moved to the same envelope","")))))))))</f>
        <v/>
      </c>
      <c r="H972" s="1">
        <f>IF(ISNUMBER(B972),INT(B972),0)</f>
        <v/>
      </c>
      <c r="I972">
        <f>IF(AND(H972&gt;0,ISNUMBER(D972),COUNTIF(Envelopes!$B$6:$B$21,C972)&gt;0,F972=""),1,0)</f>
        <v/>
      </c>
      <c r="J972">
        <f>IF(AND(H972&gt;0,ISNUMBER(D972),COUNTIF(Envelopes!$B$6:$B$21,C972)&gt;0,F972&lt;&gt;"",COUNTIF(Envelopes!$B$6:$B$21,F972)&gt;0),1,0)</f>
        <v/>
      </c>
      <c r="K972">
        <f>IF(I972=1,H972*10000+ROW(),"")</f>
        <v/>
      </c>
    </row>
    <row r="973">
      <c r="A973" s="1" t="n"/>
      <c r="B973" s="21" t="n"/>
      <c r="C973" s="23" t="n"/>
      <c r="D973" s="22" t="n"/>
      <c r="E973" s="24" t="n"/>
      <c r="F973" s="25" t="n"/>
      <c r="G973" s="18">
        <f>IF(AND(C973="",D973=""),"",IF(NOT(ISNUMBER(B973)),"Needs a date",IF(NOT(ISNUMBER(D973)),"Needs the amount",IF(C973="","Needs an envelope",IF(COUNTIF(Envelopes!$B$6:$B$21,C973)=0,"Not on Envelopes",IF(F973="",IF(D973=0,"Needs the amount",""),IF(COUNTIF(Envelopes!$B$6:$B$21,F973)=0,"Moved to: not on Envelopes",IF(D973&lt;=0,"A move needs an amount",IF(F973=C973,"Moved to the same envelope","")))))))))</f>
        <v/>
      </c>
      <c r="H973" s="1">
        <f>IF(ISNUMBER(B973),INT(B973),0)</f>
        <v/>
      </c>
      <c r="I973">
        <f>IF(AND(H973&gt;0,ISNUMBER(D973),COUNTIF(Envelopes!$B$6:$B$21,C973)&gt;0,F973=""),1,0)</f>
        <v/>
      </c>
      <c r="J973">
        <f>IF(AND(H973&gt;0,ISNUMBER(D973),COUNTIF(Envelopes!$B$6:$B$21,C973)&gt;0,F973&lt;&gt;"",COUNTIF(Envelopes!$B$6:$B$21,F973)&gt;0),1,0)</f>
        <v/>
      </c>
      <c r="K973">
        <f>IF(I973=1,H973*10000+ROW(),"")</f>
        <v/>
      </c>
    </row>
    <row r="974">
      <c r="A974" s="1" t="n"/>
      <c r="B974" s="21" t="n"/>
      <c r="C974" s="23" t="n"/>
      <c r="D974" s="22" t="n"/>
      <c r="E974" s="24" t="n"/>
      <c r="F974" s="25" t="n"/>
      <c r="G974" s="18">
        <f>IF(AND(C974="",D974=""),"",IF(NOT(ISNUMBER(B974)),"Needs a date",IF(NOT(ISNUMBER(D974)),"Needs the amount",IF(C974="","Needs an envelope",IF(COUNTIF(Envelopes!$B$6:$B$21,C974)=0,"Not on Envelopes",IF(F974="",IF(D974=0,"Needs the amount",""),IF(COUNTIF(Envelopes!$B$6:$B$21,F974)=0,"Moved to: not on Envelopes",IF(D974&lt;=0,"A move needs an amount",IF(F974=C974,"Moved to the same envelope","")))))))))</f>
        <v/>
      </c>
      <c r="H974" s="1">
        <f>IF(ISNUMBER(B974),INT(B974),0)</f>
        <v/>
      </c>
      <c r="I974">
        <f>IF(AND(H974&gt;0,ISNUMBER(D974),COUNTIF(Envelopes!$B$6:$B$21,C974)&gt;0,F974=""),1,0)</f>
        <v/>
      </c>
      <c r="J974">
        <f>IF(AND(H974&gt;0,ISNUMBER(D974),COUNTIF(Envelopes!$B$6:$B$21,C974)&gt;0,F974&lt;&gt;"",COUNTIF(Envelopes!$B$6:$B$21,F974)&gt;0),1,0)</f>
        <v/>
      </c>
      <c r="K974">
        <f>IF(I974=1,H974*10000+ROW(),"")</f>
        <v/>
      </c>
    </row>
    <row r="975">
      <c r="A975" s="1" t="n"/>
      <c r="B975" s="21" t="n"/>
      <c r="C975" s="23" t="n"/>
      <c r="D975" s="22" t="n"/>
      <c r="E975" s="24" t="n"/>
      <c r="F975" s="25" t="n"/>
      <c r="G975" s="18">
        <f>IF(AND(C975="",D975=""),"",IF(NOT(ISNUMBER(B975)),"Needs a date",IF(NOT(ISNUMBER(D975)),"Needs the amount",IF(C975="","Needs an envelope",IF(COUNTIF(Envelopes!$B$6:$B$21,C975)=0,"Not on Envelopes",IF(F975="",IF(D975=0,"Needs the amount",""),IF(COUNTIF(Envelopes!$B$6:$B$21,F975)=0,"Moved to: not on Envelopes",IF(D975&lt;=0,"A move needs an amount",IF(F975=C975,"Moved to the same envelope","")))))))))</f>
        <v/>
      </c>
      <c r="H975" s="1">
        <f>IF(ISNUMBER(B975),INT(B975),0)</f>
        <v/>
      </c>
      <c r="I975">
        <f>IF(AND(H975&gt;0,ISNUMBER(D975),COUNTIF(Envelopes!$B$6:$B$21,C975)&gt;0,F975=""),1,0)</f>
        <v/>
      </c>
      <c r="J975">
        <f>IF(AND(H975&gt;0,ISNUMBER(D975),COUNTIF(Envelopes!$B$6:$B$21,C975)&gt;0,F975&lt;&gt;"",COUNTIF(Envelopes!$B$6:$B$21,F975)&gt;0),1,0)</f>
        <v/>
      </c>
      <c r="K975">
        <f>IF(I975=1,H975*10000+ROW(),"")</f>
        <v/>
      </c>
    </row>
    <row r="976">
      <c r="A976" s="1" t="n"/>
      <c r="B976" s="21" t="n"/>
      <c r="C976" s="23" t="n"/>
      <c r="D976" s="22" t="n"/>
      <c r="E976" s="24" t="n"/>
      <c r="F976" s="25" t="n"/>
      <c r="G976" s="18">
        <f>IF(AND(C976="",D976=""),"",IF(NOT(ISNUMBER(B976)),"Needs a date",IF(NOT(ISNUMBER(D976)),"Needs the amount",IF(C976="","Needs an envelope",IF(COUNTIF(Envelopes!$B$6:$B$21,C976)=0,"Not on Envelopes",IF(F976="",IF(D976=0,"Needs the amount",""),IF(COUNTIF(Envelopes!$B$6:$B$21,F976)=0,"Moved to: not on Envelopes",IF(D976&lt;=0,"A move needs an amount",IF(F976=C976,"Moved to the same envelope","")))))))))</f>
        <v/>
      </c>
      <c r="H976" s="1">
        <f>IF(ISNUMBER(B976),INT(B976),0)</f>
        <v/>
      </c>
      <c r="I976">
        <f>IF(AND(H976&gt;0,ISNUMBER(D976),COUNTIF(Envelopes!$B$6:$B$21,C976)&gt;0,F976=""),1,0)</f>
        <v/>
      </c>
      <c r="J976">
        <f>IF(AND(H976&gt;0,ISNUMBER(D976),COUNTIF(Envelopes!$B$6:$B$21,C976)&gt;0,F976&lt;&gt;"",COUNTIF(Envelopes!$B$6:$B$21,F976)&gt;0),1,0)</f>
        <v/>
      </c>
      <c r="K976">
        <f>IF(I976=1,H976*10000+ROW(),"")</f>
        <v/>
      </c>
    </row>
    <row r="977">
      <c r="A977" s="1" t="n"/>
      <c r="B977" s="21" t="n"/>
      <c r="C977" s="23" t="n"/>
      <c r="D977" s="22" t="n"/>
      <c r="E977" s="24" t="n"/>
      <c r="F977" s="25" t="n"/>
      <c r="G977" s="18">
        <f>IF(AND(C977="",D977=""),"",IF(NOT(ISNUMBER(B977)),"Needs a date",IF(NOT(ISNUMBER(D977)),"Needs the amount",IF(C977="","Needs an envelope",IF(COUNTIF(Envelopes!$B$6:$B$21,C977)=0,"Not on Envelopes",IF(F977="",IF(D977=0,"Needs the amount",""),IF(COUNTIF(Envelopes!$B$6:$B$21,F977)=0,"Moved to: not on Envelopes",IF(D977&lt;=0,"A move needs an amount",IF(F977=C977,"Moved to the same envelope","")))))))))</f>
        <v/>
      </c>
      <c r="H977" s="1">
        <f>IF(ISNUMBER(B977),INT(B977),0)</f>
        <v/>
      </c>
      <c r="I977">
        <f>IF(AND(H977&gt;0,ISNUMBER(D977),COUNTIF(Envelopes!$B$6:$B$21,C977)&gt;0,F977=""),1,0)</f>
        <v/>
      </c>
      <c r="J977">
        <f>IF(AND(H977&gt;0,ISNUMBER(D977),COUNTIF(Envelopes!$B$6:$B$21,C977)&gt;0,F977&lt;&gt;"",COUNTIF(Envelopes!$B$6:$B$21,F977)&gt;0),1,0)</f>
        <v/>
      </c>
      <c r="K977">
        <f>IF(I977=1,H977*10000+ROW(),"")</f>
        <v/>
      </c>
    </row>
    <row r="978">
      <c r="A978" s="1" t="n"/>
      <c r="B978" s="21" t="n"/>
      <c r="C978" s="23" t="n"/>
      <c r="D978" s="22" t="n"/>
      <c r="E978" s="24" t="n"/>
      <c r="F978" s="25" t="n"/>
      <c r="G978" s="18">
        <f>IF(AND(C978="",D978=""),"",IF(NOT(ISNUMBER(B978)),"Needs a date",IF(NOT(ISNUMBER(D978)),"Needs the amount",IF(C978="","Needs an envelope",IF(COUNTIF(Envelopes!$B$6:$B$21,C978)=0,"Not on Envelopes",IF(F978="",IF(D978=0,"Needs the amount",""),IF(COUNTIF(Envelopes!$B$6:$B$21,F978)=0,"Moved to: not on Envelopes",IF(D978&lt;=0,"A move needs an amount",IF(F978=C978,"Moved to the same envelope","")))))))))</f>
        <v/>
      </c>
      <c r="H978" s="1">
        <f>IF(ISNUMBER(B978),INT(B978),0)</f>
        <v/>
      </c>
      <c r="I978">
        <f>IF(AND(H978&gt;0,ISNUMBER(D978),COUNTIF(Envelopes!$B$6:$B$21,C978)&gt;0,F978=""),1,0)</f>
        <v/>
      </c>
      <c r="J978">
        <f>IF(AND(H978&gt;0,ISNUMBER(D978),COUNTIF(Envelopes!$B$6:$B$21,C978)&gt;0,F978&lt;&gt;"",COUNTIF(Envelopes!$B$6:$B$21,F978)&gt;0),1,0)</f>
        <v/>
      </c>
      <c r="K978">
        <f>IF(I978=1,H978*10000+ROW(),"")</f>
        <v/>
      </c>
    </row>
    <row r="979">
      <c r="A979" s="1" t="n"/>
      <c r="B979" s="21" t="n"/>
      <c r="C979" s="23" t="n"/>
      <c r="D979" s="22" t="n"/>
      <c r="E979" s="24" t="n"/>
      <c r="F979" s="25" t="n"/>
      <c r="G979" s="18">
        <f>IF(AND(C979="",D979=""),"",IF(NOT(ISNUMBER(B979)),"Needs a date",IF(NOT(ISNUMBER(D979)),"Needs the amount",IF(C979="","Needs an envelope",IF(COUNTIF(Envelopes!$B$6:$B$21,C979)=0,"Not on Envelopes",IF(F979="",IF(D979=0,"Needs the amount",""),IF(COUNTIF(Envelopes!$B$6:$B$21,F979)=0,"Moved to: not on Envelopes",IF(D979&lt;=0,"A move needs an amount",IF(F979=C979,"Moved to the same envelope","")))))))))</f>
        <v/>
      </c>
      <c r="H979" s="1">
        <f>IF(ISNUMBER(B979),INT(B979),0)</f>
        <v/>
      </c>
      <c r="I979">
        <f>IF(AND(H979&gt;0,ISNUMBER(D979),COUNTIF(Envelopes!$B$6:$B$21,C979)&gt;0,F979=""),1,0)</f>
        <v/>
      </c>
      <c r="J979">
        <f>IF(AND(H979&gt;0,ISNUMBER(D979),COUNTIF(Envelopes!$B$6:$B$21,C979)&gt;0,F979&lt;&gt;"",COUNTIF(Envelopes!$B$6:$B$21,F979)&gt;0),1,0)</f>
        <v/>
      </c>
      <c r="K979">
        <f>IF(I979=1,H979*10000+ROW(),"")</f>
        <v/>
      </c>
    </row>
    <row r="980">
      <c r="A980" s="1" t="n"/>
      <c r="B980" s="21" t="n"/>
      <c r="C980" s="23" t="n"/>
      <c r="D980" s="22" t="n"/>
      <c r="E980" s="24" t="n"/>
      <c r="F980" s="25" t="n"/>
      <c r="G980" s="18">
        <f>IF(AND(C980="",D980=""),"",IF(NOT(ISNUMBER(B980)),"Needs a date",IF(NOT(ISNUMBER(D980)),"Needs the amount",IF(C980="","Needs an envelope",IF(COUNTIF(Envelopes!$B$6:$B$21,C980)=0,"Not on Envelopes",IF(F980="",IF(D980=0,"Needs the amount",""),IF(COUNTIF(Envelopes!$B$6:$B$21,F980)=0,"Moved to: not on Envelopes",IF(D980&lt;=0,"A move needs an amount",IF(F980=C980,"Moved to the same envelope","")))))))))</f>
        <v/>
      </c>
      <c r="H980" s="1">
        <f>IF(ISNUMBER(B980),INT(B980),0)</f>
        <v/>
      </c>
      <c r="I980">
        <f>IF(AND(H980&gt;0,ISNUMBER(D980),COUNTIF(Envelopes!$B$6:$B$21,C980)&gt;0,F980=""),1,0)</f>
        <v/>
      </c>
      <c r="J980">
        <f>IF(AND(H980&gt;0,ISNUMBER(D980),COUNTIF(Envelopes!$B$6:$B$21,C980)&gt;0,F980&lt;&gt;"",COUNTIF(Envelopes!$B$6:$B$21,F980)&gt;0),1,0)</f>
        <v/>
      </c>
      <c r="K980">
        <f>IF(I980=1,H980*10000+ROW(),"")</f>
        <v/>
      </c>
    </row>
    <row r="981">
      <c r="A981" s="1" t="n"/>
      <c r="B981" s="21" t="n"/>
      <c r="C981" s="23" t="n"/>
      <c r="D981" s="22" t="n"/>
      <c r="E981" s="24" t="n"/>
      <c r="F981" s="25" t="n"/>
      <c r="G981" s="18">
        <f>IF(AND(C981="",D981=""),"",IF(NOT(ISNUMBER(B981)),"Needs a date",IF(NOT(ISNUMBER(D981)),"Needs the amount",IF(C981="","Needs an envelope",IF(COUNTIF(Envelopes!$B$6:$B$21,C981)=0,"Not on Envelopes",IF(F981="",IF(D981=0,"Needs the amount",""),IF(COUNTIF(Envelopes!$B$6:$B$21,F981)=0,"Moved to: not on Envelopes",IF(D981&lt;=0,"A move needs an amount",IF(F981=C981,"Moved to the same envelope","")))))))))</f>
        <v/>
      </c>
      <c r="H981" s="1">
        <f>IF(ISNUMBER(B981),INT(B981),0)</f>
        <v/>
      </c>
      <c r="I981">
        <f>IF(AND(H981&gt;0,ISNUMBER(D981),COUNTIF(Envelopes!$B$6:$B$21,C981)&gt;0,F981=""),1,0)</f>
        <v/>
      </c>
      <c r="J981">
        <f>IF(AND(H981&gt;0,ISNUMBER(D981),COUNTIF(Envelopes!$B$6:$B$21,C981)&gt;0,F981&lt;&gt;"",COUNTIF(Envelopes!$B$6:$B$21,F981)&gt;0),1,0)</f>
        <v/>
      </c>
      <c r="K981">
        <f>IF(I981=1,H981*10000+ROW(),"")</f>
        <v/>
      </c>
    </row>
    <row r="982">
      <c r="A982" s="1" t="n"/>
      <c r="B982" s="21" t="n"/>
      <c r="C982" s="23" t="n"/>
      <c r="D982" s="22" t="n"/>
      <c r="E982" s="24" t="n"/>
      <c r="F982" s="25" t="n"/>
      <c r="G982" s="18">
        <f>IF(AND(C982="",D982=""),"",IF(NOT(ISNUMBER(B982)),"Needs a date",IF(NOT(ISNUMBER(D982)),"Needs the amount",IF(C982="","Needs an envelope",IF(COUNTIF(Envelopes!$B$6:$B$21,C982)=0,"Not on Envelopes",IF(F982="",IF(D982=0,"Needs the amount",""),IF(COUNTIF(Envelopes!$B$6:$B$21,F982)=0,"Moved to: not on Envelopes",IF(D982&lt;=0,"A move needs an amount",IF(F982=C982,"Moved to the same envelope","")))))))))</f>
        <v/>
      </c>
      <c r="H982" s="1">
        <f>IF(ISNUMBER(B982),INT(B982),0)</f>
        <v/>
      </c>
      <c r="I982">
        <f>IF(AND(H982&gt;0,ISNUMBER(D982),COUNTIF(Envelopes!$B$6:$B$21,C982)&gt;0,F982=""),1,0)</f>
        <v/>
      </c>
      <c r="J982">
        <f>IF(AND(H982&gt;0,ISNUMBER(D982),COUNTIF(Envelopes!$B$6:$B$21,C982)&gt;0,F982&lt;&gt;"",COUNTIF(Envelopes!$B$6:$B$21,F982)&gt;0),1,0)</f>
        <v/>
      </c>
      <c r="K982">
        <f>IF(I982=1,H982*10000+ROW(),"")</f>
        <v/>
      </c>
    </row>
    <row r="983">
      <c r="A983" s="1" t="n"/>
      <c r="B983" s="21" t="n"/>
      <c r="C983" s="23" t="n"/>
      <c r="D983" s="22" t="n"/>
      <c r="E983" s="24" t="n"/>
      <c r="F983" s="25" t="n"/>
      <c r="G983" s="18">
        <f>IF(AND(C983="",D983=""),"",IF(NOT(ISNUMBER(B983)),"Needs a date",IF(NOT(ISNUMBER(D983)),"Needs the amount",IF(C983="","Needs an envelope",IF(COUNTIF(Envelopes!$B$6:$B$21,C983)=0,"Not on Envelopes",IF(F983="",IF(D983=0,"Needs the amount",""),IF(COUNTIF(Envelopes!$B$6:$B$21,F983)=0,"Moved to: not on Envelopes",IF(D983&lt;=0,"A move needs an amount",IF(F983=C983,"Moved to the same envelope","")))))))))</f>
        <v/>
      </c>
      <c r="H983" s="1">
        <f>IF(ISNUMBER(B983),INT(B983),0)</f>
        <v/>
      </c>
      <c r="I983">
        <f>IF(AND(H983&gt;0,ISNUMBER(D983),COUNTIF(Envelopes!$B$6:$B$21,C983)&gt;0,F983=""),1,0)</f>
        <v/>
      </c>
      <c r="J983">
        <f>IF(AND(H983&gt;0,ISNUMBER(D983),COUNTIF(Envelopes!$B$6:$B$21,C983)&gt;0,F983&lt;&gt;"",COUNTIF(Envelopes!$B$6:$B$21,F983)&gt;0),1,0)</f>
        <v/>
      </c>
      <c r="K983">
        <f>IF(I983=1,H983*10000+ROW(),"")</f>
        <v/>
      </c>
    </row>
    <row r="984">
      <c r="A984" s="1" t="n"/>
      <c r="B984" s="21" t="n"/>
      <c r="C984" s="23" t="n"/>
      <c r="D984" s="22" t="n"/>
      <c r="E984" s="24" t="n"/>
      <c r="F984" s="25" t="n"/>
      <c r="G984" s="18">
        <f>IF(AND(C984="",D984=""),"",IF(NOT(ISNUMBER(B984)),"Needs a date",IF(NOT(ISNUMBER(D984)),"Needs the amount",IF(C984="","Needs an envelope",IF(COUNTIF(Envelopes!$B$6:$B$21,C984)=0,"Not on Envelopes",IF(F984="",IF(D984=0,"Needs the amount",""),IF(COUNTIF(Envelopes!$B$6:$B$21,F984)=0,"Moved to: not on Envelopes",IF(D984&lt;=0,"A move needs an amount",IF(F984=C984,"Moved to the same envelope","")))))))))</f>
        <v/>
      </c>
      <c r="H984" s="1">
        <f>IF(ISNUMBER(B984),INT(B984),0)</f>
        <v/>
      </c>
      <c r="I984">
        <f>IF(AND(H984&gt;0,ISNUMBER(D984),COUNTIF(Envelopes!$B$6:$B$21,C984)&gt;0,F984=""),1,0)</f>
        <v/>
      </c>
      <c r="J984">
        <f>IF(AND(H984&gt;0,ISNUMBER(D984),COUNTIF(Envelopes!$B$6:$B$21,C984)&gt;0,F984&lt;&gt;"",COUNTIF(Envelopes!$B$6:$B$21,F984)&gt;0),1,0)</f>
        <v/>
      </c>
      <c r="K984">
        <f>IF(I984=1,H984*10000+ROW(),"")</f>
        <v/>
      </c>
    </row>
    <row r="985">
      <c r="A985" s="1" t="n"/>
      <c r="B985" s="21" t="n"/>
      <c r="C985" s="23" t="n"/>
      <c r="D985" s="22" t="n"/>
      <c r="E985" s="24" t="n"/>
      <c r="F985" s="25" t="n"/>
      <c r="G985" s="18">
        <f>IF(AND(C985="",D985=""),"",IF(NOT(ISNUMBER(B985)),"Needs a date",IF(NOT(ISNUMBER(D985)),"Needs the amount",IF(C985="","Needs an envelope",IF(COUNTIF(Envelopes!$B$6:$B$21,C985)=0,"Not on Envelopes",IF(F985="",IF(D985=0,"Needs the amount",""),IF(COUNTIF(Envelopes!$B$6:$B$21,F985)=0,"Moved to: not on Envelopes",IF(D985&lt;=0,"A move needs an amount",IF(F985=C985,"Moved to the same envelope","")))))))))</f>
        <v/>
      </c>
      <c r="H985" s="1">
        <f>IF(ISNUMBER(B985),INT(B985),0)</f>
        <v/>
      </c>
      <c r="I985">
        <f>IF(AND(H985&gt;0,ISNUMBER(D985),COUNTIF(Envelopes!$B$6:$B$21,C985)&gt;0,F985=""),1,0)</f>
        <v/>
      </c>
      <c r="J985">
        <f>IF(AND(H985&gt;0,ISNUMBER(D985),COUNTIF(Envelopes!$B$6:$B$21,C985)&gt;0,F985&lt;&gt;"",COUNTIF(Envelopes!$B$6:$B$21,F985)&gt;0),1,0)</f>
        <v/>
      </c>
      <c r="K985">
        <f>IF(I985=1,H985*10000+ROW(),"")</f>
        <v/>
      </c>
    </row>
    <row r="986">
      <c r="A986" s="1" t="n"/>
      <c r="B986" s="21" t="n"/>
      <c r="C986" s="23" t="n"/>
      <c r="D986" s="22" t="n"/>
      <c r="E986" s="24" t="n"/>
      <c r="F986" s="25" t="n"/>
      <c r="G986" s="18">
        <f>IF(AND(C986="",D986=""),"",IF(NOT(ISNUMBER(B986)),"Needs a date",IF(NOT(ISNUMBER(D986)),"Needs the amount",IF(C986="","Needs an envelope",IF(COUNTIF(Envelopes!$B$6:$B$21,C986)=0,"Not on Envelopes",IF(F986="",IF(D986=0,"Needs the amount",""),IF(COUNTIF(Envelopes!$B$6:$B$21,F986)=0,"Moved to: not on Envelopes",IF(D986&lt;=0,"A move needs an amount",IF(F986=C986,"Moved to the same envelope","")))))))))</f>
        <v/>
      </c>
      <c r="H986" s="1">
        <f>IF(ISNUMBER(B986),INT(B986),0)</f>
        <v/>
      </c>
      <c r="I986">
        <f>IF(AND(H986&gt;0,ISNUMBER(D986),COUNTIF(Envelopes!$B$6:$B$21,C986)&gt;0,F986=""),1,0)</f>
        <v/>
      </c>
      <c r="J986">
        <f>IF(AND(H986&gt;0,ISNUMBER(D986),COUNTIF(Envelopes!$B$6:$B$21,C986)&gt;0,F986&lt;&gt;"",COUNTIF(Envelopes!$B$6:$B$21,F986)&gt;0),1,0)</f>
        <v/>
      </c>
      <c r="K986">
        <f>IF(I986=1,H986*10000+ROW(),"")</f>
        <v/>
      </c>
    </row>
    <row r="987">
      <c r="A987" s="1" t="n"/>
      <c r="B987" s="21" t="n"/>
      <c r="C987" s="23" t="n"/>
      <c r="D987" s="22" t="n"/>
      <c r="E987" s="24" t="n"/>
      <c r="F987" s="25" t="n"/>
      <c r="G987" s="18">
        <f>IF(AND(C987="",D987=""),"",IF(NOT(ISNUMBER(B987)),"Needs a date",IF(NOT(ISNUMBER(D987)),"Needs the amount",IF(C987="","Needs an envelope",IF(COUNTIF(Envelopes!$B$6:$B$21,C987)=0,"Not on Envelopes",IF(F987="",IF(D987=0,"Needs the amount",""),IF(COUNTIF(Envelopes!$B$6:$B$21,F987)=0,"Moved to: not on Envelopes",IF(D987&lt;=0,"A move needs an amount",IF(F987=C987,"Moved to the same envelope","")))))))))</f>
        <v/>
      </c>
      <c r="H987" s="1">
        <f>IF(ISNUMBER(B987),INT(B987),0)</f>
        <v/>
      </c>
      <c r="I987">
        <f>IF(AND(H987&gt;0,ISNUMBER(D987),COUNTIF(Envelopes!$B$6:$B$21,C987)&gt;0,F987=""),1,0)</f>
        <v/>
      </c>
      <c r="J987">
        <f>IF(AND(H987&gt;0,ISNUMBER(D987),COUNTIF(Envelopes!$B$6:$B$21,C987)&gt;0,F987&lt;&gt;"",COUNTIF(Envelopes!$B$6:$B$21,F987)&gt;0),1,0)</f>
        <v/>
      </c>
      <c r="K987">
        <f>IF(I987=1,H987*10000+ROW(),"")</f>
        <v/>
      </c>
    </row>
    <row r="988">
      <c r="A988" s="1" t="n"/>
      <c r="B988" s="21" t="n"/>
      <c r="C988" s="23" t="n"/>
      <c r="D988" s="22" t="n"/>
      <c r="E988" s="24" t="n"/>
      <c r="F988" s="25" t="n"/>
      <c r="G988" s="18">
        <f>IF(AND(C988="",D988=""),"",IF(NOT(ISNUMBER(B988)),"Needs a date",IF(NOT(ISNUMBER(D988)),"Needs the amount",IF(C988="","Needs an envelope",IF(COUNTIF(Envelopes!$B$6:$B$21,C988)=0,"Not on Envelopes",IF(F988="",IF(D988=0,"Needs the amount",""),IF(COUNTIF(Envelopes!$B$6:$B$21,F988)=0,"Moved to: not on Envelopes",IF(D988&lt;=0,"A move needs an amount",IF(F988=C988,"Moved to the same envelope","")))))))))</f>
        <v/>
      </c>
      <c r="H988" s="1">
        <f>IF(ISNUMBER(B988),INT(B988),0)</f>
        <v/>
      </c>
      <c r="I988">
        <f>IF(AND(H988&gt;0,ISNUMBER(D988),COUNTIF(Envelopes!$B$6:$B$21,C988)&gt;0,F988=""),1,0)</f>
        <v/>
      </c>
      <c r="J988">
        <f>IF(AND(H988&gt;0,ISNUMBER(D988),COUNTIF(Envelopes!$B$6:$B$21,C988)&gt;0,F988&lt;&gt;"",COUNTIF(Envelopes!$B$6:$B$21,F988)&gt;0),1,0)</f>
        <v/>
      </c>
      <c r="K988">
        <f>IF(I988=1,H988*10000+ROW(),"")</f>
        <v/>
      </c>
    </row>
    <row r="989">
      <c r="A989" s="1" t="n"/>
      <c r="B989" s="21" t="n"/>
      <c r="C989" s="23" t="n"/>
      <c r="D989" s="22" t="n"/>
      <c r="E989" s="24" t="n"/>
      <c r="F989" s="25" t="n"/>
      <c r="G989" s="18">
        <f>IF(AND(C989="",D989=""),"",IF(NOT(ISNUMBER(B989)),"Needs a date",IF(NOT(ISNUMBER(D989)),"Needs the amount",IF(C989="","Needs an envelope",IF(COUNTIF(Envelopes!$B$6:$B$21,C989)=0,"Not on Envelopes",IF(F989="",IF(D989=0,"Needs the amount",""),IF(COUNTIF(Envelopes!$B$6:$B$21,F989)=0,"Moved to: not on Envelopes",IF(D989&lt;=0,"A move needs an amount",IF(F989=C989,"Moved to the same envelope","")))))))))</f>
        <v/>
      </c>
      <c r="H989" s="1">
        <f>IF(ISNUMBER(B989),INT(B989),0)</f>
        <v/>
      </c>
      <c r="I989">
        <f>IF(AND(H989&gt;0,ISNUMBER(D989),COUNTIF(Envelopes!$B$6:$B$21,C989)&gt;0,F989=""),1,0)</f>
        <v/>
      </c>
      <c r="J989">
        <f>IF(AND(H989&gt;0,ISNUMBER(D989),COUNTIF(Envelopes!$B$6:$B$21,C989)&gt;0,F989&lt;&gt;"",COUNTIF(Envelopes!$B$6:$B$21,F989)&gt;0),1,0)</f>
        <v/>
      </c>
      <c r="K989">
        <f>IF(I989=1,H989*10000+ROW(),"")</f>
        <v/>
      </c>
    </row>
    <row r="990">
      <c r="A990" s="1" t="n"/>
      <c r="B990" s="21" t="n"/>
      <c r="C990" s="23" t="n"/>
      <c r="D990" s="22" t="n"/>
      <c r="E990" s="24" t="n"/>
      <c r="F990" s="25" t="n"/>
      <c r="G990" s="18">
        <f>IF(AND(C990="",D990=""),"",IF(NOT(ISNUMBER(B990)),"Needs a date",IF(NOT(ISNUMBER(D990)),"Needs the amount",IF(C990="","Needs an envelope",IF(COUNTIF(Envelopes!$B$6:$B$21,C990)=0,"Not on Envelopes",IF(F990="",IF(D990=0,"Needs the amount",""),IF(COUNTIF(Envelopes!$B$6:$B$21,F990)=0,"Moved to: not on Envelopes",IF(D990&lt;=0,"A move needs an amount",IF(F990=C990,"Moved to the same envelope","")))))))))</f>
        <v/>
      </c>
      <c r="H990" s="1">
        <f>IF(ISNUMBER(B990),INT(B990),0)</f>
        <v/>
      </c>
      <c r="I990">
        <f>IF(AND(H990&gt;0,ISNUMBER(D990),COUNTIF(Envelopes!$B$6:$B$21,C990)&gt;0,F990=""),1,0)</f>
        <v/>
      </c>
      <c r="J990">
        <f>IF(AND(H990&gt;0,ISNUMBER(D990),COUNTIF(Envelopes!$B$6:$B$21,C990)&gt;0,F990&lt;&gt;"",COUNTIF(Envelopes!$B$6:$B$21,F990)&gt;0),1,0)</f>
        <v/>
      </c>
      <c r="K990">
        <f>IF(I990=1,H990*10000+ROW(),"")</f>
        <v/>
      </c>
    </row>
    <row r="991">
      <c r="A991" s="1" t="n"/>
      <c r="B991" s="21" t="n"/>
      <c r="C991" s="23" t="n"/>
      <c r="D991" s="22" t="n"/>
      <c r="E991" s="24" t="n"/>
      <c r="F991" s="25" t="n"/>
      <c r="G991" s="18">
        <f>IF(AND(C991="",D991=""),"",IF(NOT(ISNUMBER(B991)),"Needs a date",IF(NOT(ISNUMBER(D991)),"Needs the amount",IF(C991="","Needs an envelope",IF(COUNTIF(Envelopes!$B$6:$B$21,C991)=0,"Not on Envelopes",IF(F991="",IF(D991=0,"Needs the amount",""),IF(COUNTIF(Envelopes!$B$6:$B$21,F991)=0,"Moved to: not on Envelopes",IF(D991&lt;=0,"A move needs an amount",IF(F991=C991,"Moved to the same envelope","")))))))))</f>
        <v/>
      </c>
      <c r="H991" s="1">
        <f>IF(ISNUMBER(B991),INT(B991),0)</f>
        <v/>
      </c>
      <c r="I991">
        <f>IF(AND(H991&gt;0,ISNUMBER(D991),COUNTIF(Envelopes!$B$6:$B$21,C991)&gt;0,F991=""),1,0)</f>
        <v/>
      </c>
      <c r="J991">
        <f>IF(AND(H991&gt;0,ISNUMBER(D991),COUNTIF(Envelopes!$B$6:$B$21,C991)&gt;0,F991&lt;&gt;"",COUNTIF(Envelopes!$B$6:$B$21,F991)&gt;0),1,0)</f>
        <v/>
      </c>
      <c r="K991">
        <f>IF(I991=1,H991*10000+ROW(),"")</f>
        <v/>
      </c>
    </row>
    <row r="992">
      <c r="A992" s="1" t="n"/>
      <c r="B992" s="21" t="n"/>
      <c r="C992" s="23" t="n"/>
      <c r="D992" s="22" t="n"/>
      <c r="E992" s="24" t="n"/>
      <c r="F992" s="25" t="n"/>
      <c r="G992" s="18">
        <f>IF(AND(C992="",D992=""),"",IF(NOT(ISNUMBER(B992)),"Needs a date",IF(NOT(ISNUMBER(D992)),"Needs the amount",IF(C992="","Needs an envelope",IF(COUNTIF(Envelopes!$B$6:$B$21,C992)=0,"Not on Envelopes",IF(F992="",IF(D992=0,"Needs the amount",""),IF(COUNTIF(Envelopes!$B$6:$B$21,F992)=0,"Moved to: not on Envelopes",IF(D992&lt;=0,"A move needs an amount",IF(F992=C992,"Moved to the same envelope","")))))))))</f>
        <v/>
      </c>
      <c r="H992" s="1">
        <f>IF(ISNUMBER(B992),INT(B992),0)</f>
        <v/>
      </c>
      <c r="I992">
        <f>IF(AND(H992&gt;0,ISNUMBER(D992),COUNTIF(Envelopes!$B$6:$B$21,C992)&gt;0,F992=""),1,0)</f>
        <v/>
      </c>
      <c r="J992">
        <f>IF(AND(H992&gt;0,ISNUMBER(D992),COUNTIF(Envelopes!$B$6:$B$21,C992)&gt;0,F992&lt;&gt;"",COUNTIF(Envelopes!$B$6:$B$21,F992)&gt;0),1,0)</f>
        <v/>
      </c>
      <c r="K992">
        <f>IF(I992=1,H992*10000+ROW(),"")</f>
        <v/>
      </c>
    </row>
    <row r="993">
      <c r="A993" s="1" t="n"/>
      <c r="B993" s="21" t="n"/>
      <c r="C993" s="23" t="n"/>
      <c r="D993" s="22" t="n"/>
      <c r="E993" s="24" t="n"/>
      <c r="F993" s="25" t="n"/>
      <c r="G993" s="18">
        <f>IF(AND(C993="",D993=""),"",IF(NOT(ISNUMBER(B993)),"Needs a date",IF(NOT(ISNUMBER(D993)),"Needs the amount",IF(C993="","Needs an envelope",IF(COUNTIF(Envelopes!$B$6:$B$21,C993)=0,"Not on Envelopes",IF(F993="",IF(D993=0,"Needs the amount",""),IF(COUNTIF(Envelopes!$B$6:$B$21,F993)=0,"Moved to: not on Envelopes",IF(D993&lt;=0,"A move needs an amount",IF(F993=C993,"Moved to the same envelope","")))))))))</f>
        <v/>
      </c>
      <c r="H993" s="1">
        <f>IF(ISNUMBER(B993),INT(B993),0)</f>
        <v/>
      </c>
      <c r="I993">
        <f>IF(AND(H993&gt;0,ISNUMBER(D993),COUNTIF(Envelopes!$B$6:$B$21,C993)&gt;0,F993=""),1,0)</f>
        <v/>
      </c>
      <c r="J993">
        <f>IF(AND(H993&gt;0,ISNUMBER(D993),COUNTIF(Envelopes!$B$6:$B$21,C993)&gt;0,F993&lt;&gt;"",COUNTIF(Envelopes!$B$6:$B$21,F993)&gt;0),1,0)</f>
        <v/>
      </c>
      <c r="K993">
        <f>IF(I993=1,H993*10000+ROW(),"")</f>
        <v/>
      </c>
    </row>
    <row r="994">
      <c r="A994" s="1" t="n"/>
      <c r="B994" s="21" t="n"/>
      <c r="C994" s="23" t="n"/>
      <c r="D994" s="22" t="n"/>
      <c r="E994" s="24" t="n"/>
      <c r="F994" s="25" t="n"/>
      <c r="G994" s="18">
        <f>IF(AND(C994="",D994=""),"",IF(NOT(ISNUMBER(B994)),"Needs a date",IF(NOT(ISNUMBER(D994)),"Needs the amount",IF(C994="","Needs an envelope",IF(COUNTIF(Envelopes!$B$6:$B$21,C994)=0,"Not on Envelopes",IF(F994="",IF(D994=0,"Needs the amount",""),IF(COUNTIF(Envelopes!$B$6:$B$21,F994)=0,"Moved to: not on Envelopes",IF(D994&lt;=0,"A move needs an amount",IF(F994=C994,"Moved to the same envelope","")))))))))</f>
        <v/>
      </c>
      <c r="H994" s="1">
        <f>IF(ISNUMBER(B994),INT(B994),0)</f>
        <v/>
      </c>
      <c r="I994">
        <f>IF(AND(H994&gt;0,ISNUMBER(D994),COUNTIF(Envelopes!$B$6:$B$21,C994)&gt;0,F994=""),1,0)</f>
        <v/>
      </c>
      <c r="J994">
        <f>IF(AND(H994&gt;0,ISNUMBER(D994),COUNTIF(Envelopes!$B$6:$B$21,C994)&gt;0,F994&lt;&gt;"",COUNTIF(Envelopes!$B$6:$B$21,F994)&gt;0),1,0)</f>
        <v/>
      </c>
      <c r="K994">
        <f>IF(I994=1,H994*10000+ROW(),"")</f>
        <v/>
      </c>
    </row>
    <row r="995">
      <c r="A995" s="1" t="n"/>
      <c r="B995" s="21" t="n"/>
      <c r="C995" s="23" t="n"/>
      <c r="D995" s="22" t="n"/>
      <c r="E995" s="24" t="n"/>
      <c r="F995" s="25" t="n"/>
      <c r="G995" s="18">
        <f>IF(AND(C995="",D995=""),"",IF(NOT(ISNUMBER(B995)),"Needs a date",IF(NOT(ISNUMBER(D995)),"Needs the amount",IF(C995="","Needs an envelope",IF(COUNTIF(Envelopes!$B$6:$B$21,C995)=0,"Not on Envelopes",IF(F995="",IF(D995=0,"Needs the amount",""),IF(COUNTIF(Envelopes!$B$6:$B$21,F995)=0,"Moved to: not on Envelopes",IF(D995&lt;=0,"A move needs an amount",IF(F995=C995,"Moved to the same envelope","")))))))))</f>
        <v/>
      </c>
      <c r="H995" s="1">
        <f>IF(ISNUMBER(B995),INT(B995),0)</f>
        <v/>
      </c>
      <c r="I995">
        <f>IF(AND(H995&gt;0,ISNUMBER(D995),COUNTIF(Envelopes!$B$6:$B$21,C995)&gt;0,F995=""),1,0)</f>
        <v/>
      </c>
      <c r="J995">
        <f>IF(AND(H995&gt;0,ISNUMBER(D995),COUNTIF(Envelopes!$B$6:$B$21,C995)&gt;0,F995&lt;&gt;"",COUNTIF(Envelopes!$B$6:$B$21,F995)&gt;0),1,0)</f>
        <v/>
      </c>
      <c r="K995">
        <f>IF(I995=1,H995*10000+ROW(),"")</f>
        <v/>
      </c>
    </row>
    <row r="996">
      <c r="A996" s="1" t="n"/>
      <c r="B996" s="21" t="n"/>
      <c r="C996" s="23" t="n"/>
      <c r="D996" s="22" t="n"/>
      <c r="E996" s="24" t="n"/>
      <c r="F996" s="25" t="n"/>
      <c r="G996" s="18">
        <f>IF(AND(C996="",D996=""),"",IF(NOT(ISNUMBER(B996)),"Needs a date",IF(NOT(ISNUMBER(D996)),"Needs the amount",IF(C996="","Needs an envelope",IF(COUNTIF(Envelopes!$B$6:$B$21,C996)=0,"Not on Envelopes",IF(F996="",IF(D996=0,"Needs the amount",""),IF(COUNTIF(Envelopes!$B$6:$B$21,F996)=0,"Moved to: not on Envelopes",IF(D996&lt;=0,"A move needs an amount",IF(F996=C996,"Moved to the same envelope","")))))))))</f>
        <v/>
      </c>
      <c r="H996" s="1">
        <f>IF(ISNUMBER(B996),INT(B996),0)</f>
        <v/>
      </c>
      <c r="I996">
        <f>IF(AND(H996&gt;0,ISNUMBER(D996),COUNTIF(Envelopes!$B$6:$B$21,C996)&gt;0,F996=""),1,0)</f>
        <v/>
      </c>
      <c r="J996">
        <f>IF(AND(H996&gt;0,ISNUMBER(D996),COUNTIF(Envelopes!$B$6:$B$21,C996)&gt;0,F996&lt;&gt;"",COUNTIF(Envelopes!$B$6:$B$21,F996)&gt;0),1,0)</f>
        <v/>
      </c>
      <c r="K996">
        <f>IF(I996=1,H996*10000+ROW(),"")</f>
        <v/>
      </c>
    </row>
    <row r="997">
      <c r="A997" s="1" t="n"/>
      <c r="B997" s="21" t="n"/>
      <c r="C997" s="23" t="n"/>
      <c r="D997" s="22" t="n"/>
      <c r="E997" s="24" t="n"/>
      <c r="F997" s="25" t="n"/>
      <c r="G997" s="18">
        <f>IF(AND(C997="",D997=""),"",IF(NOT(ISNUMBER(B997)),"Needs a date",IF(NOT(ISNUMBER(D997)),"Needs the amount",IF(C997="","Needs an envelope",IF(COUNTIF(Envelopes!$B$6:$B$21,C997)=0,"Not on Envelopes",IF(F997="",IF(D997=0,"Needs the amount",""),IF(COUNTIF(Envelopes!$B$6:$B$21,F997)=0,"Moved to: not on Envelopes",IF(D997&lt;=0,"A move needs an amount",IF(F997=C997,"Moved to the same envelope","")))))))))</f>
        <v/>
      </c>
      <c r="H997" s="1">
        <f>IF(ISNUMBER(B997),INT(B997),0)</f>
        <v/>
      </c>
      <c r="I997">
        <f>IF(AND(H997&gt;0,ISNUMBER(D997),COUNTIF(Envelopes!$B$6:$B$21,C997)&gt;0,F997=""),1,0)</f>
        <v/>
      </c>
      <c r="J997">
        <f>IF(AND(H997&gt;0,ISNUMBER(D997),COUNTIF(Envelopes!$B$6:$B$21,C997)&gt;0,F997&lt;&gt;"",COUNTIF(Envelopes!$B$6:$B$21,F997)&gt;0),1,0)</f>
        <v/>
      </c>
      <c r="K997">
        <f>IF(I997=1,H997*10000+ROW(),"")</f>
        <v/>
      </c>
    </row>
    <row r="998">
      <c r="A998" s="1" t="n"/>
      <c r="B998" s="21" t="n"/>
      <c r="C998" s="23" t="n"/>
      <c r="D998" s="22" t="n"/>
      <c r="E998" s="24" t="n"/>
      <c r="F998" s="25" t="n"/>
      <c r="G998" s="18">
        <f>IF(AND(C998="",D998=""),"",IF(NOT(ISNUMBER(B998)),"Needs a date",IF(NOT(ISNUMBER(D998)),"Needs the amount",IF(C998="","Needs an envelope",IF(COUNTIF(Envelopes!$B$6:$B$21,C998)=0,"Not on Envelopes",IF(F998="",IF(D998=0,"Needs the amount",""),IF(COUNTIF(Envelopes!$B$6:$B$21,F998)=0,"Moved to: not on Envelopes",IF(D998&lt;=0,"A move needs an amount",IF(F998=C998,"Moved to the same envelope","")))))))))</f>
        <v/>
      </c>
      <c r="H998" s="1">
        <f>IF(ISNUMBER(B998),INT(B998),0)</f>
        <v/>
      </c>
      <c r="I998">
        <f>IF(AND(H998&gt;0,ISNUMBER(D998),COUNTIF(Envelopes!$B$6:$B$21,C998)&gt;0,F998=""),1,0)</f>
        <v/>
      </c>
      <c r="J998">
        <f>IF(AND(H998&gt;0,ISNUMBER(D998),COUNTIF(Envelopes!$B$6:$B$21,C998)&gt;0,F998&lt;&gt;"",COUNTIF(Envelopes!$B$6:$B$21,F998)&gt;0),1,0)</f>
        <v/>
      </c>
      <c r="K998">
        <f>IF(I998=1,H998*10000+ROW(),"")</f>
        <v/>
      </c>
    </row>
    <row r="999">
      <c r="A999" s="1" t="n"/>
      <c r="B999" s="21" t="n"/>
      <c r="C999" s="23" t="n"/>
      <c r="D999" s="22" t="n"/>
      <c r="E999" s="24" t="n"/>
      <c r="F999" s="25" t="n"/>
      <c r="G999" s="18">
        <f>IF(AND(C999="",D999=""),"",IF(NOT(ISNUMBER(B999)),"Needs a date",IF(NOT(ISNUMBER(D999)),"Needs the amount",IF(C999="","Needs an envelope",IF(COUNTIF(Envelopes!$B$6:$B$21,C999)=0,"Not on Envelopes",IF(F999="",IF(D999=0,"Needs the amount",""),IF(COUNTIF(Envelopes!$B$6:$B$21,F999)=0,"Moved to: not on Envelopes",IF(D999&lt;=0,"A move needs an amount",IF(F999=C999,"Moved to the same envelope","")))))))))</f>
        <v/>
      </c>
      <c r="H999" s="1">
        <f>IF(ISNUMBER(B999),INT(B999),0)</f>
        <v/>
      </c>
      <c r="I999">
        <f>IF(AND(H999&gt;0,ISNUMBER(D999),COUNTIF(Envelopes!$B$6:$B$21,C999)&gt;0,F999=""),1,0)</f>
        <v/>
      </c>
      <c r="J999">
        <f>IF(AND(H999&gt;0,ISNUMBER(D999),COUNTIF(Envelopes!$B$6:$B$21,C999)&gt;0,F999&lt;&gt;"",COUNTIF(Envelopes!$B$6:$B$21,F999)&gt;0),1,0)</f>
        <v/>
      </c>
      <c r="K999">
        <f>IF(I999=1,H999*10000+ROW(),"")</f>
        <v/>
      </c>
    </row>
    <row r="1000">
      <c r="A1000" s="1" t="n"/>
      <c r="B1000" s="21" t="n"/>
      <c r="C1000" s="23" t="n"/>
      <c r="D1000" s="22" t="n"/>
      <c r="E1000" s="24" t="n"/>
      <c r="F1000" s="25" t="n"/>
      <c r="G1000" s="18">
        <f>IF(AND(C1000="",D1000=""),"",IF(NOT(ISNUMBER(B1000)),"Needs a date",IF(NOT(ISNUMBER(D1000)),"Needs the amount",IF(C1000="","Needs an envelope",IF(COUNTIF(Envelopes!$B$6:$B$21,C1000)=0,"Not on Envelopes",IF(F1000="",IF(D1000=0,"Needs the amount",""),IF(COUNTIF(Envelopes!$B$6:$B$21,F1000)=0,"Moved to: not on Envelopes",IF(D1000&lt;=0,"A move needs an amount",IF(F1000=C1000,"Moved to the same envelope","")))))))))</f>
        <v/>
      </c>
      <c r="H1000" s="1">
        <f>IF(ISNUMBER(B1000),INT(B1000),0)</f>
        <v/>
      </c>
      <c r="I1000">
        <f>IF(AND(H1000&gt;0,ISNUMBER(D1000),COUNTIF(Envelopes!$B$6:$B$21,C1000)&gt;0,F1000=""),1,0)</f>
        <v/>
      </c>
      <c r="J1000">
        <f>IF(AND(H1000&gt;0,ISNUMBER(D1000),COUNTIF(Envelopes!$B$6:$B$21,C1000)&gt;0,F1000&lt;&gt;"",COUNTIF(Envelopes!$B$6:$B$21,F1000)&gt;0),1,0)</f>
        <v/>
      </c>
      <c r="K1000">
        <f>IF(I1000=1,H1000*10000+ROW(),"")</f>
        <v/>
      </c>
    </row>
    <row r="1001">
      <c r="A1001" s="1" t="n"/>
      <c r="B1001" s="21" t="n"/>
      <c r="C1001" s="23" t="n"/>
      <c r="D1001" s="22" t="n"/>
      <c r="E1001" s="24" t="n"/>
      <c r="F1001" s="25" t="n"/>
      <c r="G1001" s="18">
        <f>IF(AND(C1001="",D1001=""),"",IF(NOT(ISNUMBER(B1001)),"Needs a date",IF(NOT(ISNUMBER(D1001)),"Needs the amount",IF(C1001="","Needs an envelope",IF(COUNTIF(Envelopes!$B$6:$B$21,C1001)=0,"Not on Envelopes",IF(F1001="",IF(D1001=0,"Needs the amount",""),IF(COUNTIF(Envelopes!$B$6:$B$21,F1001)=0,"Moved to: not on Envelopes",IF(D1001&lt;=0,"A move needs an amount",IF(F1001=C1001,"Moved to the same envelope","")))))))))</f>
        <v/>
      </c>
      <c r="H1001" s="1">
        <f>IF(ISNUMBER(B1001),INT(B1001),0)</f>
        <v/>
      </c>
      <c r="I1001">
        <f>IF(AND(H1001&gt;0,ISNUMBER(D1001),COUNTIF(Envelopes!$B$6:$B$21,C1001)&gt;0,F1001=""),1,0)</f>
        <v/>
      </c>
      <c r="J1001">
        <f>IF(AND(H1001&gt;0,ISNUMBER(D1001),COUNTIF(Envelopes!$B$6:$B$21,C1001)&gt;0,F1001&lt;&gt;"",COUNTIF(Envelopes!$B$6:$B$21,F1001)&gt;0),1,0)</f>
        <v/>
      </c>
      <c r="K1001">
        <f>IF(I1001=1,H1001*10000+ROW(),"")</f>
        <v/>
      </c>
    </row>
    <row r="1002">
      <c r="A1002" s="1" t="n"/>
      <c r="B1002" s="21" t="n"/>
      <c r="C1002" s="23" t="n"/>
      <c r="D1002" s="22" t="n"/>
      <c r="E1002" s="24" t="n"/>
      <c r="F1002" s="25" t="n"/>
      <c r="G1002" s="18">
        <f>IF(AND(C1002="",D1002=""),"",IF(NOT(ISNUMBER(B1002)),"Needs a date",IF(NOT(ISNUMBER(D1002)),"Needs the amount",IF(C1002="","Needs an envelope",IF(COUNTIF(Envelopes!$B$6:$B$21,C1002)=0,"Not on Envelopes",IF(F1002="",IF(D1002=0,"Needs the amount",""),IF(COUNTIF(Envelopes!$B$6:$B$21,F1002)=0,"Moved to: not on Envelopes",IF(D1002&lt;=0,"A move needs an amount",IF(F1002=C1002,"Moved to the same envelope","")))))))))</f>
        <v/>
      </c>
      <c r="H1002" s="1">
        <f>IF(ISNUMBER(B1002),INT(B1002),0)</f>
        <v/>
      </c>
      <c r="I1002">
        <f>IF(AND(H1002&gt;0,ISNUMBER(D1002),COUNTIF(Envelopes!$B$6:$B$21,C1002)&gt;0,F1002=""),1,0)</f>
        <v/>
      </c>
      <c r="J1002">
        <f>IF(AND(H1002&gt;0,ISNUMBER(D1002),COUNTIF(Envelopes!$B$6:$B$21,C1002)&gt;0,F1002&lt;&gt;"",COUNTIF(Envelopes!$B$6:$B$21,F1002)&gt;0),1,0)</f>
        <v/>
      </c>
      <c r="K1002">
        <f>IF(I1002=1,H1002*10000+ROW(),"")</f>
        <v/>
      </c>
    </row>
    <row r="1003">
      <c r="A1003" s="1" t="n"/>
      <c r="B1003" s="21" t="n"/>
      <c r="C1003" s="23" t="n"/>
      <c r="D1003" s="22" t="n"/>
      <c r="E1003" s="24" t="n"/>
      <c r="F1003" s="25" t="n"/>
      <c r="G1003" s="18">
        <f>IF(AND(C1003="",D1003=""),"",IF(NOT(ISNUMBER(B1003)),"Needs a date",IF(NOT(ISNUMBER(D1003)),"Needs the amount",IF(C1003="","Needs an envelope",IF(COUNTIF(Envelopes!$B$6:$B$21,C1003)=0,"Not on Envelopes",IF(F1003="",IF(D1003=0,"Needs the amount",""),IF(COUNTIF(Envelopes!$B$6:$B$21,F1003)=0,"Moved to: not on Envelopes",IF(D1003&lt;=0,"A move needs an amount",IF(F1003=C1003,"Moved to the same envelope","")))))))))</f>
        <v/>
      </c>
      <c r="H1003" s="1">
        <f>IF(ISNUMBER(B1003),INT(B1003),0)</f>
        <v/>
      </c>
      <c r="I1003">
        <f>IF(AND(H1003&gt;0,ISNUMBER(D1003),COUNTIF(Envelopes!$B$6:$B$21,C1003)&gt;0,F1003=""),1,0)</f>
        <v/>
      </c>
      <c r="J1003">
        <f>IF(AND(H1003&gt;0,ISNUMBER(D1003),COUNTIF(Envelopes!$B$6:$B$21,C1003)&gt;0,F1003&lt;&gt;"",COUNTIF(Envelopes!$B$6:$B$21,F1003)&gt;0),1,0)</f>
        <v/>
      </c>
      <c r="K1003">
        <f>IF(I1003=1,H1003*10000+ROW(),"")</f>
        <v/>
      </c>
    </row>
    <row r="1004">
      <c r="A1004" s="1" t="n"/>
      <c r="B1004" s="21" t="n"/>
      <c r="C1004" s="23" t="n"/>
      <c r="D1004" s="22" t="n"/>
      <c r="E1004" s="24" t="n"/>
      <c r="F1004" s="25" t="n"/>
      <c r="G1004" s="18">
        <f>IF(AND(C1004="",D1004=""),"",IF(NOT(ISNUMBER(B1004)),"Needs a date",IF(NOT(ISNUMBER(D1004)),"Needs the amount",IF(C1004="","Needs an envelope",IF(COUNTIF(Envelopes!$B$6:$B$21,C1004)=0,"Not on Envelopes",IF(F1004="",IF(D1004=0,"Needs the amount",""),IF(COUNTIF(Envelopes!$B$6:$B$21,F1004)=0,"Moved to: not on Envelopes",IF(D1004&lt;=0,"A move needs an amount",IF(F1004=C1004,"Moved to the same envelope","")))))))))</f>
        <v/>
      </c>
      <c r="H1004" s="1">
        <f>IF(ISNUMBER(B1004),INT(B1004),0)</f>
        <v/>
      </c>
      <c r="I1004">
        <f>IF(AND(H1004&gt;0,ISNUMBER(D1004),COUNTIF(Envelopes!$B$6:$B$21,C1004)&gt;0,F1004=""),1,0)</f>
        <v/>
      </c>
      <c r="J1004">
        <f>IF(AND(H1004&gt;0,ISNUMBER(D1004),COUNTIF(Envelopes!$B$6:$B$21,C1004)&gt;0,F1004&lt;&gt;"",COUNTIF(Envelopes!$B$6:$B$21,F1004)&gt;0),1,0)</f>
        <v/>
      </c>
      <c r="K1004">
        <f>IF(I1004=1,H1004*10000+ROW(),"")</f>
        <v/>
      </c>
    </row>
    <row r="1005">
      <c r="A1005" s="1" t="n"/>
      <c r="B1005" s="21" t="n"/>
      <c r="C1005" s="23" t="n"/>
      <c r="D1005" s="22" t="n"/>
      <c r="E1005" s="24" t="n"/>
      <c r="F1005" s="25" t="n"/>
      <c r="G1005" s="18">
        <f>IF(AND(C1005="",D1005=""),"",IF(NOT(ISNUMBER(B1005)),"Needs a date",IF(NOT(ISNUMBER(D1005)),"Needs the amount",IF(C1005="","Needs an envelope",IF(COUNTIF(Envelopes!$B$6:$B$21,C1005)=0,"Not on Envelopes",IF(F1005="",IF(D1005=0,"Needs the amount",""),IF(COUNTIF(Envelopes!$B$6:$B$21,F1005)=0,"Moved to: not on Envelopes",IF(D1005&lt;=0,"A move needs an amount",IF(F1005=C1005,"Moved to the same envelope","")))))))))</f>
        <v/>
      </c>
      <c r="H1005" s="1">
        <f>IF(ISNUMBER(B1005),INT(B1005),0)</f>
        <v/>
      </c>
      <c r="I1005">
        <f>IF(AND(H1005&gt;0,ISNUMBER(D1005),COUNTIF(Envelopes!$B$6:$B$21,C1005)&gt;0,F1005=""),1,0)</f>
        <v/>
      </c>
      <c r="J1005">
        <f>IF(AND(H1005&gt;0,ISNUMBER(D1005),COUNTIF(Envelopes!$B$6:$B$21,C1005)&gt;0,F1005&lt;&gt;"",COUNTIF(Envelopes!$B$6:$B$21,F1005)&gt;0),1,0)</f>
        <v/>
      </c>
      <c r="K1005">
        <f>IF(I1005=1,H1005*10000+ROW(),"")</f>
        <v/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</row>
  </sheetData>
  <conditionalFormatting sqref="G6:G1005">
    <cfRule type="expression" priority="1" dxfId="0">
      <formula>G6&lt;&gt;""</formula>
    </cfRule>
  </conditionalFormatting>
  <dataValidations count="2">
    <dataValidation sqref="C6:C1005" showDropDown="0" showInputMessage="0" showErrorMessage="0" allowBlank="1" type="list">
      <formula1>=Envelopes!$B$6:$B$21</formula1>
    </dataValidation>
    <dataValidation sqref="F6:F1005" showDropDown="0" showInputMessage="0" showErrorMessage="0" allowBlank="1" type="list">
      <formula1>=Envelopes!$B$6:$B$21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2" customWidth="1" min="4" max="4"/>
    <col width="10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1" customWidth="1" min="11" max="11"/>
    <col width="12" customWidth="1" min="12" max="12"/>
    <col width="13" customWidth="1" min="13" max="13"/>
    <col width="12" customWidth="1" min="14" max="14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32" customHeight="1">
      <c r="A2" s="1" t="n"/>
      <c r="B2" s="2" t="inlineStr">
        <is>
          <t>Envelopes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n"/>
      <c r="B3" s="3" t="inlineStr">
        <is>
          <t>Each envelope once, with what goes in it each payday. A sinking fund saves up for something that comes later.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30" customHeight="1">
      <c r="A5" s="1" t="n"/>
      <c r="B5" s="8" t="inlineStr">
        <is>
          <t>Envelope</t>
        </is>
      </c>
      <c r="C5" s="8" t="inlineStr">
        <is>
          <t>Kind</t>
        </is>
      </c>
      <c r="D5" s="8" t="inlineStr">
        <is>
          <t>Plan per payday</t>
        </is>
      </c>
      <c r="E5" s="8" t="inlineStr">
        <is>
          <t>Largest note</t>
        </is>
      </c>
      <c r="F5" s="8" t="inlineStr">
        <is>
          <t>Target</t>
        </is>
      </c>
      <c r="G5" s="8" t="inlineStr">
        <is>
          <t>By</t>
        </is>
      </c>
      <c r="H5" s="8" t="inlineStr">
        <is>
          <t>Cash at the start</t>
        </is>
      </c>
      <c r="I5" s="8" t="inlineStr">
        <is>
          <t>Stuffed</t>
        </is>
      </c>
      <c r="J5" s="8" t="inlineStr">
        <is>
          <t>Spent</t>
        </is>
      </c>
      <c r="K5" s="8" t="inlineStr">
        <is>
          <t>Moved</t>
        </is>
      </c>
      <c r="L5" s="8" t="inlineStr">
        <is>
          <t>In it now</t>
        </is>
      </c>
      <c r="M5" s="8" t="inlineStr">
        <is>
          <t>Status</t>
        </is>
      </c>
      <c r="N5" s="8" t="inlineStr">
        <is>
          <t>Per payday to get there</t>
        </is>
      </c>
      <c r="O5" s="1" t="n"/>
    </row>
    <row r="6">
      <c r="A6" s="1" t="n"/>
      <c r="B6" s="23" t="inlineStr">
        <is>
          <t>Groceries</t>
        </is>
      </c>
      <c r="C6" s="26" t="inlineStr">
        <is>
          <t>Spending</t>
        </is>
      </c>
      <c r="D6" s="22" t="n">
        <v>180</v>
      </c>
      <c r="E6" s="27" t="n">
        <v>20</v>
      </c>
      <c r="F6" s="22" t="n"/>
      <c r="G6" s="21" t="n"/>
      <c r="H6" s="22" t="n">
        <v>40</v>
      </c>
      <c r="I6" s="10">
        <f>IF(B6="","",SUMIFS(Paydays!$E$6:$E$205,Paydays!$W$6:$W$205,"&gt;0"))</f>
        <v/>
      </c>
      <c r="J6" s="10">
        <f>IF(B6="","",SUMIFS(Spending!$D$6:$D$1005,Spending!$C$6:$C$1005,Envelopes!$B$6,Spending!$I$6:$I$1005,1))</f>
        <v/>
      </c>
      <c r="K6" s="10">
        <f>IF(B6="","",SUMIFS(Spending!$D$6:$D$1005,Spending!$F$6:$F$1005,Envelopes!$B$6,Spending!$J$6:$J$1005,1)-SUMIFS(Spending!$D$6:$D$1005,Spending!$C$6:$C$1005,Envelopes!$B$6,Spending!$J$6:$J$1005,1))</f>
        <v/>
      </c>
      <c r="L6" s="12">
        <f>IF(B6="","",N(H6)+I6-J6+K6)</f>
        <v/>
      </c>
      <c r="M6" s="28">
        <f>IF(B6="","",IF(L6&lt;0,"Overspent",IF(C6="Sinking fund",IF(AND(N(F6)&gt;0,L6&gt;=N(F6)),"Reached",IF(AND(ISNUMBER(G6),G6&lt;TODAY()),"Past its date","Saving")),IF(AND(N(D6)&gt;0,L6&lt;N(D6)*N(Settings!$C$7)),"Low","OK"))))</f>
        <v/>
      </c>
      <c r="N6" s="10">
        <f>IF(OR(B6="",C6&lt;&gt;"Sinking fund",N(F6)&lt;=0),"",IF(L6&gt;=N(F6),0,IF(OR(NOT(ISNUMBER(G6)),G6&lt;TODAY()),"",(N(F6)-L6)/MAX(1,INT((G6-TODAY())*Settings!$H$5/365)))))</f>
        <v/>
      </c>
      <c r="O6" s="1" t="n"/>
      <c r="P6">
        <f>IF(AND(B6&lt;&gt;"",C6="Sinking fund"),ROW(),"")</f>
        <v/>
      </c>
      <c r="Q6">
        <f>IF(B6="","",N(H6)+SUMIFS(Paydays!$E$6:$E$205,Paydays!$W$6:$W$205,"&gt;0",Paydays!$W$6:$W$205,"&lt;="&amp;INT(N(Cash!$C$4)))-SUMIFS(Spending!$D$6:$D$1005,Spending!$C$6:$C$1005,Envelopes!$B$6,Spending!$I$6:$I$1005,1,Spending!$H$6:$H$1005,"&lt;="&amp;INT(N(Cash!$C$4)))+SUMIFS(Spending!$D$6:$D$1005,Spending!$F$6:$F$1005,Envelopes!$B$6,Spending!$J$6:$J$1005,1,Spending!$H$6:$H$1005,"&lt;="&amp;INT(N(Cash!$C$4)))-SUMIFS(Spending!$D$6:$D$1005,Spending!$C$6:$C$1005,Envelopes!$B$6,Spending!$J$6:$J$1005,1,Spending!$H$6:$H$1005,"&lt;="&amp;INT(N(Cash!$C$4))))</f>
        <v/>
      </c>
    </row>
    <row r="7">
      <c r="A7" s="1" t="n"/>
      <c r="B7" s="23" t="inlineStr">
        <is>
          <t>Gas</t>
        </is>
      </c>
      <c r="C7" s="26" t="inlineStr">
        <is>
          <t>Spending</t>
        </is>
      </c>
      <c r="D7" s="22" t="n">
        <v>60</v>
      </c>
      <c r="E7" s="27" t="n">
        <v>20</v>
      </c>
      <c r="F7" s="22" t="n"/>
      <c r="G7" s="21" t="n"/>
      <c r="H7" s="22" t="n">
        <v>15</v>
      </c>
      <c r="I7" s="10">
        <f>IF(B7="","",SUMIFS(Paydays!$F$6:$F$205,Paydays!$W$6:$W$205,"&gt;0"))</f>
        <v/>
      </c>
      <c r="J7" s="10">
        <f>IF(B7="","",SUMIFS(Spending!$D$6:$D$1005,Spending!$C$6:$C$1005,Envelopes!$B$7,Spending!$I$6:$I$1005,1))</f>
        <v/>
      </c>
      <c r="K7" s="10">
        <f>IF(B7="","",SUMIFS(Spending!$D$6:$D$1005,Spending!$F$6:$F$1005,Envelopes!$B$7,Spending!$J$6:$J$1005,1)-SUMIFS(Spending!$D$6:$D$1005,Spending!$C$6:$C$1005,Envelopes!$B$7,Spending!$J$6:$J$1005,1))</f>
        <v/>
      </c>
      <c r="L7" s="12">
        <f>IF(B7="","",N(H7)+I7-J7+K7)</f>
        <v/>
      </c>
      <c r="M7" s="28">
        <f>IF(B7="","",IF(L7&lt;0,"Overspent",IF(C7="Sinking fund",IF(AND(N(F7)&gt;0,L7&gt;=N(F7)),"Reached",IF(AND(ISNUMBER(G7),G7&lt;TODAY()),"Past its date","Saving")),IF(AND(N(D7)&gt;0,L7&lt;N(D7)*N(Settings!$C$7)),"Low","OK"))))</f>
        <v/>
      </c>
      <c r="N7" s="10">
        <f>IF(OR(B7="",C7&lt;&gt;"Sinking fund",N(F7)&lt;=0),"",IF(L7&gt;=N(F7),0,IF(OR(NOT(ISNUMBER(G7)),G7&lt;TODAY()),"",(N(F7)-L7)/MAX(1,INT((G7-TODAY())*Settings!$H$5/365)))))</f>
        <v/>
      </c>
      <c r="O7" s="1" t="n"/>
      <c r="P7">
        <f>IF(AND(B7&lt;&gt;"",C7="Sinking fund"),ROW(),"")</f>
        <v/>
      </c>
      <c r="Q7">
        <f>IF(B7="","",N(H7)+SUMIFS(Paydays!$F$6:$F$205,Paydays!$W$6:$W$205,"&gt;0",Paydays!$W$6:$W$205,"&lt;="&amp;INT(N(Cash!$C$4)))-SUMIFS(Spending!$D$6:$D$1005,Spending!$C$6:$C$1005,Envelopes!$B$7,Spending!$I$6:$I$1005,1,Spending!$H$6:$H$1005,"&lt;="&amp;INT(N(Cash!$C$4)))+SUMIFS(Spending!$D$6:$D$1005,Spending!$F$6:$F$1005,Envelopes!$B$7,Spending!$J$6:$J$1005,1,Spending!$H$6:$H$1005,"&lt;="&amp;INT(N(Cash!$C$4)))-SUMIFS(Spending!$D$6:$D$1005,Spending!$C$6:$C$1005,Envelopes!$B$7,Spending!$J$6:$J$1005,1,Spending!$H$6:$H$1005,"&lt;="&amp;INT(N(Cash!$C$4))))</f>
        <v/>
      </c>
    </row>
    <row r="8">
      <c r="A8" s="1" t="n"/>
      <c r="B8" s="23" t="inlineStr">
        <is>
          <t>Eating out</t>
        </is>
      </c>
      <c r="C8" s="26" t="inlineStr">
        <is>
          <t>Spending</t>
        </is>
      </c>
      <c r="D8" s="22" t="n">
        <v>40</v>
      </c>
      <c r="E8" s="27" t="n">
        <v>10</v>
      </c>
      <c r="F8" s="22" t="n"/>
      <c r="G8" s="21" t="n"/>
      <c r="H8" s="22" t="n">
        <v>0</v>
      </c>
      <c r="I8" s="10">
        <f>IF(B8="","",SUMIFS(Paydays!$G$6:$G$205,Paydays!$W$6:$W$205,"&gt;0"))</f>
        <v/>
      </c>
      <c r="J8" s="10">
        <f>IF(B8="","",SUMIFS(Spending!$D$6:$D$1005,Spending!$C$6:$C$1005,Envelopes!$B$8,Spending!$I$6:$I$1005,1))</f>
        <v/>
      </c>
      <c r="K8" s="10">
        <f>IF(B8="","",SUMIFS(Spending!$D$6:$D$1005,Spending!$F$6:$F$1005,Envelopes!$B$8,Spending!$J$6:$J$1005,1)-SUMIFS(Spending!$D$6:$D$1005,Spending!$C$6:$C$1005,Envelopes!$B$8,Spending!$J$6:$J$1005,1))</f>
        <v/>
      </c>
      <c r="L8" s="12">
        <f>IF(B8="","",N(H8)+I8-J8+K8)</f>
        <v/>
      </c>
      <c r="M8" s="28">
        <f>IF(B8="","",IF(L8&lt;0,"Overspent",IF(C8="Sinking fund",IF(AND(N(F8)&gt;0,L8&gt;=N(F8)),"Reached",IF(AND(ISNUMBER(G8),G8&lt;TODAY()),"Past its date","Saving")),IF(AND(N(D8)&gt;0,L8&lt;N(D8)*N(Settings!$C$7)),"Low","OK"))))</f>
        <v/>
      </c>
      <c r="N8" s="10">
        <f>IF(OR(B8="",C8&lt;&gt;"Sinking fund",N(F8)&lt;=0),"",IF(L8&gt;=N(F8),0,IF(OR(NOT(ISNUMBER(G8)),G8&lt;TODAY()),"",(N(F8)-L8)/MAX(1,INT((G8-TODAY())*Settings!$H$5/365)))))</f>
        <v/>
      </c>
      <c r="O8" s="1" t="n"/>
      <c r="P8">
        <f>IF(AND(B8&lt;&gt;"",C8="Sinking fund"),ROW(),"")</f>
        <v/>
      </c>
      <c r="Q8">
        <f>IF(B8="","",N(H8)+SUMIFS(Paydays!$G$6:$G$205,Paydays!$W$6:$W$205,"&gt;0",Paydays!$W$6:$W$205,"&lt;="&amp;INT(N(Cash!$C$4)))-SUMIFS(Spending!$D$6:$D$1005,Spending!$C$6:$C$1005,Envelopes!$B$8,Spending!$I$6:$I$1005,1,Spending!$H$6:$H$1005,"&lt;="&amp;INT(N(Cash!$C$4)))+SUMIFS(Spending!$D$6:$D$1005,Spending!$F$6:$F$1005,Envelopes!$B$8,Spending!$J$6:$J$1005,1,Spending!$H$6:$H$1005,"&lt;="&amp;INT(N(Cash!$C$4)))-SUMIFS(Spending!$D$6:$D$1005,Spending!$C$6:$C$1005,Envelopes!$B$8,Spending!$J$6:$J$1005,1,Spending!$H$6:$H$1005,"&lt;="&amp;INT(N(Cash!$C$4))))</f>
        <v/>
      </c>
    </row>
    <row r="9">
      <c r="A9" s="1" t="n"/>
      <c r="B9" s="23" t="inlineStr">
        <is>
          <t>Fun money</t>
        </is>
      </c>
      <c r="C9" s="26" t="inlineStr">
        <is>
          <t>Spending</t>
        </is>
      </c>
      <c r="D9" s="22" t="n">
        <v>30</v>
      </c>
      <c r="E9" s="27" t="n">
        <v>5</v>
      </c>
      <c r="F9" s="22" t="n"/>
      <c r="G9" s="21" t="n"/>
      <c r="H9" s="22" t="n">
        <v>10</v>
      </c>
      <c r="I9" s="10">
        <f>IF(B9="","",SUMIFS(Paydays!$H$6:$H$205,Paydays!$W$6:$W$205,"&gt;0"))</f>
        <v/>
      </c>
      <c r="J9" s="10">
        <f>IF(B9="","",SUMIFS(Spending!$D$6:$D$1005,Spending!$C$6:$C$1005,Envelopes!$B$9,Spending!$I$6:$I$1005,1))</f>
        <v/>
      </c>
      <c r="K9" s="10">
        <f>IF(B9="","",SUMIFS(Spending!$D$6:$D$1005,Spending!$F$6:$F$1005,Envelopes!$B$9,Spending!$J$6:$J$1005,1)-SUMIFS(Spending!$D$6:$D$1005,Spending!$C$6:$C$1005,Envelopes!$B$9,Spending!$J$6:$J$1005,1))</f>
        <v/>
      </c>
      <c r="L9" s="12">
        <f>IF(B9="","",N(H9)+I9-J9+K9)</f>
        <v/>
      </c>
      <c r="M9" s="28">
        <f>IF(B9="","",IF(L9&lt;0,"Overspent",IF(C9="Sinking fund",IF(AND(N(F9)&gt;0,L9&gt;=N(F9)),"Reached",IF(AND(ISNUMBER(G9),G9&lt;TODAY()),"Past its date","Saving")),IF(AND(N(D9)&gt;0,L9&lt;N(D9)*N(Settings!$C$7)),"Low","OK"))))</f>
        <v/>
      </c>
      <c r="N9" s="10">
        <f>IF(OR(B9="",C9&lt;&gt;"Sinking fund",N(F9)&lt;=0),"",IF(L9&gt;=N(F9),0,IF(OR(NOT(ISNUMBER(G9)),G9&lt;TODAY()),"",(N(F9)-L9)/MAX(1,INT((G9-TODAY())*Settings!$H$5/365)))))</f>
        <v/>
      </c>
      <c r="O9" s="1" t="n"/>
      <c r="P9">
        <f>IF(AND(B9&lt;&gt;"",C9="Sinking fund"),ROW(),"")</f>
        <v/>
      </c>
      <c r="Q9">
        <f>IF(B9="","",N(H9)+SUMIFS(Paydays!$H$6:$H$205,Paydays!$W$6:$W$205,"&gt;0",Paydays!$W$6:$W$205,"&lt;="&amp;INT(N(Cash!$C$4)))-SUMIFS(Spending!$D$6:$D$1005,Spending!$C$6:$C$1005,Envelopes!$B$9,Spending!$I$6:$I$1005,1,Spending!$H$6:$H$1005,"&lt;="&amp;INT(N(Cash!$C$4)))+SUMIFS(Spending!$D$6:$D$1005,Spending!$F$6:$F$1005,Envelopes!$B$9,Spending!$J$6:$J$1005,1,Spending!$H$6:$H$1005,"&lt;="&amp;INT(N(Cash!$C$4)))-SUMIFS(Spending!$D$6:$D$1005,Spending!$C$6:$C$1005,Envelopes!$B$9,Spending!$J$6:$J$1005,1,Spending!$H$6:$H$1005,"&lt;="&amp;INT(N(Cash!$C$4))))</f>
        <v/>
      </c>
    </row>
    <row r="10">
      <c r="A10" s="1" t="n"/>
      <c r="B10" s="23" t="inlineStr">
        <is>
          <t>Personal care</t>
        </is>
      </c>
      <c r="C10" s="26" t="inlineStr">
        <is>
          <t>Spending</t>
        </is>
      </c>
      <c r="D10" s="22" t="n">
        <v>25</v>
      </c>
      <c r="E10" s="27" t="n">
        <v>5</v>
      </c>
      <c r="F10" s="22" t="n"/>
      <c r="G10" s="21" t="n"/>
      <c r="H10" s="22" t="n">
        <v>0</v>
      </c>
      <c r="I10" s="10">
        <f>IF(B10="","",SUMIFS(Paydays!$I$6:$I$205,Paydays!$W$6:$W$205,"&gt;0"))</f>
        <v/>
      </c>
      <c r="J10" s="10">
        <f>IF(B10="","",SUMIFS(Spending!$D$6:$D$1005,Spending!$C$6:$C$1005,Envelopes!$B$10,Spending!$I$6:$I$1005,1))</f>
        <v/>
      </c>
      <c r="K10" s="10">
        <f>IF(B10="","",SUMIFS(Spending!$D$6:$D$1005,Spending!$F$6:$F$1005,Envelopes!$B$10,Spending!$J$6:$J$1005,1)-SUMIFS(Spending!$D$6:$D$1005,Spending!$C$6:$C$1005,Envelopes!$B$10,Spending!$J$6:$J$1005,1))</f>
        <v/>
      </c>
      <c r="L10" s="12">
        <f>IF(B10="","",N(H10)+I10-J10+K10)</f>
        <v/>
      </c>
      <c r="M10" s="28">
        <f>IF(B10="","",IF(L10&lt;0,"Overspent",IF(C10="Sinking fund",IF(AND(N(F10)&gt;0,L10&gt;=N(F10)),"Reached",IF(AND(ISNUMBER(G10),G10&lt;TODAY()),"Past its date","Saving")),IF(AND(N(D10)&gt;0,L10&lt;N(D10)*N(Settings!$C$7)),"Low","OK"))))</f>
        <v/>
      </c>
      <c r="N10" s="10">
        <f>IF(OR(B10="",C10&lt;&gt;"Sinking fund",N(F10)&lt;=0),"",IF(L10&gt;=N(F10),0,IF(OR(NOT(ISNUMBER(G10)),G10&lt;TODAY()),"",(N(F10)-L10)/MAX(1,INT((G10-TODAY())*Settings!$H$5/365)))))</f>
        <v/>
      </c>
      <c r="O10" s="1" t="n"/>
      <c r="P10">
        <f>IF(AND(B10&lt;&gt;"",C10="Sinking fund"),ROW(),"")</f>
        <v/>
      </c>
      <c r="Q10">
        <f>IF(B10="","",N(H10)+SUMIFS(Paydays!$I$6:$I$205,Paydays!$W$6:$W$205,"&gt;0",Paydays!$W$6:$W$205,"&lt;="&amp;INT(N(Cash!$C$4)))-SUMIFS(Spending!$D$6:$D$1005,Spending!$C$6:$C$1005,Envelopes!$B$10,Spending!$I$6:$I$1005,1,Spending!$H$6:$H$1005,"&lt;="&amp;INT(N(Cash!$C$4)))+SUMIFS(Spending!$D$6:$D$1005,Spending!$F$6:$F$1005,Envelopes!$B$10,Spending!$J$6:$J$1005,1,Spending!$H$6:$H$1005,"&lt;="&amp;INT(N(Cash!$C$4)))-SUMIFS(Spending!$D$6:$D$1005,Spending!$C$6:$C$1005,Envelopes!$B$10,Spending!$J$6:$J$1005,1,Spending!$H$6:$H$1005,"&lt;="&amp;INT(N(Cash!$C$4))))</f>
        <v/>
      </c>
    </row>
    <row r="11">
      <c r="A11" s="1" t="n"/>
      <c r="B11" s="23" t="inlineStr">
        <is>
          <t>Household</t>
        </is>
      </c>
      <c r="C11" s="26" t="inlineStr">
        <is>
          <t>Spending</t>
        </is>
      </c>
      <c r="D11" s="22" t="n">
        <v>30</v>
      </c>
      <c r="E11" s="27" t="n">
        <v>10</v>
      </c>
      <c r="F11" s="22" t="n"/>
      <c r="G11" s="21" t="n"/>
      <c r="H11" s="22" t="n">
        <v>5</v>
      </c>
      <c r="I11" s="10">
        <f>IF(B11="","",SUMIFS(Paydays!$J$6:$J$205,Paydays!$W$6:$W$205,"&gt;0"))</f>
        <v/>
      </c>
      <c r="J11" s="10">
        <f>IF(B11="","",SUMIFS(Spending!$D$6:$D$1005,Spending!$C$6:$C$1005,Envelopes!$B$11,Spending!$I$6:$I$1005,1))</f>
        <v/>
      </c>
      <c r="K11" s="10">
        <f>IF(B11="","",SUMIFS(Spending!$D$6:$D$1005,Spending!$F$6:$F$1005,Envelopes!$B$11,Spending!$J$6:$J$1005,1)-SUMIFS(Spending!$D$6:$D$1005,Spending!$C$6:$C$1005,Envelopes!$B$11,Spending!$J$6:$J$1005,1))</f>
        <v/>
      </c>
      <c r="L11" s="12">
        <f>IF(B11="","",N(H11)+I11-J11+K11)</f>
        <v/>
      </c>
      <c r="M11" s="28">
        <f>IF(B11="","",IF(L11&lt;0,"Overspent",IF(C11="Sinking fund",IF(AND(N(F11)&gt;0,L11&gt;=N(F11)),"Reached",IF(AND(ISNUMBER(G11),G11&lt;TODAY()),"Past its date","Saving")),IF(AND(N(D11)&gt;0,L11&lt;N(D11)*N(Settings!$C$7)),"Low","OK"))))</f>
        <v/>
      </c>
      <c r="N11" s="10">
        <f>IF(OR(B11="",C11&lt;&gt;"Sinking fund",N(F11)&lt;=0),"",IF(L11&gt;=N(F11),0,IF(OR(NOT(ISNUMBER(G11)),G11&lt;TODAY()),"",(N(F11)-L11)/MAX(1,INT((G11-TODAY())*Settings!$H$5/365)))))</f>
        <v/>
      </c>
      <c r="O11" s="1" t="n"/>
      <c r="P11">
        <f>IF(AND(B11&lt;&gt;"",C11="Sinking fund"),ROW(),"")</f>
        <v/>
      </c>
      <c r="Q11">
        <f>IF(B11="","",N(H11)+SUMIFS(Paydays!$J$6:$J$205,Paydays!$W$6:$W$205,"&gt;0",Paydays!$W$6:$W$205,"&lt;="&amp;INT(N(Cash!$C$4)))-SUMIFS(Spending!$D$6:$D$1005,Spending!$C$6:$C$1005,Envelopes!$B$11,Spending!$I$6:$I$1005,1,Spending!$H$6:$H$1005,"&lt;="&amp;INT(N(Cash!$C$4)))+SUMIFS(Spending!$D$6:$D$1005,Spending!$F$6:$F$1005,Envelopes!$B$11,Spending!$J$6:$J$1005,1,Spending!$H$6:$H$1005,"&lt;="&amp;INT(N(Cash!$C$4)))-SUMIFS(Spending!$D$6:$D$1005,Spending!$C$6:$C$1005,Envelopes!$B$11,Spending!$J$6:$J$1005,1,Spending!$H$6:$H$1005,"&lt;="&amp;INT(N(Cash!$C$4))))</f>
        <v/>
      </c>
    </row>
    <row r="12">
      <c r="A12" s="1" t="n"/>
      <c r="B12" s="23" t="inlineStr">
        <is>
          <t>Kids</t>
        </is>
      </c>
      <c r="C12" s="26" t="inlineStr">
        <is>
          <t>Spending</t>
        </is>
      </c>
      <c r="D12" s="22" t="n">
        <v>35</v>
      </c>
      <c r="E12" s="27" t="n">
        <v>10</v>
      </c>
      <c r="F12" s="22" t="n"/>
      <c r="G12" s="21" t="n"/>
      <c r="H12" s="22" t="n">
        <v>0</v>
      </c>
      <c r="I12" s="10">
        <f>IF(B12="","",SUMIFS(Paydays!$K$6:$K$205,Paydays!$W$6:$W$205,"&gt;0"))</f>
        <v/>
      </c>
      <c r="J12" s="10">
        <f>IF(B12="","",SUMIFS(Spending!$D$6:$D$1005,Spending!$C$6:$C$1005,Envelopes!$B$12,Spending!$I$6:$I$1005,1))</f>
        <v/>
      </c>
      <c r="K12" s="10">
        <f>IF(B12="","",SUMIFS(Spending!$D$6:$D$1005,Spending!$F$6:$F$1005,Envelopes!$B$12,Spending!$J$6:$J$1005,1)-SUMIFS(Spending!$D$6:$D$1005,Spending!$C$6:$C$1005,Envelopes!$B$12,Spending!$J$6:$J$1005,1))</f>
        <v/>
      </c>
      <c r="L12" s="12">
        <f>IF(B12="","",N(H12)+I12-J12+K12)</f>
        <v/>
      </c>
      <c r="M12" s="28">
        <f>IF(B12="","",IF(L12&lt;0,"Overspent",IF(C12="Sinking fund",IF(AND(N(F12)&gt;0,L12&gt;=N(F12)),"Reached",IF(AND(ISNUMBER(G12),G12&lt;TODAY()),"Past its date","Saving")),IF(AND(N(D12)&gt;0,L12&lt;N(D12)*N(Settings!$C$7)),"Low","OK"))))</f>
        <v/>
      </c>
      <c r="N12" s="10">
        <f>IF(OR(B12="",C12&lt;&gt;"Sinking fund",N(F12)&lt;=0),"",IF(L12&gt;=N(F12),0,IF(OR(NOT(ISNUMBER(G12)),G12&lt;TODAY()),"",(N(F12)-L12)/MAX(1,INT((G12-TODAY())*Settings!$H$5/365)))))</f>
        <v/>
      </c>
      <c r="O12" s="1" t="n"/>
      <c r="P12">
        <f>IF(AND(B12&lt;&gt;"",C12="Sinking fund"),ROW(),"")</f>
        <v/>
      </c>
      <c r="Q12">
        <f>IF(B12="","",N(H12)+SUMIFS(Paydays!$K$6:$K$205,Paydays!$W$6:$W$205,"&gt;0",Paydays!$W$6:$W$205,"&lt;="&amp;INT(N(Cash!$C$4)))-SUMIFS(Spending!$D$6:$D$1005,Spending!$C$6:$C$1005,Envelopes!$B$12,Spending!$I$6:$I$1005,1,Spending!$H$6:$H$1005,"&lt;="&amp;INT(N(Cash!$C$4)))+SUMIFS(Spending!$D$6:$D$1005,Spending!$F$6:$F$1005,Envelopes!$B$12,Spending!$J$6:$J$1005,1,Spending!$H$6:$H$1005,"&lt;="&amp;INT(N(Cash!$C$4)))-SUMIFS(Spending!$D$6:$D$1005,Spending!$C$6:$C$1005,Envelopes!$B$12,Spending!$J$6:$J$1005,1,Spending!$H$6:$H$1005,"&lt;="&amp;INT(N(Cash!$C$4))))</f>
        <v/>
      </c>
    </row>
    <row r="13">
      <c r="A13" s="1" t="n"/>
      <c r="B13" s="23" t="inlineStr">
        <is>
          <t>Christmas</t>
        </is>
      </c>
      <c r="C13" s="26" t="inlineStr">
        <is>
          <t>Sinking fund</t>
        </is>
      </c>
      <c r="D13" s="22" t="n">
        <v>25</v>
      </c>
      <c r="E13" s="27" t="n">
        <v>20</v>
      </c>
      <c r="F13" s="22" t="n">
        <v>600</v>
      </c>
      <c r="G13" s="21" t="n">
        <v>46371</v>
      </c>
      <c r="H13" s="22" t="n">
        <v>350</v>
      </c>
      <c r="I13" s="10">
        <f>IF(B13="","",SUMIFS(Paydays!$L$6:$L$205,Paydays!$W$6:$W$205,"&gt;0"))</f>
        <v/>
      </c>
      <c r="J13" s="10">
        <f>IF(B13="","",SUMIFS(Spending!$D$6:$D$1005,Spending!$C$6:$C$1005,Envelopes!$B$13,Spending!$I$6:$I$1005,1))</f>
        <v/>
      </c>
      <c r="K13" s="10">
        <f>IF(B13="","",SUMIFS(Spending!$D$6:$D$1005,Spending!$F$6:$F$1005,Envelopes!$B$13,Spending!$J$6:$J$1005,1)-SUMIFS(Spending!$D$6:$D$1005,Spending!$C$6:$C$1005,Envelopes!$B$13,Spending!$J$6:$J$1005,1))</f>
        <v/>
      </c>
      <c r="L13" s="12">
        <f>IF(B13="","",N(H13)+I13-J13+K13)</f>
        <v/>
      </c>
      <c r="M13" s="28">
        <f>IF(B13="","",IF(L13&lt;0,"Overspent",IF(C13="Sinking fund",IF(AND(N(F13)&gt;0,L13&gt;=N(F13)),"Reached",IF(AND(ISNUMBER(G13),G13&lt;TODAY()),"Past its date","Saving")),IF(AND(N(D13)&gt;0,L13&lt;N(D13)*N(Settings!$C$7)),"Low","OK"))))</f>
        <v/>
      </c>
      <c r="N13" s="10">
        <f>IF(OR(B13="",C13&lt;&gt;"Sinking fund",N(F13)&lt;=0),"",IF(L13&gt;=N(F13),0,IF(OR(NOT(ISNUMBER(G13)),G13&lt;TODAY()),"",(N(F13)-L13)/MAX(1,INT((G13-TODAY())*Settings!$H$5/365)))))</f>
        <v/>
      </c>
      <c r="O13" s="1" t="n"/>
      <c r="P13">
        <f>IF(AND(B13&lt;&gt;"",C13="Sinking fund"),ROW(),"")</f>
        <v/>
      </c>
      <c r="Q13">
        <f>IF(B13="","",N(H13)+SUMIFS(Paydays!$L$6:$L$205,Paydays!$W$6:$W$205,"&gt;0",Paydays!$W$6:$W$205,"&lt;="&amp;INT(N(Cash!$C$4)))-SUMIFS(Spending!$D$6:$D$1005,Spending!$C$6:$C$1005,Envelopes!$B$13,Spending!$I$6:$I$1005,1,Spending!$H$6:$H$1005,"&lt;="&amp;INT(N(Cash!$C$4)))+SUMIFS(Spending!$D$6:$D$1005,Spending!$F$6:$F$1005,Envelopes!$B$13,Spending!$J$6:$J$1005,1,Spending!$H$6:$H$1005,"&lt;="&amp;INT(N(Cash!$C$4)))-SUMIFS(Spending!$D$6:$D$1005,Spending!$C$6:$C$1005,Envelopes!$B$13,Spending!$J$6:$J$1005,1,Spending!$H$6:$H$1005,"&lt;="&amp;INT(N(Cash!$C$4))))</f>
        <v/>
      </c>
    </row>
    <row r="14">
      <c r="A14" s="1" t="n"/>
      <c r="B14" s="23" t="inlineStr">
        <is>
          <t>Car repairs</t>
        </is>
      </c>
      <c r="C14" s="26" t="inlineStr">
        <is>
          <t>Sinking fund</t>
        </is>
      </c>
      <c r="D14" s="22" t="n">
        <v>20</v>
      </c>
      <c r="E14" s="27" t="n">
        <v>20</v>
      </c>
      <c r="F14" s="22" t="n">
        <v>500</v>
      </c>
      <c r="G14" s="21" t="n"/>
      <c r="H14" s="22" t="n">
        <v>120</v>
      </c>
      <c r="I14" s="10">
        <f>IF(B14="","",SUMIFS(Paydays!$M$6:$M$205,Paydays!$W$6:$W$205,"&gt;0"))</f>
        <v/>
      </c>
      <c r="J14" s="10">
        <f>IF(B14="","",SUMIFS(Spending!$D$6:$D$1005,Spending!$C$6:$C$1005,Envelopes!$B$14,Spending!$I$6:$I$1005,1))</f>
        <v/>
      </c>
      <c r="K14" s="10">
        <f>IF(B14="","",SUMIFS(Spending!$D$6:$D$1005,Spending!$F$6:$F$1005,Envelopes!$B$14,Spending!$J$6:$J$1005,1)-SUMIFS(Spending!$D$6:$D$1005,Spending!$C$6:$C$1005,Envelopes!$B$14,Spending!$J$6:$J$1005,1))</f>
        <v/>
      </c>
      <c r="L14" s="12">
        <f>IF(B14="","",N(H14)+I14-J14+K14)</f>
        <v/>
      </c>
      <c r="M14" s="28">
        <f>IF(B14="","",IF(L14&lt;0,"Overspent",IF(C14="Sinking fund",IF(AND(N(F14)&gt;0,L14&gt;=N(F14)),"Reached",IF(AND(ISNUMBER(G14),G14&lt;TODAY()),"Past its date","Saving")),IF(AND(N(D14)&gt;0,L14&lt;N(D14)*N(Settings!$C$7)),"Low","OK"))))</f>
        <v/>
      </c>
      <c r="N14" s="10">
        <f>IF(OR(B14="",C14&lt;&gt;"Sinking fund",N(F14)&lt;=0),"",IF(L14&gt;=N(F14),0,IF(OR(NOT(ISNUMBER(G14)),G14&lt;TODAY()),"",(N(F14)-L14)/MAX(1,INT((G14-TODAY())*Settings!$H$5/365)))))</f>
        <v/>
      </c>
      <c r="O14" s="1" t="n"/>
      <c r="P14">
        <f>IF(AND(B14&lt;&gt;"",C14="Sinking fund"),ROW(),"")</f>
        <v/>
      </c>
      <c r="Q14">
        <f>IF(B14="","",N(H14)+SUMIFS(Paydays!$M$6:$M$205,Paydays!$W$6:$W$205,"&gt;0",Paydays!$W$6:$W$205,"&lt;="&amp;INT(N(Cash!$C$4)))-SUMIFS(Spending!$D$6:$D$1005,Spending!$C$6:$C$1005,Envelopes!$B$14,Spending!$I$6:$I$1005,1,Spending!$H$6:$H$1005,"&lt;="&amp;INT(N(Cash!$C$4)))+SUMIFS(Spending!$D$6:$D$1005,Spending!$F$6:$F$1005,Envelopes!$B$14,Spending!$J$6:$J$1005,1,Spending!$H$6:$H$1005,"&lt;="&amp;INT(N(Cash!$C$4)))-SUMIFS(Spending!$D$6:$D$1005,Spending!$C$6:$C$1005,Envelopes!$B$14,Spending!$J$6:$J$1005,1,Spending!$H$6:$H$1005,"&lt;="&amp;INT(N(Cash!$C$4))))</f>
        <v/>
      </c>
    </row>
    <row r="15">
      <c r="A15" s="1" t="n"/>
      <c r="B15" s="23" t="inlineStr">
        <is>
          <t>Vacation</t>
        </is>
      </c>
      <c r="C15" s="26" t="inlineStr">
        <is>
          <t>Sinking fund</t>
        </is>
      </c>
      <c r="D15" s="22" t="n">
        <v>40</v>
      </c>
      <c r="E15" s="27" t="n">
        <v>50</v>
      </c>
      <c r="F15" s="22" t="n">
        <v>1200</v>
      </c>
      <c r="G15" s="21" t="n">
        <v>46569</v>
      </c>
      <c r="H15" s="22" t="n">
        <v>0</v>
      </c>
      <c r="I15" s="10">
        <f>IF(B15="","",SUMIFS(Paydays!$N$6:$N$205,Paydays!$W$6:$W$205,"&gt;0"))</f>
        <v/>
      </c>
      <c r="J15" s="10">
        <f>IF(B15="","",SUMIFS(Spending!$D$6:$D$1005,Spending!$C$6:$C$1005,Envelopes!$B$15,Spending!$I$6:$I$1005,1))</f>
        <v/>
      </c>
      <c r="K15" s="10">
        <f>IF(B15="","",SUMIFS(Spending!$D$6:$D$1005,Spending!$F$6:$F$1005,Envelopes!$B$15,Spending!$J$6:$J$1005,1)-SUMIFS(Spending!$D$6:$D$1005,Spending!$C$6:$C$1005,Envelopes!$B$15,Spending!$J$6:$J$1005,1))</f>
        <v/>
      </c>
      <c r="L15" s="12">
        <f>IF(B15="","",N(H15)+I15-J15+K15)</f>
        <v/>
      </c>
      <c r="M15" s="28">
        <f>IF(B15="","",IF(L15&lt;0,"Overspent",IF(C15="Sinking fund",IF(AND(N(F15)&gt;0,L15&gt;=N(F15)),"Reached",IF(AND(ISNUMBER(G15),G15&lt;TODAY()),"Past its date","Saving")),IF(AND(N(D15)&gt;0,L15&lt;N(D15)*N(Settings!$C$7)),"Low","OK"))))</f>
        <v/>
      </c>
      <c r="N15" s="10">
        <f>IF(OR(B15="",C15&lt;&gt;"Sinking fund",N(F15)&lt;=0),"",IF(L15&gt;=N(F15),0,IF(OR(NOT(ISNUMBER(G15)),G15&lt;TODAY()),"",(N(F15)-L15)/MAX(1,INT((G15-TODAY())*Settings!$H$5/365)))))</f>
        <v/>
      </c>
      <c r="O15" s="1" t="n"/>
      <c r="P15">
        <f>IF(AND(B15&lt;&gt;"",C15="Sinking fund"),ROW(),"")</f>
        <v/>
      </c>
      <c r="Q15">
        <f>IF(B15="","",N(H15)+SUMIFS(Paydays!$N$6:$N$205,Paydays!$W$6:$W$205,"&gt;0",Paydays!$W$6:$W$205,"&lt;="&amp;INT(N(Cash!$C$4)))-SUMIFS(Spending!$D$6:$D$1005,Spending!$C$6:$C$1005,Envelopes!$B$15,Spending!$I$6:$I$1005,1,Spending!$H$6:$H$1005,"&lt;="&amp;INT(N(Cash!$C$4)))+SUMIFS(Spending!$D$6:$D$1005,Spending!$F$6:$F$1005,Envelopes!$B$15,Spending!$J$6:$J$1005,1,Spending!$H$6:$H$1005,"&lt;="&amp;INT(N(Cash!$C$4)))-SUMIFS(Spending!$D$6:$D$1005,Spending!$C$6:$C$1005,Envelopes!$B$15,Spending!$J$6:$J$1005,1,Spending!$H$6:$H$1005,"&lt;="&amp;INT(N(Cash!$C$4))))</f>
        <v/>
      </c>
    </row>
    <row r="16">
      <c r="A16" s="1" t="n"/>
      <c r="B16" s="23" t="inlineStr">
        <is>
          <t>Birthdays</t>
        </is>
      </c>
      <c r="C16" s="26" t="inlineStr">
        <is>
          <t>Sinking fund</t>
        </is>
      </c>
      <c r="D16" s="22" t="n">
        <v>15</v>
      </c>
      <c r="E16" s="27" t="n">
        <v>10</v>
      </c>
      <c r="F16" s="22" t="n">
        <v>300</v>
      </c>
      <c r="G16" s="21" t="n"/>
      <c r="H16" s="22" t="n">
        <v>40</v>
      </c>
      <c r="I16" s="10">
        <f>IF(B16="","",SUMIFS(Paydays!$O$6:$O$205,Paydays!$W$6:$W$205,"&gt;0"))</f>
        <v/>
      </c>
      <c r="J16" s="10">
        <f>IF(B16="","",SUMIFS(Spending!$D$6:$D$1005,Spending!$C$6:$C$1005,Envelopes!$B$16,Spending!$I$6:$I$1005,1))</f>
        <v/>
      </c>
      <c r="K16" s="10">
        <f>IF(B16="","",SUMIFS(Spending!$D$6:$D$1005,Spending!$F$6:$F$1005,Envelopes!$B$16,Spending!$J$6:$J$1005,1)-SUMIFS(Spending!$D$6:$D$1005,Spending!$C$6:$C$1005,Envelopes!$B$16,Spending!$J$6:$J$1005,1))</f>
        <v/>
      </c>
      <c r="L16" s="12">
        <f>IF(B16="","",N(H16)+I16-J16+K16)</f>
        <v/>
      </c>
      <c r="M16" s="28">
        <f>IF(B16="","",IF(L16&lt;0,"Overspent",IF(C16="Sinking fund",IF(AND(N(F16)&gt;0,L16&gt;=N(F16)),"Reached",IF(AND(ISNUMBER(G16),G16&lt;TODAY()),"Past its date","Saving")),IF(AND(N(D16)&gt;0,L16&lt;N(D16)*N(Settings!$C$7)),"Low","OK"))))</f>
        <v/>
      </c>
      <c r="N16" s="10">
        <f>IF(OR(B16="",C16&lt;&gt;"Sinking fund",N(F16)&lt;=0),"",IF(L16&gt;=N(F16),0,IF(OR(NOT(ISNUMBER(G16)),G16&lt;TODAY()),"",(N(F16)-L16)/MAX(1,INT((G16-TODAY())*Settings!$H$5/365)))))</f>
        <v/>
      </c>
      <c r="O16" s="1" t="n"/>
      <c r="P16">
        <f>IF(AND(B16&lt;&gt;"",C16="Sinking fund"),ROW(),"")</f>
        <v/>
      </c>
      <c r="Q16">
        <f>IF(B16="","",N(H16)+SUMIFS(Paydays!$O$6:$O$205,Paydays!$W$6:$W$205,"&gt;0",Paydays!$W$6:$W$205,"&lt;="&amp;INT(N(Cash!$C$4)))-SUMIFS(Spending!$D$6:$D$1005,Spending!$C$6:$C$1005,Envelopes!$B$16,Spending!$I$6:$I$1005,1,Spending!$H$6:$H$1005,"&lt;="&amp;INT(N(Cash!$C$4)))+SUMIFS(Spending!$D$6:$D$1005,Spending!$F$6:$F$1005,Envelopes!$B$16,Spending!$J$6:$J$1005,1,Spending!$H$6:$H$1005,"&lt;="&amp;INT(N(Cash!$C$4)))-SUMIFS(Spending!$D$6:$D$1005,Spending!$C$6:$C$1005,Envelopes!$B$16,Spending!$J$6:$J$1005,1,Spending!$H$6:$H$1005,"&lt;="&amp;INT(N(Cash!$C$4))))</f>
        <v/>
      </c>
    </row>
    <row r="17">
      <c r="A17" s="1" t="n"/>
      <c r="B17" s="23" t="inlineStr">
        <is>
          <t>Emergency fund</t>
        </is>
      </c>
      <c r="C17" s="26" t="inlineStr">
        <is>
          <t>Sinking fund</t>
        </is>
      </c>
      <c r="D17" s="22" t="n">
        <v>50</v>
      </c>
      <c r="E17" s="27" t="n">
        <v>100</v>
      </c>
      <c r="F17" s="22" t="n">
        <v>1500</v>
      </c>
      <c r="G17" s="21" t="n"/>
      <c r="H17" s="22" t="n">
        <v>200</v>
      </c>
      <c r="I17" s="10">
        <f>IF(B17="","",SUMIFS(Paydays!$P$6:$P$205,Paydays!$W$6:$W$205,"&gt;0"))</f>
        <v/>
      </c>
      <c r="J17" s="10">
        <f>IF(B17="","",SUMIFS(Spending!$D$6:$D$1005,Spending!$C$6:$C$1005,Envelopes!$B$17,Spending!$I$6:$I$1005,1))</f>
        <v/>
      </c>
      <c r="K17" s="10">
        <f>IF(B17="","",SUMIFS(Spending!$D$6:$D$1005,Spending!$F$6:$F$1005,Envelopes!$B$17,Spending!$J$6:$J$1005,1)-SUMIFS(Spending!$D$6:$D$1005,Spending!$C$6:$C$1005,Envelopes!$B$17,Spending!$J$6:$J$1005,1))</f>
        <v/>
      </c>
      <c r="L17" s="12">
        <f>IF(B17="","",N(H17)+I17-J17+K17)</f>
        <v/>
      </c>
      <c r="M17" s="28">
        <f>IF(B17="","",IF(L17&lt;0,"Overspent",IF(C17="Sinking fund",IF(AND(N(F17)&gt;0,L17&gt;=N(F17)),"Reached",IF(AND(ISNUMBER(G17),G17&lt;TODAY()),"Past its date","Saving")),IF(AND(N(D17)&gt;0,L17&lt;N(D17)*N(Settings!$C$7)),"Low","OK"))))</f>
        <v/>
      </c>
      <c r="N17" s="10">
        <f>IF(OR(B17="",C17&lt;&gt;"Sinking fund",N(F17)&lt;=0),"",IF(L17&gt;=N(F17),0,IF(OR(NOT(ISNUMBER(G17)),G17&lt;TODAY()),"",(N(F17)-L17)/MAX(1,INT((G17-TODAY())*Settings!$H$5/365)))))</f>
        <v/>
      </c>
      <c r="O17" s="1" t="n"/>
      <c r="P17">
        <f>IF(AND(B17&lt;&gt;"",C17="Sinking fund"),ROW(),"")</f>
        <v/>
      </c>
      <c r="Q17">
        <f>IF(B17="","",N(H17)+SUMIFS(Paydays!$P$6:$P$205,Paydays!$W$6:$W$205,"&gt;0",Paydays!$W$6:$W$205,"&lt;="&amp;INT(N(Cash!$C$4)))-SUMIFS(Spending!$D$6:$D$1005,Spending!$C$6:$C$1005,Envelopes!$B$17,Spending!$I$6:$I$1005,1,Spending!$H$6:$H$1005,"&lt;="&amp;INT(N(Cash!$C$4)))+SUMIFS(Spending!$D$6:$D$1005,Spending!$F$6:$F$1005,Envelopes!$B$17,Spending!$J$6:$J$1005,1,Spending!$H$6:$H$1005,"&lt;="&amp;INT(N(Cash!$C$4)))-SUMIFS(Spending!$D$6:$D$1005,Spending!$C$6:$C$1005,Envelopes!$B$17,Spending!$J$6:$J$1005,1,Spending!$H$6:$H$1005,"&lt;="&amp;INT(N(Cash!$C$4))))</f>
        <v/>
      </c>
    </row>
    <row r="18">
      <c r="A18" s="1" t="n"/>
      <c r="B18" s="23" t="n"/>
      <c r="C18" s="26" t="n"/>
      <c r="D18" s="22" t="n"/>
      <c r="E18" s="27" t="n"/>
      <c r="F18" s="22" t="n"/>
      <c r="G18" s="21" t="n"/>
      <c r="H18" s="22" t="n"/>
      <c r="I18" s="10">
        <f>IF(B18="","",SUMIFS(Paydays!$Q$6:$Q$205,Paydays!$W$6:$W$205,"&gt;0"))</f>
        <v/>
      </c>
      <c r="J18" s="10">
        <f>IF(B18="","",SUMIFS(Spending!$D$6:$D$1005,Spending!$C$6:$C$1005,Envelopes!$B$18,Spending!$I$6:$I$1005,1))</f>
        <v/>
      </c>
      <c r="K18" s="10">
        <f>IF(B18="","",SUMIFS(Spending!$D$6:$D$1005,Spending!$F$6:$F$1005,Envelopes!$B$18,Spending!$J$6:$J$1005,1)-SUMIFS(Spending!$D$6:$D$1005,Spending!$C$6:$C$1005,Envelopes!$B$18,Spending!$J$6:$J$1005,1))</f>
        <v/>
      </c>
      <c r="L18" s="12">
        <f>IF(B18="","",N(H18)+I18-J18+K18)</f>
        <v/>
      </c>
      <c r="M18" s="28">
        <f>IF(B18="","",IF(L18&lt;0,"Overspent",IF(C18="Sinking fund",IF(AND(N(F18)&gt;0,L18&gt;=N(F18)),"Reached",IF(AND(ISNUMBER(G18),G18&lt;TODAY()),"Past its date","Saving")),IF(AND(N(D18)&gt;0,L18&lt;N(D18)*N(Settings!$C$7)),"Low","OK"))))</f>
        <v/>
      </c>
      <c r="N18" s="10">
        <f>IF(OR(B18="",C18&lt;&gt;"Sinking fund",N(F18)&lt;=0),"",IF(L18&gt;=N(F18),0,IF(OR(NOT(ISNUMBER(G18)),G18&lt;TODAY()),"",(N(F18)-L18)/MAX(1,INT((G18-TODAY())*Settings!$H$5/365)))))</f>
        <v/>
      </c>
      <c r="O18" s="1" t="n"/>
      <c r="P18">
        <f>IF(AND(B18&lt;&gt;"",C18="Sinking fund"),ROW(),"")</f>
        <v/>
      </c>
      <c r="Q18">
        <f>IF(B18="","",N(H18)+SUMIFS(Paydays!$Q$6:$Q$205,Paydays!$W$6:$W$205,"&gt;0",Paydays!$W$6:$W$205,"&lt;="&amp;INT(N(Cash!$C$4)))-SUMIFS(Spending!$D$6:$D$1005,Spending!$C$6:$C$1005,Envelopes!$B$18,Spending!$I$6:$I$1005,1,Spending!$H$6:$H$1005,"&lt;="&amp;INT(N(Cash!$C$4)))+SUMIFS(Spending!$D$6:$D$1005,Spending!$F$6:$F$1005,Envelopes!$B$18,Spending!$J$6:$J$1005,1,Spending!$H$6:$H$1005,"&lt;="&amp;INT(N(Cash!$C$4)))-SUMIFS(Spending!$D$6:$D$1005,Spending!$C$6:$C$1005,Envelopes!$B$18,Spending!$J$6:$J$1005,1,Spending!$H$6:$H$1005,"&lt;="&amp;INT(N(Cash!$C$4))))</f>
        <v/>
      </c>
    </row>
    <row r="19">
      <c r="A19" s="1" t="n"/>
      <c r="B19" s="23" t="n"/>
      <c r="C19" s="26" t="n"/>
      <c r="D19" s="22" t="n"/>
      <c r="E19" s="27" t="n"/>
      <c r="F19" s="22" t="n"/>
      <c r="G19" s="21" t="n"/>
      <c r="H19" s="22" t="n"/>
      <c r="I19" s="10">
        <f>IF(B19="","",SUMIFS(Paydays!$R$6:$R$205,Paydays!$W$6:$W$205,"&gt;0"))</f>
        <v/>
      </c>
      <c r="J19" s="10">
        <f>IF(B19="","",SUMIFS(Spending!$D$6:$D$1005,Spending!$C$6:$C$1005,Envelopes!$B$19,Spending!$I$6:$I$1005,1))</f>
        <v/>
      </c>
      <c r="K19" s="10">
        <f>IF(B19="","",SUMIFS(Spending!$D$6:$D$1005,Spending!$F$6:$F$1005,Envelopes!$B$19,Spending!$J$6:$J$1005,1)-SUMIFS(Spending!$D$6:$D$1005,Spending!$C$6:$C$1005,Envelopes!$B$19,Spending!$J$6:$J$1005,1))</f>
        <v/>
      </c>
      <c r="L19" s="12">
        <f>IF(B19="","",N(H19)+I19-J19+K19)</f>
        <v/>
      </c>
      <c r="M19" s="28">
        <f>IF(B19="","",IF(L19&lt;0,"Overspent",IF(C19="Sinking fund",IF(AND(N(F19)&gt;0,L19&gt;=N(F19)),"Reached",IF(AND(ISNUMBER(G19),G19&lt;TODAY()),"Past its date","Saving")),IF(AND(N(D19)&gt;0,L19&lt;N(D19)*N(Settings!$C$7)),"Low","OK"))))</f>
        <v/>
      </c>
      <c r="N19" s="10">
        <f>IF(OR(B19="",C19&lt;&gt;"Sinking fund",N(F19)&lt;=0),"",IF(L19&gt;=N(F19),0,IF(OR(NOT(ISNUMBER(G19)),G19&lt;TODAY()),"",(N(F19)-L19)/MAX(1,INT((G19-TODAY())*Settings!$H$5/365)))))</f>
        <v/>
      </c>
      <c r="O19" s="1" t="n"/>
      <c r="P19">
        <f>IF(AND(B19&lt;&gt;"",C19="Sinking fund"),ROW(),"")</f>
        <v/>
      </c>
      <c r="Q19">
        <f>IF(B19="","",N(H19)+SUMIFS(Paydays!$R$6:$R$205,Paydays!$W$6:$W$205,"&gt;0",Paydays!$W$6:$W$205,"&lt;="&amp;INT(N(Cash!$C$4)))-SUMIFS(Spending!$D$6:$D$1005,Spending!$C$6:$C$1005,Envelopes!$B$19,Spending!$I$6:$I$1005,1,Spending!$H$6:$H$1005,"&lt;="&amp;INT(N(Cash!$C$4)))+SUMIFS(Spending!$D$6:$D$1005,Spending!$F$6:$F$1005,Envelopes!$B$19,Spending!$J$6:$J$1005,1,Spending!$H$6:$H$1005,"&lt;="&amp;INT(N(Cash!$C$4)))-SUMIFS(Spending!$D$6:$D$1005,Spending!$C$6:$C$1005,Envelopes!$B$19,Spending!$J$6:$J$1005,1,Spending!$H$6:$H$1005,"&lt;="&amp;INT(N(Cash!$C$4))))</f>
        <v/>
      </c>
    </row>
    <row r="20">
      <c r="A20" s="1" t="n"/>
      <c r="B20" s="23" t="n"/>
      <c r="C20" s="26" t="n"/>
      <c r="D20" s="22" t="n"/>
      <c r="E20" s="27" t="n"/>
      <c r="F20" s="22" t="n"/>
      <c r="G20" s="21" t="n"/>
      <c r="H20" s="22" t="n"/>
      <c r="I20" s="10">
        <f>IF(B20="","",SUMIFS(Paydays!$S$6:$S$205,Paydays!$W$6:$W$205,"&gt;0"))</f>
        <v/>
      </c>
      <c r="J20" s="10">
        <f>IF(B20="","",SUMIFS(Spending!$D$6:$D$1005,Spending!$C$6:$C$1005,Envelopes!$B$20,Spending!$I$6:$I$1005,1))</f>
        <v/>
      </c>
      <c r="K20" s="10">
        <f>IF(B20="","",SUMIFS(Spending!$D$6:$D$1005,Spending!$F$6:$F$1005,Envelopes!$B$20,Spending!$J$6:$J$1005,1)-SUMIFS(Spending!$D$6:$D$1005,Spending!$C$6:$C$1005,Envelopes!$B$20,Spending!$J$6:$J$1005,1))</f>
        <v/>
      </c>
      <c r="L20" s="12">
        <f>IF(B20="","",N(H20)+I20-J20+K20)</f>
        <v/>
      </c>
      <c r="M20" s="28">
        <f>IF(B20="","",IF(L20&lt;0,"Overspent",IF(C20="Sinking fund",IF(AND(N(F20)&gt;0,L20&gt;=N(F20)),"Reached",IF(AND(ISNUMBER(G20),G20&lt;TODAY()),"Past its date","Saving")),IF(AND(N(D20)&gt;0,L20&lt;N(D20)*N(Settings!$C$7)),"Low","OK"))))</f>
        <v/>
      </c>
      <c r="N20" s="10">
        <f>IF(OR(B20="",C20&lt;&gt;"Sinking fund",N(F20)&lt;=0),"",IF(L20&gt;=N(F20),0,IF(OR(NOT(ISNUMBER(G20)),G20&lt;TODAY()),"",(N(F20)-L20)/MAX(1,INT((G20-TODAY())*Settings!$H$5/365)))))</f>
        <v/>
      </c>
      <c r="O20" s="1" t="n"/>
      <c r="P20">
        <f>IF(AND(B20&lt;&gt;"",C20="Sinking fund"),ROW(),"")</f>
        <v/>
      </c>
      <c r="Q20">
        <f>IF(B20="","",N(H20)+SUMIFS(Paydays!$S$6:$S$205,Paydays!$W$6:$W$205,"&gt;0",Paydays!$W$6:$W$205,"&lt;="&amp;INT(N(Cash!$C$4)))-SUMIFS(Spending!$D$6:$D$1005,Spending!$C$6:$C$1005,Envelopes!$B$20,Spending!$I$6:$I$1005,1,Spending!$H$6:$H$1005,"&lt;="&amp;INT(N(Cash!$C$4)))+SUMIFS(Spending!$D$6:$D$1005,Spending!$F$6:$F$1005,Envelopes!$B$20,Spending!$J$6:$J$1005,1,Spending!$H$6:$H$1005,"&lt;="&amp;INT(N(Cash!$C$4)))-SUMIFS(Spending!$D$6:$D$1005,Spending!$C$6:$C$1005,Envelopes!$B$20,Spending!$J$6:$J$1005,1,Spending!$H$6:$H$1005,"&lt;="&amp;INT(N(Cash!$C$4))))</f>
        <v/>
      </c>
    </row>
    <row r="21">
      <c r="A21" s="1" t="n"/>
      <c r="B21" s="23" t="n"/>
      <c r="C21" s="26" t="n"/>
      <c r="D21" s="22" t="n"/>
      <c r="E21" s="27" t="n"/>
      <c r="F21" s="22" t="n"/>
      <c r="G21" s="21" t="n"/>
      <c r="H21" s="22" t="n"/>
      <c r="I21" s="10">
        <f>IF(B21="","",SUMIFS(Paydays!$T$6:$T$205,Paydays!$W$6:$W$205,"&gt;0"))</f>
        <v/>
      </c>
      <c r="J21" s="10">
        <f>IF(B21="","",SUMIFS(Spending!$D$6:$D$1005,Spending!$C$6:$C$1005,Envelopes!$B$21,Spending!$I$6:$I$1005,1))</f>
        <v/>
      </c>
      <c r="K21" s="10">
        <f>IF(B21="","",SUMIFS(Spending!$D$6:$D$1005,Spending!$F$6:$F$1005,Envelopes!$B$21,Spending!$J$6:$J$1005,1)-SUMIFS(Spending!$D$6:$D$1005,Spending!$C$6:$C$1005,Envelopes!$B$21,Spending!$J$6:$J$1005,1))</f>
        <v/>
      </c>
      <c r="L21" s="12">
        <f>IF(B21="","",N(H21)+I21-J21+K21)</f>
        <v/>
      </c>
      <c r="M21" s="28">
        <f>IF(B21="","",IF(L21&lt;0,"Overspent",IF(C21="Sinking fund",IF(AND(N(F21)&gt;0,L21&gt;=N(F21)),"Reached",IF(AND(ISNUMBER(G21),G21&lt;TODAY()),"Past its date","Saving")),IF(AND(N(D21)&gt;0,L21&lt;N(D21)*N(Settings!$C$7)),"Low","OK"))))</f>
        <v/>
      </c>
      <c r="N21" s="10">
        <f>IF(OR(B21="",C21&lt;&gt;"Sinking fund",N(F21)&lt;=0),"",IF(L21&gt;=N(F21),0,IF(OR(NOT(ISNUMBER(G21)),G21&lt;TODAY()),"",(N(F21)-L21)/MAX(1,INT((G21-TODAY())*Settings!$H$5/365)))))</f>
        <v/>
      </c>
      <c r="O21" s="1" t="n"/>
      <c r="P21">
        <f>IF(AND(B21&lt;&gt;"",C21="Sinking fund"),ROW(),"")</f>
        <v/>
      </c>
      <c r="Q21">
        <f>IF(B21="","",N(H21)+SUMIFS(Paydays!$T$6:$T$205,Paydays!$W$6:$W$205,"&gt;0",Paydays!$W$6:$W$205,"&lt;="&amp;INT(N(Cash!$C$4)))-SUMIFS(Spending!$D$6:$D$1005,Spending!$C$6:$C$1005,Envelopes!$B$21,Spending!$I$6:$I$1005,1,Spending!$H$6:$H$1005,"&lt;="&amp;INT(N(Cash!$C$4)))+SUMIFS(Spending!$D$6:$D$1005,Spending!$F$6:$F$1005,Envelopes!$B$21,Spending!$J$6:$J$1005,1,Spending!$H$6:$H$1005,"&lt;="&amp;INT(N(Cash!$C$4)))-SUMIFS(Spending!$D$6:$D$1005,Spending!$C$6:$C$1005,Envelopes!$B$21,Spending!$J$6:$J$1005,1,Spending!$H$6:$H$1005,"&lt;="&amp;INT(N(Cash!$C$4))))</f>
        <v/>
      </c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</sheetData>
  <conditionalFormatting sqref="M6:M21">
    <cfRule type="expression" priority="1" dxfId="1">
      <formula>M6="Low"</formula>
    </cfRule>
    <cfRule type="expression" priority="2" dxfId="0">
      <formula>M6="Overspent"</formula>
    </cfRule>
    <cfRule type="expression" priority="3" dxfId="2">
      <formula>M6="Reached"</formula>
    </cfRule>
  </conditionalFormatting>
  <dataValidations count="2">
    <dataValidation sqref="C6:C21" showDropDown="0" showInputMessage="0" showErrorMessage="1" allowBlank="1" type="list">
      <formula1>"Spending,Sinking fund"</formula1>
    </dataValidation>
    <dataValidation sqref="E6:E21" showDropDown="0" showInputMessage="0" showErrorMessage="0" allowBlank="1" type="list">
      <formula1>=Settings!$C$11:$C$18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2" customHeight="1">
      <c r="A2" s="1" t="n"/>
      <c r="B2" s="2" t="inlineStr">
        <is>
          <t>Cash to take out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The notes to ask for at the bank, and how to split them between the envelopes.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29" t="inlineStr">
        <is>
          <t>Payday</t>
        </is>
      </c>
      <c r="C4" s="30">
        <f>MAX(Paydays!$B$6:$B$205)</f>
        <v/>
      </c>
      <c r="D4" s="1" t="n"/>
      <c r="E4" s="31">
        <f>IF(N4=0,"No payday on this date. Type one from the Paydays tab.","")</f>
        <v/>
      </c>
      <c r="F4" s="1" t="n"/>
      <c r="G4" s="1" t="n"/>
      <c r="H4" s="1" t="n"/>
      <c r="I4" s="1" t="n"/>
      <c r="J4" s="1" t="n"/>
      <c r="K4" s="1" t="n"/>
      <c r="L4" s="1" t="n"/>
      <c r="M4" s="1" t="n"/>
      <c r="N4" s="1">
        <f>IF(N(C4)&lt;=0,0,IFERROR(MATCH(INT(N(C4)),Paydays!$W$6:$W$205,0),0))</f>
        <v/>
      </c>
    </row>
    <row r="5">
      <c r="A5" s="1" t="n"/>
      <c r="B5" s="29" t="inlineStr">
        <is>
          <t>Take out</t>
        </is>
      </c>
      <c r="C5" s="32">
        <f>SUM(C9:C24)</f>
        <v/>
      </c>
      <c r="D5" s="33">
        <f>IF(Settings!$C$4="","",Settings!$C$4)</f>
        <v/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idden="1">
      <c r="A7" s="1" t="n"/>
      <c r="B7" s="1" t="n"/>
      <c r="C7" s="1" t="n"/>
      <c r="D7" s="1" t="n"/>
      <c r="E7" s="1">
        <f>IFERROR(LARGE(Settings!$C$11:$C$18,1),0)</f>
        <v/>
      </c>
      <c r="F7" s="1">
        <f>IFERROR(LARGE(Settings!$C$11:$C$18,2),0)</f>
        <v/>
      </c>
      <c r="G7" s="1">
        <f>IFERROR(LARGE(Settings!$C$11:$C$18,3),0)</f>
        <v/>
      </c>
      <c r="H7" s="1">
        <f>IFERROR(LARGE(Settings!$C$11:$C$18,4),0)</f>
        <v/>
      </c>
      <c r="I7" s="1">
        <f>IFERROR(LARGE(Settings!$C$11:$C$18,5),0)</f>
        <v/>
      </c>
      <c r="J7" s="1">
        <f>IFERROR(LARGE(Settings!$C$11:$C$18,6),0)</f>
        <v/>
      </c>
      <c r="K7" s="1">
        <f>IFERROR(LARGE(Settings!$C$11:$C$18,7),0)</f>
        <v/>
      </c>
      <c r="L7" s="1">
        <f>IFERROR(LARGE(Settings!$C$11:$C$18,8),0)</f>
        <v/>
      </c>
      <c r="M7" s="1" t="n"/>
      <c r="N7" s="1" t="n"/>
    </row>
    <row r="8" ht="30" customHeight="1">
      <c r="A8" s="1" t="n"/>
      <c r="B8" s="8" t="inlineStr">
        <is>
          <t>Envelope</t>
        </is>
      </c>
      <c r="C8" s="8" t="inlineStr">
        <is>
          <t>Amount</t>
        </is>
      </c>
      <c r="D8" s="8" t="inlineStr">
        <is>
          <t>Largest note</t>
        </is>
      </c>
      <c r="E8" s="34">
        <f>IF(E7&lt;=0,"",E7)</f>
        <v/>
      </c>
      <c r="F8" s="34">
        <f>IF(F7&lt;=0,"",F7)</f>
        <v/>
      </c>
      <c r="G8" s="34">
        <f>IF(G7&lt;=0,"",G7)</f>
        <v/>
      </c>
      <c r="H8" s="34">
        <f>IF(H7&lt;=0,"",H7)</f>
        <v/>
      </c>
      <c r="I8" s="34">
        <f>IF(I7&lt;=0,"",I7)</f>
        <v/>
      </c>
      <c r="J8" s="34">
        <f>IF(J7&lt;=0,"",J7)</f>
        <v/>
      </c>
      <c r="K8" s="34">
        <f>IF(K7&lt;=0,"",K7)</f>
        <v/>
      </c>
      <c r="L8" s="34">
        <f>IF(L7&lt;=0,"",L7)</f>
        <v/>
      </c>
      <c r="M8" s="8" t="inlineStr">
        <is>
          <t>Coins</t>
        </is>
      </c>
      <c r="N8" s="1" t="n"/>
    </row>
    <row r="9">
      <c r="A9" s="1" t="n"/>
      <c r="B9" s="9">
        <f>IF(Envelopes!$B$6="","",Envelopes!$B$6)</f>
        <v/>
      </c>
      <c r="C9" s="11">
        <f>IF(OR(B9="",$N$4=0),"",N(INDEX(Paydays!$E$6:$T$205,$N$4,1)))</f>
        <v/>
      </c>
      <c r="D9" s="35">
        <f>IF(B9="","",IF(N(Envelopes!$E$6)&gt;0,N(Envelopes!$E$6),"Any"))</f>
        <v/>
      </c>
      <c r="E9" s="36">
        <f>IF(OR(N(C9)&lt;=0,E$7&lt;=0,AND(N(Envelopes!$E$6)&gt;0,E$7&gt;N(Envelopes!$E$6))),0,INT(ROUND(ROUND(C9-0,2)/E$7,6)))</f>
        <v/>
      </c>
      <c r="F9" s="36">
        <f>IF(OR(N(C9)&lt;=0,F$7&lt;=0,AND(N(Envelopes!$E$6)&gt;0,F$7&gt;N(Envelopes!$E$6))),0,INT(ROUND(ROUND(C9-SUMPRODUCT($E9:E9,$E$7:E$7),2)/F$7,6)))</f>
        <v/>
      </c>
      <c r="G9" s="36">
        <f>IF(OR(N(C9)&lt;=0,G$7&lt;=0,AND(N(Envelopes!$E$6)&gt;0,G$7&gt;N(Envelopes!$E$6))),0,INT(ROUND(ROUND(C9-SUMPRODUCT($E9:F9,$E$7:F$7),2)/G$7,6)))</f>
        <v/>
      </c>
      <c r="H9" s="36">
        <f>IF(OR(N(C9)&lt;=0,H$7&lt;=0,AND(N(Envelopes!$E$6)&gt;0,H$7&gt;N(Envelopes!$E$6))),0,INT(ROUND(ROUND(C9-SUMPRODUCT($E9:G9,$E$7:G$7),2)/H$7,6)))</f>
        <v/>
      </c>
      <c r="I9" s="36">
        <f>IF(OR(N(C9)&lt;=0,I$7&lt;=0,AND(N(Envelopes!$E$6)&gt;0,I$7&gt;N(Envelopes!$E$6))),0,INT(ROUND(ROUND(C9-SUMPRODUCT($E9:H9,$E$7:H$7),2)/I$7,6)))</f>
        <v/>
      </c>
      <c r="J9" s="36">
        <f>IF(OR(N(C9)&lt;=0,J$7&lt;=0,AND(N(Envelopes!$E$6)&gt;0,J$7&gt;N(Envelopes!$E$6))),0,INT(ROUND(ROUND(C9-SUMPRODUCT($E9:I9,$E$7:I$7),2)/J$7,6)))</f>
        <v/>
      </c>
      <c r="K9" s="36">
        <f>IF(OR(N(C9)&lt;=0,K$7&lt;=0,AND(N(Envelopes!$E$6)&gt;0,K$7&gt;N(Envelopes!$E$6))),0,INT(ROUND(ROUND(C9-SUMPRODUCT($E9:J9,$E$7:J$7),2)/K$7,6)))</f>
        <v/>
      </c>
      <c r="L9" s="36">
        <f>IF(OR(N(C9)&lt;=0,L$7&lt;=0,AND(N(Envelopes!$E$6)&gt;0,L$7&gt;N(Envelopes!$E$6))),0,INT(ROUND(ROUND(C9-SUMPRODUCT($E9:K9,$E$7:K$7),2)/L$7,6)))</f>
        <v/>
      </c>
      <c r="M9" s="37">
        <f>IF(OR(C9="",N(C9)&lt;=0),"",ROUND(C9-SUMPRODUCT(E9:L9,$E$7:$L$7),2))</f>
        <v/>
      </c>
      <c r="N9" s="1" t="n"/>
    </row>
    <row r="10">
      <c r="A10" s="1" t="n"/>
      <c r="B10" s="9">
        <f>IF(Envelopes!$B$7="","",Envelopes!$B$7)</f>
        <v/>
      </c>
      <c r="C10" s="11">
        <f>IF(OR(B10="",$N$4=0),"",N(INDEX(Paydays!$E$6:$T$205,$N$4,2)))</f>
        <v/>
      </c>
      <c r="D10" s="35">
        <f>IF(B10="","",IF(N(Envelopes!$E$7)&gt;0,N(Envelopes!$E$7),"Any"))</f>
        <v/>
      </c>
      <c r="E10" s="36">
        <f>IF(OR(N(C10)&lt;=0,E$7&lt;=0,AND(N(Envelopes!$E$7)&gt;0,E$7&gt;N(Envelopes!$E$7))),0,INT(ROUND(ROUND(C10-0,2)/E$7,6)))</f>
        <v/>
      </c>
      <c r="F10" s="36">
        <f>IF(OR(N(C10)&lt;=0,F$7&lt;=0,AND(N(Envelopes!$E$7)&gt;0,F$7&gt;N(Envelopes!$E$7))),0,INT(ROUND(ROUND(C10-SUMPRODUCT($E10:E10,$E$7:E$7),2)/F$7,6)))</f>
        <v/>
      </c>
      <c r="G10" s="36">
        <f>IF(OR(N(C10)&lt;=0,G$7&lt;=0,AND(N(Envelopes!$E$7)&gt;0,G$7&gt;N(Envelopes!$E$7))),0,INT(ROUND(ROUND(C10-SUMPRODUCT($E10:F10,$E$7:F$7),2)/G$7,6)))</f>
        <v/>
      </c>
      <c r="H10" s="36">
        <f>IF(OR(N(C10)&lt;=0,H$7&lt;=0,AND(N(Envelopes!$E$7)&gt;0,H$7&gt;N(Envelopes!$E$7))),0,INT(ROUND(ROUND(C10-SUMPRODUCT($E10:G10,$E$7:G$7),2)/H$7,6)))</f>
        <v/>
      </c>
      <c r="I10" s="36">
        <f>IF(OR(N(C10)&lt;=0,I$7&lt;=0,AND(N(Envelopes!$E$7)&gt;0,I$7&gt;N(Envelopes!$E$7))),0,INT(ROUND(ROUND(C10-SUMPRODUCT($E10:H10,$E$7:H$7),2)/I$7,6)))</f>
        <v/>
      </c>
      <c r="J10" s="36">
        <f>IF(OR(N(C10)&lt;=0,J$7&lt;=0,AND(N(Envelopes!$E$7)&gt;0,J$7&gt;N(Envelopes!$E$7))),0,INT(ROUND(ROUND(C10-SUMPRODUCT($E10:I10,$E$7:I$7),2)/J$7,6)))</f>
        <v/>
      </c>
      <c r="K10" s="36">
        <f>IF(OR(N(C10)&lt;=0,K$7&lt;=0,AND(N(Envelopes!$E$7)&gt;0,K$7&gt;N(Envelopes!$E$7))),0,INT(ROUND(ROUND(C10-SUMPRODUCT($E10:J10,$E$7:J$7),2)/K$7,6)))</f>
        <v/>
      </c>
      <c r="L10" s="36">
        <f>IF(OR(N(C10)&lt;=0,L$7&lt;=0,AND(N(Envelopes!$E$7)&gt;0,L$7&gt;N(Envelopes!$E$7))),0,INT(ROUND(ROUND(C10-SUMPRODUCT($E10:K10,$E$7:K$7),2)/L$7,6)))</f>
        <v/>
      </c>
      <c r="M10" s="37">
        <f>IF(OR(C10="",N(C10)&lt;=0),"",ROUND(C10-SUMPRODUCT(E10:L10,$E$7:$L$7),2))</f>
        <v/>
      </c>
      <c r="N10" s="1" t="n"/>
    </row>
    <row r="11">
      <c r="A11" s="1" t="n"/>
      <c r="B11" s="9">
        <f>IF(Envelopes!$B$8="","",Envelopes!$B$8)</f>
        <v/>
      </c>
      <c r="C11" s="11">
        <f>IF(OR(B11="",$N$4=0),"",N(INDEX(Paydays!$E$6:$T$205,$N$4,3)))</f>
        <v/>
      </c>
      <c r="D11" s="35">
        <f>IF(B11="","",IF(N(Envelopes!$E$8)&gt;0,N(Envelopes!$E$8),"Any"))</f>
        <v/>
      </c>
      <c r="E11" s="36">
        <f>IF(OR(N(C11)&lt;=0,E$7&lt;=0,AND(N(Envelopes!$E$8)&gt;0,E$7&gt;N(Envelopes!$E$8))),0,INT(ROUND(ROUND(C11-0,2)/E$7,6)))</f>
        <v/>
      </c>
      <c r="F11" s="36">
        <f>IF(OR(N(C11)&lt;=0,F$7&lt;=0,AND(N(Envelopes!$E$8)&gt;0,F$7&gt;N(Envelopes!$E$8))),0,INT(ROUND(ROUND(C11-SUMPRODUCT($E11:E11,$E$7:E$7),2)/F$7,6)))</f>
        <v/>
      </c>
      <c r="G11" s="36">
        <f>IF(OR(N(C11)&lt;=0,G$7&lt;=0,AND(N(Envelopes!$E$8)&gt;0,G$7&gt;N(Envelopes!$E$8))),0,INT(ROUND(ROUND(C11-SUMPRODUCT($E11:F11,$E$7:F$7),2)/G$7,6)))</f>
        <v/>
      </c>
      <c r="H11" s="36">
        <f>IF(OR(N(C11)&lt;=0,H$7&lt;=0,AND(N(Envelopes!$E$8)&gt;0,H$7&gt;N(Envelopes!$E$8))),0,INT(ROUND(ROUND(C11-SUMPRODUCT($E11:G11,$E$7:G$7),2)/H$7,6)))</f>
        <v/>
      </c>
      <c r="I11" s="36">
        <f>IF(OR(N(C11)&lt;=0,I$7&lt;=0,AND(N(Envelopes!$E$8)&gt;0,I$7&gt;N(Envelopes!$E$8))),0,INT(ROUND(ROUND(C11-SUMPRODUCT($E11:H11,$E$7:H$7),2)/I$7,6)))</f>
        <v/>
      </c>
      <c r="J11" s="36">
        <f>IF(OR(N(C11)&lt;=0,J$7&lt;=0,AND(N(Envelopes!$E$8)&gt;0,J$7&gt;N(Envelopes!$E$8))),0,INT(ROUND(ROUND(C11-SUMPRODUCT($E11:I11,$E$7:I$7),2)/J$7,6)))</f>
        <v/>
      </c>
      <c r="K11" s="36">
        <f>IF(OR(N(C11)&lt;=0,K$7&lt;=0,AND(N(Envelopes!$E$8)&gt;0,K$7&gt;N(Envelopes!$E$8))),0,INT(ROUND(ROUND(C11-SUMPRODUCT($E11:J11,$E$7:J$7),2)/K$7,6)))</f>
        <v/>
      </c>
      <c r="L11" s="36">
        <f>IF(OR(N(C11)&lt;=0,L$7&lt;=0,AND(N(Envelopes!$E$8)&gt;0,L$7&gt;N(Envelopes!$E$8))),0,INT(ROUND(ROUND(C11-SUMPRODUCT($E11:K11,$E$7:K$7),2)/L$7,6)))</f>
        <v/>
      </c>
      <c r="M11" s="37">
        <f>IF(OR(C11="",N(C11)&lt;=0),"",ROUND(C11-SUMPRODUCT(E11:L11,$E$7:$L$7),2))</f>
        <v/>
      </c>
      <c r="N11" s="1" t="n"/>
    </row>
    <row r="12">
      <c r="A12" s="1" t="n"/>
      <c r="B12" s="9">
        <f>IF(Envelopes!$B$9="","",Envelopes!$B$9)</f>
        <v/>
      </c>
      <c r="C12" s="11">
        <f>IF(OR(B12="",$N$4=0),"",N(INDEX(Paydays!$E$6:$T$205,$N$4,4)))</f>
        <v/>
      </c>
      <c r="D12" s="35">
        <f>IF(B12="","",IF(N(Envelopes!$E$9)&gt;0,N(Envelopes!$E$9),"Any"))</f>
        <v/>
      </c>
      <c r="E12" s="36">
        <f>IF(OR(N(C12)&lt;=0,E$7&lt;=0,AND(N(Envelopes!$E$9)&gt;0,E$7&gt;N(Envelopes!$E$9))),0,INT(ROUND(ROUND(C12-0,2)/E$7,6)))</f>
        <v/>
      </c>
      <c r="F12" s="36">
        <f>IF(OR(N(C12)&lt;=0,F$7&lt;=0,AND(N(Envelopes!$E$9)&gt;0,F$7&gt;N(Envelopes!$E$9))),0,INT(ROUND(ROUND(C12-SUMPRODUCT($E12:E12,$E$7:E$7),2)/F$7,6)))</f>
        <v/>
      </c>
      <c r="G12" s="36">
        <f>IF(OR(N(C12)&lt;=0,G$7&lt;=0,AND(N(Envelopes!$E$9)&gt;0,G$7&gt;N(Envelopes!$E$9))),0,INT(ROUND(ROUND(C12-SUMPRODUCT($E12:F12,$E$7:F$7),2)/G$7,6)))</f>
        <v/>
      </c>
      <c r="H12" s="36">
        <f>IF(OR(N(C12)&lt;=0,H$7&lt;=0,AND(N(Envelopes!$E$9)&gt;0,H$7&gt;N(Envelopes!$E$9))),0,INT(ROUND(ROUND(C12-SUMPRODUCT($E12:G12,$E$7:G$7),2)/H$7,6)))</f>
        <v/>
      </c>
      <c r="I12" s="36">
        <f>IF(OR(N(C12)&lt;=0,I$7&lt;=0,AND(N(Envelopes!$E$9)&gt;0,I$7&gt;N(Envelopes!$E$9))),0,INT(ROUND(ROUND(C12-SUMPRODUCT($E12:H12,$E$7:H$7),2)/I$7,6)))</f>
        <v/>
      </c>
      <c r="J12" s="36">
        <f>IF(OR(N(C12)&lt;=0,J$7&lt;=0,AND(N(Envelopes!$E$9)&gt;0,J$7&gt;N(Envelopes!$E$9))),0,INT(ROUND(ROUND(C12-SUMPRODUCT($E12:I12,$E$7:I$7),2)/J$7,6)))</f>
        <v/>
      </c>
      <c r="K12" s="36">
        <f>IF(OR(N(C12)&lt;=0,K$7&lt;=0,AND(N(Envelopes!$E$9)&gt;0,K$7&gt;N(Envelopes!$E$9))),0,INT(ROUND(ROUND(C12-SUMPRODUCT($E12:J12,$E$7:J$7),2)/K$7,6)))</f>
        <v/>
      </c>
      <c r="L12" s="36">
        <f>IF(OR(N(C12)&lt;=0,L$7&lt;=0,AND(N(Envelopes!$E$9)&gt;0,L$7&gt;N(Envelopes!$E$9))),0,INT(ROUND(ROUND(C12-SUMPRODUCT($E12:K12,$E$7:K$7),2)/L$7,6)))</f>
        <v/>
      </c>
      <c r="M12" s="37">
        <f>IF(OR(C12="",N(C12)&lt;=0),"",ROUND(C12-SUMPRODUCT(E12:L12,$E$7:$L$7),2))</f>
        <v/>
      </c>
      <c r="N12" s="1" t="n"/>
    </row>
    <row r="13">
      <c r="A13" s="1" t="n"/>
      <c r="B13" s="9">
        <f>IF(Envelopes!$B$10="","",Envelopes!$B$10)</f>
        <v/>
      </c>
      <c r="C13" s="11">
        <f>IF(OR(B13="",$N$4=0),"",N(INDEX(Paydays!$E$6:$T$205,$N$4,5)))</f>
        <v/>
      </c>
      <c r="D13" s="35">
        <f>IF(B13="","",IF(N(Envelopes!$E$10)&gt;0,N(Envelopes!$E$10),"Any"))</f>
        <v/>
      </c>
      <c r="E13" s="36">
        <f>IF(OR(N(C13)&lt;=0,E$7&lt;=0,AND(N(Envelopes!$E$10)&gt;0,E$7&gt;N(Envelopes!$E$10))),0,INT(ROUND(ROUND(C13-0,2)/E$7,6)))</f>
        <v/>
      </c>
      <c r="F13" s="36">
        <f>IF(OR(N(C13)&lt;=0,F$7&lt;=0,AND(N(Envelopes!$E$10)&gt;0,F$7&gt;N(Envelopes!$E$10))),0,INT(ROUND(ROUND(C13-SUMPRODUCT($E13:E13,$E$7:E$7),2)/F$7,6)))</f>
        <v/>
      </c>
      <c r="G13" s="36">
        <f>IF(OR(N(C13)&lt;=0,G$7&lt;=0,AND(N(Envelopes!$E$10)&gt;0,G$7&gt;N(Envelopes!$E$10))),0,INT(ROUND(ROUND(C13-SUMPRODUCT($E13:F13,$E$7:F$7),2)/G$7,6)))</f>
        <v/>
      </c>
      <c r="H13" s="36">
        <f>IF(OR(N(C13)&lt;=0,H$7&lt;=0,AND(N(Envelopes!$E$10)&gt;0,H$7&gt;N(Envelopes!$E$10))),0,INT(ROUND(ROUND(C13-SUMPRODUCT($E13:G13,$E$7:G$7),2)/H$7,6)))</f>
        <v/>
      </c>
      <c r="I13" s="36">
        <f>IF(OR(N(C13)&lt;=0,I$7&lt;=0,AND(N(Envelopes!$E$10)&gt;0,I$7&gt;N(Envelopes!$E$10))),0,INT(ROUND(ROUND(C13-SUMPRODUCT($E13:H13,$E$7:H$7),2)/I$7,6)))</f>
        <v/>
      </c>
      <c r="J13" s="36">
        <f>IF(OR(N(C13)&lt;=0,J$7&lt;=0,AND(N(Envelopes!$E$10)&gt;0,J$7&gt;N(Envelopes!$E$10))),0,INT(ROUND(ROUND(C13-SUMPRODUCT($E13:I13,$E$7:I$7),2)/J$7,6)))</f>
        <v/>
      </c>
      <c r="K13" s="36">
        <f>IF(OR(N(C13)&lt;=0,K$7&lt;=0,AND(N(Envelopes!$E$10)&gt;0,K$7&gt;N(Envelopes!$E$10))),0,INT(ROUND(ROUND(C13-SUMPRODUCT($E13:J13,$E$7:J$7),2)/K$7,6)))</f>
        <v/>
      </c>
      <c r="L13" s="36">
        <f>IF(OR(N(C13)&lt;=0,L$7&lt;=0,AND(N(Envelopes!$E$10)&gt;0,L$7&gt;N(Envelopes!$E$10))),0,INT(ROUND(ROUND(C13-SUMPRODUCT($E13:K13,$E$7:K$7),2)/L$7,6)))</f>
        <v/>
      </c>
      <c r="M13" s="37">
        <f>IF(OR(C13="",N(C13)&lt;=0),"",ROUND(C13-SUMPRODUCT(E13:L13,$E$7:$L$7),2))</f>
        <v/>
      </c>
      <c r="N13" s="1" t="n"/>
    </row>
    <row r="14">
      <c r="A14" s="1" t="n"/>
      <c r="B14" s="9">
        <f>IF(Envelopes!$B$11="","",Envelopes!$B$11)</f>
        <v/>
      </c>
      <c r="C14" s="11">
        <f>IF(OR(B14="",$N$4=0),"",N(INDEX(Paydays!$E$6:$T$205,$N$4,6)))</f>
        <v/>
      </c>
      <c r="D14" s="35">
        <f>IF(B14="","",IF(N(Envelopes!$E$11)&gt;0,N(Envelopes!$E$11),"Any"))</f>
        <v/>
      </c>
      <c r="E14" s="36">
        <f>IF(OR(N(C14)&lt;=0,E$7&lt;=0,AND(N(Envelopes!$E$11)&gt;0,E$7&gt;N(Envelopes!$E$11))),0,INT(ROUND(ROUND(C14-0,2)/E$7,6)))</f>
        <v/>
      </c>
      <c r="F14" s="36">
        <f>IF(OR(N(C14)&lt;=0,F$7&lt;=0,AND(N(Envelopes!$E$11)&gt;0,F$7&gt;N(Envelopes!$E$11))),0,INT(ROUND(ROUND(C14-SUMPRODUCT($E14:E14,$E$7:E$7),2)/F$7,6)))</f>
        <v/>
      </c>
      <c r="G14" s="36">
        <f>IF(OR(N(C14)&lt;=0,G$7&lt;=0,AND(N(Envelopes!$E$11)&gt;0,G$7&gt;N(Envelopes!$E$11))),0,INT(ROUND(ROUND(C14-SUMPRODUCT($E14:F14,$E$7:F$7),2)/G$7,6)))</f>
        <v/>
      </c>
      <c r="H14" s="36">
        <f>IF(OR(N(C14)&lt;=0,H$7&lt;=0,AND(N(Envelopes!$E$11)&gt;0,H$7&gt;N(Envelopes!$E$11))),0,INT(ROUND(ROUND(C14-SUMPRODUCT($E14:G14,$E$7:G$7),2)/H$7,6)))</f>
        <v/>
      </c>
      <c r="I14" s="36">
        <f>IF(OR(N(C14)&lt;=0,I$7&lt;=0,AND(N(Envelopes!$E$11)&gt;0,I$7&gt;N(Envelopes!$E$11))),0,INT(ROUND(ROUND(C14-SUMPRODUCT($E14:H14,$E$7:H$7),2)/I$7,6)))</f>
        <v/>
      </c>
      <c r="J14" s="36">
        <f>IF(OR(N(C14)&lt;=0,J$7&lt;=0,AND(N(Envelopes!$E$11)&gt;0,J$7&gt;N(Envelopes!$E$11))),0,INT(ROUND(ROUND(C14-SUMPRODUCT($E14:I14,$E$7:I$7),2)/J$7,6)))</f>
        <v/>
      </c>
      <c r="K14" s="36">
        <f>IF(OR(N(C14)&lt;=0,K$7&lt;=0,AND(N(Envelopes!$E$11)&gt;0,K$7&gt;N(Envelopes!$E$11))),0,INT(ROUND(ROUND(C14-SUMPRODUCT($E14:J14,$E$7:J$7),2)/K$7,6)))</f>
        <v/>
      </c>
      <c r="L14" s="36">
        <f>IF(OR(N(C14)&lt;=0,L$7&lt;=0,AND(N(Envelopes!$E$11)&gt;0,L$7&gt;N(Envelopes!$E$11))),0,INT(ROUND(ROUND(C14-SUMPRODUCT($E14:K14,$E$7:K$7),2)/L$7,6)))</f>
        <v/>
      </c>
      <c r="M14" s="37">
        <f>IF(OR(C14="",N(C14)&lt;=0),"",ROUND(C14-SUMPRODUCT(E14:L14,$E$7:$L$7),2))</f>
        <v/>
      </c>
      <c r="N14" s="1" t="n"/>
    </row>
    <row r="15">
      <c r="A15" s="1" t="n"/>
      <c r="B15" s="9">
        <f>IF(Envelopes!$B$12="","",Envelopes!$B$12)</f>
        <v/>
      </c>
      <c r="C15" s="11">
        <f>IF(OR(B15="",$N$4=0),"",N(INDEX(Paydays!$E$6:$T$205,$N$4,7)))</f>
        <v/>
      </c>
      <c r="D15" s="35">
        <f>IF(B15="","",IF(N(Envelopes!$E$12)&gt;0,N(Envelopes!$E$12),"Any"))</f>
        <v/>
      </c>
      <c r="E15" s="36">
        <f>IF(OR(N(C15)&lt;=0,E$7&lt;=0,AND(N(Envelopes!$E$12)&gt;0,E$7&gt;N(Envelopes!$E$12))),0,INT(ROUND(ROUND(C15-0,2)/E$7,6)))</f>
        <v/>
      </c>
      <c r="F15" s="36">
        <f>IF(OR(N(C15)&lt;=0,F$7&lt;=0,AND(N(Envelopes!$E$12)&gt;0,F$7&gt;N(Envelopes!$E$12))),0,INT(ROUND(ROUND(C15-SUMPRODUCT($E15:E15,$E$7:E$7),2)/F$7,6)))</f>
        <v/>
      </c>
      <c r="G15" s="36">
        <f>IF(OR(N(C15)&lt;=0,G$7&lt;=0,AND(N(Envelopes!$E$12)&gt;0,G$7&gt;N(Envelopes!$E$12))),0,INT(ROUND(ROUND(C15-SUMPRODUCT($E15:F15,$E$7:F$7),2)/G$7,6)))</f>
        <v/>
      </c>
      <c r="H15" s="36">
        <f>IF(OR(N(C15)&lt;=0,H$7&lt;=0,AND(N(Envelopes!$E$12)&gt;0,H$7&gt;N(Envelopes!$E$12))),0,INT(ROUND(ROUND(C15-SUMPRODUCT($E15:G15,$E$7:G$7),2)/H$7,6)))</f>
        <v/>
      </c>
      <c r="I15" s="36">
        <f>IF(OR(N(C15)&lt;=0,I$7&lt;=0,AND(N(Envelopes!$E$12)&gt;0,I$7&gt;N(Envelopes!$E$12))),0,INT(ROUND(ROUND(C15-SUMPRODUCT($E15:H15,$E$7:H$7),2)/I$7,6)))</f>
        <v/>
      </c>
      <c r="J15" s="36">
        <f>IF(OR(N(C15)&lt;=0,J$7&lt;=0,AND(N(Envelopes!$E$12)&gt;0,J$7&gt;N(Envelopes!$E$12))),0,INT(ROUND(ROUND(C15-SUMPRODUCT($E15:I15,$E$7:I$7),2)/J$7,6)))</f>
        <v/>
      </c>
      <c r="K15" s="36">
        <f>IF(OR(N(C15)&lt;=0,K$7&lt;=0,AND(N(Envelopes!$E$12)&gt;0,K$7&gt;N(Envelopes!$E$12))),0,INT(ROUND(ROUND(C15-SUMPRODUCT($E15:J15,$E$7:J$7),2)/K$7,6)))</f>
        <v/>
      </c>
      <c r="L15" s="36">
        <f>IF(OR(N(C15)&lt;=0,L$7&lt;=0,AND(N(Envelopes!$E$12)&gt;0,L$7&gt;N(Envelopes!$E$12))),0,INT(ROUND(ROUND(C15-SUMPRODUCT($E15:K15,$E$7:K$7),2)/L$7,6)))</f>
        <v/>
      </c>
      <c r="M15" s="37">
        <f>IF(OR(C15="",N(C15)&lt;=0),"",ROUND(C15-SUMPRODUCT(E15:L15,$E$7:$L$7),2))</f>
        <v/>
      </c>
      <c r="N15" s="1" t="n"/>
    </row>
    <row r="16">
      <c r="A16" s="1" t="n"/>
      <c r="B16" s="9">
        <f>IF(Envelopes!$B$13="","",Envelopes!$B$13)</f>
        <v/>
      </c>
      <c r="C16" s="11">
        <f>IF(OR(B16="",$N$4=0),"",N(INDEX(Paydays!$E$6:$T$205,$N$4,8)))</f>
        <v/>
      </c>
      <c r="D16" s="35">
        <f>IF(B16="","",IF(N(Envelopes!$E$13)&gt;0,N(Envelopes!$E$13),"Any"))</f>
        <v/>
      </c>
      <c r="E16" s="36">
        <f>IF(OR(N(C16)&lt;=0,E$7&lt;=0,AND(N(Envelopes!$E$13)&gt;0,E$7&gt;N(Envelopes!$E$13))),0,INT(ROUND(ROUND(C16-0,2)/E$7,6)))</f>
        <v/>
      </c>
      <c r="F16" s="36">
        <f>IF(OR(N(C16)&lt;=0,F$7&lt;=0,AND(N(Envelopes!$E$13)&gt;0,F$7&gt;N(Envelopes!$E$13))),0,INT(ROUND(ROUND(C16-SUMPRODUCT($E16:E16,$E$7:E$7),2)/F$7,6)))</f>
        <v/>
      </c>
      <c r="G16" s="36">
        <f>IF(OR(N(C16)&lt;=0,G$7&lt;=0,AND(N(Envelopes!$E$13)&gt;0,G$7&gt;N(Envelopes!$E$13))),0,INT(ROUND(ROUND(C16-SUMPRODUCT($E16:F16,$E$7:F$7),2)/G$7,6)))</f>
        <v/>
      </c>
      <c r="H16" s="36">
        <f>IF(OR(N(C16)&lt;=0,H$7&lt;=0,AND(N(Envelopes!$E$13)&gt;0,H$7&gt;N(Envelopes!$E$13))),0,INT(ROUND(ROUND(C16-SUMPRODUCT($E16:G16,$E$7:G$7),2)/H$7,6)))</f>
        <v/>
      </c>
      <c r="I16" s="36">
        <f>IF(OR(N(C16)&lt;=0,I$7&lt;=0,AND(N(Envelopes!$E$13)&gt;0,I$7&gt;N(Envelopes!$E$13))),0,INT(ROUND(ROUND(C16-SUMPRODUCT($E16:H16,$E$7:H$7),2)/I$7,6)))</f>
        <v/>
      </c>
      <c r="J16" s="36">
        <f>IF(OR(N(C16)&lt;=0,J$7&lt;=0,AND(N(Envelopes!$E$13)&gt;0,J$7&gt;N(Envelopes!$E$13))),0,INT(ROUND(ROUND(C16-SUMPRODUCT($E16:I16,$E$7:I$7),2)/J$7,6)))</f>
        <v/>
      </c>
      <c r="K16" s="36">
        <f>IF(OR(N(C16)&lt;=0,K$7&lt;=0,AND(N(Envelopes!$E$13)&gt;0,K$7&gt;N(Envelopes!$E$13))),0,INT(ROUND(ROUND(C16-SUMPRODUCT($E16:J16,$E$7:J$7),2)/K$7,6)))</f>
        <v/>
      </c>
      <c r="L16" s="36">
        <f>IF(OR(N(C16)&lt;=0,L$7&lt;=0,AND(N(Envelopes!$E$13)&gt;0,L$7&gt;N(Envelopes!$E$13))),0,INT(ROUND(ROUND(C16-SUMPRODUCT($E16:K16,$E$7:K$7),2)/L$7,6)))</f>
        <v/>
      </c>
      <c r="M16" s="37">
        <f>IF(OR(C16="",N(C16)&lt;=0),"",ROUND(C16-SUMPRODUCT(E16:L16,$E$7:$L$7),2))</f>
        <v/>
      </c>
      <c r="N16" s="1" t="n"/>
    </row>
    <row r="17">
      <c r="A17" s="1" t="n"/>
      <c r="B17" s="9">
        <f>IF(Envelopes!$B$14="","",Envelopes!$B$14)</f>
        <v/>
      </c>
      <c r="C17" s="11">
        <f>IF(OR(B17="",$N$4=0),"",N(INDEX(Paydays!$E$6:$T$205,$N$4,9)))</f>
        <v/>
      </c>
      <c r="D17" s="35">
        <f>IF(B17="","",IF(N(Envelopes!$E$14)&gt;0,N(Envelopes!$E$14),"Any"))</f>
        <v/>
      </c>
      <c r="E17" s="36">
        <f>IF(OR(N(C17)&lt;=0,E$7&lt;=0,AND(N(Envelopes!$E$14)&gt;0,E$7&gt;N(Envelopes!$E$14))),0,INT(ROUND(ROUND(C17-0,2)/E$7,6)))</f>
        <v/>
      </c>
      <c r="F17" s="36">
        <f>IF(OR(N(C17)&lt;=0,F$7&lt;=0,AND(N(Envelopes!$E$14)&gt;0,F$7&gt;N(Envelopes!$E$14))),0,INT(ROUND(ROUND(C17-SUMPRODUCT($E17:E17,$E$7:E$7),2)/F$7,6)))</f>
        <v/>
      </c>
      <c r="G17" s="36">
        <f>IF(OR(N(C17)&lt;=0,G$7&lt;=0,AND(N(Envelopes!$E$14)&gt;0,G$7&gt;N(Envelopes!$E$14))),0,INT(ROUND(ROUND(C17-SUMPRODUCT($E17:F17,$E$7:F$7),2)/G$7,6)))</f>
        <v/>
      </c>
      <c r="H17" s="36">
        <f>IF(OR(N(C17)&lt;=0,H$7&lt;=0,AND(N(Envelopes!$E$14)&gt;0,H$7&gt;N(Envelopes!$E$14))),0,INT(ROUND(ROUND(C17-SUMPRODUCT($E17:G17,$E$7:G$7),2)/H$7,6)))</f>
        <v/>
      </c>
      <c r="I17" s="36">
        <f>IF(OR(N(C17)&lt;=0,I$7&lt;=0,AND(N(Envelopes!$E$14)&gt;0,I$7&gt;N(Envelopes!$E$14))),0,INT(ROUND(ROUND(C17-SUMPRODUCT($E17:H17,$E$7:H$7),2)/I$7,6)))</f>
        <v/>
      </c>
      <c r="J17" s="36">
        <f>IF(OR(N(C17)&lt;=0,J$7&lt;=0,AND(N(Envelopes!$E$14)&gt;0,J$7&gt;N(Envelopes!$E$14))),0,INT(ROUND(ROUND(C17-SUMPRODUCT($E17:I17,$E$7:I$7),2)/J$7,6)))</f>
        <v/>
      </c>
      <c r="K17" s="36">
        <f>IF(OR(N(C17)&lt;=0,K$7&lt;=0,AND(N(Envelopes!$E$14)&gt;0,K$7&gt;N(Envelopes!$E$14))),0,INT(ROUND(ROUND(C17-SUMPRODUCT($E17:J17,$E$7:J$7),2)/K$7,6)))</f>
        <v/>
      </c>
      <c r="L17" s="36">
        <f>IF(OR(N(C17)&lt;=0,L$7&lt;=0,AND(N(Envelopes!$E$14)&gt;0,L$7&gt;N(Envelopes!$E$14))),0,INT(ROUND(ROUND(C17-SUMPRODUCT($E17:K17,$E$7:K$7),2)/L$7,6)))</f>
        <v/>
      </c>
      <c r="M17" s="37">
        <f>IF(OR(C17="",N(C17)&lt;=0),"",ROUND(C17-SUMPRODUCT(E17:L17,$E$7:$L$7),2))</f>
        <v/>
      </c>
      <c r="N17" s="1" t="n"/>
    </row>
    <row r="18">
      <c r="A18" s="1" t="n"/>
      <c r="B18" s="9">
        <f>IF(Envelopes!$B$15="","",Envelopes!$B$15)</f>
        <v/>
      </c>
      <c r="C18" s="11">
        <f>IF(OR(B18="",$N$4=0),"",N(INDEX(Paydays!$E$6:$T$205,$N$4,10)))</f>
        <v/>
      </c>
      <c r="D18" s="35">
        <f>IF(B18="","",IF(N(Envelopes!$E$15)&gt;0,N(Envelopes!$E$15),"Any"))</f>
        <v/>
      </c>
      <c r="E18" s="36">
        <f>IF(OR(N(C18)&lt;=0,E$7&lt;=0,AND(N(Envelopes!$E$15)&gt;0,E$7&gt;N(Envelopes!$E$15))),0,INT(ROUND(ROUND(C18-0,2)/E$7,6)))</f>
        <v/>
      </c>
      <c r="F18" s="36">
        <f>IF(OR(N(C18)&lt;=0,F$7&lt;=0,AND(N(Envelopes!$E$15)&gt;0,F$7&gt;N(Envelopes!$E$15))),0,INT(ROUND(ROUND(C18-SUMPRODUCT($E18:E18,$E$7:E$7),2)/F$7,6)))</f>
        <v/>
      </c>
      <c r="G18" s="36">
        <f>IF(OR(N(C18)&lt;=0,G$7&lt;=0,AND(N(Envelopes!$E$15)&gt;0,G$7&gt;N(Envelopes!$E$15))),0,INT(ROUND(ROUND(C18-SUMPRODUCT($E18:F18,$E$7:F$7),2)/G$7,6)))</f>
        <v/>
      </c>
      <c r="H18" s="36">
        <f>IF(OR(N(C18)&lt;=0,H$7&lt;=0,AND(N(Envelopes!$E$15)&gt;0,H$7&gt;N(Envelopes!$E$15))),0,INT(ROUND(ROUND(C18-SUMPRODUCT($E18:G18,$E$7:G$7),2)/H$7,6)))</f>
        <v/>
      </c>
      <c r="I18" s="36">
        <f>IF(OR(N(C18)&lt;=0,I$7&lt;=0,AND(N(Envelopes!$E$15)&gt;0,I$7&gt;N(Envelopes!$E$15))),0,INT(ROUND(ROUND(C18-SUMPRODUCT($E18:H18,$E$7:H$7),2)/I$7,6)))</f>
        <v/>
      </c>
      <c r="J18" s="36">
        <f>IF(OR(N(C18)&lt;=0,J$7&lt;=0,AND(N(Envelopes!$E$15)&gt;0,J$7&gt;N(Envelopes!$E$15))),0,INT(ROUND(ROUND(C18-SUMPRODUCT($E18:I18,$E$7:I$7),2)/J$7,6)))</f>
        <v/>
      </c>
      <c r="K18" s="36">
        <f>IF(OR(N(C18)&lt;=0,K$7&lt;=0,AND(N(Envelopes!$E$15)&gt;0,K$7&gt;N(Envelopes!$E$15))),0,INT(ROUND(ROUND(C18-SUMPRODUCT($E18:J18,$E$7:J$7),2)/K$7,6)))</f>
        <v/>
      </c>
      <c r="L18" s="36">
        <f>IF(OR(N(C18)&lt;=0,L$7&lt;=0,AND(N(Envelopes!$E$15)&gt;0,L$7&gt;N(Envelopes!$E$15))),0,INT(ROUND(ROUND(C18-SUMPRODUCT($E18:K18,$E$7:K$7),2)/L$7,6)))</f>
        <v/>
      </c>
      <c r="M18" s="37">
        <f>IF(OR(C18="",N(C18)&lt;=0),"",ROUND(C18-SUMPRODUCT(E18:L18,$E$7:$L$7),2))</f>
        <v/>
      </c>
      <c r="N18" s="1" t="n"/>
    </row>
    <row r="19">
      <c r="A19" s="1" t="n"/>
      <c r="B19" s="9">
        <f>IF(Envelopes!$B$16="","",Envelopes!$B$16)</f>
        <v/>
      </c>
      <c r="C19" s="11">
        <f>IF(OR(B19="",$N$4=0),"",N(INDEX(Paydays!$E$6:$T$205,$N$4,11)))</f>
        <v/>
      </c>
      <c r="D19" s="35">
        <f>IF(B19="","",IF(N(Envelopes!$E$16)&gt;0,N(Envelopes!$E$16),"Any"))</f>
        <v/>
      </c>
      <c r="E19" s="36">
        <f>IF(OR(N(C19)&lt;=0,E$7&lt;=0,AND(N(Envelopes!$E$16)&gt;0,E$7&gt;N(Envelopes!$E$16))),0,INT(ROUND(ROUND(C19-0,2)/E$7,6)))</f>
        <v/>
      </c>
      <c r="F19" s="36">
        <f>IF(OR(N(C19)&lt;=0,F$7&lt;=0,AND(N(Envelopes!$E$16)&gt;0,F$7&gt;N(Envelopes!$E$16))),0,INT(ROUND(ROUND(C19-SUMPRODUCT($E19:E19,$E$7:E$7),2)/F$7,6)))</f>
        <v/>
      </c>
      <c r="G19" s="36">
        <f>IF(OR(N(C19)&lt;=0,G$7&lt;=0,AND(N(Envelopes!$E$16)&gt;0,G$7&gt;N(Envelopes!$E$16))),0,INT(ROUND(ROUND(C19-SUMPRODUCT($E19:F19,$E$7:F$7),2)/G$7,6)))</f>
        <v/>
      </c>
      <c r="H19" s="36">
        <f>IF(OR(N(C19)&lt;=0,H$7&lt;=0,AND(N(Envelopes!$E$16)&gt;0,H$7&gt;N(Envelopes!$E$16))),0,INT(ROUND(ROUND(C19-SUMPRODUCT($E19:G19,$E$7:G$7),2)/H$7,6)))</f>
        <v/>
      </c>
      <c r="I19" s="36">
        <f>IF(OR(N(C19)&lt;=0,I$7&lt;=0,AND(N(Envelopes!$E$16)&gt;0,I$7&gt;N(Envelopes!$E$16))),0,INT(ROUND(ROUND(C19-SUMPRODUCT($E19:H19,$E$7:H$7),2)/I$7,6)))</f>
        <v/>
      </c>
      <c r="J19" s="36">
        <f>IF(OR(N(C19)&lt;=0,J$7&lt;=0,AND(N(Envelopes!$E$16)&gt;0,J$7&gt;N(Envelopes!$E$16))),0,INT(ROUND(ROUND(C19-SUMPRODUCT($E19:I19,$E$7:I$7),2)/J$7,6)))</f>
        <v/>
      </c>
      <c r="K19" s="36">
        <f>IF(OR(N(C19)&lt;=0,K$7&lt;=0,AND(N(Envelopes!$E$16)&gt;0,K$7&gt;N(Envelopes!$E$16))),0,INT(ROUND(ROUND(C19-SUMPRODUCT($E19:J19,$E$7:J$7),2)/K$7,6)))</f>
        <v/>
      </c>
      <c r="L19" s="36">
        <f>IF(OR(N(C19)&lt;=0,L$7&lt;=0,AND(N(Envelopes!$E$16)&gt;0,L$7&gt;N(Envelopes!$E$16))),0,INT(ROUND(ROUND(C19-SUMPRODUCT($E19:K19,$E$7:K$7),2)/L$7,6)))</f>
        <v/>
      </c>
      <c r="M19" s="37">
        <f>IF(OR(C19="",N(C19)&lt;=0),"",ROUND(C19-SUMPRODUCT(E19:L19,$E$7:$L$7),2))</f>
        <v/>
      </c>
      <c r="N19" s="1" t="n"/>
    </row>
    <row r="20">
      <c r="A20" s="1" t="n"/>
      <c r="B20" s="9">
        <f>IF(Envelopes!$B$17="","",Envelopes!$B$17)</f>
        <v/>
      </c>
      <c r="C20" s="11">
        <f>IF(OR(B20="",$N$4=0),"",N(INDEX(Paydays!$E$6:$T$205,$N$4,12)))</f>
        <v/>
      </c>
      <c r="D20" s="35">
        <f>IF(B20="","",IF(N(Envelopes!$E$17)&gt;0,N(Envelopes!$E$17),"Any"))</f>
        <v/>
      </c>
      <c r="E20" s="36">
        <f>IF(OR(N(C20)&lt;=0,E$7&lt;=0,AND(N(Envelopes!$E$17)&gt;0,E$7&gt;N(Envelopes!$E$17))),0,INT(ROUND(ROUND(C20-0,2)/E$7,6)))</f>
        <v/>
      </c>
      <c r="F20" s="36">
        <f>IF(OR(N(C20)&lt;=0,F$7&lt;=0,AND(N(Envelopes!$E$17)&gt;0,F$7&gt;N(Envelopes!$E$17))),0,INT(ROUND(ROUND(C20-SUMPRODUCT($E20:E20,$E$7:E$7),2)/F$7,6)))</f>
        <v/>
      </c>
      <c r="G20" s="36">
        <f>IF(OR(N(C20)&lt;=0,G$7&lt;=0,AND(N(Envelopes!$E$17)&gt;0,G$7&gt;N(Envelopes!$E$17))),0,INT(ROUND(ROUND(C20-SUMPRODUCT($E20:F20,$E$7:F$7),2)/G$7,6)))</f>
        <v/>
      </c>
      <c r="H20" s="36">
        <f>IF(OR(N(C20)&lt;=0,H$7&lt;=0,AND(N(Envelopes!$E$17)&gt;0,H$7&gt;N(Envelopes!$E$17))),0,INT(ROUND(ROUND(C20-SUMPRODUCT($E20:G20,$E$7:G$7),2)/H$7,6)))</f>
        <v/>
      </c>
      <c r="I20" s="36">
        <f>IF(OR(N(C20)&lt;=0,I$7&lt;=0,AND(N(Envelopes!$E$17)&gt;0,I$7&gt;N(Envelopes!$E$17))),0,INT(ROUND(ROUND(C20-SUMPRODUCT($E20:H20,$E$7:H$7),2)/I$7,6)))</f>
        <v/>
      </c>
      <c r="J20" s="36">
        <f>IF(OR(N(C20)&lt;=0,J$7&lt;=0,AND(N(Envelopes!$E$17)&gt;0,J$7&gt;N(Envelopes!$E$17))),0,INT(ROUND(ROUND(C20-SUMPRODUCT($E20:I20,$E$7:I$7),2)/J$7,6)))</f>
        <v/>
      </c>
      <c r="K20" s="36">
        <f>IF(OR(N(C20)&lt;=0,K$7&lt;=0,AND(N(Envelopes!$E$17)&gt;0,K$7&gt;N(Envelopes!$E$17))),0,INT(ROUND(ROUND(C20-SUMPRODUCT($E20:J20,$E$7:J$7),2)/K$7,6)))</f>
        <v/>
      </c>
      <c r="L20" s="36">
        <f>IF(OR(N(C20)&lt;=0,L$7&lt;=0,AND(N(Envelopes!$E$17)&gt;0,L$7&gt;N(Envelopes!$E$17))),0,INT(ROUND(ROUND(C20-SUMPRODUCT($E20:K20,$E$7:K$7),2)/L$7,6)))</f>
        <v/>
      </c>
      <c r="M20" s="37">
        <f>IF(OR(C20="",N(C20)&lt;=0),"",ROUND(C20-SUMPRODUCT(E20:L20,$E$7:$L$7),2))</f>
        <v/>
      </c>
      <c r="N20" s="1" t="n"/>
    </row>
    <row r="21">
      <c r="A21" s="1" t="n"/>
      <c r="B21" s="9">
        <f>IF(Envelopes!$B$18="","",Envelopes!$B$18)</f>
        <v/>
      </c>
      <c r="C21" s="11">
        <f>IF(OR(B21="",$N$4=0),"",N(INDEX(Paydays!$E$6:$T$205,$N$4,13)))</f>
        <v/>
      </c>
      <c r="D21" s="35">
        <f>IF(B21="","",IF(N(Envelopes!$E$18)&gt;0,N(Envelopes!$E$18),"Any"))</f>
        <v/>
      </c>
      <c r="E21" s="36">
        <f>IF(OR(N(C21)&lt;=0,E$7&lt;=0,AND(N(Envelopes!$E$18)&gt;0,E$7&gt;N(Envelopes!$E$18))),0,INT(ROUND(ROUND(C21-0,2)/E$7,6)))</f>
        <v/>
      </c>
      <c r="F21" s="36">
        <f>IF(OR(N(C21)&lt;=0,F$7&lt;=0,AND(N(Envelopes!$E$18)&gt;0,F$7&gt;N(Envelopes!$E$18))),0,INT(ROUND(ROUND(C21-SUMPRODUCT($E21:E21,$E$7:E$7),2)/F$7,6)))</f>
        <v/>
      </c>
      <c r="G21" s="36">
        <f>IF(OR(N(C21)&lt;=0,G$7&lt;=0,AND(N(Envelopes!$E$18)&gt;0,G$7&gt;N(Envelopes!$E$18))),0,INT(ROUND(ROUND(C21-SUMPRODUCT($E21:F21,$E$7:F$7),2)/G$7,6)))</f>
        <v/>
      </c>
      <c r="H21" s="36">
        <f>IF(OR(N(C21)&lt;=0,H$7&lt;=0,AND(N(Envelopes!$E$18)&gt;0,H$7&gt;N(Envelopes!$E$18))),0,INT(ROUND(ROUND(C21-SUMPRODUCT($E21:G21,$E$7:G$7),2)/H$7,6)))</f>
        <v/>
      </c>
      <c r="I21" s="36">
        <f>IF(OR(N(C21)&lt;=0,I$7&lt;=0,AND(N(Envelopes!$E$18)&gt;0,I$7&gt;N(Envelopes!$E$18))),0,INT(ROUND(ROUND(C21-SUMPRODUCT($E21:H21,$E$7:H$7),2)/I$7,6)))</f>
        <v/>
      </c>
      <c r="J21" s="36">
        <f>IF(OR(N(C21)&lt;=0,J$7&lt;=0,AND(N(Envelopes!$E$18)&gt;0,J$7&gt;N(Envelopes!$E$18))),0,INT(ROUND(ROUND(C21-SUMPRODUCT($E21:I21,$E$7:I$7),2)/J$7,6)))</f>
        <v/>
      </c>
      <c r="K21" s="36">
        <f>IF(OR(N(C21)&lt;=0,K$7&lt;=0,AND(N(Envelopes!$E$18)&gt;0,K$7&gt;N(Envelopes!$E$18))),0,INT(ROUND(ROUND(C21-SUMPRODUCT($E21:J21,$E$7:J$7),2)/K$7,6)))</f>
        <v/>
      </c>
      <c r="L21" s="36">
        <f>IF(OR(N(C21)&lt;=0,L$7&lt;=0,AND(N(Envelopes!$E$18)&gt;0,L$7&gt;N(Envelopes!$E$18))),0,INT(ROUND(ROUND(C21-SUMPRODUCT($E21:K21,$E$7:K$7),2)/L$7,6)))</f>
        <v/>
      </c>
      <c r="M21" s="37">
        <f>IF(OR(C21="",N(C21)&lt;=0),"",ROUND(C21-SUMPRODUCT(E21:L21,$E$7:$L$7),2))</f>
        <v/>
      </c>
      <c r="N21" s="1" t="n"/>
    </row>
    <row r="22">
      <c r="A22" s="1" t="n"/>
      <c r="B22" s="9">
        <f>IF(Envelopes!$B$19="","",Envelopes!$B$19)</f>
        <v/>
      </c>
      <c r="C22" s="11">
        <f>IF(OR(B22="",$N$4=0),"",N(INDEX(Paydays!$E$6:$T$205,$N$4,14)))</f>
        <v/>
      </c>
      <c r="D22" s="35">
        <f>IF(B22="","",IF(N(Envelopes!$E$19)&gt;0,N(Envelopes!$E$19),"Any"))</f>
        <v/>
      </c>
      <c r="E22" s="36">
        <f>IF(OR(N(C22)&lt;=0,E$7&lt;=0,AND(N(Envelopes!$E$19)&gt;0,E$7&gt;N(Envelopes!$E$19))),0,INT(ROUND(ROUND(C22-0,2)/E$7,6)))</f>
        <v/>
      </c>
      <c r="F22" s="36">
        <f>IF(OR(N(C22)&lt;=0,F$7&lt;=0,AND(N(Envelopes!$E$19)&gt;0,F$7&gt;N(Envelopes!$E$19))),0,INT(ROUND(ROUND(C22-SUMPRODUCT($E22:E22,$E$7:E$7),2)/F$7,6)))</f>
        <v/>
      </c>
      <c r="G22" s="36">
        <f>IF(OR(N(C22)&lt;=0,G$7&lt;=0,AND(N(Envelopes!$E$19)&gt;0,G$7&gt;N(Envelopes!$E$19))),0,INT(ROUND(ROUND(C22-SUMPRODUCT($E22:F22,$E$7:F$7),2)/G$7,6)))</f>
        <v/>
      </c>
      <c r="H22" s="36">
        <f>IF(OR(N(C22)&lt;=0,H$7&lt;=0,AND(N(Envelopes!$E$19)&gt;0,H$7&gt;N(Envelopes!$E$19))),0,INT(ROUND(ROUND(C22-SUMPRODUCT($E22:G22,$E$7:G$7),2)/H$7,6)))</f>
        <v/>
      </c>
      <c r="I22" s="36">
        <f>IF(OR(N(C22)&lt;=0,I$7&lt;=0,AND(N(Envelopes!$E$19)&gt;0,I$7&gt;N(Envelopes!$E$19))),0,INT(ROUND(ROUND(C22-SUMPRODUCT($E22:H22,$E$7:H$7),2)/I$7,6)))</f>
        <v/>
      </c>
      <c r="J22" s="36">
        <f>IF(OR(N(C22)&lt;=0,J$7&lt;=0,AND(N(Envelopes!$E$19)&gt;0,J$7&gt;N(Envelopes!$E$19))),0,INT(ROUND(ROUND(C22-SUMPRODUCT($E22:I22,$E$7:I$7),2)/J$7,6)))</f>
        <v/>
      </c>
      <c r="K22" s="36">
        <f>IF(OR(N(C22)&lt;=0,K$7&lt;=0,AND(N(Envelopes!$E$19)&gt;0,K$7&gt;N(Envelopes!$E$19))),0,INT(ROUND(ROUND(C22-SUMPRODUCT($E22:J22,$E$7:J$7),2)/K$7,6)))</f>
        <v/>
      </c>
      <c r="L22" s="36">
        <f>IF(OR(N(C22)&lt;=0,L$7&lt;=0,AND(N(Envelopes!$E$19)&gt;0,L$7&gt;N(Envelopes!$E$19))),0,INT(ROUND(ROUND(C22-SUMPRODUCT($E22:K22,$E$7:K$7),2)/L$7,6)))</f>
        <v/>
      </c>
      <c r="M22" s="37">
        <f>IF(OR(C22="",N(C22)&lt;=0),"",ROUND(C22-SUMPRODUCT(E22:L22,$E$7:$L$7),2))</f>
        <v/>
      </c>
      <c r="N22" s="1" t="n"/>
    </row>
    <row r="23">
      <c r="A23" s="1" t="n"/>
      <c r="B23" s="9">
        <f>IF(Envelopes!$B$20="","",Envelopes!$B$20)</f>
        <v/>
      </c>
      <c r="C23" s="11">
        <f>IF(OR(B23="",$N$4=0),"",N(INDEX(Paydays!$E$6:$T$205,$N$4,15)))</f>
        <v/>
      </c>
      <c r="D23" s="35">
        <f>IF(B23="","",IF(N(Envelopes!$E$20)&gt;0,N(Envelopes!$E$20),"Any"))</f>
        <v/>
      </c>
      <c r="E23" s="36">
        <f>IF(OR(N(C23)&lt;=0,E$7&lt;=0,AND(N(Envelopes!$E$20)&gt;0,E$7&gt;N(Envelopes!$E$20))),0,INT(ROUND(ROUND(C23-0,2)/E$7,6)))</f>
        <v/>
      </c>
      <c r="F23" s="36">
        <f>IF(OR(N(C23)&lt;=0,F$7&lt;=0,AND(N(Envelopes!$E$20)&gt;0,F$7&gt;N(Envelopes!$E$20))),0,INT(ROUND(ROUND(C23-SUMPRODUCT($E23:E23,$E$7:E$7),2)/F$7,6)))</f>
        <v/>
      </c>
      <c r="G23" s="36">
        <f>IF(OR(N(C23)&lt;=0,G$7&lt;=0,AND(N(Envelopes!$E$20)&gt;0,G$7&gt;N(Envelopes!$E$20))),0,INT(ROUND(ROUND(C23-SUMPRODUCT($E23:F23,$E$7:F$7),2)/G$7,6)))</f>
        <v/>
      </c>
      <c r="H23" s="36">
        <f>IF(OR(N(C23)&lt;=0,H$7&lt;=0,AND(N(Envelopes!$E$20)&gt;0,H$7&gt;N(Envelopes!$E$20))),0,INT(ROUND(ROUND(C23-SUMPRODUCT($E23:G23,$E$7:G$7),2)/H$7,6)))</f>
        <v/>
      </c>
      <c r="I23" s="36">
        <f>IF(OR(N(C23)&lt;=0,I$7&lt;=0,AND(N(Envelopes!$E$20)&gt;0,I$7&gt;N(Envelopes!$E$20))),0,INT(ROUND(ROUND(C23-SUMPRODUCT($E23:H23,$E$7:H$7),2)/I$7,6)))</f>
        <v/>
      </c>
      <c r="J23" s="36">
        <f>IF(OR(N(C23)&lt;=0,J$7&lt;=0,AND(N(Envelopes!$E$20)&gt;0,J$7&gt;N(Envelopes!$E$20))),0,INT(ROUND(ROUND(C23-SUMPRODUCT($E23:I23,$E$7:I$7),2)/J$7,6)))</f>
        <v/>
      </c>
      <c r="K23" s="36">
        <f>IF(OR(N(C23)&lt;=0,K$7&lt;=0,AND(N(Envelopes!$E$20)&gt;0,K$7&gt;N(Envelopes!$E$20))),0,INT(ROUND(ROUND(C23-SUMPRODUCT($E23:J23,$E$7:J$7),2)/K$7,6)))</f>
        <v/>
      </c>
      <c r="L23" s="36">
        <f>IF(OR(N(C23)&lt;=0,L$7&lt;=0,AND(N(Envelopes!$E$20)&gt;0,L$7&gt;N(Envelopes!$E$20))),0,INT(ROUND(ROUND(C23-SUMPRODUCT($E23:K23,$E$7:K$7),2)/L$7,6)))</f>
        <v/>
      </c>
      <c r="M23" s="37">
        <f>IF(OR(C23="",N(C23)&lt;=0),"",ROUND(C23-SUMPRODUCT(E23:L23,$E$7:$L$7),2))</f>
        <v/>
      </c>
      <c r="N23" s="1" t="n"/>
    </row>
    <row r="24">
      <c r="A24" s="1" t="n"/>
      <c r="B24" s="9">
        <f>IF(Envelopes!$B$21="","",Envelopes!$B$21)</f>
        <v/>
      </c>
      <c r="C24" s="11">
        <f>IF(OR(B24="",$N$4=0),"",N(INDEX(Paydays!$E$6:$T$205,$N$4,16)))</f>
        <v/>
      </c>
      <c r="D24" s="35">
        <f>IF(B24="","",IF(N(Envelopes!$E$21)&gt;0,N(Envelopes!$E$21),"Any"))</f>
        <v/>
      </c>
      <c r="E24" s="36">
        <f>IF(OR(N(C24)&lt;=0,E$7&lt;=0,AND(N(Envelopes!$E$21)&gt;0,E$7&gt;N(Envelopes!$E$21))),0,INT(ROUND(ROUND(C24-0,2)/E$7,6)))</f>
        <v/>
      </c>
      <c r="F24" s="36">
        <f>IF(OR(N(C24)&lt;=0,F$7&lt;=0,AND(N(Envelopes!$E$21)&gt;0,F$7&gt;N(Envelopes!$E$21))),0,INT(ROUND(ROUND(C24-SUMPRODUCT($E24:E24,$E$7:E$7),2)/F$7,6)))</f>
        <v/>
      </c>
      <c r="G24" s="36">
        <f>IF(OR(N(C24)&lt;=0,G$7&lt;=0,AND(N(Envelopes!$E$21)&gt;0,G$7&gt;N(Envelopes!$E$21))),0,INT(ROUND(ROUND(C24-SUMPRODUCT($E24:F24,$E$7:F$7),2)/G$7,6)))</f>
        <v/>
      </c>
      <c r="H24" s="36">
        <f>IF(OR(N(C24)&lt;=0,H$7&lt;=0,AND(N(Envelopes!$E$21)&gt;0,H$7&gt;N(Envelopes!$E$21))),0,INT(ROUND(ROUND(C24-SUMPRODUCT($E24:G24,$E$7:G$7),2)/H$7,6)))</f>
        <v/>
      </c>
      <c r="I24" s="36">
        <f>IF(OR(N(C24)&lt;=0,I$7&lt;=0,AND(N(Envelopes!$E$21)&gt;0,I$7&gt;N(Envelopes!$E$21))),0,INT(ROUND(ROUND(C24-SUMPRODUCT($E24:H24,$E$7:H$7),2)/I$7,6)))</f>
        <v/>
      </c>
      <c r="J24" s="36">
        <f>IF(OR(N(C24)&lt;=0,J$7&lt;=0,AND(N(Envelopes!$E$21)&gt;0,J$7&gt;N(Envelopes!$E$21))),0,INT(ROUND(ROUND(C24-SUMPRODUCT($E24:I24,$E$7:I$7),2)/J$7,6)))</f>
        <v/>
      </c>
      <c r="K24" s="36">
        <f>IF(OR(N(C24)&lt;=0,K$7&lt;=0,AND(N(Envelopes!$E$21)&gt;0,K$7&gt;N(Envelopes!$E$21))),0,INT(ROUND(ROUND(C24-SUMPRODUCT($E24:J24,$E$7:J$7),2)/K$7,6)))</f>
        <v/>
      </c>
      <c r="L24" s="36">
        <f>IF(OR(N(C24)&lt;=0,L$7&lt;=0,AND(N(Envelopes!$E$21)&gt;0,L$7&gt;N(Envelopes!$E$21))),0,INT(ROUND(ROUND(C24-SUMPRODUCT($E24:K24,$E$7:K$7),2)/L$7,6)))</f>
        <v/>
      </c>
      <c r="M24" s="37">
        <f>IF(OR(C24="",N(C24)&lt;=0),"",ROUND(C24-SUMPRODUCT(E24:L24,$E$7:$L$7),2))</f>
        <v/>
      </c>
      <c r="N24" s="1" t="n"/>
    </row>
    <row r="25">
      <c r="A25" s="1" t="n"/>
      <c r="B25" s="38" t="inlineStr">
        <is>
          <t>Notes to ask for</t>
        </is>
      </c>
      <c r="C25" s="1" t="n"/>
      <c r="D25" s="1" t="n"/>
      <c r="E25" s="39">
        <f>SUM(E9:E24)</f>
        <v/>
      </c>
      <c r="F25" s="39">
        <f>SUM(F9:F24)</f>
        <v/>
      </c>
      <c r="G25" s="39">
        <f>SUM(G9:G24)</f>
        <v/>
      </c>
      <c r="H25" s="39">
        <f>SUM(H9:H24)</f>
        <v/>
      </c>
      <c r="I25" s="39">
        <f>SUM(I9:I24)</f>
        <v/>
      </c>
      <c r="J25" s="39">
        <f>SUM(J9:J24)</f>
        <v/>
      </c>
      <c r="K25" s="39">
        <f>SUM(K9:K24)</f>
        <v/>
      </c>
      <c r="L25" s="39">
        <f>SUM(L9:L24)</f>
        <v/>
      </c>
      <c r="M25" s="40">
        <f>SUM(M9:M24)</f>
        <v/>
      </c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41">
        <f>IF(C5&lt;=0,"","Ask the bank for "&amp;MID(E28&amp;F28&amp;G28&amp;H28&amp;I28&amp;J28&amp;K28&amp;L28&amp;M28,3,400)&amp;".")</f>
        <v/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 hidden="1">
      <c r="A28" s="1" t="n"/>
      <c r="B28" s="1" t="n"/>
      <c r="C28" s="1" t="n"/>
      <c r="D28" s="1" t="n"/>
      <c r="E28" s="1">
        <f>IF(E25&gt;0,", "&amp;E25&amp;" of "&amp;E7,"")</f>
        <v/>
      </c>
      <c r="F28" s="1">
        <f>IF(F25&gt;0,", "&amp;F25&amp;" of "&amp;F7,"")</f>
        <v/>
      </c>
      <c r="G28" s="1">
        <f>IF(G25&gt;0,", "&amp;G25&amp;" of "&amp;G7,"")</f>
        <v/>
      </c>
      <c r="H28" s="1">
        <f>IF(H25&gt;0,", "&amp;H25&amp;" of "&amp;H7,"")</f>
        <v/>
      </c>
      <c r="I28" s="1">
        <f>IF(I25&gt;0,", "&amp;I25&amp;" of "&amp;I7,"")</f>
        <v/>
      </c>
      <c r="J28" s="1">
        <f>IF(J25&gt;0,", "&amp;J25&amp;" of "&amp;J7,"")</f>
        <v/>
      </c>
      <c r="K28" s="1">
        <f>IF(K25&gt;0,", "&amp;K25&amp;" of "&amp;K7,"")</f>
        <v/>
      </c>
      <c r="L28" s="1">
        <f>IF(L25&gt;0,", "&amp;L25&amp;" of "&amp;L7,"")</f>
        <v/>
      </c>
      <c r="M28" s="1">
        <f>IF(M25&gt;0,IF(SUM(E25:L25)&gt;0,", and ",", ")&amp;FIXED(M25,2)&amp;" in coins","")</f>
        <v/>
      </c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</sheetData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5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7" customWidth="1" min="3" max="3"/>
    <col width="10" customWidth="1" min="4" max="4"/>
    <col width="10" customWidth="1" min="5" max="5"/>
    <col width="3" customWidth="1" min="6" max="6"/>
    <col width="10" customWidth="1" min="7" max="7"/>
    <col width="17" customWidth="1" min="8" max="8"/>
    <col width="10" customWidth="1" min="9" max="9"/>
    <col width="10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Envelope cards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Print this tab, cut out the cards and keep one in each envelope.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29" t="inlineStr">
        <is>
          <t>Cards</t>
        </is>
      </c>
      <c r="C4" s="42" t="inlineStr">
        <is>
          <t>1 to 8</t>
        </is>
      </c>
      <c r="D4" s="43">
        <f>IF(N(Cash!$C$4)=0,"","For the payday of "&amp;DAY(Cash!$C$4)&amp;" "&amp;CHOOSE(MONTH(Cash!$C$4),"Jan","Feb","Mar","Apr","May","Jun","Jul","Aug","Sep","Oct","Nov","Dec"))</f>
        <v/>
      </c>
      <c r="E4" s="1" t="n"/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n"/>
      <c r="B6" s="44">
        <f>IF(INDEX(Envelopes!$B$6:$B$21,(1+IF($C$4="9 to 16",8,0)))="","",INDEX(Envelopes!$B$6:$B$21,(1+IF($C$4="9 to 16",8,0))))</f>
        <v/>
      </c>
      <c r="C6" s="1" t="n"/>
      <c r="D6" s="1" t="n"/>
      <c r="E6" s="1" t="n"/>
      <c r="F6" s="1" t="n"/>
      <c r="G6" s="44">
        <f>IF(INDEX(Envelopes!$B$6:$B$21,(2+IF($C$4="9 to 16",8,0)))="","",INDEX(Envelopes!$B$6:$B$21,(2+IF($C$4="9 to 16",8,0))))</f>
        <v/>
      </c>
      <c r="H6" s="1" t="n"/>
      <c r="I6" s="1" t="n"/>
      <c r="J6" s="1" t="n"/>
      <c r="K6" s="1" t="n"/>
    </row>
    <row r="7">
      <c r="A7" s="1" t="n"/>
      <c r="B7" s="43">
        <f>IF(INDEX(Envelopes!$B$6:$B$21,(1+IF($C$4="9 to 16",8,0)))="","",IF(N(Cash!$C$4)=0,"","Cash on "&amp;DAY(Cash!$C$4)&amp;" "&amp;CHOOSE(MONTH(Cash!$C$4),"Jan","Feb","Mar","Apr","May","Jun","Jul","Aug","Sep","Oct","Nov","Dec")&amp;": "&amp;FIXED(N(INDEX(Envelopes!$Q$6:$Q$21,(1+IF($C$4="9 to 16",8,0)))),2)))</f>
        <v/>
      </c>
      <c r="C7" s="1" t="n"/>
      <c r="D7" s="1" t="n"/>
      <c r="E7" s="1" t="n"/>
      <c r="F7" s="1" t="n"/>
      <c r="G7" s="43">
        <f>IF(INDEX(Envelopes!$B$6:$B$21,(2+IF($C$4="9 to 16",8,0)))="","",IF(N(Cash!$C$4)=0,"","Cash on "&amp;DAY(Cash!$C$4)&amp;" "&amp;CHOOSE(MONTH(Cash!$C$4),"Jan","Feb","Mar","Apr","May","Jun","Jul","Aug","Sep","Oct","Nov","Dec")&amp;": "&amp;FIXED(N(INDEX(Envelopes!$Q$6:$Q$21,(2+IF($C$4="9 to 16",8,0)))),2)))</f>
        <v/>
      </c>
      <c r="H7" s="1" t="n"/>
      <c r="I7" s="1" t="n"/>
      <c r="J7" s="1" t="n"/>
      <c r="K7" s="1" t="n"/>
    </row>
    <row r="8">
      <c r="A8" s="1" t="n"/>
      <c r="B8" s="45" t="inlineStr">
        <is>
          <t>Date</t>
        </is>
      </c>
      <c r="C8" s="45" t="inlineStr">
        <is>
          <t>What</t>
        </is>
      </c>
      <c r="D8" s="45" t="inlineStr">
        <is>
          <t>Amount</t>
        </is>
      </c>
      <c r="E8" s="45" t="inlineStr">
        <is>
          <t>Left</t>
        </is>
      </c>
      <c r="F8" s="1" t="n"/>
      <c r="G8" s="45" t="inlineStr">
        <is>
          <t>Date</t>
        </is>
      </c>
      <c r="H8" s="45" t="inlineStr">
        <is>
          <t>What</t>
        </is>
      </c>
      <c r="I8" s="45" t="inlineStr">
        <is>
          <t>Amount</t>
        </is>
      </c>
      <c r="J8" s="45" t="inlineStr">
        <is>
          <t>Left</t>
        </is>
      </c>
      <c r="K8" s="1" t="n"/>
    </row>
    <row r="9" ht="20" customHeight="1">
      <c r="A9" s="1" t="n"/>
      <c r="B9" s="46" t="n"/>
      <c r="C9" s="46" t="n"/>
      <c r="D9" s="46" t="n"/>
      <c r="E9" s="46" t="n"/>
      <c r="F9" s="1" t="n"/>
      <c r="G9" s="46" t="n"/>
      <c r="H9" s="46" t="n"/>
      <c r="I9" s="46" t="n"/>
      <c r="J9" s="46" t="n"/>
      <c r="K9" s="1" t="n"/>
    </row>
    <row r="10" ht="20" customHeight="1">
      <c r="A10" s="1" t="n"/>
      <c r="B10" s="46" t="n"/>
      <c r="C10" s="46" t="n"/>
      <c r="D10" s="46" t="n"/>
      <c r="E10" s="46" t="n"/>
      <c r="F10" s="1" t="n"/>
      <c r="G10" s="46" t="n"/>
      <c r="H10" s="46" t="n"/>
      <c r="I10" s="46" t="n"/>
      <c r="J10" s="46" t="n"/>
      <c r="K10" s="1" t="n"/>
    </row>
    <row r="11" ht="20" customHeight="1">
      <c r="A11" s="1" t="n"/>
      <c r="B11" s="46" t="n"/>
      <c r="C11" s="46" t="n"/>
      <c r="D11" s="46" t="n"/>
      <c r="E11" s="46" t="n"/>
      <c r="F11" s="1" t="n"/>
      <c r="G11" s="46" t="n"/>
      <c r="H11" s="46" t="n"/>
      <c r="I11" s="46" t="n"/>
      <c r="J11" s="46" t="n"/>
      <c r="K11" s="1" t="n"/>
    </row>
    <row r="12" ht="20" customHeight="1">
      <c r="A12" s="1" t="n"/>
      <c r="B12" s="46" t="n"/>
      <c r="C12" s="46" t="n"/>
      <c r="D12" s="46" t="n"/>
      <c r="E12" s="46" t="n"/>
      <c r="F12" s="1" t="n"/>
      <c r="G12" s="46" t="n"/>
      <c r="H12" s="46" t="n"/>
      <c r="I12" s="46" t="n"/>
      <c r="J12" s="46" t="n"/>
      <c r="K12" s="1" t="n"/>
    </row>
    <row r="13" ht="20" customHeight="1">
      <c r="A13" s="1" t="n"/>
      <c r="B13" s="46" t="n"/>
      <c r="C13" s="46" t="n"/>
      <c r="D13" s="46" t="n"/>
      <c r="E13" s="46" t="n"/>
      <c r="F13" s="1" t="n"/>
      <c r="G13" s="46" t="n"/>
      <c r="H13" s="46" t="n"/>
      <c r="I13" s="46" t="n"/>
      <c r="J13" s="46" t="n"/>
      <c r="K13" s="1" t="n"/>
    </row>
    <row r="14" ht="20" customHeight="1">
      <c r="A14" s="1" t="n"/>
      <c r="B14" s="46" t="n"/>
      <c r="C14" s="46" t="n"/>
      <c r="D14" s="46" t="n"/>
      <c r="E14" s="46" t="n"/>
      <c r="F14" s="1" t="n"/>
      <c r="G14" s="46" t="n"/>
      <c r="H14" s="46" t="n"/>
      <c r="I14" s="46" t="n"/>
      <c r="J14" s="46" t="n"/>
      <c r="K14" s="1" t="n"/>
    </row>
    <row r="15" ht="20" customHeight="1">
      <c r="A15" s="1" t="n"/>
      <c r="B15" s="46" t="n"/>
      <c r="C15" s="46" t="n"/>
      <c r="D15" s="46" t="n"/>
      <c r="E15" s="46" t="n"/>
      <c r="F15" s="1" t="n"/>
      <c r="G15" s="46" t="n"/>
      <c r="H15" s="46" t="n"/>
      <c r="I15" s="46" t="n"/>
      <c r="J15" s="46" t="n"/>
      <c r="K15" s="1" t="n"/>
    </row>
    <row r="16" ht="20" customHeight="1">
      <c r="A16" s="1" t="n"/>
      <c r="B16" s="46" t="n"/>
      <c r="C16" s="46" t="n"/>
      <c r="D16" s="46" t="n"/>
      <c r="E16" s="46" t="n"/>
      <c r="F16" s="1" t="n"/>
      <c r="G16" s="46" t="n"/>
      <c r="H16" s="46" t="n"/>
      <c r="I16" s="46" t="n"/>
      <c r="J16" s="46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s="1" t="n"/>
      <c r="B18" s="44">
        <f>IF(INDEX(Envelopes!$B$6:$B$21,(3+IF($C$4="9 to 16",8,0)))="","",INDEX(Envelopes!$B$6:$B$21,(3+IF($C$4="9 to 16",8,0))))</f>
        <v/>
      </c>
      <c r="C18" s="1" t="n"/>
      <c r="D18" s="1" t="n"/>
      <c r="E18" s="1" t="n"/>
      <c r="F18" s="1" t="n"/>
      <c r="G18" s="44">
        <f>IF(INDEX(Envelopes!$B$6:$B$21,(4+IF($C$4="9 to 16",8,0)))="","",INDEX(Envelopes!$B$6:$B$21,(4+IF($C$4="9 to 16",8,0))))</f>
        <v/>
      </c>
      <c r="H18" s="1" t="n"/>
      <c r="I18" s="1" t="n"/>
      <c r="J18" s="1" t="n"/>
      <c r="K18" s="1" t="n"/>
    </row>
    <row r="19">
      <c r="A19" s="1" t="n"/>
      <c r="B19" s="43">
        <f>IF(INDEX(Envelopes!$B$6:$B$21,(3+IF($C$4="9 to 16",8,0)))="","",IF(N(Cash!$C$4)=0,"","Cash on "&amp;DAY(Cash!$C$4)&amp;" "&amp;CHOOSE(MONTH(Cash!$C$4),"Jan","Feb","Mar","Apr","May","Jun","Jul","Aug","Sep","Oct","Nov","Dec")&amp;": "&amp;FIXED(N(INDEX(Envelopes!$Q$6:$Q$21,(3+IF($C$4="9 to 16",8,0)))),2)))</f>
        <v/>
      </c>
      <c r="C19" s="1" t="n"/>
      <c r="D19" s="1" t="n"/>
      <c r="E19" s="1" t="n"/>
      <c r="F19" s="1" t="n"/>
      <c r="G19" s="43">
        <f>IF(INDEX(Envelopes!$B$6:$B$21,(4+IF($C$4="9 to 16",8,0)))="","",IF(N(Cash!$C$4)=0,"","Cash on "&amp;DAY(Cash!$C$4)&amp;" "&amp;CHOOSE(MONTH(Cash!$C$4),"Jan","Feb","Mar","Apr","May","Jun","Jul","Aug","Sep","Oct","Nov","Dec")&amp;": "&amp;FIXED(N(INDEX(Envelopes!$Q$6:$Q$21,(4+IF($C$4="9 to 16",8,0)))),2)))</f>
        <v/>
      </c>
      <c r="H19" s="1" t="n"/>
      <c r="I19" s="1" t="n"/>
      <c r="J19" s="1" t="n"/>
      <c r="K19" s="1" t="n"/>
    </row>
    <row r="20">
      <c r="A20" s="1" t="n"/>
      <c r="B20" s="45" t="inlineStr">
        <is>
          <t>Date</t>
        </is>
      </c>
      <c r="C20" s="45" t="inlineStr">
        <is>
          <t>What</t>
        </is>
      </c>
      <c r="D20" s="45" t="inlineStr">
        <is>
          <t>Amount</t>
        </is>
      </c>
      <c r="E20" s="45" t="inlineStr">
        <is>
          <t>Left</t>
        </is>
      </c>
      <c r="F20" s="1" t="n"/>
      <c r="G20" s="45" t="inlineStr">
        <is>
          <t>Date</t>
        </is>
      </c>
      <c r="H20" s="45" t="inlineStr">
        <is>
          <t>What</t>
        </is>
      </c>
      <c r="I20" s="45" t="inlineStr">
        <is>
          <t>Amount</t>
        </is>
      </c>
      <c r="J20" s="45" t="inlineStr">
        <is>
          <t>Left</t>
        </is>
      </c>
      <c r="K20" s="1" t="n"/>
    </row>
    <row r="21" ht="20" customHeight="1">
      <c r="A21" s="1" t="n"/>
      <c r="B21" s="46" t="n"/>
      <c r="C21" s="46" t="n"/>
      <c r="D21" s="46" t="n"/>
      <c r="E21" s="46" t="n"/>
      <c r="F21" s="1" t="n"/>
      <c r="G21" s="46" t="n"/>
      <c r="H21" s="46" t="n"/>
      <c r="I21" s="46" t="n"/>
      <c r="J21" s="46" t="n"/>
      <c r="K21" s="1" t="n"/>
    </row>
    <row r="22" ht="20" customHeight="1">
      <c r="A22" s="1" t="n"/>
      <c r="B22" s="46" t="n"/>
      <c r="C22" s="46" t="n"/>
      <c r="D22" s="46" t="n"/>
      <c r="E22" s="46" t="n"/>
      <c r="F22" s="1" t="n"/>
      <c r="G22" s="46" t="n"/>
      <c r="H22" s="46" t="n"/>
      <c r="I22" s="46" t="n"/>
      <c r="J22" s="46" t="n"/>
      <c r="K22" s="1" t="n"/>
    </row>
    <row r="23" ht="20" customHeight="1">
      <c r="A23" s="1" t="n"/>
      <c r="B23" s="46" t="n"/>
      <c r="C23" s="46" t="n"/>
      <c r="D23" s="46" t="n"/>
      <c r="E23" s="46" t="n"/>
      <c r="F23" s="1" t="n"/>
      <c r="G23" s="46" t="n"/>
      <c r="H23" s="46" t="n"/>
      <c r="I23" s="46" t="n"/>
      <c r="J23" s="46" t="n"/>
      <c r="K23" s="1" t="n"/>
    </row>
    <row r="24" ht="20" customHeight="1">
      <c r="A24" s="1" t="n"/>
      <c r="B24" s="46" t="n"/>
      <c r="C24" s="46" t="n"/>
      <c r="D24" s="46" t="n"/>
      <c r="E24" s="46" t="n"/>
      <c r="F24" s="1" t="n"/>
      <c r="G24" s="46" t="n"/>
      <c r="H24" s="46" t="n"/>
      <c r="I24" s="46" t="n"/>
      <c r="J24" s="46" t="n"/>
      <c r="K24" s="1" t="n"/>
    </row>
    <row r="25" ht="20" customHeight="1">
      <c r="A25" s="1" t="n"/>
      <c r="B25" s="46" t="n"/>
      <c r="C25" s="46" t="n"/>
      <c r="D25" s="46" t="n"/>
      <c r="E25" s="46" t="n"/>
      <c r="F25" s="1" t="n"/>
      <c r="G25" s="46" t="n"/>
      <c r="H25" s="46" t="n"/>
      <c r="I25" s="46" t="n"/>
      <c r="J25" s="46" t="n"/>
      <c r="K25" s="1" t="n"/>
    </row>
    <row r="26" ht="20" customHeight="1">
      <c r="A26" s="1" t="n"/>
      <c r="B26" s="46" t="n"/>
      <c r="C26" s="46" t="n"/>
      <c r="D26" s="46" t="n"/>
      <c r="E26" s="46" t="n"/>
      <c r="F26" s="1" t="n"/>
      <c r="G26" s="46" t="n"/>
      <c r="H26" s="46" t="n"/>
      <c r="I26" s="46" t="n"/>
      <c r="J26" s="46" t="n"/>
      <c r="K26" s="1" t="n"/>
    </row>
    <row r="27" ht="20" customHeight="1">
      <c r="A27" s="1" t="n"/>
      <c r="B27" s="46" t="n"/>
      <c r="C27" s="46" t="n"/>
      <c r="D27" s="46" t="n"/>
      <c r="E27" s="46" t="n"/>
      <c r="F27" s="1" t="n"/>
      <c r="G27" s="46" t="n"/>
      <c r="H27" s="46" t="n"/>
      <c r="I27" s="46" t="n"/>
      <c r="J27" s="46" t="n"/>
      <c r="K27" s="1" t="n"/>
    </row>
    <row r="28" ht="20" customHeight="1">
      <c r="A28" s="1" t="n"/>
      <c r="B28" s="46" t="n"/>
      <c r="C28" s="46" t="n"/>
      <c r="D28" s="46" t="n"/>
      <c r="E28" s="46" t="n"/>
      <c r="F28" s="1" t="n"/>
      <c r="G28" s="46" t="n"/>
      <c r="H28" s="46" t="n"/>
      <c r="I28" s="46" t="n"/>
      <c r="J28" s="46" t="n"/>
      <c r="K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n"/>
      <c r="B30" s="44">
        <f>IF(INDEX(Envelopes!$B$6:$B$21,(5+IF($C$4="9 to 16",8,0)))="","",INDEX(Envelopes!$B$6:$B$21,(5+IF($C$4="9 to 16",8,0))))</f>
        <v/>
      </c>
      <c r="C30" s="1" t="n"/>
      <c r="D30" s="1" t="n"/>
      <c r="E30" s="1" t="n"/>
      <c r="F30" s="1" t="n"/>
      <c r="G30" s="44">
        <f>IF(INDEX(Envelopes!$B$6:$B$21,(6+IF($C$4="9 to 16",8,0)))="","",INDEX(Envelopes!$B$6:$B$21,(6+IF($C$4="9 to 16",8,0))))</f>
        <v/>
      </c>
      <c r="H30" s="1" t="n"/>
      <c r="I30" s="1" t="n"/>
      <c r="J30" s="1" t="n"/>
      <c r="K30" s="1" t="n"/>
    </row>
    <row r="31">
      <c r="A31" s="1" t="n"/>
      <c r="B31" s="43">
        <f>IF(INDEX(Envelopes!$B$6:$B$21,(5+IF($C$4="9 to 16",8,0)))="","",IF(N(Cash!$C$4)=0,"","Cash on "&amp;DAY(Cash!$C$4)&amp;" "&amp;CHOOSE(MONTH(Cash!$C$4),"Jan","Feb","Mar","Apr","May","Jun","Jul","Aug","Sep","Oct","Nov","Dec")&amp;": "&amp;FIXED(N(INDEX(Envelopes!$Q$6:$Q$21,(5+IF($C$4="9 to 16",8,0)))),2)))</f>
        <v/>
      </c>
      <c r="C31" s="1" t="n"/>
      <c r="D31" s="1" t="n"/>
      <c r="E31" s="1" t="n"/>
      <c r="F31" s="1" t="n"/>
      <c r="G31" s="43">
        <f>IF(INDEX(Envelopes!$B$6:$B$21,(6+IF($C$4="9 to 16",8,0)))="","",IF(N(Cash!$C$4)=0,"","Cash on "&amp;DAY(Cash!$C$4)&amp;" "&amp;CHOOSE(MONTH(Cash!$C$4),"Jan","Feb","Mar","Apr","May","Jun","Jul","Aug","Sep","Oct","Nov","Dec")&amp;": "&amp;FIXED(N(INDEX(Envelopes!$Q$6:$Q$21,(6+IF($C$4="9 to 16",8,0)))),2)))</f>
        <v/>
      </c>
      <c r="H31" s="1" t="n"/>
      <c r="I31" s="1" t="n"/>
      <c r="J31" s="1" t="n"/>
      <c r="K31" s="1" t="n"/>
    </row>
    <row r="32">
      <c r="A32" s="1" t="n"/>
      <c r="B32" s="45" t="inlineStr">
        <is>
          <t>Date</t>
        </is>
      </c>
      <c r="C32" s="45" t="inlineStr">
        <is>
          <t>What</t>
        </is>
      </c>
      <c r="D32" s="45" t="inlineStr">
        <is>
          <t>Amount</t>
        </is>
      </c>
      <c r="E32" s="45" t="inlineStr">
        <is>
          <t>Left</t>
        </is>
      </c>
      <c r="F32" s="1" t="n"/>
      <c r="G32" s="45" t="inlineStr">
        <is>
          <t>Date</t>
        </is>
      </c>
      <c r="H32" s="45" t="inlineStr">
        <is>
          <t>What</t>
        </is>
      </c>
      <c r="I32" s="45" t="inlineStr">
        <is>
          <t>Amount</t>
        </is>
      </c>
      <c r="J32" s="45" t="inlineStr">
        <is>
          <t>Left</t>
        </is>
      </c>
      <c r="K32" s="1" t="n"/>
    </row>
    <row r="33" ht="20" customHeight="1">
      <c r="A33" s="1" t="n"/>
      <c r="B33" s="46" t="n"/>
      <c r="C33" s="46" t="n"/>
      <c r="D33" s="46" t="n"/>
      <c r="E33" s="46" t="n"/>
      <c r="F33" s="1" t="n"/>
      <c r="G33" s="46" t="n"/>
      <c r="H33" s="46" t="n"/>
      <c r="I33" s="46" t="n"/>
      <c r="J33" s="46" t="n"/>
      <c r="K33" s="1" t="n"/>
    </row>
    <row r="34" ht="20" customHeight="1">
      <c r="A34" s="1" t="n"/>
      <c r="B34" s="46" t="n"/>
      <c r="C34" s="46" t="n"/>
      <c r="D34" s="46" t="n"/>
      <c r="E34" s="46" t="n"/>
      <c r="F34" s="1" t="n"/>
      <c r="G34" s="46" t="n"/>
      <c r="H34" s="46" t="n"/>
      <c r="I34" s="46" t="n"/>
      <c r="J34" s="46" t="n"/>
      <c r="K34" s="1" t="n"/>
    </row>
    <row r="35" ht="20" customHeight="1">
      <c r="A35" s="1" t="n"/>
      <c r="B35" s="46" t="n"/>
      <c r="C35" s="46" t="n"/>
      <c r="D35" s="46" t="n"/>
      <c r="E35" s="46" t="n"/>
      <c r="F35" s="1" t="n"/>
      <c r="G35" s="46" t="n"/>
      <c r="H35" s="46" t="n"/>
      <c r="I35" s="46" t="n"/>
      <c r="J35" s="46" t="n"/>
      <c r="K35" s="1" t="n"/>
    </row>
    <row r="36" ht="20" customHeight="1">
      <c r="A36" s="1" t="n"/>
      <c r="B36" s="46" t="n"/>
      <c r="C36" s="46" t="n"/>
      <c r="D36" s="46" t="n"/>
      <c r="E36" s="46" t="n"/>
      <c r="F36" s="1" t="n"/>
      <c r="G36" s="46" t="n"/>
      <c r="H36" s="46" t="n"/>
      <c r="I36" s="46" t="n"/>
      <c r="J36" s="46" t="n"/>
      <c r="K36" s="1" t="n"/>
    </row>
    <row r="37" ht="20" customHeight="1">
      <c r="A37" s="1" t="n"/>
      <c r="B37" s="46" t="n"/>
      <c r="C37" s="46" t="n"/>
      <c r="D37" s="46" t="n"/>
      <c r="E37" s="46" t="n"/>
      <c r="F37" s="1" t="n"/>
      <c r="G37" s="46" t="n"/>
      <c r="H37" s="46" t="n"/>
      <c r="I37" s="46" t="n"/>
      <c r="J37" s="46" t="n"/>
      <c r="K37" s="1" t="n"/>
    </row>
    <row r="38" ht="20" customHeight="1">
      <c r="A38" s="1" t="n"/>
      <c r="B38" s="46" t="n"/>
      <c r="C38" s="46" t="n"/>
      <c r="D38" s="46" t="n"/>
      <c r="E38" s="46" t="n"/>
      <c r="F38" s="1" t="n"/>
      <c r="G38" s="46" t="n"/>
      <c r="H38" s="46" t="n"/>
      <c r="I38" s="46" t="n"/>
      <c r="J38" s="46" t="n"/>
      <c r="K38" s="1" t="n"/>
    </row>
    <row r="39" ht="20" customHeight="1">
      <c r="A39" s="1" t="n"/>
      <c r="B39" s="46" t="n"/>
      <c r="C39" s="46" t="n"/>
      <c r="D39" s="46" t="n"/>
      <c r="E39" s="46" t="n"/>
      <c r="F39" s="1" t="n"/>
      <c r="G39" s="46" t="n"/>
      <c r="H39" s="46" t="n"/>
      <c r="I39" s="46" t="n"/>
      <c r="J39" s="46" t="n"/>
      <c r="K39" s="1" t="n"/>
    </row>
    <row r="40" ht="20" customHeight="1">
      <c r="A40" s="1" t="n"/>
      <c r="B40" s="46" t="n"/>
      <c r="C40" s="46" t="n"/>
      <c r="D40" s="46" t="n"/>
      <c r="E40" s="46" t="n"/>
      <c r="F40" s="1" t="n"/>
      <c r="G40" s="46" t="n"/>
      <c r="H40" s="46" t="n"/>
      <c r="I40" s="46" t="n"/>
      <c r="J40" s="46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1" t="n"/>
      <c r="B42" s="44">
        <f>IF(INDEX(Envelopes!$B$6:$B$21,(7+IF($C$4="9 to 16",8,0)))="","",INDEX(Envelopes!$B$6:$B$21,(7+IF($C$4="9 to 16",8,0))))</f>
        <v/>
      </c>
      <c r="C42" s="1" t="n"/>
      <c r="D42" s="1" t="n"/>
      <c r="E42" s="1" t="n"/>
      <c r="F42" s="1" t="n"/>
      <c r="G42" s="44">
        <f>IF(INDEX(Envelopes!$B$6:$B$21,(8+IF($C$4="9 to 16",8,0)))="","",INDEX(Envelopes!$B$6:$B$21,(8+IF($C$4="9 to 16",8,0))))</f>
        <v/>
      </c>
      <c r="H42" s="1" t="n"/>
      <c r="I42" s="1" t="n"/>
      <c r="J42" s="1" t="n"/>
      <c r="K42" s="1" t="n"/>
    </row>
    <row r="43">
      <c r="A43" s="1" t="n"/>
      <c r="B43" s="43">
        <f>IF(INDEX(Envelopes!$B$6:$B$21,(7+IF($C$4="9 to 16",8,0)))="","",IF(N(Cash!$C$4)=0,"","Cash on "&amp;DAY(Cash!$C$4)&amp;" "&amp;CHOOSE(MONTH(Cash!$C$4),"Jan","Feb","Mar","Apr","May","Jun","Jul","Aug","Sep","Oct","Nov","Dec")&amp;": "&amp;FIXED(N(INDEX(Envelopes!$Q$6:$Q$21,(7+IF($C$4="9 to 16",8,0)))),2)))</f>
        <v/>
      </c>
      <c r="C43" s="1" t="n"/>
      <c r="D43" s="1" t="n"/>
      <c r="E43" s="1" t="n"/>
      <c r="F43" s="1" t="n"/>
      <c r="G43" s="43">
        <f>IF(INDEX(Envelopes!$B$6:$B$21,(8+IF($C$4="9 to 16",8,0)))="","",IF(N(Cash!$C$4)=0,"","Cash on "&amp;DAY(Cash!$C$4)&amp;" "&amp;CHOOSE(MONTH(Cash!$C$4),"Jan","Feb","Mar","Apr","May","Jun","Jul","Aug","Sep","Oct","Nov","Dec")&amp;": "&amp;FIXED(N(INDEX(Envelopes!$Q$6:$Q$21,(8+IF($C$4="9 to 16",8,0)))),2)))</f>
        <v/>
      </c>
      <c r="H43" s="1" t="n"/>
      <c r="I43" s="1" t="n"/>
      <c r="J43" s="1" t="n"/>
      <c r="K43" s="1" t="n"/>
    </row>
    <row r="44">
      <c r="A44" s="1" t="n"/>
      <c r="B44" s="45" t="inlineStr">
        <is>
          <t>Date</t>
        </is>
      </c>
      <c r="C44" s="45" t="inlineStr">
        <is>
          <t>What</t>
        </is>
      </c>
      <c r="D44" s="45" t="inlineStr">
        <is>
          <t>Amount</t>
        </is>
      </c>
      <c r="E44" s="45" t="inlineStr">
        <is>
          <t>Left</t>
        </is>
      </c>
      <c r="F44" s="1" t="n"/>
      <c r="G44" s="45" t="inlineStr">
        <is>
          <t>Date</t>
        </is>
      </c>
      <c r="H44" s="45" t="inlineStr">
        <is>
          <t>What</t>
        </is>
      </c>
      <c r="I44" s="45" t="inlineStr">
        <is>
          <t>Amount</t>
        </is>
      </c>
      <c r="J44" s="45" t="inlineStr">
        <is>
          <t>Left</t>
        </is>
      </c>
      <c r="K44" s="1" t="n"/>
    </row>
    <row r="45" ht="20" customHeight="1">
      <c r="A45" s="1" t="n"/>
      <c r="B45" s="46" t="n"/>
      <c r="C45" s="46" t="n"/>
      <c r="D45" s="46" t="n"/>
      <c r="E45" s="46" t="n"/>
      <c r="F45" s="1" t="n"/>
      <c r="G45" s="46" t="n"/>
      <c r="H45" s="46" t="n"/>
      <c r="I45" s="46" t="n"/>
      <c r="J45" s="46" t="n"/>
      <c r="K45" s="1" t="n"/>
    </row>
    <row r="46" ht="20" customHeight="1">
      <c r="A46" s="1" t="n"/>
      <c r="B46" s="46" t="n"/>
      <c r="C46" s="46" t="n"/>
      <c r="D46" s="46" t="n"/>
      <c r="E46" s="46" t="n"/>
      <c r="F46" s="1" t="n"/>
      <c r="G46" s="46" t="n"/>
      <c r="H46" s="46" t="n"/>
      <c r="I46" s="46" t="n"/>
      <c r="J46" s="46" t="n"/>
      <c r="K46" s="1" t="n"/>
    </row>
    <row r="47" ht="20" customHeight="1">
      <c r="A47" s="1" t="n"/>
      <c r="B47" s="46" t="n"/>
      <c r="C47" s="46" t="n"/>
      <c r="D47" s="46" t="n"/>
      <c r="E47" s="46" t="n"/>
      <c r="F47" s="1" t="n"/>
      <c r="G47" s="46" t="n"/>
      <c r="H47" s="46" t="n"/>
      <c r="I47" s="46" t="n"/>
      <c r="J47" s="46" t="n"/>
      <c r="K47" s="1" t="n"/>
    </row>
    <row r="48" ht="20" customHeight="1">
      <c r="A48" s="1" t="n"/>
      <c r="B48" s="46" t="n"/>
      <c r="C48" s="46" t="n"/>
      <c r="D48" s="46" t="n"/>
      <c r="E48" s="46" t="n"/>
      <c r="F48" s="1" t="n"/>
      <c r="G48" s="46" t="n"/>
      <c r="H48" s="46" t="n"/>
      <c r="I48" s="46" t="n"/>
      <c r="J48" s="46" t="n"/>
      <c r="K48" s="1" t="n"/>
    </row>
    <row r="49" ht="20" customHeight="1">
      <c r="A49" s="1" t="n"/>
      <c r="B49" s="46" t="n"/>
      <c r="C49" s="46" t="n"/>
      <c r="D49" s="46" t="n"/>
      <c r="E49" s="46" t="n"/>
      <c r="F49" s="1" t="n"/>
      <c r="G49" s="46" t="n"/>
      <c r="H49" s="46" t="n"/>
      <c r="I49" s="46" t="n"/>
      <c r="J49" s="46" t="n"/>
      <c r="K49" s="1" t="n"/>
    </row>
    <row r="50" ht="20" customHeight="1">
      <c r="A50" s="1" t="n"/>
      <c r="B50" s="46" t="n"/>
      <c r="C50" s="46" t="n"/>
      <c r="D50" s="46" t="n"/>
      <c r="E50" s="46" t="n"/>
      <c r="F50" s="1" t="n"/>
      <c r="G50" s="46" t="n"/>
      <c r="H50" s="46" t="n"/>
      <c r="I50" s="46" t="n"/>
      <c r="J50" s="46" t="n"/>
      <c r="K50" s="1" t="n"/>
    </row>
    <row r="51" ht="20" customHeight="1">
      <c r="A51" s="1" t="n"/>
      <c r="B51" s="46" t="n"/>
      <c r="C51" s="46" t="n"/>
      <c r="D51" s="46" t="n"/>
      <c r="E51" s="46" t="n"/>
      <c r="F51" s="1" t="n"/>
      <c r="G51" s="46" t="n"/>
      <c r="H51" s="46" t="n"/>
      <c r="I51" s="46" t="n"/>
      <c r="J51" s="46" t="n"/>
      <c r="K51" s="1" t="n"/>
    </row>
    <row r="52" ht="20" customHeight="1">
      <c r="A52" s="1" t="n"/>
      <c r="B52" s="46" t="n"/>
      <c r="C52" s="46" t="n"/>
      <c r="D52" s="46" t="n"/>
      <c r="E52" s="46" t="n"/>
      <c r="F52" s="1" t="n"/>
      <c r="G52" s="46" t="n"/>
      <c r="H52" s="46" t="n"/>
      <c r="I52" s="46" t="n"/>
      <c r="J52" s="46" t="n"/>
      <c r="K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</sheetData>
  <dataValidations count="1">
    <dataValidation sqref="C4" showDropDown="0" showInputMessage="0" showErrorMessage="1" allowBlank="1" type="list">
      <formula1>"1 to 8,9 to 16"</formula1>
    </dataValidation>
  </dataValidations>
  <pageMargins left="0.75" right="0.75" top="1" bottom="1" header="0.5" footer="0.5"/>
  <pageSetup orientation="portrait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4" customWidth="1" min="4" max="4"/>
    <col width="58" customWidth="1" min="5" max="5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How often you are paid, the month shown, and the notes your bank gives out.</t>
        </is>
      </c>
      <c r="C3" s="1" t="n"/>
      <c r="D3" s="1" t="n"/>
      <c r="E3" s="1" t="n"/>
      <c r="F3" s="1" t="n"/>
    </row>
    <row r="4">
      <c r="A4" s="1" t="n"/>
      <c r="B4" s="29" t="inlineStr">
        <is>
          <t>Currency</t>
        </is>
      </c>
      <c r="C4" s="26" t="inlineStr">
        <is>
          <t>USD</t>
        </is>
      </c>
      <c r="D4" s="1" t="n"/>
      <c r="E4" s="43" t="inlineStr">
        <is>
          <t>Shown next to the cash to take out.</t>
        </is>
      </c>
      <c r="F4" s="1" t="n"/>
    </row>
    <row r="5">
      <c r="A5" s="1" t="n"/>
      <c r="B5" s="29" t="inlineStr">
        <is>
          <t>Paid</t>
        </is>
      </c>
      <c r="C5" s="26" t="inlineStr">
        <is>
          <t>Every 2 weeks</t>
        </is>
      </c>
      <c r="D5" s="1" t="n"/>
      <c r="E5" s="43" t="inlineStr">
        <is>
          <t>Every week, every 2 weeks, twice a month or every month.</t>
        </is>
      </c>
      <c r="F5" s="1" t="n"/>
      <c r="H5">
        <f>IF(C5="Every week",52,IF(C5="Twice a month",24,IF(C5="Every month",12,26)))</f>
        <v/>
      </c>
    </row>
    <row r="6">
      <c r="A6" s="1" t="n"/>
      <c r="B6" s="29" t="inlineStr">
        <is>
          <t>Month shown</t>
        </is>
      </c>
      <c r="C6" s="47">
        <f>DATE(YEAR(TODAY()),MONTH(TODAY()),1)</f>
        <v/>
      </c>
      <c r="D6" s="1" t="n"/>
      <c r="E6" s="43" t="inlineStr">
        <is>
          <t>The month on the Dashboard. Type a date in another month to look back.</t>
        </is>
      </c>
      <c r="F6" s="1" t="n"/>
    </row>
    <row r="7">
      <c r="A7" s="1" t="n"/>
      <c r="B7" s="29" t="inlineStr">
        <is>
          <t>Low when less than</t>
        </is>
      </c>
      <c r="C7" s="48" t="n">
        <v>0.25</v>
      </c>
      <c r="D7" s="1" t="n"/>
      <c r="E7" s="43" t="inlineStr">
        <is>
          <t>An envelope is low when less than this share of its plan is left.</t>
        </is>
      </c>
      <c r="F7" s="1" t="n"/>
    </row>
    <row r="8">
      <c r="A8" s="1" t="n"/>
      <c r="B8" s="1" t="n"/>
      <c r="C8" s="1" t="n"/>
      <c r="D8" s="1" t="n"/>
      <c r="E8" s="1" t="n"/>
      <c r="F8" s="1" t="n"/>
    </row>
    <row r="9">
      <c r="A9" s="1" t="n"/>
      <c r="B9" s="41" t="inlineStr">
        <is>
          <t>Notes you use</t>
        </is>
      </c>
      <c r="C9" s="1" t="n"/>
      <c r="D9" s="1" t="n"/>
      <c r="E9" s="1" t="n"/>
      <c r="F9" s="1" t="n"/>
    </row>
    <row r="10">
      <c r="A10" s="1" t="n"/>
      <c r="B10" s="43" t="inlineStr">
        <is>
          <t>Any order. Leave out the ones you do not want in your envelopes.</t>
        </is>
      </c>
      <c r="C10" s="1" t="n"/>
      <c r="D10" s="1" t="n"/>
      <c r="E10" s="1" t="n"/>
      <c r="F10" s="1" t="n"/>
    </row>
    <row r="11">
      <c r="A11" s="1" t="n"/>
      <c r="B11" s="49" t="inlineStr">
        <is>
          <t>Note 1</t>
        </is>
      </c>
      <c r="C11" s="27" t="n">
        <v>100</v>
      </c>
      <c r="D11" s="1" t="n"/>
      <c r="E11" s="43" t="inlineStr">
        <is>
          <t>For euros: 200, 100, 50, 20, 10 and 5, and the coins 2 and 1 if you like.</t>
        </is>
      </c>
      <c r="F11" s="1" t="n"/>
    </row>
    <row r="12">
      <c r="A12" s="1" t="n"/>
      <c r="B12" s="49" t="inlineStr">
        <is>
          <t>Note 2</t>
        </is>
      </c>
      <c r="C12" s="27" t="n">
        <v>50</v>
      </c>
      <c r="D12" s="1" t="n"/>
      <c r="E12" s="43" t="inlineStr">
        <is>
          <t>For pounds: 50, 20, 10 and 5. Anything smaller is counted as coins.</t>
        </is>
      </c>
      <c r="F12" s="1" t="n"/>
    </row>
    <row r="13">
      <c r="A13" s="1" t="n"/>
      <c r="B13" s="49" t="inlineStr">
        <is>
          <t>Note 3</t>
        </is>
      </c>
      <c r="C13" s="27" t="n">
        <v>20</v>
      </c>
      <c r="D13" s="1" t="n"/>
      <c r="E13" s="1" t="n"/>
      <c r="F13" s="1" t="n"/>
    </row>
    <row r="14">
      <c r="A14" s="1" t="n"/>
      <c r="B14" s="49" t="inlineStr">
        <is>
          <t>Note 4</t>
        </is>
      </c>
      <c r="C14" s="27" t="n">
        <v>10</v>
      </c>
      <c r="D14" s="1" t="n"/>
      <c r="E14" s="1" t="n"/>
      <c r="F14" s="1" t="n"/>
    </row>
    <row r="15">
      <c r="A15" s="1" t="n"/>
      <c r="B15" s="49" t="inlineStr">
        <is>
          <t>Note 5</t>
        </is>
      </c>
      <c r="C15" s="27" t="n">
        <v>5</v>
      </c>
      <c r="D15" s="1" t="n"/>
      <c r="E15" s="1" t="n"/>
      <c r="F15" s="1" t="n"/>
    </row>
    <row r="16">
      <c r="A16" s="1" t="n"/>
      <c r="B16" s="49" t="inlineStr">
        <is>
          <t>Note 6</t>
        </is>
      </c>
      <c r="C16" s="27" t="n">
        <v>1</v>
      </c>
      <c r="D16" s="1" t="n"/>
      <c r="E16" s="1" t="n"/>
      <c r="F16" s="1" t="n"/>
    </row>
    <row r="17">
      <c r="A17" s="1" t="n"/>
      <c r="B17" s="49" t="inlineStr">
        <is>
          <t>Note 7</t>
        </is>
      </c>
      <c r="C17" s="27" t="n"/>
      <c r="D17" s="1" t="n"/>
      <c r="E17" s="1" t="n"/>
      <c r="F17" s="1" t="n"/>
    </row>
    <row r="18">
      <c r="A18" s="1" t="n"/>
      <c r="B18" s="49" t="inlineStr">
        <is>
          <t>Note 8</t>
        </is>
      </c>
      <c r="C18" s="27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</sheetData>
  <dataValidations count="1">
    <dataValidation sqref="C5" showDropDown="0" showInputMessage="0" showErrorMessage="1" allowBlank="1" type="list">
      <formula1>"Every week,Every 2 weeks,Twice a month,Every month"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50" t="inlineStr">
        <is>
          <t>1</t>
        </is>
      </c>
      <c r="C5" s="51" t="inlineStr">
        <is>
          <t>Settings: how often you are paid, and the notes your bank gives out.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50" t="inlineStr">
        <is>
          <t>2</t>
        </is>
      </c>
      <c r="C7" s="51" t="inlineStr">
        <is>
          <t>Envelopes: each envelope once, with what goes in it each payday and the cash already in it. A sinking fund can have a target and a date.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50" t="inlineStr">
        <is>
          <t>3</t>
        </is>
      </c>
      <c r="C9" s="51" t="inlineStr">
        <is>
          <t>Paydays: each payday, the date and what goes into each envelope. The plan row shows your usual amounts.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50" t="inlineStr">
        <is>
          <t>4</t>
        </is>
      </c>
      <c r="C11" s="51" t="inlineStr">
        <is>
          <t>Cash: the notes to ask for at the bank for that payday, and how many go in each envelope.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50" t="inlineStr">
        <is>
          <t>5</t>
        </is>
      </c>
      <c r="C13" s="51" t="inlineStr">
        <is>
          <t>Spending: each time you spend cash from an envelope. What is left carries over to the next month.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envelopes and amounts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Cards: print a card for each envelope and note what you spend, then type it in later.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2026-09-28T20:26:33Z</dcterms:created>
  <dcterms:modified xsi:type="dcterms:W3CDTF">2026-09-28T20:26:35Z</dcterms:modified>
</cp:coreProperties>
</file>