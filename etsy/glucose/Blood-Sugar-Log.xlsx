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eadings" sheetId="2" state="visible" r:id="rId2"/>
    <sheet name="Medicines" sheetId="3" state="visible" r:id="rId3"/>
    <sheet name="Doses" sheetId="4" state="visible" r:id="rId4"/>
    <sheet name="Report" sheetId="5" state="visible" r:id="rId5"/>
    <sheet name="Settings" sheetId="6" state="visible" r:id="rId6"/>
    <sheet name="Start He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 MMM YYYY"/>
    <numFmt numFmtId="165" formatCode="yyyy-mm-dd"/>
    <numFmt numFmtId="166" formatCode="hh:mm"/>
    <numFmt numFmtId="167" formatCode="0;;"/>
    <numFmt numFmtId="168" formatCode="d mmm yyyy"/>
    <numFmt numFmtId="169" formatCode="ddd d mmm"/>
  </numFmts>
  <fonts count="15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1E2A2F"/>
      <sz val="11"/>
    </font>
    <font>
      <name val="Arial"/>
      <b val="1"/>
      <color rgb="00FFFFFF"/>
      <sz val="11"/>
    </font>
    <font>
      <name val="Arial"/>
      <color rgb="001E2A2F"/>
      <sz val="11"/>
    </font>
    <font>
      <name val="Arial"/>
      <i val="1"/>
      <color rgb="006B7B80"/>
      <sz val="10"/>
    </font>
    <font>
      <name val="Arial"/>
      <i val="1"/>
      <color rgb="006B7B80"/>
      <sz val="9"/>
    </font>
    <font>
      <name val="Arial"/>
      <b val="1"/>
      <color rgb="006B7B80"/>
      <sz val="10"/>
    </font>
    <font>
      <name val="Arial"/>
      <b val="1"/>
      <color rgb="001F6F78"/>
      <sz val="16"/>
    </font>
    <font>
      <name val="Arial"/>
      <b val="1"/>
      <color rgb="00B4541F"/>
      <sz val="16"/>
    </font>
    <font>
      <name val="Arial"/>
      <b val="1"/>
      <color rgb="00B07A00"/>
      <sz val="16"/>
    </font>
    <font>
      <name val="Arial"/>
      <color rgb="00FFFFFF"/>
      <sz val="8"/>
    </font>
    <font>
      <name val="Arial"/>
      <b val="1"/>
      <color rgb="001F6F78"/>
      <sz val="18"/>
    </font>
    <font>
      <name val="Arial"/>
      <color rgb="001E2A2F"/>
      <sz val="13"/>
    </font>
  </fonts>
  <fills count="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2"/>
        <bgColor rgb="00FFF4C2"/>
      </patternFill>
    </fill>
    <fill>
      <patternFill patternType="solid">
        <fgColor rgb="001F6F78"/>
        <bgColor rgb="001F6F78"/>
      </patternFill>
    </fill>
    <fill>
      <patternFill patternType="solid">
        <fgColor rgb="00E8F0EF"/>
        <bgColor rgb="00E8F0EF"/>
      </patternFill>
    </fill>
  </fills>
  <borders count="6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  <border>
      <left/>
      <right/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 style="thin">
        <color rgb="00D5DBDB"/>
      </bottom>
      <diagonal/>
    </border>
    <border>
      <left/>
      <right/>
      <top style="thin">
        <color rgb="00D5DBDB"/>
      </top>
      <bottom style="thin">
        <color rgb="00D5DBDB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8" fillId="2" borderId="1" pivotButton="0" quotePrefix="0" xfId="0"/>
    <xf numFmtId="0" fontId="9" fillId="2" borderId="1" applyAlignment="1" pivotButton="0" quotePrefix="0" xfId="0">
      <alignment horizontal="right"/>
    </xf>
    <xf numFmtId="9" fontId="9" fillId="2" borderId="1" applyAlignment="1" pivotButton="0" quotePrefix="0" xfId="0">
      <alignment horizontal="right"/>
    </xf>
    <xf numFmtId="1" fontId="10" fillId="2" borderId="1" applyAlignment="1" pivotButton="0" quotePrefix="0" xfId="0">
      <alignment horizontal="right"/>
    </xf>
    <xf numFmtId="1" fontId="11" fillId="2" borderId="1" applyAlignment="1" pivotButton="0" quotePrefix="0" xfId="0">
      <alignment horizontal="right"/>
    </xf>
    <xf numFmtId="1" fontId="9" fillId="2" borderId="1" applyAlignment="1" pivotButton="0" quotePrefix="0" xfId="0">
      <alignment horizontal="right"/>
    </xf>
    <xf numFmtId="0" fontId="7" fillId="2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2" borderId="1" pivotButton="0" quotePrefix="0" xfId="0"/>
    <xf numFmtId="167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9" fontId="5" fillId="2" borderId="1" applyAlignment="1" pivotButton="0" quotePrefix="0" xfId="0">
      <alignment horizontal="center" vertical="center"/>
    </xf>
    <xf numFmtId="166" fontId="3" fillId="2" borderId="1" applyAlignment="1" pivotButton="0" quotePrefix="0" xfId="0">
      <alignment horizontal="center" vertical="center"/>
    </xf>
    <xf numFmtId="0" fontId="5" fillId="2" borderId="1" pivotButton="0" quotePrefix="0" xfId="0"/>
    <xf numFmtId="169" fontId="3" fillId="2" borderId="1" pivotButton="0" quotePrefix="0" xfId="0"/>
    <xf numFmtId="0" fontId="12" fillId="2" borderId="0" pivotButton="0" quotePrefix="0" xfId="0"/>
    <xf numFmtId="164" fontId="5" fillId="3" borderId="1" pivotButton="0" quotePrefix="0" xfId="0"/>
    <xf numFmtId="166" fontId="5" fillId="3" borderId="1" applyAlignment="1" pivotButton="0" quotePrefix="0" xfId="0">
      <alignment horizontal="center" vertical="center"/>
    </xf>
    <xf numFmtId="0" fontId="5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1" pivotButton="0" quotePrefix="0" xfId="0"/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" fontId="5" fillId="2" borderId="1" applyAlignment="1" pivotButton="0" quotePrefix="0" xfId="0">
      <alignment horizontal="center" vertical="center"/>
    </xf>
    <xf numFmtId="0" fontId="3" fillId="5" borderId="1" pivotButton="0" quotePrefix="0" xfId="0"/>
    <xf numFmtId="0" fontId="3" fillId="5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8" fontId="5" fillId="2" borderId="1" applyAlignment="1" pivotButton="0" quotePrefix="0" xfId="0">
      <alignment horizontal="center" vertical="center"/>
    </xf>
    <xf numFmtId="0" fontId="3" fillId="2" borderId="0" pivotButton="0" quotePrefix="0" xfId="0"/>
    <xf numFmtId="0" fontId="6" fillId="2" borderId="0" pivotButton="0" quotePrefix="0" xfId="0"/>
    <xf numFmtId="164" fontId="3" fillId="3" borderId="1" applyAlignment="1" pivotButton="0" quotePrefix="0" xfId="0">
      <alignment horizontal="center" vertical="center"/>
    </xf>
    <xf numFmtId="0" fontId="13" fillId="2" borderId="0" pivotButton="0" quotePrefix="0" xfId="0"/>
    <xf numFmtId="0" fontId="14" fillId="2" borderId="0" pivotButton="0" quotePrefix="0" xfId="0"/>
  </cellXfs>
  <cellStyles count="1">
    <cellStyle name="Normal" xfId="0" builtinId="0" hidden="0"/>
  </cellStyles>
  <dxfs count="6">
    <dxf>
      <font>
        <name val="Arial"/>
        <b val="1"/>
        <color rgb="00B4541F"/>
        <sz val="16"/>
      </font>
    </dxf>
    <dxf>
      <font>
        <name val="Arial"/>
        <b val="1"/>
        <color rgb="00B07A00"/>
        <sz val="16"/>
      </font>
    </dxf>
    <dxf>
      <fill>
        <patternFill patternType="solid">
          <fgColor rgb="00D8F0DC"/>
          <bgColor rgb="00D8F0DC"/>
        </patternFill>
      </fill>
    </dxf>
    <dxf>
      <fill>
        <patternFill patternType="solid">
          <fgColor rgb="00FFE2B8"/>
          <bgColor rgb="00FFE2B8"/>
        </patternFill>
      </fill>
    </dxf>
    <dxf>
      <fill>
        <patternFill patternType="solid">
          <fgColor rgb="00E3E8FF"/>
          <bgColor rgb="00E3E8FF"/>
        </patternFill>
      </fill>
    </dxf>
    <dxf>
      <fill>
        <patternFill patternType="solid">
          <fgColor rgb="00F9C9C4"/>
          <bgColor rgb="00F9C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Last 14 days</a:t>
            </a:r>
          </a:p>
        </rich>
      </tx>
    </title>
    <plotArea>
      <lineChart>
        <grouping val="standard"/>
        <ser>
          <idx val="0"/>
          <order val="0"/>
          <tx>
            <v>Average</v>
          </tx>
          <spPr>
            <a:ln w="22000">
              <a:solidFill>
                <a:srgbClr val="1F6F78"/>
              </a:solidFill>
              <a:prstDash val="solid"/>
            </a:ln>
          </spPr>
          <marker>
            <symbol val="circle"/>
            <size val="5"/>
            <spPr>
              <a:solidFill>
                <a:srgbClr val="1F6F78"/>
              </a:solidFill>
              <a:ln>
                <a:solidFill>
                  <a:srgbClr val="1F6F78"/>
                </a:solidFill>
                <a:prstDash val="solid"/>
              </a:ln>
            </spPr>
          </marker>
          <cat>
            <numRef>
              <f>'Dashboard'!$G$21:$G$34</f>
            </numRef>
          </cat>
          <val>
            <numRef>
              <f>'Dashboard'!$H$21:$H$34</f>
            </numRef>
          </val>
          <smooth val="0"/>
        </ser>
        <ser>
          <idx val="1"/>
          <order val="1"/>
          <tx>
            <v>Lowest</v>
          </tx>
          <spPr>
            <a:ln w="22000">
              <a:solidFill>
                <a:srgbClr val="B4541F"/>
              </a:solidFill>
              <a:prstDash val="solid"/>
            </a:ln>
          </spPr>
          <marker>
            <symbol val="circle"/>
            <size val="5"/>
            <spPr>
              <a:solidFill>
                <a:srgbClr val="B4541F"/>
              </a:solidFill>
              <a:ln>
                <a:solidFill>
                  <a:srgbClr val="B4541F"/>
                </a:solidFill>
                <a:prstDash val="solid"/>
              </a:ln>
            </spPr>
          </marker>
          <cat>
            <numRef>
              <f>'Dashboard'!$G$21:$G$34</f>
            </numRef>
          </cat>
          <val>
            <numRef>
              <f>'Dashboard'!$I$21:$I$34</f>
            </numRef>
          </val>
          <smooth val="0"/>
        </ser>
        <ser>
          <idx val="2"/>
          <order val="2"/>
          <tx>
            <v>Highest</v>
          </tx>
          <spPr>
            <a:ln w="22000">
              <a:solidFill>
                <a:srgbClr val="F2A65A"/>
              </a:solidFill>
              <a:prstDash val="solid"/>
            </a:ln>
          </spPr>
          <marker>
            <symbol val="circle"/>
            <size val="5"/>
            <spPr>
              <a:solidFill>
                <a:srgbClr val="F2A65A"/>
              </a:solidFill>
              <a:ln>
                <a:solidFill>
                  <a:srgbClr val="F2A65A"/>
                </a:solidFill>
                <a:prstDash val="solid"/>
              </a:ln>
            </spPr>
          </marker>
          <cat>
            <numRef>
              <f>'Dashboard'!$G$21:$G$34</f>
            </numRef>
          </cat>
          <val>
            <numRef>
              <f>'Dashboard'!$J$21:$J$34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General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19</row>
      <rowOff>0</rowOff>
    </from>
    <ext cx="4536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7" customWidth="1" min="2" max="2"/>
    <col width="14" customWidth="1" min="3" max="3"/>
    <col width="14" customWidth="1" min="4" max="4"/>
    <col width="14" customWidth="1" min="5" max="5"/>
    <col width="3" customWidth="1" min="6" max="6"/>
    <col width="13" customWidth="1" min="7" max="7"/>
    <col width="18" customWidth="1" min="8" max="8"/>
    <col width="13" customWidth="1" min="9" max="9"/>
    <col width="16" customWidth="1" min="10" max="10"/>
    <col width="3" customWidth="1" min="11" max="11"/>
    <col hidden="1" width="13" customWidth="1" min="15" max="15"/>
    <col hidden="1" width="13" customWidth="1" min="16" max="16"/>
    <col hidden="1" width="13" customWidth="1" min="17" max="17"/>
    <col hidden="1" width="13" customWidth="1" min="18" max="1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2" customHeight="1">
      <c r="A2" s="1" t="n"/>
      <c r="B2" s="2" t="inlineStr">
        <is>
          <t>Blood sugar and medicines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3" t="inlineStr">
        <is>
          <t>Readings on the left, medicines on the right.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n"/>
      <c r="B4" s="4" t="inlineStr">
        <is>
          <t>Last reading</t>
        </is>
      </c>
      <c r="C4" s="4" t="inlineStr">
        <is>
          <t>Today's average</t>
        </is>
      </c>
      <c r="D4" s="4" t="inlineStr">
        <is>
          <t>7-day average</t>
        </is>
      </c>
      <c r="E4" s="4" t="inlineStr">
        <is>
          <t>30-day average</t>
        </is>
      </c>
      <c r="F4" s="1" t="n"/>
      <c r="G4" s="4" t="inlineStr">
        <is>
          <t>In range, 7 days</t>
        </is>
      </c>
      <c r="H4" s="4" t="inlineStr">
        <is>
          <t>Below, 7 days</t>
        </is>
      </c>
      <c r="I4" s="4" t="inlineStr">
        <is>
          <t>Above, 7 days</t>
        </is>
      </c>
      <c r="J4" s="4" t="inlineStr">
        <is>
          <t>Doses left today</t>
        </is>
      </c>
      <c r="K4" s="1" t="n"/>
      <c r="L4" s="1" t="n"/>
      <c r="O4">
        <f>IF(COUNT(Readings!$L$6:$L$1505)=0,"",INDEX(Readings!$G$6:$G$1505,MATCH(MAX(Readings!$L$6:$L$1505),Readings!$L$6:$L$1505,0)))</f>
        <v/>
      </c>
    </row>
    <row r="5" ht="34" customHeight="1">
      <c r="A5" s="1" t="n"/>
      <c r="B5" s="5">
        <f>IF(COUNT(Readings!$L$6:$L$1505)=0,"",INDEX(Readings!$E$6:$E$1505,MATCH(MAX(Readings!$L$6:$L$1505),Readings!$L$6:$L$1505,0)))</f>
        <v/>
      </c>
      <c r="C5" s="5">
        <f>IFERROR(ROUND(AVERAGEIFS(Readings!$E$6:$E$1505,Readings!$B$6:$B$1505,"&gt;="&amp;(TODAY()-0),Readings!$B$6:$B$1505,"&lt;="&amp;TODAY()),1),"")</f>
        <v/>
      </c>
      <c r="D5" s="5">
        <f>IFERROR(ROUND(AVERAGEIFS(Readings!$E$6:$E$1505,Readings!$B$6:$B$1505,"&gt;="&amp;(TODAY()-6),Readings!$B$6:$B$1505,"&lt;="&amp;TODAY()),1),"")</f>
        <v/>
      </c>
      <c r="E5" s="5">
        <f>IFERROR(ROUND(AVERAGEIFS(Readings!$E$6:$E$1505,Readings!$B$6:$B$1505,"&gt;="&amp;(TODAY()-29),Readings!$B$6:$B$1505,"&lt;="&amp;TODAY()),1),"")</f>
        <v/>
      </c>
      <c r="F5" s="1" t="n"/>
      <c r="G5" s="6">
        <f>IFERROR(COUNTIFS(Readings!$G$6:$G$1505,"In range",Readings!$B$6:$B$1505,"&gt;="&amp;(TODAY()-6),Readings!$B$6:$B$1505,"&lt;="&amp;TODAY())/(COUNTIFS(Readings!$G$6:$G$1505,"In range",Readings!$B$6:$B$1505,"&gt;="&amp;(TODAY()-6),Readings!$B$6:$B$1505,"&lt;="&amp;TODAY())+COUNTIFS(Readings!$G$6:$G$1505,"Below",Readings!$B$6:$B$1505,"&gt;="&amp;(TODAY()-6),Readings!$B$6:$B$1505,"&lt;="&amp;TODAY())+COUNTIFS(Readings!$G$6:$G$1505,"Above",Readings!$B$6:$B$1505,"&gt;="&amp;(TODAY()-6),Readings!$B$6:$B$1505,"&lt;="&amp;TODAY())),"")</f>
        <v/>
      </c>
      <c r="H5" s="7">
        <f>COUNTIFS(Readings!$G$6:$G$1505,"Below",Readings!$B$6:$B$1505,"&gt;="&amp;(TODAY()-6),Readings!$B$6:$B$1505,"&lt;="&amp;TODAY())</f>
        <v/>
      </c>
      <c r="I5" s="8">
        <f>COUNTIFS(Readings!$G$6:$G$1505,"Above",Readings!$B$6:$B$1505,"&gt;="&amp;(TODAY()-6),Readings!$B$6:$B$1505,"&lt;="&amp;TODAY())</f>
        <v/>
      </c>
      <c r="J5" s="9">
        <f>SUM(Medicines!$O$6:$O$25)</f>
        <v/>
      </c>
      <c r="K5" s="1" t="n"/>
      <c r="L5" s="1" t="n"/>
    </row>
    <row r="6">
      <c r="A6" s="1" t="n"/>
      <c r="B6" s="10">
        <f>IF(COUNT(Readings!$L$6:$L$1505)=0,"",DAY(INT(MAX(Readings!$L$6:$L$1505)))&amp;" "&amp;CHOOSE(MONTH(INT(MAX(Readings!$L$6:$L$1505))),"Jan","Feb","Mar","Apr","May","Jun","Jul","Aug","Sep","Oct","Nov","Dec")&amp;", "&amp;HOUR(MAX(Readings!$L$6:$L$1505))&amp;":"&amp;RIGHT("0"&amp;MINUTE(MAX(Readings!$L$6:$L$1505)),2)&amp;IF(O4="",""," ("&amp;LOWER(O4)&amp;")"))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</row>
    <row r="8" ht="30" customHeight="1">
      <c r="A8" s="1" t="n"/>
      <c r="B8" s="11" t="inlineStr">
        <is>
          <t>Last 7 days</t>
        </is>
      </c>
      <c r="C8" s="11" t="inlineStr">
        <is>
          <t>Readings</t>
        </is>
      </c>
      <c r="D8" s="11" t="inlineStr">
        <is>
          <t>Average</t>
        </is>
      </c>
      <c r="E8" s="11" t="inlineStr">
        <is>
          <t>In range</t>
        </is>
      </c>
      <c r="F8" s="1" t="n"/>
      <c r="G8" s="11" t="inlineStr">
        <is>
          <t>Today</t>
        </is>
      </c>
      <c r="H8" s="11" t="inlineStr">
        <is>
          <t>Medicine</t>
        </is>
      </c>
      <c r="I8" s="11" t="inlineStr">
        <is>
          <t>Dose</t>
        </is>
      </c>
      <c r="J8" s="11" t="inlineStr">
        <is>
          <t>Status</t>
        </is>
      </c>
      <c r="K8" s="1" t="n"/>
      <c r="L8" s="1" t="n"/>
    </row>
    <row r="9">
      <c r="A9" s="1" t="n"/>
      <c r="B9" s="12" t="inlineStr">
        <is>
          <t>Fasting</t>
        </is>
      </c>
      <c r="C9" s="13">
        <f>COUNTIFS(Readings!$D$6:$D$1505,B9,Readings!$B$6:$B$1505,"&gt;="&amp;(TODAY()-6),Readings!$B$6:$B$1505,"&lt;="&amp;TODAY(),Readings!$E$6:$E$1505,"&gt;0")</f>
        <v/>
      </c>
      <c r="D9" s="14">
        <f>IFERROR(ROUND(AVERAGEIFS(Readings!$E$6:$E$1505,Readings!$D$6:$D$1505,B9,Readings!$B$6:$B$1505,"&gt;="&amp;(TODAY()-6),Readings!$B$6:$B$1505,"&lt;="&amp;TODAY()),1),"")</f>
        <v/>
      </c>
      <c r="E9" s="15">
        <f>IFERROR(COUNTIFS(Readings!$D$6:$D$1505,B9,Readings!$B$6:$B$1505,"&gt;="&amp;(TODAY()-6),Readings!$B$6:$B$1505,"&lt;="&amp;TODAY(),Readings!$G$6:$G$1505,"In range")/(COUNTIFS(Readings!$D$6:$D$1505,B9,Readings!$B$6:$B$1505,"&gt;="&amp;(TODAY()-6),Readings!$B$6:$B$1505,"&lt;="&amp;TODAY(),Readings!$G$6:$G$1505,"In range")+COUNTIFS(Readings!$D$6:$D$1505,B9,Readings!$B$6:$B$1505,"&gt;="&amp;(TODAY()-6),Readings!$B$6:$B$1505,"&lt;="&amp;TODAY(),Readings!$G$6:$G$1505,"Below")+COUNTIFS(Readings!$D$6:$D$1505,B9,Readings!$B$6:$B$1505,"&gt;="&amp;(TODAY()-6),Readings!$B$6:$B$1505,"&lt;="&amp;TODAY(),Readings!$G$6:$G$1505,"Above")),"")</f>
        <v/>
      </c>
      <c r="F9" s="1" t="n"/>
      <c r="G9" s="16">
        <f>IF(P9="","Nothing to take today",ROUND(P9*1440,0)/1440)</f>
        <v/>
      </c>
      <c r="H9" s="17">
        <f>IF(P9="","",INDEX(Medicines!$B$6:$B$25,Q9))</f>
        <v/>
      </c>
      <c r="I9" s="17">
        <f>IF(P9="","",IF(INDEX(Medicines!$C$6:$C$25,Q9)="","",INDEX(Medicines!$C$6:$C$25,Q9)))</f>
        <v/>
      </c>
      <c r="J9" s="14">
        <f>IF(P9="","",IF(INDEX(Medicines!$T$6:$W$25,Q9,R9)&lt;=INDEX(Medicines!$N$6:$N$25,Q9),"Taken",IF(G9&lt;=MOD(NOW(),1),"Not taken","Later")))</f>
        <v/>
      </c>
      <c r="K9" s="1" t="n"/>
      <c r="L9" s="1" t="n"/>
      <c r="P9">
        <f>IFERROR(SMALL(Medicines!$P$6:$S$25,1),"")</f>
        <v/>
      </c>
      <c r="Q9">
        <f>IF(P9="","",IFERROR(MATCH(P9,Medicines!$P$6:$P$25,0),IFERROR(MATCH(P9,Medicines!$Q$6:$Q$25,0),IFERROR(MATCH(P9,Medicines!$R$6:$R$25,0),MATCH(P9,Medicines!$S$6:$S$25,0)))))</f>
        <v/>
      </c>
      <c r="R9">
        <f>IF(P9="","",IF(ISNUMBER(MATCH(P9,Medicines!$P$6:$P$25,0)),1,IF(ISNUMBER(MATCH(P9,Medicines!$Q$6:$Q$25,0)),2,IF(ISNUMBER(MATCH(P9,Medicines!$R$6:$R$25,0)),3,4))))</f>
        <v/>
      </c>
    </row>
    <row r="10">
      <c r="A10" s="1" t="n"/>
      <c r="B10" s="12" t="inlineStr">
        <is>
          <t>After breakfast</t>
        </is>
      </c>
      <c r="C10" s="13">
        <f>COUNTIFS(Readings!$D$6:$D$1505,B10,Readings!$B$6:$B$1505,"&gt;="&amp;(TODAY()-6),Readings!$B$6:$B$1505,"&lt;="&amp;TODAY(),Readings!$E$6:$E$1505,"&gt;0")</f>
        <v/>
      </c>
      <c r="D10" s="14">
        <f>IFERROR(ROUND(AVERAGEIFS(Readings!$E$6:$E$1505,Readings!$D$6:$D$1505,B10,Readings!$B$6:$B$1505,"&gt;="&amp;(TODAY()-6),Readings!$B$6:$B$1505,"&lt;="&amp;TODAY()),1),"")</f>
        <v/>
      </c>
      <c r="E10" s="15">
        <f>IFERROR(COUNTIFS(Readings!$D$6:$D$1505,B10,Readings!$B$6:$B$1505,"&gt;="&amp;(TODAY()-6),Readings!$B$6:$B$1505,"&lt;="&amp;TODAY(),Readings!$G$6:$G$1505,"In range")/(COUNTIFS(Readings!$D$6:$D$1505,B10,Readings!$B$6:$B$1505,"&gt;="&amp;(TODAY()-6),Readings!$B$6:$B$1505,"&lt;="&amp;TODAY(),Readings!$G$6:$G$1505,"In range")+COUNTIFS(Readings!$D$6:$D$1505,B10,Readings!$B$6:$B$1505,"&gt;="&amp;(TODAY()-6),Readings!$B$6:$B$1505,"&lt;="&amp;TODAY(),Readings!$G$6:$G$1505,"Below")+COUNTIFS(Readings!$D$6:$D$1505,B10,Readings!$B$6:$B$1505,"&gt;="&amp;(TODAY()-6),Readings!$B$6:$B$1505,"&lt;="&amp;TODAY(),Readings!$G$6:$G$1505,"Above")),"")</f>
        <v/>
      </c>
      <c r="F10" s="1" t="n"/>
      <c r="G10" s="16">
        <f>IF(P10="","",ROUND(P10*1440,0)/1440)</f>
        <v/>
      </c>
      <c r="H10" s="17">
        <f>IF(P10="","",INDEX(Medicines!$B$6:$B$25,Q10))</f>
        <v/>
      </c>
      <c r="I10" s="17">
        <f>IF(P10="","",IF(INDEX(Medicines!$C$6:$C$25,Q10)="","",INDEX(Medicines!$C$6:$C$25,Q10)))</f>
        <v/>
      </c>
      <c r="J10" s="14">
        <f>IF(P10="","",IF(INDEX(Medicines!$T$6:$W$25,Q10,R10)&lt;=INDEX(Medicines!$N$6:$N$25,Q10),"Taken",IF(G10&lt;=MOD(NOW(),1),"Not taken","Later")))</f>
        <v/>
      </c>
      <c r="K10" s="1" t="n"/>
      <c r="L10" s="1" t="n"/>
      <c r="P10">
        <f>IFERROR(SMALL(Medicines!$P$6:$S$25,2),"")</f>
        <v/>
      </c>
      <c r="Q10">
        <f>IF(P10="","",IFERROR(MATCH(P10,Medicines!$P$6:$P$25,0),IFERROR(MATCH(P10,Medicines!$Q$6:$Q$25,0),IFERROR(MATCH(P10,Medicines!$R$6:$R$25,0),MATCH(P10,Medicines!$S$6:$S$25,0)))))</f>
        <v/>
      </c>
      <c r="R10">
        <f>IF(P10="","",IF(ISNUMBER(MATCH(P10,Medicines!$P$6:$P$25,0)),1,IF(ISNUMBER(MATCH(P10,Medicines!$Q$6:$Q$25,0)),2,IF(ISNUMBER(MATCH(P10,Medicines!$R$6:$R$25,0)),3,4))))</f>
        <v/>
      </c>
    </row>
    <row r="11">
      <c r="A11" s="1" t="n"/>
      <c r="B11" s="12" t="inlineStr">
        <is>
          <t>Before lunch</t>
        </is>
      </c>
      <c r="C11" s="13">
        <f>COUNTIFS(Readings!$D$6:$D$1505,B11,Readings!$B$6:$B$1505,"&gt;="&amp;(TODAY()-6),Readings!$B$6:$B$1505,"&lt;="&amp;TODAY(),Readings!$E$6:$E$1505,"&gt;0")</f>
        <v/>
      </c>
      <c r="D11" s="14">
        <f>IFERROR(ROUND(AVERAGEIFS(Readings!$E$6:$E$1505,Readings!$D$6:$D$1505,B11,Readings!$B$6:$B$1505,"&gt;="&amp;(TODAY()-6),Readings!$B$6:$B$1505,"&lt;="&amp;TODAY()),1),"")</f>
        <v/>
      </c>
      <c r="E11" s="15">
        <f>IFERROR(COUNTIFS(Readings!$D$6:$D$1505,B11,Readings!$B$6:$B$1505,"&gt;="&amp;(TODAY()-6),Readings!$B$6:$B$1505,"&lt;="&amp;TODAY(),Readings!$G$6:$G$1505,"In range")/(COUNTIFS(Readings!$D$6:$D$1505,B11,Readings!$B$6:$B$1505,"&gt;="&amp;(TODAY()-6),Readings!$B$6:$B$1505,"&lt;="&amp;TODAY(),Readings!$G$6:$G$1505,"In range")+COUNTIFS(Readings!$D$6:$D$1505,B11,Readings!$B$6:$B$1505,"&gt;="&amp;(TODAY()-6),Readings!$B$6:$B$1505,"&lt;="&amp;TODAY(),Readings!$G$6:$G$1505,"Below")+COUNTIFS(Readings!$D$6:$D$1505,B11,Readings!$B$6:$B$1505,"&gt;="&amp;(TODAY()-6),Readings!$B$6:$B$1505,"&lt;="&amp;TODAY(),Readings!$G$6:$G$1505,"Above")),"")</f>
        <v/>
      </c>
      <c r="F11" s="1" t="n"/>
      <c r="G11" s="16">
        <f>IF(P11="","",ROUND(P11*1440,0)/1440)</f>
        <v/>
      </c>
      <c r="H11" s="17">
        <f>IF(P11="","",INDEX(Medicines!$B$6:$B$25,Q11))</f>
        <v/>
      </c>
      <c r="I11" s="17">
        <f>IF(P11="","",IF(INDEX(Medicines!$C$6:$C$25,Q11)="","",INDEX(Medicines!$C$6:$C$25,Q11)))</f>
        <v/>
      </c>
      <c r="J11" s="14">
        <f>IF(P11="","",IF(INDEX(Medicines!$T$6:$W$25,Q11,R11)&lt;=INDEX(Medicines!$N$6:$N$25,Q11),"Taken",IF(G11&lt;=MOD(NOW(),1),"Not taken","Later")))</f>
        <v/>
      </c>
      <c r="K11" s="1" t="n"/>
      <c r="L11" s="1" t="n"/>
      <c r="P11">
        <f>IFERROR(SMALL(Medicines!$P$6:$S$25,3),"")</f>
        <v/>
      </c>
      <c r="Q11">
        <f>IF(P11="","",IFERROR(MATCH(P11,Medicines!$P$6:$P$25,0),IFERROR(MATCH(P11,Medicines!$Q$6:$Q$25,0),IFERROR(MATCH(P11,Medicines!$R$6:$R$25,0),MATCH(P11,Medicines!$S$6:$S$25,0)))))</f>
        <v/>
      </c>
      <c r="R11">
        <f>IF(P11="","",IF(ISNUMBER(MATCH(P11,Medicines!$P$6:$P$25,0)),1,IF(ISNUMBER(MATCH(P11,Medicines!$Q$6:$Q$25,0)),2,IF(ISNUMBER(MATCH(P11,Medicines!$R$6:$R$25,0)),3,4))))</f>
        <v/>
      </c>
    </row>
    <row r="12">
      <c r="A12" s="1" t="n"/>
      <c r="B12" s="12" t="inlineStr">
        <is>
          <t>After lunch</t>
        </is>
      </c>
      <c r="C12" s="13">
        <f>COUNTIFS(Readings!$D$6:$D$1505,B12,Readings!$B$6:$B$1505,"&gt;="&amp;(TODAY()-6),Readings!$B$6:$B$1505,"&lt;="&amp;TODAY(),Readings!$E$6:$E$1505,"&gt;0")</f>
        <v/>
      </c>
      <c r="D12" s="14">
        <f>IFERROR(ROUND(AVERAGEIFS(Readings!$E$6:$E$1505,Readings!$D$6:$D$1505,B12,Readings!$B$6:$B$1505,"&gt;="&amp;(TODAY()-6),Readings!$B$6:$B$1505,"&lt;="&amp;TODAY()),1),"")</f>
        <v/>
      </c>
      <c r="E12" s="15">
        <f>IFERROR(COUNTIFS(Readings!$D$6:$D$1505,B12,Readings!$B$6:$B$1505,"&gt;="&amp;(TODAY()-6),Readings!$B$6:$B$1505,"&lt;="&amp;TODAY(),Readings!$G$6:$G$1505,"In range")/(COUNTIFS(Readings!$D$6:$D$1505,B12,Readings!$B$6:$B$1505,"&gt;="&amp;(TODAY()-6),Readings!$B$6:$B$1505,"&lt;="&amp;TODAY(),Readings!$G$6:$G$1505,"In range")+COUNTIFS(Readings!$D$6:$D$1505,B12,Readings!$B$6:$B$1505,"&gt;="&amp;(TODAY()-6),Readings!$B$6:$B$1505,"&lt;="&amp;TODAY(),Readings!$G$6:$G$1505,"Below")+COUNTIFS(Readings!$D$6:$D$1505,B12,Readings!$B$6:$B$1505,"&gt;="&amp;(TODAY()-6),Readings!$B$6:$B$1505,"&lt;="&amp;TODAY(),Readings!$G$6:$G$1505,"Above")),"")</f>
        <v/>
      </c>
      <c r="F12" s="1" t="n"/>
      <c r="G12" s="16">
        <f>IF(P12="","",ROUND(P12*1440,0)/1440)</f>
        <v/>
      </c>
      <c r="H12" s="17">
        <f>IF(P12="","",INDEX(Medicines!$B$6:$B$25,Q12))</f>
        <v/>
      </c>
      <c r="I12" s="17">
        <f>IF(P12="","",IF(INDEX(Medicines!$C$6:$C$25,Q12)="","",INDEX(Medicines!$C$6:$C$25,Q12)))</f>
        <v/>
      </c>
      <c r="J12" s="14">
        <f>IF(P12="","",IF(INDEX(Medicines!$T$6:$W$25,Q12,R12)&lt;=INDEX(Medicines!$N$6:$N$25,Q12),"Taken",IF(G12&lt;=MOD(NOW(),1),"Not taken","Later")))</f>
        <v/>
      </c>
      <c r="K12" s="1" t="n"/>
      <c r="L12" s="1" t="n"/>
      <c r="P12">
        <f>IFERROR(SMALL(Medicines!$P$6:$S$25,4),"")</f>
        <v/>
      </c>
      <c r="Q12">
        <f>IF(P12="","",IFERROR(MATCH(P12,Medicines!$P$6:$P$25,0),IFERROR(MATCH(P12,Medicines!$Q$6:$Q$25,0),IFERROR(MATCH(P12,Medicines!$R$6:$R$25,0),MATCH(P12,Medicines!$S$6:$S$25,0)))))</f>
        <v/>
      </c>
      <c r="R12">
        <f>IF(P12="","",IF(ISNUMBER(MATCH(P12,Medicines!$P$6:$P$25,0)),1,IF(ISNUMBER(MATCH(P12,Medicines!$Q$6:$Q$25,0)),2,IF(ISNUMBER(MATCH(P12,Medicines!$R$6:$R$25,0)),3,4))))</f>
        <v/>
      </c>
    </row>
    <row r="13">
      <c r="A13" s="1" t="n"/>
      <c r="B13" s="12" t="inlineStr">
        <is>
          <t>Before dinner</t>
        </is>
      </c>
      <c r="C13" s="13">
        <f>COUNTIFS(Readings!$D$6:$D$1505,B13,Readings!$B$6:$B$1505,"&gt;="&amp;(TODAY()-6),Readings!$B$6:$B$1505,"&lt;="&amp;TODAY(),Readings!$E$6:$E$1505,"&gt;0")</f>
        <v/>
      </c>
      <c r="D13" s="14">
        <f>IFERROR(ROUND(AVERAGEIFS(Readings!$E$6:$E$1505,Readings!$D$6:$D$1505,B13,Readings!$B$6:$B$1505,"&gt;="&amp;(TODAY()-6),Readings!$B$6:$B$1505,"&lt;="&amp;TODAY()),1),"")</f>
        <v/>
      </c>
      <c r="E13" s="15">
        <f>IFERROR(COUNTIFS(Readings!$D$6:$D$1505,B13,Readings!$B$6:$B$1505,"&gt;="&amp;(TODAY()-6),Readings!$B$6:$B$1505,"&lt;="&amp;TODAY(),Readings!$G$6:$G$1505,"In range")/(COUNTIFS(Readings!$D$6:$D$1505,B13,Readings!$B$6:$B$1505,"&gt;="&amp;(TODAY()-6),Readings!$B$6:$B$1505,"&lt;="&amp;TODAY(),Readings!$G$6:$G$1505,"In range")+COUNTIFS(Readings!$D$6:$D$1505,B13,Readings!$B$6:$B$1505,"&gt;="&amp;(TODAY()-6),Readings!$B$6:$B$1505,"&lt;="&amp;TODAY(),Readings!$G$6:$G$1505,"Below")+COUNTIFS(Readings!$D$6:$D$1505,B13,Readings!$B$6:$B$1505,"&gt;="&amp;(TODAY()-6),Readings!$B$6:$B$1505,"&lt;="&amp;TODAY(),Readings!$G$6:$G$1505,"Above")),"")</f>
        <v/>
      </c>
      <c r="F13" s="1" t="n"/>
      <c r="G13" s="16">
        <f>IF(P13="","",ROUND(P13*1440,0)/1440)</f>
        <v/>
      </c>
      <c r="H13" s="17">
        <f>IF(P13="","",INDEX(Medicines!$B$6:$B$25,Q13))</f>
        <v/>
      </c>
      <c r="I13" s="17">
        <f>IF(P13="","",IF(INDEX(Medicines!$C$6:$C$25,Q13)="","",INDEX(Medicines!$C$6:$C$25,Q13)))</f>
        <v/>
      </c>
      <c r="J13" s="14">
        <f>IF(P13="","",IF(INDEX(Medicines!$T$6:$W$25,Q13,R13)&lt;=INDEX(Medicines!$N$6:$N$25,Q13),"Taken",IF(G13&lt;=MOD(NOW(),1),"Not taken","Later")))</f>
        <v/>
      </c>
      <c r="K13" s="1" t="n"/>
      <c r="L13" s="1" t="n"/>
      <c r="P13">
        <f>IFERROR(SMALL(Medicines!$P$6:$S$25,5),"")</f>
        <v/>
      </c>
      <c r="Q13">
        <f>IF(P13="","",IFERROR(MATCH(P13,Medicines!$P$6:$P$25,0),IFERROR(MATCH(P13,Medicines!$Q$6:$Q$25,0),IFERROR(MATCH(P13,Medicines!$R$6:$R$25,0),MATCH(P13,Medicines!$S$6:$S$25,0)))))</f>
        <v/>
      </c>
      <c r="R13">
        <f>IF(P13="","",IF(ISNUMBER(MATCH(P13,Medicines!$P$6:$P$25,0)),1,IF(ISNUMBER(MATCH(P13,Medicines!$Q$6:$Q$25,0)),2,IF(ISNUMBER(MATCH(P13,Medicines!$R$6:$R$25,0)),3,4))))</f>
        <v/>
      </c>
    </row>
    <row r="14">
      <c r="A14" s="1" t="n"/>
      <c r="B14" s="12" t="inlineStr">
        <is>
          <t>After dinner</t>
        </is>
      </c>
      <c r="C14" s="13">
        <f>COUNTIFS(Readings!$D$6:$D$1505,B14,Readings!$B$6:$B$1505,"&gt;="&amp;(TODAY()-6),Readings!$B$6:$B$1505,"&lt;="&amp;TODAY(),Readings!$E$6:$E$1505,"&gt;0")</f>
        <v/>
      </c>
      <c r="D14" s="14">
        <f>IFERROR(ROUND(AVERAGEIFS(Readings!$E$6:$E$1505,Readings!$D$6:$D$1505,B14,Readings!$B$6:$B$1505,"&gt;="&amp;(TODAY()-6),Readings!$B$6:$B$1505,"&lt;="&amp;TODAY()),1),"")</f>
        <v/>
      </c>
      <c r="E14" s="15">
        <f>IFERROR(COUNTIFS(Readings!$D$6:$D$1505,B14,Readings!$B$6:$B$1505,"&gt;="&amp;(TODAY()-6),Readings!$B$6:$B$1505,"&lt;="&amp;TODAY(),Readings!$G$6:$G$1505,"In range")/(COUNTIFS(Readings!$D$6:$D$1505,B14,Readings!$B$6:$B$1505,"&gt;="&amp;(TODAY()-6),Readings!$B$6:$B$1505,"&lt;="&amp;TODAY(),Readings!$G$6:$G$1505,"In range")+COUNTIFS(Readings!$D$6:$D$1505,B14,Readings!$B$6:$B$1505,"&gt;="&amp;(TODAY()-6),Readings!$B$6:$B$1505,"&lt;="&amp;TODAY(),Readings!$G$6:$G$1505,"Below")+COUNTIFS(Readings!$D$6:$D$1505,B14,Readings!$B$6:$B$1505,"&gt;="&amp;(TODAY()-6),Readings!$B$6:$B$1505,"&lt;="&amp;TODAY(),Readings!$G$6:$G$1505,"Above")),"")</f>
        <v/>
      </c>
      <c r="F14" s="1" t="n"/>
      <c r="G14" s="16">
        <f>IF(P14="","",ROUND(P14*1440,0)/1440)</f>
        <v/>
      </c>
      <c r="H14" s="17">
        <f>IF(P14="","",INDEX(Medicines!$B$6:$B$25,Q14))</f>
        <v/>
      </c>
      <c r="I14" s="17">
        <f>IF(P14="","",IF(INDEX(Medicines!$C$6:$C$25,Q14)="","",INDEX(Medicines!$C$6:$C$25,Q14)))</f>
        <v/>
      </c>
      <c r="J14" s="14">
        <f>IF(P14="","",IF(INDEX(Medicines!$T$6:$W$25,Q14,R14)&lt;=INDEX(Medicines!$N$6:$N$25,Q14),"Taken",IF(G14&lt;=MOD(NOW(),1),"Not taken","Later")))</f>
        <v/>
      </c>
      <c r="K14" s="1" t="n"/>
      <c r="L14" s="1" t="n"/>
      <c r="P14">
        <f>IFERROR(SMALL(Medicines!$P$6:$S$25,6),"")</f>
        <v/>
      </c>
      <c r="Q14">
        <f>IF(P14="","",IFERROR(MATCH(P14,Medicines!$P$6:$P$25,0),IFERROR(MATCH(P14,Medicines!$Q$6:$Q$25,0),IFERROR(MATCH(P14,Medicines!$R$6:$R$25,0),MATCH(P14,Medicines!$S$6:$S$25,0)))))</f>
        <v/>
      </c>
      <c r="R14">
        <f>IF(P14="","",IF(ISNUMBER(MATCH(P14,Medicines!$P$6:$P$25,0)),1,IF(ISNUMBER(MATCH(P14,Medicines!$Q$6:$Q$25,0)),2,IF(ISNUMBER(MATCH(P14,Medicines!$R$6:$R$25,0)),3,4))))</f>
        <v/>
      </c>
    </row>
    <row r="15">
      <c r="A15" s="1" t="n"/>
      <c r="B15" s="12" t="inlineStr">
        <is>
          <t>Bedtime</t>
        </is>
      </c>
      <c r="C15" s="13">
        <f>COUNTIFS(Readings!$D$6:$D$1505,B15,Readings!$B$6:$B$1505,"&gt;="&amp;(TODAY()-6),Readings!$B$6:$B$1505,"&lt;="&amp;TODAY(),Readings!$E$6:$E$1505,"&gt;0")</f>
        <v/>
      </c>
      <c r="D15" s="14">
        <f>IFERROR(ROUND(AVERAGEIFS(Readings!$E$6:$E$1505,Readings!$D$6:$D$1505,B15,Readings!$B$6:$B$1505,"&gt;="&amp;(TODAY()-6),Readings!$B$6:$B$1505,"&lt;="&amp;TODAY()),1),"")</f>
        <v/>
      </c>
      <c r="E15" s="15">
        <f>IFERROR(COUNTIFS(Readings!$D$6:$D$1505,B15,Readings!$B$6:$B$1505,"&gt;="&amp;(TODAY()-6),Readings!$B$6:$B$1505,"&lt;="&amp;TODAY(),Readings!$G$6:$G$1505,"In range")/(COUNTIFS(Readings!$D$6:$D$1505,B15,Readings!$B$6:$B$1505,"&gt;="&amp;(TODAY()-6),Readings!$B$6:$B$1505,"&lt;="&amp;TODAY(),Readings!$G$6:$G$1505,"In range")+COUNTIFS(Readings!$D$6:$D$1505,B15,Readings!$B$6:$B$1505,"&gt;="&amp;(TODAY()-6),Readings!$B$6:$B$1505,"&lt;="&amp;TODAY(),Readings!$G$6:$G$1505,"Below")+COUNTIFS(Readings!$D$6:$D$1505,B15,Readings!$B$6:$B$1505,"&gt;="&amp;(TODAY()-6),Readings!$B$6:$B$1505,"&lt;="&amp;TODAY(),Readings!$G$6:$G$1505,"Above")),"")</f>
        <v/>
      </c>
      <c r="F15" s="1" t="n"/>
      <c r="G15" s="16">
        <f>IF(P15="","",ROUND(P15*1440,0)/1440)</f>
        <v/>
      </c>
      <c r="H15" s="17">
        <f>IF(P15="","",INDEX(Medicines!$B$6:$B$25,Q15))</f>
        <v/>
      </c>
      <c r="I15" s="17">
        <f>IF(P15="","",IF(INDEX(Medicines!$C$6:$C$25,Q15)="","",INDEX(Medicines!$C$6:$C$25,Q15)))</f>
        <v/>
      </c>
      <c r="J15" s="14">
        <f>IF(P15="","",IF(INDEX(Medicines!$T$6:$W$25,Q15,R15)&lt;=INDEX(Medicines!$N$6:$N$25,Q15),"Taken",IF(G15&lt;=MOD(NOW(),1),"Not taken","Later")))</f>
        <v/>
      </c>
      <c r="K15" s="1" t="n"/>
      <c r="L15" s="1" t="n"/>
      <c r="P15">
        <f>IFERROR(SMALL(Medicines!$P$6:$S$25,7),"")</f>
        <v/>
      </c>
      <c r="Q15">
        <f>IF(P15="","",IFERROR(MATCH(P15,Medicines!$P$6:$P$25,0),IFERROR(MATCH(P15,Medicines!$Q$6:$Q$25,0),IFERROR(MATCH(P15,Medicines!$R$6:$R$25,0),MATCH(P15,Medicines!$S$6:$S$25,0)))))</f>
        <v/>
      </c>
      <c r="R15">
        <f>IF(P15="","",IF(ISNUMBER(MATCH(P15,Medicines!$P$6:$P$25,0)),1,IF(ISNUMBER(MATCH(P15,Medicines!$Q$6:$Q$25,0)),2,IF(ISNUMBER(MATCH(P15,Medicines!$R$6:$R$25,0)),3,4))))</f>
        <v/>
      </c>
    </row>
    <row r="16">
      <c r="A16" s="1" t="n"/>
      <c r="B16" s="12" t="inlineStr">
        <is>
          <t>Night</t>
        </is>
      </c>
      <c r="C16" s="13">
        <f>COUNTIFS(Readings!$D$6:$D$1505,B16,Readings!$B$6:$B$1505,"&gt;="&amp;(TODAY()-6),Readings!$B$6:$B$1505,"&lt;="&amp;TODAY(),Readings!$E$6:$E$1505,"&gt;0")</f>
        <v/>
      </c>
      <c r="D16" s="14">
        <f>IFERROR(ROUND(AVERAGEIFS(Readings!$E$6:$E$1505,Readings!$D$6:$D$1505,B16,Readings!$B$6:$B$1505,"&gt;="&amp;(TODAY()-6),Readings!$B$6:$B$1505,"&lt;="&amp;TODAY()),1),"")</f>
        <v/>
      </c>
      <c r="E16" s="15">
        <f>IFERROR(COUNTIFS(Readings!$D$6:$D$1505,B16,Readings!$B$6:$B$1505,"&gt;="&amp;(TODAY()-6),Readings!$B$6:$B$1505,"&lt;="&amp;TODAY(),Readings!$G$6:$G$1505,"In range")/(COUNTIFS(Readings!$D$6:$D$1505,B16,Readings!$B$6:$B$1505,"&gt;="&amp;(TODAY()-6),Readings!$B$6:$B$1505,"&lt;="&amp;TODAY(),Readings!$G$6:$G$1505,"In range")+COUNTIFS(Readings!$D$6:$D$1505,B16,Readings!$B$6:$B$1505,"&gt;="&amp;(TODAY()-6),Readings!$B$6:$B$1505,"&lt;="&amp;TODAY(),Readings!$G$6:$G$1505,"Below")+COUNTIFS(Readings!$D$6:$D$1505,B16,Readings!$B$6:$B$1505,"&gt;="&amp;(TODAY()-6),Readings!$B$6:$B$1505,"&lt;="&amp;TODAY(),Readings!$G$6:$G$1505,"Above")),"")</f>
        <v/>
      </c>
      <c r="F16" s="1" t="n"/>
      <c r="G16" s="16">
        <f>IF(P16="","",ROUND(P16*1440,0)/1440)</f>
        <v/>
      </c>
      <c r="H16" s="17">
        <f>IF(P16="","",INDEX(Medicines!$B$6:$B$25,Q16))</f>
        <v/>
      </c>
      <c r="I16" s="17">
        <f>IF(P16="","",IF(INDEX(Medicines!$C$6:$C$25,Q16)="","",INDEX(Medicines!$C$6:$C$25,Q16)))</f>
        <v/>
      </c>
      <c r="J16" s="14">
        <f>IF(P16="","",IF(INDEX(Medicines!$T$6:$W$25,Q16,R16)&lt;=INDEX(Medicines!$N$6:$N$25,Q16),"Taken",IF(G16&lt;=MOD(NOW(),1),"Not taken","Later")))</f>
        <v/>
      </c>
      <c r="K16" s="1" t="n"/>
      <c r="L16" s="1" t="n"/>
      <c r="P16">
        <f>IFERROR(SMALL(Medicines!$P$6:$S$25,8),"")</f>
        <v/>
      </c>
      <c r="Q16">
        <f>IF(P16="","",IFERROR(MATCH(P16,Medicines!$P$6:$P$25,0),IFERROR(MATCH(P16,Medicines!$Q$6:$Q$25,0),IFERROR(MATCH(P16,Medicines!$R$6:$R$25,0),MATCH(P16,Medicines!$S$6:$S$25,0)))))</f>
        <v/>
      </c>
      <c r="R16">
        <f>IF(P16="","",IF(ISNUMBER(MATCH(P16,Medicines!$P$6:$P$25,0)),1,IF(ISNUMBER(MATCH(P16,Medicines!$Q$6:$Q$25,0)),2,IF(ISNUMBER(MATCH(P16,Medicines!$R$6:$R$25,0)),3,4))))</f>
        <v/>
      </c>
    </row>
    <row r="17">
      <c r="A17" s="1" t="n"/>
      <c r="B17" s="12" t="inlineStr">
        <is>
          <t>Other</t>
        </is>
      </c>
      <c r="C17" s="13">
        <f>COUNTIFS(Readings!$D$6:$D$1505,B17,Readings!$B$6:$B$1505,"&gt;="&amp;(TODAY()-6),Readings!$B$6:$B$1505,"&lt;="&amp;TODAY(),Readings!$E$6:$E$1505,"&gt;0")</f>
        <v/>
      </c>
      <c r="D17" s="14">
        <f>IFERROR(ROUND(AVERAGEIFS(Readings!$E$6:$E$1505,Readings!$D$6:$D$1505,B17,Readings!$B$6:$B$1505,"&gt;="&amp;(TODAY()-6),Readings!$B$6:$B$1505,"&lt;="&amp;TODAY()),1),"")</f>
        <v/>
      </c>
      <c r="E17" s="15">
        <f>IFERROR(COUNTIFS(Readings!$D$6:$D$1505,B17,Readings!$B$6:$B$1505,"&gt;="&amp;(TODAY()-6),Readings!$B$6:$B$1505,"&lt;="&amp;TODAY(),Readings!$G$6:$G$1505,"In range")/(COUNTIFS(Readings!$D$6:$D$1505,B17,Readings!$B$6:$B$1505,"&gt;="&amp;(TODAY()-6),Readings!$B$6:$B$1505,"&lt;="&amp;TODAY(),Readings!$G$6:$G$1505,"In range")+COUNTIFS(Readings!$D$6:$D$1505,B17,Readings!$B$6:$B$1505,"&gt;="&amp;(TODAY()-6),Readings!$B$6:$B$1505,"&lt;="&amp;TODAY(),Readings!$G$6:$G$1505,"Below")+COUNTIFS(Readings!$D$6:$D$1505,B17,Readings!$B$6:$B$1505,"&gt;="&amp;(TODAY()-6),Readings!$B$6:$B$1505,"&lt;="&amp;TODAY(),Readings!$G$6:$G$1505,"Above")),"")</f>
        <v/>
      </c>
      <c r="F17" s="1" t="n"/>
      <c r="G17" s="16">
        <f>IF(P17="","",ROUND(P17*1440,0)/1440)</f>
        <v/>
      </c>
      <c r="H17" s="17">
        <f>IF(P17="","",INDEX(Medicines!$B$6:$B$25,Q17))</f>
        <v/>
      </c>
      <c r="I17" s="17">
        <f>IF(P17="","",IF(INDEX(Medicines!$C$6:$C$25,Q17)="","",INDEX(Medicines!$C$6:$C$25,Q17)))</f>
        <v/>
      </c>
      <c r="J17" s="14">
        <f>IF(P17="","",IF(INDEX(Medicines!$T$6:$W$25,Q17,R17)&lt;=INDEX(Medicines!$N$6:$N$25,Q17),"Taken",IF(G17&lt;=MOD(NOW(),1),"Not taken","Later")))</f>
        <v/>
      </c>
      <c r="K17" s="1" t="n"/>
      <c r="L17" s="1" t="n"/>
      <c r="P17">
        <f>IFERROR(SMALL(Medicines!$P$6:$S$25,9),"")</f>
        <v/>
      </c>
      <c r="Q17">
        <f>IF(P17="","",IFERROR(MATCH(P17,Medicines!$P$6:$P$25,0),IFERROR(MATCH(P17,Medicines!$Q$6:$Q$25,0),IFERROR(MATCH(P17,Medicines!$R$6:$R$25,0),MATCH(P17,Medicines!$S$6:$S$25,0)))))</f>
        <v/>
      </c>
      <c r="R17">
        <f>IF(P17="","",IF(ISNUMBER(MATCH(P17,Medicines!$P$6:$P$25,0)),1,IF(ISNUMBER(MATCH(P17,Medicines!$Q$6:$Q$25,0)),2,IF(ISNUMBER(MATCH(P17,Medicines!$R$6:$R$25,0)),3,4))))</f>
        <v/>
      </c>
    </row>
    <row r="18">
      <c r="A18" s="1" t="n"/>
      <c r="B18" s="1" t="n"/>
      <c r="C18" s="1" t="n"/>
      <c r="D18" s="1" t="n"/>
      <c r="E18" s="1" t="n"/>
      <c r="F18" s="1" t="n"/>
      <c r="G18" s="16">
        <f>IF(P18="","",ROUND(P18*1440,0)/1440)</f>
        <v/>
      </c>
      <c r="H18" s="17">
        <f>IF(P18="","",INDEX(Medicines!$B$6:$B$25,Q18))</f>
        <v/>
      </c>
      <c r="I18" s="17">
        <f>IF(P18="","",IF(INDEX(Medicines!$C$6:$C$25,Q18)="","",INDEX(Medicines!$C$6:$C$25,Q18)))</f>
        <v/>
      </c>
      <c r="J18" s="14">
        <f>IF(P18="","",IF(INDEX(Medicines!$T$6:$W$25,Q18,R18)&lt;=INDEX(Medicines!$N$6:$N$25,Q18),"Taken",IF(G18&lt;=MOD(NOW(),1),"Not taken","Later")))</f>
        <v/>
      </c>
      <c r="K18" s="1" t="n"/>
      <c r="L18" s="1" t="n"/>
      <c r="P18">
        <f>IFERROR(SMALL(Medicines!$P$6:$S$25,10),"")</f>
        <v/>
      </c>
      <c r="Q18">
        <f>IF(P18="","",IFERROR(MATCH(P18,Medicines!$P$6:$P$25,0),IFERROR(MATCH(P18,Medicines!$Q$6:$Q$25,0),IFERROR(MATCH(P18,Medicines!$R$6:$R$25,0),MATCH(P18,Medicines!$S$6:$S$25,0)))))</f>
        <v/>
      </c>
      <c r="R18">
        <f>IF(P18="","",IF(ISNUMBER(MATCH(P18,Medicines!$P$6:$P$25,0)),1,IF(ISNUMBER(MATCH(P18,Medicines!$Q$6:$Q$25,0)),2,IF(ISNUMBER(MATCH(P18,Medicines!$R$6:$R$25,0)),3,4))))</f>
        <v/>
      </c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 ht="30" customHeight="1">
      <c r="A20" s="1" t="n"/>
      <c r="B20" s="11" t="inlineStr">
        <is>
          <t>Last 14 days</t>
        </is>
      </c>
      <c r="C20" s="11" t="inlineStr">
        <is>
          <t>Average</t>
        </is>
      </c>
      <c r="D20" s="11" t="inlineStr">
        <is>
          <t>Lowest</t>
        </is>
      </c>
      <c r="E20" s="11" t="inlineStr">
        <is>
          <t>Highest</t>
        </is>
      </c>
      <c r="F20" s="1" t="n"/>
      <c r="G20" s="1" t="n"/>
      <c r="H20" s="1" t="n"/>
      <c r="I20" s="1" t="n"/>
      <c r="J20" s="1" t="n"/>
      <c r="K20" s="1" t="n"/>
      <c r="L20" s="1" t="n"/>
    </row>
    <row r="21">
      <c r="A21" s="1" t="n"/>
      <c r="B21" s="18">
        <f>(TODAY()-13)</f>
        <v/>
      </c>
      <c r="C21" s="14">
        <f>IFERROR(ROUND(AVERAGEIFS(Readings!$E$6:$E$1505,Readings!$B$6:$B$1505,B21),1),"")</f>
        <v/>
      </c>
      <c r="D21" s="14">
        <f>IF(C21="","",IFERROR(SMALL(Readings!$O$6:$O$1505,COUNTIF(Readings!$O$6:$O$1505,"&lt;"&amp;B21*10000)+1)-B21*10000,""))</f>
        <v/>
      </c>
      <c r="E21" s="14">
        <f>IF(C21="","",IFERROR(LARGE(Readings!$O$6:$O$1505,COUNTIF(Readings!$O$6:$O$1505,"&gt;="&amp;(B21+1)*10000)+1)-B21*10000,""))</f>
        <v/>
      </c>
      <c r="F21" s="1" t="n"/>
      <c r="G21" s="19">
        <f>DAY(B21)&amp;" "&amp;CHOOSE(MONTH(B21),"Jan","Feb","Mar","Apr","May","Jun","Jul","Aug","Sep","Oct","Nov","Dec")</f>
        <v/>
      </c>
      <c r="H21" s="19">
        <f>IF(C21="",NA(),C21)</f>
        <v/>
      </c>
      <c r="I21" s="19">
        <f>IF(D21="",NA(),D21)</f>
        <v/>
      </c>
      <c r="J21" s="19">
        <f>IF(E21="",NA(),E21)</f>
        <v/>
      </c>
      <c r="K21" s="1" t="n"/>
      <c r="L21" s="1" t="n"/>
    </row>
    <row r="22">
      <c r="A22" s="1" t="n"/>
      <c r="B22" s="18">
        <f>(TODAY()-12)</f>
        <v/>
      </c>
      <c r="C22" s="14">
        <f>IFERROR(ROUND(AVERAGEIFS(Readings!$E$6:$E$1505,Readings!$B$6:$B$1505,B22),1),"")</f>
        <v/>
      </c>
      <c r="D22" s="14">
        <f>IF(C22="","",IFERROR(SMALL(Readings!$O$6:$O$1505,COUNTIF(Readings!$O$6:$O$1505,"&lt;"&amp;B22*10000)+1)-B22*10000,""))</f>
        <v/>
      </c>
      <c r="E22" s="14">
        <f>IF(C22="","",IFERROR(LARGE(Readings!$O$6:$O$1505,COUNTIF(Readings!$O$6:$O$1505,"&gt;="&amp;(B22+1)*10000)+1)-B22*10000,""))</f>
        <v/>
      </c>
      <c r="F22" s="1" t="n"/>
      <c r="G22" s="19">
        <f>DAY(B22)&amp;" "&amp;CHOOSE(MONTH(B22),"Jan","Feb","Mar","Apr","May","Jun","Jul","Aug","Sep","Oct","Nov","Dec")</f>
        <v/>
      </c>
      <c r="H22" s="19">
        <f>IF(C22="",NA(),C22)</f>
        <v/>
      </c>
      <c r="I22" s="19">
        <f>IF(D22="",NA(),D22)</f>
        <v/>
      </c>
      <c r="J22" s="19">
        <f>IF(E22="",NA(),E22)</f>
        <v/>
      </c>
      <c r="K22" s="1" t="n"/>
      <c r="L22" s="1" t="n"/>
    </row>
    <row r="23">
      <c r="A23" s="1" t="n"/>
      <c r="B23" s="18">
        <f>(TODAY()-11)</f>
        <v/>
      </c>
      <c r="C23" s="14">
        <f>IFERROR(ROUND(AVERAGEIFS(Readings!$E$6:$E$1505,Readings!$B$6:$B$1505,B23),1),"")</f>
        <v/>
      </c>
      <c r="D23" s="14">
        <f>IF(C23="","",IFERROR(SMALL(Readings!$O$6:$O$1505,COUNTIF(Readings!$O$6:$O$1505,"&lt;"&amp;B23*10000)+1)-B23*10000,""))</f>
        <v/>
      </c>
      <c r="E23" s="14">
        <f>IF(C23="","",IFERROR(LARGE(Readings!$O$6:$O$1505,COUNTIF(Readings!$O$6:$O$1505,"&gt;="&amp;(B23+1)*10000)+1)-B23*10000,""))</f>
        <v/>
      </c>
      <c r="F23" s="1" t="n"/>
      <c r="G23" s="19">
        <f>DAY(B23)&amp;" "&amp;CHOOSE(MONTH(B23),"Jan","Feb","Mar","Apr","May","Jun","Jul","Aug","Sep","Oct","Nov","Dec")</f>
        <v/>
      </c>
      <c r="H23" s="19">
        <f>IF(C23="",NA(),C23)</f>
        <v/>
      </c>
      <c r="I23" s="19">
        <f>IF(D23="",NA(),D23)</f>
        <v/>
      </c>
      <c r="J23" s="19">
        <f>IF(E23="",NA(),E23)</f>
        <v/>
      </c>
      <c r="K23" s="1" t="n"/>
      <c r="L23" s="1" t="n"/>
    </row>
    <row r="24">
      <c r="A24" s="1" t="n"/>
      <c r="B24" s="18">
        <f>(TODAY()-10)</f>
        <v/>
      </c>
      <c r="C24" s="14">
        <f>IFERROR(ROUND(AVERAGEIFS(Readings!$E$6:$E$1505,Readings!$B$6:$B$1505,B24),1),"")</f>
        <v/>
      </c>
      <c r="D24" s="14">
        <f>IF(C24="","",IFERROR(SMALL(Readings!$O$6:$O$1505,COUNTIF(Readings!$O$6:$O$1505,"&lt;"&amp;B24*10000)+1)-B24*10000,""))</f>
        <v/>
      </c>
      <c r="E24" s="14">
        <f>IF(C24="","",IFERROR(LARGE(Readings!$O$6:$O$1505,COUNTIF(Readings!$O$6:$O$1505,"&gt;="&amp;(B24+1)*10000)+1)-B24*10000,""))</f>
        <v/>
      </c>
      <c r="F24" s="1" t="n"/>
      <c r="G24" s="19">
        <f>DAY(B24)&amp;" "&amp;CHOOSE(MONTH(B24),"Jan","Feb","Mar","Apr","May","Jun","Jul","Aug","Sep","Oct","Nov","Dec")</f>
        <v/>
      </c>
      <c r="H24" s="19">
        <f>IF(C24="",NA(),C24)</f>
        <v/>
      </c>
      <c r="I24" s="19">
        <f>IF(D24="",NA(),D24)</f>
        <v/>
      </c>
      <c r="J24" s="19">
        <f>IF(E24="",NA(),E24)</f>
        <v/>
      </c>
      <c r="K24" s="1" t="n"/>
      <c r="L24" s="1" t="n"/>
    </row>
    <row r="25">
      <c r="A25" s="1" t="n"/>
      <c r="B25" s="18">
        <f>(TODAY()-9)</f>
        <v/>
      </c>
      <c r="C25" s="14">
        <f>IFERROR(ROUND(AVERAGEIFS(Readings!$E$6:$E$1505,Readings!$B$6:$B$1505,B25),1),"")</f>
        <v/>
      </c>
      <c r="D25" s="14">
        <f>IF(C25="","",IFERROR(SMALL(Readings!$O$6:$O$1505,COUNTIF(Readings!$O$6:$O$1505,"&lt;"&amp;B25*10000)+1)-B25*10000,""))</f>
        <v/>
      </c>
      <c r="E25" s="14">
        <f>IF(C25="","",IFERROR(LARGE(Readings!$O$6:$O$1505,COUNTIF(Readings!$O$6:$O$1505,"&gt;="&amp;(B25+1)*10000)+1)-B25*10000,""))</f>
        <v/>
      </c>
      <c r="F25" s="1" t="n"/>
      <c r="G25" s="19">
        <f>DAY(B25)&amp;" "&amp;CHOOSE(MONTH(B25),"Jan","Feb","Mar","Apr","May","Jun","Jul","Aug","Sep","Oct","Nov","Dec")</f>
        <v/>
      </c>
      <c r="H25" s="19">
        <f>IF(C25="",NA(),C25)</f>
        <v/>
      </c>
      <c r="I25" s="19">
        <f>IF(D25="",NA(),D25)</f>
        <v/>
      </c>
      <c r="J25" s="19">
        <f>IF(E25="",NA(),E25)</f>
        <v/>
      </c>
      <c r="K25" s="1" t="n"/>
      <c r="L25" s="1" t="n"/>
    </row>
    <row r="26">
      <c r="A26" s="1" t="n"/>
      <c r="B26" s="18">
        <f>(TODAY()-8)</f>
        <v/>
      </c>
      <c r="C26" s="14">
        <f>IFERROR(ROUND(AVERAGEIFS(Readings!$E$6:$E$1505,Readings!$B$6:$B$1505,B26),1),"")</f>
        <v/>
      </c>
      <c r="D26" s="14">
        <f>IF(C26="","",IFERROR(SMALL(Readings!$O$6:$O$1505,COUNTIF(Readings!$O$6:$O$1505,"&lt;"&amp;B26*10000)+1)-B26*10000,""))</f>
        <v/>
      </c>
      <c r="E26" s="14">
        <f>IF(C26="","",IFERROR(LARGE(Readings!$O$6:$O$1505,COUNTIF(Readings!$O$6:$O$1505,"&gt;="&amp;(B26+1)*10000)+1)-B26*10000,""))</f>
        <v/>
      </c>
      <c r="F26" s="1" t="n"/>
      <c r="G26" s="19">
        <f>DAY(B26)&amp;" "&amp;CHOOSE(MONTH(B26),"Jan","Feb","Mar","Apr","May","Jun","Jul","Aug","Sep","Oct","Nov","Dec")</f>
        <v/>
      </c>
      <c r="H26" s="19">
        <f>IF(C26="",NA(),C26)</f>
        <v/>
      </c>
      <c r="I26" s="19">
        <f>IF(D26="",NA(),D26)</f>
        <v/>
      </c>
      <c r="J26" s="19">
        <f>IF(E26="",NA(),E26)</f>
        <v/>
      </c>
      <c r="K26" s="1" t="n"/>
      <c r="L26" s="1" t="n"/>
    </row>
    <row r="27">
      <c r="A27" s="1" t="n"/>
      <c r="B27" s="18">
        <f>(TODAY()-7)</f>
        <v/>
      </c>
      <c r="C27" s="14">
        <f>IFERROR(ROUND(AVERAGEIFS(Readings!$E$6:$E$1505,Readings!$B$6:$B$1505,B27),1),"")</f>
        <v/>
      </c>
      <c r="D27" s="14">
        <f>IF(C27="","",IFERROR(SMALL(Readings!$O$6:$O$1505,COUNTIF(Readings!$O$6:$O$1505,"&lt;"&amp;B27*10000)+1)-B27*10000,""))</f>
        <v/>
      </c>
      <c r="E27" s="14">
        <f>IF(C27="","",IFERROR(LARGE(Readings!$O$6:$O$1505,COUNTIF(Readings!$O$6:$O$1505,"&gt;="&amp;(B27+1)*10000)+1)-B27*10000,""))</f>
        <v/>
      </c>
      <c r="F27" s="1" t="n"/>
      <c r="G27" s="19">
        <f>DAY(B27)&amp;" "&amp;CHOOSE(MONTH(B27),"Jan","Feb","Mar","Apr","May","Jun","Jul","Aug","Sep","Oct","Nov","Dec")</f>
        <v/>
      </c>
      <c r="H27" s="19">
        <f>IF(C27="",NA(),C27)</f>
        <v/>
      </c>
      <c r="I27" s="19">
        <f>IF(D27="",NA(),D27)</f>
        <v/>
      </c>
      <c r="J27" s="19">
        <f>IF(E27="",NA(),E27)</f>
        <v/>
      </c>
      <c r="K27" s="1" t="n"/>
      <c r="L27" s="1" t="n"/>
    </row>
    <row r="28">
      <c r="A28" s="1" t="n"/>
      <c r="B28" s="18">
        <f>(TODAY()-6)</f>
        <v/>
      </c>
      <c r="C28" s="14">
        <f>IFERROR(ROUND(AVERAGEIFS(Readings!$E$6:$E$1505,Readings!$B$6:$B$1505,B28),1),"")</f>
        <v/>
      </c>
      <c r="D28" s="14">
        <f>IF(C28="","",IFERROR(SMALL(Readings!$O$6:$O$1505,COUNTIF(Readings!$O$6:$O$1505,"&lt;"&amp;B28*10000)+1)-B28*10000,""))</f>
        <v/>
      </c>
      <c r="E28" s="14">
        <f>IF(C28="","",IFERROR(LARGE(Readings!$O$6:$O$1505,COUNTIF(Readings!$O$6:$O$1505,"&gt;="&amp;(B28+1)*10000)+1)-B28*10000,""))</f>
        <v/>
      </c>
      <c r="F28" s="1" t="n"/>
      <c r="G28" s="19">
        <f>DAY(B28)&amp;" "&amp;CHOOSE(MONTH(B28),"Jan","Feb","Mar","Apr","May","Jun","Jul","Aug","Sep","Oct","Nov","Dec")</f>
        <v/>
      </c>
      <c r="H28" s="19">
        <f>IF(C28="",NA(),C28)</f>
        <v/>
      </c>
      <c r="I28" s="19">
        <f>IF(D28="",NA(),D28)</f>
        <v/>
      </c>
      <c r="J28" s="19">
        <f>IF(E28="",NA(),E28)</f>
        <v/>
      </c>
      <c r="K28" s="1" t="n"/>
      <c r="L28" s="1" t="n"/>
    </row>
    <row r="29">
      <c r="A29" s="1" t="n"/>
      <c r="B29" s="18">
        <f>(TODAY()-5)</f>
        <v/>
      </c>
      <c r="C29" s="14">
        <f>IFERROR(ROUND(AVERAGEIFS(Readings!$E$6:$E$1505,Readings!$B$6:$B$1505,B29),1),"")</f>
        <v/>
      </c>
      <c r="D29" s="14">
        <f>IF(C29="","",IFERROR(SMALL(Readings!$O$6:$O$1505,COUNTIF(Readings!$O$6:$O$1505,"&lt;"&amp;B29*10000)+1)-B29*10000,""))</f>
        <v/>
      </c>
      <c r="E29" s="14">
        <f>IF(C29="","",IFERROR(LARGE(Readings!$O$6:$O$1505,COUNTIF(Readings!$O$6:$O$1505,"&gt;="&amp;(B29+1)*10000)+1)-B29*10000,""))</f>
        <v/>
      </c>
      <c r="F29" s="1" t="n"/>
      <c r="G29" s="19">
        <f>DAY(B29)&amp;" "&amp;CHOOSE(MONTH(B29),"Jan","Feb","Mar","Apr","May","Jun","Jul","Aug","Sep","Oct","Nov","Dec")</f>
        <v/>
      </c>
      <c r="H29" s="19">
        <f>IF(C29="",NA(),C29)</f>
        <v/>
      </c>
      <c r="I29" s="19">
        <f>IF(D29="",NA(),D29)</f>
        <v/>
      </c>
      <c r="J29" s="19">
        <f>IF(E29="",NA(),E29)</f>
        <v/>
      </c>
      <c r="K29" s="1" t="n"/>
      <c r="L29" s="1" t="n"/>
    </row>
    <row r="30">
      <c r="A30" s="1" t="n"/>
      <c r="B30" s="18">
        <f>(TODAY()-4)</f>
        <v/>
      </c>
      <c r="C30" s="14">
        <f>IFERROR(ROUND(AVERAGEIFS(Readings!$E$6:$E$1505,Readings!$B$6:$B$1505,B30),1),"")</f>
        <v/>
      </c>
      <c r="D30" s="14">
        <f>IF(C30="","",IFERROR(SMALL(Readings!$O$6:$O$1505,COUNTIF(Readings!$O$6:$O$1505,"&lt;"&amp;B30*10000)+1)-B30*10000,""))</f>
        <v/>
      </c>
      <c r="E30" s="14">
        <f>IF(C30="","",IFERROR(LARGE(Readings!$O$6:$O$1505,COUNTIF(Readings!$O$6:$O$1505,"&gt;="&amp;(B30+1)*10000)+1)-B30*10000,""))</f>
        <v/>
      </c>
      <c r="F30" s="1" t="n"/>
      <c r="G30" s="19">
        <f>DAY(B30)&amp;" "&amp;CHOOSE(MONTH(B30),"Jan","Feb","Mar","Apr","May","Jun","Jul","Aug","Sep","Oct","Nov","Dec")</f>
        <v/>
      </c>
      <c r="H30" s="19">
        <f>IF(C30="",NA(),C30)</f>
        <v/>
      </c>
      <c r="I30" s="19">
        <f>IF(D30="",NA(),D30)</f>
        <v/>
      </c>
      <c r="J30" s="19">
        <f>IF(E30="",NA(),E30)</f>
        <v/>
      </c>
      <c r="K30" s="1" t="n"/>
      <c r="L30" s="1" t="n"/>
    </row>
    <row r="31">
      <c r="A31" s="1" t="n"/>
      <c r="B31" s="18">
        <f>(TODAY()-3)</f>
        <v/>
      </c>
      <c r="C31" s="14">
        <f>IFERROR(ROUND(AVERAGEIFS(Readings!$E$6:$E$1505,Readings!$B$6:$B$1505,B31),1),"")</f>
        <v/>
      </c>
      <c r="D31" s="14">
        <f>IF(C31="","",IFERROR(SMALL(Readings!$O$6:$O$1505,COUNTIF(Readings!$O$6:$O$1505,"&lt;"&amp;B31*10000)+1)-B31*10000,""))</f>
        <v/>
      </c>
      <c r="E31" s="14">
        <f>IF(C31="","",IFERROR(LARGE(Readings!$O$6:$O$1505,COUNTIF(Readings!$O$6:$O$1505,"&gt;="&amp;(B31+1)*10000)+1)-B31*10000,""))</f>
        <v/>
      </c>
      <c r="F31" s="1" t="n"/>
      <c r="G31" s="19">
        <f>DAY(B31)&amp;" "&amp;CHOOSE(MONTH(B31),"Jan","Feb","Mar","Apr","May","Jun","Jul","Aug","Sep","Oct","Nov","Dec")</f>
        <v/>
      </c>
      <c r="H31" s="19">
        <f>IF(C31="",NA(),C31)</f>
        <v/>
      </c>
      <c r="I31" s="19">
        <f>IF(D31="",NA(),D31)</f>
        <v/>
      </c>
      <c r="J31" s="19">
        <f>IF(E31="",NA(),E31)</f>
        <v/>
      </c>
      <c r="K31" s="1" t="n"/>
      <c r="L31" s="1" t="n"/>
    </row>
    <row r="32">
      <c r="A32" s="1" t="n"/>
      <c r="B32" s="18">
        <f>(TODAY()-2)</f>
        <v/>
      </c>
      <c r="C32" s="14">
        <f>IFERROR(ROUND(AVERAGEIFS(Readings!$E$6:$E$1505,Readings!$B$6:$B$1505,B32),1),"")</f>
        <v/>
      </c>
      <c r="D32" s="14">
        <f>IF(C32="","",IFERROR(SMALL(Readings!$O$6:$O$1505,COUNTIF(Readings!$O$6:$O$1505,"&lt;"&amp;B32*10000)+1)-B32*10000,""))</f>
        <v/>
      </c>
      <c r="E32" s="14">
        <f>IF(C32="","",IFERROR(LARGE(Readings!$O$6:$O$1505,COUNTIF(Readings!$O$6:$O$1505,"&gt;="&amp;(B32+1)*10000)+1)-B32*10000,""))</f>
        <v/>
      </c>
      <c r="F32" s="1" t="n"/>
      <c r="G32" s="19">
        <f>DAY(B32)&amp;" "&amp;CHOOSE(MONTH(B32),"Jan","Feb","Mar","Apr","May","Jun","Jul","Aug","Sep","Oct","Nov","Dec")</f>
        <v/>
      </c>
      <c r="H32" s="19">
        <f>IF(C32="",NA(),C32)</f>
        <v/>
      </c>
      <c r="I32" s="19">
        <f>IF(D32="",NA(),D32)</f>
        <v/>
      </c>
      <c r="J32" s="19">
        <f>IF(E32="",NA(),E32)</f>
        <v/>
      </c>
      <c r="K32" s="1" t="n"/>
      <c r="L32" s="1" t="n"/>
    </row>
    <row r="33">
      <c r="A33" s="1" t="n"/>
      <c r="B33" s="18">
        <f>(TODAY()-1)</f>
        <v/>
      </c>
      <c r="C33" s="14">
        <f>IFERROR(ROUND(AVERAGEIFS(Readings!$E$6:$E$1505,Readings!$B$6:$B$1505,B33),1),"")</f>
        <v/>
      </c>
      <c r="D33" s="14">
        <f>IF(C33="","",IFERROR(SMALL(Readings!$O$6:$O$1505,COUNTIF(Readings!$O$6:$O$1505,"&lt;"&amp;B33*10000)+1)-B33*10000,""))</f>
        <v/>
      </c>
      <c r="E33" s="14">
        <f>IF(C33="","",IFERROR(LARGE(Readings!$O$6:$O$1505,COUNTIF(Readings!$O$6:$O$1505,"&gt;="&amp;(B33+1)*10000)+1)-B33*10000,""))</f>
        <v/>
      </c>
      <c r="F33" s="1" t="n"/>
      <c r="G33" s="19">
        <f>DAY(B33)&amp;" "&amp;CHOOSE(MONTH(B33),"Jan","Feb","Mar","Apr","May","Jun","Jul","Aug","Sep","Oct","Nov","Dec")</f>
        <v/>
      </c>
      <c r="H33" s="19">
        <f>IF(C33="",NA(),C33)</f>
        <v/>
      </c>
      <c r="I33" s="19">
        <f>IF(D33="",NA(),D33)</f>
        <v/>
      </c>
      <c r="J33" s="19">
        <f>IF(E33="",NA(),E33)</f>
        <v/>
      </c>
      <c r="K33" s="1" t="n"/>
      <c r="L33" s="1" t="n"/>
    </row>
    <row r="34">
      <c r="A34" s="1" t="n"/>
      <c r="B34" s="18">
        <f>(TODAY()-0)</f>
        <v/>
      </c>
      <c r="C34" s="14">
        <f>IFERROR(ROUND(AVERAGEIFS(Readings!$E$6:$E$1505,Readings!$B$6:$B$1505,B34),1),"")</f>
        <v/>
      </c>
      <c r="D34" s="14">
        <f>IF(C34="","",IFERROR(SMALL(Readings!$O$6:$O$1505,COUNTIF(Readings!$O$6:$O$1505,"&lt;"&amp;B34*10000)+1)-B34*10000,""))</f>
        <v/>
      </c>
      <c r="E34" s="14">
        <f>IF(C34="","",IFERROR(LARGE(Readings!$O$6:$O$1505,COUNTIF(Readings!$O$6:$O$1505,"&gt;="&amp;(B34+1)*10000)+1)-B34*10000,""))</f>
        <v/>
      </c>
      <c r="F34" s="1" t="n"/>
      <c r="G34" s="19">
        <f>DAY(B34)&amp;" "&amp;CHOOSE(MONTH(B34),"Jan","Feb","Mar","Apr","May","Jun","Jul","Aug","Sep","Oct","Nov","Dec")</f>
        <v/>
      </c>
      <c r="H34" s="19">
        <f>IF(C34="",NA(),C34)</f>
        <v/>
      </c>
      <c r="I34" s="19">
        <f>IF(D34="",NA(),D34)</f>
        <v/>
      </c>
      <c r="J34" s="19">
        <f>IF(E34="",NA(),E34)</f>
        <v/>
      </c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</sheetData>
  <conditionalFormatting sqref="B5">
    <cfRule type="expression" priority="1" dxfId="0">
      <formula>$O$4="Below"</formula>
    </cfRule>
    <cfRule type="expression" priority="2" dxfId="1">
      <formula>$O$4="Above"</formula>
    </cfRule>
  </conditionalFormatting>
  <conditionalFormatting sqref="J9:J18">
    <cfRule type="expression" priority="3" dxfId="2">
      <formula>J9="Taken"</formula>
    </cfRule>
    <cfRule type="expression" priority="4" dxfId="3">
      <formula>J9="Not taken"</formula>
    </cfRule>
    <cfRule type="expression" priority="5" dxfId="4">
      <formula>J9="Later"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5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17" customWidth="1" min="4" max="4"/>
    <col width="10" customWidth="1" min="5" max="5"/>
    <col width="34" customWidth="1" min="6" max="6"/>
    <col width="12" customWidth="1" min="7" max="7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2" customHeight="1">
      <c r="A2" s="1" t="n"/>
      <c r="B2" s="2" t="inlineStr">
        <is>
          <t>Readings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One line per reading. Each is marked against the range for its moment on the Settings tab.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30" customHeight="1">
      <c r="A5" s="1" t="n"/>
      <c r="B5" s="11" t="inlineStr">
        <is>
          <t>Date</t>
        </is>
      </c>
      <c r="C5" s="11" t="inlineStr">
        <is>
          <t>Time</t>
        </is>
      </c>
      <c r="D5" s="11" t="inlineStr">
        <is>
          <t>Moment</t>
        </is>
      </c>
      <c r="E5" s="11" t="inlineStr">
        <is>
          <t>Reading</t>
        </is>
      </c>
      <c r="F5" s="11" t="inlineStr">
        <is>
          <t>Notes</t>
        </is>
      </c>
      <c r="G5" s="11" t="inlineStr">
        <is>
          <t>Range</t>
        </is>
      </c>
      <c r="H5" s="1" t="n"/>
    </row>
    <row r="6">
      <c r="A6" s="1" t="n"/>
      <c r="B6" s="20" t="n">
        <v>46249</v>
      </c>
      <c r="C6" s="21" t="n">
        <v>0.2951388888888889</v>
      </c>
      <c r="D6" s="22" t="inlineStr">
        <is>
          <t>Fasting</t>
        </is>
      </c>
      <c r="E6" s="23" t="n">
        <v>122</v>
      </c>
      <c r="F6" s="22" t="n"/>
      <c r="G6" s="14">
        <f>IF(OR(B6="",E6="",J6="",K6=""),"",IF(E6&lt;J6,"Below",IF(E6&gt;K6,"Above","In range")))</f>
        <v/>
      </c>
      <c r="H6" s="1" t="n"/>
      <c r="J6">
        <f>IF(M6="","",IF(INDEX(Settings!$C$10:$C$18,M6)="","",INDEX(Settings!$C$10:$C$18,M6)))</f>
        <v/>
      </c>
      <c r="K6">
        <f>IF(M6="","",IF(INDEX(Settings!$D$10:$D$18,M6)="","",INDEX(Settings!$D$10:$D$18,M6)))</f>
        <v/>
      </c>
      <c r="L6">
        <f>IF(OR(B6="",E6=""),"",B6+MOD(N(C6),1)+ROW()/10000000)</f>
        <v/>
      </c>
      <c r="M6">
        <f>IF(D6="","",IFERROR(MATCH(D6,Settings!$B$10:$B$18,0),""))</f>
        <v/>
      </c>
      <c r="N6">
        <f>IF(OR(B6="",E6="",M6=""),"",IF(AND(B6&gt;=Settings!$C$6,B6&lt;=Settings!$C$7),M6*10000+E6,""))</f>
        <v/>
      </c>
      <c r="O6">
        <f>IF(OR(B6="",E6=""),"",B6*10000+E6)</f>
        <v/>
      </c>
      <c r="P6">
        <f>IF(N6="","",E6)</f>
        <v/>
      </c>
    </row>
    <row r="7">
      <c r="A7" s="1" t="n"/>
      <c r="B7" s="20" t="n">
        <v>46249</v>
      </c>
      <c r="C7" s="21" t="n">
        <v>0.40625</v>
      </c>
      <c r="D7" s="22" t="inlineStr">
        <is>
          <t>After breakfast</t>
        </is>
      </c>
      <c r="E7" s="23" t="n">
        <v>187</v>
      </c>
      <c r="F7" s="22" t="n"/>
      <c r="G7" s="14">
        <f>IF(OR(B7="",E7="",J7="",K7=""),"",IF(E7&lt;J7,"Below",IF(E7&gt;K7,"Above","In range")))</f>
        <v/>
      </c>
      <c r="H7" s="1" t="n"/>
      <c r="J7">
        <f>IF(M7="","",IF(INDEX(Settings!$C$10:$C$18,M7)="","",INDEX(Settings!$C$10:$C$18,M7)))</f>
        <v/>
      </c>
      <c r="K7">
        <f>IF(M7="","",IF(INDEX(Settings!$D$10:$D$18,M7)="","",INDEX(Settings!$D$10:$D$18,M7)))</f>
        <v/>
      </c>
      <c r="L7">
        <f>IF(OR(B7="",E7=""),"",B7+MOD(N(C7),1)+ROW()/10000000)</f>
        <v/>
      </c>
      <c r="M7">
        <f>IF(D7="","",IFERROR(MATCH(D7,Settings!$B$10:$B$18,0),""))</f>
        <v/>
      </c>
      <c r="N7">
        <f>IF(OR(B7="",E7="",M7=""),"",IF(AND(B7&gt;=Settings!$C$6,B7&lt;=Settings!$C$7),M7*10000+E7,""))</f>
        <v/>
      </c>
      <c r="O7">
        <f>IF(OR(B7="",E7=""),"",B7*10000+E7)</f>
        <v/>
      </c>
      <c r="P7">
        <f>IF(N7="","",E7)</f>
        <v/>
      </c>
    </row>
    <row r="8">
      <c r="A8" s="1" t="n"/>
      <c r="B8" s="20" t="n">
        <v>46249</v>
      </c>
      <c r="C8" s="21" t="n">
        <v>0.7604166666666666</v>
      </c>
      <c r="D8" s="22" t="inlineStr">
        <is>
          <t>Before dinner</t>
        </is>
      </c>
      <c r="E8" s="23" t="n">
        <v>104</v>
      </c>
      <c r="F8" s="22" t="n"/>
      <c r="G8" s="14">
        <f>IF(OR(B8="",E8="",J8="",K8=""),"",IF(E8&lt;J8,"Below",IF(E8&gt;K8,"Above","In range")))</f>
        <v/>
      </c>
      <c r="H8" s="1" t="n"/>
      <c r="J8">
        <f>IF(M8="","",IF(INDEX(Settings!$C$10:$C$18,M8)="","",INDEX(Settings!$C$10:$C$18,M8)))</f>
        <v/>
      </c>
      <c r="K8">
        <f>IF(M8="","",IF(INDEX(Settings!$D$10:$D$18,M8)="","",INDEX(Settings!$D$10:$D$18,M8)))</f>
        <v/>
      </c>
      <c r="L8">
        <f>IF(OR(B8="",E8=""),"",B8+MOD(N(C8),1)+ROW()/10000000)</f>
        <v/>
      </c>
      <c r="M8">
        <f>IF(D8="","",IFERROR(MATCH(D8,Settings!$B$10:$B$18,0),""))</f>
        <v/>
      </c>
      <c r="N8">
        <f>IF(OR(B8="",E8="",M8=""),"",IF(AND(B8&gt;=Settings!$C$6,B8&lt;=Settings!$C$7),M8*10000+E8,""))</f>
        <v/>
      </c>
      <c r="O8">
        <f>IF(OR(B8="",E8=""),"",B8*10000+E8)</f>
        <v/>
      </c>
      <c r="P8">
        <f>IF(N8="","",E8)</f>
        <v/>
      </c>
    </row>
    <row r="9">
      <c r="A9" s="1" t="n"/>
      <c r="B9" s="20" t="n">
        <v>46249</v>
      </c>
      <c r="C9" s="21" t="n">
        <v>0.8645833333333334</v>
      </c>
      <c r="D9" s="22" t="inlineStr">
        <is>
          <t>After dinner</t>
        </is>
      </c>
      <c r="E9" s="23" t="n">
        <v>143</v>
      </c>
      <c r="F9" s="22" t="n"/>
      <c r="G9" s="14">
        <f>IF(OR(B9="",E9="",J9="",K9=""),"",IF(E9&lt;J9,"Below",IF(E9&gt;K9,"Above","In range")))</f>
        <v/>
      </c>
      <c r="H9" s="1" t="n"/>
      <c r="J9">
        <f>IF(M9="","",IF(INDEX(Settings!$C$10:$C$18,M9)="","",INDEX(Settings!$C$10:$C$18,M9)))</f>
        <v/>
      </c>
      <c r="K9">
        <f>IF(M9="","",IF(INDEX(Settings!$D$10:$D$18,M9)="","",INDEX(Settings!$D$10:$D$18,M9)))</f>
        <v/>
      </c>
      <c r="L9">
        <f>IF(OR(B9="",E9=""),"",B9+MOD(N(C9),1)+ROW()/10000000)</f>
        <v/>
      </c>
      <c r="M9">
        <f>IF(D9="","",IFERROR(MATCH(D9,Settings!$B$10:$B$18,0),""))</f>
        <v/>
      </c>
      <c r="N9">
        <f>IF(OR(B9="",E9="",M9=""),"",IF(AND(B9&gt;=Settings!$C$6,B9&lt;=Settings!$C$7),M9*10000+E9,""))</f>
        <v/>
      </c>
      <c r="O9">
        <f>IF(OR(B9="",E9=""),"",B9*10000+E9)</f>
        <v/>
      </c>
      <c r="P9">
        <f>IF(N9="","",E9)</f>
        <v/>
      </c>
    </row>
    <row r="10">
      <c r="A10" s="1" t="n"/>
      <c r="B10" s="20" t="n">
        <v>46250</v>
      </c>
      <c r="C10" s="21" t="n">
        <v>0.3020833333333333</v>
      </c>
      <c r="D10" s="22" t="inlineStr">
        <is>
          <t>Fasting</t>
        </is>
      </c>
      <c r="E10" s="23" t="n">
        <v>93</v>
      </c>
      <c r="F10" s="22" t="n"/>
      <c r="G10" s="14">
        <f>IF(OR(B10="",E10="",J10="",K10=""),"",IF(E10&lt;J10,"Below",IF(E10&gt;K10,"Above","In range")))</f>
        <v/>
      </c>
      <c r="H10" s="1" t="n"/>
      <c r="J10">
        <f>IF(M10="","",IF(INDEX(Settings!$C$10:$C$18,M10)="","",INDEX(Settings!$C$10:$C$18,M10)))</f>
        <v/>
      </c>
      <c r="K10">
        <f>IF(M10="","",IF(INDEX(Settings!$D$10:$D$18,M10)="","",INDEX(Settings!$D$10:$D$18,M10)))</f>
        <v/>
      </c>
      <c r="L10">
        <f>IF(OR(B10="",E10=""),"",B10+MOD(N(C10),1)+ROW()/10000000)</f>
        <v/>
      </c>
      <c r="M10">
        <f>IF(D10="","",IFERROR(MATCH(D10,Settings!$B$10:$B$18,0),""))</f>
        <v/>
      </c>
      <c r="N10">
        <f>IF(OR(B10="",E10="",M10=""),"",IF(AND(B10&gt;=Settings!$C$6,B10&lt;=Settings!$C$7),M10*10000+E10,""))</f>
        <v/>
      </c>
      <c r="O10">
        <f>IF(OR(B10="",E10=""),"",B10*10000+E10)</f>
        <v/>
      </c>
      <c r="P10">
        <f>IF(N10="","",E10)</f>
        <v/>
      </c>
    </row>
    <row r="11">
      <c r="A11" s="1" t="n"/>
      <c r="B11" s="20" t="n">
        <v>46250</v>
      </c>
      <c r="C11" s="21" t="n">
        <v>0.4027777777777778</v>
      </c>
      <c r="D11" s="22" t="inlineStr">
        <is>
          <t>After breakfast</t>
        </is>
      </c>
      <c r="E11" s="23" t="n">
        <v>153</v>
      </c>
      <c r="F11" s="22" t="n"/>
      <c r="G11" s="14">
        <f>IF(OR(B11="",E11="",J11="",K11=""),"",IF(E11&lt;J11,"Below",IF(E11&gt;K11,"Above","In range")))</f>
        <v/>
      </c>
      <c r="H11" s="1" t="n"/>
      <c r="J11">
        <f>IF(M11="","",IF(INDEX(Settings!$C$10:$C$18,M11)="","",INDEX(Settings!$C$10:$C$18,M11)))</f>
        <v/>
      </c>
      <c r="K11">
        <f>IF(M11="","",IF(INDEX(Settings!$D$10:$D$18,M11)="","",INDEX(Settings!$D$10:$D$18,M11)))</f>
        <v/>
      </c>
      <c r="L11">
        <f>IF(OR(B11="",E11=""),"",B11+MOD(N(C11),1)+ROW()/10000000)</f>
        <v/>
      </c>
      <c r="M11">
        <f>IF(D11="","",IFERROR(MATCH(D11,Settings!$B$10:$B$18,0),""))</f>
        <v/>
      </c>
      <c r="N11">
        <f>IF(OR(B11="",E11="",M11=""),"",IF(AND(B11&gt;=Settings!$C$6,B11&lt;=Settings!$C$7),M11*10000+E11,""))</f>
        <v/>
      </c>
      <c r="O11">
        <f>IF(OR(B11="",E11=""),"",B11*10000+E11)</f>
        <v/>
      </c>
      <c r="P11">
        <f>IF(N11="","",E11)</f>
        <v/>
      </c>
    </row>
    <row r="12">
      <c r="A12" s="1" t="n"/>
      <c r="B12" s="20" t="n">
        <v>46250</v>
      </c>
      <c r="C12" s="21" t="n">
        <v>0.7708333333333334</v>
      </c>
      <c r="D12" s="22" t="inlineStr">
        <is>
          <t>Before dinner</t>
        </is>
      </c>
      <c r="E12" s="23" t="n">
        <v>115</v>
      </c>
      <c r="F12" s="22" t="n"/>
      <c r="G12" s="14">
        <f>IF(OR(B12="",E12="",J12="",K12=""),"",IF(E12&lt;J12,"Below",IF(E12&gt;K12,"Above","In range")))</f>
        <v/>
      </c>
      <c r="H12" s="1" t="n"/>
      <c r="J12">
        <f>IF(M12="","",IF(INDEX(Settings!$C$10:$C$18,M12)="","",INDEX(Settings!$C$10:$C$18,M12)))</f>
        <v/>
      </c>
      <c r="K12">
        <f>IF(M12="","",IF(INDEX(Settings!$D$10:$D$18,M12)="","",INDEX(Settings!$D$10:$D$18,M12)))</f>
        <v/>
      </c>
      <c r="L12">
        <f>IF(OR(B12="",E12=""),"",B12+MOD(N(C12),1)+ROW()/10000000)</f>
        <v/>
      </c>
      <c r="M12">
        <f>IF(D12="","",IFERROR(MATCH(D12,Settings!$B$10:$B$18,0),""))</f>
        <v/>
      </c>
      <c r="N12">
        <f>IF(OR(B12="",E12="",M12=""),"",IF(AND(B12&gt;=Settings!$C$6,B12&lt;=Settings!$C$7),M12*10000+E12,""))</f>
        <v/>
      </c>
      <c r="O12">
        <f>IF(OR(B12="",E12=""),"",B12*10000+E12)</f>
        <v/>
      </c>
      <c r="P12">
        <f>IF(N12="","",E12)</f>
        <v/>
      </c>
    </row>
    <row r="13">
      <c r="A13" s="1" t="n"/>
      <c r="B13" s="20" t="n">
        <v>46250</v>
      </c>
      <c r="C13" s="21" t="n">
        <v>0.9375</v>
      </c>
      <c r="D13" s="22" t="inlineStr">
        <is>
          <t>Bedtime</t>
        </is>
      </c>
      <c r="E13" s="23" t="n">
        <v>110</v>
      </c>
      <c r="F13" s="22" t="n"/>
      <c r="G13" s="14">
        <f>IF(OR(B13="",E13="",J13="",K13=""),"",IF(E13&lt;J13,"Below",IF(E13&gt;K13,"Above","In range")))</f>
        <v/>
      </c>
      <c r="H13" s="1" t="n"/>
      <c r="J13">
        <f>IF(M13="","",IF(INDEX(Settings!$C$10:$C$18,M13)="","",INDEX(Settings!$C$10:$C$18,M13)))</f>
        <v/>
      </c>
      <c r="K13">
        <f>IF(M13="","",IF(INDEX(Settings!$D$10:$D$18,M13)="","",INDEX(Settings!$D$10:$D$18,M13)))</f>
        <v/>
      </c>
      <c r="L13">
        <f>IF(OR(B13="",E13=""),"",B13+MOD(N(C13),1)+ROW()/10000000)</f>
        <v/>
      </c>
      <c r="M13">
        <f>IF(D13="","",IFERROR(MATCH(D13,Settings!$B$10:$B$18,0),""))</f>
        <v/>
      </c>
      <c r="N13">
        <f>IF(OR(B13="",E13="",M13=""),"",IF(AND(B13&gt;=Settings!$C$6,B13&lt;=Settings!$C$7),M13*10000+E13,""))</f>
        <v/>
      </c>
      <c r="O13">
        <f>IF(OR(B13="",E13=""),"",B13*10000+E13)</f>
        <v/>
      </c>
      <c r="P13">
        <f>IF(N13="","",E13)</f>
        <v/>
      </c>
    </row>
    <row r="14">
      <c r="A14" s="1" t="n"/>
      <c r="B14" s="20" t="n">
        <v>46251</v>
      </c>
      <c r="C14" s="21" t="n">
        <v>0.3020833333333333</v>
      </c>
      <c r="D14" s="22" t="inlineStr">
        <is>
          <t>Fasting</t>
        </is>
      </c>
      <c r="E14" s="23" t="n">
        <v>119</v>
      </c>
      <c r="F14" s="22" t="n"/>
      <c r="G14" s="14">
        <f>IF(OR(B14="",E14="",J14="",K14=""),"",IF(E14&lt;J14,"Below",IF(E14&gt;K14,"Above","In range")))</f>
        <v/>
      </c>
      <c r="H14" s="1" t="n"/>
      <c r="J14">
        <f>IF(M14="","",IF(INDEX(Settings!$C$10:$C$18,M14)="","",INDEX(Settings!$C$10:$C$18,M14)))</f>
        <v/>
      </c>
      <c r="K14">
        <f>IF(M14="","",IF(INDEX(Settings!$D$10:$D$18,M14)="","",INDEX(Settings!$D$10:$D$18,M14)))</f>
        <v/>
      </c>
      <c r="L14">
        <f>IF(OR(B14="",E14=""),"",B14+MOD(N(C14),1)+ROW()/10000000)</f>
        <v/>
      </c>
      <c r="M14">
        <f>IF(D14="","",IFERROR(MATCH(D14,Settings!$B$10:$B$18,0),""))</f>
        <v/>
      </c>
      <c r="N14">
        <f>IF(OR(B14="",E14="",M14=""),"",IF(AND(B14&gt;=Settings!$C$6,B14&lt;=Settings!$C$7),M14*10000+E14,""))</f>
        <v/>
      </c>
      <c r="O14">
        <f>IF(OR(B14="",E14=""),"",B14*10000+E14)</f>
        <v/>
      </c>
      <c r="P14">
        <f>IF(N14="","",E14)</f>
        <v/>
      </c>
    </row>
    <row r="15">
      <c r="A15" s="1" t="n"/>
      <c r="B15" s="20" t="n">
        <v>46251</v>
      </c>
      <c r="C15" s="21" t="n">
        <v>0.4027777777777778</v>
      </c>
      <c r="D15" s="22" t="inlineStr">
        <is>
          <t>After breakfast</t>
        </is>
      </c>
      <c r="E15" s="23" t="n">
        <v>163</v>
      </c>
      <c r="F15" s="22" t="n"/>
      <c r="G15" s="14">
        <f>IF(OR(B15="",E15="",J15="",K15=""),"",IF(E15&lt;J15,"Below",IF(E15&gt;K15,"Above","In range")))</f>
        <v/>
      </c>
      <c r="H15" s="1" t="n"/>
      <c r="J15">
        <f>IF(M15="","",IF(INDEX(Settings!$C$10:$C$18,M15)="","",INDEX(Settings!$C$10:$C$18,M15)))</f>
        <v/>
      </c>
      <c r="K15">
        <f>IF(M15="","",IF(INDEX(Settings!$D$10:$D$18,M15)="","",INDEX(Settings!$D$10:$D$18,M15)))</f>
        <v/>
      </c>
      <c r="L15">
        <f>IF(OR(B15="",E15=""),"",B15+MOD(N(C15),1)+ROW()/10000000)</f>
        <v/>
      </c>
      <c r="M15">
        <f>IF(D15="","",IFERROR(MATCH(D15,Settings!$B$10:$B$18,0),""))</f>
        <v/>
      </c>
      <c r="N15">
        <f>IF(OR(B15="",E15="",M15=""),"",IF(AND(B15&gt;=Settings!$C$6,B15&lt;=Settings!$C$7),M15*10000+E15,""))</f>
        <v/>
      </c>
      <c r="O15">
        <f>IF(OR(B15="",E15=""),"",B15*10000+E15)</f>
        <v/>
      </c>
      <c r="P15">
        <f>IF(N15="","",E15)</f>
        <v/>
      </c>
    </row>
    <row r="16">
      <c r="A16" s="1" t="n"/>
      <c r="B16" s="20" t="n">
        <v>46252</v>
      </c>
      <c r="C16" s="21" t="n">
        <v>0.2986111111111111</v>
      </c>
      <c r="D16" s="22" t="inlineStr">
        <is>
          <t>Fasting</t>
        </is>
      </c>
      <c r="E16" s="23" t="n">
        <v>118</v>
      </c>
      <c r="F16" s="22" t="inlineStr">
        <is>
          <t>Walked 30 min after lunch</t>
        </is>
      </c>
      <c r="G16" s="14">
        <f>IF(OR(B16="",E16="",J16="",K16=""),"",IF(E16&lt;J16,"Below",IF(E16&gt;K16,"Above","In range")))</f>
        <v/>
      </c>
      <c r="H16" s="1" t="n"/>
      <c r="J16">
        <f>IF(M16="","",IF(INDEX(Settings!$C$10:$C$18,M16)="","",INDEX(Settings!$C$10:$C$18,M16)))</f>
        <v/>
      </c>
      <c r="K16">
        <f>IF(M16="","",IF(INDEX(Settings!$D$10:$D$18,M16)="","",INDEX(Settings!$D$10:$D$18,M16)))</f>
        <v/>
      </c>
      <c r="L16">
        <f>IF(OR(B16="",E16=""),"",B16+MOD(N(C16),1)+ROW()/10000000)</f>
        <v/>
      </c>
      <c r="M16">
        <f>IF(D16="","",IFERROR(MATCH(D16,Settings!$B$10:$B$18,0),""))</f>
        <v/>
      </c>
      <c r="N16">
        <f>IF(OR(B16="",E16="",M16=""),"",IF(AND(B16&gt;=Settings!$C$6,B16&lt;=Settings!$C$7),M16*10000+E16,""))</f>
        <v/>
      </c>
      <c r="O16">
        <f>IF(OR(B16="",E16=""),"",B16*10000+E16)</f>
        <v/>
      </c>
      <c r="P16">
        <f>IF(N16="","",E16)</f>
        <v/>
      </c>
    </row>
    <row r="17">
      <c r="A17" s="1" t="n"/>
      <c r="B17" s="20" t="n">
        <v>46252</v>
      </c>
      <c r="C17" s="21" t="n">
        <v>0.3958333333333333</v>
      </c>
      <c r="D17" s="22" t="inlineStr">
        <is>
          <t>After breakfast</t>
        </is>
      </c>
      <c r="E17" s="23" t="n">
        <v>132</v>
      </c>
      <c r="F17" s="22" t="n"/>
      <c r="G17" s="14">
        <f>IF(OR(B17="",E17="",J17="",K17=""),"",IF(E17&lt;J17,"Below",IF(E17&gt;K17,"Above","In range")))</f>
        <v/>
      </c>
      <c r="H17" s="1" t="n"/>
      <c r="J17">
        <f>IF(M17="","",IF(INDEX(Settings!$C$10:$C$18,M17)="","",INDEX(Settings!$C$10:$C$18,M17)))</f>
        <v/>
      </c>
      <c r="K17">
        <f>IF(M17="","",IF(INDEX(Settings!$D$10:$D$18,M17)="","",INDEX(Settings!$D$10:$D$18,M17)))</f>
        <v/>
      </c>
      <c r="L17">
        <f>IF(OR(B17="",E17=""),"",B17+MOD(N(C17),1)+ROW()/10000000)</f>
        <v/>
      </c>
      <c r="M17">
        <f>IF(D17="","",IFERROR(MATCH(D17,Settings!$B$10:$B$18,0),""))</f>
        <v/>
      </c>
      <c r="N17">
        <f>IF(OR(B17="",E17="",M17=""),"",IF(AND(B17&gt;=Settings!$C$6,B17&lt;=Settings!$C$7),M17*10000+E17,""))</f>
        <v/>
      </c>
      <c r="O17">
        <f>IF(OR(B17="",E17=""),"",B17*10000+E17)</f>
        <v/>
      </c>
      <c r="P17">
        <f>IF(N17="","",E17)</f>
        <v/>
      </c>
    </row>
    <row r="18">
      <c r="A18" s="1" t="n"/>
      <c r="B18" s="20" t="n">
        <v>46252</v>
      </c>
      <c r="C18" s="21" t="n">
        <v>0.8541666666666666</v>
      </c>
      <c r="D18" s="22" t="inlineStr">
        <is>
          <t>After dinner</t>
        </is>
      </c>
      <c r="E18" s="23" t="n">
        <v>154</v>
      </c>
      <c r="F18" s="22" t="n"/>
      <c r="G18" s="14">
        <f>IF(OR(B18="",E18="",J18="",K18=""),"",IF(E18&lt;J18,"Below",IF(E18&gt;K18,"Above","In range")))</f>
        <v/>
      </c>
      <c r="H18" s="1" t="n"/>
      <c r="J18">
        <f>IF(M18="","",IF(INDEX(Settings!$C$10:$C$18,M18)="","",INDEX(Settings!$C$10:$C$18,M18)))</f>
        <v/>
      </c>
      <c r="K18">
        <f>IF(M18="","",IF(INDEX(Settings!$D$10:$D$18,M18)="","",INDEX(Settings!$D$10:$D$18,M18)))</f>
        <v/>
      </c>
      <c r="L18">
        <f>IF(OR(B18="",E18=""),"",B18+MOD(N(C18),1)+ROW()/10000000)</f>
        <v/>
      </c>
      <c r="M18">
        <f>IF(D18="","",IFERROR(MATCH(D18,Settings!$B$10:$B$18,0),""))</f>
        <v/>
      </c>
      <c r="N18">
        <f>IF(OR(B18="",E18="",M18=""),"",IF(AND(B18&gt;=Settings!$C$6,B18&lt;=Settings!$C$7),M18*10000+E18,""))</f>
        <v/>
      </c>
      <c r="O18">
        <f>IF(OR(B18="",E18=""),"",B18*10000+E18)</f>
        <v/>
      </c>
      <c r="P18">
        <f>IF(N18="","",E18)</f>
        <v/>
      </c>
    </row>
    <row r="19">
      <c r="A19" s="1" t="n"/>
      <c r="B19" s="20" t="n">
        <v>46252</v>
      </c>
      <c r="C19" s="21" t="n">
        <v>0.9375</v>
      </c>
      <c r="D19" s="22" t="inlineStr">
        <is>
          <t>Bedtime</t>
        </is>
      </c>
      <c r="E19" s="23" t="n">
        <v>150</v>
      </c>
      <c r="F19" s="22" t="n"/>
      <c r="G19" s="14">
        <f>IF(OR(B19="",E19="",J19="",K19=""),"",IF(E19&lt;J19,"Below",IF(E19&gt;K19,"Above","In range")))</f>
        <v/>
      </c>
      <c r="H19" s="1" t="n"/>
      <c r="J19">
        <f>IF(M19="","",IF(INDEX(Settings!$C$10:$C$18,M19)="","",INDEX(Settings!$C$10:$C$18,M19)))</f>
        <v/>
      </c>
      <c r="K19">
        <f>IF(M19="","",IF(INDEX(Settings!$D$10:$D$18,M19)="","",INDEX(Settings!$D$10:$D$18,M19)))</f>
        <v/>
      </c>
      <c r="L19">
        <f>IF(OR(B19="",E19=""),"",B19+MOD(N(C19),1)+ROW()/10000000)</f>
        <v/>
      </c>
      <c r="M19">
        <f>IF(D19="","",IFERROR(MATCH(D19,Settings!$B$10:$B$18,0),""))</f>
        <v/>
      </c>
      <c r="N19">
        <f>IF(OR(B19="",E19="",M19=""),"",IF(AND(B19&gt;=Settings!$C$6,B19&lt;=Settings!$C$7),M19*10000+E19,""))</f>
        <v/>
      </c>
      <c r="O19">
        <f>IF(OR(B19="",E19=""),"",B19*10000+E19)</f>
        <v/>
      </c>
      <c r="P19">
        <f>IF(N19="","",E19)</f>
        <v/>
      </c>
    </row>
    <row r="20">
      <c r="A20" s="1" t="n"/>
      <c r="B20" s="20" t="n">
        <v>46253</v>
      </c>
      <c r="C20" s="21" t="n">
        <v>0.2986111111111111</v>
      </c>
      <c r="D20" s="22" t="inlineStr">
        <is>
          <t>Fasting</t>
        </is>
      </c>
      <c r="E20" s="23" t="n">
        <v>106</v>
      </c>
      <c r="F20" s="22" t="n"/>
      <c r="G20" s="14">
        <f>IF(OR(B20="",E20="",J20="",K20=""),"",IF(E20&lt;J20,"Below",IF(E20&gt;K20,"Above","In range")))</f>
        <v/>
      </c>
      <c r="H20" s="1" t="n"/>
      <c r="J20">
        <f>IF(M20="","",IF(INDEX(Settings!$C$10:$C$18,M20)="","",INDEX(Settings!$C$10:$C$18,M20)))</f>
        <v/>
      </c>
      <c r="K20">
        <f>IF(M20="","",IF(INDEX(Settings!$D$10:$D$18,M20)="","",INDEX(Settings!$D$10:$D$18,M20)))</f>
        <v/>
      </c>
      <c r="L20">
        <f>IF(OR(B20="",E20=""),"",B20+MOD(N(C20),1)+ROW()/10000000)</f>
        <v/>
      </c>
      <c r="M20">
        <f>IF(D20="","",IFERROR(MATCH(D20,Settings!$B$10:$B$18,0),""))</f>
        <v/>
      </c>
      <c r="N20">
        <f>IF(OR(B20="",E20="",M20=""),"",IF(AND(B20&gt;=Settings!$C$6,B20&lt;=Settings!$C$7),M20*10000+E20,""))</f>
        <v/>
      </c>
      <c r="O20">
        <f>IF(OR(B20="",E20=""),"",B20*10000+E20)</f>
        <v/>
      </c>
      <c r="P20">
        <f>IF(N20="","",E20)</f>
        <v/>
      </c>
    </row>
    <row r="21">
      <c r="A21" s="1" t="n"/>
      <c r="B21" s="20" t="n">
        <v>46253</v>
      </c>
      <c r="C21" s="21" t="n">
        <v>0.40625</v>
      </c>
      <c r="D21" s="22" t="inlineStr">
        <is>
          <t>After breakfast</t>
        </is>
      </c>
      <c r="E21" s="23" t="n">
        <v>181</v>
      </c>
      <c r="F21" s="22" t="n"/>
      <c r="G21" s="14">
        <f>IF(OR(B21="",E21="",J21="",K21=""),"",IF(E21&lt;J21,"Below",IF(E21&gt;K21,"Above","In range")))</f>
        <v/>
      </c>
      <c r="H21" s="1" t="n"/>
      <c r="J21">
        <f>IF(M21="","",IF(INDEX(Settings!$C$10:$C$18,M21)="","",INDEX(Settings!$C$10:$C$18,M21)))</f>
        <v/>
      </c>
      <c r="K21">
        <f>IF(M21="","",IF(INDEX(Settings!$D$10:$D$18,M21)="","",INDEX(Settings!$D$10:$D$18,M21)))</f>
        <v/>
      </c>
      <c r="L21">
        <f>IF(OR(B21="",E21=""),"",B21+MOD(N(C21),1)+ROW()/10000000)</f>
        <v/>
      </c>
      <c r="M21">
        <f>IF(D21="","",IFERROR(MATCH(D21,Settings!$B$10:$B$18,0),""))</f>
        <v/>
      </c>
      <c r="N21">
        <f>IF(OR(B21="",E21="",M21=""),"",IF(AND(B21&gt;=Settings!$C$6,B21&lt;=Settings!$C$7),M21*10000+E21,""))</f>
        <v/>
      </c>
      <c r="O21">
        <f>IF(OR(B21="",E21=""),"",B21*10000+E21)</f>
        <v/>
      </c>
      <c r="P21">
        <f>IF(N21="","",E21)</f>
        <v/>
      </c>
    </row>
    <row r="22">
      <c r="A22" s="1" t="n"/>
      <c r="B22" s="20" t="n">
        <v>46253</v>
      </c>
      <c r="C22" s="21" t="n">
        <v>0.75</v>
      </c>
      <c r="D22" s="22" t="inlineStr">
        <is>
          <t>Before dinner</t>
        </is>
      </c>
      <c r="E22" s="23" t="n">
        <v>105</v>
      </c>
      <c r="F22" s="22" t="n"/>
      <c r="G22" s="14">
        <f>IF(OR(B22="",E22="",J22="",K22=""),"",IF(E22&lt;J22,"Below",IF(E22&gt;K22,"Above","In range")))</f>
        <v/>
      </c>
      <c r="H22" s="1" t="n"/>
      <c r="J22">
        <f>IF(M22="","",IF(INDEX(Settings!$C$10:$C$18,M22)="","",INDEX(Settings!$C$10:$C$18,M22)))</f>
        <v/>
      </c>
      <c r="K22">
        <f>IF(M22="","",IF(INDEX(Settings!$D$10:$D$18,M22)="","",INDEX(Settings!$D$10:$D$18,M22)))</f>
        <v/>
      </c>
      <c r="L22">
        <f>IF(OR(B22="",E22=""),"",B22+MOD(N(C22),1)+ROW()/10000000)</f>
        <v/>
      </c>
      <c r="M22">
        <f>IF(D22="","",IFERROR(MATCH(D22,Settings!$B$10:$B$18,0),""))</f>
        <v/>
      </c>
      <c r="N22">
        <f>IF(OR(B22="",E22="",M22=""),"",IF(AND(B22&gt;=Settings!$C$6,B22&lt;=Settings!$C$7),M22*10000+E22,""))</f>
        <v/>
      </c>
      <c r="O22">
        <f>IF(OR(B22="",E22=""),"",B22*10000+E22)</f>
        <v/>
      </c>
      <c r="P22">
        <f>IF(N22="","",E22)</f>
        <v/>
      </c>
    </row>
    <row r="23">
      <c r="A23" s="1" t="n"/>
      <c r="B23" s="20" t="n">
        <v>46254</v>
      </c>
      <c r="C23" s="21" t="n">
        <v>0.2916666666666667</v>
      </c>
      <c r="D23" s="22" t="inlineStr">
        <is>
          <t>Fasting</t>
        </is>
      </c>
      <c r="E23" s="23" t="n">
        <v>96</v>
      </c>
      <c r="F23" s="22" t="n"/>
      <c r="G23" s="14">
        <f>IF(OR(B23="",E23="",J23="",K23=""),"",IF(E23&lt;J23,"Below",IF(E23&gt;K23,"Above","In range")))</f>
        <v/>
      </c>
      <c r="H23" s="1" t="n"/>
      <c r="J23">
        <f>IF(M23="","",IF(INDEX(Settings!$C$10:$C$18,M23)="","",INDEX(Settings!$C$10:$C$18,M23)))</f>
        <v/>
      </c>
      <c r="K23">
        <f>IF(M23="","",IF(INDEX(Settings!$D$10:$D$18,M23)="","",INDEX(Settings!$D$10:$D$18,M23)))</f>
        <v/>
      </c>
      <c r="L23">
        <f>IF(OR(B23="",E23=""),"",B23+MOD(N(C23),1)+ROW()/10000000)</f>
        <v/>
      </c>
      <c r="M23">
        <f>IF(D23="","",IFERROR(MATCH(D23,Settings!$B$10:$B$18,0),""))</f>
        <v/>
      </c>
      <c r="N23">
        <f>IF(OR(B23="",E23="",M23=""),"",IF(AND(B23&gt;=Settings!$C$6,B23&lt;=Settings!$C$7),M23*10000+E23,""))</f>
        <v/>
      </c>
      <c r="O23">
        <f>IF(OR(B23="",E23=""),"",B23*10000+E23)</f>
        <v/>
      </c>
      <c r="P23">
        <f>IF(N23="","",E23)</f>
        <v/>
      </c>
    </row>
    <row r="24">
      <c r="A24" s="1" t="n"/>
      <c r="B24" s="20" t="n">
        <v>46254</v>
      </c>
      <c r="C24" s="21" t="n">
        <v>0.3958333333333333</v>
      </c>
      <c r="D24" s="22" t="inlineStr">
        <is>
          <t>After breakfast</t>
        </is>
      </c>
      <c r="E24" s="23" t="n">
        <v>180</v>
      </c>
      <c r="F24" s="22" t="n"/>
      <c r="G24" s="14">
        <f>IF(OR(B24="",E24="",J24="",K24=""),"",IF(E24&lt;J24,"Below",IF(E24&gt;K24,"Above","In range")))</f>
        <v/>
      </c>
      <c r="H24" s="1" t="n"/>
      <c r="J24">
        <f>IF(M24="","",IF(INDEX(Settings!$C$10:$C$18,M24)="","",INDEX(Settings!$C$10:$C$18,M24)))</f>
        <v/>
      </c>
      <c r="K24">
        <f>IF(M24="","",IF(INDEX(Settings!$D$10:$D$18,M24)="","",INDEX(Settings!$D$10:$D$18,M24)))</f>
        <v/>
      </c>
      <c r="L24">
        <f>IF(OR(B24="",E24=""),"",B24+MOD(N(C24),1)+ROW()/10000000)</f>
        <v/>
      </c>
      <c r="M24">
        <f>IF(D24="","",IFERROR(MATCH(D24,Settings!$B$10:$B$18,0),""))</f>
        <v/>
      </c>
      <c r="N24">
        <f>IF(OR(B24="",E24="",M24=""),"",IF(AND(B24&gt;=Settings!$C$6,B24&lt;=Settings!$C$7),M24*10000+E24,""))</f>
        <v/>
      </c>
      <c r="O24">
        <f>IF(OR(B24="",E24=""),"",B24*10000+E24)</f>
        <v/>
      </c>
      <c r="P24">
        <f>IF(N24="","",E24)</f>
        <v/>
      </c>
    </row>
    <row r="25">
      <c r="A25" s="1" t="n"/>
      <c r="B25" s="20" t="n">
        <v>46254</v>
      </c>
      <c r="C25" s="21" t="n">
        <v>0.7604166666666666</v>
      </c>
      <c r="D25" s="22" t="inlineStr">
        <is>
          <t>Before dinner</t>
        </is>
      </c>
      <c r="E25" s="23" t="n">
        <v>100</v>
      </c>
      <c r="F25" s="22" t="n"/>
      <c r="G25" s="14">
        <f>IF(OR(B25="",E25="",J25="",K25=""),"",IF(E25&lt;J25,"Below",IF(E25&gt;K25,"Above","In range")))</f>
        <v/>
      </c>
      <c r="H25" s="1" t="n"/>
      <c r="J25">
        <f>IF(M25="","",IF(INDEX(Settings!$C$10:$C$18,M25)="","",INDEX(Settings!$C$10:$C$18,M25)))</f>
        <v/>
      </c>
      <c r="K25">
        <f>IF(M25="","",IF(INDEX(Settings!$D$10:$D$18,M25)="","",INDEX(Settings!$D$10:$D$18,M25)))</f>
        <v/>
      </c>
      <c r="L25">
        <f>IF(OR(B25="",E25=""),"",B25+MOD(N(C25),1)+ROW()/10000000)</f>
        <v/>
      </c>
      <c r="M25">
        <f>IF(D25="","",IFERROR(MATCH(D25,Settings!$B$10:$B$18,0),""))</f>
        <v/>
      </c>
      <c r="N25">
        <f>IF(OR(B25="",E25="",M25=""),"",IF(AND(B25&gt;=Settings!$C$6,B25&lt;=Settings!$C$7),M25*10000+E25,""))</f>
        <v/>
      </c>
      <c r="O25">
        <f>IF(OR(B25="",E25=""),"",B25*10000+E25)</f>
        <v/>
      </c>
      <c r="P25">
        <f>IF(N25="","",E25)</f>
        <v/>
      </c>
    </row>
    <row r="26">
      <c r="A26" s="1" t="n"/>
      <c r="B26" s="20" t="n">
        <v>46254</v>
      </c>
      <c r="C26" s="21" t="n">
        <v>0.8541666666666666</v>
      </c>
      <c r="D26" s="22" t="inlineStr">
        <is>
          <t>After dinner</t>
        </is>
      </c>
      <c r="E26" s="23" t="n">
        <v>137</v>
      </c>
      <c r="F26" s="22" t="n"/>
      <c r="G26" s="14">
        <f>IF(OR(B26="",E26="",J26="",K26=""),"",IF(E26&lt;J26,"Below",IF(E26&gt;K26,"Above","In range")))</f>
        <v/>
      </c>
      <c r="H26" s="1" t="n"/>
      <c r="J26">
        <f>IF(M26="","",IF(INDEX(Settings!$C$10:$C$18,M26)="","",INDEX(Settings!$C$10:$C$18,M26)))</f>
        <v/>
      </c>
      <c r="K26">
        <f>IF(M26="","",IF(INDEX(Settings!$D$10:$D$18,M26)="","",INDEX(Settings!$D$10:$D$18,M26)))</f>
        <v/>
      </c>
      <c r="L26">
        <f>IF(OR(B26="",E26=""),"",B26+MOD(N(C26),1)+ROW()/10000000)</f>
        <v/>
      </c>
      <c r="M26">
        <f>IF(D26="","",IFERROR(MATCH(D26,Settings!$B$10:$B$18,0),""))</f>
        <v/>
      </c>
      <c r="N26">
        <f>IF(OR(B26="",E26="",M26=""),"",IF(AND(B26&gt;=Settings!$C$6,B26&lt;=Settings!$C$7),M26*10000+E26,""))</f>
        <v/>
      </c>
      <c r="O26">
        <f>IF(OR(B26="",E26=""),"",B26*10000+E26)</f>
        <v/>
      </c>
      <c r="P26">
        <f>IF(N26="","",E26)</f>
        <v/>
      </c>
    </row>
    <row r="27">
      <c r="A27" s="1" t="n"/>
      <c r="B27" s="20" t="n">
        <v>46254</v>
      </c>
      <c r="C27" s="21" t="n">
        <v>0.9270833333333334</v>
      </c>
      <c r="D27" s="22" t="inlineStr">
        <is>
          <t>Bedtime</t>
        </is>
      </c>
      <c r="E27" s="23" t="n">
        <v>150</v>
      </c>
      <c r="F27" s="22" t="n"/>
      <c r="G27" s="14">
        <f>IF(OR(B27="",E27="",J27="",K27=""),"",IF(E27&lt;J27,"Below",IF(E27&gt;K27,"Above","In range")))</f>
        <v/>
      </c>
      <c r="H27" s="1" t="n"/>
      <c r="J27">
        <f>IF(M27="","",IF(INDEX(Settings!$C$10:$C$18,M27)="","",INDEX(Settings!$C$10:$C$18,M27)))</f>
        <v/>
      </c>
      <c r="K27">
        <f>IF(M27="","",IF(INDEX(Settings!$D$10:$D$18,M27)="","",INDEX(Settings!$D$10:$D$18,M27)))</f>
        <v/>
      </c>
      <c r="L27">
        <f>IF(OR(B27="",E27=""),"",B27+MOD(N(C27),1)+ROW()/10000000)</f>
        <v/>
      </c>
      <c r="M27">
        <f>IF(D27="","",IFERROR(MATCH(D27,Settings!$B$10:$B$18,0),""))</f>
        <v/>
      </c>
      <c r="N27">
        <f>IF(OR(B27="",E27="",M27=""),"",IF(AND(B27&gt;=Settings!$C$6,B27&lt;=Settings!$C$7),M27*10000+E27,""))</f>
        <v/>
      </c>
      <c r="O27">
        <f>IF(OR(B27="",E27=""),"",B27*10000+E27)</f>
        <v/>
      </c>
      <c r="P27">
        <f>IF(N27="","",E27)</f>
        <v/>
      </c>
    </row>
    <row r="28">
      <c r="A28" s="1" t="n"/>
      <c r="B28" s="20" t="n">
        <v>46255</v>
      </c>
      <c r="C28" s="21" t="n">
        <v>0.2986111111111111</v>
      </c>
      <c r="D28" s="22" t="inlineStr">
        <is>
          <t>Fasting</t>
        </is>
      </c>
      <c r="E28" s="23" t="n">
        <v>102</v>
      </c>
      <c r="F28" s="22" t="n"/>
      <c r="G28" s="14">
        <f>IF(OR(B28="",E28="",J28="",K28=""),"",IF(E28&lt;J28,"Below",IF(E28&gt;K28,"Above","In range")))</f>
        <v/>
      </c>
      <c r="H28" s="1" t="n"/>
      <c r="J28">
        <f>IF(M28="","",IF(INDEX(Settings!$C$10:$C$18,M28)="","",INDEX(Settings!$C$10:$C$18,M28)))</f>
        <v/>
      </c>
      <c r="K28">
        <f>IF(M28="","",IF(INDEX(Settings!$D$10:$D$18,M28)="","",INDEX(Settings!$D$10:$D$18,M28)))</f>
        <v/>
      </c>
      <c r="L28">
        <f>IF(OR(B28="",E28=""),"",B28+MOD(N(C28),1)+ROW()/10000000)</f>
        <v/>
      </c>
      <c r="M28">
        <f>IF(D28="","",IFERROR(MATCH(D28,Settings!$B$10:$B$18,0),""))</f>
        <v/>
      </c>
      <c r="N28">
        <f>IF(OR(B28="",E28="",M28=""),"",IF(AND(B28&gt;=Settings!$C$6,B28&lt;=Settings!$C$7),M28*10000+E28,""))</f>
        <v/>
      </c>
      <c r="O28">
        <f>IF(OR(B28="",E28=""),"",B28*10000+E28)</f>
        <v/>
      </c>
      <c r="P28">
        <f>IF(N28="","",E28)</f>
        <v/>
      </c>
    </row>
    <row r="29">
      <c r="A29" s="1" t="n"/>
      <c r="B29" s="20" t="n">
        <v>46255</v>
      </c>
      <c r="C29" s="21" t="n">
        <v>0.40625</v>
      </c>
      <c r="D29" s="22" t="inlineStr">
        <is>
          <t>After breakfast</t>
        </is>
      </c>
      <c r="E29" s="23" t="n">
        <v>184</v>
      </c>
      <c r="F29" s="22" t="n"/>
      <c r="G29" s="14">
        <f>IF(OR(B29="",E29="",J29="",K29=""),"",IF(E29&lt;J29,"Below",IF(E29&gt;K29,"Above","In range")))</f>
        <v/>
      </c>
      <c r="H29" s="1" t="n"/>
      <c r="J29">
        <f>IF(M29="","",IF(INDEX(Settings!$C$10:$C$18,M29)="","",INDEX(Settings!$C$10:$C$18,M29)))</f>
        <v/>
      </c>
      <c r="K29">
        <f>IF(M29="","",IF(INDEX(Settings!$D$10:$D$18,M29)="","",INDEX(Settings!$D$10:$D$18,M29)))</f>
        <v/>
      </c>
      <c r="L29">
        <f>IF(OR(B29="",E29=""),"",B29+MOD(N(C29),1)+ROW()/10000000)</f>
        <v/>
      </c>
      <c r="M29">
        <f>IF(D29="","",IFERROR(MATCH(D29,Settings!$B$10:$B$18,0),""))</f>
        <v/>
      </c>
      <c r="N29">
        <f>IF(OR(B29="",E29="",M29=""),"",IF(AND(B29&gt;=Settings!$C$6,B29&lt;=Settings!$C$7),M29*10000+E29,""))</f>
        <v/>
      </c>
      <c r="O29">
        <f>IF(OR(B29="",E29=""),"",B29*10000+E29)</f>
        <v/>
      </c>
      <c r="P29">
        <f>IF(N29="","",E29)</f>
        <v/>
      </c>
    </row>
    <row r="30">
      <c r="A30" s="1" t="n"/>
      <c r="B30" s="20" t="n">
        <v>46255</v>
      </c>
      <c r="C30" s="21" t="n">
        <v>0.7604166666666666</v>
      </c>
      <c r="D30" s="22" t="inlineStr">
        <is>
          <t>Before dinner</t>
        </is>
      </c>
      <c r="E30" s="23" t="n">
        <v>138</v>
      </c>
      <c r="F30" s="22" t="n"/>
      <c r="G30" s="14">
        <f>IF(OR(B30="",E30="",J30="",K30=""),"",IF(E30&lt;J30,"Below",IF(E30&gt;K30,"Above","In range")))</f>
        <v/>
      </c>
      <c r="H30" s="1" t="n"/>
      <c r="J30">
        <f>IF(M30="","",IF(INDEX(Settings!$C$10:$C$18,M30)="","",INDEX(Settings!$C$10:$C$18,M30)))</f>
        <v/>
      </c>
      <c r="K30">
        <f>IF(M30="","",IF(INDEX(Settings!$D$10:$D$18,M30)="","",INDEX(Settings!$D$10:$D$18,M30)))</f>
        <v/>
      </c>
      <c r="L30">
        <f>IF(OR(B30="",E30=""),"",B30+MOD(N(C30),1)+ROW()/10000000)</f>
        <v/>
      </c>
      <c r="M30">
        <f>IF(D30="","",IFERROR(MATCH(D30,Settings!$B$10:$B$18,0),""))</f>
        <v/>
      </c>
      <c r="N30">
        <f>IF(OR(B30="",E30="",M30=""),"",IF(AND(B30&gt;=Settings!$C$6,B30&lt;=Settings!$C$7),M30*10000+E30,""))</f>
        <v/>
      </c>
      <c r="O30">
        <f>IF(OR(B30="",E30=""),"",B30*10000+E30)</f>
        <v/>
      </c>
      <c r="P30">
        <f>IF(N30="","",E30)</f>
        <v/>
      </c>
    </row>
    <row r="31">
      <c r="A31" s="1" t="n"/>
      <c r="B31" s="20" t="n">
        <v>46255</v>
      </c>
      <c r="C31" s="21" t="n">
        <v>0.84375</v>
      </c>
      <c r="D31" s="22" t="inlineStr">
        <is>
          <t>After dinner</t>
        </is>
      </c>
      <c r="E31" s="23" t="n">
        <v>198</v>
      </c>
      <c r="F31" s="22" t="n"/>
      <c r="G31" s="14">
        <f>IF(OR(B31="",E31="",J31="",K31=""),"",IF(E31&lt;J31,"Below",IF(E31&gt;K31,"Above","In range")))</f>
        <v/>
      </c>
      <c r="H31" s="1" t="n"/>
      <c r="J31">
        <f>IF(M31="","",IF(INDEX(Settings!$C$10:$C$18,M31)="","",INDEX(Settings!$C$10:$C$18,M31)))</f>
        <v/>
      </c>
      <c r="K31">
        <f>IF(M31="","",IF(INDEX(Settings!$D$10:$D$18,M31)="","",INDEX(Settings!$D$10:$D$18,M31)))</f>
        <v/>
      </c>
      <c r="L31">
        <f>IF(OR(B31="",E31=""),"",B31+MOD(N(C31),1)+ROW()/10000000)</f>
        <v/>
      </c>
      <c r="M31">
        <f>IF(D31="","",IFERROR(MATCH(D31,Settings!$B$10:$B$18,0),""))</f>
        <v/>
      </c>
      <c r="N31">
        <f>IF(OR(B31="",E31="",M31=""),"",IF(AND(B31&gt;=Settings!$C$6,B31&lt;=Settings!$C$7),M31*10000+E31,""))</f>
        <v/>
      </c>
      <c r="O31">
        <f>IF(OR(B31="",E31=""),"",B31*10000+E31)</f>
        <v/>
      </c>
      <c r="P31">
        <f>IF(N31="","",E31)</f>
        <v/>
      </c>
    </row>
    <row r="32">
      <c r="A32" s="1" t="n"/>
      <c r="B32" s="20" t="n">
        <v>46256</v>
      </c>
      <c r="C32" s="21" t="n">
        <v>0.2916666666666667</v>
      </c>
      <c r="D32" s="22" t="inlineStr">
        <is>
          <t>Fasting</t>
        </is>
      </c>
      <c r="E32" s="23" t="n">
        <v>128</v>
      </c>
      <c r="F32" s="22" t="n"/>
      <c r="G32" s="14">
        <f>IF(OR(B32="",E32="",J32="",K32=""),"",IF(E32&lt;J32,"Below",IF(E32&gt;K32,"Above","In range")))</f>
        <v/>
      </c>
      <c r="H32" s="1" t="n"/>
      <c r="J32">
        <f>IF(M32="","",IF(INDEX(Settings!$C$10:$C$18,M32)="","",INDEX(Settings!$C$10:$C$18,M32)))</f>
        <v/>
      </c>
      <c r="K32">
        <f>IF(M32="","",IF(INDEX(Settings!$D$10:$D$18,M32)="","",INDEX(Settings!$D$10:$D$18,M32)))</f>
        <v/>
      </c>
      <c r="L32">
        <f>IF(OR(B32="",E32=""),"",B32+MOD(N(C32),1)+ROW()/10000000)</f>
        <v/>
      </c>
      <c r="M32">
        <f>IF(D32="","",IFERROR(MATCH(D32,Settings!$B$10:$B$18,0),""))</f>
        <v/>
      </c>
      <c r="N32">
        <f>IF(OR(B32="",E32="",M32=""),"",IF(AND(B32&gt;=Settings!$C$6,B32&lt;=Settings!$C$7),M32*10000+E32,""))</f>
        <v/>
      </c>
      <c r="O32">
        <f>IF(OR(B32="",E32=""),"",B32*10000+E32)</f>
        <v/>
      </c>
      <c r="P32">
        <f>IF(N32="","",E32)</f>
        <v/>
      </c>
    </row>
    <row r="33">
      <c r="A33" s="1" t="n"/>
      <c r="B33" s="20" t="n">
        <v>46256</v>
      </c>
      <c r="C33" s="21" t="n">
        <v>0.40625</v>
      </c>
      <c r="D33" s="22" t="inlineStr">
        <is>
          <t>After breakfast</t>
        </is>
      </c>
      <c r="E33" s="23" t="n">
        <v>122</v>
      </c>
      <c r="F33" s="22" t="n"/>
      <c r="G33" s="14">
        <f>IF(OR(B33="",E33="",J33="",K33=""),"",IF(E33&lt;J33,"Below",IF(E33&gt;K33,"Above","In range")))</f>
        <v/>
      </c>
      <c r="H33" s="1" t="n"/>
      <c r="J33">
        <f>IF(M33="","",IF(INDEX(Settings!$C$10:$C$18,M33)="","",INDEX(Settings!$C$10:$C$18,M33)))</f>
        <v/>
      </c>
      <c r="K33">
        <f>IF(M33="","",IF(INDEX(Settings!$D$10:$D$18,M33)="","",INDEX(Settings!$D$10:$D$18,M33)))</f>
        <v/>
      </c>
      <c r="L33">
        <f>IF(OR(B33="",E33=""),"",B33+MOD(N(C33),1)+ROW()/10000000)</f>
        <v/>
      </c>
      <c r="M33">
        <f>IF(D33="","",IFERROR(MATCH(D33,Settings!$B$10:$B$18,0),""))</f>
        <v/>
      </c>
      <c r="N33">
        <f>IF(OR(B33="",E33="",M33=""),"",IF(AND(B33&gt;=Settings!$C$6,B33&lt;=Settings!$C$7),M33*10000+E33,""))</f>
        <v/>
      </c>
      <c r="O33">
        <f>IF(OR(B33="",E33=""),"",B33*10000+E33)</f>
        <v/>
      </c>
      <c r="P33">
        <f>IF(N33="","",E33)</f>
        <v/>
      </c>
    </row>
    <row r="34">
      <c r="A34" s="1" t="n"/>
      <c r="B34" s="20" t="n">
        <v>46257</v>
      </c>
      <c r="C34" s="21" t="n">
        <v>0.3020833333333333</v>
      </c>
      <c r="D34" s="22" t="inlineStr">
        <is>
          <t>Fasting</t>
        </is>
      </c>
      <c r="E34" s="23" t="n">
        <v>124</v>
      </c>
      <c r="F34" s="22" t="n"/>
      <c r="G34" s="14">
        <f>IF(OR(B34="",E34="",J34="",K34=""),"",IF(E34&lt;J34,"Below",IF(E34&gt;K34,"Above","In range")))</f>
        <v/>
      </c>
      <c r="H34" s="1" t="n"/>
      <c r="J34">
        <f>IF(M34="","",IF(INDEX(Settings!$C$10:$C$18,M34)="","",INDEX(Settings!$C$10:$C$18,M34)))</f>
        <v/>
      </c>
      <c r="K34">
        <f>IF(M34="","",IF(INDEX(Settings!$D$10:$D$18,M34)="","",INDEX(Settings!$D$10:$D$18,M34)))</f>
        <v/>
      </c>
      <c r="L34">
        <f>IF(OR(B34="",E34=""),"",B34+MOD(N(C34),1)+ROW()/10000000)</f>
        <v/>
      </c>
      <c r="M34">
        <f>IF(D34="","",IFERROR(MATCH(D34,Settings!$B$10:$B$18,0),""))</f>
        <v/>
      </c>
      <c r="N34">
        <f>IF(OR(B34="",E34="",M34=""),"",IF(AND(B34&gt;=Settings!$C$6,B34&lt;=Settings!$C$7),M34*10000+E34,""))</f>
        <v/>
      </c>
      <c r="O34">
        <f>IF(OR(B34="",E34=""),"",B34*10000+E34)</f>
        <v/>
      </c>
      <c r="P34">
        <f>IF(N34="","",E34)</f>
        <v/>
      </c>
    </row>
    <row r="35">
      <c r="A35" s="1" t="n"/>
      <c r="B35" s="20" t="n">
        <v>46257</v>
      </c>
      <c r="C35" s="21" t="n">
        <v>0.40625</v>
      </c>
      <c r="D35" s="22" t="inlineStr">
        <is>
          <t>After breakfast</t>
        </is>
      </c>
      <c r="E35" s="23" t="n">
        <v>150</v>
      </c>
      <c r="F35" s="22" t="n"/>
      <c r="G35" s="14">
        <f>IF(OR(B35="",E35="",J35="",K35=""),"",IF(E35&lt;J35,"Below",IF(E35&gt;K35,"Above","In range")))</f>
        <v/>
      </c>
      <c r="H35" s="1" t="n"/>
      <c r="J35">
        <f>IF(M35="","",IF(INDEX(Settings!$C$10:$C$18,M35)="","",INDEX(Settings!$C$10:$C$18,M35)))</f>
        <v/>
      </c>
      <c r="K35">
        <f>IF(M35="","",IF(INDEX(Settings!$D$10:$D$18,M35)="","",INDEX(Settings!$D$10:$D$18,M35)))</f>
        <v/>
      </c>
      <c r="L35">
        <f>IF(OR(B35="",E35=""),"",B35+MOD(N(C35),1)+ROW()/10000000)</f>
        <v/>
      </c>
      <c r="M35">
        <f>IF(D35="","",IFERROR(MATCH(D35,Settings!$B$10:$B$18,0),""))</f>
        <v/>
      </c>
      <c r="N35">
        <f>IF(OR(B35="",E35="",M35=""),"",IF(AND(B35&gt;=Settings!$C$6,B35&lt;=Settings!$C$7),M35*10000+E35,""))</f>
        <v/>
      </c>
      <c r="O35">
        <f>IF(OR(B35="",E35=""),"",B35*10000+E35)</f>
        <v/>
      </c>
      <c r="P35">
        <f>IF(N35="","",E35)</f>
        <v/>
      </c>
    </row>
    <row r="36">
      <c r="A36" s="1" t="n"/>
      <c r="B36" s="20" t="n">
        <v>46257</v>
      </c>
      <c r="C36" s="21" t="n">
        <v>0.84375</v>
      </c>
      <c r="D36" s="22" t="inlineStr">
        <is>
          <t>After dinner</t>
        </is>
      </c>
      <c r="E36" s="23" t="n">
        <v>152</v>
      </c>
      <c r="F36" s="22" t="n"/>
      <c r="G36" s="14">
        <f>IF(OR(B36="",E36="",J36="",K36=""),"",IF(E36&lt;J36,"Below",IF(E36&gt;K36,"Above","In range")))</f>
        <v/>
      </c>
      <c r="H36" s="1" t="n"/>
      <c r="J36">
        <f>IF(M36="","",IF(INDEX(Settings!$C$10:$C$18,M36)="","",INDEX(Settings!$C$10:$C$18,M36)))</f>
        <v/>
      </c>
      <c r="K36">
        <f>IF(M36="","",IF(INDEX(Settings!$D$10:$D$18,M36)="","",INDEX(Settings!$D$10:$D$18,M36)))</f>
        <v/>
      </c>
      <c r="L36">
        <f>IF(OR(B36="",E36=""),"",B36+MOD(N(C36),1)+ROW()/10000000)</f>
        <v/>
      </c>
      <c r="M36">
        <f>IF(D36="","",IFERROR(MATCH(D36,Settings!$B$10:$B$18,0),""))</f>
        <v/>
      </c>
      <c r="N36">
        <f>IF(OR(B36="",E36="",M36=""),"",IF(AND(B36&gt;=Settings!$C$6,B36&lt;=Settings!$C$7),M36*10000+E36,""))</f>
        <v/>
      </c>
      <c r="O36">
        <f>IF(OR(B36="",E36=""),"",B36*10000+E36)</f>
        <v/>
      </c>
      <c r="P36">
        <f>IF(N36="","",E36)</f>
        <v/>
      </c>
    </row>
    <row r="37">
      <c r="A37" s="1" t="n"/>
      <c r="B37" s="20" t="n">
        <v>46258</v>
      </c>
      <c r="C37" s="21" t="n">
        <v>0.3020833333333333</v>
      </c>
      <c r="D37" s="22" t="inlineStr">
        <is>
          <t>Fasting</t>
        </is>
      </c>
      <c r="E37" s="23" t="n">
        <v>142</v>
      </c>
      <c r="F37" s="22" t="n"/>
      <c r="G37" s="14">
        <f>IF(OR(B37="",E37="",J37="",K37=""),"",IF(E37&lt;J37,"Below",IF(E37&gt;K37,"Above","In range")))</f>
        <v/>
      </c>
      <c r="H37" s="1" t="n"/>
      <c r="J37">
        <f>IF(M37="","",IF(INDEX(Settings!$C$10:$C$18,M37)="","",INDEX(Settings!$C$10:$C$18,M37)))</f>
        <v/>
      </c>
      <c r="K37">
        <f>IF(M37="","",IF(INDEX(Settings!$D$10:$D$18,M37)="","",INDEX(Settings!$D$10:$D$18,M37)))</f>
        <v/>
      </c>
      <c r="L37">
        <f>IF(OR(B37="",E37=""),"",B37+MOD(N(C37),1)+ROW()/10000000)</f>
        <v/>
      </c>
      <c r="M37">
        <f>IF(D37="","",IFERROR(MATCH(D37,Settings!$B$10:$B$18,0),""))</f>
        <v/>
      </c>
      <c r="N37">
        <f>IF(OR(B37="",E37="",M37=""),"",IF(AND(B37&gt;=Settings!$C$6,B37&lt;=Settings!$C$7),M37*10000+E37,""))</f>
        <v/>
      </c>
      <c r="O37">
        <f>IF(OR(B37="",E37=""),"",B37*10000+E37)</f>
        <v/>
      </c>
      <c r="P37">
        <f>IF(N37="","",E37)</f>
        <v/>
      </c>
    </row>
    <row r="38">
      <c r="A38" s="1" t="n"/>
      <c r="B38" s="20" t="n">
        <v>46258</v>
      </c>
      <c r="C38" s="21" t="n">
        <v>0.4027777777777778</v>
      </c>
      <c r="D38" s="22" t="inlineStr">
        <is>
          <t>After breakfast</t>
        </is>
      </c>
      <c r="E38" s="23" t="n">
        <v>180</v>
      </c>
      <c r="F38" s="22" t="n"/>
      <c r="G38" s="14">
        <f>IF(OR(B38="",E38="",J38="",K38=""),"",IF(E38&lt;J38,"Below",IF(E38&gt;K38,"Above","In range")))</f>
        <v/>
      </c>
      <c r="H38" s="1" t="n"/>
      <c r="J38">
        <f>IF(M38="","",IF(INDEX(Settings!$C$10:$C$18,M38)="","",INDEX(Settings!$C$10:$C$18,M38)))</f>
        <v/>
      </c>
      <c r="K38">
        <f>IF(M38="","",IF(INDEX(Settings!$D$10:$D$18,M38)="","",INDEX(Settings!$D$10:$D$18,M38)))</f>
        <v/>
      </c>
      <c r="L38">
        <f>IF(OR(B38="",E38=""),"",B38+MOD(N(C38),1)+ROW()/10000000)</f>
        <v/>
      </c>
      <c r="M38">
        <f>IF(D38="","",IFERROR(MATCH(D38,Settings!$B$10:$B$18,0),""))</f>
        <v/>
      </c>
      <c r="N38">
        <f>IF(OR(B38="",E38="",M38=""),"",IF(AND(B38&gt;=Settings!$C$6,B38&lt;=Settings!$C$7),M38*10000+E38,""))</f>
        <v/>
      </c>
      <c r="O38">
        <f>IF(OR(B38="",E38=""),"",B38*10000+E38)</f>
        <v/>
      </c>
      <c r="P38">
        <f>IF(N38="","",E38)</f>
        <v/>
      </c>
    </row>
    <row r="39">
      <c r="A39" s="1" t="n"/>
      <c r="B39" s="20" t="n">
        <v>46258</v>
      </c>
      <c r="C39" s="21" t="n">
        <v>0.7708333333333334</v>
      </c>
      <c r="D39" s="22" t="inlineStr">
        <is>
          <t>Before dinner</t>
        </is>
      </c>
      <c r="E39" s="23" t="n">
        <v>118</v>
      </c>
      <c r="F39" s="22" t="inlineStr">
        <is>
          <t>Pasta for dinner</t>
        </is>
      </c>
      <c r="G39" s="14">
        <f>IF(OR(B39="",E39="",J39="",K39=""),"",IF(E39&lt;J39,"Below",IF(E39&gt;K39,"Above","In range")))</f>
        <v/>
      </c>
      <c r="H39" s="1" t="n"/>
      <c r="J39">
        <f>IF(M39="","",IF(INDEX(Settings!$C$10:$C$18,M39)="","",INDEX(Settings!$C$10:$C$18,M39)))</f>
        <v/>
      </c>
      <c r="K39">
        <f>IF(M39="","",IF(INDEX(Settings!$D$10:$D$18,M39)="","",INDEX(Settings!$D$10:$D$18,M39)))</f>
        <v/>
      </c>
      <c r="L39">
        <f>IF(OR(B39="",E39=""),"",B39+MOD(N(C39),1)+ROW()/10000000)</f>
        <v/>
      </c>
      <c r="M39">
        <f>IF(D39="","",IFERROR(MATCH(D39,Settings!$B$10:$B$18,0),""))</f>
        <v/>
      </c>
      <c r="N39">
        <f>IF(OR(B39="",E39="",M39=""),"",IF(AND(B39&gt;=Settings!$C$6,B39&lt;=Settings!$C$7),M39*10000+E39,""))</f>
        <v/>
      </c>
      <c r="O39">
        <f>IF(OR(B39="",E39=""),"",B39*10000+E39)</f>
        <v/>
      </c>
      <c r="P39">
        <f>IF(N39="","",E39)</f>
        <v/>
      </c>
    </row>
    <row r="40">
      <c r="A40" s="1" t="n"/>
      <c r="B40" s="20" t="n">
        <v>46259</v>
      </c>
      <c r="C40" s="21" t="n">
        <v>0.2986111111111111</v>
      </c>
      <c r="D40" s="22" t="inlineStr">
        <is>
          <t>Fasting</t>
        </is>
      </c>
      <c r="E40" s="23" t="n">
        <v>122</v>
      </c>
      <c r="F40" s="22" t="n"/>
      <c r="G40" s="14">
        <f>IF(OR(B40="",E40="",J40="",K40=""),"",IF(E40&lt;J40,"Below",IF(E40&gt;K40,"Above","In range")))</f>
        <v/>
      </c>
      <c r="H40" s="1" t="n"/>
      <c r="J40">
        <f>IF(M40="","",IF(INDEX(Settings!$C$10:$C$18,M40)="","",INDEX(Settings!$C$10:$C$18,M40)))</f>
        <v/>
      </c>
      <c r="K40">
        <f>IF(M40="","",IF(INDEX(Settings!$D$10:$D$18,M40)="","",INDEX(Settings!$D$10:$D$18,M40)))</f>
        <v/>
      </c>
      <c r="L40">
        <f>IF(OR(B40="",E40=""),"",B40+MOD(N(C40),1)+ROW()/10000000)</f>
        <v/>
      </c>
      <c r="M40">
        <f>IF(D40="","",IFERROR(MATCH(D40,Settings!$B$10:$B$18,0),""))</f>
        <v/>
      </c>
      <c r="N40">
        <f>IF(OR(B40="",E40="",M40=""),"",IF(AND(B40&gt;=Settings!$C$6,B40&lt;=Settings!$C$7),M40*10000+E40,""))</f>
        <v/>
      </c>
      <c r="O40">
        <f>IF(OR(B40="",E40=""),"",B40*10000+E40)</f>
        <v/>
      </c>
      <c r="P40">
        <f>IF(N40="","",E40)</f>
        <v/>
      </c>
    </row>
    <row r="41">
      <c r="A41" s="1" t="n"/>
      <c r="B41" s="20" t="n">
        <v>46259</v>
      </c>
      <c r="C41" s="21" t="n">
        <v>0.3958333333333333</v>
      </c>
      <c r="D41" s="22" t="inlineStr">
        <is>
          <t>After breakfast</t>
        </is>
      </c>
      <c r="E41" s="23" t="n">
        <v>151</v>
      </c>
      <c r="F41" s="22" t="n"/>
      <c r="G41" s="14">
        <f>IF(OR(B41="",E41="",J41="",K41=""),"",IF(E41&lt;J41,"Below",IF(E41&gt;K41,"Above","In range")))</f>
        <v/>
      </c>
      <c r="H41" s="1" t="n"/>
      <c r="J41">
        <f>IF(M41="","",IF(INDEX(Settings!$C$10:$C$18,M41)="","",INDEX(Settings!$C$10:$C$18,M41)))</f>
        <v/>
      </c>
      <c r="K41">
        <f>IF(M41="","",IF(INDEX(Settings!$D$10:$D$18,M41)="","",INDEX(Settings!$D$10:$D$18,M41)))</f>
        <v/>
      </c>
      <c r="L41">
        <f>IF(OR(B41="",E41=""),"",B41+MOD(N(C41),1)+ROW()/10000000)</f>
        <v/>
      </c>
      <c r="M41">
        <f>IF(D41="","",IFERROR(MATCH(D41,Settings!$B$10:$B$18,0),""))</f>
        <v/>
      </c>
      <c r="N41">
        <f>IF(OR(B41="",E41="",M41=""),"",IF(AND(B41&gt;=Settings!$C$6,B41&lt;=Settings!$C$7),M41*10000+E41,""))</f>
        <v/>
      </c>
      <c r="O41">
        <f>IF(OR(B41="",E41=""),"",B41*10000+E41)</f>
        <v/>
      </c>
      <c r="P41">
        <f>IF(N41="","",E41)</f>
        <v/>
      </c>
    </row>
    <row r="42">
      <c r="A42" s="1" t="n"/>
      <c r="B42" s="20" t="n">
        <v>46259</v>
      </c>
      <c r="C42" s="21" t="n">
        <v>0.75</v>
      </c>
      <c r="D42" s="22" t="inlineStr">
        <is>
          <t>Before dinner</t>
        </is>
      </c>
      <c r="E42" s="23" t="n">
        <v>114</v>
      </c>
      <c r="F42" s="22" t="n"/>
      <c r="G42" s="14">
        <f>IF(OR(B42="",E42="",J42="",K42=""),"",IF(E42&lt;J42,"Below",IF(E42&gt;K42,"Above","In range")))</f>
        <v/>
      </c>
      <c r="H42" s="1" t="n"/>
      <c r="J42">
        <f>IF(M42="","",IF(INDEX(Settings!$C$10:$C$18,M42)="","",INDEX(Settings!$C$10:$C$18,M42)))</f>
        <v/>
      </c>
      <c r="K42">
        <f>IF(M42="","",IF(INDEX(Settings!$D$10:$D$18,M42)="","",INDEX(Settings!$D$10:$D$18,M42)))</f>
        <v/>
      </c>
      <c r="L42">
        <f>IF(OR(B42="",E42=""),"",B42+MOD(N(C42),1)+ROW()/10000000)</f>
        <v/>
      </c>
      <c r="M42">
        <f>IF(D42="","",IFERROR(MATCH(D42,Settings!$B$10:$B$18,0),""))</f>
        <v/>
      </c>
      <c r="N42">
        <f>IF(OR(B42="",E42="",M42=""),"",IF(AND(B42&gt;=Settings!$C$6,B42&lt;=Settings!$C$7),M42*10000+E42,""))</f>
        <v/>
      </c>
      <c r="O42">
        <f>IF(OR(B42="",E42=""),"",B42*10000+E42)</f>
        <v/>
      </c>
      <c r="P42">
        <f>IF(N42="","",E42)</f>
        <v/>
      </c>
    </row>
    <row r="43">
      <c r="A43" s="1" t="n"/>
      <c r="B43" s="20" t="n">
        <v>46259</v>
      </c>
      <c r="C43" s="21" t="n">
        <v>0.9375</v>
      </c>
      <c r="D43" s="22" t="inlineStr">
        <is>
          <t>Bedtime</t>
        </is>
      </c>
      <c r="E43" s="23" t="n">
        <v>125</v>
      </c>
      <c r="F43" s="22" t="n"/>
      <c r="G43" s="14">
        <f>IF(OR(B43="",E43="",J43="",K43=""),"",IF(E43&lt;J43,"Below",IF(E43&gt;K43,"Above","In range")))</f>
        <v/>
      </c>
      <c r="H43" s="1" t="n"/>
      <c r="J43">
        <f>IF(M43="","",IF(INDEX(Settings!$C$10:$C$18,M43)="","",INDEX(Settings!$C$10:$C$18,M43)))</f>
        <v/>
      </c>
      <c r="K43">
        <f>IF(M43="","",IF(INDEX(Settings!$D$10:$D$18,M43)="","",INDEX(Settings!$D$10:$D$18,M43)))</f>
        <v/>
      </c>
      <c r="L43">
        <f>IF(OR(B43="",E43=""),"",B43+MOD(N(C43),1)+ROW()/10000000)</f>
        <v/>
      </c>
      <c r="M43">
        <f>IF(D43="","",IFERROR(MATCH(D43,Settings!$B$10:$B$18,0),""))</f>
        <v/>
      </c>
      <c r="N43">
        <f>IF(OR(B43="",E43="",M43=""),"",IF(AND(B43&gt;=Settings!$C$6,B43&lt;=Settings!$C$7),M43*10000+E43,""))</f>
        <v/>
      </c>
      <c r="O43">
        <f>IF(OR(B43="",E43=""),"",B43*10000+E43)</f>
        <v/>
      </c>
      <c r="P43">
        <f>IF(N43="","",E43)</f>
        <v/>
      </c>
    </row>
    <row r="44">
      <c r="A44" s="1" t="n"/>
      <c r="B44" s="20" t="n">
        <v>46260</v>
      </c>
      <c r="C44" s="21" t="n">
        <v>0.3020833333333333</v>
      </c>
      <c r="D44" s="22" t="inlineStr">
        <is>
          <t>Fasting</t>
        </is>
      </c>
      <c r="E44" s="23" t="n">
        <v>116</v>
      </c>
      <c r="F44" s="22" t="n"/>
      <c r="G44" s="14">
        <f>IF(OR(B44="",E44="",J44="",K44=""),"",IF(E44&lt;J44,"Below",IF(E44&gt;K44,"Above","In range")))</f>
        <v/>
      </c>
      <c r="H44" s="1" t="n"/>
      <c r="J44">
        <f>IF(M44="","",IF(INDEX(Settings!$C$10:$C$18,M44)="","",INDEX(Settings!$C$10:$C$18,M44)))</f>
        <v/>
      </c>
      <c r="K44">
        <f>IF(M44="","",IF(INDEX(Settings!$D$10:$D$18,M44)="","",INDEX(Settings!$D$10:$D$18,M44)))</f>
        <v/>
      </c>
      <c r="L44">
        <f>IF(OR(B44="",E44=""),"",B44+MOD(N(C44),1)+ROW()/10000000)</f>
        <v/>
      </c>
      <c r="M44">
        <f>IF(D44="","",IFERROR(MATCH(D44,Settings!$B$10:$B$18,0),""))</f>
        <v/>
      </c>
      <c r="N44">
        <f>IF(OR(B44="",E44="",M44=""),"",IF(AND(B44&gt;=Settings!$C$6,B44&lt;=Settings!$C$7),M44*10000+E44,""))</f>
        <v/>
      </c>
      <c r="O44">
        <f>IF(OR(B44="",E44=""),"",B44*10000+E44)</f>
        <v/>
      </c>
      <c r="P44">
        <f>IF(N44="","",E44)</f>
        <v/>
      </c>
    </row>
    <row r="45">
      <c r="A45" s="1" t="n"/>
      <c r="B45" s="20" t="n">
        <v>46260</v>
      </c>
      <c r="C45" s="21" t="n">
        <v>0.4027777777777778</v>
      </c>
      <c r="D45" s="22" t="inlineStr">
        <is>
          <t>After breakfast</t>
        </is>
      </c>
      <c r="E45" s="23" t="n">
        <v>129</v>
      </c>
      <c r="F45" s="22" t="n"/>
      <c r="G45" s="14">
        <f>IF(OR(B45="",E45="",J45="",K45=""),"",IF(E45&lt;J45,"Below",IF(E45&gt;K45,"Above","In range")))</f>
        <v/>
      </c>
      <c r="H45" s="1" t="n"/>
      <c r="J45">
        <f>IF(M45="","",IF(INDEX(Settings!$C$10:$C$18,M45)="","",INDEX(Settings!$C$10:$C$18,M45)))</f>
        <v/>
      </c>
      <c r="K45">
        <f>IF(M45="","",IF(INDEX(Settings!$D$10:$D$18,M45)="","",INDEX(Settings!$D$10:$D$18,M45)))</f>
        <v/>
      </c>
      <c r="L45">
        <f>IF(OR(B45="",E45=""),"",B45+MOD(N(C45),1)+ROW()/10000000)</f>
        <v/>
      </c>
      <c r="M45">
        <f>IF(D45="","",IFERROR(MATCH(D45,Settings!$B$10:$B$18,0),""))</f>
        <v/>
      </c>
      <c r="N45">
        <f>IF(OR(B45="",E45="",M45=""),"",IF(AND(B45&gt;=Settings!$C$6,B45&lt;=Settings!$C$7),M45*10000+E45,""))</f>
        <v/>
      </c>
      <c r="O45">
        <f>IF(OR(B45="",E45=""),"",B45*10000+E45)</f>
        <v/>
      </c>
      <c r="P45">
        <f>IF(N45="","",E45)</f>
        <v/>
      </c>
    </row>
    <row r="46">
      <c r="A46" s="1" t="n"/>
      <c r="B46" s="20" t="n">
        <v>46260</v>
      </c>
      <c r="C46" s="21" t="n">
        <v>0.8645833333333334</v>
      </c>
      <c r="D46" s="22" t="inlineStr">
        <is>
          <t>After dinner</t>
        </is>
      </c>
      <c r="E46" s="23" t="n">
        <v>113</v>
      </c>
      <c r="F46" s="22" t="n"/>
      <c r="G46" s="14">
        <f>IF(OR(B46="",E46="",J46="",K46=""),"",IF(E46&lt;J46,"Below",IF(E46&gt;K46,"Above","In range")))</f>
        <v/>
      </c>
      <c r="H46" s="1" t="n"/>
      <c r="J46">
        <f>IF(M46="","",IF(INDEX(Settings!$C$10:$C$18,M46)="","",INDEX(Settings!$C$10:$C$18,M46)))</f>
        <v/>
      </c>
      <c r="K46">
        <f>IF(M46="","",IF(INDEX(Settings!$D$10:$D$18,M46)="","",INDEX(Settings!$D$10:$D$18,M46)))</f>
        <v/>
      </c>
      <c r="L46">
        <f>IF(OR(B46="",E46=""),"",B46+MOD(N(C46),1)+ROW()/10000000)</f>
        <v/>
      </c>
      <c r="M46">
        <f>IF(D46="","",IFERROR(MATCH(D46,Settings!$B$10:$B$18,0),""))</f>
        <v/>
      </c>
      <c r="N46">
        <f>IF(OR(B46="",E46="",M46=""),"",IF(AND(B46&gt;=Settings!$C$6,B46&lt;=Settings!$C$7),M46*10000+E46,""))</f>
        <v/>
      </c>
      <c r="O46">
        <f>IF(OR(B46="",E46=""),"",B46*10000+E46)</f>
        <v/>
      </c>
      <c r="P46">
        <f>IF(N46="","",E46)</f>
        <v/>
      </c>
    </row>
    <row r="47">
      <c r="A47" s="1" t="n"/>
      <c r="B47" s="20" t="n">
        <v>46261</v>
      </c>
      <c r="C47" s="21" t="n">
        <v>0.2916666666666667</v>
      </c>
      <c r="D47" s="22" t="inlineStr">
        <is>
          <t>Fasting</t>
        </is>
      </c>
      <c r="E47" s="23" t="n">
        <v>114</v>
      </c>
      <c r="F47" s="22" t="n"/>
      <c r="G47" s="14">
        <f>IF(OR(B47="",E47="",J47="",K47=""),"",IF(E47&lt;J47,"Below",IF(E47&gt;K47,"Above","In range")))</f>
        <v/>
      </c>
      <c r="H47" s="1" t="n"/>
      <c r="J47">
        <f>IF(M47="","",IF(INDEX(Settings!$C$10:$C$18,M47)="","",INDEX(Settings!$C$10:$C$18,M47)))</f>
        <v/>
      </c>
      <c r="K47">
        <f>IF(M47="","",IF(INDEX(Settings!$D$10:$D$18,M47)="","",INDEX(Settings!$D$10:$D$18,M47)))</f>
        <v/>
      </c>
      <c r="L47">
        <f>IF(OR(B47="",E47=""),"",B47+MOD(N(C47),1)+ROW()/10000000)</f>
        <v/>
      </c>
      <c r="M47">
        <f>IF(D47="","",IFERROR(MATCH(D47,Settings!$B$10:$B$18,0),""))</f>
        <v/>
      </c>
      <c r="N47">
        <f>IF(OR(B47="",E47="",M47=""),"",IF(AND(B47&gt;=Settings!$C$6,B47&lt;=Settings!$C$7),M47*10000+E47,""))</f>
        <v/>
      </c>
      <c r="O47">
        <f>IF(OR(B47="",E47=""),"",B47*10000+E47)</f>
        <v/>
      </c>
      <c r="P47">
        <f>IF(N47="","",E47)</f>
        <v/>
      </c>
    </row>
    <row r="48">
      <c r="A48" s="1" t="n"/>
      <c r="B48" s="20" t="n">
        <v>46261</v>
      </c>
      <c r="C48" s="21" t="n">
        <v>0.3958333333333333</v>
      </c>
      <c r="D48" s="22" t="inlineStr">
        <is>
          <t>After breakfast</t>
        </is>
      </c>
      <c r="E48" s="23" t="n">
        <v>163</v>
      </c>
      <c r="F48" s="22" t="n"/>
      <c r="G48" s="14">
        <f>IF(OR(B48="",E48="",J48="",K48=""),"",IF(E48&lt;J48,"Below",IF(E48&gt;K48,"Above","In range")))</f>
        <v/>
      </c>
      <c r="H48" s="1" t="n"/>
      <c r="J48">
        <f>IF(M48="","",IF(INDEX(Settings!$C$10:$C$18,M48)="","",INDEX(Settings!$C$10:$C$18,M48)))</f>
        <v/>
      </c>
      <c r="K48">
        <f>IF(M48="","",IF(INDEX(Settings!$D$10:$D$18,M48)="","",INDEX(Settings!$D$10:$D$18,M48)))</f>
        <v/>
      </c>
      <c r="L48">
        <f>IF(OR(B48="",E48=""),"",B48+MOD(N(C48),1)+ROW()/10000000)</f>
        <v/>
      </c>
      <c r="M48">
        <f>IF(D48="","",IFERROR(MATCH(D48,Settings!$B$10:$B$18,0),""))</f>
        <v/>
      </c>
      <c r="N48">
        <f>IF(OR(B48="",E48="",M48=""),"",IF(AND(B48&gt;=Settings!$C$6,B48&lt;=Settings!$C$7),M48*10000+E48,""))</f>
        <v/>
      </c>
      <c r="O48">
        <f>IF(OR(B48="",E48=""),"",B48*10000+E48)</f>
        <v/>
      </c>
      <c r="P48">
        <f>IF(N48="","",E48)</f>
        <v/>
      </c>
    </row>
    <row r="49">
      <c r="A49" s="1" t="n"/>
      <c r="B49" s="20" t="n">
        <v>46261</v>
      </c>
      <c r="C49" s="21" t="n">
        <v>0.7604166666666666</v>
      </c>
      <c r="D49" s="22" t="inlineStr">
        <is>
          <t>Before dinner</t>
        </is>
      </c>
      <c r="E49" s="23" t="n">
        <v>125</v>
      </c>
      <c r="F49" s="22" t="n"/>
      <c r="G49" s="14">
        <f>IF(OR(B49="",E49="",J49="",K49=""),"",IF(E49&lt;J49,"Below",IF(E49&gt;K49,"Above","In range")))</f>
        <v/>
      </c>
      <c r="H49" s="1" t="n"/>
      <c r="J49">
        <f>IF(M49="","",IF(INDEX(Settings!$C$10:$C$18,M49)="","",INDEX(Settings!$C$10:$C$18,M49)))</f>
        <v/>
      </c>
      <c r="K49">
        <f>IF(M49="","",IF(INDEX(Settings!$D$10:$D$18,M49)="","",INDEX(Settings!$D$10:$D$18,M49)))</f>
        <v/>
      </c>
      <c r="L49">
        <f>IF(OR(B49="",E49=""),"",B49+MOD(N(C49),1)+ROW()/10000000)</f>
        <v/>
      </c>
      <c r="M49">
        <f>IF(D49="","",IFERROR(MATCH(D49,Settings!$B$10:$B$18,0),""))</f>
        <v/>
      </c>
      <c r="N49">
        <f>IF(OR(B49="",E49="",M49=""),"",IF(AND(B49&gt;=Settings!$C$6,B49&lt;=Settings!$C$7),M49*10000+E49,""))</f>
        <v/>
      </c>
      <c r="O49">
        <f>IF(OR(B49="",E49=""),"",B49*10000+E49)</f>
        <v/>
      </c>
      <c r="P49">
        <f>IF(N49="","",E49)</f>
        <v/>
      </c>
    </row>
    <row r="50">
      <c r="A50" s="1" t="n"/>
      <c r="B50" s="20" t="n">
        <v>46261</v>
      </c>
      <c r="C50" s="21" t="n">
        <v>0.9270833333333334</v>
      </c>
      <c r="D50" s="22" t="inlineStr">
        <is>
          <t>Bedtime</t>
        </is>
      </c>
      <c r="E50" s="23" t="n">
        <v>143</v>
      </c>
      <c r="F50" s="22" t="n"/>
      <c r="G50" s="14">
        <f>IF(OR(B50="",E50="",J50="",K50=""),"",IF(E50&lt;J50,"Below",IF(E50&gt;K50,"Above","In range")))</f>
        <v/>
      </c>
      <c r="H50" s="1" t="n"/>
      <c r="J50">
        <f>IF(M50="","",IF(INDEX(Settings!$C$10:$C$18,M50)="","",INDEX(Settings!$C$10:$C$18,M50)))</f>
        <v/>
      </c>
      <c r="K50">
        <f>IF(M50="","",IF(INDEX(Settings!$D$10:$D$18,M50)="","",INDEX(Settings!$D$10:$D$18,M50)))</f>
        <v/>
      </c>
      <c r="L50">
        <f>IF(OR(B50="",E50=""),"",B50+MOD(N(C50),1)+ROW()/10000000)</f>
        <v/>
      </c>
      <c r="M50">
        <f>IF(D50="","",IFERROR(MATCH(D50,Settings!$B$10:$B$18,0),""))</f>
        <v/>
      </c>
      <c r="N50">
        <f>IF(OR(B50="",E50="",M50=""),"",IF(AND(B50&gt;=Settings!$C$6,B50&lt;=Settings!$C$7),M50*10000+E50,""))</f>
        <v/>
      </c>
      <c r="O50">
        <f>IF(OR(B50="",E50=""),"",B50*10000+E50)</f>
        <v/>
      </c>
      <c r="P50">
        <f>IF(N50="","",E50)</f>
        <v/>
      </c>
    </row>
    <row r="51">
      <c r="A51" s="1" t="n"/>
      <c r="B51" s="20" t="n">
        <v>46262</v>
      </c>
      <c r="C51" s="21" t="n">
        <v>0.2916666666666667</v>
      </c>
      <c r="D51" s="22" t="inlineStr">
        <is>
          <t>Fasting</t>
        </is>
      </c>
      <c r="E51" s="23" t="n">
        <v>115</v>
      </c>
      <c r="F51" s="22" t="n"/>
      <c r="G51" s="14">
        <f>IF(OR(B51="",E51="",J51="",K51=""),"",IF(E51&lt;J51,"Below",IF(E51&gt;K51,"Above","In range")))</f>
        <v/>
      </c>
      <c r="H51" s="1" t="n"/>
      <c r="J51">
        <f>IF(M51="","",IF(INDEX(Settings!$C$10:$C$18,M51)="","",INDEX(Settings!$C$10:$C$18,M51)))</f>
        <v/>
      </c>
      <c r="K51">
        <f>IF(M51="","",IF(INDEX(Settings!$D$10:$D$18,M51)="","",INDEX(Settings!$D$10:$D$18,M51)))</f>
        <v/>
      </c>
      <c r="L51">
        <f>IF(OR(B51="",E51=""),"",B51+MOD(N(C51),1)+ROW()/10000000)</f>
        <v/>
      </c>
      <c r="M51">
        <f>IF(D51="","",IFERROR(MATCH(D51,Settings!$B$10:$B$18,0),""))</f>
        <v/>
      </c>
      <c r="N51">
        <f>IF(OR(B51="",E51="",M51=""),"",IF(AND(B51&gt;=Settings!$C$6,B51&lt;=Settings!$C$7),M51*10000+E51,""))</f>
        <v/>
      </c>
      <c r="O51">
        <f>IF(OR(B51="",E51=""),"",B51*10000+E51)</f>
        <v/>
      </c>
      <c r="P51">
        <f>IF(N51="","",E51)</f>
        <v/>
      </c>
    </row>
    <row r="52">
      <c r="A52" s="1" t="n"/>
      <c r="B52" s="20" t="n">
        <v>46262</v>
      </c>
      <c r="C52" s="21" t="n">
        <v>0.40625</v>
      </c>
      <c r="D52" s="22" t="inlineStr">
        <is>
          <t>After breakfast</t>
        </is>
      </c>
      <c r="E52" s="23" t="n">
        <v>116</v>
      </c>
      <c r="F52" s="22" t="n"/>
      <c r="G52" s="14">
        <f>IF(OR(B52="",E52="",J52="",K52=""),"",IF(E52&lt;J52,"Below",IF(E52&gt;K52,"Above","In range")))</f>
        <v/>
      </c>
      <c r="H52" s="1" t="n"/>
      <c r="J52">
        <f>IF(M52="","",IF(INDEX(Settings!$C$10:$C$18,M52)="","",INDEX(Settings!$C$10:$C$18,M52)))</f>
        <v/>
      </c>
      <c r="K52">
        <f>IF(M52="","",IF(INDEX(Settings!$D$10:$D$18,M52)="","",INDEX(Settings!$D$10:$D$18,M52)))</f>
        <v/>
      </c>
      <c r="L52">
        <f>IF(OR(B52="",E52=""),"",B52+MOD(N(C52),1)+ROW()/10000000)</f>
        <v/>
      </c>
      <c r="M52">
        <f>IF(D52="","",IFERROR(MATCH(D52,Settings!$B$10:$B$18,0),""))</f>
        <v/>
      </c>
      <c r="N52">
        <f>IF(OR(B52="",E52="",M52=""),"",IF(AND(B52&gt;=Settings!$C$6,B52&lt;=Settings!$C$7),M52*10000+E52,""))</f>
        <v/>
      </c>
      <c r="O52">
        <f>IF(OR(B52="",E52=""),"",B52*10000+E52)</f>
        <v/>
      </c>
      <c r="P52">
        <f>IF(N52="","",E52)</f>
        <v/>
      </c>
    </row>
    <row r="53">
      <c r="A53" s="1" t="n"/>
      <c r="B53" s="20" t="n">
        <v>46262</v>
      </c>
      <c r="C53" s="21" t="n">
        <v>0.7708333333333334</v>
      </c>
      <c r="D53" s="22" t="inlineStr">
        <is>
          <t>Before dinner</t>
        </is>
      </c>
      <c r="E53" s="23" t="n">
        <v>132</v>
      </c>
      <c r="F53" s="22" t="n"/>
      <c r="G53" s="14">
        <f>IF(OR(B53="",E53="",J53="",K53=""),"",IF(E53&lt;J53,"Below",IF(E53&gt;K53,"Above","In range")))</f>
        <v/>
      </c>
      <c r="H53" s="1" t="n"/>
      <c r="J53">
        <f>IF(M53="","",IF(INDEX(Settings!$C$10:$C$18,M53)="","",INDEX(Settings!$C$10:$C$18,M53)))</f>
        <v/>
      </c>
      <c r="K53">
        <f>IF(M53="","",IF(INDEX(Settings!$D$10:$D$18,M53)="","",INDEX(Settings!$D$10:$D$18,M53)))</f>
        <v/>
      </c>
      <c r="L53">
        <f>IF(OR(B53="",E53=""),"",B53+MOD(N(C53),1)+ROW()/10000000)</f>
        <v/>
      </c>
      <c r="M53">
        <f>IF(D53="","",IFERROR(MATCH(D53,Settings!$B$10:$B$18,0),""))</f>
        <v/>
      </c>
      <c r="N53">
        <f>IF(OR(B53="",E53="",M53=""),"",IF(AND(B53&gt;=Settings!$C$6,B53&lt;=Settings!$C$7),M53*10000+E53,""))</f>
        <v/>
      </c>
      <c r="O53">
        <f>IF(OR(B53="",E53=""),"",B53*10000+E53)</f>
        <v/>
      </c>
      <c r="P53">
        <f>IF(N53="","",E53)</f>
        <v/>
      </c>
    </row>
    <row r="54">
      <c r="A54" s="1" t="n"/>
      <c r="B54" s="20" t="n">
        <v>46262</v>
      </c>
      <c r="C54" s="21" t="n">
        <v>0.9270833333333334</v>
      </c>
      <c r="D54" s="22" t="inlineStr">
        <is>
          <t>Bedtime</t>
        </is>
      </c>
      <c r="E54" s="23" t="n">
        <v>141</v>
      </c>
      <c r="F54" s="22" t="n"/>
      <c r="G54" s="14">
        <f>IF(OR(B54="",E54="",J54="",K54=""),"",IF(E54&lt;J54,"Below",IF(E54&gt;K54,"Above","In range")))</f>
        <v/>
      </c>
      <c r="H54" s="1" t="n"/>
      <c r="J54">
        <f>IF(M54="","",IF(INDEX(Settings!$C$10:$C$18,M54)="","",INDEX(Settings!$C$10:$C$18,M54)))</f>
        <v/>
      </c>
      <c r="K54">
        <f>IF(M54="","",IF(INDEX(Settings!$D$10:$D$18,M54)="","",INDEX(Settings!$D$10:$D$18,M54)))</f>
        <v/>
      </c>
      <c r="L54">
        <f>IF(OR(B54="",E54=""),"",B54+MOD(N(C54),1)+ROW()/10000000)</f>
        <v/>
      </c>
      <c r="M54">
        <f>IF(D54="","",IFERROR(MATCH(D54,Settings!$B$10:$B$18,0),""))</f>
        <v/>
      </c>
      <c r="N54">
        <f>IF(OR(B54="",E54="",M54=""),"",IF(AND(B54&gt;=Settings!$C$6,B54&lt;=Settings!$C$7),M54*10000+E54,""))</f>
        <v/>
      </c>
      <c r="O54">
        <f>IF(OR(B54="",E54=""),"",B54*10000+E54)</f>
        <v/>
      </c>
      <c r="P54">
        <f>IF(N54="","",E54)</f>
        <v/>
      </c>
    </row>
    <row r="55">
      <c r="A55" s="1" t="n"/>
      <c r="B55" s="20" t="n">
        <v>46263</v>
      </c>
      <c r="C55" s="21" t="n">
        <v>0.2916666666666667</v>
      </c>
      <c r="D55" s="22" t="inlineStr">
        <is>
          <t>Fasting</t>
        </is>
      </c>
      <c r="E55" s="23" t="n">
        <v>110</v>
      </c>
      <c r="F55" s="22" t="n"/>
      <c r="G55" s="14">
        <f>IF(OR(B55="",E55="",J55="",K55=""),"",IF(E55&lt;J55,"Below",IF(E55&gt;K55,"Above","In range")))</f>
        <v/>
      </c>
      <c r="H55" s="1" t="n"/>
      <c r="J55">
        <f>IF(M55="","",IF(INDEX(Settings!$C$10:$C$18,M55)="","",INDEX(Settings!$C$10:$C$18,M55)))</f>
        <v/>
      </c>
      <c r="K55">
        <f>IF(M55="","",IF(INDEX(Settings!$D$10:$D$18,M55)="","",INDEX(Settings!$D$10:$D$18,M55)))</f>
        <v/>
      </c>
      <c r="L55">
        <f>IF(OR(B55="",E55=""),"",B55+MOD(N(C55),1)+ROW()/10000000)</f>
        <v/>
      </c>
      <c r="M55">
        <f>IF(D55="","",IFERROR(MATCH(D55,Settings!$B$10:$B$18,0),""))</f>
        <v/>
      </c>
      <c r="N55">
        <f>IF(OR(B55="",E55="",M55=""),"",IF(AND(B55&gt;=Settings!$C$6,B55&lt;=Settings!$C$7),M55*10000+E55,""))</f>
        <v/>
      </c>
      <c r="O55">
        <f>IF(OR(B55="",E55=""),"",B55*10000+E55)</f>
        <v/>
      </c>
      <c r="P55">
        <f>IF(N55="","",E55)</f>
        <v/>
      </c>
    </row>
    <row r="56">
      <c r="A56" s="1" t="n"/>
      <c r="B56" s="20" t="n">
        <v>46263</v>
      </c>
      <c r="C56" s="21" t="n">
        <v>0.3958333333333333</v>
      </c>
      <c r="D56" s="22" t="inlineStr">
        <is>
          <t>After breakfast</t>
        </is>
      </c>
      <c r="E56" s="23" t="n">
        <v>153</v>
      </c>
      <c r="F56" s="22" t="n"/>
      <c r="G56" s="14">
        <f>IF(OR(B56="",E56="",J56="",K56=""),"",IF(E56&lt;J56,"Below",IF(E56&gt;K56,"Above","In range")))</f>
        <v/>
      </c>
      <c r="H56" s="1" t="n"/>
      <c r="J56">
        <f>IF(M56="","",IF(INDEX(Settings!$C$10:$C$18,M56)="","",INDEX(Settings!$C$10:$C$18,M56)))</f>
        <v/>
      </c>
      <c r="K56">
        <f>IF(M56="","",IF(INDEX(Settings!$D$10:$D$18,M56)="","",INDEX(Settings!$D$10:$D$18,M56)))</f>
        <v/>
      </c>
      <c r="L56">
        <f>IF(OR(B56="",E56=""),"",B56+MOD(N(C56),1)+ROW()/10000000)</f>
        <v/>
      </c>
      <c r="M56">
        <f>IF(D56="","",IFERROR(MATCH(D56,Settings!$B$10:$B$18,0),""))</f>
        <v/>
      </c>
      <c r="N56">
        <f>IF(OR(B56="",E56="",M56=""),"",IF(AND(B56&gt;=Settings!$C$6,B56&lt;=Settings!$C$7),M56*10000+E56,""))</f>
        <v/>
      </c>
      <c r="O56">
        <f>IF(OR(B56="",E56=""),"",B56*10000+E56)</f>
        <v/>
      </c>
      <c r="P56">
        <f>IF(N56="","",E56)</f>
        <v/>
      </c>
    </row>
    <row r="57">
      <c r="A57" s="1" t="n"/>
      <c r="B57" s="20" t="n">
        <v>46263</v>
      </c>
      <c r="C57" s="21" t="n">
        <v>0.75</v>
      </c>
      <c r="D57" s="22" t="inlineStr">
        <is>
          <t>Before dinner</t>
        </is>
      </c>
      <c r="E57" s="23" t="n">
        <v>121</v>
      </c>
      <c r="F57" s="22" t="n"/>
      <c r="G57" s="14">
        <f>IF(OR(B57="",E57="",J57="",K57=""),"",IF(E57&lt;J57,"Below",IF(E57&gt;K57,"Above","In range")))</f>
        <v/>
      </c>
      <c r="H57" s="1" t="n"/>
      <c r="J57">
        <f>IF(M57="","",IF(INDEX(Settings!$C$10:$C$18,M57)="","",INDEX(Settings!$C$10:$C$18,M57)))</f>
        <v/>
      </c>
      <c r="K57">
        <f>IF(M57="","",IF(INDEX(Settings!$D$10:$D$18,M57)="","",INDEX(Settings!$D$10:$D$18,M57)))</f>
        <v/>
      </c>
      <c r="L57">
        <f>IF(OR(B57="",E57=""),"",B57+MOD(N(C57),1)+ROW()/10000000)</f>
        <v/>
      </c>
      <c r="M57">
        <f>IF(D57="","",IFERROR(MATCH(D57,Settings!$B$10:$B$18,0),""))</f>
        <v/>
      </c>
      <c r="N57">
        <f>IF(OR(B57="",E57="",M57=""),"",IF(AND(B57&gt;=Settings!$C$6,B57&lt;=Settings!$C$7),M57*10000+E57,""))</f>
        <v/>
      </c>
      <c r="O57">
        <f>IF(OR(B57="",E57=""),"",B57*10000+E57)</f>
        <v/>
      </c>
      <c r="P57">
        <f>IF(N57="","",E57)</f>
        <v/>
      </c>
    </row>
    <row r="58">
      <c r="A58" s="1" t="n"/>
      <c r="B58" s="20" t="n">
        <v>46263</v>
      </c>
      <c r="C58" s="21" t="n">
        <v>0.9270833333333334</v>
      </c>
      <c r="D58" s="22" t="inlineStr">
        <is>
          <t>Bedtime</t>
        </is>
      </c>
      <c r="E58" s="23" t="n">
        <v>151</v>
      </c>
      <c r="F58" s="22" t="n"/>
      <c r="G58" s="14">
        <f>IF(OR(B58="",E58="",J58="",K58=""),"",IF(E58&lt;J58,"Below",IF(E58&gt;K58,"Above","In range")))</f>
        <v/>
      </c>
      <c r="H58" s="1" t="n"/>
      <c r="J58">
        <f>IF(M58="","",IF(INDEX(Settings!$C$10:$C$18,M58)="","",INDEX(Settings!$C$10:$C$18,M58)))</f>
        <v/>
      </c>
      <c r="K58">
        <f>IF(M58="","",IF(INDEX(Settings!$D$10:$D$18,M58)="","",INDEX(Settings!$D$10:$D$18,M58)))</f>
        <v/>
      </c>
      <c r="L58">
        <f>IF(OR(B58="",E58=""),"",B58+MOD(N(C58),1)+ROW()/10000000)</f>
        <v/>
      </c>
      <c r="M58">
        <f>IF(D58="","",IFERROR(MATCH(D58,Settings!$B$10:$B$18,0),""))</f>
        <v/>
      </c>
      <c r="N58">
        <f>IF(OR(B58="",E58="",M58=""),"",IF(AND(B58&gt;=Settings!$C$6,B58&lt;=Settings!$C$7),M58*10000+E58,""))</f>
        <v/>
      </c>
      <c r="O58">
        <f>IF(OR(B58="",E58=""),"",B58*10000+E58)</f>
        <v/>
      </c>
      <c r="P58">
        <f>IF(N58="","",E58)</f>
        <v/>
      </c>
    </row>
    <row r="59">
      <c r="A59" s="1" t="n"/>
      <c r="B59" s="20" t="n">
        <v>46264</v>
      </c>
      <c r="C59" s="21" t="n">
        <v>0.2986111111111111</v>
      </c>
      <c r="D59" s="22" t="inlineStr">
        <is>
          <t>Fasting</t>
        </is>
      </c>
      <c r="E59" s="23" t="n">
        <v>66</v>
      </c>
      <c r="F59" s="22" t="inlineStr">
        <is>
          <t>Felt shaky, had juice</t>
        </is>
      </c>
      <c r="G59" s="14">
        <f>IF(OR(B59="",E59="",J59="",K59=""),"",IF(E59&lt;J59,"Below",IF(E59&gt;K59,"Above","In range")))</f>
        <v/>
      </c>
      <c r="H59" s="1" t="n"/>
      <c r="J59">
        <f>IF(M59="","",IF(INDEX(Settings!$C$10:$C$18,M59)="","",INDEX(Settings!$C$10:$C$18,M59)))</f>
        <v/>
      </c>
      <c r="K59">
        <f>IF(M59="","",IF(INDEX(Settings!$D$10:$D$18,M59)="","",INDEX(Settings!$D$10:$D$18,M59)))</f>
        <v/>
      </c>
      <c r="L59">
        <f>IF(OR(B59="",E59=""),"",B59+MOD(N(C59),1)+ROW()/10000000)</f>
        <v/>
      </c>
      <c r="M59">
        <f>IF(D59="","",IFERROR(MATCH(D59,Settings!$B$10:$B$18,0),""))</f>
        <v/>
      </c>
      <c r="N59">
        <f>IF(OR(B59="",E59="",M59=""),"",IF(AND(B59&gt;=Settings!$C$6,B59&lt;=Settings!$C$7),M59*10000+E59,""))</f>
        <v/>
      </c>
      <c r="O59">
        <f>IF(OR(B59="",E59=""),"",B59*10000+E59)</f>
        <v/>
      </c>
      <c r="P59">
        <f>IF(N59="","",E59)</f>
        <v/>
      </c>
    </row>
    <row r="60">
      <c r="A60" s="1" t="n"/>
      <c r="B60" s="20" t="n">
        <v>46264</v>
      </c>
      <c r="C60" s="21" t="n">
        <v>0.3958333333333333</v>
      </c>
      <c r="D60" s="22" t="inlineStr">
        <is>
          <t>After breakfast</t>
        </is>
      </c>
      <c r="E60" s="23" t="n">
        <v>140</v>
      </c>
      <c r="F60" s="22" t="n"/>
      <c r="G60" s="14">
        <f>IF(OR(B60="",E60="",J60="",K60=""),"",IF(E60&lt;J60,"Below",IF(E60&gt;K60,"Above","In range")))</f>
        <v/>
      </c>
      <c r="H60" s="1" t="n"/>
      <c r="J60">
        <f>IF(M60="","",IF(INDEX(Settings!$C$10:$C$18,M60)="","",INDEX(Settings!$C$10:$C$18,M60)))</f>
        <v/>
      </c>
      <c r="K60">
        <f>IF(M60="","",IF(INDEX(Settings!$D$10:$D$18,M60)="","",INDEX(Settings!$D$10:$D$18,M60)))</f>
        <v/>
      </c>
      <c r="L60">
        <f>IF(OR(B60="",E60=""),"",B60+MOD(N(C60),1)+ROW()/10000000)</f>
        <v/>
      </c>
      <c r="M60">
        <f>IF(D60="","",IFERROR(MATCH(D60,Settings!$B$10:$B$18,0),""))</f>
        <v/>
      </c>
      <c r="N60">
        <f>IF(OR(B60="",E60="",M60=""),"",IF(AND(B60&gt;=Settings!$C$6,B60&lt;=Settings!$C$7),M60*10000+E60,""))</f>
        <v/>
      </c>
      <c r="O60">
        <f>IF(OR(B60="",E60=""),"",B60*10000+E60)</f>
        <v/>
      </c>
      <c r="P60">
        <f>IF(N60="","",E60)</f>
        <v/>
      </c>
    </row>
    <row r="61">
      <c r="A61" s="1" t="n"/>
      <c r="B61" s="20" t="n">
        <v>46264</v>
      </c>
      <c r="C61" s="21" t="n">
        <v>0.9270833333333334</v>
      </c>
      <c r="D61" s="22" t="inlineStr">
        <is>
          <t>Bedtime</t>
        </is>
      </c>
      <c r="E61" s="23" t="n">
        <v>138</v>
      </c>
      <c r="F61" s="22" t="n"/>
      <c r="G61" s="14">
        <f>IF(OR(B61="",E61="",J61="",K61=""),"",IF(E61&lt;J61,"Below",IF(E61&gt;K61,"Above","In range")))</f>
        <v/>
      </c>
      <c r="H61" s="1" t="n"/>
      <c r="J61">
        <f>IF(M61="","",IF(INDEX(Settings!$C$10:$C$18,M61)="","",INDEX(Settings!$C$10:$C$18,M61)))</f>
        <v/>
      </c>
      <c r="K61">
        <f>IF(M61="","",IF(INDEX(Settings!$D$10:$D$18,M61)="","",INDEX(Settings!$D$10:$D$18,M61)))</f>
        <v/>
      </c>
      <c r="L61">
        <f>IF(OR(B61="",E61=""),"",B61+MOD(N(C61),1)+ROW()/10000000)</f>
        <v/>
      </c>
      <c r="M61">
        <f>IF(D61="","",IFERROR(MATCH(D61,Settings!$B$10:$B$18,0),""))</f>
        <v/>
      </c>
      <c r="N61">
        <f>IF(OR(B61="",E61="",M61=""),"",IF(AND(B61&gt;=Settings!$C$6,B61&lt;=Settings!$C$7),M61*10000+E61,""))</f>
        <v/>
      </c>
      <c r="O61">
        <f>IF(OR(B61="",E61=""),"",B61*10000+E61)</f>
        <v/>
      </c>
      <c r="P61">
        <f>IF(N61="","",E61)</f>
        <v/>
      </c>
    </row>
    <row r="62">
      <c r="A62" s="1" t="n"/>
      <c r="B62" s="20" t="n">
        <v>46265</v>
      </c>
      <c r="C62" s="21" t="n">
        <v>0.2986111111111111</v>
      </c>
      <c r="D62" s="22" t="inlineStr">
        <is>
          <t>Fasting</t>
        </is>
      </c>
      <c r="E62" s="23" t="n">
        <v>113</v>
      </c>
      <c r="F62" s="22" t="n"/>
      <c r="G62" s="14">
        <f>IF(OR(B62="",E62="",J62="",K62=""),"",IF(E62&lt;J62,"Below",IF(E62&gt;K62,"Above","In range")))</f>
        <v/>
      </c>
      <c r="H62" s="1" t="n"/>
      <c r="J62">
        <f>IF(M62="","",IF(INDEX(Settings!$C$10:$C$18,M62)="","",INDEX(Settings!$C$10:$C$18,M62)))</f>
        <v/>
      </c>
      <c r="K62">
        <f>IF(M62="","",IF(INDEX(Settings!$D$10:$D$18,M62)="","",INDEX(Settings!$D$10:$D$18,M62)))</f>
        <v/>
      </c>
      <c r="L62">
        <f>IF(OR(B62="",E62=""),"",B62+MOD(N(C62),1)+ROW()/10000000)</f>
        <v/>
      </c>
      <c r="M62">
        <f>IF(D62="","",IFERROR(MATCH(D62,Settings!$B$10:$B$18,0),""))</f>
        <v/>
      </c>
      <c r="N62">
        <f>IF(OR(B62="",E62="",M62=""),"",IF(AND(B62&gt;=Settings!$C$6,B62&lt;=Settings!$C$7),M62*10000+E62,""))</f>
        <v/>
      </c>
      <c r="O62">
        <f>IF(OR(B62="",E62=""),"",B62*10000+E62)</f>
        <v/>
      </c>
      <c r="P62">
        <f>IF(N62="","",E62)</f>
        <v/>
      </c>
    </row>
    <row r="63">
      <c r="A63" s="1" t="n"/>
      <c r="B63" s="20" t="n">
        <v>46265</v>
      </c>
      <c r="C63" s="21" t="n">
        <v>0.4027777777777778</v>
      </c>
      <c r="D63" s="22" t="inlineStr">
        <is>
          <t>After breakfast</t>
        </is>
      </c>
      <c r="E63" s="23" t="n">
        <v>202</v>
      </c>
      <c r="F63" s="22" t="n"/>
      <c r="G63" s="14">
        <f>IF(OR(B63="",E63="",J63="",K63=""),"",IF(E63&lt;J63,"Below",IF(E63&gt;K63,"Above","In range")))</f>
        <v/>
      </c>
      <c r="H63" s="1" t="n"/>
      <c r="J63">
        <f>IF(M63="","",IF(INDEX(Settings!$C$10:$C$18,M63)="","",INDEX(Settings!$C$10:$C$18,M63)))</f>
        <v/>
      </c>
      <c r="K63">
        <f>IF(M63="","",IF(INDEX(Settings!$D$10:$D$18,M63)="","",INDEX(Settings!$D$10:$D$18,M63)))</f>
        <v/>
      </c>
      <c r="L63">
        <f>IF(OR(B63="",E63=""),"",B63+MOD(N(C63),1)+ROW()/10000000)</f>
        <v/>
      </c>
      <c r="M63">
        <f>IF(D63="","",IFERROR(MATCH(D63,Settings!$B$10:$B$18,0),""))</f>
        <v/>
      </c>
      <c r="N63">
        <f>IF(OR(B63="",E63="",M63=""),"",IF(AND(B63&gt;=Settings!$C$6,B63&lt;=Settings!$C$7),M63*10000+E63,""))</f>
        <v/>
      </c>
      <c r="O63">
        <f>IF(OR(B63="",E63=""),"",B63*10000+E63)</f>
        <v/>
      </c>
      <c r="P63">
        <f>IF(N63="","",E63)</f>
        <v/>
      </c>
    </row>
    <row r="64">
      <c r="A64" s="1" t="n"/>
      <c r="B64" s="20" t="n">
        <v>46265</v>
      </c>
      <c r="C64" s="21" t="n">
        <v>0.7708333333333334</v>
      </c>
      <c r="D64" s="22" t="inlineStr">
        <is>
          <t>Before dinner</t>
        </is>
      </c>
      <c r="E64" s="23" t="n">
        <v>90</v>
      </c>
      <c r="F64" s="22" t="n"/>
      <c r="G64" s="14">
        <f>IF(OR(B64="",E64="",J64="",K64=""),"",IF(E64&lt;J64,"Below",IF(E64&gt;K64,"Above","In range")))</f>
        <v/>
      </c>
      <c r="H64" s="1" t="n"/>
      <c r="J64">
        <f>IF(M64="","",IF(INDEX(Settings!$C$10:$C$18,M64)="","",INDEX(Settings!$C$10:$C$18,M64)))</f>
        <v/>
      </c>
      <c r="K64">
        <f>IF(M64="","",IF(INDEX(Settings!$D$10:$D$18,M64)="","",INDEX(Settings!$D$10:$D$18,M64)))</f>
        <v/>
      </c>
      <c r="L64">
        <f>IF(OR(B64="",E64=""),"",B64+MOD(N(C64),1)+ROW()/10000000)</f>
        <v/>
      </c>
      <c r="M64">
        <f>IF(D64="","",IFERROR(MATCH(D64,Settings!$B$10:$B$18,0),""))</f>
        <v/>
      </c>
      <c r="N64">
        <f>IF(OR(B64="",E64="",M64=""),"",IF(AND(B64&gt;=Settings!$C$6,B64&lt;=Settings!$C$7),M64*10000+E64,""))</f>
        <v/>
      </c>
      <c r="O64">
        <f>IF(OR(B64="",E64=""),"",B64*10000+E64)</f>
        <v/>
      </c>
      <c r="P64">
        <f>IF(N64="","",E64)</f>
        <v/>
      </c>
    </row>
    <row r="65">
      <c r="A65" s="1" t="n"/>
      <c r="B65" s="20" t="n">
        <v>46265</v>
      </c>
      <c r="C65" s="21" t="n">
        <v>0.8541666666666666</v>
      </c>
      <c r="D65" s="22" t="inlineStr">
        <is>
          <t>After dinner</t>
        </is>
      </c>
      <c r="E65" s="23" t="n">
        <v>155</v>
      </c>
      <c r="F65" s="22" t="n"/>
      <c r="G65" s="14">
        <f>IF(OR(B65="",E65="",J65="",K65=""),"",IF(E65&lt;J65,"Below",IF(E65&gt;K65,"Above","In range")))</f>
        <v/>
      </c>
      <c r="H65" s="1" t="n"/>
      <c r="J65">
        <f>IF(M65="","",IF(INDEX(Settings!$C$10:$C$18,M65)="","",INDEX(Settings!$C$10:$C$18,M65)))</f>
        <v/>
      </c>
      <c r="K65">
        <f>IF(M65="","",IF(INDEX(Settings!$D$10:$D$18,M65)="","",INDEX(Settings!$D$10:$D$18,M65)))</f>
        <v/>
      </c>
      <c r="L65">
        <f>IF(OR(B65="",E65=""),"",B65+MOD(N(C65),1)+ROW()/10000000)</f>
        <v/>
      </c>
      <c r="M65">
        <f>IF(D65="","",IFERROR(MATCH(D65,Settings!$B$10:$B$18,0),""))</f>
        <v/>
      </c>
      <c r="N65">
        <f>IF(OR(B65="",E65="",M65=""),"",IF(AND(B65&gt;=Settings!$C$6,B65&lt;=Settings!$C$7),M65*10000+E65,""))</f>
        <v/>
      </c>
      <c r="O65">
        <f>IF(OR(B65="",E65=""),"",B65*10000+E65)</f>
        <v/>
      </c>
      <c r="P65">
        <f>IF(N65="","",E65)</f>
        <v/>
      </c>
    </row>
    <row r="66">
      <c r="A66" s="1" t="n"/>
      <c r="B66" s="20" t="n">
        <v>46265</v>
      </c>
      <c r="C66" s="21" t="n">
        <v>0.9375</v>
      </c>
      <c r="D66" s="22" t="inlineStr">
        <is>
          <t>Bedtime</t>
        </is>
      </c>
      <c r="E66" s="23" t="n">
        <v>138</v>
      </c>
      <c r="F66" s="22" t="n"/>
      <c r="G66" s="14">
        <f>IF(OR(B66="",E66="",J66="",K66=""),"",IF(E66&lt;J66,"Below",IF(E66&gt;K66,"Above","In range")))</f>
        <v/>
      </c>
      <c r="H66" s="1" t="n"/>
      <c r="J66">
        <f>IF(M66="","",IF(INDEX(Settings!$C$10:$C$18,M66)="","",INDEX(Settings!$C$10:$C$18,M66)))</f>
        <v/>
      </c>
      <c r="K66">
        <f>IF(M66="","",IF(INDEX(Settings!$D$10:$D$18,M66)="","",INDEX(Settings!$D$10:$D$18,M66)))</f>
        <v/>
      </c>
      <c r="L66">
        <f>IF(OR(B66="",E66=""),"",B66+MOD(N(C66),1)+ROW()/10000000)</f>
        <v/>
      </c>
      <c r="M66">
        <f>IF(D66="","",IFERROR(MATCH(D66,Settings!$B$10:$B$18,0),""))</f>
        <v/>
      </c>
      <c r="N66">
        <f>IF(OR(B66="",E66="",M66=""),"",IF(AND(B66&gt;=Settings!$C$6,B66&lt;=Settings!$C$7),M66*10000+E66,""))</f>
        <v/>
      </c>
      <c r="O66">
        <f>IF(OR(B66="",E66=""),"",B66*10000+E66)</f>
        <v/>
      </c>
      <c r="P66">
        <f>IF(N66="","",E66)</f>
        <v/>
      </c>
    </row>
    <row r="67">
      <c r="A67" s="1" t="n"/>
      <c r="B67" s="20" t="n">
        <v>46266</v>
      </c>
      <c r="C67" s="21" t="n">
        <v>0.2951388888888889</v>
      </c>
      <c r="D67" s="22" t="inlineStr">
        <is>
          <t>Fasting</t>
        </is>
      </c>
      <c r="E67" s="23" t="n">
        <v>123</v>
      </c>
      <c r="F67" s="22" t="n"/>
      <c r="G67" s="14">
        <f>IF(OR(B67="",E67="",J67="",K67=""),"",IF(E67&lt;J67,"Below",IF(E67&gt;K67,"Above","In range")))</f>
        <v/>
      </c>
      <c r="H67" s="1" t="n"/>
      <c r="J67">
        <f>IF(M67="","",IF(INDEX(Settings!$C$10:$C$18,M67)="","",INDEX(Settings!$C$10:$C$18,M67)))</f>
        <v/>
      </c>
      <c r="K67">
        <f>IF(M67="","",IF(INDEX(Settings!$D$10:$D$18,M67)="","",INDEX(Settings!$D$10:$D$18,M67)))</f>
        <v/>
      </c>
      <c r="L67">
        <f>IF(OR(B67="",E67=""),"",B67+MOD(N(C67),1)+ROW()/10000000)</f>
        <v/>
      </c>
      <c r="M67">
        <f>IF(D67="","",IFERROR(MATCH(D67,Settings!$B$10:$B$18,0),""))</f>
        <v/>
      </c>
      <c r="N67">
        <f>IF(OR(B67="",E67="",M67=""),"",IF(AND(B67&gt;=Settings!$C$6,B67&lt;=Settings!$C$7),M67*10000+E67,""))</f>
        <v/>
      </c>
      <c r="O67">
        <f>IF(OR(B67="",E67=""),"",B67*10000+E67)</f>
        <v/>
      </c>
      <c r="P67">
        <f>IF(N67="","",E67)</f>
        <v/>
      </c>
    </row>
    <row r="68">
      <c r="A68" s="1" t="n"/>
      <c r="B68" s="20" t="n">
        <v>46266</v>
      </c>
      <c r="C68" s="21" t="n">
        <v>0.3958333333333333</v>
      </c>
      <c r="D68" s="22" t="inlineStr">
        <is>
          <t>After breakfast</t>
        </is>
      </c>
      <c r="E68" s="23" t="n">
        <v>163</v>
      </c>
      <c r="F68" s="22" t="n"/>
      <c r="G68" s="14">
        <f>IF(OR(B68="",E68="",J68="",K68=""),"",IF(E68&lt;J68,"Below",IF(E68&gt;K68,"Above","In range")))</f>
        <v/>
      </c>
      <c r="H68" s="1" t="n"/>
      <c r="J68">
        <f>IF(M68="","",IF(INDEX(Settings!$C$10:$C$18,M68)="","",INDEX(Settings!$C$10:$C$18,M68)))</f>
        <v/>
      </c>
      <c r="K68">
        <f>IF(M68="","",IF(INDEX(Settings!$D$10:$D$18,M68)="","",INDEX(Settings!$D$10:$D$18,M68)))</f>
        <v/>
      </c>
      <c r="L68">
        <f>IF(OR(B68="",E68=""),"",B68+MOD(N(C68),1)+ROW()/10000000)</f>
        <v/>
      </c>
      <c r="M68">
        <f>IF(D68="","",IFERROR(MATCH(D68,Settings!$B$10:$B$18,0),""))</f>
        <v/>
      </c>
      <c r="N68">
        <f>IF(OR(B68="",E68="",M68=""),"",IF(AND(B68&gt;=Settings!$C$6,B68&lt;=Settings!$C$7),M68*10000+E68,""))</f>
        <v/>
      </c>
      <c r="O68">
        <f>IF(OR(B68="",E68=""),"",B68*10000+E68)</f>
        <v/>
      </c>
      <c r="P68">
        <f>IF(N68="","",E68)</f>
        <v/>
      </c>
    </row>
    <row r="69">
      <c r="A69" s="1" t="n"/>
      <c r="B69" s="20" t="n">
        <v>46266</v>
      </c>
      <c r="C69" s="21" t="n">
        <v>0.8541666666666666</v>
      </c>
      <c r="D69" s="22" t="inlineStr">
        <is>
          <t>After dinner</t>
        </is>
      </c>
      <c r="E69" s="23" t="n">
        <v>164</v>
      </c>
      <c r="F69" s="22" t="n"/>
      <c r="G69" s="14">
        <f>IF(OR(B69="",E69="",J69="",K69=""),"",IF(E69&lt;J69,"Below",IF(E69&gt;K69,"Above","In range")))</f>
        <v/>
      </c>
      <c r="H69" s="1" t="n"/>
      <c r="J69">
        <f>IF(M69="","",IF(INDEX(Settings!$C$10:$C$18,M69)="","",INDEX(Settings!$C$10:$C$18,M69)))</f>
        <v/>
      </c>
      <c r="K69">
        <f>IF(M69="","",IF(INDEX(Settings!$D$10:$D$18,M69)="","",INDEX(Settings!$D$10:$D$18,M69)))</f>
        <v/>
      </c>
      <c r="L69">
        <f>IF(OR(B69="",E69=""),"",B69+MOD(N(C69),1)+ROW()/10000000)</f>
        <v/>
      </c>
      <c r="M69">
        <f>IF(D69="","",IFERROR(MATCH(D69,Settings!$B$10:$B$18,0),""))</f>
        <v/>
      </c>
      <c r="N69">
        <f>IF(OR(B69="",E69="",M69=""),"",IF(AND(B69&gt;=Settings!$C$6,B69&lt;=Settings!$C$7),M69*10000+E69,""))</f>
        <v/>
      </c>
      <c r="O69">
        <f>IF(OR(B69="",E69=""),"",B69*10000+E69)</f>
        <v/>
      </c>
      <c r="P69">
        <f>IF(N69="","",E69)</f>
        <v/>
      </c>
    </row>
    <row r="70">
      <c r="A70" s="1" t="n"/>
      <c r="B70" s="20" t="n">
        <v>46266</v>
      </c>
      <c r="C70" s="21" t="n">
        <v>0.9270833333333334</v>
      </c>
      <c r="D70" s="22" t="inlineStr">
        <is>
          <t>Bedtime</t>
        </is>
      </c>
      <c r="E70" s="23" t="n">
        <v>143</v>
      </c>
      <c r="F70" s="22" t="n"/>
      <c r="G70" s="14">
        <f>IF(OR(B70="",E70="",J70="",K70=""),"",IF(E70&lt;J70,"Below",IF(E70&gt;K70,"Above","In range")))</f>
        <v/>
      </c>
      <c r="H70" s="1" t="n"/>
      <c r="J70">
        <f>IF(M70="","",IF(INDEX(Settings!$C$10:$C$18,M70)="","",INDEX(Settings!$C$10:$C$18,M70)))</f>
        <v/>
      </c>
      <c r="K70">
        <f>IF(M70="","",IF(INDEX(Settings!$D$10:$D$18,M70)="","",INDEX(Settings!$D$10:$D$18,M70)))</f>
        <v/>
      </c>
      <c r="L70">
        <f>IF(OR(B70="",E70=""),"",B70+MOD(N(C70),1)+ROW()/10000000)</f>
        <v/>
      </c>
      <c r="M70">
        <f>IF(D70="","",IFERROR(MATCH(D70,Settings!$B$10:$B$18,0),""))</f>
        <v/>
      </c>
      <c r="N70">
        <f>IF(OR(B70="",E70="",M70=""),"",IF(AND(B70&gt;=Settings!$C$6,B70&lt;=Settings!$C$7),M70*10000+E70,""))</f>
        <v/>
      </c>
      <c r="O70">
        <f>IF(OR(B70="",E70=""),"",B70*10000+E70)</f>
        <v/>
      </c>
      <c r="P70">
        <f>IF(N70="","",E70)</f>
        <v/>
      </c>
    </row>
    <row r="71">
      <c r="A71" s="1" t="n"/>
      <c r="B71" s="20" t="n">
        <v>46267</v>
      </c>
      <c r="C71" s="21" t="n">
        <v>0.2986111111111111</v>
      </c>
      <c r="D71" s="22" t="inlineStr">
        <is>
          <t>Fasting</t>
        </is>
      </c>
      <c r="E71" s="23" t="n">
        <v>122</v>
      </c>
      <c r="F71" s="22" t="n"/>
      <c r="G71" s="14">
        <f>IF(OR(B71="",E71="",J71="",K71=""),"",IF(E71&lt;J71,"Below",IF(E71&gt;K71,"Above","In range")))</f>
        <v/>
      </c>
      <c r="H71" s="1" t="n"/>
      <c r="J71">
        <f>IF(M71="","",IF(INDEX(Settings!$C$10:$C$18,M71)="","",INDEX(Settings!$C$10:$C$18,M71)))</f>
        <v/>
      </c>
      <c r="K71">
        <f>IF(M71="","",IF(INDEX(Settings!$D$10:$D$18,M71)="","",INDEX(Settings!$D$10:$D$18,M71)))</f>
        <v/>
      </c>
      <c r="L71">
        <f>IF(OR(B71="",E71=""),"",B71+MOD(N(C71),1)+ROW()/10000000)</f>
        <v/>
      </c>
      <c r="M71">
        <f>IF(D71="","",IFERROR(MATCH(D71,Settings!$B$10:$B$18,0),""))</f>
        <v/>
      </c>
      <c r="N71">
        <f>IF(OR(B71="",E71="",M71=""),"",IF(AND(B71&gt;=Settings!$C$6,B71&lt;=Settings!$C$7),M71*10000+E71,""))</f>
        <v/>
      </c>
      <c r="O71">
        <f>IF(OR(B71="",E71=""),"",B71*10000+E71)</f>
        <v/>
      </c>
      <c r="P71">
        <f>IF(N71="","",E71)</f>
        <v/>
      </c>
    </row>
    <row r="72">
      <c r="A72" s="1" t="n"/>
      <c r="B72" s="20" t="n">
        <v>46267</v>
      </c>
      <c r="C72" s="21" t="n">
        <v>0.3958333333333333</v>
      </c>
      <c r="D72" s="22" t="inlineStr">
        <is>
          <t>After breakfast</t>
        </is>
      </c>
      <c r="E72" s="23" t="n">
        <v>175</v>
      </c>
      <c r="F72" s="22" t="n"/>
      <c r="G72" s="14">
        <f>IF(OR(B72="",E72="",J72="",K72=""),"",IF(E72&lt;J72,"Below",IF(E72&gt;K72,"Above","In range")))</f>
        <v/>
      </c>
      <c r="H72" s="1" t="n"/>
      <c r="J72">
        <f>IF(M72="","",IF(INDEX(Settings!$C$10:$C$18,M72)="","",INDEX(Settings!$C$10:$C$18,M72)))</f>
        <v/>
      </c>
      <c r="K72">
        <f>IF(M72="","",IF(INDEX(Settings!$D$10:$D$18,M72)="","",INDEX(Settings!$D$10:$D$18,M72)))</f>
        <v/>
      </c>
      <c r="L72">
        <f>IF(OR(B72="",E72=""),"",B72+MOD(N(C72),1)+ROW()/10000000)</f>
        <v/>
      </c>
      <c r="M72">
        <f>IF(D72="","",IFERROR(MATCH(D72,Settings!$B$10:$B$18,0),""))</f>
        <v/>
      </c>
      <c r="N72">
        <f>IF(OR(B72="",E72="",M72=""),"",IF(AND(B72&gt;=Settings!$C$6,B72&lt;=Settings!$C$7),M72*10000+E72,""))</f>
        <v/>
      </c>
      <c r="O72">
        <f>IF(OR(B72="",E72=""),"",B72*10000+E72)</f>
        <v/>
      </c>
      <c r="P72">
        <f>IF(N72="","",E72)</f>
        <v/>
      </c>
    </row>
    <row r="73">
      <c r="A73" s="1" t="n"/>
      <c r="B73" s="20" t="n">
        <v>46267</v>
      </c>
      <c r="C73" s="21" t="n">
        <v>0.75</v>
      </c>
      <c r="D73" s="22" t="inlineStr">
        <is>
          <t>Before dinner</t>
        </is>
      </c>
      <c r="E73" s="23" t="n">
        <v>113</v>
      </c>
      <c r="F73" s="22" t="n"/>
      <c r="G73" s="14">
        <f>IF(OR(B73="",E73="",J73="",K73=""),"",IF(E73&lt;J73,"Below",IF(E73&gt;K73,"Above","In range")))</f>
        <v/>
      </c>
      <c r="H73" s="1" t="n"/>
      <c r="J73">
        <f>IF(M73="","",IF(INDEX(Settings!$C$10:$C$18,M73)="","",INDEX(Settings!$C$10:$C$18,M73)))</f>
        <v/>
      </c>
      <c r="K73">
        <f>IF(M73="","",IF(INDEX(Settings!$D$10:$D$18,M73)="","",INDEX(Settings!$D$10:$D$18,M73)))</f>
        <v/>
      </c>
      <c r="L73">
        <f>IF(OR(B73="",E73=""),"",B73+MOD(N(C73),1)+ROW()/10000000)</f>
        <v/>
      </c>
      <c r="M73">
        <f>IF(D73="","",IFERROR(MATCH(D73,Settings!$B$10:$B$18,0),""))</f>
        <v/>
      </c>
      <c r="N73">
        <f>IF(OR(B73="",E73="",M73=""),"",IF(AND(B73&gt;=Settings!$C$6,B73&lt;=Settings!$C$7),M73*10000+E73,""))</f>
        <v/>
      </c>
      <c r="O73">
        <f>IF(OR(B73="",E73=""),"",B73*10000+E73)</f>
        <v/>
      </c>
      <c r="P73">
        <f>IF(N73="","",E73)</f>
        <v/>
      </c>
    </row>
    <row r="74">
      <c r="A74" s="1" t="n"/>
      <c r="B74" s="20" t="n">
        <v>46267</v>
      </c>
      <c r="C74" s="21" t="n">
        <v>0.8645833333333334</v>
      </c>
      <c r="D74" s="22" t="inlineStr">
        <is>
          <t>After dinner</t>
        </is>
      </c>
      <c r="E74" s="23" t="n">
        <v>166</v>
      </c>
      <c r="F74" s="22" t="n"/>
      <c r="G74" s="14">
        <f>IF(OR(B74="",E74="",J74="",K74=""),"",IF(E74&lt;J74,"Below",IF(E74&gt;K74,"Above","In range")))</f>
        <v/>
      </c>
      <c r="H74" s="1" t="n"/>
      <c r="J74">
        <f>IF(M74="","",IF(INDEX(Settings!$C$10:$C$18,M74)="","",INDEX(Settings!$C$10:$C$18,M74)))</f>
        <v/>
      </c>
      <c r="K74">
        <f>IF(M74="","",IF(INDEX(Settings!$D$10:$D$18,M74)="","",INDEX(Settings!$D$10:$D$18,M74)))</f>
        <v/>
      </c>
      <c r="L74">
        <f>IF(OR(B74="",E74=""),"",B74+MOD(N(C74),1)+ROW()/10000000)</f>
        <v/>
      </c>
      <c r="M74">
        <f>IF(D74="","",IFERROR(MATCH(D74,Settings!$B$10:$B$18,0),""))</f>
        <v/>
      </c>
      <c r="N74">
        <f>IF(OR(B74="",E74="",M74=""),"",IF(AND(B74&gt;=Settings!$C$6,B74&lt;=Settings!$C$7),M74*10000+E74,""))</f>
        <v/>
      </c>
      <c r="O74">
        <f>IF(OR(B74="",E74=""),"",B74*10000+E74)</f>
        <v/>
      </c>
      <c r="P74">
        <f>IF(N74="","",E74)</f>
        <v/>
      </c>
    </row>
    <row r="75">
      <c r="A75" s="1" t="n"/>
      <c r="B75" s="20" t="n">
        <v>46267</v>
      </c>
      <c r="C75" s="21" t="n">
        <v>0.9375</v>
      </c>
      <c r="D75" s="22" t="inlineStr">
        <is>
          <t>Bedtime</t>
        </is>
      </c>
      <c r="E75" s="23" t="n">
        <v>127</v>
      </c>
      <c r="F75" s="22" t="n"/>
      <c r="G75" s="14">
        <f>IF(OR(B75="",E75="",J75="",K75=""),"",IF(E75&lt;J75,"Below",IF(E75&gt;K75,"Above","In range")))</f>
        <v/>
      </c>
      <c r="H75" s="1" t="n"/>
      <c r="J75">
        <f>IF(M75="","",IF(INDEX(Settings!$C$10:$C$18,M75)="","",INDEX(Settings!$C$10:$C$18,M75)))</f>
        <v/>
      </c>
      <c r="K75">
        <f>IF(M75="","",IF(INDEX(Settings!$D$10:$D$18,M75)="","",INDEX(Settings!$D$10:$D$18,M75)))</f>
        <v/>
      </c>
      <c r="L75">
        <f>IF(OR(B75="",E75=""),"",B75+MOD(N(C75),1)+ROW()/10000000)</f>
        <v/>
      </c>
      <c r="M75">
        <f>IF(D75="","",IFERROR(MATCH(D75,Settings!$B$10:$B$18,0),""))</f>
        <v/>
      </c>
      <c r="N75">
        <f>IF(OR(B75="",E75="",M75=""),"",IF(AND(B75&gt;=Settings!$C$6,B75&lt;=Settings!$C$7),M75*10000+E75,""))</f>
        <v/>
      </c>
      <c r="O75">
        <f>IF(OR(B75="",E75=""),"",B75*10000+E75)</f>
        <v/>
      </c>
      <c r="P75">
        <f>IF(N75="","",E75)</f>
        <v/>
      </c>
    </row>
    <row r="76">
      <c r="A76" s="1" t="n"/>
      <c r="B76" s="20" t="n">
        <v>46268</v>
      </c>
      <c r="C76" s="21" t="n">
        <v>0.3020833333333333</v>
      </c>
      <c r="D76" s="22" t="inlineStr">
        <is>
          <t>Fasting</t>
        </is>
      </c>
      <c r="E76" s="23" t="n">
        <v>106</v>
      </c>
      <c r="F76" s="22" t="n"/>
      <c r="G76" s="14">
        <f>IF(OR(B76="",E76="",J76="",K76=""),"",IF(E76&lt;J76,"Below",IF(E76&gt;K76,"Above","In range")))</f>
        <v/>
      </c>
      <c r="H76" s="1" t="n"/>
      <c r="J76">
        <f>IF(M76="","",IF(INDEX(Settings!$C$10:$C$18,M76)="","",INDEX(Settings!$C$10:$C$18,M76)))</f>
        <v/>
      </c>
      <c r="K76">
        <f>IF(M76="","",IF(INDEX(Settings!$D$10:$D$18,M76)="","",INDEX(Settings!$D$10:$D$18,M76)))</f>
        <v/>
      </c>
      <c r="L76">
        <f>IF(OR(B76="",E76=""),"",B76+MOD(N(C76),1)+ROW()/10000000)</f>
        <v/>
      </c>
      <c r="M76">
        <f>IF(D76="","",IFERROR(MATCH(D76,Settings!$B$10:$B$18,0),""))</f>
        <v/>
      </c>
      <c r="N76">
        <f>IF(OR(B76="",E76="",M76=""),"",IF(AND(B76&gt;=Settings!$C$6,B76&lt;=Settings!$C$7),M76*10000+E76,""))</f>
        <v/>
      </c>
      <c r="O76">
        <f>IF(OR(B76="",E76=""),"",B76*10000+E76)</f>
        <v/>
      </c>
      <c r="P76">
        <f>IF(N76="","",E76)</f>
        <v/>
      </c>
    </row>
    <row r="77">
      <c r="A77" s="1" t="n"/>
      <c r="B77" s="20" t="n">
        <v>46268</v>
      </c>
      <c r="C77" s="21" t="n">
        <v>0.3958333333333333</v>
      </c>
      <c r="D77" s="22" t="inlineStr">
        <is>
          <t>After breakfast</t>
        </is>
      </c>
      <c r="E77" s="23" t="n">
        <v>193</v>
      </c>
      <c r="F77" s="22" t="n"/>
      <c r="G77" s="14">
        <f>IF(OR(B77="",E77="",J77="",K77=""),"",IF(E77&lt;J77,"Below",IF(E77&gt;K77,"Above","In range")))</f>
        <v/>
      </c>
      <c r="H77" s="1" t="n"/>
      <c r="J77">
        <f>IF(M77="","",IF(INDEX(Settings!$C$10:$C$18,M77)="","",INDEX(Settings!$C$10:$C$18,M77)))</f>
        <v/>
      </c>
      <c r="K77">
        <f>IF(M77="","",IF(INDEX(Settings!$D$10:$D$18,M77)="","",INDEX(Settings!$D$10:$D$18,M77)))</f>
        <v/>
      </c>
      <c r="L77">
        <f>IF(OR(B77="",E77=""),"",B77+MOD(N(C77),1)+ROW()/10000000)</f>
        <v/>
      </c>
      <c r="M77">
        <f>IF(D77="","",IFERROR(MATCH(D77,Settings!$B$10:$B$18,0),""))</f>
        <v/>
      </c>
      <c r="N77">
        <f>IF(OR(B77="",E77="",M77=""),"",IF(AND(B77&gt;=Settings!$C$6,B77&lt;=Settings!$C$7),M77*10000+E77,""))</f>
        <v/>
      </c>
      <c r="O77">
        <f>IF(OR(B77="",E77=""),"",B77*10000+E77)</f>
        <v/>
      </c>
      <c r="P77">
        <f>IF(N77="","",E77)</f>
        <v/>
      </c>
    </row>
    <row r="78">
      <c r="A78" s="1" t="n"/>
      <c r="B78" s="20" t="n">
        <v>46268</v>
      </c>
      <c r="C78" s="21" t="n">
        <v>0.75</v>
      </c>
      <c r="D78" s="22" t="inlineStr">
        <is>
          <t>Before dinner</t>
        </is>
      </c>
      <c r="E78" s="23" t="n">
        <v>126</v>
      </c>
      <c r="F78" s="22" t="n"/>
      <c r="G78" s="14">
        <f>IF(OR(B78="",E78="",J78="",K78=""),"",IF(E78&lt;J78,"Below",IF(E78&gt;K78,"Above","In range")))</f>
        <v/>
      </c>
      <c r="H78" s="1" t="n"/>
      <c r="J78">
        <f>IF(M78="","",IF(INDEX(Settings!$C$10:$C$18,M78)="","",INDEX(Settings!$C$10:$C$18,M78)))</f>
        <v/>
      </c>
      <c r="K78">
        <f>IF(M78="","",IF(INDEX(Settings!$D$10:$D$18,M78)="","",INDEX(Settings!$D$10:$D$18,M78)))</f>
        <v/>
      </c>
      <c r="L78">
        <f>IF(OR(B78="",E78=""),"",B78+MOD(N(C78),1)+ROW()/10000000)</f>
        <v/>
      </c>
      <c r="M78">
        <f>IF(D78="","",IFERROR(MATCH(D78,Settings!$B$10:$B$18,0),""))</f>
        <v/>
      </c>
      <c r="N78">
        <f>IF(OR(B78="",E78="",M78=""),"",IF(AND(B78&gt;=Settings!$C$6,B78&lt;=Settings!$C$7),M78*10000+E78,""))</f>
        <v/>
      </c>
      <c r="O78">
        <f>IF(OR(B78="",E78=""),"",B78*10000+E78)</f>
        <v/>
      </c>
      <c r="P78">
        <f>IF(N78="","",E78)</f>
        <v/>
      </c>
    </row>
    <row r="79">
      <c r="A79" s="1" t="n"/>
      <c r="B79" s="20" t="n">
        <v>46268</v>
      </c>
      <c r="C79" s="21" t="n">
        <v>0.9375</v>
      </c>
      <c r="D79" s="22" t="inlineStr">
        <is>
          <t>Bedtime</t>
        </is>
      </c>
      <c r="E79" s="23" t="n">
        <v>141</v>
      </c>
      <c r="F79" s="22" t="n"/>
      <c r="G79" s="14">
        <f>IF(OR(B79="",E79="",J79="",K79=""),"",IF(E79&lt;J79,"Below",IF(E79&gt;K79,"Above","In range")))</f>
        <v/>
      </c>
      <c r="H79" s="1" t="n"/>
      <c r="J79">
        <f>IF(M79="","",IF(INDEX(Settings!$C$10:$C$18,M79)="","",INDEX(Settings!$C$10:$C$18,M79)))</f>
        <v/>
      </c>
      <c r="K79">
        <f>IF(M79="","",IF(INDEX(Settings!$D$10:$D$18,M79)="","",INDEX(Settings!$D$10:$D$18,M79)))</f>
        <v/>
      </c>
      <c r="L79">
        <f>IF(OR(B79="",E79=""),"",B79+MOD(N(C79),1)+ROW()/10000000)</f>
        <v/>
      </c>
      <c r="M79">
        <f>IF(D79="","",IFERROR(MATCH(D79,Settings!$B$10:$B$18,0),""))</f>
        <v/>
      </c>
      <c r="N79">
        <f>IF(OR(B79="",E79="",M79=""),"",IF(AND(B79&gt;=Settings!$C$6,B79&lt;=Settings!$C$7),M79*10000+E79,""))</f>
        <v/>
      </c>
      <c r="O79">
        <f>IF(OR(B79="",E79=""),"",B79*10000+E79)</f>
        <v/>
      </c>
      <c r="P79">
        <f>IF(N79="","",E79)</f>
        <v/>
      </c>
    </row>
    <row r="80">
      <c r="A80" s="1" t="n"/>
      <c r="B80" s="20" t="n">
        <v>46269</v>
      </c>
      <c r="C80" s="21" t="n">
        <v>0.2951388888888889</v>
      </c>
      <c r="D80" s="22" t="inlineStr">
        <is>
          <t>Fasting</t>
        </is>
      </c>
      <c r="E80" s="23" t="n">
        <v>123</v>
      </c>
      <c r="F80" s="22" t="n"/>
      <c r="G80" s="14">
        <f>IF(OR(B80="",E80="",J80="",K80=""),"",IF(E80&lt;J80,"Below",IF(E80&gt;K80,"Above","In range")))</f>
        <v/>
      </c>
      <c r="H80" s="1" t="n"/>
      <c r="J80">
        <f>IF(M80="","",IF(INDEX(Settings!$C$10:$C$18,M80)="","",INDEX(Settings!$C$10:$C$18,M80)))</f>
        <v/>
      </c>
      <c r="K80">
        <f>IF(M80="","",IF(INDEX(Settings!$D$10:$D$18,M80)="","",INDEX(Settings!$D$10:$D$18,M80)))</f>
        <v/>
      </c>
      <c r="L80">
        <f>IF(OR(B80="",E80=""),"",B80+MOD(N(C80),1)+ROW()/10000000)</f>
        <v/>
      </c>
      <c r="M80">
        <f>IF(D80="","",IFERROR(MATCH(D80,Settings!$B$10:$B$18,0),""))</f>
        <v/>
      </c>
      <c r="N80">
        <f>IF(OR(B80="",E80="",M80=""),"",IF(AND(B80&gt;=Settings!$C$6,B80&lt;=Settings!$C$7),M80*10000+E80,""))</f>
        <v/>
      </c>
      <c r="O80">
        <f>IF(OR(B80="",E80=""),"",B80*10000+E80)</f>
        <v/>
      </c>
      <c r="P80">
        <f>IF(N80="","",E80)</f>
        <v/>
      </c>
    </row>
    <row r="81">
      <c r="A81" s="1" t="n"/>
      <c r="B81" s="20" t="n">
        <v>46269</v>
      </c>
      <c r="C81" s="21" t="n">
        <v>0.40625</v>
      </c>
      <c r="D81" s="22" t="inlineStr">
        <is>
          <t>After breakfast</t>
        </is>
      </c>
      <c r="E81" s="23" t="n">
        <v>137</v>
      </c>
      <c r="F81" s="22" t="n"/>
      <c r="G81" s="14">
        <f>IF(OR(B81="",E81="",J81="",K81=""),"",IF(E81&lt;J81,"Below",IF(E81&gt;K81,"Above","In range")))</f>
        <v/>
      </c>
      <c r="H81" s="1" t="n"/>
      <c r="J81">
        <f>IF(M81="","",IF(INDEX(Settings!$C$10:$C$18,M81)="","",INDEX(Settings!$C$10:$C$18,M81)))</f>
        <v/>
      </c>
      <c r="K81">
        <f>IF(M81="","",IF(INDEX(Settings!$D$10:$D$18,M81)="","",INDEX(Settings!$D$10:$D$18,M81)))</f>
        <v/>
      </c>
      <c r="L81">
        <f>IF(OR(B81="",E81=""),"",B81+MOD(N(C81),1)+ROW()/10000000)</f>
        <v/>
      </c>
      <c r="M81">
        <f>IF(D81="","",IFERROR(MATCH(D81,Settings!$B$10:$B$18,0),""))</f>
        <v/>
      </c>
      <c r="N81">
        <f>IF(OR(B81="",E81="",M81=""),"",IF(AND(B81&gt;=Settings!$C$6,B81&lt;=Settings!$C$7),M81*10000+E81,""))</f>
        <v/>
      </c>
      <c r="O81">
        <f>IF(OR(B81="",E81=""),"",B81*10000+E81)</f>
        <v/>
      </c>
      <c r="P81">
        <f>IF(N81="","",E81)</f>
        <v/>
      </c>
    </row>
    <row r="82">
      <c r="A82" s="1" t="n"/>
      <c r="B82" s="20" t="n">
        <v>46269</v>
      </c>
      <c r="C82" s="21" t="n">
        <v>0.7604166666666666</v>
      </c>
      <c r="D82" s="22" t="inlineStr">
        <is>
          <t>Before dinner</t>
        </is>
      </c>
      <c r="E82" s="23" t="n">
        <v>121</v>
      </c>
      <c r="F82" s="22" t="n"/>
      <c r="G82" s="14">
        <f>IF(OR(B82="",E82="",J82="",K82=""),"",IF(E82&lt;J82,"Below",IF(E82&gt;K82,"Above","In range")))</f>
        <v/>
      </c>
      <c r="H82" s="1" t="n"/>
      <c r="J82">
        <f>IF(M82="","",IF(INDEX(Settings!$C$10:$C$18,M82)="","",INDEX(Settings!$C$10:$C$18,M82)))</f>
        <v/>
      </c>
      <c r="K82">
        <f>IF(M82="","",IF(INDEX(Settings!$D$10:$D$18,M82)="","",INDEX(Settings!$D$10:$D$18,M82)))</f>
        <v/>
      </c>
      <c r="L82">
        <f>IF(OR(B82="",E82=""),"",B82+MOD(N(C82),1)+ROW()/10000000)</f>
        <v/>
      </c>
      <c r="M82">
        <f>IF(D82="","",IFERROR(MATCH(D82,Settings!$B$10:$B$18,0),""))</f>
        <v/>
      </c>
      <c r="N82">
        <f>IF(OR(B82="",E82="",M82=""),"",IF(AND(B82&gt;=Settings!$C$6,B82&lt;=Settings!$C$7),M82*10000+E82,""))</f>
        <v/>
      </c>
      <c r="O82">
        <f>IF(OR(B82="",E82=""),"",B82*10000+E82)</f>
        <v/>
      </c>
      <c r="P82">
        <f>IF(N82="","",E82)</f>
        <v/>
      </c>
    </row>
    <row r="83">
      <c r="A83" s="1" t="n"/>
      <c r="B83" s="20" t="n">
        <v>46270</v>
      </c>
      <c r="C83" s="21" t="n">
        <v>0.3020833333333333</v>
      </c>
      <c r="D83" s="22" t="inlineStr">
        <is>
          <t>Fasting</t>
        </is>
      </c>
      <c r="E83" s="23" t="n">
        <v>94</v>
      </c>
      <c r="F83" s="22" t="n"/>
      <c r="G83" s="14">
        <f>IF(OR(B83="",E83="",J83="",K83=""),"",IF(E83&lt;J83,"Below",IF(E83&gt;K83,"Above","In range")))</f>
        <v/>
      </c>
      <c r="H83" s="1" t="n"/>
      <c r="J83">
        <f>IF(M83="","",IF(INDEX(Settings!$C$10:$C$18,M83)="","",INDEX(Settings!$C$10:$C$18,M83)))</f>
        <v/>
      </c>
      <c r="K83">
        <f>IF(M83="","",IF(INDEX(Settings!$D$10:$D$18,M83)="","",INDEX(Settings!$D$10:$D$18,M83)))</f>
        <v/>
      </c>
      <c r="L83">
        <f>IF(OR(B83="",E83=""),"",B83+MOD(N(C83),1)+ROW()/10000000)</f>
        <v/>
      </c>
      <c r="M83">
        <f>IF(D83="","",IFERROR(MATCH(D83,Settings!$B$10:$B$18,0),""))</f>
        <v/>
      </c>
      <c r="N83">
        <f>IF(OR(B83="",E83="",M83=""),"",IF(AND(B83&gt;=Settings!$C$6,B83&lt;=Settings!$C$7),M83*10000+E83,""))</f>
        <v/>
      </c>
      <c r="O83">
        <f>IF(OR(B83="",E83=""),"",B83*10000+E83)</f>
        <v/>
      </c>
      <c r="P83">
        <f>IF(N83="","",E83)</f>
        <v/>
      </c>
    </row>
    <row r="84">
      <c r="A84" s="1" t="n"/>
      <c r="B84" s="20" t="n">
        <v>46270</v>
      </c>
      <c r="C84" s="21" t="n">
        <v>0.40625</v>
      </c>
      <c r="D84" s="22" t="inlineStr">
        <is>
          <t>After breakfast</t>
        </is>
      </c>
      <c r="E84" s="23" t="n">
        <v>161</v>
      </c>
      <c r="F84" s="22" t="n"/>
      <c r="G84" s="14">
        <f>IF(OR(B84="",E84="",J84="",K84=""),"",IF(E84&lt;J84,"Below",IF(E84&gt;K84,"Above","In range")))</f>
        <v/>
      </c>
      <c r="H84" s="1" t="n"/>
      <c r="J84">
        <f>IF(M84="","",IF(INDEX(Settings!$C$10:$C$18,M84)="","",INDEX(Settings!$C$10:$C$18,M84)))</f>
        <v/>
      </c>
      <c r="K84">
        <f>IF(M84="","",IF(INDEX(Settings!$D$10:$D$18,M84)="","",INDEX(Settings!$D$10:$D$18,M84)))</f>
        <v/>
      </c>
      <c r="L84">
        <f>IF(OR(B84="",E84=""),"",B84+MOD(N(C84),1)+ROW()/10000000)</f>
        <v/>
      </c>
      <c r="M84">
        <f>IF(D84="","",IFERROR(MATCH(D84,Settings!$B$10:$B$18,0),""))</f>
        <v/>
      </c>
      <c r="N84">
        <f>IF(OR(B84="",E84="",M84=""),"",IF(AND(B84&gt;=Settings!$C$6,B84&lt;=Settings!$C$7),M84*10000+E84,""))</f>
        <v/>
      </c>
      <c r="O84">
        <f>IF(OR(B84="",E84=""),"",B84*10000+E84)</f>
        <v/>
      </c>
      <c r="P84">
        <f>IF(N84="","",E84)</f>
        <v/>
      </c>
    </row>
    <row r="85">
      <c r="A85" s="1" t="n"/>
      <c r="B85" s="20" t="n">
        <v>46270</v>
      </c>
      <c r="C85" s="21" t="n">
        <v>0.7708333333333334</v>
      </c>
      <c r="D85" s="22" t="inlineStr">
        <is>
          <t>Before dinner</t>
        </is>
      </c>
      <c r="E85" s="23" t="n">
        <v>137</v>
      </c>
      <c r="F85" s="22" t="n"/>
      <c r="G85" s="14">
        <f>IF(OR(B85="",E85="",J85="",K85=""),"",IF(E85&lt;J85,"Below",IF(E85&gt;K85,"Above","In range")))</f>
        <v/>
      </c>
      <c r="H85" s="1" t="n"/>
      <c r="J85">
        <f>IF(M85="","",IF(INDEX(Settings!$C$10:$C$18,M85)="","",INDEX(Settings!$C$10:$C$18,M85)))</f>
        <v/>
      </c>
      <c r="K85">
        <f>IF(M85="","",IF(INDEX(Settings!$D$10:$D$18,M85)="","",INDEX(Settings!$D$10:$D$18,M85)))</f>
        <v/>
      </c>
      <c r="L85">
        <f>IF(OR(B85="",E85=""),"",B85+MOD(N(C85),1)+ROW()/10000000)</f>
        <v/>
      </c>
      <c r="M85">
        <f>IF(D85="","",IFERROR(MATCH(D85,Settings!$B$10:$B$18,0),""))</f>
        <v/>
      </c>
      <c r="N85">
        <f>IF(OR(B85="",E85="",M85=""),"",IF(AND(B85&gt;=Settings!$C$6,B85&lt;=Settings!$C$7),M85*10000+E85,""))</f>
        <v/>
      </c>
      <c r="O85">
        <f>IF(OR(B85="",E85=""),"",B85*10000+E85)</f>
        <v/>
      </c>
      <c r="P85">
        <f>IF(N85="","",E85)</f>
        <v/>
      </c>
    </row>
    <row r="86">
      <c r="A86" s="1" t="n"/>
      <c r="B86" s="20" t="n">
        <v>46270</v>
      </c>
      <c r="C86" s="21" t="n">
        <v>0.8541666666666666</v>
      </c>
      <c r="D86" s="22" t="inlineStr">
        <is>
          <t>After dinner</t>
        </is>
      </c>
      <c r="E86" s="23" t="n">
        <v>209</v>
      </c>
      <c r="F86" s="22" t="n"/>
      <c r="G86" s="14">
        <f>IF(OR(B86="",E86="",J86="",K86=""),"",IF(E86&lt;J86,"Below",IF(E86&gt;K86,"Above","In range")))</f>
        <v/>
      </c>
      <c r="H86" s="1" t="n"/>
      <c r="J86">
        <f>IF(M86="","",IF(INDEX(Settings!$C$10:$C$18,M86)="","",INDEX(Settings!$C$10:$C$18,M86)))</f>
        <v/>
      </c>
      <c r="K86">
        <f>IF(M86="","",IF(INDEX(Settings!$D$10:$D$18,M86)="","",INDEX(Settings!$D$10:$D$18,M86)))</f>
        <v/>
      </c>
      <c r="L86">
        <f>IF(OR(B86="",E86=""),"",B86+MOD(N(C86),1)+ROW()/10000000)</f>
        <v/>
      </c>
      <c r="M86">
        <f>IF(D86="","",IFERROR(MATCH(D86,Settings!$B$10:$B$18,0),""))</f>
        <v/>
      </c>
      <c r="N86">
        <f>IF(OR(B86="",E86="",M86=""),"",IF(AND(B86&gt;=Settings!$C$6,B86&lt;=Settings!$C$7),M86*10000+E86,""))</f>
        <v/>
      </c>
      <c r="O86">
        <f>IF(OR(B86="",E86=""),"",B86*10000+E86)</f>
        <v/>
      </c>
      <c r="P86">
        <f>IF(N86="","",E86)</f>
        <v/>
      </c>
    </row>
    <row r="87">
      <c r="A87" s="1" t="n"/>
      <c r="B87" s="20" t="n">
        <v>46271</v>
      </c>
      <c r="C87" s="21" t="n">
        <v>0.3020833333333333</v>
      </c>
      <c r="D87" s="22" t="inlineStr">
        <is>
          <t>Fasting</t>
        </is>
      </c>
      <c r="E87" s="23" t="n">
        <v>110</v>
      </c>
      <c r="F87" s="22" t="n"/>
      <c r="G87" s="14">
        <f>IF(OR(B87="",E87="",J87="",K87=""),"",IF(E87&lt;J87,"Below",IF(E87&gt;K87,"Above","In range")))</f>
        <v/>
      </c>
      <c r="H87" s="1" t="n"/>
      <c r="J87">
        <f>IF(M87="","",IF(INDEX(Settings!$C$10:$C$18,M87)="","",INDEX(Settings!$C$10:$C$18,M87)))</f>
        <v/>
      </c>
      <c r="K87">
        <f>IF(M87="","",IF(INDEX(Settings!$D$10:$D$18,M87)="","",INDEX(Settings!$D$10:$D$18,M87)))</f>
        <v/>
      </c>
      <c r="L87">
        <f>IF(OR(B87="",E87=""),"",B87+MOD(N(C87),1)+ROW()/10000000)</f>
        <v/>
      </c>
      <c r="M87">
        <f>IF(D87="","",IFERROR(MATCH(D87,Settings!$B$10:$B$18,0),""))</f>
        <v/>
      </c>
      <c r="N87">
        <f>IF(OR(B87="",E87="",M87=""),"",IF(AND(B87&gt;=Settings!$C$6,B87&lt;=Settings!$C$7),M87*10000+E87,""))</f>
        <v/>
      </c>
      <c r="O87">
        <f>IF(OR(B87="",E87=""),"",B87*10000+E87)</f>
        <v/>
      </c>
      <c r="P87">
        <f>IF(N87="","",E87)</f>
        <v/>
      </c>
    </row>
    <row r="88">
      <c r="A88" s="1" t="n"/>
      <c r="B88" s="20" t="n">
        <v>46271</v>
      </c>
      <c r="C88" s="21" t="n">
        <v>0.40625</v>
      </c>
      <c r="D88" s="22" t="inlineStr">
        <is>
          <t>After breakfast</t>
        </is>
      </c>
      <c r="E88" s="23" t="n">
        <v>163</v>
      </c>
      <c r="F88" s="22" t="n"/>
      <c r="G88" s="14">
        <f>IF(OR(B88="",E88="",J88="",K88=""),"",IF(E88&lt;J88,"Below",IF(E88&gt;K88,"Above","In range")))</f>
        <v/>
      </c>
      <c r="H88" s="1" t="n"/>
      <c r="J88">
        <f>IF(M88="","",IF(INDEX(Settings!$C$10:$C$18,M88)="","",INDEX(Settings!$C$10:$C$18,M88)))</f>
        <v/>
      </c>
      <c r="K88">
        <f>IF(M88="","",IF(INDEX(Settings!$D$10:$D$18,M88)="","",INDEX(Settings!$D$10:$D$18,M88)))</f>
        <v/>
      </c>
      <c r="L88">
        <f>IF(OR(B88="",E88=""),"",B88+MOD(N(C88),1)+ROW()/10000000)</f>
        <v/>
      </c>
      <c r="M88">
        <f>IF(D88="","",IFERROR(MATCH(D88,Settings!$B$10:$B$18,0),""))</f>
        <v/>
      </c>
      <c r="N88">
        <f>IF(OR(B88="",E88="",M88=""),"",IF(AND(B88&gt;=Settings!$C$6,B88&lt;=Settings!$C$7),M88*10000+E88,""))</f>
        <v/>
      </c>
      <c r="O88">
        <f>IF(OR(B88="",E88=""),"",B88*10000+E88)</f>
        <v/>
      </c>
      <c r="P88">
        <f>IF(N88="","",E88)</f>
        <v/>
      </c>
    </row>
    <row r="89">
      <c r="A89" s="1" t="n"/>
      <c r="B89" s="20" t="n">
        <v>46271</v>
      </c>
      <c r="C89" s="21" t="n">
        <v>0.75</v>
      </c>
      <c r="D89" s="22" t="inlineStr">
        <is>
          <t>Before dinner</t>
        </is>
      </c>
      <c r="E89" s="23" t="n">
        <v>110</v>
      </c>
      <c r="F89" s="22" t="n"/>
      <c r="G89" s="14">
        <f>IF(OR(B89="",E89="",J89="",K89=""),"",IF(E89&lt;J89,"Below",IF(E89&gt;K89,"Above","In range")))</f>
        <v/>
      </c>
      <c r="H89" s="1" t="n"/>
      <c r="J89">
        <f>IF(M89="","",IF(INDEX(Settings!$C$10:$C$18,M89)="","",INDEX(Settings!$C$10:$C$18,M89)))</f>
        <v/>
      </c>
      <c r="K89">
        <f>IF(M89="","",IF(INDEX(Settings!$D$10:$D$18,M89)="","",INDEX(Settings!$D$10:$D$18,M89)))</f>
        <v/>
      </c>
      <c r="L89">
        <f>IF(OR(B89="",E89=""),"",B89+MOD(N(C89),1)+ROW()/10000000)</f>
        <v/>
      </c>
      <c r="M89">
        <f>IF(D89="","",IFERROR(MATCH(D89,Settings!$B$10:$B$18,0),""))</f>
        <v/>
      </c>
      <c r="N89">
        <f>IF(OR(B89="",E89="",M89=""),"",IF(AND(B89&gt;=Settings!$C$6,B89&lt;=Settings!$C$7),M89*10000+E89,""))</f>
        <v/>
      </c>
      <c r="O89">
        <f>IF(OR(B89="",E89=""),"",B89*10000+E89)</f>
        <v/>
      </c>
      <c r="P89">
        <f>IF(N89="","",E89)</f>
        <v/>
      </c>
    </row>
    <row r="90">
      <c r="A90" s="1" t="n"/>
      <c r="B90" s="20" t="n">
        <v>46271</v>
      </c>
      <c r="C90" s="21" t="n">
        <v>0.8541666666666666</v>
      </c>
      <c r="D90" s="22" t="inlineStr">
        <is>
          <t>After dinner</t>
        </is>
      </c>
      <c r="E90" s="23" t="n">
        <v>173</v>
      </c>
      <c r="F90" s="22" t="n"/>
      <c r="G90" s="14">
        <f>IF(OR(B90="",E90="",J90="",K90=""),"",IF(E90&lt;J90,"Below",IF(E90&gt;K90,"Above","In range")))</f>
        <v/>
      </c>
      <c r="H90" s="1" t="n"/>
      <c r="J90">
        <f>IF(M90="","",IF(INDEX(Settings!$C$10:$C$18,M90)="","",INDEX(Settings!$C$10:$C$18,M90)))</f>
        <v/>
      </c>
      <c r="K90">
        <f>IF(M90="","",IF(INDEX(Settings!$D$10:$D$18,M90)="","",INDEX(Settings!$D$10:$D$18,M90)))</f>
        <v/>
      </c>
      <c r="L90">
        <f>IF(OR(B90="",E90=""),"",B90+MOD(N(C90),1)+ROW()/10000000)</f>
        <v/>
      </c>
      <c r="M90">
        <f>IF(D90="","",IFERROR(MATCH(D90,Settings!$B$10:$B$18,0),""))</f>
        <v/>
      </c>
      <c r="N90">
        <f>IF(OR(B90="",E90="",M90=""),"",IF(AND(B90&gt;=Settings!$C$6,B90&lt;=Settings!$C$7),M90*10000+E90,""))</f>
        <v/>
      </c>
      <c r="O90">
        <f>IF(OR(B90="",E90=""),"",B90*10000+E90)</f>
        <v/>
      </c>
      <c r="P90">
        <f>IF(N90="","",E90)</f>
        <v/>
      </c>
    </row>
    <row r="91">
      <c r="A91" s="1" t="n"/>
      <c r="B91" s="20" t="n">
        <v>46271</v>
      </c>
      <c r="C91" s="21" t="n">
        <v>0.9270833333333334</v>
      </c>
      <c r="D91" s="22" t="inlineStr">
        <is>
          <t>Bedtime</t>
        </is>
      </c>
      <c r="E91" s="23" t="n">
        <v>232</v>
      </c>
      <c r="F91" s="22" t="inlineStr">
        <is>
          <t>Birthday cake</t>
        </is>
      </c>
      <c r="G91" s="14">
        <f>IF(OR(B91="",E91="",J91="",K91=""),"",IF(E91&lt;J91,"Below",IF(E91&gt;K91,"Above","In range")))</f>
        <v/>
      </c>
      <c r="H91" s="1" t="n"/>
      <c r="J91">
        <f>IF(M91="","",IF(INDEX(Settings!$C$10:$C$18,M91)="","",INDEX(Settings!$C$10:$C$18,M91)))</f>
        <v/>
      </c>
      <c r="K91">
        <f>IF(M91="","",IF(INDEX(Settings!$D$10:$D$18,M91)="","",INDEX(Settings!$D$10:$D$18,M91)))</f>
        <v/>
      </c>
      <c r="L91">
        <f>IF(OR(B91="",E91=""),"",B91+MOD(N(C91),1)+ROW()/10000000)</f>
        <v/>
      </c>
      <c r="M91">
        <f>IF(D91="","",IFERROR(MATCH(D91,Settings!$B$10:$B$18,0),""))</f>
        <v/>
      </c>
      <c r="N91">
        <f>IF(OR(B91="",E91="",M91=""),"",IF(AND(B91&gt;=Settings!$C$6,B91&lt;=Settings!$C$7),M91*10000+E91,""))</f>
        <v/>
      </c>
      <c r="O91">
        <f>IF(OR(B91="",E91=""),"",B91*10000+E91)</f>
        <v/>
      </c>
      <c r="P91">
        <f>IF(N91="","",E91)</f>
        <v/>
      </c>
    </row>
    <row r="92">
      <c r="A92" s="1" t="n"/>
      <c r="B92" s="20" t="n">
        <v>46272</v>
      </c>
      <c r="C92" s="21" t="n">
        <v>0.2951388888888889</v>
      </c>
      <c r="D92" s="22" t="inlineStr">
        <is>
          <t>Fasting</t>
        </is>
      </c>
      <c r="E92" s="23" t="n">
        <v>111</v>
      </c>
      <c r="F92" s="22" t="n"/>
      <c r="G92" s="14">
        <f>IF(OR(B92="",E92="",J92="",K92=""),"",IF(E92&lt;J92,"Below",IF(E92&gt;K92,"Above","In range")))</f>
        <v/>
      </c>
      <c r="H92" s="1" t="n"/>
      <c r="J92">
        <f>IF(M92="","",IF(INDEX(Settings!$C$10:$C$18,M92)="","",INDEX(Settings!$C$10:$C$18,M92)))</f>
        <v/>
      </c>
      <c r="K92">
        <f>IF(M92="","",IF(INDEX(Settings!$D$10:$D$18,M92)="","",INDEX(Settings!$D$10:$D$18,M92)))</f>
        <v/>
      </c>
      <c r="L92">
        <f>IF(OR(B92="",E92=""),"",B92+MOD(N(C92),1)+ROW()/10000000)</f>
        <v/>
      </c>
      <c r="M92">
        <f>IF(D92="","",IFERROR(MATCH(D92,Settings!$B$10:$B$18,0),""))</f>
        <v/>
      </c>
      <c r="N92">
        <f>IF(OR(B92="",E92="",M92=""),"",IF(AND(B92&gt;=Settings!$C$6,B92&lt;=Settings!$C$7),M92*10000+E92,""))</f>
        <v/>
      </c>
      <c r="O92">
        <f>IF(OR(B92="",E92=""),"",B92*10000+E92)</f>
        <v/>
      </c>
      <c r="P92">
        <f>IF(N92="","",E92)</f>
        <v/>
      </c>
    </row>
    <row r="93">
      <c r="A93" s="1" t="n"/>
      <c r="B93" s="20" t="n">
        <v>46272</v>
      </c>
      <c r="C93" s="21" t="n">
        <v>0.4027777777777778</v>
      </c>
      <c r="D93" s="22" t="inlineStr">
        <is>
          <t>After breakfast</t>
        </is>
      </c>
      <c r="E93" s="23" t="n">
        <v>164</v>
      </c>
      <c r="F93" s="22" t="n"/>
      <c r="G93" s="14">
        <f>IF(OR(B93="",E93="",J93="",K93=""),"",IF(E93&lt;J93,"Below",IF(E93&gt;K93,"Above","In range")))</f>
        <v/>
      </c>
      <c r="H93" s="1" t="n"/>
      <c r="J93">
        <f>IF(M93="","",IF(INDEX(Settings!$C$10:$C$18,M93)="","",INDEX(Settings!$C$10:$C$18,M93)))</f>
        <v/>
      </c>
      <c r="K93">
        <f>IF(M93="","",IF(INDEX(Settings!$D$10:$D$18,M93)="","",INDEX(Settings!$D$10:$D$18,M93)))</f>
        <v/>
      </c>
      <c r="L93">
        <f>IF(OR(B93="",E93=""),"",B93+MOD(N(C93),1)+ROW()/10000000)</f>
        <v/>
      </c>
      <c r="M93">
        <f>IF(D93="","",IFERROR(MATCH(D93,Settings!$B$10:$B$18,0),""))</f>
        <v/>
      </c>
      <c r="N93">
        <f>IF(OR(B93="",E93="",M93=""),"",IF(AND(B93&gt;=Settings!$C$6,B93&lt;=Settings!$C$7),M93*10000+E93,""))</f>
        <v/>
      </c>
      <c r="O93">
        <f>IF(OR(B93="",E93=""),"",B93*10000+E93)</f>
        <v/>
      </c>
      <c r="P93">
        <f>IF(N93="","",E93)</f>
        <v/>
      </c>
    </row>
    <row r="94">
      <c r="A94" s="1" t="n"/>
      <c r="B94" s="20" t="n">
        <v>46272</v>
      </c>
      <c r="C94" s="21" t="n">
        <v>0.75</v>
      </c>
      <c r="D94" s="22" t="inlineStr">
        <is>
          <t>Before dinner</t>
        </is>
      </c>
      <c r="E94" s="23" t="n">
        <v>130</v>
      </c>
      <c r="F94" s="22" t="n"/>
      <c r="G94" s="14">
        <f>IF(OR(B94="",E94="",J94="",K94=""),"",IF(E94&lt;J94,"Below",IF(E94&gt;K94,"Above","In range")))</f>
        <v/>
      </c>
      <c r="H94" s="1" t="n"/>
      <c r="J94">
        <f>IF(M94="","",IF(INDEX(Settings!$C$10:$C$18,M94)="","",INDEX(Settings!$C$10:$C$18,M94)))</f>
        <v/>
      </c>
      <c r="K94">
        <f>IF(M94="","",IF(INDEX(Settings!$D$10:$D$18,M94)="","",INDEX(Settings!$D$10:$D$18,M94)))</f>
        <v/>
      </c>
      <c r="L94">
        <f>IF(OR(B94="",E94=""),"",B94+MOD(N(C94),1)+ROW()/10000000)</f>
        <v/>
      </c>
      <c r="M94">
        <f>IF(D94="","",IFERROR(MATCH(D94,Settings!$B$10:$B$18,0),""))</f>
        <v/>
      </c>
      <c r="N94">
        <f>IF(OR(B94="",E94="",M94=""),"",IF(AND(B94&gt;=Settings!$C$6,B94&lt;=Settings!$C$7),M94*10000+E94,""))</f>
        <v/>
      </c>
      <c r="O94">
        <f>IF(OR(B94="",E94=""),"",B94*10000+E94)</f>
        <v/>
      </c>
      <c r="P94">
        <f>IF(N94="","",E94)</f>
        <v/>
      </c>
    </row>
    <row r="95">
      <c r="A95" s="1" t="n"/>
      <c r="B95" s="20" t="n">
        <v>46272</v>
      </c>
      <c r="C95" s="21" t="n">
        <v>0.84375</v>
      </c>
      <c r="D95" s="22" t="inlineStr">
        <is>
          <t>After dinner</t>
        </is>
      </c>
      <c r="E95" s="23" t="n">
        <v>149</v>
      </c>
      <c r="F95" s="22" t="n"/>
      <c r="G95" s="14">
        <f>IF(OR(B95="",E95="",J95="",K95=""),"",IF(E95&lt;J95,"Below",IF(E95&gt;K95,"Above","In range")))</f>
        <v/>
      </c>
      <c r="H95" s="1" t="n"/>
      <c r="J95">
        <f>IF(M95="","",IF(INDEX(Settings!$C$10:$C$18,M95)="","",INDEX(Settings!$C$10:$C$18,M95)))</f>
        <v/>
      </c>
      <c r="K95">
        <f>IF(M95="","",IF(INDEX(Settings!$D$10:$D$18,M95)="","",INDEX(Settings!$D$10:$D$18,M95)))</f>
        <v/>
      </c>
      <c r="L95">
        <f>IF(OR(B95="",E95=""),"",B95+MOD(N(C95),1)+ROW()/10000000)</f>
        <v/>
      </c>
      <c r="M95">
        <f>IF(D95="","",IFERROR(MATCH(D95,Settings!$B$10:$B$18,0),""))</f>
        <v/>
      </c>
      <c r="N95">
        <f>IF(OR(B95="",E95="",M95=""),"",IF(AND(B95&gt;=Settings!$C$6,B95&lt;=Settings!$C$7),M95*10000+E95,""))</f>
        <v/>
      </c>
      <c r="O95">
        <f>IF(OR(B95="",E95=""),"",B95*10000+E95)</f>
        <v/>
      </c>
      <c r="P95">
        <f>IF(N95="","",E95)</f>
        <v/>
      </c>
    </row>
    <row r="96">
      <c r="A96" s="1" t="n"/>
      <c r="B96" s="20" t="n">
        <v>46273</v>
      </c>
      <c r="C96" s="21" t="n">
        <v>0.3020833333333333</v>
      </c>
      <c r="D96" s="22" t="inlineStr">
        <is>
          <t>Fasting</t>
        </is>
      </c>
      <c r="E96" s="23" t="n">
        <v>125</v>
      </c>
      <c r="F96" s="22" t="n"/>
      <c r="G96" s="14">
        <f>IF(OR(B96="",E96="",J96="",K96=""),"",IF(E96&lt;J96,"Below",IF(E96&gt;K96,"Above","In range")))</f>
        <v/>
      </c>
      <c r="H96" s="1" t="n"/>
      <c r="J96">
        <f>IF(M96="","",IF(INDEX(Settings!$C$10:$C$18,M96)="","",INDEX(Settings!$C$10:$C$18,M96)))</f>
        <v/>
      </c>
      <c r="K96">
        <f>IF(M96="","",IF(INDEX(Settings!$D$10:$D$18,M96)="","",INDEX(Settings!$D$10:$D$18,M96)))</f>
        <v/>
      </c>
      <c r="L96">
        <f>IF(OR(B96="",E96=""),"",B96+MOD(N(C96),1)+ROW()/10000000)</f>
        <v/>
      </c>
      <c r="M96">
        <f>IF(D96="","",IFERROR(MATCH(D96,Settings!$B$10:$B$18,0),""))</f>
        <v/>
      </c>
      <c r="N96">
        <f>IF(OR(B96="",E96="",M96=""),"",IF(AND(B96&gt;=Settings!$C$6,B96&lt;=Settings!$C$7),M96*10000+E96,""))</f>
        <v/>
      </c>
      <c r="O96">
        <f>IF(OR(B96="",E96=""),"",B96*10000+E96)</f>
        <v/>
      </c>
      <c r="P96">
        <f>IF(N96="","",E96)</f>
        <v/>
      </c>
    </row>
    <row r="97">
      <c r="A97" s="1" t="n"/>
      <c r="B97" s="20" t="n">
        <v>46273</v>
      </c>
      <c r="C97" s="21" t="n">
        <v>0.3958333333333333</v>
      </c>
      <c r="D97" s="22" t="inlineStr">
        <is>
          <t>After breakfast</t>
        </is>
      </c>
      <c r="E97" s="23" t="n">
        <v>90</v>
      </c>
      <c r="F97" s="22" t="n"/>
      <c r="G97" s="14">
        <f>IF(OR(B97="",E97="",J97="",K97=""),"",IF(E97&lt;J97,"Below",IF(E97&gt;K97,"Above","In range")))</f>
        <v/>
      </c>
      <c r="H97" s="1" t="n"/>
      <c r="J97">
        <f>IF(M97="","",IF(INDEX(Settings!$C$10:$C$18,M97)="","",INDEX(Settings!$C$10:$C$18,M97)))</f>
        <v/>
      </c>
      <c r="K97">
        <f>IF(M97="","",IF(INDEX(Settings!$D$10:$D$18,M97)="","",INDEX(Settings!$D$10:$D$18,M97)))</f>
        <v/>
      </c>
      <c r="L97">
        <f>IF(OR(B97="",E97=""),"",B97+MOD(N(C97),1)+ROW()/10000000)</f>
        <v/>
      </c>
      <c r="M97">
        <f>IF(D97="","",IFERROR(MATCH(D97,Settings!$B$10:$B$18,0),""))</f>
        <v/>
      </c>
      <c r="N97">
        <f>IF(OR(B97="",E97="",M97=""),"",IF(AND(B97&gt;=Settings!$C$6,B97&lt;=Settings!$C$7),M97*10000+E97,""))</f>
        <v/>
      </c>
      <c r="O97">
        <f>IF(OR(B97="",E97=""),"",B97*10000+E97)</f>
        <v/>
      </c>
      <c r="P97">
        <f>IF(N97="","",E97)</f>
        <v/>
      </c>
    </row>
    <row r="98">
      <c r="A98" s="1" t="n"/>
      <c r="B98" s="20" t="n">
        <v>46273</v>
      </c>
      <c r="C98" s="21" t="n">
        <v>0.8541666666666666</v>
      </c>
      <c r="D98" s="22" t="inlineStr">
        <is>
          <t>After dinner</t>
        </is>
      </c>
      <c r="E98" s="23" t="n">
        <v>133</v>
      </c>
      <c r="F98" s="22" t="n"/>
      <c r="G98" s="14">
        <f>IF(OR(B98="",E98="",J98="",K98=""),"",IF(E98&lt;J98,"Below",IF(E98&gt;K98,"Above","In range")))</f>
        <v/>
      </c>
      <c r="H98" s="1" t="n"/>
      <c r="J98">
        <f>IF(M98="","",IF(INDEX(Settings!$C$10:$C$18,M98)="","",INDEX(Settings!$C$10:$C$18,M98)))</f>
        <v/>
      </c>
      <c r="K98">
        <f>IF(M98="","",IF(INDEX(Settings!$D$10:$D$18,M98)="","",INDEX(Settings!$D$10:$D$18,M98)))</f>
        <v/>
      </c>
      <c r="L98">
        <f>IF(OR(B98="",E98=""),"",B98+MOD(N(C98),1)+ROW()/10000000)</f>
        <v/>
      </c>
      <c r="M98">
        <f>IF(D98="","",IFERROR(MATCH(D98,Settings!$B$10:$B$18,0),""))</f>
        <v/>
      </c>
      <c r="N98">
        <f>IF(OR(B98="",E98="",M98=""),"",IF(AND(B98&gt;=Settings!$C$6,B98&lt;=Settings!$C$7),M98*10000+E98,""))</f>
        <v/>
      </c>
      <c r="O98">
        <f>IF(OR(B98="",E98=""),"",B98*10000+E98)</f>
        <v/>
      </c>
      <c r="P98">
        <f>IF(N98="","",E98)</f>
        <v/>
      </c>
    </row>
    <row r="99">
      <c r="A99" s="1" t="n"/>
      <c r="B99" s="20" t="n">
        <v>46273</v>
      </c>
      <c r="C99" s="21" t="n">
        <v>0.9270833333333334</v>
      </c>
      <c r="D99" s="22" t="inlineStr">
        <is>
          <t>Bedtime</t>
        </is>
      </c>
      <c r="E99" s="23" t="n">
        <v>139</v>
      </c>
      <c r="F99" s="22" t="n"/>
      <c r="G99" s="14">
        <f>IF(OR(B99="",E99="",J99="",K99=""),"",IF(E99&lt;J99,"Below",IF(E99&gt;K99,"Above","In range")))</f>
        <v/>
      </c>
      <c r="H99" s="1" t="n"/>
      <c r="J99">
        <f>IF(M99="","",IF(INDEX(Settings!$C$10:$C$18,M99)="","",INDEX(Settings!$C$10:$C$18,M99)))</f>
        <v/>
      </c>
      <c r="K99">
        <f>IF(M99="","",IF(INDEX(Settings!$D$10:$D$18,M99)="","",INDEX(Settings!$D$10:$D$18,M99)))</f>
        <v/>
      </c>
      <c r="L99">
        <f>IF(OR(B99="",E99=""),"",B99+MOD(N(C99),1)+ROW()/10000000)</f>
        <v/>
      </c>
      <c r="M99">
        <f>IF(D99="","",IFERROR(MATCH(D99,Settings!$B$10:$B$18,0),""))</f>
        <v/>
      </c>
      <c r="N99">
        <f>IF(OR(B99="",E99="",M99=""),"",IF(AND(B99&gt;=Settings!$C$6,B99&lt;=Settings!$C$7),M99*10000+E99,""))</f>
        <v/>
      </c>
      <c r="O99">
        <f>IF(OR(B99="",E99=""),"",B99*10000+E99)</f>
        <v/>
      </c>
      <c r="P99">
        <f>IF(N99="","",E99)</f>
        <v/>
      </c>
    </row>
    <row r="100">
      <c r="A100" s="1" t="n"/>
      <c r="B100" s="20" t="n">
        <v>46274</v>
      </c>
      <c r="C100" s="21" t="n">
        <v>0.2986111111111111</v>
      </c>
      <c r="D100" s="22" t="inlineStr">
        <is>
          <t>Fasting</t>
        </is>
      </c>
      <c r="E100" s="23" t="n">
        <v>123</v>
      </c>
      <c r="F100" s="22" t="n"/>
      <c r="G100" s="14">
        <f>IF(OR(B100="",E100="",J100="",K100=""),"",IF(E100&lt;J100,"Below",IF(E100&gt;K100,"Above","In range")))</f>
        <v/>
      </c>
      <c r="H100" s="1" t="n"/>
      <c r="J100">
        <f>IF(M100="","",IF(INDEX(Settings!$C$10:$C$18,M100)="","",INDEX(Settings!$C$10:$C$18,M100)))</f>
        <v/>
      </c>
      <c r="K100">
        <f>IF(M100="","",IF(INDEX(Settings!$D$10:$D$18,M100)="","",INDEX(Settings!$D$10:$D$18,M100)))</f>
        <v/>
      </c>
      <c r="L100">
        <f>IF(OR(B100="",E100=""),"",B100+MOD(N(C100),1)+ROW()/10000000)</f>
        <v/>
      </c>
      <c r="M100">
        <f>IF(D100="","",IFERROR(MATCH(D100,Settings!$B$10:$B$18,0),""))</f>
        <v/>
      </c>
      <c r="N100">
        <f>IF(OR(B100="",E100="",M100=""),"",IF(AND(B100&gt;=Settings!$C$6,B100&lt;=Settings!$C$7),M100*10000+E100,""))</f>
        <v/>
      </c>
      <c r="O100">
        <f>IF(OR(B100="",E100=""),"",B100*10000+E100)</f>
        <v/>
      </c>
      <c r="P100">
        <f>IF(N100="","",E100)</f>
        <v/>
      </c>
    </row>
    <row r="101">
      <c r="A101" s="1" t="n"/>
      <c r="B101" s="20" t="n">
        <v>46274</v>
      </c>
      <c r="C101" s="21" t="n">
        <v>0.3958333333333333</v>
      </c>
      <c r="D101" s="22" t="inlineStr">
        <is>
          <t>After breakfast</t>
        </is>
      </c>
      <c r="E101" s="23" t="n">
        <v>150</v>
      </c>
      <c r="F101" s="22" t="n"/>
      <c r="G101" s="14">
        <f>IF(OR(B101="",E101="",J101="",K101=""),"",IF(E101&lt;J101,"Below",IF(E101&gt;K101,"Above","In range")))</f>
        <v/>
      </c>
      <c r="H101" s="1" t="n"/>
      <c r="J101">
        <f>IF(M101="","",IF(INDEX(Settings!$C$10:$C$18,M101)="","",INDEX(Settings!$C$10:$C$18,M101)))</f>
        <v/>
      </c>
      <c r="K101">
        <f>IF(M101="","",IF(INDEX(Settings!$D$10:$D$18,M101)="","",INDEX(Settings!$D$10:$D$18,M101)))</f>
        <v/>
      </c>
      <c r="L101">
        <f>IF(OR(B101="",E101=""),"",B101+MOD(N(C101),1)+ROW()/10000000)</f>
        <v/>
      </c>
      <c r="M101">
        <f>IF(D101="","",IFERROR(MATCH(D101,Settings!$B$10:$B$18,0),""))</f>
        <v/>
      </c>
      <c r="N101">
        <f>IF(OR(B101="",E101="",M101=""),"",IF(AND(B101&gt;=Settings!$C$6,B101&lt;=Settings!$C$7),M101*10000+E101,""))</f>
        <v/>
      </c>
      <c r="O101">
        <f>IF(OR(B101="",E101=""),"",B101*10000+E101)</f>
        <v/>
      </c>
      <c r="P101">
        <f>IF(N101="","",E101)</f>
        <v/>
      </c>
    </row>
    <row r="102">
      <c r="A102" s="1" t="n"/>
      <c r="B102" s="20" t="n">
        <v>46274</v>
      </c>
      <c r="C102" s="21" t="n">
        <v>0.7708333333333334</v>
      </c>
      <c r="D102" s="22" t="inlineStr">
        <is>
          <t>Before dinner</t>
        </is>
      </c>
      <c r="E102" s="23" t="n">
        <v>116</v>
      </c>
      <c r="F102" s="22" t="n"/>
      <c r="G102" s="14">
        <f>IF(OR(B102="",E102="",J102="",K102=""),"",IF(E102&lt;J102,"Below",IF(E102&gt;K102,"Above","In range")))</f>
        <v/>
      </c>
      <c r="H102" s="1" t="n"/>
      <c r="J102">
        <f>IF(M102="","",IF(INDEX(Settings!$C$10:$C$18,M102)="","",INDEX(Settings!$C$10:$C$18,M102)))</f>
        <v/>
      </c>
      <c r="K102">
        <f>IF(M102="","",IF(INDEX(Settings!$D$10:$D$18,M102)="","",INDEX(Settings!$D$10:$D$18,M102)))</f>
        <v/>
      </c>
      <c r="L102">
        <f>IF(OR(B102="",E102=""),"",B102+MOD(N(C102),1)+ROW()/10000000)</f>
        <v/>
      </c>
      <c r="M102">
        <f>IF(D102="","",IFERROR(MATCH(D102,Settings!$B$10:$B$18,0),""))</f>
        <v/>
      </c>
      <c r="N102">
        <f>IF(OR(B102="",E102="",M102=""),"",IF(AND(B102&gt;=Settings!$C$6,B102&lt;=Settings!$C$7),M102*10000+E102,""))</f>
        <v/>
      </c>
      <c r="O102">
        <f>IF(OR(B102="",E102=""),"",B102*10000+E102)</f>
        <v/>
      </c>
      <c r="P102">
        <f>IF(N102="","",E102)</f>
        <v/>
      </c>
    </row>
    <row r="103">
      <c r="A103" s="1" t="n"/>
      <c r="B103" s="20" t="n">
        <v>46274</v>
      </c>
      <c r="C103" s="21" t="n">
        <v>0.8645833333333334</v>
      </c>
      <c r="D103" s="22" t="inlineStr">
        <is>
          <t>After dinner</t>
        </is>
      </c>
      <c r="E103" s="23" t="n">
        <v>186</v>
      </c>
      <c r="F103" s="22" t="n"/>
      <c r="G103" s="14">
        <f>IF(OR(B103="",E103="",J103="",K103=""),"",IF(E103&lt;J103,"Below",IF(E103&gt;K103,"Above","In range")))</f>
        <v/>
      </c>
      <c r="H103" s="1" t="n"/>
      <c r="J103">
        <f>IF(M103="","",IF(INDEX(Settings!$C$10:$C$18,M103)="","",INDEX(Settings!$C$10:$C$18,M103)))</f>
        <v/>
      </c>
      <c r="K103">
        <f>IF(M103="","",IF(INDEX(Settings!$D$10:$D$18,M103)="","",INDEX(Settings!$D$10:$D$18,M103)))</f>
        <v/>
      </c>
      <c r="L103">
        <f>IF(OR(B103="",E103=""),"",B103+MOD(N(C103),1)+ROW()/10000000)</f>
        <v/>
      </c>
      <c r="M103">
        <f>IF(D103="","",IFERROR(MATCH(D103,Settings!$B$10:$B$18,0),""))</f>
        <v/>
      </c>
      <c r="N103">
        <f>IF(OR(B103="",E103="",M103=""),"",IF(AND(B103&gt;=Settings!$C$6,B103&lt;=Settings!$C$7),M103*10000+E103,""))</f>
        <v/>
      </c>
      <c r="O103">
        <f>IF(OR(B103="",E103=""),"",B103*10000+E103)</f>
        <v/>
      </c>
      <c r="P103">
        <f>IF(N103="","",E103)</f>
        <v/>
      </c>
    </row>
    <row r="104">
      <c r="A104" s="1" t="n"/>
      <c r="B104" s="20" t="n">
        <v>46275</v>
      </c>
      <c r="C104" s="21" t="n">
        <v>0.3020833333333333</v>
      </c>
      <c r="D104" s="22" t="inlineStr">
        <is>
          <t>Fasting</t>
        </is>
      </c>
      <c r="E104" s="23" t="n">
        <v>118</v>
      </c>
      <c r="F104" s="22" t="n"/>
      <c r="G104" s="14">
        <f>IF(OR(B104="",E104="",J104="",K104=""),"",IF(E104&lt;J104,"Below",IF(E104&gt;K104,"Above","In range")))</f>
        <v/>
      </c>
      <c r="H104" s="1" t="n"/>
      <c r="J104">
        <f>IF(M104="","",IF(INDEX(Settings!$C$10:$C$18,M104)="","",INDEX(Settings!$C$10:$C$18,M104)))</f>
        <v/>
      </c>
      <c r="K104">
        <f>IF(M104="","",IF(INDEX(Settings!$D$10:$D$18,M104)="","",INDEX(Settings!$D$10:$D$18,M104)))</f>
        <v/>
      </c>
      <c r="L104">
        <f>IF(OR(B104="",E104=""),"",B104+MOD(N(C104),1)+ROW()/10000000)</f>
        <v/>
      </c>
      <c r="M104">
        <f>IF(D104="","",IFERROR(MATCH(D104,Settings!$B$10:$B$18,0),""))</f>
        <v/>
      </c>
      <c r="N104">
        <f>IF(OR(B104="",E104="",M104=""),"",IF(AND(B104&gt;=Settings!$C$6,B104&lt;=Settings!$C$7),M104*10000+E104,""))</f>
        <v/>
      </c>
      <c r="O104">
        <f>IF(OR(B104="",E104=""),"",B104*10000+E104)</f>
        <v/>
      </c>
      <c r="P104">
        <f>IF(N104="","",E104)</f>
        <v/>
      </c>
    </row>
    <row r="105">
      <c r="A105" s="1" t="n"/>
      <c r="B105" s="20" t="n">
        <v>46275</v>
      </c>
      <c r="C105" s="21" t="n">
        <v>0.4027777777777778</v>
      </c>
      <c r="D105" s="22" t="inlineStr">
        <is>
          <t>After breakfast</t>
        </is>
      </c>
      <c r="E105" s="23" t="n">
        <v>144</v>
      </c>
      <c r="F105" s="22" t="n"/>
      <c r="G105" s="14">
        <f>IF(OR(B105="",E105="",J105="",K105=""),"",IF(E105&lt;J105,"Below",IF(E105&gt;K105,"Above","In range")))</f>
        <v/>
      </c>
      <c r="H105" s="1" t="n"/>
      <c r="J105">
        <f>IF(M105="","",IF(INDEX(Settings!$C$10:$C$18,M105)="","",INDEX(Settings!$C$10:$C$18,M105)))</f>
        <v/>
      </c>
      <c r="K105">
        <f>IF(M105="","",IF(INDEX(Settings!$D$10:$D$18,M105)="","",INDEX(Settings!$D$10:$D$18,M105)))</f>
        <v/>
      </c>
      <c r="L105">
        <f>IF(OR(B105="",E105=""),"",B105+MOD(N(C105),1)+ROW()/10000000)</f>
        <v/>
      </c>
      <c r="M105">
        <f>IF(D105="","",IFERROR(MATCH(D105,Settings!$B$10:$B$18,0),""))</f>
        <v/>
      </c>
      <c r="N105">
        <f>IF(OR(B105="",E105="",M105=""),"",IF(AND(B105&gt;=Settings!$C$6,B105&lt;=Settings!$C$7),M105*10000+E105,""))</f>
        <v/>
      </c>
      <c r="O105">
        <f>IF(OR(B105="",E105=""),"",B105*10000+E105)</f>
        <v/>
      </c>
      <c r="P105">
        <f>IF(N105="","",E105)</f>
        <v/>
      </c>
    </row>
    <row r="106">
      <c r="A106" s="1" t="n"/>
      <c r="B106" s="20" t="n">
        <v>46275</v>
      </c>
      <c r="C106" s="21" t="n">
        <v>0.8541666666666666</v>
      </c>
      <c r="D106" s="22" t="inlineStr">
        <is>
          <t>After dinner</t>
        </is>
      </c>
      <c r="E106" s="23" t="n">
        <v>118</v>
      </c>
      <c r="F106" s="22" t="n"/>
      <c r="G106" s="14">
        <f>IF(OR(B106="",E106="",J106="",K106=""),"",IF(E106&lt;J106,"Below",IF(E106&gt;K106,"Above","In range")))</f>
        <v/>
      </c>
      <c r="H106" s="1" t="n"/>
      <c r="J106">
        <f>IF(M106="","",IF(INDEX(Settings!$C$10:$C$18,M106)="","",INDEX(Settings!$C$10:$C$18,M106)))</f>
        <v/>
      </c>
      <c r="K106">
        <f>IF(M106="","",IF(INDEX(Settings!$D$10:$D$18,M106)="","",INDEX(Settings!$D$10:$D$18,M106)))</f>
        <v/>
      </c>
      <c r="L106">
        <f>IF(OR(B106="",E106=""),"",B106+MOD(N(C106),1)+ROW()/10000000)</f>
        <v/>
      </c>
      <c r="M106">
        <f>IF(D106="","",IFERROR(MATCH(D106,Settings!$B$10:$B$18,0),""))</f>
        <v/>
      </c>
      <c r="N106">
        <f>IF(OR(B106="",E106="",M106=""),"",IF(AND(B106&gt;=Settings!$C$6,B106&lt;=Settings!$C$7),M106*10000+E106,""))</f>
        <v/>
      </c>
      <c r="O106">
        <f>IF(OR(B106="",E106=""),"",B106*10000+E106)</f>
        <v/>
      </c>
      <c r="P106">
        <f>IF(N106="","",E106)</f>
        <v/>
      </c>
    </row>
    <row r="107">
      <c r="A107" s="1" t="n"/>
      <c r="B107" s="20" t="n">
        <v>46276</v>
      </c>
      <c r="C107" s="21" t="n">
        <v>0.2951388888888889</v>
      </c>
      <c r="D107" s="22" t="inlineStr">
        <is>
          <t>Fasting</t>
        </is>
      </c>
      <c r="E107" s="23" t="n">
        <v>122</v>
      </c>
      <c r="F107" s="22" t="n"/>
      <c r="G107" s="14">
        <f>IF(OR(B107="",E107="",J107="",K107=""),"",IF(E107&lt;J107,"Below",IF(E107&gt;K107,"Above","In range")))</f>
        <v/>
      </c>
      <c r="H107" s="1" t="n"/>
      <c r="J107">
        <f>IF(M107="","",IF(INDEX(Settings!$C$10:$C$18,M107)="","",INDEX(Settings!$C$10:$C$18,M107)))</f>
        <v/>
      </c>
      <c r="K107">
        <f>IF(M107="","",IF(INDEX(Settings!$D$10:$D$18,M107)="","",INDEX(Settings!$D$10:$D$18,M107)))</f>
        <v/>
      </c>
      <c r="L107">
        <f>IF(OR(B107="",E107=""),"",B107+MOD(N(C107),1)+ROW()/10000000)</f>
        <v/>
      </c>
      <c r="M107">
        <f>IF(D107="","",IFERROR(MATCH(D107,Settings!$B$10:$B$18,0),""))</f>
        <v/>
      </c>
      <c r="N107">
        <f>IF(OR(B107="",E107="",M107=""),"",IF(AND(B107&gt;=Settings!$C$6,B107&lt;=Settings!$C$7),M107*10000+E107,""))</f>
        <v/>
      </c>
      <c r="O107">
        <f>IF(OR(B107="",E107=""),"",B107*10000+E107)</f>
        <v/>
      </c>
      <c r="P107">
        <f>IF(N107="","",E107)</f>
        <v/>
      </c>
    </row>
    <row r="108">
      <c r="A108" s="1" t="n"/>
      <c r="B108" s="20" t="n">
        <v>46276</v>
      </c>
      <c r="C108" s="21" t="n">
        <v>0.4027777777777778</v>
      </c>
      <c r="D108" s="22" t="inlineStr">
        <is>
          <t>After breakfast</t>
        </is>
      </c>
      <c r="E108" s="23" t="n">
        <v>151</v>
      </c>
      <c r="F108" s="22" t="n"/>
      <c r="G108" s="14">
        <f>IF(OR(B108="",E108="",J108="",K108=""),"",IF(E108&lt;J108,"Below",IF(E108&gt;K108,"Above","In range")))</f>
        <v/>
      </c>
      <c r="H108" s="1" t="n"/>
      <c r="J108">
        <f>IF(M108="","",IF(INDEX(Settings!$C$10:$C$18,M108)="","",INDEX(Settings!$C$10:$C$18,M108)))</f>
        <v/>
      </c>
      <c r="K108">
        <f>IF(M108="","",IF(INDEX(Settings!$D$10:$D$18,M108)="","",INDEX(Settings!$D$10:$D$18,M108)))</f>
        <v/>
      </c>
      <c r="L108">
        <f>IF(OR(B108="",E108=""),"",B108+MOD(N(C108),1)+ROW()/10000000)</f>
        <v/>
      </c>
      <c r="M108">
        <f>IF(D108="","",IFERROR(MATCH(D108,Settings!$B$10:$B$18,0),""))</f>
        <v/>
      </c>
      <c r="N108">
        <f>IF(OR(B108="",E108="",M108=""),"",IF(AND(B108&gt;=Settings!$C$6,B108&lt;=Settings!$C$7),M108*10000+E108,""))</f>
        <v/>
      </c>
      <c r="O108">
        <f>IF(OR(B108="",E108=""),"",B108*10000+E108)</f>
        <v/>
      </c>
      <c r="P108">
        <f>IF(N108="","",E108)</f>
        <v/>
      </c>
    </row>
    <row r="109">
      <c r="A109" s="1" t="n"/>
      <c r="B109" s="20" t="n">
        <v>46277</v>
      </c>
      <c r="C109" s="21" t="n">
        <v>0.2916666666666667</v>
      </c>
      <c r="D109" s="22" t="inlineStr">
        <is>
          <t>Fasting</t>
        </is>
      </c>
      <c r="E109" s="23" t="n">
        <v>120</v>
      </c>
      <c r="F109" s="22" t="n"/>
      <c r="G109" s="14">
        <f>IF(OR(B109="",E109="",J109="",K109=""),"",IF(E109&lt;J109,"Below",IF(E109&gt;K109,"Above","In range")))</f>
        <v/>
      </c>
      <c r="H109" s="1" t="n"/>
      <c r="J109">
        <f>IF(M109="","",IF(INDEX(Settings!$C$10:$C$18,M109)="","",INDEX(Settings!$C$10:$C$18,M109)))</f>
        <v/>
      </c>
      <c r="K109">
        <f>IF(M109="","",IF(INDEX(Settings!$D$10:$D$18,M109)="","",INDEX(Settings!$D$10:$D$18,M109)))</f>
        <v/>
      </c>
      <c r="L109">
        <f>IF(OR(B109="",E109=""),"",B109+MOD(N(C109),1)+ROW()/10000000)</f>
        <v/>
      </c>
      <c r="M109">
        <f>IF(D109="","",IFERROR(MATCH(D109,Settings!$B$10:$B$18,0),""))</f>
        <v/>
      </c>
      <c r="N109">
        <f>IF(OR(B109="",E109="",M109=""),"",IF(AND(B109&gt;=Settings!$C$6,B109&lt;=Settings!$C$7),M109*10000+E109,""))</f>
        <v/>
      </c>
      <c r="O109">
        <f>IF(OR(B109="",E109=""),"",B109*10000+E109)</f>
        <v/>
      </c>
      <c r="P109">
        <f>IF(N109="","",E109)</f>
        <v/>
      </c>
    </row>
    <row r="110">
      <c r="A110" s="1" t="n"/>
      <c r="B110" s="20" t="n">
        <v>46277</v>
      </c>
      <c r="C110" s="21" t="n">
        <v>0.4027777777777778</v>
      </c>
      <c r="D110" s="22" t="inlineStr">
        <is>
          <t>After breakfast</t>
        </is>
      </c>
      <c r="E110" s="23" t="n">
        <v>194</v>
      </c>
      <c r="F110" s="22" t="n"/>
      <c r="G110" s="14">
        <f>IF(OR(B110="",E110="",J110="",K110=""),"",IF(E110&lt;J110,"Below",IF(E110&gt;K110,"Above","In range")))</f>
        <v/>
      </c>
      <c r="H110" s="1" t="n"/>
      <c r="J110">
        <f>IF(M110="","",IF(INDEX(Settings!$C$10:$C$18,M110)="","",INDEX(Settings!$C$10:$C$18,M110)))</f>
        <v/>
      </c>
      <c r="K110">
        <f>IF(M110="","",IF(INDEX(Settings!$D$10:$D$18,M110)="","",INDEX(Settings!$D$10:$D$18,M110)))</f>
        <v/>
      </c>
      <c r="L110">
        <f>IF(OR(B110="",E110=""),"",B110+MOD(N(C110),1)+ROW()/10000000)</f>
        <v/>
      </c>
      <c r="M110">
        <f>IF(D110="","",IFERROR(MATCH(D110,Settings!$B$10:$B$18,0),""))</f>
        <v/>
      </c>
      <c r="N110">
        <f>IF(OR(B110="",E110="",M110=""),"",IF(AND(B110&gt;=Settings!$C$6,B110&lt;=Settings!$C$7),M110*10000+E110,""))</f>
        <v/>
      </c>
      <c r="O110">
        <f>IF(OR(B110="",E110=""),"",B110*10000+E110)</f>
        <v/>
      </c>
      <c r="P110">
        <f>IF(N110="","",E110)</f>
        <v/>
      </c>
    </row>
    <row r="111">
      <c r="A111" s="1" t="n"/>
      <c r="B111" s="20" t="n">
        <v>46277</v>
      </c>
      <c r="C111" s="21" t="n">
        <v>0.7708333333333334</v>
      </c>
      <c r="D111" s="22" t="inlineStr">
        <is>
          <t>Before dinner</t>
        </is>
      </c>
      <c r="E111" s="23" t="n">
        <v>114</v>
      </c>
      <c r="F111" s="22" t="n"/>
      <c r="G111" s="14">
        <f>IF(OR(B111="",E111="",J111="",K111=""),"",IF(E111&lt;J111,"Below",IF(E111&gt;K111,"Above","In range")))</f>
        <v/>
      </c>
      <c r="H111" s="1" t="n"/>
      <c r="J111">
        <f>IF(M111="","",IF(INDEX(Settings!$C$10:$C$18,M111)="","",INDEX(Settings!$C$10:$C$18,M111)))</f>
        <v/>
      </c>
      <c r="K111">
        <f>IF(M111="","",IF(INDEX(Settings!$D$10:$D$18,M111)="","",INDEX(Settings!$D$10:$D$18,M111)))</f>
        <v/>
      </c>
      <c r="L111">
        <f>IF(OR(B111="",E111=""),"",B111+MOD(N(C111),1)+ROW()/10000000)</f>
        <v/>
      </c>
      <c r="M111">
        <f>IF(D111="","",IFERROR(MATCH(D111,Settings!$B$10:$B$18,0),""))</f>
        <v/>
      </c>
      <c r="N111">
        <f>IF(OR(B111="",E111="",M111=""),"",IF(AND(B111&gt;=Settings!$C$6,B111&lt;=Settings!$C$7),M111*10000+E111,""))</f>
        <v/>
      </c>
      <c r="O111">
        <f>IF(OR(B111="",E111=""),"",B111*10000+E111)</f>
        <v/>
      </c>
      <c r="P111">
        <f>IF(N111="","",E111)</f>
        <v/>
      </c>
    </row>
    <row r="112">
      <c r="A112" s="1" t="n"/>
      <c r="B112" s="20" t="n">
        <v>46278</v>
      </c>
      <c r="C112" s="21" t="n">
        <v>0.2986111111111111</v>
      </c>
      <c r="D112" s="22" t="inlineStr">
        <is>
          <t>Fasting</t>
        </is>
      </c>
      <c r="E112" s="23" t="n">
        <v>133</v>
      </c>
      <c r="F112" s="22" t="n"/>
      <c r="G112" s="14">
        <f>IF(OR(B112="",E112="",J112="",K112=""),"",IF(E112&lt;J112,"Below",IF(E112&gt;K112,"Above","In range")))</f>
        <v/>
      </c>
      <c r="H112" s="1" t="n"/>
      <c r="J112">
        <f>IF(M112="","",IF(INDEX(Settings!$C$10:$C$18,M112)="","",INDEX(Settings!$C$10:$C$18,M112)))</f>
        <v/>
      </c>
      <c r="K112">
        <f>IF(M112="","",IF(INDEX(Settings!$D$10:$D$18,M112)="","",INDEX(Settings!$D$10:$D$18,M112)))</f>
        <v/>
      </c>
      <c r="L112">
        <f>IF(OR(B112="",E112=""),"",B112+MOD(N(C112),1)+ROW()/10000000)</f>
        <v/>
      </c>
      <c r="M112">
        <f>IF(D112="","",IFERROR(MATCH(D112,Settings!$B$10:$B$18,0),""))</f>
        <v/>
      </c>
      <c r="N112">
        <f>IF(OR(B112="",E112="",M112=""),"",IF(AND(B112&gt;=Settings!$C$6,B112&lt;=Settings!$C$7),M112*10000+E112,""))</f>
        <v/>
      </c>
      <c r="O112">
        <f>IF(OR(B112="",E112=""),"",B112*10000+E112)</f>
        <v/>
      </c>
      <c r="P112">
        <f>IF(N112="","",E112)</f>
        <v/>
      </c>
    </row>
    <row r="113">
      <c r="A113" s="1" t="n"/>
      <c r="B113" s="20" t="n">
        <v>46278</v>
      </c>
      <c r="C113" s="21" t="n">
        <v>0.40625</v>
      </c>
      <c r="D113" s="22" t="inlineStr">
        <is>
          <t>After breakfast</t>
        </is>
      </c>
      <c r="E113" s="23" t="n">
        <v>165</v>
      </c>
      <c r="F113" s="22" t="n"/>
      <c r="G113" s="14">
        <f>IF(OR(B113="",E113="",J113="",K113=""),"",IF(E113&lt;J113,"Below",IF(E113&gt;K113,"Above","In range")))</f>
        <v/>
      </c>
      <c r="H113" s="1" t="n"/>
      <c r="J113">
        <f>IF(M113="","",IF(INDEX(Settings!$C$10:$C$18,M113)="","",INDEX(Settings!$C$10:$C$18,M113)))</f>
        <v/>
      </c>
      <c r="K113">
        <f>IF(M113="","",IF(INDEX(Settings!$D$10:$D$18,M113)="","",INDEX(Settings!$D$10:$D$18,M113)))</f>
        <v/>
      </c>
      <c r="L113">
        <f>IF(OR(B113="",E113=""),"",B113+MOD(N(C113),1)+ROW()/10000000)</f>
        <v/>
      </c>
      <c r="M113">
        <f>IF(D113="","",IFERROR(MATCH(D113,Settings!$B$10:$B$18,0),""))</f>
        <v/>
      </c>
      <c r="N113">
        <f>IF(OR(B113="",E113="",M113=""),"",IF(AND(B113&gt;=Settings!$C$6,B113&lt;=Settings!$C$7),M113*10000+E113,""))</f>
        <v/>
      </c>
      <c r="O113">
        <f>IF(OR(B113="",E113=""),"",B113*10000+E113)</f>
        <v/>
      </c>
      <c r="P113">
        <f>IF(N113="","",E113)</f>
        <v/>
      </c>
    </row>
    <row r="114">
      <c r="A114" s="1" t="n"/>
      <c r="B114" s="20" t="n">
        <v>46278</v>
      </c>
      <c r="C114" s="21" t="n">
        <v>0.75</v>
      </c>
      <c r="D114" s="22" t="inlineStr">
        <is>
          <t>Before dinner</t>
        </is>
      </c>
      <c r="E114" s="23" t="n">
        <v>129</v>
      </c>
      <c r="F114" s="22" t="n"/>
      <c r="G114" s="14">
        <f>IF(OR(B114="",E114="",J114="",K114=""),"",IF(E114&lt;J114,"Below",IF(E114&gt;K114,"Above","In range")))</f>
        <v/>
      </c>
      <c r="H114" s="1" t="n"/>
      <c r="J114">
        <f>IF(M114="","",IF(INDEX(Settings!$C$10:$C$18,M114)="","",INDEX(Settings!$C$10:$C$18,M114)))</f>
        <v/>
      </c>
      <c r="K114">
        <f>IF(M114="","",IF(INDEX(Settings!$D$10:$D$18,M114)="","",INDEX(Settings!$D$10:$D$18,M114)))</f>
        <v/>
      </c>
      <c r="L114">
        <f>IF(OR(B114="",E114=""),"",B114+MOD(N(C114),1)+ROW()/10000000)</f>
        <v/>
      </c>
      <c r="M114">
        <f>IF(D114="","",IFERROR(MATCH(D114,Settings!$B$10:$B$18,0),""))</f>
        <v/>
      </c>
      <c r="N114">
        <f>IF(OR(B114="",E114="",M114=""),"",IF(AND(B114&gt;=Settings!$C$6,B114&lt;=Settings!$C$7),M114*10000+E114,""))</f>
        <v/>
      </c>
      <c r="O114">
        <f>IF(OR(B114="",E114=""),"",B114*10000+E114)</f>
        <v/>
      </c>
      <c r="P114">
        <f>IF(N114="","",E114)</f>
        <v/>
      </c>
    </row>
    <row r="115">
      <c r="A115" s="1" t="n"/>
      <c r="B115" s="20" t="n">
        <v>46278</v>
      </c>
      <c r="C115" s="21" t="n">
        <v>0.84375</v>
      </c>
      <c r="D115" s="22" t="inlineStr">
        <is>
          <t>After dinner</t>
        </is>
      </c>
      <c r="E115" s="23" t="n">
        <v>174</v>
      </c>
      <c r="F115" s="22" t="n"/>
      <c r="G115" s="14">
        <f>IF(OR(B115="",E115="",J115="",K115=""),"",IF(E115&lt;J115,"Below",IF(E115&gt;K115,"Above","In range")))</f>
        <v/>
      </c>
      <c r="H115" s="1" t="n"/>
      <c r="J115">
        <f>IF(M115="","",IF(INDEX(Settings!$C$10:$C$18,M115)="","",INDEX(Settings!$C$10:$C$18,M115)))</f>
        <v/>
      </c>
      <c r="K115">
        <f>IF(M115="","",IF(INDEX(Settings!$D$10:$D$18,M115)="","",INDEX(Settings!$D$10:$D$18,M115)))</f>
        <v/>
      </c>
      <c r="L115">
        <f>IF(OR(B115="",E115=""),"",B115+MOD(N(C115),1)+ROW()/10000000)</f>
        <v/>
      </c>
      <c r="M115">
        <f>IF(D115="","",IFERROR(MATCH(D115,Settings!$B$10:$B$18,0),""))</f>
        <v/>
      </c>
      <c r="N115">
        <f>IF(OR(B115="",E115="",M115=""),"",IF(AND(B115&gt;=Settings!$C$6,B115&lt;=Settings!$C$7),M115*10000+E115,""))</f>
        <v/>
      </c>
      <c r="O115">
        <f>IF(OR(B115="",E115=""),"",B115*10000+E115)</f>
        <v/>
      </c>
      <c r="P115">
        <f>IF(N115="","",E115)</f>
        <v/>
      </c>
    </row>
    <row r="116">
      <c r="A116" s="1" t="n"/>
      <c r="B116" s="20" t="n">
        <v>46278</v>
      </c>
      <c r="C116" s="21" t="n">
        <v>0.9270833333333334</v>
      </c>
      <c r="D116" s="22" t="inlineStr">
        <is>
          <t>Bedtime</t>
        </is>
      </c>
      <c r="E116" s="23" t="n">
        <v>126</v>
      </c>
      <c r="F116" s="22" t="n"/>
      <c r="G116" s="14">
        <f>IF(OR(B116="",E116="",J116="",K116=""),"",IF(E116&lt;J116,"Below",IF(E116&gt;K116,"Above","In range")))</f>
        <v/>
      </c>
      <c r="H116" s="1" t="n"/>
      <c r="J116">
        <f>IF(M116="","",IF(INDEX(Settings!$C$10:$C$18,M116)="","",INDEX(Settings!$C$10:$C$18,M116)))</f>
        <v/>
      </c>
      <c r="K116">
        <f>IF(M116="","",IF(INDEX(Settings!$D$10:$D$18,M116)="","",INDEX(Settings!$D$10:$D$18,M116)))</f>
        <v/>
      </c>
      <c r="L116">
        <f>IF(OR(B116="",E116=""),"",B116+MOD(N(C116),1)+ROW()/10000000)</f>
        <v/>
      </c>
      <c r="M116">
        <f>IF(D116="","",IFERROR(MATCH(D116,Settings!$B$10:$B$18,0),""))</f>
        <v/>
      </c>
      <c r="N116">
        <f>IF(OR(B116="",E116="",M116=""),"",IF(AND(B116&gt;=Settings!$C$6,B116&lt;=Settings!$C$7),M116*10000+E116,""))</f>
        <v/>
      </c>
      <c r="O116">
        <f>IF(OR(B116="",E116=""),"",B116*10000+E116)</f>
        <v/>
      </c>
      <c r="P116">
        <f>IF(N116="","",E116)</f>
        <v/>
      </c>
    </row>
    <row r="117">
      <c r="A117" s="1" t="n"/>
      <c r="B117" s="20" t="n">
        <v>46279</v>
      </c>
      <c r="C117" s="21" t="n">
        <v>0.3020833333333333</v>
      </c>
      <c r="D117" s="22" t="inlineStr">
        <is>
          <t>Fasting</t>
        </is>
      </c>
      <c r="E117" s="23" t="n">
        <v>138</v>
      </c>
      <c r="F117" s="22" t="n"/>
      <c r="G117" s="14">
        <f>IF(OR(B117="",E117="",J117="",K117=""),"",IF(E117&lt;J117,"Below",IF(E117&gt;K117,"Above","In range")))</f>
        <v/>
      </c>
      <c r="H117" s="1" t="n"/>
      <c r="J117">
        <f>IF(M117="","",IF(INDEX(Settings!$C$10:$C$18,M117)="","",INDEX(Settings!$C$10:$C$18,M117)))</f>
        <v/>
      </c>
      <c r="K117">
        <f>IF(M117="","",IF(INDEX(Settings!$D$10:$D$18,M117)="","",INDEX(Settings!$D$10:$D$18,M117)))</f>
        <v/>
      </c>
      <c r="L117">
        <f>IF(OR(B117="",E117=""),"",B117+MOD(N(C117),1)+ROW()/10000000)</f>
        <v/>
      </c>
      <c r="M117">
        <f>IF(D117="","",IFERROR(MATCH(D117,Settings!$B$10:$B$18,0),""))</f>
        <v/>
      </c>
      <c r="N117">
        <f>IF(OR(B117="",E117="",M117=""),"",IF(AND(B117&gt;=Settings!$C$6,B117&lt;=Settings!$C$7),M117*10000+E117,""))</f>
        <v/>
      </c>
      <c r="O117">
        <f>IF(OR(B117="",E117=""),"",B117*10000+E117)</f>
        <v/>
      </c>
      <c r="P117">
        <f>IF(N117="","",E117)</f>
        <v/>
      </c>
    </row>
    <row r="118">
      <c r="A118" s="1" t="n"/>
      <c r="B118" s="20" t="n">
        <v>46279</v>
      </c>
      <c r="C118" s="21" t="n">
        <v>0.40625</v>
      </c>
      <c r="D118" s="22" t="inlineStr">
        <is>
          <t>After breakfast</t>
        </is>
      </c>
      <c r="E118" s="23" t="n">
        <v>136</v>
      </c>
      <c r="F118" s="22" t="n"/>
      <c r="G118" s="14">
        <f>IF(OR(B118="",E118="",J118="",K118=""),"",IF(E118&lt;J118,"Below",IF(E118&gt;K118,"Above","In range")))</f>
        <v/>
      </c>
      <c r="H118" s="1" t="n"/>
      <c r="J118">
        <f>IF(M118="","",IF(INDEX(Settings!$C$10:$C$18,M118)="","",INDEX(Settings!$C$10:$C$18,M118)))</f>
        <v/>
      </c>
      <c r="K118">
        <f>IF(M118="","",IF(INDEX(Settings!$D$10:$D$18,M118)="","",INDEX(Settings!$D$10:$D$18,M118)))</f>
        <v/>
      </c>
      <c r="L118">
        <f>IF(OR(B118="",E118=""),"",B118+MOD(N(C118),1)+ROW()/10000000)</f>
        <v/>
      </c>
      <c r="M118">
        <f>IF(D118="","",IFERROR(MATCH(D118,Settings!$B$10:$B$18,0),""))</f>
        <v/>
      </c>
      <c r="N118">
        <f>IF(OR(B118="",E118="",M118=""),"",IF(AND(B118&gt;=Settings!$C$6,B118&lt;=Settings!$C$7),M118*10000+E118,""))</f>
        <v/>
      </c>
      <c r="O118">
        <f>IF(OR(B118="",E118=""),"",B118*10000+E118)</f>
        <v/>
      </c>
      <c r="P118">
        <f>IF(N118="","",E118)</f>
        <v/>
      </c>
    </row>
    <row r="119">
      <c r="A119" s="1" t="n"/>
      <c r="B119" s="20" t="n">
        <v>46279</v>
      </c>
      <c r="C119" s="21" t="n">
        <v>0.9270833333333334</v>
      </c>
      <c r="D119" s="22" t="inlineStr">
        <is>
          <t>Bedtime</t>
        </is>
      </c>
      <c r="E119" s="23" t="n">
        <v>128</v>
      </c>
      <c r="F119" s="22" t="inlineStr">
        <is>
          <t>Busy day, late dinner</t>
        </is>
      </c>
      <c r="G119" s="14">
        <f>IF(OR(B119="",E119="",J119="",K119=""),"",IF(E119&lt;J119,"Below",IF(E119&gt;K119,"Above","In range")))</f>
        <v/>
      </c>
      <c r="H119" s="1" t="n"/>
      <c r="J119">
        <f>IF(M119="","",IF(INDEX(Settings!$C$10:$C$18,M119)="","",INDEX(Settings!$C$10:$C$18,M119)))</f>
        <v/>
      </c>
      <c r="K119">
        <f>IF(M119="","",IF(INDEX(Settings!$D$10:$D$18,M119)="","",INDEX(Settings!$D$10:$D$18,M119)))</f>
        <v/>
      </c>
      <c r="L119">
        <f>IF(OR(B119="",E119=""),"",B119+MOD(N(C119),1)+ROW()/10000000)</f>
        <v/>
      </c>
      <c r="M119">
        <f>IF(D119="","",IFERROR(MATCH(D119,Settings!$B$10:$B$18,0),""))</f>
        <v/>
      </c>
      <c r="N119">
        <f>IF(OR(B119="",E119="",M119=""),"",IF(AND(B119&gt;=Settings!$C$6,B119&lt;=Settings!$C$7),M119*10000+E119,""))</f>
        <v/>
      </c>
      <c r="O119">
        <f>IF(OR(B119="",E119=""),"",B119*10000+E119)</f>
        <v/>
      </c>
      <c r="P119">
        <f>IF(N119="","",E119)</f>
        <v/>
      </c>
    </row>
    <row r="120">
      <c r="A120" s="1" t="n"/>
      <c r="B120" s="20" t="n">
        <v>46280</v>
      </c>
      <c r="C120" s="21" t="n">
        <v>0.3020833333333333</v>
      </c>
      <c r="D120" s="22" t="inlineStr">
        <is>
          <t>Fasting</t>
        </is>
      </c>
      <c r="E120" s="23" t="n">
        <v>126</v>
      </c>
      <c r="F120" s="22" t="n"/>
      <c r="G120" s="14">
        <f>IF(OR(B120="",E120="",J120="",K120=""),"",IF(E120&lt;J120,"Below",IF(E120&gt;K120,"Above","In range")))</f>
        <v/>
      </c>
      <c r="H120" s="1" t="n"/>
      <c r="J120">
        <f>IF(M120="","",IF(INDEX(Settings!$C$10:$C$18,M120)="","",INDEX(Settings!$C$10:$C$18,M120)))</f>
        <v/>
      </c>
      <c r="K120">
        <f>IF(M120="","",IF(INDEX(Settings!$D$10:$D$18,M120)="","",INDEX(Settings!$D$10:$D$18,M120)))</f>
        <v/>
      </c>
      <c r="L120">
        <f>IF(OR(B120="",E120=""),"",B120+MOD(N(C120),1)+ROW()/10000000)</f>
        <v/>
      </c>
      <c r="M120">
        <f>IF(D120="","",IFERROR(MATCH(D120,Settings!$B$10:$B$18,0),""))</f>
        <v/>
      </c>
      <c r="N120">
        <f>IF(OR(B120="",E120="",M120=""),"",IF(AND(B120&gt;=Settings!$C$6,B120&lt;=Settings!$C$7),M120*10000+E120,""))</f>
        <v/>
      </c>
      <c r="O120">
        <f>IF(OR(B120="",E120=""),"",B120*10000+E120)</f>
        <v/>
      </c>
      <c r="P120">
        <f>IF(N120="","",E120)</f>
        <v/>
      </c>
    </row>
    <row r="121">
      <c r="A121" s="1" t="n"/>
      <c r="B121" s="20" t="n">
        <v>46280</v>
      </c>
      <c r="C121" s="21" t="n">
        <v>0.40625</v>
      </c>
      <c r="D121" s="22" t="inlineStr">
        <is>
          <t>After breakfast</t>
        </is>
      </c>
      <c r="E121" s="23" t="n">
        <v>169</v>
      </c>
      <c r="F121" s="22" t="n"/>
      <c r="G121" s="14">
        <f>IF(OR(B121="",E121="",J121="",K121=""),"",IF(E121&lt;J121,"Below",IF(E121&gt;K121,"Above","In range")))</f>
        <v/>
      </c>
      <c r="H121" s="1" t="n"/>
      <c r="J121">
        <f>IF(M121="","",IF(INDEX(Settings!$C$10:$C$18,M121)="","",INDEX(Settings!$C$10:$C$18,M121)))</f>
        <v/>
      </c>
      <c r="K121">
        <f>IF(M121="","",IF(INDEX(Settings!$D$10:$D$18,M121)="","",INDEX(Settings!$D$10:$D$18,M121)))</f>
        <v/>
      </c>
      <c r="L121">
        <f>IF(OR(B121="",E121=""),"",B121+MOD(N(C121),1)+ROW()/10000000)</f>
        <v/>
      </c>
      <c r="M121">
        <f>IF(D121="","",IFERROR(MATCH(D121,Settings!$B$10:$B$18,0),""))</f>
        <v/>
      </c>
      <c r="N121">
        <f>IF(OR(B121="",E121="",M121=""),"",IF(AND(B121&gt;=Settings!$C$6,B121&lt;=Settings!$C$7),M121*10000+E121,""))</f>
        <v/>
      </c>
      <c r="O121">
        <f>IF(OR(B121="",E121=""),"",B121*10000+E121)</f>
        <v/>
      </c>
      <c r="P121">
        <f>IF(N121="","",E121)</f>
        <v/>
      </c>
    </row>
    <row r="122">
      <c r="A122" s="1" t="n"/>
      <c r="B122" s="20" t="n">
        <v>46280</v>
      </c>
      <c r="C122" s="21" t="n">
        <v>0.8541666666666666</v>
      </c>
      <c r="D122" s="22" t="inlineStr">
        <is>
          <t>After dinner</t>
        </is>
      </c>
      <c r="E122" s="23" t="n">
        <v>156</v>
      </c>
      <c r="F122" s="22" t="n"/>
      <c r="G122" s="14">
        <f>IF(OR(B122="",E122="",J122="",K122=""),"",IF(E122&lt;J122,"Below",IF(E122&gt;K122,"Above","In range")))</f>
        <v/>
      </c>
      <c r="H122" s="1" t="n"/>
      <c r="J122">
        <f>IF(M122="","",IF(INDEX(Settings!$C$10:$C$18,M122)="","",INDEX(Settings!$C$10:$C$18,M122)))</f>
        <v/>
      </c>
      <c r="K122">
        <f>IF(M122="","",IF(INDEX(Settings!$D$10:$D$18,M122)="","",INDEX(Settings!$D$10:$D$18,M122)))</f>
        <v/>
      </c>
      <c r="L122">
        <f>IF(OR(B122="",E122=""),"",B122+MOD(N(C122),1)+ROW()/10000000)</f>
        <v/>
      </c>
      <c r="M122">
        <f>IF(D122="","",IFERROR(MATCH(D122,Settings!$B$10:$B$18,0),""))</f>
        <v/>
      </c>
      <c r="N122">
        <f>IF(OR(B122="",E122="",M122=""),"",IF(AND(B122&gt;=Settings!$C$6,B122&lt;=Settings!$C$7),M122*10000+E122,""))</f>
        <v/>
      </c>
      <c r="O122">
        <f>IF(OR(B122="",E122=""),"",B122*10000+E122)</f>
        <v/>
      </c>
      <c r="P122">
        <f>IF(N122="","",E122)</f>
        <v/>
      </c>
    </row>
    <row r="123">
      <c r="A123" s="1" t="n"/>
      <c r="B123" s="20" t="n">
        <v>46281</v>
      </c>
      <c r="C123" s="21" t="n">
        <v>0.2951388888888889</v>
      </c>
      <c r="D123" s="22" t="inlineStr">
        <is>
          <t>Fasting</t>
        </is>
      </c>
      <c r="E123" s="23" t="n">
        <v>122</v>
      </c>
      <c r="F123" s="22" t="n"/>
      <c r="G123" s="14">
        <f>IF(OR(B123="",E123="",J123="",K123=""),"",IF(E123&lt;J123,"Below",IF(E123&gt;K123,"Above","In range")))</f>
        <v/>
      </c>
      <c r="H123" s="1" t="n"/>
      <c r="J123">
        <f>IF(M123="","",IF(INDEX(Settings!$C$10:$C$18,M123)="","",INDEX(Settings!$C$10:$C$18,M123)))</f>
        <v/>
      </c>
      <c r="K123">
        <f>IF(M123="","",IF(INDEX(Settings!$D$10:$D$18,M123)="","",INDEX(Settings!$D$10:$D$18,M123)))</f>
        <v/>
      </c>
      <c r="L123">
        <f>IF(OR(B123="",E123=""),"",B123+MOD(N(C123),1)+ROW()/10000000)</f>
        <v/>
      </c>
      <c r="M123">
        <f>IF(D123="","",IFERROR(MATCH(D123,Settings!$B$10:$B$18,0),""))</f>
        <v/>
      </c>
      <c r="N123">
        <f>IF(OR(B123="",E123="",M123=""),"",IF(AND(B123&gt;=Settings!$C$6,B123&lt;=Settings!$C$7),M123*10000+E123,""))</f>
        <v/>
      </c>
      <c r="O123">
        <f>IF(OR(B123="",E123=""),"",B123*10000+E123)</f>
        <v/>
      </c>
      <c r="P123">
        <f>IF(N123="","",E123)</f>
        <v/>
      </c>
    </row>
    <row r="124">
      <c r="A124" s="1" t="n"/>
      <c r="B124" s="20" t="n">
        <v>46281</v>
      </c>
      <c r="C124" s="21" t="n">
        <v>0.40625</v>
      </c>
      <c r="D124" s="22" t="inlineStr">
        <is>
          <t>After breakfast</t>
        </is>
      </c>
      <c r="E124" s="23" t="n">
        <v>151</v>
      </c>
      <c r="F124" s="22" t="n"/>
      <c r="G124" s="14">
        <f>IF(OR(B124="",E124="",J124="",K124=""),"",IF(E124&lt;J124,"Below",IF(E124&gt;K124,"Above","In range")))</f>
        <v/>
      </c>
      <c r="H124" s="1" t="n"/>
      <c r="J124">
        <f>IF(M124="","",IF(INDEX(Settings!$C$10:$C$18,M124)="","",INDEX(Settings!$C$10:$C$18,M124)))</f>
        <v/>
      </c>
      <c r="K124">
        <f>IF(M124="","",IF(INDEX(Settings!$D$10:$D$18,M124)="","",INDEX(Settings!$D$10:$D$18,M124)))</f>
        <v/>
      </c>
      <c r="L124">
        <f>IF(OR(B124="",E124=""),"",B124+MOD(N(C124),1)+ROW()/10000000)</f>
        <v/>
      </c>
      <c r="M124">
        <f>IF(D124="","",IFERROR(MATCH(D124,Settings!$B$10:$B$18,0),""))</f>
        <v/>
      </c>
      <c r="N124">
        <f>IF(OR(B124="",E124="",M124=""),"",IF(AND(B124&gt;=Settings!$C$6,B124&lt;=Settings!$C$7),M124*10000+E124,""))</f>
        <v/>
      </c>
      <c r="O124">
        <f>IF(OR(B124="",E124=""),"",B124*10000+E124)</f>
        <v/>
      </c>
      <c r="P124">
        <f>IF(N124="","",E124)</f>
        <v/>
      </c>
    </row>
    <row r="125">
      <c r="A125" s="1" t="n"/>
      <c r="B125" s="20" t="n">
        <v>46281</v>
      </c>
      <c r="C125" s="21" t="n">
        <v>0.7708333333333334</v>
      </c>
      <c r="D125" s="22" t="inlineStr">
        <is>
          <t>Before dinner</t>
        </is>
      </c>
      <c r="E125" s="23" t="n">
        <v>136</v>
      </c>
      <c r="F125" s="22" t="n"/>
      <c r="G125" s="14">
        <f>IF(OR(B125="",E125="",J125="",K125=""),"",IF(E125&lt;J125,"Below",IF(E125&gt;K125,"Above","In range")))</f>
        <v/>
      </c>
      <c r="H125" s="1" t="n"/>
      <c r="J125">
        <f>IF(M125="","",IF(INDEX(Settings!$C$10:$C$18,M125)="","",INDEX(Settings!$C$10:$C$18,M125)))</f>
        <v/>
      </c>
      <c r="K125">
        <f>IF(M125="","",IF(INDEX(Settings!$D$10:$D$18,M125)="","",INDEX(Settings!$D$10:$D$18,M125)))</f>
        <v/>
      </c>
      <c r="L125">
        <f>IF(OR(B125="",E125=""),"",B125+MOD(N(C125),1)+ROW()/10000000)</f>
        <v/>
      </c>
      <c r="M125">
        <f>IF(D125="","",IFERROR(MATCH(D125,Settings!$B$10:$B$18,0),""))</f>
        <v/>
      </c>
      <c r="N125">
        <f>IF(OR(B125="",E125="",M125=""),"",IF(AND(B125&gt;=Settings!$C$6,B125&lt;=Settings!$C$7),M125*10000+E125,""))</f>
        <v/>
      </c>
      <c r="O125">
        <f>IF(OR(B125="",E125=""),"",B125*10000+E125)</f>
        <v/>
      </c>
      <c r="P125">
        <f>IF(N125="","",E125)</f>
        <v/>
      </c>
    </row>
    <row r="126">
      <c r="A126" s="1" t="n"/>
      <c r="B126" s="20" t="n">
        <v>46281</v>
      </c>
      <c r="C126" s="21" t="n">
        <v>0.8541666666666666</v>
      </c>
      <c r="D126" s="22" t="inlineStr">
        <is>
          <t>After dinner</t>
        </is>
      </c>
      <c r="E126" s="23" t="n">
        <v>179</v>
      </c>
      <c r="F126" s="22" t="n"/>
      <c r="G126" s="14">
        <f>IF(OR(B126="",E126="",J126="",K126=""),"",IF(E126&lt;J126,"Below",IF(E126&gt;K126,"Above","In range")))</f>
        <v/>
      </c>
      <c r="H126" s="1" t="n"/>
      <c r="J126">
        <f>IF(M126="","",IF(INDEX(Settings!$C$10:$C$18,M126)="","",INDEX(Settings!$C$10:$C$18,M126)))</f>
        <v/>
      </c>
      <c r="K126">
        <f>IF(M126="","",IF(INDEX(Settings!$D$10:$D$18,M126)="","",INDEX(Settings!$D$10:$D$18,M126)))</f>
        <v/>
      </c>
      <c r="L126">
        <f>IF(OR(B126="",E126=""),"",B126+MOD(N(C126),1)+ROW()/10000000)</f>
        <v/>
      </c>
      <c r="M126">
        <f>IF(D126="","",IFERROR(MATCH(D126,Settings!$B$10:$B$18,0),""))</f>
        <v/>
      </c>
      <c r="N126">
        <f>IF(OR(B126="",E126="",M126=""),"",IF(AND(B126&gt;=Settings!$C$6,B126&lt;=Settings!$C$7),M126*10000+E126,""))</f>
        <v/>
      </c>
      <c r="O126">
        <f>IF(OR(B126="",E126=""),"",B126*10000+E126)</f>
        <v/>
      </c>
      <c r="P126">
        <f>IF(N126="","",E126)</f>
        <v/>
      </c>
    </row>
    <row r="127">
      <c r="A127" s="1" t="n"/>
      <c r="B127" s="20" t="n">
        <v>46281</v>
      </c>
      <c r="C127" s="21" t="n">
        <v>0.9375</v>
      </c>
      <c r="D127" s="22" t="inlineStr">
        <is>
          <t>Bedtime</t>
        </is>
      </c>
      <c r="E127" s="23" t="n">
        <v>138</v>
      </c>
      <c r="F127" s="22" t="n"/>
      <c r="G127" s="14">
        <f>IF(OR(B127="",E127="",J127="",K127=""),"",IF(E127&lt;J127,"Below",IF(E127&gt;K127,"Above","In range")))</f>
        <v/>
      </c>
      <c r="H127" s="1" t="n"/>
      <c r="J127">
        <f>IF(M127="","",IF(INDEX(Settings!$C$10:$C$18,M127)="","",INDEX(Settings!$C$10:$C$18,M127)))</f>
        <v/>
      </c>
      <c r="K127">
        <f>IF(M127="","",IF(INDEX(Settings!$D$10:$D$18,M127)="","",INDEX(Settings!$D$10:$D$18,M127)))</f>
        <v/>
      </c>
      <c r="L127">
        <f>IF(OR(B127="",E127=""),"",B127+MOD(N(C127),1)+ROW()/10000000)</f>
        <v/>
      </c>
      <c r="M127">
        <f>IF(D127="","",IFERROR(MATCH(D127,Settings!$B$10:$B$18,0),""))</f>
        <v/>
      </c>
      <c r="N127">
        <f>IF(OR(B127="",E127="",M127=""),"",IF(AND(B127&gt;=Settings!$C$6,B127&lt;=Settings!$C$7),M127*10000+E127,""))</f>
        <v/>
      </c>
      <c r="O127">
        <f>IF(OR(B127="",E127=""),"",B127*10000+E127)</f>
        <v/>
      </c>
      <c r="P127">
        <f>IF(N127="","",E127)</f>
        <v/>
      </c>
    </row>
    <row r="128">
      <c r="A128" s="1" t="n"/>
      <c r="B128" s="20" t="n">
        <v>46282</v>
      </c>
      <c r="C128" s="21" t="n">
        <v>0.2916666666666667</v>
      </c>
      <c r="D128" s="22" t="inlineStr">
        <is>
          <t>Fasting</t>
        </is>
      </c>
      <c r="E128" s="23" t="n">
        <v>130</v>
      </c>
      <c r="F128" s="22" t="n"/>
      <c r="G128" s="14">
        <f>IF(OR(B128="",E128="",J128="",K128=""),"",IF(E128&lt;J128,"Below",IF(E128&gt;K128,"Above","In range")))</f>
        <v/>
      </c>
      <c r="H128" s="1" t="n"/>
      <c r="J128">
        <f>IF(M128="","",IF(INDEX(Settings!$C$10:$C$18,M128)="","",INDEX(Settings!$C$10:$C$18,M128)))</f>
        <v/>
      </c>
      <c r="K128">
        <f>IF(M128="","",IF(INDEX(Settings!$D$10:$D$18,M128)="","",INDEX(Settings!$D$10:$D$18,M128)))</f>
        <v/>
      </c>
      <c r="L128">
        <f>IF(OR(B128="",E128=""),"",B128+MOD(N(C128),1)+ROW()/10000000)</f>
        <v/>
      </c>
      <c r="M128">
        <f>IF(D128="","",IFERROR(MATCH(D128,Settings!$B$10:$B$18,0),""))</f>
        <v/>
      </c>
      <c r="N128">
        <f>IF(OR(B128="",E128="",M128=""),"",IF(AND(B128&gt;=Settings!$C$6,B128&lt;=Settings!$C$7),M128*10000+E128,""))</f>
        <v/>
      </c>
      <c r="O128">
        <f>IF(OR(B128="",E128=""),"",B128*10000+E128)</f>
        <v/>
      </c>
      <c r="P128">
        <f>IF(N128="","",E128)</f>
        <v/>
      </c>
    </row>
    <row r="129">
      <c r="A129" s="1" t="n"/>
      <c r="B129" s="20" t="n">
        <v>46282</v>
      </c>
      <c r="C129" s="21" t="n">
        <v>0.4027777777777778</v>
      </c>
      <c r="D129" s="22" t="inlineStr">
        <is>
          <t>After breakfast</t>
        </is>
      </c>
      <c r="E129" s="23" t="n">
        <v>144</v>
      </c>
      <c r="F129" s="22" t="n"/>
      <c r="G129" s="14">
        <f>IF(OR(B129="",E129="",J129="",K129=""),"",IF(E129&lt;J129,"Below",IF(E129&gt;K129,"Above","In range")))</f>
        <v/>
      </c>
      <c r="H129" s="1" t="n"/>
      <c r="J129">
        <f>IF(M129="","",IF(INDEX(Settings!$C$10:$C$18,M129)="","",INDEX(Settings!$C$10:$C$18,M129)))</f>
        <v/>
      </c>
      <c r="K129">
        <f>IF(M129="","",IF(INDEX(Settings!$D$10:$D$18,M129)="","",INDEX(Settings!$D$10:$D$18,M129)))</f>
        <v/>
      </c>
      <c r="L129">
        <f>IF(OR(B129="",E129=""),"",B129+MOD(N(C129),1)+ROW()/10000000)</f>
        <v/>
      </c>
      <c r="M129">
        <f>IF(D129="","",IFERROR(MATCH(D129,Settings!$B$10:$B$18,0),""))</f>
        <v/>
      </c>
      <c r="N129">
        <f>IF(OR(B129="",E129="",M129=""),"",IF(AND(B129&gt;=Settings!$C$6,B129&lt;=Settings!$C$7),M129*10000+E129,""))</f>
        <v/>
      </c>
      <c r="O129">
        <f>IF(OR(B129="",E129=""),"",B129*10000+E129)</f>
        <v/>
      </c>
      <c r="P129">
        <f>IF(N129="","",E129)</f>
        <v/>
      </c>
    </row>
    <row r="130">
      <c r="A130" s="1" t="n"/>
      <c r="B130" s="20" t="n">
        <v>46282</v>
      </c>
      <c r="C130" s="21" t="n">
        <v>0.7708333333333334</v>
      </c>
      <c r="D130" s="22" t="inlineStr">
        <is>
          <t>Before dinner</t>
        </is>
      </c>
      <c r="E130" s="23" t="n">
        <v>109</v>
      </c>
      <c r="F130" s="22" t="n"/>
      <c r="G130" s="14">
        <f>IF(OR(B130="",E130="",J130="",K130=""),"",IF(E130&lt;J130,"Below",IF(E130&gt;K130,"Above","In range")))</f>
        <v/>
      </c>
      <c r="H130" s="1" t="n"/>
      <c r="J130">
        <f>IF(M130="","",IF(INDEX(Settings!$C$10:$C$18,M130)="","",INDEX(Settings!$C$10:$C$18,M130)))</f>
        <v/>
      </c>
      <c r="K130">
        <f>IF(M130="","",IF(INDEX(Settings!$D$10:$D$18,M130)="","",INDEX(Settings!$D$10:$D$18,M130)))</f>
        <v/>
      </c>
      <c r="L130">
        <f>IF(OR(B130="",E130=""),"",B130+MOD(N(C130),1)+ROW()/10000000)</f>
        <v/>
      </c>
      <c r="M130">
        <f>IF(D130="","",IFERROR(MATCH(D130,Settings!$B$10:$B$18,0),""))</f>
        <v/>
      </c>
      <c r="N130">
        <f>IF(OR(B130="",E130="",M130=""),"",IF(AND(B130&gt;=Settings!$C$6,B130&lt;=Settings!$C$7),M130*10000+E130,""))</f>
        <v/>
      </c>
      <c r="O130">
        <f>IF(OR(B130="",E130=""),"",B130*10000+E130)</f>
        <v/>
      </c>
      <c r="P130">
        <f>IF(N130="","",E130)</f>
        <v/>
      </c>
    </row>
    <row r="131">
      <c r="A131" s="1" t="n"/>
      <c r="B131" s="20" t="n">
        <v>46282</v>
      </c>
      <c r="C131" s="21" t="n">
        <v>0.9270833333333334</v>
      </c>
      <c r="D131" s="22" t="inlineStr">
        <is>
          <t>Bedtime</t>
        </is>
      </c>
      <c r="E131" s="23" t="n">
        <v>142</v>
      </c>
      <c r="F131" s="22" t="n"/>
      <c r="G131" s="14">
        <f>IF(OR(B131="",E131="",J131="",K131=""),"",IF(E131&lt;J131,"Below",IF(E131&gt;K131,"Above","In range")))</f>
        <v/>
      </c>
      <c r="H131" s="1" t="n"/>
      <c r="J131">
        <f>IF(M131="","",IF(INDEX(Settings!$C$10:$C$18,M131)="","",INDEX(Settings!$C$10:$C$18,M131)))</f>
        <v/>
      </c>
      <c r="K131">
        <f>IF(M131="","",IF(INDEX(Settings!$D$10:$D$18,M131)="","",INDEX(Settings!$D$10:$D$18,M131)))</f>
        <v/>
      </c>
      <c r="L131">
        <f>IF(OR(B131="",E131=""),"",B131+MOD(N(C131),1)+ROW()/10000000)</f>
        <v/>
      </c>
      <c r="M131">
        <f>IF(D131="","",IFERROR(MATCH(D131,Settings!$B$10:$B$18,0),""))</f>
        <v/>
      </c>
      <c r="N131">
        <f>IF(OR(B131="",E131="",M131=""),"",IF(AND(B131&gt;=Settings!$C$6,B131&lt;=Settings!$C$7),M131*10000+E131,""))</f>
        <v/>
      </c>
      <c r="O131">
        <f>IF(OR(B131="",E131=""),"",B131*10000+E131)</f>
        <v/>
      </c>
      <c r="P131">
        <f>IF(N131="","",E131)</f>
        <v/>
      </c>
    </row>
    <row r="132">
      <c r="A132" s="1" t="n"/>
      <c r="B132" s="20" t="n">
        <v>46283</v>
      </c>
      <c r="C132" s="21" t="n">
        <v>0.2986111111111111</v>
      </c>
      <c r="D132" s="22" t="inlineStr">
        <is>
          <t>Fasting</t>
        </is>
      </c>
      <c r="E132" s="23" t="n">
        <v>110</v>
      </c>
      <c r="F132" s="22" t="n"/>
      <c r="G132" s="14">
        <f>IF(OR(B132="",E132="",J132="",K132=""),"",IF(E132&lt;J132,"Below",IF(E132&gt;K132,"Above","In range")))</f>
        <v/>
      </c>
      <c r="H132" s="1" t="n"/>
      <c r="J132">
        <f>IF(M132="","",IF(INDEX(Settings!$C$10:$C$18,M132)="","",INDEX(Settings!$C$10:$C$18,M132)))</f>
        <v/>
      </c>
      <c r="K132">
        <f>IF(M132="","",IF(INDEX(Settings!$D$10:$D$18,M132)="","",INDEX(Settings!$D$10:$D$18,M132)))</f>
        <v/>
      </c>
      <c r="L132">
        <f>IF(OR(B132="",E132=""),"",B132+MOD(N(C132),1)+ROW()/10000000)</f>
        <v/>
      </c>
      <c r="M132">
        <f>IF(D132="","",IFERROR(MATCH(D132,Settings!$B$10:$B$18,0),""))</f>
        <v/>
      </c>
      <c r="N132">
        <f>IF(OR(B132="",E132="",M132=""),"",IF(AND(B132&gt;=Settings!$C$6,B132&lt;=Settings!$C$7),M132*10000+E132,""))</f>
        <v/>
      </c>
      <c r="O132">
        <f>IF(OR(B132="",E132=""),"",B132*10000+E132)</f>
        <v/>
      </c>
      <c r="P132">
        <f>IF(N132="","",E132)</f>
        <v/>
      </c>
    </row>
    <row r="133">
      <c r="A133" s="1" t="n"/>
      <c r="B133" s="20" t="n">
        <v>46283</v>
      </c>
      <c r="C133" s="21" t="n">
        <v>0.40625</v>
      </c>
      <c r="D133" s="22" t="inlineStr">
        <is>
          <t>After breakfast</t>
        </is>
      </c>
      <c r="E133" s="23" t="n">
        <v>159</v>
      </c>
      <c r="F133" s="22" t="n"/>
      <c r="G133" s="14">
        <f>IF(OR(B133="",E133="",J133="",K133=""),"",IF(E133&lt;J133,"Below",IF(E133&gt;K133,"Above","In range")))</f>
        <v/>
      </c>
      <c r="H133" s="1" t="n"/>
      <c r="J133">
        <f>IF(M133="","",IF(INDEX(Settings!$C$10:$C$18,M133)="","",INDEX(Settings!$C$10:$C$18,M133)))</f>
        <v/>
      </c>
      <c r="K133">
        <f>IF(M133="","",IF(INDEX(Settings!$D$10:$D$18,M133)="","",INDEX(Settings!$D$10:$D$18,M133)))</f>
        <v/>
      </c>
      <c r="L133">
        <f>IF(OR(B133="",E133=""),"",B133+MOD(N(C133),1)+ROW()/10000000)</f>
        <v/>
      </c>
      <c r="M133">
        <f>IF(D133="","",IFERROR(MATCH(D133,Settings!$B$10:$B$18,0),""))</f>
        <v/>
      </c>
      <c r="N133">
        <f>IF(OR(B133="",E133="",M133=""),"",IF(AND(B133&gt;=Settings!$C$6,B133&lt;=Settings!$C$7),M133*10000+E133,""))</f>
        <v/>
      </c>
      <c r="O133">
        <f>IF(OR(B133="",E133=""),"",B133*10000+E133)</f>
        <v/>
      </c>
      <c r="P133">
        <f>IF(N133="","",E133)</f>
        <v/>
      </c>
    </row>
    <row r="134">
      <c r="A134" s="1" t="n"/>
      <c r="B134" s="20" t="n">
        <v>46283</v>
      </c>
      <c r="C134" s="21" t="n">
        <v>0.7708333333333334</v>
      </c>
      <c r="D134" s="22" t="inlineStr">
        <is>
          <t>Before dinner</t>
        </is>
      </c>
      <c r="E134" s="23" t="n">
        <v>101</v>
      </c>
      <c r="F134" s="22" t="n"/>
      <c r="G134" s="14">
        <f>IF(OR(B134="",E134="",J134="",K134=""),"",IF(E134&lt;J134,"Below",IF(E134&gt;K134,"Above","In range")))</f>
        <v/>
      </c>
      <c r="H134" s="1" t="n"/>
      <c r="J134">
        <f>IF(M134="","",IF(INDEX(Settings!$C$10:$C$18,M134)="","",INDEX(Settings!$C$10:$C$18,M134)))</f>
        <v/>
      </c>
      <c r="K134">
        <f>IF(M134="","",IF(INDEX(Settings!$D$10:$D$18,M134)="","",INDEX(Settings!$D$10:$D$18,M134)))</f>
        <v/>
      </c>
      <c r="L134">
        <f>IF(OR(B134="",E134=""),"",B134+MOD(N(C134),1)+ROW()/10000000)</f>
        <v/>
      </c>
      <c r="M134">
        <f>IF(D134="","",IFERROR(MATCH(D134,Settings!$B$10:$B$18,0),""))</f>
        <v/>
      </c>
      <c r="N134">
        <f>IF(OR(B134="",E134="",M134=""),"",IF(AND(B134&gt;=Settings!$C$6,B134&lt;=Settings!$C$7),M134*10000+E134,""))</f>
        <v/>
      </c>
      <c r="O134">
        <f>IF(OR(B134="",E134=""),"",B134*10000+E134)</f>
        <v/>
      </c>
      <c r="P134">
        <f>IF(N134="","",E134)</f>
        <v/>
      </c>
    </row>
    <row r="135">
      <c r="A135" s="1" t="n"/>
      <c r="B135" s="20" t="n">
        <v>46284</v>
      </c>
      <c r="C135" s="21" t="n">
        <v>0.2951388888888889</v>
      </c>
      <c r="D135" s="22" t="inlineStr">
        <is>
          <t>Fasting</t>
        </is>
      </c>
      <c r="E135" s="23" t="n">
        <v>106</v>
      </c>
      <c r="F135" s="22" t="n"/>
      <c r="G135" s="14">
        <f>IF(OR(B135="",E135="",J135="",K135=""),"",IF(E135&lt;J135,"Below",IF(E135&gt;K135,"Above","In range")))</f>
        <v/>
      </c>
      <c r="H135" s="1" t="n"/>
      <c r="J135">
        <f>IF(M135="","",IF(INDEX(Settings!$C$10:$C$18,M135)="","",INDEX(Settings!$C$10:$C$18,M135)))</f>
        <v/>
      </c>
      <c r="K135">
        <f>IF(M135="","",IF(INDEX(Settings!$D$10:$D$18,M135)="","",INDEX(Settings!$D$10:$D$18,M135)))</f>
        <v/>
      </c>
      <c r="L135">
        <f>IF(OR(B135="",E135=""),"",B135+MOD(N(C135),1)+ROW()/10000000)</f>
        <v/>
      </c>
      <c r="M135">
        <f>IF(D135="","",IFERROR(MATCH(D135,Settings!$B$10:$B$18,0),""))</f>
        <v/>
      </c>
      <c r="N135">
        <f>IF(OR(B135="",E135="",M135=""),"",IF(AND(B135&gt;=Settings!$C$6,B135&lt;=Settings!$C$7),M135*10000+E135,""))</f>
        <v/>
      </c>
      <c r="O135">
        <f>IF(OR(B135="",E135=""),"",B135*10000+E135)</f>
        <v/>
      </c>
      <c r="P135">
        <f>IF(N135="","",E135)</f>
        <v/>
      </c>
    </row>
    <row r="136">
      <c r="A136" s="1" t="n"/>
      <c r="B136" s="20" t="n">
        <v>46284</v>
      </c>
      <c r="C136" s="21" t="n">
        <v>0.4027777777777778</v>
      </c>
      <c r="D136" s="22" t="inlineStr">
        <is>
          <t>After breakfast</t>
        </is>
      </c>
      <c r="E136" s="23" t="n">
        <v>166</v>
      </c>
      <c r="F136" s="22" t="n"/>
      <c r="G136" s="14">
        <f>IF(OR(B136="",E136="",J136="",K136=""),"",IF(E136&lt;J136,"Below",IF(E136&gt;K136,"Above","In range")))</f>
        <v/>
      </c>
      <c r="H136" s="1" t="n"/>
      <c r="J136">
        <f>IF(M136="","",IF(INDEX(Settings!$C$10:$C$18,M136)="","",INDEX(Settings!$C$10:$C$18,M136)))</f>
        <v/>
      </c>
      <c r="K136">
        <f>IF(M136="","",IF(INDEX(Settings!$D$10:$D$18,M136)="","",INDEX(Settings!$D$10:$D$18,M136)))</f>
        <v/>
      </c>
      <c r="L136">
        <f>IF(OR(B136="",E136=""),"",B136+MOD(N(C136),1)+ROW()/10000000)</f>
        <v/>
      </c>
      <c r="M136">
        <f>IF(D136="","",IFERROR(MATCH(D136,Settings!$B$10:$B$18,0),""))</f>
        <v/>
      </c>
      <c r="N136">
        <f>IF(OR(B136="",E136="",M136=""),"",IF(AND(B136&gt;=Settings!$C$6,B136&lt;=Settings!$C$7),M136*10000+E136,""))</f>
        <v/>
      </c>
      <c r="O136">
        <f>IF(OR(B136="",E136=""),"",B136*10000+E136)</f>
        <v/>
      </c>
      <c r="P136">
        <f>IF(N136="","",E136)</f>
        <v/>
      </c>
    </row>
    <row r="137">
      <c r="A137" s="1" t="n"/>
      <c r="B137" s="20" t="n">
        <v>46284</v>
      </c>
      <c r="C137" s="21" t="n">
        <v>0.7604166666666666</v>
      </c>
      <c r="D137" s="22" t="inlineStr">
        <is>
          <t>Before dinner</t>
        </is>
      </c>
      <c r="E137" s="23" t="n">
        <v>126</v>
      </c>
      <c r="F137" s="22" t="n"/>
      <c r="G137" s="14">
        <f>IF(OR(B137="",E137="",J137="",K137=""),"",IF(E137&lt;J137,"Below",IF(E137&gt;K137,"Above","In range")))</f>
        <v/>
      </c>
      <c r="H137" s="1" t="n"/>
      <c r="J137">
        <f>IF(M137="","",IF(INDEX(Settings!$C$10:$C$18,M137)="","",INDEX(Settings!$C$10:$C$18,M137)))</f>
        <v/>
      </c>
      <c r="K137">
        <f>IF(M137="","",IF(INDEX(Settings!$D$10:$D$18,M137)="","",INDEX(Settings!$D$10:$D$18,M137)))</f>
        <v/>
      </c>
      <c r="L137">
        <f>IF(OR(B137="",E137=""),"",B137+MOD(N(C137),1)+ROW()/10000000)</f>
        <v/>
      </c>
      <c r="M137">
        <f>IF(D137="","",IFERROR(MATCH(D137,Settings!$B$10:$B$18,0),""))</f>
        <v/>
      </c>
      <c r="N137">
        <f>IF(OR(B137="",E137="",M137=""),"",IF(AND(B137&gt;=Settings!$C$6,B137&lt;=Settings!$C$7),M137*10000+E137,""))</f>
        <v/>
      </c>
      <c r="O137">
        <f>IF(OR(B137="",E137=""),"",B137*10000+E137)</f>
        <v/>
      </c>
      <c r="P137">
        <f>IF(N137="","",E137)</f>
        <v/>
      </c>
    </row>
    <row r="138">
      <c r="A138" s="1" t="n"/>
      <c r="B138" s="20" t="n">
        <v>46284</v>
      </c>
      <c r="C138" s="21" t="n">
        <v>0.9375</v>
      </c>
      <c r="D138" s="22" t="inlineStr">
        <is>
          <t>Bedtime</t>
        </is>
      </c>
      <c r="E138" s="23" t="n">
        <v>132</v>
      </c>
      <c r="F138" s="22" t="n"/>
      <c r="G138" s="14">
        <f>IF(OR(B138="",E138="",J138="",K138=""),"",IF(E138&lt;J138,"Below",IF(E138&gt;K138,"Above","In range")))</f>
        <v/>
      </c>
      <c r="H138" s="1" t="n"/>
      <c r="J138">
        <f>IF(M138="","",IF(INDEX(Settings!$C$10:$C$18,M138)="","",INDEX(Settings!$C$10:$C$18,M138)))</f>
        <v/>
      </c>
      <c r="K138">
        <f>IF(M138="","",IF(INDEX(Settings!$D$10:$D$18,M138)="","",INDEX(Settings!$D$10:$D$18,M138)))</f>
        <v/>
      </c>
      <c r="L138">
        <f>IF(OR(B138="",E138=""),"",B138+MOD(N(C138),1)+ROW()/10000000)</f>
        <v/>
      </c>
      <c r="M138">
        <f>IF(D138="","",IFERROR(MATCH(D138,Settings!$B$10:$B$18,0),""))</f>
        <v/>
      </c>
      <c r="N138">
        <f>IF(OR(B138="",E138="",M138=""),"",IF(AND(B138&gt;=Settings!$C$6,B138&lt;=Settings!$C$7),M138*10000+E138,""))</f>
        <v/>
      </c>
      <c r="O138">
        <f>IF(OR(B138="",E138=""),"",B138*10000+E138)</f>
        <v/>
      </c>
      <c r="P138">
        <f>IF(N138="","",E138)</f>
        <v/>
      </c>
    </row>
    <row r="139">
      <c r="A139" s="1" t="n"/>
      <c r="B139" s="20" t="n">
        <v>46285</v>
      </c>
      <c r="C139" s="21" t="n">
        <v>0.2916666666666667</v>
      </c>
      <c r="D139" s="22" t="inlineStr">
        <is>
          <t>Fasting</t>
        </is>
      </c>
      <c r="E139" s="23" t="n">
        <v>95</v>
      </c>
      <c r="F139" s="22" t="n"/>
      <c r="G139" s="14">
        <f>IF(OR(B139="",E139="",J139="",K139=""),"",IF(E139&lt;J139,"Below",IF(E139&gt;K139,"Above","In range")))</f>
        <v/>
      </c>
      <c r="H139" s="1" t="n"/>
      <c r="J139">
        <f>IF(M139="","",IF(INDEX(Settings!$C$10:$C$18,M139)="","",INDEX(Settings!$C$10:$C$18,M139)))</f>
        <v/>
      </c>
      <c r="K139">
        <f>IF(M139="","",IF(INDEX(Settings!$D$10:$D$18,M139)="","",INDEX(Settings!$D$10:$D$18,M139)))</f>
        <v/>
      </c>
      <c r="L139">
        <f>IF(OR(B139="",E139=""),"",B139+MOD(N(C139),1)+ROW()/10000000)</f>
        <v/>
      </c>
      <c r="M139">
        <f>IF(D139="","",IFERROR(MATCH(D139,Settings!$B$10:$B$18,0),""))</f>
        <v/>
      </c>
      <c r="N139">
        <f>IF(OR(B139="",E139="",M139=""),"",IF(AND(B139&gt;=Settings!$C$6,B139&lt;=Settings!$C$7),M139*10000+E139,""))</f>
        <v/>
      </c>
      <c r="O139">
        <f>IF(OR(B139="",E139=""),"",B139*10000+E139)</f>
        <v/>
      </c>
      <c r="P139">
        <f>IF(N139="","",E139)</f>
        <v/>
      </c>
    </row>
    <row r="140">
      <c r="A140" s="1" t="n"/>
      <c r="B140" s="20" t="n">
        <v>46285</v>
      </c>
      <c r="C140" s="21" t="n">
        <v>0.40625</v>
      </c>
      <c r="D140" s="22" t="inlineStr">
        <is>
          <t>After breakfast</t>
        </is>
      </c>
      <c r="E140" s="23" t="n">
        <v>137</v>
      </c>
      <c r="F140" s="22" t="n"/>
      <c r="G140" s="14">
        <f>IF(OR(B140="",E140="",J140="",K140=""),"",IF(E140&lt;J140,"Below",IF(E140&gt;K140,"Above","In range")))</f>
        <v/>
      </c>
      <c r="H140" s="1" t="n"/>
      <c r="J140">
        <f>IF(M140="","",IF(INDEX(Settings!$C$10:$C$18,M140)="","",INDEX(Settings!$C$10:$C$18,M140)))</f>
        <v/>
      </c>
      <c r="K140">
        <f>IF(M140="","",IF(INDEX(Settings!$D$10:$D$18,M140)="","",INDEX(Settings!$D$10:$D$18,M140)))</f>
        <v/>
      </c>
      <c r="L140">
        <f>IF(OR(B140="",E140=""),"",B140+MOD(N(C140),1)+ROW()/10000000)</f>
        <v/>
      </c>
      <c r="M140">
        <f>IF(D140="","",IFERROR(MATCH(D140,Settings!$B$10:$B$18,0),""))</f>
        <v/>
      </c>
      <c r="N140">
        <f>IF(OR(B140="",E140="",M140=""),"",IF(AND(B140&gt;=Settings!$C$6,B140&lt;=Settings!$C$7),M140*10000+E140,""))</f>
        <v/>
      </c>
      <c r="O140">
        <f>IF(OR(B140="",E140=""),"",B140*10000+E140)</f>
        <v/>
      </c>
      <c r="P140">
        <f>IF(N140="","",E140)</f>
        <v/>
      </c>
    </row>
    <row r="141">
      <c r="A141" s="1" t="n"/>
      <c r="B141" s="20" t="n">
        <v>46285</v>
      </c>
      <c r="C141" s="21" t="n">
        <v>0.75</v>
      </c>
      <c r="D141" s="22" t="inlineStr">
        <is>
          <t>Before dinner</t>
        </is>
      </c>
      <c r="E141" s="23" t="n">
        <v>112</v>
      </c>
      <c r="F141" s="22" t="n"/>
      <c r="G141" s="14">
        <f>IF(OR(B141="",E141="",J141="",K141=""),"",IF(E141&lt;J141,"Below",IF(E141&gt;K141,"Above","In range")))</f>
        <v/>
      </c>
      <c r="H141" s="1" t="n"/>
      <c r="J141">
        <f>IF(M141="","",IF(INDEX(Settings!$C$10:$C$18,M141)="","",INDEX(Settings!$C$10:$C$18,M141)))</f>
        <v/>
      </c>
      <c r="K141">
        <f>IF(M141="","",IF(INDEX(Settings!$D$10:$D$18,M141)="","",INDEX(Settings!$D$10:$D$18,M141)))</f>
        <v/>
      </c>
      <c r="L141">
        <f>IF(OR(B141="",E141=""),"",B141+MOD(N(C141),1)+ROW()/10000000)</f>
        <v/>
      </c>
      <c r="M141">
        <f>IF(D141="","",IFERROR(MATCH(D141,Settings!$B$10:$B$18,0),""))</f>
        <v/>
      </c>
      <c r="N141">
        <f>IF(OR(B141="",E141="",M141=""),"",IF(AND(B141&gt;=Settings!$C$6,B141&lt;=Settings!$C$7),M141*10000+E141,""))</f>
        <v/>
      </c>
      <c r="O141">
        <f>IF(OR(B141="",E141=""),"",B141*10000+E141)</f>
        <v/>
      </c>
      <c r="P141">
        <f>IF(N141="","",E141)</f>
        <v/>
      </c>
    </row>
    <row r="142">
      <c r="A142" s="1" t="n"/>
      <c r="B142" s="20" t="n">
        <v>46286</v>
      </c>
      <c r="C142" s="21" t="n">
        <v>0.2916666666666667</v>
      </c>
      <c r="D142" s="22" t="inlineStr">
        <is>
          <t>Fasting</t>
        </is>
      </c>
      <c r="E142" s="23" t="n">
        <v>130</v>
      </c>
      <c r="F142" s="22" t="inlineStr">
        <is>
          <t>Swim in the morning</t>
        </is>
      </c>
      <c r="G142" s="14">
        <f>IF(OR(B142="",E142="",J142="",K142=""),"",IF(E142&lt;J142,"Below",IF(E142&gt;K142,"Above","In range")))</f>
        <v/>
      </c>
      <c r="H142" s="1" t="n"/>
      <c r="J142">
        <f>IF(M142="","",IF(INDEX(Settings!$C$10:$C$18,M142)="","",INDEX(Settings!$C$10:$C$18,M142)))</f>
        <v/>
      </c>
      <c r="K142">
        <f>IF(M142="","",IF(INDEX(Settings!$D$10:$D$18,M142)="","",INDEX(Settings!$D$10:$D$18,M142)))</f>
        <v/>
      </c>
      <c r="L142">
        <f>IF(OR(B142="",E142=""),"",B142+MOD(N(C142),1)+ROW()/10000000)</f>
        <v/>
      </c>
      <c r="M142">
        <f>IF(D142="","",IFERROR(MATCH(D142,Settings!$B$10:$B$18,0),""))</f>
        <v/>
      </c>
      <c r="N142">
        <f>IF(OR(B142="",E142="",M142=""),"",IF(AND(B142&gt;=Settings!$C$6,B142&lt;=Settings!$C$7),M142*10000+E142,""))</f>
        <v/>
      </c>
      <c r="O142">
        <f>IF(OR(B142="",E142=""),"",B142*10000+E142)</f>
        <v/>
      </c>
      <c r="P142">
        <f>IF(N142="","",E142)</f>
        <v/>
      </c>
    </row>
    <row r="143">
      <c r="A143" s="1" t="n"/>
      <c r="B143" s="20" t="n">
        <v>46286</v>
      </c>
      <c r="C143" s="21" t="n">
        <v>0.40625</v>
      </c>
      <c r="D143" s="22" t="inlineStr">
        <is>
          <t>After breakfast</t>
        </is>
      </c>
      <c r="E143" s="23" t="n">
        <v>146</v>
      </c>
      <c r="F143" s="22" t="n"/>
      <c r="G143" s="14">
        <f>IF(OR(B143="",E143="",J143="",K143=""),"",IF(E143&lt;J143,"Below",IF(E143&gt;K143,"Above","In range")))</f>
        <v/>
      </c>
      <c r="H143" s="1" t="n"/>
      <c r="J143">
        <f>IF(M143="","",IF(INDEX(Settings!$C$10:$C$18,M143)="","",INDEX(Settings!$C$10:$C$18,M143)))</f>
        <v/>
      </c>
      <c r="K143">
        <f>IF(M143="","",IF(INDEX(Settings!$D$10:$D$18,M143)="","",INDEX(Settings!$D$10:$D$18,M143)))</f>
        <v/>
      </c>
      <c r="L143">
        <f>IF(OR(B143="",E143=""),"",B143+MOD(N(C143),1)+ROW()/10000000)</f>
        <v/>
      </c>
      <c r="M143">
        <f>IF(D143="","",IFERROR(MATCH(D143,Settings!$B$10:$B$18,0),""))</f>
        <v/>
      </c>
      <c r="N143">
        <f>IF(OR(B143="",E143="",M143=""),"",IF(AND(B143&gt;=Settings!$C$6,B143&lt;=Settings!$C$7),M143*10000+E143,""))</f>
        <v/>
      </c>
      <c r="O143">
        <f>IF(OR(B143="",E143=""),"",B143*10000+E143)</f>
        <v/>
      </c>
      <c r="P143">
        <f>IF(N143="","",E143)</f>
        <v/>
      </c>
    </row>
    <row r="144">
      <c r="A144" s="1" t="n"/>
      <c r="B144" s="20" t="n">
        <v>46286</v>
      </c>
      <c r="C144" s="21" t="n">
        <v>0.75</v>
      </c>
      <c r="D144" s="22" t="inlineStr">
        <is>
          <t>Before dinner</t>
        </is>
      </c>
      <c r="E144" s="23" t="n">
        <v>132</v>
      </c>
      <c r="F144" s="22" t="n"/>
      <c r="G144" s="14">
        <f>IF(OR(B144="",E144="",J144="",K144=""),"",IF(E144&lt;J144,"Below",IF(E144&gt;K144,"Above","In range")))</f>
        <v/>
      </c>
      <c r="H144" s="1" t="n"/>
      <c r="J144">
        <f>IF(M144="","",IF(INDEX(Settings!$C$10:$C$18,M144)="","",INDEX(Settings!$C$10:$C$18,M144)))</f>
        <v/>
      </c>
      <c r="K144">
        <f>IF(M144="","",IF(INDEX(Settings!$D$10:$D$18,M144)="","",INDEX(Settings!$D$10:$D$18,M144)))</f>
        <v/>
      </c>
      <c r="L144">
        <f>IF(OR(B144="",E144=""),"",B144+MOD(N(C144),1)+ROW()/10000000)</f>
        <v/>
      </c>
      <c r="M144">
        <f>IF(D144="","",IFERROR(MATCH(D144,Settings!$B$10:$B$18,0),""))</f>
        <v/>
      </c>
      <c r="N144">
        <f>IF(OR(B144="",E144="",M144=""),"",IF(AND(B144&gt;=Settings!$C$6,B144&lt;=Settings!$C$7),M144*10000+E144,""))</f>
        <v/>
      </c>
      <c r="O144">
        <f>IF(OR(B144="",E144=""),"",B144*10000+E144)</f>
        <v/>
      </c>
      <c r="P144">
        <f>IF(N144="","",E144)</f>
        <v/>
      </c>
    </row>
    <row r="145">
      <c r="A145" s="1" t="n"/>
      <c r="B145" s="20" t="n">
        <v>46287</v>
      </c>
      <c r="C145" s="21" t="n">
        <v>0.3020833333333333</v>
      </c>
      <c r="D145" s="22" t="inlineStr">
        <is>
          <t>Fasting</t>
        </is>
      </c>
      <c r="E145" s="23" t="n">
        <v>103</v>
      </c>
      <c r="F145" s="22" t="n"/>
      <c r="G145" s="14">
        <f>IF(OR(B145="",E145="",J145="",K145=""),"",IF(E145&lt;J145,"Below",IF(E145&gt;K145,"Above","In range")))</f>
        <v/>
      </c>
      <c r="H145" s="1" t="n"/>
      <c r="J145">
        <f>IF(M145="","",IF(INDEX(Settings!$C$10:$C$18,M145)="","",INDEX(Settings!$C$10:$C$18,M145)))</f>
        <v/>
      </c>
      <c r="K145">
        <f>IF(M145="","",IF(INDEX(Settings!$D$10:$D$18,M145)="","",INDEX(Settings!$D$10:$D$18,M145)))</f>
        <v/>
      </c>
      <c r="L145">
        <f>IF(OR(B145="",E145=""),"",B145+MOD(N(C145),1)+ROW()/10000000)</f>
        <v/>
      </c>
      <c r="M145">
        <f>IF(D145="","",IFERROR(MATCH(D145,Settings!$B$10:$B$18,0),""))</f>
        <v/>
      </c>
      <c r="N145">
        <f>IF(OR(B145="",E145="",M145=""),"",IF(AND(B145&gt;=Settings!$C$6,B145&lt;=Settings!$C$7),M145*10000+E145,""))</f>
        <v/>
      </c>
      <c r="O145">
        <f>IF(OR(B145="",E145=""),"",B145*10000+E145)</f>
        <v/>
      </c>
      <c r="P145">
        <f>IF(N145="","",E145)</f>
        <v/>
      </c>
    </row>
    <row r="146">
      <c r="A146" s="1" t="n"/>
      <c r="B146" s="20" t="n">
        <v>46287</v>
      </c>
      <c r="C146" s="21" t="n">
        <v>0.3958333333333333</v>
      </c>
      <c r="D146" s="22" t="inlineStr">
        <is>
          <t>After breakfast</t>
        </is>
      </c>
      <c r="E146" s="23" t="n">
        <v>196</v>
      </c>
      <c r="F146" s="22" t="n"/>
      <c r="G146" s="14">
        <f>IF(OR(B146="",E146="",J146="",K146=""),"",IF(E146&lt;J146,"Below",IF(E146&gt;K146,"Above","In range")))</f>
        <v/>
      </c>
      <c r="H146" s="1" t="n"/>
      <c r="J146">
        <f>IF(M146="","",IF(INDEX(Settings!$C$10:$C$18,M146)="","",INDEX(Settings!$C$10:$C$18,M146)))</f>
        <v/>
      </c>
      <c r="K146">
        <f>IF(M146="","",IF(INDEX(Settings!$D$10:$D$18,M146)="","",INDEX(Settings!$D$10:$D$18,M146)))</f>
        <v/>
      </c>
      <c r="L146">
        <f>IF(OR(B146="",E146=""),"",B146+MOD(N(C146),1)+ROW()/10000000)</f>
        <v/>
      </c>
      <c r="M146">
        <f>IF(D146="","",IFERROR(MATCH(D146,Settings!$B$10:$B$18,0),""))</f>
        <v/>
      </c>
      <c r="N146">
        <f>IF(OR(B146="",E146="",M146=""),"",IF(AND(B146&gt;=Settings!$C$6,B146&lt;=Settings!$C$7),M146*10000+E146,""))</f>
        <v/>
      </c>
      <c r="O146">
        <f>IF(OR(B146="",E146=""),"",B146*10000+E146)</f>
        <v/>
      </c>
      <c r="P146">
        <f>IF(N146="","",E146)</f>
        <v/>
      </c>
    </row>
    <row r="147">
      <c r="A147" s="1" t="n"/>
      <c r="B147" s="20" t="n">
        <v>46287</v>
      </c>
      <c r="C147" s="21" t="n">
        <v>0.8541666666666666</v>
      </c>
      <c r="D147" s="22" t="inlineStr">
        <is>
          <t>After dinner</t>
        </is>
      </c>
      <c r="E147" s="23" t="n">
        <v>130</v>
      </c>
      <c r="F147" s="22" t="n"/>
      <c r="G147" s="14">
        <f>IF(OR(B147="",E147="",J147="",K147=""),"",IF(E147&lt;J147,"Below",IF(E147&gt;K147,"Above","In range")))</f>
        <v/>
      </c>
      <c r="H147" s="1" t="n"/>
      <c r="J147">
        <f>IF(M147="","",IF(INDEX(Settings!$C$10:$C$18,M147)="","",INDEX(Settings!$C$10:$C$18,M147)))</f>
        <v/>
      </c>
      <c r="K147">
        <f>IF(M147="","",IF(INDEX(Settings!$D$10:$D$18,M147)="","",INDEX(Settings!$D$10:$D$18,M147)))</f>
        <v/>
      </c>
      <c r="L147">
        <f>IF(OR(B147="",E147=""),"",B147+MOD(N(C147),1)+ROW()/10000000)</f>
        <v/>
      </c>
      <c r="M147">
        <f>IF(D147="","",IFERROR(MATCH(D147,Settings!$B$10:$B$18,0),""))</f>
        <v/>
      </c>
      <c r="N147">
        <f>IF(OR(B147="",E147="",M147=""),"",IF(AND(B147&gt;=Settings!$C$6,B147&lt;=Settings!$C$7),M147*10000+E147,""))</f>
        <v/>
      </c>
      <c r="O147">
        <f>IF(OR(B147="",E147=""),"",B147*10000+E147)</f>
        <v/>
      </c>
      <c r="P147">
        <f>IF(N147="","",E147)</f>
        <v/>
      </c>
    </row>
    <row r="148">
      <c r="A148" s="1" t="n"/>
      <c r="B148" s="20" t="n">
        <v>46288</v>
      </c>
      <c r="C148" s="21" t="n">
        <v>0.2951388888888889</v>
      </c>
      <c r="D148" s="22" t="inlineStr">
        <is>
          <t>Fasting</t>
        </is>
      </c>
      <c r="E148" s="23" t="n">
        <v>115</v>
      </c>
      <c r="F148" s="22" t="n"/>
      <c r="G148" s="14">
        <f>IF(OR(B148="",E148="",J148="",K148=""),"",IF(E148&lt;J148,"Below",IF(E148&gt;K148,"Above","In range")))</f>
        <v/>
      </c>
      <c r="H148" s="1" t="n"/>
      <c r="J148">
        <f>IF(M148="","",IF(INDEX(Settings!$C$10:$C$18,M148)="","",INDEX(Settings!$C$10:$C$18,M148)))</f>
        <v/>
      </c>
      <c r="K148">
        <f>IF(M148="","",IF(INDEX(Settings!$D$10:$D$18,M148)="","",INDEX(Settings!$D$10:$D$18,M148)))</f>
        <v/>
      </c>
      <c r="L148">
        <f>IF(OR(B148="",E148=""),"",B148+MOD(N(C148),1)+ROW()/10000000)</f>
        <v/>
      </c>
      <c r="M148">
        <f>IF(D148="","",IFERROR(MATCH(D148,Settings!$B$10:$B$18,0),""))</f>
        <v/>
      </c>
      <c r="N148">
        <f>IF(OR(B148="",E148="",M148=""),"",IF(AND(B148&gt;=Settings!$C$6,B148&lt;=Settings!$C$7),M148*10000+E148,""))</f>
        <v/>
      </c>
      <c r="O148">
        <f>IF(OR(B148="",E148=""),"",B148*10000+E148)</f>
        <v/>
      </c>
      <c r="P148">
        <f>IF(N148="","",E148)</f>
        <v/>
      </c>
    </row>
    <row r="149">
      <c r="A149" s="1" t="n"/>
      <c r="B149" s="20" t="n">
        <v>46288</v>
      </c>
      <c r="C149" s="21" t="n">
        <v>0.4027777777777778</v>
      </c>
      <c r="D149" s="22" t="inlineStr">
        <is>
          <t>After breakfast</t>
        </is>
      </c>
      <c r="E149" s="23" t="n">
        <v>132</v>
      </c>
      <c r="F149" s="22" t="n"/>
      <c r="G149" s="14">
        <f>IF(OR(B149="",E149="",J149="",K149=""),"",IF(E149&lt;J149,"Below",IF(E149&gt;K149,"Above","In range")))</f>
        <v/>
      </c>
      <c r="H149" s="1" t="n"/>
      <c r="J149">
        <f>IF(M149="","",IF(INDEX(Settings!$C$10:$C$18,M149)="","",INDEX(Settings!$C$10:$C$18,M149)))</f>
        <v/>
      </c>
      <c r="K149">
        <f>IF(M149="","",IF(INDEX(Settings!$D$10:$D$18,M149)="","",INDEX(Settings!$D$10:$D$18,M149)))</f>
        <v/>
      </c>
      <c r="L149">
        <f>IF(OR(B149="",E149=""),"",B149+MOD(N(C149),1)+ROW()/10000000)</f>
        <v/>
      </c>
      <c r="M149">
        <f>IF(D149="","",IFERROR(MATCH(D149,Settings!$B$10:$B$18,0),""))</f>
        <v/>
      </c>
      <c r="N149">
        <f>IF(OR(B149="",E149="",M149=""),"",IF(AND(B149&gt;=Settings!$C$6,B149&lt;=Settings!$C$7),M149*10000+E149,""))</f>
        <v/>
      </c>
      <c r="O149">
        <f>IF(OR(B149="",E149=""),"",B149*10000+E149)</f>
        <v/>
      </c>
      <c r="P149">
        <f>IF(N149="","",E149)</f>
        <v/>
      </c>
    </row>
    <row r="150">
      <c r="A150" s="1" t="n"/>
      <c r="B150" s="20" t="n">
        <v>46288</v>
      </c>
      <c r="C150" s="21" t="n">
        <v>0.5138888888888888</v>
      </c>
      <c r="D150" s="22" t="inlineStr">
        <is>
          <t>Before lunch</t>
        </is>
      </c>
      <c r="E150" s="23" t="n">
        <v>71</v>
      </c>
      <c r="F150" s="22" t="inlineStr">
        <is>
          <t>After the gym</t>
        </is>
      </c>
      <c r="G150" s="14">
        <f>IF(OR(B150="",E150="",J150="",K150=""),"",IF(E150&lt;J150,"Below",IF(E150&gt;K150,"Above","In range")))</f>
        <v/>
      </c>
      <c r="H150" s="1" t="n"/>
      <c r="J150">
        <f>IF(M150="","",IF(INDEX(Settings!$C$10:$C$18,M150)="","",INDEX(Settings!$C$10:$C$18,M150)))</f>
        <v/>
      </c>
      <c r="K150">
        <f>IF(M150="","",IF(INDEX(Settings!$D$10:$D$18,M150)="","",INDEX(Settings!$D$10:$D$18,M150)))</f>
        <v/>
      </c>
      <c r="L150">
        <f>IF(OR(B150="",E150=""),"",B150+MOD(N(C150),1)+ROW()/10000000)</f>
        <v/>
      </c>
      <c r="M150">
        <f>IF(D150="","",IFERROR(MATCH(D150,Settings!$B$10:$B$18,0),""))</f>
        <v/>
      </c>
      <c r="N150">
        <f>IF(OR(B150="",E150="",M150=""),"",IF(AND(B150&gt;=Settings!$C$6,B150&lt;=Settings!$C$7),M150*10000+E150,""))</f>
        <v/>
      </c>
      <c r="O150">
        <f>IF(OR(B150="",E150=""),"",B150*10000+E150)</f>
        <v/>
      </c>
      <c r="P150">
        <f>IF(N150="","",E150)</f>
        <v/>
      </c>
    </row>
    <row r="151">
      <c r="A151" s="1" t="n"/>
      <c r="B151" s="20" t="n">
        <v>46288</v>
      </c>
      <c r="C151" s="21" t="n">
        <v>0.9375</v>
      </c>
      <c r="D151" s="22" t="inlineStr">
        <is>
          <t>Bedtime</t>
        </is>
      </c>
      <c r="E151" s="23" t="n">
        <v>133</v>
      </c>
      <c r="F151" s="22" t="n"/>
      <c r="G151" s="14">
        <f>IF(OR(B151="",E151="",J151="",K151=""),"",IF(E151&lt;J151,"Below",IF(E151&gt;K151,"Above","In range")))</f>
        <v/>
      </c>
      <c r="H151" s="1" t="n"/>
      <c r="J151">
        <f>IF(M151="","",IF(INDEX(Settings!$C$10:$C$18,M151)="","",INDEX(Settings!$C$10:$C$18,M151)))</f>
        <v/>
      </c>
      <c r="K151">
        <f>IF(M151="","",IF(INDEX(Settings!$D$10:$D$18,M151)="","",INDEX(Settings!$D$10:$D$18,M151)))</f>
        <v/>
      </c>
      <c r="L151">
        <f>IF(OR(B151="",E151=""),"",B151+MOD(N(C151),1)+ROW()/10000000)</f>
        <v/>
      </c>
      <c r="M151">
        <f>IF(D151="","",IFERROR(MATCH(D151,Settings!$B$10:$B$18,0),""))</f>
        <v/>
      </c>
      <c r="N151">
        <f>IF(OR(B151="",E151="",M151=""),"",IF(AND(B151&gt;=Settings!$C$6,B151&lt;=Settings!$C$7),M151*10000+E151,""))</f>
        <v/>
      </c>
      <c r="O151">
        <f>IF(OR(B151="",E151=""),"",B151*10000+E151)</f>
        <v/>
      </c>
      <c r="P151">
        <f>IF(N151="","",E151)</f>
        <v/>
      </c>
    </row>
    <row r="152">
      <c r="A152" s="1" t="n"/>
      <c r="B152" s="20" t="n">
        <v>46289</v>
      </c>
      <c r="C152" s="21" t="n">
        <v>0.2951388888888889</v>
      </c>
      <c r="D152" s="22" t="inlineStr">
        <is>
          <t>Fasting</t>
        </is>
      </c>
      <c r="E152" s="23" t="n">
        <v>111</v>
      </c>
      <c r="F152" s="22" t="n"/>
      <c r="G152" s="14">
        <f>IF(OR(B152="",E152="",J152="",K152=""),"",IF(E152&lt;J152,"Below",IF(E152&gt;K152,"Above","In range")))</f>
        <v/>
      </c>
      <c r="H152" s="1" t="n"/>
      <c r="J152">
        <f>IF(M152="","",IF(INDEX(Settings!$C$10:$C$18,M152)="","",INDEX(Settings!$C$10:$C$18,M152)))</f>
        <v/>
      </c>
      <c r="K152">
        <f>IF(M152="","",IF(INDEX(Settings!$D$10:$D$18,M152)="","",INDEX(Settings!$D$10:$D$18,M152)))</f>
        <v/>
      </c>
      <c r="L152">
        <f>IF(OR(B152="",E152=""),"",B152+MOD(N(C152),1)+ROW()/10000000)</f>
        <v/>
      </c>
      <c r="M152">
        <f>IF(D152="","",IFERROR(MATCH(D152,Settings!$B$10:$B$18,0),""))</f>
        <v/>
      </c>
      <c r="N152">
        <f>IF(OR(B152="",E152="",M152=""),"",IF(AND(B152&gt;=Settings!$C$6,B152&lt;=Settings!$C$7),M152*10000+E152,""))</f>
        <v/>
      </c>
      <c r="O152">
        <f>IF(OR(B152="",E152=""),"",B152*10000+E152)</f>
        <v/>
      </c>
      <c r="P152">
        <f>IF(N152="","",E152)</f>
        <v/>
      </c>
    </row>
    <row r="153">
      <c r="A153" s="1" t="n"/>
      <c r="B153" s="20" t="n">
        <v>46289</v>
      </c>
      <c r="C153" s="21" t="n">
        <v>0.3958333333333333</v>
      </c>
      <c r="D153" s="22" t="inlineStr">
        <is>
          <t>After breakfast</t>
        </is>
      </c>
      <c r="E153" s="23" t="n">
        <v>170</v>
      </c>
      <c r="F153" s="22" t="n"/>
      <c r="G153" s="14">
        <f>IF(OR(B153="",E153="",J153="",K153=""),"",IF(E153&lt;J153,"Below",IF(E153&gt;K153,"Above","In range")))</f>
        <v/>
      </c>
      <c r="H153" s="1" t="n"/>
      <c r="J153">
        <f>IF(M153="","",IF(INDEX(Settings!$C$10:$C$18,M153)="","",INDEX(Settings!$C$10:$C$18,M153)))</f>
        <v/>
      </c>
      <c r="K153">
        <f>IF(M153="","",IF(INDEX(Settings!$D$10:$D$18,M153)="","",INDEX(Settings!$D$10:$D$18,M153)))</f>
        <v/>
      </c>
      <c r="L153">
        <f>IF(OR(B153="",E153=""),"",B153+MOD(N(C153),1)+ROW()/10000000)</f>
        <v/>
      </c>
      <c r="M153">
        <f>IF(D153="","",IFERROR(MATCH(D153,Settings!$B$10:$B$18,0),""))</f>
        <v/>
      </c>
      <c r="N153">
        <f>IF(OR(B153="",E153="",M153=""),"",IF(AND(B153&gt;=Settings!$C$6,B153&lt;=Settings!$C$7),M153*10000+E153,""))</f>
        <v/>
      </c>
      <c r="O153">
        <f>IF(OR(B153="",E153=""),"",B153*10000+E153)</f>
        <v/>
      </c>
      <c r="P153">
        <f>IF(N153="","",E153)</f>
        <v/>
      </c>
    </row>
    <row r="154">
      <c r="A154" s="1" t="n"/>
      <c r="B154" s="20" t="n">
        <v>46289</v>
      </c>
      <c r="C154" s="21" t="n">
        <v>0.7708333333333334</v>
      </c>
      <c r="D154" s="22" t="inlineStr">
        <is>
          <t>Before dinner</t>
        </is>
      </c>
      <c r="E154" s="23" t="n">
        <v>115</v>
      </c>
      <c r="F154" s="22" t="n"/>
      <c r="G154" s="14">
        <f>IF(OR(B154="",E154="",J154="",K154=""),"",IF(E154&lt;J154,"Below",IF(E154&gt;K154,"Above","In range")))</f>
        <v/>
      </c>
      <c r="H154" s="1" t="n"/>
      <c r="J154">
        <f>IF(M154="","",IF(INDEX(Settings!$C$10:$C$18,M154)="","",INDEX(Settings!$C$10:$C$18,M154)))</f>
        <v/>
      </c>
      <c r="K154">
        <f>IF(M154="","",IF(INDEX(Settings!$D$10:$D$18,M154)="","",INDEX(Settings!$D$10:$D$18,M154)))</f>
        <v/>
      </c>
      <c r="L154">
        <f>IF(OR(B154="",E154=""),"",B154+MOD(N(C154),1)+ROW()/10000000)</f>
        <v/>
      </c>
      <c r="M154">
        <f>IF(D154="","",IFERROR(MATCH(D154,Settings!$B$10:$B$18,0),""))</f>
        <v/>
      </c>
      <c r="N154">
        <f>IF(OR(B154="",E154="",M154=""),"",IF(AND(B154&gt;=Settings!$C$6,B154&lt;=Settings!$C$7),M154*10000+E154,""))</f>
        <v/>
      </c>
      <c r="O154">
        <f>IF(OR(B154="",E154=""),"",B154*10000+E154)</f>
        <v/>
      </c>
      <c r="P154">
        <f>IF(N154="","",E154)</f>
        <v/>
      </c>
    </row>
    <row r="155">
      <c r="A155" s="1" t="n"/>
      <c r="B155" s="20" t="n">
        <v>46290</v>
      </c>
      <c r="C155" s="21" t="n">
        <v>0.2916666666666667</v>
      </c>
      <c r="D155" s="22" t="inlineStr">
        <is>
          <t>Fasting</t>
        </is>
      </c>
      <c r="E155" s="23" t="n">
        <v>112</v>
      </c>
      <c r="F155" s="22" t="n"/>
      <c r="G155" s="14">
        <f>IF(OR(B155="",E155="",J155="",K155=""),"",IF(E155&lt;J155,"Below",IF(E155&gt;K155,"Above","In range")))</f>
        <v/>
      </c>
      <c r="H155" s="1" t="n"/>
      <c r="J155">
        <f>IF(M155="","",IF(INDEX(Settings!$C$10:$C$18,M155)="","",INDEX(Settings!$C$10:$C$18,M155)))</f>
        <v/>
      </c>
      <c r="K155">
        <f>IF(M155="","",IF(INDEX(Settings!$D$10:$D$18,M155)="","",INDEX(Settings!$D$10:$D$18,M155)))</f>
        <v/>
      </c>
      <c r="L155">
        <f>IF(OR(B155="",E155=""),"",B155+MOD(N(C155),1)+ROW()/10000000)</f>
        <v/>
      </c>
      <c r="M155">
        <f>IF(D155="","",IFERROR(MATCH(D155,Settings!$B$10:$B$18,0),""))</f>
        <v/>
      </c>
      <c r="N155">
        <f>IF(OR(B155="",E155="",M155=""),"",IF(AND(B155&gt;=Settings!$C$6,B155&lt;=Settings!$C$7),M155*10000+E155,""))</f>
        <v/>
      </c>
      <c r="O155">
        <f>IF(OR(B155="",E155=""),"",B155*10000+E155)</f>
        <v/>
      </c>
      <c r="P155">
        <f>IF(N155="","",E155)</f>
        <v/>
      </c>
    </row>
    <row r="156">
      <c r="A156" s="1" t="n"/>
      <c r="B156" s="20" t="n">
        <v>46290</v>
      </c>
      <c r="C156" s="21" t="n">
        <v>0.3958333333333333</v>
      </c>
      <c r="D156" s="22" t="inlineStr">
        <is>
          <t>After breakfast</t>
        </is>
      </c>
      <c r="E156" s="23" t="n">
        <v>139</v>
      </c>
      <c r="F156" s="22" t="n"/>
      <c r="G156" s="14">
        <f>IF(OR(B156="",E156="",J156="",K156=""),"",IF(E156&lt;J156,"Below",IF(E156&gt;K156,"Above","In range")))</f>
        <v/>
      </c>
      <c r="H156" s="1" t="n"/>
      <c r="J156">
        <f>IF(M156="","",IF(INDEX(Settings!$C$10:$C$18,M156)="","",INDEX(Settings!$C$10:$C$18,M156)))</f>
        <v/>
      </c>
      <c r="K156">
        <f>IF(M156="","",IF(INDEX(Settings!$D$10:$D$18,M156)="","",INDEX(Settings!$D$10:$D$18,M156)))</f>
        <v/>
      </c>
      <c r="L156">
        <f>IF(OR(B156="",E156=""),"",B156+MOD(N(C156),1)+ROW()/10000000)</f>
        <v/>
      </c>
      <c r="M156">
        <f>IF(D156="","",IFERROR(MATCH(D156,Settings!$B$10:$B$18,0),""))</f>
        <v/>
      </c>
      <c r="N156">
        <f>IF(OR(B156="",E156="",M156=""),"",IF(AND(B156&gt;=Settings!$C$6,B156&lt;=Settings!$C$7),M156*10000+E156,""))</f>
        <v/>
      </c>
      <c r="O156">
        <f>IF(OR(B156="",E156=""),"",B156*10000+E156)</f>
        <v/>
      </c>
      <c r="P156">
        <f>IF(N156="","",E156)</f>
        <v/>
      </c>
    </row>
    <row r="157">
      <c r="A157" s="1" t="n"/>
      <c r="B157" s="20" t="n">
        <v>46290</v>
      </c>
      <c r="C157" s="21" t="n">
        <v>0.7604166666666666</v>
      </c>
      <c r="D157" s="22" t="inlineStr">
        <is>
          <t>Before dinner</t>
        </is>
      </c>
      <c r="E157" s="23" t="n">
        <v>104</v>
      </c>
      <c r="F157" s="22" t="n"/>
      <c r="G157" s="14">
        <f>IF(OR(B157="",E157="",J157="",K157=""),"",IF(E157&lt;J157,"Below",IF(E157&gt;K157,"Above","In range")))</f>
        <v/>
      </c>
      <c r="H157" s="1" t="n"/>
      <c r="J157">
        <f>IF(M157="","",IF(INDEX(Settings!$C$10:$C$18,M157)="","",INDEX(Settings!$C$10:$C$18,M157)))</f>
        <v/>
      </c>
      <c r="K157">
        <f>IF(M157="","",IF(INDEX(Settings!$D$10:$D$18,M157)="","",INDEX(Settings!$D$10:$D$18,M157)))</f>
        <v/>
      </c>
      <c r="L157">
        <f>IF(OR(B157="",E157=""),"",B157+MOD(N(C157),1)+ROW()/10000000)</f>
        <v/>
      </c>
      <c r="M157">
        <f>IF(D157="","",IFERROR(MATCH(D157,Settings!$B$10:$B$18,0),""))</f>
        <v/>
      </c>
      <c r="N157">
        <f>IF(OR(B157="",E157="",M157=""),"",IF(AND(B157&gt;=Settings!$C$6,B157&lt;=Settings!$C$7),M157*10000+E157,""))</f>
        <v/>
      </c>
      <c r="O157">
        <f>IF(OR(B157="",E157=""),"",B157*10000+E157)</f>
        <v/>
      </c>
      <c r="P157">
        <f>IF(N157="","",E157)</f>
        <v/>
      </c>
    </row>
    <row r="158">
      <c r="A158" s="1" t="n"/>
      <c r="B158" s="20" t="n">
        <v>46291</v>
      </c>
      <c r="C158" s="21" t="n">
        <v>0.1319444444444444</v>
      </c>
      <c r="D158" s="22" t="inlineStr">
        <is>
          <t>Night</t>
        </is>
      </c>
      <c r="E158" s="23" t="n">
        <v>102</v>
      </c>
      <c r="F158" s="22" t="inlineStr">
        <is>
          <t>Woke up, checked</t>
        </is>
      </c>
      <c r="G158" s="14">
        <f>IF(OR(B158="",E158="",J158="",K158=""),"",IF(E158&lt;J158,"Below",IF(E158&gt;K158,"Above","In range")))</f>
        <v/>
      </c>
      <c r="H158" s="1" t="n"/>
      <c r="J158">
        <f>IF(M158="","",IF(INDEX(Settings!$C$10:$C$18,M158)="","",INDEX(Settings!$C$10:$C$18,M158)))</f>
        <v/>
      </c>
      <c r="K158">
        <f>IF(M158="","",IF(INDEX(Settings!$D$10:$D$18,M158)="","",INDEX(Settings!$D$10:$D$18,M158)))</f>
        <v/>
      </c>
      <c r="L158">
        <f>IF(OR(B158="",E158=""),"",B158+MOD(N(C158),1)+ROW()/10000000)</f>
        <v/>
      </c>
      <c r="M158">
        <f>IF(D158="","",IFERROR(MATCH(D158,Settings!$B$10:$B$18,0),""))</f>
        <v/>
      </c>
      <c r="N158">
        <f>IF(OR(B158="",E158="",M158=""),"",IF(AND(B158&gt;=Settings!$C$6,B158&lt;=Settings!$C$7),M158*10000+E158,""))</f>
        <v/>
      </c>
      <c r="O158">
        <f>IF(OR(B158="",E158=""),"",B158*10000+E158)</f>
        <v/>
      </c>
      <c r="P158">
        <f>IF(N158="","",E158)</f>
        <v/>
      </c>
    </row>
    <row r="159">
      <c r="A159" s="1" t="n"/>
      <c r="B159" s="20" t="n">
        <v>46291</v>
      </c>
      <c r="C159" s="21" t="n">
        <v>0.2916666666666667</v>
      </c>
      <c r="D159" s="22" t="inlineStr">
        <is>
          <t>Fasting</t>
        </is>
      </c>
      <c r="E159" s="23" t="n">
        <v>125</v>
      </c>
      <c r="F159" s="22" t="n"/>
      <c r="G159" s="14">
        <f>IF(OR(B159="",E159="",J159="",K159=""),"",IF(E159&lt;J159,"Below",IF(E159&gt;K159,"Above","In range")))</f>
        <v/>
      </c>
      <c r="H159" s="1" t="n"/>
      <c r="J159">
        <f>IF(M159="","",IF(INDEX(Settings!$C$10:$C$18,M159)="","",INDEX(Settings!$C$10:$C$18,M159)))</f>
        <v/>
      </c>
      <c r="K159">
        <f>IF(M159="","",IF(INDEX(Settings!$D$10:$D$18,M159)="","",INDEX(Settings!$D$10:$D$18,M159)))</f>
        <v/>
      </c>
      <c r="L159">
        <f>IF(OR(B159="",E159=""),"",B159+MOD(N(C159),1)+ROW()/10000000)</f>
        <v/>
      </c>
      <c r="M159">
        <f>IF(D159="","",IFERROR(MATCH(D159,Settings!$B$10:$B$18,0),""))</f>
        <v/>
      </c>
      <c r="N159">
        <f>IF(OR(B159="",E159="",M159=""),"",IF(AND(B159&gt;=Settings!$C$6,B159&lt;=Settings!$C$7),M159*10000+E159,""))</f>
        <v/>
      </c>
      <c r="O159">
        <f>IF(OR(B159="",E159=""),"",B159*10000+E159)</f>
        <v/>
      </c>
      <c r="P159">
        <f>IF(N159="","",E159)</f>
        <v/>
      </c>
    </row>
    <row r="160">
      <c r="A160" s="1" t="n"/>
      <c r="B160" s="20" t="n">
        <v>46291</v>
      </c>
      <c r="C160" s="21" t="n">
        <v>0.3958333333333333</v>
      </c>
      <c r="D160" s="22" t="inlineStr">
        <is>
          <t>After breakfast</t>
        </is>
      </c>
      <c r="E160" s="23" t="n">
        <v>167</v>
      </c>
      <c r="F160" s="22" t="n"/>
      <c r="G160" s="14">
        <f>IF(OR(B160="",E160="",J160="",K160=""),"",IF(E160&lt;J160,"Below",IF(E160&gt;K160,"Above","In range")))</f>
        <v/>
      </c>
      <c r="H160" s="1" t="n"/>
      <c r="J160">
        <f>IF(M160="","",IF(INDEX(Settings!$C$10:$C$18,M160)="","",INDEX(Settings!$C$10:$C$18,M160)))</f>
        <v/>
      </c>
      <c r="K160">
        <f>IF(M160="","",IF(INDEX(Settings!$D$10:$D$18,M160)="","",INDEX(Settings!$D$10:$D$18,M160)))</f>
        <v/>
      </c>
      <c r="L160">
        <f>IF(OR(B160="",E160=""),"",B160+MOD(N(C160),1)+ROW()/10000000)</f>
        <v/>
      </c>
      <c r="M160">
        <f>IF(D160="","",IFERROR(MATCH(D160,Settings!$B$10:$B$18,0),""))</f>
        <v/>
      </c>
      <c r="N160">
        <f>IF(OR(B160="",E160="",M160=""),"",IF(AND(B160&gt;=Settings!$C$6,B160&lt;=Settings!$C$7),M160*10000+E160,""))</f>
        <v/>
      </c>
      <c r="O160">
        <f>IF(OR(B160="",E160=""),"",B160*10000+E160)</f>
        <v/>
      </c>
      <c r="P160">
        <f>IF(N160="","",E160)</f>
        <v/>
      </c>
    </row>
    <row r="161">
      <c r="A161" s="1" t="n"/>
      <c r="B161" s="20" t="n">
        <v>46291</v>
      </c>
      <c r="C161" s="21" t="n">
        <v>0.7604166666666666</v>
      </c>
      <c r="D161" s="22" t="inlineStr">
        <is>
          <t>Before dinner</t>
        </is>
      </c>
      <c r="E161" s="23" t="n">
        <v>120</v>
      </c>
      <c r="F161" s="22" t="n"/>
      <c r="G161" s="14">
        <f>IF(OR(B161="",E161="",J161="",K161=""),"",IF(E161&lt;J161,"Below",IF(E161&gt;K161,"Above","In range")))</f>
        <v/>
      </c>
      <c r="H161" s="1" t="n"/>
      <c r="J161">
        <f>IF(M161="","",IF(INDEX(Settings!$C$10:$C$18,M161)="","",INDEX(Settings!$C$10:$C$18,M161)))</f>
        <v/>
      </c>
      <c r="K161">
        <f>IF(M161="","",IF(INDEX(Settings!$D$10:$D$18,M161)="","",INDEX(Settings!$D$10:$D$18,M161)))</f>
        <v/>
      </c>
      <c r="L161">
        <f>IF(OR(B161="",E161=""),"",B161+MOD(N(C161),1)+ROW()/10000000)</f>
        <v/>
      </c>
      <c r="M161">
        <f>IF(D161="","",IFERROR(MATCH(D161,Settings!$B$10:$B$18,0),""))</f>
        <v/>
      </c>
      <c r="N161">
        <f>IF(OR(B161="",E161="",M161=""),"",IF(AND(B161&gt;=Settings!$C$6,B161&lt;=Settings!$C$7),M161*10000+E161,""))</f>
        <v/>
      </c>
      <c r="O161">
        <f>IF(OR(B161="",E161=""),"",B161*10000+E161)</f>
        <v/>
      </c>
      <c r="P161">
        <f>IF(N161="","",E161)</f>
        <v/>
      </c>
    </row>
    <row r="162">
      <c r="A162" s="1" t="n"/>
      <c r="B162" s="20" t="n">
        <v>46291</v>
      </c>
      <c r="C162" s="21" t="n">
        <v>0.8541666666666666</v>
      </c>
      <c r="D162" s="22" t="inlineStr">
        <is>
          <t>After dinner</t>
        </is>
      </c>
      <c r="E162" s="23" t="n">
        <v>155</v>
      </c>
      <c r="F162" s="22" t="n"/>
      <c r="G162" s="14">
        <f>IF(OR(B162="",E162="",J162="",K162=""),"",IF(E162&lt;J162,"Below",IF(E162&gt;K162,"Above","In range")))</f>
        <v/>
      </c>
      <c r="H162" s="1" t="n"/>
      <c r="J162">
        <f>IF(M162="","",IF(INDEX(Settings!$C$10:$C$18,M162)="","",INDEX(Settings!$C$10:$C$18,M162)))</f>
        <v/>
      </c>
      <c r="K162">
        <f>IF(M162="","",IF(INDEX(Settings!$D$10:$D$18,M162)="","",INDEX(Settings!$D$10:$D$18,M162)))</f>
        <v/>
      </c>
      <c r="L162">
        <f>IF(OR(B162="",E162=""),"",B162+MOD(N(C162),1)+ROW()/10000000)</f>
        <v/>
      </c>
      <c r="M162">
        <f>IF(D162="","",IFERROR(MATCH(D162,Settings!$B$10:$B$18,0),""))</f>
        <v/>
      </c>
      <c r="N162">
        <f>IF(OR(B162="",E162="",M162=""),"",IF(AND(B162&gt;=Settings!$C$6,B162&lt;=Settings!$C$7),M162*10000+E162,""))</f>
        <v/>
      </c>
      <c r="O162">
        <f>IF(OR(B162="",E162=""),"",B162*10000+E162)</f>
        <v/>
      </c>
      <c r="P162">
        <f>IF(N162="","",E162)</f>
        <v/>
      </c>
    </row>
    <row r="163">
      <c r="A163" s="1" t="n"/>
      <c r="B163" s="20" t="n">
        <v>46291</v>
      </c>
      <c r="C163" s="21" t="n">
        <v>0.9270833333333334</v>
      </c>
      <c r="D163" s="22" t="inlineStr">
        <is>
          <t>Bedtime</t>
        </is>
      </c>
      <c r="E163" s="23" t="n">
        <v>144</v>
      </c>
      <c r="F163" s="22" t="n"/>
      <c r="G163" s="14">
        <f>IF(OR(B163="",E163="",J163="",K163=""),"",IF(E163&lt;J163,"Below",IF(E163&gt;K163,"Above","In range")))</f>
        <v/>
      </c>
      <c r="H163" s="1" t="n"/>
      <c r="J163">
        <f>IF(M163="","",IF(INDEX(Settings!$C$10:$C$18,M163)="","",INDEX(Settings!$C$10:$C$18,M163)))</f>
        <v/>
      </c>
      <c r="K163">
        <f>IF(M163="","",IF(INDEX(Settings!$D$10:$D$18,M163)="","",INDEX(Settings!$D$10:$D$18,M163)))</f>
        <v/>
      </c>
      <c r="L163">
        <f>IF(OR(B163="",E163=""),"",B163+MOD(N(C163),1)+ROW()/10000000)</f>
        <v/>
      </c>
      <c r="M163">
        <f>IF(D163="","",IFERROR(MATCH(D163,Settings!$B$10:$B$18,0),""))</f>
        <v/>
      </c>
      <c r="N163">
        <f>IF(OR(B163="",E163="",M163=""),"",IF(AND(B163&gt;=Settings!$C$6,B163&lt;=Settings!$C$7),M163*10000+E163,""))</f>
        <v/>
      </c>
      <c r="O163">
        <f>IF(OR(B163="",E163=""),"",B163*10000+E163)</f>
        <v/>
      </c>
      <c r="P163">
        <f>IF(N163="","",E163)</f>
        <v/>
      </c>
    </row>
    <row r="164">
      <c r="A164" s="1" t="n"/>
      <c r="B164" s="20" t="n">
        <v>46292</v>
      </c>
      <c r="C164" s="21" t="n">
        <v>0.2916666666666667</v>
      </c>
      <c r="D164" s="22" t="inlineStr">
        <is>
          <t>Fasting</t>
        </is>
      </c>
      <c r="E164" s="23" t="n">
        <v>105</v>
      </c>
      <c r="F164" s="22" t="n"/>
      <c r="G164" s="14">
        <f>IF(OR(B164="",E164="",J164="",K164=""),"",IF(E164&lt;J164,"Below",IF(E164&gt;K164,"Above","In range")))</f>
        <v/>
      </c>
      <c r="H164" s="1" t="n"/>
      <c r="J164">
        <f>IF(M164="","",IF(INDEX(Settings!$C$10:$C$18,M164)="","",INDEX(Settings!$C$10:$C$18,M164)))</f>
        <v/>
      </c>
      <c r="K164">
        <f>IF(M164="","",IF(INDEX(Settings!$D$10:$D$18,M164)="","",INDEX(Settings!$D$10:$D$18,M164)))</f>
        <v/>
      </c>
      <c r="L164">
        <f>IF(OR(B164="",E164=""),"",B164+MOD(N(C164),1)+ROW()/10000000)</f>
        <v/>
      </c>
      <c r="M164">
        <f>IF(D164="","",IFERROR(MATCH(D164,Settings!$B$10:$B$18,0),""))</f>
        <v/>
      </c>
      <c r="N164">
        <f>IF(OR(B164="",E164="",M164=""),"",IF(AND(B164&gt;=Settings!$C$6,B164&lt;=Settings!$C$7),M164*10000+E164,""))</f>
        <v/>
      </c>
      <c r="O164">
        <f>IF(OR(B164="",E164=""),"",B164*10000+E164)</f>
        <v/>
      </c>
      <c r="P164">
        <f>IF(N164="","",E164)</f>
        <v/>
      </c>
    </row>
    <row r="165">
      <c r="A165" s="1" t="n"/>
      <c r="B165" s="20" t="n">
        <v>46292</v>
      </c>
      <c r="C165" s="21" t="n">
        <v>0.40625</v>
      </c>
      <c r="D165" s="22" t="inlineStr">
        <is>
          <t>After breakfast</t>
        </is>
      </c>
      <c r="E165" s="23" t="n">
        <v>194</v>
      </c>
      <c r="F165" s="22" t="n"/>
      <c r="G165" s="14">
        <f>IF(OR(B165="",E165="",J165="",K165=""),"",IF(E165&lt;J165,"Below",IF(E165&gt;K165,"Above","In range")))</f>
        <v/>
      </c>
      <c r="H165" s="1" t="n"/>
      <c r="J165">
        <f>IF(M165="","",IF(INDEX(Settings!$C$10:$C$18,M165)="","",INDEX(Settings!$C$10:$C$18,M165)))</f>
        <v/>
      </c>
      <c r="K165">
        <f>IF(M165="","",IF(INDEX(Settings!$D$10:$D$18,M165)="","",INDEX(Settings!$D$10:$D$18,M165)))</f>
        <v/>
      </c>
      <c r="L165">
        <f>IF(OR(B165="",E165=""),"",B165+MOD(N(C165),1)+ROW()/10000000)</f>
        <v/>
      </c>
      <c r="M165">
        <f>IF(D165="","",IFERROR(MATCH(D165,Settings!$B$10:$B$18,0),""))</f>
        <v/>
      </c>
      <c r="N165">
        <f>IF(OR(B165="",E165="",M165=""),"",IF(AND(B165&gt;=Settings!$C$6,B165&lt;=Settings!$C$7),M165*10000+E165,""))</f>
        <v/>
      </c>
      <c r="O165">
        <f>IF(OR(B165="",E165=""),"",B165*10000+E165)</f>
        <v/>
      </c>
      <c r="P165">
        <f>IF(N165="","",E165)</f>
        <v/>
      </c>
    </row>
    <row r="166">
      <c r="A166" s="1" t="n"/>
      <c r="B166" s="20" t="n">
        <v>46292</v>
      </c>
      <c r="C166" s="21" t="n">
        <v>0.9375</v>
      </c>
      <c r="D166" s="22" t="inlineStr">
        <is>
          <t>Bedtime</t>
        </is>
      </c>
      <c r="E166" s="23" t="n">
        <v>129</v>
      </c>
      <c r="F166" s="22" t="n"/>
      <c r="G166" s="14">
        <f>IF(OR(B166="",E166="",J166="",K166=""),"",IF(E166&lt;J166,"Below",IF(E166&gt;K166,"Above","In range")))</f>
        <v/>
      </c>
      <c r="H166" s="1" t="n"/>
      <c r="J166">
        <f>IF(M166="","",IF(INDEX(Settings!$C$10:$C$18,M166)="","",INDEX(Settings!$C$10:$C$18,M166)))</f>
        <v/>
      </c>
      <c r="K166">
        <f>IF(M166="","",IF(INDEX(Settings!$D$10:$D$18,M166)="","",INDEX(Settings!$D$10:$D$18,M166)))</f>
        <v/>
      </c>
      <c r="L166">
        <f>IF(OR(B166="",E166=""),"",B166+MOD(N(C166),1)+ROW()/10000000)</f>
        <v/>
      </c>
      <c r="M166">
        <f>IF(D166="","",IFERROR(MATCH(D166,Settings!$B$10:$B$18,0),""))</f>
        <v/>
      </c>
      <c r="N166">
        <f>IF(OR(B166="",E166="",M166=""),"",IF(AND(B166&gt;=Settings!$C$6,B166&lt;=Settings!$C$7),M166*10000+E166,""))</f>
        <v/>
      </c>
      <c r="O166">
        <f>IF(OR(B166="",E166=""),"",B166*10000+E166)</f>
        <v/>
      </c>
      <c r="P166">
        <f>IF(N166="","",E166)</f>
        <v/>
      </c>
    </row>
    <row r="167">
      <c r="A167" s="1" t="n"/>
      <c r="B167" s="20" t="n">
        <v>46293</v>
      </c>
      <c r="C167" s="21" t="n">
        <v>0.2916666666666667</v>
      </c>
      <c r="D167" s="22" t="inlineStr">
        <is>
          <t>Fasting</t>
        </is>
      </c>
      <c r="E167" s="23" t="n">
        <v>123</v>
      </c>
      <c r="F167" s="22" t="n"/>
      <c r="G167" s="14">
        <f>IF(OR(B167="",E167="",J167="",K167=""),"",IF(E167&lt;J167,"Below",IF(E167&gt;K167,"Above","In range")))</f>
        <v/>
      </c>
      <c r="H167" s="1" t="n"/>
      <c r="J167">
        <f>IF(M167="","",IF(INDEX(Settings!$C$10:$C$18,M167)="","",INDEX(Settings!$C$10:$C$18,M167)))</f>
        <v/>
      </c>
      <c r="K167">
        <f>IF(M167="","",IF(INDEX(Settings!$D$10:$D$18,M167)="","",INDEX(Settings!$D$10:$D$18,M167)))</f>
        <v/>
      </c>
      <c r="L167">
        <f>IF(OR(B167="",E167=""),"",B167+MOD(N(C167),1)+ROW()/10000000)</f>
        <v/>
      </c>
      <c r="M167">
        <f>IF(D167="","",IFERROR(MATCH(D167,Settings!$B$10:$B$18,0),""))</f>
        <v/>
      </c>
      <c r="N167">
        <f>IF(OR(B167="",E167="",M167=""),"",IF(AND(B167&gt;=Settings!$C$6,B167&lt;=Settings!$C$7),M167*10000+E167,""))</f>
        <v/>
      </c>
      <c r="O167">
        <f>IF(OR(B167="",E167=""),"",B167*10000+E167)</f>
        <v/>
      </c>
      <c r="P167">
        <f>IF(N167="","",E167)</f>
        <v/>
      </c>
    </row>
    <row r="168">
      <c r="A168" s="1" t="n"/>
      <c r="B168" s="20" t="n">
        <v>46293</v>
      </c>
      <c r="C168" s="21" t="n">
        <v>0.40625</v>
      </c>
      <c r="D168" s="22" t="inlineStr">
        <is>
          <t>After breakfast</t>
        </is>
      </c>
      <c r="E168" s="23" t="n">
        <v>153</v>
      </c>
      <c r="F168" s="22" t="n"/>
      <c r="G168" s="14">
        <f>IF(OR(B168="",E168="",J168="",K168=""),"",IF(E168&lt;J168,"Below",IF(E168&gt;K168,"Above","In range")))</f>
        <v/>
      </c>
      <c r="H168" s="1" t="n"/>
      <c r="J168">
        <f>IF(M168="","",IF(INDEX(Settings!$C$10:$C$18,M168)="","",INDEX(Settings!$C$10:$C$18,M168)))</f>
        <v/>
      </c>
      <c r="K168">
        <f>IF(M168="","",IF(INDEX(Settings!$D$10:$D$18,M168)="","",INDEX(Settings!$D$10:$D$18,M168)))</f>
        <v/>
      </c>
      <c r="L168">
        <f>IF(OR(B168="",E168=""),"",B168+MOD(N(C168),1)+ROW()/10000000)</f>
        <v/>
      </c>
      <c r="M168">
        <f>IF(D168="","",IFERROR(MATCH(D168,Settings!$B$10:$B$18,0),""))</f>
        <v/>
      </c>
      <c r="N168">
        <f>IF(OR(B168="",E168="",M168=""),"",IF(AND(B168&gt;=Settings!$C$6,B168&lt;=Settings!$C$7),M168*10000+E168,""))</f>
        <v/>
      </c>
      <c r="O168">
        <f>IF(OR(B168="",E168=""),"",B168*10000+E168)</f>
        <v/>
      </c>
      <c r="P168">
        <f>IF(N168="","",E168)</f>
        <v/>
      </c>
    </row>
    <row r="169">
      <c r="A169" s="1" t="n"/>
      <c r="B169" s="20" t="n"/>
      <c r="C169" s="21" t="n"/>
      <c r="D169" s="22" t="n"/>
      <c r="E169" s="23" t="n"/>
      <c r="F169" s="22" t="n"/>
      <c r="G169" s="14">
        <f>IF(OR(B169="",E169="",J169="",K169=""),"",IF(E169&lt;J169,"Below",IF(E169&gt;K169,"Above","In range")))</f>
        <v/>
      </c>
      <c r="H169" s="1" t="n"/>
      <c r="J169">
        <f>IF(M169="","",IF(INDEX(Settings!$C$10:$C$18,M169)="","",INDEX(Settings!$C$10:$C$18,M169)))</f>
        <v/>
      </c>
      <c r="K169">
        <f>IF(M169="","",IF(INDEX(Settings!$D$10:$D$18,M169)="","",INDEX(Settings!$D$10:$D$18,M169)))</f>
        <v/>
      </c>
      <c r="L169">
        <f>IF(OR(B169="",E169=""),"",B169+MOD(N(C169),1)+ROW()/10000000)</f>
        <v/>
      </c>
      <c r="M169">
        <f>IF(D169="","",IFERROR(MATCH(D169,Settings!$B$10:$B$18,0),""))</f>
        <v/>
      </c>
      <c r="N169">
        <f>IF(OR(B169="",E169="",M169=""),"",IF(AND(B169&gt;=Settings!$C$6,B169&lt;=Settings!$C$7),M169*10000+E169,""))</f>
        <v/>
      </c>
      <c r="O169">
        <f>IF(OR(B169="",E169=""),"",B169*10000+E169)</f>
        <v/>
      </c>
      <c r="P169">
        <f>IF(N169="","",E169)</f>
        <v/>
      </c>
    </row>
    <row r="170">
      <c r="A170" s="1" t="n"/>
      <c r="B170" s="20" t="n"/>
      <c r="C170" s="21" t="n"/>
      <c r="D170" s="22" t="n"/>
      <c r="E170" s="23" t="n"/>
      <c r="F170" s="22" t="n"/>
      <c r="G170" s="14">
        <f>IF(OR(B170="",E170="",J170="",K170=""),"",IF(E170&lt;J170,"Below",IF(E170&gt;K170,"Above","In range")))</f>
        <v/>
      </c>
      <c r="H170" s="1" t="n"/>
      <c r="J170">
        <f>IF(M170="","",IF(INDEX(Settings!$C$10:$C$18,M170)="","",INDEX(Settings!$C$10:$C$18,M170)))</f>
        <v/>
      </c>
      <c r="K170">
        <f>IF(M170="","",IF(INDEX(Settings!$D$10:$D$18,M170)="","",INDEX(Settings!$D$10:$D$18,M170)))</f>
        <v/>
      </c>
      <c r="L170">
        <f>IF(OR(B170="",E170=""),"",B170+MOD(N(C170),1)+ROW()/10000000)</f>
        <v/>
      </c>
      <c r="M170">
        <f>IF(D170="","",IFERROR(MATCH(D170,Settings!$B$10:$B$18,0),""))</f>
        <v/>
      </c>
      <c r="N170">
        <f>IF(OR(B170="",E170="",M170=""),"",IF(AND(B170&gt;=Settings!$C$6,B170&lt;=Settings!$C$7),M170*10000+E170,""))</f>
        <v/>
      </c>
      <c r="O170">
        <f>IF(OR(B170="",E170=""),"",B170*10000+E170)</f>
        <v/>
      </c>
      <c r="P170">
        <f>IF(N170="","",E170)</f>
        <v/>
      </c>
    </row>
    <row r="171">
      <c r="A171" s="1" t="n"/>
      <c r="B171" s="20" t="n"/>
      <c r="C171" s="21" t="n"/>
      <c r="D171" s="22" t="n"/>
      <c r="E171" s="23" t="n"/>
      <c r="F171" s="22" t="n"/>
      <c r="G171" s="14">
        <f>IF(OR(B171="",E171="",J171="",K171=""),"",IF(E171&lt;J171,"Below",IF(E171&gt;K171,"Above","In range")))</f>
        <v/>
      </c>
      <c r="H171" s="1" t="n"/>
      <c r="J171">
        <f>IF(M171="","",IF(INDEX(Settings!$C$10:$C$18,M171)="","",INDEX(Settings!$C$10:$C$18,M171)))</f>
        <v/>
      </c>
      <c r="K171">
        <f>IF(M171="","",IF(INDEX(Settings!$D$10:$D$18,M171)="","",INDEX(Settings!$D$10:$D$18,M171)))</f>
        <v/>
      </c>
      <c r="L171">
        <f>IF(OR(B171="",E171=""),"",B171+MOD(N(C171),1)+ROW()/10000000)</f>
        <v/>
      </c>
      <c r="M171">
        <f>IF(D171="","",IFERROR(MATCH(D171,Settings!$B$10:$B$18,0),""))</f>
        <v/>
      </c>
      <c r="N171">
        <f>IF(OR(B171="",E171="",M171=""),"",IF(AND(B171&gt;=Settings!$C$6,B171&lt;=Settings!$C$7),M171*10000+E171,""))</f>
        <v/>
      </c>
      <c r="O171">
        <f>IF(OR(B171="",E171=""),"",B171*10000+E171)</f>
        <v/>
      </c>
      <c r="P171">
        <f>IF(N171="","",E171)</f>
        <v/>
      </c>
    </row>
    <row r="172">
      <c r="A172" s="1" t="n"/>
      <c r="B172" s="20" t="n"/>
      <c r="C172" s="21" t="n"/>
      <c r="D172" s="22" t="n"/>
      <c r="E172" s="23" t="n"/>
      <c r="F172" s="22" t="n"/>
      <c r="G172" s="14">
        <f>IF(OR(B172="",E172="",J172="",K172=""),"",IF(E172&lt;J172,"Below",IF(E172&gt;K172,"Above","In range")))</f>
        <v/>
      </c>
      <c r="H172" s="1" t="n"/>
      <c r="J172">
        <f>IF(M172="","",IF(INDEX(Settings!$C$10:$C$18,M172)="","",INDEX(Settings!$C$10:$C$18,M172)))</f>
        <v/>
      </c>
      <c r="K172">
        <f>IF(M172="","",IF(INDEX(Settings!$D$10:$D$18,M172)="","",INDEX(Settings!$D$10:$D$18,M172)))</f>
        <v/>
      </c>
      <c r="L172">
        <f>IF(OR(B172="",E172=""),"",B172+MOD(N(C172),1)+ROW()/10000000)</f>
        <v/>
      </c>
      <c r="M172">
        <f>IF(D172="","",IFERROR(MATCH(D172,Settings!$B$10:$B$18,0),""))</f>
        <v/>
      </c>
      <c r="N172">
        <f>IF(OR(B172="",E172="",M172=""),"",IF(AND(B172&gt;=Settings!$C$6,B172&lt;=Settings!$C$7),M172*10000+E172,""))</f>
        <v/>
      </c>
      <c r="O172">
        <f>IF(OR(B172="",E172=""),"",B172*10000+E172)</f>
        <v/>
      </c>
      <c r="P172">
        <f>IF(N172="","",E172)</f>
        <v/>
      </c>
    </row>
    <row r="173">
      <c r="A173" s="1" t="n"/>
      <c r="B173" s="20" t="n"/>
      <c r="C173" s="21" t="n"/>
      <c r="D173" s="22" t="n"/>
      <c r="E173" s="23" t="n"/>
      <c r="F173" s="22" t="n"/>
      <c r="G173" s="14">
        <f>IF(OR(B173="",E173="",J173="",K173=""),"",IF(E173&lt;J173,"Below",IF(E173&gt;K173,"Above","In range")))</f>
        <v/>
      </c>
      <c r="H173" s="1" t="n"/>
      <c r="J173">
        <f>IF(M173="","",IF(INDEX(Settings!$C$10:$C$18,M173)="","",INDEX(Settings!$C$10:$C$18,M173)))</f>
        <v/>
      </c>
      <c r="K173">
        <f>IF(M173="","",IF(INDEX(Settings!$D$10:$D$18,M173)="","",INDEX(Settings!$D$10:$D$18,M173)))</f>
        <v/>
      </c>
      <c r="L173">
        <f>IF(OR(B173="",E173=""),"",B173+MOD(N(C173),1)+ROW()/10000000)</f>
        <v/>
      </c>
      <c r="M173">
        <f>IF(D173="","",IFERROR(MATCH(D173,Settings!$B$10:$B$18,0),""))</f>
        <v/>
      </c>
      <c r="N173">
        <f>IF(OR(B173="",E173="",M173=""),"",IF(AND(B173&gt;=Settings!$C$6,B173&lt;=Settings!$C$7),M173*10000+E173,""))</f>
        <v/>
      </c>
      <c r="O173">
        <f>IF(OR(B173="",E173=""),"",B173*10000+E173)</f>
        <v/>
      </c>
      <c r="P173">
        <f>IF(N173="","",E173)</f>
        <v/>
      </c>
    </row>
    <row r="174">
      <c r="A174" s="1" t="n"/>
      <c r="B174" s="20" t="n"/>
      <c r="C174" s="21" t="n"/>
      <c r="D174" s="22" t="n"/>
      <c r="E174" s="23" t="n"/>
      <c r="F174" s="22" t="n"/>
      <c r="G174" s="14">
        <f>IF(OR(B174="",E174="",J174="",K174=""),"",IF(E174&lt;J174,"Below",IF(E174&gt;K174,"Above","In range")))</f>
        <v/>
      </c>
      <c r="H174" s="1" t="n"/>
      <c r="J174">
        <f>IF(M174="","",IF(INDEX(Settings!$C$10:$C$18,M174)="","",INDEX(Settings!$C$10:$C$18,M174)))</f>
        <v/>
      </c>
      <c r="K174">
        <f>IF(M174="","",IF(INDEX(Settings!$D$10:$D$18,M174)="","",INDEX(Settings!$D$10:$D$18,M174)))</f>
        <v/>
      </c>
      <c r="L174">
        <f>IF(OR(B174="",E174=""),"",B174+MOD(N(C174),1)+ROW()/10000000)</f>
        <v/>
      </c>
      <c r="M174">
        <f>IF(D174="","",IFERROR(MATCH(D174,Settings!$B$10:$B$18,0),""))</f>
        <v/>
      </c>
      <c r="N174">
        <f>IF(OR(B174="",E174="",M174=""),"",IF(AND(B174&gt;=Settings!$C$6,B174&lt;=Settings!$C$7),M174*10000+E174,""))</f>
        <v/>
      </c>
      <c r="O174">
        <f>IF(OR(B174="",E174=""),"",B174*10000+E174)</f>
        <v/>
      </c>
      <c r="P174">
        <f>IF(N174="","",E174)</f>
        <v/>
      </c>
    </row>
    <row r="175">
      <c r="A175" s="1" t="n"/>
      <c r="B175" s="20" t="n"/>
      <c r="C175" s="21" t="n"/>
      <c r="D175" s="22" t="n"/>
      <c r="E175" s="23" t="n"/>
      <c r="F175" s="22" t="n"/>
      <c r="G175" s="14">
        <f>IF(OR(B175="",E175="",J175="",K175=""),"",IF(E175&lt;J175,"Below",IF(E175&gt;K175,"Above","In range")))</f>
        <v/>
      </c>
      <c r="H175" s="1" t="n"/>
      <c r="J175">
        <f>IF(M175="","",IF(INDEX(Settings!$C$10:$C$18,M175)="","",INDEX(Settings!$C$10:$C$18,M175)))</f>
        <v/>
      </c>
      <c r="K175">
        <f>IF(M175="","",IF(INDEX(Settings!$D$10:$D$18,M175)="","",INDEX(Settings!$D$10:$D$18,M175)))</f>
        <v/>
      </c>
      <c r="L175">
        <f>IF(OR(B175="",E175=""),"",B175+MOD(N(C175),1)+ROW()/10000000)</f>
        <v/>
      </c>
      <c r="M175">
        <f>IF(D175="","",IFERROR(MATCH(D175,Settings!$B$10:$B$18,0),""))</f>
        <v/>
      </c>
      <c r="N175">
        <f>IF(OR(B175="",E175="",M175=""),"",IF(AND(B175&gt;=Settings!$C$6,B175&lt;=Settings!$C$7),M175*10000+E175,""))</f>
        <v/>
      </c>
      <c r="O175">
        <f>IF(OR(B175="",E175=""),"",B175*10000+E175)</f>
        <v/>
      </c>
      <c r="P175">
        <f>IF(N175="","",E175)</f>
        <v/>
      </c>
    </row>
    <row r="176">
      <c r="A176" s="1" t="n"/>
      <c r="B176" s="20" t="n"/>
      <c r="C176" s="21" t="n"/>
      <c r="D176" s="22" t="n"/>
      <c r="E176" s="23" t="n"/>
      <c r="F176" s="22" t="n"/>
      <c r="G176" s="14">
        <f>IF(OR(B176="",E176="",J176="",K176=""),"",IF(E176&lt;J176,"Below",IF(E176&gt;K176,"Above","In range")))</f>
        <v/>
      </c>
      <c r="H176" s="1" t="n"/>
      <c r="J176">
        <f>IF(M176="","",IF(INDEX(Settings!$C$10:$C$18,M176)="","",INDEX(Settings!$C$10:$C$18,M176)))</f>
        <v/>
      </c>
      <c r="K176">
        <f>IF(M176="","",IF(INDEX(Settings!$D$10:$D$18,M176)="","",INDEX(Settings!$D$10:$D$18,M176)))</f>
        <v/>
      </c>
      <c r="L176">
        <f>IF(OR(B176="",E176=""),"",B176+MOD(N(C176),1)+ROW()/10000000)</f>
        <v/>
      </c>
      <c r="M176">
        <f>IF(D176="","",IFERROR(MATCH(D176,Settings!$B$10:$B$18,0),""))</f>
        <v/>
      </c>
      <c r="N176">
        <f>IF(OR(B176="",E176="",M176=""),"",IF(AND(B176&gt;=Settings!$C$6,B176&lt;=Settings!$C$7),M176*10000+E176,""))</f>
        <v/>
      </c>
      <c r="O176">
        <f>IF(OR(B176="",E176=""),"",B176*10000+E176)</f>
        <v/>
      </c>
      <c r="P176">
        <f>IF(N176="","",E176)</f>
        <v/>
      </c>
    </row>
    <row r="177">
      <c r="A177" s="1" t="n"/>
      <c r="B177" s="20" t="n"/>
      <c r="C177" s="21" t="n"/>
      <c r="D177" s="22" t="n"/>
      <c r="E177" s="23" t="n"/>
      <c r="F177" s="22" t="n"/>
      <c r="G177" s="14">
        <f>IF(OR(B177="",E177="",J177="",K177=""),"",IF(E177&lt;J177,"Below",IF(E177&gt;K177,"Above","In range")))</f>
        <v/>
      </c>
      <c r="H177" s="1" t="n"/>
      <c r="J177">
        <f>IF(M177="","",IF(INDEX(Settings!$C$10:$C$18,M177)="","",INDEX(Settings!$C$10:$C$18,M177)))</f>
        <v/>
      </c>
      <c r="K177">
        <f>IF(M177="","",IF(INDEX(Settings!$D$10:$D$18,M177)="","",INDEX(Settings!$D$10:$D$18,M177)))</f>
        <v/>
      </c>
      <c r="L177">
        <f>IF(OR(B177="",E177=""),"",B177+MOD(N(C177),1)+ROW()/10000000)</f>
        <v/>
      </c>
      <c r="M177">
        <f>IF(D177="","",IFERROR(MATCH(D177,Settings!$B$10:$B$18,0),""))</f>
        <v/>
      </c>
      <c r="N177">
        <f>IF(OR(B177="",E177="",M177=""),"",IF(AND(B177&gt;=Settings!$C$6,B177&lt;=Settings!$C$7),M177*10000+E177,""))</f>
        <v/>
      </c>
      <c r="O177">
        <f>IF(OR(B177="",E177=""),"",B177*10000+E177)</f>
        <v/>
      </c>
      <c r="P177">
        <f>IF(N177="","",E177)</f>
        <v/>
      </c>
    </row>
    <row r="178">
      <c r="A178" s="1" t="n"/>
      <c r="B178" s="20" t="n"/>
      <c r="C178" s="21" t="n"/>
      <c r="D178" s="22" t="n"/>
      <c r="E178" s="23" t="n"/>
      <c r="F178" s="22" t="n"/>
      <c r="G178" s="14">
        <f>IF(OR(B178="",E178="",J178="",K178=""),"",IF(E178&lt;J178,"Below",IF(E178&gt;K178,"Above","In range")))</f>
        <v/>
      </c>
      <c r="H178" s="1" t="n"/>
      <c r="J178">
        <f>IF(M178="","",IF(INDEX(Settings!$C$10:$C$18,M178)="","",INDEX(Settings!$C$10:$C$18,M178)))</f>
        <v/>
      </c>
      <c r="K178">
        <f>IF(M178="","",IF(INDEX(Settings!$D$10:$D$18,M178)="","",INDEX(Settings!$D$10:$D$18,M178)))</f>
        <v/>
      </c>
      <c r="L178">
        <f>IF(OR(B178="",E178=""),"",B178+MOD(N(C178),1)+ROW()/10000000)</f>
        <v/>
      </c>
      <c r="M178">
        <f>IF(D178="","",IFERROR(MATCH(D178,Settings!$B$10:$B$18,0),""))</f>
        <v/>
      </c>
      <c r="N178">
        <f>IF(OR(B178="",E178="",M178=""),"",IF(AND(B178&gt;=Settings!$C$6,B178&lt;=Settings!$C$7),M178*10000+E178,""))</f>
        <v/>
      </c>
      <c r="O178">
        <f>IF(OR(B178="",E178=""),"",B178*10000+E178)</f>
        <v/>
      </c>
      <c r="P178">
        <f>IF(N178="","",E178)</f>
        <v/>
      </c>
    </row>
    <row r="179">
      <c r="A179" s="1" t="n"/>
      <c r="B179" s="20" t="n"/>
      <c r="C179" s="21" t="n"/>
      <c r="D179" s="22" t="n"/>
      <c r="E179" s="23" t="n"/>
      <c r="F179" s="22" t="n"/>
      <c r="G179" s="14">
        <f>IF(OR(B179="",E179="",J179="",K179=""),"",IF(E179&lt;J179,"Below",IF(E179&gt;K179,"Above","In range")))</f>
        <v/>
      </c>
      <c r="H179" s="1" t="n"/>
      <c r="J179">
        <f>IF(M179="","",IF(INDEX(Settings!$C$10:$C$18,M179)="","",INDEX(Settings!$C$10:$C$18,M179)))</f>
        <v/>
      </c>
      <c r="K179">
        <f>IF(M179="","",IF(INDEX(Settings!$D$10:$D$18,M179)="","",INDEX(Settings!$D$10:$D$18,M179)))</f>
        <v/>
      </c>
      <c r="L179">
        <f>IF(OR(B179="",E179=""),"",B179+MOD(N(C179),1)+ROW()/10000000)</f>
        <v/>
      </c>
      <c r="M179">
        <f>IF(D179="","",IFERROR(MATCH(D179,Settings!$B$10:$B$18,0),""))</f>
        <v/>
      </c>
      <c r="N179">
        <f>IF(OR(B179="",E179="",M179=""),"",IF(AND(B179&gt;=Settings!$C$6,B179&lt;=Settings!$C$7),M179*10000+E179,""))</f>
        <v/>
      </c>
      <c r="O179">
        <f>IF(OR(B179="",E179=""),"",B179*10000+E179)</f>
        <v/>
      </c>
      <c r="P179">
        <f>IF(N179="","",E179)</f>
        <v/>
      </c>
    </row>
    <row r="180">
      <c r="A180" s="1" t="n"/>
      <c r="B180" s="20" t="n"/>
      <c r="C180" s="21" t="n"/>
      <c r="D180" s="22" t="n"/>
      <c r="E180" s="23" t="n"/>
      <c r="F180" s="22" t="n"/>
      <c r="G180" s="14">
        <f>IF(OR(B180="",E180="",J180="",K180=""),"",IF(E180&lt;J180,"Below",IF(E180&gt;K180,"Above","In range")))</f>
        <v/>
      </c>
      <c r="H180" s="1" t="n"/>
      <c r="J180">
        <f>IF(M180="","",IF(INDEX(Settings!$C$10:$C$18,M180)="","",INDEX(Settings!$C$10:$C$18,M180)))</f>
        <v/>
      </c>
      <c r="K180">
        <f>IF(M180="","",IF(INDEX(Settings!$D$10:$D$18,M180)="","",INDEX(Settings!$D$10:$D$18,M180)))</f>
        <v/>
      </c>
      <c r="L180">
        <f>IF(OR(B180="",E180=""),"",B180+MOD(N(C180),1)+ROW()/10000000)</f>
        <v/>
      </c>
      <c r="M180">
        <f>IF(D180="","",IFERROR(MATCH(D180,Settings!$B$10:$B$18,0),""))</f>
        <v/>
      </c>
      <c r="N180">
        <f>IF(OR(B180="",E180="",M180=""),"",IF(AND(B180&gt;=Settings!$C$6,B180&lt;=Settings!$C$7),M180*10000+E180,""))</f>
        <v/>
      </c>
      <c r="O180">
        <f>IF(OR(B180="",E180=""),"",B180*10000+E180)</f>
        <v/>
      </c>
      <c r="P180">
        <f>IF(N180="","",E180)</f>
        <v/>
      </c>
    </row>
    <row r="181">
      <c r="A181" s="1" t="n"/>
      <c r="B181" s="20" t="n"/>
      <c r="C181" s="21" t="n"/>
      <c r="D181" s="22" t="n"/>
      <c r="E181" s="23" t="n"/>
      <c r="F181" s="22" t="n"/>
      <c r="G181" s="14">
        <f>IF(OR(B181="",E181="",J181="",K181=""),"",IF(E181&lt;J181,"Below",IF(E181&gt;K181,"Above","In range")))</f>
        <v/>
      </c>
      <c r="H181" s="1" t="n"/>
      <c r="J181">
        <f>IF(M181="","",IF(INDEX(Settings!$C$10:$C$18,M181)="","",INDEX(Settings!$C$10:$C$18,M181)))</f>
        <v/>
      </c>
      <c r="K181">
        <f>IF(M181="","",IF(INDEX(Settings!$D$10:$D$18,M181)="","",INDEX(Settings!$D$10:$D$18,M181)))</f>
        <v/>
      </c>
      <c r="L181">
        <f>IF(OR(B181="",E181=""),"",B181+MOD(N(C181),1)+ROW()/10000000)</f>
        <v/>
      </c>
      <c r="M181">
        <f>IF(D181="","",IFERROR(MATCH(D181,Settings!$B$10:$B$18,0),""))</f>
        <v/>
      </c>
      <c r="N181">
        <f>IF(OR(B181="",E181="",M181=""),"",IF(AND(B181&gt;=Settings!$C$6,B181&lt;=Settings!$C$7),M181*10000+E181,""))</f>
        <v/>
      </c>
      <c r="O181">
        <f>IF(OR(B181="",E181=""),"",B181*10000+E181)</f>
        <v/>
      </c>
      <c r="P181">
        <f>IF(N181="","",E181)</f>
        <v/>
      </c>
    </row>
    <row r="182">
      <c r="A182" s="1" t="n"/>
      <c r="B182" s="20" t="n"/>
      <c r="C182" s="21" t="n"/>
      <c r="D182" s="22" t="n"/>
      <c r="E182" s="23" t="n"/>
      <c r="F182" s="22" t="n"/>
      <c r="G182" s="14">
        <f>IF(OR(B182="",E182="",J182="",K182=""),"",IF(E182&lt;J182,"Below",IF(E182&gt;K182,"Above","In range")))</f>
        <v/>
      </c>
      <c r="H182" s="1" t="n"/>
      <c r="J182">
        <f>IF(M182="","",IF(INDEX(Settings!$C$10:$C$18,M182)="","",INDEX(Settings!$C$10:$C$18,M182)))</f>
        <v/>
      </c>
      <c r="K182">
        <f>IF(M182="","",IF(INDEX(Settings!$D$10:$D$18,M182)="","",INDEX(Settings!$D$10:$D$18,M182)))</f>
        <v/>
      </c>
      <c r="L182">
        <f>IF(OR(B182="",E182=""),"",B182+MOD(N(C182),1)+ROW()/10000000)</f>
        <v/>
      </c>
      <c r="M182">
        <f>IF(D182="","",IFERROR(MATCH(D182,Settings!$B$10:$B$18,0),""))</f>
        <v/>
      </c>
      <c r="N182">
        <f>IF(OR(B182="",E182="",M182=""),"",IF(AND(B182&gt;=Settings!$C$6,B182&lt;=Settings!$C$7),M182*10000+E182,""))</f>
        <v/>
      </c>
      <c r="O182">
        <f>IF(OR(B182="",E182=""),"",B182*10000+E182)</f>
        <v/>
      </c>
      <c r="P182">
        <f>IF(N182="","",E182)</f>
        <v/>
      </c>
    </row>
    <row r="183">
      <c r="A183" s="1" t="n"/>
      <c r="B183" s="20" t="n"/>
      <c r="C183" s="21" t="n"/>
      <c r="D183" s="22" t="n"/>
      <c r="E183" s="23" t="n"/>
      <c r="F183" s="22" t="n"/>
      <c r="G183" s="14">
        <f>IF(OR(B183="",E183="",J183="",K183=""),"",IF(E183&lt;J183,"Below",IF(E183&gt;K183,"Above","In range")))</f>
        <v/>
      </c>
      <c r="H183" s="1" t="n"/>
      <c r="J183">
        <f>IF(M183="","",IF(INDEX(Settings!$C$10:$C$18,M183)="","",INDEX(Settings!$C$10:$C$18,M183)))</f>
        <v/>
      </c>
      <c r="K183">
        <f>IF(M183="","",IF(INDEX(Settings!$D$10:$D$18,M183)="","",INDEX(Settings!$D$10:$D$18,M183)))</f>
        <v/>
      </c>
      <c r="L183">
        <f>IF(OR(B183="",E183=""),"",B183+MOD(N(C183),1)+ROW()/10000000)</f>
        <v/>
      </c>
      <c r="M183">
        <f>IF(D183="","",IFERROR(MATCH(D183,Settings!$B$10:$B$18,0),""))</f>
        <v/>
      </c>
      <c r="N183">
        <f>IF(OR(B183="",E183="",M183=""),"",IF(AND(B183&gt;=Settings!$C$6,B183&lt;=Settings!$C$7),M183*10000+E183,""))</f>
        <v/>
      </c>
      <c r="O183">
        <f>IF(OR(B183="",E183=""),"",B183*10000+E183)</f>
        <v/>
      </c>
      <c r="P183">
        <f>IF(N183="","",E183)</f>
        <v/>
      </c>
    </row>
    <row r="184">
      <c r="A184" s="1" t="n"/>
      <c r="B184" s="20" t="n"/>
      <c r="C184" s="21" t="n"/>
      <c r="D184" s="22" t="n"/>
      <c r="E184" s="23" t="n"/>
      <c r="F184" s="22" t="n"/>
      <c r="G184" s="14">
        <f>IF(OR(B184="",E184="",J184="",K184=""),"",IF(E184&lt;J184,"Below",IF(E184&gt;K184,"Above","In range")))</f>
        <v/>
      </c>
      <c r="H184" s="1" t="n"/>
      <c r="J184">
        <f>IF(M184="","",IF(INDEX(Settings!$C$10:$C$18,M184)="","",INDEX(Settings!$C$10:$C$18,M184)))</f>
        <v/>
      </c>
      <c r="K184">
        <f>IF(M184="","",IF(INDEX(Settings!$D$10:$D$18,M184)="","",INDEX(Settings!$D$10:$D$18,M184)))</f>
        <v/>
      </c>
      <c r="L184">
        <f>IF(OR(B184="",E184=""),"",B184+MOD(N(C184),1)+ROW()/10000000)</f>
        <v/>
      </c>
      <c r="M184">
        <f>IF(D184="","",IFERROR(MATCH(D184,Settings!$B$10:$B$18,0),""))</f>
        <v/>
      </c>
      <c r="N184">
        <f>IF(OR(B184="",E184="",M184=""),"",IF(AND(B184&gt;=Settings!$C$6,B184&lt;=Settings!$C$7),M184*10000+E184,""))</f>
        <v/>
      </c>
      <c r="O184">
        <f>IF(OR(B184="",E184=""),"",B184*10000+E184)</f>
        <v/>
      </c>
      <c r="P184">
        <f>IF(N184="","",E184)</f>
        <v/>
      </c>
    </row>
    <row r="185">
      <c r="A185" s="1" t="n"/>
      <c r="B185" s="20" t="n"/>
      <c r="C185" s="21" t="n"/>
      <c r="D185" s="22" t="n"/>
      <c r="E185" s="23" t="n"/>
      <c r="F185" s="22" t="n"/>
      <c r="G185" s="14">
        <f>IF(OR(B185="",E185="",J185="",K185=""),"",IF(E185&lt;J185,"Below",IF(E185&gt;K185,"Above","In range")))</f>
        <v/>
      </c>
      <c r="H185" s="1" t="n"/>
      <c r="J185">
        <f>IF(M185="","",IF(INDEX(Settings!$C$10:$C$18,M185)="","",INDEX(Settings!$C$10:$C$18,M185)))</f>
        <v/>
      </c>
      <c r="K185">
        <f>IF(M185="","",IF(INDEX(Settings!$D$10:$D$18,M185)="","",INDEX(Settings!$D$10:$D$18,M185)))</f>
        <v/>
      </c>
      <c r="L185">
        <f>IF(OR(B185="",E185=""),"",B185+MOD(N(C185),1)+ROW()/10000000)</f>
        <v/>
      </c>
      <c r="M185">
        <f>IF(D185="","",IFERROR(MATCH(D185,Settings!$B$10:$B$18,0),""))</f>
        <v/>
      </c>
      <c r="N185">
        <f>IF(OR(B185="",E185="",M185=""),"",IF(AND(B185&gt;=Settings!$C$6,B185&lt;=Settings!$C$7),M185*10000+E185,""))</f>
        <v/>
      </c>
      <c r="O185">
        <f>IF(OR(B185="",E185=""),"",B185*10000+E185)</f>
        <v/>
      </c>
      <c r="P185">
        <f>IF(N185="","",E185)</f>
        <v/>
      </c>
    </row>
    <row r="186">
      <c r="A186" s="1" t="n"/>
      <c r="B186" s="20" t="n"/>
      <c r="C186" s="21" t="n"/>
      <c r="D186" s="22" t="n"/>
      <c r="E186" s="23" t="n"/>
      <c r="F186" s="22" t="n"/>
      <c r="G186" s="14">
        <f>IF(OR(B186="",E186="",J186="",K186=""),"",IF(E186&lt;J186,"Below",IF(E186&gt;K186,"Above","In range")))</f>
        <v/>
      </c>
      <c r="H186" s="1" t="n"/>
      <c r="J186">
        <f>IF(M186="","",IF(INDEX(Settings!$C$10:$C$18,M186)="","",INDEX(Settings!$C$10:$C$18,M186)))</f>
        <v/>
      </c>
      <c r="K186">
        <f>IF(M186="","",IF(INDEX(Settings!$D$10:$D$18,M186)="","",INDEX(Settings!$D$10:$D$18,M186)))</f>
        <v/>
      </c>
      <c r="L186">
        <f>IF(OR(B186="",E186=""),"",B186+MOD(N(C186),1)+ROW()/10000000)</f>
        <v/>
      </c>
      <c r="M186">
        <f>IF(D186="","",IFERROR(MATCH(D186,Settings!$B$10:$B$18,0),""))</f>
        <v/>
      </c>
      <c r="N186">
        <f>IF(OR(B186="",E186="",M186=""),"",IF(AND(B186&gt;=Settings!$C$6,B186&lt;=Settings!$C$7),M186*10000+E186,""))</f>
        <v/>
      </c>
      <c r="O186">
        <f>IF(OR(B186="",E186=""),"",B186*10000+E186)</f>
        <v/>
      </c>
      <c r="P186">
        <f>IF(N186="","",E186)</f>
        <v/>
      </c>
    </row>
    <row r="187">
      <c r="A187" s="1" t="n"/>
      <c r="B187" s="20" t="n"/>
      <c r="C187" s="21" t="n"/>
      <c r="D187" s="22" t="n"/>
      <c r="E187" s="23" t="n"/>
      <c r="F187" s="22" t="n"/>
      <c r="G187" s="14">
        <f>IF(OR(B187="",E187="",J187="",K187=""),"",IF(E187&lt;J187,"Below",IF(E187&gt;K187,"Above","In range")))</f>
        <v/>
      </c>
      <c r="H187" s="1" t="n"/>
      <c r="J187">
        <f>IF(M187="","",IF(INDEX(Settings!$C$10:$C$18,M187)="","",INDEX(Settings!$C$10:$C$18,M187)))</f>
        <v/>
      </c>
      <c r="K187">
        <f>IF(M187="","",IF(INDEX(Settings!$D$10:$D$18,M187)="","",INDEX(Settings!$D$10:$D$18,M187)))</f>
        <v/>
      </c>
      <c r="L187">
        <f>IF(OR(B187="",E187=""),"",B187+MOD(N(C187),1)+ROW()/10000000)</f>
        <v/>
      </c>
      <c r="M187">
        <f>IF(D187="","",IFERROR(MATCH(D187,Settings!$B$10:$B$18,0),""))</f>
        <v/>
      </c>
      <c r="N187">
        <f>IF(OR(B187="",E187="",M187=""),"",IF(AND(B187&gt;=Settings!$C$6,B187&lt;=Settings!$C$7),M187*10000+E187,""))</f>
        <v/>
      </c>
      <c r="O187">
        <f>IF(OR(B187="",E187=""),"",B187*10000+E187)</f>
        <v/>
      </c>
      <c r="P187">
        <f>IF(N187="","",E187)</f>
        <v/>
      </c>
    </row>
    <row r="188">
      <c r="A188" s="1" t="n"/>
      <c r="B188" s="20" t="n"/>
      <c r="C188" s="21" t="n"/>
      <c r="D188" s="22" t="n"/>
      <c r="E188" s="23" t="n"/>
      <c r="F188" s="22" t="n"/>
      <c r="G188" s="14">
        <f>IF(OR(B188="",E188="",J188="",K188=""),"",IF(E188&lt;J188,"Below",IF(E188&gt;K188,"Above","In range")))</f>
        <v/>
      </c>
      <c r="H188" s="1" t="n"/>
      <c r="J188">
        <f>IF(M188="","",IF(INDEX(Settings!$C$10:$C$18,M188)="","",INDEX(Settings!$C$10:$C$18,M188)))</f>
        <v/>
      </c>
      <c r="K188">
        <f>IF(M188="","",IF(INDEX(Settings!$D$10:$D$18,M188)="","",INDEX(Settings!$D$10:$D$18,M188)))</f>
        <v/>
      </c>
      <c r="L188">
        <f>IF(OR(B188="",E188=""),"",B188+MOD(N(C188),1)+ROW()/10000000)</f>
        <v/>
      </c>
      <c r="M188">
        <f>IF(D188="","",IFERROR(MATCH(D188,Settings!$B$10:$B$18,0),""))</f>
        <v/>
      </c>
      <c r="N188">
        <f>IF(OR(B188="",E188="",M188=""),"",IF(AND(B188&gt;=Settings!$C$6,B188&lt;=Settings!$C$7),M188*10000+E188,""))</f>
        <v/>
      </c>
      <c r="O188">
        <f>IF(OR(B188="",E188=""),"",B188*10000+E188)</f>
        <v/>
      </c>
      <c r="P188">
        <f>IF(N188="","",E188)</f>
        <v/>
      </c>
    </row>
    <row r="189">
      <c r="A189" s="1" t="n"/>
      <c r="B189" s="20" t="n"/>
      <c r="C189" s="21" t="n"/>
      <c r="D189" s="22" t="n"/>
      <c r="E189" s="23" t="n"/>
      <c r="F189" s="22" t="n"/>
      <c r="G189" s="14">
        <f>IF(OR(B189="",E189="",J189="",K189=""),"",IF(E189&lt;J189,"Below",IF(E189&gt;K189,"Above","In range")))</f>
        <v/>
      </c>
      <c r="H189" s="1" t="n"/>
      <c r="J189">
        <f>IF(M189="","",IF(INDEX(Settings!$C$10:$C$18,M189)="","",INDEX(Settings!$C$10:$C$18,M189)))</f>
        <v/>
      </c>
      <c r="K189">
        <f>IF(M189="","",IF(INDEX(Settings!$D$10:$D$18,M189)="","",INDEX(Settings!$D$10:$D$18,M189)))</f>
        <v/>
      </c>
      <c r="L189">
        <f>IF(OR(B189="",E189=""),"",B189+MOD(N(C189),1)+ROW()/10000000)</f>
        <v/>
      </c>
      <c r="M189">
        <f>IF(D189="","",IFERROR(MATCH(D189,Settings!$B$10:$B$18,0),""))</f>
        <v/>
      </c>
      <c r="N189">
        <f>IF(OR(B189="",E189="",M189=""),"",IF(AND(B189&gt;=Settings!$C$6,B189&lt;=Settings!$C$7),M189*10000+E189,""))</f>
        <v/>
      </c>
      <c r="O189">
        <f>IF(OR(B189="",E189=""),"",B189*10000+E189)</f>
        <v/>
      </c>
      <c r="P189">
        <f>IF(N189="","",E189)</f>
        <v/>
      </c>
    </row>
    <row r="190">
      <c r="A190" s="1" t="n"/>
      <c r="B190" s="20" t="n"/>
      <c r="C190" s="21" t="n"/>
      <c r="D190" s="22" t="n"/>
      <c r="E190" s="23" t="n"/>
      <c r="F190" s="22" t="n"/>
      <c r="G190" s="14">
        <f>IF(OR(B190="",E190="",J190="",K190=""),"",IF(E190&lt;J190,"Below",IF(E190&gt;K190,"Above","In range")))</f>
        <v/>
      </c>
      <c r="H190" s="1" t="n"/>
      <c r="J190">
        <f>IF(M190="","",IF(INDEX(Settings!$C$10:$C$18,M190)="","",INDEX(Settings!$C$10:$C$18,M190)))</f>
        <v/>
      </c>
      <c r="K190">
        <f>IF(M190="","",IF(INDEX(Settings!$D$10:$D$18,M190)="","",INDEX(Settings!$D$10:$D$18,M190)))</f>
        <v/>
      </c>
      <c r="L190">
        <f>IF(OR(B190="",E190=""),"",B190+MOD(N(C190),1)+ROW()/10000000)</f>
        <v/>
      </c>
      <c r="M190">
        <f>IF(D190="","",IFERROR(MATCH(D190,Settings!$B$10:$B$18,0),""))</f>
        <v/>
      </c>
      <c r="N190">
        <f>IF(OR(B190="",E190="",M190=""),"",IF(AND(B190&gt;=Settings!$C$6,B190&lt;=Settings!$C$7),M190*10000+E190,""))</f>
        <v/>
      </c>
      <c r="O190">
        <f>IF(OR(B190="",E190=""),"",B190*10000+E190)</f>
        <v/>
      </c>
      <c r="P190">
        <f>IF(N190="","",E190)</f>
        <v/>
      </c>
    </row>
    <row r="191">
      <c r="A191" s="1" t="n"/>
      <c r="B191" s="20" t="n"/>
      <c r="C191" s="21" t="n"/>
      <c r="D191" s="22" t="n"/>
      <c r="E191" s="23" t="n"/>
      <c r="F191" s="22" t="n"/>
      <c r="G191" s="14">
        <f>IF(OR(B191="",E191="",J191="",K191=""),"",IF(E191&lt;J191,"Below",IF(E191&gt;K191,"Above","In range")))</f>
        <v/>
      </c>
      <c r="H191" s="1" t="n"/>
      <c r="J191">
        <f>IF(M191="","",IF(INDEX(Settings!$C$10:$C$18,M191)="","",INDEX(Settings!$C$10:$C$18,M191)))</f>
        <v/>
      </c>
      <c r="K191">
        <f>IF(M191="","",IF(INDEX(Settings!$D$10:$D$18,M191)="","",INDEX(Settings!$D$10:$D$18,M191)))</f>
        <v/>
      </c>
      <c r="L191">
        <f>IF(OR(B191="",E191=""),"",B191+MOD(N(C191),1)+ROW()/10000000)</f>
        <v/>
      </c>
      <c r="M191">
        <f>IF(D191="","",IFERROR(MATCH(D191,Settings!$B$10:$B$18,0),""))</f>
        <v/>
      </c>
      <c r="N191">
        <f>IF(OR(B191="",E191="",M191=""),"",IF(AND(B191&gt;=Settings!$C$6,B191&lt;=Settings!$C$7),M191*10000+E191,""))</f>
        <v/>
      </c>
      <c r="O191">
        <f>IF(OR(B191="",E191=""),"",B191*10000+E191)</f>
        <v/>
      </c>
      <c r="P191">
        <f>IF(N191="","",E191)</f>
        <v/>
      </c>
    </row>
    <row r="192">
      <c r="A192" s="1" t="n"/>
      <c r="B192" s="20" t="n"/>
      <c r="C192" s="21" t="n"/>
      <c r="D192" s="22" t="n"/>
      <c r="E192" s="23" t="n"/>
      <c r="F192" s="22" t="n"/>
      <c r="G192" s="14">
        <f>IF(OR(B192="",E192="",J192="",K192=""),"",IF(E192&lt;J192,"Below",IF(E192&gt;K192,"Above","In range")))</f>
        <v/>
      </c>
      <c r="H192" s="1" t="n"/>
      <c r="J192">
        <f>IF(M192="","",IF(INDEX(Settings!$C$10:$C$18,M192)="","",INDEX(Settings!$C$10:$C$18,M192)))</f>
        <v/>
      </c>
      <c r="K192">
        <f>IF(M192="","",IF(INDEX(Settings!$D$10:$D$18,M192)="","",INDEX(Settings!$D$10:$D$18,M192)))</f>
        <v/>
      </c>
      <c r="L192">
        <f>IF(OR(B192="",E192=""),"",B192+MOD(N(C192),1)+ROW()/10000000)</f>
        <v/>
      </c>
      <c r="M192">
        <f>IF(D192="","",IFERROR(MATCH(D192,Settings!$B$10:$B$18,0),""))</f>
        <v/>
      </c>
      <c r="N192">
        <f>IF(OR(B192="",E192="",M192=""),"",IF(AND(B192&gt;=Settings!$C$6,B192&lt;=Settings!$C$7),M192*10000+E192,""))</f>
        <v/>
      </c>
      <c r="O192">
        <f>IF(OR(B192="",E192=""),"",B192*10000+E192)</f>
        <v/>
      </c>
      <c r="P192">
        <f>IF(N192="","",E192)</f>
        <v/>
      </c>
    </row>
    <row r="193">
      <c r="A193" s="1" t="n"/>
      <c r="B193" s="20" t="n"/>
      <c r="C193" s="21" t="n"/>
      <c r="D193" s="22" t="n"/>
      <c r="E193" s="23" t="n"/>
      <c r="F193" s="22" t="n"/>
      <c r="G193" s="14">
        <f>IF(OR(B193="",E193="",J193="",K193=""),"",IF(E193&lt;J193,"Below",IF(E193&gt;K193,"Above","In range")))</f>
        <v/>
      </c>
      <c r="H193" s="1" t="n"/>
      <c r="J193">
        <f>IF(M193="","",IF(INDEX(Settings!$C$10:$C$18,M193)="","",INDEX(Settings!$C$10:$C$18,M193)))</f>
        <v/>
      </c>
      <c r="K193">
        <f>IF(M193="","",IF(INDEX(Settings!$D$10:$D$18,M193)="","",INDEX(Settings!$D$10:$D$18,M193)))</f>
        <v/>
      </c>
      <c r="L193">
        <f>IF(OR(B193="",E193=""),"",B193+MOD(N(C193),1)+ROW()/10000000)</f>
        <v/>
      </c>
      <c r="M193">
        <f>IF(D193="","",IFERROR(MATCH(D193,Settings!$B$10:$B$18,0),""))</f>
        <v/>
      </c>
      <c r="N193">
        <f>IF(OR(B193="",E193="",M193=""),"",IF(AND(B193&gt;=Settings!$C$6,B193&lt;=Settings!$C$7),M193*10000+E193,""))</f>
        <v/>
      </c>
      <c r="O193">
        <f>IF(OR(B193="",E193=""),"",B193*10000+E193)</f>
        <v/>
      </c>
      <c r="P193">
        <f>IF(N193="","",E193)</f>
        <v/>
      </c>
    </row>
    <row r="194">
      <c r="A194" s="1" t="n"/>
      <c r="B194" s="20" t="n"/>
      <c r="C194" s="21" t="n"/>
      <c r="D194" s="22" t="n"/>
      <c r="E194" s="23" t="n"/>
      <c r="F194" s="22" t="n"/>
      <c r="G194" s="14">
        <f>IF(OR(B194="",E194="",J194="",K194=""),"",IF(E194&lt;J194,"Below",IF(E194&gt;K194,"Above","In range")))</f>
        <v/>
      </c>
      <c r="H194" s="1" t="n"/>
      <c r="J194">
        <f>IF(M194="","",IF(INDEX(Settings!$C$10:$C$18,M194)="","",INDEX(Settings!$C$10:$C$18,M194)))</f>
        <v/>
      </c>
      <c r="K194">
        <f>IF(M194="","",IF(INDEX(Settings!$D$10:$D$18,M194)="","",INDEX(Settings!$D$10:$D$18,M194)))</f>
        <v/>
      </c>
      <c r="L194">
        <f>IF(OR(B194="",E194=""),"",B194+MOD(N(C194),1)+ROW()/10000000)</f>
        <v/>
      </c>
      <c r="M194">
        <f>IF(D194="","",IFERROR(MATCH(D194,Settings!$B$10:$B$18,0),""))</f>
        <v/>
      </c>
      <c r="N194">
        <f>IF(OR(B194="",E194="",M194=""),"",IF(AND(B194&gt;=Settings!$C$6,B194&lt;=Settings!$C$7),M194*10000+E194,""))</f>
        <v/>
      </c>
      <c r="O194">
        <f>IF(OR(B194="",E194=""),"",B194*10000+E194)</f>
        <v/>
      </c>
      <c r="P194">
        <f>IF(N194="","",E194)</f>
        <v/>
      </c>
    </row>
    <row r="195">
      <c r="A195" s="1" t="n"/>
      <c r="B195" s="20" t="n"/>
      <c r="C195" s="21" t="n"/>
      <c r="D195" s="22" t="n"/>
      <c r="E195" s="23" t="n"/>
      <c r="F195" s="22" t="n"/>
      <c r="G195" s="14">
        <f>IF(OR(B195="",E195="",J195="",K195=""),"",IF(E195&lt;J195,"Below",IF(E195&gt;K195,"Above","In range")))</f>
        <v/>
      </c>
      <c r="H195" s="1" t="n"/>
      <c r="J195">
        <f>IF(M195="","",IF(INDEX(Settings!$C$10:$C$18,M195)="","",INDEX(Settings!$C$10:$C$18,M195)))</f>
        <v/>
      </c>
      <c r="K195">
        <f>IF(M195="","",IF(INDEX(Settings!$D$10:$D$18,M195)="","",INDEX(Settings!$D$10:$D$18,M195)))</f>
        <v/>
      </c>
      <c r="L195">
        <f>IF(OR(B195="",E195=""),"",B195+MOD(N(C195),1)+ROW()/10000000)</f>
        <v/>
      </c>
      <c r="M195">
        <f>IF(D195="","",IFERROR(MATCH(D195,Settings!$B$10:$B$18,0),""))</f>
        <v/>
      </c>
      <c r="N195">
        <f>IF(OR(B195="",E195="",M195=""),"",IF(AND(B195&gt;=Settings!$C$6,B195&lt;=Settings!$C$7),M195*10000+E195,""))</f>
        <v/>
      </c>
      <c r="O195">
        <f>IF(OR(B195="",E195=""),"",B195*10000+E195)</f>
        <v/>
      </c>
      <c r="P195">
        <f>IF(N195="","",E195)</f>
        <v/>
      </c>
    </row>
    <row r="196">
      <c r="A196" s="1" t="n"/>
      <c r="B196" s="20" t="n"/>
      <c r="C196" s="21" t="n"/>
      <c r="D196" s="22" t="n"/>
      <c r="E196" s="23" t="n"/>
      <c r="F196" s="22" t="n"/>
      <c r="G196" s="14">
        <f>IF(OR(B196="",E196="",J196="",K196=""),"",IF(E196&lt;J196,"Below",IF(E196&gt;K196,"Above","In range")))</f>
        <v/>
      </c>
      <c r="H196" s="1" t="n"/>
      <c r="J196">
        <f>IF(M196="","",IF(INDEX(Settings!$C$10:$C$18,M196)="","",INDEX(Settings!$C$10:$C$18,M196)))</f>
        <v/>
      </c>
      <c r="K196">
        <f>IF(M196="","",IF(INDEX(Settings!$D$10:$D$18,M196)="","",INDEX(Settings!$D$10:$D$18,M196)))</f>
        <v/>
      </c>
      <c r="L196">
        <f>IF(OR(B196="",E196=""),"",B196+MOD(N(C196),1)+ROW()/10000000)</f>
        <v/>
      </c>
      <c r="M196">
        <f>IF(D196="","",IFERROR(MATCH(D196,Settings!$B$10:$B$18,0),""))</f>
        <v/>
      </c>
      <c r="N196">
        <f>IF(OR(B196="",E196="",M196=""),"",IF(AND(B196&gt;=Settings!$C$6,B196&lt;=Settings!$C$7),M196*10000+E196,""))</f>
        <v/>
      </c>
      <c r="O196">
        <f>IF(OR(B196="",E196=""),"",B196*10000+E196)</f>
        <v/>
      </c>
      <c r="P196">
        <f>IF(N196="","",E196)</f>
        <v/>
      </c>
    </row>
    <row r="197">
      <c r="A197" s="1" t="n"/>
      <c r="B197" s="20" t="n"/>
      <c r="C197" s="21" t="n"/>
      <c r="D197" s="22" t="n"/>
      <c r="E197" s="23" t="n"/>
      <c r="F197" s="22" t="n"/>
      <c r="G197" s="14">
        <f>IF(OR(B197="",E197="",J197="",K197=""),"",IF(E197&lt;J197,"Below",IF(E197&gt;K197,"Above","In range")))</f>
        <v/>
      </c>
      <c r="H197" s="1" t="n"/>
      <c r="J197">
        <f>IF(M197="","",IF(INDEX(Settings!$C$10:$C$18,M197)="","",INDEX(Settings!$C$10:$C$18,M197)))</f>
        <v/>
      </c>
      <c r="K197">
        <f>IF(M197="","",IF(INDEX(Settings!$D$10:$D$18,M197)="","",INDEX(Settings!$D$10:$D$18,M197)))</f>
        <v/>
      </c>
      <c r="L197">
        <f>IF(OR(B197="",E197=""),"",B197+MOD(N(C197),1)+ROW()/10000000)</f>
        <v/>
      </c>
      <c r="M197">
        <f>IF(D197="","",IFERROR(MATCH(D197,Settings!$B$10:$B$18,0),""))</f>
        <v/>
      </c>
      <c r="N197">
        <f>IF(OR(B197="",E197="",M197=""),"",IF(AND(B197&gt;=Settings!$C$6,B197&lt;=Settings!$C$7),M197*10000+E197,""))</f>
        <v/>
      </c>
      <c r="O197">
        <f>IF(OR(B197="",E197=""),"",B197*10000+E197)</f>
        <v/>
      </c>
      <c r="P197">
        <f>IF(N197="","",E197)</f>
        <v/>
      </c>
    </row>
    <row r="198">
      <c r="A198" s="1" t="n"/>
      <c r="B198" s="20" t="n"/>
      <c r="C198" s="21" t="n"/>
      <c r="D198" s="22" t="n"/>
      <c r="E198" s="23" t="n"/>
      <c r="F198" s="22" t="n"/>
      <c r="G198" s="14">
        <f>IF(OR(B198="",E198="",J198="",K198=""),"",IF(E198&lt;J198,"Below",IF(E198&gt;K198,"Above","In range")))</f>
        <v/>
      </c>
      <c r="H198" s="1" t="n"/>
      <c r="J198">
        <f>IF(M198="","",IF(INDEX(Settings!$C$10:$C$18,M198)="","",INDEX(Settings!$C$10:$C$18,M198)))</f>
        <v/>
      </c>
      <c r="K198">
        <f>IF(M198="","",IF(INDEX(Settings!$D$10:$D$18,M198)="","",INDEX(Settings!$D$10:$D$18,M198)))</f>
        <v/>
      </c>
      <c r="L198">
        <f>IF(OR(B198="",E198=""),"",B198+MOD(N(C198),1)+ROW()/10000000)</f>
        <v/>
      </c>
      <c r="M198">
        <f>IF(D198="","",IFERROR(MATCH(D198,Settings!$B$10:$B$18,0),""))</f>
        <v/>
      </c>
      <c r="N198">
        <f>IF(OR(B198="",E198="",M198=""),"",IF(AND(B198&gt;=Settings!$C$6,B198&lt;=Settings!$C$7),M198*10000+E198,""))</f>
        <v/>
      </c>
      <c r="O198">
        <f>IF(OR(B198="",E198=""),"",B198*10000+E198)</f>
        <v/>
      </c>
      <c r="P198">
        <f>IF(N198="","",E198)</f>
        <v/>
      </c>
    </row>
    <row r="199">
      <c r="A199" s="1" t="n"/>
      <c r="B199" s="20" t="n"/>
      <c r="C199" s="21" t="n"/>
      <c r="D199" s="22" t="n"/>
      <c r="E199" s="23" t="n"/>
      <c r="F199" s="22" t="n"/>
      <c r="G199" s="14">
        <f>IF(OR(B199="",E199="",J199="",K199=""),"",IF(E199&lt;J199,"Below",IF(E199&gt;K199,"Above","In range")))</f>
        <v/>
      </c>
      <c r="H199" s="1" t="n"/>
      <c r="J199">
        <f>IF(M199="","",IF(INDEX(Settings!$C$10:$C$18,M199)="","",INDEX(Settings!$C$10:$C$18,M199)))</f>
        <v/>
      </c>
      <c r="K199">
        <f>IF(M199="","",IF(INDEX(Settings!$D$10:$D$18,M199)="","",INDEX(Settings!$D$10:$D$18,M199)))</f>
        <v/>
      </c>
      <c r="L199">
        <f>IF(OR(B199="",E199=""),"",B199+MOD(N(C199),1)+ROW()/10000000)</f>
        <v/>
      </c>
      <c r="M199">
        <f>IF(D199="","",IFERROR(MATCH(D199,Settings!$B$10:$B$18,0),""))</f>
        <v/>
      </c>
      <c r="N199">
        <f>IF(OR(B199="",E199="",M199=""),"",IF(AND(B199&gt;=Settings!$C$6,B199&lt;=Settings!$C$7),M199*10000+E199,""))</f>
        <v/>
      </c>
      <c r="O199">
        <f>IF(OR(B199="",E199=""),"",B199*10000+E199)</f>
        <v/>
      </c>
      <c r="P199">
        <f>IF(N199="","",E199)</f>
        <v/>
      </c>
    </row>
    <row r="200">
      <c r="A200" s="1" t="n"/>
      <c r="B200" s="20" t="n"/>
      <c r="C200" s="21" t="n"/>
      <c r="D200" s="22" t="n"/>
      <c r="E200" s="23" t="n"/>
      <c r="F200" s="22" t="n"/>
      <c r="G200" s="14">
        <f>IF(OR(B200="",E200="",J200="",K200=""),"",IF(E200&lt;J200,"Below",IF(E200&gt;K200,"Above","In range")))</f>
        <v/>
      </c>
      <c r="H200" s="1" t="n"/>
      <c r="J200">
        <f>IF(M200="","",IF(INDEX(Settings!$C$10:$C$18,M200)="","",INDEX(Settings!$C$10:$C$18,M200)))</f>
        <v/>
      </c>
      <c r="K200">
        <f>IF(M200="","",IF(INDEX(Settings!$D$10:$D$18,M200)="","",INDEX(Settings!$D$10:$D$18,M200)))</f>
        <v/>
      </c>
      <c r="L200">
        <f>IF(OR(B200="",E200=""),"",B200+MOD(N(C200),1)+ROW()/10000000)</f>
        <v/>
      </c>
      <c r="M200">
        <f>IF(D200="","",IFERROR(MATCH(D200,Settings!$B$10:$B$18,0),""))</f>
        <v/>
      </c>
      <c r="N200">
        <f>IF(OR(B200="",E200="",M200=""),"",IF(AND(B200&gt;=Settings!$C$6,B200&lt;=Settings!$C$7),M200*10000+E200,""))</f>
        <v/>
      </c>
      <c r="O200">
        <f>IF(OR(B200="",E200=""),"",B200*10000+E200)</f>
        <v/>
      </c>
      <c r="P200">
        <f>IF(N200="","",E200)</f>
        <v/>
      </c>
    </row>
    <row r="201">
      <c r="A201" s="1" t="n"/>
      <c r="B201" s="20" t="n"/>
      <c r="C201" s="21" t="n"/>
      <c r="D201" s="22" t="n"/>
      <c r="E201" s="23" t="n"/>
      <c r="F201" s="22" t="n"/>
      <c r="G201" s="14">
        <f>IF(OR(B201="",E201="",J201="",K201=""),"",IF(E201&lt;J201,"Below",IF(E201&gt;K201,"Above","In range")))</f>
        <v/>
      </c>
      <c r="H201" s="1" t="n"/>
      <c r="J201">
        <f>IF(M201="","",IF(INDEX(Settings!$C$10:$C$18,M201)="","",INDEX(Settings!$C$10:$C$18,M201)))</f>
        <v/>
      </c>
      <c r="K201">
        <f>IF(M201="","",IF(INDEX(Settings!$D$10:$D$18,M201)="","",INDEX(Settings!$D$10:$D$18,M201)))</f>
        <v/>
      </c>
      <c r="L201">
        <f>IF(OR(B201="",E201=""),"",B201+MOD(N(C201),1)+ROW()/10000000)</f>
        <v/>
      </c>
      <c r="M201">
        <f>IF(D201="","",IFERROR(MATCH(D201,Settings!$B$10:$B$18,0),""))</f>
        <v/>
      </c>
      <c r="N201">
        <f>IF(OR(B201="",E201="",M201=""),"",IF(AND(B201&gt;=Settings!$C$6,B201&lt;=Settings!$C$7),M201*10000+E201,""))</f>
        <v/>
      </c>
      <c r="O201">
        <f>IF(OR(B201="",E201=""),"",B201*10000+E201)</f>
        <v/>
      </c>
      <c r="P201">
        <f>IF(N201="","",E201)</f>
        <v/>
      </c>
    </row>
    <row r="202">
      <c r="A202" s="1" t="n"/>
      <c r="B202" s="20" t="n"/>
      <c r="C202" s="21" t="n"/>
      <c r="D202" s="22" t="n"/>
      <c r="E202" s="23" t="n"/>
      <c r="F202" s="22" t="n"/>
      <c r="G202" s="14">
        <f>IF(OR(B202="",E202="",J202="",K202=""),"",IF(E202&lt;J202,"Below",IF(E202&gt;K202,"Above","In range")))</f>
        <v/>
      </c>
      <c r="H202" s="1" t="n"/>
      <c r="J202">
        <f>IF(M202="","",IF(INDEX(Settings!$C$10:$C$18,M202)="","",INDEX(Settings!$C$10:$C$18,M202)))</f>
        <v/>
      </c>
      <c r="K202">
        <f>IF(M202="","",IF(INDEX(Settings!$D$10:$D$18,M202)="","",INDEX(Settings!$D$10:$D$18,M202)))</f>
        <v/>
      </c>
      <c r="L202">
        <f>IF(OR(B202="",E202=""),"",B202+MOD(N(C202),1)+ROW()/10000000)</f>
        <v/>
      </c>
      <c r="M202">
        <f>IF(D202="","",IFERROR(MATCH(D202,Settings!$B$10:$B$18,0),""))</f>
        <v/>
      </c>
      <c r="N202">
        <f>IF(OR(B202="",E202="",M202=""),"",IF(AND(B202&gt;=Settings!$C$6,B202&lt;=Settings!$C$7),M202*10000+E202,""))</f>
        <v/>
      </c>
      <c r="O202">
        <f>IF(OR(B202="",E202=""),"",B202*10000+E202)</f>
        <v/>
      </c>
      <c r="P202">
        <f>IF(N202="","",E202)</f>
        <v/>
      </c>
    </row>
    <row r="203">
      <c r="A203" s="1" t="n"/>
      <c r="B203" s="20" t="n"/>
      <c r="C203" s="21" t="n"/>
      <c r="D203" s="22" t="n"/>
      <c r="E203" s="23" t="n"/>
      <c r="F203" s="22" t="n"/>
      <c r="G203" s="14">
        <f>IF(OR(B203="",E203="",J203="",K203=""),"",IF(E203&lt;J203,"Below",IF(E203&gt;K203,"Above","In range")))</f>
        <v/>
      </c>
      <c r="H203" s="1" t="n"/>
      <c r="J203">
        <f>IF(M203="","",IF(INDEX(Settings!$C$10:$C$18,M203)="","",INDEX(Settings!$C$10:$C$18,M203)))</f>
        <v/>
      </c>
      <c r="K203">
        <f>IF(M203="","",IF(INDEX(Settings!$D$10:$D$18,M203)="","",INDEX(Settings!$D$10:$D$18,M203)))</f>
        <v/>
      </c>
      <c r="L203">
        <f>IF(OR(B203="",E203=""),"",B203+MOD(N(C203),1)+ROW()/10000000)</f>
        <v/>
      </c>
      <c r="M203">
        <f>IF(D203="","",IFERROR(MATCH(D203,Settings!$B$10:$B$18,0),""))</f>
        <v/>
      </c>
      <c r="N203">
        <f>IF(OR(B203="",E203="",M203=""),"",IF(AND(B203&gt;=Settings!$C$6,B203&lt;=Settings!$C$7),M203*10000+E203,""))</f>
        <v/>
      </c>
      <c r="O203">
        <f>IF(OR(B203="",E203=""),"",B203*10000+E203)</f>
        <v/>
      </c>
      <c r="P203">
        <f>IF(N203="","",E203)</f>
        <v/>
      </c>
    </row>
    <row r="204">
      <c r="A204" s="1" t="n"/>
      <c r="B204" s="20" t="n"/>
      <c r="C204" s="21" t="n"/>
      <c r="D204" s="22" t="n"/>
      <c r="E204" s="23" t="n"/>
      <c r="F204" s="22" t="n"/>
      <c r="G204" s="14">
        <f>IF(OR(B204="",E204="",J204="",K204=""),"",IF(E204&lt;J204,"Below",IF(E204&gt;K204,"Above","In range")))</f>
        <v/>
      </c>
      <c r="H204" s="1" t="n"/>
      <c r="J204">
        <f>IF(M204="","",IF(INDEX(Settings!$C$10:$C$18,M204)="","",INDEX(Settings!$C$10:$C$18,M204)))</f>
        <v/>
      </c>
      <c r="K204">
        <f>IF(M204="","",IF(INDEX(Settings!$D$10:$D$18,M204)="","",INDEX(Settings!$D$10:$D$18,M204)))</f>
        <v/>
      </c>
      <c r="L204">
        <f>IF(OR(B204="",E204=""),"",B204+MOD(N(C204),1)+ROW()/10000000)</f>
        <v/>
      </c>
      <c r="M204">
        <f>IF(D204="","",IFERROR(MATCH(D204,Settings!$B$10:$B$18,0),""))</f>
        <v/>
      </c>
      <c r="N204">
        <f>IF(OR(B204="",E204="",M204=""),"",IF(AND(B204&gt;=Settings!$C$6,B204&lt;=Settings!$C$7),M204*10000+E204,""))</f>
        <v/>
      </c>
      <c r="O204">
        <f>IF(OR(B204="",E204=""),"",B204*10000+E204)</f>
        <v/>
      </c>
      <c r="P204">
        <f>IF(N204="","",E204)</f>
        <v/>
      </c>
    </row>
    <row r="205">
      <c r="A205" s="1" t="n"/>
      <c r="B205" s="20" t="n"/>
      <c r="C205" s="21" t="n"/>
      <c r="D205" s="22" t="n"/>
      <c r="E205" s="23" t="n"/>
      <c r="F205" s="22" t="n"/>
      <c r="G205" s="14">
        <f>IF(OR(B205="",E205="",J205="",K205=""),"",IF(E205&lt;J205,"Below",IF(E205&gt;K205,"Above","In range")))</f>
        <v/>
      </c>
      <c r="H205" s="1" t="n"/>
      <c r="J205">
        <f>IF(M205="","",IF(INDEX(Settings!$C$10:$C$18,M205)="","",INDEX(Settings!$C$10:$C$18,M205)))</f>
        <v/>
      </c>
      <c r="K205">
        <f>IF(M205="","",IF(INDEX(Settings!$D$10:$D$18,M205)="","",INDEX(Settings!$D$10:$D$18,M205)))</f>
        <v/>
      </c>
      <c r="L205">
        <f>IF(OR(B205="",E205=""),"",B205+MOD(N(C205),1)+ROW()/10000000)</f>
        <v/>
      </c>
      <c r="M205">
        <f>IF(D205="","",IFERROR(MATCH(D205,Settings!$B$10:$B$18,0),""))</f>
        <v/>
      </c>
      <c r="N205">
        <f>IF(OR(B205="",E205="",M205=""),"",IF(AND(B205&gt;=Settings!$C$6,B205&lt;=Settings!$C$7),M205*10000+E205,""))</f>
        <v/>
      </c>
      <c r="O205">
        <f>IF(OR(B205="",E205=""),"",B205*10000+E205)</f>
        <v/>
      </c>
      <c r="P205">
        <f>IF(N205="","",E205)</f>
        <v/>
      </c>
    </row>
    <row r="206">
      <c r="A206" s="1" t="n"/>
      <c r="B206" s="20" t="n"/>
      <c r="C206" s="21" t="n"/>
      <c r="D206" s="22" t="n"/>
      <c r="E206" s="23" t="n"/>
      <c r="F206" s="22" t="n"/>
      <c r="G206" s="14">
        <f>IF(OR(B206="",E206="",J206="",K206=""),"",IF(E206&lt;J206,"Below",IF(E206&gt;K206,"Above","In range")))</f>
        <v/>
      </c>
      <c r="H206" s="1" t="n"/>
      <c r="J206">
        <f>IF(M206="","",IF(INDEX(Settings!$C$10:$C$18,M206)="","",INDEX(Settings!$C$10:$C$18,M206)))</f>
        <v/>
      </c>
      <c r="K206">
        <f>IF(M206="","",IF(INDEX(Settings!$D$10:$D$18,M206)="","",INDEX(Settings!$D$10:$D$18,M206)))</f>
        <v/>
      </c>
      <c r="L206">
        <f>IF(OR(B206="",E206=""),"",B206+MOD(N(C206),1)+ROW()/10000000)</f>
        <v/>
      </c>
      <c r="M206">
        <f>IF(D206="","",IFERROR(MATCH(D206,Settings!$B$10:$B$18,0),""))</f>
        <v/>
      </c>
      <c r="N206">
        <f>IF(OR(B206="",E206="",M206=""),"",IF(AND(B206&gt;=Settings!$C$6,B206&lt;=Settings!$C$7),M206*10000+E206,""))</f>
        <v/>
      </c>
      <c r="O206">
        <f>IF(OR(B206="",E206=""),"",B206*10000+E206)</f>
        <v/>
      </c>
      <c r="P206">
        <f>IF(N206="","",E206)</f>
        <v/>
      </c>
    </row>
    <row r="207">
      <c r="A207" s="1" t="n"/>
      <c r="B207" s="20" t="n"/>
      <c r="C207" s="21" t="n"/>
      <c r="D207" s="22" t="n"/>
      <c r="E207" s="23" t="n"/>
      <c r="F207" s="22" t="n"/>
      <c r="G207" s="14">
        <f>IF(OR(B207="",E207="",J207="",K207=""),"",IF(E207&lt;J207,"Below",IF(E207&gt;K207,"Above","In range")))</f>
        <v/>
      </c>
      <c r="H207" s="1" t="n"/>
      <c r="J207">
        <f>IF(M207="","",IF(INDEX(Settings!$C$10:$C$18,M207)="","",INDEX(Settings!$C$10:$C$18,M207)))</f>
        <v/>
      </c>
      <c r="K207">
        <f>IF(M207="","",IF(INDEX(Settings!$D$10:$D$18,M207)="","",INDEX(Settings!$D$10:$D$18,M207)))</f>
        <v/>
      </c>
      <c r="L207">
        <f>IF(OR(B207="",E207=""),"",B207+MOD(N(C207),1)+ROW()/10000000)</f>
        <v/>
      </c>
      <c r="M207">
        <f>IF(D207="","",IFERROR(MATCH(D207,Settings!$B$10:$B$18,0),""))</f>
        <v/>
      </c>
      <c r="N207">
        <f>IF(OR(B207="",E207="",M207=""),"",IF(AND(B207&gt;=Settings!$C$6,B207&lt;=Settings!$C$7),M207*10000+E207,""))</f>
        <v/>
      </c>
      <c r="O207">
        <f>IF(OR(B207="",E207=""),"",B207*10000+E207)</f>
        <v/>
      </c>
      <c r="P207">
        <f>IF(N207="","",E207)</f>
        <v/>
      </c>
    </row>
    <row r="208">
      <c r="A208" s="1" t="n"/>
      <c r="B208" s="20" t="n"/>
      <c r="C208" s="21" t="n"/>
      <c r="D208" s="22" t="n"/>
      <c r="E208" s="23" t="n"/>
      <c r="F208" s="22" t="n"/>
      <c r="G208" s="14">
        <f>IF(OR(B208="",E208="",J208="",K208=""),"",IF(E208&lt;J208,"Below",IF(E208&gt;K208,"Above","In range")))</f>
        <v/>
      </c>
      <c r="H208" s="1" t="n"/>
      <c r="J208">
        <f>IF(M208="","",IF(INDEX(Settings!$C$10:$C$18,M208)="","",INDEX(Settings!$C$10:$C$18,M208)))</f>
        <v/>
      </c>
      <c r="K208">
        <f>IF(M208="","",IF(INDEX(Settings!$D$10:$D$18,M208)="","",INDEX(Settings!$D$10:$D$18,M208)))</f>
        <v/>
      </c>
      <c r="L208">
        <f>IF(OR(B208="",E208=""),"",B208+MOD(N(C208),1)+ROW()/10000000)</f>
        <v/>
      </c>
      <c r="M208">
        <f>IF(D208="","",IFERROR(MATCH(D208,Settings!$B$10:$B$18,0),""))</f>
        <v/>
      </c>
      <c r="N208">
        <f>IF(OR(B208="",E208="",M208=""),"",IF(AND(B208&gt;=Settings!$C$6,B208&lt;=Settings!$C$7),M208*10000+E208,""))</f>
        <v/>
      </c>
      <c r="O208">
        <f>IF(OR(B208="",E208=""),"",B208*10000+E208)</f>
        <v/>
      </c>
      <c r="P208">
        <f>IF(N208="","",E208)</f>
        <v/>
      </c>
    </row>
    <row r="209">
      <c r="A209" s="1" t="n"/>
      <c r="B209" s="20" t="n"/>
      <c r="C209" s="21" t="n"/>
      <c r="D209" s="22" t="n"/>
      <c r="E209" s="23" t="n"/>
      <c r="F209" s="22" t="n"/>
      <c r="G209" s="14">
        <f>IF(OR(B209="",E209="",J209="",K209=""),"",IF(E209&lt;J209,"Below",IF(E209&gt;K209,"Above","In range")))</f>
        <v/>
      </c>
      <c r="H209" s="1" t="n"/>
      <c r="J209">
        <f>IF(M209="","",IF(INDEX(Settings!$C$10:$C$18,M209)="","",INDEX(Settings!$C$10:$C$18,M209)))</f>
        <v/>
      </c>
      <c r="K209">
        <f>IF(M209="","",IF(INDEX(Settings!$D$10:$D$18,M209)="","",INDEX(Settings!$D$10:$D$18,M209)))</f>
        <v/>
      </c>
      <c r="L209">
        <f>IF(OR(B209="",E209=""),"",B209+MOD(N(C209),1)+ROW()/10000000)</f>
        <v/>
      </c>
      <c r="M209">
        <f>IF(D209="","",IFERROR(MATCH(D209,Settings!$B$10:$B$18,0),""))</f>
        <v/>
      </c>
      <c r="N209">
        <f>IF(OR(B209="",E209="",M209=""),"",IF(AND(B209&gt;=Settings!$C$6,B209&lt;=Settings!$C$7),M209*10000+E209,""))</f>
        <v/>
      </c>
      <c r="O209">
        <f>IF(OR(B209="",E209=""),"",B209*10000+E209)</f>
        <v/>
      </c>
      <c r="P209">
        <f>IF(N209="","",E209)</f>
        <v/>
      </c>
    </row>
    <row r="210">
      <c r="A210" s="1" t="n"/>
      <c r="B210" s="20" t="n"/>
      <c r="C210" s="21" t="n"/>
      <c r="D210" s="22" t="n"/>
      <c r="E210" s="23" t="n"/>
      <c r="F210" s="22" t="n"/>
      <c r="G210" s="14">
        <f>IF(OR(B210="",E210="",J210="",K210=""),"",IF(E210&lt;J210,"Below",IF(E210&gt;K210,"Above","In range")))</f>
        <v/>
      </c>
      <c r="H210" s="1" t="n"/>
      <c r="J210">
        <f>IF(M210="","",IF(INDEX(Settings!$C$10:$C$18,M210)="","",INDEX(Settings!$C$10:$C$18,M210)))</f>
        <v/>
      </c>
      <c r="K210">
        <f>IF(M210="","",IF(INDEX(Settings!$D$10:$D$18,M210)="","",INDEX(Settings!$D$10:$D$18,M210)))</f>
        <v/>
      </c>
      <c r="L210">
        <f>IF(OR(B210="",E210=""),"",B210+MOD(N(C210),1)+ROW()/10000000)</f>
        <v/>
      </c>
      <c r="M210">
        <f>IF(D210="","",IFERROR(MATCH(D210,Settings!$B$10:$B$18,0),""))</f>
        <v/>
      </c>
      <c r="N210">
        <f>IF(OR(B210="",E210="",M210=""),"",IF(AND(B210&gt;=Settings!$C$6,B210&lt;=Settings!$C$7),M210*10000+E210,""))</f>
        <v/>
      </c>
      <c r="O210">
        <f>IF(OR(B210="",E210=""),"",B210*10000+E210)</f>
        <v/>
      </c>
      <c r="P210">
        <f>IF(N210="","",E210)</f>
        <v/>
      </c>
    </row>
    <row r="211">
      <c r="A211" s="1" t="n"/>
      <c r="B211" s="20" t="n"/>
      <c r="C211" s="21" t="n"/>
      <c r="D211" s="22" t="n"/>
      <c r="E211" s="23" t="n"/>
      <c r="F211" s="22" t="n"/>
      <c r="G211" s="14">
        <f>IF(OR(B211="",E211="",J211="",K211=""),"",IF(E211&lt;J211,"Below",IF(E211&gt;K211,"Above","In range")))</f>
        <v/>
      </c>
      <c r="H211" s="1" t="n"/>
      <c r="J211">
        <f>IF(M211="","",IF(INDEX(Settings!$C$10:$C$18,M211)="","",INDEX(Settings!$C$10:$C$18,M211)))</f>
        <v/>
      </c>
      <c r="K211">
        <f>IF(M211="","",IF(INDEX(Settings!$D$10:$D$18,M211)="","",INDEX(Settings!$D$10:$D$18,M211)))</f>
        <v/>
      </c>
      <c r="L211">
        <f>IF(OR(B211="",E211=""),"",B211+MOD(N(C211),1)+ROW()/10000000)</f>
        <v/>
      </c>
      <c r="M211">
        <f>IF(D211="","",IFERROR(MATCH(D211,Settings!$B$10:$B$18,0),""))</f>
        <v/>
      </c>
      <c r="N211">
        <f>IF(OR(B211="",E211="",M211=""),"",IF(AND(B211&gt;=Settings!$C$6,B211&lt;=Settings!$C$7),M211*10000+E211,""))</f>
        <v/>
      </c>
      <c r="O211">
        <f>IF(OR(B211="",E211=""),"",B211*10000+E211)</f>
        <v/>
      </c>
      <c r="P211">
        <f>IF(N211="","",E211)</f>
        <v/>
      </c>
    </row>
    <row r="212">
      <c r="A212" s="1" t="n"/>
      <c r="B212" s="20" t="n"/>
      <c r="C212" s="21" t="n"/>
      <c r="D212" s="22" t="n"/>
      <c r="E212" s="23" t="n"/>
      <c r="F212" s="22" t="n"/>
      <c r="G212" s="14">
        <f>IF(OR(B212="",E212="",J212="",K212=""),"",IF(E212&lt;J212,"Below",IF(E212&gt;K212,"Above","In range")))</f>
        <v/>
      </c>
      <c r="H212" s="1" t="n"/>
      <c r="J212">
        <f>IF(M212="","",IF(INDEX(Settings!$C$10:$C$18,M212)="","",INDEX(Settings!$C$10:$C$18,M212)))</f>
        <v/>
      </c>
      <c r="K212">
        <f>IF(M212="","",IF(INDEX(Settings!$D$10:$D$18,M212)="","",INDEX(Settings!$D$10:$D$18,M212)))</f>
        <v/>
      </c>
      <c r="L212">
        <f>IF(OR(B212="",E212=""),"",B212+MOD(N(C212),1)+ROW()/10000000)</f>
        <v/>
      </c>
      <c r="M212">
        <f>IF(D212="","",IFERROR(MATCH(D212,Settings!$B$10:$B$18,0),""))</f>
        <v/>
      </c>
      <c r="N212">
        <f>IF(OR(B212="",E212="",M212=""),"",IF(AND(B212&gt;=Settings!$C$6,B212&lt;=Settings!$C$7),M212*10000+E212,""))</f>
        <v/>
      </c>
      <c r="O212">
        <f>IF(OR(B212="",E212=""),"",B212*10000+E212)</f>
        <v/>
      </c>
      <c r="P212">
        <f>IF(N212="","",E212)</f>
        <v/>
      </c>
    </row>
    <row r="213">
      <c r="A213" s="1" t="n"/>
      <c r="B213" s="20" t="n"/>
      <c r="C213" s="21" t="n"/>
      <c r="D213" s="22" t="n"/>
      <c r="E213" s="23" t="n"/>
      <c r="F213" s="22" t="n"/>
      <c r="G213" s="14">
        <f>IF(OR(B213="",E213="",J213="",K213=""),"",IF(E213&lt;J213,"Below",IF(E213&gt;K213,"Above","In range")))</f>
        <v/>
      </c>
      <c r="H213" s="1" t="n"/>
      <c r="J213">
        <f>IF(M213="","",IF(INDEX(Settings!$C$10:$C$18,M213)="","",INDEX(Settings!$C$10:$C$18,M213)))</f>
        <v/>
      </c>
      <c r="K213">
        <f>IF(M213="","",IF(INDEX(Settings!$D$10:$D$18,M213)="","",INDEX(Settings!$D$10:$D$18,M213)))</f>
        <v/>
      </c>
      <c r="L213">
        <f>IF(OR(B213="",E213=""),"",B213+MOD(N(C213),1)+ROW()/10000000)</f>
        <v/>
      </c>
      <c r="M213">
        <f>IF(D213="","",IFERROR(MATCH(D213,Settings!$B$10:$B$18,0),""))</f>
        <v/>
      </c>
      <c r="N213">
        <f>IF(OR(B213="",E213="",M213=""),"",IF(AND(B213&gt;=Settings!$C$6,B213&lt;=Settings!$C$7),M213*10000+E213,""))</f>
        <v/>
      </c>
      <c r="O213">
        <f>IF(OR(B213="",E213=""),"",B213*10000+E213)</f>
        <v/>
      </c>
      <c r="P213">
        <f>IF(N213="","",E213)</f>
        <v/>
      </c>
    </row>
    <row r="214">
      <c r="A214" s="1" t="n"/>
      <c r="B214" s="20" t="n"/>
      <c r="C214" s="21" t="n"/>
      <c r="D214" s="22" t="n"/>
      <c r="E214" s="23" t="n"/>
      <c r="F214" s="22" t="n"/>
      <c r="G214" s="14">
        <f>IF(OR(B214="",E214="",J214="",K214=""),"",IF(E214&lt;J214,"Below",IF(E214&gt;K214,"Above","In range")))</f>
        <v/>
      </c>
      <c r="H214" s="1" t="n"/>
      <c r="J214">
        <f>IF(M214="","",IF(INDEX(Settings!$C$10:$C$18,M214)="","",INDEX(Settings!$C$10:$C$18,M214)))</f>
        <v/>
      </c>
      <c r="K214">
        <f>IF(M214="","",IF(INDEX(Settings!$D$10:$D$18,M214)="","",INDEX(Settings!$D$10:$D$18,M214)))</f>
        <v/>
      </c>
      <c r="L214">
        <f>IF(OR(B214="",E214=""),"",B214+MOD(N(C214),1)+ROW()/10000000)</f>
        <v/>
      </c>
      <c r="M214">
        <f>IF(D214="","",IFERROR(MATCH(D214,Settings!$B$10:$B$18,0),""))</f>
        <v/>
      </c>
      <c r="N214">
        <f>IF(OR(B214="",E214="",M214=""),"",IF(AND(B214&gt;=Settings!$C$6,B214&lt;=Settings!$C$7),M214*10000+E214,""))</f>
        <v/>
      </c>
      <c r="O214">
        <f>IF(OR(B214="",E214=""),"",B214*10000+E214)</f>
        <v/>
      </c>
      <c r="P214">
        <f>IF(N214="","",E214)</f>
        <v/>
      </c>
    </row>
    <row r="215">
      <c r="A215" s="1" t="n"/>
      <c r="B215" s="20" t="n"/>
      <c r="C215" s="21" t="n"/>
      <c r="D215" s="22" t="n"/>
      <c r="E215" s="23" t="n"/>
      <c r="F215" s="22" t="n"/>
      <c r="G215" s="14">
        <f>IF(OR(B215="",E215="",J215="",K215=""),"",IF(E215&lt;J215,"Below",IF(E215&gt;K215,"Above","In range")))</f>
        <v/>
      </c>
      <c r="H215" s="1" t="n"/>
      <c r="J215">
        <f>IF(M215="","",IF(INDEX(Settings!$C$10:$C$18,M215)="","",INDEX(Settings!$C$10:$C$18,M215)))</f>
        <v/>
      </c>
      <c r="K215">
        <f>IF(M215="","",IF(INDEX(Settings!$D$10:$D$18,M215)="","",INDEX(Settings!$D$10:$D$18,M215)))</f>
        <v/>
      </c>
      <c r="L215">
        <f>IF(OR(B215="",E215=""),"",B215+MOD(N(C215),1)+ROW()/10000000)</f>
        <v/>
      </c>
      <c r="M215">
        <f>IF(D215="","",IFERROR(MATCH(D215,Settings!$B$10:$B$18,0),""))</f>
        <v/>
      </c>
      <c r="N215">
        <f>IF(OR(B215="",E215="",M215=""),"",IF(AND(B215&gt;=Settings!$C$6,B215&lt;=Settings!$C$7),M215*10000+E215,""))</f>
        <v/>
      </c>
      <c r="O215">
        <f>IF(OR(B215="",E215=""),"",B215*10000+E215)</f>
        <v/>
      </c>
      <c r="P215">
        <f>IF(N215="","",E215)</f>
        <v/>
      </c>
    </row>
    <row r="216">
      <c r="A216" s="1" t="n"/>
      <c r="B216" s="20" t="n"/>
      <c r="C216" s="21" t="n"/>
      <c r="D216" s="22" t="n"/>
      <c r="E216" s="23" t="n"/>
      <c r="F216" s="22" t="n"/>
      <c r="G216" s="14">
        <f>IF(OR(B216="",E216="",J216="",K216=""),"",IF(E216&lt;J216,"Below",IF(E216&gt;K216,"Above","In range")))</f>
        <v/>
      </c>
      <c r="H216" s="1" t="n"/>
      <c r="J216">
        <f>IF(M216="","",IF(INDEX(Settings!$C$10:$C$18,M216)="","",INDEX(Settings!$C$10:$C$18,M216)))</f>
        <v/>
      </c>
      <c r="K216">
        <f>IF(M216="","",IF(INDEX(Settings!$D$10:$D$18,M216)="","",INDEX(Settings!$D$10:$D$18,M216)))</f>
        <v/>
      </c>
      <c r="L216">
        <f>IF(OR(B216="",E216=""),"",B216+MOD(N(C216),1)+ROW()/10000000)</f>
        <v/>
      </c>
      <c r="M216">
        <f>IF(D216="","",IFERROR(MATCH(D216,Settings!$B$10:$B$18,0),""))</f>
        <v/>
      </c>
      <c r="N216">
        <f>IF(OR(B216="",E216="",M216=""),"",IF(AND(B216&gt;=Settings!$C$6,B216&lt;=Settings!$C$7),M216*10000+E216,""))</f>
        <v/>
      </c>
      <c r="O216">
        <f>IF(OR(B216="",E216=""),"",B216*10000+E216)</f>
        <v/>
      </c>
      <c r="P216">
        <f>IF(N216="","",E216)</f>
        <v/>
      </c>
    </row>
    <row r="217">
      <c r="A217" s="1" t="n"/>
      <c r="B217" s="20" t="n"/>
      <c r="C217" s="21" t="n"/>
      <c r="D217" s="22" t="n"/>
      <c r="E217" s="23" t="n"/>
      <c r="F217" s="22" t="n"/>
      <c r="G217" s="14">
        <f>IF(OR(B217="",E217="",J217="",K217=""),"",IF(E217&lt;J217,"Below",IF(E217&gt;K217,"Above","In range")))</f>
        <v/>
      </c>
      <c r="H217" s="1" t="n"/>
      <c r="J217">
        <f>IF(M217="","",IF(INDEX(Settings!$C$10:$C$18,M217)="","",INDEX(Settings!$C$10:$C$18,M217)))</f>
        <v/>
      </c>
      <c r="K217">
        <f>IF(M217="","",IF(INDEX(Settings!$D$10:$D$18,M217)="","",INDEX(Settings!$D$10:$D$18,M217)))</f>
        <v/>
      </c>
      <c r="L217">
        <f>IF(OR(B217="",E217=""),"",B217+MOD(N(C217),1)+ROW()/10000000)</f>
        <v/>
      </c>
      <c r="M217">
        <f>IF(D217="","",IFERROR(MATCH(D217,Settings!$B$10:$B$18,0),""))</f>
        <v/>
      </c>
      <c r="N217">
        <f>IF(OR(B217="",E217="",M217=""),"",IF(AND(B217&gt;=Settings!$C$6,B217&lt;=Settings!$C$7),M217*10000+E217,""))</f>
        <v/>
      </c>
      <c r="O217">
        <f>IF(OR(B217="",E217=""),"",B217*10000+E217)</f>
        <v/>
      </c>
      <c r="P217">
        <f>IF(N217="","",E217)</f>
        <v/>
      </c>
    </row>
    <row r="218">
      <c r="A218" s="1" t="n"/>
      <c r="B218" s="20" t="n"/>
      <c r="C218" s="21" t="n"/>
      <c r="D218" s="22" t="n"/>
      <c r="E218" s="23" t="n"/>
      <c r="F218" s="22" t="n"/>
      <c r="G218" s="14">
        <f>IF(OR(B218="",E218="",J218="",K218=""),"",IF(E218&lt;J218,"Below",IF(E218&gt;K218,"Above","In range")))</f>
        <v/>
      </c>
      <c r="H218" s="1" t="n"/>
      <c r="J218">
        <f>IF(M218="","",IF(INDEX(Settings!$C$10:$C$18,M218)="","",INDEX(Settings!$C$10:$C$18,M218)))</f>
        <v/>
      </c>
      <c r="K218">
        <f>IF(M218="","",IF(INDEX(Settings!$D$10:$D$18,M218)="","",INDEX(Settings!$D$10:$D$18,M218)))</f>
        <v/>
      </c>
      <c r="L218">
        <f>IF(OR(B218="",E218=""),"",B218+MOD(N(C218),1)+ROW()/10000000)</f>
        <v/>
      </c>
      <c r="M218">
        <f>IF(D218="","",IFERROR(MATCH(D218,Settings!$B$10:$B$18,0),""))</f>
        <v/>
      </c>
      <c r="N218">
        <f>IF(OR(B218="",E218="",M218=""),"",IF(AND(B218&gt;=Settings!$C$6,B218&lt;=Settings!$C$7),M218*10000+E218,""))</f>
        <v/>
      </c>
      <c r="O218">
        <f>IF(OR(B218="",E218=""),"",B218*10000+E218)</f>
        <v/>
      </c>
      <c r="P218">
        <f>IF(N218="","",E218)</f>
        <v/>
      </c>
    </row>
    <row r="219">
      <c r="A219" s="1" t="n"/>
      <c r="B219" s="20" t="n"/>
      <c r="C219" s="21" t="n"/>
      <c r="D219" s="22" t="n"/>
      <c r="E219" s="23" t="n"/>
      <c r="F219" s="22" t="n"/>
      <c r="G219" s="14">
        <f>IF(OR(B219="",E219="",J219="",K219=""),"",IF(E219&lt;J219,"Below",IF(E219&gt;K219,"Above","In range")))</f>
        <v/>
      </c>
      <c r="H219" s="1" t="n"/>
      <c r="J219">
        <f>IF(M219="","",IF(INDEX(Settings!$C$10:$C$18,M219)="","",INDEX(Settings!$C$10:$C$18,M219)))</f>
        <v/>
      </c>
      <c r="K219">
        <f>IF(M219="","",IF(INDEX(Settings!$D$10:$D$18,M219)="","",INDEX(Settings!$D$10:$D$18,M219)))</f>
        <v/>
      </c>
      <c r="L219">
        <f>IF(OR(B219="",E219=""),"",B219+MOD(N(C219),1)+ROW()/10000000)</f>
        <v/>
      </c>
      <c r="M219">
        <f>IF(D219="","",IFERROR(MATCH(D219,Settings!$B$10:$B$18,0),""))</f>
        <v/>
      </c>
      <c r="N219">
        <f>IF(OR(B219="",E219="",M219=""),"",IF(AND(B219&gt;=Settings!$C$6,B219&lt;=Settings!$C$7),M219*10000+E219,""))</f>
        <v/>
      </c>
      <c r="O219">
        <f>IF(OR(B219="",E219=""),"",B219*10000+E219)</f>
        <v/>
      </c>
      <c r="P219">
        <f>IF(N219="","",E219)</f>
        <v/>
      </c>
    </row>
    <row r="220">
      <c r="A220" s="1" t="n"/>
      <c r="B220" s="20" t="n"/>
      <c r="C220" s="21" t="n"/>
      <c r="D220" s="22" t="n"/>
      <c r="E220" s="23" t="n"/>
      <c r="F220" s="22" t="n"/>
      <c r="G220" s="14">
        <f>IF(OR(B220="",E220="",J220="",K220=""),"",IF(E220&lt;J220,"Below",IF(E220&gt;K220,"Above","In range")))</f>
        <v/>
      </c>
      <c r="H220" s="1" t="n"/>
      <c r="J220">
        <f>IF(M220="","",IF(INDEX(Settings!$C$10:$C$18,M220)="","",INDEX(Settings!$C$10:$C$18,M220)))</f>
        <v/>
      </c>
      <c r="K220">
        <f>IF(M220="","",IF(INDEX(Settings!$D$10:$D$18,M220)="","",INDEX(Settings!$D$10:$D$18,M220)))</f>
        <v/>
      </c>
      <c r="L220">
        <f>IF(OR(B220="",E220=""),"",B220+MOD(N(C220),1)+ROW()/10000000)</f>
        <v/>
      </c>
      <c r="M220">
        <f>IF(D220="","",IFERROR(MATCH(D220,Settings!$B$10:$B$18,0),""))</f>
        <v/>
      </c>
      <c r="N220">
        <f>IF(OR(B220="",E220="",M220=""),"",IF(AND(B220&gt;=Settings!$C$6,B220&lt;=Settings!$C$7),M220*10000+E220,""))</f>
        <v/>
      </c>
      <c r="O220">
        <f>IF(OR(B220="",E220=""),"",B220*10000+E220)</f>
        <v/>
      </c>
      <c r="P220">
        <f>IF(N220="","",E220)</f>
        <v/>
      </c>
    </row>
    <row r="221">
      <c r="A221" s="1" t="n"/>
      <c r="B221" s="20" t="n"/>
      <c r="C221" s="21" t="n"/>
      <c r="D221" s="22" t="n"/>
      <c r="E221" s="23" t="n"/>
      <c r="F221" s="22" t="n"/>
      <c r="G221" s="14">
        <f>IF(OR(B221="",E221="",J221="",K221=""),"",IF(E221&lt;J221,"Below",IF(E221&gt;K221,"Above","In range")))</f>
        <v/>
      </c>
      <c r="H221" s="1" t="n"/>
      <c r="J221">
        <f>IF(M221="","",IF(INDEX(Settings!$C$10:$C$18,M221)="","",INDEX(Settings!$C$10:$C$18,M221)))</f>
        <v/>
      </c>
      <c r="K221">
        <f>IF(M221="","",IF(INDEX(Settings!$D$10:$D$18,M221)="","",INDEX(Settings!$D$10:$D$18,M221)))</f>
        <v/>
      </c>
      <c r="L221">
        <f>IF(OR(B221="",E221=""),"",B221+MOD(N(C221),1)+ROW()/10000000)</f>
        <v/>
      </c>
      <c r="M221">
        <f>IF(D221="","",IFERROR(MATCH(D221,Settings!$B$10:$B$18,0),""))</f>
        <v/>
      </c>
      <c r="N221">
        <f>IF(OR(B221="",E221="",M221=""),"",IF(AND(B221&gt;=Settings!$C$6,B221&lt;=Settings!$C$7),M221*10000+E221,""))</f>
        <v/>
      </c>
      <c r="O221">
        <f>IF(OR(B221="",E221=""),"",B221*10000+E221)</f>
        <v/>
      </c>
      <c r="P221">
        <f>IF(N221="","",E221)</f>
        <v/>
      </c>
    </row>
    <row r="222">
      <c r="A222" s="1" t="n"/>
      <c r="B222" s="20" t="n"/>
      <c r="C222" s="21" t="n"/>
      <c r="D222" s="22" t="n"/>
      <c r="E222" s="23" t="n"/>
      <c r="F222" s="22" t="n"/>
      <c r="G222" s="14">
        <f>IF(OR(B222="",E222="",J222="",K222=""),"",IF(E222&lt;J222,"Below",IF(E222&gt;K222,"Above","In range")))</f>
        <v/>
      </c>
      <c r="H222" s="1" t="n"/>
      <c r="J222">
        <f>IF(M222="","",IF(INDEX(Settings!$C$10:$C$18,M222)="","",INDEX(Settings!$C$10:$C$18,M222)))</f>
        <v/>
      </c>
      <c r="K222">
        <f>IF(M222="","",IF(INDEX(Settings!$D$10:$D$18,M222)="","",INDEX(Settings!$D$10:$D$18,M222)))</f>
        <v/>
      </c>
      <c r="L222">
        <f>IF(OR(B222="",E222=""),"",B222+MOD(N(C222),1)+ROW()/10000000)</f>
        <v/>
      </c>
      <c r="M222">
        <f>IF(D222="","",IFERROR(MATCH(D222,Settings!$B$10:$B$18,0),""))</f>
        <v/>
      </c>
      <c r="N222">
        <f>IF(OR(B222="",E222="",M222=""),"",IF(AND(B222&gt;=Settings!$C$6,B222&lt;=Settings!$C$7),M222*10000+E222,""))</f>
        <v/>
      </c>
      <c r="O222">
        <f>IF(OR(B222="",E222=""),"",B222*10000+E222)</f>
        <v/>
      </c>
      <c r="P222">
        <f>IF(N222="","",E222)</f>
        <v/>
      </c>
    </row>
    <row r="223">
      <c r="A223" s="1" t="n"/>
      <c r="B223" s="20" t="n"/>
      <c r="C223" s="21" t="n"/>
      <c r="D223" s="22" t="n"/>
      <c r="E223" s="23" t="n"/>
      <c r="F223" s="22" t="n"/>
      <c r="G223" s="14">
        <f>IF(OR(B223="",E223="",J223="",K223=""),"",IF(E223&lt;J223,"Below",IF(E223&gt;K223,"Above","In range")))</f>
        <v/>
      </c>
      <c r="H223" s="1" t="n"/>
      <c r="J223">
        <f>IF(M223="","",IF(INDEX(Settings!$C$10:$C$18,M223)="","",INDEX(Settings!$C$10:$C$18,M223)))</f>
        <v/>
      </c>
      <c r="K223">
        <f>IF(M223="","",IF(INDEX(Settings!$D$10:$D$18,M223)="","",INDEX(Settings!$D$10:$D$18,M223)))</f>
        <v/>
      </c>
      <c r="L223">
        <f>IF(OR(B223="",E223=""),"",B223+MOD(N(C223),1)+ROW()/10000000)</f>
        <v/>
      </c>
      <c r="M223">
        <f>IF(D223="","",IFERROR(MATCH(D223,Settings!$B$10:$B$18,0),""))</f>
        <v/>
      </c>
      <c r="N223">
        <f>IF(OR(B223="",E223="",M223=""),"",IF(AND(B223&gt;=Settings!$C$6,B223&lt;=Settings!$C$7),M223*10000+E223,""))</f>
        <v/>
      </c>
      <c r="O223">
        <f>IF(OR(B223="",E223=""),"",B223*10000+E223)</f>
        <v/>
      </c>
      <c r="P223">
        <f>IF(N223="","",E223)</f>
        <v/>
      </c>
    </row>
    <row r="224">
      <c r="A224" s="1" t="n"/>
      <c r="B224" s="20" t="n"/>
      <c r="C224" s="21" t="n"/>
      <c r="D224" s="22" t="n"/>
      <c r="E224" s="23" t="n"/>
      <c r="F224" s="22" t="n"/>
      <c r="G224" s="14">
        <f>IF(OR(B224="",E224="",J224="",K224=""),"",IF(E224&lt;J224,"Below",IF(E224&gt;K224,"Above","In range")))</f>
        <v/>
      </c>
      <c r="H224" s="1" t="n"/>
      <c r="J224">
        <f>IF(M224="","",IF(INDEX(Settings!$C$10:$C$18,M224)="","",INDEX(Settings!$C$10:$C$18,M224)))</f>
        <v/>
      </c>
      <c r="K224">
        <f>IF(M224="","",IF(INDEX(Settings!$D$10:$D$18,M224)="","",INDEX(Settings!$D$10:$D$18,M224)))</f>
        <v/>
      </c>
      <c r="L224">
        <f>IF(OR(B224="",E224=""),"",B224+MOD(N(C224),1)+ROW()/10000000)</f>
        <v/>
      </c>
      <c r="M224">
        <f>IF(D224="","",IFERROR(MATCH(D224,Settings!$B$10:$B$18,0),""))</f>
        <v/>
      </c>
      <c r="N224">
        <f>IF(OR(B224="",E224="",M224=""),"",IF(AND(B224&gt;=Settings!$C$6,B224&lt;=Settings!$C$7),M224*10000+E224,""))</f>
        <v/>
      </c>
      <c r="O224">
        <f>IF(OR(B224="",E224=""),"",B224*10000+E224)</f>
        <v/>
      </c>
      <c r="P224">
        <f>IF(N224="","",E224)</f>
        <v/>
      </c>
    </row>
    <row r="225">
      <c r="A225" s="1" t="n"/>
      <c r="B225" s="20" t="n"/>
      <c r="C225" s="21" t="n"/>
      <c r="D225" s="22" t="n"/>
      <c r="E225" s="23" t="n"/>
      <c r="F225" s="22" t="n"/>
      <c r="G225" s="14">
        <f>IF(OR(B225="",E225="",J225="",K225=""),"",IF(E225&lt;J225,"Below",IF(E225&gt;K225,"Above","In range")))</f>
        <v/>
      </c>
      <c r="H225" s="1" t="n"/>
      <c r="J225">
        <f>IF(M225="","",IF(INDEX(Settings!$C$10:$C$18,M225)="","",INDEX(Settings!$C$10:$C$18,M225)))</f>
        <v/>
      </c>
      <c r="K225">
        <f>IF(M225="","",IF(INDEX(Settings!$D$10:$D$18,M225)="","",INDEX(Settings!$D$10:$D$18,M225)))</f>
        <v/>
      </c>
      <c r="L225">
        <f>IF(OR(B225="",E225=""),"",B225+MOD(N(C225),1)+ROW()/10000000)</f>
        <v/>
      </c>
      <c r="M225">
        <f>IF(D225="","",IFERROR(MATCH(D225,Settings!$B$10:$B$18,0),""))</f>
        <v/>
      </c>
      <c r="N225">
        <f>IF(OR(B225="",E225="",M225=""),"",IF(AND(B225&gt;=Settings!$C$6,B225&lt;=Settings!$C$7),M225*10000+E225,""))</f>
        <v/>
      </c>
      <c r="O225">
        <f>IF(OR(B225="",E225=""),"",B225*10000+E225)</f>
        <v/>
      </c>
      <c r="P225">
        <f>IF(N225="","",E225)</f>
        <v/>
      </c>
    </row>
    <row r="226">
      <c r="A226" s="1" t="n"/>
      <c r="B226" s="20" t="n"/>
      <c r="C226" s="21" t="n"/>
      <c r="D226" s="22" t="n"/>
      <c r="E226" s="23" t="n"/>
      <c r="F226" s="22" t="n"/>
      <c r="G226" s="14">
        <f>IF(OR(B226="",E226="",J226="",K226=""),"",IF(E226&lt;J226,"Below",IF(E226&gt;K226,"Above","In range")))</f>
        <v/>
      </c>
      <c r="H226" s="1" t="n"/>
      <c r="J226">
        <f>IF(M226="","",IF(INDEX(Settings!$C$10:$C$18,M226)="","",INDEX(Settings!$C$10:$C$18,M226)))</f>
        <v/>
      </c>
      <c r="K226">
        <f>IF(M226="","",IF(INDEX(Settings!$D$10:$D$18,M226)="","",INDEX(Settings!$D$10:$D$18,M226)))</f>
        <v/>
      </c>
      <c r="L226">
        <f>IF(OR(B226="",E226=""),"",B226+MOD(N(C226),1)+ROW()/10000000)</f>
        <v/>
      </c>
      <c r="M226">
        <f>IF(D226="","",IFERROR(MATCH(D226,Settings!$B$10:$B$18,0),""))</f>
        <v/>
      </c>
      <c r="N226">
        <f>IF(OR(B226="",E226="",M226=""),"",IF(AND(B226&gt;=Settings!$C$6,B226&lt;=Settings!$C$7),M226*10000+E226,""))</f>
        <v/>
      </c>
      <c r="O226">
        <f>IF(OR(B226="",E226=""),"",B226*10000+E226)</f>
        <v/>
      </c>
      <c r="P226">
        <f>IF(N226="","",E226)</f>
        <v/>
      </c>
    </row>
    <row r="227">
      <c r="A227" s="1" t="n"/>
      <c r="B227" s="20" t="n"/>
      <c r="C227" s="21" t="n"/>
      <c r="D227" s="22" t="n"/>
      <c r="E227" s="23" t="n"/>
      <c r="F227" s="22" t="n"/>
      <c r="G227" s="14">
        <f>IF(OR(B227="",E227="",J227="",K227=""),"",IF(E227&lt;J227,"Below",IF(E227&gt;K227,"Above","In range")))</f>
        <v/>
      </c>
      <c r="H227" s="1" t="n"/>
      <c r="J227">
        <f>IF(M227="","",IF(INDEX(Settings!$C$10:$C$18,M227)="","",INDEX(Settings!$C$10:$C$18,M227)))</f>
        <v/>
      </c>
      <c r="K227">
        <f>IF(M227="","",IF(INDEX(Settings!$D$10:$D$18,M227)="","",INDEX(Settings!$D$10:$D$18,M227)))</f>
        <v/>
      </c>
      <c r="L227">
        <f>IF(OR(B227="",E227=""),"",B227+MOD(N(C227),1)+ROW()/10000000)</f>
        <v/>
      </c>
      <c r="M227">
        <f>IF(D227="","",IFERROR(MATCH(D227,Settings!$B$10:$B$18,0),""))</f>
        <v/>
      </c>
      <c r="N227">
        <f>IF(OR(B227="",E227="",M227=""),"",IF(AND(B227&gt;=Settings!$C$6,B227&lt;=Settings!$C$7),M227*10000+E227,""))</f>
        <v/>
      </c>
      <c r="O227">
        <f>IF(OR(B227="",E227=""),"",B227*10000+E227)</f>
        <v/>
      </c>
      <c r="P227">
        <f>IF(N227="","",E227)</f>
        <v/>
      </c>
    </row>
    <row r="228">
      <c r="A228" s="1" t="n"/>
      <c r="B228" s="20" t="n"/>
      <c r="C228" s="21" t="n"/>
      <c r="D228" s="22" t="n"/>
      <c r="E228" s="23" t="n"/>
      <c r="F228" s="22" t="n"/>
      <c r="G228" s="14">
        <f>IF(OR(B228="",E228="",J228="",K228=""),"",IF(E228&lt;J228,"Below",IF(E228&gt;K228,"Above","In range")))</f>
        <v/>
      </c>
      <c r="H228" s="1" t="n"/>
      <c r="J228">
        <f>IF(M228="","",IF(INDEX(Settings!$C$10:$C$18,M228)="","",INDEX(Settings!$C$10:$C$18,M228)))</f>
        <v/>
      </c>
      <c r="K228">
        <f>IF(M228="","",IF(INDEX(Settings!$D$10:$D$18,M228)="","",INDEX(Settings!$D$10:$D$18,M228)))</f>
        <v/>
      </c>
      <c r="L228">
        <f>IF(OR(B228="",E228=""),"",B228+MOD(N(C228),1)+ROW()/10000000)</f>
        <v/>
      </c>
      <c r="M228">
        <f>IF(D228="","",IFERROR(MATCH(D228,Settings!$B$10:$B$18,0),""))</f>
        <v/>
      </c>
      <c r="N228">
        <f>IF(OR(B228="",E228="",M228=""),"",IF(AND(B228&gt;=Settings!$C$6,B228&lt;=Settings!$C$7),M228*10000+E228,""))</f>
        <v/>
      </c>
      <c r="O228">
        <f>IF(OR(B228="",E228=""),"",B228*10000+E228)</f>
        <v/>
      </c>
      <c r="P228">
        <f>IF(N228="","",E228)</f>
        <v/>
      </c>
    </row>
    <row r="229">
      <c r="A229" s="1" t="n"/>
      <c r="B229" s="20" t="n"/>
      <c r="C229" s="21" t="n"/>
      <c r="D229" s="22" t="n"/>
      <c r="E229" s="23" t="n"/>
      <c r="F229" s="22" t="n"/>
      <c r="G229" s="14">
        <f>IF(OR(B229="",E229="",J229="",K229=""),"",IF(E229&lt;J229,"Below",IF(E229&gt;K229,"Above","In range")))</f>
        <v/>
      </c>
      <c r="H229" s="1" t="n"/>
      <c r="J229">
        <f>IF(M229="","",IF(INDEX(Settings!$C$10:$C$18,M229)="","",INDEX(Settings!$C$10:$C$18,M229)))</f>
        <v/>
      </c>
      <c r="K229">
        <f>IF(M229="","",IF(INDEX(Settings!$D$10:$D$18,M229)="","",INDEX(Settings!$D$10:$D$18,M229)))</f>
        <v/>
      </c>
      <c r="L229">
        <f>IF(OR(B229="",E229=""),"",B229+MOD(N(C229),1)+ROW()/10000000)</f>
        <v/>
      </c>
      <c r="M229">
        <f>IF(D229="","",IFERROR(MATCH(D229,Settings!$B$10:$B$18,0),""))</f>
        <v/>
      </c>
      <c r="N229">
        <f>IF(OR(B229="",E229="",M229=""),"",IF(AND(B229&gt;=Settings!$C$6,B229&lt;=Settings!$C$7),M229*10000+E229,""))</f>
        <v/>
      </c>
      <c r="O229">
        <f>IF(OR(B229="",E229=""),"",B229*10000+E229)</f>
        <v/>
      </c>
      <c r="P229">
        <f>IF(N229="","",E229)</f>
        <v/>
      </c>
    </row>
    <row r="230">
      <c r="A230" s="1" t="n"/>
      <c r="B230" s="20" t="n"/>
      <c r="C230" s="21" t="n"/>
      <c r="D230" s="22" t="n"/>
      <c r="E230" s="23" t="n"/>
      <c r="F230" s="22" t="n"/>
      <c r="G230" s="14">
        <f>IF(OR(B230="",E230="",J230="",K230=""),"",IF(E230&lt;J230,"Below",IF(E230&gt;K230,"Above","In range")))</f>
        <v/>
      </c>
      <c r="H230" s="1" t="n"/>
      <c r="J230">
        <f>IF(M230="","",IF(INDEX(Settings!$C$10:$C$18,M230)="","",INDEX(Settings!$C$10:$C$18,M230)))</f>
        <v/>
      </c>
      <c r="K230">
        <f>IF(M230="","",IF(INDEX(Settings!$D$10:$D$18,M230)="","",INDEX(Settings!$D$10:$D$18,M230)))</f>
        <v/>
      </c>
      <c r="L230">
        <f>IF(OR(B230="",E230=""),"",B230+MOD(N(C230),1)+ROW()/10000000)</f>
        <v/>
      </c>
      <c r="M230">
        <f>IF(D230="","",IFERROR(MATCH(D230,Settings!$B$10:$B$18,0),""))</f>
        <v/>
      </c>
      <c r="N230">
        <f>IF(OR(B230="",E230="",M230=""),"",IF(AND(B230&gt;=Settings!$C$6,B230&lt;=Settings!$C$7),M230*10000+E230,""))</f>
        <v/>
      </c>
      <c r="O230">
        <f>IF(OR(B230="",E230=""),"",B230*10000+E230)</f>
        <v/>
      </c>
      <c r="P230">
        <f>IF(N230="","",E230)</f>
        <v/>
      </c>
    </row>
    <row r="231">
      <c r="A231" s="1" t="n"/>
      <c r="B231" s="20" t="n"/>
      <c r="C231" s="21" t="n"/>
      <c r="D231" s="22" t="n"/>
      <c r="E231" s="23" t="n"/>
      <c r="F231" s="22" t="n"/>
      <c r="G231" s="14">
        <f>IF(OR(B231="",E231="",J231="",K231=""),"",IF(E231&lt;J231,"Below",IF(E231&gt;K231,"Above","In range")))</f>
        <v/>
      </c>
      <c r="H231" s="1" t="n"/>
      <c r="J231">
        <f>IF(M231="","",IF(INDEX(Settings!$C$10:$C$18,M231)="","",INDEX(Settings!$C$10:$C$18,M231)))</f>
        <v/>
      </c>
      <c r="K231">
        <f>IF(M231="","",IF(INDEX(Settings!$D$10:$D$18,M231)="","",INDEX(Settings!$D$10:$D$18,M231)))</f>
        <v/>
      </c>
      <c r="L231">
        <f>IF(OR(B231="",E231=""),"",B231+MOD(N(C231),1)+ROW()/10000000)</f>
        <v/>
      </c>
      <c r="M231">
        <f>IF(D231="","",IFERROR(MATCH(D231,Settings!$B$10:$B$18,0),""))</f>
        <v/>
      </c>
      <c r="N231">
        <f>IF(OR(B231="",E231="",M231=""),"",IF(AND(B231&gt;=Settings!$C$6,B231&lt;=Settings!$C$7),M231*10000+E231,""))</f>
        <v/>
      </c>
      <c r="O231">
        <f>IF(OR(B231="",E231=""),"",B231*10000+E231)</f>
        <v/>
      </c>
      <c r="P231">
        <f>IF(N231="","",E231)</f>
        <v/>
      </c>
    </row>
    <row r="232">
      <c r="A232" s="1" t="n"/>
      <c r="B232" s="20" t="n"/>
      <c r="C232" s="21" t="n"/>
      <c r="D232" s="22" t="n"/>
      <c r="E232" s="23" t="n"/>
      <c r="F232" s="22" t="n"/>
      <c r="G232" s="14">
        <f>IF(OR(B232="",E232="",J232="",K232=""),"",IF(E232&lt;J232,"Below",IF(E232&gt;K232,"Above","In range")))</f>
        <v/>
      </c>
      <c r="H232" s="1" t="n"/>
      <c r="J232">
        <f>IF(M232="","",IF(INDEX(Settings!$C$10:$C$18,M232)="","",INDEX(Settings!$C$10:$C$18,M232)))</f>
        <v/>
      </c>
      <c r="K232">
        <f>IF(M232="","",IF(INDEX(Settings!$D$10:$D$18,M232)="","",INDEX(Settings!$D$10:$D$18,M232)))</f>
        <v/>
      </c>
      <c r="L232">
        <f>IF(OR(B232="",E232=""),"",B232+MOD(N(C232),1)+ROW()/10000000)</f>
        <v/>
      </c>
      <c r="M232">
        <f>IF(D232="","",IFERROR(MATCH(D232,Settings!$B$10:$B$18,0),""))</f>
        <v/>
      </c>
      <c r="N232">
        <f>IF(OR(B232="",E232="",M232=""),"",IF(AND(B232&gt;=Settings!$C$6,B232&lt;=Settings!$C$7),M232*10000+E232,""))</f>
        <v/>
      </c>
      <c r="O232">
        <f>IF(OR(B232="",E232=""),"",B232*10000+E232)</f>
        <v/>
      </c>
      <c r="P232">
        <f>IF(N232="","",E232)</f>
        <v/>
      </c>
    </row>
    <row r="233">
      <c r="A233" s="1" t="n"/>
      <c r="B233" s="20" t="n"/>
      <c r="C233" s="21" t="n"/>
      <c r="D233" s="22" t="n"/>
      <c r="E233" s="23" t="n"/>
      <c r="F233" s="22" t="n"/>
      <c r="G233" s="14">
        <f>IF(OR(B233="",E233="",J233="",K233=""),"",IF(E233&lt;J233,"Below",IF(E233&gt;K233,"Above","In range")))</f>
        <v/>
      </c>
      <c r="H233" s="1" t="n"/>
      <c r="J233">
        <f>IF(M233="","",IF(INDEX(Settings!$C$10:$C$18,M233)="","",INDEX(Settings!$C$10:$C$18,M233)))</f>
        <v/>
      </c>
      <c r="K233">
        <f>IF(M233="","",IF(INDEX(Settings!$D$10:$D$18,M233)="","",INDEX(Settings!$D$10:$D$18,M233)))</f>
        <v/>
      </c>
      <c r="L233">
        <f>IF(OR(B233="",E233=""),"",B233+MOD(N(C233),1)+ROW()/10000000)</f>
        <v/>
      </c>
      <c r="M233">
        <f>IF(D233="","",IFERROR(MATCH(D233,Settings!$B$10:$B$18,0),""))</f>
        <v/>
      </c>
      <c r="N233">
        <f>IF(OR(B233="",E233="",M233=""),"",IF(AND(B233&gt;=Settings!$C$6,B233&lt;=Settings!$C$7),M233*10000+E233,""))</f>
        <v/>
      </c>
      <c r="O233">
        <f>IF(OR(B233="",E233=""),"",B233*10000+E233)</f>
        <v/>
      </c>
      <c r="P233">
        <f>IF(N233="","",E233)</f>
        <v/>
      </c>
    </row>
    <row r="234">
      <c r="A234" s="1" t="n"/>
      <c r="B234" s="20" t="n"/>
      <c r="C234" s="21" t="n"/>
      <c r="D234" s="22" t="n"/>
      <c r="E234" s="23" t="n"/>
      <c r="F234" s="22" t="n"/>
      <c r="G234" s="14">
        <f>IF(OR(B234="",E234="",J234="",K234=""),"",IF(E234&lt;J234,"Below",IF(E234&gt;K234,"Above","In range")))</f>
        <v/>
      </c>
      <c r="H234" s="1" t="n"/>
      <c r="J234">
        <f>IF(M234="","",IF(INDEX(Settings!$C$10:$C$18,M234)="","",INDEX(Settings!$C$10:$C$18,M234)))</f>
        <v/>
      </c>
      <c r="K234">
        <f>IF(M234="","",IF(INDEX(Settings!$D$10:$D$18,M234)="","",INDEX(Settings!$D$10:$D$18,M234)))</f>
        <v/>
      </c>
      <c r="L234">
        <f>IF(OR(B234="",E234=""),"",B234+MOD(N(C234),1)+ROW()/10000000)</f>
        <v/>
      </c>
      <c r="M234">
        <f>IF(D234="","",IFERROR(MATCH(D234,Settings!$B$10:$B$18,0),""))</f>
        <v/>
      </c>
      <c r="N234">
        <f>IF(OR(B234="",E234="",M234=""),"",IF(AND(B234&gt;=Settings!$C$6,B234&lt;=Settings!$C$7),M234*10000+E234,""))</f>
        <v/>
      </c>
      <c r="O234">
        <f>IF(OR(B234="",E234=""),"",B234*10000+E234)</f>
        <v/>
      </c>
      <c r="P234">
        <f>IF(N234="","",E234)</f>
        <v/>
      </c>
    </row>
    <row r="235">
      <c r="A235" s="1" t="n"/>
      <c r="B235" s="20" t="n"/>
      <c r="C235" s="21" t="n"/>
      <c r="D235" s="22" t="n"/>
      <c r="E235" s="23" t="n"/>
      <c r="F235" s="22" t="n"/>
      <c r="G235" s="14">
        <f>IF(OR(B235="",E235="",J235="",K235=""),"",IF(E235&lt;J235,"Below",IF(E235&gt;K235,"Above","In range")))</f>
        <v/>
      </c>
      <c r="H235" s="1" t="n"/>
      <c r="J235">
        <f>IF(M235="","",IF(INDEX(Settings!$C$10:$C$18,M235)="","",INDEX(Settings!$C$10:$C$18,M235)))</f>
        <v/>
      </c>
      <c r="K235">
        <f>IF(M235="","",IF(INDEX(Settings!$D$10:$D$18,M235)="","",INDEX(Settings!$D$10:$D$18,M235)))</f>
        <v/>
      </c>
      <c r="L235">
        <f>IF(OR(B235="",E235=""),"",B235+MOD(N(C235),1)+ROW()/10000000)</f>
        <v/>
      </c>
      <c r="M235">
        <f>IF(D235="","",IFERROR(MATCH(D235,Settings!$B$10:$B$18,0),""))</f>
        <v/>
      </c>
      <c r="N235">
        <f>IF(OR(B235="",E235="",M235=""),"",IF(AND(B235&gt;=Settings!$C$6,B235&lt;=Settings!$C$7),M235*10000+E235,""))</f>
        <v/>
      </c>
      <c r="O235">
        <f>IF(OR(B235="",E235=""),"",B235*10000+E235)</f>
        <v/>
      </c>
      <c r="P235">
        <f>IF(N235="","",E235)</f>
        <v/>
      </c>
    </row>
    <row r="236">
      <c r="A236" s="1" t="n"/>
      <c r="B236" s="20" t="n"/>
      <c r="C236" s="21" t="n"/>
      <c r="D236" s="22" t="n"/>
      <c r="E236" s="23" t="n"/>
      <c r="F236" s="22" t="n"/>
      <c r="G236" s="14">
        <f>IF(OR(B236="",E236="",J236="",K236=""),"",IF(E236&lt;J236,"Below",IF(E236&gt;K236,"Above","In range")))</f>
        <v/>
      </c>
      <c r="H236" s="1" t="n"/>
      <c r="J236">
        <f>IF(M236="","",IF(INDEX(Settings!$C$10:$C$18,M236)="","",INDEX(Settings!$C$10:$C$18,M236)))</f>
        <v/>
      </c>
      <c r="K236">
        <f>IF(M236="","",IF(INDEX(Settings!$D$10:$D$18,M236)="","",INDEX(Settings!$D$10:$D$18,M236)))</f>
        <v/>
      </c>
      <c r="L236">
        <f>IF(OR(B236="",E236=""),"",B236+MOD(N(C236),1)+ROW()/10000000)</f>
        <v/>
      </c>
      <c r="M236">
        <f>IF(D236="","",IFERROR(MATCH(D236,Settings!$B$10:$B$18,0),""))</f>
        <v/>
      </c>
      <c r="N236">
        <f>IF(OR(B236="",E236="",M236=""),"",IF(AND(B236&gt;=Settings!$C$6,B236&lt;=Settings!$C$7),M236*10000+E236,""))</f>
        <v/>
      </c>
      <c r="O236">
        <f>IF(OR(B236="",E236=""),"",B236*10000+E236)</f>
        <v/>
      </c>
      <c r="P236">
        <f>IF(N236="","",E236)</f>
        <v/>
      </c>
    </row>
    <row r="237">
      <c r="A237" s="1" t="n"/>
      <c r="B237" s="20" t="n"/>
      <c r="C237" s="21" t="n"/>
      <c r="D237" s="22" t="n"/>
      <c r="E237" s="23" t="n"/>
      <c r="F237" s="22" t="n"/>
      <c r="G237" s="14">
        <f>IF(OR(B237="",E237="",J237="",K237=""),"",IF(E237&lt;J237,"Below",IF(E237&gt;K237,"Above","In range")))</f>
        <v/>
      </c>
      <c r="H237" s="1" t="n"/>
      <c r="J237">
        <f>IF(M237="","",IF(INDEX(Settings!$C$10:$C$18,M237)="","",INDEX(Settings!$C$10:$C$18,M237)))</f>
        <v/>
      </c>
      <c r="K237">
        <f>IF(M237="","",IF(INDEX(Settings!$D$10:$D$18,M237)="","",INDEX(Settings!$D$10:$D$18,M237)))</f>
        <v/>
      </c>
      <c r="L237">
        <f>IF(OR(B237="",E237=""),"",B237+MOD(N(C237),1)+ROW()/10000000)</f>
        <v/>
      </c>
      <c r="M237">
        <f>IF(D237="","",IFERROR(MATCH(D237,Settings!$B$10:$B$18,0),""))</f>
        <v/>
      </c>
      <c r="N237">
        <f>IF(OR(B237="",E237="",M237=""),"",IF(AND(B237&gt;=Settings!$C$6,B237&lt;=Settings!$C$7),M237*10000+E237,""))</f>
        <v/>
      </c>
      <c r="O237">
        <f>IF(OR(B237="",E237=""),"",B237*10000+E237)</f>
        <v/>
      </c>
      <c r="P237">
        <f>IF(N237="","",E237)</f>
        <v/>
      </c>
    </row>
    <row r="238">
      <c r="A238" s="1" t="n"/>
      <c r="B238" s="20" t="n"/>
      <c r="C238" s="21" t="n"/>
      <c r="D238" s="22" t="n"/>
      <c r="E238" s="23" t="n"/>
      <c r="F238" s="22" t="n"/>
      <c r="G238" s="14">
        <f>IF(OR(B238="",E238="",J238="",K238=""),"",IF(E238&lt;J238,"Below",IF(E238&gt;K238,"Above","In range")))</f>
        <v/>
      </c>
      <c r="H238" s="1" t="n"/>
      <c r="J238">
        <f>IF(M238="","",IF(INDEX(Settings!$C$10:$C$18,M238)="","",INDEX(Settings!$C$10:$C$18,M238)))</f>
        <v/>
      </c>
      <c r="K238">
        <f>IF(M238="","",IF(INDEX(Settings!$D$10:$D$18,M238)="","",INDEX(Settings!$D$10:$D$18,M238)))</f>
        <v/>
      </c>
      <c r="L238">
        <f>IF(OR(B238="",E238=""),"",B238+MOD(N(C238),1)+ROW()/10000000)</f>
        <v/>
      </c>
      <c r="M238">
        <f>IF(D238="","",IFERROR(MATCH(D238,Settings!$B$10:$B$18,0),""))</f>
        <v/>
      </c>
      <c r="N238">
        <f>IF(OR(B238="",E238="",M238=""),"",IF(AND(B238&gt;=Settings!$C$6,B238&lt;=Settings!$C$7),M238*10000+E238,""))</f>
        <v/>
      </c>
      <c r="O238">
        <f>IF(OR(B238="",E238=""),"",B238*10000+E238)</f>
        <v/>
      </c>
      <c r="P238">
        <f>IF(N238="","",E238)</f>
        <v/>
      </c>
    </row>
    <row r="239">
      <c r="A239" s="1" t="n"/>
      <c r="B239" s="20" t="n"/>
      <c r="C239" s="21" t="n"/>
      <c r="D239" s="22" t="n"/>
      <c r="E239" s="23" t="n"/>
      <c r="F239" s="22" t="n"/>
      <c r="G239" s="14">
        <f>IF(OR(B239="",E239="",J239="",K239=""),"",IF(E239&lt;J239,"Below",IF(E239&gt;K239,"Above","In range")))</f>
        <v/>
      </c>
      <c r="H239" s="1" t="n"/>
      <c r="J239">
        <f>IF(M239="","",IF(INDEX(Settings!$C$10:$C$18,M239)="","",INDEX(Settings!$C$10:$C$18,M239)))</f>
        <v/>
      </c>
      <c r="K239">
        <f>IF(M239="","",IF(INDEX(Settings!$D$10:$D$18,M239)="","",INDEX(Settings!$D$10:$D$18,M239)))</f>
        <v/>
      </c>
      <c r="L239">
        <f>IF(OR(B239="",E239=""),"",B239+MOD(N(C239),1)+ROW()/10000000)</f>
        <v/>
      </c>
      <c r="M239">
        <f>IF(D239="","",IFERROR(MATCH(D239,Settings!$B$10:$B$18,0),""))</f>
        <v/>
      </c>
      <c r="N239">
        <f>IF(OR(B239="",E239="",M239=""),"",IF(AND(B239&gt;=Settings!$C$6,B239&lt;=Settings!$C$7),M239*10000+E239,""))</f>
        <v/>
      </c>
      <c r="O239">
        <f>IF(OR(B239="",E239=""),"",B239*10000+E239)</f>
        <v/>
      </c>
      <c r="P239">
        <f>IF(N239="","",E239)</f>
        <v/>
      </c>
    </row>
    <row r="240">
      <c r="A240" s="1" t="n"/>
      <c r="B240" s="20" t="n"/>
      <c r="C240" s="21" t="n"/>
      <c r="D240" s="22" t="n"/>
      <c r="E240" s="23" t="n"/>
      <c r="F240" s="22" t="n"/>
      <c r="G240" s="14">
        <f>IF(OR(B240="",E240="",J240="",K240=""),"",IF(E240&lt;J240,"Below",IF(E240&gt;K240,"Above","In range")))</f>
        <v/>
      </c>
      <c r="H240" s="1" t="n"/>
      <c r="J240">
        <f>IF(M240="","",IF(INDEX(Settings!$C$10:$C$18,M240)="","",INDEX(Settings!$C$10:$C$18,M240)))</f>
        <v/>
      </c>
      <c r="K240">
        <f>IF(M240="","",IF(INDEX(Settings!$D$10:$D$18,M240)="","",INDEX(Settings!$D$10:$D$18,M240)))</f>
        <v/>
      </c>
      <c r="L240">
        <f>IF(OR(B240="",E240=""),"",B240+MOD(N(C240),1)+ROW()/10000000)</f>
        <v/>
      </c>
      <c r="M240">
        <f>IF(D240="","",IFERROR(MATCH(D240,Settings!$B$10:$B$18,0),""))</f>
        <v/>
      </c>
      <c r="N240">
        <f>IF(OR(B240="",E240="",M240=""),"",IF(AND(B240&gt;=Settings!$C$6,B240&lt;=Settings!$C$7),M240*10000+E240,""))</f>
        <v/>
      </c>
      <c r="O240">
        <f>IF(OR(B240="",E240=""),"",B240*10000+E240)</f>
        <v/>
      </c>
      <c r="P240">
        <f>IF(N240="","",E240)</f>
        <v/>
      </c>
    </row>
    <row r="241">
      <c r="A241" s="1" t="n"/>
      <c r="B241" s="20" t="n"/>
      <c r="C241" s="21" t="n"/>
      <c r="D241" s="22" t="n"/>
      <c r="E241" s="23" t="n"/>
      <c r="F241" s="22" t="n"/>
      <c r="G241" s="14">
        <f>IF(OR(B241="",E241="",J241="",K241=""),"",IF(E241&lt;J241,"Below",IF(E241&gt;K241,"Above","In range")))</f>
        <v/>
      </c>
      <c r="H241" s="1" t="n"/>
      <c r="J241">
        <f>IF(M241="","",IF(INDEX(Settings!$C$10:$C$18,M241)="","",INDEX(Settings!$C$10:$C$18,M241)))</f>
        <v/>
      </c>
      <c r="K241">
        <f>IF(M241="","",IF(INDEX(Settings!$D$10:$D$18,M241)="","",INDEX(Settings!$D$10:$D$18,M241)))</f>
        <v/>
      </c>
      <c r="L241">
        <f>IF(OR(B241="",E241=""),"",B241+MOD(N(C241),1)+ROW()/10000000)</f>
        <v/>
      </c>
      <c r="M241">
        <f>IF(D241="","",IFERROR(MATCH(D241,Settings!$B$10:$B$18,0),""))</f>
        <v/>
      </c>
      <c r="N241">
        <f>IF(OR(B241="",E241="",M241=""),"",IF(AND(B241&gt;=Settings!$C$6,B241&lt;=Settings!$C$7),M241*10000+E241,""))</f>
        <v/>
      </c>
      <c r="O241">
        <f>IF(OR(B241="",E241=""),"",B241*10000+E241)</f>
        <v/>
      </c>
      <c r="P241">
        <f>IF(N241="","",E241)</f>
        <v/>
      </c>
    </row>
    <row r="242">
      <c r="A242" s="1" t="n"/>
      <c r="B242" s="20" t="n"/>
      <c r="C242" s="21" t="n"/>
      <c r="D242" s="22" t="n"/>
      <c r="E242" s="23" t="n"/>
      <c r="F242" s="22" t="n"/>
      <c r="G242" s="14">
        <f>IF(OR(B242="",E242="",J242="",K242=""),"",IF(E242&lt;J242,"Below",IF(E242&gt;K242,"Above","In range")))</f>
        <v/>
      </c>
      <c r="H242" s="1" t="n"/>
      <c r="J242">
        <f>IF(M242="","",IF(INDEX(Settings!$C$10:$C$18,M242)="","",INDEX(Settings!$C$10:$C$18,M242)))</f>
        <v/>
      </c>
      <c r="K242">
        <f>IF(M242="","",IF(INDEX(Settings!$D$10:$D$18,M242)="","",INDEX(Settings!$D$10:$D$18,M242)))</f>
        <v/>
      </c>
      <c r="L242">
        <f>IF(OR(B242="",E242=""),"",B242+MOD(N(C242),1)+ROW()/10000000)</f>
        <v/>
      </c>
      <c r="M242">
        <f>IF(D242="","",IFERROR(MATCH(D242,Settings!$B$10:$B$18,0),""))</f>
        <v/>
      </c>
      <c r="N242">
        <f>IF(OR(B242="",E242="",M242=""),"",IF(AND(B242&gt;=Settings!$C$6,B242&lt;=Settings!$C$7),M242*10000+E242,""))</f>
        <v/>
      </c>
      <c r="O242">
        <f>IF(OR(B242="",E242=""),"",B242*10000+E242)</f>
        <v/>
      </c>
      <c r="P242">
        <f>IF(N242="","",E242)</f>
        <v/>
      </c>
    </row>
    <row r="243">
      <c r="A243" s="1" t="n"/>
      <c r="B243" s="20" t="n"/>
      <c r="C243" s="21" t="n"/>
      <c r="D243" s="22" t="n"/>
      <c r="E243" s="23" t="n"/>
      <c r="F243" s="22" t="n"/>
      <c r="G243" s="14">
        <f>IF(OR(B243="",E243="",J243="",K243=""),"",IF(E243&lt;J243,"Below",IF(E243&gt;K243,"Above","In range")))</f>
        <v/>
      </c>
      <c r="H243" s="1" t="n"/>
      <c r="J243">
        <f>IF(M243="","",IF(INDEX(Settings!$C$10:$C$18,M243)="","",INDEX(Settings!$C$10:$C$18,M243)))</f>
        <v/>
      </c>
      <c r="K243">
        <f>IF(M243="","",IF(INDEX(Settings!$D$10:$D$18,M243)="","",INDEX(Settings!$D$10:$D$18,M243)))</f>
        <v/>
      </c>
      <c r="L243">
        <f>IF(OR(B243="",E243=""),"",B243+MOD(N(C243),1)+ROW()/10000000)</f>
        <v/>
      </c>
      <c r="M243">
        <f>IF(D243="","",IFERROR(MATCH(D243,Settings!$B$10:$B$18,0),""))</f>
        <v/>
      </c>
      <c r="N243">
        <f>IF(OR(B243="",E243="",M243=""),"",IF(AND(B243&gt;=Settings!$C$6,B243&lt;=Settings!$C$7),M243*10000+E243,""))</f>
        <v/>
      </c>
      <c r="O243">
        <f>IF(OR(B243="",E243=""),"",B243*10000+E243)</f>
        <v/>
      </c>
      <c r="P243">
        <f>IF(N243="","",E243)</f>
        <v/>
      </c>
    </row>
    <row r="244">
      <c r="A244" s="1" t="n"/>
      <c r="B244" s="20" t="n"/>
      <c r="C244" s="21" t="n"/>
      <c r="D244" s="22" t="n"/>
      <c r="E244" s="23" t="n"/>
      <c r="F244" s="22" t="n"/>
      <c r="G244" s="14">
        <f>IF(OR(B244="",E244="",J244="",K244=""),"",IF(E244&lt;J244,"Below",IF(E244&gt;K244,"Above","In range")))</f>
        <v/>
      </c>
      <c r="H244" s="1" t="n"/>
      <c r="J244">
        <f>IF(M244="","",IF(INDEX(Settings!$C$10:$C$18,M244)="","",INDEX(Settings!$C$10:$C$18,M244)))</f>
        <v/>
      </c>
      <c r="K244">
        <f>IF(M244="","",IF(INDEX(Settings!$D$10:$D$18,M244)="","",INDEX(Settings!$D$10:$D$18,M244)))</f>
        <v/>
      </c>
      <c r="L244">
        <f>IF(OR(B244="",E244=""),"",B244+MOD(N(C244),1)+ROW()/10000000)</f>
        <v/>
      </c>
      <c r="M244">
        <f>IF(D244="","",IFERROR(MATCH(D244,Settings!$B$10:$B$18,0),""))</f>
        <v/>
      </c>
      <c r="N244">
        <f>IF(OR(B244="",E244="",M244=""),"",IF(AND(B244&gt;=Settings!$C$6,B244&lt;=Settings!$C$7),M244*10000+E244,""))</f>
        <v/>
      </c>
      <c r="O244">
        <f>IF(OR(B244="",E244=""),"",B244*10000+E244)</f>
        <v/>
      </c>
      <c r="P244">
        <f>IF(N244="","",E244)</f>
        <v/>
      </c>
    </row>
    <row r="245">
      <c r="A245" s="1" t="n"/>
      <c r="B245" s="20" t="n"/>
      <c r="C245" s="21" t="n"/>
      <c r="D245" s="22" t="n"/>
      <c r="E245" s="23" t="n"/>
      <c r="F245" s="22" t="n"/>
      <c r="G245" s="14">
        <f>IF(OR(B245="",E245="",J245="",K245=""),"",IF(E245&lt;J245,"Below",IF(E245&gt;K245,"Above","In range")))</f>
        <v/>
      </c>
      <c r="H245" s="1" t="n"/>
      <c r="J245">
        <f>IF(M245="","",IF(INDEX(Settings!$C$10:$C$18,M245)="","",INDEX(Settings!$C$10:$C$18,M245)))</f>
        <v/>
      </c>
      <c r="K245">
        <f>IF(M245="","",IF(INDEX(Settings!$D$10:$D$18,M245)="","",INDEX(Settings!$D$10:$D$18,M245)))</f>
        <v/>
      </c>
      <c r="L245">
        <f>IF(OR(B245="",E245=""),"",B245+MOD(N(C245),1)+ROW()/10000000)</f>
        <v/>
      </c>
      <c r="M245">
        <f>IF(D245="","",IFERROR(MATCH(D245,Settings!$B$10:$B$18,0),""))</f>
        <v/>
      </c>
      <c r="N245">
        <f>IF(OR(B245="",E245="",M245=""),"",IF(AND(B245&gt;=Settings!$C$6,B245&lt;=Settings!$C$7),M245*10000+E245,""))</f>
        <v/>
      </c>
      <c r="O245">
        <f>IF(OR(B245="",E245=""),"",B245*10000+E245)</f>
        <v/>
      </c>
      <c r="P245">
        <f>IF(N245="","",E245)</f>
        <v/>
      </c>
    </row>
    <row r="246">
      <c r="A246" s="1" t="n"/>
      <c r="B246" s="20" t="n"/>
      <c r="C246" s="21" t="n"/>
      <c r="D246" s="22" t="n"/>
      <c r="E246" s="23" t="n"/>
      <c r="F246" s="22" t="n"/>
      <c r="G246" s="14">
        <f>IF(OR(B246="",E246="",J246="",K246=""),"",IF(E246&lt;J246,"Below",IF(E246&gt;K246,"Above","In range")))</f>
        <v/>
      </c>
      <c r="H246" s="1" t="n"/>
      <c r="J246">
        <f>IF(M246="","",IF(INDEX(Settings!$C$10:$C$18,M246)="","",INDEX(Settings!$C$10:$C$18,M246)))</f>
        <v/>
      </c>
      <c r="K246">
        <f>IF(M246="","",IF(INDEX(Settings!$D$10:$D$18,M246)="","",INDEX(Settings!$D$10:$D$18,M246)))</f>
        <v/>
      </c>
      <c r="L246">
        <f>IF(OR(B246="",E246=""),"",B246+MOD(N(C246),1)+ROW()/10000000)</f>
        <v/>
      </c>
      <c r="M246">
        <f>IF(D246="","",IFERROR(MATCH(D246,Settings!$B$10:$B$18,0),""))</f>
        <v/>
      </c>
      <c r="N246">
        <f>IF(OR(B246="",E246="",M246=""),"",IF(AND(B246&gt;=Settings!$C$6,B246&lt;=Settings!$C$7),M246*10000+E246,""))</f>
        <v/>
      </c>
      <c r="O246">
        <f>IF(OR(B246="",E246=""),"",B246*10000+E246)</f>
        <v/>
      </c>
      <c r="P246">
        <f>IF(N246="","",E246)</f>
        <v/>
      </c>
    </row>
    <row r="247">
      <c r="A247" s="1" t="n"/>
      <c r="B247" s="20" t="n"/>
      <c r="C247" s="21" t="n"/>
      <c r="D247" s="22" t="n"/>
      <c r="E247" s="23" t="n"/>
      <c r="F247" s="22" t="n"/>
      <c r="G247" s="14">
        <f>IF(OR(B247="",E247="",J247="",K247=""),"",IF(E247&lt;J247,"Below",IF(E247&gt;K247,"Above","In range")))</f>
        <v/>
      </c>
      <c r="H247" s="1" t="n"/>
      <c r="J247">
        <f>IF(M247="","",IF(INDEX(Settings!$C$10:$C$18,M247)="","",INDEX(Settings!$C$10:$C$18,M247)))</f>
        <v/>
      </c>
      <c r="K247">
        <f>IF(M247="","",IF(INDEX(Settings!$D$10:$D$18,M247)="","",INDEX(Settings!$D$10:$D$18,M247)))</f>
        <v/>
      </c>
      <c r="L247">
        <f>IF(OR(B247="",E247=""),"",B247+MOD(N(C247),1)+ROW()/10000000)</f>
        <v/>
      </c>
      <c r="M247">
        <f>IF(D247="","",IFERROR(MATCH(D247,Settings!$B$10:$B$18,0),""))</f>
        <v/>
      </c>
      <c r="N247">
        <f>IF(OR(B247="",E247="",M247=""),"",IF(AND(B247&gt;=Settings!$C$6,B247&lt;=Settings!$C$7),M247*10000+E247,""))</f>
        <v/>
      </c>
      <c r="O247">
        <f>IF(OR(B247="",E247=""),"",B247*10000+E247)</f>
        <v/>
      </c>
      <c r="P247">
        <f>IF(N247="","",E247)</f>
        <v/>
      </c>
    </row>
    <row r="248">
      <c r="A248" s="1" t="n"/>
      <c r="B248" s="20" t="n"/>
      <c r="C248" s="21" t="n"/>
      <c r="D248" s="22" t="n"/>
      <c r="E248" s="23" t="n"/>
      <c r="F248" s="22" t="n"/>
      <c r="G248" s="14">
        <f>IF(OR(B248="",E248="",J248="",K248=""),"",IF(E248&lt;J248,"Below",IF(E248&gt;K248,"Above","In range")))</f>
        <v/>
      </c>
      <c r="H248" s="1" t="n"/>
      <c r="J248">
        <f>IF(M248="","",IF(INDEX(Settings!$C$10:$C$18,M248)="","",INDEX(Settings!$C$10:$C$18,M248)))</f>
        <v/>
      </c>
      <c r="K248">
        <f>IF(M248="","",IF(INDEX(Settings!$D$10:$D$18,M248)="","",INDEX(Settings!$D$10:$D$18,M248)))</f>
        <v/>
      </c>
      <c r="L248">
        <f>IF(OR(B248="",E248=""),"",B248+MOD(N(C248),1)+ROW()/10000000)</f>
        <v/>
      </c>
      <c r="M248">
        <f>IF(D248="","",IFERROR(MATCH(D248,Settings!$B$10:$B$18,0),""))</f>
        <v/>
      </c>
      <c r="N248">
        <f>IF(OR(B248="",E248="",M248=""),"",IF(AND(B248&gt;=Settings!$C$6,B248&lt;=Settings!$C$7),M248*10000+E248,""))</f>
        <v/>
      </c>
      <c r="O248">
        <f>IF(OR(B248="",E248=""),"",B248*10000+E248)</f>
        <v/>
      </c>
      <c r="P248">
        <f>IF(N248="","",E248)</f>
        <v/>
      </c>
    </row>
    <row r="249">
      <c r="A249" s="1" t="n"/>
      <c r="B249" s="20" t="n"/>
      <c r="C249" s="21" t="n"/>
      <c r="D249" s="22" t="n"/>
      <c r="E249" s="23" t="n"/>
      <c r="F249" s="22" t="n"/>
      <c r="G249" s="14">
        <f>IF(OR(B249="",E249="",J249="",K249=""),"",IF(E249&lt;J249,"Below",IF(E249&gt;K249,"Above","In range")))</f>
        <v/>
      </c>
      <c r="H249" s="1" t="n"/>
      <c r="J249">
        <f>IF(M249="","",IF(INDEX(Settings!$C$10:$C$18,M249)="","",INDEX(Settings!$C$10:$C$18,M249)))</f>
        <v/>
      </c>
      <c r="K249">
        <f>IF(M249="","",IF(INDEX(Settings!$D$10:$D$18,M249)="","",INDEX(Settings!$D$10:$D$18,M249)))</f>
        <v/>
      </c>
      <c r="L249">
        <f>IF(OR(B249="",E249=""),"",B249+MOD(N(C249),1)+ROW()/10000000)</f>
        <v/>
      </c>
      <c r="M249">
        <f>IF(D249="","",IFERROR(MATCH(D249,Settings!$B$10:$B$18,0),""))</f>
        <v/>
      </c>
      <c r="N249">
        <f>IF(OR(B249="",E249="",M249=""),"",IF(AND(B249&gt;=Settings!$C$6,B249&lt;=Settings!$C$7),M249*10000+E249,""))</f>
        <v/>
      </c>
      <c r="O249">
        <f>IF(OR(B249="",E249=""),"",B249*10000+E249)</f>
        <v/>
      </c>
      <c r="P249">
        <f>IF(N249="","",E249)</f>
        <v/>
      </c>
    </row>
    <row r="250">
      <c r="A250" s="1" t="n"/>
      <c r="B250" s="20" t="n"/>
      <c r="C250" s="21" t="n"/>
      <c r="D250" s="22" t="n"/>
      <c r="E250" s="23" t="n"/>
      <c r="F250" s="22" t="n"/>
      <c r="G250" s="14">
        <f>IF(OR(B250="",E250="",J250="",K250=""),"",IF(E250&lt;J250,"Below",IF(E250&gt;K250,"Above","In range")))</f>
        <v/>
      </c>
      <c r="H250" s="1" t="n"/>
      <c r="J250">
        <f>IF(M250="","",IF(INDEX(Settings!$C$10:$C$18,M250)="","",INDEX(Settings!$C$10:$C$18,M250)))</f>
        <v/>
      </c>
      <c r="K250">
        <f>IF(M250="","",IF(INDEX(Settings!$D$10:$D$18,M250)="","",INDEX(Settings!$D$10:$D$18,M250)))</f>
        <v/>
      </c>
      <c r="L250">
        <f>IF(OR(B250="",E250=""),"",B250+MOD(N(C250),1)+ROW()/10000000)</f>
        <v/>
      </c>
      <c r="M250">
        <f>IF(D250="","",IFERROR(MATCH(D250,Settings!$B$10:$B$18,0),""))</f>
        <v/>
      </c>
      <c r="N250">
        <f>IF(OR(B250="",E250="",M250=""),"",IF(AND(B250&gt;=Settings!$C$6,B250&lt;=Settings!$C$7),M250*10000+E250,""))</f>
        <v/>
      </c>
      <c r="O250">
        <f>IF(OR(B250="",E250=""),"",B250*10000+E250)</f>
        <v/>
      </c>
      <c r="P250">
        <f>IF(N250="","",E250)</f>
        <v/>
      </c>
    </row>
    <row r="251">
      <c r="A251" s="1" t="n"/>
      <c r="B251" s="20" t="n"/>
      <c r="C251" s="21" t="n"/>
      <c r="D251" s="22" t="n"/>
      <c r="E251" s="23" t="n"/>
      <c r="F251" s="22" t="n"/>
      <c r="G251" s="14">
        <f>IF(OR(B251="",E251="",J251="",K251=""),"",IF(E251&lt;J251,"Below",IF(E251&gt;K251,"Above","In range")))</f>
        <v/>
      </c>
      <c r="H251" s="1" t="n"/>
      <c r="J251">
        <f>IF(M251="","",IF(INDEX(Settings!$C$10:$C$18,M251)="","",INDEX(Settings!$C$10:$C$18,M251)))</f>
        <v/>
      </c>
      <c r="K251">
        <f>IF(M251="","",IF(INDEX(Settings!$D$10:$D$18,M251)="","",INDEX(Settings!$D$10:$D$18,M251)))</f>
        <v/>
      </c>
      <c r="L251">
        <f>IF(OR(B251="",E251=""),"",B251+MOD(N(C251),1)+ROW()/10000000)</f>
        <v/>
      </c>
      <c r="M251">
        <f>IF(D251="","",IFERROR(MATCH(D251,Settings!$B$10:$B$18,0),""))</f>
        <v/>
      </c>
      <c r="N251">
        <f>IF(OR(B251="",E251="",M251=""),"",IF(AND(B251&gt;=Settings!$C$6,B251&lt;=Settings!$C$7),M251*10000+E251,""))</f>
        <v/>
      </c>
      <c r="O251">
        <f>IF(OR(B251="",E251=""),"",B251*10000+E251)</f>
        <v/>
      </c>
      <c r="P251">
        <f>IF(N251="","",E251)</f>
        <v/>
      </c>
    </row>
    <row r="252">
      <c r="A252" s="1" t="n"/>
      <c r="B252" s="20" t="n"/>
      <c r="C252" s="21" t="n"/>
      <c r="D252" s="22" t="n"/>
      <c r="E252" s="23" t="n"/>
      <c r="F252" s="22" t="n"/>
      <c r="G252" s="14">
        <f>IF(OR(B252="",E252="",J252="",K252=""),"",IF(E252&lt;J252,"Below",IF(E252&gt;K252,"Above","In range")))</f>
        <v/>
      </c>
      <c r="H252" s="1" t="n"/>
      <c r="J252">
        <f>IF(M252="","",IF(INDEX(Settings!$C$10:$C$18,M252)="","",INDEX(Settings!$C$10:$C$18,M252)))</f>
        <v/>
      </c>
      <c r="K252">
        <f>IF(M252="","",IF(INDEX(Settings!$D$10:$D$18,M252)="","",INDEX(Settings!$D$10:$D$18,M252)))</f>
        <v/>
      </c>
      <c r="L252">
        <f>IF(OR(B252="",E252=""),"",B252+MOD(N(C252),1)+ROW()/10000000)</f>
        <v/>
      </c>
      <c r="M252">
        <f>IF(D252="","",IFERROR(MATCH(D252,Settings!$B$10:$B$18,0),""))</f>
        <v/>
      </c>
      <c r="N252">
        <f>IF(OR(B252="",E252="",M252=""),"",IF(AND(B252&gt;=Settings!$C$6,B252&lt;=Settings!$C$7),M252*10000+E252,""))</f>
        <v/>
      </c>
      <c r="O252">
        <f>IF(OR(B252="",E252=""),"",B252*10000+E252)</f>
        <v/>
      </c>
      <c r="P252">
        <f>IF(N252="","",E252)</f>
        <v/>
      </c>
    </row>
    <row r="253">
      <c r="A253" s="1" t="n"/>
      <c r="B253" s="20" t="n"/>
      <c r="C253" s="21" t="n"/>
      <c r="D253" s="22" t="n"/>
      <c r="E253" s="23" t="n"/>
      <c r="F253" s="22" t="n"/>
      <c r="G253" s="14">
        <f>IF(OR(B253="",E253="",J253="",K253=""),"",IF(E253&lt;J253,"Below",IF(E253&gt;K253,"Above","In range")))</f>
        <v/>
      </c>
      <c r="H253" s="1" t="n"/>
      <c r="J253">
        <f>IF(M253="","",IF(INDEX(Settings!$C$10:$C$18,M253)="","",INDEX(Settings!$C$10:$C$18,M253)))</f>
        <v/>
      </c>
      <c r="K253">
        <f>IF(M253="","",IF(INDEX(Settings!$D$10:$D$18,M253)="","",INDEX(Settings!$D$10:$D$18,M253)))</f>
        <v/>
      </c>
      <c r="L253">
        <f>IF(OR(B253="",E253=""),"",B253+MOD(N(C253),1)+ROW()/10000000)</f>
        <v/>
      </c>
      <c r="M253">
        <f>IF(D253="","",IFERROR(MATCH(D253,Settings!$B$10:$B$18,0),""))</f>
        <v/>
      </c>
      <c r="N253">
        <f>IF(OR(B253="",E253="",M253=""),"",IF(AND(B253&gt;=Settings!$C$6,B253&lt;=Settings!$C$7),M253*10000+E253,""))</f>
        <v/>
      </c>
      <c r="O253">
        <f>IF(OR(B253="",E253=""),"",B253*10000+E253)</f>
        <v/>
      </c>
      <c r="P253">
        <f>IF(N253="","",E253)</f>
        <v/>
      </c>
    </row>
    <row r="254">
      <c r="A254" s="1" t="n"/>
      <c r="B254" s="20" t="n"/>
      <c r="C254" s="21" t="n"/>
      <c r="D254" s="22" t="n"/>
      <c r="E254" s="23" t="n"/>
      <c r="F254" s="22" t="n"/>
      <c r="G254" s="14">
        <f>IF(OR(B254="",E254="",J254="",K254=""),"",IF(E254&lt;J254,"Below",IF(E254&gt;K254,"Above","In range")))</f>
        <v/>
      </c>
      <c r="H254" s="1" t="n"/>
      <c r="J254">
        <f>IF(M254="","",IF(INDEX(Settings!$C$10:$C$18,M254)="","",INDEX(Settings!$C$10:$C$18,M254)))</f>
        <v/>
      </c>
      <c r="K254">
        <f>IF(M254="","",IF(INDEX(Settings!$D$10:$D$18,M254)="","",INDEX(Settings!$D$10:$D$18,M254)))</f>
        <v/>
      </c>
      <c r="L254">
        <f>IF(OR(B254="",E254=""),"",B254+MOD(N(C254),1)+ROW()/10000000)</f>
        <v/>
      </c>
      <c r="M254">
        <f>IF(D254="","",IFERROR(MATCH(D254,Settings!$B$10:$B$18,0),""))</f>
        <v/>
      </c>
      <c r="N254">
        <f>IF(OR(B254="",E254="",M254=""),"",IF(AND(B254&gt;=Settings!$C$6,B254&lt;=Settings!$C$7),M254*10000+E254,""))</f>
        <v/>
      </c>
      <c r="O254">
        <f>IF(OR(B254="",E254=""),"",B254*10000+E254)</f>
        <v/>
      </c>
      <c r="P254">
        <f>IF(N254="","",E254)</f>
        <v/>
      </c>
    </row>
    <row r="255">
      <c r="A255" s="1" t="n"/>
      <c r="B255" s="20" t="n"/>
      <c r="C255" s="21" t="n"/>
      <c r="D255" s="22" t="n"/>
      <c r="E255" s="23" t="n"/>
      <c r="F255" s="22" t="n"/>
      <c r="G255" s="14">
        <f>IF(OR(B255="",E255="",J255="",K255=""),"",IF(E255&lt;J255,"Below",IF(E255&gt;K255,"Above","In range")))</f>
        <v/>
      </c>
      <c r="H255" s="1" t="n"/>
      <c r="J255">
        <f>IF(M255="","",IF(INDEX(Settings!$C$10:$C$18,M255)="","",INDEX(Settings!$C$10:$C$18,M255)))</f>
        <v/>
      </c>
      <c r="K255">
        <f>IF(M255="","",IF(INDEX(Settings!$D$10:$D$18,M255)="","",INDEX(Settings!$D$10:$D$18,M255)))</f>
        <v/>
      </c>
      <c r="L255">
        <f>IF(OR(B255="",E255=""),"",B255+MOD(N(C255),1)+ROW()/10000000)</f>
        <v/>
      </c>
      <c r="M255">
        <f>IF(D255="","",IFERROR(MATCH(D255,Settings!$B$10:$B$18,0),""))</f>
        <v/>
      </c>
      <c r="N255">
        <f>IF(OR(B255="",E255="",M255=""),"",IF(AND(B255&gt;=Settings!$C$6,B255&lt;=Settings!$C$7),M255*10000+E255,""))</f>
        <v/>
      </c>
      <c r="O255">
        <f>IF(OR(B255="",E255=""),"",B255*10000+E255)</f>
        <v/>
      </c>
      <c r="P255">
        <f>IF(N255="","",E255)</f>
        <v/>
      </c>
    </row>
    <row r="256">
      <c r="A256" s="1" t="n"/>
      <c r="B256" s="20" t="n"/>
      <c r="C256" s="21" t="n"/>
      <c r="D256" s="22" t="n"/>
      <c r="E256" s="23" t="n"/>
      <c r="F256" s="22" t="n"/>
      <c r="G256" s="14">
        <f>IF(OR(B256="",E256="",J256="",K256=""),"",IF(E256&lt;J256,"Below",IF(E256&gt;K256,"Above","In range")))</f>
        <v/>
      </c>
      <c r="H256" s="1" t="n"/>
      <c r="J256">
        <f>IF(M256="","",IF(INDEX(Settings!$C$10:$C$18,M256)="","",INDEX(Settings!$C$10:$C$18,M256)))</f>
        <v/>
      </c>
      <c r="K256">
        <f>IF(M256="","",IF(INDEX(Settings!$D$10:$D$18,M256)="","",INDEX(Settings!$D$10:$D$18,M256)))</f>
        <v/>
      </c>
      <c r="L256">
        <f>IF(OR(B256="",E256=""),"",B256+MOD(N(C256),1)+ROW()/10000000)</f>
        <v/>
      </c>
      <c r="M256">
        <f>IF(D256="","",IFERROR(MATCH(D256,Settings!$B$10:$B$18,0),""))</f>
        <v/>
      </c>
      <c r="N256">
        <f>IF(OR(B256="",E256="",M256=""),"",IF(AND(B256&gt;=Settings!$C$6,B256&lt;=Settings!$C$7),M256*10000+E256,""))</f>
        <v/>
      </c>
      <c r="O256">
        <f>IF(OR(B256="",E256=""),"",B256*10000+E256)</f>
        <v/>
      </c>
      <c r="P256">
        <f>IF(N256="","",E256)</f>
        <v/>
      </c>
    </row>
    <row r="257">
      <c r="A257" s="1" t="n"/>
      <c r="B257" s="20" t="n"/>
      <c r="C257" s="21" t="n"/>
      <c r="D257" s="22" t="n"/>
      <c r="E257" s="23" t="n"/>
      <c r="F257" s="22" t="n"/>
      <c r="G257" s="14">
        <f>IF(OR(B257="",E257="",J257="",K257=""),"",IF(E257&lt;J257,"Below",IF(E257&gt;K257,"Above","In range")))</f>
        <v/>
      </c>
      <c r="H257" s="1" t="n"/>
      <c r="J257">
        <f>IF(M257="","",IF(INDEX(Settings!$C$10:$C$18,M257)="","",INDEX(Settings!$C$10:$C$18,M257)))</f>
        <v/>
      </c>
      <c r="K257">
        <f>IF(M257="","",IF(INDEX(Settings!$D$10:$D$18,M257)="","",INDEX(Settings!$D$10:$D$18,M257)))</f>
        <v/>
      </c>
      <c r="L257">
        <f>IF(OR(B257="",E257=""),"",B257+MOD(N(C257),1)+ROW()/10000000)</f>
        <v/>
      </c>
      <c r="M257">
        <f>IF(D257="","",IFERROR(MATCH(D257,Settings!$B$10:$B$18,0),""))</f>
        <v/>
      </c>
      <c r="N257">
        <f>IF(OR(B257="",E257="",M257=""),"",IF(AND(B257&gt;=Settings!$C$6,B257&lt;=Settings!$C$7),M257*10000+E257,""))</f>
        <v/>
      </c>
      <c r="O257">
        <f>IF(OR(B257="",E257=""),"",B257*10000+E257)</f>
        <v/>
      </c>
      <c r="P257">
        <f>IF(N257="","",E257)</f>
        <v/>
      </c>
    </row>
    <row r="258">
      <c r="A258" s="1" t="n"/>
      <c r="B258" s="20" t="n"/>
      <c r="C258" s="21" t="n"/>
      <c r="D258" s="22" t="n"/>
      <c r="E258" s="23" t="n"/>
      <c r="F258" s="22" t="n"/>
      <c r="G258" s="14">
        <f>IF(OR(B258="",E258="",J258="",K258=""),"",IF(E258&lt;J258,"Below",IF(E258&gt;K258,"Above","In range")))</f>
        <v/>
      </c>
      <c r="H258" s="1" t="n"/>
      <c r="J258">
        <f>IF(M258="","",IF(INDEX(Settings!$C$10:$C$18,M258)="","",INDEX(Settings!$C$10:$C$18,M258)))</f>
        <v/>
      </c>
      <c r="K258">
        <f>IF(M258="","",IF(INDEX(Settings!$D$10:$D$18,M258)="","",INDEX(Settings!$D$10:$D$18,M258)))</f>
        <v/>
      </c>
      <c r="L258">
        <f>IF(OR(B258="",E258=""),"",B258+MOD(N(C258),1)+ROW()/10000000)</f>
        <v/>
      </c>
      <c r="M258">
        <f>IF(D258="","",IFERROR(MATCH(D258,Settings!$B$10:$B$18,0),""))</f>
        <v/>
      </c>
      <c r="N258">
        <f>IF(OR(B258="",E258="",M258=""),"",IF(AND(B258&gt;=Settings!$C$6,B258&lt;=Settings!$C$7),M258*10000+E258,""))</f>
        <v/>
      </c>
      <c r="O258">
        <f>IF(OR(B258="",E258=""),"",B258*10000+E258)</f>
        <v/>
      </c>
      <c r="P258">
        <f>IF(N258="","",E258)</f>
        <v/>
      </c>
    </row>
    <row r="259">
      <c r="A259" s="1" t="n"/>
      <c r="B259" s="20" t="n"/>
      <c r="C259" s="21" t="n"/>
      <c r="D259" s="22" t="n"/>
      <c r="E259" s="23" t="n"/>
      <c r="F259" s="22" t="n"/>
      <c r="G259" s="14">
        <f>IF(OR(B259="",E259="",J259="",K259=""),"",IF(E259&lt;J259,"Below",IF(E259&gt;K259,"Above","In range")))</f>
        <v/>
      </c>
      <c r="H259" s="1" t="n"/>
      <c r="J259">
        <f>IF(M259="","",IF(INDEX(Settings!$C$10:$C$18,M259)="","",INDEX(Settings!$C$10:$C$18,M259)))</f>
        <v/>
      </c>
      <c r="K259">
        <f>IF(M259="","",IF(INDEX(Settings!$D$10:$D$18,M259)="","",INDEX(Settings!$D$10:$D$18,M259)))</f>
        <v/>
      </c>
      <c r="L259">
        <f>IF(OR(B259="",E259=""),"",B259+MOD(N(C259),1)+ROW()/10000000)</f>
        <v/>
      </c>
      <c r="M259">
        <f>IF(D259="","",IFERROR(MATCH(D259,Settings!$B$10:$B$18,0),""))</f>
        <v/>
      </c>
      <c r="N259">
        <f>IF(OR(B259="",E259="",M259=""),"",IF(AND(B259&gt;=Settings!$C$6,B259&lt;=Settings!$C$7),M259*10000+E259,""))</f>
        <v/>
      </c>
      <c r="O259">
        <f>IF(OR(B259="",E259=""),"",B259*10000+E259)</f>
        <v/>
      </c>
      <c r="P259">
        <f>IF(N259="","",E259)</f>
        <v/>
      </c>
    </row>
    <row r="260">
      <c r="A260" s="1" t="n"/>
      <c r="B260" s="20" t="n"/>
      <c r="C260" s="21" t="n"/>
      <c r="D260" s="22" t="n"/>
      <c r="E260" s="23" t="n"/>
      <c r="F260" s="22" t="n"/>
      <c r="G260" s="14">
        <f>IF(OR(B260="",E260="",J260="",K260=""),"",IF(E260&lt;J260,"Below",IF(E260&gt;K260,"Above","In range")))</f>
        <v/>
      </c>
      <c r="H260" s="1" t="n"/>
      <c r="J260">
        <f>IF(M260="","",IF(INDEX(Settings!$C$10:$C$18,M260)="","",INDEX(Settings!$C$10:$C$18,M260)))</f>
        <v/>
      </c>
      <c r="K260">
        <f>IF(M260="","",IF(INDEX(Settings!$D$10:$D$18,M260)="","",INDEX(Settings!$D$10:$D$18,M260)))</f>
        <v/>
      </c>
      <c r="L260">
        <f>IF(OR(B260="",E260=""),"",B260+MOD(N(C260),1)+ROW()/10000000)</f>
        <v/>
      </c>
      <c r="M260">
        <f>IF(D260="","",IFERROR(MATCH(D260,Settings!$B$10:$B$18,0),""))</f>
        <v/>
      </c>
      <c r="N260">
        <f>IF(OR(B260="",E260="",M260=""),"",IF(AND(B260&gt;=Settings!$C$6,B260&lt;=Settings!$C$7),M260*10000+E260,""))</f>
        <v/>
      </c>
      <c r="O260">
        <f>IF(OR(B260="",E260=""),"",B260*10000+E260)</f>
        <v/>
      </c>
      <c r="P260">
        <f>IF(N260="","",E260)</f>
        <v/>
      </c>
    </row>
    <row r="261">
      <c r="A261" s="1" t="n"/>
      <c r="B261" s="20" t="n"/>
      <c r="C261" s="21" t="n"/>
      <c r="D261" s="22" t="n"/>
      <c r="E261" s="23" t="n"/>
      <c r="F261" s="22" t="n"/>
      <c r="G261" s="14">
        <f>IF(OR(B261="",E261="",J261="",K261=""),"",IF(E261&lt;J261,"Below",IF(E261&gt;K261,"Above","In range")))</f>
        <v/>
      </c>
      <c r="H261" s="1" t="n"/>
      <c r="J261">
        <f>IF(M261="","",IF(INDEX(Settings!$C$10:$C$18,M261)="","",INDEX(Settings!$C$10:$C$18,M261)))</f>
        <v/>
      </c>
      <c r="K261">
        <f>IF(M261="","",IF(INDEX(Settings!$D$10:$D$18,M261)="","",INDEX(Settings!$D$10:$D$18,M261)))</f>
        <v/>
      </c>
      <c r="L261">
        <f>IF(OR(B261="",E261=""),"",B261+MOD(N(C261),1)+ROW()/10000000)</f>
        <v/>
      </c>
      <c r="M261">
        <f>IF(D261="","",IFERROR(MATCH(D261,Settings!$B$10:$B$18,0),""))</f>
        <v/>
      </c>
      <c r="N261">
        <f>IF(OR(B261="",E261="",M261=""),"",IF(AND(B261&gt;=Settings!$C$6,B261&lt;=Settings!$C$7),M261*10000+E261,""))</f>
        <v/>
      </c>
      <c r="O261">
        <f>IF(OR(B261="",E261=""),"",B261*10000+E261)</f>
        <v/>
      </c>
      <c r="P261">
        <f>IF(N261="","",E261)</f>
        <v/>
      </c>
    </row>
    <row r="262">
      <c r="A262" s="1" t="n"/>
      <c r="B262" s="20" t="n"/>
      <c r="C262" s="21" t="n"/>
      <c r="D262" s="22" t="n"/>
      <c r="E262" s="23" t="n"/>
      <c r="F262" s="22" t="n"/>
      <c r="G262" s="14">
        <f>IF(OR(B262="",E262="",J262="",K262=""),"",IF(E262&lt;J262,"Below",IF(E262&gt;K262,"Above","In range")))</f>
        <v/>
      </c>
      <c r="H262" s="1" t="n"/>
      <c r="J262">
        <f>IF(M262="","",IF(INDEX(Settings!$C$10:$C$18,M262)="","",INDEX(Settings!$C$10:$C$18,M262)))</f>
        <v/>
      </c>
      <c r="K262">
        <f>IF(M262="","",IF(INDEX(Settings!$D$10:$D$18,M262)="","",INDEX(Settings!$D$10:$D$18,M262)))</f>
        <v/>
      </c>
      <c r="L262">
        <f>IF(OR(B262="",E262=""),"",B262+MOD(N(C262),1)+ROW()/10000000)</f>
        <v/>
      </c>
      <c r="M262">
        <f>IF(D262="","",IFERROR(MATCH(D262,Settings!$B$10:$B$18,0),""))</f>
        <v/>
      </c>
      <c r="N262">
        <f>IF(OR(B262="",E262="",M262=""),"",IF(AND(B262&gt;=Settings!$C$6,B262&lt;=Settings!$C$7),M262*10000+E262,""))</f>
        <v/>
      </c>
      <c r="O262">
        <f>IF(OR(B262="",E262=""),"",B262*10000+E262)</f>
        <v/>
      </c>
      <c r="P262">
        <f>IF(N262="","",E262)</f>
        <v/>
      </c>
    </row>
    <row r="263">
      <c r="A263" s="1" t="n"/>
      <c r="B263" s="20" t="n"/>
      <c r="C263" s="21" t="n"/>
      <c r="D263" s="22" t="n"/>
      <c r="E263" s="23" t="n"/>
      <c r="F263" s="22" t="n"/>
      <c r="G263" s="14">
        <f>IF(OR(B263="",E263="",J263="",K263=""),"",IF(E263&lt;J263,"Below",IF(E263&gt;K263,"Above","In range")))</f>
        <v/>
      </c>
      <c r="H263" s="1" t="n"/>
      <c r="J263">
        <f>IF(M263="","",IF(INDEX(Settings!$C$10:$C$18,M263)="","",INDEX(Settings!$C$10:$C$18,M263)))</f>
        <v/>
      </c>
      <c r="K263">
        <f>IF(M263="","",IF(INDEX(Settings!$D$10:$D$18,M263)="","",INDEX(Settings!$D$10:$D$18,M263)))</f>
        <v/>
      </c>
      <c r="L263">
        <f>IF(OR(B263="",E263=""),"",B263+MOD(N(C263),1)+ROW()/10000000)</f>
        <v/>
      </c>
      <c r="M263">
        <f>IF(D263="","",IFERROR(MATCH(D263,Settings!$B$10:$B$18,0),""))</f>
        <v/>
      </c>
      <c r="N263">
        <f>IF(OR(B263="",E263="",M263=""),"",IF(AND(B263&gt;=Settings!$C$6,B263&lt;=Settings!$C$7),M263*10000+E263,""))</f>
        <v/>
      </c>
      <c r="O263">
        <f>IF(OR(B263="",E263=""),"",B263*10000+E263)</f>
        <v/>
      </c>
      <c r="P263">
        <f>IF(N263="","",E263)</f>
        <v/>
      </c>
    </row>
    <row r="264">
      <c r="A264" s="1" t="n"/>
      <c r="B264" s="20" t="n"/>
      <c r="C264" s="21" t="n"/>
      <c r="D264" s="22" t="n"/>
      <c r="E264" s="23" t="n"/>
      <c r="F264" s="22" t="n"/>
      <c r="G264" s="14">
        <f>IF(OR(B264="",E264="",J264="",K264=""),"",IF(E264&lt;J264,"Below",IF(E264&gt;K264,"Above","In range")))</f>
        <v/>
      </c>
      <c r="H264" s="1" t="n"/>
      <c r="J264">
        <f>IF(M264="","",IF(INDEX(Settings!$C$10:$C$18,M264)="","",INDEX(Settings!$C$10:$C$18,M264)))</f>
        <v/>
      </c>
      <c r="K264">
        <f>IF(M264="","",IF(INDEX(Settings!$D$10:$D$18,M264)="","",INDEX(Settings!$D$10:$D$18,M264)))</f>
        <v/>
      </c>
      <c r="L264">
        <f>IF(OR(B264="",E264=""),"",B264+MOD(N(C264),1)+ROW()/10000000)</f>
        <v/>
      </c>
      <c r="M264">
        <f>IF(D264="","",IFERROR(MATCH(D264,Settings!$B$10:$B$18,0),""))</f>
        <v/>
      </c>
      <c r="N264">
        <f>IF(OR(B264="",E264="",M264=""),"",IF(AND(B264&gt;=Settings!$C$6,B264&lt;=Settings!$C$7),M264*10000+E264,""))</f>
        <v/>
      </c>
      <c r="O264">
        <f>IF(OR(B264="",E264=""),"",B264*10000+E264)</f>
        <v/>
      </c>
      <c r="P264">
        <f>IF(N264="","",E264)</f>
        <v/>
      </c>
    </row>
    <row r="265">
      <c r="A265" s="1" t="n"/>
      <c r="B265" s="20" t="n"/>
      <c r="C265" s="21" t="n"/>
      <c r="D265" s="22" t="n"/>
      <c r="E265" s="23" t="n"/>
      <c r="F265" s="22" t="n"/>
      <c r="G265" s="14">
        <f>IF(OR(B265="",E265="",J265="",K265=""),"",IF(E265&lt;J265,"Below",IF(E265&gt;K265,"Above","In range")))</f>
        <v/>
      </c>
      <c r="H265" s="1" t="n"/>
      <c r="J265">
        <f>IF(M265="","",IF(INDEX(Settings!$C$10:$C$18,M265)="","",INDEX(Settings!$C$10:$C$18,M265)))</f>
        <v/>
      </c>
      <c r="K265">
        <f>IF(M265="","",IF(INDEX(Settings!$D$10:$D$18,M265)="","",INDEX(Settings!$D$10:$D$18,M265)))</f>
        <v/>
      </c>
      <c r="L265">
        <f>IF(OR(B265="",E265=""),"",B265+MOD(N(C265),1)+ROW()/10000000)</f>
        <v/>
      </c>
      <c r="M265">
        <f>IF(D265="","",IFERROR(MATCH(D265,Settings!$B$10:$B$18,0),""))</f>
        <v/>
      </c>
      <c r="N265">
        <f>IF(OR(B265="",E265="",M265=""),"",IF(AND(B265&gt;=Settings!$C$6,B265&lt;=Settings!$C$7),M265*10000+E265,""))</f>
        <v/>
      </c>
      <c r="O265">
        <f>IF(OR(B265="",E265=""),"",B265*10000+E265)</f>
        <v/>
      </c>
      <c r="P265">
        <f>IF(N265="","",E265)</f>
        <v/>
      </c>
    </row>
    <row r="266">
      <c r="A266" s="1" t="n"/>
      <c r="B266" s="20" t="n"/>
      <c r="C266" s="21" t="n"/>
      <c r="D266" s="22" t="n"/>
      <c r="E266" s="23" t="n"/>
      <c r="F266" s="22" t="n"/>
      <c r="G266" s="14">
        <f>IF(OR(B266="",E266="",J266="",K266=""),"",IF(E266&lt;J266,"Below",IF(E266&gt;K266,"Above","In range")))</f>
        <v/>
      </c>
      <c r="H266" s="1" t="n"/>
      <c r="J266">
        <f>IF(M266="","",IF(INDEX(Settings!$C$10:$C$18,M266)="","",INDEX(Settings!$C$10:$C$18,M266)))</f>
        <v/>
      </c>
      <c r="K266">
        <f>IF(M266="","",IF(INDEX(Settings!$D$10:$D$18,M266)="","",INDEX(Settings!$D$10:$D$18,M266)))</f>
        <v/>
      </c>
      <c r="L266">
        <f>IF(OR(B266="",E266=""),"",B266+MOD(N(C266),1)+ROW()/10000000)</f>
        <v/>
      </c>
      <c r="M266">
        <f>IF(D266="","",IFERROR(MATCH(D266,Settings!$B$10:$B$18,0),""))</f>
        <v/>
      </c>
      <c r="N266">
        <f>IF(OR(B266="",E266="",M266=""),"",IF(AND(B266&gt;=Settings!$C$6,B266&lt;=Settings!$C$7),M266*10000+E266,""))</f>
        <v/>
      </c>
      <c r="O266">
        <f>IF(OR(B266="",E266=""),"",B266*10000+E266)</f>
        <v/>
      </c>
      <c r="P266">
        <f>IF(N266="","",E266)</f>
        <v/>
      </c>
    </row>
    <row r="267">
      <c r="A267" s="1" t="n"/>
      <c r="B267" s="20" t="n"/>
      <c r="C267" s="21" t="n"/>
      <c r="D267" s="22" t="n"/>
      <c r="E267" s="23" t="n"/>
      <c r="F267" s="22" t="n"/>
      <c r="G267" s="14">
        <f>IF(OR(B267="",E267="",J267="",K267=""),"",IF(E267&lt;J267,"Below",IF(E267&gt;K267,"Above","In range")))</f>
        <v/>
      </c>
      <c r="H267" s="1" t="n"/>
      <c r="J267">
        <f>IF(M267="","",IF(INDEX(Settings!$C$10:$C$18,M267)="","",INDEX(Settings!$C$10:$C$18,M267)))</f>
        <v/>
      </c>
      <c r="K267">
        <f>IF(M267="","",IF(INDEX(Settings!$D$10:$D$18,M267)="","",INDEX(Settings!$D$10:$D$18,M267)))</f>
        <v/>
      </c>
      <c r="L267">
        <f>IF(OR(B267="",E267=""),"",B267+MOD(N(C267),1)+ROW()/10000000)</f>
        <v/>
      </c>
      <c r="M267">
        <f>IF(D267="","",IFERROR(MATCH(D267,Settings!$B$10:$B$18,0),""))</f>
        <v/>
      </c>
      <c r="N267">
        <f>IF(OR(B267="",E267="",M267=""),"",IF(AND(B267&gt;=Settings!$C$6,B267&lt;=Settings!$C$7),M267*10000+E267,""))</f>
        <v/>
      </c>
      <c r="O267">
        <f>IF(OR(B267="",E267=""),"",B267*10000+E267)</f>
        <v/>
      </c>
      <c r="P267">
        <f>IF(N267="","",E267)</f>
        <v/>
      </c>
    </row>
    <row r="268">
      <c r="A268" s="1" t="n"/>
      <c r="B268" s="20" t="n"/>
      <c r="C268" s="21" t="n"/>
      <c r="D268" s="22" t="n"/>
      <c r="E268" s="23" t="n"/>
      <c r="F268" s="22" t="n"/>
      <c r="G268" s="14">
        <f>IF(OR(B268="",E268="",J268="",K268=""),"",IF(E268&lt;J268,"Below",IF(E268&gt;K268,"Above","In range")))</f>
        <v/>
      </c>
      <c r="H268" s="1" t="n"/>
      <c r="J268">
        <f>IF(M268="","",IF(INDEX(Settings!$C$10:$C$18,M268)="","",INDEX(Settings!$C$10:$C$18,M268)))</f>
        <v/>
      </c>
      <c r="K268">
        <f>IF(M268="","",IF(INDEX(Settings!$D$10:$D$18,M268)="","",INDEX(Settings!$D$10:$D$18,M268)))</f>
        <v/>
      </c>
      <c r="L268">
        <f>IF(OR(B268="",E268=""),"",B268+MOD(N(C268),1)+ROW()/10000000)</f>
        <v/>
      </c>
      <c r="M268">
        <f>IF(D268="","",IFERROR(MATCH(D268,Settings!$B$10:$B$18,0),""))</f>
        <v/>
      </c>
      <c r="N268">
        <f>IF(OR(B268="",E268="",M268=""),"",IF(AND(B268&gt;=Settings!$C$6,B268&lt;=Settings!$C$7),M268*10000+E268,""))</f>
        <v/>
      </c>
      <c r="O268">
        <f>IF(OR(B268="",E268=""),"",B268*10000+E268)</f>
        <v/>
      </c>
      <c r="P268">
        <f>IF(N268="","",E268)</f>
        <v/>
      </c>
    </row>
    <row r="269">
      <c r="A269" s="1" t="n"/>
      <c r="B269" s="20" t="n"/>
      <c r="C269" s="21" t="n"/>
      <c r="D269" s="22" t="n"/>
      <c r="E269" s="23" t="n"/>
      <c r="F269" s="22" t="n"/>
      <c r="G269" s="14">
        <f>IF(OR(B269="",E269="",J269="",K269=""),"",IF(E269&lt;J269,"Below",IF(E269&gt;K269,"Above","In range")))</f>
        <v/>
      </c>
      <c r="H269" s="1" t="n"/>
      <c r="J269">
        <f>IF(M269="","",IF(INDEX(Settings!$C$10:$C$18,M269)="","",INDEX(Settings!$C$10:$C$18,M269)))</f>
        <v/>
      </c>
      <c r="K269">
        <f>IF(M269="","",IF(INDEX(Settings!$D$10:$D$18,M269)="","",INDEX(Settings!$D$10:$D$18,M269)))</f>
        <v/>
      </c>
      <c r="L269">
        <f>IF(OR(B269="",E269=""),"",B269+MOD(N(C269),1)+ROW()/10000000)</f>
        <v/>
      </c>
      <c r="M269">
        <f>IF(D269="","",IFERROR(MATCH(D269,Settings!$B$10:$B$18,0),""))</f>
        <v/>
      </c>
      <c r="N269">
        <f>IF(OR(B269="",E269="",M269=""),"",IF(AND(B269&gt;=Settings!$C$6,B269&lt;=Settings!$C$7),M269*10000+E269,""))</f>
        <v/>
      </c>
      <c r="O269">
        <f>IF(OR(B269="",E269=""),"",B269*10000+E269)</f>
        <v/>
      </c>
      <c r="P269">
        <f>IF(N269="","",E269)</f>
        <v/>
      </c>
    </row>
    <row r="270">
      <c r="A270" s="1" t="n"/>
      <c r="B270" s="20" t="n"/>
      <c r="C270" s="21" t="n"/>
      <c r="D270" s="22" t="n"/>
      <c r="E270" s="23" t="n"/>
      <c r="F270" s="22" t="n"/>
      <c r="G270" s="14">
        <f>IF(OR(B270="",E270="",J270="",K270=""),"",IF(E270&lt;J270,"Below",IF(E270&gt;K270,"Above","In range")))</f>
        <v/>
      </c>
      <c r="H270" s="1" t="n"/>
      <c r="J270">
        <f>IF(M270="","",IF(INDEX(Settings!$C$10:$C$18,M270)="","",INDEX(Settings!$C$10:$C$18,M270)))</f>
        <v/>
      </c>
      <c r="K270">
        <f>IF(M270="","",IF(INDEX(Settings!$D$10:$D$18,M270)="","",INDEX(Settings!$D$10:$D$18,M270)))</f>
        <v/>
      </c>
      <c r="L270">
        <f>IF(OR(B270="",E270=""),"",B270+MOD(N(C270),1)+ROW()/10000000)</f>
        <v/>
      </c>
      <c r="M270">
        <f>IF(D270="","",IFERROR(MATCH(D270,Settings!$B$10:$B$18,0),""))</f>
        <v/>
      </c>
      <c r="N270">
        <f>IF(OR(B270="",E270="",M270=""),"",IF(AND(B270&gt;=Settings!$C$6,B270&lt;=Settings!$C$7),M270*10000+E270,""))</f>
        <v/>
      </c>
      <c r="O270">
        <f>IF(OR(B270="",E270=""),"",B270*10000+E270)</f>
        <v/>
      </c>
      <c r="P270">
        <f>IF(N270="","",E270)</f>
        <v/>
      </c>
    </row>
    <row r="271">
      <c r="A271" s="1" t="n"/>
      <c r="B271" s="20" t="n"/>
      <c r="C271" s="21" t="n"/>
      <c r="D271" s="22" t="n"/>
      <c r="E271" s="23" t="n"/>
      <c r="F271" s="22" t="n"/>
      <c r="G271" s="14">
        <f>IF(OR(B271="",E271="",J271="",K271=""),"",IF(E271&lt;J271,"Below",IF(E271&gt;K271,"Above","In range")))</f>
        <v/>
      </c>
      <c r="H271" s="1" t="n"/>
      <c r="J271">
        <f>IF(M271="","",IF(INDEX(Settings!$C$10:$C$18,M271)="","",INDEX(Settings!$C$10:$C$18,M271)))</f>
        <v/>
      </c>
      <c r="K271">
        <f>IF(M271="","",IF(INDEX(Settings!$D$10:$D$18,M271)="","",INDEX(Settings!$D$10:$D$18,M271)))</f>
        <v/>
      </c>
      <c r="L271">
        <f>IF(OR(B271="",E271=""),"",B271+MOD(N(C271),1)+ROW()/10000000)</f>
        <v/>
      </c>
      <c r="M271">
        <f>IF(D271="","",IFERROR(MATCH(D271,Settings!$B$10:$B$18,0),""))</f>
        <v/>
      </c>
      <c r="N271">
        <f>IF(OR(B271="",E271="",M271=""),"",IF(AND(B271&gt;=Settings!$C$6,B271&lt;=Settings!$C$7),M271*10000+E271,""))</f>
        <v/>
      </c>
      <c r="O271">
        <f>IF(OR(B271="",E271=""),"",B271*10000+E271)</f>
        <v/>
      </c>
      <c r="P271">
        <f>IF(N271="","",E271)</f>
        <v/>
      </c>
    </row>
    <row r="272">
      <c r="A272" s="1" t="n"/>
      <c r="B272" s="20" t="n"/>
      <c r="C272" s="21" t="n"/>
      <c r="D272" s="22" t="n"/>
      <c r="E272" s="23" t="n"/>
      <c r="F272" s="22" t="n"/>
      <c r="G272" s="14">
        <f>IF(OR(B272="",E272="",J272="",K272=""),"",IF(E272&lt;J272,"Below",IF(E272&gt;K272,"Above","In range")))</f>
        <v/>
      </c>
      <c r="H272" s="1" t="n"/>
      <c r="J272">
        <f>IF(M272="","",IF(INDEX(Settings!$C$10:$C$18,M272)="","",INDEX(Settings!$C$10:$C$18,M272)))</f>
        <v/>
      </c>
      <c r="K272">
        <f>IF(M272="","",IF(INDEX(Settings!$D$10:$D$18,M272)="","",INDEX(Settings!$D$10:$D$18,M272)))</f>
        <v/>
      </c>
      <c r="L272">
        <f>IF(OR(B272="",E272=""),"",B272+MOD(N(C272),1)+ROW()/10000000)</f>
        <v/>
      </c>
      <c r="M272">
        <f>IF(D272="","",IFERROR(MATCH(D272,Settings!$B$10:$B$18,0),""))</f>
        <v/>
      </c>
      <c r="N272">
        <f>IF(OR(B272="",E272="",M272=""),"",IF(AND(B272&gt;=Settings!$C$6,B272&lt;=Settings!$C$7),M272*10000+E272,""))</f>
        <v/>
      </c>
      <c r="O272">
        <f>IF(OR(B272="",E272=""),"",B272*10000+E272)</f>
        <v/>
      </c>
      <c r="P272">
        <f>IF(N272="","",E272)</f>
        <v/>
      </c>
    </row>
    <row r="273">
      <c r="A273" s="1" t="n"/>
      <c r="B273" s="20" t="n"/>
      <c r="C273" s="21" t="n"/>
      <c r="D273" s="22" t="n"/>
      <c r="E273" s="23" t="n"/>
      <c r="F273" s="22" t="n"/>
      <c r="G273" s="14">
        <f>IF(OR(B273="",E273="",J273="",K273=""),"",IF(E273&lt;J273,"Below",IF(E273&gt;K273,"Above","In range")))</f>
        <v/>
      </c>
      <c r="H273" s="1" t="n"/>
      <c r="J273">
        <f>IF(M273="","",IF(INDEX(Settings!$C$10:$C$18,M273)="","",INDEX(Settings!$C$10:$C$18,M273)))</f>
        <v/>
      </c>
      <c r="K273">
        <f>IF(M273="","",IF(INDEX(Settings!$D$10:$D$18,M273)="","",INDEX(Settings!$D$10:$D$18,M273)))</f>
        <v/>
      </c>
      <c r="L273">
        <f>IF(OR(B273="",E273=""),"",B273+MOD(N(C273),1)+ROW()/10000000)</f>
        <v/>
      </c>
      <c r="M273">
        <f>IF(D273="","",IFERROR(MATCH(D273,Settings!$B$10:$B$18,0),""))</f>
        <v/>
      </c>
      <c r="N273">
        <f>IF(OR(B273="",E273="",M273=""),"",IF(AND(B273&gt;=Settings!$C$6,B273&lt;=Settings!$C$7),M273*10000+E273,""))</f>
        <v/>
      </c>
      <c r="O273">
        <f>IF(OR(B273="",E273=""),"",B273*10000+E273)</f>
        <v/>
      </c>
      <c r="P273">
        <f>IF(N273="","",E273)</f>
        <v/>
      </c>
    </row>
    <row r="274">
      <c r="A274" s="1" t="n"/>
      <c r="B274" s="20" t="n"/>
      <c r="C274" s="21" t="n"/>
      <c r="D274" s="22" t="n"/>
      <c r="E274" s="23" t="n"/>
      <c r="F274" s="22" t="n"/>
      <c r="G274" s="14">
        <f>IF(OR(B274="",E274="",J274="",K274=""),"",IF(E274&lt;J274,"Below",IF(E274&gt;K274,"Above","In range")))</f>
        <v/>
      </c>
      <c r="H274" s="1" t="n"/>
      <c r="J274">
        <f>IF(M274="","",IF(INDEX(Settings!$C$10:$C$18,M274)="","",INDEX(Settings!$C$10:$C$18,M274)))</f>
        <v/>
      </c>
      <c r="K274">
        <f>IF(M274="","",IF(INDEX(Settings!$D$10:$D$18,M274)="","",INDEX(Settings!$D$10:$D$18,M274)))</f>
        <v/>
      </c>
      <c r="L274">
        <f>IF(OR(B274="",E274=""),"",B274+MOD(N(C274),1)+ROW()/10000000)</f>
        <v/>
      </c>
      <c r="M274">
        <f>IF(D274="","",IFERROR(MATCH(D274,Settings!$B$10:$B$18,0),""))</f>
        <v/>
      </c>
      <c r="N274">
        <f>IF(OR(B274="",E274="",M274=""),"",IF(AND(B274&gt;=Settings!$C$6,B274&lt;=Settings!$C$7),M274*10000+E274,""))</f>
        <v/>
      </c>
      <c r="O274">
        <f>IF(OR(B274="",E274=""),"",B274*10000+E274)</f>
        <v/>
      </c>
      <c r="P274">
        <f>IF(N274="","",E274)</f>
        <v/>
      </c>
    </row>
    <row r="275">
      <c r="A275" s="1" t="n"/>
      <c r="B275" s="20" t="n"/>
      <c r="C275" s="21" t="n"/>
      <c r="D275" s="22" t="n"/>
      <c r="E275" s="23" t="n"/>
      <c r="F275" s="22" t="n"/>
      <c r="G275" s="14">
        <f>IF(OR(B275="",E275="",J275="",K275=""),"",IF(E275&lt;J275,"Below",IF(E275&gt;K275,"Above","In range")))</f>
        <v/>
      </c>
      <c r="H275" s="1" t="n"/>
      <c r="J275">
        <f>IF(M275="","",IF(INDEX(Settings!$C$10:$C$18,M275)="","",INDEX(Settings!$C$10:$C$18,M275)))</f>
        <v/>
      </c>
      <c r="K275">
        <f>IF(M275="","",IF(INDEX(Settings!$D$10:$D$18,M275)="","",INDEX(Settings!$D$10:$D$18,M275)))</f>
        <v/>
      </c>
      <c r="L275">
        <f>IF(OR(B275="",E275=""),"",B275+MOD(N(C275),1)+ROW()/10000000)</f>
        <v/>
      </c>
      <c r="M275">
        <f>IF(D275="","",IFERROR(MATCH(D275,Settings!$B$10:$B$18,0),""))</f>
        <v/>
      </c>
      <c r="N275">
        <f>IF(OR(B275="",E275="",M275=""),"",IF(AND(B275&gt;=Settings!$C$6,B275&lt;=Settings!$C$7),M275*10000+E275,""))</f>
        <v/>
      </c>
      <c r="O275">
        <f>IF(OR(B275="",E275=""),"",B275*10000+E275)</f>
        <v/>
      </c>
      <c r="P275">
        <f>IF(N275="","",E275)</f>
        <v/>
      </c>
    </row>
    <row r="276">
      <c r="A276" s="1" t="n"/>
      <c r="B276" s="20" t="n"/>
      <c r="C276" s="21" t="n"/>
      <c r="D276" s="22" t="n"/>
      <c r="E276" s="23" t="n"/>
      <c r="F276" s="22" t="n"/>
      <c r="G276" s="14">
        <f>IF(OR(B276="",E276="",J276="",K276=""),"",IF(E276&lt;J276,"Below",IF(E276&gt;K276,"Above","In range")))</f>
        <v/>
      </c>
      <c r="H276" s="1" t="n"/>
      <c r="J276">
        <f>IF(M276="","",IF(INDEX(Settings!$C$10:$C$18,M276)="","",INDEX(Settings!$C$10:$C$18,M276)))</f>
        <v/>
      </c>
      <c r="K276">
        <f>IF(M276="","",IF(INDEX(Settings!$D$10:$D$18,M276)="","",INDEX(Settings!$D$10:$D$18,M276)))</f>
        <v/>
      </c>
      <c r="L276">
        <f>IF(OR(B276="",E276=""),"",B276+MOD(N(C276),1)+ROW()/10000000)</f>
        <v/>
      </c>
      <c r="M276">
        <f>IF(D276="","",IFERROR(MATCH(D276,Settings!$B$10:$B$18,0),""))</f>
        <v/>
      </c>
      <c r="N276">
        <f>IF(OR(B276="",E276="",M276=""),"",IF(AND(B276&gt;=Settings!$C$6,B276&lt;=Settings!$C$7),M276*10000+E276,""))</f>
        <v/>
      </c>
      <c r="O276">
        <f>IF(OR(B276="",E276=""),"",B276*10000+E276)</f>
        <v/>
      </c>
      <c r="P276">
        <f>IF(N276="","",E276)</f>
        <v/>
      </c>
    </row>
    <row r="277">
      <c r="A277" s="1" t="n"/>
      <c r="B277" s="20" t="n"/>
      <c r="C277" s="21" t="n"/>
      <c r="D277" s="22" t="n"/>
      <c r="E277" s="23" t="n"/>
      <c r="F277" s="22" t="n"/>
      <c r="G277" s="14">
        <f>IF(OR(B277="",E277="",J277="",K277=""),"",IF(E277&lt;J277,"Below",IF(E277&gt;K277,"Above","In range")))</f>
        <v/>
      </c>
      <c r="H277" s="1" t="n"/>
      <c r="J277">
        <f>IF(M277="","",IF(INDEX(Settings!$C$10:$C$18,M277)="","",INDEX(Settings!$C$10:$C$18,M277)))</f>
        <v/>
      </c>
      <c r="K277">
        <f>IF(M277="","",IF(INDEX(Settings!$D$10:$D$18,M277)="","",INDEX(Settings!$D$10:$D$18,M277)))</f>
        <v/>
      </c>
      <c r="L277">
        <f>IF(OR(B277="",E277=""),"",B277+MOD(N(C277),1)+ROW()/10000000)</f>
        <v/>
      </c>
      <c r="M277">
        <f>IF(D277="","",IFERROR(MATCH(D277,Settings!$B$10:$B$18,0),""))</f>
        <v/>
      </c>
      <c r="N277">
        <f>IF(OR(B277="",E277="",M277=""),"",IF(AND(B277&gt;=Settings!$C$6,B277&lt;=Settings!$C$7),M277*10000+E277,""))</f>
        <v/>
      </c>
      <c r="O277">
        <f>IF(OR(B277="",E277=""),"",B277*10000+E277)</f>
        <v/>
      </c>
      <c r="P277">
        <f>IF(N277="","",E277)</f>
        <v/>
      </c>
    </row>
    <row r="278">
      <c r="A278" s="1" t="n"/>
      <c r="B278" s="20" t="n"/>
      <c r="C278" s="21" t="n"/>
      <c r="D278" s="22" t="n"/>
      <c r="E278" s="23" t="n"/>
      <c r="F278" s="22" t="n"/>
      <c r="G278" s="14">
        <f>IF(OR(B278="",E278="",J278="",K278=""),"",IF(E278&lt;J278,"Below",IF(E278&gt;K278,"Above","In range")))</f>
        <v/>
      </c>
      <c r="H278" s="1" t="n"/>
      <c r="J278">
        <f>IF(M278="","",IF(INDEX(Settings!$C$10:$C$18,M278)="","",INDEX(Settings!$C$10:$C$18,M278)))</f>
        <v/>
      </c>
      <c r="K278">
        <f>IF(M278="","",IF(INDEX(Settings!$D$10:$D$18,M278)="","",INDEX(Settings!$D$10:$D$18,M278)))</f>
        <v/>
      </c>
      <c r="L278">
        <f>IF(OR(B278="",E278=""),"",B278+MOD(N(C278),1)+ROW()/10000000)</f>
        <v/>
      </c>
      <c r="M278">
        <f>IF(D278="","",IFERROR(MATCH(D278,Settings!$B$10:$B$18,0),""))</f>
        <v/>
      </c>
      <c r="N278">
        <f>IF(OR(B278="",E278="",M278=""),"",IF(AND(B278&gt;=Settings!$C$6,B278&lt;=Settings!$C$7),M278*10000+E278,""))</f>
        <v/>
      </c>
      <c r="O278">
        <f>IF(OR(B278="",E278=""),"",B278*10000+E278)</f>
        <v/>
      </c>
      <c r="P278">
        <f>IF(N278="","",E278)</f>
        <v/>
      </c>
    </row>
    <row r="279">
      <c r="A279" s="1" t="n"/>
      <c r="B279" s="20" t="n"/>
      <c r="C279" s="21" t="n"/>
      <c r="D279" s="22" t="n"/>
      <c r="E279" s="23" t="n"/>
      <c r="F279" s="22" t="n"/>
      <c r="G279" s="14">
        <f>IF(OR(B279="",E279="",J279="",K279=""),"",IF(E279&lt;J279,"Below",IF(E279&gt;K279,"Above","In range")))</f>
        <v/>
      </c>
      <c r="H279" s="1" t="n"/>
      <c r="J279">
        <f>IF(M279="","",IF(INDEX(Settings!$C$10:$C$18,M279)="","",INDEX(Settings!$C$10:$C$18,M279)))</f>
        <v/>
      </c>
      <c r="K279">
        <f>IF(M279="","",IF(INDEX(Settings!$D$10:$D$18,M279)="","",INDEX(Settings!$D$10:$D$18,M279)))</f>
        <v/>
      </c>
      <c r="L279">
        <f>IF(OR(B279="",E279=""),"",B279+MOD(N(C279),1)+ROW()/10000000)</f>
        <v/>
      </c>
      <c r="M279">
        <f>IF(D279="","",IFERROR(MATCH(D279,Settings!$B$10:$B$18,0),""))</f>
        <v/>
      </c>
      <c r="N279">
        <f>IF(OR(B279="",E279="",M279=""),"",IF(AND(B279&gt;=Settings!$C$6,B279&lt;=Settings!$C$7),M279*10000+E279,""))</f>
        <v/>
      </c>
      <c r="O279">
        <f>IF(OR(B279="",E279=""),"",B279*10000+E279)</f>
        <v/>
      </c>
      <c r="P279">
        <f>IF(N279="","",E279)</f>
        <v/>
      </c>
    </row>
    <row r="280">
      <c r="A280" s="1" t="n"/>
      <c r="B280" s="20" t="n"/>
      <c r="C280" s="21" t="n"/>
      <c r="D280" s="22" t="n"/>
      <c r="E280" s="23" t="n"/>
      <c r="F280" s="22" t="n"/>
      <c r="G280" s="14">
        <f>IF(OR(B280="",E280="",J280="",K280=""),"",IF(E280&lt;J280,"Below",IF(E280&gt;K280,"Above","In range")))</f>
        <v/>
      </c>
      <c r="H280" s="1" t="n"/>
      <c r="J280">
        <f>IF(M280="","",IF(INDEX(Settings!$C$10:$C$18,M280)="","",INDEX(Settings!$C$10:$C$18,M280)))</f>
        <v/>
      </c>
      <c r="K280">
        <f>IF(M280="","",IF(INDEX(Settings!$D$10:$D$18,M280)="","",INDEX(Settings!$D$10:$D$18,M280)))</f>
        <v/>
      </c>
      <c r="L280">
        <f>IF(OR(B280="",E280=""),"",B280+MOD(N(C280),1)+ROW()/10000000)</f>
        <v/>
      </c>
      <c r="M280">
        <f>IF(D280="","",IFERROR(MATCH(D280,Settings!$B$10:$B$18,0),""))</f>
        <v/>
      </c>
      <c r="N280">
        <f>IF(OR(B280="",E280="",M280=""),"",IF(AND(B280&gt;=Settings!$C$6,B280&lt;=Settings!$C$7),M280*10000+E280,""))</f>
        <v/>
      </c>
      <c r="O280">
        <f>IF(OR(B280="",E280=""),"",B280*10000+E280)</f>
        <v/>
      </c>
      <c r="P280">
        <f>IF(N280="","",E280)</f>
        <v/>
      </c>
    </row>
    <row r="281">
      <c r="A281" s="1" t="n"/>
      <c r="B281" s="20" t="n"/>
      <c r="C281" s="21" t="n"/>
      <c r="D281" s="22" t="n"/>
      <c r="E281" s="23" t="n"/>
      <c r="F281" s="22" t="n"/>
      <c r="G281" s="14">
        <f>IF(OR(B281="",E281="",J281="",K281=""),"",IF(E281&lt;J281,"Below",IF(E281&gt;K281,"Above","In range")))</f>
        <v/>
      </c>
      <c r="H281" s="1" t="n"/>
      <c r="J281">
        <f>IF(M281="","",IF(INDEX(Settings!$C$10:$C$18,M281)="","",INDEX(Settings!$C$10:$C$18,M281)))</f>
        <v/>
      </c>
      <c r="K281">
        <f>IF(M281="","",IF(INDEX(Settings!$D$10:$D$18,M281)="","",INDEX(Settings!$D$10:$D$18,M281)))</f>
        <v/>
      </c>
      <c r="L281">
        <f>IF(OR(B281="",E281=""),"",B281+MOD(N(C281),1)+ROW()/10000000)</f>
        <v/>
      </c>
      <c r="M281">
        <f>IF(D281="","",IFERROR(MATCH(D281,Settings!$B$10:$B$18,0),""))</f>
        <v/>
      </c>
      <c r="N281">
        <f>IF(OR(B281="",E281="",M281=""),"",IF(AND(B281&gt;=Settings!$C$6,B281&lt;=Settings!$C$7),M281*10000+E281,""))</f>
        <v/>
      </c>
      <c r="O281">
        <f>IF(OR(B281="",E281=""),"",B281*10000+E281)</f>
        <v/>
      </c>
      <c r="P281">
        <f>IF(N281="","",E281)</f>
        <v/>
      </c>
    </row>
    <row r="282">
      <c r="A282" s="1" t="n"/>
      <c r="B282" s="20" t="n"/>
      <c r="C282" s="21" t="n"/>
      <c r="D282" s="22" t="n"/>
      <c r="E282" s="23" t="n"/>
      <c r="F282" s="22" t="n"/>
      <c r="G282" s="14">
        <f>IF(OR(B282="",E282="",J282="",K282=""),"",IF(E282&lt;J282,"Below",IF(E282&gt;K282,"Above","In range")))</f>
        <v/>
      </c>
      <c r="H282" s="1" t="n"/>
      <c r="J282">
        <f>IF(M282="","",IF(INDEX(Settings!$C$10:$C$18,M282)="","",INDEX(Settings!$C$10:$C$18,M282)))</f>
        <v/>
      </c>
      <c r="K282">
        <f>IF(M282="","",IF(INDEX(Settings!$D$10:$D$18,M282)="","",INDEX(Settings!$D$10:$D$18,M282)))</f>
        <v/>
      </c>
      <c r="L282">
        <f>IF(OR(B282="",E282=""),"",B282+MOD(N(C282),1)+ROW()/10000000)</f>
        <v/>
      </c>
      <c r="M282">
        <f>IF(D282="","",IFERROR(MATCH(D282,Settings!$B$10:$B$18,0),""))</f>
        <v/>
      </c>
      <c r="N282">
        <f>IF(OR(B282="",E282="",M282=""),"",IF(AND(B282&gt;=Settings!$C$6,B282&lt;=Settings!$C$7),M282*10000+E282,""))</f>
        <v/>
      </c>
      <c r="O282">
        <f>IF(OR(B282="",E282=""),"",B282*10000+E282)</f>
        <v/>
      </c>
      <c r="P282">
        <f>IF(N282="","",E282)</f>
        <v/>
      </c>
    </row>
    <row r="283">
      <c r="A283" s="1" t="n"/>
      <c r="B283" s="20" t="n"/>
      <c r="C283" s="21" t="n"/>
      <c r="D283" s="22" t="n"/>
      <c r="E283" s="23" t="n"/>
      <c r="F283" s="22" t="n"/>
      <c r="G283" s="14">
        <f>IF(OR(B283="",E283="",J283="",K283=""),"",IF(E283&lt;J283,"Below",IF(E283&gt;K283,"Above","In range")))</f>
        <v/>
      </c>
      <c r="H283" s="1" t="n"/>
      <c r="J283">
        <f>IF(M283="","",IF(INDEX(Settings!$C$10:$C$18,M283)="","",INDEX(Settings!$C$10:$C$18,M283)))</f>
        <v/>
      </c>
      <c r="K283">
        <f>IF(M283="","",IF(INDEX(Settings!$D$10:$D$18,M283)="","",INDEX(Settings!$D$10:$D$18,M283)))</f>
        <v/>
      </c>
      <c r="L283">
        <f>IF(OR(B283="",E283=""),"",B283+MOD(N(C283),1)+ROW()/10000000)</f>
        <v/>
      </c>
      <c r="M283">
        <f>IF(D283="","",IFERROR(MATCH(D283,Settings!$B$10:$B$18,0),""))</f>
        <v/>
      </c>
      <c r="N283">
        <f>IF(OR(B283="",E283="",M283=""),"",IF(AND(B283&gt;=Settings!$C$6,B283&lt;=Settings!$C$7),M283*10000+E283,""))</f>
        <v/>
      </c>
      <c r="O283">
        <f>IF(OR(B283="",E283=""),"",B283*10000+E283)</f>
        <v/>
      </c>
      <c r="P283">
        <f>IF(N283="","",E283)</f>
        <v/>
      </c>
    </row>
    <row r="284">
      <c r="A284" s="1" t="n"/>
      <c r="B284" s="20" t="n"/>
      <c r="C284" s="21" t="n"/>
      <c r="D284" s="22" t="n"/>
      <c r="E284" s="23" t="n"/>
      <c r="F284" s="22" t="n"/>
      <c r="G284" s="14">
        <f>IF(OR(B284="",E284="",J284="",K284=""),"",IF(E284&lt;J284,"Below",IF(E284&gt;K284,"Above","In range")))</f>
        <v/>
      </c>
      <c r="H284" s="1" t="n"/>
      <c r="J284">
        <f>IF(M284="","",IF(INDEX(Settings!$C$10:$C$18,M284)="","",INDEX(Settings!$C$10:$C$18,M284)))</f>
        <v/>
      </c>
      <c r="K284">
        <f>IF(M284="","",IF(INDEX(Settings!$D$10:$D$18,M284)="","",INDEX(Settings!$D$10:$D$18,M284)))</f>
        <v/>
      </c>
      <c r="L284">
        <f>IF(OR(B284="",E284=""),"",B284+MOD(N(C284),1)+ROW()/10000000)</f>
        <v/>
      </c>
      <c r="M284">
        <f>IF(D284="","",IFERROR(MATCH(D284,Settings!$B$10:$B$18,0),""))</f>
        <v/>
      </c>
      <c r="N284">
        <f>IF(OR(B284="",E284="",M284=""),"",IF(AND(B284&gt;=Settings!$C$6,B284&lt;=Settings!$C$7),M284*10000+E284,""))</f>
        <v/>
      </c>
      <c r="O284">
        <f>IF(OR(B284="",E284=""),"",B284*10000+E284)</f>
        <v/>
      </c>
      <c r="P284">
        <f>IF(N284="","",E284)</f>
        <v/>
      </c>
    </row>
    <row r="285">
      <c r="A285" s="1" t="n"/>
      <c r="B285" s="20" t="n"/>
      <c r="C285" s="21" t="n"/>
      <c r="D285" s="22" t="n"/>
      <c r="E285" s="23" t="n"/>
      <c r="F285" s="22" t="n"/>
      <c r="G285" s="14">
        <f>IF(OR(B285="",E285="",J285="",K285=""),"",IF(E285&lt;J285,"Below",IF(E285&gt;K285,"Above","In range")))</f>
        <v/>
      </c>
      <c r="H285" s="1" t="n"/>
      <c r="J285">
        <f>IF(M285="","",IF(INDEX(Settings!$C$10:$C$18,M285)="","",INDEX(Settings!$C$10:$C$18,M285)))</f>
        <v/>
      </c>
      <c r="K285">
        <f>IF(M285="","",IF(INDEX(Settings!$D$10:$D$18,M285)="","",INDEX(Settings!$D$10:$D$18,M285)))</f>
        <v/>
      </c>
      <c r="L285">
        <f>IF(OR(B285="",E285=""),"",B285+MOD(N(C285),1)+ROW()/10000000)</f>
        <v/>
      </c>
      <c r="M285">
        <f>IF(D285="","",IFERROR(MATCH(D285,Settings!$B$10:$B$18,0),""))</f>
        <v/>
      </c>
      <c r="N285">
        <f>IF(OR(B285="",E285="",M285=""),"",IF(AND(B285&gt;=Settings!$C$6,B285&lt;=Settings!$C$7),M285*10000+E285,""))</f>
        <v/>
      </c>
      <c r="O285">
        <f>IF(OR(B285="",E285=""),"",B285*10000+E285)</f>
        <v/>
      </c>
      <c r="P285">
        <f>IF(N285="","",E285)</f>
        <v/>
      </c>
    </row>
    <row r="286">
      <c r="A286" s="1" t="n"/>
      <c r="B286" s="20" t="n"/>
      <c r="C286" s="21" t="n"/>
      <c r="D286" s="22" t="n"/>
      <c r="E286" s="23" t="n"/>
      <c r="F286" s="22" t="n"/>
      <c r="G286" s="14">
        <f>IF(OR(B286="",E286="",J286="",K286=""),"",IF(E286&lt;J286,"Below",IF(E286&gt;K286,"Above","In range")))</f>
        <v/>
      </c>
      <c r="H286" s="1" t="n"/>
      <c r="J286">
        <f>IF(M286="","",IF(INDEX(Settings!$C$10:$C$18,M286)="","",INDEX(Settings!$C$10:$C$18,M286)))</f>
        <v/>
      </c>
      <c r="K286">
        <f>IF(M286="","",IF(INDEX(Settings!$D$10:$D$18,M286)="","",INDEX(Settings!$D$10:$D$18,M286)))</f>
        <v/>
      </c>
      <c r="L286">
        <f>IF(OR(B286="",E286=""),"",B286+MOD(N(C286),1)+ROW()/10000000)</f>
        <v/>
      </c>
      <c r="M286">
        <f>IF(D286="","",IFERROR(MATCH(D286,Settings!$B$10:$B$18,0),""))</f>
        <v/>
      </c>
      <c r="N286">
        <f>IF(OR(B286="",E286="",M286=""),"",IF(AND(B286&gt;=Settings!$C$6,B286&lt;=Settings!$C$7),M286*10000+E286,""))</f>
        <v/>
      </c>
      <c r="O286">
        <f>IF(OR(B286="",E286=""),"",B286*10000+E286)</f>
        <v/>
      </c>
      <c r="P286">
        <f>IF(N286="","",E286)</f>
        <v/>
      </c>
    </row>
    <row r="287">
      <c r="A287" s="1" t="n"/>
      <c r="B287" s="20" t="n"/>
      <c r="C287" s="21" t="n"/>
      <c r="D287" s="22" t="n"/>
      <c r="E287" s="23" t="n"/>
      <c r="F287" s="22" t="n"/>
      <c r="G287" s="14">
        <f>IF(OR(B287="",E287="",J287="",K287=""),"",IF(E287&lt;J287,"Below",IF(E287&gt;K287,"Above","In range")))</f>
        <v/>
      </c>
      <c r="H287" s="1" t="n"/>
      <c r="J287">
        <f>IF(M287="","",IF(INDEX(Settings!$C$10:$C$18,M287)="","",INDEX(Settings!$C$10:$C$18,M287)))</f>
        <v/>
      </c>
      <c r="K287">
        <f>IF(M287="","",IF(INDEX(Settings!$D$10:$D$18,M287)="","",INDEX(Settings!$D$10:$D$18,M287)))</f>
        <v/>
      </c>
      <c r="L287">
        <f>IF(OR(B287="",E287=""),"",B287+MOD(N(C287),1)+ROW()/10000000)</f>
        <v/>
      </c>
      <c r="M287">
        <f>IF(D287="","",IFERROR(MATCH(D287,Settings!$B$10:$B$18,0),""))</f>
        <v/>
      </c>
      <c r="N287">
        <f>IF(OR(B287="",E287="",M287=""),"",IF(AND(B287&gt;=Settings!$C$6,B287&lt;=Settings!$C$7),M287*10000+E287,""))</f>
        <v/>
      </c>
      <c r="O287">
        <f>IF(OR(B287="",E287=""),"",B287*10000+E287)</f>
        <v/>
      </c>
      <c r="P287">
        <f>IF(N287="","",E287)</f>
        <v/>
      </c>
    </row>
    <row r="288">
      <c r="A288" s="1" t="n"/>
      <c r="B288" s="20" t="n"/>
      <c r="C288" s="21" t="n"/>
      <c r="D288" s="22" t="n"/>
      <c r="E288" s="23" t="n"/>
      <c r="F288" s="22" t="n"/>
      <c r="G288" s="14">
        <f>IF(OR(B288="",E288="",J288="",K288=""),"",IF(E288&lt;J288,"Below",IF(E288&gt;K288,"Above","In range")))</f>
        <v/>
      </c>
      <c r="H288" s="1" t="n"/>
      <c r="J288">
        <f>IF(M288="","",IF(INDEX(Settings!$C$10:$C$18,M288)="","",INDEX(Settings!$C$10:$C$18,M288)))</f>
        <v/>
      </c>
      <c r="K288">
        <f>IF(M288="","",IF(INDEX(Settings!$D$10:$D$18,M288)="","",INDEX(Settings!$D$10:$D$18,M288)))</f>
        <v/>
      </c>
      <c r="L288">
        <f>IF(OR(B288="",E288=""),"",B288+MOD(N(C288),1)+ROW()/10000000)</f>
        <v/>
      </c>
      <c r="M288">
        <f>IF(D288="","",IFERROR(MATCH(D288,Settings!$B$10:$B$18,0),""))</f>
        <v/>
      </c>
      <c r="N288">
        <f>IF(OR(B288="",E288="",M288=""),"",IF(AND(B288&gt;=Settings!$C$6,B288&lt;=Settings!$C$7),M288*10000+E288,""))</f>
        <v/>
      </c>
      <c r="O288">
        <f>IF(OR(B288="",E288=""),"",B288*10000+E288)</f>
        <v/>
      </c>
      <c r="P288">
        <f>IF(N288="","",E288)</f>
        <v/>
      </c>
    </row>
    <row r="289">
      <c r="A289" s="1" t="n"/>
      <c r="B289" s="20" t="n"/>
      <c r="C289" s="21" t="n"/>
      <c r="D289" s="22" t="n"/>
      <c r="E289" s="23" t="n"/>
      <c r="F289" s="22" t="n"/>
      <c r="G289" s="14">
        <f>IF(OR(B289="",E289="",J289="",K289=""),"",IF(E289&lt;J289,"Below",IF(E289&gt;K289,"Above","In range")))</f>
        <v/>
      </c>
      <c r="H289" s="1" t="n"/>
      <c r="J289">
        <f>IF(M289="","",IF(INDEX(Settings!$C$10:$C$18,M289)="","",INDEX(Settings!$C$10:$C$18,M289)))</f>
        <v/>
      </c>
      <c r="K289">
        <f>IF(M289="","",IF(INDEX(Settings!$D$10:$D$18,M289)="","",INDEX(Settings!$D$10:$D$18,M289)))</f>
        <v/>
      </c>
      <c r="L289">
        <f>IF(OR(B289="",E289=""),"",B289+MOD(N(C289),1)+ROW()/10000000)</f>
        <v/>
      </c>
      <c r="M289">
        <f>IF(D289="","",IFERROR(MATCH(D289,Settings!$B$10:$B$18,0),""))</f>
        <v/>
      </c>
      <c r="N289">
        <f>IF(OR(B289="",E289="",M289=""),"",IF(AND(B289&gt;=Settings!$C$6,B289&lt;=Settings!$C$7),M289*10000+E289,""))</f>
        <v/>
      </c>
      <c r="O289">
        <f>IF(OR(B289="",E289=""),"",B289*10000+E289)</f>
        <v/>
      </c>
      <c r="P289">
        <f>IF(N289="","",E289)</f>
        <v/>
      </c>
    </row>
    <row r="290">
      <c r="A290" s="1" t="n"/>
      <c r="B290" s="20" t="n"/>
      <c r="C290" s="21" t="n"/>
      <c r="D290" s="22" t="n"/>
      <c r="E290" s="23" t="n"/>
      <c r="F290" s="22" t="n"/>
      <c r="G290" s="14">
        <f>IF(OR(B290="",E290="",J290="",K290=""),"",IF(E290&lt;J290,"Below",IF(E290&gt;K290,"Above","In range")))</f>
        <v/>
      </c>
      <c r="H290" s="1" t="n"/>
      <c r="J290">
        <f>IF(M290="","",IF(INDEX(Settings!$C$10:$C$18,M290)="","",INDEX(Settings!$C$10:$C$18,M290)))</f>
        <v/>
      </c>
      <c r="K290">
        <f>IF(M290="","",IF(INDEX(Settings!$D$10:$D$18,M290)="","",INDEX(Settings!$D$10:$D$18,M290)))</f>
        <v/>
      </c>
      <c r="L290">
        <f>IF(OR(B290="",E290=""),"",B290+MOD(N(C290),1)+ROW()/10000000)</f>
        <v/>
      </c>
      <c r="M290">
        <f>IF(D290="","",IFERROR(MATCH(D290,Settings!$B$10:$B$18,0),""))</f>
        <v/>
      </c>
      <c r="N290">
        <f>IF(OR(B290="",E290="",M290=""),"",IF(AND(B290&gt;=Settings!$C$6,B290&lt;=Settings!$C$7),M290*10000+E290,""))</f>
        <v/>
      </c>
      <c r="O290">
        <f>IF(OR(B290="",E290=""),"",B290*10000+E290)</f>
        <v/>
      </c>
      <c r="P290">
        <f>IF(N290="","",E290)</f>
        <v/>
      </c>
    </row>
    <row r="291">
      <c r="A291" s="1" t="n"/>
      <c r="B291" s="20" t="n"/>
      <c r="C291" s="21" t="n"/>
      <c r="D291" s="22" t="n"/>
      <c r="E291" s="23" t="n"/>
      <c r="F291" s="22" t="n"/>
      <c r="G291" s="14">
        <f>IF(OR(B291="",E291="",J291="",K291=""),"",IF(E291&lt;J291,"Below",IF(E291&gt;K291,"Above","In range")))</f>
        <v/>
      </c>
      <c r="H291" s="1" t="n"/>
      <c r="J291">
        <f>IF(M291="","",IF(INDEX(Settings!$C$10:$C$18,M291)="","",INDEX(Settings!$C$10:$C$18,M291)))</f>
        <v/>
      </c>
      <c r="K291">
        <f>IF(M291="","",IF(INDEX(Settings!$D$10:$D$18,M291)="","",INDEX(Settings!$D$10:$D$18,M291)))</f>
        <v/>
      </c>
      <c r="L291">
        <f>IF(OR(B291="",E291=""),"",B291+MOD(N(C291),1)+ROW()/10000000)</f>
        <v/>
      </c>
      <c r="M291">
        <f>IF(D291="","",IFERROR(MATCH(D291,Settings!$B$10:$B$18,0),""))</f>
        <v/>
      </c>
      <c r="N291">
        <f>IF(OR(B291="",E291="",M291=""),"",IF(AND(B291&gt;=Settings!$C$6,B291&lt;=Settings!$C$7),M291*10000+E291,""))</f>
        <v/>
      </c>
      <c r="O291">
        <f>IF(OR(B291="",E291=""),"",B291*10000+E291)</f>
        <v/>
      </c>
      <c r="P291">
        <f>IF(N291="","",E291)</f>
        <v/>
      </c>
    </row>
    <row r="292">
      <c r="A292" s="1" t="n"/>
      <c r="B292" s="20" t="n"/>
      <c r="C292" s="21" t="n"/>
      <c r="D292" s="22" t="n"/>
      <c r="E292" s="23" t="n"/>
      <c r="F292" s="22" t="n"/>
      <c r="G292" s="14">
        <f>IF(OR(B292="",E292="",J292="",K292=""),"",IF(E292&lt;J292,"Below",IF(E292&gt;K292,"Above","In range")))</f>
        <v/>
      </c>
      <c r="H292" s="1" t="n"/>
      <c r="J292">
        <f>IF(M292="","",IF(INDEX(Settings!$C$10:$C$18,M292)="","",INDEX(Settings!$C$10:$C$18,M292)))</f>
        <v/>
      </c>
      <c r="K292">
        <f>IF(M292="","",IF(INDEX(Settings!$D$10:$D$18,M292)="","",INDEX(Settings!$D$10:$D$18,M292)))</f>
        <v/>
      </c>
      <c r="L292">
        <f>IF(OR(B292="",E292=""),"",B292+MOD(N(C292),1)+ROW()/10000000)</f>
        <v/>
      </c>
      <c r="M292">
        <f>IF(D292="","",IFERROR(MATCH(D292,Settings!$B$10:$B$18,0),""))</f>
        <v/>
      </c>
      <c r="N292">
        <f>IF(OR(B292="",E292="",M292=""),"",IF(AND(B292&gt;=Settings!$C$6,B292&lt;=Settings!$C$7),M292*10000+E292,""))</f>
        <v/>
      </c>
      <c r="O292">
        <f>IF(OR(B292="",E292=""),"",B292*10000+E292)</f>
        <v/>
      </c>
      <c r="P292">
        <f>IF(N292="","",E292)</f>
        <v/>
      </c>
    </row>
    <row r="293">
      <c r="A293" s="1" t="n"/>
      <c r="B293" s="20" t="n"/>
      <c r="C293" s="21" t="n"/>
      <c r="D293" s="22" t="n"/>
      <c r="E293" s="23" t="n"/>
      <c r="F293" s="22" t="n"/>
      <c r="G293" s="14">
        <f>IF(OR(B293="",E293="",J293="",K293=""),"",IF(E293&lt;J293,"Below",IF(E293&gt;K293,"Above","In range")))</f>
        <v/>
      </c>
      <c r="H293" s="1" t="n"/>
      <c r="J293">
        <f>IF(M293="","",IF(INDEX(Settings!$C$10:$C$18,M293)="","",INDEX(Settings!$C$10:$C$18,M293)))</f>
        <v/>
      </c>
      <c r="K293">
        <f>IF(M293="","",IF(INDEX(Settings!$D$10:$D$18,M293)="","",INDEX(Settings!$D$10:$D$18,M293)))</f>
        <v/>
      </c>
      <c r="L293">
        <f>IF(OR(B293="",E293=""),"",B293+MOD(N(C293),1)+ROW()/10000000)</f>
        <v/>
      </c>
      <c r="M293">
        <f>IF(D293="","",IFERROR(MATCH(D293,Settings!$B$10:$B$18,0),""))</f>
        <v/>
      </c>
      <c r="N293">
        <f>IF(OR(B293="",E293="",M293=""),"",IF(AND(B293&gt;=Settings!$C$6,B293&lt;=Settings!$C$7),M293*10000+E293,""))</f>
        <v/>
      </c>
      <c r="O293">
        <f>IF(OR(B293="",E293=""),"",B293*10000+E293)</f>
        <v/>
      </c>
      <c r="P293">
        <f>IF(N293="","",E293)</f>
        <v/>
      </c>
    </row>
    <row r="294">
      <c r="A294" s="1" t="n"/>
      <c r="B294" s="20" t="n"/>
      <c r="C294" s="21" t="n"/>
      <c r="D294" s="22" t="n"/>
      <c r="E294" s="23" t="n"/>
      <c r="F294" s="22" t="n"/>
      <c r="G294" s="14">
        <f>IF(OR(B294="",E294="",J294="",K294=""),"",IF(E294&lt;J294,"Below",IF(E294&gt;K294,"Above","In range")))</f>
        <v/>
      </c>
      <c r="H294" s="1" t="n"/>
      <c r="J294">
        <f>IF(M294="","",IF(INDEX(Settings!$C$10:$C$18,M294)="","",INDEX(Settings!$C$10:$C$18,M294)))</f>
        <v/>
      </c>
      <c r="K294">
        <f>IF(M294="","",IF(INDEX(Settings!$D$10:$D$18,M294)="","",INDEX(Settings!$D$10:$D$18,M294)))</f>
        <v/>
      </c>
      <c r="L294">
        <f>IF(OR(B294="",E294=""),"",B294+MOD(N(C294),1)+ROW()/10000000)</f>
        <v/>
      </c>
      <c r="M294">
        <f>IF(D294="","",IFERROR(MATCH(D294,Settings!$B$10:$B$18,0),""))</f>
        <v/>
      </c>
      <c r="N294">
        <f>IF(OR(B294="",E294="",M294=""),"",IF(AND(B294&gt;=Settings!$C$6,B294&lt;=Settings!$C$7),M294*10000+E294,""))</f>
        <v/>
      </c>
      <c r="O294">
        <f>IF(OR(B294="",E294=""),"",B294*10000+E294)</f>
        <v/>
      </c>
      <c r="P294">
        <f>IF(N294="","",E294)</f>
        <v/>
      </c>
    </row>
    <row r="295">
      <c r="A295" s="1" t="n"/>
      <c r="B295" s="20" t="n"/>
      <c r="C295" s="21" t="n"/>
      <c r="D295" s="22" t="n"/>
      <c r="E295" s="23" t="n"/>
      <c r="F295" s="22" t="n"/>
      <c r="G295" s="14">
        <f>IF(OR(B295="",E295="",J295="",K295=""),"",IF(E295&lt;J295,"Below",IF(E295&gt;K295,"Above","In range")))</f>
        <v/>
      </c>
      <c r="H295" s="1" t="n"/>
      <c r="J295">
        <f>IF(M295="","",IF(INDEX(Settings!$C$10:$C$18,M295)="","",INDEX(Settings!$C$10:$C$18,M295)))</f>
        <v/>
      </c>
      <c r="K295">
        <f>IF(M295="","",IF(INDEX(Settings!$D$10:$D$18,M295)="","",INDEX(Settings!$D$10:$D$18,M295)))</f>
        <v/>
      </c>
      <c r="L295">
        <f>IF(OR(B295="",E295=""),"",B295+MOD(N(C295),1)+ROW()/10000000)</f>
        <v/>
      </c>
      <c r="M295">
        <f>IF(D295="","",IFERROR(MATCH(D295,Settings!$B$10:$B$18,0),""))</f>
        <v/>
      </c>
      <c r="N295">
        <f>IF(OR(B295="",E295="",M295=""),"",IF(AND(B295&gt;=Settings!$C$6,B295&lt;=Settings!$C$7),M295*10000+E295,""))</f>
        <v/>
      </c>
      <c r="O295">
        <f>IF(OR(B295="",E295=""),"",B295*10000+E295)</f>
        <v/>
      </c>
      <c r="P295">
        <f>IF(N295="","",E295)</f>
        <v/>
      </c>
    </row>
    <row r="296">
      <c r="A296" s="1" t="n"/>
      <c r="B296" s="20" t="n"/>
      <c r="C296" s="21" t="n"/>
      <c r="D296" s="22" t="n"/>
      <c r="E296" s="23" t="n"/>
      <c r="F296" s="22" t="n"/>
      <c r="G296" s="14">
        <f>IF(OR(B296="",E296="",J296="",K296=""),"",IF(E296&lt;J296,"Below",IF(E296&gt;K296,"Above","In range")))</f>
        <v/>
      </c>
      <c r="H296" s="1" t="n"/>
      <c r="J296">
        <f>IF(M296="","",IF(INDEX(Settings!$C$10:$C$18,M296)="","",INDEX(Settings!$C$10:$C$18,M296)))</f>
        <v/>
      </c>
      <c r="K296">
        <f>IF(M296="","",IF(INDEX(Settings!$D$10:$D$18,M296)="","",INDEX(Settings!$D$10:$D$18,M296)))</f>
        <v/>
      </c>
      <c r="L296">
        <f>IF(OR(B296="",E296=""),"",B296+MOD(N(C296),1)+ROW()/10000000)</f>
        <v/>
      </c>
      <c r="M296">
        <f>IF(D296="","",IFERROR(MATCH(D296,Settings!$B$10:$B$18,0),""))</f>
        <v/>
      </c>
      <c r="N296">
        <f>IF(OR(B296="",E296="",M296=""),"",IF(AND(B296&gt;=Settings!$C$6,B296&lt;=Settings!$C$7),M296*10000+E296,""))</f>
        <v/>
      </c>
      <c r="O296">
        <f>IF(OR(B296="",E296=""),"",B296*10000+E296)</f>
        <v/>
      </c>
      <c r="P296">
        <f>IF(N296="","",E296)</f>
        <v/>
      </c>
    </row>
    <row r="297">
      <c r="A297" s="1" t="n"/>
      <c r="B297" s="20" t="n"/>
      <c r="C297" s="21" t="n"/>
      <c r="D297" s="22" t="n"/>
      <c r="E297" s="23" t="n"/>
      <c r="F297" s="22" t="n"/>
      <c r="G297" s="14">
        <f>IF(OR(B297="",E297="",J297="",K297=""),"",IF(E297&lt;J297,"Below",IF(E297&gt;K297,"Above","In range")))</f>
        <v/>
      </c>
      <c r="H297" s="1" t="n"/>
      <c r="J297">
        <f>IF(M297="","",IF(INDEX(Settings!$C$10:$C$18,M297)="","",INDEX(Settings!$C$10:$C$18,M297)))</f>
        <v/>
      </c>
      <c r="K297">
        <f>IF(M297="","",IF(INDEX(Settings!$D$10:$D$18,M297)="","",INDEX(Settings!$D$10:$D$18,M297)))</f>
        <v/>
      </c>
      <c r="L297">
        <f>IF(OR(B297="",E297=""),"",B297+MOD(N(C297),1)+ROW()/10000000)</f>
        <v/>
      </c>
      <c r="M297">
        <f>IF(D297="","",IFERROR(MATCH(D297,Settings!$B$10:$B$18,0),""))</f>
        <v/>
      </c>
      <c r="N297">
        <f>IF(OR(B297="",E297="",M297=""),"",IF(AND(B297&gt;=Settings!$C$6,B297&lt;=Settings!$C$7),M297*10000+E297,""))</f>
        <v/>
      </c>
      <c r="O297">
        <f>IF(OR(B297="",E297=""),"",B297*10000+E297)</f>
        <v/>
      </c>
      <c r="P297">
        <f>IF(N297="","",E297)</f>
        <v/>
      </c>
    </row>
    <row r="298">
      <c r="A298" s="1" t="n"/>
      <c r="B298" s="20" t="n"/>
      <c r="C298" s="21" t="n"/>
      <c r="D298" s="22" t="n"/>
      <c r="E298" s="23" t="n"/>
      <c r="F298" s="22" t="n"/>
      <c r="G298" s="14">
        <f>IF(OR(B298="",E298="",J298="",K298=""),"",IF(E298&lt;J298,"Below",IF(E298&gt;K298,"Above","In range")))</f>
        <v/>
      </c>
      <c r="H298" s="1" t="n"/>
      <c r="J298">
        <f>IF(M298="","",IF(INDEX(Settings!$C$10:$C$18,M298)="","",INDEX(Settings!$C$10:$C$18,M298)))</f>
        <v/>
      </c>
      <c r="K298">
        <f>IF(M298="","",IF(INDEX(Settings!$D$10:$D$18,M298)="","",INDEX(Settings!$D$10:$D$18,M298)))</f>
        <v/>
      </c>
      <c r="L298">
        <f>IF(OR(B298="",E298=""),"",B298+MOD(N(C298),1)+ROW()/10000000)</f>
        <v/>
      </c>
      <c r="M298">
        <f>IF(D298="","",IFERROR(MATCH(D298,Settings!$B$10:$B$18,0),""))</f>
        <v/>
      </c>
      <c r="N298">
        <f>IF(OR(B298="",E298="",M298=""),"",IF(AND(B298&gt;=Settings!$C$6,B298&lt;=Settings!$C$7),M298*10000+E298,""))</f>
        <v/>
      </c>
      <c r="O298">
        <f>IF(OR(B298="",E298=""),"",B298*10000+E298)</f>
        <v/>
      </c>
      <c r="P298">
        <f>IF(N298="","",E298)</f>
        <v/>
      </c>
    </row>
    <row r="299">
      <c r="A299" s="1" t="n"/>
      <c r="B299" s="20" t="n"/>
      <c r="C299" s="21" t="n"/>
      <c r="D299" s="22" t="n"/>
      <c r="E299" s="23" t="n"/>
      <c r="F299" s="22" t="n"/>
      <c r="G299" s="14">
        <f>IF(OR(B299="",E299="",J299="",K299=""),"",IF(E299&lt;J299,"Below",IF(E299&gt;K299,"Above","In range")))</f>
        <v/>
      </c>
      <c r="H299" s="1" t="n"/>
      <c r="J299">
        <f>IF(M299="","",IF(INDEX(Settings!$C$10:$C$18,M299)="","",INDEX(Settings!$C$10:$C$18,M299)))</f>
        <v/>
      </c>
      <c r="K299">
        <f>IF(M299="","",IF(INDEX(Settings!$D$10:$D$18,M299)="","",INDEX(Settings!$D$10:$D$18,M299)))</f>
        <v/>
      </c>
      <c r="L299">
        <f>IF(OR(B299="",E299=""),"",B299+MOD(N(C299),1)+ROW()/10000000)</f>
        <v/>
      </c>
      <c r="M299">
        <f>IF(D299="","",IFERROR(MATCH(D299,Settings!$B$10:$B$18,0),""))</f>
        <v/>
      </c>
      <c r="N299">
        <f>IF(OR(B299="",E299="",M299=""),"",IF(AND(B299&gt;=Settings!$C$6,B299&lt;=Settings!$C$7),M299*10000+E299,""))</f>
        <v/>
      </c>
      <c r="O299">
        <f>IF(OR(B299="",E299=""),"",B299*10000+E299)</f>
        <v/>
      </c>
      <c r="P299">
        <f>IF(N299="","",E299)</f>
        <v/>
      </c>
    </row>
    <row r="300">
      <c r="A300" s="1" t="n"/>
      <c r="B300" s="20" t="n"/>
      <c r="C300" s="21" t="n"/>
      <c r="D300" s="22" t="n"/>
      <c r="E300" s="23" t="n"/>
      <c r="F300" s="22" t="n"/>
      <c r="G300" s="14">
        <f>IF(OR(B300="",E300="",J300="",K300=""),"",IF(E300&lt;J300,"Below",IF(E300&gt;K300,"Above","In range")))</f>
        <v/>
      </c>
      <c r="H300" s="1" t="n"/>
      <c r="J300">
        <f>IF(M300="","",IF(INDEX(Settings!$C$10:$C$18,M300)="","",INDEX(Settings!$C$10:$C$18,M300)))</f>
        <v/>
      </c>
      <c r="K300">
        <f>IF(M300="","",IF(INDEX(Settings!$D$10:$D$18,M300)="","",INDEX(Settings!$D$10:$D$18,M300)))</f>
        <v/>
      </c>
      <c r="L300">
        <f>IF(OR(B300="",E300=""),"",B300+MOD(N(C300),1)+ROW()/10000000)</f>
        <v/>
      </c>
      <c r="M300">
        <f>IF(D300="","",IFERROR(MATCH(D300,Settings!$B$10:$B$18,0),""))</f>
        <v/>
      </c>
      <c r="N300">
        <f>IF(OR(B300="",E300="",M300=""),"",IF(AND(B300&gt;=Settings!$C$6,B300&lt;=Settings!$C$7),M300*10000+E300,""))</f>
        <v/>
      </c>
      <c r="O300">
        <f>IF(OR(B300="",E300=""),"",B300*10000+E300)</f>
        <v/>
      </c>
      <c r="P300">
        <f>IF(N300="","",E300)</f>
        <v/>
      </c>
    </row>
    <row r="301">
      <c r="A301" s="1" t="n"/>
      <c r="B301" s="20" t="n"/>
      <c r="C301" s="21" t="n"/>
      <c r="D301" s="22" t="n"/>
      <c r="E301" s="23" t="n"/>
      <c r="F301" s="22" t="n"/>
      <c r="G301" s="14">
        <f>IF(OR(B301="",E301="",J301="",K301=""),"",IF(E301&lt;J301,"Below",IF(E301&gt;K301,"Above","In range")))</f>
        <v/>
      </c>
      <c r="H301" s="1" t="n"/>
      <c r="J301">
        <f>IF(M301="","",IF(INDEX(Settings!$C$10:$C$18,M301)="","",INDEX(Settings!$C$10:$C$18,M301)))</f>
        <v/>
      </c>
      <c r="K301">
        <f>IF(M301="","",IF(INDEX(Settings!$D$10:$D$18,M301)="","",INDEX(Settings!$D$10:$D$18,M301)))</f>
        <v/>
      </c>
      <c r="L301">
        <f>IF(OR(B301="",E301=""),"",B301+MOD(N(C301),1)+ROW()/10000000)</f>
        <v/>
      </c>
      <c r="M301">
        <f>IF(D301="","",IFERROR(MATCH(D301,Settings!$B$10:$B$18,0),""))</f>
        <v/>
      </c>
      <c r="N301">
        <f>IF(OR(B301="",E301="",M301=""),"",IF(AND(B301&gt;=Settings!$C$6,B301&lt;=Settings!$C$7),M301*10000+E301,""))</f>
        <v/>
      </c>
      <c r="O301">
        <f>IF(OR(B301="",E301=""),"",B301*10000+E301)</f>
        <v/>
      </c>
      <c r="P301">
        <f>IF(N301="","",E301)</f>
        <v/>
      </c>
    </row>
    <row r="302">
      <c r="A302" s="1" t="n"/>
      <c r="B302" s="20" t="n"/>
      <c r="C302" s="21" t="n"/>
      <c r="D302" s="22" t="n"/>
      <c r="E302" s="23" t="n"/>
      <c r="F302" s="22" t="n"/>
      <c r="G302" s="14">
        <f>IF(OR(B302="",E302="",J302="",K302=""),"",IF(E302&lt;J302,"Below",IF(E302&gt;K302,"Above","In range")))</f>
        <v/>
      </c>
      <c r="H302" s="1" t="n"/>
      <c r="J302">
        <f>IF(M302="","",IF(INDEX(Settings!$C$10:$C$18,M302)="","",INDEX(Settings!$C$10:$C$18,M302)))</f>
        <v/>
      </c>
      <c r="K302">
        <f>IF(M302="","",IF(INDEX(Settings!$D$10:$D$18,M302)="","",INDEX(Settings!$D$10:$D$18,M302)))</f>
        <v/>
      </c>
      <c r="L302">
        <f>IF(OR(B302="",E302=""),"",B302+MOD(N(C302),1)+ROW()/10000000)</f>
        <v/>
      </c>
      <c r="M302">
        <f>IF(D302="","",IFERROR(MATCH(D302,Settings!$B$10:$B$18,0),""))</f>
        <v/>
      </c>
      <c r="N302">
        <f>IF(OR(B302="",E302="",M302=""),"",IF(AND(B302&gt;=Settings!$C$6,B302&lt;=Settings!$C$7),M302*10000+E302,""))</f>
        <v/>
      </c>
      <c r="O302">
        <f>IF(OR(B302="",E302=""),"",B302*10000+E302)</f>
        <v/>
      </c>
      <c r="P302">
        <f>IF(N302="","",E302)</f>
        <v/>
      </c>
    </row>
    <row r="303">
      <c r="A303" s="1" t="n"/>
      <c r="B303" s="20" t="n"/>
      <c r="C303" s="21" t="n"/>
      <c r="D303" s="22" t="n"/>
      <c r="E303" s="23" t="n"/>
      <c r="F303" s="22" t="n"/>
      <c r="G303" s="14">
        <f>IF(OR(B303="",E303="",J303="",K303=""),"",IF(E303&lt;J303,"Below",IF(E303&gt;K303,"Above","In range")))</f>
        <v/>
      </c>
      <c r="H303" s="1" t="n"/>
      <c r="J303">
        <f>IF(M303="","",IF(INDEX(Settings!$C$10:$C$18,M303)="","",INDEX(Settings!$C$10:$C$18,M303)))</f>
        <v/>
      </c>
      <c r="K303">
        <f>IF(M303="","",IF(INDEX(Settings!$D$10:$D$18,M303)="","",INDEX(Settings!$D$10:$D$18,M303)))</f>
        <v/>
      </c>
      <c r="L303">
        <f>IF(OR(B303="",E303=""),"",B303+MOD(N(C303),1)+ROW()/10000000)</f>
        <v/>
      </c>
      <c r="M303">
        <f>IF(D303="","",IFERROR(MATCH(D303,Settings!$B$10:$B$18,0),""))</f>
        <v/>
      </c>
      <c r="N303">
        <f>IF(OR(B303="",E303="",M303=""),"",IF(AND(B303&gt;=Settings!$C$6,B303&lt;=Settings!$C$7),M303*10000+E303,""))</f>
        <v/>
      </c>
      <c r="O303">
        <f>IF(OR(B303="",E303=""),"",B303*10000+E303)</f>
        <v/>
      </c>
      <c r="P303">
        <f>IF(N303="","",E303)</f>
        <v/>
      </c>
    </row>
    <row r="304">
      <c r="A304" s="1" t="n"/>
      <c r="B304" s="20" t="n"/>
      <c r="C304" s="21" t="n"/>
      <c r="D304" s="22" t="n"/>
      <c r="E304" s="23" t="n"/>
      <c r="F304" s="22" t="n"/>
      <c r="G304" s="14">
        <f>IF(OR(B304="",E304="",J304="",K304=""),"",IF(E304&lt;J304,"Below",IF(E304&gt;K304,"Above","In range")))</f>
        <v/>
      </c>
      <c r="H304" s="1" t="n"/>
      <c r="J304">
        <f>IF(M304="","",IF(INDEX(Settings!$C$10:$C$18,M304)="","",INDEX(Settings!$C$10:$C$18,M304)))</f>
        <v/>
      </c>
      <c r="K304">
        <f>IF(M304="","",IF(INDEX(Settings!$D$10:$D$18,M304)="","",INDEX(Settings!$D$10:$D$18,M304)))</f>
        <v/>
      </c>
      <c r="L304">
        <f>IF(OR(B304="",E304=""),"",B304+MOD(N(C304),1)+ROW()/10000000)</f>
        <v/>
      </c>
      <c r="M304">
        <f>IF(D304="","",IFERROR(MATCH(D304,Settings!$B$10:$B$18,0),""))</f>
        <v/>
      </c>
      <c r="N304">
        <f>IF(OR(B304="",E304="",M304=""),"",IF(AND(B304&gt;=Settings!$C$6,B304&lt;=Settings!$C$7),M304*10000+E304,""))</f>
        <v/>
      </c>
      <c r="O304">
        <f>IF(OR(B304="",E304=""),"",B304*10000+E304)</f>
        <v/>
      </c>
      <c r="P304">
        <f>IF(N304="","",E304)</f>
        <v/>
      </c>
    </row>
    <row r="305">
      <c r="A305" s="1" t="n"/>
      <c r="B305" s="20" t="n"/>
      <c r="C305" s="21" t="n"/>
      <c r="D305" s="22" t="n"/>
      <c r="E305" s="23" t="n"/>
      <c r="F305" s="22" t="n"/>
      <c r="G305" s="14">
        <f>IF(OR(B305="",E305="",J305="",K305=""),"",IF(E305&lt;J305,"Below",IF(E305&gt;K305,"Above","In range")))</f>
        <v/>
      </c>
      <c r="H305" s="1" t="n"/>
      <c r="J305">
        <f>IF(M305="","",IF(INDEX(Settings!$C$10:$C$18,M305)="","",INDEX(Settings!$C$10:$C$18,M305)))</f>
        <v/>
      </c>
      <c r="K305">
        <f>IF(M305="","",IF(INDEX(Settings!$D$10:$D$18,M305)="","",INDEX(Settings!$D$10:$D$18,M305)))</f>
        <v/>
      </c>
      <c r="L305">
        <f>IF(OR(B305="",E305=""),"",B305+MOD(N(C305),1)+ROW()/10000000)</f>
        <v/>
      </c>
      <c r="M305">
        <f>IF(D305="","",IFERROR(MATCH(D305,Settings!$B$10:$B$18,0),""))</f>
        <v/>
      </c>
      <c r="N305">
        <f>IF(OR(B305="",E305="",M305=""),"",IF(AND(B305&gt;=Settings!$C$6,B305&lt;=Settings!$C$7),M305*10000+E305,""))</f>
        <v/>
      </c>
      <c r="O305">
        <f>IF(OR(B305="",E305=""),"",B305*10000+E305)</f>
        <v/>
      </c>
      <c r="P305">
        <f>IF(N305="","",E305)</f>
        <v/>
      </c>
    </row>
    <row r="306">
      <c r="A306" s="1" t="n"/>
      <c r="B306" s="20" t="n"/>
      <c r="C306" s="21" t="n"/>
      <c r="D306" s="22" t="n"/>
      <c r="E306" s="23" t="n"/>
      <c r="F306" s="22" t="n"/>
      <c r="G306" s="14">
        <f>IF(OR(B306="",E306="",J306="",K306=""),"",IF(E306&lt;J306,"Below",IF(E306&gt;K306,"Above","In range")))</f>
        <v/>
      </c>
      <c r="H306" s="1" t="n"/>
      <c r="J306">
        <f>IF(M306="","",IF(INDEX(Settings!$C$10:$C$18,M306)="","",INDEX(Settings!$C$10:$C$18,M306)))</f>
        <v/>
      </c>
      <c r="K306">
        <f>IF(M306="","",IF(INDEX(Settings!$D$10:$D$18,M306)="","",INDEX(Settings!$D$10:$D$18,M306)))</f>
        <v/>
      </c>
      <c r="L306">
        <f>IF(OR(B306="",E306=""),"",B306+MOD(N(C306),1)+ROW()/10000000)</f>
        <v/>
      </c>
      <c r="M306">
        <f>IF(D306="","",IFERROR(MATCH(D306,Settings!$B$10:$B$18,0),""))</f>
        <v/>
      </c>
      <c r="N306">
        <f>IF(OR(B306="",E306="",M306=""),"",IF(AND(B306&gt;=Settings!$C$6,B306&lt;=Settings!$C$7),M306*10000+E306,""))</f>
        <v/>
      </c>
      <c r="O306">
        <f>IF(OR(B306="",E306=""),"",B306*10000+E306)</f>
        <v/>
      </c>
      <c r="P306">
        <f>IF(N306="","",E306)</f>
        <v/>
      </c>
    </row>
    <row r="307">
      <c r="A307" s="1" t="n"/>
      <c r="B307" s="20" t="n"/>
      <c r="C307" s="21" t="n"/>
      <c r="D307" s="22" t="n"/>
      <c r="E307" s="23" t="n"/>
      <c r="F307" s="22" t="n"/>
      <c r="G307" s="14">
        <f>IF(OR(B307="",E307="",J307="",K307=""),"",IF(E307&lt;J307,"Below",IF(E307&gt;K307,"Above","In range")))</f>
        <v/>
      </c>
      <c r="H307" s="1" t="n"/>
      <c r="J307">
        <f>IF(M307="","",IF(INDEX(Settings!$C$10:$C$18,M307)="","",INDEX(Settings!$C$10:$C$18,M307)))</f>
        <v/>
      </c>
      <c r="K307">
        <f>IF(M307="","",IF(INDEX(Settings!$D$10:$D$18,M307)="","",INDEX(Settings!$D$10:$D$18,M307)))</f>
        <v/>
      </c>
      <c r="L307">
        <f>IF(OR(B307="",E307=""),"",B307+MOD(N(C307),1)+ROW()/10000000)</f>
        <v/>
      </c>
      <c r="M307">
        <f>IF(D307="","",IFERROR(MATCH(D307,Settings!$B$10:$B$18,0),""))</f>
        <v/>
      </c>
      <c r="N307">
        <f>IF(OR(B307="",E307="",M307=""),"",IF(AND(B307&gt;=Settings!$C$6,B307&lt;=Settings!$C$7),M307*10000+E307,""))</f>
        <v/>
      </c>
      <c r="O307">
        <f>IF(OR(B307="",E307=""),"",B307*10000+E307)</f>
        <v/>
      </c>
      <c r="P307">
        <f>IF(N307="","",E307)</f>
        <v/>
      </c>
    </row>
    <row r="308">
      <c r="A308" s="1" t="n"/>
      <c r="B308" s="20" t="n"/>
      <c r="C308" s="21" t="n"/>
      <c r="D308" s="22" t="n"/>
      <c r="E308" s="23" t="n"/>
      <c r="F308" s="22" t="n"/>
      <c r="G308" s="14">
        <f>IF(OR(B308="",E308="",J308="",K308=""),"",IF(E308&lt;J308,"Below",IF(E308&gt;K308,"Above","In range")))</f>
        <v/>
      </c>
      <c r="H308" s="1" t="n"/>
      <c r="J308">
        <f>IF(M308="","",IF(INDEX(Settings!$C$10:$C$18,M308)="","",INDEX(Settings!$C$10:$C$18,M308)))</f>
        <v/>
      </c>
      <c r="K308">
        <f>IF(M308="","",IF(INDEX(Settings!$D$10:$D$18,M308)="","",INDEX(Settings!$D$10:$D$18,M308)))</f>
        <v/>
      </c>
      <c r="L308">
        <f>IF(OR(B308="",E308=""),"",B308+MOD(N(C308),1)+ROW()/10000000)</f>
        <v/>
      </c>
      <c r="M308">
        <f>IF(D308="","",IFERROR(MATCH(D308,Settings!$B$10:$B$18,0),""))</f>
        <v/>
      </c>
      <c r="N308">
        <f>IF(OR(B308="",E308="",M308=""),"",IF(AND(B308&gt;=Settings!$C$6,B308&lt;=Settings!$C$7),M308*10000+E308,""))</f>
        <v/>
      </c>
      <c r="O308">
        <f>IF(OR(B308="",E308=""),"",B308*10000+E308)</f>
        <v/>
      </c>
      <c r="P308">
        <f>IF(N308="","",E308)</f>
        <v/>
      </c>
    </row>
    <row r="309">
      <c r="A309" s="1" t="n"/>
      <c r="B309" s="20" t="n"/>
      <c r="C309" s="21" t="n"/>
      <c r="D309" s="22" t="n"/>
      <c r="E309" s="23" t="n"/>
      <c r="F309" s="22" t="n"/>
      <c r="G309" s="14">
        <f>IF(OR(B309="",E309="",J309="",K309=""),"",IF(E309&lt;J309,"Below",IF(E309&gt;K309,"Above","In range")))</f>
        <v/>
      </c>
      <c r="H309" s="1" t="n"/>
      <c r="J309">
        <f>IF(M309="","",IF(INDEX(Settings!$C$10:$C$18,M309)="","",INDEX(Settings!$C$10:$C$18,M309)))</f>
        <v/>
      </c>
      <c r="K309">
        <f>IF(M309="","",IF(INDEX(Settings!$D$10:$D$18,M309)="","",INDEX(Settings!$D$10:$D$18,M309)))</f>
        <v/>
      </c>
      <c r="L309">
        <f>IF(OR(B309="",E309=""),"",B309+MOD(N(C309),1)+ROW()/10000000)</f>
        <v/>
      </c>
      <c r="M309">
        <f>IF(D309="","",IFERROR(MATCH(D309,Settings!$B$10:$B$18,0),""))</f>
        <v/>
      </c>
      <c r="N309">
        <f>IF(OR(B309="",E309="",M309=""),"",IF(AND(B309&gt;=Settings!$C$6,B309&lt;=Settings!$C$7),M309*10000+E309,""))</f>
        <v/>
      </c>
      <c r="O309">
        <f>IF(OR(B309="",E309=""),"",B309*10000+E309)</f>
        <v/>
      </c>
      <c r="P309">
        <f>IF(N309="","",E309)</f>
        <v/>
      </c>
    </row>
    <row r="310">
      <c r="A310" s="1" t="n"/>
      <c r="B310" s="20" t="n"/>
      <c r="C310" s="21" t="n"/>
      <c r="D310" s="22" t="n"/>
      <c r="E310" s="23" t="n"/>
      <c r="F310" s="22" t="n"/>
      <c r="G310" s="14">
        <f>IF(OR(B310="",E310="",J310="",K310=""),"",IF(E310&lt;J310,"Below",IF(E310&gt;K310,"Above","In range")))</f>
        <v/>
      </c>
      <c r="H310" s="1" t="n"/>
      <c r="J310">
        <f>IF(M310="","",IF(INDEX(Settings!$C$10:$C$18,M310)="","",INDEX(Settings!$C$10:$C$18,M310)))</f>
        <v/>
      </c>
      <c r="K310">
        <f>IF(M310="","",IF(INDEX(Settings!$D$10:$D$18,M310)="","",INDEX(Settings!$D$10:$D$18,M310)))</f>
        <v/>
      </c>
      <c r="L310">
        <f>IF(OR(B310="",E310=""),"",B310+MOD(N(C310),1)+ROW()/10000000)</f>
        <v/>
      </c>
      <c r="M310">
        <f>IF(D310="","",IFERROR(MATCH(D310,Settings!$B$10:$B$18,0),""))</f>
        <v/>
      </c>
      <c r="N310">
        <f>IF(OR(B310="",E310="",M310=""),"",IF(AND(B310&gt;=Settings!$C$6,B310&lt;=Settings!$C$7),M310*10000+E310,""))</f>
        <v/>
      </c>
      <c r="O310">
        <f>IF(OR(B310="",E310=""),"",B310*10000+E310)</f>
        <v/>
      </c>
      <c r="P310">
        <f>IF(N310="","",E310)</f>
        <v/>
      </c>
    </row>
    <row r="311">
      <c r="A311" s="1" t="n"/>
      <c r="B311" s="20" t="n"/>
      <c r="C311" s="21" t="n"/>
      <c r="D311" s="22" t="n"/>
      <c r="E311" s="23" t="n"/>
      <c r="F311" s="22" t="n"/>
      <c r="G311" s="14">
        <f>IF(OR(B311="",E311="",J311="",K311=""),"",IF(E311&lt;J311,"Below",IF(E311&gt;K311,"Above","In range")))</f>
        <v/>
      </c>
      <c r="H311" s="1" t="n"/>
      <c r="J311">
        <f>IF(M311="","",IF(INDEX(Settings!$C$10:$C$18,M311)="","",INDEX(Settings!$C$10:$C$18,M311)))</f>
        <v/>
      </c>
      <c r="K311">
        <f>IF(M311="","",IF(INDEX(Settings!$D$10:$D$18,M311)="","",INDEX(Settings!$D$10:$D$18,M311)))</f>
        <v/>
      </c>
      <c r="L311">
        <f>IF(OR(B311="",E311=""),"",B311+MOD(N(C311),1)+ROW()/10000000)</f>
        <v/>
      </c>
      <c r="M311">
        <f>IF(D311="","",IFERROR(MATCH(D311,Settings!$B$10:$B$18,0),""))</f>
        <v/>
      </c>
      <c r="N311">
        <f>IF(OR(B311="",E311="",M311=""),"",IF(AND(B311&gt;=Settings!$C$6,B311&lt;=Settings!$C$7),M311*10000+E311,""))</f>
        <v/>
      </c>
      <c r="O311">
        <f>IF(OR(B311="",E311=""),"",B311*10000+E311)</f>
        <v/>
      </c>
      <c r="P311">
        <f>IF(N311="","",E311)</f>
        <v/>
      </c>
    </row>
    <row r="312">
      <c r="A312" s="1" t="n"/>
      <c r="B312" s="20" t="n"/>
      <c r="C312" s="21" t="n"/>
      <c r="D312" s="22" t="n"/>
      <c r="E312" s="23" t="n"/>
      <c r="F312" s="22" t="n"/>
      <c r="G312" s="14">
        <f>IF(OR(B312="",E312="",J312="",K312=""),"",IF(E312&lt;J312,"Below",IF(E312&gt;K312,"Above","In range")))</f>
        <v/>
      </c>
      <c r="H312" s="1" t="n"/>
      <c r="J312">
        <f>IF(M312="","",IF(INDEX(Settings!$C$10:$C$18,M312)="","",INDEX(Settings!$C$10:$C$18,M312)))</f>
        <v/>
      </c>
      <c r="K312">
        <f>IF(M312="","",IF(INDEX(Settings!$D$10:$D$18,M312)="","",INDEX(Settings!$D$10:$D$18,M312)))</f>
        <v/>
      </c>
      <c r="L312">
        <f>IF(OR(B312="",E312=""),"",B312+MOD(N(C312),1)+ROW()/10000000)</f>
        <v/>
      </c>
      <c r="M312">
        <f>IF(D312="","",IFERROR(MATCH(D312,Settings!$B$10:$B$18,0),""))</f>
        <v/>
      </c>
      <c r="N312">
        <f>IF(OR(B312="",E312="",M312=""),"",IF(AND(B312&gt;=Settings!$C$6,B312&lt;=Settings!$C$7),M312*10000+E312,""))</f>
        <v/>
      </c>
      <c r="O312">
        <f>IF(OR(B312="",E312=""),"",B312*10000+E312)</f>
        <v/>
      </c>
      <c r="P312">
        <f>IF(N312="","",E312)</f>
        <v/>
      </c>
    </row>
    <row r="313">
      <c r="A313" s="1" t="n"/>
      <c r="B313" s="20" t="n"/>
      <c r="C313" s="21" t="n"/>
      <c r="D313" s="22" t="n"/>
      <c r="E313" s="23" t="n"/>
      <c r="F313" s="22" t="n"/>
      <c r="G313" s="14">
        <f>IF(OR(B313="",E313="",J313="",K313=""),"",IF(E313&lt;J313,"Below",IF(E313&gt;K313,"Above","In range")))</f>
        <v/>
      </c>
      <c r="H313" s="1" t="n"/>
      <c r="J313">
        <f>IF(M313="","",IF(INDEX(Settings!$C$10:$C$18,M313)="","",INDEX(Settings!$C$10:$C$18,M313)))</f>
        <v/>
      </c>
      <c r="K313">
        <f>IF(M313="","",IF(INDEX(Settings!$D$10:$D$18,M313)="","",INDEX(Settings!$D$10:$D$18,M313)))</f>
        <v/>
      </c>
      <c r="L313">
        <f>IF(OR(B313="",E313=""),"",B313+MOD(N(C313),1)+ROW()/10000000)</f>
        <v/>
      </c>
      <c r="M313">
        <f>IF(D313="","",IFERROR(MATCH(D313,Settings!$B$10:$B$18,0),""))</f>
        <v/>
      </c>
      <c r="N313">
        <f>IF(OR(B313="",E313="",M313=""),"",IF(AND(B313&gt;=Settings!$C$6,B313&lt;=Settings!$C$7),M313*10000+E313,""))</f>
        <v/>
      </c>
      <c r="O313">
        <f>IF(OR(B313="",E313=""),"",B313*10000+E313)</f>
        <v/>
      </c>
      <c r="P313">
        <f>IF(N313="","",E313)</f>
        <v/>
      </c>
    </row>
    <row r="314">
      <c r="A314" s="1" t="n"/>
      <c r="B314" s="20" t="n"/>
      <c r="C314" s="21" t="n"/>
      <c r="D314" s="22" t="n"/>
      <c r="E314" s="23" t="n"/>
      <c r="F314" s="22" t="n"/>
      <c r="G314" s="14">
        <f>IF(OR(B314="",E314="",J314="",K314=""),"",IF(E314&lt;J314,"Below",IF(E314&gt;K314,"Above","In range")))</f>
        <v/>
      </c>
      <c r="H314" s="1" t="n"/>
      <c r="J314">
        <f>IF(M314="","",IF(INDEX(Settings!$C$10:$C$18,M314)="","",INDEX(Settings!$C$10:$C$18,M314)))</f>
        <v/>
      </c>
      <c r="K314">
        <f>IF(M314="","",IF(INDEX(Settings!$D$10:$D$18,M314)="","",INDEX(Settings!$D$10:$D$18,M314)))</f>
        <v/>
      </c>
      <c r="L314">
        <f>IF(OR(B314="",E314=""),"",B314+MOD(N(C314),1)+ROW()/10000000)</f>
        <v/>
      </c>
      <c r="M314">
        <f>IF(D314="","",IFERROR(MATCH(D314,Settings!$B$10:$B$18,0),""))</f>
        <v/>
      </c>
      <c r="N314">
        <f>IF(OR(B314="",E314="",M314=""),"",IF(AND(B314&gt;=Settings!$C$6,B314&lt;=Settings!$C$7),M314*10000+E314,""))</f>
        <v/>
      </c>
      <c r="O314">
        <f>IF(OR(B314="",E314=""),"",B314*10000+E314)</f>
        <v/>
      </c>
      <c r="P314">
        <f>IF(N314="","",E314)</f>
        <v/>
      </c>
    </row>
    <row r="315">
      <c r="A315" s="1" t="n"/>
      <c r="B315" s="20" t="n"/>
      <c r="C315" s="21" t="n"/>
      <c r="D315" s="22" t="n"/>
      <c r="E315" s="23" t="n"/>
      <c r="F315" s="22" t="n"/>
      <c r="G315" s="14">
        <f>IF(OR(B315="",E315="",J315="",K315=""),"",IF(E315&lt;J315,"Below",IF(E315&gt;K315,"Above","In range")))</f>
        <v/>
      </c>
      <c r="H315" s="1" t="n"/>
      <c r="J315">
        <f>IF(M315="","",IF(INDEX(Settings!$C$10:$C$18,M315)="","",INDEX(Settings!$C$10:$C$18,M315)))</f>
        <v/>
      </c>
      <c r="K315">
        <f>IF(M315="","",IF(INDEX(Settings!$D$10:$D$18,M315)="","",INDEX(Settings!$D$10:$D$18,M315)))</f>
        <v/>
      </c>
      <c r="L315">
        <f>IF(OR(B315="",E315=""),"",B315+MOD(N(C315),1)+ROW()/10000000)</f>
        <v/>
      </c>
      <c r="M315">
        <f>IF(D315="","",IFERROR(MATCH(D315,Settings!$B$10:$B$18,0),""))</f>
        <v/>
      </c>
      <c r="N315">
        <f>IF(OR(B315="",E315="",M315=""),"",IF(AND(B315&gt;=Settings!$C$6,B315&lt;=Settings!$C$7),M315*10000+E315,""))</f>
        <v/>
      </c>
      <c r="O315">
        <f>IF(OR(B315="",E315=""),"",B315*10000+E315)</f>
        <v/>
      </c>
      <c r="P315">
        <f>IF(N315="","",E315)</f>
        <v/>
      </c>
    </row>
    <row r="316">
      <c r="A316" s="1" t="n"/>
      <c r="B316" s="20" t="n"/>
      <c r="C316" s="21" t="n"/>
      <c r="D316" s="22" t="n"/>
      <c r="E316" s="23" t="n"/>
      <c r="F316" s="22" t="n"/>
      <c r="G316" s="14">
        <f>IF(OR(B316="",E316="",J316="",K316=""),"",IF(E316&lt;J316,"Below",IF(E316&gt;K316,"Above","In range")))</f>
        <v/>
      </c>
      <c r="H316" s="1" t="n"/>
      <c r="J316">
        <f>IF(M316="","",IF(INDEX(Settings!$C$10:$C$18,M316)="","",INDEX(Settings!$C$10:$C$18,M316)))</f>
        <v/>
      </c>
      <c r="K316">
        <f>IF(M316="","",IF(INDEX(Settings!$D$10:$D$18,M316)="","",INDEX(Settings!$D$10:$D$18,M316)))</f>
        <v/>
      </c>
      <c r="L316">
        <f>IF(OR(B316="",E316=""),"",B316+MOD(N(C316),1)+ROW()/10000000)</f>
        <v/>
      </c>
      <c r="M316">
        <f>IF(D316="","",IFERROR(MATCH(D316,Settings!$B$10:$B$18,0),""))</f>
        <v/>
      </c>
      <c r="N316">
        <f>IF(OR(B316="",E316="",M316=""),"",IF(AND(B316&gt;=Settings!$C$6,B316&lt;=Settings!$C$7),M316*10000+E316,""))</f>
        <v/>
      </c>
      <c r="O316">
        <f>IF(OR(B316="",E316=""),"",B316*10000+E316)</f>
        <v/>
      </c>
      <c r="P316">
        <f>IF(N316="","",E316)</f>
        <v/>
      </c>
    </row>
    <row r="317">
      <c r="A317" s="1" t="n"/>
      <c r="B317" s="20" t="n"/>
      <c r="C317" s="21" t="n"/>
      <c r="D317" s="22" t="n"/>
      <c r="E317" s="23" t="n"/>
      <c r="F317" s="22" t="n"/>
      <c r="G317" s="14">
        <f>IF(OR(B317="",E317="",J317="",K317=""),"",IF(E317&lt;J317,"Below",IF(E317&gt;K317,"Above","In range")))</f>
        <v/>
      </c>
      <c r="H317" s="1" t="n"/>
      <c r="J317">
        <f>IF(M317="","",IF(INDEX(Settings!$C$10:$C$18,M317)="","",INDEX(Settings!$C$10:$C$18,M317)))</f>
        <v/>
      </c>
      <c r="K317">
        <f>IF(M317="","",IF(INDEX(Settings!$D$10:$D$18,M317)="","",INDEX(Settings!$D$10:$D$18,M317)))</f>
        <v/>
      </c>
      <c r="L317">
        <f>IF(OR(B317="",E317=""),"",B317+MOD(N(C317),1)+ROW()/10000000)</f>
        <v/>
      </c>
      <c r="M317">
        <f>IF(D317="","",IFERROR(MATCH(D317,Settings!$B$10:$B$18,0),""))</f>
        <v/>
      </c>
      <c r="N317">
        <f>IF(OR(B317="",E317="",M317=""),"",IF(AND(B317&gt;=Settings!$C$6,B317&lt;=Settings!$C$7),M317*10000+E317,""))</f>
        <v/>
      </c>
      <c r="O317">
        <f>IF(OR(B317="",E317=""),"",B317*10000+E317)</f>
        <v/>
      </c>
      <c r="P317">
        <f>IF(N317="","",E317)</f>
        <v/>
      </c>
    </row>
    <row r="318">
      <c r="A318" s="1" t="n"/>
      <c r="B318" s="20" t="n"/>
      <c r="C318" s="21" t="n"/>
      <c r="D318" s="22" t="n"/>
      <c r="E318" s="23" t="n"/>
      <c r="F318" s="22" t="n"/>
      <c r="G318" s="14">
        <f>IF(OR(B318="",E318="",J318="",K318=""),"",IF(E318&lt;J318,"Below",IF(E318&gt;K318,"Above","In range")))</f>
        <v/>
      </c>
      <c r="H318" s="1" t="n"/>
      <c r="J318">
        <f>IF(M318="","",IF(INDEX(Settings!$C$10:$C$18,M318)="","",INDEX(Settings!$C$10:$C$18,M318)))</f>
        <v/>
      </c>
      <c r="K318">
        <f>IF(M318="","",IF(INDEX(Settings!$D$10:$D$18,M318)="","",INDEX(Settings!$D$10:$D$18,M318)))</f>
        <v/>
      </c>
      <c r="L318">
        <f>IF(OR(B318="",E318=""),"",B318+MOD(N(C318),1)+ROW()/10000000)</f>
        <v/>
      </c>
      <c r="M318">
        <f>IF(D318="","",IFERROR(MATCH(D318,Settings!$B$10:$B$18,0),""))</f>
        <v/>
      </c>
      <c r="N318">
        <f>IF(OR(B318="",E318="",M318=""),"",IF(AND(B318&gt;=Settings!$C$6,B318&lt;=Settings!$C$7),M318*10000+E318,""))</f>
        <v/>
      </c>
      <c r="O318">
        <f>IF(OR(B318="",E318=""),"",B318*10000+E318)</f>
        <v/>
      </c>
      <c r="P318">
        <f>IF(N318="","",E318)</f>
        <v/>
      </c>
    </row>
    <row r="319">
      <c r="A319" s="1" t="n"/>
      <c r="B319" s="20" t="n"/>
      <c r="C319" s="21" t="n"/>
      <c r="D319" s="22" t="n"/>
      <c r="E319" s="23" t="n"/>
      <c r="F319" s="22" t="n"/>
      <c r="G319" s="14">
        <f>IF(OR(B319="",E319="",J319="",K319=""),"",IF(E319&lt;J319,"Below",IF(E319&gt;K319,"Above","In range")))</f>
        <v/>
      </c>
      <c r="H319" s="1" t="n"/>
      <c r="J319">
        <f>IF(M319="","",IF(INDEX(Settings!$C$10:$C$18,M319)="","",INDEX(Settings!$C$10:$C$18,M319)))</f>
        <v/>
      </c>
      <c r="K319">
        <f>IF(M319="","",IF(INDEX(Settings!$D$10:$D$18,M319)="","",INDEX(Settings!$D$10:$D$18,M319)))</f>
        <v/>
      </c>
      <c r="L319">
        <f>IF(OR(B319="",E319=""),"",B319+MOD(N(C319),1)+ROW()/10000000)</f>
        <v/>
      </c>
      <c r="M319">
        <f>IF(D319="","",IFERROR(MATCH(D319,Settings!$B$10:$B$18,0),""))</f>
        <v/>
      </c>
      <c r="N319">
        <f>IF(OR(B319="",E319="",M319=""),"",IF(AND(B319&gt;=Settings!$C$6,B319&lt;=Settings!$C$7),M319*10000+E319,""))</f>
        <v/>
      </c>
      <c r="O319">
        <f>IF(OR(B319="",E319=""),"",B319*10000+E319)</f>
        <v/>
      </c>
      <c r="P319">
        <f>IF(N319="","",E319)</f>
        <v/>
      </c>
    </row>
    <row r="320">
      <c r="A320" s="1" t="n"/>
      <c r="B320" s="20" t="n"/>
      <c r="C320" s="21" t="n"/>
      <c r="D320" s="22" t="n"/>
      <c r="E320" s="23" t="n"/>
      <c r="F320" s="22" t="n"/>
      <c r="G320" s="14">
        <f>IF(OR(B320="",E320="",J320="",K320=""),"",IF(E320&lt;J320,"Below",IF(E320&gt;K320,"Above","In range")))</f>
        <v/>
      </c>
      <c r="H320" s="1" t="n"/>
      <c r="J320">
        <f>IF(M320="","",IF(INDEX(Settings!$C$10:$C$18,M320)="","",INDEX(Settings!$C$10:$C$18,M320)))</f>
        <v/>
      </c>
      <c r="K320">
        <f>IF(M320="","",IF(INDEX(Settings!$D$10:$D$18,M320)="","",INDEX(Settings!$D$10:$D$18,M320)))</f>
        <v/>
      </c>
      <c r="L320">
        <f>IF(OR(B320="",E320=""),"",B320+MOD(N(C320),1)+ROW()/10000000)</f>
        <v/>
      </c>
      <c r="M320">
        <f>IF(D320="","",IFERROR(MATCH(D320,Settings!$B$10:$B$18,0),""))</f>
        <v/>
      </c>
      <c r="N320">
        <f>IF(OR(B320="",E320="",M320=""),"",IF(AND(B320&gt;=Settings!$C$6,B320&lt;=Settings!$C$7),M320*10000+E320,""))</f>
        <v/>
      </c>
      <c r="O320">
        <f>IF(OR(B320="",E320=""),"",B320*10000+E320)</f>
        <v/>
      </c>
      <c r="P320">
        <f>IF(N320="","",E320)</f>
        <v/>
      </c>
    </row>
    <row r="321">
      <c r="A321" s="1" t="n"/>
      <c r="B321" s="20" t="n"/>
      <c r="C321" s="21" t="n"/>
      <c r="D321" s="22" t="n"/>
      <c r="E321" s="23" t="n"/>
      <c r="F321" s="22" t="n"/>
      <c r="G321" s="14">
        <f>IF(OR(B321="",E321="",J321="",K321=""),"",IF(E321&lt;J321,"Below",IF(E321&gt;K321,"Above","In range")))</f>
        <v/>
      </c>
      <c r="H321" s="1" t="n"/>
      <c r="J321">
        <f>IF(M321="","",IF(INDEX(Settings!$C$10:$C$18,M321)="","",INDEX(Settings!$C$10:$C$18,M321)))</f>
        <v/>
      </c>
      <c r="K321">
        <f>IF(M321="","",IF(INDEX(Settings!$D$10:$D$18,M321)="","",INDEX(Settings!$D$10:$D$18,M321)))</f>
        <v/>
      </c>
      <c r="L321">
        <f>IF(OR(B321="",E321=""),"",B321+MOD(N(C321),1)+ROW()/10000000)</f>
        <v/>
      </c>
      <c r="M321">
        <f>IF(D321="","",IFERROR(MATCH(D321,Settings!$B$10:$B$18,0),""))</f>
        <v/>
      </c>
      <c r="N321">
        <f>IF(OR(B321="",E321="",M321=""),"",IF(AND(B321&gt;=Settings!$C$6,B321&lt;=Settings!$C$7),M321*10000+E321,""))</f>
        <v/>
      </c>
      <c r="O321">
        <f>IF(OR(B321="",E321=""),"",B321*10000+E321)</f>
        <v/>
      </c>
      <c r="P321">
        <f>IF(N321="","",E321)</f>
        <v/>
      </c>
    </row>
    <row r="322">
      <c r="A322" s="1" t="n"/>
      <c r="B322" s="20" t="n"/>
      <c r="C322" s="21" t="n"/>
      <c r="D322" s="22" t="n"/>
      <c r="E322" s="23" t="n"/>
      <c r="F322" s="22" t="n"/>
      <c r="G322" s="14">
        <f>IF(OR(B322="",E322="",J322="",K322=""),"",IF(E322&lt;J322,"Below",IF(E322&gt;K322,"Above","In range")))</f>
        <v/>
      </c>
      <c r="H322" s="1" t="n"/>
      <c r="J322">
        <f>IF(M322="","",IF(INDEX(Settings!$C$10:$C$18,M322)="","",INDEX(Settings!$C$10:$C$18,M322)))</f>
        <v/>
      </c>
      <c r="K322">
        <f>IF(M322="","",IF(INDEX(Settings!$D$10:$D$18,M322)="","",INDEX(Settings!$D$10:$D$18,M322)))</f>
        <v/>
      </c>
      <c r="L322">
        <f>IF(OR(B322="",E322=""),"",B322+MOD(N(C322),1)+ROW()/10000000)</f>
        <v/>
      </c>
      <c r="M322">
        <f>IF(D322="","",IFERROR(MATCH(D322,Settings!$B$10:$B$18,0),""))</f>
        <v/>
      </c>
      <c r="N322">
        <f>IF(OR(B322="",E322="",M322=""),"",IF(AND(B322&gt;=Settings!$C$6,B322&lt;=Settings!$C$7),M322*10000+E322,""))</f>
        <v/>
      </c>
      <c r="O322">
        <f>IF(OR(B322="",E322=""),"",B322*10000+E322)</f>
        <v/>
      </c>
      <c r="P322">
        <f>IF(N322="","",E322)</f>
        <v/>
      </c>
    </row>
    <row r="323">
      <c r="A323" s="1" t="n"/>
      <c r="B323" s="20" t="n"/>
      <c r="C323" s="21" t="n"/>
      <c r="D323" s="22" t="n"/>
      <c r="E323" s="23" t="n"/>
      <c r="F323" s="22" t="n"/>
      <c r="G323" s="14">
        <f>IF(OR(B323="",E323="",J323="",K323=""),"",IF(E323&lt;J323,"Below",IF(E323&gt;K323,"Above","In range")))</f>
        <v/>
      </c>
      <c r="H323" s="1" t="n"/>
      <c r="J323">
        <f>IF(M323="","",IF(INDEX(Settings!$C$10:$C$18,M323)="","",INDEX(Settings!$C$10:$C$18,M323)))</f>
        <v/>
      </c>
      <c r="K323">
        <f>IF(M323="","",IF(INDEX(Settings!$D$10:$D$18,M323)="","",INDEX(Settings!$D$10:$D$18,M323)))</f>
        <v/>
      </c>
      <c r="L323">
        <f>IF(OR(B323="",E323=""),"",B323+MOD(N(C323),1)+ROW()/10000000)</f>
        <v/>
      </c>
      <c r="M323">
        <f>IF(D323="","",IFERROR(MATCH(D323,Settings!$B$10:$B$18,0),""))</f>
        <v/>
      </c>
      <c r="N323">
        <f>IF(OR(B323="",E323="",M323=""),"",IF(AND(B323&gt;=Settings!$C$6,B323&lt;=Settings!$C$7),M323*10000+E323,""))</f>
        <v/>
      </c>
      <c r="O323">
        <f>IF(OR(B323="",E323=""),"",B323*10000+E323)</f>
        <v/>
      </c>
      <c r="P323">
        <f>IF(N323="","",E323)</f>
        <v/>
      </c>
    </row>
    <row r="324">
      <c r="A324" s="1" t="n"/>
      <c r="B324" s="20" t="n"/>
      <c r="C324" s="21" t="n"/>
      <c r="D324" s="22" t="n"/>
      <c r="E324" s="23" t="n"/>
      <c r="F324" s="22" t="n"/>
      <c r="G324" s="14">
        <f>IF(OR(B324="",E324="",J324="",K324=""),"",IF(E324&lt;J324,"Below",IF(E324&gt;K324,"Above","In range")))</f>
        <v/>
      </c>
      <c r="H324" s="1" t="n"/>
      <c r="J324">
        <f>IF(M324="","",IF(INDEX(Settings!$C$10:$C$18,M324)="","",INDEX(Settings!$C$10:$C$18,M324)))</f>
        <v/>
      </c>
      <c r="K324">
        <f>IF(M324="","",IF(INDEX(Settings!$D$10:$D$18,M324)="","",INDEX(Settings!$D$10:$D$18,M324)))</f>
        <v/>
      </c>
      <c r="L324">
        <f>IF(OR(B324="",E324=""),"",B324+MOD(N(C324),1)+ROW()/10000000)</f>
        <v/>
      </c>
      <c r="M324">
        <f>IF(D324="","",IFERROR(MATCH(D324,Settings!$B$10:$B$18,0),""))</f>
        <v/>
      </c>
      <c r="N324">
        <f>IF(OR(B324="",E324="",M324=""),"",IF(AND(B324&gt;=Settings!$C$6,B324&lt;=Settings!$C$7),M324*10000+E324,""))</f>
        <v/>
      </c>
      <c r="O324">
        <f>IF(OR(B324="",E324=""),"",B324*10000+E324)</f>
        <v/>
      </c>
      <c r="P324">
        <f>IF(N324="","",E324)</f>
        <v/>
      </c>
    </row>
    <row r="325">
      <c r="A325" s="1" t="n"/>
      <c r="B325" s="20" t="n"/>
      <c r="C325" s="21" t="n"/>
      <c r="D325" s="22" t="n"/>
      <c r="E325" s="23" t="n"/>
      <c r="F325" s="22" t="n"/>
      <c r="G325" s="14">
        <f>IF(OR(B325="",E325="",J325="",K325=""),"",IF(E325&lt;J325,"Below",IF(E325&gt;K325,"Above","In range")))</f>
        <v/>
      </c>
      <c r="H325" s="1" t="n"/>
      <c r="J325">
        <f>IF(M325="","",IF(INDEX(Settings!$C$10:$C$18,M325)="","",INDEX(Settings!$C$10:$C$18,M325)))</f>
        <v/>
      </c>
      <c r="K325">
        <f>IF(M325="","",IF(INDEX(Settings!$D$10:$D$18,M325)="","",INDEX(Settings!$D$10:$D$18,M325)))</f>
        <v/>
      </c>
      <c r="L325">
        <f>IF(OR(B325="",E325=""),"",B325+MOD(N(C325),1)+ROW()/10000000)</f>
        <v/>
      </c>
      <c r="M325">
        <f>IF(D325="","",IFERROR(MATCH(D325,Settings!$B$10:$B$18,0),""))</f>
        <v/>
      </c>
      <c r="N325">
        <f>IF(OR(B325="",E325="",M325=""),"",IF(AND(B325&gt;=Settings!$C$6,B325&lt;=Settings!$C$7),M325*10000+E325,""))</f>
        <v/>
      </c>
      <c r="O325">
        <f>IF(OR(B325="",E325=""),"",B325*10000+E325)</f>
        <v/>
      </c>
      <c r="P325">
        <f>IF(N325="","",E325)</f>
        <v/>
      </c>
    </row>
    <row r="326">
      <c r="A326" s="1" t="n"/>
      <c r="B326" s="20" t="n"/>
      <c r="C326" s="21" t="n"/>
      <c r="D326" s="22" t="n"/>
      <c r="E326" s="23" t="n"/>
      <c r="F326" s="22" t="n"/>
      <c r="G326" s="14">
        <f>IF(OR(B326="",E326="",J326="",K326=""),"",IF(E326&lt;J326,"Below",IF(E326&gt;K326,"Above","In range")))</f>
        <v/>
      </c>
      <c r="H326" s="1" t="n"/>
      <c r="J326">
        <f>IF(M326="","",IF(INDEX(Settings!$C$10:$C$18,M326)="","",INDEX(Settings!$C$10:$C$18,M326)))</f>
        <v/>
      </c>
      <c r="K326">
        <f>IF(M326="","",IF(INDEX(Settings!$D$10:$D$18,M326)="","",INDEX(Settings!$D$10:$D$18,M326)))</f>
        <v/>
      </c>
      <c r="L326">
        <f>IF(OR(B326="",E326=""),"",B326+MOD(N(C326),1)+ROW()/10000000)</f>
        <v/>
      </c>
      <c r="M326">
        <f>IF(D326="","",IFERROR(MATCH(D326,Settings!$B$10:$B$18,0),""))</f>
        <v/>
      </c>
      <c r="N326">
        <f>IF(OR(B326="",E326="",M326=""),"",IF(AND(B326&gt;=Settings!$C$6,B326&lt;=Settings!$C$7),M326*10000+E326,""))</f>
        <v/>
      </c>
      <c r="O326">
        <f>IF(OR(B326="",E326=""),"",B326*10000+E326)</f>
        <v/>
      </c>
      <c r="P326">
        <f>IF(N326="","",E326)</f>
        <v/>
      </c>
    </row>
    <row r="327">
      <c r="A327" s="1" t="n"/>
      <c r="B327" s="20" t="n"/>
      <c r="C327" s="21" t="n"/>
      <c r="D327" s="22" t="n"/>
      <c r="E327" s="23" t="n"/>
      <c r="F327" s="22" t="n"/>
      <c r="G327" s="14">
        <f>IF(OR(B327="",E327="",J327="",K327=""),"",IF(E327&lt;J327,"Below",IF(E327&gt;K327,"Above","In range")))</f>
        <v/>
      </c>
      <c r="H327" s="1" t="n"/>
      <c r="J327">
        <f>IF(M327="","",IF(INDEX(Settings!$C$10:$C$18,M327)="","",INDEX(Settings!$C$10:$C$18,M327)))</f>
        <v/>
      </c>
      <c r="K327">
        <f>IF(M327="","",IF(INDEX(Settings!$D$10:$D$18,M327)="","",INDEX(Settings!$D$10:$D$18,M327)))</f>
        <v/>
      </c>
      <c r="L327">
        <f>IF(OR(B327="",E327=""),"",B327+MOD(N(C327),1)+ROW()/10000000)</f>
        <v/>
      </c>
      <c r="M327">
        <f>IF(D327="","",IFERROR(MATCH(D327,Settings!$B$10:$B$18,0),""))</f>
        <v/>
      </c>
      <c r="N327">
        <f>IF(OR(B327="",E327="",M327=""),"",IF(AND(B327&gt;=Settings!$C$6,B327&lt;=Settings!$C$7),M327*10000+E327,""))</f>
        <v/>
      </c>
      <c r="O327">
        <f>IF(OR(B327="",E327=""),"",B327*10000+E327)</f>
        <v/>
      </c>
      <c r="P327">
        <f>IF(N327="","",E327)</f>
        <v/>
      </c>
    </row>
    <row r="328">
      <c r="A328" s="1" t="n"/>
      <c r="B328" s="20" t="n"/>
      <c r="C328" s="21" t="n"/>
      <c r="D328" s="22" t="n"/>
      <c r="E328" s="23" t="n"/>
      <c r="F328" s="22" t="n"/>
      <c r="G328" s="14">
        <f>IF(OR(B328="",E328="",J328="",K328=""),"",IF(E328&lt;J328,"Below",IF(E328&gt;K328,"Above","In range")))</f>
        <v/>
      </c>
      <c r="H328" s="1" t="n"/>
      <c r="J328">
        <f>IF(M328="","",IF(INDEX(Settings!$C$10:$C$18,M328)="","",INDEX(Settings!$C$10:$C$18,M328)))</f>
        <v/>
      </c>
      <c r="K328">
        <f>IF(M328="","",IF(INDEX(Settings!$D$10:$D$18,M328)="","",INDEX(Settings!$D$10:$D$18,M328)))</f>
        <v/>
      </c>
      <c r="L328">
        <f>IF(OR(B328="",E328=""),"",B328+MOD(N(C328),1)+ROW()/10000000)</f>
        <v/>
      </c>
      <c r="M328">
        <f>IF(D328="","",IFERROR(MATCH(D328,Settings!$B$10:$B$18,0),""))</f>
        <v/>
      </c>
      <c r="N328">
        <f>IF(OR(B328="",E328="",M328=""),"",IF(AND(B328&gt;=Settings!$C$6,B328&lt;=Settings!$C$7),M328*10000+E328,""))</f>
        <v/>
      </c>
      <c r="O328">
        <f>IF(OR(B328="",E328=""),"",B328*10000+E328)</f>
        <v/>
      </c>
      <c r="P328">
        <f>IF(N328="","",E328)</f>
        <v/>
      </c>
    </row>
    <row r="329">
      <c r="A329" s="1" t="n"/>
      <c r="B329" s="20" t="n"/>
      <c r="C329" s="21" t="n"/>
      <c r="D329" s="22" t="n"/>
      <c r="E329" s="23" t="n"/>
      <c r="F329" s="22" t="n"/>
      <c r="G329" s="14">
        <f>IF(OR(B329="",E329="",J329="",K329=""),"",IF(E329&lt;J329,"Below",IF(E329&gt;K329,"Above","In range")))</f>
        <v/>
      </c>
      <c r="H329" s="1" t="n"/>
      <c r="J329">
        <f>IF(M329="","",IF(INDEX(Settings!$C$10:$C$18,M329)="","",INDEX(Settings!$C$10:$C$18,M329)))</f>
        <v/>
      </c>
      <c r="K329">
        <f>IF(M329="","",IF(INDEX(Settings!$D$10:$D$18,M329)="","",INDEX(Settings!$D$10:$D$18,M329)))</f>
        <v/>
      </c>
      <c r="L329">
        <f>IF(OR(B329="",E329=""),"",B329+MOD(N(C329),1)+ROW()/10000000)</f>
        <v/>
      </c>
      <c r="M329">
        <f>IF(D329="","",IFERROR(MATCH(D329,Settings!$B$10:$B$18,0),""))</f>
        <v/>
      </c>
      <c r="N329">
        <f>IF(OR(B329="",E329="",M329=""),"",IF(AND(B329&gt;=Settings!$C$6,B329&lt;=Settings!$C$7),M329*10000+E329,""))</f>
        <v/>
      </c>
      <c r="O329">
        <f>IF(OR(B329="",E329=""),"",B329*10000+E329)</f>
        <v/>
      </c>
      <c r="P329">
        <f>IF(N329="","",E329)</f>
        <v/>
      </c>
    </row>
    <row r="330">
      <c r="A330" s="1" t="n"/>
      <c r="B330" s="20" t="n"/>
      <c r="C330" s="21" t="n"/>
      <c r="D330" s="22" t="n"/>
      <c r="E330" s="23" t="n"/>
      <c r="F330" s="22" t="n"/>
      <c r="G330" s="14">
        <f>IF(OR(B330="",E330="",J330="",K330=""),"",IF(E330&lt;J330,"Below",IF(E330&gt;K330,"Above","In range")))</f>
        <v/>
      </c>
      <c r="H330" s="1" t="n"/>
      <c r="J330">
        <f>IF(M330="","",IF(INDEX(Settings!$C$10:$C$18,M330)="","",INDEX(Settings!$C$10:$C$18,M330)))</f>
        <v/>
      </c>
      <c r="K330">
        <f>IF(M330="","",IF(INDEX(Settings!$D$10:$D$18,M330)="","",INDEX(Settings!$D$10:$D$18,M330)))</f>
        <v/>
      </c>
      <c r="L330">
        <f>IF(OR(B330="",E330=""),"",B330+MOD(N(C330),1)+ROW()/10000000)</f>
        <v/>
      </c>
      <c r="M330">
        <f>IF(D330="","",IFERROR(MATCH(D330,Settings!$B$10:$B$18,0),""))</f>
        <v/>
      </c>
      <c r="N330">
        <f>IF(OR(B330="",E330="",M330=""),"",IF(AND(B330&gt;=Settings!$C$6,B330&lt;=Settings!$C$7),M330*10000+E330,""))</f>
        <v/>
      </c>
      <c r="O330">
        <f>IF(OR(B330="",E330=""),"",B330*10000+E330)</f>
        <v/>
      </c>
      <c r="P330">
        <f>IF(N330="","",E330)</f>
        <v/>
      </c>
    </row>
    <row r="331">
      <c r="A331" s="1" t="n"/>
      <c r="B331" s="20" t="n"/>
      <c r="C331" s="21" t="n"/>
      <c r="D331" s="22" t="n"/>
      <c r="E331" s="23" t="n"/>
      <c r="F331" s="22" t="n"/>
      <c r="G331" s="14">
        <f>IF(OR(B331="",E331="",J331="",K331=""),"",IF(E331&lt;J331,"Below",IF(E331&gt;K331,"Above","In range")))</f>
        <v/>
      </c>
      <c r="H331" s="1" t="n"/>
      <c r="J331">
        <f>IF(M331="","",IF(INDEX(Settings!$C$10:$C$18,M331)="","",INDEX(Settings!$C$10:$C$18,M331)))</f>
        <v/>
      </c>
      <c r="K331">
        <f>IF(M331="","",IF(INDEX(Settings!$D$10:$D$18,M331)="","",INDEX(Settings!$D$10:$D$18,M331)))</f>
        <v/>
      </c>
      <c r="L331">
        <f>IF(OR(B331="",E331=""),"",B331+MOD(N(C331),1)+ROW()/10000000)</f>
        <v/>
      </c>
      <c r="M331">
        <f>IF(D331="","",IFERROR(MATCH(D331,Settings!$B$10:$B$18,0),""))</f>
        <v/>
      </c>
      <c r="N331">
        <f>IF(OR(B331="",E331="",M331=""),"",IF(AND(B331&gt;=Settings!$C$6,B331&lt;=Settings!$C$7),M331*10000+E331,""))</f>
        <v/>
      </c>
      <c r="O331">
        <f>IF(OR(B331="",E331=""),"",B331*10000+E331)</f>
        <v/>
      </c>
      <c r="P331">
        <f>IF(N331="","",E331)</f>
        <v/>
      </c>
    </row>
    <row r="332">
      <c r="A332" s="1" t="n"/>
      <c r="B332" s="20" t="n"/>
      <c r="C332" s="21" t="n"/>
      <c r="D332" s="22" t="n"/>
      <c r="E332" s="23" t="n"/>
      <c r="F332" s="22" t="n"/>
      <c r="G332" s="14">
        <f>IF(OR(B332="",E332="",J332="",K332=""),"",IF(E332&lt;J332,"Below",IF(E332&gt;K332,"Above","In range")))</f>
        <v/>
      </c>
      <c r="H332" s="1" t="n"/>
      <c r="J332">
        <f>IF(M332="","",IF(INDEX(Settings!$C$10:$C$18,M332)="","",INDEX(Settings!$C$10:$C$18,M332)))</f>
        <v/>
      </c>
      <c r="K332">
        <f>IF(M332="","",IF(INDEX(Settings!$D$10:$D$18,M332)="","",INDEX(Settings!$D$10:$D$18,M332)))</f>
        <v/>
      </c>
      <c r="L332">
        <f>IF(OR(B332="",E332=""),"",B332+MOD(N(C332),1)+ROW()/10000000)</f>
        <v/>
      </c>
      <c r="M332">
        <f>IF(D332="","",IFERROR(MATCH(D332,Settings!$B$10:$B$18,0),""))</f>
        <v/>
      </c>
      <c r="N332">
        <f>IF(OR(B332="",E332="",M332=""),"",IF(AND(B332&gt;=Settings!$C$6,B332&lt;=Settings!$C$7),M332*10000+E332,""))</f>
        <v/>
      </c>
      <c r="O332">
        <f>IF(OR(B332="",E332=""),"",B332*10000+E332)</f>
        <v/>
      </c>
      <c r="P332">
        <f>IF(N332="","",E332)</f>
        <v/>
      </c>
    </row>
    <row r="333">
      <c r="A333" s="1" t="n"/>
      <c r="B333" s="20" t="n"/>
      <c r="C333" s="21" t="n"/>
      <c r="D333" s="22" t="n"/>
      <c r="E333" s="23" t="n"/>
      <c r="F333" s="22" t="n"/>
      <c r="G333" s="14">
        <f>IF(OR(B333="",E333="",J333="",K333=""),"",IF(E333&lt;J333,"Below",IF(E333&gt;K333,"Above","In range")))</f>
        <v/>
      </c>
      <c r="H333" s="1" t="n"/>
      <c r="J333">
        <f>IF(M333="","",IF(INDEX(Settings!$C$10:$C$18,M333)="","",INDEX(Settings!$C$10:$C$18,M333)))</f>
        <v/>
      </c>
      <c r="K333">
        <f>IF(M333="","",IF(INDEX(Settings!$D$10:$D$18,M333)="","",INDEX(Settings!$D$10:$D$18,M333)))</f>
        <v/>
      </c>
      <c r="L333">
        <f>IF(OR(B333="",E333=""),"",B333+MOD(N(C333),1)+ROW()/10000000)</f>
        <v/>
      </c>
      <c r="M333">
        <f>IF(D333="","",IFERROR(MATCH(D333,Settings!$B$10:$B$18,0),""))</f>
        <v/>
      </c>
      <c r="N333">
        <f>IF(OR(B333="",E333="",M333=""),"",IF(AND(B333&gt;=Settings!$C$6,B333&lt;=Settings!$C$7),M333*10000+E333,""))</f>
        <v/>
      </c>
      <c r="O333">
        <f>IF(OR(B333="",E333=""),"",B333*10000+E333)</f>
        <v/>
      </c>
      <c r="P333">
        <f>IF(N333="","",E333)</f>
        <v/>
      </c>
    </row>
    <row r="334">
      <c r="A334" s="1" t="n"/>
      <c r="B334" s="20" t="n"/>
      <c r="C334" s="21" t="n"/>
      <c r="D334" s="22" t="n"/>
      <c r="E334" s="23" t="n"/>
      <c r="F334" s="22" t="n"/>
      <c r="G334" s="14">
        <f>IF(OR(B334="",E334="",J334="",K334=""),"",IF(E334&lt;J334,"Below",IF(E334&gt;K334,"Above","In range")))</f>
        <v/>
      </c>
      <c r="H334" s="1" t="n"/>
      <c r="J334">
        <f>IF(M334="","",IF(INDEX(Settings!$C$10:$C$18,M334)="","",INDEX(Settings!$C$10:$C$18,M334)))</f>
        <v/>
      </c>
      <c r="K334">
        <f>IF(M334="","",IF(INDEX(Settings!$D$10:$D$18,M334)="","",INDEX(Settings!$D$10:$D$18,M334)))</f>
        <v/>
      </c>
      <c r="L334">
        <f>IF(OR(B334="",E334=""),"",B334+MOD(N(C334),1)+ROW()/10000000)</f>
        <v/>
      </c>
      <c r="M334">
        <f>IF(D334="","",IFERROR(MATCH(D334,Settings!$B$10:$B$18,0),""))</f>
        <v/>
      </c>
      <c r="N334">
        <f>IF(OR(B334="",E334="",M334=""),"",IF(AND(B334&gt;=Settings!$C$6,B334&lt;=Settings!$C$7),M334*10000+E334,""))</f>
        <v/>
      </c>
      <c r="O334">
        <f>IF(OR(B334="",E334=""),"",B334*10000+E334)</f>
        <v/>
      </c>
      <c r="P334">
        <f>IF(N334="","",E334)</f>
        <v/>
      </c>
    </row>
    <row r="335">
      <c r="A335" s="1" t="n"/>
      <c r="B335" s="20" t="n"/>
      <c r="C335" s="21" t="n"/>
      <c r="D335" s="22" t="n"/>
      <c r="E335" s="23" t="n"/>
      <c r="F335" s="22" t="n"/>
      <c r="G335" s="14">
        <f>IF(OR(B335="",E335="",J335="",K335=""),"",IF(E335&lt;J335,"Below",IF(E335&gt;K335,"Above","In range")))</f>
        <v/>
      </c>
      <c r="H335" s="1" t="n"/>
      <c r="J335">
        <f>IF(M335="","",IF(INDEX(Settings!$C$10:$C$18,M335)="","",INDEX(Settings!$C$10:$C$18,M335)))</f>
        <v/>
      </c>
      <c r="K335">
        <f>IF(M335="","",IF(INDEX(Settings!$D$10:$D$18,M335)="","",INDEX(Settings!$D$10:$D$18,M335)))</f>
        <v/>
      </c>
      <c r="L335">
        <f>IF(OR(B335="",E335=""),"",B335+MOD(N(C335),1)+ROW()/10000000)</f>
        <v/>
      </c>
      <c r="M335">
        <f>IF(D335="","",IFERROR(MATCH(D335,Settings!$B$10:$B$18,0),""))</f>
        <v/>
      </c>
      <c r="N335">
        <f>IF(OR(B335="",E335="",M335=""),"",IF(AND(B335&gt;=Settings!$C$6,B335&lt;=Settings!$C$7),M335*10000+E335,""))</f>
        <v/>
      </c>
      <c r="O335">
        <f>IF(OR(B335="",E335=""),"",B335*10000+E335)</f>
        <v/>
      </c>
      <c r="P335">
        <f>IF(N335="","",E335)</f>
        <v/>
      </c>
    </row>
    <row r="336">
      <c r="A336" s="1" t="n"/>
      <c r="B336" s="20" t="n"/>
      <c r="C336" s="21" t="n"/>
      <c r="D336" s="22" t="n"/>
      <c r="E336" s="23" t="n"/>
      <c r="F336" s="22" t="n"/>
      <c r="G336" s="14">
        <f>IF(OR(B336="",E336="",J336="",K336=""),"",IF(E336&lt;J336,"Below",IF(E336&gt;K336,"Above","In range")))</f>
        <v/>
      </c>
      <c r="H336" s="1" t="n"/>
      <c r="J336">
        <f>IF(M336="","",IF(INDEX(Settings!$C$10:$C$18,M336)="","",INDEX(Settings!$C$10:$C$18,M336)))</f>
        <v/>
      </c>
      <c r="K336">
        <f>IF(M336="","",IF(INDEX(Settings!$D$10:$D$18,M336)="","",INDEX(Settings!$D$10:$D$18,M336)))</f>
        <v/>
      </c>
      <c r="L336">
        <f>IF(OR(B336="",E336=""),"",B336+MOD(N(C336),1)+ROW()/10000000)</f>
        <v/>
      </c>
      <c r="M336">
        <f>IF(D336="","",IFERROR(MATCH(D336,Settings!$B$10:$B$18,0),""))</f>
        <v/>
      </c>
      <c r="N336">
        <f>IF(OR(B336="",E336="",M336=""),"",IF(AND(B336&gt;=Settings!$C$6,B336&lt;=Settings!$C$7),M336*10000+E336,""))</f>
        <v/>
      </c>
      <c r="O336">
        <f>IF(OR(B336="",E336=""),"",B336*10000+E336)</f>
        <v/>
      </c>
      <c r="P336">
        <f>IF(N336="","",E336)</f>
        <v/>
      </c>
    </row>
    <row r="337">
      <c r="A337" s="1" t="n"/>
      <c r="B337" s="20" t="n"/>
      <c r="C337" s="21" t="n"/>
      <c r="D337" s="22" t="n"/>
      <c r="E337" s="23" t="n"/>
      <c r="F337" s="22" t="n"/>
      <c r="G337" s="14">
        <f>IF(OR(B337="",E337="",J337="",K337=""),"",IF(E337&lt;J337,"Below",IF(E337&gt;K337,"Above","In range")))</f>
        <v/>
      </c>
      <c r="H337" s="1" t="n"/>
      <c r="J337">
        <f>IF(M337="","",IF(INDEX(Settings!$C$10:$C$18,M337)="","",INDEX(Settings!$C$10:$C$18,M337)))</f>
        <v/>
      </c>
      <c r="K337">
        <f>IF(M337="","",IF(INDEX(Settings!$D$10:$D$18,M337)="","",INDEX(Settings!$D$10:$D$18,M337)))</f>
        <v/>
      </c>
      <c r="L337">
        <f>IF(OR(B337="",E337=""),"",B337+MOD(N(C337),1)+ROW()/10000000)</f>
        <v/>
      </c>
      <c r="M337">
        <f>IF(D337="","",IFERROR(MATCH(D337,Settings!$B$10:$B$18,0),""))</f>
        <v/>
      </c>
      <c r="N337">
        <f>IF(OR(B337="",E337="",M337=""),"",IF(AND(B337&gt;=Settings!$C$6,B337&lt;=Settings!$C$7),M337*10000+E337,""))</f>
        <v/>
      </c>
      <c r="O337">
        <f>IF(OR(B337="",E337=""),"",B337*10000+E337)</f>
        <v/>
      </c>
      <c r="P337">
        <f>IF(N337="","",E337)</f>
        <v/>
      </c>
    </row>
    <row r="338">
      <c r="A338" s="1" t="n"/>
      <c r="B338" s="20" t="n"/>
      <c r="C338" s="21" t="n"/>
      <c r="D338" s="22" t="n"/>
      <c r="E338" s="23" t="n"/>
      <c r="F338" s="22" t="n"/>
      <c r="G338" s="14">
        <f>IF(OR(B338="",E338="",J338="",K338=""),"",IF(E338&lt;J338,"Below",IF(E338&gt;K338,"Above","In range")))</f>
        <v/>
      </c>
      <c r="H338" s="1" t="n"/>
      <c r="J338">
        <f>IF(M338="","",IF(INDEX(Settings!$C$10:$C$18,M338)="","",INDEX(Settings!$C$10:$C$18,M338)))</f>
        <v/>
      </c>
      <c r="K338">
        <f>IF(M338="","",IF(INDEX(Settings!$D$10:$D$18,M338)="","",INDEX(Settings!$D$10:$D$18,M338)))</f>
        <v/>
      </c>
      <c r="L338">
        <f>IF(OR(B338="",E338=""),"",B338+MOD(N(C338),1)+ROW()/10000000)</f>
        <v/>
      </c>
      <c r="M338">
        <f>IF(D338="","",IFERROR(MATCH(D338,Settings!$B$10:$B$18,0),""))</f>
        <v/>
      </c>
      <c r="N338">
        <f>IF(OR(B338="",E338="",M338=""),"",IF(AND(B338&gt;=Settings!$C$6,B338&lt;=Settings!$C$7),M338*10000+E338,""))</f>
        <v/>
      </c>
      <c r="O338">
        <f>IF(OR(B338="",E338=""),"",B338*10000+E338)</f>
        <v/>
      </c>
      <c r="P338">
        <f>IF(N338="","",E338)</f>
        <v/>
      </c>
    </row>
    <row r="339">
      <c r="A339" s="1" t="n"/>
      <c r="B339" s="20" t="n"/>
      <c r="C339" s="21" t="n"/>
      <c r="D339" s="22" t="n"/>
      <c r="E339" s="23" t="n"/>
      <c r="F339" s="22" t="n"/>
      <c r="G339" s="14">
        <f>IF(OR(B339="",E339="",J339="",K339=""),"",IF(E339&lt;J339,"Below",IF(E339&gt;K339,"Above","In range")))</f>
        <v/>
      </c>
      <c r="H339" s="1" t="n"/>
      <c r="J339">
        <f>IF(M339="","",IF(INDEX(Settings!$C$10:$C$18,M339)="","",INDEX(Settings!$C$10:$C$18,M339)))</f>
        <v/>
      </c>
      <c r="K339">
        <f>IF(M339="","",IF(INDEX(Settings!$D$10:$D$18,M339)="","",INDEX(Settings!$D$10:$D$18,M339)))</f>
        <v/>
      </c>
      <c r="L339">
        <f>IF(OR(B339="",E339=""),"",B339+MOD(N(C339),1)+ROW()/10000000)</f>
        <v/>
      </c>
      <c r="M339">
        <f>IF(D339="","",IFERROR(MATCH(D339,Settings!$B$10:$B$18,0),""))</f>
        <v/>
      </c>
      <c r="N339">
        <f>IF(OR(B339="",E339="",M339=""),"",IF(AND(B339&gt;=Settings!$C$6,B339&lt;=Settings!$C$7),M339*10000+E339,""))</f>
        <v/>
      </c>
      <c r="O339">
        <f>IF(OR(B339="",E339=""),"",B339*10000+E339)</f>
        <v/>
      </c>
      <c r="P339">
        <f>IF(N339="","",E339)</f>
        <v/>
      </c>
    </row>
    <row r="340">
      <c r="A340" s="1" t="n"/>
      <c r="B340" s="20" t="n"/>
      <c r="C340" s="21" t="n"/>
      <c r="D340" s="22" t="n"/>
      <c r="E340" s="23" t="n"/>
      <c r="F340" s="22" t="n"/>
      <c r="G340" s="14">
        <f>IF(OR(B340="",E340="",J340="",K340=""),"",IF(E340&lt;J340,"Below",IF(E340&gt;K340,"Above","In range")))</f>
        <v/>
      </c>
      <c r="H340" s="1" t="n"/>
      <c r="J340">
        <f>IF(M340="","",IF(INDEX(Settings!$C$10:$C$18,M340)="","",INDEX(Settings!$C$10:$C$18,M340)))</f>
        <v/>
      </c>
      <c r="K340">
        <f>IF(M340="","",IF(INDEX(Settings!$D$10:$D$18,M340)="","",INDEX(Settings!$D$10:$D$18,M340)))</f>
        <v/>
      </c>
      <c r="L340">
        <f>IF(OR(B340="",E340=""),"",B340+MOD(N(C340),1)+ROW()/10000000)</f>
        <v/>
      </c>
      <c r="M340">
        <f>IF(D340="","",IFERROR(MATCH(D340,Settings!$B$10:$B$18,0),""))</f>
        <v/>
      </c>
      <c r="N340">
        <f>IF(OR(B340="",E340="",M340=""),"",IF(AND(B340&gt;=Settings!$C$6,B340&lt;=Settings!$C$7),M340*10000+E340,""))</f>
        <v/>
      </c>
      <c r="O340">
        <f>IF(OR(B340="",E340=""),"",B340*10000+E340)</f>
        <v/>
      </c>
      <c r="P340">
        <f>IF(N340="","",E340)</f>
        <v/>
      </c>
    </row>
    <row r="341">
      <c r="A341" s="1" t="n"/>
      <c r="B341" s="20" t="n"/>
      <c r="C341" s="21" t="n"/>
      <c r="D341" s="22" t="n"/>
      <c r="E341" s="23" t="n"/>
      <c r="F341" s="22" t="n"/>
      <c r="G341" s="14">
        <f>IF(OR(B341="",E341="",J341="",K341=""),"",IF(E341&lt;J341,"Below",IF(E341&gt;K341,"Above","In range")))</f>
        <v/>
      </c>
      <c r="H341" s="1" t="n"/>
      <c r="J341">
        <f>IF(M341="","",IF(INDEX(Settings!$C$10:$C$18,M341)="","",INDEX(Settings!$C$10:$C$18,M341)))</f>
        <v/>
      </c>
      <c r="K341">
        <f>IF(M341="","",IF(INDEX(Settings!$D$10:$D$18,M341)="","",INDEX(Settings!$D$10:$D$18,M341)))</f>
        <v/>
      </c>
      <c r="L341">
        <f>IF(OR(B341="",E341=""),"",B341+MOD(N(C341),1)+ROW()/10000000)</f>
        <v/>
      </c>
      <c r="M341">
        <f>IF(D341="","",IFERROR(MATCH(D341,Settings!$B$10:$B$18,0),""))</f>
        <v/>
      </c>
      <c r="N341">
        <f>IF(OR(B341="",E341="",M341=""),"",IF(AND(B341&gt;=Settings!$C$6,B341&lt;=Settings!$C$7),M341*10000+E341,""))</f>
        <v/>
      </c>
      <c r="O341">
        <f>IF(OR(B341="",E341=""),"",B341*10000+E341)</f>
        <v/>
      </c>
      <c r="P341">
        <f>IF(N341="","",E341)</f>
        <v/>
      </c>
    </row>
    <row r="342">
      <c r="A342" s="1" t="n"/>
      <c r="B342" s="20" t="n"/>
      <c r="C342" s="21" t="n"/>
      <c r="D342" s="22" t="n"/>
      <c r="E342" s="23" t="n"/>
      <c r="F342" s="22" t="n"/>
      <c r="G342" s="14">
        <f>IF(OR(B342="",E342="",J342="",K342=""),"",IF(E342&lt;J342,"Below",IF(E342&gt;K342,"Above","In range")))</f>
        <v/>
      </c>
      <c r="H342" s="1" t="n"/>
      <c r="J342">
        <f>IF(M342="","",IF(INDEX(Settings!$C$10:$C$18,M342)="","",INDEX(Settings!$C$10:$C$18,M342)))</f>
        <v/>
      </c>
      <c r="K342">
        <f>IF(M342="","",IF(INDEX(Settings!$D$10:$D$18,M342)="","",INDEX(Settings!$D$10:$D$18,M342)))</f>
        <v/>
      </c>
      <c r="L342">
        <f>IF(OR(B342="",E342=""),"",B342+MOD(N(C342),1)+ROW()/10000000)</f>
        <v/>
      </c>
      <c r="M342">
        <f>IF(D342="","",IFERROR(MATCH(D342,Settings!$B$10:$B$18,0),""))</f>
        <v/>
      </c>
      <c r="N342">
        <f>IF(OR(B342="",E342="",M342=""),"",IF(AND(B342&gt;=Settings!$C$6,B342&lt;=Settings!$C$7),M342*10000+E342,""))</f>
        <v/>
      </c>
      <c r="O342">
        <f>IF(OR(B342="",E342=""),"",B342*10000+E342)</f>
        <v/>
      </c>
      <c r="P342">
        <f>IF(N342="","",E342)</f>
        <v/>
      </c>
    </row>
    <row r="343">
      <c r="A343" s="1" t="n"/>
      <c r="B343" s="20" t="n"/>
      <c r="C343" s="21" t="n"/>
      <c r="D343" s="22" t="n"/>
      <c r="E343" s="23" t="n"/>
      <c r="F343" s="22" t="n"/>
      <c r="G343" s="14">
        <f>IF(OR(B343="",E343="",J343="",K343=""),"",IF(E343&lt;J343,"Below",IF(E343&gt;K343,"Above","In range")))</f>
        <v/>
      </c>
      <c r="H343" s="1" t="n"/>
      <c r="J343">
        <f>IF(M343="","",IF(INDEX(Settings!$C$10:$C$18,M343)="","",INDEX(Settings!$C$10:$C$18,M343)))</f>
        <v/>
      </c>
      <c r="K343">
        <f>IF(M343="","",IF(INDEX(Settings!$D$10:$D$18,M343)="","",INDEX(Settings!$D$10:$D$18,M343)))</f>
        <v/>
      </c>
      <c r="L343">
        <f>IF(OR(B343="",E343=""),"",B343+MOD(N(C343),1)+ROW()/10000000)</f>
        <v/>
      </c>
      <c r="M343">
        <f>IF(D343="","",IFERROR(MATCH(D343,Settings!$B$10:$B$18,0),""))</f>
        <v/>
      </c>
      <c r="N343">
        <f>IF(OR(B343="",E343="",M343=""),"",IF(AND(B343&gt;=Settings!$C$6,B343&lt;=Settings!$C$7),M343*10000+E343,""))</f>
        <v/>
      </c>
      <c r="O343">
        <f>IF(OR(B343="",E343=""),"",B343*10000+E343)</f>
        <v/>
      </c>
      <c r="P343">
        <f>IF(N343="","",E343)</f>
        <v/>
      </c>
    </row>
    <row r="344">
      <c r="A344" s="1" t="n"/>
      <c r="B344" s="20" t="n"/>
      <c r="C344" s="21" t="n"/>
      <c r="D344" s="22" t="n"/>
      <c r="E344" s="23" t="n"/>
      <c r="F344" s="22" t="n"/>
      <c r="G344" s="14">
        <f>IF(OR(B344="",E344="",J344="",K344=""),"",IF(E344&lt;J344,"Below",IF(E344&gt;K344,"Above","In range")))</f>
        <v/>
      </c>
      <c r="H344" s="1" t="n"/>
      <c r="J344">
        <f>IF(M344="","",IF(INDEX(Settings!$C$10:$C$18,M344)="","",INDEX(Settings!$C$10:$C$18,M344)))</f>
        <v/>
      </c>
      <c r="K344">
        <f>IF(M344="","",IF(INDEX(Settings!$D$10:$D$18,M344)="","",INDEX(Settings!$D$10:$D$18,M344)))</f>
        <v/>
      </c>
      <c r="L344">
        <f>IF(OR(B344="",E344=""),"",B344+MOD(N(C344),1)+ROW()/10000000)</f>
        <v/>
      </c>
      <c r="M344">
        <f>IF(D344="","",IFERROR(MATCH(D344,Settings!$B$10:$B$18,0),""))</f>
        <v/>
      </c>
      <c r="N344">
        <f>IF(OR(B344="",E344="",M344=""),"",IF(AND(B344&gt;=Settings!$C$6,B344&lt;=Settings!$C$7),M344*10000+E344,""))</f>
        <v/>
      </c>
      <c r="O344">
        <f>IF(OR(B344="",E344=""),"",B344*10000+E344)</f>
        <v/>
      </c>
      <c r="P344">
        <f>IF(N344="","",E344)</f>
        <v/>
      </c>
    </row>
    <row r="345">
      <c r="A345" s="1" t="n"/>
      <c r="B345" s="20" t="n"/>
      <c r="C345" s="21" t="n"/>
      <c r="D345" s="22" t="n"/>
      <c r="E345" s="23" t="n"/>
      <c r="F345" s="22" t="n"/>
      <c r="G345" s="14">
        <f>IF(OR(B345="",E345="",J345="",K345=""),"",IF(E345&lt;J345,"Below",IF(E345&gt;K345,"Above","In range")))</f>
        <v/>
      </c>
      <c r="H345" s="1" t="n"/>
      <c r="J345">
        <f>IF(M345="","",IF(INDEX(Settings!$C$10:$C$18,M345)="","",INDEX(Settings!$C$10:$C$18,M345)))</f>
        <v/>
      </c>
      <c r="K345">
        <f>IF(M345="","",IF(INDEX(Settings!$D$10:$D$18,M345)="","",INDEX(Settings!$D$10:$D$18,M345)))</f>
        <v/>
      </c>
      <c r="L345">
        <f>IF(OR(B345="",E345=""),"",B345+MOD(N(C345),1)+ROW()/10000000)</f>
        <v/>
      </c>
      <c r="M345">
        <f>IF(D345="","",IFERROR(MATCH(D345,Settings!$B$10:$B$18,0),""))</f>
        <v/>
      </c>
      <c r="N345">
        <f>IF(OR(B345="",E345="",M345=""),"",IF(AND(B345&gt;=Settings!$C$6,B345&lt;=Settings!$C$7),M345*10000+E345,""))</f>
        <v/>
      </c>
      <c r="O345">
        <f>IF(OR(B345="",E345=""),"",B345*10000+E345)</f>
        <v/>
      </c>
      <c r="P345">
        <f>IF(N345="","",E345)</f>
        <v/>
      </c>
    </row>
    <row r="346">
      <c r="A346" s="1" t="n"/>
      <c r="B346" s="20" t="n"/>
      <c r="C346" s="21" t="n"/>
      <c r="D346" s="22" t="n"/>
      <c r="E346" s="23" t="n"/>
      <c r="F346" s="22" t="n"/>
      <c r="G346" s="14">
        <f>IF(OR(B346="",E346="",J346="",K346=""),"",IF(E346&lt;J346,"Below",IF(E346&gt;K346,"Above","In range")))</f>
        <v/>
      </c>
      <c r="H346" s="1" t="n"/>
      <c r="J346">
        <f>IF(M346="","",IF(INDEX(Settings!$C$10:$C$18,M346)="","",INDEX(Settings!$C$10:$C$18,M346)))</f>
        <v/>
      </c>
      <c r="K346">
        <f>IF(M346="","",IF(INDEX(Settings!$D$10:$D$18,M346)="","",INDEX(Settings!$D$10:$D$18,M346)))</f>
        <v/>
      </c>
      <c r="L346">
        <f>IF(OR(B346="",E346=""),"",B346+MOD(N(C346),1)+ROW()/10000000)</f>
        <v/>
      </c>
      <c r="M346">
        <f>IF(D346="","",IFERROR(MATCH(D346,Settings!$B$10:$B$18,0),""))</f>
        <v/>
      </c>
      <c r="N346">
        <f>IF(OR(B346="",E346="",M346=""),"",IF(AND(B346&gt;=Settings!$C$6,B346&lt;=Settings!$C$7),M346*10000+E346,""))</f>
        <v/>
      </c>
      <c r="O346">
        <f>IF(OR(B346="",E346=""),"",B346*10000+E346)</f>
        <v/>
      </c>
      <c r="P346">
        <f>IF(N346="","",E346)</f>
        <v/>
      </c>
    </row>
    <row r="347">
      <c r="A347" s="1" t="n"/>
      <c r="B347" s="20" t="n"/>
      <c r="C347" s="21" t="n"/>
      <c r="D347" s="22" t="n"/>
      <c r="E347" s="23" t="n"/>
      <c r="F347" s="22" t="n"/>
      <c r="G347" s="14">
        <f>IF(OR(B347="",E347="",J347="",K347=""),"",IF(E347&lt;J347,"Below",IF(E347&gt;K347,"Above","In range")))</f>
        <v/>
      </c>
      <c r="H347" s="1" t="n"/>
      <c r="J347">
        <f>IF(M347="","",IF(INDEX(Settings!$C$10:$C$18,M347)="","",INDEX(Settings!$C$10:$C$18,M347)))</f>
        <v/>
      </c>
      <c r="K347">
        <f>IF(M347="","",IF(INDEX(Settings!$D$10:$D$18,M347)="","",INDEX(Settings!$D$10:$D$18,M347)))</f>
        <v/>
      </c>
      <c r="L347">
        <f>IF(OR(B347="",E347=""),"",B347+MOD(N(C347),1)+ROW()/10000000)</f>
        <v/>
      </c>
      <c r="M347">
        <f>IF(D347="","",IFERROR(MATCH(D347,Settings!$B$10:$B$18,0),""))</f>
        <v/>
      </c>
      <c r="N347">
        <f>IF(OR(B347="",E347="",M347=""),"",IF(AND(B347&gt;=Settings!$C$6,B347&lt;=Settings!$C$7),M347*10000+E347,""))</f>
        <v/>
      </c>
      <c r="O347">
        <f>IF(OR(B347="",E347=""),"",B347*10000+E347)</f>
        <v/>
      </c>
      <c r="P347">
        <f>IF(N347="","",E347)</f>
        <v/>
      </c>
    </row>
    <row r="348">
      <c r="A348" s="1" t="n"/>
      <c r="B348" s="20" t="n"/>
      <c r="C348" s="21" t="n"/>
      <c r="D348" s="22" t="n"/>
      <c r="E348" s="23" t="n"/>
      <c r="F348" s="22" t="n"/>
      <c r="G348" s="14">
        <f>IF(OR(B348="",E348="",J348="",K348=""),"",IF(E348&lt;J348,"Below",IF(E348&gt;K348,"Above","In range")))</f>
        <v/>
      </c>
      <c r="H348" s="1" t="n"/>
      <c r="J348">
        <f>IF(M348="","",IF(INDEX(Settings!$C$10:$C$18,M348)="","",INDEX(Settings!$C$10:$C$18,M348)))</f>
        <v/>
      </c>
      <c r="K348">
        <f>IF(M348="","",IF(INDEX(Settings!$D$10:$D$18,M348)="","",INDEX(Settings!$D$10:$D$18,M348)))</f>
        <v/>
      </c>
      <c r="L348">
        <f>IF(OR(B348="",E348=""),"",B348+MOD(N(C348),1)+ROW()/10000000)</f>
        <v/>
      </c>
      <c r="M348">
        <f>IF(D348="","",IFERROR(MATCH(D348,Settings!$B$10:$B$18,0),""))</f>
        <v/>
      </c>
      <c r="N348">
        <f>IF(OR(B348="",E348="",M348=""),"",IF(AND(B348&gt;=Settings!$C$6,B348&lt;=Settings!$C$7),M348*10000+E348,""))</f>
        <v/>
      </c>
      <c r="O348">
        <f>IF(OR(B348="",E348=""),"",B348*10000+E348)</f>
        <v/>
      </c>
      <c r="P348">
        <f>IF(N348="","",E348)</f>
        <v/>
      </c>
    </row>
    <row r="349">
      <c r="A349" s="1" t="n"/>
      <c r="B349" s="20" t="n"/>
      <c r="C349" s="21" t="n"/>
      <c r="D349" s="22" t="n"/>
      <c r="E349" s="23" t="n"/>
      <c r="F349" s="22" t="n"/>
      <c r="G349" s="14">
        <f>IF(OR(B349="",E349="",J349="",K349=""),"",IF(E349&lt;J349,"Below",IF(E349&gt;K349,"Above","In range")))</f>
        <v/>
      </c>
      <c r="H349" s="1" t="n"/>
      <c r="J349">
        <f>IF(M349="","",IF(INDEX(Settings!$C$10:$C$18,M349)="","",INDEX(Settings!$C$10:$C$18,M349)))</f>
        <v/>
      </c>
      <c r="K349">
        <f>IF(M349="","",IF(INDEX(Settings!$D$10:$D$18,M349)="","",INDEX(Settings!$D$10:$D$18,M349)))</f>
        <v/>
      </c>
      <c r="L349">
        <f>IF(OR(B349="",E349=""),"",B349+MOD(N(C349),1)+ROW()/10000000)</f>
        <v/>
      </c>
      <c r="M349">
        <f>IF(D349="","",IFERROR(MATCH(D349,Settings!$B$10:$B$18,0),""))</f>
        <v/>
      </c>
      <c r="N349">
        <f>IF(OR(B349="",E349="",M349=""),"",IF(AND(B349&gt;=Settings!$C$6,B349&lt;=Settings!$C$7),M349*10000+E349,""))</f>
        <v/>
      </c>
      <c r="O349">
        <f>IF(OR(B349="",E349=""),"",B349*10000+E349)</f>
        <v/>
      </c>
      <c r="P349">
        <f>IF(N349="","",E349)</f>
        <v/>
      </c>
    </row>
    <row r="350">
      <c r="A350" s="1" t="n"/>
      <c r="B350" s="20" t="n"/>
      <c r="C350" s="21" t="n"/>
      <c r="D350" s="22" t="n"/>
      <c r="E350" s="23" t="n"/>
      <c r="F350" s="22" t="n"/>
      <c r="G350" s="14">
        <f>IF(OR(B350="",E350="",J350="",K350=""),"",IF(E350&lt;J350,"Below",IF(E350&gt;K350,"Above","In range")))</f>
        <v/>
      </c>
      <c r="H350" s="1" t="n"/>
      <c r="J350">
        <f>IF(M350="","",IF(INDEX(Settings!$C$10:$C$18,M350)="","",INDEX(Settings!$C$10:$C$18,M350)))</f>
        <v/>
      </c>
      <c r="K350">
        <f>IF(M350="","",IF(INDEX(Settings!$D$10:$D$18,M350)="","",INDEX(Settings!$D$10:$D$18,M350)))</f>
        <v/>
      </c>
      <c r="L350">
        <f>IF(OR(B350="",E350=""),"",B350+MOD(N(C350),1)+ROW()/10000000)</f>
        <v/>
      </c>
      <c r="M350">
        <f>IF(D350="","",IFERROR(MATCH(D350,Settings!$B$10:$B$18,0),""))</f>
        <v/>
      </c>
      <c r="N350">
        <f>IF(OR(B350="",E350="",M350=""),"",IF(AND(B350&gt;=Settings!$C$6,B350&lt;=Settings!$C$7),M350*10000+E350,""))</f>
        <v/>
      </c>
      <c r="O350">
        <f>IF(OR(B350="",E350=""),"",B350*10000+E350)</f>
        <v/>
      </c>
      <c r="P350">
        <f>IF(N350="","",E350)</f>
        <v/>
      </c>
    </row>
    <row r="351">
      <c r="A351" s="1" t="n"/>
      <c r="B351" s="20" t="n"/>
      <c r="C351" s="21" t="n"/>
      <c r="D351" s="22" t="n"/>
      <c r="E351" s="23" t="n"/>
      <c r="F351" s="22" t="n"/>
      <c r="G351" s="14">
        <f>IF(OR(B351="",E351="",J351="",K351=""),"",IF(E351&lt;J351,"Below",IF(E351&gt;K351,"Above","In range")))</f>
        <v/>
      </c>
      <c r="H351" s="1" t="n"/>
      <c r="J351">
        <f>IF(M351="","",IF(INDEX(Settings!$C$10:$C$18,M351)="","",INDEX(Settings!$C$10:$C$18,M351)))</f>
        <v/>
      </c>
      <c r="K351">
        <f>IF(M351="","",IF(INDEX(Settings!$D$10:$D$18,M351)="","",INDEX(Settings!$D$10:$D$18,M351)))</f>
        <v/>
      </c>
      <c r="L351">
        <f>IF(OR(B351="",E351=""),"",B351+MOD(N(C351),1)+ROW()/10000000)</f>
        <v/>
      </c>
      <c r="M351">
        <f>IF(D351="","",IFERROR(MATCH(D351,Settings!$B$10:$B$18,0),""))</f>
        <v/>
      </c>
      <c r="N351">
        <f>IF(OR(B351="",E351="",M351=""),"",IF(AND(B351&gt;=Settings!$C$6,B351&lt;=Settings!$C$7),M351*10000+E351,""))</f>
        <v/>
      </c>
      <c r="O351">
        <f>IF(OR(B351="",E351=""),"",B351*10000+E351)</f>
        <v/>
      </c>
      <c r="P351">
        <f>IF(N351="","",E351)</f>
        <v/>
      </c>
    </row>
    <row r="352">
      <c r="A352" s="1" t="n"/>
      <c r="B352" s="20" t="n"/>
      <c r="C352" s="21" t="n"/>
      <c r="D352" s="22" t="n"/>
      <c r="E352" s="23" t="n"/>
      <c r="F352" s="22" t="n"/>
      <c r="G352" s="14">
        <f>IF(OR(B352="",E352="",J352="",K352=""),"",IF(E352&lt;J352,"Below",IF(E352&gt;K352,"Above","In range")))</f>
        <v/>
      </c>
      <c r="H352" s="1" t="n"/>
      <c r="J352">
        <f>IF(M352="","",IF(INDEX(Settings!$C$10:$C$18,M352)="","",INDEX(Settings!$C$10:$C$18,M352)))</f>
        <v/>
      </c>
      <c r="K352">
        <f>IF(M352="","",IF(INDEX(Settings!$D$10:$D$18,M352)="","",INDEX(Settings!$D$10:$D$18,M352)))</f>
        <v/>
      </c>
      <c r="L352">
        <f>IF(OR(B352="",E352=""),"",B352+MOD(N(C352),1)+ROW()/10000000)</f>
        <v/>
      </c>
      <c r="M352">
        <f>IF(D352="","",IFERROR(MATCH(D352,Settings!$B$10:$B$18,0),""))</f>
        <v/>
      </c>
      <c r="N352">
        <f>IF(OR(B352="",E352="",M352=""),"",IF(AND(B352&gt;=Settings!$C$6,B352&lt;=Settings!$C$7),M352*10000+E352,""))</f>
        <v/>
      </c>
      <c r="O352">
        <f>IF(OR(B352="",E352=""),"",B352*10000+E352)</f>
        <v/>
      </c>
      <c r="P352">
        <f>IF(N352="","",E352)</f>
        <v/>
      </c>
    </row>
    <row r="353">
      <c r="A353" s="1" t="n"/>
      <c r="B353" s="20" t="n"/>
      <c r="C353" s="21" t="n"/>
      <c r="D353" s="22" t="n"/>
      <c r="E353" s="23" t="n"/>
      <c r="F353" s="22" t="n"/>
      <c r="G353" s="14">
        <f>IF(OR(B353="",E353="",J353="",K353=""),"",IF(E353&lt;J353,"Below",IF(E353&gt;K353,"Above","In range")))</f>
        <v/>
      </c>
      <c r="H353" s="1" t="n"/>
      <c r="J353">
        <f>IF(M353="","",IF(INDEX(Settings!$C$10:$C$18,M353)="","",INDEX(Settings!$C$10:$C$18,M353)))</f>
        <v/>
      </c>
      <c r="K353">
        <f>IF(M353="","",IF(INDEX(Settings!$D$10:$D$18,M353)="","",INDEX(Settings!$D$10:$D$18,M353)))</f>
        <v/>
      </c>
      <c r="L353">
        <f>IF(OR(B353="",E353=""),"",B353+MOD(N(C353),1)+ROW()/10000000)</f>
        <v/>
      </c>
      <c r="M353">
        <f>IF(D353="","",IFERROR(MATCH(D353,Settings!$B$10:$B$18,0),""))</f>
        <v/>
      </c>
      <c r="N353">
        <f>IF(OR(B353="",E353="",M353=""),"",IF(AND(B353&gt;=Settings!$C$6,B353&lt;=Settings!$C$7),M353*10000+E353,""))</f>
        <v/>
      </c>
      <c r="O353">
        <f>IF(OR(B353="",E353=""),"",B353*10000+E353)</f>
        <v/>
      </c>
      <c r="P353">
        <f>IF(N353="","",E353)</f>
        <v/>
      </c>
    </row>
    <row r="354">
      <c r="A354" s="1" t="n"/>
      <c r="B354" s="20" t="n"/>
      <c r="C354" s="21" t="n"/>
      <c r="D354" s="22" t="n"/>
      <c r="E354" s="23" t="n"/>
      <c r="F354" s="22" t="n"/>
      <c r="G354" s="14">
        <f>IF(OR(B354="",E354="",J354="",K354=""),"",IF(E354&lt;J354,"Below",IF(E354&gt;K354,"Above","In range")))</f>
        <v/>
      </c>
      <c r="H354" s="1" t="n"/>
      <c r="J354">
        <f>IF(M354="","",IF(INDEX(Settings!$C$10:$C$18,M354)="","",INDEX(Settings!$C$10:$C$18,M354)))</f>
        <v/>
      </c>
      <c r="K354">
        <f>IF(M354="","",IF(INDEX(Settings!$D$10:$D$18,M354)="","",INDEX(Settings!$D$10:$D$18,M354)))</f>
        <v/>
      </c>
      <c r="L354">
        <f>IF(OR(B354="",E354=""),"",B354+MOD(N(C354),1)+ROW()/10000000)</f>
        <v/>
      </c>
      <c r="M354">
        <f>IF(D354="","",IFERROR(MATCH(D354,Settings!$B$10:$B$18,0),""))</f>
        <v/>
      </c>
      <c r="N354">
        <f>IF(OR(B354="",E354="",M354=""),"",IF(AND(B354&gt;=Settings!$C$6,B354&lt;=Settings!$C$7),M354*10000+E354,""))</f>
        <v/>
      </c>
      <c r="O354">
        <f>IF(OR(B354="",E354=""),"",B354*10000+E354)</f>
        <v/>
      </c>
      <c r="P354">
        <f>IF(N354="","",E354)</f>
        <v/>
      </c>
    </row>
    <row r="355">
      <c r="A355" s="1" t="n"/>
      <c r="B355" s="20" t="n"/>
      <c r="C355" s="21" t="n"/>
      <c r="D355" s="22" t="n"/>
      <c r="E355" s="23" t="n"/>
      <c r="F355" s="22" t="n"/>
      <c r="G355" s="14">
        <f>IF(OR(B355="",E355="",J355="",K355=""),"",IF(E355&lt;J355,"Below",IF(E355&gt;K355,"Above","In range")))</f>
        <v/>
      </c>
      <c r="H355" s="1" t="n"/>
      <c r="J355">
        <f>IF(M355="","",IF(INDEX(Settings!$C$10:$C$18,M355)="","",INDEX(Settings!$C$10:$C$18,M355)))</f>
        <v/>
      </c>
      <c r="K355">
        <f>IF(M355="","",IF(INDEX(Settings!$D$10:$D$18,M355)="","",INDEX(Settings!$D$10:$D$18,M355)))</f>
        <v/>
      </c>
      <c r="L355">
        <f>IF(OR(B355="",E355=""),"",B355+MOD(N(C355),1)+ROW()/10000000)</f>
        <v/>
      </c>
      <c r="M355">
        <f>IF(D355="","",IFERROR(MATCH(D355,Settings!$B$10:$B$18,0),""))</f>
        <v/>
      </c>
      <c r="N355">
        <f>IF(OR(B355="",E355="",M355=""),"",IF(AND(B355&gt;=Settings!$C$6,B355&lt;=Settings!$C$7),M355*10000+E355,""))</f>
        <v/>
      </c>
      <c r="O355">
        <f>IF(OR(B355="",E355=""),"",B355*10000+E355)</f>
        <v/>
      </c>
      <c r="P355">
        <f>IF(N355="","",E355)</f>
        <v/>
      </c>
    </row>
    <row r="356">
      <c r="A356" s="1" t="n"/>
      <c r="B356" s="20" t="n"/>
      <c r="C356" s="21" t="n"/>
      <c r="D356" s="22" t="n"/>
      <c r="E356" s="23" t="n"/>
      <c r="F356" s="22" t="n"/>
      <c r="G356" s="14">
        <f>IF(OR(B356="",E356="",J356="",K356=""),"",IF(E356&lt;J356,"Below",IF(E356&gt;K356,"Above","In range")))</f>
        <v/>
      </c>
      <c r="H356" s="1" t="n"/>
      <c r="J356">
        <f>IF(M356="","",IF(INDEX(Settings!$C$10:$C$18,M356)="","",INDEX(Settings!$C$10:$C$18,M356)))</f>
        <v/>
      </c>
      <c r="K356">
        <f>IF(M356="","",IF(INDEX(Settings!$D$10:$D$18,M356)="","",INDEX(Settings!$D$10:$D$18,M356)))</f>
        <v/>
      </c>
      <c r="L356">
        <f>IF(OR(B356="",E356=""),"",B356+MOD(N(C356),1)+ROW()/10000000)</f>
        <v/>
      </c>
      <c r="M356">
        <f>IF(D356="","",IFERROR(MATCH(D356,Settings!$B$10:$B$18,0),""))</f>
        <v/>
      </c>
      <c r="N356">
        <f>IF(OR(B356="",E356="",M356=""),"",IF(AND(B356&gt;=Settings!$C$6,B356&lt;=Settings!$C$7),M356*10000+E356,""))</f>
        <v/>
      </c>
      <c r="O356">
        <f>IF(OR(B356="",E356=""),"",B356*10000+E356)</f>
        <v/>
      </c>
      <c r="P356">
        <f>IF(N356="","",E356)</f>
        <v/>
      </c>
    </row>
    <row r="357">
      <c r="A357" s="1" t="n"/>
      <c r="B357" s="20" t="n"/>
      <c r="C357" s="21" t="n"/>
      <c r="D357" s="22" t="n"/>
      <c r="E357" s="23" t="n"/>
      <c r="F357" s="22" t="n"/>
      <c r="G357" s="14">
        <f>IF(OR(B357="",E357="",J357="",K357=""),"",IF(E357&lt;J357,"Below",IF(E357&gt;K357,"Above","In range")))</f>
        <v/>
      </c>
      <c r="H357" s="1" t="n"/>
      <c r="J357">
        <f>IF(M357="","",IF(INDEX(Settings!$C$10:$C$18,M357)="","",INDEX(Settings!$C$10:$C$18,M357)))</f>
        <v/>
      </c>
      <c r="K357">
        <f>IF(M357="","",IF(INDEX(Settings!$D$10:$D$18,M357)="","",INDEX(Settings!$D$10:$D$18,M357)))</f>
        <v/>
      </c>
      <c r="L357">
        <f>IF(OR(B357="",E357=""),"",B357+MOD(N(C357),1)+ROW()/10000000)</f>
        <v/>
      </c>
      <c r="M357">
        <f>IF(D357="","",IFERROR(MATCH(D357,Settings!$B$10:$B$18,0),""))</f>
        <v/>
      </c>
      <c r="N357">
        <f>IF(OR(B357="",E357="",M357=""),"",IF(AND(B357&gt;=Settings!$C$6,B357&lt;=Settings!$C$7),M357*10000+E357,""))</f>
        <v/>
      </c>
      <c r="O357">
        <f>IF(OR(B357="",E357=""),"",B357*10000+E357)</f>
        <v/>
      </c>
      <c r="P357">
        <f>IF(N357="","",E357)</f>
        <v/>
      </c>
    </row>
    <row r="358">
      <c r="A358" s="1" t="n"/>
      <c r="B358" s="20" t="n"/>
      <c r="C358" s="21" t="n"/>
      <c r="D358" s="22" t="n"/>
      <c r="E358" s="23" t="n"/>
      <c r="F358" s="22" t="n"/>
      <c r="G358" s="14">
        <f>IF(OR(B358="",E358="",J358="",K358=""),"",IF(E358&lt;J358,"Below",IF(E358&gt;K358,"Above","In range")))</f>
        <v/>
      </c>
      <c r="H358" s="1" t="n"/>
      <c r="J358">
        <f>IF(M358="","",IF(INDEX(Settings!$C$10:$C$18,M358)="","",INDEX(Settings!$C$10:$C$18,M358)))</f>
        <v/>
      </c>
      <c r="K358">
        <f>IF(M358="","",IF(INDEX(Settings!$D$10:$D$18,M358)="","",INDEX(Settings!$D$10:$D$18,M358)))</f>
        <v/>
      </c>
      <c r="L358">
        <f>IF(OR(B358="",E358=""),"",B358+MOD(N(C358),1)+ROW()/10000000)</f>
        <v/>
      </c>
      <c r="M358">
        <f>IF(D358="","",IFERROR(MATCH(D358,Settings!$B$10:$B$18,0),""))</f>
        <v/>
      </c>
      <c r="N358">
        <f>IF(OR(B358="",E358="",M358=""),"",IF(AND(B358&gt;=Settings!$C$6,B358&lt;=Settings!$C$7),M358*10000+E358,""))</f>
        <v/>
      </c>
      <c r="O358">
        <f>IF(OR(B358="",E358=""),"",B358*10000+E358)</f>
        <v/>
      </c>
      <c r="P358">
        <f>IF(N358="","",E358)</f>
        <v/>
      </c>
    </row>
    <row r="359">
      <c r="A359" s="1" t="n"/>
      <c r="B359" s="20" t="n"/>
      <c r="C359" s="21" t="n"/>
      <c r="D359" s="22" t="n"/>
      <c r="E359" s="23" t="n"/>
      <c r="F359" s="22" t="n"/>
      <c r="G359" s="14">
        <f>IF(OR(B359="",E359="",J359="",K359=""),"",IF(E359&lt;J359,"Below",IF(E359&gt;K359,"Above","In range")))</f>
        <v/>
      </c>
      <c r="H359" s="1" t="n"/>
      <c r="J359">
        <f>IF(M359="","",IF(INDEX(Settings!$C$10:$C$18,M359)="","",INDEX(Settings!$C$10:$C$18,M359)))</f>
        <v/>
      </c>
      <c r="K359">
        <f>IF(M359="","",IF(INDEX(Settings!$D$10:$D$18,M359)="","",INDEX(Settings!$D$10:$D$18,M359)))</f>
        <v/>
      </c>
      <c r="L359">
        <f>IF(OR(B359="",E359=""),"",B359+MOD(N(C359),1)+ROW()/10000000)</f>
        <v/>
      </c>
      <c r="M359">
        <f>IF(D359="","",IFERROR(MATCH(D359,Settings!$B$10:$B$18,0),""))</f>
        <v/>
      </c>
      <c r="N359">
        <f>IF(OR(B359="",E359="",M359=""),"",IF(AND(B359&gt;=Settings!$C$6,B359&lt;=Settings!$C$7),M359*10000+E359,""))</f>
        <v/>
      </c>
      <c r="O359">
        <f>IF(OR(B359="",E359=""),"",B359*10000+E359)</f>
        <v/>
      </c>
      <c r="P359">
        <f>IF(N359="","",E359)</f>
        <v/>
      </c>
    </row>
    <row r="360">
      <c r="A360" s="1" t="n"/>
      <c r="B360" s="20" t="n"/>
      <c r="C360" s="21" t="n"/>
      <c r="D360" s="22" t="n"/>
      <c r="E360" s="23" t="n"/>
      <c r="F360" s="22" t="n"/>
      <c r="G360" s="14">
        <f>IF(OR(B360="",E360="",J360="",K360=""),"",IF(E360&lt;J360,"Below",IF(E360&gt;K360,"Above","In range")))</f>
        <v/>
      </c>
      <c r="H360" s="1" t="n"/>
      <c r="J360">
        <f>IF(M360="","",IF(INDEX(Settings!$C$10:$C$18,M360)="","",INDEX(Settings!$C$10:$C$18,M360)))</f>
        <v/>
      </c>
      <c r="K360">
        <f>IF(M360="","",IF(INDEX(Settings!$D$10:$D$18,M360)="","",INDEX(Settings!$D$10:$D$18,M360)))</f>
        <v/>
      </c>
      <c r="L360">
        <f>IF(OR(B360="",E360=""),"",B360+MOD(N(C360),1)+ROW()/10000000)</f>
        <v/>
      </c>
      <c r="M360">
        <f>IF(D360="","",IFERROR(MATCH(D360,Settings!$B$10:$B$18,0),""))</f>
        <v/>
      </c>
      <c r="N360">
        <f>IF(OR(B360="",E360="",M360=""),"",IF(AND(B360&gt;=Settings!$C$6,B360&lt;=Settings!$C$7),M360*10000+E360,""))</f>
        <v/>
      </c>
      <c r="O360">
        <f>IF(OR(B360="",E360=""),"",B360*10000+E360)</f>
        <v/>
      </c>
      <c r="P360">
        <f>IF(N360="","",E360)</f>
        <v/>
      </c>
    </row>
    <row r="361">
      <c r="A361" s="1" t="n"/>
      <c r="B361" s="20" t="n"/>
      <c r="C361" s="21" t="n"/>
      <c r="D361" s="22" t="n"/>
      <c r="E361" s="23" t="n"/>
      <c r="F361" s="22" t="n"/>
      <c r="G361" s="14">
        <f>IF(OR(B361="",E361="",J361="",K361=""),"",IF(E361&lt;J361,"Below",IF(E361&gt;K361,"Above","In range")))</f>
        <v/>
      </c>
      <c r="H361" s="1" t="n"/>
      <c r="J361">
        <f>IF(M361="","",IF(INDEX(Settings!$C$10:$C$18,M361)="","",INDEX(Settings!$C$10:$C$18,M361)))</f>
        <v/>
      </c>
      <c r="K361">
        <f>IF(M361="","",IF(INDEX(Settings!$D$10:$D$18,M361)="","",INDEX(Settings!$D$10:$D$18,M361)))</f>
        <v/>
      </c>
      <c r="L361">
        <f>IF(OR(B361="",E361=""),"",B361+MOD(N(C361),1)+ROW()/10000000)</f>
        <v/>
      </c>
      <c r="M361">
        <f>IF(D361="","",IFERROR(MATCH(D361,Settings!$B$10:$B$18,0),""))</f>
        <v/>
      </c>
      <c r="N361">
        <f>IF(OR(B361="",E361="",M361=""),"",IF(AND(B361&gt;=Settings!$C$6,B361&lt;=Settings!$C$7),M361*10000+E361,""))</f>
        <v/>
      </c>
      <c r="O361">
        <f>IF(OR(B361="",E361=""),"",B361*10000+E361)</f>
        <v/>
      </c>
      <c r="P361">
        <f>IF(N361="","",E361)</f>
        <v/>
      </c>
    </row>
    <row r="362">
      <c r="A362" s="1" t="n"/>
      <c r="B362" s="20" t="n"/>
      <c r="C362" s="21" t="n"/>
      <c r="D362" s="22" t="n"/>
      <c r="E362" s="23" t="n"/>
      <c r="F362" s="22" t="n"/>
      <c r="G362" s="14">
        <f>IF(OR(B362="",E362="",J362="",K362=""),"",IF(E362&lt;J362,"Below",IF(E362&gt;K362,"Above","In range")))</f>
        <v/>
      </c>
      <c r="H362" s="1" t="n"/>
      <c r="J362">
        <f>IF(M362="","",IF(INDEX(Settings!$C$10:$C$18,M362)="","",INDEX(Settings!$C$10:$C$18,M362)))</f>
        <v/>
      </c>
      <c r="K362">
        <f>IF(M362="","",IF(INDEX(Settings!$D$10:$D$18,M362)="","",INDEX(Settings!$D$10:$D$18,M362)))</f>
        <v/>
      </c>
      <c r="L362">
        <f>IF(OR(B362="",E362=""),"",B362+MOD(N(C362),1)+ROW()/10000000)</f>
        <v/>
      </c>
      <c r="M362">
        <f>IF(D362="","",IFERROR(MATCH(D362,Settings!$B$10:$B$18,0),""))</f>
        <v/>
      </c>
      <c r="N362">
        <f>IF(OR(B362="",E362="",M362=""),"",IF(AND(B362&gt;=Settings!$C$6,B362&lt;=Settings!$C$7),M362*10000+E362,""))</f>
        <v/>
      </c>
      <c r="O362">
        <f>IF(OR(B362="",E362=""),"",B362*10000+E362)</f>
        <v/>
      </c>
      <c r="P362">
        <f>IF(N362="","",E362)</f>
        <v/>
      </c>
    </row>
    <row r="363">
      <c r="A363" s="1" t="n"/>
      <c r="B363" s="20" t="n"/>
      <c r="C363" s="21" t="n"/>
      <c r="D363" s="22" t="n"/>
      <c r="E363" s="23" t="n"/>
      <c r="F363" s="22" t="n"/>
      <c r="G363" s="14">
        <f>IF(OR(B363="",E363="",J363="",K363=""),"",IF(E363&lt;J363,"Below",IF(E363&gt;K363,"Above","In range")))</f>
        <v/>
      </c>
      <c r="H363" s="1" t="n"/>
      <c r="J363">
        <f>IF(M363="","",IF(INDEX(Settings!$C$10:$C$18,M363)="","",INDEX(Settings!$C$10:$C$18,M363)))</f>
        <v/>
      </c>
      <c r="K363">
        <f>IF(M363="","",IF(INDEX(Settings!$D$10:$D$18,M363)="","",INDEX(Settings!$D$10:$D$18,M363)))</f>
        <v/>
      </c>
      <c r="L363">
        <f>IF(OR(B363="",E363=""),"",B363+MOD(N(C363),1)+ROW()/10000000)</f>
        <v/>
      </c>
      <c r="M363">
        <f>IF(D363="","",IFERROR(MATCH(D363,Settings!$B$10:$B$18,0),""))</f>
        <v/>
      </c>
      <c r="N363">
        <f>IF(OR(B363="",E363="",M363=""),"",IF(AND(B363&gt;=Settings!$C$6,B363&lt;=Settings!$C$7),M363*10000+E363,""))</f>
        <v/>
      </c>
      <c r="O363">
        <f>IF(OR(B363="",E363=""),"",B363*10000+E363)</f>
        <v/>
      </c>
      <c r="P363">
        <f>IF(N363="","",E363)</f>
        <v/>
      </c>
    </row>
    <row r="364">
      <c r="A364" s="1" t="n"/>
      <c r="B364" s="20" t="n"/>
      <c r="C364" s="21" t="n"/>
      <c r="D364" s="22" t="n"/>
      <c r="E364" s="23" t="n"/>
      <c r="F364" s="22" t="n"/>
      <c r="G364" s="14">
        <f>IF(OR(B364="",E364="",J364="",K364=""),"",IF(E364&lt;J364,"Below",IF(E364&gt;K364,"Above","In range")))</f>
        <v/>
      </c>
      <c r="H364" s="1" t="n"/>
      <c r="J364">
        <f>IF(M364="","",IF(INDEX(Settings!$C$10:$C$18,M364)="","",INDEX(Settings!$C$10:$C$18,M364)))</f>
        <v/>
      </c>
      <c r="K364">
        <f>IF(M364="","",IF(INDEX(Settings!$D$10:$D$18,M364)="","",INDEX(Settings!$D$10:$D$18,M364)))</f>
        <v/>
      </c>
      <c r="L364">
        <f>IF(OR(B364="",E364=""),"",B364+MOD(N(C364),1)+ROW()/10000000)</f>
        <v/>
      </c>
      <c r="M364">
        <f>IF(D364="","",IFERROR(MATCH(D364,Settings!$B$10:$B$18,0),""))</f>
        <v/>
      </c>
      <c r="N364">
        <f>IF(OR(B364="",E364="",M364=""),"",IF(AND(B364&gt;=Settings!$C$6,B364&lt;=Settings!$C$7),M364*10000+E364,""))</f>
        <v/>
      </c>
      <c r="O364">
        <f>IF(OR(B364="",E364=""),"",B364*10000+E364)</f>
        <v/>
      </c>
      <c r="P364">
        <f>IF(N364="","",E364)</f>
        <v/>
      </c>
    </row>
    <row r="365">
      <c r="A365" s="1" t="n"/>
      <c r="B365" s="20" t="n"/>
      <c r="C365" s="21" t="n"/>
      <c r="D365" s="22" t="n"/>
      <c r="E365" s="23" t="n"/>
      <c r="F365" s="22" t="n"/>
      <c r="G365" s="14">
        <f>IF(OR(B365="",E365="",J365="",K365=""),"",IF(E365&lt;J365,"Below",IF(E365&gt;K365,"Above","In range")))</f>
        <v/>
      </c>
      <c r="H365" s="1" t="n"/>
      <c r="J365">
        <f>IF(M365="","",IF(INDEX(Settings!$C$10:$C$18,M365)="","",INDEX(Settings!$C$10:$C$18,M365)))</f>
        <v/>
      </c>
      <c r="K365">
        <f>IF(M365="","",IF(INDEX(Settings!$D$10:$D$18,M365)="","",INDEX(Settings!$D$10:$D$18,M365)))</f>
        <v/>
      </c>
      <c r="L365">
        <f>IF(OR(B365="",E365=""),"",B365+MOD(N(C365),1)+ROW()/10000000)</f>
        <v/>
      </c>
      <c r="M365">
        <f>IF(D365="","",IFERROR(MATCH(D365,Settings!$B$10:$B$18,0),""))</f>
        <v/>
      </c>
      <c r="N365">
        <f>IF(OR(B365="",E365="",M365=""),"",IF(AND(B365&gt;=Settings!$C$6,B365&lt;=Settings!$C$7),M365*10000+E365,""))</f>
        <v/>
      </c>
      <c r="O365">
        <f>IF(OR(B365="",E365=""),"",B365*10000+E365)</f>
        <v/>
      </c>
      <c r="P365">
        <f>IF(N365="","",E365)</f>
        <v/>
      </c>
    </row>
    <row r="366">
      <c r="A366" s="1" t="n"/>
      <c r="B366" s="20" t="n"/>
      <c r="C366" s="21" t="n"/>
      <c r="D366" s="22" t="n"/>
      <c r="E366" s="23" t="n"/>
      <c r="F366" s="22" t="n"/>
      <c r="G366" s="14">
        <f>IF(OR(B366="",E366="",J366="",K366=""),"",IF(E366&lt;J366,"Below",IF(E366&gt;K366,"Above","In range")))</f>
        <v/>
      </c>
      <c r="H366" s="1" t="n"/>
      <c r="J366">
        <f>IF(M366="","",IF(INDEX(Settings!$C$10:$C$18,M366)="","",INDEX(Settings!$C$10:$C$18,M366)))</f>
        <v/>
      </c>
      <c r="K366">
        <f>IF(M366="","",IF(INDEX(Settings!$D$10:$D$18,M366)="","",INDEX(Settings!$D$10:$D$18,M366)))</f>
        <v/>
      </c>
      <c r="L366">
        <f>IF(OR(B366="",E366=""),"",B366+MOD(N(C366),1)+ROW()/10000000)</f>
        <v/>
      </c>
      <c r="M366">
        <f>IF(D366="","",IFERROR(MATCH(D366,Settings!$B$10:$B$18,0),""))</f>
        <v/>
      </c>
      <c r="N366">
        <f>IF(OR(B366="",E366="",M366=""),"",IF(AND(B366&gt;=Settings!$C$6,B366&lt;=Settings!$C$7),M366*10000+E366,""))</f>
        <v/>
      </c>
      <c r="O366">
        <f>IF(OR(B366="",E366=""),"",B366*10000+E366)</f>
        <v/>
      </c>
      <c r="P366">
        <f>IF(N366="","",E366)</f>
        <v/>
      </c>
    </row>
    <row r="367">
      <c r="A367" s="1" t="n"/>
      <c r="B367" s="20" t="n"/>
      <c r="C367" s="21" t="n"/>
      <c r="D367" s="22" t="n"/>
      <c r="E367" s="23" t="n"/>
      <c r="F367" s="22" t="n"/>
      <c r="G367" s="14">
        <f>IF(OR(B367="",E367="",J367="",K367=""),"",IF(E367&lt;J367,"Below",IF(E367&gt;K367,"Above","In range")))</f>
        <v/>
      </c>
      <c r="H367" s="1" t="n"/>
      <c r="J367">
        <f>IF(M367="","",IF(INDEX(Settings!$C$10:$C$18,M367)="","",INDEX(Settings!$C$10:$C$18,M367)))</f>
        <v/>
      </c>
      <c r="K367">
        <f>IF(M367="","",IF(INDEX(Settings!$D$10:$D$18,M367)="","",INDEX(Settings!$D$10:$D$18,M367)))</f>
        <v/>
      </c>
      <c r="L367">
        <f>IF(OR(B367="",E367=""),"",B367+MOD(N(C367),1)+ROW()/10000000)</f>
        <v/>
      </c>
      <c r="M367">
        <f>IF(D367="","",IFERROR(MATCH(D367,Settings!$B$10:$B$18,0),""))</f>
        <v/>
      </c>
      <c r="N367">
        <f>IF(OR(B367="",E367="",M367=""),"",IF(AND(B367&gt;=Settings!$C$6,B367&lt;=Settings!$C$7),M367*10000+E367,""))</f>
        <v/>
      </c>
      <c r="O367">
        <f>IF(OR(B367="",E367=""),"",B367*10000+E367)</f>
        <v/>
      </c>
      <c r="P367">
        <f>IF(N367="","",E367)</f>
        <v/>
      </c>
    </row>
    <row r="368">
      <c r="A368" s="1" t="n"/>
      <c r="B368" s="20" t="n"/>
      <c r="C368" s="21" t="n"/>
      <c r="D368" s="22" t="n"/>
      <c r="E368" s="23" t="n"/>
      <c r="F368" s="22" t="n"/>
      <c r="G368" s="14">
        <f>IF(OR(B368="",E368="",J368="",K368=""),"",IF(E368&lt;J368,"Below",IF(E368&gt;K368,"Above","In range")))</f>
        <v/>
      </c>
      <c r="H368" s="1" t="n"/>
      <c r="J368">
        <f>IF(M368="","",IF(INDEX(Settings!$C$10:$C$18,M368)="","",INDEX(Settings!$C$10:$C$18,M368)))</f>
        <v/>
      </c>
      <c r="K368">
        <f>IF(M368="","",IF(INDEX(Settings!$D$10:$D$18,M368)="","",INDEX(Settings!$D$10:$D$18,M368)))</f>
        <v/>
      </c>
      <c r="L368">
        <f>IF(OR(B368="",E368=""),"",B368+MOD(N(C368),1)+ROW()/10000000)</f>
        <v/>
      </c>
      <c r="M368">
        <f>IF(D368="","",IFERROR(MATCH(D368,Settings!$B$10:$B$18,0),""))</f>
        <v/>
      </c>
      <c r="N368">
        <f>IF(OR(B368="",E368="",M368=""),"",IF(AND(B368&gt;=Settings!$C$6,B368&lt;=Settings!$C$7),M368*10000+E368,""))</f>
        <v/>
      </c>
      <c r="O368">
        <f>IF(OR(B368="",E368=""),"",B368*10000+E368)</f>
        <v/>
      </c>
      <c r="P368">
        <f>IF(N368="","",E368)</f>
        <v/>
      </c>
    </row>
    <row r="369">
      <c r="A369" s="1" t="n"/>
      <c r="B369" s="20" t="n"/>
      <c r="C369" s="21" t="n"/>
      <c r="D369" s="22" t="n"/>
      <c r="E369" s="23" t="n"/>
      <c r="F369" s="22" t="n"/>
      <c r="G369" s="14">
        <f>IF(OR(B369="",E369="",J369="",K369=""),"",IF(E369&lt;J369,"Below",IF(E369&gt;K369,"Above","In range")))</f>
        <v/>
      </c>
      <c r="H369" s="1" t="n"/>
      <c r="J369">
        <f>IF(M369="","",IF(INDEX(Settings!$C$10:$C$18,M369)="","",INDEX(Settings!$C$10:$C$18,M369)))</f>
        <v/>
      </c>
      <c r="K369">
        <f>IF(M369="","",IF(INDEX(Settings!$D$10:$D$18,M369)="","",INDEX(Settings!$D$10:$D$18,M369)))</f>
        <v/>
      </c>
      <c r="L369">
        <f>IF(OR(B369="",E369=""),"",B369+MOD(N(C369),1)+ROW()/10000000)</f>
        <v/>
      </c>
      <c r="M369">
        <f>IF(D369="","",IFERROR(MATCH(D369,Settings!$B$10:$B$18,0),""))</f>
        <v/>
      </c>
      <c r="N369">
        <f>IF(OR(B369="",E369="",M369=""),"",IF(AND(B369&gt;=Settings!$C$6,B369&lt;=Settings!$C$7),M369*10000+E369,""))</f>
        <v/>
      </c>
      <c r="O369">
        <f>IF(OR(B369="",E369=""),"",B369*10000+E369)</f>
        <v/>
      </c>
      <c r="P369">
        <f>IF(N369="","",E369)</f>
        <v/>
      </c>
    </row>
    <row r="370">
      <c r="A370" s="1" t="n"/>
      <c r="B370" s="20" t="n"/>
      <c r="C370" s="21" t="n"/>
      <c r="D370" s="22" t="n"/>
      <c r="E370" s="23" t="n"/>
      <c r="F370" s="22" t="n"/>
      <c r="G370" s="14">
        <f>IF(OR(B370="",E370="",J370="",K370=""),"",IF(E370&lt;J370,"Below",IF(E370&gt;K370,"Above","In range")))</f>
        <v/>
      </c>
      <c r="H370" s="1" t="n"/>
      <c r="J370">
        <f>IF(M370="","",IF(INDEX(Settings!$C$10:$C$18,M370)="","",INDEX(Settings!$C$10:$C$18,M370)))</f>
        <v/>
      </c>
      <c r="K370">
        <f>IF(M370="","",IF(INDEX(Settings!$D$10:$D$18,M370)="","",INDEX(Settings!$D$10:$D$18,M370)))</f>
        <v/>
      </c>
      <c r="L370">
        <f>IF(OR(B370="",E370=""),"",B370+MOD(N(C370),1)+ROW()/10000000)</f>
        <v/>
      </c>
      <c r="M370">
        <f>IF(D370="","",IFERROR(MATCH(D370,Settings!$B$10:$B$18,0),""))</f>
        <v/>
      </c>
      <c r="N370">
        <f>IF(OR(B370="",E370="",M370=""),"",IF(AND(B370&gt;=Settings!$C$6,B370&lt;=Settings!$C$7),M370*10000+E370,""))</f>
        <v/>
      </c>
      <c r="O370">
        <f>IF(OR(B370="",E370=""),"",B370*10000+E370)</f>
        <v/>
      </c>
      <c r="P370">
        <f>IF(N370="","",E370)</f>
        <v/>
      </c>
    </row>
    <row r="371">
      <c r="A371" s="1" t="n"/>
      <c r="B371" s="20" t="n"/>
      <c r="C371" s="21" t="n"/>
      <c r="D371" s="22" t="n"/>
      <c r="E371" s="23" t="n"/>
      <c r="F371" s="22" t="n"/>
      <c r="G371" s="14">
        <f>IF(OR(B371="",E371="",J371="",K371=""),"",IF(E371&lt;J371,"Below",IF(E371&gt;K371,"Above","In range")))</f>
        <v/>
      </c>
      <c r="H371" s="1" t="n"/>
      <c r="J371">
        <f>IF(M371="","",IF(INDEX(Settings!$C$10:$C$18,M371)="","",INDEX(Settings!$C$10:$C$18,M371)))</f>
        <v/>
      </c>
      <c r="K371">
        <f>IF(M371="","",IF(INDEX(Settings!$D$10:$D$18,M371)="","",INDEX(Settings!$D$10:$D$18,M371)))</f>
        <v/>
      </c>
      <c r="L371">
        <f>IF(OR(B371="",E371=""),"",B371+MOD(N(C371),1)+ROW()/10000000)</f>
        <v/>
      </c>
      <c r="M371">
        <f>IF(D371="","",IFERROR(MATCH(D371,Settings!$B$10:$B$18,0),""))</f>
        <v/>
      </c>
      <c r="N371">
        <f>IF(OR(B371="",E371="",M371=""),"",IF(AND(B371&gt;=Settings!$C$6,B371&lt;=Settings!$C$7),M371*10000+E371,""))</f>
        <v/>
      </c>
      <c r="O371">
        <f>IF(OR(B371="",E371=""),"",B371*10000+E371)</f>
        <v/>
      </c>
      <c r="P371">
        <f>IF(N371="","",E371)</f>
        <v/>
      </c>
    </row>
    <row r="372">
      <c r="A372" s="1" t="n"/>
      <c r="B372" s="20" t="n"/>
      <c r="C372" s="21" t="n"/>
      <c r="D372" s="22" t="n"/>
      <c r="E372" s="23" t="n"/>
      <c r="F372" s="22" t="n"/>
      <c r="G372" s="14">
        <f>IF(OR(B372="",E372="",J372="",K372=""),"",IF(E372&lt;J372,"Below",IF(E372&gt;K372,"Above","In range")))</f>
        <v/>
      </c>
      <c r="H372" s="1" t="n"/>
      <c r="J372">
        <f>IF(M372="","",IF(INDEX(Settings!$C$10:$C$18,M372)="","",INDEX(Settings!$C$10:$C$18,M372)))</f>
        <v/>
      </c>
      <c r="K372">
        <f>IF(M372="","",IF(INDEX(Settings!$D$10:$D$18,M372)="","",INDEX(Settings!$D$10:$D$18,M372)))</f>
        <v/>
      </c>
      <c r="L372">
        <f>IF(OR(B372="",E372=""),"",B372+MOD(N(C372),1)+ROW()/10000000)</f>
        <v/>
      </c>
      <c r="M372">
        <f>IF(D372="","",IFERROR(MATCH(D372,Settings!$B$10:$B$18,0),""))</f>
        <v/>
      </c>
      <c r="N372">
        <f>IF(OR(B372="",E372="",M372=""),"",IF(AND(B372&gt;=Settings!$C$6,B372&lt;=Settings!$C$7),M372*10000+E372,""))</f>
        <v/>
      </c>
      <c r="O372">
        <f>IF(OR(B372="",E372=""),"",B372*10000+E372)</f>
        <v/>
      </c>
      <c r="P372">
        <f>IF(N372="","",E372)</f>
        <v/>
      </c>
    </row>
    <row r="373">
      <c r="A373" s="1" t="n"/>
      <c r="B373" s="20" t="n"/>
      <c r="C373" s="21" t="n"/>
      <c r="D373" s="22" t="n"/>
      <c r="E373" s="23" t="n"/>
      <c r="F373" s="22" t="n"/>
      <c r="G373" s="14">
        <f>IF(OR(B373="",E373="",J373="",K373=""),"",IF(E373&lt;J373,"Below",IF(E373&gt;K373,"Above","In range")))</f>
        <v/>
      </c>
      <c r="H373" s="1" t="n"/>
      <c r="J373">
        <f>IF(M373="","",IF(INDEX(Settings!$C$10:$C$18,M373)="","",INDEX(Settings!$C$10:$C$18,M373)))</f>
        <v/>
      </c>
      <c r="K373">
        <f>IF(M373="","",IF(INDEX(Settings!$D$10:$D$18,M373)="","",INDEX(Settings!$D$10:$D$18,M373)))</f>
        <v/>
      </c>
      <c r="L373">
        <f>IF(OR(B373="",E373=""),"",B373+MOD(N(C373),1)+ROW()/10000000)</f>
        <v/>
      </c>
      <c r="M373">
        <f>IF(D373="","",IFERROR(MATCH(D373,Settings!$B$10:$B$18,0),""))</f>
        <v/>
      </c>
      <c r="N373">
        <f>IF(OR(B373="",E373="",M373=""),"",IF(AND(B373&gt;=Settings!$C$6,B373&lt;=Settings!$C$7),M373*10000+E373,""))</f>
        <v/>
      </c>
      <c r="O373">
        <f>IF(OR(B373="",E373=""),"",B373*10000+E373)</f>
        <v/>
      </c>
      <c r="P373">
        <f>IF(N373="","",E373)</f>
        <v/>
      </c>
    </row>
    <row r="374">
      <c r="A374" s="1" t="n"/>
      <c r="B374" s="20" t="n"/>
      <c r="C374" s="21" t="n"/>
      <c r="D374" s="22" t="n"/>
      <c r="E374" s="23" t="n"/>
      <c r="F374" s="22" t="n"/>
      <c r="G374" s="14">
        <f>IF(OR(B374="",E374="",J374="",K374=""),"",IF(E374&lt;J374,"Below",IF(E374&gt;K374,"Above","In range")))</f>
        <v/>
      </c>
      <c r="H374" s="1" t="n"/>
      <c r="J374">
        <f>IF(M374="","",IF(INDEX(Settings!$C$10:$C$18,M374)="","",INDEX(Settings!$C$10:$C$18,M374)))</f>
        <v/>
      </c>
      <c r="K374">
        <f>IF(M374="","",IF(INDEX(Settings!$D$10:$D$18,M374)="","",INDEX(Settings!$D$10:$D$18,M374)))</f>
        <v/>
      </c>
      <c r="L374">
        <f>IF(OR(B374="",E374=""),"",B374+MOD(N(C374),1)+ROW()/10000000)</f>
        <v/>
      </c>
      <c r="M374">
        <f>IF(D374="","",IFERROR(MATCH(D374,Settings!$B$10:$B$18,0),""))</f>
        <v/>
      </c>
      <c r="N374">
        <f>IF(OR(B374="",E374="",M374=""),"",IF(AND(B374&gt;=Settings!$C$6,B374&lt;=Settings!$C$7),M374*10000+E374,""))</f>
        <v/>
      </c>
      <c r="O374">
        <f>IF(OR(B374="",E374=""),"",B374*10000+E374)</f>
        <v/>
      </c>
      <c r="P374">
        <f>IF(N374="","",E374)</f>
        <v/>
      </c>
    </row>
    <row r="375">
      <c r="A375" s="1" t="n"/>
      <c r="B375" s="20" t="n"/>
      <c r="C375" s="21" t="n"/>
      <c r="D375" s="22" t="n"/>
      <c r="E375" s="23" t="n"/>
      <c r="F375" s="22" t="n"/>
      <c r="G375" s="14">
        <f>IF(OR(B375="",E375="",J375="",K375=""),"",IF(E375&lt;J375,"Below",IF(E375&gt;K375,"Above","In range")))</f>
        <v/>
      </c>
      <c r="H375" s="1" t="n"/>
      <c r="J375">
        <f>IF(M375="","",IF(INDEX(Settings!$C$10:$C$18,M375)="","",INDEX(Settings!$C$10:$C$18,M375)))</f>
        <v/>
      </c>
      <c r="K375">
        <f>IF(M375="","",IF(INDEX(Settings!$D$10:$D$18,M375)="","",INDEX(Settings!$D$10:$D$18,M375)))</f>
        <v/>
      </c>
      <c r="L375">
        <f>IF(OR(B375="",E375=""),"",B375+MOD(N(C375),1)+ROW()/10000000)</f>
        <v/>
      </c>
      <c r="M375">
        <f>IF(D375="","",IFERROR(MATCH(D375,Settings!$B$10:$B$18,0),""))</f>
        <v/>
      </c>
      <c r="N375">
        <f>IF(OR(B375="",E375="",M375=""),"",IF(AND(B375&gt;=Settings!$C$6,B375&lt;=Settings!$C$7),M375*10000+E375,""))</f>
        <v/>
      </c>
      <c r="O375">
        <f>IF(OR(B375="",E375=""),"",B375*10000+E375)</f>
        <v/>
      </c>
      <c r="P375">
        <f>IF(N375="","",E375)</f>
        <v/>
      </c>
    </row>
    <row r="376">
      <c r="A376" s="1" t="n"/>
      <c r="B376" s="20" t="n"/>
      <c r="C376" s="21" t="n"/>
      <c r="D376" s="22" t="n"/>
      <c r="E376" s="23" t="n"/>
      <c r="F376" s="22" t="n"/>
      <c r="G376" s="14">
        <f>IF(OR(B376="",E376="",J376="",K376=""),"",IF(E376&lt;J376,"Below",IF(E376&gt;K376,"Above","In range")))</f>
        <v/>
      </c>
      <c r="H376" s="1" t="n"/>
      <c r="J376">
        <f>IF(M376="","",IF(INDEX(Settings!$C$10:$C$18,M376)="","",INDEX(Settings!$C$10:$C$18,M376)))</f>
        <v/>
      </c>
      <c r="K376">
        <f>IF(M376="","",IF(INDEX(Settings!$D$10:$D$18,M376)="","",INDEX(Settings!$D$10:$D$18,M376)))</f>
        <v/>
      </c>
      <c r="L376">
        <f>IF(OR(B376="",E376=""),"",B376+MOD(N(C376),1)+ROW()/10000000)</f>
        <v/>
      </c>
      <c r="M376">
        <f>IF(D376="","",IFERROR(MATCH(D376,Settings!$B$10:$B$18,0),""))</f>
        <v/>
      </c>
      <c r="N376">
        <f>IF(OR(B376="",E376="",M376=""),"",IF(AND(B376&gt;=Settings!$C$6,B376&lt;=Settings!$C$7),M376*10000+E376,""))</f>
        <v/>
      </c>
      <c r="O376">
        <f>IF(OR(B376="",E376=""),"",B376*10000+E376)</f>
        <v/>
      </c>
      <c r="P376">
        <f>IF(N376="","",E376)</f>
        <v/>
      </c>
    </row>
    <row r="377">
      <c r="A377" s="1" t="n"/>
      <c r="B377" s="20" t="n"/>
      <c r="C377" s="21" t="n"/>
      <c r="D377" s="22" t="n"/>
      <c r="E377" s="23" t="n"/>
      <c r="F377" s="22" t="n"/>
      <c r="G377" s="14">
        <f>IF(OR(B377="",E377="",J377="",K377=""),"",IF(E377&lt;J377,"Below",IF(E377&gt;K377,"Above","In range")))</f>
        <v/>
      </c>
      <c r="H377" s="1" t="n"/>
      <c r="J377">
        <f>IF(M377="","",IF(INDEX(Settings!$C$10:$C$18,M377)="","",INDEX(Settings!$C$10:$C$18,M377)))</f>
        <v/>
      </c>
      <c r="K377">
        <f>IF(M377="","",IF(INDEX(Settings!$D$10:$D$18,M377)="","",INDEX(Settings!$D$10:$D$18,M377)))</f>
        <v/>
      </c>
      <c r="L377">
        <f>IF(OR(B377="",E377=""),"",B377+MOD(N(C377),1)+ROW()/10000000)</f>
        <v/>
      </c>
      <c r="M377">
        <f>IF(D377="","",IFERROR(MATCH(D377,Settings!$B$10:$B$18,0),""))</f>
        <v/>
      </c>
      <c r="N377">
        <f>IF(OR(B377="",E377="",M377=""),"",IF(AND(B377&gt;=Settings!$C$6,B377&lt;=Settings!$C$7),M377*10000+E377,""))</f>
        <v/>
      </c>
      <c r="O377">
        <f>IF(OR(B377="",E377=""),"",B377*10000+E377)</f>
        <v/>
      </c>
      <c r="P377">
        <f>IF(N377="","",E377)</f>
        <v/>
      </c>
    </row>
    <row r="378">
      <c r="A378" s="1" t="n"/>
      <c r="B378" s="20" t="n"/>
      <c r="C378" s="21" t="n"/>
      <c r="D378" s="22" t="n"/>
      <c r="E378" s="23" t="n"/>
      <c r="F378" s="22" t="n"/>
      <c r="G378" s="14">
        <f>IF(OR(B378="",E378="",J378="",K378=""),"",IF(E378&lt;J378,"Below",IF(E378&gt;K378,"Above","In range")))</f>
        <v/>
      </c>
      <c r="H378" s="1" t="n"/>
      <c r="J378">
        <f>IF(M378="","",IF(INDEX(Settings!$C$10:$C$18,M378)="","",INDEX(Settings!$C$10:$C$18,M378)))</f>
        <v/>
      </c>
      <c r="K378">
        <f>IF(M378="","",IF(INDEX(Settings!$D$10:$D$18,M378)="","",INDEX(Settings!$D$10:$D$18,M378)))</f>
        <v/>
      </c>
      <c r="L378">
        <f>IF(OR(B378="",E378=""),"",B378+MOD(N(C378),1)+ROW()/10000000)</f>
        <v/>
      </c>
      <c r="M378">
        <f>IF(D378="","",IFERROR(MATCH(D378,Settings!$B$10:$B$18,0),""))</f>
        <v/>
      </c>
      <c r="N378">
        <f>IF(OR(B378="",E378="",M378=""),"",IF(AND(B378&gt;=Settings!$C$6,B378&lt;=Settings!$C$7),M378*10000+E378,""))</f>
        <v/>
      </c>
      <c r="O378">
        <f>IF(OR(B378="",E378=""),"",B378*10000+E378)</f>
        <v/>
      </c>
      <c r="P378">
        <f>IF(N378="","",E378)</f>
        <v/>
      </c>
    </row>
    <row r="379">
      <c r="A379" s="1" t="n"/>
      <c r="B379" s="20" t="n"/>
      <c r="C379" s="21" t="n"/>
      <c r="D379" s="22" t="n"/>
      <c r="E379" s="23" t="n"/>
      <c r="F379" s="22" t="n"/>
      <c r="G379" s="14">
        <f>IF(OR(B379="",E379="",J379="",K379=""),"",IF(E379&lt;J379,"Below",IF(E379&gt;K379,"Above","In range")))</f>
        <v/>
      </c>
      <c r="H379" s="1" t="n"/>
      <c r="J379">
        <f>IF(M379="","",IF(INDEX(Settings!$C$10:$C$18,M379)="","",INDEX(Settings!$C$10:$C$18,M379)))</f>
        <v/>
      </c>
      <c r="K379">
        <f>IF(M379="","",IF(INDEX(Settings!$D$10:$D$18,M379)="","",INDEX(Settings!$D$10:$D$18,M379)))</f>
        <v/>
      </c>
      <c r="L379">
        <f>IF(OR(B379="",E379=""),"",B379+MOD(N(C379),1)+ROW()/10000000)</f>
        <v/>
      </c>
      <c r="M379">
        <f>IF(D379="","",IFERROR(MATCH(D379,Settings!$B$10:$B$18,0),""))</f>
        <v/>
      </c>
      <c r="N379">
        <f>IF(OR(B379="",E379="",M379=""),"",IF(AND(B379&gt;=Settings!$C$6,B379&lt;=Settings!$C$7),M379*10000+E379,""))</f>
        <v/>
      </c>
      <c r="O379">
        <f>IF(OR(B379="",E379=""),"",B379*10000+E379)</f>
        <v/>
      </c>
      <c r="P379">
        <f>IF(N379="","",E379)</f>
        <v/>
      </c>
    </row>
    <row r="380">
      <c r="A380" s="1" t="n"/>
      <c r="B380" s="20" t="n"/>
      <c r="C380" s="21" t="n"/>
      <c r="D380" s="22" t="n"/>
      <c r="E380" s="23" t="n"/>
      <c r="F380" s="22" t="n"/>
      <c r="G380" s="14">
        <f>IF(OR(B380="",E380="",J380="",K380=""),"",IF(E380&lt;J380,"Below",IF(E380&gt;K380,"Above","In range")))</f>
        <v/>
      </c>
      <c r="H380" s="1" t="n"/>
      <c r="J380">
        <f>IF(M380="","",IF(INDEX(Settings!$C$10:$C$18,M380)="","",INDEX(Settings!$C$10:$C$18,M380)))</f>
        <v/>
      </c>
      <c r="K380">
        <f>IF(M380="","",IF(INDEX(Settings!$D$10:$D$18,M380)="","",INDEX(Settings!$D$10:$D$18,M380)))</f>
        <v/>
      </c>
      <c r="L380">
        <f>IF(OR(B380="",E380=""),"",B380+MOD(N(C380),1)+ROW()/10000000)</f>
        <v/>
      </c>
      <c r="M380">
        <f>IF(D380="","",IFERROR(MATCH(D380,Settings!$B$10:$B$18,0),""))</f>
        <v/>
      </c>
      <c r="N380">
        <f>IF(OR(B380="",E380="",M380=""),"",IF(AND(B380&gt;=Settings!$C$6,B380&lt;=Settings!$C$7),M380*10000+E380,""))</f>
        <v/>
      </c>
      <c r="O380">
        <f>IF(OR(B380="",E380=""),"",B380*10000+E380)</f>
        <v/>
      </c>
      <c r="P380">
        <f>IF(N380="","",E380)</f>
        <v/>
      </c>
    </row>
    <row r="381">
      <c r="A381" s="1" t="n"/>
      <c r="B381" s="20" t="n"/>
      <c r="C381" s="21" t="n"/>
      <c r="D381" s="22" t="n"/>
      <c r="E381" s="23" t="n"/>
      <c r="F381" s="22" t="n"/>
      <c r="G381" s="14">
        <f>IF(OR(B381="",E381="",J381="",K381=""),"",IF(E381&lt;J381,"Below",IF(E381&gt;K381,"Above","In range")))</f>
        <v/>
      </c>
      <c r="H381" s="1" t="n"/>
      <c r="J381">
        <f>IF(M381="","",IF(INDEX(Settings!$C$10:$C$18,M381)="","",INDEX(Settings!$C$10:$C$18,M381)))</f>
        <v/>
      </c>
      <c r="K381">
        <f>IF(M381="","",IF(INDEX(Settings!$D$10:$D$18,M381)="","",INDEX(Settings!$D$10:$D$18,M381)))</f>
        <v/>
      </c>
      <c r="L381">
        <f>IF(OR(B381="",E381=""),"",B381+MOD(N(C381),1)+ROW()/10000000)</f>
        <v/>
      </c>
      <c r="M381">
        <f>IF(D381="","",IFERROR(MATCH(D381,Settings!$B$10:$B$18,0),""))</f>
        <v/>
      </c>
      <c r="N381">
        <f>IF(OR(B381="",E381="",M381=""),"",IF(AND(B381&gt;=Settings!$C$6,B381&lt;=Settings!$C$7),M381*10000+E381,""))</f>
        <v/>
      </c>
      <c r="O381">
        <f>IF(OR(B381="",E381=""),"",B381*10000+E381)</f>
        <v/>
      </c>
      <c r="P381">
        <f>IF(N381="","",E381)</f>
        <v/>
      </c>
    </row>
    <row r="382">
      <c r="A382" s="1" t="n"/>
      <c r="B382" s="20" t="n"/>
      <c r="C382" s="21" t="n"/>
      <c r="D382" s="22" t="n"/>
      <c r="E382" s="23" t="n"/>
      <c r="F382" s="22" t="n"/>
      <c r="G382" s="14">
        <f>IF(OR(B382="",E382="",J382="",K382=""),"",IF(E382&lt;J382,"Below",IF(E382&gt;K382,"Above","In range")))</f>
        <v/>
      </c>
      <c r="H382" s="1" t="n"/>
      <c r="J382">
        <f>IF(M382="","",IF(INDEX(Settings!$C$10:$C$18,M382)="","",INDEX(Settings!$C$10:$C$18,M382)))</f>
        <v/>
      </c>
      <c r="K382">
        <f>IF(M382="","",IF(INDEX(Settings!$D$10:$D$18,M382)="","",INDEX(Settings!$D$10:$D$18,M382)))</f>
        <v/>
      </c>
      <c r="L382">
        <f>IF(OR(B382="",E382=""),"",B382+MOD(N(C382),1)+ROW()/10000000)</f>
        <v/>
      </c>
      <c r="M382">
        <f>IF(D382="","",IFERROR(MATCH(D382,Settings!$B$10:$B$18,0),""))</f>
        <v/>
      </c>
      <c r="N382">
        <f>IF(OR(B382="",E382="",M382=""),"",IF(AND(B382&gt;=Settings!$C$6,B382&lt;=Settings!$C$7),M382*10000+E382,""))</f>
        <v/>
      </c>
      <c r="O382">
        <f>IF(OR(B382="",E382=""),"",B382*10000+E382)</f>
        <v/>
      </c>
      <c r="P382">
        <f>IF(N382="","",E382)</f>
        <v/>
      </c>
    </row>
    <row r="383">
      <c r="A383" s="1" t="n"/>
      <c r="B383" s="20" t="n"/>
      <c r="C383" s="21" t="n"/>
      <c r="D383" s="22" t="n"/>
      <c r="E383" s="23" t="n"/>
      <c r="F383" s="22" t="n"/>
      <c r="G383" s="14">
        <f>IF(OR(B383="",E383="",J383="",K383=""),"",IF(E383&lt;J383,"Below",IF(E383&gt;K383,"Above","In range")))</f>
        <v/>
      </c>
      <c r="H383" s="1" t="n"/>
      <c r="J383">
        <f>IF(M383="","",IF(INDEX(Settings!$C$10:$C$18,M383)="","",INDEX(Settings!$C$10:$C$18,M383)))</f>
        <v/>
      </c>
      <c r="K383">
        <f>IF(M383="","",IF(INDEX(Settings!$D$10:$D$18,M383)="","",INDEX(Settings!$D$10:$D$18,M383)))</f>
        <v/>
      </c>
      <c r="L383">
        <f>IF(OR(B383="",E383=""),"",B383+MOD(N(C383),1)+ROW()/10000000)</f>
        <v/>
      </c>
      <c r="M383">
        <f>IF(D383="","",IFERROR(MATCH(D383,Settings!$B$10:$B$18,0),""))</f>
        <v/>
      </c>
      <c r="N383">
        <f>IF(OR(B383="",E383="",M383=""),"",IF(AND(B383&gt;=Settings!$C$6,B383&lt;=Settings!$C$7),M383*10000+E383,""))</f>
        <v/>
      </c>
      <c r="O383">
        <f>IF(OR(B383="",E383=""),"",B383*10000+E383)</f>
        <v/>
      </c>
      <c r="P383">
        <f>IF(N383="","",E383)</f>
        <v/>
      </c>
    </row>
    <row r="384">
      <c r="A384" s="1" t="n"/>
      <c r="B384" s="20" t="n"/>
      <c r="C384" s="21" t="n"/>
      <c r="D384" s="22" t="n"/>
      <c r="E384" s="23" t="n"/>
      <c r="F384" s="22" t="n"/>
      <c r="G384" s="14">
        <f>IF(OR(B384="",E384="",J384="",K384=""),"",IF(E384&lt;J384,"Below",IF(E384&gt;K384,"Above","In range")))</f>
        <v/>
      </c>
      <c r="H384" s="1" t="n"/>
      <c r="J384">
        <f>IF(M384="","",IF(INDEX(Settings!$C$10:$C$18,M384)="","",INDEX(Settings!$C$10:$C$18,M384)))</f>
        <v/>
      </c>
      <c r="K384">
        <f>IF(M384="","",IF(INDEX(Settings!$D$10:$D$18,M384)="","",INDEX(Settings!$D$10:$D$18,M384)))</f>
        <v/>
      </c>
      <c r="L384">
        <f>IF(OR(B384="",E384=""),"",B384+MOD(N(C384),1)+ROW()/10000000)</f>
        <v/>
      </c>
      <c r="M384">
        <f>IF(D384="","",IFERROR(MATCH(D384,Settings!$B$10:$B$18,0),""))</f>
        <v/>
      </c>
      <c r="N384">
        <f>IF(OR(B384="",E384="",M384=""),"",IF(AND(B384&gt;=Settings!$C$6,B384&lt;=Settings!$C$7),M384*10000+E384,""))</f>
        <v/>
      </c>
      <c r="O384">
        <f>IF(OR(B384="",E384=""),"",B384*10000+E384)</f>
        <v/>
      </c>
      <c r="P384">
        <f>IF(N384="","",E384)</f>
        <v/>
      </c>
    </row>
    <row r="385">
      <c r="A385" s="1" t="n"/>
      <c r="B385" s="20" t="n"/>
      <c r="C385" s="21" t="n"/>
      <c r="D385" s="22" t="n"/>
      <c r="E385" s="23" t="n"/>
      <c r="F385" s="22" t="n"/>
      <c r="G385" s="14">
        <f>IF(OR(B385="",E385="",J385="",K385=""),"",IF(E385&lt;J385,"Below",IF(E385&gt;K385,"Above","In range")))</f>
        <v/>
      </c>
      <c r="H385" s="1" t="n"/>
      <c r="J385">
        <f>IF(M385="","",IF(INDEX(Settings!$C$10:$C$18,M385)="","",INDEX(Settings!$C$10:$C$18,M385)))</f>
        <v/>
      </c>
      <c r="K385">
        <f>IF(M385="","",IF(INDEX(Settings!$D$10:$D$18,M385)="","",INDEX(Settings!$D$10:$D$18,M385)))</f>
        <v/>
      </c>
      <c r="L385">
        <f>IF(OR(B385="",E385=""),"",B385+MOD(N(C385),1)+ROW()/10000000)</f>
        <v/>
      </c>
      <c r="M385">
        <f>IF(D385="","",IFERROR(MATCH(D385,Settings!$B$10:$B$18,0),""))</f>
        <v/>
      </c>
      <c r="N385">
        <f>IF(OR(B385="",E385="",M385=""),"",IF(AND(B385&gt;=Settings!$C$6,B385&lt;=Settings!$C$7),M385*10000+E385,""))</f>
        <v/>
      </c>
      <c r="O385">
        <f>IF(OR(B385="",E385=""),"",B385*10000+E385)</f>
        <v/>
      </c>
      <c r="P385">
        <f>IF(N385="","",E385)</f>
        <v/>
      </c>
    </row>
    <row r="386">
      <c r="A386" s="1" t="n"/>
      <c r="B386" s="20" t="n"/>
      <c r="C386" s="21" t="n"/>
      <c r="D386" s="22" t="n"/>
      <c r="E386" s="23" t="n"/>
      <c r="F386" s="22" t="n"/>
      <c r="G386" s="14">
        <f>IF(OR(B386="",E386="",J386="",K386=""),"",IF(E386&lt;J386,"Below",IF(E386&gt;K386,"Above","In range")))</f>
        <v/>
      </c>
      <c r="H386" s="1" t="n"/>
      <c r="J386">
        <f>IF(M386="","",IF(INDEX(Settings!$C$10:$C$18,M386)="","",INDEX(Settings!$C$10:$C$18,M386)))</f>
        <v/>
      </c>
      <c r="K386">
        <f>IF(M386="","",IF(INDEX(Settings!$D$10:$D$18,M386)="","",INDEX(Settings!$D$10:$D$18,M386)))</f>
        <v/>
      </c>
      <c r="L386">
        <f>IF(OR(B386="",E386=""),"",B386+MOD(N(C386),1)+ROW()/10000000)</f>
        <v/>
      </c>
      <c r="M386">
        <f>IF(D386="","",IFERROR(MATCH(D386,Settings!$B$10:$B$18,0),""))</f>
        <v/>
      </c>
      <c r="N386">
        <f>IF(OR(B386="",E386="",M386=""),"",IF(AND(B386&gt;=Settings!$C$6,B386&lt;=Settings!$C$7),M386*10000+E386,""))</f>
        <v/>
      </c>
      <c r="O386">
        <f>IF(OR(B386="",E386=""),"",B386*10000+E386)</f>
        <v/>
      </c>
      <c r="P386">
        <f>IF(N386="","",E386)</f>
        <v/>
      </c>
    </row>
    <row r="387">
      <c r="A387" s="1" t="n"/>
      <c r="B387" s="20" t="n"/>
      <c r="C387" s="21" t="n"/>
      <c r="D387" s="22" t="n"/>
      <c r="E387" s="23" t="n"/>
      <c r="F387" s="22" t="n"/>
      <c r="G387" s="14">
        <f>IF(OR(B387="",E387="",J387="",K387=""),"",IF(E387&lt;J387,"Below",IF(E387&gt;K387,"Above","In range")))</f>
        <v/>
      </c>
      <c r="H387" s="1" t="n"/>
      <c r="J387">
        <f>IF(M387="","",IF(INDEX(Settings!$C$10:$C$18,M387)="","",INDEX(Settings!$C$10:$C$18,M387)))</f>
        <v/>
      </c>
      <c r="K387">
        <f>IF(M387="","",IF(INDEX(Settings!$D$10:$D$18,M387)="","",INDEX(Settings!$D$10:$D$18,M387)))</f>
        <v/>
      </c>
      <c r="L387">
        <f>IF(OR(B387="",E387=""),"",B387+MOD(N(C387),1)+ROW()/10000000)</f>
        <v/>
      </c>
      <c r="M387">
        <f>IF(D387="","",IFERROR(MATCH(D387,Settings!$B$10:$B$18,0),""))</f>
        <v/>
      </c>
      <c r="N387">
        <f>IF(OR(B387="",E387="",M387=""),"",IF(AND(B387&gt;=Settings!$C$6,B387&lt;=Settings!$C$7),M387*10000+E387,""))</f>
        <v/>
      </c>
      <c r="O387">
        <f>IF(OR(B387="",E387=""),"",B387*10000+E387)</f>
        <v/>
      </c>
      <c r="P387">
        <f>IF(N387="","",E387)</f>
        <v/>
      </c>
    </row>
    <row r="388">
      <c r="A388" s="1" t="n"/>
      <c r="B388" s="20" t="n"/>
      <c r="C388" s="21" t="n"/>
      <c r="D388" s="22" t="n"/>
      <c r="E388" s="23" t="n"/>
      <c r="F388" s="22" t="n"/>
      <c r="G388" s="14">
        <f>IF(OR(B388="",E388="",J388="",K388=""),"",IF(E388&lt;J388,"Below",IF(E388&gt;K388,"Above","In range")))</f>
        <v/>
      </c>
      <c r="H388" s="1" t="n"/>
      <c r="J388">
        <f>IF(M388="","",IF(INDEX(Settings!$C$10:$C$18,M388)="","",INDEX(Settings!$C$10:$C$18,M388)))</f>
        <v/>
      </c>
      <c r="K388">
        <f>IF(M388="","",IF(INDEX(Settings!$D$10:$D$18,M388)="","",INDEX(Settings!$D$10:$D$18,M388)))</f>
        <v/>
      </c>
      <c r="L388">
        <f>IF(OR(B388="",E388=""),"",B388+MOD(N(C388),1)+ROW()/10000000)</f>
        <v/>
      </c>
      <c r="M388">
        <f>IF(D388="","",IFERROR(MATCH(D388,Settings!$B$10:$B$18,0),""))</f>
        <v/>
      </c>
      <c r="N388">
        <f>IF(OR(B388="",E388="",M388=""),"",IF(AND(B388&gt;=Settings!$C$6,B388&lt;=Settings!$C$7),M388*10000+E388,""))</f>
        <v/>
      </c>
      <c r="O388">
        <f>IF(OR(B388="",E388=""),"",B388*10000+E388)</f>
        <v/>
      </c>
      <c r="P388">
        <f>IF(N388="","",E388)</f>
        <v/>
      </c>
    </row>
    <row r="389">
      <c r="A389" s="1" t="n"/>
      <c r="B389" s="20" t="n"/>
      <c r="C389" s="21" t="n"/>
      <c r="D389" s="22" t="n"/>
      <c r="E389" s="23" t="n"/>
      <c r="F389" s="22" t="n"/>
      <c r="G389" s="14">
        <f>IF(OR(B389="",E389="",J389="",K389=""),"",IF(E389&lt;J389,"Below",IF(E389&gt;K389,"Above","In range")))</f>
        <v/>
      </c>
      <c r="H389" s="1" t="n"/>
      <c r="J389">
        <f>IF(M389="","",IF(INDEX(Settings!$C$10:$C$18,M389)="","",INDEX(Settings!$C$10:$C$18,M389)))</f>
        <v/>
      </c>
      <c r="K389">
        <f>IF(M389="","",IF(INDEX(Settings!$D$10:$D$18,M389)="","",INDEX(Settings!$D$10:$D$18,M389)))</f>
        <v/>
      </c>
      <c r="L389">
        <f>IF(OR(B389="",E389=""),"",B389+MOD(N(C389),1)+ROW()/10000000)</f>
        <v/>
      </c>
      <c r="M389">
        <f>IF(D389="","",IFERROR(MATCH(D389,Settings!$B$10:$B$18,0),""))</f>
        <v/>
      </c>
      <c r="N389">
        <f>IF(OR(B389="",E389="",M389=""),"",IF(AND(B389&gt;=Settings!$C$6,B389&lt;=Settings!$C$7),M389*10000+E389,""))</f>
        <v/>
      </c>
      <c r="O389">
        <f>IF(OR(B389="",E389=""),"",B389*10000+E389)</f>
        <v/>
      </c>
      <c r="P389">
        <f>IF(N389="","",E389)</f>
        <v/>
      </c>
    </row>
    <row r="390">
      <c r="A390" s="1" t="n"/>
      <c r="B390" s="20" t="n"/>
      <c r="C390" s="21" t="n"/>
      <c r="D390" s="22" t="n"/>
      <c r="E390" s="23" t="n"/>
      <c r="F390" s="22" t="n"/>
      <c r="G390" s="14">
        <f>IF(OR(B390="",E390="",J390="",K390=""),"",IF(E390&lt;J390,"Below",IF(E390&gt;K390,"Above","In range")))</f>
        <v/>
      </c>
      <c r="H390" s="1" t="n"/>
      <c r="J390">
        <f>IF(M390="","",IF(INDEX(Settings!$C$10:$C$18,M390)="","",INDEX(Settings!$C$10:$C$18,M390)))</f>
        <v/>
      </c>
      <c r="K390">
        <f>IF(M390="","",IF(INDEX(Settings!$D$10:$D$18,M390)="","",INDEX(Settings!$D$10:$D$18,M390)))</f>
        <v/>
      </c>
      <c r="L390">
        <f>IF(OR(B390="",E390=""),"",B390+MOD(N(C390),1)+ROW()/10000000)</f>
        <v/>
      </c>
      <c r="M390">
        <f>IF(D390="","",IFERROR(MATCH(D390,Settings!$B$10:$B$18,0),""))</f>
        <v/>
      </c>
      <c r="N390">
        <f>IF(OR(B390="",E390="",M390=""),"",IF(AND(B390&gt;=Settings!$C$6,B390&lt;=Settings!$C$7),M390*10000+E390,""))</f>
        <v/>
      </c>
      <c r="O390">
        <f>IF(OR(B390="",E390=""),"",B390*10000+E390)</f>
        <v/>
      </c>
      <c r="P390">
        <f>IF(N390="","",E390)</f>
        <v/>
      </c>
    </row>
    <row r="391">
      <c r="A391" s="1" t="n"/>
      <c r="B391" s="20" t="n"/>
      <c r="C391" s="21" t="n"/>
      <c r="D391" s="22" t="n"/>
      <c r="E391" s="23" t="n"/>
      <c r="F391" s="22" t="n"/>
      <c r="G391" s="14">
        <f>IF(OR(B391="",E391="",J391="",K391=""),"",IF(E391&lt;J391,"Below",IF(E391&gt;K391,"Above","In range")))</f>
        <v/>
      </c>
      <c r="H391" s="1" t="n"/>
      <c r="J391">
        <f>IF(M391="","",IF(INDEX(Settings!$C$10:$C$18,M391)="","",INDEX(Settings!$C$10:$C$18,M391)))</f>
        <v/>
      </c>
      <c r="K391">
        <f>IF(M391="","",IF(INDEX(Settings!$D$10:$D$18,M391)="","",INDEX(Settings!$D$10:$D$18,M391)))</f>
        <v/>
      </c>
      <c r="L391">
        <f>IF(OR(B391="",E391=""),"",B391+MOD(N(C391),1)+ROW()/10000000)</f>
        <v/>
      </c>
      <c r="M391">
        <f>IF(D391="","",IFERROR(MATCH(D391,Settings!$B$10:$B$18,0),""))</f>
        <v/>
      </c>
      <c r="N391">
        <f>IF(OR(B391="",E391="",M391=""),"",IF(AND(B391&gt;=Settings!$C$6,B391&lt;=Settings!$C$7),M391*10000+E391,""))</f>
        <v/>
      </c>
      <c r="O391">
        <f>IF(OR(B391="",E391=""),"",B391*10000+E391)</f>
        <v/>
      </c>
      <c r="P391">
        <f>IF(N391="","",E391)</f>
        <v/>
      </c>
    </row>
    <row r="392">
      <c r="A392" s="1" t="n"/>
      <c r="B392" s="20" t="n"/>
      <c r="C392" s="21" t="n"/>
      <c r="D392" s="22" t="n"/>
      <c r="E392" s="23" t="n"/>
      <c r="F392" s="22" t="n"/>
      <c r="G392" s="14">
        <f>IF(OR(B392="",E392="",J392="",K392=""),"",IF(E392&lt;J392,"Below",IF(E392&gt;K392,"Above","In range")))</f>
        <v/>
      </c>
      <c r="H392" s="1" t="n"/>
      <c r="J392">
        <f>IF(M392="","",IF(INDEX(Settings!$C$10:$C$18,M392)="","",INDEX(Settings!$C$10:$C$18,M392)))</f>
        <v/>
      </c>
      <c r="K392">
        <f>IF(M392="","",IF(INDEX(Settings!$D$10:$D$18,M392)="","",INDEX(Settings!$D$10:$D$18,M392)))</f>
        <v/>
      </c>
      <c r="L392">
        <f>IF(OR(B392="",E392=""),"",B392+MOD(N(C392),1)+ROW()/10000000)</f>
        <v/>
      </c>
      <c r="M392">
        <f>IF(D392="","",IFERROR(MATCH(D392,Settings!$B$10:$B$18,0),""))</f>
        <v/>
      </c>
      <c r="N392">
        <f>IF(OR(B392="",E392="",M392=""),"",IF(AND(B392&gt;=Settings!$C$6,B392&lt;=Settings!$C$7),M392*10000+E392,""))</f>
        <v/>
      </c>
      <c r="O392">
        <f>IF(OR(B392="",E392=""),"",B392*10000+E392)</f>
        <v/>
      </c>
      <c r="P392">
        <f>IF(N392="","",E392)</f>
        <v/>
      </c>
    </row>
    <row r="393">
      <c r="A393" s="1" t="n"/>
      <c r="B393" s="20" t="n"/>
      <c r="C393" s="21" t="n"/>
      <c r="D393" s="22" t="n"/>
      <c r="E393" s="23" t="n"/>
      <c r="F393" s="22" t="n"/>
      <c r="G393" s="14">
        <f>IF(OR(B393="",E393="",J393="",K393=""),"",IF(E393&lt;J393,"Below",IF(E393&gt;K393,"Above","In range")))</f>
        <v/>
      </c>
      <c r="H393" s="1" t="n"/>
      <c r="J393">
        <f>IF(M393="","",IF(INDEX(Settings!$C$10:$C$18,M393)="","",INDEX(Settings!$C$10:$C$18,M393)))</f>
        <v/>
      </c>
      <c r="K393">
        <f>IF(M393="","",IF(INDEX(Settings!$D$10:$D$18,M393)="","",INDEX(Settings!$D$10:$D$18,M393)))</f>
        <v/>
      </c>
      <c r="L393">
        <f>IF(OR(B393="",E393=""),"",B393+MOD(N(C393),1)+ROW()/10000000)</f>
        <v/>
      </c>
      <c r="M393">
        <f>IF(D393="","",IFERROR(MATCH(D393,Settings!$B$10:$B$18,0),""))</f>
        <v/>
      </c>
      <c r="N393">
        <f>IF(OR(B393="",E393="",M393=""),"",IF(AND(B393&gt;=Settings!$C$6,B393&lt;=Settings!$C$7),M393*10000+E393,""))</f>
        <v/>
      </c>
      <c r="O393">
        <f>IF(OR(B393="",E393=""),"",B393*10000+E393)</f>
        <v/>
      </c>
      <c r="P393">
        <f>IF(N393="","",E393)</f>
        <v/>
      </c>
    </row>
    <row r="394">
      <c r="A394" s="1" t="n"/>
      <c r="B394" s="20" t="n"/>
      <c r="C394" s="21" t="n"/>
      <c r="D394" s="22" t="n"/>
      <c r="E394" s="23" t="n"/>
      <c r="F394" s="22" t="n"/>
      <c r="G394" s="14">
        <f>IF(OR(B394="",E394="",J394="",K394=""),"",IF(E394&lt;J394,"Below",IF(E394&gt;K394,"Above","In range")))</f>
        <v/>
      </c>
      <c r="H394" s="1" t="n"/>
      <c r="J394">
        <f>IF(M394="","",IF(INDEX(Settings!$C$10:$C$18,M394)="","",INDEX(Settings!$C$10:$C$18,M394)))</f>
        <v/>
      </c>
      <c r="K394">
        <f>IF(M394="","",IF(INDEX(Settings!$D$10:$D$18,M394)="","",INDEX(Settings!$D$10:$D$18,M394)))</f>
        <v/>
      </c>
      <c r="L394">
        <f>IF(OR(B394="",E394=""),"",B394+MOD(N(C394),1)+ROW()/10000000)</f>
        <v/>
      </c>
      <c r="M394">
        <f>IF(D394="","",IFERROR(MATCH(D394,Settings!$B$10:$B$18,0),""))</f>
        <v/>
      </c>
      <c r="N394">
        <f>IF(OR(B394="",E394="",M394=""),"",IF(AND(B394&gt;=Settings!$C$6,B394&lt;=Settings!$C$7),M394*10000+E394,""))</f>
        <v/>
      </c>
      <c r="O394">
        <f>IF(OR(B394="",E394=""),"",B394*10000+E394)</f>
        <v/>
      </c>
      <c r="P394">
        <f>IF(N394="","",E394)</f>
        <v/>
      </c>
    </row>
    <row r="395">
      <c r="A395" s="1" t="n"/>
      <c r="B395" s="20" t="n"/>
      <c r="C395" s="21" t="n"/>
      <c r="D395" s="22" t="n"/>
      <c r="E395" s="23" t="n"/>
      <c r="F395" s="22" t="n"/>
      <c r="G395" s="14">
        <f>IF(OR(B395="",E395="",J395="",K395=""),"",IF(E395&lt;J395,"Below",IF(E395&gt;K395,"Above","In range")))</f>
        <v/>
      </c>
      <c r="H395" s="1" t="n"/>
      <c r="J395">
        <f>IF(M395="","",IF(INDEX(Settings!$C$10:$C$18,M395)="","",INDEX(Settings!$C$10:$C$18,M395)))</f>
        <v/>
      </c>
      <c r="K395">
        <f>IF(M395="","",IF(INDEX(Settings!$D$10:$D$18,M395)="","",INDEX(Settings!$D$10:$D$18,M395)))</f>
        <v/>
      </c>
      <c r="L395">
        <f>IF(OR(B395="",E395=""),"",B395+MOD(N(C395),1)+ROW()/10000000)</f>
        <v/>
      </c>
      <c r="M395">
        <f>IF(D395="","",IFERROR(MATCH(D395,Settings!$B$10:$B$18,0),""))</f>
        <v/>
      </c>
      <c r="N395">
        <f>IF(OR(B395="",E395="",M395=""),"",IF(AND(B395&gt;=Settings!$C$6,B395&lt;=Settings!$C$7),M395*10000+E395,""))</f>
        <v/>
      </c>
      <c r="O395">
        <f>IF(OR(B395="",E395=""),"",B395*10000+E395)</f>
        <v/>
      </c>
      <c r="P395">
        <f>IF(N395="","",E395)</f>
        <v/>
      </c>
    </row>
    <row r="396">
      <c r="A396" s="1" t="n"/>
      <c r="B396" s="20" t="n"/>
      <c r="C396" s="21" t="n"/>
      <c r="D396" s="22" t="n"/>
      <c r="E396" s="23" t="n"/>
      <c r="F396" s="22" t="n"/>
      <c r="G396" s="14">
        <f>IF(OR(B396="",E396="",J396="",K396=""),"",IF(E396&lt;J396,"Below",IF(E396&gt;K396,"Above","In range")))</f>
        <v/>
      </c>
      <c r="H396" s="1" t="n"/>
      <c r="J396">
        <f>IF(M396="","",IF(INDEX(Settings!$C$10:$C$18,M396)="","",INDEX(Settings!$C$10:$C$18,M396)))</f>
        <v/>
      </c>
      <c r="K396">
        <f>IF(M396="","",IF(INDEX(Settings!$D$10:$D$18,M396)="","",INDEX(Settings!$D$10:$D$18,M396)))</f>
        <v/>
      </c>
      <c r="L396">
        <f>IF(OR(B396="",E396=""),"",B396+MOD(N(C396),1)+ROW()/10000000)</f>
        <v/>
      </c>
      <c r="M396">
        <f>IF(D396="","",IFERROR(MATCH(D396,Settings!$B$10:$B$18,0),""))</f>
        <v/>
      </c>
      <c r="N396">
        <f>IF(OR(B396="",E396="",M396=""),"",IF(AND(B396&gt;=Settings!$C$6,B396&lt;=Settings!$C$7),M396*10000+E396,""))</f>
        <v/>
      </c>
      <c r="O396">
        <f>IF(OR(B396="",E396=""),"",B396*10000+E396)</f>
        <v/>
      </c>
      <c r="P396">
        <f>IF(N396="","",E396)</f>
        <v/>
      </c>
    </row>
    <row r="397">
      <c r="A397" s="1" t="n"/>
      <c r="B397" s="20" t="n"/>
      <c r="C397" s="21" t="n"/>
      <c r="D397" s="22" t="n"/>
      <c r="E397" s="23" t="n"/>
      <c r="F397" s="22" t="n"/>
      <c r="G397" s="14">
        <f>IF(OR(B397="",E397="",J397="",K397=""),"",IF(E397&lt;J397,"Below",IF(E397&gt;K397,"Above","In range")))</f>
        <v/>
      </c>
      <c r="H397" s="1" t="n"/>
      <c r="J397">
        <f>IF(M397="","",IF(INDEX(Settings!$C$10:$C$18,M397)="","",INDEX(Settings!$C$10:$C$18,M397)))</f>
        <v/>
      </c>
      <c r="K397">
        <f>IF(M397="","",IF(INDEX(Settings!$D$10:$D$18,M397)="","",INDEX(Settings!$D$10:$D$18,M397)))</f>
        <v/>
      </c>
      <c r="L397">
        <f>IF(OR(B397="",E397=""),"",B397+MOD(N(C397),1)+ROW()/10000000)</f>
        <v/>
      </c>
      <c r="M397">
        <f>IF(D397="","",IFERROR(MATCH(D397,Settings!$B$10:$B$18,0),""))</f>
        <v/>
      </c>
      <c r="N397">
        <f>IF(OR(B397="",E397="",M397=""),"",IF(AND(B397&gt;=Settings!$C$6,B397&lt;=Settings!$C$7),M397*10000+E397,""))</f>
        <v/>
      </c>
      <c r="O397">
        <f>IF(OR(B397="",E397=""),"",B397*10000+E397)</f>
        <v/>
      </c>
      <c r="P397">
        <f>IF(N397="","",E397)</f>
        <v/>
      </c>
    </row>
    <row r="398">
      <c r="A398" s="1" t="n"/>
      <c r="B398" s="20" t="n"/>
      <c r="C398" s="21" t="n"/>
      <c r="D398" s="22" t="n"/>
      <c r="E398" s="23" t="n"/>
      <c r="F398" s="22" t="n"/>
      <c r="G398" s="14">
        <f>IF(OR(B398="",E398="",J398="",K398=""),"",IF(E398&lt;J398,"Below",IF(E398&gt;K398,"Above","In range")))</f>
        <v/>
      </c>
      <c r="H398" s="1" t="n"/>
      <c r="J398">
        <f>IF(M398="","",IF(INDEX(Settings!$C$10:$C$18,M398)="","",INDEX(Settings!$C$10:$C$18,M398)))</f>
        <v/>
      </c>
      <c r="K398">
        <f>IF(M398="","",IF(INDEX(Settings!$D$10:$D$18,M398)="","",INDEX(Settings!$D$10:$D$18,M398)))</f>
        <v/>
      </c>
      <c r="L398">
        <f>IF(OR(B398="",E398=""),"",B398+MOD(N(C398),1)+ROW()/10000000)</f>
        <v/>
      </c>
      <c r="M398">
        <f>IF(D398="","",IFERROR(MATCH(D398,Settings!$B$10:$B$18,0),""))</f>
        <v/>
      </c>
      <c r="N398">
        <f>IF(OR(B398="",E398="",M398=""),"",IF(AND(B398&gt;=Settings!$C$6,B398&lt;=Settings!$C$7),M398*10000+E398,""))</f>
        <v/>
      </c>
      <c r="O398">
        <f>IF(OR(B398="",E398=""),"",B398*10000+E398)</f>
        <v/>
      </c>
      <c r="P398">
        <f>IF(N398="","",E398)</f>
        <v/>
      </c>
    </row>
    <row r="399">
      <c r="A399" s="1" t="n"/>
      <c r="B399" s="20" t="n"/>
      <c r="C399" s="21" t="n"/>
      <c r="D399" s="22" t="n"/>
      <c r="E399" s="23" t="n"/>
      <c r="F399" s="22" t="n"/>
      <c r="G399" s="14">
        <f>IF(OR(B399="",E399="",J399="",K399=""),"",IF(E399&lt;J399,"Below",IF(E399&gt;K399,"Above","In range")))</f>
        <v/>
      </c>
      <c r="H399" s="1" t="n"/>
      <c r="J399">
        <f>IF(M399="","",IF(INDEX(Settings!$C$10:$C$18,M399)="","",INDEX(Settings!$C$10:$C$18,M399)))</f>
        <v/>
      </c>
      <c r="K399">
        <f>IF(M399="","",IF(INDEX(Settings!$D$10:$D$18,M399)="","",INDEX(Settings!$D$10:$D$18,M399)))</f>
        <v/>
      </c>
      <c r="L399">
        <f>IF(OR(B399="",E399=""),"",B399+MOD(N(C399),1)+ROW()/10000000)</f>
        <v/>
      </c>
      <c r="M399">
        <f>IF(D399="","",IFERROR(MATCH(D399,Settings!$B$10:$B$18,0),""))</f>
        <v/>
      </c>
      <c r="N399">
        <f>IF(OR(B399="",E399="",M399=""),"",IF(AND(B399&gt;=Settings!$C$6,B399&lt;=Settings!$C$7),M399*10000+E399,""))</f>
        <v/>
      </c>
      <c r="O399">
        <f>IF(OR(B399="",E399=""),"",B399*10000+E399)</f>
        <v/>
      </c>
      <c r="P399">
        <f>IF(N399="","",E399)</f>
        <v/>
      </c>
    </row>
    <row r="400">
      <c r="A400" s="1" t="n"/>
      <c r="B400" s="20" t="n"/>
      <c r="C400" s="21" t="n"/>
      <c r="D400" s="22" t="n"/>
      <c r="E400" s="23" t="n"/>
      <c r="F400" s="22" t="n"/>
      <c r="G400" s="14">
        <f>IF(OR(B400="",E400="",J400="",K400=""),"",IF(E400&lt;J400,"Below",IF(E400&gt;K400,"Above","In range")))</f>
        <v/>
      </c>
      <c r="H400" s="1" t="n"/>
      <c r="J400">
        <f>IF(M400="","",IF(INDEX(Settings!$C$10:$C$18,M400)="","",INDEX(Settings!$C$10:$C$18,M400)))</f>
        <v/>
      </c>
      <c r="K400">
        <f>IF(M400="","",IF(INDEX(Settings!$D$10:$D$18,M400)="","",INDEX(Settings!$D$10:$D$18,M400)))</f>
        <v/>
      </c>
      <c r="L400">
        <f>IF(OR(B400="",E400=""),"",B400+MOD(N(C400),1)+ROW()/10000000)</f>
        <v/>
      </c>
      <c r="M400">
        <f>IF(D400="","",IFERROR(MATCH(D400,Settings!$B$10:$B$18,0),""))</f>
        <v/>
      </c>
      <c r="N400">
        <f>IF(OR(B400="",E400="",M400=""),"",IF(AND(B400&gt;=Settings!$C$6,B400&lt;=Settings!$C$7),M400*10000+E400,""))</f>
        <v/>
      </c>
      <c r="O400">
        <f>IF(OR(B400="",E400=""),"",B400*10000+E400)</f>
        <v/>
      </c>
      <c r="P400">
        <f>IF(N400="","",E400)</f>
        <v/>
      </c>
    </row>
    <row r="401">
      <c r="A401" s="1" t="n"/>
      <c r="B401" s="20" t="n"/>
      <c r="C401" s="21" t="n"/>
      <c r="D401" s="22" t="n"/>
      <c r="E401" s="23" t="n"/>
      <c r="F401" s="22" t="n"/>
      <c r="G401" s="14">
        <f>IF(OR(B401="",E401="",J401="",K401=""),"",IF(E401&lt;J401,"Below",IF(E401&gt;K401,"Above","In range")))</f>
        <v/>
      </c>
      <c r="H401" s="1" t="n"/>
      <c r="J401">
        <f>IF(M401="","",IF(INDEX(Settings!$C$10:$C$18,M401)="","",INDEX(Settings!$C$10:$C$18,M401)))</f>
        <v/>
      </c>
      <c r="K401">
        <f>IF(M401="","",IF(INDEX(Settings!$D$10:$D$18,M401)="","",INDEX(Settings!$D$10:$D$18,M401)))</f>
        <v/>
      </c>
      <c r="L401">
        <f>IF(OR(B401="",E401=""),"",B401+MOD(N(C401),1)+ROW()/10000000)</f>
        <v/>
      </c>
      <c r="M401">
        <f>IF(D401="","",IFERROR(MATCH(D401,Settings!$B$10:$B$18,0),""))</f>
        <v/>
      </c>
      <c r="N401">
        <f>IF(OR(B401="",E401="",M401=""),"",IF(AND(B401&gt;=Settings!$C$6,B401&lt;=Settings!$C$7),M401*10000+E401,""))</f>
        <v/>
      </c>
      <c r="O401">
        <f>IF(OR(B401="",E401=""),"",B401*10000+E401)</f>
        <v/>
      </c>
      <c r="P401">
        <f>IF(N401="","",E401)</f>
        <v/>
      </c>
    </row>
    <row r="402">
      <c r="A402" s="1" t="n"/>
      <c r="B402" s="20" t="n"/>
      <c r="C402" s="21" t="n"/>
      <c r="D402" s="22" t="n"/>
      <c r="E402" s="23" t="n"/>
      <c r="F402" s="22" t="n"/>
      <c r="G402" s="14">
        <f>IF(OR(B402="",E402="",J402="",K402=""),"",IF(E402&lt;J402,"Below",IF(E402&gt;K402,"Above","In range")))</f>
        <v/>
      </c>
      <c r="H402" s="1" t="n"/>
      <c r="J402">
        <f>IF(M402="","",IF(INDEX(Settings!$C$10:$C$18,M402)="","",INDEX(Settings!$C$10:$C$18,M402)))</f>
        <v/>
      </c>
      <c r="K402">
        <f>IF(M402="","",IF(INDEX(Settings!$D$10:$D$18,M402)="","",INDEX(Settings!$D$10:$D$18,M402)))</f>
        <v/>
      </c>
      <c r="L402">
        <f>IF(OR(B402="",E402=""),"",B402+MOD(N(C402),1)+ROW()/10000000)</f>
        <v/>
      </c>
      <c r="M402">
        <f>IF(D402="","",IFERROR(MATCH(D402,Settings!$B$10:$B$18,0),""))</f>
        <v/>
      </c>
      <c r="N402">
        <f>IF(OR(B402="",E402="",M402=""),"",IF(AND(B402&gt;=Settings!$C$6,B402&lt;=Settings!$C$7),M402*10000+E402,""))</f>
        <v/>
      </c>
      <c r="O402">
        <f>IF(OR(B402="",E402=""),"",B402*10000+E402)</f>
        <v/>
      </c>
      <c r="P402">
        <f>IF(N402="","",E402)</f>
        <v/>
      </c>
    </row>
    <row r="403">
      <c r="A403" s="1" t="n"/>
      <c r="B403" s="20" t="n"/>
      <c r="C403" s="21" t="n"/>
      <c r="D403" s="22" t="n"/>
      <c r="E403" s="23" t="n"/>
      <c r="F403" s="22" t="n"/>
      <c r="G403" s="14">
        <f>IF(OR(B403="",E403="",J403="",K403=""),"",IF(E403&lt;J403,"Below",IF(E403&gt;K403,"Above","In range")))</f>
        <v/>
      </c>
      <c r="H403" s="1" t="n"/>
      <c r="J403">
        <f>IF(M403="","",IF(INDEX(Settings!$C$10:$C$18,M403)="","",INDEX(Settings!$C$10:$C$18,M403)))</f>
        <v/>
      </c>
      <c r="K403">
        <f>IF(M403="","",IF(INDEX(Settings!$D$10:$D$18,M403)="","",INDEX(Settings!$D$10:$D$18,M403)))</f>
        <v/>
      </c>
      <c r="L403">
        <f>IF(OR(B403="",E403=""),"",B403+MOD(N(C403),1)+ROW()/10000000)</f>
        <v/>
      </c>
      <c r="M403">
        <f>IF(D403="","",IFERROR(MATCH(D403,Settings!$B$10:$B$18,0),""))</f>
        <v/>
      </c>
      <c r="N403">
        <f>IF(OR(B403="",E403="",M403=""),"",IF(AND(B403&gt;=Settings!$C$6,B403&lt;=Settings!$C$7),M403*10000+E403,""))</f>
        <v/>
      </c>
      <c r="O403">
        <f>IF(OR(B403="",E403=""),"",B403*10000+E403)</f>
        <v/>
      </c>
      <c r="P403">
        <f>IF(N403="","",E403)</f>
        <v/>
      </c>
    </row>
    <row r="404">
      <c r="A404" s="1" t="n"/>
      <c r="B404" s="20" t="n"/>
      <c r="C404" s="21" t="n"/>
      <c r="D404" s="22" t="n"/>
      <c r="E404" s="23" t="n"/>
      <c r="F404" s="22" t="n"/>
      <c r="G404" s="14">
        <f>IF(OR(B404="",E404="",J404="",K404=""),"",IF(E404&lt;J404,"Below",IF(E404&gt;K404,"Above","In range")))</f>
        <v/>
      </c>
      <c r="H404" s="1" t="n"/>
      <c r="J404">
        <f>IF(M404="","",IF(INDEX(Settings!$C$10:$C$18,M404)="","",INDEX(Settings!$C$10:$C$18,M404)))</f>
        <v/>
      </c>
      <c r="K404">
        <f>IF(M404="","",IF(INDEX(Settings!$D$10:$D$18,M404)="","",INDEX(Settings!$D$10:$D$18,M404)))</f>
        <v/>
      </c>
      <c r="L404">
        <f>IF(OR(B404="",E404=""),"",B404+MOD(N(C404),1)+ROW()/10000000)</f>
        <v/>
      </c>
      <c r="M404">
        <f>IF(D404="","",IFERROR(MATCH(D404,Settings!$B$10:$B$18,0),""))</f>
        <v/>
      </c>
      <c r="N404">
        <f>IF(OR(B404="",E404="",M404=""),"",IF(AND(B404&gt;=Settings!$C$6,B404&lt;=Settings!$C$7),M404*10000+E404,""))</f>
        <v/>
      </c>
      <c r="O404">
        <f>IF(OR(B404="",E404=""),"",B404*10000+E404)</f>
        <v/>
      </c>
      <c r="P404">
        <f>IF(N404="","",E404)</f>
        <v/>
      </c>
    </row>
    <row r="405">
      <c r="A405" s="1" t="n"/>
      <c r="B405" s="20" t="n"/>
      <c r="C405" s="21" t="n"/>
      <c r="D405" s="22" t="n"/>
      <c r="E405" s="23" t="n"/>
      <c r="F405" s="22" t="n"/>
      <c r="G405" s="14">
        <f>IF(OR(B405="",E405="",J405="",K405=""),"",IF(E405&lt;J405,"Below",IF(E405&gt;K405,"Above","In range")))</f>
        <v/>
      </c>
      <c r="H405" s="1" t="n"/>
      <c r="J405">
        <f>IF(M405="","",IF(INDEX(Settings!$C$10:$C$18,M405)="","",INDEX(Settings!$C$10:$C$18,M405)))</f>
        <v/>
      </c>
      <c r="K405">
        <f>IF(M405="","",IF(INDEX(Settings!$D$10:$D$18,M405)="","",INDEX(Settings!$D$10:$D$18,M405)))</f>
        <v/>
      </c>
      <c r="L405">
        <f>IF(OR(B405="",E405=""),"",B405+MOD(N(C405),1)+ROW()/10000000)</f>
        <v/>
      </c>
      <c r="M405">
        <f>IF(D405="","",IFERROR(MATCH(D405,Settings!$B$10:$B$18,0),""))</f>
        <v/>
      </c>
      <c r="N405">
        <f>IF(OR(B405="",E405="",M405=""),"",IF(AND(B405&gt;=Settings!$C$6,B405&lt;=Settings!$C$7),M405*10000+E405,""))</f>
        <v/>
      </c>
      <c r="O405">
        <f>IF(OR(B405="",E405=""),"",B405*10000+E405)</f>
        <v/>
      </c>
      <c r="P405">
        <f>IF(N405="","",E405)</f>
        <v/>
      </c>
    </row>
    <row r="406">
      <c r="A406" s="1" t="n"/>
      <c r="B406" s="20" t="n"/>
      <c r="C406" s="21" t="n"/>
      <c r="D406" s="22" t="n"/>
      <c r="E406" s="23" t="n"/>
      <c r="F406" s="22" t="n"/>
      <c r="G406" s="14">
        <f>IF(OR(B406="",E406="",J406="",K406=""),"",IF(E406&lt;J406,"Below",IF(E406&gt;K406,"Above","In range")))</f>
        <v/>
      </c>
      <c r="H406" s="1" t="n"/>
      <c r="J406">
        <f>IF(M406="","",IF(INDEX(Settings!$C$10:$C$18,M406)="","",INDEX(Settings!$C$10:$C$18,M406)))</f>
        <v/>
      </c>
      <c r="K406">
        <f>IF(M406="","",IF(INDEX(Settings!$D$10:$D$18,M406)="","",INDEX(Settings!$D$10:$D$18,M406)))</f>
        <v/>
      </c>
      <c r="L406">
        <f>IF(OR(B406="",E406=""),"",B406+MOD(N(C406),1)+ROW()/10000000)</f>
        <v/>
      </c>
      <c r="M406">
        <f>IF(D406="","",IFERROR(MATCH(D406,Settings!$B$10:$B$18,0),""))</f>
        <v/>
      </c>
      <c r="N406">
        <f>IF(OR(B406="",E406="",M406=""),"",IF(AND(B406&gt;=Settings!$C$6,B406&lt;=Settings!$C$7),M406*10000+E406,""))</f>
        <v/>
      </c>
      <c r="O406">
        <f>IF(OR(B406="",E406=""),"",B406*10000+E406)</f>
        <v/>
      </c>
      <c r="P406">
        <f>IF(N406="","",E406)</f>
        <v/>
      </c>
    </row>
    <row r="407">
      <c r="A407" s="1" t="n"/>
      <c r="B407" s="20" t="n"/>
      <c r="C407" s="21" t="n"/>
      <c r="D407" s="22" t="n"/>
      <c r="E407" s="23" t="n"/>
      <c r="F407" s="22" t="n"/>
      <c r="G407" s="14">
        <f>IF(OR(B407="",E407="",J407="",K407=""),"",IF(E407&lt;J407,"Below",IF(E407&gt;K407,"Above","In range")))</f>
        <v/>
      </c>
      <c r="H407" s="1" t="n"/>
      <c r="J407">
        <f>IF(M407="","",IF(INDEX(Settings!$C$10:$C$18,M407)="","",INDEX(Settings!$C$10:$C$18,M407)))</f>
        <v/>
      </c>
      <c r="K407">
        <f>IF(M407="","",IF(INDEX(Settings!$D$10:$D$18,M407)="","",INDEX(Settings!$D$10:$D$18,M407)))</f>
        <v/>
      </c>
      <c r="L407">
        <f>IF(OR(B407="",E407=""),"",B407+MOD(N(C407),1)+ROW()/10000000)</f>
        <v/>
      </c>
      <c r="M407">
        <f>IF(D407="","",IFERROR(MATCH(D407,Settings!$B$10:$B$18,0),""))</f>
        <v/>
      </c>
      <c r="N407">
        <f>IF(OR(B407="",E407="",M407=""),"",IF(AND(B407&gt;=Settings!$C$6,B407&lt;=Settings!$C$7),M407*10000+E407,""))</f>
        <v/>
      </c>
      <c r="O407">
        <f>IF(OR(B407="",E407=""),"",B407*10000+E407)</f>
        <v/>
      </c>
      <c r="P407">
        <f>IF(N407="","",E407)</f>
        <v/>
      </c>
    </row>
    <row r="408">
      <c r="A408" s="1" t="n"/>
      <c r="B408" s="20" t="n"/>
      <c r="C408" s="21" t="n"/>
      <c r="D408" s="22" t="n"/>
      <c r="E408" s="23" t="n"/>
      <c r="F408" s="22" t="n"/>
      <c r="G408" s="14">
        <f>IF(OR(B408="",E408="",J408="",K408=""),"",IF(E408&lt;J408,"Below",IF(E408&gt;K408,"Above","In range")))</f>
        <v/>
      </c>
      <c r="H408" s="1" t="n"/>
      <c r="J408">
        <f>IF(M408="","",IF(INDEX(Settings!$C$10:$C$18,M408)="","",INDEX(Settings!$C$10:$C$18,M408)))</f>
        <v/>
      </c>
      <c r="K408">
        <f>IF(M408="","",IF(INDEX(Settings!$D$10:$D$18,M408)="","",INDEX(Settings!$D$10:$D$18,M408)))</f>
        <v/>
      </c>
      <c r="L408">
        <f>IF(OR(B408="",E408=""),"",B408+MOD(N(C408),1)+ROW()/10000000)</f>
        <v/>
      </c>
      <c r="M408">
        <f>IF(D408="","",IFERROR(MATCH(D408,Settings!$B$10:$B$18,0),""))</f>
        <v/>
      </c>
      <c r="N408">
        <f>IF(OR(B408="",E408="",M408=""),"",IF(AND(B408&gt;=Settings!$C$6,B408&lt;=Settings!$C$7),M408*10000+E408,""))</f>
        <v/>
      </c>
      <c r="O408">
        <f>IF(OR(B408="",E408=""),"",B408*10000+E408)</f>
        <v/>
      </c>
      <c r="P408">
        <f>IF(N408="","",E408)</f>
        <v/>
      </c>
    </row>
    <row r="409">
      <c r="A409" s="1" t="n"/>
      <c r="B409" s="20" t="n"/>
      <c r="C409" s="21" t="n"/>
      <c r="D409" s="22" t="n"/>
      <c r="E409" s="23" t="n"/>
      <c r="F409" s="22" t="n"/>
      <c r="G409" s="14">
        <f>IF(OR(B409="",E409="",J409="",K409=""),"",IF(E409&lt;J409,"Below",IF(E409&gt;K409,"Above","In range")))</f>
        <v/>
      </c>
      <c r="H409" s="1" t="n"/>
      <c r="J409">
        <f>IF(M409="","",IF(INDEX(Settings!$C$10:$C$18,M409)="","",INDEX(Settings!$C$10:$C$18,M409)))</f>
        <v/>
      </c>
      <c r="K409">
        <f>IF(M409="","",IF(INDEX(Settings!$D$10:$D$18,M409)="","",INDEX(Settings!$D$10:$D$18,M409)))</f>
        <v/>
      </c>
      <c r="L409">
        <f>IF(OR(B409="",E409=""),"",B409+MOD(N(C409),1)+ROW()/10000000)</f>
        <v/>
      </c>
      <c r="M409">
        <f>IF(D409="","",IFERROR(MATCH(D409,Settings!$B$10:$B$18,0),""))</f>
        <v/>
      </c>
      <c r="N409">
        <f>IF(OR(B409="",E409="",M409=""),"",IF(AND(B409&gt;=Settings!$C$6,B409&lt;=Settings!$C$7),M409*10000+E409,""))</f>
        <v/>
      </c>
      <c r="O409">
        <f>IF(OR(B409="",E409=""),"",B409*10000+E409)</f>
        <v/>
      </c>
      <c r="P409">
        <f>IF(N409="","",E409)</f>
        <v/>
      </c>
    </row>
    <row r="410">
      <c r="A410" s="1" t="n"/>
      <c r="B410" s="20" t="n"/>
      <c r="C410" s="21" t="n"/>
      <c r="D410" s="22" t="n"/>
      <c r="E410" s="23" t="n"/>
      <c r="F410" s="22" t="n"/>
      <c r="G410" s="14">
        <f>IF(OR(B410="",E410="",J410="",K410=""),"",IF(E410&lt;J410,"Below",IF(E410&gt;K410,"Above","In range")))</f>
        <v/>
      </c>
      <c r="H410" s="1" t="n"/>
      <c r="J410">
        <f>IF(M410="","",IF(INDEX(Settings!$C$10:$C$18,M410)="","",INDEX(Settings!$C$10:$C$18,M410)))</f>
        <v/>
      </c>
      <c r="K410">
        <f>IF(M410="","",IF(INDEX(Settings!$D$10:$D$18,M410)="","",INDEX(Settings!$D$10:$D$18,M410)))</f>
        <v/>
      </c>
      <c r="L410">
        <f>IF(OR(B410="",E410=""),"",B410+MOD(N(C410),1)+ROW()/10000000)</f>
        <v/>
      </c>
      <c r="M410">
        <f>IF(D410="","",IFERROR(MATCH(D410,Settings!$B$10:$B$18,0),""))</f>
        <v/>
      </c>
      <c r="N410">
        <f>IF(OR(B410="",E410="",M410=""),"",IF(AND(B410&gt;=Settings!$C$6,B410&lt;=Settings!$C$7),M410*10000+E410,""))</f>
        <v/>
      </c>
      <c r="O410">
        <f>IF(OR(B410="",E410=""),"",B410*10000+E410)</f>
        <v/>
      </c>
      <c r="P410">
        <f>IF(N410="","",E410)</f>
        <v/>
      </c>
    </row>
    <row r="411">
      <c r="A411" s="1" t="n"/>
      <c r="B411" s="20" t="n"/>
      <c r="C411" s="21" t="n"/>
      <c r="D411" s="22" t="n"/>
      <c r="E411" s="23" t="n"/>
      <c r="F411" s="22" t="n"/>
      <c r="G411" s="14">
        <f>IF(OR(B411="",E411="",J411="",K411=""),"",IF(E411&lt;J411,"Below",IF(E411&gt;K411,"Above","In range")))</f>
        <v/>
      </c>
      <c r="H411" s="1" t="n"/>
      <c r="J411">
        <f>IF(M411="","",IF(INDEX(Settings!$C$10:$C$18,M411)="","",INDEX(Settings!$C$10:$C$18,M411)))</f>
        <v/>
      </c>
      <c r="K411">
        <f>IF(M411="","",IF(INDEX(Settings!$D$10:$D$18,M411)="","",INDEX(Settings!$D$10:$D$18,M411)))</f>
        <v/>
      </c>
      <c r="L411">
        <f>IF(OR(B411="",E411=""),"",B411+MOD(N(C411),1)+ROW()/10000000)</f>
        <v/>
      </c>
      <c r="M411">
        <f>IF(D411="","",IFERROR(MATCH(D411,Settings!$B$10:$B$18,0),""))</f>
        <v/>
      </c>
      <c r="N411">
        <f>IF(OR(B411="",E411="",M411=""),"",IF(AND(B411&gt;=Settings!$C$6,B411&lt;=Settings!$C$7),M411*10000+E411,""))</f>
        <v/>
      </c>
      <c r="O411">
        <f>IF(OR(B411="",E411=""),"",B411*10000+E411)</f>
        <v/>
      </c>
      <c r="P411">
        <f>IF(N411="","",E411)</f>
        <v/>
      </c>
    </row>
    <row r="412">
      <c r="A412" s="1" t="n"/>
      <c r="B412" s="20" t="n"/>
      <c r="C412" s="21" t="n"/>
      <c r="D412" s="22" t="n"/>
      <c r="E412" s="23" t="n"/>
      <c r="F412" s="22" t="n"/>
      <c r="G412" s="14">
        <f>IF(OR(B412="",E412="",J412="",K412=""),"",IF(E412&lt;J412,"Below",IF(E412&gt;K412,"Above","In range")))</f>
        <v/>
      </c>
      <c r="H412" s="1" t="n"/>
      <c r="J412">
        <f>IF(M412="","",IF(INDEX(Settings!$C$10:$C$18,M412)="","",INDEX(Settings!$C$10:$C$18,M412)))</f>
        <v/>
      </c>
      <c r="K412">
        <f>IF(M412="","",IF(INDEX(Settings!$D$10:$D$18,M412)="","",INDEX(Settings!$D$10:$D$18,M412)))</f>
        <v/>
      </c>
      <c r="L412">
        <f>IF(OR(B412="",E412=""),"",B412+MOD(N(C412),1)+ROW()/10000000)</f>
        <v/>
      </c>
      <c r="M412">
        <f>IF(D412="","",IFERROR(MATCH(D412,Settings!$B$10:$B$18,0),""))</f>
        <v/>
      </c>
      <c r="N412">
        <f>IF(OR(B412="",E412="",M412=""),"",IF(AND(B412&gt;=Settings!$C$6,B412&lt;=Settings!$C$7),M412*10000+E412,""))</f>
        <v/>
      </c>
      <c r="O412">
        <f>IF(OR(B412="",E412=""),"",B412*10000+E412)</f>
        <v/>
      </c>
      <c r="P412">
        <f>IF(N412="","",E412)</f>
        <v/>
      </c>
    </row>
    <row r="413">
      <c r="A413" s="1" t="n"/>
      <c r="B413" s="20" t="n"/>
      <c r="C413" s="21" t="n"/>
      <c r="D413" s="22" t="n"/>
      <c r="E413" s="23" t="n"/>
      <c r="F413" s="22" t="n"/>
      <c r="G413" s="14">
        <f>IF(OR(B413="",E413="",J413="",K413=""),"",IF(E413&lt;J413,"Below",IF(E413&gt;K413,"Above","In range")))</f>
        <v/>
      </c>
      <c r="H413" s="1" t="n"/>
      <c r="J413">
        <f>IF(M413="","",IF(INDEX(Settings!$C$10:$C$18,M413)="","",INDEX(Settings!$C$10:$C$18,M413)))</f>
        <v/>
      </c>
      <c r="K413">
        <f>IF(M413="","",IF(INDEX(Settings!$D$10:$D$18,M413)="","",INDEX(Settings!$D$10:$D$18,M413)))</f>
        <v/>
      </c>
      <c r="L413">
        <f>IF(OR(B413="",E413=""),"",B413+MOD(N(C413),1)+ROW()/10000000)</f>
        <v/>
      </c>
      <c r="M413">
        <f>IF(D413="","",IFERROR(MATCH(D413,Settings!$B$10:$B$18,0),""))</f>
        <v/>
      </c>
      <c r="N413">
        <f>IF(OR(B413="",E413="",M413=""),"",IF(AND(B413&gt;=Settings!$C$6,B413&lt;=Settings!$C$7),M413*10000+E413,""))</f>
        <v/>
      </c>
      <c r="O413">
        <f>IF(OR(B413="",E413=""),"",B413*10000+E413)</f>
        <v/>
      </c>
      <c r="P413">
        <f>IF(N413="","",E413)</f>
        <v/>
      </c>
    </row>
    <row r="414">
      <c r="A414" s="1" t="n"/>
      <c r="B414" s="20" t="n"/>
      <c r="C414" s="21" t="n"/>
      <c r="D414" s="22" t="n"/>
      <c r="E414" s="23" t="n"/>
      <c r="F414" s="22" t="n"/>
      <c r="G414" s="14">
        <f>IF(OR(B414="",E414="",J414="",K414=""),"",IF(E414&lt;J414,"Below",IF(E414&gt;K414,"Above","In range")))</f>
        <v/>
      </c>
      <c r="H414" s="1" t="n"/>
      <c r="J414">
        <f>IF(M414="","",IF(INDEX(Settings!$C$10:$C$18,M414)="","",INDEX(Settings!$C$10:$C$18,M414)))</f>
        <v/>
      </c>
      <c r="K414">
        <f>IF(M414="","",IF(INDEX(Settings!$D$10:$D$18,M414)="","",INDEX(Settings!$D$10:$D$18,M414)))</f>
        <v/>
      </c>
      <c r="L414">
        <f>IF(OR(B414="",E414=""),"",B414+MOD(N(C414),1)+ROW()/10000000)</f>
        <v/>
      </c>
      <c r="M414">
        <f>IF(D414="","",IFERROR(MATCH(D414,Settings!$B$10:$B$18,0),""))</f>
        <v/>
      </c>
      <c r="N414">
        <f>IF(OR(B414="",E414="",M414=""),"",IF(AND(B414&gt;=Settings!$C$6,B414&lt;=Settings!$C$7),M414*10000+E414,""))</f>
        <v/>
      </c>
      <c r="O414">
        <f>IF(OR(B414="",E414=""),"",B414*10000+E414)</f>
        <v/>
      </c>
      <c r="P414">
        <f>IF(N414="","",E414)</f>
        <v/>
      </c>
    </row>
    <row r="415">
      <c r="A415" s="1" t="n"/>
      <c r="B415" s="20" t="n"/>
      <c r="C415" s="21" t="n"/>
      <c r="D415" s="22" t="n"/>
      <c r="E415" s="23" t="n"/>
      <c r="F415" s="22" t="n"/>
      <c r="G415" s="14">
        <f>IF(OR(B415="",E415="",J415="",K415=""),"",IF(E415&lt;J415,"Below",IF(E415&gt;K415,"Above","In range")))</f>
        <v/>
      </c>
      <c r="H415" s="1" t="n"/>
      <c r="J415">
        <f>IF(M415="","",IF(INDEX(Settings!$C$10:$C$18,M415)="","",INDEX(Settings!$C$10:$C$18,M415)))</f>
        <v/>
      </c>
      <c r="K415">
        <f>IF(M415="","",IF(INDEX(Settings!$D$10:$D$18,M415)="","",INDEX(Settings!$D$10:$D$18,M415)))</f>
        <v/>
      </c>
      <c r="L415">
        <f>IF(OR(B415="",E415=""),"",B415+MOD(N(C415),1)+ROW()/10000000)</f>
        <v/>
      </c>
      <c r="M415">
        <f>IF(D415="","",IFERROR(MATCH(D415,Settings!$B$10:$B$18,0),""))</f>
        <v/>
      </c>
      <c r="N415">
        <f>IF(OR(B415="",E415="",M415=""),"",IF(AND(B415&gt;=Settings!$C$6,B415&lt;=Settings!$C$7),M415*10000+E415,""))</f>
        <v/>
      </c>
      <c r="O415">
        <f>IF(OR(B415="",E415=""),"",B415*10000+E415)</f>
        <v/>
      </c>
      <c r="P415">
        <f>IF(N415="","",E415)</f>
        <v/>
      </c>
    </row>
    <row r="416">
      <c r="A416" s="1" t="n"/>
      <c r="B416" s="20" t="n"/>
      <c r="C416" s="21" t="n"/>
      <c r="D416" s="22" t="n"/>
      <c r="E416" s="23" t="n"/>
      <c r="F416" s="22" t="n"/>
      <c r="G416" s="14">
        <f>IF(OR(B416="",E416="",J416="",K416=""),"",IF(E416&lt;J416,"Below",IF(E416&gt;K416,"Above","In range")))</f>
        <v/>
      </c>
      <c r="H416" s="1" t="n"/>
      <c r="J416">
        <f>IF(M416="","",IF(INDEX(Settings!$C$10:$C$18,M416)="","",INDEX(Settings!$C$10:$C$18,M416)))</f>
        <v/>
      </c>
      <c r="K416">
        <f>IF(M416="","",IF(INDEX(Settings!$D$10:$D$18,M416)="","",INDEX(Settings!$D$10:$D$18,M416)))</f>
        <v/>
      </c>
      <c r="L416">
        <f>IF(OR(B416="",E416=""),"",B416+MOD(N(C416),1)+ROW()/10000000)</f>
        <v/>
      </c>
      <c r="M416">
        <f>IF(D416="","",IFERROR(MATCH(D416,Settings!$B$10:$B$18,0),""))</f>
        <v/>
      </c>
      <c r="N416">
        <f>IF(OR(B416="",E416="",M416=""),"",IF(AND(B416&gt;=Settings!$C$6,B416&lt;=Settings!$C$7),M416*10000+E416,""))</f>
        <v/>
      </c>
      <c r="O416">
        <f>IF(OR(B416="",E416=""),"",B416*10000+E416)</f>
        <v/>
      </c>
      <c r="P416">
        <f>IF(N416="","",E416)</f>
        <v/>
      </c>
    </row>
    <row r="417">
      <c r="A417" s="1" t="n"/>
      <c r="B417" s="20" t="n"/>
      <c r="C417" s="21" t="n"/>
      <c r="D417" s="22" t="n"/>
      <c r="E417" s="23" t="n"/>
      <c r="F417" s="22" t="n"/>
      <c r="G417" s="14">
        <f>IF(OR(B417="",E417="",J417="",K417=""),"",IF(E417&lt;J417,"Below",IF(E417&gt;K417,"Above","In range")))</f>
        <v/>
      </c>
      <c r="H417" s="1" t="n"/>
      <c r="J417">
        <f>IF(M417="","",IF(INDEX(Settings!$C$10:$C$18,M417)="","",INDEX(Settings!$C$10:$C$18,M417)))</f>
        <v/>
      </c>
      <c r="K417">
        <f>IF(M417="","",IF(INDEX(Settings!$D$10:$D$18,M417)="","",INDEX(Settings!$D$10:$D$18,M417)))</f>
        <v/>
      </c>
      <c r="L417">
        <f>IF(OR(B417="",E417=""),"",B417+MOD(N(C417),1)+ROW()/10000000)</f>
        <v/>
      </c>
      <c r="M417">
        <f>IF(D417="","",IFERROR(MATCH(D417,Settings!$B$10:$B$18,0),""))</f>
        <v/>
      </c>
      <c r="N417">
        <f>IF(OR(B417="",E417="",M417=""),"",IF(AND(B417&gt;=Settings!$C$6,B417&lt;=Settings!$C$7),M417*10000+E417,""))</f>
        <v/>
      </c>
      <c r="O417">
        <f>IF(OR(B417="",E417=""),"",B417*10000+E417)</f>
        <v/>
      </c>
      <c r="P417">
        <f>IF(N417="","",E417)</f>
        <v/>
      </c>
    </row>
    <row r="418">
      <c r="A418" s="1" t="n"/>
      <c r="B418" s="20" t="n"/>
      <c r="C418" s="21" t="n"/>
      <c r="D418" s="22" t="n"/>
      <c r="E418" s="23" t="n"/>
      <c r="F418" s="22" t="n"/>
      <c r="G418" s="14">
        <f>IF(OR(B418="",E418="",J418="",K418=""),"",IF(E418&lt;J418,"Below",IF(E418&gt;K418,"Above","In range")))</f>
        <v/>
      </c>
      <c r="H418" s="1" t="n"/>
      <c r="J418">
        <f>IF(M418="","",IF(INDEX(Settings!$C$10:$C$18,M418)="","",INDEX(Settings!$C$10:$C$18,M418)))</f>
        <v/>
      </c>
      <c r="K418">
        <f>IF(M418="","",IF(INDEX(Settings!$D$10:$D$18,M418)="","",INDEX(Settings!$D$10:$D$18,M418)))</f>
        <v/>
      </c>
      <c r="L418">
        <f>IF(OR(B418="",E418=""),"",B418+MOD(N(C418),1)+ROW()/10000000)</f>
        <v/>
      </c>
      <c r="M418">
        <f>IF(D418="","",IFERROR(MATCH(D418,Settings!$B$10:$B$18,0),""))</f>
        <v/>
      </c>
      <c r="N418">
        <f>IF(OR(B418="",E418="",M418=""),"",IF(AND(B418&gt;=Settings!$C$6,B418&lt;=Settings!$C$7),M418*10000+E418,""))</f>
        <v/>
      </c>
      <c r="O418">
        <f>IF(OR(B418="",E418=""),"",B418*10000+E418)</f>
        <v/>
      </c>
      <c r="P418">
        <f>IF(N418="","",E418)</f>
        <v/>
      </c>
    </row>
    <row r="419">
      <c r="A419" s="1" t="n"/>
      <c r="B419" s="20" t="n"/>
      <c r="C419" s="21" t="n"/>
      <c r="D419" s="22" t="n"/>
      <c r="E419" s="23" t="n"/>
      <c r="F419" s="22" t="n"/>
      <c r="G419" s="14">
        <f>IF(OR(B419="",E419="",J419="",K419=""),"",IF(E419&lt;J419,"Below",IF(E419&gt;K419,"Above","In range")))</f>
        <v/>
      </c>
      <c r="H419" s="1" t="n"/>
      <c r="J419">
        <f>IF(M419="","",IF(INDEX(Settings!$C$10:$C$18,M419)="","",INDEX(Settings!$C$10:$C$18,M419)))</f>
        <v/>
      </c>
      <c r="K419">
        <f>IF(M419="","",IF(INDEX(Settings!$D$10:$D$18,M419)="","",INDEX(Settings!$D$10:$D$18,M419)))</f>
        <v/>
      </c>
      <c r="L419">
        <f>IF(OR(B419="",E419=""),"",B419+MOD(N(C419),1)+ROW()/10000000)</f>
        <v/>
      </c>
      <c r="M419">
        <f>IF(D419="","",IFERROR(MATCH(D419,Settings!$B$10:$B$18,0),""))</f>
        <v/>
      </c>
      <c r="N419">
        <f>IF(OR(B419="",E419="",M419=""),"",IF(AND(B419&gt;=Settings!$C$6,B419&lt;=Settings!$C$7),M419*10000+E419,""))</f>
        <v/>
      </c>
      <c r="O419">
        <f>IF(OR(B419="",E419=""),"",B419*10000+E419)</f>
        <v/>
      </c>
      <c r="P419">
        <f>IF(N419="","",E419)</f>
        <v/>
      </c>
    </row>
    <row r="420">
      <c r="A420" s="1" t="n"/>
      <c r="B420" s="20" t="n"/>
      <c r="C420" s="21" t="n"/>
      <c r="D420" s="22" t="n"/>
      <c r="E420" s="23" t="n"/>
      <c r="F420" s="22" t="n"/>
      <c r="G420" s="14">
        <f>IF(OR(B420="",E420="",J420="",K420=""),"",IF(E420&lt;J420,"Below",IF(E420&gt;K420,"Above","In range")))</f>
        <v/>
      </c>
      <c r="H420" s="1" t="n"/>
      <c r="J420">
        <f>IF(M420="","",IF(INDEX(Settings!$C$10:$C$18,M420)="","",INDEX(Settings!$C$10:$C$18,M420)))</f>
        <v/>
      </c>
      <c r="K420">
        <f>IF(M420="","",IF(INDEX(Settings!$D$10:$D$18,M420)="","",INDEX(Settings!$D$10:$D$18,M420)))</f>
        <v/>
      </c>
      <c r="L420">
        <f>IF(OR(B420="",E420=""),"",B420+MOD(N(C420),1)+ROW()/10000000)</f>
        <v/>
      </c>
      <c r="M420">
        <f>IF(D420="","",IFERROR(MATCH(D420,Settings!$B$10:$B$18,0),""))</f>
        <v/>
      </c>
      <c r="N420">
        <f>IF(OR(B420="",E420="",M420=""),"",IF(AND(B420&gt;=Settings!$C$6,B420&lt;=Settings!$C$7),M420*10000+E420,""))</f>
        <v/>
      </c>
      <c r="O420">
        <f>IF(OR(B420="",E420=""),"",B420*10000+E420)</f>
        <v/>
      </c>
      <c r="P420">
        <f>IF(N420="","",E420)</f>
        <v/>
      </c>
    </row>
    <row r="421">
      <c r="A421" s="1" t="n"/>
      <c r="B421" s="20" t="n"/>
      <c r="C421" s="21" t="n"/>
      <c r="D421" s="22" t="n"/>
      <c r="E421" s="23" t="n"/>
      <c r="F421" s="22" t="n"/>
      <c r="G421" s="14">
        <f>IF(OR(B421="",E421="",J421="",K421=""),"",IF(E421&lt;J421,"Below",IF(E421&gt;K421,"Above","In range")))</f>
        <v/>
      </c>
      <c r="H421" s="1" t="n"/>
      <c r="J421">
        <f>IF(M421="","",IF(INDEX(Settings!$C$10:$C$18,M421)="","",INDEX(Settings!$C$10:$C$18,M421)))</f>
        <v/>
      </c>
      <c r="K421">
        <f>IF(M421="","",IF(INDEX(Settings!$D$10:$D$18,M421)="","",INDEX(Settings!$D$10:$D$18,M421)))</f>
        <v/>
      </c>
      <c r="L421">
        <f>IF(OR(B421="",E421=""),"",B421+MOD(N(C421),1)+ROW()/10000000)</f>
        <v/>
      </c>
      <c r="M421">
        <f>IF(D421="","",IFERROR(MATCH(D421,Settings!$B$10:$B$18,0),""))</f>
        <v/>
      </c>
      <c r="N421">
        <f>IF(OR(B421="",E421="",M421=""),"",IF(AND(B421&gt;=Settings!$C$6,B421&lt;=Settings!$C$7),M421*10000+E421,""))</f>
        <v/>
      </c>
      <c r="O421">
        <f>IF(OR(B421="",E421=""),"",B421*10000+E421)</f>
        <v/>
      </c>
      <c r="P421">
        <f>IF(N421="","",E421)</f>
        <v/>
      </c>
    </row>
    <row r="422">
      <c r="A422" s="1" t="n"/>
      <c r="B422" s="20" t="n"/>
      <c r="C422" s="21" t="n"/>
      <c r="D422" s="22" t="n"/>
      <c r="E422" s="23" t="n"/>
      <c r="F422" s="22" t="n"/>
      <c r="G422" s="14">
        <f>IF(OR(B422="",E422="",J422="",K422=""),"",IF(E422&lt;J422,"Below",IF(E422&gt;K422,"Above","In range")))</f>
        <v/>
      </c>
      <c r="H422" s="1" t="n"/>
      <c r="J422">
        <f>IF(M422="","",IF(INDEX(Settings!$C$10:$C$18,M422)="","",INDEX(Settings!$C$10:$C$18,M422)))</f>
        <v/>
      </c>
      <c r="K422">
        <f>IF(M422="","",IF(INDEX(Settings!$D$10:$D$18,M422)="","",INDEX(Settings!$D$10:$D$18,M422)))</f>
        <v/>
      </c>
      <c r="L422">
        <f>IF(OR(B422="",E422=""),"",B422+MOD(N(C422),1)+ROW()/10000000)</f>
        <v/>
      </c>
      <c r="M422">
        <f>IF(D422="","",IFERROR(MATCH(D422,Settings!$B$10:$B$18,0),""))</f>
        <v/>
      </c>
      <c r="N422">
        <f>IF(OR(B422="",E422="",M422=""),"",IF(AND(B422&gt;=Settings!$C$6,B422&lt;=Settings!$C$7),M422*10000+E422,""))</f>
        <v/>
      </c>
      <c r="O422">
        <f>IF(OR(B422="",E422=""),"",B422*10000+E422)</f>
        <v/>
      </c>
      <c r="P422">
        <f>IF(N422="","",E422)</f>
        <v/>
      </c>
    </row>
    <row r="423">
      <c r="A423" s="1" t="n"/>
      <c r="B423" s="20" t="n"/>
      <c r="C423" s="21" t="n"/>
      <c r="D423" s="22" t="n"/>
      <c r="E423" s="23" t="n"/>
      <c r="F423" s="22" t="n"/>
      <c r="G423" s="14">
        <f>IF(OR(B423="",E423="",J423="",K423=""),"",IF(E423&lt;J423,"Below",IF(E423&gt;K423,"Above","In range")))</f>
        <v/>
      </c>
      <c r="H423" s="1" t="n"/>
      <c r="J423">
        <f>IF(M423="","",IF(INDEX(Settings!$C$10:$C$18,M423)="","",INDEX(Settings!$C$10:$C$18,M423)))</f>
        <v/>
      </c>
      <c r="K423">
        <f>IF(M423="","",IF(INDEX(Settings!$D$10:$D$18,M423)="","",INDEX(Settings!$D$10:$D$18,M423)))</f>
        <v/>
      </c>
      <c r="L423">
        <f>IF(OR(B423="",E423=""),"",B423+MOD(N(C423),1)+ROW()/10000000)</f>
        <v/>
      </c>
      <c r="M423">
        <f>IF(D423="","",IFERROR(MATCH(D423,Settings!$B$10:$B$18,0),""))</f>
        <v/>
      </c>
      <c r="N423">
        <f>IF(OR(B423="",E423="",M423=""),"",IF(AND(B423&gt;=Settings!$C$6,B423&lt;=Settings!$C$7),M423*10000+E423,""))</f>
        <v/>
      </c>
      <c r="O423">
        <f>IF(OR(B423="",E423=""),"",B423*10000+E423)</f>
        <v/>
      </c>
      <c r="P423">
        <f>IF(N423="","",E423)</f>
        <v/>
      </c>
    </row>
    <row r="424">
      <c r="A424" s="1" t="n"/>
      <c r="B424" s="20" t="n"/>
      <c r="C424" s="21" t="n"/>
      <c r="D424" s="22" t="n"/>
      <c r="E424" s="23" t="n"/>
      <c r="F424" s="22" t="n"/>
      <c r="G424" s="14">
        <f>IF(OR(B424="",E424="",J424="",K424=""),"",IF(E424&lt;J424,"Below",IF(E424&gt;K424,"Above","In range")))</f>
        <v/>
      </c>
      <c r="H424" s="1" t="n"/>
      <c r="J424">
        <f>IF(M424="","",IF(INDEX(Settings!$C$10:$C$18,M424)="","",INDEX(Settings!$C$10:$C$18,M424)))</f>
        <v/>
      </c>
      <c r="K424">
        <f>IF(M424="","",IF(INDEX(Settings!$D$10:$D$18,M424)="","",INDEX(Settings!$D$10:$D$18,M424)))</f>
        <v/>
      </c>
      <c r="L424">
        <f>IF(OR(B424="",E424=""),"",B424+MOD(N(C424),1)+ROW()/10000000)</f>
        <v/>
      </c>
      <c r="M424">
        <f>IF(D424="","",IFERROR(MATCH(D424,Settings!$B$10:$B$18,0),""))</f>
        <v/>
      </c>
      <c r="N424">
        <f>IF(OR(B424="",E424="",M424=""),"",IF(AND(B424&gt;=Settings!$C$6,B424&lt;=Settings!$C$7),M424*10000+E424,""))</f>
        <v/>
      </c>
      <c r="O424">
        <f>IF(OR(B424="",E424=""),"",B424*10000+E424)</f>
        <v/>
      </c>
      <c r="P424">
        <f>IF(N424="","",E424)</f>
        <v/>
      </c>
    </row>
    <row r="425">
      <c r="A425" s="1" t="n"/>
      <c r="B425" s="20" t="n"/>
      <c r="C425" s="21" t="n"/>
      <c r="D425" s="22" t="n"/>
      <c r="E425" s="23" t="n"/>
      <c r="F425" s="22" t="n"/>
      <c r="G425" s="14">
        <f>IF(OR(B425="",E425="",J425="",K425=""),"",IF(E425&lt;J425,"Below",IF(E425&gt;K425,"Above","In range")))</f>
        <v/>
      </c>
      <c r="H425" s="1" t="n"/>
      <c r="J425">
        <f>IF(M425="","",IF(INDEX(Settings!$C$10:$C$18,M425)="","",INDEX(Settings!$C$10:$C$18,M425)))</f>
        <v/>
      </c>
      <c r="K425">
        <f>IF(M425="","",IF(INDEX(Settings!$D$10:$D$18,M425)="","",INDEX(Settings!$D$10:$D$18,M425)))</f>
        <v/>
      </c>
      <c r="L425">
        <f>IF(OR(B425="",E425=""),"",B425+MOD(N(C425),1)+ROW()/10000000)</f>
        <v/>
      </c>
      <c r="M425">
        <f>IF(D425="","",IFERROR(MATCH(D425,Settings!$B$10:$B$18,0),""))</f>
        <v/>
      </c>
      <c r="N425">
        <f>IF(OR(B425="",E425="",M425=""),"",IF(AND(B425&gt;=Settings!$C$6,B425&lt;=Settings!$C$7),M425*10000+E425,""))</f>
        <v/>
      </c>
      <c r="O425">
        <f>IF(OR(B425="",E425=""),"",B425*10000+E425)</f>
        <v/>
      </c>
      <c r="P425">
        <f>IF(N425="","",E425)</f>
        <v/>
      </c>
    </row>
    <row r="426">
      <c r="A426" s="1" t="n"/>
      <c r="B426" s="20" t="n"/>
      <c r="C426" s="21" t="n"/>
      <c r="D426" s="22" t="n"/>
      <c r="E426" s="23" t="n"/>
      <c r="F426" s="22" t="n"/>
      <c r="G426" s="14">
        <f>IF(OR(B426="",E426="",J426="",K426=""),"",IF(E426&lt;J426,"Below",IF(E426&gt;K426,"Above","In range")))</f>
        <v/>
      </c>
      <c r="H426" s="1" t="n"/>
      <c r="J426">
        <f>IF(M426="","",IF(INDEX(Settings!$C$10:$C$18,M426)="","",INDEX(Settings!$C$10:$C$18,M426)))</f>
        <v/>
      </c>
      <c r="K426">
        <f>IF(M426="","",IF(INDEX(Settings!$D$10:$D$18,M426)="","",INDEX(Settings!$D$10:$D$18,M426)))</f>
        <v/>
      </c>
      <c r="L426">
        <f>IF(OR(B426="",E426=""),"",B426+MOD(N(C426),1)+ROW()/10000000)</f>
        <v/>
      </c>
      <c r="M426">
        <f>IF(D426="","",IFERROR(MATCH(D426,Settings!$B$10:$B$18,0),""))</f>
        <v/>
      </c>
      <c r="N426">
        <f>IF(OR(B426="",E426="",M426=""),"",IF(AND(B426&gt;=Settings!$C$6,B426&lt;=Settings!$C$7),M426*10000+E426,""))</f>
        <v/>
      </c>
      <c r="O426">
        <f>IF(OR(B426="",E426=""),"",B426*10000+E426)</f>
        <v/>
      </c>
      <c r="P426">
        <f>IF(N426="","",E426)</f>
        <v/>
      </c>
    </row>
    <row r="427">
      <c r="A427" s="1" t="n"/>
      <c r="B427" s="20" t="n"/>
      <c r="C427" s="21" t="n"/>
      <c r="D427" s="22" t="n"/>
      <c r="E427" s="23" t="n"/>
      <c r="F427" s="22" t="n"/>
      <c r="G427" s="14">
        <f>IF(OR(B427="",E427="",J427="",K427=""),"",IF(E427&lt;J427,"Below",IF(E427&gt;K427,"Above","In range")))</f>
        <v/>
      </c>
      <c r="H427" s="1" t="n"/>
      <c r="J427">
        <f>IF(M427="","",IF(INDEX(Settings!$C$10:$C$18,M427)="","",INDEX(Settings!$C$10:$C$18,M427)))</f>
        <v/>
      </c>
      <c r="K427">
        <f>IF(M427="","",IF(INDEX(Settings!$D$10:$D$18,M427)="","",INDEX(Settings!$D$10:$D$18,M427)))</f>
        <v/>
      </c>
      <c r="L427">
        <f>IF(OR(B427="",E427=""),"",B427+MOD(N(C427),1)+ROW()/10000000)</f>
        <v/>
      </c>
      <c r="M427">
        <f>IF(D427="","",IFERROR(MATCH(D427,Settings!$B$10:$B$18,0),""))</f>
        <v/>
      </c>
      <c r="N427">
        <f>IF(OR(B427="",E427="",M427=""),"",IF(AND(B427&gt;=Settings!$C$6,B427&lt;=Settings!$C$7),M427*10000+E427,""))</f>
        <v/>
      </c>
      <c r="O427">
        <f>IF(OR(B427="",E427=""),"",B427*10000+E427)</f>
        <v/>
      </c>
      <c r="P427">
        <f>IF(N427="","",E427)</f>
        <v/>
      </c>
    </row>
    <row r="428">
      <c r="A428" s="1" t="n"/>
      <c r="B428" s="20" t="n"/>
      <c r="C428" s="21" t="n"/>
      <c r="D428" s="22" t="n"/>
      <c r="E428" s="23" t="n"/>
      <c r="F428" s="22" t="n"/>
      <c r="G428" s="14">
        <f>IF(OR(B428="",E428="",J428="",K428=""),"",IF(E428&lt;J428,"Below",IF(E428&gt;K428,"Above","In range")))</f>
        <v/>
      </c>
      <c r="H428" s="1" t="n"/>
      <c r="J428">
        <f>IF(M428="","",IF(INDEX(Settings!$C$10:$C$18,M428)="","",INDEX(Settings!$C$10:$C$18,M428)))</f>
        <v/>
      </c>
      <c r="K428">
        <f>IF(M428="","",IF(INDEX(Settings!$D$10:$D$18,M428)="","",INDEX(Settings!$D$10:$D$18,M428)))</f>
        <v/>
      </c>
      <c r="L428">
        <f>IF(OR(B428="",E428=""),"",B428+MOD(N(C428),1)+ROW()/10000000)</f>
        <v/>
      </c>
      <c r="M428">
        <f>IF(D428="","",IFERROR(MATCH(D428,Settings!$B$10:$B$18,0),""))</f>
        <v/>
      </c>
      <c r="N428">
        <f>IF(OR(B428="",E428="",M428=""),"",IF(AND(B428&gt;=Settings!$C$6,B428&lt;=Settings!$C$7),M428*10000+E428,""))</f>
        <v/>
      </c>
      <c r="O428">
        <f>IF(OR(B428="",E428=""),"",B428*10000+E428)</f>
        <v/>
      </c>
      <c r="P428">
        <f>IF(N428="","",E428)</f>
        <v/>
      </c>
    </row>
    <row r="429">
      <c r="A429" s="1" t="n"/>
      <c r="B429" s="20" t="n"/>
      <c r="C429" s="21" t="n"/>
      <c r="D429" s="22" t="n"/>
      <c r="E429" s="23" t="n"/>
      <c r="F429" s="22" t="n"/>
      <c r="G429" s="14">
        <f>IF(OR(B429="",E429="",J429="",K429=""),"",IF(E429&lt;J429,"Below",IF(E429&gt;K429,"Above","In range")))</f>
        <v/>
      </c>
      <c r="H429" s="1" t="n"/>
      <c r="J429">
        <f>IF(M429="","",IF(INDEX(Settings!$C$10:$C$18,M429)="","",INDEX(Settings!$C$10:$C$18,M429)))</f>
        <v/>
      </c>
      <c r="K429">
        <f>IF(M429="","",IF(INDEX(Settings!$D$10:$D$18,M429)="","",INDEX(Settings!$D$10:$D$18,M429)))</f>
        <v/>
      </c>
      <c r="L429">
        <f>IF(OR(B429="",E429=""),"",B429+MOD(N(C429),1)+ROW()/10000000)</f>
        <v/>
      </c>
      <c r="M429">
        <f>IF(D429="","",IFERROR(MATCH(D429,Settings!$B$10:$B$18,0),""))</f>
        <v/>
      </c>
      <c r="N429">
        <f>IF(OR(B429="",E429="",M429=""),"",IF(AND(B429&gt;=Settings!$C$6,B429&lt;=Settings!$C$7),M429*10000+E429,""))</f>
        <v/>
      </c>
      <c r="O429">
        <f>IF(OR(B429="",E429=""),"",B429*10000+E429)</f>
        <v/>
      </c>
      <c r="P429">
        <f>IF(N429="","",E429)</f>
        <v/>
      </c>
    </row>
    <row r="430">
      <c r="A430" s="1" t="n"/>
      <c r="B430" s="20" t="n"/>
      <c r="C430" s="21" t="n"/>
      <c r="D430" s="22" t="n"/>
      <c r="E430" s="23" t="n"/>
      <c r="F430" s="22" t="n"/>
      <c r="G430" s="14">
        <f>IF(OR(B430="",E430="",J430="",K430=""),"",IF(E430&lt;J430,"Below",IF(E430&gt;K430,"Above","In range")))</f>
        <v/>
      </c>
      <c r="H430" s="1" t="n"/>
      <c r="J430">
        <f>IF(M430="","",IF(INDEX(Settings!$C$10:$C$18,M430)="","",INDEX(Settings!$C$10:$C$18,M430)))</f>
        <v/>
      </c>
      <c r="K430">
        <f>IF(M430="","",IF(INDEX(Settings!$D$10:$D$18,M430)="","",INDEX(Settings!$D$10:$D$18,M430)))</f>
        <v/>
      </c>
      <c r="L430">
        <f>IF(OR(B430="",E430=""),"",B430+MOD(N(C430),1)+ROW()/10000000)</f>
        <v/>
      </c>
      <c r="M430">
        <f>IF(D430="","",IFERROR(MATCH(D430,Settings!$B$10:$B$18,0),""))</f>
        <v/>
      </c>
      <c r="N430">
        <f>IF(OR(B430="",E430="",M430=""),"",IF(AND(B430&gt;=Settings!$C$6,B430&lt;=Settings!$C$7),M430*10000+E430,""))</f>
        <v/>
      </c>
      <c r="O430">
        <f>IF(OR(B430="",E430=""),"",B430*10000+E430)</f>
        <v/>
      </c>
      <c r="P430">
        <f>IF(N430="","",E430)</f>
        <v/>
      </c>
    </row>
    <row r="431">
      <c r="A431" s="1" t="n"/>
      <c r="B431" s="20" t="n"/>
      <c r="C431" s="21" t="n"/>
      <c r="D431" s="22" t="n"/>
      <c r="E431" s="23" t="n"/>
      <c r="F431" s="22" t="n"/>
      <c r="G431" s="14">
        <f>IF(OR(B431="",E431="",J431="",K431=""),"",IF(E431&lt;J431,"Below",IF(E431&gt;K431,"Above","In range")))</f>
        <v/>
      </c>
      <c r="H431" s="1" t="n"/>
      <c r="J431">
        <f>IF(M431="","",IF(INDEX(Settings!$C$10:$C$18,M431)="","",INDEX(Settings!$C$10:$C$18,M431)))</f>
        <v/>
      </c>
      <c r="K431">
        <f>IF(M431="","",IF(INDEX(Settings!$D$10:$D$18,M431)="","",INDEX(Settings!$D$10:$D$18,M431)))</f>
        <v/>
      </c>
      <c r="L431">
        <f>IF(OR(B431="",E431=""),"",B431+MOD(N(C431),1)+ROW()/10000000)</f>
        <v/>
      </c>
      <c r="M431">
        <f>IF(D431="","",IFERROR(MATCH(D431,Settings!$B$10:$B$18,0),""))</f>
        <v/>
      </c>
      <c r="N431">
        <f>IF(OR(B431="",E431="",M431=""),"",IF(AND(B431&gt;=Settings!$C$6,B431&lt;=Settings!$C$7),M431*10000+E431,""))</f>
        <v/>
      </c>
      <c r="O431">
        <f>IF(OR(B431="",E431=""),"",B431*10000+E431)</f>
        <v/>
      </c>
      <c r="P431">
        <f>IF(N431="","",E431)</f>
        <v/>
      </c>
    </row>
    <row r="432">
      <c r="A432" s="1" t="n"/>
      <c r="B432" s="20" t="n"/>
      <c r="C432" s="21" t="n"/>
      <c r="D432" s="22" t="n"/>
      <c r="E432" s="23" t="n"/>
      <c r="F432" s="22" t="n"/>
      <c r="G432" s="14">
        <f>IF(OR(B432="",E432="",J432="",K432=""),"",IF(E432&lt;J432,"Below",IF(E432&gt;K432,"Above","In range")))</f>
        <v/>
      </c>
      <c r="H432" s="1" t="n"/>
      <c r="J432">
        <f>IF(M432="","",IF(INDEX(Settings!$C$10:$C$18,M432)="","",INDEX(Settings!$C$10:$C$18,M432)))</f>
        <v/>
      </c>
      <c r="K432">
        <f>IF(M432="","",IF(INDEX(Settings!$D$10:$D$18,M432)="","",INDEX(Settings!$D$10:$D$18,M432)))</f>
        <v/>
      </c>
      <c r="L432">
        <f>IF(OR(B432="",E432=""),"",B432+MOD(N(C432),1)+ROW()/10000000)</f>
        <v/>
      </c>
      <c r="M432">
        <f>IF(D432="","",IFERROR(MATCH(D432,Settings!$B$10:$B$18,0),""))</f>
        <v/>
      </c>
      <c r="N432">
        <f>IF(OR(B432="",E432="",M432=""),"",IF(AND(B432&gt;=Settings!$C$6,B432&lt;=Settings!$C$7),M432*10000+E432,""))</f>
        <v/>
      </c>
      <c r="O432">
        <f>IF(OR(B432="",E432=""),"",B432*10000+E432)</f>
        <v/>
      </c>
      <c r="P432">
        <f>IF(N432="","",E432)</f>
        <v/>
      </c>
    </row>
    <row r="433">
      <c r="A433" s="1" t="n"/>
      <c r="B433" s="20" t="n"/>
      <c r="C433" s="21" t="n"/>
      <c r="D433" s="22" t="n"/>
      <c r="E433" s="23" t="n"/>
      <c r="F433" s="22" t="n"/>
      <c r="G433" s="14">
        <f>IF(OR(B433="",E433="",J433="",K433=""),"",IF(E433&lt;J433,"Below",IF(E433&gt;K433,"Above","In range")))</f>
        <v/>
      </c>
      <c r="H433" s="1" t="n"/>
      <c r="J433">
        <f>IF(M433="","",IF(INDEX(Settings!$C$10:$C$18,M433)="","",INDEX(Settings!$C$10:$C$18,M433)))</f>
        <v/>
      </c>
      <c r="K433">
        <f>IF(M433="","",IF(INDEX(Settings!$D$10:$D$18,M433)="","",INDEX(Settings!$D$10:$D$18,M433)))</f>
        <v/>
      </c>
      <c r="L433">
        <f>IF(OR(B433="",E433=""),"",B433+MOD(N(C433),1)+ROW()/10000000)</f>
        <v/>
      </c>
      <c r="M433">
        <f>IF(D433="","",IFERROR(MATCH(D433,Settings!$B$10:$B$18,0),""))</f>
        <v/>
      </c>
      <c r="N433">
        <f>IF(OR(B433="",E433="",M433=""),"",IF(AND(B433&gt;=Settings!$C$6,B433&lt;=Settings!$C$7),M433*10000+E433,""))</f>
        <v/>
      </c>
      <c r="O433">
        <f>IF(OR(B433="",E433=""),"",B433*10000+E433)</f>
        <v/>
      </c>
      <c r="P433">
        <f>IF(N433="","",E433)</f>
        <v/>
      </c>
    </row>
    <row r="434">
      <c r="A434" s="1" t="n"/>
      <c r="B434" s="20" t="n"/>
      <c r="C434" s="21" t="n"/>
      <c r="D434" s="22" t="n"/>
      <c r="E434" s="23" t="n"/>
      <c r="F434" s="22" t="n"/>
      <c r="G434" s="14">
        <f>IF(OR(B434="",E434="",J434="",K434=""),"",IF(E434&lt;J434,"Below",IF(E434&gt;K434,"Above","In range")))</f>
        <v/>
      </c>
      <c r="H434" s="1" t="n"/>
      <c r="J434">
        <f>IF(M434="","",IF(INDEX(Settings!$C$10:$C$18,M434)="","",INDEX(Settings!$C$10:$C$18,M434)))</f>
        <v/>
      </c>
      <c r="K434">
        <f>IF(M434="","",IF(INDEX(Settings!$D$10:$D$18,M434)="","",INDEX(Settings!$D$10:$D$18,M434)))</f>
        <v/>
      </c>
      <c r="L434">
        <f>IF(OR(B434="",E434=""),"",B434+MOD(N(C434),1)+ROW()/10000000)</f>
        <v/>
      </c>
      <c r="M434">
        <f>IF(D434="","",IFERROR(MATCH(D434,Settings!$B$10:$B$18,0),""))</f>
        <v/>
      </c>
      <c r="N434">
        <f>IF(OR(B434="",E434="",M434=""),"",IF(AND(B434&gt;=Settings!$C$6,B434&lt;=Settings!$C$7),M434*10000+E434,""))</f>
        <v/>
      </c>
      <c r="O434">
        <f>IF(OR(B434="",E434=""),"",B434*10000+E434)</f>
        <v/>
      </c>
      <c r="P434">
        <f>IF(N434="","",E434)</f>
        <v/>
      </c>
    </row>
    <row r="435">
      <c r="A435" s="1" t="n"/>
      <c r="B435" s="20" t="n"/>
      <c r="C435" s="21" t="n"/>
      <c r="D435" s="22" t="n"/>
      <c r="E435" s="23" t="n"/>
      <c r="F435" s="22" t="n"/>
      <c r="G435" s="14">
        <f>IF(OR(B435="",E435="",J435="",K435=""),"",IF(E435&lt;J435,"Below",IF(E435&gt;K435,"Above","In range")))</f>
        <v/>
      </c>
      <c r="H435" s="1" t="n"/>
      <c r="J435">
        <f>IF(M435="","",IF(INDEX(Settings!$C$10:$C$18,M435)="","",INDEX(Settings!$C$10:$C$18,M435)))</f>
        <v/>
      </c>
      <c r="K435">
        <f>IF(M435="","",IF(INDEX(Settings!$D$10:$D$18,M435)="","",INDEX(Settings!$D$10:$D$18,M435)))</f>
        <v/>
      </c>
      <c r="L435">
        <f>IF(OR(B435="",E435=""),"",B435+MOD(N(C435),1)+ROW()/10000000)</f>
        <v/>
      </c>
      <c r="M435">
        <f>IF(D435="","",IFERROR(MATCH(D435,Settings!$B$10:$B$18,0),""))</f>
        <v/>
      </c>
      <c r="N435">
        <f>IF(OR(B435="",E435="",M435=""),"",IF(AND(B435&gt;=Settings!$C$6,B435&lt;=Settings!$C$7),M435*10000+E435,""))</f>
        <v/>
      </c>
      <c r="O435">
        <f>IF(OR(B435="",E435=""),"",B435*10000+E435)</f>
        <v/>
      </c>
      <c r="P435">
        <f>IF(N435="","",E435)</f>
        <v/>
      </c>
    </row>
    <row r="436">
      <c r="A436" s="1" t="n"/>
      <c r="B436" s="20" t="n"/>
      <c r="C436" s="21" t="n"/>
      <c r="D436" s="22" t="n"/>
      <c r="E436" s="23" t="n"/>
      <c r="F436" s="22" t="n"/>
      <c r="G436" s="14">
        <f>IF(OR(B436="",E436="",J436="",K436=""),"",IF(E436&lt;J436,"Below",IF(E436&gt;K436,"Above","In range")))</f>
        <v/>
      </c>
      <c r="H436" s="1" t="n"/>
      <c r="J436">
        <f>IF(M436="","",IF(INDEX(Settings!$C$10:$C$18,M436)="","",INDEX(Settings!$C$10:$C$18,M436)))</f>
        <v/>
      </c>
      <c r="K436">
        <f>IF(M436="","",IF(INDEX(Settings!$D$10:$D$18,M436)="","",INDEX(Settings!$D$10:$D$18,M436)))</f>
        <v/>
      </c>
      <c r="L436">
        <f>IF(OR(B436="",E436=""),"",B436+MOD(N(C436),1)+ROW()/10000000)</f>
        <v/>
      </c>
      <c r="M436">
        <f>IF(D436="","",IFERROR(MATCH(D436,Settings!$B$10:$B$18,0),""))</f>
        <v/>
      </c>
      <c r="N436">
        <f>IF(OR(B436="",E436="",M436=""),"",IF(AND(B436&gt;=Settings!$C$6,B436&lt;=Settings!$C$7),M436*10000+E436,""))</f>
        <v/>
      </c>
      <c r="O436">
        <f>IF(OR(B436="",E436=""),"",B436*10000+E436)</f>
        <v/>
      </c>
      <c r="P436">
        <f>IF(N436="","",E436)</f>
        <v/>
      </c>
    </row>
    <row r="437">
      <c r="A437" s="1" t="n"/>
      <c r="B437" s="20" t="n"/>
      <c r="C437" s="21" t="n"/>
      <c r="D437" s="22" t="n"/>
      <c r="E437" s="23" t="n"/>
      <c r="F437" s="22" t="n"/>
      <c r="G437" s="14">
        <f>IF(OR(B437="",E437="",J437="",K437=""),"",IF(E437&lt;J437,"Below",IF(E437&gt;K437,"Above","In range")))</f>
        <v/>
      </c>
      <c r="H437" s="1" t="n"/>
      <c r="J437">
        <f>IF(M437="","",IF(INDEX(Settings!$C$10:$C$18,M437)="","",INDEX(Settings!$C$10:$C$18,M437)))</f>
        <v/>
      </c>
      <c r="K437">
        <f>IF(M437="","",IF(INDEX(Settings!$D$10:$D$18,M437)="","",INDEX(Settings!$D$10:$D$18,M437)))</f>
        <v/>
      </c>
      <c r="L437">
        <f>IF(OR(B437="",E437=""),"",B437+MOD(N(C437),1)+ROW()/10000000)</f>
        <v/>
      </c>
      <c r="M437">
        <f>IF(D437="","",IFERROR(MATCH(D437,Settings!$B$10:$B$18,0),""))</f>
        <v/>
      </c>
      <c r="N437">
        <f>IF(OR(B437="",E437="",M437=""),"",IF(AND(B437&gt;=Settings!$C$6,B437&lt;=Settings!$C$7),M437*10000+E437,""))</f>
        <v/>
      </c>
      <c r="O437">
        <f>IF(OR(B437="",E437=""),"",B437*10000+E437)</f>
        <v/>
      </c>
      <c r="P437">
        <f>IF(N437="","",E437)</f>
        <v/>
      </c>
    </row>
    <row r="438">
      <c r="A438" s="1" t="n"/>
      <c r="B438" s="20" t="n"/>
      <c r="C438" s="21" t="n"/>
      <c r="D438" s="22" t="n"/>
      <c r="E438" s="23" t="n"/>
      <c r="F438" s="22" t="n"/>
      <c r="G438" s="14">
        <f>IF(OR(B438="",E438="",J438="",K438=""),"",IF(E438&lt;J438,"Below",IF(E438&gt;K438,"Above","In range")))</f>
        <v/>
      </c>
      <c r="H438" s="1" t="n"/>
      <c r="J438">
        <f>IF(M438="","",IF(INDEX(Settings!$C$10:$C$18,M438)="","",INDEX(Settings!$C$10:$C$18,M438)))</f>
        <v/>
      </c>
      <c r="K438">
        <f>IF(M438="","",IF(INDEX(Settings!$D$10:$D$18,M438)="","",INDEX(Settings!$D$10:$D$18,M438)))</f>
        <v/>
      </c>
      <c r="L438">
        <f>IF(OR(B438="",E438=""),"",B438+MOD(N(C438),1)+ROW()/10000000)</f>
        <v/>
      </c>
      <c r="M438">
        <f>IF(D438="","",IFERROR(MATCH(D438,Settings!$B$10:$B$18,0),""))</f>
        <v/>
      </c>
      <c r="N438">
        <f>IF(OR(B438="",E438="",M438=""),"",IF(AND(B438&gt;=Settings!$C$6,B438&lt;=Settings!$C$7),M438*10000+E438,""))</f>
        <v/>
      </c>
      <c r="O438">
        <f>IF(OR(B438="",E438=""),"",B438*10000+E438)</f>
        <v/>
      </c>
      <c r="P438">
        <f>IF(N438="","",E438)</f>
        <v/>
      </c>
    </row>
    <row r="439">
      <c r="A439" s="1" t="n"/>
      <c r="B439" s="20" t="n"/>
      <c r="C439" s="21" t="n"/>
      <c r="D439" s="22" t="n"/>
      <c r="E439" s="23" t="n"/>
      <c r="F439" s="22" t="n"/>
      <c r="G439" s="14">
        <f>IF(OR(B439="",E439="",J439="",K439=""),"",IF(E439&lt;J439,"Below",IF(E439&gt;K439,"Above","In range")))</f>
        <v/>
      </c>
      <c r="H439" s="1" t="n"/>
      <c r="J439">
        <f>IF(M439="","",IF(INDEX(Settings!$C$10:$C$18,M439)="","",INDEX(Settings!$C$10:$C$18,M439)))</f>
        <v/>
      </c>
      <c r="K439">
        <f>IF(M439="","",IF(INDEX(Settings!$D$10:$D$18,M439)="","",INDEX(Settings!$D$10:$D$18,M439)))</f>
        <v/>
      </c>
      <c r="L439">
        <f>IF(OR(B439="",E439=""),"",B439+MOD(N(C439),1)+ROW()/10000000)</f>
        <v/>
      </c>
      <c r="M439">
        <f>IF(D439="","",IFERROR(MATCH(D439,Settings!$B$10:$B$18,0),""))</f>
        <v/>
      </c>
      <c r="N439">
        <f>IF(OR(B439="",E439="",M439=""),"",IF(AND(B439&gt;=Settings!$C$6,B439&lt;=Settings!$C$7),M439*10000+E439,""))</f>
        <v/>
      </c>
      <c r="O439">
        <f>IF(OR(B439="",E439=""),"",B439*10000+E439)</f>
        <v/>
      </c>
      <c r="P439">
        <f>IF(N439="","",E439)</f>
        <v/>
      </c>
    </row>
    <row r="440">
      <c r="A440" s="1" t="n"/>
      <c r="B440" s="20" t="n"/>
      <c r="C440" s="21" t="n"/>
      <c r="D440" s="22" t="n"/>
      <c r="E440" s="23" t="n"/>
      <c r="F440" s="22" t="n"/>
      <c r="G440" s="14">
        <f>IF(OR(B440="",E440="",J440="",K440=""),"",IF(E440&lt;J440,"Below",IF(E440&gt;K440,"Above","In range")))</f>
        <v/>
      </c>
      <c r="H440" s="1" t="n"/>
      <c r="J440">
        <f>IF(M440="","",IF(INDEX(Settings!$C$10:$C$18,M440)="","",INDEX(Settings!$C$10:$C$18,M440)))</f>
        <v/>
      </c>
      <c r="K440">
        <f>IF(M440="","",IF(INDEX(Settings!$D$10:$D$18,M440)="","",INDEX(Settings!$D$10:$D$18,M440)))</f>
        <v/>
      </c>
      <c r="L440">
        <f>IF(OR(B440="",E440=""),"",B440+MOD(N(C440),1)+ROW()/10000000)</f>
        <v/>
      </c>
      <c r="M440">
        <f>IF(D440="","",IFERROR(MATCH(D440,Settings!$B$10:$B$18,0),""))</f>
        <v/>
      </c>
      <c r="N440">
        <f>IF(OR(B440="",E440="",M440=""),"",IF(AND(B440&gt;=Settings!$C$6,B440&lt;=Settings!$C$7),M440*10000+E440,""))</f>
        <v/>
      </c>
      <c r="O440">
        <f>IF(OR(B440="",E440=""),"",B440*10000+E440)</f>
        <v/>
      </c>
      <c r="P440">
        <f>IF(N440="","",E440)</f>
        <v/>
      </c>
    </row>
    <row r="441">
      <c r="A441" s="1" t="n"/>
      <c r="B441" s="20" t="n"/>
      <c r="C441" s="21" t="n"/>
      <c r="D441" s="22" t="n"/>
      <c r="E441" s="23" t="n"/>
      <c r="F441" s="22" t="n"/>
      <c r="G441" s="14">
        <f>IF(OR(B441="",E441="",J441="",K441=""),"",IF(E441&lt;J441,"Below",IF(E441&gt;K441,"Above","In range")))</f>
        <v/>
      </c>
      <c r="H441" s="1" t="n"/>
      <c r="J441">
        <f>IF(M441="","",IF(INDEX(Settings!$C$10:$C$18,M441)="","",INDEX(Settings!$C$10:$C$18,M441)))</f>
        <v/>
      </c>
      <c r="K441">
        <f>IF(M441="","",IF(INDEX(Settings!$D$10:$D$18,M441)="","",INDEX(Settings!$D$10:$D$18,M441)))</f>
        <v/>
      </c>
      <c r="L441">
        <f>IF(OR(B441="",E441=""),"",B441+MOD(N(C441),1)+ROW()/10000000)</f>
        <v/>
      </c>
      <c r="M441">
        <f>IF(D441="","",IFERROR(MATCH(D441,Settings!$B$10:$B$18,0),""))</f>
        <v/>
      </c>
      <c r="N441">
        <f>IF(OR(B441="",E441="",M441=""),"",IF(AND(B441&gt;=Settings!$C$6,B441&lt;=Settings!$C$7),M441*10000+E441,""))</f>
        <v/>
      </c>
      <c r="O441">
        <f>IF(OR(B441="",E441=""),"",B441*10000+E441)</f>
        <v/>
      </c>
      <c r="P441">
        <f>IF(N441="","",E441)</f>
        <v/>
      </c>
    </row>
    <row r="442">
      <c r="A442" s="1" t="n"/>
      <c r="B442" s="20" t="n"/>
      <c r="C442" s="21" t="n"/>
      <c r="D442" s="22" t="n"/>
      <c r="E442" s="23" t="n"/>
      <c r="F442" s="22" t="n"/>
      <c r="G442" s="14">
        <f>IF(OR(B442="",E442="",J442="",K442=""),"",IF(E442&lt;J442,"Below",IF(E442&gt;K442,"Above","In range")))</f>
        <v/>
      </c>
      <c r="H442" s="1" t="n"/>
      <c r="J442">
        <f>IF(M442="","",IF(INDEX(Settings!$C$10:$C$18,M442)="","",INDEX(Settings!$C$10:$C$18,M442)))</f>
        <v/>
      </c>
      <c r="K442">
        <f>IF(M442="","",IF(INDEX(Settings!$D$10:$D$18,M442)="","",INDEX(Settings!$D$10:$D$18,M442)))</f>
        <v/>
      </c>
      <c r="L442">
        <f>IF(OR(B442="",E442=""),"",B442+MOD(N(C442),1)+ROW()/10000000)</f>
        <v/>
      </c>
      <c r="M442">
        <f>IF(D442="","",IFERROR(MATCH(D442,Settings!$B$10:$B$18,0),""))</f>
        <v/>
      </c>
      <c r="N442">
        <f>IF(OR(B442="",E442="",M442=""),"",IF(AND(B442&gt;=Settings!$C$6,B442&lt;=Settings!$C$7),M442*10000+E442,""))</f>
        <v/>
      </c>
      <c r="O442">
        <f>IF(OR(B442="",E442=""),"",B442*10000+E442)</f>
        <v/>
      </c>
      <c r="P442">
        <f>IF(N442="","",E442)</f>
        <v/>
      </c>
    </row>
    <row r="443">
      <c r="A443" s="1" t="n"/>
      <c r="B443" s="20" t="n"/>
      <c r="C443" s="21" t="n"/>
      <c r="D443" s="22" t="n"/>
      <c r="E443" s="23" t="n"/>
      <c r="F443" s="22" t="n"/>
      <c r="G443" s="14">
        <f>IF(OR(B443="",E443="",J443="",K443=""),"",IF(E443&lt;J443,"Below",IF(E443&gt;K443,"Above","In range")))</f>
        <v/>
      </c>
      <c r="H443" s="1" t="n"/>
      <c r="J443">
        <f>IF(M443="","",IF(INDEX(Settings!$C$10:$C$18,M443)="","",INDEX(Settings!$C$10:$C$18,M443)))</f>
        <v/>
      </c>
      <c r="K443">
        <f>IF(M443="","",IF(INDEX(Settings!$D$10:$D$18,M443)="","",INDEX(Settings!$D$10:$D$18,M443)))</f>
        <v/>
      </c>
      <c r="L443">
        <f>IF(OR(B443="",E443=""),"",B443+MOD(N(C443),1)+ROW()/10000000)</f>
        <v/>
      </c>
      <c r="M443">
        <f>IF(D443="","",IFERROR(MATCH(D443,Settings!$B$10:$B$18,0),""))</f>
        <v/>
      </c>
      <c r="N443">
        <f>IF(OR(B443="",E443="",M443=""),"",IF(AND(B443&gt;=Settings!$C$6,B443&lt;=Settings!$C$7),M443*10000+E443,""))</f>
        <v/>
      </c>
      <c r="O443">
        <f>IF(OR(B443="",E443=""),"",B443*10000+E443)</f>
        <v/>
      </c>
      <c r="P443">
        <f>IF(N443="","",E443)</f>
        <v/>
      </c>
    </row>
    <row r="444">
      <c r="A444" s="1" t="n"/>
      <c r="B444" s="20" t="n"/>
      <c r="C444" s="21" t="n"/>
      <c r="D444" s="22" t="n"/>
      <c r="E444" s="23" t="n"/>
      <c r="F444" s="22" t="n"/>
      <c r="G444" s="14">
        <f>IF(OR(B444="",E444="",J444="",K444=""),"",IF(E444&lt;J444,"Below",IF(E444&gt;K444,"Above","In range")))</f>
        <v/>
      </c>
      <c r="H444" s="1" t="n"/>
      <c r="J444">
        <f>IF(M444="","",IF(INDEX(Settings!$C$10:$C$18,M444)="","",INDEX(Settings!$C$10:$C$18,M444)))</f>
        <v/>
      </c>
      <c r="K444">
        <f>IF(M444="","",IF(INDEX(Settings!$D$10:$D$18,M444)="","",INDEX(Settings!$D$10:$D$18,M444)))</f>
        <v/>
      </c>
      <c r="L444">
        <f>IF(OR(B444="",E444=""),"",B444+MOD(N(C444),1)+ROW()/10000000)</f>
        <v/>
      </c>
      <c r="M444">
        <f>IF(D444="","",IFERROR(MATCH(D444,Settings!$B$10:$B$18,0),""))</f>
        <v/>
      </c>
      <c r="N444">
        <f>IF(OR(B444="",E444="",M444=""),"",IF(AND(B444&gt;=Settings!$C$6,B444&lt;=Settings!$C$7),M444*10000+E444,""))</f>
        <v/>
      </c>
      <c r="O444">
        <f>IF(OR(B444="",E444=""),"",B444*10000+E444)</f>
        <v/>
      </c>
      <c r="P444">
        <f>IF(N444="","",E444)</f>
        <v/>
      </c>
    </row>
    <row r="445">
      <c r="A445" s="1" t="n"/>
      <c r="B445" s="20" t="n"/>
      <c r="C445" s="21" t="n"/>
      <c r="D445" s="22" t="n"/>
      <c r="E445" s="23" t="n"/>
      <c r="F445" s="22" t="n"/>
      <c r="G445" s="14">
        <f>IF(OR(B445="",E445="",J445="",K445=""),"",IF(E445&lt;J445,"Below",IF(E445&gt;K445,"Above","In range")))</f>
        <v/>
      </c>
      <c r="H445" s="1" t="n"/>
      <c r="J445">
        <f>IF(M445="","",IF(INDEX(Settings!$C$10:$C$18,M445)="","",INDEX(Settings!$C$10:$C$18,M445)))</f>
        <v/>
      </c>
      <c r="K445">
        <f>IF(M445="","",IF(INDEX(Settings!$D$10:$D$18,M445)="","",INDEX(Settings!$D$10:$D$18,M445)))</f>
        <v/>
      </c>
      <c r="L445">
        <f>IF(OR(B445="",E445=""),"",B445+MOD(N(C445),1)+ROW()/10000000)</f>
        <v/>
      </c>
      <c r="M445">
        <f>IF(D445="","",IFERROR(MATCH(D445,Settings!$B$10:$B$18,0),""))</f>
        <v/>
      </c>
      <c r="N445">
        <f>IF(OR(B445="",E445="",M445=""),"",IF(AND(B445&gt;=Settings!$C$6,B445&lt;=Settings!$C$7),M445*10000+E445,""))</f>
        <v/>
      </c>
      <c r="O445">
        <f>IF(OR(B445="",E445=""),"",B445*10000+E445)</f>
        <v/>
      </c>
      <c r="P445">
        <f>IF(N445="","",E445)</f>
        <v/>
      </c>
    </row>
    <row r="446">
      <c r="A446" s="1" t="n"/>
      <c r="B446" s="20" t="n"/>
      <c r="C446" s="21" t="n"/>
      <c r="D446" s="22" t="n"/>
      <c r="E446" s="23" t="n"/>
      <c r="F446" s="22" t="n"/>
      <c r="G446" s="14">
        <f>IF(OR(B446="",E446="",J446="",K446=""),"",IF(E446&lt;J446,"Below",IF(E446&gt;K446,"Above","In range")))</f>
        <v/>
      </c>
      <c r="H446" s="1" t="n"/>
      <c r="J446">
        <f>IF(M446="","",IF(INDEX(Settings!$C$10:$C$18,M446)="","",INDEX(Settings!$C$10:$C$18,M446)))</f>
        <v/>
      </c>
      <c r="K446">
        <f>IF(M446="","",IF(INDEX(Settings!$D$10:$D$18,M446)="","",INDEX(Settings!$D$10:$D$18,M446)))</f>
        <v/>
      </c>
      <c r="L446">
        <f>IF(OR(B446="",E446=""),"",B446+MOD(N(C446),1)+ROW()/10000000)</f>
        <v/>
      </c>
      <c r="M446">
        <f>IF(D446="","",IFERROR(MATCH(D446,Settings!$B$10:$B$18,0),""))</f>
        <v/>
      </c>
      <c r="N446">
        <f>IF(OR(B446="",E446="",M446=""),"",IF(AND(B446&gt;=Settings!$C$6,B446&lt;=Settings!$C$7),M446*10000+E446,""))</f>
        <v/>
      </c>
      <c r="O446">
        <f>IF(OR(B446="",E446=""),"",B446*10000+E446)</f>
        <v/>
      </c>
      <c r="P446">
        <f>IF(N446="","",E446)</f>
        <v/>
      </c>
    </row>
    <row r="447">
      <c r="A447" s="1" t="n"/>
      <c r="B447" s="20" t="n"/>
      <c r="C447" s="21" t="n"/>
      <c r="D447" s="22" t="n"/>
      <c r="E447" s="23" t="n"/>
      <c r="F447" s="22" t="n"/>
      <c r="G447" s="14">
        <f>IF(OR(B447="",E447="",J447="",K447=""),"",IF(E447&lt;J447,"Below",IF(E447&gt;K447,"Above","In range")))</f>
        <v/>
      </c>
      <c r="H447" s="1" t="n"/>
      <c r="J447">
        <f>IF(M447="","",IF(INDEX(Settings!$C$10:$C$18,M447)="","",INDEX(Settings!$C$10:$C$18,M447)))</f>
        <v/>
      </c>
      <c r="K447">
        <f>IF(M447="","",IF(INDEX(Settings!$D$10:$D$18,M447)="","",INDEX(Settings!$D$10:$D$18,M447)))</f>
        <v/>
      </c>
      <c r="L447">
        <f>IF(OR(B447="",E447=""),"",B447+MOD(N(C447),1)+ROW()/10000000)</f>
        <v/>
      </c>
      <c r="M447">
        <f>IF(D447="","",IFERROR(MATCH(D447,Settings!$B$10:$B$18,0),""))</f>
        <v/>
      </c>
      <c r="N447">
        <f>IF(OR(B447="",E447="",M447=""),"",IF(AND(B447&gt;=Settings!$C$6,B447&lt;=Settings!$C$7),M447*10000+E447,""))</f>
        <v/>
      </c>
      <c r="O447">
        <f>IF(OR(B447="",E447=""),"",B447*10000+E447)</f>
        <v/>
      </c>
      <c r="P447">
        <f>IF(N447="","",E447)</f>
        <v/>
      </c>
    </row>
    <row r="448">
      <c r="A448" s="1" t="n"/>
      <c r="B448" s="20" t="n"/>
      <c r="C448" s="21" t="n"/>
      <c r="D448" s="22" t="n"/>
      <c r="E448" s="23" t="n"/>
      <c r="F448" s="22" t="n"/>
      <c r="G448" s="14">
        <f>IF(OR(B448="",E448="",J448="",K448=""),"",IF(E448&lt;J448,"Below",IF(E448&gt;K448,"Above","In range")))</f>
        <v/>
      </c>
      <c r="H448" s="1" t="n"/>
      <c r="J448">
        <f>IF(M448="","",IF(INDEX(Settings!$C$10:$C$18,M448)="","",INDEX(Settings!$C$10:$C$18,M448)))</f>
        <v/>
      </c>
      <c r="K448">
        <f>IF(M448="","",IF(INDEX(Settings!$D$10:$D$18,M448)="","",INDEX(Settings!$D$10:$D$18,M448)))</f>
        <v/>
      </c>
      <c r="L448">
        <f>IF(OR(B448="",E448=""),"",B448+MOD(N(C448),1)+ROW()/10000000)</f>
        <v/>
      </c>
      <c r="M448">
        <f>IF(D448="","",IFERROR(MATCH(D448,Settings!$B$10:$B$18,0),""))</f>
        <v/>
      </c>
      <c r="N448">
        <f>IF(OR(B448="",E448="",M448=""),"",IF(AND(B448&gt;=Settings!$C$6,B448&lt;=Settings!$C$7),M448*10000+E448,""))</f>
        <v/>
      </c>
      <c r="O448">
        <f>IF(OR(B448="",E448=""),"",B448*10000+E448)</f>
        <v/>
      </c>
      <c r="P448">
        <f>IF(N448="","",E448)</f>
        <v/>
      </c>
    </row>
    <row r="449">
      <c r="A449" s="1" t="n"/>
      <c r="B449" s="20" t="n"/>
      <c r="C449" s="21" t="n"/>
      <c r="D449" s="22" t="n"/>
      <c r="E449" s="23" t="n"/>
      <c r="F449" s="22" t="n"/>
      <c r="G449" s="14">
        <f>IF(OR(B449="",E449="",J449="",K449=""),"",IF(E449&lt;J449,"Below",IF(E449&gt;K449,"Above","In range")))</f>
        <v/>
      </c>
      <c r="H449" s="1" t="n"/>
      <c r="J449">
        <f>IF(M449="","",IF(INDEX(Settings!$C$10:$C$18,M449)="","",INDEX(Settings!$C$10:$C$18,M449)))</f>
        <v/>
      </c>
      <c r="K449">
        <f>IF(M449="","",IF(INDEX(Settings!$D$10:$D$18,M449)="","",INDEX(Settings!$D$10:$D$18,M449)))</f>
        <v/>
      </c>
      <c r="L449">
        <f>IF(OR(B449="",E449=""),"",B449+MOD(N(C449),1)+ROW()/10000000)</f>
        <v/>
      </c>
      <c r="M449">
        <f>IF(D449="","",IFERROR(MATCH(D449,Settings!$B$10:$B$18,0),""))</f>
        <v/>
      </c>
      <c r="N449">
        <f>IF(OR(B449="",E449="",M449=""),"",IF(AND(B449&gt;=Settings!$C$6,B449&lt;=Settings!$C$7),M449*10000+E449,""))</f>
        <v/>
      </c>
      <c r="O449">
        <f>IF(OR(B449="",E449=""),"",B449*10000+E449)</f>
        <v/>
      </c>
      <c r="P449">
        <f>IF(N449="","",E449)</f>
        <v/>
      </c>
    </row>
    <row r="450">
      <c r="A450" s="1" t="n"/>
      <c r="B450" s="20" t="n"/>
      <c r="C450" s="21" t="n"/>
      <c r="D450" s="22" t="n"/>
      <c r="E450" s="23" t="n"/>
      <c r="F450" s="22" t="n"/>
      <c r="G450" s="14">
        <f>IF(OR(B450="",E450="",J450="",K450=""),"",IF(E450&lt;J450,"Below",IF(E450&gt;K450,"Above","In range")))</f>
        <v/>
      </c>
      <c r="H450" s="1" t="n"/>
      <c r="J450">
        <f>IF(M450="","",IF(INDEX(Settings!$C$10:$C$18,M450)="","",INDEX(Settings!$C$10:$C$18,M450)))</f>
        <v/>
      </c>
      <c r="K450">
        <f>IF(M450="","",IF(INDEX(Settings!$D$10:$D$18,M450)="","",INDEX(Settings!$D$10:$D$18,M450)))</f>
        <v/>
      </c>
      <c r="L450">
        <f>IF(OR(B450="",E450=""),"",B450+MOD(N(C450),1)+ROW()/10000000)</f>
        <v/>
      </c>
      <c r="M450">
        <f>IF(D450="","",IFERROR(MATCH(D450,Settings!$B$10:$B$18,0),""))</f>
        <v/>
      </c>
      <c r="N450">
        <f>IF(OR(B450="",E450="",M450=""),"",IF(AND(B450&gt;=Settings!$C$6,B450&lt;=Settings!$C$7),M450*10000+E450,""))</f>
        <v/>
      </c>
      <c r="O450">
        <f>IF(OR(B450="",E450=""),"",B450*10000+E450)</f>
        <v/>
      </c>
      <c r="P450">
        <f>IF(N450="","",E450)</f>
        <v/>
      </c>
    </row>
    <row r="451">
      <c r="A451" s="1" t="n"/>
      <c r="B451" s="20" t="n"/>
      <c r="C451" s="21" t="n"/>
      <c r="D451" s="22" t="n"/>
      <c r="E451" s="23" t="n"/>
      <c r="F451" s="22" t="n"/>
      <c r="G451" s="14">
        <f>IF(OR(B451="",E451="",J451="",K451=""),"",IF(E451&lt;J451,"Below",IF(E451&gt;K451,"Above","In range")))</f>
        <v/>
      </c>
      <c r="H451" s="1" t="n"/>
      <c r="J451">
        <f>IF(M451="","",IF(INDEX(Settings!$C$10:$C$18,M451)="","",INDEX(Settings!$C$10:$C$18,M451)))</f>
        <v/>
      </c>
      <c r="K451">
        <f>IF(M451="","",IF(INDEX(Settings!$D$10:$D$18,M451)="","",INDEX(Settings!$D$10:$D$18,M451)))</f>
        <v/>
      </c>
      <c r="L451">
        <f>IF(OR(B451="",E451=""),"",B451+MOD(N(C451),1)+ROW()/10000000)</f>
        <v/>
      </c>
      <c r="M451">
        <f>IF(D451="","",IFERROR(MATCH(D451,Settings!$B$10:$B$18,0),""))</f>
        <v/>
      </c>
      <c r="N451">
        <f>IF(OR(B451="",E451="",M451=""),"",IF(AND(B451&gt;=Settings!$C$6,B451&lt;=Settings!$C$7),M451*10000+E451,""))</f>
        <v/>
      </c>
      <c r="O451">
        <f>IF(OR(B451="",E451=""),"",B451*10000+E451)</f>
        <v/>
      </c>
      <c r="P451">
        <f>IF(N451="","",E451)</f>
        <v/>
      </c>
    </row>
    <row r="452">
      <c r="A452" s="1" t="n"/>
      <c r="B452" s="20" t="n"/>
      <c r="C452" s="21" t="n"/>
      <c r="D452" s="22" t="n"/>
      <c r="E452" s="23" t="n"/>
      <c r="F452" s="22" t="n"/>
      <c r="G452" s="14">
        <f>IF(OR(B452="",E452="",J452="",K452=""),"",IF(E452&lt;J452,"Below",IF(E452&gt;K452,"Above","In range")))</f>
        <v/>
      </c>
      <c r="H452" s="1" t="n"/>
      <c r="J452">
        <f>IF(M452="","",IF(INDEX(Settings!$C$10:$C$18,M452)="","",INDEX(Settings!$C$10:$C$18,M452)))</f>
        <v/>
      </c>
      <c r="K452">
        <f>IF(M452="","",IF(INDEX(Settings!$D$10:$D$18,M452)="","",INDEX(Settings!$D$10:$D$18,M452)))</f>
        <v/>
      </c>
      <c r="L452">
        <f>IF(OR(B452="",E452=""),"",B452+MOD(N(C452),1)+ROW()/10000000)</f>
        <v/>
      </c>
      <c r="M452">
        <f>IF(D452="","",IFERROR(MATCH(D452,Settings!$B$10:$B$18,0),""))</f>
        <v/>
      </c>
      <c r="N452">
        <f>IF(OR(B452="",E452="",M452=""),"",IF(AND(B452&gt;=Settings!$C$6,B452&lt;=Settings!$C$7),M452*10000+E452,""))</f>
        <v/>
      </c>
      <c r="O452">
        <f>IF(OR(B452="",E452=""),"",B452*10000+E452)</f>
        <v/>
      </c>
      <c r="P452">
        <f>IF(N452="","",E452)</f>
        <v/>
      </c>
    </row>
    <row r="453">
      <c r="A453" s="1" t="n"/>
      <c r="B453" s="20" t="n"/>
      <c r="C453" s="21" t="n"/>
      <c r="D453" s="22" t="n"/>
      <c r="E453" s="23" t="n"/>
      <c r="F453" s="22" t="n"/>
      <c r="G453" s="14">
        <f>IF(OR(B453="",E453="",J453="",K453=""),"",IF(E453&lt;J453,"Below",IF(E453&gt;K453,"Above","In range")))</f>
        <v/>
      </c>
      <c r="H453" s="1" t="n"/>
      <c r="J453">
        <f>IF(M453="","",IF(INDEX(Settings!$C$10:$C$18,M453)="","",INDEX(Settings!$C$10:$C$18,M453)))</f>
        <v/>
      </c>
      <c r="K453">
        <f>IF(M453="","",IF(INDEX(Settings!$D$10:$D$18,M453)="","",INDEX(Settings!$D$10:$D$18,M453)))</f>
        <v/>
      </c>
      <c r="L453">
        <f>IF(OR(B453="",E453=""),"",B453+MOD(N(C453),1)+ROW()/10000000)</f>
        <v/>
      </c>
      <c r="M453">
        <f>IF(D453="","",IFERROR(MATCH(D453,Settings!$B$10:$B$18,0),""))</f>
        <v/>
      </c>
      <c r="N453">
        <f>IF(OR(B453="",E453="",M453=""),"",IF(AND(B453&gt;=Settings!$C$6,B453&lt;=Settings!$C$7),M453*10000+E453,""))</f>
        <v/>
      </c>
      <c r="O453">
        <f>IF(OR(B453="",E453=""),"",B453*10000+E453)</f>
        <v/>
      </c>
      <c r="P453">
        <f>IF(N453="","",E453)</f>
        <v/>
      </c>
    </row>
    <row r="454">
      <c r="A454" s="1" t="n"/>
      <c r="B454" s="20" t="n"/>
      <c r="C454" s="21" t="n"/>
      <c r="D454" s="22" t="n"/>
      <c r="E454" s="23" t="n"/>
      <c r="F454" s="22" t="n"/>
      <c r="G454" s="14">
        <f>IF(OR(B454="",E454="",J454="",K454=""),"",IF(E454&lt;J454,"Below",IF(E454&gt;K454,"Above","In range")))</f>
        <v/>
      </c>
      <c r="H454" s="1" t="n"/>
      <c r="J454">
        <f>IF(M454="","",IF(INDEX(Settings!$C$10:$C$18,M454)="","",INDEX(Settings!$C$10:$C$18,M454)))</f>
        <v/>
      </c>
      <c r="K454">
        <f>IF(M454="","",IF(INDEX(Settings!$D$10:$D$18,M454)="","",INDEX(Settings!$D$10:$D$18,M454)))</f>
        <v/>
      </c>
      <c r="L454">
        <f>IF(OR(B454="",E454=""),"",B454+MOD(N(C454),1)+ROW()/10000000)</f>
        <v/>
      </c>
      <c r="M454">
        <f>IF(D454="","",IFERROR(MATCH(D454,Settings!$B$10:$B$18,0),""))</f>
        <v/>
      </c>
      <c r="N454">
        <f>IF(OR(B454="",E454="",M454=""),"",IF(AND(B454&gt;=Settings!$C$6,B454&lt;=Settings!$C$7),M454*10000+E454,""))</f>
        <v/>
      </c>
      <c r="O454">
        <f>IF(OR(B454="",E454=""),"",B454*10000+E454)</f>
        <v/>
      </c>
      <c r="P454">
        <f>IF(N454="","",E454)</f>
        <v/>
      </c>
    </row>
    <row r="455">
      <c r="A455" s="1" t="n"/>
      <c r="B455" s="20" t="n"/>
      <c r="C455" s="21" t="n"/>
      <c r="D455" s="22" t="n"/>
      <c r="E455" s="23" t="n"/>
      <c r="F455" s="22" t="n"/>
      <c r="G455" s="14">
        <f>IF(OR(B455="",E455="",J455="",K455=""),"",IF(E455&lt;J455,"Below",IF(E455&gt;K455,"Above","In range")))</f>
        <v/>
      </c>
      <c r="H455" s="1" t="n"/>
      <c r="J455">
        <f>IF(M455="","",IF(INDEX(Settings!$C$10:$C$18,M455)="","",INDEX(Settings!$C$10:$C$18,M455)))</f>
        <v/>
      </c>
      <c r="K455">
        <f>IF(M455="","",IF(INDEX(Settings!$D$10:$D$18,M455)="","",INDEX(Settings!$D$10:$D$18,M455)))</f>
        <v/>
      </c>
      <c r="L455">
        <f>IF(OR(B455="",E455=""),"",B455+MOD(N(C455),1)+ROW()/10000000)</f>
        <v/>
      </c>
      <c r="M455">
        <f>IF(D455="","",IFERROR(MATCH(D455,Settings!$B$10:$B$18,0),""))</f>
        <v/>
      </c>
      <c r="N455">
        <f>IF(OR(B455="",E455="",M455=""),"",IF(AND(B455&gt;=Settings!$C$6,B455&lt;=Settings!$C$7),M455*10000+E455,""))</f>
        <v/>
      </c>
      <c r="O455">
        <f>IF(OR(B455="",E455=""),"",B455*10000+E455)</f>
        <v/>
      </c>
      <c r="P455">
        <f>IF(N455="","",E455)</f>
        <v/>
      </c>
    </row>
    <row r="456">
      <c r="A456" s="1" t="n"/>
      <c r="B456" s="20" t="n"/>
      <c r="C456" s="21" t="n"/>
      <c r="D456" s="22" t="n"/>
      <c r="E456" s="23" t="n"/>
      <c r="F456" s="22" t="n"/>
      <c r="G456" s="14">
        <f>IF(OR(B456="",E456="",J456="",K456=""),"",IF(E456&lt;J456,"Below",IF(E456&gt;K456,"Above","In range")))</f>
        <v/>
      </c>
      <c r="H456" s="1" t="n"/>
      <c r="J456">
        <f>IF(M456="","",IF(INDEX(Settings!$C$10:$C$18,M456)="","",INDEX(Settings!$C$10:$C$18,M456)))</f>
        <v/>
      </c>
      <c r="K456">
        <f>IF(M456="","",IF(INDEX(Settings!$D$10:$D$18,M456)="","",INDEX(Settings!$D$10:$D$18,M456)))</f>
        <v/>
      </c>
      <c r="L456">
        <f>IF(OR(B456="",E456=""),"",B456+MOD(N(C456),1)+ROW()/10000000)</f>
        <v/>
      </c>
      <c r="M456">
        <f>IF(D456="","",IFERROR(MATCH(D456,Settings!$B$10:$B$18,0),""))</f>
        <v/>
      </c>
      <c r="N456">
        <f>IF(OR(B456="",E456="",M456=""),"",IF(AND(B456&gt;=Settings!$C$6,B456&lt;=Settings!$C$7),M456*10000+E456,""))</f>
        <v/>
      </c>
      <c r="O456">
        <f>IF(OR(B456="",E456=""),"",B456*10000+E456)</f>
        <v/>
      </c>
      <c r="P456">
        <f>IF(N456="","",E456)</f>
        <v/>
      </c>
    </row>
    <row r="457">
      <c r="A457" s="1" t="n"/>
      <c r="B457" s="20" t="n"/>
      <c r="C457" s="21" t="n"/>
      <c r="D457" s="22" t="n"/>
      <c r="E457" s="23" t="n"/>
      <c r="F457" s="22" t="n"/>
      <c r="G457" s="14">
        <f>IF(OR(B457="",E457="",J457="",K457=""),"",IF(E457&lt;J457,"Below",IF(E457&gt;K457,"Above","In range")))</f>
        <v/>
      </c>
      <c r="H457" s="1" t="n"/>
      <c r="J457">
        <f>IF(M457="","",IF(INDEX(Settings!$C$10:$C$18,M457)="","",INDEX(Settings!$C$10:$C$18,M457)))</f>
        <v/>
      </c>
      <c r="K457">
        <f>IF(M457="","",IF(INDEX(Settings!$D$10:$D$18,M457)="","",INDEX(Settings!$D$10:$D$18,M457)))</f>
        <v/>
      </c>
      <c r="L457">
        <f>IF(OR(B457="",E457=""),"",B457+MOD(N(C457),1)+ROW()/10000000)</f>
        <v/>
      </c>
      <c r="M457">
        <f>IF(D457="","",IFERROR(MATCH(D457,Settings!$B$10:$B$18,0),""))</f>
        <v/>
      </c>
      <c r="N457">
        <f>IF(OR(B457="",E457="",M457=""),"",IF(AND(B457&gt;=Settings!$C$6,B457&lt;=Settings!$C$7),M457*10000+E457,""))</f>
        <v/>
      </c>
      <c r="O457">
        <f>IF(OR(B457="",E457=""),"",B457*10000+E457)</f>
        <v/>
      </c>
      <c r="P457">
        <f>IF(N457="","",E457)</f>
        <v/>
      </c>
    </row>
    <row r="458">
      <c r="A458" s="1" t="n"/>
      <c r="B458" s="20" t="n"/>
      <c r="C458" s="21" t="n"/>
      <c r="D458" s="22" t="n"/>
      <c r="E458" s="23" t="n"/>
      <c r="F458" s="22" t="n"/>
      <c r="G458" s="14">
        <f>IF(OR(B458="",E458="",J458="",K458=""),"",IF(E458&lt;J458,"Below",IF(E458&gt;K458,"Above","In range")))</f>
        <v/>
      </c>
      <c r="H458" s="1" t="n"/>
      <c r="J458">
        <f>IF(M458="","",IF(INDEX(Settings!$C$10:$C$18,M458)="","",INDEX(Settings!$C$10:$C$18,M458)))</f>
        <v/>
      </c>
      <c r="K458">
        <f>IF(M458="","",IF(INDEX(Settings!$D$10:$D$18,M458)="","",INDEX(Settings!$D$10:$D$18,M458)))</f>
        <v/>
      </c>
      <c r="L458">
        <f>IF(OR(B458="",E458=""),"",B458+MOD(N(C458),1)+ROW()/10000000)</f>
        <v/>
      </c>
      <c r="M458">
        <f>IF(D458="","",IFERROR(MATCH(D458,Settings!$B$10:$B$18,0),""))</f>
        <v/>
      </c>
      <c r="N458">
        <f>IF(OR(B458="",E458="",M458=""),"",IF(AND(B458&gt;=Settings!$C$6,B458&lt;=Settings!$C$7),M458*10000+E458,""))</f>
        <v/>
      </c>
      <c r="O458">
        <f>IF(OR(B458="",E458=""),"",B458*10000+E458)</f>
        <v/>
      </c>
      <c r="P458">
        <f>IF(N458="","",E458)</f>
        <v/>
      </c>
    </row>
    <row r="459">
      <c r="A459" s="1" t="n"/>
      <c r="B459" s="20" t="n"/>
      <c r="C459" s="21" t="n"/>
      <c r="D459" s="22" t="n"/>
      <c r="E459" s="23" t="n"/>
      <c r="F459" s="22" t="n"/>
      <c r="G459" s="14">
        <f>IF(OR(B459="",E459="",J459="",K459=""),"",IF(E459&lt;J459,"Below",IF(E459&gt;K459,"Above","In range")))</f>
        <v/>
      </c>
      <c r="H459" s="1" t="n"/>
      <c r="J459">
        <f>IF(M459="","",IF(INDEX(Settings!$C$10:$C$18,M459)="","",INDEX(Settings!$C$10:$C$18,M459)))</f>
        <v/>
      </c>
      <c r="K459">
        <f>IF(M459="","",IF(INDEX(Settings!$D$10:$D$18,M459)="","",INDEX(Settings!$D$10:$D$18,M459)))</f>
        <v/>
      </c>
      <c r="L459">
        <f>IF(OR(B459="",E459=""),"",B459+MOD(N(C459),1)+ROW()/10000000)</f>
        <v/>
      </c>
      <c r="M459">
        <f>IF(D459="","",IFERROR(MATCH(D459,Settings!$B$10:$B$18,0),""))</f>
        <v/>
      </c>
      <c r="N459">
        <f>IF(OR(B459="",E459="",M459=""),"",IF(AND(B459&gt;=Settings!$C$6,B459&lt;=Settings!$C$7),M459*10000+E459,""))</f>
        <v/>
      </c>
      <c r="O459">
        <f>IF(OR(B459="",E459=""),"",B459*10000+E459)</f>
        <v/>
      </c>
      <c r="P459">
        <f>IF(N459="","",E459)</f>
        <v/>
      </c>
    </row>
    <row r="460">
      <c r="A460" s="1" t="n"/>
      <c r="B460" s="20" t="n"/>
      <c r="C460" s="21" t="n"/>
      <c r="D460" s="22" t="n"/>
      <c r="E460" s="23" t="n"/>
      <c r="F460" s="22" t="n"/>
      <c r="G460" s="14">
        <f>IF(OR(B460="",E460="",J460="",K460=""),"",IF(E460&lt;J460,"Below",IF(E460&gt;K460,"Above","In range")))</f>
        <v/>
      </c>
      <c r="H460" s="1" t="n"/>
      <c r="J460">
        <f>IF(M460="","",IF(INDEX(Settings!$C$10:$C$18,M460)="","",INDEX(Settings!$C$10:$C$18,M460)))</f>
        <v/>
      </c>
      <c r="K460">
        <f>IF(M460="","",IF(INDEX(Settings!$D$10:$D$18,M460)="","",INDEX(Settings!$D$10:$D$18,M460)))</f>
        <v/>
      </c>
      <c r="L460">
        <f>IF(OR(B460="",E460=""),"",B460+MOD(N(C460),1)+ROW()/10000000)</f>
        <v/>
      </c>
      <c r="M460">
        <f>IF(D460="","",IFERROR(MATCH(D460,Settings!$B$10:$B$18,0),""))</f>
        <v/>
      </c>
      <c r="N460">
        <f>IF(OR(B460="",E460="",M460=""),"",IF(AND(B460&gt;=Settings!$C$6,B460&lt;=Settings!$C$7),M460*10000+E460,""))</f>
        <v/>
      </c>
      <c r="O460">
        <f>IF(OR(B460="",E460=""),"",B460*10000+E460)</f>
        <v/>
      </c>
      <c r="P460">
        <f>IF(N460="","",E460)</f>
        <v/>
      </c>
    </row>
    <row r="461">
      <c r="A461" s="1" t="n"/>
      <c r="B461" s="20" t="n"/>
      <c r="C461" s="21" t="n"/>
      <c r="D461" s="22" t="n"/>
      <c r="E461" s="23" t="n"/>
      <c r="F461" s="22" t="n"/>
      <c r="G461" s="14">
        <f>IF(OR(B461="",E461="",J461="",K461=""),"",IF(E461&lt;J461,"Below",IF(E461&gt;K461,"Above","In range")))</f>
        <v/>
      </c>
      <c r="H461" s="1" t="n"/>
      <c r="J461">
        <f>IF(M461="","",IF(INDEX(Settings!$C$10:$C$18,M461)="","",INDEX(Settings!$C$10:$C$18,M461)))</f>
        <v/>
      </c>
      <c r="K461">
        <f>IF(M461="","",IF(INDEX(Settings!$D$10:$D$18,M461)="","",INDEX(Settings!$D$10:$D$18,M461)))</f>
        <v/>
      </c>
      <c r="L461">
        <f>IF(OR(B461="",E461=""),"",B461+MOD(N(C461),1)+ROW()/10000000)</f>
        <v/>
      </c>
      <c r="M461">
        <f>IF(D461="","",IFERROR(MATCH(D461,Settings!$B$10:$B$18,0),""))</f>
        <v/>
      </c>
      <c r="N461">
        <f>IF(OR(B461="",E461="",M461=""),"",IF(AND(B461&gt;=Settings!$C$6,B461&lt;=Settings!$C$7),M461*10000+E461,""))</f>
        <v/>
      </c>
      <c r="O461">
        <f>IF(OR(B461="",E461=""),"",B461*10000+E461)</f>
        <v/>
      </c>
      <c r="P461">
        <f>IF(N461="","",E461)</f>
        <v/>
      </c>
    </row>
    <row r="462">
      <c r="A462" s="1" t="n"/>
      <c r="B462" s="20" t="n"/>
      <c r="C462" s="21" t="n"/>
      <c r="D462" s="22" t="n"/>
      <c r="E462" s="23" t="n"/>
      <c r="F462" s="22" t="n"/>
      <c r="G462" s="14">
        <f>IF(OR(B462="",E462="",J462="",K462=""),"",IF(E462&lt;J462,"Below",IF(E462&gt;K462,"Above","In range")))</f>
        <v/>
      </c>
      <c r="H462" s="1" t="n"/>
      <c r="J462">
        <f>IF(M462="","",IF(INDEX(Settings!$C$10:$C$18,M462)="","",INDEX(Settings!$C$10:$C$18,M462)))</f>
        <v/>
      </c>
      <c r="K462">
        <f>IF(M462="","",IF(INDEX(Settings!$D$10:$D$18,M462)="","",INDEX(Settings!$D$10:$D$18,M462)))</f>
        <v/>
      </c>
      <c r="L462">
        <f>IF(OR(B462="",E462=""),"",B462+MOD(N(C462),1)+ROW()/10000000)</f>
        <v/>
      </c>
      <c r="M462">
        <f>IF(D462="","",IFERROR(MATCH(D462,Settings!$B$10:$B$18,0),""))</f>
        <v/>
      </c>
      <c r="N462">
        <f>IF(OR(B462="",E462="",M462=""),"",IF(AND(B462&gt;=Settings!$C$6,B462&lt;=Settings!$C$7),M462*10000+E462,""))</f>
        <v/>
      </c>
      <c r="O462">
        <f>IF(OR(B462="",E462=""),"",B462*10000+E462)</f>
        <v/>
      </c>
      <c r="P462">
        <f>IF(N462="","",E462)</f>
        <v/>
      </c>
    </row>
    <row r="463">
      <c r="A463" s="1" t="n"/>
      <c r="B463" s="20" t="n"/>
      <c r="C463" s="21" t="n"/>
      <c r="D463" s="22" t="n"/>
      <c r="E463" s="23" t="n"/>
      <c r="F463" s="22" t="n"/>
      <c r="G463" s="14">
        <f>IF(OR(B463="",E463="",J463="",K463=""),"",IF(E463&lt;J463,"Below",IF(E463&gt;K463,"Above","In range")))</f>
        <v/>
      </c>
      <c r="H463" s="1" t="n"/>
      <c r="J463">
        <f>IF(M463="","",IF(INDEX(Settings!$C$10:$C$18,M463)="","",INDEX(Settings!$C$10:$C$18,M463)))</f>
        <v/>
      </c>
      <c r="K463">
        <f>IF(M463="","",IF(INDEX(Settings!$D$10:$D$18,M463)="","",INDEX(Settings!$D$10:$D$18,M463)))</f>
        <v/>
      </c>
      <c r="L463">
        <f>IF(OR(B463="",E463=""),"",B463+MOD(N(C463),1)+ROW()/10000000)</f>
        <v/>
      </c>
      <c r="M463">
        <f>IF(D463="","",IFERROR(MATCH(D463,Settings!$B$10:$B$18,0),""))</f>
        <v/>
      </c>
      <c r="N463">
        <f>IF(OR(B463="",E463="",M463=""),"",IF(AND(B463&gt;=Settings!$C$6,B463&lt;=Settings!$C$7),M463*10000+E463,""))</f>
        <v/>
      </c>
      <c r="O463">
        <f>IF(OR(B463="",E463=""),"",B463*10000+E463)</f>
        <v/>
      </c>
      <c r="P463">
        <f>IF(N463="","",E463)</f>
        <v/>
      </c>
    </row>
    <row r="464">
      <c r="A464" s="1" t="n"/>
      <c r="B464" s="20" t="n"/>
      <c r="C464" s="21" t="n"/>
      <c r="D464" s="22" t="n"/>
      <c r="E464" s="23" t="n"/>
      <c r="F464" s="22" t="n"/>
      <c r="G464" s="14">
        <f>IF(OR(B464="",E464="",J464="",K464=""),"",IF(E464&lt;J464,"Below",IF(E464&gt;K464,"Above","In range")))</f>
        <v/>
      </c>
      <c r="H464" s="1" t="n"/>
      <c r="J464">
        <f>IF(M464="","",IF(INDEX(Settings!$C$10:$C$18,M464)="","",INDEX(Settings!$C$10:$C$18,M464)))</f>
        <v/>
      </c>
      <c r="K464">
        <f>IF(M464="","",IF(INDEX(Settings!$D$10:$D$18,M464)="","",INDEX(Settings!$D$10:$D$18,M464)))</f>
        <v/>
      </c>
      <c r="L464">
        <f>IF(OR(B464="",E464=""),"",B464+MOD(N(C464),1)+ROW()/10000000)</f>
        <v/>
      </c>
      <c r="M464">
        <f>IF(D464="","",IFERROR(MATCH(D464,Settings!$B$10:$B$18,0),""))</f>
        <v/>
      </c>
      <c r="N464">
        <f>IF(OR(B464="",E464="",M464=""),"",IF(AND(B464&gt;=Settings!$C$6,B464&lt;=Settings!$C$7),M464*10000+E464,""))</f>
        <v/>
      </c>
      <c r="O464">
        <f>IF(OR(B464="",E464=""),"",B464*10000+E464)</f>
        <v/>
      </c>
      <c r="P464">
        <f>IF(N464="","",E464)</f>
        <v/>
      </c>
    </row>
    <row r="465">
      <c r="A465" s="1" t="n"/>
      <c r="B465" s="20" t="n"/>
      <c r="C465" s="21" t="n"/>
      <c r="D465" s="22" t="n"/>
      <c r="E465" s="23" t="n"/>
      <c r="F465" s="22" t="n"/>
      <c r="G465" s="14">
        <f>IF(OR(B465="",E465="",J465="",K465=""),"",IF(E465&lt;J465,"Below",IF(E465&gt;K465,"Above","In range")))</f>
        <v/>
      </c>
      <c r="H465" s="1" t="n"/>
      <c r="J465">
        <f>IF(M465="","",IF(INDEX(Settings!$C$10:$C$18,M465)="","",INDEX(Settings!$C$10:$C$18,M465)))</f>
        <v/>
      </c>
      <c r="K465">
        <f>IF(M465="","",IF(INDEX(Settings!$D$10:$D$18,M465)="","",INDEX(Settings!$D$10:$D$18,M465)))</f>
        <v/>
      </c>
      <c r="L465">
        <f>IF(OR(B465="",E465=""),"",B465+MOD(N(C465),1)+ROW()/10000000)</f>
        <v/>
      </c>
      <c r="M465">
        <f>IF(D465="","",IFERROR(MATCH(D465,Settings!$B$10:$B$18,0),""))</f>
        <v/>
      </c>
      <c r="N465">
        <f>IF(OR(B465="",E465="",M465=""),"",IF(AND(B465&gt;=Settings!$C$6,B465&lt;=Settings!$C$7),M465*10000+E465,""))</f>
        <v/>
      </c>
      <c r="O465">
        <f>IF(OR(B465="",E465=""),"",B465*10000+E465)</f>
        <v/>
      </c>
      <c r="P465">
        <f>IF(N465="","",E465)</f>
        <v/>
      </c>
    </row>
    <row r="466">
      <c r="A466" s="1" t="n"/>
      <c r="B466" s="20" t="n"/>
      <c r="C466" s="21" t="n"/>
      <c r="D466" s="22" t="n"/>
      <c r="E466" s="23" t="n"/>
      <c r="F466" s="22" t="n"/>
      <c r="G466" s="14">
        <f>IF(OR(B466="",E466="",J466="",K466=""),"",IF(E466&lt;J466,"Below",IF(E466&gt;K466,"Above","In range")))</f>
        <v/>
      </c>
      <c r="H466" s="1" t="n"/>
      <c r="J466">
        <f>IF(M466="","",IF(INDEX(Settings!$C$10:$C$18,M466)="","",INDEX(Settings!$C$10:$C$18,M466)))</f>
        <v/>
      </c>
      <c r="K466">
        <f>IF(M466="","",IF(INDEX(Settings!$D$10:$D$18,M466)="","",INDEX(Settings!$D$10:$D$18,M466)))</f>
        <v/>
      </c>
      <c r="L466">
        <f>IF(OR(B466="",E466=""),"",B466+MOD(N(C466),1)+ROW()/10000000)</f>
        <v/>
      </c>
      <c r="M466">
        <f>IF(D466="","",IFERROR(MATCH(D466,Settings!$B$10:$B$18,0),""))</f>
        <v/>
      </c>
      <c r="N466">
        <f>IF(OR(B466="",E466="",M466=""),"",IF(AND(B466&gt;=Settings!$C$6,B466&lt;=Settings!$C$7),M466*10000+E466,""))</f>
        <v/>
      </c>
      <c r="O466">
        <f>IF(OR(B466="",E466=""),"",B466*10000+E466)</f>
        <v/>
      </c>
      <c r="P466">
        <f>IF(N466="","",E466)</f>
        <v/>
      </c>
    </row>
    <row r="467">
      <c r="A467" s="1" t="n"/>
      <c r="B467" s="20" t="n"/>
      <c r="C467" s="21" t="n"/>
      <c r="D467" s="22" t="n"/>
      <c r="E467" s="23" t="n"/>
      <c r="F467" s="22" t="n"/>
      <c r="G467" s="14">
        <f>IF(OR(B467="",E467="",J467="",K467=""),"",IF(E467&lt;J467,"Below",IF(E467&gt;K467,"Above","In range")))</f>
        <v/>
      </c>
      <c r="H467" s="1" t="n"/>
      <c r="J467">
        <f>IF(M467="","",IF(INDEX(Settings!$C$10:$C$18,M467)="","",INDEX(Settings!$C$10:$C$18,M467)))</f>
        <v/>
      </c>
      <c r="K467">
        <f>IF(M467="","",IF(INDEX(Settings!$D$10:$D$18,M467)="","",INDEX(Settings!$D$10:$D$18,M467)))</f>
        <v/>
      </c>
      <c r="L467">
        <f>IF(OR(B467="",E467=""),"",B467+MOD(N(C467),1)+ROW()/10000000)</f>
        <v/>
      </c>
      <c r="M467">
        <f>IF(D467="","",IFERROR(MATCH(D467,Settings!$B$10:$B$18,0),""))</f>
        <v/>
      </c>
      <c r="N467">
        <f>IF(OR(B467="",E467="",M467=""),"",IF(AND(B467&gt;=Settings!$C$6,B467&lt;=Settings!$C$7),M467*10000+E467,""))</f>
        <v/>
      </c>
      <c r="O467">
        <f>IF(OR(B467="",E467=""),"",B467*10000+E467)</f>
        <v/>
      </c>
      <c r="P467">
        <f>IF(N467="","",E467)</f>
        <v/>
      </c>
    </row>
    <row r="468">
      <c r="A468" s="1" t="n"/>
      <c r="B468" s="20" t="n"/>
      <c r="C468" s="21" t="n"/>
      <c r="D468" s="22" t="n"/>
      <c r="E468" s="23" t="n"/>
      <c r="F468" s="22" t="n"/>
      <c r="G468" s="14">
        <f>IF(OR(B468="",E468="",J468="",K468=""),"",IF(E468&lt;J468,"Below",IF(E468&gt;K468,"Above","In range")))</f>
        <v/>
      </c>
      <c r="H468" s="1" t="n"/>
      <c r="J468">
        <f>IF(M468="","",IF(INDEX(Settings!$C$10:$C$18,M468)="","",INDEX(Settings!$C$10:$C$18,M468)))</f>
        <v/>
      </c>
      <c r="K468">
        <f>IF(M468="","",IF(INDEX(Settings!$D$10:$D$18,M468)="","",INDEX(Settings!$D$10:$D$18,M468)))</f>
        <v/>
      </c>
      <c r="L468">
        <f>IF(OR(B468="",E468=""),"",B468+MOD(N(C468),1)+ROW()/10000000)</f>
        <v/>
      </c>
      <c r="M468">
        <f>IF(D468="","",IFERROR(MATCH(D468,Settings!$B$10:$B$18,0),""))</f>
        <v/>
      </c>
      <c r="N468">
        <f>IF(OR(B468="",E468="",M468=""),"",IF(AND(B468&gt;=Settings!$C$6,B468&lt;=Settings!$C$7),M468*10000+E468,""))</f>
        <v/>
      </c>
      <c r="O468">
        <f>IF(OR(B468="",E468=""),"",B468*10000+E468)</f>
        <v/>
      </c>
      <c r="P468">
        <f>IF(N468="","",E468)</f>
        <v/>
      </c>
    </row>
    <row r="469">
      <c r="A469" s="1" t="n"/>
      <c r="B469" s="20" t="n"/>
      <c r="C469" s="21" t="n"/>
      <c r="D469" s="22" t="n"/>
      <c r="E469" s="23" t="n"/>
      <c r="F469" s="22" t="n"/>
      <c r="G469" s="14">
        <f>IF(OR(B469="",E469="",J469="",K469=""),"",IF(E469&lt;J469,"Below",IF(E469&gt;K469,"Above","In range")))</f>
        <v/>
      </c>
      <c r="H469" s="1" t="n"/>
      <c r="J469">
        <f>IF(M469="","",IF(INDEX(Settings!$C$10:$C$18,M469)="","",INDEX(Settings!$C$10:$C$18,M469)))</f>
        <v/>
      </c>
      <c r="K469">
        <f>IF(M469="","",IF(INDEX(Settings!$D$10:$D$18,M469)="","",INDEX(Settings!$D$10:$D$18,M469)))</f>
        <v/>
      </c>
      <c r="L469">
        <f>IF(OR(B469="",E469=""),"",B469+MOD(N(C469),1)+ROW()/10000000)</f>
        <v/>
      </c>
      <c r="M469">
        <f>IF(D469="","",IFERROR(MATCH(D469,Settings!$B$10:$B$18,0),""))</f>
        <v/>
      </c>
      <c r="N469">
        <f>IF(OR(B469="",E469="",M469=""),"",IF(AND(B469&gt;=Settings!$C$6,B469&lt;=Settings!$C$7),M469*10000+E469,""))</f>
        <v/>
      </c>
      <c r="O469">
        <f>IF(OR(B469="",E469=""),"",B469*10000+E469)</f>
        <v/>
      </c>
      <c r="P469">
        <f>IF(N469="","",E469)</f>
        <v/>
      </c>
    </row>
    <row r="470">
      <c r="A470" s="1" t="n"/>
      <c r="B470" s="20" t="n"/>
      <c r="C470" s="21" t="n"/>
      <c r="D470" s="22" t="n"/>
      <c r="E470" s="23" t="n"/>
      <c r="F470" s="22" t="n"/>
      <c r="G470" s="14">
        <f>IF(OR(B470="",E470="",J470="",K470=""),"",IF(E470&lt;J470,"Below",IF(E470&gt;K470,"Above","In range")))</f>
        <v/>
      </c>
      <c r="H470" s="1" t="n"/>
      <c r="J470">
        <f>IF(M470="","",IF(INDEX(Settings!$C$10:$C$18,M470)="","",INDEX(Settings!$C$10:$C$18,M470)))</f>
        <v/>
      </c>
      <c r="K470">
        <f>IF(M470="","",IF(INDEX(Settings!$D$10:$D$18,M470)="","",INDEX(Settings!$D$10:$D$18,M470)))</f>
        <v/>
      </c>
      <c r="L470">
        <f>IF(OR(B470="",E470=""),"",B470+MOD(N(C470),1)+ROW()/10000000)</f>
        <v/>
      </c>
      <c r="M470">
        <f>IF(D470="","",IFERROR(MATCH(D470,Settings!$B$10:$B$18,0),""))</f>
        <v/>
      </c>
      <c r="N470">
        <f>IF(OR(B470="",E470="",M470=""),"",IF(AND(B470&gt;=Settings!$C$6,B470&lt;=Settings!$C$7),M470*10000+E470,""))</f>
        <v/>
      </c>
      <c r="O470">
        <f>IF(OR(B470="",E470=""),"",B470*10000+E470)</f>
        <v/>
      </c>
      <c r="P470">
        <f>IF(N470="","",E470)</f>
        <v/>
      </c>
    </row>
    <row r="471">
      <c r="A471" s="1" t="n"/>
      <c r="B471" s="20" t="n"/>
      <c r="C471" s="21" t="n"/>
      <c r="D471" s="22" t="n"/>
      <c r="E471" s="23" t="n"/>
      <c r="F471" s="22" t="n"/>
      <c r="G471" s="14">
        <f>IF(OR(B471="",E471="",J471="",K471=""),"",IF(E471&lt;J471,"Below",IF(E471&gt;K471,"Above","In range")))</f>
        <v/>
      </c>
      <c r="H471" s="1" t="n"/>
      <c r="J471">
        <f>IF(M471="","",IF(INDEX(Settings!$C$10:$C$18,M471)="","",INDEX(Settings!$C$10:$C$18,M471)))</f>
        <v/>
      </c>
      <c r="K471">
        <f>IF(M471="","",IF(INDEX(Settings!$D$10:$D$18,M471)="","",INDEX(Settings!$D$10:$D$18,M471)))</f>
        <v/>
      </c>
      <c r="L471">
        <f>IF(OR(B471="",E471=""),"",B471+MOD(N(C471),1)+ROW()/10000000)</f>
        <v/>
      </c>
      <c r="M471">
        <f>IF(D471="","",IFERROR(MATCH(D471,Settings!$B$10:$B$18,0),""))</f>
        <v/>
      </c>
      <c r="N471">
        <f>IF(OR(B471="",E471="",M471=""),"",IF(AND(B471&gt;=Settings!$C$6,B471&lt;=Settings!$C$7),M471*10000+E471,""))</f>
        <v/>
      </c>
      <c r="O471">
        <f>IF(OR(B471="",E471=""),"",B471*10000+E471)</f>
        <v/>
      </c>
      <c r="P471">
        <f>IF(N471="","",E471)</f>
        <v/>
      </c>
    </row>
    <row r="472">
      <c r="A472" s="1" t="n"/>
      <c r="B472" s="20" t="n"/>
      <c r="C472" s="21" t="n"/>
      <c r="D472" s="22" t="n"/>
      <c r="E472" s="23" t="n"/>
      <c r="F472" s="22" t="n"/>
      <c r="G472" s="14">
        <f>IF(OR(B472="",E472="",J472="",K472=""),"",IF(E472&lt;J472,"Below",IF(E472&gt;K472,"Above","In range")))</f>
        <v/>
      </c>
      <c r="H472" s="1" t="n"/>
      <c r="J472">
        <f>IF(M472="","",IF(INDEX(Settings!$C$10:$C$18,M472)="","",INDEX(Settings!$C$10:$C$18,M472)))</f>
        <v/>
      </c>
      <c r="K472">
        <f>IF(M472="","",IF(INDEX(Settings!$D$10:$D$18,M472)="","",INDEX(Settings!$D$10:$D$18,M472)))</f>
        <v/>
      </c>
      <c r="L472">
        <f>IF(OR(B472="",E472=""),"",B472+MOD(N(C472),1)+ROW()/10000000)</f>
        <v/>
      </c>
      <c r="M472">
        <f>IF(D472="","",IFERROR(MATCH(D472,Settings!$B$10:$B$18,0),""))</f>
        <v/>
      </c>
      <c r="N472">
        <f>IF(OR(B472="",E472="",M472=""),"",IF(AND(B472&gt;=Settings!$C$6,B472&lt;=Settings!$C$7),M472*10000+E472,""))</f>
        <v/>
      </c>
      <c r="O472">
        <f>IF(OR(B472="",E472=""),"",B472*10000+E472)</f>
        <v/>
      </c>
      <c r="P472">
        <f>IF(N472="","",E472)</f>
        <v/>
      </c>
    </row>
    <row r="473">
      <c r="A473" s="1" t="n"/>
      <c r="B473" s="20" t="n"/>
      <c r="C473" s="21" t="n"/>
      <c r="D473" s="22" t="n"/>
      <c r="E473" s="23" t="n"/>
      <c r="F473" s="22" t="n"/>
      <c r="G473" s="14">
        <f>IF(OR(B473="",E473="",J473="",K473=""),"",IF(E473&lt;J473,"Below",IF(E473&gt;K473,"Above","In range")))</f>
        <v/>
      </c>
      <c r="H473" s="1" t="n"/>
      <c r="J473">
        <f>IF(M473="","",IF(INDEX(Settings!$C$10:$C$18,M473)="","",INDEX(Settings!$C$10:$C$18,M473)))</f>
        <v/>
      </c>
      <c r="K473">
        <f>IF(M473="","",IF(INDEX(Settings!$D$10:$D$18,M473)="","",INDEX(Settings!$D$10:$D$18,M473)))</f>
        <v/>
      </c>
      <c r="L473">
        <f>IF(OR(B473="",E473=""),"",B473+MOD(N(C473),1)+ROW()/10000000)</f>
        <v/>
      </c>
      <c r="M473">
        <f>IF(D473="","",IFERROR(MATCH(D473,Settings!$B$10:$B$18,0),""))</f>
        <v/>
      </c>
      <c r="N473">
        <f>IF(OR(B473="",E473="",M473=""),"",IF(AND(B473&gt;=Settings!$C$6,B473&lt;=Settings!$C$7),M473*10000+E473,""))</f>
        <v/>
      </c>
      <c r="O473">
        <f>IF(OR(B473="",E473=""),"",B473*10000+E473)</f>
        <v/>
      </c>
      <c r="P473">
        <f>IF(N473="","",E473)</f>
        <v/>
      </c>
    </row>
    <row r="474">
      <c r="A474" s="1" t="n"/>
      <c r="B474" s="20" t="n"/>
      <c r="C474" s="21" t="n"/>
      <c r="D474" s="22" t="n"/>
      <c r="E474" s="23" t="n"/>
      <c r="F474" s="22" t="n"/>
      <c r="G474" s="14">
        <f>IF(OR(B474="",E474="",J474="",K474=""),"",IF(E474&lt;J474,"Below",IF(E474&gt;K474,"Above","In range")))</f>
        <v/>
      </c>
      <c r="H474" s="1" t="n"/>
      <c r="J474">
        <f>IF(M474="","",IF(INDEX(Settings!$C$10:$C$18,M474)="","",INDEX(Settings!$C$10:$C$18,M474)))</f>
        <v/>
      </c>
      <c r="K474">
        <f>IF(M474="","",IF(INDEX(Settings!$D$10:$D$18,M474)="","",INDEX(Settings!$D$10:$D$18,M474)))</f>
        <v/>
      </c>
      <c r="L474">
        <f>IF(OR(B474="",E474=""),"",B474+MOD(N(C474),1)+ROW()/10000000)</f>
        <v/>
      </c>
      <c r="M474">
        <f>IF(D474="","",IFERROR(MATCH(D474,Settings!$B$10:$B$18,0),""))</f>
        <v/>
      </c>
      <c r="N474">
        <f>IF(OR(B474="",E474="",M474=""),"",IF(AND(B474&gt;=Settings!$C$6,B474&lt;=Settings!$C$7),M474*10000+E474,""))</f>
        <v/>
      </c>
      <c r="O474">
        <f>IF(OR(B474="",E474=""),"",B474*10000+E474)</f>
        <v/>
      </c>
      <c r="P474">
        <f>IF(N474="","",E474)</f>
        <v/>
      </c>
    </row>
    <row r="475">
      <c r="A475" s="1" t="n"/>
      <c r="B475" s="20" t="n"/>
      <c r="C475" s="21" t="n"/>
      <c r="D475" s="22" t="n"/>
      <c r="E475" s="23" t="n"/>
      <c r="F475" s="22" t="n"/>
      <c r="G475" s="14">
        <f>IF(OR(B475="",E475="",J475="",K475=""),"",IF(E475&lt;J475,"Below",IF(E475&gt;K475,"Above","In range")))</f>
        <v/>
      </c>
      <c r="H475" s="1" t="n"/>
      <c r="J475">
        <f>IF(M475="","",IF(INDEX(Settings!$C$10:$C$18,M475)="","",INDEX(Settings!$C$10:$C$18,M475)))</f>
        <v/>
      </c>
      <c r="K475">
        <f>IF(M475="","",IF(INDEX(Settings!$D$10:$D$18,M475)="","",INDEX(Settings!$D$10:$D$18,M475)))</f>
        <v/>
      </c>
      <c r="L475">
        <f>IF(OR(B475="",E475=""),"",B475+MOD(N(C475),1)+ROW()/10000000)</f>
        <v/>
      </c>
      <c r="M475">
        <f>IF(D475="","",IFERROR(MATCH(D475,Settings!$B$10:$B$18,0),""))</f>
        <v/>
      </c>
      <c r="N475">
        <f>IF(OR(B475="",E475="",M475=""),"",IF(AND(B475&gt;=Settings!$C$6,B475&lt;=Settings!$C$7),M475*10000+E475,""))</f>
        <v/>
      </c>
      <c r="O475">
        <f>IF(OR(B475="",E475=""),"",B475*10000+E475)</f>
        <v/>
      </c>
      <c r="P475">
        <f>IF(N475="","",E475)</f>
        <v/>
      </c>
    </row>
    <row r="476">
      <c r="A476" s="1" t="n"/>
      <c r="B476" s="20" t="n"/>
      <c r="C476" s="21" t="n"/>
      <c r="D476" s="22" t="n"/>
      <c r="E476" s="23" t="n"/>
      <c r="F476" s="22" t="n"/>
      <c r="G476" s="14">
        <f>IF(OR(B476="",E476="",J476="",K476=""),"",IF(E476&lt;J476,"Below",IF(E476&gt;K476,"Above","In range")))</f>
        <v/>
      </c>
      <c r="H476" s="1" t="n"/>
      <c r="J476">
        <f>IF(M476="","",IF(INDEX(Settings!$C$10:$C$18,M476)="","",INDEX(Settings!$C$10:$C$18,M476)))</f>
        <v/>
      </c>
      <c r="K476">
        <f>IF(M476="","",IF(INDEX(Settings!$D$10:$D$18,M476)="","",INDEX(Settings!$D$10:$D$18,M476)))</f>
        <v/>
      </c>
      <c r="L476">
        <f>IF(OR(B476="",E476=""),"",B476+MOD(N(C476),1)+ROW()/10000000)</f>
        <v/>
      </c>
      <c r="M476">
        <f>IF(D476="","",IFERROR(MATCH(D476,Settings!$B$10:$B$18,0),""))</f>
        <v/>
      </c>
      <c r="N476">
        <f>IF(OR(B476="",E476="",M476=""),"",IF(AND(B476&gt;=Settings!$C$6,B476&lt;=Settings!$C$7),M476*10000+E476,""))</f>
        <v/>
      </c>
      <c r="O476">
        <f>IF(OR(B476="",E476=""),"",B476*10000+E476)</f>
        <v/>
      </c>
      <c r="P476">
        <f>IF(N476="","",E476)</f>
        <v/>
      </c>
    </row>
    <row r="477">
      <c r="A477" s="1" t="n"/>
      <c r="B477" s="20" t="n"/>
      <c r="C477" s="21" t="n"/>
      <c r="D477" s="22" t="n"/>
      <c r="E477" s="23" t="n"/>
      <c r="F477" s="22" t="n"/>
      <c r="G477" s="14">
        <f>IF(OR(B477="",E477="",J477="",K477=""),"",IF(E477&lt;J477,"Below",IF(E477&gt;K477,"Above","In range")))</f>
        <v/>
      </c>
      <c r="H477" s="1" t="n"/>
      <c r="J477">
        <f>IF(M477="","",IF(INDEX(Settings!$C$10:$C$18,M477)="","",INDEX(Settings!$C$10:$C$18,M477)))</f>
        <v/>
      </c>
      <c r="K477">
        <f>IF(M477="","",IF(INDEX(Settings!$D$10:$D$18,M477)="","",INDEX(Settings!$D$10:$D$18,M477)))</f>
        <v/>
      </c>
      <c r="L477">
        <f>IF(OR(B477="",E477=""),"",B477+MOD(N(C477),1)+ROW()/10000000)</f>
        <v/>
      </c>
      <c r="M477">
        <f>IF(D477="","",IFERROR(MATCH(D477,Settings!$B$10:$B$18,0),""))</f>
        <v/>
      </c>
      <c r="N477">
        <f>IF(OR(B477="",E477="",M477=""),"",IF(AND(B477&gt;=Settings!$C$6,B477&lt;=Settings!$C$7),M477*10000+E477,""))</f>
        <v/>
      </c>
      <c r="O477">
        <f>IF(OR(B477="",E477=""),"",B477*10000+E477)</f>
        <v/>
      </c>
      <c r="P477">
        <f>IF(N477="","",E477)</f>
        <v/>
      </c>
    </row>
    <row r="478">
      <c r="A478" s="1" t="n"/>
      <c r="B478" s="20" t="n"/>
      <c r="C478" s="21" t="n"/>
      <c r="D478" s="22" t="n"/>
      <c r="E478" s="23" t="n"/>
      <c r="F478" s="22" t="n"/>
      <c r="G478" s="14">
        <f>IF(OR(B478="",E478="",J478="",K478=""),"",IF(E478&lt;J478,"Below",IF(E478&gt;K478,"Above","In range")))</f>
        <v/>
      </c>
      <c r="H478" s="1" t="n"/>
      <c r="J478">
        <f>IF(M478="","",IF(INDEX(Settings!$C$10:$C$18,M478)="","",INDEX(Settings!$C$10:$C$18,M478)))</f>
        <v/>
      </c>
      <c r="K478">
        <f>IF(M478="","",IF(INDEX(Settings!$D$10:$D$18,M478)="","",INDEX(Settings!$D$10:$D$18,M478)))</f>
        <v/>
      </c>
      <c r="L478">
        <f>IF(OR(B478="",E478=""),"",B478+MOD(N(C478),1)+ROW()/10000000)</f>
        <v/>
      </c>
      <c r="M478">
        <f>IF(D478="","",IFERROR(MATCH(D478,Settings!$B$10:$B$18,0),""))</f>
        <v/>
      </c>
      <c r="N478">
        <f>IF(OR(B478="",E478="",M478=""),"",IF(AND(B478&gt;=Settings!$C$6,B478&lt;=Settings!$C$7),M478*10000+E478,""))</f>
        <v/>
      </c>
      <c r="O478">
        <f>IF(OR(B478="",E478=""),"",B478*10000+E478)</f>
        <v/>
      </c>
      <c r="P478">
        <f>IF(N478="","",E478)</f>
        <v/>
      </c>
    </row>
    <row r="479">
      <c r="A479" s="1" t="n"/>
      <c r="B479" s="20" t="n"/>
      <c r="C479" s="21" t="n"/>
      <c r="D479" s="22" t="n"/>
      <c r="E479" s="23" t="n"/>
      <c r="F479" s="22" t="n"/>
      <c r="G479" s="14">
        <f>IF(OR(B479="",E479="",J479="",K479=""),"",IF(E479&lt;J479,"Below",IF(E479&gt;K479,"Above","In range")))</f>
        <v/>
      </c>
      <c r="H479" s="1" t="n"/>
      <c r="J479">
        <f>IF(M479="","",IF(INDEX(Settings!$C$10:$C$18,M479)="","",INDEX(Settings!$C$10:$C$18,M479)))</f>
        <v/>
      </c>
      <c r="K479">
        <f>IF(M479="","",IF(INDEX(Settings!$D$10:$D$18,M479)="","",INDEX(Settings!$D$10:$D$18,M479)))</f>
        <v/>
      </c>
      <c r="L479">
        <f>IF(OR(B479="",E479=""),"",B479+MOD(N(C479),1)+ROW()/10000000)</f>
        <v/>
      </c>
      <c r="M479">
        <f>IF(D479="","",IFERROR(MATCH(D479,Settings!$B$10:$B$18,0),""))</f>
        <v/>
      </c>
      <c r="N479">
        <f>IF(OR(B479="",E479="",M479=""),"",IF(AND(B479&gt;=Settings!$C$6,B479&lt;=Settings!$C$7),M479*10000+E479,""))</f>
        <v/>
      </c>
      <c r="O479">
        <f>IF(OR(B479="",E479=""),"",B479*10000+E479)</f>
        <v/>
      </c>
      <c r="P479">
        <f>IF(N479="","",E479)</f>
        <v/>
      </c>
    </row>
    <row r="480">
      <c r="A480" s="1" t="n"/>
      <c r="B480" s="20" t="n"/>
      <c r="C480" s="21" t="n"/>
      <c r="D480" s="22" t="n"/>
      <c r="E480" s="23" t="n"/>
      <c r="F480" s="22" t="n"/>
      <c r="G480" s="14">
        <f>IF(OR(B480="",E480="",J480="",K480=""),"",IF(E480&lt;J480,"Below",IF(E480&gt;K480,"Above","In range")))</f>
        <v/>
      </c>
      <c r="H480" s="1" t="n"/>
      <c r="J480">
        <f>IF(M480="","",IF(INDEX(Settings!$C$10:$C$18,M480)="","",INDEX(Settings!$C$10:$C$18,M480)))</f>
        <v/>
      </c>
      <c r="K480">
        <f>IF(M480="","",IF(INDEX(Settings!$D$10:$D$18,M480)="","",INDEX(Settings!$D$10:$D$18,M480)))</f>
        <v/>
      </c>
      <c r="L480">
        <f>IF(OR(B480="",E480=""),"",B480+MOD(N(C480),1)+ROW()/10000000)</f>
        <v/>
      </c>
      <c r="M480">
        <f>IF(D480="","",IFERROR(MATCH(D480,Settings!$B$10:$B$18,0),""))</f>
        <v/>
      </c>
      <c r="N480">
        <f>IF(OR(B480="",E480="",M480=""),"",IF(AND(B480&gt;=Settings!$C$6,B480&lt;=Settings!$C$7),M480*10000+E480,""))</f>
        <v/>
      </c>
      <c r="O480">
        <f>IF(OR(B480="",E480=""),"",B480*10000+E480)</f>
        <v/>
      </c>
      <c r="P480">
        <f>IF(N480="","",E480)</f>
        <v/>
      </c>
    </row>
    <row r="481">
      <c r="A481" s="1" t="n"/>
      <c r="B481" s="20" t="n"/>
      <c r="C481" s="21" t="n"/>
      <c r="D481" s="22" t="n"/>
      <c r="E481" s="23" t="n"/>
      <c r="F481" s="22" t="n"/>
      <c r="G481" s="14">
        <f>IF(OR(B481="",E481="",J481="",K481=""),"",IF(E481&lt;J481,"Below",IF(E481&gt;K481,"Above","In range")))</f>
        <v/>
      </c>
      <c r="H481" s="1" t="n"/>
      <c r="J481">
        <f>IF(M481="","",IF(INDEX(Settings!$C$10:$C$18,M481)="","",INDEX(Settings!$C$10:$C$18,M481)))</f>
        <v/>
      </c>
      <c r="K481">
        <f>IF(M481="","",IF(INDEX(Settings!$D$10:$D$18,M481)="","",INDEX(Settings!$D$10:$D$18,M481)))</f>
        <v/>
      </c>
      <c r="L481">
        <f>IF(OR(B481="",E481=""),"",B481+MOD(N(C481),1)+ROW()/10000000)</f>
        <v/>
      </c>
      <c r="M481">
        <f>IF(D481="","",IFERROR(MATCH(D481,Settings!$B$10:$B$18,0),""))</f>
        <v/>
      </c>
      <c r="N481">
        <f>IF(OR(B481="",E481="",M481=""),"",IF(AND(B481&gt;=Settings!$C$6,B481&lt;=Settings!$C$7),M481*10000+E481,""))</f>
        <v/>
      </c>
      <c r="O481">
        <f>IF(OR(B481="",E481=""),"",B481*10000+E481)</f>
        <v/>
      </c>
      <c r="P481">
        <f>IF(N481="","",E481)</f>
        <v/>
      </c>
    </row>
    <row r="482">
      <c r="A482" s="1" t="n"/>
      <c r="B482" s="20" t="n"/>
      <c r="C482" s="21" t="n"/>
      <c r="D482" s="22" t="n"/>
      <c r="E482" s="23" t="n"/>
      <c r="F482" s="22" t="n"/>
      <c r="G482" s="14">
        <f>IF(OR(B482="",E482="",J482="",K482=""),"",IF(E482&lt;J482,"Below",IF(E482&gt;K482,"Above","In range")))</f>
        <v/>
      </c>
      <c r="H482" s="1" t="n"/>
      <c r="J482">
        <f>IF(M482="","",IF(INDEX(Settings!$C$10:$C$18,M482)="","",INDEX(Settings!$C$10:$C$18,M482)))</f>
        <v/>
      </c>
      <c r="K482">
        <f>IF(M482="","",IF(INDEX(Settings!$D$10:$D$18,M482)="","",INDEX(Settings!$D$10:$D$18,M482)))</f>
        <v/>
      </c>
      <c r="L482">
        <f>IF(OR(B482="",E482=""),"",B482+MOD(N(C482),1)+ROW()/10000000)</f>
        <v/>
      </c>
      <c r="M482">
        <f>IF(D482="","",IFERROR(MATCH(D482,Settings!$B$10:$B$18,0),""))</f>
        <v/>
      </c>
      <c r="N482">
        <f>IF(OR(B482="",E482="",M482=""),"",IF(AND(B482&gt;=Settings!$C$6,B482&lt;=Settings!$C$7),M482*10000+E482,""))</f>
        <v/>
      </c>
      <c r="O482">
        <f>IF(OR(B482="",E482=""),"",B482*10000+E482)</f>
        <v/>
      </c>
      <c r="P482">
        <f>IF(N482="","",E482)</f>
        <v/>
      </c>
    </row>
    <row r="483">
      <c r="A483" s="1" t="n"/>
      <c r="B483" s="20" t="n"/>
      <c r="C483" s="21" t="n"/>
      <c r="D483" s="22" t="n"/>
      <c r="E483" s="23" t="n"/>
      <c r="F483" s="22" t="n"/>
      <c r="G483" s="14">
        <f>IF(OR(B483="",E483="",J483="",K483=""),"",IF(E483&lt;J483,"Below",IF(E483&gt;K483,"Above","In range")))</f>
        <v/>
      </c>
      <c r="H483" s="1" t="n"/>
      <c r="J483">
        <f>IF(M483="","",IF(INDEX(Settings!$C$10:$C$18,M483)="","",INDEX(Settings!$C$10:$C$18,M483)))</f>
        <v/>
      </c>
      <c r="K483">
        <f>IF(M483="","",IF(INDEX(Settings!$D$10:$D$18,M483)="","",INDEX(Settings!$D$10:$D$18,M483)))</f>
        <v/>
      </c>
      <c r="L483">
        <f>IF(OR(B483="",E483=""),"",B483+MOD(N(C483),1)+ROW()/10000000)</f>
        <v/>
      </c>
      <c r="M483">
        <f>IF(D483="","",IFERROR(MATCH(D483,Settings!$B$10:$B$18,0),""))</f>
        <v/>
      </c>
      <c r="N483">
        <f>IF(OR(B483="",E483="",M483=""),"",IF(AND(B483&gt;=Settings!$C$6,B483&lt;=Settings!$C$7),M483*10000+E483,""))</f>
        <v/>
      </c>
      <c r="O483">
        <f>IF(OR(B483="",E483=""),"",B483*10000+E483)</f>
        <v/>
      </c>
      <c r="P483">
        <f>IF(N483="","",E483)</f>
        <v/>
      </c>
    </row>
    <row r="484">
      <c r="A484" s="1" t="n"/>
      <c r="B484" s="20" t="n"/>
      <c r="C484" s="21" t="n"/>
      <c r="D484" s="22" t="n"/>
      <c r="E484" s="23" t="n"/>
      <c r="F484" s="22" t="n"/>
      <c r="G484" s="14">
        <f>IF(OR(B484="",E484="",J484="",K484=""),"",IF(E484&lt;J484,"Below",IF(E484&gt;K484,"Above","In range")))</f>
        <v/>
      </c>
      <c r="H484" s="1" t="n"/>
      <c r="J484">
        <f>IF(M484="","",IF(INDEX(Settings!$C$10:$C$18,M484)="","",INDEX(Settings!$C$10:$C$18,M484)))</f>
        <v/>
      </c>
      <c r="K484">
        <f>IF(M484="","",IF(INDEX(Settings!$D$10:$D$18,M484)="","",INDEX(Settings!$D$10:$D$18,M484)))</f>
        <v/>
      </c>
      <c r="L484">
        <f>IF(OR(B484="",E484=""),"",B484+MOD(N(C484),1)+ROW()/10000000)</f>
        <v/>
      </c>
      <c r="M484">
        <f>IF(D484="","",IFERROR(MATCH(D484,Settings!$B$10:$B$18,0),""))</f>
        <v/>
      </c>
      <c r="N484">
        <f>IF(OR(B484="",E484="",M484=""),"",IF(AND(B484&gt;=Settings!$C$6,B484&lt;=Settings!$C$7),M484*10000+E484,""))</f>
        <v/>
      </c>
      <c r="O484">
        <f>IF(OR(B484="",E484=""),"",B484*10000+E484)</f>
        <v/>
      </c>
      <c r="P484">
        <f>IF(N484="","",E484)</f>
        <v/>
      </c>
    </row>
    <row r="485">
      <c r="A485" s="1" t="n"/>
      <c r="B485" s="20" t="n"/>
      <c r="C485" s="21" t="n"/>
      <c r="D485" s="22" t="n"/>
      <c r="E485" s="23" t="n"/>
      <c r="F485" s="22" t="n"/>
      <c r="G485" s="14">
        <f>IF(OR(B485="",E485="",J485="",K485=""),"",IF(E485&lt;J485,"Below",IF(E485&gt;K485,"Above","In range")))</f>
        <v/>
      </c>
      <c r="H485" s="1" t="n"/>
      <c r="J485">
        <f>IF(M485="","",IF(INDEX(Settings!$C$10:$C$18,M485)="","",INDEX(Settings!$C$10:$C$18,M485)))</f>
        <v/>
      </c>
      <c r="K485">
        <f>IF(M485="","",IF(INDEX(Settings!$D$10:$D$18,M485)="","",INDEX(Settings!$D$10:$D$18,M485)))</f>
        <v/>
      </c>
      <c r="L485">
        <f>IF(OR(B485="",E485=""),"",B485+MOD(N(C485),1)+ROW()/10000000)</f>
        <v/>
      </c>
      <c r="M485">
        <f>IF(D485="","",IFERROR(MATCH(D485,Settings!$B$10:$B$18,0),""))</f>
        <v/>
      </c>
      <c r="N485">
        <f>IF(OR(B485="",E485="",M485=""),"",IF(AND(B485&gt;=Settings!$C$6,B485&lt;=Settings!$C$7),M485*10000+E485,""))</f>
        <v/>
      </c>
      <c r="O485">
        <f>IF(OR(B485="",E485=""),"",B485*10000+E485)</f>
        <v/>
      </c>
      <c r="P485">
        <f>IF(N485="","",E485)</f>
        <v/>
      </c>
    </row>
    <row r="486">
      <c r="A486" s="1" t="n"/>
      <c r="B486" s="20" t="n"/>
      <c r="C486" s="21" t="n"/>
      <c r="D486" s="22" t="n"/>
      <c r="E486" s="23" t="n"/>
      <c r="F486" s="22" t="n"/>
      <c r="G486" s="14">
        <f>IF(OR(B486="",E486="",J486="",K486=""),"",IF(E486&lt;J486,"Below",IF(E486&gt;K486,"Above","In range")))</f>
        <v/>
      </c>
      <c r="H486" s="1" t="n"/>
      <c r="J486">
        <f>IF(M486="","",IF(INDEX(Settings!$C$10:$C$18,M486)="","",INDEX(Settings!$C$10:$C$18,M486)))</f>
        <v/>
      </c>
      <c r="K486">
        <f>IF(M486="","",IF(INDEX(Settings!$D$10:$D$18,M486)="","",INDEX(Settings!$D$10:$D$18,M486)))</f>
        <v/>
      </c>
      <c r="L486">
        <f>IF(OR(B486="",E486=""),"",B486+MOD(N(C486),1)+ROW()/10000000)</f>
        <v/>
      </c>
      <c r="M486">
        <f>IF(D486="","",IFERROR(MATCH(D486,Settings!$B$10:$B$18,0),""))</f>
        <v/>
      </c>
      <c r="N486">
        <f>IF(OR(B486="",E486="",M486=""),"",IF(AND(B486&gt;=Settings!$C$6,B486&lt;=Settings!$C$7),M486*10000+E486,""))</f>
        <v/>
      </c>
      <c r="O486">
        <f>IF(OR(B486="",E486=""),"",B486*10000+E486)</f>
        <v/>
      </c>
      <c r="P486">
        <f>IF(N486="","",E486)</f>
        <v/>
      </c>
    </row>
    <row r="487">
      <c r="A487" s="1" t="n"/>
      <c r="B487" s="20" t="n"/>
      <c r="C487" s="21" t="n"/>
      <c r="D487" s="22" t="n"/>
      <c r="E487" s="23" t="n"/>
      <c r="F487" s="22" t="n"/>
      <c r="G487" s="14">
        <f>IF(OR(B487="",E487="",J487="",K487=""),"",IF(E487&lt;J487,"Below",IF(E487&gt;K487,"Above","In range")))</f>
        <v/>
      </c>
      <c r="H487" s="1" t="n"/>
      <c r="J487">
        <f>IF(M487="","",IF(INDEX(Settings!$C$10:$C$18,M487)="","",INDEX(Settings!$C$10:$C$18,M487)))</f>
        <v/>
      </c>
      <c r="K487">
        <f>IF(M487="","",IF(INDEX(Settings!$D$10:$D$18,M487)="","",INDEX(Settings!$D$10:$D$18,M487)))</f>
        <v/>
      </c>
      <c r="L487">
        <f>IF(OR(B487="",E487=""),"",B487+MOD(N(C487),1)+ROW()/10000000)</f>
        <v/>
      </c>
      <c r="M487">
        <f>IF(D487="","",IFERROR(MATCH(D487,Settings!$B$10:$B$18,0),""))</f>
        <v/>
      </c>
      <c r="N487">
        <f>IF(OR(B487="",E487="",M487=""),"",IF(AND(B487&gt;=Settings!$C$6,B487&lt;=Settings!$C$7),M487*10000+E487,""))</f>
        <v/>
      </c>
      <c r="O487">
        <f>IF(OR(B487="",E487=""),"",B487*10000+E487)</f>
        <v/>
      </c>
      <c r="P487">
        <f>IF(N487="","",E487)</f>
        <v/>
      </c>
    </row>
    <row r="488">
      <c r="A488" s="1" t="n"/>
      <c r="B488" s="20" t="n"/>
      <c r="C488" s="21" t="n"/>
      <c r="D488" s="22" t="n"/>
      <c r="E488" s="23" t="n"/>
      <c r="F488" s="22" t="n"/>
      <c r="G488" s="14">
        <f>IF(OR(B488="",E488="",J488="",K488=""),"",IF(E488&lt;J488,"Below",IF(E488&gt;K488,"Above","In range")))</f>
        <v/>
      </c>
      <c r="H488" s="1" t="n"/>
      <c r="J488">
        <f>IF(M488="","",IF(INDEX(Settings!$C$10:$C$18,M488)="","",INDEX(Settings!$C$10:$C$18,M488)))</f>
        <v/>
      </c>
      <c r="K488">
        <f>IF(M488="","",IF(INDEX(Settings!$D$10:$D$18,M488)="","",INDEX(Settings!$D$10:$D$18,M488)))</f>
        <v/>
      </c>
      <c r="L488">
        <f>IF(OR(B488="",E488=""),"",B488+MOD(N(C488),1)+ROW()/10000000)</f>
        <v/>
      </c>
      <c r="M488">
        <f>IF(D488="","",IFERROR(MATCH(D488,Settings!$B$10:$B$18,0),""))</f>
        <v/>
      </c>
      <c r="N488">
        <f>IF(OR(B488="",E488="",M488=""),"",IF(AND(B488&gt;=Settings!$C$6,B488&lt;=Settings!$C$7),M488*10000+E488,""))</f>
        <v/>
      </c>
      <c r="O488">
        <f>IF(OR(B488="",E488=""),"",B488*10000+E488)</f>
        <v/>
      </c>
      <c r="P488">
        <f>IF(N488="","",E488)</f>
        <v/>
      </c>
    </row>
    <row r="489">
      <c r="A489" s="1" t="n"/>
      <c r="B489" s="20" t="n"/>
      <c r="C489" s="21" t="n"/>
      <c r="D489" s="22" t="n"/>
      <c r="E489" s="23" t="n"/>
      <c r="F489" s="22" t="n"/>
      <c r="G489" s="14">
        <f>IF(OR(B489="",E489="",J489="",K489=""),"",IF(E489&lt;J489,"Below",IF(E489&gt;K489,"Above","In range")))</f>
        <v/>
      </c>
      <c r="H489" s="1" t="n"/>
      <c r="J489">
        <f>IF(M489="","",IF(INDEX(Settings!$C$10:$C$18,M489)="","",INDEX(Settings!$C$10:$C$18,M489)))</f>
        <v/>
      </c>
      <c r="K489">
        <f>IF(M489="","",IF(INDEX(Settings!$D$10:$D$18,M489)="","",INDEX(Settings!$D$10:$D$18,M489)))</f>
        <v/>
      </c>
      <c r="L489">
        <f>IF(OR(B489="",E489=""),"",B489+MOD(N(C489),1)+ROW()/10000000)</f>
        <v/>
      </c>
      <c r="M489">
        <f>IF(D489="","",IFERROR(MATCH(D489,Settings!$B$10:$B$18,0),""))</f>
        <v/>
      </c>
      <c r="N489">
        <f>IF(OR(B489="",E489="",M489=""),"",IF(AND(B489&gt;=Settings!$C$6,B489&lt;=Settings!$C$7),M489*10000+E489,""))</f>
        <v/>
      </c>
      <c r="O489">
        <f>IF(OR(B489="",E489=""),"",B489*10000+E489)</f>
        <v/>
      </c>
      <c r="P489">
        <f>IF(N489="","",E489)</f>
        <v/>
      </c>
    </row>
    <row r="490">
      <c r="A490" s="1" t="n"/>
      <c r="B490" s="20" t="n"/>
      <c r="C490" s="21" t="n"/>
      <c r="D490" s="22" t="n"/>
      <c r="E490" s="23" t="n"/>
      <c r="F490" s="22" t="n"/>
      <c r="G490" s="14">
        <f>IF(OR(B490="",E490="",J490="",K490=""),"",IF(E490&lt;J490,"Below",IF(E490&gt;K490,"Above","In range")))</f>
        <v/>
      </c>
      <c r="H490" s="1" t="n"/>
      <c r="J490">
        <f>IF(M490="","",IF(INDEX(Settings!$C$10:$C$18,M490)="","",INDEX(Settings!$C$10:$C$18,M490)))</f>
        <v/>
      </c>
      <c r="K490">
        <f>IF(M490="","",IF(INDEX(Settings!$D$10:$D$18,M490)="","",INDEX(Settings!$D$10:$D$18,M490)))</f>
        <v/>
      </c>
      <c r="L490">
        <f>IF(OR(B490="",E490=""),"",B490+MOD(N(C490),1)+ROW()/10000000)</f>
        <v/>
      </c>
      <c r="M490">
        <f>IF(D490="","",IFERROR(MATCH(D490,Settings!$B$10:$B$18,0),""))</f>
        <v/>
      </c>
      <c r="N490">
        <f>IF(OR(B490="",E490="",M490=""),"",IF(AND(B490&gt;=Settings!$C$6,B490&lt;=Settings!$C$7),M490*10000+E490,""))</f>
        <v/>
      </c>
      <c r="O490">
        <f>IF(OR(B490="",E490=""),"",B490*10000+E490)</f>
        <v/>
      </c>
      <c r="P490">
        <f>IF(N490="","",E490)</f>
        <v/>
      </c>
    </row>
    <row r="491">
      <c r="A491" s="1" t="n"/>
      <c r="B491" s="20" t="n"/>
      <c r="C491" s="21" t="n"/>
      <c r="D491" s="22" t="n"/>
      <c r="E491" s="23" t="n"/>
      <c r="F491" s="22" t="n"/>
      <c r="G491" s="14">
        <f>IF(OR(B491="",E491="",J491="",K491=""),"",IF(E491&lt;J491,"Below",IF(E491&gt;K491,"Above","In range")))</f>
        <v/>
      </c>
      <c r="H491" s="1" t="n"/>
      <c r="J491">
        <f>IF(M491="","",IF(INDEX(Settings!$C$10:$C$18,M491)="","",INDEX(Settings!$C$10:$C$18,M491)))</f>
        <v/>
      </c>
      <c r="K491">
        <f>IF(M491="","",IF(INDEX(Settings!$D$10:$D$18,M491)="","",INDEX(Settings!$D$10:$D$18,M491)))</f>
        <v/>
      </c>
      <c r="L491">
        <f>IF(OR(B491="",E491=""),"",B491+MOD(N(C491),1)+ROW()/10000000)</f>
        <v/>
      </c>
      <c r="M491">
        <f>IF(D491="","",IFERROR(MATCH(D491,Settings!$B$10:$B$18,0),""))</f>
        <v/>
      </c>
      <c r="N491">
        <f>IF(OR(B491="",E491="",M491=""),"",IF(AND(B491&gt;=Settings!$C$6,B491&lt;=Settings!$C$7),M491*10000+E491,""))</f>
        <v/>
      </c>
      <c r="O491">
        <f>IF(OR(B491="",E491=""),"",B491*10000+E491)</f>
        <v/>
      </c>
      <c r="P491">
        <f>IF(N491="","",E491)</f>
        <v/>
      </c>
    </row>
    <row r="492">
      <c r="A492" s="1" t="n"/>
      <c r="B492" s="20" t="n"/>
      <c r="C492" s="21" t="n"/>
      <c r="D492" s="22" t="n"/>
      <c r="E492" s="23" t="n"/>
      <c r="F492" s="22" t="n"/>
      <c r="G492" s="14">
        <f>IF(OR(B492="",E492="",J492="",K492=""),"",IF(E492&lt;J492,"Below",IF(E492&gt;K492,"Above","In range")))</f>
        <v/>
      </c>
      <c r="H492" s="1" t="n"/>
      <c r="J492">
        <f>IF(M492="","",IF(INDEX(Settings!$C$10:$C$18,M492)="","",INDEX(Settings!$C$10:$C$18,M492)))</f>
        <v/>
      </c>
      <c r="K492">
        <f>IF(M492="","",IF(INDEX(Settings!$D$10:$D$18,M492)="","",INDEX(Settings!$D$10:$D$18,M492)))</f>
        <v/>
      </c>
      <c r="L492">
        <f>IF(OR(B492="",E492=""),"",B492+MOD(N(C492),1)+ROW()/10000000)</f>
        <v/>
      </c>
      <c r="M492">
        <f>IF(D492="","",IFERROR(MATCH(D492,Settings!$B$10:$B$18,0),""))</f>
        <v/>
      </c>
      <c r="N492">
        <f>IF(OR(B492="",E492="",M492=""),"",IF(AND(B492&gt;=Settings!$C$6,B492&lt;=Settings!$C$7),M492*10000+E492,""))</f>
        <v/>
      </c>
      <c r="O492">
        <f>IF(OR(B492="",E492=""),"",B492*10000+E492)</f>
        <v/>
      </c>
      <c r="P492">
        <f>IF(N492="","",E492)</f>
        <v/>
      </c>
    </row>
    <row r="493">
      <c r="A493" s="1" t="n"/>
      <c r="B493" s="20" t="n"/>
      <c r="C493" s="21" t="n"/>
      <c r="D493" s="22" t="n"/>
      <c r="E493" s="23" t="n"/>
      <c r="F493" s="22" t="n"/>
      <c r="G493" s="14">
        <f>IF(OR(B493="",E493="",J493="",K493=""),"",IF(E493&lt;J493,"Below",IF(E493&gt;K493,"Above","In range")))</f>
        <v/>
      </c>
      <c r="H493" s="1" t="n"/>
      <c r="J493">
        <f>IF(M493="","",IF(INDEX(Settings!$C$10:$C$18,M493)="","",INDEX(Settings!$C$10:$C$18,M493)))</f>
        <v/>
      </c>
      <c r="K493">
        <f>IF(M493="","",IF(INDEX(Settings!$D$10:$D$18,M493)="","",INDEX(Settings!$D$10:$D$18,M493)))</f>
        <v/>
      </c>
      <c r="L493">
        <f>IF(OR(B493="",E493=""),"",B493+MOD(N(C493),1)+ROW()/10000000)</f>
        <v/>
      </c>
      <c r="M493">
        <f>IF(D493="","",IFERROR(MATCH(D493,Settings!$B$10:$B$18,0),""))</f>
        <v/>
      </c>
      <c r="N493">
        <f>IF(OR(B493="",E493="",M493=""),"",IF(AND(B493&gt;=Settings!$C$6,B493&lt;=Settings!$C$7),M493*10000+E493,""))</f>
        <v/>
      </c>
      <c r="O493">
        <f>IF(OR(B493="",E493=""),"",B493*10000+E493)</f>
        <v/>
      </c>
      <c r="P493">
        <f>IF(N493="","",E493)</f>
        <v/>
      </c>
    </row>
    <row r="494">
      <c r="A494" s="1" t="n"/>
      <c r="B494" s="20" t="n"/>
      <c r="C494" s="21" t="n"/>
      <c r="D494" s="22" t="n"/>
      <c r="E494" s="23" t="n"/>
      <c r="F494" s="22" t="n"/>
      <c r="G494" s="14">
        <f>IF(OR(B494="",E494="",J494="",K494=""),"",IF(E494&lt;J494,"Below",IF(E494&gt;K494,"Above","In range")))</f>
        <v/>
      </c>
      <c r="H494" s="1" t="n"/>
      <c r="J494">
        <f>IF(M494="","",IF(INDEX(Settings!$C$10:$C$18,M494)="","",INDEX(Settings!$C$10:$C$18,M494)))</f>
        <v/>
      </c>
      <c r="K494">
        <f>IF(M494="","",IF(INDEX(Settings!$D$10:$D$18,M494)="","",INDEX(Settings!$D$10:$D$18,M494)))</f>
        <v/>
      </c>
      <c r="L494">
        <f>IF(OR(B494="",E494=""),"",B494+MOD(N(C494),1)+ROW()/10000000)</f>
        <v/>
      </c>
      <c r="M494">
        <f>IF(D494="","",IFERROR(MATCH(D494,Settings!$B$10:$B$18,0),""))</f>
        <v/>
      </c>
      <c r="N494">
        <f>IF(OR(B494="",E494="",M494=""),"",IF(AND(B494&gt;=Settings!$C$6,B494&lt;=Settings!$C$7),M494*10000+E494,""))</f>
        <v/>
      </c>
      <c r="O494">
        <f>IF(OR(B494="",E494=""),"",B494*10000+E494)</f>
        <v/>
      </c>
      <c r="P494">
        <f>IF(N494="","",E494)</f>
        <v/>
      </c>
    </row>
    <row r="495">
      <c r="A495" s="1" t="n"/>
      <c r="B495" s="20" t="n"/>
      <c r="C495" s="21" t="n"/>
      <c r="D495" s="22" t="n"/>
      <c r="E495" s="23" t="n"/>
      <c r="F495" s="22" t="n"/>
      <c r="G495" s="14">
        <f>IF(OR(B495="",E495="",J495="",K495=""),"",IF(E495&lt;J495,"Below",IF(E495&gt;K495,"Above","In range")))</f>
        <v/>
      </c>
      <c r="H495" s="1" t="n"/>
      <c r="J495">
        <f>IF(M495="","",IF(INDEX(Settings!$C$10:$C$18,M495)="","",INDEX(Settings!$C$10:$C$18,M495)))</f>
        <v/>
      </c>
      <c r="K495">
        <f>IF(M495="","",IF(INDEX(Settings!$D$10:$D$18,M495)="","",INDEX(Settings!$D$10:$D$18,M495)))</f>
        <v/>
      </c>
      <c r="L495">
        <f>IF(OR(B495="",E495=""),"",B495+MOD(N(C495),1)+ROW()/10000000)</f>
        <v/>
      </c>
      <c r="M495">
        <f>IF(D495="","",IFERROR(MATCH(D495,Settings!$B$10:$B$18,0),""))</f>
        <v/>
      </c>
      <c r="N495">
        <f>IF(OR(B495="",E495="",M495=""),"",IF(AND(B495&gt;=Settings!$C$6,B495&lt;=Settings!$C$7),M495*10000+E495,""))</f>
        <v/>
      </c>
      <c r="O495">
        <f>IF(OR(B495="",E495=""),"",B495*10000+E495)</f>
        <v/>
      </c>
      <c r="P495">
        <f>IF(N495="","",E495)</f>
        <v/>
      </c>
    </row>
    <row r="496">
      <c r="A496" s="1" t="n"/>
      <c r="B496" s="20" t="n"/>
      <c r="C496" s="21" t="n"/>
      <c r="D496" s="22" t="n"/>
      <c r="E496" s="23" t="n"/>
      <c r="F496" s="22" t="n"/>
      <c r="G496" s="14">
        <f>IF(OR(B496="",E496="",J496="",K496=""),"",IF(E496&lt;J496,"Below",IF(E496&gt;K496,"Above","In range")))</f>
        <v/>
      </c>
      <c r="H496" s="1" t="n"/>
      <c r="J496">
        <f>IF(M496="","",IF(INDEX(Settings!$C$10:$C$18,M496)="","",INDEX(Settings!$C$10:$C$18,M496)))</f>
        <v/>
      </c>
      <c r="K496">
        <f>IF(M496="","",IF(INDEX(Settings!$D$10:$D$18,M496)="","",INDEX(Settings!$D$10:$D$18,M496)))</f>
        <v/>
      </c>
      <c r="L496">
        <f>IF(OR(B496="",E496=""),"",B496+MOD(N(C496),1)+ROW()/10000000)</f>
        <v/>
      </c>
      <c r="M496">
        <f>IF(D496="","",IFERROR(MATCH(D496,Settings!$B$10:$B$18,0),""))</f>
        <v/>
      </c>
      <c r="N496">
        <f>IF(OR(B496="",E496="",M496=""),"",IF(AND(B496&gt;=Settings!$C$6,B496&lt;=Settings!$C$7),M496*10000+E496,""))</f>
        <v/>
      </c>
      <c r="O496">
        <f>IF(OR(B496="",E496=""),"",B496*10000+E496)</f>
        <v/>
      </c>
      <c r="P496">
        <f>IF(N496="","",E496)</f>
        <v/>
      </c>
    </row>
    <row r="497">
      <c r="A497" s="1" t="n"/>
      <c r="B497" s="20" t="n"/>
      <c r="C497" s="21" t="n"/>
      <c r="D497" s="22" t="n"/>
      <c r="E497" s="23" t="n"/>
      <c r="F497" s="22" t="n"/>
      <c r="G497" s="14">
        <f>IF(OR(B497="",E497="",J497="",K497=""),"",IF(E497&lt;J497,"Below",IF(E497&gt;K497,"Above","In range")))</f>
        <v/>
      </c>
      <c r="H497" s="1" t="n"/>
      <c r="J497">
        <f>IF(M497="","",IF(INDEX(Settings!$C$10:$C$18,M497)="","",INDEX(Settings!$C$10:$C$18,M497)))</f>
        <v/>
      </c>
      <c r="K497">
        <f>IF(M497="","",IF(INDEX(Settings!$D$10:$D$18,M497)="","",INDEX(Settings!$D$10:$D$18,M497)))</f>
        <v/>
      </c>
      <c r="L497">
        <f>IF(OR(B497="",E497=""),"",B497+MOD(N(C497),1)+ROW()/10000000)</f>
        <v/>
      </c>
      <c r="M497">
        <f>IF(D497="","",IFERROR(MATCH(D497,Settings!$B$10:$B$18,0),""))</f>
        <v/>
      </c>
      <c r="N497">
        <f>IF(OR(B497="",E497="",M497=""),"",IF(AND(B497&gt;=Settings!$C$6,B497&lt;=Settings!$C$7),M497*10000+E497,""))</f>
        <v/>
      </c>
      <c r="O497">
        <f>IF(OR(B497="",E497=""),"",B497*10000+E497)</f>
        <v/>
      </c>
      <c r="P497">
        <f>IF(N497="","",E497)</f>
        <v/>
      </c>
    </row>
    <row r="498">
      <c r="A498" s="1" t="n"/>
      <c r="B498" s="20" t="n"/>
      <c r="C498" s="21" t="n"/>
      <c r="D498" s="22" t="n"/>
      <c r="E498" s="23" t="n"/>
      <c r="F498" s="22" t="n"/>
      <c r="G498" s="14">
        <f>IF(OR(B498="",E498="",J498="",K498=""),"",IF(E498&lt;J498,"Below",IF(E498&gt;K498,"Above","In range")))</f>
        <v/>
      </c>
      <c r="H498" s="1" t="n"/>
      <c r="J498">
        <f>IF(M498="","",IF(INDEX(Settings!$C$10:$C$18,M498)="","",INDEX(Settings!$C$10:$C$18,M498)))</f>
        <v/>
      </c>
      <c r="K498">
        <f>IF(M498="","",IF(INDEX(Settings!$D$10:$D$18,M498)="","",INDEX(Settings!$D$10:$D$18,M498)))</f>
        <v/>
      </c>
      <c r="L498">
        <f>IF(OR(B498="",E498=""),"",B498+MOD(N(C498),1)+ROW()/10000000)</f>
        <v/>
      </c>
      <c r="M498">
        <f>IF(D498="","",IFERROR(MATCH(D498,Settings!$B$10:$B$18,0),""))</f>
        <v/>
      </c>
      <c r="N498">
        <f>IF(OR(B498="",E498="",M498=""),"",IF(AND(B498&gt;=Settings!$C$6,B498&lt;=Settings!$C$7),M498*10000+E498,""))</f>
        <v/>
      </c>
      <c r="O498">
        <f>IF(OR(B498="",E498=""),"",B498*10000+E498)</f>
        <v/>
      </c>
      <c r="P498">
        <f>IF(N498="","",E498)</f>
        <v/>
      </c>
    </row>
    <row r="499">
      <c r="A499" s="1" t="n"/>
      <c r="B499" s="20" t="n"/>
      <c r="C499" s="21" t="n"/>
      <c r="D499" s="22" t="n"/>
      <c r="E499" s="23" t="n"/>
      <c r="F499" s="22" t="n"/>
      <c r="G499" s="14">
        <f>IF(OR(B499="",E499="",J499="",K499=""),"",IF(E499&lt;J499,"Below",IF(E499&gt;K499,"Above","In range")))</f>
        <v/>
      </c>
      <c r="H499" s="1" t="n"/>
      <c r="J499">
        <f>IF(M499="","",IF(INDEX(Settings!$C$10:$C$18,M499)="","",INDEX(Settings!$C$10:$C$18,M499)))</f>
        <v/>
      </c>
      <c r="K499">
        <f>IF(M499="","",IF(INDEX(Settings!$D$10:$D$18,M499)="","",INDEX(Settings!$D$10:$D$18,M499)))</f>
        <v/>
      </c>
      <c r="L499">
        <f>IF(OR(B499="",E499=""),"",B499+MOD(N(C499),1)+ROW()/10000000)</f>
        <v/>
      </c>
      <c r="M499">
        <f>IF(D499="","",IFERROR(MATCH(D499,Settings!$B$10:$B$18,0),""))</f>
        <v/>
      </c>
      <c r="N499">
        <f>IF(OR(B499="",E499="",M499=""),"",IF(AND(B499&gt;=Settings!$C$6,B499&lt;=Settings!$C$7),M499*10000+E499,""))</f>
        <v/>
      </c>
      <c r="O499">
        <f>IF(OR(B499="",E499=""),"",B499*10000+E499)</f>
        <v/>
      </c>
      <c r="P499">
        <f>IF(N499="","",E499)</f>
        <v/>
      </c>
    </row>
    <row r="500">
      <c r="A500" s="1" t="n"/>
      <c r="B500" s="20" t="n"/>
      <c r="C500" s="21" t="n"/>
      <c r="D500" s="22" t="n"/>
      <c r="E500" s="23" t="n"/>
      <c r="F500" s="22" t="n"/>
      <c r="G500" s="14">
        <f>IF(OR(B500="",E500="",J500="",K500=""),"",IF(E500&lt;J500,"Below",IF(E500&gt;K500,"Above","In range")))</f>
        <v/>
      </c>
      <c r="H500" s="1" t="n"/>
      <c r="J500">
        <f>IF(M500="","",IF(INDEX(Settings!$C$10:$C$18,M500)="","",INDEX(Settings!$C$10:$C$18,M500)))</f>
        <v/>
      </c>
      <c r="K500">
        <f>IF(M500="","",IF(INDEX(Settings!$D$10:$D$18,M500)="","",INDEX(Settings!$D$10:$D$18,M500)))</f>
        <v/>
      </c>
      <c r="L500">
        <f>IF(OR(B500="",E500=""),"",B500+MOD(N(C500),1)+ROW()/10000000)</f>
        <v/>
      </c>
      <c r="M500">
        <f>IF(D500="","",IFERROR(MATCH(D500,Settings!$B$10:$B$18,0),""))</f>
        <v/>
      </c>
      <c r="N500">
        <f>IF(OR(B500="",E500="",M500=""),"",IF(AND(B500&gt;=Settings!$C$6,B500&lt;=Settings!$C$7),M500*10000+E500,""))</f>
        <v/>
      </c>
      <c r="O500">
        <f>IF(OR(B500="",E500=""),"",B500*10000+E500)</f>
        <v/>
      </c>
      <c r="P500">
        <f>IF(N500="","",E500)</f>
        <v/>
      </c>
    </row>
    <row r="501">
      <c r="A501" s="1" t="n"/>
      <c r="B501" s="20" t="n"/>
      <c r="C501" s="21" t="n"/>
      <c r="D501" s="22" t="n"/>
      <c r="E501" s="23" t="n"/>
      <c r="F501" s="22" t="n"/>
      <c r="G501" s="14">
        <f>IF(OR(B501="",E501="",J501="",K501=""),"",IF(E501&lt;J501,"Below",IF(E501&gt;K501,"Above","In range")))</f>
        <v/>
      </c>
      <c r="H501" s="1" t="n"/>
      <c r="J501">
        <f>IF(M501="","",IF(INDEX(Settings!$C$10:$C$18,M501)="","",INDEX(Settings!$C$10:$C$18,M501)))</f>
        <v/>
      </c>
      <c r="K501">
        <f>IF(M501="","",IF(INDEX(Settings!$D$10:$D$18,M501)="","",INDEX(Settings!$D$10:$D$18,M501)))</f>
        <v/>
      </c>
      <c r="L501">
        <f>IF(OR(B501="",E501=""),"",B501+MOD(N(C501),1)+ROW()/10000000)</f>
        <v/>
      </c>
      <c r="M501">
        <f>IF(D501="","",IFERROR(MATCH(D501,Settings!$B$10:$B$18,0),""))</f>
        <v/>
      </c>
      <c r="N501">
        <f>IF(OR(B501="",E501="",M501=""),"",IF(AND(B501&gt;=Settings!$C$6,B501&lt;=Settings!$C$7),M501*10000+E501,""))</f>
        <v/>
      </c>
      <c r="O501">
        <f>IF(OR(B501="",E501=""),"",B501*10000+E501)</f>
        <v/>
      </c>
      <c r="P501">
        <f>IF(N501="","",E501)</f>
        <v/>
      </c>
    </row>
    <row r="502">
      <c r="A502" s="1" t="n"/>
      <c r="B502" s="20" t="n"/>
      <c r="C502" s="21" t="n"/>
      <c r="D502" s="22" t="n"/>
      <c r="E502" s="23" t="n"/>
      <c r="F502" s="22" t="n"/>
      <c r="G502" s="14">
        <f>IF(OR(B502="",E502="",J502="",K502=""),"",IF(E502&lt;J502,"Below",IF(E502&gt;K502,"Above","In range")))</f>
        <v/>
      </c>
      <c r="H502" s="1" t="n"/>
      <c r="J502">
        <f>IF(M502="","",IF(INDEX(Settings!$C$10:$C$18,M502)="","",INDEX(Settings!$C$10:$C$18,M502)))</f>
        <v/>
      </c>
      <c r="K502">
        <f>IF(M502="","",IF(INDEX(Settings!$D$10:$D$18,M502)="","",INDEX(Settings!$D$10:$D$18,M502)))</f>
        <v/>
      </c>
      <c r="L502">
        <f>IF(OR(B502="",E502=""),"",B502+MOD(N(C502),1)+ROW()/10000000)</f>
        <v/>
      </c>
      <c r="M502">
        <f>IF(D502="","",IFERROR(MATCH(D502,Settings!$B$10:$B$18,0),""))</f>
        <v/>
      </c>
      <c r="N502">
        <f>IF(OR(B502="",E502="",M502=""),"",IF(AND(B502&gt;=Settings!$C$6,B502&lt;=Settings!$C$7),M502*10000+E502,""))</f>
        <v/>
      </c>
      <c r="O502">
        <f>IF(OR(B502="",E502=""),"",B502*10000+E502)</f>
        <v/>
      </c>
      <c r="P502">
        <f>IF(N502="","",E502)</f>
        <v/>
      </c>
    </row>
    <row r="503">
      <c r="A503" s="1" t="n"/>
      <c r="B503" s="20" t="n"/>
      <c r="C503" s="21" t="n"/>
      <c r="D503" s="22" t="n"/>
      <c r="E503" s="23" t="n"/>
      <c r="F503" s="22" t="n"/>
      <c r="G503" s="14">
        <f>IF(OR(B503="",E503="",J503="",K503=""),"",IF(E503&lt;J503,"Below",IF(E503&gt;K503,"Above","In range")))</f>
        <v/>
      </c>
      <c r="H503" s="1" t="n"/>
      <c r="J503">
        <f>IF(M503="","",IF(INDEX(Settings!$C$10:$C$18,M503)="","",INDEX(Settings!$C$10:$C$18,M503)))</f>
        <v/>
      </c>
      <c r="K503">
        <f>IF(M503="","",IF(INDEX(Settings!$D$10:$D$18,M503)="","",INDEX(Settings!$D$10:$D$18,M503)))</f>
        <v/>
      </c>
      <c r="L503">
        <f>IF(OR(B503="",E503=""),"",B503+MOD(N(C503),1)+ROW()/10000000)</f>
        <v/>
      </c>
      <c r="M503">
        <f>IF(D503="","",IFERROR(MATCH(D503,Settings!$B$10:$B$18,0),""))</f>
        <v/>
      </c>
      <c r="N503">
        <f>IF(OR(B503="",E503="",M503=""),"",IF(AND(B503&gt;=Settings!$C$6,B503&lt;=Settings!$C$7),M503*10000+E503,""))</f>
        <v/>
      </c>
      <c r="O503">
        <f>IF(OR(B503="",E503=""),"",B503*10000+E503)</f>
        <v/>
      </c>
      <c r="P503">
        <f>IF(N503="","",E503)</f>
        <v/>
      </c>
    </row>
    <row r="504">
      <c r="A504" s="1" t="n"/>
      <c r="B504" s="20" t="n"/>
      <c r="C504" s="21" t="n"/>
      <c r="D504" s="22" t="n"/>
      <c r="E504" s="23" t="n"/>
      <c r="F504" s="22" t="n"/>
      <c r="G504" s="14">
        <f>IF(OR(B504="",E504="",J504="",K504=""),"",IF(E504&lt;J504,"Below",IF(E504&gt;K504,"Above","In range")))</f>
        <v/>
      </c>
      <c r="H504" s="1" t="n"/>
      <c r="J504">
        <f>IF(M504="","",IF(INDEX(Settings!$C$10:$C$18,M504)="","",INDEX(Settings!$C$10:$C$18,M504)))</f>
        <v/>
      </c>
      <c r="K504">
        <f>IF(M504="","",IF(INDEX(Settings!$D$10:$D$18,M504)="","",INDEX(Settings!$D$10:$D$18,M504)))</f>
        <v/>
      </c>
      <c r="L504">
        <f>IF(OR(B504="",E504=""),"",B504+MOD(N(C504),1)+ROW()/10000000)</f>
        <v/>
      </c>
      <c r="M504">
        <f>IF(D504="","",IFERROR(MATCH(D504,Settings!$B$10:$B$18,0),""))</f>
        <v/>
      </c>
      <c r="N504">
        <f>IF(OR(B504="",E504="",M504=""),"",IF(AND(B504&gt;=Settings!$C$6,B504&lt;=Settings!$C$7),M504*10000+E504,""))</f>
        <v/>
      </c>
      <c r="O504">
        <f>IF(OR(B504="",E504=""),"",B504*10000+E504)</f>
        <v/>
      </c>
      <c r="P504">
        <f>IF(N504="","",E504)</f>
        <v/>
      </c>
    </row>
    <row r="505">
      <c r="A505" s="1" t="n"/>
      <c r="B505" s="20" t="n"/>
      <c r="C505" s="21" t="n"/>
      <c r="D505" s="22" t="n"/>
      <c r="E505" s="23" t="n"/>
      <c r="F505" s="22" t="n"/>
      <c r="G505" s="14">
        <f>IF(OR(B505="",E505="",J505="",K505=""),"",IF(E505&lt;J505,"Below",IF(E505&gt;K505,"Above","In range")))</f>
        <v/>
      </c>
      <c r="H505" s="1" t="n"/>
      <c r="J505">
        <f>IF(M505="","",IF(INDEX(Settings!$C$10:$C$18,M505)="","",INDEX(Settings!$C$10:$C$18,M505)))</f>
        <v/>
      </c>
      <c r="K505">
        <f>IF(M505="","",IF(INDEX(Settings!$D$10:$D$18,M505)="","",INDEX(Settings!$D$10:$D$18,M505)))</f>
        <v/>
      </c>
      <c r="L505">
        <f>IF(OR(B505="",E505=""),"",B505+MOD(N(C505),1)+ROW()/10000000)</f>
        <v/>
      </c>
      <c r="M505">
        <f>IF(D505="","",IFERROR(MATCH(D505,Settings!$B$10:$B$18,0),""))</f>
        <v/>
      </c>
      <c r="N505">
        <f>IF(OR(B505="",E505="",M505=""),"",IF(AND(B505&gt;=Settings!$C$6,B505&lt;=Settings!$C$7),M505*10000+E505,""))</f>
        <v/>
      </c>
      <c r="O505">
        <f>IF(OR(B505="",E505=""),"",B505*10000+E505)</f>
        <v/>
      </c>
      <c r="P505">
        <f>IF(N505="","",E505)</f>
        <v/>
      </c>
    </row>
    <row r="506">
      <c r="A506" s="1" t="n"/>
      <c r="B506" s="20" t="n"/>
      <c r="C506" s="21" t="n"/>
      <c r="D506" s="22" t="n"/>
      <c r="E506" s="23" t="n"/>
      <c r="F506" s="22" t="n"/>
      <c r="G506" s="14">
        <f>IF(OR(B506="",E506="",J506="",K506=""),"",IF(E506&lt;J506,"Below",IF(E506&gt;K506,"Above","In range")))</f>
        <v/>
      </c>
      <c r="H506" s="1" t="n"/>
      <c r="J506">
        <f>IF(M506="","",IF(INDEX(Settings!$C$10:$C$18,M506)="","",INDEX(Settings!$C$10:$C$18,M506)))</f>
        <v/>
      </c>
      <c r="K506">
        <f>IF(M506="","",IF(INDEX(Settings!$D$10:$D$18,M506)="","",INDEX(Settings!$D$10:$D$18,M506)))</f>
        <v/>
      </c>
      <c r="L506">
        <f>IF(OR(B506="",E506=""),"",B506+MOD(N(C506),1)+ROW()/10000000)</f>
        <v/>
      </c>
      <c r="M506">
        <f>IF(D506="","",IFERROR(MATCH(D506,Settings!$B$10:$B$18,0),""))</f>
        <v/>
      </c>
      <c r="N506">
        <f>IF(OR(B506="",E506="",M506=""),"",IF(AND(B506&gt;=Settings!$C$6,B506&lt;=Settings!$C$7),M506*10000+E506,""))</f>
        <v/>
      </c>
      <c r="O506">
        <f>IF(OR(B506="",E506=""),"",B506*10000+E506)</f>
        <v/>
      </c>
      <c r="P506">
        <f>IF(N506="","",E506)</f>
        <v/>
      </c>
    </row>
    <row r="507">
      <c r="A507" s="1" t="n"/>
      <c r="B507" s="20" t="n"/>
      <c r="C507" s="21" t="n"/>
      <c r="D507" s="22" t="n"/>
      <c r="E507" s="23" t="n"/>
      <c r="F507" s="22" t="n"/>
      <c r="G507" s="14">
        <f>IF(OR(B507="",E507="",J507="",K507=""),"",IF(E507&lt;J507,"Below",IF(E507&gt;K507,"Above","In range")))</f>
        <v/>
      </c>
      <c r="H507" s="1" t="n"/>
      <c r="J507">
        <f>IF(M507="","",IF(INDEX(Settings!$C$10:$C$18,M507)="","",INDEX(Settings!$C$10:$C$18,M507)))</f>
        <v/>
      </c>
      <c r="K507">
        <f>IF(M507="","",IF(INDEX(Settings!$D$10:$D$18,M507)="","",INDEX(Settings!$D$10:$D$18,M507)))</f>
        <v/>
      </c>
      <c r="L507">
        <f>IF(OR(B507="",E507=""),"",B507+MOD(N(C507),1)+ROW()/10000000)</f>
        <v/>
      </c>
      <c r="M507">
        <f>IF(D507="","",IFERROR(MATCH(D507,Settings!$B$10:$B$18,0),""))</f>
        <v/>
      </c>
      <c r="N507">
        <f>IF(OR(B507="",E507="",M507=""),"",IF(AND(B507&gt;=Settings!$C$6,B507&lt;=Settings!$C$7),M507*10000+E507,""))</f>
        <v/>
      </c>
      <c r="O507">
        <f>IF(OR(B507="",E507=""),"",B507*10000+E507)</f>
        <v/>
      </c>
      <c r="P507">
        <f>IF(N507="","",E507)</f>
        <v/>
      </c>
    </row>
    <row r="508">
      <c r="A508" s="1" t="n"/>
      <c r="B508" s="20" t="n"/>
      <c r="C508" s="21" t="n"/>
      <c r="D508" s="22" t="n"/>
      <c r="E508" s="23" t="n"/>
      <c r="F508" s="22" t="n"/>
      <c r="G508" s="14">
        <f>IF(OR(B508="",E508="",J508="",K508=""),"",IF(E508&lt;J508,"Below",IF(E508&gt;K508,"Above","In range")))</f>
        <v/>
      </c>
      <c r="H508" s="1" t="n"/>
      <c r="J508">
        <f>IF(M508="","",IF(INDEX(Settings!$C$10:$C$18,M508)="","",INDEX(Settings!$C$10:$C$18,M508)))</f>
        <v/>
      </c>
      <c r="K508">
        <f>IF(M508="","",IF(INDEX(Settings!$D$10:$D$18,M508)="","",INDEX(Settings!$D$10:$D$18,M508)))</f>
        <v/>
      </c>
      <c r="L508">
        <f>IF(OR(B508="",E508=""),"",B508+MOD(N(C508),1)+ROW()/10000000)</f>
        <v/>
      </c>
      <c r="M508">
        <f>IF(D508="","",IFERROR(MATCH(D508,Settings!$B$10:$B$18,0),""))</f>
        <v/>
      </c>
      <c r="N508">
        <f>IF(OR(B508="",E508="",M508=""),"",IF(AND(B508&gt;=Settings!$C$6,B508&lt;=Settings!$C$7),M508*10000+E508,""))</f>
        <v/>
      </c>
      <c r="O508">
        <f>IF(OR(B508="",E508=""),"",B508*10000+E508)</f>
        <v/>
      </c>
      <c r="P508">
        <f>IF(N508="","",E508)</f>
        <v/>
      </c>
    </row>
    <row r="509">
      <c r="A509" s="1" t="n"/>
      <c r="B509" s="20" t="n"/>
      <c r="C509" s="21" t="n"/>
      <c r="D509" s="22" t="n"/>
      <c r="E509" s="23" t="n"/>
      <c r="F509" s="22" t="n"/>
      <c r="G509" s="14">
        <f>IF(OR(B509="",E509="",J509="",K509=""),"",IF(E509&lt;J509,"Below",IF(E509&gt;K509,"Above","In range")))</f>
        <v/>
      </c>
      <c r="H509" s="1" t="n"/>
      <c r="J509">
        <f>IF(M509="","",IF(INDEX(Settings!$C$10:$C$18,M509)="","",INDEX(Settings!$C$10:$C$18,M509)))</f>
        <v/>
      </c>
      <c r="K509">
        <f>IF(M509="","",IF(INDEX(Settings!$D$10:$D$18,M509)="","",INDEX(Settings!$D$10:$D$18,M509)))</f>
        <v/>
      </c>
      <c r="L509">
        <f>IF(OR(B509="",E509=""),"",B509+MOD(N(C509),1)+ROW()/10000000)</f>
        <v/>
      </c>
      <c r="M509">
        <f>IF(D509="","",IFERROR(MATCH(D509,Settings!$B$10:$B$18,0),""))</f>
        <v/>
      </c>
      <c r="N509">
        <f>IF(OR(B509="",E509="",M509=""),"",IF(AND(B509&gt;=Settings!$C$6,B509&lt;=Settings!$C$7),M509*10000+E509,""))</f>
        <v/>
      </c>
      <c r="O509">
        <f>IF(OR(B509="",E509=""),"",B509*10000+E509)</f>
        <v/>
      </c>
      <c r="P509">
        <f>IF(N509="","",E509)</f>
        <v/>
      </c>
    </row>
    <row r="510">
      <c r="A510" s="1" t="n"/>
      <c r="B510" s="20" t="n"/>
      <c r="C510" s="21" t="n"/>
      <c r="D510" s="22" t="n"/>
      <c r="E510" s="23" t="n"/>
      <c r="F510" s="22" t="n"/>
      <c r="G510" s="14">
        <f>IF(OR(B510="",E510="",J510="",K510=""),"",IF(E510&lt;J510,"Below",IF(E510&gt;K510,"Above","In range")))</f>
        <v/>
      </c>
      <c r="H510" s="1" t="n"/>
      <c r="J510">
        <f>IF(M510="","",IF(INDEX(Settings!$C$10:$C$18,M510)="","",INDEX(Settings!$C$10:$C$18,M510)))</f>
        <v/>
      </c>
      <c r="K510">
        <f>IF(M510="","",IF(INDEX(Settings!$D$10:$D$18,M510)="","",INDEX(Settings!$D$10:$D$18,M510)))</f>
        <v/>
      </c>
      <c r="L510">
        <f>IF(OR(B510="",E510=""),"",B510+MOD(N(C510),1)+ROW()/10000000)</f>
        <v/>
      </c>
      <c r="M510">
        <f>IF(D510="","",IFERROR(MATCH(D510,Settings!$B$10:$B$18,0),""))</f>
        <v/>
      </c>
      <c r="N510">
        <f>IF(OR(B510="",E510="",M510=""),"",IF(AND(B510&gt;=Settings!$C$6,B510&lt;=Settings!$C$7),M510*10000+E510,""))</f>
        <v/>
      </c>
      <c r="O510">
        <f>IF(OR(B510="",E510=""),"",B510*10000+E510)</f>
        <v/>
      </c>
      <c r="P510">
        <f>IF(N510="","",E510)</f>
        <v/>
      </c>
    </row>
    <row r="511">
      <c r="A511" s="1" t="n"/>
      <c r="B511" s="20" t="n"/>
      <c r="C511" s="21" t="n"/>
      <c r="D511" s="22" t="n"/>
      <c r="E511" s="23" t="n"/>
      <c r="F511" s="22" t="n"/>
      <c r="G511" s="14">
        <f>IF(OR(B511="",E511="",J511="",K511=""),"",IF(E511&lt;J511,"Below",IF(E511&gt;K511,"Above","In range")))</f>
        <v/>
      </c>
      <c r="H511" s="1" t="n"/>
      <c r="J511">
        <f>IF(M511="","",IF(INDEX(Settings!$C$10:$C$18,M511)="","",INDEX(Settings!$C$10:$C$18,M511)))</f>
        <v/>
      </c>
      <c r="K511">
        <f>IF(M511="","",IF(INDEX(Settings!$D$10:$D$18,M511)="","",INDEX(Settings!$D$10:$D$18,M511)))</f>
        <v/>
      </c>
      <c r="L511">
        <f>IF(OR(B511="",E511=""),"",B511+MOD(N(C511),1)+ROW()/10000000)</f>
        <v/>
      </c>
      <c r="M511">
        <f>IF(D511="","",IFERROR(MATCH(D511,Settings!$B$10:$B$18,0),""))</f>
        <v/>
      </c>
      <c r="N511">
        <f>IF(OR(B511="",E511="",M511=""),"",IF(AND(B511&gt;=Settings!$C$6,B511&lt;=Settings!$C$7),M511*10000+E511,""))</f>
        <v/>
      </c>
      <c r="O511">
        <f>IF(OR(B511="",E511=""),"",B511*10000+E511)</f>
        <v/>
      </c>
      <c r="P511">
        <f>IF(N511="","",E511)</f>
        <v/>
      </c>
    </row>
    <row r="512">
      <c r="A512" s="1" t="n"/>
      <c r="B512" s="20" t="n"/>
      <c r="C512" s="21" t="n"/>
      <c r="D512" s="22" t="n"/>
      <c r="E512" s="23" t="n"/>
      <c r="F512" s="22" t="n"/>
      <c r="G512" s="14">
        <f>IF(OR(B512="",E512="",J512="",K512=""),"",IF(E512&lt;J512,"Below",IF(E512&gt;K512,"Above","In range")))</f>
        <v/>
      </c>
      <c r="H512" s="1" t="n"/>
      <c r="J512">
        <f>IF(M512="","",IF(INDEX(Settings!$C$10:$C$18,M512)="","",INDEX(Settings!$C$10:$C$18,M512)))</f>
        <v/>
      </c>
      <c r="K512">
        <f>IF(M512="","",IF(INDEX(Settings!$D$10:$D$18,M512)="","",INDEX(Settings!$D$10:$D$18,M512)))</f>
        <v/>
      </c>
      <c r="L512">
        <f>IF(OR(B512="",E512=""),"",B512+MOD(N(C512),1)+ROW()/10000000)</f>
        <v/>
      </c>
      <c r="M512">
        <f>IF(D512="","",IFERROR(MATCH(D512,Settings!$B$10:$B$18,0),""))</f>
        <v/>
      </c>
      <c r="N512">
        <f>IF(OR(B512="",E512="",M512=""),"",IF(AND(B512&gt;=Settings!$C$6,B512&lt;=Settings!$C$7),M512*10000+E512,""))</f>
        <v/>
      </c>
      <c r="O512">
        <f>IF(OR(B512="",E512=""),"",B512*10000+E512)</f>
        <v/>
      </c>
      <c r="P512">
        <f>IF(N512="","",E512)</f>
        <v/>
      </c>
    </row>
    <row r="513">
      <c r="A513" s="1" t="n"/>
      <c r="B513" s="20" t="n"/>
      <c r="C513" s="21" t="n"/>
      <c r="D513" s="22" t="n"/>
      <c r="E513" s="23" t="n"/>
      <c r="F513" s="22" t="n"/>
      <c r="G513" s="14">
        <f>IF(OR(B513="",E513="",J513="",K513=""),"",IF(E513&lt;J513,"Below",IF(E513&gt;K513,"Above","In range")))</f>
        <v/>
      </c>
      <c r="H513" s="1" t="n"/>
      <c r="J513">
        <f>IF(M513="","",IF(INDEX(Settings!$C$10:$C$18,M513)="","",INDEX(Settings!$C$10:$C$18,M513)))</f>
        <v/>
      </c>
      <c r="K513">
        <f>IF(M513="","",IF(INDEX(Settings!$D$10:$D$18,M513)="","",INDEX(Settings!$D$10:$D$18,M513)))</f>
        <v/>
      </c>
      <c r="L513">
        <f>IF(OR(B513="",E513=""),"",B513+MOD(N(C513),1)+ROW()/10000000)</f>
        <v/>
      </c>
      <c r="M513">
        <f>IF(D513="","",IFERROR(MATCH(D513,Settings!$B$10:$B$18,0),""))</f>
        <v/>
      </c>
      <c r="N513">
        <f>IF(OR(B513="",E513="",M513=""),"",IF(AND(B513&gt;=Settings!$C$6,B513&lt;=Settings!$C$7),M513*10000+E513,""))</f>
        <v/>
      </c>
      <c r="O513">
        <f>IF(OR(B513="",E513=""),"",B513*10000+E513)</f>
        <v/>
      </c>
      <c r="P513">
        <f>IF(N513="","",E513)</f>
        <v/>
      </c>
    </row>
    <row r="514">
      <c r="A514" s="1" t="n"/>
      <c r="B514" s="20" t="n"/>
      <c r="C514" s="21" t="n"/>
      <c r="D514" s="22" t="n"/>
      <c r="E514" s="23" t="n"/>
      <c r="F514" s="22" t="n"/>
      <c r="G514" s="14">
        <f>IF(OR(B514="",E514="",J514="",K514=""),"",IF(E514&lt;J514,"Below",IF(E514&gt;K514,"Above","In range")))</f>
        <v/>
      </c>
      <c r="H514" s="1" t="n"/>
      <c r="J514">
        <f>IF(M514="","",IF(INDEX(Settings!$C$10:$C$18,M514)="","",INDEX(Settings!$C$10:$C$18,M514)))</f>
        <v/>
      </c>
      <c r="K514">
        <f>IF(M514="","",IF(INDEX(Settings!$D$10:$D$18,M514)="","",INDEX(Settings!$D$10:$D$18,M514)))</f>
        <v/>
      </c>
      <c r="L514">
        <f>IF(OR(B514="",E514=""),"",B514+MOD(N(C514),1)+ROW()/10000000)</f>
        <v/>
      </c>
      <c r="M514">
        <f>IF(D514="","",IFERROR(MATCH(D514,Settings!$B$10:$B$18,0),""))</f>
        <v/>
      </c>
      <c r="N514">
        <f>IF(OR(B514="",E514="",M514=""),"",IF(AND(B514&gt;=Settings!$C$6,B514&lt;=Settings!$C$7),M514*10000+E514,""))</f>
        <v/>
      </c>
      <c r="O514">
        <f>IF(OR(B514="",E514=""),"",B514*10000+E514)</f>
        <v/>
      </c>
      <c r="P514">
        <f>IF(N514="","",E514)</f>
        <v/>
      </c>
    </row>
    <row r="515">
      <c r="A515" s="1" t="n"/>
      <c r="B515" s="20" t="n"/>
      <c r="C515" s="21" t="n"/>
      <c r="D515" s="22" t="n"/>
      <c r="E515" s="23" t="n"/>
      <c r="F515" s="22" t="n"/>
      <c r="G515" s="14">
        <f>IF(OR(B515="",E515="",J515="",K515=""),"",IF(E515&lt;J515,"Below",IF(E515&gt;K515,"Above","In range")))</f>
        <v/>
      </c>
      <c r="H515" s="1" t="n"/>
      <c r="J515">
        <f>IF(M515="","",IF(INDEX(Settings!$C$10:$C$18,M515)="","",INDEX(Settings!$C$10:$C$18,M515)))</f>
        <v/>
      </c>
      <c r="K515">
        <f>IF(M515="","",IF(INDEX(Settings!$D$10:$D$18,M515)="","",INDEX(Settings!$D$10:$D$18,M515)))</f>
        <v/>
      </c>
      <c r="L515">
        <f>IF(OR(B515="",E515=""),"",B515+MOD(N(C515),1)+ROW()/10000000)</f>
        <v/>
      </c>
      <c r="M515">
        <f>IF(D515="","",IFERROR(MATCH(D515,Settings!$B$10:$B$18,0),""))</f>
        <v/>
      </c>
      <c r="N515">
        <f>IF(OR(B515="",E515="",M515=""),"",IF(AND(B515&gt;=Settings!$C$6,B515&lt;=Settings!$C$7),M515*10000+E515,""))</f>
        <v/>
      </c>
      <c r="O515">
        <f>IF(OR(B515="",E515=""),"",B515*10000+E515)</f>
        <v/>
      </c>
      <c r="P515">
        <f>IF(N515="","",E515)</f>
        <v/>
      </c>
    </row>
    <row r="516">
      <c r="A516" s="1" t="n"/>
      <c r="B516" s="20" t="n"/>
      <c r="C516" s="21" t="n"/>
      <c r="D516" s="22" t="n"/>
      <c r="E516" s="23" t="n"/>
      <c r="F516" s="22" t="n"/>
      <c r="G516" s="14">
        <f>IF(OR(B516="",E516="",J516="",K516=""),"",IF(E516&lt;J516,"Below",IF(E516&gt;K516,"Above","In range")))</f>
        <v/>
      </c>
      <c r="H516" s="1" t="n"/>
      <c r="J516">
        <f>IF(M516="","",IF(INDEX(Settings!$C$10:$C$18,M516)="","",INDEX(Settings!$C$10:$C$18,M516)))</f>
        <v/>
      </c>
      <c r="K516">
        <f>IF(M516="","",IF(INDEX(Settings!$D$10:$D$18,M516)="","",INDEX(Settings!$D$10:$D$18,M516)))</f>
        <v/>
      </c>
      <c r="L516">
        <f>IF(OR(B516="",E516=""),"",B516+MOD(N(C516),1)+ROW()/10000000)</f>
        <v/>
      </c>
      <c r="M516">
        <f>IF(D516="","",IFERROR(MATCH(D516,Settings!$B$10:$B$18,0),""))</f>
        <v/>
      </c>
      <c r="N516">
        <f>IF(OR(B516="",E516="",M516=""),"",IF(AND(B516&gt;=Settings!$C$6,B516&lt;=Settings!$C$7),M516*10000+E516,""))</f>
        <v/>
      </c>
      <c r="O516">
        <f>IF(OR(B516="",E516=""),"",B516*10000+E516)</f>
        <v/>
      </c>
      <c r="P516">
        <f>IF(N516="","",E516)</f>
        <v/>
      </c>
    </row>
    <row r="517">
      <c r="A517" s="1" t="n"/>
      <c r="B517" s="20" t="n"/>
      <c r="C517" s="21" t="n"/>
      <c r="D517" s="22" t="n"/>
      <c r="E517" s="23" t="n"/>
      <c r="F517" s="22" t="n"/>
      <c r="G517" s="14">
        <f>IF(OR(B517="",E517="",J517="",K517=""),"",IF(E517&lt;J517,"Below",IF(E517&gt;K517,"Above","In range")))</f>
        <v/>
      </c>
      <c r="H517" s="1" t="n"/>
      <c r="J517">
        <f>IF(M517="","",IF(INDEX(Settings!$C$10:$C$18,M517)="","",INDEX(Settings!$C$10:$C$18,M517)))</f>
        <v/>
      </c>
      <c r="K517">
        <f>IF(M517="","",IF(INDEX(Settings!$D$10:$D$18,M517)="","",INDEX(Settings!$D$10:$D$18,M517)))</f>
        <v/>
      </c>
      <c r="L517">
        <f>IF(OR(B517="",E517=""),"",B517+MOD(N(C517),1)+ROW()/10000000)</f>
        <v/>
      </c>
      <c r="M517">
        <f>IF(D517="","",IFERROR(MATCH(D517,Settings!$B$10:$B$18,0),""))</f>
        <v/>
      </c>
      <c r="N517">
        <f>IF(OR(B517="",E517="",M517=""),"",IF(AND(B517&gt;=Settings!$C$6,B517&lt;=Settings!$C$7),M517*10000+E517,""))</f>
        <v/>
      </c>
      <c r="O517">
        <f>IF(OR(B517="",E517=""),"",B517*10000+E517)</f>
        <v/>
      </c>
      <c r="P517">
        <f>IF(N517="","",E517)</f>
        <v/>
      </c>
    </row>
    <row r="518">
      <c r="A518" s="1" t="n"/>
      <c r="B518" s="20" t="n"/>
      <c r="C518" s="21" t="n"/>
      <c r="D518" s="22" t="n"/>
      <c r="E518" s="23" t="n"/>
      <c r="F518" s="22" t="n"/>
      <c r="G518" s="14">
        <f>IF(OR(B518="",E518="",J518="",K518=""),"",IF(E518&lt;J518,"Below",IF(E518&gt;K518,"Above","In range")))</f>
        <v/>
      </c>
      <c r="H518" s="1" t="n"/>
      <c r="J518">
        <f>IF(M518="","",IF(INDEX(Settings!$C$10:$C$18,M518)="","",INDEX(Settings!$C$10:$C$18,M518)))</f>
        <v/>
      </c>
      <c r="K518">
        <f>IF(M518="","",IF(INDEX(Settings!$D$10:$D$18,M518)="","",INDEX(Settings!$D$10:$D$18,M518)))</f>
        <v/>
      </c>
      <c r="L518">
        <f>IF(OR(B518="",E518=""),"",B518+MOD(N(C518),1)+ROW()/10000000)</f>
        <v/>
      </c>
      <c r="M518">
        <f>IF(D518="","",IFERROR(MATCH(D518,Settings!$B$10:$B$18,0),""))</f>
        <v/>
      </c>
      <c r="N518">
        <f>IF(OR(B518="",E518="",M518=""),"",IF(AND(B518&gt;=Settings!$C$6,B518&lt;=Settings!$C$7),M518*10000+E518,""))</f>
        <v/>
      </c>
      <c r="O518">
        <f>IF(OR(B518="",E518=""),"",B518*10000+E518)</f>
        <v/>
      </c>
      <c r="P518">
        <f>IF(N518="","",E518)</f>
        <v/>
      </c>
    </row>
    <row r="519">
      <c r="A519" s="1" t="n"/>
      <c r="B519" s="20" t="n"/>
      <c r="C519" s="21" t="n"/>
      <c r="D519" s="22" t="n"/>
      <c r="E519" s="23" t="n"/>
      <c r="F519" s="22" t="n"/>
      <c r="G519" s="14">
        <f>IF(OR(B519="",E519="",J519="",K519=""),"",IF(E519&lt;J519,"Below",IF(E519&gt;K519,"Above","In range")))</f>
        <v/>
      </c>
      <c r="H519" s="1" t="n"/>
      <c r="J519">
        <f>IF(M519="","",IF(INDEX(Settings!$C$10:$C$18,M519)="","",INDEX(Settings!$C$10:$C$18,M519)))</f>
        <v/>
      </c>
      <c r="K519">
        <f>IF(M519="","",IF(INDEX(Settings!$D$10:$D$18,M519)="","",INDEX(Settings!$D$10:$D$18,M519)))</f>
        <v/>
      </c>
      <c r="L519">
        <f>IF(OR(B519="",E519=""),"",B519+MOD(N(C519),1)+ROW()/10000000)</f>
        <v/>
      </c>
      <c r="M519">
        <f>IF(D519="","",IFERROR(MATCH(D519,Settings!$B$10:$B$18,0),""))</f>
        <v/>
      </c>
      <c r="N519">
        <f>IF(OR(B519="",E519="",M519=""),"",IF(AND(B519&gt;=Settings!$C$6,B519&lt;=Settings!$C$7),M519*10000+E519,""))</f>
        <v/>
      </c>
      <c r="O519">
        <f>IF(OR(B519="",E519=""),"",B519*10000+E519)</f>
        <v/>
      </c>
      <c r="P519">
        <f>IF(N519="","",E519)</f>
        <v/>
      </c>
    </row>
    <row r="520">
      <c r="A520" s="1" t="n"/>
      <c r="B520" s="20" t="n"/>
      <c r="C520" s="21" t="n"/>
      <c r="D520" s="22" t="n"/>
      <c r="E520" s="23" t="n"/>
      <c r="F520" s="22" t="n"/>
      <c r="G520" s="14">
        <f>IF(OR(B520="",E520="",J520="",K520=""),"",IF(E520&lt;J520,"Below",IF(E520&gt;K520,"Above","In range")))</f>
        <v/>
      </c>
      <c r="H520" s="1" t="n"/>
      <c r="J520">
        <f>IF(M520="","",IF(INDEX(Settings!$C$10:$C$18,M520)="","",INDEX(Settings!$C$10:$C$18,M520)))</f>
        <v/>
      </c>
      <c r="K520">
        <f>IF(M520="","",IF(INDEX(Settings!$D$10:$D$18,M520)="","",INDEX(Settings!$D$10:$D$18,M520)))</f>
        <v/>
      </c>
      <c r="L520">
        <f>IF(OR(B520="",E520=""),"",B520+MOD(N(C520),1)+ROW()/10000000)</f>
        <v/>
      </c>
      <c r="M520">
        <f>IF(D520="","",IFERROR(MATCH(D520,Settings!$B$10:$B$18,0),""))</f>
        <v/>
      </c>
      <c r="N520">
        <f>IF(OR(B520="",E520="",M520=""),"",IF(AND(B520&gt;=Settings!$C$6,B520&lt;=Settings!$C$7),M520*10000+E520,""))</f>
        <v/>
      </c>
      <c r="O520">
        <f>IF(OR(B520="",E520=""),"",B520*10000+E520)</f>
        <v/>
      </c>
      <c r="P520">
        <f>IF(N520="","",E520)</f>
        <v/>
      </c>
    </row>
    <row r="521">
      <c r="A521" s="1" t="n"/>
      <c r="B521" s="20" t="n"/>
      <c r="C521" s="21" t="n"/>
      <c r="D521" s="22" t="n"/>
      <c r="E521" s="23" t="n"/>
      <c r="F521" s="22" t="n"/>
      <c r="G521" s="14">
        <f>IF(OR(B521="",E521="",J521="",K521=""),"",IF(E521&lt;J521,"Below",IF(E521&gt;K521,"Above","In range")))</f>
        <v/>
      </c>
      <c r="H521" s="1" t="n"/>
      <c r="J521">
        <f>IF(M521="","",IF(INDEX(Settings!$C$10:$C$18,M521)="","",INDEX(Settings!$C$10:$C$18,M521)))</f>
        <v/>
      </c>
      <c r="K521">
        <f>IF(M521="","",IF(INDEX(Settings!$D$10:$D$18,M521)="","",INDEX(Settings!$D$10:$D$18,M521)))</f>
        <v/>
      </c>
      <c r="L521">
        <f>IF(OR(B521="",E521=""),"",B521+MOD(N(C521),1)+ROW()/10000000)</f>
        <v/>
      </c>
      <c r="M521">
        <f>IF(D521="","",IFERROR(MATCH(D521,Settings!$B$10:$B$18,0),""))</f>
        <v/>
      </c>
      <c r="N521">
        <f>IF(OR(B521="",E521="",M521=""),"",IF(AND(B521&gt;=Settings!$C$6,B521&lt;=Settings!$C$7),M521*10000+E521,""))</f>
        <v/>
      </c>
      <c r="O521">
        <f>IF(OR(B521="",E521=""),"",B521*10000+E521)</f>
        <v/>
      </c>
      <c r="P521">
        <f>IF(N521="","",E521)</f>
        <v/>
      </c>
    </row>
    <row r="522">
      <c r="A522" s="1" t="n"/>
      <c r="B522" s="20" t="n"/>
      <c r="C522" s="21" t="n"/>
      <c r="D522" s="22" t="n"/>
      <c r="E522" s="23" t="n"/>
      <c r="F522" s="22" t="n"/>
      <c r="G522" s="14">
        <f>IF(OR(B522="",E522="",J522="",K522=""),"",IF(E522&lt;J522,"Below",IF(E522&gt;K522,"Above","In range")))</f>
        <v/>
      </c>
      <c r="H522" s="1" t="n"/>
      <c r="J522">
        <f>IF(M522="","",IF(INDEX(Settings!$C$10:$C$18,M522)="","",INDEX(Settings!$C$10:$C$18,M522)))</f>
        <v/>
      </c>
      <c r="K522">
        <f>IF(M522="","",IF(INDEX(Settings!$D$10:$D$18,M522)="","",INDEX(Settings!$D$10:$D$18,M522)))</f>
        <v/>
      </c>
      <c r="L522">
        <f>IF(OR(B522="",E522=""),"",B522+MOD(N(C522),1)+ROW()/10000000)</f>
        <v/>
      </c>
      <c r="M522">
        <f>IF(D522="","",IFERROR(MATCH(D522,Settings!$B$10:$B$18,0),""))</f>
        <v/>
      </c>
      <c r="N522">
        <f>IF(OR(B522="",E522="",M522=""),"",IF(AND(B522&gt;=Settings!$C$6,B522&lt;=Settings!$C$7),M522*10000+E522,""))</f>
        <v/>
      </c>
      <c r="O522">
        <f>IF(OR(B522="",E522=""),"",B522*10000+E522)</f>
        <v/>
      </c>
      <c r="P522">
        <f>IF(N522="","",E522)</f>
        <v/>
      </c>
    </row>
    <row r="523">
      <c r="A523" s="1" t="n"/>
      <c r="B523" s="20" t="n"/>
      <c r="C523" s="21" t="n"/>
      <c r="D523" s="22" t="n"/>
      <c r="E523" s="23" t="n"/>
      <c r="F523" s="22" t="n"/>
      <c r="G523" s="14">
        <f>IF(OR(B523="",E523="",J523="",K523=""),"",IF(E523&lt;J523,"Below",IF(E523&gt;K523,"Above","In range")))</f>
        <v/>
      </c>
      <c r="H523" s="1" t="n"/>
      <c r="J523">
        <f>IF(M523="","",IF(INDEX(Settings!$C$10:$C$18,M523)="","",INDEX(Settings!$C$10:$C$18,M523)))</f>
        <v/>
      </c>
      <c r="K523">
        <f>IF(M523="","",IF(INDEX(Settings!$D$10:$D$18,M523)="","",INDEX(Settings!$D$10:$D$18,M523)))</f>
        <v/>
      </c>
      <c r="L523">
        <f>IF(OR(B523="",E523=""),"",B523+MOD(N(C523),1)+ROW()/10000000)</f>
        <v/>
      </c>
      <c r="M523">
        <f>IF(D523="","",IFERROR(MATCH(D523,Settings!$B$10:$B$18,0),""))</f>
        <v/>
      </c>
      <c r="N523">
        <f>IF(OR(B523="",E523="",M523=""),"",IF(AND(B523&gt;=Settings!$C$6,B523&lt;=Settings!$C$7),M523*10000+E523,""))</f>
        <v/>
      </c>
      <c r="O523">
        <f>IF(OR(B523="",E523=""),"",B523*10000+E523)</f>
        <v/>
      </c>
      <c r="P523">
        <f>IF(N523="","",E523)</f>
        <v/>
      </c>
    </row>
    <row r="524">
      <c r="A524" s="1" t="n"/>
      <c r="B524" s="20" t="n"/>
      <c r="C524" s="21" t="n"/>
      <c r="D524" s="22" t="n"/>
      <c r="E524" s="23" t="n"/>
      <c r="F524" s="22" t="n"/>
      <c r="G524" s="14">
        <f>IF(OR(B524="",E524="",J524="",K524=""),"",IF(E524&lt;J524,"Below",IF(E524&gt;K524,"Above","In range")))</f>
        <v/>
      </c>
      <c r="H524" s="1" t="n"/>
      <c r="J524">
        <f>IF(M524="","",IF(INDEX(Settings!$C$10:$C$18,M524)="","",INDEX(Settings!$C$10:$C$18,M524)))</f>
        <v/>
      </c>
      <c r="K524">
        <f>IF(M524="","",IF(INDEX(Settings!$D$10:$D$18,M524)="","",INDEX(Settings!$D$10:$D$18,M524)))</f>
        <v/>
      </c>
      <c r="L524">
        <f>IF(OR(B524="",E524=""),"",B524+MOD(N(C524),1)+ROW()/10000000)</f>
        <v/>
      </c>
      <c r="M524">
        <f>IF(D524="","",IFERROR(MATCH(D524,Settings!$B$10:$B$18,0),""))</f>
        <v/>
      </c>
      <c r="N524">
        <f>IF(OR(B524="",E524="",M524=""),"",IF(AND(B524&gt;=Settings!$C$6,B524&lt;=Settings!$C$7),M524*10000+E524,""))</f>
        <v/>
      </c>
      <c r="O524">
        <f>IF(OR(B524="",E524=""),"",B524*10000+E524)</f>
        <v/>
      </c>
      <c r="P524">
        <f>IF(N524="","",E524)</f>
        <v/>
      </c>
    </row>
    <row r="525">
      <c r="A525" s="1" t="n"/>
      <c r="B525" s="20" t="n"/>
      <c r="C525" s="21" t="n"/>
      <c r="D525" s="22" t="n"/>
      <c r="E525" s="23" t="n"/>
      <c r="F525" s="22" t="n"/>
      <c r="G525" s="14">
        <f>IF(OR(B525="",E525="",J525="",K525=""),"",IF(E525&lt;J525,"Below",IF(E525&gt;K525,"Above","In range")))</f>
        <v/>
      </c>
      <c r="H525" s="1" t="n"/>
      <c r="J525">
        <f>IF(M525="","",IF(INDEX(Settings!$C$10:$C$18,M525)="","",INDEX(Settings!$C$10:$C$18,M525)))</f>
        <v/>
      </c>
      <c r="K525">
        <f>IF(M525="","",IF(INDEX(Settings!$D$10:$D$18,M525)="","",INDEX(Settings!$D$10:$D$18,M525)))</f>
        <v/>
      </c>
      <c r="L525">
        <f>IF(OR(B525="",E525=""),"",B525+MOD(N(C525),1)+ROW()/10000000)</f>
        <v/>
      </c>
      <c r="M525">
        <f>IF(D525="","",IFERROR(MATCH(D525,Settings!$B$10:$B$18,0),""))</f>
        <v/>
      </c>
      <c r="N525">
        <f>IF(OR(B525="",E525="",M525=""),"",IF(AND(B525&gt;=Settings!$C$6,B525&lt;=Settings!$C$7),M525*10000+E525,""))</f>
        <v/>
      </c>
      <c r="O525">
        <f>IF(OR(B525="",E525=""),"",B525*10000+E525)</f>
        <v/>
      </c>
      <c r="P525">
        <f>IF(N525="","",E525)</f>
        <v/>
      </c>
    </row>
    <row r="526">
      <c r="A526" s="1" t="n"/>
      <c r="B526" s="20" t="n"/>
      <c r="C526" s="21" t="n"/>
      <c r="D526" s="22" t="n"/>
      <c r="E526" s="23" t="n"/>
      <c r="F526" s="22" t="n"/>
      <c r="G526" s="14">
        <f>IF(OR(B526="",E526="",J526="",K526=""),"",IF(E526&lt;J526,"Below",IF(E526&gt;K526,"Above","In range")))</f>
        <v/>
      </c>
      <c r="H526" s="1" t="n"/>
      <c r="J526">
        <f>IF(M526="","",IF(INDEX(Settings!$C$10:$C$18,M526)="","",INDEX(Settings!$C$10:$C$18,M526)))</f>
        <v/>
      </c>
      <c r="K526">
        <f>IF(M526="","",IF(INDEX(Settings!$D$10:$D$18,M526)="","",INDEX(Settings!$D$10:$D$18,M526)))</f>
        <v/>
      </c>
      <c r="L526">
        <f>IF(OR(B526="",E526=""),"",B526+MOD(N(C526),1)+ROW()/10000000)</f>
        <v/>
      </c>
      <c r="M526">
        <f>IF(D526="","",IFERROR(MATCH(D526,Settings!$B$10:$B$18,0),""))</f>
        <v/>
      </c>
      <c r="N526">
        <f>IF(OR(B526="",E526="",M526=""),"",IF(AND(B526&gt;=Settings!$C$6,B526&lt;=Settings!$C$7),M526*10000+E526,""))</f>
        <v/>
      </c>
      <c r="O526">
        <f>IF(OR(B526="",E526=""),"",B526*10000+E526)</f>
        <v/>
      </c>
      <c r="P526">
        <f>IF(N526="","",E526)</f>
        <v/>
      </c>
    </row>
    <row r="527">
      <c r="A527" s="1" t="n"/>
      <c r="B527" s="20" t="n"/>
      <c r="C527" s="21" t="n"/>
      <c r="D527" s="22" t="n"/>
      <c r="E527" s="23" t="n"/>
      <c r="F527" s="22" t="n"/>
      <c r="G527" s="14">
        <f>IF(OR(B527="",E527="",J527="",K527=""),"",IF(E527&lt;J527,"Below",IF(E527&gt;K527,"Above","In range")))</f>
        <v/>
      </c>
      <c r="H527" s="1" t="n"/>
      <c r="J527">
        <f>IF(M527="","",IF(INDEX(Settings!$C$10:$C$18,M527)="","",INDEX(Settings!$C$10:$C$18,M527)))</f>
        <v/>
      </c>
      <c r="K527">
        <f>IF(M527="","",IF(INDEX(Settings!$D$10:$D$18,M527)="","",INDEX(Settings!$D$10:$D$18,M527)))</f>
        <v/>
      </c>
      <c r="L527">
        <f>IF(OR(B527="",E527=""),"",B527+MOD(N(C527),1)+ROW()/10000000)</f>
        <v/>
      </c>
      <c r="M527">
        <f>IF(D527="","",IFERROR(MATCH(D527,Settings!$B$10:$B$18,0),""))</f>
        <v/>
      </c>
      <c r="N527">
        <f>IF(OR(B527="",E527="",M527=""),"",IF(AND(B527&gt;=Settings!$C$6,B527&lt;=Settings!$C$7),M527*10000+E527,""))</f>
        <v/>
      </c>
      <c r="O527">
        <f>IF(OR(B527="",E527=""),"",B527*10000+E527)</f>
        <v/>
      </c>
      <c r="P527">
        <f>IF(N527="","",E527)</f>
        <v/>
      </c>
    </row>
    <row r="528">
      <c r="A528" s="1" t="n"/>
      <c r="B528" s="20" t="n"/>
      <c r="C528" s="21" t="n"/>
      <c r="D528" s="22" t="n"/>
      <c r="E528" s="23" t="n"/>
      <c r="F528" s="22" t="n"/>
      <c r="G528" s="14">
        <f>IF(OR(B528="",E528="",J528="",K528=""),"",IF(E528&lt;J528,"Below",IF(E528&gt;K528,"Above","In range")))</f>
        <v/>
      </c>
      <c r="H528" s="1" t="n"/>
      <c r="J528">
        <f>IF(M528="","",IF(INDEX(Settings!$C$10:$C$18,M528)="","",INDEX(Settings!$C$10:$C$18,M528)))</f>
        <v/>
      </c>
      <c r="K528">
        <f>IF(M528="","",IF(INDEX(Settings!$D$10:$D$18,M528)="","",INDEX(Settings!$D$10:$D$18,M528)))</f>
        <v/>
      </c>
      <c r="L528">
        <f>IF(OR(B528="",E528=""),"",B528+MOD(N(C528),1)+ROW()/10000000)</f>
        <v/>
      </c>
      <c r="M528">
        <f>IF(D528="","",IFERROR(MATCH(D528,Settings!$B$10:$B$18,0),""))</f>
        <v/>
      </c>
      <c r="N528">
        <f>IF(OR(B528="",E528="",M528=""),"",IF(AND(B528&gt;=Settings!$C$6,B528&lt;=Settings!$C$7),M528*10000+E528,""))</f>
        <v/>
      </c>
      <c r="O528">
        <f>IF(OR(B528="",E528=""),"",B528*10000+E528)</f>
        <v/>
      </c>
      <c r="P528">
        <f>IF(N528="","",E528)</f>
        <v/>
      </c>
    </row>
    <row r="529">
      <c r="A529" s="1" t="n"/>
      <c r="B529" s="20" t="n"/>
      <c r="C529" s="21" t="n"/>
      <c r="D529" s="22" t="n"/>
      <c r="E529" s="23" t="n"/>
      <c r="F529" s="22" t="n"/>
      <c r="G529" s="14">
        <f>IF(OR(B529="",E529="",J529="",K529=""),"",IF(E529&lt;J529,"Below",IF(E529&gt;K529,"Above","In range")))</f>
        <v/>
      </c>
      <c r="H529" s="1" t="n"/>
      <c r="J529">
        <f>IF(M529="","",IF(INDEX(Settings!$C$10:$C$18,M529)="","",INDEX(Settings!$C$10:$C$18,M529)))</f>
        <v/>
      </c>
      <c r="K529">
        <f>IF(M529="","",IF(INDEX(Settings!$D$10:$D$18,M529)="","",INDEX(Settings!$D$10:$D$18,M529)))</f>
        <v/>
      </c>
      <c r="L529">
        <f>IF(OR(B529="",E529=""),"",B529+MOD(N(C529),1)+ROW()/10000000)</f>
        <v/>
      </c>
      <c r="M529">
        <f>IF(D529="","",IFERROR(MATCH(D529,Settings!$B$10:$B$18,0),""))</f>
        <v/>
      </c>
      <c r="N529">
        <f>IF(OR(B529="",E529="",M529=""),"",IF(AND(B529&gt;=Settings!$C$6,B529&lt;=Settings!$C$7),M529*10000+E529,""))</f>
        <v/>
      </c>
      <c r="O529">
        <f>IF(OR(B529="",E529=""),"",B529*10000+E529)</f>
        <v/>
      </c>
      <c r="P529">
        <f>IF(N529="","",E529)</f>
        <v/>
      </c>
    </row>
    <row r="530">
      <c r="A530" s="1" t="n"/>
      <c r="B530" s="20" t="n"/>
      <c r="C530" s="21" t="n"/>
      <c r="D530" s="22" t="n"/>
      <c r="E530" s="23" t="n"/>
      <c r="F530" s="22" t="n"/>
      <c r="G530" s="14">
        <f>IF(OR(B530="",E530="",J530="",K530=""),"",IF(E530&lt;J530,"Below",IF(E530&gt;K530,"Above","In range")))</f>
        <v/>
      </c>
      <c r="H530" s="1" t="n"/>
      <c r="J530">
        <f>IF(M530="","",IF(INDEX(Settings!$C$10:$C$18,M530)="","",INDEX(Settings!$C$10:$C$18,M530)))</f>
        <v/>
      </c>
      <c r="K530">
        <f>IF(M530="","",IF(INDEX(Settings!$D$10:$D$18,M530)="","",INDEX(Settings!$D$10:$D$18,M530)))</f>
        <v/>
      </c>
      <c r="L530">
        <f>IF(OR(B530="",E530=""),"",B530+MOD(N(C530),1)+ROW()/10000000)</f>
        <v/>
      </c>
      <c r="M530">
        <f>IF(D530="","",IFERROR(MATCH(D530,Settings!$B$10:$B$18,0),""))</f>
        <v/>
      </c>
      <c r="N530">
        <f>IF(OR(B530="",E530="",M530=""),"",IF(AND(B530&gt;=Settings!$C$6,B530&lt;=Settings!$C$7),M530*10000+E530,""))</f>
        <v/>
      </c>
      <c r="O530">
        <f>IF(OR(B530="",E530=""),"",B530*10000+E530)</f>
        <v/>
      </c>
      <c r="P530">
        <f>IF(N530="","",E530)</f>
        <v/>
      </c>
    </row>
    <row r="531">
      <c r="A531" s="1" t="n"/>
      <c r="B531" s="20" t="n"/>
      <c r="C531" s="21" t="n"/>
      <c r="D531" s="22" t="n"/>
      <c r="E531" s="23" t="n"/>
      <c r="F531" s="22" t="n"/>
      <c r="G531" s="14">
        <f>IF(OR(B531="",E531="",J531="",K531=""),"",IF(E531&lt;J531,"Below",IF(E531&gt;K531,"Above","In range")))</f>
        <v/>
      </c>
      <c r="H531" s="1" t="n"/>
      <c r="J531">
        <f>IF(M531="","",IF(INDEX(Settings!$C$10:$C$18,M531)="","",INDEX(Settings!$C$10:$C$18,M531)))</f>
        <v/>
      </c>
      <c r="K531">
        <f>IF(M531="","",IF(INDEX(Settings!$D$10:$D$18,M531)="","",INDEX(Settings!$D$10:$D$18,M531)))</f>
        <v/>
      </c>
      <c r="L531">
        <f>IF(OR(B531="",E531=""),"",B531+MOD(N(C531),1)+ROW()/10000000)</f>
        <v/>
      </c>
      <c r="M531">
        <f>IF(D531="","",IFERROR(MATCH(D531,Settings!$B$10:$B$18,0),""))</f>
        <v/>
      </c>
      <c r="N531">
        <f>IF(OR(B531="",E531="",M531=""),"",IF(AND(B531&gt;=Settings!$C$6,B531&lt;=Settings!$C$7),M531*10000+E531,""))</f>
        <v/>
      </c>
      <c r="O531">
        <f>IF(OR(B531="",E531=""),"",B531*10000+E531)</f>
        <v/>
      </c>
      <c r="P531">
        <f>IF(N531="","",E531)</f>
        <v/>
      </c>
    </row>
    <row r="532">
      <c r="A532" s="1" t="n"/>
      <c r="B532" s="20" t="n"/>
      <c r="C532" s="21" t="n"/>
      <c r="D532" s="22" t="n"/>
      <c r="E532" s="23" t="n"/>
      <c r="F532" s="22" t="n"/>
      <c r="G532" s="14">
        <f>IF(OR(B532="",E532="",J532="",K532=""),"",IF(E532&lt;J532,"Below",IF(E532&gt;K532,"Above","In range")))</f>
        <v/>
      </c>
      <c r="H532" s="1" t="n"/>
      <c r="J532">
        <f>IF(M532="","",IF(INDEX(Settings!$C$10:$C$18,M532)="","",INDEX(Settings!$C$10:$C$18,M532)))</f>
        <v/>
      </c>
      <c r="K532">
        <f>IF(M532="","",IF(INDEX(Settings!$D$10:$D$18,M532)="","",INDEX(Settings!$D$10:$D$18,M532)))</f>
        <v/>
      </c>
      <c r="L532">
        <f>IF(OR(B532="",E532=""),"",B532+MOD(N(C532),1)+ROW()/10000000)</f>
        <v/>
      </c>
      <c r="M532">
        <f>IF(D532="","",IFERROR(MATCH(D532,Settings!$B$10:$B$18,0),""))</f>
        <v/>
      </c>
      <c r="N532">
        <f>IF(OR(B532="",E532="",M532=""),"",IF(AND(B532&gt;=Settings!$C$6,B532&lt;=Settings!$C$7),M532*10000+E532,""))</f>
        <v/>
      </c>
      <c r="O532">
        <f>IF(OR(B532="",E532=""),"",B532*10000+E532)</f>
        <v/>
      </c>
      <c r="P532">
        <f>IF(N532="","",E532)</f>
        <v/>
      </c>
    </row>
    <row r="533">
      <c r="A533" s="1" t="n"/>
      <c r="B533" s="20" t="n"/>
      <c r="C533" s="21" t="n"/>
      <c r="D533" s="22" t="n"/>
      <c r="E533" s="23" t="n"/>
      <c r="F533" s="22" t="n"/>
      <c r="G533" s="14">
        <f>IF(OR(B533="",E533="",J533="",K533=""),"",IF(E533&lt;J533,"Below",IF(E533&gt;K533,"Above","In range")))</f>
        <v/>
      </c>
      <c r="H533" s="1" t="n"/>
      <c r="J533">
        <f>IF(M533="","",IF(INDEX(Settings!$C$10:$C$18,M533)="","",INDEX(Settings!$C$10:$C$18,M533)))</f>
        <v/>
      </c>
      <c r="K533">
        <f>IF(M533="","",IF(INDEX(Settings!$D$10:$D$18,M533)="","",INDEX(Settings!$D$10:$D$18,M533)))</f>
        <v/>
      </c>
      <c r="L533">
        <f>IF(OR(B533="",E533=""),"",B533+MOD(N(C533),1)+ROW()/10000000)</f>
        <v/>
      </c>
      <c r="M533">
        <f>IF(D533="","",IFERROR(MATCH(D533,Settings!$B$10:$B$18,0),""))</f>
        <v/>
      </c>
      <c r="N533">
        <f>IF(OR(B533="",E533="",M533=""),"",IF(AND(B533&gt;=Settings!$C$6,B533&lt;=Settings!$C$7),M533*10000+E533,""))</f>
        <v/>
      </c>
      <c r="O533">
        <f>IF(OR(B533="",E533=""),"",B533*10000+E533)</f>
        <v/>
      </c>
      <c r="P533">
        <f>IF(N533="","",E533)</f>
        <v/>
      </c>
    </row>
    <row r="534">
      <c r="A534" s="1" t="n"/>
      <c r="B534" s="20" t="n"/>
      <c r="C534" s="21" t="n"/>
      <c r="D534" s="22" t="n"/>
      <c r="E534" s="23" t="n"/>
      <c r="F534" s="22" t="n"/>
      <c r="G534" s="14">
        <f>IF(OR(B534="",E534="",J534="",K534=""),"",IF(E534&lt;J534,"Below",IF(E534&gt;K534,"Above","In range")))</f>
        <v/>
      </c>
      <c r="H534" s="1" t="n"/>
      <c r="J534">
        <f>IF(M534="","",IF(INDEX(Settings!$C$10:$C$18,M534)="","",INDEX(Settings!$C$10:$C$18,M534)))</f>
        <v/>
      </c>
      <c r="K534">
        <f>IF(M534="","",IF(INDEX(Settings!$D$10:$D$18,M534)="","",INDEX(Settings!$D$10:$D$18,M534)))</f>
        <v/>
      </c>
      <c r="L534">
        <f>IF(OR(B534="",E534=""),"",B534+MOD(N(C534),1)+ROW()/10000000)</f>
        <v/>
      </c>
      <c r="M534">
        <f>IF(D534="","",IFERROR(MATCH(D534,Settings!$B$10:$B$18,0),""))</f>
        <v/>
      </c>
      <c r="N534">
        <f>IF(OR(B534="",E534="",M534=""),"",IF(AND(B534&gt;=Settings!$C$6,B534&lt;=Settings!$C$7),M534*10000+E534,""))</f>
        <v/>
      </c>
      <c r="O534">
        <f>IF(OR(B534="",E534=""),"",B534*10000+E534)</f>
        <v/>
      </c>
      <c r="P534">
        <f>IF(N534="","",E534)</f>
        <v/>
      </c>
    </row>
    <row r="535">
      <c r="A535" s="1" t="n"/>
      <c r="B535" s="20" t="n"/>
      <c r="C535" s="21" t="n"/>
      <c r="D535" s="22" t="n"/>
      <c r="E535" s="23" t="n"/>
      <c r="F535" s="22" t="n"/>
      <c r="G535" s="14">
        <f>IF(OR(B535="",E535="",J535="",K535=""),"",IF(E535&lt;J535,"Below",IF(E535&gt;K535,"Above","In range")))</f>
        <v/>
      </c>
      <c r="H535" s="1" t="n"/>
      <c r="J535">
        <f>IF(M535="","",IF(INDEX(Settings!$C$10:$C$18,M535)="","",INDEX(Settings!$C$10:$C$18,M535)))</f>
        <v/>
      </c>
      <c r="K535">
        <f>IF(M535="","",IF(INDEX(Settings!$D$10:$D$18,M535)="","",INDEX(Settings!$D$10:$D$18,M535)))</f>
        <v/>
      </c>
      <c r="L535">
        <f>IF(OR(B535="",E535=""),"",B535+MOD(N(C535),1)+ROW()/10000000)</f>
        <v/>
      </c>
      <c r="M535">
        <f>IF(D535="","",IFERROR(MATCH(D535,Settings!$B$10:$B$18,0),""))</f>
        <v/>
      </c>
      <c r="N535">
        <f>IF(OR(B535="",E535="",M535=""),"",IF(AND(B535&gt;=Settings!$C$6,B535&lt;=Settings!$C$7),M535*10000+E535,""))</f>
        <v/>
      </c>
      <c r="O535">
        <f>IF(OR(B535="",E535=""),"",B535*10000+E535)</f>
        <v/>
      </c>
      <c r="P535">
        <f>IF(N535="","",E535)</f>
        <v/>
      </c>
    </row>
    <row r="536">
      <c r="A536" s="1" t="n"/>
      <c r="B536" s="20" t="n"/>
      <c r="C536" s="21" t="n"/>
      <c r="D536" s="22" t="n"/>
      <c r="E536" s="23" t="n"/>
      <c r="F536" s="22" t="n"/>
      <c r="G536" s="14">
        <f>IF(OR(B536="",E536="",J536="",K536=""),"",IF(E536&lt;J536,"Below",IF(E536&gt;K536,"Above","In range")))</f>
        <v/>
      </c>
      <c r="H536" s="1" t="n"/>
      <c r="J536">
        <f>IF(M536="","",IF(INDEX(Settings!$C$10:$C$18,M536)="","",INDEX(Settings!$C$10:$C$18,M536)))</f>
        <v/>
      </c>
      <c r="K536">
        <f>IF(M536="","",IF(INDEX(Settings!$D$10:$D$18,M536)="","",INDEX(Settings!$D$10:$D$18,M536)))</f>
        <v/>
      </c>
      <c r="L536">
        <f>IF(OR(B536="",E536=""),"",B536+MOD(N(C536),1)+ROW()/10000000)</f>
        <v/>
      </c>
      <c r="M536">
        <f>IF(D536="","",IFERROR(MATCH(D536,Settings!$B$10:$B$18,0),""))</f>
        <v/>
      </c>
      <c r="N536">
        <f>IF(OR(B536="",E536="",M536=""),"",IF(AND(B536&gt;=Settings!$C$6,B536&lt;=Settings!$C$7),M536*10000+E536,""))</f>
        <v/>
      </c>
      <c r="O536">
        <f>IF(OR(B536="",E536=""),"",B536*10000+E536)</f>
        <v/>
      </c>
      <c r="P536">
        <f>IF(N536="","",E536)</f>
        <v/>
      </c>
    </row>
    <row r="537">
      <c r="A537" s="1" t="n"/>
      <c r="B537" s="20" t="n"/>
      <c r="C537" s="21" t="n"/>
      <c r="D537" s="22" t="n"/>
      <c r="E537" s="23" t="n"/>
      <c r="F537" s="22" t="n"/>
      <c r="G537" s="14">
        <f>IF(OR(B537="",E537="",J537="",K537=""),"",IF(E537&lt;J537,"Below",IF(E537&gt;K537,"Above","In range")))</f>
        <v/>
      </c>
      <c r="H537" s="1" t="n"/>
      <c r="J537">
        <f>IF(M537="","",IF(INDEX(Settings!$C$10:$C$18,M537)="","",INDEX(Settings!$C$10:$C$18,M537)))</f>
        <v/>
      </c>
      <c r="K537">
        <f>IF(M537="","",IF(INDEX(Settings!$D$10:$D$18,M537)="","",INDEX(Settings!$D$10:$D$18,M537)))</f>
        <v/>
      </c>
      <c r="L537">
        <f>IF(OR(B537="",E537=""),"",B537+MOD(N(C537),1)+ROW()/10000000)</f>
        <v/>
      </c>
      <c r="M537">
        <f>IF(D537="","",IFERROR(MATCH(D537,Settings!$B$10:$B$18,0),""))</f>
        <v/>
      </c>
      <c r="N537">
        <f>IF(OR(B537="",E537="",M537=""),"",IF(AND(B537&gt;=Settings!$C$6,B537&lt;=Settings!$C$7),M537*10000+E537,""))</f>
        <v/>
      </c>
      <c r="O537">
        <f>IF(OR(B537="",E537=""),"",B537*10000+E537)</f>
        <v/>
      </c>
      <c r="P537">
        <f>IF(N537="","",E537)</f>
        <v/>
      </c>
    </row>
    <row r="538">
      <c r="A538" s="1" t="n"/>
      <c r="B538" s="20" t="n"/>
      <c r="C538" s="21" t="n"/>
      <c r="D538" s="22" t="n"/>
      <c r="E538" s="23" t="n"/>
      <c r="F538" s="22" t="n"/>
      <c r="G538" s="14">
        <f>IF(OR(B538="",E538="",J538="",K538=""),"",IF(E538&lt;J538,"Below",IF(E538&gt;K538,"Above","In range")))</f>
        <v/>
      </c>
      <c r="H538" s="1" t="n"/>
      <c r="J538">
        <f>IF(M538="","",IF(INDEX(Settings!$C$10:$C$18,M538)="","",INDEX(Settings!$C$10:$C$18,M538)))</f>
        <v/>
      </c>
      <c r="K538">
        <f>IF(M538="","",IF(INDEX(Settings!$D$10:$D$18,M538)="","",INDEX(Settings!$D$10:$D$18,M538)))</f>
        <v/>
      </c>
      <c r="L538">
        <f>IF(OR(B538="",E538=""),"",B538+MOD(N(C538),1)+ROW()/10000000)</f>
        <v/>
      </c>
      <c r="M538">
        <f>IF(D538="","",IFERROR(MATCH(D538,Settings!$B$10:$B$18,0),""))</f>
        <v/>
      </c>
      <c r="N538">
        <f>IF(OR(B538="",E538="",M538=""),"",IF(AND(B538&gt;=Settings!$C$6,B538&lt;=Settings!$C$7),M538*10000+E538,""))</f>
        <v/>
      </c>
      <c r="O538">
        <f>IF(OR(B538="",E538=""),"",B538*10000+E538)</f>
        <v/>
      </c>
      <c r="P538">
        <f>IF(N538="","",E538)</f>
        <v/>
      </c>
    </row>
    <row r="539">
      <c r="A539" s="1" t="n"/>
      <c r="B539" s="20" t="n"/>
      <c r="C539" s="21" t="n"/>
      <c r="D539" s="22" t="n"/>
      <c r="E539" s="23" t="n"/>
      <c r="F539" s="22" t="n"/>
      <c r="G539" s="14">
        <f>IF(OR(B539="",E539="",J539="",K539=""),"",IF(E539&lt;J539,"Below",IF(E539&gt;K539,"Above","In range")))</f>
        <v/>
      </c>
      <c r="H539" s="1" t="n"/>
      <c r="J539">
        <f>IF(M539="","",IF(INDEX(Settings!$C$10:$C$18,M539)="","",INDEX(Settings!$C$10:$C$18,M539)))</f>
        <v/>
      </c>
      <c r="K539">
        <f>IF(M539="","",IF(INDEX(Settings!$D$10:$D$18,M539)="","",INDEX(Settings!$D$10:$D$18,M539)))</f>
        <v/>
      </c>
      <c r="L539">
        <f>IF(OR(B539="",E539=""),"",B539+MOD(N(C539),1)+ROW()/10000000)</f>
        <v/>
      </c>
      <c r="M539">
        <f>IF(D539="","",IFERROR(MATCH(D539,Settings!$B$10:$B$18,0),""))</f>
        <v/>
      </c>
      <c r="N539">
        <f>IF(OR(B539="",E539="",M539=""),"",IF(AND(B539&gt;=Settings!$C$6,B539&lt;=Settings!$C$7),M539*10000+E539,""))</f>
        <v/>
      </c>
      <c r="O539">
        <f>IF(OR(B539="",E539=""),"",B539*10000+E539)</f>
        <v/>
      </c>
      <c r="P539">
        <f>IF(N539="","",E539)</f>
        <v/>
      </c>
    </row>
    <row r="540">
      <c r="A540" s="1" t="n"/>
      <c r="B540" s="20" t="n"/>
      <c r="C540" s="21" t="n"/>
      <c r="D540" s="22" t="n"/>
      <c r="E540" s="23" t="n"/>
      <c r="F540" s="22" t="n"/>
      <c r="G540" s="14">
        <f>IF(OR(B540="",E540="",J540="",K540=""),"",IF(E540&lt;J540,"Below",IF(E540&gt;K540,"Above","In range")))</f>
        <v/>
      </c>
      <c r="H540" s="1" t="n"/>
      <c r="J540">
        <f>IF(M540="","",IF(INDEX(Settings!$C$10:$C$18,M540)="","",INDEX(Settings!$C$10:$C$18,M540)))</f>
        <v/>
      </c>
      <c r="K540">
        <f>IF(M540="","",IF(INDEX(Settings!$D$10:$D$18,M540)="","",INDEX(Settings!$D$10:$D$18,M540)))</f>
        <v/>
      </c>
      <c r="L540">
        <f>IF(OR(B540="",E540=""),"",B540+MOD(N(C540),1)+ROW()/10000000)</f>
        <v/>
      </c>
      <c r="M540">
        <f>IF(D540="","",IFERROR(MATCH(D540,Settings!$B$10:$B$18,0),""))</f>
        <v/>
      </c>
      <c r="N540">
        <f>IF(OR(B540="",E540="",M540=""),"",IF(AND(B540&gt;=Settings!$C$6,B540&lt;=Settings!$C$7),M540*10000+E540,""))</f>
        <v/>
      </c>
      <c r="O540">
        <f>IF(OR(B540="",E540=""),"",B540*10000+E540)</f>
        <v/>
      </c>
      <c r="P540">
        <f>IF(N540="","",E540)</f>
        <v/>
      </c>
    </row>
    <row r="541">
      <c r="A541" s="1" t="n"/>
      <c r="B541" s="20" t="n"/>
      <c r="C541" s="21" t="n"/>
      <c r="D541" s="22" t="n"/>
      <c r="E541" s="23" t="n"/>
      <c r="F541" s="22" t="n"/>
      <c r="G541" s="14">
        <f>IF(OR(B541="",E541="",J541="",K541=""),"",IF(E541&lt;J541,"Below",IF(E541&gt;K541,"Above","In range")))</f>
        <v/>
      </c>
      <c r="H541" s="1" t="n"/>
      <c r="J541">
        <f>IF(M541="","",IF(INDEX(Settings!$C$10:$C$18,M541)="","",INDEX(Settings!$C$10:$C$18,M541)))</f>
        <v/>
      </c>
      <c r="K541">
        <f>IF(M541="","",IF(INDEX(Settings!$D$10:$D$18,M541)="","",INDEX(Settings!$D$10:$D$18,M541)))</f>
        <v/>
      </c>
      <c r="L541">
        <f>IF(OR(B541="",E541=""),"",B541+MOD(N(C541),1)+ROW()/10000000)</f>
        <v/>
      </c>
      <c r="M541">
        <f>IF(D541="","",IFERROR(MATCH(D541,Settings!$B$10:$B$18,0),""))</f>
        <v/>
      </c>
      <c r="N541">
        <f>IF(OR(B541="",E541="",M541=""),"",IF(AND(B541&gt;=Settings!$C$6,B541&lt;=Settings!$C$7),M541*10000+E541,""))</f>
        <v/>
      </c>
      <c r="O541">
        <f>IF(OR(B541="",E541=""),"",B541*10000+E541)</f>
        <v/>
      </c>
      <c r="P541">
        <f>IF(N541="","",E541)</f>
        <v/>
      </c>
    </row>
    <row r="542">
      <c r="A542" s="1" t="n"/>
      <c r="B542" s="20" t="n"/>
      <c r="C542" s="21" t="n"/>
      <c r="D542" s="22" t="n"/>
      <c r="E542" s="23" t="n"/>
      <c r="F542" s="22" t="n"/>
      <c r="G542" s="14">
        <f>IF(OR(B542="",E542="",J542="",K542=""),"",IF(E542&lt;J542,"Below",IF(E542&gt;K542,"Above","In range")))</f>
        <v/>
      </c>
      <c r="H542" s="1" t="n"/>
      <c r="J542">
        <f>IF(M542="","",IF(INDEX(Settings!$C$10:$C$18,M542)="","",INDEX(Settings!$C$10:$C$18,M542)))</f>
        <v/>
      </c>
      <c r="K542">
        <f>IF(M542="","",IF(INDEX(Settings!$D$10:$D$18,M542)="","",INDEX(Settings!$D$10:$D$18,M542)))</f>
        <v/>
      </c>
      <c r="L542">
        <f>IF(OR(B542="",E542=""),"",B542+MOD(N(C542),1)+ROW()/10000000)</f>
        <v/>
      </c>
      <c r="M542">
        <f>IF(D542="","",IFERROR(MATCH(D542,Settings!$B$10:$B$18,0),""))</f>
        <v/>
      </c>
      <c r="N542">
        <f>IF(OR(B542="",E542="",M542=""),"",IF(AND(B542&gt;=Settings!$C$6,B542&lt;=Settings!$C$7),M542*10000+E542,""))</f>
        <v/>
      </c>
      <c r="O542">
        <f>IF(OR(B542="",E542=""),"",B542*10000+E542)</f>
        <v/>
      </c>
      <c r="P542">
        <f>IF(N542="","",E542)</f>
        <v/>
      </c>
    </row>
    <row r="543">
      <c r="A543" s="1" t="n"/>
      <c r="B543" s="20" t="n"/>
      <c r="C543" s="21" t="n"/>
      <c r="D543" s="22" t="n"/>
      <c r="E543" s="23" t="n"/>
      <c r="F543" s="22" t="n"/>
      <c r="G543" s="14">
        <f>IF(OR(B543="",E543="",J543="",K543=""),"",IF(E543&lt;J543,"Below",IF(E543&gt;K543,"Above","In range")))</f>
        <v/>
      </c>
      <c r="H543" s="1" t="n"/>
      <c r="J543">
        <f>IF(M543="","",IF(INDEX(Settings!$C$10:$C$18,M543)="","",INDEX(Settings!$C$10:$C$18,M543)))</f>
        <v/>
      </c>
      <c r="K543">
        <f>IF(M543="","",IF(INDEX(Settings!$D$10:$D$18,M543)="","",INDEX(Settings!$D$10:$D$18,M543)))</f>
        <v/>
      </c>
      <c r="L543">
        <f>IF(OR(B543="",E543=""),"",B543+MOD(N(C543),1)+ROW()/10000000)</f>
        <v/>
      </c>
      <c r="M543">
        <f>IF(D543="","",IFERROR(MATCH(D543,Settings!$B$10:$B$18,0),""))</f>
        <v/>
      </c>
      <c r="N543">
        <f>IF(OR(B543="",E543="",M543=""),"",IF(AND(B543&gt;=Settings!$C$6,B543&lt;=Settings!$C$7),M543*10000+E543,""))</f>
        <v/>
      </c>
      <c r="O543">
        <f>IF(OR(B543="",E543=""),"",B543*10000+E543)</f>
        <v/>
      </c>
      <c r="P543">
        <f>IF(N543="","",E543)</f>
        <v/>
      </c>
    </row>
    <row r="544">
      <c r="A544" s="1" t="n"/>
      <c r="B544" s="20" t="n"/>
      <c r="C544" s="21" t="n"/>
      <c r="D544" s="22" t="n"/>
      <c r="E544" s="23" t="n"/>
      <c r="F544" s="22" t="n"/>
      <c r="G544" s="14">
        <f>IF(OR(B544="",E544="",J544="",K544=""),"",IF(E544&lt;J544,"Below",IF(E544&gt;K544,"Above","In range")))</f>
        <v/>
      </c>
      <c r="H544" s="1" t="n"/>
      <c r="J544">
        <f>IF(M544="","",IF(INDEX(Settings!$C$10:$C$18,M544)="","",INDEX(Settings!$C$10:$C$18,M544)))</f>
        <v/>
      </c>
      <c r="K544">
        <f>IF(M544="","",IF(INDEX(Settings!$D$10:$D$18,M544)="","",INDEX(Settings!$D$10:$D$18,M544)))</f>
        <v/>
      </c>
      <c r="L544">
        <f>IF(OR(B544="",E544=""),"",B544+MOD(N(C544),1)+ROW()/10000000)</f>
        <v/>
      </c>
      <c r="M544">
        <f>IF(D544="","",IFERROR(MATCH(D544,Settings!$B$10:$B$18,0),""))</f>
        <v/>
      </c>
      <c r="N544">
        <f>IF(OR(B544="",E544="",M544=""),"",IF(AND(B544&gt;=Settings!$C$6,B544&lt;=Settings!$C$7),M544*10000+E544,""))</f>
        <v/>
      </c>
      <c r="O544">
        <f>IF(OR(B544="",E544=""),"",B544*10000+E544)</f>
        <v/>
      </c>
      <c r="P544">
        <f>IF(N544="","",E544)</f>
        <v/>
      </c>
    </row>
    <row r="545">
      <c r="A545" s="1" t="n"/>
      <c r="B545" s="20" t="n"/>
      <c r="C545" s="21" t="n"/>
      <c r="D545" s="22" t="n"/>
      <c r="E545" s="23" t="n"/>
      <c r="F545" s="22" t="n"/>
      <c r="G545" s="14">
        <f>IF(OR(B545="",E545="",J545="",K545=""),"",IF(E545&lt;J545,"Below",IF(E545&gt;K545,"Above","In range")))</f>
        <v/>
      </c>
      <c r="H545" s="1" t="n"/>
      <c r="J545">
        <f>IF(M545="","",IF(INDEX(Settings!$C$10:$C$18,M545)="","",INDEX(Settings!$C$10:$C$18,M545)))</f>
        <v/>
      </c>
      <c r="K545">
        <f>IF(M545="","",IF(INDEX(Settings!$D$10:$D$18,M545)="","",INDEX(Settings!$D$10:$D$18,M545)))</f>
        <v/>
      </c>
      <c r="L545">
        <f>IF(OR(B545="",E545=""),"",B545+MOD(N(C545),1)+ROW()/10000000)</f>
        <v/>
      </c>
      <c r="M545">
        <f>IF(D545="","",IFERROR(MATCH(D545,Settings!$B$10:$B$18,0),""))</f>
        <v/>
      </c>
      <c r="N545">
        <f>IF(OR(B545="",E545="",M545=""),"",IF(AND(B545&gt;=Settings!$C$6,B545&lt;=Settings!$C$7),M545*10000+E545,""))</f>
        <v/>
      </c>
      <c r="O545">
        <f>IF(OR(B545="",E545=""),"",B545*10000+E545)</f>
        <v/>
      </c>
      <c r="P545">
        <f>IF(N545="","",E545)</f>
        <v/>
      </c>
    </row>
    <row r="546">
      <c r="A546" s="1" t="n"/>
      <c r="B546" s="20" t="n"/>
      <c r="C546" s="21" t="n"/>
      <c r="D546" s="22" t="n"/>
      <c r="E546" s="23" t="n"/>
      <c r="F546" s="22" t="n"/>
      <c r="G546" s="14">
        <f>IF(OR(B546="",E546="",J546="",K546=""),"",IF(E546&lt;J546,"Below",IF(E546&gt;K546,"Above","In range")))</f>
        <v/>
      </c>
      <c r="H546" s="1" t="n"/>
      <c r="J546">
        <f>IF(M546="","",IF(INDEX(Settings!$C$10:$C$18,M546)="","",INDEX(Settings!$C$10:$C$18,M546)))</f>
        <v/>
      </c>
      <c r="K546">
        <f>IF(M546="","",IF(INDEX(Settings!$D$10:$D$18,M546)="","",INDEX(Settings!$D$10:$D$18,M546)))</f>
        <v/>
      </c>
      <c r="L546">
        <f>IF(OR(B546="",E546=""),"",B546+MOD(N(C546),1)+ROW()/10000000)</f>
        <v/>
      </c>
      <c r="M546">
        <f>IF(D546="","",IFERROR(MATCH(D546,Settings!$B$10:$B$18,0),""))</f>
        <v/>
      </c>
      <c r="N546">
        <f>IF(OR(B546="",E546="",M546=""),"",IF(AND(B546&gt;=Settings!$C$6,B546&lt;=Settings!$C$7),M546*10000+E546,""))</f>
        <v/>
      </c>
      <c r="O546">
        <f>IF(OR(B546="",E546=""),"",B546*10000+E546)</f>
        <v/>
      </c>
      <c r="P546">
        <f>IF(N546="","",E546)</f>
        <v/>
      </c>
    </row>
    <row r="547">
      <c r="A547" s="1" t="n"/>
      <c r="B547" s="20" t="n"/>
      <c r="C547" s="21" t="n"/>
      <c r="D547" s="22" t="n"/>
      <c r="E547" s="23" t="n"/>
      <c r="F547" s="22" t="n"/>
      <c r="G547" s="14">
        <f>IF(OR(B547="",E547="",J547="",K547=""),"",IF(E547&lt;J547,"Below",IF(E547&gt;K547,"Above","In range")))</f>
        <v/>
      </c>
      <c r="H547" s="1" t="n"/>
      <c r="J547">
        <f>IF(M547="","",IF(INDEX(Settings!$C$10:$C$18,M547)="","",INDEX(Settings!$C$10:$C$18,M547)))</f>
        <v/>
      </c>
      <c r="K547">
        <f>IF(M547="","",IF(INDEX(Settings!$D$10:$D$18,M547)="","",INDEX(Settings!$D$10:$D$18,M547)))</f>
        <v/>
      </c>
      <c r="L547">
        <f>IF(OR(B547="",E547=""),"",B547+MOD(N(C547),1)+ROW()/10000000)</f>
        <v/>
      </c>
      <c r="M547">
        <f>IF(D547="","",IFERROR(MATCH(D547,Settings!$B$10:$B$18,0),""))</f>
        <v/>
      </c>
      <c r="N547">
        <f>IF(OR(B547="",E547="",M547=""),"",IF(AND(B547&gt;=Settings!$C$6,B547&lt;=Settings!$C$7),M547*10000+E547,""))</f>
        <v/>
      </c>
      <c r="O547">
        <f>IF(OR(B547="",E547=""),"",B547*10000+E547)</f>
        <v/>
      </c>
      <c r="P547">
        <f>IF(N547="","",E547)</f>
        <v/>
      </c>
    </row>
    <row r="548">
      <c r="A548" s="1" t="n"/>
      <c r="B548" s="20" t="n"/>
      <c r="C548" s="21" t="n"/>
      <c r="D548" s="22" t="n"/>
      <c r="E548" s="23" t="n"/>
      <c r="F548" s="22" t="n"/>
      <c r="G548" s="14">
        <f>IF(OR(B548="",E548="",J548="",K548=""),"",IF(E548&lt;J548,"Below",IF(E548&gt;K548,"Above","In range")))</f>
        <v/>
      </c>
      <c r="H548" s="1" t="n"/>
      <c r="J548">
        <f>IF(M548="","",IF(INDEX(Settings!$C$10:$C$18,M548)="","",INDEX(Settings!$C$10:$C$18,M548)))</f>
        <v/>
      </c>
      <c r="K548">
        <f>IF(M548="","",IF(INDEX(Settings!$D$10:$D$18,M548)="","",INDEX(Settings!$D$10:$D$18,M548)))</f>
        <v/>
      </c>
      <c r="L548">
        <f>IF(OR(B548="",E548=""),"",B548+MOD(N(C548),1)+ROW()/10000000)</f>
        <v/>
      </c>
      <c r="M548">
        <f>IF(D548="","",IFERROR(MATCH(D548,Settings!$B$10:$B$18,0),""))</f>
        <v/>
      </c>
      <c r="N548">
        <f>IF(OR(B548="",E548="",M548=""),"",IF(AND(B548&gt;=Settings!$C$6,B548&lt;=Settings!$C$7),M548*10000+E548,""))</f>
        <v/>
      </c>
      <c r="O548">
        <f>IF(OR(B548="",E548=""),"",B548*10000+E548)</f>
        <v/>
      </c>
      <c r="P548">
        <f>IF(N548="","",E548)</f>
        <v/>
      </c>
    </row>
    <row r="549">
      <c r="A549" s="1" t="n"/>
      <c r="B549" s="20" t="n"/>
      <c r="C549" s="21" t="n"/>
      <c r="D549" s="22" t="n"/>
      <c r="E549" s="23" t="n"/>
      <c r="F549" s="22" t="n"/>
      <c r="G549" s="14">
        <f>IF(OR(B549="",E549="",J549="",K549=""),"",IF(E549&lt;J549,"Below",IF(E549&gt;K549,"Above","In range")))</f>
        <v/>
      </c>
      <c r="H549" s="1" t="n"/>
      <c r="J549">
        <f>IF(M549="","",IF(INDEX(Settings!$C$10:$C$18,M549)="","",INDEX(Settings!$C$10:$C$18,M549)))</f>
        <v/>
      </c>
      <c r="K549">
        <f>IF(M549="","",IF(INDEX(Settings!$D$10:$D$18,M549)="","",INDEX(Settings!$D$10:$D$18,M549)))</f>
        <v/>
      </c>
      <c r="L549">
        <f>IF(OR(B549="",E549=""),"",B549+MOD(N(C549),1)+ROW()/10000000)</f>
        <v/>
      </c>
      <c r="M549">
        <f>IF(D549="","",IFERROR(MATCH(D549,Settings!$B$10:$B$18,0),""))</f>
        <v/>
      </c>
      <c r="N549">
        <f>IF(OR(B549="",E549="",M549=""),"",IF(AND(B549&gt;=Settings!$C$6,B549&lt;=Settings!$C$7),M549*10000+E549,""))</f>
        <v/>
      </c>
      <c r="O549">
        <f>IF(OR(B549="",E549=""),"",B549*10000+E549)</f>
        <v/>
      </c>
      <c r="P549">
        <f>IF(N549="","",E549)</f>
        <v/>
      </c>
    </row>
    <row r="550">
      <c r="A550" s="1" t="n"/>
      <c r="B550" s="20" t="n"/>
      <c r="C550" s="21" t="n"/>
      <c r="D550" s="22" t="n"/>
      <c r="E550" s="23" t="n"/>
      <c r="F550" s="22" t="n"/>
      <c r="G550" s="14">
        <f>IF(OR(B550="",E550="",J550="",K550=""),"",IF(E550&lt;J550,"Below",IF(E550&gt;K550,"Above","In range")))</f>
        <v/>
      </c>
      <c r="H550" s="1" t="n"/>
      <c r="J550">
        <f>IF(M550="","",IF(INDEX(Settings!$C$10:$C$18,M550)="","",INDEX(Settings!$C$10:$C$18,M550)))</f>
        <v/>
      </c>
      <c r="K550">
        <f>IF(M550="","",IF(INDEX(Settings!$D$10:$D$18,M550)="","",INDEX(Settings!$D$10:$D$18,M550)))</f>
        <v/>
      </c>
      <c r="L550">
        <f>IF(OR(B550="",E550=""),"",B550+MOD(N(C550),1)+ROW()/10000000)</f>
        <v/>
      </c>
      <c r="M550">
        <f>IF(D550="","",IFERROR(MATCH(D550,Settings!$B$10:$B$18,0),""))</f>
        <v/>
      </c>
      <c r="N550">
        <f>IF(OR(B550="",E550="",M550=""),"",IF(AND(B550&gt;=Settings!$C$6,B550&lt;=Settings!$C$7),M550*10000+E550,""))</f>
        <v/>
      </c>
      <c r="O550">
        <f>IF(OR(B550="",E550=""),"",B550*10000+E550)</f>
        <v/>
      </c>
      <c r="P550">
        <f>IF(N550="","",E550)</f>
        <v/>
      </c>
    </row>
    <row r="551">
      <c r="A551" s="1" t="n"/>
      <c r="B551" s="20" t="n"/>
      <c r="C551" s="21" t="n"/>
      <c r="D551" s="22" t="n"/>
      <c r="E551" s="23" t="n"/>
      <c r="F551" s="22" t="n"/>
      <c r="G551" s="14">
        <f>IF(OR(B551="",E551="",J551="",K551=""),"",IF(E551&lt;J551,"Below",IF(E551&gt;K551,"Above","In range")))</f>
        <v/>
      </c>
      <c r="H551" s="1" t="n"/>
      <c r="J551">
        <f>IF(M551="","",IF(INDEX(Settings!$C$10:$C$18,M551)="","",INDEX(Settings!$C$10:$C$18,M551)))</f>
        <v/>
      </c>
      <c r="K551">
        <f>IF(M551="","",IF(INDEX(Settings!$D$10:$D$18,M551)="","",INDEX(Settings!$D$10:$D$18,M551)))</f>
        <v/>
      </c>
      <c r="L551">
        <f>IF(OR(B551="",E551=""),"",B551+MOD(N(C551),1)+ROW()/10000000)</f>
        <v/>
      </c>
      <c r="M551">
        <f>IF(D551="","",IFERROR(MATCH(D551,Settings!$B$10:$B$18,0),""))</f>
        <v/>
      </c>
      <c r="N551">
        <f>IF(OR(B551="",E551="",M551=""),"",IF(AND(B551&gt;=Settings!$C$6,B551&lt;=Settings!$C$7),M551*10000+E551,""))</f>
        <v/>
      </c>
      <c r="O551">
        <f>IF(OR(B551="",E551=""),"",B551*10000+E551)</f>
        <v/>
      </c>
      <c r="P551">
        <f>IF(N551="","",E551)</f>
        <v/>
      </c>
    </row>
    <row r="552">
      <c r="A552" s="1" t="n"/>
      <c r="B552" s="20" t="n"/>
      <c r="C552" s="21" t="n"/>
      <c r="D552" s="22" t="n"/>
      <c r="E552" s="23" t="n"/>
      <c r="F552" s="22" t="n"/>
      <c r="G552" s="14">
        <f>IF(OR(B552="",E552="",J552="",K552=""),"",IF(E552&lt;J552,"Below",IF(E552&gt;K552,"Above","In range")))</f>
        <v/>
      </c>
      <c r="H552" s="1" t="n"/>
      <c r="J552">
        <f>IF(M552="","",IF(INDEX(Settings!$C$10:$C$18,M552)="","",INDEX(Settings!$C$10:$C$18,M552)))</f>
        <v/>
      </c>
      <c r="K552">
        <f>IF(M552="","",IF(INDEX(Settings!$D$10:$D$18,M552)="","",INDEX(Settings!$D$10:$D$18,M552)))</f>
        <v/>
      </c>
      <c r="L552">
        <f>IF(OR(B552="",E552=""),"",B552+MOD(N(C552),1)+ROW()/10000000)</f>
        <v/>
      </c>
      <c r="M552">
        <f>IF(D552="","",IFERROR(MATCH(D552,Settings!$B$10:$B$18,0),""))</f>
        <v/>
      </c>
      <c r="N552">
        <f>IF(OR(B552="",E552="",M552=""),"",IF(AND(B552&gt;=Settings!$C$6,B552&lt;=Settings!$C$7),M552*10000+E552,""))</f>
        <v/>
      </c>
      <c r="O552">
        <f>IF(OR(B552="",E552=""),"",B552*10000+E552)</f>
        <v/>
      </c>
      <c r="P552">
        <f>IF(N552="","",E552)</f>
        <v/>
      </c>
    </row>
    <row r="553">
      <c r="A553" s="1" t="n"/>
      <c r="B553" s="20" t="n"/>
      <c r="C553" s="21" t="n"/>
      <c r="D553" s="22" t="n"/>
      <c r="E553" s="23" t="n"/>
      <c r="F553" s="22" t="n"/>
      <c r="G553" s="14">
        <f>IF(OR(B553="",E553="",J553="",K553=""),"",IF(E553&lt;J553,"Below",IF(E553&gt;K553,"Above","In range")))</f>
        <v/>
      </c>
      <c r="H553" s="1" t="n"/>
      <c r="J553">
        <f>IF(M553="","",IF(INDEX(Settings!$C$10:$C$18,M553)="","",INDEX(Settings!$C$10:$C$18,M553)))</f>
        <v/>
      </c>
      <c r="K553">
        <f>IF(M553="","",IF(INDEX(Settings!$D$10:$D$18,M553)="","",INDEX(Settings!$D$10:$D$18,M553)))</f>
        <v/>
      </c>
      <c r="L553">
        <f>IF(OR(B553="",E553=""),"",B553+MOD(N(C553),1)+ROW()/10000000)</f>
        <v/>
      </c>
      <c r="M553">
        <f>IF(D553="","",IFERROR(MATCH(D553,Settings!$B$10:$B$18,0),""))</f>
        <v/>
      </c>
      <c r="N553">
        <f>IF(OR(B553="",E553="",M553=""),"",IF(AND(B553&gt;=Settings!$C$6,B553&lt;=Settings!$C$7),M553*10000+E553,""))</f>
        <v/>
      </c>
      <c r="O553">
        <f>IF(OR(B553="",E553=""),"",B553*10000+E553)</f>
        <v/>
      </c>
      <c r="P553">
        <f>IF(N553="","",E553)</f>
        <v/>
      </c>
    </row>
    <row r="554">
      <c r="A554" s="1" t="n"/>
      <c r="B554" s="20" t="n"/>
      <c r="C554" s="21" t="n"/>
      <c r="D554" s="22" t="n"/>
      <c r="E554" s="23" t="n"/>
      <c r="F554" s="22" t="n"/>
      <c r="G554" s="14">
        <f>IF(OR(B554="",E554="",J554="",K554=""),"",IF(E554&lt;J554,"Below",IF(E554&gt;K554,"Above","In range")))</f>
        <v/>
      </c>
      <c r="H554" s="1" t="n"/>
      <c r="J554">
        <f>IF(M554="","",IF(INDEX(Settings!$C$10:$C$18,M554)="","",INDEX(Settings!$C$10:$C$18,M554)))</f>
        <v/>
      </c>
      <c r="K554">
        <f>IF(M554="","",IF(INDEX(Settings!$D$10:$D$18,M554)="","",INDEX(Settings!$D$10:$D$18,M554)))</f>
        <v/>
      </c>
      <c r="L554">
        <f>IF(OR(B554="",E554=""),"",B554+MOD(N(C554),1)+ROW()/10000000)</f>
        <v/>
      </c>
      <c r="M554">
        <f>IF(D554="","",IFERROR(MATCH(D554,Settings!$B$10:$B$18,0),""))</f>
        <v/>
      </c>
      <c r="N554">
        <f>IF(OR(B554="",E554="",M554=""),"",IF(AND(B554&gt;=Settings!$C$6,B554&lt;=Settings!$C$7),M554*10000+E554,""))</f>
        <v/>
      </c>
      <c r="O554">
        <f>IF(OR(B554="",E554=""),"",B554*10000+E554)</f>
        <v/>
      </c>
      <c r="P554">
        <f>IF(N554="","",E554)</f>
        <v/>
      </c>
    </row>
    <row r="555">
      <c r="A555" s="1" t="n"/>
      <c r="B555" s="20" t="n"/>
      <c r="C555" s="21" t="n"/>
      <c r="D555" s="22" t="n"/>
      <c r="E555" s="23" t="n"/>
      <c r="F555" s="22" t="n"/>
      <c r="G555" s="14">
        <f>IF(OR(B555="",E555="",J555="",K555=""),"",IF(E555&lt;J555,"Below",IF(E555&gt;K555,"Above","In range")))</f>
        <v/>
      </c>
      <c r="H555" s="1" t="n"/>
      <c r="J555">
        <f>IF(M555="","",IF(INDEX(Settings!$C$10:$C$18,M555)="","",INDEX(Settings!$C$10:$C$18,M555)))</f>
        <v/>
      </c>
      <c r="K555">
        <f>IF(M555="","",IF(INDEX(Settings!$D$10:$D$18,M555)="","",INDEX(Settings!$D$10:$D$18,M555)))</f>
        <v/>
      </c>
      <c r="L555">
        <f>IF(OR(B555="",E555=""),"",B555+MOD(N(C555),1)+ROW()/10000000)</f>
        <v/>
      </c>
      <c r="M555">
        <f>IF(D555="","",IFERROR(MATCH(D555,Settings!$B$10:$B$18,0),""))</f>
        <v/>
      </c>
      <c r="N555">
        <f>IF(OR(B555="",E555="",M555=""),"",IF(AND(B555&gt;=Settings!$C$6,B555&lt;=Settings!$C$7),M555*10000+E555,""))</f>
        <v/>
      </c>
      <c r="O555">
        <f>IF(OR(B555="",E555=""),"",B555*10000+E555)</f>
        <v/>
      </c>
      <c r="P555">
        <f>IF(N555="","",E555)</f>
        <v/>
      </c>
    </row>
    <row r="556">
      <c r="A556" s="1" t="n"/>
      <c r="B556" s="20" t="n"/>
      <c r="C556" s="21" t="n"/>
      <c r="D556" s="22" t="n"/>
      <c r="E556" s="23" t="n"/>
      <c r="F556" s="22" t="n"/>
      <c r="G556" s="14">
        <f>IF(OR(B556="",E556="",J556="",K556=""),"",IF(E556&lt;J556,"Below",IF(E556&gt;K556,"Above","In range")))</f>
        <v/>
      </c>
      <c r="H556" s="1" t="n"/>
      <c r="J556">
        <f>IF(M556="","",IF(INDEX(Settings!$C$10:$C$18,M556)="","",INDEX(Settings!$C$10:$C$18,M556)))</f>
        <v/>
      </c>
      <c r="K556">
        <f>IF(M556="","",IF(INDEX(Settings!$D$10:$D$18,M556)="","",INDEX(Settings!$D$10:$D$18,M556)))</f>
        <v/>
      </c>
      <c r="L556">
        <f>IF(OR(B556="",E556=""),"",B556+MOD(N(C556),1)+ROW()/10000000)</f>
        <v/>
      </c>
      <c r="M556">
        <f>IF(D556="","",IFERROR(MATCH(D556,Settings!$B$10:$B$18,0),""))</f>
        <v/>
      </c>
      <c r="N556">
        <f>IF(OR(B556="",E556="",M556=""),"",IF(AND(B556&gt;=Settings!$C$6,B556&lt;=Settings!$C$7),M556*10000+E556,""))</f>
        <v/>
      </c>
      <c r="O556">
        <f>IF(OR(B556="",E556=""),"",B556*10000+E556)</f>
        <v/>
      </c>
      <c r="P556">
        <f>IF(N556="","",E556)</f>
        <v/>
      </c>
    </row>
    <row r="557">
      <c r="A557" s="1" t="n"/>
      <c r="B557" s="20" t="n"/>
      <c r="C557" s="21" t="n"/>
      <c r="D557" s="22" t="n"/>
      <c r="E557" s="23" t="n"/>
      <c r="F557" s="22" t="n"/>
      <c r="G557" s="14">
        <f>IF(OR(B557="",E557="",J557="",K557=""),"",IF(E557&lt;J557,"Below",IF(E557&gt;K557,"Above","In range")))</f>
        <v/>
      </c>
      <c r="H557" s="1" t="n"/>
      <c r="J557">
        <f>IF(M557="","",IF(INDEX(Settings!$C$10:$C$18,M557)="","",INDEX(Settings!$C$10:$C$18,M557)))</f>
        <v/>
      </c>
      <c r="K557">
        <f>IF(M557="","",IF(INDEX(Settings!$D$10:$D$18,M557)="","",INDEX(Settings!$D$10:$D$18,M557)))</f>
        <v/>
      </c>
      <c r="L557">
        <f>IF(OR(B557="",E557=""),"",B557+MOD(N(C557),1)+ROW()/10000000)</f>
        <v/>
      </c>
      <c r="M557">
        <f>IF(D557="","",IFERROR(MATCH(D557,Settings!$B$10:$B$18,0),""))</f>
        <v/>
      </c>
      <c r="N557">
        <f>IF(OR(B557="",E557="",M557=""),"",IF(AND(B557&gt;=Settings!$C$6,B557&lt;=Settings!$C$7),M557*10000+E557,""))</f>
        <v/>
      </c>
      <c r="O557">
        <f>IF(OR(B557="",E557=""),"",B557*10000+E557)</f>
        <v/>
      </c>
      <c r="P557">
        <f>IF(N557="","",E557)</f>
        <v/>
      </c>
    </row>
    <row r="558">
      <c r="A558" s="1" t="n"/>
      <c r="B558" s="20" t="n"/>
      <c r="C558" s="21" t="n"/>
      <c r="D558" s="22" t="n"/>
      <c r="E558" s="23" t="n"/>
      <c r="F558" s="22" t="n"/>
      <c r="G558" s="14">
        <f>IF(OR(B558="",E558="",J558="",K558=""),"",IF(E558&lt;J558,"Below",IF(E558&gt;K558,"Above","In range")))</f>
        <v/>
      </c>
      <c r="H558" s="1" t="n"/>
      <c r="J558">
        <f>IF(M558="","",IF(INDEX(Settings!$C$10:$C$18,M558)="","",INDEX(Settings!$C$10:$C$18,M558)))</f>
        <v/>
      </c>
      <c r="K558">
        <f>IF(M558="","",IF(INDEX(Settings!$D$10:$D$18,M558)="","",INDEX(Settings!$D$10:$D$18,M558)))</f>
        <v/>
      </c>
      <c r="L558">
        <f>IF(OR(B558="",E558=""),"",B558+MOD(N(C558),1)+ROW()/10000000)</f>
        <v/>
      </c>
      <c r="M558">
        <f>IF(D558="","",IFERROR(MATCH(D558,Settings!$B$10:$B$18,0),""))</f>
        <v/>
      </c>
      <c r="N558">
        <f>IF(OR(B558="",E558="",M558=""),"",IF(AND(B558&gt;=Settings!$C$6,B558&lt;=Settings!$C$7),M558*10000+E558,""))</f>
        <v/>
      </c>
      <c r="O558">
        <f>IF(OR(B558="",E558=""),"",B558*10000+E558)</f>
        <v/>
      </c>
      <c r="P558">
        <f>IF(N558="","",E558)</f>
        <v/>
      </c>
    </row>
    <row r="559">
      <c r="A559" s="1" t="n"/>
      <c r="B559" s="20" t="n"/>
      <c r="C559" s="21" t="n"/>
      <c r="D559" s="22" t="n"/>
      <c r="E559" s="23" t="n"/>
      <c r="F559" s="22" t="n"/>
      <c r="G559" s="14">
        <f>IF(OR(B559="",E559="",J559="",K559=""),"",IF(E559&lt;J559,"Below",IF(E559&gt;K559,"Above","In range")))</f>
        <v/>
      </c>
      <c r="H559" s="1" t="n"/>
      <c r="J559">
        <f>IF(M559="","",IF(INDEX(Settings!$C$10:$C$18,M559)="","",INDEX(Settings!$C$10:$C$18,M559)))</f>
        <v/>
      </c>
      <c r="K559">
        <f>IF(M559="","",IF(INDEX(Settings!$D$10:$D$18,M559)="","",INDEX(Settings!$D$10:$D$18,M559)))</f>
        <v/>
      </c>
      <c r="L559">
        <f>IF(OR(B559="",E559=""),"",B559+MOD(N(C559),1)+ROW()/10000000)</f>
        <v/>
      </c>
      <c r="M559">
        <f>IF(D559="","",IFERROR(MATCH(D559,Settings!$B$10:$B$18,0),""))</f>
        <v/>
      </c>
      <c r="N559">
        <f>IF(OR(B559="",E559="",M559=""),"",IF(AND(B559&gt;=Settings!$C$6,B559&lt;=Settings!$C$7),M559*10000+E559,""))</f>
        <v/>
      </c>
      <c r="O559">
        <f>IF(OR(B559="",E559=""),"",B559*10000+E559)</f>
        <v/>
      </c>
      <c r="P559">
        <f>IF(N559="","",E559)</f>
        <v/>
      </c>
    </row>
    <row r="560">
      <c r="A560" s="1" t="n"/>
      <c r="B560" s="20" t="n"/>
      <c r="C560" s="21" t="n"/>
      <c r="D560" s="22" t="n"/>
      <c r="E560" s="23" t="n"/>
      <c r="F560" s="22" t="n"/>
      <c r="G560" s="14">
        <f>IF(OR(B560="",E560="",J560="",K560=""),"",IF(E560&lt;J560,"Below",IF(E560&gt;K560,"Above","In range")))</f>
        <v/>
      </c>
      <c r="H560" s="1" t="n"/>
      <c r="J560">
        <f>IF(M560="","",IF(INDEX(Settings!$C$10:$C$18,M560)="","",INDEX(Settings!$C$10:$C$18,M560)))</f>
        <v/>
      </c>
      <c r="K560">
        <f>IF(M560="","",IF(INDEX(Settings!$D$10:$D$18,M560)="","",INDEX(Settings!$D$10:$D$18,M560)))</f>
        <v/>
      </c>
      <c r="L560">
        <f>IF(OR(B560="",E560=""),"",B560+MOD(N(C560),1)+ROW()/10000000)</f>
        <v/>
      </c>
      <c r="M560">
        <f>IF(D560="","",IFERROR(MATCH(D560,Settings!$B$10:$B$18,0),""))</f>
        <v/>
      </c>
      <c r="N560">
        <f>IF(OR(B560="",E560="",M560=""),"",IF(AND(B560&gt;=Settings!$C$6,B560&lt;=Settings!$C$7),M560*10000+E560,""))</f>
        <v/>
      </c>
      <c r="O560">
        <f>IF(OR(B560="",E560=""),"",B560*10000+E560)</f>
        <v/>
      </c>
      <c r="P560">
        <f>IF(N560="","",E560)</f>
        <v/>
      </c>
    </row>
    <row r="561">
      <c r="A561" s="1" t="n"/>
      <c r="B561" s="20" t="n"/>
      <c r="C561" s="21" t="n"/>
      <c r="D561" s="22" t="n"/>
      <c r="E561" s="23" t="n"/>
      <c r="F561" s="22" t="n"/>
      <c r="G561" s="14">
        <f>IF(OR(B561="",E561="",J561="",K561=""),"",IF(E561&lt;J561,"Below",IF(E561&gt;K561,"Above","In range")))</f>
        <v/>
      </c>
      <c r="H561" s="1" t="n"/>
      <c r="J561">
        <f>IF(M561="","",IF(INDEX(Settings!$C$10:$C$18,M561)="","",INDEX(Settings!$C$10:$C$18,M561)))</f>
        <v/>
      </c>
      <c r="K561">
        <f>IF(M561="","",IF(INDEX(Settings!$D$10:$D$18,M561)="","",INDEX(Settings!$D$10:$D$18,M561)))</f>
        <v/>
      </c>
      <c r="L561">
        <f>IF(OR(B561="",E561=""),"",B561+MOD(N(C561),1)+ROW()/10000000)</f>
        <v/>
      </c>
      <c r="M561">
        <f>IF(D561="","",IFERROR(MATCH(D561,Settings!$B$10:$B$18,0),""))</f>
        <v/>
      </c>
      <c r="N561">
        <f>IF(OR(B561="",E561="",M561=""),"",IF(AND(B561&gt;=Settings!$C$6,B561&lt;=Settings!$C$7),M561*10000+E561,""))</f>
        <v/>
      </c>
      <c r="O561">
        <f>IF(OR(B561="",E561=""),"",B561*10000+E561)</f>
        <v/>
      </c>
      <c r="P561">
        <f>IF(N561="","",E561)</f>
        <v/>
      </c>
    </row>
    <row r="562">
      <c r="A562" s="1" t="n"/>
      <c r="B562" s="20" t="n"/>
      <c r="C562" s="21" t="n"/>
      <c r="D562" s="22" t="n"/>
      <c r="E562" s="23" t="n"/>
      <c r="F562" s="22" t="n"/>
      <c r="G562" s="14">
        <f>IF(OR(B562="",E562="",J562="",K562=""),"",IF(E562&lt;J562,"Below",IF(E562&gt;K562,"Above","In range")))</f>
        <v/>
      </c>
      <c r="H562" s="1" t="n"/>
      <c r="J562">
        <f>IF(M562="","",IF(INDEX(Settings!$C$10:$C$18,M562)="","",INDEX(Settings!$C$10:$C$18,M562)))</f>
        <v/>
      </c>
      <c r="K562">
        <f>IF(M562="","",IF(INDEX(Settings!$D$10:$D$18,M562)="","",INDEX(Settings!$D$10:$D$18,M562)))</f>
        <v/>
      </c>
      <c r="L562">
        <f>IF(OR(B562="",E562=""),"",B562+MOD(N(C562),1)+ROW()/10000000)</f>
        <v/>
      </c>
      <c r="M562">
        <f>IF(D562="","",IFERROR(MATCH(D562,Settings!$B$10:$B$18,0),""))</f>
        <v/>
      </c>
      <c r="N562">
        <f>IF(OR(B562="",E562="",M562=""),"",IF(AND(B562&gt;=Settings!$C$6,B562&lt;=Settings!$C$7),M562*10000+E562,""))</f>
        <v/>
      </c>
      <c r="O562">
        <f>IF(OR(B562="",E562=""),"",B562*10000+E562)</f>
        <v/>
      </c>
      <c r="P562">
        <f>IF(N562="","",E562)</f>
        <v/>
      </c>
    </row>
    <row r="563">
      <c r="A563" s="1" t="n"/>
      <c r="B563" s="20" t="n"/>
      <c r="C563" s="21" t="n"/>
      <c r="D563" s="22" t="n"/>
      <c r="E563" s="23" t="n"/>
      <c r="F563" s="22" t="n"/>
      <c r="G563" s="14">
        <f>IF(OR(B563="",E563="",J563="",K563=""),"",IF(E563&lt;J563,"Below",IF(E563&gt;K563,"Above","In range")))</f>
        <v/>
      </c>
      <c r="H563" s="1" t="n"/>
      <c r="J563">
        <f>IF(M563="","",IF(INDEX(Settings!$C$10:$C$18,M563)="","",INDEX(Settings!$C$10:$C$18,M563)))</f>
        <v/>
      </c>
      <c r="K563">
        <f>IF(M563="","",IF(INDEX(Settings!$D$10:$D$18,M563)="","",INDEX(Settings!$D$10:$D$18,M563)))</f>
        <v/>
      </c>
      <c r="L563">
        <f>IF(OR(B563="",E563=""),"",B563+MOD(N(C563),1)+ROW()/10000000)</f>
        <v/>
      </c>
      <c r="M563">
        <f>IF(D563="","",IFERROR(MATCH(D563,Settings!$B$10:$B$18,0),""))</f>
        <v/>
      </c>
      <c r="N563">
        <f>IF(OR(B563="",E563="",M563=""),"",IF(AND(B563&gt;=Settings!$C$6,B563&lt;=Settings!$C$7),M563*10000+E563,""))</f>
        <v/>
      </c>
      <c r="O563">
        <f>IF(OR(B563="",E563=""),"",B563*10000+E563)</f>
        <v/>
      </c>
      <c r="P563">
        <f>IF(N563="","",E563)</f>
        <v/>
      </c>
    </row>
    <row r="564">
      <c r="A564" s="1" t="n"/>
      <c r="B564" s="20" t="n"/>
      <c r="C564" s="21" t="n"/>
      <c r="D564" s="22" t="n"/>
      <c r="E564" s="23" t="n"/>
      <c r="F564" s="22" t="n"/>
      <c r="G564" s="14">
        <f>IF(OR(B564="",E564="",J564="",K564=""),"",IF(E564&lt;J564,"Below",IF(E564&gt;K564,"Above","In range")))</f>
        <v/>
      </c>
      <c r="H564" s="1" t="n"/>
      <c r="J564">
        <f>IF(M564="","",IF(INDEX(Settings!$C$10:$C$18,M564)="","",INDEX(Settings!$C$10:$C$18,M564)))</f>
        <v/>
      </c>
      <c r="K564">
        <f>IF(M564="","",IF(INDEX(Settings!$D$10:$D$18,M564)="","",INDEX(Settings!$D$10:$D$18,M564)))</f>
        <v/>
      </c>
      <c r="L564">
        <f>IF(OR(B564="",E564=""),"",B564+MOD(N(C564),1)+ROW()/10000000)</f>
        <v/>
      </c>
      <c r="M564">
        <f>IF(D564="","",IFERROR(MATCH(D564,Settings!$B$10:$B$18,0),""))</f>
        <v/>
      </c>
      <c r="N564">
        <f>IF(OR(B564="",E564="",M564=""),"",IF(AND(B564&gt;=Settings!$C$6,B564&lt;=Settings!$C$7),M564*10000+E564,""))</f>
        <v/>
      </c>
      <c r="O564">
        <f>IF(OR(B564="",E564=""),"",B564*10000+E564)</f>
        <v/>
      </c>
      <c r="P564">
        <f>IF(N564="","",E564)</f>
        <v/>
      </c>
    </row>
    <row r="565">
      <c r="A565" s="1" t="n"/>
      <c r="B565" s="20" t="n"/>
      <c r="C565" s="21" t="n"/>
      <c r="D565" s="22" t="n"/>
      <c r="E565" s="23" t="n"/>
      <c r="F565" s="22" t="n"/>
      <c r="G565" s="14">
        <f>IF(OR(B565="",E565="",J565="",K565=""),"",IF(E565&lt;J565,"Below",IF(E565&gt;K565,"Above","In range")))</f>
        <v/>
      </c>
      <c r="H565" s="1" t="n"/>
      <c r="J565">
        <f>IF(M565="","",IF(INDEX(Settings!$C$10:$C$18,M565)="","",INDEX(Settings!$C$10:$C$18,M565)))</f>
        <v/>
      </c>
      <c r="K565">
        <f>IF(M565="","",IF(INDEX(Settings!$D$10:$D$18,M565)="","",INDEX(Settings!$D$10:$D$18,M565)))</f>
        <v/>
      </c>
      <c r="L565">
        <f>IF(OR(B565="",E565=""),"",B565+MOD(N(C565),1)+ROW()/10000000)</f>
        <v/>
      </c>
      <c r="M565">
        <f>IF(D565="","",IFERROR(MATCH(D565,Settings!$B$10:$B$18,0),""))</f>
        <v/>
      </c>
      <c r="N565">
        <f>IF(OR(B565="",E565="",M565=""),"",IF(AND(B565&gt;=Settings!$C$6,B565&lt;=Settings!$C$7),M565*10000+E565,""))</f>
        <v/>
      </c>
      <c r="O565">
        <f>IF(OR(B565="",E565=""),"",B565*10000+E565)</f>
        <v/>
      </c>
      <c r="P565">
        <f>IF(N565="","",E565)</f>
        <v/>
      </c>
    </row>
    <row r="566">
      <c r="A566" s="1" t="n"/>
      <c r="B566" s="20" t="n"/>
      <c r="C566" s="21" t="n"/>
      <c r="D566" s="22" t="n"/>
      <c r="E566" s="23" t="n"/>
      <c r="F566" s="22" t="n"/>
      <c r="G566" s="14">
        <f>IF(OR(B566="",E566="",J566="",K566=""),"",IF(E566&lt;J566,"Below",IF(E566&gt;K566,"Above","In range")))</f>
        <v/>
      </c>
      <c r="H566" s="1" t="n"/>
      <c r="J566">
        <f>IF(M566="","",IF(INDEX(Settings!$C$10:$C$18,M566)="","",INDEX(Settings!$C$10:$C$18,M566)))</f>
        <v/>
      </c>
      <c r="K566">
        <f>IF(M566="","",IF(INDEX(Settings!$D$10:$D$18,M566)="","",INDEX(Settings!$D$10:$D$18,M566)))</f>
        <v/>
      </c>
      <c r="L566">
        <f>IF(OR(B566="",E566=""),"",B566+MOD(N(C566),1)+ROW()/10000000)</f>
        <v/>
      </c>
      <c r="M566">
        <f>IF(D566="","",IFERROR(MATCH(D566,Settings!$B$10:$B$18,0),""))</f>
        <v/>
      </c>
      <c r="N566">
        <f>IF(OR(B566="",E566="",M566=""),"",IF(AND(B566&gt;=Settings!$C$6,B566&lt;=Settings!$C$7),M566*10000+E566,""))</f>
        <v/>
      </c>
      <c r="O566">
        <f>IF(OR(B566="",E566=""),"",B566*10000+E566)</f>
        <v/>
      </c>
      <c r="P566">
        <f>IF(N566="","",E566)</f>
        <v/>
      </c>
    </row>
    <row r="567">
      <c r="A567" s="1" t="n"/>
      <c r="B567" s="20" t="n"/>
      <c r="C567" s="21" t="n"/>
      <c r="D567" s="22" t="n"/>
      <c r="E567" s="23" t="n"/>
      <c r="F567" s="22" t="n"/>
      <c r="G567" s="14">
        <f>IF(OR(B567="",E567="",J567="",K567=""),"",IF(E567&lt;J567,"Below",IF(E567&gt;K567,"Above","In range")))</f>
        <v/>
      </c>
      <c r="H567" s="1" t="n"/>
      <c r="J567">
        <f>IF(M567="","",IF(INDEX(Settings!$C$10:$C$18,M567)="","",INDEX(Settings!$C$10:$C$18,M567)))</f>
        <v/>
      </c>
      <c r="K567">
        <f>IF(M567="","",IF(INDEX(Settings!$D$10:$D$18,M567)="","",INDEX(Settings!$D$10:$D$18,M567)))</f>
        <v/>
      </c>
      <c r="L567">
        <f>IF(OR(B567="",E567=""),"",B567+MOD(N(C567),1)+ROW()/10000000)</f>
        <v/>
      </c>
      <c r="M567">
        <f>IF(D567="","",IFERROR(MATCH(D567,Settings!$B$10:$B$18,0),""))</f>
        <v/>
      </c>
      <c r="N567">
        <f>IF(OR(B567="",E567="",M567=""),"",IF(AND(B567&gt;=Settings!$C$6,B567&lt;=Settings!$C$7),M567*10000+E567,""))</f>
        <v/>
      </c>
      <c r="O567">
        <f>IF(OR(B567="",E567=""),"",B567*10000+E567)</f>
        <v/>
      </c>
      <c r="P567">
        <f>IF(N567="","",E567)</f>
        <v/>
      </c>
    </row>
    <row r="568">
      <c r="A568" s="1" t="n"/>
      <c r="B568" s="20" t="n"/>
      <c r="C568" s="21" t="n"/>
      <c r="D568" s="22" t="n"/>
      <c r="E568" s="23" t="n"/>
      <c r="F568" s="22" t="n"/>
      <c r="G568" s="14">
        <f>IF(OR(B568="",E568="",J568="",K568=""),"",IF(E568&lt;J568,"Below",IF(E568&gt;K568,"Above","In range")))</f>
        <v/>
      </c>
      <c r="H568" s="1" t="n"/>
      <c r="J568">
        <f>IF(M568="","",IF(INDEX(Settings!$C$10:$C$18,M568)="","",INDEX(Settings!$C$10:$C$18,M568)))</f>
        <v/>
      </c>
      <c r="K568">
        <f>IF(M568="","",IF(INDEX(Settings!$D$10:$D$18,M568)="","",INDEX(Settings!$D$10:$D$18,M568)))</f>
        <v/>
      </c>
      <c r="L568">
        <f>IF(OR(B568="",E568=""),"",B568+MOD(N(C568),1)+ROW()/10000000)</f>
        <v/>
      </c>
      <c r="M568">
        <f>IF(D568="","",IFERROR(MATCH(D568,Settings!$B$10:$B$18,0),""))</f>
        <v/>
      </c>
      <c r="N568">
        <f>IF(OR(B568="",E568="",M568=""),"",IF(AND(B568&gt;=Settings!$C$6,B568&lt;=Settings!$C$7),M568*10000+E568,""))</f>
        <v/>
      </c>
      <c r="O568">
        <f>IF(OR(B568="",E568=""),"",B568*10000+E568)</f>
        <v/>
      </c>
      <c r="P568">
        <f>IF(N568="","",E568)</f>
        <v/>
      </c>
    </row>
    <row r="569">
      <c r="A569" s="1" t="n"/>
      <c r="B569" s="20" t="n"/>
      <c r="C569" s="21" t="n"/>
      <c r="D569" s="22" t="n"/>
      <c r="E569" s="23" t="n"/>
      <c r="F569" s="22" t="n"/>
      <c r="G569" s="14">
        <f>IF(OR(B569="",E569="",J569="",K569=""),"",IF(E569&lt;J569,"Below",IF(E569&gt;K569,"Above","In range")))</f>
        <v/>
      </c>
      <c r="H569" s="1" t="n"/>
      <c r="J569">
        <f>IF(M569="","",IF(INDEX(Settings!$C$10:$C$18,M569)="","",INDEX(Settings!$C$10:$C$18,M569)))</f>
        <v/>
      </c>
      <c r="K569">
        <f>IF(M569="","",IF(INDEX(Settings!$D$10:$D$18,M569)="","",INDEX(Settings!$D$10:$D$18,M569)))</f>
        <v/>
      </c>
      <c r="L569">
        <f>IF(OR(B569="",E569=""),"",B569+MOD(N(C569),1)+ROW()/10000000)</f>
        <v/>
      </c>
      <c r="M569">
        <f>IF(D569="","",IFERROR(MATCH(D569,Settings!$B$10:$B$18,0),""))</f>
        <v/>
      </c>
      <c r="N569">
        <f>IF(OR(B569="",E569="",M569=""),"",IF(AND(B569&gt;=Settings!$C$6,B569&lt;=Settings!$C$7),M569*10000+E569,""))</f>
        <v/>
      </c>
      <c r="O569">
        <f>IF(OR(B569="",E569=""),"",B569*10000+E569)</f>
        <v/>
      </c>
      <c r="P569">
        <f>IF(N569="","",E569)</f>
        <v/>
      </c>
    </row>
    <row r="570">
      <c r="A570" s="1" t="n"/>
      <c r="B570" s="20" t="n"/>
      <c r="C570" s="21" t="n"/>
      <c r="D570" s="22" t="n"/>
      <c r="E570" s="23" t="n"/>
      <c r="F570" s="22" t="n"/>
      <c r="G570" s="14">
        <f>IF(OR(B570="",E570="",J570="",K570=""),"",IF(E570&lt;J570,"Below",IF(E570&gt;K570,"Above","In range")))</f>
        <v/>
      </c>
      <c r="H570" s="1" t="n"/>
      <c r="J570">
        <f>IF(M570="","",IF(INDEX(Settings!$C$10:$C$18,M570)="","",INDEX(Settings!$C$10:$C$18,M570)))</f>
        <v/>
      </c>
      <c r="K570">
        <f>IF(M570="","",IF(INDEX(Settings!$D$10:$D$18,M570)="","",INDEX(Settings!$D$10:$D$18,M570)))</f>
        <v/>
      </c>
      <c r="L570">
        <f>IF(OR(B570="",E570=""),"",B570+MOD(N(C570),1)+ROW()/10000000)</f>
        <v/>
      </c>
      <c r="M570">
        <f>IF(D570="","",IFERROR(MATCH(D570,Settings!$B$10:$B$18,0),""))</f>
        <v/>
      </c>
      <c r="N570">
        <f>IF(OR(B570="",E570="",M570=""),"",IF(AND(B570&gt;=Settings!$C$6,B570&lt;=Settings!$C$7),M570*10000+E570,""))</f>
        <v/>
      </c>
      <c r="O570">
        <f>IF(OR(B570="",E570=""),"",B570*10000+E570)</f>
        <v/>
      </c>
      <c r="P570">
        <f>IF(N570="","",E570)</f>
        <v/>
      </c>
    </row>
    <row r="571">
      <c r="A571" s="1" t="n"/>
      <c r="B571" s="20" t="n"/>
      <c r="C571" s="21" t="n"/>
      <c r="D571" s="22" t="n"/>
      <c r="E571" s="23" t="n"/>
      <c r="F571" s="22" t="n"/>
      <c r="G571" s="14">
        <f>IF(OR(B571="",E571="",J571="",K571=""),"",IF(E571&lt;J571,"Below",IF(E571&gt;K571,"Above","In range")))</f>
        <v/>
      </c>
      <c r="H571" s="1" t="n"/>
      <c r="J571">
        <f>IF(M571="","",IF(INDEX(Settings!$C$10:$C$18,M571)="","",INDEX(Settings!$C$10:$C$18,M571)))</f>
        <v/>
      </c>
      <c r="K571">
        <f>IF(M571="","",IF(INDEX(Settings!$D$10:$D$18,M571)="","",INDEX(Settings!$D$10:$D$18,M571)))</f>
        <v/>
      </c>
      <c r="L571">
        <f>IF(OR(B571="",E571=""),"",B571+MOD(N(C571),1)+ROW()/10000000)</f>
        <v/>
      </c>
      <c r="M571">
        <f>IF(D571="","",IFERROR(MATCH(D571,Settings!$B$10:$B$18,0),""))</f>
        <v/>
      </c>
      <c r="N571">
        <f>IF(OR(B571="",E571="",M571=""),"",IF(AND(B571&gt;=Settings!$C$6,B571&lt;=Settings!$C$7),M571*10000+E571,""))</f>
        <v/>
      </c>
      <c r="O571">
        <f>IF(OR(B571="",E571=""),"",B571*10000+E571)</f>
        <v/>
      </c>
      <c r="P571">
        <f>IF(N571="","",E571)</f>
        <v/>
      </c>
    </row>
    <row r="572">
      <c r="A572" s="1" t="n"/>
      <c r="B572" s="20" t="n"/>
      <c r="C572" s="21" t="n"/>
      <c r="D572" s="22" t="n"/>
      <c r="E572" s="23" t="n"/>
      <c r="F572" s="22" t="n"/>
      <c r="G572" s="14">
        <f>IF(OR(B572="",E572="",J572="",K572=""),"",IF(E572&lt;J572,"Below",IF(E572&gt;K572,"Above","In range")))</f>
        <v/>
      </c>
      <c r="H572" s="1" t="n"/>
      <c r="J572">
        <f>IF(M572="","",IF(INDEX(Settings!$C$10:$C$18,M572)="","",INDEX(Settings!$C$10:$C$18,M572)))</f>
        <v/>
      </c>
      <c r="K572">
        <f>IF(M572="","",IF(INDEX(Settings!$D$10:$D$18,M572)="","",INDEX(Settings!$D$10:$D$18,M572)))</f>
        <v/>
      </c>
      <c r="L572">
        <f>IF(OR(B572="",E572=""),"",B572+MOD(N(C572),1)+ROW()/10000000)</f>
        <v/>
      </c>
      <c r="M572">
        <f>IF(D572="","",IFERROR(MATCH(D572,Settings!$B$10:$B$18,0),""))</f>
        <v/>
      </c>
      <c r="N572">
        <f>IF(OR(B572="",E572="",M572=""),"",IF(AND(B572&gt;=Settings!$C$6,B572&lt;=Settings!$C$7),M572*10000+E572,""))</f>
        <v/>
      </c>
      <c r="O572">
        <f>IF(OR(B572="",E572=""),"",B572*10000+E572)</f>
        <v/>
      </c>
      <c r="P572">
        <f>IF(N572="","",E572)</f>
        <v/>
      </c>
    </row>
    <row r="573">
      <c r="A573" s="1" t="n"/>
      <c r="B573" s="20" t="n"/>
      <c r="C573" s="21" t="n"/>
      <c r="D573" s="22" t="n"/>
      <c r="E573" s="23" t="n"/>
      <c r="F573" s="22" t="n"/>
      <c r="G573" s="14">
        <f>IF(OR(B573="",E573="",J573="",K573=""),"",IF(E573&lt;J573,"Below",IF(E573&gt;K573,"Above","In range")))</f>
        <v/>
      </c>
      <c r="H573" s="1" t="n"/>
      <c r="J573">
        <f>IF(M573="","",IF(INDEX(Settings!$C$10:$C$18,M573)="","",INDEX(Settings!$C$10:$C$18,M573)))</f>
        <v/>
      </c>
      <c r="K573">
        <f>IF(M573="","",IF(INDEX(Settings!$D$10:$D$18,M573)="","",INDEX(Settings!$D$10:$D$18,M573)))</f>
        <v/>
      </c>
      <c r="L573">
        <f>IF(OR(B573="",E573=""),"",B573+MOD(N(C573),1)+ROW()/10000000)</f>
        <v/>
      </c>
      <c r="M573">
        <f>IF(D573="","",IFERROR(MATCH(D573,Settings!$B$10:$B$18,0),""))</f>
        <v/>
      </c>
      <c r="N573">
        <f>IF(OR(B573="",E573="",M573=""),"",IF(AND(B573&gt;=Settings!$C$6,B573&lt;=Settings!$C$7),M573*10000+E573,""))</f>
        <v/>
      </c>
      <c r="O573">
        <f>IF(OR(B573="",E573=""),"",B573*10000+E573)</f>
        <v/>
      </c>
      <c r="P573">
        <f>IF(N573="","",E573)</f>
        <v/>
      </c>
    </row>
    <row r="574">
      <c r="A574" s="1" t="n"/>
      <c r="B574" s="20" t="n"/>
      <c r="C574" s="21" t="n"/>
      <c r="D574" s="22" t="n"/>
      <c r="E574" s="23" t="n"/>
      <c r="F574" s="22" t="n"/>
      <c r="G574" s="14">
        <f>IF(OR(B574="",E574="",J574="",K574=""),"",IF(E574&lt;J574,"Below",IF(E574&gt;K574,"Above","In range")))</f>
        <v/>
      </c>
      <c r="H574" s="1" t="n"/>
      <c r="J574">
        <f>IF(M574="","",IF(INDEX(Settings!$C$10:$C$18,M574)="","",INDEX(Settings!$C$10:$C$18,M574)))</f>
        <v/>
      </c>
      <c r="K574">
        <f>IF(M574="","",IF(INDEX(Settings!$D$10:$D$18,M574)="","",INDEX(Settings!$D$10:$D$18,M574)))</f>
        <v/>
      </c>
      <c r="L574">
        <f>IF(OR(B574="",E574=""),"",B574+MOD(N(C574),1)+ROW()/10000000)</f>
        <v/>
      </c>
      <c r="M574">
        <f>IF(D574="","",IFERROR(MATCH(D574,Settings!$B$10:$B$18,0),""))</f>
        <v/>
      </c>
      <c r="N574">
        <f>IF(OR(B574="",E574="",M574=""),"",IF(AND(B574&gt;=Settings!$C$6,B574&lt;=Settings!$C$7),M574*10000+E574,""))</f>
        <v/>
      </c>
      <c r="O574">
        <f>IF(OR(B574="",E574=""),"",B574*10000+E574)</f>
        <v/>
      </c>
      <c r="P574">
        <f>IF(N574="","",E574)</f>
        <v/>
      </c>
    </row>
    <row r="575">
      <c r="A575" s="1" t="n"/>
      <c r="B575" s="20" t="n"/>
      <c r="C575" s="21" t="n"/>
      <c r="D575" s="22" t="n"/>
      <c r="E575" s="23" t="n"/>
      <c r="F575" s="22" t="n"/>
      <c r="G575" s="14">
        <f>IF(OR(B575="",E575="",J575="",K575=""),"",IF(E575&lt;J575,"Below",IF(E575&gt;K575,"Above","In range")))</f>
        <v/>
      </c>
      <c r="H575" s="1" t="n"/>
      <c r="J575">
        <f>IF(M575="","",IF(INDEX(Settings!$C$10:$C$18,M575)="","",INDEX(Settings!$C$10:$C$18,M575)))</f>
        <v/>
      </c>
      <c r="K575">
        <f>IF(M575="","",IF(INDEX(Settings!$D$10:$D$18,M575)="","",INDEX(Settings!$D$10:$D$18,M575)))</f>
        <v/>
      </c>
      <c r="L575">
        <f>IF(OR(B575="",E575=""),"",B575+MOD(N(C575),1)+ROW()/10000000)</f>
        <v/>
      </c>
      <c r="M575">
        <f>IF(D575="","",IFERROR(MATCH(D575,Settings!$B$10:$B$18,0),""))</f>
        <v/>
      </c>
      <c r="N575">
        <f>IF(OR(B575="",E575="",M575=""),"",IF(AND(B575&gt;=Settings!$C$6,B575&lt;=Settings!$C$7),M575*10000+E575,""))</f>
        <v/>
      </c>
      <c r="O575">
        <f>IF(OR(B575="",E575=""),"",B575*10000+E575)</f>
        <v/>
      </c>
      <c r="P575">
        <f>IF(N575="","",E575)</f>
        <v/>
      </c>
    </row>
    <row r="576">
      <c r="A576" s="1" t="n"/>
      <c r="B576" s="20" t="n"/>
      <c r="C576" s="21" t="n"/>
      <c r="D576" s="22" t="n"/>
      <c r="E576" s="23" t="n"/>
      <c r="F576" s="22" t="n"/>
      <c r="G576" s="14">
        <f>IF(OR(B576="",E576="",J576="",K576=""),"",IF(E576&lt;J576,"Below",IF(E576&gt;K576,"Above","In range")))</f>
        <v/>
      </c>
      <c r="H576" s="1" t="n"/>
      <c r="J576">
        <f>IF(M576="","",IF(INDEX(Settings!$C$10:$C$18,M576)="","",INDEX(Settings!$C$10:$C$18,M576)))</f>
        <v/>
      </c>
      <c r="K576">
        <f>IF(M576="","",IF(INDEX(Settings!$D$10:$D$18,M576)="","",INDEX(Settings!$D$10:$D$18,M576)))</f>
        <v/>
      </c>
      <c r="L576">
        <f>IF(OR(B576="",E576=""),"",B576+MOD(N(C576),1)+ROW()/10000000)</f>
        <v/>
      </c>
      <c r="M576">
        <f>IF(D576="","",IFERROR(MATCH(D576,Settings!$B$10:$B$18,0),""))</f>
        <v/>
      </c>
      <c r="N576">
        <f>IF(OR(B576="",E576="",M576=""),"",IF(AND(B576&gt;=Settings!$C$6,B576&lt;=Settings!$C$7),M576*10000+E576,""))</f>
        <v/>
      </c>
      <c r="O576">
        <f>IF(OR(B576="",E576=""),"",B576*10000+E576)</f>
        <v/>
      </c>
      <c r="P576">
        <f>IF(N576="","",E576)</f>
        <v/>
      </c>
    </row>
    <row r="577">
      <c r="A577" s="1" t="n"/>
      <c r="B577" s="20" t="n"/>
      <c r="C577" s="21" t="n"/>
      <c r="D577" s="22" t="n"/>
      <c r="E577" s="23" t="n"/>
      <c r="F577" s="22" t="n"/>
      <c r="G577" s="14">
        <f>IF(OR(B577="",E577="",J577="",K577=""),"",IF(E577&lt;J577,"Below",IF(E577&gt;K577,"Above","In range")))</f>
        <v/>
      </c>
      <c r="H577" s="1" t="n"/>
      <c r="J577">
        <f>IF(M577="","",IF(INDEX(Settings!$C$10:$C$18,M577)="","",INDEX(Settings!$C$10:$C$18,M577)))</f>
        <v/>
      </c>
      <c r="K577">
        <f>IF(M577="","",IF(INDEX(Settings!$D$10:$D$18,M577)="","",INDEX(Settings!$D$10:$D$18,M577)))</f>
        <v/>
      </c>
      <c r="L577">
        <f>IF(OR(B577="",E577=""),"",B577+MOD(N(C577),1)+ROW()/10000000)</f>
        <v/>
      </c>
      <c r="M577">
        <f>IF(D577="","",IFERROR(MATCH(D577,Settings!$B$10:$B$18,0),""))</f>
        <v/>
      </c>
      <c r="N577">
        <f>IF(OR(B577="",E577="",M577=""),"",IF(AND(B577&gt;=Settings!$C$6,B577&lt;=Settings!$C$7),M577*10000+E577,""))</f>
        <v/>
      </c>
      <c r="O577">
        <f>IF(OR(B577="",E577=""),"",B577*10000+E577)</f>
        <v/>
      </c>
      <c r="P577">
        <f>IF(N577="","",E577)</f>
        <v/>
      </c>
    </row>
    <row r="578">
      <c r="A578" s="1" t="n"/>
      <c r="B578" s="20" t="n"/>
      <c r="C578" s="21" t="n"/>
      <c r="D578" s="22" t="n"/>
      <c r="E578" s="23" t="n"/>
      <c r="F578" s="22" t="n"/>
      <c r="G578" s="14">
        <f>IF(OR(B578="",E578="",J578="",K578=""),"",IF(E578&lt;J578,"Below",IF(E578&gt;K578,"Above","In range")))</f>
        <v/>
      </c>
      <c r="H578" s="1" t="n"/>
      <c r="J578">
        <f>IF(M578="","",IF(INDEX(Settings!$C$10:$C$18,M578)="","",INDEX(Settings!$C$10:$C$18,M578)))</f>
        <v/>
      </c>
      <c r="K578">
        <f>IF(M578="","",IF(INDEX(Settings!$D$10:$D$18,M578)="","",INDEX(Settings!$D$10:$D$18,M578)))</f>
        <v/>
      </c>
      <c r="L578">
        <f>IF(OR(B578="",E578=""),"",B578+MOD(N(C578),1)+ROW()/10000000)</f>
        <v/>
      </c>
      <c r="M578">
        <f>IF(D578="","",IFERROR(MATCH(D578,Settings!$B$10:$B$18,0),""))</f>
        <v/>
      </c>
      <c r="N578">
        <f>IF(OR(B578="",E578="",M578=""),"",IF(AND(B578&gt;=Settings!$C$6,B578&lt;=Settings!$C$7),M578*10000+E578,""))</f>
        <v/>
      </c>
      <c r="O578">
        <f>IF(OR(B578="",E578=""),"",B578*10000+E578)</f>
        <v/>
      </c>
      <c r="P578">
        <f>IF(N578="","",E578)</f>
        <v/>
      </c>
    </row>
    <row r="579">
      <c r="A579" s="1" t="n"/>
      <c r="B579" s="20" t="n"/>
      <c r="C579" s="21" t="n"/>
      <c r="D579" s="22" t="n"/>
      <c r="E579" s="23" t="n"/>
      <c r="F579" s="22" t="n"/>
      <c r="G579" s="14">
        <f>IF(OR(B579="",E579="",J579="",K579=""),"",IF(E579&lt;J579,"Below",IF(E579&gt;K579,"Above","In range")))</f>
        <v/>
      </c>
      <c r="H579" s="1" t="n"/>
      <c r="J579">
        <f>IF(M579="","",IF(INDEX(Settings!$C$10:$C$18,M579)="","",INDEX(Settings!$C$10:$C$18,M579)))</f>
        <v/>
      </c>
      <c r="K579">
        <f>IF(M579="","",IF(INDEX(Settings!$D$10:$D$18,M579)="","",INDEX(Settings!$D$10:$D$18,M579)))</f>
        <v/>
      </c>
      <c r="L579">
        <f>IF(OR(B579="",E579=""),"",B579+MOD(N(C579),1)+ROW()/10000000)</f>
        <v/>
      </c>
      <c r="M579">
        <f>IF(D579="","",IFERROR(MATCH(D579,Settings!$B$10:$B$18,0),""))</f>
        <v/>
      </c>
      <c r="N579">
        <f>IF(OR(B579="",E579="",M579=""),"",IF(AND(B579&gt;=Settings!$C$6,B579&lt;=Settings!$C$7),M579*10000+E579,""))</f>
        <v/>
      </c>
      <c r="O579">
        <f>IF(OR(B579="",E579=""),"",B579*10000+E579)</f>
        <v/>
      </c>
      <c r="P579">
        <f>IF(N579="","",E579)</f>
        <v/>
      </c>
    </row>
    <row r="580">
      <c r="A580" s="1" t="n"/>
      <c r="B580" s="20" t="n"/>
      <c r="C580" s="21" t="n"/>
      <c r="D580" s="22" t="n"/>
      <c r="E580" s="23" t="n"/>
      <c r="F580" s="22" t="n"/>
      <c r="G580" s="14">
        <f>IF(OR(B580="",E580="",J580="",K580=""),"",IF(E580&lt;J580,"Below",IF(E580&gt;K580,"Above","In range")))</f>
        <v/>
      </c>
      <c r="H580" s="1" t="n"/>
      <c r="J580">
        <f>IF(M580="","",IF(INDEX(Settings!$C$10:$C$18,M580)="","",INDEX(Settings!$C$10:$C$18,M580)))</f>
        <v/>
      </c>
      <c r="K580">
        <f>IF(M580="","",IF(INDEX(Settings!$D$10:$D$18,M580)="","",INDEX(Settings!$D$10:$D$18,M580)))</f>
        <v/>
      </c>
      <c r="L580">
        <f>IF(OR(B580="",E580=""),"",B580+MOD(N(C580),1)+ROW()/10000000)</f>
        <v/>
      </c>
      <c r="M580">
        <f>IF(D580="","",IFERROR(MATCH(D580,Settings!$B$10:$B$18,0),""))</f>
        <v/>
      </c>
      <c r="N580">
        <f>IF(OR(B580="",E580="",M580=""),"",IF(AND(B580&gt;=Settings!$C$6,B580&lt;=Settings!$C$7),M580*10000+E580,""))</f>
        <v/>
      </c>
      <c r="O580">
        <f>IF(OR(B580="",E580=""),"",B580*10000+E580)</f>
        <v/>
      </c>
      <c r="P580">
        <f>IF(N580="","",E580)</f>
        <v/>
      </c>
    </row>
    <row r="581">
      <c r="A581" s="1" t="n"/>
      <c r="B581" s="20" t="n"/>
      <c r="C581" s="21" t="n"/>
      <c r="D581" s="22" t="n"/>
      <c r="E581" s="23" t="n"/>
      <c r="F581" s="22" t="n"/>
      <c r="G581" s="14">
        <f>IF(OR(B581="",E581="",J581="",K581=""),"",IF(E581&lt;J581,"Below",IF(E581&gt;K581,"Above","In range")))</f>
        <v/>
      </c>
      <c r="H581" s="1" t="n"/>
      <c r="J581">
        <f>IF(M581="","",IF(INDEX(Settings!$C$10:$C$18,M581)="","",INDEX(Settings!$C$10:$C$18,M581)))</f>
        <v/>
      </c>
      <c r="K581">
        <f>IF(M581="","",IF(INDEX(Settings!$D$10:$D$18,M581)="","",INDEX(Settings!$D$10:$D$18,M581)))</f>
        <v/>
      </c>
      <c r="L581">
        <f>IF(OR(B581="",E581=""),"",B581+MOD(N(C581),1)+ROW()/10000000)</f>
        <v/>
      </c>
      <c r="M581">
        <f>IF(D581="","",IFERROR(MATCH(D581,Settings!$B$10:$B$18,0),""))</f>
        <v/>
      </c>
      <c r="N581">
        <f>IF(OR(B581="",E581="",M581=""),"",IF(AND(B581&gt;=Settings!$C$6,B581&lt;=Settings!$C$7),M581*10000+E581,""))</f>
        <v/>
      </c>
      <c r="O581">
        <f>IF(OR(B581="",E581=""),"",B581*10000+E581)</f>
        <v/>
      </c>
      <c r="P581">
        <f>IF(N581="","",E581)</f>
        <v/>
      </c>
    </row>
    <row r="582">
      <c r="A582" s="1" t="n"/>
      <c r="B582" s="20" t="n"/>
      <c r="C582" s="21" t="n"/>
      <c r="D582" s="22" t="n"/>
      <c r="E582" s="23" t="n"/>
      <c r="F582" s="22" t="n"/>
      <c r="G582" s="14">
        <f>IF(OR(B582="",E582="",J582="",K582=""),"",IF(E582&lt;J582,"Below",IF(E582&gt;K582,"Above","In range")))</f>
        <v/>
      </c>
      <c r="H582" s="1" t="n"/>
      <c r="J582">
        <f>IF(M582="","",IF(INDEX(Settings!$C$10:$C$18,M582)="","",INDEX(Settings!$C$10:$C$18,M582)))</f>
        <v/>
      </c>
      <c r="K582">
        <f>IF(M582="","",IF(INDEX(Settings!$D$10:$D$18,M582)="","",INDEX(Settings!$D$10:$D$18,M582)))</f>
        <v/>
      </c>
      <c r="L582">
        <f>IF(OR(B582="",E582=""),"",B582+MOD(N(C582),1)+ROW()/10000000)</f>
        <v/>
      </c>
      <c r="M582">
        <f>IF(D582="","",IFERROR(MATCH(D582,Settings!$B$10:$B$18,0),""))</f>
        <v/>
      </c>
      <c r="N582">
        <f>IF(OR(B582="",E582="",M582=""),"",IF(AND(B582&gt;=Settings!$C$6,B582&lt;=Settings!$C$7),M582*10000+E582,""))</f>
        <v/>
      </c>
      <c r="O582">
        <f>IF(OR(B582="",E582=""),"",B582*10000+E582)</f>
        <v/>
      </c>
      <c r="P582">
        <f>IF(N582="","",E582)</f>
        <v/>
      </c>
    </row>
    <row r="583">
      <c r="A583" s="1" t="n"/>
      <c r="B583" s="20" t="n"/>
      <c r="C583" s="21" t="n"/>
      <c r="D583" s="22" t="n"/>
      <c r="E583" s="23" t="n"/>
      <c r="F583" s="22" t="n"/>
      <c r="G583" s="14">
        <f>IF(OR(B583="",E583="",J583="",K583=""),"",IF(E583&lt;J583,"Below",IF(E583&gt;K583,"Above","In range")))</f>
        <v/>
      </c>
      <c r="H583" s="1" t="n"/>
      <c r="J583">
        <f>IF(M583="","",IF(INDEX(Settings!$C$10:$C$18,M583)="","",INDEX(Settings!$C$10:$C$18,M583)))</f>
        <v/>
      </c>
      <c r="K583">
        <f>IF(M583="","",IF(INDEX(Settings!$D$10:$D$18,M583)="","",INDEX(Settings!$D$10:$D$18,M583)))</f>
        <v/>
      </c>
      <c r="L583">
        <f>IF(OR(B583="",E583=""),"",B583+MOD(N(C583),1)+ROW()/10000000)</f>
        <v/>
      </c>
      <c r="M583">
        <f>IF(D583="","",IFERROR(MATCH(D583,Settings!$B$10:$B$18,0),""))</f>
        <v/>
      </c>
      <c r="N583">
        <f>IF(OR(B583="",E583="",M583=""),"",IF(AND(B583&gt;=Settings!$C$6,B583&lt;=Settings!$C$7),M583*10000+E583,""))</f>
        <v/>
      </c>
      <c r="O583">
        <f>IF(OR(B583="",E583=""),"",B583*10000+E583)</f>
        <v/>
      </c>
      <c r="P583">
        <f>IF(N583="","",E583)</f>
        <v/>
      </c>
    </row>
    <row r="584">
      <c r="A584" s="1" t="n"/>
      <c r="B584" s="20" t="n"/>
      <c r="C584" s="21" t="n"/>
      <c r="D584" s="22" t="n"/>
      <c r="E584" s="23" t="n"/>
      <c r="F584" s="22" t="n"/>
      <c r="G584" s="14">
        <f>IF(OR(B584="",E584="",J584="",K584=""),"",IF(E584&lt;J584,"Below",IF(E584&gt;K584,"Above","In range")))</f>
        <v/>
      </c>
      <c r="H584" s="1" t="n"/>
      <c r="J584">
        <f>IF(M584="","",IF(INDEX(Settings!$C$10:$C$18,M584)="","",INDEX(Settings!$C$10:$C$18,M584)))</f>
        <v/>
      </c>
      <c r="K584">
        <f>IF(M584="","",IF(INDEX(Settings!$D$10:$D$18,M584)="","",INDEX(Settings!$D$10:$D$18,M584)))</f>
        <v/>
      </c>
      <c r="L584">
        <f>IF(OR(B584="",E584=""),"",B584+MOD(N(C584),1)+ROW()/10000000)</f>
        <v/>
      </c>
      <c r="M584">
        <f>IF(D584="","",IFERROR(MATCH(D584,Settings!$B$10:$B$18,0),""))</f>
        <v/>
      </c>
      <c r="N584">
        <f>IF(OR(B584="",E584="",M584=""),"",IF(AND(B584&gt;=Settings!$C$6,B584&lt;=Settings!$C$7),M584*10000+E584,""))</f>
        <v/>
      </c>
      <c r="O584">
        <f>IF(OR(B584="",E584=""),"",B584*10000+E584)</f>
        <v/>
      </c>
      <c r="P584">
        <f>IF(N584="","",E584)</f>
        <v/>
      </c>
    </row>
    <row r="585">
      <c r="A585" s="1" t="n"/>
      <c r="B585" s="20" t="n"/>
      <c r="C585" s="21" t="n"/>
      <c r="D585" s="22" t="n"/>
      <c r="E585" s="23" t="n"/>
      <c r="F585" s="22" t="n"/>
      <c r="G585" s="14">
        <f>IF(OR(B585="",E585="",J585="",K585=""),"",IF(E585&lt;J585,"Below",IF(E585&gt;K585,"Above","In range")))</f>
        <v/>
      </c>
      <c r="H585" s="1" t="n"/>
      <c r="J585">
        <f>IF(M585="","",IF(INDEX(Settings!$C$10:$C$18,M585)="","",INDEX(Settings!$C$10:$C$18,M585)))</f>
        <v/>
      </c>
      <c r="K585">
        <f>IF(M585="","",IF(INDEX(Settings!$D$10:$D$18,M585)="","",INDEX(Settings!$D$10:$D$18,M585)))</f>
        <v/>
      </c>
      <c r="L585">
        <f>IF(OR(B585="",E585=""),"",B585+MOD(N(C585),1)+ROW()/10000000)</f>
        <v/>
      </c>
      <c r="M585">
        <f>IF(D585="","",IFERROR(MATCH(D585,Settings!$B$10:$B$18,0),""))</f>
        <v/>
      </c>
      <c r="N585">
        <f>IF(OR(B585="",E585="",M585=""),"",IF(AND(B585&gt;=Settings!$C$6,B585&lt;=Settings!$C$7),M585*10000+E585,""))</f>
        <v/>
      </c>
      <c r="O585">
        <f>IF(OR(B585="",E585=""),"",B585*10000+E585)</f>
        <v/>
      </c>
      <c r="P585">
        <f>IF(N585="","",E585)</f>
        <v/>
      </c>
    </row>
    <row r="586">
      <c r="A586" s="1" t="n"/>
      <c r="B586" s="20" t="n"/>
      <c r="C586" s="21" t="n"/>
      <c r="D586" s="22" t="n"/>
      <c r="E586" s="23" t="n"/>
      <c r="F586" s="22" t="n"/>
      <c r="G586" s="14">
        <f>IF(OR(B586="",E586="",J586="",K586=""),"",IF(E586&lt;J586,"Below",IF(E586&gt;K586,"Above","In range")))</f>
        <v/>
      </c>
      <c r="H586" s="1" t="n"/>
      <c r="J586">
        <f>IF(M586="","",IF(INDEX(Settings!$C$10:$C$18,M586)="","",INDEX(Settings!$C$10:$C$18,M586)))</f>
        <v/>
      </c>
      <c r="K586">
        <f>IF(M586="","",IF(INDEX(Settings!$D$10:$D$18,M586)="","",INDEX(Settings!$D$10:$D$18,M586)))</f>
        <v/>
      </c>
      <c r="L586">
        <f>IF(OR(B586="",E586=""),"",B586+MOD(N(C586),1)+ROW()/10000000)</f>
        <v/>
      </c>
      <c r="M586">
        <f>IF(D586="","",IFERROR(MATCH(D586,Settings!$B$10:$B$18,0),""))</f>
        <v/>
      </c>
      <c r="N586">
        <f>IF(OR(B586="",E586="",M586=""),"",IF(AND(B586&gt;=Settings!$C$6,B586&lt;=Settings!$C$7),M586*10000+E586,""))</f>
        <v/>
      </c>
      <c r="O586">
        <f>IF(OR(B586="",E586=""),"",B586*10000+E586)</f>
        <v/>
      </c>
      <c r="P586">
        <f>IF(N586="","",E586)</f>
        <v/>
      </c>
    </row>
    <row r="587">
      <c r="A587" s="1" t="n"/>
      <c r="B587" s="20" t="n"/>
      <c r="C587" s="21" t="n"/>
      <c r="D587" s="22" t="n"/>
      <c r="E587" s="23" t="n"/>
      <c r="F587" s="22" t="n"/>
      <c r="G587" s="14">
        <f>IF(OR(B587="",E587="",J587="",K587=""),"",IF(E587&lt;J587,"Below",IF(E587&gt;K587,"Above","In range")))</f>
        <v/>
      </c>
      <c r="H587" s="1" t="n"/>
      <c r="J587">
        <f>IF(M587="","",IF(INDEX(Settings!$C$10:$C$18,M587)="","",INDEX(Settings!$C$10:$C$18,M587)))</f>
        <v/>
      </c>
      <c r="K587">
        <f>IF(M587="","",IF(INDEX(Settings!$D$10:$D$18,M587)="","",INDEX(Settings!$D$10:$D$18,M587)))</f>
        <v/>
      </c>
      <c r="L587">
        <f>IF(OR(B587="",E587=""),"",B587+MOD(N(C587),1)+ROW()/10000000)</f>
        <v/>
      </c>
      <c r="M587">
        <f>IF(D587="","",IFERROR(MATCH(D587,Settings!$B$10:$B$18,0),""))</f>
        <v/>
      </c>
      <c r="N587">
        <f>IF(OR(B587="",E587="",M587=""),"",IF(AND(B587&gt;=Settings!$C$6,B587&lt;=Settings!$C$7),M587*10000+E587,""))</f>
        <v/>
      </c>
      <c r="O587">
        <f>IF(OR(B587="",E587=""),"",B587*10000+E587)</f>
        <v/>
      </c>
      <c r="P587">
        <f>IF(N587="","",E587)</f>
        <v/>
      </c>
    </row>
    <row r="588">
      <c r="A588" s="1" t="n"/>
      <c r="B588" s="20" t="n"/>
      <c r="C588" s="21" t="n"/>
      <c r="D588" s="22" t="n"/>
      <c r="E588" s="23" t="n"/>
      <c r="F588" s="22" t="n"/>
      <c r="G588" s="14">
        <f>IF(OR(B588="",E588="",J588="",K588=""),"",IF(E588&lt;J588,"Below",IF(E588&gt;K588,"Above","In range")))</f>
        <v/>
      </c>
      <c r="H588" s="1" t="n"/>
      <c r="J588">
        <f>IF(M588="","",IF(INDEX(Settings!$C$10:$C$18,M588)="","",INDEX(Settings!$C$10:$C$18,M588)))</f>
        <v/>
      </c>
      <c r="K588">
        <f>IF(M588="","",IF(INDEX(Settings!$D$10:$D$18,M588)="","",INDEX(Settings!$D$10:$D$18,M588)))</f>
        <v/>
      </c>
      <c r="L588">
        <f>IF(OR(B588="",E588=""),"",B588+MOD(N(C588),1)+ROW()/10000000)</f>
        <v/>
      </c>
      <c r="M588">
        <f>IF(D588="","",IFERROR(MATCH(D588,Settings!$B$10:$B$18,0),""))</f>
        <v/>
      </c>
      <c r="N588">
        <f>IF(OR(B588="",E588="",M588=""),"",IF(AND(B588&gt;=Settings!$C$6,B588&lt;=Settings!$C$7),M588*10000+E588,""))</f>
        <v/>
      </c>
      <c r="O588">
        <f>IF(OR(B588="",E588=""),"",B588*10000+E588)</f>
        <v/>
      </c>
      <c r="P588">
        <f>IF(N588="","",E588)</f>
        <v/>
      </c>
    </row>
    <row r="589">
      <c r="A589" s="1" t="n"/>
      <c r="B589" s="20" t="n"/>
      <c r="C589" s="21" t="n"/>
      <c r="D589" s="22" t="n"/>
      <c r="E589" s="23" t="n"/>
      <c r="F589" s="22" t="n"/>
      <c r="G589" s="14">
        <f>IF(OR(B589="",E589="",J589="",K589=""),"",IF(E589&lt;J589,"Below",IF(E589&gt;K589,"Above","In range")))</f>
        <v/>
      </c>
      <c r="H589" s="1" t="n"/>
      <c r="J589">
        <f>IF(M589="","",IF(INDEX(Settings!$C$10:$C$18,M589)="","",INDEX(Settings!$C$10:$C$18,M589)))</f>
        <v/>
      </c>
      <c r="K589">
        <f>IF(M589="","",IF(INDEX(Settings!$D$10:$D$18,M589)="","",INDEX(Settings!$D$10:$D$18,M589)))</f>
        <v/>
      </c>
      <c r="L589">
        <f>IF(OR(B589="",E589=""),"",B589+MOD(N(C589),1)+ROW()/10000000)</f>
        <v/>
      </c>
      <c r="M589">
        <f>IF(D589="","",IFERROR(MATCH(D589,Settings!$B$10:$B$18,0),""))</f>
        <v/>
      </c>
      <c r="N589">
        <f>IF(OR(B589="",E589="",M589=""),"",IF(AND(B589&gt;=Settings!$C$6,B589&lt;=Settings!$C$7),M589*10000+E589,""))</f>
        <v/>
      </c>
      <c r="O589">
        <f>IF(OR(B589="",E589=""),"",B589*10000+E589)</f>
        <v/>
      </c>
      <c r="P589">
        <f>IF(N589="","",E589)</f>
        <v/>
      </c>
    </row>
    <row r="590">
      <c r="A590" s="1" t="n"/>
      <c r="B590" s="20" t="n"/>
      <c r="C590" s="21" t="n"/>
      <c r="D590" s="22" t="n"/>
      <c r="E590" s="23" t="n"/>
      <c r="F590" s="22" t="n"/>
      <c r="G590" s="14">
        <f>IF(OR(B590="",E590="",J590="",K590=""),"",IF(E590&lt;J590,"Below",IF(E590&gt;K590,"Above","In range")))</f>
        <v/>
      </c>
      <c r="H590" s="1" t="n"/>
      <c r="J590">
        <f>IF(M590="","",IF(INDEX(Settings!$C$10:$C$18,M590)="","",INDEX(Settings!$C$10:$C$18,M590)))</f>
        <v/>
      </c>
      <c r="K590">
        <f>IF(M590="","",IF(INDEX(Settings!$D$10:$D$18,M590)="","",INDEX(Settings!$D$10:$D$18,M590)))</f>
        <v/>
      </c>
      <c r="L590">
        <f>IF(OR(B590="",E590=""),"",B590+MOD(N(C590),1)+ROW()/10000000)</f>
        <v/>
      </c>
      <c r="M590">
        <f>IF(D590="","",IFERROR(MATCH(D590,Settings!$B$10:$B$18,0),""))</f>
        <v/>
      </c>
      <c r="N590">
        <f>IF(OR(B590="",E590="",M590=""),"",IF(AND(B590&gt;=Settings!$C$6,B590&lt;=Settings!$C$7),M590*10000+E590,""))</f>
        <v/>
      </c>
      <c r="O590">
        <f>IF(OR(B590="",E590=""),"",B590*10000+E590)</f>
        <v/>
      </c>
      <c r="P590">
        <f>IF(N590="","",E590)</f>
        <v/>
      </c>
    </row>
    <row r="591">
      <c r="A591" s="1" t="n"/>
      <c r="B591" s="20" t="n"/>
      <c r="C591" s="21" t="n"/>
      <c r="D591" s="22" t="n"/>
      <c r="E591" s="23" t="n"/>
      <c r="F591" s="22" t="n"/>
      <c r="G591" s="14">
        <f>IF(OR(B591="",E591="",J591="",K591=""),"",IF(E591&lt;J591,"Below",IF(E591&gt;K591,"Above","In range")))</f>
        <v/>
      </c>
      <c r="H591" s="1" t="n"/>
      <c r="J591">
        <f>IF(M591="","",IF(INDEX(Settings!$C$10:$C$18,M591)="","",INDEX(Settings!$C$10:$C$18,M591)))</f>
        <v/>
      </c>
      <c r="K591">
        <f>IF(M591="","",IF(INDEX(Settings!$D$10:$D$18,M591)="","",INDEX(Settings!$D$10:$D$18,M591)))</f>
        <v/>
      </c>
      <c r="L591">
        <f>IF(OR(B591="",E591=""),"",B591+MOD(N(C591),1)+ROW()/10000000)</f>
        <v/>
      </c>
      <c r="M591">
        <f>IF(D591="","",IFERROR(MATCH(D591,Settings!$B$10:$B$18,0),""))</f>
        <v/>
      </c>
      <c r="N591">
        <f>IF(OR(B591="",E591="",M591=""),"",IF(AND(B591&gt;=Settings!$C$6,B591&lt;=Settings!$C$7),M591*10000+E591,""))</f>
        <v/>
      </c>
      <c r="O591">
        <f>IF(OR(B591="",E591=""),"",B591*10000+E591)</f>
        <v/>
      </c>
      <c r="P591">
        <f>IF(N591="","",E591)</f>
        <v/>
      </c>
    </row>
    <row r="592">
      <c r="A592" s="1" t="n"/>
      <c r="B592" s="20" t="n"/>
      <c r="C592" s="21" t="n"/>
      <c r="D592" s="22" t="n"/>
      <c r="E592" s="23" t="n"/>
      <c r="F592" s="22" t="n"/>
      <c r="G592" s="14">
        <f>IF(OR(B592="",E592="",J592="",K592=""),"",IF(E592&lt;J592,"Below",IF(E592&gt;K592,"Above","In range")))</f>
        <v/>
      </c>
      <c r="H592" s="1" t="n"/>
      <c r="J592">
        <f>IF(M592="","",IF(INDEX(Settings!$C$10:$C$18,M592)="","",INDEX(Settings!$C$10:$C$18,M592)))</f>
        <v/>
      </c>
      <c r="K592">
        <f>IF(M592="","",IF(INDEX(Settings!$D$10:$D$18,M592)="","",INDEX(Settings!$D$10:$D$18,M592)))</f>
        <v/>
      </c>
      <c r="L592">
        <f>IF(OR(B592="",E592=""),"",B592+MOD(N(C592),1)+ROW()/10000000)</f>
        <v/>
      </c>
      <c r="M592">
        <f>IF(D592="","",IFERROR(MATCH(D592,Settings!$B$10:$B$18,0),""))</f>
        <v/>
      </c>
      <c r="N592">
        <f>IF(OR(B592="",E592="",M592=""),"",IF(AND(B592&gt;=Settings!$C$6,B592&lt;=Settings!$C$7),M592*10000+E592,""))</f>
        <v/>
      </c>
      <c r="O592">
        <f>IF(OR(B592="",E592=""),"",B592*10000+E592)</f>
        <v/>
      </c>
      <c r="P592">
        <f>IF(N592="","",E592)</f>
        <v/>
      </c>
    </row>
    <row r="593">
      <c r="A593" s="1" t="n"/>
      <c r="B593" s="20" t="n"/>
      <c r="C593" s="21" t="n"/>
      <c r="D593" s="22" t="n"/>
      <c r="E593" s="23" t="n"/>
      <c r="F593" s="22" t="n"/>
      <c r="G593" s="14">
        <f>IF(OR(B593="",E593="",J593="",K593=""),"",IF(E593&lt;J593,"Below",IF(E593&gt;K593,"Above","In range")))</f>
        <v/>
      </c>
      <c r="H593" s="1" t="n"/>
      <c r="J593">
        <f>IF(M593="","",IF(INDEX(Settings!$C$10:$C$18,M593)="","",INDEX(Settings!$C$10:$C$18,M593)))</f>
        <v/>
      </c>
      <c r="K593">
        <f>IF(M593="","",IF(INDEX(Settings!$D$10:$D$18,M593)="","",INDEX(Settings!$D$10:$D$18,M593)))</f>
        <v/>
      </c>
      <c r="L593">
        <f>IF(OR(B593="",E593=""),"",B593+MOD(N(C593),1)+ROW()/10000000)</f>
        <v/>
      </c>
      <c r="M593">
        <f>IF(D593="","",IFERROR(MATCH(D593,Settings!$B$10:$B$18,0),""))</f>
        <v/>
      </c>
      <c r="N593">
        <f>IF(OR(B593="",E593="",M593=""),"",IF(AND(B593&gt;=Settings!$C$6,B593&lt;=Settings!$C$7),M593*10000+E593,""))</f>
        <v/>
      </c>
      <c r="O593">
        <f>IF(OR(B593="",E593=""),"",B593*10000+E593)</f>
        <v/>
      </c>
      <c r="P593">
        <f>IF(N593="","",E593)</f>
        <v/>
      </c>
    </row>
    <row r="594">
      <c r="A594" s="1" t="n"/>
      <c r="B594" s="20" t="n"/>
      <c r="C594" s="21" t="n"/>
      <c r="D594" s="22" t="n"/>
      <c r="E594" s="23" t="n"/>
      <c r="F594" s="22" t="n"/>
      <c r="G594" s="14">
        <f>IF(OR(B594="",E594="",J594="",K594=""),"",IF(E594&lt;J594,"Below",IF(E594&gt;K594,"Above","In range")))</f>
        <v/>
      </c>
      <c r="H594" s="1" t="n"/>
      <c r="J594">
        <f>IF(M594="","",IF(INDEX(Settings!$C$10:$C$18,M594)="","",INDEX(Settings!$C$10:$C$18,M594)))</f>
        <v/>
      </c>
      <c r="K594">
        <f>IF(M594="","",IF(INDEX(Settings!$D$10:$D$18,M594)="","",INDEX(Settings!$D$10:$D$18,M594)))</f>
        <v/>
      </c>
      <c r="L594">
        <f>IF(OR(B594="",E594=""),"",B594+MOD(N(C594),1)+ROW()/10000000)</f>
        <v/>
      </c>
      <c r="M594">
        <f>IF(D594="","",IFERROR(MATCH(D594,Settings!$B$10:$B$18,0),""))</f>
        <v/>
      </c>
      <c r="N594">
        <f>IF(OR(B594="",E594="",M594=""),"",IF(AND(B594&gt;=Settings!$C$6,B594&lt;=Settings!$C$7),M594*10000+E594,""))</f>
        <v/>
      </c>
      <c r="O594">
        <f>IF(OR(B594="",E594=""),"",B594*10000+E594)</f>
        <v/>
      </c>
      <c r="P594">
        <f>IF(N594="","",E594)</f>
        <v/>
      </c>
    </row>
    <row r="595">
      <c r="A595" s="1" t="n"/>
      <c r="B595" s="20" t="n"/>
      <c r="C595" s="21" t="n"/>
      <c r="D595" s="22" t="n"/>
      <c r="E595" s="23" t="n"/>
      <c r="F595" s="22" t="n"/>
      <c r="G595" s="14">
        <f>IF(OR(B595="",E595="",J595="",K595=""),"",IF(E595&lt;J595,"Below",IF(E595&gt;K595,"Above","In range")))</f>
        <v/>
      </c>
      <c r="H595" s="1" t="n"/>
      <c r="J595">
        <f>IF(M595="","",IF(INDEX(Settings!$C$10:$C$18,M595)="","",INDEX(Settings!$C$10:$C$18,M595)))</f>
        <v/>
      </c>
      <c r="K595">
        <f>IF(M595="","",IF(INDEX(Settings!$D$10:$D$18,M595)="","",INDEX(Settings!$D$10:$D$18,M595)))</f>
        <v/>
      </c>
      <c r="L595">
        <f>IF(OR(B595="",E595=""),"",B595+MOD(N(C595),1)+ROW()/10000000)</f>
        <v/>
      </c>
      <c r="M595">
        <f>IF(D595="","",IFERROR(MATCH(D595,Settings!$B$10:$B$18,0),""))</f>
        <v/>
      </c>
      <c r="N595">
        <f>IF(OR(B595="",E595="",M595=""),"",IF(AND(B595&gt;=Settings!$C$6,B595&lt;=Settings!$C$7),M595*10000+E595,""))</f>
        <v/>
      </c>
      <c r="O595">
        <f>IF(OR(B595="",E595=""),"",B595*10000+E595)</f>
        <v/>
      </c>
      <c r="P595">
        <f>IF(N595="","",E595)</f>
        <v/>
      </c>
    </row>
    <row r="596">
      <c r="A596" s="1" t="n"/>
      <c r="B596" s="20" t="n"/>
      <c r="C596" s="21" t="n"/>
      <c r="D596" s="22" t="n"/>
      <c r="E596" s="23" t="n"/>
      <c r="F596" s="22" t="n"/>
      <c r="G596" s="14">
        <f>IF(OR(B596="",E596="",J596="",K596=""),"",IF(E596&lt;J596,"Below",IF(E596&gt;K596,"Above","In range")))</f>
        <v/>
      </c>
      <c r="H596" s="1" t="n"/>
      <c r="J596">
        <f>IF(M596="","",IF(INDEX(Settings!$C$10:$C$18,M596)="","",INDEX(Settings!$C$10:$C$18,M596)))</f>
        <v/>
      </c>
      <c r="K596">
        <f>IF(M596="","",IF(INDEX(Settings!$D$10:$D$18,M596)="","",INDEX(Settings!$D$10:$D$18,M596)))</f>
        <v/>
      </c>
      <c r="L596">
        <f>IF(OR(B596="",E596=""),"",B596+MOD(N(C596),1)+ROW()/10000000)</f>
        <v/>
      </c>
      <c r="M596">
        <f>IF(D596="","",IFERROR(MATCH(D596,Settings!$B$10:$B$18,0),""))</f>
        <v/>
      </c>
      <c r="N596">
        <f>IF(OR(B596="",E596="",M596=""),"",IF(AND(B596&gt;=Settings!$C$6,B596&lt;=Settings!$C$7),M596*10000+E596,""))</f>
        <v/>
      </c>
      <c r="O596">
        <f>IF(OR(B596="",E596=""),"",B596*10000+E596)</f>
        <v/>
      </c>
      <c r="P596">
        <f>IF(N596="","",E596)</f>
        <v/>
      </c>
    </row>
    <row r="597">
      <c r="A597" s="1" t="n"/>
      <c r="B597" s="20" t="n"/>
      <c r="C597" s="21" t="n"/>
      <c r="D597" s="22" t="n"/>
      <c r="E597" s="23" t="n"/>
      <c r="F597" s="22" t="n"/>
      <c r="G597" s="14">
        <f>IF(OR(B597="",E597="",J597="",K597=""),"",IF(E597&lt;J597,"Below",IF(E597&gt;K597,"Above","In range")))</f>
        <v/>
      </c>
      <c r="H597" s="1" t="n"/>
      <c r="J597">
        <f>IF(M597="","",IF(INDEX(Settings!$C$10:$C$18,M597)="","",INDEX(Settings!$C$10:$C$18,M597)))</f>
        <v/>
      </c>
      <c r="K597">
        <f>IF(M597="","",IF(INDEX(Settings!$D$10:$D$18,M597)="","",INDEX(Settings!$D$10:$D$18,M597)))</f>
        <v/>
      </c>
      <c r="L597">
        <f>IF(OR(B597="",E597=""),"",B597+MOD(N(C597),1)+ROW()/10000000)</f>
        <v/>
      </c>
      <c r="M597">
        <f>IF(D597="","",IFERROR(MATCH(D597,Settings!$B$10:$B$18,0),""))</f>
        <v/>
      </c>
      <c r="N597">
        <f>IF(OR(B597="",E597="",M597=""),"",IF(AND(B597&gt;=Settings!$C$6,B597&lt;=Settings!$C$7),M597*10000+E597,""))</f>
        <v/>
      </c>
      <c r="O597">
        <f>IF(OR(B597="",E597=""),"",B597*10000+E597)</f>
        <v/>
      </c>
      <c r="P597">
        <f>IF(N597="","",E597)</f>
        <v/>
      </c>
    </row>
    <row r="598">
      <c r="A598" s="1" t="n"/>
      <c r="B598" s="20" t="n"/>
      <c r="C598" s="21" t="n"/>
      <c r="D598" s="22" t="n"/>
      <c r="E598" s="23" t="n"/>
      <c r="F598" s="22" t="n"/>
      <c r="G598" s="14">
        <f>IF(OR(B598="",E598="",J598="",K598=""),"",IF(E598&lt;J598,"Below",IF(E598&gt;K598,"Above","In range")))</f>
        <v/>
      </c>
      <c r="H598" s="1" t="n"/>
      <c r="J598">
        <f>IF(M598="","",IF(INDEX(Settings!$C$10:$C$18,M598)="","",INDEX(Settings!$C$10:$C$18,M598)))</f>
        <v/>
      </c>
      <c r="K598">
        <f>IF(M598="","",IF(INDEX(Settings!$D$10:$D$18,M598)="","",INDEX(Settings!$D$10:$D$18,M598)))</f>
        <v/>
      </c>
      <c r="L598">
        <f>IF(OR(B598="",E598=""),"",B598+MOD(N(C598),1)+ROW()/10000000)</f>
        <v/>
      </c>
      <c r="M598">
        <f>IF(D598="","",IFERROR(MATCH(D598,Settings!$B$10:$B$18,0),""))</f>
        <v/>
      </c>
      <c r="N598">
        <f>IF(OR(B598="",E598="",M598=""),"",IF(AND(B598&gt;=Settings!$C$6,B598&lt;=Settings!$C$7),M598*10000+E598,""))</f>
        <v/>
      </c>
      <c r="O598">
        <f>IF(OR(B598="",E598=""),"",B598*10000+E598)</f>
        <v/>
      </c>
      <c r="P598">
        <f>IF(N598="","",E598)</f>
        <v/>
      </c>
    </row>
    <row r="599">
      <c r="A599" s="1" t="n"/>
      <c r="B599" s="20" t="n"/>
      <c r="C599" s="21" t="n"/>
      <c r="D599" s="22" t="n"/>
      <c r="E599" s="23" t="n"/>
      <c r="F599" s="22" t="n"/>
      <c r="G599" s="14">
        <f>IF(OR(B599="",E599="",J599="",K599=""),"",IF(E599&lt;J599,"Below",IF(E599&gt;K599,"Above","In range")))</f>
        <v/>
      </c>
      <c r="H599" s="1" t="n"/>
      <c r="J599">
        <f>IF(M599="","",IF(INDEX(Settings!$C$10:$C$18,M599)="","",INDEX(Settings!$C$10:$C$18,M599)))</f>
        <v/>
      </c>
      <c r="K599">
        <f>IF(M599="","",IF(INDEX(Settings!$D$10:$D$18,M599)="","",INDEX(Settings!$D$10:$D$18,M599)))</f>
        <v/>
      </c>
      <c r="L599">
        <f>IF(OR(B599="",E599=""),"",B599+MOD(N(C599),1)+ROW()/10000000)</f>
        <v/>
      </c>
      <c r="M599">
        <f>IF(D599="","",IFERROR(MATCH(D599,Settings!$B$10:$B$18,0),""))</f>
        <v/>
      </c>
      <c r="N599">
        <f>IF(OR(B599="",E599="",M599=""),"",IF(AND(B599&gt;=Settings!$C$6,B599&lt;=Settings!$C$7),M599*10000+E599,""))</f>
        <v/>
      </c>
      <c r="O599">
        <f>IF(OR(B599="",E599=""),"",B599*10000+E599)</f>
        <v/>
      </c>
      <c r="P599">
        <f>IF(N599="","",E599)</f>
        <v/>
      </c>
    </row>
    <row r="600">
      <c r="A600" s="1" t="n"/>
      <c r="B600" s="20" t="n"/>
      <c r="C600" s="21" t="n"/>
      <c r="D600" s="22" t="n"/>
      <c r="E600" s="23" t="n"/>
      <c r="F600" s="22" t="n"/>
      <c r="G600" s="14">
        <f>IF(OR(B600="",E600="",J600="",K600=""),"",IF(E600&lt;J600,"Below",IF(E600&gt;K600,"Above","In range")))</f>
        <v/>
      </c>
      <c r="H600" s="1" t="n"/>
      <c r="J600">
        <f>IF(M600="","",IF(INDEX(Settings!$C$10:$C$18,M600)="","",INDEX(Settings!$C$10:$C$18,M600)))</f>
        <v/>
      </c>
      <c r="K600">
        <f>IF(M600="","",IF(INDEX(Settings!$D$10:$D$18,M600)="","",INDEX(Settings!$D$10:$D$18,M600)))</f>
        <v/>
      </c>
      <c r="L600">
        <f>IF(OR(B600="",E600=""),"",B600+MOD(N(C600),1)+ROW()/10000000)</f>
        <v/>
      </c>
      <c r="M600">
        <f>IF(D600="","",IFERROR(MATCH(D600,Settings!$B$10:$B$18,0),""))</f>
        <v/>
      </c>
      <c r="N600">
        <f>IF(OR(B600="",E600="",M600=""),"",IF(AND(B600&gt;=Settings!$C$6,B600&lt;=Settings!$C$7),M600*10000+E600,""))</f>
        <v/>
      </c>
      <c r="O600">
        <f>IF(OR(B600="",E600=""),"",B600*10000+E600)</f>
        <v/>
      </c>
      <c r="P600">
        <f>IF(N600="","",E600)</f>
        <v/>
      </c>
    </row>
    <row r="601">
      <c r="A601" s="1" t="n"/>
      <c r="B601" s="20" t="n"/>
      <c r="C601" s="21" t="n"/>
      <c r="D601" s="22" t="n"/>
      <c r="E601" s="23" t="n"/>
      <c r="F601" s="22" t="n"/>
      <c r="G601" s="14">
        <f>IF(OR(B601="",E601="",J601="",K601=""),"",IF(E601&lt;J601,"Below",IF(E601&gt;K601,"Above","In range")))</f>
        <v/>
      </c>
      <c r="H601" s="1" t="n"/>
      <c r="J601">
        <f>IF(M601="","",IF(INDEX(Settings!$C$10:$C$18,M601)="","",INDEX(Settings!$C$10:$C$18,M601)))</f>
        <v/>
      </c>
      <c r="K601">
        <f>IF(M601="","",IF(INDEX(Settings!$D$10:$D$18,M601)="","",INDEX(Settings!$D$10:$D$18,M601)))</f>
        <v/>
      </c>
      <c r="L601">
        <f>IF(OR(B601="",E601=""),"",B601+MOD(N(C601),1)+ROW()/10000000)</f>
        <v/>
      </c>
      <c r="M601">
        <f>IF(D601="","",IFERROR(MATCH(D601,Settings!$B$10:$B$18,0),""))</f>
        <v/>
      </c>
      <c r="N601">
        <f>IF(OR(B601="",E601="",M601=""),"",IF(AND(B601&gt;=Settings!$C$6,B601&lt;=Settings!$C$7),M601*10000+E601,""))</f>
        <v/>
      </c>
      <c r="O601">
        <f>IF(OR(B601="",E601=""),"",B601*10000+E601)</f>
        <v/>
      </c>
      <c r="P601">
        <f>IF(N601="","",E601)</f>
        <v/>
      </c>
    </row>
    <row r="602">
      <c r="A602" s="1" t="n"/>
      <c r="B602" s="20" t="n"/>
      <c r="C602" s="21" t="n"/>
      <c r="D602" s="22" t="n"/>
      <c r="E602" s="23" t="n"/>
      <c r="F602" s="22" t="n"/>
      <c r="G602" s="14">
        <f>IF(OR(B602="",E602="",J602="",K602=""),"",IF(E602&lt;J602,"Below",IF(E602&gt;K602,"Above","In range")))</f>
        <v/>
      </c>
      <c r="H602" s="1" t="n"/>
      <c r="J602">
        <f>IF(M602="","",IF(INDEX(Settings!$C$10:$C$18,M602)="","",INDEX(Settings!$C$10:$C$18,M602)))</f>
        <v/>
      </c>
      <c r="K602">
        <f>IF(M602="","",IF(INDEX(Settings!$D$10:$D$18,M602)="","",INDEX(Settings!$D$10:$D$18,M602)))</f>
        <v/>
      </c>
      <c r="L602">
        <f>IF(OR(B602="",E602=""),"",B602+MOD(N(C602),1)+ROW()/10000000)</f>
        <v/>
      </c>
      <c r="M602">
        <f>IF(D602="","",IFERROR(MATCH(D602,Settings!$B$10:$B$18,0),""))</f>
        <v/>
      </c>
      <c r="N602">
        <f>IF(OR(B602="",E602="",M602=""),"",IF(AND(B602&gt;=Settings!$C$6,B602&lt;=Settings!$C$7),M602*10000+E602,""))</f>
        <v/>
      </c>
      <c r="O602">
        <f>IF(OR(B602="",E602=""),"",B602*10000+E602)</f>
        <v/>
      </c>
      <c r="P602">
        <f>IF(N602="","",E602)</f>
        <v/>
      </c>
    </row>
    <row r="603">
      <c r="A603" s="1" t="n"/>
      <c r="B603" s="20" t="n"/>
      <c r="C603" s="21" t="n"/>
      <c r="D603" s="22" t="n"/>
      <c r="E603" s="23" t="n"/>
      <c r="F603" s="22" t="n"/>
      <c r="G603" s="14">
        <f>IF(OR(B603="",E603="",J603="",K603=""),"",IF(E603&lt;J603,"Below",IF(E603&gt;K603,"Above","In range")))</f>
        <v/>
      </c>
      <c r="H603" s="1" t="n"/>
      <c r="J603">
        <f>IF(M603="","",IF(INDEX(Settings!$C$10:$C$18,M603)="","",INDEX(Settings!$C$10:$C$18,M603)))</f>
        <v/>
      </c>
      <c r="K603">
        <f>IF(M603="","",IF(INDEX(Settings!$D$10:$D$18,M603)="","",INDEX(Settings!$D$10:$D$18,M603)))</f>
        <v/>
      </c>
      <c r="L603">
        <f>IF(OR(B603="",E603=""),"",B603+MOD(N(C603),1)+ROW()/10000000)</f>
        <v/>
      </c>
      <c r="M603">
        <f>IF(D603="","",IFERROR(MATCH(D603,Settings!$B$10:$B$18,0),""))</f>
        <v/>
      </c>
      <c r="N603">
        <f>IF(OR(B603="",E603="",M603=""),"",IF(AND(B603&gt;=Settings!$C$6,B603&lt;=Settings!$C$7),M603*10000+E603,""))</f>
        <v/>
      </c>
      <c r="O603">
        <f>IF(OR(B603="",E603=""),"",B603*10000+E603)</f>
        <v/>
      </c>
      <c r="P603">
        <f>IF(N603="","",E603)</f>
        <v/>
      </c>
    </row>
    <row r="604">
      <c r="A604" s="1" t="n"/>
      <c r="B604" s="20" t="n"/>
      <c r="C604" s="21" t="n"/>
      <c r="D604" s="22" t="n"/>
      <c r="E604" s="23" t="n"/>
      <c r="F604" s="22" t="n"/>
      <c r="G604" s="14">
        <f>IF(OR(B604="",E604="",J604="",K604=""),"",IF(E604&lt;J604,"Below",IF(E604&gt;K604,"Above","In range")))</f>
        <v/>
      </c>
      <c r="H604" s="1" t="n"/>
      <c r="J604">
        <f>IF(M604="","",IF(INDEX(Settings!$C$10:$C$18,M604)="","",INDEX(Settings!$C$10:$C$18,M604)))</f>
        <v/>
      </c>
      <c r="K604">
        <f>IF(M604="","",IF(INDEX(Settings!$D$10:$D$18,M604)="","",INDEX(Settings!$D$10:$D$18,M604)))</f>
        <v/>
      </c>
      <c r="L604">
        <f>IF(OR(B604="",E604=""),"",B604+MOD(N(C604),1)+ROW()/10000000)</f>
        <v/>
      </c>
      <c r="M604">
        <f>IF(D604="","",IFERROR(MATCH(D604,Settings!$B$10:$B$18,0),""))</f>
        <v/>
      </c>
      <c r="N604">
        <f>IF(OR(B604="",E604="",M604=""),"",IF(AND(B604&gt;=Settings!$C$6,B604&lt;=Settings!$C$7),M604*10000+E604,""))</f>
        <v/>
      </c>
      <c r="O604">
        <f>IF(OR(B604="",E604=""),"",B604*10000+E604)</f>
        <v/>
      </c>
      <c r="P604">
        <f>IF(N604="","",E604)</f>
        <v/>
      </c>
    </row>
    <row r="605">
      <c r="A605" s="1" t="n"/>
      <c r="B605" s="20" t="n"/>
      <c r="C605" s="21" t="n"/>
      <c r="D605" s="22" t="n"/>
      <c r="E605" s="23" t="n"/>
      <c r="F605" s="22" t="n"/>
      <c r="G605" s="14">
        <f>IF(OR(B605="",E605="",J605="",K605=""),"",IF(E605&lt;J605,"Below",IF(E605&gt;K605,"Above","In range")))</f>
        <v/>
      </c>
      <c r="H605" s="1" t="n"/>
      <c r="J605">
        <f>IF(M605="","",IF(INDEX(Settings!$C$10:$C$18,M605)="","",INDEX(Settings!$C$10:$C$18,M605)))</f>
        <v/>
      </c>
      <c r="K605">
        <f>IF(M605="","",IF(INDEX(Settings!$D$10:$D$18,M605)="","",INDEX(Settings!$D$10:$D$18,M605)))</f>
        <v/>
      </c>
      <c r="L605">
        <f>IF(OR(B605="",E605=""),"",B605+MOD(N(C605),1)+ROW()/10000000)</f>
        <v/>
      </c>
      <c r="M605">
        <f>IF(D605="","",IFERROR(MATCH(D605,Settings!$B$10:$B$18,0),""))</f>
        <v/>
      </c>
      <c r="N605">
        <f>IF(OR(B605="",E605="",M605=""),"",IF(AND(B605&gt;=Settings!$C$6,B605&lt;=Settings!$C$7),M605*10000+E605,""))</f>
        <v/>
      </c>
      <c r="O605">
        <f>IF(OR(B605="",E605=""),"",B605*10000+E605)</f>
        <v/>
      </c>
      <c r="P605">
        <f>IF(N605="","",E605)</f>
        <v/>
      </c>
    </row>
    <row r="606">
      <c r="A606" s="1" t="n"/>
      <c r="B606" s="20" t="n"/>
      <c r="C606" s="21" t="n"/>
      <c r="D606" s="22" t="n"/>
      <c r="E606" s="23" t="n"/>
      <c r="F606" s="22" t="n"/>
      <c r="G606" s="14">
        <f>IF(OR(B606="",E606="",J606="",K606=""),"",IF(E606&lt;J606,"Below",IF(E606&gt;K606,"Above","In range")))</f>
        <v/>
      </c>
      <c r="H606" s="1" t="n"/>
      <c r="J606">
        <f>IF(M606="","",IF(INDEX(Settings!$C$10:$C$18,M606)="","",INDEX(Settings!$C$10:$C$18,M606)))</f>
        <v/>
      </c>
      <c r="K606">
        <f>IF(M606="","",IF(INDEX(Settings!$D$10:$D$18,M606)="","",INDEX(Settings!$D$10:$D$18,M606)))</f>
        <v/>
      </c>
      <c r="L606">
        <f>IF(OR(B606="",E606=""),"",B606+MOD(N(C606),1)+ROW()/10000000)</f>
        <v/>
      </c>
      <c r="M606">
        <f>IF(D606="","",IFERROR(MATCH(D606,Settings!$B$10:$B$18,0),""))</f>
        <v/>
      </c>
      <c r="N606">
        <f>IF(OR(B606="",E606="",M606=""),"",IF(AND(B606&gt;=Settings!$C$6,B606&lt;=Settings!$C$7),M606*10000+E606,""))</f>
        <v/>
      </c>
      <c r="O606">
        <f>IF(OR(B606="",E606=""),"",B606*10000+E606)</f>
        <v/>
      </c>
      <c r="P606">
        <f>IF(N606="","",E606)</f>
        <v/>
      </c>
    </row>
    <row r="607">
      <c r="A607" s="1" t="n"/>
      <c r="B607" s="20" t="n"/>
      <c r="C607" s="21" t="n"/>
      <c r="D607" s="22" t="n"/>
      <c r="E607" s="23" t="n"/>
      <c r="F607" s="22" t="n"/>
      <c r="G607" s="14">
        <f>IF(OR(B607="",E607="",J607="",K607=""),"",IF(E607&lt;J607,"Below",IF(E607&gt;K607,"Above","In range")))</f>
        <v/>
      </c>
      <c r="H607" s="1" t="n"/>
      <c r="J607">
        <f>IF(M607="","",IF(INDEX(Settings!$C$10:$C$18,M607)="","",INDEX(Settings!$C$10:$C$18,M607)))</f>
        <v/>
      </c>
      <c r="K607">
        <f>IF(M607="","",IF(INDEX(Settings!$D$10:$D$18,M607)="","",INDEX(Settings!$D$10:$D$18,M607)))</f>
        <v/>
      </c>
      <c r="L607">
        <f>IF(OR(B607="",E607=""),"",B607+MOD(N(C607),1)+ROW()/10000000)</f>
        <v/>
      </c>
      <c r="M607">
        <f>IF(D607="","",IFERROR(MATCH(D607,Settings!$B$10:$B$18,0),""))</f>
        <v/>
      </c>
      <c r="N607">
        <f>IF(OR(B607="",E607="",M607=""),"",IF(AND(B607&gt;=Settings!$C$6,B607&lt;=Settings!$C$7),M607*10000+E607,""))</f>
        <v/>
      </c>
      <c r="O607">
        <f>IF(OR(B607="",E607=""),"",B607*10000+E607)</f>
        <v/>
      </c>
      <c r="P607">
        <f>IF(N607="","",E607)</f>
        <v/>
      </c>
    </row>
    <row r="608">
      <c r="A608" s="1" t="n"/>
      <c r="B608" s="20" t="n"/>
      <c r="C608" s="21" t="n"/>
      <c r="D608" s="22" t="n"/>
      <c r="E608" s="23" t="n"/>
      <c r="F608" s="22" t="n"/>
      <c r="G608" s="14">
        <f>IF(OR(B608="",E608="",J608="",K608=""),"",IF(E608&lt;J608,"Below",IF(E608&gt;K608,"Above","In range")))</f>
        <v/>
      </c>
      <c r="H608" s="1" t="n"/>
      <c r="J608">
        <f>IF(M608="","",IF(INDEX(Settings!$C$10:$C$18,M608)="","",INDEX(Settings!$C$10:$C$18,M608)))</f>
        <v/>
      </c>
      <c r="K608">
        <f>IF(M608="","",IF(INDEX(Settings!$D$10:$D$18,M608)="","",INDEX(Settings!$D$10:$D$18,M608)))</f>
        <v/>
      </c>
      <c r="L608">
        <f>IF(OR(B608="",E608=""),"",B608+MOD(N(C608),1)+ROW()/10000000)</f>
        <v/>
      </c>
      <c r="M608">
        <f>IF(D608="","",IFERROR(MATCH(D608,Settings!$B$10:$B$18,0),""))</f>
        <v/>
      </c>
      <c r="N608">
        <f>IF(OR(B608="",E608="",M608=""),"",IF(AND(B608&gt;=Settings!$C$6,B608&lt;=Settings!$C$7),M608*10000+E608,""))</f>
        <v/>
      </c>
      <c r="O608">
        <f>IF(OR(B608="",E608=""),"",B608*10000+E608)</f>
        <v/>
      </c>
      <c r="P608">
        <f>IF(N608="","",E608)</f>
        <v/>
      </c>
    </row>
    <row r="609">
      <c r="A609" s="1" t="n"/>
      <c r="B609" s="20" t="n"/>
      <c r="C609" s="21" t="n"/>
      <c r="D609" s="22" t="n"/>
      <c r="E609" s="23" t="n"/>
      <c r="F609" s="22" t="n"/>
      <c r="G609" s="14">
        <f>IF(OR(B609="",E609="",J609="",K609=""),"",IF(E609&lt;J609,"Below",IF(E609&gt;K609,"Above","In range")))</f>
        <v/>
      </c>
      <c r="H609" s="1" t="n"/>
      <c r="J609">
        <f>IF(M609="","",IF(INDEX(Settings!$C$10:$C$18,M609)="","",INDEX(Settings!$C$10:$C$18,M609)))</f>
        <v/>
      </c>
      <c r="K609">
        <f>IF(M609="","",IF(INDEX(Settings!$D$10:$D$18,M609)="","",INDEX(Settings!$D$10:$D$18,M609)))</f>
        <v/>
      </c>
      <c r="L609">
        <f>IF(OR(B609="",E609=""),"",B609+MOD(N(C609),1)+ROW()/10000000)</f>
        <v/>
      </c>
      <c r="M609">
        <f>IF(D609="","",IFERROR(MATCH(D609,Settings!$B$10:$B$18,0),""))</f>
        <v/>
      </c>
      <c r="N609">
        <f>IF(OR(B609="",E609="",M609=""),"",IF(AND(B609&gt;=Settings!$C$6,B609&lt;=Settings!$C$7),M609*10000+E609,""))</f>
        <v/>
      </c>
      <c r="O609">
        <f>IF(OR(B609="",E609=""),"",B609*10000+E609)</f>
        <v/>
      </c>
      <c r="P609">
        <f>IF(N609="","",E609)</f>
        <v/>
      </c>
    </row>
    <row r="610">
      <c r="A610" s="1" t="n"/>
      <c r="B610" s="20" t="n"/>
      <c r="C610" s="21" t="n"/>
      <c r="D610" s="22" t="n"/>
      <c r="E610" s="23" t="n"/>
      <c r="F610" s="22" t="n"/>
      <c r="G610" s="14">
        <f>IF(OR(B610="",E610="",J610="",K610=""),"",IF(E610&lt;J610,"Below",IF(E610&gt;K610,"Above","In range")))</f>
        <v/>
      </c>
      <c r="H610" s="1" t="n"/>
      <c r="J610">
        <f>IF(M610="","",IF(INDEX(Settings!$C$10:$C$18,M610)="","",INDEX(Settings!$C$10:$C$18,M610)))</f>
        <v/>
      </c>
      <c r="K610">
        <f>IF(M610="","",IF(INDEX(Settings!$D$10:$D$18,M610)="","",INDEX(Settings!$D$10:$D$18,M610)))</f>
        <v/>
      </c>
      <c r="L610">
        <f>IF(OR(B610="",E610=""),"",B610+MOD(N(C610),1)+ROW()/10000000)</f>
        <v/>
      </c>
      <c r="M610">
        <f>IF(D610="","",IFERROR(MATCH(D610,Settings!$B$10:$B$18,0),""))</f>
        <v/>
      </c>
      <c r="N610">
        <f>IF(OR(B610="",E610="",M610=""),"",IF(AND(B610&gt;=Settings!$C$6,B610&lt;=Settings!$C$7),M610*10000+E610,""))</f>
        <v/>
      </c>
      <c r="O610">
        <f>IF(OR(B610="",E610=""),"",B610*10000+E610)</f>
        <v/>
      </c>
      <c r="P610">
        <f>IF(N610="","",E610)</f>
        <v/>
      </c>
    </row>
    <row r="611">
      <c r="A611" s="1" t="n"/>
      <c r="B611" s="20" t="n"/>
      <c r="C611" s="21" t="n"/>
      <c r="D611" s="22" t="n"/>
      <c r="E611" s="23" t="n"/>
      <c r="F611" s="22" t="n"/>
      <c r="G611" s="14">
        <f>IF(OR(B611="",E611="",J611="",K611=""),"",IF(E611&lt;J611,"Below",IF(E611&gt;K611,"Above","In range")))</f>
        <v/>
      </c>
      <c r="H611" s="1" t="n"/>
      <c r="J611">
        <f>IF(M611="","",IF(INDEX(Settings!$C$10:$C$18,M611)="","",INDEX(Settings!$C$10:$C$18,M611)))</f>
        <v/>
      </c>
      <c r="K611">
        <f>IF(M611="","",IF(INDEX(Settings!$D$10:$D$18,M611)="","",INDEX(Settings!$D$10:$D$18,M611)))</f>
        <v/>
      </c>
      <c r="L611">
        <f>IF(OR(B611="",E611=""),"",B611+MOD(N(C611),1)+ROW()/10000000)</f>
        <v/>
      </c>
      <c r="M611">
        <f>IF(D611="","",IFERROR(MATCH(D611,Settings!$B$10:$B$18,0),""))</f>
        <v/>
      </c>
      <c r="N611">
        <f>IF(OR(B611="",E611="",M611=""),"",IF(AND(B611&gt;=Settings!$C$6,B611&lt;=Settings!$C$7),M611*10000+E611,""))</f>
        <v/>
      </c>
      <c r="O611">
        <f>IF(OR(B611="",E611=""),"",B611*10000+E611)</f>
        <v/>
      </c>
      <c r="P611">
        <f>IF(N611="","",E611)</f>
        <v/>
      </c>
    </row>
    <row r="612">
      <c r="A612" s="1" t="n"/>
      <c r="B612" s="20" t="n"/>
      <c r="C612" s="21" t="n"/>
      <c r="D612" s="22" t="n"/>
      <c r="E612" s="23" t="n"/>
      <c r="F612" s="22" t="n"/>
      <c r="G612" s="14">
        <f>IF(OR(B612="",E612="",J612="",K612=""),"",IF(E612&lt;J612,"Below",IF(E612&gt;K612,"Above","In range")))</f>
        <v/>
      </c>
      <c r="H612" s="1" t="n"/>
      <c r="J612">
        <f>IF(M612="","",IF(INDEX(Settings!$C$10:$C$18,M612)="","",INDEX(Settings!$C$10:$C$18,M612)))</f>
        <v/>
      </c>
      <c r="K612">
        <f>IF(M612="","",IF(INDEX(Settings!$D$10:$D$18,M612)="","",INDEX(Settings!$D$10:$D$18,M612)))</f>
        <v/>
      </c>
      <c r="L612">
        <f>IF(OR(B612="",E612=""),"",B612+MOD(N(C612),1)+ROW()/10000000)</f>
        <v/>
      </c>
      <c r="M612">
        <f>IF(D612="","",IFERROR(MATCH(D612,Settings!$B$10:$B$18,0),""))</f>
        <v/>
      </c>
      <c r="N612">
        <f>IF(OR(B612="",E612="",M612=""),"",IF(AND(B612&gt;=Settings!$C$6,B612&lt;=Settings!$C$7),M612*10000+E612,""))</f>
        <v/>
      </c>
      <c r="O612">
        <f>IF(OR(B612="",E612=""),"",B612*10000+E612)</f>
        <v/>
      </c>
      <c r="P612">
        <f>IF(N612="","",E612)</f>
        <v/>
      </c>
    </row>
    <row r="613">
      <c r="A613" s="1" t="n"/>
      <c r="B613" s="20" t="n"/>
      <c r="C613" s="21" t="n"/>
      <c r="D613" s="22" t="n"/>
      <c r="E613" s="23" t="n"/>
      <c r="F613" s="22" t="n"/>
      <c r="G613" s="14">
        <f>IF(OR(B613="",E613="",J613="",K613=""),"",IF(E613&lt;J613,"Below",IF(E613&gt;K613,"Above","In range")))</f>
        <v/>
      </c>
      <c r="H613" s="1" t="n"/>
      <c r="J613">
        <f>IF(M613="","",IF(INDEX(Settings!$C$10:$C$18,M613)="","",INDEX(Settings!$C$10:$C$18,M613)))</f>
        <v/>
      </c>
      <c r="K613">
        <f>IF(M613="","",IF(INDEX(Settings!$D$10:$D$18,M613)="","",INDEX(Settings!$D$10:$D$18,M613)))</f>
        <v/>
      </c>
      <c r="L613">
        <f>IF(OR(B613="",E613=""),"",B613+MOD(N(C613),1)+ROW()/10000000)</f>
        <v/>
      </c>
      <c r="M613">
        <f>IF(D613="","",IFERROR(MATCH(D613,Settings!$B$10:$B$18,0),""))</f>
        <v/>
      </c>
      <c r="N613">
        <f>IF(OR(B613="",E613="",M613=""),"",IF(AND(B613&gt;=Settings!$C$6,B613&lt;=Settings!$C$7),M613*10000+E613,""))</f>
        <v/>
      </c>
      <c r="O613">
        <f>IF(OR(B613="",E613=""),"",B613*10000+E613)</f>
        <v/>
      </c>
      <c r="P613">
        <f>IF(N613="","",E613)</f>
        <v/>
      </c>
    </row>
    <row r="614">
      <c r="A614" s="1" t="n"/>
      <c r="B614" s="20" t="n"/>
      <c r="C614" s="21" t="n"/>
      <c r="D614" s="22" t="n"/>
      <c r="E614" s="23" t="n"/>
      <c r="F614" s="22" t="n"/>
      <c r="G614" s="14">
        <f>IF(OR(B614="",E614="",J614="",K614=""),"",IF(E614&lt;J614,"Below",IF(E614&gt;K614,"Above","In range")))</f>
        <v/>
      </c>
      <c r="H614" s="1" t="n"/>
      <c r="J614">
        <f>IF(M614="","",IF(INDEX(Settings!$C$10:$C$18,M614)="","",INDEX(Settings!$C$10:$C$18,M614)))</f>
        <v/>
      </c>
      <c r="K614">
        <f>IF(M614="","",IF(INDEX(Settings!$D$10:$D$18,M614)="","",INDEX(Settings!$D$10:$D$18,M614)))</f>
        <v/>
      </c>
      <c r="L614">
        <f>IF(OR(B614="",E614=""),"",B614+MOD(N(C614),1)+ROW()/10000000)</f>
        <v/>
      </c>
      <c r="M614">
        <f>IF(D614="","",IFERROR(MATCH(D614,Settings!$B$10:$B$18,0),""))</f>
        <v/>
      </c>
      <c r="N614">
        <f>IF(OR(B614="",E614="",M614=""),"",IF(AND(B614&gt;=Settings!$C$6,B614&lt;=Settings!$C$7),M614*10000+E614,""))</f>
        <v/>
      </c>
      <c r="O614">
        <f>IF(OR(B614="",E614=""),"",B614*10000+E614)</f>
        <v/>
      </c>
      <c r="P614">
        <f>IF(N614="","",E614)</f>
        <v/>
      </c>
    </row>
    <row r="615">
      <c r="A615" s="1" t="n"/>
      <c r="B615" s="20" t="n"/>
      <c r="C615" s="21" t="n"/>
      <c r="D615" s="22" t="n"/>
      <c r="E615" s="23" t="n"/>
      <c r="F615" s="22" t="n"/>
      <c r="G615" s="14">
        <f>IF(OR(B615="",E615="",J615="",K615=""),"",IF(E615&lt;J615,"Below",IF(E615&gt;K615,"Above","In range")))</f>
        <v/>
      </c>
      <c r="H615" s="1" t="n"/>
      <c r="J615">
        <f>IF(M615="","",IF(INDEX(Settings!$C$10:$C$18,M615)="","",INDEX(Settings!$C$10:$C$18,M615)))</f>
        <v/>
      </c>
      <c r="K615">
        <f>IF(M615="","",IF(INDEX(Settings!$D$10:$D$18,M615)="","",INDEX(Settings!$D$10:$D$18,M615)))</f>
        <v/>
      </c>
      <c r="L615">
        <f>IF(OR(B615="",E615=""),"",B615+MOD(N(C615),1)+ROW()/10000000)</f>
        <v/>
      </c>
      <c r="M615">
        <f>IF(D615="","",IFERROR(MATCH(D615,Settings!$B$10:$B$18,0),""))</f>
        <v/>
      </c>
      <c r="N615">
        <f>IF(OR(B615="",E615="",M615=""),"",IF(AND(B615&gt;=Settings!$C$6,B615&lt;=Settings!$C$7),M615*10000+E615,""))</f>
        <v/>
      </c>
      <c r="O615">
        <f>IF(OR(B615="",E615=""),"",B615*10000+E615)</f>
        <v/>
      </c>
      <c r="P615">
        <f>IF(N615="","",E615)</f>
        <v/>
      </c>
    </row>
    <row r="616">
      <c r="A616" s="1" t="n"/>
      <c r="B616" s="20" t="n"/>
      <c r="C616" s="21" t="n"/>
      <c r="D616" s="22" t="n"/>
      <c r="E616" s="23" t="n"/>
      <c r="F616" s="22" t="n"/>
      <c r="G616" s="14">
        <f>IF(OR(B616="",E616="",J616="",K616=""),"",IF(E616&lt;J616,"Below",IF(E616&gt;K616,"Above","In range")))</f>
        <v/>
      </c>
      <c r="H616" s="1" t="n"/>
      <c r="J616">
        <f>IF(M616="","",IF(INDEX(Settings!$C$10:$C$18,M616)="","",INDEX(Settings!$C$10:$C$18,M616)))</f>
        <v/>
      </c>
      <c r="K616">
        <f>IF(M616="","",IF(INDEX(Settings!$D$10:$D$18,M616)="","",INDEX(Settings!$D$10:$D$18,M616)))</f>
        <v/>
      </c>
      <c r="L616">
        <f>IF(OR(B616="",E616=""),"",B616+MOD(N(C616),1)+ROW()/10000000)</f>
        <v/>
      </c>
      <c r="M616">
        <f>IF(D616="","",IFERROR(MATCH(D616,Settings!$B$10:$B$18,0),""))</f>
        <v/>
      </c>
      <c r="N616">
        <f>IF(OR(B616="",E616="",M616=""),"",IF(AND(B616&gt;=Settings!$C$6,B616&lt;=Settings!$C$7),M616*10000+E616,""))</f>
        <v/>
      </c>
      <c r="O616">
        <f>IF(OR(B616="",E616=""),"",B616*10000+E616)</f>
        <v/>
      </c>
      <c r="P616">
        <f>IF(N616="","",E616)</f>
        <v/>
      </c>
    </row>
    <row r="617">
      <c r="A617" s="1" t="n"/>
      <c r="B617" s="20" t="n"/>
      <c r="C617" s="21" t="n"/>
      <c r="D617" s="22" t="n"/>
      <c r="E617" s="23" t="n"/>
      <c r="F617" s="22" t="n"/>
      <c r="G617" s="14">
        <f>IF(OR(B617="",E617="",J617="",K617=""),"",IF(E617&lt;J617,"Below",IF(E617&gt;K617,"Above","In range")))</f>
        <v/>
      </c>
      <c r="H617" s="1" t="n"/>
      <c r="J617">
        <f>IF(M617="","",IF(INDEX(Settings!$C$10:$C$18,M617)="","",INDEX(Settings!$C$10:$C$18,M617)))</f>
        <v/>
      </c>
      <c r="K617">
        <f>IF(M617="","",IF(INDEX(Settings!$D$10:$D$18,M617)="","",INDEX(Settings!$D$10:$D$18,M617)))</f>
        <v/>
      </c>
      <c r="L617">
        <f>IF(OR(B617="",E617=""),"",B617+MOD(N(C617),1)+ROW()/10000000)</f>
        <v/>
      </c>
      <c r="M617">
        <f>IF(D617="","",IFERROR(MATCH(D617,Settings!$B$10:$B$18,0),""))</f>
        <v/>
      </c>
      <c r="N617">
        <f>IF(OR(B617="",E617="",M617=""),"",IF(AND(B617&gt;=Settings!$C$6,B617&lt;=Settings!$C$7),M617*10000+E617,""))</f>
        <v/>
      </c>
      <c r="O617">
        <f>IF(OR(B617="",E617=""),"",B617*10000+E617)</f>
        <v/>
      </c>
      <c r="P617">
        <f>IF(N617="","",E617)</f>
        <v/>
      </c>
    </row>
    <row r="618">
      <c r="A618" s="1" t="n"/>
      <c r="B618" s="20" t="n"/>
      <c r="C618" s="21" t="n"/>
      <c r="D618" s="22" t="n"/>
      <c r="E618" s="23" t="n"/>
      <c r="F618" s="22" t="n"/>
      <c r="G618" s="14">
        <f>IF(OR(B618="",E618="",J618="",K618=""),"",IF(E618&lt;J618,"Below",IF(E618&gt;K618,"Above","In range")))</f>
        <v/>
      </c>
      <c r="H618" s="1" t="n"/>
      <c r="J618">
        <f>IF(M618="","",IF(INDEX(Settings!$C$10:$C$18,M618)="","",INDEX(Settings!$C$10:$C$18,M618)))</f>
        <v/>
      </c>
      <c r="K618">
        <f>IF(M618="","",IF(INDEX(Settings!$D$10:$D$18,M618)="","",INDEX(Settings!$D$10:$D$18,M618)))</f>
        <v/>
      </c>
      <c r="L618">
        <f>IF(OR(B618="",E618=""),"",B618+MOD(N(C618),1)+ROW()/10000000)</f>
        <v/>
      </c>
      <c r="M618">
        <f>IF(D618="","",IFERROR(MATCH(D618,Settings!$B$10:$B$18,0),""))</f>
        <v/>
      </c>
      <c r="N618">
        <f>IF(OR(B618="",E618="",M618=""),"",IF(AND(B618&gt;=Settings!$C$6,B618&lt;=Settings!$C$7),M618*10000+E618,""))</f>
        <v/>
      </c>
      <c r="O618">
        <f>IF(OR(B618="",E618=""),"",B618*10000+E618)</f>
        <v/>
      </c>
      <c r="P618">
        <f>IF(N618="","",E618)</f>
        <v/>
      </c>
    </row>
    <row r="619">
      <c r="A619" s="1" t="n"/>
      <c r="B619" s="20" t="n"/>
      <c r="C619" s="21" t="n"/>
      <c r="D619" s="22" t="n"/>
      <c r="E619" s="23" t="n"/>
      <c r="F619" s="22" t="n"/>
      <c r="G619" s="14">
        <f>IF(OR(B619="",E619="",J619="",K619=""),"",IF(E619&lt;J619,"Below",IF(E619&gt;K619,"Above","In range")))</f>
        <v/>
      </c>
      <c r="H619" s="1" t="n"/>
      <c r="J619">
        <f>IF(M619="","",IF(INDEX(Settings!$C$10:$C$18,M619)="","",INDEX(Settings!$C$10:$C$18,M619)))</f>
        <v/>
      </c>
      <c r="K619">
        <f>IF(M619="","",IF(INDEX(Settings!$D$10:$D$18,M619)="","",INDEX(Settings!$D$10:$D$18,M619)))</f>
        <v/>
      </c>
      <c r="L619">
        <f>IF(OR(B619="",E619=""),"",B619+MOD(N(C619),1)+ROW()/10000000)</f>
        <v/>
      </c>
      <c r="M619">
        <f>IF(D619="","",IFERROR(MATCH(D619,Settings!$B$10:$B$18,0),""))</f>
        <v/>
      </c>
      <c r="N619">
        <f>IF(OR(B619="",E619="",M619=""),"",IF(AND(B619&gt;=Settings!$C$6,B619&lt;=Settings!$C$7),M619*10000+E619,""))</f>
        <v/>
      </c>
      <c r="O619">
        <f>IF(OR(B619="",E619=""),"",B619*10000+E619)</f>
        <v/>
      </c>
      <c r="P619">
        <f>IF(N619="","",E619)</f>
        <v/>
      </c>
    </row>
    <row r="620">
      <c r="A620" s="1" t="n"/>
      <c r="B620" s="20" t="n"/>
      <c r="C620" s="21" t="n"/>
      <c r="D620" s="22" t="n"/>
      <c r="E620" s="23" t="n"/>
      <c r="F620" s="22" t="n"/>
      <c r="G620" s="14">
        <f>IF(OR(B620="",E620="",J620="",K620=""),"",IF(E620&lt;J620,"Below",IF(E620&gt;K620,"Above","In range")))</f>
        <v/>
      </c>
      <c r="H620" s="1" t="n"/>
      <c r="J620">
        <f>IF(M620="","",IF(INDEX(Settings!$C$10:$C$18,M620)="","",INDEX(Settings!$C$10:$C$18,M620)))</f>
        <v/>
      </c>
      <c r="K620">
        <f>IF(M620="","",IF(INDEX(Settings!$D$10:$D$18,M620)="","",INDEX(Settings!$D$10:$D$18,M620)))</f>
        <v/>
      </c>
      <c r="L620">
        <f>IF(OR(B620="",E620=""),"",B620+MOD(N(C620),1)+ROW()/10000000)</f>
        <v/>
      </c>
      <c r="M620">
        <f>IF(D620="","",IFERROR(MATCH(D620,Settings!$B$10:$B$18,0),""))</f>
        <v/>
      </c>
      <c r="N620">
        <f>IF(OR(B620="",E620="",M620=""),"",IF(AND(B620&gt;=Settings!$C$6,B620&lt;=Settings!$C$7),M620*10000+E620,""))</f>
        <v/>
      </c>
      <c r="O620">
        <f>IF(OR(B620="",E620=""),"",B620*10000+E620)</f>
        <v/>
      </c>
      <c r="P620">
        <f>IF(N620="","",E620)</f>
        <v/>
      </c>
    </row>
    <row r="621">
      <c r="A621" s="1" t="n"/>
      <c r="B621" s="20" t="n"/>
      <c r="C621" s="21" t="n"/>
      <c r="D621" s="22" t="n"/>
      <c r="E621" s="23" t="n"/>
      <c r="F621" s="22" t="n"/>
      <c r="G621" s="14">
        <f>IF(OR(B621="",E621="",J621="",K621=""),"",IF(E621&lt;J621,"Below",IF(E621&gt;K621,"Above","In range")))</f>
        <v/>
      </c>
      <c r="H621" s="1" t="n"/>
      <c r="J621">
        <f>IF(M621="","",IF(INDEX(Settings!$C$10:$C$18,M621)="","",INDEX(Settings!$C$10:$C$18,M621)))</f>
        <v/>
      </c>
      <c r="K621">
        <f>IF(M621="","",IF(INDEX(Settings!$D$10:$D$18,M621)="","",INDEX(Settings!$D$10:$D$18,M621)))</f>
        <v/>
      </c>
      <c r="L621">
        <f>IF(OR(B621="",E621=""),"",B621+MOD(N(C621),1)+ROW()/10000000)</f>
        <v/>
      </c>
      <c r="M621">
        <f>IF(D621="","",IFERROR(MATCH(D621,Settings!$B$10:$B$18,0),""))</f>
        <v/>
      </c>
      <c r="N621">
        <f>IF(OR(B621="",E621="",M621=""),"",IF(AND(B621&gt;=Settings!$C$6,B621&lt;=Settings!$C$7),M621*10000+E621,""))</f>
        <v/>
      </c>
      <c r="O621">
        <f>IF(OR(B621="",E621=""),"",B621*10000+E621)</f>
        <v/>
      </c>
      <c r="P621">
        <f>IF(N621="","",E621)</f>
        <v/>
      </c>
    </row>
    <row r="622">
      <c r="A622" s="1" t="n"/>
      <c r="B622" s="20" t="n"/>
      <c r="C622" s="21" t="n"/>
      <c r="D622" s="22" t="n"/>
      <c r="E622" s="23" t="n"/>
      <c r="F622" s="22" t="n"/>
      <c r="G622" s="14">
        <f>IF(OR(B622="",E622="",J622="",K622=""),"",IF(E622&lt;J622,"Below",IF(E622&gt;K622,"Above","In range")))</f>
        <v/>
      </c>
      <c r="H622" s="1" t="n"/>
      <c r="J622">
        <f>IF(M622="","",IF(INDEX(Settings!$C$10:$C$18,M622)="","",INDEX(Settings!$C$10:$C$18,M622)))</f>
        <v/>
      </c>
      <c r="K622">
        <f>IF(M622="","",IF(INDEX(Settings!$D$10:$D$18,M622)="","",INDEX(Settings!$D$10:$D$18,M622)))</f>
        <v/>
      </c>
      <c r="L622">
        <f>IF(OR(B622="",E622=""),"",B622+MOD(N(C622),1)+ROW()/10000000)</f>
        <v/>
      </c>
      <c r="M622">
        <f>IF(D622="","",IFERROR(MATCH(D622,Settings!$B$10:$B$18,0),""))</f>
        <v/>
      </c>
      <c r="N622">
        <f>IF(OR(B622="",E622="",M622=""),"",IF(AND(B622&gt;=Settings!$C$6,B622&lt;=Settings!$C$7),M622*10000+E622,""))</f>
        <v/>
      </c>
      <c r="O622">
        <f>IF(OR(B622="",E622=""),"",B622*10000+E622)</f>
        <v/>
      </c>
      <c r="P622">
        <f>IF(N622="","",E622)</f>
        <v/>
      </c>
    </row>
    <row r="623">
      <c r="A623" s="1" t="n"/>
      <c r="B623" s="20" t="n"/>
      <c r="C623" s="21" t="n"/>
      <c r="D623" s="22" t="n"/>
      <c r="E623" s="23" t="n"/>
      <c r="F623" s="22" t="n"/>
      <c r="G623" s="14">
        <f>IF(OR(B623="",E623="",J623="",K623=""),"",IF(E623&lt;J623,"Below",IF(E623&gt;K623,"Above","In range")))</f>
        <v/>
      </c>
      <c r="H623" s="1" t="n"/>
      <c r="J623">
        <f>IF(M623="","",IF(INDEX(Settings!$C$10:$C$18,M623)="","",INDEX(Settings!$C$10:$C$18,M623)))</f>
        <v/>
      </c>
      <c r="K623">
        <f>IF(M623="","",IF(INDEX(Settings!$D$10:$D$18,M623)="","",INDEX(Settings!$D$10:$D$18,M623)))</f>
        <v/>
      </c>
      <c r="L623">
        <f>IF(OR(B623="",E623=""),"",B623+MOD(N(C623),1)+ROW()/10000000)</f>
        <v/>
      </c>
      <c r="M623">
        <f>IF(D623="","",IFERROR(MATCH(D623,Settings!$B$10:$B$18,0),""))</f>
        <v/>
      </c>
      <c r="N623">
        <f>IF(OR(B623="",E623="",M623=""),"",IF(AND(B623&gt;=Settings!$C$6,B623&lt;=Settings!$C$7),M623*10000+E623,""))</f>
        <v/>
      </c>
      <c r="O623">
        <f>IF(OR(B623="",E623=""),"",B623*10000+E623)</f>
        <v/>
      </c>
      <c r="P623">
        <f>IF(N623="","",E623)</f>
        <v/>
      </c>
    </row>
    <row r="624">
      <c r="A624" s="1" t="n"/>
      <c r="B624" s="20" t="n"/>
      <c r="C624" s="21" t="n"/>
      <c r="D624" s="22" t="n"/>
      <c r="E624" s="23" t="n"/>
      <c r="F624" s="22" t="n"/>
      <c r="G624" s="14">
        <f>IF(OR(B624="",E624="",J624="",K624=""),"",IF(E624&lt;J624,"Below",IF(E624&gt;K624,"Above","In range")))</f>
        <v/>
      </c>
      <c r="H624" s="1" t="n"/>
      <c r="J624">
        <f>IF(M624="","",IF(INDEX(Settings!$C$10:$C$18,M624)="","",INDEX(Settings!$C$10:$C$18,M624)))</f>
        <v/>
      </c>
      <c r="K624">
        <f>IF(M624="","",IF(INDEX(Settings!$D$10:$D$18,M624)="","",INDEX(Settings!$D$10:$D$18,M624)))</f>
        <v/>
      </c>
      <c r="L624">
        <f>IF(OR(B624="",E624=""),"",B624+MOD(N(C624),1)+ROW()/10000000)</f>
        <v/>
      </c>
      <c r="M624">
        <f>IF(D624="","",IFERROR(MATCH(D624,Settings!$B$10:$B$18,0),""))</f>
        <v/>
      </c>
      <c r="N624">
        <f>IF(OR(B624="",E624="",M624=""),"",IF(AND(B624&gt;=Settings!$C$6,B624&lt;=Settings!$C$7),M624*10000+E624,""))</f>
        <v/>
      </c>
      <c r="O624">
        <f>IF(OR(B624="",E624=""),"",B624*10000+E624)</f>
        <v/>
      </c>
      <c r="P624">
        <f>IF(N624="","",E624)</f>
        <v/>
      </c>
    </row>
    <row r="625">
      <c r="A625" s="1" t="n"/>
      <c r="B625" s="20" t="n"/>
      <c r="C625" s="21" t="n"/>
      <c r="D625" s="22" t="n"/>
      <c r="E625" s="23" t="n"/>
      <c r="F625" s="22" t="n"/>
      <c r="G625" s="14">
        <f>IF(OR(B625="",E625="",J625="",K625=""),"",IF(E625&lt;J625,"Below",IF(E625&gt;K625,"Above","In range")))</f>
        <v/>
      </c>
      <c r="H625" s="1" t="n"/>
      <c r="J625">
        <f>IF(M625="","",IF(INDEX(Settings!$C$10:$C$18,M625)="","",INDEX(Settings!$C$10:$C$18,M625)))</f>
        <v/>
      </c>
      <c r="K625">
        <f>IF(M625="","",IF(INDEX(Settings!$D$10:$D$18,M625)="","",INDEX(Settings!$D$10:$D$18,M625)))</f>
        <v/>
      </c>
      <c r="L625">
        <f>IF(OR(B625="",E625=""),"",B625+MOD(N(C625),1)+ROW()/10000000)</f>
        <v/>
      </c>
      <c r="M625">
        <f>IF(D625="","",IFERROR(MATCH(D625,Settings!$B$10:$B$18,0),""))</f>
        <v/>
      </c>
      <c r="N625">
        <f>IF(OR(B625="",E625="",M625=""),"",IF(AND(B625&gt;=Settings!$C$6,B625&lt;=Settings!$C$7),M625*10000+E625,""))</f>
        <v/>
      </c>
      <c r="O625">
        <f>IF(OR(B625="",E625=""),"",B625*10000+E625)</f>
        <v/>
      </c>
      <c r="P625">
        <f>IF(N625="","",E625)</f>
        <v/>
      </c>
    </row>
    <row r="626">
      <c r="A626" s="1" t="n"/>
      <c r="B626" s="20" t="n"/>
      <c r="C626" s="21" t="n"/>
      <c r="D626" s="22" t="n"/>
      <c r="E626" s="23" t="n"/>
      <c r="F626" s="22" t="n"/>
      <c r="G626" s="14">
        <f>IF(OR(B626="",E626="",J626="",K626=""),"",IF(E626&lt;J626,"Below",IF(E626&gt;K626,"Above","In range")))</f>
        <v/>
      </c>
      <c r="H626" s="1" t="n"/>
      <c r="J626">
        <f>IF(M626="","",IF(INDEX(Settings!$C$10:$C$18,M626)="","",INDEX(Settings!$C$10:$C$18,M626)))</f>
        <v/>
      </c>
      <c r="K626">
        <f>IF(M626="","",IF(INDEX(Settings!$D$10:$D$18,M626)="","",INDEX(Settings!$D$10:$D$18,M626)))</f>
        <v/>
      </c>
      <c r="L626">
        <f>IF(OR(B626="",E626=""),"",B626+MOD(N(C626),1)+ROW()/10000000)</f>
        <v/>
      </c>
      <c r="M626">
        <f>IF(D626="","",IFERROR(MATCH(D626,Settings!$B$10:$B$18,0),""))</f>
        <v/>
      </c>
      <c r="N626">
        <f>IF(OR(B626="",E626="",M626=""),"",IF(AND(B626&gt;=Settings!$C$6,B626&lt;=Settings!$C$7),M626*10000+E626,""))</f>
        <v/>
      </c>
      <c r="O626">
        <f>IF(OR(B626="",E626=""),"",B626*10000+E626)</f>
        <v/>
      </c>
      <c r="P626">
        <f>IF(N626="","",E626)</f>
        <v/>
      </c>
    </row>
    <row r="627">
      <c r="A627" s="1" t="n"/>
      <c r="B627" s="20" t="n"/>
      <c r="C627" s="21" t="n"/>
      <c r="D627" s="22" t="n"/>
      <c r="E627" s="23" t="n"/>
      <c r="F627" s="22" t="n"/>
      <c r="G627" s="14">
        <f>IF(OR(B627="",E627="",J627="",K627=""),"",IF(E627&lt;J627,"Below",IF(E627&gt;K627,"Above","In range")))</f>
        <v/>
      </c>
      <c r="H627" s="1" t="n"/>
      <c r="J627">
        <f>IF(M627="","",IF(INDEX(Settings!$C$10:$C$18,M627)="","",INDEX(Settings!$C$10:$C$18,M627)))</f>
        <v/>
      </c>
      <c r="K627">
        <f>IF(M627="","",IF(INDEX(Settings!$D$10:$D$18,M627)="","",INDEX(Settings!$D$10:$D$18,M627)))</f>
        <v/>
      </c>
      <c r="L627">
        <f>IF(OR(B627="",E627=""),"",B627+MOD(N(C627),1)+ROW()/10000000)</f>
        <v/>
      </c>
      <c r="M627">
        <f>IF(D627="","",IFERROR(MATCH(D627,Settings!$B$10:$B$18,0),""))</f>
        <v/>
      </c>
      <c r="N627">
        <f>IF(OR(B627="",E627="",M627=""),"",IF(AND(B627&gt;=Settings!$C$6,B627&lt;=Settings!$C$7),M627*10000+E627,""))</f>
        <v/>
      </c>
      <c r="O627">
        <f>IF(OR(B627="",E627=""),"",B627*10000+E627)</f>
        <v/>
      </c>
      <c r="P627">
        <f>IF(N627="","",E627)</f>
        <v/>
      </c>
    </row>
    <row r="628">
      <c r="A628" s="1" t="n"/>
      <c r="B628" s="20" t="n"/>
      <c r="C628" s="21" t="n"/>
      <c r="D628" s="22" t="n"/>
      <c r="E628" s="23" t="n"/>
      <c r="F628" s="22" t="n"/>
      <c r="G628" s="14">
        <f>IF(OR(B628="",E628="",J628="",K628=""),"",IF(E628&lt;J628,"Below",IF(E628&gt;K628,"Above","In range")))</f>
        <v/>
      </c>
      <c r="H628" s="1" t="n"/>
      <c r="J628">
        <f>IF(M628="","",IF(INDEX(Settings!$C$10:$C$18,M628)="","",INDEX(Settings!$C$10:$C$18,M628)))</f>
        <v/>
      </c>
      <c r="K628">
        <f>IF(M628="","",IF(INDEX(Settings!$D$10:$D$18,M628)="","",INDEX(Settings!$D$10:$D$18,M628)))</f>
        <v/>
      </c>
      <c r="L628">
        <f>IF(OR(B628="",E628=""),"",B628+MOD(N(C628),1)+ROW()/10000000)</f>
        <v/>
      </c>
      <c r="M628">
        <f>IF(D628="","",IFERROR(MATCH(D628,Settings!$B$10:$B$18,0),""))</f>
        <v/>
      </c>
      <c r="N628">
        <f>IF(OR(B628="",E628="",M628=""),"",IF(AND(B628&gt;=Settings!$C$6,B628&lt;=Settings!$C$7),M628*10000+E628,""))</f>
        <v/>
      </c>
      <c r="O628">
        <f>IF(OR(B628="",E628=""),"",B628*10000+E628)</f>
        <v/>
      </c>
      <c r="P628">
        <f>IF(N628="","",E628)</f>
        <v/>
      </c>
    </row>
    <row r="629">
      <c r="A629" s="1" t="n"/>
      <c r="B629" s="20" t="n"/>
      <c r="C629" s="21" t="n"/>
      <c r="D629" s="22" t="n"/>
      <c r="E629" s="23" t="n"/>
      <c r="F629" s="22" t="n"/>
      <c r="G629" s="14">
        <f>IF(OR(B629="",E629="",J629="",K629=""),"",IF(E629&lt;J629,"Below",IF(E629&gt;K629,"Above","In range")))</f>
        <v/>
      </c>
      <c r="H629" s="1" t="n"/>
      <c r="J629">
        <f>IF(M629="","",IF(INDEX(Settings!$C$10:$C$18,M629)="","",INDEX(Settings!$C$10:$C$18,M629)))</f>
        <v/>
      </c>
      <c r="K629">
        <f>IF(M629="","",IF(INDEX(Settings!$D$10:$D$18,M629)="","",INDEX(Settings!$D$10:$D$18,M629)))</f>
        <v/>
      </c>
      <c r="L629">
        <f>IF(OR(B629="",E629=""),"",B629+MOD(N(C629),1)+ROW()/10000000)</f>
        <v/>
      </c>
      <c r="M629">
        <f>IF(D629="","",IFERROR(MATCH(D629,Settings!$B$10:$B$18,0),""))</f>
        <v/>
      </c>
      <c r="N629">
        <f>IF(OR(B629="",E629="",M629=""),"",IF(AND(B629&gt;=Settings!$C$6,B629&lt;=Settings!$C$7),M629*10000+E629,""))</f>
        <v/>
      </c>
      <c r="O629">
        <f>IF(OR(B629="",E629=""),"",B629*10000+E629)</f>
        <v/>
      </c>
      <c r="P629">
        <f>IF(N629="","",E629)</f>
        <v/>
      </c>
    </row>
    <row r="630">
      <c r="A630" s="1" t="n"/>
      <c r="B630" s="20" t="n"/>
      <c r="C630" s="21" t="n"/>
      <c r="D630" s="22" t="n"/>
      <c r="E630" s="23" t="n"/>
      <c r="F630" s="22" t="n"/>
      <c r="G630" s="14">
        <f>IF(OR(B630="",E630="",J630="",K630=""),"",IF(E630&lt;J630,"Below",IF(E630&gt;K630,"Above","In range")))</f>
        <v/>
      </c>
      <c r="H630" s="1" t="n"/>
      <c r="J630">
        <f>IF(M630="","",IF(INDEX(Settings!$C$10:$C$18,M630)="","",INDEX(Settings!$C$10:$C$18,M630)))</f>
        <v/>
      </c>
      <c r="K630">
        <f>IF(M630="","",IF(INDEX(Settings!$D$10:$D$18,M630)="","",INDEX(Settings!$D$10:$D$18,M630)))</f>
        <v/>
      </c>
      <c r="L630">
        <f>IF(OR(B630="",E630=""),"",B630+MOD(N(C630),1)+ROW()/10000000)</f>
        <v/>
      </c>
      <c r="M630">
        <f>IF(D630="","",IFERROR(MATCH(D630,Settings!$B$10:$B$18,0),""))</f>
        <v/>
      </c>
      <c r="N630">
        <f>IF(OR(B630="",E630="",M630=""),"",IF(AND(B630&gt;=Settings!$C$6,B630&lt;=Settings!$C$7),M630*10000+E630,""))</f>
        <v/>
      </c>
      <c r="O630">
        <f>IF(OR(B630="",E630=""),"",B630*10000+E630)</f>
        <v/>
      </c>
      <c r="P630">
        <f>IF(N630="","",E630)</f>
        <v/>
      </c>
    </row>
    <row r="631">
      <c r="A631" s="1" t="n"/>
      <c r="B631" s="20" t="n"/>
      <c r="C631" s="21" t="n"/>
      <c r="D631" s="22" t="n"/>
      <c r="E631" s="23" t="n"/>
      <c r="F631" s="22" t="n"/>
      <c r="G631" s="14">
        <f>IF(OR(B631="",E631="",J631="",K631=""),"",IF(E631&lt;J631,"Below",IF(E631&gt;K631,"Above","In range")))</f>
        <v/>
      </c>
      <c r="H631" s="1" t="n"/>
      <c r="J631">
        <f>IF(M631="","",IF(INDEX(Settings!$C$10:$C$18,M631)="","",INDEX(Settings!$C$10:$C$18,M631)))</f>
        <v/>
      </c>
      <c r="K631">
        <f>IF(M631="","",IF(INDEX(Settings!$D$10:$D$18,M631)="","",INDEX(Settings!$D$10:$D$18,M631)))</f>
        <v/>
      </c>
      <c r="L631">
        <f>IF(OR(B631="",E631=""),"",B631+MOD(N(C631),1)+ROW()/10000000)</f>
        <v/>
      </c>
      <c r="M631">
        <f>IF(D631="","",IFERROR(MATCH(D631,Settings!$B$10:$B$18,0),""))</f>
        <v/>
      </c>
      <c r="N631">
        <f>IF(OR(B631="",E631="",M631=""),"",IF(AND(B631&gt;=Settings!$C$6,B631&lt;=Settings!$C$7),M631*10000+E631,""))</f>
        <v/>
      </c>
      <c r="O631">
        <f>IF(OR(B631="",E631=""),"",B631*10000+E631)</f>
        <v/>
      </c>
      <c r="P631">
        <f>IF(N631="","",E631)</f>
        <v/>
      </c>
    </row>
    <row r="632">
      <c r="A632" s="1" t="n"/>
      <c r="B632" s="20" t="n"/>
      <c r="C632" s="21" t="n"/>
      <c r="D632" s="22" t="n"/>
      <c r="E632" s="23" t="n"/>
      <c r="F632" s="22" t="n"/>
      <c r="G632" s="14">
        <f>IF(OR(B632="",E632="",J632="",K632=""),"",IF(E632&lt;J632,"Below",IF(E632&gt;K632,"Above","In range")))</f>
        <v/>
      </c>
      <c r="H632" s="1" t="n"/>
      <c r="J632">
        <f>IF(M632="","",IF(INDEX(Settings!$C$10:$C$18,M632)="","",INDEX(Settings!$C$10:$C$18,M632)))</f>
        <v/>
      </c>
      <c r="K632">
        <f>IF(M632="","",IF(INDEX(Settings!$D$10:$D$18,M632)="","",INDEX(Settings!$D$10:$D$18,M632)))</f>
        <v/>
      </c>
      <c r="L632">
        <f>IF(OR(B632="",E632=""),"",B632+MOD(N(C632),1)+ROW()/10000000)</f>
        <v/>
      </c>
      <c r="M632">
        <f>IF(D632="","",IFERROR(MATCH(D632,Settings!$B$10:$B$18,0),""))</f>
        <v/>
      </c>
      <c r="N632">
        <f>IF(OR(B632="",E632="",M632=""),"",IF(AND(B632&gt;=Settings!$C$6,B632&lt;=Settings!$C$7),M632*10000+E632,""))</f>
        <v/>
      </c>
      <c r="O632">
        <f>IF(OR(B632="",E632=""),"",B632*10000+E632)</f>
        <v/>
      </c>
      <c r="P632">
        <f>IF(N632="","",E632)</f>
        <v/>
      </c>
    </row>
    <row r="633">
      <c r="A633" s="1" t="n"/>
      <c r="B633" s="20" t="n"/>
      <c r="C633" s="21" t="n"/>
      <c r="D633" s="22" t="n"/>
      <c r="E633" s="23" t="n"/>
      <c r="F633" s="22" t="n"/>
      <c r="G633" s="14">
        <f>IF(OR(B633="",E633="",J633="",K633=""),"",IF(E633&lt;J633,"Below",IF(E633&gt;K633,"Above","In range")))</f>
        <v/>
      </c>
      <c r="H633" s="1" t="n"/>
      <c r="J633">
        <f>IF(M633="","",IF(INDEX(Settings!$C$10:$C$18,M633)="","",INDEX(Settings!$C$10:$C$18,M633)))</f>
        <v/>
      </c>
      <c r="K633">
        <f>IF(M633="","",IF(INDEX(Settings!$D$10:$D$18,M633)="","",INDEX(Settings!$D$10:$D$18,M633)))</f>
        <v/>
      </c>
      <c r="L633">
        <f>IF(OR(B633="",E633=""),"",B633+MOD(N(C633),1)+ROW()/10000000)</f>
        <v/>
      </c>
      <c r="M633">
        <f>IF(D633="","",IFERROR(MATCH(D633,Settings!$B$10:$B$18,0),""))</f>
        <v/>
      </c>
      <c r="N633">
        <f>IF(OR(B633="",E633="",M633=""),"",IF(AND(B633&gt;=Settings!$C$6,B633&lt;=Settings!$C$7),M633*10000+E633,""))</f>
        <v/>
      </c>
      <c r="O633">
        <f>IF(OR(B633="",E633=""),"",B633*10000+E633)</f>
        <v/>
      </c>
      <c r="P633">
        <f>IF(N633="","",E633)</f>
        <v/>
      </c>
    </row>
    <row r="634">
      <c r="A634" s="1" t="n"/>
      <c r="B634" s="20" t="n"/>
      <c r="C634" s="21" t="n"/>
      <c r="D634" s="22" t="n"/>
      <c r="E634" s="23" t="n"/>
      <c r="F634" s="22" t="n"/>
      <c r="G634" s="14">
        <f>IF(OR(B634="",E634="",J634="",K634=""),"",IF(E634&lt;J634,"Below",IF(E634&gt;K634,"Above","In range")))</f>
        <v/>
      </c>
      <c r="H634" s="1" t="n"/>
      <c r="J634">
        <f>IF(M634="","",IF(INDEX(Settings!$C$10:$C$18,M634)="","",INDEX(Settings!$C$10:$C$18,M634)))</f>
        <v/>
      </c>
      <c r="K634">
        <f>IF(M634="","",IF(INDEX(Settings!$D$10:$D$18,M634)="","",INDEX(Settings!$D$10:$D$18,M634)))</f>
        <v/>
      </c>
      <c r="L634">
        <f>IF(OR(B634="",E634=""),"",B634+MOD(N(C634),1)+ROW()/10000000)</f>
        <v/>
      </c>
      <c r="M634">
        <f>IF(D634="","",IFERROR(MATCH(D634,Settings!$B$10:$B$18,0),""))</f>
        <v/>
      </c>
      <c r="N634">
        <f>IF(OR(B634="",E634="",M634=""),"",IF(AND(B634&gt;=Settings!$C$6,B634&lt;=Settings!$C$7),M634*10000+E634,""))</f>
        <v/>
      </c>
      <c r="O634">
        <f>IF(OR(B634="",E634=""),"",B634*10000+E634)</f>
        <v/>
      </c>
      <c r="P634">
        <f>IF(N634="","",E634)</f>
        <v/>
      </c>
    </row>
    <row r="635">
      <c r="A635" s="1" t="n"/>
      <c r="B635" s="20" t="n"/>
      <c r="C635" s="21" t="n"/>
      <c r="D635" s="22" t="n"/>
      <c r="E635" s="23" t="n"/>
      <c r="F635" s="22" t="n"/>
      <c r="G635" s="14">
        <f>IF(OR(B635="",E635="",J635="",K635=""),"",IF(E635&lt;J635,"Below",IF(E635&gt;K635,"Above","In range")))</f>
        <v/>
      </c>
      <c r="H635" s="1" t="n"/>
      <c r="J635">
        <f>IF(M635="","",IF(INDEX(Settings!$C$10:$C$18,M635)="","",INDEX(Settings!$C$10:$C$18,M635)))</f>
        <v/>
      </c>
      <c r="K635">
        <f>IF(M635="","",IF(INDEX(Settings!$D$10:$D$18,M635)="","",INDEX(Settings!$D$10:$D$18,M635)))</f>
        <v/>
      </c>
      <c r="L635">
        <f>IF(OR(B635="",E635=""),"",B635+MOD(N(C635),1)+ROW()/10000000)</f>
        <v/>
      </c>
      <c r="M635">
        <f>IF(D635="","",IFERROR(MATCH(D635,Settings!$B$10:$B$18,0),""))</f>
        <v/>
      </c>
      <c r="N635">
        <f>IF(OR(B635="",E635="",M635=""),"",IF(AND(B635&gt;=Settings!$C$6,B635&lt;=Settings!$C$7),M635*10000+E635,""))</f>
        <v/>
      </c>
      <c r="O635">
        <f>IF(OR(B635="",E635=""),"",B635*10000+E635)</f>
        <v/>
      </c>
      <c r="P635">
        <f>IF(N635="","",E635)</f>
        <v/>
      </c>
    </row>
    <row r="636">
      <c r="A636" s="1" t="n"/>
      <c r="B636" s="20" t="n"/>
      <c r="C636" s="21" t="n"/>
      <c r="D636" s="22" t="n"/>
      <c r="E636" s="23" t="n"/>
      <c r="F636" s="22" t="n"/>
      <c r="G636" s="14">
        <f>IF(OR(B636="",E636="",J636="",K636=""),"",IF(E636&lt;J636,"Below",IF(E636&gt;K636,"Above","In range")))</f>
        <v/>
      </c>
      <c r="H636" s="1" t="n"/>
      <c r="J636">
        <f>IF(M636="","",IF(INDEX(Settings!$C$10:$C$18,M636)="","",INDEX(Settings!$C$10:$C$18,M636)))</f>
        <v/>
      </c>
      <c r="K636">
        <f>IF(M636="","",IF(INDEX(Settings!$D$10:$D$18,M636)="","",INDEX(Settings!$D$10:$D$18,M636)))</f>
        <v/>
      </c>
      <c r="L636">
        <f>IF(OR(B636="",E636=""),"",B636+MOD(N(C636),1)+ROW()/10000000)</f>
        <v/>
      </c>
      <c r="M636">
        <f>IF(D636="","",IFERROR(MATCH(D636,Settings!$B$10:$B$18,0),""))</f>
        <v/>
      </c>
      <c r="N636">
        <f>IF(OR(B636="",E636="",M636=""),"",IF(AND(B636&gt;=Settings!$C$6,B636&lt;=Settings!$C$7),M636*10000+E636,""))</f>
        <v/>
      </c>
      <c r="O636">
        <f>IF(OR(B636="",E636=""),"",B636*10000+E636)</f>
        <v/>
      </c>
      <c r="P636">
        <f>IF(N636="","",E636)</f>
        <v/>
      </c>
    </row>
    <row r="637">
      <c r="A637" s="1" t="n"/>
      <c r="B637" s="20" t="n"/>
      <c r="C637" s="21" t="n"/>
      <c r="D637" s="22" t="n"/>
      <c r="E637" s="23" t="n"/>
      <c r="F637" s="22" t="n"/>
      <c r="G637" s="14">
        <f>IF(OR(B637="",E637="",J637="",K637=""),"",IF(E637&lt;J637,"Below",IF(E637&gt;K637,"Above","In range")))</f>
        <v/>
      </c>
      <c r="H637" s="1" t="n"/>
      <c r="J637">
        <f>IF(M637="","",IF(INDEX(Settings!$C$10:$C$18,M637)="","",INDEX(Settings!$C$10:$C$18,M637)))</f>
        <v/>
      </c>
      <c r="K637">
        <f>IF(M637="","",IF(INDEX(Settings!$D$10:$D$18,M637)="","",INDEX(Settings!$D$10:$D$18,M637)))</f>
        <v/>
      </c>
      <c r="L637">
        <f>IF(OR(B637="",E637=""),"",B637+MOD(N(C637),1)+ROW()/10000000)</f>
        <v/>
      </c>
      <c r="M637">
        <f>IF(D637="","",IFERROR(MATCH(D637,Settings!$B$10:$B$18,0),""))</f>
        <v/>
      </c>
      <c r="N637">
        <f>IF(OR(B637="",E637="",M637=""),"",IF(AND(B637&gt;=Settings!$C$6,B637&lt;=Settings!$C$7),M637*10000+E637,""))</f>
        <v/>
      </c>
      <c r="O637">
        <f>IF(OR(B637="",E637=""),"",B637*10000+E637)</f>
        <v/>
      </c>
      <c r="P637">
        <f>IF(N637="","",E637)</f>
        <v/>
      </c>
    </row>
    <row r="638">
      <c r="A638" s="1" t="n"/>
      <c r="B638" s="20" t="n"/>
      <c r="C638" s="21" t="n"/>
      <c r="D638" s="22" t="n"/>
      <c r="E638" s="23" t="n"/>
      <c r="F638" s="22" t="n"/>
      <c r="G638" s="14">
        <f>IF(OR(B638="",E638="",J638="",K638=""),"",IF(E638&lt;J638,"Below",IF(E638&gt;K638,"Above","In range")))</f>
        <v/>
      </c>
      <c r="H638" s="1" t="n"/>
      <c r="J638">
        <f>IF(M638="","",IF(INDEX(Settings!$C$10:$C$18,M638)="","",INDEX(Settings!$C$10:$C$18,M638)))</f>
        <v/>
      </c>
      <c r="K638">
        <f>IF(M638="","",IF(INDEX(Settings!$D$10:$D$18,M638)="","",INDEX(Settings!$D$10:$D$18,M638)))</f>
        <v/>
      </c>
      <c r="L638">
        <f>IF(OR(B638="",E638=""),"",B638+MOD(N(C638),1)+ROW()/10000000)</f>
        <v/>
      </c>
      <c r="M638">
        <f>IF(D638="","",IFERROR(MATCH(D638,Settings!$B$10:$B$18,0),""))</f>
        <v/>
      </c>
      <c r="N638">
        <f>IF(OR(B638="",E638="",M638=""),"",IF(AND(B638&gt;=Settings!$C$6,B638&lt;=Settings!$C$7),M638*10000+E638,""))</f>
        <v/>
      </c>
      <c r="O638">
        <f>IF(OR(B638="",E638=""),"",B638*10000+E638)</f>
        <v/>
      </c>
      <c r="P638">
        <f>IF(N638="","",E638)</f>
        <v/>
      </c>
    </row>
    <row r="639">
      <c r="A639" s="1" t="n"/>
      <c r="B639" s="20" t="n"/>
      <c r="C639" s="21" t="n"/>
      <c r="D639" s="22" t="n"/>
      <c r="E639" s="23" t="n"/>
      <c r="F639" s="22" t="n"/>
      <c r="G639" s="14">
        <f>IF(OR(B639="",E639="",J639="",K639=""),"",IF(E639&lt;J639,"Below",IF(E639&gt;K639,"Above","In range")))</f>
        <v/>
      </c>
      <c r="H639" s="1" t="n"/>
      <c r="J639">
        <f>IF(M639="","",IF(INDEX(Settings!$C$10:$C$18,M639)="","",INDEX(Settings!$C$10:$C$18,M639)))</f>
        <v/>
      </c>
      <c r="K639">
        <f>IF(M639="","",IF(INDEX(Settings!$D$10:$D$18,M639)="","",INDEX(Settings!$D$10:$D$18,M639)))</f>
        <v/>
      </c>
      <c r="L639">
        <f>IF(OR(B639="",E639=""),"",B639+MOD(N(C639),1)+ROW()/10000000)</f>
        <v/>
      </c>
      <c r="M639">
        <f>IF(D639="","",IFERROR(MATCH(D639,Settings!$B$10:$B$18,0),""))</f>
        <v/>
      </c>
      <c r="N639">
        <f>IF(OR(B639="",E639="",M639=""),"",IF(AND(B639&gt;=Settings!$C$6,B639&lt;=Settings!$C$7),M639*10000+E639,""))</f>
        <v/>
      </c>
      <c r="O639">
        <f>IF(OR(B639="",E639=""),"",B639*10000+E639)</f>
        <v/>
      </c>
      <c r="P639">
        <f>IF(N639="","",E639)</f>
        <v/>
      </c>
    </row>
    <row r="640">
      <c r="A640" s="1" t="n"/>
      <c r="B640" s="20" t="n"/>
      <c r="C640" s="21" t="n"/>
      <c r="D640" s="22" t="n"/>
      <c r="E640" s="23" t="n"/>
      <c r="F640" s="22" t="n"/>
      <c r="G640" s="14">
        <f>IF(OR(B640="",E640="",J640="",K640=""),"",IF(E640&lt;J640,"Below",IF(E640&gt;K640,"Above","In range")))</f>
        <v/>
      </c>
      <c r="H640" s="1" t="n"/>
      <c r="J640">
        <f>IF(M640="","",IF(INDEX(Settings!$C$10:$C$18,M640)="","",INDEX(Settings!$C$10:$C$18,M640)))</f>
        <v/>
      </c>
      <c r="K640">
        <f>IF(M640="","",IF(INDEX(Settings!$D$10:$D$18,M640)="","",INDEX(Settings!$D$10:$D$18,M640)))</f>
        <v/>
      </c>
      <c r="L640">
        <f>IF(OR(B640="",E640=""),"",B640+MOD(N(C640),1)+ROW()/10000000)</f>
        <v/>
      </c>
      <c r="M640">
        <f>IF(D640="","",IFERROR(MATCH(D640,Settings!$B$10:$B$18,0),""))</f>
        <v/>
      </c>
      <c r="N640">
        <f>IF(OR(B640="",E640="",M640=""),"",IF(AND(B640&gt;=Settings!$C$6,B640&lt;=Settings!$C$7),M640*10000+E640,""))</f>
        <v/>
      </c>
      <c r="O640">
        <f>IF(OR(B640="",E640=""),"",B640*10000+E640)</f>
        <v/>
      </c>
      <c r="P640">
        <f>IF(N640="","",E640)</f>
        <v/>
      </c>
    </row>
    <row r="641">
      <c r="A641" s="1" t="n"/>
      <c r="B641" s="20" t="n"/>
      <c r="C641" s="21" t="n"/>
      <c r="D641" s="22" t="n"/>
      <c r="E641" s="23" t="n"/>
      <c r="F641" s="22" t="n"/>
      <c r="G641" s="14">
        <f>IF(OR(B641="",E641="",J641="",K641=""),"",IF(E641&lt;J641,"Below",IF(E641&gt;K641,"Above","In range")))</f>
        <v/>
      </c>
      <c r="H641" s="1" t="n"/>
      <c r="J641">
        <f>IF(M641="","",IF(INDEX(Settings!$C$10:$C$18,M641)="","",INDEX(Settings!$C$10:$C$18,M641)))</f>
        <v/>
      </c>
      <c r="K641">
        <f>IF(M641="","",IF(INDEX(Settings!$D$10:$D$18,M641)="","",INDEX(Settings!$D$10:$D$18,M641)))</f>
        <v/>
      </c>
      <c r="L641">
        <f>IF(OR(B641="",E641=""),"",B641+MOD(N(C641),1)+ROW()/10000000)</f>
        <v/>
      </c>
      <c r="M641">
        <f>IF(D641="","",IFERROR(MATCH(D641,Settings!$B$10:$B$18,0),""))</f>
        <v/>
      </c>
      <c r="N641">
        <f>IF(OR(B641="",E641="",M641=""),"",IF(AND(B641&gt;=Settings!$C$6,B641&lt;=Settings!$C$7),M641*10000+E641,""))</f>
        <v/>
      </c>
      <c r="O641">
        <f>IF(OR(B641="",E641=""),"",B641*10000+E641)</f>
        <v/>
      </c>
      <c r="P641">
        <f>IF(N641="","",E641)</f>
        <v/>
      </c>
    </row>
    <row r="642">
      <c r="A642" s="1" t="n"/>
      <c r="B642" s="20" t="n"/>
      <c r="C642" s="21" t="n"/>
      <c r="D642" s="22" t="n"/>
      <c r="E642" s="23" t="n"/>
      <c r="F642" s="22" t="n"/>
      <c r="G642" s="14">
        <f>IF(OR(B642="",E642="",J642="",K642=""),"",IF(E642&lt;J642,"Below",IF(E642&gt;K642,"Above","In range")))</f>
        <v/>
      </c>
      <c r="H642" s="1" t="n"/>
      <c r="J642">
        <f>IF(M642="","",IF(INDEX(Settings!$C$10:$C$18,M642)="","",INDEX(Settings!$C$10:$C$18,M642)))</f>
        <v/>
      </c>
      <c r="K642">
        <f>IF(M642="","",IF(INDEX(Settings!$D$10:$D$18,M642)="","",INDEX(Settings!$D$10:$D$18,M642)))</f>
        <v/>
      </c>
      <c r="L642">
        <f>IF(OR(B642="",E642=""),"",B642+MOD(N(C642),1)+ROW()/10000000)</f>
        <v/>
      </c>
      <c r="M642">
        <f>IF(D642="","",IFERROR(MATCH(D642,Settings!$B$10:$B$18,0),""))</f>
        <v/>
      </c>
      <c r="N642">
        <f>IF(OR(B642="",E642="",M642=""),"",IF(AND(B642&gt;=Settings!$C$6,B642&lt;=Settings!$C$7),M642*10000+E642,""))</f>
        <v/>
      </c>
      <c r="O642">
        <f>IF(OR(B642="",E642=""),"",B642*10000+E642)</f>
        <v/>
      </c>
      <c r="P642">
        <f>IF(N642="","",E642)</f>
        <v/>
      </c>
    </row>
    <row r="643">
      <c r="A643" s="1" t="n"/>
      <c r="B643" s="20" t="n"/>
      <c r="C643" s="21" t="n"/>
      <c r="D643" s="22" t="n"/>
      <c r="E643" s="23" t="n"/>
      <c r="F643" s="22" t="n"/>
      <c r="G643" s="14">
        <f>IF(OR(B643="",E643="",J643="",K643=""),"",IF(E643&lt;J643,"Below",IF(E643&gt;K643,"Above","In range")))</f>
        <v/>
      </c>
      <c r="H643" s="1" t="n"/>
      <c r="J643">
        <f>IF(M643="","",IF(INDEX(Settings!$C$10:$C$18,M643)="","",INDEX(Settings!$C$10:$C$18,M643)))</f>
        <v/>
      </c>
      <c r="K643">
        <f>IF(M643="","",IF(INDEX(Settings!$D$10:$D$18,M643)="","",INDEX(Settings!$D$10:$D$18,M643)))</f>
        <v/>
      </c>
      <c r="L643">
        <f>IF(OR(B643="",E643=""),"",B643+MOD(N(C643),1)+ROW()/10000000)</f>
        <v/>
      </c>
      <c r="M643">
        <f>IF(D643="","",IFERROR(MATCH(D643,Settings!$B$10:$B$18,0),""))</f>
        <v/>
      </c>
      <c r="N643">
        <f>IF(OR(B643="",E643="",M643=""),"",IF(AND(B643&gt;=Settings!$C$6,B643&lt;=Settings!$C$7),M643*10000+E643,""))</f>
        <v/>
      </c>
      <c r="O643">
        <f>IF(OR(B643="",E643=""),"",B643*10000+E643)</f>
        <v/>
      </c>
      <c r="P643">
        <f>IF(N643="","",E643)</f>
        <v/>
      </c>
    </row>
    <row r="644">
      <c r="A644" s="1" t="n"/>
      <c r="B644" s="20" t="n"/>
      <c r="C644" s="21" t="n"/>
      <c r="D644" s="22" t="n"/>
      <c r="E644" s="23" t="n"/>
      <c r="F644" s="22" t="n"/>
      <c r="G644" s="14">
        <f>IF(OR(B644="",E644="",J644="",K644=""),"",IF(E644&lt;J644,"Below",IF(E644&gt;K644,"Above","In range")))</f>
        <v/>
      </c>
      <c r="H644" s="1" t="n"/>
      <c r="J644">
        <f>IF(M644="","",IF(INDEX(Settings!$C$10:$C$18,M644)="","",INDEX(Settings!$C$10:$C$18,M644)))</f>
        <v/>
      </c>
      <c r="K644">
        <f>IF(M644="","",IF(INDEX(Settings!$D$10:$D$18,M644)="","",INDEX(Settings!$D$10:$D$18,M644)))</f>
        <v/>
      </c>
      <c r="L644">
        <f>IF(OR(B644="",E644=""),"",B644+MOD(N(C644),1)+ROW()/10000000)</f>
        <v/>
      </c>
      <c r="M644">
        <f>IF(D644="","",IFERROR(MATCH(D644,Settings!$B$10:$B$18,0),""))</f>
        <v/>
      </c>
      <c r="N644">
        <f>IF(OR(B644="",E644="",M644=""),"",IF(AND(B644&gt;=Settings!$C$6,B644&lt;=Settings!$C$7),M644*10000+E644,""))</f>
        <v/>
      </c>
      <c r="O644">
        <f>IF(OR(B644="",E644=""),"",B644*10000+E644)</f>
        <v/>
      </c>
      <c r="P644">
        <f>IF(N644="","",E644)</f>
        <v/>
      </c>
    </row>
    <row r="645">
      <c r="A645" s="1" t="n"/>
      <c r="B645" s="20" t="n"/>
      <c r="C645" s="21" t="n"/>
      <c r="D645" s="22" t="n"/>
      <c r="E645" s="23" t="n"/>
      <c r="F645" s="22" t="n"/>
      <c r="G645" s="14">
        <f>IF(OR(B645="",E645="",J645="",K645=""),"",IF(E645&lt;J645,"Below",IF(E645&gt;K645,"Above","In range")))</f>
        <v/>
      </c>
      <c r="H645" s="1" t="n"/>
      <c r="J645">
        <f>IF(M645="","",IF(INDEX(Settings!$C$10:$C$18,M645)="","",INDEX(Settings!$C$10:$C$18,M645)))</f>
        <v/>
      </c>
      <c r="K645">
        <f>IF(M645="","",IF(INDEX(Settings!$D$10:$D$18,M645)="","",INDEX(Settings!$D$10:$D$18,M645)))</f>
        <v/>
      </c>
      <c r="L645">
        <f>IF(OR(B645="",E645=""),"",B645+MOD(N(C645),1)+ROW()/10000000)</f>
        <v/>
      </c>
      <c r="M645">
        <f>IF(D645="","",IFERROR(MATCH(D645,Settings!$B$10:$B$18,0),""))</f>
        <v/>
      </c>
      <c r="N645">
        <f>IF(OR(B645="",E645="",M645=""),"",IF(AND(B645&gt;=Settings!$C$6,B645&lt;=Settings!$C$7),M645*10000+E645,""))</f>
        <v/>
      </c>
      <c r="O645">
        <f>IF(OR(B645="",E645=""),"",B645*10000+E645)</f>
        <v/>
      </c>
      <c r="P645">
        <f>IF(N645="","",E645)</f>
        <v/>
      </c>
    </row>
    <row r="646">
      <c r="A646" s="1" t="n"/>
      <c r="B646" s="20" t="n"/>
      <c r="C646" s="21" t="n"/>
      <c r="D646" s="22" t="n"/>
      <c r="E646" s="23" t="n"/>
      <c r="F646" s="22" t="n"/>
      <c r="G646" s="14">
        <f>IF(OR(B646="",E646="",J646="",K646=""),"",IF(E646&lt;J646,"Below",IF(E646&gt;K646,"Above","In range")))</f>
        <v/>
      </c>
      <c r="H646" s="1" t="n"/>
      <c r="J646">
        <f>IF(M646="","",IF(INDEX(Settings!$C$10:$C$18,M646)="","",INDEX(Settings!$C$10:$C$18,M646)))</f>
        <v/>
      </c>
      <c r="K646">
        <f>IF(M646="","",IF(INDEX(Settings!$D$10:$D$18,M646)="","",INDEX(Settings!$D$10:$D$18,M646)))</f>
        <v/>
      </c>
      <c r="L646">
        <f>IF(OR(B646="",E646=""),"",B646+MOD(N(C646),1)+ROW()/10000000)</f>
        <v/>
      </c>
      <c r="M646">
        <f>IF(D646="","",IFERROR(MATCH(D646,Settings!$B$10:$B$18,0),""))</f>
        <v/>
      </c>
      <c r="N646">
        <f>IF(OR(B646="",E646="",M646=""),"",IF(AND(B646&gt;=Settings!$C$6,B646&lt;=Settings!$C$7),M646*10000+E646,""))</f>
        <v/>
      </c>
      <c r="O646">
        <f>IF(OR(B646="",E646=""),"",B646*10000+E646)</f>
        <v/>
      </c>
      <c r="P646">
        <f>IF(N646="","",E646)</f>
        <v/>
      </c>
    </row>
    <row r="647">
      <c r="A647" s="1" t="n"/>
      <c r="B647" s="20" t="n"/>
      <c r="C647" s="21" t="n"/>
      <c r="D647" s="22" t="n"/>
      <c r="E647" s="23" t="n"/>
      <c r="F647" s="22" t="n"/>
      <c r="G647" s="14">
        <f>IF(OR(B647="",E647="",J647="",K647=""),"",IF(E647&lt;J647,"Below",IF(E647&gt;K647,"Above","In range")))</f>
        <v/>
      </c>
      <c r="H647" s="1" t="n"/>
      <c r="J647">
        <f>IF(M647="","",IF(INDEX(Settings!$C$10:$C$18,M647)="","",INDEX(Settings!$C$10:$C$18,M647)))</f>
        <v/>
      </c>
      <c r="K647">
        <f>IF(M647="","",IF(INDEX(Settings!$D$10:$D$18,M647)="","",INDEX(Settings!$D$10:$D$18,M647)))</f>
        <v/>
      </c>
      <c r="L647">
        <f>IF(OR(B647="",E647=""),"",B647+MOD(N(C647),1)+ROW()/10000000)</f>
        <v/>
      </c>
      <c r="M647">
        <f>IF(D647="","",IFERROR(MATCH(D647,Settings!$B$10:$B$18,0),""))</f>
        <v/>
      </c>
      <c r="N647">
        <f>IF(OR(B647="",E647="",M647=""),"",IF(AND(B647&gt;=Settings!$C$6,B647&lt;=Settings!$C$7),M647*10000+E647,""))</f>
        <v/>
      </c>
      <c r="O647">
        <f>IF(OR(B647="",E647=""),"",B647*10000+E647)</f>
        <v/>
      </c>
      <c r="P647">
        <f>IF(N647="","",E647)</f>
        <v/>
      </c>
    </row>
    <row r="648">
      <c r="A648" s="1" t="n"/>
      <c r="B648" s="20" t="n"/>
      <c r="C648" s="21" t="n"/>
      <c r="D648" s="22" t="n"/>
      <c r="E648" s="23" t="n"/>
      <c r="F648" s="22" t="n"/>
      <c r="G648" s="14">
        <f>IF(OR(B648="",E648="",J648="",K648=""),"",IF(E648&lt;J648,"Below",IF(E648&gt;K648,"Above","In range")))</f>
        <v/>
      </c>
      <c r="H648" s="1" t="n"/>
      <c r="J648">
        <f>IF(M648="","",IF(INDEX(Settings!$C$10:$C$18,M648)="","",INDEX(Settings!$C$10:$C$18,M648)))</f>
        <v/>
      </c>
      <c r="K648">
        <f>IF(M648="","",IF(INDEX(Settings!$D$10:$D$18,M648)="","",INDEX(Settings!$D$10:$D$18,M648)))</f>
        <v/>
      </c>
      <c r="L648">
        <f>IF(OR(B648="",E648=""),"",B648+MOD(N(C648),1)+ROW()/10000000)</f>
        <v/>
      </c>
      <c r="M648">
        <f>IF(D648="","",IFERROR(MATCH(D648,Settings!$B$10:$B$18,0),""))</f>
        <v/>
      </c>
      <c r="N648">
        <f>IF(OR(B648="",E648="",M648=""),"",IF(AND(B648&gt;=Settings!$C$6,B648&lt;=Settings!$C$7),M648*10000+E648,""))</f>
        <v/>
      </c>
      <c r="O648">
        <f>IF(OR(B648="",E648=""),"",B648*10000+E648)</f>
        <v/>
      </c>
      <c r="P648">
        <f>IF(N648="","",E648)</f>
        <v/>
      </c>
    </row>
    <row r="649">
      <c r="A649" s="1" t="n"/>
      <c r="B649" s="20" t="n"/>
      <c r="C649" s="21" t="n"/>
      <c r="D649" s="22" t="n"/>
      <c r="E649" s="23" t="n"/>
      <c r="F649" s="22" t="n"/>
      <c r="G649" s="14">
        <f>IF(OR(B649="",E649="",J649="",K649=""),"",IF(E649&lt;J649,"Below",IF(E649&gt;K649,"Above","In range")))</f>
        <v/>
      </c>
      <c r="H649" s="1" t="n"/>
      <c r="J649">
        <f>IF(M649="","",IF(INDEX(Settings!$C$10:$C$18,M649)="","",INDEX(Settings!$C$10:$C$18,M649)))</f>
        <v/>
      </c>
      <c r="K649">
        <f>IF(M649="","",IF(INDEX(Settings!$D$10:$D$18,M649)="","",INDEX(Settings!$D$10:$D$18,M649)))</f>
        <v/>
      </c>
      <c r="L649">
        <f>IF(OR(B649="",E649=""),"",B649+MOD(N(C649),1)+ROW()/10000000)</f>
        <v/>
      </c>
      <c r="M649">
        <f>IF(D649="","",IFERROR(MATCH(D649,Settings!$B$10:$B$18,0),""))</f>
        <v/>
      </c>
      <c r="N649">
        <f>IF(OR(B649="",E649="",M649=""),"",IF(AND(B649&gt;=Settings!$C$6,B649&lt;=Settings!$C$7),M649*10000+E649,""))</f>
        <v/>
      </c>
      <c r="O649">
        <f>IF(OR(B649="",E649=""),"",B649*10000+E649)</f>
        <v/>
      </c>
      <c r="P649">
        <f>IF(N649="","",E649)</f>
        <v/>
      </c>
    </row>
    <row r="650">
      <c r="A650" s="1" t="n"/>
      <c r="B650" s="20" t="n"/>
      <c r="C650" s="21" t="n"/>
      <c r="D650" s="22" t="n"/>
      <c r="E650" s="23" t="n"/>
      <c r="F650" s="22" t="n"/>
      <c r="G650" s="14">
        <f>IF(OR(B650="",E650="",J650="",K650=""),"",IF(E650&lt;J650,"Below",IF(E650&gt;K650,"Above","In range")))</f>
        <v/>
      </c>
      <c r="H650" s="1" t="n"/>
      <c r="J650">
        <f>IF(M650="","",IF(INDEX(Settings!$C$10:$C$18,M650)="","",INDEX(Settings!$C$10:$C$18,M650)))</f>
        <v/>
      </c>
      <c r="K650">
        <f>IF(M650="","",IF(INDEX(Settings!$D$10:$D$18,M650)="","",INDEX(Settings!$D$10:$D$18,M650)))</f>
        <v/>
      </c>
      <c r="L650">
        <f>IF(OR(B650="",E650=""),"",B650+MOD(N(C650),1)+ROW()/10000000)</f>
        <v/>
      </c>
      <c r="M650">
        <f>IF(D650="","",IFERROR(MATCH(D650,Settings!$B$10:$B$18,0),""))</f>
        <v/>
      </c>
      <c r="N650">
        <f>IF(OR(B650="",E650="",M650=""),"",IF(AND(B650&gt;=Settings!$C$6,B650&lt;=Settings!$C$7),M650*10000+E650,""))</f>
        <v/>
      </c>
      <c r="O650">
        <f>IF(OR(B650="",E650=""),"",B650*10000+E650)</f>
        <v/>
      </c>
      <c r="P650">
        <f>IF(N650="","",E650)</f>
        <v/>
      </c>
    </row>
    <row r="651">
      <c r="A651" s="1" t="n"/>
      <c r="B651" s="20" t="n"/>
      <c r="C651" s="21" t="n"/>
      <c r="D651" s="22" t="n"/>
      <c r="E651" s="23" t="n"/>
      <c r="F651" s="22" t="n"/>
      <c r="G651" s="14">
        <f>IF(OR(B651="",E651="",J651="",K651=""),"",IF(E651&lt;J651,"Below",IF(E651&gt;K651,"Above","In range")))</f>
        <v/>
      </c>
      <c r="H651" s="1" t="n"/>
      <c r="J651">
        <f>IF(M651="","",IF(INDEX(Settings!$C$10:$C$18,M651)="","",INDEX(Settings!$C$10:$C$18,M651)))</f>
        <v/>
      </c>
      <c r="K651">
        <f>IF(M651="","",IF(INDEX(Settings!$D$10:$D$18,M651)="","",INDEX(Settings!$D$10:$D$18,M651)))</f>
        <v/>
      </c>
      <c r="L651">
        <f>IF(OR(B651="",E651=""),"",B651+MOD(N(C651),1)+ROW()/10000000)</f>
        <v/>
      </c>
      <c r="M651">
        <f>IF(D651="","",IFERROR(MATCH(D651,Settings!$B$10:$B$18,0),""))</f>
        <v/>
      </c>
      <c r="N651">
        <f>IF(OR(B651="",E651="",M651=""),"",IF(AND(B651&gt;=Settings!$C$6,B651&lt;=Settings!$C$7),M651*10000+E651,""))</f>
        <v/>
      </c>
      <c r="O651">
        <f>IF(OR(B651="",E651=""),"",B651*10000+E651)</f>
        <v/>
      </c>
      <c r="P651">
        <f>IF(N651="","",E651)</f>
        <v/>
      </c>
    </row>
    <row r="652">
      <c r="A652" s="1" t="n"/>
      <c r="B652" s="20" t="n"/>
      <c r="C652" s="21" t="n"/>
      <c r="D652" s="22" t="n"/>
      <c r="E652" s="23" t="n"/>
      <c r="F652" s="22" t="n"/>
      <c r="G652" s="14">
        <f>IF(OR(B652="",E652="",J652="",K652=""),"",IF(E652&lt;J652,"Below",IF(E652&gt;K652,"Above","In range")))</f>
        <v/>
      </c>
      <c r="H652" s="1" t="n"/>
      <c r="J652">
        <f>IF(M652="","",IF(INDEX(Settings!$C$10:$C$18,M652)="","",INDEX(Settings!$C$10:$C$18,M652)))</f>
        <v/>
      </c>
      <c r="K652">
        <f>IF(M652="","",IF(INDEX(Settings!$D$10:$D$18,M652)="","",INDEX(Settings!$D$10:$D$18,M652)))</f>
        <v/>
      </c>
      <c r="L652">
        <f>IF(OR(B652="",E652=""),"",B652+MOD(N(C652),1)+ROW()/10000000)</f>
        <v/>
      </c>
      <c r="M652">
        <f>IF(D652="","",IFERROR(MATCH(D652,Settings!$B$10:$B$18,0),""))</f>
        <v/>
      </c>
      <c r="N652">
        <f>IF(OR(B652="",E652="",M652=""),"",IF(AND(B652&gt;=Settings!$C$6,B652&lt;=Settings!$C$7),M652*10000+E652,""))</f>
        <v/>
      </c>
      <c r="O652">
        <f>IF(OR(B652="",E652=""),"",B652*10000+E652)</f>
        <v/>
      </c>
      <c r="P652">
        <f>IF(N652="","",E652)</f>
        <v/>
      </c>
    </row>
    <row r="653">
      <c r="A653" s="1" t="n"/>
      <c r="B653" s="20" t="n"/>
      <c r="C653" s="21" t="n"/>
      <c r="D653" s="22" t="n"/>
      <c r="E653" s="23" t="n"/>
      <c r="F653" s="22" t="n"/>
      <c r="G653" s="14">
        <f>IF(OR(B653="",E653="",J653="",K653=""),"",IF(E653&lt;J653,"Below",IF(E653&gt;K653,"Above","In range")))</f>
        <v/>
      </c>
      <c r="H653" s="1" t="n"/>
      <c r="J653">
        <f>IF(M653="","",IF(INDEX(Settings!$C$10:$C$18,M653)="","",INDEX(Settings!$C$10:$C$18,M653)))</f>
        <v/>
      </c>
      <c r="K653">
        <f>IF(M653="","",IF(INDEX(Settings!$D$10:$D$18,M653)="","",INDEX(Settings!$D$10:$D$18,M653)))</f>
        <v/>
      </c>
      <c r="L653">
        <f>IF(OR(B653="",E653=""),"",B653+MOD(N(C653),1)+ROW()/10000000)</f>
        <v/>
      </c>
      <c r="M653">
        <f>IF(D653="","",IFERROR(MATCH(D653,Settings!$B$10:$B$18,0),""))</f>
        <v/>
      </c>
      <c r="N653">
        <f>IF(OR(B653="",E653="",M653=""),"",IF(AND(B653&gt;=Settings!$C$6,B653&lt;=Settings!$C$7),M653*10000+E653,""))</f>
        <v/>
      </c>
      <c r="O653">
        <f>IF(OR(B653="",E653=""),"",B653*10000+E653)</f>
        <v/>
      </c>
      <c r="P653">
        <f>IF(N653="","",E653)</f>
        <v/>
      </c>
    </row>
    <row r="654">
      <c r="A654" s="1" t="n"/>
      <c r="B654" s="20" t="n"/>
      <c r="C654" s="21" t="n"/>
      <c r="D654" s="22" t="n"/>
      <c r="E654" s="23" t="n"/>
      <c r="F654" s="22" t="n"/>
      <c r="G654" s="14">
        <f>IF(OR(B654="",E654="",J654="",K654=""),"",IF(E654&lt;J654,"Below",IF(E654&gt;K654,"Above","In range")))</f>
        <v/>
      </c>
      <c r="H654" s="1" t="n"/>
      <c r="J654">
        <f>IF(M654="","",IF(INDEX(Settings!$C$10:$C$18,M654)="","",INDEX(Settings!$C$10:$C$18,M654)))</f>
        <v/>
      </c>
      <c r="K654">
        <f>IF(M654="","",IF(INDEX(Settings!$D$10:$D$18,M654)="","",INDEX(Settings!$D$10:$D$18,M654)))</f>
        <v/>
      </c>
      <c r="L654">
        <f>IF(OR(B654="",E654=""),"",B654+MOD(N(C654),1)+ROW()/10000000)</f>
        <v/>
      </c>
      <c r="M654">
        <f>IF(D654="","",IFERROR(MATCH(D654,Settings!$B$10:$B$18,0),""))</f>
        <v/>
      </c>
      <c r="N654">
        <f>IF(OR(B654="",E654="",M654=""),"",IF(AND(B654&gt;=Settings!$C$6,B654&lt;=Settings!$C$7),M654*10000+E654,""))</f>
        <v/>
      </c>
      <c r="O654">
        <f>IF(OR(B654="",E654=""),"",B654*10000+E654)</f>
        <v/>
      </c>
      <c r="P654">
        <f>IF(N654="","",E654)</f>
        <v/>
      </c>
    </row>
    <row r="655">
      <c r="A655" s="1" t="n"/>
      <c r="B655" s="20" t="n"/>
      <c r="C655" s="21" t="n"/>
      <c r="D655" s="22" t="n"/>
      <c r="E655" s="23" t="n"/>
      <c r="F655" s="22" t="n"/>
      <c r="G655" s="14">
        <f>IF(OR(B655="",E655="",J655="",K655=""),"",IF(E655&lt;J655,"Below",IF(E655&gt;K655,"Above","In range")))</f>
        <v/>
      </c>
      <c r="H655" s="1" t="n"/>
      <c r="J655">
        <f>IF(M655="","",IF(INDEX(Settings!$C$10:$C$18,M655)="","",INDEX(Settings!$C$10:$C$18,M655)))</f>
        <v/>
      </c>
      <c r="K655">
        <f>IF(M655="","",IF(INDEX(Settings!$D$10:$D$18,M655)="","",INDEX(Settings!$D$10:$D$18,M655)))</f>
        <v/>
      </c>
      <c r="L655">
        <f>IF(OR(B655="",E655=""),"",B655+MOD(N(C655),1)+ROW()/10000000)</f>
        <v/>
      </c>
      <c r="M655">
        <f>IF(D655="","",IFERROR(MATCH(D655,Settings!$B$10:$B$18,0),""))</f>
        <v/>
      </c>
      <c r="N655">
        <f>IF(OR(B655="",E655="",M655=""),"",IF(AND(B655&gt;=Settings!$C$6,B655&lt;=Settings!$C$7),M655*10000+E655,""))</f>
        <v/>
      </c>
      <c r="O655">
        <f>IF(OR(B655="",E655=""),"",B655*10000+E655)</f>
        <v/>
      </c>
      <c r="P655">
        <f>IF(N655="","",E655)</f>
        <v/>
      </c>
    </row>
    <row r="656">
      <c r="A656" s="1" t="n"/>
      <c r="B656" s="20" t="n"/>
      <c r="C656" s="21" t="n"/>
      <c r="D656" s="22" t="n"/>
      <c r="E656" s="23" t="n"/>
      <c r="F656" s="22" t="n"/>
      <c r="G656" s="14">
        <f>IF(OR(B656="",E656="",J656="",K656=""),"",IF(E656&lt;J656,"Below",IF(E656&gt;K656,"Above","In range")))</f>
        <v/>
      </c>
      <c r="H656" s="1" t="n"/>
      <c r="J656">
        <f>IF(M656="","",IF(INDEX(Settings!$C$10:$C$18,M656)="","",INDEX(Settings!$C$10:$C$18,M656)))</f>
        <v/>
      </c>
      <c r="K656">
        <f>IF(M656="","",IF(INDEX(Settings!$D$10:$D$18,M656)="","",INDEX(Settings!$D$10:$D$18,M656)))</f>
        <v/>
      </c>
      <c r="L656">
        <f>IF(OR(B656="",E656=""),"",B656+MOD(N(C656),1)+ROW()/10000000)</f>
        <v/>
      </c>
      <c r="M656">
        <f>IF(D656="","",IFERROR(MATCH(D656,Settings!$B$10:$B$18,0),""))</f>
        <v/>
      </c>
      <c r="N656">
        <f>IF(OR(B656="",E656="",M656=""),"",IF(AND(B656&gt;=Settings!$C$6,B656&lt;=Settings!$C$7),M656*10000+E656,""))</f>
        <v/>
      </c>
      <c r="O656">
        <f>IF(OR(B656="",E656=""),"",B656*10000+E656)</f>
        <v/>
      </c>
      <c r="P656">
        <f>IF(N656="","",E656)</f>
        <v/>
      </c>
    </row>
    <row r="657">
      <c r="A657" s="1" t="n"/>
      <c r="B657" s="20" t="n"/>
      <c r="C657" s="21" t="n"/>
      <c r="D657" s="22" t="n"/>
      <c r="E657" s="23" t="n"/>
      <c r="F657" s="22" t="n"/>
      <c r="G657" s="14">
        <f>IF(OR(B657="",E657="",J657="",K657=""),"",IF(E657&lt;J657,"Below",IF(E657&gt;K657,"Above","In range")))</f>
        <v/>
      </c>
      <c r="H657" s="1" t="n"/>
      <c r="J657">
        <f>IF(M657="","",IF(INDEX(Settings!$C$10:$C$18,M657)="","",INDEX(Settings!$C$10:$C$18,M657)))</f>
        <v/>
      </c>
      <c r="K657">
        <f>IF(M657="","",IF(INDEX(Settings!$D$10:$D$18,M657)="","",INDEX(Settings!$D$10:$D$18,M657)))</f>
        <v/>
      </c>
      <c r="L657">
        <f>IF(OR(B657="",E657=""),"",B657+MOD(N(C657),1)+ROW()/10000000)</f>
        <v/>
      </c>
      <c r="M657">
        <f>IF(D657="","",IFERROR(MATCH(D657,Settings!$B$10:$B$18,0),""))</f>
        <v/>
      </c>
      <c r="N657">
        <f>IF(OR(B657="",E657="",M657=""),"",IF(AND(B657&gt;=Settings!$C$6,B657&lt;=Settings!$C$7),M657*10000+E657,""))</f>
        <v/>
      </c>
      <c r="O657">
        <f>IF(OR(B657="",E657=""),"",B657*10000+E657)</f>
        <v/>
      </c>
      <c r="P657">
        <f>IF(N657="","",E657)</f>
        <v/>
      </c>
    </row>
    <row r="658">
      <c r="A658" s="1" t="n"/>
      <c r="B658" s="20" t="n"/>
      <c r="C658" s="21" t="n"/>
      <c r="D658" s="22" t="n"/>
      <c r="E658" s="23" t="n"/>
      <c r="F658" s="22" t="n"/>
      <c r="G658" s="14">
        <f>IF(OR(B658="",E658="",J658="",K658=""),"",IF(E658&lt;J658,"Below",IF(E658&gt;K658,"Above","In range")))</f>
        <v/>
      </c>
      <c r="H658" s="1" t="n"/>
      <c r="J658">
        <f>IF(M658="","",IF(INDEX(Settings!$C$10:$C$18,M658)="","",INDEX(Settings!$C$10:$C$18,M658)))</f>
        <v/>
      </c>
      <c r="K658">
        <f>IF(M658="","",IF(INDEX(Settings!$D$10:$D$18,M658)="","",INDEX(Settings!$D$10:$D$18,M658)))</f>
        <v/>
      </c>
      <c r="L658">
        <f>IF(OR(B658="",E658=""),"",B658+MOD(N(C658),1)+ROW()/10000000)</f>
        <v/>
      </c>
      <c r="M658">
        <f>IF(D658="","",IFERROR(MATCH(D658,Settings!$B$10:$B$18,0),""))</f>
        <v/>
      </c>
      <c r="N658">
        <f>IF(OR(B658="",E658="",M658=""),"",IF(AND(B658&gt;=Settings!$C$6,B658&lt;=Settings!$C$7),M658*10000+E658,""))</f>
        <v/>
      </c>
      <c r="O658">
        <f>IF(OR(B658="",E658=""),"",B658*10000+E658)</f>
        <v/>
      </c>
      <c r="P658">
        <f>IF(N658="","",E658)</f>
        <v/>
      </c>
    </row>
    <row r="659">
      <c r="A659" s="1" t="n"/>
      <c r="B659" s="20" t="n"/>
      <c r="C659" s="21" t="n"/>
      <c r="D659" s="22" t="n"/>
      <c r="E659" s="23" t="n"/>
      <c r="F659" s="22" t="n"/>
      <c r="G659" s="14">
        <f>IF(OR(B659="",E659="",J659="",K659=""),"",IF(E659&lt;J659,"Below",IF(E659&gt;K659,"Above","In range")))</f>
        <v/>
      </c>
      <c r="H659" s="1" t="n"/>
      <c r="J659">
        <f>IF(M659="","",IF(INDEX(Settings!$C$10:$C$18,M659)="","",INDEX(Settings!$C$10:$C$18,M659)))</f>
        <v/>
      </c>
      <c r="K659">
        <f>IF(M659="","",IF(INDEX(Settings!$D$10:$D$18,M659)="","",INDEX(Settings!$D$10:$D$18,M659)))</f>
        <v/>
      </c>
      <c r="L659">
        <f>IF(OR(B659="",E659=""),"",B659+MOD(N(C659),1)+ROW()/10000000)</f>
        <v/>
      </c>
      <c r="M659">
        <f>IF(D659="","",IFERROR(MATCH(D659,Settings!$B$10:$B$18,0),""))</f>
        <v/>
      </c>
      <c r="N659">
        <f>IF(OR(B659="",E659="",M659=""),"",IF(AND(B659&gt;=Settings!$C$6,B659&lt;=Settings!$C$7),M659*10000+E659,""))</f>
        <v/>
      </c>
      <c r="O659">
        <f>IF(OR(B659="",E659=""),"",B659*10000+E659)</f>
        <v/>
      </c>
      <c r="P659">
        <f>IF(N659="","",E659)</f>
        <v/>
      </c>
    </row>
    <row r="660">
      <c r="A660" s="1" t="n"/>
      <c r="B660" s="20" t="n"/>
      <c r="C660" s="21" t="n"/>
      <c r="D660" s="22" t="n"/>
      <c r="E660" s="23" t="n"/>
      <c r="F660" s="22" t="n"/>
      <c r="G660" s="14">
        <f>IF(OR(B660="",E660="",J660="",K660=""),"",IF(E660&lt;J660,"Below",IF(E660&gt;K660,"Above","In range")))</f>
        <v/>
      </c>
      <c r="H660" s="1" t="n"/>
      <c r="J660">
        <f>IF(M660="","",IF(INDEX(Settings!$C$10:$C$18,M660)="","",INDEX(Settings!$C$10:$C$18,M660)))</f>
        <v/>
      </c>
      <c r="K660">
        <f>IF(M660="","",IF(INDEX(Settings!$D$10:$D$18,M660)="","",INDEX(Settings!$D$10:$D$18,M660)))</f>
        <v/>
      </c>
      <c r="L660">
        <f>IF(OR(B660="",E660=""),"",B660+MOD(N(C660),1)+ROW()/10000000)</f>
        <v/>
      </c>
      <c r="M660">
        <f>IF(D660="","",IFERROR(MATCH(D660,Settings!$B$10:$B$18,0),""))</f>
        <v/>
      </c>
      <c r="N660">
        <f>IF(OR(B660="",E660="",M660=""),"",IF(AND(B660&gt;=Settings!$C$6,B660&lt;=Settings!$C$7),M660*10000+E660,""))</f>
        <v/>
      </c>
      <c r="O660">
        <f>IF(OR(B660="",E660=""),"",B660*10000+E660)</f>
        <v/>
      </c>
      <c r="P660">
        <f>IF(N660="","",E660)</f>
        <v/>
      </c>
    </row>
    <row r="661">
      <c r="A661" s="1" t="n"/>
      <c r="B661" s="20" t="n"/>
      <c r="C661" s="21" t="n"/>
      <c r="D661" s="22" t="n"/>
      <c r="E661" s="23" t="n"/>
      <c r="F661" s="22" t="n"/>
      <c r="G661" s="14">
        <f>IF(OR(B661="",E661="",J661="",K661=""),"",IF(E661&lt;J661,"Below",IF(E661&gt;K661,"Above","In range")))</f>
        <v/>
      </c>
      <c r="H661" s="1" t="n"/>
      <c r="J661">
        <f>IF(M661="","",IF(INDEX(Settings!$C$10:$C$18,M661)="","",INDEX(Settings!$C$10:$C$18,M661)))</f>
        <v/>
      </c>
      <c r="K661">
        <f>IF(M661="","",IF(INDEX(Settings!$D$10:$D$18,M661)="","",INDEX(Settings!$D$10:$D$18,M661)))</f>
        <v/>
      </c>
      <c r="L661">
        <f>IF(OR(B661="",E661=""),"",B661+MOD(N(C661),1)+ROW()/10000000)</f>
        <v/>
      </c>
      <c r="M661">
        <f>IF(D661="","",IFERROR(MATCH(D661,Settings!$B$10:$B$18,0),""))</f>
        <v/>
      </c>
      <c r="N661">
        <f>IF(OR(B661="",E661="",M661=""),"",IF(AND(B661&gt;=Settings!$C$6,B661&lt;=Settings!$C$7),M661*10000+E661,""))</f>
        <v/>
      </c>
      <c r="O661">
        <f>IF(OR(B661="",E661=""),"",B661*10000+E661)</f>
        <v/>
      </c>
      <c r="P661">
        <f>IF(N661="","",E661)</f>
        <v/>
      </c>
    </row>
    <row r="662">
      <c r="A662" s="1" t="n"/>
      <c r="B662" s="20" t="n"/>
      <c r="C662" s="21" t="n"/>
      <c r="D662" s="22" t="n"/>
      <c r="E662" s="23" t="n"/>
      <c r="F662" s="22" t="n"/>
      <c r="G662" s="14">
        <f>IF(OR(B662="",E662="",J662="",K662=""),"",IF(E662&lt;J662,"Below",IF(E662&gt;K662,"Above","In range")))</f>
        <v/>
      </c>
      <c r="H662" s="1" t="n"/>
      <c r="J662">
        <f>IF(M662="","",IF(INDEX(Settings!$C$10:$C$18,M662)="","",INDEX(Settings!$C$10:$C$18,M662)))</f>
        <v/>
      </c>
      <c r="K662">
        <f>IF(M662="","",IF(INDEX(Settings!$D$10:$D$18,M662)="","",INDEX(Settings!$D$10:$D$18,M662)))</f>
        <v/>
      </c>
      <c r="L662">
        <f>IF(OR(B662="",E662=""),"",B662+MOD(N(C662),1)+ROW()/10000000)</f>
        <v/>
      </c>
      <c r="M662">
        <f>IF(D662="","",IFERROR(MATCH(D662,Settings!$B$10:$B$18,0),""))</f>
        <v/>
      </c>
      <c r="N662">
        <f>IF(OR(B662="",E662="",M662=""),"",IF(AND(B662&gt;=Settings!$C$6,B662&lt;=Settings!$C$7),M662*10000+E662,""))</f>
        <v/>
      </c>
      <c r="O662">
        <f>IF(OR(B662="",E662=""),"",B662*10000+E662)</f>
        <v/>
      </c>
      <c r="P662">
        <f>IF(N662="","",E662)</f>
        <v/>
      </c>
    </row>
    <row r="663">
      <c r="A663" s="1" t="n"/>
      <c r="B663" s="20" t="n"/>
      <c r="C663" s="21" t="n"/>
      <c r="D663" s="22" t="n"/>
      <c r="E663" s="23" t="n"/>
      <c r="F663" s="22" t="n"/>
      <c r="G663" s="14">
        <f>IF(OR(B663="",E663="",J663="",K663=""),"",IF(E663&lt;J663,"Below",IF(E663&gt;K663,"Above","In range")))</f>
        <v/>
      </c>
      <c r="H663" s="1" t="n"/>
      <c r="J663">
        <f>IF(M663="","",IF(INDEX(Settings!$C$10:$C$18,M663)="","",INDEX(Settings!$C$10:$C$18,M663)))</f>
        <v/>
      </c>
      <c r="K663">
        <f>IF(M663="","",IF(INDEX(Settings!$D$10:$D$18,M663)="","",INDEX(Settings!$D$10:$D$18,M663)))</f>
        <v/>
      </c>
      <c r="L663">
        <f>IF(OR(B663="",E663=""),"",B663+MOD(N(C663),1)+ROW()/10000000)</f>
        <v/>
      </c>
      <c r="M663">
        <f>IF(D663="","",IFERROR(MATCH(D663,Settings!$B$10:$B$18,0),""))</f>
        <v/>
      </c>
      <c r="N663">
        <f>IF(OR(B663="",E663="",M663=""),"",IF(AND(B663&gt;=Settings!$C$6,B663&lt;=Settings!$C$7),M663*10000+E663,""))</f>
        <v/>
      </c>
      <c r="O663">
        <f>IF(OR(B663="",E663=""),"",B663*10000+E663)</f>
        <v/>
      </c>
      <c r="P663">
        <f>IF(N663="","",E663)</f>
        <v/>
      </c>
    </row>
    <row r="664">
      <c r="A664" s="1" t="n"/>
      <c r="B664" s="20" t="n"/>
      <c r="C664" s="21" t="n"/>
      <c r="D664" s="22" t="n"/>
      <c r="E664" s="23" t="n"/>
      <c r="F664" s="22" t="n"/>
      <c r="G664" s="14">
        <f>IF(OR(B664="",E664="",J664="",K664=""),"",IF(E664&lt;J664,"Below",IF(E664&gt;K664,"Above","In range")))</f>
        <v/>
      </c>
      <c r="H664" s="1" t="n"/>
      <c r="J664">
        <f>IF(M664="","",IF(INDEX(Settings!$C$10:$C$18,M664)="","",INDEX(Settings!$C$10:$C$18,M664)))</f>
        <v/>
      </c>
      <c r="K664">
        <f>IF(M664="","",IF(INDEX(Settings!$D$10:$D$18,M664)="","",INDEX(Settings!$D$10:$D$18,M664)))</f>
        <v/>
      </c>
      <c r="L664">
        <f>IF(OR(B664="",E664=""),"",B664+MOD(N(C664),1)+ROW()/10000000)</f>
        <v/>
      </c>
      <c r="M664">
        <f>IF(D664="","",IFERROR(MATCH(D664,Settings!$B$10:$B$18,0),""))</f>
        <v/>
      </c>
      <c r="N664">
        <f>IF(OR(B664="",E664="",M664=""),"",IF(AND(B664&gt;=Settings!$C$6,B664&lt;=Settings!$C$7),M664*10000+E664,""))</f>
        <v/>
      </c>
      <c r="O664">
        <f>IF(OR(B664="",E664=""),"",B664*10000+E664)</f>
        <v/>
      </c>
      <c r="P664">
        <f>IF(N664="","",E664)</f>
        <v/>
      </c>
    </row>
    <row r="665">
      <c r="A665" s="1" t="n"/>
      <c r="B665" s="20" t="n"/>
      <c r="C665" s="21" t="n"/>
      <c r="D665" s="22" t="n"/>
      <c r="E665" s="23" t="n"/>
      <c r="F665" s="22" t="n"/>
      <c r="G665" s="14">
        <f>IF(OR(B665="",E665="",J665="",K665=""),"",IF(E665&lt;J665,"Below",IF(E665&gt;K665,"Above","In range")))</f>
        <v/>
      </c>
      <c r="H665" s="1" t="n"/>
      <c r="J665">
        <f>IF(M665="","",IF(INDEX(Settings!$C$10:$C$18,M665)="","",INDEX(Settings!$C$10:$C$18,M665)))</f>
        <v/>
      </c>
      <c r="K665">
        <f>IF(M665="","",IF(INDEX(Settings!$D$10:$D$18,M665)="","",INDEX(Settings!$D$10:$D$18,M665)))</f>
        <v/>
      </c>
      <c r="L665">
        <f>IF(OR(B665="",E665=""),"",B665+MOD(N(C665),1)+ROW()/10000000)</f>
        <v/>
      </c>
      <c r="M665">
        <f>IF(D665="","",IFERROR(MATCH(D665,Settings!$B$10:$B$18,0),""))</f>
        <v/>
      </c>
      <c r="N665">
        <f>IF(OR(B665="",E665="",M665=""),"",IF(AND(B665&gt;=Settings!$C$6,B665&lt;=Settings!$C$7),M665*10000+E665,""))</f>
        <v/>
      </c>
      <c r="O665">
        <f>IF(OR(B665="",E665=""),"",B665*10000+E665)</f>
        <v/>
      </c>
      <c r="P665">
        <f>IF(N665="","",E665)</f>
        <v/>
      </c>
    </row>
    <row r="666">
      <c r="A666" s="1" t="n"/>
      <c r="B666" s="20" t="n"/>
      <c r="C666" s="21" t="n"/>
      <c r="D666" s="22" t="n"/>
      <c r="E666" s="23" t="n"/>
      <c r="F666" s="22" t="n"/>
      <c r="G666" s="14">
        <f>IF(OR(B666="",E666="",J666="",K666=""),"",IF(E666&lt;J666,"Below",IF(E666&gt;K666,"Above","In range")))</f>
        <v/>
      </c>
      <c r="H666" s="1" t="n"/>
      <c r="J666">
        <f>IF(M666="","",IF(INDEX(Settings!$C$10:$C$18,M666)="","",INDEX(Settings!$C$10:$C$18,M666)))</f>
        <v/>
      </c>
      <c r="K666">
        <f>IF(M666="","",IF(INDEX(Settings!$D$10:$D$18,M666)="","",INDEX(Settings!$D$10:$D$18,M666)))</f>
        <v/>
      </c>
      <c r="L666">
        <f>IF(OR(B666="",E666=""),"",B666+MOD(N(C666),1)+ROW()/10000000)</f>
        <v/>
      </c>
      <c r="M666">
        <f>IF(D666="","",IFERROR(MATCH(D666,Settings!$B$10:$B$18,0),""))</f>
        <v/>
      </c>
      <c r="N666">
        <f>IF(OR(B666="",E666="",M666=""),"",IF(AND(B666&gt;=Settings!$C$6,B666&lt;=Settings!$C$7),M666*10000+E666,""))</f>
        <v/>
      </c>
      <c r="O666">
        <f>IF(OR(B666="",E666=""),"",B666*10000+E666)</f>
        <v/>
      </c>
      <c r="P666">
        <f>IF(N666="","",E666)</f>
        <v/>
      </c>
    </row>
    <row r="667">
      <c r="A667" s="1" t="n"/>
      <c r="B667" s="20" t="n"/>
      <c r="C667" s="21" t="n"/>
      <c r="D667" s="22" t="n"/>
      <c r="E667" s="23" t="n"/>
      <c r="F667" s="22" t="n"/>
      <c r="G667" s="14">
        <f>IF(OR(B667="",E667="",J667="",K667=""),"",IF(E667&lt;J667,"Below",IF(E667&gt;K667,"Above","In range")))</f>
        <v/>
      </c>
      <c r="H667" s="1" t="n"/>
      <c r="J667">
        <f>IF(M667="","",IF(INDEX(Settings!$C$10:$C$18,M667)="","",INDEX(Settings!$C$10:$C$18,M667)))</f>
        <v/>
      </c>
      <c r="K667">
        <f>IF(M667="","",IF(INDEX(Settings!$D$10:$D$18,M667)="","",INDEX(Settings!$D$10:$D$18,M667)))</f>
        <v/>
      </c>
      <c r="L667">
        <f>IF(OR(B667="",E667=""),"",B667+MOD(N(C667),1)+ROW()/10000000)</f>
        <v/>
      </c>
      <c r="M667">
        <f>IF(D667="","",IFERROR(MATCH(D667,Settings!$B$10:$B$18,0),""))</f>
        <v/>
      </c>
      <c r="N667">
        <f>IF(OR(B667="",E667="",M667=""),"",IF(AND(B667&gt;=Settings!$C$6,B667&lt;=Settings!$C$7),M667*10000+E667,""))</f>
        <v/>
      </c>
      <c r="O667">
        <f>IF(OR(B667="",E667=""),"",B667*10000+E667)</f>
        <v/>
      </c>
      <c r="P667">
        <f>IF(N667="","",E667)</f>
        <v/>
      </c>
    </row>
    <row r="668">
      <c r="A668" s="1" t="n"/>
      <c r="B668" s="20" t="n"/>
      <c r="C668" s="21" t="n"/>
      <c r="D668" s="22" t="n"/>
      <c r="E668" s="23" t="n"/>
      <c r="F668" s="22" t="n"/>
      <c r="G668" s="14">
        <f>IF(OR(B668="",E668="",J668="",K668=""),"",IF(E668&lt;J668,"Below",IF(E668&gt;K668,"Above","In range")))</f>
        <v/>
      </c>
      <c r="H668" s="1" t="n"/>
      <c r="J668">
        <f>IF(M668="","",IF(INDEX(Settings!$C$10:$C$18,M668)="","",INDEX(Settings!$C$10:$C$18,M668)))</f>
        <v/>
      </c>
      <c r="K668">
        <f>IF(M668="","",IF(INDEX(Settings!$D$10:$D$18,M668)="","",INDEX(Settings!$D$10:$D$18,M668)))</f>
        <v/>
      </c>
      <c r="L668">
        <f>IF(OR(B668="",E668=""),"",B668+MOD(N(C668),1)+ROW()/10000000)</f>
        <v/>
      </c>
      <c r="M668">
        <f>IF(D668="","",IFERROR(MATCH(D668,Settings!$B$10:$B$18,0),""))</f>
        <v/>
      </c>
      <c r="N668">
        <f>IF(OR(B668="",E668="",M668=""),"",IF(AND(B668&gt;=Settings!$C$6,B668&lt;=Settings!$C$7),M668*10000+E668,""))</f>
        <v/>
      </c>
      <c r="O668">
        <f>IF(OR(B668="",E668=""),"",B668*10000+E668)</f>
        <v/>
      </c>
      <c r="P668">
        <f>IF(N668="","",E668)</f>
        <v/>
      </c>
    </row>
    <row r="669">
      <c r="A669" s="1" t="n"/>
      <c r="B669" s="20" t="n"/>
      <c r="C669" s="21" t="n"/>
      <c r="D669" s="22" t="n"/>
      <c r="E669" s="23" t="n"/>
      <c r="F669" s="22" t="n"/>
      <c r="G669" s="14">
        <f>IF(OR(B669="",E669="",J669="",K669=""),"",IF(E669&lt;J669,"Below",IF(E669&gt;K669,"Above","In range")))</f>
        <v/>
      </c>
      <c r="H669" s="1" t="n"/>
      <c r="J669">
        <f>IF(M669="","",IF(INDEX(Settings!$C$10:$C$18,M669)="","",INDEX(Settings!$C$10:$C$18,M669)))</f>
        <v/>
      </c>
      <c r="K669">
        <f>IF(M669="","",IF(INDEX(Settings!$D$10:$D$18,M669)="","",INDEX(Settings!$D$10:$D$18,M669)))</f>
        <v/>
      </c>
      <c r="L669">
        <f>IF(OR(B669="",E669=""),"",B669+MOD(N(C669),1)+ROW()/10000000)</f>
        <v/>
      </c>
      <c r="M669">
        <f>IF(D669="","",IFERROR(MATCH(D669,Settings!$B$10:$B$18,0),""))</f>
        <v/>
      </c>
      <c r="N669">
        <f>IF(OR(B669="",E669="",M669=""),"",IF(AND(B669&gt;=Settings!$C$6,B669&lt;=Settings!$C$7),M669*10000+E669,""))</f>
        <v/>
      </c>
      <c r="O669">
        <f>IF(OR(B669="",E669=""),"",B669*10000+E669)</f>
        <v/>
      </c>
      <c r="P669">
        <f>IF(N669="","",E669)</f>
        <v/>
      </c>
    </row>
    <row r="670">
      <c r="A670" s="1" t="n"/>
      <c r="B670" s="20" t="n"/>
      <c r="C670" s="21" t="n"/>
      <c r="D670" s="22" t="n"/>
      <c r="E670" s="23" t="n"/>
      <c r="F670" s="22" t="n"/>
      <c r="G670" s="14">
        <f>IF(OR(B670="",E670="",J670="",K670=""),"",IF(E670&lt;J670,"Below",IF(E670&gt;K670,"Above","In range")))</f>
        <v/>
      </c>
      <c r="H670" s="1" t="n"/>
      <c r="J670">
        <f>IF(M670="","",IF(INDEX(Settings!$C$10:$C$18,M670)="","",INDEX(Settings!$C$10:$C$18,M670)))</f>
        <v/>
      </c>
      <c r="K670">
        <f>IF(M670="","",IF(INDEX(Settings!$D$10:$D$18,M670)="","",INDEX(Settings!$D$10:$D$18,M670)))</f>
        <v/>
      </c>
      <c r="L670">
        <f>IF(OR(B670="",E670=""),"",B670+MOD(N(C670),1)+ROW()/10000000)</f>
        <v/>
      </c>
      <c r="M670">
        <f>IF(D670="","",IFERROR(MATCH(D670,Settings!$B$10:$B$18,0),""))</f>
        <v/>
      </c>
      <c r="N670">
        <f>IF(OR(B670="",E670="",M670=""),"",IF(AND(B670&gt;=Settings!$C$6,B670&lt;=Settings!$C$7),M670*10000+E670,""))</f>
        <v/>
      </c>
      <c r="O670">
        <f>IF(OR(B670="",E670=""),"",B670*10000+E670)</f>
        <v/>
      </c>
      <c r="P670">
        <f>IF(N670="","",E670)</f>
        <v/>
      </c>
    </row>
    <row r="671">
      <c r="A671" s="1" t="n"/>
      <c r="B671" s="20" t="n"/>
      <c r="C671" s="21" t="n"/>
      <c r="D671" s="22" t="n"/>
      <c r="E671" s="23" t="n"/>
      <c r="F671" s="22" t="n"/>
      <c r="G671" s="14">
        <f>IF(OR(B671="",E671="",J671="",K671=""),"",IF(E671&lt;J671,"Below",IF(E671&gt;K671,"Above","In range")))</f>
        <v/>
      </c>
      <c r="H671" s="1" t="n"/>
      <c r="J671">
        <f>IF(M671="","",IF(INDEX(Settings!$C$10:$C$18,M671)="","",INDEX(Settings!$C$10:$C$18,M671)))</f>
        <v/>
      </c>
      <c r="K671">
        <f>IF(M671="","",IF(INDEX(Settings!$D$10:$D$18,M671)="","",INDEX(Settings!$D$10:$D$18,M671)))</f>
        <v/>
      </c>
      <c r="L671">
        <f>IF(OR(B671="",E671=""),"",B671+MOD(N(C671),1)+ROW()/10000000)</f>
        <v/>
      </c>
      <c r="M671">
        <f>IF(D671="","",IFERROR(MATCH(D671,Settings!$B$10:$B$18,0),""))</f>
        <v/>
      </c>
      <c r="N671">
        <f>IF(OR(B671="",E671="",M671=""),"",IF(AND(B671&gt;=Settings!$C$6,B671&lt;=Settings!$C$7),M671*10000+E671,""))</f>
        <v/>
      </c>
      <c r="O671">
        <f>IF(OR(B671="",E671=""),"",B671*10000+E671)</f>
        <v/>
      </c>
      <c r="P671">
        <f>IF(N671="","",E671)</f>
        <v/>
      </c>
    </row>
    <row r="672">
      <c r="A672" s="1" t="n"/>
      <c r="B672" s="20" t="n"/>
      <c r="C672" s="21" t="n"/>
      <c r="D672" s="22" t="n"/>
      <c r="E672" s="23" t="n"/>
      <c r="F672" s="22" t="n"/>
      <c r="G672" s="14">
        <f>IF(OR(B672="",E672="",J672="",K672=""),"",IF(E672&lt;J672,"Below",IF(E672&gt;K672,"Above","In range")))</f>
        <v/>
      </c>
      <c r="H672" s="1" t="n"/>
      <c r="J672">
        <f>IF(M672="","",IF(INDEX(Settings!$C$10:$C$18,M672)="","",INDEX(Settings!$C$10:$C$18,M672)))</f>
        <v/>
      </c>
      <c r="K672">
        <f>IF(M672="","",IF(INDEX(Settings!$D$10:$D$18,M672)="","",INDEX(Settings!$D$10:$D$18,M672)))</f>
        <v/>
      </c>
      <c r="L672">
        <f>IF(OR(B672="",E672=""),"",B672+MOD(N(C672),1)+ROW()/10000000)</f>
        <v/>
      </c>
      <c r="M672">
        <f>IF(D672="","",IFERROR(MATCH(D672,Settings!$B$10:$B$18,0),""))</f>
        <v/>
      </c>
      <c r="N672">
        <f>IF(OR(B672="",E672="",M672=""),"",IF(AND(B672&gt;=Settings!$C$6,B672&lt;=Settings!$C$7),M672*10000+E672,""))</f>
        <v/>
      </c>
      <c r="O672">
        <f>IF(OR(B672="",E672=""),"",B672*10000+E672)</f>
        <v/>
      </c>
      <c r="P672">
        <f>IF(N672="","",E672)</f>
        <v/>
      </c>
    </row>
    <row r="673">
      <c r="A673" s="1" t="n"/>
      <c r="B673" s="20" t="n"/>
      <c r="C673" s="21" t="n"/>
      <c r="D673" s="22" t="n"/>
      <c r="E673" s="23" t="n"/>
      <c r="F673" s="22" t="n"/>
      <c r="G673" s="14">
        <f>IF(OR(B673="",E673="",J673="",K673=""),"",IF(E673&lt;J673,"Below",IF(E673&gt;K673,"Above","In range")))</f>
        <v/>
      </c>
      <c r="H673" s="1" t="n"/>
      <c r="J673">
        <f>IF(M673="","",IF(INDEX(Settings!$C$10:$C$18,M673)="","",INDEX(Settings!$C$10:$C$18,M673)))</f>
        <v/>
      </c>
      <c r="K673">
        <f>IF(M673="","",IF(INDEX(Settings!$D$10:$D$18,M673)="","",INDEX(Settings!$D$10:$D$18,M673)))</f>
        <v/>
      </c>
      <c r="L673">
        <f>IF(OR(B673="",E673=""),"",B673+MOD(N(C673),1)+ROW()/10000000)</f>
        <v/>
      </c>
      <c r="M673">
        <f>IF(D673="","",IFERROR(MATCH(D673,Settings!$B$10:$B$18,0),""))</f>
        <v/>
      </c>
      <c r="N673">
        <f>IF(OR(B673="",E673="",M673=""),"",IF(AND(B673&gt;=Settings!$C$6,B673&lt;=Settings!$C$7),M673*10000+E673,""))</f>
        <v/>
      </c>
      <c r="O673">
        <f>IF(OR(B673="",E673=""),"",B673*10000+E673)</f>
        <v/>
      </c>
      <c r="P673">
        <f>IF(N673="","",E673)</f>
        <v/>
      </c>
    </row>
    <row r="674">
      <c r="A674" s="1" t="n"/>
      <c r="B674" s="20" t="n"/>
      <c r="C674" s="21" t="n"/>
      <c r="D674" s="22" t="n"/>
      <c r="E674" s="23" t="n"/>
      <c r="F674" s="22" t="n"/>
      <c r="G674" s="14">
        <f>IF(OR(B674="",E674="",J674="",K674=""),"",IF(E674&lt;J674,"Below",IF(E674&gt;K674,"Above","In range")))</f>
        <v/>
      </c>
      <c r="H674" s="1" t="n"/>
      <c r="J674">
        <f>IF(M674="","",IF(INDEX(Settings!$C$10:$C$18,M674)="","",INDEX(Settings!$C$10:$C$18,M674)))</f>
        <v/>
      </c>
      <c r="K674">
        <f>IF(M674="","",IF(INDEX(Settings!$D$10:$D$18,M674)="","",INDEX(Settings!$D$10:$D$18,M674)))</f>
        <v/>
      </c>
      <c r="L674">
        <f>IF(OR(B674="",E674=""),"",B674+MOD(N(C674),1)+ROW()/10000000)</f>
        <v/>
      </c>
      <c r="M674">
        <f>IF(D674="","",IFERROR(MATCH(D674,Settings!$B$10:$B$18,0),""))</f>
        <v/>
      </c>
      <c r="N674">
        <f>IF(OR(B674="",E674="",M674=""),"",IF(AND(B674&gt;=Settings!$C$6,B674&lt;=Settings!$C$7),M674*10000+E674,""))</f>
        <v/>
      </c>
      <c r="O674">
        <f>IF(OR(B674="",E674=""),"",B674*10000+E674)</f>
        <v/>
      </c>
      <c r="P674">
        <f>IF(N674="","",E674)</f>
        <v/>
      </c>
    </row>
    <row r="675">
      <c r="A675" s="1" t="n"/>
      <c r="B675" s="20" t="n"/>
      <c r="C675" s="21" t="n"/>
      <c r="D675" s="22" t="n"/>
      <c r="E675" s="23" t="n"/>
      <c r="F675" s="22" t="n"/>
      <c r="G675" s="14">
        <f>IF(OR(B675="",E675="",J675="",K675=""),"",IF(E675&lt;J675,"Below",IF(E675&gt;K675,"Above","In range")))</f>
        <v/>
      </c>
      <c r="H675" s="1" t="n"/>
      <c r="J675">
        <f>IF(M675="","",IF(INDEX(Settings!$C$10:$C$18,M675)="","",INDEX(Settings!$C$10:$C$18,M675)))</f>
        <v/>
      </c>
      <c r="K675">
        <f>IF(M675="","",IF(INDEX(Settings!$D$10:$D$18,M675)="","",INDEX(Settings!$D$10:$D$18,M675)))</f>
        <v/>
      </c>
      <c r="L675">
        <f>IF(OR(B675="",E675=""),"",B675+MOD(N(C675),1)+ROW()/10000000)</f>
        <v/>
      </c>
      <c r="M675">
        <f>IF(D675="","",IFERROR(MATCH(D675,Settings!$B$10:$B$18,0),""))</f>
        <v/>
      </c>
      <c r="N675">
        <f>IF(OR(B675="",E675="",M675=""),"",IF(AND(B675&gt;=Settings!$C$6,B675&lt;=Settings!$C$7),M675*10000+E675,""))</f>
        <v/>
      </c>
      <c r="O675">
        <f>IF(OR(B675="",E675=""),"",B675*10000+E675)</f>
        <v/>
      </c>
      <c r="P675">
        <f>IF(N675="","",E675)</f>
        <v/>
      </c>
    </row>
    <row r="676">
      <c r="A676" s="1" t="n"/>
      <c r="B676" s="20" t="n"/>
      <c r="C676" s="21" t="n"/>
      <c r="D676" s="22" t="n"/>
      <c r="E676" s="23" t="n"/>
      <c r="F676" s="22" t="n"/>
      <c r="G676" s="14">
        <f>IF(OR(B676="",E676="",J676="",K676=""),"",IF(E676&lt;J676,"Below",IF(E676&gt;K676,"Above","In range")))</f>
        <v/>
      </c>
      <c r="H676" s="1" t="n"/>
      <c r="J676">
        <f>IF(M676="","",IF(INDEX(Settings!$C$10:$C$18,M676)="","",INDEX(Settings!$C$10:$C$18,M676)))</f>
        <v/>
      </c>
      <c r="K676">
        <f>IF(M676="","",IF(INDEX(Settings!$D$10:$D$18,M676)="","",INDEX(Settings!$D$10:$D$18,M676)))</f>
        <v/>
      </c>
      <c r="L676">
        <f>IF(OR(B676="",E676=""),"",B676+MOD(N(C676),1)+ROW()/10000000)</f>
        <v/>
      </c>
      <c r="M676">
        <f>IF(D676="","",IFERROR(MATCH(D676,Settings!$B$10:$B$18,0),""))</f>
        <v/>
      </c>
      <c r="N676">
        <f>IF(OR(B676="",E676="",M676=""),"",IF(AND(B676&gt;=Settings!$C$6,B676&lt;=Settings!$C$7),M676*10000+E676,""))</f>
        <v/>
      </c>
      <c r="O676">
        <f>IF(OR(B676="",E676=""),"",B676*10000+E676)</f>
        <v/>
      </c>
      <c r="P676">
        <f>IF(N676="","",E676)</f>
        <v/>
      </c>
    </row>
    <row r="677">
      <c r="A677" s="1" t="n"/>
      <c r="B677" s="20" t="n"/>
      <c r="C677" s="21" t="n"/>
      <c r="D677" s="22" t="n"/>
      <c r="E677" s="23" t="n"/>
      <c r="F677" s="22" t="n"/>
      <c r="G677" s="14">
        <f>IF(OR(B677="",E677="",J677="",K677=""),"",IF(E677&lt;J677,"Below",IF(E677&gt;K677,"Above","In range")))</f>
        <v/>
      </c>
      <c r="H677" s="1" t="n"/>
      <c r="J677">
        <f>IF(M677="","",IF(INDEX(Settings!$C$10:$C$18,M677)="","",INDEX(Settings!$C$10:$C$18,M677)))</f>
        <v/>
      </c>
      <c r="K677">
        <f>IF(M677="","",IF(INDEX(Settings!$D$10:$D$18,M677)="","",INDEX(Settings!$D$10:$D$18,M677)))</f>
        <v/>
      </c>
      <c r="L677">
        <f>IF(OR(B677="",E677=""),"",B677+MOD(N(C677),1)+ROW()/10000000)</f>
        <v/>
      </c>
      <c r="M677">
        <f>IF(D677="","",IFERROR(MATCH(D677,Settings!$B$10:$B$18,0),""))</f>
        <v/>
      </c>
      <c r="N677">
        <f>IF(OR(B677="",E677="",M677=""),"",IF(AND(B677&gt;=Settings!$C$6,B677&lt;=Settings!$C$7),M677*10000+E677,""))</f>
        <v/>
      </c>
      <c r="O677">
        <f>IF(OR(B677="",E677=""),"",B677*10000+E677)</f>
        <v/>
      </c>
      <c r="P677">
        <f>IF(N677="","",E677)</f>
        <v/>
      </c>
    </row>
    <row r="678">
      <c r="A678" s="1" t="n"/>
      <c r="B678" s="20" t="n"/>
      <c r="C678" s="21" t="n"/>
      <c r="D678" s="22" t="n"/>
      <c r="E678" s="23" t="n"/>
      <c r="F678" s="22" t="n"/>
      <c r="G678" s="14">
        <f>IF(OR(B678="",E678="",J678="",K678=""),"",IF(E678&lt;J678,"Below",IF(E678&gt;K678,"Above","In range")))</f>
        <v/>
      </c>
      <c r="H678" s="1" t="n"/>
      <c r="J678">
        <f>IF(M678="","",IF(INDEX(Settings!$C$10:$C$18,M678)="","",INDEX(Settings!$C$10:$C$18,M678)))</f>
        <v/>
      </c>
      <c r="K678">
        <f>IF(M678="","",IF(INDEX(Settings!$D$10:$D$18,M678)="","",INDEX(Settings!$D$10:$D$18,M678)))</f>
        <v/>
      </c>
      <c r="L678">
        <f>IF(OR(B678="",E678=""),"",B678+MOD(N(C678),1)+ROW()/10000000)</f>
        <v/>
      </c>
      <c r="M678">
        <f>IF(D678="","",IFERROR(MATCH(D678,Settings!$B$10:$B$18,0),""))</f>
        <v/>
      </c>
      <c r="N678">
        <f>IF(OR(B678="",E678="",M678=""),"",IF(AND(B678&gt;=Settings!$C$6,B678&lt;=Settings!$C$7),M678*10000+E678,""))</f>
        <v/>
      </c>
      <c r="O678">
        <f>IF(OR(B678="",E678=""),"",B678*10000+E678)</f>
        <v/>
      </c>
      <c r="P678">
        <f>IF(N678="","",E678)</f>
        <v/>
      </c>
    </row>
    <row r="679">
      <c r="A679" s="1" t="n"/>
      <c r="B679" s="20" t="n"/>
      <c r="C679" s="21" t="n"/>
      <c r="D679" s="22" t="n"/>
      <c r="E679" s="23" t="n"/>
      <c r="F679" s="22" t="n"/>
      <c r="G679" s="14">
        <f>IF(OR(B679="",E679="",J679="",K679=""),"",IF(E679&lt;J679,"Below",IF(E679&gt;K679,"Above","In range")))</f>
        <v/>
      </c>
      <c r="H679" s="1" t="n"/>
      <c r="J679">
        <f>IF(M679="","",IF(INDEX(Settings!$C$10:$C$18,M679)="","",INDEX(Settings!$C$10:$C$18,M679)))</f>
        <v/>
      </c>
      <c r="K679">
        <f>IF(M679="","",IF(INDEX(Settings!$D$10:$D$18,M679)="","",INDEX(Settings!$D$10:$D$18,M679)))</f>
        <v/>
      </c>
      <c r="L679">
        <f>IF(OR(B679="",E679=""),"",B679+MOD(N(C679),1)+ROW()/10000000)</f>
        <v/>
      </c>
      <c r="M679">
        <f>IF(D679="","",IFERROR(MATCH(D679,Settings!$B$10:$B$18,0),""))</f>
        <v/>
      </c>
      <c r="N679">
        <f>IF(OR(B679="",E679="",M679=""),"",IF(AND(B679&gt;=Settings!$C$6,B679&lt;=Settings!$C$7),M679*10000+E679,""))</f>
        <v/>
      </c>
      <c r="O679">
        <f>IF(OR(B679="",E679=""),"",B679*10000+E679)</f>
        <v/>
      </c>
      <c r="P679">
        <f>IF(N679="","",E679)</f>
        <v/>
      </c>
    </row>
    <row r="680">
      <c r="A680" s="1" t="n"/>
      <c r="B680" s="20" t="n"/>
      <c r="C680" s="21" t="n"/>
      <c r="D680" s="22" t="n"/>
      <c r="E680" s="23" t="n"/>
      <c r="F680" s="22" t="n"/>
      <c r="G680" s="14">
        <f>IF(OR(B680="",E680="",J680="",K680=""),"",IF(E680&lt;J680,"Below",IF(E680&gt;K680,"Above","In range")))</f>
        <v/>
      </c>
      <c r="H680" s="1" t="n"/>
      <c r="J680">
        <f>IF(M680="","",IF(INDEX(Settings!$C$10:$C$18,M680)="","",INDEX(Settings!$C$10:$C$18,M680)))</f>
        <v/>
      </c>
      <c r="K680">
        <f>IF(M680="","",IF(INDEX(Settings!$D$10:$D$18,M680)="","",INDEX(Settings!$D$10:$D$18,M680)))</f>
        <v/>
      </c>
      <c r="L680">
        <f>IF(OR(B680="",E680=""),"",B680+MOD(N(C680),1)+ROW()/10000000)</f>
        <v/>
      </c>
      <c r="M680">
        <f>IF(D680="","",IFERROR(MATCH(D680,Settings!$B$10:$B$18,0),""))</f>
        <v/>
      </c>
      <c r="N680">
        <f>IF(OR(B680="",E680="",M680=""),"",IF(AND(B680&gt;=Settings!$C$6,B680&lt;=Settings!$C$7),M680*10000+E680,""))</f>
        <v/>
      </c>
      <c r="O680">
        <f>IF(OR(B680="",E680=""),"",B680*10000+E680)</f>
        <v/>
      </c>
      <c r="P680">
        <f>IF(N680="","",E680)</f>
        <v/>
      </c>
    </row>
    <row r="681">
      <c r="A681" s="1" t="n"/>
      <c r="B681" s="20" t="n"/>
      <c r="C681" s="21" t="n"/>
      <c r="D681" s="22" t="n"/>
      <c r="E681" s="23" t="n"/>
      <c r="F681" s="22" t="n"/>
      <c r="G681" s="14">
        <f>IF(OR(B681="",E681="",J681="",K681=""),"",IF(E681&lt;J681,"Below",IF(E681&gt;K681,"Above","In range")))</f>
        <v/>
      </c>
      <c r="H681" s="1" t="n"/>
      <c r="J681">
        <f>IF(M681="","",IF(INDEX(Settings!$C$10:$C$18,M681)="","",INDEX(Settings!$C$10:$C$18,M681)))</f>
        <v/>
      </c>
      <c r="K681">
        <f>IF(M681="","",IF(INDEX(Settings!$D$10:$D$18,M681)="","",INDEX(Settings!$D$10:$D$18,M681)))</f>
        <v/>
      </c>
      <c r="L681">
        <f>IF(OR(B681="",E681=""),"",B681+MOD(N(C681),1)+ROW()/10000000)</f>
        <v/>
      </c>
      <c r="M681">
        <f>IF(D681="","",IFERROR(MATCH(D681,Settings!$B$10:$B$18,0),""))</f>
        <v/>
      </c>
      <c r="N681">
        <f>IF(OR(B681="",E681="",M681=""),"",IF(AND(B681&gt;=Settings!$C$6,B681&lt;=Settings!$C$7),M681*10000+E681,""))</f>
        <v/>
      </c>
      <c r="O681">
        <f>IF(OR(B681="",E681=""),"",B681*10000+E681)</f>
        <v/>
      </c>
      <c r="P681">
        <f>IF(N681="","",E681)</f>
        <v/>
      </c>
    </row>
    <row r="682">
      <c r="A682" s="1" t="n"/>
      <c r="B682" s="20" t="n"/>
      <c r="C682" s="21" t="n"/>
      <c r="D682" s="22" t="n"/>
      <c r="E682" s="23" t="n"/>
      <c r="F682" s="22" t="n"/>
      <c r="G682" s="14">
        <f>IF(OR(B682="",E682="",J682="",K682=""),"",IF(E682&lt;J682,"Below",IF(E682&gt;K682,"Above","In range")))</f>
        <v/>
      </c>
      <c r="H682" s="1" t="n"/>
      <c r="J682">
        <f>IF(M682="","",IF(INDEX(Settings!$C$10:$C$18,M682)="","",INDEX(Settings!$C$10:$C$18,M682)))</f>
        <v/>
      </c>
      <c r="K682">
        <f>IF(M682="","",IF(INDEX(Settings!$D$10:$D$18,M682)="","",INDEX(Settings!$D$10:$D$18,M682)))</f>
        <v/>
      </c>
      <c r="L682">
        <f>IF(OR(B682="",E682=""),"",B682+MOD(N(C682),1)+ROW()/10000000)</f>
        <v/>
      </c>
      <c r="M682">
        <f>IF(D682="","",IFERROR(MATCH(D682,Settings!$B$10:$B$18,0),""))</f>
        <v/>
      </c>
      <c r="N682">
        <f>IF(OR(B682="",E682="",M682=""),"",IF(AND(B682&gt;=Settings!$C$6,B682&lt;=Settings!$C$7),M682*10000+E682,""))</f>
        <v/>
      </c>
      <c r="O682">
        <f>IF(OR(B682="",E682=""),"",B682*10000+E682)</f>
        <v/>
      </c>
      <c r="P682">
        <f>IF(N682="","",E682)</f>
        <v/>
      </c>
    </row>
    <row r="683">
      <c r="A683" s="1" t="n"/>
      <c r="B683" s="20" t="n"/>
      <c r="C683" s="21" t="n"/>
      <c r="D683" s="22" t="n"/>
      <c r="E683" s="23" t="n"/>
      <c r="F683" s="22" t="n"/>
      <c r="G683" s="14">
        <f>IF(OR(B683="",E683="",J683="",K683=""),"",IF(E683&lt;J683,"Below",IF(E683&gt;K683,"Above","In range")))</f>
        <v/>
      </c>
      <c r="H683" s="1" t="n"/>
      <c r="J683">
        <f>IF(M683="","",IF(INDEX(Settings!$C$10:$C$18,M683)="","",INDEX(Settings!$C$10:$C$18,M683)))</f>
        <v/>
      </c>
      <c r="K683">
        <f>IF(M683="","",IF(INDEX(Settings!$D$10:$D$18,M683)="","",INDEX(Settings!$D$10:$D$18,M683)))</f>
        <v/>
      </c>
      <c r="L683">
        <f>IF(OR(B683="",E683=""),"",B683+MOD(N(C683),1)+ROW()/10000000)</f>
        <v/>
      </c>
      <c r="M683">
        <f>IF(D683="","",IFERROR(MATCH(D683,Settings!$B$10:$B$18,0),""))</f>
        <v/>
      </c>
      <c r="N683">
        <f>IF(OR(B683="",E683="",M683=""),"",IF(AND(B683&gt;=Settings!$C$6,B683&lt;=Settings!$C$7),M683*10000+E683,""))</f>
        <v/>
      </c>
      <c r="O683">
        <f>IF(OR(B683="",E683=""),"",B683*10000+E683)</f>
        <v/>
      </c>
      <c r="P683">
        <f>IF(N683="","",E683)</f>
        <v/>
      </c>
    </row>
    <row r="684">
      <c r="A684" s="1" t="n"/>
      <c r="B684" s="20" t="n"/>
      <c r="C684" s="21" t="n"/>
      <c r="D684" s="22" t="n"/>
      <c r="E684" s="23" t="n"/>
      <c r="F684" s="22" t="n"/>
      <c r="G684" s="14">
        <f>IF(OR(B684="",E684="",J684="",K684=""),"",IF(E684&lt;J684,"Below",IF(E684&gt;K684,"Above","In range")))</f>
        <v/>
      </c>
      <c r="H684" s="1" t="n"/>
      <c r="J684">
        <f>IF(M684="","",IF(INDEX(Settings!$C$10:$C$18,M684)="","",INDEX(Settings!$C$10:$C$18,M684)))</f>
        <v/>
      </c>
      <c r="K684">
        <f>IF(M684="","",IF(INDEX(Settings!$D$10:$D$18,M684)="","",INDEX(Settings!$D$10:$D$18,M684)))</f>
        <v/>
      </c>
      <c r="L684">
        <f>IF(OR(B684="",E684=""),"",B684+MOD(N(C684),1)+ROW()/10000000)</f>
        <v/>
      </c>
      <c r="M684">
        <f>IF(D684="","",IFERROR(MATCH(D684,Settings!$B$10:$B$18,0),""))</f>
        <v/>
      </c>
      <c r="N684">
        <f>IF(OR(B684="",E684="",M684=""),"",IF(AND(B684&gt;=Settings!$C$6,B684&lt;=Settings!$C$7),M684*10000+E684,""))</f>
        <v/>
      </c>
      <c r="O684">
        <f>IF(OR(B684="",E684=""),"",B684*10000+E684)</f>
        <v/>
      </c>
      <c r="P684">
        <f>IF(N684="","",E684)</f>
        <v/>
      </c>
    </row>
    <row r="685">
      <c r="A685" s="1" t="n"/>
      <c r="B685" s="20" t="n"/>
      <c r="C685" s="21" t="n"/>
      <c r="D685" s="22" t="n"/>
      <c r="E685" s="23" t="n"/>
      <c r="F685" s="22" t="n"/>
      <c r="G685" s="14">
        <f>IF(OR(B685="",E685="",J685="",K685=""),"",IF(E685&lt;J685,"Below",IF(E685&gt;K685,"Above","In range")))</f>
        <v/>
      </c>
      <c r="H685" s="1" t="n"/>
      <c r="J685">
        <f>IF(M685="","",IF(INDEX(Settings!$C$10:$C$18,M685)="","",INDEX(Settings!$C$10:$C$18,M685)))</f>
        <v/>
      </c>
      <c r="K685">
        <f>IF(M685="","",IF(INDEX(Settings!$D$10:$D$18,M685)="","",INDEX(Settings!$D$10:$D$18,M685)))</f>
        <v/>
      </c>
      <c r="L685">
        <f>IF(OR(B685="",E685=""),"",B685+MOD(N(C685),1)+ROW()/10000000)</f>
        <v/>
      </c>
      <c r="M685">
        <f>IF(D685="","",IFERROR(MATCH(D685,Settings!$B$10:$B$18,0),""))</f>
        <v/>
      </c>
      <c r="N685">
        <f>IF(OR(B685="",E685="",M685=""),"",IF(AND(B685&gt;=Settings!$C$6,B685&lt;=Settings!$C$7),M685*10000+E685,""))</f>
        <v/>
      </c>
      <c r="O685">
        <f>IF(OR(B685="",E685=""),"",B685*10000+E685)</f>
        <v/>
      </c>
      <c r="P685">
        <f>IF(N685="","",E685)</f>
        <v/>
      </c>
    </row>
    <row r="686">
      <c r="A686" s="1" t="n"/>
      <c r="B686" s="20" t="n"/>
      <c r="C686" s="21" t="n"/>
      <c r="D686" s="22" t="n"/>
      <c r="E686" s="23" t="n"/>
      <c r="F686" s="22" t="n"/>
      <c r="G686" s="14">
        <f>IF(OR(B686="",E686="",J686="",K686=""),"",IF(E686&lt;J686,"Below",IF(E686&gt;K686,"Above","In range")))</f>
        <v/>
      </c>
      <c r="H686" s="1" t="n"/>
      <c r="J686">
        <f>IF(M686="","",IF(INDEX(Settings!$C$10:$C$18,M686)="","",INDEX(Settings!$C$10:$C$18,M686)))</f>
        <v/>
      </c>
      <c r="K686">
        <f>IF(M686="","",IF(INDEX(Settings!$D$10:$D$18,M686)="","",INDEX(Settings!$D$10:$D$18,M686)))</f>
        <v/>
      </c>
      <c r="L686">
        <f>IF(OR(B686="",E686=""),"",B686+MOD(N(C686),1)+ROW()/10000000)</f>
        <v/>
      </c>
      <c r="M686">
        <f>IF(D686="","",IFERROR(MATCH(D686,Settings!$B$10:$B$18,0),""))</f>
        <v/>
      </c>
      <c r="N686">
        <f>IF(OR(B686="",E686="",M686=""),"",IF(AND(B686&gt;=Settings!$C$6,B686&lt;=Settings!$C$7),M686*10000+E686,""))</f>
        <v/>
      </c>
      <c r="O686">
        <f>IF(OR(B686="",E686=""),"",B686*10000+E686)</f>
        <v/>
      </c>
      <c r="P686">
        <f>IF(N686="","",E686)</f>
        <v/>
      </c>
    </row>
    <row r="687">
      <c r="A687" s="1" t="n"/>
      <c r="B687" s="20" t="n"/>
      <c r="C687" s="21" t="n"/>
      <c r="D687" s="22" t="n"/>
      <c r="E687" s="23" t="n"/>
      <c r="F687" s="22" t="n"/>
      <c r="G687" s="14">
        <f>IF(OR(B687="",E687="",J687="",K687=""),"",IF(E687&lt;J687,"Below",IF(E687&gt;K687,"Above","In range")))</f>
        <v/>
      </c>
      <c r="H687" s="1" t="n"/>
      <c r="J687">
        <f>IF(M687="","",IF(INDEX(Settings!$C$10:$C$18,M687)="","",INDEX(Settings!$C$10:$C$18,M687)))</f>
        <v/>
      </c>
      <c r="K687">
        <f>IF(M687="","",IF(INDEX(Settings!$D$10:$D$18,M687)="","",INDEX(Settings!$D$10:$D$18,M687)))</f>
        <v/>
      </c>
      <c r="L687">
        <f>IF(OR(B687="",E687=""),"",B687+MOD(N(C687),1)+ROW()/10000000)</f>
        <v/>
      </c>
      <c r="M687">
        <f>IF(D687="","",IFERROR(MATCH(D687,Settings!$B$10:$B$18,0),""))</f>
        <v/>
      </c>
      <c r="N687">
        <f>IF(OR(B687="",E687="",M687=""),"",IF(AND(B687&gt;=Settings!$C$6,B687&lt;=Settings!$C$7),M687*10000+E687,""))</f>
        <v/>
      </c>
      <c r="O687">
        <f>IF(OR(B687="",E687=""),"",B687*10000+E687)</f>
        <v/>
      </c>
      <c r="P687">
        <f>IF(N687="","",E687)</f>
        <v/>
      </c>
    </row>
    <row r="688">
      <c r="A688" s="1" t="n"/>
      <c r="B688" s="20" t="n"/>
      <c r="C688" s="21" t="n"/>
      <c r="D688" s="22" t="n"/>
      <c r="E688" s="23" t="n"/>
      <c r="F688" s="22" t="n"/>
      <c r="G688" s="14">
        <f>IF(OR(B688="",E688="",J688="",K688=""),"",IF(E688&lt;J688,"Below",IF(E688&gt;K688,"Above","In range")))</f>
        <v/>
      </c>
      <c r="H688" s="1" t="n"/>
      <c r="J688">
        <f>IF(M688="","",IF(INDEX(Settings!$C$10:$C$18,M688)="","",INDEX(Settings!$C$10:$C$18,M688)))</f>
        <v/>
      </c>
      <c r="K688">
        <f>IF(M688="","",IF(INDEX(Settings!$D$10:$D$18,M688)="","",INDEX(Settings!$D$10:$D$18,M688)))</f>
        <v/>
      </c>
      <c r="L688">
        <f>IF(OR(B688="",E688=""),"",B688+MOD(N(C688),1)+ROW()/10000000)</f>
        <v/>
      </c>
      <c r="M688">
        <f>IF(D688="","",IFERROR(MATCH(D688,Settings!$B$10:$B$18,0),""))</f>
        <v/>
      </c>
      <c r="N688">
        <f>IF(OR(B688="",E688="",M688=""),"",IF(AND(B688&gt;=Settings!$C$6,B688&lt;=Settings!$C$7),M688*10000+E688,""))</f>
        <v/>
      </c>
      <c r="O688">
        <f>IF(OR(B688="",E688=""),"",B688*10000+E688)</f>
        <v/>
      </c>
      <c r="P688">
        <f>IF(N688="","",E688)</f>
        <v/>
      </c>
    </row>
    <row r="689">
      <c r="A689" s="1" t="n"/>
      <c r="B689" s="20" t="n"/>
      <c r="C689" s="21" t="n"/>
      <c r="D689" s="22" t="n"/>
      <c r="E689" s="23" t="n"/>
      <c r="F689" s="22" t="n"/>
      <c r="G689" s="14">
        <f>IF(OR(B689="",E689="",J689="",K689=""),"",IF(E689&lt;J689,"Below",IF(E689&gt;K689,"Above","In range")))</f>
        <v/>
      </c>
      <c r="H689" s="1" t="n"/>
      <c r="J689">
        <f>IF(M689="","",IF(INDEX(Settings!$C$10:$C$18,M689)="","",INDEX(Settings!$C$10:$C$18,M689)))</f>
        <v/>
      </c>
      <c r="K689">
        <f>IF(M689="","",IF(INDEX(Settings!$D$10:$D$18,M689)="","",INDEX(Settings!$D$10:$D$18,M689)))</f>
        <v/>
      </c>
      <c r="L689">
        <f>IF(OR(B689="",E689=""),"",B689+MOD(N(C689),1)+ROW()/10000000)</f>
        <v/>
      </c>
      <c r="M689">
        <f>IF(D689="","",IFERROR(MATCH(D689,Settings!$B$10:$B$18,0),""))</f>
        <v/>
      </c>
      <c r="N689">
        <f>IF(OR(B689="",E689="",M689=""),"",IF(AND(B689&gt;=Settings!$C$6,B689&lt;=Settings!$C$7),M689*10000+E689,""))</f>
        <v/>
      </c>
      <c r="O689">
        <f>IF(OR(B689="",E689=""),"",B689*10000+E689)</f>
        <v/>
      </c>
      <c r="P689">
        <f>IF(N689="","",E689)</f>
        <v/>
      </c>
    </row>
    <row r="690">
      <c r="A690" s="1" t="n"/>
      <c r="B690" s="20" t="n"/>
      <c r="C690" s="21" t="n"/>
      <c r="D690" s="22" t="n"/>
      <c r="E690" s="23" t="n"/>
      <c r="F690" s="22" t="n"/>
      <c r="G690" s="14">
        <f>IF(OR(B690="",E690="",J690="",K690=""),"",IF(E690&lt;J690,"Below",IF(E690&gt;K690,"Above","In range")))</f>
        <v/>
      </c>
      <c r="H690" s="1" t="n"/>
      <c r="J690">
        <f>IF(M690="","",IF(INDEX(Settings!$C$10:$C$18,M690)="","",INDEX(Settings!$C$10:$C$18,M690)))</f>
        <v/>
      </c>
      <c r="K690">
        <f>IF(M690="","",IF(INDEX(Settings!$D$10:$D$18,M690)="","",INDEX(Settings!$D$10:$D$18,M690)))</f>
        <v/>
      </c>
      <c r="L690">
        <f>IF(OR(B690="",E690=""),"",B690+MOD(N(C690),1)+ROW()/10000000)</f>
        <v/>
      </c>
      <c r="M690">
        <f>IF(D690="","",IFERROR(MATCH(D690,Settings!$B$10:$B$18,0),""))</f>
        <v/>
      </c>
      <c r="N690">
        <f>IF(OR(B690="",E690="",M690=""),"",IF(AND(B690&gt;=Settings!$C$6,B690&lt;=Settings!$C$7),M690*10000+E690,""))</f>
        <v/>
      </c>
      <c r="O690">
        <f>IF(OR(B690="",E690=""),"",B690*10000+E690)</f>
        <v/>
      </c>
      <c r="P690">
        <f>IF(N690="","",E690)</f>
        <v/>
      </c>
    </row>
    <row r="691">
      <c r="A691" s="1" t="n"/>
      <c r="B691" s="20" t="n"/>
      <c r="C691" s="21" t="n"/>
      <c r="D691" s="22" t="n"/>
      <c r="E691" s="23" t="n"/>
      <c r="F691" s="22" t="n"/>
      <c r="G691" s="14">
        <f>IF(OR(B691="",E691="",J691="",K691=""),"",IF(E691&lt;J691,"Below",IF(E691&gt;K691,"Above","In range")))</f>
        <v/>
      </c>
      <c r="H691" s="1" t="n"/>
      <c r="J691">
        <f>IF(M691="","",IF(INDEX(Settings!$C$10:$C$18,M691)="","",INDEX(Settings!$C$10:$C$18,M691)))</f>
        <v/>
      </c>
      <c r="K691">
        <f>IF(M691="","",IF(INDEX(Settings!$D$10:$D$18,M691)="","",INDEX(Settings!$D$10:$D$18,M691)))</f>
        <v/>
      </c>
      <c r="L691">
        <f>IF(OR(B691="",E691=""),"",B691+MOD(N(C691),1)+ROW()/10000000)</f>
        <v/>
      </c>
      <c r="M691">
        <f>IF(D691="","",IFERROR(MATCH(D691,Settings!$B$10:$B$18,0),""))</f>
        <v/>
      </c>
      <c r="N691">
        <f>IF(OR(B691="",E691="",M691=""),"",IF(AND(B691&gt;=Settings!$C$6,B691&lt;=Settings!$C$7),M691*10000+E691,""))</f>
        <v/>
      </c>
      <c r="O691">
        <f>IF(OR(B691="",E691=""),"",B691*10000+E691)</f>
        <v/>
      </c>
      <c r="P691">
        <f>IF(N691="","",E691)</f>
        <v/>
      </c>
    </row>
    <row r="692">
      <c r="A692" s="1" t="n"/>
      <c r="B692" s="20" t="n"/>
      <c r="C692" s="21" t="n"/>
      <c r="D692" s="22" t="n"/>
      <c r="E692" s="23" t="n"/>
      <c r="F692" s="22" t="n"/>
      <c r="G692" s="14">
        <f>IF(OR(B692="",E692="",J692="",K692=""),"",IF(E692&lt;J692,"Below",IF(E692&gt;K692,"Above","In range")))</f>
        <v/>
      </c>
      <c r="H692" s="1" t="n"/>
      <c r="J692">
        <f>IF(M692="","",IF(INDEX(Settings!$C$10:$C$18,M692)="","",INDEX(Settings!$C$10:$C$18,M692)))</f>
        <v/>
      </c>
      <c r="K692">
        <f>IF(M692="","",IF(INDEX(Settings!$D$10:$D$18,M692)="","",INDEX(Settings!$D$10:$D$18,M692)))</f>
        <v/>
      </c>
      <c r="L692">
        <f>IF(OR(B692="",E692=""),"",B692+MOD(N(C692),1)+ROW()/10000000)</f>
        <v/>
      </c>
      <c r="M692">
        <f>IF(D692="","",IFERROR(MATCH(D692,Settings!$B$10:$B$18,0),""))</f>
        <v/>
      </c>
      <c r="N692">
        <f>IF(OR(B692="",E692="",M692=""),"",IF(AND(B692&gt;=Settings!$C$6,B692&lt;=Settings!$C$7),M692*10000+E692,""))</f>
        <v/>
      </c>
      <c r="O692">
        <f>IF(OR(B692="",E692=""),"",B692*10000+E692)</f>
        <v/>
      </c>
      <c r="P692">
        <f>IF(N692="","",E692)</f>
        <v/>
      </c>
    </row>
    <row r="693">
      <c r="A693" s="1" t="n"/>
      <c r="B693" s="20" t="n"/>
      <c r="C693" s="21" t="n"/>
      <c r="D693" s="22" t="n"/>
      <c r="E693" s="23" t="n"/>
      <c r="F693" s="22" t="n"/>
      <c r="G693" s="14">
        <f>IF(OR(B693="",E693="",J693="",K693=""),"",IF(E693&lt;J693,"Below",IF(E693&gt;K693,"Above","In range")))</f>
        <v/>
      </c>
      <c r="H693" s="1" t="n"/>
      <c r="J693">
        <f>IF(M693="","",IF(INDEX(Settings!$C$10:$C$18,M693)="","",INDEX(Settings!$C$10:$C$18,M693)))</f>
        <v/>
      </c>
      <c r="K693">
        <f>IF(M693="","",IF(INDEX(Settings!$D$10:$D$18,M693)="","",INDEX(Settings!$D$10:$D$18,M693)))</f>
        <v/>
      </c>
      <c r="L693">
        <f>IF(OR(B693="",E693=""),"",B693+MOD(N(C693),1)+ROW()/10000000)</f>
        <v/>
      </c>
      <c r="M693">
        <f>IF(D693="","",IFERROR(MATCH(D693,Settings!$B$10:$B$18,0),""))</f>
        <v/>
      </c>
      <c r="N693">
        <f>IF(OR(B693="",E693="",M693=""),"",IF(AND(B693&gt;=Settings!$C$6,B693&lt;=Settings!$C$7),M693*10000+E693,""))</f>
        <v/>
      </c>
      <c r="O693">
        <f>IF(OR(B693="",E693=""),"",B693*10000+E693)</f>
        <v/>
      </c>
      <c r="P693">
        <f>IF(N693="","",E693)</f>
        <v/>
      </c>
    </row>
    <row r="694">
      <c r="A694" s="1" t="n"/>
      <c r="B694" s="20" t="n"/>
      <c r="C694" s="21" t="n"/>
      <c r="D694" s="22" t="n"/>
      <c r="E694" s="23" t="n"/>
      <c r="F694" s="22" t="n"/>
      <c r="G694" s="14">
        <f>IF(OR(B694="",E694="",J694="",K694=""),"",IF(E694&lt;J694,"Below",IF(E694&gt;K694,"Above","In range")))</f>
        <v/>
      </c>
      <c r="H694" s="1" t="n"/>
      <c r="J694">
        <f>IF(M694="","",IF(INDEX(Settings!$C$10:$C$18,M694)="","",INDEX(Settings!$C$10:$C$18,M694)))</f>
        <v/>
      </c>
      <c r="K694">
        <f>IF(M694="","",IF(INDEX(Settings!$D$10:$D$18,M694)="","",INDEX(Settings!$D$10:$D$18,M694)))</f>
        <v/>
      </c>
      <c r="L694">
        <f>IF(OR(B694="",E694=""),"",B694+MOD(N(C694),1)+ROW()/10000000)</f>
        <v/>
      </c>
      <c r="M694">
        <f>IF(D694="","",IFERROR(MATCH(D694,Settings!$B$10:$B$18,0),""))</f>
        <v/>
      </c>
      <c r="N694">
        <f>IF(OR(B694="",E694="",M694=""),"",IF(AND(B694&gt;=Settings!$C$6,B694&lt;=Settings!$C$7),M694*10000+E694,""))</f>
        <v/>
      </c>
      <c r="O694">
        <f>IF(OR(B694="",E694=""),"",B694*10000+E694)</f>
        <v/>
      </c>
      <c r="P694">
        <f>IF(N694="","",E694)</f>
        <v/>
      </c>
    </row>
    <row r="695">
      <c r="A695" s="1" t="n"/>
      <c r="B695" s="20" t="n"/>
      <c r="C695" s="21" t="n"/>
      <c r="D695" s="22" t="n"/>
      <c r="E695" s="23" t="n"/>
      <c r="F695" s="22" t="n"/>
      <c r="G695" s="14">
        <f>IF(OR(B695="",E695="",J695="",K695=""),"",IF(E695&lt;J695,"Below",IF(E695&gt;K695,"Above","In range")))</f>
        <v/>
      </c>
      <c r="H695" s="1" t="n"/>
      <c r="J695">
        <f>IF(M695="","",IF(INDEX(Settings!$C$10:$C$18,M695)="","",INDEX(Settings!$C$10:$C$18,M695)))</f>
        <v/>
      </c>
      <c r="K695">
        <f>IF(M695="","",IF(INDEX(Settings!$D$10:$D$18,M695)="","",INDEX(Settings!$D$10:$D$18,M695)))</f>
        <v/>
      </c>
      <c r="L695">
        <f>IF(OR(B695="",E695=""),"",B695+MOD(N(C695),1)+ROW()/10000000)</f>
        <v/>
      </c>
      <c r="M695">
        <f>IF(D695="","",IFERROR(MATCH(D695,Settings!$B$10:$B$18,0),""))</f>
        <v/>
      </c>
      <c r="N695">
        <f>IF(OR(B695="",E695="",M695=""),"",IF(AND(B695&gt;=Settings!$C$6,B695&lt;=Settings!$C$7),M695*10000+E695,""))</f>
        <v/>
      </c>
      <c r="O695">
        <f>IF(OR(B695="",E695=""),"",B695*10000+E695)</f>
        <v/>
      </c>
      <c r="P695">
        <f>IF(N695="","",E695)</f>
        <v/>
      </c>
    </row>
    <row r="696">
      <c r="A696" s="1" t="n"/>
      <c r="B696" s="20" t="n"/>
      <c r="C696" s="21" t="n"/>
      <c r="D696" s="22" t="n"/>
      <c r="E696" s="23" t="n"/>
      <c r="F696" s="22" t="n"/>
      <c r="G696" s="14">
        <f>IF(OR(B696="",E696="",J696="",K696=""),"",IF(E696&lt;J696,"Below",IF(E696&gt;K696,"Above","In range")))</f>
        <v/>
      </c>
      <c r="H696" s="1" t="n"/>
      <c r="J696">
        <f>IF(M696="","",IF(INDEX(Settings!$C$10:$C$18,M696)="","",INDEX(Settings!$C$10:$C$18,M696)))</f>
        <v/>
      </c>
      <c r="K696">
        <f>IF(M696="","",IF(INDEX(Settings!$D$10:$D$18,M696)="","",INDEX(Settings!$D$10:$D$18,M696)))</f>
        <v/>
      </c>
      <c r="L696">
        <f>IF(OR(B696="",E696=""),"",B696+MOD(N(C696),1)+ROW()/10000000)</f>
        <v/>
      </c>
      <c r="M696">
        <f>IF(D696="","",IFERROR(MATCH(D696,Settings!$B$10:$B$18,0),""))</f>
        <v/>
      </c>
      <c r="N696">
        <f>IF(OR(B696="",E696="",M696=""),"",IF(AND(B696&gt;=Settings!$C$6,B696&lt;=Settings!$C$7),M696*10000+E696,""))</f>
        <v/>
      </c>
      <c r="O696">
        <f>IF(OR(B696="",E696=""),"",B696*10000+E696)</f>
        <v/>
      </c>
      <c r="P696">
        <f>IF(N696="","",E696)</f>
        <v/>
      </c>
    </row>
    <row r="697">
      <c r="A697" s="1" t="n"/>
      <c r="B697" s="20" t="n"/>
      <c r="C697" s="21" t="n"/>
      <c r="D697" s="22" t="n"/>
      <c r="E697" s="23" t="n"/>
      <c r="F697" s="22" t="n"/>
      <c r="G697" s="14">
        <f>IF(OR(B697="",E697="",J697="",K697=""),"",IF(E697&lt;J697,"Below",IF(E697&gt;K697,"Above","In range")))</f>
        <v/>
      </c>
      <c r="H697" s="1" t="n"/>
      <c r="J697">
        <f>IF(M697="","",IF(INDEX(Settings!$C$10:$C$18,M697)="","",INDEX(Settings!$C$10:$C$18,M697)))</f>
        <v/>
      </c>
      <c r="K697">
        <f>IF(M697="","",IF(INDEX(Settings!$D$10:$D$18,M697)="","",INDEX(Settings!$D$10:$D$18,M697)))</f>
        <v/>
      </c>
      <c r="L697">
        <f>IF(OR(B697="",E697=""),"",B697+MOD(N(C697),1)+ROW()/10000000)</f>
        <v/>
      </c>
      <c r="M697">
        <f>IF(D697="","",IFERROR(MATCH(D697,Settings!$B$10:$B$18,0),""))</f>
        <v/>
      </c>
      <c r="N697">
        <f>IF(OR(B697="",E697="",M697=""),"",IF(AND(B697&gt;=Settings!$C$6,B697&lt;=Settings!$C$7),M697*10000+E697,""))</f>
        <v/>
      </c>
      <c r="O697">
        <f>IF(OR(B697="",E697=""),"",B697*10000+E697)</f>
        <v/>
      </c>
      <c r="P697">
        <f>IF(N697="","",E697)</f>
        <v/>
      </c>
    </row>
    <row r="698">
      <c r="A698" s="1" t="n"/>
      <c r="B698" s="20" t="n"/>
      <c r="C698" s="21" t="n"/>
      <c r="D698" s="22" t="n"/>
      <c r="E698" s="23" t="n"/>
      <c r="F698" s="22" t="n"/>
      <c r="G698" s="14">
        <f>IF(OR(B698="",E698="",J698="",K698=""),"",IF(E698&lt;J698,"Below",IF(E698&gt;K698,"Above","In range")))</f>
        <v/>
      </c>
      <c r="H698" s="1" t="n"/>
      <c r="J698">
        <f>IF(M698="","",IF(INDEX(Settings!$C$10:$C$18,M698)="","",INDEX(Settings!$C$10:$C$18,M698)))</f>
        <v/>
      </c>
      <c r="K698">
        <f>IF(M698="","",IF(INDEX(Settings!$D$10:$D$18,M698)="","",INDEX(Settings!$D$10:$D$18,M698)))</f>
        <v/>
      </c>
      <c r="L698">
        <f>IF(OR(B698="",E698=""),"",B698+MOD(N(C698),1)+ROW()/10000000)</f>
        <v/>
      </c>
      <c r="M698">
        <f>IF(D698="","",IFERROR(MATCH(D698,Settings!$B$10:$B$18,0),""))</f>
        <v/>
      </c>
      <c r="N698">
        <f>IF(OR(B698="",E698="",M698=""),"",IF(AND(B698&gt;=Settings!$C$6,B698&lt;=Settings!$C$7),M698*10000+E698,""))</f>
        <v/>
      </c>
      <c r="O698">
        <f>IF(OR(B698="",E698=""),"",B698*10000+E698)</f>
        <v/>
      </c>
      <c r="P698">
        <f>IF(N698="","",E698)</f>
        <v/>
      </c>
    </row>
    <row r="699">
      <c r="A699" s="1" t="n"/>
      <c r="B699" s="20" t="n"/>
      <c r="C699" s="21" t="n"/>
      <c r="D699" s="22" t="n"/>
      <c r="E699" s="23" t="n"/>
      <c r="F699" s="22" t="n"/>
      <c r="G699" s="14">
        <f>IF(OR(B699="",E699="",J699="",K699=""),"",IF(E699&lt;J699,"Below",IF(E699&gt;K699,"Above","In range")))</f>
        <v/>
      </c>
      <c r="H699" s="1" t="n"/>
      <c r="J699">
        <f>IF(M699="","",IF(INDEX(Settings!$C$10:$C$18,M699)="","",INDEX(Settings!$C$10:$C$18,M699)))</f>
        <v/>
      </c>
      <c r="K699">
        <f>IF(M699="","",IF(INDEX(Settings!$D$10:$D$18,M699)="","",INDEX(Settings!$D$10:$D$18,M699)))</f>
        <v/>
      </c>
      <c r="L699">
        <f>IF(OR(B699="",E699=""),"",B699+MOD(N(C699),1)+ROW()/10000000)</f>
        <v/>
      </c>
      <c r="M699">
        <f>IF(D699="","",IFERROR(MATCH(D699,Settings!$B$10:$B$18,0),""))</f>
        <v/>
      </c>
      <c r="N699">
        <f>IF(OR(B699="",E699="",M699=""),"",IF(AND(B699&gt;=Settings!$C$6,B699&lt;=Settings!$C$7),M699*10000+E699,""))</f>
        <v/>
      </c>
      <c r="O699">
        <f>IF(OR(B699="",E699=""),"",B699*10000+E699)</f>
        <v/>
      </c>
      <c r="P699">
        <f>IF(N699="","",E699)</f>
        <v/>
      </c>
    </row>
    <row r="700">
      <c r="A700" s="1" t="n"/>
      <c r="B700" s="20" t="n"/>
      <c r="C700" s="21" t="n"/>
      <c r="D700" s="22" t="n"/>
      <c r="E700" s="23" t="n"/>
      <c r="F700" s="22" t="n"/>
      <c r="G700" s="14">
        <f>IF(OR(B700="",E700="",J700="",K700=""),"",IF(E700&lt;J700,"Below",IF(E700&gt;K700,"Above","In range")))</f>
        <v/>
      </c>
      <c r="H700" s="1" t="n"/>
      <c r="J700">
        <f>IF(M700="","",IF(INDEX(Settings!$C$10:$C$18,M700)="","",INDEX(Settings!$C$10:$C$18,M700)))</f>
        <v/>
      </c>
      <c r="K700">
        <f>IF(M700="","",IF(INDEX(Settings!$D$10:$D$18,M700)="","",INDEX(Settings!$D$10:$D$18,M700)))</f>
        <v/>
      </c>
      <c r="L700">
        <f>IF(OR(B700="",E700=""),"",B700+MOD(N(C700),1)+ROW()/10000000)</f>
        <v/>
      </c>
      <c r="M700">
        <f>IF(D700="","",IFERROR(MATCH(D700,Settings!$B$10:$B$18,0),""))</f>
        <v/>
      </c>
      <c r="N700">
        <f>IF(OR(B700="",E700="",M700=""),"",IF(AND(B700&gt;=Settings!$C$6,B700&lt;=Settings!$C$7),M700*10000+E700,""))</f>
        <v/>
      </c>
      <c r="O700">
        <f>IF(OR(B700="",E700=""),"",B700*10000+E700)</f>
        <v/>
      </c>
      <c r="P700">
        <f>IF(N700="","",E700)</f>
        <v/>
      </c>
    </row>
    <row r="701">
      <c r="A701" s="1" t="n"/>
      <c r="B701" s="20" t="n"/>
      <c r="C701" s="21" t="n"/>
      <c r="D701" s="22" t="n"/>
      <c r="E701" s="23" t="n"/>
      <c r="F701" s="22" t="n"/>
      <c r="G701" s="14">
        <f>IF(OR(B701="",E701="",J701="",K701=""),"",IF(E701&lt;J701,"Below",IF(E701&gt;K701,"Above","In range")))</f>
        <v/>
      </c>
      <c r="H701" s="1" t="n"/>
      <c r="J701">
        <f>IF(M701="","",IF(INDEX(Settings!$C$10:$C$18,M701)="","",INDEX(Settings!$C$10:$C$18,M701)))</f>
        <v/>
      </c>
      <c r="K701">
        <f>IF(M701="","",IF(INDEX(Settings!$D$10:$D$18,M701)="","",INDEX(Settings!$D$10:$D$18,M701)))</f>
        <v/>
      </c>
      <c r="L701">
        <f>IF(OR(B701="",E701=""),"",B701+MOD(N(C701),1)+ROW()/10000000)</f>
        <v/>
      </c>
      <c r="M701">
        <f>IF(D701="","",IFERROR(MATCH(D701,Settings!$B$10:$B$18,0),""))</f>
        <v/>
      </c>
      <c r="N701">
        <f>IF(OR(B701="",E701="",M701=""),"",IF(AND(B701&gt;=Settings!$C$6,B701&lt;=Settings!$C$7),M701*10000+E701,""))</f>
        <v/>
      </c>
      <c r="O701">
        <f>IF(OR(B701="",E701=""),"",B701*10000+E701)</f>
        <v/>
      </c>
      <c r="P701">
        <f>IF(N701="","",E701)</f>
        <v/>
      </c>
    </row>
    <row r="702">
      <c r="A702" s="1" t="n"/>
      <c r="B702" s="20" t="n"/>
      <c r="C702" s="21" t="n"/>
      <c r="D702" s="22" t="n"/>
      <c r="E702" s="23" t="n"/>
      <c r="F702" s="22" t="n"/>
      <c r="G702" s="14">
        <f>IF(OR(B702="",E702="",J702="",K702=""),"",IF(E702&lt;J702,"Below",IF(E702&gt;K702,"Above","In range")))</f>
        <v/>
      </c>
      <c r="H702" s="1" t="n"/>
      <c r="J702">
        <f>IF(M702="","",IF(INDEX(Settings!$C$10:$C$18,M702)="","",INDEX(Settings!$C$10:$C$18,M702)))</f>
        <v/>
      </c>
      <c r="K702">
        <f>IF(M702="","",IF(INDEX(Settings!$D$10:$D$18,M702)="","",INDEX(Settings!$D$10:$D$18,M702)))</f>
        <v/>
      </c>
      <c r="L702">
        <f>IF(OR(B702="",E702=""),"",B702+MOD(N(C702),1)+ROW()/10000000)</f>
        <v/>
      </c>
      <c r="M702">
        <f>IF(D702="","",IFERROR(MATCH(D702,Settings!$B$10:$B$18,0),""))</f>
        <v/>
      </c>
      <c r="N702">
        <f>IF(OR(B702="",E702="",M702=""),"",IF(AND(B702&gt;=Settings!$C$6,B702&lt;=Settings!$C$7),M702*10000+E702,""))</f>
        <v/>
      </c>
      <c r="O702">
        <f>IF(OR(B702="",E702=""),"",B702*10000+E702)</f>
        <v/>
      </c>
      <c r="P702">
        <f>IF(N702="","",E702)</f>
        <v/>
      </c>
    </row>
    <row r="703">
      <c r="A703" s="1" t="n"/>
      <c r="B703" s="20" t="n"/>
      <c r="C703" s="21" t="n"/>
      <c r="D703" s="22" t="n"/>
      <c r="E703" s="23" t="n"/>
      <c r="F703" s="22" t="n"/>
      <c r="G703" s="14">
        <f>IF(OR(B703="",E703="",J703="",K703=""),"",IF(E703&lt;J703,"Below",IF(E703&gt;K703,"Above","In range")))</f>
        <v/>
      </c>
      <c r="H703" s="1" t="n"/>
      <c r="J703">
        <f>IF(M703="","",IF(INDEX(Settings!$C$10:$C$18,M703)="","",INDEX(Settings!$C$10:$C$18,M703)))</f>
        <v/>
      </c>
      <c r="K703">
        <f>IF(M703="","",IF(INDEX(Settings!$D$10:$D$18,M703)="","",INDEX(Settings!$D$10:$D$18,M703)))</f>
        <v/>
      </c>
      <c r="L703">
        <f>IF(OR(B703="",E703=""),"",B703+MOD(N(C703),1)+ROW()/10000000)</f>
        <v/>
      </c>
      <c r="M703">
        <f>IF(D703="","",IFERROR(MATCH(D703,Settings!$B$10:$B$18,0),""))</f>
        <v/>
      </c>
      <c r="N703">
        <f>IF(OR(B703="",E703="",M703=""),"",IF(AND(B703&gt;=Settings!$C$6,B703&lt;=Settings!$C$7),M703*10000+E703,""))</f>
        <v/>
      </c>
      <c r="O703">
        <f>IF(OR(B703="",E703=""),"",B703*10000+E703)</f>
        <v/>
      </c>
      <c r="P703">
        <f>IF(N703="","",E703)</f>
        <v/>
      </c>
    </row>
    <row r="704">
      <c r="A704" s="1" t="n"/>
      <c r="B704" s="20" t="n"/>
      <c r="C704" s="21" t="n"/>
      <c r="D704" s="22" t="n"/>
      <c r="E704" s="23" t="n"/>
      <c r="F704" s="22" t="n"/>
      <c r="G704" s="14">
        <f>IF(OR(B704="",E704="",J704="",K704=""),"",IF(E704&lt;J704,"Below",IF(E704&gt;K704,"Above","In range")))</f>
        <v/>
      </c>
      <c r="H704" s="1" t="n"/>
      <c r="J704">
        <f>IF(M704="","",IF(INDEX(Settings!$C$10:$C$18,M704)="","",INDEX(Settings!$C$10:$C$18,M704)))</f>
        <v/>
      </c>
      <c r="K704">
        <f>IF(M704="","",IF(INDEX(Settings!$D$10:$D$18,M704)="","",INDEX(Settings!$D$10:$D$18,M704)))</f>
        <v/>
      </c>
      <c r="L704">
        <f>IF(OR(B704="",E704=""),"",B704+MOD(N(C704),1)+ROW()/10000000)</f>
        <v/>
      </c>
      <c r="M704">
        <f>IF(D704="","",IFERROR(MATCH(D704,Settings!$B$10:$B$18,0),""))</f>
        <v/>
      </c>
      <c r="N704">
        <f>IF(OR(B704="",E704="",M704=""),"",IF(AND(B704&gt;=Settings!$C$6,B704&lt;=Settings!$C$7),M704*10000+E704,""))</f>
        <v/>
      </c>
      <c r="O704">
        <f>IF(OR(B704="",E704=""),"",B704*10000+E704)</f>
        <v/>
      </c>
      <c r="P704">
        <f>IF(N704="","",E704)</f>
        <v/>
      </c>
    </row>
    <row r="705">
      <c r="A705" s="1" t="n"/>
      <c r="B705" s="20" t="n"/>
      <c r="C705" s="21" t="n"/>
      <c r="D705" s="22" t="n"/>
      <c r="E705" s="23" t="n"/>
      <c r="F705" s="22" t="n"/>
      <c r="G705" s="14">
        <f>IF(OR(B705="",E705="",J705="",K705=""),"",IF(E705&lt;J705,"Below",IF(E705&gt;K705,"Above","In range")))</f>
        <v/>
      </c>
      <c r="H705" s="1" t="n"/>
      <c r="J705">
        <f>IF(M705="","",IF(INDEX(Settings!$C$10:$C$18,M705)="","",INDEX(Settings!$C$10:$C$18,M705)))</f>
        <v/>
      </c>
      <c r="K705">
        <f>IF(M705="","",IF(INDEX(Settings!$D$10:$D$18,M705)="","",INDEX(Settings!$D$10:$D$18,M705)))</f>
        <v/>
      </c>
      <c r="L705">
        <f>IF(OR(B705="",E705=""),"",B705+MOD(N(C705),1)+ROW()/10000000)</f>
        <v/>
      </c>
      <c r="M705">
        <f>IF(D705="","",IFERROR(MATCH(D705,Settings!$B$10:$B$18,0),""))</f>
        <v/>
      </c>
      <c r="N705">
        <f>IF(OR(B705="",E705="",M705=""),"",IF(AND(B705&gt;=Settings!$C$6,B705&lt;=Settings!$C$7),M705*10000+E705,""))</f>
        <v/>
      </c>
      <c r="O705">
        <f>IF(OR(B705="",E705=""),"",B705*10000+E705)</f>
        <v/>
      </c>
      <c r="P705">
        <f>IF(N705="","",E705)</f>
        <v/>
      </c>
    </row>
    <row r="706">
      <c r="A706" s="1" t="n"/>
      <c r="B706" s="20" t="n"/>
      <c r="C706" s="21" t="n"/>
      <c r="D706" s="22" t="n"/>
      <c r="E706" s="23" t="n"/>
      <c r="F706" s="22" t="n"/>
      <c r="G706" s="14">
        <f>IF(OR(B706="",E706="",J706="",K706=""),"",IF(E706&lt;J706,"Below",IF(E706&gt;K706,"Above","In range")))</f>
        <v/>
      </c>
      <c r="H706" s="1" t="n"/>
      <c r="J706">
        <f>IF(M706="","",IF(INDEX(Settings!$C$10:$C$18,M706)="","",INDEX(Settings!$C$10:$C$18,M706)))</f>
        <v/>
      </c>
      <c r="K706">
        <f>IF(M706="","",IF(INDEX(Settings!$D$10:$D$18,M706)="","",INDEX(Settings!$D$10:$D$18,M706)))</f>
        <v/>
      </c>
      <c r="L706">
        <f>IF(OR(B706="",E706=""),"",B706+MOD(N(C706),1)+ROW()/10000000)</f>
        <v/>
      </c>
      <c r="M706">
        <f>IF(D706="","",IFERROR(MATCH(D706,Settings!$B$10:$B$18,0),""))</f>
        <v/>
      </c>
      <c r="N706">
        <f>IF(OR(B706="",E706="",M706=""),"",IF(AND(B706&gt;=Settings!$C$6,B706&lt;=Settings!$C$7),M706*10000+E706,""))</f>
        <v/>
      </c>
      <c r="O706">
        <f>IF(OR(B706="",E706=""),"",B706*10000+E706)</f>
        <v/>
      </c>
      <c r="P706">
        <f>IF(N706="","",E706)</f>
        <v/>
      </c>
    </row>
    <row r="707">
      <c r="A707" s="1" t="n"/>
      <c r="B707" s="20" t="n"/>
      <c r="C707" s="21" t="n"/>
      <c r="D707" s="22" t="n"/>
      <c r="E707" s="23" t="n"/>
      <c r="F707" s="22" t="n"/>
      <c r="G707" s="14">
        <f>IF(OR(B707="",E707="",J707="",K707=""),"",IF(E707&lt;J707,"Below",IF(E707&gt;K707,"Above","In range")))</f>
        <v/>
      </c>
      <c r="H707" s="1" t="n"/>
      <c r="J707">
        <f>IF(M707="","",IF(INDEX(Settings!$C$10:$C$18,M707)="","",INDEX(Settings!$C$10:$C$18,M707)))</f>
        <v/>
      </c>
      <c r="K707">
        <f>IF(M707="","",IF(INDEX(Settings!$D$10:$D$18,M707)="","",INDEX(Settings!$D$10:$D$18,M707)))</f>
        <v/>
      </c>
      <c r="L707">
        <f>IF(OR(B707="",E707=""),"",B707+MOD(N(C707),1)+ROW()/10000000)</f>
        <v/>
      </c>
      <c r="M707">
        <f>IF(D707="","",IFERROR(MATCH(D707,Settings!$B$10:$B$18,0),""))</f>
        <v/>
      </c>
      <c r="N707">
        <f>IF(OR(B707="",E707="",M707=""),"",IF(AND(B707&gt;=Settings!$C$6,B707&lt;=Settings!$C$7),M707*10000+E707,""))</f>
        <v/>
      </c>
      <c r="O707">
        <f>IF(OR(B707="",E707=""),"",B707*10000+E707)</f>
        <v/>
      </c>
      <c r="P707">
        <f>IF(N707="","",E707)</f>
        <v/>
      </c>
    </row>
    <row r="708">
      <c r="A708" s="1" t="n"/>
      <c r="B708" s="20" t="n"/>
      <c r="C708" s="21" t="n"/>
      <c r="D708" s="22" t="n"/>
      <c r="E708" s="23" t="n"/>
      <c r="F708" s="22" t="n"/>
      <c r="G708" s="14">
        <f>IF(OR(B708="",E708="",J708="",K708=""),"",IF(E708&lt;J708,"Below",IF(E708&gt;K708,"Above","In range")))</f>
        <v/>
      </c>
      <c r="H708" s="1" t="n"/>
      <c r="J708">
        <f>IF(M708="","",IF(INDEX(Settings!$C$10:$C$18,M708)="","",INDEX(Settings!$C$10:$C$18,M708)))</f>
        <v/>
      </c>
      <c r="K708">
        <f>IF(M708="","",IF(INDEX(Settings!$D$10:$D$18,M708)="","",INDEX(Settings!$D$10:$D$18,M708)))</f>
        <v/>
      </c>
      <c r="L708">
        <f>IF(OR(B708="",E708=""),"",B708+MOD(N(C708),1)+ROW()/10000000)</f>
        <v/>
      </c>
      <c r="M708">
        <f>IF(D708="","",IFERROR(MATCH(D708,Settings!$B$10:$B$18,0),""))</f>
        <v/>
      </c>
      <c r="N708">
        <f>IF(OR(B708="",E708="",M708=""),"",IF(AND(B708&gt;=Settings!$C$6,B708&lt;=Settings!$C$7),M708*10000+E708,""))</f>
        <v/>
      </c>
      <c r="O708">
        <f>IF(OR(B708="",E708=""),"",B708*10000+E708)</f>
        <v/>
      </c>
      <c r="P708">
        <f>IF(N708="","",E708)</f>
        <v/>
      </c>
    </row>
    <row r="709">
      <c r="A709" s="1" t="n"/>
      <c r="B709" s="20" t="n"/>
      <c r="C709" s="21" t="n"/>
      <c r="D709" s="22" t="n"/>
      <c r="E709" s="23" t="n"/>
      <c r="F709" s="22" t="n"/>
      <c r="G709" s="14">
        <f>IF(OR(B709="",E709="",J709="",K709=""),"",IF(E709&lt;J709,"Below",IF(E709&gt;K709,"Above","In range")))</f>
        <v/>
      </c>
      <c r="H709" s="1" t="n"/>
      <c r="J709">
        <f>IF(M709="","",IF(INDEX(Settings!$C$10:$C$18,M709)="","",INDEX(Settings!$C$10:$C$18,M709)))</f>
        <v/>
      </c>
      <c r="K709">
        <f>IF(M709="","",IF(INDEX(Settings!$D$10:$D$18,M709)="","",INDEX(Settings!$D$10:$D$18,M709)))</f>
        <v/>
      </c>
      <c r="L709">
        <f>IF(OR(B709="",E709=""),"",B709+MOD(N(C709),1)+ROW()/10000000)</f>
        <v/>
      </c>
      <c r="M709">
        <f>IF(D709="","",IFERROR(MATCH(D709,Settings!$B$10:$B$18,0),""))</f>
        <v/>
      </c>
      <c r="N709">
        <f>IF(OR(B709="",E709="",M709=""),"",IF(AND(B709&gt;=Settings!$C$6,B709&lt;=Settings!$C$7),M709*10000+E709,""))</f>
        <v/>
      </c>
      <c r="O709">
        <f>IF(OR(B709="",E709=""),"",B709*10000+E709)</f>
        <v/>
      </c>
      <c r="P709">
        <f>IF(N709="","",E709)</f>
        <v/>
      </c>
    </row>
    <row r="710">
      <c r="A710" s="1" t="n"/>
      <c r="B710" s="20" t="n"/>
      <c r="C710" s="21" t="n"/>
      <c r="D710" s="22" t="n"/>
      <c r="E710" s="23" t="n"/>
      <c r="F710" s="22" t="n"/>
      <c r="G710" s="14">
        <f>IF(OR(B710="",E710="",J710="",K710=""),"",IF(E710&lt;J710,"Below",IF(E710&gt;K710,"Above","In range")))</f>
        <v/>
      </c>
      <c r="H710" s="1" t="n"/>
      <c r="J710">
        <f>IF(M710="","",IF(INDEX(Settings!$C$10:$C$18,M710)="","",INDEX(Settings!$C$10:$C$18,M710)))</f>
        <v/>
      </c>
      <c r="K710">
        <f>IF(M710="","",IF(INDEX(Settings!$D$10:$D$18,M710)="","",INDEX(Settings!$D$10:$D$18,M710)))</f>
        <v/>
      </c>
      <c r="L710">
        <f>IF(OR(B710="",E710=""),"",B710+MOD(N(C710),1)+ROW()/10000000)</f>
        <v/>
      </c>
      <c r="M710">
        <f>IF(D710="","",IFERROR(MATCH(D710,Settings!$B$10:$B$18,0),""))</f>
        <v/>
      </c>
      <c r="N710">
        <f>IF(OR(B710="",E710="",M710=""),"",IF(AND(B710&gt;=Settings!$C$6,B710&lt;=Settings!$C$7),M710*10000+E710,""))</f>
        <v/>
      </c>
      <c r="O710">
        <f>IF(OR(B710="",E710=""),"",B710*10000+E710)</f>
        <v/>
      </c>
      <c r="P710">
        <f>IF(N710="","",E710)</f>
        <v/>
      </c>
    </row>
    <row r="711">
      <c r="A711" s="1" t="n"/>
      <c r="B711" s="20" t="n"/>
      <c r="C711" s="21" t="n"/>
      <c r="D711" s="22" t="n"/>
      <c r="E711" s="23" t="n"/>
      <c r="F711" s="22" t="n"/>
      <c r="G711" s="14">
        <f>IF(OR(B711="",E711="",J711="",K711=""),"",IF(E711&lt;J711,"Below",IF(E711&gt;K711,"Above","In range")))</f>
        <v/>
      </c>
      <c r="H711" s="1" t="n"/>
      <c r="J711">
        <f>IF(M711="","",IF(INDEX(Settings!$C$10:$C$18,M711)="","",INDEX(Settings!$C$10:$C$18,M711)))</f>
        <v/>
      </c>
      <c r="K711">
        <f>IF(M711="","",IF(INDEX(Settings!$D$10:$D$18,M711)="","",INDEX(Settings!$D$10:$D$18,M711)))</f>
        <v/>
      </c>
      <c r="L711">
        <f>IF(OR(B711="",E711=""),"",B711+MOD(N(C711),1)+ROW()/10000000)</f>
        <v/>
      </c>
      <c r="M711">
        <f>IF(D711="","",IFERROR(MATCH(D711,Settings!$B$10:$B$18,0),""))</f>
        <v/>
      </c>
      <c r="N711">
        <f>IF(OR(B711="",E711="",M711=""),"",IF(AND(B711&gt;=Settings!$C$6,B711&lt;=Settings!$C$7),M711*10000+E711,""))</f>
        <v/>
      </c>
      <c r="O711">
        <f>IF(OR(B711="",E711=""),"",B711*10000+E711)</f>
        <v/>
      </c>
      <c r="P711">
        <f>IF(N711="","",E711)</f>
        <v/>
      </c>
    </row>
    <row r="712">
      <c r="A712" s="1" t="n"/>
      <c r="B712" s="20" t="n"/>
      <c r="C712" s="21" t="n"/>
      <c r="D712" s="22" t="n"/>
      <c r="E712" s="23" t="n"/>
      <c r="F712" s="22" t="n"/>
      <c r="G712" s="14">
        <f>IF(OR(B712="",E712="",J712="",K712=""),"",IF(E712&lt;J712,"Below",IF(E712&gt;K712,"Above","In range")))</f>
        <v/>
      </c>
      <c r="H712" s="1" t="n"/>
      <c r="J712">
        <f>IF(M712="","",IF(INDEX(Settings!$C$10:$C$18,M712)="","",INDEX(Settings!$C$10:$C$18,M712)))</f>
        <v/>
      </c>
      <c r="K712">
        <f>IF(M712="","",IF(INDEX(Settings!$D$10:$D$18,M712)="","",INDEX(Settings!$D$10:$D$18,M712)))</f>
        <v/>
      </c>
      <c r="L712">
        <f>IF(OR(B712="",E712=""),"",B712+MOD(N(C712),1)+ROW()/10000000)</f>
        <v/>
      </c>
      <c r="M712">
        <f>IF(D712="","",IFERROR(MATCH(D712,Settings!$B$10:$B$18,0),""))</f>
        <v/>
      </c>
      <c r="N712">
        <f>IF(OR(B712="",E712="",M712=""),"",IF(AND(B712&gt;=Settings!$C$6,B712&lt;=Settings!$C$7),M712*10000+E712,""))</f>
        <v/>
      </c>
      <c r="O712">
        <f>IF(OR(B712="",E712=""),"",B712*10000+E712)</f>
        <v/>
      </c>
      <c r="P712">
        <f>IF(N712="","",E712)</f>
        <v/>
      </c>
    </row>
    <row r="713">
      <c r="A713" s="1" t="n"/>
      <c r="B713" s="20" t="n"/>
      <c r="C713" s="21" t="n"/>
      <c r="D713" s="22" t="n"/>
      <c r="E713" s="23" t="n"/>
      <c r="F713" s="22" t="n"/>
      <c r="G713" s="14">
        <f>IF(OR(B713="",E713="",J713="",K713=""),"",IF(E713&lt;J713,"Below",IF(E713&gt;K713,"Above","In range")))</f>
        <v/>
      </c>
      <c r="H713" s="1" t="n"/>
      <c r="J713">
        <f>IF(M713="","",IF(INDEX(Settings!$C$10:$C$18,M713)="","",INDEX(Settings!$C$10:$C$18,M713)))</f>
        <v/>
      </c>
      <c r="K713">
        <f>IF(M713="","",IF(INDEX(Settings!$D$10:$D$18,M713)="","",INDEX(Settings!$D$10:$D$18,M713)))</f>
        <v/>
      </c>
      <c r="L713">
        <f>IF(OR(B713="",E713=""),"",B713+MOD(N(C713),1)+ROW()/10000000)</f>
        <v/>
      </c>
      <c r="M713">
        <f>IF(D713="","",IFERROR(MATCH(D713,Settings!$B$10:$B$18,0),""))</f>
        <v/>
      </c>
      <c r="N713">
        <f>IF(OR(B713="",E713="",M713=""),"",IF(AND(B713&gt;=Settings!$C$6,B713&lt;=Settings!$C$7),M713*10000+E713,""))</f>
        <v/>
      </c>
      <c r="O713">
        <f>IF(OR(B713="",E713=""),"",B713*10000+E713)</f>
        <v/>
      </c>
      <c r="P713">
        <f>IF(N713="","",E713)</f>
        <v/>
      </c>
    </row>
    <row r="714">
      <c r="A714" s="1" t="n"/>
      <c r="B714" s="20" t="n"/>
      <c r="C714" s="21" t="n"/>
      <c r="D714" s="22" t="n"/>
      <c r="E714" s="23" t="n"/>
      <c r="F714" s="22" t="n"/>
      <c r="G714" s="14">
        <f>IF(OR(B714="",E714="",J714="",K714=""),"",IF(E714&lt;J714,"Below",IF(E714&gt;K714,"Above","In range")))</f>
        <v/>
      </c>
      <c r="H714" s="1" t="n"/>
      <c r="J714">
        <f>IF(M714="","",IF(INDEX(Settings!$C$10:$C$18,M714)="","",INDEX(Settings!$C$10:$C$18,M714)))</f>
        <v/>
      </c>
      <c r="K714">
        <f>IF(M714="","",IF(INDEX(Settings!$D$10:$D$18,M714)="","",INDEX(Settings!$D$10:$D$18,M714)))</f>
        <v/>
      </c>
      <c r="L714">
        <f>IF(OR(B714="",E714=""),"",B714+MOD(N(C714),1)+ROW()/10000000)</f>
        <v/>
      </c>
      <c r="M714">
        <f>IF(D714="","",IFERROR(MATCH(D714,Settings!$B$10:$B$18,0),""))</f>
        <v/>
      </c>
      <c r="N714">
        <f>IF(OR(B714="",E714="",M714=""),"",IF(AND(B714&gt;=Settings!$C$6,B714&lt;=Settings!$C$7),M714*10000+E714,""))</f>
        <v/>
      </c>
      <c r="O714">
        <f>IF(OR(B714="",E714=""),"",B714*10000+E714)</f>
        <v/>
      </c>
      <c r="P714">
        <f>IF(N714="","",E714)</f>
        <v/>
      </c>
    </row>
    <row r="715">
      <c r="A715" s="1" t="n"/>
      <c r="B715" s="20" t="n"/>
      <c r="C715" s="21" t="n"/>
      <c r="D715" s="22" t="n"/>
      <c r="E715" s="23" t="n"/>
      <c r="F715" s="22" t="n"/>
      <c r="G715" s="14">
        <f>IF(OR(B715="",E715="",J715="",K715=""),"",IF(E715&lt;J715,"Below",IF(E715&gt;K715,"Above","In range")))</f>
        <v/>
      </c>
      <c r="H715" s="1" t="n"/>
      <c r="J715">
        <f>IF(M715="","",IF(INDEX(Settings!$C$10:$C$18,M715)="","",INDEX(Settings!$C$10:$C$18,M715)))</f>
        <v/>
      </c>
      <c r="K715">
        <f>IF(M715="","",IF(INDEX(Settings!$D$10:$D$18,M715)="","",INDEX(Settings!$D$10:$D$18,M715)))</f>
        <v/>
      </c>
      <c r="L715">
        <f>IF(OR(B715="",E715=""),"",B715+MOD(N(C715),1)+ROW()/10000000)</f>
        <v/>
      </c>
      <c r="M715">
        <f>IF(D715="","",IFERROR(MATCH(D715,Settings!$B$10:$B$18,0),""))</f>
        <v/>
      </c>
      <c r="N715">
        <f>IF(OR(B715="",E715="",M715=""),"",IF(AND(B715&gt;=Settings!$C$6,B715&lt;=Settings!$C$7),M715*10000+E715,""))</f>
        <v/>
      </c>
      <c r="O715">
        <f>IF(OR(B715="",E715=""),"",B715*10000+E715)</f>
        <v/>
      </c>
      <c r="P715">
        <f>IF(N715="","",E715)</f>
        <v/>
      </c>
    </row>
    <row r="716">
      <c r="A716" s="1" t="n"/>
      <c r="B716" s="20" t="n"/>
      <c r="C716" s="21" t="n"/>
      <c r="D716" s="22" t="n"/>
      <c r="E716" s="23" t="n"/>
      <c r="F716" s="22" t="n"/>
      <c r="G716" s="14">
        <f>IF(OR(B716="",E716="",J716="",K716=""),"",IF(E716&lt;J716,"Below",IF(E716&gt;K716,"Above","In range")))</f>
        <v/>
      </c>
      <c r="H716" s="1" t="n"/>
      <c r="J716">
        <f>IF(M716="","",IF(INDEX(Settings!$C$10:$C$18,M716)="","",INDEX(Settings!$C$10:$C$18,M716)))</f>
        <v/>
      </c>
      <c r="K716">
        <f>IF(M716="","",IF(INDEX(Settings!$D$10:$D$18,M716)="","",INDEX(Settings!$D$10:$D$18,M716)))</f>
        <v/>
      </c>
      <c r="L716">
        <f>IF(OR(B716="",E716=""),"",B716+MOD(N(C716),1)+ROW()/10000000)</f>
        <v/>
      </c>
      <c r="M716">
        <f>IF(D716="","",IFERROR(MATCH(D716,Settings!$B$10:$B$18,0),""))</f>
        <v/>
      </c>
      <c r="N716">
        <f>IF(OR(B716="",E716="",M716=""),"",IF(AND(B716&gt;=Settings!$C$6,B716&lt;=Settings!$C$7),M716*10000+E716,""))</f>
        <v/>
      </c>
      <c r="O716">
        <f>IF(OR(B716="",E716=""),"",B716*10000+E716)</f>
        <v/>
      </c>
      <c r="P716">
        <f>IF(N716="","",E716)</f>
        <v/>
      </c>
    </row>
    <row r="717">
      <c r="A717" s="1" t="n"/>
      <c r="B717" s="20" t="n"/>
      <c r="C717" s="21" t="n"/>
      <c r="D717" s="22" t="n"/>
      <c r="E717" s="23" t="n"/>
      <c r="F717" s="22" t="n"/>
      <c r="G717" s="14">
        <f>IF(OR(B717="",E717="",J717="",K717=""),"",IF(E717&lt;J717,"Below",IF(E717&gt;K717,"Above","In range")))</f>
        <v/>
      </c>
      <c r="H717" s="1" t="n"/>
      <c r="J717">
        <f>IF(M717="","",IF(INDEX(Settings!$C$10:$C$18,M717)="","",INDEX(Settings!$C$10:$C$18,M717)))</f>
        <v/>
      </c>
      <c r="K717">
        <f>IF(M717="","",IF(INDEX(Settings!$D$10:$D$18,M717)="","",INDEX(Settings!$D$10:$D$18,M717)))</f>
        <v/>
      </c>
      <c r="L717">
        <f>IF(OR(B717="",E717=""),"",B717+MOD(N(C717),1)+ROW()/10000000)</f>
        <v/>
      </c>
      <c r="M717">
        <f>IF(D717="","",IFERROR(MATCH(D717,Settings!$B$10:$B$18,0),""))</f>
        <v/>
      </c>
      <c r="N717">
        <f>IF(OR(B717="",E717="",M717=""),"",IF(AND(B717&gt;=Settings!$C$6,B717&lt;=Settings!$C$7),M717*10000+E717,""))</f>
        <v/>
      </c>
      <c r="O717">
        <f>IF(OR(B717="",E717=""),"",B717*10000+E717)</f>
        <v/>
      </c>
      <c r="P717">
        <f>IF(N717="","",E717)</f>
        <v/>
      </c>
    </row>
    <row r="718">
      <c r="A718" s="1" t="n"/>
      <c r="B718" s="20" t="n"/>
      <c r="C718" s="21" t="n"/>
      <c r="D718" s="22" t="n"/>
      <c r="E718" s="23" t="n"/>
      <c r="F718" s="22" t="n"/>
      <c r="G718" s="14">
        <f>IF(OR(B718="",E718="",J718="",K718=""),"",IF(E718&lt;J718,"Below",IF(E718&gt;K718,"Above","In range")))</f>
        <v/>
      </c>
      <c r="H718" s="1" t="n"/>
      <c r="J718">
        <f>IF(M718="","",IF(INDEX(Settings!$C$10:$C$18,M718)="","",INDEX(Settings!$C$10:$C$18,M718)))</f>
        <v/>
      </c>
      <c r="K718">
        <f>IF(M718="","",IF(INDEX(Settings!$D$10:$D$18,M718)="","",INDEX(Settings!$D$10:$D$18,M718)))</f>
        <v/>
      </c>
      <c r="L718">
        <f>IF(OR(B718="",E718=""),"",B718+MOD(N(C718),1)+ROW()/10000000)</f>
        <v/>
      </c>
      <c r="M718">
        <f>IF(D718="","",IFERROR(MATCH(D718,Settings!$B$10:$B$18,0),""))</f>
        <v/>
      </c>
      <c r="N718">
        <f>IF(OR(B718="",E718="",M718=""),"",IF(AND(B718&gt;=Settings!$C$6,B718&lt;=Settings!$C$7),M718*10000+E718,""))</f>
        <v/>
      </c>
      <c r="O718">
        <f>IF(OR(B718="",E718=""),"",B718*10000+E718)</f>
        <v/>
      </c>
      <c r="P718">
        <f>IF(N718="","",E718)</f>
        <v/>
      </c>
    </row>
    <row r="719">
      <c r="A719" s="1" t="n"/>
      <c r="B719" s="20" t="n"/>
      <c r="C719" s="21" t="n"/>
      <c r="D719" s="22" t="n"/>
      <c r="E719" s="23" t="n"/>
      <c r="F719" s="22" t="n"/>
      <c r="G719" s="14">
        <f>IF(OR(B719="",E719="",J719="",K719=""),"",IF(E719&lt;J719,"Below",IF(E719&gt;K719,"Above","In range")))</f>
        <v/>
      </c>
      <c r="H719" s="1" t="n"/>
      <c r="J719">
        <f>IF(M719="","",IF(INDEX(Settings!$C$10:$C$18,M719)="","",INDEX(Settings!$C$10:$C$18,M719)))</f>
        <v/>
      </c>
      <c r="K719">
        <f>IF(M719="","",IF(INDEX(Settings!$D$10:$D$18,M719)="","",INDEX(Settings!$D$10:$D$18,M719)))</f>
        <v/>
      </c>
      <c r="L719">
        <f>IF(OR(B719="",E719=""),"",B719+MOD(N(C719),1)+ROW()/10000000)</f>
        <v/>
      </c>
      <c r="M719">
        <f>IF(D719="","",IFERROR(MATCH(D719,Settings!$B$10:$B$18,0),""))</f>
        <v/>
      </c>
      <c r="N719">
        <f>IF(OR(B719="",E719="",M719=""),"",IF(AND(B719&gt;=Settings!$C$6,B719&lt;=Settings!$C$7),M719*10000+E719,""))</f>
        <v/>
      </c>
      <c r="O719">
        <f>IF(OR(B719="",E719=""),"",B719*10000+E719)</f>
        <v/>
      </c>
      <c r="P719">
        <f>IF(N719="","",E719)</f>
        <v/>
      </c>
    </row>
    <row r="720">
      <c r="A720" s="1" t="n"/>
      <c r="B720" s="20" t="n"/>
      <c r="C720" s="21" t="n"/>
      <c r="D720" s="22" t="n"/>
      <c r="E720" s="23" t="n"/>
      <c r="F720" s="22" t="n"/>
      <c r="G720" s="14">
        <f>IF(OR(B720="",E720="",J720="",K720=""),"",IF(E720&lt;J720,"Below",IF(E720&gt;K720,"Above","In range")))</f>
        <v/>
      </c>
      <c r="H720" s="1" t="n"/>
      <c r="J720">
        <f>IF(M720="","",IF(INDEX(Settings!$C$10:$C$18,M720)="","",INDEX(Settings!$C$10:$C$18,M720)))</f>
        <v/>
      </c>
      <c r="K720">
        <f>IF(M720="","",IF(INDEX(Settings!$D$10:$D$18,M720)="","",INDEX(Settings!$D$10:$D$18,M720)))</f>
        <v/>
      </c>
      <c r="L720">
        <f>IF(OR(B720="",E720=""),"",B720+MOD(N(C720),1)+ROW()/10000000)</f>
        <v/>
      </c>
      <c r="M720">
        <f>IF(D720="","",IFERROR(MATCH(D720,Settings!$B$10:$B$18,0),""))</f>
        <v/>
      </c>
      <c r="N720">
        <f>IF(OR(B720="",E720="",M720=""),"",IF(AND(B720&gt;=Settings!$C$6,B720&lt;=Settings!$C$7),M720*10000+E720,""))</f>
        <v/>
      </c>
      <c r="O720">
        <f>IF(OR(B720="",E720=""),"",B720*10000+E720)</f>
        <v/>
      </c>
      <c r="P720">
        <f>IF(N720="","",E720)</f>
        <v/>
      </c>
    </row>
    <row r="721">
      <c r="A721" s="1" t="n"/>
      <c r="B721" s="20" t="n"/>
      <c r="C721" s="21" t="n"/>
      <c r="D721" s="22" t="n"/>
      <c r="E721" s="23" t="n"/>
      <c r="F721" s="22" t="n"/>
      <c r="G721" s="14">
        <f>IF(OR(B721="",E721="",J721="",K721=""),"",IF(E721&lt;J721,"Below",IF(E721&gt;K721,"Above","In range")))</f>
        <v/>
      </c>
      <c r="H721" s="1" t="n"/>
      <c r="J721">
        <f>IF(M721="","",IF(INDEX(Settings!$C$10:$C$18,M721)="","",INDEX(Settings!$C$10:$C$18,M721)))</f>
        <v/>
      </c>
      <c r="K721">
        <f>IF(M721="","",IF(INDEX(Settings!$D$10:$D$18,M721)="","",INDEX(Settings!$D$10:$D$18,M721)))</f>
        <v/>
      </c>
      <c r="L721">
        <f>IF(OR(B721="",E721=""),"",B721+MOD(N(C721),1)+ROW()/10000000)</f>
        <v/>
      </c>
      <c r="M721">
        <f>IF(D721="","",IFERROR(MATCH(D721,Settings!$B$10:$B$18,0),""))</f>
        <v/>
      </c>
      <c r="N721">
        <f>IF(OR(B721="",E721="",M721=""),"",IF(AND(B721&gt;=Settings!$C$6,B721&lt;=Settings!$C$7),M721*10000+E721,""))</f>
        <v/>
      </c>
      <c r="O721">
        <f>IF(OR(B721="",E721=""),"",B721*10000+E721)</f>
        <v/>
      </c>
      <c r="P721">
        <f>IF(N721="","",E721)</f>
        <v/>
      </c>
    </row>
    <row r="722">
      <c r="A722" s="1" t="n"/>
      <c r="B722" s="20" t="n"/>
      <c r="C722" s="21" t="n"/>
      <c r="D722" s="22" t="n"/>
      <c r="E722" s="23" t="n"/>
      <c r="F722" s="22" t="n"/>
      <c r="G722" s="14">
        <f>IF(OR(B722="",E722="",J722="",K722=""),"",IF(E722&lt;J722,"Below",IF(E722&gt;K722,"Above","In range")))</f>
        <v/>
      </c>
      <c r="H722" s="1" t="n"/>
      <c r="J722">
        <f>IF(M722="","",IF(INDEX(Settings!$C$10:$C$18,M722)="","",INDEX(Settings!$C$10:$C$18,M722)))</f>
        <v/>
      </c>
      <c r="K722">
        <f>IF(M722="","",IF(INDEX(Settings!$D$10:$D$18,M722)="","",INDEX(Settings!$D$10:$D$18,M722)))</f>
        <v/>
      </c>
      <c r="L722">
        <f>IF(OR(B722="",E722=""),"",B722+MOD(N(C722),1)+ROW()/10000000)</f>
        <v/>
      </c>
      <c r="M722">
        <f>IF(D722="","",IFERROR(MATCH(D722,Settings!$B$10:$B$18,0),""))</f>
        <v/>
      </c>
      <c r="N722">
        <f>IF(OR(B722="",E722="",M722=""),"",IF(AND(B722&gt;=Settings!$C$6,B722&lt;=Settings!$C$7),M722*10000+E722,""))</f>
        <v/>
      </c>
      <c r="O722">
        <f>IF(OR(B722="",E722=""),"",B722*10000+E722)</f>
        <v/>
      </c>
      <c r="P722">
        <f>IF(N722="","",E722)</f>
        <v/>
      </c>
    </row>
    <row r="723">
      <c r="A723" s="1" t="n"/>
      <c r="B723" s="20" t="n"/>
      <c r="C723" s="21" t="n"/>
      <c r="D723" s="22" t="n"/>
      <c r="E723" s="23" t="n"/>
      <c r="F723" s="22" t="n"/>
      <c r="G723" s="14">
        <f>IF(OR(B723="",E723="",J723="",K723=""),"",IF(E723&lt;J723,"Below",IF(E723&gt;K723,"Above","In range")))</f>
        <v/>
      </c>
      <c r="H723" s="1" t="n"/>
      <c r="J723">
        <f>IF(M723="","",IF(INDEX(Settings!$C$10:$C$18,M723)="","",INDEX(Settings!$C$10:$C$18,M723)))</f>
        <v/>
      </c>
      <c r="K723">
        <f>IF(M723="","",IF(INDEX(Settings!$D$10:$D$18,M723)="","",INDEX(Settings!$D$10:$D$18,M723)))</f>
        <v/>
      </c>
      <c r="L723">
        <f>IF(OR(B723="",E723=""),"",B723+MOD(N(C723),1)+ROW()/10000000)</f>
        <v/>
      </c>
      <c r="M723">
        <f>IF(D723="","",IFERROR(MATCH(D723,Settings!$B$10:$B$18,0),""))</f>
        <v/>
      </c>
      <c r="N723">
        <f>IF(OR(B723="",E723="",M723=""),"",IF(AND(B723&gt;=Settings!$C$6,B723&lt;=Settings!$C$7),M723*10000+E723,""))</f>
        <v/>
      </c>
      <c r="O723">
        <f>IF(OR(B723="",E723=""),"",B723*10000+E723)</f>
        <v/>
      </c>
      <c r="P723">
        <f>IF(N723="","",E723)</f>
        <v/>
      </c>
    </row>
    <row r="724">
      <c r="A724" s="1" t="n"/>
      <c r="B724" s="20" t="n"/>
      <c r="C724" s="21" t="n"/>
      <c r="D724" s="22" t="n"/>
      <c r="E724" s="23" t="n"/>
      <c r="F724" s="22" t="n"/>
      <c r="G724" s="14">
        <f>IF(OR(B724="",E724="",J724="",K724=""),"",IF(E724&lt;J724,"Below",IF(E724&gt;K724,"Above","In range")))</f>
        <v/>
      </c>
      <c r="H724" s="1" t="n"/>
      <c r="J724">
        <f>IF(M724="","",IF(INDEX(Settings!$C$10:$C$18,M724)="","",INDEX(Settings!$C$10:$C$18,M724)))</f>
        <v/>
      </c>
      <c r="K724">
        <f>IF(M724="","",IF(INDEX(Settings!$D$10:$D$18,M724)="","",INDEX(Settings!$D$10:$D$18,M724)))</f>
        <v/>
      </c>
      <c r="L724">
        <f>IF(OR(B724="",E724=""),"",B724+MOD(N(C724),1)+ROW()/10000000)</f>
        <v/>
      </c>
      <c r="M724">
        <f>IF(D724="","",IFERROR(MATCH(D724,Settings!$B$10:$B$18,0),""))</f>
        <v/>
      </c>
      <c r="N724">
        <f>IF(OR(B724="",E724="",M724=""),"",IF(AND(B724&gt;=Settings!$C$6,B724&lt;=Settings!$C$7),M724*10000+E724,""))</f>
        <v/>
      </c>
      <c r="O724">
        <f>IF(OR(B724="",E724=""),"",B724*10000+E724)</f>
        <v/>
      </c>
      <c r="P724">
        <f>IF(N724="","",E724)</f>
        <v/>
      </c>
    </row>
    <row r="725">
      <c r="A725" s="1" t="n"/>
      <c r="B725" s="20" t="n"/>
      <c r="C725" s="21" t="n"/>
      <c r="D725" s="22" t="n"/>
      <c r="E725" s="23" t="n"/>
      <c r="F725" s="22" t="n"/>
      <c r="G725" s="14">
        <f>IF(OR(B725="",E725="",J725="",K725=""),"",IF(E725&lt;J725,"Below",IF(E725&gt;K725,"Above","In range")))</f>
        <v/>
      </c>
      <c r="H725" s="1" t="n"/>
      <c r="J725">
        <f>IF(M725="","",IF(INDEX(Settings!$C$10:$C$18,M725)="","",INDEX(Settings!$C$10:$C$18,M725)))</f>
        <v/>
      </c>
      <c r="K725">
        <f>IF(M725="","",IF(INDEX(Settings!$D$10:$D$18,M725)="","",INDEX(Settings!$D$10:$D$18,M725)))</f>
        <v/>
      </c>
      <c r="L725">
        <f>IF(OR(B725="",E725=""),"",B725+MOD(N(C725),1)+ROW()/10000000)</f>
        <v/>
      </c>
      <c r="M725">
        <f>IF(D725="","",IFERROR(MATCH(D725,Settings!$B$10:$B$18,0),""))</f>
        <v/>
      </c>
      <c r="N725">
        <f>IF(OR(B725="",E725="",M725=""),"",IF(AND(B725&gt;=Settings!$C$6,B725&lt;=Settings!$C$7),M725*10000+E725,""))</f>
        <v/>
      </c>
      <c r="O725">
        <f>IF(OR(B725="",E725=""),"",B725*10000+E725)</f>
        <v/>
      </c>
      <c r="P725">
        <f>IF(N725="","",E725)</f>
        <v/>
      </c>
    </row>
    <row r="726">
      <c r="A726" s="1" t="n"/>
      <c r="B726" s="20" t="n"/>
      <c r="C726" s="21" t="n"/>
      <c r="D726" s="22" t="n"/>
      <c r="E726" s="23" t="n"/>
      <c r="F726" s="22" t="n"/>
      <c r="G726" s="14">
        <f>IF(OR(B726="",E726="",J726="",K726=""),"",IF(E726&lt;J726,"Below",IF(E726&gt;K726,"Above","In range")))</f>
        <v/>
      </c>
      <c r="H726" s="1" t="n"/>
      <c r="J726">
        <f>IF(M726="","",IF(INDEX(Settings!$C$10:$C$18,M726)="","",INDEX(Settings!$C$10:$C$18,M726)))</f>
        <v/>
      </c>
      <c r="K726">
        <f>IF(M726="","",IF(INDEX(Settings!$D$10:$D$18,M726)="","",INDEX(Settings!$D$10:$D$18,M726)))</f>
        <v/>
      </c>
      <c r="L726">
        <f>IF(OR(B726="",E726=""),"",B726+MOD(N(C726),1)+ROW()/10000000)</f>
        <v/>
      </c>
      <c r="M726">
        <f>IF(D726="","",IFERROR(MATCH(D726,Settings!$B$10:$B$18,0),""))</f>
        <v/>
      </c>
      <c r="N726">
        <f>IF(OR(B726="",E726="",M726=""),"",IF(AND(B726&gt;=Settings!$C$6,B726&lt;=Settings!$C$7),M726*10000+E726,""))</f>
        <v/>
      </c>
      <c r="O726">
        <f>IF(OR(B726="",E726=""),"",B726*10000+E726)</f>
        <v/>
      </c>
      <c r="P726">
        <f>IF(N726="","",E726)</f>
        <v/>
      </c>
    </row>
    <row r="727">
      <c r="A727" s="1" t="n"/>
      <c r="B727" s="20" t="n"/>
      <c r="C727" s="21" t="n"/>
      <c r="D727" s="22" t="n"/>
      <c r="E727" s="23" t="n"/>
      <c r="F727" s="22" t="n"/>
      <c r="G727" s="14">
        <f>IF(OR(B727="",E727="",J727="",K727=""),"",IF(E727&lt;J727,"Below",IF(E727&gt;K727,"Above","In range")))</f>
        <v/>
      </c>
      <c r="H727" s="1" t="n"/>
      <c r="J727">
        <f>IF(M727="","",IF(INDEX(Settings!$C$10:$C$18,M727)="","",INDEX(Settings!$C$10:$C$18,M727)))</f>
        <v/>
      </c>
      <c r="K727">
        <f>IF(M727="","",IF(INDEX(Settings!$D$10:$D$18,M727)="","",INDEX(Settings!$D$10:$D$18,M727)))</f>
        <v/>
      </c>
      <c r="L727">
        <f>IF(OR(B727="",E727=""),"",B727+MOD(N(C727),1)+ROW()/10000000)</f>
        <v/>
      </c>
      <c r="M727">
        <f>IF(D727="","",IFERROR(MATCH(D727,Settings!$B$10:$B$18,0),""))</f>
        <v/>
      </c>
      <c r="N727">
        <f>IF(OR(B727="",E727="",M727=""),"",IF(AND(B727&gt;=Settings!$C$6,B727&lt;=Settings!$C$7),M727*10000+E727,""))</f>
        <v/>
      </c>
      <c r="O727">
        <f>IF(OR(B727="",E727=""),"",B727*10000+E727)</f>
        <v/>
      </c>
      <c r="P727">
        <f>IF(N727="","",E727)</f>
        <v/>
      </c>
    </row>
    <row r="728">
      <c r="A728" s="1" t="n"/>
      <c r="B728" s="20" t="n"/>
      <c r="C728" s="21" t="n"/>
      <c r="D728" s="22" t="n"/>
      <c r="E728" s="23" t="n"/>
      <c r="F728" s="22" t="n"/>
      <c r="G728" s="14">
        <f>IF(OR(B728="",E728="",J728="",K728=""),"",IF(E728&lt;J728,"Below",IF(E728&gt;K728,"Above","In range")))</f>
        <v/>
      </c>
      <c r="H728" s="1" t="n"/>
      <c r="J728">
        <f>IF(M728="","",IF(INDEX(Settings!$C$10:$C$18,M728)="","",INDEX(Settings!$C$10:$C$18,M728)))</f>
        <v/>
      </c>
      <c r="K728">
        <f>IF(M728="","",IF(INDEX(Settings!$D$10:$D$18,M728)="","",INDEX(Settings!$D$10:$D$18,M728)))</f>
        <v/>
      </c>
      <c r="L728">
        <f>IF(OR(B728="",E728=""),"",B728+MOD(N(C728),1)+ROW()/10000000)</f>
        <v/>
      </c>
      <c r="M728">
        <f>IF(D728="","",IFERROR(MATCH(D728,Settings!$B$10:$B$18,0),""))</f>
        <v/>
      </c>
      <c r="N728">
        <f>IF(OR(B728="",E728="",M728=""),"",IF(AND(B728&gt;=Settings!$C$6,B728&lt;=Settings!$C$7),M728*10000+E728,""))</f>
        <v/>
      </c>
      <c r="O728">
        <f>IF(OR(B728="",E728=""),"",B728*10000+E728)</f>
        <v/>
      </c>
      <c r="P728">
        <f>IF(N728="","",E728)</f>
        <v/>
      </c>
    </row>
    <row r="729">
      <c r="A729" s="1" t="n"/>
      <c r="B729" s="20" t="n"/>
      <c r="C729" s="21" t="n"/>
      <c r="D729" s="22" t="n"/>
      <c r="E729" s="23" t="n"/>
      <c r="F729" s="22" t="n"/>
      <c r="G729" s="14">
        <f>IF(OR(B729="",E729="",J729="",K729=""),"",IF(E729&lt;J729,"Below",IF(E729&gt;K729,"Above","In range")))</f>
        <v/>
      </c>
      <c r="H729" s="1" t="n"/>
      <c r="J729">
        <f>IF(M729="","",IF(INDEX(Settings!$C$10:$C$18,M729)="","",INDEX(Settings!$C$10:$C$18,M729)))</f>
        <v/>
      </c>
      <c r="K729">
        <f>IF(M729="","",IF(INDEX(Settings!$D$10:$D$18,M729)="","",INDEX(Settings!$D$10:$D$18,M729)))</f>
        <v/>
      </c>
      <c r="L729">
        <f>IF(OR(B729="",E729=""),"",B729+MOD(N(C729),1)+ROW()/10000000)</f>
        <v/>
      </c>
      <c r="M729">
        <f>IF(D729="","",IFERROR(MATCH(D729,Settings!$B$10:$B$18,0),""))</f>
        <v/>
      </c>
      <c r="N729">
        <f>IF(OR(B729="",E729="",M729=""),"",IF(AND(B729&gt;=Settings!$C$6,B729&lt;=Settings!$C$7),M729*10000+E729,""))</f>
        <v/>
      </c>
      <c r="O729">
        <f>IF(OR(B729="",E729=""),"",B729*10000+E729)</f>
        <v/>
      </c>
      <c r="P729">
        <f>IF(N729="","",E729)</f>
        <v/>
      </c>
    </row>
    <row r="730">
      <c r="A730" s="1" t="n"/>
      <c r="B730" s="20" t="n"/>
      <c r="C730" s="21" t="n"/>
      <c r="D730" s="22" t="n"/>
      <c r="E730" s="23" t="n"/>
      <c r="F730" s="22" t="n"/>
      <c r="G730" s="14">
        <f>IF(OR(B730="",E730="",J730="",K730=""),"",IF(E730&lt;J730,"Below",IF(E730&gt;K730,"Above","In range")))</f>
        <v/>
      </c>
      <c r="H730" s="1" t="n"/>
      <c r="J730">
        <f>IF(M730="","",IF(INDEX(Settings!$C$10:$C$18,M730)="","",INDEX(Settings!$C$10:$C$18,M730)))</f>
        <v/>
      </c>
      <c r="K730">
        <f>IF(M730="","",IF(INDEX(Settings!$D$10:$D$18,M730)="","",INDEX(Settings!$D$10:$D$18,M730)))</f>
        <v/>
      </c>
      <c r="L730">
        <f>IF(OR(B730="",E730=""),"",B730+MOD(N(C730),1)+ROW()/10000000)</f>
        <v/>
      </c>
      <c r="M730">
        <f>IF(D730="","",IFERROR(MATCH(D730,Settings!$B$10:$B$18,0),""))</f>
        <v/>
      </c>
      <c r="N730">
        <f>IF(OR(B730="",E730="",M730=""),"",IF(AND(B730&gt;=Settings!$C$6,B730&lt;=Settings!$C$7),M730*10000+E730,""))</f>
        <v/>
      </c>
      <c r="O730">
        <f>IF(OR(B730="",E730=""),"",B730*10000+E730)</f>
        <v/>
      </c>
      <c r="P730">
        <f>IF(N730="","",E730)</f>
        <v/>
      </c>
    </row>
    <row r="731">
      <c r="A731" s="1" t="n"/>
      <c r="B731" s="20" t="n"/>
      <c r="C731" s="21" t="n"/>
      <c r="D731" s="22" t="n"/>
      <c r="E731" s="23" t="n"/>
      <c r="F731" s="22" t="n"/>
      <c r="G731" s="14">
        <f>IF(OR(B731="",E731="",J731="",K731=""),"",IF(E731&lt;J731,"Below",IF(E731&gt;K731,"Above","In range")))</f>
        <v/>
      </c>
      <c r="H731" s="1" t="n"/>
      <c r="J731">
        <f>IF(M731="","",IF(INDEX(Settings!$C$10:$C$18,M731)="","",INDEX(Settings!$C$10:$C$18,M731)))</f>
        <v/>
      </c>
      <c r="K731">
        <f>IF(M731="","",IF(INDEX(Settings!$D$10:$D$18,M731)="","",INDEX(Settings!$D$10:$D$18,M731)))</f>
        <v/>
      </c>
      <c r="L731">
        <f>IF(OR(B731="",E731=""),"",B731+MOD(N(C731),1)+ROW()/10000000)</f>
        <v/>
      </c>
      <c r="M731">
        <f>IF(D731="","",IFERROR(MATCH(D731,Settings!$B$10:$B$18,0),""))</f>
        <v/>
      </c>
      <c r="N731">
        <f>IF(OR(B731="",E731="",M731=""),"",IF(AND(B731&gt;=Settings!$C$6,B731&lt;=Settings!$C$7),M731*10000+E731,""))</f>
        <v/>
      </c>
      <c r="O731">
        <f>IF(OR(B731="",E731=""),"",B731*10000+E731)</f>
        <v/>
      </c>
      <c r="P731">
        <f>IF(N731="","",E731)</f>
        <v/>
      </c>
    </row>
    <row r="732">
      <c r="A732" s="1" t="n"/>
      <c r="B732" s="20" t="n"/>
      <c r="C732" s="21" t="n"/>
      <c r="D732" s="22" t="n"/>
      <c r="E732" s="23" t="n"/>
      <c r="F732" s="22" t="n"/>
      <c r="G732" s="14">
        <f>IF(OR(B732="",E732="",J732="",K732=""),"",IF(E732&lt;J732,"Below",IF(E732&gt;K732,"Above","In range")))</f>
        <v/>
      </c>
      <c r="H732" s="1" t="n"/>
      <c r="J732">
        <f>IF(M732="","",IF(INDEX(Settings!$C$10:$C$18,M732)="","",INDEX(Settings!$C$10:$C$18,M732)))</f>
        <v/>
      </c>
      <c r="K732">
        <f>IF(M732="","",IF(INDEX(Settings!$D$10:$D$18,M732)="","",INDEX(Settings!$D$10:$D$18,M732)))</f>
        <v/>
      </c>
      <c r="L732">
        <f>IF(OR(B732="",E732=""),"",B732+MOD(N(C732),1)+ROW()/10000000)</f>
        <v/>
      </c>
      <c r="M732">
        <f>IF(D732="","",IFERROR(MATCH(D732,Settings!$B$10:$B$18,0),""))</f>
        <v/>
      </c>
      <c r="N732">
        <f>IF(OR(B732="",E732="",M732=""),"",IF(AND(B732&gt;=Settings!$C$6,B732&lt;=Settings!$C$7),M732*10000+E732,""))</f>
        <v/>
      </c>
      <c r="O732">
        <f>IF(OR(B732="",E732=""),"",B732*10000+E732)</f>
        <v/>
      </c>
      <c r="P732">
        <f>IF(N732="","",E732)</f>
        <v/>
      </c>
    </row>
    <row r="733">
      <c r="A733" s="1" t="n"/>
      <c r="B733" s="20" t="n"/>
      <c r="C733" s="21" t="n"/>
      <c r="D733" s="22" t="n"/>
      <c r="E733" s="23" t="n"/>
      <c r="F733" s="22" t="n"/>
      <c r="G733" s="14">
        <f>IF(OR(B733="",E733="",J733="",K733=""),"",IF(E733&lt;J733,"Below",IF(E733&gt;K733,"Above","In range")))</f>
        <v/>
      </c>
      <c r="H733" s="1" t="n"/>
      <c r="J733">
        <f>IF(M733="","",IF(INDEX(Settings!$C$10:$C$18,M733)="","",INDEX(Settings!$C$10:$C$18,M733)))</f>
        <v/>
      </c>
      <c r="K733">
        <f>IF(M733="","",IF(INDEX(Settings!$D$10:$D$18,M733)="","",INDEX(Settings!$D$10:$D$18,M733)))</f>
        <v/>
      </c>
      <c r="L733">
        <f>IF(OR(B733="",E733=""),"",B733+MOD(N(C733),1)+ROW()/10000000)</f>
        <v/>
      </c>
      <c r="M733">
        <f>IF(D733="","",IFERROR(MATCH(D733,Settings!$B$10:$B$18,0),""))</f>
        <v/>
      </c>
      <c r="N733">
        <f>IF(OR(B733="",E733="",M733=""),"",IF(AND(B733&gt;=Settings!$C$6,B733&lt;=Settings!$C$7),M733*10000+E733,""))</f>
        <v/>
      </c>
      <c r="O733">
        <f>IF(OR(B733="",E733=""),"",B733*10000+E733)</f>
        <v/>
      </c>
      <c r="P733">
        <f>IF(N733="","",E733)</f>
        <v/>
      </c>
    </row>
    <row r="734">
      <c r="A734" s="1" t="n"/>
      <c r="B734" s="20" t="n"/>
      <c r="C734" s="21" t="n"/>
      <c r="D734" s="22" t="n"/>
      <c r="E734" s="23" t="n"/>
      <c r="F734" s="22" t="n"/>
      <c r="G734" s="14">
        <f>IF(OR(B734="",E734="",J734="",K734=""),"",IF(E734&lt;J734,"Below",IF(E734&gt;K734,"Above","In range")))</f>
        <v/>
      </c>
      <c r="H734" s="1" t="n"/>
      <c r="J734">
        <f>IF(M734="","",IF(INDEX(Settings!$C$10:$C$18,M734)="","",INDEX(Settings!$C$10:$C$18,M734)))</f>
        <v/>
      </c>
      <c r="K734">
        <f>IF(M734="","",IF(INDEX(Settings!$D$10:$D$18,M734)="","",INDEX(Settings!$D$10:$D$18,M734)))</f>
        <v/>
      </c>
      <c r="L734">
        <f>IF(OR(B734="",E734=""),"",B734+MOD(N(C734),1)+ROW()/10000000)</f>
        <v/>
      </c>
      <c r="M734">
        <f>IF(D734="","",IFERROR(MATCH(D734,Settings!$B$10:$B$18,0),""))</f>
        <v/>
      </c>
      <c r="N734">
        <f>IF(OR(B734="",E734="",M734=""),"",IF(AND(B734&gt;=Settings!$C$6,B734&lt;=Settings!$C$7),M734*10000+E734,""))</f>
        <v/>
      </c>
      <c r="O734">
        <f>IF(OR(B734="",E734=""),"",B734*10000+E734)</f>
        <v/>
      </c>
      <c r="P734">
        <f>IF(N734="","",E734)</f>
        <v/>
      </c>
    </row>
    <row r="735">
      <c r="A735" s="1" t="n"/>
      <c r="B735" s="20" t="n"/>
      <c r="C735" s="21" t="n"/>
      <c r="D735" s="22" t="n"/>
      <c r="E735" s="23" t="n"/>
      <c r="F735" s="22" t="n"/>
      <c r="G735" s="14">
        <f>IF(OR(B735="",E735="",J735="",K735=""),"",IF(E735&lt;J735,"Below",IF(E735&gt;K735,"Above","In range")))</f>
        <v/>
      </c>
      <c r="H735" s="1" t="n"/>
      <c r="J735">
        <f>IF(M735="","",IF(INDEX(Settings!$C$10:$C$18,M735)="","",INDEX(Settings!$C$10:$C$18,M735)))</f>
        <v/>
      </c>
      <c r="K735">
        <f>IF(M735="","",IF(INDEX(Settings!$D$10:$D$18,M735)="","",INDEX(Settings!$D$10:$D$18,M735)))</f>
        <v/>
      </c>
      <c r="L735">
        <f>IF(OR(B735="",E735=""),"",B735+MOD(N(C735),1)+ROW()/10000000)</f>
        <v/>
      </c>
      <c r="M735">
        <f>IF(D735="","",IFERROR(MATCH(D735,Settings!$B$10:$B$18,0),""))</f>
        <v/>
      </c>
      <c r="N735">
        <f>IF(OR(B735="",E735="",M735=""),"",IF(AND(B735&gt;=Settings!$C$6,B735&lt;=Settings!$C$7),M735*10000+E735,""))</f>
        <v/>
      </c>
      <c r="O735">
        <f>IF(OR(B735="",E735=""),"",B735*10000+E735)</f>
        <v/>
      </c>
      <c r="P735">
        <f>IF(N735="","",E735)</f>
        <v/>
      </c>
    </row>
    <row r="736">
      <c r="A736" s="1" t="n"/>
      <c r="B736" s="20" t="n"/>
      <c r="C736" s="21" t="n"/>
      <c r="D736" s="22" t="n"/>
      <c r="E736" s="23" t="n"/>
      <c r="F736" s="22" t="n"/>
      <c r="G736" s="14">
        <f>IF(OR(B736="",E736="",J736="",K736=""),"",IF(E736&lt;J736,"Below",IF(E736&gt;K736,"Above","In range")))</f>
        <v/>
      </c>
      <c r="H736" s="1" t="n"/>
      <c r="J736">
        <f>IF(M736="","",IF(INDEX(Settings!$C$10:$C$18,M736)="","",INDEX(Settings!$C$10:$C$18,M736)))</f>
        <v/>
      </c>
      <c r="K736">
        <f>IF(M736="","",IF(INDEX(Settings!$D$10:$D$18,M736)="","",INDEX(Settings!$D$10:$D$18,M736)))</f>
        <v/>
      </c>
      <c r="L736">
        <f>IF(OR(B736="",E736=""),"",B736+MOD(N(C736),1)+ROW()/10000000)</f>
        <v/>
      </c>
      <c r="M736">
        <f>IF(D736="","",IFERROR(MATCH(D736,Settings!$B$10:$B$18,0),""))</f>
        <v/>
      </c>
      <c r="N736">
        <f>IF(OR(B736="",E736="",M736=""),"",IF(AND(B736&gt;=Settings!$C$6,B736&lt;=Settings!$C$7),M736*10000+E736,""))</f>
        <v/>
      </c>
      <c r="O736">
        <f>IF(OR(B736="",E736=""),"",B736*10000+E736)</f>
        <v/>
      </c>
      <c r="P736">
        <f>IF(N736="","",E736)</f>
        <v/>
      </c>
    </row>
    <row r="737">
      <c r="A737" s="1" t="n"/>
      <c r="B737" s="20" t="n"/>
      <c r="C737" s="21" t="n"/>
      <c r="D737" s="22" t="n"/>
      <c r="E737" s="23" t="n"/>
      <c r="F737" s="22" t="n"/>
      <c r="G737" s="14">
        <f>IF(OR(B737="",E737="",J737="",K737=""),"",IF(E737&lt;J737,"Below",IF(E737&gt;K737,"Above","In range")))</f>
        <v/>
      </c>
      <c r="H737" s="1" t="n"/>
      <c r="J737">
        <f>IF(M737="","",IF(INDEX(Settings!$C$10:$C$18,M737)="","",INDEX(Settings!$C$10:$C$18,M737)))</f>
        <v/>
      </c>
      <c r="K737">
        <f>IF(M737="","",IF(INDEX(Settings!$D$10:$D$18,M737)="","",INDEX(Settings!$D$10:$D$18,M737)))</f>
        <v/>
      </c>
      <c r="L737">
        <f>IF(OR(B737="",E737=""),"",B737+MOD(N(C737),1)+ROW()/10000000)</f>
        <v/>
      </c>
      <c r="M737">
        <f>IF(D737="","",IFERROR(MATCH(D737,Settings!$B$10:$B$18,0),""))</f>
        <v/>
      </c>
      <c r="N737">
        <f>IF(OR(B737="",E737="",M737=""),"",IF(AND(B737&gt;=Settings!$C$6,B737&lt;=Settings!$C$7),M737*10000+E737,""))</f>
        <v/>
      </c>
      <c r="O737">
        <f>IF(OR(B737="",E737=""),"",B737*10000+E737)</f>
        <v/>
      </c>
      <c r="P737">
        <f>IF(N737="","",E737)</f>
        <v/>
      </c>
    </row>
    <row r="738">
      <c r="A738" s="1" t="n"/>
      <c r="B738" s="20" t="n"/>
      <c r="C738" s="21" t="n"/>
      <c r="D738" s="22" t="n"/>
      <c r="E738" s="23" t="n"/>
      <c r="F738" s="22" t="n"/>
      <c r="G738" s="14">
        <f>IF(OR(B738="",E738="",J738="",K738=""),"",IF(E738&lt;J738,"Below",IF(E738&gt;K738,"Above","In range")))</f>
        <v/>
      </c>
      <c r="H738" s="1" t="n"/>
      <c r="J738">
        <f>IF(M738="","",IF(INDEX(Settings!$C$10:$C$18,M738)="","",INDEX(Settings!$C$10:$C$18,M738)))</f>
        <v/>
      </c>
      <c r="K738">
        <f>IF(M738="","",IF(INDEX(Settings!$D$10:$D$18,M738)="","",INDEX(Settings!$D$10:$D$18,M738)))</f>
        <v/>
      </c>
      <c r="L738">
        <f>IF(OR(B738="",E738=""),"",B738+MOD(N(C738),1)+ROW()/10000000)</f>
        <v/>
      </c>
      <c r="M738">
        <f>IF(D738="","",IFERROR(MATCH(D738,Settings!$B$10:$B$18,0),""))</f>
        <v/>
      </c>
      <c r="N738">
        <f>IF(OR(B738="",E738="",M738=""),"",IF(AND(B738&gt;=Settings!$C$6,B738&lt;=Settings!$C$7),M738*10000+E738,""))</f>
        <v/>
      </c>
      <c r="O738">
        <f>IF(OR(B738="",E738=""),"",B738*10000+E738)</f>
        <v/>
      </c>
      <c r="P738">
        <f>IF(N738="","",E738)</f>
        <v/>
      </c>
    </row>
    <row r="739">
      <c r="A739" s="1" t="n"/>
      <c r="B739" s="20" t="n"/>
      <c r="C739" s="21" t="n"/>
      <c r="D739" s="22" t="n"/>
      <c r="E739" s="23" t="n"/>
      <c r="F739" s="22" t="n"/>
      <c r="G739" s="14">
        <f>IF(OR(B739="",E739="",J739="",K739=""),"",IF(E739&lt;J739,"Below",IF(E739&gt;K739,"Above","In range")))</f>
        <v/>
      </c>
      <c r="H739" s="1" t="n"/>
      <c r="J739">
        <f>IF(M739="","",IF(INDEX(Settings!$C$10:$C$18,M739)="","",INDEX(Settings!$C$10:$C$18,M739)))</f>
        <v/>
      </c>
      <c r="K739">
        <f>IF(M739="","",IF(INDEX(Settings!$D$10:$D$18,M739)="","",INDEX(Settings!$D$10:$D$18,M739)))</f>
        <v/>
      </c>
      <c r="L739">
        <f>IF(OR(B739="",E739=""),"",B739+MOD(N(C739),1)+ROW()/10000000)</f>
        <v/>
      </c>
      <c r="M739">
        <f>IF(D739="","",IFERROR(MATCH(D739,Settings!$B$10:$B$18,0),""))</f>
        <v/>
      </c>
      <c r="N739">
        <f>IF(OR(B739="",E739="",M739=""),"",IF(AND(B739&gt;=Settings!$C$6,B739&lt;=Settings!$C$7),M739*10000+E739,""))</f>
        <v/>
      </c>
      <c r="O739">
        <f>IF(OR(B739="",E739=""),"",B739*10000+E739)</f>
        <v/>
      </c>
      <c r="P739">
        <f>IF(N739="","",E739)</f>
        <v/>
      </c>
    </row>
    <row r="740">
      <c r="A740" s="1" t="n"/>
      <c r="B740" s="20" t="n"/>
      <c r="C740" s="21" t="n"/>
      <c r="D740" s="22" t="n"/>
      <c r="E740" s="23" t="n"/>
      <c r="F740" s="22" t="n"/>
      <c r="G740" s="14">
        <f>IF(OR(B740="",E740="",J740="",K740=""),"",IF(E740&lt;J740,"Below",IF(E740&gt;K740,"Above","In range")))</f>
        <v/>
      </c>
      <c r="H740" s="1" t="n"/>
      <c r="J740">
        <f>IF(M740="","",IF(INDEX(Settings!$C$10:$C$18,M740)="","",INDEX(Settings!$C$10:$C$18,M740)))</f>
        <v/>
      </c>
      <c r="K740">
        <f>IF(M740="","",IF(INDEX(Settings!$D$10:$D$18,M740)="","",INDEX(Settings!$D$10:$D$18,M740)))</f>
        <v/>
      </c>
      <c r="L740">
        <f>IF(OR(B740="",E740=""),"",B740+MOD(N(C740),1)+ROW()/10000000)</f>
        <v/>
      </c>
      <c r="M740">
        <f>IF(D740="","",IFERROR(MATCH(D740,Settings!$B$10:$B$18,0),""))</f>
        <v/>
      </c>
      <c r="N740">
        <f>IF(OR(B740="",E740="",M740=""),"",IF(AND(B740&gt;=Settings!$C$6,B740&lt;=Settings!$C$7),M740*10000+E740,""))</f>
        <v/>
      </c>
      <c r="O740">
        <f>IF(OR(B740="",E740=""),"",B740*10000+E740)</f>
        <v/>
      </c>
      <c r="P740">
        <f>IF(N740="","",E740)</f>
        <v/>
      </c>
    </row>
    <row r="741">
      <c r="A741" s="1" t="n"/>
      <c r="B741" s="20" t="n"/>
      <c r="C741" s="21" t="n"/>
      <c r="D741" s="22" t="n"/>
      <c r="E741" s="23" t="n"/>
      <c r="F741" s="22" t="n"/>
      <c r="G741" s="14">
        <f>IF(OR(B741="",E741="",J741="",K741=""),"",IF(E741&lt;J741,"Below",IF(E741&gt;K741,"Above","In range")))</f>
        <v/>
      </c>
      <c r="H741" s="1" t="n"/>
      <c r="J741">
        <f>IF(M741="","",IF(INDEX(Settings!$C$10:$C$18,M741)="","",INDEX(Settings!$C$10:$C$18,M741)))</f>
        <v/>
      </c>
      <c r="K741">
        <f>IF(M741="","",IF(INDEX(Settings!$D$10:$D$18,M741)="","",INDEX(Settings!$D$10:$D$18,M741)))</f>
        <v/>
      </c>
      <c r="L741">
        <f>IF(OR(B741="",E741=""),"",B741+MOD(N(C741),1)+ROW()/10000000)</f>
        <v/>
      </c>
      <c r="M741">
        <f>IF(D741="","",IFERROR(MATCH(D741,Settings!$B$10:$B$18,0),""))</f>
        <v/>
      </c>
      <c r="N741">
        <f>IF(OR(B741="",E741="",M741=""),"",IF(AND(B741&gt;=Settings!$C$6,B741&lt;=Settings!$C$7),M741*10000+E741,""))</f>
        <v/>
      </c>
      <c r="O741">
        <f>IF(OR(B741="",E741=""),"",B741*10000+E741)</f>
        <v/>
      </c>
      <c r="P741">
        <f>IF(N741="","",E741)</f>
        <v/>
      </c>
    </row>
    <row r="742">
      <c r="A742" s="1" t="n"/>
      <c r="B742" s="20" t="n"/>
      <c r="C742" s="21" t="n"/>
      <c r="D742" s="22" t="n"/>
      <c r="E742" s="23" t="n"/>
      <c r="F742" s="22" t="n"/>
      <c r="G742" s="14">
        <f>IF(OR(B742="",E742="",J742="",K742=""),"",IF(E742&lt;J742,"Below",IF(E742&gt;K742,"Above","In range")))</f>
        <v/>
      </c>
      <c r="H742" s="1" t="n"/>
      <c r="J742">
        <f>IF(M742="","",IF(INDEX(Settings!$C$10:$C$18,M742)="","",INDEX(Settings!$C$10:$C$18,M742)))</f>
        <v/>
      </c>
      <c r="K742">
        <f>IF(M742="","",IF(INDEX(Settings!$D$10:$D$18,M742)="","",INDEX(Settings!$D$10:$D$18,M742)))</f>
        <v/>
      </c>
      <c r="L742">
        <f>IF(OR(B742="",E742=""),"",B742+MOD(N(C742),1)+ROW()/10000000)</f>
        <v/>
      </c>
      <c r="M742">
        <f>IF(D742="","",IFERROR(MATCH(D742,Settings!$B$10:$B$18,0),""))</f>
        <v/>
      </c>
      <c r="N742">
        <f>IF(OR(B742="",E742="",M742=""),"",IF(AND(B742&gt;=Settings!$C$6,B742&lt;=Settings!$C$7),M742*10000+E742,""))</f>
        <v/>
      </c>
      <c r="O742">
        <f>IF(OR(B742="",E742=""),"",B742*10000+E742)</f>
        <v/>
      </c>
      <c r="P742">
        <f>IF(N742="","",E742)</f>
        <v/>
      </c>
    </row>
    <row r="743">
      <c r="A743" s="1" t="n"/>
      <c r="B743" s="20" t="n"/>
      <c r="C743" s="21" t="n"/>
      <c r="D743" s="22" t="n"/>
      <c r="E743" s="23" t="n"/>
      <c r="F743" s="22" t="n"/>
      <c r="G743" s="14">
        <f>IF(OR(B743="",E743="",J743="",K743=""),"",IF(E743&lt;J743,"Below",IF(E743&gt;K743,"Above","In range")))</f>
        <v/>
      </c>
      <c r="H743" s="1" t="n"/>
      <c r="J743">
        <f>IF(M743="","",IF(INDEX(Settings!$C$10:$C$18,M743)="","",INDEX(Settings!$C$10:$C$18,M743)))</f>
        <v/>
      </c>
      <c r="K743">
        <f>IF(M743="","",IF(INDEX(Settings!$D$10:$D$18,M743)="","",INDEX(Settings!$D$10:$D$18,M743)))</f>
        <v/>
      </c>
      <c r="L743">
        <f>IF(OR(B743="",E743=""),"",B743+MOD(N(C743),1)+ROW()/10000000)</f>
        <v/>
      </c>
      <c r="M743">
        <f>IF(D743="","",IFERROR(MATCH(D743,Settings!$B$10:$B$18,0),""))</f>
        <v/>
      </c>
      <c r="N743">
        <f>IF(OR(B743="",E743="",M743=""),"",IF(AND(B743&gt;=Settings!$C$6,B743&lt;=Settings!$C$7),M743*10000+E743,""))</f>
        <v/>
      </c>
      <c r="O743">
        <f>IF(OR(B743="",E743=""),"",B743*10000+E743)</f>
        <v/>
      </c>
      <c r="P743">
        <f>IF(N743="","",E743)</f>
        <v/>
      </c>
    </row>
    <row r="744">
      <c r="A744" s="1" t="n"/>
      <c r="B744" s="20" t="n"/>
      <c r="C744" s="21" t="n"/>
      <c r="D744" s="22" t="n"/>
      <c r="E744" s="23" t="n"/>
      <c r="F744" s="22" t="n"/>
      <c r="G744" s="14">
        <f>IF(OR(B744="",E744="",J744="",K744=""),"",IF(E744&lt;J744,"Below",IF(E744&gt;K744,"Above","In range")))</f>
        <v/>
      </c>
      <c r="H744" s="1" t="n"/>
      <c r="J744">
        <f>IF(M744="","",IF(INDEX(Settings!$C$10:$C$18,M744)="","",INDEX(Settings!$C$10:$C$18,M744)))</f>
        <v/>
      </c>
      <c r="K744">
        <f>IF(M744="","",IF(INDEX(Settings!$D$10:$D$18,M744)="","",INDEX(Settings!$D$10:$D$18,M744)))</f>
        <v/>
      </c>
      <c r="L744">
        <f>IF(OR(B744="",E744=""),"",B744+MOD(N(C744),1)+ROW()/10000000)</f>
        <v/>
      </c>
      <c r="M744">
        <f>IF(D744="","",IFERROR(MATCH(D744,Settings!$B$10:$B$18,0),""))</f>
        <v/>
      </c>
      <c r="N744">
        <f>IF(OR(B744="",E744="",M744=""),"",IF(AND(B744&gt;=Settings!$C$6,B744&lt;=Settings!$C$7),M744*10000+E744,""))</f>
        <v/>
      </c>
      <c r="O744">
        <f>IF(OR(B744="",E744=""),"",B744*10000+E744)</f>
        <v/>
      </c>
      <c r="P744">
        <f>IF(N744="","",E744)</f>
        <v/>
      </c>
    </row>
    <row r="745">
      <c r="A745" s="1" t="n"/>
      <c r="B745" s="20" t="n"/>
      <c r="C745" s="21" t="n"/>
      <c r="D745" s="22" t="n"/>
      <c r="E745" s="23" t="n"/>
      <c r="F745" s="22" t="n"/>
      <c r="G745" s="14">
        <f>IF(OR(B745="",E745="",J745="",K745=""),"",IF(E745&lt;J745,"Below",IF(E745&gt;K745,"Above","In range")))</f>
        <v/>
      </c>
      <c r="H745" s="1" t="n"/>
      <c r="J745">
        <f>IF(M745="","",IF(INDEX(Settings!$C$10:$C$18,M745)="","",INDEX(Settings!$C$10:$C$18,M745)))</f>
        <v/>
      </c>
      <c r="K745">
        <f>IF(M745="","",IF(INDEX(Settings!$D$10:$D$18,M745)="","",INDEX(Settings!$D$10:$D$18,M745)))</f>
        <v/>
      </c>
      <c r="L745">
        <f>IF(OR(B745="",E745=""),"",B745+MOD(N(C745),1)+ROW()/10000000)</f>
        <v/>
      </c>
      <c r="M745">
        <f>IF(D745="","",IFERROR(MATCH(D745,Settings!$B$10:$B$18,0),""))</f>
        <v/>
      </c>
      <c r="N745">
        <f>IF(OR(B745="",E745="",M745=""),"",IF(AND(B745&gt;=Settings!$C$6,B745&lt;=Settings!$C$7),M745*10000+E745,""))</f>
        <v/>
      </c>
      <c r="O745">
        <f>IF(OR(B745="",E745=""),"",B745*10000+E745)</f>
        <v/>
      </c>
      <c r="P745">
        <f>IF(N745="","",E745)</f>
        <v/>
      </c>
    </row>
    <row r="746">
      <c r="A746" s="1" t="n"/>
      <c r="B746" s="20" t="n"/>
      <c r="C746" s="21" t="n"/>
      <c r="D746" s="22" t="n"/>
      <c r="E746" s="23" t="n"/>
      <c r="F746" s="22" t="n"/>
      <c r="G746" s="14">
        <f>IF(OR(B746="",E746="",J746="",K746=""),"",IF(E746&lt;J746,"Below",IF(E746&gt;K746,"Above","In range")))</f>
        <v/>
      </c>
      <c r="H746" s="1" t="n"/>
      <c r="J746">
        <f>IF(M746="","",IF(INDEX(Settings!$C$10:$C$18,M746)="","",INDEX(Settings!$C$10:$C$18,M746)))</f>
        <v/>
      </c>
      <c r="K746">
        <f>IF(M746="","",IF(INDEX(Settings!$D$10:$D$18,M746)="","",INDEX(Settings!$D$10:$D$18,M746)))</f>
        <v/>
      </c>
      <c r="L746">
        <f>IF(OR(B746="",E746=""),"",B746+MOD(N(C746),1)+ROW()/10000000)</f>
        <v/>
      </c>
      <c r="M746">
        <f>IF(D746="","",IFERROR(MATCH(D746,Settings!$B$10:$B$18,0),""))</f>
        <v/>
      </c>
      <c r="N746">
        <f>IF(OR(B746="",E746="",M746=""),"",IF(AND(B746&gt;=Settings!$C$6,B746&lt;=Settings!$C$7),M746*10000+E746,""))</f>
        <v/>
      </c>
      <c r="O746">
        <f>IF(OR(B746="",E746=""),"",B746*10000+E746)</f>
        <v/>
      </c>
      <c r="P746">
        <f>IF(N746="","",E746)</f>
        <v/>
      </c>
    </row>
    <row r="747">
      <c r="A747" s="1" t="n"/>
      <c r="B747" s="20" t="n"/>
      <c r="C747" s="21" t="n"/>
      <c r="D747" s="22" t="n"/>
      <c r="E747" s="23" t="n"/>
      <c r="F747" s="22" t="n"/>
      <c r="G747" s="14">
        <f>IF(OR(B747="",E747="",J747="",K747=""),"",IF(E747&lt;J747,"Below",IF(E747&gt;K747,"Above","In range")))</f>
        <v/>
      </c>
      <c r="H747" s="1" t="n"/>
      <c r="J747">
        <f>IF(M747="","",IF(INDEX(Settings!$C$10:$C$18,M747)="","",INDEX(Settings!$C$10:$C$18,M747)))</f>
        <v/>
      </c>
      <c r="K747">
        <f>IF(M747="","",IF(INDEX(Settings!$D$10:$D$18,M747)="","",INDEX(Settings!$D$10:$D$18,M747)))</f>
        <v/>
      </c>
      <c r="L747">
        <f>IF(OR(B747="",E747=""),"",B747+MOD(N(C747),1)+ROW()/10000000)</f>
        <v/>
      </c>
      <c r="M747">
        <f>IF(D747="","",IFERROR(MATCH(D747,Settings!$B$10:$B$18,0),""))</f>
        <v/>
      </c>
      <c r="N747">
        <f>IF(OR(B747="",E747="",M747=""),"",IF(AND(B747&gt;=Settings!$C$6,B747&lt;=Settings!$C$7),M747*10000+E747,""))</f>
        <v/>
      </c>
      <c r="O747">
        <f>IF(OR(B747="",E747=""),"",B747*10000+E747)</f>
        <v/>
      </c>
      <c r="P747">
        <f>IF(N747="","",E747)</f>
        <v/>
      </c>
    </row>
    <row r="748">
      <c r="A748" s="1" t="n"/>
      <c r="B748" s="20" t="n"/>
      <c r="C748" s="21" t="n"/>
      <c r="D748" s="22" t="n"/>
      <c r="E748" s="23" t="n"/>
      <c r="F748" s="22" t="n"/>
      <c r="G748" s="14">
        <f>IF(OR(B748="",E748="",J748="",K748=""),"",IF(E748&lt;J748,"Below",IF(E748&gt;K748,"Above","In range")))</f>
        <v/>
      </c>
      <c r="H748" s="1" t="n"/>
      <c r="J748">
        <f>IF(M748="","",IF(INDEX(Settings!$C$10:$C$18,M748)="","",INDEX(Settings!$C$10:$C$18,M748)))</f>
        <v/>
      </c>
      <c r="K748">
        <f>IF(M748="","",IF(INDEX(Settings!$D$10:$D$18,M748)="","",INDEX(Settings!$D$10:$D$18,M748)))</f>
        <v/>
      </c>
      <c r="L748">
        <f>IF(OR(B748="",E748=""),"",B748+MOD(N(C748),1)+ROW()/10000000)</f>
        <v/>
      </c>
      <c r="M748">
        <f>IF(D748="","",IFERROR(MATCH(D748,Settings!$B$10:$B$18,0),""))</f>
        <v/>
      </c>
      <c r="N748">
        <f>IF(OR(B748="",E748="",M748=""),"",IF(AND(B748&gt;=Settings!$C$6,B748&lt;=Settings!$C$7),M748*10000+E748,""))</f>
        <v/>
      </c>
      <c r="O748">
        <f>IF(OR(B748="",E748=""),"",B748*10000+E748)</f>
        <v/>
      </c>
      <c r="P748">
        <f>IF(N748="","",E748)</f>
        <v/>
      </c>
    </row>
    <row r="749">
      <c r="A749" s="1" t="n"/>
      <c r="B749" s="20" t="n"/>
      <c r="C749" s="21" t="n"/>
      <c r="D749" s="22" t="n"/>
      <c r="E749" s="23" t="n"/>
      <c r="F749" s="22" t="n"/>
      <c r="G749" s="14">
        <f>IF(OR(B749="",E749="",J749="",K749=""),"",IF(E749&lt;J749,"Below",IF(E749&gt;K749,"Above","In range")))</f>
        <v/>
      </c>
      <c r="H749" s="1" t="n"/>
      <c r="J749">
        <f>IF(M749="","",IF(INDEX(Settings!$C$10:$C$18,M749)="","",INDEX(Settings!$C$10:$C$18,M749)))</f>
        <v/>
      </c>
      <c r="K749">
        <f>IF(M749="","",IF(INDEX(Settings!$D$10:$D$18,M749)="","",INDEX(Settings!$D$10:$D$18,M749)))</f>
        <v/>
      </c>
      <c r="L749">
        <f>IF(OR(B749="",E749=""),"",B749+MOD(N(C749),1)+ROW()/10000000)</f>
        <v/>
      </c>
      <c r="M749">
        <f>IF(D749="","",IFERROR(MATCH(D749,Settings!$B$10:$B$18,0),""))</f>
        <v/>
      </c>
      <c r="N749">
        <f>IF(OR(B749="",E749="",M749=""),"",IF(AND(B749&gt;=Settings!$C$6,B749&lt;=Settings!$C$7),M749*10000+E749,""))</f>
        <v/>
      </c>
      <c r="O749">
        <f>IF(OR(B749="",E749=""),"",B749*10000+E749)</f>
        <v/>
      </c>
      <c r="P749">
        <f>IF(N749="","",E749)</f>
        <v/>
      </c>
    </row>
    <row r="750">
      <c r="A750" s="1" t="n"/>
      <c r="B750" s="20" t="n"/>
      <c r="C750" s="21" t="n"/>
      <c r="D750" s="22" t="n"/>
      <c r="E750" s="23" t="n"/>
      <c r="F750" s="22" t="n"/>
      <c r="G750" s="14">
        <f>IF(OR(B750="",E750="",J750="",K750=""),"",IF(E750&lt;J750,"Below",IF(E750&gt;K750,"Above","In range")))</f>
        <v/>
      </c>
      <c r="H750" s="1" t="n"/>
      <c r="J750">
        <f>IF(M750="","",IF(INDEX(Settings!$C$10:$C$18,M750)="","",INDEX(Settings!$C$10:$C$18,M750)))</f>
        <v/>
      </c>
      <c r="K750">
        <f>IF(M750="","",IF(INDEX(Settings!$D$10:$D$18,M750)="","",INDEX(Settings!$D$10:$D$18,M750)))</f>
        <v/>
      </c>
      <c r="L750">
        <f>IF(OR(B750="",E750=""),"",B750+MOD(N(C750),1)+ROW()/10000000)</f>
        <v/>
      </c>
      <c r="M750">
        <f>IF(D750="","",IFERROR(MATCH(D750,Settings!$B$10:$B$18,0),""))</f>
        <v/>
      </c>
      <c r="N750">
        <f>IF(OR(B750="",E750="",M750=""),"",IF(AND(B750&gt;=Settings!$C$6,B750&lt;=Settings!$C$7),M750*10000+E750,""))</f>
        <v/>
      </c>
      <c r="O750">
        <f>IF(OR(B750="",E750=""),"",B750*10000+E750)</f>
        <v/>
      </c>
      <c r="P750">
        <f>IF(N750="","",E750)</f>
        <v/>
      </c>
    </row>
    <row r="751">
      <c r="A751" s="1" t="n"/>
      <c r="B751" s="20" t="n"/>
      <c r="C751" s="21" t="n"/>
      <c r="D751" s="22" t="n"/>
      <c r="E751" s="23" t="n"/>
      <c r="F751" s="22" t="n"/>
      <c r="G751" s="14">
        <f>IF(OR(B751="",E751="",J751="",K751=""),"",IF(E751&lt;J751,"Below",IF(E751&gt;K751,"Above","In range")))</f>
        <v/>
      </c>
      <c r="H751" s="1" t="n"/>
      <c r="J751">
        <f>IF(M751="","",IF(INDEX(Settings!$C$10:$C$18,M751)="","",INDEX(Settings!$C$10:$C$18,M751)))</f>
        <v/>
      </c>
      <c r="K751">
        <f>IF(M751="","",IF(INDEX(Settings!$D$10:$D$18,M751)="","",INDEX(Settings!$D$10:$D$18,M751)))</f>
        <v/>
      </c>
      <c r="L751">
        <f>IF(OR(B751="",E751=""),"",B751+MOD(N(C751),1)+ROW()/10000000)</f>
        <v/>
      </c>
      <c r="M751">
        <f>IF(D751="","",IFERROR(MATCH(D751,Settings!$B$10:$B$18,0),""))</f>
        <v/>
      </c>
      <c r="N751">
        <f>IF(OR(B751="",E751="",M751=""),"",IF(AND(B751&gt;=Settings!$C$6,B751&lt;=Settings!$C$7),M751*10000+E751,""))</f>
        <v/>
      </c>
      <c r="O751">
        <f>IF(OR(B751="",E751=""),"",B751*10000+E751)</f>
        <v/>
      </c>
      <c r="P751">
        <f>IF(N751="","",E751)</f>
        <v/>
      </c>
    </row>
    <row r="752">
      <c r="A752" s="1" t="n"/>
      <c r="B752" s="20" t="n"/>
      <c r="C752" s="21" t="n"/>
      <c r="D752" s="22" t="n"/>
      <c r="E752" s="23" t="n"/>
      <c r="F752" s="22" t="n"/>
      <c r="G752" s="14">
        <f>IF(OR(B752="",E752="",J752="",K752=""),"",IF(E752&lt;J752,"Below",IF(E752&gt;K752,"Above","In range")))</f>
        <v/>
      </c>
      <c r="H752" s="1" t="n"/>
      <c r="J752">
        <f>IF(M752="","",IF(INDEX(Settings!$C$10:$C$18,M752)="","",INDEX(Settings!$C$10:$C$18,M752)))</f>
        <v/>
      </c>
      <c r="K752">
        <f>IF(M752="","",IF(INDEX(Settings!$D$10:$D$18,M752)="","",INDEX(Settings!$D$10:$D$18,M752)))</f>
        <v/>
      </c>
      <c r="L752">
        <f>IF(OR(B752="",E752=""),"",B752+MOD(N(C752),1)+ROW()/10000000)</f>
        <v/>
      </c>
      <c r="M752">
        <f>IF(D752="","",IFERROR(MATCH(D752,Settings!$B$10:$B$18,0),""))</f>
        <v/>
      </c>
      <c r="N752">
        <f>IF(OR(B752="",E752="",M752=""),"",IF(AND(B752&gt;=Settings!$C$6,B752&lt;=Settings!$C$7),M752*10000+E752,""))</f>
        <v/>
      </c>
      <c r="O752">
        <f>IF(OR(B752="",E752=""),"",B752*10000+E752)</f>
        <v/>
      </c>
      <c r="P752">
        <f>IF(N752="","",E752)</f>
        <v/>
      </c>
    </row>
    <row r="753">
      <c r="A753" s="1" t="n"/>
      <c r="B753" s="20" t="n"/>
      <c r="C753" s="21" t="n"/>
      <c r="D753" s="22" t="n"/>
      <c r="E753" s="23" t="n"/>
      <c r="F753" s="22" t="n"/>
      <c r="G753" s="14">
        <f>IF(OR(B753="",E753="",J753="",K753=""),"",IF(E753&lt;J753,"Below",IF(E753&gt;K753,"Above","In range")))</f>
        <v/>
      </c>
      <c r="H753" s="1" t="n"/>
      <c r="J753">
        <f>IF(M753="","",IF(INDEX(Settings!$C$10:$C$18,M753)="","",INDEX(Settings!$C$10:$C$18,M753)))</f>
        <v/>
      </c>
      <c r="K753">
        <f>IF(M753="","",IF(INDEX(Settings!$D$10:$D$18,M753)="","",INDEX(Settings!$D$10:$D$18,M753)))</f>
        <v/>
      </c>
      <c r="L753">
        <f>IF(OR(B753="",E753=""),"",B753+MOD(N(C753),1)+ROW()/10000000)</f>
        <v/>
      </c>
      <c r="M753">
        <f>IF(D753="","",IFERROR(MATCH(D753,Settings!$B$10:$B$18,0),""))</f>
        <v/>
      </c>
      <c r="N753">
        <f>IF(OR(B753="",E753="",M753=""),"",IF(AND(B753&gt;=Settings!$C$6,B753&lt;=Settings!$C$7),M753*10000+E753,""))</f>
        <v/>
      </c>
      <c r="O753">
        <f>IF(OR(B753="",E753=""),"",B753*10000+E753)</f>
        <v/>
      </c>
      <c r="P753">
        <f>IF(N753="","",E753)</f>
        <v/>
      </c>
    </row>
    <row r="754">
      <c r="A754" s="1" t="n"/>
      <c r="B754" s="20" t="n"/>
      <c r="C754" s="21" t="n"/>
      <c r="D754" s="22" t="n"/>
      <c r="E754" s="23" t="n"/>
      <c r="F754" s="22" t="n"/>
      <c r="G754" s="14">
        <f>IF(OR(B754="",E754="",J754="",K754=""),"",IF(E754&lt;J754,"Below",IF(E754&gt;K754,"Above","In range")))</f>
        <v/>
      </c>
      <c r="H754" s="1" t="n"/>
      <c r="J754">
        <f>IF(M754="","",IF(INDEX(Settings!$C$10:$C$18,M754)="","",INDEX(Settings!$C$10:$C$18,M754)))</f>
        <v/>
      </c>
      <c r="K754">
        <f>IF(M754="","",IF(INDEX(Settings!$D$10:$D$18,M754)="","",INDEX(Settings!$D$10:$D$18,M754)))</f>
        <v/>
      </c>
      <c r="L754">
        <f>IF(OR(B754="",E754=""),"",B754+MOD(N(C754),1)+ROW()/10000000)</f>
        <v/>
      </c>
      <c r="M754">
        <f>IF(D754="","",IFERROR(MATCH(D754,Settings!$B$10:$B$18,0),""))</f>
        <v/>
      </c>
      <c r="N754">
        <f>IF(OR(B754="",E754="",M754=""),"",IF(AND(B754&gt;=Settings!$C$6,B754&lt;=Settings!$C$7),M754*10000+E754,""))</f>
        <v/>
      </c>
      <c r="O754">
        <f>IF(OR(B754="",E754=""),"",B754*10000+E754)</f>
        <v/>
      </c>
      <c r="P754">
        <f>IF(N754="","",E754)</f>
        <v/>
      </c>
    </row>
    <row r="755">
      <c r="A755" s="1" t="n"/>
      <c r="B755" s="20" t="n"/>
      <c r="C755" s="21" t="n"/>
      <c r="D755" s="22" t="n"/>
      <c r="E755" s="23" t="n"/>
      <c r="F755" s="22" t="n"/>
      <c r="G755" s="14">
        <f>IF(OR(B755="",E755="",J755="",K755=""),"",IF(E755&lt;J755,"Below",IF(E755&gt;K755,"Above","In range")))</f>
        <v/>
      </c>
      <c r="H755" s="1" t="n"/>
      <c r="J755">
        <f>IF(M755="","",IF(INDEX(Settings!$C$10:$C$18,M755)="","",INDEX(Settings!$C$10:$C$18,M755)))</f>
        <v/>
      </c>
      <c r="K755">
        <f>IF(M755="","",IF(INDEX(Settings!$D$10:$D$18,M755)="","",INDEX(Settings!$D$10:$D$18,M755)))</f>
        <v/>
      </c>
      <c r="L755">
        <f>IF(OR(B755="",E755=""),"",B755+MOD(N(C755),1)+ROW()/10000000)</f>
        <v/>
      </c>
      <c r="M755">
        <f>IF(D755="","",IFERROR(MATCH(D755,Settings!$B$10:$B$18,0),""))</f>
        <v/>
      </c>
      <c r="N755">
        <f>IF(OR(B755="",E755="",M755=""),"",IF(AND(B755&gt;=Settings!$C$6,B755&lt;=Settings!$C$7),M755*10000+E755,""))</f>
        <v/>
      </c>
      <c r="O755">
        <f>IF(OR(B755="",E755=""),"",B755*10000+E755)</f>
        <v/>
      </c>
      <c r="P755">
        <f>IF(N755="","",E755)</f>
        <v/>
      </c>
    </row>
    <row r="756">
      <c r="A756" s="1" t="n"/>
      <c r="B756" s="20" t="n"/>
      <c r="C756" s="21" t="n"/>
      <c r="D756" s="22" t="n"/>
      <c r="E756" s="23" t="n"/>
      <c r="F756" s="22" t="n"/>
      <c r="G756" s="14">
        <f>IF(OR(B756="",E756="",J756="",K756=""),"",IF(E756&lt;J756,"Below",IF(E756&gt;K756,"Above","In range")))</f>
        <v/>
      </c>
      <c r="H756" s="1" t="n"/>
      <c r="J756">
        <f>IF(M756="","",IF(INDEX(Settings!$C$10:$C$18,M756)="","",INDEX(Settings!$C$10:$C$18,M756)))</f>
        <v/>
      </c>
      <c r="K756">
        <f>IF(M756="","",IF(INDEX(Settings!$D$10:$D$18,M756)="","",INDEX(Settings!$D$10:$D$18,M756)))</f>
        <v/>
      </c>
      <c r="L756">
        <f>IF(OR(B756="",E756=""),"",B756+MOD(N(C756),1)+ROW()/10000000)</f>
        <v/>
      </c>
      <c r="M756">
        <f>IF(D756="","",IFERROR(MATCH(D756,Settings!$B$10:$B$18,0),""))</f>
        <v/>
      </c>
      <c r="N756">
        <f>IF(OR(B756="",E756="",M756=""),"",IF(AND(B756&gt;=Settings!$C$6,B756&lt;=Settings!$C$7),M756*10000+E756,""))</f>
        <v/>
      </c>
      <c r="O756">
        <f>IF(OR(B756="",E756=""),"",B756*10000+E756)</f>
        <v/>
      </c>
      <c r="P756">
        <f>IF(N756="","",E756)</f>
        <v/>
      </c>
    </row>
    <row r="757">
      <c r="A757" s="1" t="n"/>
      <c r="B757" s="20" t="n"/>
      <c r="C757" s="21" t="n"/>
      <c r="D757" s="22" t="n"/>
      <c r="E757" s="23" t="n"/>
      <c r="F757" s="22" t="n"/>
      <c r="G757" s="14">
        <f>IF(OR(B757="",E757="",J757="",K757=""),"",IF(E757&lt;J757,"Below",IF(E757&gt;K757,"Above","In range")))</f>
        <v/>
      </c>
      <c r="H757" s="1" t="n"/>
      <c r="J757">
        <f>IF(M757="","",IF(INDEX(Settings!$C$10:$C$18,M757)="","",INDEX(Settings!$C$10:$C$18,M757)))</f>
        <v/>
      </c>
      <c r="K757">
        <f>IF(M757="","",IF(INDEX(Settings!$D$10:$D$18,M757)="","",INDEX(Settings!$D$10:$D$18,M757)))</f>
        <v/>
      </c>
      <c r="L757">
        <f>IF(OR(B757="",E757=""),"",B757+MOD(N(C757),1)+ROW()/10000000)</f>
        <v/>
      </c>
      <c r="M757">
        <f>IF(D757="","",IFERROR(MATCH(D757,Settings!$B$10:$B$18,0),""))</f>
        <v/>
      </c>
      <c r="N757">
        <f>IF(OR(B757="",E757="",M757=""),"",IF(AND(B757&gt;=Settings!$C$6,B757&lt;=Settings!$C$7),M757*10000+E757,""))</f>
        <v/>
      </c>
      <c r="O757">
        <f>IF(OR(B757="",E757=""),"",B757*10000+E757)</f>
        <v/>
      </c>
      <c r="P757">
        <f>IF(N757="","",E757)</f>
        <v/>
      </c>
    </row>
    <row r="758">
      <c r="A758" s="1" t="n"/>
      <c r="B758" s="20" t="n"/>
      <c r="C758" s="21" t="n"/>
      <c r="D758" s="22" t="n"/>
      <c r="E758" s="23" t="n"/>
      <c r="F758" s="22" t="n"/>
      <c r="G758" s="14">
        <f>IF(OR(B758="",E758="",J758="",K758=""),"",IF(E758&lt;J758,"Below",IF(E758&gt;K758,"Above","In range")))</f>
        <v/>
      </c>
      <c r="H758" s="1" t="n"/>
      <c r="J758">
        <f>IF(M758="","",IF(INDEX(Settings!$C$10:$C$18,M758)="","",INDEX(Settings!$C$10:$C$18,M758)))</f>
        <v/>
      </c>
      <c r="K758">
        <f>IF(M758="","",IF(INDEX(Settings!$D$10:$D$18,M758)="","",INDEX(Settings!$D$10:$D$18,M758)))</f>
        <v/>
      </c>
      <c r="L758">
        <f>IF(OR(B758="",E758=""),"",B758+MOD(N(C758),1)+ROW()/10000000)</f>
        <v/>
      </c>
      <c r="M758">
        <f>IF(D758="","",IFERROR(MATCH(D758,Settings!$B$10:$B$18,0),""))</f>
        <v/>
      </c>
      <c r="N758">
        <f>IF(OR(B758="",E758="",M758=""),"",IF(AND(B758&gt;=Settings!$C$6,B758&lt;=Settings!$C$7),M758*10000+E758,""))</f>
        <v/>
      </c>
      <c r="O758">
        <f>IF(OR(B758="",E758=""),"",B758*10000+E758)</f>
        <v/>
      </c>
      <c r="P758">
        <f>IF(N758="","",E758)</f>
        <v/>
      </c>
    </row>
    <row r="759">
      <c r="A759" s="1" t="n"/>
      <c r="B759" s="20" t="n"/>
      <c r="C759" s="21" t="n"/>
      <c r="D759" s="22" t="n"/>
      <c r="E759" s="23" t="n"/>
      <c r="F759" s="22" t="n"/>
      <c r="G759" s="14">
        <f>IF(OR(B759="",E759="",J759="",K759=""),"",IF(E759&lt;J759,"Below",IF(E759&gt;K759,"Above","In range")))</f>
        <v/>
      </c>
      <c r="H759" s="1" t="n"/>
      <c r="J759">
        <f>IF(M759="","",IF(INDEX(Settings!$C$10:$C$18,M759)="","",INDEX(Settings!$C$10:$C$18,M759)))</f>
        <v/>
      </c>
      <c r="K759">
        <f>IF(M759="","",IF(INDEX(Settings!$D$10:$D$18,M759)="","",INDEX(Settings!$D$10:$D$18,M759)))</f>
        <v/>
      </c>
      <c r="L759">
        <f>IF(OR(B759="",E759=""),"",B759+MOD(N(C759),1)+ROW()/10000000)</f>
        <v/>
      </c>
      <c r="M759">
        <f>IF(D759="","",IFERROR(MATCH(D759,Settings!$B$10:$B$18,0),""))</f>
        <v/>
      </c>
      <c r="N759">
        <f>IF(OR(B759="",E759="",M759=""),"",IF(AND(B759&gt;=Settings!$C$6,B759&lt;=Settings!$C$7),M759*10000+E759,""))</f>
        <v/>
      </c>
      <c r="O759">
        <f>IF(OR(B759="",E759=""),"",B759*10000+E759)</f>
        <v/>
      </c>
      <c r="P759">
        <f>IF(N759="","",E759)</f>
        <v/>
      </c>
    </row>
    <row r="760">
      <c r="A760" s="1" t="n"/>
      <c r="B760" s="20" t="n"/>
      <c r="C760" s="21" t="n"/>
      <c r="D760" s="22" t="n"/>
      <c r="E760" s="23" t="n"/>
      <c r="F760" s="22" t="n"/>
      <c r="G760" s="14">
        <f>IF(OR(B760="",E760="",J760="",K760=""),"",IF(E760&lt;J760,"Below",IF(E760&gt;K760,"Above","In range")))</f>
        <v/>
      </c>
      <c r="H760" s="1" t="n"/>
      <c r="J760">
        <f>IF(M760="","",IF(INDEX(Settings!$C$10:$C$18,M760)="","",INDEX(Settings!$C$10:$C$18,M760)))</f>
        <v/>
      </c>
      <c r="K760">
        <f>IF(M760="","",IF(INDEX(Settings!$D$10:$D$18,M760)="","",INDEX(Settings!$D$10:$D$18,M760)))</f>
        <v/>
      </c>
      <c r="L760">
        <f>IF(OR(B760="",E760=""),"",B760+MOD(N(C760),1)+ROW()/10000000)</f>
        <v/>
      </c>
      <c r="M760">
        <f>IF(D760="","",IFERROR(MATCH(D760,Settings!$B$10:$B$18,0),""))</f>
        <v/>
      </c>
      <c r="N760">
        <f>IF(OR(B760="",E760="",M760=""),"",IF(AND(B760&gt;=Settings!$C$6,B760&lt;=Settings!$C$7),M760*10000+E760,""))</f>
        <v/>
      </c>
      <c r="O760">
        <f>IF(OR(B760="",E760=""),"",B760*10000+E760)</f>
        <v/>
      </c>
      <c r="P760">
        <f>IF(N760="","",E760)</f>
        <v/>
      </c>
    </row>
    <row r="761">
      <c r="A761" s="1" t="n"/>
      <c r="B761" s="20" t="n"/>
      <c r="C761" s="21" t="n"/>
      <c r="D761" s="22" t="n"/>
      <c r="E761" s="23" t="n"/>
      <c r="F761" s="22" t="n"/>
      <c r="G761" s="14">
        <f>IF(OR(B761="",E761="",J761="",K761=""),"",IF(E761&lt;J761,"Below",IF(E761&gt;K761,"Above","In range")))</f>
        <v/>
      </c>
      <c r="H761" s="1" t="n"/>
      <c r="J761">
        <f>IF(M761="","",IF(INDEX(Settings!$C$10:$C$18,M761)="","",INDEX(Settings!$C$10:$C$18,M761)))</f>
        <v/>
      </c>
      <c r="K761">
        <f>IF(M761="","",IF(INDEX(Settings!$D$10:$D$18,M761)="","",INDEX(Settings!$D$10:$D$18,M761)))</f>
        <v/>
      </c>
      <c r="L761">
        <f>IF(OR(B761="",E761=""),"",B761+MOD(N(C761),1)+ROW()/10000000)</f>
        <v/>
      </c>
      <c r="M761">
        <f>IF(D761="","",IFERROR(MATCH(D761,Settings!$B$10:$B$18,0),""))</f>
        <v/>
      </c>
      <c r="N761">
        <f>IF(OR(B761="",E761="",M761=""),"",IF(AND(B761&gt;=Settings!$C$6,B761&lt;=Settings!$C$7),M761*10000+E761,""))</f>
        <v/>
      </c>
      <c r="O761">
        <f>IF(OR(B761="",E761=""),"",B761*10000+E761)</f>
        <v/>
      </c>
      <c r="P761">
        <f>IF(N761="","",E761)</f>
        <v/>
      </c>
    </row>
    <row r="762">
      <c r="A762" s="1" t="n"/>
      <c r="B762" s="20" t="n"/>
      <c r="C762" s="21" t="n"/>
      <c r="D762" s="22" t="n"/>
      <c r="E762" s="23" t="n"/>
      <c r="F762" s="22" t="n"/>
      <c r="G762" s="14">
        <f>IF(OR(B762="",E762="",J762="",K762=""),"",IF(E762&lt;J762,"Below",IF(E762&gt;K762,"Above","In range")))</f>
        <v/>
      </c>
      <c r="H762" s="1" t="n"/>
      <c r="J762">
        <f>IF(M762="","",IF(INDEX(Settings!$C$10:$C$18,M762)="","",INDEX(Settings!$C$10:$C$18,M762)))</f>
        <v/>
      </c>
      <c r="K762">
        <f>IF(M762="","",IF(INDEX(Settings!$D$10:$D$18,M762)="","",INDEX(Settings!$D$10:$D$18,M762)))</f>
        <v/>
      </c>
      <c r="L762">
        <f>IF(OR(B762="",E762=""),"",B762+MOD(N(C762),1)+ROW()/10000000)</f>
        <v/>
      </c>
      <c r="M762">
        <f>IF(D762="","",IFERROR(MATCH(D762,Settings!$B$10:$B$18,0),""))</f>
        <v/>
      </c>
      <c r="N762">
        <f>IF(OR(B762="",E762="",M762=""),"",IF(AND(B762&gt;=Settings!$C$6,B762&lt;=Settings!$C$7),M762*10000+E762,""))</f>
        <v/>
      </c>
      <c r="O762">
        <f>IF(OR(B762="",E762=""),"",B762*10000+E762)</f>
        <v/>
      </c>
      <c r="P762">
        <f>IF(N762="","",E762)</f>
        <v/>
      </c>
    </row>
    <row r="763">
      <c r="A763" s="1" t="n"/>
      <c r="B763" s="20" t="n"/>
      <c r="C763" s="21" t="n"/>
      <c r="D763" s="22" t="n"/>
      <c r="E763" s="23" t="n"/>
      <c r="F763" s="22" t="n"/>
      <c r="G763" s="14">
        <f>IF(OR(B763="",E763="",J763="",K763=""),"",IF(E763&lt;J763,"Below",IF(E763&gt;K763,"Above","In range")))</f>
        <v/>
      </c>
      <c r="H763" s="1" t="n"/>
      <c r="J763">
        <f>IF(M763="","",IF(INDEX(Settings!$C$10:$C$18,M763)="","",INDEX(Settings!$C$10:$C$18,M763)))</f>
        <v/>
      </c>
      <c r="K763">
        <f>IF(M763="","",IF(INDEX(Settings!$D$10:$D$18,M763)="","",INDEX(Settings!$D$10:$D$18,M763)))</f>
        <v/>
      </c>
      <c r="L763">
        <f>IF(OR(B763="",E763=""),"",B763+MOD(N(C763),1)+ROW()/10000000)</f>
        <v/>
      </c>
      <c r="M763">
        <f>IF(D763="","",IFERROR(MATCH(D763,Settings!$B$10:$B$18,0),""))</f>
        <v/>
      </c>
      <c r="N763">
        <f>IF(OR(B763="",E763="",M763=""),"",IF(AND(B763&gt;=Settings!$C$6,B763&lt;=Settings!$C$7),M763*10000+E763,""))</f>
        <v/>
      </c>
      <c r="O763">
        <f>IF(OR(B763="",E763=""),"",B763*10000+E763)</f>
        <v/>
      </c>
      <c r="P763">
        <f>IF(N763="","",E763)</f>
        <v/>
      </c>
    </row>
    <row r="764">
      <c r="A764" s="1" t="n"/>
      <c r="B764" s="20" t="n"/>
      <c r="C764" s="21" t="n"/>
      <c r="D764" s="22" t="n"/>
      <c r="E764" s="23" t="n"/>
      <c r="F764" s="22" t="n"/>
      <c r="G764" s="14">
        <f>IF(OR(B764="",E764="",J764="",K764=""),"",IF(E764&lt;J764,"Below",IF(E764&gt;K764,"Above","In range")))</f>
        <v/>
      </c>
      <c r="H764" s="1" t="n"/>
      <c r="J764">
        <f>IF(M764="","",IF(INDEX(Settings!$C$10:$C$18,M764)="","",INDEX(Settings!$C$10:$C$18,M764)))</f>
        <v/>
      </c>
      <c r="K764">
        <f>IF(M764="","",IF(INDEX(Settings!$D$10:$D$18,M764)="","",INDEX(Settings!$D$10:$D$18,M764)))</f>
        <v/>
      </c>
      <c r="L764">
        <f>IF(OR(B764="",E764=""),"",B764+MOD(N(C764),1)+ROW()/10000000)</f>
        <v/>
      </c>
      <c r="M764">
        <f>IF(D764="","",IFERROR(MATCH(D764,Settings!$B$10:$B$18,0),""))</f>
        <v/>
      </c>
      <c r="N764">
        <f>IF(OR(B764="",E764="",M764=""),"",IF(AND(B764&gt;=Settings!$C$6,B764&lt;=Settings!$C$7),M764*10000+E764,""))</f>
        <v/>
      </c>
      <c r="O764">
        <f>IF(OR(B764="",E764=""),"",B764*10000+E764)</f>
        <v/>
      </c>
      <c r="P764">
        <f>IF(N764="","",E764)</f>
        <v/>
      </c>
    </row>
    <row r="765">
      <c r="A765" s="1" t="n"/>
      <c r="B765" s="20" t="n"/>
      <c r="C765" s="21" t="n"/>
      <c r="D765" s="22" t="n"/>
      <c r="E765" s="23" t="n"/>
      <c r="F765" s="22" t="n"/>
      <c r="G765" s="14">
        <f>IF(OR(B765="",E765="",J765="",K765=""),"",IF(E765&lt;J765,"Below",IF(E765&gt;K765,"Above","In range")))</f>
        <v/>
      </c>
      <c r="H765" s="1" t="n"/>
      <c r="J765">
        <f>IF(M765="","",IF(INDEX(Settings!$C$10:$C$18,M765)="","",INDEX(Settings!$C$10:$C$18,M765)))</f>
        <v/>
      </c>
      <c r="K765">
        <f>IF(M765="","",IF(INDEX(Settings!$D$10:$D$18,M765)="","",INDEX(Settings!$D$10:$D$18,M765)))</f>
        <v/>
      </c>
      <c r="L765">
        <f>IF(OR(B765="",E765=""),"",B765+MOD(N(C765),1)+ROW()/10000000)</f>
        <v/>
      </c>
      <c r="M765">
        <f>IF(D765="","",IFERROR(MATCH(D765,Settings!$B$10:$B$18,0),""))</f>
        <v/>
      </c>
      <c r="N765">
        <f>IF(OR(B765="",E765="",M765=""),"",IF(AND(B765&gt;=Settings!$C$6,B765&lt;=Settings!$C$7),M765*10000+E765,""))</f>
        <v/>
      </c>
      <c r="O765">
        <f>IF(OR(B765="",E765=""),"",B765*10000+E765)</f>
        <v/>
      </c>
      <c r="P765">
        <f>IF(N765="","",E765)</f>
        <v/>
      </c>
    </row>
    <row r="766">
      <c r="A766" s="1" t="n"/>
      <c r="B766" s="20" t="n"/>
      <c r="C766" s="21" t="n"/>
      <c r="D766" s="22" t="n"/>
      <c r="E766" s="23" t="n"/>
      <c r="F766" s="22" t="n"/>
      <c r="G766" s="14">
        <f>IF(OR(B766="",E766="",J766="",K766=""),"",IF(E766&lt;J766,"Below",IF(E766&gt;K766,"Above","In range")))</f>
        <v/>
      </c>
      <c r="H766" s="1" t="n"/>
      <c r="J766">
        <f>IF(M766="","",IF(INDEX(Settings!$C$10:$C$18,M766)="","",INDEX(Settings!$C$10:$C$18,M766)))</f>
        <v/>
      </c>
      <c r="K766">
        <f>IF(M766="","",IF(INDEX(Settings!$D$10:$D$18,M766)="","",INDEX(Settings!$D$10:$D$18,M766)))</f>
        <v/>
      </c>
      <c r="L766">
        <f>IF(OR(B766="",E766=""),"",B766+MOD(N(C766),1)+ROW()/10000000)</f>
        <v/>
      </c>
      <c r="M766">
        <f>IF(D766="","",IFERROR(MATCH(D766,Settings!$B$10:$B$18,0),""))</f>
        <v/>
      </c>
      <c r="N766">
        <f>IF(OR(B766="",E766="",M766=""),"",IF(AND(B766&gt;=Settings!$C$6,B766&lt;=Settings!$C$7),M766*10000+E766,""))</f>
        <v/>
      </c>
      <c r="O766">
        <f>IF(OR(B766="",E766=""),"",B766*10000+E766)</f>
        <v/>
      </c>
      <c r="P766">
        <f>IF(N766="","",E766)</f>
        <v/>
      </c>
    </row>
    <row r="767">
      <c r="A767" s="1" t="n"/>
      <c r="B767" s="20" t="n"/>
      <c r="C767" s="21" t="n"/>
      <c r="D767" s="22" t="n"/>
      <c r="E767" s="23" t="n"/>
      <c r="F767" s="22" t="n"/>
      <c r="G767" s="14">
        <f>IF(OR(B767="",E767="",J767="",K767=""),"",IF(E767&lt;J767,"Below",IF(E767&gt;K767,"Above","In range")))</f>
        <v/>
      </c>
      <c r="H767" s="1" t="n"/>
      <c r="J767">
        <f>IF(M767="","",IF(INDEX(Settings!$C$10:$C$18,M767)="","",INDEX(Settings!$C$10:$C$18,M767)))</f>
        <v/>
      </c>
      <c r="K767">
        <f>IF(M767="","",IF(INDEX(Settings!$D$10:$D$18,M767)="","",INDEX(Settings!$D$10:$D$18,M767)))</f>
        <v/>
      </c>
      <c r="L767">
        <f>IF(OR(B767="",E767=""),"",B767+MOD(N(C767),1)+ROW()/10000000)</f>
        <v/>
      </c>
      <c r="M767">
        <f>IF(D767="","",IFERROR(MATCH(D767,Settings!$B$10:$B$18,0),""))</f>
        <v/>
      </c>
      <c r="N767">
        <f>IF(OR(B767="",E767="",M767=""),"",IF(AND(B767&gt;=Settings!$C$6,B767&lt;=Settings!$C$7),M767*10000+E767,""))</f>
        <v/>
      </c>
      <c r="O767">
        <f>IF(OR(B767="",E767=""),"",B767*10000+E767)</f>
        <v/>
      </c>
      <c r="P767">
        <f>IF(N767="","",E767)</f>
        <v/>
      </c>
    </row>
    <row r="768">
      <c r="A768" s="1" t="n"/>
      <c r="B768" s="20" t="n"/>
      <c r="C768" s="21" t="n"/>
      <c r="D768" s="22" t="n"/>
      <c r="E768" s="23" t="n"/>
      <c r="F768" s="22" t="n"/>
      <c r="G768" s="14">
        <f>IF(OR(B768="",E768="",J768="",K768=""),"",IF(E768&lt;J768,"Below",IF(E768&gt;K768,"Above","In range")))</f>
        <v/>
      </c>
      <c r="H768" s="1" t="n"/>
      <c r="J768">
        <f>IF(M768="","",IF(INDEX(Settings!$C$10:$C$18,M768)="","",INDEX(Settings!$C$10:$C$18,M768)))</f>
        <v/>
      </c>
      <c r="K768">
        <f>IF(M768="","",IF(INDEX(Settings!$D$10:$D$18,M768)="","",INDEX(Settings!$D$10:$D$18,M768)))</f>
        <v/>
      </c>
      <c r="L768">
        <f>IF(OR(B768="",E768=""),"",B768+MOD(N(C768),1)+ROW()/10000000)</f>
        <v/>
      </c>
      <c r="M768">
        <f>IF(D768="","",IFERROR(MATCH(D768,Settings!$B$10:$B$18,0),""))</f>
        <v/>
      </c>
      <c r="N768">
        <f>IF(OR(B768="",E768="",M768=""),"",IF(AND(B768&gt;=Settings!$C$6,B768&lt;=Settings!$C$7),M768*10000+E768,""))</f>
        <v/>
      </c>
      <c r="O768">
        <f>IF(OR(B768="",E768=""),"",B768*10000+E768)</f>
        <v/>
      </c>
      <c r="P768">
        <f>IF(N768="","",E768)</f>
        <v/>
      </c>
    </row>
    <row r="769">
      <c r="A769" s="1" t="n"/>
      <c r="B769" s="20" t="n"/>
      <c r="C769" s="21" t="n"/>
      <c r="D769" s="22" t="n"/>
      <c r="E769" s="23" t="n"/>
      <c r="F769" s="22" t="n"/>
      <c r="G769" s="14">
        <f>IF(OR(B769="",E769="",J769="",K769=""),"",IF(E769&lt;J769,"Below",IF(E769&gt;K769,"Above","In range")))</f>
        <v/>
      </c>
      <c r="H769" s="1" t="n"/>
      <c r="J769">
        <f>IF(M769="","",IF(INDEX(Settings!$C$10:$C$18,M769)="","",INDEX(Settings!$C$10:$C$18,M769)))</f>
        <v/>
      </c>
      <c r="K769">
        <f>IF(M769="","",IF(INDEX(Settings!$D$10:$D$18,M769)="","",INDEX(Settings!$D$10:$D$18,M769)))</f>
        <v/>
      </c>
      <c r="L769">
        <f>IF(OR(B769="",E769=""),"",B769+MOD(N(C769),1)+ROW()/10000000)</f>
        <v/>
      </c>
      <c r="M769">
        <f>IF(D769="","",IFERROR(MATCH(D769,Settings!$B$10:$B$18,0),""))</f>
        <v/>
      </c>
      <c r="N769">
        <f>IF(OR(B769="",E769="",M769=""),"",IF(AND(B769&gt;=Settings!$C$6,B769&lt;=Settings!$C$7),M769*10000+E769,""))</f>
        <v/>
      </c>
      <c r="O769">
        <f>IF(OR(B769="",E769=""),"",B769*10000+E769)</f>
        <v/>
      </c>
      <c r="P769">
        <f>IF(N769="","",E769)</f>
        <v/>
      </c>
    </row>
    <row r="770">
      <c r="A770" s="1" t="n"/>
      <c r="B770" s="20" t="n"/>
      <c r="C770" s="21" t="n"/>
      <c r="D770" s="22" t="n"/>
      <c r="E770" s="23" t="n"/>
      <c r="F770" s="22" t="n"/>
      <c r="G770" s="14">
        <f>IF(OR(B770="",E770="",J770="",K770=""),"",IF(E770&lt;J770,"Below",IF(E770&gt;K770,"Above","In range")))</f>
        <v/>
      </c>
      <c r="H770" s="1" t="n"/>
      <c r="J770">
        <f>IF(M770="","",IF(INDEX(Settings!$C$10:$C$18,M770)="","",INDEX(Settings!$C$10:$C$18,M770)))</f>
        <v/>
      </c>
      <c r="K770">
        <f>IF(M770="","",IF(INDEX(Settings!$D$10:$D$18,M770)="","",INDEX(Settings!$D$10:$D$18,M770)))</f>
        <v/>
      </c>
      <c r="L770">
        <f>IF(OR(B770="",E770=""),"",B770+MOD(N(C770),1)+ROW()/10000000)</f>
        <v/>
      </c>
      <c r="M770">
        <f>IF(D770="","",IFERROR(MATCH(D770,Settings!$B$10:$B$18,0),""))</f>
        <v/>
      </c>
      <c r="N770">
        <f>IF(OR(B770="",E770="",M770=""),"",IF(AND(B770&gt;=Settings!$C$6,B770&lt;=Settings!$C$7),M770*10000+E770,""))</f>
        <v/>
      </c>
      <c r="O770">
        <f>IF(OR(B770="",E770=""),"",B770*10000+E770)</f>
        <v/>
      </c>
      <c r="P770">
        <f>IF(N770="","",E770)</f>
        <v/>
      </c>
    </row>
    <row r="771">
      <c r="A771" s="1" t="n"/>
      <c r="B771" s="20" t="n"/>
      <c r="C771" s="21" t="n"/>
      <c r="D771" s="22" t="n"/>
      <c r="E771" s="23" t="n"/>
      <c r="F771" s="22" t="n"/>
      <c r="G771" s="14">
        <f>IF(OR(B771="",E771="",J771="",K771=""),"",IF(E771&lt;J771,"Below",IF(E771&gt;K771,"Above","In range")))</f>
        <v/>
      </c>
      <c r="H771" s="1" t="n"/>
      <c r="J771">
        <f>IF(M771="","",IF(INDEX(Settings!$C$10:$C$18,M771)="","",INDEX(Settings!$C$10:$C$18,M771)))</f>
        <v/>
      </c>
      <c r="K771">
        <f>IF(M771="","",IF(INDEX(Settings!$D$10:$D$18,M771)="","",INDEX(Settings!$D$10:$D$18,M771)))</f>
        <v/>
      </c>
      <c r="L771">
        <f>IF(OR(B771="",E771=""),"",B771+MOD(N(C771),1)+ROW()/10000000)</f>
        <v/>
      </c>
      <c r="M771">
        <f>IF(D771="","",IFERROR(MATCH(D771,Settings!$B$10:$B$18,0),""))</f>
        <v/>
      </c>
      <c r="N771">
        <f>IF(OR(B771="",E771="",M771=""),"",IF(AND(B771&gt;=Settings!$C$6,B771&lt;=Settings!$C$7),M771*10000+E771,""))</f>
        <v/>
      </c>
      <c r="O771">
        <f>IF(OR(B771="",E771=""),"",B771*10000+E771)</f>
        <v/>
      </c>
      <c r="P771">
        <f>IF(N771="","",E771)</f>
        <v/>
      </c>
    </row>
    <row r="772">
      <c r="A772" s="1" t="n"/>
      <c r="B772" s="20" t="n"/>
      <c r="C772" s="21" t="n"/>
      <c r="D772" s="22" t="n"/>
      <c r="E772" s="23" t="n"/>
      <c r="F772" s="22" t="n"/>
      <c r="G772" s="14">
        <f>IF(OR(B772="",E772="",J772="",K772=""),"",IF(E772&lt;J772,"Below",IF(E772&gt;K772,"Above","In range")))</f>
        <v/>
      </c>
      <c r="H772" s="1" t="n"/>
      <c r="J772">
        <f>IF(M772="","",IF(INDEX(Settings!$C$10:$C$18,M772)="","",INDEX(Settings!$C$10:$C$18,M772)))</f>
        <v/>
      </c>
      <c r="K772">
        <f>IF(M772="","",IF(INDEX(Settings!$D$10:$D$18,M772)="","",INDEX(Settings!$D$10:$D$18,M772)))</f>
        <v/>
      </c>
      <c r="L772">
        <f>IF(OR(B772="",E772=""),"",B772+MOD(N(C772),1)+ROW()/10000000)</f>
        <v/>
      </c>
      <c r="M772">
        <f>IF(D772="","",IFERROR(MATCH(D772,Settings!$B$10:$B$18,0),""))</f>
        <v/>
      </c>
      <c r="N772">
        <f>IF(OR(B772="",E772="",M772=""),"",IF(AND(B772&gt;=Settings!$C$6,B772&lt;=Settings!$C$7),M772*10000+E772,""))</f>
        <v/>
      </c>
      <c r="O772">
        <f>IF(OR(B772="",E772=""),"",B772*10000+E772)</f>
        <v/>
      </c>
      <c r="P772">
        <f>IF(N772="","",E772)</f>
        <v/>
      </c>
    </row>
    <row r="773">
      <c r="A773" s="1" t="n"/>
      <c r="B773" s="20" t="n"/>
      <c r="C773" s="21" t="n"/>
      <c r="D773" s="22" t="n"/>
      <c r="E773" s="23" t="n"/>
      <c r="F773" s="22" t="n"/>
      <c r="G773" s="14">
        <f>IF(OR(B773="",E773="",J773="",K773=""),"",IF(E773&lt;J773,"Below",IF(E773&gt;K773,"Above","In range")))</f>
        <v/>
      </c>
      <c r="H773" s="1" t="n"/>
      <c r="J773">
        <f>IF(M773="","",IF(INDEX(Settings!$C$10:$C$18,M773)="","",INDEX(Settings!$C$10:$C$18,M773)))</f>
        <v/>
      </c>
      <c r="K773">
        <f>IF(M773="","",IF(INDEX(Settings!$D$10:$D$18,M773)="","",INDEX(Settings!$D$10:$D$18,M773)))</f>
        <v/>
      </c>
      <c r="L773">
        <f>IF(OR(B773="",E773=""),"",B773+MOD(N(C773),1)+ROW()/10000000)</f>
        <v/>
      </c>
      <c r="M773">
        <f>IF(D773="","",IFERROR(MATCH(D773,Settings!$B$10:$B$18,0),""))</f>
        <v/>
      </c>
      <c r="N773">
        <f>IF(OR(B773="",E773="",M773=""),"",IF(AND(B773&gt;=Settings!$C$6,B773&lt;=Settings!$C$7),M773*10000+E773,""))</f>
        <v/>
      </c>
      <c r="O773">
        <f>IF(OR(B773="",E773=""),"",B773*10000+E773)</f>
        <v/>
      </c>
      <c r="P773">
        <f>IF(N773="","",E773)</f>
        <v/>
      </c>
    </row>
    <row r="774">
      <c r="A774" s="1" t="n"/>
      <c r="B774" s="20" t="n"/>
      <c r="C774" s="21" t="n"/>
      <c r="D774" s="22" t="n"/>
      <c r="E774" s="23" t="n"/>
      <c r="F774" s="22" t="n"/>
      <c r="G774" s="14">
        <f>IF(OR(B774="",E774="",J774="",K774=""),"",IF(E774&lt;J774,"Below",IF(E774&gt;K774,"Above","In range")))</f>
        <v/>
      </c>
      <c r="H774" s="1" t="n"/>
      <c r="J774">
        <f>IF(M774="","",IF(INDEX(Settings!$C$10:$C$18,M774)="","",INDEX(Settings!$C$10:$C$18,M774)))</f>
        <v/>
      </c>
      <c r="K774">
        <f>IF(M774="","",IF(INDEX(Settings!$D$10:$D$18,M774)="","",INDEX(Settings!$D$10:$D$18,M774)))</f>
        <v/>
      </c>
      <c r="L774">
        <f>IF(OR(B774="",E774=""),"",B774+MOD(N(C774),1)+ROW()/10000000)</f>
        <v/>
      </c>
      <c r="M774">
        <f>IF(D774="","",IFERROR(MATCH(D774,Settings!$B$10:$B$18,0),""))</f>
        <v/>
      </c>
      <c r="N774">
        <f>IF(OR(B774="",E774="",M774=""),"",IF(AND(B774&gt;=Settings!$C$6,B774&lt;=Settings!$C$7),M774*10000+E774,""))</f>
        <v/>
      </c>
      <c r="O774">
        <f>IF(OR(B774="",E774=""),"",B774*10000+E774)</f>
        <v/>
      </c>
      <c r="P774">
        <f>IF(N774="","",E774)</f>
        <v/>
      </c>
    </row>
    <row r="775">
      <c r="A775" s="1" t="n"/>
      <c r="B775" s="20" t="n"/>
      <c r="C775" s="21" t="n"/>
      <c r="D775" s="22" t="n"/>
      <c r="E775" s="23" t="n"/>
      <c r="F775" s="22" t="n"/>
      <c r="G775" s="14">
        <f>IF(OR(B775="",E775="",J775="",K775=""),"",IF(E775&lt;J775,"Below",IF(E775&gt;K775,"Above","In range")))</f>
        <v/>
      </c>
      <c r="H775" s="1" t="n"/>
      <c r="J775">
        <f>IF(M775="","",IF(INDEX(Settings!$C$10:$C$18,M775)="","",INDEX(Settings!$C$10:$C$18,M775)))</f>
        <v/>
      </c>
      <c r="K775">
        <f>IF(M775="","",IF(INDEX(Settings!$D$10:$D$18,M775)="","",INDEX(Settings!$D$10:$D$18,M775)))</f>
        <v/>
      </c>
      <c r="L775">
        <f>IF(OR(B775="",E775=""),"",B775+MOD(N(C775),1)+ROW()/10000000)</f>
        <v/>
      </c>
      <c r="M775">
        <f>IF(D775="","",IFERROR(MATCH(D775,Settings!$B$10:$B$18,0),""))</f>
        <v/>
      </c>
      <c r="N775">
        <f>IF(OR(B775="",E775="",M775=""),"",IF(AND(B775&gt;=Settings!$C$6,B775&lt;=Settings!$C$7),M775*10000+E775,""))</f>
        <v/>
      </c>
      <c r="O775">
        <f>IF(OR(B775="",E775=""),"",B775*10000+E775)</f>
        <v/>
      </c>
      <c r="P775">
        <f>IF(N775="","",E775)</f>
        <v/>
      </c>
    </row>
    <row r="776">
      <c r="A776" s="1" t="n"/>
      <c r="B776" s="20" t="n"/>
      <c r="C776" s="21" t="n"/>
      <c r="D776" s="22" t="n"/>
      <c r="E776" s="23" t="n"/>
      <c r="F776" s="22" t="n"/>
      <c r="G776" s="14">
        <f>IF(OR(B776="",E776="",J776="",K776=""),"",IF(E776&lt;J776,"Below",IF(E776&gt;K776,"Above","In range")))</f>
        <v/>
      </c>
      <c r="H776" s="1" t="n"/>
      <c r="J776">
        <f>IF(M776="","",IF(INDEX(Settings!$C$10:$C$18,M776)="","",INDEX(Settings!$C$10:$C$18,M776)))</f>
        <v/>
      </c>
      <c r="K776">
        <f>IF(M776="","",IF(INDEX(Settings!$D$10:$D$18,M776)="","",INDEX(Settings!$D$10:$D$18,M776)))</f>
        <v/>
      </c>
      <c r="L776">
        <f>IF(OR(B776="",E776=""),"",B776+MOD(N(C776),1)+ROW()/10000000)</f>
        <v/>
      </c>
      <c r="M776">
        <f>IF(D776="","",IFERROR(MATCH(D776,Settings!$B$10:$B$18,0),""))</f>
        <v/>
      </c>
      <c r="N776">
        <f>IF(OR(B776="",E776="",M776=""),"",IF(AND(B776&gt;=Settings!$C$6,B776&lt;=Settings!$C$7),M776*10000+E776,""))</f>
        <v/>
      </c>
      <c r="O776">
        <f>IF(OR(B776="",E776=""),"",B776*10000+E776)</f>
        <v/>
      </c>
      <c r="P776">
        <f>IF(N776="","",E776)</f>
        <v/>
      </c>
    </row>
    <row r="777">
      <c r="A777" s="1" t="n"/>
      <c r="B777" s="20" t="n"/>
      <c r="C777" s="21" t="n"/>
      <c r="D777" s="22" t="n"/>
      <c r="E777" s="23" t="n"/>
      <c r="F777" s="22" t="n"/>
      <c r="G777" s="14">
        <f>IF(OR(B777="",E777="",J777="",K777=""),"",IF(E777&lt;J777,"Below",IF(E777&gt;K777,"Above","In range")))</f>
        <v/>
      </c>
      <c r="H777" s="1" t="n"/>
      <c r="J777">
        <f>IF(M777="","",IF(INDEX(Settings!$C$10:$C$18,M777)="","",INDEX(Settings!$C$10:$C$18,M777)))</f>
        <v/>
      </c>
      <c r="K777">
        <f>IF(M777="","",IF(INDEX(Settings!$D$10:$D$18,M777)="","",INDEX(Settings!$D$10:$D$18,M777)))</f>
        <v/>
      </c>
      <c r="L777">
        <f>IF(OR(B777="",E777=""),"",B777+MOD(N(C777),1)+ROW()/10000000)</f>
        <v/>
      </c>
      <c r="M777">
        <f>IF(D777="","",IFERROR(MATCH(D777,Settings!$B$10:$B$18,0),""))</f>
        <v/>
      </c>
      <c r="N777">
        <f>IF(OR(B777="",E777="",M777=""),"",IF(AND(B777&gt;=Settings!$C$6,B777&lt;=Settings!$C$7),M777*10000+E777,""))</f>
        <v/>
      </c>
      <c r="O777">
        <f>IF(OR(B777="",E777=""),"",B777*10000+E777)</f>
        <v/>
      </c>
      <c r="P777">
        <f>IF(N777="","",E777)</f>
        <v/>
      </c>
    </row>
    <row r="778">
      <c r="A778" s="1" t="n"/>
      <c r="B778" s="20" t="n"/>
      <c r="C778" s="21" t="n"/>
      <c r="D778" s="22" t="n"/>
      <c r="E778" s="23" t="n"/>
      <c r="F778" s="22" t="n"/>
      <c r="G778" s="14">
        <f>IF(OR(B778="",E778="",J778="",K778=""),"",IF(E778&lt;J778,"Below",IF(E778&gt;K778,"Above","In range")))</f>
        <v/>
      </c>
      <c r="H778" s="1" t="n"/>
      <c r="J778">
        <f>IF(M778="","",IF(INDEX(Settings!$C$10:$C$18,M778)="","",INDEX(Settings!$C$10:$C$18,M778)))</f>
        <v/>
      </c>
      <c r="K778">
        <f>IF(M778="","",IF(INDEX(Settings!$D$10:$D$18,M778)="","",INDEX(Settings!$D$10:$D$18,M778)))</f>
        <v/>
      </c>
      <c r="L778">
        <f>IF(OR(B778="",E778=""),"",B778+MOD(N(C778),1)+ROW()/10000000)</f>
        <v/>
      </c>
      <c r="M778">
        <f>IF(D778="","",IFERROR(MATCH(D778,Settings!$B$10:$B$18,0),""))</f>
        <v/>
      </c>
      <c r="N778">
        <f>IF(OR(B778="",E778="",M778=""),"",IF(AND(B778&gt;=Settings!$C$6,B778&lt;=Settings!$C$7),M778*10000+E778,""))</f>
        <v/>
      </c>
      <c r="O778">
        <f>IF(OR(B778="",E778=""),"",B778*10000+E778)</f>
        <v/>
      </c>
      <c r="P778">
        <f>IF(N778="","",E778)</f>
        <v/>
      </c>
    </row>
    <row r="779">
      <c r="A779" s="1" t="n"/>
      <c r="B779" s="20" t="n"/>
      <c r="C779" s="21" t="n"/>
      <c r="D779" s="22" t="n"/>
      <c r="E779" s="23" t="n"/>
      <c r="F779" s="22" t="n"/>
      <c r="G779" s="14">
        <f>IF(OR(B779="",E779="",J779="",K779=""),"",IF(E779&lt;J779,"Below",IF(E779&gt;K779,"Above","In range")))</f>
        <v/>
      </c>
      <c r="H779" s="1" t="n"/>
      <c r="J779">
        <f>IF(M779="","",IF(INDEX(Settings!$C$10:$C$18,M779)="","",INDEX(Settings!$C$10:$C$18,M779)))</f>
        <v/>
      </c>
      <c r="K779">
        <f>IF(M779="","",IF(INDEX(Settings!$D$10:$D$18,M779)="","",INDEX(Settings!$D$10:$D$18,M779)))</f>
        <v/>
      </c>
      <c r="L779">
        <f>IF(OR(B779="",E779=""),"",B779+MOD(N(C779),1)+ROW()/10000000)</f>
        <v/>
      </c>
      <c r="M779">
        <f>IF(D779="","",IFERROR(MATCH(D779,Settings!$B$10:$B$18,0),""))</f>
        <v/>
      </c>
      <c r="N779">
        <f>IF(OR(B779="",E779="",M779=""),"",IF(AND(B779&gt;=Settings!$C$6,B779&lt;=Settings!$C$7),M779*10000+E779,""))</f>
        <v/>
      </c>
      <c r="O779">
        <f>IF(OR(B779="",E779=""),"",B779*10000+E779)</f>
        <v/>
      </c>
      <c r="P779">
        <f>IF(N779="","",E779)</f>
        <v/>
      </c>
    </row>
    <row r="780">
      <c r="A780" s="1" t="n"/>
      <c r="B780" s="20" t="n"/>
      <c r="C780" s="21" t="n"/>
      <c r="D780" s="22" t="n"/>
      <c r="E780" s="23" t="n"/>
      <c r="F780" s="22" t="n"/>
      <c r="G780" s="14">
        <f>IF(OR(B780="",E780="",J780="",K780=""),"",IF(E780&lt;J780,"Below",IF(E780&gt;K780,"Above","In range")))</f>
        <v/>
      </c>
      <c r="H780" s="1" t="n"/>
      <c r="J780">
        <f>IF(M780="","",IF(INDEX(Settings!$C$10:$C$18,M780)="","",INDEX(Settings!$C$10:$C$18,M780)))</f>
        <v/>
      </c>
      <c r="K780">
        <f>IF(M780="","",IF(INDEX(Settings!$D$10:$D$18,M780)="","",INDEX(Settings!$D$10:$D$18,M780)))</f>
        <v/>
      </c>
      <c r="L780">
        <f>IF(OR(B780="",E780=""),"",B780+MOD(N(C780),1)+ROW()/10000000)</f>
        <v/>
      </c>
      <c r="M780">
        <f>IF(D780="","",IFERROR(MATCH(D780,Settings!$B$10:$B$18,0),""))</f>
        <v/>
      </c>
      <c r="N780">
        <f>IF(OR(B780="",E780="",M780=""),"",IF(AND(B780&gt;=Settings!$C$6,B780&lt;=Settings!$C$7),M780*10000+E780,""))</f>
        <v/>
      </c>
      <c r="O780">
        <f>IF(OR(B780="",E780=""),"",B780*10000+E780)</f>
        <v/>
      </c>
      <c r="P780">
        <f>IF(N780="","",E780)</f>
        <v/>
      </c>
    </row>
    <row r="781">
      <c r="A781" s="1" t="n"/>
      <c r="B781" s="20" t="n"/>
      <c r="C781" s="21" t="n"/>
      <c r="D781" s="22" t="n"/>
      <c r="E781" s="23" t="n"/>
      <c r="F781" s="22" t="n"/>
      <c r="G781" s="14">
        <f>IF(OR(B781="",E781="",J781="",K781=""),"",IF(E781&lt;J781,"Below",IF(E781&gt;K781,"Above","In range")))</f>
        <v/>
      </c>
      <c r="H781" s="1" t="n"/>
      <c r="J781">
        <f>IF(M781="","",IF(INDEX(Settings!$C$10:$C$18,M781)="","",INDEX(Settings!$C$10:$C$18,M781)))</f>
        <v/>
      </c>
      <c r="K781">
        <f>IF(M781="","",IF(INDEX(Settings!$D$10:$D$18,M781)="","",INDEX(Settings!$D$10:$D$18,M781)))</f>
        <v/>
      </c>
      <c r="L781">
        <f>IF(OR(B781="",E781=""),"",B781+MOD(N(C781),1)+ROW()/10000000)</f>
        <v/>
      </c>
      <c r="M781">
        <f>IF(D781="","",IFERROR(MATCH(D781,Settings!$B$10:$B$18,0),""))</f>
        <v/>
      </c>
      <c r="N781">
        <f>IF(OR(B781="",E781="",M781=""),"",IF(AND(B781&gt;=Settings!$C$6,B781&lt;=Settings!$C$7),M781*10000+E781,""))</f>
        <v/>
      </c>
      <c r="O781">
        <f>IF(OR(B781="",E781=""),"",B781*10000+E781)</f>
        <v/>
      </c>
      <c r="P781">
        <f>IF(N781="","",E781)</f>
        <v/>
      </c>
    </row>
    <row r="782">
      <c r="A782" s="1" t="n"/>
      <c r="B782" s="20" t="n"/>
      <c r="C782" s="21" t="n"/>
      <c r="D782" s="22" t="n"/>
      <c r="E782" s="23" t="n"/>
      <c r="F782" s="22" t="n"/>
      <c r="G782" s="14">
        <f>IF(OR(B782="",E782="",J782="",K782=""),"",IF(E782&lt;J782,"Below",IF(E782&gt;K782,"Above","In range")))</f>
        <v/>
      </c>
      <c r="H782" s="1" t="n"/>
      <c r="J782">
        <f>IF(M782="","",IF(INDEX(Settings!$C$10:$C$18,M782)="","",INDEX(Settings!$C$10:$C$18,M782)))</f>
        <v/>
      </c>
      <c r="K782">
        <f>IF(M782="","",IF(INDEX(Settings!$D$10:$D$18,M782)="","",INDEX(Settings!$D$10:$D$18,M782)))</f>
        <v/>
      </c>
      <c r="L782">
        <f>IF(OR(B782="",E782=""),"",B782+MOD(N(C782),1)+ROW()/10000000)</f>
        <v/>
      </c>
      <c r="M782">
        <f>IF(D782="","",IFERROR(MATCH(D782,Settings!$B$10:$B$18,0),""))</f>
        <v/>
      </c>
      <c r="N782">
        <f>IF(OR(B782="",E782="",M782=""),"",IF(AND(B782&gt;=Settings!$C$6,B782&lt;=Settings!$C$7),M782*10000+E782,""))</f>
        <v/>
      </c>
      <c r="O782">
        <f>IF(OR(B782="",E782=""),"",B782*10000+E782)</f>
        <v/>
      </c>
      <c r="P782">
        <f>IF(N782="","",E782)</f>
        <v/>
      </c>
    </row>
    <row r="783">
      <c r="A783" s="1" t="n"/>
      <c r="B783" s="20" t="n"/>
      <c r="C783" s="21" t="n"/>
      <c r="D783" s="22" t="n"/>
      <c r="E783" s="23" t="n"/>
      <c r="F783" s="22" t="n"/>
      <c r="G783" s="14">
        <f>IF(OR(B783="",E783="",J783="",K783=""),"",IF(E783&lt;J783,"Below",IF(E783&gt;K783,"Above","In range")))</f>
        <v/>
      </c>
      <c r="H783" s="1" t="n"/>
      <c r="J783">
        <f>IF(M783="","",IF(INDEX(Settings!$C$10:$C$18,M783)="","",INDEX(Settings!$C$10:$C$18,M783)))</f>
        <v/>
      </c>
      <c r="K783">
        <f>IF(M783="","",IF(INDEX(Settings!$D$10:$D$18,M783)="","",INDEX(Settings!$D$10:$D$18,M783)))</f>
        <v/>
      </c>
      <c r="L783">
        <f>IF(OR(B783="",E783=""),"",B783+MOD(N(C783),1)+ROW()/10000000)</f>
        <v/>
      </c>
      <c r="M783">
        <f>IF(D783="","",IFERROR(MATCH(D783,Settings!$B$10:$B$18,0),""))</f>
        <v/>
      </c>
      <c r="N783">
        <f>IF(OR(B783="",E783="",M783=""),"",IF(AND(B783&gt;=Settings!$C$6,B783&lt;=Settings!$C$7),M783*10000+E783,""))</f>
        <v/>
      </c>
      <c r="O783">
        <f>IF(OR(B783="",E783=""),"",B783*10000+E783)</f>
        <v/>
      </c>
      <c r="P783">
        <f>IF(N783="","",E783)</f>
        <v/>
      </c>
    </row>
    <row r="784">
      <c r="A784" s="1" t="n"/>
      <c r="B784" s="20" t="n"/>
      <c r="C784" s="21" t="n"/>
      <c r="D784" s="22" t="n"/>
      <c r="E784" s="23" t="n"/>
      <c r="F784" s="22" t="n"/>
      <c r="G784" s="14">
        <f>IF(OR(B784="",E784="",J784="",K784=""),"",IF(E784&lt;J784,"Below",IF(E784&gt;K784,"Above","In range")))</f>
        <v/>
      </c>
      <c r="H784" s="1" t="n"/>
      <c r="J784">
        <f>IF(M784="","",IF(INDEX(Settings!$C$10:$C$18,M784)="","",INDEX(Settings!$C$10:$C$18,M784)))</f>
        <v/>
      </c>
      <c r="K784">
        <f>IF(M784="","",IF(INDEX(Settings!$D$10:$D$18,M784)="","",INDEX(Settings!$D$10:$D$18,M784)))</f>
        <v/>
      </c>
      <c r="L784">
        <f>IF(OR(B784="",E784=""),"",B784+MOD(N(C784),1)+ROW()/10000000)</f>
        <v/>
      </c>
      <c r="M784">
        <f>IF(D784="","",IFERROR(MATCH(D784,Settings!$B$10:$B$18,0),""))</f>
        <v/>
      </c>
      <c r="N784">
        <f>IF(OR(B784="",E784="",M784=""),"",IF(AND(B784&gt;=Settings!$C$6,B784&lt;=Settings!$C$7),M784*10000+E784,""))</f>
        <v/>
      </c>
      <c r="O784">
        <f>IF(OR(B784="",E784=""),"",B784*10000+E784)</f>
        <v/>
      </c>
      <c r="P784">
        <f>IF(N784="","",E784)</f>
        <v/>
      </c>
    </row>
    <row r="785">
      <c r="A785" s="1" t="n"/>
      <c r="B785" s="20" t="n"/>
      <c r="C785" s="21" t="n"/>
      <c r="D785" s="22" t="n"/>
      <c r="E785" s="23" t="n"/>
      <c r="F785" s="22" t="n"/>
      <c r="G785" s="14">
        <f>IF(OR(B785="",E785="",J785="",K785=""),"",IF(E785&lt;J785,"Below",IF(E785&gt;K785,"Above","In range")))</f>
        <v/>
      </c>
      <c r="H785" s="1" t="n"/>
      <c r="J785">
        <f>IF(M785="","",IF(INDEX(Settings!$C$10:$C$18,M785)="","",INDEX(Settings!$C$10:$C$18,M785)))</f>
        <v/>
      </c>
      <c r="K785">
        <f>IF(M785="","",IF(INDEX(Settings!$D$10:$D$18,M785)="","",INDEX(Settings!$D$10:$D$18,M785)))</f>
        <v/>
      </c>
      <c r="L785">
        <f>IF(OR(B785="",E785=""),"",B785+MOD(N(C785),1)+ROW()/10000000)</f>
        <v/>
      </c>
      <c r="M785">
        <f>IF(D785="","",IFERROR(MATCH(D785,Settings!$B$10:$B$18,0),""))</f>
        <v/>
      </c>
      <c r="N785">
        <f>IF(OR(B785="",E785="",M785=""),"",IF(AND(B785&gt;=Settings!$C$6,B785&lt;=Settings!$C$7),M785*10000+E785,""))</f>
        <v/>
      </c>
      <c r="O785">
        <f>IF(OR(B785="",E785=""),"",B785*10000+E785)</f>
        <v/>
      </c>
      <c r="P785">
        <f>IF(N785="","",E785)</f>
        <v/>
      </c>
    </row>
    <row r="786">
      <c r="A786" s="1" t="n"/>
      <c r="B786" s="20" t="n"/>
      <c r="C786" s="21" t="n"/>
      <c r="D786" s="22" t="n"/>
      <c r="E786" s="23" t="n"/>
      <c r="F786" s="22" t="n"/>
      <c r="G786" s="14">
        <f>IF(OR(B786="",E786="",J786="",K786=""),"",IF(E786&lt;J786,"Below",IF(E786&gt;K786,"Above","In range")))</f>
        <v/>
      </c>
      <c r="H786" s="1" t="n"/>
      <c r="J786">
        <f>IF(M786="","",IF(INDEX(Settings!$C$10:$C$18,M786)="","",INDEX(Settings!$C$10:$C$18,M786)))</f>
        <v/>
      </c>
      <c r="K786">
        <f>IF(M786="","",IF(INDEX(Settings!$D$10:$D$18,M786)="","",INDEX(Settings!$D$10:$D$18,M786)))</f>
        <v/>
      </c>
      <c r="L786">
        <f>IF(OR(B786="",E786=""),"",B786+MOD(N(C786),1)+ROW()/10000000)</f>
        <v/>
      </c>
      <c r="M786">
        <f>IF(D786="","",IFERROR(MATCH(D786,Settings!$B$10:$B$18,0),""))</f>
        <v/>
      </c>
      <c r="N786">
        <f>IF(OR(B786="",E786="",M786=""),"",IF(AND(B786&gt;=Settings!$C$6,B786&lt;=Settings!$C$7),M786*10000+E786,""))</f>
        <v/>
      </c>
      <c r="O786">
        <f>IF(OR(B786="",E786=""),"",B786*10000+E786)</f>
        <v/>
      </c>
      <c r="P786">
        <f>IF(N786="","",E786)</f>
        <v/>
      </c>
    </row>
    <row r="787">
      <c r="A787" s="1" t="n"/>
      <c r="B787" s="20" t="n"/>
      <c r="C787" s="21" t="n"/>
      <c r="D787" s="22" t="n"/>
      <c r="E787" s="23" t="n"/>
      <c r="F787" s="22" t="n"/>
      <c r="G787" s="14">
        <f>IF(OR(B787="",E787="",J787="",K787=""),"",IF(E787&lt;J787,"Below",IF(E787&gt;K787,"Above","In range")))</f>
        <v/>
      </c>
      <c r="H787" s="1" t="n"/>
      <c r="J787">
        <f>IF(M787="","",IF(INDEX(Settings!$C$10:$C$18,M787)="","",INDEX(Settings!$C$10:$C$18,M787)))</f>
        <v/>
      </c>
      <c r="K787">
        <f>IF(M787="","",IF(INDEX(Settings!$D$10:$D$18,M787)="","",INDEX(Settings!$D$10:$D$18,M787)))</f>
        <v/>
      </c>
      <c r="L787">
        <f>IF(OR(B787="",E787=""),"",B787+MOD(N(C787),1)+ROW()/10000000)</f>
        <v/>
      </c>
      <c r="M787">
        <f>IF(D787="","",IFERROR(MATCH(D787,Settings!$B$10:$B$18,0),""))</f>
        <v/>
      </c>
      <c r="N787">
        <f>IF(OR(B787="",E787="",M787=""),"",IF(AND(B787&gt;=Settings!$C$6,B787&lt;=Settings!$C$7),M787*10000+E787,""))</f>
        <v/>
      </c>
      <c r="O787">
        <f>IF(OR(B787="",E787=""),"",B787*10000+E787)</f>
        <v/>
      </c>
      <c r="P787">
        <f>IF(N787="","",E787)</f>
        <v/>
      </c>
    </row>
    <row r="788">
      <c r="A788" s="1" t="n"/>
      <c r="B788" s="20" t="n"/>
      <c r="C788" s="21" t="n"/>
      <c r="D788" s="22" t="n"/>
      <c r="E788" s="23" t="n"/>
      <c r="F788" s="22" t="n"/>
      <c r="G788" s="14">
        <f>IF(OR(B788="",E788="",J788="",K788=""),"",IF(E788&lt;J788,"Below",IF(E788&gt;K788,"Above","In range")))</f>
        <v/>
      </c>
      <c r="H788" s="1" t="n"/>
      <c r="J788">
        <f>IF(M788="","",IF(INDEX(Settings!$C$10:$C$18,M788)="","",INDEX(Settings!$C$10:$C$18,M788)))</f>
        <v/>
      </c>
      <c r="K788">
        <f>IF(M788="","",IF(INDEX(Settings!$D$10:$D$18,M788)="","",INDEX(Settings!$D$10:$D$18,M788)))</f>
        <v/>
      </c>
      <c r="L788">
        <f>IF(OR(B788="",E788=""),"",B788+MOD(N(C788),1)+ROW()/10000000)</f>
        <v/>
      </c>
      <c r="M788">
        <f>IF(D788="","",IFERROR(MATCH(D788,Settings!$B$10:$B$18,0),""))</f>
        <v/>
      </c>
      <c r="N788">
        <f>IF(OR(B788="",E788="",M788=""),"",IF(AND(B788&gt;=Settings!$C$6,B788&lt;=Settings!$C$7),M788*10000+E788,""))</f>
        <v/>
      </c>
      <c r="O788">
        <f>IF(OR(B788="",E788=""),"",B788*10000+E788)</f>
        <v/>
      </c>
      <c r="P788">
        <f>IF(N788="","",E788)</f>
        <v/>
      </c>
    </row>
    <row r="789">
      <c r="A789" s="1" t="n"/>
      <c r="B789" s="20" t="n"/>
      <c r="C789" s="21" t="n"/>
      <c r="D789" s="22" t="n"/>
      <c r="E789" s="23" t="n"/>
      <c r="F789" s="22" t="n"/>
      <c r="G789" s="14">
        <f>IF(OR(B789="",E789="",J789="",K789=""),"",IF(E789&lt;J789,"Below",IF(E789&gt;K789,"Above","In range")))</f>
        <v/>
      </c>
      <c r="H789" s="1" t="n"/>
      <c r="J789">
        <f>IF(M789="","",IF(INDEX(Settings!$C$10:$C$18,M789)="","",INDEX(Settings!$C$10:$C$18,M789)))</f>
        <v/>
      </c>
      <c r="K789">
        <f>IF(M789="","",IF(INDEX(Settings!$D$10:$D$18,M789)="","",INDEX(Settings!$D$10:$D$18,M789)))</f>
        <v/>
      </c>
      <c r="L789">
        <f>IF(OR(B789="",E789=""),"",B789+MOD(N(C789),1)+ROW()/10000000)</f>
        <v/>
      </c>
      <c r="M789">
        <f>IF(D789="","",IFERROR(MATCH(D789,Settings!$B$10:$B$18,0),""))</f>
        <v/>
      </c>
      <c r="N789">
        <f>IF(OR(B789="",E789="",M789=""),"",IF(AND(B789&gt;=Settings!$C$6,B789&lt;=Settings!$C$7),M789*10000+E789,""))</f>
        <v/>
      </c>
      <c r="O789">
        <f>IF(OR(B789="",E789=""),"",B789*10000+E789)</f>
        <v/>
      </c>
      <c r="P789">
        <f>IF(N789="","",E789)</f>
        <v/>
      </c>
    </row>
    <row r="790">
      <c r="A790" s="1" t="n"/>
      <c r="B790" s="20" t="n"/>
      <c r="C790" s="21" t="n"/>
      <c r="D790" s="22" t="n"/>
      <c r="E790" s="23" t="n"/>
      <c r="F790" s="22" t="n"/>
      <c r="G790" s="14">
        <f>IF(OR(B790="",E790="",J790="",K790=""),"",IF(E790&lt;J790,"Below",IF(E790&gt;K790,"Above","In range")))</f>
        <v/>
      </c>
      <c r="H790" s="1" t="n"/>
      <c r="J790">
        <f>IF(M790="","",IF(INDEX(Settings!$C$10:$C$18,M790)="","",INDEX(Settings!$C$10:$C$18,M790)))</f>
        <v/>
      </c>
      <c r="K790">
        <f>IF(M790="","",IF(INDEX(Settings!$D$10:$D$18,M790)="","",INDEX(Settings!$D$10:$D$18,M790)))</f>
        <v/>
      </c>
      <c r="L790">
        <f>IF(OR(B790="",E790=""),"",B790+MOD(N(C790),1)+ROW()/10000000)</f>
        <v/>
      </c>
      <c r="M790">
        <f>IF(D790="","",IFERROR(MATCH(D790,Settings!$B$10:$B$18,0),""))</f>
        <v/>
      </c>
      <c r="N790">
        <f>IF(OR(B790="",E790="",M790=""),"",IF(AND(B790&gt;=Settings!$C$6,B790&lt;=Settings!$C$7),M790*10000+E790,""))</f>
        <v/>
      </c>
      <c r="O790">
        <f>IF(OR(B790="",E790=""),"",B790*10000+E790)</f>
        <v/>
      </c>
      <c r="P790">
        <f>IF(N790="","",E790)</f>
        <v/>
      </c>
    </row>
    <row r="791">
      <c r="A791" s="1" t="n"/>
      <c r="B791" s="20" t="n"/>
      <c r="C791" s="21" t="n"/>
      <c r="D791" s="22" t="n"/>
      <c r="E791" s="23" t="n"/>
      <c r="F791" s="22" t="n"/>
      <c r="G791" s="14">
        <f>IF(OR(B791="",E791="",J791="",K791=""),"",IF(E791&lt;J791,"Below",IF(E791&gt;K791,"Above","In range")))</f>
        <v/>
      </c>
      <c r="H791" s="1" t="n"/>
      <c r="J791">
        <f>IF(M791="","",IF(INDEX(Settings!$C$10:$C$18,M791)="","",INDEX(Settings!$C$10:$C$18,M791)))</f>
        <v/>
      </c>
      <c r="K791">
        <f>IF(M791="","",IF(INDEX(Settings!$D$10:$D$18,M791)="","",INDEX(Settings!$D$10:$D$18,M791)))</f>
        <v/>
      </c>
      <c r="L791">
        <f>IF(OR(B791="",E791=""),"",B791+MOD(N(C791),1)+ROW()/10000000)</f>
        <v/>
      </c>
      <c r="M791">
        <f>IF(D791="","",IFERROR(MATCH(D791,Settings!$B$10:$B$18,0),""))</f>
        <v/>
      </c>
      <c r="N791">
        <f>IF(OR(B791="",E791="",M791=""),"",IF(AND(B791&gt;=Settings!$C$6,B791&lt;=Settings!$C$7),M791*10000+E791,""))</f>
        <v/>
      </c>
      <c r="O791">
        <f>IF(OR(B791="",E791=""),"",B791*10000+E791)</f>
        <v/>
      </c>
      <c r="P791">
        <f>IF(N791="","",E791)</f>
        <v/>
      </c>
    </row>
    <row r="792">
      <c r="A792" s="1" t="n"/>
      <c r="B792" s="20" t="n"/>
      <c r="C792" s="21" t="n"/>
      <c r="D792" s="22" t="n"/>
      <c r="E792" s="23" t="n"/>
      <c r="F792" s="22" t="n"/>
      <c r="G792" s="14">
        <f>IF(OR(B792="",E792="",J792="",K792=""),"",IF(E792&lt;J792,"Below",IF(E792&gt;K792,"Above","In range")))</f>
        <v/>
      </c>
      <c r="H792" s="1" t="n"/>
      <c r="J792">
        <f>IF(M792="","",IF(INDEX(Settings!$C$10:$C$18,M792)="","",INDEX(Settings!$C$10:$C$18,M792)))</f>
        <v/>
      </c>
      <c r="K792">
        <f>IF(M792="","",IF(INDEX(Settings!$D$10:$D$18,M792)="","",INDEX(Settings!$D$10:$D$18,M792)))</f>
        <v/>
      </c>
      <c r="L792">
        <f>IF(OR(B792="",E792=""),"",B792+MOD(N(C792),1)+ROW()/10000000)</f>
        <v/>
      </c>
      <c r="M792">
        <f>IF(D792="","",IFERROR(MATCH(D792,Settings!$B$10:$B$18,0),""))</f>
        <v/>
      </c>
      <c r="N792">
        <f>IF(OR(B792="",E792="",M792=""),"",IF(AND(B792&gt;=Settings!$C$6,B792&lt;=Settings!$C$7),M792*10000+E792,""))</f>
        <v/>
      </c>
      <c r="O792">
        <f>IF(OR(B792="",E792=""),"",B792*10000+E792)</f>
        <v/>
      </c>
      <c r="P792">
        <f>IF(N792="","",E792)</f>
        <v/>
      </c>
    </row>
    <row r="793">
      <c r="A793" s="1" t="n"/>
      <c r="B793" s="20" t="n"/>
      <c r="C793" s="21" t="n"/>
      <c r="D793" s="22" t="n"/>
      <c r="E793" s="23" t="n"/>
      <c r="F793" s="22" t="n"/>
      <c r="G793" s="14">
        <f>IF(OR(B793="",E793="",J793="",K793=""),"",IF(E793&lt;J793,"Below",IF(E793&gt;K793,"Above","In range")))</f>
        <v/>
      </c>
      <c r="H793" s="1" t="n"/>
      <c r="J793">
        <f>IF(M793="","",IF(INDEX(Settings!$C$10:$C$18,M793)="","",INDEX(Settings!$C$10:$C$18,M793)))</f>
        <v/>
      </c>
      <c r="K793">
        <f>IF(M793="","",IF(INDEX(Settings!$D$10:$D$18,M793)="","",INDEX(Settings!$D$10:$D$18,M793)))</f>
        <v/>
      </c>
      <c r="L793">
        <f>IF(OR(B793="",E793=""),"",B793+MOD(N(C793),1)+ROW()/10000000)</f>
        <v/>
      </c>
      <c r="M793">
        <f>IF(D793="","",IFERROR(MATCH(D793,Settings!$B$10:$B$18,0),""))</f>
        <v/>
      </c>
      <c r="N793">
        <f>IF(OR(B793="",E793="",M793=""),"",IF(AND(B793&gt;=Settings!$C$6,B793&lt;=Settings!$C$7),M793*10000+E793,""))</f>
        <v/>
      </c>
      <c r="O793">
        <f>IF(OR(B793="",E793=""),"",B793*10000+E793)</f>
        <v/>
      </c>
      <c r="P793">
        <f>IF(N793="","",E793)</f>
        <v/>
      </c>
    </row>
    <row r="794">
      <c r="A794" s="1" t="n"/>
      <c r="B794" s="20" t="n"/>
      <c r="C794" s="21" t="n"/>
      <c r="D794" s="22" t="n"/>
      <c r="E794" s="23" t="n"/>
      <c r="F794" s="22" t="n"/>
      <c r="G794" s="14">
        <f>IF(OR(B794="",E794="",J794="",K794=""),"",IF(E794&lt;J794,"Below",IF(E794&gt;K794,"Above","In range")))</f>
        <v/>
      </c>
      <c r="H794" s="1" t="n"/>
      <c r="J794">
        <f>IF(M794="","",IF(INDEX(Settings!$C$10:$C$18,M794)="","",INDEX(Settings!$C$10:$C$18,M794)))</f>
        <v/>
      </c>
      <c r="K794">
        <f>IF(M794="","",IF(INDEX(Settings!$D$10:$D$18,M794)="","",INDEX(Settings!$D$10:$D$18,M794)))</f>
        <v/>
      </c>
      <c r="L794">
        <f>IF(OR(B794="",E794=""),"",B794+MOD(N(C794),1)+ROW()/10000000)</f>
        <v/>
      </c>
      <c r="M794">
        <f>IF(D794="","",IFERROR(MATCH(D794,Settings!$B$10:$B$18,0),""))</f>
        <v/>
      </c>
      <c r="N794">
        <f>IF(OR(B794="",E794="",M794=""),"",IF(AND(B794&gt;=Settings!$C$6,B794&lt;=Settings!$C$7),M794*10000+E794,""))</f>
        <v/>
      </c>
      <c r="O794">
        <f>IF(OR(B794="",E794=""),"",B794*10000+E794)</f>
        <v/>
      </c>
      <c r="P794">
        <f>IF(N794="","",E794)</f>
        <v/>
      </c>
    </row>
    <row r="795">
      <c r="A795" s="1" t="n"/>
      <c r="B795" s="20" t="n"/>
      <c r="C795" s="21" t="n"/>
      <c r="D795" s="22" t="n"/>
      <c r="E795" s="23" t="n"/>
      <c r="F795" s="22" t="n"/>
      <c r="G795" s="14">
        <f>IF(OR(B795="",E795="",J795="",K795=""),"",IF(E795&lt;J795,"Below",IF(E795&gt;K795,"Above","In range")))</f>
        <v/>
      </c>
      <c r="H795" s="1" t="n"/>
      <c r="J795">
        <f>IF(M795="","",IF(INDEX(Settings!$C$10:$C$18,M795)="","",INDEX(Settings!$C$10:$C$18,M795)))</f>
        <v/>
      </c>
      <c r="K795">
        <f>IF(M795="","",IF(INDEX(Settings!$D$10:$D$18,M795)="","",INDEX(Settings!$D$10:$D$18,M795)))</f>
        <v/>
      </c>
      <c r="L795">
        <f>IF(OR(B795="",E795=""),"",B795+MOD(N(C795),1)+ROW()/10000000)</f>
        <v/>
      </c>
      <c r="M795">
        <f>IF(D795="","",IFERROR(MATCH(D795,Settings!$B$10:$B$18,0),""))</f>
        <v/>
      </c>
      <c r="N795">
        <f>IF(OR(B795="",E795="",M795=""),"",IF(AND(B795&gt;=Settings!$C$6,B795&lt;=Settings!$C$7),M795*10000+E795,""))</f>
        <v/>
      </c>
      <c r="O795">
        <f>IF(OR(B795="",E795=""),"",B795*10000+E795)</f>
        <v/>
      </c>
      <c r="P795">
        <f>IF(N795="","",E795)</f>
        <v/>
      </c>
    </row>
    <row r="796">
      <c r="A796" s="1" t="n"/>
      <c r="B796" s="20" t="n"/>
      <c r="C796" s="21" t="n"/>
      <c r="D796" s="22" t="n"/>
      <c r="E796" s="23" t="n"/>
      <c r="F796" s="22" t="n"/>
      <c r="G796" s="14">
        <f>IF(OR(B796="",E796="",J796="",K796=""),"",IF(E796&lt;J796,"Below",IF(E796&gt;K796,"Above","In range")))</f>
        <v/>
      </c>
      <c r="H796" s="1" t="n"/>
      <c r="J796">
        <f>IF(M796="","",IF(INDEX(Settings!$C$10:$C$18,M796)="","",INDEX(Settings!$C$10:$C$18,M796)))</f>
        <v/>
      </c>
      <c r="K796">
        <f>IF(M796="","",IF(INDEX(Settings!$D$10:$D$18,M796)="","",INDEX(Settings!$D$10:$D$18,M796)))</f>
        <v/>
      </c>
      <c r="L796">
        <f>IF(OR(B796="",E796=""),"",B796+MOD(N(C796),1)+ROW()/10000000)</f>
        <v/>
      </c>
      <c r="M796">
        <f>IF(D796="","",IFERROR(MATCH(D796,Settings!$B$10:$B$18,0),""))</f>
        <v/>
      </c>
      <c r="N796">
        <f>IF(OR(B796="",E796="",M796=""),"",IF(AND(B796&gt;=Settings!$C$6,B796&lt;=Settings!$C$7),M796*10000+E796,""))</f>
        <v/>
      </c>
      <c r="O796">
        <f>IF(OR(B796="",E796=""),"",B796*10000+E796)</f>
        <v/>
      </c>
      <c r="P796">
        <f>IF(N796="","",E796)</f>
        <v/>
      </c>
    </row>
    <row r="797">
      <c r="A797" s="1" t="n"/>
      <c r="B797" s="20" t="n"/>
      <c r="C797" s="21" t="n"/>
      <c r="D797" s="22" t="n"/>
      <c r="E797" s="23" t="n"/>
      <c r="F797" s="22" t="n"/>
      <c r="G797" s="14">
        <f>IF(OR(B797="",E797="",J797="",K797=""),"",IF(E797&lt;J797,"Below",IF(E797&gt;K797,"Above","In range")))</f>
        <v/>
      </c>
      <c r="H797" s="1" t="n"/>
      <c r="J797">
        <f>IF(M797="","",IF(INDEX(Settings!$C$10:$C$18,M797)="","",INDEX(Settings!$C$10:$C$18,M797)))</f>
        <v/>
      </c>
      <c r="K797">
        <f>IF(M797="","",IF(INDEX(Settings!$D$10:$D$18,M797)="","",INDEX(Settings!$D$10:$D$18,M797)))</f>
        <v/>
      </c>
      <c r="L797">
        <f>IF(OR(B797="",E797=""),"",B797+MOD(N(C797),1)+ROW()/10000000)</f>
        <v/>
      </c>
      <c r="M797">
        <f>IF(D797="","",IFERROR(MATCH(D797,Settings!$B$10:$B$18,0),""))</f>
        <v/>
      </c>
      <c r="N797">
        <f>IF(OR(B797="",E797="",M797=""),"",IF(AND(B797&gt;=Settings!$C$6,B797&lt;=Settings!$C$7),M797*10000+E797,""))</f>
        <v/>
      </c>
      <c r="O797">
        <f>IF(OR(B797="",E797=""),"",B797*10000+E797)</f>
        <v/>
      </c>
      <c r="P797">
        <f>IF(N797="","",E797)</f>
        <v/>
      </c>
    </row>
    <row r="798">
      <c r="A798" s="1" t="n"/>
      <c r="B798" s="20" t="n"/>
      <c r="C798" s="21" t="n"/>
      <c r="D798" s="22" t="n"/>
      <c r="E798" s="23" t="n"/>
      <c r="F798" s="22" t="n"/>
      <c r="G798" s="14">
        <f>IF(OR(B798="",E798="",J798="",K798=""),"",IF(E798&lt;J798,"Below",IF(E798&gt;K798,"Above","In range")))</f>
        <v/>
      </c>
      <c r="H798" s="1" t="n"/>
      <c r="J798">
        <f>IF(M798="","",IF(INDEX(Settings!$C$10:$C$18,M798)="","",INDEX(Settings!$C$10:$C$18,M798)))</f>
        <v/>
      </c>
      <c r="K798">
        <f>IF(M798="","",IF(INDEX(Settings!$D$10:$D$18,M798)="","",INDEX(Settings!$D$10:$D$18,M798)))</f>
        <v/>
      </c>
      <c r="L798">
        <f>IF(OR(B798="",E798=""),"",B798+MOD(N(C798),1)+ROW()/10000000)</f>
        <v/>
      </c>
      <c r="M798">
        <f>IF(D798="","",IFERROR(MATCH(D798,Settings!$B$10:$B$18,0),""))</f>
        <v/>
      </c>
      <c r="N798">
        <f>IF(OR(B798="",E798="",M798=""),"",IF(AND(B798&gt;=Settings!$C$6,B798&lt;=Settings!$C$7),M798*10000+E798,""))</f>
        <v/>
      </c>
      <c r="O798">
        <f>IF(OR(B798="",E798=""),"",B798*10000+E798)</f>
        <v/>
      </c>
      <c r="P798">
        <f>IF(N798="","",E798)</f>
        <v/>
      </c>
    </row>
    <row r="799">
      <c r="A799" s="1" t="n"/>
      <c r="B799" s="20" t="n"/>
      <c r="C799" s="21" t="n"/>
      <c r="D799" s="22" t="n"/>
      <c r="E799" s="23" t="n"/>
      <c r="F799" s="22" t="n"/>
      <c r="G799" s="14">
        <f>IF(OR(B799="",E799="",J799="",K799=""),"",IF(E799&lt;J799,"Below",IF(E799&gt;K799,"Above","In range")))</f>
        <v/>
      </c>
      <c r="H799" s="1" t="n"/>
      <c r="J799">
        <f>IF(M799="","",IF(INDEX(Settings!$C$10:$C$18,M799)="","",INDEX(Settings!$C$10:$C$18,M799)))</f>
        <v/>
      </c>
      <c r="K799">
        <f>IF(M799="","",IF(INDEX(Settings!$D$10:$D$18,M799)="","",INDEX(Settings!$D$10:$D$18,M799)))</f>
        <v/>
      </c>
      <c r="L799">
        <f>IF(OR(B799="",E799=""),"",B799+MOD(N(C799),1)+ROW()/10000000)</f>
        <v/>
      </c>
      <c r="M799">
        <f>IF(D799="","",IFERROR(MATCH(D799,Settings!$B$10:$B$18,0),""))</f>
        <v/>
      </c>
      <c r="N799">
        <f>IF(OR(B799="",E799="",M799=""),"",IF(AND(B799&gt;=Settings!$C$6,B799&lt;=Settings!$C$7),M799*10000+E799,""))</f>
        <v/>
      </c>
      <c r="O799">
        <f>IF(OR(B799="",E799=""),"",B799*10000+E799)</f>
        <v/>
      </c>
      <c r="P799">
        <f>IF(N799="","",E799)</f>
        <v/>
      </c>
    </row>
    <row r="800">
      <c r="A800" s="1" t="n"/>
      <c r="B800" s="20" t="n"/>
      <c r="C800" s="21" t="n"/>
      <c r="D800" s="22" t="n"/>
      <c r="E800" s="23" t="n"/>
      <c r="F800" s="22" t="n"/>
      <c r="G800" s="14">
        <f>IF(OR(B800="",E800="",J800="",K800=""),"",IF(E800&lt;J800,"Below",IF(E800&gt;K800,"Above","In range")))</f>
        <v/>
      </c>
      <c r="H800" s="1" t="n"/>
      <c r="J800">
        <f>IF(M800="","",IF(INDEX(Settings!$C$10:$C$18,M800)="","",INDEX(Settings!$C$10:$C$18,M800)))</f>
        <v/>
      </c>
      <c r="K800">
        <f>IF(M800="","",IF(INDEX(Settings!$D$10:$D$18,M800)="","",INDEX(Settings!$D$10:$D$18,M800)))</f>
        <v/>
      </c>
      <c r="L800">
        <f>IF(OR(B800="",E800=""),"",B800+MOD(N(C800),1)+ROW()/10000000)</f>
        <v/>
      </c>
      <c r="M800">
        <f>IF(D800="","",IFERROR(MATCH(D800,Settings!$B$10:$B$18,0),""))</f>
        <v/>
      </c>
      <c r="N800">
        <f>IF(OR(B800="",E800="",M800=""),"",IF(AND(B800&gt;=Settings!$C$6,B800&lt;=Settings!$C$7),M800*10000+E800,""))</f>
        <v/>
      </c>
      <c r="O800">
        <f>IF(OR(B800="",E800=""),"",B800*10000+E800)</f>
        <v/>
      </c>
      <c r="P800">
        <f>IF(N800="","",E800)</f>
        <v/>
      </c>
    </row>
    <row r="801">
      <c r="A801" s="1" t="n"/>
      <c r="B801" s="20" t="n"/>
      <c r="C801" s="21" t="n"/>
      <c r="D801" s="22" t="n"/>
      <c r="E801" s="23" t="n"/>
      <c r="F801" s="22" t="n"/>
      <c r="G801" s="14">
        <f>IF(OR(B801="",E801="",J801="",K801=""),"",IF(E801&lt;J801,"Below",IF(E801&gt;K801,"Above","In range")))</f>
        <v/>
      </c>
      <c r="H801" s="1" t="n"/>
      <c r="J801">
        <f>IF(M801="","",IF(INDEX(Settings!$C$10:$C$18,M801)="","",INDEX(Settings!$C$10:$C$18,M801)))</f>
        <v/>
      </c>
      <c r="K801">
        <f>IF(M801="","",IF(INDEX(Settings!$D$10:$D$18,M801)="","",INDEX(Settings!$D$10:$D$18,M801)))</f>
        <v/>
      </c>
      <c r="L801">
        <f>IF(OR(B801="",E801=""),"",B801+MOD(N(C801),1)+ROW()/10000000)</f>
        <v/>
      </c>
      <c r="M801">
        <f>IF(D801="","",IFERROR(MATCH(D801,Settings!$B$10:$B$18,0),""))</f>
        <v/>
      </c>
      <c r="N801">
        <f>IF(OR(B801="",E801="",M801=""),"",IF(AND(B801&gt;=Settings!$C$6,B801&lt;=Settings!$C$7),M801*10000+E801,""))</f>
        <v/>
      </c>
      <c r="O801">
        <f>IF(OR(B801="",E801=""),"",B801*10000+E801)</f>
        <v/>
      </c>
      <c r="P801">
        <f>IF(N801="","",E801)</f>
        <v/>
      </c>
    </row>
    <row r="802">
      <c r="A802" s="1" t="n"/>
      <c r="B802" s="20" t="n"/>
      <c r="C802" s="21" t="n"/>
      <c r="D802" s="22" t="n"/>
      <c r="E802" s="23" t="n"/>
      <c r="F802" s="22" t="n"/>
      <c r="G802" s="14">
        <f>IF(OR(B802="",E802="",J802="",K802=""),"",IF(E802&lt;J802,"Below",IF(E802&gt;K802,"Above","In range")))</f>
        <v/>
      </c>
      <c r="H802" s="1" t="n"/>
      <c r="J802">
        <f>IF(M802="","",IF(INDEX(Settings!$C$10:$C$18,M802)="","",INDEX(Settings!$C$10:$C$18,M802)))</f>
        <v/>
      </c>
      <c r="K802">
        <f>IF(M802="","",IF(INDEX(Settings!$D$10:$D$18,M802)="","",INDEX(Settings!$D$10:$D$18,M802)))</f>
        <v/>
      </c>
      <c r="L802">
        <f>IF(OR(B802="",E802=""),"",B802+MOD(N(C802),1)+ROW()/10000000)</f>
        <v/>
      </c>
      <c r="M802">
        <f>IF(D802="","",IFERROR(MATCH(D802,Settings!$B$10:$B$18,0),""))</f>
        <v/>
      </c>
      <c r="N802">
        <f>IF(OR(B802="",E802="",M802=""),"",IF(AND(B802&gt;=Settings!$C$6,B802&lt;=Settings!$C$7),M802*10000+E802,""))</f>
        <v/>
      </c>
      <c r="O802">
        <f>IF(OR(B802="",E802=""),"",B802*10000+E802)</f>
        <v/>
      </c>
      <c r="P802">
        <f>IF(N802="","",E802)</f>
        <v/>
      </c>
    </row>
    <row r="803">
      <c r="A803" s="1" t="n"/>
      <c r="B803" s="20" t="n"/>
      <c r="C803" s="21" t="n"/>
      <c r="D803" s="22" t="n"/>
      <c r="E803" s="23" t="n"/>
      <c r="F803" s="22" t="n"/>
      <c r="G803" s="14">
        <f>IF(OR(B803="",E803="",J803="",K803=""),"",IF(E803&lt;J803,"Below",IF(E803&gt;K803,"Above","In range")))</f>
        <v/>
      </c>
      <c r="H803" s="1" t="n"/>
      <c r="J803">
        <f>IF(M803="","",IF(INDEX(Settings!$C$10:$C$18,M803)="","",INDEX(Settings!$C$10:$C$18,M803)))</f>
        <v/>
      </c>
      <c r="K803">
        <f>IF(M803="","",IF(INDEX(Settings!$D$10:$D$18,M803)="","",INDEX(Settings!$D$10:$D$18,M803)))</f>
        <v/>
      </c>
      <c r="L803">
        <f>IF(OR(B803="",E803=""),"",B803+MOD(N(C803),1)+ROW()/10000000)</f>
        <v/>
      </c>
      <c r="M803">
        <f>IF(D803="","",IFERROR(MATCH(D803,Settings!$B$10:$B$18,0),""))</f>
        <v/>
      </c>
      <c r="N803">
        <f>IF(OR(B803="",E803="",M803=""),"",IF(AND(B803&gt;=Settings!$C$6,B803&lt;=Settings!$C$7),M803*10000+E803,""))</f>
        <v/>
      </c>
      <c r="O803">
        <f>IF(OR(B803="",E803=""),"",B803*10000+E803)</f>
        <v/>
      </c>
      <c r="P803">
        <f>IF(N803="","",E803)</f>
        <v/>
      </c>
    </row>
    <row r="804">
      <c r="A804" s="1" t="n"/>
      <c r="B804" s="20" t="n"/>
      <c r="C804" s="21" t="n"/>
      <c r="D804" s="22" t="n"/>
      <c r="E804" s="23" t="n"/>
      <c r="F804" s="22" t="n"/>
      <c r="G804" s="14">
        <f>IF(OR(B804="",E804="",J804="",K804=""),"",IF(E804&lt;J804,"Below",IF(E804&gt;K804,"Above","In range")))</f>
        <v/>
      </c>
      <c r="H804" s="1" t="n"/>
      <c r="J804">
        <f>IF(M804="","",IF(INDEX(Settings!$C$10:$C$18,M804)="","",INDEX(Settings!$C$10:$C$18,M804)))</f>
        <v/>
      </c>
      <c r="K804">
        <f>IF(M804="","",IF(INDEX(Settings!$D$10:$D$18,M804)="","",INDEX(Settings!$D$10:$D$18,M804)))</f>
        <v/>
      </c>
      <c r="L804">
        <f>IF(OR(B804="",E804=""),"",B804+MOD(N(C804),1)+ROW()/10000000)</f>
        <v/>
      </c>
      <c r="M804">
        <f>IF(D804="","",IFERROR(MATCH(D804,Settings!$B$10:$B$18,0),""))</f>
        <v/>
      </c>
      <c r="N804">
        <f>IF(OR(B804="",E804="",M804=""),"",IF(AND(B804&gt;=Settings!$C$6,B804&lt;=Settings!$C$7),M804*10000+E804,""))</f>
        <v/>
      </c>
      <c r="O804">
        <f>IF(OR(B804="",E804=""),"",B804*10000+E804)</f>
        <v/>
      </c>
      <c r="P804">
        <f>IF(N804="","",E804)</f>
        <v/>
      </c>
    </row>
    <row r="805">
      <c r="A805" s="1" t="n"/>
      <c r="B805" s="20" t="n"/>
      <c r="C805" s="21" t="n"/>
      <c r="D805" s="22" t="n"/>
      <c r="E805" s="23" t="n"/>
      <c r="F805" s="22" t="n"/>
      <c r="G805" s="14">
        <f>IF(OR(B805="",E805="",J805="",K805=""),"",IF(E805&lt;J805,"Below",IF(E805&gt;K805,"Above","In range")))</f>
        <v/>
      </c>
      <c r="H805" s="1" t="n"/>
      <c r="J805">
        <f>IF(M805="","",IF(INDEX(Settings!$C$10:$C$18,M805)="","",INDEX(Settings!$C$10:$C$18,M805)))</f>
        <v/>
      </c>
      <c r="K805">
        <f>IF(M805="","",IF(INDEX(Settings!$D$10:$D$18,M805)="","",INDEX(Settings!$D$10:$D$18,M805)))</f>
        <v/>
      </c>
      <c r="L805">
        <f>IF(OR(B805="",E805=""),"",B805+MOD(N(C805),1)+ROW()/10000000)</f>
        <v/>
      </c>
      <c r="M805">
        <f>IF(D805="","",IFERROR(MATCH(D805,Settings!$B$10:$B$18,0),""))</f>
        <v/>
      </c>
      <c r="N805">
        <f>IF(OR(B805="",E805="",M805=""),"",IF(AND(B805&gt;=Settings!$C$6,B805&lt;=Settings!$C$7),M805*10000+E805,""))</f>
        <v/>
      </c>
      <c r="O805">
        <f>IF(OR(B805="",E805=""),"",B805*10000+E805)</f>
        <v/>
      </c>
      <c r="P805">
        <f>IF(N805="","",E805)</f>
        <v/>
      </c>
    </row>
    <row r="806">
      <c r="A806" s="1" t="n"/>
      <c r="B806" s="20" t="n"/>
      <c r="C806" s="21" t="n"/>
      <c r="D806" s="22" t="n"/>
      <c r="E806" s="23" t="n"/>
      <c r="F806" s="22" t="n"/>
      <c r="G806" s="14">
        <f>IF(OR(B806="",E806="",J806="",K806=""),"",IF(E806&lt;J806,"Below",IF(E806&gt;K806,"Above","In range")))</f>
        <v/>
      </c>
      <c r="H806" s="1" t="n"/>
      <c r="J806">
        <f>IF(M806="","",IF(INDEX(Settings!$C$10:$C$18,M806)="","",INDEX(Settings!$C$10:$C$18,M806)))</f>
        <v/>
      </c>
      <c r="K806">
        <f>IF(M806="","",IF(INDEX(Settings!$D$10:$D$18,M806)="","",INDEX(Settings!$D$10:$D$18,M806)))</f>
        <v/>
      </c>
      <c r="L806">
        <f>IF(OR(B806="",E806=""),"",B806+MOD(N(C806),1)+ROW()/10000000)</f>
        <v/>
      </c>
      <c r="M806">
        <f>IF(D806="","",IFERROR(MATCH(D806,Settings!$B$10:$B$18,0),""))</f>
        <v/>
      </c>
      <c r="N806">
        <f>IF(OR(B806="",E806="",M806=""),"",IF(AND(B806&gt;=Settings!$C$6,B806&lt;=Settings!$C$7),M806*10000+E806,""))</f>
        <v/>
      </c>
      <c r="O806">
        <f>IF(OR(B806="",E806=""),"",B806*10000+E806)</f>
        <v/>
      </c>
      <c r="P806">
        <f>IF(N806="","",E806)</f>
        <v/>
      </c>
    </row>
    <row r="807">
      <c r="A807" s="1" t="n"/>
      <c r="B807" s="20" t="n"/>
      <c r="C807" s="21" t="n"/>
      <c r="D807" s="22" t="n"/>
      <c r="E807" s="23" t="n"/>
      <c r="F807" s="22" t="n"/>
      <c r="G807" s="14">
        <f>IF(OR(B807="",E807="",J807="",K807=""),"",IF(E807&lt;J807,"Below",IF(E807&gt;K807,"Above","In range")))</f>
        <v/>
      </c>
      <c r="H807" s="1" t="n"/>
      <c r="J807">
        <f>IF(M807="","",IF(INDEX(Settings!$C$10:$C$18,M807)="","",INDEX(Settings!$C$10:$C$18,M807)))</f>
        <v/>
      </c>
      <c r="K807">
        <f>IF(M807="","",IF(INDEX(Settings!$D$10:$D$18,M807)="","",INDEX(Settings!$D$10:$D$18,M807)))</f>
        <v/>
      </c>
      <c r="L807">
        <f>IF(OR(B807="",E807=""),"",B807+MOD(N(C807),1)+ROW()/10000000)</f>
        <v/>
      </c>
      <c r="M807">
        <f>IF(D807="","",IFERROR(MATCH(D807,Settings!$B$10:$B$18,0),""))</f>
        <v/>
      </c>
      <c r="N807">
        <f>IF(OR(B807="",E807="",M807=""),"",IF(AND(B807&gt;=Settings!$C$6,B807&lt;=Settings!$C$7),M807*10000+E807,""))</f>
        <v/>
      </c>
      <c r="O807">
        <f>IF(OR(B807="",E807=""),"",B807*10000+E807)</f>
        <v/>
      </c>
      <c r="P807">
        <f>IF(N807="","",E807)</f>
        <v/>
      </c>
    </row>
    <row r="808">
      <c r="A808" s="1" t="n"/>
      <c r="B808" s="20" t="n"/>
      <c r="C808" s="21" t="n"/>
      <c r="D808" s="22" t="n"/>
      <c r="E808" s="23" t="n"/>
      <c r="F808" s="22" t="n"/>
      <c r="G808" s="14">
        <f>IF(OR(B808="",E808="",J808="",K808=""),"",IF(E808&lt;J808,"Below",IF(E808&gt;K808,"Above","In range")))</f>
        <v/>
      </c>
      <c r="H808" s="1" t="n"/>
      <c r="J808">
        <f>IF(M808="","",IF(INDEX(Settings!$C$10:$C$18,M808)="","",INDEX(Settings!$C$10:$C$18,M808)))</f>
        <v/>
      </c>
      <c r="K808">
        <f>IF(M808="","",IF(INDEX(Settings!$D$10:$D$18,M808)="","",INDEX(Settings!$D$10:$D$18,M808)))</f>
        <v/>
      </c>
      <c r="L808">
        <f>IF(OR(B808="",E808=""),"",B808+MOD(N(C808),1)+ROW()/10000000)</f>
        <v/>
      </c>
      <c r="M808">
        <f>IF(D808="","",IFERROR(MATCH(D808,Settings!$B$10:$B$18,0),""))</f>
        <v/>
      </c>
      <c r="N808">
        <f>IF(OR(B808="",E808="",M808=""),"",IF(AND(B808&gt;=Settings!$C$6,B808&lt;=Settings!$C$7),M808*10000+E808,""))</f>
        <v/>
      </c>
      <c r="O808">
        <f>IF(OR(B808="",E808=""),"",B808*10000+E808)</f>
        <v/>
      </c>
      <c r="P808">
        <f>IF(N808="","",E808)</f>
        <v/>
      </c>
    </row>
    <row r="809">
      <c r="A809" s="1" t="n"/>
      <c r="B809" s="20" t="n"/>
      <c r="C809" s="21" t="n"/>
      <c r="D809" s="22" t="n"/>
      <c r="E809" s="23" t="n"/>
      <c r="F809" s="22" t="n"/>
      <c r="G809" s="14">
        <f>IF(OR(B809="",E809="",J809="",K809=""),"",IF(E809&lt;J809,"Below",IF(E809&gt;K809,"Above","In range")))</f>
        <v/>
      </c>
      <c r="H809" s="1" t="n"/>
      <c r="J809">
        <f>IF(M809="","",IF(INDEX(Settings!$C$10:$C$18,M809)="","",INDEX(Settings!$C$10:$C$18,M809)))</f>
        <v/>
      </c>
      <c r="K809">
        <f>IF(M809="","",IF(INDEX(Settings!$D$10:$D$18,M809)="","",INDEX(Settings!$D$10:$D$18,M809)))</f>
        <v/>
      </c>
      <c r="L809">
        <f>IF(OR(B809="",E809=""),"",B809+MOD(N(C809),1)+ROW()/10000000)</f>
        <v/>
      </c>
      <c r="M809">
        <f>IF(D809="","",IFERROR(MATCH(D809,Settings!$B$10:$B$18,0),""))</f>
        <v/>
      </c>
      <c r="N809">
        <f>IF(OR(B809="",E809="",M809=""),"",IF(AND(B809&gt;=Settings!$C$6,B809&lt;=Settings!$C$7),M809*10000+E809,""))</f>
        <v/>
      </c>
      <c r="O809">
        <f>IF(OR(B809="",E809=""),"",B809*10000+E809)</f>
        <v/>
      </c>
      <c r="P809">
        <f>IF(N809="","",E809)</f>
        <v/>
      </c>
    </row>
    <row r="810">
      <c r="A810" s="1" t="n"/>
      <c r="B810" s="20" t="n"/>
      <c r="C810" s="21" t="n"/>
      <c r="D810" s="22" t="n"/>
      <c r="E810" s="23" t="n"/>
      <c r="F810" s="22" t="n"/>
      <c r="G810" s="14">
        <f>IF(OR(B810="",E810="",J810="",K810=""),"",IF(E810&lt;J810,"Below",IF(E810&gt;K810,"Above","In range")))</f>
        <v/>
      </c>
      <c r="H810" s="1" t="n"/>
      <c r="J810">
        <f>IF(M810="","",IF(INDEX(Settings!$C$10:$C$18,M810)="","",INDEX(Settings!$C$10:$C$18,M810)))</f>
        <v/>
      </c>
      <c r="K810">
        <f>IF(M810="","",IF(INDEX(Settings!$D$10:$D$18,M810)="","",INDEX(Settings!$D$10:$D$18,M810)))</f>
        <v/>
      </c>
      <c r="L810">
        <f>IF(OR(B810="",E810=""),"",B810+MOD(N(C810),1)+ROW()/10000000)</f>
        <v/>
      </c>
      <c r="M810">
        <f>IF(D810="","",IFERROR(MATCH(D810,Settings!$B$10:$B$18,0),""))</f>
        <v/>
      </c>
      <c r="N810">
        <f>IF(OR(B810="",E810="",M810=""),"",IF(AND(B810&gt;=Settings!$C$6,B810&lt;=Settings!$C$7),M810*10000+E810,""))</f>
        <v/>
      </c>
      <c r="O810">
        <f>IF(OR(B810="",E810=""),"",B810*10000+E810)</f>
        <v/>
      </c>
      <c r="P810">
        <f>IF(N810="","",E810)</f>
        <v/>
      </c>
    </row>
    <row r="811">
      <c r="A811" s="1" t="n"/>
      <c r="B811" s="20" t="n"/>
      <c r="C811" s="21" t="n"/>
      <c r="D811" s="22" t="n"/>
      <c r="E811" s="23" t="n"/>
      <c r="F811" s="22" t="n"/>
      <c r="G811" s="14">
        <f>IF(OR(B811="",E811="",J811="",K811=""),"",IF(E811&lt;J811,"Below",IF(E811&gt;K811,"Above","In range")))</f>
        <v/>
      </c>
      <c r="H811" s="1" t="n"/>
      <c r="J811">
        <f>IF(M811="","",IF(INDEX(Settings!$C$10:$C$18,M811)="","",INDEX(Settings!$C$10:$C$18,M811)))</f>
        <v/>
      </c>
      <c r="K811">
        <f>IF(M811="","",IF(INDEX(Settings!$D$10:$D$18,M811)="","",INDEX(Settings!$D$10:$D$18,M811)))</f>
        <v/>
      </c>
      <c r="L811">
        <f>IF(OR(B811="",E811=""),"",B811+MOD(N(C811),1)+ROW()/10000000)</f>
        <v/>
      </c>
      <c r="M811">
        <f>IF(D811="","",IFERROR(MATCH(D811,Settings!$B$10:$B$18,0),""))</f>
        <v/>
      </c>
      <c r="N811">
        <f>IF(OR(B811="",E811="",M811=""),"",IF(AND(B811&gt;=Settings!$C$6,B811&lt;=Settings!$C$7),M811*10000+E811,""))</f>
        <v/>
      </c>
      <c r="O811">
        <f>IF(OR(B811="",E811=""),"",B811*10000+E811)</f>
        <v/>
      </c>
      <c r="P811">
        <f>IF(N811="","",E811)</f>
        <v/>
      </c>
    </row>
    <row r="812">
      <c r="A812" s="1" t="n"/>
      <c r="B812" s="20" t="n"/>
      <c r="C812" s="21" t="n"/>
      <c r="D812" s="22" t="n"/>
      <c r="E812" s="23" t="n"/>
      <c r="F812" s="22" t="n"/>
      <c r="G812" s="14">
        <f>IF(OR(B812="",E812="",J812="",K812=""),"",IF(E812&lt;J812,"Below",IF(E812&gt;K812,"Above","In range")))</f>
        <v/>
      </c>
      <c r="H812" s="1" t="n"/>
      <c r="J812">
        <f>IF(M812="","",IF(INDEX(Settings!$C$10:$C$18,M812)="","",INDEX(Settings!$C$10:$C$18,M812)))</f>
        <v/>
      </c>
      <c r="K812">
        <f>IF(M812="","",IF(INDEX(Settings!$D$10:$D$18,M812)="","",INDEX(Settings!$D$10:$D$18,M812)))</f>
        <v/>
      </c>
      <c r="L812">
        <f>IF(OR(B812="",E812=""),"",B812+MOD(N(C812),1)+ROW()/10000000)</f>
        <v/>
      </c>
      <c r="M812">
        <f>IF(D812="","",IFERROR(MATCH(D812,Settings!$B$10:$B$18,0),""))</f>
        <v/>
      </c>
      <c r="N812">
        <f>IF(OR(B812="",E812="",M812=""),"",IF(AND(B812&gt;=Settings!$C$6,B812&lt;=Settings!$C$7),M812*10000+E812,""))</f>
        <v/>
      </c>
      <c r="O812">
        <f>IF(OR(B812="",E812=""),"",B812*10000+E812)</f>
        <v/>
      </c>
      <c r="P812">
        <f>IF(N812="","",E812)</f>
        <v/>
      </c>
    </row>
    <row r="813">
      <c r="A813" s="1" t="n"/>
      <c r="B813" s="20" t="n"/>
      <c r="C813" s="21" t="n"/>
      <c r="D813" s="22" t="n"/>
      <c r="E813" s="23" t="n"/>
      <c r="F813" s="22" t="n"/>
      <c r="G813" s="14">
        <f>IF(OR(B813="",E813="",J813="",K813=""),"",IF(E813&lt;J813,"Below",IF(E813&gt;K813,"Above","In range")))</f>
        <v/>
      </c>
      <c r="H813" s="1" t="n"/>
      <c r="J813">
        <f>IF(M813="","",IF(INDEX(Settings!$C$10:$C$18,M813)="","",INDEX(Settings!$C$10:$C$18,M813)))</f>
        <v/>
      </c>
      <c r="K813">
        <f>IF(M813="","",IF(INDEX(Settings!$D$10:$D$18,M813)="","",INDEX(Settings!$D$10:$D$18,M813)))</f>
        <v/>
      </c>
      <c r="L813">
        <f>IF(OR(B813="",E813=""),"",B813+MOD(N(C813),1)+ROW()/10000000)</f>
        <v/>
      </c>
      <c r="M813">
        <f>IF(D813="","",IFERROR(MATCH(D813,Settings!$B$10:$B$18,0),""))</f>
        <v/>
      </c>
      <c r="N813">
        <f>IF(OR(B813="",E813="",M813=""),"",IF(AND(B813&gt;=Settings!$C$6,B813&lt;=Settings!$C$7),M813*10000+E813,""))</f>
        <v/>
      </c>
      <c r="O813">
        <f>IF(OR(B813="",E813=""),"",B813*10000+E813)</f>
        <v/>
      </c>
      <c r="P813">
        <f>IF(N813="","",E813)</f>
        <v/>
      </c>
    </row>
    <row r="814">
      <c r="A814" s="1" t="n"/>
      <c r="B814" s="20" t="n"/>
      <c r="C814" s="21" t="n"/>
      <c r="D814" s="22" t="n"/>
      <c r="E814" s="23" t="n"/>
      <c r="F814" s="22" t="n"/>
      <c r="G814" s="14">
        <f>IF(OR(B814="",E814="",J814="",K814=""),"",IF(E814&lt;J814,"Below",IF(E814&gt;K814,"Above","In range")))</f>
        <v/>
      </c>
      <c r="H814" s="1" t="n"/>
      <c r="J814">
        <f>IF(M814="","",IF(INDEX(Settings!$C$10:$C$18,M814)="","",INDEX(Settings!$C$10:$C$18,M814)))</f>
        <v/>
      </c>
      <c r="K814">
        <f>IF(M814="","",IF(INDEX(Settings!$D$10:$D$18,M814)="","",INDEX(Settings!$D$10:$D$18,M814)))</f>
        <v/>
      </c>
      <c r="L814">
        <f>IF(OR(B814="",E814=""),"",B814+MOD(N(C814),1)+ROW()/10000000)</f>
        <v/>
      </c>
      <c r="M814">
        <f>IF(D814="","",IFERROR(MATCH(D814,Settings!$B$10:$B$18,0),""))</f>
        <v/>
      </c>
      <c r="N814">
        <f>IF(OR(B814="",E814="",M814=""),"",IF(AND(B814&gt;=Settings!$C$6,B814&lt;=Settings!$C$7),M814*10000+E814,""))</f>
        <v/>
      </c>
      <c r="O814">
        <f>IF(OR(B814="",E814=""),"",B814*10000+E814)</f>
        <v/>
      </c>
      <c r="P814">
        <f>IF(N814="","",E814)</f>
        <v/>
      </c>
    </row>
    <row r="815">
      <c r="A815" s="1" t="n"/>
      <c r="B815" s="20" t="n"/>
      <c r="C815" s="21" t="n"/>
      <c r="D815" s="22" t="n"/>
      <c r="E815" s="23" t="n"/>
      <c r="F815" s="22" t="n"/>
      <c r="G815" s="14">
        <f>IF(OR(B815="",E815="",J815="",K815=""),"",IF(E815&lt;J815,"Below",IF(E815&gt;K815,"Above","In range")))</f>
        <v/>
      </c>
      <c r="H815" s="1" t="n"/>
      <c r="J815">
        <f>IF(M815="","",IF(INDEX(Settings!$C$10:$C$18,M815)="","",INDEX(Settings!$C$10:$C$18,M815)))</f>
        <v/>
      </c>
      <c r="K815">
        <f>IF(M815="","",IF(INDEX(Settings!$D$10:$D$18,M815)="","",INDEX(Settings!$D$10:$D$18,M815)))</f>
        <v/>
      </c>
      <c r="L815">
        <f>IF(OR(B815="",E815=""),"",B815+MOD(N(C815),1)+ROW()/10000000)</f>
        <v/>
      </c>
      <c r="M815">
        <f>IF(D815="","",IFERROR(MATCH(D815,Settings!$B$10:$B$18,0),""))</f>
        <v/>
      </c>
      <c r="N815">
        <f>IF(OR(B815="",E815="",M815=""),"",IF(AND(B815&gt;=Settings!$C$6,B815&lt;=Settings!$C$7),M815*10000+E815,""))</f>
        <v/>
      </c>
      <c r="O815">
        <f>IF(OR(B815="",E815=""),"",B815*10000+E815)</f>
        <v/>
      </c>
      <c r="P815">
        <f>IF(N815="","",E815)</f>
        <v/>
      </c>
    </row>
    <row r="816">
      <c r="A816" s="1" t="n"/>
      <c r="B816" s="20" t="n"/>
      <c r="C816" s="21" t="n"/>
      <c r="D816" s="22" t="n"/>
      <c r="E816" s="23" t="n"/>
      <c r="F816" s="22" t="n"/>
      <c r="G816" s="14">
        <f>IF(OR(B816="",E816="",J816="",K816=""),"",IF(E816&lt;J816,"Below",IF(E816&gt;K816,"Above","In range")))</f>
        <v/>
      </c>
      <c r="H816" s="1" t="n"/>
      <c r="J816">
        <f>IF(M816="","",IF(INDEX(Settings!$C$10:$C$18,M816)="","",INDEX(Settings!$C$10:$C$18,M816)))</f>
        <v/>
      </c>
      <c r="K816">
        <f>IF(M816="","",IF(INDEX(Settings!$D$10:$D$18,M816)="","",INDEX(Settings!$D$10:$D$18,M816)))</f>
        <v/>
      </c>
      <c r="L816">
        <f>IF(OR(B816="",E816=""),"",B816+MOD(N(C816),1)+ROW()/10000000)</f>
        <v/>
      </c>
      <c r="M816">
        <f>IF(D816="","",IFERROR(MATCH(D816,Settings!$B$10:$B$18,0),""))</f>
        <v/>
      </c>
      <c r="N816">
        <f>IF(OR(B816="",E816="",M816=""),"",IF(AND(B816&gt;=Settings!$C$6,B816&lt;=Settings!$C$7),M816*10000+E816,""))</f>
        <v/>
      </c>
      <c r="O816">
        <f>IF(OR(B816="",E816=""),"",B816*10000+E816)</f>
        <v/>
      </c>
      <c r="P816">
        <f>IF(N816="","",E816)</f>
        <v/>
      </c>
    </row>
    <row r="817">
      <c r="A817" s="1" t="n"/>
      <c r="B817" s="20" t="n"/>
      <c r="C817" s="21" t="n"/>
      <c r="D817" s="22" t="n"/>
      <c r="E817" s="23" t="n"/>
      <c r="F817" s="22" t="n"/>
      <c r="G817" s="14">
        <f>IF(OR(B817="",E817="",J817="",K817=""),"",IF(E817&lt;J817,"Below",IF(E817&gt;K817,"Above","In range")))</f>
        <v/>
      </c>
      <c r="H817" s="1" t="n"/>
      <c r="J817">
        <f>IF(M817="","",IF(INDEX(Settings!$C$10:$C$18,M817)="","",INDEX(Settings!$C$10:$C$18,M817)))</f>
        <v/>
      </c>
      <c r="K817">
        <f>IF(M817="","",IF(INDEX(Settings!$D$10:$D$18,M817)="","",INDEX(Settings!$D$10:$D$18,M817)))</f>
        <v/>
      </c>
      <c r="L817">
        <f>IF(OR(B817="",E817=""),"",B817+MOD(N(C817),1)+ROW()/10000000)</f>
        <v/>
      </c>
      <c r="M817">
        <f>IF(D817="","",IFERROR(MATCH(D817,Settings!$B$10:$B$18,0),""))</f>
        <v/>
      </c>
      <c r="N817">
        <f>IF(OR(B817="",E817="",M817=""),"",IF(AND(B817&gt;=Settings!$C$6,B817&lt;=Settings!$C$7),M817*10000+E817,""))</f>
        <v/>
      </c>
      <c r="O817">
        <f>IF(OR(B817="",E817=""),"",B817*10000+E817)</f>
        <v/>
      </c>
      <c r="P817">
        <f>IF(N817="","",E817)</f>
        <v/>
      </c>
    </row>
    <row r="818">
      <c r="A818" s="1" t="n"/>
      <c r="B818" s="20" t="n"/>
      <c r="C818" s="21" t="n"/>
      <c r="D818" s="22" t="n"/>
      <c r="E818" s="23" t="n"/>
      <c r="F818" s="22" t="n"/>
      <c r="G818" s="14">
        <f>IF(OR(B818="",E818="",J818="",K818=""),"",IF(E818&lt;J818,"Below",IF(E818&gt;K818,"Above","In range")))</f>
        <v/>
      </c>
      <c r="H818" s="1" t="n"/>
      <c r="J818">
        <f>IF(M818="","",IF(INDEX(Settings!$C$10:$C$18,M818)="","",INDEX(Settings!$C$10:$C$18,M818)))</f>
        <v/>
      </c>
      <c r="K818">
        <f>IF(M818="","",IF(INDEX(Settings!$D$10:$D$18,M818)="","",INDEX(Settings!$D$10:$D$18,M818)))</f>
        <v/>
      </c>
      <c r="L818">
        <f>IF(OR(B818="",E818=""),"",B818+MOD(N(C818),1)+ROW()/10000000)</f>
        <v/>
      </c>
      <c r="M818">
        <f>IF(D818="","",IFERROR(MATCH(D818,Settings!$B$10:$B$18,0),""))</f>
        <v/>
      </c>
      <c r="N818">
        <f>IF(OR(B818="",E818="",M818=""),"",IF(AND(B818&gt;=Settings!$C$6,B818&lt;=Settings!$C$7),M818*10000+E818,""))</f>
        <v/>
      </c>
      <c r="O818">
        <f>IF(OR(B818="",E818=""),"",B818*10000+E818)</f>
        <v/>
      </c>
      <c r="P818">
        <f>IF(N818="","",E818)</f>
        <v/>
      </c>
    </row>
    <row r="819">
      <c r="A819" s="1" t="n"/>
      <c r="B819" s="20" t="n"/>
      <c r="C819" s="21" t="n"/>
      <c r="D819" s="22" t="n"/>
      <c r="E819" s="23" t="n"/>
      <c r="F819" s="22" t="n"/>
      <c r="G819" s="14">
        <f>IF(OR(B819="",E819="",J819="",K819=""),"",IF(E819&lt;J819,"Below",IF(E819&gt;K819,"Above","In range")))</f>
        <v/>
      </c>
      <c r="H819" s="1" t="n"/>
      <c r="J819">
        <f>IF(M819="","",IF(INDEX(Settings!$C$10:$C$18,M819)="","",INDEX(Settings!$C$10:$C$18,M819)))</f>
        <v/>
      </c>
      <c r="K819">
        <f>IF(M819="","",IF(INDEX(Settings!$D$10:$D$18,M819)="","",INDEX(Settings!$D$10:$D$18,M819)))</f>
        <v/>
      </c>
      <c r="L819">
        <f>IF(OR(B819="",E819=""),"",B819+MOD(N(C819),1)+ROW()/10000000)</f>
        <v/>
      </c>
      <c r="M819">
        <f>IF(D819="","",IFERROR(MATCH(D819,Settings!$B$10:$B$18,0),""))</f>
        <v/>
      </c>
      <c r="N819">
        <f>IF(OR(B819="",E819="",M819=""),"",IF(AND(B819&gt;=Settings!$C$6,B819&lt;=Settings!$C$7),M819*10000+E819,""))</f>
        <v/>
      </c>
      <c r="O819">
        <f>IF(OR(B819="",E819=""),"",B819*10000+E819)</f>
        <v/>
      </c>
      <c r="P819">
        <f>IF(N819="","",E819)</f>
        <v/>
      </c>
    </row>
    <row r="820">
      <c r="A820" s="1" t="n"/>
      <c r="B820" s="20" t="n"/>
      <c r="C820" s="21" t="n"/>
      <c r="D820" s="22" t="n"/>
      <c r="E820" s="23" t="n"/>
      <c r="F820" s="22" t="n"/>
      <c r="G820" s="14">
        <f>IF(OR(B820="",E820="",J820="",K820=""),"",IF(E820&lt;J820,"Below",IF(E820&gt;K820,"Above","In range")))</f>
        <v/>
      </c>
      <c r="H820" s="1" t="n"/>
      <c r="J820">
        <f>IF(M820="","",IF(INDEX(Settings!$C$10:$C$18,M820)="","",INDEX(Settings!$C$10:$C$18,M820)))</f>
        <v/>
      </c>
      <c r="K820">
        <f>IF(M820="","",IF(INDEX(Settings!$D$10:$D$18,M820)="","",INDEX(Settings!$D$10:$D$18,M820)))</f>
        <v/>
      </c>
      <c r="L820">
        <f>IF(OR(B820="",E820=""),"",B820+MOD(N(C820),1)+ROW()/10000000)</f>
        <v/>
      </c>
      <c r="M820">
        <f>IF(D820="","",IFERROR(MATCH(D820,Settings!$B$10:$B$18,0),""))</f>
        <v/>
      </c>
      <c r="N820">
        <f>IF(OR(B820="",E820="",M820=""),"",IF(AND(B820&gt;=Settings!$C$6,B820&lt;=Settings!$C$7),M820*10000+E820,""))</f>
        <v/>
      </c>
      <c r="O820">
        <f>IF(OR(B820="",E820=""),"",B820*10000+E820)</f>
        <v/>
      </c>
      <c r="P820">
        <f>IF(N820="","",E820)</f>
        <v/>
      </c>
    </row>
    <row r="821">
      <c r="A821" s="1" t="n"/>
      <c r="B821" s="20" t="n"/>
      <c r="C821" s="21" t="n"/>
      <c r="D821" s="22" t="n"/>
      <c r="E821" s="23" t="n"/>
      <c r="F821" s="22" t="n"/>
      <c r="G821" s="14">
        <f>IF(OR(B821="",E821="",J821="",K821=""),"",IF(E821&lt;J821,"Below",IF(E821&gt;K821,"Above","In range")))</f>
        <v/>
      </c>
      <c r="H821" s="1" t="n"/>
      <c r="J821">
        <f>IF(M821="","",IF(INDEX(Settings!$C$10:$C$18,M821)="","",INDEX(Settings!$C$10:$C$18,M821)))</f>
        <v/>
      </c>
      <c r="K821">
        <f>IF(M821="","",IF(INDEX(Settings!$D$10:$D$18,M821)="","",INDEX(Settings!$D$10:$D$18,M821)))</f>
        <v/>
      </c>
      <c r="L821">
        <f>IF(OR(B821="",E821=""),"",B821+MOD(N(C821),1)+ROW()/10000000)</f>
        <v/>
      </c>
      <c r="M821">
        <f>IF(D821="","",IFERROR(MATCH(D821,Settings!$B$10:$B$18,0),""))</f>
        <v/>
      </c>
      <c r="N821">
        <f>IF(OR(B821="",E821="",M821=""),"",IF(AND(B821&gt;=Settings!$C$6,B821&lt;=Settings!$C$7),M821*10000+E821,""))</f>
        <v/>
      </c>
      <c r="O821">
        <f>IF(OR(B821="",E821=""),"",B821*10000+E821)</f>
        <v/>
      </c>
      <c r="P821">
        <f>IF(N821="","",E821)</f>
        <v/>
      </c>
    </row>
    <row r="822">
      <c r="A822" s="1" t="n"/>
      <c r="B822" s="20" t="n"/>
      <c r="C822" s="21" t="n"/>
      <c r="D822" s="22" t="n"/>
      <c r="E822" s="23" t="n"/>
      <c r="F822" s="22" t="n"/>
      <c r="G822" s="14">
        <f>IF(OR(B822="",E822="",J822="",K822=""),"",IF(E822&lt;J822,"Below",IF(E822&gt;K822,"Above","In range")))</f>
        <v/>
      </c>
      <c r="H822" s="1" t="n"/>
      <c r="J822">
        <f>IF(M822="","",IF(INDEX(Settings!$C$10:$C$18,M822)="","",INDEX(Settings!$C$10:$C$18,M822)))</f>
        <v/>
      </c>
      <c r="K822">
        <f>IF(M822="","",IF(INDEX(Settings!$D$10:$D$18,M822)="","",INDEX(Settings!$D$10:$D$18,M822)))</f>
        <v/>
      </c>
      <c r="L822">
        <f>IF(OR(B822="",E822=""),"",B822+MOD(N(C822),1)+ROW()/10000000)</f>
        <v/>
      </c>
      <c r="M822">
        <f>IF(D822="","",IFERROR(MATCH(D822,Settings!$B$10:$B$18,0),""))</f>
        <v/>
      </c>
      <c r="N822">
        <f>IF(OR(B822="",E822="",M822=""),"",IF(AND(B822&gt;=Settings!$C$6,B822&lt;=Settings!$C$7),M822*10000+E822,""))</f>
        <v/>
      </c>
      <c r="O822">
        <f>IF(OR(B822="",E822=""),"",B822*10000+E822)</f>
        <v/>
      </c>
      <c r="P822">
        <f>IF(N822="","",E822)</f>
        <v/>
      </c>
    </row>
    <row r="823">
      <c r="A823" s="1" t="n"/>
      <c r="B823" s="20" t="n"/>
      <c r="C823" s="21" t="n"/>
      <c r="D823" s="22" t="n"/>
      <c r="E823" s="23" t="n"/>
      <c r="F823" s="22" t="n"/>
      <c r="G823" s="14">
        <f>IF(OR(B823="",E823="",J823="",K823=""),"",IF(E823&lt;J823,"Below",IF(E823&gt;K823,"Above","In range")))</f>
        <v/>
      </c>
      <c r="H823" s="1" t="n"/>
      <c r="J823">
        <f>IF(M823="","",IF(INDEX(Settings!$C$10:$C$18,M823)="","",INDEX(Settings!$C$10:$C$18,M823)))</f>
        <v/>
      </c>
      <c r="K823">
        <f>IF(M823="","",IF(INDEX(Settings!$D$10:$D$18,M823)="","",INDEX(Settings!$D$10:$D$18,M823)))</f>
        <v/>
      </c>
      <c r="L823">
        <f>IF(OR(B823="",E823=""),"",B823+MOD(N(C823),1)+ROW()/10000000)</f>
        <v/>
      </c>
      <c r="M823">
        <f>IF(D823="","",IFERROR(MATCH(D823,Settings!$B$10:$B$18,0),""))</f>
        <v/>
      </c>
      <c r="N823">
        <f>IF(OR(B823="",E823="",M823=""),"",IF(AND(B823&gt;=Settings!$C$6,B823&lt;=Settings!$C$7),M823*10000+E823,""))</f>
        <v/>
      </c>
      <c r="O823">
        <f>IF(OR(B823="",E823=""),"",B823*10000+E823)</f>
        <v/>
      </c>
      <c r="P823">
        <f>IF(N823="","",E823)</f>
        <v/>
      </c>
    </row>
    <row r="824">
      <c r="A824" s="1" t="n"/>
      <c r="B824" s="20" t="n"/>
      <c r="C824" s="21" t="n"/>
      <c r="D824" s="22" t="n"/>
      <c r="E824" s="23" t="n"/>
      <c r="F824" s="22" t="n"/>
      <c r="G824" s="14">
        <f>IF(OR(B824="",E824="",J824="",K824=""),"",IF(E824&lt;J824,"Below",IF(E824&gt;K824,"Above","In range")))</f>
        <v/>
      </c>
      <c r="H824" s="1" t="n"/>
      <c r="J824">
        <f>IF(M824="","",IF(INDEX(Settings!$C$10:$C$18,M824)="","",INDEX(Settings!$C$10:$C$18,M824)))</f>
        <v/>
      </c>
      <c r="K824">
        <f>IF(M824="","",IF(INDEX(Settings!$D$10:$D$18,M824)="","",INDEX(Settings!$D$10:$D$18,M824)))</f>
        <v/>
      </c>
      <c r="L824">
        <f>IF(OR(B824="",E824=""),"",B824+MOD(N(C824),1)+ROW()/10000000)</f>
        <v/>
      </c>
      <c r="M824">
        <f>IF(D824="","",IFERROR(MATCH(D824,Settings!$B$10:$B$18,0),""))</f>
        <v/>
      </c>
      <c r="N824">
        <f>IF(OR(B824="",E824="",M824=""),"",IF(AND(B824&gt;=Settings!$C$6,B824&lt;=Settings!$C$7),M824*10000+E824,""))</f>
        <v/>
      </c>
      <c r="O824">
        <f>IF(OR(B824="",E824=""),"",B824*10000+E824)</f>
        <v/>
      </c>
      <c r="P824">
        <f>IF(N824="","",E824)</f>
        <v/>
      </c>
    </row>
    <row r="825">
      <c r="A825" s="1" t="n"/>
      <c r="B825" s="20" t="n"/>
      <c r="C825" s="21" t="n"/>
      <c r="D825" s="22" t="n"/>
      <c r="E825" s="23" t="n"/>
      <c r="F825" s="22" t="n"/>
      <c r="G825" s="14">
        <f>IF(OR(B825="",E825="",J825="",K825=""),"",IF(E825&lt;J825,"Below",IF(E825&gt;K825,"Above","In range")))</f>
        <v/>
      </c>
      <c r="H825" s="1" t="n"/>
      <c r="J825">
        <f>IF(M825="","",IF(INDEX(Settings!$C$10:$C$18,M825)="","",INDEX(Settings!$C$10:$C$18,M825)))</f>
        <v/>
      </c>
      <c r="K825">
        <f>IF(M825="","",IF(INDEX(Settings!$D$10:$D$18,M825)="","",INDEX(Settings!$D$10:$D$18,M825)))</f>
        <v/>
      </c>
      <c r="L825">
        <f>IF(OR(B825="",E825=""),"",B825+MOD(N(C825),1)+ROW()/10000000)</f>
        <v/>
      </c>
      <c r="M825">
        <f>IF(D825="","",IFERROR(MATCH(D825,Settings!$B$10:$B$18,0),""))</f>
        <v/>
      </c>
      <c r="N825">
        <f>IF(OR(B825="",E825="",M825=""),"",IF(AND(B825&gt;=Settings!$C$6,B825&lt;=Settings!$C$7),M825*10000+E825,""))</f>
        <v/>
      </c>
      <c r="O825">
        <f>IF(OR(B825="",E825=""),"",B825*10000+E825)</f>
        <v/>
      </c>
      <c r="P825">
        <f>IF(N825="","",E825)</f>
        <v/>
      </c>
    </row>
    <row r="826">
      <c r="A826" s="1" t="n"/>
      <c r="B826" s="20" t="n"/>
      <c r="C826" s="21" t="n"/>
      <c r="D826" s="22" t="n"/>
      <c r="E826" s="23" t="n"/>
      <c r="F826" s="22" t="n"/>
      <c r="G826" s="14">
        <f>IF(OR(B826="",E826="",J826="",K826=""),"",IF(E826&lt;J826,"Below",IF(E826&gt;K826,"Above","In range")))</f>
        <v/>
      </c>
      <c r="H826" s="1" t="n"/>
      <c r="J826">
        <f>IF(M826="","",IF(INDEX(Settings!$C$10:$C$18,M826)="","",INDEX(Settings!$C$10:$C$18,M826)))</f>
        <v/>
      </c>
      <c r="K826">
        <f>IF(M826="","",IF(INDEX(Settings!$D$10:$D$18,M826)="","",INDEX(Settings!$D$10:$D$18,M826)))</f>
        <v/>
      </c>
      <c r="L826">
        <f>IF(OR(B826="",E826=""),"",B826+MOD(N(C826),1)+ROW()/10000000)</f>
        <v/>
      </c>
      <c r="M826">
        <f>IF(D826="","",IFERROR(MATCH(D826,Settings!$B$10:$B$18,0),""))</f>
        <v/>
      </c>
      <c r="N826">
        <f>IF(OR(B826="",E826="",M826=""),"",IF(AND(B826&gt;=Settings!$C$6,B826&lt;=Settings!$C$7),M826*10000+E826,""))</f>
        <v/>
      </c>
      <c r="O826">
        <f>IF(OR(B826="",E826=""),"",B826*10000+E826)</f>
        <v/>
      </c>
      <c r="P826">
        <f>IF(N826="","",E826)</f>
        <v/>
      </c>
    </row>
    <row r="827">
      <c r="A827" s="1" t="n"/>
      <c r="B827" s="20" t="n"/>
      <c r="C827" s="21" t="n"/>
      <c r="D827" s="22" t="n"/>
      <c r="E827" s="23" t="n"/>
      <c r="F827" s="22" t="n"/>
      <c r="G827" s="14">
        <f>IF(OR(B827="",E827="",J827="",K827=""),"",IF(E827&lt;J827,"Below",IF(E827&gt;K827,"Above","In range")))</f>
        <v/>
      </c>
      <c r="H827" s="1" t="n"/>
      <c r="J827">
        <f>IF(M827="","",IF(INDEX(Settings!$C$10:$C$18,M827)="","",INDEX(Settings!$C$10:$C$18,M827)))</f>
        <v/>
      </c>
      <c r="K827">
        <f>IF(M827="","",IF(INDEX(Settings!$D$10:$D$18,M827)="","",INDEX(Settings!$D$10:$D$18,M827)))</f>
        <v/>
      </c>
      <c r="L827">
        <f>IF(OR(B827="",E827=""),"",B827+MOD(N(C827),1)+ROW()/10000000)</f>
        <v/>
      </c>
      <c r="M827">
        <f>IF(D827="","",IFERROR(MATCH(D827,Settings!$B$10:$B$18,0),""))</f>
        <v/>
      </c>
      <c r="N827">
        <f>IF(OR(B827="",E827="",M827=""),"",IF(AND(B827&gt;=Settings!$C$6,B827&lt;=Settings!$C$7),M827*10000+E827,""))</f>
        <v/>
      </c>
      <c r="O827">
        <f>IF(OR(B827="",E827=""),"",B827*10000+E827)</f>
        <v/>
      </c>
      <c r="P827">
        <f>IF(N827="","",E827)</f>
        <v/>
      </c>
    </row>
    <row r="828">
      <c r="A828" s="1" t="n"/>
      <c r="B828" s="20" t="n"/>
      <c r="C828" s="21" t="n"/>
      <c r="D828" s="22" t="n"/>
      <c r="E828" s="23" t="n"/>
      <c r="F828" s="22" t="n"/>
      <c r="G828" s="14">
        <f>IF(OR(B828="",E828="",J828="",K828=""),"",IF(E828&lt;J828,"Below",IF(E828&gt;K828,"Above","In range")))</f>
        <v/>
      </c>
      <c r="H828" s="1" t="n"/>
      <c r="J828">
        <f>IF(M828="","",IF(INDEX(Settings!$C$10:$C$18,M828)="","",INDEX(Settings!$C$10:$C$18,M828)))</f>
        <v/>
      </c>
      <c r="K828">
        <f>IF(M828="","",IF(INDEX(Settings!$D$10:$D$18,M828)="","",INDEX(Settings!$D$10:$D$18,M828)))</f>
        <v/>
      </c>
      <c r="L828">
        <f>IF(OR(B828="",E828=""),"",B828+MOD(N(C828),1)+ROW()/10000000)</f>
        <v/>
      </c>
      <c r="M828">
        <f>IF(D828="","",IFERROR(MATCH(D828,Settings!$B$10:$B$18,0),""))</f>
        <v/>
      </c>
      <c r="N828">
        <f>IF(OR(B828="",E828="",M828=""),"",IF(AND(B828&gt;=Settings!$C$6,B828&lt;=Settings!$C$7),M828*10000+E828,""))</f>
        <v/>
      </c>
      <c r="O828">
        <f>IF(OR(B828="",E828=""),"",B828*10000+E828)</f>
        <v/>
      </c>
      <c r="P828">
        <f>IF(N828="","",E828)</f>
        <v/>
      </c>
    </row>
    <row r="829">
      <c r="A829" s="1" t="n"/>
      <c r="B829" s="20" t="n"/>
      <c r="C829" s="21" t="n"/>
      <c r="D829" s="22" t="n"/>
      <c r="E829" s="23" t="n"/>
      <c r="F829" s="22" t="n"/>
      <c r="G829" s="14">
        <f>IF(OR(B829="",E829="",J829="",K829=""),"",IF(E829&lt;J829,"Below",IF(E829&gt;K829,"Above","In range")))</f>
        <v/>
      </c>
      <c r="H829" s="1" t="n"/>
      <c r="J829">
        <f>IF(M829="","",IF(INDEX(Settings!$C$10:$C$18,M829)="","",INDEX(Settings!$C$10:$C$18,M829)))</f>
        <v/>
      </c>
      <c r="K829">
        <f>IF(M829="","",IF(INDEX(Settings!$D$10:$D$18,M829)="","",INDEX(Settings!$D$10:$D$18,M829)))</f>
        <v/>
      </c>
      <c r="L829">
        <f>IF(OR(B829="",E829=""),"",B829+MOD(N(C829),1)+ROW()/10000000)</f>
        <v/>
      </c>
      <c r="M829">
        <f>IF(D829="","",IFERROR(MATCH(D829,Settings!$B$10:$B$18,0),""))</f>
        <v/>
      </c>
      <c r="N829">
        <f>IF(OR(B829="",E829="",M829=""),"",IF(AND(B829&gt;=Settings!$C$6,B829&lt;=Settings!$C$7),M829*10000+E829,""))</f>
        <v/>
      </c>
      <c r="O829">
        <f>IF(OR(B829="",E829=""),"",B829*10000+E829)</f>
        <v/>
      </c>
      <c r="P829">
        <f>IF(N829="","",E829)</f>
        <v/>
      </c>
    </row>
    <row r="830">
      <c r="A830" s="1" t="n"/>
      <c r="B830" s="20" t="n"/>
      <c r="C830" s="21" t="n"/>
      <c r="D830" s="22" t="n"/>
      <c r="E830" s="23" t="n"/>
      <c r="F830" s="22" t="n"/>
      <c r="G830" s="14">
        <f>IF(OR(B830="",E830="",J830="",K830=""),"",IF(E830&lt;J830,"Below",IF(E830&gt;K830,"Above","In range")))</f>
        <v/>
      </c>
      <c r="H830" s="1" t="n"/>
      <c r="J830">
        <f>IF(M830="","",IF(INDEX(Settings!$C$10:$C$18,M830)="","",INDEX(Settings!$C$10:$C$18,M830)))</f>
        <v/>
      </c>
      <c r="K830">
        <f>IF(M830="","",IF(INDEX(Settings!$D$10:$D$18,M830)="","",INDEX(Settings!$D$10:$D$18,M830)))</f>
        <v/>
      </c>
      <c r="L830">
        <f>IF(OR(B830="",E830=""),"",B830+MOD(N(C830),1)+ROW()/10000000)</f>
        <v/>
      </c>
      <c r="M830">
        <f>IF(D830="","",IFERROR(MATCH(D830,Settings!$B$10:$B$18,0),""))</f>
        <v/>
      </c>
      <c r="N830">
        <f>IF(OR(B830="",E830="",M830=""),"",IF(AND(B830&gt;=Settings!$C$6,B830&lt;=Settings!$C$7),M830*10000+E830,""))</f>
        <v/>
      </c>
      <c r="O830">
        <f>IF(OR(B830="",E830=""),"",B830*10000+E830)</f>
        <v/>
      </c>
      <c r="P830">
        <f>IF(N830="","",E830)</f>
        <v/>
      </c>
    </row>
    <row r="831">
      <c r="A831" s="1" t="n"/>
      <c r="B831" s="20" t="n"/>
      <c r="C831" s="21" t="n"/>
      <c r="D831" s="22" t="n"/>
      <c r="E831" s="23" t="n"/>
      <c r="F831" s="22" t="n"/>
      <c r="G831" s="14">
        <f>IF(OR(B831="",E831="",J831="",K831=""),"",IF(E831&lt;J831,"Below",IF(E831&gt;K831,"Above","In range")))</f>
        <v/>
      </c>
      <c r="H831" s="1" t="n"/>
      <c r="J831">
        <f>IF(M831="","",IF(INDEX(Settings!$C$10:$C$18,M831)="","",INDEX(Settings!$C$10:$C$18,M831)))</f>
        <v/>
      </c>
      <c r="K831">
        <f>IF(M831="","",IF(INDEX(Settings!$D$10:$D$18,M831)="","",INDEX(Settings!$D$10:$D$18,M831)))</f>
        <v/>
      </c>
      <c r="L831">
        <f>IF(OR(B831="",E831=""),"",B831+MOD(N(C831),1)+ROW()/10000000)</f>
        <v/>
      </c>
      <c r="M831">
        <f>IF(D831="","",IFERROR(MATCH(D831,Settings!$B$10:$B$18,0),""))</f>
        <v/>
      </c>
      <c r="N831">
        <f>IF(OR(B831="",E831="",M831=""),"",IF(AND(B831&gt;=Settings!$C$6,B831&lt;=Settings!$C$7),M831*10000+E831,""))</f>
        <v/>
      </c>
      <c r="O831">
        <f>IF(OR(B831="",E831=""),"",B831*10000+E831)</f>
        <v/>
      </c>
      <c r="P831">
        <f>IF(N831="","",E831)</f>
        <v/>
      </c>
    </row>
    <row r="832">
      <c r="A832" s="1" t="n"/>
      <c r="B832" s="20" t="n"/>
      <c r="C832" s="21" t="n"/>
      <c r="D832" s="22" t="n"/>
      <c r="E832" s="23" t="n"/>
      <c r="F832" s="22" t="n"/>
      <c r="G832" s="14">
        <f>IF(OR(B832="",E832="",J832="",K832=""),"",IF(E832&lt;J832,"Below",IF(E832&gt;K832,"Above","In range")))</f>
        <v/>
      </c>
      <c r="H832" s="1" t="n"/>
      <c r="J832">
        <f>IF(M832="","",IF(INDEX(Settings!$C$10:$C$18,M832)="","",INDEX(Settings!$C$10:$C$18,M832)))</f>
        <v/>
      </c>
      <c r="K832">
        <f>IF(M832="","",IF(INDEX(Settings!$D$10:$D$18,M832)="","",INDEX(Settings!$D$10:$D$18,M832)))</f>
        <v/>
      </c>
      <c r="L832">
        <f>IF(OR(B832="",E832=""),"",B832+MOD(N(C832),1)+ROW()/10000000)</f>
        <v/>
      </c>
      <c r="M832">
        <f>IF(D832="","",IFERROR(MATCH(D832,Settings!$B$10:$B$18,0),""))</f>
        <v/>
      </c>
      <c r="N832">
        <f>IF(OR(B832="",E832="",M832=""),"",IF(AND(B832&gt;=Settings!$C$6,B832&lt;=Settings!$C$7),M832*10000+E832,""))</f>
        <v/>
      </c>
      <c r="O832">
        <f>IF(OR(B832="",E832=""),"",B832*10000+E832)</f>
        <v/>
      </c>
      <c r="P832">
        <f>IF(N832="","",E832)</f>
        <v/>
      </c>
    </row>
    <row r="833">
      <c r="A833" s="1" t="n"/>
      <c r="B833" s="20" t="n"/>
      <c r="C833" s="21" t="n"/>
      <c r="D833" s="22" t="n"/>
      <c r="E833" s="23" t="n"/>
      <c r="F833" s="22" t="n"/>
      <c r="G833" s="14">
        <f>IF(OR(B833="",E833="",J833="",K833=""),"",IF(E833&lt;J833,"Below",IF(E833&gt;K833,"Above","In range")))</f>
        <v/>
      </c>
      <c r="H833" s="1" t="n"/>
      <c r="J833">
        <f>IF(M833="","",IF(INDEX(Settings!$C$10:$C$18,M833)="","",INDEX(Settings!$C$10:$C$18,M833)))</f>
        <v/>
      </c>
      <c r="K833">
        <f>IF(M833="","",IF(INDEX(Settings!$D$10:$D$18,M833)="","",INDEX(Settings!$D$10:$D$18,M833)))</f>
        <v/>
      </c>
      <c r="L833">
        <f>IF(OR(B833="",E833=""),"",B833+MOD(N(C833),1)+ROW()/10000000)</f>
        <v/>
      </c>
      <c r="M833">
        <f>IF(D833="","",IFERROR(MATCH(D833,Settings!$B$10:$B$18,0),""))</f>
        <v/>
      </c>
      <c r="N833">
        <f>IF(OR(B833="",E833="",M833=""),"",IF(AND(B833&gt;=Settings!$C$6,B833&lt;=Settings!$C$7),M833*10000+E833,""))</f>
        <v/>
      </c>
      <c r="O833">
        <f>IF(OR(B833="",E833=""),"",B833*10000+E833)</f>
        <v/>
      </c>
      <c r="P833">
        <f>IF(N833="","",E833)</f>
        <v/>
      </c>
    </row>
    <row r="834">
      <c r="A834" s="1" t="n"/>
      <c r="B834" s="20" t="n"/>
      <c r="C834" s="21" t="n"/>
      <c r="D834" s="22" t="n"/>
      <c r="E834" s="23" t="n"/>
      <c r="F834" s="22" t="n"/>
      <c r="G834" s="14">
        <f>IF(OR(B834="",E834="",J834="",K834=""),"",IF(E834&lt;J834,"Below",IF(E834&gt;K834,"Above","In range")))</f>
        <v/>
      </c>
      <c r="H834" s="1" t="n"/>
      <c r="J834">
        <f>IF(M834="","",IF(INDEX(Settings!$C$10:$C$18,M834)="","",INDEX(Settings!$C$10:$C$18,M834)))</f>
        <v/>
      </c>
      <c r="K834">
        <f>IF(M834="","",IF(INDEX(Settings!$D$10:$D$18,M834)="","",INDEX(Settings!$D$10:$D$18,M834)))</f>
        <v/>
      </c>
      <c r="L834">
        <f>IF(OR(B834="",E834=""),"",B834+MOD(N(C834),1)+ROW()/10000000)</f>
        <v/>
      </c>
      <c r="M834">
        <f>IF(D834="","",IFERROR(MATCH(D834,Settings!$B$10:$B$18,0),""))</f>
        <v/>
      </c>
      <c r="N834">
        <f>IF(OR(B834="",E834="",M834=""),"",IF(AND(B834&gt;=Settings!$C$6,B834&lt;=Settings!$C$7),M834*10000+E834,""))</f>
        <v/>
      </c>
      <c r="O834">
        <f>IF(OR(B834="",E834=""),"",B834*10000+E834)</f>
        <v/>
      </c>
      <c r="P834">
        <f>IF(N834="","",E834)</f>
        <v/>
      </c>
    </row>
    <row r="835">
      <c r="A835" s="1" t="n"/>
      <c r="B835" s="20" t="n"/>
      <c r="C835" s="21" t="n"/>
      <c r="D835" s="22" t="n"/>
      <c r="E835" s="23" t="n"/>
      <c r="F835" s="22" t="n"/>
      <c r="G835" s="14">
        <f>IF(OR(B835="",E835="",J835="",K835=""),"",IF(E835&lt;J835,"Below",IF(E835&gt;K835,"Above","In range")))</f>
        <v/>
      </c>
      <c r="H835" s="1" t="n"/>
      <c r="J835">
        <f>IF(M835="","",IF(INDEX(Settings!$C$10:$C$18,M835)="","",INDEX(Settings!$C$10:$C$18,M835)))</f>
        <v/>
      </c>
      <c r="K835">
        <f>IF(M835="","",IF(INDEX(Settings!$D$10:$D$18,M835)="","",INDEX(Settings!$D$10:$D$18,M835)))</f>
        <v/>
      </c>
      <c r="L835">
        <f>IF(OR(B835="",E835=""),"",B835+MOD(N(C835),1)+ROW()/10000000)</f>
        <v/>
      </c>
      <c r="M835">
        <f>IF(D835="","",IFERROR(MATCH(D835,Settings!$B$10:$B$18,0),""))</f>
        <v/>
      </c>
      <c r="N835">
        <f>IF(OR(B835="",E835="",M835=""),"",IF(AND(B835&gt;=Settings!$C$6,B835&lt;=Settings!$C$7),M835*10000+E835,""))</f>
        <v/>
      </c>
      <c r="O835">
        <f>IF(OR(B835="",E835=""),"",B835*10000+E835)</f>
        <v/>
      </c>
      <c r="P835">
        <f>IF(N835="","",E835)</f>
        <v/>
      </c>
    </row>
    <row r="836">
      <c r="A836" s="1" t="n"/>
      <c r="B836" s="20" t="n"/>
      <c r="C836" s="21" t="n"/>
      <c r="D836" s="22" t="n"/>
      <c r="E836" s="23" t="n"/>
      <c r="F836" s="22" t="n"/>
      <c r="G836" s="14">
        <f>IF(OR(B836="",E836="",J836="",K836=""),"",IF(E836&lt;J836,"Below",IF(E836&gt;K836,"Above","In range")))</f>
        <v/>
      </c>
      <c r="H836" s="1" t="n"/>
      <c r="J836">
        <f>IF(M836="","",IF(INDEX(Settings!$C$10:$C$18,M836)="","",INDEX(Settings!$C$10:$C$18,M836)))</f>
        <v/>
      </c>
      <c r="K836">
        <f>IF(M836="","",IF(INDEX(Settings!$D$10:$D$18,M836)="","",INDEX(Settings!$D$10:$D$18,M836)))</f>
        <v/>
      </c>
      <c r="L836">
        <f>IF(OR(B836="",E836=""),"",B836+MOD(N(C836),1)+ROW()/10000000)</f>
        <v/>
      </c>
      <c r="M836">
        <f>IF(D836="","",IFERROR(MATCH(D836,Settings!$B$10:$B$18,0),""))</f>
        <v/>
      </c>
      <c r="N836">
        <f>IF(OR(B836="",E836="",M836=""),"",IF(AND(B836&gt;=Settings!$C$6,B836&lt;=Settings!$C$7),M836*10000+E836,""))</f>
        <v/>
      </c>
      <c r="O836">
        <f>IF(OR(B836="",E836=""),"",B836*10000+E836)</f>
        <v/>
      </c>
      <c r="P836">
        <f>IF(N836="","",E836)</f>
        <v/>
      </c>
    </row>
    <row r="837">
      <c r="A837" s="1" t="n"/>
      <c r="B837" s="20" t="n"/>
      <c r="C837" s="21" t="n"/>
      <c r="D837" s="22" t="n"/>
      <c r="E837" s="23" t="n"/>
      <c r="F837" s="22" t="n"/>
      <c r="G837" s="14">
        <f>IF(OR(B837="",E837="",J837="",K837=""),"",IF(E837&lt;J837,"Below",IF(E837&gt;K837,"Above","In range")))</f>
        <v/>
      </c>
      <c r="H837" s="1" t="n"/>
      <c r="J837">
        <f>IF(M837="","",IF(INDEX(Settings!$C$10:$C$18,M837)="","",INDEX(Settings!$C$10:$C$18,M837)))</f>
        <v/>
      </c>
      <c r="K837">
        <f>IF(M837="","",IF(INDEX(Settings!$D$10:$D$18,M837)="","",INDEX(Settings!$D$10:$D$18,M837)))</f>
        <v/>
      </c>
      <c r="L837">
        <f>IF(OR(B837="",E837=""),"",B837+MOD(N(C837),1)+ROW()/10000000)</f>
        <v/>
      </c>
      <c r="M837">
        <f>IF(D837="","",IFERROR(MATCH(D837,Settings!$B$10:$B$18,0),""))</f>
        <v/>
      </c>
      <c r="N837">
        <f>IF(OR(B837="",E837="",M837=""),"",IF(AND(B837&gt;=Settings!$C$6,B837&lt;=Settings!$C$7),M837*10000+E837,""))</f>
        <v/>
      </c>
      <c r="O837">
        <f>IF(OR(B837="",E837=""),"",B837*10000+E837)</f>
        <v/>
      </c>
      <c r="P837">
        <f>IF(N837="","",E837)</f>
        <v/>
      </c>
    </row>
    <row r="838">
      <c r="A838" s="1" t="n"/>
      <c r="B838" s="20" t="n"/>
      <c r="C838" s="21" t="n"/>
      <c r="D838" s="22" t="n"/>
      <c r="E838" s="23" t="n"/>
      <c r="F838" s="22" t="n"/>
      <c r="G838" s="14">
        <f>IF(OR(B838="",E838="",J838="",K838=""),"",IF(E838&lt;J838,"Below",IF(E838&gt;K838,"Above","In range")))</f>
        <v/>
      </c>
      <c r="H838" s="1" t="n"/>
      <c r="J838">
        <f>IF(M838="","",IF(INDEX(Settings!$C$10:$C$18,M838)="","",INDEX(Settings!$C$10:$C$18,M838)))</f>
        <v/>
      </c>
      <c r="K838">
        <f>IF(M838="","",IF(INDEX(Settings!$D$10:$D$18,M838)="","",INDEX(Settings!$D$10:$D$18,M838)))</f>
        <v/>
      </c>
      <c r="L838">
        <f>IF(OR(B838="",E838=""),"",B838+MOD(N(C838),1)+ROW()/10000000)</f>
        <v/>
      </c>
      <c r="M838">
        <f>IF(D838="","",IFERROR(MATCH(D838,Settings!$B$10:$B$18,0),""))</f>
        <v/>
      </c>
      <c r="N838">
        <f>IF(OR(B838="",E838="",M838=""),"",IF(AND(B838&gt;=Settings!$C$6,B838&lt;=Settings!$C$7),M838*10000+E838,""))</f>
        <v/>
      </c>
      <c r="O838">
        <f>IF(OR(B838="",E838=""),"",B838*10000+E838)</f>
        <v/>
      </c>
      <c r="P838">
        <f>IF(N838="","",E838)</f>
        <v/>
      </c>
    </row>
    <row r="839">
      <c r="A839" s="1" t="n"/>
      <c r="B839" s="20" t="n"/>
      <c r="C839" s="21" t="n"/>
      <c r="D839" s="22" t="n"/>
      <c r="E839" s="23" t="n"/>
      <c r="F839" s="22" t="n"/>
      <c r="G839" s="14">
        <f>IF(OR(B839="",E839="",J839="",K839=""),"",IF(E839&lt;J839,"Below",IF(E839&gt;K839,"Above","In range")))</f>
        <v/>
      </c>
      <c r="H839" s="1" t="n"/>
      <c r="J839">
        <f>IF(M839="","",IF(INDEX(Settings!$C$10:$C$18,M839)="","",INDEX(Settings!$C$10:$C$18,M839)))</f>
        <v/>
      </c>
      <c r="K839">
        <f>IF(M839="","",IF(INDEX(Settings!$D$10:$D$18,M839)="","",INDEX(Settings!$D$10:$D$18,M839)))</f>
        <v/>
      </c>
      <c r="L839">
        <f>IF(OR(B839="",E839=""),"",B839+MOD(N(C839),1)+ROW()/10000000)</f>
        <v/>
      </c>
      <c r="M839">
        <f>IF(D839="","",IFERROR(MATCH(D839,Settings!$B$10:$B$18,0),""))</f>
        <v/>
      </c>
      <c r="N839">
        <f>IF(OR(B839="",E839="",M839=""),"",IF(AND(B839&gt;=Settings!$C$6,B839&lt;=Settings!$C$7),M839*10000+E839,""))</f>
        <v/>
      </c>
      <c r="O839">
        <f>IF(OR(B839="",E839=""),"",B839*10000+E839)</f>
        <v/>
      </c>
      <c r="P839">
        <f>IF(N839="","",E839)</f>
        <v/>
      </c>
    </row>
    <row r="840">
      <c r="A840" s="1" t="n"/>
      <c r="B840" s="20" t="n"/>
      <c r="C840" s="21" t="n"/>
      <c r="D840" s="22" t="n"/>
      <c r="E840" s="23" t="n"/>
      <c r="F840" s="22" t="n"/>
      <c r="G840" s="14">
        <f>IF(OR(B840="",E840="",J840="",K840=""),"",IF(E840&lt;J840,"Below",IF(E840&gt;K840,"Above","In range")))</f>
        <v/>
      </c>
      <c r="H840" s="1" t="n"/>
      <c r="J840">
        <f>IF(M840="","",IF(INDEX(Settings!$C$10:$C$18,M840)="","",INDEX(Settings!$C$10:$C$18,M840)))</f>
        <v/>
      </c>
      <c r="K840">
        <f>IF(M840="","",IF(INDEX(Settings!$D$10:$D$18,M840)="","",INDEX(Settings!$D$10:$D$18,M840)))</f>
        <v/>
      </c>
      <c r="L840">
        <f>IF(OR(B840="",E840=""),"",B840+MOD(N(C840),1)+ROW()/10000000)</f>
        <v/>
      </c>
      <c r="M840">
        <f>IF(D840="","",IFERROR(MATCH(D840,Settings!$B$10:$B$18,0),""))</f>
        <v/>
      </c>
      <c r="N840">
        <f>IF(OR(B840="",E840="",M840=""),"",IF(AND(B840&gt;=Settings!$C$6,B840&lt;=Settings!$C$7),M840*10000+E840,""))</f>
        <v/>
      </c>
      <c r="O840">
        <f>IF(OR(B840="",E840=""),"",B840*10000+E840)</f>
        <v/>
      </c>
      <c r="P840">
        <f>IF(N840="","",E840)</f>
        <v/>
      </c>
    </row>
    <row r="841">
      <c r="A841" s="1" t="n"/>
      <c r="B841" s="20" t="n"/>
      <c r="C841" s="21" t="n"/>
      <c r="D841" s="22" t="n"/>
      <c r="E841" s="23" t="n"/>
      <c r="F841" s="22" t="n"/>
      <c r="G841" s="14">
        <f>IF(OR(B841="",E841="",J841="",K841=""),"",IF(E841&lt;J841,"Below",IF(E841&gt;K841,"Above","In range")))</f>
        <v/>
      </c>
      <c r="H841" s="1" t="n"/>
      <c r="J841">
        <f>IF(M841="","",IF(INDEX(Settings!$C$10:$C$18,M841)="","",INDEX(Settings!$C$10:$C$18,M841)))</f>
        <v/>
      </c>
      <c r="K841">
        <f>IF(M841="","",IF(INDEX(Settings!$D$10:$D$18,M841)="","",INDEX(Settings!$D$10:$D$18,M841)))</f>
        <v/>
      </c>
      <c r="L841">
        <f>IF(OR(B841="",E841=""),"",B841+MOD(N(C841),1)+ROW()/10000000)</f>
        <v/>
      </c>
      <c r="M841">
        <f>IF(D841="","",IFERROR(MATCH(D841,Settings!$B$10:$B$18,0),""))</f>
        <v/>
      </c>
      <c r="N841">
        <f>IF(OR(B841="",E841="",M841=""),"",IF(AND(B841&gt;=Settings!$C$6,B841&lt;=Settings!$C$7),M841*10000+E841,""))</f>
        <v/>
      </c>
      <c r="O841">
        <f>IF(OR(B841="",E841=""),"",B841*10000+E841)</f>
        <v/>
      </c>
      <c r="P841">
        <f>IF(N841="","",E841)</f>
        <v/>
      </c>
    </row>
    <row r="842">
      <c r="A842" s="1" t="n"/>
      <c r="B842" s="20" t="n"/>
      <c r="C842" s="21" t="n"/>
      <c r="D842" s="22" t="n"/>
      <c r="E842" s="23" t="n"/>
      <c r="F842" s="22" t="n"/>
      <c r="G842" s="14">
        <f>IF(OR(B842="",E842="",J842="",K842=""),"",IF(E842&lt;J842,"Below",IF(E842&gt;K842,"Above","In range")))</f>
        <v/>
      </c>
      <c r="H842" s="1" t="n"/>
      <c r="J842">
        <f>IF(M842="","",IF(INDEX(Settings!$C$10:$C$18,M842)="","",INDEX(Settings!$C$10:$C$18,M842)))</f>
        <v/>
      </c>
      <c r="K842">
        <f>IF(M842="","",IF(INDEX(Settings!$D$10:$D$18,M842)="","",INDEX(Settings!$D$10:$D$18,M842)))</f>
        <v/>
      </c>
      <c r="L842">
        <f>IF(OR(B842="",E842=""),"",B842+MOD(N(C842),1)+ROW()/10000000)</f>
        <v/>
      </c>
      <c r="M842">
        <f>IF(D842="","",IFERROR(MATCH(D842,Settings!$B$10:$B$18,0),""))</f>
        <v/>
      </c>
      <c r="N842">
        <f>IF(OR(B842="",E842="",M842=""),"",IF(AND(B842&gt;=Settings!$C$6,B842&lt;=Settings!$C$7),M842*10000+E842,""))</f>
        <v/>
      </c>
      <c r="O842">
        <f>IF(OR(B842="",E842=""),"",B842*10000+E842)</f>
        <v/>
      </c>
      <c r="P842">
        <f>IF(N842="","",E842)</f>
        <v/>
      </c>
    </row>
    <row r="843">
      <c r="A843" s="1" t="n"/>
      <c r="B843" s="20" t="n"/>
      <c r="C843" s="21" t="n"/>
      <c r="D843" s="22" t="n"/>
      <c r="E843" s="23" t="n"/>
      <c r="F843" s="22" t="n"/>
      <c r="G843" s="14">
        <f>IF(OR(B843="",E843="",J843="",K843=""),"",IF(E843&lt;J843,"Below",IF(E843&gt;K843,"Above","In range")))</f>
        <v/>
      </c>
      <c r="H843" s="1" t="n"/>
      <c r="J843">
        <f>IF(M843="","",IF(INDEX(Settings!$C$10:$C$18,M843)="","",INDEX(Settings!$C$10:$C$18,M843)))</f>
        <v/>
      </c>
      <c r="K843">
        <f>IF(M843="","",IF(INDEX(Settings!$D$10:$D$18,M843)="","",INDEX(Settings!$D$10:$D$18,M843)))</f>
        <v/>
      </c>
      <c r="L843">
        <f>IF(OR(B843="",E843=""),"",B843+MOD(N(C843),1)+ROW()/10000000)</f>
        <v/>
      </c>
      <c r="M843">
        <f>IF(D843="","",IFERROR(MATCH(D843,Settings!$B$10:$B$18,0),""))</f>
        <v/>
      </c>
      <c r="N843">
        <f>IF(OR(B843="",E843="",M843=""),"",IF(AND(B843&gt;=Settings!$C$6,B843&lt;=Settings!$C$7),M843*10000+E843,""))</f>
        <v/>
      </c>
      <c r="O843">
        <f>IF(OR(B843="",E843=""),"",B843*10000+E843)</f>
        <v/>
      </c>
      <c r="P843">
        <f>IF(N843="","",E843)</f>
        <v/>
      </c>
    </row>
    <row r="844">
      <c r="A844" s="1" t="n"/>
      <c r="B844" s="20" t="n"/>
      <c r="C844" s="21" t="n"/>
      <c r="D844" s="22" t="n"/>
      <c r="E844" s="23" t="n"/>
      <c r="F844" s="22" t="n"/>
      <c r="G844" s="14">
        <f>IF(OR(B844="",E844="",J844="",K844=""),"",IF(E844&lt;J844,"Below",IF(E844&gt;K844,"Above","In range")))</f>
        <v/>
      </c>
      <c r="H844" s="1" t="n"/>
      <c r="J844">
        <f>IF(M844="","",IF(INDEX(Settings!$C$10:$C$18,M844)="","",INDEX(Settings!$C$10:$C$18,M844)))</f>
        <v/>
      </c>
      <c r="K844">
        <f>IF(M844="","",IF(INDEX(Settings!$D$10:$D$18,M844)="","",INDEX(Settings!$D$10:$D$18,M844)))</f>
        <v/>
      </c>
      <c r="L844">
        <f>IF(OR(B844="",E844=""),"",B844+MOD(N(C844),1)+ROW()/10000000)</f>
        <v/>
      </c>
      <c r="M844">
        <f>IF(D844="","",IFERROR(MATCH(D844,Settings!$B$10:$B$18,0),""))</f>
        <v/>
      </c>
      <c r="N844">
        <f>IF(OR(B844="",E844="",M844=""),"",IF(AND(B844&gt;=Settings!$C$6,B844&lt;=Settings!$C$7),M844*10000+E844,""))</f>
        <v/>
      </c>
      <c r="O844">
        <f>IF(OR(B844="",E844=""),"",B844*10000+E844)</f>
        <v/>
      </c>
      <c r="P844">
        <f>IF(N844="","",E844)</f>
        <v/>
      </c>
    </row>
    <row r="845">
      <c r="A845" s="1" t="n"/>
      <c r="B845" s="20" t="n"/>
      <c r="C845" s="21" t="n"/>
      <c r="D845" s="22" t="n"/>
      <c r="E845" s="23" t="n"/>
      <c r="F845" s="22" t="n"/>
      <c r="G845" s="14">
        <f>IF(OR(B845="",E845="",J845="",K845=""),"",IF(E845&lt;J845,"Below",IF(E845&gt;K845,"Above","In range")))</f>
        <v/>
      </c>
      <c r="H845" s="1" t="n"/>
      <c r="J845">
        <f>IF(M845="","",IF(INDEX(Settings!$C$10:$C$18,M845)="","",INDEX(Settings!$C$10:$C$18,M845)))</f>
        <v/>
      </c>
      <c r="K845">
        <f>IF(M845="","",IF(INDEX(Settings!$D$10:$D$18,M845)="","",INDEX(Settings!$D$10:$D$18,M845)))</f>
        <v/>
      </c>
      <c r="L845">
        <f>IF(OR(B845="",E845=""),"",B845+MOD(N(C845),1)+ROW()/10000000)</f>
        <v/>
      </c>
      <c r="M845">
        <f>IF(D845="","",IFERROR(MATCH(D845,Settings!$B$10:$B$18,0),""))</f>
        <v/>
      </c>
      <c r="N845">
        <f>IF(OR(B845="",E845="",M845=""),"",IF(AND(B845&gt;=Settings!$C$6,B845&lt;=Settings!$C$7),M845*10000+E845,""))</f>
        <v/>
      </c>
      <c r="O845">
        <f>IF(OR(B845="",E845=""),"",B845*10000+E845)</f>
        <v/>
      </c>
      <c r="P845">
        <f>IF(N845="","",E845)</f>
        <v/>
      </c>
    </row>
    <row r="846">
      <c r="A846" s="1" t="n"/>
      <c r="B846" s="20" t="n"/>
      <c r="C846" s="21" t="n"/>
      <c r="D846" s="22" t="n"/>
      <c r="E846" s="23" t="n"/>
      <c r="F846" s="22" t="n"/>
      <c r="G846" s="14">
        <f>IF(OR(B846="",E846="",J846="",K846=""),"",IF(E846&lt;J846,"Below",IF(E846&gt;K846,"Above","In range")))</f>
        <v/>
      </c>
      <c r="H846" s="1" t="n"/>
      <c r="J846">
        <f>IF(M846="","",IF(INDEX(Settings!$C$10:$C$18,M846)="","",INDEX(Settings!$C$10:$C$18,M846)))</f>
        <v/>
      </c>
      <c r="K846">
        <f>IF(M846="","",IF(INDEX(Settings!$D$10:$D$18,M846)="","",INDEX(Settings!$D$10:$D$18,M846)))</f>
        <v/>
      </c>
      <c r="L846">
        <f>IF(OR(B846="",E846=""),"",B846+MOD(N(C846),1)+ROW()/10000000)</f>
        <v/>
      </c>
      <c r="M846">
        <f>IF(D846="","",IFERROR(MATCH(D846,Settings!$B$10:$B$18,0),""))</f>
        <v/>
      </c>
      <c r="N846">
        <f>IF(OR(B846="",E846="",M846=""),"",IF(AND(B846&gt;=Settings!$C$6,B846&lt;=Settings!$C$7),M846*10000+E846,""))</f>
        <v/>
      </c>
      <c r="O846">
        <f>IF(OR(B846="",E846=""),"",B846*10000+E846)</f>
        <v/>
      </c>
      <c r="P846">
        <f>IF(N846="","",E846)</f>
        <v/>
      </c>
    </row>
    <row r="847">
      <c r="A847" s="1" t="n"/>
      <c r="B847" s="20" t="n"/>
      <c r="C847" s="21" t="n"/>
      <c r="D847" s="22" t="n"/>
      <c r="E847" s="23" t="n"/>
      <c r="F847" s="22" t="n"/>
      <c r="G847" s="14">
        <f>IF(OR(B847="",E847="",J847="",K847=""),"",IF(E847&lt;J847,"Below",IF(E847&gt;K847,"Above","In range")))</f>
        <v/>
      </c>
      <c r="H847" s="1" t="n"/>
      <c r="J847">
        <f>IF(M847="","",IF(INDEX(Settings!$C$10:$C$18,M847)="","",INDEX(Settings!$C$10:$C$18,M847)))</f>
        <v/>
      </c>
      <c r="K847">
        <f>IF(M847="","",IF(INDEX(Settings!$D$10:$D$18,M847)="","",INDEX(Settings!$D$10:$D$18,M847)))</f>
        <v/>
      </c>
      <c r="L847">
        <f>IF(OR(B847="",E847=""),"",B847+MOD(N(C847),1)+ROW()/10000000)</f>
        <v/>
      </c>
      <c r="M847">
        <f>IF(D847="","",IFERROR(MATCH(D847,Settings!$B$10:$B$18,0),""))</f>
        <v/>
      </c>
      <c r="N847">
        <f>IF(OR(B847="",E847="",M847=""),"",IF(AND(B847&gt;=Settings!$C$6,B847&lt;=Settings!$C$7),M847*10000+E847,""))</f>
        <v/>
      </c>
      <c r="O847">
        <f>IF(OR(B847="",E847=""),"",B847*10000+E847)</f>
        <v/>
      </c>
      <c r="P847">
        <f>IF(N847="","",E847)</f>
        <v/>
      </c>
    </row>
    <row r="848">
      <c r="A848" s="1" t="n"/>
      <c r="B848" s="20" t="n"/>
      <c r="C848" s="21" t="n"/>
      <c r="D848" s="22" t="n"/>
      <c r="E848" s="23" t="n"/>
      <c r="F848" s="22" t="n"/>
      <c r="G848" s="14">
        <f>IF(OR(B848="",E848="",J848="",K848=""),"",IF(E848&lt;J848,"Below",IF(E848&gt;K848,"Above","In range")))</f>
        <v/>
      </c>
      <c r="H848" s="1" t="n"/>
      <c r="J848">
        <f>IF(M848="","",IF(INDEX(Settings!$C$10:$C$18,M848)="","",INDEX(Settings!$C$10:$C$18,M848)))</f>
        <v/>
      </c>
      <c r="K848">
        <f>IF(M848="","",IF(INDEX(Settings!$D$10:$D$18,M848)="","",INDEX(Settings!$D$10:$D$18,M848)))</f>
        <v/>
      </c>
      <c r="L848">
        <f>IF(OR(B848="",E848=""),"",B848+MOD(N(C848),1)+ROW()/10000000)</f>
        <v/>
      </c>
      <c r="M848">
        <f>IF(D848="","",IFERROR(MATCH(D848,Settings!$B$10:$B$18,0),""))</f>
        <v/>
      </c>
      <c r="N848">
        <f>IF(OR(B848="",E848="",M848=""),"",IF(AND(B848&gt;=Settings!$C$6,B848&lt;=Settings!$C$7),M848*10000+E848,""))</f>
        <v/>
      </c>
      <c r="O848">
        <f>IF(OR(B848="",E848=""),"",B848*10000+E848)</f>
        <v/>
      </c>
      <c r="P848">
        <f>IF(N848="","",E848)</f>
        <v/>
      </c>
    </row>
    <row r="849">
      <c r="A849" s="1" t="n"/>
      <c r="B849" s="20" t="n"/>
      <c r="C849" s="21" t="n"/>
      <c r="D849" s="22" t="n"/>
      <c r="E849" s="23" t="n"/>
      <c r="F849" s="22" t="n"/>
      <c r="G849" s="14">
        <f>IF(OR(B849="",E849="",J849="",K849=""),"",IF(E849&lt;J849,"Below",IF(E849&gt;K849,"Above","In range")))</f>
        <v/>
      </c>
      <c r="H849" s="1" t="n"/>
      <c r="J849">
        <f>IF(M849="","",IF(INDEX(Settings!$C$10:$C$18,M849)="","",INDEX(Settings!$C$10:$C$18,M849)))</f>
        <v/>
      </c>
      <c r="K849">
        <f>IF(M849="","",IF(INDEX(Settings!$D$10:$D$18,M849)="","",INDEX(Settings!$D$10:$D$18,M849)))</f>
        <v/>
      </c>
      <c r="L849">
        <f>IF(OR(B849="",E849=""),"",B849+MOD(N(C849),1)+ROW()/10000000)</f>
        <v/>
      </c>
      <c r="M849">
        <f>IF(D849="","",IFERROR(MATCH(D849,Settings!$B$10:$B$18,0),""))</f>
        <v/>
      </c>
      <c r="N849">
        <f>IF(OR(B849="",E849="",M849=""),"",IF(AND(B849&gt;=Settings!$C$6,B849&lt;=Settings!$C$7),M849*10000+E849,""))</f>
        <v/>
      </c>
      <c r="O849">
        <f>IF(OR(B849="",E849=""),"",B849*10000+E849)</f>
        <v/>
      </c>
      <c r="P849">
        <f>IF(N849="","",E849)</f>
        <v/>
      </c>
    </row>
    <row r="850">
      <c r="A850" s="1" t="n"/>
      <c r="B850" s="20" t="n"/>
      <c r="C850" s="21" t="n"/>
      <c r="D850" s="22" t="n"/>
      <c r="E850" s="23" t="n"/>
      <c r="F850" s="22" t="n"/>
      <c r="G850" s="14">
        <f>IF(OR(B850="",E850="",J850="",K850=""),"",IF(E850&lt;J850,"Below",IF(E850&gt;K850,"Above","In range")))</f>
        <v/>
      </c>
      <c r="H850" s="1" t="n"/>
      <c r="J850">
        <f>IF(M850="","",IF(INDEX(Settings!$C$10:$C$18,M850)="","",INDEX(Settings!$C$10:$C$18,M850)))</f>
        <v/>
      </c>
      <c r="K850">
        <f>IF(M850="","",IF(INDEX(Settings!$D$10:$D$18,M850)="","",INDEX(Settings!$D$10:$D$18,M850)))</f>
        <v/>
      </c>
      <c r="L850">
        <f>IF(OR(B850="",E850=""),"",B850+MOD(N(C850),1)+ROW()/10000000)</f>
        <v/>
      </c>
      <c r="M850">
        <f>IF(D850="","",IFERROR(MATCH(D850,Settings!$B$10:$B$18,0),""))</f>
        <v/>
      </c>
      <c r="N850">
        <f>IF(OR(B850="",E850="",M850=""),"",IF(AND(B850&gt;=Settings!$C$6,B850&lt;=Settings!$C$7),M850*10000+E850,""))</f>
        <v/>
      </c>
      <c r="O850">
        <f>IF(OR(B850="",E850=""),"",B850*10000+E850)</f>
        <v/>
      </c>
      <c r="P850">
        <f>IF(N850="","",E850)</f>
        <v/>
      </c>
    </row>
    <row r="851">
      <c r="A851" s="1" t="n"/>
      <c r="B851" s="20" t="n"/>
      <c r="C851" s="21" t="n"/>
      <c r="D851" s="22" t="n"/>
      <c r="E851" s="23" t="n"/>
      <c r="F851" s="22" t="n"/>
      <c r="G851" s="14">
        <f>IF(OR(B851="",E851="",J851="",K851=""),"",IF(E851&lt;J851,"Below",IF(E851&gt;K851,"Above","In range")))</f>
        <v/>
      </c>
      <c r="H851" s="1" t="n"/>
      <c r="J851">
        <f>IF(M851="","",IF(INDEX(Settings!$C$10:$C$18,M851)="","",INDEX(Settings!$C$10:$C$18,M851)))</f>
        <v/>
      </c>
      <c r="K851">
        <f>IF(M851="","",IF(INDEX(Settings!$D$10:$D$18,M851)="","",INDEX(Settings!$D$10:$D$18,M851)))</f>
        <v/>
      </c>
      <c r="L851">
        <f>IF(OR(B851="",E851=""),"",B851+MOD(N(C851),1)+ROW()/10000000)</f>
        <v/>
      </c>
      <c r="M851">
        <f>IF(D851="","",IFERROR(MATCH(D851,Settings!$B$10:$B$18,0),""))</f>
        <v/>
      </c>
      <c r="N851">
        <f>IF(OR(B851="",E851="",M851=""),"",IF(AND(B851&gt;=Settings!$C$6,B851&lt;=Settings!$C$7),M851*10000+E851,""))</f>
        <v/>
      </c>
      <c r="O851">
        <f>IF(OR(B851="",E851=""),"",B851*10000+E851)</f>
        <v/>
      </c>
      <c r="P851">
        <f>IF(N851="","",E851)</f>
        <v/>
      </c>
    </row>
    <row r="852">
      <c r="A852" s="1" t="n"/>
      <c r="B852" s="20" t="n"/>
      <c r="C852" s="21" t="n"/>
      <c r="D852" s="22" t="n"/>
      <c r="E852" s="23" t="n"/>
      <c r="F852" s="22" t="n"/>
      <c r="G852" s="14">
        <f>IF(OR(B852="",E852="",J852="",K852=""),"",IF(E852&lt;J852,"Below",IF(E852&gt;K852,"Above","In range")))</f>
        <v/>
      </c>
      <c r="H852" s="1" t="n"/>
      <c r="J852">
        <f>IF(M852="","",IF(INDEX(Settings!$C$10:$C$18,M852)="","",INDEX(Settings!$C$10:$C$18,M852)))</f>
        <v/>
      </c>
      <c r="K852">
        <f>IF(M852="","",IF(INDEX(Settings!$D$10:$D$18,M852)="","",INDEX(Settings!$D$10:$D$18,M852)))</f>
        <v/>
      </c>
      <c r="L852">
        <f>IF(OR(B852="",E852=""),"",B852+MOD(N(C852),1)+ROW()/10000000)</f>
        <v/>
      </c>
      <c r="M852">
        <f>IF(D852="","",IFERROR(MATCH(D852,Settings!$B$10:$B$18,0),""))</f>
        <v/>
      </c>
      <c r="N852">
        <f>IF(OR(B852="",E852="",M852=""),"",IF(AND(B852&gt;=Settings!$C$6,B852&lt;=Settings!$C$7),M852*10000+E852,""))</f>
        <v/>
      </c>
      <c r="O852">
        <f>IF(OR(B852="",E852=""),"",B852*10000+E852)</f>
        <v/>
      </c>
      <c r="P852">
        <f>IF(N852="","",E852)</f>
        <v/>
      </c>
    </row>
    <row r="853">
      <c r="A853" s="1" t="n"/>
      <c r="B853" s="20" t="n"/>
      <c r="C853" s="21" t="n"/>
      <c r="D853" s="22" t="n"/>
      <c r="E853" s="23" t="n"/>
      <c r="F853" s="22" t="n"/>
      <c r="G853" s="14">
        <f>IF(OR(B853="",E853="",J853="",K853=""),"",IF(E853&lt;J853,"Below",IF(E853&gt;K853,"Above","In range")))</f>
        <v/>
      </c>
      <c r="H853" s="1" t="n"/>
      <c r="J853">
        <f>IF(M853="","",IF(INDEX(Settings!$C$10:$C$18,M853)="","",INDEX(Settings!$C$10:$C$18,M853)))</f>
        <v/>
      </c>
      <c r="K853">
        <f>IF(M853="","",IF(INDEX(Settings!$D$10:$D$18,M853)="","",INDEX(Settings!$D$10:$D$18,M853)))</f>
        <v/>
      </c>
      <c r="L853">
        <f>IF(OR(B853="",E853=""),"",B853+MOD(N(C853),1)+ROW()/10000000)</f>
        <v/>
      </c>
      <c r="M853">
        <f>IF(D853="","",IFERROR(MATCH(D853,Settings!$B$10:$B$18,0),""))</f>
        <v/>
      </c>
      <c r="N853">
        <f>IF(OR(B853="",E853="",M853=""),"",IF(AND(B853&gt;=Settings!$C$6,B853&lt;=Settings!$C$7),M853*10000+E853,""))</f>
        <v/>
      </c>
      <c r="O853">
        <f>IF(OR(B853="",E853=""),"",B853*10000+E853)</f>
        <v/>
      </c>
      <c r="P853">
        <f>IF(N853="","",E853)</f>
        <v/>
      </c>
    </row>
    <row r="854">
      <c r="A854" s="1" t="n"/>
      <c r="B854" s="20" t="n"/>
      <c r="C854" s="21" t="n"/>
      <c r="D854" s="22" t="n"/>
      <c r="E854" s="23" t="n"/>
      <c r="F854" s="22" t="n"/>
      <c r="G854" s="14">
        <f>IF(OR(B854="",E854="",J854="",K854=""),"",IF(E854&lt;J854,"Below",IF(E854&gt;K854,"Above","In range")))</f>
        <v/>
      </c>
      <c r="H854" s="1" t="n"/>
      <c r="J854">
        <f>IF(M854="","",IF(INDEX(Settings!$C$10:$C$18,M854)="","",INDEX(Settings!$C$10:$C$18,M854)))</f>
        <v/>
      </c>
      <c r="K854">
        <f>IF(M854="","",IF(INDEX(Settings!$D$10:$D$18,M854)="","",INDEX(Settings!$D$10:$D$18,M854)))</f>
        <v/>
      </c>
      <c r="L854">
        <f>IF(OR(B854="",E854=""),"",B854+MOD(N(C854),1)+ROW()/10000000)</f>
        <v/>
      </c>
      <c r="M854">
        <f>IF(D854="","",IFERROR(MATCH(D854,Settings!$B$10:$B$18,0),""))</f>
        <v/>
      </c>
      <c r="N854">
        <f>IF(OR(B854="",E854="",M854=""),"",IF(AND(B854&gt;=Settings!$C$6,B854&lt;=Settings!$C$7),M854*10000+E854,""))</f>
        <v/>
      </c>
      <c r="O854">
        <f>IF(OR(B854="",E854=""),"",B854*10000+E854)</f>
        <v/>
      </c>
      <c r="P854">
        <f>IF(N854="","",E854)</f>
        <v/>
      </c>
    </row>
    <row r="855">
      <c r="A855" s="1" t="n"/>
      <c r="B855" s="20" t="n"/>
      <c r="C855" s="21" t="n"/>
      <c r="D855" s="22" t="n"/>
      <c r="E855" s="23" t="n"/>
      <c r="F855" s="22" t="n"/>
      <c r="G855" s="14">
        <f>IF(OR(B855="",E855="",J855="",K855=""),"",IF(E855&lt;J855,"Below",IF(E855&gt;K855,"Above","In range")))</f>
        <v/>
      </c>
      <c r="H855" s="1" t="n"/>
      <c r="J855">
        <f>IF(M855="","",IF(INDEX(Settings!$C$10:$C$18,M855)="","",INDEX(Settings!$C$10:$C$18,M855)))</f>
        <v/>
      </c>
      <c r="K855">
        <f>IF(M855="","",IF(INDEX(Settings!$D$10:$D$18,M855)="","",INDEX(Settings!$D$10:$D$18,M855)))</f>
        <v/>
      </c>
      <c r="L855">
        <f>IF(OR(B855="",E855=""),"",B855+MOD(N(C855),1)+ROW()/10000000)</f>
        <v/>
      </c>
      <c r="M855">
        <f>IF(D855="","",IFERROR(MATCH(D855,Settings!$B$10:$B$18,0),""))</f>
        <v/>
      </c>
      <c r="N855">
        <f>IF(OR(B855="",E855="",M855=""),"",IF(AND(B855&gt;=Settings!$C$6,B855&lt;=Settings!$C$7),M855*10000+E855,""))</f>
        <v/>
      </c>
      <c r="O855">
        <f>IF(OR(B855="",E855=""),"",B855*10000+E855)</f>
        <v/>
      </c>
      <c r="P855">
        <f>IF(N855="","",E855)</f>
        <v/>
      </c>
    </row>
    <row r="856">
      <c r="A856" s="1" t="n"/>
      <c r="B856" s="20" t="n"/>
      <c r="C856" s="21" t="n"/>
      <c r="D856" s="22" t="n"/>
      <c r="E856" s="23" t="n"/>
      <c r="F856" s="22" t="n"/>
      <c r="G856" s="14">
        <f>IF(OR(B856="",E856="",J856="",K856=""),"",IF(E856&lt;J856,"Below",IF(E856&gt;K856,"Above","In range")))</f>
        <v/>
      </c>
      <c r="H856" s="1" t="n"/>
      <c r="J856">
        <f>IF(M856="","",IF(INDEX(Settings!$C$10:$C$18,M856)="","",INDEX(Settings!$C$10:$C$18,M856)))</f>
        <v/>
      </c>
      <c r="K856">
        <f>IF(M856="","",IF(INDEX(Settings!$D$10:$D$18,M856)="","",INDEX(Settings!$D$10:$D$18,M856)))</f>
        <v/>
      </c>
      <c r="L856">
        <f>IF(OR(B856="",E856=""),"",B856+MOD(N(C856),1)+ROW()/10000000)</f>
        <v/>
      </c>
      <c r="M856">
        <f>IF(D856="","",IFERROR(MATCH(D856,Settings!$B$10:$B$18,0),""))</f>
        <v/>
      </c>
      <c r="N856">
        <f>IF(OR(B856="",E856="",M856=""),"",IF(AND(B856&gt;=Settings!$C$6,B856&lt;=Settings!$C$7),M856*10000+E856,""))</f>
        <v/>
      </c>
      <c r="O856">
        <f>IF(OR(B856="",E856=""),"",B856*10000+E856)</f>
        <v/>
      </c>
      <c r="P856">
        <f>IF(N856="","",E856)</f>
        <v/>
      </c>
    </row>
    <row r="857">
      <c r="A857" s="1" t="n"/>
      <c r="B857" s="20" t="n"/>
      <c r="C857" s="21" t="n"/>
      <c r="D857" s="22" t="n"/>
      <c r="E857" s="23" t="n"/>
      <c r="F857" s="22" t="n"/>
      <c r="G857" s="14">
        <f>IF(OR(B857="",E857="",J857="",K857=""),"",IF(E857&lt;J857,"Below",IF(E857&gt;K857,"Above","In range")))</f>
        <v/>
      </c>
      <c r="H857" s="1" t="n"/>
      <c r="J857">
        <f>IF(M857="","",IF(INDEX(Settings!$C$10:$C$18,M857)="","",INDEX(Settings!$C$10:$C$18,M857)))</f>
        <v/>
      </c>
      <c r="K857">
        <f>IF(M857="","",IF(INDEX(Settings!$D$10:$D$18,M857)="","",INDEX(Settings!$D$10:$D$18,M857)))</f>
        <v/>
      </c>
      <c r="L857">
        <f>IF(OR(B857="",E857=""),"",B857+MOD(N(C857),1)+ROW()/10000000)</f>
        <v/>
      </c>
      <c r="M857">
        <f>IF(D857="","",IFERROR(MATCH(D857,Settings!$B$10:$B$18,0),""))</f>
        <v/>
      </c>
      <c r="N857">
        <f>IF(OR(B857="",E857="",M857=""),"",IF(AND(B857&gt;=Settings!$C$6,B857&lt;=Settings!$C$7),M857*10000+E857,""))</f>
        <v/>
      </c>
      <c r="O857">
        <f>IF(OR(B857="",E857=""),"",B857*10000+E857)</f>
        <v/>
      </c>
      <c r="P857">
        <f>IF(N857="","",E857)</f>
        <v/>
      </c>
    </row>
    <row r="858">
      <c r="A858" s="1" t="n"/>
      <c r="B858" s="20" t="n"/>
      <c r="C858" s="21" t="n"/>
      <c r="D858" s="22" t="n"/>
      <c r="E858" s="23" t="n"/>
      <c r="F858" s="22" t="n"/>
      <c r="G858" s="14">
        <f>IF(OR(B858="",E858="",J858="",K858=""),"",IF(E858&lt;J858,"Below",IF(E858&gt;K858,"Above","In range")))</f>
        <v/>
      </c>
      <c r="H858" s="1" t="n"/>
      <c r="J858">
        <f>IF(M858="","",IF(INDEX(Settings!$C$10:$C$18,M858)="","",INDEX(Settings!$C$10:$C$18,M858)))</f>
        <v/>
      </c>
      <c r="K858">
        <f>IF(M858="","",IF(INDEX(Settings!$D$10:$D$18,M858)="","",INDEX(Settings!$D$10:$D$18,M858)))</f>
        <v/>
      </c>
      <c r="L858">
        <f>IF(OR(B858="",E858=""),"",B858+MOD(N(C858),1)+ROW()/10000000)</f>
        <v/>
      </c>
      <c r="M858">
        <f>IF(D858="","",IFERROR(MATCH(D858,Settings!$B$10:$B$18,0),""))</f>
        <v/>
      </c>
      <c r="N858">
        <f>IF(OR(B858="",E858="",M858=""),"",IF(AND(B858&gt;=Settings!$C$6,B858&lt;=Settings!$C$7),M858*10000+E858,""))</f>
        <v/>
      </c>
      <c r="O858">
        <f>IF(OR(B858="",E858=""),"",B858*10000+E858)</f>
        <v/>
      </c>
      <c r="P858">
        <f>IF(N858="","",E858)</f>
        <v/>
      </c>
    </row>
    <row r="859">
      <c r="A859" s="1" t="n"/>
      <c r="B859" s="20" t="n"/>
      <c r="C859" s="21" t="n"/>
      <c r="D859" s="22" t="n"/>
      <c r="E859" s="23" t="n"/>
      <c r="F859" s="22" t="n"/>
      <c r="G859" s="14">
        <f>IF(OR(B859="",E859="",J859="",K859=""),"",IF(E859&lt;J859,"Below",IF(E859&gt;K859,"Above","In range")))</f>
        <v/>
      </c>
      <c r="H859" s="1" t="n"/>
      <c r="J859">
        <f>IF(M859="","",IF(INDEX(Settings!$C$10:$C$18,M859)="","",INDEX(Settings!$C$10:$C$18,M859)))</f>
        <v/>
      </c>
      <c r="K859">
        <f>IF(M859="","",IF(INDEX(Settings!$D$10:$D$18,M859)="","",INDEX(Settings!$D$10:$D$18,M859)))</f>
        <v/>
      </c>
      <c r="L859">
        <f>IF(OR(B859="",E859=""),"",B859+MOD(N(C859),1)+ROW()/10000000)</f>
        <v/>
      </c>
      <c r="M859">
        <f>IF(D859="","",IFERROR(MATCH(D859,Settings!$B$10:$B$18,0),""))</f>
        <v/>
      </c>
      <c r="N859">
        <f>IF(OR(B859="",E859="",M859=""),"",IF(AND(B859&gt;=Settings!$C$6,B859&lt;=Settings!$C$7),M859*10000+E859,""))</f>
        <v/>
      </c>
      <c r="O859">
        <f>IF(OR(B859="",E859=""),"",B859*10000+E859)</f>
        <v/>
      </c>
      <c r="P859">
        <f>IF(N859="","",E859)</f>
        <v/>
      </c>
    </row>
    <row r="860">
      <c r="A860" s="1" t="n"/>
      <c r="B860" s="20" t="n"/>
      <c r="C860" s="21" t="n"/>
      <c r="D860" s="22" t="n"/>
      <c r="E860" s="23" t="n"/>
      <c r="F860" s="22" t="n"/>
      <c r="G860" s="14">
        <f>IF(OR(B860="",E860="",J860="",K860=""),"",IF(E860&lt;J860,"Below",IF(E860&gt;K860,"Above","In range")))</f>
        <v/>
      </c>
      <c r="H860" s="1" t="n"/>
      <c r="J860">
        <f>IF(M860="","",IF(INDEX(Settings!$C$10:$C$18,M860)="","",INDEX(Settings!$C$10:$C$18,M860)))</f>
        <v/>
      </c>
      <c r="K860">
        <f>IF(M860="","",IF(INDEX(Settings!$D$10:$D$18,M860)="","",INDEX(Settings!$D$10:$D$18,M860)))</f>
        <v/>
      </c>
      <c r="L860">
        <f>IF(OR(B860="",E860=""),"",B860+MOD(N(C860),1)+ROW()/10000000)</f>
        <v/>
      </c>
      <c r="M860">
        <f>IF(D860="","",IFERROR(MATCH(D860,Settings!$B$10:$B$18,0),""))</f>
        <v/>
      </c>
      <c r="N860">
        <f>IF(OR(B860="",E860="",M860=""),"",IF(AND(B860&gt;=Settings!$C$6,B860&lt;=Settings!$C$7),M860*10000+E860,""))</f>
        <v/>
      </c>
      <c r="O860">
        <f>IF(OR(B860="",E860=""),"",B860*10000+E860)</f>
        <v/>
      </c>
      <c r="P860">
        <f>IF(N860="","",E860)</f>
        <v/>
      </c>
    </row>
    <row r="861">
      <c r="A861" s="1" t="n"/>
      <c r="B861" s="20" t="n"/>
      <c r="C861" s="21" t="n"/>
      <c r="D861" s="22" t="n"/>
      <c r="E861" s="23" t="n"/>
      <c r="F861" s="22" t="n"/>
      <c r="G861" s="14">
        <f>IF(OR(B861="",E861="",J861="",K861=""),"",IF(E861&lt;J861,"Below",IF(E861&gt;K861,"Above","In range")))</f>
        <v/>
      </c>
      <c r="H861" s="1" t="n"/>
      <c r="J861">
        <f>IF(M861="","",IF(INDEX(Settings!$C$10:$C$18,M861)="","",INDEX(Settings!$C$10:$C$18,M861)))</f>
        <v/>
      </c>
      <c r="K861">
        <f>IF(M861="","",IF(INDEX(Settings!$D$10:$D$18,M861)="","",INDEX(Settings!$D$10:$D$18,M861)))</f>
        <v/>
      </c>
      <c r="L861">
        <f>IF(OR(B861="",E861=""),"",B861+MOD(N(C861),1)+ROW()/10000000)</f>
        <v/>
      </c>
      <c r="M861">
        <f>IF(D861="","",IFERROR(MATCH(D861,Settings!$B$10:$B$18,0),""))</f>
        <v/>
      </c>
      <c r="N861">
        <f>IF(OR(B861="",E861="",M861=""),"",IF(AND(B861&gt;=Settings!$C$6,B861&lt;=Settings!$C$7),M861*10000+E861,""))</f>
        <v/>
      </c>
      <c r="O861">
        <f>IF(OR(B861="",E861=""),"",B861*10000+E861)</f>
        <v/>
      </c>
      <c r="P861">
        <f>IF(N861="","",E861)</f>
        <v/>
      </c>
    </row>
    <row r="862">
      <c r="A862" s="1" t="n"/>
      <c r="B862" s="20" t="n"/>
      <c r="C862" s="21" t="n"/>
      <c r="D862" s="22" t="n"/>
      <c r="E862" s="23" t="n"/>
      <c r="F862" s="22" t="n"/>
      <c r="G862" s="14">
        <f>IF(OR(B862="",E862="",J862="",K862=""),"",IF(E862&lt;J862,"Below",IF(E862&gt;K862,"Above","In range")))</f>
        <v/>
      </c>
      <c r="H862" s="1" t="n"/>
      <c r="J862">
        <f>IF(M862="","",IF(INDEX(Settings!$C$10:$C$18,M862)="","",INDEX(Settings!$C$10:$C$18,M862)))</f>
        <v/>
      </c>
      <c r="K862">
        <f>IF(M862="","",IF(INDEX(Settings!$D$10:$D$18,M862)="","",INDEX(Settings!$D$10:$D$18,M862)))</f>
        <v/>
      </c>
      <c r="L862">
        <f>IF(OR(B862="",E862=""),"",B862+MOD(N(C862),1)+ROW()/10000000)</f>
        <v/>
      </c>
      <c r="M862">
        <f>IF(D862="","",IFERROR(MATCH(D862,Settings!$B$10:$B$18,0),""))</f>
        <v/>
      </c>
      <c r="N862">
        <f>IF(OR(B862="",E862="",M862=""),"",IF(AND(B862&gt;=Settings!$C$6,B862&lt;=Settings!$C$7),M862*10000+E862,""))</f>
        <v/>
      </c>
      <c r="O862">
        <f>IF(OR(B862="",E862=""),"",B862*10000+E862)</f>
        <v/>
      </c>
      <c r="P862">
        <f>IF(N862="","",E862)</f>
        <v/>
      </c>
    </row>
    <row r="863">
      <c r="A863" s="1" t="n"/>
      <c r="B863" s="20" t="n"/>
      <c r="C863" s="21" t="n"/>
      <c r="D863" s="22" t="n"/>
      <c r="E863" s="23" t="n"/>
      <c r="F863" s="22" t="n"/>
      <c r="G863" s="14">
        <f>IF(OR(B863="",E863="",J863="",K863=""),"",IF(E863&lt;J863,"Below",IF(E863&gt;K863,"Above","In range")))</f>
        <v/>
      </c>
      <c r="H863" s="1" t="n"/>
      <c r="J863">
        <f>IF(M863="","",IF(INDEX(Settings!$C$10:$C$18,M863)="","",INDEX(Settings!$C$10:$C$18,M863)))</f>
        <v/>
      </c>
      <c r="K863">
        <f>IF(M863="","",IF(INDEX(Settings!$D$10:$D$18,M863)="","",INDEX(Settings!$D$10:$D$18,M863)))</f>
        <v/>
      </c>
      <c r="L863">
        <f>IF(OR(B863="",E863=""),"",B863+MOD(N(C863),1)+ROW()/10000000)</f>
        <v/>
      </c>
      <c r="M863">
        <f>IF(D863="","",IFERROR(MATCH(D863,Settings!$B$10:$B$18,0),""))</f>
        <v/>
      </c>
      <c r="N863">
        <f>IF(OR(B863="",E863="",M863=""),"",IF(AND(B863&gt;=Settings!$C$6,B863&lt;=Settings!$C$7),M863*10000+E863,""))</f>
        <v/>
      </c>
      <c r="O863">
        <f>IF(OR(B863="",E863=""),"",B863*10000+E863)</f>
        <v/>
      </c>
      <c r="P863">
        <f>IF(N863="","",E863)</f>
        <v/>
      </c>
    </row>
    <row r="864">
      <c r="A864" s="1" t="n"/>
      <c r="B864" s="20" t="n"/>
      <c r="C864" s="21" t="n"/>
      <c r="D864" s="22" t="n"/>
      <c r="E864" s="23" t="n"/>
      <c r="F864" s="22" t="n"/>
      <c r="G864" s="14">
        <f>IF(OR(B864="",E864="",J864="",K864=""),"",IF(E864&lt;J864,"Below",IF(E864&gt;K864,"Above","In range")))</f>
        <v/>
      </c>
      <c r="H864" s="1" t="n"/>
      <c r="J864">
        <f>IF(M864="","",IF(INDEX(Settings!$C$10:$C$18,M864)="","",INDEX(Settings!$C$10:$C$18,M864)))</f>
        <v/>
      </c>
      <c r="K864">
        <f>IF(M864="","",IF(INDEX(Settings!$D$10:$D$18,M864)="","",INDEX(Settings!$D$10:$D$18,M864)))</f>
        <v/>
      </c>
      <c r="L864">
        <f>IF(OR(B864="",E864=""),"",B864+MOD(N(C864),1)+ROW()/10000000)</f>
        <v/>
      </c>
      <c r="M864">
        <f>IF(D864="","",IFERROR(MATCH(D864,Settings!$B$10:$B$18,0),""))</f>
        <v/>
      </c>
      <c r="N864">
        <f>IF(OR(B864="",E864="",M864=""),"",IF(AND(B864&gt;=Settings!$C$6,B864&lt;=Settings!$C$7),M864*10000+E864,""))</f>
        <v/>
      </c>
      <c r="O864">
        <f>IF(OR(B864="",E864=""),"",B864*10000+E864)</f>
        <v/>
      </c>
      <c r="P864">
        <f>IF(N864="","",E864)</f>
        <v/>
      </c>
    </row>
    <row r="865">
      <c r="A865" s="1" t="n"/>
      <c r="B865" s="20" t="n"/>
      <c r="C865" s="21" t="n"/>
      <c r="D865" s="22" t="n"/>
      <c r="E865" s="23" t="n"/>
      <c r="F865" s="22" t="n"/>
      <c r="G865" s="14">
        <f>IF(OR(B865="",E865="",J865="",K865=""),"",IF(E865&lt;J865,"Below",IF(E865&gt;K865,"Above","In range")))</f>
        <v/>
      </c>
      <c r="H865" s="1" t="n"/>
      <c r="J865">
        <f>IF(M865="","",IF(INDEX(Settings!$C$10:$C$18,M865)="","",INDEX(Settings!$C$10:$C$18,M865)))</f>
        <v/>
      </c>
      <c r="K865">
        <f>IF(M865="","",IF(INDEX(Settings!$D$10:$D$18,M865)="","",INDEX(Settings!$D$10:$D$18,M865)))</f>
        <v/>
      </c>
      <c r="L865">
        <f>IF(OR(B865="",E865=""),"",B865+MOD(N(C865),1)+ROW()/10000000)</f>
        <v/>
      </c>
      <c r="M865">
        <f>IF(D865="","",IFERROR(MATCH(D865,Settings!$B$10:$B$18,0),""))</f>
        <v/>
      </c>
      <c r="N865">
        <f>IF(OR(B865="",E865="",M865=""),"",IF(AND(B865&gt;=Settings!$C$6,B865&lt;=Settings!$C$7),M865*10000+E865,""))</f>
        <v/>
      </c>
      <c r="O865">
        <f>IF(OR(B865="",E865=""),"",B865*10000+E865)</f>
        <v/>
      </c>
      <c r="P865">
        <f>IF(N865="","",E865)</f>
        <v/>
      </c>
    </row>
    <row r="866">
      <c r="A866" s="1" t="n"/>
      <c r="B866" s="20" t="n"/>
      <c r="C866" s="21" t="n"/>
      <c r="D866" s="22" t="n"/>
      <c r="E866" s="23" t="n"/>
      <c r="F866" s="22" t="n"/>
      <c r="G866" s="14">
        <f>IF(OR(B866="",E866="",J866="",K866=""),"",IF(E866&lt;J866,"Below",IF(E866&gt;K866,"Above","In range")))</f>
        <v/>
      </c>
      <c r="H866" s="1" t="n"/>
      <c r="J866">
        <f>IF(M866="","",IF(INDEX(Settings!$C$10:$C$18,M866)="","",INDEX(Settings!$C$10:$C$18,M866)))</f>
        <v/>
      </c>
      <c r="K866">
        <f>IF(M866="","",IF(INDEX(Settings!$D$10:$D$18,M866)="","",INDEX(Settings!$D$10:$D$18,M866)))</f>
        <v/>
      </c>
      <c r="L866">
        <f>IF(OR(B866="",E866=""),"",B866+MOD(N(C866),1)+ROW()/10000000)</f>
        <v/>
      </c>
      <c r="M866">
        <f>IF(D866="","",IFERROR(MATCH(D866,Settings!$B$10:$B$18,0),""))</f>
        <v/>
      </c>
      <c r="N866">
        <f>IF(OR(B866="",E866="",M866=""),"",IF(AND(B866&gt;=Settings!$C$6,B866&lt;=Settings!$C$7),M866*10000+E866,""))</f>
        <v/>
      </c>
      <c r="O866">
        <f>IF(OR(B866="",E866=""),"",B866*10000+E866)</f>
        <v/>
      </c>
      <c r="P866">
        <f>IF(N866="","",E866)</f>
        <v/>
      </c>
    </row>
    <row r="867">
      <c r="A867" s="1" t="n"/>
      <c r="B867" s="20" t="n"/>
      <c r="C867" s="21" t="n"/>
      <c r="D867" s="22" t="n"/>
      <c r="E867" s="23" t="n"/>
      <c r="F867" s="22" t="n"/>
      <c r="G867" s="14">
        <f>IF(OR(B867="",E867="",J867="",K867=""),"",IF(E867&lt;J867,"Below",IF(E867&gt;K867,"Above","In range")))</f>
        <v/>
      </c>
      <c r="H867" s="1" t="n"/>
      <c r="J867">
        <f>IF(M867="","",IF(INDEX(Settings!$C$10:$C$18,M867)="","",INDEX(Settings!$C$10:$C$18,M867)))</f>
        <v/>
      </c>
      <c r="K867">
        <f>IF(M867="","",IF(INDEX(Settings!$D$10:$D$18,M867)="","",INDEX(Settings!$D$10:$D$18,M867)))</f>
        <v/>
      </c>
      <c r="L867">
        <f>IF(OR(B867="",E867=""),"",B867+MOD(N(C867),1)+ROW()/10000000)</f>
        <v/>
      </c>
      <c r="M867">
        <f>IF(D867="","",IFERROR(MATCH(D867,Settings!$B$10:$B$18,0),""))</f>
        <v/>
      </c>
      <c r="N867">
        <f>IF(OR(B867="",E867="",M867=""),"",IF(AND(B867&gt;=Settings!$C$6,B867&lt;=Settings!$C$7),M867*10000+E867,""))</f>
        <v/>
      </c>
      <c r="O867">
        <f>IF(OR(B867="",E867=""),"",B867*10000+E867)</f>
        <v/>
      </c>
      <c r="P867">
        <f>IF(N867="","",E867)</f>
        <v/>
      </c>
    </row>
    <row r="868">
      <c r="A868" s="1" t="n"/>
      <c r="B868" s="20" t="n"/>
      <c r="C868" s="21" t="n"/>
      <c r="D868" s="22" t="n"/>
      <c r="E868" s="23" t="n"/>
      <c r="F868" s="22" t="n"/>
      <c r="G868" s="14">
        <f>IF(OR(B868="",E868="",J868="",K868=""),"",IF(E868&lt;J868,"Below",IF(E868&gt;K868,"Above","In range")))</f>
        <v/>
      </c>
      <c r="H868" s="1" t="n"/>
      <c r="J868">
        <f>IF(M868="","",IF(INDEX(Settings!$C$10:$C$18,M868)="","",INDEX(Settings!$C$10:$C$18,M868)))</f>
        <v/>
      </c>
      <c r="K868">
        <f>IF(M868="","",IF(INDEX(Settings!$D$10:$D$18,M868)="","",INDEX(Settings!$D$10:$D$18,M868)))</f>
        <v/>
      </c>
      <c r="L868">
        <f>IF(OR(B868="",E868=""),"",B868+MOD(N(C868),1)+ROW()/10000000)</f>
        <v/>
      </c>
      <c r="M868">
        <f>IF(D868="","",IFERROR(MATCH(D868,Settings!$B$10:$B$18,0),""))</f>
        <v/>
      </c>
      <c r="N868">
        <f>IF(OR(B868="",E868="",M868=""),"",IF(AND(B868&gt;=Settings!$C$6,B868&lt;=Settings!$C$7),M868*10000+E868,""))</f>
        <v/>
      </c>
      <c r="O868">
        <f>IF(OR(B868="",E868=""),"",B868*10000+E868)</f>
        <v/>
      </c>
      <c r="P868">
        <f>IF(N868="","",E868)</f>
        <v/>
      </c>
    </row>
    <row r="869">
      <c r="A869" s="1" t="n"/>
      <c r="B869" s="20" t="n"/>
      <c r="C869" s="21" t="n"/>
      <c r="D869" s="22" t="n"/>
      <c r="E869" s="23" t="n"/>
      <c r="F869" s="22" t="n"/>
      <c r="G869" s="14">
        <f>IF(OR(B869="",E869="",J869="",K869=""),"",IF(E869&lt;J869,"Below",IF(E869&gt;K869,"Above","In range")))</f>
        <v/>
      </c>
      <c r="H869" s="1" t="n"/>
      <c r="J869">
        <f>IF(M869="","",IF(INDEX(Settings!$C$10:$C$18,M869)="","",INDEX(Settings!$C$10:$C$18,M869)))</f>
        <v/>
      </c>
      <c r="K869">
        <f>IF(M869="","",IF(INDEX(Settings!$D$10:$D$18,M869)="","",INDEX(Settings!$D$10:$D$18,M869)))</f>
        <v/>
      </c>
      <c r="L869">
        <f>IF(OR(B869="",E869=""),"",B869+MOD(N(C869),1)+ROW()/10000000)</f>
        <v/>
      </c>
      <c r="M869">
        <f>IF(D869="","",IFERROR(MATCH(D869,Settings!$B$10:$B$18,0),""))</f>
        <v/>
      </c>
      <c r="N869">
        <f>IF(OR(B869="",E869="",M869=""),"",IF(AND(B869&gt;=Settings!$C$6,B869&lt;=Settings!$C$7),M869*10000+E869,""))</f>
        <v/>
      </c>
      <c r="O869">
        <f>IF(OR(B869="",E869=""),"",B869*10000+E869)</f>
        <v/>
      </c>
      <c r="P869">
        <f>IF(N869="","",E869)</f>
        <v/>
      </c>
    </row>
    <row r="870">
      <c r="A870" s="1" t="n"/>
      <c r="B870" s="20" t="n"/>
      <c r="C870" s="21" t="n"/>
      <c r="D870" s="22" t="n"/>
      <c r="E870" s="23" t="n"/>
      <c r="F870" s="22" t="n"/>
      <c r="G870" s="14">
        <f>IF(OR(B870="",E870="",J870="",K870=""),"",IF(E870&lt;J870,"Below",IF(E870&gt;K870,"Above","In range")))</f>
        <v/>
      </c>
      <c r="H870" s="1" t="n"/>
      <c r="J870">
        <f>IF(M870="","",IF(INDEX(Settings!$C$10:$C$18,M870)="","",INDEX(Settings!$C$10:$C$18,M870)))</f>
        <v/>
      </c>
      <c r="K870">
        <f>IF(M870="","",IF(INDEX(Settings!$D$10:$D$18,M870)="","",INDEX(Settings!$D$10:$D$18,M870)))</f>
        <v/>
      </c>
      <c r="L870">
        <f>IF(OR(B870="",E870=""),"",B870+MOD(N(C870),1)+ROW()/10000000)</f>
        <v/>
      </c>
      <c r="M870">
        <f>IF(D870="","",IFERROR(MATCH(D870,Settings!$B$10:$B$18,0),""))</f>
        <v/>
      </c>
      <c r="N870">
        <f>IF(OR(B870="",E870="",M870=""),"",IF(AND(B870&gt;=Settings!$C$6,B870&lt;=Settings!$C$7),M870*10000+E870,""))</f>
        <v/>
      </c>
      <c r="O870">
        <f>IF(OR(B870="",E870=""),"",B870*10000+E870)</f>
        <v/>
      </c>
      <c r="P870">
        <f>IF(N870="","",E870)</f>
        <v/>
      </c>
    </row>
    <row r="871">
      <c r="A871" s="1" t="n"/>
      <c r="B871" s="20" t="n"/>
      <c r="C871" s="21" t="n"/>
      <c r="D871" s="22" t="n"/>
      <c r="E871" s="23" t="n"/>
      <c r="F871" s="22" t="n"/>
      <c r="G871" s="14">
        <f>IF(OR(B871="",E871="",J871="",K871=""),"",IF(E871&lt;J871,"Below",IF(E871&gt;K871,"Above","In range")))</f>
        <v/>
      </c>
      <c r="H871" s="1" t="n"/>
      <c r="J871">
        <f>IF(M871="","",IF(INDEX(Settings!$C$10:$C$18,M871)="","",INDEX(Settings!$C$10:$C$18,M871)))</f>
        <v/>
      </c>
      <c r="K871">
        <f>IF(M871="","",IF(INDEX(Settings!$D$10:$D$18,M871)="","",INDEX(Settings!$D$10:$D$18,M871)))</f>
        <v/>
      </c>
      <c r="L871">
        <f>IF(OR(B871="",E871=""),"",B871+MOD(N(C871),1)+ROW()/10000000)</f>
        <v/>
      </c>
      <c r="M871">
        <f>IF(D871="","",IFERROR(MATCH(D871,Settings!$B$10:$B$18,0),""))</f>
        <v/>
      </c>
      <c r="N871">
        <f>IF(OR(B871="",E871="",M871=""),"",IF(AND(B871&gt;=Settings!$C$6,B871&lt;=Settings!$C$7),M871*10000+E871,""))</f>
        <v/>
      </c>
      <c r="O871">
        <f>IF(OR(B871="",E871=""),"",B871*10000+E871)</f>
        <v/>
      </c>
      <c r="P871">
        <f>IF(N871="","",E871)</f>
        <v/>
      </c>
    </row>
    <row r="872">
      <c r="A872" s="1" t="n"/>
      <c r="B872" s="20" t="n"/>
      <c r="C872" s="21" t="n"/>
      <c r="D872" s="22" t="n"/>
      <c r="E872" s="23" t="n"/>
      <c r="F872" s="22" t="n"/>
      <c r="G872" s="14">
        <f>IF(OR(B872="",E872="",J872="",K872=""),"",IF(E872&lt;J872,"Below",IF(E872&gt;K872,"Above","In range")))</f>
        <v/>
      </c>
      <c r="H872" s="1" t="n"/>
      <c r="J872">
        <f>IF(M872="","",IF(INDEX(Settings!$C$10:$C$18,M872)="","",INDEX(Settings!$C$10:$C$18,M872)))</f>
        <v/>
      </c>
      <c r="K872">
        <f>IF(M872="","",IF(INDEX(Settings!$D$10:$D$18,M872)="","",INDEX(Settings!$D$10:$D$18,M872)))</f>
        <v/>
      </c>
      <c r="L872">
        <f>IF(OR(B872="",E872=""),"",B872+MOD(N(C872),1)+ROW()/10000000)</f>
        <v/>
      </c>
      <c r="M872">
        <f>IF(D872="","",IFERROR(MATCH(D872,Settings!$B$10:$B$18,0),""))</f>
        <v/>
      </c>
      <c r="N872">
        <f>IF(OR(B872="",E872="",M872=""),"",IF(AND(B872&gt;=Settings!$C$6,B872&lt;=Settings!$C$7),M872*10000+E872,""))</f>
        <v/>
      </c>
      <c r="O872">
        <f>IF(OR(B872="",E872=""),"",B872*10000+E872)</f>
        <v/>
      </c>
      <c r="P872">
        <f>IF(N872="","",E872)</f>
        <v/>
      </c>
    </row>
    <row r="873">
      <c r="A873" s="1" t="n"/>
      <c r="B873" s="20" t="n"/>
      <c r="C873" s="21" t="n"/>
      <c r="D873" s="22" t="n"/>
      <c r="E873" s="23" t="n"/>
      <c r="F873" s="22" t="n"/>
      <c r="G873" s="14">
        <f>IF(OR(B873="",E873="",J873="",K873=""),"",IF(E873&lt;J873,"Below",IF(E873&gt;K873,"Above","In range")))</f>
        <v/>
      </c>
      <c r="H873" s="1" t="n"/>
      <c r="J873">
        <f>IF(M873="","",IF(INDEX(Settings!$C$10:$C$18,M873)="","",INDEX(Settings!$C$10:$C$18,M873)))</f>
        <v/>
      </c>
      <c r="K873">
        <f>IF(M873="","",IF(INDEX(Settings!$D$10:$D$18,M873)="","",INDEX(Settings!$D$10:$D$18,M873)))</f>
        <v/>
      </c>
      <c r="L873">
        <f>IF(OR(B873="",E873=""),"",B873+MOD(N(C873),1)+ROW()/10000000)</f>
        <v/>
      </c>
      <c r="M873">
        <f>IF(D873="","",IFERROR(MATCH(D873,Settings!$B$10:$B$18,0),""))</f>
        <v/>
      </c>
      <c r="N873">
        <f>IF(OR(B873="",E873="",M873=""),"",IF(AND(B873&gt;=Settings!$C$6,B873&lt;=Settings!$C$7),M873*10000+E873,""))</f>
        <v/>
      </c>
      <c r="O873">
        <f>IF(OR(B873="",E873=""),"",B873*10000+E873)</f>
        <v/>
      </c>
      <c r="P873">
        <f>IF(N873="","",E873)</f>
        <v/>
      </c>
    </row>
    <row r="874">
      <c r="A874" s="1" t="n"/>
      <c r="B874" s="20" t="n"/>
      <c r="C874" s="21" t="n"/>
      <c r="D874" s="22" t="n"/>
      <c r="E874" s="23" t="n"/>
      <c r="F874" s="22" t="n"/>
      <c r="G874" s="14">
        <f>IF(OR(B874="",E874="",J874="",K874=""),"",IF(E874&lt;J874,"Below",IF(E874&gt;K874,"Above","In range")))</f>
        <v/>
      </c>
      <c r="H874" s="1" t="n"/>
      <c r="J874">
        <f>IF(M874="","",IF(INDEX(Settings!$C$10:$C$18,M874)="","",INDEX(Settings!$C$10:$C$18,M874)))</f>
        <v/>
      </c>
      <c r="K874">
        <f>IF(M874="","",IF(INDEX(Settings!$D$10:$D$18,M874)="","",INDEX(Settings!$D$10:$D$18,M874)))</f>
        <v/>
      </c>
      <c r="L874">
        <f>IF(OR(B874="",E874=""),"",B874+MOD(N(C874),1)+ROW()/10000000)</f>
        <v/>
      </c>
      <c r="M874">
        <f>IF(D874="","",IFERROR(MATCH(D874,Settings!$B$10:$B$18,0),""))</f>
        <v/>
      </c>
      <c r="N874">
        <f>IF(OR(B874="",E874="",M874=""),"",IF(AND(B874&gt;=Settings!$C$6,B874&lt;=Settings!$C$7),M874*10000+E874,""))</f>
        <v/>
      </c>
      <c r="O874">
        <f>IF(OR(B874="",E874=""),"",B874*10000+E874)</f>
        <v/>
      </c>
      <c r="P874">
        <f>IF(N874="","",E874)</f>
        <v/>
      </c>
    </row>
    <row r="875">
      <c r="A875" s="1" t="n"/>
      <c r="B875" s="20" t="n"/>
      <c r="C875" s="21" t="n"/>
      <c r="D875" s="22" t="n"/>
      <c r="E875" s="23" t="n"/>
      <c r="F875" s="22" t="n"/>
      <c r="G875" s="14">
        <f>IF(OR(B875="",E875="",J875="",K875=""),"",IF(E875&lt;J875,"Below",IF(E875&gt;K875,"Above","In range")))</f>
        <v/>
      </c>
      <c r="H875" s="1" t="n"/>
      <c r="J875">
        <f>IF(M875="","",IF(INDEX(Settings!$C$10:$C$18,M875)="","",INDEX(Settings!$C$10:$C$18,M875)))</f>
        <v/>
      </c>
      <c r="K875">
        <f>IF(M875="","",IF(INDEX(Settings!$D$10:$D$18,M875)="","",INDEX(Settings!$D$10:$D$18,M875)))</f>
        <v/>
      </c>
      <c r="L875">
        <f>IF(OR(B875="",E875=""),"",B875+MOD(N(C875),1)+ROW()/10000000)</f>
        <v/>
      </c>
      <c r="M875">
        <f>IF(D875="","",IFERROR(MATCH(D875,Settings!$B$10:$B$18,0),""))</f>
        <v/>
      </c>
      <c r="N875">
        <f>IF(OR(B875="",E875="",M875=""),"",IF(AND(B875&gt;=Settings!$C$6,B875&lt;=Settings!$C$7),M875*10000+E875,""))</f>
        <v/>
      </c>
      <c r="O875">
        <f>IF(OR(B875="",E875=""),"",B875*10000+E875)</f>
        <v/>
      </c>
      <c r="P875">
        <f>IF(N875="","",E875)</f>
        <v/>
      </c>
    </row>
    <row r="876">
      <c r="A876" s="1" t="n"/>
      <c r="B876" s="20" t="n"/>
      <c r="C876" s="21" t="n"/>
      <c r="D876" s="22" t="n"/>
      <c r="E876" s="23" t="n"/>
      <c r="F876" s="22" t="n"/>
      <c r="G876" s="14">
        <f>IF(OR(B876="",E876="",J876="",K876=""),"",IF(E876&lt;J876,"Below",IF(E876&gt;K876,"Above","In range")))</f>
        <v/>
      </c>
      <c r="H876" s="1" t="n"/>
      <c r="J876">
        <f>IF(M876="","",IF(INDEX(Settings!$C$10:$C$18,M876)="","",INDEX(Settings!$C$10:$C$18,M876)))</f>
        <v/>
      </c>
      <c r="K876">
        <f>IF(M876="","",IF(INDEX(Settings!$D$10:$D$18,M876)="","",INDEX(Settings!$D$10:$D$18,M876)))</f>
        <v/>
      </c>
      <c r="L876">
        <f>IF(OR(B876="",E876=""),"",B876+MOD(N(C876),1)+ROW()/10000000)</f>
        <v/>
      </c>
      <c r="M876">
        <f>IF(D876="","",IFERROR(MATCH(D876,Settings!$B$10:$B$18,0),""))</f>
        <v/>
      </c>
      <c r="N876">
        <f>IF(OR(B876="",E876="",M876=""),"",IF(AND(B876&gt;=Settings!$C$6,B876&lt;=Settings!$C$7),M876*10000+E876,""))</f>
        <v/>
      </c>
      <c r="O876">
        <f>IF(OR(B876="",E876=""),"",B876*10000+E876)</f>
        <v/>
      </c>
      <c r="P876">
        <f>IF(N876="","",E876)</f>
        <v/>
      </c>
    </row>
    <row r="877">
      <c r="A877" s="1" t="n"/>
      <c r="B877" s="20" t="n"/>
      <c r="C877" s="21" t="n"/>
      <c r="D877" s="22" t="n"/>
      <c r="E877" s="23" t="n"/>
      <c r="F877" s="22" t="n"/>
      <c r="G877" s="14">
        <f>IF(OR(B877="",E877="",J877="",K877=""),"",IF(E877&lt;J877,"Below",IF(E877&gt;K877,"Above","In range")))</f>
        <v/>
      </c>
      <c r="H877" s="1" t="n"/>
      <c r="J877">
        <f>IF(M877="","",IF(INDEX(Settings!$C$10:$C$18,M877)="","",INDEX(Settings!$C$10:$C$18,M877)))</f>
        <v/>
      </c>
      <c r="K877">
        <f>IF(M877="","",IF(INDEX(Settings!$D$10:$D$18,M877)="","",INDEX(Settings!$D$10:$D$18,M877)))</f>
        <v/>
      </c>
      <c r="L877">
        <f>IF(OR(B877="",E877=""),"",B877+MOD(N(C877),1)+ROW()/10000000)</f>
        <v/>
      </c>
      <c r="M877">
        <f>IF(D877="","",IFERROR(MATCH(D877,Settings!$B$10:$B$18,0),""))</f>
        <v/>
      </c>
      <c r="N877">
        <f>IF(OR(B877="",E877="",M877=""),"",IF(AND(B877&gt;=Settings!$C$6,B877&lt;=Settings!$C$7),M877*10000+E877,""))</f>
        <v/>
      </c>
      <c r="O877">
        <f>IF(OR(B877="",E877=""),"",B877*10000+E877)</f>
        <v/>
      </c>
      <c r="P877">
        <f>IF(N877="","",E877)</f>
        <v/>
      </c>
    </row>
    <row r="878">
      <c r="A878" s="1" t="n"/>
      <c r="B878" s="20" t="n"/>
      <c r="C878" s="21" t="n"/>
      <c r="D878" s="22" t="n"/>
      <c r="E878" s="23" t="n"/>
      <c r="F878" s="22" t="n"/>
      <c r="G878" s="14">
        <f>IF(OR(B878="",E878="",J878="",K878=""),"",IF(E878&lt;J878,"Below",IF(E878&gt;K878,"Above","In range")))</f>
        <v/>
      </c>
      <c r="H878" s="1" t="n"/>
      <c r="J878">
        <f>IF(M878="","",IF(INDEX(Settings!$C$10:$C$18,M878)="","",INDEX(Settings!$C$10:$C$18,M878)))</f>
        <v/>
      </c>
      <c r="K878">
        <f>IF(M878="","",IF(INDEX(Settings!$D$10:$D$18,M878)="","",INDEX(Settings!$D$10:$D$18,M878)))</f>
        <v/>
      </c>
      <c r="L878">
        <f>IF(OR(B878="",E878=""),"",B878+MOD(N(C878),1)+ROW()/10000000)</f>
        <v/>
      </c>
      <c r="M878">
        <f>IF(D878="","",IFERROR(MATCH(D878,Settings!$B$10:$B$18,0),""))</f>
        <v/>
      </c>
      <c r="N878">
        <f>IF(OR(B878="",E878="",M878=""),"",IF(AND(B878&gt;=Settings!$C$6,B878&lt;=Settings!$C$7),M878*10000+E878,""))</f>
        <v/>
      </c>
      <c r="O878">
        <f>IF(OR(B878="",E878=""),"",B878*10000+E878)</f>
        <v/>
      </c>
      <c r="P878">
        <f>IF(N878="","",E878)</f>
        <v/>
      </c>
    </row>
    <row r="879">
      <c r="A879" s="1" t="n"/>
      <c r="B879" s="20" t="n"/>
      <c r="C879" s="21" t="n"/>
      <c r="D879" s="22" t="n"/>
      <c r="E879" s="23" t="n"/>
      <c r="F879" s="22" t="n"/>
      <c r="G879" s="14">
        <f>IF(OR(B879="",E879="",J879="",K879=""),"",IF(E879&lt;J879,"Below",IF(E879&gt;K879,"Above","In range")))</f>
        <v/>
      </c>
      <c r="H879" s="1" t="n"/>
      <c r="J879">
        <f>IF(M879="","",IF(INDEX(Settings!$C$10:$C$18,M879)="","",INDEX(Settings!$C$10:$C$18,M879)))</f>
        <v/>
      </c>
      <c r="K879">
        <f>IF(M879="","",IF(INDEX(Settings!$D$10:$D$18,M879)="","",INDEX(Settings!$D$10:$D$18,M879)))</f>
        <v/>
      </c>
      <c r="L879">
        <f>IF(OR(B879="",E879=""),"",B879+MOD(N(C879),1)+ROW()/10000000)</f>
        <v/>
      </c>
      <c r="M879">
        <f>IF(D879="","",IFERROR(MATCH(D879,Settings!$B$10:$B$18,0),""))</f>
        <v/>
      </c>
      <c r="N879">
        <f>IF(OR(B879="",E879="",M879=""),"",IF(AND(B879&gt;=Settings!$C$6,B879&lt;=Settings!$C$7),M879*10000+E879,""))</f>
        <v/>
      </c>
      <c r="O879">
        <f>IF(OR(B879="",E879=""),"",B879*10000+E879)</f>
        <v/>
      </c>
      <c r="P879">
        <f>IF(N879="","",E879)</f>
        <v/>
      </c>
    </row>
    <row r="880">
      <c r="A880" s="1" t="n"/>
      <c r="B880" s="20" t="n"/>
      <c r="C880" s="21" t="n"/>
      <c r="D880" s="22" t="n"/>
      <c r="E880" s="23" t="n"/>
      <c r="F880" s="22" t="n"/>
      <c r="G880" s="14">
        <f>IF(OR(B880="",E880="",J880="",K880=""),"",IF(E880&lt;J880,"Below",IF(E880&gt;K880,"Above","In range")))</f>
        <v/>
      </c>
      <c r="H880" s="1" t="n"/>
      <c r="J880">
        <f>IF(M880="","",IF(INDEX(Settings!$C$10:$C$18,M880)="","",INDEX(Settings!$C$10:$C$18,M880)))</f>
        <v/>
      </c>
      <c r="K880">
        <f>IF(M880="","",IF(INDEX(Settings!$D$10:$D$18,M880)="","",INDEX(Settings!$D$10:$D$18,M880)))</f>
        <v/>
      </c>
      <c r="L880">
        <f>IF(OR(B880="",E880=""),"",B880+MOD(N(C880),1)+ROW()/10000000)</f>
        <v/>
      </c>
      <c r="M880">
        <f>IF(D880="","",IFERROR(MATCH(D880,Settings!$B$10:$B$18,0),""))</f>
        <v/>
      </c>
      <c r="N880">
        <f>IF(OR(B880="",E880="",M880=""),"",IF(AND(B880&gt;=Settings!$C$6,B880&lt;=Settings!$C$7),M880*10000+E880,""))</f>
        <v/>
      </c>
      <c r="O880">
        <f>IF(OR(B880="",E880=""),"",B880*10000+E880)</f>
        <v/>
      </c>
      <c r="P880">
        <f>IF(N880="","",E880)</f>
        <v/>
      </c>
    </row>
    <row r="881">
      <c r="A881" s="1" t="n"/>
      <c r="B881" s="20" t="n"/>
      <c r="C881" s="21" t="n"/>
      <c r="D881" s="22" t="n"/>
      <c r="E881" s="23" t="n"/>
      <c r="F881" s="22" t="n"/>
      <c r="G881" s="14">
        <f>IF(OR(B881="",E881="",J881="",K881=""),"",IF(E881&lt;J881,"Below",IF(E881&gt;K881,"Above","In range")))</f>
        <v/>
      </c>
      <c r="H881" s="1" t="n"/>
      <c r="J881">
        <f>IF(M881="","",IF(INDEX(Settings!$C$10:$C$18,M881)="","",INDEX(Settings!$C$10:$C$18,M881)))</f>
        <v/>
      </c>
      <c r="K881">
        <f>IF(M881="","",IF(INDEX(Settings!$D$10:$D$18,M881)="","",INDEX(Settings!$D$10:$D$18,M881)))</f>
        <v/>
      </c>
      <c r="L881">
        <f>IF(OR(B881="",E881=""),"",B881+MOD(N(C881),1)+ROW()/10000000)</f>
        <v/>
      </c>
      <c r="M881">
        <f>IF(D881="","",IFERROR(MATCH(D881,Settings!$B$10:$B$18,0),""))</f>
        <v/>
      </c>
      <c r="N881">
        <f>IF(OR(B881="",E881="",M881=""),"",IF(AND(B881&gt;=Settings!$C$6,B881&lt;=Settings!$C$7),M881*10000+E881,""))</f>
        <v/>
      </c>
      <c r="O881">
        <f>IF(OR(B881="",E881=""),"",B881*10000+E881)</f>
        <v/>
      </c>
      <c r="P881">
        <f>IF(N881="","",E881)</f>
        <v/>
      </c>
    </row>
    <row r="882">
      <c r="A882" s="1" t="n"/>
      <c r="B882" s="20" t="n"/>
      <c r="C882" s="21" t="n"/>
      <c r="D882" s="22" t="n"/>
      <c r="E882" s="23" t="n"/>
      <c r="F882" s="22" t="n"/>
      <c r="G882" s="14">
        <f>IF(OR(B882="",E882="",J882="",K882=""),"",IF(E882&lt;J882,"Below",IF(E882&gt;K882,"Above","In range")))</f>
        <v/>
      </c>
      <c r="H882" s="1" t="n"/>
      <c r="J882">
        <f>IF(M882="","",IF(INDEX(Settings!$C$10:$C$18,M882)="","",INDEX(Settings!$C$10:$C$18,M882)))</f>
        <v/>
      </c>
      <c r="K882">
        <f>IF(M882="","",IF(INDEX(Settings!$D$10:$D$18,M882)="","",INDEX(Settings!$D$10:$D$18,M882)))</f>
        <v/>
      </c>
      <c r="L882">
        <f>IF(OR(B882="",E882=""),"",B882+MOD(N(C882),1)+ROW()/10000000)</f>
        <v/>
      </c>
      <c r="M882">
        <f>IF(D882="","",IFERROR(MATCH(D882,Settings!$B$10:$B$18,0),""))</f>
        <v/>
      </c>
      <c r="N882">
        <f>IF(OR(B882="",E882="",M882=""),"",IF(AND(B882&gt;=Settings!$C$6,B882&lt;=Settings!$C$7),M882*10000+E882,""))</f>
        <v/>
      </c>
      <c r="O882">
        <f>IF(OR(B882="",E882=""),"",B882*10000+E882)</f>
        <v/>
      </c>
      <c r="P882">
        <f>IF(N882="","",E882)</f>
        <v/>
      </c>
    </row>
    <row r="883">
      <c r="A883" s="1" t="n"/>
      <c r="B883" s="20" t="n"/>
      <c r="C883" s="21" t="n"/>
      <c r="D883" s="22" t="n"/>
      <c r="E883" s="23" t="n"/>
      <c r="F883" s="22" t="n"/>
      <c r="G883" s="14">
        <f>IF(OR(B883="",E883="",J883="",K883=""),"",IF(E883&lt;J883,"Below",IF(E883&gt;K883,"Above","In range")))</f>
        <v/>
      </c>
      <c r="H883" s="1" t="n"/>
      <c r="J883">
        <f>IF(M883="","",IF(INDEX(Settings!$C$10:$C$18,M883)="","",INDEX(Settings!$C$10:$C$18,M883)))</f>
        <v/>
      </c>
      <c r="K883">
        <f>IF(M883="","",IF(INDEX(Settings!$D$10:$D$18,M883)="","",INDEX(Settings!$D$10:$D$18,M883)))</f>
        <v/>
      </c>
      <c r="L883">
        <f>IF(OR(B883="",E883=""),"",B883+MOD(N(C883),1)+ROW()/10000000)</f>
        <v/>
      </c>
      <c r="M883">
        <f>IF(D883="","",IFERROR(MATCH(D883,Settings!$B$10:$B$18,0),""))</f>
        <v/>
      </c>
      <c r="N883">
        <f>IF(OR(B883="",E883="",M883=""),"",IF(AND(B883&gt;=Settings!$C$6,B883&lt;=Settings!$C$7),M883*10000+E883,""))</f>
        <v/>
      </c>
      <c r="O883">
        <f>IF(OR(B883="",E883=""),"",B883*10000+E883)</f>
        <v/>
      </c>
      <c r="P883">
        <f>IF(N883="","",E883)</f>
        <v/>
      </c>
    </row>
    <row r="884">
      <c r="A884" s="1" t="n"/>
      <c r="B884" s="20" t="n"/>
      <c r="C884" s="21" t="n"/>
      <c r="D884" s="22" t="n"/>
      <c r="E884" s="23" t="n"/>
      <c r="F884" s="22" t="n"/>
      <c r="G884" s="14">
        <f>IF(OR(B884="",E884="",J884="",K884=""),"",IF(E884&lt;J884,"Below",IF(E884&gt;K884,"Above","In range")))</f>
        <v/>
      </c>
      <c r="H884" s="1" t="n"/>
      <c r="J884">
        <f>IF(M884="","",IF(INDEX(Settings!$C$10:$C$18,M884)="","",INDEX(Settings!$C$10:$C$18,M884)))</f>
        <v/>
      </c>
      <c r="K884">
        <f>IF(M884="","",IF(INDEX(Settings!$D$10:$D$18,M884)="","",INDEX(Settings!$D$10:$D$18,M884)))</f>
        <v/>
      </c>
      <c r="L884">
        <f>IF(OR(B884="",E884=""),"",B884+MOD(N(C884),1)+ROW()/10000000)</f>
        <v/>
      </c>
      <c r="M884">
        <f>IF(D884="","",IFERROR(MATCH(D884,Settings!$B$10:$B$18,0),""))</f>
        <v/>
      </c>
      <c r="N884">
        <f>IF(OR(B884="",E884="",M884=""),"",IF(AND(B884&gt;=Settings!$C$6,B884&lt;=Settings!$C$7),M884*10000+E884,""))</f>
        <v/>
      </c>
      <c r="O884">
        <f>IF(OR(B884="",E884=""),"",B884*10000+E884)</f>
        <v/>
      </c>
      <c r="P884">
        <f>IF(N884="","",E884)</f>
        <v/>
      </c>
    </row>
    <row r="885">
      <c r="A885" s="1" t="n"/>
      <c r="B885" s="20" t="n"/>
      <c r="C885" s="21" t="n"/>
      <c r="D885" s="22" t="n"/>
      <c r="E885" s="23" t="n"/>
      <c r="F885" s="22" t="n"/>
      <c r="G885" s="14">
        <f>IF(OR(B885="",E885="",J885="",K885=""),"",IF(E885&lt;J885,"Below",IF(E885&gt;K885,"Above","In range")))</f>
        <v/>
      </c>
      <c r="H885" s="1" t="n"/>
      <c r="J885">
        <f>IF(M885="","",IF(INDEX(Settings!$C$10:$C$18,M885)="","",INDEX(Settings!$C$10:$C$18,M885)))</f>
        <v/>
      </c>
      <c r="K885">
        <f>IF(M885="","",IF(INDEX(Settings!$D$10:$D$18,M885)="","",INDEX(Settings!$D$10:$D$18,M885)))</f>
        <v/>
      </c>
      <c r="L885">
        <f>IF(OR(B885="",E885=""),"",B885+MOD(N(C885),1)+ROW()/10000000)</f>
        <v/>
      </c>
      <c r="M885">
        <f>IF(D885="","",IFERROR(MATCH(D885,Settings!$B$10:$B$18,0),""))</f>
        <v/>
      </c>
      <c r="N885">
        <f>IF(OR(B885="",E885="",M885=""),"",IF(AND(B885&gt;=Settings!$C$6,B885&lt;=Settings!$C$7),M885*10000+E885,""))</f>
        <v/>
      </c>
      <c r="O885">
        <f>IF(OR(B885="",E885=""),"",B885*10000+E885)</f>
        <v/>
      </c>
      <c r="P885">
        <f>IF(N885="","",E885)</f>
        <v/>
      </c>
    </row>
    <row r="886">
      <c r="A886" s="1" t="n"/>
      <c r="B886" s="20" t="n"/>
      <c r="C886" s="21" t="n"/>
      <c r="D886" s="22" t="n"/>
      <c r="E886" s="23" t="n"/>
      <c r="F886" s="22" t="n"/>
      <c r="G886" s="14">
        <f>IF(OR(B886="",E886="",J886="",K886=""),"",IF(E886&lt;J886,"Below",IF(E886&gt;K886,"Above","In range")))</f>
        <v/>
      </c>
      <c r="H886" s="1" t="n"/>
      <c r="J886">
        <f>IF(M886="","",IF(INDEX(Settings!$C$10:$C$18,M886)="","",INDEX(Settings!$C$10:$C$18,M886)))</f>
        <v/>
      </c>
      <c r="K886">
        <f>IF(M886="","",IF(INDEX(Settings!$D$10:$D$18,M886)="","",INDEX(Settings!$D$10:$D$18,M886)))</f>
        <v/>
      </c>
      <c r="L886">
        <f>IF(OR(B886="",E886=""),"",B886+MOD(N(C886),1)+ROW()/10000000)</f>
        <v/>
      </c>
      <c r="M886">
        <f>IF(D886="","",IFERROR(MATCH(D886,Settings!$B$10:$B$18,0),""))</f>
        <v/>
      </c>
      <c r="N886">
        <f>IF(OR(B886="",E886="",M886=""),"",IF(AND(B886&gt;=Settings!$C$6,B886&lt;=Settings!$C$7),M886*10000+E886,""))</f>
        <v/>
      </c>
      <c r="O886">
        <f>IF(OR(B886="",E886=""),"",B886*10000+E886)</f>
        <v/>
      </c>
      <c r="P886">
        <f>IF(N886="","",E886)</f>
        <v/>
      </c>
    </row>
    <row r="887">
      <c r="A887" s="1" t="n"/>
      <c r="B887" s="20" t="n"/>
      <c r="C887" s="21" t="n"/>
      <c r="D887" s="22" t="n"/>
      <c r="E887" s="23" t="n"/>
      <c r="F887" s="22" t="n"/>
      <c r="G887" s="14">
        <f>IF(OR(B887="",E887="",J887="",K887=""),"",IF(E887&lt;J887,"Below",IF(E887&gt;K887,"Above","In range")))</f>
        <v/>
      </c>
      <c r="H887" s="1" t="n"/>
      <c r="J887">
        <f>IF(M887="","",IF(INDEX(Settings!$C$10:$C$18,M887)="","",INDEX(Settings!$C$10:$C$18,M887)))</f>
        <v/>
      </c>
      <c r="K887">
        <f>IF(M887="","",IF(INDEX(Settings!$D$10:$D$18,M887)="","",INDEX(Settings!$D$10:$D$18,M887)))</f>
        <v/>
      </c>
      <c r="L887">
        <f>IF(OR(B887="",E887=""),"",B887+MOD(N(C887),1)+ROW()/10000000)</f>
        <v/>
      </c>
      <c r="M887">
        <f>IF(D887="","",IFERROR(MATCH(D887,Settings!$B$10:$B$18,0),""))</f>
        <v/>
      </c>
      <c r="N887">
        <f>IF(OR(B887="",E887="",M887=""),"",IF(AND(B887&gt;=Settings!$C$6,B887&lt;=Settings!$C$7),M887*10000+E887,""))</f>
        <v/>
      </c>
      <c r="O887">
        <f>IF(OR(B887="",E887=""),"",B887*10000+E887)</f>
        <v/>
      </c>
      <c r="P887">
        <f>IF(N887="","",E887)</f>
        <v/>
      </c>
    </row>
    <row r="888">
      <c r="A888" s="1" t="n"/>
      <c r="B888" s="20" t="n"/>
      <c r="C888" s="21" t="n"/>
      <c r="D888" s="22" t="n"/>
      <c r="E888" s="23" t="n"/>
      <c r="F888" s="22" t="n"/>
      <c r="G888" s="14">
        <f>IF(OR(B888="",E888="",J888="",K888=""),"",IF(E888&lt;J888,"Below",IF(E888&gt;K888,"Above","In range")))</f>
        <v/>
      </c>
      <c r="H888" s="1" t="n"/>
      <c r="J888">
        <f>IF(M888="","",IF(INDEX(Settings!$C$10:$C$18,M888)="","",INDEX(Settings!$C$10:$C$18,M888)))</f>
        <v/>
      </c>
      <c r="K888">
        <f>IF(M888="","",IF(INDEX(Settings!$D$10:$D$18,M888)="","",INDEX(Settings!$D$10:$D$18,M888)))</f>
        <v/>
      </c>
      <c r="L888">
        <f>IF(OR(B888="",E888=""),"",B888+MOD(N(C888),1)+ROW()/10000000)</f>
        <v/>
      </c>
      <c r="M888">
        <f>IF(D888="","",IFERROR(MATCH(D888,Settings!$B$10:$B$18,0),""))</f>
        <v/>
      </c>
      <c r="N888">
        <f>IF(OR(B888="",E888="",M888=""),"",IF(AND(B888&gt;=Settings!$C$6,B888&lt;=Settings!$C$7),M888*10000+E888,""))</f>
        <v/>
      </c>
      <c r="O888">
        <f>IF(OR(B888="",E888=""),"",B888*10000+E888)</f>
        <v/>
      </c>
      <c r="P888">
        <f>IF(N888="","",E888)</f>
        <v/>
      </c>
    </row>
    <row r="889">
      <c r="A889" s="1" t="n"/>
      <c r="B889" s="20" t="n"/>
      <c r="C889" s="21" t="n"/>
      <c r="D889" s="22" t="n"/>
      <c r="E889" s="23" t="n"/>
      <c r="F889" s="22" t="n"/>
      <c r="G889" s="14">
        <f>IF(OR(B889="",E889="",J889="",K889=""),"",IF(E889&lt;J889,"Below",IF(E889&gt;K889,"Above","In range")))</f>
        <v/>
      </c>
      <c r="H889" s="1" t="n"/>
      <c r="J889">
        <f>IF(M889="","",IF(INDEX(Settings!$C$10:$C$18,M889)="","",INDEX(Settings!$C$10:$C$18,M889)))</f>
        <v/>
      </c>
      <c r="K889">
        <f>IF(M889="","",IF(INDEX(Settings!$D$10:$D$18,M889)="","",INDEX(Settings!$D$10:$D$18,M889)))</f>
        <v/>
      </c>
      <c r="L889">
        <f>IF(OR(B889="",E889=""),"",B889+MOD(N(C889),1)+ROW()/10000000)</f>
        <v/>
      </c>
      <c r="M889">
        <f>IF(D889="","",IFERROR(MATCH(D889,Settings!$B$10:$B$18,0),""))</f>
        <v/>
      </c>
      <c r="N889">
        <f>IF(OR(B889="",E889="",M889=""),"",IF(AND(B889&gt;=Settings!$C$6,B889&lt;=Settings!$C$7),M889*10000+E889,""))</f>
        <v/>
      </c>
      <c r="O889">
        <f>IF(OR(B889="",E889=""),"",B889*10000+E889)</f>
        <v/>
      </c>
      <c r="P889">
        <f>IF(N889="","",E889)</f>
        <v/>
      </c>
    </row>
    <row r="890">
      <c r="A890" s="1" t="n"/>
      <c r="B890" s="20" t="n"/>
      <c r="C890" s="21" t="n"/>
      <c r="D890" s="22" t="n"/>
      <c r="E890" s="23" t="n"/>
      <c r="F890" s="22" t="n"/>
      <c r="G890" s="14">
        <f>IF(OR(B890="",E890="",J890="",K890=""),"",IF(E890&lt;J890,"Below",IF(E890&gt;K890,"Above","In range")))</f>
        <v/>
      </c>
      <c r="H890" s="1" t="n"/>
      <c r="J890">
        <f>IF(M890="","",IF(INDEX(Settings!$C$10:$C$18,M890)="","",INDEX(Settings!$C$10:$C$18,M890)))</f>
        <v/>
      </c>
      <c r="K890">
        <f>IF(M890="","",IF(INDEX(Settings!$D$10:$D$18,M890)="","",INDEX(Settings!$D$10:$D$18,M890)))</f>
        <v/>
      </c>
      <c r="L890">
        <f>IF(OR(B890="",E890=""),"",B890+MOD(N(C890),1)+ROW()/10000000)</f>
        <v/>
      </c>
      <c r="M890">
        <f>IF(D890="","",IFERROR(MATCH(D890,Settings!$B$10:$B$18,0),""))</f>
        <v/>
      </c>
      <c r="N890">
        <f>IF(OR(B890="",E890="",M890=""),"",IF(AND(B890&gt;=Settings!$C$6,B890&lt;=Settings!$C$7),M890*10000+E890,""))</f>
        <v/>
      </c>
      <c r="O890">
        <f>IF(OR(B890="",E890=""),"",B890*10000+E890)</f>
        <v/>
      </c>
      <c r="P890">
        <f>IF(N890="","",E890)</f>
        <v/>
      </c>
    </row>
    <row r="891">
      <c r="A891" s="1" t="n"/>
      <c r="B891" s="20" t="n"/>
      <c r="C891" s="21" t="n"/>
      <c r="D891" s="22" t="n"/>
      <c r="E891" s="23" t="n"/>
      <c r="F891" s="22" t="n"/>
      <c r="G891" s="14">
        <f>IF(OR(B891="",E891="",J891="",K891=""),"",IF(E891&lt;J891,"Below",IF(E891&gt;K891,"Above","In range")))</f>
        <v/>
      </c>
      <c r="H891" s="1" t="n"/>
      <c r="J891">
        <f>IF(M891="","",IF(INDEX(Settings!$C$10:$C$18,M891)="","",INDEX(Settings!$C$10:$C$18,M891)))</f>
        <v/>
      </c>
      <c r="K891">
        <f>IF(M891="","",IF(INDEX(Settings!$D$10:$D$18,M891)="","",INDEX(Settings!$D$10:$D$18,M891)))</f>
        <v/>
      </c>
      <c r="L891">
        <f>IF(OR(B891="",E891=""),"",B891+MOD(N(C891),1)+ROW()/10000000)</f>
        <v/>
      </c>
      <c r="M891">
        <f>IF(D891="","",IFERROR(MATCH(D891,Settings!$B$10:$B$18,0),""))</f>
        <v/>
      </c>
      <c r="N891">
        <f>IF(OR(B891="",E891="",M891=""),"",IF(AND(B891&gt;=Settings!$C$6,B891&lt;=Settings!$C$7),M891*10000+E891,""))</f>
        <v/>
      </c>
      <c r="O891">
        <f>IF(OR(B891="",E891=""),"",B891*10000+E891)</f>
        <v/>
      </c>
      <c r="P891">
        <f>IF(N891="","",E891)</f>
        <v/>
      </c>
    </row>
    <row r="892">
      <c r="A892" s="1" t="n"/>
      <c r="B892" s="20" t="n"/>
      <c r="C892" s="21" t="n"/>
      <c r="D892" s="22" t="n"/>
      <c r="E892" s="23" t="n"/>
      <c r="F892" s="22" t="n"/>
      <c r="G892" s="14">
        <f>IF(OR(B892="",E892="",J892="",K892=""),"",IF(E892&lt;J892,"Below",IF(E892&gt;K892,"Above","In range")))</f>
        <v/>
      </c>
      <c r="H892" s="1" t="n"/>
      <c r="J892">
        <f>IF(M892="","",IF(INDEX(Settings!$C$10:$C$18,M892)="","",INDEX(Settings!$C$10:$C$18,M892)))</f>
        <v/>
      </c>
      <c r="K892">
        <f>IF(M892="","",IF(INDEX(Settings!$D$10:$D$18,M892)="","",INDEX(Settings!$D$10:$D$18,M892)))</f>
        <v/>
      </c>
      <c r="L892">
        <f>IF(OR(B892="",E892=""),"",B892+MOD(N(C892),1)+ROW()/10000000)</f>
        <v/>
      </c>
      <c r="M892">
        <f>IF(D892="","",IFERROR(MATCH(D892,Settings!$B$10:$B$18,0),""))</f>
        <v/>
      </c>
      <c r="N892">
        <f>IF(OR(B892="",E892="",M892=""),"",IF(AND(B892&gt;=Settings!$C$6,B892&lt;=Settings!$C$7),M892*10000+E892,""))</f>
        <v/>
      </c>
      <c r="O892">
        <f>IF(OR(B892="",E892=""),"",B892*10000+E892)</f>
        <v/>
      </c>
      <c r="P892">
        <f>IF(N892="","",E892)</f>
        <v/>
      </c>
    </row>
    <row r="893">
      <c r="A893" s="1" t="n"/>
      <c r="B893" s="20" t="n"/>
      <c r="C893" s="21" t="n"/>
      <c r="D893" s="22" t="n"/>
      <c r="E893" s="23" t="n"/>
      <c r="F893" s="22" t="n"/>
      <c r="G893" s="14">
        <f>IF(OR(B893="",E893="",J893="",K893=""),"",IF(E893&lt;J893,"Below",IF(E893&gt;K893,"Above","In range")))</f>
        <v/>
      </c>
      <c r="H893" s="1" t="n"/>
      <c r="J893">
        <f>IF(M893="","",IF(INDEX(Settings!$C$10:$C$18,M893)="","",INDEX(Settings!$C$10:$C$18,M893)))</f>
        <v/>
      </c>
      <c r="K893">
        <f>IF(M893="","",IF(INDEX(Settings!$D$10:$D$18,M893)="","",INDEX(Settings!$D$10:$D$18,M893)))</f>
        <v/>
      </c>
      <c r="L893">
        <f>IF(OR(B893="",E893=""),"",B893+MOD(N(C893),1)+ROW()/10000000)</f>
        <v/>
      </c>
      <c r="M893">
        <f>IF(D893="","",IFERROR(MATCH(D893,Settings!$B$10:$B$18,0),""))</f>
        <v/>
      </c>
      <c r="N893">
        <f>IF(OR(B893="",E893="",M893=""),"",IF(AND(B893&gt;=Settings!$C$6,B893&lt;=Settings!$C$7),M893*10000+E893,""))</f>
        <v/>
      </c>
      <c r="O893">
        <f>IF(OR(B893="",E893=""),"",B893*10000+E893)</f>
        <v/>
      </c>
      <c r="P893">
        <f>IF(N893="","",E893)</f>
        <v/>
      </c>
    </row>
    <row r="894">
      <c r="A894" s="1" t="n"/>
      <c r="B894" s="20" t="n"/>
      <c r="C894" s="21" t="n"/>
      <c r="D894" s="22" t="n"/>
      <c r="E894" s="23" t="n"/>
      <c r="F894" s="22" t="n"/>
      <c r="G894" s="14">
        <f>IF(OR(B894="",E894="",J894="",K894=""),"",IF(E894&lt;J894,"Below",IF(E894&gt;K894,"Above","In range")))</f>
        <v/>
      </c>
      <c r="H894" s="1" t="n"/>
      <c r="J894">
        <f>IF(M894="","",IF(INDEX(Settings!$C$10:$C$18,M894)="","",INDEX(Settings!$C$10:$C$18,M894)))</f>
        <v/>
      </c>
      <c r="K894">
        <f>IF(M894="","",IF(INDEX(Settings!$D$10:$D$18,M894)="","",INDEX(Settings!$D$10:$D$18,M894)))</f>
        <v/>
      </c>
      <c r="L894">
        <f>IF(OR(B894="",E894=""),"",B894+MOD(N(C894),1)+ROW()/10000000)</f>
        <v/>
      </c>
      <c r="M894">
        <f>IF(D894="","",IFERROR(MATCH(D894,Settings!$B$10:$B$18,0),""))</f>
        <v/>
      </c>
      <c r="N894">
        <f>IF(OR(B894="",E894="",M894=""),"",IF(AND(B894&gt;=Settings!$C$6,B894&lt;=Settings!$C$7),M894*10000+E894,""))</f>
        <v/>
      </c>
      <c r="O894">
        <f>IF(OR(B894="",E894=""),"",B894*10000+E894)</f>
        <v/>
      </c>
      <c r="P894">
        <f>IF(N894="","",E894)</f>
        <v/>
      </c>
    </row>
    <row r="895">
      <c r="A895" s="1" t="n"/>
      <c r="B895" s="20" t="n"/>
      <c r="C895" s="21" t="n"/>
      <c r="D895" s="22" t="n"/>
      <c r="E895" s="23" t="n"/>
      <c r="F895" s="22" t="n"/>
      <c r="G895" s="14">
        <f>IF(OR(B895="",E895="",J895="",K895=""),"",IF(E895&lt;J895,"Below",IF(E895&gt;K895,"Above","In range")))</f>
        <v/>
      </c>
      <c r="H895" s="1" t="n"/>
      <c r="J895">
        <f>IF(M895="","",IF(INDEX(Settings!$C$10:$C$18,M895)="","",INDEX(Settings!$C$10:$C$18,M895)))</f>
        <v/>
      </c>
      <c r="K895">
        <f>IF(M895="","",IF(INDEX(Settings!$D$10:$D$18,M895)="","",INDEX(Settings!$D$10:$D$18,M895)))</f>
        <v/>
      </c>
      <c r="L895">
        <f>IF(OR(B895="",E895=""),"",B895+MOD(N(C895),1)+ROW()/10000000)</f>
        <v/>
      </c>
      <c r="M895">
        <f>IF(D895="","",IFERROR(MATCH(D895,Settings!$B$10:$B$18,0),""))</f>
        <v/>
      </c>
      <c r="N895">
        <f>IF(OR(B895="",E895="",M895=""),"",IF(AND(B895&gt;=Settings!$C$6,B895&lt;=Settings!$C$7),M895*10000+E895,""))</f>
        <v/>
      </c>
      <c r="O895">
        <f>IF(OR(B895="",E895=""),"",B895*10000+E895)</f>
        <v/>
      </c>
      <c r="P895">
        <f>IF(N895="","",E895)</f>
        <v/>
      </c>
    </row>
    <row r="896">
      <c r="A896" s="1" t="n"/>
      <c r="B896" s="20" t="n"/>
      <c r="C896" s="21" t="n"/>
      <c r="D896" s="22" t="n"/>
      <c r="E896" s="23" t="n"/>
      <c r="F896" s="22" t="n"/>
      <c r="G896" s="14">
        <f>IF(OR(B896="",E896="",J896="",K896=""),"",IF(E896&lt;J896,"Below",IF(E896&gt;K896,"Above","In range")))</f>
        <v/>
      </c>
      <c r="H896" s="1" t="n"/>
      <c r="J896">
        <f>IF(M896="","",IF(INDEX(Settings!$C$10:$C$18,M896)="","",INDEX(Settings!$C$10:$C$18,M896)))</f>
        <v/>
      </c>
      <c r="K896">
        <f>IF(M896="","",IF(INDEX(Settings!$D$10:$D$18,M896)="","",INDEX(Settings!$D$10:$D$18,M896)))</f>
        <v/>
      </c>
      <c r="L896">
        <f>IF(OR(B896="",E896=""),"",B896+MOD(N(C896),1)+ROW()/10000000)</f>
        <v/>
      </c>
      <c r="M896">
        <f>IF(D896="","",IFERROR(MATCH(D896,Settings!$B$10:$B$18,0),""))</f>
        <v/>
      </c>
      <c r="N896">
        <f>IF(OR(B896="",E896="",M896=""),"",IF(AND(B896&gt;=Settings!$C$6,B896&lt;=Settings!$C$7),M896*10000+E896,""))</f>
        <v/>
      </c>
      <c r="O896">
        <f>IF(OR(B896="",E896=""),"",B896*10000+E896)</f>
        <v/>
      </c>
      <c r="P896">
        <f>IF(N896="","",E896)</f>
        <v/>
      </c>
    </row>
    <row r="897">
      <c r="A897" s="1" t="n"/>
      <c r="B897" s="20" t="n"/>
      <c r="C897" s="21" t="n"/>
      <c r="D897" s="22" t="n"/>
      <c r="E897" s="23" t="n"/>
      <c r="F897" s="22" t="n"/>
      <c r="G897" s="14">
        <f>IF(OR(B897="",E897="",J897="",K897=""),"",IF(E897&lt;J897,"Below",IF(E897&gt;K897,"Above","In range")))</f>
        <v/>
      </c>
      <c r="H897" s="1" t="n"/>
      <c r="J897">
        <f>IF(M897="","",IF(INDEX(Settings!$C$10:$C$18,M897)="","",INDEX(Settings!$C$10:$C$18,M897)))</f>
        <v/>
      </c>
      <c r="K897">
        <f>IF(M897="","",IF(INDEX(Settings!$D$10:$D$18,M897)="","",INDEX(Settings!$D$10:$D$18,M897)))</f>
        <v/>
      </c>
      <c r="L897">
        <f>IF(OR(B897="",E897=""),"",B897+MOD(N(C897),1)+ROW()/10000000)</f>
        <v/>
      </c>
      <c r="M897">
        <f>IF(D897="","",IFERROR(MATCH(D897,Settings!$B$10:$B$18,0),""))</f>
        <v/>
      </c>
      <c r="N897">
        <f>IF(OR(B897="",E897="",M897=""),"",IF(AND(B897&gt;=Settings!$C$6,B897&lt;=Settings!$C$7),M897*10000+E897,""))</f>
        <v/>
      </c>
      <c r="O897">
        <f>IF(OR(B897="",E897=""),"",B897*10000+E897)</f>
        <v/>
      </c>
      <c r="P897">
        <f>IF(N897="","",E897)</f>
        <v/>
      </c>
    </row>
    <row r="898">
      <c r="A898" s="1" t="n"/>
      <c r="B898" s="20" t="n"/>
      <c r="C898" s="21" t="n"/>
      <c r="D898" s="22" t="n"/>
      <c r="E898" s="23" t="n"/>
      <c r="F898" s="22" t="n"/>
      <c r="G898" s="14">
        <f>IF(OR(B898="",E898="",J898="",K898=""),"",IF(E898&lt;J898,"Below",IF(E898&gt;K898,"Above","In range")))</f>
        <v/>
      </c>
      <c r="H898" s="1" t="n"/>
      <c r="J898">
        <f>IF(M898="","",IF(INDEX(Settings!$C$10:$C$18,M898)="","",INDEX(Settings!$C$10:$C$18,M898)))</f>
        <v/>
      </c>
      <c r="K898">
        <f>IF(M898="","",IF(INDEX(Settings!$D$10:$D$18,M898)="","",INDEX(Settings!$D$10:$D$18,M898)))</f>
        <v/>
      </c>
      <c r="L898">
        <f>IF(OR(B898="",E898=""),"",B898+MOD(N(C898),1)+ROW()/10000000)</f>
        <v/>
      </c>
      <c r="M898">
        <f>IF(D898="","",IFERROR(MATCH(D898,Settings!$B$10:$B$18,0),""))</f>
        <v/>
      </c>
      <c r="N898">
        <f>IF(OR(B898="",E898="",M898=""),"",IF(AND(B898&gt;=Settings!$C$6,B898&lt;=Settings!$C$7),M898*10000+E898,""))</f>
        <v/>
      </c>
      <c r="O898">
        <f>IF(OR(B898="",E898=""),"",B898*10000+E898)</f>
        <v/>
      </c>
      <c r="P898">
        <f>IF(N898="","",E898)</f>
        <v/>
      </c>
    </row>
    <row r="899">
      <c r="A899" s="1" t="n"/>
      <c r="B899" s="20" t="n"/>
      <c r="C899" s="21" t="n"/>
      <c r="D899" s="22" t="n"/>
      <c r="E899" s="23" t="n"/>
      <c r="F899" s="22" t="n"/>
      <c r="G899" s="14">
        <f>IF(OR(B899="",E899="",J899="",K899=""),"",IF(E899&lt;J899,"Below",IF(E899&gt;K899,"Above","In range")))</f>
        <v/>
      </c>
      <c r="H899" s="1" t="n"/>
      <c r="J899">
        <f>IF(M899="","",IF(INDEX(Settings!$C$10:$C$18,M899)="","",INDEX(Settings!$C$10:$C$18,M899)))</f>
        <v/>
      </c>
      <c r="K899">
        <f>IF(M899="","",IF(INDEX(Settings!$D$10:$D$18,M899)="","",INDEX(Settings!$D$10:$D$18,M899)))</f>
        <v/>
      </c>
      <c r="L899">
        <f>IF(OR(B899="",E899=""),"",B899+MOD(N(C899),1)+ROW()/10000000)</f>
        <v/>
      </c>
      <c r="M899">
        <f>IF(D899="","",IFERROR(MATCH(D899,Settings!$B$10:$B$18,0),""))</f>
        <v/>
      </c>
      <c r="N899">
        <f>IF(OR(B899="",E899="",M899=""),"",IF(AND(B899&gt;=Settings!$C$6,B899&lt;=Settings!$C$7),M899*10000+E899,""))</f>
        <v/>
      </c>
      <c r="O899">
        <f>IF(OR(B899="",E899=""),"",B899*10000+E899)</f>
        <v/>
      </c>
      <c r="P899">
        <f>IF(N899="","",E899)</f>
        <v/>
      </c>
    </row>
    <row r="900">
      <c r="A900" s="1" t="n"/>
      <c r="B900" s="20" t="n"/>
      <c r="C900" s="21" t="n"/>
      <c r="D900" s="22" t="n"/>
      <c r="E900" s="23" t="n"/>
      <c r="F900" s="22" t="n"/>
      <c r="G900" s="14">
        <f>IF(OR(B900="",E900="",J900="",K900=""),"",IF(E900&lt;J900,"Below",IF(E900&gt;K900,"Above","In range")))</f>
        <v/>
      </c>
      <c r="H900" s="1" t="n"/>
      <c r="J900">
        <f>IF(M900="","",IF(INDEX(Settings!$C$10:$C$18,M900)="","",INDEX(Settings!$C$10:$C$18,M900)))</f>
        <v/>
      </c>
      <c r="K900">
        <f>IF(M900="","",IF(INDEX(Settings!$D$10:$D$18,M900)="","",INDEX(Settings!$D$10:$D$18,M900)))</f>
        <v/>
      </c>
      <c r="L900">
        <f>IF(OR(B900="",E900=""),"",B900+MOD(N(C900),1)+ROW()/10000000)</f>
        <v/>
      </c>
      <c r="M900">
        <f>IF(D900="","",IFERROR(MATCH(D900,Settings!$B$10:$B$18,0),""))</f>
        <v/>
      </c>
      <c r="N900">
        <f>IF(OR(B900="",E900="",M900=""),"",IF(AND(B900&gt;=Settings!$C$6,B900&lt;=Settings!$C$7),M900*10000+E900,""))</f>
        <v/>
      </c>
      <c r="O900">
        <f>IF(OR(B900="",E900=""),"",B900*10000+E900)</f>
        <v/>
      </c>
      <c r="P900">
        <f>IF(N900="","",E900)</f>
        <v/>
      </c>
    </row>
    <row r="901">
      <c r="A901" s="1" t="n"/>
      <c r="B901" s="20" t="n"/>
      <c r="C901" s="21" t="n"/>
      <c r="D901" s="22" t="n"/>
      <c r="E901" s="23" t="n"/>
      <c r="F901" s="22" t="n"/>
      <c r="G901" s="14">
        <f>IF(OR(B901="",E901="",J901="",K901=""),"",IF(E901&lt;J901,"Below",IF(E901&gt;K901,"Above","In range")))</f>
        <v/>
      </c>
      <c r="H901" s="1" t="n"/>
      <c r="J901">
        <f>IF(M901="","",IF(INDEX(Settings!$C$10:$C$18,M901)="","",INDEX(Settings!$C$10:$C$18,M901)))</f>
        <v/>
      </c>
      <c r="K901">
        <f>IF(M901="","",IF(INDEX(Settings!$D$10:$D$18,M901)="","",INDEX(Settings!$D$10:$D$18,M901)))</f>
        <v/>
      </c>
      <c r="L901">
        <f>IF(OR(B901="",E901=""),"",B901+MOD(N(C901),1)+ROW()/10000000)</f>
        <v/>
      </c>
      <c r="M901">
        <f>IF(D901="","",IFERROR(MATCH(D901,Settings!$B$10:$B$18,0),""))</f>
        <v/>
      </c>
      <c r="N901">
        <f>IF(OR(B901="",E901="",M901=""),"",IF(AND(B901&gt;=Settings!$C$6,B901&lt;=Settings!$C$7),M901*10000+E901,""))</f>
        <v/>
      </c>
      <c r="O901">
        <f>IF(OR(B901="",E901=""),"",B901*10000+E901)</f>
        <v/>
      </c>
      <c r="P901">
        <f>IF(N901="","",E901)</f>
        <v/>
      </c>
    </row>
    <row r="902">
      <c r="A902" s="1" t="n"/>
      <c r="B902" s="20" t="n"/>
      <c r="C902" s="21" t="n"/>
      <c r="D902" s="22" t="n"/>
      <c r="E902" s="23" t="n"/>
      <c r="F902" s="22" t="n"/>
      <c r="G902" s="14">
        <f>IF(OR(B902="",E902="",J902="",K902=""),"",IF(E902&lt;J902,"Below",IF(E902&gt;K902,"Above","In range")))</f>
        <v/>
      </c>
      <c r="H902" s="1" t="n"/>
      <c r="J902">
        <f>IF(M902="","",IF(INDEX(Settings!$C$10:$C$18,M902)="","",INDEX(Settings!$C$10:$C$18,M902)))</f>
        <v/>
      </c>
      <c r="K902">
        <f>IF(M902="","",IF(INDEX(Settings!$D$10:$D$18,M902)="","",INDEX(Settings!$D$10:$D$18,M902)))</f>
        <v/>
      </c>
      <c r="L902">
        <f>IF(OR(B902="",E902=""),"",B902+MOD(N(C902),1)+ROW()/10000000)</f>
        <v/>
      </c>
      <c r="M902">
        <f>IF(D902="","",IFERROR(MATCH(D902,Settings!$B$10:$B$18,0),""))</f>
        <v/>
      </c>
      <c r="N902">
        <f>IF(OR(B902="",E902="",M902=""),"",IF(AND(B902&gt;=Settings!$C$6,B902&lt;=Settings!$C$7),M902*10000+E902,""))</f>
        <v/>
      </c>
      <c r="O902">
        <f>IF(OR(B902="",E902=""),"",B902*10000+E902)</f>
        <v/>
      </c>
      <c r="P902">
        <f>IF(N902="","",E902)</f>
        <v/>
      </c>
    </row>
    <row r="903">
      <c r="A903" s="1" t="n"/>
      <c r="B903" s="20" t="n"/>
      <c r="C903" s="21" t="n"/>
      <c r="D903" s="22" t="n"/>
      <c r="E903" s="23" t="n"/>
      <c r="F903" s="22" t="n"/>
      <c r="G903" s="14">
        <f>IF(OR(B903="",E903="",J903="",K903=""),"",IF(E903&lt;J903,"Below",IF(E903&gt;K903,"Above","In range")))</f>
        <v/>
      </c>
      <c r="H903" s="1" t="n"/>
      <c r="J903">
        <f>IF(M903="","",IF(INDEX(Settings!$C$10:$C$18,M903)="","",INDEX(Settings!$C$10:$C$18,M903)))</f>
        <v/>
      </c>
      <c r="K903">
        <f>IF(M903="","",IF(INDEX(Settings!$D$10:$D$18,M903)="","",INDEX(Settings!$D$10:$D$18,M903)))</f>
        <v/>
      </c>
      <c r="L903">
        <f>IF(OR(B903="",E903=""),"",B903+MOD(N(C903),1)+ROW()/10000000)</f>
        <v/>
      </c>
      <c r="M903">
        <f>IF(D903="","",IFERROR(MATCH(D903,Settings!$B$10:$B$18,0),""))</f>
        <v/>
      </c>
      <c r="N903">
        <f>IF(OR(B903="",E903="",M903=""),"",IF(AND(B903&gt;=Settings!$C$6,B903&lt;=Settings!$C$7),M903*10000+E903,""))</f>
        <v/>
      </c>
      <c r="O903">
        <f>IF(OR(B903="",E903=""),"",B903*10000+E903)</f>
        <v/>
      </c>
      <c r="P903">
        <f>IF(N903="","",E903)</f>
        <v/>
      </c>
    </row>
    <row r="904">
      <c r="A904" s="1" t="n"/>
      <c r="B904" s="20" t="n"/>
      <c r="C904" s="21" t="n"/>
      <c r="D904" s="22" t="n"/>
      <c r="E904" s="23" t="n"/>
      <c r="F904" s="22" t="n"/>
      <c r="G904" s="14">
        <f>IF(OR(B904="",E904="",J904="",K904=""),"",IF(E904&lt;J904,"Below",IF(E904&gt;K904,"Above","In range")))</f>
        <v/>
      </c>
      <c r="H904" s="1" t="n"/>
      <c r="J904">
        <f>IF(M904="","",IF(INDEX(Settings!$C$10:$C$18,M904)="","",INDEX(Settings!$C$10:$C$18,M904)))</f>
        <v/>
      </c>
      <c r="K904">
        <f>IF(M904="","",IF(INDEX(Settings!$D$10:$D$18,M904)="","",INDEX(Settings!$D$10:$D$18,M904)))</f>
        <v/>
      </c>
      <c r="L904">
        <f>IF(OR(B904="",E904=""),"",B904+MOD(N(C904),1)+ROW()/10000000)</f>
        <v/>
      </c>
      <c r="M904">
        <f>IF(D904="","",IFERROR(MATCH(D904,Settings!$B$10:$B$18,0),""))</f>
        <v/>
      </c>
      <c r="N904">
        <f>IF(OR(B904="",E904="",M904=""),"",IF(AND(B904&gt;=Settings!$C$6,B904&lt;=Settings!$C$7),M904*10000+E904,""))</f>
        <v/>
      </c>
      <c r="O904">
        <f>IF(OR(B904="",E904=""),"",B904*10000+E904)</f>
        <v/>
      </c>
      <c r="P904">
        <f>IF(N904="","",E904)</f>
        <v/>
      </c>
    </row>
    <row r="905">
      <c r="A905" s="1" t="n"/>
      <c r="B905" s="20" t="n"/>
      <c r="C905" s="21" t="n"/>
      <c r="D905" s="22" t="n"/>
      <c r="E905" s="23" t="n"/>
      <c r="F905" s="22" t="n"/>
      <c r="G905" s="14">
        <f>IF(OR(B905="",E905="",J905="",K905=""),"",IF(E905&lt;J905,"Below",IF(E905&gt;K905,"Above","In range")))</f>
        <v/>
      </c>
      <c r="H905" s="1" t="n"/>
      <c r="J905">
        <f>IF(M905="","",IF(INDEX(Settings!$C$10:$C$18,M905)="","",INDEX(Settings!$C$10:$C$18,M905)))</f>
        <v/>
      </c>
      <c r="K905">
        <f>IF(M905="","",IF(INDEX(Settings!$D$10:$D$18,M905)="","",INDEX(Settings!$D$10:$D$18,M905)))</f>
        <v/>
      </c>
      <c r="L905">
        <f>IF(OR(B905="",E905=""),"",B905+MOD(N(C905),1)+ROW()/10000000)</f>
        <v/>
      </c>
      <c r="M905">
        <f>IF(D905="","",IFERROR(MATCH(D905,Settings!$B$10:$B$18,0),""))</f>
        <v/>
      </c>
      <c r="N905">
        <f>IF(OR(B905="",E905="",M905=""),"",IF(AND(B905&gt;=Settings!$C$6,B905&lt;=Settings!$C$7),M905*10000+E905,""))</f>
        <v/>
      </c>
      <c r="O905">
        <f>IF(OR(B905="",E905=""),"",B905*10000+E905)</f>
        <v/>
      </c>
      <c r="P905">
        <f>IF(N905="","",E905)</f>
        <v/>
      </c>
    </row>
    <row r="906">
      <c r="A906" s="1" t="n"/>
      <c r="B906" s="20" t="n"/>
      <c r="C906" s="21" t="n"/>
      <c r="D906" s="22" t="n"/>
      <c r="E906" s="23" t="n"/>
      <c r="F906" s="22" t="n"/>
      <c r="G906" s="14">
        <f>IF(OR(B906="",E906="",J906="",K906=""),"",IF(E906&lt;J906,"Below",IF(E906&gt;K906,"Above","In range")))</f>
        <v/>
      </c>
      <c r="H906" s="1" t="n"/>
      <c r="J906">
        <f>IF(M906="","",IF(INDEX(Settings!$C$10:$C$18,M906)="","",INDEX(Settings!$C$10:$C$18,M906)))</f>
        <v/>
      </c>
      <c r="K906">
        <f>IF(M906="","",IF(INDEX(Settings!$D$10:$D$18,M906)="","",INDEX(Settings!$D$10:$D$18,M906)))</f>
        <v/>
      </c>
      <c r="L906">
        <f>IF(OR(B906="",E906=""),"",B906+MOD(N(C906),1)+ROW()/10000000)</f>
        <v/>
      </c>
      <c r="M906">
        <f>IF(D906="","",IFERROR(MATCH(D906,Settings!$B$10:$B$18,0),""))</f>
        <v/>
      </c>
      <c r="N906">
        <f>IF(OR(B906="",E906="",M906=""),"",IF(AND(B906&gt;=Settings!$C$6,B906&lt;=Settings!$C$7),M906*10000+E906,""))</f>
        <v/>
      </c>
      <c r="O906">
        <f>IF(OR(B906="",E906=""),"",B906*10000+E906)</f>
        <v/>
      </c>
      <c r="P906">
        <f>IF(N906="","",E906)</f>
        <v/>
      </c>
    </row>
    <row r="907">
      <c r="A907" s="1" t="n"/>
      <c r="B907" s="20" t="n"/>
      <c r="C907" s="21" t="n"/>
      <c r="D907" s="22" t="n"/>
      <c r="E907" s="23" t="n"/>
      <c r="F907" s="22" t="n"/>
      <c r="G907" s="14">
        <f>IF(OR(B907="",E907="",J907="",K907=""),"",IF(E907&lt;J907,"Below",IF(E907&gt;K907,"Above","In range")))</f>
        <v/>
      </c>
      <c r="H907" s="1" t="n"/>
      <c r="J907">
        <f>IF(M907="","",IF(INDEX(Settings!$C$10:$C$18,M907)="","",INDEX(Settings!$C$10:$C$18,M907)))</f>
        <v/>
      </c>
      <c r="K907">
        <f>IF(M907="","",IF(INDEX(Settings!$D$10:$D$18,M907)="","",INDEX(Settings!$D$10:$D$18,M907)))</f>
        <v/>
      </c>
      <c r="L907">
        <f>IF(OR(B907="",E907=""),"",B907+MOD(N(C907),1)+ROW()/10000000)</f>
        <v/>
      </c>
      <c r="M907">
        <f>IF(D907="","",IFERROR(MATCH(D907,Settings!$B$10:$B$18,0),""))</f>
        <v/>
      </c>
      <c r="N907">
        <f>IF(OR(B907="",E907="",M907=""),"",IF(AND(B907&gt;=Settings!$C$6,B907&lt;=Settings!$C$7),M907*10000+E907,""))</f>
        <v/>
      </c>
      <c r="O907">
        <f>IF(OR(B907="",E907=""),"",B907*10000+E907)</f>
        <v/>
      </c>
      <c r="P907">
        <f>IF(N907="","",E907)</f>
        <v/>
      </c>
    </row>
    <row r="908">
      <c r="A908" s="1" t="n"/>
      <c r="B908" s="20" t="n"/>
      <c r="C908" s="21" t="n"/>
      <c r="D908" s="22" t="n"/>
      <c r="E908" s="23" t="n"/>
      <c r="F908" s="22" t="n"/>
      <c r="G908" s="14">
        <f>IF(OR(B908="",E908="",J908="",K908=""),"",IF(E908&lt;J908,"Below",IF(E908&gt;K908,"Above","In range")))</f>
        <v/>
      </c>
      <c r="H908" s="1" t="n"/>
      <c r="J908">
        <f>IF(M908="","",IF(INDEX(Settings!$C$10:$C$18,M908)="","",INDEX(Settings!$C$10:$C$18,M908)))</f>
        <v/>
      </c>
      <c r="K908">
        <f>IF(M908="","",IF(INDEX(Settings!$D$10:$D$18,M908)="","",INDEX(Settings!$D$10:$D$18,M908)))</f>
        <v/>
      </c>
      <c r="L908">
        <f>IF(OR(B908="",E908=""),"",B908+MOD(N(C908),1)+ROW()/10000000)</f>
        <v/>
      </c>
      <c r="M908">
        <f>IF(D908="","",IFERROR(MATCH(D908,Settings!$B$10:$B$18,0),""))</f>
        <v/>
      </c>
      <c r="N908">
        <f>IF(OR(B908="",E908="",M908=""),"",IF(AND(B908&gt;=Settings!$C$6,B908&lt;=Settings!$C$7),M908*10000+E908,""))</f>
        <v/>
      </c>
      <c r="O908">
        <f>IF(OR(B908="",E908=""),"",B908*10000+E908)</f>
        <v/>
      </c>
      <c r="P908">
        <f>IF(N908="","",E908)</f>
        <v/>
      </c>
    </row>
    <row r="909">
      <c r="A909" s="1" t="n"/>
      <c r="B909" s="20" t="n"/>
      <c r="C909" s="21" t="n"/>
      <c r="D909" s="22" t="n"/>
      <c r="E909" s="23" t="n"/>
      <c r="F909" s="22" t="n"/>
      <c r="G909" s="14">
        <f>IF(OR(B909="",E909="",J909="",K909=""),"",IF(E909&lt;J909,"Below",IF(E909&gt;K909,"Above","In range")))</f>
        <v/>
      </c>
      <c r="H909" s="1" t="n"/>
      <c r="J909">
        <f>IF(M909="","",IF(INDEX(Settings!$C$10:$C$18,M909)="","",INDEX(Settings!$C$10:$C$18,M909)))</f>
        <v/>
      </c>
      <c r="K909">
        <f>IF(M909="","",IF(INDEX(Settings!$D$10:$D$18,M909)="","",INDEX(Settings!$D$10:$D$18,M909)))</f>
        <v/>
      </c>
      <c r="L909">
        <f>IF(OR(B909="",E909=""),"",B909+MOD(N(C909),1)+ROW()/10000000)</f>
        <v/>
      </c>
      <c r="M909">
        <f>IF(D909="","",IFERROR(MATCH(D909,Settings!$B$10:$B$18,0),""))</f>
        <v/>
      </c>
      <c r="N909">
        <f>IF(OR(B909="",E909="",M909=""),"",IF(AND(B909&gt;=Settings!$C$6,B909&lt;=Settings!$C$7),M909*10000+E909,""))</f>
        <v/>
      </c>
      <c r="O909">
        <f>IF(OR(B909="",E909=""),"",B909*10000+E909)</f>
        <v/>
      </c>
      <c r="P909">
        <f>IF(N909="","",E909)</f>
        <v/>
      </c>
    </row>
    <row r="910">
      <c r="A910" s="1" t="n"/>
      <c r="B910" s="20" t="n"/>
      <c r="C910" s="21" t="n"/>
      <c r="D910" s="22" t="n"/>
      <c r="E910" s="23" t="n"/>
      <c r="F910" s="22" t="n"/>
      <c r="G910" s="14">
        <f>IF(OR(B910="",E910="",J910="",K910=""),"",IF(E910&lt;J910,"Below",IF(E910&gt;K910,"Above","In range")))</f>
        <v/>
      </c>
      <c r="H910" s="1" t="n"/>
      <c r="J910">
        <f>IF(M910="","",IF(INDEX(Settings!$C$10:$C$18,M910)="","",INDEX(Settings!$C$10:$C$18,M910)))</f>
        <v/>
      </c>
      <c r="K910">
        <f>IF(M910="","",IF(INDEX(Settings!$D$10:$D$18,M910)="","",INDEX(Settings!$D$10:$D$18,M910)))</f>
        <v/>
      </c>
      <c r="L910">
        <f>IF(OR(B910="",E910=""),"",B910+MOD(N(C910),1)+ROW()/10000000)</f>
        <v/>
      </c>
      <c r="M910">
        <f>IF(D910="","",IFERROR(MATCH(D910,Settings!$B$10:$B$18,0),""))</f>
        <v/>
      </c>
      <c r="N910">
        <f>IF(OR(B910="",E910="",M910=""),"",IF(AND(B910&gt;=Settings!$C$6,B910&lt;=Settings!$C$7),M910*10000+E910,""))</f>
        <v/>
      </c>
      <c r="O910">
        <f>IF(OR(B910="",E910=""),"",B910*10000+E910)</f>
        <v/>
      </c>
      <c r="P910">
        <f>IF(N910="","",E910)</f>
        <v/>
      </c>
    </row>
    <row r="911">
      <c r="A911" s="1" t="n"/>
      <c r="B911" s="20" t="n"/>
      <c r="C911" s="21" t="n"/>
      <c r="D911" s="22" t="n"/>
      <c r="E911" s="23" t="n"/>
      <c r="F911" s="22" t="n"/>
      <c r="G911" s="14">
        <f>IF(OR(B911="",E911="",J911="",K911=""),"",IF(E911&lt;J911,"Below",IF(E911&gt;K911,"Above","In range")))</f>
        <v/>
      </c>
      <c r="H911" s="1" t="n"/>
      <c r="J911">
        <f>IF(M911="","",IF(INDEX(Settings!$C$10:$C$18,M911)="","",INDEX(Settings!$C$10:$C$18,M911)))</f>
        <v/>
      </c>
      <c r="K911">
        <f>IF(M911="","",IF(INDEX(Settings!$D$10:$D$18,M911)="","",INDEX(Settings!$D$10:$D$18,M911)))</f>
        <v/>
      </c>
      <c r="L911">
        <f>IF(OR(B911="",E911=""),"",B911+MOD(N(C911),1)+ROW()/10000000)</f>
        <v/>
      </c>
      <c r="M911">
        <f>IF(D911="","",IFERROR(MATCH(D911,Settings!$B$10:$B$18,0),""))</f>
        <v/>
      </c>
      <c r="N911">
        <f>IF(OR(B911="",E911="",M911=""),"",IF(AND(B911&gt;=Settings!$C$6,B911&lt;=Settings!$C$7),M911*10000+E911,""))</f>
        <v/>
      </c>
      <c r="O911">
        <f>IF(OR(B911="",E911=""),"",B911*10000+E911)</f>
        <v/>
      </c>
      <c r="P911">
        <f>IF(N911="","",E911)</f>
        <v/>
      </c>
    </row>
    <row r="912">
      <c r="A912" s="1" t="n"/>
      <c r="B912" s="20" t="n"/>
      <c r="C912" s="21" t="n"/>
      <c r="D912" s="22" t="n"/>
      <c r="E912" s="23" t="n"/>
      <c r="F912" s="22" t="n"/>
      <c r="G912" s="14">
        <f>IF(OR(B912="",E912="",J912="",K912=""),"",IF(E912&lt;J912,"Below",IF(E912&gt;K912,"Above","In range")))</f>
        <v/>
      </c>
      <c r="H912" s="1" t="n"/>
      <c r="J912">
        <f>IF(M912="","",IF(INDEX(Settings!$C$10:$C$18,M912)="","",INDEX(Settings!$C$10:$C$18,M912)))</f>
        <v/>
      </c>
      <c r="K912">
        <f>IF(M912="","",IF(INDEX(Settings!$D$10:$D$18,M912)="","",INDEX(Settings!$D$10:$D$18,M912)))</f>
        <v/>
      </c>
      <c r="L912">
        <f>IF(OR(B912="",E912=""),"",B912+MOD(N(C912),1)+ROW()/10000000)</f>
        <v/>
      </c>
      <c r="M912">
        <f>IF(D912="","",IFERROR(MATCH(D912,Settings!$B$10:$B$18,0),""))</f>
        <v/>
      </c>
      <c r="N912">
        <f>IF(OR(B912="",E912="",M912=""),"",IF(AND(B912&gt;=Settings!$C$6,B912&lt;=Settings!$C$7),M912*10000+E912,""))</f>
        <v/>
      </c>
      <c r="O912">
        <f>IF(OR(B912="",E912=""),"",B912*10000+E912)</f>
        <v/>
      </c>
      <c r="P912">
        <f>IF(N912="","",E912)</f>
        <v/>
      </c>
    </row>
    <row r="913">
      <c r="A913" s="1" t="n"/>
      <c r="B913" s="20" t="n"/>
      <c r="C913" s="21" t="n"/>
      <c r="D913" s="22" t="n"/>
      <c r="E913" s="23" t="n"/>
      <c r="F913" s="22" t="n"/>
      <c r="G913" s="14">
        <f>IF(OR(B913="",E913="",J913="",K913=""),"",IF(E913&lt;J913,"Below",IF(E913&gt;K913,"Above","In range")))</f>
        <v/>
      </c>
      <c r="H913" s="1" t="n"/>
      <c r="J913">
        <f>IF(M913="","",IF(INDEX(Settings!$C$10:$C$18,M913)="","",INDEX(Settings!$C$10:$C$18,M913)))</f>
        <v/>
      </c>
      <c r="K913">
        <f>IF(M913="","",IF(INDEX(Settings!$D$10:$D$18,M913)="","",INDEX(Settings!$D$10:$D$18,M913)))</f>
        <v/>
      </c>
      <c r="L913">
        <f>IF(OR(B913="",E913=""),"",B913+MOD(N(C913),1)+ROW()/10000000)</f>
        <v/>
      </c>
      <c r="M913">
        <f>IF(D913="","",IFERROR(MATCH(D913,Settings!$B$10:$B$18,0),""))</f>
        <v/>
      </c>
      <c r="N913">
        <f>IF(OR(B913="",E913="",M913=""),"",IF(AND(B913&gt;=Settings!$C$6,B913&lt;=Settings!$C$7),M913*10000+E913,""))</f>
        <v/>
      </c>
      <c r="O913">
        <f>IF(OR(B913="",E913=""),"",B913*10000+E913)</f>
        <v/>
      </c>
      <c r="P913">
        <f>IF(N913="","",E913)</f>
        <v/>
      </c>
    </row>
    <row r="914">
      <c r="A914" s="1" t="n"/>
      <c r="B914" s="20" t="n"/>
      <c r="C914" s="21" t="n"/>
      <c r="D914" s="22" t="n"/>
      <c r="E914" s="23" t="n"/>
      <c r="F914" s="22" t="n"/>
      <c r="G914" s="14">
        <f>IF(OR(B914="",E914="",J914="",K914=""),"",IF(E914&lt;J914,"Below",IF(E914&gt;K914,"Above","In range")))</f>
        <v/>
      </c>
      <c r="H914" s="1" t="n"/>
      <c r="J914">
        <f>IF(M914="","",IF(INDEX(Settings!$C$10:$C$18,M914)="","",INDEX(Settings!$C$10:$C$18,M914)))</f>
        <v/>
      </c>
      <c r="K914">
        <f>IF(M914="","",IF(INDEX(Settings!$D$10:$D$18,M914)="","",INDEX(Settings!$D$10:$D$18,M914)))</f>
        <v/>
      </c>
      <c r="L914">
        <f>IF(OR(B914="",E914=""),"",B914+MOD(N(C914),1)+ROW()/10000000)</f>
        <v/>
      </c>
      <c r="M914">
        <f>IF(D914="","",IFERROR(MATCH(D914,Settings!$B$10:$B$18,0),""))</f>
        <v/>
      </c>
      <c r="N914">
        <f>IF(OR(B914="",E914="",M914=""),"",IF(AND(B914&gt;=Settings!$C$6,B914&lt;=Settings!$C$7),M914*10000+E914,""))</f>
        <v/>
      </c>
      <c r="O914">
        <f>IF(OR(B914="",E914=""),"",B914*10000+E914)</f>
        <v/>
      </c>
      <c r="P914">
        <f>IF(N914="","",E914)</f>
        <v/>
      </c>
    </row>
    <row r="915">
      <c r="A915" s="1" t="n"/>
      <c r="B915" s="20" t="n"/>
      <c r="C915" s="21" t="n"/>
      <c r="D915" s="22" t="n"/>
      <c r="E915" s="23" t="n"/>
      <c r="F915" s="22" t="n"/>
      <c r="G915" s="14">
        <f>IF(OR(B915="",E915="",J915="",K915=""),"",IF(E915&lt;J915,"Below",IF(E915&gt;K915,"Above","In range")))</f>
        <v/>
      </c>
      <c r="H915" s="1" t="n"/>
      <c r="J915">
        <f>IF(M915="","",IF(INDEX(Settings!$C$10:$C$18,M915)="","",INDEX(Settings!$C$10:$C$18,M915)))</f>
        <v/>
      </c>
      <c r="K915">
        <f>IF(M915="","",IF(INDEX(Settings!$D$10:$D$18,M915)="","",INDEX(Settings!$D$10:$D$18,M915)))</f>
        <v/>
      </c>
      <c r="L915">
        <f>IF(OR(B915="",E915=""),"",B915+MOD(N(C915),1)+ROW()/10000000)</f>
        <v/>
      </c>
      <c r="M915">
        <f>IF(D915="","",IFERROR(MATCH(D915,Settings!$B$10:$B$18,0),""))</f>
        <v/>
      </c>
      <c r="N915">
        <f>IF(OR(B915="",E915="",M915=""),"",IF(AND(B915&gt;=Settings!$C$6,B915&lt;=Settings!$C$7),M915*10000+E915,""))</f>
        <v/>
      </c>
      <c r="O915">
        <f>IF(OR(B915="",E915=""),"",B915*10000+E915)</f>
        <v/>
      </c>
      <c r="P915">
        <f>IF(N915="","",E915)</f>
        <v/>
      </c>
    </row>
    <row r="916">
      <c r="A916" s="1" t="n"/>
      <c r="B916" s="20" t="n"/>
      <c r="C916" s="21" t="n"/>
      <c r="D916" s="22" t="n"/>
      <c r="E916" s="23" t="n"/>
      <c r="F916" s="22" t="n"/>
      <c r="G916" s="14">
        <f>IF(OR(B916="",E916="",J916="",K916=""),"",IF(E916&lt;J916,"Below",IF(E916&gt;K916,"Above","In range")))</f>
        <v/>
      </c>
      <c r="H916" s="1" t="n"/>
      <c r="J916">
        <f>IF(M916="","",IF(INDEX(Settings!$C$10:$C$18,M916)="","",INDEX(Settings!$C$10:$C$18,M916)))</f>
        <v/>
      </c>
      <c r="K916">
        <f>IF(M916="","",IF(INDEX(Settings!$D$10:$D$18,M916)="","",INDEX(Settings!$D$10:$D$18,M916)))</f>
        <v/>
      </c>
      <c r="L916">
        <f>IF(OR(B916="",E916=""),"",B916+MOD(N(C916),1)+ROW()/10000000)</f>
        <v/>
      </c>
      <c r="M916">
        <f>IF(D916="","",IFERROR(MATCH(D916,Settings!$B$10:$B$18,0),""))</f>
        <v/>
      </c>
      <c r="N916">
        <f>IF(OR(B916="",E916="",M916=""),"",IF(AND(B916&gt;=Settings!$C$6,B916&lt;=Settings!$C$7),M916*10000+E916,""))</f>
        <v/>
      </c>
      <c r="O916">
        <f>IF(OR(B916="",E916=""),"",B916*10000+E916)</f>
        <v/>
      </c>
      <c r="P916">
        <f>IF(N916="","",E916)</f>
        <v/>
      </c>
    </row>
    <row r="917">
      <c r="A917" s="1" t="n"/>
      <c r="B917" s="20" t="n"/>
      <c r="C917" s="21" t="n"/>
      <c r="D917" s="22" t="n"/>
      <c r="E917" s="23" t="n"/>
      <c r="F917" s="22" t="n"/>
      <c r="G917" s="14">
        <f>IF(OR(B917="",E917="",J917="",K917=""),"",IF(E917&lt;J917,"Below",IF(E917&gt;K917,"Above","In range")))</f>
        <v/>
      </c>
      <c r="H917" s="1" t="n"/>
      <c r="J917">
        <f>IF(M917="","",IF(INDEX(Settings!$C$10:$C$18,M917)="","",INDEX(Settings!$C$10:$C$18,M917)))</f>
        <v/>
      </c>
      <c r="K917">
        <f>IF(M917="","",IF(INDEX(Settings!$D$10:$D$18,M917)="","",INDEX(Settings!$D$10:$D$18,M917)))</f>
        <v/>
      </c>
      <c r="L917">
        <f>IF(OR(B917="",E917=""),"",B917+MOD(N(C917),1)+ROW()/10000000)</f>
        <v/>
      </c>
      <c r="M917">
        <f>IF(D917="","",IFERROR(MATCH(D917,Settings!$B$10:$B$18,0),""))</f>
        <v/>
      </c>
      <c r="N917">
        <f>IF(OR(B917="",E917="",M917=""),"",IF(AND(B917&gt;=Settings!$C$6,B917&lt;=Settings!$C$7),M917*10000+E917,""))</f>
        <v/>
      </c>
      <c r="O917">
        <f>IF(OR(B917="",E917=""),"",B917*10000+E917)</f>
        <v/>
      </c>
      <c r="P917">
        <f>IF(N917="","",E917)</f>
        <v/>
      </c>
    </row>
    <row r="918">
      <c r="A918" s="1" t="n"/>
      <c r="B918" s="20" t="n"/>
      <c r="C918" s="21" t="n"/>
      <c r="D918" s="22" t="n"/>
      <c r="E918" s="23" t="n"/>
      <c r="F918" s="22" t="n"/>
      <c r="G918" s="14">
        <f>IF(OR(B918="",E918="",J918="",K918=""),"",IF(E918&lt;J918,"Below",IF(E918&gt;K918,"Above","In range")))</f>
        <v/>
      </c>
      <c r="H918" s="1" t="n"/>
      <c r="J918">
        <f>IF(M918="","",IF(INDEX(Settings!$C$10:$C$18,M918)="","",INDEX(Settings!$C$10:$C$18,M918)))</f>
        <v/>
      </c>
      <c r="K918">
        <f>IF(M918="","",IF(INDEX(Settings!$D$10:$D$18,M918)="","",INDEX(Settings!$D$10:$D$18,M918)))</f>
        <v/>
      </c>
      <c r="L918">
        <f>IF(OR(B918="",E918=""),"",B918+MOD(N(C918),1)+ROW()/10000000)</f>
        <v/>
      </c>
      <c r="M918">
        <f>IF(D918="","",IFERROR(MATCH(D918,Settings!$B$10:$B$18,0),""))</f>
        <v/>
      </c>
      <c r="N918">
        <f>IF(OR(B918="",E918="",M918=""),"",IF(AND(B918&gt;=Settings!$C$6,B918&lt;=Settings!$C$7),M918*10000+E918,""))</f>
        <v/>
      </c>
      <c r="O918">
        <f>IF(OR(B918="",E918=""),"",B918*10000+E918)</f>
        <v/>
      </c>
      <c r="P918">
        <f>IF(N918="","",E918)</f>
        <v/>
      </c>
    </row>
    <row r="919">
      <c r="A919" s="1" t="n"/>
      <c r="B919" s="20" t="n"/>
      <c r="C919" s="21" t="n"/>
      <c r="D919" s="22" t="n"/>
      <c r="E919" s="23" t="n"/>
      <c r="F919" s="22" t="n"/>
      <c r="G919" s="14">
        <f>IF(OR(B919="",E919="",J919="",K919=""),"",IF(E919&lt;J919,"Below",IF(E919&gt;K919,"Above","In range")))</f>
        <v/>
      </c>
      <c r="H919" s="1" t="n"/>
      <c r="J919">
        <f>IF(M919="","",IF(INDEX(Settings!$C$10:$C$18,M919)="","",INDEX(Settings!$C$10:$C$18,M919)))</f>
        <v/>
      </c>
      <c r="K919">
        <f>IF(M919="","",IF(INDEX(Settings!$D$10:$D$18,M919)="","",INDEX(Settings!$D$10:$D$18,M919)))</f>
        <v/>
      </c>
      <c r="L919">
        <f>IF(OR(B919="",E919=""),"",B919+MOD(N(C919),1)+ROW()/10000000)</f>
        <v/>
      </c>
      <c r="M919">
        <f>IF(D919="","",IFERROR(MATCH(D919,Settings!$B$10:$B$18,0),""))</f>
        <v/>
      </c>
      <c r="N919">
        <f>IF(OR(B919="",E919="",M919=""),"",IF(AND(B919&gt;=Settings!$C$6,B919&lt;=Settings!$C$7),M919*10000+E919,""))</f>
        <v/>
      </c>
      <c r="O919">
        <f>IF(OR(B919="",E919=""),"",B919*10000+E919)</f>
        <v/>
      </c>
      <c r="P919">
        <f>IF(N919="","",E919)</f>
        <v/>
      </c>
    </row>
    <row r="920">
      <c r="A920" s="1" t="n"/>
      <c r="B920" s="20" t="n"/>
      <c r="C920" s="21" t="n"/>
      <c r="D920" s="22" t="n"/>
      <c r="E920" s="23" t="n"/>
      <c r="F920" s="22" t="n"/>
      <c r="G920" s="14">
        <f>IF(OR(B920="",E920="",J920="",K920=""),"",IF(E920&lt;J920,"Below",IF(E920&gt;K920,"Above","In range")))</f>
        <v/>
      </c>
      <c r="H920" s="1" t="n"/>
      <c r="J920">
        <f>IF(M920="","",IF(INDEX(Settings!$C$10:$C$18,M920)="","",INDEX(Settings!$C$10:$C$18,M920)))</f>
        <v/>
      </c>
      <c r="K920">
        <f>IF(M920="","",IF(INDEX(Settings!$D$10:$D$18,M920)="","",INDEX(Settings!$D$10:$D$18,M920)))</f>
        <v/>
      </c>
      <c r="L920">
        <f>IF(OR(B920="",E920=""),"",B920+MOD(N(C920),1)+ROW()/10000000)</f>
        <v/>
      </c>
      <c r="M920">
        <f>IF(D920="","",IFERROR(MATCH(D920,Settings!$B$10:$B$18,0),""))</f>
        <v/>
      </c>
      <c r="N920">
        <f>IF(OR(B920="",E920="",M920=""),"",IF(AND(B920&gt;=Settings!$C$6,B920&lt;=Settings!$C$7),M920*10000+E920,""))</f>
        <v/>
      </c>
      <c r="O920">
        <f>IF(OR(B920="",E920=""),"",B920*10000+E920)</f>
        <v/>
      </c>
      <c r="P920">
        <f>IF(N920="","",E920)</f>
        <v/>
      </c>
    </row>
    <row r="921">
      <c r="A921" s="1" t="n"/>
      <c r="B921" s="20" t="n"/>
      <c r="C921" s="21" t="n"/>
      <c r="D921" s="22" t="n"/>
      <c r="E921" s="23" t="n"/>
      <c r="F921" s="22" t="n"/>
      <c r="G921" s="14">
        <f>IF(OR(B921="",E921="",J921="",K921=""),"",IF(E921&lt;J921,"Below",IF(E921&gt;K921,"Above","In range")))</f>
        <v/>
      </c>
      <c r="H921" s="1" t="n"/>
      <c r="J921">
        <f>IF(M921="","",IF(INDEX(Settings!$C$10:$C$18,M921)="","",INDEX(Settings!$C$10:$C$18,M921)))</f>
        <v/>
      </c>
      <c r="K921">
        <f>IF(M921="","",IF(INDEX(Settings!$D$10:$D$18,M921)="","",INDEX(Settings!$D$10:$D$18,M921)))</f>
        <v/>
      </c>
      <c r="L921">
        <f>IF(OR(B921="",E921=""),"",B921+MOD(N(C921),1)+ROW()/10000000)</f>
        <v/>
      </c>
      <c r="M921">
        <f>IF(D921="","",IFERROR(MATCH(D921,Settings!$B$10:$B$18,0),""))</f>
        <v/>
      </c>
      <c r="N921">
        <f>IF(OR(B921="",E921="",M921=""),"",IF(AND(B921&gt;=Settings!$C$6,B921&lt;=Settings!$C$7),M921*10000+E921,""))</f>
        <v/>
      </c>
      <c r="O921">
        <f>IF(OR(B921="",E921=""),"",B921*10000+E921)</f>
        <v/>
      </c>
      <c r="P921">
        <f>IF(N921="","",E921)</f>
        <v/>
      </c>
    </row>
    <row r="922">
      <c r="A922" s="1" t="n"/>
      <c r="B922" s="20" t="n"/>
      <c r="C922" s="21" t="n"/>
      <c r="D922" s="22" t="n"/>
      <c r="E922" s="23" t="n"/>
      <c r="F922" s="22" t="n"/>
      <c r="G922" s="14">
        <f>IF(OR(B922="",E922="",J922="",K922=""),"",IF(E922&lt;J922,"Below",IF(E922&gt;K922,"Above","In range")))</f>
        <v/>
      </c>
      <c r="H922" s="1" t="n"/>
      <c r="J922">
        <f>IF(M922="","",IF(INDEX(Settings!$C$10:$C$18,M922)="","",INDEX(Settings!$C$10:$C$18,M922)))</f>
        <v/>
      </c>
      <c r="K922">
        <f>IF(M922="","",IF(INDEX(Settings!$D$10:$D$18,M922)="","",INDEX(Settings!$D$10:$D$18,M922)))</f>
        <v/>
      </c>
      <c r="L922">
        <f>IF(OR(B922="",E922=""),"",B922+MOD(N(C922),1)+ROW()/10000000)</f>
        <v/>
      </c>
      <c r="M922">
        <f>IF(D922="","",IFERROR(MATCH(D922,Settings!$B$10:$B$18,0),""))</f>
        <v/>
      </c>
      <c r="N922">
        <f>IF(OR(B922="",E922="",M922=""),"",IF(AND(B922&gt;=Settings!$C$6,B922&lt;=Settings!$C$7),M922*10000+E922,""))</f>
        <v/>
      </c>
      <c r="O922">
        <f>IF(OR(B922="",E922=""),"",B922*10000+E922)</f>
        <v/>
      </c>
      <c r="P922">
        <f>IF(N922="","",E922)</f>
        <v/>
      </c>
    </row>
    <row r="923">
      <c r="A923" s="1" t="n"/>
      <c r="B923" s="20" t="n"/>
      <c r="C923" s="21" t="n"/>
      <c r="D923" s="22" t="n"/>
      <c r="E923" s="23" t="n"/>
      <c r="F923" s="22" t="n"/>
      <c r="G923" s="14">
        <f>IF(OR(B923="",E923="",J923="",K923=""),"",IF(E923&lt;J923,"Below",IF(E923&gt;K923,"Above","In range")))</f>
        <v/>
      </c>
      <c r="H923" s="1" t="n"/>
      <c r="J923">
        <f>IF(M923="","",IF(INDEX(Settings!$C$10:$C$18,M923)="","",INDEX(Settings!$C$10:$C$18,M923)))</f>
        <v/>
      </c>
      <c r="K923">
        <f>IF(M923="","",IF(INDEX(Settings!$D$10:$D$18,M923)="","",INDEX(Settings!$D$10:$D$18,M923)))</f>
        <v/>
      </c>
      <c r="L923">
        <f>IF(OR(B923="",E923=""),"",B923+MOD(N(C923),1)+ROW()/10000000)</f>
        <v/>
      </c>
      <c r="M923">
        <f>IF(D923="","",IFERROR(MATCH(D923,Settings!$B$10:$B$18,0),""))</f>
        <v/>
      </c>
      <c r="N923">
        <f>IF(OR(B923="",E923="",M923=""),"",IF(AND(B923&gt;=Settings!$C$6,B923&lt;=Settings!$C$7),M923*10000+E923,""))</f>
        <v/>
      </c>
      <c r="O923">
        <f>IF(OR(B923="",E923=""),"",B923*10000+E923)</f>
        <v/>
      </c>
      <c r="P923">
        <f>IF(N923="","",E923)</f>
        <v/>
      </c>
    </row>
    <row r="924">
      <c r="A924" s="1" t="n"/>
      <c r="B924" s="20" t="n"/>
      <c r="C924" s="21" t="n"/>
      <c r="D924" s="22" t="n"/>
      <c r="E924" s="23" t="n"/>
      <c r="F924" s="22" t="n"/>
      <c r="G924" s="14">
        <f>IF(OR(B924="",E924="",J924="",K924=""),"",IF(E924&lt;J924,"Below",IF(E924&gt;K924,"Above","In range")))</f>
        <v/>
      </c>
      <c r="H924" s="1" t="n"/>
      <c r="J924">
        <f>IF(M924="","",IF(INDEX(Settings!$C$10:$C$18,M924)="","",INDEX(Settings!$C$10:$C$18,M924)))</f>
        <v/>
      </c>
      <c r="K924">
        <f>IF(M924="","",IF(INDEX(Settings!$D$10:$D$18,M924)="","",INDEX(Settings!$D$10:$D$18,M924)))</f>
        <v/>
      </c>
      <c r="L924">
        <f>IF(OR(B924="",E924=""),"",B924+MOD(N(C924),1)+ROW()/10000000)</f>
        <v/>
      </c>
      <c r="M924">
        <f>IF(D924="","",IFERROR(MATCH(D924,Settings!$B$10:$B$18,0),""))</f>
        <v/>
      </c>
      <c r="N924">
        <f>IF(OR(B924="",E924="",M924=""),"",IF(AND(B924&gt;=Settings!$C$6,B924&lt;=Settings!$C$7),M924*10000+E924,""))</f>
        <v/>
      </c>
      <c r="O924">
        <f>IF(OR(B924="",E924=""),"",B924*10000+E924)</f>
        <v/>
      </c>
      <c r="P924">
        <f>IF(N924="","",E924)</f>
        <v/>
      </c>
    </row>
    <row r="925">
      <c r="A925" s="1" t="n"/>
      <c r="B925" s="20" t="n"/>
      <c r="C925" s="21" t="n"/>
      <c r="D925" s="22" t="n"/>
      <c r="E925" s="23" t="n"/>
      <c r="F925" s="22" t="n"/>
      <c r="G925" s="14">
        <f>IF(OR(B925="",E925="",J925="",K925=""),"",IF(E925&lt;J925,"Below",IF(E925&gt;K925,"Above","In range")))</f>
        <v/>
      </c>
      <c r="H925" s="1" t="n"/>
      <c r="J925">
        <f>IF(M925="","",IF(INDEX(Settings!$C$10:$C$18,M925)="","",INDEX(Settings!$C$10:$C$18,M925)))</f>
        <v/>
      </c>
      <c r="K925">
        <f>IF(M925="","",IF(INDEX(Settings!$D$10:$D$18,M925)="","",INDEX(Settings!$D$10:$D$18,M925)))</f>
        <v/>
      </c>
      <c r="L925">
        <f>IF(OR(B925="",E925=""),"",B925+MOD(N(C925),1)+ROW()/10000000)</f>
        <v/>
      </c>
      <c r="M925">
        <f>IF(D925="","",IFERROR(MATCH(D925,Settings!$B$10:$B$18,0),""))</f>
        <v/>
      </c>
      <c r="N925">
        <f>IF(OR(B925="",E925="",M925=""),"",IF(AND(B925&gt;=Settings!$C$6,B925&lt;=Settings!$C$7),M925*10000+E925,""))</f>
        <v/>
      </c>
      <c r="O925">
        <f>IF(OR(B925="",E925=""),"",B925*10000+E925)</f>
        <v/>
      </c>
      <c r="P925">
        <f>IF(N925="","",E925)</f>
        <v/>
      </c>
    </row>
    <row r="926">
      <c r="A926" s="1" t="n"/>
      <c r="B926" s="20" t="n"/>
      <c r="C926" s="21" t="n"/>
      <c r="D926" s="22" t="n"/>
      <c r="E926" s="23" t="n"/>
      <c r="F926" s="22" t="n"/>
      <c r="G926" s="14">
        <f>IF(OR(B926="",E926="",J926="",K926=""),"",IF(E926&lt;J926,"Below",IF(E926&gt;K926,"Above","In range")))</f>
        <v/>
      </c>
      <c r="H926" s="1" t="n"/>
      <c r="J926">
        <f>IF(M926="","",IF(INDEX(Settings!$C$10:$C$18,M926)="","",INDEX(Settings!$C$10:$C$18,M926)))</f>
        <v/>
      </c>
      <c r="K926">
        <f>IF(M926="","",IF(INDEX(Settings!$D$10:$D$18,M926)="","",INDEX(Settings!$D$10:$D$18,M926)))</f>
        <v/>
      </c>
      <c r="L926">
        <f>IF(OR(B926="",E926=""),"",B926+MOD(N(C926),1)+ROW()/10000000)</f>
        <v/>
      </c>
      <c r="M926">
        <f>IF(D926="","",IFERROR(MATCH(D926,Settings!$B$10:$B$18,0),""))</f>
        <v/>
      </c>
      <c r="N926">
        <f>IF(OR(B926="",E926="",M926=""),"",IF(AND(B926&gt;=Settings!$C$6,B926&lt;=Settings!$C$7),M926*10000+E926,""))</f>
        <v/>
      </c>
      <c r="O926">
        <f>IF(OR(B926="",E926=""),"",B926*10000+E926)</f>
        <v/>
      </c>
      <c r="P926">
        <f>IF(N926="","",E926)</f>
        <v/>
      </c>
    </row>
    <row r="927">
      <c r="A927" s="1" t="n"/>
      <c r="B927" s="20" t="n"/>
      <c r="C927" s="21" t="n"/>
      <c r="D927" s="22" t="n"/>
      <c r="E927" s="23" t="n"/>
      <c r="F927" s="22" t="n"/>
      <c r="G927" s="14">
        <f>IF(OR(B927="",E927="",J927="",K927=""),"",IF(E927&lt;J927,"Below",IF(E927&gt;K927,"Above","In range")))</f>
        <v/>
      </c>
      <c r="H927" s="1" t="n"/>
      <c r="J927">
        <f>IF(M927="","",IF(INDEX(Settings!$C$10:$C$18,M927)="","",INDEX(Settings!$C$10:$C$18,M927)))</f>
        <v/>
      </c>
      <c r="K927">
        <f>IF(M927="","",IF(INDEX(Settings!$D$10:$D$18,M927)="","",INDEX(Settings!$D$10:$D$18,M927)))</f>
        <v/>
      </c>
      <c r="L927">
        <f>IF(OR(B927="",E927=""),"",B927+MOD(N(C927),1)+ROW()/10000000)</f>
        <v/>
      </c>
      <c r="M927">
        <f>IF(D927="","",IFERROR(MATCH(D927,Settings!$B$10:$B$18,0),""))</f>
        <v/>
      </c>
      <c r="N927">
        <f>IF(OR(B927="",E927="",M927=""),"",IF(AND(B927&gt;=Settings!$C$6,B927&lt;=Settings!$C$7),M927*10000+E927,""))</f>
        <v/>
      </c>
      <c r="O927">
        <f>IF(OR(B927="",E927=""),"",B927*10000+E927)</f>
        <v/>
      </c>
      <c r="P927">
        <f>IF(N927="","",E927)</f>
        <v/>
      </c>
    </row>
    <row r="928">
      <c r="A928" s="1" t="n"/>
      <c r="B928" s="20" t="n"/>
      <c r="C928" s="21" t="n"/>
      <c r="D928" s="22" t="n"/>
      <c r="E928" s="23" t="n"/>
      <c r="F928" s="22" t="n"/>
      <c r="G928" s="14">
        <f>IF(OR(B928="",E928="",J928="",K928=""),"",IF(E928&lt;J928,"Below",IF(E928&gt;K928,"Above","In range")))</f>
        <v/>
      </c>
      <c r="H928" s="1" t="n"/>
      <c r="J928">
        <f>IF(M928="","",IF(INDEX(Settings!$C$10:$C$18,M928)="","",INDEX(Settings!$C$10:$C$18,M928)))</f>
        <v/>
      </c>
      <c r="K928">
        <f>IF(M928="","",IF(INDEX(Settings!$D$10:$D$18,M928)="","",INDEX(Settings!$D$10:$D$18,M928)))</f>
        <v/>
      </c>
      <c r="L928">
        <f>IF(OR(B928="",E928=""),"",B928+MOD(N(C928),1)+ROW()/10000000)</f>
        <v/>
      </c>
      <c r="M928">
        <f>IF(D928="","",IFERROR(MATCH(D928,Settings!$B$10:$B$18,0),""))</f>
        <v/>
      </c>
      <c r="N928">
        <f>IF(OR(B928="",E928="",M928=""),"",IF(AND(B928&gt;=Settings!$C$6,B928&lt;=Settings!$C$7),M928*10000+E928,""))</f>
        <v/>
      </c>
      <c r="O928">
        <f>IF(OR(B928="",E928=""),"",B928*10000+E928)</f>
        <v/>
      </c>
      <c r="P928">
        <f>IF(N928="","",E928)</f>
        <v/>
      </c>
    </row>
    <row r="929">
      <c r="A929" s="1" t="n"/>
      <c r="B929" s="20" t="n"/>
      <c r="C929" s="21" t="n"/>
      <c r="D929" s="22" t="n"/>
      <c r="E929" s="23" t="n"/>
      <c r="F929" s="22" t="n"/>
      <c r="G929" s="14">
        <f>IF(OR(B929="",E929="",J929="",K929=""),"",IF(E929&lt;J929,"Below",IF(E929&gt;K929,"Above","In range")))</f>
        <v/>
      </c>
      <c r="H929" s="1" t="n"/>
      <c r="J929">
        <f>IF(M929="","",IF(INDEX(Settings!$C$10:$C$18,M929)="","",INDEX(Settings!$C$10:$C$18,M929)))</f>
        <v/>
      </c>
      <c r="K929">
        <f>IF(M929="","",IF(INDEX(Settings!$D$10:$D$18,M929)="","",INDEX(Settings!$D$10:$D$18,M929)))</f>
        <v/>
      </c>
      <c r="L929">
        <f>IF(OR(B929="",E929=""),"",B929+MOD(N(C929),1)+ROW()/10000000)</f>
        <v/>
      </c>
      <c r="M929">
        <f>IF(D929="","",IFERROR(MATCH(D929,Settings!$B$10:$B$18,0),""))</f>
        <v/>
      </c>
      <c r="N929">
        <f>IF(OR(B929="",E929="",M929=""),"",IF(AND(B929&gt;=Settings!$C$6,B929&lt;=Settings!$C$7),M929*10000+E929,""))</f>
        <v/>
      </c>
      <c r="O929">
        <f>IF(OR(B929="",E929=""),"",B929*10000+E929)</f>
        <v/>
      </c>
      <c r="P929">
        <f>IF(N929="","",E929)</f>
        <v/>
      </c>
    </row>
    <row r="930">
      <c r="A930" s="1" t="n"/>
      <c r="B930" s="20" t="n"/>
      <c r="C930" s="21" t="n"/>
      <c r="D930" s="22" t="n"/>
      <c r="E930" s="23" t="n"/>
      <c r="F930" s="22" t="n"/>
      <c r="G930" s="14">
        <f>IF(OR(B930="",E930="",J930="",K930=""),"",IF(E930&lt;J930,"Below",IF(E930&gt;K930,"Above","In range")))</f>
        <v/>
      </c>
      <c r="H930" s="1" t="n"/>
      <c r="J930">
        <f>IF(M930="","",IF(INDEX(Settings!$C$10:$C$18,M930)="","",INDEX(Settings!$C$10:$C$18,M930)))</f>
        <v/>
      </c>
      <c r="K930">
        <f>IF(M930="","",IF(INDEX(Settings!$D$10:$D$18,M930)="","",INDEX(Settings!$D$10:$D$18,M930)))</f>
        <v/>
      </c>
      <c r="L930">
        <f>IF(OR(B930="",E930=""),"",B930+MOD(N(C930),1)+ROW()/10000000)</f>
        <v/>
      </c>
      <c r="M930">
        <f>IF(D930="","",IFERROR(MATCH(D930,Settings!$B$10:$B$18,0),""))</f>
        <v/>
      </c>
      <c r="N930">
        <f>IF(OR(B930="",E930="",M930=""),"",IF(AND(B930&gt;=Settings!$C$6,B930&lt;=Settings!$C$7),M930*10000+E930,""))</f>
        <v/>
      </c>
      <c r="O930">
        <f>IF(OR(B930="",E930=""),"",B930*10000+E930)</f>
        <v/>
      </c>
      <c r="P930">
        <f>IF(N930="","",E930)</f>
        <v/>
      </c>
    </row>
    <row r="931">
      <c r="A931" s="1" t="n"/>
      <c r="B931" s="20" t="n"/>
      <c r="C931" s="21" t="n"/>
      <c r="D931" s="22" t="n"/>
      <c r="E931" s="23" t="n"/>
      <c r="F931" s="22" t="n"/>
      <c r="G931" s="14">
        <f>IF(OR(B931="",E931="",J931="",K931=""),"",IF(E931&lt;J931,"Below",IF(E931&gt;K931,"Above","In range")))</f>
        <v/>
      </c>
      <c r="H931" s="1" t="n"/>
      <c r="J931">
        <f>IF(M931="","",IF(INDEX(Settings!$C$10:$C$18,M931)="","",INDEX(Settings!$C$10:$C$18,M931)))</f>
        <v/>
      </c>
      <c r="K931">
        <f>IF(M931="","",IF(INDEX(Settings!$D$10:$D$18,M931)="","",INDEX(Settings!$D$10:$D$18,M931)))</f>
        <v/>
      </c>
      <c r="L931">
        <f>IF(OR(B931="",E931=""),"",B931+MOD(N(C931),1)+ROW()/10000000)</f>
        <v/>
      </c>
      <c r="M931">
        <f>IF(D931="","",IFERROR(MATCH(D931,Settings!$B$10:$B$18,0),""))</f>
        <v/>
      </c>
      <c r="N931">
        <f>IF(OR(B931="",E931="",M931=""),"",IF(AND(B931&gt;=Settings!$C$6,B931&lt;=Settings!$C$7),M931*10000+E931,""))</f>
        <v/>
      </c>
      <c r="O931">
        <f>IF(OR(B931="",E931=""),"",B931*10000+E931)</f>
        <v/>
      </c>
      <c r="P931">
        <f>IF(N931="","",E931)</f>
        <v/>
      </c>
    </row>
    <row r="932">
      <c r="A932" s="1" t="n"/>
      <c r="B932" s="20" t="n"/>
      <c r="C932" s="21" t="n"/>
      <c r="D932" s="22" t="n"/>
      <c r="E932" s="23" t="n"/>
      <c r="F932" s="22" t="n"/>
      <c r="G932" s="14">
        <f>IF(OR(B932="",E932="",J932="",K932=""),"",IF(E932&lt;J932,"Below",IF(E932&gt;K932,"Above","In range")))</f>
        <v/>
      </c>
      <c r="H932" s="1" t="n"/>
      <c r="J932">
        <f>IF(M932="","",IF(INDEX(Settings!$C$10:$C$18,M932)="","",INDEX(Settings!$C$10:$C$18,M932)))</f>
        <v/>
      </c>
      <c r="K932">
        <f>IF(M932="","",IF(INDEX(Settings!$D$10:$D$18,M932)="","",INDEX(Settings!$D$10:$D$18,M932)))</f>
        <v/>
      </c>
      <c r="L932">
        <f>IF(OR(B932="",E932=""),"",B932+MOD(N(C932),1)+ROW()/10000000)</f>
        <v/>
      </c>
      <c r="M932">
        <f>IF(D932="","",IFERROR(MATCH(D932,Settings!$B$10:$B$18,0),""))</f>
        <v/>
      </c>
      <c r="N932">
        <f>IF(OR(B932="",E932="",M932=""),"",IF(AND(B932&gt;=Settings!$C$6,B932&lt;=Settings!$C$7),M932*10000+E932,""))</f>
        <v/>
      </c>
      <c r="O932">
        <f>IF(OR(B932="",E932=""),"",B932*10000+E932)</f>
        <v/>
      </c>
      <c r="P932">
        <f>IF(N932="","",E932)</f>
        <v/>
      </c>
    </row>
    <row r="933">
      <c r="A933" s="1" t="n"/>
      <c r="B933" s="20" t="n"/>
      <c r="C933" s="21" t="n"/>
      <c r="D933" s="22" t="n"/>
      <c r="E933" s="23" t="n"/>
      <c r="F933" s="22" t="n"/>
      <c r="G933" s="14">
        <f>IF(OR(B933="",E933="",J933="",K933=""),"",IF(E933&lt;J933,"Below",IF(E933&gt;K933,"Above","In range")))</f>
        <v/>
      </c>
      <c r="H933" s="1" t="n"/>
      <c r="J933">
        <f>IF(M933="","",IF(INDEX(Settings!$C$10:$C$18,M933)="","",INDEX(Settings!$C$10:$C$18,M933)))</f>
        <v/>
      </c>
      <c r="K933">
        <f>IF(M933="","",IF(INDEX(Settings!$D$10:$D$18,M933)="","",INDEX(Settings!$D$10:$D$18,M933)))</f>
        <v/>
      </c>
      <c r="L933">
        <f>IF(OR(B933="",E933=""),"",B933+MOD(N(C933),1)+ROW()/10000000)</f>
        <v/>
      </c>
      <c r="M933">
        <f>IF(D933="","",IFERROR(MATCH(D933,Settings!$B$10:$B$18,0),""))</f>
        <v/>
      </c>
      <c r="N933">
        <f>IF(OR(B933="",E933="",M933=""),"",IF(AND(B933&gt;=Settings!$C$6,B933&lt;=Settings!$C$7),M933*10000+E933,""))</f>
        <v/>
      </c>
      <c r="O933">
        <f>IF(OR(B933="",E933=""),"",B933*10000+E933)</f>
        <v/>
      </c>
      <c r="P933">
        <f>IF(N933="","",E933)</f>
        <v/>
      </c>
    </row>
    <row r="934">
      <c r="A934" s="1" t="n"/>
      <c r="B934" s="20" t="n"/>
      <c r="C934" s="21" t="n"/>
      <c r="D934" s="22" t="n"/>
      <c r="E934" s="23" t="n"/>
      <c r="F934" s="22" t="n"/>
      <c r="G934" s="14">
        <f>IF(OR(B934="",E934="",J934="",K934=""),"",IF(E934&lt;J934,"Below",IF(E934&gt;K934,"Above","In range")))</f>
        <v/>
      </c>
      <c r="H934" s="1" t="n"/>
      <c r="J934">
        <f>IF(M934="","",IF(INDEX(Settings!$C$10:$C$18,M934)="","",INDEX(Settings!$C$10:$C$18,M934)))</f>
        <v/>
      </c>
      <c r="K934">
        <f>IF(M934="","",IF(INDEX(Settings!$D$10:$D$18,M934)="","",INDEX(Settings!$D$10:$D$18,M934)))</f>
        <v/>
      </c>
      <c r="L934">
        <f>IF(OR(B934="",E934=""),"",B934+MOD(N(C934),1)+ROW()/10000000)</f>
        <v/>
      </c>
      <c r="M934">
        <f>IF(D934="","",IFERROR(MATCH(D934,Settings!$B$10:$B$18,0),""))</f>
        <v/>
      </c>
      <c r="N934">
        <f>IF(OR(B934="",E934="",M934=""),"",IF(AND(B934&gt;=Settings!$C$6,B934&lt;=Settings!$C$7),M934*10000+E934,""))</f>
        <v/>
      </c>
      <c r="O934">
        <f>IF(OR(B934="",E934=""),"",B934*10000+E934)</f>
        <v/>
      </c>
      <c r="P934">
        <f>IF(N934="","",E934)</f>
        <v/>
      </c>
    </row>
    <row r="935">
      <c r="A935" s="1" t="n"/>
      <c r="B935" s="20" t="n"/>
      <c r="C935" s="21" t="n"/>
      <c r="D935" s="22" t="n"/>
      <c r="E935" s="23" t="n"/>
      <c r="F935" s="22" t="n"/>
      <c r="G935" s="14">
        <f>IF(OR(B935="",E935="",J935="",K935=""),"",IF(E935&lt;J935,"Below",IF(E935&gt;K935,"Above","In range")))</f>
        <v/>
      </c>
      <c r="H935" s="1" t="n"/>
      <c r="J935">
        <f>IF(M935="","",IF(INDEX(Settings!$C$10:$C$18,M935)="","",INDEX(Settings!$C$10:$C$18,M935)))</f>
        <v/>
      </c>
      <c r="K935">
        <f>IF(M935="","",IF(INDEX(Settings!$D$10:$D$18,M935)="","",INDEX(Settings!$D$10:$D$18,M935)))</f>
        <v/>
      </c>
      <c r="L935">
        <f>IF(OR(B935="",E935=""),"",B935+MOD(N(C935),1)+ROW()/10000000)</f>
        <v/>
      </c>
      <c r="M935">
        <f>IF(D935="","",IFERROR(MATCH(D935,Settings!$B$10:$B$18,0),""))</f>
        <v/>
      </c>
      <c r="N935">
        <f>IF(OR(B935="",E935="",M935=""),"",IF(AND(B935&gt;=Settings!$C$6,B935&lt;=Settings!$C$7),M935*10000+E935,""))</f>
        <v/>
      </c>
      <c r="O935">
        <f>IF(OR(B935="",E935=""),"",B935*10000+E935)</f>
        <v/>
      </c>
      <c r="P935">
        <f>IF(N935="","",E935)</f>
        <v/>
      </c>
    </row>
    <row r="936">
      <c r="A936" s="1" t="n"/>
      <c r="B936" s="20" t="n"/>
      <c r="C936" s="21" t="n"/>
      <c r="D936" s="22" t="n"/>
      <c r="E936" s="23" t="n"/>
      <c r="F936" s="22" t="n"/>
      <c r="G936" s="14">
        <f>IF(OR(B936="",E936="",J936="",K936=""),"",IF(E936&lt;J936,"Below",IF(E936&gt;K936,"Above","In range")))</f>
        <v/>
      </c>
      <c r="H936" s="1" t="n"/>
      <c r="J936">
        <f>IF(M936="","",IF(INDEX(Settings!$C$10:$C$18,M936)="","",INDEX(Settings!$C$10:$C$18,M936)))</f>
        <v/>
      </c>
      <c r="K936">
        <f>IF(M936="","",IF(INDEX(Settings!$D$10:$D$18,M936)="","",INDEX(Settings!$D$10:$D$18,M936)))</f>
        <v/>
      </c>
      <c r="L936">
        <f>IF(OR(B936="",E936=""),"",B936+MOD(N(C936),1)+ROW()/10000000)</f>
        <v/>
      </c>
      <c r="M936">
        <f>IF(D936="","",IFERROR(MATCH(D936,Settings!$B$10:$B$18,0),""))</f>
        <v/>
      </c>
      <c r="N936">
        <f>IF(OR(B936="",E936="",M936=""),"",IF(AND(B936&gt;=Settings!$C$6,B936&lt;=Settings!$C$7),M936*10000+E936,""))</f>
        <v/>
      </c>
      <c r="O936">
        <f>IF(OR(B936="",E936=""),"",B936*10000+E936)</f>
        <v/>
      </c>
      <c r="P936">
        <f>IF(N936="","",E936)</f>
        <v/>
      </c>
    </row>
    <row r="937">
      <c r="A937" s="1" t="n"/>
      <c r="B937" s="20" t="n"/>
      <c r="C937" s="21" t="n"/>
      <c r="D937" s="22" t="n"/>
      <c r="E937" s="23" t="n"/>
      <c r="F937" s="22" t="n"/>
      <c r="G937" s="14">
        <f>IF(OR(B937="",E937="",J937="",K937=""),"",IF(E937&lt;J937,"Below",IF(E937&gt;K937,"Above","In range")))</f>
        <v/>
      </c>
      <c r="H937" s="1" t="n"/>
      <c r="J937">
        <f>IF(M937="","",IF(INDEX(Settings!$C$10:$C$18,M937)="","",INDEX(Settings!$C$10:$C$18,M937)))</f>
        <v/>
      </c>
      <c r="K937">
        <f>IF(M937="","",IF(INDEX(Settings!$D$10:$D$18,M937)="","",INDEX(Settings!$D$10:$D$18,M937)))</f>
        <v/>
      </c>
      <c r="L937">
        <f>IF(OR(B937="",E937=""),"",B937+MOD(N(C937),1)+ROW()/10000000)</f>
        <v/>
      </c>
      <c r="M937">
        <f>IF(D937="","",IFERROR(MATCH(D937,Settings!$B$10:$B$18,0),""))</f>
        <v/>
      </c>
      <c r="N937">
        <f>IF(OR(B937="",E937="",M937=""),"",IF(AND(B937&gt;=Settings!$C$6,B937&lt;=Settings!$C$7),M937*10000+E937,""))</f>
        <v/>
      </c>
      <c r="O937">
        <f>IF(OR(B937="",E937=""),"",B937*10000+E937)</f>
        <v/>
      </c>
      <c r="P937">
        <f>IF(N937="","",E937)</f>
        <v/>
      </c>
    </row>
    <row r="938">
      <c r="A938" s="1" t="n"/>
      <c r="B938" s="20" t="n"/>
      <c r="C938" s="21" t="n"/>
      <c r="D938" s="22" t="n"/>
      <c r="E938" s="23" t="n"/>
      <c r="F938" s="22" t="n"/>
      <c r="G938" s="14">
        <f>IF(OR(B938="",E938="",J938="",K938=""),"",IF(E938&lt;J938,"Below",IF(E938&gt;K938,"Above","In range")))</f>
        <v/>
      </c>
      <c r="H938" s="1" t="n"/>
      <c r="J938">
        <f>IF(M938="","",IF(INDEX(Settings!$C$10:$C$18,M938)="","",INDEX(Settings!$C$10:$C$18,M938)))</f>
        <v/>
      </c>
      <c r="K938">
        <f>IF(M938="","",IF(INDEX(Settings!$D$10:$D$18,M938)="","",INDEX(Settings!$D$10:$D$18,M938)))</f>
        <v/>
      </c>
      <c r="L938">
        <f>IF(OR(B938="",E938=""),"",B938+MOD(N(C938),1)+ROW()/10000000)</f>
        <v/>
      </c>
      <c r="M938">
        <f>IF(D938="","",IFERROR(MATCH(D938,Settings!$B$10:$B$18,0),""))</f>
        <v/>
      </c>
      <c r="N938">
        <f>IF(OR(B938="",E938="",M938=""),"",IF(AND(B938&gt;=Settings!$C$6,B938&lt;=Settings!$C$7),M938*10000+E938,""))</f>
        <v/>
      </c>
      <c r="O938">
        <f>IF(OR(B938="",E938=""),"",B938*10000+E938)</f>
        <v/>
      </c>
      <c r="P938">
        <f>IF(N938="","",E938)</f>
        <v/>
      </c>
    </row>
    <row r="939">
      <c r="A939" s="1" t="n"/>
      <c r="B939" s="20" t="n"/>
      <c r="C939" s="21" t="n"/>
      <c r="D939" s="22" t="n"/>
      <c r="E939" s="23" t="n"/>
      <c r="F939" s="22" t="n"/>
      <c r="G939" s="14">
        <f>IF(OR(B939="",E939="",J939="",K939=""),"",IF(E939&lt;J939,"Below",IF(E939&gt;K939,"Above","In range")))</f>
        <v/>
      </c>
      <c r="H939" s="1" t="n"/>
      <c r="J939">
        <f>IF(M939="","",IF(INDEX(Settings!$C$10:$C$18,M939)="","",INDEX(Settings!$C$10:$C$18,M939)))</f>
        <v/>
      </c>
      <c r="K939">
        <f>IF(M939="","",IF(INDEX(Settings!$D$10:$D$18,M939)="","",INDEX(Settings!$D$10:$D$18,M939)))</f>
        <v/>
      </c>
      <c r="L939">
        <f>IF(OR(B939="",E939=""),"",B939+MOD(N(C939),1)+ROW()/10000000)</f>
        <v/>
      </c>
      <c r="M939">
        <f>IF(D939="","",IFERROR(MATCH(D939,Settings!$B$10:$B$18,0),""))</f>
        <v/>
      </c>
      <c r="N939">
        <f>IF(OR(B939="",E939="",M939=""),"",IF(AND(B939&gt;=Settings!$C$6,B939&lt;=Settings!$C$7),M939*10000+E939,""))</f>
        <v/>
      </c>
      <c r="O939">
        <f>IF(OR(B939="",E939=""),"",B939*10000+E939)</f>
        <v/>
      </c>
      <c r="P939">
        <f>IF(N939="","",E939)</f>
        <v/>
      </c>
    </row>
    <row r="940">
      <c r="A940" s="1" t="n"/>
      <c r="B940" s="20" t="n"/>
      <c r="C940" s="21" t="n"/>
      <c r="D940" s="22" t="n"/>
      <c r="E940" s="23" t="n"/>
      <c r="F940" s="22" t="n"/>
      <c r="G940" s="14">
        <f>IF(OR(B940="",E940="",J940="",K940=""),"",IF(E940&lt;J940,"Below",IF(E940&gt;K940,"Above","In range")))</f>
        <v/>
      </c>
      <c r="H940" s="1" t="n"/>
      <c r="J940">
        <f>IF(M940="","",IF(INDEX(Settings!$C$10:$C$18,M940)="","",INDEX(Settings!$C$10:$C$18,M940)))</f>
        <v/>
      </c>
      <c r="K940">
        <f>IF(M940="","",IF(INDEX(Settings!$D$10:$D$18,M940)="","",INDEX(Settings!$D$10:$D$18,M940)))</f>
        <v/>
      </c>
      <c r="L940">
        <f>IF(OR(B940="",E940=""),"",B940+MOD(N(C940),1)+ROW()/10000000)</f>
        <v/>
      </c>
      <c r="M940">
        <f>IF(D940="","",IFERROR(MATCH(D940,Settings!$B$10:$B$18,0),""))</f>
        <v/>
      </c>
      <c r="N940">
        <f>IF(OR(B940="",E940="",M940=""),"",IF(AND(B940&gt;=Settings!$C$6,B940&lt;=Settings!$C$7),M940*10000+E940,""))</f>
        <v/>
      </c>
      <c r="O940">
        <f>IF(OR(B940="",E940=""),"",B940*10000+E940)</f>
        <v/>
      </c>
      <c r="P940">
        <f>IF(N940="","",E940)</f>
        <v/>
      </c>
    </row>
    <row r="941">
      <c r="A941" s="1" t="n"/>
      <c r="B941" s="20" t="n"/>
      <c r="C941" s="21" t="n"/>
      <c r="D941" s="22" t="n"/>
      <c r="E941" s="23" t="n"/>
      <c r="F941" s="22" t="n"/>
      <c r="G941" s="14">
        <f>IF(OR(B941="",E941="",J941="",K941=""),"",IF(E941&lt;J941,"Below",IF(E941&gt;K941,"Above","In range")))</f>
        <v/>
      </c>
      <c r="H941" s="1" t="n"/>
      <c r="J941">
        <f>IF(M941="","",IF(INDEX(Settings!$C$10:$C$18,M941)="","",INDEX(Settings!$C$10:$C$18,M941)))</f>
        <v/>
      </c>
      <c r="K941">
        <f>IF(M941="","",IF(INDEX(Settings!$D$10:$D$18,M941)="","",INDEX(Settings!$D$10:$D$18,M941)))</f>
        <v/>
      </c>
      <c r="L941">
        <f>IF(OR(B941="",E941=""),"",B941+MOD(N(C941),1)+ROW()/10000000)</f>
        <v/>
      </c>
      <c r="M941">
        <f>IF(D941="","",IFERROR(MATCH(D941,Settings!$B$10:$B$18,0),""))</f>
        <v/>
      </c>
      <c r="N941">
        <f>IF(OR(B941="",E941="",M941=""),"",IF(AND(B941&gt;=Settings!$C$6,B941&lt;=Settings!$C$7),M941*10000+E941,""))</f>
        <v/>
      </c>
      <c r="O941">
        <f>IF(OR(B941="",E941=""),"",B941*10000+E941)</f>
        <v/>
      </c>
      <c r="P941">
        <f>IF(N941="","",E941)</f>
        <v/>
      </c>
    </row>
    <row r="942">
      <c r="A942" s="1" t="n"/>
      <c r="B942" s="20" t="n"/>
      <c r="C942" s="21" t="n"/>
      <c r="D942" s="22" t="n"/>
      <c r="E942" s="23" t="n"/>
      <c r="F942" s="22" t="n"/>
      <c r="G942" s="14">
        <f>IF(OR(B942="",E942="",J942="",K942=""),"",IF(E942&lt;J942,"Below",IF(E942&gt;K942,"Above","In range")))</f>
        <v/>
      </c>
      <c r="H942" s="1" t="n"/>
      <c r="J942">
        <f>IF(M942="","",IF(INDEX(Settings!$C$10:$C$18,M942)="","",INDEX(Settings!$C$10:$C$18,M942)))</f>
        <v/>
      </c>
      <c r="K942">
        <f>IF(M942="","",IF(INDEX(Settings!$D$10:$D$18,M942)="","",INDEX(Settings!$D$10:$D$18,M942)))</f>
        <v/>
      </c>
      <c r="L942">
        <f>IF(OR(B942="",E942=""),"",B942+MOD(N(C942),1)+ROW()/10000000)</f>
        <v/>
      </c>
      <c r="M942">
        <f>IF(D942="","",IFERROR(MATCH(D942,Settings!$B$10:$B$18,0),""))</f>
        <v/>
      </c>
      <c r="N942">
        <f>IF(OR(B942="",E942="",M942=""),"",IF(AND(B942&gt;=Settings!$C$6,B942&lt;=Settings!$C$7),M942*10000+E942,""))</f>
        <v/>
      </c>
      <c r="O942">
        <f>IF(OR(B942="",E942=""),"",B942*10000+E942)</f>
        <v/>
      </c>
      <c r="P942">
        <f>IF(N942="","",E942)</f>
        <v/>
      </c>
    </row>
    <row r="943">
      <c r="A943" s="1" t="n"/>
      <c r="B943" s="20" t="n"/>
      <c r="C943" s="21" t="n"/>
      <c r="D943" s="22" t="n"/>
      <c r="E943" s="23" t="n"/>
      <c r="F943" s="22" t="n"/>
      <c r="G943" s="14">
        <f>IF(OR(B943="",E943="",J943="",K943=""),"",IF(E943&lt;J943,"Below",IF(E943&gt;K943,"Above","In range")))</f>
        <v/>
      </c>
      <c r="H943" s="1" t="n"/>
      <c r="J943">
        <f>IF(M943="","",IF(INDEX(Settings!$C$10:$C$18,M943)="","",INDEX(Settings!$C$10:$C$18,M943)))</f>
        <v/>
      </c>
      <c r="K943">
        <f>IF(M943="","",IF(INDEX(Settings!$D$10:$D$18,M943)="","",INDEX(Settings!$D$10:$D$18,M943)))</f>
        <v/>
      </c>
      <c r="L943">
        <f>IF(OR(B943="",E943=""),"",B943+MOD(N(C943),1)+ROW()/10000000)</f>
        <v/>
      </c>
      <c r="M943">
        <f>IF(D943="","",IFERROR(MATCH(D943,Settings!$B$10:$B$18,0),""))</f>
        <v/>
      </c>
      <c r="N943">
        <f>IF(OR(B943="",E943="",M943=""),"",IF(AND(B943&gt;=Settings!$C$6,B943&lt;=Settings!$C$7),M943*10000+E943,""))</f>
        <v/>
      </c>
      <c r="O943">
        <f>IF(OR(B943="",E943=""),"",B943*10000+E943)</f>
        <v/>
      </c>
      <c r="P943">
        <f>IF(N943="","",E943)</f>
        <v/>
      </c>
    </row>
    <row r="944">
      <c r="A944" s="1" t="n"/>
      <c r="B944" s="20" t="n"/>
      <c r="C944" s="21" t="n"/>
      <c r="D944" s="22" t="n"/>
      <c r="E944" s="23" t="n"/>
      <c r="F944" s="22" t="n"/>
      <c r="G944" s="14">
        <f>IF(OR(B944="",E944="",J944="",K944=""),"",IF(E944&lt;J944,"Below",IF(E944&gt;K944,"Above","In range")))</f>
        <v/>
      </c>
      <c r="H944" s="1" t="n"/>
      <c r="J944">
        <f>IF(M944="","",IF(INDEX(Settings!$C$10:$C$18,M944)="","",INDEX(Settings!$C$10:$C$18,M944)))</f>
        <v/>
      </c>
      <c r="K944">
        <f>IF(M944="","",IF(INDEX(Settings!$D$10:$D$18,M944)="","",INDEX(Settings!$D$10:$D$18,M944)))</f>
        <v/>
      </c>
      <c r="L944">
        <f>IF(OR(B944="",E944=""),"",B944+MOD(N(C944),1)+ROW()/10000000)</f>
        <v/>
      </c>
      <c r="M944">
        <f>IF(D944="","",IFERROR(MATCH(D944,Settings!$B$10:$B$18,0),""))</f>
        <v/>
      </c>
      <c r="N944">
        <f>IF(OR(B944="",E944="",M944=""),"",IF(AND(B944&gt;=Settings!$C$6,B944&lt;=Settings!$C$7),M944*10000+E944,""))</f>
        <v/>
      </c>
      <c r="O944">
        <f>IF(OR(B944="",E944=""),"",B944*10000+E944)</f>
        <v/>
      </c>
      <c r="P944">
        <f>IF(N944="","",E944)</f>
        <v/>
      </c>
    </row>
    <row r="945">
      <c r="A945" s="1" t="n"/>
      <c r="B945" s="20" t="n"/>
      <c r="C945" s="21" t="n"/>
      <c r="D945" s="22" t="n"/>
      <c r="E945" s="23" t="n"/>
      <c r="F945" s="22" t="n"/>
      <c r="G945" s="14">
        <f>IF(OR(B945="",E945="",J945="",K945=""),"",IF(E945&lt;J945,"Below",IF(E945&gt;K945,"Above","In range")))</f>
        <v/>
      </c>
      <c r="H945" s="1" t="n"/>
      <c r="J945">
        <f>IF(M945="","",IF(INDEX(Settings!$C$10:$C$18,M945)="","",INDEX(Settings!$C$10:$C$18,M945)))</f>
        <v/>
      </c>
      <c r="K945">
        <f>IF(M945="","",IF(INDEX(Settings!$D$10:$D$18,M945)="","",INDEX(Settings!$D$10:$D$18,M945)))</f>
        <v/>
      </c>
      <c r="L945">
        <f>IF(OR(B945="",E945=""),"",B945+MOD(N(C945),1)+ROW()/10000000)</f>
        <v/>
      </c>
      <c r="M945">
        <f>IF(D945="","",IFERROR(MATCH(D945,Settings!$B$10:$B$18,0),""))</f>
        <v/>
      </c>
      <c r="N945">
        <f>IF(OR(B945="",E945="",M945=""),"",IF(AND(B945&gt;=Settings!$C$6,B945&lt;=Settings!$C$7),M945*10000+E945,""))</f>
        <v/>
      </c>
      <c r="O945">
        <f>IF(OR(B945="",E945=""),"",B945*10000+E945)</f>
        <v/>
      </c>
      <c r="P945">
        <f>IF(N945="","",E945)</f>
        <v/>
      </c>
    </row>
    <row r="946">
      <c r="A946" s="1" t="n"/>
      <c r="B946" s="20" t="n"/>
      <c r="C946" s="21" t="n"/>
      <c r="D946" s="22" t="n"/>
      <c r="E946" s="23" t="n"/>
      <c r="F946" s="22" t="n"/>
      <c r="G946" s="14">
        <f>IF(OR(B946="",E946="",J946="",K946=""),"",IF(E946&lt;J946,"Below",IF(E946&gt;K946,"Above","In range")))</f>
        <v/>
      </c>
      <c r="H946" s="1" t="n"/>
      <c r="J946">
        <f>IF(M946="","",IF(INDEX(Settings!$C$10:$C$18,M946)="","",INDEX(Settings!$C$10:$C$18,M946)))</f>
        <v/>
      </c>
      <c r="K946">
        <f>IF(M946="","",IF(INDEX(Settings!$D$10:$D$18,M946)="","",INDEX(Settings!$D$10:$D$18,M946)))</f>
        <v/>
      </c>
      <c r="L946">
        <f>IF(OR(B946="",E946=""),"",B946+MOD(N(C946),1)+ROW()/10000000)</f>
        <v/>
      </c>
      <c r="M946">
        <f>IF(D946="","",IFERROR(MATCH(D946,Settings!$B$10:$B$18,0),""))</f>
        <v/>
      </c>
      <c r="N946">
        <f>IF(OR(B946="",E946="",M946=""),"",IF(AND(B946&gt;=Settings!$C$6,B946&lt;=Settings!$C$7),M946*10000+E946,""))</f>
        <v/>
      </c>
      <c r="O946">
        <f>IF(OR(B946="",E946=""),"",B946*10000+E946)</f>
        <v/>
      </c>
      <c r="P946">
        <f>IF(N946="","",E946)</f>
        <v/>
      </c>
    </row>
    <row r="947">
      <c r="A947" s="1" t="n"/>
      <c r="B947" s="20" t="n"/>
      <c r="C947" s="21" t="n"/>
      <c r="D947" s="22" t="n"/>
      <c r="E947" s="23" t="n"/>
      <c r="F947" s="22" t="n"/>
      <c r="G947" s="14">
        <f>IF(OR(B947="",E947="",J947="",K947=""),"",IF(E947&lt;J947,"Below",IF(E947&gt;K947,"Above","In range")))</f>
        <v/>
      </c>
      <c r="H947" s="1" t="n"/>
      <c r="J947">
        <f>IF(M947="","",IF(INDEX(Settings!$C$10:$C$18,M947)="","",INDEX(Settings!$C$10:$C$18,M947)))</f>
        <v/>
      </c>
      <c r="K947">
        <f>IF(M947="","",IF(INDEX(Settings!$D$10:$D$18,M947)="","",INDEX(Settings!$D$10:$D$18,M947)))</f>
        <v/>
      </c>
      <c r="L947">
        <f>IF(OR(B947="",E947=""),"",B947+MOD(N(C947),1)+ROW()/10000000)</f>
        <v/>
      </c>
      <c r="M947">
        <f>IF(D947="","",IFERROR(MATCH(D947,Settings!$B$10:$B$18,0),""))</f>
        <v/>
      </c>
      <c r="N947">
        <f>IF(OR(B947="",E947="",M947=""),"",IF(AND(B947&gt;=Settings!$C$6,B947&lt;=Settings!$C$7),M947*10000+E947,""))</f>
        <v/>
      </c>
      <c r="O947">
        <f>IF(OR(B947="",E947=""),"",B947*10000+E947)</f>
        <v/>
      </c>
      <c r="P947">
        <f>IF(N947="","",E947)</f>
        <v/>
      </c>
    </row>
    <row r="948">
      <c r="A948" s="1" t="n"/>
      <c r="B948" s="20" t="n"/>
      <c r="C948" s="21" t="n"/>
      <c r="D948" s="22" t="n"/>
      <c r="E948" s="23" t="n"/>
      <c r="F948" s="22" t="n"/>
      <c r="G948" s="14">
        <f>IF(OR(B948="",E948="",J948="",K948=""),"",IF(E948&lt;J948,"Below",IF(E948&gt;K948,"Above","In range")))</f>
        <v/>
      </c>
      <c r="H948" s="1" t="n"/>
      <c r="J948">
        <f>IF(M948="","",IF(INDEX(Settings!$C$10:$C$18,M948)="","",INDEX(Settings!$C$10:$C$18,M948)))</f>
        <v/>
      </c>
      <c r="K948">
        <f>IF(M948="","",IF(INDEX(Settings!$D$10:$D$18,M948)="","",INDEX(Settings!$D$10:$D$18,M948)))</f>
        <v/>
      </c>
      <c r="L948">
        <f>IF(OR(B948="",E948=""),"",B948+MOD(N(C948),1)+ROW()/10000000)</f>
        <v/>
      </c>
      <c r="M948">
        <f>IF(D948="","",IFERROR(MATCH(D948,Settings!$B$10:$B$18,0),""))</f>
        <v/>
      </c>
      <c r="N948">
        <f>IF(OR(B948="",E948="",M948=""),"",IF(AND(B948&gt;=Settings!$C$6,B948&lt;=Settings!$C$7),M948*10000+E948,""))</f>
        <v/>
      </c>
      <c r="O948">
        <f>IF(OR(B948="",E948=""),"",B948*10000+E948)</f>
        <v/>
      </c>
      <c r="P948">
        <f>IF(N948="","",E948)</f>
        <v/>
      </c>
    </row>
    <row r="949">
      <c r="A949" s="1" t="n"/>
      <c r="B949" s="20" t="n"/>
      <c r="C949" s="21" t="n"/>
      <c r="D949" s="22" t="n"/>
      <c r="E949" s="23" t="n"/>
      <c r="F949" s="22" t="n"/>
      <c r="G949" s="14">
        <f>IF(OR(B949="",E949="",J949="",K949=""),"",IF(E949&lt;J949,"Below",IF(E949&gt;K949,"Above","In range")))</f>
        <v/>
      </c>
      <c r="H949" s="1" t="n"/>
      <c r="J949">
        <f>IF(M949="","",IF(INDEX(Settings!$C$10:$C$18,M949)="","",INDEX(Settings!$C$10:$C$18,M949)))</f>
        <v/>
      </c>
      <c r="K949">
        <f>IF(M949="","",IF(INDEX(Settings!$D$10:$D$18,M949)="","",INDEX(Settings!$D$10:$D$18,M949)))</f>
        <v/>
      </c>
      <c r="L949">
        <f>IF(OR(B949="",E949=""),"",B949+MOD(N(C949),1)+ROW()/10000000)</f>
        <v/>
      </c>
      <c r="M949">
        <f>IF(D949="","",IFERROR(MATCH(D949,Settings!$B$10:$B$18,0),""))</f>
        <v/>
      </c>
      <c r="N949">
        <f>IF(OR(B949="",E949="",M949=""),"",IF(AND(B949&gt;=Settings!$C$6,B949&lt;=Settings!$C$7),M949*10000+E949,""))</f>
        <v/>
      </c>
      <c r="O949">
        <f>IF(OR(B949="",E949=""),"",B949*10000+E949)</f>
        <v/>
      </c>
      <c r="P949">
        <f>IF(N949="","",E949)</f>
        <v/>
      </c>
    </row>
    <row r="950">
      <c r="A950" s="1" t="n"/>
      <c r="B950" s="20" t="n"/>
      <c r="C950" s="21" t="n"/>
      <c r="D950" s="22" t="n"/>
      <c r="E950" s="23" t="n"/>
      <c r="F950" s="22" t="n"/>
      <c r="G950" s="14">
        <f>IF(OR(B950="",E950="",J950="",K950=""),"",IF(E950&lt;J950,"Below",IF(E950&gt;K950,"Above","In range")))</f>
        <v/>
      </c>
      <c r="H950" s="1" t="n"/>
      <c r="J950">
        <f>IF(M950="","",IF(INDEX(Settings!$C$10:$C$18,M950)="","",INDEX(Settings!$C$10:$C$18,M950)))</f>
        <v/>
      </c>
      <c r="K950">
        <f>IF(M950="","",IF(INDEX(Settings!$D$10:$D$18,M950)="","",INDEX(Settings!$D$10:$D$18,M950)))</f>
        <v/>
      </c>
      <c r="L950">
        <f>IF(OR(B950="",E950=""),"",B950+MOD(N(C950),1)+ROW()/10000000)</f>
        <v/>
      </c>
      <c r="M950">
        <f>IF(D950="","",IFERROR(MATCH(D950,Settings!$B$10:$B$18,0),""))</f>
        <v/>
      </c>
      <c r="N950">
        <f>IF(OR(B950="",E950="",M950=""),"",IF(AND(B950&gt;=Settings!$C$6,B950&lt;=Settings!$C$7),M950*10000+E950,""))</f>
        <v/>
      </c>
      <c r="O950">
        <f>IF(OR(B950="",E950=""),"",B950*10000+E950)</f>
        <v/>
      </c>
      <c r="P950">
        <f>IF(N950="","",E950)</f>
        <v/>
      </c>
    </row>
    <row r="951">
      <c r="A951" s="1" t="n"/>
      <c r="B951" s="20" t="n"/>
      <c r="C951" s="21" t="n"/>
      <c r="D951" s="22" t="n"/>
      <c r="E951" s="23" t="n"/>
      <c r="F951" s="22" t="n"/>
      <c r="G951" s="14">
        <f>IF(OR(B951="",E951="",J951="",K951=""),"",IF(E951&lt;J951,"Below",IF(E951&gt;K951,"Above","In range")))</f>
        <v/>
      </c>
      <c r="H951" s="1" t="n"/>
      <c r="J951">
        <f>IF(M951="","",IF(INDEX(Settings!$C$10:$C$18,M951)="","",INDEX(Settings!$C$10:$C$18,M951)))</f>
        <v/>
      </c>
      <c r="K951">
        <f>IF(M951="","",IF(INDEX(Settings!$D$10:$D$18,M951)="","",INDEX(Settings!$D$10:$D$18,M951)))</f>
        <v/>
      </c>
      <c r="L951">
        <f>IF(OR(B951="",E951=""),"",B951+MOD(N(C951),1)+ROW()/10000000)</f>
        <v/>
      </c>
      <c r="M951">
        <f>IF(D951="","",IFERROR(MATCH(D951,Settings!$B$10:$B$18,0),""))</f>
        <v/>
      </c>
      <c r="N951">
        <f>IF(OR(B951="",E951="",M951=""),"",IF(AND(B951&gt;=Settings!$C$6,B951&lt;=Settings!$C$7),M951*10000+E951,""))</f>
        <v/>
      </c>
      <c r="O951">
        <f>IF(OR(B951="",E951=""),"",B951*10000+E951)</f>
        <v/>
      </c>
      <c r="P951">
        <f>IF(N951="","",E951)</f>
        <v/>
      </c>
    </row>
    <row r="952">
      <c r="A952" s="1" t="n"/>
      <c r="B952" s="20" t="n"/>
      <c r="C952" s="21" t="n"/>
      <c r="D952" s="22" t="n"/>
      <c r="E952" s="23" t="n"/>
      <c r="F952" s="22" t="n"/>
      <c r="G952" s="14">
        <f>IF(OR(B952="",E952="",J952="",K952=""),"",IF(E952&lt;J952,"Below",IF(E952&gt;K952,"Above","In range")))</f>
        <v/>
      </c>
      <c r="H952" s="1" t="n"/>
      <c r="J952">
        <f>IF(M952="","",IF(INDEX(Settings!$C$10:$C$18,M952)="","",INDEX(Settings!$C$10:$C$18,M952)))</f>
        <v/>
      </c>
      <c r="K952">
        <f>IF(M952="","",IF(INDEX(Settings!$D$10:$D$18,M952)="","",INDEX(Settings!$D$10:$D$18,M952)))</f>
        <v/>
      </c>
      <c r="L952">
        <f>IF(OR(B952="",E952=""),"",B952+MOD(N(C952),1)+ROW()/10000000)</f>
        <v/>
      </c>
      <c r="M952">
        <f>IF(D952="","",IFERROR(MATCH(D952,Settings!$B$10:$B$18,0),""))</f>
        <v/>
      </c>
      <c r="N952">
        <f>IF(OR(B952="",E952="",M952=""),"",IF(AND(B952&gt;=Settings!$C$6,B952&lt;=Settings!$C$7),M952*10000+E952,""))</f>
        <v/>
      </c>
      <c r="O952">
        <f>IF(OR(B952="",E952=""),"",B952*10000+E952)</f>
        <v/>
      </c>
      <c r="P952">
        <f>IF(N952="","",E952)</f>
        <v/>
      </c>
    </row>
    <row r="953">
      <c r="A953" s="1" t="n"/>
      <c r="B953" s="20" t="n"/>
      <c r="C953" s="21" t="n"/>
      <c r="D953" s="22" t="n"/>
      <c r="E953" s="23" t="n"/>
      <c r="F953" s="22" t="n"/>
      <c r="G953" s="14">
        <f>IF(OR(B953="",E953="",J953="",K953=""),"",IF(E953&lt;J953,"Below",IF(E953&gt;K953,"Above","In range")))</f>
        <v/>
      </c>
      <c r="H953" s="1" t="n"/>
      <c r="J953">
        <f>IF(M953="","",IF(INDEX(Settings!$C$10:$C$18,M953)="","",INDEX(Settings!$C$10:$C$18,M953)))</f>
        <v/>
      </c>
      <c r="K953">
        <f>IF(M953="","",IF(INDEX(Settings!$D$10:$D$18,M953)="","",INDEX(Settings!$D$10:$D$18,M953)))</f>
        <v/>
      </c>
      <c r="L953">
        <f>IF(OR(B953="",E953=""),"",B953+MOD(N(C953),1)+ROW()/10000000)</f>
        <v/>
      </c>
      <c r="M953">
        <f>IF(D953="","",IFERROR(MATCH(D953,Settings!$B$10:$B$18,0),""))</f>
        <v/>
      </c>
      <c r="N953">
        <f>IF(OR(B953="",E953="",M953=""),"",IF(AND(B953&gt;=Settings!$C$6,B953&lt;=Settings!$C$7),M953*10000+E953,""))</f>
        <v/>
      </c>
      <c r="O953">
        <f>IF(OR(B953="",E953=""),"",B953*10000+E953)</f>
        <v/>
      </c>
      <c r="P953">
        <f>IF(N953="","",E953)</f>
        <v/>
      </c>
    </row>
    <row r="954">
      <c r="A954" s="1" t="n"/>
      <c r="B954" s="20" t="n"/>
      <c r="C954" s="21" t="n"/>
      <c r="D954" s="22" t="n"/>
      <c r="E954" s="23" t="n"/>
      <c r="F954" s="22" t="n"/>
      <c r="G954" s="14">
        <f>IF(OR(B954="",E954="",J954="",K954=""),"",IF(E954&lt;J954,"Below",IF(E954&gt;K954,"Above","In range")))</f>
        <v/>
      </c>
      <c r="H954" s="1" t="n"/>
      <c r="J954">
        <f>IF(M954="","",IF(INDEX(Settings!$C$10:$C$18,M954)="","",INDEX(Settings!$C$10:$C$18,M954)))</f>
        <v/>
      </c>
      <c r="K954">
        <f>IF(M954="","",IF(INDEX(Settings!$D$10:$D$18,M954)="","",INDEX(Settings!$D$10:$D$18,M954)))</f>
        <v/>
      </c>
      <c r="L954">
        <f>IF(OR(B954="",E954=""),"",B954+MOD(N(C954),1)+ROW()/10000000)</f>
        <v/>
      </c>
      <c r="M954">
        <f>IF(D954="","",IFERROR(MATCH(D954,Settings!$B$10:$B$18,0),""))</f>
        <v/>
      </c>
      <c r="N954">
        <f>IF(OR(B954="",E954="",M954=""),"",IF(AND(B954&gt;=Settings!$C$6,B954&lt;=Settings!$C$7),M954*10000+E954,""))</f>
        <v/>
      </c>
      <c r="O954">
        <f>IF(OR(B954="",E954=""),"",B954*10000+E954)</f>
        <v/>
      </c>
      <c r="P954">
        <f>IF(N954="","",E954)</f>
        <v/>
      </c>
    </row>
    <row r="955">
      <c r="A955" s="1" t="n"/>
      <c r="B955" s="20" t="n"/>
      <c r="C955" s="21" t="n"/>
      <c r="D955" s="22" t="n"/>
      <c r="E955" s="23" t="n"/>
      <c r="F955" s="22" t="n"/>
      <c r="G955" s="14">
        <f>IF(OR(B955="",E955="",J955="",K955=""),"",IF(E955&lt;J955,"Below",IF(E955&gt;K955,"Above","In range")))</f>
        <v/>
      </c>
      <c r="H955" s="1" t="n"/>
      <c r="J955">
        <f>IF(M955="","",IF(INDEX(Settings!$C$10:$C$18,M955)="","",INDEX(Settings!$C$10:$C$18,M955)))</f>
        <v/>
      </c>
      <c r="K955">
        <f>IF(M955="","",IF(INDEX(Settings!$D$10:$D$18,M955)="","",INDEX(Settings!$D$10:$D$18,M955)))</f>
        <v/>
      </c>
      <c r="L955">
        <f>IF(OR(B955="",E955=""),"",B955+MOD(N(C955),1)+ROW()/10000000)</f>
        <v/>
      </c>
      <c r="M955">
        <f>IF(D955="","",IFERROR(MATCH(D955,Settings!$B$10:$B$18,0),""))</f>
        <v/>
      </c>
      <c r="N955">
        <f>IF(OR(B955="",E955="",M955=""),"",IF(AND(B955&gt;=Settings!$C$6,B955&lt;=Settings!$C$7),M955*10000+E955,""))</f>
        <v/>
      </c>
      <c r="O955">
        <f>IF(OR(B955="",E955=""),"",B955*10000+E955)</f>
        <v/>
      </c>
      <c r="P955">
        <f>IF(N955="","",E955)</f>
        <v/>
      </c>
    </row>
    <row r="956">
      <c r="A956" s="1" t="n"/>
      <c r="B956" s="20" t="n"/>
      <c r="C956" s="21" t="n"/>
      <c r="D956" s="22" t="n"/>
      <c r="E956" s="23" t="n"/>
      <c r="F956" s="22" t="n"/>
      <c r="G956" s="14">
        <f>IF(OR(B956="",E956="",J956="",K956=""),"",IF(E956&lt;J956,"Below",IF(E956&gt;K956,"Above","In range")))</f>
        <v/>
      </c>
      <c r="H956" s="1" t="n"/>
      <c r="J956">
        <f>IF(M956="","",IF(INDEX(Settings!$C$10:$C$18,M956)="","",INDEX(Settings!$C$10:$C$18,M956)))</f>
        <v/>
      </c>
      <c r="K956">
        <f>IF(M956="","",IF(INDEX(Settings!$D$10:$D$18,M956)="","",INDEX(Settings!$D$10:$D$18,M956)))</f>
        <v/>
      </c>
      <c r="L956">
        <f>IF(OR(B956="",E956=""),"",B956+MOD(N(C956),1)+ROW()/10000000)</f>
        <v/>
      </c>
      <c r="M956">
        <f>IF(D956="","",IFERROR(MATCH(D956,Settings!$B$10:$B$18,0),""))</f>
        <v/>
      </c>
      <c r="N956">
        <f>IF(OR(B956="",E956="",M956=""),"",IF(AND(B956&gt;=Settings!$C$6,B956&lt;=Settings!$C$7),M956*10000+E956,""))</f>
        <v/>
      </c>
      <c r="O956">
        <f>IF(OR(B956="",E956=""),"",B956*10000+E956)</f>
        <v/>
      </c>
      <c r="P956">
        <f>IF(N956="","",E956)</f>
        <v/>
      </c>
    </row>
    <row r="957">
      <c r="A957" s="1" t="n"/>
      <c r="B957" s="20" t="n"/>
      <c r="C957" s="21" t="n"/>
      <c r="D957" s="22" t="n"/>
      <c r="E957" s="23" t="n"/>
      <c r="F957" s="22" t="n"/>
      <c r="G957" s="14">
        <f>IF(OR(B957="",E957="",J957="",K957=""),"",IF(E957&lt;J957,"Below",IF(E957&gt;K957,"Above","In range")))</f>
        <v/>
      </c>
      <c r="H957" s="1" t="n"/>
      <c r="J957">
        <f>IF(M957="","",IF(INDEX(Settings!$C$10:$C$18,M957)="","",INDEX(Settings!$C$10:$C$18,M957)))</f>
        <v/>
      </c>
      <c r="K957">
        <f>IF(M957="","",IF(INDEX(Settings!$D$10:$D$18,M957)="","",INDEX(Settings!$D$10:$D$18,M957)))</f>
        <v/>
      </c>
      <c r="L957">
        <f>IF(OR(B957="",E957=""),"",B957+MOD(N(C957),1)+ROW()/10000000)</f>
        <v/>
      </c>
      <c r="M957">
        <f>IF(D957="","",IFERROR(MATCH(D957,Settings!$B$10:$B$18,0),""))</f>
        <v/>
      </c>
      <c r="N957">
        <f>IF(OR(B957="",E957="",M957=""),"",IF(AND(B957&gt;=Settings!$C$6,B957&lt;=Settings!$C$7),M957*10000+E957,""))</f>
        <v/>
      </c>
      <c r="O957">
        <f>IF(OR(B957="",E957=""),"",B957*10000+E957)</f>
        <v/>
      </c>
      <c r="P957">
        <f>IF(N957="","",E957)</f>
        <v/>
      </c>
    </row>
    <row r="958">
      <c r="A958" s="1" t="n"/>
      <c r="B958" s="20" t="n"/>
      <c r="C958" s="21" t="n"/>
      <c r="D958" s="22" t="n"/>
      <c r="E958" s="23" t="n"/>
      <c r="F958" s="22" t="n"/>
      <c r="G958" s="14">
        <f>IF(OR(B958="",E958="",J958="",K958=""),"",IF(E958&lt;J958,"Below",IF(E958&gt;K958,"Above","In range")))</f>
        <v/>
      </c>
      <c r="H958" s="1" t="n"/>
      <c r="J958">
        <f>IF(M958="","",IF(INDEX(Settings!$C$10:$C$18,M958)="","",INDEX(Settings!$C$10:$C$18,M958)))</f>
        <v/>
      </c>
      <c r="K958">
        <f>IF(M958="","",IF(INDEX(Settings!$D$10:$D$18,M958)="","",INDEX(Settings!$D$10:$D$18,M958)))</f>
        <v/>
      </c>
      <c r="L958">
        <f>IF(OR(B958="",E958=""),"",B958+MOD(N(C958),1)+ROW()/10000000)</f>
        <v/>
      </c>
      <c r="M958">
        <f>IF(D958="","",IFERROR(MATCH(D958,Settings!$B$10:$B$18,0),""))</f>
        <v/>
      </c>
      <c r="N958">
        <f>IF(OR(B958="",E958="",M958=""),"",IF(AND(B958&gt;=Settings!$C$6,B958&lt;=Settings!$C$7),M958*10000+E958,""))</f>
        <v/>
      </c>
      <c r="O958">
        <f>IF(OR(B958="",E958=""),"",B958*10000+E958)</f>
        <v/>
      </c>
      <c r="P958">
        <f>IF(N958="","",E958)</f>
        <v/>
      </c>
    </row>
    <row r="959">
      <c r="A959" s="1" t="n"/>
      <c r="B959" s="20" t="n"/>
      <c r="C959" s="21" t="n"/>
      <c r="D959" s="22" t="n"/>
      <c r="E959" s="23" t="n"/>
      <c r="F959" s="22" t="n"/>
      <c r="G959" s="14">
        <f>IF(OR(B959="",E959="",J959="",K959=""),"",IF(E959&lt;J959,"Below",IF(E959&gt;K959,"Above","In range")))</f>
        <v/>
      </c>
      <c r="H959" s="1" t="n"/>
      <c r="J959">
        <f>IF(M959="","",IF(INDEX(Settings!$C$10:$C$18,M959)="","",INDEX(Settings!$C$10:$C$18,M959)))</f>
        <v/>
      </c>
      <c r="K959">
        <f>IF(M959="","",IF(INDEX(Settings!$D$10:$D$18,M959)="","",INDEX(Settings!$D$10:$D$18,M959)))</f>
        <v/>
      </c>
      <c r="L959">
        <f>IF(OR(B959="",E959=""),"",B959+MOD(N(C959),1)+ROW()/10000000)</f>
        <v/>
      </c>
      <c r="M959">
        <f>IF(D959="","",IFERROR(MATCH(D959,Settings!$B$10:$B$18,0),""))</f>
        <v/>
      </c>
      <c r="N959">
        <f>IF(OR(B959="",E959="",M959=""),"",IF(AND(B959&gt;=Settings!$C$6,B959&lt;=Settings!$C$7),M959*10000+E959,""))</f>
        <v/>
      </c>
      <c r="O959">
        <f>IF(OR(B959="",E959=""),"",B959*10000+E959)</f>
        <v/>
      </c>
      <c r="P959">
        <f>IF(N959="","",E959)</f>
        <v/>
      </c>
    </row>
    <row r="960">
      <c r="A960" s="1" t="n"/>
      <c r="B960" s="20" t="n"/>
      <c r="C960" s="21" t="n"/>
      <c r="D960" s="22" t="n"/>
      <c r="E960" s="23" t="n"/>
      <c r="F960" s="22" t="n"/>
      <c r="G960" s="14">
        <f>IF(OR(B960="",E960="",J960="",K960=""),"",IF(E960&lt;J960,"Below",IF(E960&gt;K960,"Above","In range")))</f>
        <v/>
      </c>
      <c r="H960" s="1" t="n"/>
      <c r="J960">
        <f>IF(M960="","",IF(INDEX(Settings!$C$10:$C$18,M960)="","",INDEX(Settings!$C$10:$C$18,M960)))</f>
        <v/>
      </c>
      <c r="K960">
        <f>IF(M960="","",IF(INDEX(Settings!$D$10:$D$18,M960)="","",INDEX(Settings!$D$10:$D$18,M960)))</f>
        <v/>
      </c>
      <c r="L960">
        <f>IF(OR(B960="",E960=""),"",B960+MOD(N(C960),1)+ROW()/10000000)</f>
        <v/>
      </c>
      <c r="M960">
        <f>IF(D960="","",IFERROR(MATCH(D960,Settings!$B$10:$B$18,0),""))</f>
        <v/>
      </c>
      <c r="N960">
        <f>IF(OR(B960="",E960="",M960=""),"",IF(AND(B960&gt;=Settings!$C$6,B960&lt;=Settings!$C$7),M960*10000+E960,""))</f>
        <v/>
      </c>
      <c r="O960">
        <f>IF(OR(B960="",E960=""),"",B960*10000+E960)</f>
        <v/>
      </c>
      <c r="P960">
        <f>IF(N960="","",E960)</f>
        <v/>
      </c>
    </row>
    <row r="961">
      <c r="A961" s="1" t="n"/>
      <c r="B961" s="20" t="n"/>
      <c r="C961" s="21" t="n"/>
      <c r="D961" s="22" t="n"/>
      <c r="E961" s="23" t="n"/>
      <c r="F961" s="22" t="n"/>
      <c r="G961" s="14">
        <f>IF(OR(B961="",E961="",J961="",K961=""),"",IF(E961&lt;J961,"Below",IF(E961&gt;K961,"Above","In range")))</f>
        <v/>
      </c>
      <c r="H961" s="1" t="n"/>
      <c r="J961">
        <f>IF(M961="","",IF(INDEX(Settings!$C$10:$C$18,M961)="","",INDEX(Settings!$C$10:$C$18,M961)))</f>
        <v/>
      </c>
      <c r="K961">
        <f>IF(M961="","",IF(INDEX(Settings!$D$10:$D$18,M961)="","",INDEX(Settings!$D$10:$D$18,M961)))</f>
        <v/>
      </c>
      <c r="L961">
        <f>IF(OR(B961="",E961=""),"",B961+MOD(N(C961),1)+ROW()/10000000)</f>
        <v/>
      </c>
      <c r="M961">
        <f>IF(D961="","",IFERROR(MATCH(D961,Settings!$B$10:$B$18,0),""))</f>
        <v/>
      </c>
      <c r="N961">
        <f>IF(OR(B961="",E961="",M961=""),"",IF(AND(B961&gt;=Settings!$C$6,B961&lt;=Settings!$C$7),M961*10000+E961,""))</f>
        <v/>
      </c>
      <c r="O961">
        <f>IF(OR(B961="",E961=""),"",B961*10000+E961)</f>
        <v/>
      </c>
      <c r="P961">
        <f>IF(N961="","",E961)</f>
        <v/>
      </c>
    </row>
    <row r="962">
      <c r="A962" s="1" t="n"/>
      <c r="B962" s="20" t="n"/>
      <c r="C962" s="21" t="n"/>
      <c r="D962" s="22" t="n"/>
      <c r="E962" s="23" t="n"/>
      <c r="F962" s="22" t="n"/>
      <c r="G962" s="14">
        <f>IF(OR(B962="",E962="",J962="",K962=""),"",IF(E962&lt;J962,"Below",IF(E962&gt;K962,"Above","In range")))</f>
        <v/>
      </c>
      <c r="H962" s="1" t="n"/>
      <c r="J962">
        <f>IF(M962="","",IF(INDEX(Settings!$C$10:$C$18,M962)="","",INDEX(Settings!$C$10:$C$18,M962)))</f>
        <v/>
      </c>
      <c r="K962">
        <f>IF(M962="","",IF(INDEX(Settings!$D$10:$D$18,M962)="","",INDEX(Settings!$D$10:$D$18,M962)))</f>
        <v/>
      </c>
      <c r="L962">
        <f>IF(OR(B962="",E962=""),"",B962+MOD(N(C962),1)+ROW()/10000000)</f>
        <v/>
      </c>
      <c r="M962">
        <f>IF(D962="","",IFERROR(MATCH(D962,Settings!$B$10:$B$18,0),""))</f>
        <v/>
      </c>
      <c r="N962">
        <f>IF(OR(B962="",E962="",M962=""),"",IF(AND(B962&gt;=Settings!$C$6,B962&lt;=Settings!$C$7),M962*10000+E962,""))</f>
        <v/>
      </c>
      <c r="O962">
        <f>IF(OR(B962="",E962=""),"",B962*10000+E962)</f>
        <v/>
      </c>
      <c r="P962">
        <f>IF(N962="","",E962)</f>
        <v/>
      </c>
    </row>
    <row r="963">
      <c r="A963" s="1" t="n"/>
      <c r="B963" s="20" t="n"/>
      <c r="C963" s="21" t="n"/>
      <c r="D963" s="22" t="n"/>
      <c r="E963" s="23" t="n"/>
      <c r="F963" s="22" t="n"/>
      <c r="G963" s="14">
        <f>IF(OR(B963="",E963="",J963="",K963=""),"",IF(E963&lt;J963,"Below",IF(E963&gt;K963,"Above","In range")))</f>
        <v/>
      </c>
      <c r="H963" s="1" t="n"/>
      <c r="J963">
        <f>IF(M963="","",IF(INDEX(Settings!$C$10:$C$18,M963)="","",INDEX(Settings!$C$10:$C$18,M963)))</f>
        <v/>
      </c>
      <c r="K963">
        <f>IF(M963="","",IF(INDEX(Settings!$D$10:$D$18,M963)="","",INDEX(Settings!$D$10:$D$18,M963)))</f>
        <v/>
      </c>
      <c r="L963">
        <f>IF(OR(B963="",E963=""),"",B963+MOD(N(C963),1)+ROW()/10000000)</f>
        <v/>
      </c>
      <c r="M963">
        <f>IF(D963="","",IFERROR(MATCH(D963,Settings!$B$10:$B$18,0),""))</f>
        <v/>
      </c>
      <c r="N963">
        <f>IF(OR(B963="",E963="",M963=""),"",IF(AND(B963&gt;=Settings!$C$6,B963&lt;=Settings!$C$7),M963*10000+E963,""))</f>
        <v/>
      </c>
      <c r="O963">
        <f>IF(OR(B963="",E963=""),"",B963*10000+E963)</f>
        <v/>
      </c>
      <c r="P963">
        <f>IF(N963="","",E963)</f>
        <v/>
      </c>
    </row>
    <row r="964">
      <c r="A964" s="1" t="n"/>
      <c r="B964" s="20" t="n"/>
      <c r="C964" s="21" t="n"/>
      <c r="D964" s="22" t="n"/>
      <c r="E964" s="23" t="n"/>
      <c r="F964" s="22" t="n"/>
      <c r="G964" s="14">
        <f>IF(OR(B964="",E964="",J964="",K964=""),"",IF(E964&lt;J964,"Below",IF(E964&gt;K964,"Above","In range")))</f>
        <v/>
      </c>
      <c r="H964" s="1" t="n"/>
      <c r="J964">
        <f>IF(M964="","",IF(INDEX(Settings!$C$10:$C$18,M964)="","",INDEX(Settings!$C$10:$C$18,M964)))</f>
        <v/>
      </c>
      <c r="K964">
        <f>IF(M964="","",IF(INDEX(Settings!$D$10:$D$18,M964)="","",INDEX(Settings!$D$10:$D$18,M964)))</f>
        <v/>
      </c>
      <c r="L964">
        <f>IF(OR(B964="",E964=""),"",B964+MOD(N(C964),1)+ROW()/10000000)</f>
        <v/>
      </c>
      <c r="M964">
        <f>IF(D964="","",IFERROR(MATCH(D964,Settings!$B$10:$B$18,0),""))</f>
        <v/>
      </c>
      <c r="N964">
        <f>IF(OR(B964="",E964="",M964=""),"",IF(AND(B964&gt;=Settings!$C$6,B964&lt;=Settings!$C$7),M964*10000+E964,""))</f>
        <v/>
      </c>
      <c r="O964">
        <f>IF(OR(B964="",E964=""),"",B964*10000+E964)</f>
        <v/>
      </c>
      <c r="P964">
        <f>IF(N964="","",E964)</f>
        <v/>
      </c>
    </row>
    <row r="965">
      <c r="A965" s="1" t="n"/>
      <c r="B965" s="20" t="n"/>
      <c r="C965" s="21" t="n"/>
      <c r="D965" s="22" t="n"/>
      <c r="E965" s="23" t="n"/>
      <c r="F965" s="22" t="n"/>
      <c r="G965" s="14">
        <f>IF(OR(B965="",E965="",J965="",K965=""),"",IF(E965&lt;J965,"Below",IF(E965&gt;K965,"Above","In range")))</f>
        <v/>
      </c>
      <c r="H965" s="1" t="n"/>
      <c r="J965">
        <f>IF(M965="","",IF(INDEX(Settings!$C$10:$C$18,M965)="","",INDEX(Settings!$C$10:$C$18,M965)))</f>
        <v/>
      </c>
      <c r="K965">
        <f>IF(M965="","",IF(INDEX(Settings!$D$10:$D$18,M965)="","",INDEX(Settings!$D$10:$D$18,M965)))</f>
        <v/>
      </c>
      <c r="L965">
        <f>IF(OR(B965="",E965=""),"",B965+MOD(N(C965),1)+ROW()/10000000)</f>
        <v/>
      </c>
      <c r="M965">
        <f>IF(D965="","",IFERROR(MATCH(D965,Settings!$B$10:$B$18,0),""))</f>
        <v/>
      </c>
      <c r="N965">
        <f>IF(OR(B965="",E965="",M965=""),"",IF(AND(B965&gt;=Settings!$C$6,B965&lt;=Settings!$C$7),M965*10000+E965,""))</f>
        <v/>
      </c>
      <c r="O965">
        <f>IF(OR(B965="",E965=""),"",B965*10000+E965)</f>
        <v/>
      </c>
      <c r="P965">
        <f>IF(N965="","",E965)</f>
        <v/>
      </c>
    </row>
    <row r="966">
      <c r="A966" s="1" t="n"/>
      <c r="B966" s="20" t="n"/>
      <c r="C966" s="21" t="n"/>
      <c r="D966" s="22" t="n"/>
      <c r="E966" s="23" t="n"/>
      <c r="F966" s="22" t="n"/>
      <c r="G966" s="14">
        <f>IF(OR(B966="",E966="",J966="",K966=""),"",IF(E966&lt;J966,"Below",IF(E966&gt;K966,"Above","In range")))</f>
        <v/>
      </c>
      <c r="H966" s="1" t="n"/>
      <c r="J966">
        <f>IF(M966="","",IF(INDEX(Settings!$C$10:$C$18,M966)="","",INDEX(Settings!$C$10:$C$18,M966)))</f>
        <v/>
      </c>
      <c r="K966">
        <f>IF(M966="","",IF(INDEX(Settings!$D$10:$D$18,M966)="","",INDEX(Settings!$D$10:$D$18,M966)))</f>
        <v/>
      </c>
      <c r="L966">
        <f>IF(OR(B966="",E966=""),"",B966+MOD(N(C966),1)+ROW()/10000000)</f>
        <v/>
      </c>
      <c r="M966">
        <f>IF(D966="","",IFERROR(MATCH(D966,Settings!$B$10:$B$18,0),""))</f>
        <v/>
      </c>
      <c r="N966">
        <f>IF(OR(B966="",E966="",M966=""),"",IF(AND(B966&gt;=Settings!$C$6,B966&lt;=Settings!$C$7),M966*10000+E966,""))</f>
        <v/>
      </c>
      <c r="O966">
        <f>IF(OR(B966="",E966=""),"",B966*10000+E966)</f>
        <v/>
      </c>
      <c r="P966">
        <f>IF(N966="","",E966)</f>
        <v/>
      </c>
    </row>
    <row r="967">
      <c r="A967" s="1" t="n"/>
      <c r="B967" s="20" t="n"/>
      <c r="C967" s="21" t="n"/>
      <c r="D967" s="22" t="n"/>
      <c r="E967" s="23" t="n"/>
      <c r="F967" s="22" t="n"/>
      <c r="G967" s="14">
        <f>IF(OR(B967="",E967="",J967="",K967=""),"",IF(E967&lt;J967,"Below",IF(E967&gt;K967,"Above","In range")))</f>
        <v/>
      </c>
      <c r="H967" s="1" t="n"/>
      <c r="J967">
        <f>IF(M967="","",IF(INDEX(Settings!$C$10:$C$18,M967)="","",INDEX(Settings!$C$10:$C$18,M967)))</f>
        <v/>
      </c>
      <c r="K967">
        <f>IF(M967="","",IF(INDEX(Settings!$D$10:$D$18,M967)="","",INDEX(Settings!$D$10:$D$18,M967)))</f>
        <v/>
      </c>
      <c r="L967">
        <f>IF(OR(B967="",E967=""),"",B967+MOD(N(C967),1)+ROW()/10000000)</f>
        <v/>
      </c>
      <c r="M967">
        <f>IF(D967="","",IFERROR(MATCH(D967,Settings!$B$10:$B$18,0),""))</f>
        <v/>
      </c>
      <c r="N967">
        <f>IF(OR(B967="",E967="",M967=""),"",IF(AND(B967&gt;=Settings!$C$6,B967&lt;=Settings!$C$7),M967*10000+E967,""))</f>
        <v/>
      </c>
      <c r="O967">
        <f>IF(OR(B967="",E967=""),"",B967*10000+E967)</f>
        <v/>
      </c>
      <c r="P967">
        <f>IF(N967="","",E967)</f>
        <v/>
      </c>
    </row>
    <row r="968">
      <c r="A968" s="1" t="n"/>
      <c r="B968" s="20" t="n"/>
      <c r="C968" s="21" t="n"/>
      <c r="D968" s="22" t="n"/>
      <c r="E968" s="23" t="n"/>
      <c r="F968" s="22" t="n"/>
      <c r="G968" s="14">
        <f>IF(OR(B968="",E968="",J968="",K968=""),"",IF(E968&lt;J968,"Below",IF(E968&gt;K968,"Above","In range")))</f>
        <v/>
      </c>
      <c r="H968" s="1" t="n"/>
      <c r="J968">
        <f>IF(M968="","",IF(INDEX(Settings!$C$10:$C$18,M968)="","",INDEX(Settings!$C$10:$C$18,M968)))</f>
        <v/>
      </c>
      <c r="K968">
        <f>IF(M968="","",IF(INDEX(Settings!$D$10:$D$18,M968)="","",INDEX(Settings!$D$10:$D$18,M968)))</f>
        <v/>
      </c>
      <c r="L968">
        <f>IF(OR(B968="",E968=""),"",B968+MOD(N(C968),1)+ROW()/10000000)</f>
        <v/>
      </c>
      <c r="M968">
        <f>IF(D968="","",IFERROR(MATCH(D968,Settings!$B$10:$B$18,0),""))</f>
        <v/>
      </c>
      <c r="N968">
        <f>IF(OR(B968="",E968="",M968=""),"",IF(AND(B968&gt;=Settings!$C$6,B968&lt;=Settings!$C$7),M968*10000+E968,""))</f>
        <v/>
      </c>
      <c r="O968">
        <f>IF(OR(B968="",E968=""),"",B968*10000+E968)</f>
        <v/>
      </c>
      <c r="P968">
        <f>IF(N968="","",E968)</f>
        <v/>
      </c>
    </row>
    <row r="969">
      <c r="A969" s="1" t="n"/>
      <c r="B969" s="20" t="n"/>
      <c r="C969" s="21" t="n"/>
      <c r="D969" s="22" t="n"/>
      <c r="E969" s="23" t="n"/>
      <c r="F969" s="22" t="n"/>
      <c r="G969" s="14">
        <f>IF(OR(B969="",E969="",J969="",K969=""),"",IF(E969&lt;J969,"Below",IF(E969&gt;K969,"Above","In range")))</f>
        <v/>
      </c>
      <c r="H969" s="1" t="n"/>
      <c r="J969">
        <f>IF(M969="","",IF(INDEX(Settings!$C$10:$C$18,M969)="","",INDEX(Settings!$C$10:$C$18,M969)))</f>
        <v/>
      </c>
      <c r="K969">
        <f>IF(M969="","",IF(INDEX(Settings!$D$10:$D$18,M969)="","",INDEX(Settings!$D$10:$D$18,M969)))</f>
        <v/>
      </c>
      <c r="L969">
        <f>IF(OR(B969="",E969=""),"",B969+MOD(N(C969),1)+ROW()/10000000)</f>
        <v/>
      </c>
      <c r="M969">
        <f>IF(D969="","",IFERROR(MATCH(D969,Settings!$B$10:$B$18,0),""))</f>
        <v/>
      </c>
      <c r="N969">
        <f>IF(OR(B969="",E969="",M969=""),"",IF(AND(B969&gt;=Settings!$C$6,B969&lt;=Settings!$C$7),M969*10000+E969,""))</f>
        <v/>
      </c>
      <c r="O969">
        <f>IF(OR(B969="",E969=""),"",B969*10000+E969)</f>
        <v/>
      </c>
      <c r="P969">
        <f>IF(N969="","",E969)</f>
        <v/>
      </c>
    </row>
    <row r="970">
      <c r="A970" s="1" t="n"/>
      <c r="B970" s="20" t="n"/>
      <c r="C970" s="21" t="n"/>
      <c r="D970" s="22" t="n"/>
      <c r="E970" s="23" t="n"/>
      <c r="F970" s="22" t="n"/>
      <c r="G970" s="14">
        <f>IF(OR(B970="",E970="",J970="",K970=""),"",IF(E970&lt;J970,"Below",IF(E970&gt;K970,"Above","In range")))</f>
        <v/>
      </c>
      <c r="H970" s="1" t="n"/>
      <c r="J970">
        <f>IF(M970="","",IF(INDEX(Settings!$C$10:$C$18,M970)="","",INDEX(Settings!$C$10:$C$18,M970)))</f>
        <v/>
      </c>
      <c r="K970">
        <f>IF(M970="","",IF(INDEX(Settings!$D$10:$D$18,M970)="","",INDEX(Settings!$D$10:$D$18,M970)))</f>
        <v/>
      </c>
      <c r="L970">
        <f>IF(OR(B970="",E970=""),"",B970+MOD(N(C970),1)+ROW()/10000000)</f>
        <v/>
      </c>
      <c r="M970">
        <f>IF(D970="","",IFERROR(MATCH(D970,Settings!$B$10:$B$18,0),""))</f>
        <v/>
      </c>
      <c r="N970">
        <f>IF(OR(B970="",E970="",M970=""),"",IF(AND(B970&gt;=Settings!$C$6,B970&lt;=Settings!$C$7),M970*10000+E970,""))</f>
        <v/>
      </c>
      <c r="O970">
        <f>IF(OR(B970="",E970=""),"",B970*10000+E970)</f>
        <v/>
      </c>
      <c r="P970">
        <f>IF(N970="","",E970)</f>
        <v/>
      </c>
    </row>
    <row r="971">
      <c r="A971" s="1" t="n"/>
      <c r="B971" s="20" t="n"/>
      <c r="C971" s="21" t="n"/>
      <c r="D971" s="22" t="n"/>
      <c r="E971" s="23" t="n"/>
      <c r="F971" s="22" t="n"/>
      <c r="G971" s="14">
        <f>IF(OR(B971="",E971="",J971="",K971=""),"",IF(E971&lt;J971,"Below",IF(E971&gt;K971,"Above","In range")))</f>
        <v/>
      </c>
      <c r="H971" s="1" t="n"/>
      <c r="J971">
        <f>IF(M971="","",IF(INDEX(Settings!$C$10:$C$18,M971)="","",INDEX(Settings!$C$10:$C$18,M971)))</f>
        <v/>
      </c>
      <c r="K971">
        <f>IF(M971="","",IF(INDEX(Settings!$D$10:$D$18,M971)="","",INDEX(Settings!$D$10:$D$18,M971)))</f>
        <v/>
      </c>
      <c r="L971">
        <f>IF(OR(B971="",E971=""),"",B971+MOD(N(C971),1)+ROW()/10000000)</f>
        <v/>
      </c>
      <c r="M971">
        <f>IF(D971="","",IFERROR(MATCH(D971,Settings!$B$10:$B$18,0),""))</f>
        <v/>
      </c>
      <c r="N971">
        <f>IF(OR(B971="",E971="",M971=""),"",IF(AND(B971&gt;=Settings!$C$6,B971&lt;=Settings!$C$7),M971*10000+E971,""))</f>
        <v/>
      </c>
      <c r="O971">
        <f>IF(OR(B971="",E971=""),"",B971*10000+E971)</f>
        <v/>
      </c>
      <c r="P971">
        <f>IF(N971="","",E971)</f>
        <v/>
      </c>
    </row>
    <row r="972">
      <c r="A972" s="1" t="n"/>
      <c r="B972" s="20" t="n"/>
      <c r="C972" s="21" t="n"/>
      <c r="D972" s="22" t="n"/>
      <c r="E972" s="23" t="n"/>
      <c r="F972" s="22" t="n"/>
      <c r="G972" s="14">
        <f>IF(OR(B972="",E972="",J972="",K972=""),"",IF(E972&lt;J972,"Below",IF(E972&gt;K972,"Above","In range")))</f>
        <v/>
      </c>
      <c r="H972" s="1" t="n"/>
      <c r="J972">
        <f>IF(M972="","",IF(INDEX(Settings!$C$10:$C$18,M972)="","",INDEX(Settings!$C$10:$C$18,M972)))</f>
        <v/>
      </c>
      <c r="K972">
        <f>IF(M972="","",IF(INDEX(Settings!$D$10:$D$18,M972)="","",INDEX(Settings!$D$10:$D$18,M972)))</f>
        <v/>
      </c>
      <c r="L972">
        <f>IF(OR(B972="",E972=""),"",B972+MOD(N(C972),1)+ROW()/10000000)</f>
        <v/>
      </c>
      <c r="M972">
        <f>IF(D972="","",IFERROR(MATCH(D972,Settings!$B$10:$B$18,0),""))</f>
        <v/>
      </c>
      <c r="N972">
        <f>IF(OR(B972="",E972="",M972=""),"",IF(AND(B972&gt;=Settings!$C$6,B972&lt;=Settings!$C$7),M972*10000+E972,""))</f>
        <v/>
      </c>
      <c r="O972">
        <f>IF(OR(B972="",E972=""),"",B972*10000+E972)</f>
        <v/>
      </c>
      <c r="P972">
        <f>IF(N972="","",E972)</f>
        <v/>
      </c>
    </row>
    <row r="973">
      <c r="A973" s="1" t="n"/>
      <c r="B973" s="20" t="n"/>
      <c r="C973" s="21" t="n"/>
      <c r="D973" s="22" t="n"/>
      <c r="E973" s="23" t="n"/>
      <c r="F973" s="22" t="n"/>
      <c r="G973" s="14">
        <f>IF(OR(B973="",E973="",J973="",K973=""),"",IF(E973&lt;J973,"Below",IF(E973&gt;K973,"Above","In range")))</f>
        <v/>
      </c>
      <c r="H973" s="1" t="n"/>
      <c r="J973">
        <f>IF(M973="","",IF(INDEX(Settings!$C$10:$C$18,M973)="","",INDEX(Settings!$C$10:$C$18,M973)))</f>
        <v/>
      </c>
      <c r="K973">
        <f>IF(M973="","",IF(INDEX(Settings!$D$10:$D$18,M973)="","",INDEX(Settings!$D$10:$D$18,M973)))</f>
        <v/>
      </c>
      <c r="L973">
        <f>IF(OR(B973="",E973=""),"",B973+MOD(N(C973),1)+ROW()/10000000)</f>
        <v/>
      </c>
      <c r="M973">
        <f>IF(D973="","",IFERROR(MATCH(D973,Settings!$B$10:$B$18,0),""))</f>
        <v/>
      </c>
      <c r="N973">
        <f>IF(OR(B973="",E973="",M973=""),"",IF(AND(B973&gt;=Settings!$C$6,B973&lt;=Settings!$C$7),M973*10000+E973,""))</f>
        <v/>
      </c>
      <c r="O973">
        <f>IF(OR(B973="",E973=""),"",B973*10000+E973)</f>
        <v/>
      </c>
      <c r="P973">
        <f>IF(N973="","",E973)</f>
        <v/>
      </c>
    </row>
    <row r="974">
      <c r="A974" s="1" t="n"/>
      <c r="B974" s="20" t="n"/>
      <c r="C974" s="21" t="n"/>
      <c r="D974" s="22" t="n"/>
      <c r="E974" s="23" t="n"/>
      <c r="F974" s="22" t="n"/>
      <c r="G974" s="14">
        <f>IF(OR(B974="",E974="",J974="",K974=""),"",IF(E974&lt;J974,"Below",IF(E974&gt;K974,"Above","In range")))</f>
        <v/>
      </c>
      <c r="H974" s="1" t="n"/>
      <c r="J974">
        <f>IF(M974="","",IF(INDEX(Settings!$C$10:$C$18,M974)="","",INDEX(Settings!$C$10:$C$18,M974)))</f>
        <v/>
      </c>
      <c r="K974">
        <f>IF(M974="","",IF(INDEX(Settings!$D$10:$D$18,M974)="","",INDEX(Settings!$D$10:$D$18,M974)))</f>
        <v/>
      </c>
      <c r="L974">
        <f>IF(OR(B974="",E974=""),"",B974+MOD(N(C974),1)+ROW()/10000000)</f>
        <v/>
      </c>
      <c r="M974">
        <f>IF(D974="","",IFERROR(MATCH(D974,Settings!$B$10:$B$18,0),""))</f>
        <v/>
      </c>
      <c r="N974">
        <f>IF(OR(B974="",E974="",M974=""),"",IF(AND(B974&gt;=Settings!$C$6,B974&lt;=Settings!$C$7),M974*10000+E974,""))</f>
        <v/>
      </c>
      <c r="O974">
        <f>IF(OR(B974="",E974=""),"",B974*10000+E974)</f>
        <v/>
      </c>
      <c r="P974">
        <f>IF(N974="","",E974)</f>
        <v/>
      </c>
    </row>
    <row r="975">
      <c r="A975" s="1" t="n"/>
      <c r="B975" s="20" t="n"/>
      <c r="C975" s="21" t="n"/>
      <c r="D975" s="22" t="n"/>
      <c r="E975" s="23" t="n"/>
      <c r="F975" s="22" t="n"/>
      <c r="G975" s="14">
        <f>IF(OR(B975="",E975="",J975="",K975=""),"",IF(E975&lt;J975,"Below",IF(E975&gt;K975,"Above","In range")))</f>
        <v/>
      </c>
      <c r="H975" s="1" t="n"/>
      <c r="J975">
        <f>IF(M975="","",IF(INDEX(Settings!$C$10:$C$18,M975)="","",INDEX(Settings!$C$10:$C$18,M975)))</f>
        <v/>
      </c>
      <c r="K975">
        <f>IF(M975="","",IF(INDEX(Settings!$D$10:$D$18,M975)="","",INDEX(Settings!$D$10:$D$18,M975)))</f>
        <v/>
      </c>
      <c r="L975">
        <f>IF(OR(B975="",E975=""),"",B975+MOD(N(C975),1)+ROW()/10000000)</f>
        <v/>
      </c>
      <c r="M975">
        <f>IF(D975="","",IFERROR(MATCH(D975,Settings!$B$10:$B$18,0),""))</f>
        <v/>
      </c>
      <c r="N975">
        <f>IF(OR(B975="",E975="",M975=""),"",IF(AND(B975&gt;=Settings!$C$6,B975&lt;=Settings!$C$7),M975*10000+E975,""))</f>
        <v/>
      </c>
      <c r="O975">
        <f>IF(OR(B975="",E975=""),"",B975*10000+E975)</f>
        <v/>
      </c>
      <c r="P975">
        <f>IF(N975="","",E975)</f>
        <v/>
      </c>
    </row>
    <row r="976">
      <c r="A976" s="1" t="n"/>
      <c r="B976" s="20" t="n"/>
      <c r="C976" s="21" t="n"/>
      <c r="D976" s="22" t="n"/>
      <c r="E976" s="23" t="n"/>
      <c r="F976" s="22" t="n"/>
      <c r="G976" s="14">
        <f>IF(OR(B976="",E976="",J976="",K976=""),"",IF(E976&lt;J976,"Below",IF(E976&gt;K976,"Above","In range")))</f>
        <v/>
      </c>
      <c r="H976" s="1" t="n"/>
      <c r="J976">
        <f>IF(M976="","",IF(INDEX(Settings!$C$10:$C$18,M976)="","",INDEX(Settings!$C$10:$C$18,M976)))</f>
        <v/>
      </c>
      <c r="K976">
        <f>IF(M976="","",IF(INDEX(Settings!$D$10:$D$18,M976)="","",INDEX(Settings!$D$10:$D$18,M976)))</f>
        <v/>
      </c>
      <c r="L976">
        <f>IF(OR(B976="",E976=""),"",B976+MOD(N(C976),1)+ROW()/10000000)</f>
        <v/>
      </c>
      <c r="M976">
        <f>IF(D976="","",IFERROR(MATCH(D976,Settings!$B$10:$B$18,0),""))</f>
        <v/>
      </c>
      <c r="N976">
        <f>IF(OR(B976="",E976="",M976=""),"",IF(AND(B976&gt;=Settings!$C$6,B976&lt;=Settings!$C$7),M976*10000+E976,""))</f>
        <v/>
      </c>
      <c r="O976">
        <f>IF(OR(B976="",E976=""),"",B976*10000+E976)</f>
        <v/>
      </c>
      <c r="P976">
        <f>IF(N976="","",E976)</f>
        <v/>
      </c>
    </row>
    <row r="977">
      <c r="A977" s="1" t="n"/>
      <c r="B977" s="20" t="n"/>
      <c r="C977" s="21" t="n"/>
      <c r="D977" s="22" t="n"/>
      <c r="E977" s="23" t="n"/>
      <c r="F977" s="22" t="n"/>
      <c r="G977" s="14">
        <f>IF(OR(B977="",E977="",J977="",K977=""),"",IF(E977&lt;J977,"Below",IF(E977&gt;K977,"Above","In range")))</f>
        <v/>
      </c>
      <c r="H977" s="1" t="n"/>
      <c r="J977">
        <f>IF(M977="","",IF(INDEX(Settings!$C$10:$C$18,M977)="","",INDEX(Settings!$C$10:$C$18,M977)))</f>
        <v/>
      </c>
      <c r="K977">
        <f>IF(M977="","",IF(INDEX(Settings!$D$10:$D$18,M977)="","",INDEX(Settings!$D$10:$D$18,M977)))</f>
        <v/>
      </c>
      <c r="L977">
        <f>IF(OR(B977="",E977=""),"",B977+MOD(N(C977),1)+ROW()/10000000)</f>
        <v/>
      </c>
      <c r="M977">
        <f>IF(D977="","",IFERROR(MATCH(D977,Settings!$B$10:$B$18,0),""))</f>
        <v/>
      </c>
      <c r="N977">
        <f>IF(OR(B977="",E977="",M977=""),"",IF(AND(B977&gt;=Settings!$C$6,B977&lt;=Settings!$C$7),M977*10000+E977,""))</f>
        <v/>
      </c>
      <c r="O977">
        <f>IF(OR(B977="",E977=""),"",B977*10000+E977)</f>
        <v/>
      </c>
      <c r="P977">
        <f>IF(N977="","",E977)</f>
        <v/>
      </c>
    </row>
    <row r="978">
      <c r="A978" s="1" t="n"/>
      <c r="B978" s="20" t="n"/>
      <c r="C978" s="21" t="n"/>
      <c r="D978" s="22" t="n"/>
      <c r="E978" s="23" t="n"/>
      <c r="F978" s="22" t="n"/>
      <c r="G978" s="14">
        <f>IF(OR(B978="",E978="",J978="",K978=""),"",IF(E978&lt;J978,"Below",IF(E978&gt;K978,"Above","In range")))</f>
        <v/>
      </c>
      <c r="H978" s="1" t="n"/>
      <c r="J978">
        <f>IF(M978="","",IF(INDEX(Settings!$C$10:$C$18,M978)="","",INDEX(Settings!$C$10:$C$18,M978)))</f>
        <v/>
      </c>
      <c r="K978">
        <f>IF(M978="","",IF(INDEX(Settings!$D$10:$D$18,M978)="","",INDEX(Settings!$D$10:$D$18,M978)))</f>
        <v/>
      </c>
      <c r="L978">
        <f>IF(OR(B978="",E978=""),"",B978+MOD(N(C978),1)+ROW()/10000000)</f>
        <v/>
      </c>
      <c r="M978">
        <f>IF(D978="","",IFERROR(MATCH(D978,Settings!$B$10:$B$18,0),""))</f>
        <v/>
      </c>
      <c r="N978">
        <f>IF(OR(B978="",E978="",M978=""),"",IF(AND(B978&gt;=Settings!$C$6,B978&lt;=Settings!$C$7),M978*10000+E978,""))</f>
        <v/>
      </c>
      <c r="O978">
        <f>IF(OR(B978="",E978=""),"",B978*10000+E978)</f>
        <v/>
      </c>
      <c r="P978">
        <f>IF(N978="","",E978)</f>
        <v/>
      </c>
    </row>
    <row r="979">
      <c r="A979" s="1" t="n"/>
      <c r="B979" s="20" t="n"/>
      <c r="C979" s="21" t="n"/>
      <c r="D979" s="22" t="n"/>
      <c r="E979" s="23" t="n"/>
      <c r="F979" s="22" t="n"/>
      <c r="G979" s="14">
        <f>IF(OR(B979="",E979="",J979="",K979=""),"",IF(E979&lt;J979,"Below",IF(E979&gt;K979,"Above","In range")))</f>
        <v/>
      </c>
      <c r="H979" s="1" t="n"/>
      <c r="J979">
        <f>IF(M979="","",IF(INDEX(Settings!$C$10:$C$18,M979)="","",INDEX(Settings!$C$10:$C$18,M979)))</f>
        <v/>
      </c>
      <c r="K979">
        <f>IF(M979="","",IF(INDEX(Settings!$D$10:$D$18,M979)="","",INDEX(Settings!$D$10:$D$18,M979)))</f>
        <v/>
      </c>
      <c r="L979">
        <f>IF(OR(B979="",E979=""),"",B979+MOD(N(C979),1)+ROW()/10000000)</f>
        <v/>
      </c>
      <c r="M979">
        <f>IF(D979="","",IFERROR(MATCH(D979,Settings!$B$10:$B$18,0),""))</f>
        <v/>
      </c>
      <c r="N979">
        <f>IF(OR(B979="",E979="",M979=""),"",IF(AND(B979&gt;=Settings!$C$6,B979&lt;=Settings!$C$7),M979*10000+E979,""))</f>
        <v/>
      </c>
      <c r="O979">
        <f>IF(OR(B979="",E979=""),"",B979*10000+E979)</f>
        <v/>
      </c>
      <c r="P979">
        <f>IF(N979="","",E979)</f>
        <v/>
      </c>
    </row>
    <row r="980">
      <c r="A980" s="1" t="n"/>
      <c r="B980" s="20" t="n"/>
      <c r="C980" s="21" t="n"/>
      <c r="D980" s="22" t="n"/>
      <c r="E980" s="23" t="n"/>
      <c r="F980" s="22" t="n"/>
      <c r="G980" s="14">
        <f>IF(OR(B980="",E980="",J980="",K980=""),"",IF(E980&lt;J980,"Below",IF(E980&gt;K980,"Above","In range")))</f>
        <v/>
      </c>
      <c r="H980" s="1" t="n"/>
      <c r="J980">
        <f>IF(M980="","",IF(INDEX(Settings!$C$10:$C$18,M980)="","",INDEX(Settings!$C$10:$C$18,M980)))</f>
        <v/>
      </c>
      <c r="K980">
        <f>IF(M980="","",IF(INDEX(Settings!$D$10:$D$18,M980)="","",INDEX(Settings!$D$10:$D$18,M980)))</f>
        <v/>
      </c>
      <c r="L980">
        <f>IF(OR(B980="",E980=""),"",B980+MOD(N(C980),1)+ROW()/10000000)</f>
        <v/>
      </c>
      <c r="M980">
        <f>IF(D980="","",IFERROR(MATCH(D980,Settings!$B$10:$B$18,0),""))</f>
        <v/>
      </c>
      <c r="N980">
        <f>IF(OR(B980="",E980="",M980=""),"",IF(AND(B980&gt;=Settings!$C$6,B980&lt;=Settings!$C$7),M980*10000+E980,""))</f>
        <v/>
      </c>
      <c r="O980">
        <f>IF(OR(B980="",E980=""),"",B980*10000+E980)</f>
        <v/>
      </c>
      <c r="P980">
        <f>IF(N980="","",E980)</f>
        <v/>
      </c>
    </row>
    <row r="981">
      <c r="A981" s="1" t="n"/>
      <c r="B981" s="20" t="n"/>
      <c r="C981" s="21" t="n"/>
      <c r="D981" s="22" t="n"/>
      <c r="E981" s="23" t="n"/>
      <c r="F981" s="22" t="n"/>
      <c r="G981" s="14">
        <f>IF(OR(B981="",E981="",J981="",K981=""),"",IF(E981&lt;J981,"Below",IF(E981&gt;K981,"Above","In range")))</f>
        <v/>
      </c>
      <c r="H981" s="1" t="n"/>
      <c r="J981">
        <f>IF(M981="","",IF(INDEX(Settings!$C$10:$C$18,M981)="","",INDEX(Settings!$C$10:$C$18,M981)))</f>
        <v/>
      </c>
      <c r="K981">
        <f>IF(M981="","",IF(INDEX(Settings!$D$10:$D$18,M981)="","",INDEX(Settings!$D$10:$D$18,M981)))</f>
        <v/>
      </c>
      <c r="L981">
        <f>IF(OR(B981="",E981=""),"",B981+MOD(N(C981),1)+ROW()/10000000)</f>
        <v/>
      </c>
      <c r="M981">
        <f>IF(D981="","",IFERROR(MATCH(D981,Settings!$B$10:$B$18,0),""))</f>
        <v/>
      </c>
      <c r="N981">
        <f>IF(OR(B981="",E981="",M981=""),"",IF(AND(B981&gt;=Settings!$C$6,B981&lt;=Settings!$C$7),M981*10000+E981,""))</f>
        <v/>
      </c>
      <c r="O981">
        <f>IF(OR(B981="",E981=""),"",B981*10000+E981)</f>
        <v/>
      </c>
      <c r="P981">
        <f>IF(N981="","",E981)</f>
        <v/>
      </c>
    </row>
    <row r="982">
      <c r="A982" s="1" t="n"/>
      <c r="B982" s="20" t="n"/>
      <c r="C982" s="21" t="n"/>
      <c r="D982" s="22" t="n"/>
      <c r="E982" s="23" t="n"/>
      <c r="F982" s="22" t="n"/>
      <c r="G982" s="14">
        <f>IF(OR(B982="",E982="",J982="",K982=""),"",IF(E982&lt;J982,"Below",IF(E982&gt;K982,"Above","In range")))</f>
        <v/>
      </c>
      <c r="H982" s="1" t="n"/>
      <c r="J982">
        <f>IF(M982="","",IF(INDEX(Settings!$C$10:$C$18,M982)="","",INDEX(Settings!$C$10:$C$18,M982)))</f>
        <v/>
      </c>
      <c r="K982">
        <f>IF(M982="","",IF(INDEX(Settings!$D$10:$D$18,M982)="","",INDEX(Settings!$D$10:$D$18,M982)))</f>
        <v/>
      </c>
      <c r="L982">
        <f>IF(OR(B982="",E982=""),"",B982+MOD(N(C982),1)+ROW()/10000000)</f>
        <v/>
      </c>
      <c r="M982">
        <f>IF(D982="","",IFERROR(MATCH(D982,Settings!$B$10:$B$18,0),""))</f>
        <v/>
      </c>
      <c r="N982">
        <f>IF(OR(B982="",E982="",M982=""),"",IF(AND(B982&gt;=Settings!$C$6,B982&lt;=Settings!$C$7),M982*10000+E982,""))</f>
        <v/>
      </c>
      <c r="O982">
        <f>IF(OR(B982="",E982=""),"",B982*10000+E982)</f>
        <v/>
      </c>
      <c r="P982">
        <f>IF(N982="","",E982)</f>
        <v/>
      </c>
    </row>
    <row r="983">
      <c r="A983" s="1" t="n"/>
      <c r="B983" s="20" t="n"/>
      <c r="C983" s="21" t="n"/>
      <c r="D983" s="22" t="n"/>
      <c r="E983" s="23" t="n"/>
      <c r="F983" s="22" t="n"/>
      <c r="G983" s="14">
        <f>IF(OR(B983="",E983="",J983="",K983=""),"",IF(E983&lt;J983,"Below",IF(E983&gt;K983,"Above","In range")))</f>
        <v/>
      </c>
      <c r="H983" s="1" t="n"/>
      <c r="J983">
        <f>IF(M983="","",IF(INDEX(Settings!$C$10:$C$18,M983)="","",INDEX(Settings!$C$10:$C$18,M983)))</f>
        <v/>
      </c>
      <c r="K983">
        <f>IF(M983="","",IF(INDEX(Settings!$D$10:$D$18,M983)="","",INDEX(Settings!$D$10:$D$18,M983)))</f>
        <v/>
      </c>
      <c r="L983">
        <f>IF(OR(B983="",E983=""),"",B983+MOD(N(C983),1)+ROW()/10000000)</f>
        <v/>
      </c>
      <c r="M983">
        <f>IF(D983="","",IFERROR(MATCH(D983,Settings!$B$10:$B$18,0),""))</f>
        <v/>
      </c>
      <c r="N983">
        <f>IF(OR(B983="",E983="",M983=""),"",IF(AND(B983&gt;=Settings!$C$6,B983&lt;=Settings!$C$7),M983*10000+E983,""))</f>
        <v/>
      </c>
      <c r="O983">
        <f>IF(OR(B983="",E983=""),"",B983*10000+E983)</f>
        <v/>
      </c>
      <c r="P983">
        <f>IF(N983="","",E983)</f>
        <v/>
      </c>
    </row>
    <row r="984">
      <c r="A984" s="1" t="n"/>
      <c r="B984" s="20" t="n"/>
      <c r="C984" s="21" t="n"/>
      <c r="D984" s="22" t="n"/>
      <c r="E984" s="23" t="n"/>
      <c r="F984" s="22" t="n"/>
      <c r="G984" s="14">
        <f>IF(OR(B984="",E984="",J984="",K984=""),"",IF(E984&lt;J984,"Below",IF(E984&gt;K984,"Above","In range")))</f>
        <v/>
      </c>
      <c r="H984" s="1" t="n"/>
      <c r="J984">
        <f>IF(M984="","",IF(INDEX(Settings!$C$10:$C$18,M984)="","",INDEX(Settings!$C$10:$C$18,M984)))</f>
        <v/>
      </c>
      <c r="K984">
        <f>IF(M984="","",IF(INDEX(Settings!$D$10:$D$18,M984)="","",INDEX(Settings!$D$10:$D$18,M984)))</f>
        <v/>
      </c>
      <c r="L984">
        <f>IF(OR(B984="",E984=""),"",B984+MOD(N(C984),1)+ROW()/10000000)</f>
        <v/>
      </c>
      <c r="M984">
        <f>IF(D984="","",IFERROR(MATCH(D984,Settings!$B$10:$B$18,0),""))</f>
        <v/>
      </c>
      <c r="N984">
        <f>IF(OR(B984="",E984="",M984=""),"",IF(AND(B984&gt;=Settings!$C$6,B984&lt;=Settings!$C$7),M984*10000+E984,""))</f>
        <v/>
      </c>
      <c r="O984">
        <f>IF(OR(B984="",E984=""),"",B984*10000+E984)</f>
        <v/>
      </c>
      <c r="P984">
        <f>IF(N984="","",E984)</f>
        <v/>
      </c>
    </row>
    <row r="985">
      <c r="A985" s="1" t="n"/>
      <c r="B985" s="20" t="n"/>
      <c r="C985" s="21" t="n"/>
      <c r="D985" s="22" t="n"/>
      <c r="E985" s="23" t="n"/>
      <c r="F985" s="22" t="n"/>
      <c r="G985" s="14">
        <f>IF(OR(B985="",E985="",J985="",K985=""),"",IF(E985&lt;J985,"Below",IF(E985&gt;K985,"Above","In range")))</f>
        <v/>
      </c>
      <c r="H985" s="1" t="n"/>
      <c r="J985">
        <f>IF(M985="","",IF(INDEX(Settings!$C$10:$C$18,M985)="","",INDEX(Settings!$C$10:$C$18,M985)))</f>
        <v/>
      </c>
      <c r="K985">
        <f>IF(M985="","",IF(INDEX(Settings!$D$10:$D$18,M985)="","",INDEX(Settings!$D$10:$D$18,M985)))</f>
        <v/>
      </c>
      <c r="L985">
        <f>IF(OR(B985="",E985=""),"",B985+MOD(N(C985),1)+ROW()/10000000)</f>
        <v/>
      </c>
      <c r="M985">
        <f>IF(D985="","",IFERROR(MATCH(D985,Settings!$B$10:$B$18,0),""))</f>
        <v/>
      </c>
      <c r="N985">
        <f>IF(OR(B985="",E985="",M985=""),"",IF(AND(B985&gt;=Settings!$C$6,B985&lt;=Settings!$C$7),M985*10000+E985,""))</f>
        <v/>
      </c>
      <c r="O985">
        <f>IF(OR(B985="",E985=""),"",B985*10000+E985)</f>
        <v/>
      </c>
      <c r="P985">
        <f>IF(N985="","",E985)</f>
        <v/>
      </c>
    </row>
    <row r="986">
      <c r="A986" s="1" t="n"/>
      <c r="B986" s="20" t="n"/>
      <c r="C986" s="21" t="n"/>
      <c r="D986" s="22" t="n"/>
      <c r="E986" s="23" t="n"/>
      <c r="F986" s="22" t="n"/>
      <c r="G986" s="14">
        <f>IF(OR(B986="",E986="",J986="",K986=""),"",IF(E986&lt;J986,"Below",IF(E986&gt;K986,"Above","In range")))</f>
        <v/>
      </c>
      <c r="H986" s="1" t="n"/>
      <c r="J986">
        <f>IF(M986="","",IF(INDEX(Settings!$C$10:$C$18,M986)="","",INDEX(Settings!$C$10:$C$18,M986)))</f>
        <v/>
      </c>
      <c r="K986">
        <f>IF(M986="","",IF(INDEX(Settings!$D$10:$D$18,M986)="","",INDEX(Settings!$D$10:$D$18,M986)))</f>
        <v/>
      </c>
      <c r="L986">
        <f>IF(OR(B986="",E986=""),"",B986+MOD(N(C986),1)+ROW()/10000000)</f>
        <v/>
      </c>
      <c r="M986">
        <f>IF(D986="","",IFERROR(MATCH(D986,Settings!$B$10:$B$18,0),""))</f>
        <v/>
      </c>
      <c r="N986">
        <f>IF(OR(B986="",E986="",M986=""),"",IF(AND(B986&gt;=Settings!$C$6,B986&lt;=Settings!$C$7),M986*10000+E986,""))</f>
        <v/>
      </c>
      <c r="O986">
        <f>IF(OR(B986="",E986=""),"",B986*10000+E986)</f>
        <v/>
      </c>
      <c r="P986">
        <f>IF(N986="","",E986)</f>
        <v/>
      </c>
    </row>
    <row r="987">
      <c r="A987" s="1" t="n"/>
      <c r="B987" s="20" t="n"/>
      <c r="C987" s="21" t="n"/>
      <c r="D987" s="22" t="n"/>
      <c r="E987" s="23" t="n"/>
      <c r="F987" s="22" t="n"/>
      <c r="G987" s="14">
        <f>IF(OR(B987="",E987="",J987="",K987=""),"",IF(E987&lt;J987,"Below",IF(E987&gt;K987,"Above","In range")))</f>
        <v/>
      </c>
      <c r="H987" s="1" t="n"/>
      <c r="J987">
        <f>IF(M987="","",IF(INDEX(Settings!$C$10:$C$18,M987)="","",INDEX(Settings!$C$10:$C$18,M987)))</f>
        <v/>
      </c>
      <c r="K987">
        <f>IF(M987="","",IF(INDEX(Settings!$D$10:$D$18,M987)="","",INDEX(Settings!$D$10:$D$18,M987)))</f>
        <v/>
      </c>
      <c r="L987">
        <f>IF(OR(B987="",E987=""),"",B987+MOD(N(C987),1)+ROW()/10000000)</f>
        <v/>
      </c>
      <c r="M987">
        <f>IF(D987="","",IFERROR(MATCH(D987,Settings!$B$10:$B$18,0),""))</f>
        <v/>
      </c>
      <c r="N987">
        <f>IF(OR(B987="",E987="",M987=""),"",IF(AND(B987&gt;=Settings!$C$6,B987&lt;=Settings!$C$7),M987*10000+E987,""))</f>
        <v/>
      </c>
      <c r="O987">
        <f>IF(OR(B987="",E987=""),"",B987*10000+E987)</f>
        <v/>
      </c>
      <c r="P987">
        <f>IF(N987="","",E987)</f>
        <v/>
      </c>
    </row>
    <row r="988">
      <c r="A988" s="1" t="n"/>
      <c r="B988" s="20" t="n"/>
      <c r="C988" s="21" t="n"/>
      <c r="D988" s="22" t="n"/>
      <c r="E988" s="23" t="n"/>
      <c r="F988" s="22" t="n"/>
      <c r="G988" s="14">
        <f>IF(OR(B988="",E988="",J988="",K988=""),"",IF(E988&lt;J988,"Below",IF(E988&gt;K988,"Above","In range")))</f>
        <v/>
      </c>
      <c r="H988" s="1" t="n"/>
      <c r="J988">
        <f>IF(M988="","",IF(INDEX(Settings!$C$10:$C$18,M988)="","",INDEX(Settings!$C$10:$C$18,M988)))</f>
        <v/>
      </c>
      <c r="K988">
        <f>IF(M988="","",IF(INDEX(Settings!$D$10:$D$18,M988)="","",INDEX(Settings!$D$10:$D$18,M988)))</f>
        <v/>
      </c>
      <c r="L988">
        <f>IF(OR(B988="",E988=""),"",B988+MOD(N(C988),1)+ROW()/10000000)</f>
        <v/>
      </c>
      <c r="M988">
        <f>IF(D988="","",IFERROR(MATCH(D988,Settings!$B$10:$B$18,0),""))</f>
        <v/>
      </c>
      <c r="N988">
        <f>IF(OR(B988="",E988="",M988=""),"",IF(AND(B988&gt;=Settings!$C$6,B988&lt;=Settings!$C$7),M988*10000+E988,""))</f>
        <v/>
      </c>
      <c r="O988">
        <f>IF(OR(B988="",E988=""),"",B988*10000+E988)</f>
        <v/>
      </c>
      <c r="P988">
        <f>IF(N988="","",E988)</f>
        <v/>
      </c>
    </row>
    <row r="989">
      <c r="A989" s="1" t="n"/>
      <c r="B989" s="20" t="n"/>
      <c r="C989" s="21" t="n"/>
      <c r="D989" s="22" t="n"/>
      <c r="E989" s="23" t="n"/>
      <c r="F989" s="22" t="n"/>
      <c r="G989" s="14">
        <f>IF(OR(B989="",E989="",J989="",K989=""),"",IF(E989&lt;J989,"Below",IF(E989&gt;K989,"Above","In range")))</f>
        <v/>
      </c>
      <c r="H989" s="1" t="n"/>
      <c r="J989">
        <f>IF(M989="","",IF(INDEX(Settings!$C$10:$C$18,M989)="","",INDEX(Settings!$C$10:$C$18,M989)))</f>
        <v/>
      </c>
      <c r="K989">
        <f>IF(M989="","",IF(INDEX(Settings!$D$10:$D$18,M989)="","",INDEX(Settings!$D$10:$D$18,M989)))</f>
        <v/>
      </c>
      <c r="L989">
        <f>IF(OR(B989="",E989=""),"",B989+MOD(N(C989),1)+ROW()/10000000)</f>
        <v/>
      </c>
      <c r="M989">
        <f>IF(D989="","",IFERROR(MATCH(D989,Settings!$B$10:$B$18,0),""))</f>
        <v/>
      </c>
      <c r="N989">
        <f>IF(OR(B989="",E989="",M989=""),"",IF(AND(B989&gt;=Settings!$C$6,B989&lt;=Settings!$C$7),M989*10000+E989,""))</f>
        <v/>
      </c>
      <c r="O989">
        <f>IF(OR(B989="",E989=""),"",B989*10000+E989)</f>
        <v/>
      </c>
      <c r="P989">
        <f>IF(N989="","",E989)</f>
        <v/>
      </c>
    </row>
    <row r="990">
      <c r="A990" s="1" t="n"/>
      <c r="B990" s="20" t="n"/>
      <c r="C990" s="21" t="n"/>
      <c r="D990" s="22" t="n"/>
      <c r="E990" s="23" t="n"/>
      <c r="F990" s="22" t="n"/>
      <c r="G990" s="14">
        <f>IF(OR(B990="",E990="",J990="",K990=""),"",IF(E990&lt;J990,"Below",IF(E990&gt;K990,"Above","In range")))</f>
        <v/>
      </c>
      <c r="H990" s="1" t="n"/>
      <c r="J990">
        <f>IF(M990="","",IF(INDEX(Settings!$C$10:$C$18,M990)="","",INDEX(Settings!$C$10:$C$18,M990)))</f>
        <v/>
      </c>
      <c r="K990">
        <f>IF(M990="","",IF(INDEX(Settings!$D$10:$D$18,M990)="","",INDEX(Settings!$D$10:$D$18,M990)))</f>
        <v/>
      </c>
      <c r="L990">
        <f>IF(OR(B990="",E990=""),"",B990+MOD(N(C990),1)+ROW()/10000000)</f>
        <v/>
      </c>
      <c r="M990">
        <f>IF(D990="","",IFERROR(MATCH(D990,Settings!$B$10:$B$18,0),""))</f>
        <v/>
      </c>
      <c r="N990">
        <f>IF(OR(B990="",E990="",M990=""),"",IF(AND(B990&gt;=Settings!$C$6,B990&lt;=Settings!$C$7),M990*10000+E990,""))</f>
        <v/>
      </c>
      <c r="O990">
        <f>IF(OR(B990="",E990=""),"",B990*10000+E990)</f>
        <v/>
      </c>
      <c r="P990">
        <f>IF(N990="","",E990)</f>
        <v/>
      </c>
    </row>
    <row r="991">
      <c r="A991" s="1" t="n"/>
      <c r="B991" s="20" t="n"/>
      <c r="C991" s="21" t="n"/>
      <c r="D991" s="22" t="n"/>
      <c r="E991" s="23" t="n"/>
      <c r="F991" s="22" t="n"/>
      <c r="G991" s="14">
        <f>IF(OR(B991="",E991="",J991="",K991=""),"",IF(E991&lt;J991,"Below",IF(E991&gt;K991,"Above","In range")))</f>
        <v/>
      </c>
      <c r="H991" s="1" t="n"/>
      <c r="J991">
        <f>IF(M991="","",IF(INDEX(Settings!$C$10:$C$18,M991)="","",INDEX(Settings!$C$10:$C$18,M991)))</f>
        <v/>
      </c>
      <c r="K991">
        <f>IF(M991="","",IF(INDEX(Settings!$D$10:$D$18,M991)="","",INDEX(Settings!$D$10:$D$18,M991)))</f>
        <v/>
      </c>
      <c r="L991">
        <f>IF(OR(B991="",E991=""),"",B991+MOD(N(C991),1)+ROW()/10000000)</f>
        <v/>
      </c>
      <c r="M991">
        <f>IF(D991="","",IFERROR(MATCH(D991,Settings!$B$10:$B$18,0),""))</f>
        <v/>
      </c>
      <c r="N991">
        <f>IF(OR(B991="",E991="",M991=""),"",IF(AND(B991&gt;=Settings!$C$6,B991&lt;=Settings!$C$7),M991*10000+E991,""))</f>
        <v/>
      </c>
      <c r="O991">
        <f>IF(OR(B991="",E991=""),"",B991*10000+E991)</f>
        <v/>
      </c>
      <c r="P991">
        <f>IF(N991="","",E991)</f>
        <v/>
      </c>
    </row>
    <row r="992">
      <c r="A992" s="1" t="n"/>
      <c r="B992" s="20" t="n"/>
      <c r="C992" s="21" t="n"/>
      <c r="D992" s="22" t="n"/>
      <c r="E992" s="23" t="n"/>
      <c r="F992" s="22" t="n"/>
      <c r="G992" s="14">
        <f>IF(OR(B992="",E992="",J992="",K992=""),"",IF(E992&lt;J992,"Below",IF(E992&gt;K992,"Above","In range")))</f>
        <v/>
      </c>
      <c r="H992" s="1" t="n"/>
      <c r="J992">
        <f>IF(M992="","",IF(INDEX(Settings!$C$10:$C$18,M992)="","",INDEX(Settings!$C$10:$C$18,M992)))</f>
        <v/>
      </c>
      <c r="K992">
        <f>IF(M992="","",IF(INDEX(Settings!$D$10:$D$18,M992)="","",INDEX(Settings!$D$10:$D$18,M992)))</f>
        <v/>
      </c>
      <c r="L992">
        <f>IF(OR(B992="",E992=""),"",B992+MOD(N(C992),1)+ROW()/10000000)</f>
        <v/>
      </c>
      <c r="M992">
        <f>IF(D992="","",IFERROR(MATCH(D992,Settings!$B$10:$B$18,0),""))</f>
        <v/>
      </c>
      <c r="N992">
        <f>IF(OR(B992="",E992="",M992=""),"",IF(AND(B992&gt;=Settings!$C$6,B992&lt;=Settings!$C$7),M992*10000+E992,""))</f>
        <v/>
      </c>
      <c r="O992">
        <f>IF(OR(B992="",E992=""),"",B992*10000+E992)</f>
        <v/>
      </c>
      <c r="P992">
        <f>IF(N992="","",E992)</f>
        <v/>
      </c>
    </row>
    <row r="993">
      <c r="A993" s="1" t="n"/>
      <c r="B993" s="20" t="n"/>
      <c r="C993" s="21" t="n"/>
      <c r="D993" s="22" t="n"/>
      <c r="E993" s="23" t="n"/>
      <c r="F993" s="22" t="n"/>
      <c r="G993" s="14">
        <f>IF(OR(B993="",E993="",J993="",K993=""),"",IF(E993&lt;J993,"Below",IF(E993&gt;K993,"Above","In range")))</f>
        <v/>
      </c>
      <c r="H993" s="1" t="n"/>
      <c r="J993">
        <f>IF(M993="","",IF(INDEX(Settings!$C$10:$C$18,M993)="","",INDEX(Settings!$C$10:$C$18,M993)))</f>
        <v/>
      </c>
      <c r="K993">
        <f>IF(M993="","",IF(INDEX(Settings!$D$10:$D$18,M993)="","",INDEX(Settings!$D$10:$D$18,M993)))</f>
        <v/>
      </c>
      <c r="L993">
        <f>IF(OR(B993="",E993=""),"",B993+MOD(N(C993),1)+ROW()/10000000)</f>
        <v/>
      </c>
      <c r="M993">
        <f>IF(D993="","",IFERROR(MATCH(D993,Settings!$B$10:$B$18,0),""))</f>
        <v/>
      </c>
      <c r="N993">
        <f>IF(OR(B993="",E993="",M993=""),"",IF(AND(B993&gt;=Settings!$C$6,B993&lt;=Settings!$C$7),M993*10000+E993,""))</f>
        <v/>
      </c>
      <c r="O993">
        <f>IF(OR(B993="",E993=""),"",B993*10000+E993)</f>
        <v/>
      </c>
      <c r="P993">
        <f>IF(N993="","",E993)</f>
        <v/>
      </c>
    </row>
    <row r="994">
      <c r="A994" s="1" t="n"/>
      <c r="B994" s="20" t="n"/>
      <c r="C994" s="21" t="n"/>
      <c r="D994" s="22" t="n"/>
      <c r="E994" s="23" t="n"/>
      <c r="F994" s="22" t="n"/>
      <c r="G994" s="14">
        <f>IF(OR(B994="",E994="",J994="",K994=""),"",IF(E994&lt;J994,"Below",IF(E994&gt;K994,"Above","In range")))</f>
        <v/>
      </c>
      <c r="H994" s="1" t="n"/>
      <c r="J994">
        <f>IF(M994="","",IF(INDEX(Settings!$C$10:$C$18,M994)="","",INDEX(Settings!$C$10:$C$18,M994)))</f>
        <v/>
      </c>
      <c r="K994">
        <f>IF(M994="","",IF(INDEX(Settings!$D$10:$D$18,M994)="","",INDEX(Settings!$D$10:$D$18,M994)))</f>
        <v/>
      </c>
      <c r="L994">
        <f>IF(OR(B994="",E994=""),"",B994+MOD(N(C994),1)+ROW()/10000000)</f>
        <v/>
      </c>
      <c r="M994">
        <f>IF(D994="","",IFERROR(MATCH(D994,Settings!$B$10:$B$18,0),""))</f>
        <v/>
      </c>
      <c r="N994">
        <f>IF(OR(B994="",E994="",M994=""),"",IF(AND(B994&gt;=Settings!$C$6,B994&lt;=Settings!$C$7),M994*10000+E994,""))</f>
        <v/>
      </c>
      <c r="O994">
        <f>IF(OR(B994="",E994=""),"",B994*10000+E994)</f>
        <v/>
      </c>
      <c r="P994">
        <f>IF(N994="","",E994)</f>
        <v/>
      </c>
    </row>
    <row r="995">
      <c r="A995" s="1" t="n"/>
      <c r="B995" s="20" t="n"/>
      <c r="C995" s="21" t="n"/>
      <c r="D995" s="22" t="n"/>
      <c r="E995" s="23" t="n"/>
      <c r="F995" s="22" t="n"/>
      <c r="G995" s="14">
        <f>IF(OR(B995="",E995="",J995="",K995=""),"",IF(E995&lt;J995,"Below",IF(E995&gt;K995,"Above","In range")))</f>
        <v/>
      </c>
      <c r="H995" s="1" t="n"/>
      <c r="J995">
        <f>IF(M995="","",IF(INDEX(Settings!$C$10:$C$18,M995)="","",INDEX(Settings!$C$10:$C$18,M995)))</f>
        <v/>
      </c>
      <c r="K995">
        <f>IF(M995="","",IF(INDEX(Settings!$D$10:$D$18,M995)="","",INDEX(Settings!$D$10:$D$18,M995)))</f>
        <v/>
      </c>
      <c r="L995">
        <f>IF(OR(B995="",E995=""),"",B995+MOD(N(C995),1)+ROW()/10000000)</f>
        <v/>
      </c>
      <c r="M995">
        <f>IF(D995="","",IFERROR(MATCH(D995,Settings!$B$10:$B$18,0),""))</f>
        <v/>
      </c>
      <c r="N995">
        <f>IF(OR(B995="",E995="",M995=""),"",IF(AND(B995&gt;=Settings!$C$6,B995&lt;=Settings!$C$7),M995*10000+E995,""))</f>
        <v/>
      </c>
      <c r="O995">
        <f>IF(OR(B995="",E995=""),"",B995*10000+E995)</f>
        <v/>
      </c>
      <c r="P995">
        <f>IF(N995="","",E995)</f>
        <v/>
      </c>
    </row>
    <row r="996">
      <c r="A996" s="1" t="n"/>
      <c r="B996" s="20" t="n"/>
      <c r="C996" s="21" t="n"/>
      <c r="D996" s="22" t="n"/>
      <c r="E996" s="23" t="n"/>
      <c r="F996" s="22" t="n"/>
      <c r="G996" s="14">
        <f>IF(OR(B996="",E996="",J996="",K996=""),"",IF(E996&lt;J996,"Below",IF(E996&gt;K996,"Above","In range")))</f>
        <v/>
      </c>
      <c r="H996" s="1" t="n"/>
      <c r="J996">
        <f>IF(M996="","",IF(INDEX(Settings!$C$10:$C$18,M996)="","",INDEX(Settings!$C$10:$C$18,M996)))</f>
        <v/>
      </c>
      <c r="K996">
        <f>IF(M996="","",IF(INDEX(Settings!$D$10:$D$18,M996)="","",INDEX(Settings!$D$10:$D$18,M996)))</f>
        <v/>
      </c>
      <c r="L996">
        <f>IF(OR(B996="",E996=""),"",B996+MOD(N(C996),1)+ROW()/10000000)</f>
        <v/>
      </c>
      <c r="M996">
        <f>IF(D996="","",IFERROR(MATCH(D996,Settings!$B$10:$B$18,0),""))</f>
        <v/>
      </c>
      <c r="N996">
        <f>IF(OR(B996="",E996="",M996=""),"",IF(AND(B996&gt;=Settings!$C$6,B996&lt;=Settings!$C$7),M996*10000+E996,""))</f>
        <v/>
      </c>
      <c r="O996">
        <f>IF(OR(B996="",E996=""),"",B996*10000+E996)</f>
        <v/>
      </c>
      <c r="P996">
        <f>IF(N996="","",E996)</f>
        <v/>
      </c>
    </row>
    <row r="997">
      <c r="A997" s="1" t="n"/>
      <c r="B997" s="20" t="n"/>
      <c r="C997" s="21" t="n"/>
      <c r="D997" s="22" t="n"/>
      <c r="E997" s="23" t="n"/>
      <c r="F997" s="22" t="n"/>
      <c r="G997" s="14">
        <f>IF(OR(B997="",E997="",J997="",K997=""),"",IF(E997&lt;J997,"Below",IF(E997&gt;K997,"Above","In range")))</f>
        <v/>
      </c>
      <c r="H997" s="1" t="n"/>
      <c r="J997">
        <f>IF(M997="","",IF(INDEX(Settings!$C$10:$C$18,M997)="","",INDEX(Settings!$C$10:$C$18,M997)))</f>
        <v/>
      </c>
      <c r="K997">
        <f>IF(M997="","",IF(INDEX(Settings!$D$10:$D$18,M997)="","",INDEX(Settings!$D$10:$D$18,M997)))</f>
        <v/>
      </c>
      <c r="L997">
        <f>IF(OR(B997="",E997=""),"",B997+MOD(N(C997),1)+ROW()/10000000)</f>
        <v/>
      </c>
      <c r="M997">
        <f>IF(D997="","",IFERROR(MATCH(D997,Settings!$B$10:$B$18,0),""))</f>
        <v/>
      </c>
      <c r="N997">
        <f>IF(OR(B997="",E997="",M997=""),"",IF(AND(B997&gt;=Settings!$C$6,B997&lt;=Settings!$C$7),M997*10000+E997,""))</f>
        <v/>
      </c>
      <c r="O997">
        <f>IF(OR(B997="",E997=""),"",B997*10000+E997)</f>
        <v/>
      </c>
      <c r="P997">
        <f>IF(N997="","",E997)</f>
        <v/>
      </c>
    </row>
    <row r="998">
      <c r="A998" s="1" t="n"/>
      <c r="B998" s="20" t="n"/>
      <c r="C998" s="21" t="n"/>
      <c r="D998" s="22" t="n"/>
      <c r="E998" s="23" t="n"/>
      <c r="F998" s="22" t="n"/>
      <c r="G998" s="14">
        <f>IF(OR(B998="",E998="",J998="",K998=""),"",IF(E998&lt;J998,"Below",IF(E998&gt;K998,"Above","In range")))</f>
        <v/>
      </c>
      <c r="H998" s="1" t="n"/>
      <c r="J998">
        <f>IF(M998="","",IF(INDEX(Settings!$C$10:$C$18,M998)="","",INDEX(Settings!$C$10:$C$18,M998)))</f>
        <v/>
      </c>
      <c r="K998">
        <f>IF(M998="","",IF(INDEX(Settings!$D$10:$D$18,M998)="","",INDEX(Settings!$D$10:$D$18,M998)))</f>
        <v/>
      </c>
      <c r="L998">
        <f>IF(OR(B998="",E998=""),"",B998+MOD(N(C998),1)+ROW()/10000000)</f>
        <v/>
      </c>
      <c r="M998">
        <f>IF(D998="","",IFERROR(MATCH(D998,Settings!$B$10:$B$18,0),""))</f>
        <v/>
      </c>
      <c r="N998">
        <f>IF(OR(B998="",E998="",M998=""),"",IF(AND(B998&gt;=Settings!$C$6,B998&lt;=Settings!$C$7),M998*10000+E998,""))</f>
        <v/>
      </c>
      <c r="O998">
        <f>IF(OR(B998="",E998=""),"",B998*10000+E998)</f>
        <v/>
      </c>
      <c r="P998">
        <f>IF(N998="","",E998)</f>
        <v/>
      </c>
    </row>
    <row r="999">
      <c r="A999" s="1" t="n"/>
      <c r="B999" s="20" t="n"/>
      <c r="C999" s="21" t="n"/>
      <c r="D999" s="22" t="n"/>
      <c r="E999" s="23" t="n"/>
      <c r="F999" s="22" t="n"/>
      <c r="G999" s="14">
        <f>IF(OR(B999="",E999="",J999="",K999=""),"",IF(E999&lt;J999,"Below",IF(E999&gt;K999,"Above","In range")))</f>
        <v/>
      </c>
      <c r="H999" s="1" t="n"/>
      <c r="J999">
        <f>IF(M999="","",IF(INDEX(Settings!$C$10:$C$18,M999)="","",INDEX(Settings!$C$10:$C$18,M999)))</f>
        <v/>
      </c>
      <c r="K999">
        <f>IF(M999="","",IF(INDEX(Settings!$D$10:$D$18,M999)="","",INDEX(Settings!$D$10:$D$18,M999)))</f>
        <v/>
      </c>
      <c r="L999">
        <f>IF(OR(B999="",E999=""),"",B999+MOD(N(C999),1)+ROW()/10000000)</f>
        <v/>
      </c>
      <c r="M999">
        <f>IF(D999="","",IFERROR(MATCH(D999,Settings!$B$10:$B$18,0),""))</f>
        <v/>
      </c>
      <c r="N999">
        <f>IF(OR(B999="",E999="",M999=""),"",IF(AND(B999&gt;=Settings!$C$6,B999&lt;=Settings!$C$7),M999*10000+E999,""))</f>
        <v/>
      </c>
      <c r="O999">
        <f>IF(OR(B999="",E999=""),"",B999*10000+E999)</f>
        <v/>
      </c>
      <c r="P999">
        <f>IF(N999="","",E999)</f>
        <v/>
      </c>
    </row>
    <row r="1000">
      <c r="A1000" s="1" t="n"/>
      <c r="B1000" s="20" t="n"/>
      <c r="C1000" s="21" t="n"/>
      <c r="D1000" s="22" t="n"/>
      <c r="E1000" s="23" t="n"/>
      <c r="F1000" s="22" t="n"/>
      <c r="G1000" s="14">
        <f>IF(OR(B1000="",E1000="",J1000="",K1000=""),"",IF(E1000&lt;J1000,"Below",IF(E1000&gt;K1000,"Above","In range")))</f>
        <v/>
      </c>
      <c r="H1000" s="1" t="n"/>
      <c r="J1000">
        <f>IF(M1000="","",IF(INDEX(Settings!$C$10:$C$18,M1000)="","",INDEX(Settings!$C$10:$C$18,M1000)))</f>
        <v/>
      </c>
      <c r="K1000">
        <f>IF(M1000="","",IF(INDEX(Settings!$D$10:$D$18,M1000)="","",INDEX(Settings!$D$10:$D$18,M1000)))</f>
        <v/>
      </c>
      <c r="L1000">
        <f>IF(OR(B1000="",E1000=""),"",B1000+MOD(N(C1000),1)+ROW()/10000000)</f>
        <v/>
      </c>
      <c r="M1000">
        <f>IF(D1000="","",IFERROR(MATCH(D1000,Settings!$B$10:$B$18,0),""))</f>
        <v/>
      </c>
      <c r="N1000">
        <f>IF(OR(B1000="",E1000="",M1000=""),"",IF(AND(B1000&gt;=Settings!$C$6,B1000&lt;=Settings!$C$7),M1000*10000+E1000,""))</f>
        <v/>
      </c>
      <c r="O1000">
        <f>IF(OR(B1000="",E1000=""),"",B1000*10000+E1000)</f>
        <v/>
      </c>
      <c r="P1000">
        <f>IF(N1000="","",E1000)</f>
        <v/>
      </c>
    </row>
    <row r="1001">
      <c r="A1001" s="1" t="n"/>
      <c r="B1001" s="20" t="n"/>
      <c r="C1001" s="21" t="n"/>
      <c r="D1001" s="22" t="n"/>
      <c r="E1001" s="23" t="n"/>
      <c r="F1001" s="22" t="n"/>
      <c r="G1001" s="14">
        <f>IF(OR(B1001="",E1001="",J1001="",K1001=""),"",IF(E1001&lt;J1001,"Below",IF(E1001&gt;K1001,"Above","In range")))</f>
        <v/>
      </c>
      <c r="H1001" s="1" t="n"/>
      <c r="J1001">
        <f>IF(M1001="","",IF(INDEX(Settings!$C$10:$C$18,M1001)="","",INDEX(Settings!$C$10:$C$18,M1001)))</f>
        <v/>
      </c>
      <c r="K1001">
        <f>IF(M1001="","",IF(INDEX(Settings!$D$10:$D$18,M1001)="","",INDEX(Settings!$D$10:$D$18,M1001)))</f>
        <v/>
      </c>
      <c r="L1001">
        <f>IF(OR(B1001="",E1001=""),"",B1001+MOD(N(C1001),1)+ROW()/10000000)</f>
        <v/>
      </c>
      <c r="M1001">
        <f>IF(D1001="","",IFERROR(MATCH(D1001,Settings!$B$10:$B$18,0),""))</f>
        <v/>
      </c>
      <c r="N1001">
        <f>IF(OR(B1001="",E1001="",M1001=""),"",IF(AND(B1001&gt;=Settings!$C$6,B1001&lt;=Settings!$C$7),M1001*10000+E1001,""))</f>
        <v/>
      </c>
      <c r="O1001">
        <f>IF(OR(B1001="",E1001=""),"",B1001*10000+E1001)</f>
        <v/>
      </c>
      <c r="P1001">
        <f>IF(N1001="","",E1001)</f>
        <v/>
      </c>
    </row>
    <row r="1002">
      <c r="A1002" s="1" t="n"/>
      <c r="B1002" s="20" t="n"/>
      <c r="C1002" s="21" t="n"/>
      <c r="D1002" s="22" t="n"/>
      <c r="E1002" s="23" t="n"/>
      <c r="F1002" s="22" t="n"/>
      <c r="G1002" s="14">
        <f>IF(OR(B1002="",E1002="",J1002="",K1002=""),"",IF(E1002&lt;J1002,"Below",IF(E1002&gt;K1002,"Above","In range")))</f>
        <v/>
      </c>
      <c r="H1002" s="1" t="n"/>
      <c r="J1002">
        <f>IF(M1002="","",IF(INDEX(Settings!$C$10:$C$18,M1002)="","",INDEX(Settings!$C$10:$C$18,M1002)))</f>
        <v/>
      </c>
      <c r="K1002">
        <f>IF(M1002="","",IF(INDEX(Settings!$D$10:$D$18,M1002)="","",INDEX(Settings!$D$10:$D$18,M1002)))</f>
        <v/>
      </c>
      <c r="L1002">
        <f>IF(OR(B1002="",E1002=""),"",B1002+MOD(N(C1002),1)+ROW()/10000000)</f>
        <v/>
      </c>
      <c r="M1002">
        <f>IF(D1002="","",IFERROR(MATCH(D1002,Settings!$B$10:$B$18,0),""))</f>
        <v/>
      </c>
      <c r="N1002">
        <f>IF(OR(B1002="",E1002="",M1002=""),"",IF(AND(B1002&gt;=Settings!$C$6,B1002&lt;=Settings!$C$7),M1002*10000+E1002,""))</f>
        <v/>
      </c>
      <c r="O1002">
        <f>IF(OR(B1002="",E1002=""),"",B1002*10000+E1002)</f>
        <v/>
      </c>
      <c r="P1002">
        <f>IF(N1002="","",E1002)</f>
        <v/>
      </c>
    </row>
    <row r="1003">
      <c r="A1003" s="1" t="n"/>
      <c r="B1003" s="20" t="n"/>
      <c r="C1003" s="21" t="n"/>
      <c r="D1003" s="22" t="n"/>
      <c r="E1003" s="23" t="n"/>
      <c r="F1003" s="22" t="n"/>
      <c r="G1003" s="14">
        <f>IF(OR(B1003="",E1003="",J1003="",K1003=""),"",IF(E1003&lt;J1003,"Below",IF(E1003&gt;K1003,"Above","In range")))</f>
        <v/>
      </c>
      <c r="H1003" s="1" t="n"/>
      <c r="J1003">
        <f>IF(M1003="","",IF(INDEX(Settings!$C$10:$C$18,M1003)="","",INDEX(Settings!$C$10:$C$18,M1003)))</f>
        <v/>
      </c>
      <c r="K1003">
        <f>IF(M1003="","",IF(INDEX(Settings!$D$10:$D$18,M1003)="","",INDEX(Settings!$D$10:$D$18,M1003)))</f>
        <v/>
      </c>
      <c r="L1003">
        <f>IF(OR(B1003="",E1003=""),"",B1003+MOD(N(C1003),1)+ROW()/10000000)</f>
        <v/>
      </c>
      <c r="M1003">
        <f>IF(D1003="","",IFERROR(MATCH(D1003,Settings!$B$10:$B$18,0),""))</f>
        <v/>
      </c>
      <c r="N1003">
        <f>IF(OR(B1003="",E1003="",M1003=""),"",IF(AND(B1003&gt;=Settings!$C$6,B1003&lt;=Settings!$C$7),M1003*10000+E1003,""))</f>
        <v/>
      </c>
      <c r="O1003">
        <f>IF(OR(B1003="",E1003=""),"",B1003*10000+E1003)</f>
        <v/>
      </c>
      <c r="P1003">
        <f>IF(N1003="","",E1003)</f>
        <v/>
      </c>
    </row>
    <row r="1004">
      <c r="A1004" s="1" t="n"/>
      <c r="B1004" s="20" t="n"/>
      <c r="C1004" s="21" t="n"/>
      <c r="D1004" s="22" t="n"/>
      <c r="E1004" s="23" t="n"/>
      <c r="F1004" s="22" t="n"/>
      <c r="G1004" s="14">
        <f>IF(OR(B1004="",E1004="",J1004="",K1004=""),"",IF(E1004&lt;J1004,"Below",IF(E1004&gt;K1004,"Above","In range")))</f>
        <v/>
      </c>
      <c r="H1004" s="1" t="n"/>
      <c r="J1004">
        <f>IF(M1004="","",IF(INDEX(Settings!$C$10:$C$18,M1004)="","",INDEX(Settings!$C$10:$C$18,M1004)))</f>
        <v/>
      </c>
      <c r="K1004">
        <f>IF(M1004="","",IF(INDEX(Settings!$D$10:$D$18,M1004)="","",INDEX(Settings!$D$10:$D$18,M1004)))</f>
        <v/>
      </c>
      <c r="L1004">
        <f>IF(OR(B1004="",E1004=""),"",B1004+MOD(N(C1004),1)+ROW()/10000000)</f>
        <v/>
      </c>
      <c r="M1004">
        <f>IF(D1004="","",IFERROR(MATCH(D1004,Settings!$B$10:$B$18,0),""))</f>
        <v/>
      </c>
      <c r="N1004">
        <f>IF(OR(B1004="",E1004="",M1004=""),"",IF(AND(B1004&gt;=Settings!$C$6,B1004&lt;=Settings!$C$7),M1004*10000+E1004,""))</f>
        <v/>
      </c>
      <c r="O1004">
        <f>IF(OR(B1004="",E1004=""),"",B1004*10000+E1004)</f>
        <v/>
      </c>
      <c r="P1004">
        <f>IF(N1004="","",E1004)</f>
        <v/>
      </c>
    </row>
    <row r="1005">
      <c r="A1005" s="1" t="n"/>
      <c r="B1005" s="20" t="n"/>
      <c r="C1005" s="21" t="n"/>
      <c r="D1005" s="22" t="n"/>
      <c r="E1005" s="23" t="n"/>
      <c r="F1005" s="22" t="n"/>
      <c r="G1005" s="14">
        <f>IF(OR(B1005="",E1005="",J1005="",K1005=""),"",IF(E1005&lt;J1005,"Below",IF(E1005&gt;K1005,"Above","In range")))</f>
        <v/>
      </c>
      <c r="H1005" s="1" t="n"/>
      <c r="J1005">
        <f>IF(M1005="","",IF(INDEX(Settings!$C$10:$C$18,M1005)="","",INDEX(Settings!$C$10:$C$18,M1005)))</f>
        <v/>
      </c>
      <c r="K1005">
        <f>IF(M1005="","",IF(INDEX(Settings!$D$10:$D$18,M1005)="","",INDEX(Settings!$D$10:$D$18,M1005)))</f>
        <v/>
      </c>
      <c r="L1005">
        <f>IF(OR(B1005="",E1005=""),"",B1005+MOD(N(C1005),1)+ROW()/10000000)</f>
        <v/>
      </c>
      <c r="M1005">
        <f>IF(D1005="","",IFERROR(MATCH(D1005,Settings!$B$10:$B$18,0),""))</f>
        <v/>
      </c>
      <c r="N1005">
        <f>IF(OR(B1005="",E1005="",M1005=""),"",IF(AND(B1005&gt;=Settings!$C$6,B1005&lt;=Settings!$C$7),M1005*10000+E1005,""))</f>
        <v/>
      </c>
      <c r="O1005">
        <f>IF(OR(B1005="",E1005=""),"",B1005*10000+E1005)</f>
        <v/>
      </c>
      <c r="P1005">
        <f>IF(N1005="","",E1005)</f>
        <v/>
      </c>
    </row>
    <row r="1006">
      <c r="A1006" s="1" t="n"/>
      <c r="B1006" s="20" t="n"/>
      <c r="C1006" s="21" t="n"/>
      <c r="D1006" s="22" t="n"/>
      <c r="E1006" s="23" t="n"/>
      <c r="F1006" s="22" t="n"/>
      <c r="G1006" s="14">
        <f>IF(OR(B1006="",E1006="",J1006="",K1006=""),"",IF(E1006&lt;J1006,"Below",IF(E1006&gt;K1006,"Above","In range")))</f>
        <v/>
      </c>
      <c r="H1006" s="1" t="n"/>
      <c r="J1006">
        <f>IF(M1006="","",IF(INDEX(Settings!$C$10:$C$18,M1006)="","",INDEX(Settings!$C$10:$C$18,M1006)))</f>
        <v/>
      </c>
      <c r="K1006">
        <f>IF(M1006="","",IF(INDEX(Settings!$D$10:$D$18,M1006)="","",INDEX(Settings!$D$10:$D$18,M1006)))</f>
        <v/>
      </c>
      <c r="L1006">
        <f>IF(OR(B1006="",E1006=""),"",B1006+MOD(N(C1006),1)+ROW()/10000000)</f>
        <v/>
      </c>
      <c r="M1006">
        <f>IF(D1006="","",IFERROR(MATCH(D1006,Settings!$B$10:$B$18,0),""))</f>
        <v/>
      </c>
      <c r="N1006">
        <f>IF(OR(B1006="",E1006="",M1006=""),"",IF(AND(B1006&gt;=Settings!$C$6,B1006&lt;=Settings!$C$7),M1006*10000+E1006,""))</f>
        <v/>
      </c>
      <c r="O1006">
        <f>IF(OR(B1006="",E1006=""),"",B1006*10000+E1006)</f>
        <v/>
      </c>
      <c r="P1006">
        <f>IF(N1006="","",E1006)</f>
        <v/>
      </c>
    </row>
    <row r="1007">
      <c r="A1007" s="1" t="n"/>
      <c r="B1007" s="20" t="n"/>
      <c r="C1007" s="21" t="n"/>
      <c r="D1007" s="22" t="n"/>
      <c r="E1007" s="23" t="n"/>
      <c r="F1007" s="22" t="n"/>
      <c r="G1007" s="14">
        <f>IF(OR(B1007="",E1007="",J1007="",K1007=""),"",IF(E1007&lt;J1007,"Below",IF(E1007&gt;K1007,"Above","In range")))</f>
        <v/>
      </c>
      <c r="H1007" s="1" t="n"/>
      <c r="J1007">
        <f>IF(M1007="","",IF(INDEX(Settings!$C$10:$C$18,M1007)="","",INDEX(Settings!$C$10:$C$18,M1007)))</f>
        <v/>
      </c>
      <c r="K1007">
        <f>IF(M1007="","",IF(INDEX(Settings!$D$10:$D$18,M1007)="","",INDEX(Settings!$D$10:$D$18,M1007)))</f>
        <v/>
      </c>
      <c r="L1007">
        <f>IF(OR(B1007="",E1007=""),"",B1007+MOD(N(C1007),1)+ROW()/10000000)</f>
        <v/>
      </c>
      <c r="M1007">
        <f>IF(D1007="","",IFERROR(MATCH(D1007,Settings!$B$10:$B$18,0),""))</f>
        <v/>
      </c>
      <c r="N1007">
        <f>IF(OR(B1007="",E1007="",M1007=""),"",IF(AND(B1007&gt;=Settings!$C$6,B1007&lt;=Settings!$C$7),M1007*10000+E1007,""))</f>
        <v/>
      </c>
      <c r="O1007">
        <f>IF(OR(B1007="",E1007=""),"",B1007*10000+E1007)</f>
        <v/>
      </c>
      <c r="P1007">
        <f>IF(N1007="","",E1007)</f>
        <v/>
      </c>
    </row>
    <row r="1008">
      <c r="A1008" s="1" t="n"/>
      <c r="B1008" s="20" t="n"/>
      <c r="C1008" s="21" t="n"/>
      <c r="D1008" s="22" t="n"/>
      <c r="E1008" s="23" t="n"/>
      <c r="F1008" s="22" t="n"/>
      <c r="G1008" s="14">
        <f>IF(OR(B1008="",E1008="",J1008="",K1008=""),"",IF(E1008&lt;J1008,"Below",IF(E1008&gt;K1008,"Above","In range")))</f>
        <v/>
      </c>
      <c r="H1008" s="1" t="n"/>
      <c r="J1008">
        <f>IF(M1008="","",IF(INDEX(Settings!$C$10:$C$18,M1008)="","",INDEX(Settings!$C$10:$C$18,M1008)))</f>
        <v/>
      </c>
      <c r="K1008">
        <f>IF(M1008="","",IF(INDEX(Settings!$D$10:$D$18,M1008)="","",INDEX(Settings!$D$10:$D$18,M1008)))</f>
        <v/>
      </c>
      <c r="L1008">
        <f>IF(OR(B1008="",E1008=""),"",B1008+MOD(N(C1008),1)+ROW()/10000000)</f>
        <v/>
      </c>
      <c r="M1008">
        <f>IF(D1008="","",IFERROR(MATCH(D1008,Settings!$B$10:$B$18,0),""))</f>
        <v/>
      </c>
      <c r="N1008">
        <f>IF(OR(B1008="",E1008="",M1008=""),"",IF(AND(B1008&gt;=Settings!$C$6,B1008&lt;=Settings!$C$7),M1008*10000+E1008,""))</f>
        <v/>
      </c>
      <c r="O1008">
        <f>IF(OR(B1008="",E1008=""),"",B1008*10000+E1008)</f>
        <v/>
      </c>
      <c r="P1008">
        <f>IF(N1008="","",E1008)</f>
        <v/>
      </c>
    </row>
    <row r="1009">
      <c r="A1009" s="1" t="n"/>
      <c r="B1009" s="20" t="n"/>
      <c r="C1009" s="21" t="n"/>
      <c r="D1009" s="22" t="n"/>
      <c r="E1009" s="23" t="n"/>
      <c r="F1009" s="22" t="n"/>
      <c r="G1009" s="14">
        <f>IF(OR(B1009="",E1009="",J1009="",K1009=""),"",IF(E1009&lt;J1009,"Below",IF(E1009&gt;K1009,"Above","In range")))</f>
        <v/>
      </c>
      <c r="H1009" s="1" t="n"/>
      <c r="J1009">
        <f>IF(M1009="","",IF(INDEX(Settings!$C$10:$C$18,M1009)="","",INDEX(Settings!$C$10:$C$18,M1009)))</f>
        <v/>
      </c>
      <c r="K1009">
        <f>IF(M1009="","",IF(INDEX(Settings!$D$10:$D$18,M1009)="","",INDEX(Settings!$D$10:$D$18,M1009)))</f>
        <v/>
      </c>
      <c r="L1009">
        <f>IF(OR(B1009="",E1009=""),"",B1009+MOD(N(C1009),1)+ROW()/10000000)</f>
        <v/>
      </c>
      <c r="M1009">
        <f>IF(D1009="","",IFERROR(MATCH(D1009,Settings!$B$10:$B$18,0),""))</f>
        <v/>
      </c>
      <c r="N1009">
        <f>IF(OR(B1009="",E1009="",M1009=""),"",IF(AND(B1009&gt;=Settings!$C$6,B1009&lt;=Settings!$C$7),M1009*10000+E1009,""))</f>
        <v/>
      </c>
      <c r="O1009">
        <f>IF(OR(B1009="",E1009=""),"",B1009*10000+E1009)</f>
        <v/>
      </c>
      <c r="P1009">
        <f>IF(N1009="","",E1009)</f>
        <v/>
      </c>
    </row>
    <row r="1010">
      <c r="A1010" s="1" t="n"/>
      <c r="B1010" s="20" t="n"/>
      <c r="C1010" s="21" t="n"/>
      <c r="D1010" s="22" t="n"/>
      <c r="E1010" s="23" t="n"/>
      <c r="F1010" s="22" t="n"/>
      <c r="G1010" s="14">
        <f>IF(OR(B1010="",E1010="",J1010="",K1010=""),"",IF(E1010&lt;J1010,"Below",IF(E1010&gt;K1010,"Above","In range")))</f>
        <v/>
      </c>
      <c r="H1010" s="1" t="n"/>
      <c r="J1010">
        <f>IF(M1010="","",IF(INDEX(Settings!$C$10:$C$18,M1010)="","",INDEX(Settings!$C$10:$C$18,M1010)))</f>
        <v/>
      </c>
      <c r="K1010">
        <f>IF(M1010="","",IF(INDEX(Settings!$D$10:$D$18,M1010)="","",INDEX(Settings!$D$10:$D$18,M1010)))</f>
        <v/>
      </c>
      <c r="L1010">
        <f>IF(OR(B1010="",E1010=""),"",B1010+MOD(N(C1010),1)+ROW()/10000000)</f>
        <v/>
      </c>
      <c r="M1010">
        <f>IF(D1010="","",IFERROR(MATCH(D1010,Settings!$B$10:$B$18,0),""))</f>
        <v/>
      </c>
      <c r="N1010">
        <f>IF(OR(B1010="",E1010="",M1010=""),"",IF(AND(B1010&gt;=Settings!$C$6,B1010&lt;=Settings!$C$7),M1010*10000+E1010,""))</f>
        <v/>
      </c>
      <c r="O1010">
        <f>IF(OR(B1010="",E1010=""),"",B1010*10000+E1010)</f>
        <v/>
      </c>
      <c r="P1010">
        <f>IF(N1010="","",E1010)</f>
        <v/>
      </c>
    </row>
    <row r="1011">
      <c r="A1011" s="1" t="n"/>
      <c r="B1011" s="20" t="n"/>
      <c r="C1011" s="21" t="n"/>
      <c r="D1011" s="22" t="n"/>
      <c r="E1011" s="23" t="n"/>
      <c r="F1011" s="22" t="n"/>
      <c r="G1011" s="14">
        <f>IF(OR(B1011="",E1011="",J1011="",K1011=""),"",IF(E1011&lt;J1011,"Below",IF(E1011&gt;K1011,"Above","In range")))</f>
        <v/>
      </c>
      <c r="H1011" s="1" t="n"/>
      <c r="J1011">
        <f>IF(M1011="","",IF(INDEX(Settings!$C$10:$C$18,M1011)="","",INDEX(Settings!$C$10:$C$18,M1011)))</f>
        <v/>
      </c>
      <c r="K1011">
        <f>IF(M1011="","",IF(INDEX(Settings!$D$10:$D$18,M1011)="","",INDEX(Settings!$D$10:$D$18,M1011)))</f>
        <v/>
      </c>
      <c r="L1011">
        <f>IF(OR(B1011="",E1011=""),"",B1011+MOD(N(C1011),1)+ROW()/10000000)</f>
        <v/>
      </c>
      <c r="M1011">
        <f>IF(D1011="","",IFERROR(MATCH(D1011,Settings!$B$10:$B$18,0),""))</f>
        <v/>
      </c>
      <c r="N1011">
        <f>IF(OR(B1011="",E1011="",M1011=""),"",IF(AND(B1011&gt;=Settings!$C$6,B1011&lt;=Settings!$C$7),M1011*10000+E1011,""))</f>
        <v/>
      </c>
      <c r="O1011">
        <f>IF(OR(B1011="",E1011=""),"",B1011*10000+E1011)</f>
        <v/>
      </c>
      <c r="P1011">
        <f>IF(N1011="","",E1011)</f>
        <v/>
      </c>
    </row>
    <row r="1012">
      <c r="A1012" s="1" t="n"/>
      <c r="B1012" s="20" t="n"/>
      <c r="C1012" s="21" t="n"/>
      <c r="D1012" s="22" t="n"/>
      <c r="E1012" s="23" t="n"/>
      <c r="F1012" s="22" t="n"/>
      <c r="G1012" s="14">
        <f>IF(OR(B1012="",E1012="",J1012="",K1012=""),"",IF(E1012&lt;J1012,"Below",IF(E1012&gt;K1012,"Above","In range")))</f>
        <v/>
      </c>
      <c r="H1012" s="1" t="n"/>
      <c r="J1012">
        <f>IF(M1012="","",IF(INDEX(Settings!$C$10:$C$18,M1012)="","",INDEX(Settings!$C$10:$C$18,M1012)))</f>
        <v/>
      </c>
      <c r="K1012">
        <f>IF(M1012="","",IF(INDEX(Settings!$D$10:$D$18,M1012)="","",INDEX(Settings!$D$10:$D$18,M1012)))</f>
        <v/>
      </c>
      <c r="L1012">
        <f>IF(OR(B1012="",E1012=""),"",B1012+MOD(N(C1012),1)+ROW()/10000000)</f>
        <v/>
      </c>
      <c r="M1012">
        <f>IF(D1012="","",IFERROR(MATCH(D1012,Settings!$B$10:$B$18,0),""))</f>
        <v/>
      </c>
      <c r="N1012">
        <f>IF(OR(B1012="",E1012="",M1012=""),"",IF(AND(B1012&gt;=Settings!$C$6,B1012&lt;=Settings!$C$7),M1012*10000+E1012,""))</f>
        <v/>
      </c>
      <c r="O1012">
        <f>IF(OR(B1012="",E1012=""),"",B1012*10000+E1012)</f>
        <v/>
      </c>
      <c r="P1012">
        <f>IF(N1012="","",E1012)</f>
        <v/>
      </c>
    </row>
    <row r="1013">
      <c r="A1013" s="1" t="n"/>
      <c r="B1013" s="20" t="n"/>
      <c r="C1013" s="21" t="n"/>
      <c r="D1013" s="22" t="n"/>
      <c r="E1013" s="23" t="n"/>
      <c r="F1013" s="22" t="n"/>
      <c r="G1013" s="14">
        <f>IF(OR(B1013="",E1013="",J1013="",K1013=""),"",IF(E1013&lt;J1013,"Below",IF(E1013&gt;K1013,"Above","In range")))</f>
        <v/>
      </c>
      <c r="H1013" s="1" t="n"/>
      <c r="J1013">
        <f>IF(M1013="","",IF(INDEX(Settings!$C$10:$C$18,M1013)="","",INDEX(Settings!$C$10:$C$18,M1013)))</f>
        <v/>
      </c>
      <c r="K1013">
        <f>IF(M1013="","",IF(INDEX(Settings!$D$10:$D$18,M1013)="","",INDEX(Settings!$D$10:$D$18,M1013)))</f>
        <v/>
      </c>
      <c r="L1013">
        <f>IF(OR(B1013="",E1013=""),"",B1013+MOD(N(C1013),1)+ROW()/10000000)</f>
        <v/>
      </c>
      <c r="M1013">
        <f>IF(D1013="","",IFERROR(MATCH(D1013,Settings!$B$10:$B$18,0),""))</f>
        <v/>
      </c>
      <c r="N1013">
        <f>IF(OR(B1013="",E1013="",M1013=""),"",IF(AND(B1013&gt;=Settings!$C$6,B1013&lt;=Settings!$C$7),M1013*10000+E1013,""))</f>
        <v/>
      </c>
      <c r="O1013">
        <f>IF(OR(B1013="",E1013=""),"",B1013*10000+E1013)</f>
        <v/>
      </c>
      <c r="P1013">
        <f>IF(N1013="","",E1013)</f>
        <v/>
      </c>
    </row>
    <row r="1014">
      <c r="A1014" s="1" t="n"/>
      <c r="B1014" s="20" t="n"/>
      <c r="C1014" s="21" t="n"/>
      <c r="D1014" s="22" t="n"/>
      <c r="E1014" s="23" t="n"/>
      <c r="F1014" s="22" t="n"/>
      <c r="G1014" s="14">
        <f>IF(OR(B1014="",E1014="",J1014="",K1014=""),"",IF(E1014&lt;J1014,"Below",IF(E1014&gt;K1014,"Above","In range")))</f>
        <v/>
      </c>
      <c r="H1014" s="1" t="n"/>
      <c r="J1014">
        <f>IF(M1014="","",IF(INDEX(Settings!$C$10:$C$18,M1014)="","",INDEX(Settings!$C$10:$C$18,M1014)))</f>
        <v/>
      </c>
      <c r="K1014">
        <f>IF(M1014="","",IF(INDEX(Settings!$D$10:$D$18,M1014)="","",INDEX(Settings!$D$10:$D$18,M1014)))</f>
        <v/>
      </c>
      <c r="L1014">
        <f>IF(OR(B1014="",E1014=""),"",B1014+MOD(N(C1014),1)+ROW()/10000000)</f>
        <v/>
      </c>
      <c r="M1014">
        <f>IF(D1014="","",IFERROR(MATCH(D1014,Settings!$B$10:$B$18,0),""))</f>
        <v/>
      </c>
      <c r="N1014">
        <f>IF(OR(B1014="",E1014="",M1014=""),"",IF(AND(B1014&gt;=Settings!$C$6,B1014&lt;=Settings!$C$7),M1014*10000+E1014,""))</f>
        <v/>
      </c>
      <c r="O1014">
        <f>IF(OR(B1014="",E1014=""),"",B1014*10000+E1014)</f>
        <v/>
      </c>
      <c r="P1014">
        <f>IF(N1014="","",E1014)</f>
        <v/>
      </c>
    </row>
    <row r="1015">
      <c r="A1015" s="1" t="n"/>
      <c r="B1015" s="20" t="n"/>
      <c r="C1015" s="21" t="n"/>
      <c r="D1015" s="22" t="n"/>
      <c r="E1015" s="23" t="n"/>
      <c r="F1015" s="22" t="n"/>
      <c r="G1015" s="14">
        <f>IF(OR(B1015="",E1015="",J1015="",K1015=""),"",IF(E1015&lt;J1015,"Below",IF(E1015&gt;K1015,"Above","In range")))</f>
        <v/>
      </c>
      <c r="H1015" s="1" t="n"/>
      <c r="J1015">
        <f>IF(M1015="","",IF(INDEX(Settings!$C$10:$C$18,M1015)="","",INDEX(Settings!$C$10:$C$18,M1015)))</f>
        <v/>
      </c>
      <c r="K1015">
        <f>IF(M1015="","",IF(INDEX(Settings!$D$10:$D$18,M1015)="","",INDEX(Settings!$D$10:$D$18,M1015)))</f>
        <v/>
      </c>
      <c r="L1015">
        <f>IF(OR(B1015="",E1015=""),"",B1015+MOD(N(C1015),1)+ROW()/10000000)</f>
        <v/>
      </c>
      <c r="M1015">
        <f>IF(D1015="","",IFERROR(MATCH(D1015,Settings!$B$10:$B$18,0),""))</f>
        <v/>
      </c>
      <c r="N1015">
        <f>IF(OR(B1015="",E1015="",M1015=""),"",IF(AND(B1015&gt;=Settings!$C$6,B1015&lt;=Settings!$C$7),M1015*10000+E1015,""))</f>
        <v/>
      </c>
      <c r="O1015">
        <f>IF(OR(B1015="",E1015=""),"",B1015*10000+E1015)</f>
        <v/>
      </c>
      <c r="P1015">
        <f>IF(N1015="","",E1015)</f>
        <v/>
      </c>
    </row>
    <row r="1016">
      <c r="A1016" s="1" t="n"/>
      <c r="B1016" s="20" t="n"/>
      <c r="C1016" s="21" t="n"/>
      <c r="D1016" s="22" t="n"/>
      <c r="E1016" s="23" t="n"/>
      <c r="F1016" s="22" t="n"/>
      <c r="G1016" s="14">
        <f>IF(OR(B1016="",E1016="",J1016="",K1016=""),"",IF(E1016&lt;J1016,"Below",IF(E1016&gt;K1016,"Above","In range")))</f>
        <v/>
      </c>
      <c r="H1016" s="1" t="n"/>
      <c r="J1016">
        <f>IF(M1016="","",IF(INDEX(Settings!$C$10:$C$18,M1016)="","",INDEX(Settings!$C$10:$C$18,M1016)))</f>
        <v/>
      </c>
      <c r="K1016">
        <f>IF(M1016="","",IF(INDEX(Settings!$D$10:$D$18,M1016)="","",INDEX(Settings!$D$10:$D$18,M1016)))</f>
        <v/>
      </c>
      <c r="L1016">
        <f>IF(OR(B1016="",E1016=""),"",B1016+MOD(N(C1016),1)+ROW()/10000000)</f>
        <v/>
      </c>
      <c r="M1016">
        <f>IF(D1016="","",IFERROR(MATCH(D1016,Settings!$B$10:$B$18,0),""))</f>
        <v/>
      </c>
      <c r="N1016">
        <f>IF(OR(B1016="",E1016="",M1016=""),"",IF(AND(B1016&gt;=Settings!$C$6,B1016&lt;=Settings!$C$7),M1016*10000+E1016,""))</f>
        <v/>
      </c>
      <c r="O1016">
        <f>IF(OR(B1016="",E1016=""),"",B1016*10000+E1016)</f>
        <v/>
      </c>
      <c r="P1016">
        <f>IF(N1016="","",E1016)</f>
        <v/>
      </c>
    </row>
    <row r="1017">
      <c r="A1017" s="1" t="n"/>
      <c r="B1017" s="20" t="n"/>
      <c r="C1017" s="21" t="n"/>
      <c r="D1017" s="22" t="n"/>
      <c r="E1017" s="23" t="n"/>
      <c r="F1017" s="22" t="n"/>
      <c r="G1017" s="14">
        <f>IF(OR(B1017="",E1017="",J1017="",K1017=""),"",IF(E1017&lt;J1017,"Below",IF(E1017&gt;K1017,"Above","In range")))</f>
        <v/>
      </c>
      <c r="H1017" s="1" t="n"/>
      <c r="J1017">
        <f>IF(M1017="","",IF(INDEX(Settings!$C$10:$C$18,M1017)="","",INDEX(Settings!$C$10:$C$18,M1017)))</f>
        <v/>
      </c>
      <c r="K1017">
        <f>IF(M1017="","",IF(INDEX(Settings!$D$10:$D$18,M1017)="","",INDEX(Settings!$D$10:$D$18,M1017)))</f>
        <v/>
      </c>
      <c r="L1017">
        <f>IF(OR(B1017="",E1017=""),"",B1017+MOD(N(C1017),1)+ROW()/10000000)</f>
        <v/>
      </c>
      <c r="M1017">
        <f>IF(D1017="","",IFERROR(MATCH(D1017,Settings!$B$10:$B$18,0),""))</f>
        <v/>
      </c>
      <c r="N1017">
        <f>IF(OR(B1017="",E1017="",M1017=""),"",IF(AND(B1017&gt;=Settings!$C$6,B1017&lt;=Settings!$C$7),M1017*10000+E1017,""))</f>
        <v/>
      </c>
      <c r="O1017">
        <f>IF(OR(B1017="",E1017=""),"",B1017*10000+E1017)</f>
        <v/>
      </c>
      <c r="P1017">
        <f>IF(N1017="","",E1017)</f>
        <v/>
      </c>
    </row>
    <row r="1018">
      <c r="A1018" s="1" t="n"/>
      <c r="B1018" s="20" t="n"/>
      <c r="C1018" s="21" t="n"/>
      <c r="D1018" s="22" t="n"/>
      <c r="E1018" s="23" t="n"/>
      <c r="F1018" s="22" t="n"/>
      <c r="G1018" s="14">
        <f>IF(OR(B1018="",E1018="",J1018="",K1018=""),"",IF(E1018&lt;J1018,"Below",IF(E1018&gt;K1018,"Above","In range")))</f>
        <v/>
      </c>
      <c r="H1018" s="1" t="n"/>
      <c r="J1018">
        <f>IF(M1018="","",IF(INDEX(Settings!$C$10:$C$18,M1018)="","",INDEX(Settings!$C$10:$C$18,M1018)))</f>
        <v/>
      </c>
      <c r="K1018">
        <f>IF(M1018="","",IF(INDEX(Settings!$D$10:$D$18,M1018)="","",INDEX(Settings!$D$10:$D$18,M1018)))</f>
        <v/>
      </c>
      <c r="L1018">
        <f>IF(OR(B1018="",E1018=""),"",B1018+MOD(N(C1018),1)+ROW()/10000000)</f>
        <v/>
      </c>
      <c r="M1018">
        <f>IF(D1018="","",IFERROR(MATCH(D1018,Settings!$B$10:$B$18,0),""))</f>
        <v/>
      </c>
      <c r="N1018">
        <f>IF(OR(B1018="",E1018="",M1018=""),"",IF(AND(B1018&gt;=Settings!$C$6,B1018&lt;=Settings!$C$7),M1018*10000+E1018,""))</f>
        <v/>
      </c>
      <c r="O1018">
        <f>IF(OR(B1018="",E1018=""),"",B1018*10000+E1018)</f>
        <v/>
      </c>
      <c r="P1018">
        <f>IF(N1018="","",E1018)</f>
        <v/>
      </c>
    </row>
    <row r="1019">
      <c r="A1019" s="1" t="n"/>
      <c r="B1019" s="20" t="n"/>
      <c r="C1019" s="21" t="n"/>
      <c r="D1019" s="22" t="n"/>
      <c r="E1019" s="23" t="n"/>
      <c r="F1019" s="22" t="n"/>
      <c r="G1019" s="14">
        <f>IF(OR(B1019="",E1019="",J1019="",K1019=""),"",IF(E1019&lt;J1019,"Below",IF(E1019&gt;K1019,"Above","In range")))</f>
        <v/>
      </c>
      <c r="H1019" s="1" t="n"/>
      <c r="J1019">
        <f>IF(M1019="","",IF(INDEX(Settings!$C$10:$C$18,M1019)="","",INDEX(Settings!$C$10:$C$18,M1019)))</f>
        <v/>
      </c>
      <c r="K1019">
        <f>IF(M1019="","",IF(INDEX(Settings!$D$10:$D$18,M1019)="","",INDEX(Settings!$D$10:$D$18,M1019)))</f>
        <v/>
      </c>
      <c r="L1019">
        <f>IF(OR(B1019="",E1019=""),"",B1019+MOD(N(C1019),1)+ROW()/10000000)</f>
        <v/>
      </c>
      <c r="M1019">
        <f>IF(D1019="","",IFERROR(MATCH(D1019,Settings!$B$10:$B$18,0),""))</f>
        <v/>
      </c>
      <c r="N1019">
        <f>IF(OR(B1019="",E1019="",M1019=""),"",IF(AND(B1019&gt;=Settings!$C$6,B1019&lt;=Settings!$C$7),M1019*10000+E1019,""))</f>
        <v/>
      </c>
      <c r="O1019">
        <f>IF(OR(B1019="",E1019=""),"",B1019*10000+E1019)</f>
        <v/>
      </c>
      <c r="P1019">
        <f>IF(N1019="","",E1019)</f>
        <v/>
      </c>
    </row>
    <row r="1020">
      <c r="A1020" s="1" t="n"/>
      <c r="B1020" s="20" t="n"/>
      <c r="C1020" s="21" t="n"/>
      <c r="D1020" s="22" t="n"/>
      <c r="E1020" s="23" t="n"/>
      <c r="F1020" s="22" t="n"/>
      <c r="G1020" s="14">
        <f>IF(OR(B1020="",E1020="",J1020="",K1020=""),"",IF(E1020&lt;J1020,"Below",IF(E1020&gt;K1020,"Above","In range")))</f>
        <v/>
      </c>
      <c r="H1020" s="1" t="n"/>
      <c r="J1020">
        <f>IF(M1020="","",IF(INDEX(Settings!$C$10:$C$18,M1020)="","",INDEX(Settings!$C$10:$C$18,M1020)))</f>
        <v/>
      </c>
      <c r="K1020">
        <f>IF(M1020="","",IF(INDEX(Settings!$D$10:$D$18,M1020)="","",INDEX(Settings!$D$10:$D$18,M1020)))</f>
        <v/>
      </c>
      <c r="L1020">
        <f>IF(OR(B1020="",E1020=""),"",B1020+MOD(N(C1020),1)+ROW()/10000000)</f>
        <v/>
      </c>
      <c r="M1020">
        <f>IF(D1020="","",IFERROR(MATCH(D1020,Settings!$B$10:$B$18,0),""))</f>
        <v/>
      </c>
      <c r="N1020">
        <f>IF(OR(B1020="",E1020="",M1020=""),"",IF(AND(B1020&gt;=Settings!$C$6,B1020&lt;=Settings!$C$7),M1020*10000+E1020,""))</f>
        <v/>
      </c>
      <c r="O1020">
        <f>IF(OR(B1020="",E1020=""),"",B1020*10000+E1020)</f>
        <v/>
      </c>
      <c r="P1020">
        <f>IF(N1020="","",E1020)</f>
        <v/>
      </c>
    </row>
    <row r="1021">
      <c r="A1021" s="1" t="n"/>
      <c r="B1021" s="20" t="n"/>
      <c r="C1021" s="21" t="n"/>
      <c r="D1021" s="22" t="n"/>
      <c r="E1021" s="23" t="n"/>
      <c r="F1021" s="22" t="n"/>
      <c r="G1021" s="14">
        <f>IF(OR(B1021="",E1021="",J1021="",K1021=""),"",IF(E1021&lt;J1021,"Below",IF(E1021&gt;K1021,"Above","In range")))</f>
        <v/>
      </c>
      <c r="H1021" s="1" t="n"/>
      <c r="J1021">
        <f>IF(M1021="","",IF(INDEX(Settings!$C$10:$C$18,M1021)="","",INDEX(Settings!$C$10:$C$18,M1021)))</f>
        <v/>
      </c>
      <c r="K1021">
        <f>IF(M1021="","",IF(INDEX(Settings!$D$10:$D$18,M1021)="","",INDEX(Settings!$D$10:$D$18,M1021)))</f>
        <v/>
      </c>
      <c r="L1021">
        <f>IF(OR(B1021="",E1021=""),"",B1021+MOD(N(C1021),1)+ROW()/10000000)</f>
        <v/>
      </c>
      <c r="M1021">
        <f>IF(D1021="","",IFERROR(MATCH(D1021,Settings!$B$10:$B$18,0),""))</f>
        <v/>
      </c>
      <c r="N1021">
        <f>IF(OR(B1021="",E1021="",M1021=""),"",IF(AND(B1021&gt;=Settings!$C$6,B1021&lt;=Settings!$C$7),M1021*10000+E1021,""))</f>
        <v/>
      </c>
      <c r="O1021">
        <f>IF(OR(B1021="",E1021=""),"",B1021*10000+E1021)</f>
        <v/>
      </c>
      <c r="P1021">
        <f>IF(N1021="","",E1021)</f>
        <v/>
      </c>
    </row>
    <row r="1022">
      <c r="A1022" s="1" t="n"/>
      <c r="B1022" s="20" t="n"/>
      <c r="C1022" s="21" t="n"/>
      <c r="D1022" s="22" t="n"/>
      <c r="E1022" s="23" t="n"/>
      <c r="F1022" s="22" t="n"/>
      <c r="G1022" s="14">
        <f>IF(OR(B1022="",E1022="",J1022="",K1022=""),"",IF(E1022&lt;J1022,"Below",IF(E1022&gt;K1022,"Above","In range")))</f>
        <v/>
      </c>
      <c r="H1022" s="1" t="n"/>
      <c r="J1022">
        <f>IF(M1022="","",IF(INDEX(Settings!$C$10:$C$18,M1022)="","",INDEX(Settings!$C$10:$C$18,M1022)))</f>
        <v/>
      </c>
      <c r="K1022">
        <f>IF(M1022="","",IF(INDEX(Settings!$D$10:$D$18,M1022)="","",INDEX(Settings!$D$10:$D$18,M1022)))</f>
        <v/>
      </c>
      <c r="L1022">
        <f>IF(OR(B1022="",E1022=""),"",B1022+MOD(N(C1022),1)+ROW()/10000000)</f>
        <v/>
      </c>
      <c r="M1022">
        <f>IF(D1022="","",IFERROR(MATCH(D1022,Settings!$B$10:$B$18,0),""))</f>
        <v/>
      </c>
      <c r="N1022">
        <f>IF(OR(B1022="",E1022="",M1022=""),"",IF(AND(B1022&gt;=Settings!$C$6,B1022&lt;=Settings!$C$7),M1022*10000+E1022,""))</f>
        <v/>
      </c>
      <c r="O1022">
        <f>IF(OR(B1022="",E1022=""),"",B1022*10000+E1022)</f>
        <v/>
      </c>
      <c r="P1022">
        <f>IF(N1022="","",E1022)</f>
        <v/>
      </c>
    </row>
    <row r="1023">
      <c r="A1023" s="1" t="n"/>
      <c r="B1023" s="20" t="n"/>
      <c r="C1023" s="21" t="n"/>
      <c r="D1023" s="22" t="n"/>
      <c r="E1023" s="23" t="n"/>
      <c r="F1023" s="22" t="n"/>
      <c r="G1023" s="14">
        <f>IF(OR(B1023="",E1023="",J1023="",K1023=""),"",IF(E1023&lt;J1023,"Below",IF(E1023&gt;K1023,"Above","In range")))</f>
        <v/>
      </c>
      <c r="H1023" s="1" t="n"/>
      <c r="J1023">
        <f>IF(M1023="","",IF(INDEX(Settings!$C$10:$C$18,M1023)="","",INDEX(Settings!$C$10:$C$18,M1023)))</f>
        <v/>
      </c>
      <c r="K1023">
        <f>IF(M1023="","",IF(INDEX(Settings!$D$10:$D$18,M1023)="","",INDEX(Settings!$D$10:$D$18,M1023)))</f>
        <v/>
      </c>
      <c r="L1023">
        <f>IF(OR(B1023="",E1023=""),"",B1023+MOD(N(C1023),1)+ROW()/10000000)</f>
        <v/>
      </c>
      <c r="M1023">
        <f>IF(D1023="","",IFERROR(MATCH(D1023,Settings!$B$10:$B$18,0),""))</f>
        <v/>
      </c>
      <c r="N1023">
        <f>IF(OR(B1023="",E1023="",M1023=""),"",IF(AND(B1023&gt;=Settings!$C$6,B1023&lt;=Settings!$C$7),M1023*10000+E1023,""))</f>
        <v/>
      </c>
      <c r="O1023">
        <f>IF(OR(B1023="",E1023=""),"",B1023*10000+E1023)</f>
        <v/>
      </c>
      <c r="P1023">
        <f>IF(N1023="","",E1023)</f>
        <v/>
      </c>
    </row>
    <row r="1024">
      <c r="A1024" s="1" t="n"/>
      <c r="B1024" s="20" t="n"/>
      <c r="C1024" s="21" t="n"/>
      <c r="D1024" s="22" t="n"/>
      <c r="E1024" s="23" t="n"/>
      <c r="F1024" s="22" t="n"/>
      <c r="G1024" s="14">
        <f>IF(OR(B1024="",E1024="",J1024="",K1024=""),"",IF(E1024&lt;J1024,"Below",IF(E1024&gt;K1024,"Above","In range")))</f>
        <v/>
      </c>
      <c r="H1024" s="1" t="n"/>
      <c r="J1024">
        <f>IF(M1024="","",IF(INDEX(Settings!$C$10:$C$18,M1024)="","",INDEX(Settings!$C$10:$C$18,M1024)))</f>
        <v/>
      </c>
      <c r="K1024">
        <f>IF(M1024="","",IF(INDEX(Settings!$D$10:$D$18,M1024)="","",INDEX(Settings!$D$10:$D$18,M1024)))</f>
        <v/>
      </c>
      <c r="L1024">
        <f>IF(OR(B1024="",E1024=""),"",B1024+MOD(N(C1024),1)+ROW()/10000000)</f>
        <v/>
      </c>
      <c r="M1024">
        <f>IF(D1024="","",IFERROR(MATCH(D1024,Settings!$B$10:$B$18,0),""))</f>
        <v/>
      </c>
      <c r="N1024">
        <f>IF(OR(B1024="",E1024="",M1024=""),"",IF(AND(B1024&gt;=Settings!$C$6,B1024&lt;=Settings!$C$7),M1024*10000+E1024,""))</f>
        <v/>
      </c>
      <c r="O1024">
        <f>IF(OR(B1024="",E1024=""),"",B1024*10000+E1024)</f>
        <v/>
      </c>
      <c r="P1024">
        <f>IF(N1024="","",E1024)</f>
        <v/>
      </c>
    </row>
    <row r="1025">
      <c r="A1025" s="1" t="n"/>
      <c r="B1025" s="20" t="n"/>
      <c r="C1025" s="21" t="n"/>
      <c r="D1025" s="22" t="n"/>
      <c r="E1025" s="23" t="n"/>
      <c r="F1025" s="22" t="n"/>
      <c r="G1025" s="14">
        <f>IF(OR(B1025="",E1025="",J1025="",K1025=""),"",IF(E1025&lt;J1025,"Below",IF(E1025&gt;K1025,"Above","In range")))</f>
        <v/>
      </c>
      <c r="H1025" s="1" t="n"/>
      <c r="J1025">
        <f>IF(M1025="","",IF(INDEX(Settings!$C$10:$C$18,M1025)="","",INDEX(Settings!$C$10:$C$18,M1025)))</f>
        <v/>
      </c>
      <c r="K1025">
        <f>IF(M1025="","",IF(INDEX(Settings!$D$10:$D$18,M1025)="","",INDEX(Settings!$D$10:$D$18,M1025)))</f>
        <v/>
      </c>
      <c r="L1025">
        <f>IF(OR(B1025="",E1025=""),"",B1025+MOD(N(C1025),1)+ROW()/10000000)</f>
        <v/>
      </c>
      <c r="M1025">
        <f>IF(D1025="","",IFERROR(MATCH(D1025,Settings!$B$10:$B$18,0),""))</f>
        <v/>
      </c>
      <c r="N1025">
        <f>IF(OR(B1025="",E1025="",M1025=""),"",IF(AND(B1025&gt;=Settings!$C$6,B1025&lt;=Settings!$C$7),M1025*10000+E1025,""))</f>
        <v/>
      </c>
      <c r="O1025">
        <f>IF(OR(B1025="",E1025=""),"",B1025*10000+E1025)</f>
        <v/>
      </c>
      <c r="P1025">
        <f>IF(N1025="","",E1025)</f>
        <v/>
      </c>
    </row>
    <row r="1026">
      <c r="A1026" s="1" t="n"/>
      <c r="B1026" s="20" t="n"/>
      <c r="C1026" s="21" t="n"/>
      <c r="D1026" s="22" t="n"/>
      <c r="E1026" s="23" t="n"/>
      <c r="F1026" s="22" t="n"/>
      <c r="G1026" s="14">
        <f>IF(OR(B1026="",E1026="",J1026="",K1026=""),"",IF(E1026&lt;J1026,"Below",IF(E1026&gt;K1026,"Above","In range")))</f>
        <v/>
      </c>
      <c r="H1026" s="1" t="n"/>
      <c r="J1026">
        <f>IF(M1026="","",IF(INDEX(Settings!$C$10:$C$18,M1026)="","",INDEX(Settings!$C$10:$C$18,M1026)))</f>
        <v/>
      </c>
      <c r="K1026">
        <f>IF(M1026="","",IF(INDEX(Settings!$D$10:$D$18,M1026)="","",INDEX(Settings!$D$10:$D$18,M1026)))</f>
        <v/>
      </c>
      <c r="L1026">
        <f>IF(OR(B1026="",E1026=""),"",B1026+MOD(N(C1026),1)+ROW()/10000000)</f>
        <v/>
      </c>
      <c r="M1026">
        <f>IF(D1026="","",IFERROR(MATCH(D1026,Settings!$B$10:$B$18,0),""))</f>
        <v/>
      </c>
      <c r="N1026">
        <f>IF(OR(B1026="",E1026="",M1026=""),"",IF(AND(B1026&gt;=Settings!$C$6,B1026&lt;=Settings!$C$7),M1026*10000+E1026,""))</f>
        <v/>
      </c>
      <c r="O1026">
        <f>IF(OR(B1026="",E1026=""),"",B1026*10000+E1026)</f>
        <v/>
      </c>
      <c r="P1026">
        <f>IF(N1026="","",E1026)</f>
        <v/>
      </c>
    </row>
    <row r="1027">
      <c r="A1027" s="1" t="n"/>
      <c r="B1027" s="20" t="n"/>
      <c r="C1027" s="21" t="n"/>
      <c r="D1027" s="22" t="n"/>
      <c r="E1027" s="23" t="n"/>
      <c r="F1027" s="22" t="n"/>
      <c r="G1027" s="14">
        <f>IF(OR(B1027="",E1027="",J1027="",K1027=""),"",IF(E1027&lt;J1027,"Below",IF(E1027&gt;K1027,"Above","In range")))</f>
        <v/>
      </c>
      <c r="H1027" s="1" t="n"/>
      <c r="J1027">
        <f>IF(M1027="","",IF(INDEX(Settings!$C$10:$C$18,M1027)="","",INDEX(Settings!$C$10:$C$18,M1027)))</f>
        <v/>
      </c>
      <c r="K1027">
        <f>IF(M1027="","",IF(INDEX(Settings!$D$10:$D$18,M1027)="","",INDEX(Settings!$D$10:$D$18,M1027)))</f>
        <v/>
      </c>
      <c r="L1027">
        <f>IF(OR(B1027="",E1027=""),"",B1027+MOD(N(C1027),1)+ROW()/10000000)</f>
        <v/>
      </c>
      <c r="M1027">
        <f>IF(D1027="","",IFERROR(MATCH(D1027,Settings!$B$10:$B$18,0),""))</f>
        <v/>
      </c>
      <c r="N1027">
        <f>IF(OR(B1027="",E1027="",M1027=""),"",IF(AND(B1027&gt;=Settings!$C$6,B1027&lt;=Settings!$C$7),M1027*10000+E1027,""))</f>
        <v/>
      </c>
      <c r="O1027">
        <f>IF(OR(B1027="",E1027=""),"",B1027*10000+E1027)</f>
        <v/>
      </c>
      <c r="P1027">
        <f>IF(N1027="","",E1027)</f>
        <v/>
      </c>
    </row>
    <row r="1028">
      <c r="A1028" s="1" t="n"/>
      <c r="B1028" s="20" t="n"/>
      <c r="C1028" s="21" t="n"/>
      <c r="D1028" s="22" t="n"/>
      <c r="E1028" s="23" t="n"/>
      <c r="F1028" s="22" t="n"/>
      <c r="G1028" s="14">
        <f>IF(OR(B1028="",E1028="",J1028="",K1028=""),"",IF(E1028&lt;J1028,"Below",IF(E1028&gt;K1028,"Above","In range")))</f>
        <v/>
      </c>
      <c r="H1028" s="1" t="n"/>
      <c r="J1028">
        <f>IF(M1028="","",IF(INDEX(Settings!$C$10:$C$18,M1028)="","",INDEX(Settings!$C$10:$C$18,M1028)))</f>
        <v/>
      </c>
      <c r="K1028">
        <f>IF(M1028="","",IF(INDEX(Settings!$D$10:$D$18,M1028)="","",INDEX(Settings!$D$10:$D$18,M1028)))</f>
        <v/>
      </c>
      <c r="L1028">
        <f>IF(OR(B1028="",E1028=""),"",B1028+MOD(N(C1028),1)+ROW()/10000000)</f>
        <v/>
      </c>
      <c r="M1028">
        <f>IF(D1028="","",IFERROR(MATCH(D1028,Settings!$B$10:$B$18,0),""))</f>
        <v/>
      </c>
      <c r="N1028">
        <f>IF(OR(B1028="",E1028="",M1028=""),"",IF(AND(B1028&gt;=Settings!$C$6,B1028&lt;=Settings!$C$7),M1028*10000+E1028,""))</f>
        <v/>
      </c>
      <c r="O1028">
        <f>IF(OR(B1028="",E1028=""),"",B1028*10000+E1028)</f>
        <v/>
      </c>
      <c r="P1028">
        <f>IF(N1028="","",E1028)</f>
        <v/>
      </c>
    </row>
    <row r="1029">
      <c r="A1029" s="1" t="n"/>
      <c r="B1029" s="20" t="n"/>
      <c r="C1029" s="21" t="n"/>
      <c r="D1029" s="22" t="n"/>
      <c r="E1029" s="23" t="n"/>
      <c r="F1029" s="22" t="n"/>
      <c r="G1029" s="14">
        <f>IF(OR(B1029="",E1029="",J1029="",K1029=""),"",IF(E1029&lt;J1029,"Below",IF(E1029&gt;K1029,"Above","In range")))</f>
        <v/>
      </c>
      <c r="H1029" s="1" t="n"/>
      <c r="J1029">
        <f>IF(M1029="","",IF(INDEX(Settings!$C$10:$C$18,M1029)="","",INDEX(Settings!$C$10:$C$18,M1029)))</f>
        <v/>
      </c>
      <c r="K1029">
        <f>IF(M1029="","",IF(INDEX(Settings!$D$10:$D$18,M1029)="","",INDEX(Settings!$D$10:$D$18,M1029)))</f>
        <v/>
      </c>
      <c r="L1029">
        <f>IF(OR(B1029="",E1029=""),"",B1029+MOD(N(C1029),1)+ROW()/10000000)</f>
        <v/>
      </c>
      <c r="M1029">
        <f>IF(D1029="","",IFERROR(MATCH(D1029,Settings!$B$10:$B$18,0),""))</f>
        <v/>
      </c>
      <c r="N1029">
        <f>IF(OR(B1029="",E1029="",M1029=""),"",IF(AND(B1029&gt;=Settings!$C$6,B1029&lt;=Settings!$C$7),M1029*10000+E1029,""))</f>
        <v/>
      </c>
      <c r="O1029">
        <f>IF(OR(B1029="",E1029=""),"",B1029*10000+E1029)</f>
        <v/>
      </c>
      <c r="P1029">
        <f>IF(N1029="","",E1029)</f>
        <v/>
      </c>
    </row>
    <row r="1030">
      <c r="A1030" s="1" t="n"/>
      <c r="B1030" s="20" t="n"/>
      <c r="C1030" s="21" t="n"/>
      <c r="D1030" s="22" t="n"/>
      <c r="E1030" s="23" t="n"/>
      <c r="F1030" s="22" t="n"/>
      <c r="G1030" s="14">
        <f>IF(OR(B1030="",E1030="",J1030="",K1030=""),"",IF(E1030&lt;J1030,"Below",IF(E1030&gt;K1030,"Above","In range")))</f>
        <v/>
      </c>
      <c r="H1030" s="1" t="n"/>
      <c r="J1030">
        <f>IF(M1030="","",IF(INDEX(Settings!$C$10:$C$18,M1030)="","",INDEX(Settings!$C$10:$C$18,M1030)))</f>
        <v/>
      </c>
      <c r="K1030">
        <f>IF(M1030="","",IF(INDEX(Settings!$D$10:$D$18,M1030)="","",INDEX(Settings!$D$10:$D$18,M1030)))</f>
        <v/>
      </c>
      <c r="L1030">
        <f>IF(OR(B1030="",E1030=""),"",B1030+MOD(N(C1030),1)+ROW()/10000000)</f>
        <v/>
      </c>
      <c r="M1030">
        <f>IF(D1030="","",IFERROR(MATCH(D1030,Settings!$B$10:$B$18,0),""))</f>
        <v/>
      </c>
      <c r="N1030">
        <f>IF(OR(B1030="",E1030="",M1030=""),"",IF(AND(B1030&gt;=Settings!$C$6,B1030&lt;=Settings!$C$7),M1030*10000+E1030,""))</f>
        <v/>
      </c>
      <c r="O1030">
        <f>IF(OR(B1030="",E1030=""),"",B1030*10000+E1030)</f>
        <v/>
      </c>
      <c r="P1030">
        <f>IF(N1030="","",E1030)</f>
        <v/>
      </c>
    </row>
    <row r="1031">
      <c r="A1031" s="1" t="n"/>
      <c r="B1031" s="20" t="n"/>
      <c r="C1031" s="21" t="n"/>
      <c r="D1031" s="22" t="n"/>
      <c r="E1031" s="23" t="n"/>
      <c r="F1031" s="22" t="n"/>
      <c r="G1031" s="14">
        <f>IF(OR(B1031="",E1031="",J1031="",K1031=""),"",IF(E1031&lt;J1031,"Below",IF(E1031&gt;K1031,"Above","In range")))</f>
        <v/>
      </c>
      <c r="H1031" s="1" t="n"/>
      <c r="J1031">
        <f>IF(M1031="","",IF(INDEX(Settings!$C$10:$C$18,M1031)="","",INDEX(Settings!$C$10:$C$18,M1031)))</f>
        <v/>
      </c>
      <c r="K1031">
        <f>IF(M1031="","",IF(INDEX(Settings!$D$10:$D$18,M1031)="","",INDEX(Settings!$D$10:$D$18,M1031)))</f>
        <v/>
      </c>
      <c r="L1031">
        <f>IF(OR(B1031="",E1031=""),"",B1031+MOD(N(C1031),1)+ROW()/10000000)</f>
        <v/>
      </c>
      <c r="M1031">
        <f>IF(D1031="","",IFERROR(MATCH(D1031,Settings!$B$10:$B$18,0),""))</f>
        <v/>
      </c>
      <c r="N1031">
        <f>IF(OR(B1031="",E1031="",M1031=""),"",IF(AND(B1031&gt;=Settings!$C$6,B1031&lt;=Settings!$C$7),M1031*10000+E1031,""))</f>
        <v/>
      </c>
      <c r="O1031">
        <f>IF(OR(B1031="",E1031=""),"",B1031*10000+E1031)</f>
        <v/>
      </c>
      <c r="P1031">
        <f>IF(N1031="","",E1031)</f>
        <v/>
      </c>
    </row>
    <row r="1032">
      <c r="A1032" s="1" t="n"/>
      <c r="B1032" s="20" t="n"/>
      <c r="C1032" s="21" t="n"/>
      <c r="D1032" s="22" t="n"/>
      <c r="E1032" s="23" t="n"/>
      <c r="F1032" s="22" t="n"/>
      <c r="G1032" s="14">
        <f>IF(OR(B1032="",E1032="",J1032="",K1032=""),"",IF(E1032&lt;J1032,"Below",IF(E1032&gt;K1032,"Above","In range")))</f>
        <v/>
      </c>
      <c r="H1032" s="1" t="n"/>
      <c r="J1032">
        <f>IF(M1032="","",IF(INDEX(Settings!$C$10:$C$18,M1032)="","",INDEX(Settings!$C$10:$C$18,M1032)))</f>
        <v/>
      </c>
      <c r="K1032">
        <f>IF(M1032="","",IF(INDEX(Settings!$D$10:$D$18,M1032)="","",INDEX(Settings!$D$10:$D$18,M1032)))</f>
        <v/>
      </c>
      <c r="L1032">
        <f>IF(OR(B1032="",E1032=""),"",B1032+MOD(N(C1032),1)+ROW()/10000000)</f>
        <v/>
      </c>
      <c r="M1032">
        <f>IF(D1032="","",IFERROR(MATCH(D1032,Settings!$B$10:$B$18,0),""))</f>
        <v/>
      </c>
      <c r="N1032">
        <f>IF(OR(B1032="",E1032="",M1032=""),"",IF(AND(B1032&gt;=Settings!$C$6,B1032&lt;=Settings!$C$7),M1032*10000+E1032,""))</f>
        <v/>
      </c>
      <c r="O1032">
        <f>IF(OR(B1032="",E1032=""),"",B1032*10000+E1032)</f>
        <v/>
      </c>
      <c r="P1032">
        <f>IF(N1032="","",E1032)</f>
        <v/>
      </c>
    </row>
    <row r="1033">
      <c r="A1033" s="1" t="n"/>
      <c r="B1033" s="20" t="n"/>
      <c r="C1033" s="21" t="n"/>
      <c r="D1033" s="22" t="n"/>
      <c r="E1033" s="23" t="n"/>
      <c r="F1033" s="22" t="n"/>
      <c r="G1033" s="14">
        <f>IF(OR(B1033="",E1033="",J1033="",K1033=""),"",IF(E1033&lt;J1033,"Below",IF(E1033&gt;K1033,"Above","In range")))</f>
        <v/>
      </c>
      <c r="H1033" s="1" t="n"/>
      <c r="J1033">
        <f>IF(M1033="","",IF(INDEX(Settings!$C$10:$C$18,M1033)="","",INDEX(Settings!$C$10:$C$18,M1033)))</f>
        <v/>
      </c>
      <c r="K1033">
        <f>IF(M1033="","",IF(INDEX(Settings!$D$10:$D$18,M1033)="","",INDEX(Settings!$D$10:$D$18,M1033)))</f>
        <v/>
      </c>
      <c r="L1033">
        <f>IF(OR(B1033="",E1033=""),"",B1033+MOD(N(C1033),1)+ROW()/10000000)</f>
        <v/>
      </c>
      <c r="M1033">
        <f>IF(D1033="","",IFERROR(MATCH(D1033,Settings!$B$10:$B$18,0),""))</f>
        <v/>
      </c>
      <c r="N1033">
        <f>IF(OR(B1033="",E1033="",M1033=""),"",IF(AND(B1033&gt;=Settings!$C$6,B1033&lt;=Settings!$C$7),M1033*10000+E1033,""))</f>
        <v/>
      </c>
      <c r="O1033">
        <f>IF(OR(B1033="",E1033=""),"",B1033*10000+E1033)</f>
        <v/>
      </c>
      <c r="P1033">
        <f>IF(N1033="","",E1033)</f>
        <v/>
      </c>
    </row>
    <row r="1034">
      <c r="A1034" s="1" t="n"/>
      <c r="B1034" s="20" t="n"/>
      <c r="C1034" s="21" t="n"/>
      <c r="D1034" s="22" t="n"/>
      <c r="E1034" s="23" t="n"/>
      <c r="F1034" s="22" t="n"/>
      <c r="G1034" s="14">
        <f>IF(OR(B1034="",E1034="",J1034="",K1034=""),"",IF(E1034&lt;J1034,"Below",IF(E1034&gt;K1034,"Above","In range")))</f>
        <v/>
      </c>
      <c r="H1034" s="1" t="n"/>
      <c r="J1034">
        <f>IF(M1034="","",IF(INDEX(Settings!$C$10:$C$18,M1034)="","",INDEX(Settings!$C$10:$C$18,M1034)))</f>
        <v/>
      </c>
      <c r="K1034">
        <f>IF(M1034="","",IF(INDEX(Settings!$D$10:$D$18,M1034)="","",INDEX(Settings!$D$10:$D$18,M1034)))</f>
        <v/>
      </c>
      <c r="L1034">
        <f>IF(OR(B1034="",E1034=""),"",B1034+MOD(N(C1034),1)+ROW()/10000000)</f>
        <v/>
      </c>
      <c r="M1034">
        <f>IF(D1034="","",IFERROR(MATCH(D1034,Settings!$B$10:$B$18,0),""))</f>
        <v/>
      </c>
      <c r="N1034">
        <f>IF(OR(B1034="",E1034="",M1034=""),"",IF(AND(B1034&gt;=Settings!$C$6,B1034&lt;=Settings!$C$7),M1034*10000+E1034,""))</f>
        <v/>
      </c>
      <c r="O1034">
        <f>IF(OR(B1034="",E1034=""),"",B1034*10000+E1034)</f>
        <v/>
      </c>
      <c r="P1034">
        <f>IF(N1034="","",E1034)</f>
        <v/>
      </c>
    </row>
    <row r="1035">
      <c r="A1035" s="1" t="n"/>
      <c r="B1035" s="20" t="n"/>
      <c r="C1035" s="21" t="n"/>
      <c r="D1035" s="22" t="n"/>
      <c r="E1035" s="23" t="n"/>
      <c r="F1035" s="22" t="n"/>
      <c r="G1035" s="14">
        <f>IF(OR(B1035="",E1035="",J1035="",K1035=""),"",IF(E1035&lt;J1035,"Below",IF(E1035&gt;K1035,"Above","In range")))</f>
        <v/>
      </c>
      <c r="H1035" s="1" t="n"/>
      <c r="J1035">
        <f>IF(M1035="","",IF(INDEX(Settings!$C$10:$C$18,M1035)="","",INDEX(Settings!$C$10:$C$18,M1035)))</f>
        <v/>
      </c>
      <c r="K1035">
        <f>IF(M1035="","",IF(INDEX(Settings!$D$10:$D$18,M1035)="","",INDEX(Settings!$D$10:$D$18,M1035)))</f>
        <v/>
      </c>
      <c r="L1035">
        <f>IF(OR(B1035="",E1035=""),"",B1035+MOD(N(C1035),1)+ROW()/10000000)</f>
        <v/>
      </c>
      <c r="M1035">
        <f>IF(D1035="","",IFERROR(MATCH(D1035,Settings!$B$10:$B$18,0),""))</f>
        <v/>
      </c>
      <c r="N1035">
        <f>IF(OR(B1035="",E1035="",M1035=""),"",IF(AND(B1035&gt;=Settings!$C$6,B1035&lt;=Settings!$C$7),M1035*10000+E1035,""))</f>
        <v/>
      </c>
      <c r="O1035">
        <f>IF(OR(B1035="",E1035=""),"",B1035*10000+E1035)</f>
        <v/>
      </c>
      <c r="P1035">
        <f>IF(N1035="","",E1035)</f>
        <v/>
      </c>
    </row>
    <row r="1036">
      <c r="A1036" s="1" t="n"/>
      <c r="B1036" s="20" t="n"/>
      <c r="C1036" s="21" t="n"/>
      <c r="D1036" s="22" t="n"/>
      <c r="E1036" s="23" t="n"/>
      <c r="F1036" s="22" t="n"/>
      <c r="G1036" s="14">
        <f>IF(OR(B1036="",E1036="",J1036="",K1036=""),"",IF(E1036&lt;J1036,"Below",IF(E1036&gt;K1036,"Above","In range")))</f>
        <v/>
      </c>
      <c r="H1036" s="1" t="n"/>
      <c r="J1036">
        <f>IF(M1036="","",IF(INDEX(Settings!$C$10:$C$18,M1036)="","",INDEX(Settings!$C$10:$C$18,M1036)))</f>
        <v/>
      </c>
      <c r="K1036">
        <f>IF(M1036="","",IF(INDEX(Settings!$D$10:$D$18,M1036)="","",INDEX(Settings!$D$10:$D$18,M1036)))</f>
        <v/>
      </c>
      <c r="L1036">
        <f>IF(OR(B1036="",E1036=""),"",B1036+MOD(N(C1036),1)+ROW()/10000000)</f>
        <v/>
      </c>
      <c r="M1036">
        <f>IF(D1036="","",IFERROR(MATCH(D1036,Settings!$B$10:$B$18,0),""))</f>
        <v/>
      </c>
      <c r="N1036">
        <f>IF(OR(B1036="",E1036="",M1036=""),"",IF(AND(B1036&gt;=Settings!$C$6,B1036&lt;=Settings!$C$7),M1036*10000+E1036,""))</f>
        <v/>
      </c>
      <c r="O1036">
        <f>IF(OR(B1036="",E1036=""),"",B1036*10000+E1036)</f>
        <v/>
      </c>
      <c r="P1036">
        <f>IF(N1036="","",E1036)</f>
        <v/>
      </c>
    </row>
    <row r="1037">
      <c r="A1037" s="1" t="n"/>
      <c r="B1037" s="20" t="n"/>
      <c r="C1037" s="21" t="n"/>
      <c r="D1037" s="22" t="n"/>
      <c r="E1037" s="23" t="n"/>
      <c r="F1037" s="22" t="n"/>
      <c r="G1037" s="14">
        <f>IF(OR(B1037="",E1037="",J1037="",K1037=""),"",IF(E1037&lt;J1037,"Below",IF(E1037&gt;K1037,"Above","In range")))</f>
        <v/>
      </c>
      <c r="H1037" s="1" t="n"/>
      <c r="J1037">
        <f>IF(M1037="","",IF(INDEX(Settings!$C$10:$C$18,M1037)="","",INDEX(Settings!$C$10:$C$18,M1037)))</f>
        <v/>
      </c>
      <c r="K1037">
        <f>IF(M1037="","",IF(INDEX(Settings!$D$10:$D$18,M1037)="","",INDEX(Settings!$D$10:$D$18,M1037)))</f>
        <v/>
      </c>
      <c r="L1037">
        <f>IF(OR(B1037="",E1037=""),"",B1037+MOD(N(C1037),1)+ROW()/10000000)</f>
        <v/>
      </c>
      <c r="M1037">
        <f>IF(D1037="","",IFERROR(MATCH(D1037,Settings!$B$10:$B$18,0),""))</f>
        <v/>
      </c>
      <c r="N1037">
        <f>IF(OR(B1037="",E1037="",M1037=""),"",IF(AND(B1037&gt;=Settings!$C$6,B1037&lt;=Settings!$C$7),M1037*10000+E1037,""))</f>
        <v/>
      </c>
      <c r="O1037">
        <f>IF(OR(B1037="",E1037=""),"",B1037*10000+E1037)</f>
        <v/>
      </c>
      <c r="P1037">
        <f>IF(N1037="","",E1037)</f>
        <v/>
      </c>
    </row>
    <row r="1038">
      <c r="A1038" s="1" t="n"/>
      <c r="B1038" s="20" t="n"/>
      <c r="C1038" s="21" t="n"/>
      <c r="D1038" s="22" t="n"/>
      <c r="E1038" s="23" t="n"/>
      <c r="F1038" s="22" t="n"/>
      <c r="G1038" s="14">
        <f>IF(OR(B1038="",E1038="",J1038="",K1038=""),"",IF(E1038&lt;J1038,"Below",IF(E1038&gt;K1038,"Above","In range")))</f>
        <v/>
      </c>
      <c r="H1038" s="1" t="n"/>
      <c r="J1038">
        <f>IF(M1038="","",IF(INDEX(Settings!$C$10:$C$18,M1038)="","",INDEX(Settings!$C$10:$C$18,M1038)))</f>
        <v/>
      </c>
      <c r="K1038">
        <f>IF(M1038="","",IF(INDEX(Settings!$D$10:$D$18,M1038)="","",INDEX(Settings!$D$10:$D$18,M1038)))</f>
        <v/>
      </c>
      <c r="L1038">
        <f>IF(OR(B1038="",E1038=""),"",B1038+MOD(N(C1038),1)+ROW()/10000000)</f>
        <v/>
      </c>
      <c r="M1038">
        <f>IF(D1038="","",IFERROR(MATCH(D1038,Settings!$B$10:$B$18,0),""))</f>
        <v/>
      </c>
      <c r="N1038">
        <f>IF(OR(B1038="",E1038="",M1038=""),"",IF(AND(B1038&gt;=Settings!$C$6,B1038&lt;=Settings!$C$7),M1038*10000+E1038,""))</f>
        <v/>
      </c>
      <c r="O1038">
        <f>IF(OR(B1038="",E1038=""),"",B1038*10000+E1038)</f>
        <v/>
      </c>
      <c r="P1038">
        <f>IF(N1038="","",E1038)</f>
        <v/>
      </c>
    </row>
    <row r="1039">
      <c r="A1039" s="1" t="n"/>
      <c r="B1039" s="20" t="n"/>
      <c r="C1039" s="21" t="n"/>
      <c r="D1039" s="22" t="n"/>
      <c r="E1039" s="23" t="n"/>
      <c r="F1039" s="22" t="n"/>
      <c r="G1039" s="14">
        <f>IF(OR(B1039="",E1039="",J1039="",K1039=""),"",IF(E1039&lt;J1039,"Below",IF(E1039&gt;K1039,"Above","In range")))</f>
        <v/>
      </c>
      <c r="H1039" s="1" t="n"/>
      <c r="J1039">
        <f>IF(M1039="","",IF(INDEX(Settings!$C$10:$C$18,M1039)="","",INDEX(Settings!$C$10:$C$18,M1039)))</f>
        <v/>
      </c>
      <c r="K1039">
        <f>IF(M1039="","",IF(INDEX(Settings!$D$10:$D$18,M1039)="","",INDEX(Settings!$D$10:$D$18,M1039)))</f>
        <v/>
      </c>
      <c r="L1039">
        <f>IF(OR(B1039="",E1039=""),"",B1039+MOD(N(C1039),1)+ROW()/10000000)</f>
        <v/>
      </c>
      <c r="M1039">
        <f>IF(D1039="","",IFERROR(MATCH(D1039,Settings!$B$10:$B$18,0),""))</f>
        <v/>
      </c>
      <c r="N1039">
        <f>IF(OR(B1039="",E1039="",M1039=""),"",IF(AND(B1039&gt;=Settings!$C$6,B1039&lt;=Settings!$C$7),M1039*10000+E1039,""))</f>
        <v/>
      </c>
      <c r="O1039">
        <f>IF(OR(B1039="",E1039=""),"",B1039*10000+E1039)</f>
        <v/>
      </c>
      <c r="P1039">
        <f>IF(N1039="","",E1039)</f>
        <v/>
      </c>
    </row>
    <row r="1040">
      <c r="A1040" s="1" t="n"/>
      <c r="B1040" s="20" t="n"/>
      <c r="C1040" s="21" t="n"/>
      <c r="D1040" s="22" t="n"/>
      <c r="E1040" s="23" t="n"/>
      <c r="F1040" s="22" t="n"/>
      <c r="G1040" s="14">
        <f>IF(OR(B1040="",E1040="",J1040="",K1040=""),"",IF(E1040&lt;J1040,"Below",IF(E1040&gt;K1040,"Above","In range")))</f>
        <v/>
      </c>
      <c r="H1040" s="1" t="n"/>
      <c r="J1040">
        <f>IF(M1040="","",IF(INDEX(Settings!$C$10:$C$18,M1040)="","",INDEX(Settings!$C$10:$C$18,M1040)))</f>
        <v/>
      </c>
      <c r="K1040">
        <f>IF(M1040="","",IF(INDEX(Settings!$D$10:$D$18,M1040)="","",INDEX(Settings!$D$10:$D$18,M1040)))</f>
        <v/>
      </c>
      <c r="L1040">
        <f>IF(OR(B1040="",E1040=""),"",B1040+MOD(N(C1040),1)+ROW()/10000000)</f>
        <v/>
      </c>
      <c r="M1040">
        <f>IF(D1040="","",IFERROR(MATCH(D1040,Settings!$B$10:$B$18,0),""))</f>
        <v/>
      </c>
      <c r="N1040">
        <f>IF(OR(B1040="",E1040="",M1040=""),"",IF(AND(B1040&gt;=Settings!$C$6,B1040&lt;=Settings!$C$7),M1040*10000+E1040,""))</f>
        <v/>
      </c>
      <c r="O1040">
        <f>IF(OR(B1040="",E1040=""),"",B1040*10000+E1040)</f>
        <v/>
      </c>
      <c r="P1040">
        <f>IF(N1040="","",E1040)</f>
        <v/>
      </c>
    </row>
    <row r="1041">
      <c r="A1041" s="1" t="n"/>
      <c r="B1041" s="20" t="n"/>
      <c r="C1041" s="21" t="n"/>
      <c r="D1041" s="22" t="n"/>
      <c r="E1041" s="23" t="n"/>
      <c r="F1041" s="22" t="n"/>
      <c r="G1041" s="14">
        <f>IF(OR(B1041="",E1041="",J1041="",K1041=""),"",IF(E1041&lt;J1041,"Below",IF(E1041&gt;K1041,"Above","In range")))</f>
        <v/>
      </c>
      <c r="H1041" s="1" t="n"/>
      <c r="J1041">
        <f>IF(M1041="","",IF(INDEX(Settings!$C$10:$C$18,M1041)="","",INDEX(Settings!$C$10:$C$18,M1041)))</f>
        <v/>
      </c>
      <c r="K1041">
        <f>IF(M1041="","",IF(INDEX(Settings!$D$10:$D$18,M1041)="","",INDEX(Settings!$D$10:$D$18,M1041)))</f>
        <v/>
      </c>
      <c r="L1041">
        <f>IF(OR(B1041="",E1041=""),"",B1041+MOD(N(C1041),1)+ROW()/10000000)</f>
        <v/>
      </c>
      <c r="M1041">
        <f>IF(D1041="","",IFERROR(MATCH(D1041,Settings!$B$10:$B$18,0),""))</f>
        <v/>
      </c>
      <c r="N1041">
        <f>IF(OR(B1041="",E1041="",M1041=""),"",IF(AND(B1041&gt;=Settings!$C$6,B1041&lt;=Settings!$C$7),M1041*10000+E1041,""))</f>
        <v/>
      </c>
      <c r="O1041">
        <f>IF(OR(B1041="",E1041=""),"",B1041*10000+E1041)</f>
        <v/>
      </c>
      <c r="P1041">
        <f>IF(N1041="","",E1041)</f>
        <v/>
      </c>
    </row>
    <row r="1042">
      <c r="A1042" s="1" t="n"/>
      <c r="B1042" s="20" t="n"/>
      <c r="C1042" s="21" t="n"/>
      <c r="D1042" s="22" t="n"/>
      <c r="E1042" s="23" t="n"/>
      <c r="F1042" s="22" t="n"/>
      <c r="G1042" s="14">
        <f>IF(OR(B1042="",E1042="",J1042="",K1042=""),"",IF(E1042&lt;J1042,"Below",IF(E1042&gt;K1042,"Above","In range")))</f>
        <v/>
      </c>
      <c r="H1042" s="1" t="n"/>
      <c r="J1042">
        <f>IF(M1042="","",IF(INDEX(Settings!$C$10:$C$18,M1042)="","",INDEX(Settings!$C$10:$C$18,M1042)))</f>
        <v/>
      </c>
      <c r="K1042">
        <f>IF(M1042="","",IF(INDEX(Settings!$D$10:$D$18,M1042)="","",INDEX(Settings!$D$10:$D$18,M1042)))</f>
        <v/>
      </c>
      <c r="L1042">
        <f>IF(OR(B1042="",E1042=""),"",B1042+MOD(N(C1042),1)+ROW()/10000000)</f>
        <v/>
      </c>
      <c r="M1042">
        <f>IF(D1042="","",IFERROR(MATCH(D1042,Settings!$B$10:$B$18,0),""))</f>
        <v/>
      </c>
      <c r="N1042">
        <f>IF(OR(B1042="",E1042="",M1042=""),"",IF(AND(B1042&gt;=Settings!$C$6,B1042&lt;=Settings!$C$7),M1042*10000+E1042,""))</f>
        <v/>
      </c>
      <c r="O1042">
        <f>IF(OR(B1042="",E1042=""),"",B1042*10000+E1042)</f>
        <v/>
      </c>
      <c r="P1042">
        <f>IF(N1042="","",E1042)</f>
        <v/>
      </c>
    </row>
    <row r="1043">
      <c r="A1043" s="1" t="n"/>
      <c r="B1043" s="20" t="n"/>
      <c r="C1043" s="21" t="n"/>
      <c r="D1043" s="22" t="n"/>
      <c r="E1043" s="23" t="n"/>
      <c r="F1043" s="22" t="n"/>
      <c r="G1043" s="14">
        <f>IF(OR(B1043="",E1043="",J1043="",K1043=""),"",IF(E1043&lt;J1043,"Below",IF(E1043&gt;K1043,"Above","In range")))</f>
        <v/>
      </c>
      <c r="H1043" s="1" t="n"/>
      <c r="J1043">
        <f>IF(M1043="","",IF(INDEX(Settings!$C$10:$C$18,M1043)="","",INDEX(Settings!$C$10:$C$18,M1043)))</f>
        <v/>
      </c>
      <c r="K1043">
        <f>IF(M1043="","",IF(INDEX(Settings!$D$10:$D$18,M1043)="","",INDEX(Settings!$D$10:$D$18,M1043)))</f>
        <v/>
      </c>
      <c r="L1043">
        <f>IF(OR(B1043="",E1043=""),"",B1043+MOD(N(C1043),1)+ROW()/10000000)</f>
        <v/>
      </c>
      <c r="M1043">
        <f>IF(D1043="","",IFERROR(MATCH(D1043,Settings!$B$10:$B$18,0),""))</f>
        <v/>
      </c>
      <c r="N1043">
        <f>IF(OR(B1043="",E1043="",M1043=""),"",IF(AND(B1043&gt;=Settings!$C$6,B1043&lt;=Settings!$C$7),M1043*10000+E1043,""))</f>
        <v/>
      </c>
      <c r="O1043">
        <f>IF(OR(B1043="",E1043=""),"",B1043*10000+E1043)</f>
        <v/>
      </c>
      <c r="P1043">
        <f>IF(N1043="","",E1043)</f>
        <v/>
      </c>
    </row>
    <row r="1044">
      <c r="A1044" s="1" t="n"/>
      <c r="B1044" s="20" t="n"/>
      <c r="C1044" s="21" t="n"/>
      <c r="D1044" s="22" t="n"/>
      <c r="E1044" s="23" t="n"/>
      <c r="F1044" s="22" t="n"/>
      <c r="G1044" s="14">
        <f>IF(OR(B1044="",E1044="",J1044="",K1044=""),"",IF(E1044&lt;J1044,"Below",IF(E1044&gt;K1044,"Above","In range")))</f>
        <v/>
      </c>
      <c r="H1044" s="1" t="n"/>
      <c r="J1044">
        <f>IF(M1044="","",IF(INDEX(Settings!$C$10:$C$18,M1044)="","",INDEX(Settings!$C$10:$C$18,M1044)))</f>
        <v/>
      </c>
      <c r="K1044">
        <f>IF(M1044="","",IF(INDEX(Settings!$D$10:$D$18,M1044)="","",INDEX(Settings!$D$10:$D$18,M1044)))</f>
        <v/>
      </c>
      <c r="L1044">
        <f>IF(OR(B1044="",E1044=""),"",B1044+MOD(N(C1044),1)+ROW()/10000000)</f>
        <v/>
      </c>
      <c r="M1044">
        <f>IF(D1044="","",IFERROR(MATCH(D1044,Settings!$B$10:$B$18,0),""))</f>
        <v/>
      </c>
      <c r="N1044">
        <f>IF(OR(B1044="",E1044="",M1044=""),"",IF(AND(B1044&gt;=Settings!$C$6,B1044&lt;=Settings!$C$7),M1044*10000+E1044,""))</f>
        <v/>
      </c>
      <c r="O1044">
        <f>IF(OR(B1044="",E1044=""),"",B1044*10000+E1044)</f>
        <v/>
      </c>
      <c r="P1044">
        <f>IF(N1044="","",E1044)</f>
        <v/>
      </c>
    </row>
    <row r="1045">
      <c r="A1045" s="1" t="n"/>
      <c r="B1045" s="20" t="n"/>
      <c r="C1045" s="21" t="n"/>
      <c r="D1045" s="22" t="n"/>
      <c r="E1045" s="23" t="n"/>
      <c r="F1045" s="22" t="n"/>
      <c r="G1045" s="14">
        <f>IF(OR(B1045="",E1045="",J1045="",K1045=""),"",IF(E1045&lt;J1045,"Below",IF(E1045&gt;K1045,"Above","In range")))</f>
        <v/>
      </c>
      <c r="H1045" s="1" t="n"/>
      <c r="J1045">
        <f>IF(M1045="","",IF(INDEX(Settings!$C$10:$C$18,M1045)="","",INDEX(Settings!$C$10:$C$18,M1045)))</f>
        <v/>
      </c>
      <c r="K1045">
        <f>IF(M1045="","",IF(INDEX(Settings!$D$10:$D$18,M1045)="","",INDEX(Settings!$D$10:$D$18,M1045)))</f>
        <v/>
      </c>
      <c r="L1045">
        <f>IF(OR(B1045="",E1045=""),"",B1045+MOD(N(C1045),1)+ROW()/10000000)</f>
        <v/>
      </c>
      <c r="M1045">
        <f>IF(D1045="","",IFERROR(MATCH(D1045,Settings!$B$10:$B$18,0),""))</f>
        <v/>
      </c>
      <c r="N1045">
        <f>IF(OR(B1045="",E1045="",M1045=""),"",IF(AND(B1045&gt;=Settings!$C$6,B1045&lt;=Settings!$C$7),M1045*10000+E1045,""))</f>
        <v/>
      </c>
      <c r="O1045">
        <f>IF(OR(B1045="",E1045=""),"",B1045*10000+E1045)</f>
        <v/>
      </c>
      <c r="P1045">
        <f>IF(N1045="","",E1045)</f>
        <v/>
      </c>
    </row>
    <row r="1046">
      <c r="A1046" s="1" t="n"/>
      <c r="B1046" s="20" t="n"/>
      <c r="C1046" s="21" t="n"/>
      <c r="D1046" s="22" t="n"/>
      <c r="E1046" s="23" t="n"/>
      <c r="F1046" s="22" t="n"/>
      <c r="G1046" s="14">
        <f>IF(OR(B1046="",E1046="",J1046="",K1046=""),"",IF(E1046&lt;J1046,"Below",IF(E1046&gt;K1046,"Above","In range")))</f>
        <v/>
      </c>
      <c r="H1046" s="1" t="n"/>
      <c r="J1046">
        <f>IF(M1046="","",IF(INDEX(Settings!$C$10:$C$18,M1046)="","",INDEX(Settings!$C$10:$C$18,M1046)))</f>
        <v/>
      </c>
      <c r="K1046">
        <f>IF(M1046="","",IF(INDEX(Settings!$D$10:$D$18,M1046)="","",INDEX(Settings!$D$10:$D$18,M1046)))</f>
        <v/>
      </c>
      <c r="L1046">
        <f>IF(OR(B1046="",E1046=""),"",B1046+MOD(N(C1046),1)+ROW()/10000000)</f>
        <v/>
      </c>
      <c r="M1046">
        <f>IF(D1046="","",IFERROR(MATCH(D1046,Settings!$B$10:$B$18,0),""))</f>
        <v/>
      </c>
      <c r="N1046">
        <f>IF(OR(B1046="",E1046="",M1046=""),"",IF(AND(B1046&gt;=Settings!$C$6,B1046&lt;=Settings!$C$7),M1046*10000+E1046,""))</f>
        <v/>
      </c>
      <c r="O1046">
        <f>IF(OR(B1046="",E1046=""),"",B1046*10000+E1046)</f>
        <v/>
      </c>
      <c r="P1046">
        <f>IF(N1046="","",E1046)</f>
        <v/>
      </c>
    </row>
    <row r="1047">
      <c r="A1047" s="1" t="n"/>
      <c r="B1047" s="20" t="n"/>
      <c r="C1047" s="21" t="n"/>
      <c r="D1047" s="22" t="n"/>
      <c r="E1047" s="23" t="n"/>
      <c r="F1047" s="22" t="n"/>
      <c r="G1047" s="14">
        <f>IF(OR(B1047="",E1047="",J1047="",K1047=""),"",IF(E1047&lt;J1047,"Below",IF(E1047&gt;K1047,"Above","In range")))</f>
        <v/>
      </c>
      <c r="H1047" s="1" t="n"/>
      <c r="J1047">
        <f>IF(M1047="","",IF(INDEX(Settings!$C$10:$C$18,M1047)="","",INDEX(Settings!$C$10:$C$18,M1047)))</f>
        <v/>
      </c>
      <c r="K1047">
        <f>IF(M1047="","",IF(INDEX(Settings!$D$10:$D$18,M1047)="","",INDEX(Settings!$D$10:$D$18,M1047)))</f>
        <v/>
      </c>
      <c r="L1047">
        <f>IF(OR(B1047="",E1047=""),"",B1047+MOD(N(C1047),1)+ROW()/10000000)</f>
        <v/>
      </c>
      <c r="M1047">
        <f>IF(D1047="","",IFERROR(MATCH(D1047,Settings!$B$10:$B$18,0),""))</f>
        <v/>
      </c>
      <c r="N1047">
        <f>IF(OR(B1047="",E1047="",M1047=""),"",IF(AND(B1047&gt;=Settings!$C$6,B1047&lt;=Settings!$C$7),M1047*10000+E1047,""))</f>
        <v/>
      </c>
      <c r="O1047">
        <f>IF(OR(B1047="",E1047=""),"",B1047*10000+E1047)</f>
        <v/>
      </c>
      <c r="P1047">
        <f>IF(N1047="","",E1047)</f>
        <v/>
      </c>
    </row>
    <row r="1048">
      <c r="A1048" s="1" t="n"/>
      <c r="B1048" s="20" t="n"/>
      <c r="C1048" s="21" t="n"/>
      <c r="D1048" s="22" t="n"/>
      <c r="E1048" s="23" t="n"/>
      <c r="F1048" s="22" t="n"/>
      <c r="G1048" s="14">
        <f>IF(OR(B1048="",E1048="",J1048="",K1048=""),"",IF(E1048&lt;J1048,"Below",IF(E1048&gt;K1048,"Above","In range")))</f>
        <v/>
      </c>
      <c r="H1048" s="1" t="n"/>
      <c r="J1048">
        <f>IF(M1048="","",IF(INDEX(Settings!$C$10:$C$18,M1048)="","",INDEX(Settings!$C$10:$C$18,M1048)))</f>
        <v/>
      </c>
      <c r="K1048">
        <f>IF(M1048="","",IF(INDEX(Settings!$D$10:$D$18,M1048)="","",INDEX(Settings!$D$10:$D$18,M1048)))</f>
        <v/>
      </c>
      <c r="L1048">
        <f>IF(OR(B1048="",E1048=""),"",B1048+MOD(N(C1048),1)+ROW()/10000000)</f>
        <v/>
      </c>
      <c r="M1048">
        <f>IF(D1048="","",IFERROR(MATCH(D1048,Settings!$B$10:$B$18,0),""))</f>
        <v/>
      </c>
      <c r="N1048">
        <f>IF(OR(B1048="",E1048="",M1048=""),"",IF(AND(B1048&gt;=Settings!$C$6,B1048&lt;=Settings!$C$7),M1048*10000+E1048,""))</f>
        <v/>
      </c>
      <c r="O1048">
        <f>IF(OR(B1048="",E1048=""),"",B1048*10000+E1048)</f>
        <v/>
      </c>
      <c r="P1048">
        <f>IF(N1048="","",E1048)</f>
        <v/>
      </c>
    </row>
    <row r="1049">
      <c r="A1049" s="1" t="n"/>
      <c r="B1049" s="20" t="n"/>
      <c r="C1049" s="21" t="n"/>
      <c r="D1049" s="22" t="n"/>
      <c r="E1049" s="23" t="n"/>
      <c r="F1049" s="22" t="n"/>
      <c r="G1049" s="14">
        <f>IF(OR(B1049="",E1049="",J1049="",K1049=""),"",IF(E1049&lt;J1049,"Below",IF(E1049&gt;K1049,"Above","In range")))</f>
        <v/>
      </c>
      <c r="H1049" s="1" t="n"/>
      <c r="J1049">
        <f>IF(M1049="","",IF(INDEX(Settings!$C$10:$C$18,M1049)="","",INDEX(Settings!$C$10:$C$18,M1049)))</f>
        <v/>
      </c>
      <c r="K1049">
        <f>IF(M1049="","",IF(INDEX(Settings!$D$10:$D$18,M1049)="","",INDEX(Settings!$D$10:$D$18,M1049)))</f>
        <v/>
      </c>
      <c r="L1049">
        <f>IF(OR(B1049="",E1049=""),"",B1049+MOD(N(C1049),1)+ROW()/10000000)</f>
        <v/>
      </c>
      <c r="M1049">
        <f>IF(D1049="","",IFERROR(MATCH(D1049,Settings!$B$10:$B$18,0),""))</f>
        <v/>
      </c>
      <c r="N1049">
        <f>IF(OR(B1049="",E1049="",M1049=""),"",IF(AND(B1049&gt;=Settings!$C$6,B1049&lt;=Settings!$C$7),M1049*10000+E1049,""))</f>
        <v/>
      </c>
      <c r="O1049">
        <f>IF(OR(B1049="",E1049=""),"",B1049*10000+E1049)</f>
        <v/>
      </c>
      <c r="P1049">
        <f>IF(N1049="","",E1049)</f>
        <v/>
      </c>
    </row>
    <row r="1050">
      <c r="A1050" s="1" t="n"/>
      <c r="B1050" s="20" t="n"/>
      <c r="C1050" s="21" t="n"/>
      <c r="D1050" s="22" t="n"/>
      <c r="E1050" s="23" t="n"/>
      <c r="F1050" s="22" t="n"/>
      <c r="G1050" s="14">
        <f>IF(OR(B1050="",E1050="",J1050="",K1050=""),"",IF(E1050&lt;J1050,"Below",IF(E1050&gt;K1050,"Above","In range")))</f>
        <v/>
      </c>
      <c r="H1050" s="1" t="n"/>
      <c r="J1050">
        <f>IF(M1050="","",IF(INDEX(Settings!$C$10:$C$18,M1050)="","",INDEX(Settings!$C$10:$C$18,M1050)))</f>
        <v/>
      </c>
      <c r="K1050">
        <f>IF(M1050="","",IF(INDEX(Settings!$D$10:$D$18,M1050)="","",INDEX(Settings!$D$10:$D$18,M1050)))</f>
        <v/>
      </c>
      <c r="L1050">
        <f>IF(OR(B1050="",E1050=""),"",B1050+MOD(N(C1050),1)+ROW()/10000000)</f>
        <v/>
      </c>
      <c r="M1050">
        <f>IF(D1050="","",IFERROR(MATCH(D1050,Settings!$B$10:$B$18,0),""))</f>
        <v/>
      </c>
      <c r="N1050">
        <f>IF(OR(B1050="",E1050="",M1050=""),"",IF(AND(B1050&gt;=Settings!$C$6,B1050&lt;=Settings!$C$7),M1050*10000+E1050,""))</f>
        <v/>
      </c>
      <c r="O1050">
        <f>IF(OR(B1050="",E1050=""),"",B1050*10000+E1050)</f>
        <v/>
      </c>
      <c r="P1050">
        <f>IF(N1050="","",E1050)</f>
        <v/>
      </c>
    </row>
    <row r="1051">
      <c r="A1051" s="1" t="n"/>
      <c r="B1051" s="20" t="n"/>
      <c r="C1051" s="21" t="n"/>
      <c r="D1051" s="22" t="n"/>
      <c r="E1051" s="23" t="n"/>
      <c r="F1051" s="22" t="n"/>
      <c r="G1051" s="14">
        <f>IF(OR(B1051="",E1051="",J1051="",K1051=""),"",IF(E1051&lt;J1051,"Below",IF(E1051&gt;K1051,"Above","In range")))</f>
        <v/>
      </c>
      <c r="H1051" s="1" t="n"/>
      <c r="J1051">
        <f>IF(M1051="","",IF(INDEX(Settings!$C$10:$C$18,M1051)="","",INDEX(Settings!$C$10:$C$18,M1051)))</f>
        <v/>
      </c>
      <c r="K1051">
        <f>IF(M1051="","",IF(INDEX(Settings!$D$10:$D$18,M1051)="","",INDEX(Settings!$D$10:$D$18,M1051)))</f>
        <v/>
      </c>
      <c r="L1051">
        <f>IF(OR(B1051="",E1051=""),"",B1051+MOD(N(C1051),1)+ROW()/10000000)</f>
        <v/>
      </c>
      <c r="M1051">
        <f>IF(D1051="","",IFERROR(MATCH(D1051,Settings!$B$10:$B$18,0),""))</f>
        <v/>
      </c>
      <c r="N1051">
        <f>IF(OR(B1051="",E1051="",M1051=""),"",IF(AND(B1051&gt;=Settings!$C$6,B1051&lt;=Settings!$C$7),M1051*10000+E1051,""))</f>
        <v/>
      </c>
      <c r="O1051">
        <f>IF(OR(B1051="",E1051=""),"",B1051*10000+E1051)</f>
        <v/>
      </c>
      <c r="P1051">
        <f>IF(N1051="","",E1051)</f>
        <v/>
      </c>
    </row>
    <row r="1052">
      <c r="A1052" s="1" t="n"/>
      <c r="B1052" s="20" t="n"/>
      <c r="C1052" s="21" t="n"/>
      <c r="D1052" s="22" t="n"/>
      <c r="E1052" s="23" t="n"/>
      <c r="F1052" s="22" t="n"/>
      <c r="G1052" s="14">
        <f>IF(OR(B1052="",E1052="",J1052="",K1052=""),"",IF(E1052&lt;J1052,"Below",IF(E1052&gt;K1052,"Above","In range")))</f>
        <v/>
      </c>
      <c r="H1052" s="1" t="n"/>
      <c r="J1052">
        <f>IF(M1052="","",IF(INDEX(Settings!$C$10:$C$18,M1052)="","",INDEX(Settings!$C$10:$C$18,M1052)))</f>
        <v/>
      </c>
      <c r="K1052">
        <f>IF(M1052="","",IF(INDEX(Settings!$D$10:$D$18,M1052)="","",INDEX(Settings!$D$10:$D$18,M1052)))</f>
        <v/>
      </c>
      <c r="L1052">
        <f>IF(OR(B1052="",E1052=""),"",B1052+MOD(N(C1052),1)+ROW()/10000000)</f>
        <v/>
      </c>
      <c r="M1052">
        <f>IF(D1052="","",IFERROR(MATCH(D1052,Settings!$B$10:$B$18,0),""))</f>
        <v/>
      </c>
      <c r="N1052">
        <f>IF(OR(B1052="",E1052="",M1052=""),"",IF(AND(B1052&gt;=Settings!$C$6,B1052&lt;=Settings!$C$7),M1052*10000+E1052,""))</f>
        <v/>
      </c>
      <c r="O1052">
        <f>IF(OR(B1052="",E1052=""),"",B1052*10000+E1052)</f>
        <v/>
      </c>
      <c r="P1052">
        <f>IF(N1052="","",E1052)</f>
        <v/>
      </c>
    </row>
    <row r="1053">
      <c r="A1053" s="1" t="n"/>
      <c r="B1053" s="20" t="n"/>
      <c r="C1053" s="21" t="n"/>
      <c r="D1053" s="22" t="n"/>
      <c r="E1053" s="23" t="n"/>
      <c r="F1053" s="22" t="n"/>
      <c r="G1053" s="14">
        <f>IF(OR(B1053="",E1053="",J1053="",K1053=""),"",IF(E1053&lt;J1053,"Below",IF(E1053&gt;K1053,"Above","In range")))</f>
        <v/>
      </c>
      <c r="H1053" s="1" t="n"/>
      <c r="J1053">
        <f>IF(M1053="","",IF(INDEX(Settings!$C$10:$C$18,M1053)="","",INDEX(Settings!$C$10:$C$18,M1053)))</f>
        <v/>
      </c>
      <c r="K1053">
        <f>IF(M1053="","",IF(INDEX(Settings!$D$10:$D$18,M1053)="","",INDEX(Settings!$D$10:$D$18,M1053)))</f>
        <v/>
      </c>
      <c r="L1053">
        <f>IF(OR(B1053="",E1053=""),"",B1053+MOD(N(C1053),1)+ROW()/10000000)</f>
        <v/>
      </c>
      <c r="M1053">
        <f>IF(D1053="","",IFERROR(MATCH(D1053,Settings!$B$10:$B$18,0),""))</f>
        <v/>
      </c>
      <c r="N1053">
        <f>IF(OR(B1053="",E1053="",M1053=""),"",IF(AND(B1053&gt;=Settings!$C$6,B1053&lt;=Settings!$C$7),M1053*10000+E1053,""))</f>
        <v/>
      </c>
      <c r="O1053">
        <f>IF(OR(B1053="",E1053=""),"",B1053*10000+E1053)</f>
        <v/>
      </c>
      <c r="P1053">
        <f>IF(N1053="","",E1053)</f>
        <v/>
      </c>
    </row>
    <row r="1054">
      <c r="A1054" s="1" t="n"/>
      <c r="B1054" s="20" t="n"/>
      <c r="C1054" s="21" t="n"/>
      <c r="D1054" s="22" t="n"/>
      <c r="E1054" s="23" t="n"/>
      <c r="F1054" s="22" t="n"/>
      <c r="G1054" s="14">
        <f>IF(OR(B1054="",E1054="",J1054="",K1054=""),"",IF(E1054&lt;J1054,"Below",IF(E1054&gt;K1054,"Above","In range")))</f>
        <v/>
      </c>
      <c r="H1054" s="1" t="n"/>
      <c r="J1054">
        <f>IF(M1054="","",IF(INDEX(Settings!$C$10:$C$18,M1054)="","",INDEX(Settings!$C$10:$C$18,M1054)))</f>
        <v/>
      </c>
      <c r="K1054">
        <f>IF(M1054="","",IF(INDEX(Settings!$D$10:$D$18,M1054)="","",INDEX(Settings!$D$10:$D$18,M1054)))</f>
        <v/>
      </c>
      <c r="L1054">
        <f>IF(OR(B1054="",E1054=""),"",B1054+MOD(N(C1054),1)+ROW()/10000000)</f>
        <v/>
      </c>
      <c r="M1054">
        <f>IF(D1054="","",IFERROR(MATCH(D1054,Settings!$B$10:$B$18,0),""))</f>
        <v/>
      </c>
      <c r="N1054">
        <f>IF(OR(B1054="",E1054="",M1054=""),"",IF(AND(B1054&gt;=Settings!$C$6,B1054&lt;=Settings!$C$7),M1054*10000+E1054,""))</f>
        <v/>
      </c>
      <c r="O1054">
        <f>IF(OR(B1054="",E1054=""),"",B1054*10000+E1054)</f>
        <v/>
      </c>
      <c r="P1054">
        <f>IF(N1054="","",E1054)</f>
        <v/>
      </c>
    </row>
    <row r="1055">
      <c r="A1055" s="1" t="n"/>
      <c r="B1055" s="20" t="n"/>
      <c r="C1055" s="21" t="n"/>
      <c r="D1055" s="22" t="n"/>
      <c r="E1055" s="23" t="n"/>
      <c r="F1055" s="22" t="n"/>
      <c r="G1055" s="14">
        <f>IF(OR(B1055="",E1055="",J1055="",K1055=""),"",IF(E1055&lt;J1055,"Below",IF(E1055&gt;K1055,"Above","In range")))</f>
        <v/>
      </c>
      <c r="H1055" s="1" t="n"/>
      <c r="J1055">
        <f>IF(M1055="","",IF(INDEX(Settings!$C$10:$C$18,M1055)="","",INDEX(Settings!$C$10:$C$18,M1055)))</f>
        <v/>
      </c>
      <c r="K1055">
        <f>IF(M1055="","",IF(INDEX(Settings!$D$10:$D$18,M1055)="","",INDEX(Settings!$D$10:$D$18,M1055)))</f>
        <v/>
      </c>
      <c r="L1055">
        <f>IF(OR(B1055="",E1055=""),"",B1055+MOD(N(C1055),1)+ROW()/10000000)</f>
        <v/>
      </c>
      <c r="M1055">
        <f>IF(D1055="","",IFERROR(MATCH(D1055,Settings!$B$10:$B$18,0),""))</f>
        <v/>
      </c>
      <c r="N1055">
        <f>IF(OR(B1055="",E1055="",M1055=""),"",IF(AND(B1055&gt;=Settings!$C$6,B1055&lt;=Settings!$C$7),M1055*10000+E1055,""))</f>
        <v/>
      </c>
      <c r="O1055">
        <f>IF(OR(B1055="",E1055=""),"",B1055*10000+E1055)</f>
        <v/>
      </c>
      <c r="P1055">
        <f>IF(N1055="","",E1055)</f>
        <v/>
      </c>
    </row>
    <row r="1056">
      <c r="A1056" s="1" t="n"/>
      <c r="B1056" s="20" t="n"/>
      <c r="C1056" s="21" t="n"/>
      <c r="D1056" s="22" t="n"/>
      <c r="E1056" s="23" t="n"/>
      <c r="F1056" s="22" t="n"/>
      <c r="G1056" s="14">
        <f>IF(OR(B1056="",E1056="",J1056="",K1056=""),"",IF(E1056&lt;J1056,"Below",IF(E1056&gt;K1056,"Above","In range")))</f>
        <v/>
      </c>
      <c r="H1056" s="1" t="n"/>
      <c r="J1056">
        <f>IF(M1056="","",IF(INDEX(Settings!$C$10:$C$18,M1056)="","",INDEX(Settings!$C$10:$C$18,M1056)))</f>
        <v/>
      </c>
      <c r="K1056">
        <f>IF(M1056="","",IF(INDEX(Settings!$D$10:$D$18,M1056)="","",INDEX(Settings!$D$10:$D$18,M1056)))</f>
        <v/>
      </c>
      <c r="L1056">
        <f>IF(OR(B1056="",E1056=""),"",B1056+MOD(N(C1056),1)+ROW()/10000000)</f>
        <v/>
      </c>
      <c r="M1056">
        <f>IF(D1056="","",IFERROR(MATCH(D1056,Settings!$B$10:$B$18,0),""))</f>
        <v/>
      </c>
      <c r="N1056">
        <f>IF(OR(B1056="",E1056="",M1056=""),"",IF(AND(B1056&gt;=Settings!$C$6,B1056&lt;=Settings!$C$7),M1056*10000+E1056,""))</f>
        <v/>
      </c>
      <c r="O1056">
        <f>IF(OR(B1056="",E1056=""),"",B1056*10000+E1056)</f>
        <v/>
      </c>
      <c r="P1056">
        <f>IF(N1056="","",E1056)</f>
        <v/>
      </c>
    </row>
    <row r="1057">
      <c r="A1057" s="1" t="n"/>
      <c r="B1057" s="20" t="n"/>
      <c r="C1057" s="21" t="n"/>
      <c r="D1057" s="22" t="n"/>
      <c r="E1057" s="23" t="n"/>
      <c r="F1057" s="22" t="n"/>
      <c r="G1057" s="14">
        <f>IF(OR(B1057="",E1057="",J1057="",K1057=""),"",IF(E1057&lt;J1057,"Below",IF(E1057&gt;K1057,"Above","In range")))</f>
        <v/>
      </c>
      <c r="H1057" s="1" t="n"/>
      <c r="J1057">
        <f>IF(M1057="","",IF(INDEX(Settings!$C$10:$C$18,M1057)="","",INDEX(Settings!$C$10:$C$18,M1057)))</f>
        <v/>
      </c>
      <c r="K1057">
        <f>IF(M1057="","",IF(INDEX(Settings!$D$10:$D$18,M1057)="","",INDEX(Settings!$D$10:$D$18,M1057)))</f>
        <v/>
      </c>
      <c r="L1057">
        <f>IF(OR(B1057="",E1057=""),"",B1057+MOD(N(C1057),1)+ROW()/10000000)</f>
        <v/>
      </c>
      <c r="M1057">
        <f>IF(D1057="","",IFERROR(MATCH(D1057,Settings!$B$10:$B$18,0),""))</f>
        <v/>
      </c>
      <c r="N1057">
        <f>IF(OR(B1057="",E1057="",M1057=""),"",IF(AND(B1057&gt;=Settings!$C$6,B1057&lt;=Settings!$C$7),M1057*10000+E1057,""))</f>
        <v/>
      </c>
      <c r="O1057">
        <f>IF(OR(B1057="",E1057=""),"",B1057*10000+E1057)</f>
        <v/>
      </c>
      <c r="P1057">
        <f>IF(N1057="","",E1057)</f>
        <v/>
      </c>
    </row>
    <row r="1058">
      <c r="A1058" s="1" t="n"/>
      <c r="B1058" s="20" t="n"/>
      <c r="C1058" s="21" t="n"/>
      <c r="D1058" s="22" t="n"/>
      <c r="E1058" s="23" t="n"/>
      <c r="F1058" s="22" t="n"/>
      <c r="G1058" s="14">
        <f>IF(OR(B1058="",E1058="",J1058="",K1058=""),"",IF(E1058&lt;J1058,"Below",IF(E1058&gt;K1058,"Above","In range")))</f>
        <v/>
      </c>
      <c r="H1058" s="1" t="n"/>
      <c r="J1058">
        <f>IF(M1058="","",IF(INDEX(Settings!$C$10:$C$18,M1058)="","",INDEX(Settings!$C$10:$C$18,M1058)))</f>
        <v/>
      </c>
      <c r="K1058">
        <f>IF(M1058="","",IF(INDEX(Settings!$D$10:$D$18,M1058)="","",INDEX(Settings!$D$10:$D$18,M1058)))</f>
        <v/>
      </c>
      <c r="L1058">
        <f>IF(OR(B1058="",E1058=""),"",B1058+MOD(N(C1058),1)+ROW()/10000000)</f>
        <v/>
      </c>
      <c r="M1058">
        <f>IF(D1058="","",IFERROR(MATCH(D1058,Settings!$B$10:$B$18,0),""))</f>
        <v/>
      </c>
      <c r="N1058">
        <f>IF(OR(B1058="",E1058="",M1058=""),"",IF(AND(B1058&gt;=Settings!$C$6,B1058&lt;=Settings!$C$7),M1058*10000+E1058,""))</f>
        <v/>
      </c>
      <c r="O1058">
        <f>IF(OR(B1058="",E1058=""),"",B1058*10000+E1058)</f>
        <v/>
      </c>
      <c r="P1058">
        <f>IF(N1058="","",E1058)</f>
        <v/>
      </c>
    </row>
    <row r="1059">
      <c r="A1059" s="1" t="n"/>
      <c r="B1059" s="20" t="n"/>
      <c r="C1059" s="21" t="n"/>
      <c r="D1059" s="22" t="n"/>
      <c r="E1059" s="23" t="n"/>
      <c r="F1059" s="22" t="n"/>
      <c r="G1059" s="14">
        <f>IF(OR(B1059="",E1059="",J1059="",K1059=""),"",IF(E1059&lt;J1059,"Below",IF(E1059&gt;K1059,"Above","In range")))</f>
        <v/>
      </c>
      <c r="H1059" s="1" t="n"/>
      <c r="J1059">
        <f>IF(M1059="","",IF(INDEX(Settings!$C$10:$C$18,M1059)="","",INDEX(Settings!$C$10:$C$18,M1059)))</f>
        <v/>
      </c>
      <c r="K1059">
        <f>IF(M1059="","",IF(INDEX(Settings!$D$10:$D$18,M1059)="","",INDEX(Settings!$D$10:$D$18,M1059)))</f>
        <v/>
      </c>
      <c r="L1059">
        <f>IF(OR(B1059="",E1059=""),"",B1059+MOD(N(C1059),1)+ROW()/10000000)</f>
        <v/>
      </c>
      <c r="M1059">
        <f>IF(D1059="","",IFERROR(MATCH(D1059,Settings!$B$10:$B$18,0),""))</f>
        <v/>
      </c>
      <c r="N1059">
        <f>IF(OR(B1059="",E1059="",M1059=""),"",IF(AND(B1059&gt;=Settings!$C$6,B1059&lt;=Settings!$C$7),M1059*10000+E1059,""))</f>
        <v/>
      </c>
      <c r="O1059">
        <f>IF(OR(B1059="",E1059=""),"",B1059*10000+E1059)</f>
        <v/>
      </c>
      <c r="P1059">
        <f>IF(N1059="","",E1059)</f>
        <v/>
      </c>
    </row>
    <row r="1060">
      <c r="A1060" s="1" t="n"/>
      <c r="B1060" s="20" t="n"/>
      <c r="C1060" s="21" t="n"/>
      <c r="D1060" s="22" t="n"/>
      <c r="E1060" s="23" t="n"/>
      <c r="F1060" s="22" t="n"/>
      <c r="G1060" s="14">
        <f>IF(OR(B1060="",E1060="",J1060="",K1060=""),"",IF(E1060&lt;J1060,"Below",IF(E1060&gt;K1060,"Above","In range")))</f>
        <v/>
      </c>
      <c r="H1060" s="1" t="n"/>
      <c r="J1060">
        <f>IF(M1060="","",IF(INDEX(Settings!$C$10:$C$18,M1060)="","",INDEX(Settings!$C$10:$C$18,M1060)))</f>
        <v/>
      </c>
      <c r="K1060">
        <f>IF(M1060="","",IF(INDEX(Settings!$D$10:$D$18,M1060)="","",INDEX(Settings!$D$10:$D$18,M1060)))</f>
        <v/>
      </c>
      <c r="L1060">
        <f>IF(OR(B1060="",E1060=""),"",B1060+MOD(N(C1060),1)+ROW()/10000000)</f>
        <v/>
      </c>
      <c r="M1060">
        <f>IF(D1060="","",IFERROR(MATCH(D1060,Settings!$B$10:$B$18,0),""))</f>
        <v/>
      </c>
      <c r="N1060">
        <f>IF(OR(B1060="",E1060="",M1060=""),"",IF(AND(B1060&gt;=Settings!$C$6,B1060&lt;=Settings!$C$7),M1060*10000+E1060,""))</f>
        <v/>
      </c>
      <c r="O1060">
        <f>IF(OR(B1060="",E1060=""),"",B1060*10000+E1060)</f>
        <v/>
      </c>
      <c r="P1060">
        <f>IF(N1060="","",E1060)</f>
        <v/>
      </c>
    </row>
    <row r="1061">
      <c r="A1061" s="1" t="n"/>
      <c r="B1061" s="20" t="n"/>
      <c r="C1061" s="21" t="n"/>
      <c r="D1061" s="22" t="n"/>
      <c r="E1061" s="23" t="n"/>
      <c r="F1061" s="22" t="n"/>
      <c r="G1061" s="14">
        <f>IF(OR(B1061="",E1061="",J1061="",K1061=""),"",IF(E1061&lt;J1061,"Below",IF(E1061&gt;K1061,"Above","In range")))</f>
        <v/>
      </c>
      <c r="H1061" s="1" t="n"/>
      <c r="J1061">
        <f>IF(M1061="","",IF(INDEX(Settings!$C$10:$C$18,M1061)="","",INDEX(Settings!$C$10:$C$18,M1061)))</f>
        <v/>
      </c>
      <c r="K1061">
        <f>IF(M1061="","",IF(INDEX(Settings!$D$10:$D$18,M1061)="","",INDEX(Settings!$D$10:$D$18,M1061)))</f>
        <v/>
      </c>
      <c r="L1061">
        <f>IF(OR(B1061="",E1061=""),"",B1061+MOD(N(C1061),1)+ROW()/10000000)</f>
        <v/>
      </c>
      <c r="M1061">
        <f>IF(D1061="","",IFERROR(MATCH(D1061,Settings!$B$10:$B$18,0),""))</f>
        <v/>
      </c>
      <c r="N1061">
        <f>IF(OR(B1061="",E1061="",M1061=""),"",IF(AND(B1061&gt;=Settings!$C$6,B1061&lt;=Settings!$C$7),M1061*10000+E1061,""))</f>
        <v/>
      </c>
      <c r="O1061">
        <f>IF(OR(B1061="",E1061=""),"",B1061*10000+E1061)</f>
        <v/>
      </c>
      <c r="P1061">
        <f>IF(N1061="","",E1061)</f>
        <v/>
      </c>
    </row>
    <row r="1062">
      <c r="A1062" s="1" t="n"/>
      <c r="B1062" s="20" t="n"/>
      <c r="C1062" s="21" t="n"/>
      <c r="D1062" s="22" t="n"/>
      <c r="E1062" s="23" t="n"/>
      <c r="F1062" s="22" t="n"/>
      <c r="G1062" s="14">
        <f>IF(OR(B1062="",E1062="",J1062="",K1062=""),"",IF(E1062&lt;J1062,"Below",IF(E1062&gt;K1062,"Above","In range")))</f>
        <v/>
      </c>
      <c r="H1062" s="1" t="n"/>
      <c r="J1062">
        <f>IF(M1062="","",IF(INDEX(Settings!$C$10:$C$18,M1062)="","",INDEX(Settings!$C$10:$C$18,M1062)))</f>
        <v/>
      </c>
      <c r="K1062">
        <f>IF(M1062="","",IF(INDEX(Settings!$D$10:$D$18,M1062)="","",INDEX(Settings!$D$10:$D$18,M1062)))</f>
        <v/>
      </c>
      <c r="L1062">
        <f>IF(OR(B1062="",E1062=""),"",B1062+MOD(N(C1062),1)+ROW()/10000000)</f>
        <v/>
      </c>
      <c r="M1062">
        <f>IF(D1062="","",IFERROR(MATCH(D1062,Settings!$B$10:$B$18,0),""))</f>
        <v/>
      </c>
      <c r="N1062">
        <f>IF(OR(B1062="",E1062="",M1062=""),"",IF(AND(B1062&gt;=Settings!$C$6,B1062&lt;=Settings!$C$7),M1062*10000+E1062,""))</f>
        <v/>
      </c>
      <c r="O1062">
        <f>IF(OR(B1062="",E1062=""),"",B1062*10000+E1062)</f>
        <v/>
      </c>
      <c r="P1062">
        <f>IF(N1062="","",E1062)</f>
        <v/>
      </c>
    </row>
    <row r="1063">
      <c r="A1063" s="1" t="n"/>
      <c r="B1063" s="20" t="n"/>
      <c r="C1063" s="21" t="n"/>
      <c r="D1063" s="22" t="n"/>
      <c r="E1063" s="23" t="n"/>
      <c r="F1063" s="22" t="n"/>
      <c r="G1063" s="14">
        <f>IF(OR(B1063="",E1063="",J1063="",K1063=""),"",IF(E1063&lt;J1063,"Below",IF(E1063&gt;K1063,"Above","In range")))</f>
        <v/>
      </c>
      <c r="H1063" s="1" t="n"/>
      <c r="J1063">
        <f>IF(M1063="","",IF(INDEX(Settings!$C$10:$C$18,M1063)="","",INDEX(Settings!$C$10:$C$18,M1063)))</f>
        <v/>
      </c>
      <c r="K1063">
        <f>IF(M1063="","",IF(INDEX(Settings!$D$10:$D$18,M1063)="","",INDEX(Settings!$D$10:$D$18,M1063)))</f>
        <v/>
      </c>
      <c r="L1063">
        <f>IF(OR(B1063="",E1063=""),"",B1063+MOD(N(C1063),1)+ROW()/10000000)</f>
        <v/>
      </c>
      <c r="M1063">
        <f>IF(D1063="","",IFERROR(MATCH(D1063,Settings!$B$10:$B$18,0),""))</f>
        <v/>
      </c>
      <c r="N1063">
        <f>IF(OR(B1063="",E1063="",M1063=""),"",IF(AND(B1063&gt;=Settings!$C$6,B1063&lt;=Settings!$C$7),M1063*10000+E1063,""))</f>
        <v/>
      </c>
      <c r="O1063">
        <f>IF(OR(B1063="",E1063=""),"",B1063*10000+E1063)</f>
        <v/>
      </c>
      <c r="P1063">
        <f>IF(N1063="","",E1063)</f>
        <v/>
      </c>
    </row>
    <row r="1064">
      <c r="A1064" s="1" t="n"/>
      <c r="B1064" s="20" t="n"/>
      <c r="C1064" s="21" t="n"/>
      <c r="D1064" s="22" t="n"/>
      <c r="E1064" s="23" t="n"/>
      <c r="F1064" s="22" t="n"/>
      <c r="G1064" s="14">
        <f>IF(OR(B1064="",E1064="",J1064="",K1064=""),"",IF(E1064&lt;J1064,"Below",IF(E1064&gt;K1064,"Above","In range")))</f>
        <v/>
      </c>
      <c r="H1064" s="1" t="n"/>
      <c r="J1064">
        <f>IF(M1064="","",IF(INDEX(Settings!$C$10:$C$18,M1064)="","",INDEX(Settings!$C$10:$C$18,M1064)))</f>
        <v/>
      </c>
      <c r="K1064">
        <f>IF(M1064="","",IF(INDEX(Settings!$D$10:$D$18,M1064)="","",INDEX(Settings!$D$10:$D$18,M1064)))</f>
        <v/>
      </c>
      <c r="L1064">
        <f>IF(OR(B1064="",E1064=""),"",B1064+MOD(N(C1064),1)+ROW()/10000000)</f>
        <v/>
      </c>
      <c r="M1064">
        <f>IF(D1064="","",IFERROR(MATCH(D1064,Settings!$B$10:$B$18,0),""))</f>
        <v/>
      </c>
      <c r="N1064">
        <f>IF(OR(B1064="",E1064="",M1064=""),"",IF(AND(B1064&gt;=Settings!$C$6,B1064&lt;=Settings!$C$7),M1064*10000+E1064,""))</f>
        <v/>
      </c>
      <c r="O1064">
        <f>IF(OR(B1064="",E1064=""),"",B1064*10000+E1064)</f>
        <v/>
      </c>
      <c r="P1064">
        <f>IF(N1064="","",E1064)</f>
        <v/>
      </c>
    </row>
    <row r="1065">
      <c r="A1065" s="1" t="n"/>
      <c r="B1065" s="20" t="n"/>
      <c r="C1065" s="21" t="n"/>
      <c r="D1065" s="22" t="n"/>
      <c r="E1065" s="23" t="n"/>
      <c r="F1065" s="22" t="n"/>
      <c r="G1065" s="14">
        <f>IF(OR(B1065="",E1065="",J1065="",K1065=""),"",IF(E1065&lt;J1065,"Below",IF(E1065&gt;K1065,"Above","In range")))</f>
        <v/>
      </c>
      <c r="H1065" s="1" t="n"/>
      <c r="J1065">
        <f>IF(M1065="","",IF(INDEX(Settings!$C$10:$C$18,M1065)="","",INDEX(Settings!$C$10:$C$18,M1065)))</f>
        <v/>
      </c>
      <c r="K1065">
        <f>IF(M1065="","",IF(INDEX(Settings!$D$10:$D$18,M1065)="","",INDEX(Settings!$D$10:$D$18,M1065)))</f>
        <v/>
      </c>
      <c r="L1065">
        <f>IF(OR(B1065="",E1065=""),"",B1065+MOD(N(C1065),1)+ROW()/10000000)</f>
        <v/>
      </c>
      <c r="M1065">
        <f>IF(D1065="","",IFERROR(MATCH(D1065,Settings!$B$10:$B$18,0),""))</f>
        <v/>
      </c>
      <c r="N1065">
        <f>IF(OR(B1065="",E1065="",M1065=""),"",IF(AND(B1065&gt;=Settings!$C$6,B1065&lt;=Settings!$C$7),M1065*10000+E1065,""))</f>
        <v/>
      </c>
      <c r="O1065">
        <f>IF(OR(B1065="",E1065=""),"",B1065*10000+E1065)</f>
        <v/>
      </c>
      <c r="P1065">
        <f>IF(N1065="","",E1065)</f>
        <v/>
      </c>
    </row>
    <row r="1066">
      <c r="A1066" s="1" t="n"/>
      <c r="B1066" s="20" t="n"/>
      <c r="C1066" s="21" t="n"/>
      <c r="D1066" s="22" t="n"/>
      <c r="E1066" s="23" t="n"/>
      <c r="F1066" s="22" t="n"/>
      <c r="G1066" s="14">
        <f>IF(OR(B1066="",E1066="",J1066="",K1066=""),"",IF(E1066&lt;J1066,"Below",IF(E1066&gt;K1066,"Above","In range")))</f>
        <v/>
      </c>
      <c r="H1066" s="1" t="n"/>
      <c r="J1066">
        <f>IF(M1066="","",IF(INDEX(Settings!$C$10:$C$18,M1066)="","",INDEX(Settings!$C$10:$C$18,M1066)))</f>
        <v/>
      </c>
      <c r="K1066">
        <f>IF(M1066="","",IF(INDEX(Settings!$D$10:$D$18,M1066)="","",INDEX(Settings!$D$10:$D$18,M1066)))</f>
        <v/>
      </c>
      <c r="L1066">
        <f>IF(OR(B1066="",E1066=""),"",B1066+MOD(N(C1066),1)+ROW()/10000000)</f>
        <v/>
      </c>
      <c r="M1066">
        <f>IF(D1066="","",IFERROR(MATCH(D1066,Settings!$B$10:$B$18,0),""))</f>
        <v/>
      </c>
      <c r="N1066">
        <f>IF(OR(B1066="",E1066="",M1066=""),"",IF(AND(B1066&gt;=Settings!$C$6,B1066&lt;=Settings!$C$7),M1066*10000+E1066,""))</f>
        <v/>
      </c>
      <c r="O1066">
        <f>IF(OR(B1066="",E1066=""),"",B1066*10000+E1066)</f>
        <v/>
      </c>
      <c r="P1066">
        <f>IF(N1066="","",E1066)</f>
        <v/>
      </c>
    </row>
    <row r="1067">
      <c r="A1067" s="1" t="n"/>
      <c r="B1067" s="20" t="n"/>
      <c r="C1067" s="21" t="n"/>
      <c r="D1067" s="22" t="n"/>
      <c r="E1067" s="23" t="n"/>
      <c r="F1067" s="22" t="n"/>
      <c r="G1067" s="14">
        <f>IF(OR(B1067="",E1067="",J1067="",K1067=""),"",IF(E1067&lt;J1067,"Below",IF(E1067&gt;K1067,"Above","In range")))</f>
        <v/>
      </c>
      <c r="H1067" s="1" t="n"/>
      <c r="J1067">
        <f>IF(M1067="","",IF(INDEX(Settings!$C$10:$C$18,M1067)="","",INDEX(Settings!$C$10:$C$18,M1067)))</f>
        <v/>
      </c>
      <c r="K1067">
        <f>IF(M1067="","",IF(INDEX(Settings!$D$10:$D$18,M1067)="","",INDEX(Settings!$D$10:$D$18,M1067)))</f>
        <v/>
      </c>
      <c r="L1067">
        <f>IF(OR(B1067="",E1067=""),"",B1067+MOD(N(C1067),1)+ROW()/10000000)</f>
        <v/>
      </c>
      <c r="M1067">
        <f>IF(D1067="","",IFERROR(MATCH(D1067,Settings!$B$10:$B$18,0),""))</f>
        <v/>
      </c>
      <c r="N1067">
        <f>IF(OR(B1067="",E1067="",M1067=""),"",IF(AND(B1067&gt;=Settings!$C$6,B1067&lt;=Settings!$C$7),M1067*10000+E1067,""))</f>
        <v/>
      </c>
      <c r="O1067">
        <f>IF(OR(B1067="",E1067=""),"",B1067*10000+E1067)</f>
        <v/>
      </c>
      <c r="P1067">
        <f>IF(N1067="","",E1067)</f>
        <v/>
      </c>
    </row>
    <row r="1068">
      <c r="A1068" s="1" t="n"/>
      <c r="B1068" s="20" t="n"/>
      <c r="C1068" s="21" t="n"/>
      <c r="D1068" s="22" t="n"/>
      <c r="E1068" s="23" t="n"/>
      <c r="F1068" s="22" t="n"/>
      <c r="G1068" s="14">
        <f>IF(OR(B1068="",E1068="",J1068="",K1068=""),"",IF(E1068&lt;J1068,"Below",IF(E1068&gt;K1068,"Above","In range")))</f>
        <v/>
      </c>
      <c r="H1068" s="1" t="n"/>
      <c r="J1068">
        <f>IF(M1068="","",IF(INDEX(Settings!$C$10:$C$18,M1068)="","",INDEX(Settings!$C$10:$C$18,M1068)))</f>
        <v/>
      </c>
      <c r="K1068">
        <f>IF(M1068="","",IF(INDEX(Settings!$D$10:$D$18,M1068)="","",INDEX(Settings!$D$10:$D$18,M1068)))</f>
        <v/>
      </c>
      <c r="L1068">
        <f>IF(OR(B1068="",E1068=""),"",B1068+MOD(N(C1068),1)+ROW()/10000000)</f>
        <v/>
      </c>
      <c r="M1068">
        <f>IF(D1068="","",IFERROR(MATCH(D1068,Settings!$B$10:$B$18,0),""))</f>
        <v/>
      </c>
      <c r="N1068">
        <f>IF(OR(B1068="",E1068="",M1068=""),"",IF(AND(B1068&gt;=Settings!$C$6,B1068&lt;=Settings!$C$7),M1068*10000+E1068,""))</f>
        <v/>
      </c>
      <c r="O1068">
        <f>IF(OR(B1068="",E1068=""),"",B1068*10000+E1068)</f>
        <v/>
      </c>
      <c r="P1068">
        <f>IF(N1068="","",E1068)</f>
        <v/>
      </c>
    </row>
    <row r="1069">
      <c r="A1069" s="1" t="n"/>
      <c r="B1069" s="20" t="n"/>
      <c r="C1069" s="21" t="n"/>
      <c r="D1069" s="22" t="n"/>
      <c r="E1069" s="23" t="n"/>
      <c r="F1069" s="22" t="n"/>
      <c r="G1069" s="14">
        <f>IF(OR(B1069="",E1069="",J1069="",K1069=""),"",IF(E1069&lt;J1069,"Below",IF(E1069&gt;K1069,"Above","In range")))</f>
        <v/>
      </c>
      <c r="H1069" s="1" t="n"/>
      <c r="J1069">
        <f>IF(M1069="","",IF(INDEX(Settings!$C$10:$C$18,M1069)="","",INDEX(Settings!$C$10:$C$18,M1069)))</f>
        <v/>
      </c>
      <c r="K1069">
        <f>IF(M1069="","",IF(INDEX(Settings!$D$10:$D$18,M1069)="","",INDEX(Settings!$D$10:$D$18,M1069)))</f>
        <v/>
      </c>
      <c r="L1069">
        <f>IF(OR(B1069="",E1069=""),"",B1069+MOD(N(C1069),1)+ROW()/10000000)</f>
        <v/>
      </c>
      <c r="M1069">
        <f>IF(D1069="","",IFERROR(MATCH(D1069,Settings!$B$10:$B$18,0),""))</f>
        <v/>
      </c>
      <c r="N1069">
        <f>IF(OR(B1069="",E1069="",M1069=""),"",IF(AND(B1069&gt;=Settings!$C$6,B1069&lt;=Settings!$C$7),M1069*10000+E1069,""))</f>
        <v/>
      </c>
      <c r="O1069">
        <f>IF(OR(B1069="",E1069=""),"",B1069*10000+E1069)</f>
        <v/>
      </c>
      <c r="P1069">
        <f>IF(N1069="","",E1069)</f>
        <v/>
      </c>
    </row>
    <row r="1070">
      <c r="A1070" s="1" t="n"/>
      <c r="B1070" s="20" t="n"/>
      <c r="C1070" s="21" t="n"/>
      <c r="D1070" s="22" t="n"/>
      <c r="E1070" s="23" t="n"/>
      <c r="F1070" s="22" t="n"/>
      <c r="G1070" s="14">
        <f>IF(OR(B1070="",E1070="",J1070="",K1070=""),"",IF(E1070&lt;J1070,"Below",IF(E1070&gt;K1070,"Above","In range")))</f>
        <v/>
      </c>
      <c r="H1070" s="1" t="n"/>
      <c r="J1070">
        <f>IF(M1070="","",IF(INDEX(Settings!$C$10:$C$18,M1070)="","",INDEX(Settings!$C$10:$C$18,M1070)))</f>
        <v/>
      </c>
      <c r="K1070">
        <f>IF(M1070="","",IF(INDEX(Settings!$D$10:$D$18,M1070)="","",INDEX(Settings!$D$10:$D$18,M1070)))</f>
        <v/>
      </c>
      <c r="L1070">
        <f>IF(OR(B1070="",E1070=""),"",B1070+MOD(N(C1070),1)+ROW()/10000000)</f>
        <v/>
      </c>
      <c r="M1070">
        <f>IF(D1070="","",IFERROR(MATCH(D1070,Settings!$B$10:$B$18,0),""))</f>
        <v/>
      </c>
      <c r="N1070">
        <f>IF(OR(B1070="",E1070="",M1070=""),"",IF(AND(B1070&gt;=Settings!$C$6,B1070&lt;=Settings!$C$7),M1070*10000+E1070,""))</f>
        <v/>
      </c>
      <c r="O1070">
        <f>IF(OR(B1070="",E1070=""),"",B1070*10000+E1070)</f>
        <v/>
      </c>
      <c r="P1070">
        <f>IF(N1070="","",E1070)</f>
        <v/>
      </c>
    </row>
    <row r="1071">
      <c r="A1071" s="1" t="n"/>
      <c r="B1071" s="20" t="n"/>
      <c r="C1071" s="21" t="n"/>
      <c r="D1071" s="22" t="n"/>
      <c r="E1071" s="23" t="n"/>
      <c r="F1071" s="22" t="n"/>
      <c r="G1071" s="14">
        <f>IF(OR(B1071="",E1071="",J1071="",K1071=""),"",IF(E1071&lt;J1071,"Below",IF(E1071&gt;K1071,"Above","In range")))</f>
        <v/>
      </c>
      <c r="H1071" s="1" t="n"/>
      <c r="J1071">
        <f>IF(M1071="","",IF(INDEX(Settings!$C$10:$C$18,M1071)="","",INDEX(Settings!$C$10:$C$18,M1071)))</f>
        <v/>
      </c>
      <c r="K1071">
        <f>IF(M1071="","",IF(INDEX(Settings!$D$10:$D$18,M1071)="","",INDEX(Settings!$D$10:$D$18,M1071)))</f>
        <v/>
      </c>
      <c r="L1071">
        <f>IF(OR(B1071="",E1071=""),"",B1071+MOD(N(C1071),1)+ROW()/10000000)</f>
        <v/>
      </c>
      <c r="M1071">
        <f>IF(D1071="","",IFERROR(MATCH(D1071,Settings!$B$10:$B$18,0),""))</f>
        <v/>
      </c>
      <c r="N1071">
        <f>IF(OR(B1071="",E1071="",M1071=""),"",IF(AND(B1071&gt;=Settings!$C$6,B1071&lt;=Settings!$C$7),M1071*10000+E1071,""))</f>
        <v/>
      </c>
      <c r="O1071">
        <f>IF(OR(B1071="",E1071=""),"",B1071*10000+E1071)</f>
        <v/>
      </c>
      <c r="P1071">
        <f>IF(N1071="","",E1071)</f>
        <v/>
      </c>
    </row>
    <row r="1072">
      <c r="A1072" s="1" t="n"/>
      <c r="B1072" s="20" t="n"/>
      <c r="C1072" s="21" t="n"/>
      <c r="D1072" s="22" t="n"/>
      <c r="E1072" s="23" t="n"/>
      <c r="F1072" s="22" t="n"/>
      <c r="G1072" s="14">
        <f>IF(OR(B1072="",E1072="",J1072="",K1072=""),"",IF(E1072&lt;J1072,"Below",IF(E1072&gt;K1072,"Above","In range")))</f>
        <v/>
      </c>
      <c r="H1072" s="1" t="n"/>
      <c r="J1072">
        <f>IF(M1072="","",IF(INDEX(Settings!$C$10:$C$18,M1072)="","",INDEX(Settings!$C$10:$C$18,M1072)))</f>
        <v/>
      </c>
      <c r="K1072">
        <f>IF(M1072="","",IF(INDEX(Settings!$D$10:$D$18,M1072)="","",INDEX(Settings!$D$10:$D$18,M1072)))</f>
        <v/>
      </c>
      <c r="L1072">
        <f>IF(OR(B1072="",E1072=""),"",B1072+MOD(N(C1072),1)+ROW()/10000000)</f>
        <v/>
      </c>
      <c r="M1072">
        <f>IF(D1072="","",IFERROR(MATCH(D1072,Settings!$B$10:$B$18,0),""))</f>
        <v/>
      </c>
      <c r="N1072">
        <f>IF(OR(B1072="",E1072="",M1072=""),"",IF(AND(B1072&gt;=Settings!$C$6,B1072&lt;=Settings!$C$7),M1072*10000+E1072,""))</f>
        <v/>
      </c>
      <c r="O1072">
        <f>IF(OR(B1072="",E1072=""),"",B1072*10000+E1072)</f>
        <v/>
      </c>
      <c r="P1072">
        <f>IF(N1072="","",E1072)</f>
        <v/>
      </c>
    </row>
    <row r="1073">
      <c r="A1073" s="1" t="n"/>
      <c r="B1073" s="20" t="n"/>
      <c r="C1073" s="21" t="n"/>
      <c r="D1073" s="22" t="n"/>
      <c r="E1073" s="23" t="n"/>
      <c r="F1073" s="22" t="n"/>
      <c r="G1073" s="14">
        <f>IF(OR(B1073="",E1073="",J1073="",K1073=""),"",IF(E1073&lt;J1073,"Below",IF(E1073&gt;K1073,"Above","In range")))</f>
        <v/>
      </c>
      <c r="H1073" s="1" t="n"/>
      <c r="J1073">
        <f>IF(M1073="","",IF(INDEX(Settings!$C$10:$C$18,M1073)="","",INDEX(Settings!$C$10:$C$18,M1073)))</f>
        <v/>
      </c>
      <c r="K1073">
        <f>IF(M1073="","",IF(INDEX(Settings!$D$10:$D$18,M1073)="","",INDEX(Settings!$D$10:$D$18,M1073)))</f>
        <v/>
      </c>
      <c r="L1073">
        <f>IF(OR(B1073="",E1073=""),"",B1073+MOD(N(C1073),1)+ROW()/10000000)</f>
        <v/>
      </c>
      <c r="M1073">
        <f>IF(D1073="","",IFERROR(MATCH(D1073,Settings!$B$10:$B$18,0),""))</f>
        <v/>
      </c>
      <c r="N1073">
        <f>IF(OR(B1073="",E1073="",M1073=""),"",IF(AND(B1073&gt;=Settings!$C$6,B1073&lt;=Settings!$C$7),M1073*10000+E1073,""))</f>
        <v/>
      </c>
      <c r="O1073">
        <f>IF(OR(B1073="",E1073=""),"",B1073*10000+E1073)</f>
        <v/>
      </c>
      <c r="P1073">
        <f>IF(N1073="","",E1073)</f>
        <v/>
      </c>
    </row>
    <row r="1074">
      <c r="A1074" s="1" t="n"/>
      <c r="B1074" s="20" t="n"/>
      <c r="C1074" s="21" t="n"/>
      <c r="D1074" s="22" t="n"/>
      <c r="E1074" s="23" t="n"/>
      <c r="F1074" s="22" t="n"/>
      <c r="G1074" s="14">
        <f>IF(OR(B1074="",E1074="",J1074="",K1074=""),"",IF(E1074&lt;J1074,"Below",IF(E1074&gt;K1074,"Above","In range")))</f>
        <v/>
      </c>
      <c r="H1074" s="1" t="n"/>
      <c r="J1074">
        <f>IF(M1074="","",IF(INDEX(Settings!$C$10:$C$18,M1074)="","",INDEX(Settings!$C$10:$C$18,M1074)))</f>
        <v/>
      </c>
      <c r="K1074">
        <f>IF(M1074="","",IF(INDEX(Settings!$D$10:$D$18,M1074)="","",INDEX(Settings!$D$10:$D$18,M1074)))</f>
        <v/>
      </c>
      <c r="L1074">
        <f>IF(OR(B1074="",E1074=""),"",B1074+MOD(N(C1074),1)+ROW()/10000000)</f>
        <v/>
      </c>
      <c r="M1074">
        <f>IF(D1074="","",IFERROR(MATCH(D1074,Settings!$B$10:$B$18,0),""))</f>
        <v/>
      </c>
      <c r="N1074">
        <f>IF(OR(B1074="",E1074="",M1074=""),"",IF(AND(B1074&gt;=Settings!$C$6,B1074&lt;=Settings!$C$7),M1074*10000+E1074,""))</f>
        <v/>
      </c>
      <c r="O1074">
        <f>IF(OR(B1074="",E1074=""),"",B1074*10000+E1074)</f>
        <v/>
      </c>
      <c r="P1074">
        <f>IF(N1074="","",E1074)</f>
        <v/>
      </c>
    </row>
    <row r="1075">
      <c r="A1075" s="1" t="n"/>
      <c r="B1075" s="20" t="n"/>
      <c r="C1075" s="21" t="n"/>
      <c r="D1075" s="22" t="n"/>
      <c r="E1075" s="23" t="n"/>
      <c r="F1075" s="22" t="n"/>
      <c r="G1075" s="14">
        <f>IF(OR(B1075="",E1075="",J1075="",K1075=""),"",IF(E1075&lt;J1075,"Below",IF(E1075&gt;K1075,"Above","In range")))</f>
        <v/>
      </c>
      <c r="H1075" s="1" t="n"/>
      <c r="J1075">
        <f>IF(M1075="","",IF(INDEX(Settings!$C$10:$C$18,M1075)="","",INDEX(Settings!$C$10:$C$18,M1075)))</f>
        <v/>
      </c>
      <c r="K1075">
        <f>IF(M1075="","",IF(INDEX(Settings!$D$10:$D$18,M1075)="","",INDEX(Settings!$D$10:$D$18,M1075)))</f>
        <v/>
      </c>
      <c r="L1075">
        <f>IF(OR(B1075="",E1075=""),"",B1075+MOD(N(C1075),1)+ROW()/10000000)</f>
        <v/>
      </c>
      <c r="M1075">
        <f>IF(D1075="","",IFERROR(MATCH(D1075,Settings!$B$10:$B$18,0),""))</f>
        <v/>
      </c>
      <c r="N1075">
        <f>IF(OR(B1075="",E1075="",M1075=""),"",IF(AND(B1075&gt;=Settings!$C$6,B1075&lt;=Settings!$C$7),M1075*10000+E1075,""))</f>
        <v/>
      </c>
      <c r="O1075">
        <f>IF(OR(B1075="",E1075=""),"",B1075*10000+E1075)</f>
        <v/>
      </c>
      <c r="P1075">
        <f>IF(N1075="","",E1075)</f>
        <v/>
      </c>
    </row>
    <row r="1076">
      <c r="A1076" s="1" t="n"/>
      <c r="B1076" s="20" t="n"/>
      <c r="C1076" s="21" t="n"/>
      <c r="D1076" s="22" t="n"/>
      <c r="E1076" s="23" t="n"/>
      <c r="F1076" s="22" t="n"/>
      <c r="G1076" s="14">
        <f>IF(OR(B1076="",E1076="",J1076="",K1076=""),"",IF(E1076&lt;J1076,"Below",IF(E1076&gt;K1076,"Above","In range")))</f>
        <v/>
      </c>
      <c r="H1076" s="1" t="n"/>
      <c r="J1076">
        <f>IF(M1076="","",IF(INDEX(Settings!$C$10:$C$18,M1076)="","",INDEX(Settings!$C$10:$C$18,M1076)))</f>
        <v/>
      </c>
      <c r="K1076">
        <f>IF(M1076="","",IF(INDEX(Settings!$D$10:$D$18,M1076)="","",INDEX(Settings!$D$10:$D$18,M1076)))</f>
        <v/>
      </c>
      <c r="L1076">
        <f>IF(OR(B1076="",E1076=""),"",B1076+MOD(N(C1076),1)+ROW()/10000000)</f>
        <v/>
      </c>
      <c r="M1076">
        <f>IF(D1076="","",IFERROR(MATCH(D1076,Settings!$B$10:$B$18,0),""))</f>
        <v/>
      </c>
      <c r="N1076">
        <f>IF(OR(B1076="",E1076="",M1076=""),"",IF(AND(B1076&gt;=Settings!$C$6,B1076&lt;=Settings!$C$7),M1076*10000+E1076,""))</f>
        <v/>
      </c>
      <c r="O1076">
        <f>IF(OR(B1076="",E1076=""),"",B1076*10000+E1076)</f>
        <v/>
      </c>
      <c r="P1076">
        <f>IF(N1076="","",E1076)</f>
        <v/>
      </c>
    </row>
    <row r="1077">
      <c r="A1077" s="1" t="n"/>
      <c r="B1077" s="20" t="n"/>
      <c r="C1077" s="21" t="n"/>
      <c r="D1077" s="22" t="n"/>
      <c r="E1077" s="23" t="n"/>
      <c r="F1077" s="22" t="n"/>
      <c r="G1077" s="14">
        <f>IF(OR(B1077="",E1077="",J1077="",K1077=""),"",IF(E1077&lt;J1077,"Below",IF(E1077&gt;K1077,"Above","In range")))</f>
        <v/>
      </c>
      <c r="H1077" s="1" t="n"/>
      <c r="J1077">
        <f>IF(M1077="","",IF(INDEX(Settings!$C$10:$C$18,M1077)="","",INDEX(Settings!$C$10:$C$18,M1077)))</f>
        <v/>
      </c>
      <c r="K1077">
        <f>IF(M1077="","",IF(INDEX(Settings!$D$10:$D$18,M1077)="","",INDEX(Settings!$D$10:$D$18,M1077)))</f>
        <v/>
      </c>
      <c r="L1077">
        <f>IF(OR(B1077="",E1077=""),"",B1077+MOD(N(C1077),1)+ROW()/10000000)</f>
        <v/>
      </c>
      <c r="M1077">
        <f>IF(D1077="","",IFERROR(MATCH(D1077,Settings!$B$10:$B$18,0),""))</f>
        <v/>
      </c>
      <c r="N1077">
        <f>IF(OR(B1077="",E1077="",M1077=""),"",IF(AND(B1077&gt;=Settings!$C$6,B1077&lt;=Settings!$C$7),M1077*10000+E1077,""))</f>
        <v/>
      </c>
      <c r="O1077">
        <f>IF(OR(B1077="",E1077=""),"",B1077*10000+E1077)</f>
        <v/>
      </c>
      <c r="P1077">
        <f>IF(N1077="","",E1077)</f>
        <v/>
      </c>
    </row>
    <row r="1078">
      <c r="A1078" s="1" t="n"/>
      <c r="B1078" s="20" t="n"/>
      <c r="C1078" s="21" t="n"/>
      <c r="D1078" s="22" t="n"/>
      <c r="E1078" s="23" t="n"/>
      <c r="F1078" s="22" t="n"/>
      <c r="G1078" s="14">
        <f>IF(OR(B1078="",E1078="",J1078="",K1078=""),"",IF(E1078&lt;J1078,"Below",IF(E1078&gt;K1078,"Above","In range")))</f>
        <v/>
      </c>
      <c r="H1078" s="1" t="n"/>
      <c r="J1078">
        <f>IF(M1078="","",IF(INDEX(Settings!$C$10:$C$18,M1078)="","",INDEX(Settings!$C$10:$C$18,M1078)))</f>
        <v/>
      </c>
      <c r="K1078">
        <f>IF(M1078="","",IF(INDEX(Settings!$D$10:$D$18,M1078)="","",INDEX(Settings!$D$10:$D$18,M1078)))</f>
        <v/>
      </c>
      <c r="L1078">
        <f>IF(OR(B1078="",E1078=""),"",B1078+MOD(N(C1078),1)+ROW()/10000000)</f>
        <v/>
      </c>
      <c r="M1078">
        <f>IF(D1078="","",IFERROR(MATCH(D1078,Settings!$B$10:$B$18,0),""))</f>
        <v/>
      </c>
      <c r="N1078">
        <f>IF(OR(B1078="",E1078="",M1078=""),"",IF(AND(B1078&gt;=Settings!$C$6,B1078&lt;=Settings!$C$7),M1078*10000+E1078,""))</f>
        <v/>
      </c>
      <c r="O1078">
        <f>IF(OR(B1078="",E1078=""),"",B1078*10000+E1078)</f>
        <v/>
      </c>
      <c r="P1078">
        <f>IF(N1078="","",E1078)</f>
        <v/>
      </c>
    </row>
    <row r="1079">
      <c r="A1079" s="1" t="n"/>
      <c r="B1079" s="20" t="n"/>
      <c r="C1079" s="21" t="n"/>
      <c r="D1079" s="22" t="n"/>
      <c r="E1079" s="23" t="n"/>
      <c r="F1079" s="22" t="n"/>
      <c r="G1079" s="14">
        <f>IF(OR(B1079="",E1079="",J1079="",K1079=""),"",IF(E1079&lt;J1079,"Below",IF(E1079&gt;K1079,"Above","In range")))</f>
        <v/>
      </c>
      <c r="H1079" s="1" t="n"/>
      <c r="J1079">
        <f>IF(M1079="","",IF(INDEX(Settings!$C$10:$C$18,M1079)="","",INDEX(Settings!$C$10:$C$18,M1079)))</f>
        <v/>
      </c>
      <c r="K1079">
        <f>IF(M1079="","",IF(INDEX(Settings!$D$10:$D$18,M1079)="","",INDEX(Settings!$D$10:$D$18,M1079)))</f>
        <v/>
      </c>
      <c r="L1079">
        <f>IF(OR(B1079="",E1079=""),"",B1079+MOD(N(C1079),1)+ROW()/10000000)</f>
        <v/>
      </c>
      <c r="M1079">
        <f>IF(D1079="","",IFERROR(MATCH(D1079,Settings!$B$10:$B$18,0),""))</f>
        <v/>
      </c>
      <c r="N1079">
        <f>IF(OR(B1079="",E1079="",M1079=""),"",IF(AND(B1079&gt;=Settings!$C$6,B1079&lt;=Settings!$C$7),M1079*10000+E1079,""))</f>
        <v/>
      </c>
      <c r="O1079">
        <f>IF(OR(B1079="",E1079=""),"",B1079*10000+E1079)</f>
        <v/>
      </c>
      <c r="P1079">
        <f>IF(N1079="","",E1079)</f>
        <v/>
      </c>
    </row>
    <row r="1080">
      <c r="A1080" s="1" t="n"/>
      <c r="B1080" s="20" t="n"/>
      <c r="C1080" s="21" t="n"/>
      <c r="D1080" s="22" t="n"/>
      <c r="E1080" s="23" t="n"/>
      <c r="F1080" s="22" t="n"/>
      <c r="G1080" s="14">
        <f>IF(OR(B1080="",E1080="",J1080="",K1080=""),"",IF(E1080&lt;J1080,"Below",IF(E1080&gt;K1080,"Above","In range")))</f>
        <v/>
      </c>
      <c r="H1080" s="1" t="n"/>
      <c r="J1080">
        <f>IF(M1080="","",IF(INDEX(Settings!$C$10:$C$18,M1080)="","",INDEX(Settings!$C$10:$C$18,M1080)))</f>
        <v/>
      </c>
      <c r="K1080">
        <f>IF(M1080="","",IF(INDEX(Settings!$D$10:$D$18,M1080)="","",INDEX(Settings!$D$10:$D$18,M1080)))</f>
        <v/>
      </c>
      <c r="L1080">
        <f>IF(OR(B1080="",E1080=""),"",B1080+MOD(N(C1080),1)+ROW()/10000000)</f>
        <v/>
      </c>
      <c r="M1080">
        <f>IF(D1080="","",IFERROR(MATCH(D1080,Settings!$B$10:$B$18,0),""))</f>
        <v/>
      </c>
      <c r="N1080">
        <f>IF(OR(B1080="",E1080="",M1080=""),"",IF(AND(B1080&gt;=Settings!$C$6,B1080&lt;=Settings!$C$7),M1080*10000+E1080,""))</f>
        <v/>
      </c>
      <c r="O1080">
        <f>IF(OR(B1080="",E1080=""),"",B1080*10000+E1080)</f>
        <v/>
      </c>
      <c r="P1080">
        <f>IF(N1080="","",E1080)</f>
        <v/>
      </c>
    </row>
    <row r="1081">
      <c r="A1081" s="1" t="n"/>
      <c r="B1081" s="20" t="n"/>
      <c r="C1081" s="21" t="n"/>
      <c r="D1081" s="22" t="n"/>
      <c r="E1081" s="23" t="n"/>
      <c r="F1081" s="22" t="n"/>
      <c r="G1081" s="14">
        <f>IF(OR(B1081="",E1081="",J1081="",K1081=""),"",IF(E1081&lt;J1081,"Below",IF(E1081&gt;K1081,"Above","In range")))</f>
        <v/>
      </c>
      <c r="H1081" s="1" t="n"/>
      <c r="J1081">
        <f>IF(M1081="","",IF(INDEX(Settings!$C$10:$C$18,M1081)="","",INDEX(Settings!$C$10:$C$18,M1081)))</f>
        <v/>
      </c>
      <c r="K1081">
        <f>IF(M1081="","",IF(INDEX(Settings!$D$10:$D$18,M1081)="","",INDEX(Settings!$D$10:$D$18,M1081)))</f>
        <v/>
      </c>
      <c r="L1081">
        <f>IF(OR(B1081="",E1081=""),"",B1081+MOD(N(C1081),1)+ROW()/10000000)</f>
        <v/>
      </c>
      <c r="M1081">
        <f>IF(D1081="","",IFERROR(MATCH(D1081,Settings!$B$10:$B$18,0),""))</f>
        <v/>
      </c>
      <c r="N1081">
        <f>IF(OR(B1081="",E1081="",M1081=""),"",IF(AND(B1081&gt;=Settings!$C$6,B1081&lt;=Settings!$C$7),M1081*10000+E1081,""))</f>
        <v/>
      </c>
      <c r="O1081">
        <f>IF(OR(B1081="",E1081=""),"",B1081*10000+E1081)</f>
        <v/>
      </c>
      <c r="P1081">
        <f>IF(N1081="","",E1081)</f>
        <v/>
      </c>
    </row>
    <row r="1082">
      <c r="A1082" s="1" t="n"/>
      <c r="B1082" s="20" t="n"/>
      <c r="C1082" s="21" t="n"/>
      <c r="D1082" s="22" t="n"/>
      <c r="E1082" s="23" t="n"/>
      <c r="F1082" s="22" t="n"/>
      <c r="G1082" s="14">
        <f>IF(OR(B1082="",E1082="",J1082="",K1082=""),"",IF(E1082&lt;J1082,"Below",IF(E1082&gt;K1082,"Above","In range")))</f>
        <v/>
      </c>
      <c r="H1082" s="1" t="n"/>
      <c r="J1082">
        <f>IF(M1082="","",IF(INDEX(Settings!$C$10:$C$18,M1082)="","",INDEX(Settings!$C$10:$C$18,M1082)))</f>
        <v/>
      </c>
      <c r="K1082">
        <f>IF(M1082="","",IF(INDEX(Settings!$D$10:$D$18,M1082)="","",INDEX(Settings!$D$10:$D$18,M1082)))</f>
        <v/>
      </c>
      <c r="L1082">
        <f>IF(OR(B1082="",E1082=""),"",B1082+MOD(N(C1082),1)+ROW()/10000000)</f>
        <v/>
      </c>
      <c r="M1082">
        <f>IF(D1082="","",IFERROR(MATCH(D1082,Settings!$B$10:$B$18,0),""))</f>
        <v/>
      </c>
      <c r="N1082">
        <f>IF(OR(B1082="",E1082="",M1082=""),"",IF(AND(B1082&gt;=Settings!$C$6,B1082&lt;=Settings!$C$7),M1082*10000+E1082,""))</f>
        <v/>
      </c>
      <c r="O1082">
        <f>IF(OR(B1082="",E1082=""),"",B1082*10000+E1082)</f>
        <v/>
      </c>
      <c r="P1082">
        <f>IF(N1082="","",E1082)</f>
        <v/>
      </c>
    </row>
    <row r="1083">
      <c r="A1083" s="1" t="n"/>
      <c r="B1083" s="20" t="n"/>
      <c r="C1083" s="21" t="n"/>
      <c r="D1083" s="22" t="n"/>
      <c r="E1083" s="23" t="n"/>
      <c r="F1083" s="22" t="n"/>
      <c r="G1083" s="14">
        <f>IF(OR(B1083="",E1083="",J1083="",K1083=""),"",IF(E1083&lt;J1083,"Below",IF(E1083&gt;K1083,"Above","In range")))</f>
        <v/>
      </c>
      <c r="H1083" s="1" t="n"/>
      <c r="J1083">
        <f>IF(M1083="","",IF(INDEX(Settings!$C$10:$C$18,M1083)="","",INDEX(Settings!$C$10:$C$18,M1083)))</f>
        <v/>
      </c>
      <c r="K1083">
        <f>IF(M1083="","",IF(INDEX(Settings!$D$10:$D$18,M1083)="","",INDEX(Settings!$D$10:$D$18,M1083)))</f>
        <v/>
      </c>
      <c r="L1083">
        <f>IF(OR(B1083="",E1083=""),"",B1083+MOD(N(C1083),1)+ROW()/10000000)</f>
        <v/>
      </c>
      <c r="M1083">
        <f>IF(D1083="","",IFERROR(MATCH(D1083,Settings!$B$10:$B$18,0),""))</f>
        <v/>
      </c>
      <c r="N1083">
        <f>IF(OR(B1083="",E1083="",M1083=""),"",IF(AND(B1083&gt;=Settings!$C$6,B1083&lt;=Settings!$C$7),M1083*10000+E1083,""))</f>
        <v/>
      </c>
      <c r="O1083">
        <f>IF(OR(B1083="",E1083=""),"",B1083*10000+E1083)</f>
        <v/>
      </c>
      <c r="P1083">
        <f>IF(N1083="","",E1083)</f>
        <v/>
      </c>
    </row>
    <row r="1084">
      <c r="A1084" s="1" t="n"/>
      <c r="B1084" s="20" t="n"/>
      <c r="C1084" s="21" t="n"/>
      <c r="D1084" s="22" t="n"/>
      <c r="E1084" s="23" t="n"/>
      <c r="F1084" s="22" t="n"/>
      <c r="G1084" s="14">
        <f>IF(OR(B1084="",E1084="",J1084="",K1084=""),"",IF(E1084&lt;J1084,"Below",IF(E1084&gt;K1084,"Above","In range")))</f>
        <v/>
      </c>
      <c r="H1084" s="1" t="n"/>
      <c r="J1084">
        <f>IF(M1084="","",IF(INDEX(Settings!$C$10:$C$18,M1084)="","",INDEX(Settings!$C$10:$C$18,M1084)))</f>
        <v/>
      </c>
      <c r="K1084">
        <f>IF(M1084="","",IF(INDEX(Settings!$D$10:$D$18,M1084)="","",INDEX(Settings!$D$10:$D$18,M1084)))</f>
        <v/>
      </c>
      <c r="L1084">
        <f>IF(OR(B1084="",E1084=""),"",B1084+MOD(N(C1084),1)+ROW()/10000000)</f>
        <v/>
      </c>
      <c r="M1084">
        <f>IF(D1084="","",IFERROR(MATCH(D1084,Settings!$B$10:$B$18,0),""))</f>
        <v/>
      </c>
      <c r="N1084">
        <f>IF(OR(B1084="",E1084="",M1084=""),"",IF(AND(B1084&gt;=Settings!$C$6,B1084&lt;=Settings!$C$7),M1084*10000+E1084,""))</f>
        <v/>
      </c>
      <c r="O1084">
        <f>IF(OR(B1084="",E1084=""),"",B1084*10000+E1084)</f>
        <v/>
      </c>
      <c r="P1084">
        <f>IF(N1084="","",E1084)</f>
        <v/>
      </c>
    </row>
    <row r="1085">
      <c r="A1085" s="1" t="n"/>
      <c r="B1085" s="20" t="n"/>
      <c r="C1085" s="21" t="n"/>
      <c r="D1085" s="22" t="n"/>
      <c r="E1085" s="23" t="n"/>
      <c r="F1085" s="22" t="n"/>
      <c r="G1085" s="14">
        <f>IF(OR(B1085="",E1085="",J1085="",K1085=""),"",IF(E1085&lt;J1085,"Below",IF(E1085&gt;K1085,"Above","In range")))</f>
        <v/>
      </c>
      <c r="H1085" s="1" t="n"/>
      <c r="J1085">
        <f>IF(M1085="","",IF(INDEX(Settings!$C$10:$C$18,M1085)="","",INDEX(Settings!$C$10:$C$18,M1085)))</f>
        <v/>
      </c>
      <c r="K1085">
        <f>IF(M1085="","",IF(INDEX(Settings!$D$10:$D$18,M1085)="","",INDEX(Settings!$D$10:$D$18,M1085)))</f>
        <v/>
      </c>
      <c r="L1085">
        <f>IF(OR(B1085="",E1085=""),"",B1085+MOD(N(C1085),1)+ROW()/10000000)</f>
        <v/>
      </c>
      <c r="M1085">
        <f>IF(D1085="","",IFERROR(MATCH(D1085,Settings!$B$10:$B$18,0),""))</f>
        <v/>
      </c>
      <c r="N1085">
        <f>IF(OR(B1085="",E1085="",M1085=""),"",IF(AND(B1085&gt;=Settings!$C$6,B1085&lt;=Settings!$C$7),M1085*10000+E1085,""))</f>
        <v/>
      </c>
      <c r="O1085">
        <f>IF(OR(B1085="",E1085=""),"",B1085*10000+E1085)</f>
        <v/>
      </c>
      <c r="P1085">
        <f>IF(N1085="","",E1085)</f>
        <v/>
      </c>
    </row>
    <row r="1086">
      <c r="A1086" s="1" t="n"/>
      <c r="B1086" s="20" t="n"/>
      <c r="C1086" s="21" t="n"/>
      <c r="D1086" s="22" t="n"/>
      <c r="E1086" s="23" t="n"/>
      <c r="F1086" s="22" t="n"/>
      <c r="G1086" s="14">
        <f>IF(OR(B1086="",E1086="",J1086="",K1086=""),"",IF(E1086&lt;J1086,"Below",IF(E1086&gt;K1086,"Above","In range")))</f>
        <v/>
      </c>
      <c r="H1086" s="1" t="n"/>
      <c r="J1086">
        <f>IF(M1086="","",IF(INDEX(Settings!$C$10:$C$18,M1086)="","",INDEX(Settings!$C$10:$C$18,M1086)))</f>
        <v/>
      </c>
      <c r="K1086">
        <f>IF(M1086="","",IF(INDEX(Settings!$D$10:$D$18,M1086)="","",INDEX(Settings!$D$10:$D$18,M1086)))</f>
        <v/>
      </c>
      <c r="L1086">
        <f>IF(OR(B1086="",E1086=""),"",B1086+MOD(N(C1086),1)+ROW()/10000000)</f>
        <v/>
      </c>
      <c r="M1086">
        <f>IF(D1086="","",IFERROR(MATCH(D1086,Settings!$B$10:$B$18,0),""))</f>
        <v/>
      </c>
      <c r="N1086">
        <f>IF(OR(B1086="",E1086="",M1086=""),"",IF(AND(B1086&gt;=Settings!$C$6,B1086&lt;=Settings!$C$7),M1086*10000+E1086,""))</f>
        <v/>
      </c>
      <c r="O1086">
        <f>IF(OR(B1086="",E1086=""),"",B1086*10000+E1086)</f>
        <v/>
      </c>
      <c r="P1086">
        <f>IF(N1086="","",E1086)</f>
        <v/>
      </c>
    </row>
    <row r="1087">
      <c r="A1087" s="1" t="n"/>
      <c r="B1087" s="20" t="n"/>
      <c r="C1087" s="21" t="n"/>
      <c r="D1087" s="22" t="n"/>
      <c r="E1087" s="23" t="n"/>
      <c r="F1087" s="22" t="n"/>
      <c r="G1087" s="14">
        <f>IF(OR(B1087="",E1087="",J1087="",K1087=""),"",IF(E1087&lt;J1087,"Below",IF(E1087&gt;K1087,"Above","In range")))</f>
        <v/>
      </c>
      <c r="H1087" s="1" t="n"/>
      <c r="J1087">
        <f>IF(M1087="","",IF(INDEX(Settings!$C$10:$C$18,M1087)="","",INDEX(Settings!$C$10:$C$18,M1087)))</f>
        <v/>
      </c>
      <c r="K1087">
        <f>IF(M1087="","",IF(INDEX(Settings!$D$10:$D$18,M1087)="","",INDEX(Settings!$D$10:$D$18,M1087)))</f>
        <v/>
      </c>
      <c r="L1087">
        <f>IF(OR(B1087="",E1087=""),"",B1087+MOD(N(C1087),1)+ROW()/10000000)</f>
        <v/>
      </c>
      <c r="M1087">
        <f>IF(D1087="","",IFERROR(MATCH(D1087,Settings!$B$10:$B$18,0),""))</f>
        <v/>
      </c>
      <c r="N1087">
        <f>IF(OR(B1087="",E1087="",M1087=""),"",IF(AND(B1087&gt;=Settings!$C$6,B1087&lt;=Settings!$C$7),M1087*10000+E1087,""))</f>
        <v/>
      </c>
      <c r="O1087">
        <f>IF(OR(B1087="",E1087=""),"",B1087*10000+E1087)</f>
        <v/>
      </c>
      <c r="P1087">
        <f>IF(N1087="","",E1087)</f>
        <v/>
      </c>
    </row>
    <row r="1088">
      <c r="A1088" s="1" t="n"/>
      <c r="B1088" s="20" t="n"/>
      <c r="C1088" s="21" t="n"/>
      <c r="D1088" s="22" t="n"/>
      <c r="E1088" s="23" t="n"/>
      <c r="F1088" s="22" t="n"/>
      <c r="G1088" s="14">
        <f>IF(OR(B1088="",E1088="",J1088="",K1088=""),"",IF(E1088&lt;J1088,"Below",IF(E1088&gt;K1088,"Above","In range")))</f>
        <v/>
      </c>
      <c r="H1088" s="1" t="n"/>
      <c r="J1088">
        <f>IF(M1088="","",IF(INDEX(Settings!$C$10:$C$18,M1088)="","",INDEX(Settings!$C$10:$C$18,M1088)))</f>
        <v/>
      </c>
      <c r="K1088">
        <f>IF(M1088="","",IF(INDEX(Settings!$D$10:$D$18,M1088)="","",INDEX(Settings!$D$10:$D$18,M1088)))</f>
        <v/>
      </c>
      <c r="L1088">
        <f>IF(OR(B1088="",E1088=""),"",B1088+MOD(N(C1088),1)+ROW()/10000000)</f>
        <v/>
      </c>
      <c r="M1088">
        <f>IF(D1088="","",IFERROR(MATCH(D1088,Settings!$B$10:$B$18,0),""))</f>
        <v/>
      </c>
      <c r="N1088">
        <f>IF(OR(B1088="",E1088="",M1088=""),"",IF(AND(B1088&gt;=Settings!$C$6,B1088&lt;=Settings!$C$7),M1088*10000+E1088,""))</f>
        <v/>
      </c>
      <c r="O1088">
        <f>IF(OR(B1088="",E1088=""),"",B1088*10000+E1088)</f>
        <v/>
      </c>
      <c r="P1088">
        <f>IF(N1088="","",E1088)</f>
        <v/>
      </c>
    </row>
    <row r="1089">
      <c r="A1089" s="1" t="n"/>
      <c r="B1089" s="20" t="n"/>
      <c r="C1089" s="21" t="n"/>
      <c r="D1089" s="22" t="n"/>
      <c r="E1089" s="23" t="n"/>
      <c r="F1089" s="22" t="n"/>
      <c r="G1089" s="14">
        <f>IF(OR(B1089="",E1089="",J1089="",K1089=""),"",IF(E1089&lt;J1089,"Below",IF(E1089&gt;K1089,"Above","In range")))</f>
        <v/>
      </c>
      <c r="H1089" s="1" t="n"/>
      <c r="J1089">
        <f>IF(M1089="","",IF(INDEX(Settings!$C$10:$C$18,M1089)="","",INDEX(Settings!$C$10:$C$18,M1089)))</f>
        <v/>
      </c>
      <c r="K1089">
        <f>IF(M1089="","",IF(INDEX(Settings!$D$10:$D$18,M1089)="","",INDEX(Settings!$D$10:$D$18,M1089)))</f>
        <v/>
      </c>
      <c r="L1089">
        <f>IF(OR(B1089="",E1089=""),"",B1089+MOD(N(C1089),1)+ROW()/10000000)</f>
        <v/>
      </c>
      <c r="M1089">
        <f>IF(D1089="","",IFERROR(MATCH(D1089,Settings!$B$10:$B$18,0),""))</f>
        <v/>
      </c>
      <c r="N1089">
        <f>IF(OR(B1089="",E1089="",M1089=""),"",IF(AND(B1089&gt;=Settings!$C$6,B1089&lt;=Settings!$C$7),M1089*10000+E1089,""))</f>
        <v/>
      </c>
      <c r="O1089">
        <f>IF(OR(B1089="",E1089=""),"",B1089*10000+E1089)</f>
        <v/>
      </c>
      <c r="P1089">
        <f>IF(N1089="","",E1089)</f>
        <v/>
      </c>
    </row>
    <row r="1090">
      <c r="A1090" s="1" t="n"/>
      <c r="B1090" s="20" t="n"/>
      <c r="C1090" s="21" t="n"/>
      <c r="D1090" s="22" t="n"/>
      <c r="E1090" s="23" t="n"/>
      <c r="F1090" s="22" t="n"/>
      <c r="G1090" s="14">
        <f>IF(OR(B1090="",E1090="",J1090="",K1090=""),"",IF(E1090&lt;J1090,"Below",IF(E1090&gt;K1090,"Above","In range")))</f>
        <v/>
      </c>
      <c r="H1090" s="1" t="n"/>
      <c r="J1090">
        <f>IF(M1090="","",IF(INDEX(Settings!$C$10:$C$18,M1090)="","",INDEX(Settings!$C$10:$C$18,M1090)))</f>
        <v/>
      </c>
      <c r="K1090">
        <f>IF(M1090="","",IF(INDEX(Settings!$D$10:$D$18,M1090)="","",INDEX(Settings!$D$10:$D$18,M1090)))</f>
        <v/>
      </c>
      <c r="L1090">
        <f>IF(OR(B1090="",E1090=""),"",B1090+MOD(N(C1090),1)+ROW()/10000000)</f>
        <v/>
      </c>
      <c r="M1090">
        <f>IF(D1090="","",IFERROR(MATCH(D1090,Settings!$B$10:$B$18,0),""))</f>
        <v/>
      </c>
      <c r="N1090">
        <f>IF(OR(B1090="",E1090="",M1090=""),"",IF(AND(B1090&gt;=Settings!$C$6,B1090&lt;=Settings!$C$7),M1090*10000+E1090,""))</f>
        <v/>
      </c>
      <c r="O1090">
        <f>IF(OR(B1090="",E1090=""),"",B1090*10000+E1090)</f>
        <v/>
      </c>
      <c r="P1090">
        <f>IF(N1090="","",E1090)</f>
        <v/>
      </c>
    </row>
    <row r="1091">
      <c r="A1091" s="1" t="n"/>
      <c r="B1091" s="20" t="n"/>
      <c r="C1091" s="21" t="n"/>
      <c r="D1091" s="22" t="n"/>
      <c r="E1091" s="23" t="n"/>
      <c r="F1091" s="22" t="n"/>
      <c r="G1091" s="14">
        <f>IF(OR(B1091="",E1091="",J1091="",K1091=""),"",IF(E1091&lt;J1091,"Below",IF(E1091&gt;K1091,"Above","In range")))</f>
        <v/>
      </c>
      <c r="H1091" s="1" t="n"/>
      <c r="J1091">
        <f>IF(M1091="","",IF(INDEX(Settings!$C$10:$C$18,M1091)="","",INDEX(Settings!$C$10:$C$18,M1091)))</f>
        <v/>
      </c>
      <c r="K1091">
        <f>IF(M1091="","",IF(INDEX(Settings!$D$10:$D$18,M1091)="","",INDEX(Settings!$D$10:$D$18,M1091)))</f>
        <v/>
      </c>
      <c r="L1091">
        <f>IF(OR(B1091="",E1091=""),"",B1091+MOD(N(C1091),1)+ROW()/10000000)</f>
        <v/>
      </c>
      <c r="M1091">
        <f>IF(D1091="","",IFERROR(MATCH(D1091,Settings!$B$10:$B$18,0),""))</f>
        <v/>
      </c>
      <c r="N1091">
        <f>IF(OR(B1091="",E1091="",M1091=""),"",IF(AND(B1091&gt;=Settings!$C$6,B1091&lt;=Settings!$C$7),M1091*10000+E1091,""))</f>
        <v/>
      </c>
      <c r="O1091">
        <f>IF(OR(B1091="",E1091=""),"",B1091*10000+E1091)</f>
        <v/>
      </c>
      <c r="P1091">
        <f>IF(N1091="","",E1091)</f>
        <v/>
      </c>
    </row>
    <row r="1092">
      <c r="A1092" s="1" t="n"/>
      <c r="B1092" s="20" t="n"/>
      <c r="C1092" s="21" t="n"/>
      <c r="D1092" s="22" t="n"/>
      <c r="E1092" s="23" t="n"/>
      <c r="F1092" s="22" t="n"/>
      <c r="G1092" s="14">
        <f>IF(OR(B1092="",E1092="",J1092="",K1092=""),"",IF(E1092&lt;J1092,"Below",IF(E1092&gt;K1092,"Above","In range")))</f>
        <v/>
      </c>
      <c r="H1092" s="1" t="n"/>
      <c r="J1092">
        <f>IF(M1092="","",IF(INDEX(Settings!$C$10:$C$18,M1092)="","",INDEX(Settings!$C$10:$C$18,M1092)))</f>
        <v/>
      </c>
      <c r="K1092">
        <f>IF(M1092="","",IF(INDEX(Settings!$D$10:$D$18,M1092)="","",INDEX(Settings!$D$10:$D$18,M1092)))</f>
        <v/>
      </c>
      <c r="L1092">
        <f>IF(OR(B1092="",E1092=""),"",B1092+MOD(N(C1092),1)+ROW()/10000000)</f>
        <v/>
      </c>
      <c r="M1092">
        <f>IF(D1092="","",IFERROR(MATCH(D1092,Settings!$B$10:$B$18,0),""))</f>
        <v/>
      </c>
      <c r="N1092">
        <f>IF(OR(B1092="",E1092="",M1092=""),"",IF(AND(B1092&gt;=Settings!$C$6,B1092&lt;=Settings!$C$7),M1092*10000+E1092,""))</f>
        <v/>
      </c>
      <c r="O1092">
        <f>IF(OR(B1092="",E1092=""),"",B1092*10000+E1092)</f>
        <v/>
      </c>
      <c r="P1092">
        <f>IF(N1092="","",E1092)</f>
        <v/>
      </c>
    </row>
    <row r="1093">
      <c r="A1093" s="1" t="n"/>
      <c r="B1093" s="20" t="n"/>
      <c r="C1093" s="21" t="n"/>
      <c r="D1093" s="22" t="n"/>
      <c r="E1093" s="23" t="n"/>
      <c r="F1093" s="22" t="n"/>
      <c r="G1093" s="14">
        <f>IF(OR(B1093="",E1093="",J1093="",K1093=""),"",IF(E1093&lt;J1093,"Below",IF(E1093&gt;K1093,"Above","In range")))</f>
        <v/>
      </c>
      <c r="H1093" s="1" t="n"/>
      <c r="J1093">
        <f>IF(M1093="","",IF(INDEX(Settings!$C$10:$C$18,M1093)="","",INDEX(Settings!$C$10:$C$18,M1093)))</f>
        <v/>
      </c>
      <c r="K1093">
        <f>IF(M1093="","",IF(INDEX(Settings!$D$10:$D$18,M1093)="","",INDEX(Settings!$D$10:$D$18,M1093)))</f>
        <v/>
      </c>
      <c r="L1093">
        <f>IF(OR(B1093="",E1093=""),"",B1093+MOD(N(C1093),1)+ROW()/10000000)</f>
        <v/>
      </c>
      <c r="M1093">
        <f>IF(D1093="","",IFERROR(MATCH(D1093,Settings!$B$10:$B$18,0),""))</f>
        <v/>
      </c>
      <c r="N1093">
        <f>IF(OR(B1093="",E1093="",M1093=""),"",IF(AND(B1093&gt;=Settings!$C$6,B1093&lt;=Settings!$C$7),M1093*10000+E1093,""))</f>
        <v/>
      </c>
      <c r="O1093">
        <f>IF(OR(B1093="",E1093=""),"",B1093*10000+E1093)</f>
        <v/>
      </c>
      <c r="P1093">
        <f>IF(N1093="","",E1093)</f>
        <v/>
      </c>
    </row>
    <row r="1094">
      <c r="A1094" s="1" t="n"/>
      <c r="B1094" s="20" t="n"/>
      <c r="C1094" s="21" t="n"/>
      <c r="D1094" s="22" t="n"/>
      <c r="E1094" s="23" t="n"/>
      <c r="F1094" s="22" t="n"/>
      <c r="G1094" s="14">
        <f>IF(OR(B1094="",E1094="",J1094="",K1094=""),"",IF(E1094&lt;J1094,"Below",IF(E1094&gt;K1094,"Above","In range")))</f>
        <v/>
      </c>
      <c r="H1094" s="1" t="n"/>
      <c r="J1094">
        <f>IF(M1094="","",IF(INDEX(Settings!$C$10:$C$18,M1094)="","",INDEX(Settings!$C$10:$C$18,M1094)))</f>
        <v/>
      </c>
      <c r="K1094">
        <f>IF(M1094="","",IF(INDEX(Settings!$D$10:$D$18,M1094)="","",INDEX(Settings!$D$10:$D$18,M1094)))</f>
        <v/>
      </c>
      <c r="L1094">
        <f>IF(OR(B1094="",E1094=""),"",B1094+MOD(N(C1094),1)+ROW()/10000000)</f>
        <v/>
      </c>
      <c r="M1094">
        <f>IF(D1094="","",IFERROR(MATCH(D1094,Settings!$B$10:$B$18,0),""))</f>
        <v/>
      </c>
      <c r="N1094">
        <f>IF(OR(B1094="",E1094="",M1094=""),"",IF(AND(B1094&gt;=Settings!$C$6,B1094&lt;=Settings!$C$7),M1094*10000+E1094,""))</f>
        <v/>
      </c>
      <c r="O1094">
        <f>IF(OR(B1094="",E1094=""),"",B1094*10000+E1094)</f>
        <v/>
      </c>
      <c r="P1094">
        <f>IF(N1094="","",E1094)</f>
        <v/>
      </c>
    </row>
    <row r="1095">
      <c r="A1095" s="1" t="n"/>
      <c r="B1095" s="20" t="n"/>
      <c r="C1095" s="21" t="n"/>
      <c r="D1095" s="22" t="n"/>
      <c r="E1095" s="23" t="n"/>
      <c r="F1095" s="22" t="n"/>
      <c r="G1095" s="14">
        <f>IF(OR(B1095="",E1095="",J1095="",K1095=""),"",IF(E1095&lt;J1095,"Below",IF(E1095&gt;K1095,"Above","In range")))</f>
        <v/>
      </c>
      <c r="H1095" s="1" t="n"/>
      <c r="J1095">
        <f>IF(M1095="","",IF(INDEX(Settings!$C$10:$C$18,M1095)="","",INDEX(Settings!$C$10:$C$18,M1095)))</f>
        <v/>
      </c>
      <c r="K1095">
        <f>IF(M1095="","",IF(INDEX(Settings!$D$10:$D$18,M1095)="","",INDEX(Settings!$D$10:$D$18,M1095)))</f>
        <v/>
      </c>
      <c r="L1095">
        <f>IF(OR(B1095="",E1095=""),"",B1095+MOD(N(C1095),1)+ROW()/10000000)</f>
        <v/>
      </c>
      <c r="M1095">
        <f>IF(D1095="","",IFERROR(MATCH(D1095,Settings!$B$10:$B$18,0),""))</f>
        <v/>
      </c>
      <c r="N1095">
        <f>IF(OR(B1095="",E1095="",M1095=""),"",IF(AND(B1095&gt;=Settings!$C$6,B1095&lt;=Settings!$C$7),M1095*10000+E1095,""))</f>
        <v/>
      </c>
      <c r="O1095">
        <f>IF(OR(B1095="",E1095=""),"",B1095*10000+E1095)</f>
        <v/>
      </c>
      <c r="P1095">
        <f>IF(N1095="","",E1095)</f>
        <v/>
      </c>
    </row>
    <row r="1096">
      <c r="A1096" s="1" t="n"/>
      <c r="B1096" s="20" t="n"/>
      <c r="C1096" s="21" t="n"/>
      <c r="D1096" s="22" t="n"/>
      <c r="E1096" s="23" t="n"/>
      <c r="F1096" s="22" t="n"/>
      <c r="G1096" s="14">
        <f>IF(OR(B1096="",E1096="",J1096="",K1096=""),"",IF(E1096&lt;J1096,"Below",IF(E1096&gt;K1096,"Above","In range")))</f>
        <v/>
      </c>
      <c r="H1096" s="1" t="n"/>
      <c r="J1096">
        <f>IF(M1096="","",IF(INDEX(Settings!$C$10:$C$18,M1096)="","",INDEX(Settings!$C$10:$C$18,M1096)))</f>
        <v/>
      </c>
      <c r="K1096">
        <f>IF(M1096="","",IF(INDEX(Settings!$D$10:$D$18,M1096)="","",INDEX(Settings!$D$10:$D$18,M1096)))</f>
        <v/>
      </c>
      <c r="L1096">
        <f>IF(OR(B1096="",E1096=""),"",B1096+MOD(N(C1096),1)+ROW()/10000000)</f>
        <v/>
      </c>
      <c r="M1096">
        <f>IF(D1096="","",IFERROR(MATCH(D1096,Settings!$B$10:$B$18,0),""))</f>
        <v/>
      </c>
      <c r="N1096">
        <f>IF(OR(B1096="",E1096="",M1096=""),"",IF(AND(B1096&gt;=Settings!$C$6,B1096&lt;=Settings!$C$7),M1096*10000+E1096,""))</f>
        <v/>
      </c>
      <c r="O1096">
        <f>IF(OR(B1096="",E1096=""),"",B1096*10000+E1096)</f>
        <v/>
      </c>
      <c r="P1096">
        <f>IF(N1096="","",E1096)</f>
        <v/>
      </c>
    </row>
    <row r="1097">
      <c r="A1097" s="1" t="n"/>
      <c r="B1097" s="20" t="n"/>
      <c r="C1097" s="21" t="n"/>
      <c r="D1097" s="22" t="n"/>
      <c r="E1097" s="23" t="n"/>
      <c r="F1097" s="22" t="n"/>
      <c r="G1097" s="14">
        <f>IF(OR(B1097="",E1097="",J1097="",K1097=""),"",IF(E1097&lt;J1097,"Below",IF(E1097&gt;K1097,"Above","In range")))</f>
        <v/>
      </c>
      <c r="H1097" s="1" t="n"/>
      <c r="J1097">
        <f>IF(M1097="","",IF(INDEX(Settings!$C$10:$C$18,M1097)="","",INDEX(Settings!$C$10:$C$18,M1097)))</f>
        <v/>
      </c>
      <c r="K1097">
        <f>IF(M1097="","",IF(INDEX(Settings!$D$10:$D$18,M1097)="","",INDEX(Settings!$D$10:$D$18,M1097)))</f>
        <v/>
      </c>
      <c r="L1097">
        <f>IF(OR(B1097="",E1097=""),"",B1097+MOD(N(C1097),1)+ROW()/10000000)</f>
        <v/>
      </c>
      <c r="M1097">
        <f>IF(D1097="","",IFERROR(MATCH(D1097,Settings!$B$10:$B$18,0),""))</f>
        <v/>
      </c>
      <c r="N1097">
        <f>IF(OR(B1097="",E1097="",M1097=""),"",IF(AND(B1097&gt;=Settings!$C$6,B1097&lt;=Settings!$C$7),M1097*10000+E1097,""))</f>
        <v/>
      </c>
      <c r="O1097">
        <f>IF(OR(B1097="",E1097=""),"",B1097*10000+E1097)</f>
        <v/>
      </c>
      <c r="P1097">
        <f>IF(N1097="","",E1097)</f>
        <v/>
      </c>
    </row>
    <row r="1098">
      <c r="A1098" s="1" t="n"/>
      <c r="B1098" s="20" t="n"/>
      <c r="C1098" s="21" t="n"/>
      <c r="D1098" s="22" t="n"/>
      <c r="E1098" s="23" t="n"/>
      <c r="F1098" s="22" t="n"/>
      <c r="G1098" s="14">
        <f>IF(OR(B1098="",E1098="",J1098="",K1098=""),"",IF(E1098&lt;J1098,"Below",IF(E1098&gt;K1098,"Above","In range")))</f>
        <v/>
      </c>
      <c r="H1098" s="1" t="n"/>
      <c r="J1098">
        <f>IF(M1098="","",IF(INDEX(Settings!$C$10:$C$18,M1098)="","",INDEX(Settings!$C$10:$C$18,M1098)))</f>
        <v/>
      </c>
      <c r="K1098">
        <f>IF(M1098="","",IF(INDEX(Settings!$D$10:$D$18,M1098)="","",INDEX(Settings!$D$10:$D$18,M1098)))</f>
        <v/>
      </c>
      <c r="L1098">
        <f>IF(OR(B1098="",E1098=""),"",B1098+MOD(N(C1098),1)+ROW()/10000000)</f>
        <v/>
      </c>
      <c r="M1098">
        <f>IF(D1098="","",IFERROR(MATCH(D1098,Settings!$B$10:$B$18,0),""))</f>
        <v/>
      </c>
      <c r="N1098">
        <f>IF(OR(B1098="",E1098="",M1098=""),"",IF(AND(B1098&gt;=Settings!$C$6,B1098&lt;=Settings!$C$7),M1098*10000+E1098,""))</f>
        <v/>
      </c>
      <c r="O1098">
        <f>IF(OR(B1098="",E1098=""),"",B1098*10000+E1098)</f>
        <v/>
      </c>
      <c r="P1098">
        <f>IF(N1098="","",E1098)</f>
        <v/>
      </c>
    </row>
    <row r="1099">
      <c r="A1099" s="1" t="n"/>
      <c r="B1099" s="20" t="n"/>
      <c r="C1099" s="21" t="n"/>
      <c r="D1099" s="22" t="n"/>
      <c r="E1099" s="23" t="n"/>
      <c r="F1099" s="22" t="n"/>
      <c r="G1099" s="14">
        <f>IF(OR(B1099="",E1099="",J1099="",K1099=""),"",IF(E1099&lt;J1099,"Below",IF(E1099&gt;K1099,"Above","In range")))</f>
        <v/>
      </c>
      <c r="H1099" s="1" t="n"/>
      <c r="J1099">
        <f>IF(M1099="","",IF(INDEX(Settings!$C$10:$C$18,M1099)="","",INDEX(Settings!$C$10:$C$18,M1099)))</f>
        <v/>
      </c>
      <c r="K1099">
        <f>IF(M1099="","",IF(INDEX(Settings!$D$10:$D$18,M1099)="","",INDEX(Settings!$D$10:$D$18,M1099)))</f>
        <v/>
      </c>
      <c r="L1099">
        <f>IF(OR(B1099="",E1099=""),"",B1099+MOD(N(C1099),1)+ROW()/10000000)</f>
        <v/>
      </c>
      <c r="M1099">
        <f>IF(D1099="","",IFERROR(MATCH(D1099,Settings!$B$10:$B$18,0),""))</f>
        <v/>
      </c>
      <c r="N1099">
        <f>IF(OR(B1099="",E1099="",M1099=""),"",IF(AND(B1099&gt;=Settings!$C$6,B1099&lt;=Settings!$C$7),M1099*10000+E1099,""))</f>
        <v/>
      </c>
      <c r="O1099">
        <f>IF(OR(B1099="",E1099=""),"",B1099*10000+E1099)</f>
        <v/>
      </c>
      <c r="P1099">
        <f>IF(N1099="","",E1099)</f>
        <v/>
      </c>
    </row>
    <row r="1100">
      <c r="A1100" s="1" t="n"/>
      <c r="B1100" s="20" t="n"/>
      <c r="C1100" s="21" t="n"/>
      <c r="D1100" s="22" t="n"/>
      <c r="E1100" s="23" t="n"/>
      <c r="F1100" s="22" t="n"/>
      <c r="G1100" s="14">
        <f>IF(OR(B1100="",E1100="",J1100="",K1100=""),"",IF(E1100&lt;J1100,"Below",IF(E1100&gt;K1100,"Above","In range")))</f>
        <v/>
      </c>
      <c r="H1100" s="1" t="n"/>
      <c r="J1100">
        <f>IF(M1100="","",IF(INDEX(Settings!$C$10:$C$18,M1100)="","",INDEX(Settings!$C$10:$C$18,M1100)))</f>
        <v/>
      </c>
      <c r="K1100">
        <f>IF(M1100="","",IF(INDEX(Settings!$D$10:$D$18,M1100)="","",INDEX(Settings!$D$10:$D$18,M1100)))</f>
        <v/>
      </c>
      <c r="L1100">
        <f>IF(OR(B1100="",E1100=""),"",B1100+MOD(N(C1100),1)+ROW()/10000000)</f>
        <v/>
      </c>
      <c r="M1100">
        <f>IF(D1100="","",IFERROR(MATCH(D1100,Settings!$B$10:$B$18,0),""))</f>
        <v/>
      </c>
      <c r="N1100">
        <f>IF(OR(B1100="",E1100="",M1100=""),"",IF(AND(B1100&gt;=Settings!$C$6,B1100&lt;=Settings!$C$7),M1100*10000+E1100,""))</f>
        <v/>
      </c>
      <c r="O1100">
        <f>IF(OR(B1100="",E1100=""),"",B1100*10000+E1100)</f>
        <v/>
      </c>
      <c r="P1100">
        <f>IF(N1100="","",E1100)</f>
        <v/>
      </c>
    </row>
    <row r="1101">
      <c r="A1101" s="1" t="n"/>
      <c r="B1101" s="20" t="n"/>
      <c r="C1101" s="21" t="n"/>
      <c r="D1101" s="22" t="n"/>
      <c r="E1101" s="23" t="n"/>
      <c r="F1101" s="22" t="n"/>
      <c r="G1101" s="14">
        <f>IF(OR(B1101="",E1101="",J1101="",K1101=""),"",IF(E1101&lt;J1101,"Below",IF(E1101&gt;K1101,"Above","In range")))</f>
        <v/>
      </c>
      <c r="H1101" s="1" t="n"/>
      <c r="J1101">
        <f>IF(M1101="","",IF(INDEX(Settings!$C$10:$C$18,M1101)="","",INDEX(Settings!$C$10:$C$18,M1101)))</f>
        <v/>
      </c>
      <c r="K1101">
        <f>IF(M1101="","",IF(INDEX(Settings!$D$10:$D$18,M1101)="","",INDEX(Settings!$D$10:$D$18,M1101)))</f>
        <v/>
      </c>
      <c r="L1101">
        <f>IF(OR(B1101="",E1101=""),"",B1101+MOD(N(C1101),1)+ROW()/10000000)</f>
        <v/>
      </c>
      <c r="M1101">
        <f>IF(D1101="","",IFERROR(MATCH(D1101,Settings!$B$10:$B$18,0),""))</f>
        <v/>
      </c>
      <c r="N1101">
        <f>IF(OR(B1101="",E1101="",M1101=""),"",IF(AND(B1101&gt;=Settings!$C$6,B1101&lt;=Settings!$C$7),M1101*10000+E1101,""))</f>
        <v/>
      </c>
      <c r="O1101">
        <f>IF(OR(B1101="",E1101=""),"",B1101*10000+E1101)</f>
        <v/>
      </c>
      <c r="P1101">
        <f>IF(N1101="","",E1101)</f>
        <v/>
      </c>
    </row>
    <row r="1102">
      <c r="A1102" s="1" t="n"/>
      <c r="B1102" s="20" t="n"/>
      <c r="C1102" s="21" t="n"/>
      <c r="D1102" s="22" t="n"/>
      <c r="E1102" s="23" t="n"/>
      <c r="F1102" s="22" t="n"/>
      <c r="G1102" s="14">
        <f>IF(OR(B1102="",E1102="",J1102="",K1102=""),"",IF(E1102&lt;J1102,"Below",IF(E1102&gt;K1102,"Above","In range")))</f>
        <v/>
      </c>
      <c r="H1102" s="1" t="n"/>
      <c r="J1102">
        <f>IF(M1102="","",IF(INDEX(Settings!$C$10:$C$18,M1102)="","",INDEX(Settings!$C$10:$C$18,M1102)))</f>
        <v/>
      </c>
      <c r="K1102">
        <f>IF(M1102="","",IF(INDEX(Settings!$D$10:$D$18,M1102)="","",INDEX(Settings!$D$10:$D$18,M1102)))</f>
        <v/>
      </c>
      <c r="L1102">
        <f>IF(OR(B1102="",E1102=""),"",B1102+MOD(N(C1102),1)+ROW()/10000000)</f>
        <v/>
      </c>
      <c r="M1102">
        <f>IF(D1102="","",IFERROR(MATCH(D1102,Settings!$B$10:$B$18,0),""))</f>
        <v/>
      </c>
      <c r="N1102">
        <f>IF(OR(B1102="",E1102="",M1102=""),"",IF(AND(B1102&gt;=Settings!$C$6,B1102&lt;=Settings!$C$7),M1102*10000+E1102,""))</f>
        <v/>
      </c>
      <c r="O1102">
        <f>IF(OR(B1102="",E1102=""),"",B1102*10000+E1102)</f>
        <v/>
      </c>
      <c r="P1102">
        <f>IF(N1102="","",E1102)</f>
        <v/>
      </c>
    </row>
    <row r="1103">
      <c r="A1103" s="1" t="n"/>
      <c r="B1103" s="20" t="n"/>
      <c r="C1103" s="21" t="n"/>
      <c r="D1103" s="22" t="n"/>
      <c r="E1103" s="23" t="n"/>
      <c r="F1103" s="22" t="n"/>
      <c r="G1103" s="14">
        <f>IF(OR(B1103="",E1103="",J1103="",K1103=""),"",IF(E1103&lt;J1103,"Below",IF(E1103&gt;K1103,"Above","In range")))</f>
        <v/>
      </c>
      <c r="H1103" s="1" t="n"/>
      <c r="J1103">
        <f>IF(M1103="","",IF(INDEX(Settings!$C$10:$C$18,M1103)="","",INDEX(Settings!$C$10:$C$18,M1103)))</f>
        <v/>
      </c>
      <c r="K1103">
        <f>IF(M1103="","",IF(INDEX(Settings!$D$10:$D$18,M1103)="","",INDEX(Settings!$D$10:$D$18,M1103)))</f>
        <v/>
      </c>
      <c r="L1103">
        <f>IF(OR(B1103="",E1103=""),"",B1103+MOD(N(C1103),1)+ROW()/10000000)</f>
        <v/>
      </c>
      <c r="M1103">
        <f>IF(D1103="","",IFERROR(MATCH(D1103,Settings!$B$10:$B$18,0),""))</f>
        <v/>
      </c>
      <c r="N1103">
        <f>IF(OR(B1103="",E1103="",M1103=""),"",IF(AND(B1103&gt;=Settings!$C$6,B1103&lt;=Settings!$C$7),M1103*10000+E1103,""))</f>
        <v/>
      </c>
      <c r="O1103">
        <f>IF(OR(B1103="",E1103=""),"",B1103*10000+E1103)</f>
        <v/>
      </c>
      <c r="P1103">
        <f>IF(N1103="","",E1103)</f>
        <v/>
      </c>
    </row>
    <row r="1104">
      <c r="A1104" s="1" t="n"/>
      <c r="B1104" s="20" t="n"/>
      <c r="C1104" s="21" t="n"/>
      <c r="D1104" s="22" t="n"/>
      <c r="E1104" s="23" t="n"/>
      <c r="F1104" s="22" t="n"/>
      <c r="G1104" s="14">
        <f>IF(OR(B1104="",E1104="",J1104="",K1104=""),"",IF(E1104&lt;J1104,"Below",IF(E1104&gt;K1104,"Above","In range")))</f>
        <v/>
      </c>
      <c r="H1104" s="1" t="n"/>
      <c r="J1104">
        <f>IF(M1104="","",IF(INDEX(Settings!$C$10:$C$18,M1104)="","",INDEX(Settings!$C$10:$C$18,M1104)))</f>
        <v/>
      </c>
      <c r="K1104">
        <f>IF(M1104="","",IF(INDEX(Settings!$D$10:$D$18,M1104)="","",INDEX(Settings!$D$10:$D$18,M1104)))</f>
        <v/>
      </c>
      <c r="L1104">
        <f>IF(OR(B1104="",E1104=""),"",B1104+MOD(N(C1104),1)+ROW()/10000000)</f>
        <v/>
      </c>
      <c r="M1104">
        <f>IF(D1104="","",IFERROR(MATCH(D1104,Settings!$B$10:$B$18,0),""))</f>
        <v/>
      </c>
      <c r="N1104">
        <f>IF(OR(B1104="",E1104="",M1104=""),"",IF(AND(B1104&gt;=Settings!$C$6,B1104&lt;=Settings!$C$7),M1104*10000+E1104,""))</f>
        <v/>
      </c>
      <c r="O1104">
        <f>IF(OR(B1104="",E1104=""),"",B1104*10000+E1104)</f>
        <v/>
      </c>
      <c r="P1104">
        <f>IF(N1104="","",E1104)</f>
        <v/>
      </c>
    </row>
    <row r="1105">
      <c r="A1105" s="1" t="n"/>
      <c r="B1105" s="20" t="n"/>
      <c r="C1105" s="21" t="n"/>
      <c r="D1105" s="22" t="n"/>
      <c r="E1105" s="23" t="n"/>
      <c r="F1105" s="22" t="n"/>
      <c r="G1105" s="14">
        <f>IF(OR(B1105="",E1105="",J1105="",K1105=""),"",IF(E1105&lt;J1105,"Below",IF(E1105&gt;K1105,"Above","In range")))</f>
        <v/>
      </c>
      <c r="H1105" s="1" t="n"/>
      <c r="J1105">
        <f>IF(M1105="","",IF(INDEX(Settings!$C$10:$C$18,M1105)="","",INDEX(Settings!$C$10:$C$18,M1105)))</f>
        <v/>
      </c>
      <c r="K1105">
        <f>IF(M1105="","",IF(INDEX(Settings!$D$10:$D$18,M1105)="","",INDEX(Settings!$D$10:$D$18,M1105)))</f>
        <v/>
      </c>
      <c r="L1105">
        <f>IF(OR(B1105="",E1105=""),"",B1105+MOD(N(C1105),1)+ROW()/10000000)</f>
        <v/>
      </c>
      <c r="M1105">
        <f>IF(D1105="","",IFERROR(MATCH(D1105,Settings!$B$10:$B$18,0),""))</f>
        <v/>
      </c>
      <c r="N1105">
        <f>IF(OR(B1105="",E1105="",M1105=""),"",IF(AND(B1105&gt;=Settings!$C$6,B1105&lt;=Settings!$C$7),M1105*10000+E1105,""))</f>
        <v/>
      </c>
      <c r="O1105">
        <f>IF(OR(B1105="",E1105=""),"",B1105*10000+E1105)</f>
        <v/>
      </c>
      <c r="P1105">
        <f>IF(N1105="","",E1105)</f>
        <v/>
      </c>
    </row>
    <row r="1106">
      <c r="A1106" s="1" t="n"/>
      <c r="B1106" s="20" t="n"/>
      <c r="C1106" s="21" t="n"/>
      <c r="D1106" s="22" t="n"/>
      <c r="E1106" s="23" t="n"/>
      <c r="F1106" s="22" t="n"/>
      <c r="G1106" s="14">
        <f>IF(OR(B1106="",E1106="",J1106="",K1106=""),"",IF(E1106&lt;J1106,"Below",IF(E1106&gt;K1106,"Above","In range")))</f>
        <v/>
      </c>
      <c r="H1106" s="1" t="n"/>
      <c r="J1106">
        <f>IF(M1106="","",IF(INDEX(Settings!$C$10:$C$18,M1106)="","",INDEX(Settings!$C$10:$C$18,M1106)))</f>
        <v/>
      </c>
      <c r="K1106">
        <f>IF(M1106="","",IF(INDEX(Settings!$D$10:$D$18,M1106)="","",INDEX(Settings!$D$10:$D$18,M1106)))</f>
        <v/>
      </c>
      <c r="L1106">
        <f>IF(OR(B1106="",E1106=""),"",B1106+MOD(N(C1106),1)+ROW()/10000000)</f>
        <v/>
      </c>
      <c r="M1106">
        <f>IF(D1106="","",IFERROR(MATCH(D1106,Settings!$B$10:$B$18,0),""))</f>
        <v/>
      </c>
      <c r="N1106">
        <f>IF(OR(B1106="",E1106="",M1106=""),"",IF(AND(B1106&gt;=Settings!$C$6,B1106&lt;=Settings!$C$7),M1106*10000+E1106,""))</f>
        <v/>
      </c>
      <c r="O1106">
        <f>IF(OR(B1106="",E1106=""),"",B1106*10000+E1106)</f>
        <v/>
      </c>
      <c r="P1106">
        <f>IF(N1106="","",E1106)</f>
        <v/>
      </c>
    </row>
    <row r="1107">
      <c r="A1107" s="1" t="n"/>
      <c r="B1107" s="20" t="n"/>
      <c r="C1107" s="21" t="n"/>
      <c r="D1107" s="22" t="n"/>
      <c r="E1107" s="23" t="n"/>
      <c r="F1107" s="22" t="n"/>
      <c r="G1107" s="14">
        <f>IF(OR(B1107="",E1107="",J1107="",K1107=""),"",IF(E1107&lt;J1107,"Below",IF(E1107&gt;K1107,"Above","In range")))</f>
        <v/>
      </c>
      <c r="H1107" s="1" t="n"/>
      <c r="J1107">
        <f>IF(M1107="","",IF(INDEX(Settings!$C$10:$C$18,M1107)="","",INDEX(Settings!$C$10:$C$18,M1107)))</f>
        <v/>
      </c>
      <c r="K1107">
        <f>IF(M1107="","",IF(INDEX(Settings!$D$10:$D$18,M1107)="","",INDEX(Settings!$D$10:$D$18,M1107)))</f>
        <v/>
      </c>
      <c r="L1107">
        <f>IF(OR(B1107="",E1107=""),"",B1107+MOD(N(C1107),1)+ROW()/10000000)</f>
        <v/>
      </c>
      <c r="M1107">
        <f>IF(D1107="","",IFERROR(MATCH(D1107,Settings!$B$10:$B$18,0),""))</f>
        <v/>
      </c>
      <c r="N1107">
        <f>IF(OR(B1107="",E1107="",M1107=""),"",IF(AND(B1107&gt;=Settings!$C$6,B1107&lt;=Settings!$C$7),M1107*10000+E1107,""))</f>
        <v/>
      </c>
      <c r="O1107">
        <f>IF(OR(B1107="",E1107=""),"",B1107*10000+E1107)</f>
        <v/>
      </c>
      <c r="P1107">
        <f>IF(N1107="","",E1107)</f>
        <v/>
      </c>
    </row>
    <row r="1108">
      <c r="A1108" s="1" t="n"/>
      <c r="B1108" s="20" t="n"/>
      <c r="C1108" s="21" t="n"/>
      <c r="D1108" s="22" t="n"/>
      <c r="E1108" s="23" t="n"/>
      <c r="F1108" s="22" t="n"/>
      <c r="G1108" s="14">
        <f>IF(OR(B1108="",E1108="",J1108="",K1108=""),"",IF(E1108&lt;J1108,"Below",IF(E1108&gt;K1108,"Above","In range")))</f>
        <v/>
      </c>
      <c r="H1108" s="1" t="n"/>
      <c r="J1108">
        <f>IF(M1108="","",IF(INDEX(Settings!$C$10:$C$18,M1108)="","",INDEX(Settings!$C$10:$C$18,M1108)))</f>
        <v/>
      </c>
      <c r="K1108">
        <f>IF(M1108="","",IF(INDEX(Settings!$D$10:$D$18,M1108)="","",INDEX(Settings!$D$10:$D$18,M1108)))</f>
        <v/>
      </c>
      <c r="L1108">
        <f>IF(OR(B1108="",E1108=""),"",B1108+MOD(N(C1108),1)+ROW()/10000000)</f>
        <v/>
      </c>
      <c r="M1108">
        <f>IF(D1108="","",IFERROR(MATCH(D1108,Settings!$B$10:$B$18,0),""))</f>
        <v/>
      </c>
      <c r="N1108">
        <f>IF(OR(B1108="",E1108="",M1108=""),"",IF(AND(B1108&gt;=Settings!$C$6,B1108&lt;=Settings!$C$7),M1108*10000+E1108,""))</f>
        <v/>
      </c>
      <c r="O1108">
        <f>IF(OR(B1108="",E1108=""),"",B1108*10000+E1108)</f>
        <v/>
      </c>
      <c r="P1108">
        <f>IF(N1108="","",E1108)</f>
        <v/>
      </c>
    </row>
    <row r="1109">
      <c r="A1109" s="1" t="n"/>
      <c r="B1109" s="20" t="n"/>
      <c r="C1109" s="21" t="n"/>
      <c r="D1109" s="22" t="n"/>
      <c r="E1109" s="23" t="n"/>
      <c r="F1109" s="22" t="n"/>
      <c r="G1109" s="14">
        <f>IF(OR(B1109="",E1109="",J1109="",K1109=""),"",IF(E1109&lt;J1109,"Below",IF(E1109&gt;K1109,"Above","In range")))</f>
        <v/>
      </c>
      <c r="H1109" s="1" t="n"/>
      <c r="J1109">
        <f>IF(M1109="","",IF(INDEX(Settings!$C$10:$C$18,M1109)="","",INDEX(Settings!$C$10:$C$18,M1109)))</f>
        <v/>
      </c>
      <c r="K1109">
        <f>IF(M1109="","",IF(INDEX(Settings!$D$10:$D$18,M1109)="","",INDEX(Settings!$D$10:$D$18,M1109)))</f>
        <v/>
      </c>
      <c r="L1109">
        <f>IF(OR(B1109="",E1109=""),"",B1109+MOD(N(C1109),1)+ROW()/10000000)</f>
        <v/>
      </c>
      <c r="M1109">
        <f>IF(D1109="","",IFERROR(MATCH(D1109,Settings!$B$10:$B$18,0),""))</f>
        <v/>
      </c>
      <c r="N1109">
        <f>IF(OR(B1109="",E1109="",M1109=""),"",IF(AND(B1109&gt;=Settings!$C$6,B1109&lt;=Settings!$C$7),M1109*10000+E1109,""))</f>
        <v/>
      </c>
      <c r="O1109">
        <f>IF(OR(B1109="",E1109=""),"",B1109*10000+E1109)</f>
        <v/>
      </c>
      <c r="P1109">
        <f>IF(N1109="","",E1109)</f>
        <v/>
      </c>
    </row>
    <row r="1110">
      <c r="A1110" s="1" t="n"/>
      <c r="B1110" s="20" t="n"/>
      <c r="C1110" s="21" t="n"/>
      <c r="D1110" s="22" t="n"/>
      <c r="E1110" s="23" t="n"/>
      <c r="F1110" s="22" t="n"/>
      <c r="G1110" s="14">
        <f>IF(OR(B1110="",E1110="",J1110="",K1110=""),"",IF(E1110&lt;J1110,"Below",IF(E1110&gt;K1110,"Above","In range")))</f>
        <v/>
      </c>
      <c r="H1110" s="1" t="n"/>
      <c r="J1110">
        <f>IF(M1110="","",IF(INDEX(Settings!$C$10:$C$18,M1110)="","",INDEX(Settings!$C$10:$C$18,M1110)))</f>
        <v/>
      </c>
      <c r="K1110">
        <f>IF(M1110="","",IF(INDEX(Settings!$D$10:$D$18,M1110)="","",INDEX(Settings!$D$10:$D$18,M1110)))</f>
        <v/>
      </c>
      <c r="L1110">
        <f>IF(OR(B1110="",E1110=""),"",B1110+MOD(N(C1110),1)+ROW()/10000000)</f>
        <v/>
      </c>
      <c r="M1110">
        <f>IF(D1110="","",IFERROR(MATCH(D1110,Settings!$B$10:$B$18,0),""))</f>
        <v/>
      </c>
      <c r="N1110">
        <f>IF(OR(B1110="",E1110="",M1110=""),"",IF(AND(B1110&gt;=Settings!$C$6,B1110&lt;=Settings!$C$7),M1110*10000+E1110,""))</f>
        <v/>
      </c>
      <c r="O1110">
        <f>IF(OR(B1110="",E1110=""),"",B1110*10000+E1110)</f>
        <v/>
      </c>
      <c r="P1110">
        <f>IF(N1110="","",E1110)</f>
        <v/>
      </c>
    </row>
    <row r="1111">
      <c r="A1111" s="1" t="n"/>
      <c r="B1111" s="20" t="n"/>
      <c r="C1111" s="21" t="n"/>
      <c r="D1111" s="22" t="n"/>
      <c r="E1111" s="23" t="n"/>
      <c r="F1111" s="22" t="n"/>
      <c r="G1111" s="14">
        <f>IF(OR(B1111="",E1111="",J1111="",K1111=""),"",IF(E1111&lt;J1111,"Below",IF(E1111&gt;K1111,"Above","In range")))</f>
        <v/>
      </c>
      <c r="H1111" s="1" t="n"/>
      <c r="J1111">
        <f>IF(M1111="","",IF(INDEX(Settings!$C$10:$C$18,M1111)="","",INDEX(Settings!$C$10:$C$18,M1111)))</f>
        <v/>
      </c>
      <c r="K1111">
        <f>IF(M1111="","",IF(INDEX(Settings!$D$10:$D$18,M1111)="","",INDEX(Settings!$D$10:$D$18,M1111)))</f>
        <v/>
      </c>
      <c r="L1111">
        <f>IF(OR(B1111="",E1111=""),"",B1111+MOD(N(C1111),1)+ROW()/10000000)</f>
        <v/>
      </c>
      <c r="M1111">
        <f>IF(D1111="","",IFERROR(MATCH(D1111,Settings!$B$10:$B$18,0),""))</f>
        <v/>
      </c>
      <c r="N1111">
        <f>IF(OR(B1111="",E1111="",M1111=""),"",IF(AND(B1111&gt;=Settings!$C$6,B1111&lt;=Settings!$C$7),M1111*10000+E1111,""))</f>
        <v/>
      </c>
      <c r="O1111">
        <f>IF(OR(B1111="",E1111=""),"",B1111*10000+E1111)</f>
        <v/>
      </c>
      <c r="P1111">
        <f>IF(N1111="","",E1111)</f>
        <v/>
      </c>
    </row>
    <row r="1112">
      <c r="A1112" s="1" t="n"/>
      <c r="B1112" s="20" t="n"/>
      <c r="C1112" s="21" t="n"/>
      <c r="D1112" s="22" t="n"/>
      <c r="E1112" s="23" t="n"/>
      <c r="F1112" s="22" t="n"/>
      <c r="G1112" s="14">
        <f>IF(OR(B1112="",E1112="",J1112="",K1112=""),"",IF(E1112&lt;J1112,"Below",IF(E1112&gt;K1112,"Above","In range")))</f>
        <v/>
      </c>
      <c r="H1112" s="1" t="n"/>
      <c r="J1112">
        <f>IF(M1112="","",IF(INDEX(Settings!$C$10:$C$18,M1112)="","",INDEX(Settings!$C$10:$C$18,M1112)))</f>
        <v/>
      </c>
      <c r="K1112">
        <f>IF(M1112="","",IF(INDEX(Settings!$D$10:$D$18,M1112)="","",INDEX(Settings!$D$10:$D$18,M1112)))</f>
        <v/>
      </c>
      <c r="L1112">
        <f>IF(OR(B1112="",E1112=""),"",B1112+MOD(N(C1112),1)+ROW()/10000000)</f>
        <v/>
      </c>
      <c r="M1112">
        <f>IF(D1112="","",IFERROR(MATCH(D1112,Settings!$B$10:$B$18,0),""))</f>
        <v/>
      </c>
      <c r="N1112">
        <f>IF(OR(B1112="",E1112="",M1112=""),"",IF(AND(B1112&gt;=Settings!$C$6,B1112&lt;=Settings!$C$7),M1112*10000+E1112,""))</f>
        <v/>
      </c>
      <c r="O1112">
        <f>IF(OR(B1112="",E1112=""),"",B1112*10000+E1112)</f>
        <v/>
      </c>
      <c r="P1112">
        <f>IF(N1112="","",E1112)</f>
        <v/>
      </c>
    </row>
    <row r="1113">
      <c r="A1113" s="1" t="n"/>
      <c r="B1113" s="20" t="n"/>
      <c r="C1113" s="21" t="n"/>
      <c r="D1113" s="22" t="n"/>
      <c r="E1113" s="23" t="n"/>
      <c r="F1113" s="22" t="n"/>
      <c r="G1113" s="14">
        <f>IF(OR(B1113="",E1113="",J1113="",K1113=""),"",IF(E1113&lt;J1113,"Below",IF(E1113&gt;K1113,"Above","In range")))</f>
        <v/>
      </c>
      <c r="H1113" s="1" t="n"/>
      <c r="J1113">
        <f>IF(M1113="","",IF(INDEX(Settings!$C$10:$C$18,M1113)="","",INDEX(Settings!$C$10:$C$18,M1113)))</f>
        <v/>
      </c>
      <c r="K1113">
        <f>IF(M1113="","",IF(INDEX(Settings!$D$10:$D$18,M1113)="","",INDEX(Settings!$D$10:$D$18,M1113)))</f>
        <v/>
      </c>
      <c r="L1113">
        <f>IF(OR(B1113="",E1113=""),"",B1113+MOD(N(C1113),1)+ROW()/10000000)</f>
        <v/>
      </c>
      <c r="M1113">
        <f>IF(D1113="","",IFERROR(MATCH(D1113,Settings!$B$10:$B$18,0),""))</f>
        <v/>
      </c>
      <c r="N1113">
        <f>IF(OR(B1113="",E1113="",M1113=""),"",IF(AND(B1113&gt;=Settings!$C$6,B1113&lt;=Settings!$C$7),M1113*10000+E1113,""))</f>
        <v/>
      </c>
      <c r="O1113">
        <f>IF(OR(B1113="",E1113=""),"",B1113*10000+E1113)</f>
        <v/>
      </c>
      <c r="P1113">
        <f>IF(N1113="","",E1113)</f>
        <v/>
      </c>
    </row>
    <row r="1114">
      <c r="A1114" s="1" t="n"/>
      <c r="B1114" s="20" t="n"/>
      <c r="C1114" s="21" t="n"/>
      <c r="D1114" s="22" t="n"/>
      <c r="E1114" s="23" t="n"/>
      <c r="F1114" s="22" t="n"/>
      <c r="G1114" s="14">
        <f>IF(OR(B1114="",E1114="",J1114="",K1114=""),"",IF(E1114&lt;J1114,"Below",IF(E1114&gt;K1114,"Above","In range")))</f>
        <v/>
      </c>
      <c r="H1114" s="1" t="n"/>
      <c r="J1114">
        <f>IF(M1114="","",IF(INDEX(Settings!$C$10:$C$18,M1114)="","",INDEX(Settings!$C$10:$C$18,M1114)))</f>
        <v/>
      </c>
      <c r="K1114">
        <f>IF(M1114="","",IF(INDEX(Settings!$D$10:$D$18,M1114)="","",INDEX(Settings!$D$10:$D$18,M1114)))</f>
        <v/>
      </c>
      <c r="L1114">
        <f>IF(OR(B1114="",E1114=""),"",B1114+MOD(N(C1114),1)+ROW()/10000000)</f>
        <v/>
      </c>
      <c r="M1114">
        <f>IF(D1114="","",IFERROR(MATCH(D1114,Settings!$B$10:$B$18,0),""))</f>
        <v/>
      </c>
      <c r="N1114">
        <f>IF(OR(B1114="",E1114="",M1114=""),"",IF(AND(B1114&gt;=Settings!$C$6,B1114&lt;=Settings!$C$7),M1114*10000+E1114,""))</f>
        <v/>
      </c>
      <c r="O1114">
        <f>IF(OR(B1114="",E1114=""),"",B1114*10000+E1114)</f>
        <v/>
      </c>
      <c r="P1114">
        <f>IF(N1114="","",E1114)</f>
        <v/>
      </c>
    </row>
    <row r="1115">
      <c r="A1115" s="1" t="n"/>
      <c r="B1115" s="20" t="n"/>
      <c r="C1115" s="21" t="n"/>
      <c r="D1115" s="22" t="n"/>
      <c r="E1115" s="23" t="n"/>
      <c r="F1115" s="22" t="n"/>
      <c r="G1115" s="14">
        <f>IF(OR(B1115="",E1115="",J1115="",K1115=""),"",IF(E1115&lt;J1115,"Below",IF(E1115&gt;K1115,"Above","In range")))</f>
        <v/>
      </c>
      <c r="H1115" s="1" t="n"/>
      <c r="J1115">
        <f>IF(M1115="","",IF(INDEX(Settings!$C$10:$C$18,M1115)="","",INDEX(Settings!$C$10:$C$18,M1115)))</f>
        <v/>
      </c>
      <c r="K1115">
        <f>IF(M1115="","",IF(INDEX(Settings!$D$10:$D$18,M1115)="","",INDEX(Settings!$D$10:$D$18,M1115)))</f>
        <v/>
      </c>
      <c r="L1115">
        <f>IF(OR(B1115="",E1115=""),"",B1115+MOD(N(C1115),1)+ROW()/10000000)</f>
        <v/>
      </c>
      <c r="M1115">
        <f>IF(D1115="","",IFERROR(MATCH(D1115,Settings!$B$10:$B$18,0),""))</f>
        <v/>
      </c>
      <c r="N1115">
        <f>IF(OR(B1115="",E1115="",M1115=""),"",IF(AND(B1115&gt;=Settings!$C$6,B1115&lt;=Settings!$C$7),M1115*10000+E1115,""))</f>
        <v/>
      </c>
      <c r="O1115">
        <f>IF(OR(B1115="",E1115=""),"",B1115*10000+E1115)</f>
        <v/>
      </c>
      <c r="P1115">
        <f>IF(N1115="","",E1115)</f>
        <v/>
      </c>
    </row>
    <row r="1116">
      <c r="A1116" s="1" t="n"/>
      <c r="B1116" s="20" t="n"/>
      <c r="C1116" s="21" t="n"/>
      <c r="D1116" s="22" t="n"/>
      <c r="E1116" s="23" t="n"/>
      <c r="F1116" s="22" t="n"/>
      <c r="G1116" s="14">
        <f>IF(OR(B1116="",E1116="",J1116="",K1116=""),"",IF(E1116&lt;J1116,"Below",IF(E1116&gt;K1116,"Above","In range")))</f>
        <v/>
      </c>
      <c r="H1116" s="1" t="n"/>
      <c r="J1116">
        <f>IF(M1116="","",IF(INDEX(Settings!$C$10:$C$18,M1116)="","",INDEX(Settings!$C$10:$C$18,M1116)))</f>
        <v/>
      </c>
      <c r="K1116">
        <f>IF(M1116="","",IF(INDEX(Settings!$D$10:$D$18,M1116)="","",INDEX(Settings!$D$10:$D$18,M1116)))</f>
        <v/>
      </c>
      <c r="L1116">
        <f>IF(OR(B1116="",E1116=""),"",B1116+MOD(N(C1116),1)+ROW()/10000000)</f>
        <v/>
      </c>
      <c r="M1116">
        <f>IF(D1116="","",IFERROR(MATCH(D1116,Settings!$B$10:$B$18,0),""))</f>
        <v/>
      </c>
      <c r="N1116">
        <f>IF(OR(B1116="",E1116="",M1116=""),"",IF(AND(B1116&gt;=Settings!$C$6,B1116&lt;=Settings!$C$7),M1116*10000+E1116,""))</f>
        <v/>
      </c>
      <c r="O1116">
        <f>IF(OR(B1116="",E1116=""),"",B1116*10000+E1116)</f>
        <v/>
      </c>
      <c r="P1116">
        <f>IF(N1116="","",E1116)</f>
        <v/>
      </c>
    </row>
    <row r="1117">
      <c r="A1117" s="1" t="n"/>
      <c r="B1117" s="20" t="n"/>
      <c r="C1117" s="21" t="n"/>
      <c r="D1117" s="22" t="n"/>
      <c r="E1117" s="23" t="n"/>
      <c r="F1117" s="22" t="n"/>
      <c r="G1117" s="14">
        <f>IF(OR(B1117="",E1117="",J1117="",K1117=""),"",IF(E1117&lt;J1117,"Below",IF(E1117&gt;K1117,"Above","In range")))</f>
        <v/>
      </c>
      <c r="H1117" s="1" t="n"/>
      <c r="J1117">
        <f>IF(M1117="","",IF(INDEX(Settings!$C$10:$C$18,M1117)="","",INDEX(Settings!$C$10:$C$18,M1117)))</f>
        <v/>
      </c>
      <c r="K1117">
        <f>IF(M1117="","",IF(INDEX(Settings!$D$10:$D$18,M1117)="","",INDEX(Settings!$D$10:$D$18,M1117)))</f>
        <v/>
      </c>
      <c r="L1117">
        <f>IF(OR(B1117="",E1117=""),"",B1117+MOD(N(C1117),1)+ROW()/10000000)</f>
        <v/>
      </c>
      <c r="M1117">
        <f>IF(D1117="","",IFERROR(MATCH(D1117,Settings!$B$10:$B$18,0),""))</f>
        <v/>
      </c>
      <c r="N1117">
        <f>IF(OR(B1117="",E1117="",M1117=""),"",IF(AND(B1117&gt;=Settings!$C$6,B1117&lt;=Settings!$C$7),M1117*10000+E1117,""))</f>
        <v/>
      </c>
      <c r="O1117">
        <f>IF(OR(B1117="",E1117=""),"",B1117*10000+E1117)</f>
        <v/>
      </c>
      <c r="P1117">
        <f>IF(N1117="","",E1117)</f>
        <v/>
      </c>
    </row>
    <row r="1118">
      <c r="A1118" s="1" t="n"/>
      <c r="B1118" s="20" t="n"/>
      <c r="C1118" s="21" t="n"/>
      <c r="D1118" s="22" t="n"/>
      <c r="E1118" s="23" t="n"/>
      <c r="F1118" s="22" t="n"/>
      <c r="G1118" s="14">
        <f>IF(OR(B1118="",E1118="",J1118="",K1118=""),"",IF(E1118&lt;J1118,"Below",IF(E1118&gt;K1118,"Above","In range")))</f>
        <v/>
      </c>
      <c r="H1118" s="1" t="n"/>
      <c r="J1118">
        <f>IF(M1118="","",IF(INDEX(Settings!$C$10:$C$18,M1118)="","",INDEX(Settings!$C$10:$C$18,M1118)))</f>
        <v/>
      </c>
      <c r="K1118">
        <f>IF(M1118="","",IF(INDEX(Settings!$D$10:$D$18,M1118)="","",INDEX(Settings!$D$10:$D$18,M1118)))</f>
        <v/>
      </c>
      <c r="L1118">
        <f>IF(OR(B1118="",E1118=""),"",B1118+MOD(N(C1118),1)+ROW()/10000000)</f>
        <v/>
      </c>
      <c r="M1118">
        <f>IF(D1118="","",IFERROR(MATCH(D1118,Settings!$B$10:$B$18,0),""))</f>
        <v/>
      </c>
      <c r="N1118">
        <f>IF(OR(B1118="",E1118="",M1118=""),"",IF(AND(B1118&gt;=Settings!$C$6,B1118&lt;=Settings!$C$7),M1118*10000+E1118,""))</f>
        <v/>
      </c>
      <c r="O1118">
        <f>IF(OR(B1118="",E1118=""),"",B1118*10000+E1118)</f>
        <v/>
      </c>
      <c r="P1118">
        <f>IF(N1118="","",E1118)</f>
        <v/>
      </c>
    </row>
    <row r="1119">
      <c r="A1119" s="1" t="n"/>
      <c r="B1119" s="20" t="n"/>
      <c r="C1119" s="21" t="n"/>
      <c r="D1119" s="22" t="n"/>
      <c r="E1119" s="23" t="n"/>
      <c r="F1119" s="22" t="n"/>
      <c r="G1119" s="14">
        <f>IF(OR(B1119="",E1119="",J1119="",K1119=""),"",IF(E1119&lt;J1119,"Below",IF(E1119&gt;K1119,"Above","In range")))</f>
        <v/>
      </c>
      <c r="H1119" s="1" t="n"/>
      <c r="J1119">
        <f>IF(M1119="","",IF(INDEX(Settings!$C$10:$C$18,M1119)="","",INDEX(Settings!$C$10:$C$18,M1119)))</f>
        <v/>
      </c>
      <c r="K1119">
        <f>IF(M1119="","",IF(INDEX(Settings!$D$10:$D$18,M1119)="","",INDEX(Settings!$D$10:$D$18,M1119)))</f>
        <v/>
      </c>
      <c r="L1119">
        <f>IF(OR(B1119="",E1119=""),"",B1119+MOD(N(C1119),1)+ROW()/10000000)</f>
        <v/>
      </c>
      <c r="M1119">
        <f>IF(D1119="","",IFERROR(MATCH(D1119,Settings!$B$10:$B$18,0),""))</f>
        <v/>
      </c>
      <c r="N1119">
        <f>IF(OR(B1119="",E1119="",M1119=""),"",IF(AND(B1119&gt;=Settings!$C$6,B1119&lt;=Settings!$C$7),M1119*10000+E1119,""))</f>
        <v/>
      </c>
      <c r="O1119">
        <f>IF(OR(B1119="",E1119=""),"",B1119*10000+E1119)</f>
        <v/>
      </c>
      <c r="P1119">
        <f>IF(N1119="","",E1119)</f>
        <v/>
      </c>
    </row>
    <row r="1120">
      <c r="A1120" s="1" t="n"/>
      <c r="B1120" s="20" t="n"/>
      <c r="C1120" s="21" t="n"/>
      <c r="D1120" s="22" t="n"/>
      <c r="E1120" s="23" t="n"/>
      <c r="F1120" s="22" t="n"/>
      <c r="G1120" s="14">
        <f>IF(OR(B1120="",E1120="",J1120="",K1120=""),"",IF(E1120&lt;J1120,"Below",IF(E1120&gt;K1120,"Above","In range")))</f>
        <v/>
      </c>
      <c r="H1120" s="1" t="n"/>
      <c r="J1120">
        <f>IF(M1120="","",IF(INDEX(Settings!$C$10:$C$18,M1120)="","",INDEX(Settings!$C$10:$C$18,M1120)))</f>
        <v/>
      </c>
      <c r="K1120">
        <f>IF(M1120="","",IF(INDEX(Settings!$D$10:$D$18,M1120)="","",INDEX(Settings!$D$10:$D$18,M1120)))</f>
        <v/>
      </c>
      <c r="L1120">
        <f>IF(OR(B1120="",E1120=""),"",B1120+MOD(N(C1120),1)+ROW()/10000000)</f>
        <v/>
      </c>
      <c r="M1120">
        <f>IF(D1120="","",IFERROR(MATCH(D1120,Settings!$B$10:$B$18,0),""))</f>
        <v/>
      </c>
      <c r="N1120">
        <f>IF(OR(B1120="",E1120="",M1120=""),"",IF(AND(B1120&gt;=Settings!$C$6,B1120&lt;=Settings!$C$7),M1120*10000+E1120,""))</f>
        <v/>
      </c>
      <c r="O1120">
        <f>IF(OR(B1120="",E1120=""),"",B1120*10000+E1120)</f>
        <v/>
      </c>
      <c r="P1120">
        <f>IF(N1120="","",E1120)</f>
        <v/>
      </c>
    </row>
    <row r="1121">
      <c r="A1121" s="1" t="n"/>
      <c r="B1121" s="20" t="n"/>
      <c r="C1121" s="21" t="n"/>
      <c r="D1121" s="22" t="n"/>
      <c r="E1121" s="23" t="n"/>
      <c r="F1121" s="22" t="n"/>
      <c r="G1121" s="14">
        <f>IF(OR(B1121="",E1121="",J1121="",K1121=""),"",IF(E1121&lt;J1121,"Below",IF(E1121&gt;K1121,"Above","In range")))</f>
        <v/>
      </c>
      <c r="H1121" s="1" t="n"/>
      <c r="J1121">
        <f>IF(M1121="","",IF(INDEX(Settings!$C$10:$C$18,M1121)="","",INDEX(Settings!$C$10:$C$18,M1121)))</f>
        <v/>
      </c>
      <c r="K1121">
        <f>IF(M1121="","",IF(INDEX(Settings!$D$10:$D$18,M1121)="","",INDEX(Settings!$D$10:$D$18,M1121)))</f>
        <v/>
      </c>
      <c r="L1121">
        <f>IF(OR(B1121="",E1121=""),"",B1121+MOD(N(C1121),1)+ROW()/10000000)</f>
        <v/>
      </c>
      <c r="M1121">
        <f>IF(D1121="","",IFERROR(MATCH(D1121,Settings!$B$10:$B$18,0),""))</f>
        <v/>
      </c>
      <c r="N1121">
        <f>IF(OR(B1121="",E1121="",M1121=""),"",IF(AND(B1121&gt;=Settings!$C$6,B1121&lt;=Settings!$C$7),M1121*10000+E1121,""))</f>
        <v/>
      </c>
      <c r="O1121">
        <f>IF(OR(B1121="",E1121=""),"",B1121*10000+E1121)</f>
        <v/>
      </c>
      <c r="P1121">
        <f>IF(N1121="","",E1121)</f>
        <v/>
      </c>
    </row>
    <row r="1122">
      <c r="A1122" s="1" t="n"/>
      <c r="B1122" s="20" t="n"/>
      <c r="C1122" s="21" t="n"/>
      <c r="D1122" s="22" t="n"/>
      <c r="E1122" s="23" t="n"/>
      <c r="F1122" s="22" t="n"/>
      <c r="G1122" s="14">
        <f>IF(OR(B1122="",E1122="",J1122="",K1122=""),"",IF(E1122&lt;J1122,"Below",IF(E1122&gt;K1122,"Above","In range")))</f>
        <v/>
      </c>
      <c r="H1122" s="1" t="n"/>
      <c r="J1122">
        <f>IF(M1122="","",IF(INDEX(Settings!$C$10:$C$18,M1122)="","",INDEX(Settings!$C$10:$C$18,M1122)))</f>
        <v/>
      </c>
      <c r="K1122">
        <f>IF(M1122="","",IF(INDEX(Settings!$D$10:$D$18,M1122)="","",INDEX(Settings!$D$10:$D$18,M1122)))</f>
        <v/>
      </c>
      <c r="L1122">
        <f>IF(OR(B1122="",E1122=""),"",B1122+MOD(N(C1122),1)+ROW()/10000000)</f>
        <v/>
      </c>
      <c r="M1122">
        <f>IF(D1122="","",IFERROR(MATCH(D1122,Settings!$B$10:$B$18,0),""))</f>
        <v/>
      </c>
      <c r="N1122">
        <f>IF(OR(B1122="",E1122="",M1122=""),"",IF(AND(B1122&gt;=Settings!$C$6,B1122&lt;=Settings!$C$7),M1122*10000+E1122,""))</f>
        <v/>
      </c>
      <c r="O1122">
        <f>IF(OR(B1122="",E1122=""),"",B1122*10000+E1122)</f>
        <v/>
      </c>
      <c r="P1122">
        <f>IF(N1122="","",E1122)</f>
        <v/>
      </c>
    </row>
    <row r="1123">
      <c r="A1123" s="1" t="n"/>
      <c r="B1123" s="20" t="n"/>
      <c r="C1123" s="21" t="n"/>
      <c r="D1123" s="22" t="n"/>
      <c r="E1123" s="23" t="n"/>
      <c r="F1123" s="22" t="n"/>
      <c r="G1123" s="14">
        <f>IF(OR(B1123="",E1123="",J1123="",K1123=""),"",IF(E1123&lt;J1123,"Below",IF(E1123&gt;K1123,"Above","In range")))</f>
        <v/>
      </c>
      <c r="H1123" s="1" t="n"/>
      <c r="J1123">
        <f>IF(M1123="","",IF(INDEX(Settings!$C$10:$C$18,M1123)="","",INDEX(Settings!$C$10:$C$18,M1123)))</f>
        <v/>
      </c>
      <c r="K1123">
        <f>IF(M1123="","",IF(INDEX(Settings!$D$10:$D$18,M1123)="","",INDEX(Settings!$D$10:$D$18,M1123)))</f>
        <v/>
      </c>
      <c r="L1123">
        <f>IF(OR(B1123="",E1123=""),"",B1123+MOD(N(C1123),1)+ROW()/10000000)</f>
        <v/>
      </c>
      <c r="M1123">
        <f>IF(D1123="","",IFERROR(MATCH(D1123,Settings!$B$10:$B$18,0),""))</f>
        <v/>
      </c>
      <c r="N1123">
        <f>IF(OR(B1123="",E1123="",M1123=""),"",IF(AND(B1123&gt;=Settings!$C$6,B1123&lt;=Settings!$C$7),M1123*10000+E1123,""))</f>
        <v/>
      </c>
      <c r="O1123">
        <f>IF(OR(B1123="",E1123=""),"",B1123*10000+E1123)</f>
        <v/>
      </c>
      <c r="P1123">
        <f>IF(N1123="","",E1123)</f>
        <v/>
      </c>
    </row>
    <row r="1124">
      <c r="A1124" s="1" t="n"/>
      <c r="B1124" s="20" t="n"/>
      <c r="C1124" s="21" t="n"/>
      <c r="D1124" s="22" t="n"/>
      <c r="E1124" s="23" t="n"/>
      <c r="F1124" s="22" t="n"/>
      <c r="G1124" s="14">
        <f>IF(OR(B1124="",E1124="",J1124="",K1124=""),"",IF(E1124&lt;J1124,"Below",IF(E1124&gt;K1124,"Above","In range")))</f>
        <v/>
      </c>
      <c r="H1124" s="1" t="n"/>
      <c r="J1124">
        <f>IF(M1124="","",IF(INDEX(Settings!$C$10:$C$18,M1124)="","",INDEX(Settings!$C$10:$C$18,M1124)))</f>
        <v/>
      </c>
      <c r="K1124">
        <f>IF(M1124="","",IF(INDEX(Settings!$D$10:$D$18,M1124)="","",INDEX(Settings!$D$10:$D$18,M1124)))</f>
        <v/>
      </c>
      <c r="L1124">
        <f>IF(OR(B1124="",E1124=""),"",B1124+MOD(N(C1124),1)+ROW()/10000000)</f>
        <v/>
      </c>
      <c r="M1124">
        <f>IF(D1124="","",IFERROR(MATCH(D1124,Settings!$B$10:$B$18,0),""))</f>
        <v/>
      </c>
      <c r="N1124">
        <f>IF(OR(B1124="",E1124="",M1124=""),"",IF(AND(B1124&gt;=Settings!$C$6,B1124&lt;=Settings!$C$7),M1124*10000+E1124,""))</f>
        <v/>
      </c>
      <c r="O1124">
        <f>IF(OR(B1124="",E1124=""),"",B1124*10000+E1124)</f>
        <v/>
      </c>
      <c r="P1124">
        <f>IF(N1124="","",E1124)</f>
        <v/>
      </c>
    </row>
    <row r="1125">
      <c r="A1125" s="1" t="n"/>
      <c r="B1125" s="20" t="n"/>
      <c r="C1125" s="21" t="n"/>
      <c r="D1125" s="22" t="n"/>
      <c r="E1125" s="23" t="n"/>
      <c r="F1125" s="22" t="n"/>
      <c r="G1125" s="14">
        <f>IF(OR(B1125="",E1125="",J1125="",K1125=""),"",IF(E1125&lt;J1125,"Below",IF(E1125&gt;K1125,"Above","In range")))</f>
        <v/>
      </c>
      <c r="H1125" s="1" t="n"/>
      <c r="J1125">
        <f>IF(M1125="","",IF(INDEX(Settings!$C$10:$C$18,M1125)="","",INDEX(Settings!$C$10:$C$18,M1125)))</f>
        <v/>
      </c>
      <c r="K1125">
        <f>IF(M1125="","",IF(INDEX(Settings!$D$10:$D$18,M1125)="","",INDEX(Settings!$D$10:$D$18,M1125)))</f>
        <v/>
      </c>
      <c r="L1125">
        <f>IF(OR(B1125="",E1125=""),"",B1125+MOD(N(C1125),1)+ROW()/10000000)</f>
        <v/>
      </c>
      <c r="M1125">
        <f>IF(D1125="","",IFERROR(MATCH(D1125,Settings!$B$10:$B$18,0),""))</f>
        <v/>
      </c>
      <c r="N1125">
        <f>IF(OR(B1125="",E1125="",M1125=""),"",IF(AND(B1125&gt;=Settings!$C$6,B1125&lt;=Settings!$C$7),M1125*10000+E1125,""))</f>
        <v/>
      </c>
      <c r="O1125">
        <f>IF(OR(B1125="",E1125=""),"",B1125*10000+E1125)</f>
        <v/>
      </c>
      <c r="P1125">
        <f>IF(N1125="","",E1125)</f>
        <v/>
      </c>
    </row>
    <row r="1126">
      <c r="A1126" s="1" t="n"/>
      <c r="B1126" s="20" t="n"/>
      <c r="C1126" s="21" t="n"/>
      <c r="D1126" s="22" t="n"/>
      <c r="E1126" s="23" t="n"/>
      <c r="F1126" s="22" t="n"/>
      <c r="G1126" s="14">
        <f>IF(OR(B1126="",E1126="",J1126="",K1126=""),"",IF(E1126&lt;J1126,"Below",IF(E1126&gt;K1126,"Above","In range")))</f>
        <v/>
      </c>
      <c r="H1126" s="1" t="n"/>
      <c r="J1126">
        <f>IF(M1126="","",IF(INDEX(Settings!$C$10:$C$18,M1126)="","",INDEX(Settings!$C$10:$C$18,M1126)))</f>
        <v/>
      </c>
      <c r="K1126">
        <f>IF(M1126="","",IF(INDEX(Settings!$D$10:$D$18,M1126)="","",INDEX(Settings!$D$10:$D$18,M1126)))</f>
        <v/>
      </c>
      <c r="L1126">
        <f>IF(OR(B1126="",E1126=""),"",B1126+MOD(N(C1126),1)+ROW()/10000000)</f>
        <v/>
      </c>
      <c r="M1126">
        <f>IF(D1126="","",IFERROR(MATCH(D1126,Settings!$B$10:$B$18,0),""))</f>
        <v/>
      </c>
      <c r="N1126">
        <f>IF(OR(B1126="",E1126="",M1126=""),"",IF(AND(B1126&gt;=Settings!$C$6,B1126&lt;=Settings!$C$7),M1126*10000+E1126,""))</f>
        <v/>
      </c>
      <c r="O1126">
        <f>IF(OR(B1126="",E1126=""),"",B1126*10000+E1126)</f>
        <v/>
      </c>
      <c r="P1126">
        <f>IF(N1126="","",E1126)</f>
        <v/>
      </c>
    </row>
    <row r="1127">
      <c r="A1127" s="1" t="n"/>
      <c r="B1127" s="20" t="n"/>
      <c r="C1127" s="21" t="n"/>
      <c r="D1127" s="22" t="n"/>
      <c r="E1127" s="23" t="n"/>
      <c r="F1127" s="22" t="n"/>
      <c r="G1127" s="14">
        <f>IF(OR(B1127="",E1127="",J1127="",K1127=""),"",IF(E1127&lt;J1127,"Below",IF(E1127&gt;K1127,"Above","In range")))</f>
        <v/>
      </c>
      <c r="H1127" s="1" t="n"/>
      <c r="J1127">
        <f>IF(M1127="","",IF(INDEX(Settings!$C$10:$C$18,M1127)="","",INDEX(Settings!$C$10:$C$18,M1127)))</f>
        <v/>
      </c>
      <c r="K1127">
        <f>IF(M1127="","",IF(INDEX(Settings!$D$10:$D$18,M1127)="","",INDEX(Settings!$D$10:$D$18,M1127)))</f>
        <v/>
      </c>
      <c r="L1127">
        <f>IF(OR(B1127="",E1127=""),"",B1127+MOD(N(C1127),1)+ROW()/10000000)</f>
        <v/>
      </c>
      <c r="M1127">
        <f>IF(D1127="","",IFERROR(MATCH(D1127,Settings!$B$10:$B$18,0),""))</f>
        <v/>
      </c>
      <c r="N1127">
        <f>IF(OR(B1127="",E1127="",M1127=""),"",IF(AND(B1127&gt;=Settings!$C$6,B1127&lt;=Settings!$C$7),M1127*10000+E1127,""))</f>
        <v/>
      </c>
      <c r="O1127">
        <f>IF(OR(B1127="",E1127=""),"",B1127*10000+E1127)</f>
        <v/>
      </c>
      <c r="P1127">
        <f>IF(N1127="","",E1127)</f>
        <v/>
      </c>
    </row>
    <row r="1128">
      <c r="A1128" s="1" t="n"/>
      <c r="B1128" s="20" t="n"/>
      <c r="C1128" s="21" t="n"/>
      <c r="D1128" s="22" t="n"/>
      <c r="E1128" s="23" t="n"/>
      <c r="F1128" s="22" t="n"/>
      <c r="G1128" s="14">
        <f>IF(OR(B1128="",E1128="",J1128="",K1128=""),"",IF(E1128&lt;J1128,"Below",IF(E1128&gt;K1128,"Above","In range")))</f>
        <v/>
      </c>
      <c r="H1128" s="1" t="n"/>
      <c r="J1128">
        <f>IF(M1128="","",IF(INDEX(Settings!$C$10:$C$18,M1128)="","",INDEX(Settings!$C$10:$C$18,M1128)))</f>
        <v/>
      </c>
      <c r="K1128">
        <f>IF(M1128="","",IF(INDEX(Settings!$D$10:$D$18,M1128)="","",INDEX(Settings!$D$10:$D$18,M1128)))</f>
        <v/>
      </c>
      <c r="L1128">
        <f>IF(OR(B1128="",E1128=""),"",B1128+MOD(N(C1128),1)+ROW()/10000000)</f>
        <v/>
      </c>
      <c r="M1128">
        <f>IF(D1128="","",IFERROR(MATCH(D1128,Settings!$B$10:$B$18,0),""))</f>
        <v/>
      </c>
      <c r="N1128">
        <f>IF(OR(B1128="",E1128="",M1128=""),"",IF(AND(B1128&gt;=Settings!$C$6,B1128&lt;=Settings!$C$7),M1128*10000+E1128,""))</f>
        <v/>
      </c>
      <c r="O1128">
        <f>IF(OR(B1128="",E1128=""),"",B1128*10000+E1128)</f>
        <v/>
      </c>
      <c r="P1128">
        <f>IF(N1128="","",E1128)</f>
        <v/>
      </c>
    </row>
    <row r="1129">
      <c r="A1129" s="1" t="n"/>
      <c r="B1129" s="20" t="n"/>
      <c r="C1129" s="21" t="n"/>
      <c r="D1129" s="22" t="n"/>
      <c r="E1129" s="23" t="n"/>
      <c r="F1129" s="22" t="n"/>
      <c r="G1129" s="14">
        <f>IF(OR(B1129="",E1129="",J1129="",K1129=""),"",IF(E1129&lt;J1129,"Below",IF(E1129&gt;K1129,"Above","In range")))</f>
        <v/>
      </c>
      <c r="H1129" s="1" t="n"/>
      <c r="J1129">
        <f>IF(M1129="","",IF(INDEX(Settings!$C$10:$C$18,M1129)="","",INDEX(Settings!$C$10:$C$18,M1129)))</f>
        <v/>
      </c>
      <c r="K1129">
        <f>IF(M1129="","",IF(INDEX(Settings!$D$10:$D$18,M1129)="","",INDEX(Settings!$D$10:$D$18,M1129)))</f>
        <v/>
      </c>
      <c r="L1129">
        <f>IF(OR(B1129="",E1129=""),"",B1129+MOD(N(C1129),1)+ROW()/10000000)</f>
        <v/>
      </c>
      <c r="M1129">
        <f>IF(D1129="","",IFERROR(MATCH(D1129,Settings!$B$10:$B$18,0),""))</f>
        <v/>
      </c>
      <c r="N1129">
        <f>IF(OR(B1129="",E1129="",M1129=""),"",IF(AND(B1129&gt;=Settings!$C$6,B1129&lt;=Settings!$C$7),M1129*10000+E1129,""))</f>
        <v/>
      </c>
      <c r="O1129">
        <f>IF(OR(B1129="",E1129=""),"",B1129*10000+E1129)</f>
        <v/>
      </c>
      <c r="P1129">
        <f>IF(N1129="","",E1129)</f>
        <v/>
      </c>
    </row>
    <row r="1130">
      <c r="A1130" s="1" t="n"/>
      <c r="B1130" s="20" t="n"/>
      <c r="C1130" s="21" t="n"/>
      <c r="D1130" s="22" t="n"/>
      <c r="E1130" s="23" t="n"/>
      <c r="F1130" s="22" t="n"/>
      <c r="G1130" s="14">
        <f>IF(OR(B1130="",E1130="",J1130="",K1130=""),"",IF(E1130&lt;J1130,"Below",IF(E1130&gt;K1130,"Above","In range")))</f>
        <v/>
      </c>
      <c r="H1130" s="1" t="n"/>
      <c r="J1130">
        <f>IF(M1130="","",IF(INDEX(Settings!$C$10:$C$18,M1130)="","",INDEX(Settings!$C$10:$C$18,M1130)))</f>
        <v/>
      </c>
      <c r="K1130">
        <f>IF(M1130="","",IF(INDEX(Settings!$D$10:$D$18,M1130)="","",INDEX(Settings!$D$10:$D$18,M1130)))</f>
        <v/>
      </c>
      <c r="L1130">
        <f>IF(OR(B1130="",E1130=""),"",B1130+MOD(N(C1130),1)+ROW()/10000000)</f>
        <v/>
      </c>
      <c r="M1130">
        <f>IF(D1130="","",IFERROR(MATCH(D1130,Settings!$B$10:$B$18,0),""))</f>
        <v/>
      </c>
      <c r="N1130">
        <f>IF(OR(B1130="",E1130="",M1130=""),"",IF(AND(B1130&gt;=Settings!$C$6,B1130&lt;=Settings!$C$7),M1130*10000+E1130,""))</f>
        <v/>
      </c>
      <c r="O1130">
        <f>IF(OR(B1130="",E1130=""),"",B1130*10000+E1130)</f>
        <v/>
      </c>
      <c r="P1130">
        <f>IF(N1130="","",E1130)</f>
        <v/>
      </c>
    </row>
    <row r="1131">
      <c r="A1131" s="1" t="n"/>
      <c r="B1131" s="20" t="n"/>
      <c r="C1131" s="21" t="n"/>
      <c r="D1131" s="22" t="n"/>
      <c r="E1131" s="23" t="n"/>
      <c r="F1131" s="22" t="n"/>
      <c r="G1131" s="14">
        <f>IF(OR(B1131="",E1131="",J1131="",K1131=""),"",IF(E1131&lt;J1131,"Below",IF(E1131&gt;K1131,"Above","In range")))</f>
        <v/>
      </c>
      <c r="H1131" s="1" t="n"/>
      <c r="J1131">
        <f>IF(M1131="","",IF(INDEX(Settings!$C$10:$C$18,M1131)="","",INDEX(Settings!$C$10:$C$18,M1131)))</f>
        <v/>
      </c>
      <c r="K1131">
        <f>IF(M1131="","",IF(INDEX(Settings!$D$10:$D$18,M1131)="","",INDEX(Settings!$D$10:$D$18,M1131)))</f>
        <v/>
      </c>
      <c r="L1131">
        <f>IF(OR(B1131="",E1131=""),"",B1131+MOD(N(C1131),1)+ROW()/10000000)</f>
        <v/>
      </c>
      <c r="M1131">
        <f>IF(D1131="","",IFERROR(MATCH(D1131,Settings!$B$10:$B$18,0),""))</f>
        <v/>
      </c>
      <c r="N1131">
        <f>IF(OR(B1131="",E1131="",M1131=""),"",IF(AND(B1131&gt;=Settings!$C$6,B1131&lt;=Settings!$C$7),M1131*10000+E1131,""))</f>
        <v/>
      </c>
      <c r="O1131">
        <f>IF(OR(B1131="",E1131=""),"",B1131*10000+E1131)</f>
        <v/>
      </c>
      <c r="P1131">
        <f>IF(N1131="","",E1131)</f>
        <v/>
      </c>
    </row>
    <row r="1132">
      <c r="A1132" s="1" t="n"/>
      <c r="B1132" s="20" t="n"/>
      <c r="C1132" s="21" t="n"/>
      <c r="D1132" s="22" t="n"/>
      <c r="E1132" s="23" t="n"/>
      <c r="F1132" s="22" t="n"/>
      <c r="G1132" s="14">
        <f>IF(OR(B1132="",E1132="",J1132="",K1132=""),"",IF(E1132&lt;J1132,"Below",IF(E1132&gt;K1132,"Above","In range")))</f>
        <v/>
      </c>
      <c r="H1132" s="1" t="n"/>
      <c r="J1132">
        <f>IF(M1132="","",IF(INDEX(Settings!$C$10:$C$18,M1132)="","",INDEX(Settings!$C$10:$C$18,M1132)))</f>
        <v/>
      </c>
      <c r="K1132">
        <f>IF(M1132="","",IF(INDEX(Settings!$D$10:$D$18,M1132)="","",INDEX(Settings!$D$10:$D$18,M1132)))</f>
        <v/>
      </c>
      <c r="L1132">
        <f>IF(OR(B1132="",E1132=""),"",B1132+MOD(N(C1132),1)+ROW()/10000000)</f>
        <v/>
      </c>
      <c r="M1132">
        <f>IF(D1132="","",IFERROR(MATCH(D1132,Settings!$B$10:$B$18,0),""))</f>
        <v/>
      </c>
      <c r="N1132">
        <f>IF(OR(B1132="",E1132="",M1132=""),"",IF(AND(B1132&gt;=Settings!$C$6,B1132&lt;=Settings!$C$7),M1132*10000+E1132,""))</f>
        <v/>
      </c>
      <c r="O1132">
        <f>IF(OR(B1132="",E1132=""),"",B1132*10000+E1132)</f>
        <v/>
      </c>
      <c r="P1132">
        <f>IF(N1132="","",E1132)</f>
        <v/>
      </c>
    </row>
    <row r="1133">
      <c r="A1133" s="1" t="n"/>
      <c r="B1133" s="20" t="n"/>
      <c r="C1133" s="21" t="n"/>
      <c r="D1133" s="22" t="n"/>
      <c r="E1133" s="23" t="n"/>
      <c r="F1133" s="22" t="n"/>
      <c r="G1133" s="14">
        <f>IF(OR(B1133="",E1133="",J1133="",K1133=""),"",IF(E1133&lt;J1133,"Below",IF(E1133&gt;K1133,"Above","In range")))</f>
        <v/>
      </c>
      <c r="H1133" s="1" t="n"/>
      <c r="J1133">
        <f>IF(M1133="","",IF(INDEX(Settings!$C$10:$C$18,M1133)="","",INDEX(Settings!$C$10:$C$18,M1133)))</f>
        <v/>
      </c>
      <c r="K1133">
        <f>IF(M1133="","",IF(INDEX(Settings!$D$10:$D$18,M1133)="","",INDEX(Settings!$D$10:$D$18,M1133)))</f>
        <v/>
      </c>
      <c r="L1133">
        <f>IF(OR(B1133="",E1133=""),"",B1133+MOD(N(C1133),1)+ROW()/10000000)</f>
        <v/>
      </c>
      <c r="M1133">
        <f>IF(D1133="","",IFERROR(MATCH(D1133,Settings!$B$10:$B$18,0),""))</f>
        <v/>
      </c>
      <c r="N1133">
        <f>IF(OR(B1133="",E1133="",M1133=""),"",IF(AND(B1133&gt;=Settings!$C$6,B1133&lt;=Settings!$C$7),M1133*10000+E1133,""))</f>
        <v/>
      </c>
      <c r="O1133">
        <f>IF(OR(B1133="",E1133=""),"",B1133*10000+E1133)</f>
        <v/>
      </c>
      <c r="P1133">
        <f>IF(N1133="","",E1133)</f>
        <v/>
      </c>
    </row>
    <row r="1134">
      <c r="A1134" s="1" t="n"/>
      <c r="B1134" s="20" t="n"/>
      <c r="C1134" s="21" t="n"/>
      <c r="D1134" s="22" t="n"/>
      <c r="E1134" s="23" t="n"/>
      <c r="F1134" s="22" t="n"/>
      <c r="G1134" s="14">
        <f>IF(OR(B1134="",E1134="",J1134="",K1134=""),"",IF(E1134&lt;J1134,"Below",IF(E1134&gt;K1134,"Above","In range")))</f>
        <v/>
      </c>
      <c r="H1134" s="1" t="n"/>
      <c r="J1134">
        <f>IF(M1134="","",IF(INDEX(Settings!$C$10:$C$18,M1134)="","",INDEX(Settings!$C$10:$C$18,M1134)))</f>
        <v/>
      </c>
      <c r="K1134">
        <f>IF(M1134="","",IF(INDEX(Settings!$D$10:$D$18,M1134)="","",INDEX(Settings!$D$10:$D$18,M1134)))</f>
        <v/>
      </c>
      <c r="L1134">
        <f>IF(OR(B1134="",E1134=""),"",B1134+MOD(N(C1134),1)+ROW()/10000000)</f>
        <v/>
      </c>
      <c r="M1134">
        <f>IF(D1134="","",IFERROR(MATCH(D1134,Settings!$B$10:$B$18,0),""))</f>
        <v/>
      </c>
      <c r="N1134">
        <f>IF(OR(B1134="",E1134="",M1134=""),"",IF(AND(B1134&gt;=Settings!$C$6,B1134&lt;=Settings!$C$7),M1134*10000+E1134,""))</f>
        <v/>
      </c>
      <c r="O1134">
        <f>IF(OR(B1134="",E1134=""),"",B1134*10000+E1134)</f>
        <v/>
      </c>
      <c r="P1134">
        <f>IF(N1134="","",E1134)</f>
        <v/>
      </c>
    </row>
    <row r="1135">
      <c r="A1135" s="1" t="n"/>
      <c r="B1135" s="20" t="n"/>
      <c r="C1135" s="21" t="n"/>
      <c r="D1135" s="22" t="n"/>
      <c r="E1135" s="23" t="n"/>
      <c r="F1135" s="22" t="n"/>
      <c r="G1135" s="14">
        <f>IF(OR(B1135="",E1135="",J1135="",K1135=""),"",IF(E1135&lt;J1135,"Below",IF(E1135&gt;K1135,"Above","In range")))</f>
        <v/>
      </c>
      <c r="H1135" s="1" t="n"/>
      <c r="J1135">
        <f>IF(M1135="","",IF(INDEX(Settings!$C$10:$C$18,M1135)="","",INDEX(Settings!$C$10:$C$18,M1135)))</f>
        <v/>
      </c>
      <c r="K1135">
        <f>IF(M1135="","",IF(INDEX(Settings!$D$10:$D$18,M1135)="","",INDEX(Settings!$D$10:$D$18,M1135)))</f>
        <v/>
      </c>
      <c r="L1135">
        <f>IF(OR(B1135="",E1135=""),"",B1135+MOD(N(C1135),1)+ROW()/10000000)</f>
        <v/>
      </c>
      <c r="M1135">
        <f>IF(D1135="","",IFERROR(MATCH(D1135,Settings!$B$10:$B$18,0),""))</f>
        <v/>
      </c>
      <c r="N1135">
        <f>IF(OR(B1135="",E1135="",M1135=""),"",IF(AND(B1135&gt;=Settings!$C$6,B1135&lt;=Settings!$C$7),M1135*10000+E1135,""))</f>
        <v/>
      </c>
      <c r="O1135">
        <f>IF(OR(B1135="",E1135=""),"",B1135*10000+E1135)</f>
        <v/>
      </c>
      <c r="P1135">
        <f>IF(N1135="","",E1135)</f>
        <v/>
      </c>
    </row>
    <row r="1136">
      <c r="A1136" s="1" t="n"/>
      <c r="B1136" s="20" t="n"/>
      <c r="C1136" s="21" t="n"/>
      <c r="D1136" s="22" t="n"/>
      <c r="E1136" s="23" t="n"/>
      <c r="F1136" s="22" t="n"/>
      <c r="G1136" s="14">
        <f>IF(OR(B1136="",E1136="",J1136="",K1136=""),"",IF(E1136&lt;J1136,"Below",IF(E1136&gt;K1136,"Above","In range")))</f>
        <v/>
      </c>
      <c r="H1136" s="1" t="n"/>
      <c r="J1136">
        <f>IF(M1136="","",IF(INDEX(Settings!$C$10:$C$18,M1136)="","",INDEX(Settings!$C$10:$C$18,M1136)))</f>
        <v/>
      </c>
      <c r="K1136">
        <f>IF(M1136="","",IF(INDEX(Settings!$D$10:$D$18,M1136)="","",INDEX(Settings!$D$10:$D$18,M1136)))</f>
        <v/>
      </c>
      <c r="L1136">
        <f>IF(OR(B1136="",E1136=""),"",B1136+MOD(N(C1136),1)+ROW()/10000000)</f>
        <v/>
      </c>
      <c r="M1136">
        <f>IF(D1136="","",IFERROR(MATCH(D1136,Settings!$B$10:$B$18,0),""))</f>
        <v/>
      </c>
      <c r="N1136">
        <f>IF(OR(B1136="",E1136="",M1136=""),"",IF(AND(B1136&gt;=Settings!$C$6,B1136&lt;=Settings!$C$7),M1136*10000+E1136,""))</f>
        <v/>
      </c>
      <c r="O1136">
        <f>IF(OR(B1136="",E1136=""),"",B1136*10000+E1136)</f>
        <v/>
      </c>
      <c r="P1136">
        <f>IF(N1136="","",E1136)</f>
        <v/>
      </c>
    </row>
    <row r="1137">
      <c r="A1137" s="1" t="n"/>
      <c r="B1137" s="20" t="n"/>
      <c r="C1137" s="21" t="n"/>
      <c r="D1137" s="22" t="n"/>
      <c r="E1137" s="23" t="n"/>
      <c r="F1137" s="22" t="n"/>
      <c r="G1137" s="14">
        <f>IF(OR(B1137="",E1137="",J1137="",K1137=""),"",IF(E1137&lt;J1137,"Below",IF(E1137&gt;K1137,"Above","In range")))</f>
        <v/>
      </c>
      <c r="H1137" s="1" t="n"/>
      <c r="J1137">
        <f>IF(M1137="","",IF(INDEX(Settings!$C$10:$C$18,M1137)="","",INDEX(Settings!$C$10:$C$18,M1137)))</f>
        <v/>
      </c>
      <c r="K1137">
        <f>IF(M1137="","",IF(INDEX(Settings!$D$10:$D$18,M1137)="","",INDEX(Settings!$D$10:$D$18,M1137)))</f>
        <v/>
      </c>
      <c r="L1137">
        <f>IF(OR(B1137="",E1137=""),"",B1137+MOD(N(C1137),1)+ROW()/10000000)</f>
        <v/>
      </c>
      <c r="M1137">
        <f>IF(D1137="","",IFERROR(MATCH(D1137,Settings!$B$10:$B$18,0),""))</f>
        <v/>
      </c>
      <c r="N1137">
        <f>IF(OR(B1137="",E1137="",M1137=""),"",IF(AND(B1137&gt;=Settings!$C$6,B1137&lt;=Settings!$C$7),M1137*10000+E1137,""))</f>
        <v/>
      </c>
      <c r="O1137">
        <f>IF(OR(B1137="",E1137=""),"",B1137*10000+E1137)</f>
        <v/>
      </c>
      <c r="P1137">
        <f>IF(N1137="","",E1137)</f>
        <v/>
      </c>
    </row>
    <row r="1138">
      <c r="A1138" s="1" t="n"/>
      <c r="B1138" s="20" t="n"/>
      <c r="C1138" s="21" t="n"/>
      <c r="D1138" s="22" t="n"/>
      <c r="E1138" s="23" t="n"/>
      <c r="F1138" s="22" t="n"/>
      <c r="G1138" s="14">
        <f>IF(OR(B1138="",E1138="",J1138="",K1138=""),"",IF(E1138&lt;J1138,"Below",IF(E1138&gt;K1138,"Above","In range")))</f>
        <v/>
      </c>
      <c r="H1138" s="1" t="n"/>
      <c r="J1138">
        <f>IF(M1138="","",IF(INDEX(Settings!$C$10:$C$18,M1138)="","",INDEX(Settings!$C$10:$C$18,M1138)))</f>
        <v/>
      </c>
      <c r="K1138">
        <f>IF(M1138="","",IF(INDEX(Settings!$D$10:$D$18,M1138)="","",INDEX(Settings!$D$10:$D$18,M1138)))</f>
        <v/>
      </c>
      <c r="L1138">
        <f>IF(OR(B1138="",E1138=""),"",B1138+MOD(N(C1138),1)+ROW()/10000000)</f>
        <v/>
      </c>
      <c r="M1138">
        <f>IF(D1138="","",IFERROR(MATCH(D1138,Settings!$B$10:$B$18,0),""))</f>
        <v/>
      </c>
      <c r="N1138">
        <f>IF(OR(B1138="",E1138="",M1138=""),"",IF(AND(B1138&gt;=Settings!$C$6,B1138&lt;=Settings!$C$7),M1138*10000+E1138,""))</f>
        <v/>
      </c>
      <c r="O1138">
        <f>IF(OR(B1138="",E1138=""),"",B1138*10000+E1138)</f>
        <v/>
      </c>
      <c r="P1138">
        <f>IF(N1138="","",E1138)</f>
        <v/>
      </c>
    </row>
    <row r="1139">
      <c r="A1139" s="1" t="n"/>
      <c r="B1139" s="20" t="n"/>
      <c r="C1139" s="21" t="n"/>
      <c r="D1139" s="22" t="n"/>
      <c r="E1139" s="23" t="n"/>
      <c r="F1139" s="22" t="n"/>
      <c r="G1139" s="14">
        <f>IF(OR(B1139="",E1139="",J1139="",K1139=""),"",IF(E1139&lt;J1139,"Below",IF(E1139&gt;K1139,"Above","In range")))</f>
        <v/>
      </c>
      <c r="H1139" s="1" t="n"/>
      <c r="J1139">
        <f>IF(M1139="","",IF(INDEX(Settings!$C$10:$C$18,M1139)="","",INDEX(Settings!$C$10:$C$18,M1139)))</f>
        <v/>
      </c>
      <c r="K1139">
        <f>IF(M1139="","",IF(INDEX(Settings!$D$10:$D$18,M1139)="","",INDEX(Settings!$D$10:$D$18,M1139)))</f>
        <v/>
      </c>
      <c r="L1139">
        <f>IF(OR(B1139="",E1139=""),"",B1139+MOD(N(C1139),1)+ROW()/10000000)</f>
        <v/>
      </c>
      <c r="M1139">
        <f>IF(D1139="","",IFERROR(MATCH(D1139,Settings!$B$10:$B$18,0),""))</f>
        <v/>
      </c>
      <c r="N1139">
        <f>IF(OR(B1139="",E1139="",M1139=""),"",IF(AND(B1139&gt;=Settings!$C$6,B1139&lt;=Settings!$C$7),M1139*10000+E1139,""))</f>
        <v/>
      </c>
      <c r="O1139">
        <f>IF(OR(B1139="",E1139=""),"",B1139*10000+E1139)</f>
        <v/>
      </c>
      <c r="P1139">
        <f>IF(N1139="","",E1139)</f>
        <v/>
      </c>
    </row>
    <row r="1140">
      <c r="A1140" s="1" t="n"/>
      <c r="B1140" s="20" t="n"/>
      <c r="C1140" s="21" t="n"/>
      <c r="D1140" s="22" t="n"/>
      <c r="E1140" s="23" t="n"/>
      <c r="F1140" s="22" t="n"/>
      <c r="G1140" s="14">
        <f>IF(OR(B1140="",E1140="",J1140="",K1140=""),"",IF(E1140&lt;J1140,"Below",IF(E1140&gt;K1140,"Above","In range")))</f>
        <v/>
      </c>
      <c r="H1140" s="1" t="n"/>
      <c r="J1140">
        <f>IF(M1140="","",IF(INDEX(Settings!$C$10:$C$18,M1140)="","",INDEX(Settings!$C$10:$C$18,M1140)))</f>
        <v/>
      </c>
      <c r="K1140">
        <f>IF(M1140="","",IF(INDEX(Settings!$D$10:$D$18,M1140)="","",INDEX(Settings!$D$10:$D$18,M1140)))</f>
        <v/>
      </c>
      <c r="L1140">
        <f>IF(OR(B1140="",E1140=""),"",B1140+MOD(N(C1140),1)+ROW()/10000000)</f>
        <v/>
      </c>
      <c r="M1140">
        <f>IF(D1140="","",IFERROR(MATCH(D1140,Settings!$B$10:$B$18,0),""))</f>
        <v/>
      </c>
      <c r="N1140">
        <f>IF(OR(B1140="",E1140="",M1140=""),"",IF(AND(B1140&gt;=Settings!$C$6,B1140&lt;=Settings!$C$7),M1140*10000+E1140,""))</f>
        <v/>
      </c>
      <c r="O1140">
        <f>IF(OR(B1140="",E1140=""),"",B1140*10000+E1140)</f>
        <v/>
      </c>
      <c r="P1140">
        <f>IF(N1140="","",E1140)</f>
        <v/>
      </c>
    </row>
    <row r="1141">
      <c r="A1141" s="1" t="n"/>
      <c r="B1141" s="20" t="n"/>
      <c r="C1141" s="21" t="n"/>
      <c r="D1141" s="22" t="n"/>
      <c r="E1141" s="23" t="n"/>
      <c r="F1141" s="22" t="n"/>
      <c r="G1141" s="14">
        <f>IF(OR(B1141="",E1141="",J1141="",K1141=""),"",IF(E1141&lt;J1141,"Below",IF(E1141&gt;K1141,"Above","In range")))</f>
        <v/>
      </c>
      <c r="H1141" s="1" t="n"/>
      <c r="J1141">
        <f>IF(M1141="","",IF(INDEX(Settings!$C$10:$C$18,M1141)="","",INDEX(Settings!$C$10:$C$18,M1141)))</f>
        <v/>
      </c>
      <c r="K1141">
        <f>IF(M1141="","",IF(INDEX(Settings!$D$10:$D$18,M1141)="","",INDEX(Settings!$D$10:$D$18,M1141)))</f>
        <v/>
      </c>
      <c r="L1141">
        <f>IF(OR(B1141="",E1141=""),"",B1141+MOD(N(C1141),1)+ROW()/10000000)</f>
        <v/>
      </c>
      <c r="M1141">
        <f>IF(D1141="","",IFERROR(MATCH(D1141,Settings!$B$10:$B$18,0),""))</f>
        <v/>
      </c>
      <c r="N1141">
        <f>IF(OR(B1141="",E1141="",M1141=""),"",IF(AND(B1141&gt;=Settings!$C$6,B1141&lt;=Settings!$C$7),M1141*10000+E1141,""))</f>
        <v/>
      </c>
      <c r="O1141">
        <f>IF(OR(B1141="",E1141=""),"",B1141*10000+E1141)</f>
        <v/>
      </c>
      <c r="P1141">
        <f>IF(N1141="","",E1141)</f>
        <v/>
      </c>
    </row>
    <row r="1142">
      <c r="A1142" s="1" t="n"/>
      <c r="B1142" s="20" t="n"/>
      <c r="C1142" s="21" t="n"/>
      <c r="D1142" s="22" t="n"/>
      <c r="E1142" s="23" t="n"/>
      <c r="F1142" s="22" t="n"/>
      <c r="G1142" s="14">
        <f>IF(OR(B1142="",E1142="",J1142="",K1142=""),"",IF(E1142&lt;J1142,"Below",IF(E1142&gt;K1142,"Above","In range")))</f>
        <v/>
      </c>
      <c r="H1142" s="1" t="n"/>
      <c r="J1142">
        <f>IF(M1142="","",IF(INDEX(Settings!$C$10:$C$18,M1142)="","",INDEX(Settings!$C$10:$C$18,M1142)))</f>
        <v/>
      </c>
      <c r="K1142">
        <f>IF(M1142="","",IF(INDEX(Settings!$D$10:$D$18,M1142)="","",INDEX(Settings!$D$10:$D$18,M1142)))</f>
        <v/>
      </c>
      <c r="L1142">
        <f>IF(OR(B1142="",E1142=""),"",B1142+MOD(N(C1142),1)+ROW()/10000000)</f>
        <v/>
      </c>
      <c r="M1142">
        <f>IF(D1142="","",IFERROR(MATCH(D1142,Settings!$B$10:$B$18,0),""))</f>
        <v/>
      </c>
      <c r="N1142">
        <f>IF(OR(B1142="",E1142="",M1142=""),"",IF(AND(B1142&gt;=Settings!$C$6,B1142&lt;=Settings!$C$7),M1142*10000+E1142,""))</f>
        <v/>
      </c>
      <c r="O1142">
        <f>IF(OR(B1142="",E1142=""),"",B1142*10000+E1142)</f>
        <v/>
      </c>
      <c r="P1142">
        <f>IF(N1142="","",E1142)</f>
        <v/>
      </c>
    </row>
    <row r="1143">
      <c r="A1143" s="1" t="n"/>
      <c r="B1143" s="20" t="n"/>
      <c r="C1143" s="21" t="n"/>
      <c r="D1143" s="22" t="n"/>
      <c r="E1143" s="23" t="n"/>
      <c r="F1143" s="22" t="n"/>
      <c r="G1143" s="14">
        <f>IF(OR(B1143="",E1143="",J1143="",K1143=""),"",IF(E1143&lt;J1143,"Below",IF(E1143&gt;K1143,"Above","In range")))</f>
        <v/>
      </c>
      <c r="H1143" s="1" t="n"/>
      <c r="J1143">
        <f>IF(M1143="","",IF(INDEX(Settings!$C$10:$C$18,M1143)="","",INDEX(Settings!$C$10:$C$18,M1143)))</f>
        <v/>
      </c>
      <c r="K1143">
        <f>IF(M1143="","",IF(INDEX(Settings!$D$10:$D$18,M1143)="","",INDEX(Settings!$D$10:$D$18,M1143)))</f>
        <v/>
      </c>
      <c r="L1143">
        <f>IF(OR(B1143="",E1143=""),"",B1143+MOD(N(C1143),1)+ROW()/10000000)</f>
        <v/>
      </c>
      <c r="M1143">
        <f>IF(D1143="","",IFERROR(MATCH(D1143,Settings!$B$10:$B$18,0),""))</f>
        <v/>
      </c>
      <c r="N1143">
        <f>IF(OR(B1143="",E1143="",M1143=""),"",IF(AND(B1143&gt;=Settings!$C$6,B1143&lt;=Settings!$C$7),M1143*10000+E1143,""))</f>
        <v/>
      </c>
      <c r="O1143">
        <f>IF(OR(B1143="",E1143=""),"",B1143*10000+E1143)</f>
        <v/>
      </c>
      <c r="P1143">
        <f>IF(N1143="","",E1143)</f>
        <v/>
      </c>
    </row>
    <row r="1144">
      <c r="A1144" s="1" t="n"/>
      <c r="B1144" s="20" t="n"/>
      <c r="C1144" s="21" t="n"/>
      <c r="D1144" s="22" t="n"/>
      <c r="E1144" s="23" t="n"/>
      <c r="F1144" s="22" t="n"/>
      <c r="G1144" s="14">
        <f>IF(OR(B1144="",E1144="",J1144="",K1144=""),"",IF(E1144&lt;J1144,"Below",IF(E1144&gt;K1144,"Above","In range")))</f>
        <v/>
      </c>
      <c r="H1144" s="1" t="n"/>
      <c r="J1144">
        <f>IF(M1144="","",IF(INDEX(Settings!$C$10:$C$18,M1144)="","",INDEX(Settings!$C$10:$C$18,M1144)))</f>
        <v/>
      </c>
      <c r="K1144">
        <f>IF(M1144="","",IF(INDEX(Settings!$D$10:$D$18,M1144)="","",INDEX(Settings!$D$10:$D$18,M1144)))</f>
        <v/>
      </c>
      <c r="L1144">
        <f>IF(OR(B1144="",E1144=""),"",B1144+MOD(N(C1144),1)+ROW()/10000000)</f>
        <v/>
      </c>
      <c r="M1144">
        <f>IF(D1144="","",IFERROR(MATCH(D1144,Settings!$B$10:$B$18,0),""))</f>
        <v/>
      </c>
      <c r="N1144">
        <f>IF(OR(B1144="",E1144="",M1144=""),"",IF(AND(B1144&gt;=Settings!$C$6,B1144&lt;=Settings!$C$7),M1144*10000+E1144,""))</f>
        <v/>
      </c>
      <c r="O1144">
        <f>IF(OR(B1144="",E1144=""),"",B1144*10000+E1144)</f>
        <v/>
      </c>
      <c r="P1144">
        <f>IF(N1144="","",E1144)</f>
        <v/>
      </c>
    </row>
    <row r="1145">
      <c r="A1145" s="1" t="n"/>
      <c r="B1145" s="20" t="n"/>
      <c r="C1145" s="21" t="n"/>
      <c r="D1145" s="22" t="n"/>
      <c r="E1145" s="23" t="n"/>
      <c r="F1145" s="22" t="n"/>
      <c r="G1145" s="14">
        <f>IF(OR(B1145="",E1145="",J1145="",K1145=""),"",IF(E1145&lt;J1145,"Below",IF(E1145&gt;K1145,"Above","In range")))</f>
        <v/>
      </c>
      <c r="H1145" s="1" t="n"/>
      <c r="J1145">
        <f>IF(M1145="","",IF(INDEX(Settings!$C$10:$C$18,M1145)="","",INDEX(Settings!$C$10:$C$18,M1145)))</f>
        <v/>
      </c>
      <c r="K1145">
        <f>IF(M1145="","",IF(INDEX(Settings!$D$10:$D$18,M1145)="","",INDEX(Settings!$D$10:$D$18,M1145)))</f>
        <v/>
      </c>
      <c r="L1145">
        <f>IF(OR(B1145="",E1145=""),"",B1145+MOD(N(C1145),1)+ROW()/10000000)</f>
        <v/>
      </c>
      <c r="M1145">
        <f>IF(D1145="","",IFERROR(MATCH(D1145,Settings!$B$10:$B$18,0),""))</f>
        <v/>
      </c>
      <c r="N1145">
        <f>IF(OR(B1145="",E1145="",M1145=""),"",IF(AND(B1145&gt;=Settings!$C$6,B1145&lt;=Settings!$C$7),M1145*10000+E1145,""))</f>
        <v/>
      </c>
      <c r="O1145">
        <f>IF(OR(B1145="",E1145=""),"",B1145*10000+E1145)</f>
        <v/>
      </c>
      <c r="P1145">
        <f>IF(N1145="","",E1145)</f>
        <v/>
      </c>
    </row>
    <row r="1146">
      <c r="A1146" s="1" t="n"/>
      <c r="B1146" s="20" t="n"/>
      <c r="C1146" s="21" t="n"/>
      <c r="D1146" s="22" t="n"/>
      <c r="E1146" s="23" t="n"/>
      <c r="F1146" s="22" t="n"/>
      <c r="G1146" s="14">
        <f>IF(OR(B1146="",E1146="",J1146="",K1146=""),"",IF(E1146&lt;J1146,"Below",IF(E1146&gt;K1146,"Above","In range")))</f>
        <v/>
      </c>
      <c r="H1146" s="1" t="n"/>
      <c r="J1146">
        <f>IF(M1146="","",IF(INDEX(Settings!$C$10:$C$18,M1146)="","",INDEX(Settings!$C$10:$C$18,M1146)))</f>
        <v/>
      </c>
      <c r="K1146">
        <f>IF(M1146="","",IF(INDEX(Settings!$D$10:$D$18,M1146)="","",INDEX(Settings!$D$10:$D$18,M1146)))</f>
        <v/>
      </c>
      <c r="L1146">
        <f>IF(OR(B1146="",E1146=""),"",B1146+MOD(N(C1146),1)+ROW()/10000000)</f>
        <v/>
      </c>
      <c r="M1146">
        <f>IF(D1146="","",IFERROR(MATCH(D1146,Settings!$B$10:$B$18,0),""))</f>
        <v/>
      </c>
      <c r="N1146">
        <f>IF(OR(B1146="",E1146="",M1146=""),"",IF(AND(B1146&gt;=Settings!$C$6,B1146&lt;=Settings!$C$7),M1146*10000+E1146,""))</f>
        <v/>
      </c>
      <c r="O1146">
        <f>IF(OR(B1146="",E1146=""),"",B1146*10000+E1146)</f>
        <v/>
      </c>
      <c r="P1146">
        <f>IF(N1146="","",E1146)</f>
        <v/>
      </c>
    </row>
    <row r="1147">
      <c r="A1147" s="1" t="n"/>
      <c r="B1147" s="20" t="n"/>
      <c r="C1147" s="21" t="n"/>
      <c r="D1147" s="22" t="n"/>
      <c r="E1147" s="23" t="n"/>
      <c r="F1147" s="22" t="n"/>
      <c r="G1147" s="14">
        <f>IF(OR(B1147="",E1147="",J1147="",K1147=""),"",IF(E1147&lt;J1147,"Below",IF(E1147&gt;K1147,"Above","In range")))</f>
        <v/>
      </c>
      <c r="H1147" s="1" t="n"/>
      <c r="J1147">
        <f>IF(M1147="","",IF(INDEX(Settings!$C$10:$C$18,M1147)="","",INDEX(Settings!$C$10:$C$18,M1147)))</f>
        <v/>
      </c>
      <c r="K1147">
        <f>IF(M1147="","",IF(INDEX(Settings!$D$10:$D$18,M1147)="","",INDEX(Settings!$D$10:$D$18,M1147)))</f>
        <v/>
      </c>
      <c r="L1147">
        <f>IF(OR(B1147="",E1147=""),"",B1147+MOD(N(C1147),1)+ROW()/10000000)</f>
        <v/>
      </c>
      <c r="M1147">
        <f>IF(D1147="","",IFERROR(MATCH(D1147,Settings!$B$10:$B$18,0),""))</f>
        <v/>
      </c>
      <c r="N1147">
        <f>IF(OR(B1147="",E1147="",M1147=""),"",IF(AND(B1147&gt;=Settings!$C$6,B1147&lt;=Settings!$C$7),M1147*10000+E1147,""))</f>
        <v/>
      </c>
      <c r="O1147">
        <f>IF(OR(B1147="",E1147=""),"",B1147*10000+E1147)</f>
        <v/>
      </c>
      <c r="P1147">
        <f>IF(N1147="","",E1147)</f>
        <v/>
      </c>
    </row>
    <row r="1148">
      <c r="A1148" s="1" t="n"/>
      <c r="B1148" s="20" t="n"/>
      <c r="C1148" s="21" t="n"/>
      <c r="D1148" s="22" t="n"/>
      <c r="E1148" s="23" t="n"/>
      <c r="F1148" s="22" t="n"/>
      <c r="G1148" s="14">
        <f>IF(OR(B1148="",E1148="",J1148="",K1148=""),"",IF(E1148&lt;J1148,"Below",IF(E1148&gt;K1148,"Above","In range")))</f>
        <v/>
      </c>
      <c r="H1148" s="1" t="n"/>
      <c r="J1148">
        <f>IF(M1148="","",IF(INDEX(Settings!$C$10:$C$18,M1148)="","",INDEX(Settings!$C$10:$C$18,M1148)))</f>
        <v/>
      </c>
      <c r="K1148">
        <f>IF(M1148="","",IF(INDEX(Settings!$D$10:$D$18,M1148)="","",INDEX(Settings!$D$10:$D$18,M1148)))</f>
        <v/>
      </c>
      <c r="L1148">
        <f>IF(OR(B1148="",E1148=""),"",B1148+MOD(N(C1148),1)+ROW()/10000000)</f>
        <v/>
      </c>
      <c r="M1148">
        <f>IF(D1148="","",IFERROR(MATCH(D1148,Settings!$B$10:$B$18,0),""))</f>
        <v/>
      </c>
      <c r="N1148">
        <f>IF(OR(B1148="",E1148="",M1148=""),"",IF(AND(B1148&gt;=Settings!$C$6,B1148&lt;=Settings!$C$7),M1148*10000+E1148,""))</f>
        <v/>
      </c>
      <c r="O1148">
        <f>IF(OR(B1148="",E1148=""),"",B1148*10000+E1148)</f>
        <v/>
      </c>
      <c r="P1148">
        <f>IF(N1148="","",E1148)</f>
        <v/>
      </c>
    </row>
    <row r="1149">
      <c r="A1149" s="1" t="n"/>
      <c r="B1149" s="20" t="n"/>
      <c r="C1149" s="21" t="n"/>
      <c r="D1149" s="22" t="n"/>
      <c r="E1149" s="23" t="n"/>
      <c r="F1149" s="22" t="n"/>
      <c r="G1149" s="14">
        <f>IF(OR(B1149="",E1149="",J1149="",K1149=""),"",IF(E1149&lt;J1149,"Below",IF(E1149&gt;K1149,"Above","In range")))</f>
        <v/>
      </c>
      <c r="H1149" s="1" t="n"/>
      <c r="J1149">
        <f>IF(M1149="","",IF(INDEX(Settings!$C$10:$C$18,M1149)="","",INDEX(Settings!$C$10:$C$18,M1149)))</f>
        <v/>
      </c>
      <c r="K1149">
        <f>IF(M1149="","",IF(INDEX(Settings!$D$10:$D$18,M1149)="","",INDEX(Settings!$D$10:$D$18,M1149)))</f>
        <v/>
      </c>
      <c r="L1149">
        <f>IF(OR(B1149="",E1149=""),"",B1149+MOD(N(C1149),1)+ROW()/10000000)</f>
        <v/>
      </c>
      <c r="M1149">
        <f>IF(D1149="","",IFERROR(MATCH(D1149,Settings!$B$10:$B$18,0),""))</f>
        <v/>
      </c>
      <c r="N1149">
        <f>IF(OR(B1149="",E1149="",M1149=""),"",IF(AND(B1149&gt;=Settings!$C$6,B1149&lt;=Settings!$C$7),M1149*10000+E1149,""))</f>
        <v/>
      </c>
      <c r="O1149">
        <f>IF(OR(B1149="",E1149=""),"",B1149*10000+E1149)</f>
        <v/>
      </c>
      <c r="P1149">
        <f>IF(N1149="","",E1149)</f>
        <v/>
      </c>
    </row>
    <row r="1150">
      <c r="A1150" s="1" t="n"/>
      <c r="B1150" s="20" t="n"/>
      <c r="C1150" s="21" t="n"/>
      <c r="D1150" s="22" t="n"/>
      <c r="E1150" s="23" t="n"/>
      <c r="F1150" s="22" t="n"/>
      <c r="G1150" s="14">
        <f>IF(OR(B1150="",E1150="",J1150="",K1150=""),"",IF(E1150&lt;J1150,"Below",IF(E1150&gt;K1150,"Above","In range")))</f>
        <v/>
      </c>
      <c r="H1150" s="1" t="n"/>
      <c r="J1150">
        <f>IF(M1150="","",IF(INDEX(Settings!$C$10:$C$18,M1150)="","",INDEX(Settings!$C$10:$C$18,M1150)))</f>
        <v/>
      </c>
      <c r="K1150">
        <f>IF(M1150="","",IF(INDEX(Settings!$D$10:$D$18,M1150)="","",INDEX(Settings!$D$10:$D$18,M1150)))</f>
        <v/>
      </c>
      <c r="L1150">
        <f>IF(OR(B1150="",E1150=""),"",B1150+MOD(N(C1150),1)+ROW()/10000000)</f>
        <v/>
      </c>
      <c r="M1150">
        <f>IF(D1150="","",IFERROR(MATCH(D1150,Settings!$B$10:$B$18,0),""))</f>
        <v/>
      </c>
      <c r="N1150">
        <f>IF(OR(B1150="",E1150="",M1150=""),"",IF(AND(B1150&gt;=Settings!$C$6,B1150&lt;=Settings!$C$7),M1150*10000+E1150,""))</f>
        <v/>
      </c>
      <c r="O1150">
        <f>IF(OR(B1150="",E1150=""),"",B1150*10000+E1150)</f>
        <v/>
      </c>
      <c r="P1150">
        <f>IF(N1150="","",E1150)</f>
        <v/>
      </c>
    </row>
    <row r="1151">
      <c r="A1151" s="1" t="n"/>
      <c r="B1151" s="20" t="n"/>
      <c r="C1151" s="21" t="n"/>
      <c r="D1151" s="22" t="n"/>
      <c r="E1151" s="23" t="n"/>
      <c r="F1151" s="22" t="n"/>
      <c r="G1151" s="14">
        <f>IF(OR(B1151="",E1151="",J1151="",K1151=""),"",IF(E1151&lt;J1151,"Below",IF(E1151&gt;K1151,"Above","In range")))</f>
        <v/>
      </c>
      <c r="H1151" s="1" t="n"/>
      <c r="J1151">
        <f>IF(M1151="","",IF(INDEX(Settings!$C$10:$C$18,M1151)="","",INDEX(Settings!$C$10:$C$18,M1151)))</f>
        <v/>
      </c>
      <c r="K1151">
        <f>IF(M1151="","",IF(INDEX(Settings!$D$10:$D$18,M1151)="","",INDEX(Settings!$D$10:$D$18,M1151)))</f>
        <v/>
      </c>
      <c r="L1151">
        <f>IF(OR(B1151="",E1151=""),"",B1151+MOD(N(C1151),1)+ROW()/10000000)</f>
        <v/>
      </c>
      <c r="M1151">
        <f>IF(D1151="","",IFERROR(MATCH(D1151,Settings!$B$10:$B$18,0),""))</f>
        <v/>
      </c>
      <c r="N1151">
        <f>IF(OR(B1151="",E1151="",M1151=""),"",IF(AND(B1151&gt;=Settings!$C$6,B1151&lt;=Settings!$C$7),M1151*10000+E1151,""))</f>
        <v/>
      </c>
      <c r="O1151">
        <f>IF(OR(B1151="",E1151=""),"",B1151*10000+E1151)</f>
        <v/>
      </c>
      <c r="P1151">
        <f>IF(N1151="","",E1151)</f>
        <v/>
      </c>
    </row>
    <row r="1152">
      <c r="A1152" s="1" t="n"/>
      <c r="B1152" s="20" t="n"/>
      <c r="C1152" s="21" t="n"/>
      <c r="D1152" s="22" t="n"/>
      <c r="E1152" s="23" t="n"/>
      <c r="F1152" s="22" t="n"/>
      <c r="G1152" s="14">
        <f>IF(OR(B1152="",E1152="",J1152="",K1152=""),"",IF(E1152&lt;J1152,"Below",IF(E1152&gt;K1152,"Above","In range")))</f>
        <v/>
      </c>
      <c r="H1152" s="1" t="n"/>
      <c r="J1152">
        <f>IF(M1152="","",IF(INDEX(Settings!$C$10:$C$18,M1152)="","",INDEX(Settings!$C$10:$C$18,M1152)))</f>
        <v/>
      </c>
      <c r="K1152">
        <f>IF(M1152="","",IF(INDEX(Settings!$D$10:$D$18,M1152)="","",INDEX(Settings!$D$10:$D$18,M1152)))</f>
        <v/>
      </c>
      <c r="L1152">
        <f>IF(OR(B1152="",E1152=""),"",B1152+MOD(N(C1152),1)+ROW()/10000000)</f>
        <v/>
      </c>
      <c r="M1152">
        <f>IF(D1152="","",IFERROR(MATCH(D1152,Settings!$B$10:$B$18,0),""))</f>
        <v/>
      </c>
      <c r="N1152">
        <f>IF(OR(B1152="",E1152="",M1152=""),"",IF(AND(B1152&gt;=Settings!$C$6,B1152&lt;=Settings!$C$7),M1152*10000+E1152,""))</f>
        <v/>
      </c>
      <c r="O1152">
        <f>IF(OR(B1152="",E1152=""),"",B1152*10000+E1152)</f>
        <v/>
      </c>
      <c r="P1152">
        <f>IF(N1152="","",E1152)</f>
        <v/>
      </c>
    </row>
    <row r="1153">
      <c r="A1153" s="1" t="n"/>
      <c r="B1153" s="20" t="n"/>
      <c r="C1153" s="21" t="n"/>
      <c r="D1153" s="22" t="n"/>
      <c r="E1153" s="23" t="n"/>
      <c r="F1153" s="22" t="n"/>
      <c r="G1153" s="14">
        <f>IF(OR(B1153="",E1153="",J1153="",K1153=""),"",IF(E1153&lt;J1153,"Below",IF(E1153&gt;K1153,"Above","In range")))</f>
        <v/>
      </c>
      <c r="H1153" s="1" t="n"/>
      <c r="J1153">
        <f>IF(M1153="","",IF(INDEX(Settings!$C$10:$C$18,M1153)="","",INDEX(Settings!$C$10:$C$18,M1153)))</f>
        <v/>
      </c>
      <c r="K1153">
        <f>IF(M1153="","",IF(INDEX(Settings!$D$10:$D$18,M1153)="","",INDEX(Settings!$D$10:$D$18,M1153)))</f>
        <v/>
      </c>
      <c r="L1153">
        <f>IF(OR(B1153="",E1153=""),"",B1153+MOD(N(C1153),1)+ROW()/10000000)</f>
        <v/>
      </c>
      <c r="M1153">
        <f>IF(D1153="","",IFERROR(MATCH(D1153,Settings!$B$10:$B$18,0),""))</f>
        <v/>
      </c>
      <c r="N1153">
        <f>IF(OR(B1153="",E1153="",M1153=""),"",IF(AND(B1153&gt;=Settings!$C$6,B1153&lt;=Settings!$C$7),M1153*10000+E1153,""))</f>
        <v/>
      </c>
      <c r="O1153">
        <f>IF(OR(B1153="",E1153=""),"",B1153*10000+E1153)</f>
        <v/>
      </c>
      <c r="P1153">
        <f>IF(N1153="","",E1153)</f>
        <v/>
      </c>
    </row>
    <row r="1154">
      <c r="A1154" s="1" t="n"/>
      <c r="B1154" s="20" t="n"/>
      <c r="C1154" s="21" t="n"/>
      <c r="D1154" s="22" t="n"/>
      <c r="E1154" s="23" t="n"/>
      <c r="F1154" s="22" t="n"/>
      <c r="G1154" s="14">
        <f>IF(OR(B1154="",E1154="",J1154="",K1154=""),"",IF(E1154&lt;J1154,"Below",IF(E1154&gt;K1154,"Above","In range")))</f>
        <v/>
      </c>
      <c r="H1154" s="1" t="n"/>
      <c r="J1154">
        <f>IF(M1154="","",IF(INDEX(Settings!$C$10:$C$18,M1154)="","",INDEX(Settings!$C$10:$C$18,M1154)))</f>
        <v/>
      </c>
      <c r="K1154">
        <f>IF(M1154="","",IF(INDEX(Settings!$D$10:$D$18,M1154)="","",INDEX(Settings!$D$10:$D$18,M1154)))</f>
        <v/>
      </c>
      <c r="L1154">
        <f>IF(OR(B1154="",E1154=""),"",B1154+MOD(N(C1154),1)+ROW()/10000000)</f>
        <v/>
      </c>
      <c r="M1154">
        <f>IF(D1154="","",IFERROR(MATCH(D1154,Settings!$B$10:$B$18,0),""))</f>
        <v/>
      </c>
      <c r="N1154">
        <f>IF(OR(B1154="",E1154="",M1154=""),"",IF(AND(B1154&gt;=Settings!$C$6,B1154&lt;=Settings!$C$7),M1154*10000+E1154,""))</f>
        <v/>
      </c>
      <c r="O1154">
        <f>IF(OR(B1154="",E1154=""),"",B1154*10000+E1154)</f>
        <v/>
      </c>
      <c r="P1154">
        <f>IF(N1154="","",E1154)</f>
        <v/>
      </c>
    </row>
    <row r="1155">
      <c r="A1155" s="1" t="n"/>
      <c r="B1155" s="20" t="n"/>
      <c r="C1155" s="21" t="n"/>
      <c r="D1155" s="22" t="n"/>
      <c r="E1155" s="23" t="n"/>
      <c r="F1155" s="22" t="n"/>
      <c r="G1155" s="14">
        <f>IF(OR(B1155="",E1155="",J1155="",K1155=""),"",IF(E1155&lt;J1155,"Below",IF(E1155&gt;K1155,"Above","In range")))</f>
        <v/>
      </c>
      <c r="H1155" s="1" t="n"/>
      <c r="J1155">
        <f>IF(M1155="","",IF(INDEX(Settings!$C$10:$C$18,M1155)="","",INDEX(Settings!$C$10:$C$18,M1155)))</f>
        <v/>
      </c>
      <c r="K1155">
        <f>IF(M1155="","",IF(INDEX(Settings!$D$10:$D$18,M1155)="","",INDEX(Settings!$D$10:$D$18,M1155)))</f>
        <v/>
      </c>
      <c r="L1155">
        <f>IF(OR(B1155="",E1155=""),"",B1155+MOD(N(C1155),1)+ROW()/10000000)</f>
        <v/>
      </c>
      <c r="M1155">
        <f>IF(D1155="","",IFERROR(MATCH(D1155,Settings!$B$10:$B$18,0),""))</f>
        <v/>
      </c>
      <c r="N1155">
        <f>IF(OR(B1155="",E1155="",M1155=""),"",IF(AND(B1155&gt;=Settings!$C$6,B1155&lt;=Settings!$C$7),M1155*10000+E1155,""))</f>
        <v/>
      </c>
      <c r="O1155">
        <f>IF(OR(B1155="",E1155=""),"",B1155*10000+E1155)</f>
        <v/>
      </c>
      <c r="P1155">
        <f>IF(N1155="","",E1155)</f>
        <v/>
      </c>
    </row>
    <row r="1156">
      <c r="A1156" s="1" t="n"/>
      <c r="B1156" s="20" t="n"/>
      <c r="C1156" s="21" t="n"/>
      <c r="D1156" s="22" t="n"/>
      <c r="E1156" s="23" t="n"/>
      <c r="F1156" s="22" t="n"/>
      <c r="G1156" s="14">
        <f>IF(OR(B1156="",E1156="",J1156="",K1156=""),"",IF(E1156&lt;J1156,"Below",IF(E1156&gt;K1156,"Above","In range")))</f>
        <v/>
      </c>
      <c r="H1156" s="1" t="n"/>
      <c r="J1156">
        <f>IF(M1156="","",IF(INDEX(Settings!$C$10:$C$18,M1156)="","",INDEX(Settings!$C$10:$C$18,M1156)))</f>
        <v/>
      </c>
      <c r="K1156">
        <f>IF(M1156="","",IF(INDEX(Settings!$D$10:$D$18,M1156)="","",INDEX(Settings!$D$10:$D$18,M1156)))</f>
        <v/>
      </c>
      <c r="L1156">
        <f>IF(OR(B1156="",E1156=""),"",B1156+MOD(N(C1156),1)+ROW()/10000000)</f>
        <v/>
      </c>
      <c r="M1156">
        <f>IF(D1156="","",IFERROR(MATCH(D1156,Settings!$B$10:$B$18,0),""))</f>
        <v/>
      </c>
      <c r="N1156">
        <f>IF(OR(B1156="",E1156="",M1156=""),"",IF(AND(B1156&gt;=Settings!$C$6,B1156&lt;=Settings!$C$7),M1156*10000+E1156,""))</f>
        <v/>
      </c>
      <c r="O1156">
        <f>IF(OR(B1156="",E1156=""),"",B1156*10000+E1156)</f>
        <v/>
      </c>
      <c r="P1156">
        <f>IF(N1156="","",E1156)</f>
        <v/>
      </c>
    </row>
    <row r="1157">
      <c r="A1157" s="1" t="n"/>
      <c r="B1157" s="20" t="n"/>
      <c r="C1157" s="21" t="n"/>
      <c r="D1157" s="22" t="n"/>
      <c r="E1157" s="23" t="n"/>
      <c r="F1157" s="22" t="n"/>
      <c r="G1157" s="14">
        <f>IF(OR(B1157="",E1157="",J1157="",K1157=""),"",IF(E1157&lt;J1157,"Below",IF(E1157&gt;K1157,"Above","In range")))</f>
        <v/>
      </c>
      <c r="H1157" s="1" t="n"/>
      <c r="J1157">
        <f>IF(M1157="","",IF(INDEX(Settings!$C$10:$C$18,M1157)="","",INDEX(Settings!$C$10:$C$18,M1157)))</f>
        <v/>
      </c>
      <c r="K1157">
        <f>IF(M1157="","",IF(INDEX(Settings!$D$10:$D$18,M1157)="","",INDEX(Settings!$D$10:$D$18,M1157)))</f>
        <v/>
      </c>
      <c r="L1157">
        <f>IF(OR(B1157="",E1157=""),"",B1157+MOD(N(C1157),1)+ROW()/10000000)</f>
        <v/>
      </c>
      <c r="M1157">
        <f>IF(D1157="","",IFERROR(MATCH(D1157,Settings!$B$10:$B$18,0),""))</f>
        <v/>
      </c>
      <c r="N1157">
        <f>IF(OR(B1157="",E1157="",M1157=""),"",IF(AND(B1157&gt;=Settings!$C$6,B1157&lt;=Settings!$C$7),M1157*10000+E1157,""))</f>
        <v/>
      </c>
      <c r="O1157">
        <f>IF(OR(B1157="",E1157=""),"",B1157*10000+E1157)</f>
        <v/>
      </c>
      <c r="P1157">
        <f>IF(N1157="","",E1157)</f>
        <v/>
      </c>
    </row>
    <row r="1158">
      <c r="A1158" s="1" t="n"/>
      <c r="B1158" s="20" t="n"/>
      <c r="C1158" s="21" t="n"/>
      <c r="D1158" s="22" t="n"/>
      <c r="E1158" s="23" t="n"/>
      <c r="F1158" s="22" t="n"/>
      <c r="G1158" s="14">
        <f>IF(OR(B1158="",E1158="",J1158="",K1158=""),"",IF(E1158&lt;J1158,"Below",IF(E1158&gt;K1158,"Above","In range")))</f>
        <v/>
      </c>
      <c r="H1158" s="1" t="n"/>
      <c r="J1158">
        <f>IF(M1158="","",IF(INDEX(Settings!$C$10:$C$18,M1158)="","",INDEX(Settings!$C$10:$C$18,M1158)))</f>
        <v/>
      </c>
      <c r="K1158">
        <f>IF(M1158="","",IF(INDEX(Settings!$D$10:$D$18,M1158)="","",INDEX(Settings!$D$10:$D$18,M1158)))</f>
        <v/>
      </c>
      <c r="L1158">
        <f>IF(OR(B1158="",E1158=""),"",B1158+MOD(N(C1158),1)+ROW()/10000000)</f>
        <v/>
      </c>
      <c r="M1158">
        <f>IF(D1158="","",IFERROR(MATCH(D1158,Settings!$B$10:$B$18,0),""))</f>
        <v/>
      </c>
      <c r="N1158">
        <f>IF(OR(B1158="",E1158="",M1158=""),"",IF(AND(B1158&gt;=Settings!$C$6,B1158&lt;=Settings!$C$7),M1158*10000+E1158,""))</f>
        <v/>
      </c>
      <c r="O1158">
        <f>IF(OR(B1158="",E1158=""),"",B1158*10000+E1158)</f>
        <v/>
      </c>
      <c r="P1158">
        <f>IF(N1158="","",E1158)</f>
        <v/>
      </c>
    </row>
    <row r="1159">
      <c r="A1159" s="1" t="n"/>
      <c r="B1159" s="20" t="n"/>
      <c r="C1159" s="21" t="n"/>
      <c r="D1159" s="22" t="n"/>
      <c r="E1159" s="23" t="n"/>
      <c r="F1159" s="22" t="n"/>
      <c r="G1159" s="14">
        <f>IF(OR(B1159="",E1159="",J1159="",K1159=""),"",IF(E1159&lt;J1159,"Below",IF(E1159&gt;K1159,"Above","In range")))</f>
        <v/>
      </c>
      <c r="H1159" s="1" t="n"/>
      <c r="J1159">
        <f>IF(M1159="","",IF(INDEX(Settings!$C$10:$C$18,M1159)="","",INDEX(Settings!$C$10:$C$18,M1159)))</f>
        <v/>
      </c>
      <c r="K1159">
        <f>IF(M1159="","",IF(INDEX(Settings!$D$10:$D$18,M1159)="","",INDEX(Settings!$D$10:$D$18,M1159)))</f>
        <v/>
      </c>
      <c r="L1159">
        <f>IF(OR(B1159="",E1159=""),"",B1159+MOD(N(C1159),1)+ROW()/10000000)</f>
        <v/>
      </c>
      <c r="M1159">
        <f>IF(D1159="","",IFERROR(MATCH(D1159,Settings!$B$10:$B$18,0),""))</f>
        <v/>
      </c>
      <c r="N1159">
        <f>IF(OR(B1159="",E1159="",M1159=""),"",IF(AND(B1159&gt;=Settings!$C$6,B1159&lt;=Settings!$C$7),M1159*10000+E1159,""))</f>
        <v/>
      </c>
      <c r="O1159">
        <f>IF(OR(B1159="",E1159=""),"",B1159*10000+E1159)</f>
        <v/>
      </c>
      <c r="P1159">
        <f>IF(N1159="","",E1159)</f>
        <v/>
      </c>
    </row>
    <row r="1160">
      <c r="A1160" s="1" t="n"/>
      <c r="B1160" s="20" t="n"/>
      <c r="C1160" s="21" t="n"/>
      <c r="D1160" s="22" t="n"/>
      <c r="E1160" s="23" t="n"/>
      <c r="F1160" s="22" t="n"/>
      <c r="G1160" s="14">
        <f>IF(OR(B1160="",E1160="",J1160="",K1160=""),"",IF(E1160&lt;J1160,"Below",IF(E1160&gt;K1160,"Above","In range")))</f>
        <v/>
      </c>
      <c r="H1160" s="1" t="n"/>
      <c r="J1160">
        <f>IF(M1160="","",IF(INDEX(Settings!$C$10:$C$18,M1160)="","",INDEX(Settings!$C$10:$C$18,M1160)))</f>
        <v/>
      </c>
      <c r="K1160">
        <f>IF(M1160="","",IF(INDEX(Settings!$D$10:$D$18,M1160)="","",INDEX(Settings!$D$10:$D$18,M1160)))</f>
        <v/>
      </c>
      <c r="L1160">
        <f>IF(OR(B1160="",E1160=""),"",B1160+MOD(N(C1160),1)+ROW()/10000000)</f>
        <v/>
      </c>
      <c r="M1160">
        <f>IF(D1160="","",IFERROR(MATCH(D1160,Settings!$B$10:$B$18,0),""))</f>
        <v/>
      </c>
      <c r="N1160">
        <f>IF(OR(B1160="",E1160="",M1160=""),"",IF(AND(B1160&gt;=Settings!$C$6,B1160&lt;=Settings!$C$7),M1160*10000+E1160,""))</f>
        <v/>
      </c>
      <c r="O1160">
        <f>IF(OR(B1160="",E1160=""),"",B1160*10000+E1160)</f>
        <v/>
      </c>
      <c r="P1160">
        <f>IF(N1160="","",E1160)</f>
        <v/>
      </c>
    </row>
    <row r="1161">
      <c r="A1161" s="1" t="n"/>
      <c r="B1161" s="20" t="n"/>
      <c r="C1161" s="21" t="n"/>
      <c r="D1161" s="22" t="n"/>
      <c r="E1161" s="23" t="n"/>
      <c r="F1161" s="22" t="n"/>
      <c r="G1161" s="14">
        <f>IF(OR(B1161="",E1161="",J1161="",K1161=""),"",IF(E1161&lt;J1161,"Below",IF(E1161&gt;K1161,"Above","In range")))</f>
        <v/>
      </c>
      <c r="H1161" s="1" t="n"/>
      <c r="J1161">
        <f>IF(M1161="","",IF(INDEX(Settings!$C$10:$C$18,M1161)="","",INDEX(Settings!$C$10:$C$18,M1161)))</f>
        <v/>
      </c>
      <c r="K1161">
        <f>IF(M1161="","",IF(INDEX(Settings!$D$10:$D$18,M1161)="","",INDEX(Settings!$D$10:$D$18,M1161)))</f>
        <v/>
      </c>
      <c r="L1161">
        <f>IF(OR(B1161="",E1161=""),"",B1161+MOD(N(C1161),1)+ROW()/10000000)</f>
        <v/>
      </c>
      <c r="M1161">
        <f>IF(D1161="","",IFERROR(MATCH(D1161,Settings!$B$10:$B$18,0),""))</f>
        <v/>
      </c>
      <c r="N1161">
        <f>IF(OR(B1161="",E1161="",M1161=""),"",IF(AND(B1161&gt;=Settings!$C$6,B1161&lt;=Settings!$C$7),M1161*10000+E1161,""))</f>
        <v/>
      </c>
      <c r="O1161">
        <f>IF(OR(B1161="",E1161=""),"",B1161*10000+E1161)</f>
        <v/>
      </c>
      <c r="P1161">
        <f>IF(N1161="","",E1161)</f>
        <v/>
      </c>
    </row>
    <row r="1162">
      <c r="A1162" s="1" t="n"/>
      <c r="B1162" s="20" t="n"/>
      <c r="C1162" s="21" t="n"/>
      <c r="D1162" s="22" t="n"/>
      <c r="E1162" s="23" t="n"/>
      <c r="F1162" s="22" t="n"/>
      <c r="G1162" s="14">
        <f>IF(OR(B1162="",E1162="",J1162="",K1162=""),"",IF(E1162&lt;J1162,"Below",IF(E1162&gt;K1162,"Above","In range")))</f>
        <v/>
      </c>
      <c r="H1162" s="1" t="n"/>
      <c r="J1162">
        <f>IF(M1162="","",IF(INDEX(Settings!$C$10:$C$18,M1162)="","",INDEX(Settings!$C$10:$C$18,M1162)))</f>
        <v/>
      </c>
      <c r="K1162">
        <f>IF(M1162="","",IF(INDEX(Settings!$D$10:$D$18,M1162)="","",INDEX(Settings!$D$10:$D$18,M1162)))</f>
        <v/>
      </c>
      <c r="L1162">
        <f>IF(OR(B1162="",E1162=""),"",B1162+MOD(N(C1162),1)+ROW()/10000000)</f>
        <v/>
      </c>
      <c r="M1162">
        <f>IF(D1162="","",IFERROR(MATCH(D1162,Settings!$B$10:$B$18,0),""))</f>
        <v/>
      </c>
      <c r="N1162">
        <f>IF(OR(B1162="",E1162="",M1162=""),"",IF(AND(B1162&gt;=Settings!$C$6,B1162&lt;=Settings!$C$7),M1162*10000+E1162,""))</f>
        <v/>
      </c>
      <c r="O1162">
        <f>IF(OR(B1162="",E1162=""),"",B1162*10000+E1162)</f>
        <v/>
      </c>
      <c r="P1162">
        <f>IF(N1162="","",E1162)</f>
        <v/>
      </c>
    </row>
    <row r="1163">
      <c r="A1163" s="1" t="n"/>
      <c r="B1163" s="20" t="n"/>
      <c r="C1163" s="21" t="n"/>
      <c r="D1163" s="22" t="n"/>
      <c r="E1163" s="23" t="n"/>
      <c r="F1163" s="22" t="n"/>
      <c r="G1163" s="14">
        <f>IF(OR(B1163="",E1163="",J1163="",K1163=""),"",IF(E1163&lt;J1163,"Below",IF(E1163&gt;K1163,"Above","In range")))</f>
        <v/>
      </c>
      <c r="H1163" s="1" t="n"/>
      <c r="J1163">
        <f>IF(M1163="","",IF(INDEX(Settings!$C$10:$C$18,M1163)="","",INDEX(Settings!$C$10:$C$18,M1163)))</f>
        <v/>
      </c>
      <c r="K1163">
        <f>IF(M1163="","",IF(INDEX(Settings!$D$10:$D$18,M1163)="","",INDEX(Settings!$D$10:$D$18,M1163)))</f>
        <v/>
      </c>
      <c r="L1163">
        <f>IF(OR(B1163="",E1163=""),"",B1163+MOD(N(C1163),1)+ROW()/10000000)</f>
        <v/>
      </c>
      <c r="M1163">
        <f>IF(D1163="","",IFERROR(MATCH(D1163,Settings!$B$10:$B$18,0),""))</f>
        <v/>
      </c>
      <c r="N1163">
        <f>IF(OR(B1163="",E1163="",M1163=""),"",IF(AND(B1163&gt;=Settings!$C$6,B1163&lt;=Settings!$C$7),M1163*10000+E1163,""))</f>
        <v/>
      </c>
      <c r="O1163">
        <f>IF(OR(B1163="",E1163=""),"",B1163*10000+E1163)</f>
        <v/>
      </c>
      <c r="P1163">
        <f>IF(N1163="","",E1163)</f>
        <v/>
      </c>
    </row>
    <row r="1164">
      <c r="A1164" s="1" t="n"/>
      <c r="B1164" s="20" t="n"/>
      <c r="C1164" s="21" t="n"/>
      <c r="D1164" s="22" t="n"/>
      <c r="E1164" s="23" t="n"/>
      <c r="F1164" s="22" t="n"/>
      <c r="G1164" s="14">
        <f>IF(OR(B1164="",E1164="",J1164="",K1164=""),"",IF(E1164&lt;J1164,"Below",IF(E1164&gt;K1164,"Above","In range")))</f>
        <v/>
      </c>
      <c r="H1164" s="1" t="n"/>
      <c r="J1164">
        <f>IF(M1164="","",IF(INDEX(Settings!$C$10:$C$18,M1164)="","",INDEX(Settings!$C$10:$C$18,M1164)))</f>
        <v/>
      </c>
      <c r="K1164">
        <f>IF(M1164="","",IF(INDEX(Settings!$D$10:$D$18,M1164)="","",INDEX(Settings!$D$10:$D$18,M1164)))</f>
        <v/>
      </c>
      <c r="L1164">
        <f>IF(OR(B1164="",E1164=""),"",B1164+MOD(N(C1164),1)+ROW()/10000000)</f>
        <v/>
      </c>
      <c r="M1164">
        <f>IF(D1164="","",IFERROR(MATCH(D1164,Settings!$B$10:$B$18,0),""))</f>
        <v/>
      </c>
      <c r="N1164">
        <f>IF(OR(B1164="",E1164="",M1164=""),"",IF(AND(B1164&gt;=Settings!$C$6,B1164&lt;=Settings!$C$7),M1164*10000+E1164,""))</f>
        <v/>
      </c>
      <c r="O1164">
        <f>IF(OR(B1164="",E1164=""),"",B1164*10000+E1164)</f>
        <v/>
      </c>
      <c r="P1164">
        <f>IF(N1164="","",E1164)</f>
        <v/>
      </c>
    </row>
    <row r="1165">
      <c r="A1165" s="1" t="n"/>
      <c r="B1165" s="20" t="n"/>
      <c r="C1165" s="21" t="n"/>
      <c r="D1165" s="22" t="n"/>
      <c r="E1165" s="23" t="n"/>
      <c r="F1165" s="22" t="n"/>
      <c r="G1165" s="14">
        <f>IF(OR(B1165="",E1165="",J1165="",K1165=""),"",IF(E1165&lt;J1165,"Below",IF(E1165&gt;K1165,"Above","In range")))</f>
        <v/>
      </c>
      <c r="H1165" s="1" t="n"/>
      <c r="J1165">
        <f>IF(M1165="","",IF(INDEX(Settings!$C$10:$C$18,M1165)="","",INDEX(Settings!$C$10:$C$18,M1165)))</f>
        <v/>
      </c>
      <c r="K1165">
        <f>IF(M1165="","",IF(INDEX(Settings!$D$10:$D$18,M1165)="","",INDEX(Settings!$D$10:$D$18,M1165)))</f>
        <v/>
      </c>
      <c r="L1165">
        <f>IF(OR(B1165="",E1165=""),"",B1165+MOD(N(C1165),1)+ROW()/10000000)</f>
        <v/>
      </c>
      <c r="M1165">
        <f>IF(D1165="","",IFERROR(MATCH(D1165,Settings!$B$10:$B$18,0),""))</f>
        <v/>
      </c>
      <c r="N1165">
        <f>IF(OR(B1165="",E1165="",M1165=""),"",IF(AND(B1165&gt;=Settings!$C$6,B1165&lt;=Settings!$C$7),M1165*10000+E1165,""))</f>
        <v/>
      </c>
      <c r="O1165">
        <f>IF(OR(B1165="",E1165=""),"",B1165*10000+E1165)</f>
        <v/>
      </c>
      <c r="P1165">
        <f>IF(N1165="","",E1165)</f>
        <v/>
      </c>
    </row>
    <row r="1166">
      <c r="A1166" s="1" t="n"/>
      <c r="B1166" s="20" t="n"/>
      <c r="C1166" s="21" t="n"/>
      <c r="D1166" s="22" t="n"/>
      <c r="E1166" s="23" t="n"/>
      <c r="F1166" s="22" t="n"/>
      <c r="G1166" s="14">
        <f>IF(OR(B1166="",E1166="",J1166="",K1166=""),"",IF(E1166&lt;J1166,"Below",IF(E1166&gt;K1166,"Above","In range")))</f>
        <v/>
      </c>
      <c r="H1166" s="1" t="n"/>
      <c r="J1166">
        <f>IF(M1166="","",IF(INDEX(Settings!$C$10:$C$18,M1166)="","",INDEX(Settings!$C$10:$C$18,M1166)))</f>
        <v/>
      </c>
      <c r="K1166">
        <f>IF(M1166="","",IF(INDEX(Settings!$D$10:$D$18,M1166)="","",INDEX(Settings!$D$10:$D$18,M1166)))</f>
        <v/>
      </c>
      <c r="L1166">
        <f>IF(OR(B1166="",E1166=""),"",B1166+MOD(N(C1166),1)+ROW()/10000000)</f>
        <v/>
      </c>
      <c r="M1166">
        <f>IF(D1166="","",IFERROR(MATCH(D1166,Settings!$B$10:$B$18,0),""))</f>
        <v/>
      </c>
      <c r="N1166">
        <f>IF(OR(B1166="",E1166="",M1166=""),"",IF(AND(B1166&gt;=Settings!$C$6,B1166&lt;=Settings!$C$7),M1166*10000+E1166,""))</f>
        <v/>
      </c>
      <c r="O1166">
        <f>IF(OR(B1166="",E1166=""),"",B1166*10000+E1166)</f>
        <v/>
      </c>
      <c r="P1166">
        <f>IF(N1166="","",E1166)</f>
        <v/>
      </c>
    </row>
    <row r="1167">
      <c r="A1167" s="1" t="n"/>
      <c r="B1167" s="20" t="n"/>
      <c r="C1167" s="21" t="n"/>
      <c r="D1167" s="22" t="n"/>
      <c r="E1167" s="23" t="n"/>
      <c r="F1167" s="22" t="n"/>
      <c r="G1167" s="14">
        <f>IF(OR(B1167="",E1167="",J1167="",K1167=""),"",IF(E1167&lt;J1167,"Below",IF(E1167&gt;K1167,"Above","In range")))</f>
        <v/>
      </c>
      <c r="H1167" s="1" t="n"/>
      <c r="J1167">
        <f>IF(M1167="","",IF(INDEX(Settings!$C$10:$C$18,M1167)="","",INDEX(Settings!$C$10:$C$18,M1167)))</f>
        <v/>
      </c>
      <c r="K1167">
        <f>IF(M1167="","",IF(INDEX(Settings!$D$10:$D$18,M1167)="","",INDEX(Settings!$D$10:$D$18,M1167)))</f>
        <v/>
      </c>
      <c r="L1167">
        <f>IF(OR(B1167="",E1167=""),"",B1167+MOD(N(C1167),1)+ROW()/10000000)</f>
        <v/>
      </c>
      <c r="M1167">
        <f>IF(D1167="","",IFERROR(MATCH(D1167,Settings!$B$10:$B$18,0),""))</f>
        <v/>
      </c>
      <c r="N1167">
        <f>IF(OR(B1167="",E1167="",M1167=""),"",IF(AND(B1167&gt;=Settings!$C$6,B1167&lt;=Settings!$C$7),M1167*10000+E1167,""))</f>
        <v/>
      </c>
      <c r="O1167">
        <f>IF(OR(B1167="",E1167=""),"",B1167*10000+E1167)</f>
        <v/>
      </c>
      <c r="P1167">
        <f>IF(N1167="","",E1167)</f>
        <v/>
      </c>
    </row>
    <row r="1168">
      <c r="A1168" s="1" t="n"/>
      <c r="B1168" s="20" t="n"/>
      <c r="C1168" s="21" t="n"/>
      <c r="D1168" s="22" t="n"/>
      <c r="E1168" s="23" t="n"/>
      <c r="F1168" s="22" t="n"/>
      <c r="G1168" s="14">
        <f>IF(OR(B1168="",E1168="",J1168="",K1168=""),"",IF(E1168&lt;J1168,"Below",IF(E1168&gt;K1168,"Above","In range")))</f>
        <v/>
      </c>
      <c r="H1168" s="1" t="n"/>
      <c r="J1168">
        <f>IF(M1168="","",IF(INDEX(Settings!$C$10:$C$18,M1168)="","",INDEX(Settings!$C$10:$C$18,M1168)))</f>
        <v/>
      </c>
      <c r="K1168">
        <f>IF(M1168="","",IF(INDEX(Settings!$D$10:$D$18,M1168)="","",INDEX(Settings!$D$10:$D$18,M1168)))</f>
        <v/>
      </c>
      <c r="L1168">
        <f>IF(OR(B1168="",E1168=""),"",B1168+MOD(N(C1168),1)+ROW()/10000000)</f>
        <v/>
      </c>
      <c r="M1168">
        <f>IF(D1168="","",IFERROR(MATCH(D1168,Settings!$B$10:$B$18,0),""))</f>
        <v/>
      </c>
      <c r="N1168">
        <f>IF(OR(B1168="",E1168="",M1168=""),"",IF(AND(B1168&gt;=Settings!$C$6,B1168&lt;=Settings!$C$7),M1168*10000+E1168,""))</f>
        <v/>
      </c>
      <c r="O1168">
        <f>IF(OR(B1168="",E1168=""),"",B1168*10000+E1168)</f>
        <v/>
      </c>
      <c r="P1168">
        <f>IF(N1168="","",E1168)</f>
        <v/>
      </c>
    </row>
    <row r="1169">
      <c r="A1169" s="1" t="n"/>
      <c r="B1169" s="20" t="n"/>
      <c r="C1169" s="21" t="n"/>
      <c r="D1169" s="22" t="n"/>
      <c r="E1169" s="23" t="n"/>
      <c r="F1169" s="22" t="n"/>
      <c r="G1169" s="14">
        <f>IF(OR(B1169="",E1169="",J1169="",K1169=""),"",IF(E1169&lt;J1169,"Below",IF(E1169&gt;K1169,"Above","In range")))</f>
        <v/>
      </c>
      <c r="H1169" s="1" t="n"/>
      <c r="J1169">
        <f>IF(M1169="","",IF(INDEX(Settings!$C$10:$C$18,M1169)="","",INDEX(Settings!$C$10:$C$18,M1169)))</f>
        <v/>
      </c>
      <c r="K1169">
        <f>IF(M1169="","",IF(INDEX(Settings!$D$10:$D$18,M1169)="","",INDEX(Settings!$D$10:$D$18,M1169)))</f>
        <v/>
      </c>
      <c r="L1169">
        <f>IF(OR(B1169="",E1169=""),"",B1169+MOD(N(C1169),1)+ROW()/10000000)</f>
        <v/>
      </c>
      <c r="M1169">
        <f>IF(D1169="","",IFERROR(MATCH(D1169,Settings!$B$10:$B$18,0),""))</f>
        <v/>
      </c>
      <c r="N1169">
        <f>IF(OR(B1169="",E1169="",M1169=""),"",IF(AND(B1169&gt;=Settings!$C$6,B1169&lt;=Settings!$C$7),M1169*10000+E1169,""))</f>
        <v/>
      </c>
      <c r="O1169">
        <f>IF(OR(B1169="",E1169=""),"",B1169*10000+E1169)</f>
        <v/>
      </c>
      <c r="P1169">
        <f>IF(N1169="","",E1169)</f>
        <v/>
      </c>
    </row>
    <row r="1170">
      <c r="A1170" s="1" t="n"/>
      <c r="B1170" s="20" t="n"/>
      <c r="C1170" s="21" t="n"/>
      <c r="D1170" s="22" t="n"/>
      <c r="E1170" s="23" t="n"/>
      <c r="F1170" s="22" t="n"/>
      <c r="G1170" s="14">
        <f>IF(OR(B1170="",E1170="",J1170="",K1170=""),"",IF(E1170&lt;J1170,"Below",IF(E1170&gt;K1170,"Above","In range")))</f>
        <v/>
      </c>
      <c r="H1170" s="1" t="n"/>
      <c r="J1170">
        <f>IF(M1170="","",IF(INDEX(Settings!$C$10:$C$18,M1170)="","",INDEX(Settings!$C$10:$C$18,M1170)))</f>
        <v/>
      </c>
      <c r="K1170">
        <f>IF(M1170="","",IF(INDEX(Settings!$D$10:$D$18,M1170)="","",INDEX(Settings!$D$10:$D$18,M1170)))</f>
        <v/>
      </c>
      <c r="L1170">
        <f>IF(OR(B1170="",E1170=""),"",B1170+MOD(N(C1170),1)+ROW()/10000000)</f>
        <v/>
      </c>
      <c r="M1170">
        <f>IF(D1170="","",IFERROR(MATCH(D1170,Settings!$B$10:$B$18,0),""))</f>
        <v/>
      </c>
      <c r="N1170">
        <f>IF(OR(B1170="",E1170="",M1170=""),"",IF(AND(B1170&gt;=Settings!$C$6,B1170&lt;=Settings!$C$7),M1170*10000+E1170,""))</f>
        <v/>
      </c>
      <c r="O1170">
        <f>IF(OR(B1170="",E1170=""),"",B1170*10000+E1170)</f>
        <v/>
      </c>
      <c r="P1170">
        <f>IF(N1170="","",E1170)</f>
        <v/>
      </c>
    </row>
    <row r="1171">
      <c r="A1171" s="1" t="n"/>
      <c r="B1171" s="20" t="n"/>
      <c r="C1171" s="21" t="n"/>
      <c r="D1171" s="22" t="n"/>
      <c r="E1171" s="23" t="n"/>
      <c r="F1171" s="22" t="n"/>
      <c r="G1171" s="14">
        <f>IF(OR(B1171="",E1171="",J1171="",K1171=""),"",IF(E1171&lt;J1171,"Below",IF(E1171&gt;K1171,"Above","In range")))</f>
        <v/>
      </c>
      <c r="H1171" s="1" t="n"/>
      <c r="J1171">
        <f>IF(M1171="","",IF(INDEX(Settings!$C$10:$C$18,M1171)="","",INDEX(Settings!$C$10:$C$18,M1171)))</f>
        <v/>
      </c>
      <c r="K1171">
        <f>IF(M1171="","",IF(INDEX(Settings!$D$10:$D$18,M1171)="","",INDEX(Settings!$D$10:$D$18,M1171)))</f>
        <v/>
      </c>
      <c r="L1171">
        <f>IF(OR(B1171="",E1171=""),"",B1171+MOD(N(C1171),1)+ROW()/10000000)</f>
        <v/>
      </c>
      <c r="M1171">
        <f>IF(D1171="","",IFERROR(MATCH(D1171,Settings!$B$10:$B$18,0),""))</f>
        <v/>
      </c>
      <c r="N1171">
        <f>IF(OR(B1171="",E1171="",M1171=""),"",IF(AND(B1171&gt;=Settings!$C$6,B1171&lt;=Settings!$C$7),M1171*10000+E1171,""))</f>
        <v/>
      </c>
      <c r="O1171">
        <f>IF(OR(B1171="",E1171=""),"",B1171*10000+E1171)</f>
        <v/>
      </c>
      <c r="P1171">
        <f>IF(N1171="","",E1171)</f>
        <v/>
      </c>
    </row>
    <row r="1172">
      <c r="A1172" s="1" t="n"/>
      <c r="B1172" s="20" t="n"/>
      <c r="C1172" s="21" t="n"/>
      <c r="D1172" s="22" t="n"/>
      <c r="E1172" s="23" t="n"/>
      <c r="F1172" s="22" t="n"/>
      <c r="G1172" s="14">
        <f>IF(OR(B1172="",E1172="",J1172="",K1172=""),"",IF(E1172&lt;J1172,"Below",IF(E1172&gt;K1172,"Above","In range")))</f>
        <v/>
      </c>
      <c r="H1172" s="1" t="n"/>
      <c r="J1172">
        <f>IF(M1172="","",IF(INDEX(Settings!$C$10:$C$18,M1172)="","",INDEX(Settings!$C$10:$C$18,M1172)))</f>
        <v/>
      </c>
      <c r="K1172">
        <f>IF(M1172="","",IF(INDEX(Settings!$D$10:$D$18,M1172)="","",INDEX(Settings!$D$10:$D$18,M1172)))</f>
        <v/>
      </c>
      <c r="L1172">
        <f>IF(OR(B1172="",E1172=""),"",B1172+MOD(N(C1172),1)+ROW()/10000000)</f>
        <v/>
      </c>
      <c r="M1172">
        <f>IF(D1172="","",IFERROR(MATCH(D1172,Settings!$B$10:$B$18,0),""))</f>
        <v/>
      </c>
      <c r="N1172">
        <f>IF(OR(B1172="",E1172="",M1172=""),"",IF(AND(B1172&gt;=Settings!$C$6,B1172&lt;=Settings!$C$7),M1172*10000+E1172,""))</f>
        <v/>
      </c>
      <c r="O1172">
        <f>IF(OR(B1172="",E1172=""),"",B1172*10000+E1172)</f>
        <v/>
      </c>
      <c r="P1172">
        <f>IF(N1172="","",E1172)</f>
        <v/>
      </c>
    </row>
    <row r="1173">
      <c r="A1173" s="1" t="n"/>
      <c r="B1173" s="20" t="n"/>
      <c r="C1173" s="21" t="n"/>
      <c r="D1173" s="22" t="n"/>
      <c r="E1173" s="23" t="n"/>
      <c r="F1173" s="22" t="n"/>
      <c r="G1173" s="14">
        <f>IF(OR(B1173="",E1173="",J1173="",K1173=""),"",IF(E1173&lt;J1173,"Below",IF(E1173&gt;K1173,"Above","In range")))</f>
        <v/>
      </c>
      <c r="H1173" s="1" t="n"/>
      <c r="J1173">
        <f>IF(M1173="","",IF(INDEX(Settings!$C$10:$C$18,M1173)="","",INDEX(Settings!$C$10:$C$18,M1173)))</f>
        <v/>
      </c>
      <c r="K1173">
        <f>IF(M1173="","",IF(INDEX(Settings!$D$10:$D$18,M1173)="","",INDEX(Settings!$D$10:$D$18,M1173)))</f>
        <v/>
      </c>
      <c r="L1173">
        <f>IF(OR(B1173="",E1173=""),"",B1173+MOD(N(C1173),1)+ROW()/10000000)</f>
        <v/>
      </c>
      <c r="M1173">
        <f>IF(D1173="","",IFERROR(MATCH(D1173,Settings!$B$10:$B$18,0),""))</f>
        <v/>
      </c>
      <c r="N1173">
        <f>IF(OR(B1173="",E1173="",M1173=""),"",IF(AND(B1173&gt;=Settings!$C$6,B1173&lt;=Settings!$C$7),M1173*10000+E1173,""))</f>
        <v/>
      </c>
      <c r="O1173">
        <f>IF(OR(B1173="",E1173=""),"",B1173*10000+E1173)</f>
        <v/>
      </c>
      <c r="P1173">
        <f>IF(N1173="","",E1173)</f>
        <v/>
      </c>
    </row>
    <row r="1174">
      <c r="A1174" s="1" t="n"/>
      <c r="B1174" s="20" t="n"/>
      <c r="C1174" s="21" t="n"/>
      <c r="D1174" s="22" t="n"/>
      <c r="E1174" s="23" t="n"/>
      <c r="F1174" s="22" t="n"/>
      <c r="G1174" s="14">
        <f>IF(OR(B1174="",E1174="",J1174="",K1174=""),"",IF(E1174&lt;J1174,"Below",IF(E1174&gt;K1174,"Above","In range")))</f>
        <v/>
      </c>
      <c r="H1174" s="1" t="n"/>
      <c r="J1174">
        <f>IF(M1174="","",IF(INDEX(Settings!$C$10:$C$18,M1174)="","",INDEX(Settings!$C$10:$C$18,M1174)))</f>
        <v/>
      </c>
      <c r="K1174">
        <f>IF(M1174="","",IF(INDEX(Settings!$D$10:$D$18,M1174)="","",INDEX(Settings!$D$10:$D$18,M1174)))</f>
        <v/>
      </c>
      <c r="L1174">
        <f>IF(OR(B1174="",E1174=""),"",B1174+MOD(N(C1174),1)+ROW()/10000000)</f>
        <v/>
      </c>
      <c r="M1174">
        <f>IF(D1174="","",IFERROR(MATCH(D1174,Settings!$B$10:$B$18,0),""))</f>
        <v/>
      </c>
      <c r="N1174">
        <f>IF(OR(B1174="",E1174="",M1174=""),"",IF(AND(B1174&gt;=Settings!$C$6,B1174&lt;=Settings!$C$7),M1174*10000+E1174,""))</f>
        <v/>
      </c>
      <c r="O1174">
        <f>IF(OR(B1174="",E1174=""),"",B1174*10000+E1174)</f>
        <v/>
      </c>
      <c r="P1174">
        <f>IF(N1174="","",E1174)</f>
        <v/>
      </c>
    </row>
    <row r="1175">
      <c r="A1175" s="1" t="n"/>
      <c r="B1175" s="20" t="n"/>
      <c r="C1175" s="21" t="n"/>
      <c r="D1175" s="22" t="n"/>
      <c r="E1175" s="23" t="n"/>
      <c r="F1175" s="22" t="n"/>
      <c r="G1175" s="14">
        <f>IF(OR(B1175="",E1175="",J1175="",K1175=""),"",IF(E1175&lt;J1175,"Below",IF(E1175&gt;K1175,"Above","In range")))</f>
        <v/>
      </c>
      <c r="H1175" s="1" t="n"/>
      <c r="J1175">
        <f>IF(M1175="","",IF(INDEX(Settings!$C$10:$C$18,M1175)="","",INDEX(Settings!$C$10:$C$18,M1175)))</f>
        <v/>
      </c>
      <c r="K1175">
        <f>IF(M1175="","",IF(INDEX(Settings!$D$10:$D$18,M1175)="","",INDEX(Settings!$D$10:$D$18,M1175)))</f>
        <v/>
      </c>
      <c r="L1175">
        <f>IF(OR(B1175="",E1175=""),"",B1175+MOD(N(C1175),1)+ROW()/10000000)</f>
        <v/>
      </c>
      <c r="M1175">
        <f>IF(D1175="","",IFERROR(MATCH(D1175,Settings!$B$10:$B$18,0),""))</f>
        <v/>
      </c>
      <c r="N1175">
        <f>IF(OR(B1175="",E1175="",M1175=""),"",IF(AND(B1175&gt;=Settings!$C$6,B1175&lt;=Settings!$C$7),M1175*10000+E1175,""))</f>
        <v/>
      </c>
      <c r="O1175">
        <f>IF(OR(B1175="",E1175=""),"",B1175*10000+E1175)</f>
        <v/>
      </c>
      <c r="P1175">
        <f>IF(N1175="","",E1175)</f>
        <v/>
      </c>
    </row>
    <row r="1176">
      <c r="A1176" s="1" t="n"/>
      <c r="B1176" s="20" t="n"/>
      <c r="C1176" s="21" t="n"/>
      <c r="D1176" s="22" t="n"/>
      <c r="E1176" s="23" t="n"/>
      <c r="F1176" s="22" t="n"/>
      <c r="G1176" s="14">
        <f>IF(OR(B1176="",E1176="",J1176="",K1176=""),"",IF(E1176&lt;J1176,"Below",IF(E1176&gt;K1176,"Above","In range")))</f>
        <v/>
      </c>
      <c r="H1176" s="1" t="n"/>
      <c r="J1176">
        <f>IF(M1176="","",IF(INDEX(Settings!$C$10:$C$18,M1176)="","",INDEX(Settings!$C$10:$C$18,M1176)))</f>
        <v/>
      </c>
      <c r="K1176">
        <f>IF(M1176="","",IF(INDEX(Settings!$D$10:$D$18,M1176)="","",INDEX(Settings!$D$10:$D$18,M1176)))</f>
        <v/>
      </c>
      <c r="L1176">
        <f>IF(OR(B1176="",E1176=""),"",B1176+MOD(N(C1176),1)+ROW()/10000000)</f>
        <v/>
      </c>
      <c r="M1176">
        <f>IF(D1176="","",IFERROR(MATCH(D1176,Settings!$B$10:$B$18,0),""))</f>
        <v/>
      </c>
      <c r="N1176">
        <f>IF(OR(B1176="",E1176="",M1176=""),"",IF(AND(B1176&gt;=Settings!$C$6,B1176&lt;=Settings!$C$7),M1176*10000+E1176,""))</f>
        <v/>
      </c>
      <c r="O1176">
        <f>IF(OR(B1176="",E1176=""),"",B1176*10000+E1176)</f>
        <v/>
      </c>
      <c r="P1176">
        <f>IF(N1176="","",E1176)</f>
        <v/>
      </c>
    </row>
    <row r="1177">
      <c r="A1177" s="1" t="n"/>
      <c r="B1177" s="20" t="n"/>
      <c r="C1177" s="21" t="n"/>
      <c r="D1177" s="22" t="n"/>
      <c r="E1177" s="23" t="n"/>
      <c r="F1177" s="22" t="n"/>
      <c r="G1177" s="14">
        <f>IF(OR(B1177="",E1177="",J1177="",K1177=""),"",IF(E1177&lt;J1177,"Below",IF(E1177&gt;K1177,"Above","In range")))</f>
        <v/>
      </c>
      <c r="H1177" s="1" t="n"/>
      <c r="J1177">
        <f>IF(M1177="","",IF(INDEX(Settings!$C$10:$C$18,M1177)="","",INDEX(Settings!$C$10:$C$18,M1177)))</f>
        <v/>
      </c>
      <c r="K1177">
        <f>IF(M1177="","",IF(INDEX(Settings!$D$10:$D$18,M1177)="","",INDEX(Settings!$D$10:$D$18,M1177)))</f>
        <v/>
      </c>
      <c r="L1177">
        <f>IF(OR(B1177="",E1177=""),"",B1177+MOD(N(C1177),1)+ROW()/10000000)</f>
        <v/>
      </c>
      <c r="M1177">
        <f>IF(D1177="","",IFERROR(MATCH(D1177,Settings!$B$10:$B$18,0),""))</f>
        <v/>
      </c>
      <c r="N1177">
        <f>IF(OR(B1177="",E1177="",M1177=""),"",IF(AND(B1177&gt;=Settings!$C$6,B1177&lt;=Settings!$C$7),M1177*10000+E1177,""))</f>
        <v/>
      </c>
      <c r="O1177">
        <f>IF(OR(B1177="",E1177=""),"",B1177*10000+E1177)</f>
        <v/>
      </c>
      <c r="P1177">
        <f>IF(N1177="","",E1177)</f>
        <v/>
      </c>
    </row>
    <row r="1178">
      <c r="A1178" s="1" t="n"/>
      <c r="B1178" s="20" t="n"/>
      <c r="C1178" s="21" t="n"/>
      <c r="D1178" s="22" t="n"/>
      <c r="E1178" s="23" t="n"/>
      <c r="F1178" s="22" t="n"/>
      <c r="G1178" s="14">
        <f>IF(OR(B1178="",E1178="",J1178="",K1178=""),"",IF(E1178&lt;J1178,"Below",IF(E1178&gt;K1178,"Above","In range")))</f>
        <v/>
      </c>
      <c r="H1178" s="1" t="n"/>
      <c r="J1178">
        <f>IF(M1178="","",IF(INDEX(Settings!$C$10:$C$18,M1178)="","",INDEX(Settings!$C$10:$C$18,M1178)))</f>
        <v/>
      </c>
      <c r="K1178">
        <f>IF(M1178="","",IF(INDEX(Settings!$D$10:$D$18,M1178)="","",INDEX(Settings!$D$10:$D$18,M1178)))</f>
        <v/>
      </c>
      <c r="L1178">
        <f>IF(OR(B1178="",E1178=""),"",B1178+MOD(N(C1178),1)+ROW()/10000000)</f>
        <v/>
      </c>
      <c r="M1178">
        <f>IF(D1178="","",IFERROR(MATCH(D1178,Settings!$B$10:$B$18,0),""))</f>
        <v/>
      </c>
      <c r="N1178">
        <f>IF(OR(B1178="",E1178="",M1178=""),"",IF(AND(B1178&gt;=Settings!$C$6,B1178&lt;=Settings!$C$7),M1178*10000+E1178,""))</f>
        <v/>
      </c>
      <c r="O1178">
        <f>IF(OR(B1178="",E1178=""),"",B1178*10000+E1178)</f>
        <v/>
      </c>
      <c r="P1178">
        <f>IF(N1178="","",E1178)</f>
        <v/>
      </c>
    </row>
    <row r="1179">
      <c r="A1179" s="1" t="n"/>
      <c r="B1179" s="20" t="n"/>
      <c r="C1179" s="21" t="n"/>
      <c r="D1179" s="22" t="n"/>
      <c r="E1179" s="23" t="n"/>
      <c r="F1179" s="22" t="n"/>
      <c r="G1179" s="14">
        <f>IF(OR(B1179="",E1179="",J1179="",K1179=""),"",IF(E1179&lt;J1179,"Below",IF(E1179&gt;K1179,"Above","In range")))</f>
        <v/>
      </c>
      <c r="H1179" s="1" t="n"/>
      <c r="J1179">
        <f>IF(M1179="","",IF(INDEX(Settings!$C$10:$C$18,M1179)="","",INDEX(Settings!$C$10:$C$18,M1179)))</f>
        <v/>
      </c>
      <c r="K1179">
        <f>IF(M1179="","",IF(INDEX(Settings!$D$10:$D$18,M1179)="","",INDEX(Settings!$D$10:$D$18,M1179)))</f>
        <v/>
      </c>
      <c r="L1179">
        <f>IF(OR(B1179="",E1179=""),"",B1179+MOD(N(C1179),1)+ROW()/10000000)</f>
        <v/>
      </c>
      <c r="M1179">
        <f>IF(D1179="","",IFERROR(MATCH(D1179,Settings!$B$10:$B$18,0),""))</f>
        <v/>
      </c>
      <c r="N1179">
        <f>IF(OR(B1179="",E1179="",M1179=""),"",IF(AND(B1179&gt;=Settings!$C$6,B1179&lt;=Settings!$C$7),M1179*10000+E1179,""))</f>
        <v/>
      </c>
      <c r="O1179">
        <f>IF(OR(B1179="",E1179=""),"",B1179*10000+E1179)</f>
        <v/>
      </c>
      <c r="P1179">
        <f>IF(N1179="","",E1179)</f>
        <v/>
      </c>
    </row>
    <row r="1180">
      <c r="A1180" s="1" t="n"/>
      <c r="B1180" s="20" t="n"/>
      <c r="C1180" s="21" t="n"/>
      <c r="D1180" s="22" t="n"/>
      <c r="E1180" s="23" t="n"/>
      <c r="F1180" s="22" t="n"/>
      <c r="G1180" s="14">
        <f>IF(OR(B1180="",E1180="",J1180="",K1180=""),"",IF(E1180&lt;J1180,"Below",IF(E1180&gt;K1180,"Above","In range")))</f>
        <v/>
      </c>
      <c r="H1180" s="1" t="n"/>
      <c r="J1180">
        <f>IF(M1180="","",IF(INDEX(Settings!$C$10:$C$18,M1180)="","",INDEX(Settings!$C$10:$C$18,M1180)))</f>
        <v/>
      </c>
      <c r="K1180">
        <f>IF(M1180="","",IF(INDEX(Settings!$D$10:$D$18,M1180)="","",INDEX(Settings!$D$10:$D$18,M1180)))</f>
        <v/>
      </c>
      <c r="L1180">
        <f>IF(OR(B1180="",E1180=""),"",B1180+MOD(N(C1180),1)+ROW()/10000000)</f>
        <v/>
      </c>
      <c r="M1180">
        <f>IF(D1180="","",IFERROR(MATCH(D1180,Settings!$B$10:$B$18,0),""))</f>
        <v/>
      </c>
      <c r="N1180">
        <f>IF(OR(B1180="",E1180="",M1180=""),"",IF(AND(B1180&gt;=Settings!$C$6,B1180&lt;=Settings!$C$7),M1180*10000+E1180,""))</f>
        <v/>
      </c>
      <c r="O1180">
        <f>IF(OR(B1180="",E1180=""),"",B1180*10000+E1180)</f>
        <v/>
      </c>
      <c r="P1180">
        <f>IF(N1180="","",E1180)</f>
        <v/>
      </c>
    </row>
    <row r="1181">
      <c r="A1181" s="1" t="n"/>
      <c r="B1181" s="20" t="n"/>
      <c r="C1181" s="21" t="n"/>
      <c r="D1181" s="22" t="n"/>
      <c r="E1181" s="23" t="n"/>
      <c r="F1181" s="22" t="n"/>
      <c r="G1181" s="14">
        <f>IF(OR(B1181="",E1181="",J1181="",K1181=""),"",IF(E1181&lt;J1181,"Below",IF(E1181&gt;K1181,"Above","In range")))</f>
        <v/>
      </c>
      <c r="H1181" s="1" t="n"/>
      <c r="J1181">
        <f>IF(M1181="","",IF(INDEX(Settings!$C$10:$C$18,M1181)="","",INDEX(Settings!$C$10:$C$18,M1181)))</f>
        <v/>
      </c>
      <c r="K1181">
        <f>IF(M1181="","",IF(INDEX(Settings!$D$10:$D$18,M1181)="","",INDEX(Settings!$D$10:$D$18,M1181)))</f>
        <v/>
      </c>
      <c r="L1181">
        <f>IF(OR(B1181="",E1181=""),"",B1181+MOD(N(C1181),1)+ROW()/10000000)</f>
        <v/>
      </c>
      <c r="M1181">
        <f>IF(D1181="","",IFERROR(MATCH(D1181,Settings!$B$10:$B$18,0),""))</f>
        <v/>
      </c>
      <c r="N1181">
        <f>IF(OR(B1181="",E1181="",M1181=""),"",IF(AND(B1181&gt;=Settings!$C$6,B1181&lt;=Settings!$C$7),M1181*10000+E1181,""))</f>
        <v/>
      </c>
      <c r="O1181">
        <f>IF(OR(B1181="",E1181=""),"",B1181*10000+E1181)</f>
        <v/>
      </c>
      <c r="P1181">
        <f>IF(N1181="","",E1181)</f>
        <v/>
      </c>
    </row>
    <row r="1182">
      <c r="A1182" s="1" t="n"/>
      <c r="B1182" s="20" t="n"/>
      <c r="C1182" s="21" t="n"/>
      <c r="D1182" s="22" t="n"/>
      <c r="E1182" s="23" t="n"/>
      <c r="F1182" s="22" t="n"/>
      <c r="G1182" s="14">
        <f>IF(OR(B1182="",E1182="",J1182="",K1182=""),"",IF(E1182&lt;J1182,"Below",IF(E1182&gt;K1182,"Above","In range")))</f>
        <v/>
      </c>
      <c r="H1182" s="1" t="n"/>
      <c r="J1182">
        <f>IF(M1182="","",IF(INDEX(Settings!$C$10:$C$18,M1182)="","",INDEX(Settings!$C$10:$C$18,M1182)))</f>
        <v/>
      </c>
      <c r="K1182">
        <f>IF(M1182="","",IF(INDEX(Settings!$D$10:$D$18,M1182)="","",INDEX(Settings!$D$10:$D$18,M1182)))</f>
        <v/>
      </c>
      <c r="L1182">
        <f>IF(OR(B1182="",E1182=""),"",B1182+MOD(N(C1182),1)+ROW()/10000000)</f>
        <v/>
      </c>
      <c r="M1182">
        <f>IF(D1182="","",IFERROR(MATCH(D1182,Settings!$B$10:$B$18,0),""))</f>
        <v/>
      </c>
      <c r="N1182">
        <f>IF(OR(B1182="",E1182="",M1182=""),"",IF(AND(B1182&gt;=Settings!$C$6,B1182&lt;=Settings!$C$7),M1182*10000+E1182,""))</f>
        <v/>
      </c>
      <c r="O1182">
        <f>IF(OR(B1182="",E1182=""),"",B1182*10000+E1182)</f>
        <v/>
      </c>
      <c r="P1182">
        <f>IF(N1182="","",E1182)</f>
        <v/>
      </c>
    </row>
    <row r="1183">
      <c r="A1183" s="1" t="n"/>
      <c r="B1183" s="20" t="n"/>
      <c r="C1183" s="21" t="n"/>
      <c r="D1183" s="22" t="n"/>
      <c r="E1183" s="23" t="n"/>
      <c r="F1183" s="22" t="n"/>
      <c r="G1183" s="14">
        <f>IF(OR(B1183="",E1183="",J1183="",K1183=""),"",IF(E1183&lt;J1183,"Below",IF(E1183&gt;K1183,"Above","In range")))</f>
        <v/>
      </c>
      <c r="H1183" s="1" t="n"/>
      <c r="J1183">
        <f>IF(M1183="","",IF(INDEX(Settings!$C$10:$C$18,M1183)="","",INDEX(Settings!$C$10:$C$18,M1183)))</f>
        <v/>
      </c>
      <c r="K1183">
        <f>IF(M1183="","",IF(INDEX(Settings!$D$10:$D$18,M1183)="","",INDEX(Settings!$D$10:$D$18,M1183)))</f>
        <v/>
      </c>
      <c r="L1183">
        <f>IF(OR(B1183="",E1183=""),"",B1183+MOD(N(C1183),1)+ROW()/10000000)</f>
        <v/>
      </c>
      <c r="M1183">
        <f>IF(D1183="","",IFERROR(MATCH(D1183,Settings!$B$10:$B$18,0),""))</f>
        <v/>
      </c>
      <c r="N1183">
        <f>IF(OR(B1183="",E1183="",M1183=""),"",IF(AND(B1183&gt;=Settings!$C$6,B1183&lt;=Settings!$C$7),M1183*10000+E1183,""))</f>
        <v/>
      </c>
      <c r="O1183">
        <f>IF(OR(B1183="",E1183=""),"",B1183*10000+E1183)</f>
        <v/>
      </c>
      <c r="P1183">
        <f>IF(N1183="","",E1183)</f>
        <v/>
      </c>
    </row>
    <row r="1184">
      <c r="A1184" s="1" t="n"/>
      <c r="B1184" s="20" t="n"/>
      <c r="C1184" s="21" t="n"/>
      <c r="D1184" s="22" t="n"/>
      <c r="E1184" s="23" t="n"/>
      <c r="F1184" s="22" t="n"/>
      <c r="G1184" s="14">
        <f>IF(OR(B1184="",E1184="",J1184="",K1184=""),"",IF(E1184&lt;J1184,"Below",IF(E1184&gt;K1184,"Above","In range")))</f>
        <v/>
      </c>
      <c r="H1184" s="1" t="n"/>
      <c r="J1184">
        <f>IF(M1184="","",IF(INDEX(Settings!$C$10:$C$18,M1184)="","",INDEX(Settings!$C$10:$C$18,M1184)))</f>
        <v/>
      </c>
      <c r="K1184">
        <f>IF(M1184="","",IF(INDEX(Settings!$D$10:$D$18,M1184)="","",INDEX(Settings!$D$10:$D$18,M1184)))</f>
        <v/>
      </c>
      <c r="L1184">
        <f>IF(OR(B1184="",E1184=""),"",B1184+MOD(N(C1184),1)+ROW()/10000000)</f>
        <v/>
      </c>
      <c r="M1184">
        <f>IF(D1184="","",IFERROR(MATCH(D1184,Settings!$B$10:$B$18,0),""))</f>
        <v/>
      </c>
      <c r="N1184">
        <f>IF(OR(B1184="",E1184="",M1184=""),"",IF(AND(B1184&gt;=Settings!$C$6,B1184&lt;=Settings!$C$7),M1184*10000+E1184,""))</f>
        <v/>
      </c>
      <c r="O1184">
        <f>IF(OR(B1184="",E1184=""),"",B1184*10000+E1184)</f>
        <v/>
      </c>
      <c r="P1184">
        <f>IF(N1184="","",E1184)</f>
        <v/>
      </c>
    </row>
    <row r="1185">
      <c r="A1185" s="1" t="n"/>
      <c r="B1185" s="20" t="n"/>
      <c r="C1185" s="21" t="n"/>
      <c r="D1185" s="22" t="n"/>
      <c r="E1185" s="23" t="n"/>
      <c r="F1185" s="22" t="n"/>
      <c r="G1185" s="14">
        <f>IF(OR(B1185="",E1185="",J1185="",K1185=""),"",IF(E1185&lt;J1185,"Below",IF(E1185&gt;K1185,"Above","In range")))</f>
        <v/>
      </c>
      <c r="H1185" s="1" t="n"/>
      <c r="J1185">
        <f>IF(M1185="","",IF(INDEX(Settings!$C$10:$C$18,M1185)="","",INDEX(Settings!$C$10:$C$18,M1185)))</f>
        <v/>
      </c>
      <c r="K1185">
        <f>IF(M1185="","",IF(INDEX(Settings!$D$10:$D$18,M1185)="","",INDEX(Settings!$D$10:$D$18,M1185)))</f>
        <v/>
      </c>
      <c r="L1185">
        <f>IF(OR(B1185="",E1185=""),"",B1185+MOD(N(C1185),1)+ROW()/10000000)</f>
        <v/>
      </c>
      <c r="M1185">
        <f>IF(D1185="","",IFERROR(MATCH(D1185,Settings!$B$10:$B$18,0),""))</f>
        <v/>
      </c>
      <c r="N1185">
        <f>IF(OR(B1185="",E1185="",M1185=""),"",IF(AND(B1185&gt;=Settings!$C$6,B1185&lt;=Settings!$C$7),M1185*10000+E1185,""))</f>
        <v/>
      </c>
      <c r="O1185">
        <f>IF(OR(B1185="",E1185=""),"",B1185*10000+E1185)</f>
        <v/>
      </c>
      <c r="P1185">
        <f>IF(N1185="","",E1185)</f>
        <v/>
      </c>
    </row>
    <row r="1186">
      <c r="A1186" s="1" t="n"/>
      <c r="B1186" s="20" t="n"/>
      <c r="C1186" s="21" t="n"/>
      <c r="D1186" s="22" t="n"/>
      <c r="E1186" s="23" t="n"/>
      <c r="F1186" s="22" t="n"/>
      <c r="G1186" s="14">
        <f>IF(OR(B1186="",E1186="",J1186="",K1186=""),"",IF(E1186&lt;J1186,"Below",IF(E1186&gt;K1186,"Above","In range")))</f>
        <v/>
      </c>
      <c r="H1186" s="1" t="n"/>
      <c r="J1186">
        <f>IF(M1186="","",IF(INDEX(Settings!$C$10:$C$18,M1186)="","",INDEX(Settings!$C$10:$C$18,M1186)))</f>
        <v/>
      </c>
      <c r="K1186">
        <f>IF(M1186="","",IF(INDEX(Settings!$D$10:$D$18,M1186)="","",INDEX(Settings!$D$10:$D$18,M1186)))</f>
        <v/>
      </c>
      <c r="L1186">
        <f>IF(OR(B1186="",E1186=""),"",B1186+MOD(N(C1186),1)+ROW()/10000000)</f>
        <v/>
      </c>
      <c r="M1186">
        <f>IF(D1186="","",IFERROR(MATCH(D1186,Settings!$B$10:$B$18,0),""))</f>
        <v/>
      </c>
      <c r="N1186">
        <f>IF(OR(B1186="",E1186="",M1186=""),"",IF(AND(B1186&gt;=Settings!$C$6,B1186&lt;=Settings!$C$7),M1186*10000+E1186,""))</f>
        <v/>
      </c>
      <c r="O1186">
        <f>IF(OR(B1186="",E1186=""),"",B1186*10000+E1186)</f>
        <v/>
      </c>
      <c r="P1186">
        <f>IF(N1186="","",E1186)</f>
        <v/>
      </c>
    </row>
    <row r="1187">
      <c r="A1187" s="1" t="n"/>
      <c r="B1187" s="20" t="n"/>
      <c r="C1187" s="21" t="n"/>
      <c r="D1187" s="22" t="n"/>
      <c r="E1187" s="23" t="n"/>
      <c r="F1187" s="22" t="n"/>
      <c r="G1187" s="14">
        <f>IF(OR(B1187="",E1187="",J1187="",K1187=""),"",IF(E1187&lt;J1187,"Below",IF(E1187&gt;K1187,"Above","In range")))</f>
        <v/>
      </c>
      <c r="H1187" s="1" t="n"/>
      <c r="J1187">
        <f>IF(M1187="","",IF(INDEX(Settings!$C$10:$C$18,M1187)="","",INDEX(Settings!$C$10:$C$18,M1187)))</f>
        <v/>
      </c>
      <c r="K1187">
        <f>IF(M1187="","",IF(INDEX(Settings!$D$10:$D$18,M1187)="","",INDEX(Settings!$D$10:$D$18,M1187)))</f>
        <v/>
      </c>
      <c r="L1187">
        <f>IF(OR(B1187="",E1187=""),"",B1187+MOD(N(C1187),1)+ROW()/10000000)</f>
        <v/>
      </c>
      <c r="M1187">
        <f>IF(D1187="","",IFERROR(MATCH(D1187,Settings!$B$10:$B$18,0),""))</f>
        <v/>
      </c>
      <c r="N1187">
        <f>IF(OR(B1187="",E1187="",M1187=""),"",IF(AND(B1187&gt;=Settings!$C$6,B1187&lt;=Settings!$C$7),M1187*10000+E1187,""))</f>
        <v/>
      </c>
      <c r="O1187">
        <f>IF(OR(B1187="",E1187=""),"",B1187*10000+E1187)</f>
        <v/>
      </c>
      <c r="P1187">
        <f>IF(N1187="","",E1187)</f>
        <v/>
      </c>
    </row>
    <row r="1188">
      <c r="A1188" s="1" t="n"/>
      <c r="B1188" s="20" t="n"/>
      <c r="C1188" s="21" t="n"/>
      <c r="D1188" s="22" t="n"/>
      <c r="E1188" s="23" t="n"/>
      <c r="F1188" s="22" t="n"/>
      <c r="G1188" s="14">
        <f>IF(OR(B1188="",E1188="",J1188="",K1188=""),"",IF(E1188&lt;J1188,"Below",IF(E1188&gt;K1188,"Above","In range")))</f>
        <v/>
      </c>
      <c r="H1188" s="1" t="n"/>
      <c r="J1188">
        <f>IF(M1188="","",IF(INDEX(Settings!$C$10:$C$18,M1188)="","",INDEX(Settings!$C$10:$C$18,M1188)))</f>
        <v/>
      </c>
      <c r="K1188">
        <f>IF(M1188="","",IF(INDEX(Settings!$D$10:$D$18,M1188)="","",INDEX(Settings!$D$10:$D$18,M1188)))</f>
        <v/>
      </c>
      <c r="L1188">
        <f>IF(OR(B1188="",E1188=""),"",B1188+MOD(N(C1188),1)+ROW()/10000000)</f>
        <v/>
      </c>
      <c r="M1188">
        <f>IF(D1188="","",IFERROR(MATCH(D1188,Settings!$B$10:$B$18,0),""))</f>
        <v/>
      </c>
      <c r="N1188">
        <f>IF(OR(B1188="",E1188="",M1188=""),"",IF(AND(B1188&gt;=Settings!$C$6,B1188&lt;=Settings!$C$7),M1188*10000+E1188,""))</f>
        <v/>
      </c>
      <c r="O1188">
        <f>IF(OR(B1188="",E1188=""),"",B1188*10000+E1188)</f>
        <v/>
      </c>
      <c r="P1188">
        <f>IF(N1188="","",E1188)</f>
        <v/>
      </c>
    </row>
    <row r="1189">
      <c r="A1189" s="1" t="n"/>
      <c r="B1189" s="20" t="n"/>
      <c r="C1189" s="21" t="n"/>
      <c r="D1189" s="22" t="n"/>
      <c r="E1189" s="23" t="n"/>
      <c r="F1189" s="22" t="n"/>
      <c r="G1189" s="14">
        <f>IF(OR(B1189="",E1189="",J1189="",K1189=""),"",IF(E1189&lt;J1189,"Below",IF(E1189&gt;K1189,"Above","In range")))</f>
        <v/>
      </c>
      <c r="H1189" s="1" t="n"/>
      <c r="J1189">
        <f>IF(M1189="","",IF(INDEX(Settings!$C$10:$C$18,M1189)="","",INDEX(Settings!$C$10:$C$18,M1189)))</f>
        <v/>
      </c>
      <c r="K1189">
        <f>IF(M1189="","",IF(INDEX(Settings!$D$10:$D$18,M1189)="","",INDEX(Settings!$D$10:$D$18,M1189)))</f>
        <v/>
      </c>
      <c r="L1189">
        <f>IF(OR(B1189="",E1189=""),"",B1189+MOD(N(C1189),1)+ROW()/10000000)</f>
        <v/>
      </c>
      <c r="M1189">
        <f>IF(D1189="","",IFERROR(MATCH(D1189,Settings!$B$10:$B$18,0),""))</f>
        <v/>
      </c>
      <c r="N1189">
        <f>IF(OR(B1189="",E1189="",M1189=""),"",IF(AND(B1189&gt;=Settings!$C$6,B1189&lt;=Settings!$C$7),M1189*10000+E1189,""))</f>
        <v/>
      </c>
      <c r="O1189">
        <f>IF(OR(B1189="",E1189=""),"",B1189*10000+E1189)</f>
        <v/>
      </c>
      <c r="P1189">
        <f>IF(N1189="","",E1189)</f>
        <v/>
      </c>
    </row>
    <row r="1190">
      <c r="A1190" s="1" t="n"/>
      <c r="B1190" s="20" t="n"/>
      <c r="C1190" s="21" t="n"/>
      <c r="D1190" s="22" t="n"/>
      <c r="E1190" s="23" t="n"/>
      <c r="F1190" s="22" t="n"/>
      <c r="G1190" s="14">
        <f>IF(OR(B1190="",E1190="",J1190="",K1190=""),"",IF(E1190&lt;J1190,"Below",IF(E1190&gt;K1190,"Above","In range")))</f>
        <v/>
      </c>
      <c r="H1190" s="1" t="n"/>
      <c r="J1190">
        <f>IF(M1190="","",IF(INDEX(Settings!$C$10:$C$18,M1190)="","",INDEX(Settings!$C$10:$C$18,M1190)))</f>
        <v/>
      </c>
      <c r="K1190">
        <f>IF(M1190="","",IF(INDEX(Settings!$D$10:$D$18,M1190)="","",INDEX(Settings!$D$10:$D$18,M1190)))</f>
        <v/>
      </c>
      <c r="L1190">
        <f>IF(OR(B1190="",E1190=""),"",B1190+MOD(N(C1190),1)+ROW()/10000000)</f>
        <v/>
      </c>
      <c r="M1190">
        <f>IF(D1190="","",IFERROR(MATCH(D1190,Settings!$B$10:$B$18,0),""))</f>
        <v/>
      </c>
      <c r="N1190">
        <f>IF(OR(B1190="",E1190="",M1190=""),"",IF(AND(B1190&gt;=Settings!$C$6,B1190&lt;=Settings!$C$7),M1190*10000+E1190,""))</f>
        <v/>
      </c>
      <c r="O1190">
        <f>IF(OR(B1190="",E1190=""),"",B1190*10000+E1190)</f>
        <v/>
      </c>
      <c r="P1190">
        <f>IF(N1190="","",E1190)</f>
        <v/>
      </c>
    </row>
    <row r="1191">
      <c r="A1191" s="1" t="n"/>
      <c r="B1191" s="20" t="n"/>
      <c r="C1191" s="21" t="n"/>
      <c r="D1191" s="22" t="n"/>
      <c r="E1191" s="23" t="n"/>
      <c r="F1191" s="22" t="n"/>
      <c r="G1191" s="14">
        <f>IF(OR(B1191="",E1191="",J1191="",K1191=""),"",IF(E1191&lt;J1191,"Below",IF(E1191&gt;K1191,"Above","In range")))</f>
        <v/>
      </c>
      <c r="H1191" s="1" t="n"/>
      <c r="J1191">
        <f>IF(M1191="","",IF(INDEX(Settings!$C$10:$C$18,M1191)="","",INDEX(Settings!$C$10:$C$18,M1191)))</f>
        <v/>
      </c>
      <c r="K1191">
        <f>IF(M1191="","",IF(INDEX(Settings!$D$10:$D$18,M1191)="","",INDEX(Settings!$D$10:$D$18,M1191)))</f>
        <v/>
      </c>
      <c r="L1191">
        <f>IF(OR(B1191="",E1191=""),"",B1191+MOD(N(C1191),1)+ROW()/10000000)</f>
        <v/>
      </c>
      <c r="M1191">
        <f>IF(D1191="","",IFERROR(MATCH(D1191,Settings!$B$10:$B$18,0),""))</f>
        <v/>
      </c>
      <c r="N1191">
        <f>IF(OR(B1191="",E1191="",M1191=""),"",IF(AND(B1191&gt;=Settings!$C$6,B1191&lt;=Settings!$C$7),M1191*10000+E1191,""))</f>
        <v/>
      </c>
      <c r="O1191">
        <f>IF(OR(B1191="",E1191=""),"",B1191*10000+E1191)</f>
        <v/>
      </c>
      <c r="P1191">
        <f>IF(N1191="","",E1191)</f>
        <v/>
      </c>
    </row>
    <row r="1192">
      <c r="A1192" s="1" t="n"/>
      <c r="B1192" s="20" t="n"/>
      <c r="C1192" s="21" t="n"/>
      <c r="D1192" s="22" t="n"/>
      <c r="E1192" s="23" t="n"/>
      <c r="F1192" s="22" t="n"/>
      <c r="G1192" s="14">
        <f>IF(OR(B1192="",E1192="",J1192="",K1192=""),"",IF(E1192&lt;J1192,"Below",IF(E1192&gt;K1192,"Above","In range")))</f>
        <v/>
      </c>
      <c r="H1192" s="1" t="n"/>
      <c r="J1192">
        <f>IF(M1192="","",IF(INDEX(Settings!$C$10:$C$18,M1192)="","",INDEX(Settings!$C$10:$C$18,M1192)))</f>
        <v/>
      </c>
      <c r="K1192">
        <f>IF(M1192="","",IF(INDEX(Settings!$D$10:$D$18,M1192)="","",INDEX(Settings!$D$10:$D$18,M1192)))</f>
        <v/>
      </c>
      <c r="L1192">
        <f>IF(OR(B1192="",E1192=""),"",B1192+MOD(N(C1192),1)+ROW()/10000000)</f>
        <v/>
      </c>
      <c r="M1192">
        <f>IF(D1192="","",IFERROR(MATCH(D1192,Settings!$B$10:$B$18,0),""))</f>
        <v/>
      </c>
      <c r="N1192">
        <f>IF(OR(B1192="",E1192="",M1192=""),"",IF(AND(B1192&gt;=Settings!$C$6,B1192&lt;=Settings!$C$7),M1192*10000+E1192,""))</f>
        <v/>
      </c>
      <c r="O1192">
        <f>IF(OR(B1192="",E1192=""),"",B1192*10000+E1192)</f>
        <v/>
      </c>
      <c r="P1192">
        <f>IF(N1192="","",E1192)</f>
        <v/>
      </c>
    </row>
    <row r="1193">
      <c r="A1193" s="1" t="n"/>
      <c r="B1193" s="20" t="n"/>
      <c r="C1193" s="21" t="n"/>
      <c r="D1193" s="22" t="n"/>
      <c r="E1193" s="23" t="n"/>
      <c r="F1193" s="22" t="n"/>
      <c r="G1193" s="14">
        <f>IF(OR(B1193="",E1193="",J1193="",K1193=""),"",IF(E1193&lt;J1193,"Below",IF(E1193&gt;K1193,"Above","In range")))</f>
        <v/>
      </c>
      <c r="H1193" s="1" t="n"/>
      <c r="J1193">
        <f>IF(M1193="","",IF(INDEX(Settings!$C$10:$C$18,M1193)="","",INDEX(Settings!$C$10:$C$18,M1193)))</f>
        <v/>
      </c>
      <c r="K1193">
        <f>IF(M1193="","",IF(INDEX(Settings!$D$10:$D$18,M1193)="","",INDEX(Settings!$D$10:$D$18,M1193)))</f>
        <v/>
      </c>
      <c r="L1193">
        <f>IF(OR(B1193="",E1193=""),"",B1193+MOD(N(C1193),1)+ROW()/10000000)</f>
        <v/>
      </c>
      <c r="M1193">
        <f>IF(D1193="","",IFERROR(MATCH(D1193,Settings!$B$10:$B$18,0),""))</f>
        <v/>
      </c>
      <c r="N1193">
        <f>IF(OR(B1193="",E1193="",M1193=""),"",IF(AND(B1193&gt;=Settings!$C$6,B1193&lt;=Settings!$C$7),M1193*10000+E1193,""))</f>
        <v/>
      </c>
      <c r="O1193">
        <f>IF(OR(B1193="",E1193=""),"",B1193*10000+E1193)</f>
        <v/>
      </c>
      <c r="P1193">
        <f>IF(N1193="","",E1193)</f>
        <v/>
      </c>
    </row>
    <row r="1194">
      <c r="A1194" s="1" t="n"/>
      <c r="B1194" s="20" t="n"/>
      <c r="C1194" s="21" t="n"/>
      <c r="D1194" s="22" t="n"/>
      <c r="E1194" s="23" t="n"/>
      <c r="F1194" s="22" t="n"/>
      <c r="G1194" s="14">
        <f>IF(OR(B1194="",E1194="",J1194="",K1194=""),"",IF(E1194&lt;J1194,"Below",IF(E1194&gt;K1194,"Above","In range")))</f>
        <v/>
      </c>
      <c r="H1194" s="1" t="n"/>
      <c r="J1194">
        <f>IF(M1194="","",IF(INDEX(Settings!$C$10:$C$18,M1194)="","",INDEX(Settings!$C$10:$C$18,M1194)))</f>
        <v/>
      </c>
      <c r="K1194">
        <f>IF(M1194="","",IF(INDEX(Settings!$D$10:$D$18,M1194)="","",INDEX(Settings!$D$10:$D$18,M1194)))</f>
        <v/>
      </c>
      <c r="L1194">
        <f>IF(OR(B1194="",E1194=""),"",B1194+MOD(N(C1194),1)+ROW()/10000000)</f>
        <v/>
      </c>
      <c r="M1194">
        <f>IF(D1194="","",IFERROR(MATCH(D1194,Settings!$B$10:$B$18,0),""))</f>
        <v/>
      </c>
      <c r="N1194">
        <f>IF(OR(B1194="",E1194="",M1194=""),"",IF(AND(B1194&gt;=Settings!$C$6,B1194&lt;=Settings!$C$7),M1194*10000+E1194,""))</f>
        <v/>
      </c>
      <c r="O1194">
        <f>IF(OR(B1194="",E1194=""),"",B1194*10000+E1194)</f>
        <v/>
      </c>
      <c r="P1194">
        <f>IF(N1194="","",E1194)</f>
        <v/>
      </c>
    </row>
    <row r="1195">
      <c r="A1195" s="1" t="n"/>
      <c r="B1195" s="20" t="n"/>
      <c r="C1195" s="21" t="n"/>
      <c r="D1195" s="22" t="n"/>
      <c r="E1195" s="23" t="n"/>
      <c r="F1195" s="22" t="n"/>
      <c r="G1195" s="14">
        <f>IF(OR(B1195="",E1195="",J1195="",K1195=""),"",IF(E1195&lt;J1195,"Below",IF(E1195&gt;K1195,"Above","In range")))</f>
        <v/>
      </c>
      <c r="H1195" s="1" t="n"/>
      <c r="J1195">
        <f>IF(M1195="","",IF(INDEX(Settings!$C$10:$C$18,M1195)="","",INDEX(Settings!$C$10:$C$18,M1195)))</f>
        <v/>
      </c>
      <c r="K1195">
        <f>IF(M1195="","",IF(INDEX(Settings!$D$10:$D$18,M1195)="","",INDEX(Settings!$D$10:$D$18,M1195)))</f>
        <v/>
      </c>
      <c r="L1195">
        <f>IF(OR(B1195="",E1195=""),"",B1195+MOD(N(C1195),1)+ROW()/10000000)</f>
        <v/>
      </c>
      <c r="M1195">
        <f>IF(D1195="","",IFERROR(MATCH(D1195,Settings!$B$10:$B$18,0),""))</f>
        <v/>
      </c>
      <c r="N1195">
        <f>IF(OR(B1195="",E1195="",M1195=""),"",IF(AND(B1195&gt;=Settings!$C$6,B1195&lt;=Settings!$C$7),M1195*10000+E1195,""))</f>
        <v/>
      </c>
      <c r="O1195">
        <f>IF(OR(B1195="",E1195=""),"",B1195*10000+E1195)</f>
        <v/>
      </c>
      <c r="P1195">
        <f>IF(N1195="","",E1195)</f>
        <v/>
      </c>
    </row>
    <row r="1196">
      <c r="A1196" s="1" t="n"/>
      <c r="B1196" s="20" t="n"/>
      <c r="C1196" s="21" t="n"/>
      <c r="D1196" s="22" t="n"/>
      <c r="E1196" s="23" t="n"/>
      <c r="F1196" s="22" t="n"/>
      <c r="G1196" s="14">
        <f>IF(OR(B1196="",E1196="",J1196="",K1196=""),"",IF(E1196&lt;J1196,"Below",IF(E1196&gt;K1196,"Above","In range")))</f>
        <v/>
      </c>
      <c r="H1196" s="1" t="n"/>
      <c r="J1196">
        <f>IF(M1196="","",IF(INDEX(Settings!$C$10:$C$18,M1196)="","",INDEX(Settings!$C$10:$C$18,M1196)))</f>
        <v/>
      </c>
      <c r="K1196">
        <f>IF(M1196="","",IF(INDEX(Settings!$D$10:$D$18,M1196)="","",INDEX(Settings!$D$10:$D$18,M1196)))</f>
        <v/>
      </c>
      <c r="L1196">
        <f>IF(OR(B1196="",E1196=""),"",B1196+MOD(N(C1196),1)+ROW()/10000000)</f>
        <v/>
      </c>
      <c r="M1196">
        <f>IF(D1196="","",IFERROR(MATCH(D1196,Settings!$B$10:$B$18,0),""))</f>
        <v/>
      </c>
      <c r="N1196">
        <f>IF(OR(B1196="",E1196="",M1196=""),"",IF(AND(B1196&gt;=Settings!$C$6,B1196&lt;=Settings!$C$7),M1196*10000+E1196,""))</f>
        <v/>
      </c>
      <c r="O1196">
        <f>IF(OR(B1196="",E1196=""),"",B1196*10000+E1196)</f>
        <v/>
      </c>
      <c r="P1196">
        <f>IF(N1196="","",E1196)</f>
        <v/>
      </c>
    </row>
    <row r="1197">
      <c r="A1197" s="1" t="n"/>
      <c r="B1197" s="20" t="n"/>
      <c r="C1197" s="21" t="n"/>
      <c r="D1197" s="22" t="n"/>
      <c r="E1197" s="23" t="n"/>
      <c r="F1197" s="22" t="n"/>
      <c r="G1197" s="14">
        <f>IF(OR(B1197="",E1197="",J1197="",K1197=""),"",IF(E1197&lt;J1197,"Below",IF(E1197&gt;K1197,"Above","In range")))</f>
        <v/>
      </c>
      <c r="H1197" s="1" t="n"/>
      <c r="J1197">
        <f>IF(M1197="","",IF(INDEX(Settings!$C$10:$C$18,M1197)="","",INDEX(Settings!$C$10:$C$18,M1197)))</f>
        <v/>
      </c>
      <c r="K1197">
        <f>IF(M1197="","",IF(INDEX(Settings!$D$10:$D$18,M1197)="","",INDEX(Settings!$D$10:$D$18,M1197)))</f>
        <v/>
      </c>
      <c r="L1197">
        <f>IF(OR(B1197="",E1197=""),"",B1197+MOD(N(C1197),1)+ROW()/10000000)</f>
        <v/>
      </c>
      <c r="M1197">
        <f>IF(D1197="","",IFERROR(MATCH(D1197,Settings!$B$10:$B$18,0),""))</f>
        <v/>
      </c>
      <c r="N1197">
        <f>IF(OR(B1197="",E1197="",M1197=""),"",IF(AND(B1197&gt;=Settings!$C$6,B1197&lt;=Settings!$C$7),M1197*10000+E1197,""))</f>
        <v/>
      </c>
      <c r="O1197">
        <f>IF(OR(B1197="",E1197=""),"",B1197*10000+E1197)</f>
        <v/>
      </c>
      <c r="P1197">
        <f>IF(N1197="","",E1197)</f>
        <v/>
      </c>
    </row>
    <row r="1198">
      <c r="A1198" s="1" t="n"/>
      <c r="B1198" s="20" t="n"/>
      <c r="C1198" s="21" t="n"/>
      <c r="D1198" s="22" t="n"/>
      <c r="E1198" s="23" t="n"/>
      <c r="F1198" s="22" t="n"/>
      <c r="G1198" s="14">
        <f>IF(OR(B1198="",E1198="",J1198="",K1198=""),"",IF(E1198&lt;J1198,"Below",IF(E1198&gt;K1198,"Above","In range")))</f>
        <v/>
      </c>
      <c r="H1198" s="1" t="n"/>
      <c r="J1198">
        <f>IF(M1198="","",IF(INDEX(Settings!$C$10:$C$18,M1198)="","",INDEX(Settings!$C$10:$C$18,M1198)))</f>
        <v/>
      </c>
      <c r="K1198">
        <f>IF(M1198="","",IF(INDEX(Settings!$D$10:$D$18,M1198)="","",INDEX(Settings!$D$10:$D$18,M1198)))</f>
        <v/>
      </c>
      <c r="L1198">
        <f>IF(OR(B1198="",E1198=""),"",B1198+MOD(N(C1198),1)+ROW()/10000000)</f>
        <v/>
      </c>
      <c r="M1198">
        <f>IF(D1198="","",IFERROR(MATCH(D1198,Settings!$B$10:$B$18,0),""))</f>
        <v/>
      </c>
      <c r="N1198">
        <f>IF(OR(B1198="",E1198="",M1198=""),"",IF(AND(B1198&gt;=Settings!$C$6,B1198&lt;=Settings!$C$7),M1198*10000+E1198,""))</f>
        <v/>
      </c>
      <c r="O1198">
        <f>IF(OR(B1198="",E1198=""),"",B1198*10000+E1198)</f>
        <v/>
      </c>
      <c r="P1198">
        <f>IF(N1198="","",E1198)</f>
        <v/>
      </c>
    </row>
    <row r="1199">
      <c r="A1199" s="1" t="n"/>
      <c r="B1199" s="20" t="n"/>
      <c r="C1199" s="21" t="n"/>
      <c r="D1199" s="22" t="n"/>
      <c r="E1199" s="23" t="n"/>
      <c r="F1199" s="22" t="n"/>
      <c r="G1199" s="14">
        <f>IF(OR(B1199="",E1199="",J1199="",K1199=""),"",IF(E1199&lt;J1199,"Below",IF(E1199&gt;K1199,"Above","In range")))</f>
        <v/>
      </c>
      <c r="H1199" s="1" t="n"/>
      <c r="J1199">
        <f>IF(M1199="","",IF(INDEX(Settings!$C$10:$C$18,M1199)="","",INDEX(Settings!$C$10:$C$18,M1199)))</f>
        <v/>
      </c>
      <c r="K1199">
        <f>IF(M1199="","",IF(INDEX(Settings!$D$10:$D$18,M1199)="","",INDEX(Settings!$D$10:$D$18,M1199)))</f>
        <v/>
      </c>
      <c r="L1199">
        <f>IF(OR(B1199="",E1199=""),"",B1199+MOD(N(C1199),1)+ROW()/10000000)</f>
        <v/>
      </c>
      <c r="M1199">
        <f>IF(D1199="","",IFERROR(MATCH(D1199,Settings!$B$10:$B$18,0),""))</f>
        <v/>
      </c>
      <c r="N1199">
        <f>IF(OR(B1199="",E1199="",M1199=""),"",IF(AND(B1199&gt;=Settings!$C$6,B1199&lt;=Settings!$C$7),M1199*10000+E1199,""))</f>
        <v/>
      </c>
      <c r="O1199">
        <f>IF(OR(B1199="",E1199=""),"",B1199*10000+E1199)</f>
        <v/>
      </c>
      <c r="P1199">
        <f>IF(N1199="","",E1199)</f>
        <v/>
      </c>
    </row>
    <row r="1200">
      <c r="A1200" s="1" t="n"/>
      <c r="B1200" s="20" t="n"/>
      <c r="C1200" s="21" t="n"/>
      <c r="D1200" s="22" t="n"/>
      <c r="E1200" s="23" t="n"/>
      <c r="F1200" s="22" t="n"/>
      <c r="G1200" s="14">
        <f>IF(OR(B1200="",E1200="",J1200="",K1200=""),"",IF(E1200&lt;J1200,"Below",IF(E1200&gt;K1200,"Above","In range")))</f>
        <v/>
      </c>
      <c r="H1200" s="1" t="n"/>
      <c r="J1200">
        <f>IF(M1200="","",IF(INDEX(Settings!$C$10:$C$18,M1200)="","",INDEX(Settings!$C$10:$C$18,M1200)))</f>
        <v/>
      </c>
      <c r="K1200">
        <f>IF(M1200="","",IF(INDEX(Settings!$D$10:$D$18,M1200)="","",INDEX(Settings!$D$10:$D$18,M1200)))</f>
        <v/>
      </c>
      <c r="L1200">
        <f>IF(OR(B1200="",E1200=""),"",B1200+MOD(N(C1200),1)+ROW()/10000000)</f>
        <v/>
      </c>
      <c r="M1200">
        <f>IF(D1200="","",IFERROR(MATCH(D1200,Settings!$B$10:$B$18,0),""))</f>
        <v/>
      </c>
      <c r="N1200">
        <f>IF(OR(B1200="",E1200="",M1200=""),"",IF(AND(B1200&gt;=Settings!$C$6,B1200&lt;=Settings!$C$7),M1200*10000+E1200,""))</f>
        <v/>
      </c>
      <c r="O1200">
        <f>IF(OR(B1200="",E1200=""),"",B1200*10000+E1200)</f>
        <v/>
      </c>
      <c r="P1200">
        <f>IF(N1200="","",E1200)</f>
        <v/>
      </c>
    </row>
    <row r="1201">
      <c r="A1201" s="1" t="n"/>
      <c r="B1201" s="20" t="n"/>
      <c r="C1201" s="21" t="n"/>
      <c r="D1201" s="22" t="n"/>
      <c r="E1201" s="23" t="n"/>
      <c r="F1201" s="22" t="n"/>
      <c r="G1201" s="14">
        <f>IF(OR(B1201="",E1201="",J1201="",K1201=""),"",IF(E1201&lt;J1201,"Below",IF(E1201&gt;K1201,"Above","In range")))</f>
        <v/>
      </c>
      <c r="H1201" s="1" t="n"/>
      <c r="J1201">
        <f>IF(M1201="","",IF(INDEX(Settings!$C$10:$C$18,M1201)="","",INDEX(Settings!$C$10:$C$18,M1201)))</f>
        <v/>
      </c>
      <c r="K1201">
        <f>IF(M1201="","",IF(INDEX(Settings!$D$10:$D$18,M1201)="","",INDEX(Settings!$D$10:$D$18,M1201)))</f>
        <v/>
      </c>
      <c r="L1201">
        <f>IF(OR(B1201="",E1201=""),"",B1201+MOD(N(C1201),1)+ROW()/10000000)</f>
        <v/>
      </c>
      <c r="M1201">
        <f>IF(D1201="","",IFERROR(MATCH(D1201,Settings!$B$10:$B$18,0),""))</f>
        <v/>
      </c>
      <c r="N1201">
        <f>IF(OR(B1201="",E1201="",M1201=""),"",IF(AND(B1201&gt;=Settings!$C$6,B1201&lt;=Settings!$C$7),M1201*10000+E1201,""))</f>
        <v/>
      </c>
      <c r="O1201">
        <f>IF(OR(B1201="",E1201=""),"",B1201*10000+E1201)</f>
        <v/>
      </c>
      <c r="P1201">
        <f>IF(N1201="","",E1201)</f>
        <v/>
      </c>
    </row>
    <row r="1202">
      <c r="A1202" s="1" t="n"/>
      <c r="B1202" s="20" t="n"/>
      <c r="C1202" s="21" t="n"/>
      <c r="D1202" s="22" t="n"/>
      <c r="E1202" s="23" t="n"/>
      <c r="F1202" s="22" t="n"/>
      <c r="G1202" s="14">
        <f>IF(OR(B1202="",E1202="",J1202="",K1202=""),"",IF(E1202&lt;J1202,"Below",IF(E1202&gt;K1202,"Above","In range")))</f>
        <v/>
      </c>
      <c r="H1202" s="1" t="n"/>
      <c r="J1202">
        <f>IF(M1202="","",IF(INDEX(Settings!$C$10:$C$18,M1202)="","",INDEX(Settings!$C$10:$C$18,M1202)))</f>
        <v/>
      </c>
      <c r="K1202">
        <f>IF(M1202="","",IF(INDEX(Settings!$D$10:$D$18,M1202)="","",INDEX(Settings!$D$10:$D$18,M1202)))</f>
        <v/>
      </c>
      <c r="L1202">
        <f>IF(OR(B1202="",E1202=""),"",B1202+MOD(N(C1202),1)+ROW()/10000000)</f>
        <v/>
      </c>
      <c r="M1202">
        <f>IF(D1202="","",IFERROR(MATCH(D1202,Settings!$B$10:$B$18,0),""))</f>
        <v/>
      </c>
      <c r="N1202">
        <f>IF(OR(B1202="",E1202="",M1202=""),"",IF(AND(B1202&gt;=Settings!$C$6,B1202&lt;=Settings!$C$7),M1202*10000+E1202,""))</f>
        <v/>
      </c>
      <c r="O1202">
        <f>IF(OR(B1202="",E1202=""),"",B1202*10000+E1202)</f>
        <v/>
      </c>
      <c r="P1202">
        <f>IF(N1202="","",E1202)</f>
        <v/>
      </c>
    </row>
    <row r="1203">
      <c r="A1203" s="1" t="n"/>
      <c r="B1203" s="20" t="n"/>
      <c r="C1203" s="21" t="n"/>
      <c r="D1203" s="22" t="n"/>
      <c r="E1203" s="23" t="n"/>
      <c r="F1203" s="22" t="n"/>
      <c r="G1203" s="14">
        <f>IF(OR(B1203="",E1203="",J1203="",K1203=""),"",IF(E1203&lt;J1203,"Below",IF(E1203&gt;K1203,"Above","In range")))</f>
        <v/>
      </c>
      <c r="H1203" s="1" t="n"/>
      <c r="J1203">
        <f>IF(M1203="","",IF(INDEX(Settings!$C$10:$C$18,M1203)="","",INDEX(Settings!$C$10:$C$18,M1203)))</f>
        <v/>
      </c>
      <c r="K1203">
        <f>IF(M1203="","",IF(INDEX(Settings!$D$10:$D$18,M1203)="","",INDEX(Settings!$D$10:$D$18,M1203)))</f>
        <v/>
      </c>
      <c r="L1203">
        <f>IF(OR(B1203="",E1203=""),"",B1203+MOD(N(C1203),1)+ROW()/10000000)</f>
        <v/>
      </c>
      <c r="M1203">
        <f>IF(D1203="","",IFERROR(MATCH(D1203,Settings!$B$10:$B$18,0),""))</f>
        <v/>
      </c>
      <c r="N1203">
        <f>IF(OR(B1203="",E1203="",M1203=""),"",IF(AND(B1203&gt;=Settings!$C$6,B1203&lt;=Settings!$C$7),M1203*10000+E1203,""))</f>
        <v/>
      </c>
      <c r="O1203">
        <f>IF(OR(B1203="",E1203=""),"",B1203*10000+E1203)</f>
        <v/>
      </c>
      <c r="P1203">
        <f>IF(N1203="","",E1203)</f>
        <v/>
      </c>
    </row>
    <row r="1204">
      <c r="A1204" s="1" t="n"/>
      <c r="B1204" s="20" t="n"/>
      <c r="C1204" s="21" t="n"/>
      <c r="D1204" s="22" t="n"/>
      <c r="E1204" s="23" t="n"/>
      <c r="F1204" s="22" t="n"/>
      <c r="G1204" s="14">
        <f>IF(OR(B1204="",E1204="",J1204="",K1204=""),"",IF(E1204&lt;J1204,"Below",IF(E1204&gt;K1204,"Above","In range")))</f>
        <v/>
      </c>
      <c r="H1204" s="1" t="n"/>
      <c r="J1204">
        <f>IF(M1204="","",IF(INDEX(Settings!$C$10:$C$18,M1204)="","",INDEX(Settings!$C$10:$C$18,M1204)))</f>
        <v/>
      </c>
      <c r="K1204">
        <f>IF(M1204="","",IF(INDEX(Settings!$D$10:$D$18,M1204)="","",INDEX(Settings!$D$10:$D$18,M1204)))</f>
        <v/>
      </c>
      <c r="L1204">
        <f>IF(OR(B1204="",E1204=""),"",B1204+MOD(N(C1204),1)+ROW()/10000000)</f>
        <v/>
      </c>
      <c r="M1204">
        <f>IF(D1204="","",IFERROR(MATCH(D1204,Settings!$B$10:$B$18,0),""))</f>
        <v/>
      </c>
      <c r="N1204">
        <f>IF(OR(B1204="",E1204="",M1204=""),"",IF(AND(B1204&gt;=Settings!$C$6,B1204&lt;=Settings!$C$7),M1204*10000+E1204,""))</f>
        <v/>
      </c>
      <c r="O1204">
        <f>IF(OR(B1204="",E1204=""),"",B1204*10000+E1204)</f>
        <v/>
      </c>
      <c r="P1204">
        <f>IF(N1204="","",E1204)</f>
        <v/>
      </c>
    </row>
    <row r="1205">
      <c r="A1205" s="1" t="n"/>
      <c r="B1205" s="20" t="n"/>
      <c r="C1205" s="21" t="n"/>
      <c r="D1205" s="22" t="n"/>
      <c r="E1205" s="23" t="n"/>
      <c r="F1205" s="22" t="n"/>
      <c r="G1205" s="14">
        <f>IF(OR(B1205="",E1205="",J1205="",K1205=""),"",IF(E1205&lt;J1205,"Below",IF(E1205&gt;K1205,"Above","In range")))</f>
        <v/>
      </c>
      <c r="H1205" s="1" t="n"/>
      <c r="J1205">
        <f>IF(M1205="","",IF(INDEX(Settings!$C$10:$C$18,M1205)="","",INDEX(Settings!$C$10:$C$18,M1205)))</f>
        <v/>
      </c>
      <c r="K1205">
        <f>IF(M1205="","",IF(INDEX(Settings!$D$10:$D$18,M1205)="","",INDEX(Settings!$D$10:$D$18,M1205)))</f>
        <v/>
      </c>
      <c r="L1205">
        <f>IF(OR(B1205="",E1205=""),"",B1205+MOD(N(C1205),1)+ROW()/10000000)</f>
        <v/>
      </c>
      <c r="M1205">
        <f>IF(D1205="","",IFERROR(MATCH(D1205,Settings!$B$10:$B$18,0),""))</f>
        <v/>
      </c>
      <c r="N1205">
        <f>IF(OR(B1205="",E1205="",M1205=""),"",IF(AND(B1205&gt;=Settings!$C$6,B1205&lt;=Settings!$C$7),M1205*10000+E1205,""))</f>
        <v/>
      </c>
      <c r="O1205">
        <f>IF(OR(B1205="",E1205=""),"",B1205*10000+E1205)</f>
        <v/>
      </c>
      <c r="P1205">
        <f>IF(N1205="","",E1205)</f>
        <v/>
      </c>
    </row>
    <row r="1206">
      <c r="A1206" s="1" t="n"/>
      <c r="B1206" s="20" t="n"/>
      <c r="C1206" s="21" t="n"/>
      <c r="D1206" s="22" t="n"/>
      <c r="E1206" s="23" t="n"/>
      <c r="F1206" s="22" t="n"/>
      <c r="G1206" s="14">
        <f>IF(OR(B1206="",E1206="",J1206="",K1206=""),"",IF(E1206&lt;J1206,"Below",IF(E1206&gt;K1206,"Above","In range")))</f>
        <v/>
      </c>
      <c r="H1206" s="1" t="n"/>
      <c r="J1206">
        <f>IF(M1206="","",IF(INDEX(Settings!$C$10:$C$18,M1206)="","",INDEX(Settings!$C$10:$C$18,M1206)))</f>
        <v/>
      </c>
      <c r="K1206">
        <f>IF(M1206="","",IF(INDEX(Settings!$D$10:$D$18,M1206)="","",INDEX(Settings!$D$10:$D$18,M1206)))</f>
        <v/>
      </c>
      <c r="L1206">
        <f>IF(OR(B1206="",E1206=""),"",B1206+MOD(N(C1206),1)+ROW()/10000000)</f>
        <v/>
      </c>
      <c r="M1206">
        <f>IF(D1206="","",IFERROR(MATCH(D1206,Settings!$B$10:$B$18,0),""))</f>
        <v/>
      </c>
      <c r="N1206">
        <f>IF(OR(B1206="",E1206="",M1206=""),"",IF(AND(B1206&gt;=Settings!$C$6,B1206&lt;=Settings!$C$7),M1206*10000+E1206,""))</f>
        <v/>
      </c>
      <c r="O1206">
        <f>IF(OR(B1206="",E1206=""),"",B1206*10000+E1206)</f>
        <v/>
      </c>
      <c r="P1206">
        <f>IF(N1206="","",E1206)</f>
        <v/>
      </c>
    </row>
    <row r="1207">
      <c r="A1207" s="1" t="n"/>
      <c r="B1207" s="20" t="n"/>
      <c r="C1207" s="21" t="n"/>
      <c r="D1207" s="22" t="n"/>
      <c r="E1207" s="23" t="n"/>
      <c r="F1207" s="22" t="n"/>
      <c r="G1207" s="14">
        <f>IF(OR(B1207="",E1207="",J1207="",K1207=""),"",IF(E1207&lt;J1207,"Below",IF(E1207&gt;K1207,"Above","In range")))</f>
        <v/>
      </c>
      <c r="H1207" s="1" t="n"/>
      <c r="J1207">
        <f>IF(M1207="","",IF(INDEX(Settings!$C$10:$C$18,M1207)="","",INDEX(Settings!$C$10:$C$18,M1207)))</f>
        <v/>
      </c>
      <c r="K1207">
        <f>IF(M1207="","",IF(INDEX(Settings!$D$10:$D$18,M1207)="","",INDEX(Settings!$D$10:$D$18,M1207)))</f>
        <v/>
      </c>
      <c r="L1207">
        <f>IF(OR(B1207="",E1207=""),"",B1207+MOD(N(C1207),1)+ROW()/10000000)</f>
        <v/>
      </c>
      <c r="M1207">
        <f>IF(D1207="","",IFERROR(MATCH(D1207,Settings!$B$10:$B$18,0),""))</f>
        <v/>
      </c>
      <c r="N1207">
        <f>IF(OR(B1207="",E1207="",M1207=""),"",IF(AND(B1207&gt;=Settings!$C$6,B1207&lt;=Settings!$C$7),M1207*10000+E1207,""))</f>
        <v/>
      </c>
      <c r="O1207">
        <f>IF(OR(B1207="",E1207=""),"",B1207*10000+E1207)</f>
        <v/>
      </c>
      <c r="P1207">
        <f>IF(N1207="","",E1207)</f>
        <v/>
      </c>
    </row>
    <row r="1208">
      <c r="A1208" s="1" t="n"/>
      <c r="B1208" s="20" t="n"/>
      <c r="C1208" s="21" t="n"/>
      <c r="D1208" s="22" t="n"/>
      <c r="E1208" s="23" t="n"/>
      <c r="F1208" s="22" t="n"/>
      <c r="G1208" s="14">
        <f>IF(OR(B1208="",E1208="",J1208="",K1208=""),"",IF(E1208&lt;J1208,"Below",IF(E1208&gt;K1208,"Above","In range")))</f>
        <v/>
      </c>
      <c r="H1208" s="1" t="n"/>
      <c r="J1208">
        <f>IF(M1208="","",IF(INDEX(Settings!$C$10:$C$18,M1208)="","",INDEX(Settings!$C$10:$C$18,M1208)))</f>
        <v/>
      </c>
      <c r="K1208">
        <f>IF(M1208="","",IF(INDEX(Settings!$D$10:$D$18,M1208)="","",INDEX(Settings!$D$10:$D$18,M1208)))</f>
        <v/>
      </c>
      <c r="L1208">
        <f>IF(OR(B1208="",E1208=""),"",B1208+MOD(N(C1208),1)+ROW()/10000000)</f>
        <v/>
      </c>
      <c r="M1208">
        <f>IF(D1208="","",IFERROR(MATCH(D1208,Settings!$B$10:$B$18,0),""))</f>
        <v/>
      </c>
      <c r="N1208">
        <f>IF(OR(B1208="",E1208="",M1208=""),"",IF(AND(B1208&gt;=Settings!$C$6,B1208&lt;=Settings!$C$7),M1208*10000+E1208,""))</f>
        <v/>
      </c>
      <c r="O1208">
        <f>IF(OR(B1208="",E1208=""),"",B1208*10000+E1208)</f>
        <v/>
      </c>
      <c r="P1208">
        <f>IF(N1208="","",E1208)</f>
        <v/>
      </c>
    </row>
    <row r="1209">
      <c r="A1209" s="1" t="n"/>
      <c r="B1209" s="20" t="n"/>
      <c r="C1209" s="21" t="n"/>
      <c r="D1209" s="22" t="n"/>
      <c r="E1209" s="23" t="n"/>
      <c r="F1209" s="22" t="n"/>
      <c r="G1209" s="14">
        <f>IF(OR(B1209="",E1209="",J1209="",K1209=""),"",IF(E1209&lt;J1209,"Below",IF(E1209&gt;K1209,"Above","In range")))</f>
        <v/>
      </c>
      <c r="H1209" s="1" t="n"/>
      <c r="J1209">
        <f>IF(M1209="","",IF(INDEX(Settings!$C$10:$C$18,M1209)="","",INDEX(Settings!$C$10:$C$18,M1209)))</f>
        <v/>
      </c>
      <c r="K1209">
        <f>IF(M1209="","",IF(INDEX(Settings!$D$10:$D$18,M1209)="","",INDEX(Settings!$D$10:$D$18,M1209)))</f>
        <v/>
      </c>
      <c r="L1209">
        <f>IF(OR(B1209="",E1209=""),"",B1209+MOD(N(C1209),1)+ROW()/10000000)</f>
        <v/>
      </c>
      <c r="M1209">
        <f>IF(D1209="","",IFERROR(MATCH(D1209,Settings!$B$10:$B$18,0),""))</f>
        <v/>
      </c>
      <c r="N1209">
        <f>IF(OR(B1209="",E1209="",M1209=""),"",IF(AND(B1209&gt;=Settings!$C$6,B1209&lt;=Settings!$C$7),M1209*10000+E1209,""))</f>
        <v/>
      </c>
      <c r="O1209">
        <f>IF(OR(B1209="",E1209=""),"",B1209*10000+E1209)</f>
        <v/>
      </c>
      <c r="P1209">
        <f>IF(N1209="","",E1209)</f>
        <v/>
      </c>
    </row>
    <row r="1210">
      <c r="A1210" s="1" t="n"/>
      <c r="B1210" s="20" t="n"/>
      <c r="C1210" s="21" t="n"/>
      <c r="D1210" s="22" t="n"/>
      <c r="E1210" s="23" t="n"/>
      <c r="F1210" s="22" t="n"/>
      <c r="G1210" s="14">
        <f>IF(OR(B1210="",E1210="",J1210="",K1210=""),"",IF(E1210&lt;J1210,"Below",IF(E1210&gt;K1210,"Above","In range")))</f>
        <v/>
      </c>
      <c r="H1210" s="1" t="n"/>
      <c r="J1210">
        <f>IF(M1210="","",IF(INDEX(Settings!$C$10:$C$18,M1210)="","",INDEX(Settings!$C$10:$C$18,M1210)))</f>
        <v/>
      </c>
      <c r="K1210">
        <f>IF(M1210="","",IF(INDEX(Settings!$D$10:$D$18,M1210)="","",INDEX(Settings!$D$10:$D$18,M1210)))</f>
        <v/>
      </c>
      <c r="L1210">
        <f>IF(OR(B1210="",E1210=""),"",B1210+MOD(N(C1210),1)+ROW()/10000000)</f>
        <v/>
      </c>
      <c r="M1210">
        <f>IF(D1210="","",IFERROR(MATCH(D1210,Settings!$B$10:$B$18,0),""))</f>
        <v/>
      </c>
      <c r="N1210">
        <f>IF(OR(B1210="",E1210="",M1210=""),"",IF(AND(B1210&gt;=Settings!$C$6,B1210&lt;=Settings!$C$7),M1210*10000+E1210,""))</f>
        <v/>
      </c>
      <c r="O1210">
        <f>IF(OR(B1210="",E1210=""),"",B1210*10000+E1210)</f>
        <v/>
      </c>
      <c r="P1210">
        <f>IF(N1210="","",E1210)</f>
        <v/>
      </c>
    </row>
    <row r="1211">
      <c r="A1211" s="1" t="n"/>
      <c r="B1211" s="20" t="n"/>
      <c r="C1211" s="21" t="n"/>
      <c r="D1211" s="22" t="n"/>
      <c r="E1211" s="23" t="n"/>
      <c r="F1211" s="22" t="n"/>
      <c r="G1211" s="14">
        <f>IF(OR(B1211="",E1211="",J1211="",K1211=""),"",IF(E1211&lt;J1211,"Below",IF(E1211&gt;K1211,"Above","In range")))</f>
        <v/>
      </c>
      <c r="H1211" s="1" t="n"/>
      <c r="J1211">
        <f>IF(M1211="","",IF(INDEX(Settings!$C$10:$C$18,M1211)="","",INDEX(Settings!$C$10:$C$18,M1211)))</f>
        <v/>
      </c>
      <c r="K1211">
        <f>IF(M1211="","",IF(INDEX(Settings!$D$10:$D$18,M1211)="","",INDEX(Settings!$D$10:$D$18,M1211)))</f>
        <v/>
      </c>
      <c r="L1211">
        <f>IF(OR(B1211="",E1211=""),"",B1211+MOD(N(C1211),1)+ROW()/10000000)</f>
        <v/>
      </c>
      <c r="M1211">
        <f>IF(D1211="","",IFERROR(MATCH(D1211,Settings!$B$10:$B$18,0),""))</f>
        <v/>
      </c>
      <c r="N1211">
        <f>IF(OR(B1211="",E1211="",M1211=""),"",IF(AND(B1211&gt;=Settings!$C$6,B1211&lt;=Settings!$C$7),M1211*10000+E1211,""))</f>
        <v/>
      </c>
      <c r="O1211">
        <f>IF(OR(B1211="",E1211=""),"",B1211*10000+E1211)</f>
        <v/>
      </c>
      <c r="P1211">
        <f>IF(N1211="","",E1211)</f>
        <v/>
      </c>
    </row>
    <row r="1212">
      <c r="A1212" s="1" t="n"/>
      <c r="B1212" s="20" t="n"/>
      <c r="C1212" s="21" t="n"/>
      <c r="D1212" s="22" t="n"/>
      <c r="E1212" s="23" t="n"/>
      <c r="F1212" s="22" t="n"/>
      <c r="G1212" s="14">
        <f>IF(OR(B1212="",E1212="",J1212="",K1212=""),"",IF(E1212&lt;J1212,"Below",IF(E1212&gt;K1212,"Above","In range")))</f>
        <v/>
      </c>
      <c r="H1212" s="1" t="n"/>
      <c r="J1212">
        <f>IF(M1212="","",IF(INDEX(Settings!$C$10:$C$18,M1212)="","",INDEX(Settings!$C$10:$C$18,M1212)))</f>
        <v/>
      </c>
      <c r="K1212">
        <f>IF(M1212="","",IF(INDEX(Settings!$D$10:$D$18,M1212)="","",INDEX(Settings!$D$10:$D$18,M1212)))</f>
        <v/>
      </c>
      <c r="L1212">
        <f>IF(OR(B1212="",E1212=""),"",B1212+MOD(N(C1212),1)+ROW()/10000000)</f>
        <v/>
      </c>
      <c r="M1212">
        <f>IF(D1212="","",IFERROR(MATCH(D1212,Settings!$B$10:$B$18,0),""))</f>
        <v/>
      </c>
      <c r="N1212">
        <f>IF(OR(B1212="",E1212="",M1212=""),"",IF(AND(B1212&gt;=Settings!$C$6,B1212&lt;=Settings!$C$7),M1212*10000+E1212,""))</f>
        <v/>
      </c>
      <c r="O1212">
        <f>IF(OR(B1212="",E1212=""),"",B1212*10000+E1212)</f>
        <v/>
      </c>
      <c r="P1212">
        <f>IF(N1212="","",E1212)</f>
        <v/>
      </c>
    </row>
    <row r="1213">
      <c r="A1213" s="1" t="n"/>
      <c r="B1213" s="20" t="n"/>
      <c r="C1213" s="21" t="n"/>
      <c r="D1213" s="22" t="n"/>
      <c r="E1213" s="23" t="n"/>
      <c r="F1213" s="22" t="n"/>
      <c r="G1213" s="14">
        <f>IF(OR(B1213="",E1213="",J1213="",K1213=""),"",IF(E1213&lt;J1213,"Below",IF(E1213&gt;K1213,"Above","In range")))</f>
        <v/>
      </c>
      <c r="H1213" s="1" t="n"/>
      <c r="J1213">
        <f>IF(M1213="","",IF(INDEX(Settings!$C$10:$C$18,M1213)="","",INDEX(Settings!$C$10:$C$18,M1213)))</f>
        <v/>
      </c>
      <c r="K1213">
        <f>IF(M1213="","",IF(INDEX(Settings!$D$10:$D$18,M1213)="","",INDEX(Settings!$D$10:$D$18,M1213)))</f>
        <v/>
      </c>
      <c r="L1213">
        <f>IF(OR(B1213="",E1213=""),"",B1213+MOD(N(C1213),1)+ROW()/10000000)</f>
        <v/>
      </c>
      <c r="M1213">
        <f>IF(D1213="","",IFERROR(MATCH(D1213,Settings!$B$10:$B$18,0),""))</f>
        <v/>
      </c>
      <c r="N1213">
        <f>IF(OR(B1213="",E1213="",M1213=""),"",IF(AND(B1213&gt;=Settings!$C$6,B1213&lt;=Settings!$C$7),M1213*10000+E1213,""))</f>
        <v/>
      </c>
      <c r="O1213">
        <f>IF(OR(B1213="",E1213=""),"",B1213*10000+E1213)</f>
        <v/>
      </c>
      <c r="P1213">
        <f>IF(N1213="","",E1213)</f>
        <v/>
      </c>
    </row>
    <row r="1214">
      <c r="A1214" s="1" t="n"/>
      <c r="B1214" s="20" t="n"/>
      <c r="C1214" s="21" t="n"/>
      <c r="D1214" s="22" t="n"/>
      <c r="E1214" s="23" t="n"/>
      <c r="F1214" s="22" t="n"/>
      <c r="G1214" s="14">
        <f>IF(OR(B1214="",E1214="",J1214="",K1214=""),"",IF(E1214&lt;J1214,"Below",IF(E1214&gt;K1214,"Above","In range")))</f>
        <v/>
      </c>
      <c r="H1214" s="1" t="n"/>
      <c r="J1214">
        <f>IF(M1214="","",IF(INDEX(Settings!$C$10:$C$18,M1214)="","",INDEX(Settings!$C$10:$C$18,M1214)))</f>
        <v/>
      </c>
      <c r="K1214">
        <f>IF(M1214="","",IF(INDEX(Settings!$D$10:$D$18,M1214)="","",INDEX(Settings!$D$10:$D$18,M1214)))</f>
        <v/>
      </c>
      <c r="L1214">
        <f>IF(OR(B1214="",E1214=""),"",B1214+MOD(N(C1214),1)+ROW()/10000000)</f>
        <v/>
      </c>
      <c r="M1214">
        <f>IF(D1214="","",IFERROR(MATCH(D1214,Settings!$B$10:$B$18,0),""))</f>
        <v/>
      </c>
      <c r="N1214">
        <f>IF(OR(B1214="",E1214="",M1214=""),"",IF(AND(B1214&gt;=Settings!$C$6,B1214&lt;=Settings!$C$7),M1214*10000+E1214,""))</f>
        <v/>
      </c>
      <c r="O1214">
        <f>IF(OR(B1214="",E1214=""),"",B1214*10000+E1214)</f>
        <v/>
      </c>
      <c r="P1214">
        <f>IF(N1214="","",E1214)</f>
        <v/>
      </c>
    </row>
    <row r="1215">
      <c r="A1215" s="1" t="n"/>
      <c r="B1215" s="20" t="n"/>
      <c r="C1215" s="21" t="n"/>
      <c r="D1215" s="22" t="n"/>
      <c r="E1215" s="23" t="n"/>
      <c r="F1215" s="22" t="n"/>
      <c r="G1215" s="14">
        <f>IF(OR(B1215="",E1215="",J1215="",K1215=""),"",IF(E1215&lt;J1215,"Below",IF(E1215&gt;K1215,"Above","In range")))</f>
        <v/>
      </c>
      <c r="H1215" s="1" t="n"/>
      <c r="J1215">
        <f>IF(M1215="","",IF(INDEX(Settings!$C$10:$C$18,M1215)="","",INDEX(Settings!$C$10:$C$18,M1215)))</f>
        <v/>
      </c>
      <c r="K1215">
        <f>IF(M1215="","",IF(INDEX(Settings!$D$10:$D$18,M1215)="","",INDEX(Settings!$D$10:$D$18,M1215)))</f>
        <v/>
      </c>
      <c r="L1215">
        <f>IF(OR(B1215="",E1215=""),"",B1215+MOD(N(C1215),1)+ROW()/10000000)</f>
        <v/>
      </c>
      <c r="M1215">
        <f>IF(D1215="","",IFERROR(MATCH(D1215,Settings!$B$10:$B$18,0),""))</f>
        <v/>
      </c>
      <c r="N1215">
        <f>IF(OR(B1215="",E1215="",M1215=""),"",IF(AND(B1215&gt;=Settings!$C$6,B1215&lt;=Settings!$C$7),M1215*10000+E1215,""))</f>
        <v/>
      </c>
      <c r="O1215">
        <f>IF(OR(B1215="",E1215=""),"",B1215*10000+E1215)</f>
        <v/>
      </c>
      <c r="P1215">
        <f>IF(N1215="","",E1215)</f>
        <v/>
      </c>
    </row>
    <row r="1216">
      <c r="A1216" s="1" t="n"/>
      <c r="B1216" s="20" t="n"/>
      <c r="C1216" s="21" t="n"/>
      <c r="D1216" s="22" t="n"/>
      <c r="E1216" s="23" t="n"/>
      <c r="F1216" s="22" t="n"/>
      <c r="G1216" s="14">
        <f>IF(OR(B1216="",E1216="",J1216="",K1216=""),"",IF(E1216&lt;J1216,"Below",IF(E1216&gt;K1216,"Above","In range")))</f>
        <v/>
      </c>
      <c r="H1216" s="1" t="n"/>
      <c r="J1216">
        <f>IF(M1216="","",IF(INDEX(Settings!$C$10:$C$18,M1216)="","",INDEX(Settings!$C$10:$C$18,M1216)))</f>
        <v/>
      </c>
      <c r="K1216">
        <f>IF(M1216="","",IF(INDEX(Settings!$D$10:$D$18,M1216)="","",INDEX(Settings!$D$10:$D$18,M1216)))</f>
        <v/>
      </c>
      <c r="L1216">
        <f>IF(OR(B1216="",E1216=""),"",B1216+MOD(N(C1216),1)+ROW()/10000000)</f>
        <v/>
      </c>
      <c r="M1216">
        <f>IF(D1216="","",IFERROR(MATCH(D1216,Settings!$B$10:$B$18,0),""))</f>
        <v/>
      </c>
      <c r="N1216">
        <f>IF(OR(B1216="",E1216="",M1216=""),"",IF(AND(B1216&gt;=Settings!$C$6,B1216&lt;=Settings!$C$7),M1216*10000+E1216,""))</f>
        <v/>
      </c>
      <c r="O1216">
        <f>IF(OR(B1216="",E1216=""),"",B1216*10000+E1216)</f>
        <v/>
      </c>
      <c r="P1216">
        <f>IF(N1216="","",E1216)</f>
        <v/>
      </c>
    </row>
    <row r="1217">
      <c r="A1217" s="1" t="n"/>
      <c r="B1217" s="20" t="n"/>
      <c r="C1217" s="21" t="n"/>
      <c r="D1217" s="22" t="n"/>
      <c r="E1217" s="23" t="n"/>
      <c r="F1217" s="22" t="n"/>
      <c r="G1217" s="14">
        <f>IF(OR(B1217="",E1217="",J1217="",K1217=""),"",IF(E1217&lt;J1217,"Below",IF(E1217&gt;K1217,"Above","In range")))</f>
        <v/>
      </c>
      <c r="H1217" s="1" t="n"/>
      <c r="J1217">
        <f>IF(M1217="","",IF(INDEX(Settings!$C$10:$C$18,M1217)="","",INDEX(Settings!$C$10:$C$18,M1217)))</f>
        <v/>
      </c>
      <c r="K1217">
        <f>IF(M1217="","",IF(INDEX(Settings!$D$10:$D$18,M1217)="","",INDEX(Settings!$D$10:$D$18,M1217)))</f>
        <v/>
      </c>
      <c r="L1217">
        <f>IF(OR(B1217="",E1217=""),"",B1217+MOD(N(C1217),1)+ROW()/10000000)</f>
        <v/>
      </c>
      <c r="M1217">
        <f>IF(D1217="","",IFERROR(MATCH(D1217,Settings!$B$10:$B$18,0),""))</f>
        <v/>
      </c>
      <c r="N1217">
        <f>IF(OR(B1217="",E1217="",M1217=""),"",IF(AND(B1217&gt;=Settings!$C$6,B1217&lt;=Settings!$C$7),M1217*10000+E1217,""))</f>
        <v/>
      </c>
      <c r="O1217">
        <f>IF(OR(B1217="",E1217=""),"",B1217*10000+E1217)</f>
        <v/>
      </c>
      <c r="P1217">
        <f>IF(N1217="","",E1217)</f>
        <v/>
      </c>
    </row>
    <row r="1218">
      <c r="A1218" s="1" t="n"/>
      <c r="B1218" s="20" t="n"/>
      <c r="C1218" s="21" t="n"/>
      <c r="D1218" s="22" t="n"/>
      <c r="E1218" s="23" t="n"/>
      <c r="F1218" s="22" t="n"/>
      <c r="G1218" s="14">
        <f>IF(OR(B1218="",E1218="",J1218="",K1218=""),"",IF(E1218&lt;J1218,"Below",IF(E1218&gt;K1218,"Above","In range")))</f>
        <v/>
      </c>
      <c r="H1218" s="1" t="n"/>
      <c r="J1218">
        <f>IF(M1218="","",IF(INDEX(Settings!$C$10:$C$18,M1218)="","",INDEX(Settings!$C$10:$C$18,M1218)))</f>
        <v/>
      </c>
      <c r="K1218">
        <f>IF(M1218="","",IF(INDEX(Settings!$D$10:$D$18,M1218)="","",INDEX(Settings!$D$10:$D$18,M1218)))</f>
        <v/>
      </c>
      <c r="L1218">
        <f>IF(OR(B1218="",E1218=""),"",B1218+MOD(N(C1218),1)+ROW()/10000000)</f>
        <v/>
      </c>
      <c r="M1218">
        <f>IF(D1218="","",IFERROR(MATCH(D1218,Settings!$B$10:$B$18,0),""))</f>
        <v/>
      </c>
      <c r="N1218">
        <f>IF(OR(B1218="",E1218="",M1218=""),"",IF(AND(B1218&gt;=Settings!$C$6,B1218&lt;=Settings!$C$7),M1218*10000+E1218,""))</f>
        <v/>
      </c>
      <c r="O1218">
        <f>IF(OR(B1218="",E1218=""),"",B1218*10000+E1218)</f>
        <v/>
      </c>
      <c r="P1218">
        <f>IF(N1218="","",E1218)</f>
        <v/>
      </c>
    </row>
    <row r="1219">
      <c r="A1219" s="1" t="n"/>
      <c r="B1219" s="20" t="n"/>
      <c r="C1219" s="21" t="n"/>
      <c r="D1219" s="22" t="n"/>
      <c r="E1219" s="23" t="n"/>
      <c r="F1219" s="22" t="n"/>
      <c r="G1219" s="14">
        <f>IF(OR(B1219="",E1219="",J1219="",K1219=""),"",IF(E1219&lt;J1219,"Below",IF(E1219&gt;K1219,"Above","In range")))</f>
        <v/>
      </c>
      <c r="H1219" s="1" t="n"/>
      <c r="J1219">
        <f>IF(M1219="","",IF(INDEX(Settings!$C$10:$C$18,M1219)="","",INDEX(Settings!$C$10:$C$18,M1219)))</f>
        <v/>
      </c>
      <c r="K1219">
        <f>IF(M1219="","",IF(INDEX(Settings!$D$10:$D$18,M1219)="","",INDEX(Settings!$D$10:$D$18,M1219)))</f>
        <v/>
      </c>
      <c r="L1219">
        <f>IF(OR(B1219="",E1219=""),"",B1219+MOD(N(C1219),1)+ROW()/10000000)</f>
        <v/>
      </c>
      <c r="M1219">
        <f>IF(D1219="","",IFERROR(MATCH(D1219,Settings!$B$10:$B$18,0),""))</f>
        <v/>
      </c>
      <c r="N1219">
        <f>IF(OR(B1219="",E1219="",M1219=""),"",IF(AND(B1219&gt;=Settings!$C$6,B1219&lt;=Settings!$C$7),M1219*10000+E1219,""))</f>
        <v/>
      </c>
      <c r="O1219">
        <f>IF(OR(B1219="",E1219=""),"",B1219*10000+E1219)</f>
        <v/>
      </c>
      <c r="P1219">
        <f>IF(N1219="","",E1219)</f>
        <v/>
      </c>
    </row>
    <row r="1220">
      <c r="A1220" s="1" t="n"/>
      <c r="B1220" s="20" t="n"/>
      <c r="C1220" s="21" t="n"/>
      <c r="D1220" s="22" t="n"/>
      <c r="E1220" s="23" t="n"/>
      <c r="F1220" s="22" t="n"/>
      <c r="G1220" s="14">
        <f>IF(OR(B1220="",E1220="",J1220="",K1220=""),"",IF(E1220&lt;J1220,"Below",IF(E1220&gt;K1220,"Above","In range")))</f>
        <v/>
      </c>
      <c r="H1220" s="1" t="n"/>
      <c r="J1220">
        <f>IF(M1220="","",IF(INDEX(Settings!$C$10:$C$18,M1220)="","",INDEX(Settings!$C$10:$C$18,M1220)))</f>
        <v/>
      </c>
      <c r="K1220">
        <f>IF(M1220="","",IF(INDEX(Settings!$D$10:$D$18,M1220)="","",INDEX(Settings!$D$10:$D$18,M1220)))</f>
        <v/>
      </c>
      <c r="L1220">
        <f>IF(OR(B1220="",E1220=""),"",B1220+MOD(N(C1220),1)+ROW()/10000000)</f>
        <v/>
      </c>
      <c r="M1220">
        <f>IF(D1220="","",IFERROR(MATCH(D1220,Settings!$B$10:$B$18,0),""))</f>
        <v/>
      </c>
      <c r="N1220">
        <f>IF(OR(B1220="",E1220="",M1220=""),"",IF(AND(B1220&gt;=Settings!$C$6,B1220&lt;=Settings!$C$7),M1220*10000+E1220,""))</f>
        <v/>
      </c>
      <c r="O1220">
        <f>IF(OR(B1220="",E1220=""),"",B1220*10000+E1220)</f>
        <v/>
      </c>
      <c r="P1220">
        <f>IF(N1220="","",E1220)</f>
        <v/>
      </c>
    </row>
    <row r="1221">
      <c r="A1221" s="1" t="n"/>
      <c r="B1221" s="20" t="n"/>
      <c r="C1221" s="21" t="n"/>
      <c r="D1221" s="22" t="n"/>
      <c r="E1221" s="23" t="n"/>
      <c r="F1221" s="22" t="n"/>
      <c r="G1221" s="14">
        <f>IF(OR(B1221="",E1221="",J1221="",K1221=""),"",IF(E1221&lt;J1221,"Below",IF(E1221&gt;K1221,"Above","In range")))</f>
        <v/>
      </c>
      <c r="H1221" s="1" t="n"/>
      <c r="J1221">
        <f>IF(M1221="","",IF(INDEX(Settings!$C$10:$C$18,M1221)="","",INDEX(Settings!$C$10:$C$18,M1221)))</f>
        <v/>
      </c>
      <c r="K1221">
        <f>IF(M1221="","",IF(INDEX(Settings!$D$10:$D$18,M1221)="","",INDEX(Settings!$D$10:$D$18,M1221)))</f>
        <v/>
      </c>
      <c r="L1221">
        <f>IF(OR(B1221="",E1221=""),"",B1221+MOD(N(C1221),1)+ROW()/10000000)</f>
        <v/>
      </c>
      <c r="M1221">
        <f>IF(D1221="","",IFERROR(MATCH(D1221,Settings!$B$10:$B$18,0),""))</f>
        <v/>
      </c>
      <c r="N1221">
        <f>IF(OR(B1221="",E1221="",M1221=""),"",IF(AND(B1221&gt;=Settings!$C$6,B1221&lt;=Settings!$C$7),M1221*10000+E1221,""))</f>
        <v/>
      </c>
      <c r="O1221">
        <f>IF(OR(B1221="",E1221=""),"",B1221*10000+E1221)</f>
        <v/>
      </c>
      <c r="P1221">
        <f>IF(N1221="","",E1221)</f>
        <v/>
      </c>
    </row>
    <row r="1222">
      <c r="A1222" s="1" t="n"/>
      <c r="B1222" s="20" t="n"/>
      <c r="C1222" s="21" t="n"/>
      <c r="D1222" s="22" t="n"/>
      <c r="E1222" s="23" t="n"/>
      <c r="F1222" s="22" t="n"/>
      <c r="G1222" s="14">
        <f>IF(OR(B1222="",E1222="",J1222="",K1222=""),"",IF(E1222&lt;J1222,"Below",IF(E1222&gt;K1222,"Above","In range")))</f>
        <v/>
      </c>
      <c r="H1222" s="1" t="n"/>
      <c r="J1222">
        <f>IF(M1222="","",IF(INDEX(Settings!$C$10:$C$18,M1222)="","",INDEX(Settings!$C$10:$C$18,M1222)))</f>
        <v/>
      </c>
      <c r="K1222">
        <f>IF(M1222="","",IF(INDEX(Settings!$D$10:$D$18,M1222)="","",INDEX(Settings!$D$10:$D$18,M1222)))</f>
        <v/>
      </c>
      <c r="L1222">
        <f>IF(OR(B1222="",E1222=""),"",B1222+MOD(N(C1222),1)+ROW()/10000000)</f>
        <v/>
      </c>
      <c r="M1222">
        <f>IF(D1222="","",IFERROR(MATCH(D1222,Settings!$B$10:$B$18,0),""))</f>
        <v/>
      </c>
      <c r="N1222">
        <f>IF(OR(B1222="",E1222="",M1222=""),"",IF(AND(B1222&gt;=Settings!$C$6,B1222&lt;=Settings!$C$7),M1222*10000+E1222,""))</f>
        <v/>
      </c>
      <c r="O1222">
        <f>IF(OR(B1222="",E1222=""),"",B1222*10000+E1222)</f>
        <v/>
      </c>
      <c r="P1222">
        <f>IF(N1222="","",E1222)</f>
        <v/>
      </c>
    </row>
    <row r="1223">
      <c r="A1223" s="1" t="n"/>
      <c r="B1223" s="20" t="n"/>
      <c r="C1223" s="21" t="n"/>
      <c r="D1223" s="22" t="n"/>
      <c r="E1223" s="23" t="n"/>
      <c r="F1223" s="22" t="n"/>
      <c r="G1223" s="14">
        <f>IF(OR(B1223="",E1223="",J1223="",K1223=""),"",IF(E1223&lt;J1223,"Below",IF(E1223&gt;K1223,"Above","In range")))</f>
        <v/>
      </c>
      <c r="H1223" s="1" t="n"/>
      <c r="J1223">
        <f>IF(M1223="","",IF(INDEX(Settings!$C$10:$C$18,M1223)="","",INDEX(Settings!$C$10:$C$18,M1223)))</f>
        <v/>
      </c>
      <c r="K1223">
        <f>IF(M1223="","",IF(INDEX(Settings!$D$10:$D$18,M1223)="","",INDEX(Settings!$D$10:$D$18,M1223)))</f>
        <v/>
      </c>
      <c r="L1223">
        <f>IF(OR(B1223="",E1223=""),"",B1223+MOD(N(C1223),1)+ROW()/10000000)</f>
        <v/>
      </c>
      <c r="M1223">
        <f>IF(D1223="","",IFERROR(MATCH(D1223,Settings!$B$10:$B$18,0),""))</f>
        <v/>
      </c>
      <c r="N1223">
        <f>IF(OR(B1223="",E1223="",M1223=""),"",IF(AND(B1223&gt;=Settings!$C$6,B1223&lt;=Settings!$C$7),M1223*10000+E1223,""))</f>
        <v/>
      </c>
      <c r="O1223">
        <f>IF(OR(B1223="",E1223=""),"",B1223*10000+E1223)</f>
        <v/>
      </c>
      <c r="P1223">
        <f>IF(N1223="","",E1223)</f>
        <v/>
      </c>
    </row>
    <row r="1224">
      <c r="A1224" s="1" t="n"/>
      <c r="B1224" s="20" t="n"/>
      <c r="C1224" s="21" t="n"/>
      <c r="D1224" s="22" t="n"/>
      <c r="E1224" s="23" t="n"/>
      <c r="F1224" s="22" t="n"/>
      <c r="G1224" s="14">
        <f>IF(OR(B1224="",E1224="",J1224="",K1224=""),"",IF(E1224&lt;J1224,"Below",IF(E1224&gt;K1224,"Above","In range")))</f>
        <v/>
      </c>
      <c r="H1224" s="1" t="n"/>
      <c r="J1224">
        <f>IF(M1224="","",IF(INDEX(Settings!$C$10:$C$18,M1224)="","",INDEX(Settings!$C$10:$C$18,M1224)))</f>
        <v/>
      </c>
      <c r="K1224">
        <f>IF(M1224="","",IF(INDEX(Settings!$D$10:$D$18,M1224)="","",INDEX(Settings!$D$10:$D$18,M1224)))</f>
        <v/>
      </c>
      <c r="L1224">
        <f>IF(OR(B1224="",E1224=""),"",B1224+MOD(N(C1224),1)+ROW()/10000000)</f>
        <v/>
      </c>
      <c r="M1224">
        <f>IF(D1224="","",IFERROR(MATCH(D1224,Settings!$B$10:$B$18,0),""))</f>
        <v/>
      </c>
      <c r="N1224">
        <f>IF(OR(B1224="",E1224="",M1224=""),"",IF(AND(B1224&gt;=Settings!$C$6,B1224&lt;=Settings!$C$7),M1224*10000+E1224,""))</f>
        <v/>
      </c>
      <c r="O1224">
        <f>IF(OR(B1224="",E1224=""),"",B1224*10000+E1224)</f>
        <v/>
      </c>
      <c r="P1224">
        <f>IF(N1224="","",E1224)</f>
        <v/>
      </c>
    </row>
    <row r="1225">
      <c r="A1225" s="1" t="n"/>
      <c r="B1225" s="20" t="n"/>
      <c r="C1225" s="21" t="n"/>
      <c r="D1225" s="22" t="n"/>
      <c r="E1225" s="23" t="n"/>
      <c r="F1225" s="22" t="n"/>
      <c r="G1225" s="14">
        <f>IF(OR(B1225="",E1225="",J1225="",K1225=""),"",IF(E1225&lt;J1225,"Below",IF(E1225&gt;K1225,"Above","In range")))</f>
        <v/>
      </c>
      <c r="H1225" s="1" t="n"/>
      <c r="J1225">
        <f>IF(M1225="","",IF(INDEX(Settings!$C$10:$C$18,M1225)="","",INDEX(Settings!$C$10:$C$18,M1225)))</f>
        <v/>
      </c>
      <c r="K1225">
        <f>IF(M1225="","",IF(INDEX(Settings!$D$10:$D$18,M1225)="","",INDEX(Settings!$D$10:$D$18,M1225)))</f>
        <v/>
      </c>
      <c r="L1225">
        <f>IF(OR(B1225="",E1225=""),"",B1225+MOD(N(C1225),1)+ROW()/10000000)</f>
        <v/>
      </c>
      <c r="M1225">
        <f>IF(D1225="","",IFERROR(MATCH(D1225,Settings!$B$10:$B$18,0),""))</f>
        <v/>
      </c>
      <c r="N1225">
        <f>IF(OR(B1225="",E1225="",M1225=""),"",IF(AND(B1225&gt;=Settings!$C$6,B1225&lt;=Settings!$C$7),M1225*10000+E1225,""))</f>
        <v/>
      </c>
      <c r="O1225">
        <f>IF(OR(B1225="",E1225=""),"",B1225*10000+E1225)</f>
        <v/>
      </c>
      <c r="P1225">
        <f>IF(N1225="","",E1225)</f>
        <v/>
      </c>
    </row>
    <row r="1226">
      <c r="A1226" s="1" t="n"/>
      <c r="B1226" s="20" t="n"/>
      <c r="C1226" s="21" t="n"/>
      <c r="D1226" s="22" t="n"/>
      <c r="E1226" s="23" t="n"/>
      <c r="F1226" s="22" t="n"/>
      <c r="G1226" s="14">
        <f>IF(OR(B1226="",E1226="",J1226="",K1226=""),"",IF(E1226&lt;J1226,"Below",IF(E1226&gt;K1226,"Above","In range")))</f>
        <v/>
      </c>
      <c r="H1226" s="1" t="n"/>
      <c r="J1226">
        <f>IF(M1226="","",IF(INDEX(Settings!$C$10:$C$18,M1226)="","",INDEX(Settings!$C$10:$C$18,M1226)))</f>
        <v/>
      </c>
      <c r="K1226">
        <f>IF(M1226="","",IF(INDEX(Settings!$D$10:$D$18,M1226)="","",INDEX(Settings!$D$10:$D$18,M1226)))</f>
        <v/>
      </c>
      <c r="L1226">
        <f>IF(OR(B1226="",E1226=""),"",B1226+MOD(N(C1226),1)+ROW()/10000000)</f>
        <v/>
      </c>
      <c r="M1226">
        <f>IF(D1226="","",IFERROR(MATCH(D1226,Settings!$B$10:$B$18,0),""))</f>
        <v/>
      </c>
      <c r="N1226">
        <f>IF(OR(B1226="",E1226="",M1226=""),"",IF(AND(B1226&gt;=Settings!$C$6,B1226&lt;=Settings!$C$7),M1226*10000+E1226,""))</f>
        <v/>
      </c>
      <c r="O1226">
        <f>IF(OR(B1226="",E1226=""),"",B1226*10000+E1226)</f>
        <v/>
      </c>
      <c r="P1226">
        <f>IF(N1226="","",E1226)</f>
        <v/>
      </c>
    </row>
    <row r="1227">
      <c r="A1227" s="1" t="n"/>
      <c r="B1227" s="20" t="n"/>
      <c r="C1227" s="21" t="n"/>
      <c r="D1227" s="22" t="n"/>
      <c r="E1227" s="23" t="n"/>
      <c r="F1227" s="22" t="n"/>
      <c r="G1227" s="14">
        <f>IF(OR(B1227="",E1227="",J1227="",K1227=""),"",IF(E1227&lt;J1227,"Below",IF(E1227&gt;K1227,"Above","In range")))</f>
        <v/>
      </c>
      <c r="H1227" s="1" t="n"/>
      <c r="J1227">
        <f>IF(M1227="","",IF(INDEX(Settings!$C$10:$C$18,M1227)="","",INDEX(Settings!$C$10:$C$18,M1227)))</f>
        <v/>
      </c>
      <c r="K1227">
        <f>IF(M1227="","",IF(INDEX(Settings!$D$10:$D$18,M1227)="","",INDEX(Settings!$D$10:$D$18,M1227)))</f>
        <v/>
      </c>
      <c r="L1227">
        <f>IF(OR(B1227="",E1227=""),"",B1227+MOD(N(C1227),1)+ROW()/10000000)</f>
        <v/>
      </c>
      <c r="M1227">
        <f>IF(D1227="","",IFERROR(MATCH(D1227,Settings!$B$10:$B$18,0),""))</f>
        <v/>
      </c>
      <c r="N1227">
        <f>IF(OR(B1227="",E1227="",M1227=""),"",IF(AND(B1227&gt;=Settings!$C$6,B1227&lt;=Settings!$C$7),M1227*10000+E1227,""))</f>
        <v/>
      </c>
      <c r="O1227">
        <f>IF(OR(B1227="",E1227=""),"",B1227*10000+E1227)</f>
        <v/>
      </c>
      <c r="P1227">
        <f>IF(N1227="","",E1227)</f>
        <v/>
      </c>
    </row>
    <row r="1228">
      <c r="A1228" s="1" t="n"/>
      <c r="B1228" s="20" t="n"/>
      <c r="C1228" s="21" t="n"/>
      <c r="D1228" s="22" t="n"/>
      <c r="E1228" s="23" t="n"/>
      <c r="F1228" s="22" t="n"/>
      <c r="G1228" s="14">
        <f>IF(OR(B1228="",E1228="",J1228="",K1228=""),"",IF(E1228&lt;J1228,"Below",IF(E1228&gt;K1228,"Above","In range")))</f>
        <v/>
      </c>
      <c r="H1228" s="1" t="n"/>
      <c r="J1228">
        <f>IF(M1228="","",IF(INDEX(Settings!$C$10:$C$18,M1228)="","",INDEX(Settings!$C$10:$C$18,M1228)))</f>
        <v/>
      </c>
      <c r="K1228">
        <f>IF(M1228="","",IF(INDEX(Settings!$D$10:$D$18,M1228)="","",INDEX(Settings!$D$10:$D$18,M1228)))</f>
        <v/>
      </c>
      <c r="L1228">
        <f>IF(OR(B1228="",E1228=""),"",B1228+MOD(N(C1228),1)+ROW()/10000000)</f>
        <v/>
      </c>
      <c r="M1228">
        <f>IF(D1228="","",IFERROR(MATCH(D1228,Settings!$B$10:$B$18,0),""))</f>
        <v/>
      </c>
      <c r="N1228">
        <f>IF(OR(B1228="",E1228="",M1228=""),"",IF(AND(B1228&gt;=Settings!$C$6,B1228&lt;=Settings!$C$7),M1228*10000+E1228,""))</f>
        <v/>
      </c>
      <c r="O1228">
        <f>IF(OR(B1228="",E1228=""),"",B1228*10000+E1228)</f>
        <v/>
      </c>
      <c r="P1228">
        <f>IF(N1228="","",E1228)</f>
        <v/>
      </c>
    </row>
    <row r="1229">
      <c r="A1229" s="1" t="n"/>
      <c r="B1229" s="20" t="n"/>
      <c r="C1229" s="21" t="n"/>
      <c r="D1229" s="22" t="n"/>
      <c r="E1229" s="23" t="n"/>
      <c r="F1229" s="22" t="n"/>
      <c r="G1229" s="14">
        <f>IF(OR(B1229="",E1229="",J1229="",K1229=""),"",IF(E1229&lt;J1229,"Below",IF(E1229&gt;K1229,"Above","In range")))</f>
        <v/>
      </c>
      <c r="H1229" s="1" t="n"/>
      <c r="J1229">
        <f>IF(M1229="","",IF(INDEX(Settings!$C$10:$C$18,M1229)="","",INDEX(Settings!$C$10:$C$18,M1229)))</f>
        <v/>
      </c>
      <c r="K1229">
        <f>IF(M1229="","",IF(INDEX(Settings!$D$10:$D$18,M1229)="","",INDEX(Settings!$D$10:$D$18,M1229)))</f>
        <v/>
      </c>
      <c r="L1229">
        <f>IF(OR(B1229="",E1229=""),"",B1229+MOD(N(C1229),1)+ROW()/10000000)</f>
        <v/>
      </c>
      <c r="M1229">
        <f>IF(D1229="","",IFERROR(MATCH(D1229,Settings!$B$10:$B$18,0),""))</f>
        <v/>
      </c>
      <c r="N1229">
        <f>IF(OR(B1229="",E1229="",M1229=""),"",IF(AND(B1229&gt;=Settings!$C$6,B1229&lt;=Settings!$C$7),M1229*10000+E1229,""))</f>
        <v/>
      </c>
      <c r="O1229">
        <f>IF(OR(B1229="",E1229=""),"",B1229*10000+E1229)</f>
        <v/>
      </c>
      <c r="P1229">
        <f>IF(N1229="","",E1229)</f>
        <v/>
      </c>
    </row>
    <row r="1230">
      <c r="A1230" s="1" t="n"/>
      <c r="B1230" s="20" t="n"/>
      <c r="C1230" s="21" t="n"/>
      <c r="D1230" s="22" t="n"/>
      <c r="E1230" s="23" t="n"/>
      <c r="F1230" s="22" t="n"/>
      <c r="G1230" s="14">
        <f>IF(OR(B1230="",E1230="",J1230="",K1230=""),"",IF(E1230&lt;J1230,"Below",IF(E1230&gt;K1230,"Above","In range")))</f>
        <v/>
      </c>
      <c r="H1230" s="1" t="n"/>
      <c r="J1230">
        <f>IF(M1230="","",IF(INDEX(Settings!$C$10:$C$18,M1230)="","",INDEX(Settings!$C$10:$C$18,M1230)))</f>
        <v/>
      </c>
      <c r="K1230">
        <f>IF(M1230="","",IF(INDEX(Settings!$D$10:$D$18,M1230)="","",INDEX(Settings!$D$10:$D$18,M1230)))</f>
        <v/>
      </c>
      <c r="L1230">
        <f>IF(OR(B1230="",E1230=""),"",B1230+MOD(N(C1230),1)+ROW()/10000000)</f>
        <v/>
      </c>
      <c r="M1230">
        <f>IF(D1230="","",IFERROR(MATCH(D1230,Settings!$B$10:$B$18,0),""))</f>
        <v/>
      </c>
      <c r="N1230">
        <f>IF(OR(B1230="",E1230="",M1230=""),"",IF(AND(B1230&gt;=Settings!$C$6,B1230&lt;=Settings!$C$7),M1230*10000+E1230,""))</f>
        <v/>
      </c>
      <c r="O1230">
        <f>IF(OR(B1230="",E1230=""),"",B1230*10000+E1230)</f>
        <v/>
      </c>
      <c r="P1230">
        <f>IF(N1230="","",E1230)</f>
        <v/>
      </c>
    </row>
    <row r="1231">
      <c r="A1231" s="1" t="n"/>
      <c r="B1231" s="20" t="n"/>
      <c r="C1231" s="21" t="n"/>
      <c r="D1231" s="22" t="n"/>
      <c r="E1231" s="23" t="n"/>
      <c r="F1231" s="22" t="n"/>
      <c r="G1231" s="14">
        <f>IF(OR(B1231="",E1231="",J1231="",K1231=""),"",IF(E1231&lt;J1231,"Below",IF(E1231&gt;K1231,"Above","In range")))</f>
        <v/>
      </c>
      <c r="H1231" s="1" t="n"/>
      <c r="J1231">
        <f>IF(M1231="","",IF(INDEX(Settings!$C$10:$C$18,M1231)="","",INDEX(Settings!$C$10:$C$18,M1231)))</f>
        <v/>
      </c>
      <c r="K1231">
        <f>IF(M1231="","",IF(INDEX(Settings!$D$10:$D$18,M1231)="","",INDEX(Settings!$D$10:$D$18,M1231)))</f>
        <v/>
      </c>
      <c r="L1231">
        <f>IF(OR(B1231="",E1231=""),"",B1231+MOD(N(C1231),1)+ROW()/10000000)</f>
        <v/>
      </c>
      <c r="M1231">
        <f>IF(D1231="","",IFERROR(MATCH(D1231,Settings!$B$10:$B$18,0),""))</f>
        <v/>
      </c>
      <c r="N1231">
        <f>IF(OR(B1231="",E1231="",M1231=""),"",IF(AND(B1231&gt;=Settings!$C$6,B1231&lt;=Settings!$C$7),M1231*10000+E1231,""))</f>
        <v/>
      </c>
      <c r="O1231">
        <f>IF(OR(B1231="",E1231=""),"",B1231*10000+E1231)</f>
        <v/>
      </c>
      <c r="P1231">
        <f>IF(N1231="","",E1231)</f>
        <v/>
      </c>
    </row>
    <row r="1232">
      <c r="A1232" s="1" t="n"/>
      <c r="B1232" s="20" t="n"/>
      <c r="C1232" s="21" t="n"/>
      <c r="D1232" s="22" t="n"/>
      <c r="E1232" s="23" t="n"/>
      <c r="F1232" s="22" t="n"/>
      <c r="G1232" s="14">
        <f>IF(OR(B1232="",E1232="",J1232="",K1232=""),"",IF(E1232&lt;J1232,"Below",IF(E1232&gt;K1232,"Above","In range")))</f>
        <v/>
      </c>
      <c r="H1232" s="1" t="n"/>
      <c r="J1232">
        <f>IF(M1232="","",IF(INDEX(Settings!$C$10:$C$18,M1232)="","",INDEX(Settings!$C$10:$C$18,M1232)))</f>
        <v/>
      </c>
      <c r="K1232">
        <f>IF(M1232="","",IF(INDEX(Settings!$D$10:$D$18,M1232)="","",INDEX(Settings!$D$10:$D$18,M1232)))</f>
        <v/>
      </c>
      <c r="L1232">
        <f>IF(OR(B1232="",E1232=""),"",B1232+MOD(N(C1232),1)+ROW()/10000000)</f>
        <v/>
      </c>
      <c r="M1232">
        <f>IF(D1232="","",IFERROR(MATCH(D1232,Settings!$B$10:$B$18,0),""))</f>
        <v/>
      </c>
      <c r="N1232">
        <f>IF(OR(B1232="",E1232="",M1232=""),"",IF(AND(B1232&gt;=Settings!$C$6,B1232&lt;=Settings!$C$7),M1232*10000+E1232,""))</f>
        <v/>
      </c>
      <c r="O1232">
        <f>IF(OR(B1232="",E1232=""),"",B1232*10000+E1232)</f>
        <v/>
      </c>
      <c r="P1232">
        <f>IF(N1232="","",E1232)</f>
        <v/>
      </c>
    </row>
    <row r="1233">
      <c r="A1233" s="1" t="n"/>
      <c r="B1233" s="20" t="n"/>
      <c r="C1233" s="21" t="n"/>
      <c r="D1233" s="22" t="n"/>
      <c r="E1233" s="23" t="n"/>
      <c r="F1233" s="22" t="n"/>
      <c r="G1233" s="14">
        <f>IF(OR(B1233="",E1233="",J1233="",K1233=""),"",IF(E1233&lt;J1233,"Below",IF(E1233&gt;K1233,"Above","In range")))</f>
        <v/>
      </c>
      <c r="H1233" s="1" t="n"/>
      <c r="J1233">
        <f>IF(M1233="","",IF(INDEX(Settings!$C$10:$C$18,M1233)="","",INDEX(Settings!$C$10:$C$18,M1233)))</f>
        <v/>
      </c>
      <c r="K1233">
        <f>IF(M1233="","",IF(INDEX(Settings!$D$10:$D$18,M1233)="","",INDEX(Settings!$D$10:$D$18,M1233)))</f>
        <v/>
      </c>
      <c r="L1233">
        <f>IF(OR(B1233="",E1233=""),"",B1233+MOD(N(C1233),1)+ROW()/10000000)</f>
        <v/>
      </c>
      <c r="M1233">
        <f>IF(D1233="","",IFERROR(MATCH(D1233,Settings!$B$10:$B$18,0),""))</f>
        <v/>
      </c>
      <c r="N1233">
        <f>IF(OR(B1233="",E1233="",M1233=""),"",IF(AND(B1233&gt;=Settings!$C$6,B1233&lt;=Settings!$C$7),M1233*10000+E1233,""))</f>
        <v/>
      </c>
      <c r="O1233">
        <f>IF(OR(B1233="",E1233=""),"",B1233*10000+E1233)</f>
        <v/>
      </c>
      <c r="P1233">
        <f>IF(N1233="","",E1233)</f>
        <v/>
      </c>
    </row>
    <row r="1234">
      <c r="A1234" s="1" t="n"/>
      <c r="B1234" s="20" t="n"/>
      <c r="C1234" s="21" t="n"/>
      <c r="D1234" s="22" t="n"/>
      <c r="E1234" s="23" t="n"/>
      <c r="F1234" s="22" t="n"/>
      <c r="G1234" s="14">
        <f>IF(OR(B1234="",E1234="",J1234="",K1234=""),"",IF(E1234&lt;J1234,"Below",IF(E1234&gt;K1234,"Above","In range")))</f>
        <v/>
      </c>
      <c r="H1234" s="1" t="n"/>
      <c r="J1234">
        <f>IF(M1234="","",IF(INDEX(Settings!$C$10:$C$18,M1234)="","",INDEX(Settings!$C$10:$C$18,M1234)))</f>
        <v/>
      </c>
      <c r="K1234">
        <f>IF(M1234="","",IF(INDEX(Settings!$D$10:$D$18,M1234)="","",INDEX(Settings!$D$10:$D$18,M1234)))</f>
        <v/>
      </c>
      <c r="L1234">
        <f>IF(OR(B1234="",E1234=""),"",B1234+MOD(N(C1234),1)+ROW()/10000000)</f>
        <v/>
      </c>
      <c r="M1234">
        <f>IF(D1234="","",IFERROR(MATCH(D1234,Settings!$B$10:$B$18,0),""))</f>
        <v/>
      </c>
      <c r="N1234">
        <f>IF(OR(B1234="",E1234="",M1234=""),"",IF(AND(B1234&gt;=Settings!$C$6,B1234&lt;=Settings!$C$7),M1234*10000+E1234,""))</f>
        <v/>
      </c>
      <c r="O1234">
        <f>IF(OR(B1234="",E1234=""),"",B1234*10000+E1234)</f>
        <v/>
      </c>
      <c r="P1234">
        <f>IF(N1234="","",E1234)</f>
        <v/>
      </c>
    </row>
    <row r="1235">
      <c r="A1235" s="1" t="n"/>
      <c r="B1235" s="20" t="n"/>
      <c r="C1235" s="21" t="n"/>
      <c r="D1235" s="22" t="n"/>
      <c r="E1235" s="23" t="n"/>
      <c r="F1235" s="22" t="n"/>
      <c r="G1235" s="14">
        <f>IF(OR(B1235="",E1235="",J1235="",K1235=""),"",IF(E1235&lt;J1235,"Below",IF(E1235&gt;K1235,"Above","In range")))</f>
        <v/>
      </c>
      <c r="H1235" s="1" t="n"/>
      <c r="J1235">
        <f>IF(M1235="","",IF(INDEX(Settings!$C$10:$C$18,M1235)="","",INDEX(Settings!$C$10:$C$18,M1235)))</f>
        <v/>
      </c>
      <c r="K1235">
        <f>IF(M1235="","",IF(INDEX(Settings!$D$10:$D$18,M1235)="","",INDEX(Settings!$D$10:$D$18,M1235)))</f>
        <v/>
      </c>
      <c r="L1235">
        <f>IF(OR(B1235="",E1235=""),"",B1235+MOD(N(C1235),1)+ROW()/10000000)</f>
        <v/>
      </c>
      <c r="M1235">
        <f>IF(D1235="","",IFERROR(MATCH(D1235,Settings!$B$10:$B$18,0),""))</f>
        <v/>
      </c>
      <c r="N1235">
        <f>IF(OR(B1235="",E1235="",M1235=""),"",IF(AND(B1235&gt;=Settings!$C$6,B1235&lt;=Settings!$C$7),M1235*10000+E1235,""))</f>
        <v/>
      </c>
      <c r="O1235">
        <f>IF(OR(B1235="",E1235=""),"",B1235*10000+E1235)</f>
        <v/>
      </c>
      <c r="P1235">
        <f>IF(N1235="","",E1235)</f>
        <v/>
      </c>
    </row>
    <row r="1236">
      <c r="A1236" s="1" t="n"/>
      <c r="B1236" s="20" t="n"/>
      <c r="C1236" s="21" t="n"/>
      <c r="D1236" s="22" t="n"/>
      <c r="E1236" s="23" t="n"/>
      <c r="F1236" s="22" t="n"/>
      <c r="G1236" s="14">
        <f>IF(OR(B1236="",E1236="",J1236="",K1236=""),"",IF(E1236&lt;J1236,"Below",IF(E1236&gt;K1236,"Above","In range")))</f>
        <v/>
      </c>
      <c r="H1236" s="1" t="n"/>
      <c r="J1236">
        <f>IF(M1236="","",IF(INDEX(Settings!$C$10:$C$18,M1236)="","",INDEX(Settings!$C$10:$C$18,M1236)))</f>
        <v/>
      </c>
      <c r="K1236">
        <f>IF(M1236="","",IF(INDEX(Settings!$D$10:$D$18,M1236)="","",INDEX(Settings!$D$10:$D$18,M1236)))</f>
        <v/>
      </c>
      <c r="L1236">
        <f>IF(OR(B1236="",E1236=""),"",B1236+MOD(N(C1236),1)+ROW()/10000000)</f>
        <v/>
      </c>
      <c r="M1236">
        <f>IF(D1236="","",IFERROR(MATCH(D1236,Settings!$B$10:$B$18,0),""))</f>
        <v/>
      </c>
      <c r="N1236">
        <f>IF(OR(B1236="",E1236="",M1236=""),"",IF(AND(B1236&gt;=Settings!$C$6,B1236&lt;=Settings!$C$7),M1236*10000+E1236,""))</f>
        <v/>
      </c>
      <c r="O1236">
        <f>IF(OR(B1236="",E1236=""),"",B1236*10000+E1236)</f>
        <v/>
      </c>
      <c r="P1236">
        <f>IF(N1236="","",E1236)</f>
        <v/>
      </c>
    </row>
    <row r="1237">
      <c r="A1237" s="1" t="n"/>
      <c r="B1237" s="20" t="n"/>
      <c r="C1237" s="21" t="n"/>
      <c r="D1237" s="22" t="n"/>
      <c r="E1237" s="23" t="n"/>
      <c r="F1237" s="22" t="n"/>
      <c r="G1237" s="14">
        <f>IF(OR(B1237="",E1237="",J1237="",K1237=""),"",IF(E1237&lt;J1237,"Below",IF(E1237&gt;K1237,"Above","In range")))</f>
        <v/>
      </c>
      <c r="H1237" s="1" t="n"/>
      <c r="J1237">
        <f>IF(M1237="","",IF(INDEX(Settings!$C$10:$C$18,M1237)="","",INDEX(Settings!$C$10:$C$18,M1237)))</f>
        <v/>
      </c>
      <c r="K1237">
        <f>IF(M1237="","",IF(INDEX(Settings!$D$10:$D$18,M1237)="","",INDEX(Settings!$D$10:$D$18,M1237)))</f>
        <v/>
      </c>
      <c r="L1237">
        <f>IF(OR(B1237="",E1237=""),"",B1237+MOD(N(C1237),1)+ROW()/10000000)</f>
        <v/>
      </c>
      <c r="M1237">
        <f>IF(D1237="","",IFERROR(MATCH(D1237,Settings!$B$10:$B$18,0),""))</f>
        <v/>
      </c>
      <c r="N1237">
        <f>IF(OR(B1237="",E1237="",M1237=""),"",IF(AND(B1237&gt;=Settings!$C$6,B1237&lt;=Settings!$C$7),M1237*10000+E1237,""))</f>
        <v/>
      </c>
      <c r="O1237">
        <f>IF(OR(B1237="",E1237=""),"",B1237*10000+E1237)</f>
        <v/>
      </c>
      <c r="P1237">
        <f>IF(N1237="","",E1237)</f>
        <v/>
      </c>
    </row>
    <row r="1238">
      <c r="A1238" s="1" t="n"/>
      <c r="B1238" s="20" t="n"/>
      <c r="C1238" s="21" t="n"/>
      <c r="D1238" s="22" t="n"/>
      <c r="E1238" s="23" t="n"/>
      <c r="F1238" s="22" t="n"/>
      <c r="G1238" s="14">
        <f>IF(OR(B1238="",E1238="",J1238="",K1238=""),"",IF(E1238&lt;J1238,"Below",IF(E1238&gt;K1238,"Above","In range")))</f>
        <v/>
      </c>
      <c r="H1238" s="1" t="n"/>
      <c r="J1238">
        <f>IF(M1238="","",IF(INDEX(Settings!$C$10:$C$18,M1238)="","",INDEX(Settings!$C$10:$C$18,M1238)))</f>
        <v/>
      </c>
      <c r="K1238">
        <f>IF(M1238="","",IF(INDEX(Settings!$D$10:$D$18,M1238)="","",INDEX(Settings!$D$10:$D$18,M1238)))</f>
        <v/>
      </c>
      <c r="L1238">
        <f>IF(OR(B1238="",E1238=""),"",B1238+MOD(N(C1238),1)+ROW()/10000000)</f>
        <v/>
      </c>
      <c r="M1238">
        <f>IF(D1238="","",IFERROR(MATCH(D1238,Settings!$B$10:$B$18,0),""))</f>
        <v/>
      </c>
      <c r="N1238">
        <f>IF(OR(B1238="",E1238="",M1238=""),"",IF(AND(B1238&gt;=Settings!$C$6,B1238&lt;=Settings!$C$7),M1238*10000+E1238,""))</f>
        <v/>
      </c>
      <c r="O1238">
        <f>IF(OR(B1238="",E1238=""),"",B1238*10000+E1238)</f>
        <v/>
      </c>
      <c r="P1238">
        <f>IF(N1238="","",E1238)</f>
        <v/>
      </c>
    </row>
    <row r="1239">
      <c r="A1239" s="1" t="n"/>
      <c r="B1239" s="20" t="n"/>
      <c r="C1239" s="21" t="n"/>
      <c r="D1239" s="22" t="n"/>
      <c r="E1239" s="23" t="n"/>
      <c r="F1239" s="22" t="n"/>
      <c r="G1239" s="14">
        <f>IF(OR(B1239="",E1239="",J1239="",K1239=""),"",IF(E1239&lt;J1239,"Below",IF(E1239&gt;K1239,"Above","In range")))</f>
        <v/>
      </c>
      <c r="H1239" s="1" t="n"/>
      <c r="J1239">
        <f>IF(M1239="","",IF(INDEX(Settings!$C$10:$C$18,M1239)="","",INDEX(Settings!$C$10:$C$18,M1239)))</f>
        <v/>
      </c>
      <c r="K1239">
        <f>IF(M1239="","",IF(INDEX(Settings!$D$10:$D$18,M1239)="","",INDEX(Settings!$D$10:$D$18,M1239)))</f>
        <v/>
      </c>
      <c r="L1239">
        <f>IF(OR(B1239="",E1239=""),"",B1239+MOD(N(C1239),1)+ROW()/10000000)</f>
        <v/>
      </c>
      <c r="M1239">
        <f>IF(D1239="","",IFERROR(MATCH(D1239,Settings!$B$10:$B$18,0),""))</f>
        <v/>
      </c>
      <c r="N1239">
        <f>IF(OR(B1239="",E1239="",M1239=""),"",IF(AND(B1239&gt;=Settings!$C$6,B1239&lt;=Settings!$C$7),M1239*10000+E1239,""))</f>
        <v/>
      </c>
      <c r="O1239">
        <f>IF(OR(B1239="",E1239=""),"",B1239*10000+E1239)</f>
        <v/>
      </c>
      <c r="P1239">
        <f>IF(N1239="","",E1239)</f>
        <v/>
      </c>
    </row>
    <row r="1240">
      <c r="A1240" s="1" t="n"/>
      <c r="B1240" s="20" t="n"/>
      <c r="C1240" s="21" t="n"/>
      <c r="D1240" s="22" t="n"/>
      <c r="E1240" s="23" t="n"/>
      <c r="F1240" s="22" t="n"/>
      <c r="G1240" s="14">
        <f>IF(OR(B1240="",E1240="",J1240="",K1240=""),"",IF(E1240&lt;J1240,"Below",IF(E1240&gt;K1240,"Above","In range")))</f>
        <v/>
      </c>
      <c r="H1240" s="1" t="n"/>
      <c r="J1240">
        <f>IF(M1240="","",IF(INDEX(Settings!$C$10:$C$18,M1240)="","",INDEX(Settings!$C$10:$C$18,M1240)))</f>
        <v/>
      </c>
      <c r="K1240">
        <f>IF(M1240="","",IF(INDEX(Settings!$D$10:$D$18,M1240)="","",INDEX(Settings!$D$10:$D$18,M1240)))</f>
        <v/>
      </c>
      <c r="L1240">
        <f>IF(OR(B1240="",E1240=""),"",B1240+MOD(N(C1240),1)+ROW()/10000000)</f>
        <v/>
      </c>
      <c r="M1240">
        <f>IF(D1240="","",IFERROR(MATCH(D1240,Settings!$B$10:$B$18,0),""))</f>
        <v/>
      </c>
      <c r="N1240">
        <f>IF(OR(B1240="",E1240="",M1240=""),"",IF(AND(B1240&gt;=Settings!$C$6,B1240&lt;=Settings!$C$7),M1240*10000+E1240,""))</f>
        <v/>
      </c>
      <c r="O1240">
        <f>IF(OR(B1240="",E1240=""),"",B1240*10000+E1240)</f>
        <v/>
      </c>
      <c r="P1240">
        <f>IF(N1240="","",E1240)</f>
        <v/>
      </c>
    </row>
    <row r="1241">
      <c r="A1241" s="1" t="n"/>
      <c r="B1241" s="20" t="n"/>
      <c r="C1241" s="21" t="n"/>
      <c r="D1241" s="22" t="n"/>
      <c r="E1241" s="23" t="n"/>
      <c r="F1241" s="22" t="n"/>
      <c r="G1241" s="14">
        <f>IF(OR(B1241="",E1241="",J1241="",K1241=""),"",IF(E1241&lt;J1241,"Below",IF(E1241&gt;K1241,"Above","In range")))</f>
        <v/>
      </c>
      <c r="H1241" s="1" t="n"/>
      <c r="J1241">
        <f>IF(M1241="","",IF(INDEX(Settings!$C$10:$C$18,M1241)="","",INDEX(Settings!$C$10:$C$18,M1241)))</f>
        <v/>
      </c>
      <c r="K1241">
        <f>IF(M1241="","",IF(INDEX(Settings!$D$10:$D$18,M1241)="","",INDEX(Settings!$D$10:$D$18,M1241)))</f>
        <v/>
      </c>
      <c r="L1241">
        <f>IF(OR(B1241="",E1241=""),"",B1241+MOD(N(C1241),1)+ROW()/10000000)</f>
        <v/>
      </c>
      <c r="M1241">
        <f>IF(D1241="","",IFERROR(MATCH(D1241,Settings!$B$10:$B$18,0),""))</f>
        <v/>
      </c>
      <c r="N1241">
        <f>IF(OR(B1241="",E1241="",M1241=""),"",IF(AND(B1241&gt;=Settings!$C$6,B1241&lt;=Settings!$C$7),M1241*10000+E1241,""))</f>
        <v/>
      </c>
      <c r="O1241">
        <f>IF(OR(B1241="",E1241=""),"",B1241*10000+E1241)</f>
        <v/>
      </c>
      <c r="P1241">
        <f>IF(N1241="","",E1241)</f>
        <v/>
      </c>
    </row>
    <row r="1242">
      <c r="A1242" s="1" t="n"/>
      <c r="B1242" s="20" t="n"/>
      <c r="C1242" s="21" t="n"/>
      <c r="D1242" s="22" t="n"/>
      <c r="E1242" s="23" t="n"/>
      <c r="F1242" s="22" t="n"/>
      <c r="G1242" s="14">
        <f>IF(OR(B1242="",E1242="",J1242="",K1242=""),"",IF(E1242&lt;J1242,"Below",IF(E1242&gt;K1242,"Above","In range")))</f>
        <v/>
      </c>
      <c r="H1242" s="1" t="n"/>
      <c r="J1242">
        <f>IF(M1242="","",IF(INDEX(Settings!$C$10:$C$18,M1242)="","",INDEX(Settings!$C$10:$C$18,M1242)))</f>
        <v/>
      </c>
      <c r="K1242">
        <f>IF(M1242="","",IF(INDEX(Settings!$D$10:$D$18,M1242)="","",INDEX(Settings!$D$10:$D$18,M1242)))</f>
        <v/>
      </c>
      <c r="L1242">
        <f>IF(OR(B1242="",E1242=""),"",B1242+MOD(N(C1242),1)+ROW()/10000000)</f>
        <v/>
      </c>
      <c r="M1242">
        <f>IF(D1242="","",IFERROR(MATCH(D1242,Settings!$B$10:$B$18,0),""))</f>
        <v/>
      </c>
      <c r="N1242">
        <f>IF(OR(B1242="",E1242="",M1242=""),"",IF(AND(B1242&gt;=Settings!$C$6,B1242&lt;=Settings!$C$7),M1242*10000+E1242,""))</f>
        <v/>
      </c>
      <c r="O1242">
        <f>IF(OR(B1242="",E1242=""),"",B1242*10000+E1242)</f>
        <v/>
      </c>
      <c r="P1242">
        <f>IF(N1242="","",E1242)</f>
        <v/>
      </c>
    </row>
    <row r="1243">
      <c r="A1243" s="1" t="n"/>
      <c r="B1243" s="20" t="n"/>
      <c r="C1243" s="21" t="n"/>
      <c r="D1243" s="22" t="n"/>
      <c r="E1243" s="23" t="n"/>
      <c r="F1243" s="22" t="n"/>
      <c r="G1243" s="14">
        <f>IF(OR(B1243="",E1243="",J1243="",K1243=""),"",IF(E1243&lt;J1243,"Below",IF(E1243&gt;K1243,"Above","In range")))</f>
        <v/>
      </c>
      <c r="H1243" s="1" t="n"/>
      <c r="J1243">
        <f>IF(M1243="","",IF(INDEX(Settings!$C$10:$C$18,M1243)="","",INDEX(Settings!$C$10:$C$18,M1243)))</f>
        <v/>
      </c>
      <c r="K1243">
        <f>IF(M1243="","",IF(INDEX(Settings!$D$10:$D$18,M1243)="","",INDEX(Settings!$D$10:$D$18,M1243)))</f>
        <v/>
      </c>
      <c r="L1243">
        <f>IF(OR(B1243="",E1243=""),"",B1243+MOD(N(C1243),1)+ROW()/10000000)</f>
        <v/>
      </c>
      <c r="M1243">
        <f>IF(D1243="","",IFERROR(MATCH(D1243,Settings!$B$10:$B$18,0),""))</f>
        <v/>
      </c>
      <c r="N1243">
        <f>IF(OR(B1243="",E1243="",M1243=""),"",IF(AND(B1243&gt;=Settings!$C$6,B1243&lt;=Settings!$C$7),M1243*10000+E1243,""))</f>
        <v/>
      </c>
      <c r="O1243">
        <f>IF(OR(B1243="",E1243=""),"",B1243*10000+E1243)</f>
        <v/>
      </c>
      <c r="P1243">
        <f>IF(N1243="","",E1243)</f>
        <v/>
      </c>
    </row>
    <row r="1244">
      <c r="A1244" s="1" t="n"/>
      <c r="B1244" s="20" t="n"/>
      <c r="C1244" s="21" t="n"/>
      <c r="D1244" s="22" t="n"/>
      <c r="E1244" s="23" t="n"/>
      <c r="F1244" s="22" t="n"/>
      <c r="G1244" s="14">
        <f>IF(OR(B1244="",E1244="",J1244="",K1244=""),"",IF(E1244&lt;J1244,"Below",IF(E1244&gt;K1244,"Above","In range")))</f>
        <v/>
      </c>
      <c r="H1244" s="1" t="n"/>
      <c r="J1244">
        <f>IF(M1244="","",IF(INDEX(Settings!$C$10:$C$18,M1244)="","",INDEX(Settings!$C$10:$C$18,M1244)))</f>
        <v/>
      </c>
      <c r="K1244">
        <f>IF(M1244="","",IF(INDEX(Settings!$D$10:$D$18,M1244)="","",INDEX(Settings!$D$10:$D$18,M1244)))</f>
        <v/>
      </c>
      <c r="L1244">
        <f>IF(OR(B1244="",E1244=""),"",B1244+MOD(N(C1244),1)+ROW()/10000000)</f>
        <v/>
      </c>
      <c r="M1244">
        <f>IF(D1244="","",IFERROR(MATCH(D1244,Settings!$B$10:$B$18,0),""))</f>
        <v/>
      </c>
      <c r="N1244">
        <f>IF(OR(B1244="",E1244="",M1244=""),"",IF(AND(B1244&gt;=Settings!$C$6,B1244&lt;=Settings!$C$7),M1244*10000+E1244,""))</f>
        <v/>
      </c>
      <c r="O1244">
        <f>IF(OR(B1244="",E1244=""),"",B1244*10000+E1244)</f>
        <v/>
      </c>
      <c r="P1244">
        <f>IF(N1244="","",E1244)</f>
        <v/>
      </c>
    </row>
    <row r="1245">
      <c r="A1245" s="1" t="n"/>
      <c r="B1245" s="20" t="n"/>
      <c r="C1245" s="21" t="n"/>
      <c r="D1245" s="22" t="n"/>
      <c r="E1245" s="23" t="n"/>
      <c r="F1245" s="22" t="n"/>
      <c r="G1245" s="14">
        <f>IF(OR(B1245="",E1245="",J1245="",K1245=""),"",IF(E1245&lt;J1245,"Below",IF(E1245&gt;K1245,"Above","In range")))</f>
        <v/>
      </c>
      <c r="H1245" s="1" t="n"/>
      <c r="J1245">
        <f>IF(M1245="","",IF(INDEX(Settings!$C$10:$C$18,M1245)="","",INDEX(Settings!$C$10:$C$18,M1245)))</f>
        <v/>
      </c>
      <c r="K1245">
        <f>IF(M1245="","",IF(INDEX(Settings!$D$10:$D$18,M1245)="","",INDEX(Settings!$D$10:$D$18,M1245)))</f>
        <v/>
      </c>
      <c r="L1245">
        <f>IF(OR(B1245="",E1245=""),"",B1245+MOD(N(C1245),1)+ROW()/10000000)</f>
        <v/>
      </c>
      <c r="M1245">
        <f>IF(D1245="","",IFERROR(MATCH(D1245,Settings!$B$10:$B$18,0),""))</f>
        <v/>
      </c>
      <c r="N1245">
        <f>IF(OR(B1245="",E1245="",M1245=""),"",IF(AND(B1245&gt;=Settings!$C$6,B1245&lt;=Settings!$C$7),M1245*10000+E1245,""))</f>
        <v/>
      </c>
      <c r="O1245">
        <f>IF(OR(B1245="",E1245=""),"",B1245*10000+E1245)</f>
        <v/>
      </c>
      <c r="P1245">
        <f>IF(N1245="","",E1245)</f>
        <v/>
      </c>
    </row>
    <row r="1246">
      <c r="A1246" s="1" t="n"/>
      <c r="B1246" s="20" t="n"/>
      <c r="C1246" s="21" t="n"/>
      <c r="D1246" s="22" t="n"/>
      <c r="E1246" s="23" t="n"/>
      <c r="F1246" s="22" t="n"/>
      <c r="G1246" s="14">
        <f>IF(OR(B1246="",E1246="",J1246="",K1246=""),"",IF(E1246&lt;J1246,"Below",IF(E1246&gt;K1246,"Above","In range")))</f>
        <v/>
      </c>
      <c r="H1246" s="1" t="n"/>
      <c r="J1246">
        <f>IF(M1246="","",IF(INDEX(Settings!$C$10:$C$18,M1246)="","",INDEX(Settings!$C$10:$C$18,M1246)))</f>
        <v/>
      </c>
      <c r="K1246">
        <f>IF(M1246="","",IF(INDEX(Settings!$D$10:$D$18,M1246)="","",INDEX(Settings!$D$10:$D$18,M1246)))</f>
        <v/>
      </c>
      <c r="L1246">
        <f>IF(OR(B1246="",E1246=""),"",B1246+MOD(N(C1246),1)+ROW()/10000000)</f>
        <v/>
      </c>
      <c r="M1246">
        <f>IF(D1246="","",IFERROR(MATCH(D1246,Settings!$B$10:$B$18,0),""))</f>
        <v/>
      </c>
      <c r="N1246">
        <f>IF(OR(B1246="",E1246="",M1246=""),"",IF(AND(B1246&gt;=Settings!$C$6,B1246&lt;=Settings!$C$7),M1246*10000+E1246,""))</f>
        <v/>
      </c>
      <c r="O1246">
        <f>IF(OR(B1246="",E1246=""),"",B1246*10000+E1246)</f>
        <v/>
      </c>
      <c r="P1246">
        <f>IF(N1246="","",E1246)</f>
        <v/>
      </c>
    </row>
    <row r="1247">
      <c r="A1247" s="1" t="n"/>
      <c r="B1247" s="20" t="n"/>
      <c r="C1247" s="21" t="n"/>
      <c r="D1247" s="22" t="n"/>
      <c r="E1247" s="23" t="n"/>
      <c r="F1247" s="22" t="n"/>
      <c r="G1247" s="14">
        <f>IF(OR(B1247="",E1247="",J1247="",K1247=""),"",IF(E1247&lt;J1247,"Below",IF(E1247&gt;K1247,"Above","In range")))</f>
        <v/>
      </c>
      <c r="H1247" s="1" t="n"/>
      <c r="J1247">
        <f>IF(M1247="","",IF(INDEX(Settings!$C$10:$C$18,M1247)="","",INDEX(Settings!$C$10:$C$18,M1247)))</f>
        <v/>
      </c>
      <c r="K1247">
        <f>IF(M1247="","",IF(INDEX(Settings!$D$10:$D$18,M1247)="","",INDEX(Settings!$D$10:$D$18,M1247)))</f>
        <v/>
      </c>
      <c r="L1247">
        <f>IF(OR(B1247="",E1247=""),"",B1247+MOD(N(C1247),1)+ROW()/10000000)</f>
        <v/>
      </c>
      <c r="M1247">
        <f>IF(D1247="","",IFERROR(MATCH(D1247,Settings!$B$10:$B$18,0),""))</f>
        <v/>
      </c>
      <c r="N1247">
        <f>IF(OR(B1247="",E1247="",M1247=""),"",IF(AND(B1247&gt;=Settings!$C$6,B1247&lt;=Settings!$C$7),M1247*10000+E1247,""))</f>
        <v/>
      </c>
      <c r="O1247">
        <f>IF(OR(B1247="",E1247=""),"",B1247*10000+E1247)</f>
        <v/>
      </c>
      <c r="P1247">
        <f>IF(N1247="","",E1247)</f>
        <v/>
      </c>
    </row>
    <row r="1248">
      <c r="A1248" s="1" t="n"/>
      <c r="B1248" s="20" t="n"/>
      <c r="C1248" s="21" t="n"/>
      <c r="D1248" s="22" t="n"/>
      <c r="E1248" s="23" t="n"/>
      <c r="F1248" s="22" t="n"/>
      <c r="G1248" s="14">
        <f>IF(OR(B1248="",E1248="",J1248="",K1248=""),"",IF(E1248&lt;J1248,"Below",IF(E1248&gt;K1248,"Above","In range")))</f>
        <v/>
      </c>
      <c r="H1248" s="1" t="n"/>
      <c r="J1248">
        <f>IF(M1248="","",IF(INDEX(Settings!$C$10:$C$18,M1248)="","",INDEX(Settings!$C$10:$C$18,M1248)))</f>
        <v/>
      </c>
      <c r="K1248">
        <f>IF(M1248="","",IF(INDEX(Settings!$D$10:$D$18,M1248)="","",INDEX(Settings!$D$10:$D$18,M1248)))</f>
        <v/>
      </c>
      <c r="L1248">
        <f>IF(OR(B1248="",E1248=""),"",B1248+MOD(N(C1248),1)+ROW()/10000000)</f>
        <v/>
      </c>
      <c r="M1248">
        <f>IF(D1248="","",IFERROR(MATCH(D1248,Settings!$B$10:$B$18,0),""))</f>
        <v/>
      </c>
      <c r="N1248">
        <f>IF(OR(B1248="",E1248="",M1248=""),"",IF(AND(B1248&gt;=Settings!$C$6,B1248&lt;=Settings!$C$7),M1248*10000+E1248,""))</f>
        <v/>
      </c>
      <c r="O1248">
        <f>IF(OR(B1248="",E1248=""),"",B1248*10000+E1248)</f>
        <v/>
      </c>
      <c r="P1248">
        <f>IF(N1248="","",E1248)</f>
        <v/>
      </c>
    </row>
    <row r="1249">
      <c r="A1249" s="1" t="n"/>
      <c r="B1249" s="20" t="n"/>
      <c r="C1249" s="21" t="n"/>
      <c r="D1249" s="22" t="n"/>
      <c r="E1249" s="23" t="n"/>
      <c r="F1249" s="22" t="n"/>
      <c r="G1249" s="14">
        <f>IF(OR(B1249="",E1249="",J1249="",K1249=""),"",IF(E1249&lt;J1249,"Below",IF(E1249&gt;K1249,"Above","In range")))</f>
        <v/>
      </c>
      <c r="H1249" s="1" t="n"/>
      <c r="J1249">
        <f>IF(M1249="","",IF(INDEX(Settings!$C$10:$C$18,M1249)="","",INDEX(Settings!$C$10:$C$18,M1249)))</f>
        <v/>
      </c>
      <c r="K1249">
        <f>IF(M1249="","",IF(INDEX(Settings!$D$10:$D$18,M1249)="","",INDEX(Settings!$D$10:$D$18,M1249)))</f>
        <v/>
      </c>
      <c r="L1249">
        <f>IF(OR(B1249="",E1249=""),"",B1249+MOD(N(C1249),1)+ROW()/10000000)</f>
        <v/>
      </c>
      <c r="M1249">
        <f>IF(D1249="","",IFERROR(MATCH(D1249,Settings!$B$10:$B$18,0),""))</f>
        <v/>
      </c>
      <c r="N1249">
        <f>IF(OR(B1249="",E1249="",M1249=""),"",IF(AND(B1249&gt;=Settings!$C$6,B1249&lt;=Settings!$C$7),M1249*10000+E1249,""))</f>
        <v/>
      </c>
      <c r="O1249">
        <f>IF(OR(B1249="",E1249=""),"",B1249*10000+E1249)</f>
        <v/>
      </c>
      <c r="P1249">
        <f>IF(N1249="","",E1249)</f>
        <v/>
      </c>
    </row>
    <row r="1250">
      <c r="A1250" s="1" t="n"/>
      <c r="B1250" s="20" t="n"/>
      <c r="C1250" s="21" t="n"/>
      <c r="D1250" s="22" t="n"/>
      <c r="E1250" s="23" t="n"/>
      <c r="F1250" s="22" t="n"/>
      <c r="G1250" s="14">
        <f>IF(OR(B1250="",E1250="",J1250="",K1250=""),"",IF(E1250&lt;J1250,"Below",IF(E1250&gt;K1250,"Above","In range")))</f>
        <v/>
      </c>
      <c r="H1250" s="1" t="n"/>
      <c r="J1250">
        <f>IF(M1250="","",IF(INDEX(Settings!$C$10:$C$18,M1250)="","",INDEX(Settings!$C$10:$C$18,M1250)))</f>
        <v/>
      </c>
      <c r="K1250">
        <f>IF(M1250="","",IF(INDEX(Settings!$D$10:$D$18,M1250)="","",INDEX(Settings!$D$10:$D$18,M1250)))</f>
        <v/>
      </c>
      <c r="L1250">
        <f>IF(OR(B1250="",E1250=""),"",B1250+MOD(N(C1250),1)+ROW()/10000000)</f>
        <v/>
      </c>
      <c r="M1250">
        <f>IF(D1250="","",IFERROR(MATCH(D1250,Settings!$B$10:$B$18,0),""))</f>
        <v/>
      </c>
      <c r="N1250">
        <f>IF(OR(B1250="",E1250="",M1250=""),"",IF(AND(B1250&gt;=Settings!$C$6,B1250&lt;=Settings!$C$7),M1250*10000+E1250,""))</f>
        <v/>
      </c>
      <c r="O1250">
        <f>IF(OR(B1250="",E1250=""),"",B1250*10000+E1250)</f>
        <v/>
      </c>
      <c r="P1250">
        <f>IF(N1250="","",E1250)</f>
        <v/>
      </c>
    </row>
    <row r="1251">
      <c r="A1251" s="1" t="n"/>
      <c r="B1251" s="20" t="n"/>
      <c r="C1251" s="21" t="n"/>
      <c r="D1251" s="22" t="n"/>
      <c r="E1251" s="23" t="n"/>
      <c r="F1251" s="22" t="n"/>
      <c r="G1251" s="14">
        <f>IF(OR(B1251="",E1251="",J1251="",K1251=""),"",IF(E1251&lt;J1251,"Below",IF(E1251&gt;K1251,"Above","In range")))</f>
        <v/>
      </c>
      <c r="H1251" s="1" t="n"/>
      <c r="J1251">
        <f>IF(M1251="","",IF(INDEX(Settings!$C$10:$C$18,M1251)="","",INDEX(Settings!$C$10:$C$18,M1251)))</f>
        <v/>
      </c>
      <c r="K1251">
        <f>IF(M1251="","",IF(INDEX(Settings!$D$10:$D$18,M1251)="","",INDEX(Settings!$D$10:$D$18,M1251)))</f>
        <v/>
      </c>
      <c r="L1251">
        <f>IF(OR(B1251="",E1251=""),"",B1251+MOD(N(C1251),1)+ROW()/10000000)</f>
        <v/>
      </c>
      <c r="M1251">
        <f>IF(D1251="","",IFERROR(MATCH(D1251,Settings!$B$10:$B$18,0),""))</f>
        <v/>
      </c>
      <c r="N1251">
        <f>IF(OR(B1251="",E1251="",M1251=""),"",IF(AND(B1251&gt;=Settings!$C$6,B1251&lt;=Settings!$C$7),M1251*10000+E1251,""))</f>
        <v/>
      </c>
      <c r="O1251">
        <f>IF(OR(B1251="",E1251=""),"",B1251*10000+E1251)</f>
        <v/>
      </c>
      <c r="P1251">
        <f>IF(N1251="","",E1251)</f>
        <v/>
      </c>
    </row>
    <row r="1252">
      <c r="A1252" s="1" t="n"/>
      <c r="B1252" s="20" t="n"/>
      <c r="C1252" s="21" t="n"/>
      <c r="D1252" s="22" t="n"/>
      <c r="E1252" s="23" t="n"/>
      <c r="F1252" s="22" t="n"/>
      <c r="G1252" s="14">
        <f>IF(OR(B1252="",E1252="",J1252="",K1252=""),"",IF(E1252&lt;J1252,"Below",IF(E1252&gt;K1252,"Above","In range")))</f>
        <v/>
      </c>
      <c r="H1252" s="1" t="n"/>
      <c r="J1252">
        <f>IF(M1252="","",IF(INDEX(Settings!$C$10:$C$18,M1252)="","",INDEX(Settings!$C$10:$C$18,M1252)))</f>
        <v/>
      </c>
      <c r="K1252">
        <f>IF(M1252="","",IF(INDEX(Settings!$D$10:$D$18,M1252)="","",INDEX(Settings!$D$10:$D$18,M1252)))</f>
        <v/>
      </c>
      <c r="L1252">
        <f>IF(OR(B1252="",E1252=""),"",B1252+MOD(N(C1252),1)+ROW()/10000000)</f>
        <v/>
      </c>
      <c r="M1252">
        <f>IF(D1252="","",IFERROR(MATCH(D1252,Settings!$B$10:$B$18,0),""))</f>
        <v/>
      </c>
      <c r="N1252">
        <f>IF(OR(B1252="",E1252="",M1252=""),"",IF(AND(B1252&gt;=Settings!$C$6,B1252&lt;=Settings!$C$7),M1252*10000+E1252,""))</f>
        <v/>
      </c>
      <c r="O1252">
        <f>IF(OR(B1252="",E1252=""),"",B1252*10000+E1252)</f>
        <v/>
      </c>
      <c r="P1252">
        <f>IF(N1252="","",E1252)</f>
        <v/>
      </c>
    </row>
    <row r="1253">
      <c r="A1253" s="1" t="n"/>
      <c r="B1253" s="20" t="n"/>
      <c r="C1253" s="21" t="n"/>
      <c r="D1253" s="22" t="n"/>
      <c r="E1253" s="23" t="n"/>
      <c r="F1253" s="22" t="n"/>
      <c r="G1253" s="14">
        <f>IF(OR(B1253="",E1253="",J1253="",K1253=""),"",IF(E1253&lt;J1253,"Below",IF(E1253&gt;K1253,"Above","In range")))</f>
        <v/>
      </c>
      <c r="H1253" s="1" t="n"/>
      <c r="J1253">
        <f>IF(M1253="","",IF(INDEX(Settings!$C$10:$C$18,M1253)="","",INDEX(Settings!$C$10:$C$18,M1253)))</f>
        <v/>
      </c>
      <c r="K1253">
        <f>IF(M1253="","",IF(INDEX(Settings!$D$10:$D$18,M1253)="","",INDEX(Settings!$D$10:$D$18,M1253)))</f>
        <v/>
      </c>
      <c r="L1253">
        <f>IF(OR(B1253="",E1253=""),"",B1253+MOD(N(C1253),1)+ROW()/10000000)</f>
        <v/>
      </c>
      <c r="M1253">
        <f>IF(D1253="","",IFERROR(MATCH(D1253,Settings!$B$10:$B$18,0),""))</f>
        <v/>
      </c>
      <c r="N1253">
        <f>IF(OR(B1253="",E1253="",M1253=""),"",IF(AND(B1253&gt;=Settings!$C$6,B1253&lt;=Settings!$C$7),M1253*10000+E1253,""))</f>
        <v/>
      </c>
      <c r="O1253">
        <f>IF(OR(B1253="",E1253=""),"",B1253*10000+E1253)</f>
        <v/>
      </c>
      <c r="P1253">
        <f>IF(N1253="","",E1253)</f>
        <v/>
      </c>
    </row>
    <row r="1254">
      <c r="A1254" s="1" t="n"/>
      <c r="B1254" s="20" t="n"/>
      <c r="C1254" s="21" t="n"/>
      <c r="D1254" s="22" t="n"/>
      <c r="E1254" s="23" t="n"/>
      <c r="F1254" s="22" t="n"/>
      <c r="G1254" s="14">
        <f>IF(OR(B1254="",E1254="",J1254="",K1254=""),"",IF(E1254&lt;J1254,"Below",IF(E1254&gt;K1254,"Above","In range")))</f>
        <v/>
      </c>
      <c r="H1254" s="1" t="n"/>
      <c r="J1254">
        <f>IF(M1254="","",IF(INDEX(Settings!$C$10:$C$18,M1254)="","",INDEX(Settings!$C$10:$C$18,M1254)))</f>
        <v/>
      </c>
      <c r="K1254">
        <f>IF(M1254="","",IF(INDEX(Settings!$D$10:$D$18,M1254)="","",INDEX(Settings!$D$10:$D$18,M1254)))</f>
        <v/>
      </c>
      <c r="L1254">
        <f>IF(OR(B1254="",E1254=""),"",B1254+MOD(N(C1254),1)+ROW()/10000000)</f>
        <v/>
      </c>
      <c r="M1254">
        <f>IF(D1254="","",IFERROR(MATCH(D1254,Settings!$B$10:$B$18,0),""))</f>
        <v/>
      </c>
      <c r="N1254">
        <f>IF(OR(B1254="",E1254="",M1254=""),"",IF(AND(B1254&gt;=Settings!$C$6,B1254&lt;=Settings!$C$7),M1254*10000+E1254,""))</f>
        <v/>
      </c>
      <c r="O1254">
        <f>IF(OR(B1254="",E1254=""),"",B1254*10000+E1254)</f>
        <v/>
      </c>
      <c r="P1254">
        <f>IF(N1254="","",E1254)</f>
        <v/>
      </c>
    </row>
    <row r="1255">
      <c r="A1255" s="1" t="n"/>
      <c r="B1255" s="20" t="n"/>
      <c r="C1255" s="21" t="n"/>
      <c r="D1255" s="22" t="n"/>
      <c r="E1255" s="23" t="n"/>
      <c r="F1255" s="22" t="n"/>
      <c r="G1255" s="14">
        <f>IF(OR(B1255="",E1255="",J1255="",K1255=""),"",IF(E1255&lt;J1255,"Below",IF(E1255&gt;K1255,"Above","In range")))</f>
        <v/>
      </c>
      <c r="H1255" s="1" t="n"/>
      <c r="J1255">
        <f>IF(M1255="","",IF(INDEX(Settings!$C$10:$C$18,M1255)="","",INDEX(Settings!$C$10:$C$18,M1255)))</f>
        <v/>
      </c>
      <c r="K1255">
        <f>IF(M1255="","",IF(INDEX(Settings!$D$10:$D$18,M1255)="","",INDEX(Settings!$D$10:$D$18,M1255)))</f>
        <v/>
      </c>
      <c r="L1255">
        <f>IF(OR(B1255="",E1255=""),"",B1255+MOD(N(C1255),1)+ROW()/10000000)</f>
        <v/>
      </c>
      <c r="M1255">
        <f>IF(D1255="","",IFERROR(MATCH(D1255,Settings!$B$10:$B$18,0),""))</f>
        <v/>
      </c>
      <c r="N1255">
        <f>IF(OR(B1255="",E1255="",M1255=""),"",IF(AND(B1255&gt;=Settings!$C$6,B1255&lt;=Settings!$C$7),M1255*10000+E1255,""))</f>
        <v/>
      </c>
      <c r="O1255">
        <f>IF(OR(B1255="",E1255=""),"",B1255*10000+E1255)</f>
        <v/>
      </c>
      <c r="P1255">
        <f>IF(N1255="","",E1255)</f>
        <v/>
      </c>
    </row>
    <row r="1256">
      <c r="A1256" s="1" t="n"/>
      <c r="B1256" s="20" t="n"/>
      <c r="C1256" s="21" t="n"/>
      <c r="D1256" s="22" t="n"/>
      <c r="E1256" s="23" t="n"/>
      <c r="F1256" s="22" t="n"/>
      <c r="G1256" s="14">
        <f>IF(OR(B1256="",E1256="",J1256="",K1256=""),"",IF(E1256&lt;J1256,"Below",IF(E1256&gt;K1256,"Above","In range")))</f>
        <v/>
      </c>
      <c r="H1256" s="1" t="n"/>
      <c r="J1256">
        <f>IF(M1256="","",IF(INDEX(Settings!$C$10:$C$18,M1256)="","",INDEX(Settings!$C$10:$C$18,M1256)))</f>
        <v/>
      </c>
      <c r="K1256">
        <f>IF(M1256="","",IF(INDEX(Settings!$D$10:$D$18,M1256)="","",INDEX(Settings!$D$10:$D$18,M1256)))</f>
        <v/>
      </c>
      <c r="L1256">
        <f>IF(OR(B1256="",E1256=""),"",B1256+MOD(N(C1256),1)+ROW()/10000000)</f>
        <v/>
      </c>
      <c r="M1256">
        <f>IF(D1256="","",IFERROR(MATCH(D1256,Settings!$B$10:$B$18,0),""))</f>
        <v/>
      </c>
      <c r="N1256">
        <f>IF(OR(B1256="",E1256="",M1256=""),"",IF(AND(B1256&gt;=Settings!$C$6,B1256&lt;=Settings!$C$7),M1256*10000+E1256,""))</f>
        <v/>
      </c>
      <c r="O1256">
        <f>IF(OR(B1256="",E1256=""),"",B1256*10000+E1256)</f>
        <v/>
      </c>
      <c r="P1256">
        <f>IF(N1256="","",E1256)</f>
        <v/>
      </c>
    </row>
    <row r="1257">
      <c r="A1257" s="1" t="n"/>
      <c r="B1257" s="20" t="n"/>
      <c r="C1257" s="21" t="n"/>
      <c r="D1257" s="22" t="n"/>
      <c r="E1257" s="23" t="n"/>
      <c r="F1257" s="22" t="n"/>
      <c r="G1257" s="14">
        <f>IF(OR(B1257="",E1257="",J1257="",K1257=""),"",IF(E1257&lt;J1257,"Below",IF(E1257&gt;K1257,"Above","In range")))</f>
        <v/>
      </c>
      <c r="H1257" s="1" t="n"/>
      <c r="J1257">
        <f>IF(M1257="","",IF(INDEX(Settings!$C$10:$C$18,M1257)="","",INDEX(Settings!$C$10:$C$18,M1257)))</f>
        <v/>
      </c>
      <c r="K1257">
        <f>IF(M1257="","",IF(INDEX(Settings!$D$10:$D$18,M1257)="","",INDEX(Settings!$D$10:$D$18,M1257)))</f>
        <v/>
      </c>
      <c r="L1257">
        <f>IF(OR(B1257="",E1257=""),"",B1257+MOD(N(C1257),1)+ROW()/10000000)</f>
        <v/>
      </c>
      <c r="M1257">
        <f>IF(D1257="","",IFERROR(MATCH(D1257,Settings!$B$10:$B$18,0),""))</f>
        <v/>
      </c>
      <c r="N1257">
        <f>IF(OR(B1257="",E1257="",M1257=""),"",IF(AND(B1257&gt;=Settings!$C$6,B1257&lt;=Settings!$C$7),M1257*10000+E1257,""))</f>
        <v/>
      </c>
      <c r="O1257">
        <f>IF(OR(B1257="",E1257=""),"",B1257*10000+E1257)</f>
        <v/>
      </c>
      <c r="P1257">
        <f>IF(N1257="","",E1257)</f>
        <v/>
      </c>
    </row>
    <row r="1258">
      <c r="A1258" s="1" t="n"/>
      <c r="B1258" s="20" t="n"/>
      <c r="C1258" s="21" t="n"/>
      <c r="D1258" s="22" t="n"/>
      <c r="E1258" s="23" t="n"/>
      <c r="F1258" s="22" t="n"/>
      <c r="G1258" s="14">
        <f>IF(OR(B1258="",E1258="",J1258="",K1258=""),"",IF(E1258&lt;J1258,"Below",IF(E1258&gt;K1258,"Above","In range")))</f>
        <v/>
      </c>
      <c r="H1258" s="1" t="n"/>
      <c r="J1258">
        <f>IF(M1258="","",IF(INDEX(Settings!$C$10:$C$18,M1258)="","",INDEX(Settings!$C$10:$C$18,M1258)))</f>
        <v/>
      </c>
      <c r="K1258">
        <f>IF(M1258="","",IF(INDEX(Settings!$D$10:$D$18,M1258)="","",INDEX(Settings!$D$10:$D$18,M1258)))</f>
        <v/>
      </c>
      <c r="L1258">
        <f>IF(OR(B1258="",E1258=""),"",B1258+MOD(N(C1258),1)+ROW()/10000000)</f>
        <v/>
      </c>
      <c r="M1258">
        <f>IF(D1258="","",IFERROR(MATCH(D1258,Settings!$B$10:$B$18,0),""))</f>
        <v/>
      </c>
      <c r="N1258">
        <f>IF(OR(B1258="",E1258="",M1258=""),"",IF(AND(B1258&gt;=Settings!$C$6,B1258&lt;=Settings!$C$7),M1258*10000+E1258,""))</f>
        <v/>
      </c>
      <c r="O1258">
        <f>IF(OR(B1258="",E1258=""),"",B1258*10000+E1258)</f>
        <v/>
      </c>
      <c r="P1258">
        <f>IF(N1258="","",E1258)</f>
        <v/>
      </c>
    </row>
    <row r="1259">
      <c r="A1259" s="1" t="n"/>
      <c r="B1259" s="20" t="n"/>
      <c r="C1259" s="21" t="n"/>
      <c r="D1259" s="22" t="n"/>
      <c r="E1259" s="23" t="n"/>
      <c r="F1259" s="22" t="n"/>
      <c r="G1259" s="14">
        <f>IF(OR(B1259="",E1259="",J1259="",K1259=""),"",IF(E1259&lt;J1259,"Below",IF(E1259&gt;K1259,"Above","In range")))</f>
        <v/>
      </c>
      <c r="H1259" s="1" t="n"/>
      <c r="J1259">
        <f>IF(M1259="","",IF(INDEX(Settings!$C$10:$C$18,M1259)="","",INDEX(Settings!$C$10:$C$18,M1259)))</f>
        <v/>
      </c>
      <c r="K1259">
        <f>IF(M1259="","",IF(INDEX(Settings!$D$10:$D$18,M1259)="","",INDEX(Settings!$D$10:$D$18,M1259)))</f>
        <v/>
      </c>
      <c r="L1259">
        <f>IF(OR(B1259="",E1259=""),"",B1259+MOD(N(C1259),1)+ROW()/10000000)</f>
        <v/>
      </c>
      <c r="M1259">
        <f>IF(D1259="","",IFERROR(MATCH(D1259,Settings!$B$10:$B$18,0),""))</f>
        <v/>
      </c>
      <c r="N1259">
        <f>IF(OR(B1259="",E1259="",M1259=""),"",IF(AND(B1259&gt;=Settings!$C$6,B1259&lt;=Settings!$C$7),M1259*10000+E1259,""))</f>
        <v/>
      </c>
      <c r="O1259">
        <f>IF(OR(B1259="",E1259=""),"",B1259*10000+E1259)</f>
        <v/>
      </c>
      <c r="P1259">
        <f>IF(N1259="","",E1259)</f>
        <v/>
      </c>
    </row>
    <row r="1260">
      <c r="A1260" s="1" t="n"/>
      <c r="B1260" s="20" t="n"/>
      <c r="C1260" s="21" t="n"/>
      <c r="D1260" s="22" t="n"/>
      <c r="E1260" s="23" t="n"/>
      <c r="F1260" s="22" t="n"/>
      <c r="G1260" s="14">
        <f>IF(OR(B1260="",E1260="",J1260="",K1260=""),"",IF(E1260&lt;J1260,"Below",IF(E1260&gt;K1260,"Above","In range")))</f>
        <v/>
      </c>
      <c r="H1260" s="1" t="n"/>
      <c r="J1260">
        <f>IF(M1260="","",IF(INDEX(Settings!$C$10:$C$18,M1260)="","",INDEX(Settings!$C$10:$C$18,M1260)))</f>
        <v/>
      </c>
      <c r="K1260">
        <f>IF(M1260="","",IF(INDEX(Settings!$D$10:$D$18,M1260)="","",INDEX(Settings!$D$10:$D$18,M1260)))</f>
        <v/>
      </c>
      <c r="L1260">
        <f>IF(OR(B1260="",E1260=""),"",B1260+MOD(N(C1260),1)+ROW()/10000000)</f>
        <v/>
      </c>
      <c r="M1260">
        <f>IF(D1260="","",IFERROR(MATCH(D1260,Settings!$B$10:$B$18,0),""))</f>
        <v/>
      </c>
      <c r="N1260">
        <f>IF(OR(B1260="",E1260="",M1260=""),"",IF(AND(B1260&gt;=Settings!$C$6,B1260&lt;=Settings!$C$7),M1260*10000+E1260,""))</f>
        <v/>
      </c>
      <c r="O1260">
        <f>IF(OR(B1260="",E1260=""),"",B1260*10000+E1260)</f>
        <v/>
      </c>
      <c r="P1260">
        <f>IF(N1260="","",E1260)</f>
        <v/>
      </c>
    </row>
    <row r="1261">
      <c r="A1261" s="1" t="n"/>
      <c r="B1261" s="20" t="n"/>
      <c r="C1261" s="21" t="n"/>
      <c r="D1261" s="22" t="n"/>
      <c r="E1261" s="23" t="n"/>
      <c r="F1261" s="22" t="n"/>
      <c r="G1261" s="14">
        <f>IF(OR(B1261="",E1261="",J1261="",K1261=""),"",IF(E1261&lt;J1261,"Below",IF(E1261&gt;K1261,"Above","In range")))</f>
        <v/>
      </c>
      <c r="H1261" s="1" t="n"/>
      <c r="J1261">
        <f>IF(M1261="","",IF(INDEX(Settings!$C$10:$C$18,M1261)="","",INDEX(Settings!$C$10:$C$18,M1261)))</f>
        <v/>
      </c>
      <c r="K1261">
        <f>IF(M1261="","",IF(INDEX(Settings!$D$10:$D$18,M1261)="","",INDEX(Settings!$D$10:$D$18,M1261)))</f>
        <v/>
      </c>
      <c r="L1261">
        <f>IF(OR(B1261="",E1261=""),"",B1261+MOD(N(C1261),1)+ROW()/10000000)</f>
        <v/>
      </c>
      <c r="M1261">
        <f>IF(D1261="","",IFERROR(MATCH(D1261,Settings!$B$10:$B$18,0),""))</f>
        <v/>
      </c>
      <c r="N1261">
        <f>IF(OR(B1261="",E1261="",M1261=""),"",IF(AND(B1261&gt;=Settings!$C$6,B1261&lt;=Settings!$C$7),M1261*10000+E1261,""))</f>
        <v/>
      </c>
      <c r="O1261">
        <f>IF(OR(B1261="",E1261=""),"",B1261*10000+E1261)</f>
        <v/>
      </c>
      <c r="P1261">
        <f>IF(N1261="","",E1261)</f>
        <v/>
      </c>
    </row>
    <row r="1262">
      <c r="A1262" s="1" t="n"/>
      <c r="B1262" s="20" t="n"/>
      <c r="C1262" s="21" t="n"/>
      <c r="D1262" s="22" t="n"/>
      <c r="E1262" s="23" t="n"/>
      <c r="F1262" s="22" t="n"/>
      <c r="G1262" s="14">
        <f>IF(OR(B1262="",E1262="",J1262="",K1262=""),"",IF(E1262&lt;J1262,"Below",IF(E1262&gt;K1262,"Above","In range")))</f>
        <v/>
      </c>
      <c r="H1262" s="1" t="n"/>
      <c r="J1262">
        <f>IF(M1262="","",IF(INDEX(Settings!$C$10:$C$18,M1262)="","",INDEX(Settings!$C$10:$C$18,M1262)))</f>
        <v/>
      </c>
      <c r="K1262">
        <f>IF(M1262="","",IF(INDEX(Settings!$D$10:$D$18,M1262)="","",INDEX(Settings!$D$10:$D$18,M1262)))</f>
        <v/>
      </c>
      <c r="L1262">
        <f>IF(OR(B1262="",E1262=""),"",B1262+MOD(N(C1262),1)+ROW()/10000000)</f>
        <v/>
      </c>
      <c r="M1262">
        <f>IF(D1262="","",IFERROR(MATCH(D1262,Settings!$B$10:$B$18,0),""))</f>
        <v/>
      </c>
      <c r="N1262">
        <f>IF(OR(B1262="",E1262="",M1262=""),"",IF(AND(B1262&gt;=Settings!$C$6,B1262&lt;=Settings!$C$7),M1262*10000+E1262,""))</f>
        <v/>
      </c>
      <c r="O1262">
        <f>IF(OR(B1262="",E1262=""),"",B1262*10000+E1262)</f>
        <v/>
      </c>
      <c r="P1262">
        <f>IF(N1262="","",E1262)</f>
        <v/>
      </c>
    </row>
    <row r="1263">
      <c r="A1263" s="1" t="n"/>
      <c r="B1263" s="20" t="n"/>
      <c r="C1263" s="21" t="n"/>
      <c r="D1263" s="22" t="n"/>
      <c r="E1263" s="23" t="n"/>
      <c r="F1263" s="22" t="n"/>
      <c r="G1263" s="14">
        <f>IF(OR(B1263="",E1263="",J1263="",K1263=""),"",IF(E1263&lt;J1263,"Below",IF(E1263&gt;K1263,"Above","In range")))</f>
        <v/>
      </c>
      <c r="H1263" s="1" t="n"/>
      <c r="J1263">
        <f>IF(M1263="","",IF(INDEX(Settings!$C$10:$C$18,M1263)="","",INDEX(Settings!$C$10:$C$18,M1263)))</f>
        <v/>
      </c>
      <c r="K1263">
        <f>IF(M1263="","",IF(INDEX(Settings!$D$10:$D$18,M1263)="","",INDEX(Settings!$D$10:$D$18,M1263)))</f>
        <v/>
      </c>
      <c r="L1263">
        <f>IF(OR(B1263="",E1263=""),"",B1263+MOD(N(C1263),1)+ROW()/10000000)</f>
        <v/>
      </c>
      <c r="M1263">
        <f>IF(D1263="","",IFERROR(MATCH(D1263,Settings!$B$10:$B$18,0),""))</f>
        <v/>
      </c>
      <c r="N1263">
        <f>IF(OR(B1263="",E1263="",M1263=""),"",IF(AND(B1263&gt;=Settings!$C$6,B1263&lt;=Settings!$C$7),M1263*10000+E1263,""))</f>
        <v/>
      </c>
      <c r="O1263">
        <f>IF(OR(B1263="",E1263=""),"",B1263*10000+E1263)</f>
        <v/>
      </c>
      <c r="P1263">
        <f>IF(N1263="","",E1263)</f>
        <v/>
      </c>
    </row>
    <row r="1264">
      <c r="A1264" s="1" t="n"/>
      <c r="B1264" s="20" t="n"/>
      <c r="C1264" s="21" t="n"/>
      <c r="D1264" s="22" t="n"/>
      <c r="E1264" s="23" t="n"/>
      <c r="F1264" s="22" t="n"/>
      <c r="G1264" s="14">
        <f>IF(OR(B1264="",E1264="",J1264="",K1264=""),"",IF(E1264&lt;J1264,"Below",IF(E1264&gt;K1264,"Above","In range")))</f>
        <v/>
      </c>
      <c r="H1264" s="1" t="n"/>
      <c r="J1264">
        <f>IF(M1264="","",IF(INDEX(Settings!$C$10:$C$18,M1264)="","",INDEX(Settings!$C$10:$C$18,M1264)))</f>
        <v/>
      </c>
      <c r="K1264">
        <f>IF(M1264="","",IF(INDEX(Settings!$D$10:$D$18,M1264)="","",INDEX(Settings!$D$10:$D$18,M1264)))</f>
        <v/>
      </c>
      <c r="L1264">
        <f>IF(OR(B1264="",E1264=""),"",B1264+MOD(N(C1264),1)+ROW()/10000000)</f>
        <v/>
      </c>
      <c r="M1264">
        <f>IF(D1264="","",IFERROR(MATCH(D1264,Settings!$B$10:$B$18,0),""))</f>
        <v/>
      </c>
      <c r="N1264">
        <f>IF(OR(B1264="",E1264="",M1264=""),"",IF(AND(B1264&gt;=Settings!$C$6,B1264&lt;=Settings!$C$7),M1264*10000+E1264,""))</f>
        <v/>
      </c>
      <c r="O1264">
        <f>IF(OR(B1264="",E1264=""),"",B1264*10000+E1264)</f>
        <v/>
      </c>
      <c r="P1264">
        <f>IF(N1264="","",E1264)</f>
        <v/>
      </c>
    </row>
    <row r="1265">
      <c r="A1265" s="1" t="n"/>
      <c r="B1265" s="20" t="n"/>
      <c r="C1265" s="21" t="n"/>
      <c r="D1265" s="22" t="n"/>
      <c r="E1265" s="23" t="n"/>
      <c r="F1265" s="22" t="n"/>
      <c r="G1265" s="14">
        <f>IF(OR(B1265="",E1265="",J1265="",K1265=""),"",IF(E1265&lt;J1265,"Below",IF(E1265&gt;K1265,"Above","In range")))</f>
        <v/>
      </c>
      <c r="H1265" s="1" t="n"/>
      <c r="J1265">
        <f>IF(M1265="","",IF(INDEX(Settings!$C$10:$C$18,M1265)="","",INDEX(Settings!$C$10:$C$18,M1265)))</f>
        <v/>
      </c>
      <c r="K1265">
        <f>IF(M1265="","",IF(INDEX(Settings!$D$10:$D$18,M1265)="","",INDEX(Settings!$D$10:$D$18,M1265)))</f>
        <v/>
      </c>
      <c r="L1265">
        <f>IF(OR(B1265="",E1265=""),"",B1265+MOD(N(C1265),1)+ROW()/10000000)</f>
        <v/>
      </c>
      <c r="M1265">
        <f>IF(D1265="","",IFERROR(MATCH(D1265,Settings!$B$10:$B$18,0),""))</f>
        <v/>
      </c>
      <c r="N1265">
        <f>IF(OR(B1265="",E1265="",M1265=""),"",IF(AND(B1265&gt;=Settings!$C$6,B1265&lt;=Settings!$C$7),M1265*10000+E1265,""))</f>
        <v/>
      </c>
      <c r="O1265">
        <f>IF(OR(B1265="",E1265=""),"",B1265*10000+E1265)</f>
        <v/>
      </c>
      <c r="P1265">
        <f>IF(N1265="","",E1265)</f>
        <v/>
      </c>
    </row>
    <row r="1266">
      <c r="A1266" s="1" t="n"/>
      <c r="B1266" s="20" t="n"/>
      <c r="C1266" s="21" t="n"/>
      <c r="D1266" s="22" t="n"/>
      <c r="E1266" s="23" t="n"/>
      <c r="F1266" s="22" t="n"/>
      <c r="G1266" s="14">
        <f>IF(OR(B1266="",E1266="",J1266="",K1266=""),"",IF(E1266&lt;J1266,"Below",IF(E1266&gt;K1266,"Above","In range")))</f>
        <v/>
      </c>
      <c r="H1266" s="1" t="n"/>
      <c r="J1266">
        <f>IF(M1266="","",IF(INDEX(Settings!$C$10:$C$18,M1266)="","",INDEX(Settings!$C$10:$C$18,M1266)))</f>
        <v/>
      </c>
      <c r="K1266">
        <f>IF(M1266="","",IF(INDEX(Settings!$D$10:$D$18,M1266)="","",INDEX(Settings!$D$10:$D$18,M1266)))</f>
        <v/>
      </c>
      <c r="L1266">
        <f>IF(OR(B1266="",E1266=""),"",B1266+MOD(N(C1266),1)+ROW()/10000000)</f>
        <v/>
      </c>
      <c r="M1266">
        <f>IF(D1266="","",IFERROR(MATCH(D1266,Settings!$B$10:$B$18,0),""))</f>
        <v/>
      </c>
      <c r="N1266">
        <f>IF(OR(B1266="",E1266="",M1266=""),"",IF(AND(B1266&gt;=Settings!$C$6,B1266&lt;=Settings!$C$7),M1266*10000+E1266,""))</f>
        <v/>
      </c>
      <c r="O1266">
        <f>IF(OR(B1266="",E1266=""),"",B1266*10000+E1266)</f>
        <v/>
      </c>
      <c r="P1266">
        <f>IF(N1266="","",E1266)</f>
        <v/>
      </c>
    </row>
    <row r="1267">
      <c r="A1267" s="1" t="n"/>
      <c r="B1267" s="20" t="n"/>
      <c r="C1267" s="21" t="n"/>
      <c r="D1267" s="22" t="n"/>
      <c r="E1267" s="23" t="n"/>
      <c r="F1267" s="22" t="n"/>
      <c r="G1267" s="14">
        <f>IF(OR(B1267="",E1267="",J1267="",K1267=""),"",IF(E1267&lt;J1267,"Below",IF(E1267&gt;K1267,"Above","In range")))</f>
        <v/>
      </c>
      <c r="H1267" s="1" t="n"/>
      <c r="J1267">
        <f>IF(M1267="","",IF(INDEX(Settings!$C$10:$C$18,M1267)="","",INDEX(Settings!$C$10:$C$18,M1267)))</f>
        <v/>
      </c>
      <c r="K1267">
        <f>IF(M1267="","",IF(INDEX(Settings!$D$10:$D$18,M1267)="","",INDEX(Settings!$D$10:$D$18,M1267)))</f>
        <v/>
      </c>
      <c r="L1267">
        <f>IF(OR(B1267="",E1267=""),"",B1267+MOD(N(C1267),1)+ROW()/10000000)</f>
        <v/>
      </c>
      <c r="M1267">
        <f>IF(D1267="","",IFERROR(MATCH(D1267,Settings!$B$10:$B$18,0),""))</f>
        <v/>
      </c>
      <c r="N1267">
        <f>IF(OR(B1267="",E1267="",M1267=""),"",IF(AND(B1267&gt;=Settings!$C$6,B1267&lt;=Settings!$C$7),M1267*10000+E1267,""))</f>
        <v/>
      </c>
      <c r="O1267">
        <f>IF(OR(B1267="",E1267=""),"",B1267*10000+E1267)</f>
        <v/>
      </c>
      <c r="P1267">
        <f>IF(N1267="","",E1267)</f>
        <v/>
      </c>
    </row>
    <row r="1268">
      <c r="A1268" s="1" t="n"/>
      <c r="B1268" s="20" t="n"/>
      <c r="C1268" s="21" t="n"/>
      <c r="D1268" s="22" t="n"/>
      <c r="E1268" s="23" t="n"/>
      <c r="F1268" s="22" t="n"/>
      <c r="G1268" s="14">
        <f>IF(OR(B1268="",E1268="",J1268="",K1268=""),"",IF(E1268&lt;J1268,"Below",IF(E1268&gt;K1268,"Above","In range")))</f>
        <v/>
      </c>
      <c r="H1268" s="1" t="n"/>
      <c r="J1268">
        <f>IF(M1268="","",IF(INDEX(Settings!$C$10:$C$18,M1268)="","",INDEX(Settings!$C$10:$C$18,M1268)))</f>
        <v/>
      </c>
      <c r="K1268">
        <f>IF(M1268="","",IF(INDEX(Settings!$D$10:$D$18,M1268)="","",INDEX(Settings!$D$10:$D$18,M1268)))</f>
        <v/>
      </c>
      <c r="L1268">
        <f>IF(OR(B1268="",E1268=""),"",B1268+MOD(N(C1268),1)+ROW()/10000000)</f>
        <v/>
      </c>
      <c r="M1268">
        <f>IF(D1268="","",IFERROR(MATCH(D1268,Settings!$B$10:$B$18,0),""))</f>
        <v/>
      </c>
      <c r="N1268">
        <f>IF(OR(B1268="",E1268="",M1268=""),"",IF(AND(B1268&gt;=Settings!$C$6,B1268&lt;=Settings!$C$7),M1268*10000+E1268,""))</f>
        <v/>
      </c>
      <c r="O1268">
        <f>IF(OR(B1268="",E1268=""),"",B1268*10000+E1268)</f>
        <v/>
      </c>
      <c r="P1268">
        <f>IF(N1268="","",E1268)</f>
        <v/>
      </c>
    </row>
    <row r="1269">
      <c r="A1269" s="1" t="n"/>
      <c r="B1269" s="20" t="n"/>
      <c r="C1269" s="21" t="n"/>
      <c r="D1269" s="22" t="n"/>
      <c r="E1269" s="23" t="n"/>
      <c r="F1269" s="22" t="n"/>
      <c r="G1269" s="14">
        <f>IF(OR(B1269="",E1269="",J1269="",K1269=""),"",IF(E1269&lt;J1269,"Below",IF(E1269&gt;K1269,"Above","In range")))</f>
        <v/>
      </c>
      <c r="H1269" s="1" t="n"/>
      <c r="J1269">
        <f>IF(M1269="","",IF(INDEX(Settings!$C$10:$C$18,M1269)="","",INDEX(Settings!$C$10:$C$18,M1269)))</f>
        <v/>
      </c>
      <c r="K1269">
        <f>IF(M1269="","",IF(INDEX(Settings!$D$10:$D$18,M1269)="","",INDEX(Settings!$D$10:$D$18,M1269)))</f>
        <v/>
      </c>
      <c r="L1269">
        <f>IF(OR(B1269="",E1269=""),"",B1269+MOD(N(C1269),1)+ROW()/10000000)</f>
        <v/>
      </c>
      <c r="M1269">
        <f>IF(D1269="","",IFERROR(MATCH(D1269,Settings!$B$10:$B$18,0),""))</f>
        <v/>
      </c>
      <c r="N1269">
        <f>IF(OR(B1269="",E1269="",M1269=""),"",IF(AND(B1269&gt;=Settings!$C$6,B1269&lt;=Settings!$C$7),M1269*10000+E1269,""))</f>
        <v/>
      </c>
      <c r="O1269">
        <f>IF(OR(B1269="",E1269=""),"",B1269*10000+E1269)</f>
        <v/>
      </c>
      <c r="P1269">
        <f>IF(N1269="","",E1269)</f>
        <v/>
      </c>
    </row>
    <row r="1270">
      <c r="A1270" s="1" t="n"/>
      <c r="B1270" s="20" t="n"/>
      <c r="C1270" s="21" t="n"/>
      <c r="D1270" s="22" t="n"/>
      <c r="E1270" s="23" t="n"/>
      <c r="F1270" s="22" t="n"/>
      <c r="G1270" s="14">
        <f>IF(OR(B1270="",E1270="",J1270="",K1270=""),"",IF(E1270&lt;J1270,"Below",IF(E1270&gt;K1270,"Above","In range")))</f>
        <v/>
      </c>
      <c r="H1270" s="1" t="n"/>
      <c r="J1270">
        <f>IF(M1270="","",IF(INDEX(Settings!$C$10:$C$18,M1270)="","",INDEX(Settings!$C$10:$C$18,M1270)))</f>
        <v/>
      </c>
      <c r="K1270">
        <f>IF(M1270="","",IF(INDEX(Settings!$D$10:$D$18,M1270)="","",INDEX(Settings!$D$10:$D$18,M1270)))</f>
        <v/>
      </c>
      <c r="L1270">
        <f>IF(OR(B1270="",E1270=""),"",B1270+MOD(N(C1270),1)+ROW()/10000000)</f>
        <v/>
      </c>
      <c r="M1270">
        <f>IF(D1270="","",IFERROR(MATCH(D1270,Settings!$B$10:$B$18,0),""))</f>
        <v/>
      </c>
      <c r="N1270">
        <f>IF(OR(B1270="",E1270="",M1270=""),"",IF(AND(B1270&gt;=Settings!$C$6,B1270&lt;=Settings!$C$7),M1270*10000+E1270,""))</f>
        <v/>
      </c>
      <c r="O1270">
        <f>IF(OR(B1270="",E1270=""),"",B1270*10000+E1270)</f>
        <v/>
      </c>
      <c r="P1270">
        <f>IF(N1270="","",E1270)</f>
        <v/>
      </c>
    </row>
    <row r="1271">
      <c r="A1271" s="1" t="n"/>
      <c r="B1271" s="20" t="n"/>
      <c r="C1271" s="21" t="n"/>
      <c r="D1271" s="22" t="n"/>
      <c r="E1271" s="23" t="n"/>
      <c r="F1271" s="22" t="n"/>
      <c r="G1271" s="14">
        <f>IF(OR(B1271="",E1271="",J1271="",K1271=""),"",IF(E1271&lt;J1271,"Below",IF(E1271&gt;K1271,"Above","In range")))</f>
        <v/>
      </c>
      <c r="H1271" s="1" t="n"/>
      <c r="J1271">
        <f>IF(M1271="","",IF(INDEX(Settings!$C$10:$C$18,M1271)="","",INDEX(Settings!$C$10:$C$18,M1271)))</f>
        <v/>
      </c>
      <c r="K1271">
        <f>IF(M1271="","",IF(INDEX(Settings!$D$10:$D$18,M1271)="","",INDEX(Settings!$D$10:$D$18,M1271)))</f>
        <v/>
      </c>
      <c r="L1271">
        <f>IF(OR(B1271="",E1271=""),"",B1271+MOD(N(C1271),1)+ROW()/10000000)</f>
        <v/>
      </c>
      <c r="M1271">
        <f>IF(D1271="","",IFERROR(MATCH(D1271,Settings!$B$10:$B$18,0),""))</f>
        <v/>
      </c>
      <c r="N1271">
        <f>IF(OR(B1271="",E1271="",M1271=""),"",IF(AND(B1271&gt;=Settings!$C$6,B1271&lt;=Settings!$C$7),M1271*10000+E1271,""))</f>
        <v/>
      </c>
      <c r="O1271">
        <f>IF(OR(B1271="",E1271=""),"",B1271*10000+E1271)</f>
        <v/>
      </c>
      <c r="P1271">
        <f>IF(N1271="","",E1271)</f>
        <v/>
      </c>
    </row>
    <row r="1272">
      <c r="A1272" s="1" t="n"/>
      <c r="B1272" s="20" t="n"/>
      <c r="C1272" s="21" t="n"/>
      <c r="D1272" s="22" t="n"/>
      <c r="E1272" s="23" t="n"/>
      <c r="F1272" s="22" t="n"/>
      <c r="G1272" s="14">
        <f>IF(OR(B1272="",E1272="",J1272="",K1272=""),"",IF(E1272&lt;J1272,"Below",IF(E1272&gt;K1272,"Above","In range")))</f>
        <v/>
      </c>
      <c r="H1272" s="1" t="n"/>
      <c r="J1272">
        <f>IF(M1272="","",IF(INDEX(Settings!$C$10:$C$18,M1272)="","",INDEX(Settings!$C$10:$C$18,M1272)))</f>
        <v/>
      </c>
      <c r="K1272">
        <f>IF(M1272="","",IF(INDEX(Settings!$D$10:$D$18,M1272)="","",INDEX(Settings!$D$10:$D$18,M1272)))</f>
        <v/>
      </c>
      <c r="L1272">
        <f>IF(OR(B1272="",E1272=""),"",B1272+MOD(N(C1272),1)+ROW()/10000000)</f>
        <v/>
      </c>
      <c r="M1272">
        <f>IF(D1272="","",IFERROR(MATCH(D1272,Settings!$B$10:$B$18,0),""))</f>
        <v/>
      </c>
      <c r="N1272">
        <f>IF(OR(B1272="",E1272="",M1272=""),"",IF(AND(B1272&gt;=Settings!$C$6,B1272&lt;=Settings!$C$7),M1272*10000+E1272,""))</f>
        <v/>
      </c>
      <c r="O1272">
        <f>IF(OR(B1272="",E1272=""),"",B1272*10000+E1272)</f>
        <v/>
      </c>
      <c r="P1272">
        <f>IF(N1272="","",E1272)</f>
        <v/>
      </c>
    </row>
    <row r="1273">
      <c r="A1273" s="1" t="n"/>
      <c r="B1273" s="20" t="n"/>
      <c r="C1273" s="21" t="n"/>
      <c r="D1273" s="22" t="n"/>
      <c r="E1273" s="23" t="n"/>
      <c r="F1273" s="22" t="n"/>
      <c r="G1273" s="14">
        <f>IF(OR(B1273="",E1273="",J1273="",K1273=""),"",IF(E1273&lt;J1273,"Below",IF(E1273&gt;K1273,"Above","In range")))</f>
        <v/>
      </c>
      <c r="H1273" s="1" t="n"/>
      <c r="J1273">
        <f>IF(M1273="","",IF(INDEX(Settings!$C$10:$C$18,M1273)="","",INDEX(Settings!$C$10:$C$18,M1273)))</f>
        <v/>
      </c>
      <c r="K1273">
        <f>IF(M1273="","",IF(INDEX(Settings!$D$10:$D$18,M1273)="","",INDEX(Settings!$D$10:$D$18,M1273)))</f>
        <v/>
      </c>
      <c r="L1273">
        <f>IF(OR(B1273="",E1273=""),"",B1273+MOD(N(C1273),1)+ROW()/10000000)</f>
        <v/>
      </c>
      <c r="M1273">
        <f>IF(D1273="","",IFERROR(MATCH(D1273,Settings!$B$10:$B$18,0),""))</f>
        <v/>
      </c>
      <c r="N1273">
        <f>IF(OR(B1273="",E1273="",M1273=""),"",IF(AND(B1273&gt;=Settings!$C$6,B1273&lt;=Settings!$C$7),M1273*10000+E1273,""))</f>
        <v/>
      </c>
      <c r="O1273">
        <f>IF(OR(B1273="",E1273=""),"",B1273*10000+E1273)</f>
        <v/>
      </c>
      <c r="P1273">
        <f>IF(N1273="","",E1273)</f>
        <v/>
      </c>
    </row>
    <row r="1274">
      <c r="A1274" s="1" t="n"/>
      <c r="B1274" s="20" t="n"/>
      <c r="C1274" s="21" t="n"/>
      <c r="D1274" s="22" t="n"/>
      <c r="E1274" s="23" t="n"/>
      <c r="F1274" s="22" t="n"/>
      <c r="G1274" s="14">
        <f>IF(OR(B1274="",E1274="",J1274="",K1274=""),"",IF(E1274&lt;J1274,"Below",IF(E1274&gt;K1274,"Above","In range")))</f>
        <v/>
      </c>
      <c r="H1274" s="1" t="n"/>
      <c r="J1274">
        <f>IF(M1274="","",IF(INDEX(Settings!$C$10:$C$18,M1274)="","",INDEX(Settings!$C$10:$C$18,M1274)))</f>
        <v/>
      </c>
      <c r="K1274">
        <f>IF(M1274="","",IF(INDEX(Settings!$D$10:$D$18,M1274)="","",INDEX(Settings!$D$10:$D$18,M1274)))</f>
        <v/>
      </c>
      <c r="L1274">
        <f>IF(OR(B1274="",E1274=""),"",B1274+MOD(N(C1274),1)+ROW()/10000000)</f>
        <v/>
      </c>
      <c r="M1274">
        <f>IF(D1274="","",IFERROR(MATCH(D1274,Settings!$B$10:$B$18,0),""))</f>
        <v/>
      </c>
      <c r="N1274">
        <f>IF(OR(B1274="",E1274="",M1274=""),"",IF(AND(B1274&gt;=Settings!$C$6,B1274&lt;=Settings!$C$7),M1274*10000+E1274,""))</f>
        <v/>
      </c>
      <c r="O1274">
        <f>IF(OR(B1274="",E1274=""),"",B1274*10000+E1274)</f>
        <v/>
      </c>
      <c r="P1274">
        <f>IF(N1274="","",E1274)</f>
        <v/>
      </c>
    </row>
    <row r="1275">
      <c r="A1275" s="1" t="n"/>
      <c r="B1275" s="20" t="n"/>
      <c r="C1275" s="21" t="n"/>
      <c r="D1275" s="22" t="n"/>
      <c r="E1275" s="23" t="n"/>
      <c r="F1275" s="22" t="n"/>
      <c r="G1275" s="14">
        <f>IF(OR(B1275="",E1275="",J1275="",K1275=""),"",IF(E1275&lt;J1275,"Below",IF(E1275&gt;K1275,"Above","In range")))</f>
        <v/>
      </c>
      <c r="H1275" s="1" t="n"/>
      <c r="J1275">
        <f>IF(M1275="","",IF(INDEX(Settings!$C$10:$C$18,M1275)="","",INDEX(Settings!$C$10:$C$18,M1275)))</f>
        <v/>
      </c>
      <c r="K1275">
        <f>IF(M1275="","",IF(INDEX(Settings!$D$10:$D$18,M1275)="","",INDEX(Settings!$D$10:$D$18,M1275)))</f>
        <v/>
      </c>
      <c r="L1275">
        <f>IF(OR(B1275="",E1275=""),"",B1275+MOD(N(C1275),1)+ROW()/10000000)</f>
        <v/>
      </c>
      <c r="M1275">
        <f>IF(D1275="","",IFERROR(MATCH(D1275,Settings!$B$10:$B$18,0),""))</f>
        <v/>
      </c>
      <c r="N1275">
        <f>IF(OR(B1275="",E1275="",M1275=""),"",IF(AND(B1275&gt;=Settings!$C$6,B1275&lt;=Settings!$C$7),M1275*10000+E1275,""))</f>
        <v/>
      </c>
      <c r="O1275">
        <f>IF(OR(B1275="",E1275=""),"",B1275*10000+E1275)</f>
        <v/>
      </c>
      <c r="P1275">
        <f>IF(N1275="","",E1275)</f>
        <v/>
      </c>
    </row>
    <row r="1276">
      <c r="A1276" s="1" t="n"/>
      <c r="B1276" s="20" t="n"/>
      <c r="C1276" s="21" t="n"/>
      <c r="D1276" s="22" t="n"/>
      <c r="E1276" s="23" t="n"/>
      <c r="F1276" s="22" t="n"/>
      <c r="G1276" s="14">
        <f>IF(OR(B1276="",E1276="",J1276="",K1276=""),"",IF(E1276&lt;J1276,"Below",IF(E1276&gt;K1276,"Above","In range")))</f>
        <v/>
      </c>
      <c r="H1276" s="1" t="n"/>
      <c r="J1276">
        <f>IF(M1276="","",IF(INDEX(Settings!$C$10:$C$18,M1276)="","",INDEX(Settings!$C$10:$C$18,M1276)))</f>
        <v/>
      </c>
      <c r="K1276">
        <f>IF(M1276="","",IF(INDEX(Settings!$D$10:$D$18,M1276)="","",INDEX(Settings!$D$10:$D$18,M1276)))</f>
        <v/>
      </c>
      <c r="L1276">
        <f>IF(OR(B1276="",E1276=""),"",B1276+MOD(N(C1276),1)+ROW()/10000000)</f>
        <v/>
      </c>
      <c r="M1276">
        <f>IF(D1276="","",IFERROR(MATCH(D1276,Settings!$B$10:$B$18,0),""))</f>
        <v/>
      </c>
      <c r="N1276">
        <f>IF(OR(B1276="",E1276="",M1276=""),"",IF(AND(B1276&gt;=Settings!$C$6,B1276&lt;=Settings!$C$7),M1276*10000+E1276,""))</f>
        <v/>
      </c>
      <c r="O1276">
        <f>IF(OR(B1276="",E1276=""),"",B1276*10000+E1276)</f>
        <v/>
      </c>
      <c r="P1276">
        <f>IF(N1276="","",E1276)</f>
        <v/>
      </c>
    </row>
    <row r="1277">
      <c r="A1277" s="1" t="n"/>
      <c r="B1277" s="20" t="n"/>
      <c r="C1277" s="21" t="n"/>
      <c r="D1277" s="22" t="n"/>
      <c r="E1277" s="23" t="n"/>
      <c r="F1277" s="22" t="n"/>
      <c r="G1277" s="14">
        <f>IF(OR(B1277="",E1277="",J1277="",K1277=""),"",IF(E1277&lt;J1277,"Below",IF(E1277&gt;K1277,"Above","In range")))</f>
        <v/>
      </c>
      <c r="H1277" s="1" t="n"/>
      <c r="J1277">
        <f>IF(M1277="","",IF(INDEX(Settings!$C$10:$C$18,M1277)="","",INDEX(Settings!$C$10:$C$18,M1277)))</f>
        <v/>
      </c>
      <c r="K1277">
        <f>IF(M1277="","",IF(INDEX(Settings!$D$10:$D$18,M1277)="","",INDEX(Settings!$D$10:$D$18,M1277)))</f>
        <v/>
      </c>
      <c r="L1277">
        <f>IF(OR(B1277="",E1277=""),"",B1277+MOD(N(C1277),1)+ROW()/10000000)</f>
        <v/>
      </c>
      <c r="M1277">
        <f>IF(D1277="","",IFERROR(MATCH(D1277,Settings!$B$10:$B$18,0),""))</f>
        <v/>
      </c>
      <c r="N1277">
        <f>IF(OR(B1277="",E1277="",M1277=""),"",IF(AND(B1277&gt;=Settings!$C$6,B1277&lt;=Settings!$C$7),M1277*10000+E1277,""))</f>
        <v/>
      </c>
      <c r="O1277">
        <f>IF(OR(B1277="",E1277=""),"",B1277*10000+E1277)</f>
        <v/>
      </c>
      <c r="P1277">
        <f>IF(N1277="","",E1277)</f>
        <v/>
      </c>
    </row>
    <row r="1278">
      <c r="A1278" s="1" t="n"/>
      <c r="B1278" s="20" t="n"/>
      <c r="C1278" s="21" t="n"/>
      <c r="D1278" s="22" t="n"/>
      <c r="E1278" s="23" t="n"/>
      <c r="F1278" s="22" t="n"/>
      <c r="G1278" s="14">
        <f>IF(OR(B1278="",E1278="",J1278="",K1278=""),"",IF(E1278&lt;J1278,"Below",IF(E1278&gt;K1278,"Above","In range")))</f>
        <v/>
      </c>
      <c r="H1278" s="1" t="n"/>
      <c r="J1278">
        <f>IF(M1278="","",IF(INDEX(Settings!$C$10:$C$18,M1278)="","",INDEX(Settings!$C$10:$C$18,M1278)))</f>
        <v/>
      </c>
      <c r="K1278">
        <f>IF(M1278="","",IF(INDEX(Settings!$D$10:$D$18,M1278)="","",INDEX(Settings!$D$10:$D$18,M1278)))</f>
        <v/>
      </c>
      <c r="L1278">
        <f>IF(OR(B1278="",E1278=""),"",B1278+MOD(N(C1278),1)+ROW()/10000000)</f>
        <v/>
      </c>
      <c r="M1278">
        <f>IF(D1278="","",IFERROR(MATCH(D1278,Settings!$B$10:$B$18,0),""))</f>
        <v/>
      </c>
      <c r="N1278">
        <f>IF(OR(B1278="",E1278="",M1278=""),"",IF(AND(B1278&gt;=Settings!$C$6,B1278&lt;=Settings!$C$7),M1278*10000+E1278,""))</f>
        <v/>
      </c>
      <c r="O1278">
        <f>IF(OR(B1278="",E1278=""),"",B1278*10000+E1278)</f>
        <v/>
      </c>
      <c r="P1278">
        <f>IF(N1278="","",E1278)</f>
        <v/>
      </c>
    </row>
    <row r="1279">
      <c r="A1279" s="1" t="n"/>
      <c r="B1279" s="20" t="n"/>
      <c r="C1279" s="21" t="n"/>
      <c r="D1279" s="22" t="n"/>
      <c r="E1279" s="23" t="n"/>
      <c r="F1279" s="22" t="n"/>
      <c r="G1279" s="14">
        <f>IF(OR(B1279="",E1279="",J1279="",K1279=""),"",IF(E1279&lt;J1279,"Below",IF(E1279&gt;K1279,"Above","In range")))</f>
        <v/>
      </c>
      <c r="H1279" s="1" t="n"/>
      <c r="J1279">
        <f>IF(M1279="","",IF(INDEX(Settings!$C$10:$C$18,M1279)="","",INDEX(Settings!$C$10:$C$18,M1279)))</f>
        <v/>
      </c>
      <c r="K1279">
        <f>IF(M1279="","",IF(INDEX(Settings!$D$10:$D$18,M1279)="","",INDEX(Settings!$D$10:$D$18,M1279)))</f>
        <v/>
      </c>
      <c r="L1279">
        <f>IF(OR(B1279="",E1279=""),"",B1279+MOD(N(C1279),1)+ROW()/10000000)</f>
        <v/>
      </c>
      <c r="M1279">
        <f>IF(D1279="","",IFERROR(MATCH(D1279,Settings!$B$10:$B$18,0),""))</f>
        <v/>
      </c>
      <c r="N1279">
        <f>IF(OR(B1279="",E1279="",M1279=""),"",IF(AND(B1279&gt;=Settings!$C$6,B1279&lt;=Settings!$C$7),M1279*10000+E1279,""))</f>
        <v/>
      </c>
      <c r="O1279">
        <f>IF(OR(B1279="",E1279=""),"",B1279*10000+E1279)</f>
        <v/>
      </c>
      <c r="P1279">
        <f>IF(N1279="","",E1279)</f>
        <v/>
      </c>
    </row>
    <row r="1280">
      <c r="A1280" s="1" t="n"/>
      <c r="B1280" s="20" t="n"/>
      <c r="C1280" s="21" t="n"/>
      <c r="D1280" s="22" t="n"/>
      <c r="E1280" s="23" t="n"/>
      <c r="F1280" s="22" t="n"/>
      <c r="G1280" s="14">
        <f>IF(OR(B1280="",E1280="",J1280="",K1280=""),"",IF(E1280&lt;J1280,"Below",IF(E1280&gt;K1280,"Above","In range")))</f>
        <v/>
      </c>
      <c r="H1280" s="1" t="n"/>
      <c r="J1280">
        <f>IF(M1280="","",IF(INDEX(Settings!$C$10:$C$18,M1280)="","",INDEX(Settings!$C$10:$C$18,M1280)))</f>
        <v/>
      </c>
      <c r="K1280">
        <f>IF(M1280="","",IF(INDEX(Settings!$D$10:$D$18,M1280)="","",INDEX(Settings!$D$10:$D$18,M1280)))</f>
        <v/>
      </c>
      <c r="L1280">
        <f>IF(OR(B1280="",E1280=""),"",B1280+MOD(N(C1280),1)+ROW()/10000000)</f>
        <v/>
      </c>
      <c r="M1280">
        <f>IF(D1280="","",IFERROR(MATCH(D1280,Settings!$B$10:$B$18,0),""))</f>
        <v/>
      </c>
      <c r="N1280">
        <f>IF(OR(B1280="",E1280="",M1280=""),"",IF(AND(B1280&gt;=Settings!$C$6,B1280&lt;=Settings!$C$7),M1280*10000+E1280,""))</f>
        <v/>
      </c>
      <c r="O1280">
        <f>IF(OR(B1280="",E1280=""),"",B1280*10000+E1280)</f>
        <v/>
      </c>
      <c r="P1280">
        <f>IF(N1280="","",E1280)</f>
        <v/>
      </c>
    </row>
    <row r="1281">
      <c r="A1281" s="1" t="n"/>
      <c r="B1281" s="20" t="n"/>
      <c r="C1281" s="21" t="n"/>
      <c r="D1281" s="22" t="n"/>
      <c r="E1281" s="23" t="n"/>
      <c r="F1281" s="22" t="n"/>
      <c r="G1281" s="14">
        <f>IF(OR(B1281="",E1281="",J1281="",K1281=""),"",IF(E1281&lt;J1281,"Below",IF(E1281&gt;K1281,"Above","In range")))</f>
        <v/>
      </c>
      <c r="H1281" s="1" t="n"/>
      <c r="J1281">
        <f>IF(M1281="","",IF(INDEX(Settings!$C$10:$C$18,M1281)="","",INDEX(Settings!$C$10:$C$18,M1281)))</f>
        <v/>
      </c>
      <c r="K1281">
        <f>IF(M1281="","",IF(INDEX(Settings!$D$10:$D$18,M1281)="","",INDEX(Settings!$D$10:$D$18,M1281)))</f>
        <v/>
      </c>
      <c r="L1281">
        <f>IF(OR(B1281="",E1281=""),"",B1281+MOD(N(C1281),1)+ROW()/10000000)</f>
        <v/>
      </c>
      <c r="M1281">
        <f>IF(D1281="","",IFERROR(MATCH(D1281,Settings!$B$10:$B$18,0),""))</f>
        <v/>
      </c>
      <c r="N1281">
        <f>IF(OR(B1281="",E1281="",M1281=""),"",IF(AND(B1281&gt;=Settings!$C$6,B1281&lt;=Settings!$C$7),M1281*10000+E1281,""))</f>
        <v/>
      </c>
      <c r="O1281">
        <f>IF(OR(B1281="",E1281=""),"",B1281*10000+E1281)</f>
        <v/>
      </c>
      <c r="P1281">
        <f>IF(N1281="","",E1281)</f>
        <v/>
      </c>
    </row>
    <row r="1282">
      <c r="A1282" s="1" t="n"/>
      <c r="B1282" s="20" t="n"/>
      <c r="C1282" s="21" t="n"/>
      <c r="D1282" s="22" t="n"/>
      <c r="E1282" s="23" t="n"/>
      <c r="F1282" s="22" t="n"/>
      <c r="G1282" s="14">
        <f>IF(OR(B1282="",E1282="",J1282="",K1282=""),"",IF(E1282&lt;J1282,"Below",IF(E1282&gt;K1282,"Above","In range")))</f>
        <v/>
      </c>
      <c r="H1282" s="1" t="n"/>
      <c r="J1282">
        <f>IF(M1282="","",IF(INDEX(Settings!$C$10:$C$18,M1282)="","",INDEX(Settings!$C$10:$C$18,M1282)))</f>
        <v/>
      </c>
      <c r="K1282">
        <f>IF(M1282="","",IF(INDEX(Settings!$D$10:$D$18,M1282)="","",INDEX(Settings!$D$10:$D$18,M1282)))</f>
        <v/>
      </c>
      <c r="L1282">
        <f>IF(OR(B1282="",E1282=""),"",B1282+MOD(N(C1282),1)+ROW()/10000000)</f>
        <v/>
      </c>
      <c r="M1282">
        <f>IF(D1282="","",IFERROR(MATCH(D1282,Settings!$B$10:$B$18,0),""))</f>
        <v/>
      </c>
      <c r="N1282">
        <f>IF(OR(B1282="",E1282="",M1282=""),"",IF(AND(B1282&gt;=Settings!$C$6,B1282&lt;=Settings!$C$7),M1282*10000+E1282,""))</f>
        <v/>
      </c>
      <c r="O1282">
        <f>IF(OR(B1282="",E1282=""),"",B1282*10000+E1282)</f>
        <v/>
      </c>
      <c r="P1282">
        <f>IF(N1282="","",E1282)</f>
        <v/>
      </c>
    </row>
    <row r="1283">
      <c r="A1283" s="1" t="n"/>
      <c r="B1283" s="20" t="n"/>
      <c r="C1283" s="21" t="n"/>
      <c r="D1283" s="22" t="n"/>
      <c r="E1283" s="23" t="n"/>
      <c r="F1283" s="22" t="n"/>
      <c r="G1283" s="14">
        <f>IF(OR(B1283="",E1283="",J1283="",K1283=""),"",IF(E1283&lt;J1283,"Below",IF(E1283&gt;K1283,"Above","In range")))</f>
        <v/>
      </c>
      <c r="H1283" s="1" t="n"/>
      <c r="J1283">
        <f>IF(M1283="","",IF(INDEX(Settings!$C$10:$C$18,M1283)="","",INDEX(Settings!$C$10:$C$18,M1283)))</f>
        <v/>
      </c>
      <c r="K1283">
        <f>IF(M1283="","",IF(INDEX(Settings!$D$10:$D$18,M1283)="","",INDEX(Settings!$D$10:$D$18,M1283)))</f>
        <v/>
      </c>
      <c r="L1283">
        <f>IF(OR(B1283="",E1283=""),"",B1283+MOD(N(C1283),1)+ROW()/10000000)</f>
        <v/>
      </c>
      <c r="M1283">
        <f>IF(D1283="","",IFERROR(MATCH(D1283,Settings!$B$10:$B$18,0),""))</f>
        <v/>
      </c>
      <c r="N1283">
        <f>IF(OR(B1283="",E1283="",M1283=""),"",IF(AND(B1283&gt;=Settings!$C$6,B1283&lt;=Settings!$C$7),M1283*10000+E1283,""))</f>
        <v/>
      </c>
      <c r="O1283">
        <f>IF(OR(B1283="",E1283=""),"",B1283*10000+E1283)</f>
        <v/>
      </c>
      <c r="P1283">
        <f>IF(N1283="","",E1283)</f>
        <v/>
      </c>
    </row>
    <row r="1284">
      <c r="A1284" s="1" t="n"/>
      <c r="B1284" s="20" t="n"/>
      <c r="C1284" s="21" t="n"/>
      <c r="D1284" s="22" t="n"/>
      <c r="E1284" s="23" t="n"/>
      <c r="F1284" s="22" t="n"/>
      <c r="G1284" s="14">
        <f>IF(OR(B1284="",E1284="",J1284="",K1284=""),"",IF(E1284&lt;J1284,"Below",IF(E1284&gt;K1284,"Above","In range")))</f>
        <v/>
      </c>
      <c r="H1284" s="1" t="n"/>
      <c r="J1284">
        <f>IF(M1284="","",IF(INDEX(Settings!$C$10:$C$18,M1284)="","",INDEX(Settings!$C$10:$C$18,M1284)))</f>
        <v/>
      </c>
      <c r="K1284">
        <f>IF(M1284="","",IF(INDEX(Settings!$D$10:$D$18,M1284)="","",INDEX(Settings!$D$10:$D$18,M1284)))</f>
        <v/>
      </c>
      <c r="L1284">
        <f>IF(OR(B1284="",E1284=""),"",B1284+MOD(N(C1284),1)+ROW()/10000000)</f>
        <v/>
      </c>
      <c r="M1284">
        <f>IF(D1284="","",IFERROR(MATCH(D1284,Settings!$B$10:$B$18,0),""))</f>
        <v/>
      </c>
      <c r="N1284">
        <f>IF(OR(B1284="",E1284="",M1284=""),"",IF(AND(B1284&gt;=Settings!$C$6,B1284&lt;=Settings!$C$7),M1284*10000+E1284,""))</f>
        <v/>
      </c>
      <c r="O1284">
        <f>IF(OR(B1284="",E1284=""),"",B1284*10000+E1284)</f>
        <v/>
      </c>
      <c r="P1284">
        <f>IF(N1284="","",E1284)</f>
        <v/>
      </c>
    </row>
    <row r="1285">
      <c r="A1285" s="1" t="n"/>
      <c r="B1285" s="20" t="n"/>
      <c r="C1285" s="21" t="n"/>
      <c r="D1285" s="22" t="n"/>
      <c r="E1285" s="23" t="n"/>
      <c r="F1285" s="22" t="n"/>
      <c r="G1285" s="14">
        <f>IF(OR(B1285="",E1285="",J1285="",K1285=""),"",IF(E1285&lt;J1285,"Below",IF(E1285&gt;K1285,"Above","In range")))</f>
        <v/>
      </c>
      <c r="H1285" s="1" t="n"/>
      <c r="J1285">
        <f>IF(M1285="","",IF(INDEX(Settings!$C$10:$C$18,M1285)="","",INDEX(Settings!$C$10:$C$18,M1285)))</f>
        <v/>
      </c>
      <c r="K1285">
        <f>IF(M1285="","",IF(INDEX(Settings!$D$10:$D$18,M1285)="","",INDEX(Settings!$D$10:$D$18,M1285)))</f>
        <v/>
      </c>
      <c r="L1285">
        <f>IF(OR(B1285="",E1285=""),"",B1285+MOD(N(C1285),1)+ROW()/10000000)</f>
        <v/>
      </c>
      <c r="M1285">
        <f>IF(D1285="","",IFERROR(MATCH(D1285,Settings!$B$10:$B$18,0),""))</f>
        <v/>
      </c>
      <c r="N1285">
        <f>IF(OR(B1285="",E1285="",M1285=""),"",IF(AND(B1285&gt;=Settings!$C$6,B1285&lt;=Settings!$C$7),M1285*10000+E1285,""))</f>
        <v/>
      </c>
      <c r="O1285">
        <f>IF(OR(B1285="",E1285=""),"",B1285*10000+E1285)</f>
        <v/>
      </c>
      <c r="P1285">
        <f>IF(N1285="","",E1285)</f>
        <v/>
      </c>
    </row>
    <row r="1286">
      <c r="A1286" s="1" t="n"/>
      <c r="B1286" s="20" t="n"/>
      <c r="C1286" s="21" t="n"/>
      <c r="D1286" s="22" t="n"/>
      <c r="E1286" s="23" t="n"/>
      <c r="F1286" s="22" t="n"/>
      <c r="G1286" s="14">
        <f>IF(OR(B1286="",E1286="",J1286="",K1286=""),"",IF(E1286&lt;J1286,"Below",IF(E1286&gt;K1286,"Above","In range")))</f>
        <v/>
      </c>
      <c r="H1286" s="1" t="n"/>
      <c r="J1286">
        <f>IF(M1286="","",IF(INDEX(Settings!$C$10:$C$18,M1286)="","",INDEX(Settings!$C$10:$C$18,M1286)))</f>
        <v/>
      </c>
      <c r="K1286">
        <f>IF(M1286="","",IF(INDEX(Settings!$D$10:$D$18,M1286)="","",INDEX(Settings!$D$10:$D$18,M1286)))</f>
        <v/>
      </c>
      <c r="L1286">
        <f>IF(OR(B1286="",E1286=""),"",B1286+MOD(N(C1286),1)+ROW()/10000000)</f>
        <v/>
      </c>
      <c r="M1286">
        <f>IF(D1286="","",IFERROR(MATCH(D1286,Settings!$B$10:$B$18,0),""))</f>
        <v/>
      </c>
      <c r="N1286">
        <f>IF(OR(B1286="",E1286="",M1286=""),"",IF(AND(B1286&gt;=Settings!$C$6,B1286&lt;=Settings!$C$7),M1286*10000+E1286,""))</f>
        <v/>
      </c>
      <c r="O1286">
        <f>IF(OR(B1286="",E1286=""),"",B1286*10000+E1286)</f>
        <v/>
      </c>
      <c r="P1286">
        <f>IF(N1286="","",E1286)</f>
        <v/>
      </c>
    </row>
    <row r="1287">
      <c r="A1287" s="1" t="n"/>
      <c r="B1287" s="20" t="n"/>
      <c r="C1287" s="21" t="n"/>
      <c r="D1287" s="22" t="n"/>
      <c r="E1287" s="23" t="n"/>
      <c r="F1287" s="22" t="n"/>
      <c r="G1287" s="14">
        <f>IF(OR(B1287="",E1287="",J1287="",K1287=""),"",IF(E1287&lt;J1287,"Below",IF(E1287&gt;K1287,"Above","In range")))</f>
        <v/>
      </c>
      <c r="H1287" s="1" t="n"/>
      <c r="J1287">
        <f>IF(M1287="","",IF(INDEX(Settings!$C$10:$C$18,M1287)="","",INDEX(Settings!$C$10:$C$18,M1287)))</f>
        <v/>
      </c>
      <c r="K1287">
        <f>IF(M1287="","",IF(INDEX(Settings!$D$10:$D$18,M1287)="","",INDEX(Settings!$D$10:$D$18,M1287)))</f>
        <v/>
      </c>
      <c r="L1287">
        <f>IF(OR(B1287="",E1287=""),"",B1287+MOD(N(C1287),1)+ROW()/10000000)</f>
        <v/>
      </c>
      <c r="M1287">
        <f>IF(D1287="","",IFERROR(MATCH(D1287,Settings!$B$10:$B$18,0),""))</f>
        <v/>
      </c>
      <c r="N1287">
        <f>IF(OR(B1287="",E1287="",M1287=""),"",IF(AND(B1287&gt;=Settings!$C$6,B1287&lt;=Settings!$C$7),M1287*10000+E1287,""))</f>
        <v/>
      </c>
      <c r="O1287">
        <f>IF(OR(B1287="",E1287=""),"",B1287*10000+E1287)</f>
        <v/>
      </c>
      <c r="P1287">
        <f>IF(N1287="","",E1287)</f>
        <v/>
      </c>
    </row>
    <row r="1288">
      <c r="A1288" s="1" t="n"/>
      <c r="B1288" s="20" t="n"/>
      <c r="C1288" s="21" t="n"/>
      <c r="D1288" s="22" t="n"/>
      <c r="E1288" s="23" t="n"/>
      <c r="F1288" s="22" t="n"/>
      <c r="G1288" s="14">
        <f>IF(OR(B1288="",E1288="",J1288="",K1288=""),"",IF(E1288&lt;J1288,"Below",IF(E1288&gt;K1288,"Above","In range")))</f>
        <v/>
      </c>
      <c r="H1288" s="1" t="n"/>
      <c r="J1288">
        <f>IF(M1288="","",IF(INDEX(Settings!$C$10:$C$18,M1288)="","",INDEX(Settings!$C$10:$C$18,M1288)))</f>
        <v/>
      </c>
      <c r="K1288">
        <f>IF(M1288="","",IF(INDEX(Settings!$D$10:$D$18,M1288)="","",INDEX(Settings!$D$10:$D$18,M1288)))</f>
        <v/>
      </c>
      <c r="L1288">
        <f>IF(OR(B1288="",E1288=""),"",B1288+MOD(N(C1288),1)+ROW()/10000000)</f>
        <v/>
      </c>
      <c r="M1288">
        <f>IF(D1288="","",IFERROR(MATCH(D1288,Settings!$B$10:$B$18,0),""))</f>
        <v/>
      </c>
      <c r="N1288">
        <f>IF(OR(B1288="",E1288="",M1288=""),"",IF(AND(B1288&gt;=Settings!$C$6,B1288&lt;=Settings!$C$7),M1288*10000+E1288,""))</f>
        <v/>
      </c>
      <c r="O1288">
        <f>IF(OR(B1288="",E1288=""),"",B1288*10000+E1288)</f>
        <v/>
      </c>
      <c r="P1288">
        <f>IF(N1288="","",E1288)</f>
        <v/>
      </c>
    </row>
    <row r="1289">
      <c r="A1289" s="1" t="n"/>
      <c r="B1289" s="20" t="n"/>
      <c r="C1289" s="21" t="n"/>
      <c r="D1289" s="22" t="n"/>
      <c r="E1289" s="23" t="n"/>
      <c r="F1289" s="22" t="n"/>
      <c r="G1289" s="14">
        <f>IF(OR(B1289="",E1289="",J1289="",K1289=""),"",IF(E1289&lt;J1289,"Below",IF(E1289&gt;K1289,"Above","In range")))</f>
        <v/>
      </c>
      <c r="H1289" s="1" t="n"/>
      <c r="J1289">
        <f>IF(M1289="","",IF(INDEX(Settings!$C$10:$C$18,M1289)="","",INDEX(Settings!$C$10:$C$18,M1289)))</f>
        <v/>
      </c>
      <c r="K1289">
        <f>IF(M1289="","",IF(INDEX(Settings!$D$10:$D$18,M1289)="","",INDEX(Settings!$D$10:$D$18,M1289)))</f>
        <v/>
      </c>
      <c r="L1289">
        <f>IF(OR(B1289="",E1289=""),"",B1289+MOD(N(C1289),1)+ROW()/10000000)</f>
        <v/>
      </c>
      <c r="M1289">
        <f>IF(D1289="","",IFERROR(MATCH(D1289,Settings!$B$10:$B$18,0),""))</f>
        <v/>
      </c>
      <c r="N1289">
        <f>IF(OR(B1289="",E1289="",M1289=""),"",IF(AND(B1289&gt;=Settings!$C$6,B1289&lt;=Settings!$C$7),M1289*10000+E1289,""))</f>
        <v/>
      </c>
      <c r="O1289">
        <f>IF(OR(B1289="",E1289=""),"",B1289*10000+E1289)</f>
        <v/>
      </c>
      <c r="P1289">
        <f>IF(N1289="","",E1289)</f>
        <v/>
      </c>
    </row>
    <row r="1290">
      <c r="A1290" s="1" t="n"/>
      <c r="B1290" s="20" t="n"/>
      <c r="C1290" s="21" t="n"/>
      <c r="D1290" s="22" t="n"/>
      <c r="E1290" s="23" t="n"/>
      <c r="F1290" s="22" t="n"/>
      <c r="G1290" s="14">
        <f>IF(OR(B1290="",E1290="",J1290="",K1290=""),"",IF(E1290&lt;J1290,"Below",IF(E1290&gt;K1290,"Above","In range")))</f>
        <v/>
      </c>
      <c r="H1290" s="1" t="n"/>
      <c r="J1290">
        <f>IF(M1290="","",IF(INDEX(Settings!$C$10:$C$18,M1290)="","",INDEX(Settings!$C$10:$C$18,M1290)))</f>
        <v/>
      </c>
      <c r="K1290">
        <f>IF(M1290="","",IF(INDEX(Settings!$D$10:$D$18,M1290)="","",INDEX(Settings!$D$10:$D$18,M1290)))</f>
        <v/>
      </c>
      <c r="L1290">
        <f>IF(OR(B1290="",E1290=""),"",B1290+MOD(N(C1290),1)+ROW()/10000000)</f>
        <v/>
      </c>
      <c r="M1290">
        <f>IF(D1290="","",IFERROR(MATCH(D1290,Settings!$B$10:$B$18,0),""))</f>
        <v/>
      </c>
      <c r="N1290">
        <f>IF(OR(B1290="",E1290="",M1290=""),"",IF(AND(B1290&gt;=Settings!$C$6,B1290&lt;=Settings!$C$7),M1290*10000+E1290,""))</f>
        <v/>
      </c>
      <c r="O1290">
        <f>IF(OR(B1290="",E1290=""),"",B1290*10000+E1290)</f>
        <v/>
      </c>
      <c r="P1290">
        <f>IF(N1290="","",E1290)</f>
        <v/>
      </c>
    </row>
    <row r="1291">
      <c r="A1291" s="1" t="n"/>
      <c r="B1291" s="20" t="n"/>
      <c r="C1291" s="21" t="n"/>
      <c r="D1291" s="22" t="n"/>
      <c r="E1291" s="23" t="n"/>
      <c r="F1291" s="22" t="n"/>
      <c r="G1291" s="14">
        <f>IF(OR(B1291="",E1291="",J1291="",K1291=""),"",IF(E1291&lt;J1291,"Below",IF(E1291&gt;K1291,"Above","In range")))</f>
        <v/>
      </c>
      <c r="H1291" s="1" t="n"/>
      <c r="J1291">
        <f>IF(M1291="","",IF(INDEX(Settings!$C$10:$C$18,M1291)="","",INDEX(Settings!$C$10:$C$18,M1291)))</f>
        <v/>
      </c>
      <c r="K1291">
        <f>IF(M1291="","",IF(INDEX(Settings!$D$10:$D$18,M1291)="","",INDEX(Settings!$D$10:$D$18,M1291)))</f>
        <v/>
      </c>
      <c r="L1291">
        <f>IF(OR(B1291="",E1291=""),"",B1291+MOD(N(C1291),1)+ROW()/10000000)</f>
        <v/>
      </c>
      <c r="M1291">
        <f>IF(D1291="","",IFERROR(MATCH(D1291,Settings!$B$10:$B$18,0),""))</f>
        <v/>
      </c>
      <c r="N1291">
        <f>IF(OR(B1291="",E1291="",M1291=""),"",IF(AND(B1291&gt;=Settings!$C$6,B1291&lt;=Settings!$C$7),M1291*10000+E1291,""))</f>
        <v/>
      </c>
      <c r="O1291">
        <f>IF(OR(B1291="",E1291=""),"",B1291*10000+E1291)</f>
        <v/>
      </c>
      <c r="P1291">
        <f>IF(N1291="","",E1291)</f>
        <v/>
      </c>
    </row>
    <row r="1292">
      <c r="A1292" s="1" t="n"/>
      <c r="B1292" s="20" t="n"/>
      <c r="C1292" s="21" t="n"/>
      <c r="D1292" s="22" t="n"/>
      <c r="E1292" s="23" t="n"/>
      <c r="F1292" s="22" t="n"/>
      <c r="G1292" s="14">
        <f>IF(OR(B1292="",E1292="",J1292="",K1292=""),"",IF(E1292&lt;J1292,"Below",IF(E1292&gt;K1292,"Above","In range")))</f>
        <v/>
      </c>
      <c r="H1292" s="1" t="n"/>
      <c r="J1292">
        <f>IF(M1292="","",IF(INDEX(Settings!$C$10:$C$18,M1292)="","",INDEX(Settings!$C$10:$C$18,M1292)))</f>
        <v/>
      </c>
      <c r="K1292">
        <f>IF(M1292="","",IF(INDEX(Settings!$D$10:$D$18,M1292)="","",INDEX(Settings!$D$10:$D$18,M1292)))</f>
        <v/>
      </c>
      <c r="L1292">
        <f>IF(OR(B1292="",E1292=""),"",B1292+MOD(N(C1292),1)+ROW()/10000000)</f>
        <v/>
      </c>
      <c r="M1292">
        <f>IF(D1292="","",IFERROR(MATCH(D1292,Settings!$B$10:$B$18,0),""))</f>
        <v/>
      </c>
      <c r="N1292">
        <f>IF(OR(B1292="",E1292="",M1292=""),"",IF(AND(B1292&gt;=Settings!$C$6,B1292&lt;=Settings!$C$7),M1292*10000+E1292,""))</f>
        <v/>
      </c>
      <c r="O1292">
        <f>IF(OR(B1292="",E1292=""),"",B1292*10000+E1292)</f>
        <v/>
      </c>
      <c r="P1292">
        <f>IF(N1292="","",E1292)</f>
        <v/>
      </c>
    </row>
    <row r="1293">
      <c r="A1293" s="1" t="n"/>
      <c r="B1293" s="20" t="n"/>
      <c r="C1293" s="21" t="n"/>
      <c r="D1293" s="22" t="n"/>
      <c r="E1293" s="23" t="n"/>
      <c r="F1293" s="22" t="n"/>
      <c r="G1293" s="14">
        <f>IF(OR(B1293="",E1293="",J1293="",K1293=""),"",IF(E1293&lt;J1293,"Below",IF(E1293&gt;K1293,"Above","In range")))</f>
        <v/>
      </c>
      <c r="H1293" s="1" t="n"/>
      <c r="J1293">
        <f>IF(M1293="","",IF(INDEX(Settings!$C$10:$C$18,M1293)="","",INDEX(Settings!$C$10:$C$18,M1293)))</f>
        <v/>
      </c>
      <c r="K1293">
        <f>IF(M1293="","",IF(INDEX(Settings!$D$10:$D$18,M1293)="","",INDEX(Settings!$D$10:$D$18,M1293)))</f>
        <v/>
      </c>
      <c r="L1293">
        <f>IF(OR(B1293="",E1293=""),"",B1293+MOD(N(C1293),1)+ROW()/10000000)</f>
        <v/>
      </c>
      <c r="M1293">
        <f>IF(D1293="","",IFERROR(MATCH(D1293,Settings!$B$10:$B$18,0),""))</f>
        <v/>
      </c>
      <c r="N1293">
        <f>IF(OR(B1293="",E1293="",M1293=""),"",IF(AND(B1293&gt;=Settings!$C$6,B1293&lt;=Settings!$C$7),M1293*10000+E1293,""))</f>
        <v/>
      </c>
      <c r="O1293">
        <f>IF(OR(B1293="",E1293=""),"",B1293*10000+E1293)</f>
        <v/>
      </c>
      <c r="P1293">
        <f>IF(N1293="","",E1293)</f>
        <v/>
      </c>
    </row>
    <row r="1294">
      <c r="A1294" s="1" t="n"/>
      <c r="B1294" s="20" t="n"/>
      <c r="C1294" s="21" t="n"/>
      <c r="D1294" s="22" t="n"/>
      <c r="E1294" s="23" t="n"/>
      <c r="F1294" s="22" t="n"/>
      <c r="G1294" s="14">
        <f>IF(OR(B1294="",E1294="",J1294="",K1294=""),"",IF(E1294&lt;J1294,"Below",IF(E1294&gt;K1294,"Above","In range")))</f>
        <v/>
      </c>
      <c r="H1294" s="1" t="n"/>
      <c r="J1294">
        <f>IF(M1294="","",IF(INDEX(Settings!$C$10:$C$18,M1294)="","",INDEX(Settings!$C$10:$C$18,M1294)))</f>
        <v/>
      </c>
      <c r="K1294">
        <f>IF(M1294="","",IF(INDEX(Settings!$D$10:$D$18,M1294)="","",INDEX(Settings!$D$10:$D$18,M1294)))</f>
        <v/>
      </c>
      <c r="L1294">
        <f>IF(OR(B1294="",E1294=""),"",B1294+MOD(N(C1294),1)+ROW()/10000000)</f>
        <v/>
      </c>
      <c r="M1294">
        <f>IF(D1294="","",IFERROR(MATCH(D1294,Settings!$B$10:$B$18,0),""))</f>
        <v/>
      </c>
      <c r="N1294">
        <f>IF(OR(B1294="",E1294="",M1294=""),"",IF(AND(B1294&gt;=Settings!$C$6,B1294&lt;=Settings!$C$7),M1294*10000+E1294,""))</f>
        <v/>
      </c>
      <c r="O1294">
        <f>IF(OR(B1294="",E1294=""),"",B1294*10000+E1294)</f>
        <v/>
      </c>
      <c r="P1294">
        <f>IF(N1294="","",E1294)</f>
        <v/>
      </c>
    </row>
    <row r="1295">
      <c r="A1295" s="1" t="n"/>
      <c r="B1295" s="20" t="n"/>
      <c r="C1295" s="21" t="n"/>
      <c r="D1295" s="22" t="n"/>
      <c r="E1295" s="23" t="n"/>
      <c r="F1295" s="22" t="n"/>
      <c r="G1295" s="14">
        <f>IF(OR(B1295="",E1295="",J1295="",K1295=""),"",IF(E1295&lt;J1295,"Below",IF(E1295&gt;K1295,"Above","In range")))</f>
        <v/>
      </c>
      <c r="H1295" s="1" t="n"/>
      <c r="J1295">
        <f>IF(M1295="","",IF(INDEX(Settings!$C$10:$C$18,M1295)="","",INDEX(Settings!$C$10:$C$18,M1295)))</f>
        <v/>
      </c>
      <c r="K1295">
        <f>IF(M1295="","",IF(INDEX(Settings!$D$10:$D$18,M1295)="","",INDEX(Settings!$D$10:$D$18,M1295)))</f>
        <v/>
      </c>
      <c r="L1295">
        <f>IF(OR(B1295="",E1295=""),"",B1295+MOD(N(C1295),1)+ROW()/10000000)</f>
        <v/>
      </c>
      <c r="M1295">
        <f>IF(D1295="","",IFERROR(MATCH(D1295,Settings!$B$10:$B$18,0),""))</f>
        <v/>
      </c>
      <c r="N1295">
        <f>IF(OR(B1295="",E1295="",M1295=""),"",IF(AND(B1295&gt;=Settings!$C$6,B1295&lt;=Settings!$C$7),M1295*10000+E1295,""))</f>
        <v/>
      </c>
      <c r="O1295">
        <f>IF(OR(B1295="",E1295=""),"",B1295*10000+E1295)</f>
        <v/>
      </c>
      <c r="P1295">
        <f>IF(N1295="","",E1295)</f>
        <v/>
      </c>
    </row>
    <row r="1296">
      <c r="A1296" s="1" t="n"/>
      <c r="B1296" s="20" t="n"/>
      <c r="C1296" s="21" t="n"/>
      <c r="D1296" s="22" t="n"/>
      <c r="E1296" s="23" t="n"/>
      <c r="F1296" s="22" t="n"/>
      <c r="G1296" s="14">
        <f>IF(OR(B1296="",E1296="",J1296="",K1296=""),"",IF(E1296&lt;J1296,"Below",IF(E1296&gt;K1296,"Above","In range")))</f>
        <v/>
      </c>
      <c r="H1296" s="1" t="n"/>
      <c r="J1296">
        <f>IF(M1296="","",IF(INDEX(Settings!$C$10:$C$18,M1296)="","",INDEX(Settings!$C$10:$C$18,M1296)))</f>
        <v/>
      </c>
      <c r="K1296">
        <f>IF(M1296="","",IF(INDEX(Settings!$D$10:$D$18,M1296)="","",INDEX(Settings!$D$10:$D$18,M1296)))</f>
        <v/>
      </c>
      <c r="L1296">
        <f>IF(OR(B1296="",E1296=""),"",B1296+MOD(N(C1296),1)+ROW()/10000000)</f>
        <v/>
      </c>
      <c r="M1296">
        <f>IF(D1296="","",IFERROR(MATCH(D1296,Settings!$B$10:$B$18,0),""))</f>
        <v/>
      </c>
      <c r="N1296">
        <f>IF(OR(B1296="",E1296="",M1296=""),"",IF(AND(B1296&gt;=Settings!$C$6,B1296&lt;=Settings!$C$7),M1296*10000+E1296,""))</f>
        <v/>
      </c>
      <c r="O1296">
        <f>IF(OR(B1296="",E1296=""),"",B1296*10000+E1296)</f>
        <v/>
      </c>
      <c r="P1296">
        <f>IF(N1296="","",E1296)</f>
        <v/>
      </c>
    </row>
    <row r="1297">
      <c r="A1297" s="1" t="n"/>
      <c r="B1297" s="20" t="n"/>
      <c r="C1297" s="21" t="n"/>
      <c r="D1297" s="22" t="n"/>
      <c r="E1297" s="23" t="n"/>
      <c r="F1297" s="22" t="n"/>
      <c r="G1297" s="14">
        <f>IF(OR(B1297="",E1297="",J1297="",K1297=""),"",IF(E1297&lt;J1297,"Below",IF(E1297&gt;K1297,"Above","In range")))</f>
        <v/>
      </c>
      <c r="H1297" s="1" t="n"/>
      <c r="J1297">
        <f>IF(M1297="","",IF(INDEX(Settings!$C$10:$C$18,M1297)="","",INDEX(Settings!$C$10:$C$18,M1297)))</f>
        <v/>
      </c>
      <c r="K1297">
        <f>IF(M1297="","",IF(INDEX(Settings!$D$10:$D$18,M1297)="","",INDEX(Settings!$D$10:$D$18,M1297)))</f>
        <v/>
      </c>
      <c r="L1297">
        <f>IF(OR(B1297="",E1297=""),"",B1297+MOD(N(C1297),1)+ROW()/10000000)</f>
        <v/>
      </c>
      <c r="M1297">
        <f>IF(D1297="","",IFERROR(MATCH(D1297,Settings!$B$10:$B$18,0),""))</f>
        <v/>
      </c>
      <c r="N1297">
        <f>IF(OR(B1297="",E1297="",M1297=""),"",IF(AND(B1297&gt;=Settings!$C$6,B1297&lt;=Settings!$C$7),M1297*10000+E1297,""))</f>
        <v/>
      </c>
      <c r="O1297">
        <f>IF(OR(B1297="",E1297=""),"",B1297*10000+E1297)</f>
        <v/>
      </c>
      <c r="P1297">
        <f>IF(N1297="","",E1297)</f>
        <v/>
      </c>
    </row>
    <row r="1298">
      <c r="A1298" s="1" t="n"/>
      <c r="B1298" s="20" t="n"/>
      <c r="C1298" s="21" t="n"/>
      <c r="D1298" s="22" t="n"/>
      <c r="E1298" s="23" t="n"/>
      <c r="F1298" s="22" t="n"/>
      <c r="G1298" s="14">
        <f>IF(OR(B1298="",E1298="",J1298="",K1298=""),"",IF(E1298&lt;J1298,"Below",IF(E1298&gt;K1298,"Above","In range")))</f>
        <v/>
      </c>
      <c r="H1298" s="1" t="n"/>
      <c r="J1298">
        <f>IF(M1298="","",IF(INDEX(Settings!$C$10:$C$18,M1298)="","",INDEX(Settings!$C$10:$C$18,M1298)))</f>
        <v/>
      </c>
      <c r="K1298">
        <f>IF(M1298="","",IF(INDEX(Settings!$D$10:$D$18,M1298)="","",INDEX(Settings!$D$10:$D$18,M1298)))</f>
        <v/>
      </c>
      <c r="L1298">
        <f>IF(OR(B1298="",E1298=""),"",B1298+MOD(N(C1298),1)+ROW()/10000000)</f>
        <v/>
      </c>
      <c r="M1298">
        <f>IF(D1298="","",IFERROR(MATCH(D1298,Settings!$B$10:$B$18,0),""))</f>
        <v/>
      </c>
      <c r="N1298">
        <f>IF(OR(B1298="",E1298="",M1298=""),"",IF(AND(B1298&gt;=Settings!$C$6,B1298&lt;=Settings!$C$7),M1298*10000+E1298,""))</f>
        <v/>
      </c>
      <c r="O1298">
        <f>IF(OR(B1298="",E1298=""),"",B1298*10000+E1298)</f>
        <v/>
      </c>
      <c r="P1298">
        <f>IF(N1298="","",E1298)</f>
        <v/>
      </c>
    </row>
    <row r="1299">
      <c r="A1299" s="1" t="n"/>
      <c r="B1299" s="20" t="n"/>
      <c r="C1299" s="21" t="n"/>
      <c r="D1299" s="22" t="n"/>
      <c r="E1299" s="23" t="n"/>
      <c r="F1299" s="22" t="n"/>
      <c r="G1299" s="14">
        <f>IF(OR(B1299="",E1299="",J1299="",K1299=""),"",IF(E1299&lt;J1299,"Below",IF(E1299&gt;K1299,"Above","In range")))</f>
        <v/>
      </c>
      <c r="H1299" s="1" t="n"/>
      <c r="J1299">
        <f>IF(M1299="","",IF(INDEX(Settings!$C$10:$C$18,M1299)="","",INDEX(Settings!$C$10:$C$18,M1299)))</f>
        <v/>
      </c>
      <c r="K1299">
        <f>IF(M1299="","",IF(INDEX(Settings!$D$10:$D$18,M1299)="","",INDEX(Settings!$D$10:$D$18,M1299)))</f>
        <v/>
      </c>
      <c r="L1299">
        <f>IF(OR(B1299="",E1299=""),"",B1299+MOD(N(C1299),1)+ROW()/10000000)</f>
        <v/>
      </c>
      <c r="M1299">
        <f>IF(D1299="","",IFERROR(MATCH(D1299,Settings!$B$10:$B$18,0),""))</f>
        <v/>
      </c>
      <c r="N1299">
        <f>IF(OR(B1299="",E1299="",M1299=""),"",IF(AND(B1299&gt;=Settings!$C$6,B1299&lt;=Settings!$C$7),M1299*10000+E1299,""))</f>
        <v/>
      </c>
      <c r="O1299">
        <f>IF(OR(B1299="",E1299=""),"",B1299*10000+E1299)</f>
        <v/>
      </c>
      <c r="P1299">
        <f>IF(N1299="","",E1299)</f>
        <v/>
      </c>
    </row>
    <row r="1300">
      <c r="A1300" s="1" t="n"/>
      <c r="B1300" s="20" t="n"/>
      <c r="C1300" s="21" t="n"/>
      <c r="D1300" s="22" t="n"/>
      <c r="E1300" s="23" t="n"/>
      <c r="F1300" s="22" t="n"/>
      <c r="G1300" s="14">
        <f>IF(OR(B1300="",E1300="",J1300="",K1300=""),"",IF(E1300&lt;J1300,"Below",IF(E1300&gt;K1300,"Above","In range")))</f>
        <v/>
      </c>
      <c r="H1300" s="1" t="n"/>
      <c r="J1300">
        <f>IF(M1300="","",IF(INDEX(Settings!$C$10:$C$18,M1300)="","",INDEX(Settings!$C$10:$C$18,M1300)))</f>
        <v/>
      </c>
      <c r="K1300">
        <f>IF(M1300="","",IF(INDEX(Settings!$D$10:$D$18,M1300)="","",INDEX(Settings!$D$10:$D$18,M1300)))</f>
        <v/>
      </c>
      <c r="L1300">
        <f>IF(OR(B1300="",E1300=""),"",B1300+MOD(N(C1300),1)+ROW()/10000000)</f>
        <v/>
      </c>
      <c r="M1300">
        <f>IF(D1300="","",IFERROR(MATCH(D1300,Settings!$B$10:$B$18,0),""))</f>
        <v/>
      </c>
      <c r="N1300">
        <f>IF(OR(B1300="",E1300="",M1300=""),"",IF(AND(B1300&gt;=Settings!$C$6,B1300&lt;=Settings!$C$7),M1300*10000+E1300,""))</f>
        <v/>
      </c>
      <c r="O1300">
        <f>IF(OR(B1300="",E1300=""),"",B1300*10000+E1300)</f>
        <v/>
      </c>
      <c r="P1300">
        <f>IF(N1300="","",E1300)</f>
        <v/>
      </c>
    </row>
    <row r="1301">
      <c r="A1301" s="1" t="n"/>
      <c r="B1301" s="20" t="n"/>
      <c r="C1301" s="21" t="n"/>
      <c r="D1301" s="22" t="n"/>
      <c r="E1301" s="23" t="n"/>
      <c r="F1301" s="22" t="n"/>
      <c r="G1301" s="14">
        <f>IF(OR(B1301="",E1301="",J1301="",K1301=""),"",IF(E1301&lt;J1301,"Below",IF(E1301&gt;K1301,"Above","In range")))</f>
        <v/>
      </c>
      <c r="H1301" s="1" t="n"/>
      <c r="J1301">
        <f>IF(M1301="","",IF(INDEX(Settings!$C$10:$C$18,M1301)="","",INDEX(Settings!$C$10:$C$18,M1301)))</f>
        <v/>
      </c>
      <c r="K1301">
        <f>IF(M1301="","",IF(INDEX(Settings!$D$10:$D$18,M1301)="","",INDEX(Settings!$D$10:$D$18,M1301)))</f>
        <v/>
      </c>
      <c r="L1301">
        <f>IF(OR(B1301="",E1301=""),"",B1301+MOD(N(C1301),1)+ROW()/10000000)</f>
        <v/>
      </c>
      <c r="M1301">
        <f>IF(D1301="","",IFERROR(MATCH(D1301,Settings!$B$10:$B$18,0),""))</f>
        <v/>
      </c>
      <c r="N1301">
        <f>IF(OR(B1301="",E1301="",M1301=""),"",IF(AND(B1301&gt;=Settings!$C$6,B1301&lt;=Settings!$C$7),M1301*10000+E1301,""))</f>
        <v/>
      </c>
      <c r="O1301">
        <f>IF(OR(B1301="",E1301=""),"",B1301*10000+E1301)</f>
        <v/>
      </c>
      <c r="P1301">
        <f>IF(N1301="","",E1301)</f>
        <v/>
      </c>
    </row>
    <row r="1302">
      <c r="A1302" s="1" t="n"/>
      <c r="B1302" s="20" t="n"/>
      <c r="C1302" s="21" t="n"/>
      <c r="D1302" s="22" t="n"/>
      <c r="E1302" s="23" t="n"/>
      <c r="F1302" s="22" t="n"/>
      <c r="G1302" s="14">
        <f>IF(OR(B1302="",E1302="",J1302="",K1302=""),"",IF(E1302&lt;J1302,"Below",IF(E1302&gt;K1302,"Above","In range")))</f>
        <v/>
      </c>
      <c r="H1302" s="1" t="n"/>
      <c r="J1302">
        <f>IF(M1302="","",IF(INDEX(Settings!$C$10:$C$18,M1302)="","",INDEX(Settings!$C$10:$C$18,M1302)))</f>
        <v/>
      </c>
      <c r="K1302">
        <f>IF(M1302="","",IF(INDEX(Settings!$D$10:$D$18,M1302)="","",INDEX(Settings!$D$10:$D$18,M1302)))</f>
        <v/>
      </c>
      <c r="L1302">
        <f>IF(OR(B1302="",E1302=""),"",B1302+MOD(N(C1302),1)+ROW()/10000000)</f>
        <v/>
      </c>
      <c r="M1302">
        <f>IF(D1302="","",IFERROR(MATCH(D1302,Settings!$B$10:$B$18,0),""))</f>
        <v/>
      </c>
      <c r="N1302">
        <f>IF(OR(B1302="",E1302="",M1302=""),"",IF(AND(B1302&gt;=Settings!$C$6,B1302&lt;=Settings!$C$7),M1302*10000+E1302,""))</f>
        <v/>
      </c>
      <c r="O1302">
        <f>IF(OR(B1302="",E1302=""),"",B1302*10000+E1302)</f>
        <v/>
      </c>
      <c r="P1302">
        <f>IF(N1302="","",E1302)</f>
        <v/>
      </c>
    </row>
    <row r="1303">
      <c r="A1303" s="1" t="n"/>
      <c r="B1303" s="20" t="n"/>
      <c r="C1303" s="21" t="n"/>
      <c r="D1303" s="22" t="n"/>
      <c r="E1303" s="23" t="n"/>
      <c r="F1303" s="22" t="n"/>
      <c r="G1303" s="14">
        <f>IF(OR(B1303="",E1303="",J1303="",K1303=""),"",IF(E1303&lt;J1303,"Below",IF(E1303&gt;K1303,"Above","In range")))</f>
        <v/>
      </c>
      <c r="H1303" s="1" t="n"/>
      <c r="J1303">
        <f>IF(M1303="","",IF(INDEX(Settings!$C$10:$C$18,M1303)="","",INDEX(Settings!$C$10:$C$18,M1303)))</f>
        <v/>
      </c>
      <c r="K1303">
        <f>IF(M1303="","",IF(INDEX(Settings!$D$10:$D$18,M1303)="","",INDEX(Settings!$D$10:$D$18,M1303)))</f>
        <v/>
      </c>
      <c r="L1303">
        <f>IF(OR(B1303="",E1303=""),"",B1303+MOD(N(C1303),1)+ROW()/10000000)</f>
        <v/>
      </c>
      <c r="M1303">
        <f>IF(D1303="","",IFERROR(MATCH(D1303,Settings!$B$10:$B$18,0),""))</f>
        <v/>
      </c>
      <c r="N1303">
        <f>IF(OR(B1303="",E1303="",M1303=""),"",IF(AND(B1303&gt;=Settings!$C$6,B1303&lt;=Settings!$C$7),M1303*10000+E1303,""))</f>
        <v/>
      </c>
      <c r="O1303">
        <f>IF(OR(B1303="",E1303=""),"",B1303*10000+E1303)</f>
        <v/>
      </c>
      <c r="P1303">
        <f>IF(N1303="","",E1303)</f>
        <v/>
      </c>
    </row>
    <row r="1304">
      <c r="A1304" s="1" t="n"/>
      <c r="B1304" s="20" t="n"/>
      <c r="C1304" s="21" t="n"/>
      <c r="D1304" s="22" t="n"/>
      <c r="E1304" s="23" t="n"/>
      <c r="F1304" s="22" t="n"/>
      <c r="G1304" s="14">
        <f>IF(OR(B1304="",E1304="",J1304="",K1304=""),"",IF(E1304&lt;J1304,"Below",IF(E1304&gt;K1304,"Above","In range")))</f>
        <v/>
      </c>
      <c r="H1304" s="1" t="n"/>
      <c r="J1304">
        <f>IF(M1304="","",IF(INDEX(Settings!$C$10:$C$18,M1304)="","",INDEX(Settings!$C$10:$C$18,M1304)))</f>
        <v/>
      </c>
      <c r="K1304">
        <f>IF(M1304="","",IF(INDEX(Settings!$D$10:$D$18,M1304)="","",INDEX(Settings!$D$10:$D$18,M1304)))</f>
        <v/>
      </c>
      <c r="L1304">
        <f>IF(OR(B1304="",E1304=""),"",B1304+MOD(N(C1304),1)+ROW()/10000000)</f>
        <v/>
      </c>
      <c r="M1304">
        <f>IF(D1304="","",IFERROR(MATCH(D1304,Settings!$B$10:$B$18,0),""))</f>
        <v/>
      </c>
      <c r="N1304">
        <f>IF(OR(B1304="",E1304="",M1304=""),"",IF(AND(B1304&gt;=Settings!$C$6,B1304&lt;=Settings!$C$7),M1304*10000+E1304,""))</f>
        <v/>
      </c>
      <c r="O1304">
        <f>IF(OR(B1304="",E1304=""),"",B1304*10000+E1304)</f>
        <v/>
      </c>
      <c r="P1304">
        <f>IF(N1304="","",E1304)</f>
        <v/>
      </c>
    </row>
    <row r="1305">
      <c r="A1305" s="1" t="n"/>
      <c r="B1305" s="20" t="n"/>
      <c r="C1305" s="21" t="n"/>
      <c r="D1305" s="22" t="n"/>
      <c r="E1305" s="23" t="n"/>
      <c r="F1305" s="22" t="n"/>
      <c r="G1305" s="14">
        <f>IF(OR(B1305="",E1305="",J1305="",K1305=""),"",IF(E1305&lt;J1305,"Below",IF(E1305&gt;K1305,"Above","In range")))</f>
        <v/>
      </c>
      <c r="H1305" s="1" t="n"/>
      <c r="J1305">
        <f>IF(M1305="","",IF(INDEX(Settings!$C$10:$C$18,M1305)="","",INDEX(Settings!$C$10:$C$18,M1305)))</f>
        <v/>
      </c>
      <c r="K1305">
        <f>IF(M1305="","",IF(INDEX(Settings!$D$10:$D$18,M1305)="","",INDEX(Settings!$D$10:$D$18,M1305)))</f>
        <v/>
      </c>
      <c r="L1305">
        <f>IF(OR(B1305="",E1305=""),"",B1305+MOD(N(C1305),1)+ROW()/10000000)</f>
        <v/>
      </c>
      <c r="M1305">
        <f>IF(D1305="","",IFERROR(MATCH(D1305,Settings!$B$10:$B$18,0),""))</f>
        <v/>
      </c>
      <c r="N1305">
        <f>IF(OR(B1305="",E1305="",M1305=""),"",IF(AND(B1305&gt;=Settings!$C$6,B1305&lt;=Settings!$C$7),M1305*10000+E1305,""))</f>
        <v/>
      </c>
      <c r="O1305">
        <f>IF(OR(B1305="",E1305=""),"",B1305*10000+E1305)</f>
        <v/>
      </c>
      <c r="P1305">
        <f>IF(N1305="","",E1305)</f>
        <v/>
      </c>
    </row>
    <row r="1306">
      <c r="A1306" s="1" t="n"/>
      <c r="B1306" s="20" t="n"/>
      <c r="C1306" s="21" t="n"/>
      <c r="D1306" s="22" t="n"/>
      <c r="E1306" s="23" t="n"/>
      <c r="F1306" s="22" t="n"/>
      <c r="G1306" s="14">
        <f>IF(OR(B1306="",E1306="",J1306="",K1306=""),"",IF(E1306&lt;J1306,"Below",IF(E1306&gt;K1306,"Above","In range")))</f>
        <v/>
      </c>
      <c r="H1306" s="1" t="n"/>
      <c r="J1306">
        <f>IF(M1306="","",IF(INDEX(Settings!$C$10:$C$18,M1306)="","",INDEX(Settings!$C$10:$C$18,M1306)))</f>
        <v/>
      </c>
      <c r="K1306">
        <f>IF(M1306="","",IF(INDEX(Settings!$D$10:$D$18,M1306)="","",INDEX(Settings!$D$10:$D$18,M1306)))</f>
        <v/>
      </c>
      <c r="L1306">
        <f>IF(OR(B1306="",E1306=""),"",B1306+MOD(N(C1306),1)+ROW()/10000000)</f>
        <v/>
      </c>
      <c r="M1306">
        <f>IF(D1306="","",IFERROR(MATCH(D1306,Settings!$B$10:$B$18,0),""))</f>
        <v/>
      </c>
      <c r="N1306">
        <f>IF(OR(B1306="",E1306="",M1306=""),"",IF(AND(B1306&gt;=Settings!$C$6,B1306&lt;=Settings!$C$7),M1306*10000+E1306,""))</f>
        <v/>
      </c>
      <c r="O1306">
        <f>IF(OR(B1306="",E1306=""),"",B1306*10000+E1306)</f>
        <v/>
      </c>
      <c r="P1306">
        <f>IF(N1306="","",E1306)</f>
        <v/>
      </c>
    </row>
    <row r="1307">
      <c r="A1307" s="1" t="n"/>
      <c r="B1307" s="20" t="n"/>
      <c r="C1307" s="21" t="n"/>
      <c r="D1307" s="22" t="n"/>
      <c r="E1307" s="23" t="n"/>
      <c r="F1307" s="22" t="n"/>
      <c r="G1307" s="14">
        <f>IF(OR(B1307="",E1307="",J1307="",K1307=""),"",IF(E1307&lt;J1307,"Below",IF(E1307&gt;K1307,"Above","In range")))</f>
        <v/>
      </c>
      <c r="H1307" s="1" t="n"/>
      <c r="J1307">
        <f>IF(M1307="","",IF(INDEX(Settings!$C$10:$C$18,M1307)="","",INDEX(Settings!$C$10:$C$18,M1307)))</f>
        <v/>
      </c>
      <c r="K1307">
        <f>IF(M1307="","",IF(INDEX(Settings!$D$10:$D$18,M1307)="","",INDEX(Settings!$D$10:$D$18,M1307)))</f>
        <v/>
      </c>
      <c r="L1307">
        <f>IF(OR(B1307="",E1307=""),"",B1307+MOD(N(C1307),1)+ROW()/10000000)</f>
        <v/>
      </c>
      <c r="M1307">
        <f>IF(D1307="","",IFERROR(MATCH(D1307,Settings!$B$10:$B$18,0),""))</f>
        <v/>
      </c>
      <c r="N1307">
        <f>IF(OR(B1307="",E1307="",M1307=""),"",IF(AND(B1307&gt;=Settings!$C$6,B1307&lt;=Settings!$C$7),M1307*10000+E1307,""))</f>
        <v/>
      </c>
      <c r="O1307">
        <f>IF(OR(B1307="",E1307=""),"",B1307*10000+E1307)</f>
        <v/>
      </c>
      <c r="P1307">
        <f>IF(N1307="","",E1307)</f>
        <v/>
      </c>
    </row>
    <row r="1308">
      <c r="A1308" s="1" t="n"/>
      <c r="B1308" s="20" t="n"/>
      <c r="C1308" s="21" t="n"/>
      <c r="D1308" s="22" t="n"/>
      <c r="E1308" s="23" t="n"/>
      <c r="F1308" s="22" t="n"/>
      <c r="G1308" s="14">
        <f>IF(OR(B1308="",E1308="",J1308="",K1308=""),"",IF(E1308&lt;J1308,"Below",IF(E1308&gt;K1308,"Above","In range")))</f>
        <v/>
      </c>
      <c r="H1308" s="1" t="n"/>
      <c r="J1308">
        <f>IF(M1308="","",IF(INDEX(Settings!$C$10:$C$18,M1308)="","",INDEX(Settings!$C$10:$C$18,M1308)))</f>
        <v/>
      </c>
      <c r="K1308">
        <f>IF(M1308="","",IF(INDEX(Settings!$D$10:$D$18,M1308)="","",INDEX(Settings!$D$10:$D$18,M1308)))</f>
        <v/>
      </c>
      <c r="L1308">
        <f>IF(OR(B1308="",E1308=""),"",B1308+MOD(N(C1308),1)+ROW()/10000000)</f>
        <v/>
      </c>
      <c r="M1308">
        <f>IF(D1308="","",IFERROR(MATCH(D1308,Settings!$B$10:$B$18,0),""))</f>
        <v/>
      </c>
      <c r="N1308">
        <f>IF(OR(B1308="",E1308="",M1308=""),"",IF(AND(B1308&gt;=Settings!$C$6,B1308&lt;=Settings!$C$7),M1308*10000+E1308,""))</f>
        <v/>
      </c>
      <c r="O1308">
        <f>IF(OR(B1308="",E1308=""),"",B1308*10000+E1308)</f>
        <v/>
      </c>
      <c r="P1308">
        <f>IF(N1308="","",E1308)</f>
        <v/>
      </c>
    </row>
    <row r="1309">
      <c r="A1309" s="1" t="n"/>
      <c r="B1309" s="20" t="n"/>
      <c r="C1309" s="21" t="n"/>
      <c r="D1309" s="22" t="n"/>
      <c r="E1309" s="23" t="n"/>
      <c r="F1309" s="22" t="n"/>
      <c r="G1309" s="14">
        <f>IF(OR(B1309="",E1309="",J1309="",K1309=""),"",IF(E1309&lt;J1309,"Below",IF(E1309&gt;K1309,"Above","In range")))</f>
        <v/>
      </c>
      <c r="H1309" s="1" t="n"/>
      <c r="J1309">
        <f>IF(M1309="","",IF(INDEX(Settings!$C$10:$C$18,M1309)="","",INDEX(Settings!$C$10:$C$18,M1309)))</f>
        <v/>
      </c>
      <c r="K1309">
        <f>IF(M1309="","",IF(INDEX(Settings!$D$10:$D$18,M1309)="","",INDEX(Settings!$D$10:$D$18,M1309)))</f>
        <v/>
      </c>
      <c r="L1309">
        <f>IF(OR(B1309="",E1309=""),"",B1309+MOD(N(C1309),1)+ROW()/10000000)</f>
        <v/>
      </c>
      <c r="M1309">
        <f>IF(D1309="","",IFERROR(MATCH(D1309,Settings!$B$10:$B$18,0),""))</f>
        <v/>
      </c>
      <c r="N1309">
        <f>IF(OR(B1309="",E1309="",M1309=""),"",IF(AND(B1309&gt;=Settings!$C$6,B1309&lt;=Settings!$C$7),M1309*10000+E1309,""))</f>
        <v/>
      </c>
      <c r="O1309">
        <f>IF(OR(B1309="",E1309=""),"",B1309*10000+E1309)</f>
        <v/>
      </c>
      <c r="P1309">
        <f>IF(N1309="","",E1309)</f>
        <v/>
      </c>
    </row>
    <row r="1310">
      <c r="A1310" s="1" t="n"/>
      <c r="B1310" s="20" t="n"/>
      <c r="C1310" s="21" t="n"/>
      <c r="D1310" s="22" t="n"/>
      <c r="E1310" s="23" t="n"/>
      <c r="F1310" s="22" t="n"/>
      <c r="G1310" s="14">
        <f>IF(OR(B1310="",E1310="",J1310="",K1310=""),"",IF(E1310&lt;J1310,"Below",IF(E1310&gt;K1310,"Above","In range")))</f>
        <v/>
      </c>
      <c r="H1310" s="1" t="n"/>
      <c r="J1310">
        <f>IF(M1310="","",IF(INDEX(Settings!$C$10:$C$18,M1310)="","",INDEX(Settings!$C$10:$C$18,M1310)))</f>
        <v/>
      </c>
      <c r="K1310">
        <f>IF(M1310="","",IF(INDEX(Settings!$D$10:$D$18,M1310)="","",INDEX(Settings!$D$10:$D$18,M1310)))</f>
        <v/>
      </c>
      <c r="L1310">
        <f>IF(OR(B1310="",E1310=""),"",B1310+MOD(N(C1310),1)+ROW()/10000000)</f>
        <v/>
      </c>
      <c r="M1310">
        <f>IF(D1310="","",IFERROR(MATCH(D1310,Settings!$B$10:$B$18,0),""))</f>
        <v/>
      </c>
      <c r="N1310">
        <f>IF(OR(B1310="",E1310="",M1310=""),"",IF(AND(B1310&gt;=Settings!$C$6,B1310&lt;=Settings!$C$7),M1310*10000+E1310,""))</f>
        <v/>
      </c>
      <c r="O1310">
        <f>IF(OR(B1310="",E1310=""),"",B1310*10000+E1310)</f>
        <v/>
      </c>
      <c r="P1310">
        <f>IF(N1310="","",E1310)</f>
        <v/>
      </c>
    </row>
    <row r="1311">
      <c r="A1311" s="1" t="n"/>
      <c r="B1311" s="20" t="n"/>
      <c r="C1311" s="21" t="n"/>
      <c r="D1311" s="22" t="n"/>
      <c r="E1311" s="23" t="n"/>
      <c r="F1311" s="22" t="n"/>
      <c r="G1311" s="14">
        <f>IF(OR(B1311="",E1311="",J1311="",K1311=""),"",IF(E1311&lt;J1311,"Below",IF(E1311&gt;K1311,"Above","In range")))</f>
        <v/>
      </c>
      <c r="H1311" s="1" t="n"/>
      <c r="J1311">
        <f>IF(M1311="","",IF(INDEX(Settings!$C$10:$C$18,M1311)="","",INDEX(Settings!$C$10:$C$18,M1311)))</f>
        <v/>
      </c>
      <c r="K1311">
        <f>IF(M1311="","",IF(INDEX(Settings!$D$10:$D$18,M1311)="","",INDEX(Settings!$D$10:$D$18,M1311)))</f>
        <v/>
      </c>
      <c r="L1311">
        <f>IF(OR(B1311="",E1311=""),"",B1311+MOD(N(C1311),1)+ROW()/10000000)</f>
        <v/>
      </c>
      <c r="M1311">
        <f>IF(D1311="","",IFERROR(MATCH(D1311,Settings!$B$10:$B$18,0),""))</f>
        <v/>
      </c>
      <c r="N1311">
        <f>IF(OR(B1311="",E1311="",M1311=""),"",IF(AND(B1311&gt;=Settings!$C$6,B1311&lt;=Settings!$C$7),M1311*10000+E1311,""))</f>
        <v/>
      </c>
      <c r="O1311">
        <f>IF(OR(B1311="",E1311=""),"",B1311*10000+E1311)</f>
        <v/>
      </c>
      <c r="P1311">
        <f>IF(N1311="","",E1311)</f>
        <v/>
      </c>
    </row>
    <row r="1312">
      <c r="A1312" s="1" t="n"/>
      <c r="B1312" s="20" t="n"/>
      <c r="C1312" s="21" t="n"/>
      <c r="D1312" s="22" t="n"/>
      <c r="E1312" s="23" t="n"/>
      <c r="F1312" s="22" t="n"/>
      <c r="G1312" s="14">
        <f>IF(OR(B1312="",E1312="",J1312="",K1312=""),"",IF(E1312&lt;J1312,"Below",IF(E1312&gt;K1312,"Above","In range")))</f>
        <v/>
      </c>
      <c r="H1312" s="1" t="n"/>
      <c r="J1312">
        <f>IF(M1312="","",IF(INDEX(Settings!$C$10:$C$18,M1312)="","",INDEX(Settings!$C$10:$C$18,M1312)))</f>
        <v/>
      </c>
      <c r="K1312">
        <f>IF(M1312="","",IF(INDEX(Settings!$D$10:$D$18,M1312)="","",INDEX(Settings!$D$10:$D$18,M1312)))</f>
        <v/>
      </c>
      <c r="L1312">
        <f>IF(OR(B1312="",E1312=""),"",B1312+MOD(N(C1312),1)+ROW()/10000000)</f>
        <v/>
      </c>
      <c r="M1312">
        <f>IF(D1312="","",IFERROR(MATCH(D1312,Settings!$B$10:$B$18,0),""))</f>
        <v/>
      </c>
      <c r="N1312">
        <f>IF(OR(B1312="",E1312="",M1312=""),"",IF(AND(B1312&gt;=Settings!$C$6,B1312&lt;=Settings!$C$7),M1312*10000+E1312,""))</f>
        <v/>
      </c>
      <c r="O1312">
        <f>IF(OR(B1312="",E1312=""),"",B1312*10000+E1312)</f>
        <v/>
      </c>
      <c r="P1312">
        <f>IF(N1312="","",E1312)</f>
        <v/>
      </c>
    </row>
    <row r="1313">
      <c r="A1313" s="1" t="n"/>
      <c r="B1313" s="20" t="n"/>
      <c r="C1313" s="21" t="n"/>
      <c r="D1313" s="22" t="n"/>
      <c r="E1313" s="23" t="n"/>
      <c r="F1313" s="22" t="n"/>
      <c r="G1313" s="14">
        <f>IF(OR(B1313="",E1313="",J1313="",K1313=""),"",IF(E1313&lt;J1313,"Below",IF(E1313&gt;K1313,"Above","In range")))</f>
        <v/>
      </c>
      <c r="H1313" s="1" t="n"/>
      <c r="J1313">
        <f>IF(M1313="","",IF(INDEX(Settings!$C$10:$C$18,M1313)="","",INDEX(Settings!$C$10:$C$18,M1313)))</f>
        <v/>
      </c>
      <c r="K1313">
        <f>IF(M1313="","",IF(INDEX(Settings!$D$10:$D$18,M1313)="","",INDEX(Settings!$D$10:$D$18,M1313)))</f>
        <v/>
      </c>
      <c r="L1313">
        <f>IF(OR(B1313="",E1313=""),"",B1313+MOD(N(C1313),1)+ROW()/10000000)</f>
        <v/>
      </c>
      <c r="M1313">
        <f>IF(D1313="","",IFERROR(MATCH(D1313,Settings!$B$10:$B$18,0),""))</f>
        <v/>
      </c>
      <c r="N1313">
        <f>IF(OR(B1313="",E1313="",M1313=""),"",IF(AND(B1313&gt;=Settings!$C$6,B1313&lt;=Settings!$C$7),M1313*10000+E1313,""))</f>
        <v/>
      </c>
      <c r="O1313">
        <f>IF(OR(B1313="",E1313=""),"",B1313*10000+E1313)</f>
        <v/>
      </c>
      <c r="P1313">
        <f>IF(N1313="","",E1313)</f>
        <v/>
      </c>
    </row>
    <row r="1314">
      <c r="A1314" s="1" t="n"/>
      <c r="B1314" s="20" t="n"/>
      <c r="C1314" s="21" t="n"/>
      <c r="D1314" s="22" t="n"/>
      <c r="E1314" s="23" t="n"/>
      <c r="F1314" s="22" t="n"/>
      <c r="G1314" s="14">
        <f>IF(OR(B1314="",E1314="",J1314="",K1314=""),"",IF(E1314&lt;J1314,"Below",IF(E1314&gt;K1314,"Above","In range")))</f>
        <v/>
      </c>
      <c r="H1314" s="1" t="n"/>
      <c r="J1314">
        <f>IF(M1314="","",IF(INDEX(Settings!$C$10:$C$18,M1314)="","",INDEX(Settings!$C$10:$C$18,M1314)))</f>
        <v/>
      </c>
      <c r="K1314">
        <f>IF(M1314="","",IF(INDEX(Settings!$D$10:$D$18,M1314)="","",INDEX(Settings!$D$10:$D$18,M1314)))</f>
        <v/>
      </c>
      <c r="L1314">
        <f>IF(OR(B1314="",E1314=""),"",B1314+MOD(N(C1314),1)+ROW()/10000000)</f>
        <v/>
      </c>
      <c r="M1314">
        <f>IF(D1314="","",IFERROR(MATCH(D1314,Settings!$B$10:$B$18,0),""))</f>
        <v/>
      </c>
      <c r="N1314">
        <f>IF(OR(B1314="",E1314="",M1314=""),"",IF(AND(B1314&gt;=Settings!$C$6,B1314&lt;=Settings!$C$7),M1314*10000+E1314,""))</f>
        <v/>
      </c>
      <c r="O1314">
        <f>IF(OR(B1314="",E1314=""),"",B1314*10000+E1314)</f>
        <v/>
      </c>
      <c r="P1314">
        <f>IF(N1314="","",E1314)</f>
        <v/>
      </c>
    </row>
    <row r="1315">
      <c r="A1315" s="1" t="n"/>
      <c r="B1315" s="20" t="n"/>
      <c r="C1315" s="21" t="n"/>
      <c r="D1315" s="22" t="n"/>
      <c r="E1315" s="23" t="n"/>
      <c r="F1315" s="22" t="n"/>
      <c r="G1315" s="14">
        <f>IF(OR(B1315="",E1315="",J1315="",K1315=""),"",IF(E1315&lt;J1315,"Below",IF(E1315&gt;K1315,"Above","In range")))</f>
        <v/>
      </c>
      <c r="H1315" s="1" t="n"/>
      <c r="J1315">
        <f>IF(M1315="","",IF(INDEX(Settings!$C$10:$C$18,M1315)="","",INDEX(Settings!$C$10:$C$18,M1315)))</f>
        <v/>
      </c>
      <c r="K1315">
        <f>IF(M1315="","",IF(INDEX(Settings!$D$10:$D$18,M1315)="","",INDEX(Settings!$D$10:$D$18,M1315)))</f>
        <v/>
      </c>
      <c r="L1315">
        <f>IF(OR(B1315="",E1315=""),"",B1315+MOD(N(C1315),1)+ROW()/10000000)</f>
        <v/>
      </c>
      <c r="M1315">
        <f>IF(D1315="","",IFERROR(MATCH(D1315,Settings!$B$10:$B$18,0),""))</f>
        <v/>
      </c>
      <c r="N1315">
        <f>IF(OR(B1315="",E1315="",M1315=""),"",IF(AND(B1315&gt;=Settings!$C$6,B1315&lt;=Settings!$C$7),M1315*10000+E1315,""))</f>
        <v/>
      </c>
      <c r="O1315">
        <f>IF(OR(B1315="",E1315=""),"",B1315*10000+E1315)</f>
        <v/>
      </c>
      <c r="P1315">
        <f>IF(N1315="","",E1315)</f>
        <v/>
      </c>
    </row>
    <row r="1316">
      <c r="A1316" s="1" t="n"/>
      <c r="B1316" s="20" t="n"/>
      <c r="C1316" s="21" t="n"/>
      <c r="D1316" s="22" t="n"/>
      <c r="E1316" s="23" t="n"/>
      <c r="F1316" s="22" t="n"/>
      <c r="G1316" s="14">
        <f>IF(OR(B1316="",E1316="",J1316="",K1316=""),"",IF(E1316&lt;J1316,"Below",IF(E1316&gt;K1316,"Above","In range")))</f>
        <v/>
      </c>
      <c r="H1316" s="1" t="n"/>
      <c r="J1316">
        <f>IF(M1316="","",IF(INDEX(Settings!$C$10:$C$18,M1316)="","",INDEX(Settings!$C$10:$C$18,M1316)))</f>
        <v/>
      </c>
      <c r="K1316">
        <f>IF(M1316="","",IF(INDEX(Settings!$D$10:$D$18,M1316)="","",INDEX(Settings!$D$10:$D$18,M1316)))</f>
        <v/>
      </c>
      <c r="L1316">
        <f>IF(OR(B1316="",E1316=""),"",B1316+MOD(N(C1316),1)+ROW()/10000000)</f>
        <v/>
      </c>
      <c r="M1316">
        <f>IF(D1316="","",IFERROR(MATCH(D1316,Settings!$B$10:$B$18,0),""))</f>
        <v/>
      </c>
      <c r="N1316">
        <f>IF(OR(B1316="",E1316="",M1316=""),"",IF(AND(B1316&gt;=Settings!$C$6,B1316&lt;=Settings!$C$7),M1316*10000+E1316,""))</f>
        <v/>
      </c>
      <c r="O1316">
        <f>IF(OR(B1316="",E1316=""),"",B1316*10000+E1316)</f>
        <v/>
      </c>
      <c r="P1316">
        <f>IF(N1316="","",E1316)</f>
        <v/>
      </c>
    </row>
    <row r="1317">
      <c r="A1317" s="1" t="n"/>
      <c r="B1317" s="20" t="n"/>
      <c r="C1317" s="21" t="n"/>
      <c r="D1317" s="22" t="n"/>
      <c r="E1317" s="23" t="n"/>
      <c r="F1317" s="22" t="n"/>
      <c r="G1317" s="14">
        <f>IF(OR(B1317="",E1317="",J1317="",K1317=""),"",IF(E1317&lt;J1317,"Below",IF(E1317&gt;K1317,"Above","In range")))</f>
        <v/>
      </c>
      <c r="H1317" s="1" t="n"/>
      <c r="J1317">
        <f>IF(M1317="","",IF(INDEX(Settings!$C$10:$C$18,M1317)="","",INDEX(Settings!$C$10:$C$18,M1317)))</f>
        <v/>
      </c>
      <c r="K1317">
        <f>IF(M1317="","",IF(INDEX(Settings!$D$10:$D$18,M1317)="","",INDEX(Settings!$D$10:$D$18,M1317)))</f>
        <v/>
      </c>
      <c r="L1317">
        <f>IF(OR(B1317="",E1317=""),"",B1317+MOD(N(C1317),1)+ROW()/10000000)</f>
        <v/>
      </c>
      <c r="M1317">
        <f>IF(D1317="","",IFERROR(MATCH(D1317,Settings!$B$10:$B$18,0),""))</f>
        <v/>
      </c>
      <c r="N1317">
        <f>IF(OR(B1317="",E1317="",M1317=""),"",IF(AND(B1317&gt;=Settings!$C$6,B1317&lt;=Settings!$C$7),M1317*10000+E1317,""))</f>
        <v/>
      </c>
      <c r="O1317">
        <f>IF(OR(B1317="",E1317=""),"",B1317*10000+E1317)</f>
        <v/>
      </c>
      <c r="P1317">
        <f>IF(N1317="","",E1317)</f>
        <v/>
      </c>
    </row>
    <row r="1318">
      <c r="A1318" s="1" t="n"/>
      <c r="B1318" s="20" t="n"/>
      <c r="C1318" s="21" t="n"/>
      <c r="D1318" s="22" t="n"/>
      <c r="E1318" s="23" t="n"/>
      <c r="F1318" s="22" t="n"/>
      <c r="G1318" s="14">
        <f>IF(OR(B1318="",E1318="",J1318="",K1318=""),"",IF(E1318&lt;J1318,"Below",IF(E1318&gt;K1318,"Above","In range")))</f>
        <v/>
      </c>
      <c r="H1318" s="1" t="n"/>
      <c r="J1318">
        <f>IF(M1318="","",IF(INDEX(Settings!$C$10:$C$18,M1318)="","",INDEX(Settings!$C$10:$C$18,M1318)))</f>
        <v/>
      </c>
      <c r="K1318">
        <f>IF(M1318="","",IF(INDEX(Settings!$D$10:$D$18,M1318)="","",INDEX(Settings!$D$10:$D$18,M1318)))</f>
        <v/>
      </c>
      <c r="L1318">
        <f>IF(OR(B1318="",E1318=""),"",B1318+MOD(N(C1318),1)+ROW()/10000000)</f>
        <v/>
      </c>
      <c r="M1318">
        <f>IF(D1318="","",IFERROR(MATCH(D1318,Settings!$B$10:$B$18,0),""))</f>
        <v/>
      </c>
      <c r="N1318">
        <f>IF(OR(B1318="",E1318="",M1318=""),"",IF(AND(B1318&gt;=Settings!$C$6,B1318&lt;=Settings!$C$7),M1318*10000+E1318,""))</f>
        <v/>
      </c>
      <c r="O1318">
        <f>IF(OR(B1318="",E1318=""),"",B1318*10000+E1318)</f>
        <v/>
      </c>
      <c r="P1318">
        <f>IF(N1318="","",E1318)</f>
        <v/>
      </c>
    </row>
    <row r="1319">
      <c r="A1319" s="1" t="n"/>
      <c r="B1319" s="20" t="n"/>
      <c r="C1319" s="21" t="n"/>
      <c r="D1319" s="22" t="n"/>
      <c r="E1319" s="23" t="n"/>
      <c r="F1319" s="22" t="n"/>
      <c r="G1319" s="14">
        <f>IF(OR(B1319="",E1319="",J1319="",K1319=""),"",IF(E1319&lt;J1319,"Below",IF(E1319&gt;K1319,"Above","In range")))</f>
        <v/>
      </c>
      <c r="H1319" s="1" t="n"/>
      <c r="J1319">
        <f>IF(M1319="","",IF(INDEX(Settings!$C$10:$C$18,M1319)="","",INDEX(Settings!$C$10:$C$18,M1319)))</f>
        <v/>
      </c>
      <c r="K1319">
        <f>IF(M1319="","",IF(INDEX(Settings!$D$10:$D$18,M1319)="","",INDEX(Settings!$D$10:$D$18,M1319)))</f>
        <v/>
      </c>
      <c r="L1319">
        <f>IF(OR(B1319="",E1319=""),"",B1319+MOD(N(C1319),1)+ROW()/10000000)</f>
        <v/>
      </c>
      <c r="M1319">
        <f>IF(D1319="","",IFERROR(MATCH(D1319,Settings!$B$10:$B$18,0),""))</f>
        <v/>
      </c>
      <c r="N1319">
        <f>IF(OR(B1319="",E1319="",M1319=""),"",IF(AND(B1319&gt;=Settings!$C$6,B1319&lt;=Settings!$C$7),M1319*10000+E1319,""))</f>
        <v/>
      </c>
      <c r="O1319">
        <f>IF(OR(B1319="",E1319=""),"",B1319*10000+E1319)</f>
        <v/>
      </c>
      <c r="P1319">
        <f>IF(N1319="","",E1319)</f>
        <v/>
      </c>
    </row>
    <row r="1320">
      <c r="A1320" s="1" t="n"/>
      <c r="B1320" s="20" t="n"/>
      <c r="C1320" s="21" t="n"/>
      <c r="D1320" s="22" t="n"/>
      <c r="E1320" s="23" t="n"/>
      <c r="F1320" s="22" t="n"/>
      <c r="G1320" s="14">
        <f>IF(OR(B1320="",E1320="",J1320="",K1320=""),"",IF(E1320&lt;J1320,"Below",IF(E1320&gt;K1320,"Above","In range")))</f>
        <v/>
      </c>
      <c r="H1320" s="1" t="n"/>
      <c r="J1320">
        <f>IF(M1320="","",IF(INDEX(Settings!$C$10:$C$18,M1320)="","",INDEX(Settings!$C$10:$C$18,M1320)))</f>
        <v/>
      </c>
      <c r="K1320">
        <f>IF(M1320="","",IF(INDEX(Settings!$D$10:$D$18,M1320)="","",INDEX(Settings!$D$10:$D$18,M1320)))</f>
        <v/>
      </c>
      <c r="L1320">
        <f>IF(OR(B1320="",E1320=""),"",B1320+MOD(N(C1320),1)+ROW()/10000000)</f>
        <v/>
      </c>
      <c r="M1320">
        <f>IF(D1320="","",IFERROR(MATCH(D1320,Settings!$B$10:$B$18,0),""))</f>
        <v/>
      </c>
      <c r="N1320">
        <f>IF(OR(B1320="",E1320="",M1320=""),"",IF(AND(B1320&gt;=Settings!$C$6,B1320&lt;=Settings!$C$7),M1320*10000+E1320,""))</f>
        <v/>
      </c>
      <c r="O1320">
        <f>IF(OR(B1320="",E1320=""),"",B1320*10000+E1320)</f>
        <v/>
      </c>
      <c r="P1320">
        <f>IF(N1320="","",E1320)</f>
        <v/>
      </c>
    </row>
    <row r="1321">
      <c r="A1321" s="1" t="n"/>
      <c r="B1321" s="20" t="n"/>
      <c r="C1321" s="21" t="n"/>
      <c r="D1321" s="22" t="n"/>
      <c r="E1321" s="23" t="n"/>
      <c r="F1321" s="22" t="n"/>
      <c r="G1321" s="14">
        <f>IF(OR(B1321="",E1321="",J1321="",K1321=""),"",IF(E1321&lt;J1321,"Below",IF(E1321&gt;K1321,"Above","In range")))</f>
        <v/>
      </c>
      <c r="H1321" s="1" t="n"/>
      <c r="J1321">
        <f>IF(M1321="","",IF(INDEX(Settings!$C$10:$C$18,M1321)="","",INDEX(Settings!$C$10:$C$18,M1321)))</f>
        <v/>
      </c>
      <c r="K1321">
        <f>IF(M1321="","",IF(INDEX(Settings!$D$10:$D$18,M1321)="","",INDEX(Settings!$D$10:$D$18,M1321)))</f>
        <v/>
      </c>
      <c r="L1321">
        <f>IF(OR(B1321="",E1321=""),"",B1321+MOD(N(C1321),1)+ROW()/10000000)</f>
        <v/>
      </c>
      <c r="M1321">
        <f>IF(D1321="","",IFERROR(MATCH(D1321,Settings!$B$10:$B$18,0),""))</f>
        <v/>
      </c>
      <c r="N1321">
        <f>IF(OR(B1321="",E1321="",M1321=""),"",IF(AND(B1321&gt;=Settings!$C$6,B1321&lt;=Settings!$C$7),M1321*10000+E1321,""))</f>
        <v/>
      </c>
      <c r="O1321">
        <f>IF(OR(B1321="",E1321=""),"",B1321*10000+E1321)</f>
        <v/>
      </c>
      <c r="P1321">
        <f>IF(N1321="","",E1321)</f>
        <v/>
      </c>
    </row>
    <row r="1322">
      <c r="A1322" s="1" t="n"/>
      <c r="B1322" s="20" t="n"/>
      <c r="C1322" s="21" t="n"/>
      <c r="D1322" s="22" t="n"/>
      <c r="E1322" s="23" t="n"/>
      <c r="F1322" s="22" t="n"/>
      <c r="G1322" s="14">
        <f>IF(OR(B1322="",E1322="",J1322="",K1322=""),"",IF(E1322&lt;J1322,"Below",IF(E1322&gt;K1322,"Above","In range")))</f>
        <v/>
      </c>
      <c r="H1322" s="1" t="n"/>
      <c r="J1322">
        <f>IF(M1322="","",IF(INDEX(Settings!$C$10:$C$18,M1322)="","",INDEX(Settings!$C$10:$C$18,M1322)))</f>
        <v/>
      </c>
      <c r="K1322">
        <f>IF(M1322="","",IF(INDEX(Settings!$D$10:$D$18,M1322)="","",INDEX(Settings!$D$10:$D$18,M1322)))</f>
        <v/>
      </c>
      <c r="L1322">
        <f>IF(OR(B1322="",E1322=""),"",B1322+MOD(N(C1322),1)+ROW()/10000000)</f>
        <v/>
      </c>
      <c r="M1322">
        <f>IF(D1322="","",IFERROR(MATCH(D1322,Settings!$B$10:$B$18,0),""))</f>
        <v/>
      </c>
      <c r="N1322">
        <f>IF(OR(B1322="",E1322="",M1322=""),"",IF(AND(B1322&gt;=Settings!$C$6,B1322&lt;=Settings!$C$7),M1322*10000+E1322,""))</f>
        <v/>
      </c>
      <c r="O1322">
        <f>IF(OR(B1322="",E1322=""),"",B1322*10000+E1322)</f>
        <v/>
      </c>
      <c r="P1322">
        <f>IF(N1322="","",E1322)</f>
        <v/>
      </c>
    </row>
    <row r="1323">
      <c r="A1323" s="1" t="n"/>
      <c r="B1323" s="20" t="n"/>
      <c r="C1323" s="21" t="n"/>
      <c r="D1323" s="22" t="n"/>
      <c r="E1323" s="23" t="n"/>
      <c r="F1323" s="22" t="n"/>
      <c r="G1323" s="14">
        <f>IF(OR(B1323="",E1323="",J1323="",K1323=""),"",IF(E1323&lt;J1323,"Below",IF(E1323&gt;K1323,"Above","In range")))</f>
        <v/>
      </c>
      <c r="H1323" s="1" t="n"/>
      <c r="J1323">
        <f>IF(M1323="","",IF(INDEX(Settings!$C$10:$C$18,M1323)="","",INDEX(Settings!$C$10:$C$18,M1323)))</f>
        <v/>
      </c>
      <c r="K1323">
        <f>IF(M1323="","",IF(INDEX(Settings!$D$10:$D$18,M1323)="","",INDEX(Settings!$D$10:$D$18,M1323)))</f>
        <v/>
      </c>
      <c r="L1323">
        <f>IF(OR(B1323="",E1323=""),"",B1323+MOD(N(C1323),1)+ROW()/10000000)</f>
        <v/>
      </c>
      <c r="M1323">
        <f>IF(D1323="","",IFERROR(MATCH(D1323,Settings!$B$10:$B$18,0),""))</f>
        <v/>
      </c>
      <c r="N1323">
        <f>IF(OR(B1323="",E1323="",M1323=""),"",IF(AND(B1323&gt;=Settings!$C$6,B1323&lt;=Settings!$C$7),M1323*10000+E1323,""))</f>
        <v/>
      </c>
      <c r="O1323">
        <f>IF(OR(B1323="",E1323=""),"",B1323*10000+E1323)</f>
        <v/>
      </c>
      <c r="P1323">
        <f>IF(N1323="","",E1323)</f>
        <v/>
      </c>
    </row>
    <row r="1324">
      <c r="A1324" s="1" t="n"/>
      <c r="B1324" s="20" t="n"/>
      <c r="C1324" s="21" t="n"/>
      <c r="D1324" s="22" t="n"/>
      <c r="E1324" s="23" t="n"/>
      <c r="F1324" s="22" t="n"/>
      <c r="G1324" s="14">
        <f>IF(OR(B1324="",E1324="",J1324="",K1324=""),"",IF(E1324&lt;J1324,"Below",IF(E1324&gt;K1324,"Above","In range")))</f>
        <v/>
      </c>
      <c r="H1324" s="1" t="n"/>
      <c r="J1324">
        <f>IF(M1324="","",IF(INDEX(Settings!$C$10:$C$18,M1324)="","",INDEX(Settings!$C$10:$C$18,M1324)))</f>
        <v/>
      </c>
      <c r="K1324">
        <f>IF(M1324="","",IF(INDEX(Settings!$D$10:$D$18,M1324)="","",INDEX(Settings!$D$10:$D$18,M1324)))</f>
        <v/>
      </c>
      <c r="L1324">
        <f>IF(OR(B1324="",E1324=""),"",B1324+MOD(N(C1324),1)+ROW()/10000000)</f>
        <v/>
      </c>
      <c r="M1324">
        <f>IF(D1324="","",IFERROR(MATCH(D1324,Settings!$B$10:$B$18,0),""))</f>
        <v/>
      </c>
      <c r="N1324">
        <f>IF(OR(B1324="",E1324="",M1324=""),"",IF(AND(B1324&gt;=Settings!$C$6,B1324&lt;=Settings!$C$7),M1324*10000+E1324,""))</f>
        <v/>
      </c>
      <c r="O1324">
        <f>IF(OR(B1324="",E1324=""),"",B1324*10000+E1324)</f>
        <v/>
      </c>
      <c r="P1324">
        <f>IF(N1324="","",E1324)</f>
        <v/>
      </c>
    </row>
    <row r="1325">
      <c r="A1325" s="1" t="n"/>
      <c r="B1325" s="20" t="n"/>
      <c r="C1325" s="21" t="n"/>
      <c r="D1325" s="22" t="n"/>
      <c r="E1325" s="23" t="n"/>
      <c r="F1325" s="22" t="n"/>
      <c r="G1325" s="14">
        <f>IF(OR(B1325="",E1325="",J1325="",K1325=""),"",IF(E1325&lt;J1325,"Below",IF(E1325&gt;K1325,"Above","In range")))</f>
        <v/>
      </c>
      <c r="H1325" s="1" t="n"/>
      <c r="J1325">
        <f>IF(M1325="","",IF(INDEX(Settings!$C$10:$C$18,M1325)="","",INDEX(Settings!$C$10:$C$18,M1325)))</f>
        <v/>
      </c>
      <c r="K1325">
        <f>IF(M1325="","",IF(INDEX(Settings!$D$10:$D$18,M1325)="","",INDEX(Settings!$D$10:$D$18,M1325)))</f>
        <v/>
      </c>
      <c r="L1325">
        <f>IF(OR(B1325="",E1325=""),"",B1325+MOD(N(C1325),1)+ROW()/10000000)</f>
        <v/>
      </c>
      <c r="M1325">
        <f>IF(D1325="","",IFERROR(MATCH(D1325,Settings!$B$10:$B$18,0),""))</f>
        <v/>
      </c>
      <c r="N1325">
        <f>IF(OR(B1325="",E1325="",M1325=""),"",IF(AND(B1325&gt;=Settings!$C$6,B1325&lt;=Settings!$C$7),M1325*10000+E1325,""))</f>
        <v/>
      </c>
      <c r="O1325">
        <f>IF(OR(B1325="",E1325=""),"",B1325*10000+E1325)</f>
        <v/>
      </c>
      <c r="P1325">
        <f>IF(N1325="","",E1325)</f>
        <v/>
      </c>
    </row>
    <row r="1326">
      <c r="A1326" s="1" t="n"/>
      <c r="B1326" s="20" t="n"/>
      <c r="C1326" s="21" t="n"/>
      <c r="D1326" s="22" t="n"/>
      <c r="E1326" s="23" t="n"/>
      <c r="F1326" s="22" t="n"/>
      <c r="G1326" s="14">
        <f>IF(OR(B1326="",E1326="",J1326="",K1326=""),"",IF(E1326&lt;J1326,"Below",IF(E1326&gt;K1326,"Above","In range")))</f>
        <v/>
      </c>
      <c r="H1326" s="1" t="n"/>
      <c r="J1326">
        <f>IF(M1326="","",IF(INDEX(Settings!$C$10:$C$18,M1326)="","",INDEX(Settings!$C$10:$C$18,M1326)))</f>
        <v/>
      </c>
      <c r="K1326">
        <f>IF(M1326="","",IF(INDEX(Settings!$D$10:$D$18,M1326)="","",INDEX(Settings!$D$10:$D$18,M1326)))</f>
        <v/>
      </c>
      <c r="L1326">
        <f>IF(OR(B1326="",E1326=""),"",B1326+MOD(N(C1326),1)+ROW()/10000000)</f>
        <v/>
      </c>
      <c r="M1326">
        <f>IF(D1326="","",IFERROR(MATCH(D1326,Settings!$B$10:$B$18,0),""))</f>
        <v/>
      </c>
      <c r="N1326">
        <f>IF(OR(B1326="",E1326="",M1326=""),"",IF(AND(B1326&gt;=Settings!$C$6,B1326&lt;=Settings!$C$7),M1326*10000+E1326,""))</f>
        <v/>
      </c>
      <c r="O1326">
        <f>IF(OR(B1326="",E1326=""),"",B1326*10000+E1326)</f>
        <v/>
      </c>
      <c r="P1326">
        <f>IF(N1326="","",E1326)</f>
        <v/>
      </c>
    </row>
    <row r="1327">
      <c r="A1327" s="1" t="n"/>
      <c r="B1327" s="20" t="n"/>
      <c r="C1327" s="21" t="n"/>
      <c r="D1327" s="22" t="n"/>
      <c r="E1327" s="23" t="n"/>
      <c r="F1327" s="22" t="n"/>
      <c r="G1327" s="14">
        <f>IF(OR(B1327="",E1327="",J1327="",K1327=""),"",IF(E1327&lt;J1327,"Below",IF(E1327&gt;K1327,"Above","In range")))</f>
        <v/>
      </c>
      <c r="H1327" s="1" t="n"/>
      <c r="J1327">
        <f>IF(M1327="","",IF(INDEX(Settings!$C$10:$C$18,M1327)="","",INDEX(Settings!$C$10:$C$18,M1327)))</f>
        <v/>
      </c>
      <c r="K1327">
        <f>IF(M1327="","",IF(INDEX(Settings!$D$10:$D$18,M1327)="","",INDEX(Settings!$D$10:$D$18,M1327)))</f>
        <v/>
      </c>
      <c r="L1327">
        <f>IF(OR(B1327="",E1327=""),"",B1327+MOD(N(C1327),1)+ROW()/10000000)</f>
        <v/>
      </c>
      <c r="M1327">
        <f>IF(D1327="","",IFERROR(MATCH(D1327,Settings!$B$10:$B$18,0),""))</f>
        <v/>
      </c>
      <c r="N1327">
        <f>IF(OR(B1327="",E1327="",M1327=""),"",IF(AND(B1327&gt;=Settings!$C$6,B1327&lt;=Settings!$C$7),M1327*10000+E1327,""))</f>
        <v/>
      </c>
      <c r="O1327">
        <f>IF(OR(B1327="",E1327=""),"",B1327*10000+E1327)</f>
        <v/>
      </c>
      <c r="P1327">
        <f>IF(N1327="","",E1327)</f>
        <v/>
      </c>
    </row>
    <row r="1328">
      <c r="A1328" s="1" t="n"/>
      <c r="B1328" s="20" t="n"/>
      <c r="C1328" s="21" t="n"/>
      <c r="D1328" s="22" t="n"/>
      <c r="E1328" s="23" t="n"/>
      <c r="F1328" s="22" t="n"/>
      <c r="G1328" s="14">
        <f>IF(OR(B1328="",E1328="",J1328="",K1328=""),"",IF(E1328&lt;J1328,"Below",IF(E1328&gt;K1328,"Above","In range")))</f>
        <v/>
      </c>
      <c r="H1328" s="1" t="n"/>
      <c r="J1328">
        <f>IF(M1328="","",IF(INDEX(Settings!$C$10:$C$18,M1328)="","",INDEX(Settings!$C$10:$C$18,M1328)))</f>
        <v/>
      </c>
      <c r="K1328">
        <f>IF(M1328="","",IF(INDEX(Settings!$D$10:$D$18,M1328)="","",INDEX(Settings!$D$10:$D$18,M1328)))</f>
        <v/>
      </c>
      <c r="L1328">
        <f>IF(OR(B1328="",E1328=""),"",B1328+MOD(N(C1328),1)+ROW()/10000000)</f>
        <v/>
      </c>
      <c r="M1328">
        <f>IF(D1328="","",IFERROR(MATCH(D1328,Settings!$B$10:$B$18,0),""))</f>
        <v/>
      </c>
      <c r="N1328">
        <f>IF(OR(B1328="",E1328="",M1328=""),"",IF(AND(B1328&gt;=Settings!$C$6,B1328&lt;=Settings!$C$7),M1328*10000+E1328,""))</f>
        <v/>
      </c>
      <c r="O1328">
        <f>IF(OR(B1328="",E1328=""),"",B1328*10000+E1328)</f>
        <v/>
      </c>
      <c r="P1328">
        <f>IF(N1328="","",E1328)</f>
        <v/>
      </c>
    </row>
    <row r="1329">
      <c r="A1329" s="1" t="n"/>
      <c r="B1329" s="20" t="n"/>
      <c r="C1329" s="21" t="n"/>
      <c r="D1329" s="22" t="n"/>
      <c r="E1329" s="23" t="n"/>
      <c r="F1329" s="22" t="n"/>
      <c r="G1329" s="14">
        <f>IF(OR(B1329="",E1329="",J1329="",K1329=""),"",IF(E1329&lt;J1329,"Below",IF(E1329&gt;K1329,"Above","In range")))</f>
        <v/>
      </c>
      <c r="H1329" s="1" t="n"/>
      <c r="J1329">
        <f>IF(M1329="","",IF(INDEX(Settings!$C$10:$C$18,M1329)="","",INDEX(Settings!$C$10:$C$18,M1329)))</f>
        <v/>
      </c>
      <c r="K1329">
        <f>IF(M1329="","",IF(INDEX(Settings!$D$10:$D$18,M1329)="","",INDEX(Settings!$D$10:$D$18,M1329)))</f>
        <v/>
      </c>
      <c r="L1329">
        <f>IF(OR(B1329="",E1329=""),"",B1329+MOD(N(C1329),1)+ROW()/10000000)</f>
        <v/>
      </c>
      <c r="M1329">
        <f>IF(D1329="","",IFERROR(MATCH(D1329,Settings!$B$10:$B$18,0),""))</f>
        <v/>
      </c>
      <c r="N1329">
        <f>IF(OR(B1329="",E1329="",M1329=""),"",IF(AND(B1329&gt;=Settings!$C$6,B1329&lt;=Settings!$C$7),M1329*10000+E1329,""))</f>
        <v/>
      </c>
      <c r="O1329">
        <f>IF(OR(B1329="",E1329=""),"",B1329*10000+E1329)</f>
        <v/>
      </c>
      <c r="P1329">
        <f>IF(N1329="","",E1329)</f>
        <v/>
      </c>
    </row>
    <row r="1330">
      <c r="A1330" s="1" t="n"/>
      <c r="B1330" s="20" t="n"/>
      <c r="C1330" s="21" t="n"/>
      <c r="D1330" s="22" t="n"/>
      <c r="E1330" s="23" t="n"/>
      <c r="F1330" s="22" t="n"/>
      <c r="G1330" s="14">
        <f>IF(OR(B1330="",E1330="",J1330="",K1330=""),"",IF(E1330&lt;J1330,"Below",IF(E1330&gt;K1330,"Above","In range")))</f>
        <v/>
      </c>
      <c r="H1330" s="1" t="n"/>
      <c r="J1330">
        <f>IF(M1330="","",IF(INDEX(Settings!$C$10:$C$18,M1330)="","",INDEX(Settings!$C$10:$C$18,M1330)))</f>
        <v/>
      </c>
      <c r="K1330">
        <f>IF(M1330="","",IF(INDEX(Settings!$D$10:$D$18,M1330)="","",INDEX(Settings!$D$10:$D$18,M1330)))</f>
        <v/>
      </c>
      <c r="L1330">
        <f>IF(OR(B1330="",E1330=""),"",B1330+MOD(N(C1330),1)+ROW()/10000000)</f>
        <v/>
      </c>
      <c r="M1330">
        <f>IF(D1330="","",IFERROR(MATCH(D1330,Settings!$B$10:$B$18,0),""))</f>
        <v/>
      </c>
      <c r="N1330">
        <f>IF(OR(B1330="",E1330="",M1330=""),"",IF(AND(B1330&gt;=Settings!$C$6,B1330&lt;=Settings!$C$7),M1330*10000+E1330,""))</f>
        <v/>
      </c>
      <c r="O1330">
        <f>IF(OR(B1330="",E1330=""),"",B1330*10000+E1330)</f>
        <v/>
      </c>
      <c r="P1330">
        <f>IF(N1330="","",E1330)</f>
        <v/>
      </c>
    </row>
    <row r="1331">
      <c r="A1331" s="1" t="n"/>
      <c r="B1331" s="20" t="n"/>
      <c r="C1331" s="21" t="n"/>
      <c r="D1331" s="22" t="n"/>
      <c r="E1331" s="23" t="n"/>
      <c r="F1331" s="22" t="n"/>
      <c r="G1331" s="14">
        <f>IF(OR(B1331="",E1331="",J1331="",K1331=""),"",IF(E1331&lt;J1331,"Below",IF(E1331&gt;K1331,"Above","In range")))</f>
        <v/>
      </c>
      <c r="H1331" s="1" t="n"/>
      <c r="J1331">
        <f>IF(M1331="","",IF(INDEX(Settings!$C$10:$C$18,M1331)="","",INDEX(Settings!$C$10:$C$18,M1331)))</f>
        <v/>
      </c>
      <c r="K1331">
        <f>IF(M1331="","",IF(INDEX(Settings!$D$10:$D$18,M1331)="","",INDEX(Settings!$D$10:$D$18,M1331)))</f>
        <v/>
      </c>
      <c r="L1331">
        <f>IF(OR(B1331="",E1331=""),"",B1331+MOD(N(C1331),1)+ROW()/10000000)</f>
        <v/>
      </c>
      <c r="M1331">
        <f>IF(D1331="","",IFERROR(MATCH(D1331,Settings!$B$10:$B$18,0),""))</f>
        <v/>
      </c>
      <c r="N1331">
        <f>IF(OR(B1331="",E1331="",M1331=""),"",IF(AND(B1331&gt;=Settings!$C$6,B1331&lt;=Settings!$C$7),M1331*10000+E1331,""))</f>
        <v/>
      </c>
      <c r="O1331">
        <f>IF(OR(B1331="",E1331=""),"",B1331*10000+E1331)</f>
        <v/>
      </c>
      <c r="P1331">
        <f>IF(N1331="","",E1331)</f>
        <v/>
      </c>
    </row>
    <row r="1332">
      <c r="A1332" s="1" t="n"/>
      <c r="B1332" s="20" t="n"/>
      <c r="C1332" s="21" t="n"/>
      <c r="D1332" s="22" t="n"/>
      <c r="E1332" s="23" t="n"/>
      <c r="F1332" s="22" t="n"/>
      <c r="G1332" s="14">
        <f>IF(OR(B1332="",E1332="",J1332="",K1332=""),"",IF(E1332&lt;J1332,"Below",IF(E1332&gt;K1332,"Above","In range")))</f>
        <v/>
      </c>
      <c r="H1332" s="1" t="n"/>
      <c r="J1332">
        <f>IF(M1332="","",IF(INDEX(Settings!$C$10:$C$18,M1332)="","",INDEX(Settings!$C$10:$C$18,M1332)))</f>
        <v/>
      </c>
      <c r="K1332">
        <f>IF(M1332="","",IF(INDEX(Settings!$D$10:$D$18,M1332)="","",INDEX(Settings!$D$10:$D$18,M1332)))</f>
        <v/>
      </c>
      <c r="L1332">
        <f>IF(OR(B1332="",E1332=""),"",B1332+MOD(N(C1332),1)+ROW()/10000000)</f>
        <v/>
      </c>
      <c r="M1332">
        <f>IF(D1332="","",IFERROR(MATCH(D1332,Settings!$B$10:$B$18,0),""))</f>
        <v/>
      </c>
      <c r="N1332">
        <f>IF(OR(B1332="",E1332="",M1332=""),"",IF(AND(B1332&gt;=Settings!$C$6,B1332&lt;=Settings!$C$7),M1332*10000+E1332,""))</f>
        <v/>
      </c>
      <c r="O1332">
        <f>IF(OR(B1332="",E1332=""),"",B1332*10000+E1332)</f>
        <v/>
      </c>
      <c r="P1332">
        <f>IF(N1332="","",E1332)</f>
        <v/>
      </c>
    </row>
    <row r="1333">
      <c r="A1333" s="1" t="n"/>
      <c r="B1333" s="20" t="n"/>
      <c r="C1333" s="21" t="n"/>
      <c r="D1333" s="22" t="n"/>
      <c r="E1333" s="23" t="n"/>
      <c r="F1333" s="22" t="n"/>
      <c r="G1333" s="14">
        <f>IF(OR(B1333="",E1333="",J1333="",K1333=""),"",IF(E1333&lt;J1333,"Below",IF(E1333&gt;K1333,"Above","In range")))</f>
        <v/>
      </c>
      <c r="H1333" s="1" t="n"/>
      <c r="J1333">
        <f>IF(M1333="","",IF(INDEX(Settings!$C$10:$C$18,M1333)="","",INDEX(Settings!$C$10:$C$18,M1333)))</f>
        <v/>
      </c>
      <c r="K1333">
        <f>IF(M1333="","",IF(INDEX(Settings!$D$10:$D$18,M1333)="","",INDEX(Settings!$D$10:$D$18,M1333)))</f>
        <v/>
      </c>
      <c r="L1333">
        <f>IF(OR(B1333="",E1333=""),"",B1333+MOD(N(C1333),1)+ROW()/10000000)</f>
        <v/>
      </c>
      <c r="M1333">
        <f>IF(D1333="","",IFERROR(MATCH(D1333,Settings!$B$10:$B$18,0),""))</f>
        <v/>
      </c>
      <c r="N1333">
        <f>IF(OR(B1333="",E1333="",M1333=""),"",IF(AND(B1333&gt;=Settings!$C$6,B1333&lt;=Settings!$C$7),M1333*10000+E1333,""))</f>
        <v/>
      </c>
      <c r="O1333">
        <f>IF(OR(B1333="",E1333=""),"",B1333*10000+E1333)</f>
        <v/>
      </c>
      <c r="P1333">
        <f>IF(N1333="","",E1333)</f>
        <v/>
      </c>
    </row>
    <row r="1334">
      <c r="A1334" s="1" t="n"/>
      <c r="B1334" s="20" t="n"/>
      <c r="C1334" s="21" t="n"/>
      <c r="D1334" s="22" t="n"/>
      <c r="E1334" s="23" t="n"/>
      <c r="F1334" s="22" t="n"/>
      <c r="G1334" s="14">
        <f>IF(OR(B1334="",E1334="",J1334="",K1334=""),"",IF(E1334&lt;J1334,"Below",IF(E1334&gt;K1334,"Above","In range")))</f>
        <v/>
      </c>
      <c r="H1334" s="1" t="n"/>
      <c r="J1334">
        <f>IF(M1334="","",IF(INDEX(Settings!$C$10:$C$18,M1334)="","",INDEX(Settings!$C$10:$C$18,M1334)))</f>
        <v/>
      </c>
      <c r="K1334">
        <f>IF(M1334="","",IF(INDEX(Settings!$D$10:$D$18,M1334)="","",INDEX(Settings!$D$10:$D$18,M1334)))</f>
        <v/>
      </c>
      <c r="L1334">
        <f>IF(OR(B1334="",E1334=""),"",B1334+MOD(N(C1334),1)+ROW()/10000000)</f>
        <v/>
      </c>
      <c r="M1334">
        <f>IF(D1334="","",IFERROR(MATCH(D1334,Settings!$B$10:$B$18,0),""))</f>
        <v/>
      </c>
      <c r="N1334">
        <f>IF(OR(B1334="",E1334="",M1334=""),"",IF(AND(B1334&gt;=Settings!$C$6,B1334&lt;=Settings!$C$7),M1334*10000+E1334,""))</f>
        <v/>
      </c>
      <c r="O1334">
        <f>IF(OR(B1334="",E1334=""),"",B1334*10000+E1334)</f>
        <v/>
      </c>
      <c r="P1334">
        <f>IF(N1334="","",E1334)</f>
        <v/>
      </c>
    </row>
    <row r="1335">
      <c r="A1335" s="1" t="n"/>
      <c r="B1335" s="20" t="n"/>
      <c r="C1335" s="21" t="n"/>
      <c r="D1335" s="22" t="n"/>
      <c r="E1335" s="23" t="n"/>
      <c r="F1335" s="22" t="n"/>
      <c r="G1335" s="14">
        <f>IF(OR(B1335="",E1335="",J1335="",K1335=""),"",IF(E1335&lt;J1335,"Below",IF(E1335&gt;K1335,"Above","In range")))</f>
        <v/>
      </c>
      <c r="H1335" s="1" t="n"/>
      <c r="J1335">
        <f>IF(M1335="","",IF(INDEX(Settings!$C$10:$C$18,M1335)="","",INDEX(Settings!$C$10:$C$18,M1335)))</f>
        <v/>
      </c>
      <c r="K1335">
        <f>IF(M1335="","",IF(INDEX(Settings!$D$10:$D$18,M1335)="","",INDEX(Settings!$D$10:$D$18,M1335)))</f>
        <v/>
      </c>
      <c r="L1335">
        <f>IF(OR(B1335="",E1335=""),"",B1335+MOD(N(C1335),1)+ROW()/10000000)</f>
        <v/>
      </c>
      <c r="M1335">
        <f>IF(D1335="","",IFERROR(MATCH(D1335,Settings!$B$10:$B$18,0),""))</f>
        <v/>
      </c>
      <c r="N1335">
        <f>IF(OR(B1335="",E1335="",M1335=""),"",IF(AND(B1335&gt;=Settings!$C$6,B1335&lt;=Settings!$C$7),M1335*10000+E1335,""))</f>
        <v/>
      </c>
      <c r="O1335">
        <f>IF(OR(B1335="",E1335=""),"",B1335*10000+E1335)</f>
        <v/>
      </c>
      <c r="P1335">
        <f>IF(N1335="","",E1335)</f>
        <v/>
      </c>
    </row>
    <row r="1336">
      <c r="A1336" s="1" t="n"/>
      <c r="B1336" s="20" t="n"/>
      <c r="C1336" s="21" t="n"/>
      <c r="D1336" s="22" t="n"/>
      <c r="E1336" s="23" t="n"/>
      <c r="F1336" s="22" t="n"/>
      <c r="G1336" s="14">
        <f>IF(OR(B1336="",E1336="",J1336="",K1336=""),"",IF(E1336&lt;J1336,"Below",IF(E1336&gt;K1336,"Above","In range")))</f>
        <v/>
      </c>
      <c r="H1336" s="1" t="n"/>
      <c r="J1336">
        <f>IF(M1336="","",IF(INDEX(Settings!$C$10:$C$18,M1336)="","",INDEX(Settings!$C$10:$C$18,M1336)))</f>
        <v/>
      </c>
      <c r="K1336">
        <f>IF(M1336="","",IF(INDEX(Settings!$D$10:$D$18,M1336)="","",INDEX(Settings!$D$10:$D$18,M1336)))</f>
        <v/>
      </c>
      <c r="L1336">
        <f>IF(OR(B1336="",E1336=""),"",B1336+MOD(N(C1336),1)+ROW()/10000000)</f>
        <v/>
      </c>
      <c r="M1336">
        <f>IF(D1336="","",IFERROR(MATCH(D1336,Settings!$B$10:$B$18,0),""))</f>
        <v/>
      </c>
      <c r="N1336">
        <f>IF(OR(B1336="",E1336="",M1336=""),"",IF(AND(B1336&gt;=Settings!$C$6,B1336&lt;=Settings!$C$7),M1336*10000+E1336,""))</f>
        <v/>
      </c>
      <c r="O1336">
        <f>IF(OR(B1336="",E1336=""),"",B1336*10000+E1336)</f>
        <v/>
      </c>
      <c r="P1336">
        <f>IF(N1336="","",E1336)</f>
        <v/>
      </c>
    </row>
    <row r="1337">
      <c r="A1337" s="1" t="n"/>
      <c r="B1337" s="20" t="n"/>
      <c r="C1337" s="21" t="n"/>
      <c r="D1337" s="22" t="n"/>
      <c r="E1337" s="23" t="n"/>
      <c r="F1337" s="22" t="n"/>
      <c r="G1337" s="14">
        <f>IF(OR(B1337="",E1337="",J1337="",K1337=""),"",IF(E1337&lt;J1337,"Below",IF(E1337&gt;K1337,"Above","In range")))</f>
        <v/>
      </c>
      <c r="H1337" s="1" t="n"/>
      <c r="J1337">
        <f>IF(M1337="","",IF(INDEX(Settings!$C$10:$C$18,M1337)="","",INDEX(Settings!$C$10:$C$18,M1337)))</f>
        <v/>
      </c>
      <c r="K1337">
        <f>IF(M1337="","",IF(INDEX(Settings!$D$10:$D$18,M1337)="","",INDEX(Settings!$D$10:$D$18,M1337)))</f>
        <v/>
      </c>
      <c r="L1337">
        <f>IF(OR(B1337="",E1337=""),"",B1337+MOD(N(C1337),1)+ROW()/10000000)</f>
        <v/>
      </c>
      <c r="M1337">
        <f>IF(D1337="","",IFERROR(MATCH(D1337,Settings!$B$10:$B$18,0),""))</f>
        <v/>
      </c>
      <c r="N1337">
        <f>IF(OR(B1337="",E1337="",M1337=""),"",IF(AND(B1337&gt;=Settings!$C$6,B1337&lt;=Settings!$C$7),M1337*10000+E1337,""))</f>
        <v/>
      </c>
      <c r="O1337">
        <f>IF(OR(B1337="",E1337=""),"",B1337*10000+E1337)</f>
        <v/>
      </c>
      <c r="P1337">
        <f>IF(N1337="","",E1337)</f>
        <v/>
      </c>
    </row>
    <row r="1338">
      <c r="A1338" s="1" t="n"/>
      <c r="B1338" s="20" t="n"/>
      <c r="C1338" s="21" t="n"/>
      <c r="D1338" s="22" t="n"/>
      <c r="E1338" s="23" t="n"/>
      <c r="F1338" s="22" t="n"/>
      <c r="G1338" s="14">
        <f>IF(OR(B1338="",E1338="",J1338="",K1338=""),"",IF(E1338&lt;J1338,"Below",IF(E1338&gt;K1338,"Above","In range")))</f>
        <v/>
      </c>
      <c r="H1338" s="1" t="n"/>
      <c r="J1338">
        <f>IF(M1338="","",IF(INDEX(Settings!$C$10:$C$18,M1338)="","",INDEX(Settings!$C$10:$C$18,M1338)))</f>
        <v/>
      </c>
      <c r="K1338">
        <f>IF(M1338="","",IF(INDEX(Settings!$D$10:$D$18,M1338)="","",INDEX(Settings!$D$10:$D$18,M1338)))</f>
        <v/>
      </c>
      <c r="L1338">
        <f>IF(OR(B1338="",E1338=""),"",B1338+MOD(N(C1338),1)+ROW()/10000000)</f>
        <v/>
      </c>
      <c r="M1338">
        <f>IF(D1338="","",IFERROR(MATCH(D1338,Settings!$B$10:$B$18,0),""))</f>
        <v/>
      </c>
      <c r="N1338">
        <f>IF(OR(B1338="",E1338="",M1338=""),"",IF(AND(B1338&gt;=Settings!$C$6,B1338&lt;=Settings!$C$7),M1338*10000+E1338,""))</f>
        <v/>
      </c>
      <c r="O1338">
        <f>IF(OR(B1338="",E1338=""),"",B1338*10000+E1338)</f>
        <v/>
      </c>
      <c r="P1338">
        <f>IF(N1338="","",E1338)</f>
        <v/>
      </c>
    </row>
    <row r="1339">
      <c r="A1339" s="1" t="n"/>
      <c r="B1339" s="20" t="n"/>
      <c r="C1339" s="21" t="n"/>
      <c r="D1339" s="22" t="n"/>
      <c r="E1339" s="23" t="n"/>
      <c r="F1339" s="22" t="n"/>
      <c r="G1339" s="14">
        <f>IF(OR(B1339="",E1339="",J1339="",K1339=""),"",IF(E1339&lt;J1339,"Below",IF(E1339&gt;K1339,"Above","In range")))</f>
        <v/>
      </c>
      <c r="H1339" s="1" t="n"/>
      <c r="J1339">
        <f>IF(M1339="","",IF(INDEX(Settings!$C$10:$C$18,M1339)="","",INDEX(Settings!$C$10:$C$18,M1339)))</f>
        <v/>
      </c>
      <c r="K1339">
        <f>IF(M1339="","",IF(INDEX(Settings!$D$10:$D$18,M1339)="","",INDEX(Settings!$D$10:$D$18,M1339)))</f>
        <v/>
      </c>
      <c r="L1339">
        <f>IF(OR(B1339="",E1339=""),"",B1339+MOD(N(C1339),1)+ROW()/10000000)</f>
        <v/>
      </c>
      <c r="M1339">
        <f>IF(D1339="","",IFERROR(MATCH(D1339,Settings!$B$10:$B$18,0),""))</f>
        <v/>
      </c>
      <c r="N1339">
        <f>IF(OR(B1339="",E1339="",M1339=""),"",IF(AND(B1339&gt;=Settings!$C$6,B1339&lt;=Settings!$C$7),M1339*10000+E1339,""))</f>
        <v/>
      </c>
      <c r="O1339">
        <f>IF(OR(B1339="",E1339=""),"",B1339*10000+E1339)</f>
        <v/>
      </c>
      <c r="P1339">
        <f>IF(N1339="","",E1339)</f>
        <v/>
      </c>
    </row>
    <row r="1340">
      <c r="A1340" s="1" t="n"/>
      <c r="B1340" s="20" t="n"/>
      <c r="C1340" s="21" t="n"/>
      <c r="D1340" s="22" t="n"/>
      <c r="E1340" s="23" t="n"/>
      <c r="F1340" s="22" t="n"/>
      <c r="G1340" s="14">
        <f>IF(OR(B1340="",E1340="",J1340="",K1340=""),"",IF(E1340&lt;J1340,"Below",IF(E1340&gt;K1340,"Above","In range")))</f>
        <v/>
      </c>
      <c r="H1340" s="1" t="n"/>
      <c r="J1340">
        <f>IF(M1340="","",IF(INDEX(Settings!$C$10:$C$18,M1340)="","",INDEX(Settings!$C$10:$C$18,M1340)))</f>
        <v/>
      </c>
      <c r="K1340">
        <f>IF(M1340="","",IF(INDEX(Settings!$D$10:$D$18,M1340)="","",INDEX(Settings!$D$10:$D$18,M1340)))</f>
        <v/>
      </c>
      <c r="L1340">
        <f>IF(OR(B1340="",E1340=""),"",B1340+MOD(N(C1340),1)+ROW()/10000000)</f>
        <v/>
      </c>
      <c r="M1340">
        <f>IF(D1340="","",IFERROR(MATCH(D1340,Settings!$B$10:$B$18,0),""))</f>
        <v/>
      </c>
      <c r="N1340">
        <f>IF(OR(B1340="",E1340="",M1340=""),"",IF(AND(B1340&gt;=Settings!$C$6,B1340&lt;=Settings!$C$7),M1340*10000+E1340,""))</f>
        <v/>
      </c>
      <c r="O1340">
        <f>IF(OR(B1340="",E1340=""),"",B1340*10000+E1340)</f>
        <v/>
      </c>
      <c r="P1340">
        <f>IF(N1340="","",E1340)</f>
        <v/>
      </c>
    </row>
    <row r="1341">
      <c r="A1341" s="1" t="n"/>
      <c r="B1341" s="20" t="n"/>
      <c r="C1341" s="21" t="n"/>
      <c r="D1341" s="22" t="n"/>
      <c r="E1341" s="23" t="n"/>
      <c r="F1341" s="22" t="n"/>
      <c r="G1341" s="14">
        <f>IF(OR(B1341="",E1341="",J1341="",K1341=""),"",IF(E1341&lt;J1341,"Below",IF(E1341&gt;K1341,"Above","In range")))</f>
        <v/>
      </c>
      <c r="H1341" s="1" t="n"/>
      <c r="J1341">
        <f>IF(M1341="","",IF(INDEX(Settings!$C$10:$C$18,M1341)="","",INDEX(Settings!$C$10:$C$18,M1341)))</f>
        <v/>
      </c>
      <c r="K1341">
        <f>IF(M1341="","",IF(INDEX(Settings!$D$10:$D$18,M1341)="","",INDEX(Settings!$D$10:$D$18,M1341)))</f>
        <v/>
      </c>
      <c r="L1341">
        <f>IF(OR(B1341="",E1341=""),"",B1341+MOD(N(C1341),1)+ROW()/10000000)</f>
        <v/>
      </c>
      <c r="M1341">
        <f>IF(D1341="","",IFERROR(MATCH(D1341,Settings!$B$10:$B$18,0),""))</f>
        <v/>
      </c>
      <c r="N1341">
        <f>IF(OR(B1341="",E1341="",M1341=""),"",IF(AND(B1341&gt;=Settings!$C$6,B1341&lt;=Settings!$C$7),M1341*10000+E1341,""))</f>
        <v/>
      </c>
      <c r="O1341">
        <f>IF(OR(B1341="",E1341=""),"",B1341*10000+E1341)</f>
        <v/>
      </c>
      <c r="P1341">
        <f>IF(N1341="","",E1341)</f>
        <v/>
      </c>
    </row>
    <row r="1342">
      <c r="A1342" s="1" t="n"/>
      <c r="B1342" s="20" t="n"/>
      <c r="C1342" s="21" t="n"/>
      <c r="D1342" s="22" t="n"/>
      <c r="E1342" s="23" t="n"/>
      <c r="F1342" s="22" t="n"/>
      <c r="G1342" s="14">
        <f>IF(OR(B1342="",E1342="",J1342="",K1342=""),"",IF(E1342&lt;J1342,"Below",IF(E1342&gt;K1342,"Above","In range")))</f>
        <v/>
      </c>
      <c r="H1342" s="1" t="n"/>
      <c r="J1342">
        <f>IF(M1342="","",IF(INDEX(Settings!$C$10:$C$18,M1342)="","",INDEX(Settings!$C$10:$C$18,M1342)))</f>
        <v/>
      </c>
      <c r="K1342">
        <f>IF(M1342="","",IF(INDEX(Settings!$D$10:$D$18,M1342)="","",INDEX(Settings!$D$10:$D$18,M1342)))</f>
        <v/>
      </c>
      <c r="L1342">
        <f>IF(OR(B1342="",E1342=""),"",B1342+MOD(N(C1342),1)+ROW()/10000000)</f>
        <v/>
      </c>
      <c r="M1342">
        <f>IF(D1342="","",IFERROR(MATCH(D1342,Settings!$B$10:$B$18,0),""))</f>
        <v/>
      </c>
      <c r="N1342">
        <f>IF(OR(B1342="",E1342="",M1342=""),"",IF(AND(B1342&gt;=Settings!$C$6,B1342&lt;=Settings!$C$7),M1342*10000+E1342,""))</f>
        <v/>
      </c>
      <c r="O1342">
        <f>IF(OR(B1342="",E1342=""),"",B1342*10000+E1342)</f>
        <v/>
      </c>
      <c r="P1342">
        <f>IF(N1342="","",E1342)</f>
        <v/>
      </c>
    </row>
    <row r="1343">
      <c r="A1343" s="1" t="n"/>
      <c r="B1343" s="20" t="n"/>
      <c r="C1343" s="21" t="n"/>
      <c r="D1343" s="22" t="n"/>
      <c r="E1343" s="23" t="n"/>
      <c r="F1343" s="22" t="n"/>
      <c r="G1343" s="14">
        <f>IF(OR(B1343="",E1343="",J1343="",K1343=""),"",IF(E1343&lt;J1343,"Below",IF(E1343&gt;K1343,"Above","In range")))</f>
        <v/>
      </c>
      <c r="H1343" s="1" t="n"/>
      <c r="J1343">
        <f>IF(M1343="","",IF(INDEX(Settings!$C$10:$C$18,M1343)="","",INDEX(Settings!$C$10:$C$18,M1343)))</f>
        <v/>
      </c>
      <c r="K1343">
        <f>IF(M1343="","",IF(INDEX(Settings!$D$10:$D$18,M1343)="","",INDEX(Settings!$D$10:$D$18,M1343)))</f>
        <v/>
      </c>
      <c r="L1343">
        <f>IF(OR(B1343="",E1343=""),"",B1343+MOD(N(C1343),1)+ROW()/10000000)</f>
        <v/>
      </c>
      <c r="M1343">
        <f>IF(D1343="","",IFERROR(MATCH(D1343,Settings!$B$10:$B$18,0),""))</f>
        <v/>
      </c>
      <c r="N1343">
        <f>IF(OR(B1343="",E1343="",M1343=""),"",IF(AND(B1343&gt;=Settings!$C$6,B1343&lt;=Settings!$C$7),M1343*10000+E1343,""))</f>
        <v/>
      </c>
      <c r="O1343">
        <f>IF(OR(B1343="",E1343=""),"",B1343*10000+E1343)</f>
        <v/>
      </c>
      <c r="P1343">
        <f>IF(N1343="","",E1343)</f>
        <v/>
      </c>
    </row>
    <row r="1344">
      <c r="A1344" s="1" t="n"/>
      <c r="B1344" s="20" t="n"/>
      <c r="C1344" s="21" t="n"/>
      <c r="D1344" s="22" t="n"/>
      <c r="E1344" s="23" t="n"/>
      <c r="F1344" s="22" t="n"/>
      <c r="G1344" s="14">
        <f>IF(OR(B1344="",E1344="",J1344="",K1344=""),"",IF(E1344&lt;J1344,"Below",IF(E1344&gt;K1344,"Above","In range")))</f>
        <v/>
      </c>
      <c r="H1344" s="1" t="n"/>
      <c r="J1344">
        <f>IF(M1344="","",IF(INDEX(Settings!$C$10:$C$18,M1344)="","",INDEX(Settings!$C$10:$C$18,M1344)))</f>
        <v/>
      </c>
      <c r="K1344">
        <f>IF(M1344="","",IF(INDEX(Settings!$D$10:$D$18,M1344)="","",INDEX(Settings!$D$10:$D$18,M1344)))</f>
        <v/>
      </c>
      <c r="L1344">
        <f>IF(OR(B1344="",E1344=""),"",B1344+MOD(N(C1344),1)+ROW()/10000000)</f>
        <v/>
      </c>
      <c r="M1344">
        <f>IF(D1344="","",IFERROR(MATCH(D1344,Settings!$B$10:$B$18,0),""))</f>
        <v/>
      </c>
      <c r="N1344">
        <f>IF(OR(B1344="",E1344="",M1344=""),"",IF(AND(B1344&gt;=Settings!$C$6,B1344&lt;=Settings!$C$7),M1344*10000+E1344,""))</f>
        <v/>
      </c>
      <c r="O1344">
        <f>IF(OR(B1344="",E1344=""),"",B1344*10000+E1344)</f>
        <v/>
      </c>
      <c r="P1344">
        <f>IF(N1344="","",E1344)</f>
        <v/>
      </c>
    </row>
    <row r="1345">
      <c r="A1345" s="1" t="n"/>
      <c r="B1345" s="20" t="n"/>
      <c r="C1345" s="21" t="n"/>
      <c r="D1345" s="22" t="n"/>
      <c r="E1345" s="23" t="n"/>
      <c r="F1345" s="22" t="n"/>
      <c r="G1345" s="14">
        <f>IF(OR(B1345="",E1345="",J1345="",K1345=""),"",IF(E1345&lt;J1345,"Below",IF(E1345&gt;K1345,"Above","In range")))</f>
        <v/>
      </c>
      <c r="H1345" s="1" t="n"/>
      <c r="J1345">
        <f>IF(M1345="","",IF(INDEX(Settings!$C$10:$C$18,M1345)="","",INDEX(Settings!$C$10:$C$18,M1345)))</f>
        <v/>
      </c>
      <c r="K1345">
        <f>IF(M1345="","",IF(INDEX(Settings!$D$10:$D$18,M1345)="","",INDEX(Settings!$D$10:$D$18,M1345)))</f>
        <v/>
      </c>
      <c r="L1345">
        <f>IF(OR(B1345="",E1345=""),"",B1345+MOD(N(C1345),1)+ROW()/10000000)</f>
        <v/>
      </c>
      <c r="M1345">
        <f>IF(D1345="","",IFERROR(MATCH(D1345,Settings!$B$10:$B$18,0),""))</f>
        <v/>
      </c>
      <c r="N1345">
        <f>IF(OR(B1345="",E1345="",M1345=""),"",IF(AND(B1345&gt;=Settings!$C$6,B1345&lt;=Settings!$C$7),M1345*10000+E1345,""))</f>
        <v/>
      </c>
      <c r="O1345">
        <f>IF(OR(B1345="",E1345=""),"",B1345*10000+E1345)</f>
        <v/>
      </c>
      <c r="P1345">
        <f>IF(N1345="","",E1345)</f>
        <v/>
      </c>
    </row>
    <row r="1346">
      <c r="A1346" s="1" t="n"/>
      <c r="B1346" s="20" t="n"/>
      <c r="C1346" s="21" t="n"/>
      <c r="D1346" s="22" t="n"/>
      <c r="E1346" s="23" t="n"/>
      <c r="F1346" s="22" t="n"/>
      <c r="G1346" s="14">
        <f>IF(OR(B1346="",E1346="",J1346="",K1346=""),"",IF(E1346&lt;J1346,"Below",IF(E1346&gt;K1346,"Above","In range")))</f>
        <v/>
      </c>
      <c r="H1346" s="1" t="n"/>
      <c r="J1346">
        <f>IF(M1346="","",IF(INDEX(Settings!$C$10:$C$18,M1346)="","",INDEX(Settings!$C$10:$C$18,M1346)))</f>
        <v/>
      </c>
      <c r="K1346">
        <f>IF(M1346="","",IF(INDEX(Settings!$D$10:$D$18,M1346)="","",INDEX(Settings!$D$10:$D$18,M1346)))</f>
        <v/>
      </c>
      <c r="L1346">
        <f>IF(OR(B1346="",E1346=""),"",B1346+MOD(N(C1346),1)+ROW()/10000000)</f>
        <v/>
      </c>
      <c r="M1346">
        <f>IF(D1346="","",IFERROR(MATCH(D1346,Settings!$B$10:$B$18,0),""))</f>
        <v/>
      </c>
      <c r="N1346">
        <f>IF(OR(B1346="",E1346="",M1346=""),"",IF(AND(B1346&gt;=Settings!$C$6,B1346&lt;=Settings!$C$7),M1346*10000+E1346,""))</f>
        <v/>
      </c>
      <c r="O1346">
        <f>IF(OR(B1346="",E1346=""),"",B1346*10000+E1346)</f>
        <v/>
      </c>
      <c r="P1346">
        <f>IF(N1346="","",E1346)</f>
        <v/>
      </c>
    </row>
    <row r="1347">
      <c r="A1347" s="1" t="n"/>
      <c r="B1347" s="20" t="n"/>
      <c r="C1347" s="21" t="n"/>
      <c r="D1347" s="22" t="n"/>
      <c r="E1347" s="23" t="n"/>
      <c r="F1347" s="22" t="n"/>
      <c r="G1347" s="14">
        <f>IF(OR(B1347="",E1347="",J1347="",K1347=""),"",IF(E1347&lt;J1347,"Below",IF(E1347&gt;K1347,"Above","In range")))</f>
        <v/>
      </c>
      <c r="H1347" s="1" t="n"/>
      <c r="J1347">
        <f>IF(M1347="","",IF(INDEX(Settings!$C$10:$C$18,M1347)="","",INDEX(Settings!$C$10:$C$18,M1347)))</f>
        <v/>
      </c>
      <c r="K1347">
        <f>IF(M1347="","",IF(INDEX(Settings!$D$10:$D$18,M1347)="","",INDEX(Settings!$D$10:$D$18,M1347)))</f>
        <v/>
      </c>
      <c r="L1347">
        <f>IF(OR(B1347="",E1347=""),"",B1347+MOD(N(C1347),1)+ROW()/10000000)</f>
        <v/>
      </c>
      <c r="M1347">
        <f>IF(D1347="","",IFERROR(MATCH(D1347,Settings!$B$10:$B$18,0),""))</f>
        <v/>
      </c>
      <c r="N1347">
        <f>IF(OR(B1347="",E1347="",M1347=""),"",IF(AND(B1347&gt;=Settings!$C$6,B1347&lt;=Settings!$C$7),M1347*10000+E1347,""))</f>
        <v/>
      </c>
      <c r="O1347">
        <f>IF(OR(B1347="",E1347=""),"",B1347*10000+E1347)</f>
        <v/>
      </c>
      <c r="P1347">
        <f>IF(N1347="","",E1347)</f>
        <v/>
      </c>
    </row>
    <row r="1348">
      <c r="A1348" s="1" t="n"/>
      <c r="B1348" s="20" t="n"/>
      <c r="C1348" s="21" t="n"/>
      <c r="D1348" s="22" t="n"/>
      <c r="E1348" s="23" t="n"/>
      <c r="F1348" s="22" t="n"/>
      <c r="G1348" s="14">
        <f>IF(OR(B1348="",E1348="",J1348="",K1348=""),"",IF(E1348&lt;J1348,"Below",IF(E1348&gt;K1348,"Above","In range")))</f>
        <v/>
      </c>
      <c r="H1348" s="1" t="n"/>
      <c r="J1348">
        <f>IF(M1348="","",IF(INDEX(Settings!$C$10:$C$18,M1348)="","",INDEX(Settings!$C$10:$C$18,M1348)))</f>
        <v/>
      </c>
      <c r="K1348">
        <f>IF(M1348="","",IF(INDEX(Settings!$D$10:$D$18,M1348)="","",INDEX(Settings!$D$10:$D$18,M1348)))</f>
        <v/>
      </c>
      <c r="L1348">
        <f>IF(OR(B1348="",E1348=""),"",B1348+MOD(N(C1348),1)+ROW()/10000000)</f>
        <v/>
      </c>
      <c r="M1348">
        <f>IF(D1348="","",IFERROR(MATCH(D1348,Settings!$B$10:$B$18,0),""))</f>
        <v/>
      </c>
      <c r="N1348">
        <f>IF(OR(B1348="",E1348="",M1348=""),"",IF(AND(B1348&gt;=Settings!$C$6,B1348&lt;=Settings!$C$7),M1348*10000+E1348,""))</f>
        <v/>
      </c>
      <c r="O1348">
        <f>IF(OR(B1348="",E1348=""),"",B1348*10000+E1348)</f>
        <v/>
      </c>
      <c r="P1348">
        <f>IF(N1348="","",E1348)</f>
        <v/>
      </c>
    </row>
    <row r="1349">
      <c r="A1349" s="1" t="n"/>
      <c r="B1349" s="20" t="n"/>
      <c r="C1349" s="21" t="n"/>
      <c r="D1349" s="22" t="n"/>
      <c r="E1349" s="23" t="n"/>
      <c r="F1349" s="22" t="n"/>
      <c r="G1349" s="14">
        <f>IF(OR(B1349="",E1349="",J1349="",K1349=""),"",IF(E1349&lt;J1349,"Below",IF(E1349&gt;K1349,"Above","In range")))</f>
        <v/>
      </c>
      <c r="H1349" s="1" t="n"/>
      <c r="J1349">
        <f>IF(M1349="","",IF(INDEX(Settings!$C$10:$C$18,M1349)="","",INDEX(Settings!$C$10:$C$18,M1349)))</f>
        <v/>
      </c>
      <c r="K1349">
        <f>IF(M1349="","",IF(INDEX(Settings!$D$10:$D$18,M1349)="","",INDEX(Settings!$D$10:$D$18,M1349)))</f>
        <v/>
      </c>
      <c r="L1349">
        <f>IF(OR(B1349="",E1349=""),"",B1349+MOD(N(C1349),1)+ROW()/10000000)</f>
        <v/>
      </c>
      <c r="M1349">
        <f>IF(D1349="","",IFERROR(MATCH(D1349,Settings!$B$10:$B$18,0),""))</f>
        <v/>
      </c>
      <c r="N1349">
        <f>IF(OR(B1349="",E1349="",M1349=""),"",IF(AND(B1349&gt;=Settings!$C$6,B1349&lt;=Settings!$C$7),M1349*10000+E1349,""))</f>
        <v/>
      </c>
      <c r="O1349">
        <f>IF(OR(B1349="",E1349=""),"",B1349*10000+E1349)</f>
        <v/>
      </c>
      <c r="P1349">
        <f>IF(N1349="","",E1349)</f>
        <v/>
      </c>
    </row>
    <row r="1350">
      <c r="A1350" s="1" t="n"/>
      <c r="B1350" s="20" t="n"/>
      <c r="C1350" s="21" t="n"/>
      <c r="D1350" s="22" t="n"/>
      <c r="E1350" s="23" t="n"/>
      <c r="F1350" s="22" t="n"/>
      <c r="G1350" s="14">
        <f>IF(OR(B1350="",E1350="",J1350="",K1350=""),"",IF(E1350&lt;J1350,"Below",IF(E1350&gt;K1350,"Above","In range")))</f>
        <v/>
      </c>
      <c r="H1350" s="1" t="n"/>
      <c r="J1350">
        <f>IF(M1350="","",IF(INDEX(Settings!$C$10:$C$18,M1350)="","",INDEX(Settings!$C$10:$C$18,M1350)))</f>
        <v/>
      </c>
      <c r="K1350">
        <f>IF(M1350="","",IF(INDEX(Settings!$D$10:$D$18,M1350)="","",INDEX(Settings!$D$10:$D$18,M1350)))</f>
        <v/>
      </c>
      <c r="L1350">
        <f>IF(OR(B1350="",E1350=""),"",B1350+MOD(N(C1350),1)+ROW()/10000000)</f>
        <v/>
      </c>
      <c r="M1350">
        <f>IF(D1350="","",IFERROR(MATCH(D1350,Settings!$B$10:$B$18,0),""))</f>
        <v/>
      </c>
      <c r="N1350">
        <f>IF(OR(B1350="",E1350="",M1350=""),"",IF(AND(B1350&gt;=Settings!$C$6,B1350&lt;=Settings!$C$7),M1350*10000+E1350,""))</f>
        <v/>
      </c>
      <c r="O1350">
        <f>IF(OR(B1350="",E1350=""),"",B1350*10000+E1350)</f>
        <v/>
      </c>
      <c r="P1350">
        <f>IF(N1350="","",E1350)</f>
        <v/>
      </c>
    </row>
    <row r="1351">
      <c r="A1351" s="1" t="n"/>
      <c r="B1351" s="20" t="n"/>
      <c r="C1351" s="21" t="n"/>
      <c r="D1351" s="22" t="n"/>
      <c r="E1351" s="23" t="n"/>
      <c r="F1351" s="22" t="n"/>
      <c r="G1351" s="14">
        <f>IF(OR(B1351="",E1351="",J1351="",K1351=""),"",IF(E1351&lt;J1351,"Below",IF(E1351&gt;K1351,"Above","In range")))</f>
        <v/>
      </c>
      <c r="H1351" s="1" t="n"/>
      <c r="J1351">
        <f>IF(M1351="","",IF(INDEX(Settings!$C$10:$C$18,M1351)="","",INDEX(Settings!$C$10:$C$18,M1351)))</f>
        <v/>
      </c>
      <c r="K1351">
        <f>IF(M1351="","",IF(INDEX(Settings!$D$10:$D$18,M1351)="","",INDEX(Settings!$D$10:$D$18,M1351)))</f>
        <v/>
      </c>
      <c r="L1351">
        <f>IF(OR(B1351="",E1351=""),"",B1351+MOD(N(C1351),1)+ROW()/10000000)</f>
        <v/>
      </c>
      <c r="M1351">
        <f>IF(D1351="","",IFERROR(MATCH(D1351,Settings!$B$10:$B$18,0),""))</f>
        <v/>
      </c>
      <c r="N1351">
        <f>IF(OR(B1351="",E1351="",M1351=""),"",IF(AND(B1351&gt;=Settings!$C$6,B1351&lt;=Settings!$C$7),M1351*10000+E1351,""))</f>
        <v/>
      </c>
      <c r="O1351">
        <f>IF(OR(B1351="",E1351=""),"",B1351*10000+E1351)</f>
        <v/>
      </c>
      <c r="P1351">
        <f>IF(N1351="","",E1351)</f>
        <v/>
      </c>
    </row>
    <row r="1352">
      <c r="A1352" s="1" t="n"/>
      <c r="B1352" s="20" t="n"/>
      <c r="C1352" s="21" t="n"/>
      <c r="D1352" s="22" t="n"/>
      <c r="E1352" s="23" t="n"/>
      <c r="F1352" s="22" t="n"/>
      <c r="G1352" s="14">
        <f>IF(OR(B1352="",E1352="",J1352="",K1352=""),"",IF(E1352&lt;J1352,"Below",IF(E1352&gt;K1352,"Above","In range")))</f>
        <v/>
      </c>
      <c r="H1352" s="1" t="n"/>
      <c r="J1352">
        <f>IF(M1352="","",IF(INDEX(Settings!$C$10:$C$18,M1352)="","",INDEX(Settings!$C$10:$C$18,M1352)))</f>
        <v/>
      </c>
      <c r="K1352">
        <f>IF(M1352="","",IF(INDEX(Settings!$D$10:$D$18,M1352)="","",INDEX(Settings!$D$10:$D$18,M1352)))</f>
        <v/>
      </c>
      <c r="L1352">
        <f>IF(OR(B1352="",E1352=""),"",B1352+MOD(N(C1352),1)+ROW()/10000000)</f>
        <v/>
      </c>
      <c r="M1352">
        <f>IF(D1352="","",IFERROR(MATCH(D1352,Settings!$B$10:$B$18,0),""))</f>
        <v/>
      </c>
      <c r="N1352">
        <f>IF(OR(B1352="",E1352="",M1352=""),"",IF(AND(B1352&gt;=Settings!$C$6,B1352&lt;=Settings!$C$7),M1352*10000+E1352,""))</f>
        <v/>
      </c>
      <c r="O1352">
        <f>IF(OR(B1352="",E1352=""),"",B1352*10000+E1352)</f>
        <v/>
      </c>
      <c r="P1352">
        <f>IF(N1352="","",E1352)</f>
        <v/>
      </c>
    </row>
    <row r="1353">
      <c r="A1353" s="1" t="n"/>
      <c r="B1353" s="20" t="n"/>
      <c r="C1353" s="21" t="n"/>
      <c r="D1353" s="22" t="n"/>
      <c r="E1353" s="23" t="n"/>
      <c r="F1353" s="22" t="n"/>
      <c r="G1353" s="14">
        <f>IF(OR(B1353="",E1353="",J1353="",K1353=""),"",IF(E1353&lt;J1353,"Below",IF(E1353&gt;K1353,"Above","In range")))</f>
        <v/>
      </c>
      <c r="H1353" s="1" t="n"/>
      <c r="J1353">
        <f>IF(M1353="","",IF(INDEX(Settings!$C$10:$C$18,M1353)="","",INDEX(Settings!$C$10:$C$18,M1353)))</f>
        <v/>
      </c>
      <c r="K1353">
        <f>IF(M1353="","",IF(INDEX(Settings!$D$10:$D$18,M1353)="","",INDEX(Settings!$D$10:$D$18,M1353)))</f>
        <v/>
      </c>
      <c r="L1353">
        <f>IF(OR(B1353="",E1353=""),"",B1353+MOD(N(C1353),1)+ROW()/10000000)</f>
        <v/>
      </c>
      <c r="M1353">
        <f>IF(D1353="","",IFERROR(MATCH(D1353,Settings!$B$10:$B$18,0),""))</f>
        <v/>
      </c>
      <c r="N1353">
        <f>IF(OR(B1353="",E1353="",M1353=""),"",IF(AND(B1353&gt;=Settings!$C$6,B1353&lt;=Settings!$C$7),M1353*10000+E1353,""))</f>
        <v/>
      </c>
      <c r="O1353">
        <f>IF(OR(B1353="",E1353=""),"",B1353*10000+E1353)</f>
        <v/>
      </c>
      <c r="P1353">
        <f>IF(N1353="","",E1353)</f>
        <v/>
      </c>
    </row>
    <row r="1354">
      <c r="A1354" s="1" t="n"/>
      <c r="B1354" s="20" t="n"/>
      <c r="C1354" s="21" t="n"/>
      <c r="D1354" s="22" t="n"/>
      <c r="E1354" s="23" t="n"/>
      <c r="F1354" s="22" t="n"/>
      <c r="G1354" s="14">
        <f>IF(OR(B1354="",E1354="",J1354="",K1354=""),"",IF(E1354&lt;J1354,"Below",IF(E1354&gt;K1354,"Above","In range")))</f>
        <v/>
      </c>
      <c r="H1354" s="1" t="n"/>
      <c r="J1354">
        <f>IF(M1354="","",IF(INDEX(Settings!$C$10:$C$18,M1354)="","",INDEX(Settings!$C$10:$C$18,M1354)))</f>
        <v/>
      </c>
      <c r="K1354">
        <f>IF(M1354="","",IF(INDEX(Settings!$D$10:$D$18,M1354)="","",INDEX(Settings!$D$10:$D$18,M1354)))</f>
        <v/>
      </c>
      <c r="L1354">
        <f>IF(OR(B1354="",E1354=""),"",B1354+MOD(N(C1354),1)+ROW()/10000000)</f>
        <v/>
      </c>
      <c r="M1354">
        <f>IF(D1354="","",IFERROR(MATCH(D1354,Settings!$B$10:$B$18,0),""))</f>
        <v/>
      </c>
      <c r="N1354">
        <f>IF(OR(B1354="",E1354="",M1354=""),"",IF(AND(B1354&gt;=Settings!$C$6,B1354&lt;=Settings!$C$7),M1354*10000+E1354,""))</f>
        <v/>
      </c>
      <c r="O1354">
        <f>IF(OR(B1354="",E1354=""),"",B1354*10000+E1354)</f>
        <v/>
      </c>
      <c r="P1354">
        <f>IF(N1354="","",E1354)</f>
        <v/>
      </c>
    </row>
    <row r="1355">
      <c r="A1355" s="1" t="n"/>
      <c r="B1355" s="20" t="n"/>
      <c r="C1355" s="21" t="n"/>
      <c r="D1355" s="22" t="n"/>
      <c r="E1355" s="23" t="n"/>
      <c r="F1355" s="22" t="n"/>
      <c r="G1355" s="14">
        <f>IF(OR(B1355="",E1355="",J1355="",K1355=""),"",IF(E1355&lt;J1355,"Below",IF(E1355&gt;K1355,"Above","In range")))</f>
        <v/>
      </c>
      <c r="H1355" s="1" t="n"/>
      <c r="J1355">
        <f>IF(M1355="","",IF(INDEX(Settings!$C$10:$C$18,M1355)="","",INDEX(Settings!$C$10:$C$18,M1355)))</f>
        <v/>
      </c>
      <c r="K1355">
        <f>IF(M1355="","",IF(INDEX(Settings!$D$10:$D$18,M1355)="","",INDEX(Settings!$D$10:$D$18,M1355)))</f>
        <v/>
      </c>
      <c r="L1355">
        <f>IF(OR(B1355="",E1355=""),"",B1355+MOD(N(C1355),1)+ROW()/10000000)</f>
        <v/>
      </c>
      <c r="M1355">
        <f>IF(D1355="","",IFERROR(MATCH(D1355,Settings!$B$10:$B$18,0),""))</f>
        <v/>
      </c>
      <c r="N1355">
        <f>IF(OR(B1355="",E1355="",M1355=""),"",IF(AND(B1355&gt;=Settings!$C$6,B1355&lt;=Settings!$C$7),M1355*10000+E1355,""))</f>
        <v/>
      </c>
      <c r="O1355">
        <f>IF(OR(B1355="",E1355=""),"",B1355*10000+E1355)</f>
        <v/>
      </c>
      <c r="P1355">
        <f>IF(N1355="","",E1355)</f>
        <v/>
      </c>
    </row>
    <row r="1356">
      <c r="A1356" s="1" t="n"/>
      <c r="B1356" s="20" t="n"/>
      <c r="C1356" s="21" t="n"/>
      <c r="D1356" s="22" t="n"/>
      <c r="E1356" s="23" t="n"/>
      <c r="F1356" s="22" t="n"/>
      <c r="G1356" s="14">
        <f>IF(OR(B1356="",E1356="",J1356="",K1356=""),"",IF(E1356&lt;J1356,"Below",IF(E1356&gt;K1356,"Above","In range")))</f>
        <v/>
      </c>
      <c r="H1356" s="1" t="n"/>
      <c r="J1356">
        <f>IF(M1356="","",IF(INDEX(Settings!$C$10:$C$18,M1356)="","",INDEX(Settings!$C$10:$C$18,M1356)))</f>
        <v/>
      </c>
      <c r="K1356">
        <f>IF(M1356="","",IF(INDEX(Settings!$D$10:$D$18,M1356)="","",INDEX(Settings!$D$10:$D$18,M1356)))</f>
        <v/>
      </c>
      <c r="L1356">
        <f>IF(OR(B1356="",E1356=""),"",B1356+MOD(N(C1356),1)+ROW()/10000000)</f>
        <v/>
      </c>
      <c r="M1356">
        <f>IF(D1356="","",IFERROR(MATCH(D1356,Settings!$B$10:$B$18,0),""))</f>
        <v/>
      </c>
      <c r="N1356">
        <f>IF(OR(B1356="",E1356="",M1356=""),"",IF(AND(B1356&gt;=Settings!$C$6,B1356&lt;=Settings!$C$7),M1356*10000+E1356,""))</f>
        <v/>
      </c>
      <c r="O1356">
        <f>IF(OR(B1356="",E1356=""),"",B1356*10000+E1356)</f>
        <v/>
      </c>
      <c r="P1356">
        <f>IF(N1356="","",E1356)</f>
        <v/>
      </c>
    </row>
    <row r="1357">
      <c r="A1357" s="1" t="n"/>
      <c r="B1357" s="20" t="n"/>
      <c r="C1357" s="21" t="n"/>
      <c r="D1357" s="22" t="n"/>
      <c r="E1357" s="23" t="n"/>
      <c r="F1357" s="22" t="n"/>
      <c r="G1357" s="14">
        <f>IF(OR(B1357="",E1357="",J1357="",K1357=""),"",IF(E1357&lt;J1357,"Below",IF(E1357&gt;K1357,"Above","In range")))</f>
        <v/>
      </c>
      <c r="H1357" s="1" t="n"/>
      <c r="J1357">
        <f>IF(M1357="","",IF(INDEX(Settings!$C$10:$C$18,M1357)="","",INDEX(Settings!$C$10:$C$18,M1357)))</f>
        <v/>
      </c>
      <c r="K1357">
        <f>IF(M1357="","",IF(INDEX(Settings!$D$10:$D$18,M1357)="","",INDEX(Settings!$D$10:$D$18,M1357)))</f>
        <v/>
      </c>
      <c r="L1357">
        <f>IF(OR(B1357="",E1357=""),"",B1357+MOD(N(C1357),1)+ROW()/10000000)</f>
        <v/>
      </c>
      <c r="M1357">
        <f>IF(D1357="","",IFERROR(MATCH(D1357,Settings!$B$10:$B$18,0),""))</f>
        <v/>
      </c>
      <c r="N1357">
        <f>IF(OR(B1357="",E1357="",M1357=""),"",IF(AND(B1357&gt;=Settings!$C$6,B1357&lt;=Settings!$C$7),M1357*10000+E1357,""))</f>
        <v/>
      </c>
      <c r="O1357">
        <f>IF(OR(B1357="",E1357=""),"",B1357*10000+E1357)</f>
        <v/>
      </c>
      <c r="P1357">
        <f>IF(N1357="","",E1357)</f>
        <v/>
      </c>
    </row>
    <row r="1358">
      <c r="A1358" s="1" t="n"/>
      <c r="B1358" s="20" t="n"/>
      <c r="C1358" s="21" t="n"/>
      <c r="D1358" s="22" t="n"/>
      <c r="E1358" s="23" t="n"/>
      <c r="F1358" s="22" t="n"/>
      <c r="G1358" s="14">
        <f>IF(OR(B1358="",E1358="",J1358="",K1358=""),"",IF(E1358&lt;J1358,"Below",IF(E1358&gt;K1358,"Above","In range")))</f>
        <v/>
      </c>
      <c r="H1358" s="1" t="n"/>
      <c r="J1358">
        <f>IF(M1358="","",IF(INDEX(Settings!$C$10:$C$18,M1358)="","",INDEX(Settings!$C$10:$C$18,M1358)))</f>
        <v/>
      </c>
      <c r="K1358">
        <f>IF(M1358="","",IF(INDEX(Settings!$D$10:$D$18,M1358)="","",INDEX(Settings!$D$10:$D$18,M1358)))</f>
        <v/>
      </c>
      <c r="L1358">
        <f>IF(OR(B1358="",E1358=""),"",B1358+MOD(N(C1358),1)+ROW()/10000000)</f>
        <v/>
      </c>
      <c r="M1358">
        <f>IF(D1358="","",IFERROR(MATCH(D1358,Settings!$B$10:$B$18,0),""))</f>
        <v/>
      </c>
      <c r="N1358">
        <f>IF(OR(B1358="",E1358="",M1358=""),"",IF(AND(B1358&gt;=Settings!$C$6,B1358&lt;=Settings!$C$7),M1358*10000+E1358,""))</f>
        <v/>
      </c>
      <c r="O1358">
        <f>IF(OR(B1358="",E1358=""),"",B1358*10000+E1358)</f>
        <v/>
      </c>
      <c r="P1358">
        <f>IF(N1358="","",E1358)</f>
        <v/>
      </c>
    </row>
    <row r="1359">
      <c r="A1359" s="1" t="n"/>
      <c r="B1359" s="20" t="n"/>
      <c r="C1359" s="21" t="n"/>
      <c r="D1359" s="22" t="n"/>
      <c r="E1359" s="23" t="n"/>
      <c r="F1359" s="22" t="n"/>
      <c r="G1359" s="14">
        <f>IF(OR(B1359="",E1359="",J1359="",K1359=""),"",IF(E1359&lt;J1359,"Below",IF(E1359&gt;K1359,"Above","In range")))</f>
        <v/>
      </c>
      <c r="H1359" s="1" t="n"/>
      <c r="J1359">
        <f>IF(M1359="","",IF(INDEX(Settings!$C$10:$C$18,M1359)="","",INDEX(Settings!$C$10:$C$18,M1359)))</f>
        <v/>
      </c>
      <c r="K1359">
        <f>IF(M1359="","",IF(INDEX(Settings!$D$10:$D$18,M1359)="","",INDEX(Settings!$D$10:$D$18,M1359)))</f>
        <v/>
      </c>
      <c r="L1359">
        <f>IF(OR(B1359="",E1359=""),"",B1359+MOD(N(C1359),1)+ROW()/10000000)</f>
        <v/>
      </c>
      <c r="M1359">
        <f>IF(D1359="","",IFERROR(MATCH(D1359,Settings!$B$10:$B$18,0),""))</f>
        <v/>
      </c>
      <c r="N1359">
        <f>IF(OR(B1359="",E1359="",M1359=""),"",IF(AND(B1359&gt;=Settings!$C$6,B1359&lt;=Settings!$C$7),M1359*10000+E1359,""))</f>
        <v/>
      </c>
      <c r="O1359">
        <f>IF(OR(B1359="",E1359=""),"",B1359*10000+E1359)</f>
        <v/>
      </c>
      <c r="P1359">
        <f>IF(N1359="","",E1359)</f>
        <v/>
      </c>
    </row>
    <row r="1360">
      <c r="A1360" s="1" t="n"/>
      <c r="B1360" s="20" t="n"/>
      <c r="C1360" s="21" t="n"/>
      <c r="D1360" s="22" t="n"/>
      <c r="E1360" s="23" t="n"/>
      <c r="F1360" s="22" t="n"/>
      <c r="G1360" s="14">
        <f>IF(OR(B1360="",E1360="",J1360="",K1360=""),"",IF(E1360&lt;J1360,"Below",IF(E1360&gt;K1360,"Above","In range")))</f>
        <v/>
      </c>
      <c r="H1360" s="1" t="n"/>
      <c r="J1360">
        <f>IF(M1360="","",IF(INDEX(Settings!$C$10:$C$18,M1360)="","",INDEX(Settings!$C$10:$C$18,M1360)))</f>
        <v/>
      </c>
      <c r="K1360">
        <f>IF(M1360="","",IF(INDEX(Settings!$D$10:$D$18,M1360)="","",INDEX(Settings!$D$10:$D$18,M1360)))</f>
        <v/>
      </c>
      <c r="L1360">
        <f>IF(OR(B1360="",E1360=""),"",B1360+MOD(N(C1360),1)+ROW()/10000000)</f>
        <v/>
      </c>
      <c r="M1360">
        <f>IF(D1360="","",IFERROR(MATCH(D1360,Settings!$B$10:$B$18,0),""))</f>
        <v/>
      </c>
      <c r="N1360">
        <f>IF(OR(B1360="",E1360="",M1360=""),"",IF(AND(B1360&gt;=Settings!$C$6,B1360&lt;=Settings!$C$7),M1360*10000+E1360,""))</f>
        <v/>
      </c>
      <c r="O1360">
        <f>IF(OR(B1360="",E1360=""),"",B1360*10000+E1360)</f>
        <v/>
      </c>
      <c r="P1360">
        <f>IF(N1360="","",E1360)</f>
        <v/>
      </c>
    </row>
    <row r="1361">
      <c r="A1361" s="1" t="n"/>
      <c r="B1361" s="20" t="n"/>
      <c r="C1361" s="21" t="n"/>
      <c r="D1361" s="22" t="n"/>
      <c r="E1361" s="23" t="n"/>
      <c r="F1361" s="22" t="n"/>
      <c r="G1361" s="14">
        <f>IF(OR(B1361="",E1361="",J1361="",K1361=""),"",IF(E1361&lt;J1361,"Below",IF(E1361&gt;K1361,"Above","In range")))</f>
        <v/>
      </c>
      <c r="H1361" s="1" t="n"/>
      <c r="J1361">
        <f>IF(M1361="","",IF(INDEX(Settings!$C$10:$C$18,M1361)="","",INDEX(Settings!$C$10:$C$18,M1361)))</f>
        <v/>
      </c>
      <c r="K1361">
        <f>IF(M1361="","",IF(INDEX(Settings!$D$10:$D$18,M1361)="","",INDEX(Settings!$D$10:$D$18,M1361)))</f>
        <v/>
      </c>
      <c r="L1361">
        <f>IF(OR(B1361="",E1361=""),"",B1361+MOD(N(C1361),1)+ROW()/10000000)</f>
        <v/>
      </c>
      <c r="M1361">
        <f>IF(D1361="","",IFERROR(MATCH(D1361,Settings!$B$10:$B$18,0),""))</f>
        <v/>
      </c>
      <c r="N1361">
        <f>IF(OR(B1361="",E1361="",M1361=""),"",IF(AND(B1361&gt;=Settings!$C$6,B1361&lt;=Settings!$C$7),M1361*10000+E1361,""))</f>
        <v/>
      </c>
      <c r="O1361">
        <f>IF(OR(B1361="",E1361=""),"",B1361*10000+E1361)</f>
        <v/>
      </c>
      <c r="P1361">
        <f>IF(N1361="","",E1361)</f>
        <v/>
      </c>
    </row>
    <row r="1362">
      <c r="A1362" s="1" t="n"/>
      <c r="B1362" s="20" t="n"/>
      <c r="C1362" s="21" t="n"/>
      <c r="D1362" s="22" t="n"/>
      <c r="E1362" s="23" t="n"/>
      <c r="F1362" s="22" t="n"/>
      <c r="G1362" s="14">
        <f>IF(OR(B1362="",E1362="",J1362="",K1362=""),"",IF(E1362&lt;J1362,"Below",IF(E1362&gt;K1362,"Above","In range")))</f>
        <v/>
      </c>
      <c r="H1362" s="1" t="n"/>
      <c r="J1362">
        <f>IF(M1362="","",IF(INDEX(Settings!$C$10:$C$18,M1362)="","",INDEX(Settings!$C$10:$C$18,M1362)))</f>
        <v/>
      </c>
      <c r="K1362">
        <f>IF(M1362="","",IF(INDEX(Settings!$D$10:$D$18,M1362)="","",INDEX(Settings!$D$10:$D$18,M1362)))</f>
        <v/>
      </c>
      <c r="L1362">
        <f>IF(OR(B1362="",E1362=""),"",B1362+MOD(N(C1362),1)+ROW()/10000000)</f>
        <v/>
      </c>
      <c r="M1362">
        <f>IF(D1362="","",IFERROR(MATCH(D1362,Settings!$B$10:$B$18,0),""))</f>
        <v/>
      </c>
      <c r="N1362">
        <f>IF(OR(B1362="",E1362="",M1362=""),"",IF(AND(B1362&gt;=Settings!$C$6,B1362&lt;=Settings!$C$7),M1362*10000+E1362,""))</f>
        <v/>
      </c>
      <c r="O1362">
        <f>IF(OR(B1362="",E1362=""),"",B1362*10000+E1362)</f>
        <v/>
      </c>
      <c r="P1362">
        <f>IF(N1362="","",E1362)</f>
        <v/>
      </c>
    </row>
    <row r="1363">
      <c r="A1363" s="1" t="n"/>
      <c r="B1363" s="20" t="n"/>
      <c r="C1363" s="21" t="n"/>
      <c r="D1363" s="22" t="n"/>
      <c r="E1363" s="23" t="n"/>
      <c r="F1363" s="22" t="n"/>
      <c r="G1363" s="14">
        <f>IF(OR(B1363="",E1363="",J1363="",K1363=""),"",IF(E1363&lt;J1363,"Below",IF(E1363&gt;K1363,"Above","In range")))</f>
        <v/>
      </c>
      <c r="H1363" s="1" t="n"/>
      <c r="J1363">
        <f>IF(M1363="","",IF(INDEX(Settings!$C$10:$C$18,M1363)="","",INDEX(Settings!$C$10:$C$18,M1363)))</f>
        <v/>
      </c>
      <c r="K1363">
        <f>IF(M1363="","",IF(INDEX(Settings!$D$10:$D$18,M1363)="","",INDEX(Settings!$D$10:$D$18,M1363)))</f>
        <v/>
      </c>
      <c r="L1363">
        <f>IF(OR(B1363="",E1363=""),"",B1363+MOD(N(C1363),1)+ROW()/10000000)</f>
        <v/>
      </c>
      <c r="M1363">
        <f>IF(D1363="","",IFERROR(MATCH(D1363,Settings!$B$10:$B$18,0),""))</f>
        <v/>
      </c>
      <c r="N1363">
        <f>IF(OR(B1363="",E1363="",M1363=""),"",IF(AND(B1363&gt;=Settings!$C$6,B1363&lt;=Settings!$C$7),M1363*10000+E1363,""))</f>
        <v/>
      </c>
      <c r="O1363">
        <f>IF(OR(B1363="",E1363=""),"",B1363*10000+E1363)</f>
        <v/>
      </c>
      <c r="P1363">
        <f>IF(N1363="","",E1363)</f>
        <v/>
      </c>
    </row>
    <row r="1364">
      <c r="A1364" s="1" t="n"/>
      <c r="B1364" s="20" t="n"/>
      <c r="C1364" s="21" t="n"/>
      <c r="D1364" s="22" t="n"/>
      <c r="E1364" s="23" t="n"/>
      <c r="F1364" s="22" t="n"/>
      <c r="G1364" s="14">
        <f>IF(OR(B1364="",E1364="",J1364="",K1364=""),"",IF(E1364&lt;J1364,"Below",IF(E1364&gt;K1364,"Above","In range")))</f>
        <v/>
      </c>
      <c r="H1364" s="1" t="n"/>
      <c r="J1364">
        <f>IF(M1364="","",IF(INDEX(Settings!$C$10:$C$18,M1364)="","",INDEX(Settings!$C$10:$C$18,M1364)))</f>
        <v/>
      </c>
      <c r="K1364">
        <f>IF(M1364="","",IF(INDEX(Settings!$D$10:$D$18,M1364)="","",INDEX(Settings!$D$10:$D$18,M1364)))</f>
        <v/>
      </c>
      <c r="L1364">
        <f>IF(OR(B1364="",E1364=""),"",B1364+MOD(N(C1364),1)+ROW()/10000000)</f>
        <v/>
      </c>
      <c r="M1364">
        <f>IF(D1364="","",IFERROR(MATCH(D1364,Settings!$B$10:$B$18,0),""))</f>
        <v/>
      </c>
      <c r="N1364">
        <f>IF(OR(B1364="",E1364="",M1364=""),"",IF(AND(B1364&gt;=Settings!$C$6,B1364&lt;=Settings!$C$7),M1364*10000+E1364,""))</f>
        <v/>
      </c>
      <c r="O1364">
        <f>IF(OR(B1364="",E1364=""),"",B1364*10000+E1364)</f>
        <v/>
      </c>
      <c r="P1364">
        <f>IF(N1364="","",E1364)</f>
        <v/>
      </c>
    </row>
    <row r="1365">
      <c r="A1365" s="1" t="n"/>
      <c r="B1365" s="20" t="n"/>
      <c r="C1365" s="21" t="n"/>
      <c r="D1365" s="22" t="n"/>
      <c r="E1365" s="23" t="n"/>
      <c r="F1365" s="22" t="n"/>
      <c r="G1365" s="14">
        <f>IF(OR(B1365="",E1365="",J1365="",K1365=""),"",IF(E1365&lt;J1365,"Below",IF(E1365&gt;K1365,"Above","In range")))</f>
        <v/>
      </c>
      <c r="H1365" s="1" t="n"/>
      <c r="J1365">
        <f>IF(M1365="","",IF(INDEX(Settings!$C$10:$C$18,M1365)="","",INDEX(Settings!$C$10:$C$18,M1365)))</f>
        <v/>
      </c>
      <c r="K1365">
        <f>IF(M1365="","",IF(INDEX(Settings!$D$10:$D$18,M1365)="","",INDEX(Settings!$D$10:$D$18,M1365)))</f>
        <v/>
      </c>
      <c r="L1365">
        <f>IF(OR(B1365="",E1365=""),"",B1365+MOD(N(C1365),1)+ROW()/10000000)</f>
        <v/>
      </c>
      <c r="M1365">
        <f>IF(D1365="","",IFERROR(MATCH(D1365,Settings!$B$10:$B$18,0),""))</f>
        <v/>
      </c>
      <c r="N1365">
        <f>IF(OR(B1365="",E1365="",M1365=""),"",IF(AND(B1365&gt;=Settings!$C$6,B1365&lt;=Settings!$C$7),M1365*10000+E1365,""))</f>
        <v/>
      </c>
      <c r="O1365">
        <f>IF(OR(B1365="",E1365=""),"",B1365*10000+E1365)</f>
        <v/>
      </c>
      <c r="P1365">
        <f>IF(N1365="","",E1365)</f>
        <v/>
      </c>
    </row>
    <row r="1366">
      <c r="A1366" s="1" t="n"/>
      <c r="B1366" s="20" t="n"/>
      <c r="C1366" s="21" t="n"/>
      <c r="D1366" s="22" t="n"/>
      <c r="E1366" s="23" t="n"/>
      <c r="F1366" s="22" t="n"/>
      <c r="G1366" s="14">
        <f>IF(OR(B1366="",E1366="",J1366="",K1366=""),"",IF(E1366&lt;J1366,"Below",IF(E1366&gt;K1366,"Above","In range")))</f>
        <v/>
      </c>
      <c r="H1366" s="1" t="n"/>
      <c r="J1366">
        <f>IF(M1366="","",IF(INDEX(Settings!$C$10:$C$18,M1366)="","",INDEX(Settings!$C$10:$C$18,M1366)))</f>
        <v/>
      </c>
      <c r="K1366">
        <f>IF(M1366="","",IF(INDEX(Settings!$D$10:$D$18,M1366)="","",INDEX(Settings!$D$10:$D$18,M1366)))</f>
        <v/>
      </c>
      <c r="L1366">
        <f>IF(OR(B1366="",E1366=""),"",B1366+MOD(N(C1366),1)+ROW()/10000000)</f>
        <v/>
      </c>
      <c r="M1366">
        <f>IF(D1366="","",IFERROR(MATCH(D1366,Settings!$B$10:$B$18,0),""))</f>
        <v/>
      </c>
      <c r="N1366">
        <f>IF(OR(B1366="",E1366="",M1366=""),"",IF(AND(B1366&gt;=Settings!$C$6,B1366&lt;=Settings!$C$7),M1366*10000+E1366,""))</f>
        <v/>
      </c>
      <c r="O1366">
        <f>IF(OR(B1366="",E1366=""),"",B1366*10000+E1366)</f>
        <v/>
      </c>
      <c r="P1366">
        <f>IF(N1366="","",E1366)</f>
        <v/>
      </c>
    </row>
    <row r="1367">
      <c r="A1367" s="1" t="n"/>
      <c r="B1367" s="20" t="n"/>
      <c r="C1367" s="21" t="n"/>
      <c r="D1367" s="22" t="n"/>
      <c r="E1367" s="23" t="n"/>
      <c r="F1367" s="22" t="n"/>
      <c r="G1367" s="14">
        <f>IF(OR(B1367="",E1367="",J1367="",K1367=""),"",IF(E1367&lt;J1367,"Below",IF(E1367&gt;K1367,"Above","In range")))</f>
        <v/>
      </c>
      <c r="H1367" s="1" t="n"/>
      <c r="J1367">
        <f>IF(M1367="","",IF(INDEX(Settings!$C$10:$C$18,M1367)="","",INDEX(Settings!$C$10:$C$18,M1367)))</f>
        <v/>
      </c>
      <c r="K1367">
        <f>IF(M1367="","",IF(INDEX(Settings!$D$10:$D$18,M1367)="","",INDEX(Settings!$D$10:$D$18,M1367)))</f>
        <v/>
      </c>
      <c r="L1367">
        <f>IF(OR(B1367="",E1367=""),"",B1367+MOD(N(C1367),1)+ROW()/10000000)</f>
        <v/>
      </c>
      <c r="M1367">
        <f>IF(D1367="","",IFERROR(MATCH(D1367,Settings!$B$10:$B$18,0),""))</f>
        <v/>
      </c>
      <c r="N1367">
        <f>IF(OR(B1367="",E1367="",M1367=""),"",IF(AND(B1367&gt;=Settings!$C$6,B1367&lt;=Settings!$C$7),M1367*10000+E1367,""))</f>
        <v/>
      </c>
      <c r="O1367">
        <f>IF(OR(B1367="",E1367=""),"",B1367*10000+E1367)</f>
        <v/>
      </c>
      <c r="P1367">
        <f>IF(N1367="","",E1367)</f>
        <v/>
      </c>
    </row>
    <row r="1368">
      <c r="A1368" s="1" t="n"/>
      <c r="B1368" s="20" t="n"/>
      <c r="C1368" s="21" t="n"/>
      <c r="D1368" s="22" t="n"/>
      <c r="E1368" s="23" t="n"/>
      <c r="F1368" s="22" t="n"/>
      <c r="G1368" s="14">
        <f>IF(OR(B1368="",E1368="",J1368="",K1368=""),"",IF(E1368&lt;J1368,"Below",IF(E1368&gt;K1368,"Above","In range")))</f>
        <v/>
      </c>
      <c r="H1368" s="1" t="n"/>
      <c r="J1368">
        <f>IF(M1368="","",IF(INDEX(Settings!$C$10:$C$18,M1368)="","",INDEX(Settings!$C$10:$C$18,M1368)))</f>
        <v/>
      </c>
      <c r="K1368">
        <f>IF(M1368="","",IF(INDEX(Settings!$D$10:$D$18,M1368)="","",INDEX(Settings!$D$10:$D$18,M1368)))</f>
        <v/>
      </c>
      <c r="L1368">
        <f>IF(OR(B1368="",E1368=""),"",B1368+MOD(N(C1368),1)+ROW()/10000000)</f>
        <v/>
      </c>
      <c r="M1368">
        <f>IF(D1368="","",IFERROR(MATCH(D1368,Settings!$B$10:$B$18,0),""))</f>
        <v/>
      </c>
      <c r="N1368">
        <f>IF(OR(B1368="",E1368="",M1368=""),"",IF(AND(B1368&gt;=Settings!$C$6,B1368&lt;=Settings!$C$7),M1368*10000+E1368,""))</f>
        <v/>
      </c>
      <c r="O1368">
        <f>IF(OR(B1368="",E1368=""),"",B1368*10000+E1368)</f>
        <v/>
      </c>
      <c r="P1368">
        <f>IF(N1368="","",E1368)</f>
        <v/>
      </c>
    </row>
    <row r="1369">
      <c r="A1369" s="1" t="n"/>
      <c r="B1369" s="20" t="n"/>
      <c r="C1369" s="21" t="n"/>
      <c r="D1369" s="22" t="n"/>
      <c r="E1369" s="23" t="n"/>
      <c r="F1369" s="22" t="n"/>
      <c r="G1369" s="14">
        <f>IF(OR(B1369="",E1369="",J1369="",K1369=""),"",IF(E1369&lt;J1369,"Below",IF(E1369&gt;K1369,"Above","In range")))</f>
        <v/>
      </c>
      <c r="H1369" s="1" t="n"/>
      <c r="J1369">
        <f>IF(M1369="","",IF(INDEX(Settings!$C$10:$C$18,M1369)="","",INDEX(Settings!$C$10:$C$18,M1369)))</f>
        <v/>
      </c>
      <c r="K1369">
        <f>IF(M1369="","",IF(INDEX(Settings!$D$10:$D$18,M1369)="","",INDEX(Settings!$D$10:$D$18,M1369)))</f>
        <v/>
      </c>
      <c r="L1369">
        <f>IF(OR(B1369="",E1369=""),"",B1369+MOD(N(C1369),1)+ROW()/10000000)</f>
        <v/>
      </c>
      <c r="M1369">
        <f>IF(D1369="","",IFERROR(MATCH(D1369,Settings!$B$10:$B$18,0),""))</f>
        <v/>
      </c>
      <c r="N1369">
        <f>IF(OR(B1369="",E1369="",M1369=""),"",IF(AND(B1369&gt;=Settings!$C$6,B1369&lt;=Settings!$C$7),M1369*10000+E1369,""))</f>
        <v/>
      </c>
      <c r="O1369">
        <f>IF(OR(B1369="",E1369=""),"",B1369*10000+E1369)</f>
        <v/>
      </c>
      <c r="P1369">
        <f>IF(N1369="","",E1369)</f>
        <v/>
      </c>
    </row>
    <row r="1370">
      <c r="A1370" s="1" t="n"/>
      <c r="B1370" s="20" t="n"/>
      <c r="C1370" s="21" t="n"/>
      <c r="D1370" s="22" t="n"/>
      <c r="E1370" s="23" t="n"/>
      <c r="F1370" s="22" t="n"/>
      <c r="G1370" s="14">
        <f>IF(OR(B1370="",E1370="",J1370="",K1370=""),"",IF(E1370&lt;J1370,"Below",IF(E1370&gt;K1370,"Above","In range")))</f>
        <v/>
      </c>
      <c r="H1370" s="1" t="n"/>
      <c r="J1370">
        <f>IF(M1370="","",IF(INDEX(Settings!$C$10:$C$18,M1370)="","",INDEX(Settings!$C$10:$C$18,M1370)))</f>
        <v/>
      </c>
      <c r="K1370">
        <f>IF(M1370="","",IF(INDEX(Settings!$D$10:$D$18,M1370)="","",INDEX(Settings!$D$10:$D$18,M1370)))</f>
        <v/>
      </c>
      <c r="L1370">
        <f>IF(OR(B1370="",E1370=""),"",B1370+MOD(N(C1370),1)+ROW()/10000000)</f>
        <v/>
      </c>
      <c r="M1370">
        <f>IF(D1370="","",IFERROR(MATCH(D1370,Settings!$B$10:$B$18,0),""))</f>
        <v/>
      </c>
      <c r="N1370">
        <f>IF(OR(B1370="",E1370="",M1370=""),"",IF(AND(B1370&gt;=Settings!$C$6,B1370&lt;=Settings!$C$7),M1370*10000+E1370,""))</f>
        <v/>
      </c>
      <c r="O1370">
        <f>IF(OR(B1370="",E1370=""),"",B1370*10000+E1370)</f>
        <v/>
      </c>
      <c r="P1370">
        <f>IF(N1370="","",E1370)</f>
        <v/>
      </c>
    </row>
    <row r="1371">
      <c r="A1371" s="1" t="n"/>
      <c r="B1371" s="20" t="n"/>
      <c r="C1371" s="21" t="n"/>
      <c r="D1371" s="22" t="n"/>
      <c r="E1371" s="23" t="n"/>
      <c r="F1371" s="22" t="n"/>
      <c r="G1371" s="14">
        <f>IF(OR(B1371="",E1371="",J1371="",K1371=""),"",IF(E1371&lt;J1371,"Below",IF(E1371&gt;K1371,"Above","In range")))</f>
        <v/>
      </c>
      <c r="H1371" s="1" t="n"/>
      <c r="J1371">
        <f>IF(M1371="","",IF(INDEX(Settings!$C$10:$C$18,M1371)="","",INDEX(Settings!$C$10:$C$18,M1371)))</f>
        <v/>
      </c>
      <c r="K1371">
        <f>IF(M1371="","",IF(INDEX(Settings!$D$10:$D$18,M1371)="","",INDEX(Settings!$D$10:$D$18,M1371)))</f>
        <v/>
      </c>
      <c r="L1371">
        <f>IF(OR(B1371="",E1371=""),"",B1371+MOD(N(C1371),1)+ROW()/10000000)</f>
        <v/>
      </c>
      <c r="M1371">
        <f>IF(D1371="","",IFERROR(MATCH(D1371,Settings!$B$10:$B$18,0),""))</f>
        <v/>
      </c>
      <c r="N1371">
        <f>IF(OR(B1371="",E1371="",M1371=""),"",IF(AND(B1371&gt;=Settings!$C$6,B1371&lt;=Settings!$C$7),M1371*10000+E1371,""))</f>
        <v/>
      </c>
      <c r="O1371">
        <f>IF(OR(B1371="",E1371=""),"",B1371*10000+E1371)</f>
        <v/>
      </c>
      <c r="P1371">
        <f>IF(N1371="","",E1371)</f>
        <v/>
      </c>
    </row>
    <row r="1372">
      <c r="A1372" s="1" t="n"/>
      <c r="B1372" s="20" t="n"/>
      <c r="C1372" s="21" t="n"/>
      <c r="D1372" s="22" t="n"/>
      <c r="E1372" s="23" t="n"/>
      <c r="F1372" s="22" t="n"/>
      <c r="G1372" s="14">
        <f>IF(OR(B1372="",E1372="",J1372="",K1372=""),"",IF(E1372&lt;J1372,"Below",IF(E1372&gt;K1372,"Above","In range")))</f>
        <v/>
      </c>
      <c r="H1372" s="1" t="n"/>
      <c r="J1372">
        <f>IF(M1372="","",IF(INDEX(Settings!$C$10:$C$18,M1372)="","",INDEX(Settings!$C$10:$C$18,M1372)))</f>
        <v/>
      </c>
      <c r="K1372">
        <f>IF(M1372="","",IF(INDEX(Settings!$D$10:$D$18,M1372)="","",INDEX(Settings!$D$10:$D$18,M1372)))</f>
        <v/>
      </c>
      <c r="L1372">
        <f>IF(OR(B1372="",E1372=""),"",B1372+MOD(N(C1372),1)+ROW()/10000000)</f>
        <v/>
      </c>
      <c r="M1372">
        <f>IF(D1372="","",IFERROR(MATCH(D1372,Settings!$B$10:$B$18,0),""))</f>
        <v/>
      </c>
      <c r="N1372">
        <f>IF(OR(B1372="",E1372="",M1372=""),"",IF(AND(B1372&gt;=Settings!$C$6,B1372&lt;=Settings!$C$7),M1372*10000+E1372,""))</f>
        <v/>
      </c>
      <c r="O1372">
        <f>IF(OR(B1372="",E1372=""),"",B1372*10000+E1372)</f>
        <v/>
      </c>
      <c r="P1372">
        <f>IF(N1372="","",E1372)</f>
        <v/>
      </c>
    </row>
    <row r="1373">
      <c r="A1373" s="1" t="n"/>
      <c r="B1373" s="20" t="n"/>
      <c r="C1373" s="21" t="n"/>
      <c r="D1373" s="22" t="n"/>
      <c r="E1373" s="23" t="n"/>
      <c r="F1373" s="22" t="n"/>
      <c r="G1373" s="14">
        <f>IF(OR(B1373="",E1373="",J1373="",K1373=""),"",IF(E1373&lt;J1373,"Below",IF(E1373&gt;K1373,"Above","In range")))</f>
        <v/>
      </c>
      <c r="H1373" s="1" t="n"/>
      <c r="J1373">
        <f>IF(M1373="","",IF(INDEX(Settings!$C$10:$C$18,M1373)="","",INDEX(Settings!$C$10:$C$18,M1373)))</f>
        <v/>
      </c>
      <c r="K1373">
        <f>IF(M1373="","",IF(INDEX(Settings!$D$10:$D$18,M1373)="","",INDEX(Settings!$D$10:$D$18,M1373)))</f>
        <v/>
      </c>
      <c r="L1373">
        <f>IF(OR(B1373="",E1373=""),"",B1373+MOD(N(C1373),1)+ROW()/10000000)</f>
        <v/>
      </c>
      <c r="M1373">
        <f>IF(D1373="","",IFERROR(MATCH(D1373,Settings!$B$10:$B$18,0),""))</f>
        <v/>
      </c>
      <c r="N1373">
        <f>IF(OR(B1373="",E1373="",M1373=""),"",IF(AND(B1373&gt;=Settings!$C$6,B1373&lt;=Settings!$C$7),M1373*10000+E1373,""))</f>
        <v/>
      </c>
      <c r="O1373">
        <f>IF(OR(B1373="",E1373=""),"",B1373*10000+E1373)</f>
        <v/>
      </c>
      <c r="P1373">
        <f>IF(N1373="","",E1373)</f>
        <v/>
      </c>
    </row>
    <row r="1374">
      <c r="A1374" s="1" t="n"/>
      <c r="B1374" s="20" t="n"/>
      <c r="C1374" s="21" t="n"/>
      <c r="D1374" s="22" t="n"/>
      <c r="E1374" s="23" t="n"/>
      <c r="F1374" s="22" t="n"/>
      <c r="G1374" s="14">
        <f>IF(OR(B1374="",E1374="",J1374="",K1374=""),"",IF(E1374&lt;J1374,"Below",IF(E1374&gt;K1374,"Above","In range")))</f>
        <v/>
      </c>
      <c r="H1374" s="1" t="n"/>
      <c r="J1374">
        <f>IF(M1374="","",IF(INDEX(Settings!$C$10:$C$18,M1374)="","",INDEX(Settings!$C$10:$C$18,M1374)))</f>
        <v/>
      </c>
      <c r="K1374">
        <f>IF(M1374="","",IF(INDEX(Settings!$D$10:$D$18,M1374)="","",INDEX(Settings!$D$10:$D$18,M1374)))</f>
        <v/>
      </c>
      <c r="L1374">
        <f>IF(OR(B1374="",E1374=""),"",B1374+MOD(N(C1374),1)+ROW()/10000000)</f>
        <v/>
      </c>
      <c r="M1374">
        <f>IF(D1374="","",IFERROR(MATCH(D1374,Settings!$B$10:$B$18,0),""))</f>
        <v/>
      </c>
      <c r="N1374">
        <f>IF(OR(B1374="",E1374="",M1374=""),"",IF(AND(B1374&gt;=Settings!$C$6,B1374&lt;=Settings!$C$7),M1374*10000+E1374,""))</f>
        <v/>
      </c>
      <c r="O1374">
        <f>IF(OR(B1374="",E1374=""),"",B1374*10000+E1374)</f>
        <v/>
      </c>
      <c r="P1374">
        <f>IF(N1374="","",E1374)</f>
        <v/>
      </c>
    </row>
    <row r="1375">
      <c r="A1375" s="1" t="n"/>
      <c r="B1375" s="20" t="n"/>
      <c r="C1375" s="21" t="n"/>
      <c r="D1375" s="22" t="n"/>
      <c r="E1375" s="23" t="n"/>
      <c r="F1375" s="22" t="n"/>
      <c r="G1375" s="14">
        <f>IF(OR(B1375="",E1375="",J1375="",K1375=""),"",IF(E1375&lt;J1375,"Below",IF(E1375&gt;K1375,"Above","In range")))</f>
        <v/>
      </c>
      <c r="H1375" s="1" t="n"/>
      <c r="J1375">
        <f>IF(M1375="","",IF(INDEX(Settings!$C$10:$C$18,M1375)="","",INDEX(Settings!$C$10:$C$18,M1375)))</f>
        <v/>
      </c>
      <c r="K1375">
        <f>IF(M1375="","",IF(INDEX(Settings!$D$10:$D$18,M1375)="","",INDEX(Settings!$D$10:$D$18,M1375)))</f>
        <v/>
      </c>
      <c r="L1375">
        <f>IF(OR(B1375="",E1375=""),"",B1375+MOD(N(C1375),1)+ROW()/10000000)</f>
        <v/>
      </c>
      <c r="M1375">
        <f>IF(D1375="","",IFERROR(MATCH(D1375,Settings!$B$10:$B$18,0),""))</f>
        <v/>
      </c>
      <c r="N1375">
        <f>IF(OR(B1375="",E1375="",M1375=""),"",IF(AND(B1375&gt;=Settings!$C$6,B1375&lt;=Settings!$C$7),M1375*10000+E1375,""))</f>
        <v/>
      </c>
      <c r="O1375">
        <f>IF(OR(B1375="",E1375=""),"",B1375*10000+E1375)</f>
        <v/>
      </c>
      <c r="P1375">
        <f>IF(N1375="","",E1375)</f>
        <v/>
      </c>
    </row>
    <row r="1376">
      <c r="A1376" s="1" t="n"/>
      <c r="B1376" s="20" t="n"/>
      <c r="C1376" s="21" t="n"/>
      <c r="D1376" s="22" t="n"/>
      <c r="E1376" s="23" t="n"/>
      <c r="F1376" s="22" t="n"/>
      <c r="G1376" s="14">
        <f>IF(OR(B1376="",E1376="",J1376="",K1376=""),"",IF(E1376&lt;J1376,"Below",IF(E1376&gt;K1376,"Above","In range")))</f>
        <v/>
      </c>
      <c r="H1376" s="1" t="n"/>
      <c r="J1376">
        <f>IF(M1376="","",IF(INDEX(Settings!$C$10:$C$18,M1376)="","",INDEX(Settings!$C$10:$C$18,M1376)))</f>
        <v/>
      </c>
      <c r="K1376">
        <f>IF(M1376="","",IF(INDEX(Settings!$D$10:$D$18,M1376)="","",INDEX(Settings!$D$10:$D$18,M1376)))</f>
        <v/>
      </c>
      <c r="L1376">
        <f>IF(OR(B1376="",E1376=""),"",B1376+MOD(N(C1376),1)+ROW()/10000000)</f>
        <v/>
      </c>
      <c r="M1376">
        <f>IF(D1376="","",IFERROR(MATCH(D1376,Settings!$B$10:$B$18,0),""))</f>
        <v/>
      </c>
      <c r="N1376">
        <f>IF(OR(B1376="",E1376="",M1376=""),"",IF(AND(B1376&gt;=Settings!$C$6,B1376&lt;=Settings!$C$7),M1376*10000+E1376,""))</f>
        <v/>
      </c>
      <c r="O1376">
        <f>IF(OR(B1376="",E1376=""),"",B1376*10000+E1376)</f>
        <v/>
      </c>
      <c r="P1376">
        <f>IF(N1376="","",E1376)</f>
        <v/>
      </c>
    </row>
    <row r="1377">
      <c r="A1377" s="1" t="n"/>
      <c r="B1377" s="20" t="n"/>
      <c r="C1377" s="21" t="n"/>
      <c r="D1377" s="22" t="n"/>
      <c r="E1377" s="23" t="n"/>
      <c r="F1377" s="22" t="n"/>
      <c r="G1377" s="14">
        <f>IF(OR(B1377="",E1377="",J1377="",K1377=""),"",IF(E1377&lt;J1377,"Below",IF(E1377&gt;K1377,"Above","In range")))</f>
        <v/>
      </c>
      <c r="H1377" s="1" t="n"/>
      <c r="J1377">
        <f>IF(M1377="","",IF(INDEX(Settings!$C$10:$C$18,M1377)="","",INDEX(Settings!$C$10:$C$18,M1377)))</f>
        <v/>
      </c>
      <c r="K1377">
        <f>IF(M1377="","",IF(INDEX(Settings!$D$10:$D$18,M1377)="","",INDEX(Settings!$D$10:$D$18,M1377)))</f>
        <v/>
      </c>
      <c r="L1377">
        <f>IF(OR(B1377="",E1377=""),"",B1377+MOD(N(C1377),1)+ROW()/10000000)</f>
        <v/>
      </c>
      <c r="M1377">
        <f>IF(D1377="","",IFERROR(MATCH(D1377,Settings!$B$10:$B$18,0),""))</f>
        <v/>
      </c>
      <c r="N1377">
        <f>IF(OR(B1377="",E1377="",M1377=""),"",IF(AND(B1377&gt;=Settings!$C$6,B1377&lt;=Settings!$C$7),M1377*10000+E1377,""))</f>
        <v/>
      </c>
      <c r="O1377">
        <f>IF(OR(B1377="",E1377=""),"",B1377*10000+E1377)</f>
        <v/>
      </c>
      <c r="P1377">
        <f>IF(N1377="","",E1377)</f>
        <v/>
      </c>
    </row>
    <row r="1378">
      <c r="A1378" s="1" t="n"/>
      <c r="B1378" s="20" t="n"/>
      <c r="C1378" s="21" t="n"/>
      <c r="D1378" s="22" t="n"/>
      <c r="E1378" s="23" t="n"/>
      <c r="F1378" s="22" t="n"/>
      <c r="G1378" s="14">
        <f>IF(OR(B1378="",E1378="",J1378="",K1378=""),"",IF(E1378&lt;J1378,"Below",IF(E1378&gt;K1378,"Above","In range")))</f>
        <v/>
      </c>
      <c r="H1378" s="1" t="n"/>
      <c r="J1378">
        <f>IF(M1378="","",IF(INDEX(Settings!$C$10:$C$18,M1378)="","",INDEX(Settings!$C$10:$C$18,M1378)))</f>
        <v/>
      </c>
      <c r="K1378">
        <f>IF(M1378="","",IF(INDEX(Settings!$D$10:$D$18,M1378)="","",INDEX(Settings!$D$10:$D$18,M1378)))</f>
        <v/>
      </c>
      <c r="L1378">
        <f>IF(OR(B1378="",E1378=""),"",B1378+MOD(N(C1378),1)+ROW()/10000000)</f>
        <v/>
      </c>
      <c r="M1378">
        <f>IF(D1378="","",IFERROR(MATCH(D1378,Settings!$B$10:$B$18,0),""))</f>
        <v/>
      </c>
      <c r="N1378">
        <f>IF(OR(B1378="",E1378="",M1378=""),"",IF(AND(B1378&gt;=Settings!$C$6,B1378&lt;=Settings!$C$7),M1378*10000+E1378,""))</f>
        <v/>
      </c>
      <c r="O1378">
        <f>IF(OR(B1378="",E1378=""),"",B1378*10000+E1378)</f>
        <v/>
      </c>
      <c r="P1378">
        <f>IF(N1378="","",E1378)</f>
        <v/>
      </c>
    </row>
    <row r="1379">
      <c r="A1379" s="1" t="n"/>
      <c r="B1379" s="20" t="n"/>
      <c r="C1379" s="21" t="n"/>
      <c r="D1379" s="22" t="n"/>
      <c r="E1379" s="23" t="n"/>
      <c r="F1379" s="22" t="n"/>
      <c r="G1379" s="14">
        <f>IF(OR(B1379="",E1379="",J1379="",K1379=""),"",IF(E1379&lt;J1379,"Below",IF(E1379&gt;K1379,"Above","In range")))</f>
        <v/>
      </c>
      <c r="H1379" s="1" t="n"/>
      <c r="J1379">
        <f>IF(M1379="","",IF(INDEX(Settings!$C$10:$C$18,M1379)="","",INDEX(Settings!$C$10:$C$18,M1379)))</f>
        <v/>
      </c>
      <c r="K1379">
        <f>IF(M1379="","",IF(INDEX(Settings!$D$10:$D$18,M1379)="","",INDEX(Settings!$D$10:$D$18,M1379)))</f>
        <v/>
      </c>
      <c r="L1379">
        <f>IF(OR(B1379="",E1379=""),"",B1379+MOD(N(C1379),1)+ROW()/10000000)</f>
        <v/>
      </c>
      <c r="M1379">
        <f>IF(D1379="","",IFERROR(MATCH(D1379,Settings!$B$10:$B$18,0),""))</f>
        <v/>
      </c>
      <c r="N1379">
        <f>IF(OR(B1379="",E1379="",M1379=""),"",IF(AND(B1379&gt;=Settings!$C$6,B1379&lt;=Settings!$C$7),M1379*10000+E1379,""))</f>
        <v/>
      </c>
      <c r="O1379">
        <f>IF(OR(B1379="",E1379=""),"",B1379*10000+E1379)</f>
        <v/>
      </c>
      <c r="P1379">
        <f>IF(N1379="","",E1379)</f>
        <v/>
      </c>
    </row>
    <row r="1380">
      <c r="A1380" s="1" t="n"/>
      <c r="B1380" s="20" t="n"/>
      <c r="C1380" s="21" t="n"/>
      <c r="D1380" s="22" t="n"/>
      <c r="E1380" s="23" t="n"/>
      <c r="F1380" s="22" t="n"/>
      <c r="G1380" s="14">
        <f>IF(OR(B1380="",E1380="",J1380="",K1380=""),"",IF(E1380&lt;J1380,"Below",IF(E1380&gt;K1380,"Above","In range")))</f>
        <v/>
      </c>
      <c r="H1380" s="1" t="n"/>
      <c r="J1380">
        <f>IF(M1380="","",IF(INDEX(Settings!$C$10:$C$18,M1380)="","",INDEX(Settings!$C$10:$C$18,M1380)))</f>
        <v/>
      </c>
      <c r="K1380">
        <f>IF(M1380="","",IF(INDEX(Settings!$D$10:$D$18,M1380)="","",INDEX(Settings!$D$10:$D$18,M1380)))</f>
        <v/>
      </c>
      <c r="L1380">
        <f>IF(OR(B1380="",E1380=""),"",B1380+MOD(N(C1380),1)+ROW()/10000000)</f>
        <v/>
      </c>
      <c r="M1380">
        <f>IF(D1380="","",IFERROR(MATCH(D1380,Settings!$B$10:$B$18,0),""))</f>
        <v/>
      </c>
      <c r="N1380">
        <f>IF(OR(B1380="",E1380="",M1380=""),"",IF(AND(B1380&gt;=Settings!$C$6,B1380&lt;=Settings!$C$7),M1380*10000+E1380,""))</f>
        <v/>
      </c>
      <c r="O1380">
        <f>IF(OR(B1380="",E1380=""),"",B1380*10000+E1380)</f>
        <v/>
      </c>
      <c r="P1380">
        <f>IF(N1380="","",E1380)</f>
        <v/>
      </c>
    </row>
    <row r="1381">
      <c r="A1381" s="1" t="n"/>
      <c r="B1381" s="20" t="n"/>
      <c r="C1381" s="21" t="n"/>
      <c r="D1381" s="22" t="n"/>
      <c r="E1381" s="23" t="n"/>
      <c r="F1381" s="22" t="n"/>
      <c r="G1381" s="14">
        <f>IF(OR(B1381="",E1381="",J1381="",K1381=""),"",IF(E1381&lt;J1381,"Below",IF(E1381&gt;K1381,"Above","In range")))</f>
        <v/>
      </c>
      <c r="H1381" s="1" t="n"/>
      <c r="J1381">
        <f>IF(M1381="","",IF(INDEX(Settings!$C$10:$C$18,M1381)="","",INDEX(Settings!$C$10:$C$18,M1381)))</f>
        <v/>
      </c>
      <c r="K1381">
        <f>IF(M1381="","",IF(INDEX(Settings!$D$10:$D$18,M1381)="","",INDEX(Settings!$D$10:$D$18,M1381)))</f>
        <v/>
      </c>
      <c r="L1381">
        <f>IF(OR(B1381="",E1381=""),"",B1381+MOD(N(C1381),1)+ROW()/10000000)</f>
        <v/>
      </c>
      <c r="M1381">
        <f>IF(D1381="","",IFERROR(MATCH(D1381,Settings!$B$10:$B$18,0),""))</f>
        <v/>
      </c>
      <c r="N1381">
        <f>IF(OR(B1381="",E1381="",M1381=""),"",IF(AND(B1381&gt;=Settings!$C$6,B1381&lt;=Settings!$C$7),M1381*10000+E1381,""))</f>
        <v/>
      </c>
      <c r="O1381">
        <f>IF(OR(B1381="",E1381=""),"",B1381*10000+E1381)</f>
        <v/>
      </c>
      <c r="P1381">
        <f>IF(N1381="","",E1381)</f>
        <v/>
      </c>
    </row>
    <row r="1382">
      <c r="A1382" s="1" t="n"/>
      <c r="B1382" s="20" t="n"/>
      <c r="C1382" s="21" t="n"/>
      <c r="D1382" s="22" t="n"/>
      <c r="E1382" s="23" t="n"/>
      <c r="F1382" s="22" t="n"/>
      <c r="G1382" s="14">
        <f>IF(OR(B1382="",E1382="",J1382="",K1382=""),"",IF(E1382&lt;J1382,"Below",IF(E1382&gt;K1382,"Above","In range")))</f>
        <v/>
      </c>
      <c r="H1382" s="1" t="n"/>
      <c r="J1382">
        <f>IF(M1382="","",IF(INDEX(Settings!$C$10:$C$18,M1382)="","",INDEX(Settings!$C$10:$C$18,M1382)))</f>
        <v/>
      </c>
      <c r="K1382">
        <f>IF(M1382="","",IF(INDEX(Settings!$D$10:$D$18,M1382)="","",INDEX(Settings!$D$10:$D$18,M1382)))</f>
        <v/>
      </c>
      <c r="L1382">
        <f>IF(OR(B1382="",E1382=""),"",B1382+MOD(N(C1382),1)+ROW()/10000000)</f>
        <v/>
      </c>
      <c r="M1382">
        <f>IF(D1382="","",IFERROR(MATCH(D1382,Settings!$B$10:$B$18,0),""))</f>
        <v/>
      </c>
      <c r="N1382">
        <f>IF(OR(B1382="",E1382="",M1382=""),"",IF(AND(B1382&gt;=Settings!$C$6,B1382&lt;=Settings!$C$7),M1382*10000+E1382,""))</f>
        <v/>
      </c>
      <c r="O1382">
        <f>IF(OR(B1382="",E1382=""),"",B1382*10000+E1382)</f>
        <v/>
      </c>
      <c r="P1382">
        <f>IF(N1382="","",E1382)</f>
        <v/>
      </c>
    </row>
    <row r="1383">
      <c r="A1383" s="1" t="n"/>
      <c r="B1383" s="20" t="n"/>
      <c r="C1383" s="21" t="n"/>
      <c r="D1383" s="22" t="n"/>
      <c r="E1383" s="23" t="n"/>
      <c r="F1383" s="22" t="n"/>
      <c r="G1383" s="14">
        <f>IF(OR(B1383="",E1383="",J1383="",K1383=""),"",IF(E1383&lt;J1383,"Below",IF(E1383&gt;K1383,"Above","In range")))</f>
        <v/>
      </c>
      <c r="H1383" s="1" t="n"/>
      <c r="J1383">
        <f>IF(M1383="","",IF(INDEX(Settings!$C$10:$C$18,M1383)="","",INDEX(Settings!$C$10:$C$18,M1383)))</f>
        <v/>
      </c>
      <c r="K1383">
        <f>IF(M1383="","",IF(INDEX(Settings!$D$10:$D$18,M1383)="","",INDEX(Settings!$D$10:$D$18,M1383)))</f>
        <v/>
      </c>
      <c r="L1383">
        <f>IF(OR(B1383="",E1383=""),"",B1383+MOD(N(C1383),1)+ROW()/10000000)</f>
        <v/>
      </c>
      <c r="M1383">
        <f>IF(D1383="","",IFERROR(MATCH(D1383,Settings!$B$10:$B$18,0),""))</f>
        <v/>
      </c>
      <c r="N1383">
        <f>IF(OR(B1383="",E1383="",M1383=""),"",IF(AND(B1383&gt;=Settings!$C$6,B1383&lt;=Settings!$C$7),M1383*10000+E1383,""))</f>
        <v/>
      </c>
      <c r="O1383">
        <f>IF(OR(B1383="",E1383=""),"",B1383*10000+E1383)</f>
        <v/>
      </c>
      <c r="P1383">
        <f>IF(N1383="","",E1383)</f>
        <v/>
      </c>
    </row>
    <row r="1384">
      <c r="A1384" s="1" t="n"/>
      <c r="B1384" s="20" t="n"/>
      <c r="C1384" s="21" t="n"/>
      <c r="D1384" s="22" t="n"/>
      <c r="E1384" s="23" t="n"/>
      <c r="F1384" s="22" t="n"/>
      <c r="G1384" s="14">
        <f>IF(OR(B1384="",E1384="",J1384="",K1384=""),"",IF(E1384&lt;J1384,"Below",IF(E1384&gt;K1384,"Above","In range")))</f>
        <v/>
      </c>
      <c r="H1384" s="1" t="n"/>
      <c r="J1384">
        <f>IF(M1384="","",IF(INDEX(Settings!$C$10:$C$18,M1384)="","",INDEX(Settings!$C$10:$C$18,M1384)))</f>
        <v/>
      </c>
      <c r="K1384">
        <f>IF(M1384="","",IF(INDEX(Settings!$D$10:$D$18,M1384)="","",INDEX(Settings!$D$10:$D$18,M1384)))</f>
        <v/>
      </c>
      <c r="L1384">
        <f>IF(OR(B1384="",E1384=""),"",B1384+MOD(N(C1384),1)+ROW()/10000000)</f>
        <v/>
      </c>
      <c r="M1384">
        <f>IF(D1384="","",IFERROR(MATCH(D1384,Settings!$B$10:$B$18,0),""))</f>
        <v/>
      </c>
      <c r="N1384">
        <f>IF(OR(B1384="",E1384="",M1384=""),"",IF(AND(B1384&gt;=Settings!$C$6,B1384&lt;=Settings!$C$7),M1384*10000+E1384,""))</f>
        <v/>
      </c>
      <c r="O1384">
        <f>IF(OR(B1384="",E1384=""),"",B1384*10000+E1384)</f>
        <v/>
      </c>
      <c r="P1384">
        <f>IF(N1384="","",E1384)</f>
        <v/>
      </c>
    </row>
    <row r="1385">
      <c r="A1385" s="1" t="n"/>
      <c r="B1385" s="20" t="n"/>
      <c r="C1385" s="21" t="n"/>
      <c r="D1385" s="22" t="n"/>
      <c r="E1385" s="23" t="n"/>
      <c r="F1385" s="22" t="n"/>
      <c r="G1385" s="14">
        <f>IF(OR(B1385="",E1385="",J1385="",K1385=""),"",IF(E1385&lt;J1385,"Below",IF(E1385&gt;K1385,"Above","In range")))</f>
        <v/>
      </c>
      <c r="H1385" s="1" t="n"/>
      <c r="J1385">
        <f>IF(M1385="","",IF(INDEX(Settings!$C$10:$C$18,M1385)="","",INDEX(Settings!$C$10:$C$18,M1385)))</f>
        <v/>
      </c>
      <c r="K1385">
        <f>IF(M1385="","",IF(INDEX(Settings!$D$10:$D$18,M1385)="","",INDEX(Settings!$D$10:$D$18,M1385)))</f>
        <v/>
      </c>
      <c r="L1385">
        <f>IF(OR(B1385="",E1385=""),"",B1385+MOD(N(C1385),1)+ROW()/10000000)</f>
        <v/>
      </c>
      <c r="M1385">
        <f>IF(D1385="","",IFERROR(MATCH(D1385,Settings!$B$10:$B$18,0),""))</f>
        <v/>
      </c>
      <c r="N1385">
        <f>IF(OR(B1385="",E1385="",M1385=""),"",IF(AND(B1385&gt;=Settings!$C$6,B1385&lt;=Settings!$C$7),M1385*10000+E1385,""))</f>
        <v/>
      </c>
      <c r="O1385">
        <f>IF(OR(B1385="",E1385=""),"",B1385*10000+E1385)</f>
        <v/>
      </c>
      <c r="P1385">
        <f>IF(N1385="","",E1385)</f>
        <v/>
      </c>
    </row>
    <row r="1386">
      <c r="A1386" s="1" t="n"/>
      <c r="B1386" s="20" t="n"/>
      <c r="C1386" s="21" t="n"/>
      <c r="D1386" s="22" t="n"/>
      <c r="E1386" s="23" t="n"/>
      <c r="F1386" s="22" t="n"/>
      <c r="G1386" s="14">
        <f>IF(OR(B1386="",E1386="",J1386="",K1386=""),"",IF(E1386&lt;J1386,"Below",IF(E1386&gt;K1386,"Above","In range")))</f>
        <v/>
      </c>
      <c r="H1386" s="1" t="n"/>
      <c r="J1386">
        <f>IF(M1386="","",IF(INDEX(Settings!$C$10:$C$18,M1386)="","",INDEX(Settings!$C$10:$C$18,M1386)))</f>
        <v/>
      </c>
      <c r="K1386">
        <f>IF(M1386="","",IF(INDEX(Settings!$D$10:$D$18,M1386)="","",INDEX(Settings!$D$10:$D$18,M1386)))</f>
        <v/>
      </c>
      <c r="L1386">
        <f>IF(OR(B1386="",E1386=""),"",B1386+MOD(N(C1386),1)+ROW()/10000000)</f>
        <v/>
      </c>
      <c r="M1386">
        <f>IF(D1386="","",IFERROR(MATCH(D1386,Settings!$B$10:$B$18,0),""))</f>
        <v/>
      </c>
      <c r="N1386">
        <f>IF(OR(B1386="",E1386="",M1386=""),"",IF(AND(B1386&gt;=Settings!$C$6,B1386&lt;=Settings!$C$7),M1386*10000+E1386,""))</f>
        <v/>
      </c>
      <c r="O1386">
        <f>IF(OR(B1386="",E1386=""),"",B1386*10000+E1386)</f>
        <v/>
      </c>
      <c r="P1386">
        <f>IF(N1386="","",E1386)</f>
        <v/>
      </c>
    </row>
    <row r="1387">
      <c r="A1387" s="1" t="n"/>
      <c r="B1387" s="20" t="n"/>
      <c r="C1387" s="21" t="n"/>
      <c r="D1387" s="22" t="n"/>
      <c r="E1387" s="23" t="n"/>
      <c r="F1387" s="22" t="n"/>
      <c r="G1387" s="14">
        <f>IF(OR(B1387="",E1387="",J1387="",K1387=""),"",IF(E1387&lt;J1387,"Below",IF(E1387&gt;K1387,"Above","In range")))</f>
        <v/>
      </c>
      <c r="H1387" s="1" t="n"/>
      <c r="J1387">
        <f>IF(M1387="","",IF(INDEX(Settings!$C$10:$C$18,M1387)="","",INDEX(Settings!$C$10:$C$18,M1387)))</f>
        <v/>
      </c>
      <c r="K1387">
        <f>IF(M1387="","",IF(INDEX(Settings!$D$10:$D$18,M1387)="","",INDEX(Settings!$D$10:$D$18,M1387)))</f>
        <v/>
      </c>
      <c r="L1387">
        <f>IF(OR(B1387="",E1387=""),"",B1387+MOD(N(C1387),1)+ROW()/10000000)</f>
        <v/>
      </c>
      <c r="M1387">
        <f>IF(D1387="","",IFERROR(MATCH(D1387,Settings!$B$10:$B$18,0),""))</f>
        <v/>
      </c>
      <c r="N1387">
        <f>IF(OR(B1387="",E1387="",M1387=""),"",IF(AND(B1387&gt;=Settings!$C$6,B1387&lt;=Settings!$C$7),M1387*10000+E1387,""))</f>
        <v/>
      </c>
      <c r="O1387">
        <f>IF(OR(B1387="",E1387=""),"",B1387*10000+E1387)</f>
        <v/>
      </c>
      <c r="P1387">
        <f>IF(N1387="","",E1387)</f>
        <v/>
      </c>
    </row>
    <row r="1388">
      <c r="A1388" s="1" t="n"/>
      <c r="B1388" s="20" t="n"/>
      <c r="C1388" s="21" t="n"/>
      <c r="D1388" s="22" t="n"/>
      <c r="E1388" s="23" t="n"/>
      <c r="F1388" s="22" t="n"/>
      <c r="G1388" s="14">
        <f>IF(OR(B1388="",E1388="",J1388="",K1388=""),"",IF(E1388&lt;J1388,"Below",IF(E1388&gt;K1388,"Above","In range")))</f>
        <v/>
      </c>
      <c r="H1388" s="1" t="n"/>
      <c r="J1388">
        <f>IF(M1388="","",IF(INDEX(Settings!$C$10:$C$18,M1388)="","",INDEX(Settings!$C$10:$C$18,M1388)))</f>
        <v/>
      </c>
      <c r="K1388">
        <f>IF(M1388="","",IF(INDEX(Settings!$D$10:$D$18,M1388)="","",INDEX(Settings!$D$10:$D$18,M1388)))</f>
        <v/>
      </c>
      <c r="L1388">
        <f>IF(OR(B1388="",E1388=""),"",B1388+MOD(N(C1388),1)+ROW()/10000000)</f>
        <v/>
      </c>
      <c r="M1388">
        <f>IF(D1388="","",IFERROR(MATCH(D1388,Settings!$B$10:$B$18,0),""))</f>
        <v/>
      </c>
      <c r="N1388">
        <f>IF(OR(B1388="",E1388="",M1388=""),"",IF(AND(B1388&gt;=Settings!$C$6,B1388&lt;=Settings!$C$7),M1388*10000+E1388,""))</f>
        <v/>
      </c>
      <c r="O1388">
        <f>IF(OR(B1388="",E1388=""),"",B1388*10000+E1388)</f>
        <v/>
      </c>
      <c r="P1388">
        <f>IF(N1388="","",E1388)</f>
        <v/>
      </c>
    </row>
    <row r="1389">
      <c r="A1389" s="1" t="n"/>
      <c r="B1389" s="20" t="n"/>
      <c r="C1389" s="21" t="n"/>
      <c r="D1389" s="22" t="n"/>
      <c r="E1389" s="23" t="n"/>
      <c r="F1389" s="22" t="n"/>
      <c r="G1389" s="14">
        <f>IF(OR(B1389="",E1389="",J1389="",K1389=""),"",IF(E1389&lt;J1389,"Below",IF(E1389&gt;K1389,"Above","In range")))</f>
        <v/>
      </c>
      <c r="H1389" s="1" t="n"/>
      <c r="J1389">
        <f>IF(M1389="","",IF(INDEX(Settings!$C$10:$C$18,M1389)="","",INDEX(Settings!$C$10:$C$18,M1389)))</f>
        <v/>
      </c>
      <c r="K1389">
        <f>IF(M1389="","",IF(INDEX(Settings!$D$10:$D$18,M1389)="","",INDEX(Settings!$D$10:$D$18,M1389)))</f>
        <v/>
      </c>
      <c r="L1389">
        <f>IF(OR(B1389="",E1389=""),"",B1389+MOD(N(C1389),1)+ROW()/10000000)</f>
        <v/>
      </c>
      <c r="M1389">
        <f>IF(D1389="","",IFERROR(MATCH(D1389,Settings!$B$10:$B$18,0),""))</f>
        <v/>
      </c>
      <c r="N1389">
        <f>IF(OR(B1389="",E1389="",M1389=""),"",IF(AND(B1389&gt;=Settings!$C$6,B1389&lt;=Settings!$C$7),M1389*10000+E1389,""))</f>
        <v/>
      </c>
      <c r="O1389">
        <f>IF(OR(B1389="",E1389=""),"",B1389*10000+E1389)</f>
        <v/>
      </c>
      <c r="P1389">
        <f>IF(N1389="","",E1389)</f>
        <v/>
      </c>
    </row>
    <row r="1390">
      <c r="A1390" s="1" t="n"/>
      <c r="B1390" s="20" t="n"/>
      <c r="C1390" s="21" t="n"/>
      <c r="D1390" s="22" t="n"/>
      <c r="E1390" s="23" t="n"/>
      <c r="F1390" s="22" t="n"/>
      <c r="G1390" s="14">
        <f>IF(OR(B1390="",E1390="",J1390="",K1390=""),"",IF(E1390&lt;J1390,"Below",IF(E1390&gt;K1390,"Above","In range")))</f>
        <v/>
      </c>
      <c r="H1390" s="1" t="n"/>
      <c r="J1390">
        <f>IF(M1390="","",IF(INDEX(Settings!$C$10:$C$18,M1390)="","",INDEX(Settings!$C$10:$C$18,M1390)))</f>
        <v/>
      </c>
      <c r="K1390">
        <f>IF(M1390="","",IF(INDEX(Settings!$D$10:$D$18,M1390)="","",INDEX(Settings!$D$10:$D$18,M1390)))</f>
        <v/>
      </c>
      <c r="L1390">
        <f>IF(OR(B1390="",E1390=""),"",B1390+MOD(N(C1390),1)+ROW()/10000000)</f>
        <v/>
      </c>
      <c r="M1390">
        <f>IF(D1390="","",IFERROR(MATCH(D1390,Settings!$B$10:$B$18,0),""))</f>
        <v/>
      </c>
      <c r="N1390">
        <f>IF(OR(B1390="",E1390="",M1390=""),"",IF(AND(B1390&gt;=Settings!$C$6,B1390&lt;=Settings!$C$7),M1390*10000+E1390,""))</f>
        <v/>
      </c>
      <c r="O1390">
        <f>IF(OR(B1390="",E1390=""),"",B1390*10000+E1390)</f>
        <v/>
      </c>
      <c r="P1390">
        <f>IF(N1390="","",E1390)</f>
        <v/>
      </c>
    </row>
    <row r="1391">
      <c r="A1391" s="1" t="n"/>
      <c r="B1391" s="20" t="n"/>
      <c r="C1391" s="21" t="n"/>
      <c r="D1391" s="22" t="n"/>
      <c r="E1391" s="23" t="n"/>
      <c r="F1391" s="22" t="n"/>
      <c r="G1391" s="14">
        <f>IF(OR(B1391="",E1391="",J1391="",K1391=""),"",IF(E1391&lt;J1391,"Below",IF(E1391&gt;K1391,"Above","In range")))</f>
        <v/>
      </c>
      <c r="H1391" s="1" t="n"/>
      <c r="J1391">
        <f>IF(M1391="","",IF(INDEX(Settings!$C$10:$C$18,M1391)="","",INDEX(Settings!$C$10:$C$18,M1391)))</f>
        <v/>
      </c>
      <c r="K1391">
        <f>IF(M1391="","",IF(INDEX(Settings!$D$10:$D$18,M1391)="","",INDEX(Settings!$D$10:$D$18,M1391)))</f>
        <v/>
      </c>
      <c r="L1391">
        <f>IF(OR(B1391="",E1391=""),"",B1391+MOD(N(C1391),1)+ROW()/10000000)</f>
        <v/>
      </c>
      <c r="M1391">
        <f>IF(D1391="","",IFERROR(MATCH(D1391,Settings!$B$10:$B$18,0),""))</f>
        <v/>
      </c>
      <c r="N1391">
        <f>IF(OR(B1391="",E1391="",M1391=""),"",IF(AND(B1391&gt;=Settings!$C$6,B1391&lt;=Settings!$C$7),M1391*10000+E1391,""))</f>
        <v/>
      </c>
      <c r="O1391">
        <f>IF(OR(B1391="",E1391=""),"",B1391*10000+E1391)</f>
        <v/>
      </c>
      <c r="P1391">
        <f>IF(N1391="","",E1391)</f>
        <v/>
      </c>
    </row>
    <row r="1392">
      <c r="A1392" s="1" t="n"/>
      <c r="B1392" s="20" t="n"/>
      <c r="C1392" s="21" t="n"/>
      <c r="D1392" s="22" t="n"/>
      <c r="E1392" s="23" t="n"/>
      <c r="F1392" s="22" t="n"/>
      <c r="G1392" s="14">
        <f>IF(OR(B1392="",E1392="",J1392="",K1392=""),"",IF(E1392&lt;J1392,"Below",IF(E1392&gt;K1392,"Above","In range")))</f>
        <v/>
      </c>
      <c r="H1392" s="1" t="n"/>
      <c r="J1392">
        <f>IF(M1392="","",IF(INDEX(Settings!$C$10:$C$18,M1392)="","",INDEX(Settings!$C$10:$C$18,M1392)))</f>
        <v/>
      </c>
      <c r="K1392">
        <f>IF(M1392="","",IF(INDEX(Settings!$D$10:$D$18,M1392)="","",INDEX(Settings!$D$10:$D$18,M1392)))</f>
        <v/>
      </c>
      <c r="L1392">
        <f>IF(OR(B1392="",E1392=""),"",B1392+MOD(N(C1392),1)+ROW()/10000000)</f>
        <v/>
      </c>
      <c r="M1392">
        <f>IF(D1392="","",IFERROR(MATCH(D1392,Settings!$B$10:$B$18,0),""))</f>
        <v/>
      </c>
      <c r="N1392">
        <f>IF(OR(B1392="",E1392="",M1392=""),"",IF(AND(B1392&gt;=Settings!$C$6,B1392&lt;=Settings!$C$7),M1392*10000+E1392,""))</f>
        <v/>
      </c>
      <c r="O1392">
        <f>IF(OR(B1392="",E1392=""),"",B1392*10000+E1392)</f>
        <v/>
      </c>
      <c r="P1392">
        <f>IF(N1392="","",E1392)</f>
        <v/>
      </c>
    </row>
    <row r="1393">
      <c r="A1393" s="1" t="n"/>
      <c r="B1393" s="20" t="n"/>
      <c r="C1393" s="21" t="n"/>
      <c r="D1393" s="22" t="n"/>
      <c r="E1393" s="23" t="n"/>
      <c r="F1393" s="22" t="n"/>
      <c r="G1393" s="14">
        <f>IF(OR(B1393="",E1393="",J1393="",K1393=""),"",IF(E1393&lt;J1393,"Below",IF(E1393&gt;K1393,"Above","In range")))</f>
        <v/>
      </c>
      <c r="H1393" s="1" t="n"/>
      <c r="J1393">
        <f>IF(M1393="","",IF(INDEX(Settings!$C$10:$C$18,M1393)="","",INDEX(Settings!$C$10:$C$18,M1393)))</f>
        <v/>
      </c>
      <c r="K1393">
        <f>IF(M1393="","",IF(INDEX(Settings!$D$10:$D$18,M1393)="","",INDEX(Settings!$D$10:$D$18,M1393)))</f>
        <v/>
      </c>
      <c r="L1393">
        <f>IF(OR(B1393="",E1393=""),"",B1393+MOD(N(C1393),1)+ROW()/10000000)</f>
        <v/>
      </c>
      <c r="M1393">
        <f>IF(D1393="","",IFERROR(MATCH(D1393,Settings!$B$10:$B$18,0),""))</f>
        <v/>
      </c>
      <c r="N1393">
        <f>IF(OR(B1393="",E1393="",M1393=""),"",IF(AND(B1393&gt;=Settings!$C$6,B1393&lt;=Settings!$C$7),M1393*10000+E1393,""))</f>
        <v/>
      </c>
      <c r="O1393">
        <f>IF(OR(B1393="",E1393=""),"",B1393*10000+E1393)</f>
        <v/>
      </c>
      <c r="P1393">
        <f>IF(N1393="","",E1393)</f>
        <v/>
      </c>
    </row>
    <row r="1394">
      <c r="A1394" s="1" t="n"/>
      <c r="B1394" s="20" t="n"/>
      <c r="C1394" s="21" t="n"/>
      <c r="D1394" s="22" t="n"/>
      <c r="E1394" s="23" t="n"/>
      <c r="F1394" s="22" t="n"/>
      <c r="G1394" s="14">
        <f>IF(OR(B1394="",E1394="",J1394="",K1394=""),"",IF(E1394&lt;J1394,"Below",IF(E1394&gt;K1394,"Above","In range")))</f>
        <v/>
      </c>
      <c r="H1394" s="1" t="n"/>
      <c r="J1394">
        <f>IF(M1394="","",IF(INDEX(Settings!$C$10:$C$18,M1394)="","",INDEX(Settings!$C$10:$C$18,M1394)))</f>
        <v/>
      </c>
      <c r="K1394">
        <f>IF(M1394="","",IF(INDEX(Settings!$D$10:$D$18,M1394)="","",INDEX(Settings!$D$10:$D$18,M1394)))</f>
        <v/>
      </c>
      <c r="L1394">
        <f>IF(OR(B1394="",E1394=""),"",B1394+MOD(N(C1394),1)+ROW()/10000000)</f>
        <v/>
      </c>
      <c r="M1394">
        <f>IF(D1394="","",IFERROR(MATCH(D1394,Settings!$B$10:$B$18,0),""))</f>
        <v/>
      </c>
      <c r="N1394">
        <f>IF(OR(B1394="",E1394="",M1394=""),"",IF(AND(B1394&gt;=Settings!$C$6,B1394&lt;=Settings!$C$7),M1394*10000+E1394,""))</f>
        <v/>
      </c>
      <c r="O1394">
        <f>IF(OR(B1394="",E1394=""),"",B1394*10000+E1394)</f>
        <v/>
      </c>
      <c r="P1394">
        <f>IF(N1394="","",E1394)</f>
        <v/>
      </c>
    </row>
    <row r="1395">
      <c r="A1395" s="1" t="n"/>
      <c r="B1395" s="20" t="n"/>
      <c r="C1395" s="21" t="n"/>
      <c r="D1395" s="22" t="n"/>
      <c r="E1395" s="23" t="n"/>
      <c r="F1395" s="22" t="n"/>
      <c r="G1395" s="14">
        <f>IF(OR(B1395="",E1395="",J1395="",K1395=""),"",IF(E1395&lt;J1395,"Below",IF(E1395&gt;K1395,"Above","In range")))</f>
        <v/>
      </c>
      <c r="H1395" s="1" t="n"/>
      <c r="J1395">
        <f>IF(M1395="","",IF(INDEX(Settings!$C$10:$C$18,M1395)="","",INDEX(Settings!$C$10:$C$18,M1395)))</f>
        <v/>
      </c>
      <c r="K1395">
        <f>IF(M1395="","",IF(INDEX(Settings!$D$10:$D$18,M1395)="","",INDEX(Settings!$D$10:$D$18,M1395)))</f>
        <v/>
      </c>
      <c r="L1395">
        <f>IF(OR(B1395="",E1395=""),"",B1395+MOD(N(C1395),1)+ROW()/10000000)</f>
        <v/>
      </c>
      <c r="M1395">
        <f>IF(D1395="","",IFERROR(MATCH(D1395,Settings!$B$10:$B$18,0),""))</f>
        <v/>
      </c>
      <c r="N1395">
        <f>IF(OR(B1395="",E1395="",M1395=""),"",IF(AND(B1395&gt;=Settings!$C$6,B1395&lt;=Settings!$C$7),M1395*10000+E1395,""))</f>
        <v/>
      </c>
      <c r="O1395">
        <f>IF(OR(B1395="",E1395=""),"",B1395*10000+E1395)</f>
        <v/>
      </c>
      <c r="P1395">
        <f>IF(N1395="","",E1395)</f>
        <v/>
      </c>
    </row>
    <row r="1396">
      <c r="A1396" s="1" t="n"/>
      <c r="B1396" s="20" t="n"/>
      <c r="C1396" s="21" t="n"/>
      <c r="D1396" s="22" t="n"/>
      <c r="E1396" s="23" t="n"/>
      <c r="F1396" s="22" t="n"/>
      <c r="G1396" s="14">
        <f>IF(OR(B1396="",E1396="",J1396="",K1396=""),"",IF(E1396&lt;J1396,"Below",IF(E1396&gt;K1396,"Above","In range")))</f>
        <v/>
      </c>
      <c r="H1396" s="1" t="n"/>
      <c r="J1396">
        <f>IF(M1396="","",IF(INDEX(Settings!$C$10:$C$18,M1396)="","",INDEX(Settings!$C$10:$C$18,M1396)))</f>
        <v/>
      </c>
      <c r="K1396">
        <f>IF(M1396="","",IF(INDEX(Settings!$D$10:$D$18,M1396)="","",INDEX(Settings!$D$10:$D$18,M1396)))</f>
        <v/>
      </c>
      <c r="L1396">
        <f>IF(OR(B1396="",E1396=""),"",B1396+MOD(N(C1396),1)+ROW()/10000000)</f>
        <v/>
      </c>
      <c r="M1396">
        <f>IF(D1396="","",IFERROR(MATCH(D1396,Settings!$B$10:$B$18,0),""))</f>
        <v/>
      </c>
      <c r="N1396">
        <f>IF(OR(B1396="",E1396="",M1396=""),"",IF(AND(B1396&gt;=Settings!$C$6,B1396&lt;=Settings!$C$7),M1396*10000+E1396,""))</f>
        <v/>
      </c>
      <c r="O1396">
        <f>IF(OR(B1396="",E1396=""),"",B1396*10000+E1396)</f>
        <v/>
      </c>
      <c r="P1396">
        <f>IF(N1396="","",E1396)</f>
        <v/>
      </c>
    </row>
    <row r="1397">
      <c r="A1397" s="1" t="n"/>
      <c r="B1397" s="20" t="n"/>
      <c r="C1397" s="21" t="n"/>
      <c r="D1397" s="22" t="n"/>
      <c r="E1397" s="23" t="n"/>
      <c r="F1397" s="22" t="n"/>
      <c r="G1397" s="14">
        <f>IF(OR(B1397="",E1397="",J1397="",K1397=""),"",IF(E1397&lt;J1397,"Below",IF(E1397&gt;K1397,"Above","In range")))</f>
        <v/>
      </c>
      <c r="H1397" s="1" t="n"/>
      <c r="J1397">
        <f>IF(M1397="","",IF(INDEX(Settings!$C$10:$C$18,M1397)="","",INDEX(Settings!$C$10:$C$18,M1397)))</f>
        <v/>
      </c>
      <c r="K1397">
        <f>IF(M1397="","",IF(INDEX(Settings!$D$10:$D$18,M1397)="","",INDEX(Settings!$D$10:$D$18,M1397)))</f>
        <v/>
      </c>
      <c r="L1397">
        <f>IF(OR(B1397="",E1397=""),"",B1397+MOD(N(C1397),1)+ROW()/10000000)</f>
        <v/>
      </c>
      <c r="M1397">
        <f>IF(D1397="","",IFERROR(MATCH(D1397,Settings!$B$10:$B$18,0),""))</f>
        <v/>
      </c>
      <c r="N1397">
        <f>IF(OR(B1397="",E1397="",M1397=""),"",IF(AND(B1397&gt;=Settings!$C$6,B1397&lt;=Settings!$C$7),M1397*10000+E1397,""))</f>
        <v/>
      </c>
      <c r="O1397">
        <f>IF(OR(B1397="",E1397=""),"",B1397*10000+E1397)</f>
        <v/>
      </c>
      <c r="P1397">
        <f>IF(N1397="","",E1397)</f>
        <v/>
      </c>
    </row>
    <row r="1398">
      <c r="A1398" s="1" t="n"/>
      <c r="B1398" s="20" t="n"/>
      <c r="C1398" s="21" t="n"/>
      <c r="D1398" s="22" t="n"/>
      <c r="E1398" s="23" t="n"/>
      <c r="F1398" s="22" t="n"/>
      <c r="G1398" s="14">
        <f>IF(OR(B1398="",E1398="",J1398="",K1398=""),"",IF(E1398&lt;J1398,"Below",IF(E1398&gt;K1398,"Above","In range")))</f>
        <v/>
      </c>
      <c r="H1398" s="1" t="n"/>
      <c r="J1398">
        <f>IF(M1398="","",IF(INDEX(Settings!$C$10:$C$18,M1398)="","",INDEX(Settings!$C$10:$C$18,M1398)))</f>
        <v/>
      </c>
      <c r="K1398">
        <f>IF(M1398="","",IF(INDEX(Settings!$D$10:$D$18,M1398)="","",INDEX(Settings!$D$10:$D$18,M1398)))</f>
        <v/>
      </c>
      <c r="L1398">
        <f>IF(OR(B1398="",E1398=""),"",B1398+MOD(N(C1398),1)+ROW()/10000000)</f>
        <v/>
      </c>
      <c r="M1398">
        <f>IF(D1398="","",IFERROR(MATCH(D1398,Settings!$B$10:$B$18,0),""))</f>
        <v/>
      </c>
      <c r="N1398">
        <f>IF(OR(B1398="",E1398="",M1398=""),"",IF(AND(B1398&gt;=Settings!$C$6,B1398&lt;=Settings!$C$7),M1398*10000+E1398,""))</f>
        <v/>
      </c>
      <c r="O1398">
        <f>IF(OR(B1398="",E1398=""),"",B1398*10000+E1398)</f>
        <v/>
      </c>
      <c r="P1398">
        <f>IF(N1398="","",E1398)</f>
        <v/>
      </c>
    </row>
    <row r="1399">
      <c r="A1399" s="1" t="n"/>
      <c r="B1399" s="20" t="n"/>
      <c r="C1399" s="21" t="n"/>
      <c r="D1399" s="22" t="n"/>
      <c r="E1399" s="23" t="n"/>
      <c r="F1399" s="22" t="n"/>
      <c r="G1399" s="14">
        <f>IF(OR(B1399="",E1399="",J1399="",K1399=""),"",IF(E1399&lt;J1399,"Below",IF(E1399&gt;K1399,"Above","In range")))</f>
        <v/>
      </c>
      <c r="H1399" s="1" t="n"/>
      <c r="J1399">
        <f>IF(M1399="","",IF(INDEX(Settings!$C$10:$C$18,M1399)="","",INDEX(Settings!$C$10:$C$18,M1399)))</f>
        <v/>
      </c>
      <c r="K1399">
        <f>IF(M1399="","",IF(INDEX(Settings!$D$10:$D$18,M1399)="","",INDEX(Settings!$D$10:$D$18,M1399)))</f>
        <v/>
      </c>
      <c r="L1399">
        <f>IF(OR(B1399="",E1399=""),"",B1399+MOD(N(C1399),1)+ROW()/10000000)</f>
        <v/>
      </c>
      <c r="M1399">
        <f>IF(D1399="","",IFERROR(MATCH(D1399,Settings!$B$10:$B$18,0),""))</f>
        <v/>
      </c>
      <c r="N1399">
        <f>IF(OR(B1399="",E1399="",M1399=""),"",IF(AND(B1399&gt;=Settings!$C$6,B1399&lt;=Settings!$C$7),M1399*10000+E1399,""))</f>
        <v/>
      </c>
      <c r="O1399">
        <f>IF(OR(B1399="",E1399=""),"",B1399*10000+E1399)</f>
        <v/>
      </c>
      <c r="P1399">
        <f>IF(N1399="","",E1399)</f>
        <v/>
      </c>
    </row>
    <row r="1400">
      <c r="A1400" s="1" t="n"/>
      <c r="B1400" s="20" t="n"/>
      <c r="C1400" s="21" t="n"/>
      <c r="D1400" s="22" t="n"/>
      <c r="E1400" s="23" t="n"/>
      <c r="F1400" s="22" t="n"/>
      <c r="G1400" s="14">
        <f>IF(OR(B1400="",E1400="",J1400="",K1400=""),"",IF(E1400&lt;J1400,"Below",IF(E1400&gt;K1400,"Above","In range")))</f>
        <v/>
      </c>
      <c r="H1400" s="1" t="n"/>
      <c r="J1400">
        <f>IF(M1400="","",IF(INDEX(Settings!$C$10:$C$18,M1400)="","",INDEX(Settings!$C$10:$C$18,M1400)))</f>
        <v/>
      </c>
      <c r="K1400">
        <f>IF(M1400="","",IF(INDEX(Settings!$D$10:$D$18,M1400)="","",INDEX(Settings!$D$10:$D$18,M1400)))</f>
        <v/>
      </c>
      <c r="L1400">
        <f>IF(OR(B1400="",E1400=""),"",B1400+MOD(N(C1400),1)+ROW()/10000000)</f>
        <v/>
      </c>
      <c r="M1400">
        <f>IF(D1400="","",IFERROR(MATCH(D1400,Settings!$B$10:$B$18,0),""))</f>
        <v/>
      </c>
      <c r="N1400">
        <f>IF(OR(B1400="",E1400="",M1400=""),"",IF(AND(B1400&gt;=Settings!$C$6,B1400&lt;=Settings!$C$7),M1400*10000+E1400,""))</f>
        <v/>
      </c>
      <c r="O1400">
        <f>IF(OR(B1400="",E1400=""),"",B1400*10000+E1400)</f>
        <v/>
      </c>
      <c r="P1400">
        <f>IF(N1400="","",E1400)</f>
        <v/>
      </c>
    </row>
    <row r="1401">
      <c r="A1401" s="1" t="n"/>
      <c r="B1401" s="20" t="n"/>
      <c r="C1401" s="21" t="n"/>
      <c r="D1401" s="22" t="n"/>
      <c r="E1401" s="23" t="n"/>
      <c r="F1401" s="22" t="n"/>
      <c r="G1401" s="14">
        <f>IF(OR(B1401="",E1401="",J1401="",K1401=""),"",IF(E1401&lt;J1401,"Below",IF(E1401&gt;K1401,"Above","In range")))</f>
        <v/>
      </c>
      <c r="H1401" s="1" t="n"/>
      <c r="J1401">
        <f>IF(M1401="","",IF(INDEX(Settings!$C$10:$C$18,M1401)="","",INDEX(Settings!$C$10:$C$18,M1401)))</f>
        <v/>
      </c>
      <c r="K1401">
        <f>IF(M1401="","",IF(INDEX(Settings!$D$10:$D$18,M1401)="","",INDEX(Settings!$D$10:$D$18,M1401)))</f>
        <v/>
      </c>
      <c r="L1401">
        <f>IF(OR(B1401="",E1401=""),"",B1401+MOD(N(C1401),1)+ROW()/10000000)</f>
        <v/>
      </c>
      <c r="M1401">
        <f>IF(D1401="","",IFERROR(MATCH(D1401,Settings!$B$10:$B$18,0),""))</f>
        <v/>
      </c>
      <c r="N1401">
        <f>IF(OR(B1401="",E1401="",M1401=""),"",IF(AND(B1401&gt;=Settings!$C$6,B1401&lt;=Settings!$C$7),M1401*10000+E1401,""))</f>
        <v/>
      </c>
      <c r="O1401">
        <f>IF(OR(B1401="",E1401=""),"",B1401*10000+E1401)</f>
        <v/>
      </c>
      <c r="P1401">
        <f>IF(N1401="","",E1401)</f>
        <v/>
      </c>
    </row>
    <row r="1402">
      <c r="A1402" s="1" t="n"/>
      <c r="B1402" s="20" t="n"/>
      <c r="C1402" s="21" t="n"/>
      <c r="D1402" s="22" t="n"/>
      <c r="E1402" s="23" t="n"/>
      <c r="F1402" s="22" t="n"/>
      <c r="G1402" s="14">
        <f>IF(OR(B1402="",E1402="",J1402="",K1402=""),"",IF(E1402&lt;J1402,"Below",IF(E1402&gt;K1402,"Above","In range")))</f>
        <v/>
      </c>
      <c r="H1402" s="1" t="n"/>
      <c r="J1402">
        <f>IF(M1402="","",IF(INDEX(Settings!$C$10:$C$18,M1402)="","",INDEX(Settings!$C$10:$C$18,M1402)))</f>
        <v/>
      </c>
      <c r="K1402">
        <f>IF(M1402="","",IF(INDEX(Settings!$D$10:$D$18,M1402)="","",INDEX(Settings!$D$10:$D$18,M1402)))</f>
        <v/>
      </c>
      <c r="L1402">
        <f>IF(OR(B1402="",E1402=""),"",B1402+MOD(N(C1402),1)+ROW()/10000000)</f>
        <v/>
      </c>
      <c r="M1402">
        <f>IF(D1402="","",IFERROR(MATCH(D1402,Settings!$B$10:$B$18,0),""))</f>
        <v/>
      </c>
      <c r="N1402">
        <f>IF(OR(B1402="",E1402="",M1402=""),"",IF(AND(B1402&gt;=Settings!$C$6,B1402&lt;=Settings!$C$7),M1402*10000+E1402,""))</f>
        <v/>
      </c>
      <c r="O1402">
        <f>IF(OR(B1402="",E1402=""),"",B1402*10000+E1402)</f>
        <v/>
      </c>
      <c r="P1402">
        <f>IF(N1402="","",E1402)</f>
        <v/>
      </c>
    </row>
    <row r="1403">
      <c r="A1403" s="1" t="n"/>
      <c r="B1403" s="20" t="n"/>
      <c r="C1403" s="21" t="n"/>
      <c r="D1403" s="22" t="n"/>
      <c r="E1403" s="23" t="n"/>
      <c r="F1403" s="22" t="n"/>
      <c r="G1403" s="14">
        <f>IF(OR(B1403="",E1403="",J1403="",K1403=""),"",IF(E1403&lt;J1403,"Below",IF(E1403&gt;K1403,"Above","In range")))</f>
        <v/>
      </c>
      <c r="H1403" s="1" t="n"/>
      <c r="J1403">
        <f>IF(M1403="","",IF(INDEX(Settings!$C$10:$C$18,M1403)="","",INDEX(Settings!$C$10:$C$18,M1403)))</f>
        <v/>
      </c>
      <c r="K1403">
        <f>IF(M1403="","",IF(INDEX(Settings!$D$10:$D$18,M1403)="","",INDEX(Settings!$D$10:$D$18,M1403)))</f>
        <v/>
      </c>
      <c r="L1403">
        <f>IF(OR(B1403="",E1403=""),"",B1403+MOD(N(C1403),1)+ROW()/10000000)</f>
        <v/>
      </c>
      <c r="M1403">
        <f>IF(D1403="","",IFERROR(MATCH(D1403,Settings!$B$10:$B$18,0),""))</f>
        <v/>
      </c>
      <c r="N1403">
        <f>IF(OR(B1403="",E1403="",M1403=""),"",IF(AND(B1403&gt;=Settings!$C$6,B1403&lt;=Settings!$C$7),M1403*10000+E1403,""))</f>
        <v/>
      </c>
      <c r="O1403">
        <f>IF(OR(B1403="",E1403=""),"",B1403*10000+E1403)</f>
        <v/>
      </c>
      <c r="P1403">
        <f>IF(N1403="","",E1403)</f>
        <v/>
      </c>
    </row>
    <row r="1404">
      <c r="A1404" s="1" t="n"/>
      <c r="B1404" s="20" t="n"/>
      <c r="C1404" s="21" t="n"/>
      <c r="D1404" s="22" t="n"/>
      <c r="E1404" s="23" t="n"/>
      <c r="F1404" s="22" t="n"/>
      <c r="G1404" s="14">
        <f>IF(OR(B1404="",E1404="",J1404="",K1404=""),"",IF(E1404&lt;J1404,"Below",IF(E1404&gt;K1404,"Above","In range")))</f>
        <v/>
      </c>
      <c r="H1404" s="1" t="n"/>
      <c r="J1404">
        <f>IF(M1404="","",IF(INDEX(Settings!$C$10:$C$18,M1404)="","",INDEX(Settings!$C$10:$C$18,M1404)))</f>
        <v/>
      </c>
      <c r="K1404">
        <f>IF(M1404="","",IF(INDEX(Settings!$D$10:$D$18,M1404)="","",INDEX(Settings!$D$10:$D$18,M1404)))</f>
        <v/>
      </c>
      <c r="L1404">
        <f>IF(OR(B1404="",E1404=""),"",B1404+MOD(N(C1404),1)+ROW()/10000000)</f>
        <v/>
      </c>
      <c r="M1404">
        <f>IF(D1404="","",IFERROR(MATCH(D1404,Settings!$B$10:$B$18,0),""))</f>
        <v/>
      </c>
      <c r="N1404">
        <f>IF(OR(B1404="",E1404="",M1404=""),"",IF(AND(B1404&gt;=Settings!$C$6,B1404&lt;=Settings!$C$7),M1404*10000+E1404,""))</f>
        <v/>
      </c>
      <c r="O1404">
        <f>IF(OR(B1404="",E1404=""),"",B1404*10000+E1404)</f>
        <v/>
      </c>
      <c r="P1404">
        <f>IF(N1404="","",E1404)</f>
        <v/>
      </c>
    </row>
    <row r="1405">
      <c r="A1405" s="1" t="n"/>
      <c r="B1405" s="20" t="n"/>
      <c r="C1405" s="21" t="n"/>
      <c r="D1405" s="22" t="n"/>
      <c r="E1405" s="23" t="n"/>
      <c r="F1405" s="22" t="n"/>
      <c r="G1405" s="14">
        <f>IF(OR(B1405="",E1405="",J1405="",K1405=""),"",IF(E1405&lt;J1405,"Below",IF(E1405&gt;K1405,"Above","In range")))</f>
        <v/>
      </c>
      <c r="H1405" s="1" t="n"/>
      <c r="J1405">
        <f>IF(M1405="","",IF(INDEX(Settings!$C$10:$C$18,M1405)="","",INDEX(Settings!$C$10:$C$18,M1405)))</f>
        <v/>
      </c>
      <c r="K1405">
        <f>IF(M1405="","",IF(INDEX(Settings!$D$10:$D$18,M1405)="","",INDEX(Settings!$D$10:$D$18,M1405)))</f>
        <v/>
      </c>
      <c r="L1405">
        <f>IF(OR(B1405="",E1405=""),"",B1405+MOD(N(C1405),1)+ROW()/10000000)</f>
        <v/>
      </c>
      <c r="M1405">
        <f>IF(D1405="","",IFERROR(MATCH(D1405,Settings!$B$10:$B$18,0),""))</f>
        <v/>
      </c>
      <c r="N1405">
        <f>IF(OR(B1405="",E1405="",M1405=""),"",IF(AND(B1405&gt;=Settings!$C$6,B1405&lt;=Settings!$C$7),M1405*10000+E1405,""))</f>
        <v/>
      </c>
      <c r="O1405">
        <f>IF(OR(B1405="",E1405=""),"",B1405*10000+E1405)</f>
        <v/>
      </c>
      <c r="P1405">
        <f>IF(N1405="","",E1405)</f>
        <v/>
      </c>
    </row>
    <row r="1406">
      <c r="A1406" s="1" t="n"/>
      <c r="B1406" s="20" t="n"/>
      <c r="C1406" s="21" t="n"/>
      <c r="D1406" s="22" t="n"/>
      <c r="E1406" s="23" t="n"/>
      <c r="F1406" s="22" t="n"/>
      <c r="G1406" s="14">
        <f>IF(OR(B1406="",E1406="",J1406="",K1406=""),"",IF(E1406&lt;J1406,"Below",IF(E1406&gt;K1406,"Above","In range")))</f>
        <v/>
      </c>
      <c r="H1406" s="1" t="n"/>
      <c r="J1406">
        <f>IF(M1406="","",IF(INDEX(Settings!$C$10:$C$18,M1406)="","",INDEX(Settings!$C$10:$C$18,M1406)))</f>
        <v/>
      </c>
      <c r="K1406">
        <f>IF(M1406="","",IF(INDEX(Settings!$D$10:$D$18,M1406)="","",INDEX(Settings!$D$10:$D$18,M1406)))</f>
        <v/>
      </c>
      <c r="L1406">
        <f>IF(OR(B1406="",E1406=""),"",B1406+MOD(N(C1406),1)+ROW()/10000000)</f>
        <v/>
      </c>
      <c r="M1406">
        <f>IF(D1406="","",IFERROR(MATCH(D1406,Settings!$B$10:$B$18,0),""))</f>
        <v/>
      </c>
      <c r="N1406">
        <f>IF(OR(B1406="",E1406="",M1406=""),"",IF(AND(B1406&gt;=Settings!$C$6,B1406&lt;=Settings!$C$7),M1406*10000+E1406,""))</f>
        <v/>
      </c>
      <c r="O1406">
        <f>IF(OR(B1406="",E1406=""),"",B1406*10000+E1406)</f>
        <v/>
      </c>
      <c r="P1406">
        <f>IF(N1406="","",E1406)</f>
        <v/>
      </c>
    </row>
    <row r="1407">
      <c r="A1407" s="1" t="n"/>
      <c r="B1407" s="20" t="n"/>
      <c r="C1407" s="21" t="n"/>
      <c r="D1407" s="22" t="n"/>
      <c r="E1407" s="23" t="n"/>
      <c r="F1407" s="22" t="n"/>
      <c r="G1407" s="14">
        <f>IF(OR(B1407="",E1407="",J1407="",K1407=""),"",IF(E1407&lt;J1407,"Below",IF(E1407&gt;K1407,"Above","In range")))</f>
        <v/>
      </c>
      <c r="H1407" s="1" t="n"/>
      <c r="J1407">
        <f>IF(M1407="","",IF(INDEX(Settings!$C$10:$C$18,M1407)="","",INDEX(Settings!$C$10:$C$18,M1407)))</f>
        <v/>
      </c>
      <c r="K1407">
        <f>IF(M1407="","",IF(INDEX(Settings!$D$10:$D$18,M1407)="","",INDEX(Settings!$D$10:$D$18,M1407)))</f>
        <v/>
      </c>
      <c r="L1407">
        <f>IF(OR(B1407="",E1407=""),"",B1407+MOD(N(C1407),1)+ROW()/10000000)</f>
        <v/>
      </c>
      <c r="M1407">
        <f>IF(D1407="","",IFERROR(MATCH(D1407,Settings!$B$10:$B$18,0),""))</f>
        <v/>
      </c>
      <c r="N1407">
        <f>IF(OR(B1407="",E1407="",M1407=""),"",IF(AND(B1407&gt;=Settings!$C$6,B1407&lt;=Settings!$C$7),M1407*10000+E1407,""))</f>
        <v/>
      </c>
      <c r="O1407">
        <f>IF(OR(B1407="",E1407=""),"",B1407*10000+E1407)</f>
        <v/>
      </c>
      <c r="P1407">
        <f>IF(N1407="","",E1407)</f>
        <v/>
      </c>
    </row>
    <row r="1408">
      <c r="A1408" s="1" t="n"/>
      <c r="B1408" s="20" t="n"/>
      <c r="C1408" s="21" t="n"/>
      <c r="D1408" s="22" t="n"/>
      <c r="E1408" s="23" t="n"/>
      <c r="F1408" s="22" t="n"/>
      <c r="G1408" s="14">
        <f>IF(OR(B1408="",E1408="",J1408="",K1408=""),"",IF(E1408&lt;J1408,"Below",IF(E1408&gt;K1408,"Above","In range")))</f>
        <v/>
      </c>
      <c r="H1408" s="1" t="n"/>
      <c r="J1408">
        <f>IF(M1408="","",IF(INDEX(Settings!$C$10:$C$18,M1408)="","",INDEX(Settings!$C$10:$C$18,M1408)))</f>
        <v/>
      </c>
      <c r="K1408">
        <f>IF(M1408="","",IF(INDEX(Settings!$D$10:$D$18,M1408)="","",INDEX(Settings!$D$10:$D$18,M1408)))</f>
        <v/>
      </c>
      <c r="L1408">
        <f>IF(OR(B1408="",E1408=""),"",B1408+MOD(N(C1408),1)+ROW()/10000000)</f>
        <v/>
      </c>
      <c r="M1408">
        <f>IF(D1408="","",IFERROR(MATCH(D1408,Settings!$B$10:$B$18,0),""))</f>
        <v/>
      </c>
      <c r="N1408">
        <f>IF(OR(B1408="",E1408="",M1408=""),"",IF(AND(B1408&gt;=Settings!$C$6,B1408&lt;=Settings!$C$7),M1408*10000+E1408,""))</f>
        <v/>
      </c>
      <c r="O1408">
        <f>IF(OR(B1408="",E1408=""),"",B1408*10000+E1408)</f>
        <v/>
      </c>
      <c r="P1408">
        <f>IF(N1408="","",E1408)</f>
        <v/>
      </c>
    </row>
    <row r="1409">
      <c r="A1409" s="1" t="n"/>
      <c r="B1409" s="20" t="n"/>
      <c r="C1409" s="21" t="n"/>
      <c r="D1409" s="22" t="n"/>
      <c r="E1409" s="23" t="n"/>
      <c r="F1409" s="22" t="n"/>
      <c r="G1409" s="14">
        <f>IF(OR(B1409="",E1409="",J1409="",K1409=""),"",IF(E1409&lt;J1409,"Below",IF(E1409&gt;K1409,"Above","In range")))</f>
        <v/>
      </c>
      <c r="H1409" s="1" t="n"/>
      <c r="J1409">
        <f>IF(M1409="","",IF(INDEX(Settings!$C$10:$C$18,M1409)="","",INDEX(Settings!$C$10:$C$18,M1409)))</f>
        <v/>
      </c>
      <c r="K1409">
        <f>IF(M1409="","",IF(INDEX(Settings!$D$10:$D$18,M1409)="","",INDEX(Settings!$D$10:$D$18,M1409)))</f>
        <v/>
      </c>
      <c r="L1409">
        <f>IF(OR(B1409="",E1409=""),"",B1409+MOD(N(C1409),1)+ROW()/10000000)</f>
        <v/>
      </c>
      <c r="M1409">
        <f>IF(D1409="","",IFERROR(MATCH(D1409,Settings!$B$10:$B$18,0),""))</f>
        <v/>
      </c>
      <c r="N1409">
        <f>IF(OR(B1409="",E1409="",M1409=""),"",IF(AND(B1409&gt;=Settings!$C$6,B1409&lt;=Settings!$C$7),M1409*10000+E1409,""))</f>
        <v/>
      </c>
      <c r="O1409">
        <f>IF(OR(B1409="",E1409=""),"",B1409*10000+E1409)</f>
        <v/>
      </c>
      <c r="P1409">
        <f>IF(N1409="","",E1409)</f>
        <v/>
      </c>
    </row>
    <row r="1410">
      <c r="A1410" s="1" t="n"/>
      <c r="B1410" s="20" t="n"/>
      <c r="C1410" s="21" t="n"/>
      <c r="D1410" s="22" t="n"/>
      <c r="E1410" s="23" t="n"/>
      <c r="F1410" s="22" t="n"/>
      <c r="G1410" s="14">
        <f>IF(OR(B1410="",E1410="",J1410="",K1410=""),"",IF(E1410&lt;J1410,"Below",IF(E1410&gt;K1410,"Above","In range")))</f>
        <v/>
      </c>
      <c r="H1410" s="1" t="n"/>
      <c r="J1410">
        <f>IF(M1410="","",IF(INDEX(Settings!$C$10:$C$18,M1410)="","",INDEX(Settings!$C$10:$C$18,M1410)))</f>
        <v/>
      </c>
      <c r="K1410">
        <f>IF(M1410="","",IF(INDEX(Settings!$D$10:$D$18,M1410)="","",INDEX(Settings!$D$10:$D$18,M1410)))</f>
        <v/>
      </c>
      <c r="L1410">
        <f>IF(OR(B1410="",E1410=""),"",B1410+MOD(N(C1410),1)+ROW()/10000000)</f>
        <v/>
      </c>
      <c r="M1410">
        <f>IF(D1410="","",IFERROR(MATCH(D1410,Settings!$B$10:$B$18,0),""))</f>
        <v/>
      </c>
      <c r="N1410">
        <f>IF(OR(B1410="",E1410="",M1410=""),"",IF(AND(B1410&gt;=Settings!$C$6,B1410&lt;=Settings!$C$7),M1410*10000+E1410,""))</f>
        <v/>
      </c>
      <c r="O1410">
        <f>IF(OR(B1410="",E1410=""),"",B1410*10000+E1410)</f>
        <v/>
      </c>
      <c r="P1410">
        <f>IF(N1410="","",E1410)</f>
        <v/>
      </c>
    </row>
    <row r="1411">
      <c r="A1411" s="1" t="n"/>
      <c r="B1411" s="20" t="n"/>
      <c r="C1411" s="21" t="n"/>
      <c r="D1411" s="22" t="n"/>
      <c r="E1411" s="23" t="n"/>
      <c r="F1411" s="22" t="n"/>
      <c r="G1411" s="14">
        <f>IF(OR(B1411="",E1411="",J1411="",K1411=""),"",IF(E1411&lt;J1411,"Below",IF(E1411&gt;K1411,"Above","In range")))</f>
        <v/>
      </c>
      <c r="H1411" s="1" t="n"/>
      <c r="J1411">
        <f>IF(M1411="","",IF(INDEX(Settings!$C$10:$C$18,M1411)="","",INDEX(Settings!$C$10:$C$18,M1411)))</f>
        <v/>
      </c>
      <c r="K1411">
        <f>IF(M1411="","",IF(INDEX(Settings!$D$10:$D$18,M1411)="","",INDEX(Settings!$D$10:$D$18,M1411)))</f>
        <v/>
      </c>
      <c r="L1411">
        <f>IF(OR(B1411="",E1411=""),"",B1411+MOD(N(C1411),1)+ROW()/10000000)</f>
        <v/>
      </c>
      <c r="M1411">
        <f>IF(D1411="","",IFERROR(MATCH(D1411,Settings!$B$10:$B$18,0),""))</f>
        <v/>
      </c>
      <c r="N1411">
        <f>IF(OR(B1411="",E1411="",M1411=""),"",IF(AND(B1411&gt;=Settings!$C$6,B1411&lt;=Settings!$C$7),M1411*10000+E1411,""))</f>
        <v/>
      </c>
      <c r="O1411">
        <f>IF(OR(B1411="",E1411=""),"",B1411*10000+E1411)</f>
        <v/>
      </c>
      <c r="P1411">
        <f>IF(N1411="","",E1411)</f>
        <v/>
      </c>
    </row>
    <row r="1412">
      <c r="A1412" s="1" t="n"/>
      <c r="B1412" s="20" t="n"/>
      <c r="C1412" s="21" t="n"/>
      <c r="D1412" s="22" t="n"/>
      <c r="E1412" s="23" t="n"/>
      <c r="F1412" s="22" t="n"/>
      <c r="G1412" s="14">
        <f>IF(OR(B1412="",E1412="",J1412="",K1412=""),"",IF(E1412&lt;J1412,"Below",IF(E1412&gt;K1412,"Above","In range")))</f>
        <v/>
      </c>
      <c r="H1412" s="1" t="n"/>
      <c r="J1412">
        <f>IF(M1412="","",IF(INDEX(Settings!$C$10:$C$18,M1412)="","",INDEX(Settings!$C$10:$C$18,M1412)))</f>
        <v/>
      </c>
      <c r="K1412">
        <f>IF(M1412="","",IF(INDEX(Settings!$D$10:$D$18,M1412)="","",INDEX(Settings!$D$10:$D$18,M1412)))</f>
        <v/>
      </c>
      <c r="L1412">
        <f>IF(OR(B1412="",E1412=""),"",B1412+MOD(N(C1412),1)+ROW()/10000000)</f>
        <v/>
      </c>
      <c r="M1412">
        <f>IF(D1412="","",IFERROR(MATCH(D1412,Settings!$B$10:$B$18,0),""))</f>
        <v/>
      </c>
      <c r="N1412">
        <f>IF(OR(B1412="",E1412="",M1412=""),"",IF(AND(B1412&gt;=Settings!$C$6,B1412&lt;=Settings!$C$7),M1412*10000+E1412,""))</f>
        <v/>
      </c>
      <c r="O1412">
        <f>IF(OR(B1412="",E1412=""),"",B1412*10000+E1412)</f>
        <v/>
      </c>
      <c r="P1412">
        <f>IF(N1412="","",E1412)</f>
        <v/>
      </c>
    </row>
    <row r="1413">
      <c r="A1413" s="1" t="n"/>
      <c r="B1413" s="20" t="n"/>
      <c r="C1413" s="21" t="n"/>
      <c r="D1413" s="22" t="n"/>
      <c r="E1413" s="23" t="n"/>
      <c r="F1413" s="22" t="n"/>
      <c r="G1413" s="14">
        <f>IF(OR(B1413="",E1413="",J1413="",K1413=""),"",IF(E1413&lt;J1413,"Below",IF(E1413&gt;K1413,"Above","In range")))</f>
        <v/>
      </c>
      <c r="H1413" s="1" t="n"/>
      <c r="J1413">
        <f>IF(M1413="","",IF(INDEX(Settings!$C$10:$C$18,M1413)="","",INDEX(Settings!$C$10:$C$18,M1413)))</f>
        <v/>
      </c>
      <c r="K1413">
        <f>IF(M1413="","",IF(INDEX(Settings!$D$10:$D$18,M1413)="","",INDEX(Settings!$D$10:$D$18,M1413)))</f>
        <v/>
      </c>
      <c r="L1413">
        <f>IF(OR(B1413="",E1413=""),"",B1413+MOD(N(C1413),1)+ROW()/10000000)</f>
        <v/>
      </c>
      <c r="M1413">
        <f>IF(D1413="","",IFERROR(MATCH(D1413,Settings!$B$10:$B$18,0),""))</f>
        <v/>
      </c>
      <c r="N1413">
        <f>IF(OR(B1413="",E1413="",M1413=""),"",IF(AND(B1413&gt;=Settings!$C$6,B1413&lt;=Settings!$C$7),M1413*10000+E1413,""))</f>
        <v/>
      </c>
      <c r="O1413">
        <f>IF(OR(B1413="",E1413=""),"",B1413*10000+E1413)</f>
        <v/>
      </c>
      <c r="P1413">
        <f>IF(N1413="","",E1413)</f>
        <v/>
      </c>
    </row>
    <row r="1414">
      <c r="A1414" s="1" t="n"/>
      <c r="B1414" s="20" t="n"/>
      <c r="C1414" s="21" t="n"/>
      <c r="D1414" s="22" t="n"/>
      <c r="E1414" s="23" t="n"/>
      <c r="F1414" s="22" t="n"/>
      <c r="G1414" s="14">
        <f>IF(OR(B1414="",E1414="",J1414="",K1414=""),"",IF(E1414&lt;J1414,"Below",IF(E1414&gt;K1414,"Above","In range")))</f>
        <v/>
      </c>
      <c r="H1414" s="1" t="n"/>
      <c r="J1414">
        <f>IF(M1414="","",IF(INDEX(Settings!$C$10:$C$18,M1414)="","",INDEX(Settings!$C$10:$C$18,M1414)))</f>
        <v/>
      </c>
      <c r="K1414">
        <f>IF(M1414="","",IF(INDEX(Settings!$D$10:$D$18,M1414)="","",INDEX(Settings!$D$10:$D$18,M1414)))</f>
        <v/>
      </c>
      <c r="L1414">
        <f>IF(OR(B1414="",E1414=""),"",B1414+MOD(N(C1414),1)+ROW()/10000000)</f>
        <v/>
      </c>
      <c r="M1414">
        <f>IF(D1414="","",IFERROR(MATCH(D1414,Settings!$B$10:$B$18,0),""))</f>
        <v/>
      </c>
      <c r="N1414">
        <f>IF(OR(B1414="",E1414="",M1414=""),"",IF(AND(B1414&gt;=Settings!$C$6,B1414&lt;=Settings!$C$7),M1414*10000+E1414,""))</f>
        <v/>
      </c>
      <c r="O1414">
        <f>IF(OR(B1414="",E1414=""),"",B1414*10000+E1414)</f>
        <v/>
      </c>
      <c r="P1414">
        <f>IF(N1414="","",E1414)</f>
        <v/>
      </c>
    </row>
    <row r="1415">
      <c r="A1415" s="1" t="n"/>
      <c r="B1415" s="20" t="n"/>
      <c r="C1415" s="21" t="n"/>
      <c r="D1415" s="22" t="n"/>
      <c r="E1415" s="23" t="n"/>
      <c r="F1415" s="22" t="n"/>
      <c r="G1415" s="14">
        <f>IF(OR(B1415="",E1415="",J1415="",K1415=""),"",IF(E1415&lt;J1415,"Below",IF(E1415&gt;K1415,"Above","In range")))</f>
        <v/>
      </c>
      <c r="H1415" s="1" t="n"/>
      <c r="J1415">
        <f>IF(M1415="","",IF(INDEX(Settings!$C$10:$C$18,M1415)="","",INDEX(Settings!$C$10:$C$18,M1415)))</f>
        <v/>
      </c>
      <c r="K1415">
        <f>IF(M1415="","",IF(INDEX(Settings!$D$10:$D$18,M1415)="","",INDEX(Settings!$D$10:$D$18,M1415)))</f>
        <v/>
      </c>
      <c r="L1415">
        <f>IF(OR(B1415="",E1415=""),"",B1415+MOD(N(C1415),1)+ROW()/10000000)</f>
        <v/>
      </c>
      <c r="M1415">
        <f>IF(D1415="","",IFERROR(MATCH(D1415,Settings!$B$10:$B$18,0),""))</f>
        <v/>
      </c>
      <c r="N1415">
        <f>IF(OR(B1415="",E1415="",M1415=""),"",IF(AND(B1415&gt;=Settings!$C$6,B1415&lt;=Settings!$C$7),M1415*10000+E1415,""))</f>
        <v/>
      </c>
      <c r="O1415">
        <f>IF(OR(B1415="",E1415=""),"",B1415*10000+E1415)</f>
        <v/>
      </c>
      <c r="P1415">
        <f>IF(N1415="","",E1415)</f>
        <v/>
      </c>
    </row>
    <row r="1416">
      <c r="A1416" s="1" t="n"/>
      <c r="B1416" s="20" t="n"/>
      <c r="C1416" s="21" t="n"/>
      <c r="D1416" s="22" t="n"/>
      <c r="E1416" s="23" t="n"/>
      <c r="F1416" s="22" t="n"/>
      <c r="G1416" s="14">
        <f>IF(OR(B1416="",E1416="",J1416="",K1416=""),"",IF(E1416&lt;J1416,"Below",IF(E1416&gt;K1416,"Above","In range")))</f>
        <v/>
      </c>
      <c r="H1416" s="1" t="n"/>
      <c r="J1416">
        <f>IF(M1416="","",IF(INDEX(Settings!$C$10:$C$18,M1416)="","",INDEX(Settings!$C$10:$C$18,M1416)))</f>
        <v/>
      </c>
      <c r="K1416">
        <f>IF(M1416="","",IF(INDEX(Settings!$D$10:$D$18,M1416)="","",INDEX(Settings!$D$10:$D$18,M1416)))</f>
        <v/>
      </c>
      <c r="L1416">
        <f>IF(OR(B1416="",E1416=""),"",B1416+MOD(N(C1416),1)+ROW()/10000000)</f>
        <v/>
      </c>
      <c r="M1416">
        <f>IF(D1416="","",IFERROR(MATCH(D1416,Settings!$B$10:$B$18,0),""))</f>
        <v/>
      </c>
      <c r="N1416">
        <f>IF(OR(B1416="",E1416="",M1416=""),"",IF(AND(B1416&gt;=Settings!$C$6,B1416&lt;=Settings!$C$7),M1416*10000+E1416,""))</f>
        <v/>
      </c>
      <c r="O1416">
        <f>IF(OR(B1416="",E1416=""),"",B1416*10000+E1416)</f>
        <v/>
      </c>
      <c r="P1416">
        <f>IF(N1416="","",E1416)</f>
        <v/>
      </c>
    </row>
    <row r="1417">
      <c r="A1417" s="1" t="n"/>
      <c r="B1417" s="20" t="n"/>
      <c r="C1417" s="21" t="n"/>
      <c r="D1417" s="22" t="n"/>
      <c r="E1417" s="23" t="n"/>
      <c r="F1417" s="22" t="n"/>
      <c r="G1417" s="14">
        <f>IF(OR(B1417="",E1417="",J1417="",K1417=""),"",IF(E1417&lt;J1417,"Below",IF(E1417&gt;K1417,"Above","In range")))</f>
        <v/>
      </c>
      <c r="H1417" s="1" t="n"/>
      <c r="J1417">
        <f>IF(M1417="","",IF(INDEX(Settings!$C$10:$C$18,M1417)="","",INDEX(Settings!$C$10:$C$18,M1417)))</f>
        <v/>
      </c>
      <c r="K1417">
        <f>IF(M1417="","",IF(INDEX(Settings!$D$10:$D$18,M1417)="","",INDEX(Settings!$D$10:$D$18,M1417)))</f>
        <v/>
      </c>
      <c r="L1417">
        <f>IF(OR(B1417="",E1417=""),"",B1417+MOD(N(C1417),1)+ROW()/10000000)</f>
        <v/>
      </c>
      <c r="M1417">
        <f>IF(D1417="","",IFERROR(MATCH(D1417,Settings!$B$10:$B$18,0),""))</f>
        <v/>
      </c>
      <c r="N1417">
        <f>IF(OR(B1417="",E1417="",M1417=""),"",IF(AND(B1417&gt;=Settings!$C$6,B1417&lt;=Settings!$C$7),M1417*10000+E1417,""))</f>
        <v/>
      </c>
      <c r="O1417">
        <f>IF(OR(B1417="",E1417=""),"",B1417*10000+E1417)</f>
        <v/>
      </c>
      <c r="P1417">
        <f>IF(N1417="","",E1417)</f>
        <v/>
      </c>
    </row>
    <row r="1418">
      <c r="A1418" s="1" t="n"/>
      <c r="B1418" s="20" t="n"/>
      <c r="C1418" s="21" t="n"/>
      <c r="D1418" s="22" t="n"/>
      <c r="E1418" s="23" t="n"/>
      <c r="F1418" s="22" t="n"/>
      <c r="G1418" s="14">
        <f>IF(OR(B1418="",E1418="",J1418="",K1418=""),"",IF(E1418&lt;J1418,"Below",IF(E1418&gt;K1418,"Above","In range")))</f>
        <v/>
      </c>
      <c r="H1418" s="1" t="n"/>
      <c r="J1418">
        <f>IF(M1418="","",IF(INDEX(Settings!$C$10:$C$18,M1418)="","",INDEX(Settings!$C$10:$C$18,M1418)))</f>
        <v/>
      </c>
      <c r="K1418">
        <f>IF(M1418="","",IF(INDEX(Settings!$D$10:$D$18,M1418)="","",INDEX(Settings!$D$10:$D$18,M1418)))</f>
        <v/>
      </c>
      <c r="L1418">
        <f>IF(OR(B1418="",E1418=""),"",B1418+MOD(N(C1418),1)+ROW()/10000000)</f>
        <v/>
      </c>
      <c r="M1418">
        <f>IF(D1418="","",IFERROR(MATCH(D1418,Settings!$B$10:$B$18,0),""))</f>
        <v/>
      </c>
      <c r="N1418">
        <f>IF(OR(B1418="",E1418="",M1418=""),"",IF(AND(B1418&gt;=Settings!$C$6,B1418&lt;=Settings!$C$7),M1418*10000+E1418,""))</f>
        <v/>
      </c>
      <c r="O1418">
        <f>IF(OR(B1418="",E1418=""),"",B1418*10000+E1418)</f>
        <v/>
      </c>
      <c r="P1418">
        <f>IF(N1418="","",E1418)</f>
        <v/>
      </c>
    </row>
    <row r="1419">
      <c r="A1419" s="1" t="n"/>
      <c r="B1419" s="20" t="n"/>
      <c r="C1419" s="21" t="n"/>
      <c r="D1419" s="22" t="n"/>
      <c r="E1419" s="23" t="n"/>
      <c r="F1419" s="22" t="n"/>
      <c r="G1419" s="14">
        <f>IF(OR(B1419="",E1419="",J1419="",K1419=""),"",IF(E1419&lt;J1419,"Below",IF(E1419&gt;K1419,"Above","In range")))</f>
        <v/>
      </c>
      <c r="H1419" s="1" t="n"/>
      <c r="J1419">
        <f>IF(M1419="","",IF(INDEX(Settings!$C$10:$C$18,M1419)="","",INDEX(Settings!$C$10:$C$18,M1419)))</f>
        <v/>
      </c>
      <c r="K1419">
        <f>IF(M1419="","",IF(INDEX(Settings!$D$10:$D$18,M1419)="","",INDEX(Settings!$D$10:$D$18,M1419)))</f>
        <v/>
      </c>
      <c r="L1419">
        <f>IF(OR(B1419="",E1419=""),"",B1419+MOD(N(C1419),1)+ROW()/10000000)</f>
        <v/>
      </c>
      <c r="M1419">
        <f>IF(D1419="","",IFERROR(MATCH(D1419,Settings!$B$10:$B$18,0),""))</f>
        <v/>
      </c>
      <c r="N1419">
        <f>IF(OR(B1419="",E1419="",M1419=""),"",IF(AND(B1419&gt;=Settings!$C$6,B1419&lt;=Settings!$C$7),M1419*10000+E1419,""))</f>
        <v/>
      </c>
      <c r="O1419">
        <f>IF(OR(B1419="",E1419=""),"",B1419*10000+E1419)</f>
        <v/>
      </c>
      <c r="P1419">
        <f>IF(N1419="","",E1419)</f>
        <v/>
      </c>
    </row>
    <row r="1420">
      <c r="A1420" s="1" t="n"/>
      <c r="B1420" s="20" t="n"/>
      <c r="C1420" s="21" t="n"/>
      <c r="D1420" s="22" t="n"/>
      <c r="E1420" s="23" t="n"/>
      <c r="F1420" s="22" t="n"/>
      <c r="G1420" s="14">
        <f>IF(OR(B1420="",E1420="",J1420="",K1420=""),"",IF(E1420&lt;J1420,"Below",IF(E1420&gt;K1420,"Above","In range")))</f>
        <v/>
      </c>
      <c r="H1420" s="1" t="n"/>
      <c r="J1420">
        <f>IF(M1420="","",IF(INDEX(Settings!$C$10:$C$18,M1420)="","",INDEX(Settings!$C$10:$C$18,M1420)))</f>
        <v/>
      </c>
      <c r="K1420">
        <f>IF(M1420="","",IF(INDEX(Settings!$D$10:$D$18,M1420)="","",INDEX(Settings!$D$10:$D$18,M1420)))</f>
        <v/>
      </c>
      <c r="L1420">
        <f>IF(OR(B1420="",E1420=""),"",B1420+MOD(N(C1420),1)+ROW()/10000000)</f>
        <v/>
      </c>
      <c r="M1420">
        <f>IF(D1420="","",IFERROR(MATCH(D1420,Settings!$B$10:$B$18,0),""))</f>
        <v/>
      </c>
      <c r="N1420">
        <f>IF(OR(B1420="",E1420="",M1420=""),"",IF(AND(B1420&gt;=Settings!$C$6,B1420&lt;=Settings!$C$7),M1420*10000+E1420,""))</f>
        <v/>
      </c>
      <c r="O1420">
        <f>IF(OR(B1420="",E1420=""),"",B1420*10000+E1420)</f>
        <v/>
      </c>
      <c r="P1420">
        <f>IF(N1420="","",E1420)</f>
        <v/>
      </c>
    </row>
    <row r="1421">
      <c r="A1421" s="1" t="n"/>
      <c r="B1421" s="20" t="n"/>
      <c r="C1421" s="21" t="n"/>
      <c r="D1421" s="22" t="n"/>
      <c r="E1421" s="23" t="n"/>
      <c r="F1421" s="22" t="n"/>
      <c r="G1421" s="14">
        <f>IF(OR(B1421="",E1421="",J1421="",K1421=""),"",IF(E1421&lt;J1421,"Below",IF(E1421&gt;K1421,"Above","In range")))</f>
        <v/>
      </c>
      <c r="H1421" s="1" t="n"/>
      <c r="J1421">
        <f>IF(M1421="","",IF(INDEX(Settings!$C$10:$C$18,M1421)="","",INDEX(Settings!$C$10:$C$18,M1421)))</f>
        <v/>
      </c>
      <c r="K1421">
        <f>IF(M1421="","",IF(INDEX(Settings!$D$10:$D$18,M1421)="","",INDEX(Settings!$D$10:$D$18,M1421)))</f>
        <v/>
      </c>
      <c r="L1421">
        <f>IF(OR(B1421="",E1421=""),"",B1421+MOD(N(C1421),1)+ROW()/10000000)</f>
        <v/>
      </c>
      <c r="M1421">
        <f>IF(D1421="","",IFERROR(MATCH(D1421,Settings!$B$10:$B$18,0),""))</f>
        <v/>
      </c>
      <c r="N1421">
        <f>IF(OR(B1421="",E1421="",M1421=""),"",IF(AND(B1421&gt;=Settings!$C$6,B1421&lt;=Settings!$C$7),M1421*10000+E1421,""))</f>
        <v/>
      </c>
      <c r="O1421">
        <f>IF(OR(B1421="",E1421=""),"",B1421*10000+E1421)</f>
        <v/>
      </c>
      <c r="P1421">
        <f>IF(N1421="","",E1421)</f>
        <v/>
      </c>
    </row>
    <row r="1422">
      <c r="A1422" s="1" t="n"/>
      <c r="B1422" s="20" t="n"/>
      <c r="C1422" s="21" t="n"/>
      <c r="D1422" s="22" t="n"/>
      <c r="E1422" s="23" t="n"/>
      <c r="F1422" s="22" t="n"/>
      <c r="G1422" s="14">
        <f>IF(OR(B1422="",E1422="",J1422="",K1422=""),"",IF(E1422&lt;J1422,"Below",IF(E1422&gt;K1422,"Above","In range")))</f>
        <v/>
      </c>
      <c r="H1422" s="1" t="n"/>
      <c r="J1422">
        <f>IF(M1422="","",IF(INDEX(Settings!$C$10:$C$18,M1422)="","",INDEX(Settings!$C$10:$C$18,M1422)))</f>
        <v/>
      </c>
      <c r="K1422">
        <f>IF(M1422="","",IF(INDEX(Settings!$D$10:$D$18,M1422)="","",INDEX(Settings!$D$10:$D$18,M1422)))</f>
        <v/>
      </c>
      <c r="L1422">
        <f>IF(OR(B1422="",E1422=""),"",B1422+MOD(N(C1422),1)+ROW()/10000000)</f>
        <v/>
      </c>
      <c r="M1422">
        <f>IF(D1422="","",IFERROR(MATCH(D1422,Settings!$B$10:$B$18,0),""))</f>
        <v/>
      </c>
      <c r="N1422">
        <f>IF(OR(B1422="",E1422="",M1422=""),"",IF(AND(B1422&gt;=Settings!$C$6,B1422&lt;=Settings!$C$7),M1422*10000+E1422,""))</f>
        <v/>
      </c>
      <c r="O1422">
        <f>IF(OR(B1422="",E1422=""),"",B1422*10000+E1422)</f>
        <v/>
      </c>
      <c r="P1422">
        <f>IF(N1422="","",E1422)</f>
        <v/>
      </c>
    </row>
    <row r="1423">
      <c r="A1423" s="1" t="n"/>
      <c r="B1423" s="20" t="n"/>
      <c r="C1423" s="21" t="n"/>
      <c r="D1423" s="22" t="n"/>
      <c r="E1423" s="23" t="n"/>
      <c r="F1423" s="22" t="n"/>
      <c r="G1423" s="14">
        <f>IF(OR(B1423="",E1423="",J1423="",K1423=""),"",IF(E1423&lt;J1423,"Below",IF(E1423&gt;K1423,"Above","In range")))</f>
        <v/>
      </c>
      <c r="H1423" s="1" t="n"/>
      <c r="J1423">
        <f>IF(M1423="","",IF(INDEX(Settings!$C$10:$C$18,M1423)="","",INDEX(Settings!$C$10:$C$18,M1423)))</f>
        <v/>
      </c>
      <c r="K1423">
        <f>IF(M1423="","",IF(INDEX(Settings!$D$10:$D$18,M1423)="","",INDEX(Settings!$D$10:$D$18,M1423)))</f>
        <v/>
      </c>
      <c r="L1423">
        <f>IF(OR(B1423="",E1423=""),"",B1423+MOD(N(C1423),1)+ROW()/10000000)</f>
        <v/>
      </c>
      <c r="M1423">
        <f>IF(D1423="","",IFERROR(MATCH(D1423,Settings!$B$10:$B$18,0),""))</f>
        <v/>
      </c>
      <c r="N1423">
        <f>IF(OR(B1423="",E1423="",M1423=""),"",IF(AND(B1423&gt;=Settings!$C$6,B1423&lt;=Settings!$C$7),M1423*10000+E1423,""))</f>
        <v/>
      </c>
      <c r="O1423">
        <f>IF(OR(B1423="",E1423=""),"",B1423*10000+E1423)</f>
        <v/>
      </c>
      <c r="P1423">
        <f>IF(N1423="","",E1423)</f>
        <v/>
      </c>
    </row>
    <row r="1424">
      <c r="A1424" s="1" t="n"/>
      <c r="B1424" s="20" t="n"/>
      <c r="C1424" s="21" t="n"/>
      <c r="D1424" s="22" t="n"/>
      <c r="E1424" s="23" t="n"/>
      <c r="F1424" s="22" t="n"/>
      <c r="G1424" s="14">
        <f>IF(OR(B1424="",E1424="",J1424="",K1424=""),"",IF(E1424&lt;J1424,"Below",IF(E1424&gt;K1424,"Above","In range")))</f>
        <v/>
      </c>
      <c r="H1424" s="1" t="n"/>
      <c r="J1424">
        <f>IF(M1424="","",IF(INDEX(Settings!$C$10:$C$18,M1424)="","",INDEX(Settings!$C$10:$C$18,M1424)))</f>
        <v/>
      </c>
      <c r="K1424">
        <f>IF(M1424="","",IF(INDEX(Settings!$D$10:$D$18,M1424)="","",INDEX(Settings!$D$10:$D$18,M1424)))</f>
        <v/>
      </c>
      <c r="L1424">
        <f>IF(OR(B1424="",E1424=""),"",B1424+MOD(N(C1424),1)+ROW()/10000000)</f>
        <v/>
      </c>
      <c r="M1424">
        <f>IF(D1424="","",IFERROR(MATCH(D1424,Settings!$B$10:$B$18,0),""))</f>
        <v/>
      </c>
      <c r="N1424">
        <f>IF(OR(B1424="",E1424="",M1424=""),"",IF(AND(B1424&gt;=Settings!$C$6,B1424&lt;=Settings!$C$7),M1424*10000+E1424,""))</f>
        <v/>
      </c>
      <c r="O1424">
        <f>IF(OR(B1424="",E1424=""),"",B1424*10000+E1424)</f>
        <v/>
      </c>
      <c r="P1424">
        <f>IF(N1424="","",E1424)</f>
        <v/>
      </c>
    </row>
    <row r="1425">
      <c r="A1425" s="1" t="n"/>
      <c r="B1425" s="20" t="n"/>
      <c r="C1425" s="21" t="n"/>
      <c r="D1425" s="22" t="n"/>
      <c r="E1425" s="23" t="n"/>
      <c r="F1425" s="22" t="n"/>
      <c r="G1425" s="14">
        <f>IF(OR(B1425="",E1425="",J1425="",K1425=""),"",IF(E1425&lt;J1425,"Below",IF(E1425&gt;K1425,"Above","In range")))</f>
        <v/>
      </c>
      <c r="H1425" s="1" t="n"/>
      <c r="J1425">
        <f>IF(M1425="","",IF(INDEX(Settings!$C$10:$C$18,M1425)="","",INDEX(Settings!$C$10:$C$18,M1425)))</f>
        <v/>
      </c>
      <c r="K1425">
        <f>IF(M1425="","",IF(INDEX(Settings!$D$10:$D$18,M1425)="","",INDEX(Settings!$D$10:$D$18,M1425)))</f>
        <v/>
      </c>
      <c r="L1425">
        <f>IF(OR(B1425="",E1425=""),"",B1425+MOD(N(C1425),1)+ROW()/10000000)</f>
        <v/>
      </c>
      <c r="M1425">
        <f>IF(D1425="","",IFERROR(MATCH(D1425,Settings!$B$10:$B$18,0),""))</f>
        <v/>
      </c>
      <c r="N1425">
        <f>IF(OR(B1425="",E1425="",M1425=""),"",IF(AND(B1425&gt;=Settings!$C$6,B1425&lt;=Settings!$C$7),M1425*10000+E1425,""))</f>
        <v/>
      </c>
      <c r="O1425">
        <f>IF(OR(B1425="",E1425=""),"",B1425*10000+E1425)</f>
        <v/>
      </c>
      <c r="P1425">
        <f>IF(N1425="","",E1425)</f>
        <v/>
      </c>
    </row>
    <row r="1426">
      <c r="A1426" s="1" t="n"/>
      <c r="B1426" s="20" t="n"/>
      <c r="C1426" s="21" t="n"/>
      <c r="D1426" s="22" t="n"/>
      <c r="E1426" s="23" t="n"/>
      <c r="F1426" s="22" t="n"/>
      <c r="G1426" s="14">
        <f>IF(OR(B1426="",E1426="",J1426="",K1426=""),"",IF(E1426&lt;J1426,"Below",IF(E1426&gt;K1426,"Above","In range")))</f>
        <v/>
      </c>
      <c r="H1426" s="1" t="n"/>
      <c r="J1426">
        <f>IF(M1426="","",IF(INDEX(Settings!$C$10:$C$18,M1426)="","",INDEX(Settings!$C$10:$C$18,M1426)))</f>
        <v/>
      </c>
      <c r="K1426">
        <f>IF(M1426="","",IF(INDEX(Settings!$D$10:$D$18,M1426)="","",INDEX(Settings!$D$10:$D$18,M1426)))</f>
        <v/>
      </c>
      <c r="L1426">
        <f>IF(OR(B1426="",E1426=""),"",B1426+MOD(N(C1426),1)+ROW()/10000000)</f>
        <v/>
      </c>
      <c r="M1426">
        <f>IF(D1426="","",IFERROR(MATCH(D1426,Settings!$B$10:$B$18,0),""))</f>
        <v/>
      </c>
      <c r="N1426">
        <f>IF(OR(B1426="",E1426="",M1426=""),"",IF(AND(B1426&gt;=Settings!$C$6,B1426&lt;=Settings!$C$7),M1426*10000+E1426,""))</f>
        <v/>
      </c>
      <c r="O1426">
        <f>IF(OR(B1426="",E1426=""),"",B1426*10000+E1426)</f>
        <v/>
      </c>
      <c r="P1426">
        <f>IF(N1426="","",E1426)</f>
        <v/>
      </c>
    </row>
    <row r="1427">
      <c r="A1427" s="1" t="n"/>
      <c r="B1427" s="20" t="n"/>
      <c r="C1427" s="21" t="n"/>
      <c r="D1427" s="22" t="n"/>
      <c r="E1427" s="23" t="n"/>
      <c r="F1427" s="22" t="n"/>
      <c r="G1427" s="14">
        <f>IF(OR(B1427="",E1427="",J1427="",K1427=""),"",IF(E1427&lt;J1427,"Below",IF(E1427&gt;K1427,"Above","In range")))</f>
        <v/>
      </c>
      <c r="H1427" s="1" t="n"/>
      <c r="J1427">
        <f>IF(M1427="","",IF(INDEX(Settings!$C$10:$C$18,M1427)="","",INDEX(Settings!$C$10:$C$18,M1427)))</f>
        <v/>
      </c>
      <c r="K1427">
        <f>IF(M1427="","",IF(INDEX(Settings!$D$10:$D$18,M1427)="","",INDEX(Settings!$D$10:$D$18,M1427)))</f>
        <v/>
      </c>
      <c r="L1427">
        <f>IF(OR(B1427="",E1427=""),"",B1427+MOD(N(C1427),1)+ROW()/10000000)</f>
        <v/>
      </c>
      <c r="M1427">
        <f>IF(D1427="","",IFERROR(MATCH(D1427,Settings!$B$10:$B$18,0),""))</f>
        <v/>
      </c>
      <c r="N1427">
        <f>IF(OR(B1427="",E1427="",M1427=""),"",IF(AND(B1427&gt;=Settings!$C$6,B1427&lt;=Settings!$C$7),M1427*10000+E1427,""))</f>
        <v/>
      </c>
      <c r="O1427">
        <f>IF(OR(B1427="",E1427=""),"",B1427*10000+E1427)</f>
        <v/>
      </c>
      <c r="P1427">
        <f>IF(N1427="","",E1427)</f>
        <v/>
      </c>
    </row>
    <row r="1428">
      <c r="A1428" s="1" t="n"/>
      <c r="B1428" s="20" t="n"/>
      <c r="C1428" s="21" t="n"/>
      <c r="D1428" s="22" t="n"/>
      <c r="E1428" s="23" t="n"/>
      <c r="F1428" s="22" t="n"/>
      <c r="G1428" s="14">
        <f>IF(OR(B1428="",E1428="",J1428="",K1428=""),"",IF(E1428&lt;J1428,"Below",IF(E1428&gt;K1428,"Above","In range")))</f>
        <v/>
      </c>
      <c r="H1428" s="1" t="n"/>
      <c r="J1428">
        <f>IF(M1428="","",IF(INDEX(Settings!$C$10:$C$18,M1428)="","",INDEX(Settings!$C$10:$C$18,M1428)))</f>
        <v/>
      </c>
      <c r="K1428">
        <f>IF(M1428="","",IF(INDEX(Settings!$D$10:$D$18,M1428)="","",INDEX(Settings!$D$10:$D$18,M1428)))</f>
        <v/>
      </c>
      <c r="L1428">
        <f>IF(OR(B1428="",E1428=""),"",B1428+MOD(N(C1428),1)+ROW()/10000000)</f>
        <v/>
      </c>
      <c r="M1428">
        <f>IF(D1428="","",IFERROR(MATCH(D1428,Settings!$B$10:$B$18,0),""))</f>
        <v/>
      </c>
      <c r="N1428">
        <f>IF(OR(B1428="",E1428="",M1428=""),"",IF(AND(B1428&gt;=Settings!$C$6,B1428&lt;=Settings!$C$7),M1428*10000+E1428,""))</f>
        <v/>
      </c>
      <c r="O1428">
        <f>IF(OR(B1428="",E1428=""),"",B1428*10000+E1428)</f>
        <v/>
      </c>
      <c r="P1428">
        <f>IF(N1428="","",E1428)</f>
        <v/>
      </c>
    </row>
    <row r="1429">
      <c r="A1429" s="1" t="n"/>
      <c r="B1429" s="20" t="n"/>
      <c r="C1429" s="21" t="n"/>
      <c r="D1429" s="22" t="n"/>
      <c r="E1429" s="23" t="n"/>
      <c r="F1429" s="22" t="n"/>
      <c r="G1429" s="14">
        <f>IF(OR(B1429="",E1429="",J1429="",K1429=""),"",IF(E1429&lt;J1429,"Below",IF(E1429&gt;K1429,"Above","In range")))</f>
        <v/>
      </c>
      <c r="H1429" s="1" t="n"/>
      <c r="J1429">
        <f>IF(M1429="","",IF(INDEX(Settings!$C$10:$C$18,M1429)="","",INDEX(Settings!$C$10:$C$18,M1429)))</f>
        <v/>
      </c>
      <c r="K1429">
        <f>IF(M1429="","",IF(INDEX(Settings!$D$10:$D$18,M1429)="","",INDEX(Settings!$D$10:$D$18,M1429)))</f>
        <v/>
      </c>
      <c r="L1429">
        <f>IF(OR(B1429="",E1429=""),"",B1429+MOD(N(C1429),1)+ROW()/10000000)</f>
        <v/>
      </c>
      <c r="M1429">
        <f>IF(D1429="","",IFERROR(MATCH(D1429,Settings!$B$10:$B$18,0),""))</f>
        <v/>
      </c>
      <c r="N1429">
        <f>IF(OR(B1429="",E1429="",M1429=""),"",IF(AND(B1429&gt;=Settings!$C$6,B1429&lt;=Settings!$C$7),M1429*10000+E1429,""))</f>
        <v/>
      </c>
      <c r="O1429">
        <f>IF(OR(B1429="",E1429=""),"",B1429*10000+E1429)</f>
        <v/>
      </c>
      <c r="P1429">
        <f>IF(N1429="","",E1429)</f>
        <v/>
      </c>
    </row>
    <row r="1430">
      <c r="A1430" s="1" t="n"/>
      <c r="B1430" s="20" t="n"/>
      <c r="C1430" s="21" t="n"/>
      <c r="D1430" s="22" t="n"/>
      <c r="E1430" s="23" t="n"/>
      <c r="F1430" s="22" t="n"/>
      <c r="G1430" s="14">
        <f>IF(OR(B1430="",E1430="",J1430="",K1430=""),"",IF(E1430&lt;J1430,"Below",IF(E1430&gt;K1430,"Above","In range")))</f>
        <v/>
      </c>
      <c r="H1430" s="1" t="n"/>
      <c r="J1430">
        <f>IF(M1430="","",IF(INDEX(Settings!$C$10:$C$18,M1430)="","",INDEX(Settings!$C$10:$C$18,M1430)))</f>
        <v/>
      </c>
      <c r="K1430">
        <f>IF(M1430="","",IF(INDEX(Settings!$D$10:$D$18,M1430)="","",INDEX(Settings!$D$10:$D$18,M1430)))</f>
        <v/>
      </c>
      <c r="L1430">
        <f>IF(OR(B1430="",E1430=""),"",B1430+MOD(N(C1430),1)+ROW()/10000000)</f>
        <v/>
      </c>
      <c r="M1430">
        <f>IF(D1430="","",IFERROR(MATCH(D1430,Settings!$B$10:$B$18,0),""))</f>
        <v/>
      </c>
      <c r="N1430">
        <f>IF(OR(B1430="",E1430="",M1430=""),"",IF(AND(B1430&gt;=Settings!$C$6,B1430&lt;=Settings!$C$7),M1430*10000+E1430,""))</f>
        <v/>
      </c>
      <c r="O1430">
        <f>IF(OR(B1430="",E1430=""),"",B1430*10000+E1430)</f>
        <v/>
      </c>
      <c r="P1430">
        <f>IF(N1430="","",E1430)</f>
        <v/>
      </c>
    </row>
    <row r="1431">
      <c r="A1431" s="1" t="n"/>
      <c r="B1431" s="20" t="n"/>
      <c r="C1431" s="21" t="n"/>
      <c r="D1431" s="22" t="n"/>
      <c r="E1431" s="23" t="n"/>
      <c r="F1431" s="22" t="n"/>
      <c r="G1431" s="14">
        <f>IF(OR(B1431="",E1431="",J1431="",K1431=""),"",IF(E1431&lt;J1431,"Below",IF(E1431&gt;K1431,"Above","In range")))</f>
        <v/>
      </c>
      <c r="H1431" s="1" t="n"/>
      <c r="J1431">
        <f>IF(M1431="","",IF(INDEX(Settings!$C$10:$C$18,M1431)="","",INDEX(Settings!$C$10:$C$18,M1431)))</f>
        <v/>
      </c>
      <c r="K1431">
        <f>IF(M1431="","",IF(INDEX(Settings!$D$10:$D$18,M1431)="","",INDEX(Settings!$D$10:$D$18,M1431)))</f>
        <v/>
      </c>
      <c r="L1431">
        <f>IF(OR(B1431="",E1431=""),"",B1431+MOD(N(C1431),1)+ROW()/10000000)</f>
        <v/>
      </c>
      <c r="M1431">
        <f>IF(D1431="","",IFERROR(MATCH(D1431,Settings!$B$10:$B$18,0),""))</f>
        <v/>
      </c>
      <c r="N1431">
        <f>IF(OR(B1431="",E1431="",M1431=""),"",IF(AND(B1431&gt;=Settings!$C$6,B1431&lt;=Settings!$C$7),M1431*10000+E1431,""))</f>
        <v/>
      </c>
      <c r="O1431">
        <f>IF(OR(B1431="",E1431=""),"",B1431*10000+E1431)</f>
        <v/>
      </c>
      <c r="P1431">
        <f>IF(N1431="","",E1431)</f>
        <v/>
      </c>
    </row>
    <row r="1432">
      <c r="A1432" s="1" t="n"/>
      <c r="B1432" s="20" t="n"/>
      <c r="C1432" s="21" t="n"/>
      <c r="D1432" s="22" t="n"/>
      <c r="E1432" s="23" t="n"/>
      <c r="F1432" s="22" t="n"/>
      <c r="G1432" s="14">
        <f>IF(OR(B1432="",E1432="",J1432="",K1432=""),"",IF(E1432&lt;J1432,"Below",IF(E1432&gt;K1432,"Above","In range")))</f>
        <v/>
      </c>
      <c r="H1432" s="1" t="n"/>
      <c r="J1432">
        <f>IF(M1432="","",IF(INDEX(Settings!$C$10:$C$18,M1432)="","",INDEX(Settings!$C$10:$C$18,M1432)))</f>
        <v/>
      </c>
      <c r="K1432">
        <f>IF(M1432="","",IF(INDEX(Settings!$D$10:$D$18,M1432)="","",INDEX(Settings!$D$10:$D$18,M1432)))</f>
        <v/>
      </c>
      <c r="L1432">
        <f>IF(OR(B1432="",E1432=""),"",B1432+MOD(N(C1432),1)+ROW()/10000000)</f>
        <v/>
      </c>
      <c r="M1432">
        <f>IF(D1432="","",IFERROR(MATCH(D1432,Settings!$B$10:$B$18,0),""))</f>
        <v/>
      </c>
      <c r="N1432">
        <f>IF(OR(B1432="",E1432="",M1432=""),"",IF(AND(B1432&gt;=Settings!$C$6,B1432&lt;=Settings!$C$7),M1432*10000+E1432,""))</f>
        <v/>
      </c>
      <c r="O1432">
        <f>IF(OR(B1432="",E1432=""),"",B1432*10000+E1432)</f>
        <v/>
      </c>
      <c r="P1432">
        <f>IF(N1432="","",E1432)</f>
        <v/>
      </c>
    </row>
    <row r="1433">
      <c r="A1433" s="1" t="n"/>
      <c r="B1433" s="20" t="n"/>
      <c r="C1433" s="21" t="n"/>
      <c r="D1433" s="22" t="n"/>
      <c r="E1433" s="23" t="n"/>
      <c r="F1433" s="22" t="n"/>
      <c r="G1433" s="14">
        <f>IF(OR(B1433="",E1433="",J1433="",K1433=""),"",IF(E1433&lt;J1433,"Below",IF(E1433&gt;K1433,"Above","In range")))</f>
        <v/>
      </c>
      <c r="H1433" s="1" t="n"/>
      <c r="J1433">
        <f>IF(M1433="","",IF(INDEX(Settings!$C$10:$C$18,M1433)="","",INDEX(Settings!$C$10:$C$18,M1433)))</f>
        <v/>
      </c>
      <c r="K1433">
        <f>IF(M1433="","",IF(INDEX(Settings!$D$10:$D$18,M1433)="","",INDEX(Settings!$D$10:$D$18,M1433)))</f>
        <v/>
      </c>
      <c r="L1433">
        <f>IF(OR(B1433="",E1433=""),"",B1433+MOD(N(C1433),1)+ROW()/10000000)</f>
        <v/>
      </c>
      <c r="M1433">
        <f>IF(D1433="","",IFERROR(MATCH(D1433,Settings!$B$10:$B$18,0),""))</f>
        <v/>
      </c>
      <c r="N1433">
        <f>IF(OR(B1433="",E1433="",M1433=""),"",IF(AND(B1433&gt;=Settings!$C$6,B1433&lt;=Settings!$C$7),M1433*10000+E1433,""))</f>
        <v/>
      </c>
      <c r="O1433">
        <f>IF(OR(B1433="",E1433=""),"",B1433*10000+E1433)</f>
        <v/>
      </c>
      <c r="P1433">
        <f>IF(N1433="","",E1433)</f>
        <v/>
      </c>
    </row>
    <row r="1434">
      <c r="A1434" s="1" t="n"/>
      <c r="B1434" s="20" t="n"/>
      <c r="C1434" s="21" t="n"/>
      <c r="D1434" s="22" t="n"/>
      <c r="E1434" s="23" t="n"/>
      <c r="F1434" s="22" t="n"/>
      <c r="G1434" s="14">
        <f>IF(OR(B1434="",E1434="",J1434="",K1434=""),"",IF(E1434&lt;J1434,"Below",IF(E1434&gt;K1434,"Above","In range")))</f>
        <v/>
      </c>
      <c r="H1434" s="1" t="n"/>
      <c r="J1434">
        <f>IF(M1434="","",IF(INDEX(Settings!$C$10:$C$18,M1434)="","",INDEX(Settings!$C$10:$C$18,M1434)))</f>
        <v/>
      </c>
      <c r="K1434">
        <f>IF(M1434="","",IF(INDEX(Settings!$D$10:$D$18,M1434)="","",INDEX(Settings!$D$10:$D$18,M1434)))</f>
        <v/>
      </c>
      <c r="L1434">
        <f>IF(OR(B1434="",E1434=""),"",B1434+MOD(N(C1434),1)+ROW()/10000000)</f>
        <v/>
      </c>
      <c r="M1434">
        <f>IF(D1434="","",IFERROR(MATCH(D1434,Settings!$B$10:$B$18,0),""))</f>
        <v/>
      </c>
      <c r="N1434">
        <f>IF(OR(B1434="",E1434="",M1434=""),"",IF(AND(B1434&gt;=Settings!$C$6,B1434&lt;=Settings!$C$7),M1434*10000+E1434,""))</f>
        <v/>
      </c>
      <c r="O1434">
        <f>IF(OR(B1434="",E1434=""),"",B1434*10000+E1434)</f>
        <v/>
      </c>
      <c r="P1434">
        <f>IF(N1434="","",E1434)</f>
        <v/>
      </c>
    </row>
    <row r="1435">
      <c r="A1435" s="1" t="n"/>
      <c r="B1435" s="20" t="n"/>
      <c r="C1435" s="21" t="n"/>
      <c r="D1435" s="22" t="n"/>
      <c r="E1435" s="23" t="n"/>
      <c r="F1435" s="22" t="n"/>
      <c r="G1435" s="14">
        <f>IF(OR(B1435="",E1435="",J1435="",K1435=""),"",IF(E1435&lt;J1435,"Below",IF(E1435&gt;K1435,"Above","In range")))</f>
        <v/>
      </c>
      <c r="H1435" s="1" t="n"/>
      <c r="J1435">
        <f>IF(M1435="","",IF(INDEX(Settings!$C$10:$C$18,M1435)="","",INDEX(Settings!$C$10:$C$18,M1435)))</f>
        <v/>
      </c>
      <c r="K1435">
        <f>IF(M1435="","",IF(INDEX(Settings!$D$10:$D$18,M1435)="","",INDEX(Settings!$D$10:$D$18,M1435)))</f>
        <v/>
      </c>
      <c r="L1435">
        <f>IF(OR(B1435="",E1435=""),"",B1435+MOD(N(C1435),1)+ROW()/10000000)</f>
        <v/>
      </c>
      <c r="M1435">
        <f>IF(D1435="","",IFERROR(MATCH(D1435,Settings!$B$10:$B$18,0),""))</f>
        <v/>
      </c>
      <c r="N1435">
        <f>IF(OR(B1435="",E1435="",M1435=""),"",IF(AND(B1435&gt;=Settings!$C$6,B1435&lt;=Settings!$C$7),M1435*10000+E1435,""))</f>
        <v/>
      </c>
      <c r="O1435">
        <f>IF(OR(B1435="",E1435=""),"",B1435*10000+E1435)</f>
        <v/>
      </c>
      <c r="P1435">
        <f>IF(N1435="","",E1435)</f>
        <v/>
      </c>
    </row>
    <row r="1436">
      <c r="A1436" s="1" t="n"/>
      <c r="B1436" s="20" t="n"/>
      <c r="C1436" s="21" t="n"/>
      <c r="D1436" s="22" t="n"/>
      <c r="E1436" s="23" t="n"/>
      <c r="F1436" s="22" t="n"/>
      <c r="G1436" s="14">
        <f>IF(OR(B1436="",E1436="",J1436="",K1436=""),"",IF(E1436&lt;J1436,"Below",IF(E1436&gt;K1436,"Above","In range")))</f>
        <v/>
      </c>
      <c r="H1436" s="1" t="n"/>
      <c r="J1436">
        <f>IF(M1436="","",IF(INDEX(Settings!$C$10:$C$18,M1436)="","",INDEX(Settings!$C$10:$C$18,M1436)))</f>
        <v/>
      </c>
      <c r="K1436">
        <f>IF(M1436="","",IF(INDEX(Settings!$D$10:$D$18,M1436)="","",INDEX(Settings!$D$10:$D$18,M1436)))</f>
        <v/>
      </c>
      <c r="L1436">
        <f>IF(OR(B1436="",E1436=""),"",B1436+MOD(N(C1436),1)+ROW()/10000000)</f>
        <v/>
      </c>
      <c r="M1436">
        <f>IF(D1436="","",IFERROR(MATCH(D1436,Settings!$B$10:$B$18,0),""))</f>
        <v/>
      </c>
      <c r="N1436">
        <f>IF(OR(B1436="",E1436="",M1436=""),"",IF(AND(B1436&gt;=Settings!$C$6,B1436&lt;=Settings!$C$7),M1436*10000+E1436,""))</f>
        <v/>
      </c>
      <c r="O1436">
        <f>IF(OR(B1436="",E1436=""),"",B1436*10000+E1436)</f>
        <v/>
      </c>
      <c r="P1436">
        <f>IF(N1436="","",E1436)</f>
        <v/>
      </c>
    </row>
    <row r="1437">
      <c r="A1437" s="1" t="n"/>
      <c r="B1437" s="20" t="n"/>
      <c r="C1437" s="21" t="n"/>
      <c r="D1437" s="22" t="n"/>
      <c r="E1437" s="23" t="n"/>
      <c r="F1437" s="22" t="n"/>
      <c r="G1437" s="14">
        <f>IF(OR(B1437="",E1437="",J1437="",K1437=""),"",IF(E1437&lt;J1437,"Below",IF(E1437&gt;K1437,"Above","In range")))</f>
        <v/>
      </c>
      <c r="H1437" s="1" t="n"/>
      <c r="J1437">
        <f>IF(M1437="","",IF(INDEX(Settings!$C$10:$C$18,M1437)="","",INDEX(Settings!$C$10:$C$18,M1437)))</f>
        <v/>
      </c>
      <c r="K1437">
        <f>IF(M1437="","",IF(INDEX(Settings!$D$10:$D$18,M1437)="","",INDEX(Settings!$D$10:$D$18,M1437)))</f>
        <v/>
      </c>
      <c r="L1437">
        <f>IF(OR(B1437="",E1437=""),"",B1437+MOD(N(C1437),1)+ROW()/10000000)</f>
        <v/>
      </c>
      <c r="M1437">
        <f>IF(D1437="","",IFERROR(MATCH(D1437,Settings!$B$10:$B$18,0),""))</f>
        <v/>
      </c>
      <c r="N1437">
        <f>IF(OR(B1437="",E1437="",M1437=""),"",IF(AND(B1437&gt;=Settings!$C$6,B1437&lt;=Settings!$C$7),M1437*10000+E1437,""))</f>
        <v/>
      </c>
      <c r="O1437">
        <f>IF(OR(B1437="",E1437=""),"",B1437*10000+E1437)</f>
        <v/>
      </c>
      <c r="P1437">
        <f>IF(N1437="","",E1437)</f>
        <v/>
      </c>
    </row>
    <row r="1438">
      <c r="A1438" s="1" t="n"/>
      <c r="B1438" s="20" t="n"/>
      <c r="C1438" s="21" t="n"/>
      <c r="D1438" s="22" t="n"/>
      <c r="E1438" s="23" t="n"/>
      <c r="F1438" s="22" t="n"/>
      <c r="G1438" s="14">
        <f>IF(OR(B1438="",E1438="",J1438="",K1438=""),"",IF(E1438&lt;J1438,"Below",IF(E1438&gt;K1438,"Above","In range")))</f>
        <v/>
      </c>
      <c r="H1438" s="1" t="n"/>
      <c r="J1438">
        <f>IF(M1438="","",IF(INDEX(Settings!$C$10:$C$18,M1438)="","",INDEX(Settings!$C$10:$C$18,M1438)))</f>
        <v/>
      </c>
      <c r="K1438">
        <f>IF(M1438="","",IF(INDEX(Settings!$D$10:$D$18,M1438)="","",INDEX(Settings!$D$10:$D$18,M1438)))</f>
        <v/>
      </c>
      <c r="L1438">
        <f>IF(OR(B1438="",E1438=""),"",B1438+MOD(N(C1438),1)+ROW()/10000000)</f>
        <v/>
      </c>
      <c r="M1438">
        <f>IF(D1438="","",IFERROR(MATCH(D1438,Settings!$B$10:$B$18,0),""))</f>
        <v/>
      </c>
      <c r="N1438">
        <f>IF(OR(B1438="",E1438="",M1438=""),"",IF(AND(B1438&gt;=Settings!$C$6,B1438&lt;=Settings!$C$7),M1438*10000+E1438,""))</f>
        <v/>
      </c>
      <c r="O1438">
        <f>IF(OR(B1438="",E1438=""),"",B1438*10000+E1438)</f>
        <v/>
      </c>
      <c r="P1438">
        <f>IF(N1438="","",E1438)</f>
        <v/>
      </c>
    </row>
    <row r="1439">
      <c r="A1439" s="1" t="n"/>
      <c r="B1439" s="20" t="n"/>
      <c r="C1439" s="21" t="n"/>
      <c r="D1439" s="22" t="n"/>
      <c r="E1439" s="23" t="n"/>
      <c r="F1439" s="22" t="n"/>
      <c r="G1439" s="14">
        <f>IF(OR(B1439="",E1439="",J1439="",K1439=""),"",IF(E1439&lt;J1439,"Below",IF(E1439&gt;K1439,"Above","In range")))</f>
        <v/>
      </c>
      <c r="H1439" s="1" t="n"/>
      <c r="J1439">
        <f>IF(M1439="","",IF(INDEX(Settings!$C$10:$C$18,M1439)="","",INDEX(Settings!$C$10:$C$18,M1439)))</f>
        <v/>
      </c>
      <c r="K1439">
        <f>IF(M1439="","",IF(INDEX(Settings!$D$10:$D$18,M1439)="","",INDEX(Settings!$D$10:$D$18,M1439)))</f>
        <v/>
      </c>
      <c r="L1439">
        <f>IF(OR(B1439="",E1439=""),"",B1439+MOD(N(C1439),1)+ROW()/10000000)</f>
        <v/>
      </c>
      <c r="M1439">
        <f>IF(D1439="","",IFERROR(MATCH(D1439,Settings!$B$10:$B$18,0),""))</f>
        <v/>
      </c>
      <c r="N1439">
        <f>IF(OR(B1439="",E1439="",M1439=""),"",IF(AND(B1439&gt;=Settings!$C$6,B1439&lt;=Settings!$C$7),M1439*10000+E1439,""))</f>
        <v/>
      </c>
      <c r="O1439">
        <f>IF(OR(B1439="",E1439=""),"",B1439*10000+E1439)</f>
        <v/>
      </c>
      <c r="P1439">
        <f>IF(N1439="","",E1439)</f>
        <v/>
      </c>
    </row>
    <row r="1440">
      <c r="A1440" s="1" t="n"/>
      <c r="B1440" s="20" t="n"/>
      <c r="C1440" s="21" t="n"/>
      <c r="D1440" s="22" t="n"/>
      <c r="E1440" s="23" t="n"/>
      <c r="F1440" s="22" t="n"/>
      <c r="G1440" s="14">
        <f>IF(OR(B1440="",E1440="",J1440="",K1440=""),"",IF(E1440&lt;J1440,"Below",IF(E1440&gt;K1440,"Above","In range")))</f>
        <v/>
      </c>
      <c r="H1440" s="1" t="n"/>
      <c r="J1440">
        <f>IF(M1440="","",IF(INDEX(Settings!$C$10:$C$18,M1440)="","",INDEX(Settings!$C$10:$C$18,M1440)))</f>
        <v/>
      </c>
      <c r="K1440">
        <f>IF(M1440="","",IF(INDEX(Settings!$D$10:$D$18,M1440)="","",INDEX(Settings!$D$10:$D$18,M1440)))</f>
        <v/>
      </c>
      <c r="L1440">
        <f>IF(OR(B1440="",E1440=""),"",B1440+MOD(N(C1440),1)+ROW()/10000000)</f>
        <v/>
      </c>
      <c r="M1440">
        <f>IF(D1440="","",IFERROR(MATCH(D1440,Settings!$B$10:$B$18,0),""))</f>
        <v/>
      </c>
      <c r="N1440">
        <f>IF(OR(B1440="",E1440="",M1440=""),"",IF(AND(B1440&gt;=Settings!$C$6,B1440&lt;=Settings!$C$7),M1440*10000+E1440,""))</f>
        <v/>
      </c>
      <c r="O1440">
        <f>IF(OR(B1440="",E1440=""),"",B1440*10000+E1440)</f>
        <v/>
      </c>
      <c r="P1440">
        <f>IF(N1440="","",E1440)</f>
        <v/>
      </c>
    </row>
    <row r="1441">
      <c r="A1441" s="1" t="n"/>
      <c r="B1441" s="20" t="n"/>
      <c r="C1441" s="21" t="n"/>
      <c r="D1441" s="22" t="n"/>
      <c r="E1441" s="23" t="n"/>
      <c r="F1441" s="22" t="n"/>
      <c r="G1441" s="14">
        <f>IF(OR(B1441="",E1441="",J1441="",K1441=""),"",IF(E1441&lt;J1441,"Below",IF(E1441&gt;K1441,"Above","In range")))</f>
        <v/>
      </c>
      <c r="H1441" s="1" t="n"/>
      <c r="J1441">
        <f>IF(M1441="","",IF(INDEX(Settings!$C$10:$C$18,M1441)="","",INDEX(Settings!$C$10:$C$18,M1441)))</f>
        <v/>
      </c>
      <c r="K1441">
        <f>IF(M1441="","",IF(INDEX(Settings!$D$10:$D$18,M1441)="","",INDEX(Settings!$D$10:$D$18,M1441)))</f>
        <v/>
      </c>
      <c r="L1441">
        <f>IF(OR(B1441="",E1441=""),"",B1441+MOD(N(C1441),1)+ROW()/10000000)</f>
        <v/>
      </c>
      <c r="M1441">
        <f>IF(D1441="","",IFERROR(MATCH(D1441,Settings!$B$10:$B$18,0),""))</f>
        <v/>
      </c>
      <c r="N1441">
        <f>IF(OR(B1441="",E1441="",M1441=""),"",IF(AND(B1441&gt;=Settings!$C$6,B1441&lt;=Settings!$C$7),M1441*10000+E1441,""))</f>
        <v/>
      </c>
      <c r="O1441">
        <f>IF(OR(B1441="",E1441=""),"",B1441*10000+E1441)</f>
        <v/>
      </c>
      <c r="P1441">
        <f>IF(N1441="","",E1441)</f>
        <v/>
      </c>
    </row>
    <row r="1442">
      <c r="A1442" s="1" t="n"/>
      <c r="B1442" s="20" t="n"/>
      <c r="C1442" s="21" t="n"/>
      <c r="D1442" s="22" t="n"/>
      <c r="E1442" s="23" t="n"/>
      <c r="F1442" s="22" t="n"/>
      <c r="G1442" s="14">
        <f>IF(OR(B1442="",E1442="",J1442="",K1442=""),"",IF(E1442&lt;J1442,"Below",IF(E1442&gt;K1442,"Above","In range")))</f>
        <v/>
      </c>
      <c r="H1442" s="1" t="n"/>
      <c r="J1442">
        <f>IF(M1442="","",IF(INDEX(Settings!$C$10:$C$18,M1442)="","",INDEX(Settings!$C$10:$C$18,M1442)))</f>
        <v/>
      </c>
      <c r="K1442">
        <f>IF(M1442="","",IF(INDEX(Settings!$D$10:$D$18,M1442)="","",INDEX(Settings!$D$10:$D$18,M1442)))</f>
        <v/>
      </c>
      <c r="L1442">
        <f>IF(OR(B1442="",E1442=""),"",B1442+MOD(N(C1442),1)+ROW()/10000000)</f>
        <v/>
      </c>
      <c r="M1442">
        <f>IF(D1442="","",IFERROR(MATCH(D1442,Settings!$B$10:$B$18,0),""))</f>
        <v/>
      </c>
      <c r="N1442">
        <f>IF(OR(B1442="",E1442="",M1442=""),"",IF(AND(B1442&gt;=Settings!$C$6,B1442&lt;=Settings!$C$7),M1442*10000+E1442,""))</f>
        <v/>
      </c>
      <c r="O1442">
        <f>IF(OR(B1442="",E1442=""),"",B1442*10000+E1442)</f>
        <v/>
      </c>
      <c r="P1442">
        <f>IF(N1442="","",E1442)</f>
        <v/>
      </c>
    </row>
    <row r="1443">
      <c r="A1443" s="1" t="n"/>
      <c r="B1443" s="20" t="n"/>
      <c r="C1443" s="21" t="n"/>
      <c r="D1443" s="22" t="n"/>
      <c r="E1443" s="23" t="n"/>
      <c r="F1443" s="22" t="n"/>
      <c r="G1443" s="14">
        <f>IF(OR(B1443="",E1443="",J1443="",K1443=""),"",IF(E1443&lt;J1443,"Below",IF(E1443&gt;K1443,"Above","In range")))</f>
        <v/>
      </c>
      <c r="H1443" s="1" t="n"/>
      <c r="J1443">
        <f>IF(M1443="","",IF(INDEX(Settings!$C$10:$C$18,M1443)="","",INDEX(Settings!$C$10:$C$18,M1443)))</f>
        <v/>
      </c>
      <c r="K1443">
        <f>IF(M1443="","",IF(INDEX(Settings!$D$10:$D$18,M1443)="","",INDEX(Settings!$D$10:$D$18,M1443)))</f>
        <v/>
      </c>
      <c r="L1443">
        <f>IF(OR(B1443="",E1443=""),"",B1443+MOD(N(C1443),1)+ROW()/10000000)</f>
        <v/>
      </c>
      <c r="M1443">
        <f>IF(D1443="","",IFERROR(MATCH(D1443,Settings!$B$10:$B$18,0),""))</f>
        <v/>
      </c>
      <c r="N1443">
        <f>IF(OR(B1443="",E1443="",M1443=""),"",IF(AND(B1443&gt;=Settings!$C$6,B1443&lt;=Settings!$C$7),M1443*10000+E1443,""))</f>
        <v/>
      </c>
      <c r="O1443">
        <f>IF(OR(B1443="",E1443=""),"",B1443*10000+E1443)</f>
        <v/>
      </c>
      <c r="P1443">
        <f>IF(N1443="","",E1443)</f>
        <v/>
      </c>
    </row>
    <row r="1444">
      <c r="A1444" s="1" t="n"/>
      <c r="B1444" s="20" t="n"/>
      <c r="C1444" s="21" t="n"/>
      <c r="D1444" s="22" t="n"/>
      <c r="E1444" s="23" t="n"/>
      <c r="F1444" s="22" t="n"/>
      <c r="G1444" s="14">
        <f>IF(OR(B1444="",E1444="",J1444="",K1444=""),"",IF(E1444&lt;J1444,"Below",IF(E1444&gt;K1444,"Above","In range")))</f>
        <v/>
      </c>
      <c r="H1444" s="1" t="n"/>
      <c r="J1444">
        <f>IF(M1444="","",IF(INDEX(Settings!$C$10:$C$18,M1444)="","",INDEX(Settings!$C$10:$C$18,M1444)))</f>
        <v/>
      </c>
      <c r="K1444">
        <f>IF(M1444="","",IF(INDEX(Settings!$D$10:$D$18,M1444)="","",INDEX(Settings!$D$10:$D$18,M1444)))</f>
        <v/>
      </c>
      <c r="L1444">
        <f>IF(OR(B1444="",E1444=""),"",B1444+MOD(N(C1444),1)+ROW()/10000000)</f>
        <v/>
      </c>
      <c r="M1444">
        <f>IF(D1444="","",IFERROR(MATCH(D1444,Settings!$B$10:$B$18,0),""))</f>
        <v/>
      </c>
      <c r="N1444">
        <f>IF(OR(B1444="",E1444="",M1444=""),"",IF(AND(B1444&gt;=Settings!$C$6,B1444&lt;=Settings!$C$7),M1444*10000+E1444,""))</f>
        <v/>
      </c>
      <c r="O1444">
        <f>IF(OR(B1444="",E1444=""),"",B1444*10000+E1444)</f>
        <v/>
      </c>
      <c r="P1444">
        <f>IF(N1444="","",E1444)</f>
        <v/>
      </c>
    </row>
    <row r="1445">
      <c r="A1445" s="1" t="n"/>
      <c r="B1445" s="20" t="n"/>
      <c r="C1445" s="21" t="n"/>
      <c r="D1445" s="22" t="n"/>
      <c r="E1445" s="23" t="n"/>
      <c r="F1445" s="22" t="n"/>
      <c r="G1445" s="14">
        <f>IF(OR(B1445="",E1445="",J1445="",K1445=""),"",IF(E1445&lt;J1445,"Below",IF(E1445&gt;K1445,"Above","In range")))</f>
        <v/>
      </c>
      <c r="H1445" s="1" t="n"/>
      <c r="J1445">
        <f>IF(M1445="","",IF(INDEX(Settings!$C$10:$C$18,M1445)="","",INDEX(Settings!$C$10:$C$18,M1445)))</f>
        <v/>
      </c>
      <c r="K1445">
        <f>IF(M1445="","",IF(INDEX(Settings!$D$10:$D$18,M1445)="","",INDEX(Settings!$D$10:$D$18,M1445)))</f>
        <v/>
      </c>
      <c r="L1445">
        <f>IF(OR(B1445="",E1445=""),"",B1445+MOD(N(C1445),1)+ROW()/10000000)</f>
        <v/>
      </c>
      <c r="M1445">
        <f>IF(D1445="","",IFERROR(MATCH(D1445,Settings!$B$10:$B$18,0),""))</f>
        <v/>
      </c>
      <c r="N1445">
        <f>IF(OR(B1445="",E1445="",M1445=""),"",IF(AND(B1445&gt;=Settings!$C$6,B1445&lt;=Settings!$C$7),M1445*10000+E1445,""))</f>
        <v/>
      </c>
      <c r="O1445">
        <f>IF(OR(B1445="",E1445=""),"",B1445*10000+E1445)</f>
        <v/>
      </c>
      <c r="P1445">
        <f>IF(N1445="","",E1445)</f>
        <v/>
      </c>
    </row>
    <row r="1446">
      <c r="A1446" s="1" t="n"/>
      <c r="B1446" s="20" t="n"/>
      <c r="C1446" s="21" t="n"/>
      <c r="D1446" s="22" t="n"/>
      <c r="E1446" s="23" t="n"/>
      <c r="F1446" s="22" t="n"/>
      <c r="G1446" s="14">
        <f>IF(OR(B1446="",E1446="",J1446="",K1446=""),"",IF(E1446&lt;J1446,"Below",IF(E1446&gt;K1446,"Above","In range")))</f>
        <v/>
      </c>
      <c r="H1446" s="1" t="n"/>
      <c r="J1446">
        <f>IF(M1446="","",IF(INDEX(Settings!$C$10:$C$18,M1446)="","",INDEX(Settings!$C$10:$C$18,M1446)))</f>
        <v/>
      </c>
      <c r="K1446">
        <f>IF(M1446="","",IF(INDEX(Settings!$D$10:$D$18,M1446)="","",INDEX(Settings!$D$10:$D$18,M1446)))</f>
        <v/>
      </c>
      <c r="L1446">
        <f>IF(OR(B1446="",E1446=""),"",B1446+MOD(N(C1446),1)+ROW()/10000000)</f>
        <v/>
      </c>
      <c r="M1446">
        <f>IF(D1446="","",IFERROR(MATCH(D1446,Settings!$B$10:$B$18,0),""))</f>
        <v/>
      </c>
      <c r="N1446">
        <f>IF(OR(B1446="",E1446="",M1446=""),"",IF(AND(B1446&gt;=Settings!$C$6,B1446&lt;=Settings!$C$7),M1446*10000+E1446,""))</f>
        <v/>
      </c>
      <c r="O1446">
        <f>IF(OR(B1446="",E1446=""),"",B1446*10000+E1446)</f>
        <v/>
      </c>
      <c r="P1446">
        <f>IF(N1446="","",E1446)</f>
        <v/>
      </c>
    </row>
    <row r="1447">
      <c r="A1447" s="1" t="n"/>
      <c r="B1447" s="20" t="n"/>
      <c r="C1447" s="21" t="n"/>
      <c r="D1447" s="22" t="n"/>
      <c r="E1447" s="23" t="n"/>
      <c r="F1447" s="22" t="n"/>
      <c r="G1447" s="14">
        <f>IF(OR(B1447="",E1447="",J1447="",K1447=""),"",IF(E1447&lt;J1447,"Below",IF(E1447&gt;K1447,"Above","In range")))</f>
        <v/>
      </c>
      <c r="H1447" s="1" t="n"/>
      <c r="J1447">
        <f>IF(M1447="","",IF(INDEX(Settings!$C$10:$C$18,M1447)="","",INDEX(Settings!$C$10:$C$18,M1447)))</f>
        <v/>
      </c>
      <c r="K1447">
        <f>IF(M1447="","",IF(INDEX(Settings!$D$10:$D$18,M1447)="","",INDEX(Settings!$D$10:$D$18,M1447)))</f>
        <v/>
      </c>
      <c r="L1447">
        <f>IF(OR(B1447="",E1447=""),"",B1447+MOD(N(C1447),1)+ROW()/10000000)</f>
        <v/>
      </c>
      <c r="M1447">
        <f>IF(D1447="","",IFERROR(MATCH(D1447,Settings!$B$10:$B$18,0),""))</f>
        <v/>
      </c>
      <c r="N1447">
        <f>IF(OR(B1447="",E1447="",M1447=""),"",IF(AND(B1447&gt;=Settings!$C$6,B1447&lt;=Settings!$C$7),M1447*10000+E1447,""))</f>
        <v/>
      </c>
      <c r="O1447">
        <f>IF(OR(B1447="",E1447=""),"",B1447*10000+E1447)</f>
        <v/>
      </c>
      <c r="P1447">
        <f>IF(N1447="","",E1447)</f>
        <v/>
      </c>
    </row>
    <row r="1448">
      <c r="A1448" s="1" t="n"/>
      <c r="B1448" s="20" t="n"/>
      <c r="C1448" s="21" t="n"/>
      <c r="D1448" s="22" t="n"/>
      <c r="E1448" s="23" t="n"/>
      <c r="F1448" s="22" t="n"/>
      <c r="G1448" s="14">
        <f>IF(OR(B1448="",E1448="",J1448="",K1448=""),"",IF(E1448&lt;J1448,"Below",IF(E1448&gt;K1448,"Above","In range")))</f>
        <v/>
      </c>
      <c r="H1448" s="1" t="n"/>
      <c r="J1448">
        <f>IF(M1448="","",IF(INDEX(Settings!$C$10:$C$18,M1448)="","",INDEX(Settings!$C$10:$C$18,M1448)))</f>
        <v/>
      </c>
      <c r="K1448">
        <f>IF(M1448="","",IF(INDEX(Settings!$D$10:$D$18,M1448)="","",INDEX(Settings!$D$10:$D$18,M1448)))</f>
        <v/>
      </c>
      <c r="L1448">
        <f>IF(OR(B1448="",E1448=""),"",B1448+MOD(N(C1448),1)+ROW()/10000000)</f>
        <v/>
      </c>
      <c r="M1448">
        <f>IF(D1448="","",IFERROR(MATCH(D1448,Settings!$B$10:$B$18,0),""))</f>
        <v/>
      </c>
      <c r="N1448">
        <f>IF(OR(B1448="",E1448="",M1448=""),"",IF(AND(B1448&gt;=Settings!$C$6,B1448&lt;=Settings!$C$7),M1448*10000+E1448,""))</f>
        <v/>
      </c>
      <c r="O1448">
        <f>IF(OR(B1448="",E1448=""),"",B1448*10000+E1448)</f>
        <v/>
      </c>
      <c r="P1448">
        <f>IF(N1448="","",E1448)</f>
        <v/>
      </c>
    </row>
    <row r="1449">
      <c r="A1449" s="1" t="n"/>
      <c r="B1449" s="20" t="n"/>
      <c r="C1449" s="21" t="n"/>
      <c r="D1449" s="22" t="n"/>
      <c r="E1449" s="23" t="n"/>
      <c r="F1449" s="22" t="n"/>
      <c r="G1449" s="14">
        <f>IF(OR(B1449="",E1449="",J1449="",K1449=""),"",IF(E1449&lt;J1449,"Below",IF(E1449&gt;K1449,"Above","In range")))</f>
        <v/>
      </c>
      <c r="H1449" s="1" t="n"/>
      <c r="J1449">
        <f>IF(M1449="","",IF(INDEX(Settings!$C$10:$C$18,M1449)="","",INDEX(Settings!$C$10:$C$18,M1449)))</f>
        <v/>
      </c>
      <c r="K1449">
        <f>IF(M1449="","",IF(INDEX(Settings!$D$10:$D$18,M1449)="","",INDEX(Settings!$D$10:$D$18,M1449)))</f>
        <v/>
      </c>
      <c r="L1449">
        <f>IF(OR(B1449="",E1449=""),"",B1449+MOD(N(C1449),1)+ROW()/10000000)</f>
        <v/>
      </c>
      <c r="M1449">
        <f>IF(D1449="","",IFERROR(MATCH(D1449,Settings!$B$10:$B$18,0),""))</f>
        <v/>
      </c>
      <c r="N1449">
        <f>IF(OR(B1449="",E1449="",M1449=""),"",IF(AND(B1449&gt;=Settings!$C$6,B1449&lt;=Settings!$C$7),M1449*10000+E1449,""))</f>
        <v/>
      </c>
      <c r="O1449">
        <f>IF(OR(B1449="",E1449=""),"",B1449*10000+E1449)</f>
        <v/>
      </c>
      <c r="P1449">
        <f>IF(N1449="","",E1449)</f>
        <v/>
      </c>
    </row>
    <row r="1450">
      <c r="A1450" s="1" t="n"/>
      <c r="B1450" s="20" t="n"/>
      <c r="C1450" s="21" t="n"/>
      <c r="D1450" s="22" t="n"/>
      <c r="E1450" s="23" t="n"/>
      <c r="F1450" s="22" t="n"/>
      <c r="G1450" s="14">
        <f>IF(OR(B1450="",E1450="",J1450="",K1450=""),"",IF(E1450&lt;J1450,"Below",IF(E1450&gt;K1450,"Above","In range")))</f>
        <v/>
      </c>
      <c r="H1450" s="1" t="n"/>
      <c r="J1450">
        <f>IF(M1450="","",IF(INDEX(Settings!$C$10:$C$18,M1450)="","",INDEX(Settings!$C$10:$C$18,M1450)))</f>
        <v/>
      </c>
      <c r="K1450">
        <f>IF(M1450="","",IF(INDEX(Settings!$D$10:$D$18,M1450)="","",INDEX(Settings!$D$10:$D$18,M1450)))</f>
        <v/>
      </c>
      <c r="L1450">
        <f>IF(OR(B1450="",E1450=""),"",B1450+MOD(N(C1450),1)+ROW()/10000000)</f>
        <v/>
      </c>
      <c r="M1450">
        <f>IF(D1450="","",IFERROR(MATCH(D1450,Settings!$B$10:$B$18,0),""))</f>
        <v/>
      </c>
      <c r="N1450">
        <f>IF(OR(B1450="",E1450="",M1450=""),"",IF(AND(B1450&gt;=Settings!$C$6,B1450&lt;=Settings!$C$7),M1450*10000+E1450,""))</f>
        <v/>
      </c>
      <c r="O1450">
        <f>IF(OR(B1450="",E1450=""),"",B1450*10000+E1450)</f>
        <v/>
      </c>
      <c r="P1450">
        <f>IF(N1450="","",E1450)</f>
        <v/>
      </c>
    </row>
    <row r="1451">
      <c r="A1451" s="1" t="n"/>
      <c r="B1451" s="20" t="n"/>
      <c r="C1451" s="21" t="n"/>
      <c r="D1451" s="22" t="n"/>
      <c r="E1451" s="23" t="n"/>
      <c r="F1451" s="22" t="n"/>
      <c r="G1451" s="14">
        <f>IF(OR(B1451="",E1451="",J1451="",K1451=""),"",IF(E1451&lt;J1451,"Below",IF(E1451&gt;K1451,"Above","In range")))</f>
        <v/>
      </c>
      <c r="H1451" s="1" t="n"/>
      <c r="J1451">
        <f>IF(M1451="","",IF(INDEX(Settings!$C$10:$C$18,M1451)="","",INDEX(Settings!$C$10:$C$18,M1451)))</f>
        <v/>
      </c>
      <c r="K1451">
        <f>IF(M1451="","",IF(INDEX(Settings!$D$10:$D$18,M1451)="","",INDEX(Settings!$D$10:$D$18,M1451)))</f>
        <v/>
      </c>
      <c r="L1451">
        <f>IF(OR(B1451="",E1451=""),"",B1451+MOD(N(C1451),1)+ROW()/10000000)</f>
        <v/>
      </c>
      <c r="M1451">
        <f>IF(D1451="","",IFERROR(MATCH(D1451,Settings!$B$10:$B$18,0),""))</f>
        <v/>
      </c>
      <c r="N1451">
        <f>IF(OR(B1451="",E1451="",M1451=""),"",IF(AND(B1451&gt;=Settings!$C$6,B1451&lt;=Settings!$C$7),M1451*10000+E1451,""))</f>
        <v/>
      </c>
      <c r="O1451">
        <f>IF(OR(B1451="",E1451=""),"",B1451*10000+E1451)</f>
        <v/>
      </c>
      <c r="P1451">
        <f>IF(N1451="","",E1451)</f>
        <v/>
      </c>
    </row>
    <row r="1452">
      <c r="A1452" s="1" t="n"/>
      <c r="B1452" s="20" t="n"/>
      <c r="C1452" s="21" t="n"/>
      <c r="D1452" s="22" t="n"/>
      <c r="E1452" s="23" t="n"/>
      <c r="F1452" s="22" t="n"/>
      <c r="G1452" s="14">
        <f>IF(OR(B1452="",E1452="",J1452="",K1452=""),"",IF(E1452&lt;J1452,"Below",IF(E1452&gt;K1452,"Above","In range")))</f>
        <v/>
      </c>
      <c r="H1452" s="1" t="n"/>
      <c r="J1452">
        <f>IF(M1452="","",IF(INDEX(Settings!$C$10:$C$18,M1452)="","",INDEX(Settings!$C$10:$C$18,M1452)))</f>
        <v/>
      </c>
      <c r="K1452">
        <f>IF(M1452="","",IF(INDEX(Settings!$D$10:$D$18,M1452)="","",INDEX(Settings!$D$10:$D$18,M1452)))</f>
        <v/>
      </c>
      <c r="L1452">
        <f>IF(OR(B1452="",E1452=""),"",B1452+MOD(N(C1452),1)+ROW()/10000000)</f>
        <v/>
      </c>
      <c r="M1452">
        <f>IF(D1452="","",IFERROR(MATCH(D1452,Settings!$B$10:$B$18,0),""))</f>
        <v/>
      </c>
      <c r="N1452">
        <f>IF(OR(B1452="",E1452="",M1452=""),"",IF(AND(B1452&gt;=Settings!$C$6,B1452&lt;=Settings!$C$7),M1452*10000+E1452,""))</f>
        <v/>
      </c>
      <c r="O1452">
        <f>IF(OR(B1452="",E1452=""),"",B1452*10000+E1452)</f>
        <v/>
      </c>
      <c r="P1452">
        <f>IF(N1452="","",E1452)</f>
        <v/>
      </c>
    </row>
    <row r="1453">
      <c r="A1453" s="1" t="n"/>
      <c r="B1453" s="20" t="n"/>
      <c r="C1453" s="21" t="n"/>
      <c r="D1453" s="22" t="n"/>
      <c r="E1453" s="23" t="n"/>
      <c r="F1453" s="22" t="n"/>
      <c r="G1453" s="14">
        <f>IF(OR(B1453="",E1453="",J1453="",K1453=""),"",IF(E1453&lt;J1453,"Below",IF(E1453&gt;K1453,"Above","In range")))</f>
        <v/>
      </c>
      <c r="H1453" s="1" t="n"/>
      <c r="J1453">
        <f>IF(M1453="","",IF(INDEX(Settings!$C$10:$C$18,M1453)="","",INDEX(Settings!$C$10:$C$18,M1453)))</f>
        <v/>
      </c>
      <c r="K1453">
        <f>IF(M1453="","",IF(INDEX(Settings!$D$10:$D$18,M1453)="","",INDEX(Settings!$D$10:$D$18,M1453)))</f>
        <v/>
      </c>
      <c r="L1453">
        <f>IF(OR(B1453="",E1453=""),"",B1453+MOD(N(C1453),1)+ROW()/10000000)</f>
        <v/>
      </c>
      <c r="M1453">
        <f>IF(D1453="","",IFERROR(MATCH(D1453,Settings!$B$10:$B$18,0),""))</f>
        <v/>
      </c>
      <c r="N1453">
        <f>IF(OR(B1453="",E1453="",M1453=""),"",IF(AND(B1453&gt;=Settings!$C$6,B1453&lt;=Settings!$C$7),M1453*10000+E1453,""))</f>
        <v/>
      </c>
      <c r="O1453">
        <f>IF(OR(B1453="",E1453=""),"",B1453*10000+E1453)</f>
        <v/>
      </c>
      <c r="P1453">
        <f>IF(N1453="","",E1453)</f>
        <v/>
      </c>
    </row>
    <row r="1454">
      <c r="A1454" s="1" t="n"/>
      <c r="B1454" s="20" t="n"/>
      <c r="C1454" s="21" t="n"/>
      <c r="D1454" s="22" t="n"/>
      <c r="E1454" s="23" t="n"/>
      <c r="F1454" s="22" t="n"/>
      <c r="G1454" s="14">
        <f>IF(OR(B1454="",E1454="",J1454="",K1454=""),"",IF(E1454&lt;J1454,"Below",IF(E1454&gt;K1454,"Above","In range")))</f>
        <v/>
      </c>
      <c r="H1454" s="1" t="n"/>
      <c r="J1454">
        <f>IF(M1454="","",IF(INDEX(Settings!$C$10:$C$18,M1454)="","",INDEX(Settings!$C$10:$C$18,M1454)))</f>
        <v/>
      </c>
      <c r="K1454">
        <f>IF(M1454="","",IF(INDEX(Settings!$D$10:$D$18,M1454)="","",INDEX(Settings!$D$10:$D$18,M1454)))</f>
        <v/>
      </c>
      <c r="L1454">
        <f>IF(OR(B1454="",E1454=""),"",B1454+MOD(N(C1454),1)+ROW()/10000000)</f>
        <v/>
      </c>
      <c r="M1454">
        <f>IF(D1454="","",IFERROR(MATCH(D1454,Settings!$B$10:$B$18,0),""))</f>
        <v/>
      </c>
      <c r="N1454">
        <f>IF(OR(B1454="",E1454="",M1454=""),"",IF(AND(B1454&gt;=Settings!$C$6,B1454&lt;=Settings!$C$7),M1454*10000+E1454,""))</f>
        <v/>
      </c>
      <c r="O1454">
        <f>IF(OR(B1454="",E1454=""),"",B1454*10000+E1454)</f>
        <v/>
      </c>
      <c r="P1454">
        <f>IF(N1454="","",E1454)</f>
        <v/>
      </c>
    </row>
    <row r="1455">
      <c r="A1455" s="1" t="n"/>
      <c r="B1455" s="20" t="n"/>
      <c r="C1455" s="21" t="n"/>
      <c r="D1455" s="22" t="n"/>
      <c r="E1455" s="23" t="n"/>
      <c r="F1455" s="22" t="n"/>
      <c r="G1455" s="14">
        <f>IF(OR(B1455="",E1455="",J1455="",K1455=""),"",IF(E1455&lt;J1455,"Below",IF(E1455&gt;K1455,"Above","In range")))</f>
        <v/>
      </c>
      <c r="H1455" s="1" t="n"/>
      <c r="J1455">
        <f>IF(M1455="","",IF(INDEX(Settings!$C$10:$C$18,M1455)="","",INDEX(Settings!$C$10:$C$18,M1455)))</f>
        <v/>
      </c>
      <c r="K1455">
        <f>IF(M1455="","",IF(INDEX(Settings!$D$10:$D$18,M1455)="","",INDEX(Settings!$D$10:$D$18,M1455)))</f>
        <v/>
      </c>
      <c r="L1455">
        <f>IF(OR(B1455="",E1455=""),"",B1455+MOD(N(C1455),1)+ROW()/10000000)</f>
        <v/>
      </c>
      <c r="M1455">
        <f>IF(D1455="","",IFERROR(MATCH(D1455,Settings!$B$10:$B$18,0),""))</f>
        <v/>
      </c>
      <c r="N1455">
        <f>IF(OR(B1455="",E1455="",M1455=""),"",IF(AND(B1455&gt;=Settings!$C$6,B1455&lt;=Settings!$C$7),M1455*10000+E1455,""))</f>
        <v/>
      </c>
      <c r="O1455">
        <f>IF(OR(B1455="",E1455=""),"",B1455*10000+E1455)</f>
        <v/>
      </c>
      <c r="P1455">
        <f>IF(N1455="","",E1455)</f>
        <v/>
      </c>
    </row>
    <row r="1456">
      <c r="A1456" s="1" t="n"/>
      <c r="B1456" s="20" t="n"/>
      <c r="C1456" s="21" t="n"/>
      <c r="D1456" s="22" t="n"/>
      <c r="E1456" s="23" t="n"/>
      <c r="F1456" s="22" t="n"/>
      <c r="G1456" s="14">
        <f>IF(OR(B1456="",E1456="",J1456="",K1456=""),"",IF(E1456&lt;J1456,"Below",IF(E1456&gt;K1456,"Above","In range")))</f>
        <v/>
      </c>
      <c r="H1456" s="1" t="n"/>
      <c r="J1456">
        <f>IF(M1456="","",IF(INDEX(Settings!$C$10:$C$18,M1456)="","",INDEX(Settings!$C$10:$C$18,M1456)))</f>
        <v/>
      </c>
      <c r="K1456">
        <f>IF(M1456="","",IF(INDEX(Settings!$D$10:$D$18,M1456)="","",INDEX(Settings!$D$10:$D$18,M1456)))</f>
        <v/>
      </c>
      <c r="L1456">
        <f>IF(OR(B1456="",E1456=""),"",B1456+MOD(N(C1456),1)+ROW()/10000000)</f>
        <v/>
      </c>
      <c r="M1456">
        <f>IF(D1456="","",IFERROR(MATCH(D1456,Settings!$B$10:$B$18,0),""))</f>
        <v/>
      </c>
      <c r="N1456">
        <f>IF(OR(B1456="",E1456="",M1456=""),"",IF(AND(B1456&gt;=Settings!$C$6,B1456&lt;=Settings!$C$7),M1456*10000+E1456,""))</f>
        <v/>
      </c>
      <c r="O1456">
        <f>IF(OR(B1456="",E1456=""),"",B1456*10000+E1456)</f>
        <v/>
      </c>
      <c r="P1456">
        <f>IF(N1456="","",E1456)</f>
        <v/>
      </c>
    </row>
    <row r="1457">
      <c r="A1457" s="1" t="n"/>
      <c r="B1457" s="20" t="n"/>
      <c r="C1457" s="21" t="n"/>
      <c r="D1457" s="22" t="n"/>
      <c r="E1457" s="23" t="n"/>
      <c r="F1457" s="22" t="n"/>
      <c r="G1457" s="14">
        <f>IF(OR(B1457="",E1457="",J1457="",K1457=""),"",IF(E1457&lt;J1457,"Below",IF(E1457&gt;K1457,"Above","In range")))</f>
        <v/>
      </c>
      <c r="H1457" s="1" t="n"/>
      <c r="J1457">
        <f>IF(M1457="","",IF(INDEX(Settings!$C$10:$C$18,M1457)="","",INDEX(Settings!$C$10:$C$18,M1457)))</f>
        <v/>
      </c>
      <c r="K1457">
        <f>IF(M1457="","",IF(INDEX(Settings!$D$10:$D$18,M1457)="","",INDEX(Settings!$D$10:$D$18,M1457)))</f>
        <v/>
      </c>
      <c r="L1457">
        <f>IF(OR(B1457="",E1457=""),"",B1457+MOD(N(C1457),1)+ROW()/10000000)</f>
        <v/>
      </c>
      <c r="M1457">
        <f>IF(D1457="","",IFERROR(MATCH(D1457,Settings!$B$10:$B$18,0),""))</f>
        <v/>
      </c>
      <c r="N1457">
        <f>IF(OR(B1457="",E1457="",M1457=""),"",IF(AND(B1457&gt;=Settings!$C$6,B1457&lt;=Settings!$C$7),M1457*10000+E1457,""))</f>
        <v/>
      </c>
      <c r="O1457">
        <f>IF(OR(B1457="",E1457=""),"",B1457*10000+E1457)</f>
        <v/>
      </c>
      <c r="P1457">
        <f>IF(N1457="","",E1457)</f>
        <v/>
      </c>
    </row>
    <row r="1458">
      <c r="A1458" s="1" t="n"/>
      <c r="B1458" s="20" t="n"/>
      <c r="C1458" s="21" t="n"/>
      <c r="D1458" s="22" t="n"/>
      <c r="E1458" s="23" t="n"/>
      <c r="F1458" s="22" t="n"/>
      <c r="G1458" s="14">
        <f>IF(OR(B1458="",E1458="",J1458="",K1458=""),"",IF(E1458&lt;J1458,"Below",IF(E1458&gt;K1458,"Above","In range")))</f>
        <v/>
      </c>
      <c r="H1458" s="1" t="n"/>
      <c r="J1458">
        <f>IF(M1458="","",IF(INDEX(Settings!$C$10:$C$18,M1458)="","",INDEX(Settings!$C$10:$C$18,M1458)))</f>
        <v/>
      </c>
      <c r="K1458">
        <f>IF(M1458="","",IF(INDEX(Settings!$D$10:$D$18,M1458)="","",INDEX(Settings!$D$10:$D$18,M1458)))</f>
        <v/>
      </c>
      <c r="L1458">
        <f>IF(OR(B1458="",E1458=""),"",B1458+MOD(N(C1458),1)+ROW()/10000000)</f>
        <v/>
      </c>
      <c r="M1458">
        <f>IF(D1458="","",IFERROR(MATCH(D1458,Settings!$B$10:$B$18,0),""))</f>
        <v/>
      </c>
      <c r="N1458">
        <f>IF(OR(B1458="",E1458="",M1458=""),"",IF(AND(B1458&gt;=Settings!$C$6,B1458&lt;=Settings!$C$7),M1458*10000+E1458,""))</f>
        <v/>
      </c>
      <c r="O1458">
        <f>IF(OR(B1458="",E1458=""),"",B1458*10000+E1458)</f>
        <v/>
      </c>
      <c r="P1458">
        <f>IF(N1458="","",E1458)</f>
        <v/>
      </c>
    </row>
    <row r="1459">
      <c r="A1459" s="1" t="n"/>
      <c r="B1459" s="20" t="n"/>
      <c r="C1459" s="21" t="n"/>
      <c r="D1459" s="22" t="n"/>
      <c r="E1459" s="23" t="n"/>
      <c r="F1459" s="22" t="n"/>
      <c r="G1459" s="14">
        <f>IF(OR(B1459="",E1459="",J1459="",K1459=""),"",IF(E1459&lt;J1459,"Below",IF(E1459&gt;K1459,"Above","In range")))</f>
        <v/>
      </c>
      <c r="H1459" s="1" t="n"/>
      <c r="J1459">
        <f>IF(M1459="","",IF(INDEX(Settings!$C$10:$C$18,M1459)="","",INDEX(Settings!$C$10:$C$18,M1459)))</f>
        <v/>
      </c>
      <c r="K1459">
        <f>IF(M1459="","",IF(INDEX(Settings!$D$10:$D$18,M1459)="","",INDEX(Settings!$D$10:$D$18,M1459)))</f>
        <v/>
      </c>
      <c r="L1459">
        <f>IF(OR(B1459="",E1459=""),"",B1459+MOD(N(C1459),1)+ROW()/10000000)</f>
        <v/>
      </c>
      <c r="M1459">
        <f>IF(D1459="","",IFERROR(MATCH(D1459,Settings!$B$10:$B$18,0),""))</f>
        <v/>
      </c>
      <c r="N1459">
        <f>IF(OR(B1459="",E1459="",M1459=""),"",IF(AND(B1459&gt;=Settings!$C$6,B1459&lt;=Settings!$C$7),M1459*10000+E1459,""))</f>
        <v/>
      </c>
      <c r="O1459">
        <f>IF(OR(B1459="",E1459=""),"",B1459*10000+E1459)</f>
        <v/>
      </c>
      <c r="P1459">
        <f>IF(N1459="","",E1459)</f>
        <v/>
      </c>
    </row>
    <row r="1460">
      <c r="A1460" s="1" t="n"/>
      <c r="B1460" s="20" t="n"/>
      <c r="C1460" s="21" t="n"/>
      <c r="D1460" s="22" t="n"/>
      <c r="E1460" s="23" t="n"/>
      <c r="F1460" s="22" t="n"/>
      <c r="G1460" s="14">
        <f>IF(OR(B1460="",E1460="",J1460="",K1460=""),"",IF(E1460&lt;J1460,"Below",IF(E1460&gt;K1460,"Above","In range")))</f>
        <v/>
      </c>
      <c r="H1460" s="1" t="n"/>
      <c r="J1460">
        <f>IF(M1460="","",IF(INDEX(Settings!$C$10:$C$18,M1460)="","",INDEX(Settings!$C$10:$C$18,M1460)))</f>
        <v/>
      </c>
      <c r="K1460">
        <f>IF(M1460="","",IF(INDEX(Settings!$D$10:$D$18,M1460)="","",INDEX(Settings!$D$10:$D$18,M1460)))</f>
        <v/>
      </c>
      <c r="L1460">
        <f>IF(OR(B1460="",E1460=""),"",B1460+MOD(N(C1460),1)+ROW()/10000000)</f>
        <v/>
      </c>
      <c r="M1460">
        <f>IF(D1460="","",IFERROR(MATCH(D1460,Settings!$B$10:$B$18,0),""))</f>
        <v/>
      </c>
      <c r="N1460">
        <f>IF(OR(B1460="",E1460="",M1460=""),"",IF(AND(B1460&gt;=Settings!$C$6,B1460&lt;=Settings!$C$7),M1460*10000+E1460,""))</f>
        <v/>
      </c>
      <c r="O1460">
        <f>IF(OR(B1460="",E1460=""),"",B1460*10000+E1460)</f>
        <v/>
      </c>
      <c r="P1460">
        <f>IF(N1460="","",E1460)</f>
        <v/>
      </c>
    </row>
    <row r="1461">
      <c r="A1461" s="1" t="n"/>
      <c r="B1461" s="20" t="n"/>
      <c r="C1461" s="21" t="n"/>
      <c r="D1461" s="22" t="n"/>
      <c r="E1461" s="23" t="n"/>
      <c r="F1461" s="22" t="n"/>
      <c r="G1461" s="14">
        <f>IF(OR(B1461="",E1461="",J1461="",K1461=""),"",IF(E1461&lt;J1461,"Below",IF(E1461&gt;K1461,"Above","In range")))</f>
        <v/>
      </c>
      <c r="H1461" s="1" t="n"/>
      <c r="J1461">
        <f>IF(M1461="","",IF(INDEX(Settings!$C$10:$C$18,M1461)="","",INDEX(Settings!$C$10:$C$18,M1461)))</f>
        <v/>
      </c>
      <c r="K1461">
        <f>IF(M1461="","",IF(INDEX(Settings!$D$10:$D$18,M1461)="","",INDEX(Settings!$D$10:$D$18,M1461)))</f>
        <v/>
      </c>
      <c r="L1461">
        <f>IF(OR(B1461="",E1461=""),"",B1461+MOD(N(C1461),1)+ROW()/10000000)</f>
        <v/>
      </c>
      <c r="M1461">
        <f>IF(D1461="","",IFERROR(MATCH(D1461,Settings!$B$10:$B$18,0),""))</f>
        <v/>
      </c>
      <c r="N1461">
        <f>IF(OR(B1461="",E1461="",M1461=""),"",IF(AND(B1461&gt;=Settings!$C$6,B1461&lt;=Settings!$C$7),M1461*10000+E1461,""))</f>
        <v/>
      </c>
      <c r="O1461">
        <f>IF(OR(B1461="",E1461=""),"",B1461*10000+E1461)</f>
        <v/>
      </c>
      <c r="P1461">
        <f>IF(N1461="","",E1461)</f>
        <v/>
      </c>
    </row>
    <row r="1462">
      <c r="A1462" s="1" t="n"/>
      <c r="B1462" s="20" t="n"/>
      <c r="C1462" s="21" t="n"/>
      <c r="D1462" s="22" t="n"/>
      <c r="E1462" s="23" t="n"/>
      <c r="F1462" s="22" t="n"/>
      <c r="G1462" s="14">
        <f>IF(OR(B1462="",E1462="",J1462="",K1462=""),"",IF(E1462&lt;J1462,"Below",IF(E1462&gt;K1462,"Above","In range")))</f>
        <v/>
      </c>
      <c r="H1462" s="1" t="n"/>
      <c r="J1462">
        <f>IF(M1462="","",IF(INDEX(Settings!$C$10:$C$18,M1462)="","",INDEX(Settings!$C$10:$C$18,M1462)))</f>
        <v/>
      </c>
      <c r="K1462">
        <f>IF(M1462="","",IF(INDEX(Settings!$D$10:$D$18,M1462)="","",INDEX(Settings!$D$10:$D$18,M1462)))</f>
        <v/>
      </c>
      <c r="L1462">
        <f>IF(OR(B1462="",E1462=""),"",B1462+MOD(N(C1462),1)+ROW()/10000000)</f>
        <v/>
      </c>
      <c r="M1462">
        <f>IF(D1462="","",IFERROR(MATCH(D1462,Settings!$B$10:$B$18,0),""))</f>
        <v/>
      </c>
      <c r="N1462">
        <f>IF(OR(B1462="",E1462="",M1462=""),"",IF(AND(B1462&gt;=Settings!$C$6,B1462&lt;=Settings!$C$7),M1462*10000+E1462,""))</f>
        <v/>
      </c>
      <c r="O1462">
        <f>IF(OR(B1462="",E1462=""),"",B1462*10000+E1462)</f>
        <v/>
      </c>
      <c r="P1462">
        <f>IF(N1462="","",E1462)</f>
        <v/>
      </c>
    </row>
    <row r="1463">
      <c r="A1463" s="1" t="n"/>
      <c r="B1463" s="20" t="n"/>
      <c r="C1463" s="21" t="n"/>
      <c r="D1463" s="22" t="n"/>
      <c r="E1463" s="23" t="n"/>
      <c r="F1463" s="22" t="n"/>
      <c r="G1463" s="14">
        <f>IF(OR(B1463="",E1463="",J1463="",K1463=""),"",IF(E1463&lt;J1463,"Below",IF(E1463&gt;K1463,"Above","In range")))</f>
        <v/>
      </c>
      <c r="H1463" s="1" t="n"/>
      <c r="J1463">
        <f>IF(M1463="","",IF(INDEX(Settings!$C$10:$C$18,M1463)="","",INDEX(Settings!$C$10:$C$18,M1463)))</f>
        <v/>
      </c>
      <c r="K1463">
        <f>IF(M1463="","",IF(INDEX(Settings!$D$10:$D$18,M1463)="","",INDEX(Settings!$D$10:$D$18,M1463)))</f>
        <v/>
      </c>
      <c r="L1463">
        <f>IF(OR(B1463="",E1463=""),"",B1463+MOD(N(C1463),1)+ROW()/10000000)</f>
        <v/>
      </c>
      <c r="M1463">
        <f>IF(D1463="","",IFERROR(MATCH(D1463,Settings!$B$10:$B$18,0),""))</f>
        <v/>
      </c>
      <c r="N1463">
        <f>IF(OR(B1463="",E1463="",M1463=""),"",IF(AND(B1463&gt;=Settings!$C$6,B1463&lt;=Settings!$C$7),M1463*10000+E1463,""))</f>
        <v/>
      </c>
      <c r="O1463">
        <f>IF(OR(B1463="",E1463=""),"",B1463*10000+E1463)</f>
        <v/>
      </c>
      <c r="P1463">
        <f>IF(N1463="","",E1463)</f>
        <v/>
      </c>
    </row>
    <row r="1464">
      <c r="A1464" s="1" t="n"/>
      <c r="B1464" s="20" t="n"/>
      <c r="C1464" s="21" t="n"/>
      <c r="D1464" s="22" t="n"/>
      <c r="E1464" s="23" t="n"/>
      <c r="F1464" s="22" t="n"/>
      <c r="G1464" s="14">
        <f>IF(OR(B1464="",E1464="",J1464="",K1464=""),"",IF(E1464&lt;J1464,"Below",IF(E1464&gt;K1464,"Above","In range")))</f>
        <v/>
      </c>
      <c r="H1464" s="1" t="n"/>
      <c r="J1464">
        <f>IF(M1464="","",IF(INDEX(Settings!$C$10:$C$18,M1464)="","",INDEX(Settings!$C$10:$C$18,M1464)))</f>
        <v/>
      </c>
      <c r="K1464">
        <f>IF(M1464="","",IF(INDEX(Settings!$D$10:$D$18,M1464)="","",INDEX(Settings!$D$10:$D$18,M1464)))</f>
        <v/>
      </c>
      <c r="L1464">
        <f>IF(OR(B1464="",E1464=""),"",B1464+MOD(N(C1464),1)+ROW()/10000000)</f>
        <v/>
      </c>
      <c r="M1464">
        <f>IF(D1464="","",IFERROR(MATCH(D1464,Settings!$B$10:$B$18,0),""))</f>
        <v/>
      </c>
      <c r="N1464">
        <f>IF(OR(B1464="",E1464="",M1464=""),"",IF(AND(B1464&gt;=Settings!$C$6,B1464&lt;=Settings!$C$7),M1464*10000+E1464,""))</f>
        <v/>
      </c>
      <c r="O1464">
        <f>IF(OR(B1464="",E1464=""),"",B1464*10000+E1464)</f>
        <v/>
      </c>
      <c r="P1464">
        <f>IF(N1464="","",E1464)</f>
        <v/>
      </c>
    </row>
    <row r="1465">
      <c r="A1465" s="1" t="n"/>
      <c r="B1465" s="20" t="n"/>
      <c r="C1465" s="21" t="n"/>
      <c r="D1465" s="22" t="n"/>
      <c r="E1465" s="23" t="n"/>
      <c r="F1465" s="22" t="n"/>
      <c r="G1465" s="14">
        <f>IF(OR(B1465="",E1465="",J1465="",K1465=""),"",IF(E1465&lt;J1465,"Below",IF(E1465&gt;K1465,"Above","In range")))</f>
        <v/>
      </c>
      <c r="H1465" s="1" t="n"/>
      <c r="J1465">
        <f>IF(M1465="","",IF(INDEX(Settings!$C$10:$C$18,M1465)="","",INDEX(Settings!$C$10:$C$18,M1465)))</f>
        <v/>
      </c>
      <c r="K1465">
        <f>IF(M1465="","",IF(INDEX(Settings!$D$10:$D$18,M1465)="","",INDEX(Settings!$D$10:$D$18,M1465)))</f>
        <v/>
      </c>
      <c r="L1465">
        <f>IF(OR(B1465="",E1465=""),"",B1465+MOD(N(C1465),1)+ROW()/10000000)</f>
        <v/>
      </c>
      <c r="M1465">
        <f>IF(D1465="","",IFERROR(MATCH(D1465,Settings!$B$10:$B$18,0),""))</f>
        <v/>
      </c>
      <c r="N1465">
        <f>IF(OR(B1465="",E1465="",M1465=""),"",IF(AND(B1465&gt;=Settings!$C$6,B1465&lt;=Settings!$C$7),M1465*10000+E1465,""))</f>
        <v/>
      </c>
      <c r="O1465">
        <f>IF(OR(B1465="",E1465=""),"",B1465*10000+E1465)</f>
        <v/>
      </c>
      <c r="P1465">
        <f>IF(N1465="","",E1465)</f>
        <v/>
      </c>
    </row>
    <row r="1466">
      <c r="A1466" s="1" t="n"/>
      <c r="B1466" s="20" t="n"/>
      <c r="C1466" s="21" t="n"/>
      <c r="D1466" s="22" t="n"/>
      <c r="E1466" s="23" t="n"/>
      <c r="F1466" s="22" t="n"/>
      <c r="G1466" s="14">
        <f>IF(OR(B1466="",E1466="",J1466="",K1466=""),"",IF(E1466&lt;J1466,"Below",IF(E1466&gt;K1466,"Above","In range")))</f>
        <v/>
      </c>
      <c r="H1466" s="1" t="n"/>
      <c r="J1466">
        <f>IF(M1466="","",IF(INDEX(Settings!$C$10:$C$18,M1466)="","",INDEX(Settings!$C$10:$C$18,M1466)))</f>
        <v/>
      </c>
      <c r="K1466">
        <f>IF(M1466="","",IF(INDEX(Settings!$D$10:$D$18,M1466)="","",INDEX(Settings!$D$10:$D$18,M1466)))</f>
        <v/>
      </c>
      <c r="L1466">
        <f>IF(OR(B1466="",E1466=""),"",B1466+MOD(N(C1466),1)+ROW()/10000000)</f>
        <v/>
      </c>
      <c r="M1466">
        <f>IF(D1466="","",IFERROR(MATCH(D1466,Settings!$B$10:$B$18,0),""))</f>
        <v/>
      </c>
      <c r="N1466">
        <f>IF(OR(B1466="",E1466="",M1466=""),"",IF(AND(B1466&gt;=Settings!$C$6,B1466&lt;=Settings!$C$7),M1466*10000+E1466,""))</f>
        <v/>
      </c>
      <c r="O1466">
        <f>IF(OR(B1466="",E1466=""),"",B1466*10000+E1466)</f>
        <v/>
      </c>
      <c r="P1466">
        <f>IF(N1466="","",E1466)</f>
        <v/>
      </c>
    </row>
    <row r="1467">
      <c r="A1467" s="1" t="n"/>
      <c r="B1467" s="20" t="n"/>
      <c r="C1467" s="21" t="n"/>
      <c r="D1467" s="22" t="n"/>
      <c r="E1467" s="23" t="n"/>
      <c r="F1467" s="22" t="n"/>
      <c r="G1467" s="14">
        <f>IF(OR(B1467="",E1467="",J1467="",K1467=""),"",IF(E1467&lt;J1467,"Below",IF(E1467&gt;K1467,"Above","In range")))</f>
        <v/>
      </c>
      <c r="H1467" s="1" t="n"/>
      <c r="J1467">
        <f>IF(M1467="","",IF(INDEX(Settings!$C$10:$C$18,M1467)="","",INDEX(Settings!$C$10:$C$18,M1467)))</f>
        <v/>
      </c>
      <c r="K1467">
        <f>IF(M1467="","",IF(INDEX(Settings!$D$10:$D$18,M1467)="","",INDEX(Settings!$D$10:$D$18,M1467)))</f>
        <v/>
      </c>
      <c r="L1467">
        <f>IF(OR(B1467="",E1467=""),"",B1467+MOD(N(C1467),1)+ROW()/10000000)</f>
        <v/>
      </c>
      <c r="M1467">
        <f>IF(D1467="","",IFERROR(MATCH(D1467,Settings!$B$10:$B$18,0),""))</f>
        <v/>
      </c>
      <c r="N1467">
        <f>IF(OR(B1467="",E1467="",M1467=""),"",IF(AND(B1467&gt;=Settings!$C$6,B1467&lt;=Settings!$C$7),M1467*10000+E1467,""))</f>
        <v/>
      </c>
      <c r="O1467">
        <f>IF(OR(B1467="",E1467=""),"",B1467*10000+E1467)</f>
        <v/>
      </c>
      <c r="P1467">
        <f>IF(N1467="","",E1467)</f>
        <v/>
      </c>
    </row>
    <row r="1468">
      <c r="A1468" s="1" t="n"/>
      <c r="B1468" s="20" t="n"/>
      <c r="C1468" s="21" t="n"/>
      <c r="D1468" s="22" t="n"/>
      <c r="E1468" s="23" t="n"/>
      <c r="F1468" s="22" t="n"/>
      <c r="G1468" s="14">
        <f>IF(OR(B1468="",E1468="",J1468="",K1468=""),"",IF(E1468&lt;J1468,"Below",IF(E1468&gt;K1468,"Above","In range")))</f>
        <v/>
      </c>
      <c r="H1468" s="1" t="n"/>
      <c r="J1468">
        <f>IF(M1468="","",IF(INDEX(Settings!$C$10:$C$18,M1468)="","",INDEX(Settings!$C$10:$C$18,M1468)))</f>
        <v/>
      </c>
      <c r="K1468">
        <f>IF(M1468="","",IF(INDEX(Settings!$D$10:$D$18,M1468)="","",INDEX(Settings!$D$10:$D$18,M1468)))</f>
        <v/>
      </c>
      <c r="L1468">
        <f>IF(OR(B1468="",E1468=""),"",B1468+MOD(N(C1468),1)+ROW()/10000000)</f>
        <v/>
      </c>
      <c r="M1468">
        <f>IF(D1468="","",IFERROR(MATCH(D1468,Settings!$B$10:$B$18,0),""))</f>
        <v/>
      </c>
      <c r="N1468">
        <f>IF(OR(B1468="",E1468="",M1468=""),"",IF(AND(B1468&gt;=Settings!$C$6,B1468&lt;=Settings!$C$7),M1468*10000+E1468,""))</f>
        <v/>
      </c>
      <c r="O1468">
        <f>IF(OR(B1468="",E1468=""),"",B1468*10000+E1468)</f>
        <v/>
      </c>
      <c r="P1468">
        <f>IF(N1468="","",E1468)</f>
        <v/>
      </c>
    </row>
    <row r="1469">
      <c r="A1469" s="1" t="n"/>
      <c r="B1469" s="20" t="n"/>
      <c r="C1469" s="21" t="n"/>
      <c r="D1469" s="22" t="n"/>
      <c r="E1469" s="23" t="n"/>
      <c r="F1469" s="22" t="n"/>
      <c r="G1469" s="14">
        <f>IF(OR(B1469="",E1469="",J1469="",K1469=""),"",IF(E1469&lt;J1469,"Below",IF(E1469&gt;K1469,"Above","In range")))</f>
        <v/>
      </c>
      <c r="H1469" s="1" t="n"/>
      <c r="J1469">
        <f>IF(M1469="","",IF(INDEX(Settings!$C$10:$C$18,M1469)="","",INDEX(Settings!$C$10:$C$18,M1469)))</f>
        <v/>
      </c>
      <c r="K1469">
        <f>IF(M1469="","",IF(INDEX(Settings!$D$10:$D$18,M1469)="","",INDEX(Settings!$D$10:$D$18,M1469)))</f>
        <v/>
      </c>
      <c r="L1469">
        <f>IF(OR(B1469="",E1469=""),"",B1469+MOD(N(C1469),1)+ROW()/10000000)</f>
        <v/>
      </c>
      <c r="M1469">
        <f>IF(D1469="","",IFERROR(MATCH(D1469,Settings!$B$10:$B$18,0),""))</f>
        <v/>
      </c>
      <c r="N1469">
        <f>IF(OR(B1469="",E1469="",M1469=""),"",IF(AND(B1469&gt;=Settings!$C$6,B1469&lt;=Settings!$C$7),M1469*10000+E1469,""))</f>
        <v/>
      </c>
      <c r="O1469">
        <f>IF(OR(B1469="",E1469=""),"",B1469*10000+E1469)</f>
        <v/>
      </c>
      <c r="P1469">
        <f>IF(N1469="","",E1469)</f>
        <v/>
      </c>
    </row>
    <row r="1470">
      <c r="A1470" s="1" t="n"/>
      <c r="B1470" s="20" t="n"/>
      <c r="C1470" s="21" t="n"/>
      <c r="D1470" s="22" t="n"/>
      <c r="E1470" s="23" t="n"/>
      <c r="F1470" s="22" t="n"/>
      <c r="G1470" s="14">
        <f>IF(OR(B1470="",E1470="",J1470="",K1470=""),"",IF(E1470&lt;J1470,"Below",IF(E1470&gt;K1470,"Above","In range")))</f>
        <v/>
      </c>
      <c r="H1470" s="1" t="n"/>
      <c r="J1470">
        <f>IF(M1470="","",IF(INDEX(Settings!$C$10:$C$18,M1470)="","",INDEX(Settings!$C$10:$C$18,M1470)))</f>
        <v/>
      </c>
      <c r="K1470">
        <f>IF(M1470="","",IF(INDEX(Settings!$D$10:$D$18,M1470)="","",INDEX(Settings!$D$10:$D$18,M1470)))</f>
        <v/>
      </c>
      <c r="L1470">
        <f>IF(OR(B1470="",E1470=""),"",B1470+MOD(N(C1470),1)+ROW()/10000000)</f>
        <v/>
      </c>
      <c r="M1470">
        <f>IF(D1470="","",IFERROR(MATCH(D1470,Settings!$B$10:$B$18,0),""))</f>
        <v/>
      </c>
      <c r="N1470">
        <f>IF(OR(B1470="",E1470="",M1470=""),"",IF(AND(B1470&gt;=Settings!$C$6,B1470&lt;=Settings!$C$7),M1470*10000+E1470,""))</f>
        <v/>
      </c>
      <c r="O1470">
        <f>IF(OR(B1470="",E1470=""),"",B1470*10000+E1470)</f>
        <v/>
      </c>
      <c r="P1470">
        <f>IF(N1470="","",E1470)</f>
        <v/>
      </c>
    </row>
    <row r="1471">
      <c r="A1471" s="1" t="n"/>
      <c r="B1471" s="20" t="n"/>
      <c r="C1471" s="21" t="n"/>
      <c r="D1471" s="22" t="n"/>
      <c r="E1471" s="23" t="n"/>
      <c r="F1471" s="22" t="n"/>
      <c r="G1471" s="14">
        <f>IF(OR(B1471="",E1471="",J1471="",K1471=""),"",IF(E1471&lt;J1471,"Below",IF(E1471&gt;K1471,"Above","In range")))</f>
        <v/>
      </c>
      <c r="H1471" s="1" t="n"/>
      <c r="J1471">
        <f>IF(M1471="","",IF(INDEX(Settings!$C$10:$C$18,M1471)="","",INDEX(Settings!$C$10:$C$18,M1471)))</f>
        <v/>
      </c>
      <c r="K1471">
        <f>IF(M1471="","",IF(INDEX(Settings!$D$10:$D$18,M1471)="","",INDEX(Settings!$D$10:$D$18,M1471)))</f>
        <v/>
      </c>
      <c r="L1471">
        <f>IF(OR(B1471="",E1471=""),"",B1471+MOD(N(C1471),1)+ROW()/10000000)</f>
        <v/>
      </c>
      <c r="M1471">
        <f>IF(D1471="","",IFERROR(MATCH(D1471,Settings!$B$10:$B$18,0),""))</f>
        <v/>
      </c>
      <c r="N1471">
        <f>IF(OR(B1471="",E1471="",M1471=""),"",IF(AND(B1471&gt;=Settings!$C$6,B1471&lt;=Settings!$C$7),M1471*10000+E1471,""))</f>
        <v/>
      </c>
      <c r="O1471">
        <f>IF(OR(B1471="",E1471=""),"",B1471*10000+E1471)</f>
        <v/>
      </c>
      <c r="P1471">
        <f>IF(N1471="","",E1471)</f>
        <v/>
      </c>
    </row>
    <row r="1472">
      <c r="A1472" s="1" t="n"/>
      <c r="B1472" s="20" t="n"/>
      <c r="C1472" s="21" t="n"/>
      <c r="D1472" s="22" t="n"/>
      <c r="E1472" s="23" t="n"/>
      <c r="F1472" s="22" t="n"/>
      <c r="G1472" s="14">
        <f>IF(OR(B1472="",E1472="",J1472="",K1472=""),"",IF(E1472&lt;J1472,"Below",IF(E1472&gt;K1472,"Above","In range")))</f>
        <v/>
      </c>
      <c r="H1472" s="1" t="n"/>
      <c r="J1472">
        <f>IF(M1472="","",IF(INDEX(Settings!$C$10:$C$18,M1472)="","",INDEX(Settings!$C$10:$C$18,M1472)))</f>
        <v/>
      </c>
      <c r="K1472">
        <f>IF(M1472="","",IF(INDEX(Settings!$D$10:$D$18,M1472)="","",INDEX(Settings!$D$10:$D$18,M1472)))</f>
        <v/>
      </c>
      <c r="L1472">
        <f>IF(OR(B1472="",E1472=""),"",B1472+MOD(N(C1472),1)+ROW()/10000000)</f>
        <v/>
      </c>
      <c r="M1472">
        <f>IF(D1472="","",IFERROR(MATCH(D1472,Settings!$B$10:$B$18,0),""))</f>
        <v/>
      </c>
      <c r="N1472">
        <f>IF(OR(B1472="",E1472="",M1472=""),"",IF(AND(B1472&gt;=Settings!$C$6,B1472&lt;=Settings!$C$7),M1472*10000+E1472,""))</f>
        <v/>
      </c>
      <c r="O1472">
        <f>IF(OR(B1472="",E1472=""),"",B1472*10000+E1472)</f>
        <v/>
      </c>
      <c r="P1472">
        <f>IF(N1472="","",E1472)</f>
        <v/>
      </c>
    </row>
    <row r="1473">
      <c r="A1473" s="1" t="n"/>
      <c r="B1473" s="20" t="n"/>
      <c r="C1473" s="21" t="n"/>
      <c r="D1473" s="22" t="n"/>
      <c r="E1473" s="23" t="n"/>
      <c r="F1473" s="22" t="n"/>
      <c r="G1473" s="14">
        <f>IF(OR(B1473="",E1473="",J1473="",K1473=""),"",IF(E1473&lt;J1473,"Below",IF(E1473&gt;K1473,"Above","In range")))</f>
        <v/>
      </c>
      <c r="H1473" s="1" t="n"/>
      <c r="J1473">
        <f>IF(M1473="","",IF(INDEX(Settings!$C$10:$C$18,M1473)="","",INDEX(Settings!$C$10:$C$18,M1473)))</f>
        <v/>
      </c>
      <c r="K1473">
        <f>IF(M1473="","",IF(INDEX(Settings!$D$10:$D$18,M1473)="","",INDEX(Settings!$D$10:$D$18,M1473)))</f>
        <v/>
      </c>
      <c r="L1473">
        <f>IF(OR(B1473="",E1473=""),"",B1473+MOD(N(C1473),1)+ROW()/10000000)</f>
        <v/>
      </c>
      <c r="M1473">
        <f>IF(D1473="","",IFERROR(MATCH(D1473,Settings!$B$10:$B$18,0),""))</f>
        <v/>
      </c>
      <c r="N1473">
        <f>IF(OR(B1473="",E1473="",M1473=""),"",IF(AND(B1473&gt;=Settings!$C$6,B1473&lt;=Settings!$C$7),M1473*10000+E1473,""))</f>
        <v/>
      </c>
      <c r="O1473">
        <f>IF(OR(B1473="",E1473=""),"",B1473*10000+E1473)</f>
        <v/>
      </c>
      <c r="P1473">
        <f>IF(N1473="","",E1473)</f>
        <v/>
      </c>
    </row>
    <row r="1474">
      <c r="A1474" s="1" t="n"/>
      <c r="B1474" s="20" t="n"/>
      <c r="C1474" s="21" t="n"/>
      <c r="D1474" s="22" t="n"/>
      <c r="E1474" s="23" t="n"/>
      <c r="F1474" s="22" t="n"/>
      <c r="G1474" s="14">
        <f>IF(OR(B1474="",E1474="",J1474="",K1474=""),"",IF(E1474&lt;J1474,"Below",IF(E1474&gt;K1474,"Above","In range")))</f>
        <v/>
      </c>
      <c r="H1474" s="1" t="n"/>
      <c r="J1474">
        <f>IF(M1474="","",IF(INDEX(Settings!$C$10:$C$18,M1474)="","",INDEX(Settings!$C$10:$C$18,M1474)))</f>
        <v/>
      </c>
      <c r="K1474">
        <f>IF(M1474="","",IF(INDEX(Settings!$D$10:$D$18,M1474)="","",INDEX(Settings!$D$10:$D$18,M1474)))</f>
        <v/>
      </c>
      <c r="L1474">
        <f>IF(OR(B1474="",E1474=""),"",B1474+MOD(N(C1474),1)+ROW()/10000000)</f>
        <v/>
      </c>
      <c r="M1474">
        <f>IF(D1474="","",IFERROR(MATCH(D1474,Settings!$B$10:$B$18,0),""))</f>
        <v/>
      </c>
      <c r="N1474">
        <f>IF(OR(B1474="",E1474="",M1474=""),"",IF(AND(B1474&gt;=Settings!$C$6,B1474&lt;=Settings!$C$7),M1474*10000+E1474,""))</f>
        <v/>
      </c>
      <c r="O1474">
        <f>IF(OR(B1474="",E1474=""),"",B1474*10000+E1474)</f>
        <v/>
      </c>
      <c r="P1474">
        <f>IF(N1474="","",E1474)</f>
        <v/>
      </c>
    </row>
    <row r="1475">
      <c r="A1475" s="1" t="n"/>
      <c r="B1475" s="20" t="n"/>
      <c r="C1475" s="21" t="n"/>
      <c r="D1475" s="22" t="n"/>
      <c r="E1475" s="23" t="n"/>
      <c r="F1475" s="22" t="n"/>
      <c r="G1475" s="14">
        <f>IF(OR(B1475="",E1475="",J1475="",K1475=""),"",IF(E1475&lt;J1475,"Below",IF(E1475&gt;K1475,"Above","In range")))</f>
        <v/>
      </c>
      <c r="H1475" s="1" t="n"/>
      <c r="J1475">
        <f>IF(M1475="","",IF(INDEX(Settings!$C$10:$C$18,M1475)="","",INDEX(Settings!$C$10:$C$18,M1475)))</f>
        <v/>
      </c>
      <c r="K1475">
        <f>IF(M1475="","",IF(INDEX(Settings!$D$10:$D$18,M1475)="","",INDEX(Settings!$D$10:$D$18,M1475)))</f>
        <v/>
      </c>
      <c r="L1475">
        <f>IF(OR(B1475="",E1475=""),"",B1475+MOD(N(C1475),1)+ROW()/10000000)</f>
        <v/>
      </c>
      <c r="M1475">
        <f>IF(D1475="","",IFERROR(MATCH(D1475,Settings!$B$10:$B$18,0),""))</f>
        <v/>
      </c>
      <c r="N1475">
        <f>IF(OR(B1475="",E1475="",M1475=""),"",IF(AND(B1475&gt;=Settings!$C$6,B1475&lt;=Settings!$C$7),M1475*10000+E1475,""))</f>
        <v/>
      </c>
      <c r="O1475">
        <f>IF(OR(B1475="",E1475=""),"",B1475*10000+E1475)</f>
        <v/>
      </c>
      <c r="P1475">
        <f>IF(N1475="","",E1475)</f>
        <v/>
      </c>
    </row>
    <row r="1476">
      <c r="A1476" s="1" t="n"/>
      <c r="B1476" s="20" t="n"/>
      <c r="C1476" s="21" t="n"/>
      <c r="D1476" s="22" t="n"/>
      <c r="E1476" s="23" t="n"/>
      <c r="F1476" s="22" t="n"/>
      <c r="G1476" s="14">
        <f>IF(OR(B1476="",E1476="",J1476="",K1476=""),"",IF(E1476&lt;J1476,"Below",IF(E1476&gt;K1476,"Above","In range")))</f>
        <v/>
      </c>
      <c r="H1476" s="1" t="n"/>
      <c r="J1476">
        <f>IF(M1476="","",IF(INDEX(Settings!$C$10:$C$18,M1476)="","",INDEX(Settings!$C$10:$C$18,M1476)))</f>
        <v/>
      </c>
      <c r="K1476">
        <f>IF(M1476="","",IF(INDEX(Settings!$D$10:$D$18,M1476)="","",INDEX(Settings!$D$10:$D$18,M1476)))</f>
        <v/>
      </c>
      <c r="L1476">
        <f>IF(OR(B1476="",E1476=""),"",B1476+MOD(N(C1476),1)+ROW()/10000000)</f>
        <v/>
      </c>
      <c r="M1476">
        <f>IF(D1476="","",IFERROR(MATCH(D1476,Settings!$B$10:$B$18,0),""))</f>
        <v/>
      </c>
      <c r="N1476">
        <f>IF(OR(B1476="",E1476="",M1476=""),"",IF(AND(B1476&gt;=Settings!$C$6,B1476&lt;=Settings!$C$7),M1476*10000+E1476,""))</f>
        <v/>
      </c>
      <c r="O1476">
        <f>IF(OR(B1476="",E1476=""),"",B1476*10000+E1476)</f>
        <v/>
      </c>
      <c r="P1476">
        <f>IF(N1476="","",E1476)</f>
        <v/>
      </c>
    </row>
    <row r="1477">
      <c r="A1477" s="1" t="n"/>
      <c r="B1477" s="20" t="n"/>
      <c r="C1477" s="21" t="n"/>
      <c r="D1477" s="22" t="n"/>
      <c r="E1477" s="23" t="n"/>
      <c r="F1477" s="22" t="n"/>
      <c r="G1477" s="14">
        <f>IF(OR(B1477="",E1477="",J1477="",K1477=""),"",IF(E1477&lt;J1477,"Below",IF(E1477&gt;K1477,"Above","In range")))</f>
        <v/>
      </c>
      <c r="H1477" s="1" t="n"/>
      <c r="J1477">
        <f>IF(M1477="","",IF(INDEX(Settings!$C$10:$C$18,M1477)="","",INDEX(Settings!$C$10:$C$18,M1477)))</f>
        <v/>
      </c>
      <c r="K1477">
        <f>IF(M1477="","",IF(INDEX(Settings!$D$10:$D$18,M1477)="","",INDEX(Settings!$D$10:$D$18,M1477)))</f>
        <v/>
      </c>
      <c r="L1477">
        <f>IF(OR(B1477="",E1477=""),"",B1477+MOD(N(C1477),1)+ROW()/10000000)</f>
        <v/>
      </c>
      <c r="M1477">
        <f>IF(D1477="","",IFERROR(MATCH(D1477,Settings!$B$10:$B$18,0),""))</f>
        <v/>
      </c>
      <c r="N1477">
        <f>IF(OR(B1477="",E1477="",M1477=""),"",IF(AND(B1477&gt;=Settings!$C$6,B1477&lt;=Settings!$C$7),M1477*10000+E1477,""))</f>
        <v/>
      </c>
      <c r="O1477">
        <f>IF(OR(B1477="",E1477=""),"",B1477*10000+E1477)</f>
        <v/>
      </c>
      <c r="P1477">
        <f>IF(N1477="","",E1477)</f>
        <v/>
      </c>
    </row>
    <row r="1478">
      <c r="A1478" s="1" t="n"/>
      <c r="B1478" s="20" t="n"/>
      <c r="C1478" s="21" t="n"/>
      <c r="D1478" s="22" t="n"/>
      <c r="E1478" s="23" t="n"/>
      <c r="F1478" s="22" t="n"/>
      <c r="G1478" s="14">
        <f>IF(OR(B1478="",E1478="",J1478="",K1478=""),"",IF(E1478&lt;J1478,"Below",IF(E1478&gt;K1478,"Above","In range")))</f>
        <v/>
      </c>
      <c r="H1478" s="1" t="n"/>
      <c r="J1478">
        <f>IF(M1478="","",IF(INDEX(Settings!$C$10:$C$18,M1478)="","",INDEX(Settings!$C$10:$C$18,M1478)))</f>
        <v/>
      </c>
      <c r="K1478">
        <f>IF(M1478="","",IF(INDEX(Settings!$D$10:$D$18,M1478)="","",INDEX(Settings!$D$10:$D$18,M1478)))</f>
        <v/>
      </c>
      <c r="L1478">
        <f>IF(OR(B1478="",E1478=""),"",B1478+MOD(N(C1478),1)+ROW()/10000000)</f>
        <v/>
      </c>
      <c r="M1478">
        <f>IF(D1478="","",IFERROR(MATCH(D1478,Settings!$B$10:$B$18,0),""))</f>
        <v/>
      </c>
      <c r="N1478">
        <f>IF(OR(B1478="",E1478="",M1478=""),"",IF(AND(B1478&gt;=Settings!$C$6,B1478&lt;=Settings!$C$7),M1478*10000+E1478,""))</f>
        <v/>
      </c>
      <c r="O1478">
        <f>IF(OR(B1478="",E1478=""),"",B1478*10000+E1478)</f>
        <v/>
      </c>
      <c r="P1478">
        <f>IF(N1478="","",E1478)</f>
        <v/>
      </c>
    </row>
    <row r="1479">
      <c r="A1479" s="1" t="n"/>
      <c r="B1479" s="20" t="n"/>
      <c r="C1479" s="21" t="n"/>
      <c r="D1479" s="22" t="n"/>
      <c r="E1479" s="23" t="n"/>
      <c r="F1479" s="22" t="n"/>
      <c r="G1479" s="14">
        <f>IF(OR(B1479="",E1479="",J1479="",K1479=""),"",IF(E1479&lt;J1479,"Below",IF(E1479&gt;K1479,"Above","In range")))</f>
        <v/>
      </c>
      <c r="H1479" s="1" t="n"/>
      <c r="J1479">
        <f>IF(M1479="","",IF(INDEX(Settings!$C$10:$C$18,M1479)="","",INDEX(Settings!$C$10:$C$18,M1479)))</f>
        <v/>
      </c>
      <c r="K1479">
        <f>IF(M1479="","",IF(INDEX(Settings!$D$10:$D$18,M1479)="","",INDEX(Settings!$D$10:$D$18,M1479)))</f>
        <v/>
      </c>
      <c r="L1479">
        <f>IF(OR(B1479="",E1479=""),"",B1479+MOD(N(C1479),1)+ROW()/10000000)</f>
        <v/>
      </c>
      <c r="M1479">
        <f>IF(D1479="","",IFERROR(MATCH(D1479,Settings!$B$10:$B$18,0),""))</f>
        <v/>
      </c>
      <c r="N1479">
        <f>IF(OR(B1479="",E1479="",M1479=""),"",IF(AND(B1479&gt;=Settings!$C$6,B1479&lt;=Settings!$C$7),M1479*10000+E1479,""))</f>
        <v/>
      </c>
      <c r="O1479">
        <f>IF(OR(B1479="",E1479=""),"",B1479*10000+E1479)</f>
        <v/>
      </c>
      <c r="P1479">
        <f>IF(N1479="","",E1479)</f>
        <v/>
      </c>
    </row>
    <row r="1480">
      <c r="A1480" s="1" t="n"/>
      <c r="B1480" s="20" t="n"/>
      <c r="C1480" s="21" t="n"/>
      <c r="D1480" s="22" t="n"/>
      <c r="E1480" s="23" t="n"/>
      <c r="F1480" s="22" t="n"/>
      <c r="G1480" s="14">
        <f>IF(OR(B1480="",E1480="",J1480="",K1480=""),"",IF(E1480&lt;J1480,"Below",IF(E1480&gt;K1480,"Above","In range")))</f>
        <v/>
      </c>
      <c r="H1480" s="1" t="n"/>
      <c r="J1480">
        <f>IF(M1480="","",IF(INDEX(Settings!$C$10:$C$18,M1480)="","",INDEX(Settings!$C$10:$C$18,M1480)))</f>
        <v/>
      </c>
      <c r="K1480">
        <f>IF(M1480="","",IF(INDEX(Settings!$D$10:$D$18,M1480)="","",INDEX(Settings!$D$10:$D$18,M1480)))</f>
        <v/>
      </c>
      <c r="L1480">
        <f>IF(OR(B1480="",E1480=""),"",B1480+MOD(N(C1480),1)+ROW()/10000000)</f>
        <v/>
      </c>
      <c r="M1480">
        <f>IF(D1480="","",IFERROR(MATCH(D1480,Settings!$B$10:$B$18,0),""))</f>
        <v/>
      </c>
      <c r="N1480">
        <f>IF(OR(B1480="",E1480="",M1480=""),"",IF(AND(B1480&gt;=Settings!$C$6,B1480&lt;=Settings!$C$7),M1480*10000+E1480,""))</f>
        <v/>
      </c>
      <c r="O1480">
        <f>IF(OR(B1480="",E1480=""),"",B1480*10000+E1480)</f>
        <v/>
      </c>
      <c r="P1480">
        <f>IF(N1480="","",E1480)</f>
        <v/>
      </c>
    </row>
    <row r="1481">
      <c r="A1481" s="1" t="n"/>
      <c r="B1481" s="20" t="n"/>
      <c r="C1481" s="21" t="n"/>
      <c r="D1481" s="22" t="n"/>
      <c r="E1481" s="23" t="n"/>
      <c r="F1481" s="22" t="n"/>
      <c r="G1481" s="14">
        <f>IF(OR(B1481="",E1481="",J1481="",K1481=""),"",IF(E1481&lt;J1481,"Below",IF(E1481&gt;K1481,"Above","In range")))</f>
        <v/>
      </c>
      <c r="H1481" s="1" t="n"/>
      <c r="J1481">
        <f>IF(M1481="","",IF(INDEX(Settings!$C$10:$C$18,M1481)="","",INDEX(Settings!$C$10:$C$18,M1481)))</f>
        <v/>
      </c>
      <c r="K1481">
        <f>IF(M1481="","",IF(INDEX(Settings!$D$10:$D$18,M1481)="","",INDEX(Settings!$D$10:$D$18,M1481)))</f>
        <v/>
      </c>
      <c r="L1481">
        <f>IF(OR(B1481="",E1481=""),"",B1481+MOD(N(C1481),1)+ROW()/10000000)</f>
        <v/>
      </c>
      <c r="M1481">
        <f>IF(D1481="","",IFERROR(MATCH(D1481,Settings!$B$10:$B$18,0),""))</f>
        <v/>
      </c>
      <c r="N1481">
        <f>IF(OR(B1481="",E1481="",M1481=""),"",IF(AND(B1481&gt;=Settings!$C$6,B1481&lt;=Settings!$C$7),M1481*10000+E1481,""))</f>
        <v/>
      </c>
      <c r="O1481">
        <f>IF(OR(B1481="",E1481=""),"",B1481*10000+E1481)</f>
        <v/>
      </c>
      <c r="P1481">
        <f>IF(N1481="","",E1481)</f>
        <v/>
      </c>
    </row>
    <row r="1482">
      <c r="A1482" s="1" t="n"/>
      <c r="B1482" s="20" t="n"/>
      <c r="C1482" s="21" t="n"/>
      <c r="D1482" s="22" t="n"/>
      <c r="E1482" s="23" t="n"/>
      <c r="F1482" s="22" t="n"/>
      <c r="G1482" s="14">
        <f>IF(OR(B1482="",E1482="",J1482="",K1482=""),"",IF(E1482&lt;J1482,"Below",IF(E1482&gt;K1482,"Above","In range")))</f>
        <v/>
      </c>
      <c r="H1482" s="1" t="n"/>
      <c r="J1482">
        <f>IF(M1482="","",IF(INDEX(Settings!$C$10:$C$18,M1482)="","",INDEX(Settings!$C$10:$C$18,M1482)))</f>
        <v/>
      </c>
      <c r="K1482">
        <f>IF(M1482="","",IF(INDEX(Settings!$D$10:$D$18,M1482)="","",INDEX(Settings!$D$10:$D$18,M1482)))</f>
        <v/>
      </c>
      <c r="L1482">
        <f>IF(OR(B1482="",E1482=""),"",B1482+MOD(N(C1482),1)+ROW()/10000000)</f>
        <v/>
      </c>
      <c r="M1482">
        <f>IF(D1482="","",IFERROR(MATCH(D1482,Settings!$B$10:$B$18,0),""))</f>
        <v/>
      </c>
      <c r="N1482">
        <f>IF(OR(B1482="",E1482="",M1482=""),"",IF(AND(B1482&gt;=Settings!$C$6,B1482&lt;=Settings!$C$7),M1482*10000+E1482,""))</f>
        <v/>
      </c>
      <c r="O1482">
        <f>IF(OR(B1482="",E1482=""),"",B1482*10000+E1482)</f>
        <v/>
      </c>
      <c r="P1482">
        <f>IF(N1482="","",E1482)</f>
        <v/>
      </c>
    </row>
    <row r="1483">
      <c r="A1483" s="1" t="n"/>
      <c r="B1483" s="20" t="n"/>
      <c r="C1483" s="21" t="n"/>
      <c r="D1483" s="22" t="n"/>
      <c r="E1483" s="23" t="n"/>
      <c r="F1483" s="22" t="n"/>
      <c r="G1483" s="14">
        <f>IF(OR(B1483="",E1483="",J1483="",K1483=""),"",IF(E1483&lt;J1483,"Below",IF(E1483&gt;K1483,"Above","In range")))</f>
        <v/>
      </c>
      <c r="H1483" s="1" t="n"/>
      <c r="J1483">
        <f>IF(M1483="","",IF(INDEX(Settings!$C$10:$C$18,M1483)="","",INDEX(Settings!$C$10:$C$18,M1483)))</f>
        <v/>
      </c>
      <c r="K1483">
        <f>IF(M1483="","",IF(INDEX(Settings!$D$10:$D$18,M1483)="","",INDEX(Settings!$D$10:$D$18,M1483)))</f>
        <v/>
      </c>
      <c r="L1483">
        <f>IF(OR(B1483="",E1483=""),"",B1483+MOD(N(C1483),1)+ROW()/10000000)</f>
        <v/>
      </c>
      <c r="M1483">
        <f>IF(D1483="","",IFERROR(MATCH(D1483,Settings!$B$10:$B$18,0),""))</f>
        <v/>
      </c>
      <c r="N1483">
        <f>IF(OR(B1483="",E1483="",M1483=""),"",IF(AND(B1483&gt;=Settings!$C$6,B1483&lt;=Settings!$C$7),M1483*10000+E1483,""))</f>
        <v/>
      </c>
      <c r="O1483">
        <f>IF(OR(B1483="",E1483=""),"",B1483*10000+E1483)</f>
        <v/>
      </c>
      <c r="P1483">
        <f>IF(N1483="","",E1483)</f>
        <v/>
      </c>
    </row>
    <row r="1484">
      <c r="A1484" s="1" t="n"/>
      <c r="B1484" s="20" t="n"/>
      <c r="C1484" s="21" t="n"/>
      <c r="D1484" s="22" t="n"/>
      <c r="E1484" s="23" t="n"/>
      <c r="F1484" s="22" t="n"/>
      <c r="G1484" s="14">
        <f>IF(OR(B1484="",E1484="",J1484="",K1484=""),"",IF(E1484&lt;J1484,"Below",IF(E1484&gt;K1484,"Above","In range")))</f>
        <v/>
      </c>
      <c r="H1484" s="1" t="n"/>
      <c r="J1484">
        <f>IF(M1484="","",IF(INDEX(Settings!$C$10:$C$18,M1484)="","",INDEX(Settings!$C$10:$C$18,M1484)))</f>
        <v/>
      </c>
      <c r="K1484">
        <f>IF(M1484="","",IF(INDEX(Settings!$D$10:$D$18,M1484)="","",INDEX(Settings!$D$10:$D$18,M1484)))</f>
        <v/>
      </c>
      <c r="L1484">
        <f>IF(OR(B1484="",E1484=""),"",B1484+MOD(N(C1484),1)+ROW()/10000000)</f>
        <v/>
      </c>
      <c r="M1484">
        <f>IF(D1484="","",IFERROR(MATCH(D1484,Settings!$B$10:$B$18,0),""))</f>
        <v/>
      </c>
      <c r="N1484">
        <f>IF(OR(B1484="",E1484="",M1484=""),"",IF(AND(B1484&gt;=Settings!$C$6,B1484&lt;=Settings!$C$7),M1484*10000+E1484,""))</f>
        <v/>
      </c>
      <c r="O1484">
        <f>IF(OR(B1484="",E1484=""),"",B1484*10000+E1484)</f>
        <v/>
      </c>
      <c r="P1484">
        <f>IF(N1484="","",E1484)</f>
        <v/>
      </c>
    </row>
    <row r="1485">
      <c r="A1485" s="1" t="n"/>
      <c r="B1485" s="20" t="n"/>
      <c r="C1485" s="21" t="n"/>
      <c r="D1485" s="22" t="n"/>
      <c r="E1485" s="23" t="n"/>
      <c r="F1485" s="22" t="n"/>
      <c r="G1485" s="14">
        <f>IF(OR(B1485="",E1485="",J1485="",K1485=""),"",IF(E1485&lt;J1485,"Below",IF(E1485&gt;K1485,"Above","In range")))</f>
        <v/>
      </c>
      <c r="H1485" s="1" t="n"/>
      <c r="J1485">
        <f>IF(M1485="","",IF(INDEX(Settings!$C$10:$C$18,M1485)="","",INDEX(Settings!$C$10:$C$18,M1485)))</f>
        <v/>
      </c>
      <c r="K1485">
        <f>IF(M1485="","",IF(INDEX(Settings!$D$10:$D$18,M1485)="","",INDEX(Settings!$D$10:$D$18,M1485)))</f>
        <v/>
      </c>
      <c r="L1485">
        <f>IF(OR(B1485="",E1485=""),"",B1485+MOD(N(C1485),1)+ROW()/10000000)</f>
        <v/>
      </c>
      <c r="M1485">
        <f>IF(D1485="","",IFERROR(MATCH(D1485,Settings!$B$10:$B$18,0),""))</f>
        <v/>
      </c>
      <c r="N1485">
        <f>IF(OR(B1485="",E1485="",M1485=""),"",IF(AND(B1485&gt;=Settings!$C$6,B1485&lt;=Settings!$C$7),M1485*10000+E1485,""))</f>
        <v/>
      </c>
      <c r="O1485">
        <f>IF(OR(B1485="",E1485=""),"",B1485*10000+E1485)</f>
        <v/>
      </c>
      <c r="P1485">
        <f>IF(N1485="","",E1485)</f>
        <v/>
      </c>
    </row>
    <row r="1486">
      <c r="A1486" s="1" t="n"/>
      <c r="B1486" s="20" t="n"/>
      <c r="C1486" s="21" t="n"/>
      <c r="D1486" s="22" t="n"/>
      <c r="E1486" s="23" t="n"/>
      <c r="F1486" s="22" t="n"/>
      <c r="G1486" s="14">
        <f>IF(OR(B1486="",E1486="",J1486="",K1486=""),"",IF(E1486&lt;J1486,"Below",IF(E1486&gt;K1486,"Above","In range")))</f>
        <v/>
      </c>
      <c r="H1486" s="1" t="n"/>
      <c r="J1486">
        <f>IF(M1486="","",IF(INDEX(Settings!$C$10:$C$18,M1486)="","",INDEX(Settings!$C$10:$C$18,M1486)))</f>
        <v/>
      </c>
      <c r="K1486">
        <f>IF(M1486="","",IF(INDEX(Settings!$D$10:$D$18,M1486)="","",INDEX(Settings!$D$10:$D$18,M1486)))</f>
        <v/>
      </c>
      <c r="L1486">
        <f>IF(OR(B1486="",E1486=""),"",B1486+MOD(N(C1486),1)+ROW()/10000000)</f>
        <v/>
      </c>
      <c r="M1486">
        <f>IF(D1486="","",IFERROR(MATCH(D1486,Settings!$B$10:$B$18,0),""))</f>
        <v/>
      </c>
      <c r="N1486">
        <f>IF(OR(B1486="",E1486="",M1486=""),"",IF(AND(B1486&gt;=Settings!$C$6,B1486&lt;=Settings!$C$7),M1486*10000+E1486,""))</f>
        <v/>
      </c>
      <c r="O1486">
        <f>IF(OR(B1486="",E1486=""),"",B1486*10000+E1486)</f>
        <v/>
      </c>
      <c r="P1486">
        <f>IF(N1486="","",E1486)</f>
        <v/>
      </c>
    </row>
    <row r="1487">
      <c r="A1487" s="1" t="n"/>
      <c r="B1487" s="20" t="n"/>
      <c r="C1487" s="21" t="n"/>
      <c r="D1487" s="22" t="n"/>
      <c r="E1487" s="23" t="n"/>
      <c r="F1487" s="22" t="n"/>
      <c r="G1487" s="14">
        <f>IF(OR(B1487="",E1487="",J1487="",K1487=""),"",IF(E1487&lt;J1487,"Below",IF(E1487&gt;K1487,"Above","In range")))</f>
        <v/>
      </c>
      <c r="H1487" s="1" t="n"/>
      <c r="J1487">
        <f>IF(M1487="","",IF(INDEX(Settings!$C$10:$C$18,M1487)="","",INDEX(Settings!$C$10:$C$18,M1487)))</f>
        <v/>
      </c>
      <c r="K1487">
        <f>IF(M1487="","",IF(INDEX(Settings!$D$10:$D$18,M1487)="","",INDEX(Settings!$D$10:$D$18,M1487)))</f>
        <v/>
      </c>
      <c r="L1487">
        <f>IF(OR(B1487="",E1487=""),"",B1487+MOD(N(C1487),1)+ROW()/10000000)</f>
        <v/>
      </c>
      <c r="M1487">
        <f>IF(D1487="","",IFERROR(MATCH(D1487,Settings!$B$10:$B$18,0),""))</f>
        <v/>
      </c>
      <c r="N1487">
        <f>IF(OR(B1487="",E1487="",M1487=""),"",IF(AND(B1487&gt;=Settings!$C$6,B1487&lt;=Settings!$C$7),M1487*10000+E1487,""))</f>
        <v/>
      </c>
      <c r="O1487">
        <f>IF(OR(B1487="",E1487=""),"",B1487*10000+E1487)</f>
        <v/>
      </c>
      <c r="P1487">
        <f>IF(N1487="","",E1487)</f>
        <v/>
      </c>
    </row>
    <row r="1488">
      <c r="A1488" s="1" t="n"/>
      <c r="B1488" s="20" t="n"/>
      <c r="C1488" s="21" t="n"/>
      <c r="D1488" s="22" t="n"/>
      <c r="E1488" s="23" t="n"/>
      <c r="F1488" s="22" t="n"/>
      <c r="G1488" s="14">
        <f>IF(OR(B1488="",E1488="",J1488="",K1488=""),"",IF(E1488&lt;J1488,"Below",IF(E1488&gt;K1488,"Above","In range")))</f>
        <v/>
      </c>
      <c r="H1488" s="1" t="n"/>
      <c r="J1488">
        <f>IF(M1488="","",IF(INDEX(Settings!$C$10:$C$18,M1488)="","",INDEX(Settings!$C$10:$C$18,M1488)))</f>
        <v/>
      </c>
      <c r="K1488">
        <f>IF(M1488="","",IF(INDEX(Settings!$D$10:$D$18,M1488)="","",INDEX(Settings!$D$10:$D$18,M1488)))</f>
        <v/>
      </c>
      <c r="L1488">
        <f>IF(OR(B1488="",E1488=""),"",B1488+MOD(N(C1488),1)+ROW()/10000000)</f>
        <v/>
      </c>
      <c r="M1488">
        <f>IF(D1488="","",IFERROR(MATCH(D1488,Settings!$B$10:$B$18,0),""))</f>
        <v/>
      </c>
      <c r="N1488">
        <f>IF(OR(B1488="",E1488="",M1488=""),"",IF(AND(B1488&gt;=Settings!$C$6,B1488&lt;=Settings!$C$7),M1488*10000+E1488,""))</f>
        <v/>
      </c>
      <c r="O1488">
        <f>IF(OR(B1488="",E1488=""),"",B1488*10000+E1488)</f>
        <v/>
      </c>
      <c r="P1488">
        <f>IF(N1488="","",E1488)</f>
        <v/>
      </c>
    </row>
    <row r="1489">
      <c r="A1489" s="1" t="n"/>
      <c r="B1489" s="20" t="n"/>
      <c r="C1489" s="21" t="n"/>
      <c r="D1489" s="22" t="n"/>
      <c r="E1489" s="23" t="n"/>
      <c r="F1489" s="22" t="n"/>
      <c r="G1489" s="14">
        <f>IF(OR(B1489="",E1489="",J1489="",K1489=""),"",IF(E1489&lt;J1489,"Below",IF(E1489&gt;K1489,"Above","In range")))</f>
        <v/>
      </c>
      <c r="H1489" s="1" t="n"/>
      <c r="J1489">
        <f>IF(M1489="","",IF(INDEX(Settings!$C$10:$C$18,M1489)="","",INDEX(Settings!$C$10:$C$18,M1489)))</f>
        <v/>
      </c>
      <c r="K1489">
        <f>IF(M1489="","",IF(INDEX(Settings!$D$10:$D$18,M1489)="","",INDEX(Settings!$D$10:$D$18,M1489)))</f>
        <v/>
      </c>
      <c r="L1489">
        <f>IF(OR(B1489="",E1489=""),"",B1489+MOD(N(C1489),1)+ROW()/10000000)</f>
        <v/>
      </c>
      <c r="M1489">
        <f>IF(D1489="","",IFERROR(MATCH(D1489,Settings!$B$10:$B$18,0),""))</f>
        <v/>
      </c>
      <c r="N1489">
        <f>IF(OR(B1489="",E1489="",M1489=""),"",IF(AND(B1489&gt;=Settings!$C$6,B1489&lt;=Settings!$C$7),M1489*10000+E1489,""))</f>
        <v/>
      </c>
      <c r="O1489">
        <f>IF(OR(B1489="",E1489=""),"",B1489*10000+E1489)</f>
        <v/>
      </c>
      <c r="P1489">
        <f>IF(N1489="","",E1489)</f>
        <v/>
      </c>
    </row>
    <row r="1490">
      <c r="A1490" s="1" t="n"/>
      <c r="B1490" s="20" t="n"/>
      <c r="C1490" s="21" t="n"/>
      <c r="D1490" s="22" t="n"/>
      <c r="E1490" s="23" t="n"/>
      <c r="F1490" s="22" t="n"/>
      <c r="G1490" s="14">
        <f>IF(OR(B1490="",E1490="",J1490="",K1490=""),"",IF(E1490&lt;J1490,"Below",IF(E1490&gt;K1490,"Above","In range")))</f>
        <v/>
      </c>
      <c r="H1490" s="1" t="n"/>
      <c r="J1490">
        <f>IF(M1490="","",IF(INDEX(Settings!$C$10:$C$18,M1490)="","",INDEX(Settings!$C$10:$C$18,M1490)))</f>
        <v/>
      </c>
      <c r="K1490">
        <f>IF(M1490="","",IF(INDEX(Settings!$D$10:$D$18,M1490)="","",INDEX(Settings!$D$10:$D$18,M1490)))</f>
        <v/>
      </c>
      <c r="L1490">
        <f>IF(OR(B1490="",E1490=""),"",B1490+MOD(N(C1490),1)+ROW()/10000000)</f>
        <v/>
      </c>
      <c r="M1490">
        <f>IF(D1490="","",IFERROR(MATCH(D1490,Settings!$B$10:$B$18,0),""))</f>
        <v/>
      </c>
      <c r="N1490">
        <f>IF(OR(B1490="",E1490="",M1490=""),"",IF(AND(B1490&gt;=Settings!$C$6,B1490&lt;=Settings!$C$7),M1490*10000+E1490,""))</f>
        <v/>
      </c>
      <c r="O1490">
        <f>IF(OR(B1490="",E1490=""),"",B1490*10000+E1490)</f>
        <v/>
      </c>
      <c r="P1490">
        <f>IF(N1490="","",E1490)</f>
        <v/>
      </c>
    </row>
    <row r="1491">
      <c r="A1491" s="1" t="n"/>
      <c r="B1491" s="20" t="n"/>
      <c r="C1491" s="21" t="n"/>
      <c r="D1491" s="22" t="n"/>
      <c r="E1491" s="23" t="n"/>
      <c r="F1491" s="22" t="n"/>
      <c r="G1491" s="14">
        <f>IF(OR(B1491="",E1491="",J1491="",K1491=""),"",IF(E1491&lt;J1491,"Below",IF(E1491&gt;K1491,"Above","In range")))</f>
        <v/>
      </c>
      <c r="H1491" s="1" t="n"/>
      <c r="J1491">
        <f>IF(M1491="","",IF(INDEX(Settings!$C$10:$C$18,M1491)="","",INDEX(Settings!$C$10:$C$18,M1491)))</f>
        <v/>
      </c>
      <c r="K1491">
        <f>IF(M1491="","",IF(INDEX(Settings!$D$10:$D$18,M1491)="","",INDEX(Settings!$D$10:$D$18,M1491)))</f>
        <v/>
      </c>
      <c r="L1491">
        <f>IF(OR(B1491="",E1491=""),"",B1491+MOD(N(C1491),1)+ROW()/10000000)</f>
        <v/>
      </c>
      <c r="M1491">
        <f>IF(D1491="","",IFERROR(MATCH(D1491,Settings!$B$10:$B$18,0),""))</f>
        <v/>
      </c>
      <c r="N1491">
        <f>IF(OR(B1491="",E1491="",M1491=""),"",IF(AND(B1491&gt;=Settings!$C$6,B1491&lt;=Settings!$C$7),M1491*10000+E1491,""))</f>
        <v/>
      </c>
      <c r="O1491">
        <f>IF(OR(B1491="",E1491=""),"",B1491*10000+E1491)</f>
        <v/>
      </c>
      <c r="P1491">
        <f>IF(N1491="","",E1491)</f>
        <v/>
      </c>
    </row>
    <row r="1492">
      <c r="A1492" s="1" t="n"/>
      <c r="B1492" s="20" t="n"/>
      <c r="C1492" s="21" t="n"/>
      <c r="D1492" s="22" t="n"/>
      <c r="E1492" s="23" t="n"/>
      <c r="F1492" s="22" t="n"/>
      <c r="G1492" s="14">
        <f>IF(OR(B1492="",E1492="",J1492="",K1492=""),"",IF(E1492&lt;J1492,"Below",IF(E1492&gt;K1492,"Above","In range")))</f>
        <v/>
      </c>
      <c r="H1492" s="1" t="n"/>
      <c r="J1492">
        <f>IF(M1492="","",IF(INDEX(Settings!$C$10:$C$18,M1492)="","",INDEX(Settings!$C$10:$C$18,M1492)))</f>
        <v/>
      </c>
      <c r="K1492">
        <f>IF(M1492="","",IF(INDEX(Settings!$D$10:$D$18,M1492)="","",INDEX(Settings!$D$10:$D$18,M1492)))</f>
        <v/>
      </c>
      <c r="L1492">
        <f>IF(OR(B1492="",E1492=""),"",B1492+MOD(N(C1492),1)+ROW()/10000000)</f>
        <v/>
      </c>
      <c r="M1492">
        <f>IF(D1492="","",IFERROR(MATCH(D1492,Settings!$B$10:$B$18,0),""))</f>
        <v/>
      </c>
      <c r="N1492">
        <f>IF(OR(B1492="",E1492="",M1492=""),"",IF(AND(B1492&gt;=Settings!$C$6,B1492&lt;=Settings!$C$7),M1492*10000+E1492,""))</f>
        <v/>
      </c>
      <c r="O1492">
        <f>IF(OR(B1492="",E1492=""),"",B1492*10000+E1492)</f>
        <v/>
      </c>
      <c r="P1492">
        <f>IF(N1492="","",E1492)</f>
        <v/>
      </c>
    </row>
    <row r="1493">
      <c r="A1493" s="1" t="n"/>
      <c r="B1493" s="20" t="n"/>
      <c r="C1493" s="21" t="n"/>
      <c r="D1493" s="22" t="n"/>
      <c r="E1493" s="23" t="n"/>
      <c r="F1493" s="22" t="n"/>
      <c r="G1493" s="14">
        <f>IF(OR(B1493="",E1493="",J1493="",K1493=""),"",IF(E1493&lt;J1493,"Below",IF(E1493&gt;K1493,"Above","In range")))</f>
        <v/>
      </c>
      <c r="H1493" s="1" t="n"/>
      <c r="J1493">
        <f>IF(M1493="","",IF(INDEX(Settings!$C$10:$C$18,M1493)="","",INDEX(Settings!$C$10:$C$18,M1493)))</f>
        <v/>
      </c>
      <c r="K1493">
        <f>IF(M1493="","",IF(INDEX(Settings!$D$10:$D$18,M1493)="","",INDEX(Settings!$D$10:$D$18,M1493)))</f>
        <v/>
      </c>
      <c r="L1493">
        <f>IF(OR(B1493="",E1493=""),"",B1493+MOD(N(C1493),1)+ROW()/10000000)</f>
        <v/>
      </c>
      <c r="M1493">
        <f>IF(D1493="","",IFERROR(MATCH(D1493,Settings!$B$10:$B$18,0),""))</f>
        <v/>
      </c>
      <c r="N1493">
        <f>IF(OR(B1493="",E1493="",M1493=""),"",IF(AND(B1493&gt;=Settings!$C$6,B1493&lt;=Settings!$C$7),M1493*10000+E1493,""))</f>
        <v/>
      </c>
      <c r="O1493">
        <f>IF(OR(B1493="",E1493=""),"",B1493*10000+E1493)</f>
        <v/>
      </c>
      <c r="P1493">
        <f>IF(N1493="","",E1493)</f>
        <v/>
      </c>
    </row>
    <row r="1494">
      <c r="A1494" s="1" t="n"/>
      <c r="B1494" s="20" t="n"/>
      <c r="C1494" s="21" t="n"/>
      <c r="D1494" s="22" t="n"/>
      <c r="E1494" s="23" t="n"/>
      <c r="F1494" s="22" t="n"/>
      <c r="G1494" s="14">
        <f>IF(OR(B1494="",E1494="",J1494="",K1494=""),"",IF(E1494&lt;J1494,"Below",IF(E1494&gt;K1494,"Above","In range")))</f>
        <v/>
      </c>
      <c r="H1494" s="1" t="n"/>
      <c r="J1494">
        <f>IF(M1494="","",IF(INDEX(Settings!$C$10:$C$18,M1494)="","",INDEX(Settings!$C$10:$C$18,M1494)))</f>
        <v/>
      </c>
      <c r="K1494">
        <f>IF(M1494="","",IF(INDEX(Settings!$D$10:$D$18,M1494)="","",INDEX(Settings!$D$10:$D$18,M1494)))</f>
        <v/>
      </c>
      <c r="L1494">
        <f>IF(OR(B1494="",E1494=""),"",B1494+MOD(N(C1494),1)+ROW()/10000000)</f>
        <v/>
      </c>
      <c r="M1494">
        <f>IF(D1494="","",IFERROR(MATCH(D1494,Settings!$B$10:$B$18,0),""))</f>
        <v/>
      </c>
      <c r="N1494">
        <f>IF(OR(B1494="",E1494="",M1494=""),"",IF(AND(B1494&gt;=Settings!$C$6,B1494&lt;=Settings!$C$7),M1494*10000+E1494,""))</f>
        <v/>
      </c>
      <c r="O1494">
        <f>IF(OR(B1494="",E1494=""),"",B1494*10000+E1494)</f>
        <v/>
      </c>
      <c r="P1494">
        <f>IF(N1494="","",E1494)</f>
        <v/>
      </c>
    </row>
    <row r="1495">
      <c r="A1495" s="1" t="n"/>
      <c r="B1495" s="20" t="n"/>
      <c r="C1495" s="21" t="n"/>
      <c r="D1495" s="22" t="n"/>
      <c r="E1495" s="23" t="n"/>
      <c r="F1495" s="22" t="n"/>
      <c r="G1495" s="14">
        <f>IF(OR(B1495="",E1495="",J1495="",K1495=""),"",IF(E1495&lt;J1495,"Below",IF(E1495&gt;K1495,"Above","In range")))</f>
        <v/>
      </c>
      <c r="H1495" s="1" t="n"/>
      <c r="J1495">
        <f>IF(M1495="","",IF(INDEX(Settings!$C$10:$C$18,M1495)="","",INDEX(Settings!$C$10:$C$18,M1495)))</f>
        <v/>
      </c>
      <c r="K1495">
        <f>IF(M1495="","",IF(INDEX(Settings!$D$10:$D$18,M1495)="","",INDEX(Settings!$D$10:$D$18,M1495)))</f>
        <v/>
      </c>
      <c r="L1495">
        <f>IF(OR(B1495="",E1495=""),"",B1495+MOD(N(C1495),1)+ROW()/10000000)</f>
        <v/>
      </c>
      <c r="M1495">
        <f>IF(D1495="","",IFERROR(MATCH(D1495,Settings!$B$10:$B$18,0),""))</f>
        <v/>
      </c>
      <c r="N1495">
        <f>IF(OR(B1495="",E1495="",M1495=""),"",IF(AND(B1495&gt;=Settings!$C$6,B1495&lt;=Settings!$C$7),M1495*10000+E1495,""))</f>
        <v/>
      </c>
      <c r="O1495">
        <f>IF(OR(B1495="",E1495=""),"",B1495*10000+E1495)</f>
        <v/>
      </c>
      <c r="P1495">
        <f>IF(N1495="","",E1495)</f>
        <v/>
      </c>
    </row>
    <row r="1496">
      <c r="A1496" s="1" t="n"/>
      <c r="B1496" s="20" t="n"/>
      <c r="C1496" s="21" t="n"/>
      <c r="D1496" s="22" t="n"/>
      <c r="E1496" s="23" t="n"/>
      <c r="F1496" s="22" t="n"/>
      <c r="G1496" s="14">
        <f>IF(OR(B1496="",E1496="",J1496="",K1496=""),"",IF(E1496&lt;J1496,"Below",IF(E1496&gt;K1496,"Above","In range")))</f>
        <v/>
      </c>
      <c r="H1496" s="1" t="n"/>
      <c r="J1496">
        <f>IF(M1496="","",IF(INDEX(Settings!$C$10:$C$18,M1496)="","",INDEX(Settings!$C$10:$C$18,M1496)))</f>
        <v/>
      </c>
      <c r="K1496">
        <f>IF(M1496="","",IF(INDEX(Settings!$D$10:$D$18,M1496)="","",INDEX(Settings!$D$10:$D$18,M1496)))</f>
        <v/>
      </c>
      <c r="L1496">
        <f>IF(OR(B1496="",E1496=""),"",B1496+MOD(N(C1496),1)+ROW()/10000000)</f>
        <v/>
      </c>
      <c r="M1496">
        <f>IF(D1496="","",IFERROR(MATCH(D1496,Settings!$B$10:$B$18,0),""))</f>
        <v/>
      </c>
      <c r="N1496">
        <f>IF(OR(B1496="",E1496="",M1496=""),"",IF(AND(B1496&gt;=Settings!$C$6,B1496&lt;=Settings!$C$7),M1496*10000+E1496,""))</f>
        <v/>
      </c>
      <c r="O1496">
        <f>IF(OR(B1496="",E1496=""),"",B1496*10000+E1496)</f>
        <v/>
      </c>
      <c r="P1496">
        <f>IF(N1496="","",E1496)</f>
        <v/>
      </c>
    </row>
    <row r="1497">
      <c r="A1497" s="1" t="n"/>
      <c r="B1497" s="20" t="n"/>
      <c r="C1497" s="21" t="n"/>
      <c r="D1497" s="22" t="n"/>
      <c r="E1497" s="23" t="n"/>
      <c r="F1497" s="22" t="n"/>
      <c r="G1497" s="14">
        <f>IF(OR(B1497="",E1497="",J1497="",K1497=""),"",IF(E1497&lt;J1497,"Below",IF(E1497&gt;K1497,"Above","In range")))</f>
        <v/>
      </c>
      <c r="H1497" s="1" t="n"/>
      <c r="J1497">
        <f>IF(M1497="","",IF(INDEX(Settings!$C$10:$C$18,M1497)="","",INDEX(Settings!$C$10:$C$18,M1497)))</f>
        <v/>
      </c>
      <c r="K1497">
        <f>IF(M1497="","",IF(INDEX(Settings!$D$10:$D$18,M1497)="","",INDEX(Settings!$D$10:$D$18,M1497)))</f>
        <v/>
      </c>
      <c r="L1497">
        <f>IF(OR(B1497="",E1497=""),"",B1497+MOD(N(C1497),1)+ROW()/10000000)</f>
        <v/>
      </c>
      <c r="M1497">
        <f>IF(D1497="","",IFERROR(MATCH(D1497,Settings!$B$10:$B$18,0),""))</f>
        <v/>
      </c>
      <c r="N1497">
        <f>IF(OR(B1497="",E1497="",M1497=""),"",IF(AND(B1497&gt;=Settings!$C$6,B1497&lt;=Settings!$C$7),M1497*10000+E1497,""))</f>
        <v/>
      </c>
      <c r="O1497">
        <f>IF(OR(B1497="",E1497=""),"",B1497*10000+E1497)</f>
        <v/>
      </c>
      <c r="P1497">
        <f>IF(N1497="","",E1497)</f>
        <v/>
      </c>
    </row>
    <row r="1498">
      <c r="A1498" s="1" t="n"/>
      <c r="B1498" s="20" t="n"/>
      <c r="C1498" s="21" t="n"/>
      <c r="D1498" s="22" t="n"/>
      <c r="E1498" s="23" t="n"/>
      <c r="F1498" s="22" t="n"/>
      <c r="G1498" s="14">
        <f>IF(OR(B1498="",E1498="",J1498="",K1498=""),"",IF(E1498&lt;J1498,"Below",IF(E1498&gt;K1498,"Above","In range")))</f>
        <v/>
      </c>
      <c r="H1498" s="1" t="n"/>
      <c r="J1498">
        <f>IF(M1498="","",IF(INDEX(Settings!$C$10:$C$18,M1498)="","",INDEX(Settings!$C$10:$C$18,M1498)))</f>
        <v/>
      </c>
      <c r="K1498">
        <f>IF(M1498="","",IF(INDEX(Settings!$D$10:$D$18,M1498)="","",INDEX(Settings!$D$10:$D$18,M1498)))</f>
        <v/>
      </c>
      <c r="L1498">
        <f>IF(OR(B1498="",E1498=""),"",B1498+MOD(N(C1498),1)+ROW()/10000000)</f>
        <v/>
      </c>
      <c r="M1498">
        <f>IF(D1498="","",IFERROR(MATCH(D1498,Settings!$B$10:$B$18,0),""))</f>
        <v/>
      </c>
      <c r="N1498">
        <f>IF(OR(B1498="",E1498="",M1498=""),"",IF(AND(B1498&gt;=Settings!$C$6,B1498&lt;=Settings!$C$7),M1498*10000+E1498,""))</f>
        <v/>
      </c>
      <c r="O1498">
        <f>IF(OR(B1498="",E1498=""),"",B1498*10000+E1498)</f>
        <v/>
      </c>
      <c r="P1498">
        <f>IF(N1498="","",E1498)</f>
        <v/>
      </c>
    </row>
    <row r="1499">
      <c r="A1499" s="1" t="n"/>
      <c r="B1499" s="20" t="n"/>
      <c r="C1499" s="21" t="n"/>
      <c r="D1499" s="22" t="n"/>
      <c r="E1499" s="23" t="n"/>
      <c r="F1499" s="22" t="n"/>
      <c r="G1499" s="14">
        <f>IF(OR(B1499="",E1499="",J1499="",K1499=""),"",IF(E1499&lt;J1499,"Below",IF(E1499&gt;K1499,"Above","In range")))</f>
        <v/>
      </c>
      <c r="H1499" s="1" t="n"/>
      <c r="J1499">
        <f>IF(M1499="","",IF(INDEX(Settings!$C$10:$C$18,M1499)="","",INDEX(Settings!$C$10:$C$18,M1499)))</f>
        <v/>
      </c>
      <c r="K1499">
        <f>IF(M1499="","",IF(INDEX(Settings!$D$10:$D$18,M1499)="","",INDEX(Settings!$D$10:$D$18,M1499)))</f>
        <v/>
      </c>
      <c r="L1499">
        <f>IF(OR(B1499="",E1499=""),"",B1499+MOD(N(C1499),1)+ROW()/10000000)</f>
        <v/>
      </c>
      <c r="M1499">
        <f>IF(D1499="","",IFERROR(MATCH(D1499,Settings!$B$10:$B$18,0),""))</f>
        <v/>
      </c>
      <c r="N1499">
        <f>IF(OR(B1499="",E1499="",M1499=""),"",IF(AND(B1499&gt;=Settings!$C$6,B1499&lt;=Settings!$C$7),M1499*10000+E1499,""))</f>
        <v/>
      </c>
      <c r="O1499">
        <f>IF(OR(B1499="",E1499=""),"",B1499*10000+E1499)</f>
        <v/>
      </c>
      <c r="P1499">
        <f>IF(N1499="","",E1499)</f>
        <v/>
      </c>
    </row>
    <row r="1500">
      <c r="A1500" s="1" t="n"/>
      <c r="B1500" s="20" t="n"/>
      <c r="C1500" s="21" t="n"/>
      <c r="D1500" s="22" t="n"/>
      <c r="E1500" s="23" t="n"/>
      <c r="F1500" s="22" t="n"/>
      <c r="G1500" s="14">
        <f>IF(OR(B1500="",E1500="",J1500="",K1500=""),"",IF(E1500&lt;J1500,"Below",IF(E1500&gt;K1500,"Above","In range")))</f>
        <v/>
      </c>
      <c r="H1500" s="1" t="n"/>
      <c r="J1500">
        <f>IF(M1500="","",IF(INDEX(Settings!$C$10:$C$18,M1500)="","",INDEX(Settings!$C$10:$C$18,M1500)))</f>
        <v/>
      </c>
      <c r="K1500">
        <f>IF(M1500="","",IF(INDEX(Settings!$D$10:$D$18,M1500)="","",INDEX(Settings!$D$10:$D$18,M1500)))</f>
        <v/>
      </c>
      <c r="L1500">
        <f>IF(OR(B1500="",E1500=""),"",B1500+MOD(N(C1500),1)+ROW()/10000000)</f>
        <v/>
      </c>
      <c r="M1500">
        <f>IF(D1500="","",IFERROR(MATCH(D1500,Settings!$B$10:$B$18,0),""))</f>
        <v/>
      </c>
      <c r="N1500">
        <f>IF(OR(B1500="",E1500="",M1500=""),"",IF(AND(B1500&gt;=Settings!$C$6,B1500&lt;=Settings!$C$7),M1500*10000+E1500,""))</f>
        <v/>
      </c>
      <c r="O1500">
        <f>IF(OR(B1500="",E1500=""),"",B1500*10000+E1500)</f>
        <v/>
      </c>
      <c r="P1500">
        <f>IF(N1500="","",E1500)</f>
        <v/>
      </c>
    </row>
    <row r="1501">
      <c r="A1501" s="1" t="n"/>
      <c r="B1501" s="20" t="n"/>
      <c r="C1501" s="21" t="n"/>
      <c r="D1501" s="22" t="n"/>
      <c r="E1501" s="23" t="n"/>
      <c r="F1501" s="22" t="n"/>
      <c r="G1501" s="14">
        <f>IF(OR(B1501="",E1501="",J1501="",K1501=""),"",IF(E1501&lt;J1501,"Below",IF(E1501&gt;K1501,"Above","In range")))</f>
        <v/>
      </c>
      <c r="H1501" s="1" t="n"/>
      <c r="J1501">
        <f>IF(M1501="","",IF(INDEX(Settings!$C$10:$C$18,M1501)="","",INDEX(Settings!$C$10:$C$18,M1501)))</f>
        <v/>
      </c>
      <c r="K1501">
        <f>IF(M1501="","",IF(INDEX(Settings!$D$10:$D$18,M1501)="","",INDEX(Settings!$D$10:$D$18,M1501)))</f>
        <v/>
      </c>
      <c r="L1501">
        <f>IF(OR(B1501="",E1501=""),"",B1501+MOD(N(C1501),1)+ROW()/10000000)</f>
        <v/>
      </c>
      <c r="M1501">
        <f>IF(D1501="","",IFERROR(MATCH(D1501,Settings!$B$10:$B$18,0),""))</f>
        <v/>
      </c>
      <c r="N1501">
        <f>IF(OR(B1501="",E1501="",M1501=""),"",IF(AND(B1501&gt;=Settings!$C$6,B1501&lt;=Settings!$C$7),M1501*10000+E1501,""))</f>
        <v/>
      </c>
      <c r="O1501">
        <f>IF(OR(B1501="",E1501=""),"",B1501*10000+E1501)</f>
        <v/>
      </c>
      <c r="P1501">
        <f>IF(N1501="","",E1501)</f>
        <v/>
      </c>
    </row>
    <row r="1502">
      <c r="A1502" s="1" t="n"/>
      <c r="B1502" s="20" t="n"/>
      <c r="C1502" s="21" t="n"/>
      <c r="D1502" s="22" t="n"/>
      <c r="E1502" s="23" t="n"/>
      <c r="F1502" s="22" t="n"/>
      <c r="G1502" s="14">
        <f>IF(OR(B1502="",E1502="",J1502="",K1502=""),"",IF(E1502&lt;J1502,"Below",IF(E1502&gt;K1502,"Above","In range")))</f>
        <v/>
      </c>
      <c r="H1502" s="1" t="n"/>
      <c r="J1502">
        <f>IF(M1502="","",IF(INDEX(Settings!$C$10:$C$18,M1502)="","",INDEX(Settings!$C$10:$C$18,M1502)))</f>
        <v/>
      </c>
      <c r="K1502">
        <f>IF(M1502="","",IF(INDEX(Settings!$D$10:$D$18,M1502)="","",INDEX(Settings!$D$10:$D$18,M1502)))</f>
        <v/>
      </c>
      <c r="L1502">
        <f>IF(OR(B1502="",E1502=""),"",B1502+MOD(N(C1502),1)+ROW()/10000000)</f>
        <v/>
      </c>
      <c r="M1502">
        <f>IF(D1502="","",IFERROR(MATCH(D1502,Settings!$B$10:$B$18,0),""))</f>
        <v/>
      </c>
      <c r="N1502">
        <f>IF(OR(B1502="",E1502="",M1502=""),"",IF(AND(B1502&gt;=Settings!$C$6,B1502&lt;=Settings!$C$7),M1502*10000+E1502,""))</f>
        <v/>
      </c>
      <c r="O1502">
        <f>IF(OR(B1502="",E1502=""),"",B1502*10000+E1502)</f>
        <v/>
      </c>
      <c r="P1502">
        <f>IF(N1502="","",E1502)</f>
        <v/>
      </c>
    </row>
    <row r="1503">
      <c r="A1503" s="1" t="n"/>
      <c r="B1503" s="20" t="n"/>
      <c r="C1503" s="21" t="n"/>
      <c r="D1503" s="22" t="n"/>
      <c r="E1503" s="23" t="n"/>
      <c r="F1503" s="22" t="n"/>
      <c r="G1503" s="14">
        <f>IF(OR(B1503="",E1503="",J1503="",K1503=""),"",IF(E1503&lt;J1503,"Below",IF(E1503&gt;K1503,"Above","In range")))</f>
        <v/>
      </c>
      <c r="H1503" s="1" t="n"/>
      <c r="J1503">
        <f>IF(M1503="","",IF(INDEX(Settings!$C$10:$C$18,M1503)="","",INDEX(Settings!$C$10:$C$18,M1503)))</f>
        <v/>
      </c>
      <c r="K1503">
        <f>IF(M1503="","",IF(INDEX(Settings!$D$10:$D$18,M1503)="","",INDEX(Settings!$D$10:$D$18,M1503)))</f>
        <v/>
      </c>
      <c r="L1503">
        <f>IF(OR(B1503="",E1503=""),"",B1503+MOD(N(C1503),1)+ROW()/10000000)</f>
        <v/>
      </c>
      <c r="M1503">
        <f>IF(D1503="","",IFERROR(MATCH(D1503,Settings!$B$10:$B$18,0),""))</f>
        <v/>
      </c>
      <c r="N1503">
        <f>IF(OR(B1503="",E1503="",M1503=""),"",IF(AND(B1503&gt;=Settings!$C$6,B1503&lt;=Settings!$C$7),M1503*10000+E1503,""))</f>
        <v/>
      </c>
      <c r="O1503">
        <f>IF(OR(B1503="",E1503=""),"",B1503*10000+E1503)</f>
        <v/>
      </c>
      <c r="P1503">
        <f>IF(N1503="","",E1503)</f>
        <v/>
      </c>
    </row>
    <row r="1504">
      <c r="A1504" s="1" t="n"/>
      <c r="B1504" s="20" t="n"/>
      <c r="C1504" s="21" t="n"/>
      <c r="D1504" s="22" t="n"/>
      <c r="E1504" s="23" t="n"/>
      <c r="F1504" s="22" t="n"/>
      <c r="G1504" s="14">
        <f>IF(OR(B1504="",E1504="",J1504="",K1504=""),"",IF(E1504&lt;J1504,"Below",IF(E1504&gt;K1504,"Above","In range")))</f>
        <v/>
      </c>
      <c r="H1504" s="1" t="n"/>
      <c r="J1504">
        <f>IF(M1504="","",IF(INDEX(Settings!$C$10:$C$18,M1504)="","",INDEX(Settings!$C$10:$C$18,M1504)))</f>
        <v/>
      </c>
      <c r="K1504">
        <f>IF(M1504="","",IF(INDEX(Settings!$D$10:$D$18,M1504)="","",INDEX(Settings!$D$10:$D$18,M1504)))</f>
        <v/>
      </c>
      <c r="L1504">
        <f>IF(OR(B1504="",E1504=""),"",B1504+MOD(N(C1504),1)+ROW()/10000000)</f>
        <v/>
      </c>
      <c r="M1504">
        <f>IF(D1504="","",IFERROR(MATCH(D1504,Settings!$B$10:$B$18,0),""))</f>
        <v/>
      </c>
      <c r="N1504">
        <f>IF(OR(B1504="",E1504="",M1504=""),"",IF(AND(B1504&gt;=Settings!$C$6,B1504&lt;=Settings!$C$7),M1504*10000+E1504,""))</f>
        <v/>
      </c>
      <c r="O1504">
        <f>IF(OR(B1504="",E1504=""),"",B1504*10000+E1504)</f>
        <v/>
      </c>
      <c r="P1504">
        <f>IF(N1504="","",E1504)</f>
        <v/>
      </c>
    </row>
    <row r="1505">
      <c r="A1505" s="1" t="n"/>
      <c r="B1505" s="20" t="n"/>
      <c r="C1505" s="21" t="n"/>
      <c r="D1505" s="22" t="n"/>
      <c r="E1505" s="23" t="n"/>
      <c r="F1505" s="22" t="n"/>
      <c r="G1505" s="14">
        <f>IF(OR(B1505="",E1505="",J1505="",K1505=""),"",IF(E1505&lt;J1505,"Below",IF(E1505&gt;K1505,"Above","In range")))</f>
        <v/>
      </c>
      <c r="H1505" s="1" t="n"/>
      <c r="J1505">
        <f>IF(M1505="","",IF(INDEX(Settings!$C$10:$C$18,M1505)="","",INDEX(Settings!$C$10:$C$18,M1505)))</f>
        <v/>
      </c>
      <c r="K1505">
        <f>IF(M1505="","",IF(INDEX(Settings!$D$10:$D$18,M1505)="","",INDEX(Settings!$D$10:$D$18,M1505)))</f>
        <v/>
      </c>
      <c r="L1505">
        <f>IF(OR(B1505="",E1505=""),"",B1505+MOD(N(C1505),1)+ROW()/10000000)</f>
        <v/>
      </c>
      <c r="M1505">
        <f>IF(D1505="","",IFERROR(MATCH(D1505,Settings!$B$10:$B$18,0),""))</f>
        <v/>
      </c>
      <c r="N1505">
        <f>IF(OR(B1505="",E1505="",M1505=""),"",IF(AND(B1505&gt;=Settings!$C$6,B1505&lt;=Settings!$C$7),M1505*10000+E1505,""))</f>
        <v/>
      </c>
      <c r="O1505">
        <f>IF(OR(B1505="",E1505=""),"",B1505*10000+E1505)</f>
        <v/>
      </c>
      <c r="P1505">
        <f>IF(N1505="","",E1505)</f>
        <v/>
      </c>
    </row>
    <row r="1506">
      <c r="A1506" s="1" t="n"/>
      <c r="B1506" s="1" t="n"/>
      <c r="C1506" s="1" t="n"/>
      <c r="D1506" s="1" t="n"/>
      <c r="E1506" s="1" t="n"/>
      <c r="F1506" s="1" t="n"/>
      <c r="G1506" s="1" t="n"/>
      <c r="H1506" s="1" t="n"/>
    </row>
  </sheetData>
  <conditionalFormatting sqref="G6:G1505">
    <cfRule type="expression" priority="1" dxfId="5">
      <formula>G6="Below"</formula>
    </cfRule>
    <cfRule type="expression" priority="2" dxfId="3">
      <formula>G6="Above"</formula>
    </cfRule>
    <cfRule type="expression" priority="3" dxfId="2">
      <formula>G6="In range"</formula>
    </cfRule>
  </conditionalFormatting>
  <dataValidations count="1">
    <dataValidation sqref="D6:D1505" showDropDown="0" showInputMessage="0" showErrorMessage="1" allowBlank="1" type="list">
      <formula1>=Settings!$B$10:$B$18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12" customWidth="1" min="9" max="9"/>
    <col width="12" customWidth="1" min="10" max="10"/>
    <col width="24" customWidth="1" min="11" max="11"/>
    <col width="12" customWidth="1" min="12" max="12"/>
    <col width="9" customWidth="1" min="13" max="13"/>
    <col width="9" customWidth="1" min="14" max="14"/>
    <col width="9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2" customHeight="1">
      <c r="A2" s="1" t="n"/>
      <c r="B2" s="2" t="inlineStr">
        <is>
          <t>Medicines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1" t="n"/>
      <c r="B3" s="3" t="inlineStr">
        <is>
          <t>What you take and when. Up to four times a day. Tick them off on the Doses tab.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30" customHeight="1">
      <c r="A5" s="1" t="n"/>
      <c r="B5" s="11" t="inlineStr">
        <is>
          <t>Medicine</t>
        </is>
      </c>
      <c r="C5" s="11" t="inlineStr">
        <is>
          <t>Dose</t>
        </is>
      </c>
      <c r="D5" s="11" t="inlineStr">
        <is>
          <t>Time 1</t>
        </is>
      </c>
      <c r="E5" s="11" t="inlineStr">
        <is>
          <t>Time 2</t>
        </is>
      </c>
      <c r="F5" s="11" t="inlineStr">
        <is>
          <t>Time 3</t>
        </is>
      </c>
      <c r="G5" s="11" t="inlineStr">
        <is>
          <t>Time 4</t>
        </is>
      </c>
      <c r="H5" s="11" t="inlineStr">
        <is>
          <t>With food</t>
        </is>
      </c>
      <c r="I5" s="11" t="inlineStr">
        <is>
          <t>Started</t>
        </is>
      </c>
      <c r="J5" s="11" t="inlineStr">
        <is>
          <t>Stopped</t>
        </is>
      </c>
      <c r="K5" s="11" t="inlineStr">
        <is>
          <t>Notes</t>
        </is>
      </c>
      <c r="L5" s="11" t="inlineStr">
        <is>
          <t>Status</t>
        </is>
      </c>
      <c r="M5" s="11" t="inlineStr">
        <is>
          <t>A day</t>
        </is>
      </c>
      <c r="N5" s="11" t="inlineStr">
        <is>
          <t>Today</t>
        </is>
      </c>
      <c r="O5" s="11" t="inlineStr">
        <is>
          <t>Left</t>
        </is>
      </c>
      <c r="P5" s="1" t="n"/>
    </row>
    <row r="6">
      <c r="A6" s="1" t="n"/>
      <c r="B6" s="24" t="inlineStr">
        <is>
          <t>Tablet A</t>
        </is>
      </c>
      <c r="C6" s="22" t="inlineStr">
        <is>
          <t>1 tablet</t>
        </is>
      </c>
      <c r="D6" s="21" t="n">
        <v>0.3333333333333333</v>
      </c>
      <c r="E6" s="21" t="n">
        <v>0.8333333333333334</v>
      </c>
      <c r="F6" s="21" t="n"/>
      <c r="G6" s="21" t="n"/>
      <c r="H6" s="25" t="inlineStr">
        <is>
          <t>Yes</t>
        </is>
      </c>
      <c r="I6" s="26" t="n">
        <v>45717</v>
      </c>
      <c r="J6" s="26" t="n"/>
      <c r="K6" s="22" t="n"/>
      <c r="L6" s="14">
        <f>IF(B6="","",IF(AND(J6&lt;&gt;"",J6&lt;=TODAY()),"Stopped",IF(AND(I6&lt;&gt;"",I6&gt;TODAY()),"Not started","Taking")))</f>
        <v/>
      </c>
      <c r="M6" s="27">
        <f>IF(L6&lt;&gt;"Taking","",COUNT(D6:G6))</f>
        <v/>
      </c>
      <c r="N6" s="27">
        <f>IF(B6="","",COUNTIFS(Doses!$B$6:$B$2005,TODAY(),Doses!$D$6:$D$2005,B6))</f>
        <v/>
      </c>
      <c r="O6" s="13">
        <f>IF(L6&lt;&gt;"Taking","",MAX(0,M6-N6))</f>
        <v/>
      </c>
      <c r="P6" s="1">
        <f>IF(OR(L6&lt;&gt;"Taking",D6=""),"",MOD(D6,1)+(61)/10000000)</f>
        <v/>
      </c>
      <c r="Q6">
        <f>IF(OR(L6&lt;&gt;"Taking",E6=""),"",MOD(E6,1)+(62)/10000000)</f>
        <v/>
      </c>
      <c r="R6">
        <f>IF(OR(L6&lt;&gt;"Taking",F6=""),"",MOD(F6,1)+(63)/10000000)</f>
        <v/>
      </c>
      <c r="S6">
        <f>IF(OR(L6&lt;&gt;"Taking",G6=""),"",MOD(G6,1)+(64)/10000000)</f>
        <v/>
      </c>
      <c r="T6">
        <f>IF(D6="","",(D6&lt;&gt;"")*(N(D6)&lt;=N(D6))+(E6&lt;&gt;"")*(N(E6)&lt;=N(D6))+(F6&lt;&gt;"")*(N(F6)&lt;=N(D6))+(G6&lt;&gt;"")*(N(G6)&lt;=N(D6)))</f>
        <v/>
      </c>
      <c r="U6">
        <f>IF(E6="","",(D6&lt;&gt;"")*(N(D6)&lt;=N(E6))+(E6&lt;&gt;"")*(N(E6)&lt;=N(E6))+(F6&lt;&gt;"")*(N(F6)&lt;=N(E6))+(G6&lt;&gt;"")*(N(G6)&lt;=N(E6)))</f>
        <v/>
      </c>
      <c r="V6">
        <f>IF(F6="","",(D6&lt;&gt;"")*(N(D6)&lt;=N(F6))+(E6&lt;&gt;"")*(N(E6)&lt;=N(F6))+(F6&lt;&gt;"")*(N(F6)&lt;=N(F6))+(G6&lt;&gt;"")*(N(G6)&lt;=N(F6)))</f>
        <v/>
      </c>
      <c r="W6">
        <f>IF(G6="","",(D6&lt;&gt;"")*(N(D6)&lt;=N(G6))+(E6&lt;&gt;"")*(N(E6)&lt;=N(G6))+(F6&lt;&gt;"")*(N(F6)&lt;=N(G6))+(G6&lt;&gt;"")*(N(G6)&lt;=N(G6)))</f>
        <v/>
      </c>
      <c r="X6">
        <f>IF(L6="Taking",ROW(),"")</f>
        <v/>
      </c>
    </row>
    <row r="7">
      <c r="A7" s="1" t="n"/>
      <c r="B7" s="24" t="inlineStr">
        <is>
          <t>Tablet B</t>
        </is>
      </c>
      <c r="C7" s="22" t="inlineStr">
        <is>
          <t>1 tablet</t>
        </is>
      </c>
      <c r="D7" s="21" t="n">
        <v>0.3333333333333333</v>
      </c>
      <c r="E7" s="21" t="n"/>
      <c r="F7" s="21" t="n"/>
      <c r="G7" s="21" t="n"/>
      <c r="H7" s="25" t="inlineStr">
        <is>
          <t>Yes</t>
        </is>
      </c>
      <c r="I7" s="26" t="n">
        <v>46154</v>
      </c>
      <c r="J7" s="26" t="n"/>
      <c r="K7" s="22" t="n"/>
      <c r="L7" s="14">
        <f>IF(B7="","",IF(AND(J7&lt;&gt;"",J7&lt;=TODAY()),"Stopped",IF(AND(I7&lt;&gt;"",I7&gt;TODAY()),"Not started","Taking")))</f>
        <v/>
      </c>
      <c r="M7" s="27">
        <f>IF(L7&lt;&gt;"Taking","",COUNT(D7:G7))</f>
        <v/>
      </c>
      <c r="N7" s="27">
        <f>IF(B7="","",COUNTIFS(Doses!$B$6:$B$2005,TODAY(),Doses!$D$6:$D$2005,B7))</f>
        <v/>
      </c>
      <c r="O7" s="13">
        <f>IF(L7&lt;&gt;"Taking","",MAX(0,M7-N7))</f>
        <v/>
      </c>
      <c r="P7" s="1">
        <f>IF(OR(L7&lt;&gt;"Taking",D7=""),"",MOD(D7,1)+(71)/10000000)</f>
        <v/>
      </c>
      <c r="Q7">
        <f>IF(OR(L7&lt;&gt;"Taking",E7=""),"",MOD(E7,1)+(72)/10000000)</f>
        <v/>
      </c>
      <c r="R7">
        <f>IF(OR(L7&lt;&gt;"Taking",F7=""),"",MOD(F7,1)+(73)/10000000)</f>
        <v/>
      </c>
      <c r="S7">
        <f>IF(OR(L7&lt;&gt;"Taking",G7=""),"",MOD(G7,1)+(74)/10000000)</f>
        <v/>
      </c>
      <c r="T7">
        <f>IF(D7="","",(D7&lt;&gt;"")*(N(D7)&lt;=N(D7))+(E7&lt;&gt;"")*(N(E7)&lt;=N(D7))+(F7&lt;&gt;"")*(N(F7)&lt;=N(D7))+(G7&lt;&gt;"")*(N(G7)&lt;=N(D7)))</f>
        <v/>
      </c>
      <c r="U7">
        <f>IF(E7="","",(D7&lt;&gt;"")*(N(D7)&lt;=N(E7))+(E7&lt;&gt;"")*(N(E7)&lt;=N(E7))+(F7&lt;&gt;"")*(N(F7)&lt;=N(E7))+(G7&lt;&gt;"")*(N(G7)&lt;=N(E7)))</f>
        <v/>
      </c>
      <c r="V7">
        <f>IF(F7="","",(D7&lt;&gt;"")*(N(D7)&lt;=N(F7))+(E7&lt;&gt;"")*(N(E7)&lt;=N(F7))+(F7&lt;&gt;"")*(N(F7)&lt;=N(F7))+(G7&lt;&gt;"")*(N(G7)&lt;=N(F7)))</f>
        <v/>
      </c>
      <c r="W7">
        <f>IF(G7="","",(D7&lt;&gt;"")*(N(D7)&lt;=N(G7))+(E7&lt;&gt;"")*(N(E7)&lt;=N(G7))+(F7&lt;&gt;"")*(N(F7)&lt;=N(G7))+(G7&lt;&gt;"")*(N(G7)&lt;=N(G7)))</f>
        <v/>
      </c>
      <c r="X7">
        <f>IF(L7="Taking",ROW(),"")</f>
        <v/>
      </c>
    </row>
    <row r="8">
      <c r="A8" s="1" t="n"/>
      <c r="B8" s="24" t="inlineStr">
        <is>
          <t>Vitamin D</t>
        </is>
      </c>
      <c r="C8" s="22" t="inlineStr">
        <is>
          <t>1 capsule</t>
        </is>
      </c>
      <c r="D8" s="21" t="n">
        <v>0.3333333333333333</v>
      </c>
      <c r="E8" s="21" t="n"/>
      <c r="F8" s="21" t="n"/>
      <c r="G8" s="21" t="n"/>
      <c r="H8" s="25" t="n"/>
      <c r="I8" s="26" t="n">
        <v>46032</v>
      </c>
      <c r="J8" s="26" t="n"/>
      <c r="K8" s="22" t="inlineStr">
        <is>
          <t>Winter months</t>
        </is>
      </c>
      <c r="L8" s="14">
        <f>IF(B8="","",IF(AND(J8&lt;&gt;"",J8&lt;=TODAY()),"Stopped",IF(AND(I8&lt;&gt;"",I8&gt;TODAY()),"Not started","Taking")))</f>
        <v/>
      </c>
      <c r="M8" s="27">
        <f>IF(L8&lt;&gt;"Taking","",COUNT(D8:G8))</f>
        <v/>
      </c>
      <c r="N8" s="27">
        <f>IF(B8="","",COUNTIFS(Doses!$B$6:$B$2005,TODAY(),Doses!$D$6:$D$2005,B8))</f>
        <v/>
      </c>
      <c r="O8" s="13">
        <f>IF(L8&lt;&gt;"Taking","",MAX(0,M8-N8))</f>
        <v/>
      </c>
      <c r="P8" s="1">
        <f>IF(OR(L8&lt;&gt;"Taking",D8=""),"",MOD(D8,1)+(81)/10000000)</f>
        <v/>
      </c>
      <c r="Q8">
        <f>IF(OR(L8&lt;&gt;"Taking",E8=""),"",MOD(E8,1)+(82)/10000000)</f>
        <v/>
      </c>
      <c r="R8">
        <f>IF(OR(L8&lt;&gt;"Taking",F8=""),"",MOD(F8,1)+(83)/10000000)</f>
        <v/>
      </c>
      <c r="S8">
        <f>IF(OR(L8&lt;&gt;"Taking",G8=""),"",MOD(G8,1)+(84)/10000000)</f>
        <v/>
      </c>
      <c r="T8">
        <f>IF(D8="","",(D8&lt;&gt;"")*(N(D8)&lt;=N(D8))+(E8&lt;&gt;"")*(N(E8)&lt;=N(D8))+(F8&lt;&gt;"")*(N(F8)&lt;=N(D8))+(G8&lt;&gt;"")*(N(G8)&lt;=N(D8)))</f>
        <v/>
      </c>
      <c r="U8">
        <f>IF(E8="","",(D8&lt;&gt;"")*(N(D8)&lt;=N(E8))+(E8&lt;&gt;"")*(N(E8)&lt;=N(E8))+(F8&lt;&gt;"")*(N(F8)&lt;=N(E8))+(G8&lt;&gt;"")*(N(G8)&lt;=N(E8)))</f>
        <v/>
      </c>
      <c r="V8">
        <f>IF(F8="","",(D8&lt;&gt;"")*(N(D8)&lt;=N(F8))+(E8&lt;&gt;"")*(N(E8)&lt;=N(F8))+(F8&lt;&gt;"")*(N(F8)&lt;=N(F8))+(G8&lt;&gt;"")*(N(G8)&lt;=N(F8)))</f>
        <v/>
      </c>
      <c r="W8">
        <f>IF(G8="","",(D8&lt;&gt;"")*(N(D8)&lt;=N(G8))+(E8&lt;&gt;"")*(N(E8)&lt;=N(G8))+(F8&lt;&gt;"")*(N(F8)&lt;=N(G8))+(G8&lt;&gt;"")*(N(G8)&lt;=N(G8)))</f>
        <v/>
      </c>
      <c r="X8">
        <f>IF(L8="Taking",ROW(),"")</f>
        <v/>
      </c>
    </row>
    <row r="9">
      <c r="A9" s="1" t="n"/>
      <c r="B9" s="24" t="inlineStr">
        <is>
          <t>Tablet C</t>
        </is>
      </c>
      <c r="C9" s="22" t="inlineStr">
        <is>
          <t>1 tablet</t>
        </is>
      </c>
      <c r="D9" s="21" t="n">
        <v>0.9166666666666666</v>
      </c>
      <c r="E9" s="21" t="n"/>
      <c r="F9" s="21" t="n"/>
      <c r="G9" s="21" t="n"/>
      <c r="H9" s="25" t="n"/>
      <c r="I9" s="26" t="n">
        <v>45901</v>
      </c>
      <c r="J9" s="26" t="n"/>
      <c r="K9" s="22" t="n"/>
      <c r="L9" s="14">
        <f>IF(B9="","",IF(AND(J9&lt;&gt;"",J9&lt;=TODAY()),"Stopped",IF(AND(I9&lt;&gt;"",I9&gt;TODAY()),"Not started","Taking")))</f>
        <v/>
      </c>
      <c r="M9" s="27">
        <f>IF(L9&lt;&gt;"Taking","",COUNT(D9:G9))</f>
        <v/>
      </c>
      <c r="N9" s="27">
        <f>IF(B9="","",COUNTIFS(Doses!$B$6:$B$2005,TODAY(),Doses!$D$6:$D$2005,B9))</f>
        <v/>
      </c>
      <c r="O9" s="13">
        <f>IF(L9&lt;&gt;"Taking","",MAX(0,M9-N9))</f>
        <v/>
      </c>
      <c r="P9" s="1">
        <f>IF(OR(L9&lt;&gt;"Taking",D9=""),"",MOD(D9,1)+(91)/10000000)</f>
        <v/>
      </c>
      <c r="Q9">
        <f>IF(OR(L9&lt;&gt;"Taking",E9=""),"",MOD(E9,1)+(92)/10000000)</f>
        <v/>
      </c>
      <c r="R9">
        <f>IF(OR(L9&lt;&gt;"Taking",F9=""),"",MOD(F9,1)+(93)/10000000)</f>
        <v/>
      </c>
      <c r="S9">
        <f>IF(OR(L9&lt;&gt;"Taking",G9=""),"",MOD(G9,1)+(94)/10000000)</f>
        <v/>
      </c>
      <c r="T9">
        <f>IF(D9="","",(D9&lt;&gt;"")*(N(D9)&lt;=N(D9))+(E9&lt;&gt;"")*(N(E9)&lt;=N(D9))+(F9&lt;&gt;"")*(N(F9)&lt;=N(D9))+(G9&lt;&gt;"")*(N(G9)&lt;=N(D9)))</f>
        <v/>
      </c>
      <c r="U9">
        <f>IF(E9="","",(D9&lt;&gt;"")*(N(D9)&lt;=N(E9))+(E9&lt;&gt;"")*(N(E9)&lt;=N(E9))+(F9&lt;&gt;"")*(N(F9)&lt;=N(E9))+(G9&lt;&gt;"")*(N(G9)&lt;=N(E9)))</f>
        <v/>
      </c>
      <c r="V9">
        <f>IF(F9="","",(D9&lt;&gt;"")*(N(D9)&lt;=N(F9))+(E9&lt;&gt;"")*(N(E9)&lt;=N(F9))+(F9&lt;&gt;"")*(N(F9)&lt;=N(F9))+(G9&lt;&gt;"")*(N(G9)&lt;=N(F9)))</f>
        <v/>
      </c>
      <c r="W9">
        <f>IF(G9="","",(D9&lt;&gt;"")*(N(D9)&lt;=N(G9))+(E9&lt;&gt;"")*(N(E9)&lt;=N(G9))+(F9&lt;&gt;"")*(N(F9)&lt;=N(G9))+(G9&lt;&gt;"")*(N(G9)&lt;=N(G9)))</f>
        <v/>
      </c>
      <c r="X9">
        <f>IF(L9="Taking",ROW(),"")</f>
        <v/>
      </c>
    </row>
    <row r="10">
      <c r="A10" s="1" t="n"/>
      <c r="B10" s="24" t="inlineStr">
        <is>
          <t>Old tablet</t>
        </is>
      </c>
      <c r="C10" s="22" t="inlineStr">
        <is>
          <t>1 tablet</t>
        </is>
      </c>
      <c r="D10" s="21" t="n">
        <v>0.5</v>
      </c>
      <c r="E10" s="21" t="n"/>
      <c r="F10" s="21" t="n"/>
      <c r="G10" s="21" t="n"/>
      <c r="H10" s="25" t="inlineStr">
        <is>
          <t>Yes</t>
        </is>
      </c>
      <c r="I10" s="26" t="n">
        <v>45717</v>
      </c>
      <c r="J10" s="26" t="n">
        <v>46279</v>
      </c>
      <c r="K10" s="22" t="inlineStr">
        <is>
          <t>Stopped at the last check-up</t>
        </is>
      </c>
      <c r="L10" s="14">
        <f>IF(B10="","",IF(AND(J10&lt;&gt;"",J10&lt;=TODAY()),"Stopped",IF(AND(I10&lt;&gt;"",I10&gt;TODAY()),"Not started","Taking")))</f>
        <v/>
      </c>
      <c r="M10" s="27">
        <f>IF(L10&lt;&gt;"Taking","",COUNT(D10:G10))</f>
        <v/>
      </c>
      <c r="N10" s="27">
        <f>IF(B10="","",COUNTIFS(Doses!$B$6:$B$2005,TODAY(),Doses!$D$6:$D$2005,B10))</f>
        <v/>
      </c>
      <c r="O10" s="13">
        <f>IF(L10&lt;&gt;"Taking","",MAX(0,M10-N10))</f>
        <v/>
      </c>
      <c r="P10" s="1">
        <f>IF(OR(L10&lt;&gt;"Taking",D10=""),"",MOD(D10,1)+(101)/10000000)</f>
        <v/>
      </c>
      <c r="Q10">
        <f>IF(OR(L10&lt;&gt;"Taking",E10=""),"",MOD(E10,1)+(102)/10000000)</f>
        <v/>
      </c>
      <c r="R10">
        <f>IF(OR(L10&lt;&gt;"Taking",F10=""),"",MOD(F10,1)+(103)/10000000)</f>
        <v/>
      </c>
      <c r="S10">
        <f>IF(OR(L10&lt;&gt;"Taking",G10=""),"",MOD(G10,1)+(104)/10000000)</f>
        <v/>
      </c>
      <c r="T10">
        <f>IF(D10="","",(D10&lt;&gt;"")*(N(D10)&lt;=N(D10))+(E10&lt;&gt;"")*(N(E10)&lt;=N(D10))+(F10&lt;&gt;"")*(N(F10)&lt;=N(D10))+(G10&lt;&gt;"")*(N(G10)&lt;=N(D10)))</f>
        <v/>
      </c>
      <c r="U10">
        <f>IF(E10="","",(D10&lt;&gt;"")*(N(D10)&lt;=N(E10))+(E10&lt;&gt;"")*(N(E10)&lt;=N(E10))+(F10&lt;&gt;"")*(N(F10)&lt;=N(E10))+(G10&lt;&gt;"")*(N(G10)&lt;=N(E10)))</f>
        <v/>
      </c>
      <c r="V10">
        <f>IF(F10="","",(D10&lt;&gt;"")*(N(D10)&lt;=N(F10))+(E10&lt;&gt;"")*(N(E10)&lt;=N(F10))+(F10&lt;&gt;"")*(N(F10)&lt;=N(F10))+(G10&lt;&gt;"")*(N(G10)&lt;=N(F10)))</f>
        <v/>
      </c>
      <c r="W10">
        <f>IF(G10="","",(D10&lt;&gt;"")*(N(D10)&lt;=N(G10))+(E10&lt;&gt;"")*(N(E10)&lt;=N(G10))+(F10&lt;&gt;"")*(N(F10)&lt;=N(G10))+(G10&lt;&gt;"")*(N(G10)&lt;=N(G10)))</f>
        <v/>
      </c>
      <c r="X10">
        <f>IF(L10="Taking",ROW(),"")</f>
        <v/>
      </c>
    </row>
    <row r="11">
      <c r="A11" s="1" t="n"/>
      <c r="B11" s="24" t="n"/>
      <c r="C11" s="22" t="n"/>
      <c r="D11" s="21" t="n"/>
      <c r="E11" s="21" t="n"/>
      <c r="F11" s="21" t="n"/>
      <c r="G11" s="21" t="n"/>
      <c r="H11" s="25" t="n"/>
      <c r="I11" s="26" t="n"/>
      <c r="J11" s="26" t="n"/>
      <c r="K11" s="22" t="n"/>
      <c r="L11" s="14">
        <f>IF(B11="","",IF(AND(J11&lt;&gt;"",J11&lt;=TODAY()),"Stopped",IF(AND(I11&lt;&gt;"",I11&gt;TODAY()),"Not started","Taking")))</f>
        <v/>
      </c>
      <c r="M11" s="27">
        <f>IF(L11&lt;&gt;"Taking","",COUNT(D11:G11))</f>
        <v/>
      </c>
      <c r="N11" s="27">
        <f>IF(B11="","",COUNTIFS(Doses!$B$6:$B$2005,TODAY(),Doses!$D$6:$D$2005,B11))</f>
        <v/>
      </c>
      <c r="O11" s="13">
        <f>IF(L11&lt;&gt;"Taking","",MAX(0,M11-N11))</f>
        <v/>
      </c>
      <c r="P11" s="1">
        <f>IF(OR(L11&lt;&gt;"Taking",D11=""),"",MOD(D11,1)+(111)/10000000)</f>
        <v/>
      </c>
      <c r="Q11">
        <f>IF(OR(L11&lt;&gt;"Taking",E11=""),"",MOD(E11,1)+(112)/10000000)</f>
        <v/>
      </c>
      <c r="R11">
        <f>IF(OR(L11&lt;&gt;"Taking",F11=""),"",MOD(F11,1)+(113)/10000000)</f>
        <v/>
      </c>
      <c r="S11">
        <f>IF(OR(L11&lt;&gt;"Taking",G11=""),"",MOD(G11,1)+(114)/10000000)</f>
        <v/>
      </c>
      <c r="T11">
        <f>IF(D11="","",(D11&lt;&gt;"")*(N(D11)&lt;=N(D11))+(E11&lt;&gt;"")*(N(E11)&lt;=N(D11))+(F11&lt;&gt;"")*(N(F11)&lt;=N(D11))+(G11&lt;&gt;"")*(N(G11)&lt;=N(D11)))</f>
        <v/>
      </c>
      <c r="U11">
        <f>IF(E11="","",(D11&lt;&gt;"")*(N(D11)&lt;=N(E11))+(E11&lt;&gt;"")*(N(E11)&lt;=N(E11))+(F11&lt;&gt;"")*(N(F11)&lt;=N(E11))+(G11&lt;&gt;"")*(N(G11)&lt;=N(E11)))</f>
        <v/>
      </c>
      <c r="V11">
        <f>IF(F11="","",(D11&lt;&gt;"")*(N(D11)&lt;=N(F11))+(E11&lt;&gt;"")*(N(E11)&lt;=N(F11))+(F11&lt;&gt;"")*(N(F11)&lt;=N(F11))+(G11&lt;&gt;"")*(N(G11)&lt;=N(F11)))</f>
        <v/>
      </c>
      <c r="W11">
        <f>IF(G11="","",(D11&lt;&gt;"")*(N(D11)&lt;=N(G11))+(E11&lt;&gt;"")*(N(E11)&lt;=N(G11))+(F11&lt;&gt;"")*(N(F11)&lt;=N(G11))+(G11&lt;&gt;"")*(N(G11)&lt;=N(G11)))</f>
        <v/>
      </c>
      <c r="X11">
        <f>IF(L11="Taking",ROW(),"")</f>
        <v/>
      </c>
    </row>
    <row r="12">
      <c r="A12" s="1" t="n"/>
      <c r="B12" s="24" t="n"/>
      <c r="C12" s="22" t="n"/>
      <c r="D12" s="21" t="n"/>
      <c r="E12" s="21" t="n"/>
      <c r="F12" s="21" t="n"/>
      <c r="G12" s="21" t="n"/>
      <c r="H12" s="25" t="n"/>
      <c r="I12" s="26" t="n"/>
      <c r="J12" s="26" t="n"/>
      <c r="K12" s="22" t="n"/>
      <c r="L12" s="14">
        <f>IF(B12="","",IF(AND(J12&lt;&gt;"",J12&lt;=TODAY()),"Stopped",IF(AND(I12&lt;&gt;"",I12&gt;TODAY()),"Not started","Taking")))</f>
        <v/>
      </c>
      <c r="M12" s="27">
        <f>IF(L12&lt;&gt;"Taking","",COUNT(D12:G12))</f>
        <v/>
      </c>
      <c r="N12" s="27">
        <f>IF(B12="","",COUNTIFS(Doses!$B$6:$B$2005,TODAY(),Doses!$D$6:$D$2005,B12))</f>
        <v/>
      </c>
      <c r="O12" s="13">
        <f>IF(L12&lt;&gt;"Taking","",MAX(0,M12-N12))</f>
        <v/>
      </c>
      <c r="P12" s="1">
        <f>IF(OR(L12&lt;&gt;"Taking",D12=""),"",MOD(D12,1)+(121)/10000000)</f>
        <v/>
      </c>
      <c r="Q12">
        <f>IF(OR(L12&lt;&gt;"Taking",E12=""),"",MOD(E12,1)+(122)/10000000)</f>
        <v/>
      </c>
      <c r="R12">
        <f>IF(OR(L12&lt;&gt;"Taking",F12=""),"",MOD(F12,1)+(123)/10000000)</f>
        <v/>
      </c>
      <c r="S12">
        <f>IF(OR(L12&lt;&gt;"Taking",G12=""),"",MOD(G12,1)+(124)/10000000)</f>
        <v/>
      </c>
      <c r="T12">
        <f>IF(D12="","",(D12&lt;&gt;"")*(N(D12)&lt;=N(D12))+(E12&lt;&gt;"")*(N(E12)&lt;=N(D12))+(F12&lt;&gt;"")*(N(F12)&lt;=N(D12))+(G12&lt;&gt;"")*(N(G12)&lt;=N(D12)))</f>
        <v/>
      </c>
      <c r="U12">
        <f>IF(E12="","",(D12&lt;&gt;"")*(N(D12)&lt;=N(E12))+(E12&lt;&gt;"")*(N(E12)&lt;=N(E12))+(F12&lt;&gt;"")*(N(F12)&lt;=N(E12))+(G12&lt;&gt;"")*(N(G12)&lt;=N(E12)))</f>
        <v/>
      </c>
      <c r="V12">
        <f>IF(F12="","",(D12&lt;&gt;"")*(N(D12)&lt;=N(F12))+(E12&lt;&gt;"")*(N(E12)&lt;=N(F12))+(F12&lt;&gt;"")*(N(F12)&lt;=N(F12))+(G12&lt;&gt;"")*(N(G12)&lt;=N(F12)))</f>
        <v/>
      </c>
      <c r="W12">
        <f>IF(G12="","",(D12&lt;&gt;"")*(N(D12)&lt;=N(G12))+(E12&lt;&gt;"")*(N(E12)&lt;=N(G12))+(F12&lt;&gt;"")*(N(F12)&lt;=N(G12))+(G12&lt;&gt;"")*(N(G12)&lt;=N(G12)))</f>
        <v/>
      </c>
      <c r="X12">
        <f>IF(L12="Taking",ROW(),"")</f>
        <v/>
      </c>
    </row>
    <row r="13">
      <c r="A13" s="1" t="n"/>
      <c r="B13" s="24" t="n"/>
      <c r="C13" s="22" t="n"/>
      <c r="D13" s="21" t="n"/>
      <c r="E13" s="21" t="n"/>
      <c r="F13" s="21" t="n"/>
      <c r="G13" s="21" t="n"/>
      <c r="H13" s="25" t="n"/>
      <c r="I13" s="26" t="n"/>
      <c r="J13" s="26" t="n"/>
      <c r="K13" s="22" t="n"/>
      <c r="L13" s="14">
        <f>IF(B13="","",IF(AND(J13&lt;&gt;"",J13&lt;=TODAY()),"Stopped",IF(AND(I13&lt;&gt;"",I13&gt;TODAY()),"Not started","Taking")))</f>
        <v/>
      </c>
      <c r="M13" s="27">
        <f>IF(L13&lt;&gt;"Taking","",COUNT(D13:G13))</f>
        <v/>
      </c>
      <c r="N13" s="27">
        <f>IF(B13="","",COUNTIFS(Doses!$B$6:$B$2005,TODAY(),Doses!$D$6:$D$2005,B13))</f>
        <v/>
      </c>
      <c r="O13" s="13">
        <f>IF(L13&lt;&gt;"Taking","",MAX(0,M13-N13))</f>
        <v/>
      </c>
      <c r="P13" s="1">
        <f>IF(OR(L13&lt;&gt;"Taking",D13=""),"",MOD(D13,1)+(131)/10000000)</f>
        <v/>
      </c>
      <c r="Q13">
        <f>IF(OR(L13&lt;&gt;"Taking",E13=""),"",MOD(E13,1)+(132)/10000000)</f>
        <v/>
      </c>
      <c r="R13">
        <f>IF(OR(L13&lt;&gt;"Taking",F13=""),"",MOD(F13,1)+(133)/10000000)</f>
        <v/>
      </c>
      <c r="S13">
        <f>IF(OR(L13&lt;&gt;"Taking",G13=""),"",MOD(G13,1)+(134)/10000000)</f>
        <v/>
      </c>
      <c r="T13">
        <f>IF(D13="","",(D13&lt;&gt;"")*(N(D13)&lt;=N(D13))+(E13&lt;&gt;"")*(N(E13)&lt;=N(D13))+(F13&lt;&gt;"")*(N(F13)&lt;=N(D13))+(G13&lt;&gt;"")*(N(G13)&lt;=N(D13)))</f>
        <v/>
      </c>
      <c r="U13">
        <f>IF(E13="","",(D13&lt;&gt;"")*(N(D13)&lt;=N(E13))+(E13&lt;&gt;"")*(N(E13)&lt;=N(E13))+(F13&lt;&gt;"")*(N(F13)&lt;=N(E13))+(G13&lt;&gt;"")*(N(G13)&lt;=N(E13)))</f>
        <v/>
      </c>
      <c r="V13">
        <f>IF(F13="","",(D13&lt;&gt;"")*(N(D13)&lt;=N(F13))+(E13&lt;&gt;"")*(N(E13)&lt;=N(F13))+(F13&lt;&gt;"")*(N(F13)&lt;=N(F13))+(G13&lt;&gt;"")*(N(G13)&lt;=N(F13)))</f>
        <v/>
      </c>
      <c r="W13">
        <f>IF(G13="","",(D13&lt;&gt;"")*(N(D13)&lt;=N(G13))+(E13&lt;&gt;"")*(N(E13)&lt;=N(G13))+(F13&lt;&gt;"")*(N(F13)&lt;=N(G13))+(G13&lt;&gt;"")*(N(G13)&lt;=N(G13)))</f>
        <v/>
      </c>
      <c r="X13">
        <f>IF(L13="Taking",ROW(),"")</f>
        <v/>
      </c>
    </row>
    <row r="14">
      <c r="A14" s="1" t="n"/>
      <c r="B14" s="24" t="n"/>
      <c r="C14" s="22" t="n"/>
      <c r="D14" s="21" t="n"/>
      <c r="E14" s="21" t="n"/>
      <c r="F14" s="21" t="n"/>
      <c r="G14" s="21" t="n"/>
      <c r="H14" s="25" t="n"/>
      <c r="I14" s="26" t="n"/>
      <c r="J14" s="26" t="n"/>
      <c r="K14" s="22" t="n"/>
      <c r="L14" s="14">
        <f>IF(B14="","",IF(AND(J14&lt;&gt;"",J14&lt;=TODAY()),"Stopped",IF(AND(I14&lt;&gt;"",I14&gt;TODAY()),"Not started","Taking")))</f>
        <v/>
      </c>
      <c r="M14" s="27">
        <f>IF(L14&lt;&gt;"Taking","",COUNT(D14:G14))</f>
        <v/>
      </c>
      <c r="N14" s="27">
        <f>IF(B14="","",COUNTIFS(Doses!$B$6:$B$2005,TODAY(),Doses!$D$6:$D$2005,B14))</f>
        <v/>
      </c>
      <c r="O14" s="13">
        <f>IF(L14&lt;&gt;"Taking","",MAX(0,M14-N14))</f>
        <v/>
      </c>
      <c r="P14" s="1">
        <f>IF(OR(L14&lt;&gt;"Taking",D14=""),"",MOD(D14,1)+(141)/10000000)</f>
        <v/>
      </c>
      <c r="Q14">
        <f>IF(OR(L14&lt;&gt;"Taking",E14=""),"",MOD(E14,1)+(142)/10000000)</f>
        <v/>
      </c>
      <c r="R14">
        <f>IF(OR(L14&lt;&gt;"Taking",F14=""),"",MOD(F14,1)+(143)/10000000)</f>
        <v/>
      </c>
      <c r="S14">
        <f>IF(OR(L14&lt;&gt;"Taking",G14=""),"",MOD(G14,1)+(144)/10000000)</f>
        <v/>
      </c>
      <c r="T14">
        <f>IF(D14="","",(D14&lt;&gt;"")*(N(D14)&lt;=N(D14))+(E14&lt;&gt;"")*(N(E14)&lt;=N(D14))+(F14&lt;&gt;"")*(N(F14)&lt;=N(D14))+(G14&lt;&gt;"")*(N(G14)&lt;=N(D14)))</f>
        <v/>
      </c>
      <c r="U14">
        <f>IF(E14="","",(D14&lt;&gt;"")*(N(D14)&lt;=N(E14))+(E14&lt;&gt;"")*(N(E14)&lt;=N(E14))+(F14&lt;&gt;"")*(N(F14)&lt;=N(E14))+(G14&lt;&gt;"")*(N(G14)&lt;=N(E14)))</f>
        <v/>
      </c>
      <c r="V14">
        <f>IF(F14="","",(D14&lt;&gt;"")*(N(D14)&lt;=N(F14))+(E14&lt;&gt;"")*(N(E14)&lt;=N(F14))+(F14&lt;&gt;"")*(N(F14)&lt;=N(F14))+(G14&lt;&gt;"")*(N(G14)&lt;=N(F14)))</f>
        <v/>
      </c>
      <c r="W14">
        <f>IF(G14="","",(D14&lt;&gt;"")*(N(D14)&lt;=N(G14))+(E14&lt;&gt;"")*(N(E14)&lt;=N(G14))+(F14&lt;&gt;"")*(N(F14)&lt;=N(G14))+(G14&lt;&gt;"")*(N(G14)&lt;=N(G14)))</f>
        <v/>
      </c>
      <c r="X14">
        <f>IF(L14="Taking",ROW(),"")</f>
        <v/>
      </c>
    </row>
    <row r="15">
      <c r="A15" s="1" t="n"/>
      <c r="B15" s="24" t="n"/>
      <c r="C15" s="22" t="n"/>
      <c r="D15" s="21" t="n"/>
      <c r="E15" s="21" t="n"/>
      <c r="F15" s="21" t="n"/>
      <c r="G15" s="21" t="n"/>
      <c r="H15" s="25" t="n"/>
      <c r="I15" s="26" t="n"/>
      <c r="J15" s="26" t="n"/>
      <c r="K15" s="22" t="n"/>
      <c r="L15" s="14">
        <f>IF(B15="","",IF(AND(J15&lt;&gt;"",J15&lt;=TODAY()),"Stopped",IF(AND(I15&lt;&gt;"",I15&gt;TODAY()),"Not started","Taking")))</f>
        <v/>
      </c>
      <c r="M15" s="27">
        <f>IF(L15&lt;&gt;"Taking","",COUNT(D15:G15))</f>
        <v/>
      </c>
      <c r="N15" s="27">
        <f>IF(B15="","",COUNTIFS(Doses!$B$6:$B$2005,TODAY(),Doses!$D$6:$D$2005,B15))</f>
        <v/>
      </c>
      <c r="O15" s="13">
        <f>IF(L15&lt;&gt;"Taking","",MAX(0,M15-N15))</f>
        <v/>
      </c>
      <c r="P15" s="1">
        <f>IF(OR(L15&lt;&gt;"Taking",D15=""),"",MOD(D15,1)+(151)/10000000)</f>
        <v/>
      </c>
      <c r="Q15">
        <f>IF(OR(L15&lt;&gt;"Taking",E15=""),"",MOD(E15,1)+(152)/10000000)</f>
        <v/>
      </c>
      <c r="R15">
        <f>IF(OR(L15&lt;&gt;"Taking",F15=""),"",MOD(F15,1)+(153)/10000000)</f>
        <v/>
      </c>
      <c r="S15">
        <f>IF(OR(L15&lt;&gt;"Taking",G15=""),"",MOD(G15,1)+(154)/10000000)</f>
        <v/>
      </c>
      <c r="T15">
        <f>IF(D15="","",(D15&lt;&gt;"")*(N(D15)&lt;=N(D15))+(E15&lt;&gt;"")*(N(E15)&lt;=N(D15))+(F15&lt;&gt;"")*(N(F15)&lt;=N(D15))+(G15&lt;&gt;"")*(N(G15)&lt;=N(D15)))</f>
        <v/>
      </c>
      <c r="U15">
        <f>IF(E15="","",(D15&lt;&gt;"")*(N(D15)&lt;=N(E15))+(E15&lt;&gt;"")*(N(E15)&lt;=N(E15))+(F15&lt;&gt;"")*(N(F15)&lt;=N(E15))+(G15&lt;&gt;"")*(N(G15)&lt;=N(E15)))</f>
        <v/>
      </c>
      <c r="V15">
        <f>IF(F15="","",(D15&lt;&gt;"")*(N(D15)&lt;=N(F15))+(E15&lt;&gt;"")*(N(E15)&lt;=N(F15))+(F15&lt;&gt;"")*(N(F15)&lt;=N(F15))+(G15&lt;&gt;"")*(N(G15)&lt;=N(F15)))</f>
        <v/>
      </c>
      <c r="W15">
        <f>IF(G15="","",(D15&lt;&gt;"")*(N(D15)&lt;=N(G15))+(E15&lt;&gt;"")*(N(E15)&lt;=N(G15))+(F15&lt;&gt;"")*(N(F15)&lt;=N(G15))+(G15&lt;&gt;"")*(N(G15)&lt;=N(G15)))</f>
        <v/>
      </c>
      <c r="X15">
        <f>IF(L15="Taking",ROW(),"")</f>
        <v/>
      </c>
    </row>
    <row r="16">
      <c r="A16" s="1" t="n"/>
      <c r="B16" s="24" t="n"/>
      <c r="C16" s="22" t="n"/>
      <c r="D16" s="21" t="n"/>
      <c r="E16" s="21" t="n"/>
      <c r="F16" s="21" t="n"/>
      <c r="G16" s="21" t="n"/>
      <c r="H16" s="25" t="n"/>
      <c r="I16" s="26" t="n"/>
      <c r="J16" s="26" t="n"/>
      <c r="K16" s="22" t="n"/>
      <c r="L16" s="14">
        <f>IF(B16="","",IF(AND(J16&lt;&gt;"",J16&lt;=TODAY()),"Stopped",IF(AND(I16&lt;&gt;"",I16&gt;TODAY()),"Not started","Taking")))</f>
        <v/>
      </c>
      <c r="M16" s="27">
        <f>IF(L16&lt;&gt;"Taking","",COUNT(D16:G16))</f>
        <v/>
      </c>
      <c r="N16" s="27">
        <f>IF(B16="","",COUNTIFS(Doses!$B$6:$B$2005,TODAY(),Doses!$D$6:$D$2005,B16))</f>
        <v/>
      </c>
      <c r="O16" s="13">
        <f>IF(L16&lt;&gt;"Taking","",MAX(0,M16-N16))</f>
        <v/>
      </c>
      <c r="P16" s="1">
        <f>IF(OR(L16&lt;&gt;"Taking",D16=""),"",MOD(D16,1)+(161)/10000000)</f>
        <v/>
      </c>
      <c r="Q16">
        <f>IF(OR(L16&lt;&gt;"Taking",E16=""),"",MOD(E16,1)+(162)/10000000)</f>
        <v/>
      </c>
      <c r="R16">
        <f>IF(OR(L16&lt;&gt;"Taking",F16=""),"",MOD(F16,1)+(163)/10000000)</f>
        <v/>
      </c>
      <c r="S16">
        <f>IF(OR(L16&lt;&gt;"Taking",G16=""),"",MOD(G16,1)+(164)/10000000)</f>
        <v/>
      </c>
      <c r="T16">
        <f>IF(D16="","",(D16&lt;&gt;"")*(N(D16)&lt;=N(D16))+(E16&lt;&gt;"")*(N(E16)&lt;=N(D16))+(F16&lt;&gt;"")*(N(F16)&lt;=N(D16))+(G16&lt;&gt;"")*(N(G16)&lt;=N(D16)))</f>
        <v/>
      </c>
      <c r="U16">
        <f>IF(E16="","",(D16&lt;&gt;"")*(N(D16)&lt;=N(E16))+(E16&lt;&gt;"")*(N(E16)&lt;=N(E16))+(F16&lt;&gt;"")*(N(F16)&lt;=N(E16))+(G16&lt;&gt;"")*(N(G16)&lt;=N(E16)))</f>
        <v/>
      </c>
      <c r="V16">
        <f>IF(F16="","",(D16&lt;&gt;"")*(N(D16)&lt;=N(F16))+(E16&lt;&gt;"")*(N(E16)&lt;=N(F16))+(F16&lt;&gt;"")*(N(F16)&lt;=N(F16))+(G16&lt;&gt;"")*(N(G16)&lt;=N(F16)))</f>
        <v/>
      </c>
      <c r="W16">
        <f>IF(G16="","",(D16&lt;&gt;"")*(N(D16)&lt;=N(G16))+(E16&lt;&gt;"")*(N(E16)&lt;=N(G16))+(F16&lt;&gt;"")*(N(F16)&lt;=N(G16))+(G16&lt;&gt;"")*(N(G16)&lt;=N(G16)))</f>
        <v/>
      </c>
      <c r="X16">
        <f>IF(L16="Taking",ROW(),"")</f>
        <v/>
      </c>
    </row>
    <row r="17">
      <c r="A17" s="1" t="n"/>
      <c r="B17" s="24" t="n"/>
      <c r="C17" s="22" t="n"/>
      <c r="D17" s="21" t="n"/>
      <c r="E17" s="21" t="n"/>
      <c r="F17" s="21" t="n"/>
      <c r="G17" s="21" t="n"/>
      <c r="H17" s="25" t="n"/>
      <c r="I17" s="26" t="n"/>
      <c r="J17" s="26" t="n"/>
      <c r="K17" s="22" t="n"/>
      <c r="L17" s="14">
        <f>IF(B17="","",IF(AND(J17&lt;&gt;"",J17&lt;=TODAY()),"Stopped",IF(AND(I17&lt;&gt;"",I17&gt;TODAY()),"Not started","Taking")))</f>
        <v/>
      </c>
      <c r="M17" s="27">
        <f>IF(L17&lt;&gt;"Taking","",COUNT(D17:G17))</f>
        <v/>
      </c>
      <c r="N17" s="27">
        <f>IF(B17="","",COUNTIFS(Doses!$B$6:$B$2005,TODAY(),Doses!$D$6:$D$2005,B17))</f>
        <v/>
      </c>
      <c r="O17" s="13">
        <f>IF(L17&lt;&gt;"Taking","",MAX(0,M17-N17))</f>
        <v/>
      </c>
      <c r="P17" s="1">
        <f>IF(OR(L17&lt;&gt;"Taking",D17=""),"",MOD(D17,1)+(171)/10000000)</f>
        <v/>
      </c>
      <c r="Q17">
        <f>IF(OR(L17&lt;&gt;"Taking",E17=""),"",MOD(E17,1)+(172)/10000000)</f>
        <v/>
      </c>
      <c r="R17">
        <f>IF(OR(L17&lt;&gt;"Taking",F17=""),"",MOD(F17,1)+(173)/10000000)</f>
        <v/>
      </c>
      <c r="S17">
        <f>IF(OR(L17&lt;&gt;"Taking",G17=""),"",MOD(G17,1)+(174)/10000000)</f>
        <v/>
      </c>
      <c r="T17">
        <f>IF(D17="","",(D17&lt;&gt;"")*(N(D17)&lt;=N(D17))+(E17&lt;&gt;"")*(N(E17)&lt;=N(D17))+(F17&lt;&gt;"")*(N(F17)&lt;=N(D17))+(G17&lt;&gt;"")*(N(G17)&lt;=N(D17)))</f>
        <v/>
      </c>
      <c r="U17">
        <f>IF(E17="","",(D17&lt;&gt;"")*(N(D17)&lt;=N(E17))+(E17&lt;&gt;"")*(N(E17)&lt;=N(E17))+(F17&lt;&gt;"")*(N(F17)&lt;=N(E17))+(G17&lt;&gt;"")*(N(G17)&lt;=N(E17)))</f>
        <v/>
      </c>
      <c r="V17">
        <f>IF(F17="","",(D17&lt;&gt;"")*(N(D17)&lt;=N(F17))+(E17&lt;&gt;"")*(N(E17)&lt;=N(F17))+(F17&lt;&gt;"")*(N(F17)&lt;=N(F17))+(G17&lt;&gt;"")*(N(G17)&lt;=N(F17)))</f>
        <v/>
      </c>
      <c r="W17">
        <f>IF(G17="","",(D17&lt;&gt;"")*(N(D17)&lt;=N(G17))+(E17&lt;&gt;"")*(N(E17)&lt;=N(G17))+(F17&lt;&gt;"")*(N(F17)&lt;=N(G17))+(G17&lt;&gt;"")*(N(G17)&lt;=N(G17)))</f>
        <v/>
      </c>
      <c r="X17">
        <f>IF(L17="Taking",ROW(),"")</f>
        <v/>
      </c>
    </row>
    <row r="18">
      <c r="A18" s="1" t="n"/>
      <c r="B18" s="24" t="n"/>
      <c r="C18" s="22" t="n"/>
      <c r="D18" s="21" t="n"/>
      <c r="E18" s="21" t="n"/>
      <c r="F18" s="21" t="n"/>
      <c r="G18" s="21" t="n"/>
      <c r="H18" s="25" t="n"/>
      <c r="I18" s="26" t="n"/>
      <c r="J18" s="26" t="n"/>
      <c r="K18" s="22" t="n"/>
      <c r="L18" s="14">
        <f>IF(B18="","",IF(AND(J18&lt;&gt;"",J18&lt;=TODAY()),"Stopped",IF(AND(I18&lt;&gt;"",I18&gt;TODAY()),"Not started","Taking")))</f>
        <v/>
      </c>
      <c r="M18" s="27">
        <f>IF(L18&lt;&gt;"Taking","",COUNT(D18:G18))</f>
        <v/>
      </c>
      <c r="N18" s="27">
        <f>IF(B18="","",COUNTIFS(Doses!$B$6:$B$2005,TODAY(),Doses!$D$6:$D$2005,B18))</f>
        <v/>
      </c>
      <c r="O18" s="13">
        <f>IF(L18&lt;&gt;"Taking","",MAX(0,M18-N18))</f>
        <v/>
      </c>
      <c r="P18" s="1">
        <f>IF(OR(L18&lt;&gt;"Taking",D18=""),"",MOD(D18,1)+(181)/10000000)</f>
        <v/>
      </c>
      <c r="Q18">
        <f>IF(OR(L18&lt;&gt;"Taking",E18=""),"",MOD(E18,1)+(182)/10000000)</f>
        <v/>
      </c>
      <c r="R18">
        <f>IF(OR(L18&lt;&gt;"Taking",F18=""),"",MOD(F18,1)+(183)/10000000)</f>
        <v/>
      </c>
      <c r="S18">
        <f>IF(OR(L18&lt;&gt;"Taking",G18=""),"",MOD(G18,1)+(184)/10000000)</f>
        <v/>
      </c>
      <c r="T18">
        <f>IF(D18="","",(D18&lt;&gt;"")*(N(D18)&lt;=N(D18))+(E18&lt;&gt;"")*(N(E18)&lt;=N(D18))+(F18&lt;&gt;"")*(N(F18)&lt;=N(D18))+(G18&lt;&gt;"")*(N(G18)&lt;=N(D18)))</f>
        <v/>
      </c>
      <c r="U18">
        <f>IF(E18="","",(D18&lt;&gt;"")*(N(D18)&lt;=N(E18))+(E18&lt;&gt;"")*(N(E18)&lt;=N(E18))+(F18&lt;&gt;"")*(N(F18)&lt;=N(E18))+(G18&lt;&gt;"")*(N(G18)&lt;=N(E18)))</f>
        <v/>
      </c>
      <c r="V18">
        <f>IF(F18="","",(D18&lt;&gt;"")*(N(D18)&lt;=N(F18))+(E18&lt;&gt;"")*(N(E18)&lt;=N(F18))+(F18&lt;&gt;"")*(N(F18)&lt;=N(F18))+(G18&lt;&gt;"")*(N(G18)&lt;=N(F18)))</f>
        <v/>
      </c>
      <c r="W18">
        <f>IF(G18="","",(D18&lt;&gt;"")*(N(D18)&lt;=N(G18))+(E18&lt;&gt;"")*(N(E18)&lt;=N(G18))+(F18&lt;&gt;"")*(N(F18)&lt;=N(G18))+(G18&lt;&gt;"")*(N(G18)&lt;=N(G18)))</f>
        <v/>
      </c>
      <c r="X18">
        <f>IF(L18="Taking",ROW(),"")</f>
        <v/>
      </c>
    </row>
    <row r="19">
      <c r="A19" s="1" t="n"/>
      <c r="B19" s="24" t="n"/>
      <c r="C19" s="22" t="n"/>
      <c r="D19" s="21" t="n"/>
      <c r="E19" s="21" t="n"/>
      <c r="F19" s="21" t="n"/>
      <c r="G19" s="21" t="n"/>
      <c r="H19" s="25" t="n"/>
      <c r="I19" s="26" t="n"/>
      <c r="J19" s="26" t="n"/>
      <c r="K19" s="22" t="n"/>
      <c r="L19" s="14">
        <f>IF(B19="","",IF(AND(J19&lt;&gt;"",J19&lt;=TODAY()),"Stopped",IF(AND(I19&lt;&gt;"",I19&gt;TODAY()),"Not started","Taking")))</f>
        <v/>
      </c>
      <c r="M19" s="27">
        <f>IF(L19&lt;&gt;"Taking","",COUNT(D19:G19))</f>
        <v/>
      </c>
      <c r="N19" s="27">
        <f>IF(B19="","",COUNTIFS(Doses!$B$6:$B$2005,TODAY(),Doses!$D$6:$D$2005,B19))</f>
        <v/>
      </c>
      <c r="O19" s="13">
        <f>IF(L19&lt;&gt;"Taking","",MAX(0,M19-N19))</f>
        <v/>
      </c>
      <c r="P19" s="1">
        <f>IF(OR(L19&lt;&gt;"Taking",D19=""),"",MOD(D19,1)+(191)/10000000)</f>
        <v/>
      </c>
      <c r="Q19">
        <f>IF(OR(L19&lt;&gt;"Taking",E19=""),"",MOD(E19,1)+(192)/10000000)</f>
        <v/>
      </c>
      <c r="R19">
        <f>IF(OR(L19&lt;&gt;"Taking",F19=""),"",MOD(F19,1)+(193)/10000000)</f>
        <v/>
      </c>
      <c r="S19">
        <f>IF(OR(L19&lt;&gt;"Taking",G19=""),"",MOD(G19,1)+(194)/10000000)</f>
        <v/>
      </c>
      <c r="T19">
        <f>IF(D19="","",(D19&lt;&gt;"")*(N(D19)&lt;=N(D19))+(E19&lt;&gt;"")*(N(E19)&lt;=N(D19))+(F19&lt;&gt;"")*(N(F19)&lt;=N(D19))+(G19&lt;&gt;"")*(N(G19)&lt;=N(D19)))</f>
        <v/>
      </c>
      <c r="U19">
        <f>IF(E19="","",(D19&lt;&gt;"")*(N(D19)&lt;=N(E19))+(E19&lt;&gt;"")*(N(E19)&lt;=N(E19))+(F19&lt;&gt;"")*(N(F19)&lt;=N(E19))+(G19&lt;&gt;"")*(N(G19)&lt;=N(E19)))</f>
        <v/>
      </c>
      <c r="V19">
        <f>IF(F19="","",(D19&lt;&gt;"")*(N(D19)&lt;=N(F19))+(E19&lt;&gt;"")*(N(E19)&lt;=N(F19))+(F19&lt;&gt;"")*(N(F19)&lt;=N(F19))+(G19&lt;&gt;"")*(N(G19)&lt;=N(F19)))</f>
        <v/>
      </c>
      <c r="W19">
        <f>IF(G19="","",(D19&lt;&gt;"")*(N(D19)&lt;=N(G19))+(E19&lt;&gt;"")*(N(E19)&lt;=N(G19))+(F19&lt;&gt;"")*(N(F19)&lt;=N(G19))+(G19&lt;&gt;"")*(N(G19)&lt;=N(G19)))</f>
        <v/>
      </c>
      <c r="X19">
        <f>IF(L19="Taking",ROW(),"")</f>
        <v/>
      </c>
    </row>
    <row r="20">
      <c r="A20" s="1" t="n"/>
      <c r="B20" s="24" t="n"/>
      <c r="C20" s="22" t="n"/>
      <c r="D20" s="21" t="n"/>
      <c r="E20" s="21" t="n"/>
      <c r="F20" s="21" t="n"/>
      <c r="G20" s="21" t="n"/>
      <c r="H20" s="25" t="n"/>
      <c r="I20" s="26" t="n"/>
      <c r="J20" s="26" t="n"/>
      <c r="K20" s="22" t="n"/>
      <c r="L20" s="14">
        <f>IF(B20="","",IF(AND(J20&lt;&gt;"",J20&lt;=TODAY()),"Stopped",IF(AND(I20&lt;&gt;"",I20&gt;TODAY()),"Not started","Taking")))</f>
        <v/>
      </c>
      <c r="M20" s="27">
        <f>IF(L20&lt;&gt;"Taking","",COUNT(D20:G20))</f>
        <v/>
      </c>
      <c r="N20" s="27">
        <f>IF(B20="","",COUNTIFS(Doses!$B$6:$B$2005,TODAY(),Doses!$D$6:$D$2005,B20))</f>
        <v/>
      </c>
      <c r="O20" s="13">
        <f>IF(L20&lt;&gt;"Taking","",MAX(0,M20-N20))</f>
        <v/>
      </c>
      <c r="P20" s="1">
        <f>IF(OR(L20&lt;&gt;"Taking",D20=""),"",MOD(D20,1)+(201)/10000000)</f>
        <v/>
      </c>
      <c r="Q20">
        <f>IF(OR(L20&lt;&gt;"Taking",E20=""),"",MOD(E20,1)+(202)/10000000)</f>
        <v/>
      </c>
      <c r="R20">
        <f>IF(OR(L20&lt;&gt;"Taking",F20=""),"",MOD(F20,1)+(203)/10000000)</f>
        <v/>
      </c>
      <c r="S20">
        <f>IF(OR(L20&lt;&gt;"Taking",G20=""),"",MOD(G20,1)+(204)/10000000)</f>
        <v/>
      </c>
      <c r="T20">
        <f>IF(D20="","",(D20&lt;&gt;"")*(N(D20)&lt;=N(D20))+(E20&lt;&gt;"")*(N(E20)&lt;=N(D20))+(F20&lt;&gt;"")*(N(F20)&lt;=N(D20))+(G20&lt;&gt;"")*(N(G20)&lt;=N(D20)))</f>
        <v/>
      </c>
      <c r="U20">
        <f>IF(E20="","",(D20&lt;&gt;"")*(N(D20)&lt;=N(E20))+(E20&lt;&gt;"")*(N(E20)&lt;=N(E20))+(F20&lt;&gt;"")*(N(F20)&lt;=N(E20))+(G20&lt;&gt;"")*(N(G20)&lt;=N(E20)))</f>
        <v/>
      </c>
      <c r="V20">
        <f>IF(F20="","",(D20&lt;&gt;"")*(N(D20)&lt;=N(F20))+(E20&lt;&gt;"")*(N(E20)&lt;=N(F20))+(F20&lt;&gt;"")*(N(F20)&lt;=N(F20))+(G20&lt;&gt;"")*(N(G20)&lt;=N(F20)))</f>
        <v/>
      </c>
      <c r="W20">
        <f>IF(G20="","",(D20&lt;&gt;"")*(N(D20)&lt;=N(G20))+(E20&lt;&gt;"")*(N(E20)&lt;=N(G20))+(F20&lt;&gt;"")*(N(F20)&lt;=N(G20))+(G20&lt;&gt;"")*(N(G20)&lt;=N(G20)))</f>
        <v/>
      </c>
      <c r="X20">
        <f>IF(L20="Taking",ROW(),"")</f>
        <v/>
      </c>
    </row>
    <row r="21">
      <c r="A21" s="1" t="n"/>
      <c r="B21" s="24" t="n"/>
      <c r="C21" s="22" t="n"/>
      <c r="D21" s="21" t="n"/>
      <c r="E21" s="21" t="n"/>
      <c r="F21" s="21" t="n"/>
      <c r="G21" s="21" t="n"/>
      <c r="H21" s="25" t="n"/>
      <c r="I21" s="26" t="n"/>
      <c r="J21" s="26" t="n"/>
      <c r="K21" s="22" t="n"/>
      <c r="L21" s="14">
        <f>IF(B21="","",IF(AND(J21&lt;&gt;"",J21&lt;=TODAY()),"Stopped",IF(AND(I21&lt;&gt;"",I21&gt;TODAY()),"Not started","Taking")))</f>
        <v/>
      </c>
      <c r="M21" s="27">
        <f>IF(L21&lt;&gt;"Taking","",COUNT(D21:G21))</f>
        <v/>
      </c>
      <c r="N21" s="27">
        <f>IF(B21="","",COUNTIFS(Doses!$B$6:$B$2005,TODAY(),Doses!$D$6:$D$2005,B21))</f>
        <v/>
      </c>
      <c r="O21" s="13">
        <f>IF(L21&lt;&gt;"Taking","",MAX(0,M21-N21))</f>
        <v/>
      </c>
      <c r="P21" s="1">
        <f>IF(OR(L21&lt;&gt;"Taking",D21=""),"",MOD(D21,1)+(211)/10000000)</f>
        <v/>
      </c>
      <c r="Q21">
        <f>IF(OR(L21&lt;&gt;"Taking",E21=""),"",MOD(E21,1)+(212)/10000000)</f>
        <v/>
      </c>
      <c r="R21">
        <f>IF(OR(L21&lt;&gt;"Taking",F21=""),"",MOD(F21,1)+(213)/10000000)</f>
        <v/>
      </c>
      <c r="S21">
        <f>IF(OR(L21&lt;&gt;"Taking",G21=""),"",MOD(G21,1)+(214)/10000000)</f>
        <v/>
      </c>
      <c r="T21">
        <f>IF(D21="","",(D21&lt;&gt;"")*(N(D21)&lt;=N(D21))+(E21&lt;&gt;"")*(N(E21)&lt;=N(D21))+(F21&lt;&gt;"")*(N(F21)&lt;=N(D21))+(G21&lt;&gt;"")*(N(G21)&lt;=N(D21)))</f>
        <v/>
      </c>
      <c r="U21">
        <f>IF(E21="","",(D21&lt;&gt;"")*(N(D21)&lt;=N(E21))+(E21&lt;&gt;"")*(N(E21)&lt;=N(E21))+(F21&lt;&gt;"")*(N(F21)&lt;=N(E21))+(G21&lt;&gt;"")*(N(G21)&lt;=N(E21)))</f>
        <v/>
      </c>
      <c r="V21">
        <f>IF(F21="","",(D21&lt;&gt;"")*(N(D21)&lt;=N(F21))+(E21&lt;&gt;"")*(N(E21)&lt;=N(F21))+(F21&lt;&gt;"")*(N(F21)&lt;=N(F21))+(G21&lt;&gt;"")*(N(G21)&lt;=N(F21)))</f>
        <v/>
      </c>
      <c r="W21">
        <f>IF(G21="","",(D21&lt;&gt;"")*(N(D21)&lt;=N(G21))+(E21&lt;&gt;"")*(N(E21)&lt;=N(G21))+(F21&lt;&gt;"")*(N(F21)&lt;=N(G21))+(G21&lt;&gt;"")*(N(G21)&lt;=N(G21)))</f>
        <v/>
      </c>
      <c r="X21">
        <f>IF(L21="Taking",ROW(),"")</f>
        <v/>
      </c>
    </row>
    <row r="22">
      <c r="A22" s="1" t="n"/>
      <c r="B22" s="24" t="n"/>
      <c r="C22" s="22" t="n"/>
      <c r="D22" s="21" t="n"/>
      <c r="E22" s="21" t="n"/>
      <c r="F22" s="21" t="n"/>
      <c r="G22" s="21" t="n"/>
      <c r="H22" s="25" t="n"/>
      <c r="I22" s="26" t="n"/>
      <c r="J22" s="26" t="n"/>
      <c r="K22" s="22" t="n"/>
      <c r="L22" s="14">
        <f>IF(B22="","",IF(AND(J22&lt;&gt;"",J22&lt;=TODAY()),"Stopped",IF(AND(I22&lt;&gt;"",I22&gt;TODAY()),"Not started","Taking")))</f>
        <v/>
      </c>
      <c r="M22" s="27">
        <f>IF(L22&lt;&gt;"Taking","",COUNT(D22:G22))</f>
        <v/>
      </c>
      <c r="N22" s="27">
        <f>IF(B22="","",COUNTIFS(Doses!$B$6:$B$2005,TODAY(),Doses!$D$6:$D$2005,B22))</f>
        <v/>
      </c>
      <c r="O22" s="13">
        <f>IF(L22&lt;&gt;"Taking","",MAX(0,M22-N22))</f>
        <v/>
      </c>
      <c r="P22" s="1">
        <f>IF(OR(L22&lt;&gt;"Taking",D22=""),"",MOD(D22,1)+(221)/10000000)</f>
        <v/>
      </c>
      <c r="Q22">
        <f>IF(OR(L22&lt;&gt;"Taking",E22=""),"",MOD(E22,1)+(222)/10000000)</f>
        <v/>
      </c>
      <c r="R22">
        <f>IF(OR(L22&lt;&gt;"Taking",F22=""),"",MOD(F22,1)+(223)/10000000)</f>
        <v/>
      </c>
      <c r="S22">
        <f>IF(OR(L22&lt;&gt;"Taking",G22=""),"",MOD(G22,1)+(224)/10000000)</f>
        <v/>
      </c>
      <c r="T22">
        <f>IF(D22="","",(D22&lt;&gt;"")*(N(D22)&lt;=N(D22))+(E22&lt;&gt;"")*(N(E22)&lt;=N(D22))+(F22&lt;&gt;"")*(N(F22)&lt;=N(D22))+(G22&lt;&gt;"")*(N(G22)&lt;=N(D22)))</f>
        <v/>
      </c>
      <c r="U22">
        <f>IF(E22="","",(D22&lt;&gt;"")*(N(D22)&lt;=N(E22))+(E22&lt;&gt;"")*(N(E22)&lt;=N(E22))+(F22&lt;&gt;"")*(N(F22)&lt;=N(E22))+(G22&lt;&gt;"")*(N(G22)&lt;=N(E22)))</f>
        <v/>
      </c>
      <c r="V22">
        <f>IF(F22="","",(D22&lt;&gt;"")*(N(D22)&lt;=N(F22))+(E22&lt;&gt;"")*(N(E22)&lt;=N(F22))+(F22&lt;&gt;"")*(N(F22)&lt;=N(F22))+(G22&lt;&gt;"")*(N(G22)&lt;=N(F22)))</f>
        <v/>
      </c>
      <c r="W22">
        <f>IF(G22="","",(D22&lt;&gt;"")*(N(D22)&lt;=N(G22))+(E22&lt;&gt;"")*(N(E22)&lt;=N(G22))+(F22&lt;&gt;"")*(N(F22)&lt;=N(G22))+(G22&lt;&gt;"")*(N(G22)&lt;=N(G22)))</f>
        <v/>
      </c>
      <c r="X22">
        <f>IF(L22="Taking",ROW(),"")</f>
        <v/>
      </c>
    </row>
    <row r="23">
      <c r="A23" s="1" t="n"/>
      <c r="B23" s="24" t="n"/>
      <c r="C23" s="22" t="n"/>
      <c r="D23" s="21" t="n"/>
      <c r="E23" s="21" t="n"/>
      <c r="F23" s="21" t="n"/>
      <c r="G23" s="21" t="n"/>
      <c r="H23" s="25" t="n"/>
      <c r="I23" s="26" t="n"/>
      <c r="J23" s="26" t="n"/>
      <c r="K23" s="22" t="n"/>
      <c r="L23" s="14">
        <f>IF(B23="","",IF(AND(J23&lt;&gt;"",J23&lt;=TODAY()),"Stopped",IF(AND(I23&lt;&gt;"",I23&gt;TODAY()),"Not started","Taking")))</f>
        <v/>
      </c>
      <c r="M23" s="27">
        <f>IF(L23&lt;&gt;"Taking","",COUNT(D23:G23))</f>
        <v/>
      </c>
      <c r="N23" s="27">
        <f>IF(B23="","",COUNTIFS(Doses!$B$6:$B$2005,TODAY(),Doses!$D$6:$D$2005,B23))</f>
        <v/>
      </c>
      <c r="O23" s="13">
        <f>IF(L23&lt;&gt;"Taking","",MAX(0,M23-N23))</f>
        <v/>
      </c>
      <c r="P23" s="1">
        <f>IF(OR(L23&lt;&gt;"Taking",D23=""),"",MOD(D23,1)+(231)/10000000)</f>
        <v/>
      </c>
      <c r="Q23">
        <f>IF(OR(L23&lt;&gt;"Taking",E23=""),"",MOD(E23,1)+(232)/10000000)</f>
        <v/>
      </c>
      <c r="R23">
        <f>IF(OR(L23&lt;&gt;"Taking",F23=""),"",MOD(F23,1)+(233)/10000000)</f>
        <v/>
      </c>
      <c r="S23">
        <f>IF(OR(L23&lt;&gt;"Taking",G23=""),"",MOD(G23,1)+(234)/10000000)</f>
        <v/>
      </c>
      <c r="T23">
        <f>IF(D23="","",(D23&lt;&gt;"")*(N(D23)&lt;=N(D23))+(E23&lt;&gt;"")*(N(E23)&lt;=N(D23))+(F23&lt;&gt;"")*(N(F23)&lt;=N(D23))+(G23&lt;&gt;"")*(N(G23)&lt;=N(D23)))</f>
        <v/>
      </c>
      <c r="U23">
        <f>IF(E23="","",(D23&lt;&gt;"")*(N(D23)&lt;=N(E23))+(E23&lt;&gt;"")*(N(E23)&lt;=N(E23))+(F23&lt;&gt;"")*(N(F23)&lt;=N(E23))+(G23&lt;&gt;"")*(N(G23)&lt;=N(E23)))</f>
        <v/>
      </c>
      <c r="V23">
        <f>IF(F23="","",(D23&lt;&gt;"")*(N(D23)&lt;=N(F23))+(E23&lt;&gt;"")*(N(E23)&lt;=N(F23))+(F23&lt;&gt;"")*(N(F23)&lt;=N(F23))+(G23&lt;&gt;"")*(N(G23)&lt;=N(F23)))</f>
        <v/>
      </c>
      <c r="W23">
        <f>IF(G23="","",(D23&lt;&gt;"")*(N(D23)&lt;=N(G23))+(E23&lt;&gt;"")*(N(E23)&lt;=N(G23))+(F23&lt;&gt;"")*(N(F23)&lt;=N(G23))+(G23&lt;&gt;"")*(N(G23)&lt;=N(G23)))</f>
        <v/>
      </c>
      <c r="X23">
        <f>IF(L23="Taking",ROW(),"")</f>
        <v/>
      </c>
    </row>
    <row r="24">
      <c r="A24" s="1" t="n"/>
      <c r="B24" s="24" t="n"/>
      <c r="C24" s="22" t="n"/>
      <c r="D24" s="21" t="n"/>
      <c r="E24" s="21" t="n"/>
      <c r="F24" s="21" t="n"/>
      <c r="G24" s="21" t="n"/>
      <c r="H24" s="25" t="n"/>
      <c r="I24" s="26" t="n"/>
      <c r="J24" s="26" t="n"/>
      <c r="K24" s="22" t="n"/>
      <c r="L24" s="14">
        <f>IF(B24="","",IF(AND(J24&lt;&gt;"",J24&lt;=TODAY()),"Stopped",IF(AND(I24&lt;&gt;"",I24&gt;TODAY()),"Not started","Taking")))</f>
        <v/>
      </c>
      <c r="M24" s="27">
        <f>IF(L24&lt;&gt;"Taking","",COUNT(D24:G24))</f>
        <v/>
      </c>
      <c r="N24" s="27">
        <f>IF(B24="","",COUNTIFS(Doses!$B$6:$B$2005,TODAY(),Doses!$D$6:$D$2005,B24))</f>
        <v/>
      </c>
      <c r="O24" s="13">
        <f>IF(L24&lt;&gt;"Taking","",MAX(0,M24-N24))</f>
        <v/>
      </c>
      <c r="P24" s="1">
        <f>IF(OR(L24&lt;&gt;"Taking",D24=""),"",MOD(D24,1)+(241)/10000000)</f>
        <v/>
      </c>
      <c r="Q24">
        <f>IF(OR(L24&lt;&gt;"Taking",E24=""),"",MOD(E24,1)+(242)/10000000)</f>
        <v/>
      </c>
      <c r="R24">
        <f>IF(OR(L24&lt;&gt;"Taking",F24=""),"",MOD(F24,1)+(243)/10000000)</f>
        <v/>
      </c>
      <c r="S24">
        <f>IF(OR(L24&lt;&gt;"Taking",G24=""),"",MOD(G24,1)+(244)/10000000)</f>
        <v/>
      </c>
      <c r="T24">
        <f>IF(D24="","",(D24&lt;&gt;"")*(N(D24)&lt;=N(D24))+(E24&lt;&gt;"")*(N(E24)&lt;=N(D24))+(F24&lt;&gt;"")*(N(F24)&lt;=N(D24))+(G24&lt;&gt;"")*(N(G24)&lt;=N(D24)))</f>
        <v/>
      </c>
      <c r="U24">
        <f>IF(E24="","",(D24&lt;&gt;"")*(N(D24)&lt;=N(E24))+(E24&lt;&gt;"")*(N(E24)&lt;=N(E24))+(F24&lt;&gt;"")*(N(F24)&lt;=N(E24))+(G24&lt;&gt;"")*(N(G24)&lt;=N(E24)))</f>
        <v/>
      </c>
      <c r="V24">
        <f>IF(F24="","",(D24&lt;&gt;"")*(N(D24)&lt;=N(F24))+(E24&lt;&gt;"")*(N(E24)&lt;=N(F24))+(F24&lt;&gt;"")*(N(F24)&lt;=N(F24))+(G24&lt;&gt;"")*(N(G24)&lt;=N(F24)))</f>
        <v/>
      </c>
      <c r="W24">
        <f>IF(G24="","",(D24&lt;&gt;"")*(N(D24)&lt;=N(G24))+(E24&lt;&gt;"")*(N(E24)&lt;=N(G24))+(F24&lt;&gt;"")*(N(F24)&lt;=N(G24))+(G24&lt;&gt;"")*(N(G24)&lt;=N(G24)))</f>
        <v/>
      </c>
      <c r="X24">
        <f>IF(L24="Taking",ROW(),"")</f>
        <v/>
      </c>
    </row>
    <row r="25">
      <c r="A25" s="1" t="n"/>
      <c r="B25" s="24" t="n"/>
      <c r="C25" s="22" t="n"/>
      <c r="D25" s="21" t="n"/>
      <c r="E25" s="21" t="n"/>
      <c r="F25" s="21" t="n"/>
      <c r="G25" s="21" t="n"/>
      <c r="H25" s="25" t="n"/>
      <c r="I25" s="26" t="n"/>
      <c r="J25" s="26" t="n"/>
      <c r="K25" s="22" t="n"/>
      <c r="L25" s="14">
        <f>IF(B25="","",IF(AND(J25&lt;&gt;"",J25&lt;=TODAY()),"Stopped",IF(AND(I25&lt;&gt;"",I25&gt;TODAY()),"Not started","Taking")))</f>
        <v/>
      </c>
      <c r="M25" s="27">
        <f>IF(L25&lt;&gt;"Taking","",COUNT(D25:G25))</f>
        <v/>
      </c>
      <c r="N25" s="27">
        <f>IF(B25="","",COUNTIFS(Doses!$B$6:$B$2005,TODAY(),Doses!$D$6:$D$2005,B25))</f>
        <v/>
      </c>
      <c r="O25" s="13">
        <f>IF(L25&lt;&gt;"Taking","",MAX(0,M25-N25))</f>
        <v/>
      </c>
      <c r="P25" s="1">
        <f>IF(OR(L25&lt;&gt;"Taking",D25=""),"",MOD(D25,1)+(251)/10000000)</f>
        <v/>
      </c>
      <c r="Q25">
        <f>IF(OR(L25&lt;&gt;"Taking",E25=""),"",MOD(E25,1)+(252)/10000000)</f>
        <v/>
      </c>
      <c r="R25">
        <f>IF(OR(L25&lt;&gt;"Taking",F25=""),"",MOD(F25,1)+(253)/10000000)</f>
        <v/>
      </c>
      <c r="S25">
        <f>IF(OR(L25&lt;&gt;"Taking",G25=""),"",MOD(G25,1)+(254)/10000000)</f>
        <v/>
      </c>
      <c r="T25">
        <f>IF(D25="","",(D25&lt;&gt;"")*(N(D25)&lt;=N(D25))+(E25&lt;&gt;"")*(N(E25)&lt;=N(D25))+(F25&lt;&gt;"")*(N(F25)&lt;=N(D25))+(G25&lt;&gt;"")*(N(G25)&lt;=N(D25)))</f>
        <v/>
      </c>
      <c r="U25">
        <f>IF(E25="","",(D25&lt;&gt;"")*(N(D25)&lt;=N(E25))+(E25&lt;&gt;"")*(N(E25)&lt;=N(E25))+(F25&lt;&gt;"")*(N(F25)&lt;=N(E25))+(G25&lt;&gt;"")*(N(G25)&lt;=N(E25)))</f>
        <v/>
      </c>
      <c r="V25">
        <f>IF(F25="","",(D25&lt;&gt;"")*(N(D25)&lt;=N(F25))+(E25&lt;&gt;"")*(N(E25)&lt;=N(F25))+(F25&lt;&gt;"")*(N(F25)&lt;=N(F25))+(G25&lt;&gt;"")*(N(G25)&lt;=N(F25)))</f>
        <v/>
      </c>
      <c r="W25">
        <f>IF(G25="","",(D25&lt;&gt;"")*(N(D25)&lt;=N(G25))+(E25&lt;&gt;"")*(N(E25)&lt;=N(G25))+(F25&lt;&gt;"")*(N(F25)&lt;=N(G25))+(G25&lt;&gt;"")*(N(G25)&lt;=N(G25)))</f>
        <v/>
      </c>
      <c r="X25">
        <f>IF(L25="Taking",ROW(),"")</f>
        <v/>
      </c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</sheetData>
  <conditionalFormatting sqref="L6:L25">
    <cfRule type="expression" priority="1" dxfId="2">
      <formula>L6="Taking"</formula>
    </cfRule>
    <cfRule type="expression" priority="2" dxfId="4">
      <formula>L6="Stopped"</formula>
    </cfRule>
    <cfRule type="expression" priority="3" dxfId="3">
      <formula>L6="Not started"</formula>
    </cfRule>
  </conditionalFormatting>
  <dataValidations count="1">
    <dataValidation sqref="H6:H25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18" customWidth="1" min="4" max="4"/>
    <col width="34" customWidth="1" min="5" max="5"/>
  </cols>
  <sheetData>
    <row r="1">
      <c r="A1" s="1" t="n"/>
      <c r="B1" s="1" t="n"/>
      <c r="C1" s="1" t="n"/>
      <c r="D1" s="1" t="n"/>
      <c r="E1" s="1" t="n"/>
      <c r="F1" s="1" t="n"/>
    </row>
    <row r="2" ht="32" customHeight="1">
      <c r="A2" s="1" t="n"/>
      <c r="B2" s="2" t="inlineStr">
        <is>
          <t>Doses</t>
        </is>
      </c>
      <c r="C2" s="1" t="n"/>
      <c r="D2" s="1" t="n"/>
      <c r="E2" s="1" t="n"/>
      <c r="F2" s="1" t="n"/>
    </row>
    <row r="3">
      <c r="A3" s="1" t="n"/>
      <c r="B3" s="3" t="inlineStr">
        <is>
          <t>One line each time you take a medicine. The Dashboard shows what is still to take today.</t>
        </is>
      </c>
      <c r="C3" s="1" t="n"/>
      <c r="D3" s="1" t="n"/>
      <c r="E3" s="1" t="n"/>
      <c r="F3" s="1" t="n"/>
    </row>
    <row r="4">
      <c r="A4" s="1" t="n"/>
      <c r="B4" s="1" t="n"/>
      <c r="C4" s="1" t="n"/>
      <c r="D4" s="1" t="n"/>
      <c r="E4" s="1" t="n"/>
      <c r="F4" s="1" t="n"/>
    </row>
    <row r="5" ht="30" customHeight="1">
      <c r="A5" s="1" t="n"/>
      <c r="B5" s="11" t="inlineStr">
        <is>
          <t>Date</t>
        </is>
      </c>
      <c r="C5" s="11" t="inlineStr">
        <is>
          <t>Time</t>
        </is>
      </c>
      <c r="D5" s="11" t="inlineStr">
        <is>
          <t>Medicine</t>
        </is>
      </c>
      <c r="E5" s="11" t="inlineStr">
        <is>
          <t>Notes</t>
        </is>
      </c>
      <c r="F5" s="1" t="n"/>
    </row>
    <row r="6">
      <c r="A6" s="1" t="n"/>
      <c r="B6" s="20" t="n">
        <v>46249</v>
      </c>
      <c r="C6" s="21" t="n">
        <v>0.3368055555555556</v>
      </c>
      <c r="D6" s="24" t="inlineStr">
        <is>
          <t>Tablet A</t>
        </is>
      </c>
      <c r="E6" s="22" t="n"/>
      <c r="F6" s="1" t="n"/>
    </row>
    <row r="7">
      <c r="A7" s="1" t="n"/>
      <c r="B7" s="20" t="n">
        <v>46249</v>
      </c>
      <c r="C7" s="21" t="n">
        <v>0.3472222222222222</v>
      </c>
      <c r="D7" s="24" t="inlineStr">
        <is>
          <t>Tablet B</t>
        </is>
      </c>
      <c r="E7" s="22" t="n"/>
      <c r="F7" s="1" t="n"/>
    </row>
    <row r="8">
      <c r="A8" s="1" t="n"/>
      <c r="B8" s="20" t="n">
        <v>46249</v>
      </c>
      <c r="C8" s="21" t="n">
        <v>0.3472222222222222</v>
      </c>
      <c r="D8" s="24" t="inlineStr">
        <is>
          <t>Vitamin D</t>
        </is>
      </c>
      <c r="E8" s="22" t="n"/>
      <c r="F8" s="1" t="n"/>
    </row>
    <row r="9">
      <c r="A9" s="1" t="n"/>
      <c r="B9" s="20" t="n">
        <v>46249</v>
      </c>
      <c r="C9" s="21" t="n">
        <v>0.5138888888888888</v>
      </c>
      <c r="D9" s="24" t="inlineStr">
        <is>
          <t>Old tablet</t>
        </is>
      </c>
      <c r="E9" s="22" t="n"/>
      <c r="F9" s="1" t="n"/>
    </row>
    <row r="10">
      <c r="A10" s="1" t="n"/>
      <c r="B10" s="20" t="n">
        <v>46249</v>
      </c>
      <c r="C10" s="21" t="n">
        <v>0.8472222222222222</v>
      </c>
      <c r="D10" s="24" t="inlineStr">
        <is>
          <t>Tablet A</t>
        </is>
      </c>
      <c r="E10" s="22" t="n"/>
      <c r="F10" s="1" t="n"/>
    </row>
    <row r="11">
      <c r="A11" s="1" t="n"/>
      <c r="B11" s="20" t="n">
        <v>46249</v>
      </c>
      <c r="C11" s="21" t="n">
        <v>0.9201388888888888</v>
      </c>
      <c r="D11" s="24" t="inlineStr">
        <is>
          <t>Tablet C</t>
        </is>
      </c>
      <c r="E11" s="22" t="n"/>
      <c r="F11" s="1" t="n"/>
    </row>
    <row r="12">
      <c r="A12" s="1" t="n"/>
      <c r="B12" s="20" t="n">
        <v>46250</v>
      </c>
      <c r="C12" s="21" t="n">
        <v>0.3402777777777778</v>
      </c>
      <c r="D12" s="24" t="inlineStr">
        <is>
          <t>Tablet A</t>
        </is>
      </c>
      <c r="E12" s="22" t="n"/>
      <c r="F12" s="1" t="n"/>
    </row>
    <row r="13">
      <c r="A13" s="1" t="n"/>
      <c r="B13" s="20" t="n">
        <v>46250</v>
      </c>
      <c r="C13" s="21" t="n">
        <v>0.3402777777777778</v>
      </c>
      <c r="D13" s="24" t="inlineStr">
        <is>
          <t>Tablet B</t>
        </is>
      </c>
      <c r="E13" s="22" t="n"/>
      <c r="F13" s="1" t="n"/>
    </row>
    <row r="14">
      <c r="A14" s="1" t="n"/>
      <c r="B14" s="20" t="n">
        <v>46250</v>
      </c>
      <c r="C14" s="21" t="n">
        <v>0.3402777777777778</v>
      </c>
      <c r="D14" s="24" t="inlineStr">
        <is>
          <t>Vitamin D</t>
        </is>
      </c>
      <c r="E14" s="22" t="n"/>
      <c r="F14" s="1" t="n"/>
    </row>
    <row r="15">
      <c r="A15" s="1" t="n"/>
      <c r="B15" s="20" t="n">
        <v>46250</v>
      </c>
      <c r="C15" s="21" t="n">
        <v>0.5069444444444444</v>
      </c>
      <c r="D15" s="24" t="inlineStr">
        <is>
          <t>Old tablet</t>
        </is>
      </c>
      <c r="E15" s="22" t="n"/>
      <c r="F15" s="1" t="n"/>
    </row>
    <row r="16">
      <c r="A16" s="1" t="n"/>
      <c r="B16" s="20" t="n">
        <v>46250</v>
      </c>
      <c r="C16" s="21" t="n">
        <v>0.8368055555555556</v>
      </c>
      <c r="D16" s="24" t="inlineStr">
        <is>
          <t>Tablet A</t>
        </is>
      </c>
      <c r="E16" s="22" t="n"/>
      <c r="F16" s="1" t="n"/>
    </row>
    <row r="17">
      <c r="A17" s="1" t="n"/>
      <c r="B17" s="20" t="n">
        <v>46250</v>
      </c>
      <c r="C17" s="21" t="n">
        <v>0.9166666666666666</v>
      </c>
      <c r="D17" s="24" t="inlineStr">
        <is>
          <t>Tablet C</t>
        </is>
      </c>
      <c r="E17" s="22" t="n"/>
      <c r="F17" s="1" t="n"/>
    </row>
    <row r="18">
      <c r="A18" s="1" t="n"/>
      <c r="B18" s="20" t="n">
        <v>46251</v>
      </c>
      <c r="C18" s="21" t="n">
        <v>0.3368055555555556</v>
      </c>
      <c r="D18" s="24" t="inlineStr">
        <is>
          <t>Tablet A</t>
        </is>
      </c>
      <c r="E18" s="22" t="n"/>
      <c r="F18" s="1" t="n"/>
    </row>
    <row r="19">
      <c r="A19" s="1" t="n"/>
      <c r="B19" s="20" t="n">
        <v>46251</v>
      </c>
      <c r="C19" s="21" t="n">
        <v>0.3368055555555556</v>
      </c>
      <c r="D19" s="24" t="inlineStr">
        <is>
          <t>Vitamin D</t>
        </is>
      </c>
      <c r="E19" s="22" t="n"/>
      <c r="F19" s="1" t="n"/>
    </row>
    <row r="20">
      <c r="A20" s="1" t="n"/>
      <c r="B20" s="20" t="n">
        <v>46251</v>
      </c>
      <c r="C20" s="21" t="n">
        <v>0.3472222222222222</v>
      </c>
      <c r="D20" s="24" t="inlineStr">
        <is>
          <t>Tablet B</t>
        </is>
      </c>
      <c r="E20" s="22" t="n"/>
      <c r="F20" s="1" t="n"/>
    </row>
    <row r="21">
      <c r="A21" s="1" t="n"/>
      <c r="B21" s="20" t="n">
        <v>46251</v>
      </c>
      <c r="C21" s="21" t="n">
        <v>0.5034722222222222</v>
      </c>
      <c r="D21" s="24" t="inlineStr">
        <is>
          <t>Old tablet</t>
        </is>
      </c>
      <c r="E21" s="22" t="n"/>
      <c r="F21" s="1" t="n"/>
    </row>
    <row r="22">
      <c r="A22" s="1" t="n"/>
      <c r="B22" s="20" t="n">
        <v>46251</v>
      </c>
      <c r="C22" s="21" t="n">
        <v>0.8402777777777778</v>
      </c>
      <c r="D22" s="24" t="inlineStr">
        <is>
          <t>Tablet A</t>
        </is>
      </c>
      <c r="E22" s="22" t="n"/>
      <c r="F22" s="1" t="n"/>
    </row>
    <row r="23">
      <c r="A23" s="1" t="n"/>
      <c r="B23" s="20" t="n">
        <v>46251</v>
      </c>
      <c r="C23" s="21" t="n">
        <v>0.9166666666666666</v>
      </c>
      <c r="D23" s="24" t="inlineStr">
        <is>
          <t>Tablet C</t>
        </is>
      </c>
      <c r="E23" s="22" t="n"/>
      <c r="F23" s="1" t="n"/>
    </row>
    <row r="24">
      <c r="A24" s="1" t="n"/>
      <c r="B24" s="20" t="n">
        <v>46252</v>
      </c>
      <c r="C24" s="21" t="n">
        <v>0.3333333333333333</v>
      </c>
      <c r="D24" s="24" t="inlineStr">
        <is>
          <t>Vitamin D</t>
        </is>
      </c>
      <c r="E24" s="22" t="n"/>
      <c r="F24" s="1" t="n"/>
    </row>
    <row r="25">
      <c r="A25" s="1" t="n"/>
      <c r="B25" s="20" t="n">
        <v>46252</v>
      </c>
      <c r="C25" s="21" t="n">
        <v>0.3368055555555556</v>
      </c>
      <c r="D25" s="24" t="inlineStr">
        <is>
          <t>Tablet B</t>
        </is>
      </c>
      <c r="E25" s="22" t="n"/>
      <c r="F25" s="1" t="n"/>
    </row>
    <row r="26">
      <c r="A26" s="1" t="n"/>
      <c r="B26" s="20" t="n">
        <v>46252</v>
      </c>
      <c r="C26" s="21" t="n">
        <v>0.3402777777777778</v>
      </c>
      <c r="D26" s="24" t="inlineStr">
        <is>
          <t>Tablet A</t>
        </is>
      </c>
      <c r="E26" s="22" t="n"/>
      <c r="F26" s="1" t="n"/>
    </row>
    <row r="27">
      <c r="A27" s="1" t="n"/>
      <c r="B27" s="20" t="n">
        <v>46252</v>
      </c>
      <c r="C27" s="21" t="n">
        <v>0.5069444444444444</v>
      </c>
      <c r="D27" s="24" t="inlineStr">
        <is>
          <t>Old tablet</t>
        </is>
      </c>
      <c r="E27" s="22" t="n"/>
      <c r="F27" s="1" t="n"/>
    </row>
    <row r="28">
      <c r="A28" s="1" t="n"/>
      <c r="B28" s="20" t="n">
        <v>46252</v>
      </c>
      <c r="C28" s="21" t="n">
        <v>0.8402777777777778</v>
      </c>
      <c r="D28" s="24" t="inlineStr">
        <is>
          <t>Tablet A</t>
        </is>
      </c>
      <c r="E28" s="22" t="n"/>
      <c r="F28" s="1" t="n"/>
    </row>
    <row r="29">
      <c r="A29" s="1" t="n"/>
      <c r="B29" s="20" t="n">
        <v>46252</v>
      </c>
      <c r="C29" s="21" t="n">
        <v>0.9305555555555556</v>
      </c>
      <c r="D29" s="24" t="inlineStr">
        <is>
          <t>Tablet C</t>
        </is>
      </c>
      <c r="E29" s="22" t="n"/>
      <c r="F29" s="1" t="n"/>
    </row>
    <row r="30">
      <c r="A30" s="1" t="n"/>
      <c r="B30" s="20" t="n">
        <v>46253</v>
      </c>
      <c r="C30" s="21" t="n">
        <v>0.3368055555555556</v>
      </c>
      <c r="D30" s="24" t="inlineStr">
        <is>
          <t>Tablet A</t>
        </is>
      </c>
      <c r="E30" s="22" t="n"/>
      <c r="F30" s="1" t="n"/>
    </row>
    <row r="31">
      <c r="A31" s="1" t="n"/>
      <c r="B31" s="20" t="n">
        <v>46253</v>
      </c>
      <c r="C31" s="21" t="n">
        <v>0.5</v>
      </c>
      <c r="D31" s="24" t="inlineStr">
        <is>
          <t>Old tablet</t>
        </is>
      </c>
      <c r="E31" s="22" t="n"/>
      <c r="F31" s="1" t="n"/>
    </row>
    <row r="32">
      <c r="A32" s="1" t="n"/>
      <c r="B32" s="20" t="n">
        <v>46253</v>
      </c>
      <c r="C32" s="21" t="n">
        <v>0.8402777777777778</v>
      </c>
      <c r="D32" s="24" t="inlineStr">
        <is>
          <t>Tablet A</t>
        </is>
      </c>
      <c r="E32" s="22" t="n"/>
      <c r="F32" s="1" t="n"/>
    </row>
    <row r="33">
      <c r="A33" s="1" t="n"/>
      <c r="B33" s="20" t="n">
        <v>46253</v>
      </c>
      <c r="C33" s="21" t="n">
        <v>0.9201388888888888</v>
      </c>
      <c r="D33" s="24" t="inlineStr">
        <is>
          <t>Tablet C</t>
        </is>
      </c>
      <c r="E33" s="22" t="n"/>
      <c r="F33" s="1" t="n"/>
    </row>
    <row r="34">
      <c r="A34" s="1" t="n"/>
      <c r="B34" s="20" t="n">
        <v>46254</v>
      </c>
      <c r="C34" s="21" t="n">
        <v>0.3368055555555556</v>
      </c>
      <c r="D34" s="24" t="inlineStr">
        <is>
          <t>Tablet A</t>
        </is>
      </c>
      <c r="E34" s="22" t="n"/>
      <c r="F34" s="1" t="n"/>
    </row>
    <row r="35">
      <c r="A35" s="1" t="n"/>
      <c r="B35" s="20" t="n">
        <v>46254</v>
      </c>
      <c r="C35" s="21" t="n">
        <v>0.3472222222222222</v>
      </c>
      <c r="D35" s="24" t="inlineStr">
        <is>
          <t>Vitamin D</t>
        </is>
      </c>
      <c r="E35" s="22" t="n"/>
      <c r="F35" s="1" t="n"/>
    </row>
    <row r="36">
      <c r="A36" s="1" t="n"/>
      <c r="B36" s="20" t="n">
        <v>46254</v>
      </c>
      <c r="C36" s="21" t="n">
        <v>0.5034722222222222</v>
      </c>
      <c r="D36" s="24" t="inlineStr">
        <is>
          <t>Old tablet</t>
        </is>
      </c>
      <c r="E36" s="22" t="n"/>
      <c r="F36" s="1" t="n"/>
    </row>
    <row r="37">
      <c r="A37" s="1" t="n"/>
      <c r="B37" s="20" t="n">
        <v>46254</v>
      </c>
      <c r="C37" s="21" t="n">
        <v>0.8402777777777778</v>
      </c>
      <c r="D37" s="24" t="inlineStr">
        <is>
          <t>Tablet A</t>
        </is>
      </c>
      <c r="E37" s="22" t="n"/>
      <c r="F37" s="1" t="n"/>
    </row>
    <row r="38">
      <c r="A38" s="1" t="n"/>
      <c r="B38" s="20" t="n">
        <v>46254</v>
      </c>
      <c r="C38" s="21" t="n">
        <v>0.9236111111111112</v>
      </c>
      <c r="D38" s="24" t="inlineStr">
        <is>
          <t>Tablet C</t>
        </is>
      </c>
      <c r="E38" s="22" t="n"/>
      <c r="F38" s="1" t="n"/>
    </row>
    <row r="39">
      <c r="A39" s="1" t="n"/>
      <c r="B39" s="20" t="n">
        <v>46255</v>
      </c>
      <c r="C39" s="21" t="n">
        <v>0.3368055555555556</v>
      </c>
      <c r="D39" s="24" t="inlineStr">
        <is>
          <t>Tablet B</t>
        </is>
      </c>
      <c r="E39" s="22" t="n"/>
      <c r="F39" s="1" t="n"/>
    </row>
    <row r="40">
      <c r="A40" s="1" t="n"/>
      <c r="B40" s="20" t="n">
        <v>46255</v>
      </c>
      <c r="C40" s="21" t="n">
        <v>0.3402777777777778</v>
      </c>
      <c r="D40" s="24" t="inlineStr">
        <is>
          <t>Tablet A</t>
        </is>
      </c>
      <c r="E40" s="22" t="n"/>
      <c r="F40" s="1" t="n"/>
    </row>
    <row r="41">
      <c r="A41" s="1" t="n"/>
      <c r="B41" s="20" t="n">
        <v>46255</v>
      </c>
      <c r="C41" s="21" t="n">
        <v>0.3472222222222222</v>
      </c>
      <c r="D41" s="24" t="inlineStr">
        <is>
          <t>Vitamin D</t>
        </is>
      </c>
      <c r="E41" s="22" t="n"/>
      <c r="F41" s="1" t="n"/>
    </row>
    <row r="42">
      <c r="A42" s="1" t="n"/>
      <c r="B42" s="20" t="n">
        <v>46255</v>
      </c>
      <c r="C42" s="21" t="n">
        <v>0.5034722222222222</v>
      </c>
      <c r="D42" s="24" t="inlineStr">
        <is>
          <t>Old tablet</t>
        </is>
      </c>
      <c r="E42" s="22" t="n"/>
      <c r="F42" s="1" t="n"/>
    </row>
    <row r="43">
      <c r="A43" s="1" t="n"/>
      <c r="B43" s="20" t="n">
        <v>46255</v>
      </c>
      <c r="C43" s="21" t="n">
        <v>0.8368055555555556</v>
      </c>
      <c r="D43" s="24" t="inlineStr">
        <is>
          <t>Tablet A</t>
        </is>
      </c>
      <c r="E43" s="22" t="n"/>
      <c r="F43" s="1" t="n"/>
    </row>
    <row r="44">
      <c r="A44" s="1" t="n"/>
      <c r="B44" s="20" t="n">
        <v>46255</v>
      </c>
      <c r="C44" s="21" t="n">
        <v>0.9236111111111112</v>
      </c>
      <c r="D44" s="24" t="inlineStr">
        <is>
          <t>Tablet C</t>
        </is>
      </c>
      <c r="E44" s="22" t="n"/>
      <c r="F44" s="1" t="n"/>
    </row>
    <row r="45">
      <c r="A45" s="1" t="n"/>
      <c r="B45" s="20" t="n">
        <v>46256</v>
      </c>
      <c r="C45" s="21" t="n">
        <v>0.3333333333333333</v>
      </c>
      <c r="D45" s="24" t="inlineStr">
        <is>
          <t>Vitamin D</t>
        </is>
      </c>
      <c r="E45" s="22" t="n"/>
      <c r="F45" s="1" t="n"/>
    </row>
    <row r="46">
      <c r="A46" s="1" t="n"/>
      <c r="B46" s="20" t="n">
        <v>46256</v>
      </c>
      <c r="C46" s="21" t="n">
        <v>0.3368055555555556</v>
      </c>
      <c r="D46" s="24" t="inlineStr">
        <is>
          <t>Tablet B</t>
        </is>
      </c>
      <c r="E46" s="22" t="n"/>
      <c r="F46" s="1" t="n"/>
    </row>
    <row r="47">
      <c r="A47" s="1" t="n"/>
      <c r="B47" s="20" t="n">
        <v>46256</v>
      </c>
      <c r="C47" s="21" t="n">
        <v>0.3402777777777778</v>
      </c>
      <c r="D47" s="24" t="inlineStr">
        <is>
          <t>Tablet A</t>
        </is>
      </c>
      <c r="E47" s="22" t="n"/>
      <c r="F47" s="1" t="n"/>
    </row>
    <row r="48">
      <c r="A48" s="1" t="n"/>
      <c r="B48" s="20" t="n">
        <v>46256</v>
      </c>
      <c r="C48" s="21" t="n">
        <v>0.5</v>
      </c>
      <c r="D48" s="24" t="inlineStr">
        <is>
          <t>Old tablet</t>
        </is>
      </c>
      <c r="E48" s="22" t="n"/>
      <c r="F48" s="1" t="n"/>
    </row>
    <row r="49">
      <c r="A49" s="1" t="n"/>
      <c r="B49" s="20" t="n">
        <v>46256</v>
      </c>
      <c r="C49" s="21" t="n">
        <v>0.8472222222222222</v>
      </c>
      <c r="D49" s="24" t="inlineStr">
        <is>
          <t>Tablet A</t>
        </is>
      </c>
      <c r="E49" s="22" t="n"/>
      <c r="F49" s="1" t="n"/>
    </row>
    <row r="50">
      <c r="A50" s="1" t="n"/>
      <c r="B50" s="20" t="n">
        <v>46256</v>
      </c>
      <c r="C50" s="21" t="n">
        <v>0.9166666666666666</v>
      </c>
      <c r="D50" s="24" t="inlineStr">
        <is>
          <t>Tablet C</t>
        </is>
      </c>
      <c r="E50" s="22" t="n"/>
      <c r="F50" s="1" t="n"/>
    </row>
    <row r="51">
      <c r="A51" s="1" t="n"/>
      <c r="B51" s="20" t="n">
        <v>46257</v>
      </c>
      <c r="C51" s="21" t="n">
        <v>0.3333333333333333</v>
      </c>
      <c r="D51" s="24" t="inlineStr">
        <is>
          <t>Vitamin D</t>
        </is>
      </c>
      <c r="E51" s="22" t="n"/>
      <c r="F51" s="1" t="n"/>
    </row>
    <row r="52">
      <c r="A52" s="1" t="n"/>
      <c r="B52" s="20" t="n">
        <v>46257</v>
      </c>
      <c r="C52" s="21" t="n">
        <v>0.3368055555555556</v>
      </c>
      <c r="D52" s="24" t="inlineStr">
        <is>
          <t>Tablet A</t>
        </is>
      </c>
      <c r="E52" s="22" t="n"/>
      <c r="F52" s="1" t="n"/>
    </row>
    <row r="53">
      <c r="A53" s="1" t="n"/>
      <c r="B53" s="20" t="n">
        <v>46257</v>
      </c>
      <c r="C53" s="21" t="n">
        <v>0.3472222222222222</v>
      </c>
      <c r="D53" s="24" t="inlineStr">
        <is>
          <t>Tablet B</t>
        </is>
      </c>
      <c r="E53" s="22" t="n"/>
      <c r="F53" s="1" t="n"/>
    </row>
    <row r="54">
      <c r="A54" s="1" t="n"/>
      <c r="B54" s="20" t="n">
        <v>46257</v>
      </c>
      <c r="C54" s="21" t="n">
        <v>0.5034722222222222</v>
      </c>
      <c r="D54" s="24" t="inlineStr">
        <is>
          <t>Old tablet</t>
        </is>
      </c>
      <c r="E54" s="22" t="n"/>
      <c r="F54" s="1" t="n"/>
    </row>
    <row r="55">
      <c r="A55" s="1" t="n"/>
      <c r="B55" s="20" t="n">
        <v>46257</v>
      </c>
      <c r="C55" s="21" t="n">
        <v>0.8333333333333334</v>
      </c>
      <c r="D55" s="24" t="inlineStr">
        <is>
          <t>Tablet A</t>
        </is>
      </c>
      <c r="E55" s="22" t="n"/>
      <c r="F55" s="1" t="n"/>
    </row>
    <row r="56">
      <c r="A56" s="1" t="n"/>
      <c r="B56" s="20" t="n">
        <v>46258</v>
      </c>
      <c r="C56" s="21" t="n">
        <v>0.3402777777777778</v>
      </c>
      <c r="D56" s="24" t="inlineStr">
        <is>
          <t>Tablet B</t>
        </is>
      </c>
      <c r="E56" s="22" t="n"/>
      <c r="F56" s="1" t="n"/>
    </row>
    <row r="57">
      <c r="A57" s="1" t="n"/>
      <c r="B57" s="20" t="n">
        <v>46258</v>
      </c>
      <c r="C57" s="21" t="n">
        <v>0.3472222222222222</v>
      </c>
      <c r="D57" s="24" t="inlineStr">
        <is>
          <t>Tablet A</t>
        </is>
      </c>
      <c r="E57" s="22" t="n"/>
      <c r="F57" s="1" t="n"/>
    </row>
    <row r="58">
      <c r="A58" s="1" t="n"/>
      <c r="B58" s="20" t="n">
        <v>46258</v>
      </c>
      <c r="C58" s="21" t="n">
        <v>0.3472222222222222</v>
      </c>
      <c r="D58" s="24" t="inlineStr">
        <is>
          <t>Vitamin D</t>
        </is>
      </c>
      <c r="E58" s="22" t="n"/>
      <c r="F58" s="1" t="n"/>
    </row>
    <row r="59">
      <c r="A59" s="1" t="n"/>
      <c r="B59" s="20" t="n">
        <v>46258</v>
      </c>
      <c r="C59" s="21" t="n">
        <v>0.5138888888888888</v>
      </c>
      <c r="D59" s="24" t="inlineStr">
        <is>
          <t>Old tablet</t>
        </is>
      </c>
      <c r="E59" s="22" t="n"/>
      <c r="F59" s="1" t="n"/>
    </row>
    <row r="60">
      <c r="A60" s="1" t="n"/>
      <c r="B60" s="20" t="n">
        <v>46258</v>
      </c>
      <c r="C60" s="21" t="n">
        <v>0.8368055555555556</v>
      </c>
      <c r="D60" s="24" t="inlineStr">
        <is>
          <t>Tablet A</t>
        </is>
      </c>
      <c r="E60" s="22" t="n"/>
      <c r="F60" s="1" t="n"/>
    </row>
    <row r="61">
      <c r="A61" s="1" t="n"/>
      <c r="B61" s="20" t="n">
        <v>46258</v>
      </c>
      <c r="C61" s="21" t="n">
        <v>0.9305555555555556</v>
      </c>
      <c r="D61" s="24" t="inlineStr">
        <is>
          <t>Tablet C</t>
        </is>
      </c>
      <c r="E61" s="22" t="n"/>
      <c r="F61" s="1" t="n"/>
    </row>
    <row r="62">
      <c r="A62" s="1" t="n"/>
      <c r="B62" s="20" t="n">
        <v>46259</v>
      </c>
      <c r="C62" s="21" t="n">
        <v>0.3333333333333333</v>
      </c>
      <c r="D62" s="24" t="inlineStr">
        <is>
          <t>Tablet B</t>
        </is>
      </c>
      <c r="E62" s="22" t="n"/>
      <c r="F62" s="1" t="n"/>
    </row>
    <row r="63">
      <c r="A63" s="1" t="n"/>
      <c r="B63" s="20" t="n">
        <v>46259</v>
      </c>
      <c r="C63" s="21" t="n">
        <v>0.3368055555555556</v>
      </c>
      <c r="D63" s="24" t="inlineStr">
        <is>
          <t>Vitamin D</t>
        </is>
      </c>
      <c r="E63" s="22" t="n"/>
      <c r="F63" s="1" t="n"/>
    </row>
    <row r="64">
      <c r="A64" s="1" t="n"/>
      <c r="B64" s="20" t="n">
        <v>46259</v>
      </c>
      <c r="C64" s="21" t="n">
        <v>0.3402777777777778</v>
      </c>
      <c r="D64" s="24" t="inlineStr">
        <is>
          <t>Tablet A</t>
        </is>
      </c>
      <c r="E64" s="22" t="n"/>
      <c r="F64" s="1" t="n"/>
    </row>
    <row r="65">
      <c r="A65" s="1" t="n"/>
      <c r="B65" s="20" t="n">
        <v>46259</v>
      </c>
      <c r="C65" s="21" t="n">
        <v>0.5069444444444444</v>
      </c>
      <c r="D65" s="24" t="inlineStr">
        <is>
          <t>Old tablet</t>
        </is>
      </c>
      <c r="E65" s="22" t="n"/>
      <c r="F65" s="1" t="n"/>
    </row>
    <row r="66">
      <c r="A66" s="1" t="n"/>
      <c r="B66" s="20" t="n">
        <v>46259</v>
      </c>
      <c r="C66" s="21" t="n">
        <v>0.8472222222222222</v>
      </c>
      <c r="D66" s="24" t="inlineStr">
        <is>
          <t>Tablet A</t>
        </is>
      </c>
      <c r="E66" s="22" t="n"/>
      <c r="F66" s="1" t="n"/>
    </row>
    <row r="67">
      <c r="A67" s="1" t="n"/>
      <c r="B67" s="20" t="n">
        <v>46259</v>
      </c>
      <c r="C67" s="21" t="n">
        <v>0.9201388888888888</v>
      </c>
      <c r="D67" s="24" t="inlineStr">
        <is>
          <t>Tablet C</t>
        </is>
      </c>
      <c r="E67" s="22" t="n"/>
      <c r="F67" s="1" t="n"/>
    </row>
    <row r="68">
      <c r="A68" s="1" t="n"/>
      <c r="B68" s="20" t="n">
        <v>46260</v>
      </c>
      <c r="C68" s="21" t="n">
        <v>0.3402777777777778</v>
      </c>
      <c r="D68" s="24" t="inlineStr">
        <is>
          <t>Tablet B</t>
        </is>
      </c>
      <c r="E68" s="22" t="n"/>
      <c r="F68" s="1" t="n"/>
    </row>
    <row r="69">
      <c r="A69" s="1" t="n"/>
      <c r="B69" s="20" t="n">
        <v>46260</v>
      </c>
      <c r="C69" s="21" t="n">
        <v>0.3472222222222222</v>
      </c>
      <c r="D69" s="24" t="inlineStr">
        <is>
          <t>Tablet A</t>
        </is>
      </c>
      <c r="E69" s="22" t="n"/>
      <c r="F69" s="1" t="n"/>
    </row>
    <row r="70">
      <c r="A70" s="1" t="n"/>
      <c r="B70" s="20" t="n">
        <v>46260</v>
      </c>
      <c r="C70" s="21" t="n">
        <v>0.5</v>
      </c>
      <c r="D70" s="24" t="inlineStr">
        <is>
          <t>Old tablet</t>
        </is>
      </c>
      <c r="E70" s="22" t="n"/>
      <c r="F70" s="1" t="n"/>
    </row>
    <row r="71">
      <c r="A71" s="1" t="n"/>
      <c r="B71" s="20" t="n">
        <v>46260</v>
      </c>
      <c r="C71" s="21" t="n">
        <v>0.8368055555555556</v>
      </c>
      <c r="D71" s="24" t="inlineStr">
        <is>
          <t>Tablet A</t>
        </is>
      </c>
      <c r="E71" s="22" t="n"/>
      <c r="F71" s="1" t="n"/>
    </row>
    <row r="72">
      <c r="A72" s="1" t="n"/>
      <c r="B72" s="20" t="n">
        <v>46260</v>
      </c>
      <c r="C72" s="21" t="n">
        <v>0.9236111111111112</v>
      </c>
      <c r="D72" s="24" t="inlineStr">
        <is>
          <t>Tablet C</t>
        </is>
      </c>
      <c r="E72" s="22" t="n"/>
      <c r="F72" s="1" t="n"/>
    </row>
    <row r="73">
      <c r="A73" s="1" t="n"/>
      <c r="B73" s="20" t="n">
        <v>46261</v>
      </c>
      <c r="C73" s="21" t="n">
        <v>0.3402777777777778</v>
      </c>
      <c r="D73" s="24" t="inlineStr">
        <is>
          <t>Tablet A</t>
        </is>
      </c>
      <c r="E73" s="22" t="n"/>
      <c r="F73" s="1" t="n"/>
    </row>
    <row r="74">
      <c r="A74" s="1" t="n"/>
      <c r="B74" s="20" t="n">
        <v>46261</v>
      </c>
      <c r="C74" s="21" t="n">
        <v>0.3472222222222222</v>
      </c>
      <c r="D74" s="24" t="inlineStr">
        <is>
          <t>Tablet B</t>
        </is>
      </c>
      <c r="E74" s="22" t="n"/>
      <c r="F74" s="1" t="n"/>
    </row>
    <row r="75">
      <c r="A75" s="1" t="n"/>
      <c r="B75" s="20" t="n">
        <v>46261</v>
      </c>
      <c r="C75" s="21" t="n">
        <v>0.3472222222222222</v>
      </c>
      <c r="D75" s="24" t="inlineStr">
        <is>
          <t>Vitamin D</t>
        </is>
      </c>
      <c r="E75" s="22" t="n"/>
      <c r="F75" s="1" t="n"/>
    </row>
    <row r="76">
      <c r="A76" s="1" t="n"/>
      <c r="B76" s="20" t="n">
        <v>46261</v>
      </c>
      <c r="C76" s="21" t="n">
        <v>0.5</v>
      </c>
      <c r="D76" s="24" t="inlineStr">
        <is>
          <t>Old tablet</t>
        </is>
      </c>
      <c r="E76" s="22" t="n"/>
      <c r="F76" s="1" t="n"/>
    </row>
    <row r="77">
      <c r="A77" s="1" t="n"/>
      <c r="B77" s="20" t="n">
        <v>46261</v>
      </c>
      <c r="C77" s="21" t="n">
        <v>0.8368055555555556</v>
      </c>
      <c r="D77" s="24" t="inlineStr">
        <is>
          <t>Tablet A</t>
        </is>
      </c>
      <c r="E77" s="22" t="n"/>
      <c r="F77" s="1" t="n"/>
    </row>
    <row r="78">
      <c r="A78" s="1" t="n"/>
      <c r="B78" s="20" t="n">
        <v>46261</v>
      </c>
      <c r="C78" s="21" t="n">
        <v>0.9236111111111112</v>
      </c>
      <c r="D78" s="24" t="inlineStr">
        <is>
          <t>Tablet C</t>
        </is>
      </c>
      <c r="E78" s="22" t="n"/>
      <c r="F78" s="1" t="n"/>
    </row>
    <row r="79">
      <c r="A79" s="1" t="n"/>
      <c r="B79" s="20" t="n">
        <v>46262</v>
      </c>
      <c r="C79" s="21" t="n">
        <v>0.3333333333333333</v>
      </c>
      <c r="D79" s="24" t="inlineStr">
        <is>
          <t>Tablet A</t>
        </is>
      </c>
      <c r="E79" s="22" t="n"/>
      <c r="F79" s="1" t="n"/>
    </row>
    <row r="80">
      <c r="A80" s="1" t="n"/>
      <c r="B80" s="20" t="n">
        <v>46262</v>
      </c>
      <c r="C80" s="21" t="n">
        <v>0.3402777777777778</v>
      </c>
      <c r="D80" s="24" t="inlineStr">
        <is>
          <t>Tablet B</t>
        </is>
      </c>
      <c r="E80" s="22" t="n"/>
      <c r="F80" s="1" t="n"/>
    </row>
    <row r="81">
      <c r="A81" s="1" t="n"/>
      <c r="B81" s="20" t="n">
        <v>46262</v>
      </c>
      <c r="C81" s="21" t="n">
        <v>0.3472222222222222</v>
      </c>
      <c r="D81" s="24" t="inlineStr">
        <is>
          <t>Vitamin D</t>
        </is>
      </c>
      <c r="E81" s="22" t="n"/>
      <c r="F81" s="1" t="n"/>
    </row>
    <row r="82">
      <c r="A82" s="1" t="n"/>
      <c r="B82" s="20" t="n">
        <v>46262</v>
      </c>
      <c r="C82" s="21" t="n">
        <v>0.5138888888888888</v>
      </c>
      <c r="D82" s="24" t="inlineStr">
        <is>
          <t>Old tablet</t>
        </is>
      </c>
      <c r="E82" s="22" t="n"/>
      <c r="F82" s="1" t="n"/>
    </row>
    <row r="83">
      <c r="A83" s="1" t="n"/>
      <c r="B83" s="20" t="n">
        <v>46262</v>
      </c>
      <c r="C83" s="21" t="n">
        <v>0.8368055555555556</v>
      </c>
      <c r="D83" s="24" t="inlineStr">
        <is>
          <t>Tablet A</t>
        </is>
      </c>
      <c r="E83" s="22" t="n"/>
      <c r="F83" s="1" t="n"/>
    </row>
    <row r="84">
      <c r="A84" s="1" t="n"/>
      <c r="B84" s="20" t="n">
        <v>46262</v>
      </c>
      <c r="C84" s="21" t="n">
        <v>0.9236111111111112</v>
      </c>
      <c r="D84" s="24" t="inlineStr">
        <is>
          <t>Tablet C</t>
        </is>
      </c>
      <c r="E84" s="22" t="n"/>
      <c r="F84" s="1" t="n"/>
    </row>
    <row r="85">
      <c r="A85" s="1" t="n"/>
      <c r="B85" s="20" t="n">
        <v>46263</v>
      </c>
      <c r="C85" s="21" t="n">
        <v>0.3333333333333333</v>
      </c>
      <c r="D85" s="24" t="inlineStr">
        <is>
          <t>Tablet B</t>
        </is>
      </c>
      <c r="E85" s="22" t="n"/>
      <c r="F85" s="1" t="n"/>
    </row>
    <row r="86">
      <c r="A86" s="1" t="n"/>
      <c r="B86" s="20" t="n">
        <v>46263</v>
      </c>
      <c r="C86" s="21" t="n">
        <v>0.3368055555555556</v>
      </c>
      <c r="D86" s="24" t="inlineStr">
        <is>
          <t>Tablet A</t>
        </is>
      </c>
      <c r="E86" s="22" t="n"/>
      <c r="F86" s="1" t="n"/>
    </row>
    <row r="87">
      <c r="A87" s="1" t="n"/>
      <c r="B87" s="20" t="n">
        <v>46263</v>
      </c>
      <c r="C87" s="21" t="n">
        <v>0.3368055555555556</v>
      </c>
      <c r="D87" s="24" t="inlineStr">
        <is>
          <t>Vitamin D</t>
        </is>
      </c>
      <c r="E87" s="22" t="n"/>
      <c r="F87" s="1" t="n"/>
    </row>
    <row r="88">
      <c r="A88" s="1" t="n"/>
      <c r="B88" s="20" t="n">
        <v>46263</v>
      </c>
      <c r="C88" s="21" t="n">
        <v>0.5138888888888888</v>
      </c>
      <c r="D88" s="24" t="inlineStr">
        <is>
          <t>Old tablet</t>
        </is>
      </c>
      <c r="E88" s="22" t="n"/>
      <c r="F88" s="1" t="n"/>
    </row>
    <row r="89">
      <c r="A89" s="1" t="n"/>
      <c r="B89" s="20" t="n">
        <v>46263</v>
      </c>
      <c r="C89" s="21" t="n">
        <v>0.9305555555555556</v>
      </c>
      <c r="D89" s="24" t="inlineStr">
        <is>
          <t>Tablet C</t>
        </is>
      </c>
      <c r="E89" s="22" t="n"/>
      <c r="F89" s="1" t="n"/>
    </row>
    <row r="90">
      <c r="A90" s="1" t="n"/>
      <c r="B90" s="20" t="n">
        <v>46264</v>
      </c>
      <c r="C90" s="21" t="n">
        <v>0.3333333333333333</v>
      </c>
      <c r="D90" s="24" t="inlineStr">
        <is>
          <t>Tablet B</t>
        </is>
      </c>
      <c r="E90" s="22" t="n"/>
      <c r="F90" s="1" t="n"/>
    </row>
    <row r="91">
      <c r="A91" s="1" t="n"/>
      <c r="B91" s="20" t="n">
        <v>46264</v>
      </c>
      <c r="C91" s="21" t="n">
        <v>0.3368055555555556</v>
      </c>
      <c r="D91" s="24" t="inlineStr">
        <is>
          <t>Tablet A</t>
        </is>
      </c>
      <c r="E91" s="22" t="n"/>
      <c r="F91" s="1" t="n"/>
    </row>
    <row r="92">
      <c r="A92" s="1" t="n"/>
      <c r="B92" s="20" t="n">
        <v>46264</v>
      </c>
      <c r="C92" s="21" t="n">
        <v>0.3368055555555556</v>
      </c>
      <c r="D92" s="24" t="inlineStr">
        <is>
          <t>Vitamin D</t>
        </is>
      </c>
      <c r="E92" s="22" t="n"/>
      <c r="F92" s="1" t="n"/>
    </row>
    <row r="93">
      <c r="A93" s="1" t="n"/>
      <c r="B93" s="20" t="n">
        <v>46264</v>
      </c>
      <c r="C93" s="21" t="n">
        <v>0.5069444444444444</v>
      </c>
      <c r="D93" s="24" t="inlineStr">
        <is>
          <t>Old tablet</t>
        </is>
      </c>
      <c r="E93" s="22" t="n"/>
      <c r="F93" s="1" t="n"/>
    </row>
    <row r="94">
      <c r="A94" s="1" t="n"/>
      <c r="B94" s="20" t="n">
        <v>46264</v>
      </c>
      <c r="C94" s="21" t="n">
        <v>0.8472222222222222</v>
      </c>
      <c r="D94" s="24" t="inlineStr">
        <is>
          <t>Tablet A</t>
        </is>
      </c>
      <c r="E94" s="22" t="n"/>
      <c r="F94" s="1" t="n"/>
    </row>
    <row r="95">
      <c r="A95" s="1" t="n"/>
      <c r="B95" s="20" t="n">
        <v>46264</v>
      </c>
      <c r="C95" s="21" t="n">
        <v>0.9236111111111112</v>
      </c>
      <c r="D95" s="24" t="inlineStr">
        <is>
          <t>Tablet C</t>
        </is>
      </c>
      <c r="E95" s="22" t="n"/>
      <c r="F95" s="1" t="n"/>
    </row>
    <row r="96">
      <c r="A96" s="1" t="n"/>
      <c r="B96" s="20" t="n">
        <v>46265</v>
      </c>
      <c r="C96" s="21" t="n">
        <v>0.3402777777777778</v>
      </c>
      <c r="D96" s="24" t="inlineStr">
        <is>
          <t>Vitamin D</t>
        </is>
      </c>
      <c r="E96" s="22" t="n"/>
      <c r="F96" s="1" t="n"/>
    </row>
    <row r="97">
      <c r="A97" s="1" t="n"/>
      <c r="B97" s="20" t="n">
        <v>46265</v>
      </c>
      <c r="C97" s="21" t="n">
        <v>0.3472222222222222</v>
      </c>
      <c r="D97" s="24" t="inlineStr">
        <is>
          <t>Tablet A</t>
        </is>
      </c>
      <c r="E97" s="22" t="n"/>
      <c r="F97" s="1" t="n"/>
    </row>
    <row r="98">
      <c r="A98" s="1" t="n"/>
      <c r="B98" s="20" t="n">
        <v>46265</v>
      </c>
      <c r="C98" s="21" t="n">
        <v>0.3472222222222222</v>
      </c>
      <c r="D98" s="24" t="inlineStr">
        <is>
          <t>Tablet B</t>
        </is>
      </c>
      <c r="E98" s="22" t="n"/>
      <c r="F98" s="1" t="n"/>
    </row>
    <row r="99">
      <c r="A99" s="1" t="n"/>
      <c r="B99" s="20" t="n">
        <v>46265</v>
      </c>
      <c r="C99" s="21" t="n">
        <v>0.5034722222222222</v>
      </c>
      <c r="D99" s="24" t="inlineStr">
        <is>
          <t>Old tablet</t>
        </is>
      </c>
      <c r="E99" s="22" t="n"/>
      <c r="F99" s="1" t="n"/>
    </row>
    <row r="100">
      <c r="A100" s="1" t="n"/>
      <c r="B100" s="20" t="n">
        <v>46265</v>
      </c>
      <c r="C100" s="21" t="n">
        <v>0.8368055555555556</v>
      </c>
      <c r="D100" s="24" t="inlineStr">
        <is>
          <t>Tablet A</t>
        </is>
      </c>
      <c r="E100" s="22" t="n"/>
      <c r="F100" s="1" t="n"/>
    </row>
    <row r="101">
      <c r="A101" s="1" t="n"/>
      <c r="B101" s="20" t="n">
        <v>46265</v>
      </c>
      <c r="C101" s="21" t="n">
        <v>0.9236111111111112</v>
      </c>
      <c r="D101" s="24" t="inlineStr">
        <is>
          <t>Tablet C</t>
        </is>
      </c>
      <c r="E101" s="22" t="n"/>
      <c r="F101" s="1" t="n"/>
    </row>
    <row r="102">
      <c r="A102" s="1" t="n"/>
      <c r="B102" s="20" t="n">
        <v>46266</v>
      </c>
      <c r="C102" s="21" t="n">
        <v>0.3368055555555556</v>
      </c>
      <c r="D102" s="24" t="inlineStr">
        <is>
          <t>Tablet A</t>
        </is>
      </c>
      <c r="E102" s="22" t="n"/>
      <c r="F102" s="1" t="n"/>
    </row>
    <row r="103">
      <c r="A103" s="1" t="n"/>
      <c r="B103" s="20" t="n">
        <v>46266</v>
      </c>
      <c r="C103" s="21" t="n">
        <v>0.3402777777777778</v>
      </c>
      <c r="D103" s="24" t="inlineStr">
        <is>
          <t>Tablet B</t>
        </is>
      </c>
      <c r="E103" s="22" t="n"/>
      <c r="F103" s="1" t="n"/>
    </row>
    <row r="104">
      <c r="A104" s="1" t="n"/>
      <c r="B104" s="20" t="n">
        <v>46266</v>
      </c>
      <c r="C104" s="21" t="n">
        <v>0.3472222222222222</v>
      </c>
      <c r="D104" s="24" t="inlineStr">
        <is>
          <t>Vitamin D</t>
        </is>
      </c>
      <c r="E104" s="22" t="n"/>
      <c r="F104" s="1" t="n"/>
    </row>
    <row r="105">
      <c r="A105" s="1" t="n"/>
      <c r="B105" s="20" t="n">
        <v>46266</v>
      </c>
      <c r="C105" s="21" t="n">
        <v>0.5034722222222222</v>
      </c>
      <c r="D105" s="24" t="inlineStr">
        <is>
          <t>Old tablet</t>
        </is>
      </c>
      <c r="E105" s="22" t="n"/>
      <c r="F105" s="1" t="n"/>
    </row>
    <row r="106">
      <c r="A106" s="1" t="n"/>
      <c r="B106" s="20" t="n">
        <v>46266</v>
      </c>
      <c r="C106" s="21" t="n">
        <v>0.8402777777777778</v>
      </c>
      <c r="D106" s="24" t="inlineStr">
        <is>
          <t>Tablet A</t>
        </is>
      </c>
      <c r="E106" s="22" t="n"/>
      <c r="F106" s="1" t="n"/>
    </row>
    <row r="107">
      <c r="A107" s="1" t="n"/>
      <c r="B107" s="20" t="n">
        <v>46266</v>
      </c>
      <c r="C107" s="21" t="n">
        <v>0.9201388888888888</v>
      </c>
      <c r="D107" s="24" t="inlineStr">
        <is>
          <t>Tablet C</t>
        </is>
      </c>
      <c r="E107" s="22" t="n"/>
      <c r="F107" s="1" t="n"/>
    </row>
    <row r="108">
      <c r="A108" s="1" t="n"/>
      <c r="B108" s="20" t="n">
        <v>46267</v>
      </c>
      <c r="C108" s="21" t="n">
        <v>0.3402777777777778</v>
      </c>
      <c r="D108" s="24" t="inlineStr">
        <is>
          <t>Tablet A</t>
        </is>
      </c>
      <c r="E108" s="22" t="n"/>
      <c r="F108" s="1" t="n"/>
    </row>
    <row r="109">
      <c r="A109" s="1" t="n"/>
      <c r="B109" s="20" t="n">
        <v>46267</v>
      </c>
      <c r="C109" s="21" t="n">
        <v>0.3402777777777778</v>
      </c>
      <c r="D109" s="24" t="inlineStr">
        <is>
          <t>Tablet B</t>
        </is>
      </c>
      <c r="E109" s="22" t="n"/>
      <c r="F109" s="1" t="n"/>
    </row>
    <row r="110">
      <c r="A110" s="1" t="n"/>
      <c r="B110" s="20" t="n">
        <v>46267</v>
      </c>
      <c r="C110" s="21" t="n">
        <v>0.3472222222222222</v>
      </c>
      <c r="D110" s="24" t="inlineStr">
        <is>
          <t>Vitamin D</t>
        </is>
      </c>
      <c r="E110" s="22" t="n"/>
      <c r="F110" s="1" t="n"/>
    </row>
    <row r="111">
      <c r="A111" s="1" t="n"/>
      <c r="B111" s="20" t="n">
        <v>46267</v>
      </c>
      <c r="C111" s="21" t="n">
        <v>0.5034722222222222</v>
      </c>
      <c r="D111" s="24" t="inlineStr">
        <is>
          <t>Old tablet</t>
        </is>
      </c>
      <c r="E111" s="22" t="n"/>
      <c r="F111" s="1" t="n"/>
    </row>
    <row r="112">
      <c r="A112" s="1" t="n"/>
      <c r="B112" s="20" t="n">
        <v>46267</v>
      </c>
      <c r="C112" s="21" t="n">
        <v>0.8333333333333334</v>
      </c>
      <c r="D112" s="24" t="inlineStr">
        <is>
          <t>Tablet A</t>
        </is>
      </c>
      <c r="E112" s="22" t="n"/>
      <c r="F112" s="1" t="n"/>
    </row>
    <row r="113">
      <c r="A113" s="1" t="n"/>
      <c r="B113" s="20" t="n">
        <v>46267</v>
      </c>
      <c r="C113" s="21" t="n">
        <v>0.9201388888888888</v>
      </c>
      <c r="D113" s="24" t="inlineStr">
        <is>
          <t>Tablet C</t>
        </is>
      </c>
      <c r="E113" s="22" t="n"/>
      <c r="F113" s="1" t="n"/>
    </row>
    <row r="114">
      <c r="A114" s="1" t="n"/>
      <c r="B114" s="20" t="n">
        <v>46268</v>
      </c>
      <c r="C114" s="21" t="n">
        <v>0.3333333333333333</v>
      </c>
      <c r="D114" s="24" t="inlineStr">
        <is>
          <t>Vitamin D</t>
        </is>
      </c>
      <c r="E114" s="22" t="n"/>
      <c r="F114" s="1" t="n"/>
    </row>
    <row r="115">
      <c r="A115" s="1" t="n"/>
      <c r="B115" s="20" t="n">
        <v>46268</v>
      </c>
      <c r="C115" s="21" t="n">
        <v>0.3402777777777778</v>
      </c>
      <c r="D115" s="24" t="inlineStr">
        <is>
          <t>Tablet A</t>
        </is>
      </c>
      <c r="E115" s="22" t="n"/>
      <c r="F115" s="1" t="n"/>
    </row>
    <row r="116">
      <c r="A116" s="1" t="n"/>
      <c r="B116" s="20" t="n">
        <v>46268</v>
      </c>
      <c r="C116" s="21" t="n">
        <v>0.3402777777777778</v>
      </c>
      <c r="D116" s="24" t="inlineStr">
        <is>
          <t>Tablet B</t>
        </is>
      </c>
      <c r="E116" s="22" t="n"/>
      <c r="F116" s="1" t="n"/>
    </row>
    <row r="117">
      <c r="A117" s="1" t="n"/>
      <c r="B117" s="20" t="n">
        <v>46268</v>
      </c>
      <c r="C117" s="21" t="n">
        <v>0.5</v>
      </c>
      <c r="D117" s="24" t="inlineStr">
        <is>
          <t>Old tablet</t>
        </is>
      </c>
      <c r="E117" s="22" t="n"/>
      <c r="F117" s="1" t="n"/>
    </row>
    <row r="118">
      <c r="A118" s="1" t="n"/>
      <c r="B118" s="20" t="n">
        <v>46268</v>
      </c>
      <c r="C118" s="21" t="n">
        <v>0.8368055555555556</v>
      </c>
      <c r="D118" s="24" t="inlineStr">
        <is>
          <t>Tablet A</t>
        </is>
      </c>
      <c r="E118" s="22" t="n"/>
      <c r="F118" s="1" t="n"/>
    </row>
    <row r="119">
      <c r="A119" s="1" t="n"/>
      <c r="B119" s="20" t="n">
        <v>46268</v>
      </c>
      <c r="C119" s="21" t="n">
        <v>0.9305555555555556</v>
      </c>
      <c r="D119" s="24" t="inlineStr">
        <is>
          <t>Tablet C</t>
        </is>
      </c>
      <c r="E119" s="22" t="n"/>
      <c r="F119" s="1" t="n"/>
    </row>
    <row r="120">
      <c r="A120" s="1" t="n"/>
      <c r="B120" s="20" t="n">
        <v>46269</v>
      </c>
      <c r="C120" s="21" t="n">
        <v>0.3333333333333333</v>
      </c>
      <c r="D120" s="24" t="inlineStr">
        <is>
          <t>Vitamin D</t>
        </is>
      </c>
      <c r="E120" s="22" t="n"/>
      <c r="F120" s="1" t="n"/>
    </row>
    <row r="121">
      <c r="A121" s="1" t="n"/>
      <c r="B121" s="20" t="n">
        <v>46269</v>
      </c>
      <c r="C121" s="21" t="n">
        <v>0.3368055555555556</v>
      </c>
      <c r="D121" s="24" t="inlineStr">
        <is>
          <t>Tablet A</t>
        </is>
      </c>
      <c r="E121" s="22" t="n"/>
      <c r="F121" s="1" t="n"/>
    </row>
    <row r="122">
      <c r="A122" s="1" t="n"/>
      <c r="B122" s="20" t="n">
        <v>46269</v>
      </c>
      <c r="C122" s="21" t="n">
        <v>0.3368055555555556</v>
      </c>
      <c r="D122" s="24" t="inlineStr">
        <is>
          <t>Tablet B</t>
        </is>
      </c>
      <c r="E122" s="22" t="n"/>
      <c r="F122" s="1" t="n"/>
    </row>
    <row r="123">
      <c r="A123" s="1" t="n"/>
      <c r="B123" s="20" t="n">
        <v>46269</v>
      </c>
      <c r="C123" s="21" t="n">
        <v>0.5</v>
      </c>
      <c r="D123" s="24" t="inlineStr">
        <is>
          <t>Old tablet</t>
        </is>
      </c>
      <c r="E123" s="22" t="n"/>
      <c r="F123" s="1" t="n"/>
    </row>
    <row r="124">
      <c r="A124" s="1" t="n"/>
      <c r="B124" s="20" t="n">
        <v>46269</v>
      </c>
      <c r="C124" s="21" t="n">
        <v>0.9166666666666666</v>
      </c>
      <c r="D124" s="24" t="inlineStr">
        <is>
          <t>Tablet C</t>
        </is>
      </c>
      <c r="E124" s="22" t="n"/>
      <c r="F124" s="1" t="n"/>
    </row>
    <row r="125">
      <c r="A125" s="1" t="n"/>
      <c r="B125" s="20" t="n">
        <v>46270</v>
      </c>
      <c r="C125" s="21" t="n">
        <v>0.3333333333333333</v>
      </c>
      <c r="D125" s="24" t="inlineStr">
        <is>
          <t>Vitamin D</t>
        </is>
      </c>
      <c r="E125" s="22" t="n"/>
      <c r="F125" s="1" t="n"/>
    </row>
    <row r="126">
      <c r="A126" s="1" t="n"/>
      <c r="B126" s="20" t="n">
        <v>46270</v>
      </c>
      <c r="C126" s="21" t="n">
        <v>0.3368055555555556</v>
      </c>
      <c r="D126" s="24" t="inlineStr">
        <is>
          <t>Tablet B</t>
        </is>
      </c>
      <c r="E126" s="22" t="n"/>
      <c r="F126" s="1" t="n"/>
    </row>
    <row r="127">
      <c r="A127" s="1" t="n"/>
      <c r="B127" s="20" t="n">
        <v>46270</v>
      </c>
      <c r="C127" s="21" t="n">
        <v>0.3472222222222222</v>
      </c>
      <c r="D127" s="24" t="inlineStr">
        <is>
          <t>Tablet A</t>
        </is>
      </c>
      <c r="E127" s="22" t="n"/>
      <c r="F127" s="1" t="n"/>
    </row>
    <row r="128">
      <c r="A128" s="1" t="n"/>
      <c r="B128" s="20" t="n">
        <v>46270</v>
      </c>
      <c r="C128" s="21" t="n">
        <v>0.5138888888888888</v>
      </c>
      <c r="D128" s="24" t="inlineStr">
        <is>
          <t>Old tablet</t>
        </is>
      </c>
      <c r="E128" s="22" t="n"/>
      <c r="F128" s="1" t="n"/>
    </row>
    <row r="129">
      <c r="A129" s="1" t="n"/>
      <c r="B129" s="20" t="n">
        <v>46270</v>
      </c>
      <c r="C129" s="21" t="n">
        <v>0.8333333333333334</v>
      </c>
      <c r="D129" s="24" t="inlineStr">
        <is>
          <t>Tablet A</t>
        </is>
      </c>
      <c r="E129" s="22" t="n"/>
      <c r="F129" s="1" t="n"/>
    </row>
    <row r="130">
      <c r="A130" s="1" t="n"/>
      <c r="B130" s="20" t="n">
        <v>46270</v>
      </c>
      <c r="C130" s="21" t="n">
        <v>0.9305555555555556</v>
      </c>
      <c r="D130" s="24" t="inlineStr">
        <is>
          <t>Tablet C</t>
        </is>
      </c>
      <c r="E130" s="22" t="n"/>
      <c r="F130" s="1" t="n"/>
    </row>
    <row r="131">
      <c r="A131" s="1" t="n"/>
      <c r="B131" s="20" t="n">
        <v>46271</v>
      </c>
      <c r="C131" s="21" t="n">
        <v>0.3368055555555556</v>
      </c>
      <c r="D131" s="24" t="inlineStr">
        <is>
          <t>Tablet A</t>
        </is>
      </c>
      <c r="E131" s="22" t="n"/>
      <c r="F131" s="1" t="n"/>
    </row>
    <row r="132">
      <c r="A132" s="1" t="n"/>
      <c r="B132" s="20" t="n">
        <v>46271</v>
      </c>
      <c r="C132" s="21" t="n">
        <v>0.3368055555555556</v>
      </c>
      <c r="D132" s="24" t="inlineStr">
        <is>
          <t>Vitamin D</t>
        </is>
      </c>
      <c r="E132" s="22" t="n"/>
      <c r="F132" s="1" t="n"/>
    </row>
    <row r="133">
      <c r="A133" s="1" t="n"/>
      <c r="B133" s="20" t="n">
        <v>46271</v>
      </c>
      <c r="C133" s="21" t="n">
        <v>0.3402777777777778</v>
      </c>
      <c r="D133" s="24" t="inlineStr">
        <is>
          <t>Tablet B</t>
        </is>
      </c>
      <c r="E133" s="22" t="n"/>
      <c r="F133" s="1" t="n"/>
    </row>
    <row r="134">
      <c r="A134" s="1" t="n"/>
      <c r="B134" s="20" t="n">
        <v>46271</v>
      </c>
      <c r="C134" s="21" t="n">
        <v>0.5</v>
      </c>
      <c r="D134" s="24" t="inlineStr">
        <is>
          <t>Old tablet</t>
        </is>
      </c>
      <c r="E134" s="22" t="n"/>
      <c r="F134" s="1" t="n"/>
    </row>
    <row r="135">
      <c r="A135" s="1" t="n"/>
      <c r="B135" s="20" t="n">
        <v>46271</v>
      </c>
      <c r="C135" s="21" t="n">
        <v>0.8333333333333334</v>
      </c>
      <c r="D135" s="24" t="inlineStr">
        <is>
          <t>Tablet A</t>
        </is>
      </c>
      <c r="E135" s="22" t="n"/>
      <c r="F135" s="1" t="n"/>
    </row>
    <row r="136">
      <c r="A136" s="1" t="n"/>
      <c r="B136" s="20" t="n">
        <v>46271</v>
      </c>
      <c r="C136" s="21" t="n">
        <v>0.9201388888888888</v>
      </c>
      <c r="D136" s="24" t="inlineStr">
        <is>
          <t>Tablet C</t>
        </is>
      </c>
      <c r="E136" s="22" t="n"/>
      <c r="F136" s="1" t="n"/>
    </row>
    <row r="137">
      <c r="A137" s="1" t="n"/>
      <c r="B137" s="20" t="n">
        <v>46272</v>
      </c>
      <c r="C137" s="21" t="n">
        <v>0.3333333333333333</v>
      </c>
      <c r="D137" s="24" t="inlineStr">
        <is>
          <t>Tablet A</t>
        </is>
      </c>
      <c r="E137" s="22" t="n"/>
      <c r="F137" s="1" t="n"/>
    </row>
    <row r="138">
      <c r="A138" s="1" t="n"/>
      <c r="B138" s="20" t="n">
        <v>46272</v>
      </c>
      <c r="C138" s="21" t="n">
        <v>0.3368055555555556</v>
      </c>
      <c r="D138" s="24" t="inlineStr">
        <is>
          <t>Tablet B</t>
        </is>
      </c>
      <c r="E138" s="22" t="n"/>
      <c r="F138" s="1" t="n"/>
    </row>
    <row r="139">
      <c r="A139" s="1" t="n"/>
      <c r="B139" s="20" t="n">
        <v>46272</v>
      </c>
      <c r="C139" s="21" t="n">
        <v>0.3368055555555556</v>
      </c>
      <c r="D139" s="24" t="inlineStr">
        <is>
          <t>Vitamin D</t>
        </is>
      </c>
      <c r="E139" s="22" t="n"/>
      <c r="F139" s="1" t="n"/>
    </row>
    <row r="140">
      <c r="A140" s="1" t="n"/>
      <c r="B140" s="20" t="n">
        <v>46272</v>
      </c>
      <c r="C140" s="21" t="n">
        <v>0.8333333333333334</v>
      </c>
      <c r="D140" s="24" t="inlineStr">
        <is>
          <t>Tablet A</t>
        </is>
      </c>
      <c r="E140" s="22" t="n"/>
      <c r="F140" s="1" t="n"/>
    </row>
    <row r="141">
      <c r="A141" s="1" t="n"/>
      <c r="B141" s="20" t="n">
        <v>46272</v>
      </c>
      <c r="C141" s="21" t="n">
        <v>0.9201388888888888</v>
      </c>
      <c r="D141" s="24" t="inlineStr">
        <is>
          <t>Tablet C</t>
        </is>
      </c>
      <c r="E141" s="22" t="n"/>
      <c r="F141" s="1" t="n"/>
    </row>
    <row r="142">
      <c r="A142" s="1" t="n"/>
      <c r="B142" s="20" t="n">
        <v>46273</v>
      </c>
      <c r="C142" s="21" t="n">
        <v>0.3333333333333333</v>
      </c>
      <c r="D142" s="24" t="inlineStr">
        <is>
          <t>Tablet B</t>
        </is>
      </c>
      <c r="E142" s="22" t="n"/>
      <c r="F142" s="1" t="n"/>
    </row>
    <row r="143">
      <c r="A143" s="1" t="n"/>
      <c r="B143" s="20" t="n">
        <v>46273</v>
      </c>
      <c r="C143" s="21" t="n">
        <v>0.3368055555555556</v>
      </c>
      <c r="D143" s="24" t="inlineStr">
        <is>
          <t>Tablet A</t>
        </is>
      </c>
      <c r="E143" s="22" t="n"/>
      <c r="F143" s="1" t="n"/>
    </row>
    <row r="144">
      <c r="A144" s="1" t="n"/>
      <c r="B144" s="20" t="n">
        <v>46273</v>
      </c>
      <c r="C144" s="21" t="n">
        <v>0.3472222222222222</v>
      </c>
      <c r="D144" s="24" t="inlineStr">
        <is>
          <t>Vitamin D</t>
        </is>
      </c>
      <c r="E144" s="22" t="n"/>
      <c r="F144" s="1" t="n"/>
    </row>
    <row r="145">
      <c r="A145" s="1" t="n"/>
      <c r="B145" s="20" t="n">
        <v>46273</v>
      </c>
      <c r="C145" s="21" t="n">
        <v>0.5034722222222222</v>
      </c>
      <c r="D145" s="24" t="inlineStr">
        <is>
          <t>Old tablet</t>
        </is>
      </c>
      <c r="E145" s="22" t="n"/>
      <c r="F145" s="1" t="n"/>
    </row>
    <row r="146">
      <c r="A146" s="1" t="n"/>
      <c r="B146" s="20" t="n">
        <v>46273</v>
      </c>
      <c r="C146" s="21" t="n">
        <v>0.8402777777777778</v>
      </c>
      <c r="D146" s="24" t="inlineStr">
        <is>
          <t>Tablet A</t>
        </is>
      </c>
      <c r="E146" s="22" t="n"/>
      <c r="F146" s="1" t="n"/>
    </row>
    <row r="147">
      <c r="A147" s="1" t="n"/>
      <c r="B147" s="20" t="n">
        <v>46273</v>
      </c>
      <c r="C147" s="21" t="n">
        <v>0.9305555555555556</v>
      </c>
      <c r="D147" s="24" t="inlineStr">
        <is>
          <t>Tablet C</t>
        </is>
      </c>
      <c r="E147" s="22" t="n"/>
      <c r="F147" s="1" t="n"/>
    </row>
    <row r="148">
      <c r="A148" s="1" t="n"/>
      <c r="B148" s="20" t="n">
        <v>46274</v>
      </c>
      <c r="C148" s="21" t="n">
        <v>0.3402777777777778</v>
      </c>
      <c r="D148" s="24" t="inlineStr">
        <is>
          <t>Tablet A</t>
        </is>
      </c>
      <c r="E148" s="22" t="n"/>
      <c r="F148" s="1" t="n"/>
    </row>
    <row r="149">
      <c r="A149" s="1" t="n"/>
      <c r="B149" s="20" t="n">
        <v>46274</v>
      </c>
      <c r="C149" s="21" t="n">
        <v>0.3402777777777778</v>
      </c>
      <c r="D149" s="24" t="inlineStr">
        <is>
          <t>Tablet B</t>
        </is>
      </c>
      <c r="E149" s="22" t="n"/>
      <c r="F149" s="1" t="n"/>
    </row>
    <row r="150">
      <c r="A150" s="1" t="n"/>
      <c r="B150" s="20" t="n">
        <v>46274</v>
      </c>
      <c r="C150" s="21" t="n">
        <v>0.3402777777777778</v>
      </c>
      <c r="D150" s="24" t="inlineStr">
        <is>
          <t>Vitamin D</t>
        </is>
      </c>
      <c r="E150" s="22" t="n"/>
      <c r="F150" s="1" t="n"/>
    </row>
    <row r="151">
      <c r="A151" s="1" t="n"/>
      <c r="B151" s="20" t="n">
        <v>46274</v>
      </c>
      <c r="C151" s="21" t="n">
        <v>0.5034722222222222</v>
      </c>
      <c r="D151" s="24" t="inlineStr">
        <is>
          <t>Old tablet</t>
        </is>
      </c>
      <c r="E151" s="22" t="n"/>
      <c r="F151" s="1" t="n"/>
    </row>
    <row r="152">
      <c r="A152" s="1" t="n"/>
      <c r="B152" s="20" t="n">
        <v>46274</v>
      </c>
      <c r="C152" s="21" t="n">
        <v>0.8402777777777778</v>
      </c>
      <c r="D152" s="24" t="inlineStr">
        <is>
          <t>Tablet A</t>
        </is>
      </c>
      <c r="E152" s="22" t="n"/>
      <c r="F152" s="1" t="n"/>
    </row>
    <row r="153">
      <c r="A153" s="1" t="n"/>
      <c r="B153" s="20" t="n">
        <v>46274</v>
      </c>
      <c r="C153" s="21" t="n">
        <v>0.9201388888888888</v>
      </c>
      <c r="D153" s="24" t="inlineStr">
        <is>
          <t>Tablet C</t>
        </is>
      </c>
      <c r="E153" s="22" t="n"/>
      <c r="F153" s="1" t="n"/>
    </row>
    <row r="154">
      <c r="A154" s="1" t="n"/>
      <c r="B154" s="20" t="n">
        <v>46275</v>
      </c>
      <c r="C154" s="21" t="n">
        <v>0.3333333333333333</v>
      </c>
      <c r="D154" s="24" t="inlineStr">
        <is>
          <t>Tablet A</t>
        </is>
      </c>
      <c r="E154" s="22" t="n"/>
      <c r="F154" s="1" t="n"/>
    </row>
    <row r="155">
      <c r="A155" s="1" t="n"/>
      <c r="B155" s="20" t="n">
        <v>46275</v>
      </c>
      <c r="C155" s="21" t="n">
        <v>0.3333333333333333</v>
      </c>
      <c r="D155" s="24" t="inlineStr">
        <is>
          <t>Vitamin D</t>
        </is>
      </c>
      <c r="E155" s="22" t="n"/>
      <c r="F155" s="1" t="n"/>
    </row>
    <row r="156">
      <c r="A156" s="1" t="n"/>
      <c r="B156" s="20" t="n">
        <v>46275</v>
      </c>
      <c r="C156" s="21" t="n">
        <v>0.3472222222222222</v>
      </c>
      <c r="D156" s="24" t="inlineStr">
        <is>
          <t>Tablet B</t>
        </is>
      </c>
      <c r="E156" s="22" t="n"/>
      <c r="F156" s="1" t="n"/>
    </row>
    <row r="157">
      <c r="A157" s="1" t="n"/>
      <c r="B157" s="20" t="n">
        <v>46275</v>
      </c>
      <c r="C157" s="21" t="n">
        <v>0.5069444444444444</v>
      </c>
      <c r="D157" s="24" t="inlineStr">
        <is>
          <t>Old tablet</t>
        </is>
      </c>
      <c r="E157" s="22" t="n"/>
      <c r="F157" s="1" t="n"/>
    </row>
    <row r="158">
      <c r="A158" s="1" t="n"/>
      <c r="B158" s="20" t="n">
        <v>46275</v>
      </c>
      <c r="C158" s="21" t="n">
        <v>0.8402777777777778</v>
      </c>
      <c r="D158" s="24" t="inlineStr">
        <is>
          <t>Tablet A</t>
        </is>
      </c>
      <c r="E158" s="22" t="n"/>
      <c r="F158" s="1" t="n"/>
    </row>
    <row r="159">
      <c r="A159" s="1" t="n"/>
      <c r="B159" s="20" t="n">
        <v>46275</v>
      </c>
      <c r="C159" s="21" t="n">
        <v>0.9166666666666666</v>
      </c>
      <c r="D159" s="24" t="inlineStr">
        <is>
          <t>Tablet C</t>
        </is>
      </c>
      <c r="E159" s="22" t="n"/>
      <c r="F159" s="1" t="n"/>
    </row>
    <row r="160">
      <c r="A160" s="1" t="n"/>
      <c r="B160" s="20" t="n">
        <v>46276</v>
      </c>
      <c r="C160" s="21" t="n">
        <v>0.3368055555555556</v>
      </c>
      <c r="D160" s="24" t="inlineStr">
        <is>
          <t>Tablet A</t>
        </is>
      </c>
      <c r="E160" s="22" t="n"/>
      <c r="F160" s="1" t="n"/>
    </row>
    <row r="161">
      <c r="A161" s="1" t="n"/>
      <c r="B161" s="20" t="n">
        <v>46276</v>
      </c>
      <c r="C161" s="21" t="n">
        <v>0.3368055555555556</v>
      </c>
      <c r="D161" s="24" t="inlineStr">
        <is>
          <t>Tablet B</t>
        </is>
      </c>
      <c r="E161" s="22" t="n"/>
      <c r="F161" s="1" t="n"/>
    </row>
    <row r="162">
      <c r="A162" s="1" t="n"/>
      <c r="B162" s="20" t="n">
        <v>46276</v>
      </c>
      <c r="C162" s="21" t="n">
        <v>0.3472222222222222</v>
      </c>
      <c r="D162" s="24" t="inlineStr">
        <is>
          <t>Vitamin D</t>
        </is>
      </c>
      <c r="E162" s="22" t="n"/>
      <c r="F162" s="1" t="n"/>
    </row>
    <row r="163">
      <c r="A163" s="1" t="n"/>
      <c r="B163" s="20" t="n">
        <v>46276</v>
      </c>
      <c r="C163" s="21" t="n">
        <v>0.5</v>
      </c>
      <c r="D163" s="24" t="inlineStr">
        <is>
          <t>Old tablet</t>
        </is>
      </c>
      <c r="E163" s="22" t="n"/>
      <c r="F163" s="1" t="n"/>
    </row>
    <row r="164">
      <c r="A164" s="1" t="n"/>
      <c r="B164" s="20" t="n">
        <v>46276</v>
      </c>
      <c r="C164" s="21" t="n">
        <v>0.8402777777777778</v>
      </c>
      <c r="D164" s="24" t="inlineStr">
        <is>
          <t>Tablet A</t>
        </is>
      </c>
      <c r="E164" s="22" t="n"/>
      <c r="F164" s="1" t="n"/>
    </row>
    <row r="165">
      <c r="A165" s="1" t="n"/>
      <c r="B165" s="20" t="n">
        <v>46276</v>
      </c>
      <c r="C165" s="21" t="n">
        <v>0.9305555555555556</v>
      </c>
      <c r="D165" s="24" t="inlineStr">
        <is>
          <t>Tablet C</t>
        </is>
      </c>
      <c r="E165" s="22" t="n"/>
      <c r="F165" s="1" t="n"/>
    </row>
    <row r="166">
      <c r="A166" s="1" t="n"/>
      <c r="B166" s="20" t="n">
        <v>46277</v>
      </c>
      <c r="C166" s="21" t="n">
        <v>0.3402777777777778</v>
      </c>
      <c r="D166" s="24" t="inlineStr">
        <is>
          <t>Tablet B</t>
        </is>
      </c>
      <c r="E166" s="22" t="n"/>
      <c r="F166" s="1" t="n"/>
    </row>
    <row r="167">
      <c r="A167" s="1" t="n"/>
      <c r="B167" s="20" t="n">
        <v>46277</v>
      </c>
      <c r="C167" s="21" t="n">
        <v>0.3472222222222222</v>
      </c>
      <c r="D167" s="24" t="inlineStr">
        <is>
          <t>Tablet A</t>
        </is>
      </c>
      <c r="E167" s="22" t="n"/>
      <c r="F167" s="1" t="n"/>
    </row>
    <row r="168">
      <c r="A168" s="1" t="n"/>
      <c r="B168" s="20" t="n">
        <v>46277</v>
      </c>
      <c r="C168" s="21" t="n">
        <v>0.3472222222222222</v>
      </c>
      <c r="D168" s="24" t="inlineStr">
        <is>
          <t>Vitamin D</t>
        </is>
      </c>
      <c r="E168" s="22" t="n"/>
      <c r="F168" s="1" t="n"/>
    </row>
    <row r="169">
      <c r="A169" s="1" t="n"/>
      <c r="B169" s="20" t="n">
        <v>46277</v>
      </c>
      <c r="C169" s="21" t="n">
        <v>0.5138888888888888</v>
      </c>
      <c r="D169" s="24" t="inlineStr">
        <is>
          <t>Old tablet</t>
        </is>
      </c>
      <c r="E169" s="22" t="n"/>
      <c r="F169" s="1" t="n"/>
    </row>
    <row r="170">
      <c r="A170" s="1" t="n"/>
      <c r="B170" s="20" t="n">
        <v>46277</v>
      </c>
      <c r="C170" s="21" t="n">
        <v>0.8402777777777778</v>
      </c>
      <c r="D170" s="24" t="inlineStr">
        <is>
          <t>Tablet A</t>
        </is>
      </c>
      <c r="E170" s="22" t="n"/>
      <c r="F170" s="1" t="n"/>
    </row>
    <row r="171">
      <c r="A171" s="1" t="n"/>
      <c r="B171" s="20" t="n">
        <v>46277</v>
      </c>
      <c r="C171" s="21" t="n">
        <v>0.9166666666666666</v>
      </c>
      <c r="D171" s="24" t="inlineStr">
        <is>
          <t>Tablet C</t>
        </is>
      </c>
      <c r="E171" s="22" t="n"/>
      <c r="F171" s="1" t="n"/>
    </row>
    <row r="172">
      <c r="A172" s="1" t="n"/>
      <c r="B172" s="20" t="n">
        <v>46278</v>
      </c>
      <c r="C172" s="21" t="n">
        <v>0.3333333333333333</v>
      </c>
      <c r="D172" s="24" t="inlineStr">
        <is>
          <t>Tablet B</t>
        </is>
      </c>
      <c r="E172" s="22" t="n"/>
      <c r="F172" s="1" t="n"/>
    </row>
    <row r="173">
      <c r="A173" s="1" t="n"/>
      <c r="B173" s="20" t="n">
        <v>46278</v>
      </c>
      <c r="C173" s="21" t="n">
        <v>0.3402777777777778</v>
      </c>
      <c r="D173" s="24" t="inlineStr">
        <is>
          <t>Vitamin D</t>
        </is>
      </c>
      <c r="E173" s="22" t="n"/>
      <c r="F173" s="1" t="n"/>
    </row>
    <row r="174">
      <c r="A174" s="1" t="n"/>
      <c r="B174" s="20" t="n">
        <v>46278</v>
      </c>
      <c r="C174" s="21" t="n">
        <v>0.3472222222222222</v>
      </c>
      <c r="D174" s="24" t="inlineStr">
        <is>
          <t>Tablet A</t>
        </is>
      </c>
      <c r="E174" s="22" t="n"/>
      <c r="F174" s="1" t="n"/>
    </row>
    <row r="175">
      <c r="A175" s="1" t="n"/>
      <c r="B175" s="20" t="n">
        <v>46278</v>
      </c>
      <c r="C175" s="21" t="n">
        <v>0.5138888888888888</v>
      </c>
      <c r="D175" s="24" t="inlineStr">
        <is>
          <t>Old tablet</t>
        </is>
      </c>
      <c r="E175" s="22" t="n"/>
      <c r="F175" s="1" t="n"/>
    </row>
    <row r="176">
      <c r="A176" s="1" t="n"/>
      <c r="B176" s="20" t="n">
        <v>46278</v>
      </c>
      <c r="C176" s="21" t="n">
        <v>0.8402777777777778</v>
      </c>
      <c r="D176" s="24" t="inlineStr">
        <is>
          <t>Tablet A</t>
        </is>
      </c>
      <c r="E176" s="22" t="n"/>
      <c r="F176" s="1" t="n"/>
    </row>
    <row r="177">
      <c r="A177" s="1" t="n"/>
      <c r="B177" s="20" t="n">
        <v>46279</v>
      </c>
      <c r="C177" s="21" t="n">
        <v>0.3333333333333333</v>
      </c>
      <c r="D177" s="24" t="inlineStr">
        <is>
          <t>Tablet A</t>
        </is>
      </c>
      <c r="E177" s="22" t="n"/>
      <c r="F177" s="1" t="n"/>
    </row>
    <row r="178">
      <c r="A178" s="1" t="n"/>
      <c r="B178" s="20" t="n">
        <v>46279</v>
      </c>
      <c r="C178" s="21" t="n">
        <v>0.3368055555555556</v>
      </c>
      <c r="D178" s="24" t="inlineStr">
        <is>
          <t>Vitamin D</t>
        </is>
      </c>
      <c r="E178" s="22" t="n"/>
      <c r="F178" s="1" t="n"/>
    </row>
    <row r="179">
      <c r="A179" s="1" t="n"/>
      <c r="B179" s="20" t="n">
        <v>46279</v>
      </c>
      <c r="C179" s="21" t="n">
        <v>0.8472222222222222</v>
      </c>
      <c r="D179" s="24" t="inlineStr">
        <is>
          <t>Tablet A</t>
        </is>
      </c>
      <c r="E179" s="22" t="n"/>
      <c r="F179" s="1" t="n"/>
    </row>
    <row r="180">
      <c r="A180" s="1" t="n"/>
      <c r="B180" s="20" t="n">
        <v>46279</v>
      </c>
      <c r="C180" s="21" t="n">
        <v>0.9236111111111112</v>
      </c>
      <c r="D180" s="24" t="inlineStr">
        <is>
          <t>Tablet C</t>
        </is>
      </c>
      <c r="E180" s="22" t="n"/>
      <c r="F180" s="1" t="n"/>
    </row>
    <row r="181">
      <c r="A181" s="1" t="n"/>
      <c r="B181" s="20" t="n">
        <v>46280</v>
      </c>
      <c r="C181" s="21" t="n">
        <v>0.3368055555555556</v>
      </c>
      <c r="D181" s="24" t="inlineStr">
        <is>
          <t>Tablet A</t>
        </is>
      </c>
      <c r="E181" s="22" t="n"/>
      <c r="F181" s="1" t="n"/>
    </row>
    <row r="182">
      <c r="A182" s="1" t="n"/>
      <c r="B182" s="20" t="n">
        <v>46280</v>
      </c>
      <c r="C182" s="21" t="n">
        <v>0.3402777777777778</v>
      </c>
      <c r="D182" s="24" t="inlineStr">
        <is>
          <t>Tablet B</t>
        </is>
      </c>
      <c r="E182" s="22" t="n"/>
      <c r="F182" s="1" t="n"/>
    </row>
    <row r="183">
      <c r="A183" s="1" t="n"/>
      <c r="B183" s="20" t="n">
        <v>46280</v>
      </c>
      <c r="C183" s="21" t="n">
        <v>0.3472222222222222</v>
      </c>
      <c r="D183" s="24" t="inlineStr">
        <is>
          <t>Vitamin D</t>
        </is>
      </c>
      <c r="E183" s="22" t="n"/>
      <c r="F183" s="1" t="n"/>
    </row>
    <row r="184">
      <c r="A184" s="1" t="n"/>
      <c r="B184" s="20" t="n">
        <v>46280</v>
      </c>
      <c r="C184" s="21" t="n">
        <v>0.8402777777777778</v>
      </c>
      <c r="D184" s="24" t="inlineStr">
        <is>
          <t>Tablet A</t>
        </is>
      </c>
      <c r="E184" s="22" t="n"/>
      <c r="F184" s="1" t="n"/>
    </row>
    <row r="185">
      <c r="A185" s="1" t="n"/>
      <c r="B185" s="20" t="n">
        <v>46280</v>
      </c>
      <c r="C185" s="21" t="n">
        <v>0.9236111111111112</v>
      </c>
      <c r="D185" s="24" t="inlineStr">
        <is>
          <t>Tablet C</t>
        </is>
      </c>
      <c r="E185" s="22" t="n"/>
      <c r="F185" s="1" t="n"/>
    </row>
    <row r="186">
      <c r="A186" s="1" t="n"/>
      <c r="B186" s="20" t="n">
        <v>46281</v>
      </c>
      <c r="C186" s="21" t="n">
        <v>0.3333333333333333</v>
      </c>
      <c r="D186" s="24" t="inlineStr">
        <is>
          <t>Tablet A</t>
        </is>
      </c>
      <c r="E186" s="22" t="n"/>
      <c r="F186" s="1" t="n"/>
    </row>
    <row r="187">
      <c r="A187" s="1" t="n"/>
      <c r="B187" s="20" t="n">
        <v>46281</v>
      </c>
      <c r="C187" s="21" t="n">
        <v>0.3333333333333333</v>
      </c>
      <c r="D187" s="24" t="inlineStr">
        <is>
          <t>Tablet B</t>
        </is>
      </c>
      <c r="E187" s="22" t="n"/>
      <c r="F187" s="1" t="n"/>
    </row>
    <row r="188">
      <c r="A188" s="1" t="n"/>
      <c r="B188" s="20" t="n">
        <v>46281</v>
      </c>
      <c r="C188" s="21" t="n">
        <v>0.3402777777777778</v>
      </c>
      <c r="D188" s="24" t="inlineStr">
        <is>
          <t>Vitamin D</t>
        </is>
      </c>
      <c r="E188" s="22" t="n"/>
      <c r="F188" s="1" t="n"/>
    </row>
    <row r="189">
      <c r="A189" s="1" t="n"/>
      <c r="B189" s="20" t="n">
        <v>46281</v>
      </c>
      <c r="C189" s="21" t="n">
        <v>0.8472222222222222</v>
      </c>
      <c r="D189" s="24" t="inlineStr">
        <is>
          <t>Tablet A</t>
        </is>
      </c>
      <c r="E189" s="22" t="n"/>
      <c r="F189" s="1" t="n"/>
    </row>
    <row r="190">
      <c r="A190" s="1" t="n"/>
      <c r="B190" s="20" t="n">
        <v>46281</v>
      </c>
      <c r="C190" s="21" t="n">
        <v>0.9166666666666666</v>
      </c>
      <c r="D190" s="24" t="inlineStr">
        <is>
          <t>Tablet C</t>
        </is>
      </c>
      <c r="E190" s="22" t="n"/>
      <c r="F190" s="1" t="n"/>
    </row>
    <row r="191">
      <c r="A191" s="1" t="n"/>
      <c r="B191" s="20" t="n">
        <v>46282</v>
      </c>
      <c r="C191" s="21" t="n">
        <v>0.3333333333333333</v>
      </c>
      <c r="D191" s="24" t="inlineStr">
        <is>
          <t>Vitamin D</t>
        </is>
      </c>
      <c r="E191" s="22" t="n"/>
      <c r="F191" s="1" t="n"/>
    </row>
    <row r="192">
      <c r="A192" s="1" t="n"/>
      <c r="B192" s="20" t="n">
        <v>46282</v>
      </c>
      <c r="C192" s="21" t="n">
        <v>0.3402777777777778</v>
      </c>
      <c r="D192" s="24" t="inlineStr">
        <is>
          <t>Tablet A</t>
        </is>
      </c>
      <c r="E192" s="22" t="n"/>
      <c r="F192" s="1" t="n"/>
    </row>
    <row r="193">
      <c r="A193" s="1" t="n"/>
      <c r="B193" s="20" t="n">
        <v>46282</v>
      </c>
      <c r="C193" s="21" t="n">
        <v>0.3402777777777778</v>
      </c>
      <c r="D193" s="24" t="inlineStr">
        <is>
          <t>Tablet B</t>
        </is>
      </c>
      <c r="E193" s="22" t="n"/>
      <c r="F193" s="1" t="n"/>
    </row>
    <row r="194">
      <c r="A194" s="1" t="n"/>
      <c r="B194" s="20" t="n">
        <v>46282</v>
      </c>
      <c r="C194" s="21" t="n">
        <v>0.8402777777777778</v>
      </c>
      <c r="D194" s="24" t="inlineStr">
        <is>
          <t>Tablet A</t>
        </is>
      </c>
      <c r="E194" s="22" t="n"/>
      <c r="F194" s="1" t="n"/>
    </row>
    <row r="195">
      <c r="A195" s="1" t="n"/>
      <c r="B195" s="20" t="n">
        <v>46282</v>
      </c>
      <c r="C195" s="21" t="n">
        <v>0.9236111111111112</v>
      </c>
      <c r="D195" s="24" t="inlineStr">
        <is>
          <t>Tablet C</t>
        </is>
      </c>
      <c r="E195" s="22" t="n"/>
      <c r="F195" s="1" t="n"/>
    </row>
    <row r="196">
      <c r="A196" s="1" t="n"/>
      <c r="B196" s="20" t="n">
        <v>46283</v>
      </c>
      <c r="C196" s="21" t="n">
        <v>0.3368055555555556</v>
      </c>
      <c r="D196" s="24" t="inlineStr">
        <is>
          <t>Tablet B</t>
        </is>
      </c>
      <c r="E196" s="22" t="n"/>
      <c r="F196" s="1" t="n"/>
    </row>
    <row r="197">
      <c r="A197" s="1" t="n"/>
      <c r="B197" s="20" t="n">
        <v>46283</v>
      </c>
      <c r="C197" s="21" t="n">
        <v>0.3368055555555556</v>
      </c>
      <c r="D197" s="24" t="inlineStr">
        <is>
          <t>Vitamin D</t>
        </is>
      </c>
      <c r="E197" s="22" t="n"/>
      <c r="F197" s="1" t="n"/>
    </row>
    <row r="198">
      <c r="A198" s="1" t="n"/>
      <c r="B198" s="20" t="n">
        <v>46283</v>
      </c>
      <c r="C198" s="21" t="n">
        <v>0.8472222222222222</v>
      </c>
      <c r="D198" s="24" t="inlineStr">
        <is>
          <t>Tablet A</t>
        </is>
      </c>
      <c r="E198" s="22" t="n"/>
      <c r="F198" s="1" t="n"/>
    </row>
    <row r="199">
      <c r="A199" s="1" t="n"/>
      <c r="B199" s="20" t="n">
        <v>46283</v>
      </c>
      <c r="C199" s="21" t="n">
        <v>0.9236111111111112</v>
      </c>
      <c r="D199" s="24" t="inlineStr">
        <is>
          <t>Tablet C</t>
        </is>
      </c>
      <c r="E199" s="22" t="n"/>
      <c r="F199" s="1" t="n"/>
    </row>
    <row r="200">
      <c r="A200" s="1" t="n"/>
      <c r="B200" s="20" t="n">
        <v>46284</v>
      </c>
      <c r="C200" s="21" t="n">
        <v>0.3368055555555556</v>
      </c>
      <c r="D200" s="24" t="inlineStr">
        <is>
          <t>Tablet A</t>
        </is>
      </c>
      <c r="E200" s="22" t="n"/>
      <c r="F200" s="1" t="n"/>
    </row>
    <row r="201">
      <c r="A201" s="1" t="n"/>
      <c r="B201" s="20" t="n">
        <v>46284</v>
      </c>
      <c r="C201" s="21" t="n">
        <v>0.3368055555555556</v>
      </c>
      <c r="D201" s="24" t="inlineStr">
        <is>
          <t>Tablet B</t>
        </is>
      </c>
      <c r="E201" s="22" t="n"/>
      <c r="F201" s="1" t="n"/>
    </row>
    <row r="202">
      <c r="A202" s="1" t="n"/>
      <c r="B202" s="20" t="n">
        <v>46284</v>
      </c>
      <c r="C202" s="21" t="n">
        <v>0.3368055555555556</v>
      </c>
      <c r="D202" s="24" t="inlineStr">
        <is>
          <t>Vitamin D</t>
        </is>
      </c>
      <c r="E202" s="22" t="n"/>
      <c r="F202" s="1" t="n"/>
    </row>
    <row r="203">
      <c r="A203" s="1" t="n"/>
      <c r="B203" s="20" t="n">
        <v>46284</v>
      </c>
      <c r="C203" s="21" t="n">
        <v>0.8402777777777778</v>
      </c>
      <c r="D203" s="24" t="inlineStr">
        <is>
          <t>Tablet A</t>
        </is>
      </c>
      <c r="E203" s="22" t="n"/>
      <c r="F203" s="1" t="n"/>
    </row>
    <row r="204">
      <c r="A204" s="1" t="n"/>
      <c r="B204" s="20" t="n">
        <v>46284</v>
      </c>
      <c r="C204" s="21" t="n">
        <v>0.9305555555555556</v>
      </c>
      <c r="D204" s="24" t="inlineStr">
        <is>
          <t>Tablet C</t>
        </is>
      </c>
      <c r="E204" s="22" t="n"/>
      <c r="F204" s="1" t="n"/>
    </row>
    <row r="205">
      <c r="A205" s="1" t="n"/>
      <c r="B205" s="20" t="n">
        <v>46285</v>
      </c>
      <c r="C205" s="21" t="n">
        <v>0.3333333333333333</v>
      </c>
      <c r="D205" s="24" t="inlineStr">
        <is>
          <t>Vitamin D</t>
        </is>
      </c>
      <c r="E205" s="22" t="n"/>
      <c r="F205" s="1" t="n"/>
    </row>
    <row r="206">
      <c r="A206" s="1" t="n"/>
      <c r="B206" s="20" t="n">
        <v>46285</v>
      </c>
      <c r="C206" s="21" t="n">
        <v>0.3402777777777778</v>
      </c>
      <c r="D206" s="24" t="inlineStr">
        <is>
          <t>Tablet A</t>
        </is>
      </c>
      <c r="E206" s="22" t="n"/>
      <c r="F206" s="1" t="n"/>
    </row>
    <row r="207">
      <c r="A207" s="1" t="n"/>
      <c r="B207" s="20" t="n">
        <v>46285</v>
      </c>
      <c r="C207" s="21" t="n">
        <v>0.3402777777777778</v>
      </c>
      <c r="D207" s="24" t="inlineStr">
        <is>
          <t>Tablet B</t>
        </is>
      </c>
      <c r="E207" s="22" t="n"/>
      <c r="F207" s="1" t="n"/>
    </row>
    <row r="208">
      <c r="A208" s="1" t="n"/>
      <c r="B208" s="20" t="n">
        <v>46285</v>
      </c>
      <c r="C208" s="21" t="n">
        <v>0.9201388888888888</v>
      </c>
      <c r="D208" s="24" t="inlineStr">
        <is>
          <t>Tablet C</t>
        </is>
      </c>
      <c r="E208" s="22" t="n"/>
      <c r="F208" s="1" t="n"/>
    </row>
    <row r="209">
      <c r="A209" s="1" t="n"/>
      <c r="B209" s="20" t="n">
        <v>46286</v>
      </c>
      <c r="C209" s="21" t="n">
        <v>0.3368055555555556</v>
      </c>
      <c r="D209" s="24" t="inlineStr">
        <is>
          <t>Tablet A</t>
        </is>
      </c>
      <c r="E209" s="22" t="n"/>
      <c r="F209" s="1" t="n"/>
    </row>
    <row r="210">
      <c r="A210" s="1" t="n"/>
      <c r="B210" s="20" t="n">
        <v>46286</v>
      </c>
      <c r="C210" s="21" t="n">
        <v>0.3402777777777778</v>
      </c>
      <c r="D210" s="24" t="inlineStr">
        <is>
          <t>Vitamin D</t>
        </is>
      </c>
      <c r="E210" s="22" t="n"/>
      <c r="F210" s="1" t="n"/>
    </row>
    <row r="211">
      <c r="A211" s="1" t="n"/>
      <c r="B211" s="20" t="n">
        <v>46286</v>
      </c>
      <c r="C211" s="21" t="n">
        <v>0.3472222222222222</v>
      </c>
      <c r="D211" s="24" t="inlineStr">
        <is>
          <t>Tablet B</t>
        </is>
      </c>
      <c r="E211" s="22" t="n"/>
      <c r="F211" s="1" t="n"/>
    </row>
    <row r="212">
      <c r="A212" s="1" t="n"/>
      <c r="B212" s="20" t="n">
        <v>46286</v>
      </c>
      <c r="C212" s="21" t="n">
        <v>0.8368055555555556</v>
      </c>
      <c r="D212" s="24" t="inlineStr">
        <is>
          <t>Tablet A</t>
        </is>
      </c>
      <c r="E212" s="22" t="n"/>
      <c r="F212" s="1" t="n"/>
    </row>
    <row r="213">
      <c r="A213" s="1" t="n"/>
      <c r="B213" s="20" t="n">
        <v>46286</v>
      </c>
      <c r="C213" s="21" t="n">
        <v>0.9305555555555556</v>
      </c>
      <c r="D213" s="24" t="inlineStr">
        <is>
          <t>Tablet C</t>
        </is>
      </c>
      <c r="E213" s="22" t="n"/>
      <c r="F213" s="1" t="n"/>
    </row>
    <row r="214">
      <c r="A214" s="1" t="n"/>
      <c r="B214" s="20" t="n">
        <v>46287</v>
      </c>
      <c r="C214" s="21" t="n">
        <v>0.3368055555555556</v>
      </c>
      <c r="D214" s="24" t="inlineStr">
        <is>
          <t>Tablet A</t>
        </is>
      </c>
      <c r="E214" s="22" t="n"/>
      <c r="F214" s="1" t="n"/>
    </row>
    <row r="215">
      <c r="A215" s="1" t="n"/>
      <c r="B215" s="20" t="n">
        <v>46287</v>
      </c>
      <c r="C215" s="21" t="n">
        <v>0.3402777777777778</v>
      </c>
      <c r="D215" s="24" t="inlineStr">
        <is>
          <t>Tablet B</t>
        </is>
      </c>
      <c r="E215" s="22" t="n"/>
      <c r="F215" s="1" t="n"/>
    </row>
    <row r="216">
      <c r="A216" s="1" t="n"/>
      <c r="B216" s="20" t="n">
        <v>46287</v>
      </c>
      <c r="C216" s="21" t="n">
        <v>0.3472222222222222</v>
      </c>
      <c r="D216" s="24" t="inlineStr">
        <is>
          <t>Vitamin D</t>
        </is>
      </c>
      <c r="E216" s="22" t="n"/>
      <c r="F216" s="1" t="n"/>
    </row>
    <row r="217">
      <c r="A217" s="1" t="n"/>
      <c r="B217" s="20" t="n">
        <v>46287</v>
      </c>
      <c r="C217" s="21" t="n">
        <v>0.8333333333333334</v>
      </c>
      <c r="D217" s="24" t="inlineStr">
        <is>
          <t>Tablet A</t>
        </is>
      </c>
      <c r="E217" s="22" t="n"/>
      <c r="F217" s="1" t="n"/>
    </row>
    <row r="218">
      <c r="A218" s="1" t="n"/>
      <c r="B218" s="20" t="n">
        <v>46287</v>
      </c>
      <c r="C218" s="21" t="n">
        <v>0.9166666666666666</v>
      </c>
      <c r="D218" s="24" t="inlineStr">
        <is>
          <t>Tablet C</t>
        </is>
      </c>
      <c r="E218" s="22" t="n"/>
      <c r="F218" s="1" t="n"/>
    </row>
    <row r="219">
      <c r="A219" s="1" t="n"/>
      <c r="B219" s="20" t="n">
        <v>46288</v>
      </c>
      <c r="C219" s="21" t="n">
        <v>0.3333333333333333</v>
      </c>
      <c r="D219" s="24" t="inlineStr">
        <is>
          <t>Vitamin D</t>
        </is>
      </c>
      <c r="E219" s="22" t="n"/>
      <c r="F219" s="1" t="n"/>
    </row>
    <row r="220">
      <c r="A220" s="1" t="n"/>
      <c r="B220" s="20" t="n">
        <v>46288</v>
      </c>
      <c r="C220" s="21" t="n">
        <v>0.3402777777777778</v>
      </c>
      <c r="D220" s="24" t="inlineStr">
        <is>
          <t>Tablet B</t>
        </is>
      </c>
      <c r="E220" s="22" t="n"/>
      <c r="F220" s="1" t="n"/>
    </row>
    <row r="221">
      <c r="A221" s="1" t="n"/>
      <c r="B221" s="20" t="n">
        <v>46288</v>
      </c>
      <c r="C221" s="21" t="n">
        <v>0.3472222222222222</v>
      </c>
      <c r="D221" s="24" t="inlineStr">
        <is>
          <t>Tablet A</t>
        </is>
      </c>
      <c r="E221" s="22" t="n"/>
      <c r="F221" s="1" t="n"/>
    </row>
    <row r="222">
      <c r="A222" s="1" t="n"/>
      <c r="B222" s="20" t="n">
        <v>46288</v>
      </c>
      <c r="C222" s="21" t="n">
        <v>0.8333333333333334</v>
      </c>
      <c r="D222" s="24" t="inlineStr">
        <is>
          <t>Tablet A</t>
        </is>
      </c>
      <c r="E222" s="22" t="n"/>
      <c r="F222" s="1" t="n"/>
    </row>
    <row r="223">
      <c r="A223" s="1" t="n"/>
      <c r="B223" s="20" t="n">
        <v>46288</v>
      </c>
      <c r="C223" s="21" t="n">
        <v>0.9166666666666666</v>
      </c>
      <c r="D223" s="24" t="inlineStr">
        <is>
          <t>Tablet C</t>
        </is>
      </c>
      <c r="E223" s="22" t="n"/>
      <c r="F223" s="1" t="n"/>
    </row>
    <row r="224">
      <c r="A224" s="1" t="n"/>
      <c r="B224" s="20" t="n">
        <v>46289</v>
      </c>
      <c r="C224" s="21" t="n">
        <v>0.3368055555555556</v>
      </c>
      <c r="D224" s="24" t="inlineStr">
        <is>
          <t>Vitamin D</t>
        </is>
      </c>
      <c r="E224" s="22" t="n"/>
      <c r="F224" s="1" t="n"/>
    </row>
    <row r="225">
      <c r="A225" s="1" t="n"/>
      <c r="B225" s="20" t="n">
        <v>46289</v>
      </c>
      <c r="C225" s="21" t="n">
        <v>0.3402777777777778</v>
      </c>
      <c r="D225" s="24" t="inlineStr">
        <is>
          <t>Tablet A</t>
        </is>
      </c>
      <c r="E225" s="22" t="n"/>
      <c r="F225" s="1" t="n"/>
    </row>
    <row r="226">
      <c r="A226" s="1" t="n"/>
      <c r="B226" s="20" t="n">
        <v>46289</v>
      </c>
      <c r="C226" s="21" t="n">
        <v>0.3472222222222222</v>
      </c>
      <c r="D226" s="24" t="inlineStr">
        <is>
          <t>Tablet B</t>
        </is>
      </c>
      <c r="E226" s="22" t="n"/>
      <c r="F226" s="1" t="n"/>
    </row>
    <row r="227">
      <c r="A227" s="1" t="n"/>
      <c r="B227" s="20" t="n">
        <v>46289</v>
      </c>
      <c r="C227" s="21" t="n">
        <v>0.9236111111111112</v>
      </c>
      <c r="D227" s="24" t="inlineStr">
        <is>
          <t>Tablet C</t>
        </is>
      </c>
      <c r="E227" s="22" t="n"/>
      <c r="F227" s="1" t="n"/>
    </row>
    <row r="228">
      <c r="A228" s="1" t="n"/>
      <c r="B228" s="20" t="n">
        <v>46290</v>
      </c>
      <c r="C228" s="21" t="n">
        <v>0.3368055555555556</v>
      </c>
      <c r="D228" s="24" t="inlineStr">
        <is>
          <t>Tablet A</t>
        </is>
      </c>
      <c r="E228" s="22" t="n"/>
      <c r="F228" s="1" t="n"/>
    </row>
    <row r="229">
      <c r="A229" s="1" t="n"/>
      <c r="B229" s="20" t="n">
        <v>46290</v>
      </c>
      <c r="C229" s="21" t="n">
        <v>0.3402777777777778</v>
      </c>
      <c r="D229" s="24" t="inlineStr">
        <is>
          <t>Tablet B</t>
        </is>
      </c>
      <c r="E229" s="22" t="n"/>
      <c r="F229" s="1" t="n"/>
    </row>
    <row r="230">
      <c r="A230" s="1" t="n"/>
      <c r="B230" s="20" t="n">
        <v>46290</v>
      </c>
      <c r="C230" s="21" t="n">
        <v>0.3402777777777778</v>
      </c>
      <c r="D230" s="24" t="inlineStr">
        <is>
          <t>Vitamin D</t>
        </is>
      </c>
      <c r="E230" s="22" t="n"/>
      <c r="F230" s="1" t="n"/>
    </row>
    <row r="231">
      <c r="A231" s="1" t="n"/>
      <c r="B231" s="20" t="n">
        <v>46290</v>
      </c>
      <c r="C231" s="21" t="n">
        <v>0.8368055555555556</v>
      </c>
      <c r="D231" s="24" t="inlineStr">
        <is>
          <t>Tablet A</t>
        </is>
      </c>
      <c r="E231" s="22" t="n"/>
      <c r="F231" s="1" t="n"/>
    </row>
    <row r="232">
      <c r="A232" s="1" t="n"/>
      <c r="B232" s="20" t="n">
        <v>46290</v>
      </c>
      <c r="C232" s="21" t="n">
        <v>0.9166666666666666</v>
      </c>
      <c r="D232" s="24" t="inlineStr">
        <is>
          <t>Tablet C</t>
        </is>
      </c>
      <c r="E232" s="22" t="n"/>
      <c r="F232" s="1" t="n"/>
    </row>
    <row r="233">
      <c r="A233" s="1" t="n"/>
      <c r="B233" s="20" t="n">
        <v>46291</v>
      </c>
      <c r="C233" s="21" t="n">
        <v>0.3333333333333333</v>
      </c>
      <c r="D233" s="24" t="inlineStr">
        <is>
          <t>Tablet B</t>
        </is>
      </c>
      <c r="E233" s="22" t="n"/>
      <c r="F233" s="1" t="n"/>
    </row>
    <row r="234">
      <c r="A234" s="1" t="n"/>
      <c r="B234" s="20" t="n">
        <v>46291</v>
      </c>
      <c r="C234" s="21" t="n">
        <v>0.3368055555555556</v>
      </c>
      <c r="D234" s="24" t="inlineStr">
        <is>
          <t>Vitamin D</t>
        </is>
      </c>
      <c r="E234" s="22" t="n"/>
      <c r="F234" s="1" t="n"/>
    </row>
    <row r="235">
      <c r="A235" s="1" t="n"/>
      <c r="B235" s="20" t="n">
        <v>46291</v>
      </c>
      <c r="C235" s="21" t="n">
        <v>0.3402777777777778</v>
      </c>
      <c r="D235" s="24" t="inlineStr">
        <is>
          <t>Tablet A</t>
        </is>
      </c>
      <c r="E235" s="22" t="n"/>
      <c r="F235" s="1" t="n"/>
    </row>
    <row r="236">
      <c r="A236" s="1" t="n"/>
      <c r="B236" s="20" t="n">
        <v>46291</v>
      </c>
      <c r="C236" s="21" t="n">
        <v>0.8402777777777778</v>
      </c>
      <c r="D236" s="24" t="inlineStr">
        <is>
          <t>Tablet A</t>
        </is>
      </c>
      <c r="E236" s="22" t="n"/>
      <c r="F236" s="1" t="n"/>
    </row>
    <row r="237">
      <c r="A237" s="1" t="n"/>
      <c r="B237" s="20" t="n">
        <v>46291</v>
      </c>
      <c r="C237" s="21" t="n">
        <v>0.9201388888888888</v>
      </c>
      <c r="D237" s="24" t="inlineStr">
        <is>
          <t>Tablet C</t>
        </is>
      </c>
      <c r="E237" s="22" t="n"/>
      <c r="F237" s="1" t="n"/>
    </row>
    <row r="238">
      <c r="A238" s="1" t="n"/>
      <c r="B238" s="20" t="n">
        <v>46292</v>
      </c>
      <c r="C238" s="21" t="n">
        <v>0.3402777777777778</v>
      </c>
      <c r="D238" s="24" t="inlineStr">
        <is>
          <t>Tablet A</t>
        </is>
      </c>
      <c r="E238" s="22" t="n"/>
      <c r="F238" s="1" t="n"/>
    </row>
    <row r="239">
      <c r="A239" s="1" t="n"/>
      <c r="B239" s="20" t="n">
        <v>46292</v>
      </c>
      <c r="C239" s="21" t="n">
        <v>0.3402777777777778</v>
      </c>
      <c r="D239" s="24" t="inlineStr">
        <is>
          <t>Tablet B</t>
        </is>
      </c>
      <c r="E239" s="22" t="n"/>
      <c r="F239" s="1" t="n"/>
    </row>
    <row r="240">
      <c r="A240" s="1" t="n"/>
      <c r="B240" s="20" t="n">
        <v>46292</v>
      </c>
      <c r="C240" s="21" t="n">
        <v>0.3402777777777778</v>
      </c>
      <c r="D240" s="24" t="inlineStr">
        <is>
          <t>Vitamin D</t>
        </is>
      </c>
      <c r="E240" s="22" t="n"/>
      <c r="F240" s="1" t="n"/>
    </row>
    <row r="241">
      <c r="A241" s="1" t="n"/>
      <c r="B241" s="20" t="n">
        <v>46292</v>
      </c>
      <c r="C241" s="21" t="n">
        <v>0.8368055555555556</v>
      </c>
      <c r="D241" s="24" t="inlineStr">
        <is>
          <t>Tablet A</t>
        </is>
      </c>
      <c r="E241" s="22" t="n"/>
      <c r="F241" s="1" t="n"/>
    </row>
    <row r="242">
      <c r="A242" s="1" t="n"/>
      <c r="B242" s="20" t="n">
        <v>46292</v>
      </c>
      <c r="C242" s="21" t="n">
        <v>0.9305555555555556</v>
      </c>
      <c r="D242" s="24" t="inlineStr">
        <is>
          <t>Tablet C</t>
        </is>
      </c>
      <c r="E242" s="22" t="n"/>
      <c r="F242" s="1" t="n"/>
    </row>
    <row r="243">
      <c r="A243" s="1" t="n"/>
      <c r="B243" s="20" t="n">
        <v>46293</v>
      </c>
      <c r="C243" s="21" t="n">
        <v>0.3333333333333333</v>
      </c>
      <c r="D243" s="24" t="inlineStr">
        <is>
          <t>Tablet A</t>
        </is>
      </c>
      <c r="E243" s="22" t="n"/>
      <c r="F243" s="1" t="n"/>
    </row>
    <row r="244">
      <c r="A244" s="1" t="n"/>
      <c r="B244" s="20" t="n">
        <v>46293</v>
      </c>
      <c r="C244" s="21" t="n">
        <v>0.3333333333333333</v>
      </c>
      <c r="D244" s="24" t="inlineStr">
        <is>
          <t>Vitamin D</t>
        </is>
      </c>
      <c r="E244" s="22" t="n"/>
      <c r="F244" s="1" t="n"/>
    </row>
    <row r="245">
      <c r="A245" s="1" t="n"/>
      <c r="B245" s="20" t="n">
        <v>46293</v>
      </c>
      <c r="C245" s="21" t="n">
        <v>0.3368055555555556</v>
      </c>
      <c r="D245" s="24" t="inlineStr">
        <is>
          <t>Tablet B</t>
        </is>
      </c>
      <c r="E245" s="22" t="n"/>
      <c r="F245" s="1" t="n"/>
    </row>
    <row r="246">
      <c r="A246" s="1" t="n"/>
      <c r="B246" s="20" t="n"/>
      <c r="C246" s="21" t="n"/>
      <c r="D246" s="24" t="n"/>
      <c r="E246" s="22" t="n"/>
      <c r="F246" s="1" t="n"/>
    </row>
    <row r="247">
      <c r="A247" s="1" t="n"/>
      <c r="B247" s="20" t="n"/>
      <c r="C247" s="21" t="n"/>
      <c r="D247" s="24" t="n"/>
      <c r="E247" s="22" t="n"/>
      <c r="F247" s="1" t="n"/>
    </row>
    <row r="248">
      <c r="A248" s="1" t="n"/>
      <c r="B248" s="20" t="n"/>
      <c r="C248" s="21" t="n"/>
      <c r="D248" s="24" t="n"/>
      <c r="E248" s="22" t="n"/>
      <c r="F248" s="1" t="n"/>
    </row>
    <row r="249">
      <c r="A249" s="1" t="n"/>
      <c r="B249" s="20" t="n"/>
      <c r="C249" s="21" t="n"/>
      <c r="D249" s="24" t="n"/>
      <c r="E249" s="22" t="n"/>
      <c r="F249" s="1" t="n"/>
    </row>
    <row r="250">
      <c r="A250" s="1" t="n"/>
      <c r="B250" s="20" t="n"/>
      <c r="C250" s="21" t="n"/>
      <c r="D250" s="24" t="n"/>
      <c r="E250" s="22" t="n"/>
      <c r="F250" s="1" t="n"/>
    </row>
    <row r="251">
      <c r="A251" s="1" t="n"/>
      <c r="B251" s="20" t="n"/>
      <c r="C251" s="21" t="n"/>
      <c r="D251" s="24" t="n"/>
      <c r="E251" s="22" t="n"/>
      <c r="F251" s="1" t="n"/>
    </row>
    <row r="252">
      <c r="A252" s="1" t="n"/>
      <c r="B252" s="20" t="n"/>
      <c r="C252" s="21" t="n"/>
      <c r="D252" s="24" t="n"/>
      <c r="E252" s="22" t="n"/>
      <c r="F252" s="1" t="n"/>
    </row>
    <row r="253">
      <c r="A253" s="1" t="n"/>
      <c r="B253" s="20" t="n"/>
      <c r="C253" s="21" t="n"/>
      <c r="D253" s="24" t="n"/>
      <c r="E253" s="22" t="n"/>
      <c r="F253" s="1" t="n"/>
    </row>
    <row r="254">
      <c r="A254" s="1" t="n"/>
      <c r="B254" s="20" t="n"/>
      <c r="C254" s="21" t="n"/>
      <c r="D254" s="24" t="n"/>
      <c r="E254" s="22" t="n"/>
      <c r="F254" s="1" t="n"/>
    </row>
    <row r="255">
      <c r="A255" s="1" t="n"/>
      <c r="B255" s="20" t="n"/>
      <c r="C255" s="21" t="n"/>
      <c r="D255" s="24" t="n"/>
      <c r="E255" s="22" t="n"/>
      <c r="F255" s="1" t="n"/>
    </row>
    <row r="256">
      <c r="A256" s="1" t="n"/>
      <c r="B256" s="20" t="n"/>
      <c r="C256" s="21" t="n"/>
      <c r="D256" s="24" t="n"/>
      <c r="E256" s="22" t="n"/>
      <c r="F256" s="1" t="n"/>
    </row>
    <row r="257">
      <c r="A257" s="1" t="n"/>
      <c r="B257" s="20" t="n"/>
      <c r="C257" s="21" t="n"/>
      <c r="D257" s="24" t="n"/>
      <c r="E257" s="22" t="n"/>
      <c r="F257" s="1" t="n"/>
    </row>
    <row r="258">
      <c r="A258" s="1" t="n"/>
      <c r="B258" s="20" t="n"/>
      <c r="C258" s="21" t="n"/>
      <c r="D258" s="24" t="n"/>
      <c r="E258" s="22" t="n"/>
      <c r="F258" s="1" t="n"/>
    </row>
    <row r="259">
      <c r="A259" s="1" t="n"/>
      <c r="B259" s="20" t="n"/>
      <c r="C259" s="21" t="n"/>
      <c r="D259" s="24" t="n"/>
      <c r="E259" s="22" t="n"/>
      <c r="F259" s="1" t="n"/>
    </row>
    <row r="260">
      <c r="A260" s="1" t="n"/>
      <c r="B260" s="20" t="n"/>
      <c r="C260" s="21" t="n"/>
      <c r="D260" s="24" t="n"/>
      <c r="E260" s="22" t="n"/>
      <c r="F260" s="1" t="n"/>
    </row>
    <row r="261">
      <c r="A261" s="1" t="n"/>
      <c r="B261" s="20" t="n"/>
      <c r="C261" s="21" t="n"/>
      <c r="D261" s="24" t="n"/>
      <c r="E261" s="22" t="n"/>
      <c r="F261" s="1" t="n"/>
    </row>
    <row r="262">
      <c r="A262" s="1" t="n"/>
      <c r="B262" s="20" t="n"/>
      <c r="C262" s="21" t="n"/>
      <c r="D262" s="24" t="n"/>
      <c r="E262" s="22" t="n"/>
      <c r="F262" s="1" t="n"/>
    </row>
    <row r="263">
      <c r="A263" s="1" t="n"/>
      <c r="B263" s="20" t="n"/>
      <c r="C263" s="21" t="n"/>
      <c r="D263" s="24" t="n"/>
      <c r="E263" s="22" t="n"/>
      <c r="F263" s="1" t="n"/>
    </row>
    <row r="264">
      <c r="A264" s="1" t="n"/>
      <c r="B264" s="20" t="n"/>
      <c r="C264" s="21" t="n"/>
      <c r="D264" s="24" t="n"/>
      <c r="E264" s="22" t="n"/>
      <c r="F264" s="1" t="n"/>
    </row>
    <row r="265">
      <c r="A265" s="1" t="n"/>
      <c r="B265" s="20" t="n"/>
      <c r="C265" s="21" t="n"/>
      <c r="D265" s="24" t="n"/>
      <c r="E265" s="22" t="n"/>
      <c r="F265" s="1" t="n"/>
    </row>
    <row r="266">
      <c r="A266" s="1" t="n"/>
      <c r="B266" s="20" t="n"/>
      <c r="C266" s="21" t="n"/>
      <c r="D266" s="24" t="n"/>
      <c r="E266" s="22" t="n"/>
      <c r="F266" s="1" t="n"/>
    </row>
    <row r="267">
      <c r="A267" s="1" t="n"/>
      <c r="B267" s="20" t="n"/>
      <c r="C267" s="21" t="n"/>
      <c r="D267" s="24" t="n"/>
      <c r="E267" s="22" t="n"/>
      <c r="F267" s="1" t="n"/>
    </row>
    <row r="268">
      <c r="A268" s="1" t="n"/>
      <c r="B268" s="20" t="n"/>
      <c r="C268" s="21" t="n"/>
      <c r="D268" s="24" t="n"/>
      <c r="E268" s="22" t="n"/>
      <c r="F268" s="1" t="n"/>
    </row>
    <row r="269">
      <c r="A269" s="1" t="n"/>
      <c r="B269" s="20" t="n"/>
      <c r="C269" s="21" t="n"/>
      <c r="D269" s="24" t="n"/>
      <c r="E269" s="22" t="n"/>
      <c r="F269" s="1" t="n"/>
    </row>
    <row r="270">
      <c r="A270" s="1" t="n"/>
      <c r="B270" s="20" t="n"/>
      <c r="C270" s="21" t="n"/>
      <c r="D270" s="24" t="n"/>
      <c r="E270" s="22" t="n"/>
      <c r="F270" s="1" t="n"/>
    </row>
    <row r="271">
      <c r="A271" s="1" t="n"/>
      <c r="B271" s="20" t="n"/>
      <c r="C271" s="21" t="n"/>
      <c r="D271" s="24" t="n"/>
      <c r="E271" s="22" t="n"/>
      <c r="F271" s="1" t="n"/>
    </row>
    <row r="272">
      <c r="A272" s="1" t="n"/>
      <c r="B272" s="20" t="n"/>
      <c r="C272" s="21" t="n"/>
      <c r="D272" s="24" t="n"/>
      <c r="E272" s="22" t="n"/>
      <c r="F272" s="1" t="n"/>
    </row>
    <row r="273">
      <c r="A273" s="1" t="n"/>
      <c r="B273" s="20" t="n"/>
      <c r="C273" s="21" t="n"/>
      <c r="D273" s="24" t="n"/>
      <c r="E273" s="22" t="n"/>
      <c r="F273" s="1" t="n"/>
    </row>
    <row r="274">
      <c r="A274" s="1" t="n"/>
      <c r="B274" s="20" t="n"/>
      <c r="C274" s="21" t="n"/>
      <c r="D274" s="24" t="n"/>
      <c r="E274" s="22" t="n"/>
      <c r="F274" s="1" t="n"/>
    </row>
    <row r="275">
      <c r="A275" s="1" t="n"/>
      <c r="B275" s="20" t="n"/>
      <c r="C275" s="21" t="n"/>
      <c r="D275" s="24" t="n"/>
      <c r="E275" s="22" t="n"/>
      <c r="F275" s="1" t="n"/>
    </row>
    <row r="276">
      <c r="A276" s="1" t="n"/>
      <c r="B276" s="20" t="n"/>
      <c r="C276" s="21" t="n"/>
      <c r="D276" s="24" t="n"/>
      <c r="E276" s="22" t="n"/>
      <c r="F276" s="1" t="n"/>
    </row>
    <row r="277">
      <c r="A277" s="1" t="n"/>
      <c r="B277" s="20" t="n"/>
      <c r="C277" s="21" t="n"/>
      <c r="D277" s="24" t="n"/>
      <c r="E277" s="22" t="n"/>
      <c r="F277" s="1" t="n"/>
    </row>
    <row r="278">
      <c r="A278" s="1" t="n"/>
      <c r="B278" s="20" t="n"/>
      <c r="C278" s="21" t="n"/>
      <c r="D278" s="24" t="n"/>
      <c r="E278" s="22" t="n"/>
      <c r="F278" s="1" t="n"/>
    </row>
    <row r="279">
      <c r="A279" s="1" t="n"/>
      <c r="B279" s="20" t="n"/>
      <c r="C279" s="21" t="n"/>
      <c r="D279" s="24" t="n"/>
      <c r="E279" s="22" t="n"/>
      <c r="F279" s="1" t="n"/>
    </row>
    <row r="280">
      <c r="A280" s="1" t="n"/>
      <c r="B280" s="20" t="n"/>
      <c r="C280" s="21" t="n"/>
      <c r="D280" s="24" t="n"/>
      <c r="E280" s="22" t="n"/>
      <c r="F280" s="1" t="n"/>
    </row>
    <row r="281">
      <c r="A281" s="1" t="n"/>
      <c r="B281" s="20" t="n"/>
      <c r="C281" s="21" t="n"/>
      <c r="D281" s="24" t="n"/>
      <c r="E281" s="22" t="n"/>
      <c r="F281" s="1" t="n"/>
    </row>
    <row r="282">
      <c r="A282" s="1" t="n"/>
      <c r="B282" s="20" t="n"/>
      <c r="C282" s="21" t="n"/>
      <c r="D282" s="24" t="n"/>
      <c r="E282" s="22" t="n"/>
      <c r="F282" s="1" t="n"/>
    </row>
    <row r="283">
      <c r="A283" s="1" t="n"/>
      <c r="B283" s="20" t="n"/>
      <c r="C283" s="21" t="n"/>
      <c r="D283" s="24" t="n"/>
      <c r="E283" s="22" t="n"/>
      <c r="F283" s="1" t="n"/>
    </row>
    <row r="284">
      <c r="A284" s="1" t="n"/>
      <c r="B284" s="20" t="n"/>
      <c r="C284" s="21" t="n"/>
      <c r="D284" s="24" t="n"/>
      <c r="E284" s="22" t="n"/>
      <c r="F284" s="1" t="n"/>
    </row>
    <row r="285">
      <c r="A285" s="1" t="n"/>
      <c r="B285" s="20" t="n"/>
      <c r="C285" s="21" t="n"/>
      <c r="D285" s="24" t="n"/>
      <c r="E285" s="22" t="n"/>
      <c r="F285" s="1" t="n"/>
    </row>
    <row r="286">
      <c r="A286" s="1" t="n"/>
      <c r="B286" s="20" t="n"/>
      <c r="C286" s="21" t="n"/>
      <c r="D286" s="24" t="n"/>
      <c r="E286" s="22" t="n"/>
      <c r="F286" s="1" t="n"/>
    </row>
    <row r="287">
      <c r="A287" s="1" t="n"/>
      <c r="B287" s="20" t="n"/>
      <c r="C287" s="21" t="n"/>
      <c r="D287" s="24" t="n"/>
      <c r="E287" s="22" t="n"/>
      <c r="F287" s="1" t="n"/>
    </row>
    <row r="288">
      <c r="A288" s="1" t="n"/>
      <c r="B288" s="20" t="n"/>
      <c r="C288" s="21" t="n"/>
      <c r="D288" s="24" t="n"/>
      <c r="E288" s="22" t="n"/>
      <c r="F288" s="1" t="n"/>
    </row>
    <row r="289">
      <c r="A289" s="1" t="n"/>
      <c r="B289" s="20" t="n"/>
      <c r="C289" s="21" t="n"/>
      <c r="D289" s="24" t="n"/>
      <c r="E289" s="22" t="n"/>
      <c r="F289" s="1" t="n"/>
    </row>
    <row r="290">
      <c r="A290" s="1" t="n"/>
      <c r="B290" s="20" t="n"/>
      <c r="C290" s="21" t="n"/>
      <c r="D290" s="24" t="n"/>
      <c r="E290" s="22" t="n"/>
      <c r="F290" s="1" t="n"/>
    </row>
    <row r="291">
      <c r="A291" s="1" t="n"/>
      <c r="B291" s="20" t="n"/>
      <c r="C291" s="21" t="n"/>
      <c r="D291" s="24" t="n"/>
      <c r="E291" s="22" t="n"/>
      <c r="F291" s="1" t="n"/>
    </row>
    <row r="292">
      <c r="A292" s="1" t="n"/>
      <c r="B292" s="20" t="n"/>
      <c r="C292" s="21" t="n"/>
      <c r="D292" s="24" t="n"/>
      <c r="E292" s="22" t="n"/>
      <c r="F292" s="1" t="n"/>
    </row>
    <row r="293">
      <c r="A293" s="1" t="n"/>
      <c r="B293" s="20" t="n"/>
      <c r="C293" s="21" t="n"/>
      <c r="D293" s="24" t="n"/>
      <c r="E293" s="22" t="n"/>
      <c r="F293" s="1" t="n"/>
    </row>
    <row r="294">
      <c r="A294" s="1" t="n"/>
      <c r="B294" s="20" t="n"/>
      <c r="C294" s="21" t="n"/>
      <c r="D294" s="24" t="n"/>
      <c r="E294" s="22" t="n"/>
      <c r="F294" s="1" t="n"/>
    </row>
    <row r="295">
      <c r="A295" s="1" t="n"/>
      <c r="B295" s="20" t="n"/>
      <c r="C295" s="21" t="n"/>
      <c r="D295" s="24" t="n"/>
      <c r="E295" s="22" t="n"/>
      <c r="F295" s="1" t="n"/>
    </row>
    <row r="296">
      <c r="A296" s="1" t="n"/>
      <c r="B296" s="20" t="n"/>
      <c r="C296" s="21" t="n"/>
      <c r="D296" s="24" t="n"/>
      <c r="E296" s="22" t="n"/>
      <c r="F296" s="1" t="n"/>
    </row>
    <row r="297">
      <c r="A297" s="1" t="n"/>
      <c r="B297" s="20" t="n"/>
      <c r="C297" s="21" t="n"/>
      <c r="D297" s="24" t="n"/>
      <c r="E297" s="22" t="n"/>
      <c r="F297" s="1" t="n"/>
    </row>
    <row r="298">
      <c r="A298" s="1" t="n"/>
      <c r="B298" s="20" t="n"/>
      <c r="C298" s="21" t="n"/>
      <c r="D298" s="24" t="n"/>
      <c r="E298" s="22" t="n"/>
      <c r="F298" s="1" t="n"/>
    </row>
    <row r="299">
      <c r="A299" s="1" t="n"/>
      <c r="B299" s="20" t="n"/>
      <c r="C299" s="21" t="n"/>
      <c r="D299" s="24" t="n"/>
      <c r="E299" s="22" t="n"/>
      <c r="F299" s="1" t="n"/>
    </row>
    <row r="300">
      <c r="A300" s="1" t="n"/>
      <c r="B300" s="20" t="n"/>
      <c r="C300" s="21" t="n"/>
      <c r="D300" s="24" t="n"/>
      <c r="E300" s="22" t="n"/>
      <c r="F300" s="1" t="n"/>
    </row>
    <row r="301">
      <c r="A301" s="1" t="n"/>
      <c r="B301" s="20" t="n"/>
      <c r="C301" s="21" t="n"/>
      <c r="D301" s="24" t="n"/>
      <c r="E301" s="22" t="n"/>
      <c r="F301" s="1" t="n"/>
    </row>
    <row r="302">
      <c r="A302" s="1" t="n"/>
      <c r="B302" s="20" t="n"/>
      <c r="C302" s="21" t="n"/>
      <c r="D302" s="24" t="n"/>
      <c r="E302" s="22" t="n"/>
      <c r="F302" s="1" t="n"/>
    </row>
    <row r="303">
      <c r="A303" s="1" t="n"/>
      <c r="B303" s="20" t="n"/>
      <c r="C303" s="21" t="n"/>
      <c r="D303" s="24" t="n"/>
      <c r="E303" s="22" t="n"/>
      <c r="F303" s="1" t="n"/>
    </row>
    <row r="304">
      <c r="A304" s="1" t="n"/>
      <c r="B304" s="20" t="n"/>
      <c r="C304" s="21" t="n"/>
      <c r="D304" s="24" t="n"/>
      <c r="E304" s="22" t="n"/>
      <c r="F304" s="1" t="n"/>
    </row>
    <row r="305">
      <c r="A305" s="1" t="n"/>
      <c r="B305" s="20" t="n"/>
      <c r="C305" s="21" t="n"/>
      <c r="D305" s="24" t="n"/>
      <c r="E305" s="22" t="n"/>
      <c r="F305" s="1" t="n"/>
    </row>
    <row r="306">
      <c r="A306" s="1" t="n"/>
      <c r="B306" s="20" t="n"/>
      <c r="C306" s="21" t="n"/>
      <c r="D306" s="24" t="n"/>
      <c r="E306" s="22" t="n"/>
      <c r="F306" s="1" t="n"/>
    </row>
    <row r="307">
      <c r="A307" s="1" t="n"/>
      <c r="B307" s="20" t="n"/>
      <c r="C307" s="21" t="n"/>
      <c r="D307" s="24" t="n"/>
      <c r="E307" s="22" t="n"/>
      <c r="F307" s="1" t="n"/>
    </row>
    <row r="308">
      <c r="A308" s="1" t="n"/>
      <c r="B308" s="20" t="n"/>
      <c r="C308" s="21" t="n"/>
      <c r="D308" s="24" t="n"/>
      <c r="E308" s="22" t="n"/>
      <c r="F308" s="1" t="n"/>
    </row>
    <row r="309">
      <c r="A309" s="1" t="n"/>
      <c r="B309" s="20" t="n"/>
      <c r="C309" s="21" t="n"/>
      <c r="D309" s="24" t="n"/>
      <c r="E309" s="22" t="n"/>
      <c r="F309" s="1" t="n"/>
    </row>
    <row r="310">
      <c r="A310" s="1" t="n"/>
      <c r="B310" s="20" t="n"/>
      <c r="C310" s="21" t="n"/>
      <c r="D310" s="24" t="n"/>
      <c r="E310" s="22" t="n"/>
      <c r="F310" s="1" t="n"/>
    </row>
    <row r="311">
      <c r="A311" s="1" t="n"/>
      <c r="B311" s="20" t="n"/>
      <c r="C311" s="21" t="n"/>
      <c r="D311" s="24" t="n"/>
      <c r="E311" s="22" t="n"/>
      <c r="F311" s="1" t="n"/>
    </row>
    <row r="312">
      <c r="A312" s="1" t="n"/>
      <c r="B312" s="20" t="n"/>
      <c r="C312" s="21" t="n"/>
      <c r="D312" s="24" t="n"/>
      <c r="E312" s="22" t="n"/>
      <c r="F312" s="1" t="n"/>
    </row>
    <row r="313">
      <c r="A313" s="1" t="n"/>
      <c r="B313" s="20" t="n"/>
      <c r="C313" s="21" t="n"/>
      <c r="D313" s="24" t="n"/>
      <c r="E313" s="22" t="n"/>
      <c r="F313" s="1" t="n"/>
    </row>
    <row r="314">
      <c r="A314" s="1" t="n"/>
      <c r="B314" s="20" t="n"/>
      <c r="C314" s="21" t="n"/>
      <c r="D314" s="24" t="n"/>
      <c r="E314" s="22" t="n"/>
      <c r="F314" s="1" t="n"/>
    </row>
    <row r="315">
      <c r="A315" s="1" t="n"/>
      <c r="B315" s="20" t="n"/>
      <c r="C315" s="21" t="n"/>
      <c r="D315" s="24" t="n"/>
      <c r="E315" s="22" t="n"/>
      <c r="F315" s="1" t="n"/>
    </row>
    <row r="316">
      <c r="A316" s="1" t="n"/>
      <c r="B316" s="20" t="n"/>
      <c r="C316" s="21" t="n"/>
      <c r="D316" s="24" t="n"/>
      <c r="E316" s="22" t="n"/>
      <c r="F316" s="1" t="n"/>
    </row>
    <row r="317">
      <c r="A317" s="1" t="n"/>
      <c r="B317" s="20" t="n"/>
      <c r="C317" s="21" t="n"/>
      <c r="D317" s="24" t="n"/>
      <c r="E317" s="22" t="n"/>
      <c r="F317" s="1" t="n"/>
    </row>
    <row r="318">
      <c r="A318" s="1" t="n"/>
      <c r="B318" s="20" t="n"/>
      <c r="C318" s="21" t="n"/>
      <c r="D318" s="24" t="n"/>
      <c r="E318" s="22" t="n"/>
      <c r="F318" s="1" t="n"/>
    </row>
    <row r="319">
      <c r="A319" s="1" t="n"/>
      <c r="B319" s="20" t="n"/>
      <c r="C319" s="21" t="n"/>
      <c r="D319" s="24" t="n"/>
      <c r="E319" s="22" t="n"/>
      <c r="F319" s="1" t="n"/>
    </row>
    <row r="320">
      <c r="A320" s="1" t="n"/>
      <c r="B320" s="20" t="n"/>
      <c r="C320" s="21" t="n"/>
      <c r="D320" s="24" t="n"/>
      <c r="E320" s="22" t="n"/>
      <c r="F320" s="1" t="n"/>
    </row>
    <row r="321">
      <c r="A321" s="1" t="n"/>
      <c r="B321" s="20" t="n"/>
      <c r="C321" s="21" t="n"/>
      <c r="D321" s="24" t="n"/>
      <c r="E321" s="22" t="n"/>
      <c r="F321" s="1" t="n"/>
    </row>
    <row r="322">
      <c r="A322" s="1" t="n"/>
      <c r="B322" s="20" t="n"/>
      <c r="C322" s="21" t="n"/>
      <c r="D322" s="24" t="n"/>
      <c r="E322" s="22" t="n"/>
      <c r="F322" s="1" t="n"/>
    </row>
    <row r="323">
      <c r="A323" s="1" t="n"/>
      <c r="B323" s="20" t="n"/>
      <c r="C323" s="21" t="n"/>
      <c r="D323" s="24" t="n"/>
      <c r="E323" s="22" t="n"/>
      <c r="F323" s="1" t="n"/>
    </row>
    <row r="324">
      <c r="A324" s="1" t="n"/>
      <c r="B324" s="20" t="n"/>
      <c r="C324" s="21" t="n"/>
      <c r="D324" s="24" t="n"/>
      <c r="E324" s="22" t="n"/>
      <c r="F324" s="1" t="n"/>
    </row>
    <row r="325">
      <c r="A325" s="1" t="n"/>
      <c r="B325" s="20" t="n"/>
      <c r="C325" s="21" t="n"/>
      <c r="D325" s="24" t="n"/>
      <c r="E325" s="22" t="n"/>
      <c r="F325" s="1" t="n"/>
    </row>
    <row r="326">
      <c r="A326" s="1" t="n"/>
      <c r="B326" s="20" t="n"/>
      <c r="C326" s="21" t="n"/>
      <c r="D326" s="24" t="n"/>
      <c r="E326" s="22" t="n"/>
      <c r="F326" s="1" t="n"/>
    </row>
    <row r="327">
      <c r="A327" s="1" t="n"/>
      <c r="B327" s="20" t="n"/>
      <c r="C327" s="21" t="n"/>
      <c r="D327" s="24" t="n"/>
      <c r="E327" s="22" t="n"/>
      <c r="F327" s="1" t="n"/>
    </row>
    <row r="328">
      <c r="A328" s="1" t="n"/>
      <c r="B328" s="20" t="n"/>
      <c r="C328" s="21" t="n"/>
      <c r="D328" s="24" t="n"/>
      <c r="E328" s="22" t="n"/>
      <c r="F328" s="1" t="n"/>
    </row>
    <row r="329">
      <c r="A329" s="1" t="n"/>
      <c r="B329" s="20" t="n"/>
      <c r="C329" s="21" t="n"/>
      <c r="D329" s="24" t="n"/>
      <c r="E329" s="22" t="n"/>
      <c r="F329" s="1" t="n"/>
    </row>
    <row r="330">
      <c r="A330" s="1" t="n"/>
      <c r="B330" s="20" t="n"/>
      <c r="C330" s="21" t="n"/>
      <c r="D330" s="24" t="n"/>
      <c r="E330" s="22" t="n"/>
      <c r="F330" s="1" t="n"/>
    </row>
    <row r="331">
      <c r="A331" s="1" t="n"/>
      <c r="B331" s="20" t="n"/>
      <c r="C331" s="21" t="n"/>
      <c r="D331" s="24" t="n"/>
      <c r="E331" s="22" t="n"/>
      <c r="F331" s="1" t="n"/>
    </row>
    <row r="332">
      <c r="A332" s="1" t="n"/>
      <c r="B332" s="20" t="n"/>
      <c r="C332" s="21" t="n"/>
      <c r="D332" s="24" t="n"/>
      <c r="E332" s="22" t="n"/>
      <c r="F332" s="1" t="n"/>
    </row>
    <row r="333">
      <c r="A333" s="1" t="n"/>
      <c r="B333" s="20" t="n"/>
      <c r="C333" s="21" t="n"/>
      <c r="D333" s="24" t="n"/>
      <c r="E333" s="22" t="n"/>
      <c r="F333" s="1" t="n"/>
    </row>
    <row r="334">
      <c r="A334" s="1" t="n"/>
      <c r="B334" s="20" t="n"/>
      <c r="C334" s="21" t="n"/>
      <c r="D334" s="24" t="n"/>
      <c r="E334" s="22" t="n"/>
      <c r="F334" s="1" t="n"/>
    </row>
    <row r="335">
      <c r="A335" s="1" t="n"/>
      <c r="B335" s="20" t="n"/>
      <c r="C335" s="21" t="n"/>
      <c r="D335" s="24" t="n"/>
      <c r="E335" s="22" t="n"/>
      <c r="F335" s="1" t="n"/>
    </row>
    <row r="336">
      <c r="A336" s="1" t="n"/>
      <c r="B336" s="20" t="n"/>
      <c r="C336" s="21" t="n"/>
      <c r="D336" s="24" t="n"/>
      <c r="E336" s="22" t="n"/>
      <c r="F336" s="1" t="n"/>
    </row>
    <row r="337">
      <c r="A337" s="1" t="n"/>
      <c r="B337" s="20" t="n"/>
      <c r="C337" s="21" t="n"/>
      <c r="D337" s="24" t="n"/>
      <c r="E337" s="22" t="n"/>
      <c r="F337" s="1" t="n"/>
    </row>
    <row r="338">
      <c r="A338" s="1" t="n"/>
      <c r="B338" s="20" t="n"/>
      <c r="C338" s="21" t="n"/>
      <c r="D338" s="24" t="n"/>
      <c r="E338" s="22" t="n"/>
      <c r="F338" s="1" t="n"/>
    </row>
    <row r="339">
      <c r="A339" s="1" t="n"/>
      <c r="B339" s="20" t="n"/>
      <c r="C339" s="21" t="n"/>
      <c r="D339" s="24" t="n"/>
      <c r="E339" s="22" t="n"/>
      <c r="F339" s="1" t="n"/>
    </row>
    <row r="340">
      <c r="A340" s="1" t="n"/>
      <c r="B340" s="20" t="n"/>
      <c r="C340" s="21" t="n"/>
      <c r="D340" s="24" t="n"/>
      <c r="E340" s="22" t="n"/>
      <c r="F340" s="1" t="n"/>
    </row>
    <row r="341">
      <c r="A341" s="1" t="n"/>
      <c r="B341" s="20" t="n"/>
      <c r="C341" s="21" t="n"/>
      <c r="D341" s="24" t="n"/>
      <c r="E341" s="22" t="n"/>
      <c r="F341" s="1" t="n"/>
    </row>
    <row r="342">
      <c r="A342" s="1" t="n"/>
      <c r="B342" s="20" t="n"/>
      <c r="C342" s="21" t="n"/>
      <c r="D342" s="24" t="n"/>
      <c r="E342" s="22" t="n"/>
      <c r="F342" s="1" t="n"/>
    </row>
    <row r="343">
      <c r="A343" s="1" t="n"/>
      <c r="B343" s="20" t="n"/>
      <c r="C343" s="21" t="n"/>
      <c r="D343" s="24" t="n"/>
      <c r="E343" s="22" t="n"/>
      <c r="F343" s="1" t="n"/>
    </row>
    <row r="344">
      <c r="A344" s="1" t="n"/>
      <c r="B344" s="20" t="n"/>
      <c r="C344" s="21" t="n"/>
      <c r="D344" s="24" t="n"/>
      <c r="E344" s="22" t="n"/>
      <c r="F344" s="1" t="n"/>
    </row>
    <row r="345">
      <c r="A345" s="1" t="n"/>
      <c r="B345" s="20" t="n"/>
      <c r="C345" s="21" t="n"/>
      <c r="D345" s="24" t="n"/>
      <c r="E345" s="22" t="n"/>
      <c r="F345" s="1" t="n"/>
    </row>
    <row r="346">
      <c r="A346" s="1" t="n"/>
      <c r="B346" s="20" t="n"/>
      <c r="C346" s="21" t="n"/>
      <c r="D346" s="24" t="n"/>
      <c r="E346" s="22" t="n"/>
      <c r="F346" s="1" t="n"/>
    </row>
    <row r="347">
      <c r="A347" s="1" t="n"/>
      <c r="B347" s="20" t="n"/>
      <c r="C347" s="21" t="n"/>
      <c r="D347" s="24" t="n"/>
      <c r="E347" s="22" t="n"/>
      <c r="F347" s="1" t="n"/>
    </row>
    <row r="348">
      <c r="A348" s="1" t="n"/>
      <c r="B348" s="20" t="n"/>
      <c r="C348" s="21" t="n"/>
      <c r="D348" s="24" t="n"/>
      <c r="E348" s="22" t="n"/>
      <c r="F348" s="1" t="n"/>
    </row>
    <row r="349">
      <c r="A349" s="1" t="n"/>
      <c r="B349" s="20" t="n"/>
      <c r="C349" s="21" t="n"/>
      <c r="D349" s="24" t="n"/>
      <c r="E349" s="22" t="n"/>
      <c r="F349" s="1" t="n"/>
    </row>
    <row r="350">
      <c r="A350" s="1" t="n"/>
      <c r="B350" s="20" t="n"/>
      <c r="C350" s="21" t="n"/>
      <c r="D350" s="24" t="n"/>
      <c r="E350" s="22" t="n"/>
      <c r="F350" s="1" t="n"/>
    </row>
    <row r="351">
      <c r="A351" s="1" t="n"/>
      <c r="B351" s="20" t="n"/>
      <c r="C351" s="21" t="n"/>
      <c r="D351" s="24" t="n"/>
      <c r="E351" s="22" t="n"/>
      <c r="F351" s="1" t="n"/>
    </row>
    <row r="352">
      <c r="A352" s="1" t="n"/>
      <c r="B352" s="20" t="n"/>
      <c r="C352" s="21" t="n"/>
      <c r="D352" s="24" t="n"/>
      <c r="E352" s="22" t="n"/>
      <c r="F352" s="1" t="n"/>
    </row>
    <row r="353">
      <c r="A353" s="1" t="n"/>
      <c r="B353" s="20" t="n"/>
      <c r="C353" s="21" t="n"/>
      <c r="D353" s="24" t="n"/>
      <c r="E353" s="22" t="n"/>
      <c r="F353" s="1" t="n"/>
    </row>
    <row r="354">
      <c r="A354" s="1" t="n"/>
      <c r="B354" s="20" t="n"/>
      <c r="C354" s="21" t="n"/>
      <c r="D354" s="24" t="n"/>
      <c r="E354" s="22" t="n"/>
      <c r="F354" s="1" t="n"/>
    </row>
    <row r="355">
      <c r="A355" s="1" t="n"/>
      <c r="B355" s="20" t="n"/>
      <c r="C355" s="21" t="n"/>
      <c r="D355" s="24" t="n"/>
      <c r="E355" s="22" t="n"/>
      <c r="F355" s="1" t="n"/>
    </row>
    <row r="356">
      <c r="A356" s="1" t="n"/>
      <c r="B356" s="20" t="n"/>
      <c r="C356" s="21" t="n"/>
      <c r="D356" s="24" t="n"/>
      <c r="E356" s="22" t="n"/>
      <c r="F356" s="1" t="n"/>
    </row>
    <row r="357">
      <c r="A357" s="1" t="n"/>
      <c r="B357" s="20" t="n"/>
      <c r="C357" s="21" t="n"/>
      <c r="D357" s="24" t="n"/>
      <c r="E357" s="22" t="n"/>
      <c r="F357" s="1" t="n"/>
    </row>
    <row r="358">
      <c r="A358" s="1" t="n"/>
      <c r="B358" s="20" t="n"/>
      <c r="C358" s="21" t="n"/>
      <c r="D358" s="24" t="n"/>
      <c r="E358" s="22" t="n"/>
      <c r="F358" s="1" t="n"/>
    </row>
    <row r="359">
      <c r="A359" s="1" t="n"/>
      <c r="B359" s="20" t="n"/>
      <c r="C359" s="21" t="n"/>
      <c r="D359" s="24" t="n"/>
      <c r="E359" s="22" t="n"/>
      <c r="F359" s="1" t="n"/>
    </row>
    <row r="360">
      <c r="A360" s="1" t="n"/>
      <c r="B360" s="20" t="n"/>
      <c r="C360" s="21" t="n"/>
      <c r="D360" s="24" t="n"/>
      <c r="E360" s="22" t="n"/>
      <c r="F360" s="1" t="n"/>
    </row>
    <row r="361">
      <c r="A361" s="1" t="n"/>
      <c r="B361" s="20" t="n"/>
      <c r="C361" s="21" t="n"/>
      <c r="D361" s="24" t="n"/>
      <c r="E361" s="22" t="n"/>
      <c r="F361" s="1" t="n"/>
    </row>
    <row r="362">
      <c r="A362" s="1" t="n"/>
      <c r="B362" s="20" t="n"/>
      <c r="C362" s="21" t="n"/>
      <c r="D362" s="24" t="n"/>
      <c r="E362" s="22" t="n"/>
      <c r="F362" s="1" t="n"/>
    </row>
    <row r="363">
      <c r="A363" s="1" t="n"/>
      <c r="B363" s="20" t="n"/>
      <c r="C363" s="21" t="n"/>
      <c r="D363" s="24" t="n"/>
      <c r="E363" s="22" t="n"/>
      <c r="F363" s="1" t="n"/>
    </row>
    <row r="364">
      <c r="A364" s="1" t="n"/>
      <c r="B364" s="20" t="n"/>
      <c r="C364" s="21" t="n"/>
      <c r="D364" s="24" t="n"/>
      <c r="E364" s="22" t="n"/>
      <c r="F364" s="1" t="n"/>
    </row>
    <row r="365">
      <c r="A365" s="1" t="n"/>
      <c r="B365" s="20" t="n"/>
      <c r="C365" s="21" t="n"/>
      <c r="D365" s="24" t="n"/>
      <c r="E365" s="22" t="n"/>
      <c r="F365" s="1" t="n"/>
    </row>
    <row r="366">
      <c r="A366" s="1" t="n"/>
      <c r="B366" s="20" t="n"/>
      <c r="C366" s="21" t="n"/>
      <c r="D366" s="24" t="n"/>
      <c r="E366" s="22" t="n"/>
      <c r="F366" s="1" t="n"/>
    </row>
    <row r="367">
      <c r="A367" s="1" t="n"/>
      <c r="B367" s="20" t="n"/>
      <c r="C367" s="21" t="n"/>
      <c r="D367" s="24" t="n"/>
      <c r="E367" s="22" t="n"/>
      <c r="F367" s="1" t="n"/>
    </row>
    <row r="368">
      <c r="A368" s="1" t="n"/>
      <c r="B368" s="20" t="n"/>
      <c r="C368" s="21" t="n"/>
      <c r="D368" s="24" t="n"/>
      <c r="E368" s="22" t="n"/>
      <c r="F368" s="1" t="n"/>
    </row>
    <row r="369">
      <c r="A369" s="1" t="n"/>
      <c r="B369" s="20" t="n"/>
      <c r="C369" s="21" t="n"/>
      <c r="D369" s="24" t="n"/>
      <c r="E369" s="22" t="n"/>
      <c r="F369" s="1" t="n"/>
    </row>
    <row r="370">
      <c r="A370" s="1" t="n"/>
      <c r="B370" s="20" t="n"/>
      <c r="C370" s="21" t="n"/>
      <c r="D370" s="24" t="n"/>
      <c r="E370" s="22" t="n"/>
      <c r="F370" s="1" t="n"/>
    </row>
    <row r="371">
      <c r="A371" s="1" t="n"/>
      <c r="B371" s="20" t="n"/>
      <c r="C371" s="21" t="n"/>
      <c r="D371" s="24" t="n"/>
      <c r="E371" s="22" t="n"/>
      <c r="F371" s="1" t="n"/>
    </row>
    <row r="372">
      <c r="A372" s="1" t="n"/>
      <c r="B372" s="20" t="n"/>
      <c r="C372" s="21" t="n"/>
      <c r="D372" s="24" t="n"/>
      <c r="E372" s="22" t="n"/>
      <c r="F372" s="1" t="n"/>
    </row>
    <row r="373">
      <c r="A373" s="1" t="n"/>
      <c r="B373" s="20" t="n"/>
      <c r="C373" s="21" t="n"/>
      <c r="D373" s="24" t="n"/>
      <c r="E373" s="22" t="n"/>
      <c r="F373" s="1" t="n"/>
    </row>
    <row r="374">
      <c r="A374" s="1" t="n"/>
      <c r="B374" s="20" t="n"/>
      <c r="C374" s="21" t="n"/>
      <c r="D374" s="24" t="n"/>
      <c r="E374" s="22" t="n"/>
      <c r="F374" s="1" t="n"/>
    </row>
    <row r="375">
      <c r="A375" s="1" t="n"/>
      <c r="B375" s="20" t="n"/>
      <c r="C375" s="21" t="n"/>
      <c r="D375" s="24" t="n"/>
      <c r="E375" s="22" t="n"/>
      <c r="F375" s="1" t="n"/>
    </row>
    <row r="376">
      <c r="A376" s="1" t="n"/>
      <c r="B376" s="20" t="n"/>
      <c r="C376" s="21" t="n"/>
      <c r="D376" s="24" t="n"/>
      <c r="E376" s="22" t="n"/>
      <c r="F376" s="1" t="n"/>
    </row>
    <row r="377">
      <c r="A377" s="1" t="n"/>
      <c r="B377" s="20" t="n"/>
      <c r="C377" s="21" t="n"/>
      <c r="D377" s="24" t="n"/>
      <c r="E377" s="22" t="n"/>
      <c r="F377" s="1" t="n"/>
    </row>
    <row r="378">
      <c r="A378" s="1" t="n"/>
      <c r="B378" s="20" t="n"/>
      <c r="C378" s="21" t="n"/>
      <c r="D378" s="24" t="n"/>
      <c r="E378" s="22" t="n"/>
      <c r="F378" s="1" t="n"/>
    </row>
    <row r="379">
      <c r="A379" s="1" t="n"/>
      <c r="B379" s="20" t="n"/>
      <c r="C379" s="21" t="n"/>
      <c r="D379" s="24" t="n"/>
      <c r="E379" s="22" t="n"/>
      <c r="F379" s="1" t="n"/>
    </row>
    <row r="380">
      <c r="A380" s="1" t="n"/>
      <c r="B380" s="20" t="n"/>
      <c r="C380" s="21" t="n"/>
      <c r="D380" s="24" t="n"/>
      <c r="E380" s="22" t="n"/>
      <c r="F380" s="1" t="n"/>
    </row>
    <row r="381">
      <c r="A381" s="1" t="n"/>
      <c r="B381" s="20" t="n"/>
      <c r="C381" s="21" t="n"/>
      <c r="D381" s="24" t="n"/>
      <c r="E381" s="22" t="n"/>
      <c r="F381" s="1" t="n"/>
    </row>
    <row r="382">
      <c r="A382" s="1" t="n"/>
      <c r="B382" s="20" t="n"/>
      <c r="C382" s="21" t="n"/>
      <c r="D382" s="24" t="n"/>
      <c r="E382" s="22" t="n"/>
      <c r="F382" s="1" t="n"/>
    </row>
    <row r="383">
      <c r="A383" s="1" t="n"/>
      <c r="B383" s="20" t="n"/>
      <c r="C383" s="21" t="n"/>
      <c r="D383" s="24" t="n"/>
      <c r="E383" s="22" t="n"/>
      <c r="F383" s="1" t="n"/>
    </row>
    <row r="384">
      <c r="A384" s="1" t="n"/>
      <c r="B384" s="20" t="n"/>
      <c r="C384" s="21" t="n"/>
      <c r="D384" s="24" t="n"/>
      <c r="E384" s="22" t="n"/>
      <c r="F384" s="1" t="n"/>
    </row>
    <row r="385">
      <c r="A385" s="1" t="n"/>
      <c r="B385" s="20" t="n"/>
      <c r="C385" s="21" t="n"/>
      <c r="D385" s="24" t="n"/>
      <c r="E385" s="22" t="n"/>
      <c r="F385" s="1" t="n"/>
    </row>
    <row r="386">
      <c r="A386" s="1" t="n"/>
      <c r="B386" s="20" t="n"/>
      <c r="C386" s="21" t="n"/>
      <c r="D386" s="24" t="n"/>
      <c r="E386" s="22" t="n"/>
      <c r="F386" s="1" t="n"/>
    </row>
    <row r="387">
      <c r="A387" s="1" t="n"/>
      <c r="B387" s="20" t="n"/>
      <c r="C387" s="21" t="n"/>
      <c r="D387" s="24" t="n"/>
      <c r="E387" s="22" t="n"/>
      <c r="F387" s="1" t="n"/>
    </row>
    <row r="388">
      <c r="A388" s="1" t="n"/>
      <c r="B388" s="20" t="n"/>
      <c r="C388" s="21" t="n"/>
      <c r="D388" s="24" t="n"/>
      <c r="E388" s="22" t="n"/>
      <c r="F388" s="1" t="n"/>
    </row>
    <row r="389">
      <c r="A389" s="1" t="n"/>
      <c r="B389" s="20" t="n"/>
      <c r="C389" s="21" t="n"/>
      <c r="D389" s="24" t="n"/>
      <c r="E389" s="22" t="n"/>
      <c r="F389" s="1" t="n"/>
    </row>
    <row r="390">
      <c r="A390" s="1" t="n"/>
      <c r="B390" s="20" t="n"/>
      <c r="C390" s="21" t="n"/>
      <c r="D390" s="24" t="n"/>
      <c r="E390" s="22" t="n"/>
      <c r="F390" s="1" t="n"/>
    </row>
    <row r="391">
      <c r="A391" s="1" t="n"/>
      <c r="B391" s="20" t="n"/>
      <c r="C391" s="21" t="n"/>
      <c r="D391" s="24" t="n"/>
      <c r="E391" s="22" t="n"/>
      <c r="F391" s="1" t="n"/>
    </row>
    <row r="392">
      <c r="A392" s="1" t="n"/>
      <c r="B392" s="20" t="n"/>
      <c r="C392" s="21" t="n"/>
      <c r="D392" s="24" t="n"/>
      <c r="E392" s="22" t="n"/>
      <c r="F392" s="1" t="n"/>
    </row>
    <row r="393">
      <c r="A393" s="1" t="n"/>
      <c r="B393" s="20" t="n"/>
      <c r="C393" s="21" t="n"/>
      <c r="D393" s="24" t="n"/>
      <c r="E393" s="22" t="n"/>
      <c r="F393" s="1" t="n"/>
    </row>
    <row r="394">
      <c r="A394" s="1" t="n"/>
      <c r="B394" s="20" t="n"/>
      <c r="C394" s="21" t="n"/>
      <c r="D394" s="24" t="n"/>
      <c r="E394" s="22" t="n"/>
      <c r="F394" s="1" t="n"/>
    </row>
    <row r="395">
      <c r="A395" s="1" t="n"/>
      <c r="B395" s="20" t="n"/>
      <c r="C395" s="21" t="n"/>
      <c r="D395" s="24" t="n"/>
      <c r="E395" s="22" t="n"/>
      <c r="F395" s="1" t="n"/>
    </row>
    <row r="396">
      <c r="A396" s="1" t="n"/>
      <c r="B396" s="20" t="n"/>
      <c r="C396" s="21" t="n"/>
      <c r="D396" s="24" t="n"/>
      <c r="E396" s="22" t="n"/>
      <c r="F396" s="1" t="n"/>
    </row>
    <row r="397">
      <c r="A397" s="1" t="n"/>
      <c r="B397" s="20" t="n"/>
      <c r="C397" s="21" t="n"/>
      <c r="D397" s="24" t="n"/>
      <c r="E397" s="22" t="n"/>
      <c r="F397" s="1" t="n"/>
    </row>
    <row r="398">
      <c r="A398" s="1" t="n"/>
      <c r="B398" s="20" t="n"/>
      <c r="C398" s="21" t="n"/>
      <c r="D398" s="24" t="n"/>
      <c r="E398" s="22" t="n"/>
      <c r="F398" s="1" t="n"/>
    </row>
    <row r="399">
      <c r="A399" s="1" t="n"/>
      <c r="B399" s="20" t="n"/>
      <c r="C399" s="21" t="n"/>
      <c r="D399" s="24" t="n"/>
      <c r="E399" s="22" t="n"/>
      <c r="F399" s="1" t="n"/>
    </row>
    <row r="400">
      <c r="A400" s="1" t="n"/>
      <c r="B400" s="20" t="n"/>
      <c r="C400" s="21" t="n"/>
      <c r="D400" s="24" t="n"/>
      <c r="E400" s="22" t="n"/>
      <c r="F400" s="1" t="n"/>
    </row>
    <row r="401">
      <c r="A401" s="1" t="n"/>
      <c r="B401" s="20" t="n"/>
      <c r="C401" s="21" t="n"/>
      <c r="D401" s="24" t="n"/>
      <c r="E401" s="22" t="n"/>
      <c r="F401" s="1" t="n"/>
    </row>
    <row r="402">
      <c r="A402" s="1" t="n"/>
      <c r="B402" s="20" t="n"/>
      <c r="C402" s="21" t="n"/>
      <c r="D402" s="24" t="n"/>
      <c r="E402" s="22" t="n"/>
      <c r="F402" s="1" t="n"/>
    </row>
    <row r="403">
      <c r="A403" s="1" t="n"/>
      <c r="B403" s="20" t="n"/>
      <c r="C403" s="21" t="n"/>
      <c r="D403" s="24" t="n"/>
      <c r="E403" s="22" t="n"/>
      <c r="F403" s="1" t="n"/>
    </row>
    <row r="404">
      <c r="A404" s="1" t="n"/>
      <c r="B404" s="20" t="n"/>
      <c r="C404" s="21" t="n"/>
      <c r="D404" s="24" t="n"/>
      <c r="E404" s="22" t="n"/>
      <c r="F404" s="1" t="n"/>
    </row>
    <row r="405">
      <c r="A405" s="1" t="n"/>
      <c r="B405" s="20" t="n"/>
      <c r="C405" s="21" t="n"/>
      <c r="D405" s="24" t="n"/>
      <c r="E405" s="22" t="n"/>
      <c r="F405" s="1" t="n"/>
    </row>
    <row r="406">
      <c r="A406" s="1" t="n"/>
      <c r="B406" s="20" t="n"/>
      <c r="C406" s="21" t="n"/>
      <c r="D406" s="24" t="n"/>
      <c r="E406" s="22" t="n"/>
      <c r="F406" s="1" t="n"/>
    </row>
    <row r="407">
      <c r="A407" s="1" t="n"/>
      <c r="B407" s="20" t="n"/>
      <c r="C407" s="21" t="n"/>
      <c r="D407" s="24" t="n"/>
      <c r="E407" s="22" t="n"/>
      <c r="F407" s="1" t="n"/>
    </row>
    <row r="408">
      <c r="A408" s="1" t="n"/>
      <c r="B408" s="20" t="n"/>
      <c r="C408" s="21" t="n"/>
      <c r="D408" s="24" t="n"/>
      <c r="E408" s="22" t="n"/>
      <c r="F408" s="1" t="n"/>
    </row>
    <row r="409">
      <c r="A409" s="1" t="n"/>
      <c r="B409" s="20" t="n"/>
      <c r="C409" s="21" t="n"/>
      <c r="D409" s="24" t="n"/>
      <c r="E409" s="22" t="n"/>
      <c r="F409" s="1" t="n"/>
    </row>
    <row r="410">
      <c r="A410" s="1" t="n"/>
      <c r="B410" s="20" t="n"/>
      <c r="C410" s="21" t="n"/>
      <c r="D410" s="24" t="n"/>
      <c r="E410" s="22" t="n"/>
      <c r="F410" s="1" t="n"/>
    </row>
    <row r="411">
      <c r="A411" s="1" t="n"/>
      <c r="B411" s="20" t="n"/>
      <c r="C411" s="21" t="n"/>
      <c r="D411" s="24" t="n"/>
      <c r="E411" s="22" t="n"/>
      <c r="F411" s="1" t="n"/>
    </row>
    <row r="412">
      <c r="A412" s="1" t="n"/>
      <c r="B412" s="20" t="n"/>
      <c r="C412" s="21" t="n"/>
      <c r="D412" s="24" t="n"/>
      <c r="E412" s="22" t="n"/>
      <c r="F412" s="1" t="n"/>
    </row>
    <row r="413">
      <c r="A413" s="1" t="n"/>
      <c r="B413" s="20" t="n"/>
      <c r="C413" s="21" t="n"/>
      <c r="D413" s="24" t="n"/>
      <c r="E413" s="22" t="n"/>
      <c r="F413" s="1" t="n"/>
    </row>
    <row r="414">
      <c r="A414" s="1" t="n"/>
      <c r="B414" s="20" t="n"/>
      <c r="C414" s="21" t="n"/>
      <c r="D414" s="24" t="n"/>
      <c r="E414" s="22" t="n"/>
      <c r="F414" s="1" t="n"/>
    </row>
    <row r="415">
      <c r="A415" s="1" t="n"/>
      <c r="B415" s="20" t="n"/>
      <c r="C415" s="21" t="n"/>
      <c r="D415" s="24" t="n"/>
      <c r="E415" s="22" t="n"/>
      <c r="F415" s="1" t="n"/>
    </row>
    <row r="416">
      <c r="A416" s="1" t="n"/>
      <c r="B416" s="20" t="n"/>
      <c r="C416" s="21" t="n"/>
      <c r="D416" s="24" t="n"/>
      <c r="E416" s="22" t="n"/>
      <c r="F416" s="1" t="n"/>
    </row>
    <row r="417">
      <c r="A417" s="1" t="n"/>
      <c r="B417" s="20" t="n"/>
      <c r="C417" s="21" t="n"/>
      <c r="D417" s="24" t="n"/>
      <c r="E417" s="22" t="n"/>
      <c r="F417" s="1" t="n"/>
    </row>
    <row r="418">
      <c r="A418" s="1" t="n"/>
      <c r="B418" s="20" t="n"/>
      <c r="C418" s="21" t="n"/>
      <c r="D418" s="24" t="n"/>
      <c r="E418" s="22" t="n"/>
      <c r="F418" s="1" t="n"/>
    </row>
    <row r="419">
      <c r="A419" s="1" t="n"/>
      <c r="B419" s="20" t="n"/>
      <c r="C419" s="21" t="n"/>
      <c r="D419" s="24" t="n"/>
      <c r="E419" s="22" t="n"/>
      <c r="F419" s="1" t="n"/>
    </row>
    <row r="420">
      <c r="A420" s="1" t="n"/>
      <c r="B420" s="20" t="n"/>
      <c r="C420" s="21" t="n"/>
      <c r="D420" s="24" t="n"/>
      <c r="E420" s="22" t="n"/>
      <c r="F420" s="1" t="n"/>
    </row>
    <row r="421">
      <c r="A421" s="1" t="n"/>
      <c r="B421" s="20" t="n"/>
      <c r="C421" s="21" t="n"/>
      <c r="D421" s="24" t="n"/>
      <c r="E421" s="22" t="n"/>
      <c r="F421" s="1" t="n"/>
    </row>
    <row r="422">
      <c r="A422" s="1" t="n"/>
      <c r="B422" s="20" t="n"/>
      <c r="C422" s="21" t="n"/>
      <c r="D422" s="24" t="n"/>
      <c r="E422" s="22" t="n"/>
      <c r="F422" s="1" t="n"/>
    </row>
    <row r="423">
      <c r="A423" s="1" t="n"/>
      <c r="B423" s="20" t="n"/>
      <c r="C423" s="21" t="n"/>
      <c r="D423" s="24" t="n"/>
      <c r="E423" s="22" t="n"/>
      <c r="F423" s="1" t="n"/>
    </row>
    <row r="424">
      <c r="A424" s="1" t="n"/>
      <c r="B424" s="20" t="n"/>
      <c r="C424" s="21" t="n"/>
      <c r="D424" s="24" t="n"/>
      <c r="E424" s="22" t="n"/>
      <c r="F424" s="1" t="n"/>
    </row>
    <row r="425">
      <c r="A425" s="1" t="n"/>
      <c r="B425" s="20" t="n"/>
      <c r="C425" s="21" t="n"/>
      <c r="D425" s="24" t="n"/>
      <c r="E425" s="22" t="n"/>
      <c r="F425" s="1" t="n"/>
    </row>
    <row r="426">
      <c r="A426" s="1" t="n"/>
      <c r="B426" s="20" t="n"/>
      <c r="C426" s="21" t="n"/>
      <c r="D426" s="24" t="n"/>
      <c r="E426" s="22" t="n"/>
      <c r="F426" s="1" t="n"/>
    </row>
    <row r="427">
      <c r="A427" s="1" t="n"/>
      <c r="B427" s="20" t="n"/>
      <c r="C427" s="21" t="n"/>
      <c r="D427" s="24" t="n"/>
      <c r="E427" s="22" t="n"/>
      <c r="F427" s="1" t="n"/>
    </row>
    <row r="428">
      <c r="A428" s="1" t="n"/>
      <c r="B428" s="20" t="n"/>
      <c r="C428" s="21" t="n"/>
      <c r="D428" s="24" t="n"/>
      <c r="E428" s="22" t="n"/>
      <c r="F428" s="1" t="n"/>
    </row>
    <row r="429">
      <c r="A429" s="1" t="n"/>
      <c r="B429" s="20" t="n"/>
      <c r="C429" s="21" t="n"/>
      <c r="D429" s="24" t="n"/>
      <c r="E429" s="22" t="n"/>
      <c r="F429" s="1" t="n"/>
    </row>
    <row r="430">
      <c r="A430" s="1" t="n"/>
      <c r="B430" s="20" t="n"/>
      <c r="C430" s="21" t="n"/>
      <c r="D430" s="24" t="n"/>
      <c r="E430" s="22" t="n"/>
      <c r="F430" s="1" t="n"/>
    </row>
    <row r="431">
      <c r="A431" s="1" t="n"/>
      <c r="B431" s="20" t="n"/>
      <c r="C431" s="21" t="n"/>
      <c r="D431" s="24" t="n"/>
      <c r="E431" s="22" t="n"/>
      <c r="F431" s="1" t="n"/>
    </row>
    <row r="432">
      <c r="A432" s="1" t="n"/>
      <c r="B432" s="20" t="n"/>
      <c r="C432" s="21" t="n"/>
      <c r="D432" s="24" t="n"/>
      <c r="E432" s="22" t="n"/>
      <c r="F432" s="1" t="n"/>
    </row>
    <row r="433">
      <c r="A433" s="1" t="n"/>
      <c r="B433" s="20" t="n"/>
      <c r="C433" s="21" t="n"/>
      <c r="D433" s="24" t="n"/>
      <c r="E433" s="22" t="n"/>
      <c r="F433" s="1" t="n"/>
    </row>
    <row r="434">
      <c r="A434" s="1" t="n"/>
      <c r="B434" s="20" t="n"/>
      <c r="C434" s="21" t="n"/>
      <c r="D434" s="24" t="n"/>
      <c r="E434" s="22" t="n"/>
      <c r="F434" s="1" t="n"/>
    </row>
    <row r="435">
      <c r="A435" s="1" t="n"/>
      <c r="B435" s="20" t="n"/>
      <c r="C435" s="21" t="n"/>
      <c r="D435" s="24" t="n"/>
      <c r="E435" s="22" t="n"/>
      <c r="F435" s="1" t="n"/>
    </row>
    <row r="436">
      <c r="A436" s="1" t="n"/>
      <c r="B436" s="20" t="n"/>
      <c r="C436" s="21" t="n"/>
      <c r="D436" s="24" t="n"/>
      <c r="E436" s="22" t="n"/>
      <c r="F436" s="1" t="n"/>
    </row>
    <row r="437">
      <c r="A437" s="1" t="n"/>
      <c r="B437" s="20" t="n"/>
      <c r="C437" s="21" t="n"/>
      <c r="D437" s="24" t="n"/>
      <c r="E437" s="22" t="n"/>
      <c r="F437" s="1" t="n"/>
    </row>
    <row r="438">
      <c r="A438" s="1" t="n"/>
      <c r="B438" s="20" t="n"/>
      <c r="C438" s="21" t="n"/>
      <c r="D438" s="24" t="n"/>
      <c r="E438" s="22" t="n"/>
      <c r="F438" s="1" t="n"/>
    </row>
    <row r="439">
      <c r="A439" s="1" t="n"/>
      <c r="B439" s="20" t="n"/>
      <c r="C439" s="21" t="n"/>
      <c r="D439" s="24" t="n"/>
      <c r="E439" s="22" t="n"/>
      <c r="F439" s="1" t="n"/>
    </row>
    <row r="440">
      <c r="A440" s="1" t="n"/>
      <c r="B440" s="20" t="n"/>
      <c r="C440" s="21" t="n"/>
      <c r="D440" s="24" t="n"/>
      <c r="E440" s="22" t="n"/>
      <c r="F440" s="1" t="n"/>
    </row>
    <row r="441">
      <c r="A441" s="1" t="n"/>
      <c r="B441" s="20" t="n"/>
      <c r="C441" s="21" t="n"/>
      <c r="D441" s="24" t="n"/>
      <c r="E441" s="22" t="n"/>
      <c r="F441" s="1" t="n"/>
    </row>
    <row r="442">
      <c r="A442" s="1" t="n"/>
      <c r="B442" s="20" t="n"/>
      <c r="C442" s="21" t="n"/>
      <c r="D442" s="24" t="n"/>
      <c r="E442" s="22" t="n"/>
      <c r="F442" s="1" t="n"/>
    </row>
    <row r="443">
      <c r="A443" s="1" t="n"/>
      <c r="B443" s="20" t="n"/>
      <c r="C443" s="21" t="n"/>
      <c r="D443" s="24" t="n"/>
      <c r="E443" s="22" t="n"/>
      <c r="F443" s="1" t="n"/>
    </row>
    <row r="444">
      <c r="A444" s="1" t="n"/>
      <c r="B444" s="20" t="n"/>
      <c r="C444" s="21" t="n"/>
      <c r="D444" s="24" t="n"/>
      <c r="E444" s="22" t="n"/>
      <c r="F444" s="1" t="n"/>
    </row>
    <row r="445">
      <c r="A445" s="1" t="n"/>
      <c r="B445" s="20" t="n"/>
      <c r="C445" s="21" t="n"/>
      <c r="D445" s="24" t="n"/>
      <c r="E445" s="22" t="n"/>
      <c r="F445" s="1" t="n"/>
    </row>
    <row r="446">
      <c r="A446" s="1" t="n"/>
      <c r="B446" s="20" t="n"/>
      <c r="C446" s="21" t="n"/>
      <c r="D446" s="24" t="n"/>
      <c r="E446" s="22" t="n"/>
      <c r="F446" s="1" t="n"/>
    </row>
    <row r="447">
      <c r="A447" s="1" t="n"/>
      <c r="B447" s="20" t="n"/>
      <c r="C447" s="21" t="n"/>
      <c r="D447" s="24" t="n"/>
      <c r="E447" s="22" t="n"/>
      <c r="F447" s="1" t="n"/>
    </row>
    <row r="448">
      <c r="A448" s="1" t="n"/>
      <c r="B448" s="20" t="n"/>
      <c r="C448" s="21" t="n"/>
      <c r="D448" s="24" t="n"/>
      <c r="E448" s="22" t="n"/>
      <c r="F448" s="1" t="n"/>
    </row>
    <row r="449">
      <c r="A449" s="1" t="n"/>
      <c r="B449" s="20" t="n"/>
      <c r="C449" s="21" t="n"/>
      <c r="D449" s="24" t="n"/>
      <c r="E449" s="22" t="n"/>
      <c r="F449" s="1" t="n"/>
    </row>
    <row r="450">
      <c r="A450" s="1" t="n"/>
      <c r="B450" s="20" t="n"/>
      <c r="C450" s="21" t="n"/>
      <c r="D450" s="24" t="n"/>
      <c r="E450" s="22" t="n"/>
      <c r="F450" s="1" t="n"/>
    </row>
    <row r="451">
      <c r="A451" s="1" t="n"/>
      <c r="B451" s="20" t="n"/>
      <c r="C451" s="21" t="n"/>
      <c r="D451" s="24" t="n"/>
      <c r="E451" s="22" t="n"/>
      <c r="F451" s="1" t="n"/>
    </row>
    <row r="452">
      <c r="A452" s="1" t="n"/>
      <c r="B452" s="20" t="n"/>
      <c r="C452" s="21" t="n"/>
      <c r="D452" s="24" t="n"/>
      <c r="E452" s="22" t="n"/>
      <c r="F452" s="1" t="n"/>
    </row>
    <row r="453">
      <c r="A453" s="1" t="n"/>
      <c r="B453" s="20" t="n"/>
      <c r="C453" s="21" t="n"/>
      <c r="D453" s="24" t="n"/>
      <c r="E453" s="22" t="n"/>
      <c r="F453" s="1" t="n"/>
    </row>
    <row r="454">
      <c r="A454" s="1" t="n"/>
      <c r="B454" s="20" t="n"/>
      <c r="C454" s="21" t="n"/>
      <c r="D454" s="24" t="n"/>
      <c r="E454" s="22" t="n"/>
      <c r="F454" s="1" t="n"/>
    </row>
    <row r="455">
      <c r="A455" s="1" t="n"/>
      <c r="B455" s="20" t="n"/>
      <c r="C455" s="21" t="n"/>
      <c r="D455" s="24" t="n"/>
      <c r="E455" s="22" t="n"/>
      <c r="F455" s="1" t="n"/>
    </row>
    <row r="456">
      <c r="A456" s="1" t="n"/>
      <c r="B456" s="20" t="n"/>
      <c r="C456" s="21" t="n"/>
      <c r="D456" s="24" t="n"/>
      <c r="E456" s="22" t="n"/>
      <c r="F456" s="1" t="n"/>
    </row>
    <row r="457">
      <c r="A457" s="1" t="n"/>
      <c r="B457" s="20" t="n"/>
      <c r="C457" s="21" t="n"/>
      <c r="D457" s="24" t="n"/>
      <c r="E457" s="22" t="n"/>
      <c r="F457" s="1" t="n"/>
    </row>
    <row r="458">
      <c r="A458" s="1" t="n"/>
      <c r="B458" s="20" t="n"/>
      <c r="C458" s="21" t="n"/>
      <c r="D458" s="24" t="n"/>
      <c r="E458" s="22" t="n"/>
      <c r="F458" s="1" t="n"/>
    </row>
    <row r="459">
      <c r="A459" s="1" t="n"/>
      <c r="B459" s="20" t="n"/>
      <c r="C459" s="21" t="n"/>
      <c r="D459" s="24" t="n"/>
      <c r="E459" s="22" t="n"/>
      <c r="F459" s="1" t="n"/>
    </row>
    <row r="460">
      <c r="A460" s="1" t="n"/>
      <c r="B460" s="20" t="n"/>
      <c r="C460" s="21" t="n"/>
      <c r="D460" s="24" t="n"/>
      <c r="E460" s="22" t="n"/>
      <c r="F460" s="1" t="n"/>
    </row>
    <row r="461">
      <c r="A461" s="1" t="n"/>
      <c r="B461" s="20" t="n"/>
      <c r="C461" s="21" t="n"/>
      <c r="D461" s="24" t="n"/>
      <c r="E461" s="22" t="n"/>
      <c r="F461" s="1" t="n"/>
    </row>
    <row r="462">
      <c r="A462" s="1" t="n"/>
      <c r="B462" s="20" t="n"/>
      <c r="C462" s="21" t="n"/>
      <c r="D462" s="24" t="n"/>
      <c r="E462" s="22" t="n"/>
      <c r="F462" s="1" t="n"/>
    </row>
    <row r="463">
      <c r="A463" s="1" t="n"/>
      <c r="B463" s="20" t="n"/>
      <c r="C463" s="21" t="n"/>
      <c r="D463" s="24" t="n"/>
      <c r="E463" s="22" t="n"/>
      <c r="F463" s="1" t="n"/>
    </row>
    <row r="464">
      <c r="A464" s="1" t="n"/>
      <c r="B464" s="20" t="n"/>
      <c r="C464" s="21" t="n"/>
      <c r="D464" s="24" t="n"/>
      <c r="E464" s="22" t="n"/>
      <c r="F464" s="1" t="n"/>
    </row>
    <row r="465">
      <c r="A465" s="1" t="n"/>
      <c r="B465" s="20" t="n"/>
      <c r="C465" s="21" t="n"/>
      <c r="D465" s="24" t="n"/>
      <c r="E465" s="22" t="n"/>
      <c r="F465" s="1" t="n"/>
    </row>
    <row r="466">
      <c r="A466" s="1" t="n"/>
      <c r="B466" s="20" t="n"/>
      <c r="C466" s="21" t="n"/>
      <c r="D466" s="24" t="n"/>
      <c r="E466" s="22" t="n"/>
      <c r="F466" s="1" t="n"/>
    </row>
    <row r="467">
      <c r="A467" s="1" t="n"/>
      <c r="B467" s="20" t="n"/>
      <c r="C467" s="21" t="n"/>
      <c r="D467" s="24" t="n"/>
      <c r="E467" s="22" t="n"/>
      <c r="F467" s="1" t="n"/>
    </row>
    <row r="468">
      <c r="A468" s="1" t="n"/>
      <c r="B468" s="20" t="n"/>
      <c r="C468" s="21" t="n"/>
      <c r="D468" s="24" t="n"/>
      <c r="E468" s="22" t="n"/>
      <c r="F468" s="1" t="n"/>
    </row>
    <row r="469">
      <c r="A469" s="1" t="n"/>
      <c r="B469" s="20" t="n"/>
      <c r="C469" s="21" t="n"/>
      <c r="D469" s="24" t="n"/>
      <c r="E469" s="22" t="n"/>
      <c r="F469" s="1" t="n"/>
    </row>
    <row r="470">
      <c r="A470" s="1" t="n"/>
      <c r="B470" s="20" t="n"/>
      <c r="C470" s="21" t="n"/>
      <c r="D470" s="24" t="n"/>
      <c r="E470" s="22" t="n"/>
      <c r="F470" s="1" t="n"/>
    </row>
    <row r="471">
      <c r="A471" s="1" t="n"/>
      <c r="B471" s="20" t="n"/>
      <c r="C471" s="21" t="n"/>
      <c r="D471" s="24" t="n"/>
      <c r="E471" s="22" t="n"/>
      <c r="F471" s="1" t="n"/>
    </row>
    <row r="472">
      <c r="A472" s="1" t="n"/>
      <c r="B472" s="20" t="n"/>
      <c r="C472" s="21" t="n"/>
      <c r="D472" s="24" t="n"/>
      <c r="E472" s="22" t="n"/>
      <c r="F472" s="1" t="n"/>
    </row>
    <row r="473">
      <c r="A473" s="1" t="n"/>
      <c r="B473" s="20" t="n"/>
      <c r="C473" s="21" t="n"/>
      <c r="D473" s="24" t="n"/>
      <c r="E473" s="22" t="n"/>
      <c r="F473" s="1" t="n"/>
    </row>
    <row r="474">
      <c r="A474" s="1" t="n"/>
      <c r="B474" s="20" t="n"/>
      <c r="C474" s="21" t="n"/>
      <c r="D474" s="24" t="n"/>
      <c r="E474" s="22" t="n"/>
      <c r="F474" s="1" t="n"/>
    </row>
    <row r="475">
      <c r="A475" s="1" t="n"/>
      <c r="B475" s="20" t="n"/>
      <c r="C475" s="21" t="n"/>
      <c r="D475" s="24" t="n"/>
      <c r="E475" s="22" t="n"/>
      <c r="F475" s="1" t="n"/>
    </row>
    <row r="476">
      <c r="A476" s="1" t="n"/>
      <c r="B476" s="20" t="n"/>
      <c r="C476" s="21" t="n"/>
      <c r="D476" s="24" t="n"/>
      <c r="E476" s="22" t="n"/>
      <c r="F476" s="1" t="n"/>
    </row>
    <row r="477">
      <c r="A477" s="1" t="n"/>
      <c r="B477" s="20" t="n"/>
      <c r="C477" s="21" t="n"/>
      <c r="D477" s="24" t="n"/>
      <c r="E477" s="22" t="n"/>
      <c r="F477" s="1" t="n"/>
    </row>
    <row r="478">
      <c r="A478" s="1" t="n"/>
      <c r="B478" s="20" t="n"/>
      <c r="C478" s="21" t="n"/>
      <c r="D478" s="24" t="n"/>
      <c r="E478" s="22" t="n"/>
      <c r="F478" s="1" t="n"/>
    </row>
    <row r="479">
      <c r="A479" s="1" t="n"/>
      <c r="B479" s="20" t="n"/>
      <c r="C479" s="21" t="n"/>
      <c r="D479" s="24" t="n"/>
      <c r="E479" s="22" t="n"/>
      <c r="F479" s="1" t="n"/>
    </row>
    <row r="480">
      <c r="A480" s="1" t="n"/>
      <c r="B480" s="20" t="n"/>
      <c r="C480" s="21" t="n"/>
      <c r="D480" s="24" t="n"/>
      <c r="E480" s="22" t="n"/>
      <c r="F480" s="1" t="n"/>
    </row>
    <row r="481">
      <c r="A481" s="1" t="n"/>
      <c r="B481" s="20" t="n"/>
      <c r="C481" s="21" t="n"/>
      <c r="D481" s="24" t="n"/>
      <c r="E481" s="22" t="n"/>
      <c r="F481" s="1" t="n"/>
    </row>
    <row r="482">
      <c r="A482" s="1" t="n"/>
      <c r="B482" s="20" t="n"/>
      <c r="C482" s="21" t="n"/>
      <c r="D482" s="24" t="n"/>
      <c r="E482" s="22" t="n"/>
      <c r="F482" s="1" t="n"/>
    </row>
    <row r="483">
      <c r="A483" s="1" t="n"/>
      <c r="B483" s="20" t="n"/>
      <c r="C483" s="21" t="n"/>
      <c r="D483" s="24" t="n"/>
      <c r="E483" s="22" t="n"/>
      <c r="F483" s="1" t="n"/>
    </row>
    <row r="484">
      <c r="A484" s="1" t="n"/>
      <c r="B484" s="20" t="n"/>
      <c r="C484" s="21" t="n"/>
      <c r="D484" s="24" t="n"/>
      <c r="E484" s="22" t="n"/>
      <c r="F484" s="1" t="n"/>
    </row>
    <row r="485">
      <c r="A485" s="1" t="n"/>
      <c r="B485" s="20" t="n"/>
      <c r="C485" s="21" t="n"/>
      <c r="D485" s="24" t="n"/>
      <c r="E485" s="22" t="n"/>
      <c r="F485" s="1" t="n"/>
    </row>
    <row r="486">
      <c r="A486" s="1" t="n"/>
      <c r="B486" s="20" t="n"/>
      <c r="C486" s="21" t="n"/>
      <c r="D486" s="24" t="n"/>
      <c r="E486" s="22" t="n"/>
      <c r="F486" s="1" t="n"/>
    </row>
    <row r="487">
      <c r="A487" s="1" t="n"/>
      <c r="B487" s="20" t="n"/>
      <c r="C487" s="21" t="n"/>
      <c r="D487" s="24" t="n"/>
      <c r="E487" s="22" t="n"/>
      <c r="F487" s="1" t="n"/>
    </row>
    <row r="488">
      <c r="A488" s="1" t="n"/>
      <c r="B488" s="20" t="n"/>
      <c r="C488" s="21" t="n"/>
      <c r="D488" s="24" t="n"/>
      <c r="E488" s="22" t="n"/>
      <c r="F488" s="1" t="n"/>
    </row>
    <row r="489">
      <c r="A489" s="1" t="n"/>
      <c r="B489" s="20" t="n"/>
      <c r="C489" s="21" t="n"/>
      <c r="D489" s="24" t="n"/>
      <c r="E489" s="22" t="n"/>
      <c r="F489" s="1" t="n"/>
    </row>
    <row r="490">
      <c r="A490" s="1" t="n"/>
      <c r="B490" s="20" t="n"/>
      <c r="C490" s="21" t="n"/>
      <c r="D490" s="24" t="n"/>
      <c r="E490" s="22" t="n"/>
      <c r="F490" s="1" t="n"/>
    </row>
    <row r="491">
      <c r="A491" s="1" t="n"/>
      <c r="B491" s="20" t="n"/>
      <c r="C491" s="21" t="n"/>
      <c r="D491" s="24" t="n"/>
      <c r="E491" s="22" t="n"/>
      <c r="F491" s="1" t="n"/>
    </row>
    <row r="492">
      <c r="A492" s="1" t="n"/>
      <c r="B492" s="20" t="n"/>
      <c r="C492" s="21" t="n"/>
      <c r="D492" s="24" t="n"/>
      <c r="E492" s="22" t="n"/>
      <c r="F492" s="1" t="n"/>
    </row>
    <row r="493">
      <c r="A493" s="1" t="n"/>
      <c r="B493" s="20" t="n"/>
      <c r="C493" s="21" t="n"/>
      <c r="D493" s="24" t="n"/>
      <c r="E493" s="22" t="n"/>
      <c r="F493" s="1" t="n"/>
    </row>
    <row r="494">
      <c r="A494" s="1" t="n"/>
      <c r="B494" s="20" t="n"/>
      <c r="C494" s="21" t="n"/>
      <c r="D494" s="24" t="n"/>
      <c r="E494" s="22" t="n"/>
      <c r="F494" s="1" t="n"/>
    </row>
    <row r="495">
      <c r="A495" s="1" t="n"/>
      <c r="B495" s="20" t="n"/>
      <c r="C495" s="21" t="n"/>
      <c r="D495" s="24" t="n"/>
      <c r="E495" s="22" t="n"/>
      <c r="F495" s="1" t="n"/>
    </row>
    <row r="496">
      <c r="A496" s="1" t="n"/>
      <c r="B496" s="20" t="n"/>
      <c r="C496" s="21" t="n"/>
      <c r="D496" s="24" t="n"/>
      <c r="E496" s="22" t="n"/>
      <c r="F496" s="1" t="n"/>
    </row>
    <row r="497">
      <c r="A497" s="1" t="n"/>
      <c r="B497" s="20" t="n"/>
      <c r="C497" s="21" t="n"/>
      <c r="D497" s="24" t="n"/>
      <c r="E497" s="22" t="n"/>
      <c r="F497" s="1" t="n"/>
    </row>
    <row r="498">
      <c r="A498" s="1" t="n"/>
      <c r="B498" s="20" t="n"/>
      <c r="C498" s="21" t="n"/>
      <c r="D498" s="24" t="n"/>
      <c r="E498" s="22" t="n"/>
      <c r="F498" s="1" t="n"/>
    </row>
    <row r="499">
      <c r="A499" s="1" t="n"/>
      <c r="B499" s="20" t="n"/>
      <c r="C499" s="21" t="n"/>
      <c r="D499" s="24" t="n"/>
      <c r="E499" s="22" t="n"/>
      <c r="F499" s="1" t="n"/>
    </row>
    <row r="500">
      <c r="A500" s="1" t="n"/>
      <c r="B500" s="20" t="n"/>
      <c r="C500" s="21" t="n"/>
      <c r="D500" s="24" t="n"/>
      <c r="E500" s="22" t="n"/>
      <c r="F500" s="1" t="n"/>
    </row>
    <row r="501">
      <c r="A501" s="1" t="n"/>
      <c r="B501" s="20" t="n"/>
      <c r="C501" s="21" t="n"/>
      <c r="D501" s="24" t="n"/>
      <c r="E501" s="22" t="n"/>
      <c r="F501" s="1" t="n"/>
    </row>
    <row r="502">
      <c r="A502" s="1" t="n"/>
      <c r="B502" s="20" t="n"/>
      <c r="C502" s="21" t="n"/>
      <c r="D502" s="24" t="n"/>
      <c r="E502" s="22" t="n"/>
      <c r="F502" s="1" t="n"/>
    </row>
    <row r="503">
      <c r="A503" s="1" t="n"/>
      <c r="B503" s="20" t="n"/>
      <c r="C503" s="21" t="n"/>
      <c r="D503" s="24" t="n"/>
      <c r="E503" s="22" t="n"/>
      <c r="F503" s="1" t="n"/>
    </row>
    <row r="504">
      <c r="A504" s="1" t="n"/>
      <c r="B504" s="20" t="n"/>
      <c r="C504" s="21" t="n"/>
      <c r="D504" s="24" t="n"/>
      <c r="E504" s="22" t="n"/>
      <c r="F504" s="1" t="n"/>
    </row>
    <row r="505">
      <c r="A505" s="1" t="n"/>
      <c r="B505" s="20" t="n"/>
      <c r="C505" s="21" t="n"/>
      <c r="D505" s="24" t="n"/>
      <c r="E505" s="22" t="n"/>
      <c r="F505" s="1" t="n"/>
    </row>
    <row r="506">
      <c r="A506" s="1" t="n"/>
      <c r="B506" s="20" t="n"/>
      <c r="C506" s="21" t="n"/>
      <c r="D506" s="24" t="n"/>
      <c r="E506" s="22" t="n"/>
      <c r="F506" s="1" t="n"/>
    </row>
    <row r="507">
      <c r="A507" s="1" t="n"/>
      <c r="B507" s="20" t="n"/>
      <c r="C507" s="21" t="n"/>
      <c r="D507" s="24" t="n"/>
      <c r="E507" s="22" t="n"/>
      <c r="F507" s="1" t="n"/>
    </row>
    <row r="508">
      <c r="A508" s="1" t="n"/>
      <c r="B508" s="20" t="n"/>
      <c r="C508" s="21" t="n"/>
      <c r="D508" s="24" t="n"/>
      <c r="E508" s="22" t="n"/>
      <c r="F508" s="1" t="n"/>
    </row>
    <row r="509">
      <c r="A509" s="1" t="n"/>
      <c r="B509" s="20" t="n"/>
      <c r="C509" s="21" t="n"/>
      <c r="D509" s="24" t="n"/>
      <c r="E509" s="22" t="n"/>
      <c r="F509" s="1" t="n"/>
    </row>
    <row r="510">
      <c r="A510" s="1" t="n"/>
      <c r="B510" s="20" t="n"/>
      <c r="C510" s="21" t="n"/>
      <c r="D510" s="24" t="n"/>
      <c r="E510" s="22" t="n"/>
      <c r="F510" s="1" t="n"/>
    </row>
    <row r="511">
      <c r="A511" s="1" t="n"/>
      <c r="B511" s="20" t="n"/>
      <c r="C511" s="21" t="n"/>
      <c r="D511" s="24" t="n"/>
      <c r="E511" s="22" t="n"/>
      <c r="F511" s="1" t="n"/>
    </row>
    <row r="512">
      <c r="A512" s="1" t="n"/>
      <c r="B512" s="20" t="n"/>
      <c r="C512" s="21" t="n"/>
      <c r="D512" s="24" t="n"/>
      <c r="E512" s="22" t="n"/>
      <c r="F512" s="1" t="n"/>
    </row>
    <row r="513">
      <c r="A513" s="1" t="n"/>
      <c r="B513" s="20" t="n"/>
      <c r="C513" s="21" t="n"/>
      <c r="D513" s="24" t="n"/>
      <c r="E513" s="22" t="n"/>
      <c r="F513" s="1" t="n"/>
    </row>
    <row r="514">
      <c r="A514" s="1" t="n"/>
      <c r="B514" s="20" t="n"/>
      <c r="C514" s="21" t="n"/>
      <c r="D514" s="24" t="n"/>
      <c r="E514" s="22" t="n"/>
      <c r="F514" s="1" t="n"/>
    </row>
    <row r="515">
      <c r="A515" s="1" t="n"/>
      <c r="B515" s="20" t="n"/>
      <c r="C515" s="21" t="n"/>
      <c r="D515" s="24" t="n"/>
      <c r="E515" s="22" t="n"/>
      <c r="F515" s="1" t="n"/>
    </row>
    <row r="516">
      <c r="A516" s="1" t="n"/>
      <c r="B516" s="20" t="n"/>
      <c r="C516" s="21" t="n"/>
      <c r="D516" s="24" t="n"/>
      <c r="E516" s="22" t="n"/>
      <c r="F516" s="1" t="n"/>
    </row>
    <row r="517">
      <c r="A517" s="1" t="n"/>
      <c r="B517" s="20" t="n"/>
      <c r="C517" s="21" t="n"/>
      <c r="D517" s="24" t="n"/>
      <c r="E517" s="22" t="n"/>
      <c r="F517" s="1" t="n"/>
    </row>
    <row r="518">
      <c r="A518" s="1" t="n"/>
      <c r="B518" s="20" t="n"/>
      <c r="C518" s="21" t="n"/>
      <c r="D518" s="24" t="n"/>
      <c r="E518" s="22" t="n"/>
      <c r="F518" s="1" t="n"/>
    </row>
    <row r="519">
      <c r="A519" s="1" t="n"/>
      <c r="B519" s="20" t="n"/>
      <c r="C519" s="21" t="n"/>
      <c r="D519" s="24" t="n"/>
      <c r="E519" s="22" t="n"/>
      <c r="F519" s="1" t="n"/>
    </row>
    <row r="520">
      <c r="A520" s="1" t="n"/>
      <c r="B520" s="20" t="n"/>
      <c r="C520" s="21" t="n"/>
      <c r="D520" s="24" t="n"/>
      <c r="E520" s="22" t="n"/>
      <c r="F520" s="1" t="n"/>
    </row>
    <row r="521">
      <c r="A521" s="1" t="n"/>
      <c r="B521" s="20" t="n"/>
      <c r="C521" s="21" t="n"/>
      <c r="D521" s="24" t="n"/>
      <c r="E521" s="22" t="n"/>
      <c r="F521" s="1" t="n"/>
    </row>
    <row r="522">
      <c r="A522" s="1" t="n"/>
      <c r="B522" s="20" t="n"/>
      <c r="C522" s="21" t="n"/>
      <c r="D522" s="24" t="n"/>
      <c r="E522" s="22" t="n"/>
      <c r="F522" s="1" t="n"/>
    </row>
    <row r="523">
      <c r="A523" s="1" t="n"/>
      <c r="B523" s="20" t="n"/>
      <c r="C523" s="21" t="n"/>
      <c r="D523" s="24" t="n"/>
      <c r="E523" s="22" t="n"/>
      <c r="F523" s="1" t="n"/>
    </row>
    <row r="524">
      <c r="A524" s="1" t="n"/>
      <c r="B524" s="20" t="n"/>
      <c r="C524" s="21" t="n"/>
      <c r="D524" s="24" t="n"/>
      <c r="E524" s="22" t="n"/>
      <c r="F524" s="1" t="n"/>
    </row>
    <row r="525">
      <c r="A525" s="1" t="n"/>
      <c r="B525" s="20" t="n"/>
      <c r="C525" s="21" t="n"/>
      <c r="D525" s="24" t="n"/>
      <c r="E525" s="22" t="n"/>
      <c r="F525" s="1" t="n"/>
    </row>
    <row r="526">
      <c r="A526" s="1" t="n"/>
      <c r="B526" s="20" t="n"/>
      <c r="C526" s="21" t="n"/>
      <c r="D526" s="24" t="n"/>
      <c r="E526" s="22" t="n"/>
      <c r="F526" s="1" t="n"/>
    </row>
    <row r="527">
      <c r="A527" s="1" t="n"/>
      <c r="B527" s="20" t="n"/>
      <c r="C527" s="21" t="n"/>
      <c r="D527" s="24" t="n"/>
      <c r="E527" s="22" t="n"/>
      <c r="F527" s="1" t="n"/>
    </row>
    <row r="528">
      <c r="A528" s="1" t="n"/>
      <c r="B528" s="20" t="n"/>
      <c r="C528" s="21" t="n"/>
      <c r="D528" s="24" t="n"/>
      <c r="E528" s="22" t="n"/>
      <c r="F528" s="1" t="n"/>
    </row>
    <row r="529">
      <c r="A529" s="1" t="n"/>
      <c r="B529" s="20" t="n"/>
      <c r="C529" s="21" t="n"/>
      <c r="D529" s="24" t="n"/>
      <c r="E529" s="22" t="n"/>
      <c r="F529" s="1" t="n"/>
    </row>
    <row r="530">
      <c r="A530" s="1" t="n"/>
      <c r="B530" s="20" t="n"/>
      <c r="C530" s="21" t="n"/>
      <c r="D530" s="24" t="n"/>
      <c r="E530" s="22" t="n"/>
      <c r="F530" s="1" t="n"/>
    </row>
    <row r="531">
      <c r="A531" s="1" t="n"/>
      <c r="B531" s="20" t="n"/>
      <c r="C531" s="21" t="n"/>
      <c r="D531" s="24" t="n"/>
      <c r="E531" s="22" t="n"/>
      <c r="F531" s="1" t="n"/>
    </row>
    <row r="532">
      <c r="A532" s="1" t="n"/>
      <c r="B532" s="20" t="n"/>
      <c r="C532" s="21" t="n"/>
      <c r="D532" s="24" t="n"/>
      <c r="E532" s="22" t="n"/>
      <c r="F532" s="1" t="n"/>
    </row>
    <row r="533">
      <c r="A533" s="1" t="n"/>
      <c r="B533" s="20" t="n"/>
      <c r="C533" s="21" t="n"/>
      <c r="D533" s="24" t="n"/>
      <c r="E533" s="22" t="n"/>
      <c r="F533" s="1" t="n"/>
    </row>
    <row r="534">
      <c r="A534" s="1" t="n"/>
      <c r="B534" s="20" t="n"/>
      <c r="C534" s="21" t="n"/>
      <c r="D534" s="24" t="n"/>
      <c r="E534" s="22" t="n"/>
      <c r="F534" s="1" t="n"/>
    </row>
    <row r="535">
      <c r="A535" s="1" t="n"/>
      <c r="B535" s="20" t="n"/>
      <c r="C535" s="21" t="n"/>
      <c r="D535" s="24" t="n"/>
      <c r="E535" s="22" t="n"/>
      <c r="F535" s="1" t="n"/>
    </row>
    <row r="536">
      <c r="A536" s="1" t="n"/>
      <c r="B536" s="20" t="n"/>
      <c r="C536" s="21" t="n"/>
      <c r="D536" s="24" t="n"/>
      <c r="E536" s="22" t="n"/>
      <c r="F536" s="1" t="n"/>
    </row>
    <row r="537">
      <c r="A537" s="1" t="n"/>
      <c r="B537" s="20" t="n"/>
      <c r="C537" s="21" t="n"/>
      <c r="D537" s="24" t="n"/>
      <c r="E537" s="22" t="n"/>
      <c r="F537" s="1" t="n"/>
    </row>
    <row r="538">
      <c r="A538" s="1" t="n"/>
      <c r="B538" s="20" t="n"/>
      <c r="C538" s="21" t="n"/>
      <c r="D538" s="24" t="n"/>
      <c r="E538" s="22" t="n"/>
      <c r="F538" s="1" t="n"/>
    </row>
    <row r="539">
      <c r="A539" s="1" t="n"/>
      <c r="B539" s="20" t="n"/>
      <c r="C539" s="21" t="n"/>
      <c r="D539" s="24" t="n"/>
      <c r="E539" s="22" t="n"/>
      <c r="F539" s="1" t="n"/>
    </row>
    <row r="540">
      <c r="A540" s="1" t="n"/>
      <c r="B540" s="20" t="n"/>
      <c r="C540" s="21" t="n"/>
      <c r="D540" s="24" t="n"/>
      <c r="E540" s="22" t="n"/>
      <c r="F540" s="1" t="n"/>
    </row>
    <row r="541">
      <c r="A541" s="1" t="n"/>
      <c r="B541" s="20" t="n"/>
      <c r="C541" s="21" t="n"/>
      <c r="D541" s="24" t="n"/>
      <c r="E541" s="22" t="n"/>
      <c r="F541" s="1" t="n"/>
    </row>
    <row r="542">
      <c r="A542" s="1" t="n"/>
      <c r="B542" s="20" t="n"/>
      <c r="C542" s="21" t="n"/>
      <c r="D542" s="24" t="n"/>
      <c r="E542" s="22" t="n"/>
      <c r="F542" s="1" t="n"/>
    </row>
    <row r="543">
      <c r="A543" s="1" t="n"/>
      <c r="B543" s="20" t="n"/>
      <c r="C543" s="21" t="n"/>
      <c r="D543" s="24" t="n"/>
      <c r="E543" s="22" t="n"/>
      <c r="F543" s="1" t="n"/>
    </row>
    <row r="544">
      <c r="A544" s="1" t="n"/>
      <c r="B544" s="20" t="n"/>
      <c r="C544" s="21" t="n"/>
      <c r="D544" s="24" t="n"/>
      <c r="E544" s="22" t="n"/>
      <c r="F544" s="1" t="n"/>
    </row>
    <row r="545">
      <c r="A545" s="1" t="n"/>
      <c r="B545" s="20" t="n"/>
      <c r="C545" s="21" t="n"/>
      <c r="D545" s="24" t="n"/>
      <c r="E545" s="22" t="n"/>
      <c r="F545" s="1" t="n"/>
    </row>
    <row r="546">
      <c r="A546" s="1" t="n"/>
      <c r="B546" s="20" t="n"/>
      <c r="C546" s="21" t="n"/>
      <c r="D546" s="24" t="n"/>
      <c r="E546" s="22" t="n"/>
      <c r="F546" s="1" t="n"/>
    </row>
    <row r="547">
      <c r="A547" s="1" t="n"/>
      <c r="B547" s="20" t="n"/>
      <c r="C547" s="21" t="n"/>
      <c r="D547" s="24" t="n"/>
      <c r="E547" s="22" t="n"/>
      <c r="F547" s="1" t="n"/>
    </row>
    <row r="548">
      <c r="A548" s="1" t="n"/>
      <c r="B548" s="20" t="n"/>
      <c r="C548" s="21" t="n"/>
      <c r="D548" s="24" t="n"/>
      <c r="E548" s="22" t="n"/>
      <c r="F548" s="1" t="n"/>
    </row>
    <row r="549">
      <c r="A549" s="1" t="n"/>
      <c r="B549" s="20" t="n"/>
      <c r="C549" s="21" t="n"/>
      <c r="D549" s="24" t="n"/>
      <c r="E549" s="22" t="n"/>
      <c r="F549" s="1" t="n"/>
    </row>
    <row r="550">
      <c r="A550" s="1" t="n"/>
      <c r="B550" s="20" t="n"/>
      <c r="C550" s="21" t="n"/>
      <c r="D550" s="24" t="n"/>
      <c r="E550" s="22" t="n"/>
      <c r="F550" s="1" t="n"/>
    </row>
    <row r="551">
      <c r="A551" s="1" t="n"/>
      <c r="B551" s="20" t="n"/>
      <c r="C551" s="21" t="n"/>
      <c r="D551" s="24" t="n"/>
      <c r="E551" s="22" t="n"/>
      <c r="F551" s="1" t="n"/>
    </row>
    <row r="552">
      <c r="A552" s="1" t="n"/>
      <c r="B552" s="20" t="n"/>
      <c r="C552" s="21" t="n"/>
      <c r="D552" s="24" t="n"/>
      <c r="E552" s="22" t="n"/>
      <c r="F552" s="1" t="n"/>
    </row>
    <row r="553">
      <c r="A553" s="1" t="n"/>
      <c r="B553" s="20" t="n"/>
      <c r="C553" s="21" t="n"/>
      <c r="D553" s="24" t="n"/>
      <c r="E553" s="22" t="n"/>
      <c r="F553" s="1" t="n"/>
    </row>
    <row r="554">
      <c r="A554" s="1" t="n"/>
      <c r="B554" s="20" t="n"/>
      <c r="C554" s="21" t="n"/>
      <c r="D554" s="24" t="n"/>
      <c r="E554" s="22" t="n"/>
      <c r="F554" s="1" t="n"/>
    </row>
    <row r="555">
      <c r="A555" s="1" t="n"/>
      <c r="B555" s="20" t="n"/>
      <c r="C555" s="21" t="n"/>
      <c r="D555" s="24" t="n"/>
      <c r="E555" s="22" t="n"/>
      <c r="F555" s="1" t="n"/>
    </row>
    <row r="556">
      <c r="A556" s="1" t="n"/>
      <c r="B556" s="20" t="n"/>
      <c r="C556" s="21" t="n"/>
      <c r="D556" s="24" t="n"/>
      <c r="E556" s="22" t="n"/>
      <c r="F556" s="1" t="n"/>
    </row>
    <row r="557">
      <c r="A557" s="1" t="n"/>
      <c r="B557" s="20" t="n"/>
      <c r="C557" s="21" t="n"/>
      <c r="D557" s="24" t="n"/>
      <c r="E557" s="22" t="n"/>
      <c r="F557" s="1" t="n"/>
    </row>
    <row r="558">
      <c r="A558" s="1" t="n"/>
      <c r="B558" s="20" t="n"/>
      <c r="C558" s="21" t="n"/>
      <c r="D558" s="24" t="n"/>
      <c r="E558" s="22" t="n"/>
      <c r="F558" s="1" t="n"/>
    </row>
    <row r="559">
      <c r="A559" s="1" t="n"/>
      <c r="B559" s="20" t="n"/>
      <c r="C559" s="21" t="n"/>
      <c r="D559" s="24" t="n"/>
      <c r="E559" s="22" t="n"/>
      <c r="F559" s="1" t="n"/>
    </row>
    <row r="560">
      <c r="A560" s="1" t="n"/>
      <c r="B560" s="20" t="n"/>
      <c r="C560" s="21" t="n"/>
      <c r="D560" s="24" t="n"/>
      <c r="E560" s="22" t="n"/>
      <c r="F560" s="1" t="n"/>
    </row>
    <row r="561">
      <c r="A561" s="1" t="n"/>
      <c r="B561" s="20" t="n"/>
      <c r="C561" s="21" t="n"/>
      <c r="D561" s="24" t="n"/>
      <c r="E561" s="22" t="n"/>
      <c r="F561" s="1" t="n"/>
    </row>
    <row r="562">
      <c r="A562" s="1" t="n"/>
      <c r="B562" s="20" t="n"/>
      <c r="C562" s="21" t="n"/>
      <c r="D562" s="24" t="n"/>
      <c r="E562" s="22" t="n"/>
      <c r="F562" s="1" t="n"/>
    </row>
    <row r="563">
      <c r="A563" s="1" t="n"/>
      <c r="B563" s="20" t="n"/>
      <c r="C563" s="21" t="n"/>
      <c r="D563" s="24" t="n"/>
      <c r="E563" s="22" t="n"/>
      <c r="F563" s="1" t="n"/>
    </row>
    <row r="564">
      <c r="A564" s="1" t="n"/>
      <c r="B564" s="20" t="n"/>
      <c r="C564" s="21" t="n"/>
      <c r="D564" s="24" t="n"/>
      <c r="E564" s="22" t="n"/>
      <c r="F564" s="1" t="n"/>
    </row>
    <row r="565">
      <c r="A565" s="1" t="n"/>
      <c r="B565" s="20" t="n"/>
      <c r="C565" s="21" t="n"/>
      <c r="D565" s="24" t="n"/>
      <c r="E565" s="22" t="n"/>
      <c r="F565" s="1" t="n"/>
    </row>
    <row r="566">
      <c r="A566" s="1" t="n"/>
      <c r="B566" s="20" t="n"/>
      <c r="C566" s="21" t="n"/>
      <c r="D566" s="24" t="n"/>
      <c r="E566" s="22" t="n"/>
      <c r="F566" s="1" t="n"/>
    </row>
    <row r="567">
      <c r="A567" s="1" t="n"/>
      <c r="B567" s="20" t="n"/>
      <c r="C567" s="21" t="n"/>
      <c r="D567" s="24" t="n"/>
      <c r="E567" s="22" t="n"/>
      <c r="F567" s="1" t="n"/>
    </row>
    <row r="568">
      <c r="A568" s="1" t="n"/>
      <c r="B568" s="20" t="n"/>
      <c r="C568" s="21" t="n"/>
      <c r="D568" s="24" t="n"/>
      <c r="E568" s="22" t="n"/>
      <c r="F568" s="1" t="n"/>
    </row>
    <row r="569">
      <c r="A569" s="1" t="n"/>
      <c r="B569" s="20" t="n"/>
      <c r="C569" s="21" t="n"/>
      <c r="D569" s="24" t="n"/>
      <c r="E569" s="22" t="n"/>
      <c r="F569" s="1" t="n"/>
    </row>
    <row r="570">
      <c r="A570" s="1" t="n"/>
      <c r="B570" s="20" t="n"/>
      <c r="C570" s="21" t="n"/>
      <c r="D570" s="24" t="n"/>
      <c r="E570" s="22" t="n"/>
      <c r="F570" s="1" t="n"/>
    </row>
    <row r="571">
      <c r="A571" s="1" t="n"/>
      <c r="B571" s="20" t="n"/>
      <c r="C571" s="21" t="n"/>
      <c r="D571" s="24" t="n"/>
      <c r="E571" s="22" t="n"/>
      <c r="F571" s="1" t="n"/>
    </row>
    <row r="572">
      <c r="A572" s="1" t="n"/>
      <c r="B572" s="20" t="n"/>
      <c r="C572" s="21" t="n"/>
      <c r="D572" s="24" t="n"/>
      <c r="E572" s="22" t="n"/>
      <c r="F572" s="1" t="n"/>
    </row>
    <row r="573">
      <c r="A573" s="1" t="n"/>
      <c r="B573" s="20" t="n"/>
      <c r="C573" s="21" t="n"/>
      <c r="D573" s="24" t="n"/>
      <c r="E573" s="22" t="n"/>
      <c r="F573" s="1" t="n"/>
    </row>
    <row r="574">
      <c r="A574" s="1" t="n"/>
      <c r="B574" s="20" t="n"/>
      <c r="C574" s="21" t="n"/>
      <c r="D574" s="24" t="n"/>
      <c r="E574" s="22" t="n"/>
      <c r="F574" s="1" t="n"/>
    </row>
    <row r="575">
      <c r="A575" s="1" t="n"/>
      <c r="B575" s="20" t="n"/>
      <c r="C575" s="21" t="n"/>
      <c r="D575" s="24" t="n"/>
      <c r="E575" s="22" t="n"/>
      <c r="F575" s="1" t="n"/>
    </row>
    <row r="576">
      <c r="A576" s="1" t="n"/>
      <c r="B576" s="20" t="n"/>
      <c r="C576" s="21" t="n"/>
      <c r="D576" s="24" t="n"/>
      <c r="E576" s="22" t="n"/>
      <c r="F576" s="1" t="n"/>
    </row>
    <row r="577">
      <c r="A577" s="1" t="n"/>
      <c r="B577" s="20" t="n"/>
      <c r="C577" s="21" t="n"/>
      <c r="D577" s="24" t="n"/>
      <c r="E577" s="22" t="n"/>
      <c r="F577" s="1" t="n"/>
    </row>
    <row r="578">
      <c r="A578" s="1" t="n"/>
      <c r="B578" s="20" t="n"/>
      <c r="C578" s="21" t="n"/>
      <c r="D578" s="24" t="n"/>
      <c r="E578" s="22" t="n"/>
      <c r="F578" s="1" t="n"/>
    </row>
    <row r="579">
      <c r="A579" s="1" t="n"/>
      <c r="B579" s="20" t="n"/>
      <c r="C579" s="21" t="n"/>
      <c r="D579" s="24" t="n"/>
      <c r="E579" s="22" t="n"/>
      <c r="F579" s="1" t="n"/>
    </row>
    <row r="580">
      <c r="A580" s="1" t="n"/>
      <c r="B580" s="20" t="n"/>
      <c r="C580" s="21" t="n"/>
      <c r="D580" s="24" t="n"/>
      <c r="E580" s="22" t="n"/>
      <c r="F580" s="1" t="n"/>
    </row>
    <row r="581">
      <c r="A581" s="1" t="n"/>
      <c r="B581" s="20" t="n"/>
      <c r="C581" s="21" t="n"/>
      <c r="D581" s="24" t="n"/>
      <c r="E581" s="22" t="n"/>
      <c r="F581" s="1" t="n"/>
    </row>
    <row r="582">
      <c r="A582" s="1" t="n"/>
      <c r="B582" s="20" t="n"/>
      <c r="C582" s="21" t="n"/>
      <c r="D582" s="24" t="n"/>
      <c r="E582" s="22" t="n"/>
      <c r="F582" s="1" t="n"/>
    </row>
    <row r="583">
      <c r="A583" s="1" t="n"/>
      <c r="B583" s="20" t="n"/>
      <c r="C583" s="21" t="n"/>
      <c r="D583" s="24" t="n"/>
      <c r="E583" s="22" t="n"/>
      <c r="F583" s="1" t="n"/>
    </row>
    <row r="584">
      <c r="A584" s="1" t="n"/>
      <c r="B584" s="20" t="n"/>
      <c r="C584" s="21" t="n"/>
      <c r="D584" s="24" t="n"/>
      <c r="E584" s="22" t="n"/>
      <c r="F584" s="1" t="n"/>
    </row>
    <row r="585">
      <c r="A585" s="1" t="n"/>
      <c r="B585" s="20" t="n"/>
      <c r="C585" s="21" t="n"/>
      <c r="D585" s="24" t="n"/>
      <c r="E585" s="22" t="n"/>
      <c r="F585" s="1" t="n"/>
    </row>
    <row r="586">
      <c r="A586" s="1" t="n"/>
      <c r="B586" s="20" t="n"/>
      <c r="C586" s="21" t="n"/>
      <c r="D586" s="24" t="n"/>
      <c r="E586" s="22" t="n"/>
      <c r="F586" s="1" t="n"/>
    </row>
    <row r="587">
      <c r="A587" s="1" t="n"/>
      <c r="B587" s="20" t="n"/>
      <c r="C587" s="21" t="n"/>
      <c r="D587" s="24" t="n"/>
      <c r="E587" s="22" t="n"/>
      <c r="F587" s="1" t="n"/>
    </row>
    <row r="588">
      <c r="A588" s="1" t="n"/>
      <c r="B588" s="20" t="n"/>
      <c r="C588" s="21" t="n"/>
      <c r="D588" s="24" t="n"/>
      <c r="E588" s="22" t="n"/>
      <c r="F588" s="1" t="n"/>
    </row>
    <row r="589">
      <c r="A589" s="1" t="n"/>
      <c r="B589" s="20" t="n"/>
      <c r="C589" s="21" t="n"/>
      <c r="D589" s="24" t="n"/>
      <c r="E589" s="22" t="n"/>
      <c r="F589" s="1" t="n"/>
    </row>
    <row r="590">
      <c r="A590" s="1" t="n"/>
      <c r="B590" s="20" t="n"/>
      <c r="C590" s="21" t="n"/>
      <c r="D590" s="24" t="n"/>
      <c r="E590" s="22" t="n"/>
      <c r="F590" s="1" t="n"/>
    </row>
    <row r="591">
      <c r="A591" s="1" t="n"/>
      <c r="B591" s="20" t="n"/>
      <c r="C591" s="21" t="n"/>
      <c r="D591" s="24" t="n"/>
      <c r="E591" s="22" t="n"/>
      <c r="F591" s="1" t="n"/>
    </row>
    <row r="592">
      <c r="A592" s="1" t="n"/>
      <c r="B592" s="20" t="n"/>
      <c r="C592" s="21" t="n"/>
      <c r="D592" s="24" t="n"/>
      <c r="E592" s="22" t="n"/>
      <c r="F592" s="1" t="n"/>
    </row>
    <row r="593">
      <c r="A593" s="1" t="n"/>
      <c r="B593" s="20" t="n"/>
      <c r="C593" s="21" t="n"/>
      <c r="D593" s="24" t="n"/>
      <c r="E593" s="22" t="n"/>
      <c r="F593" s="1" t="n"/>
    </row>
    <row r="594">
      <c r="A594" s="1" t="n"/>
      <c r="B594" s="20" t="n"/>
      <c r="C594" s="21" t="n"/>
      <c r="D594" s="24" t="n"/>
      <c r="E594" s="22" t="n"/>
      <c r="F594" s="1" t="n"/>
    </row>
    <row r="595">
      <c r="A595" s="1" t="n"/>
      <c r="B595" s="20" t="n"/>
      <c r="C595" s="21" t="n"/>
      <c r="D595" s="24" t="n"/>
      <c r="E595" s="22" t="n"/>
      <c r="F595" s="1" t="n"/>
    </row>
    <row r="596">
      <c r="A596" s="1" t="n"/>
      <c r="B596" s="20" t="n"/>
      <c r="C596" s="21" t="n"/>
      <c r="D596" s="24" t="n"/>
      <c r="E596" s="22" t="n"/>
      <c r="F596" s="1" t="n"/>
    </row>
    <row r="597">
      <c r="A597" s="1" t="n"/>
      <c r="B597" s="20" t="n"/>
      <c r="C597" s="21" t="n"/>
      <c r="D597" s="24" t="n"/>
      <c r="E597" s="22" t="n"/>
      <c r="F597" s="1" t="n"/>
    </row>
    <row r="598">
      <c r="A598" s="1" t="n"/>
      <c r="B598" s="20" t="n"/>
      <c r="C598" s="21" t="n"/>
      <c r="D598" s="24" t="n"/>
      <c r="E598" s="22" t="n"/>
      <c r="F598" s="1" t="n"/>
    </row>
    <row r="599">
      <c r="A599" s="1" t="n"/>
      <c r="B599" s="20" t="n"/>
      <c r="C599" s="21" t="n"/>
      <c r="D599" s="24" t="n"/>
      <c r="E599" s="22" t="n"/>
      <c r="F599" s="1" t="n"/>
    </row>
    <row r="600">
      <c r="A600" s="1" t="n"/>
      <c r="B600" s="20" t="n"/>
      <c r="C600" s="21" t="n"/>
      <c r="D600" s="24" t="n"/>
      <c r="E600" s="22" t="n"/>
      <c r="F600" s="1" t="n"/>
    </row>
    <row r="601">
      <c r="A601" s="1" t="n"/>
      <c r="B601" s="20" t="n"/>
      <c r="C601" s="21" t="n"/>
      <c r="D601" s="24" t="n"/>
      <c r="E601" s="22" t="n"/>
      <c r="F601" s="1" t="n"/>
    </row>
    <row r="602">
      <c r="A602" s="1" t="n"/>
      <c r="B602" s="20" t="n"/>
      <c r="C602" s="21" t="n"/>
      <c r="D602" s="24" t="n"/>
      <c r="E602" s="22" t="n"/>
      <c r="F602" s="1" t="n"/>
    </row>
    <row r="603">
      <c r="A603" s="1" t="n"/>
      <c r="B603" s="20" t="n"/>
      <c r="C603" s="21" t="n"/>
      <c r="D603" s="24" t="n"/>
      <c r="E603" s="22" t="n"/>
      <c r="F603" s="1" t="n"/>
    </row>
    <row r="604">
      <c r="A604" s="1" t="n"/>
      <c r="B604" s="20" t="n"/>
      <c r="C604" s="21" t="n"/>
      <c r="D604" s="24" t="n"/>
      <c r="E604" s="22" t="n"/>
      <c r="F604" s="1" t="n"/>
    </row>
    <row r="605">
      <c r="A605" s="1" t="n"/>
      <c r="B605" s="20" t="n"/>
      <c r="C605" s="21" t="n"/>
      <c r="D605" s="24" t="n"/>
      <c r="E605" s="22" t="n"/>
      <c r="F605" s="1" t="n"/>
    </row>
    <row r="606">
      <c r="A606" s="1" t="n"/>
      <c r="B606" s="20" t="n"/>
      <c r="C606" s="21" t="n"/>
      <c r="D606" s="24" t="n"/>
      <c r="E606" s="22" t="n"/>
      <c r="F606" s="1" t="n"/>
    </row>
    <row r="607">
      <c r="A607" s="1" t="n"/>
      <c r="B607" s="20" t="n"/>
      <c r="C607" s="21" t="n"/>
      <c r="D607" s="24" t="n"/>
      <c r="E607" s="22" t="n"/>
      <c r="F607" s="1" t="n"/>
    </row>
    <row r="608">
      <c r="A608" s="1" t="n"/>
      <c r="B608" s="20" t="n"/>
      <c r="C608" s="21" t="n"/>
      <c r="D608" s="24" t="n"/>
      <c r="E608" s="22" t="n"/>
      <c r="F608" s="1" t="n"/>
    </row>
    <row r="609">
      <c r="A609" s="1" t="n"/>
      <c r="B609" s="20" t="n"/>
      <c r="C609" s="21" t="n"/>
      <c r="D609" s="24" t="n"/>
      <c r="E609" s="22" t="n"/>
      <c r="F609" s="1" t="n"/>
    </row>
    <row r="610">
      <c r="A610" s="1" t="n"/>
      <c r="B610" s="20" t="n"/>
      <c r="C610" s="21" t="n"/>
      <c r="D610" s="24" t="n"/>
      <c r="E610" s="22" t="n"/>
      <c r="F610" s="1" t="n"/>
    </row>
    <row r="611">
      <c r="A611" s="1" t="n"/>
      <c r="B611" s="20" t="n"/>
      <c r="C611" s="21" t="n"/>
      <c r="D611" s="24" t="n"/>
      <c r="E611" s="22" t="n"/>
      <c r="F611" s="1" t="n"/>
    </row>
    <row r="612">
      <c r="A612" s="1" t="n"/>
      <c r="B612" s="20" t="n"/>
      <c r="C612" s="21" t="n"/>
      <c r="D612" s="24" t="n"/>
      <c r="E612" s="22" t="n"/>
      <c r="F612" s="1" t="n"/>
    </row>
    <row r="613">
      <c r="A613" s="1" t="n"/>
      <c r="B613" s="20" t="n"/>
      <c r="C613" s="21" t="n"/>
      <c r="D613" s="24" t="n"/>
      <c r="E613" s="22" t="n"/>
      <c r="F613" s="1" t="n"/>
    </row>
    <row r="614">
      <c r="A614" s="1" t="n"/>
      <c r="B614" s="20" t="n"/>
      <c r="C614" s="21" t="n"/>
      <c r="D614" s="24" t="n"/>
      <c r="E614" s="22" t="n"/>
      <c r="F614" s="1" t="n"/>
    </row>
    <row r="615">
      <c r="A615" s="1" t="n"/>
      <c r="B615" s="20" t="n"/>
      <c r="C615" s="21" t="n"/>
      <c r="D615" s="24" t="n"/>
      <c r="E615" s="22" t="n"/>
      <c r="F615" s="1" t="n"/>
    </row>
    <row r="616">
      <c r="A616" s="1" t="n"/>
      <c r="B616" s="20" t="n"/>
      <c r="C616" s="21" t="n"/>
      <c r="D616" s="24" t="n"/>
      <c r="E616" s="22" t="n"/>
      <c r="F616" s="1" t="n"/>
    </row>
    <row r="617">
      <c r="A617" s="1" t="n"/>
      <c r="B617" s="20" t="n"/>
      <c r="C617" s="21" t="n"/>
      <c r="D617" s="24" t="n"/>
      <c r="E617" s="22" t="n"/>
      <c r="F617" s="1" t="n"/>
    </row>
    <row r="618">
      <c r="A618" s="1" t="n"/>
      <c r="B618" s="20" t="n"/>
      <c r="C618" s="21" t="n"/>
      <c r="D618" s="24" t="n"/>
      <c r="E618" s="22" t="n"/>
      <c r="F618" s="1" t="n"/>
    </row>
    <row r="619">
      <c r="A619" s="1" t="n"/>
      <c r="B619" s="20" t="n"/>
      <c r="C619" s="21" t="n"/>
      <c r="D619" s="24" t="n"/>
      <c r="E619" s="22" t="n"/>
      <c r="F619" s="1" t="n"/>
    </row>
    <row r="620">
      <c r="A620" s="1" t="n"/>
      <c r="B620" s="20" t="n"/>
      <c r="C620" s="21" t="n"/>
      <c r="D620" s="24" t="n"/>
      <c r="E620" s="22" t="n"/>
      <c r="F620" s="1" t="n"/>
    </row>
    <row r="621">
      <c r="A621" s="1" t="n"/>
      <c r="B621" s="20" t="n"/>
      <c r="C621" s="21" t="n"/>
      <c r="D621" s="24" t="n"/>
      <c r="E621" s="22" t="n"/>
      <c r="F621" s="1" t="n"/>
    </row>
    <row r="622">
      <c r="A622" s="1" t="n"/>
      <c r="B622" s="20" t="n"/>
      <c r="C622" s="21" t="n"/>
      <c r="D622" s="24" t="n"/>
      <c r="E622" s="22" t="n"/>
      <c r="F622" s="1" t="n"/>
    </row>
    <row r="623">
      <c r="A623" s="1" t="n"/>
      <c r="B623" s="20" t="n"/>
      <c r="C623" s="21" t="n"/>
      <c r="D623" s="24" t="n"/>
      <c r="E623" s="22" t="n"/>
      <c r="F623" s="1" t="n"/>
    </row>
    <row r="624">
      <c r="A624" s="1" t="n"/>
      <c r="B624" s="20" t="n"/>
      <c r="C624" s="21" t="n"/>
      <c r="D624" s="24" t="n"/>
      <c r="E624" s="22" t="n"/>
      <c r="F624" s="1" t="n"/>
    </row>
    <row r="625">
      <c r="A625" s="1" t="n"/>
      <c r="B625" s="20" t="n"/>
      <c r="C625" s="21" t="n"/>
      <c r="D625" s="24" t="n"/>
      <c r="E625" s="22" t="n"/>
      <c r="F625" s="1" t="n"/>
    </row>
    <row r="626">
      <c r="A626" s="1" t="n"/>
      <c r="B626" s="20" t="n"/>
      <c r="C626" s="21" t="n"/>
      <c r="D626" s="24" t="n"/>
      <c r="E626" s="22" t="n"/>
      <c r="F626" s="1" t="n"/>
    </row>
    <row r="627">
      <c r="A627" s="1" t="n"/>
      <c r="B627" s="20" t="n"/>
      <c r="C627" s="21" t="n"/>
      <c r="D627" s="24" t="n"/>
      <c r="E627" s="22" t="n"/>
      <c r="F627" s="1" t="n"/>
    </row>
    <row r="628">
      <c r="A628" s="1" t="n"/>
      <c r="B628" s="20" t="n"/>
      <c r="C628" s="21" t="n"/>
      <c r="D628" s="24" t="n"/>
      <c r="E628" s="22" t="n"/>
      <c r="F628" s="1" t="n"/>
    </row>
    <row r="629">
      <c r="A629" s="1" t="n"/>
      <c r="B629" s="20" t="n"/>
      <c r="C629" s="21" t="n"/>
      <c r="D629" s="24" t="n"/>
      <c r="E629" s="22" t="n"/>
      <c r="F629" s="1" t="n"/>
    </row>
    <row r="630">
      <c r="A630" s="1" t="n"/>
      <c r="B630" s="20" t="n"/>
      <c r="C630" s="21" t="n"/>
      <c r="D630" s="24" t="n"/>
      <c r="E630" s="22" t="n"/>
      <c r="F630" s="1" t="n"/>
    </row>
    <row r="631">
      <c r="A631" s="1" t="n"/>
      <c r="B631" s="20" t="n"/>
      <c r="C631" s="21" t="n"/>
      <c r="D631" s="24" t="n"/>
      <c r="E631" s="22" t="n"/>
      <c r="F631" s="1" t="n"/>
    </row>
    <row r="632">
      <c r="A632" s="1" t="n"/>
      <c r="B632" s="20" t="n"/>
      <c r="C632" s="21" t="n"/>
      <c r="D632" s="24" t="n"/>
      <c r="E632" s="22" t="n"/>
      <c r="F632" s="1" t="n"/>
    </row>
    <row r="633">
      <c r="A633" s="1" t="n"/>
      <c r="B633" s="20" t="n"/>
      <c r="C633" s="21" t="n"/>
      <c r="D633" s="24" t="n"/>
      <c r="E633" s="22" t="n"/>
      <c r="F633" s="1" t="n"/>
    </row>
    <row r="634">
      <c r="A634" s="1" t="n"/>
      <c r="B634" s="20" t="n"/>
      <c r="C634" s="21" t="n"/>
      <c r="D634" s="24" t="n"/>
      <c r="E634" s="22" t="n"/>
      <c r="F634" s="1" t="n"/>
    </row>
    <row r="635">
      <c r="A635" s="1" t="n"/>
      <c r="B635" s="20" t="n"/>
      <c r="C635" s="21" t="n"/>
      <c r="D635" s="24" t="n"/>
      <c r="E635" s="22" t="n"/>
      <c r="F635" s="1" t="n"/>
    </row>
    <row r="636">
      <c r="A636" s="1" t="n"/>
      <c r="B636" s="20" t="n"/>
      <c r="C636" s="21" t="n"/>
      <c r="D636" s="24" t="n"/>
      <c r="E636" s="22" t="n"/>
      <c r="F636" s="1" t="n"/>
    </row>
    <row r="637">
      <c r="A637" s="1" t="n"/>
      <c r="B637" s="20" t="n"/>
      <c r="C637" s="21" t="n"/>
      <c r="D637" s="24" t="n"/>
      <c r="E637" s="22" t="n"/>
      <c r="F637" s="1" t="n"/>
    </row>
    <row r="638">
      <c r="A638" s="1" t="n"/>
      <c r="B638" s="20" t="n"/>
      <c r="C638" s="21" t="n"/>
      <c r="D638" s="24" t="n"/>
      <c r="E638" s="22" t="n"/>
      <c r="F638" s="1" t="n"/>
    </row>
    <row r="639">
      <c r="A639" s="1" t="n"/>
      <c r="B639" s="20" t="n"/>
      <c r="C639" s="21" t="n"/>
      <c r="D639" s="24" t="n"/>
      <c r="E639" s="22" t="n"/>
      <c r="F639" s="1" t="n"/>
    </row>
    <row r="640">
      <c r="A640" s="1" t="n"/>
      <c r="B640" s="20" t="n"/>
      <c r="C640" s="21" t="n"/>
      <c r="D640" s="24" t="n"/>
      <c r="E640" s="22" t="n"/>
      <c r="F640" s="1" t="n"/>
    </row>
    <row r="641">
      <c r="A641" s="1" t="n"/>
      <c r="B641" s="20" t="n"/>
      <c r="C641" s="21" t="n"/>
      <c r="D641" s="24" t="n"/>
      <c r="E641" s="22" t="n"/>
      <c r="F641" s="1" t="n"/>
    </row>
    <row r="642">
      <c r="A642" s="1" t="n"/>
      <c r="B642" s="20" t="n"/>
      <c r="C642" s="21" t="n"/>
      <c r="D642" s="24" t="n"/>
      <c r="E642" s="22" t="n"/>
      <c r="F642" s="1" t="n"/>
    </row>
    <row r="643">
      <c r="A643" s="1" t="n"/>
      <c r="B643" s="20" t="n"/>
      <c r="C643" s="21" t="n"/>
      <c r="D643" s="24" t="n"/>
      <c r="E643" s="22" t="n"/>
      <c r="F643" s="1" t="n"/>
    </row>
    <row r="644">
      <c r="A644" s="1" t="n"/>
      <c r="B644" s="20" t="n"/>
      <c r="C644" s="21" t="n"/>
      <c r="D644" s="24" t="n"/>
      <c r="E644" s="22" t="n"/>
      <c r="F644" s="1" t="n"/>
    </row>
    <row r="645">
      <c r="A645" s="1" t="n"/>
      <c r="B645" s="20" t="n"/>
      <c r="C645" s="21" t="n"/>
      <c r="D645" s="24" t="n"/>
      <c r="E645" s="22" t="n"/>
      <c r="F645" s="1" t="n"/>
    </row>
    <row r="646">
      <c r="A646" s="1" t="n"/>
      <c r="B646" s="20" t="n"/>
      <c r="C646" s="21" t="n"/>
      <c r="D646" s="24" t="n"/>
      <c r="E646" s="22" t="n"/>
      <c r="F646" s="1" t="n"/>
    </row>
    <row r="647">
      <c r="A647" s="1" t="n"/>
      <c r="B647" s="20" t="n"/>
      <c r="C647" s="21" t="n"/>
      <c r="D647" s="24" t="n"/>
      <c r="E647" s="22" t="n"/>
      <c r="F647" s="1" t="n"/>
    </row>
    <row r="648">
      <c r="A648" s="1" t="n"/>
      <c r="B648" s="20" t="n"/>
      <c r="C648" s="21" t="n"/>
      <c r="D648" s="24" t="n"/>
      <c r="E648" s="22" t="n"/>
      <c r="F648" s="1" t="n"/>
    </row>
    <row r="649">
      <c r="A649" s="1" t="n"/>
      <c r="B649" s="20" t="n"/>
      <c r="C649" s="21" t="n"/>
      <c r="D649" s="24" t="n"/>
      <c r="E649" s="22" t="n"/>
      <c r="F649" s="1" t="n"/>
    </row>
    <row r="650">
      <c r="A650" s="1" t="n"/>
      <c r="B650" s="20" t="n"/>
      <c r="C650" s="21" t="n"/>
      <c r="D650" s="24" t="n"/>
      <c r="E650" s="22" t="n"/>
      <c r="F650" s="1" t="n"/>
    </row>
    <row r="651">
      <c r="A651" s="1" t="n"/>
      <c r="B651" s="20" t="n"/>
      <c r="C651" s="21" t="n"/>
      <c r="D651" s="24" t="n"/>
      <c r="E651" s="22" t="n"/>
      <c r="F651" s="1" t="n"/>
    </row>
    <row r="652">
      <c r="A652" s="1" t="n"/>
      <c r="B652" s="20" t="n"/>
      <c r="C652" s="21" t="n"/>
      <c r="D652" s="24" t="n"/>
      <c r="E652" s="22" t="n"/>
      <c r="F652" s="1" t="n"/>
    </row>
    <row r="653">
      <c r="A653" s="1" t="n"/>
      <c r="B653" s="20" t="n"/>
      <c r="C653" s="21" t="n"/>
      <c r="D653" s="24" t="n"/>
      <c r="E653" s="22" t="n"/>
      <c r="F653" s="1" t="n"/>
    </row>
    <row r="654">
      <c r="A654" s="1" t="n"/>
      <c r="B654" s="20" t="n"/>
      <c r="C654" s="21" t="n"/>
      <c r="D654" s="24" t="n"/>
      <c r="E654" s="22" t="n"/>
      <c r="F654" s="1" t="n"/>
    </row>
    <row r="655">
      <c r="A655" s="1" t="n"/>
      <c r="B655" s="20" t="n"/>
      <c r="C655" s="21" t="n"/>
      <c r="D655" s="24" t="n"/>
      <c r="E655" s="22" t="n"/>
      <c r="F655" s="1" t="n"/>
    </row>
    <row r="656">
      <c r="A656" s="1" t="n"/>
      <c r="B656" s="20" t="n"/>
      <c r="C656" s="21" t="n"/>
      <c r="D656" s="24" t="n"/>
      <c r="E656" s="22" t="n"/>
      <c r="F656" s="1" t="n"/>
    </row>
    <row r="657">
      <c r="A657" s="1" t="n"/>
      <c r="B657" s="20" t="n"/>
      <c r="C657" s="21" t="n"/>
      <c r="D657" s="24" t="n"/>
      <c r="E657" s="22" t="n"/>
      <c r="F657" s="1" t="n"/>
    </row>
    <row r="658">
      <c r="A658" s="1" t="n"/>
      <c r="B658" s="20" t="n"/>
      <c r="C658" s="21" t="n"/>
      <c r="D658" s="24" t="n"/>
      <c r="E658" s="22" t="n"/>
      <c r="F658" s="1" t="n"/>
    </row>
    <row r="659">
      <c r="A659" s="1" t="n"/>
      <c r="B659" s="20" t="n"/>
      <c r="C659" s="21" t="n"/>
      <c r="D659" s="24" t="n"/>
      <c r="E659" s="22" t="n"/>
      <c r="F659" s="1" t="n"/>
    </row>
    <row r="660">
      <c r="A660" s="1" t="n"/>
      <c r="B660" s="20" t="n"/>
      <c r="C660" s="21" t="n"/>
      <c r="D660" s="24" t="n"/>
      <c r="E660" s="22" t="n"/>
      <c r="F660" s="1" t="n"/>
    </row>
    <row r="661">
      <c r="A661" s="1" t="n"/>
      <c r="B661" s="20" t="n"/>
      <c r="C661" s="21" t="n"/>
      <c r="D661" s="24" t="n"/>
      <c r="E661" s="22" t="n"/>
      <c r="F661" s="1" t="n"/>
    </row>
    <row r="662">
      <c r="A662" s="1" t="n"/>
      <c r="B662" s="20" t="n"/>
      <c r="C662" s="21" t="n"/>
      <c r="D662" s="24" t="n"/>
      <c r="E662" s="22" t="n"/>
      <c r="F662" s="1" t="n"/>
    </row>
    <row r="663">
      <c r="A663" s="1" t="n"/>
      <c r="B663" s="20" t="n"/>
      <c r="C663" s="21" t="n"/>
      <c r="D663" s="24" t="n"/>
      <c r="E663" s="22" t="n"/>
      <c r="F663" s="1" t="n"/>
    </row>
    <row r="664">
      <c r="A664" s="1" t="n"/>
      <c r="B664" s="20" t="n"/>
      <c r="C664" s="21" t="n"/>
      <c r="D664" s="24" t="n"/>
      <c r="E664" s="22" t="n"/>
      <c r="F664" s="1" t="n"/>
    </row>
    <row r="665">
      <c r="A665" s="1" t="n"/>
      <c r="B665" s="20" t="n"/>
      <c r="C665" s="21" t="n"/>
      <c r="D665" s="24" t="n"/>
      <c r="E665" s="22" t="n"/>
      <c r="F665" s="1" t="n"/>
    </row>
    <row r="666">
      <c r="A666" s="1" t="n"/>
      <c r="B666" s="20" t="n"/>
      <c r="C666" s="21" t="n"/>
      <c r="D666" s="24" t="n"/>
      <c r="E666" s="22" t="n"/>
      <c r="F666" s="1" t="n"/>
    </row>
    <row r="667">
      <c r="A667" s="1" t="n"/>
      <c r="B667" s="20" t="n"/>
      <c r="C667" s="21" t="n"/>
      <c r="D667" s="24" t="n"/>
      <c r="E667" s="22" t="n"/>
      <c r="F667" s="1" t="n"/>
    </row>
    <row r="668">
      <c r="A668" s="1" t="n"/>
      <c r="B668" s="20" t="n"/>
      <c r="C668" s="21" t="n"/>
      <c r="D668" s="24" t="n"/>
      <c r="E668" s="22" t="n"/>
      <c r="F668" s="1" t="n"/>
    </row>
    <row r="669">
      <c r="A669" s="1" t="n"/>
      <c r="B669" s="20" t="n"/>
      <c r="C669" s="21" t="n"/>
      <c r="D669" s="24" t="n"/>
      <c r="E669" s="22" t="n"/>
      <c r="F669" s="1" t="n"/>
    </row>
    <row r="670">
      <c r="A670" s="1" t="n"/>
      <c r="B670" s="20" t="n"/>
      <c r="C670" s="21" t="n"/>
      <c r="D670" s="24" t="n"/>
      <c r="E670" s="22" t="n"/>
      <c r="F670" s="1" t="n"/>
    </row>
    <row r="671">
      <c r="A671" s="1" t="n"/>
      <c r="B671" s="20" t="n"/>
      <c r="C671" s="21" t="n"/>
      <c r="D671" s="24" t="n"/>
      <c r="E671" s="22" t="n"/>
      <c r="F671" s="1" t="n"/>
    </row>
    <row r="672">
      <c r="A672" s="1" t="n"/>
      <c r="B672" s="20" t="n"/>
      <c r="C672" s="21" t="n"/>
      <c r="D672" s="24" t="n"/>
      <c r="E672" s="22" t="n"/>
      <c r="F672" s="1" t="n"/>
    </row>
    <row r="673">
      <c r="A673" s="1" t="n"/>
      <c r="B673" s="20" t="n"/>
      <c r="C673" s="21" t="n"/>
      <c r="D673" s="24" t="n"/>
      <c r="E673" s="22" t="n"/>
      <c r="F673" s="1" t="n"/>
    </row>
    <row r="674">
      <c r="A674" s="1" t="n"/>
      <c r="B674" s="20" t="n"/>
      <c r="C674" s="21" t="n"/>
      <c r="D674" s="24" t="n"/>
      <c r="E674" s="22" t="n"/>
      <c r="F674" s="1" t="n"/>
    </row>
    <row r="675">
      <c r="A675" s="1" t="n"/>
      <c r="B675" s="20" t="n"/>
      <c r="C675" s="21" t="n"/>
      <c r="D675" s="24" t="n"/>
      <c r="E675" s="22" t="n"/>
      <c r="F675" s="1" t="n"/>
    </row>
    <row r="676">
      <c r="A676" s="1" t="n"/>
      <c r="B676" s="20" t="n"/>
      <c r="C676" s="21" t="n"/>
      <c r="D676" s="24" t="n"/>
      <c r="E676" s="22" t="n"/>
      <c r="F676" s="1" t="n"/>
    </row>
    <row r="677">
      <c r="A677" s="1" t="n"/>
      <c r="B677" s="20" t="n"/>
      <c r="C677" s="21" t="n"/>
      <c r="D677" s="24" t="n"/>
      <c r="E677" s="22" t="n"/>
      <c r="F677" s="1" t="n"/>
    </row>
    <row r="678">
      <c r="A678" s="1" t="n"/>
      <c r="B678" s="20" t="n"/>
      <c r="C678" s="21" t="n"/>
      <c r="D678" s="24" t="n"/>
      <c r="E678" s="22" t="n"/>
      <c r="F678" s="1" t="n"/>
    </row>
    <row r="679">
      <c r="A679" s="1" t="n"/>
      <c r="B679" s="20" t="n"/>
      <c r="C679" s="21" t="n"/>
      <c r="D679" s="24" t="n"/>
      <c r="E679" s="22" t="n"/>
      <c r="F679" s="1" t="n"/>
    </row>
    <row r="680">
      <c r="A680" s="1" t="n"/>
      <c r="B680" s="20" t="n"/>
      <c r="C680" s="21" t="n"/>
      <c r="D680" s="24" t="n"/>
      <c r="E680" s="22" t="n"/>
      <c r="F680" s="1" t="n"/>
    </row>
    <row r="681">
      <c r="A681" s="1" t="n"/>
      <c r="B681" s="20" t="n"/>
      <c r="C681" s="21" t="n"/>
      <c r="D681" s="24" t="n"/>
      <c r="E681" s="22" t="n"/>
      <c r="F681" s="1" t="n"/>
    </row>
    <row r="682">
      <c r="A682" s="1" t="n"/>
      <c r="B682" s="20" t="n"/>
      <c r="C682" s="21" t="n"/>
      <c r="D682" s="24" t="n"/>
      <c r="E682" s="22" t="n"/>
      <c r="F682" s="1" t="n"/>
    </row>
    <row r="683">
      <c r="A683" s="1" t="n"/>
      <c r="B683" s="20" t="n"/>
      <c r="C683" s="21" t="n"/>
      <c r="D683" s="24" t="n"/>
      <c r="E683" s="22" t="n"/>
      <c r="F683" s="1" t="n"/>
    </row>
    <row r="684">
      <c r="A684" s="1" t="n"/>
      <c r="B684" s="20" t="n"/>
      <c r="C684" s="21" t="n"/>
      <c r="D684" s="24" t="n"/>
      <c r="E684" s="22" t="n"/>
      <c r="F684" s="1" t="n"/>
    </row>
    <row r="685">
      <c r="A685" s="1" t="n"/>
      <c r="B685" s="20" t="n"/>
      <c r="C685" s="21" t="n"/>
      <c r="D685" s="24" t="n"/>
      <c r="E685" s="22" t="n"/>
      <c r="F685" s="1" t="n"/>
    </row>
    <row r="686">
      <c r="A686" s="1" t="n"/>
      <c r="B686" s="20" t="n"/>
      <c r="C686" s="21" t="n"/>
      <c r="D686" s="24" t="n"/>
      <c r="E686" s="22" t="n"/>
      <c r="F686" s="1" t="n"/>
    </row>
    <row r="687">
      <c r="A687" s="1" t="n"/>
      <c r="B687" s="20" t="n"/>
      <c r="C687" s="21" t="n"/>
      <c r="D687" s="24" t="n"/>
      <c r="E687" s="22" t="n"/>
      <c r="F687" s="1" t="n"/>
    </row>
    <row r="688">
      <c r="A688" s="1" t="n"/>
      <c r="B688" s="20" t="n"/>
      <c r="C688" s="21" t="n"/>
      <c r="D688" s="24" t="n"/>
      <c r="E688" s="22" t="n"/>
      <c r="F688" s="1" t="n"/>
    </row>
    <row r="689">
      <c r="A689" s="1" t="n"/>
      <c r="B689" s="20" t="n"/>
      <c r="C689" s="21" t="n"/>
      <c r="D689" s="24" t="n"/>
      <c r="E689" s="22" t="n"/>
      <c r="F689" s="1" t="n"/>
    </row>
    <row r="690">
      <c r="A690" s="1" t="n"/>
      <c r="B690" s="20" t="n"/>
      <c r="C690" s="21" t="n"/>
      <c r="D690" s="24" t="n"/>
      <c r="E690" s="22" t="n"/>
      <c r="F690" s="1" t="n"/>
    </row>
    <row r="691">
      <c r="A691" s="1" t="n"/>
      <c r="B691" s="20" t="n"/>
      <c r="C691" s="21" t="n"/>
      <c r="D691" s="24" t="n"/>
      <c r="E691" s="22" t="n"/>
      <c r="F691" s="1" t="n"/>
    </row>
    <row r="692">
      <c r="A692" s="1" t="n"/>
      <c r="B692" s="20" t="n"/>
      <c r="C692" s="21" t="n"/>
      <c r="D692" s="24" t="n"/>
      <c r="E692" s="22" t="n"/>
      <c r="F692" s="1" t="n"/>
    </row>
    <row r="693">
      <c r="A693" s="1" t="n"/>
      <c r="B693" s="20" t="n"/>
      <c r="C693" s="21" t="n"/>
      <c r="D693" s="24" t="n"/>
      <c r="E693" s="22" t="n"/>
      <c r="F693" s="1" t="n"/>
    </row>
    <row r="694">
      <c r="A694" s="1" t="n"/>
      <c r="B694" s="20" t="n"/>
      <c r="C694" s="21" t="n"/>
      <c r="D694" s="24" t="n"/>
      <c r="E694" s="22" t="n"/>
      <c r="F694" s="1" t="n"/>
    </row>
    <row r="695">
      <c r="A695" s="1" t="n"/>
      <c r="B695" s="20" t="n"/>
      <c r="C695" s="21" t="n"/>
      <c r="D695" s="24" t="n"/>
      <c r="E695" s="22" t="n"/>
      <c r="F695" s="1" t="n"/>
    </row>
    <row r="696">
      <c r="A696" s="1" t="n"/>
      <c r="B696" s="20" t="n"/>
      <c r="C696" s="21" t="n"/>
      <c r="D696" s="24" t="n"/>
      <c r="E696" s="22" t="n"/>
      <c r="F696" s="1" t="n"/>
    </row>
    <row r="697">
      <c r="A697" s="1" t="n"/>
      <c r="B697" s="20" t="n"/>
      <c r="C697" s="21" t="n"/>
      <c r="D697" s="24" t="n"/>
      <c r="E697" s="22" t="n"/>
      <c r="F697" s="1" t="n"/>
    </row>
    <row r="698">
      <c r="A698" s="1" t="n"/>
      <c r="B698" s="20" t="n"/>
      <c r="C698" s="21" t="n"/>
      <c r="D698" s="24" t="n"/>
      <c r="E698" s="22" t="n"/>
      <c r="F698" s="1" t="n"/>
    </row>
    <row r="699">
      <c r="A699" s="1" t="n"/>
      <c r="B699" s="20" t="n"/>
      <c r="C699" s="21" t="n"/>
      <c r="D699" s="24" t="n"/>
      <c r="E699" s="22" t="n"/>
      <c r="F699" s="1" t="n"/>
    </row>
    <row r="700">
      <c r="A700" s="1" t="n"/>
      <c r="B700" s="20" t="n"/>
      <c r="C700" s="21" t="n"/>
      <c r="D700" s="24" t="n"/>
      <c r="E700" s="22" t="n"/>
      <c r="F700" s="1" t="n"/>
    </row>
    <row r="701">
      <c r="A701" s="1" t="n"/>
      <c r="B701" s="20" t="n"/>
      <c r="C701" s="21" t="n"/>
      <c r="D701" s="24" t="n"/>
      <c r="E701" s="22" t="n"/>
      <c r="F701" s="1" t="n"/>
    </row>
    <row r="702">
      <c r="A702" s="1" t="n"/>
      <c r="B702" s="20" t="n"/>
      <c r="C702" s="21" t="n"/>
      <c r="D702" s="24" t="n"/>
      <c r="E702" s="22" t="n"/>
      <c r="F702" s="1" t="n"/>
    </row>
    <row r="703">
      <c r="A703" s="1" t="n"/>
      <c r="B703" s="20" t="n"/>
      <c r="C703" s="21" t="n"/>
      <c r="D703" s="24" t="n"/>
      <c r="E703" s="22" t="n"/>
      <c r="F703" s="1" t="n"/>
    </row>
    <row r="704">
      <c r="A704" s="1" t="n"/>
      <c r="B704" s="20" t="n"/>
      <c r="C704" s="21" t="n"/>
      <c r="D704" s="24" t="n"/>
      <c r="E704" s="22" t="n"/>
      <c r="F704" s="1" t="n"/>
    </row>
    <row r="705">
      <c r="A705" s="1" t="n"/>
      <c r="B705" s="20" t="n"/>
      <c r="C705" s="21" t="n"/>
      <c r="D705" s="24" t="n"/>
      <c r="E705" s="22" t="n"/>
      <c r="F705" s="1" t="n"/>
    </row>
    <row r="706">
      <c r="A706" s="1" t="n"/>
      <c r="B706" s="20" t="n"/>
      <c r="C706" s="21" t="n"/>
      <c r="D706" s="24" t="n"/>
      <c r="E706" s="22" t="n"/>
      <c r="F706" s="1" t="n"/>
    </row>
    <row r="707">
      <c r="A707" s="1" t="n"/>
      <c r="B707" s="20" t="n"/>
      <c r="C707" s="21" t="n"/>
      <c r="D707" s="24" t="n"/>
      <c r="E707" s="22" t="n"/>
      <c r="F707" s="1" t="n"/>
    </row>
    <row r="708">
      <c r="A708" s="1" t="n"/>
      <c r="B708" s="20" t="n"/>
      <c r="C708" s="21" t="n"/>
      <c r="D708" s="24" t="n"/>
      <c r="E708" s="22" t="n"/>
      <c r="F708" s="1" t="n"/>
    </row>
    <row r="709">
      <c r="A709" s="1" t="n"/>
      <c r="B709" s="20" t="n"/>
      <c r="C709" s="21" t="n"/>
      <c r="D709" s="24" t="n"/>
      <c r="E709" s="22" t="n"/>
      <c r="F709" s="1" t="n"/>
    </row>
    <row r="710">
      <c r="A710" s="1" t="n"/>
      <c r="B710" s="20" t="n"/>
      <c r="C710" s="21" t="n"/>
      <c r="D710" s="24" t="n"/>
      <c r="E710" s="22" t="n"/>
      <c r="F710" s="1" t="n"/>
    </row>
    <row r="711">
      <c r="A711" s="1" t="n"/>
      <c r="B711" s="20" t="n"/>
      <c r="C711" s="21" t="n"/>
      <c r="D711" s="24" t="n"/>
      <c r="E711" s="22" t="n"/>
      <c r="F711" s="1" t="n"/>
    </row>
    <row r="712">
      <c r="A712" s="1" t="n"/>
      <c r="B712" s="20" t="n"/>
      <c r="C712" s="21" t="n"/>
      <c r="D712" s="24" t="n"/>
      <c r="E712" s="22" t="n"/>
      <c r="F712" s="1" t="n"/>
    </row>
    <row r="713">
      <c r="A713" s="1" t="n"/>
      <c r="B713" s="20" t="n"/>
      <c r="C713" s="21" t="n"/>
      <c r="D713" s="24" t="n"/>
      <c r="E713" s="22" t="n"/>
      <c r="F713" s="1" t="n"/>
    </row>
    <row r="714">
      <c r="A714" s="1" t="n"/>
      <c r="B714" s="20" t="n"/>
      <c r="C714" s="21" t="n"/>
      <c r="D714" s="24" t="n"/>
      <c r="E714" s="22" t="n"/>
      <c r="F714" s="1" t="n"/>
    </row>
    <row r="715">
      <c r="A715" s="1" t="n"/>
      <c r="B715" s="20" t="n"/>
      <c r="C715" s="21" t="n"/>
      <c r="D715" s="24" t="n"/>
      <c r="E715" s="22" t="n"/>
      <c r="F715" s="1" t="n"/>
    </row>
    <row r="716">
      <c r="A716" s="1" t="n"/>
      <c r="B716" s="20" t="n"/>
      <c r="C716" s="21" t="n"/>
      <c r="D716" s="24" t="n"/>
      <c r="E716" s="22" t="n"/>
      <c r="F716" s="1" t="n"/>
    </row>
    <row r="717">
      <c r="A717" s="1" t="n"/>
      <c r="B717" s="20" t="n"/>
      <c r="C717" s="21" t="n"/>
      <c r="D717" s="24" t="n"/>
      <c r="E717" s="22" t="n"/>
      <c r="F717" s="1" t="n"/>
    </row>
    <row r="718">
      <c r="A718" s="1" t="n"/>
      <c r="B718" s="20" t="n"/>
      <c r="C718" s="21" t="n"/>
      <c r="D718" s="24" t="n"/>
      <c r="E718" s="22" t="n"/>
      <c r="F718" s="1" t="n"/>
    </row>
    <row r="719">
      <c r="A719" s="1" t="n"/>
      <c r="B719" s="20" t="n"/>
      <c r="C719" s="21" t="n"/>
      <c r="D719" s="24" t="n"/>
      <c r="E719" s="22" t="n"/>
      <c r="F719" s="1" t="n"/>
    </row>
    <row r="720">
      <c r="A720" s="1" t="n"/>
      <c r="B720" s="20" t="n"/>
      <c r="C720" s="21" t="n"/>
      <c r="D720" s="24" t="n"/>
      <c r="E720" s="22" t="n"/>
      <c r="F720" s="1" t="n"/>
    </row>
    <row r="721">
      <c r="A721" s="1" t="n"/>
      <c r="B721" s="20" t="n"/>
      <c r="C721" s="21" t="n"/>
      <c r="D721" s="24" t="n"/>
      <c r="E721" s="22" t="n"/>
      <c r="F721" s="1" t="n"/>
    </row>
    <row r="722">
      <c r="A722" s="1" t="n"/>
      <c r="B722" s="20" t="n"/>
      <c r="C722" s="21" t="n"/>
      <c r="D722" s="24" t="n"/>
      <c r="E722" s="22" t="n"/>
      <c r="F722" s="1" t="n"/>
    </row>
    <row r="723">
      <c r="A723" s="1" t="n"/>
      <c r="B723" s="20" t="n"/>
      <c r="C723" s="21" t="n"/>
      <c r="D723" s="24" t="n"/>
      <c r="E723" s="22" t="n"/>
      <c r="F723" s="1" t="n"/>
    </row>
    <row r="724">
      <c r="A724" s="1" t="n"/>
      <c r="B724" s="20" t="n"/>
      <c r="C724" s="21" t="n"/>
      <c r="D724" s="24" t="n"/>
      <c r="E724" s="22" t="n"/>
      <c r="F724" s="1" t="n"/>
    </row>
    <row r="725">
      <c r="A725" s="1" t="n"/>
      <c r="B725" s="20" t="n"/>
      <c r="C725" s="21" t="n"/>
      <c r="D725" s="24" t="n"/>
      <c r="E725" s="22" t="n"/>
      <c r="F725" s="1" t="n"/>
    </row>
    <row r="726">
      <c r="A726" s="1" t="n"/>
      <c r="B726" s="20" t="n"/>
      <c r="C726" s="21" t="n"/>
      <c r="D726" s="24" t="n"/>
      <c r="E726" s="22" t="n"/>
      <c r="F726" s="1" t="n"/>
    </row>
    <row r="727">
      <c r="A727" s="1" t="n"/>
      <c r="B727" s="20" t="n"/>
      <c r="C727" s="21" t="n"/>
      <c r="D727" s="24" t="n"/>
      <c r="E727" s="22" t="n"/>
      <c r="F727" s="1" t="n"/>
    </row>
    <row r="728">
      <c r="A728" s="1" t="n"/>
      <c r="B728" s="20" t="n"/>
      <c r="C728" s="21" t="n"/>
      <c r="D728" s="24" t="n"/>
      <c r="E728" s="22" t="n"/>
      <c r="F728" s="1" t="n"/>
    </row>
    <row r="729">
      <c r="A729" s="1" t="n"/>
      <c r="B729" s="20" t="n"/>
      <c r="C729" s="21" t="n"/>
      <c r="D729" s="24" t="n"/>
      <c r="E729" s="22" t="n"/>
      <c r="F729" s="1" t="n"/>
    </row>
    <row r="730">
      <c r="A730" s="1" t="n"/>
      <c r="B730" s="20" t="n"/>
      <c r="C730" s="21" t="n"/>
      <c r="D730" s="24" t="n"/>
      <c r="E730" s="22" t="n"/>
      <c r="F730" s="1" t="n"/>
    </row>
    <row r="731">
      <c r="A731" s="1" t="n"/>
      <c r="B731" s="20" t="n"/>
      <c r="C731" s="21" t="n"/>
      <c r="D731" s="24" t="n"/>
      <c r="E731" s="22" t="n"/>
      <c r="F731" s="1" t="n"/>
    </row>
    <row r="732">
      <c r="A732" s="1" t="n"/>
      <c r="B732" s="20" t="n"/>
      <c r="C732" s="21" t="n"/>
      <c r="D732" s="24" t="n"/>
      <c r="E732" s="22" t="n"/>
      <c r="F732" s="1" t="n"/>
    </row>
    <row r="733">
      <c r="A733" s="1" t="n"/>
      <c r="B733" s="20" t="n"/>
      <c r="C733" s="21" t="n"/>
      <c r="D733" s="24" t="n"/>
      <c r="E733" s="22" t="n"/>
      <c r="F733" s="1" t="n"/>
    </row>
    <row r="734">
      <c r="A734" s="1" t="n"/>
      <c r="B734" s="20" t="n"/>
      <c r="C734" s="21" t="n"/>
      <c r="D734" s="24" t="n"/>
      <c r="E734" s="22" t="n"/>
      <c r="F734" s="1" t="n"/>
    </row>
    <row r="735">
      <c r="A735" s="1" t="n"/>
      <c r="B735" s="20" t="n"/>
      <c r="C735" s="21" t="n"/>
      <c r="D735" s="24" t="n"/>
      <c r="E735" s="22" t="n"/>
      <c r="F735" s="1" t="n"/>
    </row>
    <row r="736">
      <c r="A736" s="1" t="n"/>
      <c r="B736" s="20" t="n"/>
      <c r="C736" s="21" t="n"/>
      <c r="D736" s="24" t="n"/>
      <c r="E736" s="22" t="n"/>
      <c r="F736" s="1" t="n"/>
    </row>
    <row r="737">
      <c r="A737" s="1" t="n"/>
      <c r="B737" s="20" t="n"/>
      <c r="C737" s="21" t="n"/>
      <c r="D737" s="24" t="n"/>
      <c r="E737" s="22" t="n"/>
      <c r="F737" s="1" t="n"/>
    </row>
    <row r="738">
      <c r="A738" s="1" t="n"/>
      <c r="B738" s="20" t="n"/>
      <c r="C738" s="21" t="n"/>
      <c r="D738" s="24" t="n"/>
      <c r="E738" s="22" t="n"/>
      <c r="F738" s="1" t="n"/>
    </row>
    <row r="739">
      <c r="A739" s="1" t="n"/>
      <c r="B739" s="20" t="n"/>
      <c r="C739" s="21" t="n"/>
      <c r="D739" s="24" t="n"/>
      <c r="E739" s="22" t="n"/>
      <c r="F739" s="1" t="n"/>
    </row>
    <row r="740">
      <c r="A740" s="1" t="n"/>
      <c r="B740" s="20" t="n"/>
      <c r="C740" s="21" t="n"/>
      <c r="D740" s="24" t="n"/>
      <c r="E740" s="22" t="n"/>
      <c r="F740" s="1" t="n"/>
    </row>
    <row r="741">
      <c r="A741" s="1" t="n"/>
      <c r="B741" s="20" t="n"/>
      <c r="C741" s="21" t="n"/>
      <c r="D741" s="24" t="n"/>
      <c r="E741" s="22" t="n"/>
      <c r="F741" s="1" t="n"/>
    </row>
    <row r="742">
      <c r="A742" s="1" t="n"/>
      <c r="B742" s="20" t="n"/>
      <c r="C742" s="21" t="n"/>
      <c r="D742" s="24" t="n"/>
      <c r="E742" s="22" t="n"/>
      <c r="F742" s="1" t="n"/>
    </row>
    <row r="743">
      <c r="A743" s="1" t="n"/>
      <c r="B743" s="20" t="n"/>
      <c r="C743" s="21" t="n"/>
      <c r="D743" s="24" t="n"/>
      <c r="E743" s="22" t="n"/>
      <c r="F743" s="1" t="n"/>
    </row>
    <row r="744">
      <c r="A744" s="1" t="n"/>
      <c r="B744" s="20" t="n"/>
      <c r="C744" s="21" t="n"/>
      <c r="D744" s="24" t="n"/>
      <c r="E744" s="22" t="n"/>
      <c r="F744" s="1" t="n"/>
    </row>
    <row r="745">
      <c r="A745" s="1" t="n"/>
      <c r="B745" s="20" t="n"/>
      <c r="C745" s="21" t="n"/>
      <c r="D745" s="24" t="n"/>
      <c r="E745" s="22" t="n"/>
      <c r="F745" s="1" t="n"/>
    </row>
    <row r="746">
      <c r="A746" s="1" t="n"/>
      <c r="B746" s="20" t="n"/>
      <c r="C746" s="21" t="n"/>
      <c r="D746" s="24" t="n"/>
      <c r="E746" s="22" t="n"/>
      <c r="F746" s="1" t="n"/>
    </row>
    <row r="747">
      <c r="A747" s="1" t="n"/>
      <c r="B747" s="20" t="n"/>
      <c r="C747" s="21" t="n"/>
      <c r="D747" s="24" t="n"/>
      <c r="E747" s="22" t="n"/>
      <c r="F747" s="1" t="n"/>
    </row>
    <row r="748">
      <c r="A748" s="1" t="n"/>
      <c r="B748" s="20" t="n"/>
      <c r="C748" s="21" t="n"/>
      <c r="D748" s="24" t="n"/>
      <c r="E748" s="22" t="n"/>
      <c r="F748" s="1" t="n"/>
    </row>
    <row r="749">
      <c r="A749" s="1" t="n"/>
      <c r="B749" s="20" t="n"/>
      <c r="C749" s="21" t="n"/>
      <c r="D749" s="24" t="n"/>
      <c r="E749" s="22" t="n"/>
      <c r="F749" s="1" t="n"/>
    </row>
    <row r="750">
      <c r="A750" s="1" t="n"/>
      <c r="B750" s="20" t="n"/>
      <c r="C750" s="21" t="n"/>
      <c r="D750" s="24" t="n"/>
      <c r="E750" s="22" t="n"/>
      <c r="F750" s="1" t="n"/>
    </row>
    <row r="751">
      <c r="A751" s="1" t="n"/>
      <c r="B751" s="20" t="n"/>
      <c r="C751" s="21" t="n"/>
      <c r="D751" s="24" t="n"/>
      <c r="E751" s="22" t="n"/>
      <c r="F751" s="1" t="n"/>
    </row>
    <row r="752">
      <c r="A752" s="1" t="n"/>
      <c r="B752" s="20" t="n"/>
      <c r="C752" s="21" t="n"/>
      <c r="D752" s="24" t="n"/>
      <c r="E752" s="22" t="n"/>
      <c r="F752" s="1" t="n"/>
    </row>
    <row r="753">
      <c r="A753" s="1" t="n"/>
      <c r="B753" s="20" t="n"/>
      <c r="C753" s="21" t="n"/>
      <c r="D753" s="24" t="n"/>
      <c r="E753" s="22" t="n"/>
      <c r="F753" s="1" t="n"/>
    </row>
    <row r="754">
      <c r="A754" s="1" t="n"/>
      <c r="B754" s="20" t="n"/>
      <c r="C754" s="21" t="n"/>
      <c r="D754" s="24" t="n"/>
      <c r="E754" s="22" t="n"/>
      <c r="F754" s="1" t="n"/>
    </row>
    <row r="755">
      <c r="A755" s="1" t="n"/>
      <c r="B755" s="20" t="n"/>
      <c r="C755" s="21" t="n"/>
      <c r="D755" s="24" t="n"/>
      <c r="E755" s="22" t="n"/>
      <c r="F755" s="1" t="n"/>
    </row>
    <row r="756">
      <c r="A756" s="1" t="n"/>
      <c r="B756" s="20" t="n"/>
      <c r="C756" s="21" t="n"/>
      <c r="D756" s="24" t="n"/>
      <c r="E756" s="22" t="n"/>
      <c r="F756" s="1" t="n"/>
    </row>
    <row r="757">
      <c r="A757" s="1" t="n"/>
      <c r="B757" s="20" t="n"/>
      <c r="C757" s="21" t="n"/>
      <c r="D757" s="24" t="n"/>
      <c r="E757" s="22" t="n"/>
      <c r="F757" s="1" t="n"/>
    </row>
    <row r="758">
      <c r="A758" s="1" t="n"/>
      <c r="B758" s="20" t="n"/>
      <c r="C758" s="21" t="n"/>
      <c r="D758" s="24" t="n"/>
      <c r="E758" s="22" t="n"/>
      <c r="F758" s="1" t="n"/>
    </row>
    <row r="759">
      <c r="A759" s="1" t="n"/>
      <c r="B759" s="20" t="n"/>
      <c r="C759" s="21" t="n"/>
      <c r="D759" s="24" t="n"/>
      <c r="E759" s="22" t="n"/>
      <c r="F759" s="1" t="n"/>
    </row>
    <row r="760">
      <c r="A760" s="1" t="n"/>
      <c r="B760" s="20" t="n"/>
      <c r="C760" s="21" t="n"/>
      <c r="D760" s="24" t="n"/>
      <c r="E760" s="22" t="n"/>
      <c r="F760" s="1" t="n"/>
    </row>
    <row r="761">
      <c r="A761" s="1" t="n"/>
      <c r="B761" s="20" t="n"/>
      <c r="C761" s="21" t="n"/>
      <c r="D761" s="24" t="n"/>
      <c r="E761" s="22" t="n"/>
      <c r="F761" s="1" t="n"/>
    </row>
    <row r="762">
      <c r="A762" s="1" t="n"/>
      <c r="B762" s="20" t="n"/>
      <c r="C762" s="21" t="n"/>
      <c r="D762" s="24" t="n"/>
      <c r="E762" s="22" t="n"/>
      <c r="F762" s="1" t="n"/>
    </row>
    <row r="763">
      <c r="A763" s="1" t="n"/>
      <c r="B763" s="20" t="n"/>
      <c r="C763" s="21" t="n"/>
      <c r="D763" s="24" t="n"/>
      <c r="E763" s="22" t="n"/>
      <c r="F763" s="1" t="n"/>
    </row>
    <row r="764">
      <c r="A764" s="1" t="n"/>
      <c r="B764" s="20" t="n"/>
      <c r="C764" s="21" t="n"/>
      <c r="D764" s="24" t="n"/>
      <c r="E764" s="22" t="n"/>
      <c r="F764" s="1" t="n"/>
    </row>
    <row r="765">
      <c r="A765" s="1" t="n"/>
      <c r="B765" s="20" t="n"/>
      <c r="C765" s="21" t="n"/>
      <c r="D765" s="24" t="n"/>
      <c r="E765" s="22" t="n"/>
      <c r="F765" s="1" t="n"/>
    </row>
    <row r="766">
      <c r="A766" s="1" t="n"/>
      <c r="B766" s="20" t="n"/>
      <c r="C766" s="21" t="n"/>
      <c r="D766" s="24" t="n"/>
      <c r="E766" s="22" t="n"/>
      <c r="F766" s="1" t="n"/>
    </row>
    <row r="767">
      <c r="A767" s="1" t="n"/>
      <c r="B767" s="20" t="n"/>
      <c r="C767" s="21" t="n"/>
      <c r="D767" s="24" t="n"/>
      <c r="E767" s="22" t="n"/>
      <c r="F767" s="1" t="n"/>
    </row>
    <row r="768">
      <c r="A768" s="1" t="n"/>
      <c r="B768" s="20" t="n"/>
      <c r="C768" s="21" t="n"/>
      <c r="D768" s="24" t="n"/>
      <c r="E768" s="22" t="n"/>
      <c r="F768" s="1" t="n"/>
    </row>
    <row r="769">
      <c r="A769" s="1" t="n"/>
      <c r="B769" s="20" t="n"/>
      <c r="C769" s="21" t="n"/>
      <c r="D769" s="24" t="n"/>
      <c r="E769" s="22" t="n"/>
      <c r="F769" s="1" t="n"/>
    </row>
    <row r="770">
      <c r="A770" s="1" t="n"/>
      <c r="B770" s="20" t="n"/>
      <c r="C770" s="21" t="n"/>
      <c r="D770" s="24" t="n"/>
      <c r="E770" s="22" t="n"/>
      <c r="F770" s="1" t="n"/>
    </row>
    <row r="771">
      <c r="A771" s="1" t="n"/>
      <c r="B771" s="20" t="n"/>
      <c r="C771" s="21" t="n"/>
      <c r="D771" s="24" t="n"/>
      <c r="E771" s="22" t="n"/>
      <c r="F771" s="1" t="n"/>
    </row>
    <row r="772">
      <c r="A772" s="1" t="n"/>
      <c r="B772" s="20" t="n"/>
      <c r="C772" s="21" t="n"/>
      <c r="D772" s="24" t="n"/>
      <c r="E772" s="22" t="n"/>
      <c r="F772" s="1" t="n"/>
    </row>
    <row r="773">
      <c r="A773" s="1" t="n"/>
      <c r="B773" s="20" t="n"/>
      <c r="C773" s="21" t="n"/>
      <c r="D773" s="24" t="n"/>
      <c r="E773" s="22" t="n"/>
      <c r="F773" s="1" t="n"/>
    </row>
    <row r="774">
      <c r="A774" s="1" t="n"/>
      <c r="B774" s="20" t="n"/>
      <c r="C774" s="21" t="n"/>
      <c r="D774" s="24" t="n"/>
      <c r="E774" s="22" t="n"/>
      <c r="F774" s="1" t="n"/>
    </row>
    <row r="775">
      <c r="A775" s="1" t="n"/>
      <c r="B775" s="20" t="n"/>
      <c r="C775" s="21" t="n"/>
      <c r="D775" s="24" t="n"/>
      <c r="E775" s="22" t="n"/>
      <c r="F775" s="1" t="n"/>
    </row>
    <row r="776">
      <c r="A776" s="1" t="n"/>
      <c r="B776" s="20" t="n"/>
      <c r="C776" s="21" t="n"/>
      <c r="D776" s="24" t="n"/>
      <c r="E776" s="22" t="n"/>
      <c r="F776" s="1" t="n"/>
    </row>
    <row r="777">
      <c r="A777" s="1" t="n"/>
      <c r="B777" s="20" t="n"/>
      <c r="C777" s="21" t="n"/>
      <c r="D777" s="24" t="n"/>
      <c r="E777" s="22" t="n"/>
      <c r="F777" s="1" t="n"/>
    </row>
    <row r="778">
      <c r="A778" s="1" t="n"/>
      <c r="B778" s="20" t="n"/>
      <c r="C778" s="21" t="n"/>
      <c r="D778" s="24" t="n"/>
      <c r="E778" s="22" t="n"/>
      <c r="F778" s="1" t="n"/>
    </row>
    <row r="779">
      <c r="A779" s="1" t="n"/>
      <c r="B779" s="20" t="n"/>
      <c r="C779" s="21" t="n"/>
      <c r="D779" s="24" t="n"/>
      <c r="E779" s="22" t="n"/>
      <c r="F779" s="1" t="n"/>
    </row>
    <row r="780">
      <c r="A780" s="1" t="n"/>
      <c r="B780" s="20" t="n"/>
      <c r="C780" s="21" t="n"/>
      <c r="D780" s="24" t="n"/>
      <c r="E780" s="22" t="n"/>
      <c r="F780" s="1" t="n"/>
    </row>
    <row r="781">
      <c r="A781" s="1" t="n"/>
      <c r="B781" s="20" t="n"/>
      <c r="C781" s="21" t="n"/>
      <c r="D781" s="24" t="n"/>
      <c r="E781" s="22" t="n"/>
      <c r="F781" s="1" t="n"/>
    </row>
    <row r="782">
      <c r="A782" s="1" t="n"/>
      <c r="B782" s="20" t="n"/>
      <c r="C782" s="21" t="n"/>
      <c r="D782" s="24" t="n"/>
      <c r="E782" s="22" t="n"/>
      <c r="F782" s="1" t="n"/>
    </row>
    <row r="783">
      <c r="A783" s="1" t="n"/>
      <c r="B783" s="20" t="n"/>
      <c r="C783" s="21" t="n"/>
      <c r="D783" s="24" t="n"/>
      <c r="E783" s="22" t="n"/>
      <c r="F783" s="1" t="n"/>
    </row>
    <row r="784">
      <c r="A784" s="1" t="n"/>
      <c r="B784" s="20" t="n"/>
      <c r="C784" s="21" t="n"/>
      <c r="D784" s="24" t="n"/>
      <c r="E784" s="22" t="n"/>
      <c r="F784" s="1" t="n"/>
    </row>
    <row r="785">
      <c r="A785" s="1" t="n"/>
      <c r="B785" s="20" t="n"/>
      <c r="C785" s="21" t="n"/>
      <c r="D785" s="24" t="n"/>
      <c r="E785" s="22" t="n"/>
      <c r="F785" s="1" t="n"/>
    </row>
    <row r="786">
      <c r="A786" s="1" t="n"/>
      <c r="B786" s="20" t="n"/>
      <c r="C786" s="21" t="n"/>
      <c r="D786" s="24" t="n"/>
      <c r="E786" s="22" t="n"/>
      <c r="F786" s="1" t="n"/>
    </row>
    <row r="787">
      <c r="A787" s="1" t="n"/>
      <c r="B787" s="20" t="n"/>
      <c r="C787" s="21" t="n"/>
      <c r="D787" s="24" t="n"/>
      <c r="E787" s="22" t="n"/>
      <c r="F787" s="1" t="n"/>
    </row>
    <row r="788">
      <c r="A788" s="1" t="n"/>
      <c r="B788" s="20" t="n"/>
      <c r="C788" s="21" t="n"/>
      <c r="D788" s="24" t="n"/>
      <c r="E788" s="22" t="n"/>
      <c r="F788" s="1" t="n"/>
    </row>
    <row r="789">
      <c r="A789" s="1" t="n"/>
      <c r="B789" s="20" t="n"/>
      <c r="C789" s="21" t="n"/>
      <c r="D789" s="24" t="n"/>
      <c r="E789" s="22" t="n"/>
      <c r="F789" s="1" t="n"/>
    </row>
    <row r="790">
      <c r="A790" s="1" t="n"/>
      <c r="B790" s="20" t="n"/>
      <c r="C790" s="21" t="n"/>
      <c r="D790" s="24" t="n"/>
      <c r="E790" s="22" t="n"/>
      <c r="F790" s="1" t="n"/>
    </row>
    <row r="791">
      <c r="A791" s="1" t="n"/>
      <c r="B791" s="20" t="n"/>
      <c r="C791" s="21" t="n"/>
      <c r="D791" s="24" t="n"/>
      <c r="E791" s="22" t="n"/>
      <c r="F791" s="1" t="n"/>
    </row>
    <row r="792">
      <c r="A792" s="1" t="n"/>
      <c r="B792" s="20" t="n"/>
      <c r="C792" s="21" t="n"/>
      <c r="D792" s="24" t="n"/>
      <c r="E792" s="22" t="n"/>
      <c r="F792" s="1" t="n"/>
    </row>
    <row r="793">
      <c r="A793" s="1" t="n"/>
      <c r="B793" s="20" t="n"/>
      <c r="C793" s="21" t="n"/>
      <c r="D793" s="24" t="n"/>
      <c r="E793" s="22" t="n"/>
      <c r="F793" s="1" t="n"/>
    </row>
    <row r="794">
      <c r="A794" s="1" t="n"/>
      <c r="B794" s="20" t="n"/>
      <c r="C794" s="21" t="n"/>
      <c r="D794" s="24" t="n"/>
      <c r="E794" s="22" t="n"/>
      <c r="F794" s="1" t="n"/>
    </row>
    <row r="795">
      <c r="A795" s="1" t="n"/>
      <c r="B795" s="20" t="n"/>
      <c r="C795" s="21" t="n"/>
      <c r="D795" s="24" t="n"/>
      <c r="E795" s="22" t="n"/>
      <c r="F795" s="1" t="n"/>
    </row>
    <row r="796">
      <c r="A796" s="1" t="n"/>
      <c r="B796" s="20" t="n"/>
      <c r="C796" s="21" t="n"/>
      <c r="D796" s="24" t="n"/>
      <c r="E796" s="22" t="n"/>
      <c r="F796" s="1" t="n"/>
    </row>
    <row r="797">
      <c r="A797" s="1" t="n"/>
      <c r="B797" s="20" t="n"/>
      <c r="C797" s="21" t="n"/>
      <c r="D797" s="24" t="n"/>
      <c r="E797" s="22" t="n"/>
      <c r="F797" s="1" t="n"/>
    </row>
    <row r="798">
      <c r="A798" s="1" t="n"/>
      <c r="B798" s="20" t="n"/>
      <c r="C798" s="21" t="n"/>
      <c r="D798" s="24" t="n"/>
      <c r="E798" s="22" t="n"/>
      <c r="F798" s="1" t="n"/>
    </row>
    <row r="799">
      <c r="A799" s="1" t="n"/>
      <c r="B799" s="20" t="n"/>
      <c r="C799" s="21" t="n"/>
      <c r="D799" s="24" t="n"/>
      <c r="E799" s="22" t="n"/>
      <c r="F799" s="1" t="n"/>
    </row>
    <row r="800">
      <c r="A800" s="1" t="n"/>
      <c r="B800" s="20" t="n"/>
      <c r="C800" s="21" t="n"/>
      <c r="D800" s="24" t="n"/>
      <c r="E800" s="22" t="n"/>
      <c r="F800" s="1" t="n"/>
    </row>
    <row r="801">
      <c r="A801" s="1" t="n"/>
      <c r="B801" s="20" t="n"/>
      <c r="C801" s="21" t="n"/>
      <c r="D801" s="24" t="n"/>
      <c r="E801" s="22" t="n"/>
      <c r="F801" s="1" t="n"/>
    </row>
    <row r="802">
      <c r="A802" s="1" t="n"/>
      <c r="B802" s="20" t="n"/>
      <c r="C802" s="21" t="n"/>
      <c r="D802" s="24" t="n"/>
      <c r="E802" s="22" t="n"/>
      <c r="F802" s="1" t="n"/>
    </row>
    <row r="803">
      <c r="A803" s="1" t="n"/>
      <c r="B803" s="20" t="n"/>
      <c r="C803" s="21" t="n"/>
      <c r="D803" s="24" t="n"/>
      <c r="E803" s="22" t="n"/>
      <c r="F803" s="1" t="n"/>
    </row>
    <row r="804">
      <c r="A804" s="1" t="n"/>
      <c r="B804" s="20" t="n"/>
      <c r="C804" s="21" t="n"/>
      <c r="D804" s="24" t="n"/>
      <c r="E804" s="22" t="n"/>
      <c r="F804" s="1" t="n"/>
    </row>
    <row r="805">
      <c r="A805" s="1" t="n"/>
      <c r="B805" s="20" t="n"/>
      <c r="C805" s="21" t="n"/>
      <c r="D805" s="24" t="n"/>
      <c r="E805" s="22" t="n"/>
      <c r="F805" s="1" t="n"/>
    </row>
    <row r="806">
      <c r="A806" s="1" t="n"/>
      <c r="B806" s="20" t="n"/>
      <c r="C806" s="21" t="n"/>
      <c r="D806" s="24" t="n"/>
      <c r="E806" s="22" t="n"/>
      <c r="F806" s="1" t="n"/>
    </row>
    <row r="807">
      <c r="A807" s="1" t="n"/>
      <c r="B807" s="20" t="n"/>
      <c r="C807" s="21" t="n"/>
      <c r="D807" s="24" t="n"/>
      <c r="E807" s="22" t="n"/>
      <c r="F807" s="1" t="n"/>
    </row>
    <row r="808">
      <c r="A808" s="1" t="n"/>
      <c r="B808" s="20" t="n"/>
      <c r="C808" s="21" t="n"/>
      <c r="D808" s="24" t="n"/>
      <c r="E808" s="22" t="n"/>
      <c r="F808" s="1" t="n"/>
    </row>
    <row r="809">
      <c r="A809" s="1" t="n"/>
      <c r="B809" s="20" t="n"/>
      <c r="C809" s="21" t="n"/>
      <c r="D809" s="24" t="n"/>
      <c r="E809" s="22" t="n"/>
      <c r="F809" s="1" t="n"/>
    </row>
    <row r="810">
      <c r="A810" s="1" t="n"/>
      <c r="B810" s="20" t="n"/>
      <c r="C810" s="21" t="n"/>
      <c r="D810" s="24" t="n"/>
      <c r="E810" s="22" t="n"/>
      <c r="F810" s="1" t="n"/>
    </row>
    <row r="811">
      <c r="A811" s="1" t="n"/>
      <c r="B811" s="20" t="n"/>
      <c r="C811" s="21" t="n"/>
      <c r="D811" s="24" t="n"/>
      <c r="E811" s="22" t="n"/>
      <c r="F811" s="1" t="n"/>
    </row>
    <row r="812">
      <c r="A812" s="1" t="n"/>
      <c r="B812" s="20" t="n"/>
      <c r="C812" s="21" t="n"/>
      <c r="D812" s="24" t="n"/>
      <c r="E812" s="22" t="n"/>
      <c r="F812" s="1" t="n"/>
    </row>
    <row r="813">
      <c r="A813" s="1" t="n"/>
      <c r="B813" s="20" t="n"/>
      <c r="C813" s="21" t="n"/>
      <c r="D813" s="24" t="n"/>
      <c r="E813" s="22" t="n"/>
      <c r="F813" s="1" t="n"/>
    </row>
    <row r="814">
      <c r="A814" s="1" t="n"/>
      <c r="B814" s="20" t="n"/>
      <c r="C814" s="21" t="n"/>
      <c r="D814" s="24" t="n"/>
      <c r="E814" s="22" t="n"/>
      <c r="F814" s="1" t="n"/>
    </row>
    <row r="815">
      <c r="A815" s="1" t="n"/>
      <c r="B815" s="20" t="n"/>
      <c r="C815" s="21" t="n"/>
      <c r="D815" s="24" t="n"/>
      <c r="E815" s="22" t="n"/>
      <c r="F815" s="1" t="n"/>
    </row>
    <row r="816">
      <c r="A816" s="1" t="n"/>
      <c r="B816" s="20" t="n"/>
      <c r="C816" s="21" t="n"/>
      <c r="D816" s="24" t="n"/>
      <c r="E816" s="22" t="n"/>
      <c r="F816" s="1" t="n"/>
    </row>
    <row r="817">
      <c r="A817" s="1" t="n"/>
      <c r="B817" s="20" t="n"/>
      <c r="C817" s="21" t="n"/>
      <c r="D817" s="24" t="n"/>
      <c r="E817" s="22" t="n"/>
      <c r="F817" s="1" t="n"/>
    </row>
    <row r="818">
      <c r="A818" s="1" t="n"/>
      <c r="B818" s="20" t="n"/>
      <c r="C818" s="21" t="n"/>
      <c r="D818" s="24" t="n"/>
      <c r="E818" s="22" t="n"/>
      <c r="F818" s="1" t="n"/>
    </row>
    <row r="819">
      <c r="A819" s="1" t="n"/>
      <c r="B819" s="20" t="n"/>
      <c r="C819" s="21" t="n"/>
      <c r="D819" s="24" t="n"/>
      <c r="E819" s="22" t="n"/>
      <c r="F819" s="1" t="n"/>
    </row>
    <row r="820">
      <c r="A820" s="1" t="n"/>
      <c r="B820" s="20" t="n"/>
      <c r="C820" s="21" t="n"/>
      <c r="D820" s="24" t="n"/>
      <c r="E820" s="22" t="n"/>
      <c r="F820" s="1" t="n"/>
    </row>
    <row r="821">
      <c r="A821" s="1" t="n"/>
      <c r="B821" s="20" t="n"/>
      <c r="C821" s="21" t="n"/>
      <c r="D821" s="24" t="n"/>
      <c r="E821" s="22" t="n"/>
      <c r="F821" s="1" t="n"/>
    </row>
    <row r="822">
      <c r="A822" s="1" t="n"/>
      <c r="B822" s="20" t="n"/>
      <c r="C822" s="21" t="n"/>
      <c r="D822" s="24" t="n"/>
      <c r="E822" s="22" t="n"/>
      <c r="F822" s="1" t="n"/>
    </row>
    <row r="823">
      <c r="A823" s="1" t="n"/>
      <c r="B823" s="20" t="n"/>
      <c r="C823" s="21" t="n"/>
      <c r="D823" s="24" t="n"/>
      <c r="E823" s="22" t="n"/>
      <c r="F823" s="1" t="n"/>
    </row>
    <row r="824">
      <c r="A824" s="1" t="n"/>
      <c r="B824" s="20" t="n"/>
      <c r="C824" s="21" t="n"/>
      <c r="D824" s="24" t="n"/>
      <c r="E824" s="22" t="n"/>
      <c r="F824" s="1" t="n"/>
    </row>
    <row r="825">
      <c r="A825" s="1" t="n"/>
      <c r="B825" s="20" t="n"/>
      <c r="C825" s="21" t="n"/>
      <c r="D825" s="24" t="n"/>
      <c r="E825" s="22" t="n"/>
      <c r="F825" s="1" t="n"/>
    </row>
    <row r="826">
      <c r="A826" s="1" t="n"/>
      <c r="B826" s="20" t="n"/>
      <c r="C826" s="21" t="n"/>
      <c r="D826" s="24" t="n"/>
      <c r="E826" s="22" t="n"/>
      <c r="F826" s="1" t="n"/>
    </row>
    <row r="827">
      <c r="A827" s="1" t="n"/>
      <c r="B827" s="20" t="n"/>
      <c r="C827" s="21" t="n"/>
      <c r="D827" s="24" t="n"/>
      <c r="E827" s="22" t="n"/>
      <c r="F827" s="1" t="n"/>
    </row>
    <row r="828">
      <c r="A828" s="1" t="n"/>
      <c r="B828" s="20" t="n"/>
      <c r="C828" s="21" t="n"/>
      <c r="D828" s="24" t="n"/>
      <c r="E828" s="22" t="n"/>
      <c r="F828" s="1" t="n"/>
    </row>
    <row r="829">
      <c r="A829" s="1" t="n"/>
      <c r="B829" s="20" t="n"/>
      <c r="C829" s="21" t="n"/>
      <c r="D829" s="24" t="n"/>
      <c r="E829" s="22" t="n"/>
      <c r="F829" s="1" t="n"/>
    </row>
    <row r="830">
      <c r="A830" s="1" t="n"/>
      <c r="B830" s="20" t="n"/>
      <c r="C830" s="21" t="n"/>
      <c r="D830" s="24" t="n"/>
      <c r="E830" s="22" t="n"/>
      <c r="F830" s="1" t="n"/>
    </row>
    <row r="831">
      <c r="A831" s="1" t="n"/>
      <c r="B831" s="20" t="n"/>
      <c r="C831" s="21" t="n"/>
      <c r="D831" s="24" t="n"/>
      <c r="E831" s="22" t="n"/>
      <c r="F831" s="1" t="n"/>
    </row>
    <row r="832">
      <c r="A832" s="1" t="n"/>
      <c r="B832" s="20" t="n"/>
      <c r="C832" s="21" t="n"/>
      <c r="D832" s="24" t="n"/>
      <c r="E832" s="22" t="n"/>
      <c r="F832" s="1" t="n"/>
    </row>
    <row r="833">
      <c r="A833" s="1" t="n"/>
      <c r="B833" s="20" t="n"/>
      <c r="C833" s="21" t="n"/>
      <c r="D833" s="24" t="n"/>
      <c r="E833" s="22" t="n"/>
      <c r="F833" s="1" t="n"/>
    </row>
    <row r="834">
      <c r="A834" s="1" t="n"/>
      <c r="B834" s="20" t="n"/>
      <c r="C834" s="21" t="n"/>
      <c r="D834" s="24" t="n"/>
      <c r="E834" s="22" t="n"/>
      <c r="F834" s="1" t="n"/>
    </row>
    <row r="835">
      <c r="A835" s="1" t="n"/>
      <c r="B835" s="20" t="n"/>
      <c r="C835" s="21" t="n"/>
      <c r="D835" s="24" t="n"/>
      <c r="E835" s="22" t="n"/>
      <c r="F835" s="1" t="n"/>
    </row>
    <row r="836">
      <c r="A836" s="1" t="n"/>
      <c r="B836" s="20" t="n"/>
      <c r="C836" s="21" t="n"/>
      <c r="D836" s="24" t="n"/>
      <c r="E836" s="22" t="n"/>
      <c r="F836" s="1" t="n"/>
    </row>
    <row r="837">
      <c r="A837" s="1" t="n"/>
      <c r="B837" s="20" t="n"/>
      <c r="C837" s="21" t="n"/>
      <c r="D837" s="24" t="n"/>
      <c r="E837" s="22" t="n"/>
      <c r="F837" s="1" t="n"/>
    </row>
    <row r="838">
      <c r="A838" s="1" t="n"/>
      <c r="B838" s="20" t="n"/>
      <c r="C838" s="21" t="n"/>
      <c r="D838" s="24" t="n"/>
      <c r="E838" s="22" t="n"/>
      <c r="F838" s="1" t="n"/>
    </row>
    <row r="839">
      <c r="A839" s="1" t="n"/>
      <c r="B839" s="20" t="n"/>
      <c r="C839" s="21" t="n"/>
      <c r="D839" s="24" t="n"/>
      <c r="E839" s="22" t="n"/>
      <c r="F839" s="1" t="n"/>
    </row>
    <row r="840">
      <c r="A840" s="1" t="n"/>
      <c r="B840" s="20" t="n"/>
      <c r="C840" s="21" t="n"/>
      <c r="D840" s="24" t="n"/>
      <c r="E840" s="22" t="n"/>
      <c r="F840" s="1" t="n"/>
    </row>
    <row r="841">
      <c r="A841" s="1" t="n"/>
      <c r="B841" s="20" t="n"/>
      <c r="C841" s="21" t="n"/>
      <c r="D841" s="24" t="n"/>
      <c r="E841" s="22" t="n"/>
      <c r="F841" s="1" t="n"/>
    </row>
    <row r="842">
      <c r="A842" s="1" t="n"/>
      <c r="B842" s="20" t="n"/>
      <c r="C842" s="21" t="n"/>
      <c r="D842" s="24" t="n"/>
      <c r="E842" s="22" t="n"/>
      <c r="F842" s="1" t="n"/>
    </row>
    <row r="843">
      <c r="A843" s="1" t="n"/>
      <c r="B843" s="20" t="n"/>
      <c r="C843" s="21" t="n"/>
      <c r="D843" s="24" t="n"/>
      <c r="E843" s="22" t="n"/>
      <c r="F843" s="1" t="n"/>
    </row>
    <row r="844">
      <c r="A844" s="1" t="n"/>
      <c r="B844" s="20" t="n"/>
      <c r="C844" s="21" t="n"/>
      <c r="D844" s="24" t="n"/>
      <c r="E844" s="22" t="n"/>
      <c r="F844" s="1" t="n"/>
    </row>
    <row r="845">
      <c r="A845" s="1" t="n"/>
      <c r="B845" s="20" t="n"/>
      <c r="C845" s="21" t="n"/>
      <c r="D845" s="24" t="n"/>
      <c r="E845" s="22" t="n"/>
      <c r="F845" s="1" t="n"/>
    </row>
    <row r="846">
      <c r="A846" s="1" t="n"/>
      <c r="B846" s="20" t="n"/>
      <c r="C846" s="21" t="n"/>
      <c r="D846" s="24" t="n"/>
      <c r="E846" s="22" t="n"/>
      <c r="F846" s="1" t="n"/>
    </row>
    <row r="847">
      <c r="A847" s="1" t="n"/>
      <c r="B847" s="20" t="n"/>
      <c r="C847" s="21" t="n"/>
      <c r="D847" s="24" t="n"/>
      <c r="E847" s="22" t="n"/>
      <c r="F847" s="1" t="n"/>
    </row>
    <row r="848">
      <c r="A848" s="1" t="n"/>
      <c r="B848" s="20" t="n"/>
      <c r="C848" s="21" t="n"/>
      <c r="D848" s="24" t="n"/>
      <c r="E848" s="22" t="n"/>
      <c r="F848" s="1" t="n"/>
    </row>
    <row r="849">
      <c r="A849" s="1" t="n"/>
      <c r="B849" s="20" t="n"/>
      <c r="C849" s="21" t="n"/>
      <c r="D849" s="24" t="n"/>
      <c r="E849" s="22" t="n"/>
      <c r="F849" s="1" t="n"/>
    </row>
    <row r="850">
      <c r="A850" s="1" t="n"/>
      <c r="B850" s="20" t="n"/>
      <c r="C850" s="21" t="n"/>
      <c r="D850" s="24" t="n"/>
      <c r="E850" s="22" t="n"/>
      <c r="F850" s="1" t="n"/>
    </row>
    <row r="851">
      <c r="A851" s="1" t="n"/>
      <c r="B851" s="20" t="n"/>
      <c r="C851" s="21" t="n"/>
      <c r="D851" s="24" t="n"/>
      <c r="E851" s="22" t="n"/>
      <c r="F851" s="1" t="n"/>
    </row>
    <row r="852">
      <c r="A852" s="1" t="n"/>
      <c r="B852" s="20" t="n"/>
      <c r="C852" s="21" t="n"/>
      <c r="D852" s="24" t="n"/>
      <c r="E852" s="22" t="n"/>
      <c r="F852" s="1" t="n"/>
    </row>
    <row r="853">
      <c r="A853" s="1" t="n"/>
      <c r="B853" s="20" t="n"/>
      <c r="C853" s="21" t="n"/>
      <c r="D853" s="24" t="n"/>
      <c r="E853" s="22" t="n"/>
      <c r="F853" s="1" t="n"/>
    </row>
    <row r="854">
      <c r="A854" s="1" t="n"/>
      <c r="B854" s="20" t="n"/>
      <c r="C854" s="21" t="n"/>
      <c r="D854" s="24" t="n"/>
      <c r="E854" s="22" t="n"/>
      <c r="F854" s="1" t="n"/>
    </row>
    <row r="855">
      <c r="A855" s="1" t="n"/>
      <c r="B855" s="20" t="n"/>
      <c r="C855" s="21" t="n"/>
      <c r="D855" s="24" t="n"/>
      <c r="E855" s="22" t="n"/>
      <c r="F855" s="1" t="n"/>
    </row>
    <row r="856">
      <c r="A856" s="1" t="n"/>
      <c r="B856" s="20" t="n"/>
      <c r="C856" s="21" t="n"/>
      <c r="D856" s="24" t="n"/>
      <c r="E856" s="22" t="n"/>
      <c r="F856" s="1" t="n"/>
    </row>
    <row r="857">
      <c r="A857" s="1" t="n"/>
      <c r="B857" s="20" t="n"/>
      <c r="C857" s="21" t="n"/>
      <c r="D857" s="24" t="n"/>
      <c r="E857" s="22" t="n"/>
      <c r="F857" s="1" t="n"/>
    </row>
    <row r="858">
      <c r="A858" s="1" t="n"/>
      <c r="B858" s="20" t="n"/>
      <c r="C858" s="21" t="n"/>
      <c r="D858" s="24" t="n"/>
      <c r="E858" s="22" t="n"/>
      <c r="F858" s="1" t="n"/>
    </row>
    <row r="859">
      <c r="A859" s="1" t="n"/>
      <c r="B859" s="20" t="n"/>
      <c r="C859" s="21" t="n"/>
      <c r="D859" s="24" t="n"/>
      <c r="E859" s="22" t="n"/>
      <c r="F859" s="1" t="n"/>
    </row>
    <row r="860">
      <c r="A860" s="1" t="n"/>
      <c r="B860" s="20" t="n"/>
      <c r="C860" s="21" t="n"/>
      <c r="D860" s="24" t="n"/>
      <c r="E860" s="22" t="n"/>
      <c r="F860" s="1" t="n"/>
    </row>
    <row r="861">
      <c r="A861" s="1" t="n"/>
      <c r="B861" s="20" t="n"/>
      <c r="C861" s="21" t="n"/>
      <c r="D861" s="24" t="n"/>
      <c r="E861" s="22" t="n"/>
      <c r="F861" s="1" t="n"/>
    </row>
    <row r="862">
      <c r="A862" s="1" t="n"/>
      <c r="B862" s="20" t="n"/>
      <c r="C862" s="21" t="n"/>
      <c r="D862" s="24" t="n"/>
      <c r="E862" s="22" t="n"/>
      <c r="F862" s="1" t="n"/>
    </row>
    <row r="863">
      <c r="A863" s="1" t="n"/>
      <c r="B863" s="20" t="n"/>
      <c r="C863" s="21" t="n"/>
      <c r="D863" s="24" t="n"/>
      <c r="E863" s="22" t="n"/>
      <c r="F863" s="1" t="n"/>
    </row>
    <row r="864">
      <c r="A864" s="1" t="n"/>
      <c r="B864" s="20" t="n"/>
      <c r="C864" s="21" t="n"/>
      <c r="D864" s="24" t="n"/>
      <c r="E864" s="22" t="n"/>
      <c r="F864" s="1" t="n"/>
    </row>
    <row r="865">
      <c r="A865" s="1" t="n"/>
      <c r="B865" s="20" t="n"/>
      <c r="C865" s="21" t="n"/>
      <c r="D865" s="24" t="n"/>
      <c r="E865" s="22" t="n"/>
      <c r="F865" s="1" t="n"/>
    </row>
    <row r="866">
      <c r="A866" s="1" t="n"/>
      <c r="B866" s="20" t="n"/>
      <c r="C866" s="21" t="n"/>
      <c r="D866" s="24" t="n"/>
      <c r="E866" s="22" t="n"/>
      <c r="F866" s="1" t="n"/>
    </row>
    <row r="867">
      <c r="A867" s="1" t="n"/>
      <c r="B867" s="20" t="n"/>
      <c r="C867" s="21" t="n"/>
      <c r="D867" s="24" t="n"/>
      <c r="E867" s="22" t="n"/>
      <c r="F867" s="1" t="n"/>
    </row>
    <row r="868">
      <c r="A868" s="1" t="n"/>
      <c r="B868" s="20" t="n"/>
      <c r="C868" s="21" t="n"/>
      <c r="D868" s="24" t="n"/>
      <c r="E868" s="22" t="n"/>
      <c r="F868" s="1" t="n"/>
    </row>
    <row r="869">
      <c r="A869" s="1" t="n"/>
      <c r="B869" s="20" t="n"/>
      <c r="C869" s="21" t="n"/>
      <c r="D869" s="24" t="n"/>
      <c r="E869" s="22" t="n"/>
      <c r="F869" s="1" t="n"/>
    </row>
    <row r="870">
      <c r="A870" s="1" t="n"/>
      <c r="B870" s="20" t="n"/>
      <c r="C870" s="21" t="n"/>
      <c r="D870" s="24" t="n"/>
      <c r="E870" s="22" t="n"/>
      <c r="F870" s="1" t="n"/>
    </row>
    <row r="871">
      <c r="A871" s="1" t="n"/>
      <c r="B871" s="20" t="n"/>
      <c r="C871" s="21" t="n"/>
      <c r="D871" s="24" t="n"/>
      <c r="E871" s="22" t="n"/>
      <c r="F871" s="1" t="n"/>
    </row>
    <row r="872">
      <c r="A872" s="1" t="n"/>
      <c r="B872" s="20" t="n"/>
      <c r="C872" s="21" t="n"/>
      <c r="D872" s="24" t="n"/>
      <c r="E872" s="22" t="n"/>
      <c r="F872" s="1" t="n"/>
    </row>
    <row r="873">
      <c r="A873" s="1" t="n"/>
      <c r="B873" s="20" t="n"/>
      <c r="C873" s="21" t="n"/>
      <c r="D873" s="24" t="n"/>
      <c r="E873" s="22" t="n"/>
      <c r="F873" s="1" t="n"/>
    </row>
    <row r="874">
      <c r="A874" s="1" t="n"/>
      <c r="B874" s="20" t="n"/>
      <c r="C874" s="21" t="n"/>
      <c r="D874" s="24" t="n"/>
      <c r="E874" s="22" t="n"/>
      <c r="F874" s="1" t="n"/>
    </row>
    <row r="875">
      <c r="A875" s="1" t="n"/>
      <c r="B875" s="20" t="n"/>
      <c r="C875" s="21" t="n"/>
      <c r="D875" s="24" t="n"/>
      <c r="E875" s="22" t="n"/>
      <c r="F875" s="1" t="n"/>
    </row>
    <row r="876">
      <c r="A876" s="1" t="n"/>
      <c r="B876" s="20" t="n"/>
      <c r="C876" s="21" t="n"/>
      <c r="D876" s="24" t="n"/>
      <c r="E876" s="22" t="n"/>
      <c r="F876" s="1" t="n"/>
    </row>
    <row r="877">
      <c r="A877" s="1" t="n"/>
      <c r="B877" s="20" t="n"/>
      <c r="C877" s="21" t="n"/>
      <c r="D877" s="24" t="n"/>
      <c r="E877" s="22" t="n"/>
      <c r="F877" s="1" t="n"/>
    </row>
    <row r="878">
      <c r="A878" s="1" t="n"/>
      <c r="B878" s="20" t="n"/>
      <c r="C878" s="21" t="n"/>
      <c r="D878" s="24" t="n"/>
      <c r="E878" s="22" t="n"/>
      <c r="F878" s="1" t="n"/>
    </row>
    <row r="879">
      <c r="A879" s="1" t="n"/>
      <c r="B879" s="20" t="n"/>
      <c r="C879" s="21" t="n"/>
      <c r="D879" s="24" t="n"/>
      <c r="E879" s="22" t="n"/>
      <c r="F879" s="1" t="n"/>
    </row>
    <row r="880">
      <c r="A880" s="1" t="n"/>
      <c r="B880" s="20" t="n"/>
      <c r="C880" s="21" t="n"/>
      <c r="D880" s="24" t="n"/>
      <c r="E880" s="22" t="n"/>
      <c r="F880" s="1" t="n"/>
    </row>
    <row r="881">
      <c r="A881" s="1" t="n"/>
      <c r="B881" s="20" t="n"/>
      <c r="C881" s="21" t="n"/>
      <c r="D881" s="24" t="n"/>
      <c r="E881" s="22" t="n"/>
      <c r="F881" s="1" t="n"/>
    </row>
    <row r="882">
      <c r="A882" s="1" t="n"/>
      <c r="B882" s="20" t="n"/>
      <c r="C882" s="21" t="n"/>
      <c r="D882" s="24" t="n"/>
      <c r="E882" s="22" t="n"/>
      <c r="F882" s="1" t="n"/>
    </row>
    <row r="883">
      <c r="A883" s="1" t="n"/>
      <c r="B883" s="20" t="n"/>
      <c r="C883" s="21" t="n"/>
      <c r="D883" s="24" t="n"/>
      <c r="E883" s="22" t="n"/>
      <c r="F883" s="1" t="n"/>
    </row>
    <row r="884">
      <c r="A884" s="1" t="n"/>
      <c r="B884" s="20" t="n"/>
      <c r="C884" s="21" t="n"/>
      <c r="D884" s="24" t="n"/>
      <c r="E884" s="22" t="n"/>
      <c r="F884" s="1" t="n"/>
    </row>
    <row r="885">
      <c r="A885" s="1" t="n"/>
      <c r="B885" s="20" t="n"/>
      <c r="C885" s="21" t="n"/>
      <c r="D885" s="24" t="n"/>
      <c r="E885" s="22" t="n"/>
      <c r="F885" s="1" t="n"/>
    </row>
    <row r="886">
      <c r="A886" s="1" t="n"/>
      <c r="B886" s="20" t="n"/>
      <c r="C886" s="21" t="n"/>
      <c r="D886" s="24" t="n"/>
      <c r="E886" s="22" t="n"/>
      <c r="F886" s="1" t="n"/>
    </row>
    <row r="887">
      <c r="A887" s="1" t="n"/>
      <c r="B887" s="20" t="n"/>
      <c r="C887" s="21" t="n"/>
      <c r="D887" s="24" t="n"/>
      <c r="E887" s="22" t="n"/>
      <c r="F887" s="1" t="n"/>
    </row>
    <row r="888">
      <c r="A888" s="1" t="n"/>
      <c r="B888" s="20" t="n"/>
      <c r="C888" s="21" t="n"/>
      <c r="D888" s="24" t="n"/>
      <c r="E888" s="22" t="n"/>
      <c r="F888" s="1" t="n"/>
    </row>
    <row r="889">
      <c r="A889" s="1" t="n"/>
      <c r="B889" s="20" t="n"/>
      <c r="C889" s="21" t="n"/>
      <c r="D889" s="24" t="n"/>
      <c r="E889" s="22" t="n"/>
      <c r="F889" s="1" t="n"/>
    </row>
    <row r="890">
      <c r="A890" s="1" t="n"/>
      <c r="B890" s="20" t="n"/>
      <c r="C890" s="21" t="n"/>
      <c r="D890" s="24" t="n"/>
      <c r="E890" s="22" t="n"/>
      <c r="F890" s="1" t="n"/>
    </row>
    <row r="891">
      <c r="A891" s="1" t="n"/>
      <c r="B891" s="20" t="n"/>
      <c r="C891" s="21" t="n"/>
      <c r="D891" s="24" t="n"/>
      <c r="E891" s="22" t="n"/>
      <c r="F891" s="1" t="n"/>
    </row>
    <row r="892">
      <c r="A892" s="1" t="n"/>
      <c r="B892" s="20" t="n"/>
      <c r="C892" s="21" t="n"/>
      <c r="D892" s="24" t="n"/>
      <c r="E892" s="22" t="n"/>
      <c r="F892" s="1" t="n"/>
    </row>
    <row r="893">
      <c r="A893" s="1" t="n"/>
      <c r="B893" s="20" t="n"/>
      <c r="C893" s="21" t="n"/>
      <c r="D893" s="24" t="n"/>
      <c r="E893" s="22" t="n"/>
      <c r="F893" s="1" t="n"/>
    </row>
    <row r="894">
      <c r="A894" s="1" t="n"/>
      <c r="B894" s="20" t="n"/>
      <c r="C894" s="21" t="n"/>
      <c r="D894" s="24" t="n"/>
      <c r="E894" s="22" t="n"/>
      <c r="F894" s="1" t="n"/>
    </row>
    <row r="895">
      <c r="A895" s="1" t="n"/>
      <c r="B895" s="20" t="n"/>
      <c r="C895" s="21" t="n"/>
      <c r="D895" s="24" t="n"/>
      <c r="E895" s="22" t="n"/>
      <c r="F895" s="1" t="n"/>
    </row>
    <row r="896">
      <c r="A896" s="1" t="n"/>
      <c r="B896" s="20" t="n"/>
      <c r="C896" s="21" t="n"/>
      <c r="D896" s="24" t="n"/>
      <c r="E896" s="22" t="n"/>
      <c r="F896" s="1" t="n"/>
    </row>
    <row r="897">
      <c r="A897" s="1" t="n"/>
      <c r="B897" s="20" t="n"/>
      <c r="C897" s="21" t="n"/>
      <c r="D897" s="24" t="n"/>
      <c r="E897" s="22" t="n"/>
      <c r="F897" s="1" t="n"/>
    </row>
    <row r="898">
      <c r="A898" s="1" t="n"/>
      <c r="B898" s="20" t="n"/>
      <c r="C898" s="21" t="n"/>
      <c r="D898" s="24" t="n"/>
      <c r="E898" s="22" t="n"/>
      <c r="F898" s="1" t="n"/>
    </row>
    <row r="899">
      <c r="A899" s="1" t="n"/>
      <c r="B899" s="20" t="n"/>
      <c r="C899" s="21" t="n"/>
      <c r="D899" s="24" t="n"/>
      <c r="E899" s="22" t="n"/>
      <c r="F899" s="1" t="n"/>
    </row>
    <row r="900">
      <c r="A900" s="1" t="n"/>
      <c r="B900" s="20" t="n"/>
      <c r="C900" s="21" t="n"/>
      <c r="D900" s="24" t="n"/>
      <c r="E900" s="22" t="n"/>
      <c r="F900" s="1" t="n"/>
    </row>
    <row r="901">
      <c r="A901" s="1" t="n"/>
      <c r="B901" s="20" t="n"/>
      <c r="C901" s="21" t="n"/>
      <c r="D901" s="24" t="n"/>
      <c r="E901" s="22" t="n"/>
      <c r="F901" s="1" t="n"/>
    </row>
    <row r="902">
      <c r="A902" s="1" t="n"/>
      <c r="B902" s="20" t="n"/>
      <c r="C902" s="21" t="n"/>
      <c r="D902" s="24" t="n"/>
      <c r="E902" s="22" t="n"/>
      <c r="F902" s="1" t="n"/>
    </row>
    <row r="903">
      <c r="A903" s="1" t="n"/>
      <c r="B903" s="20" t="n"/>
      <c r="C903" s="21" t="n"/>
      <c r="D903" s="24" t="n"/>
      <c r="E903" s="22" t="n"/>
      <c r="F903" s="1" t="n"/>
    </row>
    <row r="904">
      <c r="A904" s="1" t="n"/>
      <c r="B904" s="20" t="n"/>
      <c r="C904" s="21" t="n"/>
      <c r="D904" s="24" t="n"/>
      <c r="E904" s="22" t="n"/>
      <c r="F904" s="1" t="n"/>
    </row>
    <row r="905">
      <c r="A905" s="1" t="n"/>
      <c r="B905" s="20" t="n"/>
      <c r="C905" s="21" t="n"/>
      <c r="D905" s="24" t="n"/>
      <c r="E905" s="22" t="n"/>
      <c r="F905" s="1" t="n"/>
    </row>
    <row r="906">
      <c r="A906" s="1" t="n"/>
      <c r="B906" s="20" t="n"/>
      <c r="C906" s="21" t="n"/>
      <c r="D906" s="24" t="n"/>
      <c r="E906" s="22" t="n"/>
      <c r="F906" s="1" t="n"/>
    </row>
    <row r="907">
      <c r="A907" s="1" t="n"/>
      <c r="B907" s="20" t="n"/>
      <c r="C907" s="21" t="n"/>
      <c r="D907" s="24" t="n"/>
      <c r="E907" s="22" t="n"/>
      <c r="F907" s="1" t="n"/>
    </row>
    <row r="908">
      <c r="A908" s="1" t="n"/>
      <c r="B908" s="20" t="n"/>
      <c r="C908" s="21" t="n"/>
      <c r="D908" s="24" t="n"/>
      <c r="E908" s="22" t="n"/>
      <c r="F908" s="1" t="n"/>
    </row>
    <row r="909">
      <c r="A909" s="1" t="n"/>
      <c r="B909" s="20" t="n"/>
      <c r="C909" s="21" t="n"/>
      <c r="D909" s="24" t="n"/>
      <c r="E909" s="22" t="n"/>
      <c r="F909" s="1" t="n"/>
    </row>
    <row r="910">
      <c r="A910" s="1" t="n"/>
      <c r="B910" s="20" t="n"/>
      <c r="C910" s="21" t="n"/>
      <c r="D910" s="24" t="n"/>
      <c r="E910" s="22" t="n"/>
      <c r="F910" s="1" t="n"/>
    </row>
    <row r="911">
      <c r="A911" s="1" t="n"/>
      <c r="B911" s="20" t="n"/>
      <c r="C911" s="21" t="n"/>
      <c r="D911" s="24" t="n"/>
      <c r="E911" s="22" t="n"/>
      <c r="F911" s="1" t="n"/>
    </row>
    <row r="912">
      <c r="A912" s="1" t="n"/>
      <c r="B912" s="20" t="n"/>
      <c r="C912" s="21" t="n"/>
      <c r="D912" s="24" t="n"/>
      <c r="E912" s="22" t="n"/>
      <c r="F912" s="1" t="n"/>
    </row>
    <row r="913">
      <c r="A913" s="1" t="n"/>
      <c r="B913" s="20" t="n"/>
      <c r="C913" s="21" t="n"/>
      <c r="D913" s="24" t="n"/>
      <c r="E913" s="22" t="n"/>
      <c r="F913" s="1" t="n"/>
    </row>
    <row r="914">
      <c r="A914" s="1" t="n"/>
      <c r="B914" s="20" t="n"/>
      <c r="C914" s="21" t="n"/>
      <c r="D914" s="24" t="n"/>
      <c r="E914" s="22" t="n"/>
      <c r="F914" s="1" t="n"/>
    </row>
    <row r="915">
      <c r="A915" s="1" t="n"/>
      <c r="B915" s="20" t="n"/>
      <c r="C915" s="21" t="n"/>
      <c r="D915" s="24" t="n"/>
      <c r="E915" s="22" t="n"/>
      <c r="F915" s="1" t="n"/>
    </row>
    <row r="916">
      <c r="A916" s="1" t="n"/>
      <c r="B916" s="20" t="n"/>
      <c r="C916" s="21" t="n"/>
      <c r="D916" s="24" t="n"/>
      <c r="E916" s="22" t="n"/>
      <c r="F916" s="1" t="n"/>
    </row>
    <row r="917">
      <c r="A917" s="1" t="n"/>
      <c r="B917" s="20" t="n"/>
      <c r="C917" s="21" t="n"/>
      <c r="D917" s="24" t="n"/>
      <c r="E917" s="22" t="n"/>
      <c r="F917" s="1" t="n"/>
    </row>
    <row r="918">
      <c r="A918" s="1" t="n"/>
      <c r="B918" s="20" t="n"/>
      <c r="C918" s="21" t="n"/>
      <c r="D918" s="24" t="n"/>
      <c r="E918" s="22" t="n"/>
      <c r="F918" s="1" t="n"/>
    </row>
    <row r="919">
      <c r="A919" s="1" t="n"/>
      <c r="B919" s="20" t="n"/>
      <c r="C919" s="21" t="n"/>
      <c r="D919" s="24" t="n"/>
      <c r="E919" s="22" t="n"/>
      <c r="F919" s="1" t="n"/>
    </row>
    <row r="920">
      <c r="A920" s="1" t="n"/>
      <c r="B920" s="20" t="n"/>
      <c r="C920" s="21" t="n"/>
      <c r="D920" s="24" t="n"/>
      <c r="E920" s="22" t="n"/>
      <c r="F920" s="1" t="n"/>
    </row>
    <row r="921">
      <c r="A921" s="1" t="n"/>
      <c r="B921" s="20" t="n"/>
      <c r="C921" s="21" t="n"/>
      <c r="D921" s="24" t="n"/>
      <c r="E921" s="22" t="n"/>
      <c r="F921" s="1" t="n"/>
    </row>
    <row r="922">
      <c r="A922" s="1" t="n"/>
      <c r="B922" s="20" t="n"/>
      <c r="C922" s="21" t="n"/>
      <c r="D922" s="24" t="n"/>
      <c r="E922" s="22" t="n"/>
      <c r="F922" s="1" t="n"/>
    </row>
    <row r="923">
      <c r="A923" s="1" t="n"/>
      <c r="B923" s="20" t="n"/>
      <c r="C923" s="21" t="n"/>
      <c r="D923" s="24" t="n"/>
      <c r="E923" s="22" t="n"/>
      <c r="F923" s="1" t="n"/>
    </row>
    <row r="924">
      <c r="A924" s="1" t="n"/>
      <c r="B924" s="20" t="n"/>
      <c r="C924" s="21" t="n"/>
      <c r="D924" s="24" t="n"/>
      <c r="E924" s="22" t="n"/>
      <c r="F924" s="1" t="n"/>
    </row>
    <row r="925">
      <c r="A925" s="1" t="n"/>
      <c r="B925" s="20" t="n"/>
      <c r="C925" s="21" t="n"/>
      <c r="D925" s="24" t="n"/>
      <c r="E925" s="22" t="n"/>
      <c r="F925" s="1" t="n"/>
    </row>
    <row r="926">
      <c r="A926" s="1" t="n"/>
      <c r="B926" s="20" t="n"/>
      <c r="C926" s="21" t="n"/>
      <c r="D926" s="24" t="n"/>
      <c r="E926" s="22" t="n"/>
      <c r="F926" s="1" t="n"/>
    </row>
    <row r="927">
      <c r="A927" s="1" t="n"/>
      <c r="B927" s="20" t="n"/>
      <c r="C927" s="21" t="n"/>
      <c r="D927" s="24" t="n"/>
      <c r="E927" s="22" t="n"/>
      <c r="F927" s="1" t="n"/>
    </row>
    <row r="928">
      <c r="A928" s="1" t="n"/>
      <c r="B928" s="20" t="n"/>
      <c r="C928" s="21" t="n"/>
      <c r="D928" s="24" t="n"/>
      <c r="E928" s="22" t="n"/>
      <c r="F928" s="1" t="n"/>
    </row>
    <row r="929">
      <c r="A929" s="1" t="n"/>
      <c r="B929" s="20" t="n"/>
      <c r="C929" s="21" t="n"/>
      <c r="D929" s="24" t="n"/>
      <c r="E929" s="22" t="n"/>
      <c r="F929" s="1" t="n"/>
    </row>
    <row r="930">
      <c r="A930" s="1" t="n"/>
      <c r="B930" s="20" t="n"/>
      <c r="C930" s="21" t="n"/>
      <c r="D930" s="24" t="n"/>
      <c r="E930" s="22" t="n"/>
      <c r="F930" s="1" t="n"/>
    </row>
    <row r="931">
      <c r="A931" s="1" t="n"/>
      <c r="B931" s="20" t="n"/>
      <c r="C931" s="21" t="n"/>
      <c r="D931" s="24" t="n"/>
      <c r="E931" s="22" t="n"/>
      <c r="F931" s="1" t="n"/>
    </row>
    <row r="932">
      <c r="A932" s="1" t="n"/>
      <c r="B932" s="20" t="n"/>
      <c r="C932" s="21" t="n"/>
      <c r="D932" s="24" t="n"/>
      <c r="E932" s="22" t="n"/>
      <c r="F932" s="1" t="n"/>
    </row>
    <row r="933">
      <c r="A933" s="1" t="n"/>
      <c r="B933" s="20" t="n"/>
      <c r="C933" s="21" t="n"/>
      <c r="D933" s="24" t="n"/>
      <c r="E933" s="22" t="n"/>
      <c r="F933" s="1" t="n"/>
    </row>
    <row r="934">
      <c r="A934" s="1" t="n"/>
      <c r="B934" s="20" t="n"/>
      <c r="C934" s="21" t="n"/>
      <c r="D934" s="24" t="n"/>
      <c r="E934" s="22" t="n"/>
      <c r="F934" s="1" t="n"/>
    </row>
    <row r="935">
      <c r="A935" s="1" t="n"/>
      <c r="B935" s="20" t="n"/>
      <c r="C935" s="21" t="n"/>
      <c r="D935" s="24" t="n"/>
      <c r="E935" s="22" t="n"/>
      <c r="F935" s="1" t="n"/>
    </row>
    <row r="936">
      <c r="A936" s="1" t="n"/>
      <c r="B936" s="20" t="n"/>
      <c r="C936" s="21" t="n"/>
      <c r="D936" s="24" t="n"/>
      <c r="E936" s="22" t="n"/>
      <c r="F936" s="1" t="n"/>
    </row>
    <row r="937">
      <c r="A937" s="1" t="n"/>
      <c r="B937" s="20" t="n"/>
      <c r="C937" s="21" t="n"/>
      <c r="D937" s="24" t="n"/>
      <c r="E937" s="22" t="n"/>
      <c r="F937" s="1" t="n"/>
    </row>
    <row r="938">
      <c r="A938" s="1" t="n"/>
      <c r="B938" s="20" t="n"/>
      <c r="C938" s="21" t="n"/>
      <c r="D938" s="24" t="n"/>
      <c r="E938" s="22" t="n"/>
      <c r="F938" s="1" t="n"/>
    </row>
    <row r="939">
      <c r="A939" s="1" t="n"/>
      <c r="B939" s="20" t="n"/>
      <c r="C939" s="21" t="n"/>
      <c r="D939" s="24" t="n"/>
      <c r="E939" s="22" t="n"/>
      <c r="F939" s="1" t="n"/>
    </row>
    <row r="940">
      <c r="A940" s="1" t="n"/>
      <c r="B940" s="20" t="n"/>
      <c r="C940" s="21" t="n"/>
      <c r="D940" s="24" t="n"/>
      <c r="E940" s="22" t="n"/>
      <c r="F940" s="1" t="n"/>
    </row>
    <row r="941">
      <c r="A941" s="1" t="n"/>
      <c r="B941" s="20" t="n"/>
      <c r="C941" s="21" t="n"/>
      <c r="D941" s="24" t="n"/>
      <c r="E941" s="22" t="n"/>
      <c r="F941" s="1" t="n"/>
    </row>
    <row r="942">
      <c r="A942" s="1" t="n"/>
      <c r="B942" s="20" t="n"/>
      <c r="C942" s="21" t="n"/>
      <c r="D942" s="24" t="n"/>
      <c r="E942" s="22" t="n"/>
      <c r="F942" s="1" t="n"/>
    </row>
    <row r="943">
      <c r="A943" s="1" t="n"/>
      <c r="B943" s="20" t="n"/>
      <c r="C943" s="21" t="n"/>
      <c r="D943" s="24" t="n"/>
      <c r="E943" s="22" t="n"/>
      <c r="F943" s="1" t="n"/>
    </row>
    <row r="944">
      <c r="A944" s="1" t="n"/>
      <c r="B944" s="20" t="n"/>
      <c r="C944" s="21" t="n"/>
      <c r="D944" s="24" t="n"/>
      <c r="E944" s="22" t="n"/>
      <c r="F944" s="1" t="n"/>
    </row>
    <row r="945">
      <c r="A945" s="1" t="n"/>
      <c r="B945" s="20" t="n"/>
      <c r="C945" s="21" t="n"/>
      <c r="D945" s="24" t="n"/>
      <c r="E945" s="22" t="n"/>
      <c r="F945" s="1" t="n"/>
    </row>
    <row r="946">
      <c r="A946" s="1" t="n"/>
      <c r="B946" s="20" t="n"/>
      <c r="C946" s="21" t="n"/>
      <c r="D946" s="24" t="n"/>
      <c r="E946" s="22" t="n"/>
      <c r="F946" s="1" t="n"/>
    </row>
    <row r="947">
      <c r="A947" s="1" t="n"/>
      <c r="B947" s="20" t="n"/>
      <c r="C947" s="21" t="n"/>
      <c r="D947" s="24" t="n"/>
      <c r="E947" s="22" t="n"/>
      <c r="F947" s="1" t="n"/>
    </row>
    <row r="948">
      <c r="A948" s="1" t="n"/>
      <c r="B948" s="20" t="n"/>
      <c r="C948" s="21" t="n"/>
      <c r="D948" s="24" t="n"/>
      <c r="E948" s="22" t="n"/>
      <c r="F948" s="1" t="n"/>
    </row>
    <row r="949">
      <c r="A949" s="1" t="n"/>
      <c r="B949" s="20" t="n"/>
      <c r="C949" s="21" t="n"/>
      <c r="D949" s="24" t="n"/>
      <c r="E949" s="22" t="n"/>
      <c r="F949" s="1" t="n"/>
    </row>
    <row r="950">
      <c r="A950" s="1" t="n"/>
      <c r="B950" s="20" t="n"/>
      <c r="C950" s="21" t="n"/>
      <c r="D950" s="24" t="n"/>
      <c r="E950" s="22" t="n"/>
      <c r="F950" s="1" t="n"/>
    </row>
    <row r="951">
      <c r="A951" s="1" t="n"/>
      <c r="B951" s="20" t="n"/>
      <c r="C951" s="21" t="n"/>
      <c r="D951" s="24" t="n"/>
      <c r="E951" s="22" t="n"/>
      <c r="F951" s="1" t="n"/>
    </row>
    <row r="952">
      <c r="A952" s="1" t="n"/>
      <c r="B952" s="20" t="n"/>
      <c r="C952" s="21" t="n"/>
      <c r="D952" s="24" t="n"/>
      <c r="E952" s="22" t="n"/>
      <c r="F952" s="1" t="n"/>
    </row>
    <row r="953">
      <c r="A953" s="1" t="n"/>
      <c r="B953" s="20" t="n"/>
      <c r="C953" s="21" t="n"/>
      <c r="D953" s="24" t="n"/>
      <c r="E953" s="22" t="n"/>
      <c r="F953" s="1" t="n"/>
    </row>
    <row r="954">
      <c r="A954" s="1" t="n"/>
      <c r="B954" s="20" t="n"/>
      <c r="C954" s="21" t="n"/>
      <c r="D954" s="24" t="n"/>
      <c r="E954" s="22" t="n"/>
      <c r="F954" s="1" t="n"/>
    </row>
    <row r="955">
      <c r="A955" s="1" t="n"/>
      <c r="B955" s="20" t="n"/>
      <c r="C955" s="21" t="n"/>
      <c r="D955" s="24" t="n"/>
      <c r="E955" s="22" t="n"/>
      <c r="F955" s="1" t="n"/>
    </row>
    <row r="956">
      <c r="A956" s="1" t="n"/>
      <c r="B956" s="20" t="n"/>
      <c r="C956" s="21" t="n"/>
      <c r="D956" s="24" t="n"/>
      <c r="E956" s="22" t="n"/>
      <c r="F956" s="1" t="n"/>
    </row>
    <row r="957">
      <c r="A957" s="1" t="n"/>
      <c r="B957" s="20" t="n"/>
      <c r="C957" s="21" t="n"/>
      <c r="D957" s="24" t="n"/>
      <c r="E957" s="22" t="n"/>
      <c r="F957" s="1" t="n"/>
    </row>
    <row r="958">
      <c r="A958" s="1" t="n"/>
      <c r="B958" s="20" t="n"/>
      <c r="C958" s="21" t="n"/>
      <c r="D958" s="24" t="n"/>
      <c r="E958" s="22" t="n"/>
      <c r="F958" s="1" t="n"/>
    </row>
    <row r="959">
      <c r="A959" s="1" t="n"/>
      <c r="B959" s="20" t="n"/>
      <c r="C959" s="21" t="n"/>
      <c r="D959" s="24" t="n"/>
      <c r="E959" s="22" t="n"/>
      <c r="F959" s="1" t="n"/>
    </row>
    <row r="960">
      <c r="A960" s="1" t="n"/>
      <c r="B960" s="20" t="n"/>
      <c r="C960" s="21" t="n"/>
      <c r="D960" s="24" t="n"/>
      <c r="E960" s="22" t="n"/>
      <c r="F960" s="1" t="n"/>
    </row>
    <row r="961">
      <c r="A961" s="1" t="n"/>
      <c r="B961" s="20" t="n"/>
      <c r="C961" s="21" t="n"/>
      <c r="D961" s="24" t="n"/>
      <c r="E961" s="22" t="n"/>
      <c r="F961" s="1" t="n"/>
    </row>
    <row r="962">
      <c r="A962" s="1" t="n"/>
      <c r="B962" s="20" t="n"/>
      <c r="C962" s="21" t="n"/>
      <c r="D962" s="24" t="n"/>
      <c r="E962" s="22" t="n"/>
      <c r="F962" s="1" t="n"/>
    </row>
    <row r="963">
      <c r="A963" s="1" t="n"/>
      <c r="B963" s="20" t="n"/>
      <c r="C963" s="21" t="n"/>
      <c r="D963" s="24" t="n"/>
      <c r="E963" s="22" t="n"/>
      <c r="F963" s="1" t="n"/>
    </row>
    <row r="964">
      <c r="A964" s="1" t="n"/>
      <c r="B964" s="20" t="n"/>
      <c r="C964" s="21" t="n"/>
      <c r="D964" s="24" t="n"/>
      <c r="E964" s="22" t="n"/>
      <c r="F964" s="1" t="n"/>
    </row>
    <row r="965">
      <c r="A965" s="1" t="n"/>
      <c r="B965" s="20" t="n"/>
      <c r="C965" s="21" t="n"/>
      <c r="D965" s="24" t="n"/>
      <c r="E965" s="22" t="n"/>
      <c r="F965" s="1" t="n"/>
    </row>
    <row r="966">
      <c r="A966" s="1" t="n"/>
      <c r="B966" s="20" t="n"/>
      <c r="C966" s="21" t="n"/>
      <c r="D966" s="24" t="n"/>
      <c r="E966" s="22" t="n"/>
      <c r="F966" s="1" t="n"/>
    </row>
    <row r="967">
      <c r="A967" s="1" t="n"/>
      <c r="B967" s="20" t="n"/>
      <c r="C967" s="21" t="n"/>
      <c r="D967" s="24" t="n"/>
      <c r="E967" s="22" t="n"/>
      <c r="F967" s="1" t="n"/>
    </row>
    <row r="968">
      <c r="A968" s="1" t="n"/>
      <c r="B968" s="20" t="n"/>
      <c r="C968" s="21" t="n"/>
      <c r="D968" s="24" t="n"/>
      <c r="E968" s="22" t="n"/>
      <c r="F968" s="1" t="n"/>
    </row>
    <row r="969">
      <c r="A969" s="1" t="n"/>
      <c r="B969" s="20" t="n"/>
      <c r="C969" s="21" t="n"/>
      <c r="D969" s="24" t="n"/>
      <c r="E969" s="22" t="n"/>
      <c r="F969" s="1" t="n"/>
    </row>
    <row r="970">
      <c r="A970" s="1" t="n"/>
      <c r="B970" s="20" t="n"/>
      <c r="C970" s="21" t="n"/>
      <c r="D970" s="24" t="n"/>
      <c r="E970" s="22" t="n"/>
      <c r="F970" s="1" t="n"/>
    </row>
    <row r="971">
      <c r="A971" s="1" t="n"/>
      <c r="B971" s="20" t="n"/>
      <c r="C971" s="21" t="n"/>
      <c r="D971" s="24" t="n"/>
      <c r="E971" s="22" t="n"/>
      <c r="F971" s="1" t="n"/>
    </row>
    <row r="972">
      <c r="A972" s="1" t="n"/>
      <c r="B972" s="20" t="n"/>
      <c r="C972" s="21" t="n"/>
      <c r="D972" s="24" t="n"/>
      <c r="E972" s="22" t="n"/>
      <c r="F972" s="1" t="n"/>
    </row>
    <row r="973">
      <c r="A973" s="1" t="n"/>
      <c r="B973" s="20" t="n"/>
      <c r="C973" s="21" t="n"/>
      <c r="D973" s="24" t="n"/>
      <c r="E973" s="22" t="n"/>
      <c r="F973" s="1" t="n"/>
    </row>
    <row r="974">
      <c r="A974" s="1" t="n"/>
      <c r="B974" s="20" t="n"/>
      <c r="C974" s="21" t="n"/>
      <c r="D974" s="24" t="n"/>
      <c r="E974" s="22" t="n"/>
      <c r="F974" s="1" t="n"/>
    </row>
    <row r="975">
      <c r="A975" s="1" t="n"/>
      <c r="B975" s="20" t="n"/>
      <c r="C975" s="21" t="n"/>
      <c r="D975" s="24" t="n"/>
      <c r="E975" s="22" t="n"/>
      <c r="F975" s="1" t="n"/>
    </row>
    <row r="976">
      <c r="A976" s="1" t="n"/>
      <c r="B976" s="20" t="n"/>
      <c r="C976" s="21" t="n"/>
      <c r="D976" s="24" t="n"/>
      <c r="E976" s="22" t="n"/>
      <c r="F976" s="1" t="n"/>
    </row>
    <row r="977">
      <c r="A977" s="1" t="n"/>
      <c r="B977" s="20" t="n"/>
      <c r="C977" s="21" t="n"/>
      <c r="D977" s="24" t="n"/>
      <c r="E977" s="22" t="n"/>
      <c r="F977" s="1" t="n"/>
    </row>
    <row r="978">
      <c r="A978" s="1" t="n"/>
      <c r="B978" s="20" t="n"/>
      <c r="C978" s="21" t="n"/>
      <c r="D978" s="24" t="n"/>
      <c r="E978" s="22" t="n"/>
      <c r="F978" s="1" t="n"/>
    </row>
    <row r="979">
      <c r="A979" s="1" t="n"/>
      <c r="B979" s="20" t="n"/>
      <c r="C979" s="21" t="n"/>
      <c r="D979" s="24" t="n"/>
      <c r="E979" s="22" t="n"/>
      <c r="F979" s="1" t="n"/>
    </row>
    <row r="980">
      <c r="A980" s="1" t="n"/>
      <c r="B980" s="20" t="n"/>
      <c r="C980" s="21" t="n"/>
      <c r="D980" s="24" t="n"/>
      <c r="E980" s="22" t="n"/>
      <c r="F980" s="1" t="n"/>
    </row>
    <row r="981">
      <c r="A981" s="1" t="n"/>
      <c r="B981" s="20" t="n"/>
      <c r="C981" s="21" t="n"/>
      <c r="D981" s="24" t="n"/>
      <c r="E981" s="22" t="n"/>
      <c r="F981" s="1" t="n"/>
    </row>
    <row r="982">
      <c r="A982" s="1" t="n"/>
      <c r="B982" s="20" t="n"/>
      <c r="C982" s="21" t="n"/>
      <c r="D982" s="24" t="n"/>
      <c r="E982" s="22" t="n"/>
      <c r="F982" s="1" t="n"/>
    </row>
    <row r="983">
      <c r="A983" s="1" t="n"/>
      <c r="B983" s="20" t="n"/>
      <c r="C983" s="21" t="n"/>
      <c r="D983" s="24" t="n"/>
      <c r="E983" s="22" t="n"/>
      <c r="F983" s="1" t="n"/>
    </row>
    <row r="984">
      <c r="A984" s="1" t="n"/>
      <c r="B984" s="20" t="n"/>
      <c r="C984" s="21" t="n"/>
      <c r="D984" s="24" t="n"/>
      <c r="E984" s="22" t="n"/>
      <c r="F984" s="1" t="n"/>
    </row>
    <row r="985">
      <c r="A985" s="1" t="n"/>
      <c r="B985" s="20" t="n"/>
      <c r="C985" s="21" t="n"/>
      <c r="D985" s="24" t="n"/>
      <c r="E985" s="22" t="n"/>
      <c r="F985" s="1" t="n"/>
    </row>
    <row r="986">
      <c r="A986" s="1" t="n"/>
      <c r="B986" s="20" t="n"/>
      <c r="C986" s="21" t="n"/>
      <c r="D986" s="24" t="n"/>
      <c r="E986" s="22" t="n"/>
      <c r="F986" s="1" t="n"/>
    </row>
    <row r="987">
      <c r="A987" s="1" t="n"/>
      <c r="B987" s="20" t="n"/>
      <c r="C987" s="21" t="n"/>
      <c r="D987" s="24" t="n"/>
      <c r="E987" s="22" t="n"/>
      <c r="F987" s="1" t="n"/>
    </row>
    <row r="988">
      <c r="A988" s="1" t="n"/>
      <c r="B988" s="20" t="n"/>
      <c r="C988" s="21" t="n"/>
      <c r="D988" s="24" t="n"/>
      <c r="E988" s="22" t="n"/>
      <c r="F988" s="1" t="n"/>
    </row>
    <row r="989">
      <c r="A989" s="1" t="n"/>
      <c r="B989" s="20" t="n"/>
      <c r="C989" s="21" t="n"/>
      <c r="D989" s="24" t="n"/>
      <c r="E989" s="22" t="n"/>
      <c r="F989" s="1" t="n"/>
    </row>
    <row r="990">
      <c r="A990" s="1" t="n"/>
      <c r="B990" s="20" t="n"/>
      <c r="C990" s="21" t="n"/>
      <c r="D990" s="24" t="n"/>
      <c r="E990" s="22" t="n"/>
      <c r="F990" s="1" t="n"/>
    </row>
    <row r="991">
      <c r="A991" s="1" t="n"/>
      <c r="B991" s="20" t="n"/>
      <c r="C991" s="21" t="n"/>
      <c r="D991" s="24" t="n"/>
      <c r="E991" s="22" t="n"/>
      <c r="F991" s="1" t="n"/>
    </row>
    <row r="992">
      <c r="A992" s="1" t="n"/>
      <c r="B992" s="20" t="n"/>
      <c r="C992" s="21" t="n"/>
      <c r="D992" s="24" t="n"/>
      <c r="E992" s="22" t="n"/>
      <c r="F992" s="1" t="n"/>
    </row>
    <row r="993">
      <c r="A993" s="1" t="n"/>
      <c r="B993" s="20" t="n"/>
      <c r="C993" s="21" t="n"/>
      <c r="D993" s="24" t="n"/>
      <c r="E993" s="22" t="n"/>
      <c r="F993" s="1" t="n"/>
    </row>
    <row r="994">
      <c r="A994" s="1" t="n"/>
      <c r="B994" s="20" t="n"/>
      <c r="C994" s="21" t="n"/>
      <c r="D994" s="24" t="n"/>
      <c r="E994" s="22" t="n"/>
      <c r="F994" s="1" t="n"/>
    </row>
    <row r="995">
      <c r="A995" s="1" t="n"/>
      <c r="B995" s="20" t="n"/>
      <c r="C995" s="21" t="n"/>
      <c r="D995" s="24" t="n"/>
      <c r="E995" s="22" t="n"/>
      <c r="F995" s="1" t="n"/>
    </row>
    <row r="996">
      <c r="A996" s="1" t="n"/>
      <c r="B996" s="20" t="n"/>
      <c r="C996" s="21" t="n"/>
      <c r="D996" s="24" t="n"/>
      <c r="E996" s="22" t="n"/>
      <c r="F996" s="1" t="n"/>
    </row>
    <row r="997">
      <c r="A997" s="1" t="n"/>
      <c r="B997" s="20" t="n"/>
      <c r="C997" s="21" t="n"/>
      <c r="D997" s="24" t="n"/>
      <c r="E997" s="22" t="n"/>
      <c r="F997" s="1" t="n"/>
    </row>
    <row r="998">
      <c r="A998" s="1" t="n"/>
      <c r="B998" s="20" t="n"/>
      <c r="C998" s="21" t="n"/>
      <c r="D998" s="24" t="n"/>
      <c r="E998" s="22" t="n"/>
      <c r="F998" s="1" t="n"/>
    </row>
    <row r="999">
      <c r="A999" s="1" t="n"/>
      <c r="B999" s="20" t="n"/>
      <c r="C999" s="21" t="n"/>
      <c r="D999" s="24" t="n"/>
      <c r="E999" s="22" t="n"/>
      <c r="F999" s="1" t="n"/>
    </row>
    <row r="1000">
      <c r="A1000" s="1" t="n"/>
      <c r="B1000" s="20" t="n"/>
      <c r="C1000" s="21" t="n"/>
      <c r="D1000" s="24" t="n"/>
      <c r="E1000" s="22" t="n"/>
      <c r="F1000" s="1" t="n"/>
    </row>
    <row r="1001">
      <c r="A1001" s="1" t="n"/>
      <c r="B1001" s="20" t="n"/>
      <c r="C1001" s="21" t="n"/>
      <c r="D1001" s="24" t="n"/>
      <c r="E1001" s="22" t="n"/>
      <c r="F1001" s="1" t="n"/>
    </row>
    <row r="1002">
      <c r="A1002" s="1" t="n"/>
      <c r="B1002" s="20" t="n"/>
      <c r="C1002" s="21" t="n"/>
      <c r="D1002" s="24" t="n"/>
      <c r="E1002" s="22" t="n"/>
      <c r="F1002" s="1" t="n"/>
    </row>
    <row r="1003">
      <c r="A1003" s="1" t="n"/>
      <c r="B1003" s="20" t="n"/>
      <c r="C1003" s="21" t="n"/>
      <c r="D1003" s="24" t="n"/>
      <c r="E1003" s="22" t="n"/>
      <c r="F1003" s="1" t="n"/>
    </row>
    <row r="1004">
      <c r="A1004" s="1" t="n"/>
      <c r="B1004" s="20" t="n"/>
      <c r="C1004" s="21" t="n"/>
      <c r="D1004" s="24" t="n"/>
      <c r="E1004" s="22" t="n"/>
      <c r="F1004" s="1" t="n"/>
    </row>
    <row r="1005">
      <c r="A1005" s="1" t="n"/>
      <c r="B1005" s="20" t="n"/>
      <c r="C1005" s="21" t="n"/>
      <c r="D1005" s="24" t="n"/>
      <c r="E1005" s="22" t="n"/>
      <c r="F1005" s="1" t="n"/>
    </row>
    <row r="1006">
      <c r="A1006" s="1" t="n"/>
      <c r="B1006" s="20" t="n"/>
      <c r="C1006" s="21" t="n"/>
      <c r="D1006" s="24" t="n"/>
      <c r="E1006" s="22" t="n"/>
      <c r="F1006" s="1" t="n"/>
    </row>
    <row r="1007">
      <c r="A1007" s="1" t="n"/>
      <c r="B1007" s="20" t="n"/>
      <c r="C1007" s="21" t="n"/>
      <c r="D1007" s="24" t="n"/>
      <c r="E1007" s="22" t="n"/>
      <c r="F1007" s="1" t="n"/>
    </row>
    <row r="1008">
      <c r="A1008" s="1" t="n"/>
      <c r="B1008" s="20" t="n"/>
      <c r="C1008" s="21" t="n"/>
      <c r="D1008" s="24" t="n"/>
      <c r="E1008" s="22" t="n"/>
      <c r="F1008" s="1" t="n"/>
    </row>
    <row r="1009">
      <c r="A1009" s="1" t="n"/>
      <c r="B1009" s="20" t="n"/>
      <c r="C1009" s="21" t="n"/>
      <c r="D1009" s="24" t="n"/>
      <c r="E1009" s="22" t="n"/>
      <c r="F1009" s="1" t="n"/>
    </row>
    <row r="1010">
      <c r="A1010" s="1" t="n"/>
      <c r="B1010" s="20" t="n"/>
      <c r="C1010" s="21" t="n"/>
      <c r="D1010" s="24" t="n"/>
      <c r="E1010" s="22" t="n"/>
      <c r="F1010" s="1" t="n"/>
    </row>
    <row r="1011">
      <c r="A1011" s="1" t="n"/>
      <c r="B1011" s="20" t="n"/>
      <c r="C1011" s="21" t="n"/>
      <c r="D1011" s="24" t="n"/>
      <c r="E1011" s="22" t="n"/>
      <c r="F1011" s="1" t="n"/>
    </row>
    <row r="1012">
      <c r="A1012" s="1" t="n"/>
      <c r="B1012" s="20" t="n"/>
      <c r="C1012" s="21" t="n"/>
      <c r="D1012" s="24" t="n"/>
      <c r="E1012" s="22" t="n"/>
      <c r="F1012" s="1" t="n"/>
    </row>
    <row r="1013">
      <c r="A1013" s="1" t="n"/>
      <c r="B1013" s="20" t="n"/>
      <c r="C1013" s="21" t="n"/>
      <c r="D1013" s="24" t="n"/>
      <c r="E1013" s="22" t="n"/>
      <c r="F1013" s="1" t="n"/>
    </row>
    <row r="1014">
      <c r="A1014" s="1" t="n"/>
      <c r="B1014" s="20" t="n"/>
      <c r="C1014" s="21" t="n"/>
      <c r="D1014" s="24" t="n"/>
      <c r="E1014" s="22" t="n"/>
      <c r="F1014" s="1" t="n"/>
    </row>
    <row r="1015">
      <c r="A1015" s="1" t="n"/>
      <c r="B1015" s="20" t="n"/>
      <c r="C1015" s="21" t="n"/>
      <c r="D1015" s="24" t="n"/>
      <c r="E1015" s="22" t="n"/>
      <c r="F1015" s="1" t="n"/>
    </row>
    <row r="1016">
      <c r="A1016" s="1" t="n"/>
      <c r="B1016" s="20" t="n"/>
      <c r="C1016" s="21" t="n"/>
      <c r="D1016" s="24" t="n"/>
      <c r="E1016" s="22" t="n"/>
      <c r="F1016" s="1" t="n"/>
    </row>
    <row r="1017">
      <c r="A1017" s="1" t="n"/>
      <c r="B1017" s="20" t="n"/>
      <c r="C1017" s="21" t="n"/>
      <c r="D1017" s="24" t="n"/>
      <c r="E1017" s="22" t="n"/>
      <c r="F1017" s="1" t="n"/>
    </row>
    <row r="1018">
      <c r="A1018" s="1" t="n"/>
      <c r="B1018" s="20" t="n"/>
      <c r="C1018" s="21" t="n"/>
      <c r="D1018" s="24" t="n"/>
      <c r="E1018" s="22" t="n"/>
      <c r="F1018" s="1" t="n"/>
    </row>
    <row r="1019">
      <c r="A1019" s="1" t="n"/>
      <c r="B1019" s="20" t="n"/>
      <c r="C1019" s="21" t="n"/>
      <c r="D1019" s="24" t="n"/>
      <c r="E1019" s="22" t="n"/>
      <c r="F1019" s="1" t="n"/>
    </row>
    <row r="1020">
      <c r="A1020" s="1" t="n"/>
      <c r="B1020" s="20" t="n"/>
      <c r="C1020" s="21" t="n"/>
      <c r="D1020" s="24" t="n"/>
      <c r="E1020" s="22" t="n"/>
      <c r="F1020" s="1" t="n"/>
    </row>
    <row r="1021">
      <c r="A1021" s="1" t="n"/>
      <c r="B1021" s="20" t="n"/>
      <c r="C1021" s="21" t="n"/>
      <c r="D1021" s="24" t="n"/>
      <c r="E1021" s="22" t="n"/>
      <c r="F1021" s="1" t="n"/>
    </row>
    <row r="1022">
      <c r="A1022" s="1" t="n"/>
      <c r="B1022" s="20" t="n"/>
      <c r="C1022" s="21" t="n"/>
      <c r="D1022" s="24" t="n"/>
      <c r="E1022" s="22" t="n"/>
      <c r="F1022" s="1" t="n"/>
    </row>
    <row r="1023">
      <c r="A1023" s="1" t="n"/>
      <c r="B1023" s="20" t="n"/>
      <c r="C1023" s="21" t="n"/>
      <c r="D1023" s="24" t="n"/>
      <c r="E1023" s="22" t="n"/>
      <c r="F1023" s="1" t="n"/>
    </row>
    <row r="1024">
      <c r="A1024" s="1" t="n"/>
      <c r="B1024" s="20" t="n"/>
      <c r="C1024" s="21" t="n"/>
      <c r="D1024" s="24" t="n"/>
      <c r="E1024" s="22" t="n"/>
      <c r="F1024" s="1" t="n"/>
    </row>
    <row r="1025">
      <c r="A1025" s="1" t="n"/>
      <c r="B1025" s="20" t="n"/>
      <c r="C1025" s="21" t="n"/>
      <c r="D1025" s="24" t="n"/>
      <c r="E1025" s="22" t="n"/>
      <c r="F1025" s="1" t="n"/>
    </row>
    <row r="1026">
      <c r="A1026" s="1" t="n"/>
      <c r="B1026" s="20" t="n"/>
      <c r="C1026" s="21" t="n"/>
      <c r="D1026" s="24" t="n"/>
      <c r="E1026" s="22" t="n"/>
      <c r="F1026" s="1" t="n"/>
    </row>
    <row r="1027">
      <c r="A1027" s="1" t="n"/>
      <c r="B1027" s="20" t="n"/>
      <c r="C1027" s="21" t="n"/>
      <c r="D1027" s="24" t="n"/>
      <c r="E1027" s="22" t="n"/>
      <c r="F1027" s="1" t="n"/>
    </row>
    <row r="1028">
      <c r="A1028" s="1" t="n"/>
      <c r="B1028" s="20" t="n"/>
      <c r="C1028" s="21" t="n"/>
      <c r="D1028" s="24" t="n"/>
      <c r="E1028" s="22" t="n"/>
      <c r="F1028" s="1" t="n"/>
    </row>
    <row r="1029">
      <c r="A1029" s="1" t="n"/>
      <c r="B1029" s="20" t="n"/>
      <c r="C1029" s="21" t="n"/>
      <c r="D1029" s="24" t="n"/>
      <c r="E1029" s="22" t="n"/>
      <c r="F1029" s="1" t="n"/>
    </row>
    <row r="1030">
      <c r="A1030" s="1" t="n"/>
      <c r="B1030" s="20" t="n"/>
      <c r="C1030" s="21" t="n"/>
      <c r="D1030" s="24" t="n"/>
      <c r="E1030" s="22" t="n"/>
      <c r="F1030" s="1" t="n"/>
    </row>
    <row r="1031">
      <c r="A1031" s="1" t="n"/>
      <c r="B1031" s="20" t="n"/>
      <c r="C1031" s="21" t="n"/>
      <c r="D1031" s="24" t="n"/>
      <c r="E1031" s="22" t="n"/>
      <c r="F1031" s="1" t="n"/>
    </row>
    <row r="1032">
      <c r="A1032" s="1" t="n"/>
      <c r="B1032" s="20" t="n"/>
      <c r="C1032" s="21" t="n"/>
      <c r="D1032" s="24" t="n"/>
      <c r="E1032" s="22" t="n"/>
      <c r="F1032" s="1" t="n"/>
    </row>
    <row r="1033">
      <c r="A1033" s="1" t="n"/>
      <c r="B1033" s="20" t="n"/>
      <c r="C1033" s="21" t="n"/>
      <c r="D1033" s="24" t="n"/>
      <c r="E1033" s="22" t="n"/>
      <c r="F1033" s="1" t="n"/>
    </row>
    <row r="1034">
      <c r="A1034" s="1" t="n"/>
      <c r="B1034" s="20" t="n"/>
      <c r="C1034" s="21" t="n"/>
      <c r="D1034" s="24" t="n"/>
      <c r="E1034" s="22" t="n"/>
      <c r="F1034" s="1" t="n"/>
    </row>
    <row r="1035">
      <c r="A1035" s="1" t="n"/>
      <c r="B1035" s="20" t="n"/>
      <c r="C1035" s="21" t="n"/>
      <c r="D1035" s="24" t="n"/>
      <c r="E1035" s="22" t="n"/>
      <c r="F1035" s="1" t="n"/>
    </row>
    <row r="1036">
      <c r="A1036" s="1" t="n"/>
      <c r="B1036" s="20" t="n"/>
      <c r="C1036" s="21" t="n"/>
      <c r="D1036" s="24" t="n"/>
      <c r="E1036" s="22" t="n"/>
      <c r="F1036" s="1" t="n"/>
    </row>
    <row r="1037">
      <c r="A1037" s="1" t="n"/>
      <c r="B1037" s="20" t="n"/>
      <c r="C1037" s="21" t="n"/>
      <c r="D1037" s="24" t="n"/>
      <c r="E1037" s="22" t="n"/>
      <c r="F1037" s="1" t="n"/>
    </row>
    <row r="1038">
      <c r="A1038" s="1" t="n"/>
      <c r="B1038" s="20" t="n"/>
      <c r="C1038" s="21" t="n"/>
      <c r="D1038" s="24" t="n"/>
      <c r="E1038" s="22" t="n"/>
      <c r="F1038" s="1" t="n"/>
    </row>
    <row r="1039">
      <c r="A1039" s="1" t="n"/>
      <c r="B1039" s="20" t="n"/>
      <c r="C1039" s="21" t="n"/>
      <c r="D1039" s="24" t="n"/>
      <c r="E1039" s="22" t="n"/>
      <c r="F1039" s="1" t="n"/>
    </row>
    <row r="1040">
      <c r="A1040" s="1" t="n"/>
      <c r="B1040" s="20" t="n"/>
      <c r="C1040" s="21" t="n"/>
      <c r="D1040" s="24" t="n"/>
      <c r="E1040" s="22" t="n"/>
      <c r="F1040" s="1" t="n"/>
    </row>
    <row r="1041">
      <c r="A1041" s="1" t="n"/>
      <c r="B1041" s="20" t="n"/>
      <c r="C1041" s="21" t="n"/>
      <c r="D1041" s="24" t="n"/>
      <c r="E1041" s="22" t="n"/>
      <c r="F1041" s="1" t="n"/>
    </row>
    <row r="1042">
      <c r="A1042" s="1" t="n"/>
      <c r="B1042" s="20" t="n"/>
      <c r="C1042" s="21" t="n"/>
      <c r="D1042" s="24" t="n"/>
      <c r="E1042" s="22" t="n"/>
      <c r="F1042" s="1" t="n"/>
    </row>
    <row r="1043">
      <c r="A1043" s="1" t="n"/>
      <c r="B1043" s="20" t="n"/>
      <c r="C1043" s="21" t="n"/>
      <c r="D1043" s="24" t="n"/>
      <c r="E1043" s="22" t="n"/>
      <c r="F1043" s="1" t="n"/>
    </row>
    <row r="1044">
      <c r="A1044" s="1" t="n"/>
      <c r="B1044" s="20" t="n"/>
      <c r="C1044" s="21" t="n"/>
      <c r="D1044" s="24" t="n"/>
      <c r="E1044" s="22" t="n"/>
      <c r="F1044" s="1" t="n"/>
    </row>
    <row r="1045">
      <c r="A1045" s="1" t="n"/>
      <c r="B1045" s="20" t="n"/>
      <c r="C1045" s="21" t="n"/>
      <c r="D1045" s="24" t="n"/>
      <c r="E1045" s="22" t="n"/>
      <c r="F1045" s="1" t="n"/>
    </row>
    <row r="1046">
      <c r="A1046" s="1" t="n"/>
      <c r="B1046" s="20" t="n"/>
      <c r="C1046" s="21" t="n"/>
      <c r="D1046" s="24" t="n"/>
      <c r="E1046" s="22" t="n"/>
      <c r="F1046" s="1" t="n"/>
    </row>
    <row r="1047">
      <c r="A1047" s="1" t="n"/>
      <c r="B1047" s="20" t="n"/>
      <c r="C1047" s="21" t="n"/>
      <c r="D1047" s="24" t="n"/>
      <c r="E1047" s="22" t="n"/>
      <c r="F1047" s="1" t="n"/>
    </row>
    <row r="1048">
      <c r="A1048" s="1" t="n"/>
      <c r="B1048" s="20" t="n"/>
      <c r="C1048" s="21" t="n"/>
      <c r="D1048" s="24" t="n"/>
      <c r="E1048" s="22" t="n"/>
      <c r="F1048" s="1" t="n"/>
    </row>
    <row r="1049">
      <c r="A1049" s="1" t="n"/>
      <c r="B1049" s="20" t="n"/>
      <c r="C1049" s="21" t="n"/>
      <c r="D1049" s="24" t="n"/>
      <c r="E1049" s="22" t="n"/>
      <c r="F1049" s="1" t="n"/>
    </row>
    <row r="1050">
      <c r="A1050" s="1" t="n"/>
      <c r="B1050" s="20" t="n"/>
      <c r="C1050" s="21" t="n"/>
      <c r="D1050" s="24" t="n"/>
      <c r="E1050" s="22" t="n"/>
      <c r="F1050" s="1" t="n"/>
    </row>
    <row r="1051">
      <c r="A1051" s="1" t="n"/>
      <c r="B1051" s="20" t="n"/>
      <c r="C1051" s="21" t="n"/>
      <c r="D1051" s="24" t="n"/>
      <c r="E1051" s="22" t="n"/>
      <c r="F1051" s="1" t="n"/>
    </row>
    <row r="1052">
      <c r="A1052" s="1" t="n"/>
      <c r="B1052" s="20" t="n"/>
      <c r="C1052" s="21" t="n"/>
      <c r="D1052" s="24" t="n"/>
      <c r="E1052" s="22" t="n"/>
      <c r="F1052" s="1" t="n"/>
    </row>
    <row r="1053">
      <c r="A1053" s="1" t="n"/>
      <c r="B1053" s="20" t="n"/>
      <c r="C1053" s="21" t="n"/>
      <c r="D1053" s="24" t="n"/>
      <c r="E1053" s="22" t="n"/>
      <c r="F1053" s="1" t="n"/>
    </row>
    <row r="1054">
      <c r="A1054" s="1" t="n"/>
      <c r="B1054" s="20" t="n"/>
      <c r="C1054" s="21" t="n"/>
      <c r="D1054" s="24" t="n"/>
      <c r="E1054" s="22" t="n"/>
      <c r="F1054" s="1" t="n"/>
    </row>
    <row r="1055">
      <c r="A1055" s="1" t="n"/>
      <c r="B1055" s="20" t="n"/>
      <c r="C1055" s="21" t="n"/>
      <c r="D1055" s="24" t="n"/>
      <c r="E1055" s="22" t="n"/>
      <c r="F1055" s="1" t="n"/>
    </row>
    <row r="1056">
      <c r="A1056" s="1" t="n"/>
      <c r="B1056" s="20" t="n"/>
      <c r="C1056" s="21" t="n"/>
      <c r="D1056" s="24" t="n"/>
      <c r="E1056" s="22" t="n"/>
      <c r="F1056" s="1" t="n"/>
    </row>
    <row r="1057">
      <c r="A1057" s="1" t="n"/>
      <c r="B1057" s="20" t="n"/>
      <c r="C1057" s="21" t="n"/>
      <c r="D1057" s="24" t="n"/>
      <c r="E1057" s="22" t="n"/>
      <c r="F1057" s="1" t="n"/>
    </row>
    <row r="1058">
      <c r="A1058" s="1" t="n"/>
      <c r="B1058" s="20" t="n"/>
      <c r="C1058" s="21" t="n"/>
      <c r="D1058" s="24" t="n"/>
      <c r="E1058" s="22" t="n"/>
      <c r="F1058" s="1" t="n"/>
    </row>
    <row r="1059">
      <c r="A1059" s="1" t="n"/>
      <c r="B1059" s="20" t="n"/>
      <c r="C1059" s="21" t="n"/>
      <c r="D1059" s="24" t="n"/>
      <c r="E1059" s="22" t="n"/>
      <c r="F1059" s="1" t="n"/>
    </row>
    <row r="1060">
      <c r="A1060" s="1" t="n"/>
      <c r="B1060" s="20" t="n"/>
      <c r="C1060" s="21" t="n"/>
      <c r="D1060" s="24" t="n"/>
      <c r="E1060" s="22" t="n"/>
      <c r="F1060" s="1" t="n"/>
    </row>
    <row r="1061">
      <c r="A1061" s="1" t="n"/>
      <c r="B1061" s="20" t="n"/>
      <c r="C1061" s="21" t="n"/>
      <c r="D1061" s="24" t="n"/>
      <c r="E1061" s="22" t="n"/>
      <c r="F1061" s="1" t="n"/>
    </row>
    <row r="1062">
      <c r="A1062" s="1" t="n"/>
      <c r="B1062" s="20" t="n"/>
      <c r="C1062" s="21" t="n"/>
      <c r="D1062" s="24" t="n"/>
      <c r="E1062" s="22" t="n"/>
      <c r="F1062" s="1" t="n"/>
    </row>
    <row r="1063">
      <c r="A1063" s="1" t="n"/>
      <c r="B1063" s="20" t="n"/>
      <c r="C1063" s="21" t="n"/>
      <c r="D1063" s="24" t="n"/>
      <c r="E1063" s="22" t="n"/>
      <c r="F1063" s="1" t="n"/>
    </row>
    <row r="1064">
      <c r="A1064" s="1" t="n"/>
      <c r="B1064" s="20" t="n"/>
      <c r="C1064" s="21" t="n"/>
      <c r="D1064" s="24" t="n"/>
      <c r="E1064" s="22" t="n"/>
      <c r="F1064" s="1" t="n"/>
    </row>
    <row r="1065">
      <c r="A1065" s="1" t="n"/>
      <c r="B1065" s="20" t="n"/>
      <c r="C1065" s="21" t="n"/>
      <c r="D1065" s="24" t="n"/>
      <c r="E1065" s="22" t="n"/>
      <c r="F1065" s="1" t="n"/>
    </row>
    <row r="1066">
      <c r="A1066" s="1" t="n"/>
      <c r="B1066" s="20" t="n"/>
      <c r="C1066" s="21" t="n"/>
      <c r="D1066" s="24" t="n"/>
      <c r="E1066" s="22" t="n"/>
      <c r="F1066" s="1" t="n"/>
    </row>
    <row r="1067">
      <c r="A1067" s="1" t="n"/>
      <c r="B1067" s="20" t="n"/>
      <c r="C1067" s="21" t="n"/>
      <c r="D1067" s="24" t="n"/>
      <c r="E1067" s="22" t="n"/>
      <c r="F1067" s="1" t="n"/>
    </row>
    <row r="1068">
      <c r="A1068" s="1" t="n"/>
      <c r="B1068" s="20" t="n"/>
      <c r="C1068" s="21" t="n"/>
      <c r="D1068" s="24" t="n"/>
      <c r="E1068" s="22" t="n"/>
      <c r="F1068" s="1" t="n"/>
    </row>
    <row r="1069">
      <c r="A1069" s="1" t="n"/>
      <c r="B1069" s="20" t="n"/>
      <c r="C1069" s="21" t="n"/>
      <c r="D1069" s="24" t="n"/>
      <c r="E1069" s="22" t="n"/>
      <c r="F1069" s="1" t="n"/>
    </row>
    <row r="1070">
      <c r="A1070" s="1" t="n"/>
      <c r="B1070" s="20" t="n"/>
      <c r="C1070" s="21" t="n"/>
      <c r="D1070" s="24" t="n"/>
      <c r="E1070" s="22" t="n"/>
      <c r="F1070" s="1" t="n"/>
    </row>
    <row r="1071">
      <c r="A1071" s="1" t="n"/>
      <c r="B1071" s="20" t="n"/>
      <c r="C1071" s="21" t="n"/>
      <c r="D1071" s="24" t="n"/>
      <c r="E1071" s="22" t="n"/>
      <c r="F1071" s="1" t="n"/>
    </row>
    <row r="1072">
      <c r="A1072" s="1" t="n"/>
      <c r="B1072" s="20" t="n"/>
      <c r="C1072" s="21" t="n"/>
      <c r="D1072" s="24" t="n"/>
      <c r="E1072" s="22" t="n"/>
      <c r="F1072" s="1" t="n"/>
    </row>
    <row r="1073">
      <c r="A1073" s="1" t="n"/>
      <c r="B1073" s="20" t="n"/>
      <c r="C1073" s="21" t="n"/>
      <c r="D1073" s="24" t="n"/>
      <c r="E1073" s="22" t="n"/>
      <c r="F1073" s="1" t="n"/>
    </row>
    <row r="1074">
      <c r="A1074" s="1" t="n"/>
      <c r="B1074" s="20" t="n"/>
      <c r="C1074" s="21" t="n"/>
      <c r="D1074" s="24" t="n"/>
      <c r="E1074" s="22" t="n"/>
      <c r="F1074" s="1" t="n"/>
    </row>
    <row r="1075">
      <c r="A1075" s="1" t="n"/>
      <c r="B1075" s="20" t="n"/>
      <c r="C1075" s="21" t="n"/>
      <c r="D1075" s="24" t="n"/>
      <c r="E1075" s="22" t="n"/>
      <c r="F1075" s="1" t="n"/>
    </row>
    <row r="1076">
      <c r="A1076" s="1" t="n"/>
      <c r="B1076" s="20" t="n"/>
      <c r="C1076" s="21" t="n"/>
      <c r="D1076" s="24" t="n"/>
      <c r="E1076" s="22" t="n"/>
      <c r="F1076" s="1" t="n"/>
    </row>
    <row r="1077">
      <c r="A1077" s="1" t="n"/>
      <c r="B1077" s="20" t="n"/>
      <c r="C1077" s="21" t="n"/>
      <c r="D1077" s="24" t="n"/>
      <c r="E1077" s="22" t="n"/>
      <c r="F1077" s="1" t="n"/>
    </row>
    <row r="1078">
      <c r="A1078" s="1" t="n"/>
      <c r="B1078" s="20" t="n"/>
      <c r="C1078" s="21" t="n"/>
      <c r="D1078" s="24" t="n"/>
      <c r="E1078" s="22" t="n"/>
      <c r="F1078" s="1" t="n"/>
    </row>
    <row r="1079">
      <c r="A1079" s="1" t="n"/>
      <c r="B1079" s="20" t="n"/>
      <c r="C1079" s="21" t="n"/>
      <c r="D1079" s="24" t="n"/>
      <c r="E1079" s="22" t="n"/>
      <c r="F1079" s="1" t="n"/>
    </row>
    <row r="1080">
      <c r="A1080" s="1" t="n"/>
      <c r="B1080" s="20" t="n"/>
      <c r="C1080" s="21" t="n"/>
      <c r="D1080" s="24" t="n"/>
      <c r="E1080" s="22" t="n"/>
      <c r="F1080" s="1" t="n"/>
    </row>
    <row r="1081">
      <c r="A1081" s="1" t="n"/>
      <c r="B1081" s="20" t="n"/>
      <c r="C1081" s="21" t="n"/>
      <c r="D1081" s="24" t="n"/>
      <c r="E1081" s="22" t="n"/>
      <c r="F1081" s="1" t="n"/>
    </row>
    <row r="1082">
      <c r="A1082" s="1" t="n"/>
      <c r="B1082" s="20" t="n"/>
      <c r="C1082" s="21" t="n"/>
      <c r="D1082" s="24" t="n"/>
      <c r="E1082" s="22" t="n"/>
      <c r="F1082" s="1" t="n"/>
    </row>
    <row r="1083">
      <c r="A1083" s="1" t="n"/>
      <c r="B1083" s="20" t="n"/>
      <c r="C1083" s="21" t="n"/>
      <c r="D1083" s="24" t="n"/>
      <c r="E1083" s="22" t="n"/>
      <c r="F1083" s="1" t="n"/>
    </row>
    <row r="1084">
      <c r="A1084" s="1" t="n"/>
      <c r="B1084" s="20" t="n"/>
      <c r="C1084" s="21" t="n"/>
      <c r="D1084" s="24" t="n"/>
      <c r="E1084" s="22" t="n"/>
      <c r="F1084" s="1" t="n"/>
    </row>
    <row r="1085">
      <c r="A1085" s="1" t="n"/>
      <c r="B1085" s="20" t="n"/>
      <c r="C1085" s="21" t="n"/>
      <c r="D1085" s="24" t="n"/>
      <c r="E1085" s="22" t="n"/>
      <c r="F1085" s="1" t="n"/>
    </row>
    <row r="1086">
      <c r="A1086" s="1" t="n"/>
      <c r="B1086" s="20" t="n"/>
      <c r="C1086" s="21" t="n"/>
      <c r="D1086" s="24" t="n"/>
      <c r="E1086" s="22" t="n"/>
      <c r="F1086" s="1" t="n"/>
    </row>
    <row r="1087">
      <c r="A1087" s="1" t="n"/>
      <c r="B1087" s="20" t="n"/>
      <c r="C1087" s="21" t="n"/>
      <c r="D1087" s="24" t="n"/>
      <c r="E1087" s="22" t="n"/>
      <c r="F1087" s="1" t="n"/>
    </row>
    <row r="1088">
      <c r="A1088" s="1" t="n"/>
      <c r="B1088" s="20" t="n"/>
      <c r="C1088" s="21" t="n"/>
      <c r="D1088" s="24" t="n"/>
      <c r="E1088" s="22" t="n"/>
      <c r="F1088" s="1" t="n"/>
    </row>
    <row r="1089">
      <c r="A1089" s="1" t="n"/>
      <c r="B1089" s="20" t="n"/>
      <c r="C1089" s="21" t="n"/>
      <c r="D1089" s="24" t="n"/>
      <c r="E1089" s="22" t="n"/>
      <c r="F1089" s="1" t="n"/>
    </row>
    <row r="1090">
      <c r="A1090" s="1" t="n"/>
      <c r="B1090" s="20" t="n"/>
      <c r="C1090" s="21" t="n"/>
      <c r="D1090" s="24" t="n"/>
      <c r="E1090" s="22" t="n"/>
      <c r="F1090" s="1" t="n"/>
    </row>
    <row r="1091">
      <c r="A1091" s="1" t="n"/>
      <c r="B1091" s="20" t="n"/>
      <c r="C1091" s="21" t="n"/>
      <c r="D1091" s="24" t="n"/>
      <c r="E1091" s="22" t="n"/>
      <c r="F1091" s="1" t="n"/>
    </row>
    <row r="1092">
      <c r="A1092" s="1" t="n"/>
      <c r="B1092" s="20" t="n"/>
      <c r="C1092" s="21" t="n"/>
      <c r="D1092" s="24" t="n"/>
      <c r="E1092" s="22" t="n"/>
      <c r="F1092" s="1" t="n"/>
    </row>
    <row r="1093">
      <c r="A1093" s="1" t="n"/>
      <c r="B1093" s="20" t="n"/>
      <c r="C1093" s="21" t="n"/>
      <c r="D1093" s="24" t="n"/>
      <c r="E1093" s="22" t="n"/>
      <c r="F1093" s="1" t="n"/>
    </row>
    <row r="1094">
      <c r="A1094" s="1" t="n"/>
      <c r="B1094" s="20" t="n"/>
      <c r="C1094" s="21" t="n"/>
      <c r="D1094" s="24" t="n"/>
      <c r="E1094" s="22" t="n"/>
      <c r="F1094" s="1" t="n"/>
    </row>
    <row r="1095">
      <c r="A1095" s="1" t="n"/>
      <c r="B1095" s="20" t="n"/>
      <c r="C1095" s="21" t="n"/>
      <c r="D1095" s="24" t="n"/>
      <c r="E1095" s="22" t="n"/>
      <c r="F1095" s="1" t="n"/>
    </row>
    <row r="1096">
      <c r="A1096" s="1" t="n"/>
      <c r="B1096" s="20" t="n"/>
      <c r="C1096" s="21" t="n"/>
      <c r="D1096" s="24" t="n"/>
      <c r="E1096" s="22" t="n"/>
      <c r="F1096" s="1" t="n"/>
    </row>
    <row r="1097">
      <c r="A1097" s="1" t="n"/>
      <c r="B1097" s="20" t="n"/>
      <c r="C1097" s="21" t="n"/>
      <c r="D1097" s="24" t="n"/>
      <c r="E1097" s="22" t="n"/>
      <c r="F1097" s="1" t="n"/>
    </row>
    <row r="1098">
      <c r="A1098" s="1" t="n"/>
      <c r="B1098" s="20" t="n"/>
      <c r="C1098" s="21" t="n"/>
      <c r="D1098" s="24" t="n"/>
      <c r="E1098" s="22" t="n"/>
      <c r="F1098" s="1" t="n"/>
    </row>
    <row r="1099">
      <c r="A1099" s="1" t="n"/>
      <c r="B1099" s="20" t="n"/>
      <c r="C1099" s="21" t="n"/>
      <c r="D1099" s="24" t="n"/>
      <c r="E1099" s="22" t="n"/>
      <c r="F1099" s="1" t="n"/>
    </row>
    <row r="1100">
      <c r="A1100" s="1" t="n"/>
      <c r="B1100" s="20" t="n"/>
      <c r="C1100" s="21" t="n"/>
      <c r="D1100" s="24" t="n"/>
      <c r="E1100" s="22" t="n"/>
      <c r="F1100" s="1" t="n"/>
    </row>
    <row r="1101">
      <c r="A1101" s="1" t="n"/>
      <c r="B1101" s="20" t="n"/>
      <c r="C1101" s="21" t="n"/>
      <c r="D1101" s="24" t="n"/>
      <c r="E1101" s="22" t="n"/>
      <c r="F1101" s="1" t="n"/>
    </row>
    <row r="1102">
      <c r="A1102" s="1" t="n"/>
      <c r="B1102" s="20" t="n"/>
      <c r="C1102" s="21" t="n"/>
      <c r="D1102" s="24" t="n"/>
      <c r="E1102" s="22" t="n"/>
      <c r="F1102" s="1" t="n"/>
    </row>
    <row r="1103">
      <c r="A1103" s="1" t="n"/>
      <c r="B1103" s="20" t="n"/>
      <c r="C1103" s="21" t="n"/>
      <c r="D1103" s="24" t="n"/>
      <c r="E1103" s="22" t="n"/>
      <c r="F1103" s="1" t="n"/>
    </row>
    <row r="1104">
      <c r="A1104" s="1" t="n"/>
      <c r="B1104" s="20" t="n"/>
      <c r="C1104" s="21" t="n"/>
      <c r="D1104" s="24" t="n"/>
      <c r="E1104" s="22" t="n"/>
      <c r="F1104" s="1" t="n"/>
    </row>
    <row r="1105">
      <c r="A1105" s="1" t="n"/>
      <c r="B1105" s="20" t="n"/>
      <c r="C1105" s="21" t="n"/>
      <c r="D1105" s="24" t="n"/>
      <c r="E1105" s="22" t="n"/>
      <c r="F1105" s="1" t="n"/>
    </row>
    <row r="1106">
      <c r="A1106" s="1" t="n"/>
      <c r="B1106" s="20" t="n"/>
      <c r="C1106" s="21" t="n"/>
      <c r="D1106" s="24" t="n"/>
      <c r="E1106" s="22" t="n"/>
      <c r="F1106" s="1" t="n"/>
    </row>
    <row r="1107">
      <c r="A1107" s="1" t="n"/>
      <c r="B1107" s="20" t="n"/>
      <c r="C1107" s="21" t="n"/>
      <c r="D1107" s="24" t="n"/>
      <c r="E1107" s="22" t="n"/>
      <c r="F1107" s="1" t="n"/>
    </row>
    <row r="1108">
      <c r="A1108" s="1" t="n"/>
      <c r="B1108" s="20" t="n"/>
      <c r="C1108" s="21" t="n"/>
      <c r="D1108" s="24" t="n"/>
      <c r="E1108" s="22" t="n"/>
      <c r="F1108" s="1" t="n"/>
    </row>
    <row r="1109">
      <c r="A1109" s="1" t="n"/>
      <c r="B1109" s="20" t="n"/>
      <c r="C1109" s="21" t="n"/>
      <c r="D1109" s="24" t="n"/>
      <c r="E1109" s="22" t="n"/>
      <c r="F1109" s="1" t="n"/>
    </row>
    <row r="1110">
      <c r="A1110" s="1" t="n"/>
      <c r="B1110" s="20" t="n"/>
      <c r="C1110" s="21" t="n"/>
      <c r="D1110" s="24" t="n"/>
      <c r="E1110" s="22" t="n"/>
      <c r="F1110" s="1" t="n"/>
    </row>
    <row r="1111">
      <c r="A1111" s="1" t="n"/>
      <c r="B1111" s="20" t="n"/>
      <c r="C1111" s="21" t="n"/>
      <c r="D1111" s="24" t="n"/>
      <c r="E1111" s="22" t="n"/>
      <c r="F1111" s="1" t="n"/>
    </row>
    <row r="1112">
      <c r="A1112" s="1" t="n"/>
      <c r="B1112" s="20" t="n"/>
      <c r="C1112" s="21" t="n"/>
      <c r="D1112" s="24" t="n"/>
      <c r="E1112" s="22" t="n"/>
      <c r="F1112" s="1" t="n"/>
    </row>
    <row r="1113">
      <c r="A1113" s="1" t="n"/>
      <c r="B1113" s="20" t="n"/>
      <c r="C1113" s="21" t="n"/>
      <c r="D1113" s="24" t="n"/>
      <c r="E1113" s="22" t="n"/>
      <c r="F1113" s="1" t="n"/>
    </row>
    <row r="1114">
      <c r="A1114" s="1" t="n"/>
      <c r="B1114" s="20" t="n"/>
      <c r="C1114" s="21" t="n"/>
      <c r="D1114" s="24" t="n"/>
      <c r="E1114" s="22" t="n"/>
      <c r="F1114" s="1" t="n"/>
    </row>
    <row r="1115">
      <c r="A1115" s="1" t="n"/>
      <c r="B1115" s="20" t="n"/>
      <c r="C1115" s="21" t="n"/>
      <c r="D1115" s="24" t="n"/>
      <c r="E1115" s="22" t="n"/>
      <c r="F1115" s="1" t="n"/>
    </row>
    <row r="1116">
      <c r="A1116" s="1" t="n"/>
      <c r="B1116" s="20" t="n"/>
      <c r="C1116" s="21" t="n"/>
      <c r="D1116" s="24" t="n"/>
      <c r="E1116" s="22" t="n"/>
      <c r="F1116" s="1" t="n"/>
    </row>
    <row r="1117">
      <c r="A1117" s="1" t="n"/>
      <c r="B1117" s="20" t="n"/>
      <c r="C1117" s="21" t="n"/>
      <c r="D1117" s="24" t="n"/>
      <c r="E1117" s="22" t="n"/>
      <c r="F1117" s="1" t="n"/>
    </row>
    <row r="1118">
      <c r="A1118" s="1" t="n"/>
      <c r="B1118" s="20" t="n"/>
      <c r="C1118" s="21" t="n"/>
      <c r="D1118" s="24" t="n"/>
      <c r="E1118" s="22" t="n"/>
      <c r="F1118" s="1" t="n"/>
    </row>
    <row r="1119">
      <c r="A1119" s="1" t="n"/>
      <c r="B1119" s="20" t="n"/>
      <c r="C1119" s="21" t="n"/>
      <c r="D1119" s="24" t="n"/>
      <c r="E1119" s="22" t="n"/>
      <c r="F1119" s="1" t="n"/>
    </row>
    <row r="1120">
      <c r="A1120" s="1" t="n"/>
      <c r="B1120" s="20" t="n"/>
      <c r="C1120" s="21" t="n"/>
      <c r="D1120" s="24" t="n"/>
      <c r="E1120" s="22" t="n"/>
      <c r="F1120" s="1" t="n"/>
    </row>
    <row r="1121">
      <c r="A1121" s="1" t="n"/>
      <c r="B1121" s="20" t="n"/>
      <c r="C1121" s="21" t="n"/>
      <c r="D1121" s="24" t="n"/>
      <c r="E1121" s="22" t="n"/>
      <c r="F1121" s="1" t="n"/>
    </row>
    <row r="1122">
      <c r="A1122" s="1" t="n"/>
      <c r="B1122" s="20" t="n"/>
      <c r="C1122" s="21" t="n"/>
      <c r="D1122" s="24" t="n"/>
      <c r="E1122" s="22" t="n"/>
      <c r="F1122" s="1" t="n"/>
    </row>
    <row r="1123">
      <c r="A1123" s="1" t="n"/>
      <c r="B1123" s="20" t="n"/>
      <c r="C1123" s="21" t="n"/>
      <c r="D1123" s="24" t="n"/>
      <c r="E1123" s="22" t="n"/>
      <c r="F1123" s="1" t="n"/>
    </row>
    <row r="1124">
      <c r="A1124" s="1" t="n"/>
      <c r="B1124" s="20" t="n"/>
      <c r="C1124" s="21" t="n"/>
      <c r="D1124" s="24" t="n"/>
      <c r="E1124" s="22" t="n"/>
      <c r="F1124" s="1" t="n"/>
    </row>
    <row r="1125">
      <c r="A1125" s="1" t="n"/>
      <c r="B1125" s="20" t="n"/>
      <c r="C1125" s="21" t="n"/>
      <c r="D1125" s="24" t="n"/>
      <c r="E1125" s="22" t="n"/>
      <c r="F1125" s="1" t="n"/>
    </row>
    <row r="1126">
      <c r="A1126" s="1" t="n"/>
      <c r="B1126" s="20" t="n"/>
      <c r="C1126" s="21" t="n"/>
      <c r="D1126" s="24" t="n"/>
      <c r="E1126" s="22" t="n"/>
      <c r="F1126" s="1" t="n"/>
    </row>
    <row r="1127">
      <c r="A1127" s="1" t="n"/>
      <c r="B1127" s="20" t="n"/>
      <c r="C1127" s="21" t="n"/>
      <c r="D1127" s="24" t="n"/>
      <c r="E1127" s="22" t="n"/>
      <c r="F1127" s="1" t="n"/>
    </row>
    <row r="1128">
      <c r="A1128" s="1" t="n"/>
      <c r="B1128" s="20" t="n"/>
      <c r="C1128" s="21" t="n"/>
      <c r="D1128" s="24" t="n"/>
      <c r="E1128" s="22" t="n"/>
      <c r="F1128" s="1" t="n"/>
    </row>
    <row r="1129">
      <c r="A1129" s="1" t="n"/>
      <c r="B1129" s="20" t="n"/>
      <c r="C1129" s="21" t="n"/>
      <c r="D1129" s="24" t="n"/>
      <c r="E1129" s="22" t="n"/>
      <c r="F1129" s="1" t="n"/>
    </row>
    <row r="1130">
      <c r="A1130" s="1" t="n"/>
      <c r="B1130" s="20" t="n"/>
      <c r="C1130" s="21" t="n"/>
      <c r="D1130" s="24" t="n"/>
      <c r="E1130" s="22" t="n"/>
      <c r="F1130" s="1" t="n"/>
    </row>
    <row r="1131">
      <c r="A1131" s="1" t="n"/>
      <c r="B1131" s="20" t="n"/>
      <c r="C1131" s="21" t="n"/>
      <c r="D1131" s="24" t="n"/>
      <c r="E1131" s="22" t="n"/>
      <c r="F1131" s="1" t="n"/>
    </row>
    <row r="1132">
      <c r="A1132" s="1" t="n"/>
      <c r="B1132" s="20" t="n"/>
      <c r="C1132" s="21" t="n"/>
      <c r="D1132" s="24" t="n"/>
      <c r="E1132" s="22" t="n"/>
      <c r="F1132" s="1" t="n"/>
    </row>
    <row r="1133">
      <c r="A1133" s="1" t="n"/>
      <c r="B1133" s="20" t="n"/>
      <c r="C1133" s="21" t="n"/>
      <c r="D1133" s="24" t="n"/>
      <c r="E1133" s="22" t="n"/>
      <c r="F1133" s="1" t="n"/>
    </row>
    <row r="1134">
      <c r="A1134" s="1" t="n"/>
      <c r="B1134" s="20" t="n"/>
      <c r="C1134" s="21" t="n"/>
      <c r="D1134" s="24" t="n"/>
      <c r="E1134" s="22" t="n"/>
      <c r="F1134" s="1" t="n"/>
    </row>
    <row r="1135">
      <c r="A1135" s="1" t="n"/>
      <c r="B1135" s="20" t="n"/>
      <c r="C1135" s="21" t="n"/>
      <c r="D1135" s="24" t="n"/>
      <c r="E1135" s="22" t="n"/>
      <c r="F1135" s="1" t="n"/>
    </row>
    <row r="1136">
      <c r="A1136" s="1" t="n"/>
      <c r="B1136" s="20" t="n"/>
      <c r="C1136" s="21" t="n"/>
      <c r="D1136" s="24" t="n"/>
      <c r="E1136" s="22" t="n"/>
      <c r="F1136" s="1" t="n"/>
    </row>
    <row r="1137">
      <c r="A1137" s="1" t="n"/>
      <c r="B1137" s="20" t="n"/>
      <c r="C1137" s="21" t="n"/>
      <c r="D1137" s="24" t="n"/>
      <c r="E1137" s="22" t="n"/>
      <c r="F1137" s="1" t="n"/>
    </row>
    <row r="1138">
      <c r="A1138" s="1" t="n"/>
      <c r="B1138" s="20" t="n"/>
      <c r="C1138" s="21" t="n"/>
      <c r="D1138" s="24" t="n"/>
      <c r="E1138" s="22" t="n"/>
      <c r="F1138" s="1" t="n"/>
    </row>
    <row r="1139">
      <c r="A1139" s="1" t="n"/>
      <c r="B1139" s="20" t="n"/>
      <c r="C1139" s="21" t="n"/>
      <c r="D1139" s="24" t="n"/>
      <c r="E1139" s="22" t="n"/>
      <c r="F1139" s="1" t="n"/>
    </row>
    <row r="1140">
      <c r="A1140" s="1" t="n"/>
      <c r="B1140" s="20" t="n"/>
      <c r="C1140" s="21" t="n"/>
      <c r="D1140" s="24" t="n"/>
      <c r="E1140" s="22" t="n"/>
      <c r="F1140" s="1" t="n"/>
    </row>
    <row r="1141">
      <c r="A1141" s="1" t="n"/>
      <c r="B1141" s="20" t="n"/>
      <c r="C1141" s="21" t="n"/>
      <c r="D1141" s="24" t="n"/>
      <c r="E1141" s="22" t="n"/>
      <c r="F1141" s="1" t="n"/>
    </row>
    <row r="1142">
      <c r="A1142" s="1" t="n"/>
      <c r="B1142" s="20" t="n"/>
      <c r="C1142" s="21" t="n"/>
      <c r="D1142" s="24" t="n"/>
      <c r="E1142" s="22" t="n"/>
      <c r="F1142" s="1" t="n"/>
    </row>
    <row r="1143">
      <c r="A1143" s="1" t="n"/>
      <c r="B1143" s="20" t="n"/>
      <c r="C1143" s="21" t="n"/>
      <c r="D1143" s="24" t="n"/>
      <c r="E1143" s="22" t="n"/>
      <c r="F1143" s="1" t="n"/>
    </row>
    <row r="1144">
      <c r="A1144" s="1" t="n"/>
      <c r="B1144" s="20" t="n"/>
      <c r="C1144" s="21" t="n"/>
      <c r="D1144" s="24" t="n"/>
      <c r="E1144" s="22" t="n"/>
      <c r="F1144" s="1" t="n"/>
    </row>
    <row r="1145">
      <c r="A1145" s="1" t="n"/>
      <c r="B1145" s="20" t="n"/>
      <c r="C1145" s="21" t="n"/>
      <c r="D1145" s="24" t="n"/>
      <c r="E1145" s="22" t="n"/>
      <c r="F1145" s="1" t="n"/>
    </row>
    <row r="1146">
      <c r="A1146" s="1" t="n"/>
      <c r="B1146" s="20" t="n"/>
      <c r="C1146" s="21" t="n"/>
      <c r="D1146" s="24" t="n"/>
      <c r="E1146" s="22" t="n"/>
      <c r="F1146" s="1" t="n"/>
    </row>
    <row r="1147">
      <c r="A1147" s="1" t="n"/>
      <c r="B1147" s="20" t="n"/>
      <c r="C1147" s="21" t="n"/>
      <c r="D1147" s="24" t="n"/>
      <c r="E1147" s="22" t="n"/>
      <c r="F1147" s="1" t="n"/>
    </row>
    <row r="1148">
      <c r="A1148" s="1" t="n"/>
      <c r="B1148" s="20" t="n"/>
      <c r="C1148" s="21" t="n"/>
      <c r="D1148" s="24" t="n"/>
      <c r="E1148" s="22" t="n"/>
      <c r="F1148" s="1" t="n"/>
    </row>
    <row r="1149">
      <c r="A1149" s="1" t="n"/>
      <c r="B1149" s="20" t="n"/>
      <c r="C1149" s="21" t="n"/>
      <c r="D1149" s="24" t="n"/>
      <c r="E1149" s="22" t="n"/>
      <c r="F1149" s="1" t="n"/>
    </row>
    <row r="1150">
      <c r="A1150" s="1" t="n"/>
      <c r="B1150" s="20" t="n"/>
      <c r="C1150" s="21" t="n"/>
      <c r="D1150" s="24" t="n"/>
      <c r="E1150" s="22" t="n"/>
      <c r="F1150" s="1" t="n"/>
    </row>
    <row r="1151">
      <c r="A1151" s="1" t="n"/>
      <c r="B1151" s="20" t="n"/>
      <c r="C1151" s="21" t="n"/>
      <c r="D1151" s="24" t="n"/>
      <c r="E1151" s="22" t="n"/>
      <c r="F1151" s="1" t="n"/>
    </row>
    <row r="1152">
      <c r="A1152" s="1" t="n"/>
      <c r="B1152" s="20" t="n"/>
      <c r="C1152" s="21" t="n"/>
      <c r="D1152" s="24" t="n"/>
      <c r="E1152" s="22" t="n"/>
      <c r="F1152" s="1" t="n"/>
    </row>
    <row r="1153">
      <c r="A1153" s="1" t="n"/>
      <c r="B1153" s="20" t="n"/>
      <c r="C1153" s="21" t="n"/>
      <c r="D1153" s="24" t="n"/>
      <c r="E1153" s="22" t="n"/>
      <c r="F1153" s="1" t="n"/>
    </row>
    <row r="1154">
      <c r="A1154" s="1" t="n"/>
      <c r="B1154" s="20" t="n"/>
      <c r="C1154" s="21" t="n"/>
      <c r="D1154" s="24" t="n"/>
      <c r="E1154" s="22" t="n"/>
      <c r="F1154" s="1" t="n"/>
    </row>
    <row r="1155">
      <c r="A1155" s="1" t="n"/>
      <c r="B1155" s="20" t="n"/>
      <c r="C1155" s="21" t="n"/>
      <c r="D1155" s="24" t="n"/>
      <c r="E1155" s="22" t="n"/>
      <c r="F1155" s="1" t="n"/>
    </row>
    <row r="1156">
      <c r="A1156" s="1" t="n"/>
      <c r="B1156" s="20" t="n"/>
      <c r="C1156" s="21" t="n"/>
      <c r="D1156" s="24" t="n"/>
      <c r="E1156" s="22" t="n"/>
      <c r="F1156" s="1" t="n"/>
    </row>
    <row r="1157">
      <c r="A1157" s="1" t="n"/>
      <c r="B1157" s="20" t="n"/>
      <c r="C1157" s="21" t="n"/>
      <c r="D1157" s="24" t="n"/>
      <c r="E1157" s="22" t="n"/>
      <c r="F1157" s="1" t="n"/>
    </row>
    <row r="1158">
      <c r="A1158" s="1" t="n"/>
      <c r="B1158" s="20" t="n"/>
      <c r="C1158" s="21" t="n"/>
      <c r="D1158" s="24" t="n"/>
      <c r="E1158" s="22" t="n"/>
      <c r="F1158" s="1" t="n"/>
    </row>
    <row r="1159">
      <c r="A1159" s="1" t="n"/>
      <c r="B1159" s="20" t="n"/>
      <c r="C1159" s="21" t="n"/>
      <c r="D1159" s="24" t="n"/>
      <c r="E1159" s="22" t="n"/>
      <c r="F1159" s="1" t="n"/>
    </row>
    <row r="1160">
      <c r="A1160" s="1" t="n"/>
      <c r="B1160" s="20" t="n"/>
      <c r="C1160" s="21" t="n"/>
      <c r="D1160" s="24" t="n"/>
      <c r="E1160" s="22" t="n"/>
      <c r="F1160" s="1" t="n"/>
    </row>
    <row r="1161">
      <c r="A1161" s="1" t="n"/>
      <c r="B1161" s="20" t="n"/>
      <c r="C1161" s="21" t="n"/>
      <c r="D1161" s="24" t="n"/>
      <c r="E1161" s="22" t="n"/>
      <c r="F1161" s="1" t="n"/>
    </row>
    <row r="1162">
      <c r="A1162" s="1" t="n"/>
      <c r="B1162" s="20" t="n"/>
      <c r="C1162" s="21" t="n"/>
      <c r="D1162" s="24" t="n"/>
      <c r="E1162" s="22" t="n"/>
      <c r="F1162" s="1" t="n"/>
    </row>
    <row r="1163">
      <c r="A1163" s="1" t="n"/>
      <c r="B1163" s="20" t="n"/>
      <c r="C1163" s="21" t="n"/>
      <c r="D1163" s="24" t="n"/>
      <c r="E1163" s="22" t="n"/>
      <c r="F1163" s="1" t="n"/>
    </row>
    <row r="1164">
      <c r="A1164" s="1" t="n"/>
      <c r="B1164" s="20" t="n"/>
      <c r="C1164" s="21" t="n"/>
      <c r="D1164" s="24" t="n"/>
      <c r="E1164" s="22" t="n"/>
      <c r="F1164" s="1" t="n"/>
    </row>
    <row r="1165">
      <c r="A1165" s="1" t="n"/>
      <c r="B1165" s="20" t="n"/>
      <c r="C1165" s="21" t="n"/>
      <c r="D1165" s="24" t="n"/>
      <c r="E1165" s="22" t="n"/>
      <c r="F1165" s="1" t="n"/>
    </row>
    <row r="1166">
      <c r="A1166" s="1" t="n"/>
      <c r="B1166" s="20" t="n"/>
      <c r="C1166" s="21" t="n"/>
      <c r="D1166" s="24" t="n"/>
      <c r="E1166" s="22" t="n"/>
      <c r="F1166" s="1" t="n"/>
    </row>
    <row r="1167">
      <c r="A1167" s="1" t="n"/>
      <c r="B1167" s="20" t="n"/>
      <c r="C1167" s="21" t="n"/>
      <c r="D1167" s="24" t="n"/>
      <c r="E1167" s="22" t="n"/>
      <c r="F1167" s="1" t="n"/>
    </row>
    <row r="1168">
      <c r="A1168" s="1" t="n"/>
      <c r="B1168" s="20" t="n"/>
      <c r="C1168" s="21" t="n"/>
      <c r="D1168" s="24" t="n"/>
      <c r="E1168" s="22" t="n"/>
      <c r="F1168" s="1" t="n"/>
    </row>
    <row r="1169">
      <c r="A1169" s="1" t="n"/>
      <c r="B1169" s="20" t="n"/>
      <c r="C1169" s="21" t="n"/>
      <c r="D1169" s="24" t="n"/>
      <c r="E1169" s="22" t="n"/>
      <c r="F1169" s="1" t="n"/>
    </row>
    <row r="1170">
      <c r="A1170" s="1" t="n"/>
      <c r="B1170" s="20" t="n"/>
      <c r="C1170" s="21" t="n"/>
      <c r="D1170" s="24" t="n"/>
      <c r="E1170" s="22" t="n"/>
      <c r="F1170" s="1" t="n"/>
    </row>
    <row r="1171">
      <c r="A1171" s="1" t="n"/>
      <c r="B1171" s="20" t="n"/>
      <c r="C1171" s="21" t="n"/>
      <c r="D1171" s="24" t="n"/>
      <c r="E1171" s="22" t="n"/>
      <c r="F1171" s="1" t="n"/>
    </row>
    <row r="1172">
      <c r="A1172" s="1" t="n"/>
      <c r="B1172" s="20" t="n"/>
      <c r="C1172" s="21" t="n"/>
      <c r="D1172" s="24" t="n"/>
      <c r="E1172" s="22" t="n"/>
      <c r="F1172" s="1" t="n"/>
    </row>
    <row r="1173">
      <c r="A1173" s="1" t="n"/>
      <c r="B1173" s="20" t="n"/>
      <c r="C1173" s="21" t="n"/>
      <c r="D1173" s="24" t="n"/>
      <c r="E1173" s="22" t="n"/>
      <c r="F1173" s="1" t="n"/>
    </row>
    <row r="1174">
      <c r="A1174" s="1" t="n"/>
      <c r="B1174" s="20" t="n"/>
      <c r="C1174" s="21" t="n"/>
      <c r="D1174" s="24" t="n"/>
      <c r="E1174" s="22" t="n"/>
      <c r="F1174" s="1" t="n"/>
    </row>
    <row r="1175">
      <c r="A1175" s="1" t="n"/>
      <c r="B1175" s="20" t="n"/>
      <c r="C1175" s="21" t="n"/>
      <c r="D1175" s="24" t="n"/>
      <c r="E1175" s="22" t="n"/>
      <c r="F1175" s="1" t="n"/>
    </row>
    <row r="1176">
      <c r="A1176" s="1" t="n"/>
      <c r="B1176" s="20" t="n"/>
      <c r="C1176" s="21" t="n"/>
      <c r="D1176" s="24" t="n"/>
      <c r="E1176" s="22" t="n"/>
      <c r="F1176" s="1" t="n"/>
    </row>
    <row r="1177">
      <c r="A1177" s="1" t="n"/>
      <c r="B1177" s="20" t="n"/>
      <c r="C1177" s="21" t="n"/>
      <c r="D1177" s="24" t="n"/>
      <c r="E1177" s="22" t="n"/>
      <c r="F1177" s="1" t="n"/>
    </row>
    <row r="1178">
      <c r="A1178" s="1" t="n"/>
      <c r="B1178" s="20" t="n"/>
      <c r="C1178" s="21" t="n"/>
      <c r="D1178" s="24" t="n"/>
      <c r="E1178" s="22" t="n"/>
      <c r="F1178" s="1" t="n"/>
    </row>
    <row r="1179">
      <c r="A1179" s="1" t="n"/>
      <c r="B1179" s="20" t="n"/>
      <c r="C1179" s="21" t="n"/>
      <c r="D1179" s="24" t="n"/>
      <c r="E1179" s="22" t="n"/>
      <c r="F1179" s="1" t="n"/>
    </row>
    <row r="1180">
      <c r="A1180" s="1" t="n"/>
      <c r="B1180" s="20" t="n"/>
      <c r="C1180" s="21" t="n"/>
      <c r="D1180" s="24" t="n"/>
      <c r="E1180" s="22" t="n"/>
      <c r="F1180" s="1" t="n"/>
    </row>
    <row r="1181">
      <c r="A1181" s="1" t="n"/>
      <c r="B1181" s="20" t="n"/>
      <c r="C1181" s="21" t="n"/>
      <c r="D1181" s="24" t="n"/>
      <c r="E1181" s="22" t="n"/>
      <c r="F1181" s="1" t="n"/>
    </row>
    <row r="1182">
      <c r="A1182" s="1" t="n"/>
      <c r="B1182" s="20" t="n"/>
      <c r="C1182" s="21" t="n"/>
      <c r="D1182" s="24" t="n"/>
      <c r="E1182" s="22" t="n"/>
      <c r="F1182" s="1" t="n"/>
    </row>
    <row r="1183">
      <c r="A1183" s="1" t="n"/>
      <c r="B1183" s="20" t="n"/>
      <c r="C1183" s="21" t="n"/>
      <c r="D1183" s="24" t="n"/>
      <c r="E1183" s="22" t="n"/>
      <c r="F1183" s="1" t="n"/>
    </row>
    <row r="1184">
      <c r="A1184" s="1" t="n"/>
      <c r="B1184" s="20" t="n"/>
      <c r="C1184" s="21" t="n"/>
      <c r="D1184" s="24" t="n"/>
      <c r="E1184" s="22" t="n"/>
      <c r="F1184" s="1" t="n"/>
    </row>
    <row r="1185">
      <c r="A1185" s="1" t="n"/>
      <c r="B1185" s="20" t="n"/>
      <c r="C1185" s="21" t="n"/>
      <c r="D1185" s="24" t="n"/>
      <c r="E1185" s="22" t="n"/>
      <c r="F1185" s="1" t="n"/>
    </row>
    <row r="1186">
      <c r="A1186" s="1" t="n"/>
      <c r="B1186" s="20" t="n"/>
      <c r="C1186" s="21" t="n"/>
      <c r="D1186" s="24" t="n"/>
      <c r="E1186" s="22" t="n"/>
      <c r="F1186" s="1" t="n"/>
    </row>
    <row r="1187">
      <c r="A1187" s="1" t="n"/>
      <c r="B1187" s="20" t="n"/>
      <c r="C1187" s="21" t="n"/>
      <c r="D1187" s="24" t="n"/>
      <c r="E1187" s="22" t="n"/>
      <c r="F1187" s="1" t="n"/>
    </row>
    <row r="1188">
      <c r="A1188" s="1" t="n"/>
      <c r="B1188" s="20" t="n"/>
      <c r="C1188" s="21" t="n"/>
      <c r="D1188" s="24" t="n"/>
      <c r="E1188" s="22" t="n"/>
      <c r="F1188" s="1" t="n"/>
    </row>
    <row r="1189">
      <c r="A1189" s="1" t="n"/>
      <c r="B1189" s="20" t="n"/>
      <c r="C1189" s="21" t="n"/>
      <c r="D1189" s="24" t="n"/>
      <c r="E1189" s="22" t="n"/>
      <c r="F1189" s="1" t="n"/>
    </row>
    <row r="1190">
      <c r="A1190" s="1" t="n"/>
      <c r="B1190" s="20" t="n"/>
      <c r="C1190" s="21" t="n"/>
      <c r="D1190" s="24" t="n"/>
      <c r="E1190" s="22" t="n"/>
      <c r="F1190" s="1" t="n"/>
    </row>
    <row r="1191">
      <c r="A1191" s="1" t="n"/>
      <c r="B1191" s="20" t="n"/>
      <c r="C1191" s="21" t="n"/>
      <c r="D1191" s="24" t="n"/>
      <c r="E1191" s="22" t="n"/>
      <c r="F1191" s="1" t="n"/>
    </row>
    <row r="1192">
      <c r="A1192" s="1" t="n"/>
      <c r="B1192" s="20" t="n"/>
      <c r="C1192" s="21" t="n"/>
      <c r="D1192" s="24" t="n"/>
      <c r="E1192" s="22" t="n"/>
      <c r="F1192" s="1" t="n"/>
    </row>
    <row r="1193">
      <c r="A1193" s="1" t="n"/>
      <c r="B1193" s="20" t="n"/>
      <c r="C1193" s="21" t="n"/>
      <c r="D1193" s="24" t="n"/>
      <c r="E1193" s="22" t="n"/>
      <c r="F1193" s="1" t="n"/>
    </row>
    <row r="1194">
      <c r="A1194" s="1" t="n"/>
      <c r="B1194" s="20" t="n"/>
      <c r="C1194" s="21" t="n"/>
      <c r="D1194" s="24" t="n"/>
      <c r="E1194" s="22" t="n"/>
      <c r="F1194" s="1" t="n"/>
    </row>
    <row r="1195">
      <c r="A1195" s="1" t="n"/>
      <c r="B1195" s="20" t="n"/>
      <c r="C1195" s="21" t="n"/>
      <c r="D1195" s="24" t="n"/>
      <c r="E1195" s="22" t="n"/>
      <c r="F1195" s="1" t="n"/>
    </row>
    <row r="1196">
      <c r="A1196" s="1" t="n"/>
      <c r="B1196" s="20" t="n"/>
      <c r="C1196" s="21" t="n"/>
      <c r="D1196" s="24" t="n"/>
      <c r="E1196" s="22" t="n"/>
      <c r="F1196" s="1" t="n"/>
    </row>
    <row r="1197">
      <c r="A1197" s="1" t="n"/>
      <c r="B1197" s="20" t="n"/>
      <c r="C1197" s="21" t="n"/>
      <c r="D1197" s="24" t="n"/>
      <c r="E1197" s="22" t="n"/>
      <c r="F1197" s="1" t="n"/>
    </row>
    <row r="1198">
      <c r="A1198" s="1" t="n"/>
      <c r="B1198" s="20" t="n"/>
      <c r="C1198" s="21" t="n"/>
      <c r="D1198" s="24" t="n"/>
      <c r="E1198" s="22" t="n"/>
      <c r="F1198" s="1" t="n"/>
    </row>
    <row r="1199">
      <c r="A1199" s="1" t="n"/>
      <c r="B1199" s="20" t="n"/>
      <c r="C1199" s="21" t="n"/>
      <c r="D1199" s="24" t="n"/>
      <c r="E1199" s="22" t="n"/>
      <c r="F1199" s="1" t="n"/>
    </row>
    <row r="1200">
      <c r="A1200" s="1" t="n"/>
      <c r="B1200" s="20" t="n"/>
      <c r="C1200" s="21" t="n"/>
      <c r="D1200" s="24" t="n"/>
      <c r="E1200" s="22" t="n"/>
      <c r="F1200" s="1" t="n"/>
    </row>
    <row r="1201">
      <c r="A1201" s="1" t="n"/>
      <c r="B1201" s="20" t="n"/>
      <c r="C1201" s="21" t="n"/>
      <c r="D1201" s="24" t="n"/>
      <c r="E1201" s="22" t="n"/>
      <c r="F1201" s="1" t="n"/>
    </row>
    <row r="1202">
      <c r="A1202" s="1" t="n"/>
      <c r="B1202" s="20" t="n"/>
      <c r="C1202" s="21" t="n"/>
      <c r="D1202" s="24" t="n"/>
      <c r="E1202" s="22" t="n"/>
      <c r="F1202" s="1" t="n"/>
    </row>
    <row r="1203">
      <c r="A1203" s="1" t="n"/>
      <c r="B1203" s="20" t="n"/>
      <c r="C1203" s="21" t="n"/>
      <c r="D1203" s="24" t="n"/>
      <c r="E1203" s="22" t="n"/>
      <c r="F1203" s="1" t="n"/>
    </row>
    <row r="1204">
      <c r="A1204" s="1" t="n"/>
      <c r="B1204" s="20" t="n"/>
      <c r="C1204" s="21" t="n"/>
      <c r="D1204" s="24" t="n"/>
      <c r="E1204" s="22" t="n"/>
      <c r="F1204" s="1" t="n"/>
    </row>
    <row r="1205">
      <c r="A1205" s="1" t="n"/>
      <c r="B1205" s="20" t="n"/>
      <c r="C1205" s="21" t="n"/>
      <c r="D1205" s="24" t="n"/>
      <c r="E1205" s="22" t="n"/>
      <c r="F1205" s="1" t="n"/>
    </row>
    <row r="1206">
      <c r="A1206" s="1" t="n"/>
      <c r="B1206" s="20" t="n"/>
      <c r="C1206" s="21" t="n"/>
      <c r="D1206" s="24" t="n"/>
      <c r="E1206" s="22" t="n"/>
      <c r="F1206" s="1" t="n"/>
    </row>
    <row r="1207">
      <c r="A1207" s="1" t="n"/>
      <c r="B1207" s="20" t="n"/>
      <c r="C1207" s="21" t="n"/>
      <c r="D1207" s="24" t="n"/>
      <c r="E1207" s="22" t="n"/>
      <c r="F1207" s="1" t="n"/>
    </row>
    <row r="1208">
      <c r="A1208" s="1" t="n"/>
      <c r="B1208" s="20" t="n"/>
      <c r="C1208" s="21" t="n"/>
      <c r="D1208" s="24" t="n"/>
      <c r="E1208" s="22" t="n"/>
      <c r="F1208" s="1" t="n"/>
    </row>
    <row r="1209">
      <c r="A1209" s="1" t="n"/>
      <c r="B1209" s="20" t="n"/>
      <c r="C1209" s="21" t="n"/>
      <c r="D1209" s="24" t="n"/>
      <c r="E1209" s="22" t="n"/>
      <c r="F1209" s="1" t="n"/>
    </row>
    <row r="1210">
      <c r="A1210" s="1" t="n"/>
      <c r="B1210" s="20" t="n"/>
      <c r="C1210" s="21" t="n"/>
      <c r="D1210" s="24" t="n"/>
      <c r="E1210" s="22" t="n"/>
      <c r="F1210" s="1" t="n"/>
    </row>
    <row r="1211">
      <c r="A1211" s="1" t="n"/>
      <c r="B1211" s="20" t="n"/>
      <c r="C1211" s="21" t="n"/>
      <c r="D1211" s="24" t="n"/>
      <c r="E1211" s="22" t="n"/>
      <c r="F1211" s="1" t="n"/>
    </row>
    <row r="1212">
      <c r="A1212" s="1" t="n"/>
      <c r="B1212" s="20" t="n"/>
      <c r="C1212" s="21" t="n"/>
      <c r="D1212" s="24" t="n"/>
      <c r="E1212" s="22" t="n"/>
      <c r="F1212" s="1" t="n"/>
    </row>
    <row r="1213">
      <c r="A1213" s="1" t="n"/>
      <c r="B1213" s="20" t="n"/>
      <c r="C1213" s="21" t="n"/>
      <c r="D1213" s="24" t="n"/>
      <c r="E1213" s="22" t="n"/>
      <c r="F1213" s="1" t="n"/>
    </row>
    <row r="1214">
      <c r="A1214" s="1" t="n"/>
      <c r="B1214" s="20" t="n"/>
      <c r="C1214" s="21" t="n"/>
      <c r="D1214" s="24" t="n"/>
      <c r="E1214" s="22" t="n"/>
      <c r="F1214" s="1" t="n"/>
    </row>
    <row r="1215">
      <c r="A1215" s="1" t="n"/>
      <c r="B1215" s="20" t="n"/>
      <c r="C1215" s="21" t="n"/>
      <c r="D1215" s="24" t="n"/>
      <c r="E1215" s="22" t="n"/>
      <c r="F1215" s="1" t="n"/>
    </row>
    <row r="1216">
      <c r="A1216" s="1" t="n"/>
      <c r="B1216" s="20" t="n"/>
      <c r="C1216" s="21" t="n"/>
      <c r="D1216" s="24" t="n"/>
      <c r="E1216" s="22" t="n"/>
      <c r="F1216" s="1" t="n"/>
    </row>
    <row r="1217">
      <c r="A1217" s="1" t="n"/>
      <c r="B1217" s="20" t="n"/>
      <c r="C1217" s="21" t="n"/>
      <c r="D1217" s="24" t="n"/>
      <c r="E1217" s="22" t="n"/>
      <c r="F1217" s="1" t="n"/>
    </row>
    <row r="1218">
      <c r="A1218" s="1" t="n"/>
      <c r="B1218" s="20" t="n"/>
      <c r="C1218" s="21" t="n"/>
      <c r="D1218" s="24" t="n"/>
      <c r="E1218" s="22" t="n"/>
      <c r="F1218" s="1" t="n"/>
    </row>
    <row r="1219">
      <c r="A1219" s="1" t="n"/>
      <c r="B1219" s="20" t="n"/>
      <c r="C1219" s="21" t="n"/>
      <c r="D1219" s="24" t="n"/>
      <c r="E1219" s="22" t="n"/>
      <c r="F1219" s="1" t="n"/>
    </row>
    <row r="1220">
      <c r="A1220" s="1" t="n"/>
      <c r="B1220" s="20" t="n"/>
      <c r="C1220" s="21" t="n"/>
      <c r="D1220" s="24" t="n"/>
      <c r="E1220" s="22" t="n"/>
      <c r="F1220" s="1" t="n"/>
    </row>
    <row r="1221">
      <c r="A1221" s="1" t="n"/>
      <c r="B1221" s="20" t="n"/>
      <c r="C1221" s="21" t="n"/>
      <c r="D1221" s="24" t="n"/>
      <c r="E1221" s="22" t="n"/>
      <c r="F1221" s="1" t="n"/>
    </row>
    <row r="1222">
      <c r="A1222" s="1" t="n"/>
      <c r="B1222" s="20" t="n"/>
      <c r="C1222" s="21" t="n"/>
      <c r="D1222" s="24" t="n"/>
      <c r="E1222" s="22" t="n"/>
      <c r="F1222" s="1" t="n"/>
    </row>
    <row r="1223">
      <c r="A1223" s="1" t="n"/>
      <c r="B1223" s="20" t="n"/>
      <c r="C1223" s="21" t="n"/>
      <c r="D1223" s="24" t="n"/>
      <c r="E1223" s="22" t="n"/>
      <c r="F1223" s="1" t="n"/>
    </row>
    <row r="1224">
      <c r="A1224" s="1" t="n"/>
      <c r="B1224" s="20" t="n"/>
      <c r="C1224" s="21" t="n"/>
      <c r="D1224" s="24" t="n"/>
      <c r="E1224" s="22" t="n"/>
      <c r="F1224" s="1" t="n"/>
    </row>
    <row r="1225">
      <c r="A1225" s="1" t="n"/>
      <c r="B1225" s="20" t="n"/>
      <c r="C1225" s="21" t="n"/>
      <c r="D1225" s="24" t="n"/>
      <c r="E1225" s="22" t="n"/>
      <c r="F1225" s="1" t="n"/>
    </row>
    <row r="1226">
      <c r="A1226" s="1" t="n"/>
      <c r="B1226" s="20" t="n"/>
      <c r="C1226" s="21" t="n"/>
      <c r="D1226" s="24" t="n"/>
      <c r="E1226" s="22" t="n"/>
      <c r="F1226" s="1" t="n"/>
    </row>
    <row r="1227">
      <c r="A1227" s="1" t="n"/>
      <c r="B1227" s="20" t="n"/>
      <c r="C1227" s="21" t="n"/>
      <c r="D1227" s="24" t="n"/>
      <c r="E1227" s="22" t="n"/>
      <c r="F1227" s="1" t="n"/>
    </row>
    <row r="1228">
      <c r="A1228" s="1" t="n"/>
      <c r="B1228" s="20" t="n"/>
      <c r="C1228" s="21" t="n"/>
      <c r="D1228" s="24" t="n"/>
      <c r="E1228" s="22" t="n"/>
      <c r="F1228" s="1" t="n"/>
    </row>
    <row r="1229">
      <c r="A1229" s="1" t="n"/>
      <c r="B1229" s="20" t="n"/>
      <c r="C1229" s="21" t="n"/>
      <c r="D1229" s="24" t="n"/>
      <c r="E1229" s="22" t="n"/>
      <c r="F1229" s="1" t="n"/>
    </row>
    <row r="1230">
      <c r="A1230" s="1" t="n"/>
      <c r="B1230" s="20" t="n"/>
      <c r="C1230" s="21" t="n"/>
      <c r="D1230" s="24" t="n"/>
      <c r="E1230" s="22" t="n"/>
      <c r="F1230" s="1" t="n"/>
    </row>
    <row r="1231">
      <c r="A1231" s="1" t="n"/>
      <c r="B1231" s="20" t="n"/>
      <c r="C1231" s="21" t="n"/>
      <c r="D1231" s="24" t="n"/>
      <c r="E1231" s="22" t="n"/>
      <c r="F1231" s="1" t="n"/>
    </row>
    <row r="1232">
      <c r="A1232" s="1" t="n"/>
      <c r="B1232" s="20" t="n"/>
      <c r="C1232" s="21" t="n"/>
      <c r="D1232" s="24" t="n"/>
      <c r="E1232" s="22" t="n"/>
      <c r="F1232" s="1" t="n"/>
    </row>
    <row r="1233">
      <c r="A1233" s="1" t="n"/>
      <c r="B1233" s="20" t="n"/>
      <c r="C1233" s="21" t="n"/>
      <c r="D1233" s="24" t="n"/>
      <c r="E1233" s="22" t="n"/>
      <c r="F1233" s="1" t="n"/>
    </row>
    <row r="1234">
      <c r="A1234" s="1" t="n"/>
      <c r="B1234" s="20" t="n"/>
      <c r="C1234" s="21" t="n"/>
      <c r="D1234" s="24" t="n"/>
      <c r="E1234" s="22" t="n"/>
      <c r="F1234" s="1" t="n"/>
    </row>
    <row r="1235">
      <c r="A1235" s="1" t="n"/>
      <c r="B1235" s="20" t="n"/>
      <c r="C1235" s="21" t="n"/>
      <c r="D1235" s="24" t="n"/>
      <c r="E1235" s="22" t="n"/>
      <c r="F1235" s="1" t="n"/>
    </row>
    <row r="1236">
      <c r="A1236" s="1" t="n"/>
      <c r="B1236" s="20" t="n"/>
      <c r="C1236" s="21" t="n"/>
      <c r="D1236" s="24" t="n"/>
      <c r="E1236" s="22" t="n"/>
      <c r="F1236" s="1" t="n"/>
    </row>
    <row r="1237">
      <c r="A1237" s="1" t="n"/>
      <c r="B1237" s="20" t="n"/>
      <c r="C1237" s="21" t="n"/>
      <c r="D1237" s="24" t="n"/>
      <c r="E1237" s="22" t="n"/>
      <c r="F1237" s="1" t="n"/>
    </row>
    <row r="1238">
      <c r="A1238" s="1" t="n"/>
      <c r="B1238" s="20" t="n"/>
      <c r="C1238" s="21" t="n"/>
      <c r="D1238" s="24" t="n"/>
      <c r="E1238" s="22" t="n"/>
      <c r="F1238" s="1" t="n"/>
    </row>
    <row r="1239">
      <c r="A1239" s="1" t="n"/>
      <c r="B1239" s="20" t="n"/>
      <c r="C1239" s="21" t="n"/>
      <c r="D1239" s="24" t="n"/>
      <c r="E1239" s="22" t="n"/>
      <c r="F1239" s="1" t="n"/>
    </row>
    <row r="1240">
      <c r="A1240" s="1" t="n"/>
      <c r="B1240" s="20" t="n"/>
      <c r="C1240" s="21" t="n"/>
      <c r="D1240" s="24" t="n"/>
      <c r="E1240" s="22" t="n"/>
      <c r="F1240" s="1" t="n"/>
    </row>
    <row r="1241">
      <c r="A1241" s="1" t="n"/>
      <c r="B1241" s="20" t="n"/>
      <c r="C1241" s="21" t="n"/>
      <c r="D1241" s="24" t="n"/>
      <c r="E1241" s="22" t="n"/>
      <c r="F1241" s="1" t="n"/>
    </row>
    <row r="1242">
      <c r="A1242" s="1" t="n"/>
      <c r="B1242" s="20" t="n"/>
      <c r="C1242" s="21" t="n"/>
      <c r="D1242" s="24" t="n"/>
      <c r="E1242" s="22" t="n"/>
      <c r="F1242" s="1" t="n"/>
    </row>
    <row r="1243">
      <c r="A1243" s="1" t="n"/>
      <c r="B1243" s="20" t="n"/>
      <c r="C1243" s="21" t="n"/>
      <c r="D1243" s="24" t="n"/>
      <c r="E1243" s="22" t="n"/>
      <c r="F1243" s="1" t="n"/>
    </row>
    <row r="1244">
      <c r="A1244" s="1" t="n"/>
      <c r="B1244" s="20" t="n"/>
      <c r="C1244" s="21" t="n"/>
      <c r="D1244" s="24" t="n"/>
      <c r="E1244" s="22" t="n"/>
      <c r="F1244" s="1" t="n"/>
    </row>
    <row r="1245">
      <c r="A1245" s="1" t="n"/>
      <c r="B1245" s="20" t="n"/>
      <c r="C1245" s="21" t="n"/>
      <c r="D1245" s="24" t="n"/>
      <c r="E1245" s="22" t="n"/>
      <c r="F1245" s="1" t="n"/>
    </row>
    <row r="1246">
      <c r="A1246" s="1" t="n"/>
      <c r="B1246" s="20" t="n"/>
      <c r="C1246" s="21" t="n"/>
      <c r="D1246" s="24" t="n"/>
      <c r="E1246" s="22" t="n"/>
      <c r="F1246" s="1" t="n"/>
    </row>
    <row r="1247">
      <c r="A1247" s="1" t="n"/>
      <c r="B1247" s="20" t="n"/>
      <c r="C1247" s="21" t="n"/>
      <c r="D1247" s="24" t="n"/>
      <c r="E1247" s="22" t="n"/>
      <c r="F1247" s="1" t="n"/>
    </row>
    <row r="1248">
      <c r="A1248" s="1" t="n"/>
      <c r="B1248" s="20" t="n"/>
      <c r="C1248" s="21" t="n"/>
      <c r="D1248" s="24" t="n"/>
      <c r="E1248" s="22" t="n"/>
      <c r="F1248" s="1" t="n"/>
    </row>
    <row r="1249">
      <c r="A1249" s="1" t="n"/>
      <c r="B1249" s="20" t="n"/>
      <c r="C1249" s="21" t="n"/>
      <c r="D1249" s="24" t="n"/>
      <c r="E1249" s="22" t="n"/>
      <c r="F1249" s="1" t="n"/>
    </row>
    <row r="1250">
      <c r="A1250" s="1" t="n"/>
      <c r="B1250" s="20" t="n"/>
      <c r="C1250" s="21" t="n"/>
      <c r="D1250" s="24" t="n"/>
      <c r="E1250" s="22" t="n"/>
      <c r="F1250" s="1" t="n"/>
    </row>
    <row r="1251">
      <c r="A1251" s="1" t="n"/>
      <c r="B1251" s="20" t="n"/>
      <c r="C1251" s="21" t="n"/>
      <c r="D1251" s="24" t="n"/>
      <c r="E1251" s="22" t="n"/>
      <c r="F1251" s="1" t="n"/>
    </row>
    <row r="1252">
      <c r="A1252" s="1" t="n"/>
      <c r="B1252" s="20" t="n"/>
      <c r="C1252" s="21" t="n"/>
      <c r="D1252" s="24" t="n"/>
      <c r="E1252" s="22" t="n"/>
      <c r="F1252" s="1" t="n"/>
    </row>
    <row r="1253">
      <c r="A1253" s="1" t="n"/>
      <c r="B1253" s="20" t="n"/>
      <c r="C1253" s="21" t="n"/>
      <c r="D1253" s="24" t="n"/>
      <c r="E1253" s="22" t="n"/>
      <c r="F1253" s="1" t="n"/>
    </row>
    <row r="1254">
      <c r="A1254" s="1" t="n"/>
      <c r="B1254" s="20" t="n"/>
      <c r="C1254" s="21" t="n"/>
      <c r="D1254" s="24" t="n"/>
      <c r="E1254" s="22" t="n"/>
      <c r="F1254" s="1" t="n"/>
    </row>
    <row r="1255">
      <c r="A1255" s="1" t="n"/>
      <c r="B1255" s="20" t="n"/>
      <c r="C1255" s="21" t="n"/>
      <c r="D1255" s="24" t="n"/>
      <c r="E1255" s="22" t="n"/>
      <c r="F1255" s="1" t="n"/>
    </row>
    <row r="1256">
      <c r="A1256" s="1" t="n"/>
      <c r="B1256" s="20" t="n"/>
      <c r="C1256" s="21" t="n"/>
      <c r="D1256" s="24" t="n"/>
      <c r="E1256" s="22" t="n"/>
      <c r="F1256" s="1" t="n"/>
    </row>
    <row r="1257">
      <c r="A1257" s="1" t="n"/>
      <c r="B1257" s="20" t="n"/>
      <c r="C1257" s="21" t="n"/>
      <c r="D1257" s="24" t="n"/>
      <c r="E1257" s="22" t="n"/>
      <c r="F1257" s="1" t="n"/>
    </row>
    <row r="1258">
      <c r="A1258" s="1" t="n"/>
      <c r="B1258" s="20" t="n"/>
      <c r="C1258" s="21" t="n"/>
      <c r="D1258" s="24" t="n"/>
      <c r="E1258" s="22" t="n"/>
      <c r="F1258" s="1" t="n"/>
    </row>
    <row r="1259">
      <c r="A1259" s="1" t="n"/>
      <c r="B1259" s="20" t="n"/>
      <c r="C1259" s="21" t="n"/>
      <c r="D1259" s="24" t="n"/>
      <c r="E1259" s="22" t="n"/>
      <c r="F1259" s="1" t="n"/>
    </row>
    <row r="1260">
      <c r="A1260" s="1" t="n"/>
      <c r="B1260" s="20" t="n"/>
      <c r="C1260" s="21" t="n"/>
      <c r="D1260" s="24" t="n"/>
      <c r="E1260" s="22" t="n"/>
      <c r="F1260" s="1" t="n"/>
    </row>
    <row r="1261">
      <c r="A1261" s="1" t="n"/>
      <c r="B1261" s="20" t="n"/>
      <c r="C1261" s="21" t="n"/>
      <c r="D1261" s="24" t="n"/>
      <c r="E1261" s="22" t="n"/>
      <c r="F1261" s="1" t="n"/>
    </row>
    <row r="1262">
      <c r="A1262" s="1" t="n"/>
      <c r="B1262" s="20" t="n"/>
      <c r="C1262" s="21" t="n"/>
      <c r="D1262" s="24" t="n"/>
      <c r="E1262" s="22" t="n"/>
      <c r="F1262" s="1" t="n"/>
    </row>
    <row r="1263">
      <c r="A1263" s="1" t="n"/>
      <c r="B1263" s="20" t="n"/>
      <c r="C1263" s="21" t="n"/>
      <c r="D1263" s="24" t="n"/>
      <c r="E1263" s="22" t="n"/>
      <c r="F1263" s="1" t="n"/>
    </row>
    <row r="1264">
      <c r="A1264" s="1" t="n"/>
      <c r="B1264" s="20" t="n"/>
      <c r="C1264" s="21" t="n"/>
      <c r="D1264" s="24" t="n"/>
      <c r="E1264" s="22" t="n"/>
      <c r="F1264" s="1" t="n"/>
    </row>
    <row r="1265">
      <c r="A1265" s="1" t="n"/>
      <c r="B1265" s="20" t="n"/>
      <c r="C1265" s="21" t="n"/>
      <c r="D1265" s="24" t="n"/>
      <c r="E1265" s="22" t="n"/>
      <c r="F1265" s="1" t="n"/>
    </row>
    <row r="1266">
      <c r="A1266" s="1" t="n"/>
      <c r="B1266" s="20" t="n"/>
      <c r="C1266" s="21" t="n"/>
      <c r="D1266" s="24" t="n"/>
      <c r="E1266" s="22" t="n"/>
      <c r="F1266" s="1" t="n"/>
    </row>
    <row r="1267">
      <c r="A1267" s="1" t="n"/>
      <c r="B1267" s="20" t="n"/>
      <c r="C1267" s="21" t="n"/>
      <c r="D1267" s="24" t="n"/>
      <c r="E1267" s="22" t="n"/>
      <c r="F1267" s="1" t="n"/>
    </row>
    <row r="1268">
      <c r="A1268" s="1" t="n"/>
      <c r="B1268" s="20" t="n"/>
      <c r="C1268" s="21" t="n"/>
      <c r="D1268" s="24" t="n"/>
      <c r="E1268" s="22" t="n"/>
      <c r="F1268" s="1" t="n"/>
    </row>
    <row r="1269">
      <c r="A1269" s="1" t="n"/>
      <c r="B1269" s="20" t="n"/>
      <c r="C1269" s="21" t="n"/>
      <c r="D1269" s="24" t="n"/>
      <c r="E1269" s="22" t="n"/>
      <c r="F1269" s="1" t="n"/>
    </row>
    <row r="1270">
      <c r="A1270" s="1" t="n"/>
      <c r="B1270" s="20" t="n"/>
      <c r="C1270" s="21" t="n"/>
      <c r="D1270" s="24" t="n"/>
      <c r="E1270" s="22" t="n"/>
      <c r="F1270" s="1" t="n"/>
    </row>
    <row r="1271">
      <c r="A1271" s="1" t="n"/>
      <c r="B1271" s="20" t="n"/>
      <c r="C1271" s="21" t="n"/>
      <c r="D1271" s="24" t="n"/>
      <c r="E1271" s="22" t="n"/>
      <c r="F1271" s="1" t="n"/>
    </row>
    <row r="1272">
      <c r="A1272" s="1" t="n"/>
      <c r="B1272" s="20" t="n"/>
      <c r="C1272" s="21" t="n"/>
      <c r="D1272" s="24" t="n"/>
      <c r="E1272" s="22" t="n"/>
      <c r="F1272" s="1" t="n"/>
    </row>
    <row r="1273">
      <c r="A1273" s="1" t="n"/>
      <c r="B1273" s="20" t="n"/>
      <c r="C1273" s="21" t="n"/>
      <c r="D1273" s="24" t="n"/>
      <c r="E1273" s="22" t="n"/>
      <c r="F1273" s="1" t="n"/>
    </row>
    <row r="1274">
      <c r="A1274" s="1" t="n"/>
      <c r="B1274" s="20" t="n"/>
      <c r="C1274" s="21" t="n"/>
      <c r="D1274" s="24" t="n"/>
      <c r="E1274" s="22" t="n"/>
      <c r="F1274" s="1" t="n"/>
    </row>
    <row r="1275">
      <c r="A1275" s="1" t="n"/>
      <c r="B1275" s="20" t="n"/>
      <c r="C1275" s="21" t="n"/>
      <c r="D1275" s="24" t="n"/>
      <c r="E1275" s="22" t="n"/>
      <c r="F1275" s="1" t="n"/>
    </row>
    <row r="1276">
      <c r="A1276" s="1" t="n"/>
      <c r="B1276" s="20" t="n"/>
      <c r="C1276" s="21" t="n"/>
      <c r="D1276" s="24" t="n"/>
      <c r="E1276" s="22" t="n"/>
      <c r="F1276" s="1" t="n"/>
    </row>
    <row r="1277">
      <c r="A1277" s="1" t="n"/>
      <c r="B1277" s="20" t="n"/>
      <c r="C1277" s="21" t="n"/>
      <c r="D1277" s="24" t="n"/>
      <c r="E1277" s="22" t="n"/>
      <c r="F1277" s="1" t="n"/>
    </row>
    <row r="1278">
      <c r="A1278" s="1" t="n"/>
      <c r="B1278" s="20" t="n"/>
      <c r="C1278" s="21" t="n"/>
      <c r="D1278" s="24" t="n"/>
      <c r="E1278" s="22" t="n"/>
      <c r="F1278" s="1" t="n"/>
    </row>
    <row r="1279">
      <c r="A1279" s="1" t="n"/>
      <c r="B1279" s="20" t="n"/>
      <c r="C1279" s="21" t="n"/>
      <c r="D1279" s="24" t="n"/>
      <c r="E1279" s="22" t="n"/>
      <c r="F1279" s="1" t="n"/>
    </row>
    <row r="1280">
      <c r="A1280" s="1" t="n"/>
      <c r="B1280" s="20" t="n"/>
      <c r="C1280" s="21" t="n"/>
      <c r="D1280" s="24" t="n"/>
      <c r="E1280" s="22" t="n"/>
      <c r="F1280" s="1" t="n"/>
    </row>
    <row r="1281">
      <c r="A1281" s="1" t="n"/>
      <c r="B1281" s="20" t="n"/>
      <c r="C1281" s="21" t="n"/>
      <c r="D1281" s="24" t="n"/>
      <c r="E1281" s="22" t="n"/>
      <c r="F1281" s="1" t="n"/>
    </row>
    <row r="1282">
      <c r="A1282" s="1" t="n"/>
      <c r="B1282" s="20" t="n"/>
      <c r="C1282" s="21" t="n"/>
      <c r="D1282" s="24" t="n"/>
      <c r="E1282" s="22" t="n"/>
      <c r="F1282" s="1" t="n"/>
    </row>
    <row r="1283">
      <c r="A1283" s="1" t="n"/>
      <c r="B1283" s="20" t="n"/>
      <c r="C1283" s="21" t="n"/>
      <c r="D1283" s="24" t="n"/>
      <c r="E1283" s="22" t="n"/>
      <c r="F1283" s="1" t="n"/>
    </row>
    <row r="1284">
      <c r="A1284" s="1" t="n"/>
      <c r="B1284" s="20" t="n"/>
      <c r="C1284" s="21" t="n"/>
      <c r="D1284" s="24" t="n"/>
      <c r="E1284" s="22" t="n"/>
      <c r="F1284" s="1" t="n"/>
    </row>
    <row r="1285">
      <c r="A1285" s="1" t="n"/>
      <c r="B1285" s="20" t="n"/>
      <c r="C1285" s="21" t="n"/>
      <c r="D1285" s="24" t="n"/>
      <c r="E1285" s="22" t="n"/>
      <c r="F1285" s="1" t="n"/>
    </row>
    <row r="1286">
      <c r="A1286" s="1" t="n"/>
      <c r="B1286" s="20" t="n"/>
      <c r="C1286" s="21" t="n"/>
      <c r="D1286" s="24" t="n"/>
      <c r="E1286" s="22" t="n"/>
      <c r="F1286" s="1" t="n"/>
    </row>
    <row r="1287">
      <c r="A1287" s="1" t="n"/>
      <c r="B1287" s="20" t="n"/>
      <c r="C1287" s="21" t="n"/>
      <c r="D1287" s="24" t="n"/>
      <c r="E1287" s="22" t="n"/>
      <c r="F1287" s="1" t="n"/>
    </row>
    <row r="1288">
      <c r="A1288" s="1" t="n"/>
      <c r="B1288" s="20" t="n"/>
      <c r="C1288" s="21" t="n"/>
      <c r="D1288" s="24" t="n"/>
      <c r="E1288" s="22" t="n"/>
      <c r="F1288" s="1" t="n"/>
    </row>
    <row r="1289">
      <c r="A1289" s="1" t="n"/>
      <c r="B1289" s="20" t="n"/>
      <c r="C1289" s="21" t="n"/>
      <c r="D1289" s="24" t="n"/>
      <c r="E1289" s="22" t="n"/>
      <c r="F1289" s="1" t="n"/>
    </row>
    <row r="1290">
      <c r="A1290" s="1" t="n"/>
      <c r="B1290" s="20" t="n"/>
      <c r="C1290" s="21" t="n"/>
      <c r="D1290" s="24" t="n"/>
      <c r="E1290" s="22" t="n"/>
      <c r="F1290" s="1" t="n"/>
    </row>
    <row r="1291">
      <c r="A1291" s="1" t="n"/>
      <c r="B1291" s="20" t="n"/>
      <c r="C1291" s="21" t="n"/>
      <c r="D1291" s="24" t="n"/>
      <c r="E1291" s="22" t="n"/>
      <c r="F1291" s="1" t="n"/>
    </row>
    <row r="1292">
      <c r="A1292" s="1" t="n"/>
      <c r="B1292" s="20" t="n"/>
      <c r="C1292" s="21" t="n"/>
      <c r="D1292" s="24" t="n"/>
      <c r="E1292" s="22" t="n"/>
      <c r="F1292" s="1" t="n"/>
    </row>
    <row r="1293">
      <c r="A1293" s="1" t="n"/>
      <c r="B1293" s="20" t="n"/>
      <c r="C1293" s="21" t="n"/>
      <c r="D1293" s="24" t="n"/>
      <c r="E1293" s="22" t="n"/>
      <c r="F1293" s="1" t="n"/>
    </row>
    <row r="1294">
      <c r="A1294" s="1" t="n"/>
      <c r="B1294" s="20" t="n"/>
      <c r="C1294" s="21" t="n"/>
      <c r="D1294" s="24" t="n"/>
      <c r="E1294" s="22" t="n"/>
      <c r="F1294" s="1" t="n"/>
    </row>
    <row r="1295">
      <c r="A1295" s="1" t="n"/>
      <c r="B1295" s="20" t="n"/>
      <c r="C1295" s="21" t="n"/>
      <c r="D1295" s="24" t="n"/>
      <c r="E1295" s="22" t="n"/>
      <c r="F1295" s="1" t="n"/>
    </row>
    <row r="1296">
      <c r="A1296" s="1" t="n"/>
      <c r="B1296" s="20" t="n"/>
      <c r="C1296" s="21" t="n"/>
      <c r="D1296" s="24" t="n"/>
      <c r="E1296" s="22" t="n"/>
      <c r="F1296" s="1" t="n"/>
    </row>
    <row r="1297">
      <c r="A1297" s="1" t="n"/>
      <c r="B1297" s="20" t="n"/>
      <c r="C1297" s="21" t="n"/>
      <c r="D1297" s="24" t="n"/>
      <c r="E1297" s="22" t="n"/>
      <c r="F1297" s="1" t="n"/>
    </row>
    <row r="1298">
      <c r="A1298" s="1" t="n"/>
      <c r="B1298" s="20" t="n"/>
      <c r="C1298" s="21" t="n"/>
      <c r="D1298" s="24" t="n"/>
      <c r="E1298" s="22" t="n"/>
      <c r="F1298" s="1" t="n"/>
    </row>
    <row r="1299">
      <c r="A1299" s="1" t="n"/>
      <c r="B1299" s="20" t="n"/>
      <c r="C1299" s="21" t="n"/>
      <c r="D1299" s="24" t="n"/>
      <c r="E1299" s="22" t="n"/>
      <c r="F1299" s="1" t="n"/>
    </row>
    <row r="1300">
      <c r="A1300" s="1" t="n"/>
      <c r="B1300" s="20" t="n"/>
      <c r="C1300" s="21" t="n"/>
      <c r="D1300" s="24" t="n"/>
      <c r="E1300" s="22" t="n"/>
      <c r="F1300" s="1" t="n"/>
    </row>
    <row r="1301">
      <c r="A1301" s="1" t="n"/>
      <c r="B1301" s="20" t="n"/>
      <c r="C1301" s="21" t="n"/>
      <c r="D1301" s="24" t="n"/>
      <c r="E1301" s="22" t="n"/>
      <c r="F1301" s="1" t="n"/>
    </row>
    <row r="1302">
      <c r="A1302" s="1" t="n"/>
      <c r="B1302" s="20" t="n"/>
      <c r="C1302" s="21" t="n"/>
      <c r="D1302" s="24" t="n"/>
      <c r="E1302" s="22" t="n"/>
      <c r="F1302" s="1" t="n"/>
    </row>
    <row r="1303">
      <c r="A1303" s="1" t="n"/>
      <c r="B1303" s="20" t="n"/>
      <c r="C1303" s="21" t="n"/>
      <c r="D1303" s="24" t="n"/>
      <c r="E1303" s="22" t="n"/>
      <c r="F1303" s="1" t="n"/>
    </row>
    <row r="1304">
      <c r="A1304" s="1" t="n"/>
      <c r="B1304" s="20" t="n"/>
      <c r="C1304" s="21" t="n"/>
      <c r="D1304" s="24" t="n"/>
      <c r="E1304" s="22" t="n"/>
      <c r="F1304" s="1" t="n"/>
    </row>
    <row r="1305">
      <c r="A1305" s="1" t="n"/>
      <c r="B1305" s="20" t="n"/>
      <c r="C1305" s="21" t="n"/>
      <c r="D1305" s="24" t="n"/>
      <c r="E1305" s="22" t="n"/>
      <c r="F1305" s="1" t="n"/>
    </row>
    <row r="1306">
      <c r="A1306" s="1" t="n"/>
      <c r="B1306" s="20" t="n"/>
      <c r="C1306" s="21" t="n"/>
      <c r="D1306" s="24" t="n"/>
      <c r="E1306" s="22" t="n"/>
      <c r="F1306" s="1" t="n"/>
    </row>
    <row r="1307">
      <c r="A1307" s="1" t="n"/>
      <c r="B1307" s="20" t="n"/>
      <c r="C1307" s="21" t="n"/>
      <c r="D1307" s="24" t="n"/>
      <c r="E1307" s="22" t="n"/>
      <c r="F1307" s="1" t="n"/>
    </row>
    <row r="1308">
      <c r="A1308" s="1" t="n"/>
      <c r="B1308" s="20" t="n"/>
      <c r="C1308" s="21" t="n"/>
      <c r="D1308" s="24" t="n"/>
      <c r="E1308" s="22" t="n"/>
      <c r="F1308" s="1" t="n"/>
    </row>
    <row r="1309">
      <c r="A1309" s="1" t="n"/>
      <c r="B1309" s="20" t="n"/>
      <c r="C1309" s="21" t="n"/>
      <c r="D1309" s="24" t="n"/>
      <c r="E1309" s="22" t="n"/>
      <c r="F1309" s="1" t="n"/>
    </row>
    <row r="1310">
      <c r="A1310" s="1" t="n"/>
      <c r="B1310" s="20" t="n"/>
      <c r="C1310" s="21" t="n"/>
      <c r="D1310" s="24" t="n"/>
      <c r="E1310" s="22" t="n"/>
      <c r="F1310" s="1" t="n"/>
    </row>
    <row r="1311">
      <c r="A1311" s="1" t="n"/>
      <c r="B1311" s="20" t="n"/>
      <c r="C1311" s="21" t="n"/>
      <c r="D1311" s="24" t="n"/>
      <c r="E1311" s="22" t="n"/>
      <c r="F1311" s="1" t="n"/>
    </row>
    <row r="1312">
      <c r="A1312" s="1" t="n"/>
      <c r="B1312" s="20" t="n"/>
      <c r="C1312" s="21" t="n"/>
      <c r="D1312" s="24" t="n"/>
      <c r="E1312" s="22" t="n"/>
      <c r="F1312" s="1" t="n"/>
    </row>
    <row r="1313">
      <c r="A1313" s="1" t="n"/>
      <c r="B1313" s="20" t="n"/>
      <c r="C1313" s="21" t="n"/>
      <c r="D1313" s="24" t="n"/>
      <c r="E1313" s="22" t="n"/>
      <c r="F1313" s="1" t="n"/>
    </row>
    <row r="1314">
      <c r="A1314" s="1" t="n"/>
      <c r="B1314" s="20" t="n"/>
      <c r="C1314" s="21" t="n"/>
      <c r="D1314" s="24" t="n"/>
      <c r="E1314" s="22" t="n"/>
      <c r="F1314" s="1" t="n"/>
    </row>
    <row r="1315">
      <c r="A1315" s="1" t="n"/>
      <c r="B1315" s="20" t="n"/>
      <c r="C1315" s="21" t="n"/>
      <c r="D1315" s="24" t="n"/>
      <c r="E1315" s="22" t="n"/>
      <c r="F1315" s="1" t="n"/>
    </row>
    <row r="1316">
      <c r="A1316" s="1" t="n"/>
      <c r="B1316" s="20" t="n"/>
      <c r="C1316" s="21" t="n"/>
      <c r="D1316" s="24" t="n"/>
      <c r="E1316" s="22" t="n"/>
      <c r="F1316" s="1" t="n"/>
    </row>
    <row r="1317">
      <c r="A1317" s="1" t="n"/>
      <c r="B1317" s="20" t="n"/>
      <c r="C1317" s="21" t="n"/>
      <c r="D1317" s="24" t="n"/>
      <c r="E1317" s="22" t="n"/>
      <c r="F1317" s="1" t="n"/>
    </row>
    <row r="1318">
      <c r="A1318" s="1" t="n"/>
      <c r="B1318" s="20" t="n"/>
      <c r="C1318" s="21" t="n"/>
      <c r="D1318" s="24" t="n"/>
      <c r="E1318" s="22" t="n"/>
      <c r="F1318" s="1" t="n"/>
    </row>
    <row r="1319">
      <c r="A1319" s="1" t="n"/>
      <c r="B1319" s="20" t="n"/>
      <c r="C1319" s="21" t="n"/>
      <c r="D1319" s="24" t="n"/>
      <c r="E1319" s="22" t="n"/>
      <c r="F1319" s="1" t="n"/>
    </row>
    <row r="1320">
      <c r="A1320" s="1" t="n"/>
      <c r="B1320" s="20" t="n"/>
      <c r="C1320" s="21" t="n"/>
      <c r="D1320" s="24" t="n"/>
      <c r="E1320" s="22" t="n"/>
      <c r="F1320" s="1" t="n"/>
    </row>
    <row r="1321">
      <c r="A1321" s="1" t="n"/>
      <c r="B1321" s="20" t="n"/>
      <c r="C1321" s="21" t="n"/>
      <c r="D1321" s="24" t="n"/>
      <c r="E1321" s="22" t="n"/>
      <c r="F1321" s="1" t="n"/>
    </row>
    <row r="1322">
      <c r="A1322" s="1" t="n"/>
      <c r="B1322" s="20" t="n"/>
      <c r="C1322" s="21" t="n"/>
      <c r="D1322" s="24" t="n"/>
      <c r="E1322" s="22" t="n"/>
      <c r="F1322" s="1" t="n"/>
    </row>
    <row r="1323">
      <c r="A1323" s="1" t="n"/>
      <c r="B1323" s="20" t="n"/>
      <c r="C1323" s="21" t="n"/>
      <c r="D1323" s="24" t="n"/>
      <c r="E1323" s="22" t="n"/>
      <c r="F1323" s="1" t="n"/>
    </row>
    <row r="1324">
      <c r="A1324" s="1" t="n"/>
      <c r="B1324" s="20" t="n"/>
      <c r="C1324" s="21" t="n"/>
      <c r="D1324" s="24" t="n"/>
      <c r="E1324" s="22" t="n"/>
      <c r="F1324" s="1" t="n"/>
    </row>
    <row r="1325">
      <c r="A1325" s="1" t="n"/>
      <c r="B1325" s="20" t="n"/>
      <c r="C1325" s="21" t="n"/>
      <c r="D1325" s="24" t="n"/>
      <c r="E1325" s="22" t="n"/>
      <c r="F1325" s="1" t="n"/>
    </row>
    <row r="1326">
      <c r="A1326" s="1" t="n"/>
      <c r="B1326" s="20" t="n"/>
      <c r="C1326" s="21" t="n"/>
      <c r="D1326" s="24" t="n"/>
      <c r="E1326" s="22" t="n"/>
      <c r="F1326" s="1" t="n"/>
    </row>
    <row r="1327">
      <c r="A1327" s="1" t="n"/>
      <c r="B1327" s="20" t="n"/>
      <c r="C1327" s="21" t="n"/>
      <c r="D1327" s="24" t="n"/>
      <c r="E1327" s="22" t="n"/>
      <c r="F1327" s="1" t="n"/>
    </row>
    <row r="1328">
      <c r="A1328" s="1" t="n"/>
      <c r="B1328" s="20" t="n"/>
      <c r="C1328" s="21" t="n"/>
      <c r="D1328" s="24" t="n"/>
      <c r="E1328" s="22" t="n"/>
      <c r="F1328" s="1" t="n"/>
    </row>
    <row r="1329">
      <c r="A1329" s="1" t="n"/>
      <c r="B1329" s="20" t="n"/>
      <c r="C1329" s="21" t="n"/>
      <c r="D1329" s="24" t="n"/>
      <c r="E1329" s="22" t="n"/>
      <c r="F1329" s="1" t="n"/>
    </row>
    <row r="1330">
      <c r="A1330" s="1" t="n"/>
      <c r="B1330" s="20" t="n"/>
      <c r="C1330" s="21" t="n"/>
      <c r="D1330" s="24" t="n"/>
      <c r="E1330" s="22" t="n"/>
      <c r="F1330" s="1" t="n"/>
    </row>
    <row r="1331">
      <c r="A1331" s="1" t="n"/>
      <c r="B1331" s="20" t="n"/>
      <c r="C1331" s="21" t="n"/>
      <c r="D1331" s="24" t="n"/>
      <c r="E1331" s="22" t="n"/>
      <c r="F1331" s="1" t="n"/>
    </row>
    <row r="1332">
      <c r="A1332" s="1" t="n"/>
      <c r="B1332" s="20" t="n"/>
      <c r="C1332" s="21" t="n"/>
      <c r="D1332" s="24" t="n"/>
      <c r="E1332" s="22" t="n"/>
      <c r="F1332" s="1" t="n"/>
    </row>
    <row r="1333">
      <c r="A1333" s="1" t="n"/>
      <c r="B1333" s="20" t="n"/>
      <c r="C1333" s="21" t="n"/>
      <c r="D1333" s="24" t="n"/>
      <c r="E1333" s="22" t="n"/>
      <c r="F1333" s="1" t="n"/>
    </row>
    <row r="1334">
      <c r="A1334" s="1" t="n"/>
      <c r="B1334" s="20" t="n"/>
      <c r="C1334" s="21" t="n"/>
      <c r="D1334" s="24" t="n"/>
      <c r="E1334" s="22" t="n"/>
      <c r="F1334" s="1" t="n"/>
    </row>
    <row r="1335">
      <c r="A1335" s="1" t="n"/>
      <c r="B1335" s="20" t="n"/>
      <c r="C1335" s="21" t="n"/>
      <c r="D1335" s="24" t="n"/>
      <c r="E1335" s="22" t="n"/>
      <c r="F1335" s="1" t="n"/>
    </row>
    <row r="1336">
      <c r="A1336" s="1" t="n"/>
      <c r="B1336" s="20" t="n"/>
      <c r="C1336" s="21" t="n"/>
      <c r="D1336" s="24" t="n"/>
      <c r="E1336" s="22" t="n"/>
      <c r="F1336" s="1" t="n"/>
    </row>
    <row r="1337">
      <c r="A1337" s="1" t="n"/>
      <c r="B1337" s="20" t="n"/>
      <c r="C1337" s="21" t="n"/>
      <c r="D1337" s="24" t="n"/>
      <c r="E1337" s="22" t="n"/>
      <c r="F1337" s="1" t="n"/>
    </row>
    <row r="1338">
      <c r="A1338" s="1" t="n"/>
      <c r="B1338" s="20" t="n"/>
      <c r="C1338" s="21" t="n"/>
      <c r="D1338" s="24" t="n"/>
      <c r="E1338" s="22" t="n"/>
      <c r="F1338" s="1" t="n"/>
    </row>
    <row r="1339">
      <c r="A1339" s="1" t="n"/>
      <c r="B1339" s="20" t="n"/>
      <c r="C1339" s="21" t="n"/>
      <c r="D1339" s="24" t="n"/>
      <c r="E1339" s="22" t="n"/>
      <c r="F1339" s="1" t="n"/>
    </row>
    <row r="1340">
      <c r="A1340" s="1" t="n"/>
      <c r="B1340" s="20" t="n"/>
      <c r="C1340" s="21" t="n"/>
      <c r="D1340" s="24" t="n"/>
      <c r="E1340" s="22" t="n"/>
      <c r="F1340" s="1" t="n"/>
    </row>
    <row r="1341">
      <c r="A1341" s="1" t="n"/>
      <c r="B1341" s="20" t="n"/>
      <c r="C1341" s="21" t="n"/>
      <c r="D1341" s="24" t="n"/>
      <c r="E1341" s="22" t="n"/>
      <c r="F1341" s="1" t="n"/>
    </row>
    <row r="1342">
      <c r="A1342" s="1" t="n"/>
      <c r="B1342" s="20" t="n"/>
      <c r="C1342" s="21" t="n"/>
      <c r="D1342" s="24" t="n"/>
      <c r="E1342" s="22" t="n"/>
      <c r="F1342" s="1" t="n"/>
    </row>
    <row r="1343">
      <c r="A1343" s="1" t="n"/>
      <c r="B1343" s="20" t="n"/>
      <c r="C1343" s="21" t="n"/>
      <c r="D1343" s="24" t="n"/>
      <c r="E1343" s="22" t="n"/>
      <c r="F1343" s="1" t="n"/>
    </row>
    <row r="1344">
      <c r="A1344" s="1" t="n"/>
      <c r="B1344" s="20" t="n"/>
      <c r="C1344" s="21" t="n"/>
      <c r="D1344" s="24" t="n"/>
      <c r="E1344" s="22" t="n"/>
      <c r="F1344" s="1" t="n"/>
    </row>
    <row r="1345">
      <c r="A1345" s="1" t="n"/>
      <c r="B1345" s="20" t="n"/>
      <c r="C1345" s="21" t="n"/>
      <c r="D1345" s="24" t="n"/>
      <c r="E1345" s="22" t="n"/>
      <c r="F1345" s="1" t="n"/>
    </row>
    <row r="1346">
      <c r="A1346" s="1" t="n"/>
      <c r="B1346" s="20" t="n"/>
      <c r="C1346" s="21" t="n"/>
      <c r="D1346" s="24" t="n"/>
      <c r="E1346" s="22" t="n"/>
      <c r="F1346" s="1" t="n"/>
    </row>
    <row r="1347">
      <c r="A1347" s="1" t="n"/>
      <c r="B1347" s="20" t="n"/>
      <c r="C1347" s="21" t="n"/>
      <c r="D1347" s="24" t="n"/>
      <c r="E1347" s="22" t="n"/>
      <c r="F1347" s="1" t="n"/>
    </row>
    <row r="1348">
      <c r="A1348" s="1" t="n"/>
      <c r="B1348" s="20" t="n"/>
      <c r="C1348" s="21" t="n"/>
      <c r="D1348" s="24" t="n"/>
      <c r="E1348" s="22" t="n"/>
      <c r="F1348" s="1" t="n"/>
    </row>
    <row r="1349">
      <c r="A1349" s="1" t="n"/>
      <c r="B1349" s="20" t="n"/>
      <c r="C1349" s="21" t="n"/>
      <c r="D1349" s="24" t="n"/>
      <c r="E1349" s="22" t="n"/>
      <c r="F1349" s="1" t="n"/>
    </row>
    <row r="1350">
      <c r="A1350" s="1" t="n"/>
      <c r="B1350" s="20" t="n"/>
      <c r="C1350" s="21" t="n"/>
      <c r="D1350" s="24" t="n"/>
      <c r="E1350" s="22" t="n"/>
      <c r="F1350" s="1" t="n"/>
    </row>
    <row r="1351">
      <c r="A1351" s="1" t="n"/>
      <c r="B1351" s="20" t="n"/>
      <c r="C1351" s="21" t="n"/>
      <c r="D1351" s="24" t="n"/>
      <c r="E1351" s="22" t="n"/>
      <c r="F1351" s="1" t="n"/>
    </row>
    <row r="1352">
      <c r="A1352" s="1" t="n"/>
      <c r="B1352" s="20" t="n"/>
      <c r="C1352" s="21" t="n"/>
      <c r="D1352" s="24" t="n"/>
      <c r="E1352" s="22" t="n"/>
      <c r="F1352" s="1" t="n"/>
    </row>
    <row r="1353">
      <c r="A1353" s="1" t="n"/>
      <c r="B1353" s="20" t="n"/>
      <c r="C1353" s="21" t="n"/>
      <c r="D1353" s="24" t="n"/>
      <c r="E1353" s="22" t="n"/>
      <c r="F1353" s="1" t="n"/>
    </row>
    <row r="1354">
      <c r="A1354" s="1" t="n"/>
      <c r="B1354" s="20" t="n"/>
      <c r="C1354" s="21" t="n"/>
      <c r="D1354" s="24" t="n"/>
      <c r="E1354" s="22" t="n"/>
      <c r="F1354" s="1" t="n"/>
    </row>
    <row r="1355">
      <c r="A1355" s="1" t="n"/>
      <c r="B1355" s="20" t="n"/>
      <c r="C1355" s="21" t="n"/>
      <c r="D1355" s="24" t="n"/>
      <c r="E1355" s="22" t="n"/>
      <c r="F1355" s="1" t="n"/>
    </row>
    <row r="1356">
      <c r="A1356" s="1" t="n"/>
      <c r="B1356" s="20" t="n"/>
      <c r="C1356" s="21" t="n"/>
      <c r="D1356" s="24" t="n"/>
      <c r="E1356" s="22" t="n"/>
      <c r="F1356" s="1" t="n"/>
    </row>
    <row r="1357">
      <c r="A1357" s="1" t="n"/>
      <c r="B1357" s="20" t="n"/>
      <c r="C1357" s="21" t="n"/>
      <c r="D1357" s="24" t="n"/>
      <c r="E1357" s="22" t="n"/>
      <c r="F1357" s="1" t="n"/>
    </row>
    <row r="1358">
      <c r="A1358" s="1" t="n"/>
      <c r="B1358" s="20" t="n"/>
      <c r="C1358" s="21" t="n"/>
      <c r="D1358" s="24" t="n"/>
      <c r="E1358" s="22" t="n"/>
      <c r="F1358" s="1" t="n"/>
    </row>
    <row r="1359">
      <c r="A1359" s="1" t="n"/>
      <c r="B1359" s="20" t="n"/>
      <c r="C1359" s="21" t="n"/>
      <c r="D1359" s="24" t="n"/>
      <c r="E1359" s="22" t="n"/>
      <c r="F1359" s="1" t="n"/>
    </row>
    <row r="1360">
      <c r="A1360" s="1" t="n"/>
      <c r="B1360" s="20" t="n"/>
      <c r="C1360" s="21" t="n"/>
      <c r="D1360" s="24" t="n"/>
      <c r="E1360" s="22" t="n"/>
      <c r="F1360" s="1" t="n"/>
    </row>
    <row r="1361">
      <c r="A1361" s="1" t="n"/>
      <c r="B1361" s="20" t="n"/>
      <c r="C1361" s="21" t="n"/>
      <c r="D1361" s="24" t="n"/>
      <c r="E1361" s="22" t="n"/>
      <c r="F1361" s="1" t="n"/>
    </row>
    <row r="1362">
      <c r="A1362" s="1" t="n"/>
      <c r="B1362" s="20" t="n"/>
      <c r="C1362" s="21" t="n"/>
      <c r="D1362" s="24" t="n"/>
      <c r="E1362" s="22" t="n"/>
      <c r="F1362" s="1" t="n"/>
    </row>
    <row r="1363">
      <c r="A1363" s="1" t="n"/>
      <c r="B1363" s="20" t="n"/>
      <c r="C1363" s="21" t="n"/>
      <c r="D1363" s="24" t="n"/>
      <c r="E1363" s="22" t="n"/>
      <c r="F1363" s="1" t="n"/>
    </row>
    <row r="1364">
      <c r="A1364" s="1" t="n"/>
      <c r="B1364" s="20" t="n"/>
      <c r="C1364" s="21" t="n"/>
      <c r="D1364" s="24" t="n"/>
      <c r="E1364" s="22" t="n"/>
      <c r="F1364" s="1" t="n"/>
    </row>
    <row r="1365">
      <c r="A1365" s="1" t="n"/>
      <c r="B1365" s="20" t="n"/>
      <c r="C1365" s="21" t="n"/>
      <c r="D1365" s="24" t="n"/>
      <c r="E1365" s="22" t="n"/>
      <c r="F1365" s="1" t="n"/>
    </row>
    <row r="1366">
      <c r="A1366" s="1" t="n"/>
      <c r="B1366" s="20" t="n"/>
      <c r="C1366" s="21" t="n"/>
      <c r="D1366" s="24" t="n"/>
      <c r="E1366" s="22" t="n"/>
      <c r="F1366" s="1" t="n"/>
    </row>
    <row r="1367">
      <c r="A1367" s="1" t="n"/>
      <c r="B1367" s="20" t="n"/>
      <c r="C1367" s="21" t="n"/>
      <c r="D1367" s="24" t="n"/>
      <c r="E1367" s="22" t="n"/>
      <c r="F1367" s="1" t="n"/>
    </row>
    <row r="1368">
      <c r="A1368" s="1" t="n"/>
      <c r="B1368" s="20" t="n"/>
      <c r="C1368" s="21" t="n"/>
      <c r="D1368" s="24" t="n"/>
      <c r="E1368" s="22" t="n"/>
      <c r="F1368" s="1" t="n"/>
    </row>
    <row r="1369">
      <c r="A1369" s="1" t="n"/>
      <c r="B1369" s="20" t="n"/>
      <c r="C1369" s="21" t="n"/>
      <c r="D1369" s="24" t="n"/>
      <c r="E1369" s="22" t="n"/>
      <c r="F1369" s="1" t="n"/>
    </row>
    <row r="1370">
      <c r="A1370" s="1" t="n"/>
      <c r="B1370" s="20" t="n"/>
      <c r="C1370" s="21" t="n"/>
      <c r="D1370" s="24" t="n"/>
      <c r="E1370" s="22" t="n"/>
      <c r="F1370" s="1" t="n"/>
    </row>
    <row r="1371">
      <c r="A1371" s="1" t="n"/>
      <c r="B1371" s="20" t="n"/>
      <c r="C1371" s="21" t="n"/>
      <c r="D1371" s="24" t="n"/>
      <c r="E1371" s="22" t="n"/>
      <c r="F1371" s="1" t="n"/>
    </row>
    <row r="1372">
      <c r="A1372" s="1" t="n"/>
      <c r="B1372" s="20" t="n"/>
      <c r="C1372" s="21" t="n"/>
      <c r="D1372" s="24" t="n"/>
      <c r="E1372" s="22" t="n"/>
      <c r="F1372" s="1" t="n"/>
    </row>
    <row r="1373">
      <c r="A1373" s="1" t="n"/>
      <c r="B1373" s="20" t="n"/>
      <c r="C1373" s="21" t="n"/>
      <c r="D1373" s="24" t="n"/>
      <c r="E1373" s="22" t="n"/>
      <c r="F1373" s="1" t="n"/>
    </row>
    <row r="1374">
      <c r="A1374" s="1" t="n"/>
      <c r="B1374" s="20" t="n"/>
      <c r="C1374" s="21" t="n"/>
      <c r="D1374" s="24" t="n"/>
      <c r="E1374" s="22" t="n"/>
      <c r="F1374" s="1" t="n"/>
    </row>
    <row r="1375">
      <c r="A1375" s="1" t="n"/>
      <c r="B1375" s="20" t="n"/>
      <c r="C1375" s="21" t="n"/>
      <c r="D1375" s="24" t="n"/>
      <c r="E1375" s="22" t="n"/>
      <c r="F1375" s="1" t="n"/>
    </row>
    <row r="1376">
      <c r="A1376" s="1" t="n"/>
      <c r="B1376" s="20" t="n"/>
      <c r="C1376" s="21" t="n"/>
      <c r="D1376" s="24" t="n"/>
      <c r="E1376" s="22" t="n"/>
      <c r="F1376" s="1" t="n"/>
    </row>
    <row r="1377">
      <c r="A1377" s="1" t="n"/>
      <c r="B1377" s="20" t="n"/>
      <c r="C1377" s="21" t="n"/>
      <c r="D1377" s="24" t="n"/>
      <c r="E1377" s="22" t="n"/>
      <c r="F1377" s="1" t="n"/>
    </row>
    <row r="1378">
      <c r="A1378" s="1" t="n"/>
      <c r="B1378" s="20" t="n"/>
      <c r="C1378" s="21" t="n"/>
      <c r="D1378" s="24" t="n"/>
      <c r="E1378" s="22" t="n"/>
      <c r="F1378" s="1" t="n"/>
    </row>
    <row r="1379">
      <c r="A1379" s="1" t="n"/>
      <c r="B1379" s="20" t="n"/>
      <c r="C1379" s="21" t="n"/>
      <c r="D1379" s="24" t="n"/>
      <c r="E1379" s="22" t="n"/>
      <c r="F1379" s="1" t="n"/>
    </row>
    <row r="1380">
      <c r="A1380" s="1" t="n"/>
      <c r="B1380" s="20" t="n"/>
      <c r="C1380" s="21" t="n"/>
      <c r="D1380" s="24" t="n"/>
      <c r="E1380" s="22" t="n"/>
      <c r="F1380" s="1" t="n"/>
    </row>
    <row r="1381">
      <c r="A1381" s="1" t="n"/>
      <c r="B1381" s="20" t="n"/>
      <c r="C1381" s="21" t="n"/>
      <c r="D1381" s="24" t="n"/>
      <c r="E1381" s="22" t="n"/>
      <c r="F1381" s="1" t="n"/>
    </row>
    <row r="1382">
      <c r="A1382" s="1" t="n"/>
      <c r="B1382" s="20" t="n"/>
      <c r="C1382" s="21" t="n"/>
      <c r="D1382" s="24" t="n"/>
      <c r="E1382" s="22" t="n"/>
      <c r="F1382" s="1" t="n"/>
    </row>
    <row r="1383">
      <c r="A1383" s="1" t="n"/>
      <c r="B1383" s="20" t="n"/>
      <c r="C1383" s="21" t="n"/>
      <c r="D1383" s="24" t="n"/>
      <c r="E1383" s="22" t="n"/>
      <c r="F1383" s="1" t="n"/>
    </row>
    <row r="1384">
      <c r="A1384" s="1" t="n"/>
      <c r="B1384" s="20" t="n"/>
      <c r="C1384" s="21" t="n"/>
      <c r="D1384" s="24" t="n"/>
      <c r="E1384" s="22" t="n"/>
      <c r="F1384" s="1" t="n"/>
    </row>
    <row r="1385">
      <c r="A1385" s="1" t="n"/>
      <c r="B1385" s="20" t="n"/>
      <c r="C1385" s="21" t="n"/>
      <c r="D1385" s="24" t="n"/>
      <c r="E1385" s="22" t="n"/>
      <c r="F1385" s="1" t="n"/>
    </row>
    <row r="1386">
      <c r="A1386" s="1" t="n"/>
      <c r="B1386" s="20" t="n"/>
      <c r="C1386" s="21" t="n"/>
      <c r="D1386" s="24" t="n"/>
      <c r="E1386" s="22" t="n"/>
      <c r="F1386" s="1" t="n"/>
    </row>
    <row r="1387">
      <c r="A1387" s="1" t="n"/>
      <c r="B1387" s="20" t="n"/>
      <c r="C1387" s="21" t="n"/>
      <c r="D1387" s="24" t="n"/>
      <c r="E1387" s="22" t="n"/>
      <c r="F1387" s="1" t="n"/>
    </row>
    <row r="1388">
      <c r="A1388" s="1" t="n"/>
      <c r="B1388" s="20" t="n"/>
      <c r="C1388" s="21" t="n"/>
      <c r="D1388" s="24" t="n"/>
      <c r="E1388" s="22" t="n"/>
      <c r="F1388" s="1" t="n"/>
    </row>
    <row r="1389">
      <c r="A1389" s="1" t="n"/>
      <c r="B1389" s="20" t="n"/>
      <c r="C1389" s="21" t="n"/>
      <c r="D1389" s="24" t="n"/>
      <c r="E1389" s="22" t="n"/>
      <c r="F1389" s="1" t="n"/>
    </row>
    <row r="1390">
      <c r="A1390" s="1" t="n"/>
      <c r="B1390" s="20" t="n"/>
      <c r="C1390" s="21" t="n"/>
      <c r="D1390" s="24" t="n"/>
      <c r="E1390" s="22" t="n"/>
      <c r="F1390" s="1" t="n"/>
    </row>
    <row r="1391">
      <c r="A1391" s="1" t="n"/>
      <c r="B1391" s="20" t="n"/>
      <c r="C1391" s="21" t="n"/>
      <c r="D1391" s="24" t="n"/>
      <c r="E1391" s="22" t="n"/>
      <c r="F1391" s="1" t="n"/>
    </row>
    <row r="1392">
      <c r="A1392" s="1" t="n"/>
      <c r="B1392" s="20" t="n"/>
      <c r="C1392" s="21" t="n"/>
      <c r="D1392" s="24" t="n"/>
      <c r="E1392" s="22" t="n"/>
      <c r="F1392" s="1" t="n"/>
    </row>
    <row r="1393">
      <c r="A1393" s="1" t="n"/>
      <c r="B1393" s="20" t="n"/>
      <c r="C1393" s="21" t="n"/>
      <c r="D1393" s="24" t="n"/>
      <c r="E1393" s="22" t="n"/>
      <c r="F1393" s="1" t="n"/>
    </row>
    <row r="1394">
      <c r="A1394" s="1" t="n"/>
      <c r="B1394" s="20" t="n"/>
      <c r="C1394" s="21" t="n"/>
      <c r="D1394" s="24" t="n"/>
      <c r="E1394" s="22" t="n"/>
      <c r="F1394" s="1" t="n"/>
    </row>
    <row r="1395">
      <c r="A1395" s="1" t="n"/>
      <c r="B1395" s="20" t="n"/>
      <c r="C1395" s="21" t="n"/>
      <c r="D1395" s="24" t="n"/>
      <c r="E1395" s="22" t="n"/>
      <c r="F1395" s="1" t="n"/>
    </row>
    <row r="1396">
      <c r="A1396" s="1" t="n"/>
      <c r="B1396" s="20" t="n"/>
      <c r="C1396" s="21" t="n"/>
      <c r="D1396" s="24" t="n"/>
      <c r="E1396" s="22" t="n"/>
      <c r="F1396" s="1" t="n"/>
    </row>
    <row r="1397">
      <c r="A1397" s="1" t="n"/>
      <c r="B1397" s="20" t="n"/>
      <c r="C1397" s="21" t="n"/>
      <c r="D1397" s="24" t="n"/>
      <c r="E1397" s="22" t="n"/>
      <c r="F1397" s="1" t="n"/>
    </row>
    <row r="1398">
      <c r="A1398" s="1" t="n"/>
      <c r="B1398" s="20" t="n"/>
      <c r="C1398" s="21" t="n"/>
      <c r="D1398" s="24" t="n"/>
      <c r="E1398" s="22" t="n"/>
      <c r="F1398" s="1" t="n"/>
    </row>
    <row r="1399">
      <c r="A1399" s="1" t="n"/>
      <c r="B1399" s="20" t="n"/>
      <c r="C1399" s="21" t="n"/>
      <c r="D1399" s="24" t="n"/>
      <c r="E1399" s="22" t="n"/>
      <c r="F1399" s="1" t="n"/>
    </row>
    <row r="1400">
      <c r="A1400" s="1" t="n"/>
      <c r="B1400" s="20" t="n"/>
      <c r="C1400" s="21" t="n"/>
      <c r="D1400" s="24" t="n"/>
      <c r="E1400" s="22" t="n"/>
      <c r="F1400" s="1" t="n"/>
    </row>
    <row r="1401">
      <c r="A1401" s="1" t="n"/>
      <c r="B1401" s="20" t="n"/>
      <c r="C1401" s="21" t="n"/>
      <c r="D1401" s="24" t="n"/>
      <c r="E1401" s="22" t="n"/>
      <c r="F1401" s="1" t="n"/>
    </row>
    <row r="1402">
      <c r="A1402" s="1" t="n"/>
      <c r="B1402" s="20" t="n"/>
      <c r="C1402" s="21" t="n"/>
      <c r="D1402" s="24" t="n"/>
      <c r="E1402" s="22" t="n"/>
      <c r="F1402" s="1" t="n"/>
    </row>
    <row r="1403">
      <c r="A1403" s="1" t="n"/>
      <c r="B1403" s="20" t="n"/>
      <c r="C1403" s="21" t="n"/>
      <c r="D1403" s="24" t="n"/>
      <c r="E1403" s="22" t="n"/>
      <c r="F1403" s="1" t="n"/>
    </row>
    <row r="1404">
      <c r="A1404" s="1" t="n"/>
      <c r="B1404" s="20" t="n"/>
      <c r="C1404" s="21" t="n"/>
      <c r="D1404" s="24" t="n"/>
      <c r="E1404" s="22" t="n"/>
      <c r="F1404" s="1" t="n"/>
    </row>
    <row r="1405">
      <c r="A1405" s="1" t="n"/>
      <c r="B1405" s="20" t="n"/>
      <c r="C1405" s="21" t="n"/>
      <c r="D1405" s="24" t="n"/>
      <c r="E1405" s="22" t="n"/>
      <c r="F1405" s="1" t="n"/>
    </row>
    <row r="1406">
      <c r="A1406" s="1" t="n"/>
      <c r="B1406" s="20" t="n"/>
      <c r="C1406" s="21" t="n"/>
      <c r="D1406" s="24" t="n"/>
      <c r="E1406" s="22" t="n"/>
      <c r="F1406" s="1" t="n"/>
    </row>
    <row r="1407">
      <c r="A1407" s="1" t="n"/>
      <c r="B1407" s="20" t="n"/>
      <c r="C1407" s="21" t="n"/>
      <c r="D1407" s="24" t="n"/>
      <c r="E1407" s="22" t="n"/>
      <c r="F1407" s="1" t="n"/>
    </row>
    <row r="1408">
      <c r="A1408" s="1" t="n"/>
      <c r="B1408" s="20" t="n"/>
      <c r="C1408" s="21" t="n"/>
      <c r="D1408" s="24" t="n"/>
      <c r="E1408" s="22" t="n"/>
      <c r="F1408" s="1" t="n"/>
    </row>
    <row r="1409">
      <c r="A1409" s="1" t="n"/>
      <c r="B1409" s="20" t="n"/>
      <c r="C1409" s="21" t="n"/>
      <c r="D1409" s="24" t="n"/>
      <c r="E1409" s="22" t="n"/>
      <c r="F1409" s="1" t="n"/>
    </row>
    <row r="1410">
      <c r="A1410" s="1" t="n"/>
      <c r="B1410" s="20" t="n"/>
      <c r="C1410" s="21" t="n"/>
      <c r="D1410" s="24" t="n"/>
      <c r="E1410" s="22" t="n"/>
      <c r="F1410" s="1" t="n"/>
    </row>
    <row r="1411">
      <c r="A1411" s="1" t="n"/>
      <c r="B1411" s="20" t="n"/>
      <c r="C1411" s="21" t="n"/>
      <c r="D1411" s="24" t="n"/>
      <c r="E1411" s="22" t="n"/>
      <c r="F1411" s="1" t="n"/>
    </row>
    <row r="1412">
      <c r="A1412" s="1" t="n"/>
      <c r="B1412" s="20" t="n"/>
      <c r="C1412" s="21" t="n"/>
      <c r="D1412" s="24" t="n"/>
      <c r="E1412" s="22" t="n"/>
      <c r="F1412" s="1" t="n"/>
    </row>
    <row r="1413">
      <c r="A1413" s="1" t="n"/>
      <c r="B1413" s="20" t="n"/>
      <c r="C1413" s="21" t="n"/>
      <c r="D1413" s="24" t="n"/>
      <c r="E1413" s="22" t="n"/>
      <c r="F1413" s="1" t="n"/>
    </row>
    <row r="1414">
      <c r="A1414" s="1" t="n"/>
      <c r="B1414" s="20" t="n"/>
      <c r="C1414" s="21" t="n"/>
      <c r="D1414" s="24" t="n"/>
      <c r="E1414" s="22" t="n"/>
      <c r="F1414" s="1" t="n"/>
    </row>
    <row r="1415">
      <c r="A1415" s="1" t="n"/>
      <c r="B1415" s="20" t="n"/>
      <c r="C1415" s="21" t="n"/>
      <c r="D1415" s="24" t="n"/>
      <c r="E1415" s="22" t="n"/>
      <c r="F1415" s="1" t="n"/>
    </row>
    <row r="1416">
      <c r="A1416" s="1" t="n"/>
      <c r="B1416" s="20" t="n"/>
      <c r="C1416" s="21" t="n"/>
      <c r="D1416" s="24" t="n"/>
      <c r="E1416" s="22" t="n"/>
      <c r="F1416" s="1" t="n"/>
    </row>
    <row r="1417">
      <c r="A1417" s="1" t="n"/>
      <c r="B1417" s="20" t="n"/>
      <c r="C1417" s="21" t="n"/>
      <c r="D1417" s="24" t="n"/>
      <c r="E1417" s="22" t="n"/>
      <c r="F1417" s="1" t="n"/>
    </row>
    <row r="1418">
      <c r="A1418" s="1" t="n"/>
      <c r="B1418" s="20" t="n"/>
      <c r="C1418" s="21" t="n"/>
      <c r="D1418" s="24" t="n"/>
      <c r="E1418" s="22" t="n"/>
      <c r="F1418" s="1" t="n"/>
    </row>
    <row r="1419">
      <c r="A1419" s="1" t="n"/>
      <c r="B1419" s="20" t="n"/>
      <c r="C1419" s="21" t="n"/>
      <c r="D1419" s="24" t="n"/>
      <c r="E1419" s="22" t="n"/>
      <c r="F1419" s="1" t="n"/>
    </row>
    <row r="1420">
      <c r="A1420" s="1" t="n"/>
      <c r="B1420" s="20" t="n"/>
      <c r="C1420" s="21" t="n"/>
      <c r="D1420" s="24" t="n"/>
      <c r="E1420" s="22" t="n"/>
      <c r="F1420" s="1" t="n"/>
    </row>
    <row r="1421">
      <c r="A1421" s="1" t="n"/>
      <c r="B1421" s="20" t="n"/>
      <c r="C1421" s="21" t="n"/>
      <c r="D1421" s="24" t="n"/>
      <c r="E1421" s="22" t="n"/>
      <c r="F1421" s="1" t="n"/>
    </row>
    <row r="1422">
      <c r="A1422" s="1" t="n"/>
      <c r="B1422" s="20" t="n"/>
      <c r="C1422" s="21" t="n"/>
      <c r="D1422" s="24" t="n"/>
      <c r="E1422" s="22" t="n"/>
      <c r="F1422" s="1" t="n"/>
    </row>
    <row r="1423">
      <c r="A1423" s="1" t="n"/>
      <c r="B1423" s="20" t="n"/>
      <c r="C1423" s="21" t="n"/>
      <c r="D1423" s="24" t="n"/>
      <c r="E1423" s="22" t="n"/>
      <c r="F1423" s="1" t="n"/>
    </row>
    <row r="1424">
      <c r="A1424" s="1" t="n"/>
      <c r="B1424" s="20" t="n"/>
      <c r="C1424" s="21" t="n"/>
      <c r="D1424" s="24" t="n"/>
      <c r="E1424" s="22" t="n"/>
      <c r="F1424" s="1" t="n"/>
    </row>
    <row r="1425">
      <c r="A1425" s="1" t="n"/>
      <c r="B1425" s="20" t="n"/>
      <c r="C1425" s="21" t="n"/>
      <c r="D1425" s="24" t="n"/>
      <c r="E1425" s="22" t="n"/>
      <c r="F1425" s="1" t="n"/>
    </row>
    <row r="1426">
      <c r="A1426" s="1" t="n"/>
      <c r="B1426" s="20" t="n"/>
      <c r="C1426" s="21" t="n"/>
      <c r="D1426" s="24" t="n"/>
      <c r="E1426" s="22" t="n"/>
      <c r="F1426" s="1" t="n"/>
    </row>
    <row r="1427">
      <c r="A1427" s="1" t="n"/>
      <c r="B1427" s="20" t="n"/>
      <c r="C1427" s="21" t="n"/>
      <c r="D1427" s="24" t="n"/>
      <c r="E1427" s="22" t="n"/>
      <c r="F1427" s="1" t="n"/>
    </row>
    <row r="1428">
      <c r="A1428" s="1" t="n"/>
      <c r="B1428" s="20" t="n"/>
      <c r="C1428" s="21" t="n"/>
      <c r="D1428" s="24" t="n"/>
      <c r="E1428" s="22" t="n"/>
      <c r="F1428" s="1" t="n"/>
    </row>
    <row r="1429">
      <c r="A1429" s="1" t="n"/>
      <c r="B1429" s="20" t="n"/>
      <c r="C1429" s="21" t="n"/>
      <c r="D1429" s="24" t="n"/>
      <c r="E1429" s="22" t="n"/>
      <c r="F1429" s="1" t="n"/>
    </row>
    <row r="1430">
      <c r="A1430" s="1" t="n"/>
      <c r="B1430" s="20" t="n"/>
      <c r="C1430" s="21" t="n"/>
      <c r="D1430" s="24" t="n"/>
      <c r="E1430" s="22" t="n"/>
      <c r="F1430" s="1" t="n"/>
    </row>
    <row r="1431">
      <c r="A1431" s="1" t="n"/>
      <c r="B1431" s="20" t="n"/>
      <c r="C1431" s="21" t="n"/>
      <c r="D1431" s="24" t="n"/>
      <c r="E1431" s="22" t="n"/>
      <c r="F1431" s="1" t="n"/>
    </row>
    <row r="1432">
      <c r="A1432" s="1" t="n"/>
      <c r="B1432" s="20" t="n"/>
      <c r="C1432" s="21" t="n"/>
      <c r="D1432" s="24" t="n"/>
      <c r="E1432" s="22" t="n"/>
      <c r="F1432" s="1" t="n"/>
    </row>
    <row r="1433">
      <c r="A1433" s="1" t="n"/>
      <c r="B1433" s="20" t="n"/>
      <c r="C1433" s="21" t="n"/>
      <c r="D1433" s="24" t="n"/>
      <c r="E1433" s="22" t="n"/>
      <c r="F1433" s="1" t="n"/>
    </row>
    <row r="1434">
      <c r="A1434" s="1" t="n"/>
      <c r="B1434" s="20" t="n"/>
      <c r="C1434" s="21" t="n"/>
      <c r="D1434" s="24" t="n"/>
      <c r="E1434" s="22" t="n"/>
      <c r="F1434" s="1" t="n"/>
    </row>
    <row r="1435">
      <c r="A1435" s="1" t="n"/>
      <c r="B1435" s="20" t="n"/>
      <c r="C1435" s="21" t="n"/>
      <c r="D1435" s="24" t="n"/>
      <c r="E1435" s="22" t="n"/>
      <c r="F1435" s="1" t="n"/>
    </row>
    <row r="1436">
      <c r="A1436" s="1" t="n"/>
      <c r="B1436" s="20" t="n"/>
      <c r="C1436" s="21" t="n"/>
      <c r="D1436" s="24" t="n"/>
      <c r="E1436" s="22" t="n"/>
      <c r="F1436" s="1" t="n"/>
    </row>
    <row r="1437">
      <c r="A1437" s="1" t="n"/>
      <c r="B1437" s="20" t="n"/>
      <c r="C1437" s="21" t="n"/>
      <c r="D1437" s="24" t="n"/>
      <c r="E1437" s="22" t="n"/>
      <c r="F1437" s="1" t="n"/>
    </row>
    <row r="1438">
      <c r="A1438" s="1" t="n"/>
      <c r="B1438" s="20" t="n"/>
      <c r="C1438" s="21" t="n"/>
      <c r="D1438" s="24" t="n"/>
      <c r="E1438" s="22" t="n"/>
      <c r="F1438" s="1" t="n"/>
    </row>
    <row r="1439">
      <c r="A1439" s="1" t="n"/>
      <c r="B1439" s="20" t="n"/>
      <c r="C1439" s="21" t="n"/>
      <c r="D1439" s="24" t="n"/>
      <c r="E1439" s="22" t="n"/>
      <c r="F1439" s="1" t="n"/>
    </row>
    <row r="1440">
      <c r="A1440" s="1" t="n"/>
      <c r="B1440" s="20" t="n"/>
      <c r="C1440" s="21" t="n"/>
      <c r="D1440" s="24" t="n"/>
      <c r="E1440" s="22" t="n"/>
      <c r="F1440" s="1" t="n"/>
    </row>
    <row r="1441">
      <c r="A1441" s="1" t="n"/>
      <c r="B1441" s="20" t="n"/>
      <c r="C1441" s="21" t="n"/>
      <c r="D1441" s="24" t="n"/>
      <c r="E1441" s="22" t="n"/>
      <c r="F1441" s="1" t="n"/>
    </row>
    <row r="1442">
      <c r="A1442" s="1" t="n"/>
      <c r="B1442" s="20" t="n"/>
      <c r="C1442" s="21" t="n"/>
      <c r="D1442" s="24" t="n"/>
      <c r="E1442" s="22" t="n"/>
      <c r="F1442" s="1" t="n"/>
    </row>
    <row r="1443">
      <c r="A1443" s="1" t="n"/>
      <c r="B1443" s="20" t="n"/>
      <c r="C1443" s="21" t="n"/>
      <c r="D1443" s="24" t="n"/>
      <c r="E1443" s="22" t="n"/>
      <c r="F1443" s="1" t="n"/>
    </row>
    <row r="1444">
      <c r="A1444" s="1" t="n"/>
      <c r="B1444" s="20" t="n"/>
      <c r="C1444" s="21" t="n"/>
      <c r="D1444" s="24" t="n"/>
      <c r="E1444" s="22" t="n"/>
      <c r="F1444" s="1" t="n"/>
    </row>
    <row r="1445">
      <c r="A1445" s="1" t="n"/>
      <c r="B1445" s="20" t="n"/>
      <c r="C1445" s="21" t="n"/>
      <c r="D1445" s="24" t="n"/>
      <c r="E1445" s="22" t="n"/>
      <c r="F1445" s="1" t="n"/>
    </row>
    <row r="1446">
      <c r="A1446" s="1" t="n"/>
      <c r="B1446" s="20" t="n"/>
      <c r="C1446" s="21" t="n"/>
      <c r="D1446" s="24" t="n"/>
      <c r="E1446" s="22" t="n"/>
      <c r="F1446" s="1" t="n"/>
    </row>
    <row r="1447">
      <c r="A1447" s="1" t="n"/>
      <c r="B1447" s="20" t="n"/>
      <c r="C1447" s="21" t="n"/>
      <c r="D1447" s="24" t="n"/>
      <c r="E1447" s="22" t="n"/>
      <c r="F1447" s="1" t="n"/>
    </row>
    <row r="1448">
      <c r="A1448" s="1" t="n"/>
      <c r="B1448" s="20" t="n"/>
      <c r="C1448" s="21" t="n"/>
      <c r="D1448" s="24" t="n"/>
      <c r="E1448" s="22" t="n"/>
      <c r="F1448" s="1" t="n"/>
    </row>
    <row r="1449">
      <c r="A1449" s="1" t="n"/>
      <c r="B1449" s="20" t="n"/>
      <c r="C1449" s="21" t="n"/>
      <c r="D1449" s="24" t="n"/>
      <c r="E1449" s="22" t="n"/>
      <c r="F1449" s="1" t="n"/>
    </row>
    <row r="1450">
      <c r="A1450" s="1" t="n"/>
      <c r="B1450" s="20" t="n"/>
      <c r="C1450" s="21" t="n"/>
      <c r="D1450" s="24" t="n"/>
      <c r="E1450" s="22" t="n"/>
      <c r="F1450" s="1" t="n"/>
    </row>
    <row r="1451">
      <c r="A1451" s="1" t="n"/>
      <c r="B1451" s="20" t="n"/>
      <c r="C1451" s="21" t="n"/>
      <c r="D1451" s="24" t="n"/>
      <c r="E1451" s="22" t="n"/>
      <c r="F1451" s="1" t="n"/>
    </row>
    <row r="1452">
      <c r="A1452" s="1" t="n"/>
      <c r="B1452" s="20" t="n"/>
      <c r="C1452" s="21" t="n"/>
      <c r="D1452" s="24" t="n"/>
      <c r="E1452" s="22" t="n"/>
      <c r="F1452" s="1" t="n"/>
    </row>
    <row r="1453">
      <c r="A1453" s="1" t="n"/>
      <c r="B1453" s="20" t="n"/>
      <c r="C1453" s="21" t="n"/>
      <c r="D1453" s="24" t="n"/>
      <c r="E1453" s="22" t="n"/>
      <c r="F1453" s="1" t="n"/>
    </row>
    <row r="1454">
      <c r="A1454" s="1" t="n"/>
      <c r="B1454" s="20" t="n"/>
      <c r="C1454" s="21" t="n"/>
      <c r="D1454" s="24" t="n"/>
      <c r="E1454" s="22" t="n"/>
      <c r="F1454" s="1" t="n"/>
    </row>
    <row r="1455">
      <c r="A1455" s="1" t="n"/>
      <c r="B1455" s="20" t="n"/>
      <c r="C1455" s="21" t="n"/>
      <c r="D1455" s="24" t="n"/>
      <c r="E1455" s="22" t="n"/>
      <c r="F1455" s="1" t="n"/>
    </row>
    <row r="1456">
      <c r="A1456" s="1" t="n"/>
      <c r="B1456" s="20" t="n"/>
      <c r="C1456" s="21" t="n"/>
      <c r="D1456" s="24" t="n"/>
      <c r="E1456" s="22" t="n"/>
      <c r="F1456" s="1" t="n"/>
    </row>
    <row r="1457">
      <c r="A1457" s="1" t="n"/>
      <c r="B1457" s="20" t="n"/>
      <c r="C1457" s="21" t="n"/>
      <c r="D1457" s="24" t="n"/>
      <c r="E1457" s="22" t="n"/>
      <c r="F1457" s="1" t="n"/>
    </row>
    <row r="1458">
      <c r="A1458" s="1" t="n"/>
      <c r="B1458" s="20" t="n"/>
      <c r="C1458" s="21" t="n"/>
      <c r="D1458" s="24" t="n"/>
      <c r="E1458" s="22" t="n"/>
      <c r="F1458" s="1" t="n"/>
    </row>
    <row r="1459">
      <c r="A1459" s="1" t="n"/>
      <c r="B1459" s="20" t="n"/>
      <c r="C1459" s="21" t="n"/>
      <c r="D1459" s="24" t="n"/>
      <c r="E1459" s="22" t="n"/>
      <c r="F1459" s="1" t="n"/>
    </row>
    <row r="1460">
      <c r="A1460" s="1" t="n"/>
      <c r="B1460" s="20" t="n"/>
      <c r="C1460" s="21" t="n"/>
      <c r="D1460" s="24" t="n"/>
      <c r="E1460" s="22" t="n"/>
      <c r="F1460" s="1" t="n"/>
    </row>
    <row r="1461">
      <c r="A1461" s="1" t="n"/>
      <c r="B1461" s="20" t="n"/>
      <c r="C1461" s="21" t="n"/>
      <c r="D1461" s="24" t="n"/>
      <c r="E1461" s="22" t="n"/>
      <c r="F1461" s="1" t="n"/>
    </row>
    <row r="1462">
      <c r="A1462" s="1" t="n"/>
      <c r="B1462" s="20" t="n"/>
      <c r="C1462" s="21" t="n"/>
      <c r="D1462" s="24" t="n"/>
      <c r="E1462" s="22" t="n"/>
      <c r="F1462" s="1" t="n"/>
    </row>
    <row r="1463">
      <c r="A1463" s="1" t="n"/>
      <c r="B1463" s="20" t="n"/>
      <c r="C1463" s="21" t="n"/>
      <c r="D1463" s="24" t="n"/>
      <c r="E1463" s="22" t="n"/>
      <c r="F1463" s="1" t="n"/>
    </row>
    <row r="1464">
      <c r="A1464" s="1" t="n"/>
      <c r="B1464" s="20" t="n"/>
      <c r="C1464" s="21" t="n"/>
      <c r="D1464" s="24" t="n"/>
      <c r="E1464" s="22" t="n"/>
      <c r="F1464" s="1" t="n"/>
    </row>
    <row r="1465">
      <c r="A1465" s="1" t="n"/>
      <c r="B1465" s="20" t="n"/>
      <c r="C1465" s="21" t="n"/>
      <c r="D1465" s="24" t="n"/>
      <c r="E1465" s="22" t="n"/>
      <c r="F1465" s="1" t="n"/>
    </row>
    <row r="1466">
      <c r="A1466" s="1" t="n"/>
      <c r="B1466" s="20" t="n"/>
      <c r="C1466" s="21" t="n"/>
      <c r="D1466" s="24" t="n"/>
      <c r="E1466" s="22" t="n"/>
      <c r="F1466" s="1" t="n"/>
    </row>
    <row r="1467">
      <c r="A1467" s="1" t="n"/>
      <c r="B1467" s="20" t="n"/>
      <c r="C1467" s="21" t="n"/>
      <c r="D1467" s="24" t="n"/>
      <c r="E1467" s="22" t="n"/>
      <c r="F1467" s="1" t="n"/>
    </row>
    <row r="1468">
      <c r="A1468" s="1" t="n"/>
      <c r="B1468" s="20" t="n"/>
      <c r="C1468" s="21" t="n"/>
      <c r="D1468" s="24" t="n"/>
      <c r="E1468" s="22" t="n"/>
      <c r="F1468" s="1" t="n"/>
    </row>
    <row r="1469">
      <c r="A1469" s="1" t="n"/>
      <c r="B1469" s="20" t="n"/>
      <c r="C1469" s="21" t="n"/>
      <c r="D1469" s="24" t="n"/>
      <c r="E1469" s="22" t="n"/>
      <c r="F1469" s="1" t="n"/>
    </row>
    <row r="1470">
      <c r="A1470" s="1" t="n"/>
      <c r="B1470" s="20" t="n"/>
      <c r="C1470" s="21" t="n"/>
      <c r="D1470" s="24" t="n"/>
      <c r="E1470" s="22" t="n"/>
      <c r="F1470" s="1" t="n"/>
    </row>
    <row r="1471">
      <c r="A1471" s="1" t="n"/>
      <c r="B1471" s="20" t="n"/>
      <c r="C1471" s="21" t="n"/>
      <c r="D1471" s="24" t="n"/>
      <c r="E1471" s="22" t="n"/>
      <c r="F1471" s="1" t="n"/>
    </row>
    <row r="1472">
      <c r="A1472" s="1" t="n"/>
      <c r="B1472" s="20" t="n"/>
      <c r="C1472" s="21" t="n"/>
      <c r="D1472" s="24" t="n"/>
      <c r="E1472" s="22" t="n"/>
      <c r="F1472" s="1" t="n"/>
    </row>
    <row r="1473">
      <c r="A1473" s="1" t="n"/>
      <c r="B1473" s="20" t="n"/>
      <c r="C1473" s="21" t="n"/>
      <c r="D1473" s="24" t="n"/>
      <c r="E1473" s="22" t="n"/>
      <c r="F1473" s="1" t="n"/>
    </row>
    <row r="1474">
      <c r="A1474" s="1" t="n"/>
      <c r="B1474" s="20" t="n"/>
      <c r="C1474" s="21" t="n"/>
      <c r="D1474" s="24" t="n"/>
      <c r="E1474" s="22" t="n"/>
      <c r="F1474" s="1" t="n"/>
    </row>
    <row r="1475">
      <c r="A1475" s="1" t="n"/>
      <c r="B1475" s="20" t="n"/>
      <c r="C1475" s="21" t="n"/>
      <c r="D1475" s="24" t="n"/>
      <c r="E1475" s="22" t="n"/>
      <c r="F1475" s="1" t="n"/>
    </row>
    <row r="1476">
      <c r="A1476" s="1" t="n"/>
      <c r="B1476" s="20" t="n"/>
      <c r="C1476" s="21" t="n"/>
      <c r="D1476" s="24" t="n"/>
      <c r="E1476" s="22" t="n"/>
      <c r="F1476" s="1" t="n"/>
    </row>
    <row r="1477">
      <c r="A1477" s="1" t="n"/>
      <c r="B1477" s="20" t="n"/>
      <c r="C1477" s="21" t="n"/>
      <c r="D1477" s="24" t="n"/>
      <c r="E1477" s="22" t="n"/>
      <c r="F1477" s="1" t="n"/>
    </row>
    <row r="1478">
      <c r="A1478" s="1" t="n"/>
      <c r="B1478" s="20" t="n"/>
      <c r="C1478" s="21" t="n"/>
      <c r="D1478" s="24" t="n"/>
      <c r="E1478" s="22" t="n"/>
      <c r="F1478" s="1" t="n"/>
    </row>
    <row r="1479">
      <c r="A1479" s="1" t="n"/>
      <c r="B1479" s="20" t="n"/>
      <c r="C1479" s="21" t="n"/>
      <c r="D1479" s="24" t="n"/>
      <c r="E1479" s="22" t="n"/>
      <c r="F1479" s="1" t="n"/>
    </row>
    <row r="1480">
      <c r="A1480" s="1" t="n"/>
      <c r="B1480" s="20" t="n"/>
      <c r="C1480" s="21" t="n"/>
      <c r="D1480" s="24" t="n"/>
      <c r="E1480" s="22" t="n"/>
      <c r="F1480" s="1" t="n"/>
    </row>
    <row r="1481">
      <c r="A1481" s="1" t="n"/>
      <c r="B1481" s="20" t="n"/>
      <c r="C1481" s="21" t="n"/>
      <c r="D1481" s="24" t="n"/>
      <c r="E1481" s="22" t="n"/>
      <c r="F1481" s="1" t="n"/>
    </row>
    <row r="1482">
      <c r="A1482" s="1" t="n"/>
      <c r="B1482" s="20" t="n"/>
      <c r="C1482" s="21" t="n"/>
      <c r="D1482" s="24" t="n"/>
      <c r="E1482" s="22" t="n"/>
      <c r="F1482" s="1" t="n"/>
    </row>
    <row r="1483">
      <c r="A1483" s="1" t="n"/>
      <c r="B1483" s="20" t="n"/>
      <c r="C1483" s="21" t="n"/>
      <c r="D1483" s="24" t="n"/>
      <c r="E1483" s="22" t="n"/>
      <c r="F1483" s="1" t="n"/>
    </row>
    <row r="1484">
      <c r="A1484" s="1" t="n"/>
      <c r="B1484" s="20" t="n"/>
      <c r="C1484" s="21" t="n"/>
      <c r="D1484" s="24" t="n"/>
      <c r="E1484" s="22" t="n"/>
      <c r="F1484" s="1" t="n"/>
    </row>
    <row r="1485">
      <c r="A1485" s="1" t="n"/>
      <c r="B1485" s="20" t="n"/>
      <c r="C1485" s="21" t="n"/>
      <c r="D1485" s="24" t="n"/>
      <c r="E1485" s="22" t="n"/>
      <c r="F1485" s="1" t="n"/>
    </row>
    <row r="1486">
      <c r="A1486" s="1" t="n"/>
      <c r="B1486" s="20" t="n"/>
      <c r="C1486" s="21" t="n"/>
      <c r="D1486" s="24" t="n"/>
      <c r="E1486" s="22" t="n"/>
      <c r="F1486" s="1" t="n"/>
    </row>
    <row r="1487">
      <c r="A1487" s="1" t="n"/>
      <c r="B1487" s="20" t="n"/>
      <c r="C1487" s="21" t="n"/>
      <c r="D1487" s="24" t="n"/>
      <c r="E1487" s="22" t="n"/>
      <c r="F1487" s="1" t="n"/>
    </row>
    <row r="1488">
      <c r="A1488" s="1" t="n"/>
      <c r="B1488" s="20" t="n"/>
      <c r="C1488" s="21" t="n"/>
      <c r="D1488" s="24" t="n"/>
      <c r="E1488" s="22" t="n"/>
      <c r="F1488" s="1" t="n"/>
    </row>
    <row r="1489">
      <c r="A1489" s="1" t="n"/>
      <c r="B1489" s="20" t="n"/>
      <c r="C1489" s="21" t="n"/>
      <c r="D1489" s="24" t="n"/>
      <c r="E1489" s="22" t="n"/>
      <c r="F1489" s="1" t="n"/>
    </row>
    <row r="1490">
      <c r="A1490" s="1" t="n"/>
      <c r="B1490" s="20" t="n"/>
      <c r="C1490" s="21" t="n"/>
      <c r="D1490" s="24" t="n"/>
      <c r="E1490" s="22" t="n"/>
      <c r="F1490" s="1" t="n"/>
    </row>
    <row r="1491">
      <c r="A1491" s="1" t="n"/>
      <c r="B1491" s="20" t="n"/>
      <c r="C1491" s="21" t="n"/>
      <c r="D1491" s="24" t="n"/>
      <c r="E1491" s="22" t="n"/>
      <c r="F1491" s="1" t="n"/>
    </row>
    <row r="1492">
      <c r="A1492" s="1" t="n"/>
      <c r="B1492" s="20" t="n"/>
      <c r="C1492" s="21" t="n"/>
      <c r="D1492" s="24" t="n"/>
      <c r="E1492" s="22" t="n"/>
      <c r="F1492" s="1" t="n"/>
    </row>
    <row r="1493">
      <c r="A1493" s="1" t="n"/>
      <c r="B1493" s="20" t="n"/>
      <c r="C1493" s="21" t="n"/>
      <c r="D1493" s="24" t="n"/>
      <c r="E1493" s="22" t="n"/>
      <c r="F1493" s="1" t="n"/>
    </row>
    <row r="1494">
      <c r="A1494" s="1" t="n"/>
      <c r="B1494" s="20" t="n"/>
      <c r="C1494" s="21" t="n"/>
      <c r="D1494" s="24" t="n"/>
      <c r="E1494" s="22" t="n"/>
      <c r="F1494" s="1" t="n"/>
    </row>
    <row r="1495">
      <c r="A1495" s="1" t="n"/>
      <c r="B1495" s="20" t="n"/>
      <c r="C1495" s="21" t="n"/>
      <c r="D1495" s="24" t="n"/>
      <c r="E1495" s="22" t="n"/>
      <c r="F1495" s="1" t="n"/>
    </row>
    <row r="1496">
      <c r="A1496" s="1" t="n"/>
      <c r="B1496" s="20" t="n"/>
      <c r="C1496" s="21" t="n"/>
      <c r="D1496" s="24" t="n"/>
      <c r="E1496" s="22" t="n"/>
      <c r="F1496" s="1" t="n"/>
    </row>
    <row r="1497">
      <c r="A1497" s="1" t="n"/>
      <c r="B1497" s="20" t="n"/>
      <c r="C1497" s="21" t="n"/>
      <c r="D1497" s="24" t="n"/>
      <c r="E1497" s="22" t="n"/>
      <c r="F1497" s="1" t="n"/>
    </row>
    <row r="1498">
      <c r="A1498" s="1" t="n"/>
      <c r="B1498" s="20" t="n"/>
      <c r="C1498" s="21" t="n"/>
      <c r="D1498" s="24" t="n"/>
      <c r="E1498" s="22" t="n"/>
      <c r="F1498" s="1" t="n"/>
    </row>
    <row r="1499">
      <c r="A1499" s="1" t="n"/>
      <c r="B1499" s="20" t="n"/>
      <c r="C1499" s="21" t="n"/>
      <c r="D1499" s="24" t="n"/>
      <c r="E1499" s="22" t="n"/>
      <c r="F1499" s="1" t="n"/>
    </row>
    <row r="1500">
      <c r="A1500" s="1" t="n"/>
      <c r="B1500" s="20" t="n"/>
      <c r="C1500" s="21" t="n"/>
      <c r="D1500" s="24" t="n"/>
      <c r="E1500" s="22" t="n"/>
      <c r="F1500" s="1" t="n"/>
    </row>
    <row r="1501">
      <c r="A1501" s="1" t="n"/>
      <c r="B1501" s="20" t="n"/>
      <c r="C1501" s="21" t="n"/>
      <c r="D1501" s="24" t="n"/>
      <c r="E1501" s="22" t="n"/>
      <c r="F1501" s="1" t="n"/>
    </row>
    <row r="1502">
      <c r="A1502" s="1" t="n"/>
      <c r="B1502" s="20" t="n"/>
      <c r="C1502" s="21" t="n"/>
      <c r="D1502" s="24" t="n"/>
      <c r="E1502" s="22" t="n"/>
      <c r="F1502" s="1" t="n"/>
    </row>
    <row r="1503">
      <c r="A1503" s="1" t="n"/>
      <c r="B1503" s="20" t="n"/>
      <c r="C1503" s="21" t="n"/>
      <c r="D1503" s="24" t="n"/>
      <c r="E1503" s="22" t="n"/>
      <c r="F1503" s="1" t="n"/>
    </row>
    <row r="1504">
      <c r="A1504" s="1" t="n"/>
      <c r="B1504" s="20" t="n"/>
      <c r="C1504" s="21" t="n"/>
      <c r="D1504" s="24" t="n"/>
      <c r="E1504" s="22" t="n"/>
      <c r="F1504" s="1" t="n"/>
    </row>
    <row r="1505">
      <c r="A1505" s="1" t="n"/>
      <c r="B1505" s="20" t="n"/>
      <c r="C1505" s="21" t="n"/>
      <c r="D1505" s="24" t="n"/>
      <c r="E1505" s="22" t="n"/>
      <c r="F1505" s="1" t="n"/>
    </row>
    <row r="1506">
      <c r="A1506" s="1" t="n"/>
      <c r="B1506" s="20" t="n"/>
      <c r="C1506" s="21" t="n"/>
      <c r="D1506" s="24" t="n"/>
      <c r="E1506" s="22" t="n"/>
      <c r="F1506" s="1" t="n"/>
    </row>
    <row r="1507">
      <c r="A1507" s="1" t="n"/>
      <c r="B1507" s="20" t="n"/>
      <c r="C1507" s="21" t="n"/>
      <c r="D1507" s="24" t="n"/>
      <c r="E1507" s="22" t="n"/>
      <c r="F1507" s="1" t="n"/>
    </row>
    <row r="1508">
      <c r="A1508" s="1" t="n"/>
      <c r="B1508" s="20" t="n"/>
      <c r="C1508" s="21" t="n"/>
      <c r="D1508" s="24" t="n"/>
      <c r="E1508" s="22" t="n"/>
      <c r="F1508" s="1" t="n"/>
    </row>
    <row r="1509">
      <c r="A1509" s="1" t="n"/>
      <c r="B1509" s="20" t="n"/>
      <c r="C1509" s="21" t="n"/>
      <c r="D1509" s="24" t="n"/>
      <c r="E1509" s="22" t="n"/>
      <c r="F1509" s="1" t="n"/>
    </row>
    <row r="1510">
      <c r="A1510" s="1" t="n"/>
      <c r="B1510" s="20" t="n"/>
      <c r="C1510" s="21" t="n"/>
      <c r="D1510" s="24" t="n"/>
      <c r="E1510" s="22" t="n"/>
      <c r="F1510" s="1" t="n"/>
    </row>
    <row r="1511">
      <c r="A1511" s="1" t="n"/>
      <c r="B1511" s="20" t="n"/>
      <c r="C1511" s="21" t="n"/>
      <c r="D1511" s="24" t="n"/>
      <c r="E1511" s="22" t="n"/>
      <c r="F1511" s="1" t="n"/>
    </row>
    <row r="1512">
      <c r="A1512" s="1" t="n"/>
      <c r="B1512" s="20" t="n"/>
      <c r="C1512" s="21" t="n"/>
      <c r="D1512" s="24" t="n"/>
      <c r="E1512" s="22" t="n"/>
      <c r="F1512" s="1" t="n"/>
    </row>
    <row r="1513">
      <c r="A1513" s="1" t="n"/>
      <c r="B1513" s="20" t="n"/>
      <c r="C1513" s="21" t="n"/>
      <c r="D1513" s="24" t="n"/>
      <c r="E1513" s="22" t="n"/>
      <c r="F1513" s="1" t="n"/>
    </row>
    <row r="1514">
      <c r="A1514" s="1" t="n"/>
      <c r="B1514" s="20" t="n"/>
      <c r="C1514" s="21" t="n"/>
      <c r="D1514" s="24" t="n"/>
      <c r="E1514" s="22" t="n"/>
      <c r="F1514" s="1" t="n"/>
    </row>
    <row r="1515">
      <c r="A1515" s="1" t="n"/>
      <c r="B1515" s="20" t="n"/>
      <c r="C1515" s="21" t="n"/>
      <c r="D1515" s="24" t="n"/>
      <c r="E1515" s="22" t="n"/>
      <c r="F1515" s="1" t="n"/>
    </row>
    <row r="1516">
      <c r="A1516" s="1" t="n"/>
      <c r="B1516" s="20" t="n"/>
      <c r="C1516" s="21" t="n"/>
      <c r="D1516" s="24" t="n"/>
      <c r="E1516" s="22" t="n"/>
      <c r="F1516" s="1" t="n"/>
    </row>
    <row r="1517">
      <c r="A1517" s="1" t="n"/>
      <c r="B1517" s="20" t="n"/>
      <c r="C1517" s="21" t="n"/>
      <c r="D1517" s="24" t="n"/>
      <c r="E1517" s="22" t="n"/>
      <c r="F1517" s="1" t="n"/>
    </row>
    <row r="1518">
      <c r="A1518" s="1" t="n"/>
      <c r="B1518" s="20" t="n"/>
      <c r="C1518" s="21" t="n"/>
      <c r="D1518" s="24" t="n"/>
      <c r="E1518" s="22" t="n"/>
      <c r="F1518" s="1" t="n"/>
    </row>
    <row r="1519">
      <c r="A1519" s="1" t="n"/>
      <c r="B1519" s="20" t="n"/>
      <c r="C1519" s="21" t="n"/>
      <c r="D1519" s="24" t="n"/>
      <c r="E1519" s="22" t="n"/>
      <c r="F1519" s="1" t="n"/>
    </row>
    <row r="1520">
      <c r="A1520" s="1" t="n"/>
      <c r="B1520" s="20" t="n"/>
      <c r="C1520" s="21" t="n"/>
      <c r="D1520" s="24" t="n"/>
      <c r="E1520" s="22" t="n"/>
      <c r="F1520" s="1" t="n"/>
    </row>
    <row r="1521">
      <c r="A1521" s="1" t="n"/>
      <c r="B1521" s="20" t="n"/>
      <c r="C1521" s="21" t="n"/>
      <c r="D1521" s="24" t="n"/>
      <c r="E1521" s="22" t="n"/>
      <c r="F1521" s="1" t="n"/>
    </row>
    <row r="1522">
      <c r="A1522" s="1" t="n"/>
      <c r="B1522" s="20" t="n"/>
      <c r="C1522" s="21" t="n"/>
      <c r="D1522" s="24" t="n"/>
      <c r="E1522" s="22" t="n"/>
      <c r="F1522" s="1" t="n"/>
    </row>
    <row r="1523">
      <c r="A1523" s="1" t="n"/>
      <c r="B1523" s="20" t="n"/>
      <c r="C1523" s="21" t="n"/>
      <c r="D1523" s="24" t="n"/>
      <c r="E1523" s="22" t="n"/>
      <c r="F1523" s="1" t="n"/>
    </row>
    <row r="1524">
      <c r="A1524" s="1" t="n"/>
      <c r="B1524" s="20" t="n"/>
      <c r="C1524" s="21" t="n"/>
      <c r="D1524" s="24" t="n"/>
      <c r="E1524" s="22" t="n"/>
      <c r="F1524" s="1" t="n"/>
    </row>
    <row r="1525">
      <c r="A1525" s="1" t="n"/>
      <c r="B1525" s="20" t="n"/>
      <c r="C1525" s="21" t="n"/>
      <c r="D1525" s="24" t="n"/>
      <c r="E1525" s="22" t="n"/>
      <c r="F1525" s="1" t="n"/>
    </row>
    <row r="1526">
      <c r="A1526" s="1" t="n"/>
      <c r="B1526" s="20" t="n"/>
      <c r="C1526" s="21" t="n"/>
      <c r="D1526" s="24" t="n"/>
      <c r="E1526" s="22" t="n"/>
      <c r="F1526" s="1" t="n"/>
    </row>
    <row r="1527">
      <c r="A1527" s="1" t="n"/>
      <c r="B1527" s="20" t="n"/>
      <c r="C1527" s="21" t="n"/>
      <c r="D1527" s="24" t="n"/>
      <c r="E1527" s="22" t="n"/>
      <c r="F1527" s="1" t="n"/>
    </row>
    <row r="1528">
      <c r="A1528" s="1" t="n"/>
      <c r="B1528" s="20" t="n"/>
      <c r="C1528" s="21" t="n"/>
      <c r="D1528" s="24" t="n"/>
      <c r="E1528" s="22" t="n"/>
      <c r="F1528" s="1" t="n"/>
    </row>
    <row r="1529">
      <c r="A1529" s="1" t="n"/>
      <c r="B1529" s="20" t="n"/>
      <c r="C1529" s="21" t="n"/>
      <c r="D1529" s="24" t="n"/>
      <c r="E1529" s="22" t="n"/>
      <c r="F1529" s="1" t="n"/>
    </row>
    <row r="1530">
      <c r="A1530" s="1" t="n"/>
      <c r="B1530" s="20" t="n"/>
      <c r="C1530" s="21" t="n"/>
      <c r="D1530" s="24" t="n"/>
      <c r="E1530" s="22" t="n"/>
      <c r="F1530" s="1" t="n"/>
    </row>
    <row r="1531">
      <c r="A1531" s="1" t="n"/>
      <c r="B1531" s="20" t="n"/>
      <c r="C1531" s="21" t="n"/>
      <c r="D1531" s="24" t="n"/>
      <c r="E1531" s="22" t="n"/>
      <c r="F1531" s="1" t="n"/>
    </row>
    <row r="1532">
      <c r="A1532" s="1" t="n"/>
      <c r="B1532" s="20" t="n"/>
      <c r="C1532" s="21" t="n"/>
      <c r="D1532" s="24" t="n"/>
      <c r="E1532" s="22" t="n"/>
      <c r="F1532" s="1" t="n"/>
    </row>
    <row r="1533">
      <c r="A1533" s="1" t="n"/>
      <c r="B1533" s="20" t="n"/>
      <c r="C1533" s="21" t="n"/>
      <c r="D1533" s="24" t="n"/>
      <c r="E1533" s="22" t="n"/>
      <c r="F1533" s="1" t="n"/>
    </row>
    <row r="1534">
      <c r="A1534" s="1" t="n"/>
      <c r="B1534" s="20" t="n"/>
      <c r="C1534" s="21" t="n"/>
      <c r="D1534" s="24" t="n"/>
      <c r="E1534" s="22" t="n"/>
      <c r="F1534" s="1" t="n"/>
    </row>
    <row r="1535">
      <c r="A1535" s="1" t="n"/>
      <c r="B1535" s="20" t="n"/>
      <c r="C1535" s="21" t="n"/>
      <c r="D1535" s="24" t="n"/>
      <c r="E1535" s="22" t="n"/>
      <c r="F1535" s="1" t="n"/>
    </row>
    <row r="1536">
      <c r="A1536" s="1" t="n"/>
      <c r="B1536" s="20" t="n"/>
      <c r="C1536" s="21" t="n"/>
      <c r="D1536" s="24" t="n"/>
      <c r="E1536" s="22" t="n"/>
      <c r="F1536" s="1" t="n"/>
    </row>
    <row r="1537">
      <c r="A1537" s="1" t="n"/>
      <c r="B1537" s="20" t="n"/>
      <c r="C1537" s="21" t="n"/>
      <c r="D1537" s="24" t="n"/>
      <c r="E1537" s="22" t="n"/>
      <c r="F1537" s="1" t="n"/>
    </row>
    <row r="1538">
      <c r="A1538" s="1" t="n"/>
      <c r="B1538" s="20" t="n"/>
      <c r="C1538" s="21" t="n"/>
      <c r="D1538" s="24" t="n"/>
      <c r="E1538" s="22" t="n"/>
      <c r="F1538" s="1" t="n"/>
    </row>
    <row r="1539">
      <c r="A1539" s="1" t="n"/>
      <c r="B1539" s="20" t="n"/>
      <c r="C1539" s="21" t="n"/>
      <c r="D1539" s="24" t="n"/>
      <c r="E1539" s="22" t="n"/>
      <c r="F1539" s="1" t="n"/>
    </row>
    <row r="1540">
      <c r="A1540" s="1" t="n"/>
      <c r="B1540" s="20" t="n"/>
      <c r="C1540" s="21" t="n"/>
      <c r="D1540" s="24" t="n"/>
      <c r="E1540" s="22" t="n"/>
      <c r="F1540" s="1" t="n"/>
    </row>
    <row r="1541">
      <c r="A1541" s="1" t="n"/>
      <c r="B1541" s="20" t="n"/>
      <c r="C1541" s="21" t="n"/>
      <c r="D1541" s="24" t="n"/>
      <c r="E1541" s="22" t="n"/>
      <c r="F1541" s="1" t="n"/>
    </row>
    <row r="1542">
      <c r="A1542" s="1" t="n"/>
      <c r="B1542" s="20" t="n"/>
      <c r="C1542" s="21" t="n"/>
      <c r="D1542" s="24" t="n"/>
      <c r="E1542" s="22" t="n"/>
      <c r="F1542" s="1" t="n"/>
    </row>
    <row r="1543">
      <c r="A1543" s="1" t="n"/>
      <c r="B1543" s="20" t="n"/>
      <c r="C1543" s="21" t="n"/>
      <c r="D1543" s="24" t="n"/>
      <c r="E1543" s="22" t="n"/>
      <c r="F1543" s="1" t="n"/>
    </row>
    <row r="1544">
      <c r="A1544" s="1" t="n"/>
      <c r="B1544" s="20" t="n"/>
      <c r="C1544" s="21" t="n"/>
      <c r="D1544" s="24" t="n"/>
      <c r="E1544" s="22" t="n"/>
      <c r="F1544" s="1" t="n"/>
    </row>
    <row r="1545">
      <c r="A1545" s="1" t="n"/>
      <c r="B1545" s="20" t="n"/>
      <c r="C1545" s="21" t="n"/>
      <c r="D1545" s="24" t="n"/>
      <c r="E1545" s="22" t="n"/>
      <c r="F1545" s="1" t="n"/>
    </row>
    <row r="1546">
      <c r="A1546" s="1" t="n"/>
      <c r="B1546" s="20" t="n"/>
      <c r="C1546" s="21" t="n"/>
      <c r="D1546" s="24" t="n"/>
      <c r="E1546" s="22" t="n"/>
      <c r="F1546" s="1" t="n"/>
    </row>
    <row r="1547">
      <c r="A1547" s="1" t="n"/>
      <c r="B1547" s="20" t="n"/>
      <c r="C1547" s="21" t="n"/>
      <c r="D1547" s="24" t="n"/>
      <c r="E1547" s="22" t="n"/>
      <c r="F1547" s="1" t="n"/>
    </row>
    <row r="1548">
      <c r="A1548" s="1" t="n"/>
      <c r="B1548" s="20" t="n"/>
      <c r="C1548" s="21" t="n"/>
      <c r="D1548" s="24" t="n"/>
      <c r="E1548" s="22" t="n"/>
      <c r="F1548" s="1" t="n"/>
    </row>
    <row r="1549">
      <c r="A1549" s="1" t="n"/>
      <c r="B1549" s="20" t="n"/>
      <c r="C1549" s="21" t="n"/>
      <c r="D1549" s="24" t="n"/>
      <c r="E1549" s="22" t="n"/>
      <c r="F1549" s="1" t="n"/>
    </row>
    <row r="1550">
      <c r="A1550" s="1" t="n"/>
      <c r="B1550" s="20" t="n"/>
      <c r="C1550" s="21" t="n"/>
      <c r="D1550" s="24" t="n"/>
      <c r="E1550" s="22" t="n"/>
      <c r="F1550" s="1" t="n"/>
    </row>
    <row r="1551">
      <c r="A1551" s="1" t="n"/>
      <c r="B1551" s="20" t="n"/>
      <c r="C1551" s="21" t="n"/>
      <c r="D1551" s="24" t="n"/>
      <c r="E1551" s="22" t="n"/>
      <c r="F1551" s="1" t="n"/>
    </row>
    <row r="1552">
      <c r="A1552" s="1" t="n"/>
      <c r="B1552" s="20" t="n"/>
      <c r="C1552" s="21" t="n"/>
      <c r="D1552" s="24" t="n"/>
      <c r="E1552" s="22" t="n"/>
      <c r="F1552" s="1" t="n"/>
    </row>
    <row r="1553">
      <c r="A1553" s="1" t="n"/>
      <c r="B1553" s="20" t="n"/>
      <c r="C1553" s="21" t="n"/>
      <c r="D1553" s="24" t="n"/>
      <c r="E1553" s="22" t="n"/>
      <c r="F1553" s="1" t="n"/>
    </row>
    <row r="1554">
      <c r="A1554" s="1" t="n"/>
      <c r="B1554" s="20" t="n"/>
      <c r="C1554" s="21" t="n"/>
      <c r="D1554" s="24" t="n"/>
      <c r="E1554" s="22" t="n"/>
      <c r="F1554" s="1" t="n"/>
    </row>
    <row r="1555">
      <c r="A1555" s="1" t="n"/>
      <c r="B1555" s="20" t="n"/>
      <c r="C1555" s="21" t="n"/>
      <c r="D1555" s="24" t="n"/>
      <c r="E1555" s="22" t="n"/>
      <c r="F1555" s="1" t="n"/>
    </row>
    <row r="1556">
      <c r="A1556" s="1" t="n"/>
      <c r="B1556" s="20" t="n"/>
      <c r="C1556" s="21" t="n"/>
      <c r="D1556" s="24" t="n"/>
      <c r="E1556" s="22" t="n"/>
      <c r="F1556" s="1" t="n"/>
    </row>
    <row r="1557">
      <c r="A1557" s="1" t="n"/>
      <c r="B1557" s="20" t="n"/>
      <c r="C1557" s="21" t="n"/>
      <c r="D1557" s="24" t="n"/>
      <c r="E1557" s="22" t="n"/>
      <c r="F1557" s="1" t="n"/>
    </row>
    <row r="1558">
      <c r="A1558" s="1" t="n"/>
      <c r="B1558" s="20" t="n"/>
      <c r="C1558" s="21" t="n"/>
      <c r="D1558" s="24" t="n"/>
      <c r="E1558" s="22" t="n"/>
      <c r="F1558" s="1" t="n"/>
    </row>
    <row r="1559">
      <c r="A1559" s="1" t="n"/>
      <c r="B1559" s="20" t="n"/>
      <c r="C1559" s="21" t="n"/>
      <c r="D1559" s="24" t="n"/>
      <c r="E1559" s="22" t="n"/>
      <c r="F1559" s="1" t="n"/>
    </row>
    <row r="1560">
      <c r="A1560" s="1" t="n"/>
      <c r="B1560" s="20" t="n"/>
      <c r="C1560" s="21" t="n"/>
      <c r="D1560" s="24" t="n"/>
      <c r="E1560" s="22" t="n"/>
      <c r="F1560" s="1" t="n"/>
    </row>
    <row r="1561">
      <c r="A1561" s="1" t="n"/>
      <c r="B1561" s="20" t="n"/>
      <c r="C1561" s="21" t="n"/>
      <c r="D1561" s="24" t="n"/>
      <c r="E1561" s="22" t="n"/>
      <c r="F1561" s="1" t="n"/>
    </row>
    <row r="1562">
      <c r="A1562" s="1" t="n"/>
      <c r="B1562" s="20" t="n"/>
      <c r="C1562" s="21" t="n"/>
      <c r="D1562" s="24" t="n"/>
      <c r="E1562" s="22" t="n"/>
      <c r="F1562" s="1" t="n"/>
    </row>
    <row r="1563">
      <c r="A1563" s="1" t="n"/>
      <c r="B1563" s="20" t="n"/>
      <c r="C1563" s="21" t="n"/>
      <c r="D1563" s="24" t="n"/>
      <c r="E1563" s="22" t="n"/>
      <c r="F1563" s="1" t="n"/>
    </row>
    <row r="1564">
      <c r="A1564" s="1" t="n"/>
      <c r="B1564" s="20" t="n"/>
      <c r="C1564" s="21" t="n"/>
      <c r="D1564" s="24" t="n"/>
      <c r="E1564" s="22" t="n"/>
      <c r="F1564" s="1" t="n"/>
    </row>
    <row r="1565">
      <c r="A1565" s="1" t="n"/>
      <c r="B1565" s="20" t="n"/>
      <c r="C1565" s="21" t="n"/>
      <c r="D1565" s="24" t="n"/>
      <c r="E1565" s="22" t="n"/>
      <c r="F1565" s="1" t="n"/>
    </row>
    <row r="1566">
      <c r="A1566" s="1" t="n"/>
      <c r="B1566" s="20" t="n"/>
      <c r="C1566" s="21" t="n"/>
      <c r="D1566" s="24" t="n"/>
      <c r="E1566" s="22" t="n"/>
      <c r="F1566" s="1" t="n"/>
    </row>
    <row r="1567">
      <c r="A1567" s="1" t="n"/>
      <c r="B1567" s="20" t="n"/>
      <c r="C1567" s="21" t="n"/>
      <c r="D1567" s="24" t="n"/>
      <c r="E1567" s="22" t="n"/>
      <c r="F1567" s="1" t="n"/>
    </row>
    <row r="1568">
      <c r="A1568" s="1" t="n"/>
      <c r="B1568" s="20" t="n"/>
      <c r="C1568" s="21" t="n"/>
      <c r="D1568" s="24" t="n"/>
      <c r="E1568" s="22" t="n"/>
      <c r="F1568" s="1" t="n"/>
    </row>
    <row r="1569">
      <c r="A1569" s="1" t="n"/>
      <c r="B1569" s="20" t="n"/>
      <c r="C1569" s="21" t="n"/>
      <c r="D1569" s="24" t="n"/>
      <c r="E1569" s="22" t="n"/>
      <c r="F1569" s="1" t="n"/>
    </row>
    <row r="1570">
      <c r="A1570" s="1" t="n"/>
      <c r="B1570" s="20" t="n"/>
      <c r="C1570" s="21" t="n"/>
      <c r="D1570" s="24" t="n"/>
      <c r="E1570" s="22" t="n"/>
      <c r="F1570" s="1" t="n"/>
    </row>
    <row r="1571">
      <c r="A1571" s="1" t="n"/>
      <c r="B1571" s="20" t="n"/>
      <c r="C1571" s="21" t="n"/>
      <c r="D1571" s="24" t="n"/>
      <c r="E1571" s="22" t="n"/>
      <c r="F1571" s="1" t="n"/>
    </row>
    <row r="1572">
      <c r="A1572" s="1" t="n"/>
      <c r="B1572" s="20" t="n"/>
      <c r="C1572" s="21" t="n"/>
      <c r="D1572" s="24" t="n"/>
      <c r="E1572" s="22" t="n"/>
      <c r="F1572" s="1" t="n"/>
    </row>
    <row r="1573">
      <c r="A1573" s="1" t="n"/>
      <c r="B1573" s="20" t="n"/>
      <c r="C1573" s="21" t="n"/>
      <c r="D1573" s="24" t="n"/>
      <c r="E1573" s="22" t="n"/>
      <c r="F1573" s="1" t="n"/>
    </row>
    <row r="1574">
      <c r="A1574" s="1" t="n"/>
      <c r="B1574" s="20" t="n"/>
      <c r="C1574" s="21" t="n"/>
      <c r="D1574" s="24" t="n"/>
      <c r="E1574" s="22" t="n"/>
      <c r="F1574" s="1" t="n"/>
    </row>
    <row r="1575">
      <c r="A1575" s="1" t="n"/>
      <c r="B1575" s="20" t="n"/>
      <c r="C1575" s="21" t="n"/>
      <c r="D1575" s="24" t="n"/>
      <c r="E1575" s="22" t="n"/>
      <c r="F1575" s="1" t="n"/>
    </row>
    <row r="1576">
      <c r="A1576" s="1" t="n"/>
      <c r="B1576" s="20" t="n"/>
      <c r="C1576" s="21" t="n"/>
      <c r="D1576" s="24" t="n"/>
      <c r="E1576" s="22" t="n"/>
      <c r="F1576" s="1" t="n"/>
    </row>
    <row r="1577">
      <c r="A1577" s="1" t="n"/>
      <c r="B1577" s="20" t="n"/>
      <c r="C1577" s="21" t="n"/>
      <c r="D1577" s="24" t="n"/>
      <c r="E1577" s="22" t="n"/>
      <c r="F1577" s="1" t="n"/>
    </row>
    <row r="1578">
      <c r="A1578" s="1" t="n"/>
      <c r="B1578" s="20" t="n"/>
      <c r="C1578" s="21" t="n"/>
      <c r="D1578" s="24" t="n"/>
      <c r="E1578" s="22" t="n"/>
      <c r="F1578" s="1" t="n"/>
    </row>
    <row r="1579">
      <c r="A1579" s="1" t="n"/>
      <c r="B1579" s="20" t="n"/>
      <c r="C1579" s="21" t="n"/>
      <c r="D1579" s="24" t="n"/>
      <c r="E1579" s="22" t="n"/>
      <c r="F1579" s="1" t="n"/>
    </row>
    <row r="1580">
      <c r="A1580" s="1" t="n"/>
      <c r="B1580" s="20" t="n"/>
      <c r="C1580" s="21" t="n"/>
      <c r="D1580" s="24" t="n"/>
      <c r="E1580" s="22" t="n"/>
      <c r="F1580" s="1" t="n"/>
    </row>
    <row r="1581">
      <c r="A1581" s="1" t="n"/>
      <c r="B1581" s="20" t="n"/>
      <c r="C1581" s="21" t="n"/>
      <c r="D1581" s="24" t="n"/>
      <c r="E1581" s="22" t="n"/>
      <c r="F1581" s="1" t="n"/>
    </row>
    <row r="1582">
      <c r="A1582" s="1" t="n"/>
      <c r="B1582" s="20" t="n"/>
      <c r="C1582" s="21" t="n"/>
      <c r="D1582" s="24" t="n"/>
      <c r="E1582" s="22" t="n"/>
      <c r="F1582" s="1" t="n"/>
    </row>
    <row r="1583">
      <c r="A1583" s="1" t="n"/>
      <c r="B1583" s="20" t="n"/>
      <c r="C1583" s="21" t="n"/>
      <c r="D1583" s="24" t="n"/>
      <c r="E1583" s="22" t="n"/>
      <c r="F1583" s="1" t="n"/>
    </row>
    <row r="1584">
      <c r="A1584" s="1" t="n"/>
      <c r="B1584" s="20" t="n"/>
      <c r="C1584" s="21" t="n"/>
      <c r="D1584" s="24" t="n"/>
      <c r="E1584" s="22" t="n"/>
      <c r="F1584" s="1" t="n"/>
    </row>
    <row r="1585">
      <c r="A1585" s="1" t="n"/>
      <c r="B1585" s="20" t="n"/>
      <c r="C1585" s="21" t="n"/>
      <c r="D1585" s="24" t="n"/>
      <c r="E1585" s="22" t="n"/>
      <c r="F1585" s="1" t="n"/>
    </row>
    <row r="1586">
      <c r="A1586" s="1" t="n"/>
      <c r="B1586" s="20" t="n"/>
      <c r="C1586" s="21" t="n"/>
      <c r="D1586" s="24" t="n"/>
      <c r="E1586" s="22" t="n"/>
      <c r="F1586" s="1" t="n"/>
    </row>
    <row r="1587">
      <c r="A1587" s="1" t="n"/>
      <c r="B1587" s="20" t="n"/>
      <c r="C1587" s="21" t="n"/>
      <c r="D1587" s="24" t="n"/>
      <c r="E1587" s="22" t="n"/>
      <c r="F1587" s="1" t="n"/>
    </row>
    <row r="1588">
      <c r="A1588" s="1" t="n"/>
      <c r="B1588" s="20" t="n"/>
      <c r="C1588" s="21" t="n"/>
      <c r="D1588" s="24" t="n"/>
      <c r="E1588" s="22" t="n"/>
      <c r="F1588" s="1" t="n"/>
    </row>
    <row r="1589">
      <c r="A1589" s="1" t="n"/>
      <c r="B1589" s="20" t="n"/>
      <c r="C1589" s="21" t="n"/>
      <c r="D1589" s="24" t="n"/>
      <c r="E1589" s="22" t="n"/>
      <c r="F1589" s="1" t="n"/>
    </row>
    <row r="1590">
      <c r="A1590" s="1" t="n"/>
      <c r="B1590" s="20" t="n"/>
      <c r="C1590" s="21" t="n"/>
      <c r="D1590" s="24" t="n"/>
      <c r="E1590" s="22" t="n"/>
      <c r="F1590" s="1" t="n"/>
    </row>
    <row r="1591">
      <c r="A1591" s="1" t="n"/>
      <c r="B1591" s="20" t="n"/>
      <c r="C1591" s="21" t="n"/>
      <c r="D1591" s="24" t="n"/>
      <c r="E1591" s="22" t="n"/>
      <c r="F1591" s="1" t="n"/>
    </row>
    <row r="1592">
      <c r="A1592" s="1" t="n"/>
      <c r="B1592" s="20" t="n"/>
      <c r="C1592" s="21" t="n"/>
      <c r="D1592" s="24" t="n"/>
      <c r="E1592" s="22" t="n"/>
      <c r="F1592" s="1" t="n"/>
    </row>
    <row r="1593">
      <c r="A1593" s="1" t="n"/>
      <c r="B1593" s="20" t="n"/>
      <c r="C1593" s="21" t="n"/>
      <c r="D1593" s="24" t="n"/>
      <c r="E1593" s="22" t="n"/>
      <c r="F1593" s="1" t="n"/>
    </row>
    <row r="1594">
      <c r="A1594" s="1" t="n"/>
      <c r="B1594" s="20" t="n"/>
      <c r="C1594" s="21" t="n"/>
      <c r="D1594" s="24" t="n"/>
      <c r="E1594" s="22" t="n"/>
      <c r="F1594" s="1" t="n"/>
    </row>
    <row r="1595">
      <c r="A1595" s="1" t="n"/>
      <c r="B1595" s="20" t="n"/>
      <c r="C1595" s="21" t="n"/>
      <c r="D1595" s="24" t="n"/>
      <c r="E1595" s="22" t="n"/>
      <c r="F1595" s="1" t="n"/>
    </row>
    <row r="1596">
      <c r="A1596" s="1" t="n"/>
      <c r="B1596" s="20" t="n"/>
      <c r="C1596" s="21" t="n"/>
      <c r="D1596" s="24" t="n"/>
      <c r="E1596" s="22" t="n"/>
      <c r="F1596" s="1" t="n"/>
    </row>
    <row r="1597">
      <c r="A1597" s="1" t="n"/>
      <c r="B1597" s="20" t="n"/>
      <c r="C1597" s="21" t="n"/>
      <c r="D1597" s="24" t="n"/>
      <c r="E1597" s="22" t="n"/>
      <c r="F1597" s="1" t="n"/>
    </row>
    <row r="1598">
      <c r="A1598" s="1" t="n"/>
      <c r="B1598" s="20" t="n"/>
      <c r="C1598" s="21" t="n"/>
      <c r="D1598" s="24" t="n"/>
      <c r="E1598" s="22" t="n"/>
      <c r="F1598" s="1" t="n"/>
    </row>
    <row r="1599">
      <c r="A1599" s="1" t="n"/>
      <c r="B1599" s="20" t="n"/>
      <c r="C1599" s="21" t="n"/>
      <c r="D1599" s="24" t="n"/>
      <c r="E1599" s="22" t="n"/>
      <c r="F1599" s="1" t="n"/>
    </row>
    <row r="1600">
      <c r="A1600" s="1" t="n"/>
      <c r="B1600" s="20" t="n"/>
      <c r="C1600" s="21" t="n"/>
      <c r="D1600" s="24" t="n"/>
      <c r="E1600" s="22" t="n"/>
      <c r="F1600" s="1" t="n"/>
    </row>
    <row r="1601">
      <c r="A1601" s="1" t="n"/>
      <c r="B1601" s="20" t="n"/>
      <c r="C1601" s="21" t="n"/>
      <c r="D1601" s="24" t="n"/>
      <c r="E1601" s="22" t="n"/>
      <c r="F1601" s="1" t="n"/>
    </row>
    <row r="1602">
      <c r="A1602" s="1" t="n"/>
      <c r="B1602" s="20" t="n"/>
      <c r="C1602" s="21" t="n"/>
      <c r="D1602" s="24" t="n"/>
      <c r="E1602" s="22" t="n"/>
      <c r="F1602" s="1" t="n"/>
    </row>
    <row r="1603">
      <c r="A1603" s="1" t="n"/>
      <c r="B1603" s="20" t="n"/>
      <c r="C1603" s="21" t="n"/>
      <c r="D1603" s="24" t="n"/>
      <c r="E1603" s="22" t="n"/>
      <c r="F1603" s="1" t="n"/>
    </row>
    <row r="1604">
      <c r="A1604" s="1" t="n"/>
      <c r="B1604" s="20" t="n"/>
      <c r="C1604" s="21" t="n"/>
      <c r="D1604" s="24" t="n"/>
      <c r="E1604" s="22" t="n"/>
      <c r="F1604" s="1" t="n"/>
    </row>
    <row r="1605">
      <c r="A1605" s="1" t="n"/>
      <c r="B1605" s="20" t="n"/>
      <c r="C1605" s="21" t="n"/>
      <c r="D1605" s="24" t="n"/>
      <c r="E1605" s="22" t="n"/>
      <c r="F1605" s="1" t="n"/>
    </row>
    <row r="1606">
      <c r="A1606" s="1" t="n"/>
      <c r="B1606" s="20" t="n"/>
      <c r="C1606" s="21" t="n"/>
      <c r="D1606" s="24" t="n"/>
      <c r="E1606" s="22" t="n"/>
      <c r="F1606" s="1" t="n"/>
    </row>
    <row r="1607">
      <c r="A1607" s="1" t="n"/>
      <c r="B1607" s="20" t="n"/>
      <c r="C1607" s="21" t="n"/>
      <c r="D1607" s="24" t="n"/>
      <c r="E1607" s="22" t="n"/>
      <c r="F1607" s="1" t="n"/>
    </row>
    <row r="1608">
      <c r="A1608" s="1" t="n"/>
      <c r="B1608" s="20" t="n"/>
      <c r="C1608" s="21" t="n"/>
      <c r="D1608" s="24" t="n"/>
      <c r="E1608" s="22" t="n"/>
      <c r="F1608" s="1" t="n"/>
    </row>
    <row r="1609">
      <c r="A1609" s="1" t="n"/>
      <c r="B1609" s="20" t="n"/>
      <c r="C1609" s="21" t="n"/>
      <c r="D1609" s="24" t="n"/>
      <c r="E1609" s="22" t="n"/>
      <c r="F1609" s="1" t="n"/>
    </row>
    <row r="1610">
      <c r="A1610" s="1" t="n"/>
      <c r="B1610" s="20" t="n"/>
      <c r="C1610" s="21" t="n"/>
      <c r="D1610" s="24" t="n"/>
      <c r="E1610" s="22" t="n"/>
      <c r="F1610" s="1" t="n"/>
    </row>
    <row r="1611">
      <c r="A1611" s="1" t="n"/>
      <c r="B1611" s="20" t="n"/>
      <c r="C1611" s="21" t="n"/>
      <c r="D1611" s="24" t="n"/>
      <c r="E1611" s="22" t="n"/>
      <c r="F1611" s="1" t="n"/>
    </row>
    <row r="1612">
      <c r="A1612" s="1" t="n"/>
      <c r="B1612" s="20" t="n"/>
      <c r="C1612" s="21" t="n"/>
      <c r="D1612" s="24" t="n"/>
      <c r="E1612" s="22" t="n"/>
      <c r="F1612" s="1" t="n"/>
    </row>
    <row r="1613">
      <c r="A1613" s="1" t="n"/>
      <c r="B1613" s="20" t="n"/>
      <c r="C1613" s="21" t="n"/>
      <c r="D1613" s="24" t="n"/>
      <c r="E1613" s="22" t="n"/>
      <c r="F1613" s="1" t="n"/>
    </row>
    <row r="1614">
      <c r="A1614" s="1" t="n"/>
      <c r="B1614" s="20" t="n"/>
      <c r="C1614" s="21" t="n"/>
      <c r="D1614" s="24" t="n"/>
      <c r="E1614" s="22" t="n"/>
      <c r="F1614" s="1" t="n"/>
    </row>
    <row r="1615">
      <c r="A1615" s="1" t="n"/>
      <c r="B1615" s="20" t="n"/>
      <c r="C1615" s="21" t="n"/>
      <c r="D1615" s="24" t="n"/>
      <c r="E1615" s="22" t="n"/>
      <c r="F1615" s="1" t="n"/>
    </row>
    <row r="1616">
      <c r="A1616" s="1" t="n"/>
      <c r="B1616" s="20" t="n"/>
      <c r="C1616" s="21" t="n"/>
      <c r="D1616" s="24" t="n"/>
      <c r="E1616" s="22" t="n"/>
      <c r="F1616" s="1" t="n"/>
    </row>
    <row r="1617">
      <c r="A1617" s="1" t="n"/>
      <c r="B1617" s="20" t="n"/>
      <c r="C1617" s="21" t="n"/>
      <c r="D1617" s="24" t="n"/>
      <c r="E1617" s="22" t="n"/>
      <c r="F1617" s="1" t="n"/>
    </row>
    <row r="1618">
      <c r="A1618" s="1" t="n"/>
      <c r="B1618" s="20" t="n"/>
      <c r="C1618" s="21" t="n"/>
      <c r="D1618" s="24" t="n"/>
      <c r="E1618" s="22" t="n"/>
      <c r="F1618" s="1" t="n"/>
    </row>
    <row r="1619">
      <c r="A1619" s="1" t="n"/>
      <c r="B1619" s="20" t="n"/>
      <c r="C1619" s="21" t="n"/>
      <c r="D1619" s="24" t="n"/>
      <c r="E1619" s="22" t="n"/>
      <c r="F1619" s="1" t="n"/>
    </row>
    <row r="1620">
      <c r="A1620" s="1" t="n"/>
      <c r="B1620" s="20" t="n"/>
      <c r="C1620" s="21" t="n"/>
      <c r="D1620" s="24" t="n"/>
      <c r="E1620" s="22" t="n"/>
      <c r="F1620" s="1" t="n"/>
    </row>
    <row r="1621">
      <c r="A1621" s="1" t="n"/>
      <c r="B1621" s="20" t="n"/>
      <c r="C1621" s="21" t="n"/>
      <c r="D1621" s="24" t="n"/>
      <c r="E1621" s="22" t="n"/>
      <c r="F1621" s="1" t="n"/>
    </row>
    <row r="1622">
      <c r="A1622" s="1" t="n"/>
      <c r="B1622" s="20" t="n"/>
      <c r="C1622" s="21" t="n"/>
      <c r="D1622" s="24" t="n"/>
      <c r="E1622" s="22" t="n"/>
      <c r="F1622" s="1" t="n"/>
    </row>
    <row r="1623">
      <c r="A1623" s="1" t="n"/>
      <c r="B1623" s="20" t="n"/>
      <c r="C1623" s="21" t="n"/>
      <c r="D1623" s="24" t="n"/>
      <c r="E1623" s="22" t="n"/>
      <c r="F1623" s="1" t="n"/>
    </row>
    <row r="1624">
      <c r="A1624" s="1" t="n"/>
      <c r="B1624" s="20" t="n"/>
      <c r="C1624" s="21" t="n"/>
      <c r="D1624" s="24" t="n"/>
      <c r="E1624" s="22" t="n"/>
      <c r="F1624" s="1" t="n"/>
    </row>
    <row r="1625">
      <c r="A1625" s="1" t="n"/>
      <c r="B1625" s="20" t="n"/>
      <c r="C1625" s="21" t="n"/>
      <c r="D1625" s="24" t="n"/>
      <c r="E1625" s="22" t="n"/>
      <c r="F1625" s="1" t="n"/>
    </row>
    <row r="1626">
      <c r="A1626" s="1" t="n"/>
      <c r="B1626" s="20" t="n"/>
      <c r="C1626" s="21" t="n"/>
      <c r="D1626" s="24" t="n"/>
      <c r="E1626" s="22" t="n"/>
      <c r="F1626" s="1" t="n"/>
    </row>
    <row r="1627">
      <c r="A1627" s="1" t="n"/>
      <c r="B1627" s="20" t="n"/>
      <c r="C1627" s="21" t="n"/>
      <c r="D1627" s="24" t="n"/>
      <c r="E1627" s="22" t="n"/>
      <c r="F1627" s="1" t="n"/>
    </row>
    <row r="1628">
      <c r="A1628" s="1" t="n"/>
      <c r="B1628" s="20" t="n"/>
      <c r="C1628" s="21" t="n"/>
      <c r="D1628" s="24" t="n"/>
      <c r="E1628" s="22" t="n"/>
      <c r="F1628" s="1" t="n"/>
    </row>
    <row r="1629">
      <c r="A1629" s="1" t="n"/>
      <c r="B1629" s="20" t="n"/>
      <c r="C1629" s="21" t="n"/>
      <c r="D1629" s="24" t="n"/>
      <c r="E1629" s="22" t="n"/>
      <c r="F1629" s="1" t="n"/>
    </row>
    <row r="1630">
      <c r="A1630" s="1" t="n"/>
      <c r="B1630" s="20" t="n"/>
      <c r="C1630" s="21" t="n"/>
      <c r="D1630" s="24" t="n"/>
      <c r="E1630" s="22" t="n"/>
      <c r="F1630" s="1" t="n"/>
    </row>
    <row r="1631">
      <c r="A1631" s="1" t="n"/>
      <c r="B1631" s="20" t="n"/>
      <c r="C1631" s="21" t="n"/>
      <c r="D1631" s="24" t="n"/>
      <c r="E1631" s="22" t="n"/>
      <c r="F1631" s="1" t="n"/>
    </row>
    <row r="1632">
      <c r="A1632" s="1" t="n"/>
      <c r="B1632" s="20" t="n"/>
      <c r="C1632" s="21" t="n"/>
      <c r="D1632" s="24" t="n"/>
      <c r="E1632" s="22" t="n"/>
      <c r="F1632" s="1" t="n"/>
    </row>
    <row r="1633">
      <c r="A1633" s="1" t="n"/>
      <c r="B1633" s="20" t="n"/>
      <c r="C1633" s="21" t="n"/>
      <c r="D1633" s="24" t="n"/>
      <c r="E1633" s="22" t="n"/>
      <c r="F1633" s="1" t="n"/>
    </row>
    <row r="1634">
      <c r="A1634" s="1" t="n"/>
      <c r="B1634" s="20" t="n"/>
      <c r="C1634" s="21" t="n"/>
      <c r="D1634" s="24" t="n"/>
      <c r="E1634" s="22" t="n"/>
      <c r="F1634" s="1" t="n"/>
    </row>
    <row r="1635">
      <c r="A1635" s="1" t="n"/>
      <c r="B1635" s="20" t="n"/>
      <c r="C1635" s="21" t="n"/>
      <c r="D1635" s="24" t="n"/>
      <c r="E1635" s="22" t="n"/>
      <c r="F1635" s="1" t="n"/>
    </row>
    <row r="1636">
      <c r="A1636" s="1" t="n"/>
      <c r="B1636" s="20" t="n"/>
      <c r="C1636" s="21" t="n"/>
      <c r="D1636" s="24" t="n"/>
      <c r="E1636" s="22" t="n"/>
      <c r="F1636" s="1" t="n"/>
    </row>
    <row r="1637">
      <c r="A1637" s="1" t="n"/>
      <c r="B1637" s="20" t="n"/>
      <c r="C1637" s="21" t="n"/>
      <c r="D1637" s="24" t="n"/>
      <c r="E1637" s="22" t="n"/>
      <c r="F1637" s="1" t="n"/>
    </row>
    <row r="1638">
      <c r="A1638" s="1" t="n"/>
      <c r="B1638" s="20" t="n"/>
      <c r="C1638" s="21" t="n"/>
      <c r="D1638" s="24" t="n"/>
      <c r="E1638" s="22" t="n"/>
      <c r="F1638" s="1" t="n"/>
    </row>
    <row r="1639">
      <c r="A1639" s="1" t="n"/>
      <c r="B1639" s="20" t="n"/>
      <c r="C1639" s="21" t="n"/>
      <c r="D1639" s="24" t="n"/>
      <c r="E1639" s="22" t="n"/>
      <c r="F1639" s="1" t="n"/>
    </row>
    <row r="1640">
      <c r="A1640" s="1" t="n"/>
      <c r="B1640" s="20" t="n"/>
      <c r="C1640" s="21" t="n"/>
      <c r="D1640" s="24" t="n"/>
      <c r="E1640" s="22" t="n"/>
      <c r="F1640" s="1" t="n"/>
    </row>
    <row r="1641">
      <c r="A1641" s="1" t="n"/>
      <c r="B1641" s="20" t="n"/>
      <c r="C1641" s="21" t="n"/>
      <c r="D1641" s="24" t="n"/>
      <c r="E1641" s="22" t="n"/>
      <c r="F1641" s="1" t="n"/>
    </row>
    <row r="1642">
      <c r="A1642" s="1" t="n"/>
      <c r="B1642" s="20" t="n"/>
      <c r="C1642" s="21" t="n"/>
      <c r="D1642" s="24" t="n"/>
      <c r="E1642" s="22" t="n"/>
      <c r="F1642" s="1" t="n"/>
    </row>
    <row r="1643">
      <c r="A1643" s="1" t="n"/>
      <c r="B1643" s="20" t="n"/>
      <c r="C1643" s="21" t="n"/>
      <c r="D1643" s="24" t="n"/>
      <c r="E1643" s="22" t="n"/>
      <c r="F1643" s="1" t="n"/>
    </row>
    <row r="1644">
      <c r="A1644" s="1" t="n"/>
      <c r="B1644" s="20" t="n"/>
      <c r="C1644" s="21" t="n"/>
      <c r="D1644" s="24" t="n"/>
      <c r="E1644" s="22" t="n"/>
      <c r="F1644" s="1" t="n"/>
    </row>
    <row r="1645">
      <c r="A1645" s="1" t="n"/>
      <c r="B1645" s="20" t="n"/>
      <c r="C1645" s="21" t="n"/>
      <c r="D1645" s="24" t="n"/>
      <c r="E1645" s="22" t="n"/>
      <c r="F1645" s="1" t="n"/>
    </row>
    <row r="1646">
      <c r="A1646" s="1" t="n"/>
      <c r="B1646" s="20" t="n"/>
      <c r="C1646" s="21" t="n"/>
      <c r="D1646" s="24" t="n"/>
      <c r="E1646" s="22" t="n"/>
      <c r="F1646" s="1" t="n"/>
    </row>
    <row r="1647">
      <c r="A1647" s="1" t="n"/>
      <c r="B1647" s="20" t="n"/>
      <c r="C1647" s="21" t="n"/>
      <c r="D1647" s="24" t="n"/>
      <c r="E1647" s="22" t="n"/>
      <c r="F1647" s="1" t="n"/>
    </row>
    <row r="1648">
      <c r="A1648" s="1" t="n"/>
      <c r="B1648" s="20" t="n"/>
      <c r="C1648" s="21" t="n"/>
      <c r="D1648" s="24" t="n"/>
      <c r="E1648" s="22" t="n"/>
      <c r="F1648" s="1" t="n"/>
    </row>
    <row r="1649">
      <c r="A1649" s="1" t="n"/>
      <c r="B1649" s="20" t="n"/>
      <c r="C1649" s="21" t="n"/>
      <c r="D1649" s="24" t="n"/>
      <c r="E1649" s="22" t="n"/>
      <c r="F1649" s="1" t="n"/>
    </row>
    <row r="1650">
      <c r="A1650" s="1" t="n"/>
      <c r="B1650" s="20" t="n"/>
      <c r="C1650" s="21" t="n"/>
      <c r="D1650" s="24" t="n"/>
      <c r="E1650" s="22" t="n"/>
      <c r="F1650" s="1" t="n"/>
    </row>
    <row r="1651">
      <c r="A1651" s="1" t="n"/>
      <c r="B1651" s="20" t="n"/>
      <c r="C1651" s="21" t="n"/>
      <c r="D1651" s="24" t="n"/>
      <c r="E1651" s="22" t="n"/>
      <c r="F1651" s="1" t="n"/>
    </row>
    <row r="1652">
      <c r="A1652" s="1" t="n"/>
      <c r="B1652" s="20" t="n"/>
      <c r="C1652" s="21" t="n"/>
      <c r="D1652" s="24" t="n"/>
      <c r="E1652" s="22" t="n"/>
      <c r="F1652" s="1" t="n"/>
    </row>
    <row r="1653">
      <c r="A1653" s="1" t="n"/>
      <c r="B1653" s="20" t="n"/>
      <c r="C1653" s="21" t="n"/>
      <c r="D1653" s="24" t="n"/>
      <c r="E1653" s="22" t="n"/>
      <c r="F1653" s="1" t="n"/>
    </row>
    <row r="1654">
      <c r="A1654" s="1" t="n"/>
      <c r="B1654" s="20" t="n"/>
      <c r="C1654" s="21" t="n"/>
      <c r="D1654" s="24" t="n"/>
      <c r="E1654" s="22" t="n"/>
      <c r="F1654" s="1" t="n"/>
    </row>
    <row r="1655">
      <c r="A1655" s="1" t="n"/>
      <c r="B1655" s="20" t="n"/>
      <c r="C1655" s="21" t="n"/>
      <c r="D1655" s="24" t="n"/>
      <c r="E1655" s="22" t="n"/>
      <c r="F1655" s="1" t="n"/>
    </row>
    <row r="1656">
      <c r="A1656" s="1" t="n"/>
      <c r="B1656" s="20" t="n"/>
      <c r="C1656" s="21" t="n"/>
      <c r="D1656" s="24" t="n"/>
      <c r="E1656" s="22" t="n"/>
      <c r="F1656" s="1" t="n"/>
    </row>
    <row r="1657">
      <c r="A1657" s="1" t="n"/>
      <c r="B1657" s="20" t="n"/>
      <c r="C1657" s="21" t="n"/>
      <c r="D1657" s="24" t="n"/>
      <c r="E1657" s="22" t="n"/>
      <c r="F1657" s="1" t="n"/>
    </row>
    <row r="1658">
      <c r="A1658" s="1" t="n"/>
      <c r="B1658" s="20" t="n"/>
      <c r="C1658" s="21" t="n"/>
      <c r="D1658" s="24" t="n"/>
      <c r="E1658" s="22" t="n"/>
      <c r="F1658" s="1" t="n"/>
    </row>
    <row r="1659">
      <c r="A1659" s="1" t="n"/>
      <c r="B1659" s="20" t="n"/>
      <c r="C1659" s="21" t="n"/>
      <c r="D1659" s="24" t="n"/>
      <c r="E1659" s="22" t="n"/>
      <c r="F1659" s="1" t="n"/>
    </row>
    <row r="1660">
      <c r="A1660" s="1" t="n"/>
      <c r="B1660" s="20" t="n"/>
      <c r="C1660" s="21" t="n"/>
      <c r="D1660" s="24" t="n"/>
      <c r="E1660" s="22" t="n"/>
      <c r="F1660" s="1" t="n"/>
    </row>
    <row r="1661">
      <c r="A1661" s="1" t="n"/>
      <c r="B1661" s="20" t="n"/>
      <c r="C1661" s="21" t="n"/>
      <c r="D1661" s="24" t="n"/>
      <c r="E1661" s="22" t="n"/>
      <c r="F1661" s="1" t="n"/>
    </row>
    <row r="1662">
      <c r="A1662" s="1" t="n"/>
      <c r="B1662" s="20" t="n"/>
      <c r="C1662" s="21" t="n"/>
      <c r="D1662" s="24" t="n"/>
      <c r="E1662" s="22" t="n"/>
      <c r="F1662" s="1" t="n"/>
    </row>
    <row r="1663">
      <c r="A1663" s="1" t="n"/>
      <c r="B1663" s="20" t="n"/>
      <c r="C1663" s="21" t="n"/>
      <c r="D1663" s="24" t="n"/>
      <c r="E1663" s="22" t="n"/>
      <c r="F1663" s="1" t="n"/>
    </row>
    <row r="1664">
      <c r="A1664" s="1" t="n"/>
      <c r="B1664" s="20" t="n"/>
      <c r="C1664" s="21" t="n"/>
      <c r="D1664" s="24" t="n"/>
      <c r="E1664" s="22" t="n"/>
      <c r="F1664" s="1" t="n"/>
    </row>
    <row r="1665">
      <c r="A1665" s="1" t="n"/>
      <c r="B1665" s="20" t="n"/>
      <c r="C1665" s="21" t="n"/>
      <c r="D1665" s="24" t="n"/>
      <c r="E1665" s="22" t="n"/>
      <c r="F1665" s="1" t="n"/>
    </row>
    <row r="1666">
      <c r="A1666" s="1" t="n"/>
      <c r="B1666" s="20" t="n"/>
      <c r="C1666" s="21" t="n"/>
      <c r="D1666" s="24" t="n"/>
      <c r="E1666" s="22" t="n"/>
      <c r="F1666" s="1" t="n"/>
    </row>
    <row r="1667">
      <c r="A1667" s="1" t="n"/>
      <c r="B1667" s="20" t="n"/>
      <c r="C1667" s="21" t="n"/>
      <c r="D1667" s="24" t="n"/>
      <c r="E1667" s="22" t="n"/>
      <c r="F1667" s="1" t="n"/>
    </row>
    <row r="1668">
      <c r="A1668" s="1" t="n"/>
      <c r="B1668" s="20" t="n"/>
      <c r="C1668" s="21" t="n"/>
      <c r="D1668" s="24" t="n"/>
      <c r="E1668" s="22" t="n"/>
      <c r="F1668" s="1" t="n"/>
    </row>
    <row r="1669">
      <c r="A1669" s="1" t="n"/>
      <c r="B1669" s="20" t="n"/>
      <c r="C1669" s="21" t="n"/>
      <c r="D1669" s="24" t="n"/>
      <c r="E1669" s="22" t="n"/>
      <c r="F1669" s="1" t="n"/>
    </row>
    <row r="1670">
      <c r="A1670" s="1" t="n"/>
      <c r="B1670" s="20" t="n"/>
      <c r="C1670" s="21" t="n"/>
      <c r="D1670" s="24" t="n"/>
      <c r="E1670" s="22" t="n"/>
      <c r="F1670" s="1" t="n"/>
    </row>
    <row r="1671">
      <c r="A1671" s="1" t="n"/>
      <c r="B1671" s="20" t="n"/>
      <c r="C1671" s="21" t="n"/>
      <c r="D1671" s="24" t="n"/>
      <c r="E1671" s="22" t="n"/>
      <c r="F1671" s="1" t="n"/>
    </row>
    <row r="1672">
      <c r="A1672" s="1" t="n"/>
      <c r="B1672" s="20" t="n"/>
      <c r="C1672" s="21" t="n"/>
      <c r="D1672" s="24" t="n"/>
      <c r="E1672" s="22" t="n"/>
      <c r="F1672" s="1" t="n"/>
    </row>
    <row r="1673">
      <c r="A1673" s="1" t="n"/>
      <c r="B1673" s="20" t="n"/>
      <c r="C1673" s="21" t="n"/>
      <c r="D1673" s="24" t="n"/>
      <c r="E1673" s="22" t="n"/>
      <c r="F1673" s="1" t="n"/>
    </row>
    <row r="1674">
      <c r="A1674" s="1" t="n"/>
      <c r="B1674" s="20" t="n"/>
      <c r="C1674" s="21" t="n"/>
      <c r="D1674" s="24" t="n"/>
      <c r="E1674" s="22" t="n"/>
      <c r="F1674" s="1" t="n"/>
    </row>
    <row r="1675">
      <c r="A1675" s="1" t="n"/>
      <c r="B1675" s="20" t="n"/>
      <c r="C1675" s="21" t="n"/>
      <c r="D1675" s="24" t="n"/>
      <c r="E1675" s="22" t="n"/>
      <c r="F1675" s="1" t="n"/>
    </row>
    <row r="1676">
      <c r="A1676" s="1" t="n"/>
      <c r="B1676" s="20" t="n"/>
      <c r="C1676" s="21" t="n"/>
      <c r="D1676" s="24" t="n"/>
      <c r="E1676" s="22" t="n"/>
      <c r="F1676" s="1" t="n"/>
    </row>
    <row r="1677">
      <c r="A1677" s="1" t="n"/>
      <c r="B1677" s="20" t="n"/>
      <c r="C1677" s="21" t="n"/>
      <c r="D1677" s="24" t="n"/>
      <c r="E1677" s="22" t="n"/>
      <c r="F1677" s="1" t="n"/>
    </row>
    <row r="1678">
      <c r="A1678" s="1" t="n"/>
      <c r="B1678" s="20" t="n"/>
      <c r="C1678" s="21" t="n"/>
      <c r="D1678" s="24" t="n"/>
      <c r="E1678" s="22" t="n"/>
      <c r="F1678" s="1" t="n"/>
    </row>
    <row r="1679">
      <c r="A1679" s="1" t="n"/>
      <c r="B1679" s="20" t="n"/>
      <c r="C1679" s="21" t="n"/>
      <c r="D1679" s="24" t="n"/>
      <c r="E1679" s="22" t="n"/>
      <c r="F1679" s="1" t="n"/>
    </row>
    <row r="1680">
      <c r="A1680" s="1" t="n"/>
      <c r="B1680" s="20" t="n"/>
      <c r="C1680" s="21" t="n"/>
      <c r="D1680" s="24" t="n"/>
      <c r="E1680" s="22" t="n"/>
      <c r="F1680" s="1" t="n"/>
    </row>
    <row r="1681">
      <c r="A1681" s="1" t="n"/>
      <c r="B1681" s="20" t="n"/>
      <c r="C1681" s="21" t="n"/>
      <c r="D1681" s="24" t="n"/>
      <c r="E1681" s="22" t="n"/>
      <c r="F1681" s="1" t="n"/>
    </row>
    <row r="1682">
      <c r="A1682" s="1" t="n"/>
      <c r="B1682" s="20" t="n"/>
      <c r="C1682" s="21" t="n"/>
      <c r="D1682" s="24" t="n"/>
      <c r="E1682" s="22" t="n"/>
      <c r="F1682" s="1" t="n"/>
    </row>
    <row r="1683">
      <c r="A1683" s="1" t="n"/>
      <c r="B1683" s="20" t="n"/>
      <c r="C1683" s="21" t="n"/>
      <c r="D1683" s="24" t="n"/>
      <c r="E1683" s="22" t="n"/>
      <c r="F1683" s="1" t="n"/>
    </row>
    <row r="1684">
      <c r="A1684" s="1" t="n"/>
      <c r="B1684" s="20" t="n"/>
      <c r="C1684" s="21" t="n"/>
      <c r="D1684" s="24" t="n"/>
      <c r="E1684" s="22" t="n"/>
      <c r="F1684" s="1" t="n"/>
    </row>
    <row r="1685">
      <c r="A1685" s="1" t="n"/>
      <c r="B1685" s="20" t="n"/>
      <c r="C1685" s="21" t="n"/>
      <c r="D1685" s="24" t="n"/>
      <c r="E1685" s="22" t="n"/>
      <c r="F1685" s="1" t="n"/>
    </row>
    <row r="1686">
      <c r="A1686" s="1" t="n"/>
      <c r="B1686" s="20" t="n"/>
      <c r="C1686" s="21" t="n"/>
      <c r="D1686" s="24" t="n"/>
      <c r="E1686" s="22" t="n"/>
      <c r="F1686" s="1" t="n"/>
    </row>
    <row r="1687">
      <c r="A1687" s="1" t="n"/>
      <c r="B1687" s="20" t="n"/>
      <c r="C1687" s="21" t="n"/>
      <c r="D1687" s="24" t="n"/>
      <c r="E1687" s="22" t="n"/>
      <c r="F1687" s="1" t="n"/>
    </row>
    <row r="1688">
      <c r="A1688" s="1" t="n"/>
      <c r="B1688" s="20" t="n"/>
      <c r="C1688" s="21" t="n"/>
      <c r="D1688" s="24" t="n"/>
      <c r="E1688" s="22" t="n"/>
      <c r="F1688" s="1" t="n"/>
    </row>
    <row r="1689">
      <c r="A1689" s="1" t="n"/>
      <c r="B1689" s="20" t="n"/>
      <c r="C1689" s="21" t="n"/>
      <c r="D1689" s="24" t="n"/>
      <c r="E1689" s="22" t="n"/>
      <c r="F1689" s="1" t="n"/>
    </row>
    <row r="1690">
      <c r="A1690" s="1" t="n"/>
      <c r="B1690" s="20" t="n"/>
      <c r="C1690" s="21" t="n"/>
      <c r="D1690" s="24" t="n"/>
      <c r="E1690" s="22" t="n"/>
      <c r="F1690" s="1" t="n"/>
    </row>
    <row r="1691">
      <c r="A1691" s="1" t="n"/>
      <c r="B1691" s="20" t="n"/>
      <c r="C1691" s="21" t="n"/>
      <c r="D1691" s="24" t="n"/>
      <c r="E1691" s="22" t="n"/>
      <c r="F1691" s="1" t="n"/>
    </row>
    <row r="1692">
      <c r="A1692" s="1" t="n"/>
      <c r="B1692" s="20" t="n"/>
      <c r="C1692" s="21" t="n"/>
      <c r="D1692" s="24" t="n"/>
      <c r="E1692" s="22" t="n"/>
      <c r="F1692" s="1" t="n"/>
    </row>
    <row r="1693">
      <c r="A1693" s="1" t="n"/>
      <c r="B1693" s="20" t="n"/>
      <c r="C1693" s="21" t="n"/>
      <c r="D1693" s="24" t="n"/>
      <c r="E1693" s="22" t="n"/>
      <c r="F1693" s="1" t="n"/>
    </row>
    <row r="1694">
      <c r="A1694" s="1" t="n"/>
      <c r="B1694" s="20" t="n"/>
      <c r="C1694" s="21" t="n"/>
      <c r="D1694" s="24" t="n"/>
      <c r="E1694" s="22" t="n"/>
      <c r="F1694" s="1" t="n"/>
    </row>
    <row r="1695">
      <c r="A1695" s="1" t="n"/>
      <c r="B1695" s="20" t="n"/>
      <c r="C1695" s="21" t="n"/>
      <c r="D1695" s="24" t="n"/>
      <c r="E1695" s="22" t="n"/>
      <c r="F1695" s="1" t="n"/>
    </row>
    <row r="1696">
      <c r="A1696" s="1" t="n"/>
      <c r="B1696" s="20" t="n"/>
      <c r="C1696" s="21" t="n"/>
      <c r="D1696" s="24" t="n"/>
      <c r="E1696" s="22" t="n"/>
      <c r="F1696" s="1" t="n"/>
    </row>
    <row r="1697">
      <c r="A1697" s="1" t="n"/>
      <c r="B1697" s="20" t="n"/>
      <c r="C1697" s="21" t="n"/>
      <c r="D1697" s="24" t="n"/>
      <c r="E1697" s="22" t="n"/>
      <c r="F1697" s="1" t="n"/>
    </row>
    <row r="1698">
      <c r="A1698" s="1" t="n"/>
      <c r="B1698" s="20" t="n"/>
      <c r="C1698" s="21" t="n"/>
      <c r="D1698" s="24" t="n"/>
      <c r="E1698" s="22" t="n"/>
      <c r="F1698" s="1" t="n"/>
    </row>
    <row r="1699">
      <c r="A1699" s="1" t="n"/>
      <c r="B1699" s="20" t="n"/>
      <c r="C1699" s="21" t="n"/>
      <c r="D1699" s="24" t="n"/>
      <c r="E1699" s="22" t="n"/>
      <c r="F1699" s="1" t="n"/>
    </row>
    <row r="1700">
      <c r="A1700" s="1" t="n"/>
      <c r="B1700" s="20" t="n"/>
      <c r="C1700" s="21" t="n"/>
      <c r="D1700" s="24" t="n"/>
      <c r="E1700" s="22" t="n"/>
      <c r="F1700" s="1" t="n"/>
    </row>
    <row r="1701">
      <c r="A1701" s="1" t="n"/>
      <c r="B1701" s="20" t="n"/>
      <c r="C1701" s="21" t="n"/>
      <c r="D1701" s="24" t="n"/>
      <c r="E1701" s="22" t="n"/>
      <c r="F1701" s="1" t="n"/>
    </row>
    <row r="1702">
      <c r="A1702" s="1" t="n"/>
      <c r="B1702" s="20" t="n"/>
      <c r="C1702" s="21" t="n"/>
      <c r="D1702" s="24" t="n"/>
      <c r="E1702" s="22" t="n"/>
      <c r="F1702" s="1" t="n"/>
    </row>
    <row r="1703">
      <c r="A1703" s="1" t="n"/>
      <c r="B1703" s="20" t="n"/>
      <c r="C1703" s="21" t="n"/>
      <c r="D1703" s="24" t="n"/>
      <c r="E1703" s="22" t="n"/>
      <c r="F1703" s="1" t="n"/>
    </row>
    <row r="1704">
      <c r="A1704" s="1" t="n"/>
      <c r="B1704" s="20" t="n"/>
      <c r="C1704" s="21" t="n"/>
      <c r="D1704" s="24" t="n"/>
      <c r="E1704" s="22" t="n"/>
      <c r="F1704" s="1" t="n"/>
    </row>
    <row r="1705">
      <c r="A1705" s="1" t="n"/>
      <c r="B1705" s="20" t="n"/>
      <c r="C1705" s="21" t="n"/>
      <c r="D1705" s="24" t="n"/>
      <c r="E1705" s="22" t="n"/>
      <c r="F1705" s="1" t="n"/>
    </row>
    <row r="1706">
      <c r="A1706" s="1" t="n"/>
      <c r="B1706" s="20" t="n"/>
      <c r="C1706" s="21" t="n"/>
      <c r="D1706" s="24" t="n"/>
      <c r="E1706" s="22" t="n"/>
      <c r="F1706" s="1" t="n"/>
    </row>
    <row r="1707">
      <c r="A1707" s="1" t="n"/>
      <c r="B1707" s="20" t="n"/>
      <c r="C1707" s="21" t="n"/>
      <c r="D1707" s="24" t="n"/>
      <c r="E1707" s="22" t="n"/>
      <c r="F1707" s="1" t="n"/>
    </row>
    <row r="1708">
      <c r="A1708" s="1" t="n"/>
      <c r="B1708" s="20" t="n"/>
      <c r="C1708" s="21" t="n"/>
      <c r="D1708" s="24" t="n"/>
      <c r="E1708" s="22" t="n"/>
      <c r="F1708" s="1" t="n"/>
    </row>
    <row r="1709">
      <c r="A1709" s="1" t="n"/>
      <c r="B1709" s="20" t="n"/>
      <c r="C1709" s="21" t="n"/>
      <c r="D1709" s="24" t="n"/>
      <c r="E1709" s="22" t="n"/>
      <c r="F1709" s="1" t="n"/>
    </row>
    <row r="1710">
      <c r="A1710" s="1" t="n"/>
      <c r="B1710" s="20" t="n"/>
      <c r="C1710" s="21" t="n"/>
      <c r="D1710" s="24" t="n"/>
      <c r="E1710" s="22" t="n"/>
      <c r="F1710" s="1" t="n"/>
    </row>
    <row r="1711">
      <c r="A1711" s="1" t="n"/>
      <c r="B1711" s="20" t="n"/>
      <c r="C1711" s="21" t="n"/>
      <c r="D1711" s="24" t="n"/>
      <c r="E1711" s="22" t="n"/>
      <c r="F1711" s="1" t="n"/>
    </row>
    <row r="1712">
      <c r="A1712" s="1" t="n"/>
      <c r="B1712" s="20" t="n"/>
      <c r="C1712" s="21" t="n"/>
      <c r="D1712" s="24" t="n"/>
      <c r="E1712" s="22" t="n"/>
      <c r="F1712" s="1" t="n"/>
    </row>
    <row r="1713">
      <c r="A1713" s="1" t="n"/>
      <c r="B1713" s="20" t="n"/>
      <c r="C1713" s="21" t="n"/>
      <c r="D1713" s="24" t="n"/>
      <c r="E1713" s="22" t="n"/>
      <c r="F1713" s="1" t="n"/>
    </row>
    <row r="1714">
      <c r="A1714" s="1" t="n"/>
      <c r="B1714" s="20" t="n"/>
      <c r="C1714" s="21" t="n"/>
      <c r="D1714" s="24" t="n"/>
      <c r="E1714" s="22" t="n"/>
      <c r="F1714" s="1" t="n"/>
    </row>
    <row r="1715">
      <c r="A1715" s="1" t="n"/>
      <c r="B1715" s="20" t="n"/>
      <c r="C1715" s="21" t="n"/>
      <c r="D1715" s="24" t="n"/>
      <c r="E1715" s="22" t="n"/>
      <c r="F1715" s="1" t="n"/>
    </row>
    <row r="1716">
      <c r="A1716" s="1" t="n"/>
      <c r="B1716" s="20" t="n"/>
      <c r="C1716" s="21" t="n"/>
      <c r="D1716" s="24" t="n"/>
      <c r="E1716" s="22" t="n"/>
      <c r="F1716" s="1" t="n"/>
    </row>
    <row r="1717">
      <c r="A1717" s="1" t="n"/>
      <c r="B1717" s="20" t="n"/>
      <c r="C1717" s="21" t="n"/>
      <c r="D1717" s="24" t="n"/>
      <c r="E1717" s="22" t="n"/>
      <c r="F1717" s="1" t="n"/>
    </row>
    <row r="1718">
      <c r="A1718" s="1" t="n"/>
      <c r="B1718" s="20" t="n"/>
      <c r="C1718" s="21" t="n"/>
      <c r="D1718" s="24" t="n"/>
      <c r="E1718" s="22" t="n"/>
      <c r="F1718" s="1" t="n"/>
    </row>
    <row r="1719">
      <c r="A1719" s="1" t="n"/>
      <c r="B1719" s="20" t="n"/>
      <c r="C1719" s="21" t="n"/>
      <c r="D1719" s="24" t="n"/>
      <c r="E1719" s="22" t="n"/>
      <c r="F1719" s="1" t="n"/>
    </row>
    <row r="1720">
      <c r="A1720" s="1" t="n"/>
      <c r="B1720" s="20" t="n"/>
      <c r="C1720" s="21" t="n"/>
      <c r="D1720" s="24" t="n"/>
      <c r="E1720" s="22" t="n"/>
      <c r="F1720" s="1" t="n"/>
    </row>
    <row r="1721">
      <c r="A1721" s="1" t="n"/>
      <c r="B1721" s="20" t="n"/>
      <c r="C1721" s="21" t="n"/>
      <c r="D1721" s="24" t="n"/>
      <c r="E1721" s="22" t="n"/>
      <c r="F1721" s="1" t="n"/>
    </row>
    <row r="1722">
      <c r="A1722" s="1" t="n"/>
      <c r="B1722" s="20" t="n"/>
      <c r="C1722" s="21" t="n"/>
      <c r="D1722" s="24" t="n"/>
      <c r="E1722" s="22" t="n"/>
      <c r="F1722" s="1" t="n"/>
    </row>
    <row r="1723">
      <c r="A1723" s="1" t="n"/>
      <c r="B1723" s="20" t="n"/>
      <c r="C1723" s="21" t="n"/>
      <c r="D1723" s="24" t="n"/>
      <c r="E1723" s="22" t="n"/>
      <c r="F1723" s="1" t="n"/>
    </row>
    <row r="1724">
      <c r="A1724" s="1" t="n"/>
      <c r="B1724" s="20" t="n"/>
      <c r="C1724" s="21" t="n"/>
      <c r="D1724" s="24" t="n"/>
      <c r="E1724" s="22" t="n"/>
      <c r="F1724" s="1" t="n"/>
    </row>
    <row r="1725">
      <c r="A1725" s="1" t="n"/>
      <c r="B1725" s="20" t="n"/>
      <c r="C1725" s="21" t="n"/>
      <c r="D1725" s="24" t="n"/>
      <c r="E1725" s="22" t="n"/>
      <c r="F1725" s="1" t="n"/>
    </row>
    <row r="1726">
      <c r="A1726" s="1" t="n"/>
      <c r="B1726" s="20" t="n"/>
      <c r="C1726" s="21" t="n"/>
      <c r="D1726" s="24" t="n"/>
      <c r="E1726" s="22" t="n"/>
      <c r="F1726" s="1" t="n"/>
    </row>
    <row r="1727">
      <c r="A1727" s="1" t="n"/>
      <c r="B1727" s="20" t="n"/>
      <c r="C1727" s="21" t="n"/>
      <c r="D1727" s="24" t="n"/>
      <c r="E1727" s="22" t="n"/>
      <c r="F1727" s="1" t="n"/>
    </row>
    <row r="1728">
      <c r="A1728" s="1" t="n"/>
      <c r="B1728" s="20" t="n"/>
      <c r="C1728" s="21" t="n"/>
      <c r="D1728" s="24" t="n"/>
      <c r="E1728" s="22" t="n"/>
      <c r="F1728" s="1" t="n"/>
    </row>
    <row r="1729">
      <c r="A1729" s="1" t="n"/>
      <c r="B1729" s="20" t="n"/>
      <c r="C1729" s="21" t="n"/>
      <c r="D1729" s="24" t="n"/>
      <c r="E1729" s="22" t="n"/>
      <c r="F1729" s="1" t="n"/>
    </row>
    <row r="1730">
      <c r="A1730" s="1" t="n"/>
      <c r="B1730" s="20" t="n"/>
      <c r="C1730" s="21" t="n"/>
      <c r="D1730" s="24" t="n"/>
      <c r="E1730" s="22" t="n"/>
      <c r="F1730" s="1" t="n"/>
    </row>
    <row r="1731">
      <c r="A1731" s="1" t="n"/>
      <c r="B1731" s="20" t="n"/>
      <c r="C1731" s="21" t="n"/>
      <c r="D1731" s="24" t="n"/>
      <c r="E1731" s="22" t="n"/>
      <c r="F1731" s="1" t="n"/>
    </row>
    <row r="1732">
      <c r="A1732" s="1" t="n"/>
      <c r="B1732" s="20" t="n"/>
      <c r="C1732" s="21" t="n"/>
      <c r="D1732" s="24" t="n"/>
      <c r="E1732" s="22" t="n"/>
      <c r="F1732" s="1" t="n"/>
    </row>
    <row r="1733">
      <c r="A1733" s="1" t="n"/>
      <c r="B1733" s="20" t="n"/>
      <c r="C1733" s="21" t="n"/>
      <c r="D1733" s="24" t="n"/>
      <c r="E1733" s="22" t="n"/>
      <c r="F1733" s="1" t="n"/>
    </row>
    <row r="1734">
      <c r="A1734" s="1" t="n"/>
      <c r="B1734" s="20" t="n"/>
      <c r="C1734" s="21" t="n"/>
      <c r="D1734" s="24" t="n"/>
      <c r="E1734" s="22" t="n"/>
      <c r="F1734" s="1" t="n"/>
    </row>
    <row r="1735">
      <c r="A1735" s="1" t="n"/>
      <c r="B1735" s="20" t="n"/>
      <c r="C1735" s="21" t="n"/>
      <c r="D1735" s="24" t="n"/>
      <c r="E1735" s="22" t="n"/>
      <c r="F1735" s="1" t="n"/>
    </row>
    <row r="1736">
      <c r="A1736" s="1" t="n"/>
      <c r="B1736" s="20" t="n"/>
      <c r="C1736" s="21" t="n"/>
      <c r="D1736" s="24" t="n"/>
      <c r="E1736" s="22" t="n"/>
      <c r="F1736" s="1" t="n"/>
    </row>
    <row r="1737">
      <c r="A1737" s="1" t="n"/>
      <c r="B1737" s="20" t="n"/>
      <c r="C1737" s="21" t="n"/>
      <c r="D1737" s="24" t="n"/>
      <c r="E1737" s="22" t="n"/>
      <c r="F1737" s="1" t="n"/>
    </row>
    <row r="1738">
      <c r="A1738" s="1" t="n"/>
      <c r="B1738" s="20" t="n"/>
      <c r="C1738" s="21" t="n"/>
      <c r="D1738" s="24" t="n"/>
      <c r="E1738" s="22" t="n"/>
      <c r="F1738" s="1" t="n"/>
    </row>
    <row r="1739">
      <c r="A1739" s="1" t="n"/>
      <c r="B1739" s="20" t="n"/>
      <c r="C1739" s="21" t="n"/>
      <c r="D1739" s="24" t="n"/>
      <c r="E1739" s="22" t="n"/>
      <c r="F1739" s="1" t="n"/>
    </row>
    <row r="1740">
      <c r="A1740" s="1" t="n"/>
      <c r="B1740" s="20" t="n"/>
      <c r="C1740" s="21" t="n"/>
      <c r="D1740" s="24" t="n"/>
      <c r="E1740" s="22" t="n"/>
      <c r="F1740" s="1" t="n"/>
    </row>
    <row r="1741">
      <c r="A1741" s="1" t="n"/>
      <c r="B1741" s="20" t="n"/>
      <c r="C1741" s="21" t="n"/>
      <c r="D1741" s="24" t="n"/>
      <c r="E1741" s="22" t="n"/>
      <c r="F1741" s="1" t="n"/>
    </row>
    <row r="1742">
      <c r="A1742" s="1" t="n"/>
      <c r="B1742" s="20" t="n"/>
      <c r="C1742" s="21" t="n"/>
      <c r="D1742" s="24" t="n"/>
      <c r="E1742" s="22" t="n"/>
      <c r="F1742" s="1" t="n"/>
    </row>
    <row r="1743">
      <c r="A1743" s="1" t="n"/>
      <c r="B1743" s="20" t="n"/>
      <c r="C1743" s="21" t="n"/>
      <c r="D1743" s="24" t="n"/>
      <c r="E1743" s="22" t="n"/>
      <c r="F1743" s="1" t="n"/>
    </row>
    <row r="1744">
      <c r="A1744" s="1" t="n"/>
      <c r="B1744" s="20" t="n"/>
      <c r="C1744" s="21" t="n"/>
      <c r="D1744" s="24" t="n"/>
      <c r="E1744" s="22" t="n"/>
      <c r="F1744" s="1" t="n"/>
    </row>
    <row r="1745">
      <c r="A1745" s="1" t="n"/>
      <c r="B1745" s="20" t="n"/>
      <c r="C1745" s="21" t="n"/>
      <c r="D1745" s="24" t="n"/>
      <c r="E1745" s="22" t="n"/>
      <c r="F1745" s="1" t="n"/>
    </row>
    <row r="1746">
      <c r="A1746" s="1" t="n"/>
      <c r="B1746" s="20" t="n"/>
      <c r="C1746" s="21" t="n"/>
      <c r="D1746" s="24" t="n"/>
      <c r="E1746" s="22" t="n"/>
      <c r="F1746" s="1" t="n"/>
    </row>
    <row r="1747">
      <c r="A1747" s="1" t="n"/>
      <c r="B1747" s="20" t="n"/>
      <c r="C1747" s="21" t="n"/>
      <c r="D1747" s="24" t="n"/>
      <c r="E1747" s="22" t="n"/>
      <c r="F1747" s="1" t="n"/>
    </row>
    <row r="1748">
      <c r="A1748" s="1" t="n"/>
      <c r="B1748" s="20" t="n"/>
      <c r="C1748" s="21" t="n"/>
      <c r="D1748" s="24" t="n"/>
      <c r="E1748" s="22" t="n"/>
      <c r="F1748" s="1" t="n"/>
    </row>
    <row r="1749">
      <c r="A1749" s="1" t="n"/>
      <c r="B1749" s="20" t="n"/>
      <c r="C1749" s="21" t="n"/>
      <c r="D1749" s="24" t="n"/>
      <c r="E1749" s="22" t="n"/>
      <c r="F1749" s="1" t="n"/>
    </row>
    <row r="1750">
      <c r="A1750" s="1" t="n"/>
      <c r="B1750" s="20" t="n"/>
      <c r="C1750" s="21" t="n"/>
      <c r="D1750" s="24" t="n"/>
      <c r="E1750" s="22" t="n"/>
      <c r="F1750" s="1" t="n"/>
    </row>
    <row r="1751">
      <c r="A1751" s="1" t="n"/>
      <c r="B1751" s="20" t="n"/>
      <c r="C1751" s="21" t="n"/>
      <c r="D1751" s="24" t="n"/>
      <c r="E1751" s="22" t="n"/>
      <c r="F1751" s="1" t="n"/>
    </row>
    <row r="1752">
      <c r="A1752" s="1" t="n"/>
      <c r="B1752" s="20" t="n"/>
      <c r="C1752" s="21" t="n"/>
      <c r="D1752" s="24" t="n"/>
      <c r="E1752" s="22" t="n"/>
      <c r="F1752" s="1" t="n"/>
    </row>
    <row r="1753">
      <c r="A1753" s="1" t="n"/>
      <c r="B1753" s="20" t="n"/>
      <c r="C1753" s="21" t="n"/>
      <c r="D1753" s="24" t="n"/>
      <c r="E1753" s="22" t="n"/>
      <c r="F1753" s="1" t="n"/>
    </row>
    <row r="1754">
      <c r="A1754" s="1" t="n"/>
      <c r="B1754" s="20" t="n"/>
      <c r="C1754" s="21" t="n"/>
      <c r="D1754" s="24" t="n"/>
      <c r="E1754" s="22" t="n"/>
      <c r="F1754" s="1" t="n"/>
    </row>
    <row r="1755">
      <c r="A1755" s="1" t="n"/>
      <c r="B1755" s="20" t="n"/>
      <c r="C1755" s="21" t="n"/>
      <c r="D1755" s="24" t="n"/>
      <c r="E1755" s="22" t="n"/>
      <c r="F1755" s="1" t="n"/>
    </row>
    <row r="1756">
      <c r="A1756" s="1" t="n"/>
      <c r="B1756" s="20" t="n"/>
      <c r="C1756" s="21" t="n"/>
      <c r="D1756" s="24" t="n"/>
      <c r="E1756" s="22" t="n"/>
      <c r="F1756" s="1" t="n"/>
    </row>
    <row r="1757">
      <c r="A1757" s="1" t="n"/>
      <c r="B1757" s="20" t="n"/>
      <c r="C1757" s="21" t="n"/>
      <c r="D1757" s="24" t="n"/>
      <c r="E1757" s="22" t="n"/>
      <c r="F1757" s="1" t="n"/>
    </row>
    <row r="1758">
      <c r="A1758" s="1" t="n"/>
      <c r="B1758" s="20" t="n"/>
      <c r="C1758" s="21" t="n"/>
      <c r="D1758" s="24" t="n"/>
      <c r="E1758" s="22" t="n"/>
      <c r="F1758" s="1" t="n"/>
    </row>
    <row r="1759">
      <c r="A1759" s="1" t="n"/>
      <c r="B1759" s="20" t="n"/>
      <c r="C1759" s="21" t="n"/>
      <c r="D1759" s="24" t="n"/>
      <c r="E1759" s="22" t="n"/>
      <c r="F1759" s="1" t="n"/>
    </row>
    <row r="1760">
      <c r="A1760" s="1" t="n"/>
      <c r="B1760" s="20" t="n"/>
      <c r="C1760" s="21" t="n"/>
      <c r="D1760" s="24" t="n"/>
      <c r="E1760" s="22" t="n"/>
      <c r="F1760" s="1" t="n"/>
    </row>
    <row r="1761">
      <c r="A1761" s="1" t="n"/>
      <c r="B1761" s="20" t="n"/>
      <c r="C1761" s="21" t="n"/>
      <c r="D1761" s="24" t="n"/>
      <c r="E1761" s="22" t="n"/>
      <c r="F1761" s="1" t="n"/>
    </row>
    <row r="1762">
      <c r="A1762" s="1" t="n"/>
      <c r="B1762" s="20" t="n"/>
      <c r="C1762" s="21" t="n"/>
      <c r="D1762" s="24" t="n"/>
      <c r="E1762" s="22" t="n"/>
      <c r="F1762" s="1" t="n"/>
    </row>
    <row r="1763">
      <c r="A1763" s="1" t="n"/>
      <c r="B1763" s="20" t="n"/>
      <c r="C1763" s="21" t="n"/>
      <c r="D1763" s="24" t="n"/>
      <c r="E1763" s="22" t="n"/>
      <c r="F1763" s="1" t="n"/>
    </row>
    <row r="1764">
      <c r="A1764" s="1" t="n"/>
      <c r="B1764" s="20" t="n"/>
      <c r="C1764" s="21" t="n"/>
      <c r="D1764" s="24" t="n"/>
      <c r="E1764" s="22" t="n"/>
      <c r="F1764" s="1" t="n"/>
    </row>
    <row r="1765">
      <c r="A1765" s="1" t="n"/>
      <c r="B1765" s="20" t="n"/>
      <c r="C1765" s="21" t="n"/>
      <c r="D1765" s="24" t="n"/>
      <c r="E1765" s="22" t="n"/>
      <c r="F1765" s="1" t="n"/>
    </row>
    <row r="1766">
      <c r="A1766" s="1" t="n"/>
      <c r="B1766" s="20" t="n"/>
      <c r="C1766" s="21" t="n"/>
      <c r="D1766" s="24" t="n"/>
      <c r="E1766" s="22" t="n"/>
      <c r="F1766" s="1" t="n"/>
    </row>
    <row r="1767">
      <c r="A1767" s="1" t="n"/>
      <c r="B1767" s="20" t="n"/>
      <c r="C1767" s="21" t="n"/>
      <c r="D1767" s="24" t="n"/>
      <c r="E1767" s="22" t="n"/>
      <c r="F1767" s="1" t="n"/>
    </row>
    <row r="1768">
      <c r="A1768" s="1" t="n"/>
      <c r="B1768" s="20" t="n"/>
      <c r="C1768" s="21" t="n"/>
      <c r="D1768" s="24" t="n"/>
      <c r="E1768" s="22" t="n"/>
      <c r="F1768" s="1" t="n"/>
    </row>
    <row r="1769">
      <c r="A1769" s="1" t="n"/>
      <c r="B1769" s="20" t="n"/>
      <c r="C1769" s="21" t="n"/>
      <c r="D1769" s="24" t="n"/>
      <c r="E1769" s="22" t="n"/>
      <c r="F1769" s="1" t="n"/>
    </row>
    <row r="1770">
      <c r="A1770" s="1" t="n"/>
      <c r="B1770" s="20" t="n"/>
      <c r="C1770" s="21" t="n"/>
      <c r="D1770" s="24" t="n"/>
      <c r="E1770" s="22" t="n"/>
      <c r="F1770" s="1" t="n"/>
    </row>
    <row r="1771">
      <c r="A1771" s="1" t="n"/>
      <c r="B1771" s="20" t="n"/>
      <c r="C1771" s="21" t="n"/>
      <c r="D1771" s="24" t="n"/>
      <c r="E1771" s="22" t="n"/>
      <c r="F1771" s="1" t="n"/>
    </row>
    <row r="1772">
      <c r="A1772" s="1" t="n"/>
      <c r="B1772" s="20" t="n"/>
      <c r="C1772" s="21" t="n"/>
      <c r="D1772" s="24" t="n"/>
      <c r="E1772" s="22" t="n"/>
      <c r="F1772" s="1" t="n"/>
    </row>
    <row r="1773">
      <c r="A1773" s="1" t="n"/>
      <c r="B1773" s="20" t="n"/>
      <c r="C1773" s="21" t="n"/>
      <c r="D1773" s="24" t="n"/>
      <c r="E1773" s="22" t="n"/>
      <c r="F1773" s="1" t="n"/>
    </row>
    <row r="1774">
      <c r="A1774" s="1" t="n"/>
      <c r="B1774" s="20" t="n"/>
      <c r="C1774" s="21" t="n"/>
      <c r="D1774" s="24" t="n"/>
      <c r="E1774" s="22" t="n"/>
      <c r="F1774" s="1" t="n"/>
    </row>
    <row r="1775">
      <c r="A1775" s="1" t="n"/>
      <c r="B1775" s="20" t="n"/>
      <c r="C1775" s="21" t="n"/>
      <c r="D1775" s="24" t="n"/>
      <c r="E1775" s="22" t="n"/>
      <c r="F1775" s="1" t="n"/>
    </row>
    <row r="1776">
      <c r="A1776" s="1" t="n"/>
      <c r="B1776" s="20" t="n"/>
      <c r="C1776" s="21" t="n"/>
      <c r="D1776" s="24" t="n"/>
      <c r="E1776" s="22" t="n"/>
      <c r="F1776" s="1" t="n"/>
    </row>
    <row r="1777">
      <c r="A1777" s="1" t="n"/>
      <c r="B1777" s="20" t="n"/>
      <c r="C1777" s="21" t="n"/>
      <c r="D1777" s="24" t="n"/>
      <c r="E1777" s="22" t="n"/>
      <c r="F1777" s="1" t="n"/>
    </row>
    <row r="1778">
      <c r="A1778" s="1" t="n"/>
      <c r="B1778" s="20" t="n"/>
      <c r="C1778" s="21" t="n"/>
      <c r="D1778" s="24" t="n"/>
      <c r="E1778" s="22" t="n"/>
      <c r="F1778" s="1" t="n"/>
    </row>
    <row r="1779">
      <c r="A1779" s="1" t="n"/>
      <c r="B1779" s="20" t="n"/>
      <c r="C1779" s="21" t="n"/>
      <c r="D1779" s="24" t="n"/>
      <c r="E1779" s="22" t="n"/>
      <c r="F1779" s="1" t="n"/>
    </row>
    <row r="1780">
      <c r="A1780" s="1" t="n"/>
      <c r="B1780" s="20" t="n"/>
      <c r="C1780" s="21" t="n"/>
      <c r="D1780" s="24" t="n"/>
      <c r="E1780" s="22" t="n"/>
      <c r="F1780" s="1" t="n"/>
    </row>
    <row r="1781">
      <c r="A1781" s="1" t="n"/>
      <c r="B1781" s="20" t="n"/>
      <c r="C1781" s="21" t="n"/>
      <c r="D1781" s="24" t="n"/>
      <c r="E1781" s="22" t="n"/>
      <c r="F1781" s="1" t="n"/>
    </row>
    <row r="1782">
      <c r="A1782" s="1" t="n"/>
      <c r="B1782" s="20" t="n"/>
      <c r="C1782" s="21" t="n"/>
      <c r="D1782" s="24" t="n"/>
      <c r="E1782" s="22" t="n"/>
      <c r="F1782" s="1" t="n"/>
    </row>
    <row r="1783">
      <c r="A1783" s="1" t="n"/>
      <c r="B1783" s="20" t="n"/>
      <c r="C1783" s="21" t="n"/>
      <c r="D1783" s="24" t="n"/>
      <c r="E1783" s="22" t="n"/>
      <c r="F1783" s="1" t="n"/>
    </row>
    <row r="1784">
      <c r="A1784" s="1" t="n"/>
      <c r="B1784" s="20" t="n"/>
      <c r="C1784" s="21" t="n"/>
      <c r="D1784" s="24" t="n"/>
      <c r="E1784" s="22" t="n"/>
      <c r="F1784" s="1" t="n"/>
    </row>
    <row r="1785">
      <c r="A1785" s="1" t="n"/>
      <c r="B1785" s="20" t="n"/>
      <c r="C1785" s="21" t="n"/>
      <c r="D1785" s="24" t="n"/>
      <c r="E1785" s="22" t="n"/>
      <c r="F1785" s="1" t="n"/>
    </row>
    <row r="1786">
      <c r="A1786" s="1" t="n"/>
      <c r="B1786" s="20" t="n"/>
      <c r="C1786" s="21" t="n"/>
      <c r="D1786" s="24" t="n"/>
      <c r="E1786" s="22" t="n"/>
      <c r="F1786" s="1" t="n"/>
    </row>
    <row r="1787">
      <c r="A1787" s="1" t="n"/>
      <c r="B1787" s="20" t="n"/>
      <c r="C1787" s="21" t="n"/>
      <c r="D1787" s="24" t="n"/>
      <c r="E1787" s="22" t="n"/>
      <c r="F1787" s="1" t="n"/>
    </row>
    <row r="1788">
      <c r="A1788" s="1" t="n"/>
      <c r="B1788" s="20" t="n"/>
      <c r="C1788" s="21" t="n"/>
      <c r="D1788" s="24" t="n"/>
      <c r="E1788" s="22" t="n"/>
      <c r="F1788" s="1" t="n"/>
    </row>
    <row r="1789">
      <c r="A1789" s="1" t="n"/>
      <c r="B1789" s="20" t="n"/>
      <c r="C1789" s="21" t="n"/>
      <c r="D1789" s="24" t="n"/>
      <c r="E1789" s="22" t="n"/>
      <c r="F1789" s="1" t="n"/>
    </row>
    <row r="1790">
      <c r="A1790" s="1" t="n"/>
      <c r="B1790" s="20" t="n"/>
      <c r="C1790" s="21" t="n"/>
      <c r="D1790" s="24" t="n"/>
      <c r="E1790" s="22" t="n"/>
      <c r="F1790" s="1" t="n"/>
    </row>
    <row r="1791">
      <c r="A1791" s="1" t="n"/>
      <c r="B1791" s="20" t="n"/>
      <c r="C1791" s="21" t="n"/>
      <c r="D1791" s="24" t="n"/>
      <c r="E1791" s="22" t="n"/>
      <c r="F1791" s="1" t="n"/>
    </row>
    <row r="1792">
      <c r="A1792" s="1" t="n"/>
      <c r="B1792" s="20" t="n"/>
      <c r="C1792" s="21" t="n"/>
      <c r="D1792" s="24" t="n"/>
      <c r="E1792" s="22" t="n"/>
      <c r="F1792" s="1" t="n"/>
    </row>
    <row r="1793">
      <c r="A1793" s="1" t="n"/>
      <c r="B1793" s="20" t="n"/>
      <c r="C1793" s="21" t="n"/>
      <c r="D1793" s="24" t="n"/>
      <c r="E1793" s="22" t="n"/>
      <c r="F1793" s="1" t="n"/>
    </row>
    <row r="1794">
      <c r="A1794" s="1" t="n"/>
      <c r="B1794" s="20" t="n"/>
      <c r="C1794" s="21" t="n"/>
      <c r="D1794" s="24" t="n"/>
      <c r="E1794" s="22" t="n"/>
      <c r="F1794" s="1" t="n"/>
    </row>
    <row r="1795">
      <c r="A1795" s="1" t="n"/>
      <c r="B1795" s="20" t="n"/>
      <c r="C1795" s="21" t="n"/>
      <c r="D1795" s="24" t="n"/>
      <c r="E1795" s="22" t="n"/>
      <c r="F1795" s="1" t="n"/>
    </row>
    <row r="1796">
      <c r="A1796" s="1" t="n"/>
      <c r="B1796" s="20" t="n"/>
      <c r="C1796" s="21" t="n"/>
      <c r="D1796" s="24" t="n"/>
      <c r="E1796" s="22" t="n"/>
      <c r="F1796" s="1" t="n"/>
    </row>
    <row r="1797">
      <c r="A1797" s="1" t="n"/>
      <c r="B1797" s="20" t="n"/>
      <c r="C1797" s="21" t="n"/>
      <c r="D1797" s="24" t="n"/>
      <c r="E1797" s="22" t="n"/>
      <c r="F1797" s="1" t="n"/>
    </row>
    <row r="1798">
      <c r="A1798" s="1" t="n"/>
      <c r="B1798" s="20" t="n"/>
      <c r="C1798" s="21" t="n"/>
      <c r="D1798" s="24" t="n"/>
      <c r="E1798" s="22" t="n"/>
      <c r="F1798" s="1" t="n"/>
    </row>
    <row r="1799">
      <c r="A1799" s="1" t="n"/>
      <c r="B1799" s="20" t="n"/>
      <c r="C1799" s="21" t="n"/>
      <c r="D1799" s="24" t="n"/>
      <c r="E1799" s="22" t="n"/>
      <c r="F1799" s="1" t="n"/>
    </row>
    <row r="1800">
      <c r="A1800" s="1" t="n"/>
      <c r="B1800" s="20" t="n"/>
      <c r="C1800" s="21" t="n"/>
      <c r="D1800" s="24" t="n"/>
      <c r="E1800" s="22" t="n"/>
      <c r="F1800" s="1" t="n"/>
    </row>
    <row r="1801">
      <c r="A1801" s="1" t="n"/>
      <c r="B1801" s="20" t="n"/>
      <c r="C1801" s="21" t="n"/>
      <c r="D1801" s="24" t="n"/>
      <c r="E1801" s="22" t="n"/>
      <c r="F1801" s="1" t="n"/>
    </row>
    <row r="1802">
      <c r="A1802" s="1" t="n"/>
      <c r="B1802" s="20" t="n"/>
      <c r="C1802" s="21" t="n"/>
      <c r="D1802" s="24" t="n"/>
      <c r="E1802" s="22" t="n"/>
      <c r="F1802" s="1" t="n"/>
    </row>
    <row r="1803">
      <c r="A1803" s="1" t="n"/>
      <c r="B1803" s="20" t="n"/>
      <c r="C1803" s="21" t="n"/>
      <c r="D1803" s="24" t="n"/>
      <c r="E1803" s="22" t="n"/>
      <c r="F1803" s="1" t="n"/>
    </row>
    <row r="1804">
      <c r="A1804" s="1" t="n"/>
      <c r="B1804" s="20" t="n"/>
      <c r="C1804" s="21" t="n"/>
      <c r="D1804" s="24" t="n"/>
      <c r="E1804" s="22" t="n"/>
      <c r="F1804" s="1" t="n"/>
    </row>
    <row r="1805">
      <c r="A1805" s="1" t="n"/>
      <c r="B1805" s="20" t="n"/>
      <c r="C1805" s="21" t="n"/>
      <c r="D1805" s="24" t="n"/>
      <c r="E1805" s="22" t="n"/>
      <c r="F1805" s="1" t="n"/>
    </row>
    <row r="1806">
      <c r="A1806" s="1" t="n"/>
      <c r="B1806" s="20" t="n"/>
      <c r="C1806" s="21" t="n"/>
      <c r="D1806" s="24" t="n"/>
      <c r="E1806" s="22" t="n"/>
      <c r="F1806" s="1" t="n"/>
    </row>
    <row r="1807">
      <c r="A1807" s="1" t="n"/>
      <c r="B1807" s="20" t="n"/>
      <c r="C1807" s="21" t="n"/>
      <c r="D1807" s="24" t="n"/>
      <c r="E1807" s="22" t="n"/>
      <c r="F1807" s="1" t="n"/>
    </row>
    <row r="1808">
      <c r="A1808" s="1" t="n"/>
      <c r="B1808" s="20" t="n"/>
      <c r="C1808" s="21" t="n"/>
      <c r="D1808" s="24" t="n"/>
      <c r="E1808" s="22" t="n"/>
      <c r="F1808" s="1" t="n"/>
    </row>
    <row r="1809">
      <c r="A1809" s="1" t="n"/>
      <c r="B1809" s="20" t="n"/>
      <c r="C1809" s="21" t="n"/>
      <c r="D1809" s="24" t="n"/>
      <c r="E1809" s="22" t="n"/>
      <c r="F1809" s="1" t="n"/>
    </row>
    <row r="1810">
      <c r="A1810" s="1" t="n"/>
      <c r="B1810" s="20" t="n"/>
      <c r="C1810" s="21" t="n"/>
      <c r="D1810" s="24" t="n"/>
      <c r="E1810" s="22" t="n"/>
      <c r="F1810" s="1" t="n"/>
    </row>
    <row r="1811">
      <c r="A1811" s="1" t="n"/>
      <c r="B1811" s="20" t="n"/>
      <c r="C1811" s="21" t="n"/>
      <c r="D1811" s="24" t="n"/>
      <c r="E1811" s="22" t="n"/>
      <c r="F1811" s="1" t="n"/>
    </row>
    <row r="1812">
      <c r="A1812" s="1" t="n"/>
      <c r="B1812" s="20" t="n"/>
      <c r="C1812" s="21" t="n"/>
      <c r="D1812" s="24" t="n"/>
      <c r="E1812" s="22" t="n"/>
      <c r="F1812" s="1" t="n"/>
    </row>
    <row r="1813">
      <c r="A1813" s="1" t="n"/>
      <c r="B1813" s="20" t="n"/>
      <c r="C1813" s="21" t="n"/>
      <c r="D1813" s="24" t="n"/>
      <c r="E1813" s="22" t="n"/>
      <c r="F1813" s="1" t="n"/>
    </row>
    <row r="1814">
      <c r="A1814" s="1" t="n"/>
      <c r="B1814" s="20" t="n"/>
      <c r="C1814" s="21" t="n"/>
      <c r="D1814" s="24" t="n"/>
      <c r="E1814" s="22" t="n"/>
      <c r="F1814" s="1" t="n"/>
    </row>
    <row r="1815">
      <c r="A1815" s="1" t="n"/>
      <c r="B1815" s="20" t="n"/>
      <c r="C1815" s="21" t="n"/>
      <c r="D1815" s="24" t="n"/>
      <c r="E1815" s="22" t="n"/>
      <c r="F1815" s="1" t="n"/>
    </row>
    <row r="1816">
      <c r="A1816" s="1" t="n"/>
      <c r="B1816" s="20" t="n"/>
      <c r="C1816" s="21" t="n"/>
      <c r="D1816" s="24" t="n"/>
      <c r="E1816" s="22" t="n"/>
      <c r="F1816" s="1" t="n"/>
    </row>
    <row r="1817">
      <c r="A1817" s="1" t="n"/>
      <c r="B1817" s="20" t="n"/>
      <c r="C1817" s="21" t="n"/>
      <c r="D1817" s="24" t="n"/>
      <c r="E1817" s="22" t="n"/>
      <c r="F1817" s="1" t="n"/>
    </row>
    <row r="1818">
      <c r="A1818" s="1" t="n"/>
      <c r="B1818" s="20" t="n"/>
      <c r="C1818" s="21" t="n"/>
      <c r="D1818" s="24" t="n"/>
      <c r="E1818" s="22" t="n"/>
      <c r="F1818" s="1" t="n"/>
    </row>
    <row r="1819">
      <c r="A1819" s="1" t="n"/>
      <c r="B1819" s="20" t="n"/>
      <c r="C1819" s="21" t="n"/>
      <c r="D1819" s="24" t="n"/>
      <c r="E1819" s="22" t="n"/>
      <c r="F1819" s="1" t="n"/>
    </row>
    <row r="1820">
      <c r="A1820" s="1" t="n"/>
      <c r="B1820" s="20" t="n"/>
      <c r="C1820" s="21" t="n"/>
      <c r="D1820" s="24" t="n"/>
      <c r="E1820" s="22" t="n"/>
      <c r="F1820" s="1" t="n"/>
    </row>
    <row r="1821">
      <c r="A1821" s="1" t="n"/>
      <c r="B1821" s="20" t="n"/>
      <c r="C1821" s="21" t="n"/>
      <c r="D1821" s="24" t="n"/>
      <c r="E1821" s="22" t="n"/>
      <c r="F1821" s="1" t="n"/>
    </row>
    <row r="1822">
      <c r="A1822" s="1" t="n"/>
      <c r="B1822" s="20" t="n"/>
      <c r="C1822" s="21" t="n"/>
      <c r="D1822" s="24" t="n"/>
      <c r="E1822" s="22" t="n"/>
      <c r="F1822" s="1" t="n"/>
    </row>
    <row r="1823">
      <c r="A1823" s="1" t="n"/>
      <c r="B1823" s="20" t="n"/>
      <c r="C1823" s="21" t="n"/>
      <c r="D1823" s="24" t="n"/>
      <c r="E1823" s="22" t="n"/>
      <c r="F1823" s="1" t="n"/>
    </row>
    <row r="1824">
      <c r="A1824" s="1" t="n"/>
      <c r="B1824" s="20" t="n"/>
      <c r="C1824" s="21" t="n"/>
      <c r="D1824" s="24" t="n"/>
      <c r="E1824" s="22" t="n"/>
      <c r="F1824" s="1" t="n"/>
    </row>
    <row r="1825">
      <c r="A1825" s="1" t="n"/>
      <c r="B1825" s="20" t="n"/>
      <c r="C1825" s="21" t="n"/>
      <c r="D1825" s="24" t="n"/>
      <c r="E1825" s="22" t="n"/>
      <c r="F1825" s="1" t="n"/>
    </row>
    <row r="1826">
      <c r="A1826" s="1" t="n"/>
      <c r="B1826" s="20" t="n"/>
      <c r="C1826" s="21" t="n"/>
      <c r="D1826" s="24" t="n"/>
      <c r="E1826" s="22" t="n"/>
      <c r="F1826" s="1" t="n"/>
    </row>
    <row r="1827">
      <c r="A1827" s="1" t="n"/>
      <c r="B1827" s="20" t="n"/>
      <c r="C1827" s="21" t="n"/>
      <c r="D1827" s="24" t="n"/>
      <c r="E1827" s="22" t="n"/>
      <c r="F1827" s="1" t="n"/>
    </row>
    <row r="1828">
      <c r="A1828" s="1" t="n"/>
      <c r="B1828" s="20" t="n"/>
      <c r="C1828" s="21" t="n"/>
      <c r="D1828" s="24" t="n"/>
      <c r="E1828" s="22" t="n"/>
      <c r="F1828" s="1" t="n"/>
    </row>
    <row r="1829">
      <c r="A1829" s="1" t="n"/>
      <c r="B1829" s="20" t="n"/>
      <c r="C1829" s="21" t="n"/>
      <c r="D1829" s="24" t="n"/>
      <c r="E1829" s="22" t="n"/>
      <c r="F1829" s="1" t="n"/>
    </row>
    <row r="1830">
      <c r="A1830" s="1" t="n"/>
      <c r="B1830" s="20" t="n"/>
      <c r="C1830" s="21" t="n"/>
      <c r="D1830" s="24" t="n"/>
      <c r="E1830" s="22" t="n"/>
      <c r="F1830" s="1" t="n"/>
    </row>
    <row r="1831">
      <c r="A1831" s="1" t="n"/>
      <c r="B1831" s="20" t="n"/>
      <c r="C1831" s="21" t="n"/>
      <c r="D1831" s="24" t="n"/>
      <c r="E1831" s="22" t="n"/>
      <c r="F1831" s="1" t="n"/>
    </row>
    <row r="1832">
      <c r="A1832" s="1" t="n"/>
      <c r="B1832" s="20" t="n"/>
      <c r="C1832" s="21" t="n"/>
      <c r="D1832" s="24" t="n"/>
      <c r="E1832" s="22" t="n"/>
      <c r="F1832" s="1" t="n"/>
    </row>
    <row r="1833">
      <c r="A1833" s="1" t="n"/>
      <c r="B1833" s="20" t="n"/>
      <c r="C1833" s="21" t="n"/>
      <c r="D1833" s="24" t="n"/>
      <c r="E1833" s="22" t="n"/>
      <c r="F1833" s="1" t="n"/>
    </row>
    <row r="1834">
      <c r="A1834" s="1" t="n"/>
      <c r="B1834" s="20" t="n"/>
      <c r="C1834" s="21" t="n"/>
      <c r="D1834" s="24" t="n"/>
      <c r="E1834" s="22" t="n"/>
      <c r="F1834" s="1" t="n"/>
    </row>
    <row r="1835">
      <c r="A1835" s="1" t="n"/>
      <c r="B1835" s="20" t="n"/>
      <c r="C1835" s="21" t="n"/>
      <c r="D1835" s="24" t="n"/>
      <c r="E1835" s="22" t="n"/>
      <c r="F1835" s="1" t="n"/>
    </row>
    <row r="1836">
      <c r="A1836" s="1" t="n"/>
      <c r="B1836" s="20" t="n"/>
      <c r="C1836" s="21" t="n"/>
      <c r="D1836" s="24" t="n"/>
      <c r="E1836" s="22" t="n"/>
      <c r="F1836" s="1" t="n"/>
    </row>
    <row r="1837">
      <c r="A1837" s="1" t="n"/>
      <c r="B1837" s="20" t="n"/>
      <c r="C1837" s="21" t="n"/>
      <c r="D1837" s="24" t="n"/>
      <c r="E1837" s="22" t="n"/>
      <c r="F1837" s="1" t="n"/>
    </row>
    <row r="1838">
      <c r="A1838" s="1" t="n"/>
      <c r="B1838" s="20" t="n"/>
      <c r="C1838" s="21" t="n"/>
      <c r="D1838" s="24" t="n"/>
      <c r="E1838" s="22" t="n"/>
      <c r="F1838" s="1" t="n"/>
    </row>
    <row r="1839">
      <c r="A1839" s="1" t="n"/>
      <c r="B1839" s="20" t="n"/>
      <c r="C1839" s="21" t="n"/>
      <c r="D1839" s="24" t="n"/>
      <c r="E1839" s="22" t="n"/>
      <c r="F1839" s="1" t="n"/>
    </row>
    <row r="1840">
      <c r="A1840" s="1" t="n"/>
      <c r="B1840" s="20" t="n"/>
      <c r="C1840" s="21" t="n"/>
      <c r="D1840" s="24" t="n"/>
      <c r="E1840" s="22" t="n"/>
      <c r="F1840" s="1" t="n"/>
    </row>
    <row r="1841">
      <c r="A1841" s="1" t="n"/>
      <c r="B1841" s="20" t="n"/>
      <c r="C1841" s="21" t="n"/>
      <c r="D1841" s="24" t="n"/>
      <c r="E1841" s="22" t="n"/>
      <c r="F1841" s="1" t="n"/>
    </row>
    <row r="1842">
      <c r="A1842" s="1" t="n"/>
      <c r="B1842" s="20" t="n"/>
      <c r="C1842" s="21" t="n"/>
      <c r="D1842" s="24" t="n"/>
      <c r="E1842" s="22" t="n"/>
      <c r="F1842" s="1" t="n"/>
    </row>
    <row r="1843">
      <c r="A1843" s="1" t="n"/>
      <c r="B1843" s="20" t="n"/>
      <c r="C1843" s="21" t="n"/>
      <c r="D1843" s="24" t="n"/>
      <c r="E1843" s="22" t="n"/>
      <c r="F1843" s="1" t="n"/>
    </row>
    <row r="1844">
      <c r="A1844" s="1" t="n"/>
      <c r="B1844" s="20" t="n"/>
      <c r="C1844" s="21" t="n"/>
      <c r="D1844" s="24" t="n"/>
      <c r="E1844" s="22" t="n"/>
      <c r="F1844" s="1" t="n"/>
    </row>
    <row r="1845">
      <c r="A1845" s="1" t="n"/>
      <c r="B1845" s="20" t="n"/>
      <c r="C1845" s="21" t="n"/>
      <c r="D1845" s="24" t="n"/>
      <c r="E1845" s="22" t="n"/>
      <c r="F1845" s="1" t="n"/>
    </row>
    <row r="1846">
      <c r="A1846" s="1" t="n"/>
      <c r="B1846" s="20" t="n"/>
      <c r="C1846" s="21" t="n"/>
      <c r="D1846" s="24" t="n"/>
      <c r="E1846" s="22" t="n"/>
      <c r="F1846" s="1" t="n"/>
    </row>
    <row r="1847">
      <c r="A1847" s="1" t="n"/>
      <c r="B1847" s="20" t="n"/>
      <c r="C1847" s="21" t="n"/>
      <c r="D1847" s="24" t="n"/>
      <c r="E1847" s="22" t="n"/>
      <c r="F1847" s="1" t="n"/>
    </row>
    <row r="1848">
      <c r="A1848" s="1" t="n"/>
      <c r="B1848" s="20" t="n"/>
      <c r="C1848" s="21" t="n"/>
      <c r="D1848" s="24" t="n"/>
      <c r="E1848" s="22" t="n"/>
      <c r="F1848" s="1" t="n"/>
    </row>
    <row r="1849">
      <c r="A1849" s="1" t="n"/>
      <c r="B1849" s="20" t="n"/>
      <c r="C1849" s="21" t="n"/>
      <c r="D1849" s="24" t="n"/>
      <c r="E1849" s="22" t="n"/>
      <c r="F1849" s="1" t="n"/>
    </row>
    <row r="1850">
      <c r="A1850" s="1" t="n"/>
      <c r="B1850" s="20" t="n"/>
      <c r="C1850" s="21" t="n"/>
      <c r="D1850" s="24" t="n"/>
      <c r="E1850" s="22" t="n"/>
      <c r="F1850" s="1" t="n"/>
    </row>
    <row r="1851">
      <c r="A1851" s="1" t="n"/>
      <c r="B1851" s="20" t="n"/>
      <c r="C1851" s="21" t="n"/>
      <c r="D1851" s="24" t="n"/>
      <c r="E1851" s="22" t="n"/>
      <c r="F1851" s="1" t="n"/>
    </row>
    <row r="1852">
      <c r="A1852" s="1" t="n"/>
      <c r="B1852" s="20" t="n"/>
      <c r="C1852" s="21" t="n"/>
      <c r="D1852" s="24" t="n"/>
      <c r="E1852" s="22" t="n"/>
      <c r="F1852" s="1" t="n"/>
    </row>
    <row r="1853">
      <c r="A1853" s="1" t="n"/>
      <c r="B1853" s="20" t="n"/>
      <c r="C1853" s="21" t="n"/>
      <c r="D1853" s="24" t="n"/>
      <c r="E1853" s="22" t="n"/>
      <c r="F1853" s="1" t="n"/>
    </row>
    <row r="1854">
      <c r="A1854" s="1" t="n"/>
      <c r="B1854" s="20" t="n"/>
      <c r="C1854" s="21" t="n"/>
      <c r="D1854" s="24" t="n"/>
      <c r="E1854" s="22" t="n"/>
      <c r="F1854" s="1" t="n"/>
    </row>
    <row r="1855">
      <c r="A1855" s="1" t="n"/>
      <c r="B1855" s="20" t="n"/>
      <c r="C1855" s="21" t="n"/>
      <c r="D1855" s="24" t="n"/>
      <c r="E1855" s="22" t="n"/>
      <c r="F1855" s="1" t="n"/>
    </row>
    <row r="1856">
      <c r="A1856" s="1" t="n"/>
      <c r="B1856" s="20" t="n"/>
      <c r="C1856" s="21" t="n"/>
      <c r="D1856" s="24" t="n"/>
      <c r="E1856" s="22" t="n"/>
      <c r="F1856" s="1" t="n"/>
    </row>
    <row r="1857">
      <c r="A1857" s="1" t="n"/>
      <c r="B1857" s="20" t="n"/>
      <c r="C1857" s="21" t="n"/>
      <c r="D1857" s="24" t="n"/>
      <c r="E1857" s="22" t="n"/>
      <c r="F1857" s="1" t="n"/>
    </row>
    <row r="1858">
      <c r="A1858" s="1" t="n"/>
      <c r="B1858" s="20" t="n"/>
      <c r="C1858" s="21" t="n"/>
      <c r="D1858" s="24" t="n"/>
      <c r="E1858" s="22" t="n"/>
      <c r="F1858" s="1" t="n"/>
    </row>
    <row r="1859">
      <c r="A1859" s="1" t="n"/>
      <c r="B1859" s="20" t="n"/>
      <c r="C1859" s="21" t="n"/>
      <c r="D1859" s="24" t="n"/>
      <c r="E1859" s="22" t="n"/>
      <c r="F1859" s="1" t="n"/>
    </row>
    <row r="1860">
      <c r="A1860" s="1" t="n"/>
      <c r="B1860" s="20" t="n"/>
      <c r="C1860" s="21" t="n"/>
      <c r="D1860" s="24" t="n"/>
      <c r="E1860" s="22" t="n"/>
      <c r="F1860" s="1" t="n"/>
    </row>
    <row r="1861">
      <c r="A1861" s="1" t="n"/>
      <c r="B1861" s="20" t="n"/>
      <c r="C1861" s="21" t="n"/>
      <c r="D1861" s="24" t="n"/>
      <c r="E1861" s="22" t="n"/>
      <c r="F1861" s="1" t="n"/>
    </row>
    <row r="1862">
      <c r="A1862" s="1" t="n"/>
      <c r="B1862" s="20" t="n"/>
      <c r="C1862" s="21" t="n"/>
      <c r="D1862" s="24" t="n"/>
      <c r="E1862" s="22" t="n"/>
      <c r="F1862" s="1" t="n"/>
    </row>
    <row r="1863">
      <c r="A1863" s="1" t="n"/>
      <c r="B1863" s="20" t="n"/>
      <c r="C1863" s="21" t="n"/>
      <c r="D1863" s="24" t="n"/>
      <c r="E1863" s="22" t="n"/>
      <c r="F1863" s="1" t="n"/>
    </row>
    <row r="1864">
      <c r="A1864" s="1" t="n"/>
      <c r="B1864" s="20" t="n"/>
      <c r="C1864" s="21" t="n"/>
      <c r="D1864" s="24" t="n"/>
      <c r="E1864" s="22" t="n"/>
      <c r="F1864" s="1" t="n"/>
    </row>
    <row r="1865">
      <c r="A1865" s="1" t="n"/>
      <c r="B1865" s="20" t="n"/>
      <c r="C1865" s="21" t="n"/>
      <c r="D1865" s="24" t="n"/>
      <c r="E1865" s="22" t="n"/>
      <c r="F1865" s="1" t="n"/>
    </row>
    <row r="1866">
      <c r="A1866" s="1" t="n"/>
      <c r="B1866" s="20" t="n"/>
      <c r="C1866" s="21" t="n"/>
      <c r="D1866" s="24" t="n"/>
      <c r="E1866" s="22" t="n"/>
      <c r="F1866" s="1" t="n"/>
    </row>
    <row r="1867">
      <c r="A1867" s="1" t="n"/>
      <c r="B1867" s="20" t="n"/>
      <c r="C1867" s="21" t="n"/>
      <c r="D1867" s="24" t="n"/>
      <c r="E1867" s="22" t="n"/>
      <c r="F1867" s="1" t="n"/>
    </row>
    <row r="1868">
      <c r="A1868" s="1" t="n"/>
      <c r="B1868" s="20" t="n"/>
      <c r="C1868" s="21" t="n"/>
      <c r="D1868" s="24" t="n"/>
      <c r="E1868" s="22" t="n"/>
      <c r="F1868" s="1" t="n"/>
    </row>
    <row r="1869">
      <c r="A1869" s="1" t="n"/>
      <c r="B1869" s="20" t="n"/>
      <c r="C1869" s="21" t="n"/>
      <c r="D1869" s="24" t="n"/>
      <c r="E1869" s="22" t="n"/>
      <c r="F1869" s="1" t="n"/>
    </row>
    <row r="1870">
      <c r="A1870" s="1" t="n"/>
      <c r="B1870" s="20" t="n"/>
      <c r="C1870" s="21" t="n"/>
      <c r="D1870" s="24" t="n"/>
      <c r="E1870" s="22" t="n"/>
      <c r="F1870" s="1" t="n"/>
    </row>
    <row r="1871">
      <c r="A1871" s="1" t="n"/>
      <c r="B1871" s="20" t="n"/>
      <c r="C1871" s="21" t="n"/>
      <c r="D1871" s="24" t="n"/>
      <c r="E1871" s="22" t="n"/>
      <c r="F1871" s="1" t="n"/>
    </row>
    <row r="1872">
      <c r="A1872" s="1" t="n"/>
      <c r="B1872" s="20" t="n"/>
      <c r="C1872" s="21" t="n"/>
      <c r="D1872" s="24" t="n"/>
      <c r="E1872" s="22" t="n"/>
      <c r="F1872" s="1" t="n"/>
    </row>
    <row r="1873">
      <c r="A1873" s="1" t="n"/>
      <c r="B1873" s="20" t="n"/>
      <c r="C1873" s="21" t="n"/>
      <c r="D1873" s="24" t="n"/>
      <c r="E1873" s="22" t="n"/>
      <c r="F1873" s="1" t="n"/>
    </row>
    <row r="1874">
      <c r="A1874" s="1" t="n"/>
      <c r="B1874" s="20" t="n"/>
      <c r="C1874" s="21" t="n"/>
      <c r="D1874" s="24" t="n"/>
      <c r="E1874" s="22" t="n"/>
      <c r="F1874" s="1" t="n"/>
    </row>
    <row r="1875">
      <c r="A1875" s="1" t="n"/>
      <c r="B1875" s="20" t="n"/>
      <c r="C1875" s="21" t="n"/>
      <c r="D1875" s="24" t="n"/>
      <c r="E1875" s="22" t="n"/>
      <c r="F1875" s="1" t="n"/>
    </row>
    <row r="1876">
      <c r="A1876" s="1" t="n"/>
      <c r="B1876" s="20" t="n"/>
      <c r="C1876" s="21" t="n"/>
      <c r="D1876" s="24" t="n"/>
      <c r="E1876" s="22" t="n"/>
      <c r="F1876" s="1" t="n"/>
    </row>
    <row r="1877">
      <c r="A1877" s="1" t="n"/>
      <c r="B1877" s="20" t="n"/>
      <c r="C1877" s="21" t="n"/>
      <c r="D1877" s="24" t="n"/>
      <c r="E1877" s="22" t="n"/>
      <c r="F1877" s="1" t="n"/>
    </row>
    <row r="1878">
      <c r="A1878" s="1" t="n"/>
      <c r="B1878" s="20" t="n"/>
      <c r="C1878" s="21" t="n"/>
      <c r="D1878" s="24" t="n"/>
      <c r="E1878" s="22" t="n"/>
      <c r="F1878" s="1" t="n"/>
    </row>
    <row r="1879">
      <c r="A1879" s="1" t="n"/>
      <c r="B1879" s="20" t="n"/>
      <c r="C1879" s="21" t="n"/>
      <c r="D1879" s="24" t="n"/>
      <c r="E1879" s="22" t="n"/>
      <c r="F1879" s="1" t="n"/>
    </row>
    <row r="1880">
      <c r="A1880" s="1" t="n"/>
      <c r="B1880" s="20" t="n"/>
      <c r="C1880" s="21" t="n"/>
      <c r="D1880" s="24" t="n"/>
      <c r="E1880" s="22" t="n"/>
      <c r="F1880" s="1" t="n"/>
    </row>
    <row r="1881">
      <c r="A1881" s="1" t="n"/>
      <c r="B1881" s="20" t="n"/>
      <c r="C1881" s="21" t="n"/>
      <c r="D1881" s="24" t="n"/>
      <c r="E1881" s="22" t="n"/>
      <c r="F1881" s="1" t="n"/>
    </row>
    <row r="1882">
      <c r="A1882" s="1" t="n"/>
      <c r="B1882" s="20" t="n"/>
      <c r="C1882" s="21" t="n"/>
      <c r="D1882" s="24" t="n"/>
      <c r="E1882" s="22" t="n"/>
      <c r="F1882" s="1" t="n"/>
    </row>
    <row r="1883">
      <c r="A1883" s="1" t="n"/>
      <c r="B1883" s="20" t="n"/>
      <c r="C1883" s="21" t="n"/>
      <c r="D1883" s="24" t="n"/>
      <c r="E1883" s="22" t="n"/>
      <c r="F1883" s="1" t="n"/>
    </row>
    <row r="1884">
      <c r="A1884" s="1" t="n"/>
      <c r="B1884" s="20" t="n"/>
      <c r="C1884" s="21" t="n"/>
      <c r="D1884" s="24" t="n"/>
      <c r="E1884" s="22" t="n"/>
      <c r="F1884" s="1" t="n"/>
    </row>
    <row r="1885">
      <c r="A1885" s="1" t="n"/>
      <c r="B1885" s="20" t="n"/>
      <c r="C1885" s="21" t="n"/>
      <c r="D1885" s="24" t="n"/>
      <c r="E1885" s="22" t="n"/>
      <c r="F1885" s="1" t="n"/>
    </row>
    <row r="1886">
      <c r="A1886" s="1" t="n"/>
      <c r="B1886" s="20" t="n"/>
      <c r="C1886" s="21" t="n"/>
      <c r="D1886" s="24" t="n"/>
      <c r="E1886" s="22" t="n"/>
      <c r="F1886" s="1" t="n"/>
    </row>
    <row r="1887">
      <c r="A1887" s="1" t="n"/>
      <c r="B1887" s="20" t="n"/>
      <c r="C1887" s="21" t="n"/>
      <c r="D1887" s="24" t="n"/>
      <c r="E1887" s="22" t="n"/>
      <c r="F1887" s="1" t="n"/>
    </row>
    <row r="1888">
      <c r="A1888" s="1" t="n"/>
      <c r="B1888" s="20" t="n"/>
      <c r="C1888" s="21" t="n"/>
      <c r="D1888" s="24" t="n"/>
      <c r="E1888" s="22" t="n"/>
      <c r="F1888" s="1" t="n"/>
    </row>
    <row r="1889">
      <c r="A1889" s="1" t="n"/>
      <c r="B1889" s="20" t="n"/>
      <c r="C1889" s="21" t="n"/>
      <c r="D1889" s="24" t="n"/>
      <c r="E1889" s="22" t="n"/>
      <c r="F1889" s="1" t="n"/>
    </row>
    <row r="1890">
      <c r="A1890" s="1" t="n"/>
      <c r="B1890" s="20" t="n"/>
      <c r="C1890" s="21" t="n"/>
      <c r="D1890" s="24" t="n"/>
      <c r="E1890" s="22" t="n"/>
      <c r="F1890" s="1" t="n"/>
    </row>
    <row r="1891">
      <c r="A1891" s="1" t="n"/>
      <c r="B1891" s="20" t="n"/>
      <c r="C1891" s="21" t="n"/>
      <c r="D1891" s="24" t="n"/>
      <c r="E1891" s="22" t="n"/>
      <c r="F1891" s="1" t="n"/>
    </row>
    <row r="1892">
      <c r="A1892" s="1" t="n"/>
      <c r="B1892" s="20" t="n"/>
      <c r="C1892" s="21" t="n"/>
      <c r="D1892" s="24" t="n"/>
      <c r="E1892" s="22" t="n"/>
      <c r="F1892" s="1" t="n"/>
    </row>
    <row r="1893">
      <c r="A1893" s="1" t="n"/>
      <c r="B1893" s="20" t="n"/>
      <c r="C1893" s="21" t="n"/>
      <c r="D1893" s="24" t="n"/>
      <c r="E1893" s="22" t="n"/>
      <c r="F1893" s="1" t="n"/>
    </row>
    <row r="1894">
      <c r="A1894" s="1" t="n"/>
      <c r="B1894" s="20" t="n"/>
      <c r="C1894" s="21" t="n"/>
      <c r="D1894" s="24" t="n"/>
      <c r="E1894" s="22" t="n"/>
      <c r="F1894" s="1" t="n"/>
    </row>
    <row r="1895">
      <c r="A1895" s="1" t="n"/>
      <c r="B1895" s="20" t="n"/>
      <c r="C1895" s="21" t="n"/>
      <c r="D1895" s="24" t="n"/>
      <c r="E1895" s="22" t="n"/>
      <c r="F1895" s="1" t="n"/>
    </row>
    <row r="1896">
      <c r="A1896" s="1" t="n"/>
      <c r="B1896" s="20" t="n"/>
      <c r="C1896" s="21" t="n"/>
      <c r="D1896" s="24" t="n"/>
      <c r="E1896" s="22" t="n"/>
      <c r="F1896" s="1" t="n"/>
    </row>
    <row r="1897">
      <c r="A1897" s="1" t="n"/>
      <c r="B1897" s="20" t="n"/>
      <c r="C1897" s="21" t="n"/>
      <c r="D1897" s="24" t="n"/>
      <c r="E1897" s="22" t="n"/>
      <c r="F1897" s="1" t="n"/>
    </row>
    <row r="1898">
      <c r="A1898" s="1" t="n"/>
      <c r="B1898" s="20" t="n"/>
      <c r="C1898" s="21" t="n"/>
      <c r="D1898" s="24" t="n"/>
      <c r="E1898" s="22" t="n"/>
      <c r="F1898" s="1" t="n"/>
    </row>
    <row r="1899">
      <c r="A1899" s="1" t="n"/>
      <c r="B1899" s="20" t="n"/>
      <c r="C1899" s="21" t="n"/>
      <c r="D1899" s="24" t="n"/>
      <c r="E1899" s="22" t="n"/>
      <c r="F1899" s="1" t="n"/>
    </row>
    <row r="1900">
      <c r="A1900" s="1" t="n"/>
      <c r="B1900" s="20" t="n"/>
      <c r="C1900" s="21" t="n"/>
      <c r="D1900" s="24" t="n"/>
      <c r="E1900" s="22" t="n"/>
      <c r="F1900" s="1" t="n"/>
    </row>
    <row r="1901">
      <c r="A1901" s="1" t="n"/>
      <c r="B1901" s="20" t="n"/>
      <c r="C1901" s="21" t="n"/>
      <c r="D1901" s="24" t="n"/>
      <c r="E1901" s="22" t="n"/>
      <c r="F1901" s="1" t="n"/>
    </row>
    <row r="1902">
      <c r="A1902" s="1" t="n"/>
      <c r="B1902" s="20" t="n"/>
      <c r="C1902" s="21" t="n"/>
      <c r="D1902" s="24" t="n"/>
      <c r="E1902" s="22" t="n"/>
      <c r="F1902" s="1" t="n"/>
    </row>
    <row r="1903">
      <c r="A1903" s="1" t="n"/>
      <c r="B1903" s="20" t="n"/>
      <c r="C1903" s="21" t="n"/>
      <c r="D1903" s="24" t="n"/>
      <c r="E1903" s="22" t="n"/>
      <c r="F1903" s="1" t="n"/>
    </row>
    <row r="1904">
      <c r="A1904" s="1" t="n"/>
      <c r="B1904" s="20" t="n"/>
      <c r="C1904" s="21" t="n"/>
      <c r="D1904" s="24" t="n"/>
      <c r="E1904" s="22" t="n"/>
      <c r="F1904" s="1" t="n"/>
    </row>
    <row r="1905">
      <c r="A1905" s="1" t="n"/>
      <c r="B1905" s="20" t="n"/>
      <c r="C1905" s="21" t="n"/>
      <c r="D1905" s="24" t="n"/>
      <c r="E1905" s="22" t="n"/>
      <c r="F1905" s="1" t="n"/>
    </row>
    <row r="1906">
      <c r="A1906" s="1" t="n"/>
      <c r="B1906" s="20" t="n"/>
      <c r="C1906" s="21" t="n"/>
      <c r="D1906" s="24" t="n"/>
      <c r="E1906" s="22" t="n"/>
      <c r="F1906" s="1" t="n"/>
    </row>
    <row r="1907">
      <c r="A1907" s="1" t="n"/>
      <c r="B1907" s="20" t="n"/>
      <c r="C1907" s="21" t="n"/>
      <c r="D1907" s="24" t="n"/>
      <c r="E1907" s="22" t="n"/>
      <c r="F1907" s="1" t="n"/>
    </row>
    <row r="1908">
      <c r="A1908" s="1" t="n"/>
      <c r="B1908" s="20" t="n"/>
      <c r="C1908" s="21" t="n"/>
      <c r="D1908" s="24" t="n"/>
      <c r="E1908" s="22" t="n"/>
      <c r="F1908" s="1" t="n"/>
    </row>
    <row r="1909">
      <c r="A1909" s="1" t="n"/>
      <c r="B1909" s="20" t="n"/>
      <c r="C1909" s="21" t="n"/>
      <c r="D1909" s="24" t="n"/>
      <c r="E1909" s="22" t="n"/>
      <c r="F1909" s="1" t="n"/>
    </row>
    <row r="1910">
      <c r="A1910" s="1" t="n"/>
      <c r="B1910" s="20" t="n"/>
      <c r="C1910" s="21" t="n"/>
      <c r="D1910" s="24" t="n"/>
      <c r="E1910" s="22" t="n"/>
      <c r="F1910" s="1" t="n"/>
    </row>
    <row r="1911">
      <c r="A1911" s="1" t="n"/>
      <c r="B1911" s="20" t="n"/>
      <c r="C1911" s="21" t="n"/>
      <c r="D1911" s="24" t="n"/>
      <c r="E1911" s="22" t="n"/>
      <c r="F1911" s="1" t="n"/>
    </row>
    <row r="1912">
      <c r="A1912" s="1" t="n"/>
      <c r="B1912" s="20" t="n"/>
      <c r="C1912" s="21" t="n"/>
      <c r="D1912" s="24" t="n"/>
      <c r="E1912" s="22" t="n"/>
      <c r="F1912" s="1" t="n"/>
    </row>
    <row r="1913">
      <c r="A1913" s="1" t="n"/>
      <c r="B1913" s="20" t="n"/>
      <c r="C1913" s="21" t="n"/>
      <c r="D1913" s="24" t="n"/>
      <c r="E1913" s="22" t="n"/>
      <c r="F1913" s="1" t="n"/>
    </row>
    <row r="1914">
      <c r="A1914" s="1" t="n"/>
      <c r="B1914" s="20" t="n"/>
      <c r="C1914" s="21" t="n"/>
      <c r="D1914" s="24" t="n"/>
      <c r="E1914" s="22" t="n"/>
      <c r="F1914" s="1" t="n"/>
    </row>
    <row r="1915">
      <c r="A1915" s="1" t="n"/>
      <c r="B1915" s="20" t="n"/>
      <c r="C1915" s="21" t="n"/>
      <c r="D1915" s="24" t="n"/>
      <c r="E1915" s="22" t="n"/>
      <c r="F1915" s="1" t="n"/>
    </row>
    <row r="1916">
      <c r="A1916" s="1" t="n"/>
      <c r="B1916" s="20" t="n"/>
      <c r="C1916" s="21" t="n"/>
      <c r="D1916" s="24" t="n"/>
      <c r="E1916" s="22" t="n"/>
      <c r="F1916" s="1" t="n"/>
    </row>
    <row r="1917">
      <c r="A1917" s="1" t="n"/>
      <c r="B1917" s="20" t="n"/>
      <c r="C1917" s="21" t="n"/>
      <c r="D1917" s="24" t="n"/>
      <c r="E1917" s="22" t="n"/>
      <c r="F1917" s="1" t="n"/>
    </row>
    <row r="1918">
      <c r="A1918" s="1" t="n"/>
      <c r="B1918" s="20" t="n"/>
      <c r="C1918" s="21" t="n"/>
      <c r="D1918" s="24" t="n"/>
      <c r="E1918" s="22" t="n"/>
      <c r="F1918" s="1" t="n"/>
    </row>
    <row r="1919">
      <c r="A1919" s="1" t="n"/>
      <c r="B1919" s="20" t="n"/>
      <c r="C1919" s="21" t="n"/>
      <c r="D1919" s="24" t="n"/>
      <c r="E1919" s="22" t="n"/>
      <c r="F1919" s="1" t="n"/>
    </row>
    <row r="1920">
      <c r="A1920" s="1" t="n"/>
      <c r="B1920" s="20" t="n"/>
      <c r="C1920" s="21" t="n"/>
      <c r="D1920" s="24" t="n"/>
      <c r="E1920" s="22" t="n"/>
      <c r="F1920" s="1" t="n"/>
    </row>
    <row r="1921">
      <c r="A1921" s="1" t="n"/>
      <c r="B1921" s="20" t="n"/>
      <c r="C1921" s="21" t="n"/>
      <c r="D1921" s="24" t="n"/>
      <c r="E1921" s="22" t="n"/>
      <c r="F1921" s="1" t="n"/>
    </row>
    <row r="1922">
      <c r="A1922" s="1" t="n"/>
      <c r="B1922" s="20" t="n"/>
      <c r="C1922" s="21" t="n"/>
      <c r="D1922" s="24" t="n"/>
      <c r="E1922" s="22" t="n"/>
      <c r="F1922" s="1" t="n"/>
    </row>
    <row r="1923">
      <c r="A1923" s="1" t="n"/>
      <c r="B1923" s="20" t="n"/>
      <c r="C1923" s="21" t="n"/>
      <c r="D1923" s="24" t="n"/>
      <c r="E1923" s="22" t="n"/>
      <c r="F1923" s="1" t="n"/>
    </row>
    <row r="1924">
      <c r="A1924" s="1" t="n"/>
      <c r="B1924" s="20" t="n"/>
      <c r="C1924" s="21" t="n"/>
      <c r="D1924" s="24" t="n"/>
      <c r="E1924" s="22" t="n"/>
      <c r="F1924" s="1" t="n"/>
    </row>
    <row r="1925">
      <c r="A1925" s="1" t="n"/>
      <c r="B1925" s="20" t="n"/>
      <c r="C1925" s="21" t="n"/>
      <c r="D1925" s="24" t="n"/>
      <c r="E1925" s="22" t="n"/>
      <c r="F1925" s="1" t="n"/>
    </row>
    <row r="1926">
      <c r="A1926" s="1" t="n"/>
      <c r="B1926" s="20" t="n"/>
      <c r="C1926" s="21" t="n"/>
      <c r="D1926" s="24" t="n"/>
      <c r="E1926" s="22" t="n"/>
      <c r="F1926" s="1" t="n"/>
    </row>
    <row r="1927">
      <c r="A1927" s="1" t="n"/>
      <c r="B1927" s="20" t="n"/>
      <c r="C1927" s="21" t="n"/>
      <c r="D1927" s="24" t="n"/>
      <c r="E1927" s="22" t="n"/>
      <c r="F1927" s="1" t="n"/>
    </row>
    <row r="1928">
      <c r="A1928" s="1" t="n"/>
      <c r="B1928" s="20" t="n"/>
      <c r="C1928" s="21" t="n"/>
      <c r="D1928" s="24" t="n"/>
      <c r="E1928" s="22" t="n"/>
      <c r="F1928" s="1" t="n"/>
    </row>
    <row r="1929">
      <c r="A1929" s="1" t="n"/>
      <c r="B1929" s="20" t="n"/>
      <c r="C1929" s="21" t="n"/>
      <c r="D1929" s="24" t="n"/>
      <c r="E1929" s="22" t="n"/>
      <c r="F1929" s="1" t="n"/>
    </row>
    <row r="1930">
      <c r="A1930" s="1" t="n"/>
      <c r="B1930" s="20" t="n"/>
      <c r="C1930" s="21" t="n"/>
      <c r="D1930" s="24" t="n"/>
      <c r="E1930" s="22" t="n"/>
      <c r="F1930" s="1" t="n"/>
    </row>
    <row r="1931">
      <c r="A1931" s="1" t="n"/>
      <c r="B1931" s="20" t="n"/>
      <c r="C1931" s="21" t="n"/>
      <c r="D1931" s="24" t="n"/>
      <c r="E1931" s="22" t="n"/>
      <c r="F1931" s="1" t="n"/>
    </row>
    <row r="1932">
      <c r="A1932" s="1" t="n"/>
      <c r="B1932" s="20" t="n"/>
      <c r="C1932" s="21" t="n"/>
      <c r="D1932" s="24" t="n"/>
      <c r="E1932" s="22" t="n"/>
      <c r="F1932" s="1" t="n"/>
    </row>
    <row r="1933">
      <c r="A1933" s="1" t="n"/>
      <c r="B1933" s="20" t="n"/>
      <c r="C1933" s="21" t="n"/>
      <c r="D1933" s="24" t="n"/>
      <c r="E1933" s="22" t="n"/>
      <c r="F1933" s="1" t="n"/>
    </row>
    <row r="1934">
      <c r="A1934" s="1" t="n"/>
      <c r="B1934" s="20" t="n"/>
      <c r="C1934" s="21" t="n"/>
      <c r="D1934" s="24" t="n"/>
      <c r="E1934" s="22" t="n"/>
      <c r="F1934" s="1" t="n"/>
    </row>
    <row r="1935">
      <c r="A1935" s="1" t="n"/>
      <c r="B1935" s="20" t="n"/>
      <c r="C1935" s="21" t="n"/>
      <c r="D1935" s="24" t="n"/>
      <c r="E1935" s="22" t="n"/>
      <c r="F1935" s="1" t="n"/>
    </row>
    <row r="1936">
      <c r="A1936" s="1" t="n"/>
      <c r="B1936" s="20" t="n"/>
      <c r="C1936" s="21" t="n"/>
      <c r="D1936" s="24" t="n"/>
      <c r="E1936" s="22" t="n"/>
      <c r="F1936" s="1" t="n"/>
    </row>
    <row r="1937">
      <c r="A1937" s="1" t="n"/>
      <c r="B1937" s="20" t="n"/>
      <c r="C1937" s="21" t="n"/>
      <c r="D1937" s="24" t="n"/>
      <c r="E1937" s="22" t="n"/>
      <c r="F1937" s="1" t="n"/>
    </row>
    <row r="1938">
      <c r="A1938" s="1" t="n"/>
      <c r="B1938" s="20" t="n"/>
      <c r="C1938" s="21" t="n"/>
      <c r="D1938" s="24" t="n"/>
      <c r="E1938" s="22" t="n"/>
      <c r="F1938" s="1" t="n"/>
    </row>
    <row r="1939">
      <c r="A1939" s="1" t="n"/>
      <c r="B1939" s="20" t="n"/>
      <c r="C1939" s="21" t="n"/>
      <c r="D1939" s="24" t="n"/>
      <c r="E1939" s="22" t="n"/>
      <c r="F1939" s="1" t="n"/>
    </row>
    <row r="1940">
      <c r="A1940" s="1" t="n"/>
      <c r="B1940" s="20" t="n"/>
      <c r="C1940" s="21" t="n"/>
      <c r="D1940" s="24" t="n"/>
      <c r="E1940" s="22" t="n"/>
      <c r="F1940" s="1" t="n"/>
    </row>
    <row r="1941">
      <c r="A1941" s="1" t="n"/>
      <c r="B1941" s="20" t="n"/>
      <c r="C1941" s="21" t="n"/>
      <c r="D1941" s="24" t="n"/>
      <c r="E1941" s="22" t="n"/>
      <c r="F1941" s="1" t="n"/>
    </row>
    <row r="1942">
      <c r="A1942" s="1" t="n"/>
      <c r="B1942" s="20" t="n"/>
      <c r="C1942" s="21" t="n"/>
      <c r="D1942" s="24" t="n"/>
      <c r="E1942" s="22" t="n"/>
      <c r="F1942" s="1" t="n"/>
    </row>
    <row r="1943">
      <c r="A1943" s="1" t="n"/>
      <c r="B1943" s="20" t="n"/>
      <c r="C1943" s="21" t="n"/>
      <c r="D1943" s="24" t="n"/>
      <c r="E1943" s="22" t="n"/>
      <c r="F1943" s="1" t="n"/>
    </row>
    <row r="1944">
      <c r="A1944" s="1" t="n"/>
      <c r="B1944" s="20" t="n"/>
      <c r="C1944" s="21" t="n"/>
      <c r="D1944" s="24" t="n"/>
      <c r="E1944" s="22" t="n"/>
      <c r="F1944" s="1" t="n"/>
    </row>
    <row r="1945">
      <c r="A1945" s="1" t="n"/>
      <c r="B1945" s="20" t="n"/>
      <c r="C1945" s="21" t="n"/>
      <c r="D1945" s="24" t="n"/>
      <c r="E1945" s="22" t="n"/>
      <c r="F1945" s="1" t="n"/>
    </row>
    <row r="1946">
      <c r="A1946" s="1" t="n"/>
      <c r="B1946" s="20" t="n"/>
      <c r="C1946" s="21" t="n"/>
      <c r="D1946" s="24" t="n"/>
      <c r="E1946" s="22" t="n"/>
      <c r="F1946" s="1" t="n"/>
    </row>
    <row r="1947">
      <c r="A1947" s="1" t="n"/>
      <c r="B1947" s="20" t="n"/>
      <c r="C1947" s="21" t="n"/>
      <c r="D1947" s="24" t="n"/>
      <c r="E1947" s="22" t="n"/>
      <c r="F1947" s="1" t="n"/>
    </row>
    <row r="1948">
      <c r="A1948" s="1" t="n"/>
      <c r="B1948" s="20" t="n"/>
      <c r="C1948" s="21" t="n"/>
      <c r="D1948" s="24" t="n"/>
      <c r="E1948" s="22" t="n"/>
      <c r="F1948" s="1" t="n"/>
    </row>
    <row r="1949">
      <c r="A1949" s="1" t="n"/>
      <c r="B1949" s="20" t="n"/>
      <c r="C1949" s="21" t="n"/>
      <c r="D1949" s="24" t="n"/>
      <c r="E1949" s="22" t="n"/>
      <c r="F1949" s="1" t="n"/>
    </row>
    <row r="1950">
      <c r="A1950" s="1" t="n"/>
      <c r="B1950" s="20" t="n"/>
      <c r="C1950" s="21" t="n"/>
      <c r="D1950" s="24" t="n"/>
      <c r="E1950" s="22" t="n"/>
      <c r="F1950" s="1" t="n"/>
    </row>
    <row r="1951">
      <c r="A1951" s="1" t="n"/>
      <c r="B1951" s="20" t="n"/>
      <c r="C1951" s="21" t="n"/>
      <c r="D1951" s="24" t="n"/>
      <c r="E1951" s="22" t="n"/>
      <c r="F1951" s="1" t="n"/>
    </row>
    <row r="1952">
      <c r="A1952" s="1" t="n"/>
      <c r="B1952" s="20" t="n"/>
      <c r="C1952" s="21" t="n"/>
      <c r="D1952" s="24" t="n"/>
      <c r="E1952" s="22" t="n"/>
      <c r="F1952" s="1" t="n"/>
    </row>
    <row r="1953">
      <c r="A1953" s="1" t="n"/>
      <c r="B1953" s="20" t="n"/>
      <c r="C1953" s="21" t="n"/>
      <c r="D1953" s="24" t="n"/>
      <c r="E1953" s="22" t="n"/>
      <c r="F1953" s="1" t="n"/>
    </row>
    <row r="1954">
      <c r="A1954" s="1" t="n"/>
      <c r="B1954" s="20" t="n"/>
      <c r="C1954" s="21" t="n"/>
      <c r="D1954" s="24" t="n"/>
      <c r="E1954" s="22" t="n"/>
      <c r="F1954" s="1" t="n"/>
    </row>
    <row r="1955">
      <c r="A1955" s="1" t="n"/>
      <c r="B1955" s="20" t="n"/>
      <c r="C1955" s="21" t="n"/>
      <c r="D1955" s="24" t="n"/>
      <c r="E1955" s="22" t="n"/>
      <c r="F1955" s="1" t="n"/>
    </row>
    <row r="1956">
      <c r="A1956" s="1" t="n"/>
      <c r="B1956" s="20" t="n"/>
      <c r="C1956" s="21" t="n"/>
      <c r="D1956" s="24" t="n"/>
      <c r="E1956" s="22" t="n"/>
      <c r="F1956" s="1" t="n"/>
    </row>
    <row r="1957">
      <c r="A1957" s="1" t="n"/>
      <c r="B1957" s="20" t="n"/>
      <c r="C1957" s="21" t="n"/>
      <c r="D1957" s="24" t="n"/>
      <c r="E1957" s="22" t="n"/>
      <c r="F1957" s="1" t="n"/>
    </row>
    <row r="1958">
      <c r="A1958" s="1" t="n"/>
      <c r="B1958" s="20" t="n"/>
      <c r="C1958" s="21" t="n"/>
      <c r="D1958" s="24" t="n"/>
      <c r="E1958" s="22" t="n"/>
      <c r="F1958" s="1" t="n"/>
    </row>
    <row r="1959">
      <c r="A1959" s="1" t="n"/>
      <c r="B1959" s="20" t="n"/>
      <c r="C1959" s="21" t="n"/>
      <c r="D1959" s="24" t="n"/>
      <c r="E1959" s="22" t="n"/>
      <c r="F1959" s="1" t="n"/>
    </row>
    <row r="1960">
      <c r="A1960" s="1" t="n"/>
      <c r="B1960" s="20" t="n"/>
      <c r="C1960" s="21" t="n"/>
      <c r="D1960" s="24" t="n"/>
      <c r="E1960" s="22" t="n"/>
      <c r="F1960" s="1" t="n"/>
    </row>
    <row r="1961">
      <c r="A1961" s="1" t="n"/>
      <c r="B1961" s="20" t="n"/>
      <c r="C1961" s="21" t="n"/>
      <c r="D1961" s="24" t="n"/>
      <c r="E1961" s="22" t="n"/>
      <c r="F1961" s="1" t="n"/>
    </row>
    <row r="1962">
      <c r="A1962" s="1" t="n"/>
      <c r="B1962" s="20" t="n"/>
      <c r="C1962" s="21" t="n"/>
      <c r="D1962" s="24" t="n"/>
      <c r="E1962" s="22" t="n"/>
      <c r="F1962" s="1" t="n"/>
    </row>
    <row r="1963">
      <c r="A1963" s="1" t="n"/>
      <c r="B1963" s="20" t="n"/>
      <c r="C1963" s="21" t="n"/>
      <c r="D1963" s="24" t="n"/>
      <c r="E1963" s="22" t="n"/>
      <c r="F1963" s="1" t="n"/>
    </row>
    <row r="1964">
      <c r="A1964" s="1" t="n"/>
      <c r="B1964" s="20" t="n"/>
      <c r="C1964" s="21" t="n"/>
      <c r="D1964" s="24" t="n"/>
      <c r="E1964" s="22" t="n"/>
      <c r="F1964" s="1" t="n"/>
    </row>
    <row r="1965">
      <c r="A1965" s="1" t="n"/>
      <c r="B1965" s="20" t="n"/>
      <c r="C1965" s="21" t="n"/>
      <c r="D1965" s="24" t="n"/>
      <c r="E1965" s="22" t="n"/>
      <c r="F1965" s="1" t="n"/>
    </row>
    <row r="1966">
      <c r="A1966" s="1" t="n"/>
      <c r="B1966" s="20" t="n"/>
      <c r="C1966" s="21" t="n"/>
      <c r="D1966" s="24" t="n"/>
      <c r="E1966" s="22" t="n"/>
      <c r="F1966" s="1" t="n"/>
    </row>
    <row r="1967">
      <c r="A1967" s="1" t="n"/>
      <c r="B1967" s="20" t="n"/>
      <c r="C1967" s="21" t="n"/>
      <c r="D1967" s="24" t="n"/>
      <c r="E1967" s="22" t="n"/>
      <c r="F1967" s="1" t="n"/>
    </row>
    <row r="1968">
      <c r="A1968" s="1" t="n"/>
      <c r="B1968" s="20" t="n"/>
      <c r="C1968" s="21" t="n"/>
      <c r="D1968" s="24" t="n"/>
      <c r="E1968" s="22" t="n"/>
      <c r="F1968" s="1" t="n"/>
    </row>
    <row r="1969">
      <c r="A1969" s="1" t="n"/>
      <c r="B1969" s="20" t="n"/>
      <c r="C1969" s="21" t="n"/>
      <c r="D1969" s="24" t="n"/>
      <c r="E1969" s="22" t="n"/>
      <c r="F1969" s="1" t="n"/>
    </row>
    <row r="1970">
      <c r="A1970" s="1" t="n"/>
      <c r="B1970" s="20" t="n"/>
      <c r="C1970" s="21" t="n"/>
      <c r="D1970" s="24" t="n"/>
      <c r="E1970" s="22" t="n"/>
      <c r="F1970" s="1" t="n"/>
    </row>
    <row r="1971">
      <c r="A1971" s="1" t="n"/>
      <c r="B1971" s="20" t="n"/>
      <c r="C1971" s="21" t="n"/>
      <c r="D1971" s="24" t="n"/>
      <c r="E1971" s="22" t="n"/>
      <c r="F1971" s="1" t="n"/>
    </row>
    <row r="1972">
      <c r="A1972" s="1" t="n"/>
      <c r="B1972" s="20" t="n"/>
      <c r="C1972" s="21" t="n"/>
      <c r="D1972" s="24" t="n"/>
      <c r="E1972" s="22" t="n"/>
      <c r="F1972" s="1" t="n"/>
    </row>
    <row r="1973">
      <c r="A1973" s="1" t="n"/>
      <c r="B1973" s="20" t="n"/>
      <c r="C1973" s="21" t="n"/>
      <c r="D1973" s="24" t="n"/>
      <c r="E1973" s="22" t="n"/>
      <c r="F1973" s="1" t="n"/>
    </row>
    <row r="1974">
      <c r="A1974" s="1" t="n"/>
      <c r="B1974" s="20" t="n"/>
      <c r="C1974" s="21" t="n"/>
      <c r="D1974" s="24" t="n"/>
      <c r="E1974" s="22" t="n"/>
      <c r="F1974" s="1" t="n"/>
    </row>
    <row r="1975">
      <c r="A1975" s="1" t="n"/>
      <c r="B1975" s="20" t="n"/>
      <c r="C1975" s="21" t="n"/>
      <c r="D1975" s="24" t="n"/>
      <c r="E1975" s="22" t="n"/>
      <c r="F1975" s="1" t="n"/>
    </row>
    <row r="1976">
      <c r="A1976" s="1" t="n"/>
      <c r="B1976" s="20" t="n"/>
      <c r="C1976" s="21" t="n"/>
      <c r="D1976" s="24" t="n"/>
      <c r="E1976" s="22" t="n"/>
      <c r="F1976" s="1" t="n"/>
    </row>
    <row r="1977">
      <c r="A1977" s="1" t="n"/>
      <c r="B1977" s="20" t="n"/>
      <c r="C1977" s="21" t="n"/>
      <c r="D1977" s="24" t="n"/>
      <c r="E1977" s="22" t="n"/>
      <c r="F1977" s="1" t="n"/>
    </row>
    <row r="1978">
      <c r="A1978" s="1" t="n"/>
      <c r="B1978" s="20" t="n"/>
      <c r="C1978" s="21" t="n"/>
      <c r="D1978" s="24" t="n"/>
      <c r="E1978" s="22" t="n"/>
      <c r="F1978" s="1" t="n"/>
    </row>
    <row r="1979">
      <c r="A1979" s="1" t="n"/>
      <c r="B1979" s="20" t="n"/>
      <c r="C1979" s="21" t="n"/>
      <c r="D1979" s="24" t="n"/>
      <c r="E1979" s="22" t="n"/>
      <c r="F1979" s="1" t="n"/>
    </row>
    <row r="1980">
      <c r="A1980" s="1" t="n"/>
      <c r="B1980" s="20" t="n"/>
      <c r="C1980" s="21" t="n"/>
      <c r="D1980" s="24" t="n"/>
      <c r="E1980" s="22" t="n"/>
      <c r="F1980" s="1" t="n"/>
    </row>
    <row r="1981">
      <c r="A1981" s="1" t="n"/>
      <c r="B1981" s="20" t="n"/>
      <c r="C1981" s="21" t="n"/>
      <c r="D1981" s="24" t="n"/>
      <c r="E1981" s="22" t="n"/>
      <c r="F1981" s="1" t="n"/>
    </row>
    <row r="1982">
      <c r="A1982" s="1" t="n"/>
      <c r="B1982" s="20" t="n"/>
      <c r="C1982" s="21" t="n"/>
      <c r="D1982" s="24" t="n"/>
      <c r="E1982" s="22" t="n"/>
      <c r="F1982" s="1" t="n"/>
    </row>
    <row r="1983">
      <c r="A1983" s="1" t="n"/>
      <c r="B1983" s="20" t="n"/>
      <c r="C1983" s="21" t="n"/>
      <c r="D1983" s="24" t="n"/>
      <c r="E1983" s="22" t="n"/>
      <c r="F1983" s="1" t="n"/>
    </row>
    <row r="1984">
      <c r="A1984" s="1" t="n"/>
      <c r="B1984" s="20" t="n"/>
      <c r="C1984" s="21" t="n"/>
      <c r="D1984" s="24" t="n"/>
      <c r="E1984" s="22" t="n"/>
      <c r="F1984" s="1" t="n"/>
    </row>
    <row r="1985">
      <c r="A1985" s="1" t="n"/>
      <c r="B1985" s="20" t="n"/>
      <c r="C1985" s="21" t="n"/>
      <c r="D1985" s="24" t="n"/>
      <c r="E1985" s="22" t="n"/>
      <c r="F1985" s="1" t="n"/>
    </row>
    <row r="1986">
      <c r="A1986" s="1" t="n"/>
      <c r="B1986" s="20" t="n"/>
      <c r="C1986" s="21" t="n"/>
      <c r="D1986" s="24" t="n"/>
      <c r="E1986" s="22" t="n"/>
      <c r="F1986" s="1" t="n"/>
    </row>
    <row r="1987">
      <c r="A1987" s="1" t="n"/>
      <c r="B1987" s="20" t="n"/>
      <c r="C1987" s="21" t="n"/>
      <c r="D1987" s="24" t="n"/>
      <c r="E1987" s="22" t="n"/>
      <c r="F1987" s="1" t="n"/>
    </row>
    <row r="1988">
      <c r="A1988" s="1" t="n"/>
      <c r="B1988" s="20" t="n"/>
      <c r="C1988" s="21" t="n"/>
      <c r="D1988" s="24" t="n"/>
      <c r="E1988" s="22" t="n"/>
      <c r="F1988" s="1" t="n"/>
    </row>
    <row r="1989">
      <c r="A1989" s="1" t="n"/>
      <c r="B1989" s="20" t="n"/>
      <c r="C1989" s="21" t="n"/>
      <c r="D1989" s="24" t="n"/>
      <c r="E1989" s="22" t="n"/>
      <c r="F1989" s="1" t="n"/>
    </row>
    <row r="1990">
      <c r="A1990" s="1" t="n"/>
      <c r="B1990" s="20" t="n"/>
      <c r="C1990" s="21" t="n"/>
      <c r="D1990" s="24" t="n"/>
      <c r="E1990" s="22" t="n"/>
      <c r="F1990" s="1" t="n"/>
    </row>
    <row r="1991">
      <c r="A1991" s="1" t="n"/>
      <c r="B1991" s="20" t="n"/>
      <c r="C1991" s="21" t="n"/>
      <c r="D1991" s="24" t="n"/>
      <c r="E1991" s="22" t="n"/>
      <c r="F1991" s="1" t="n"/>
    </row>
    <row r="1992">
      <c r="A1992" s="1" t="n"/>
      <c r="B1992" s="20" t="n"/>
      <c r="C1992" s="21" t="n"/>
      <c r="D1992" s="24" t="n"/>
      <c r="E1992" s="22" t="n"/>
      <c r="F1992" s="1" t="n"/>
    </row>
    <row r="1993">
      <c r="A1993" s="1" t="n"/>
      <c r="B1993" s="20" t="n"/>
      <c r="C1993" s="21" t="n"/>
      <c r="D1993" s="24" t="n"/>
      <c r="E1993" s="22" t="n"/>
      <c r="F1993" s="1" t="n"/>
    </row>
    <row r="1994">
      <c r="A1994" s="1" t="n"/>
      <c r="B1994" s="20" t="n"/>
      <c r="C1994" s="21" t="n"/>
      <c r="D1994" s="24" t="n"/>
      <c r="E1994" s="22" t="n"/>
      <c r="F1994" s="1" t="n"/>
    </row>
    <row r="1995">
      <c r="A1995" s="1" t="n"/>
      <c r="B1995" s="20" t="n"/>
      <c r="C1995" s="21" t="n"/>
      <c r="D1995" s="24" t="n"/>
      <c r="E1995" s="22" t="n"/>
      <c r="F1995" s="1" t="n"/>
    </row>
    <row r="1996">
      <c r="A1996" s="1" t="n"/>
      <c r="B1996" s="20" t="n"/>
      <c r="C1996" s="21" t="n"/>
      <c r="D1996" s="24" t="n"/>
      <c r="E1996" s="22" t="n"/>
      <c r="F1996" s="1" t="n"/>
    </row>
    <row r="1997">
      <c r="A1997" s="1" t="n"/>
      <c r="B1997" s="20" t="n"/>
      <c r="C1997" s="21" t="n"/>
      <c r="D1997" s="24" t="n"/>
      <c r="E1997" s="22" t="n"/>
      <c r="F1997" s="1" t="n"/>
    </row>
    <row r="1998">
      <c r="A1998" s="1" t="n"/>
      <c r="B1998" s="20" t="n"/>
      <c r="C1998" s="21" t="n"/>
      <c r="D1998" s="24" t="n"/>
      <c r="E1998" s="22" t="n"/>
      <c r="F1998" s="1" t="n"/>
    </row>
    <row r="1999">
      <c r="A1999" s="1" t="n"/>
      <c r="B1999" s="20" t="n"/>
      <c r="C1999" s="21" t="n"/>
      <c r="D1999" s="24" t="n"/>
      <c r="E1999" s="22" t="n"/>
      <c r="F1999" s="1" t="n"/>
    </row>
    <row r="2000">
      <c r="A2000" s="1" t="n"/>
      <c r="B2000" s="20" t="n"/>
      <c r="C2000" s="21" t="n"/>
      <c r="D2000" s="24" t="n"/>
      <c r="E2000" s="22" t="n"/>
      <c r="F2000" s="1" t="n"/>
    </row>
    <row r="2001">
      <c r="A2001" s="1" t="n"/>
      <c r="B2001" s="20" t="n"/>
      <c r="C2001" s="21" t="n"/>
      <c r="D2001" s="24" t="n"/>
      <c r="E2001" s="22" t="n"/>
      <c r="F2001" s="1" t="n"/>
    </row>
    <row r="2002">
      <c r="A2002" s="1" t="n"/>
      <c r="B2002" s="20" t="n"/>
      <c r="C2002" s="21" t="n"/>
      <c r="D2002" s="24" t="n"/>
      <c r="E2002" s="22" t="n"/>
      <c r="F2002" s="1" t="n"/>
    </row>
    <row r="2003">
      <c r="A2003" s="1" t="n"/>
      <c r="B2003" s="20" t="n"/>
      <c r="C2003" s="21" t="n"/>
      <c r="D2003" s="24" t="n"/>
      <c r="E2003" s="22" t="n"/>
      <c r="F2003" s="1" t="n"/>
    </row>
    <row r="2004">
      <c r="A2004" s="1" t="n"/>
      <c r="B2004" s="20" t="n"/>
      <c r="C2004" s="21" t="n"/>
      <c r="D2004" s="24" t="n"/>
      <c r="E2004" s="22" t="n"/>
      <c r="F2004" s="1" t="n"/>
    </row>
    <row r="2005">
      <c r="A2005" s="1" t="n"/>
      <c r="B2005" s="20" t="n"/>
      <c r="C2005" s="21" t="n"/>
      <c r="D2005" s="24" t="n"/>
      <c r="E2005" s="22" t="n"/>
      <c r="F2005" s="1" t="n"/>
    </row>
    <row r="2006">
      <c r="A2006" s="1" t="n"/>
      <c r="B2006" s="1" t="n"/>
      <c r="C2006" s="1" t="n"/>
      <c r="D2006" s="1" t="n"/>
      <c r="E2006" s="1" t="n"/>
      <c r="F2006" s="1" t="n"/>
    </row>
  </sheetData>
  <dataValidations count="1">
    <dataValidation sqref="D6:D2005" showDropDown="0" showInputMessage="0" showErrorMessage="1" allowBlank="1" type="list">
      <formula1>=Medicines!$B$6:$B$25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6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9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3" customWidth="1" min="12" max="12"/>
    <col hidden="1" width="13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2" customHeight="1">
      <c r="A2" s="1" t="n"/>
      <c r="B2" s="2" t="inlineStr">
        <is>
          <t>Blood sugar report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" t="n"/>
      <c r="B3" s="3">
        <f>Settings!$C$4&amp;IF(Settings!$C$4="","",", ")&amp;DAY(Settings!$C$6)&amp;" "&amp;CHOOSE(MONTH(Settings!$C$6),"January","February","March","April","May","June","July","August","September","October","November","December")&amp;" "&amp;YEAR(Settings!$C$6)&amp;" to "&amp;DAY(Settings!$C$7)&amp;" "&amp;CHOOSE(MONTH(Settings!$C$7),"January","February","March","April","May","June","July","August","September","October","November","December")&amp;" "&amp;YEAR(Settings!$C$7)&amp;", in "&amp;Settings!$C$5</f>
        <v/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 ht="30" customHeight="1">
      <c r="A5" s="1" t="n"/>
      <c r="B5" s="11" t="inlineStr">
        <is>
          <t>Moment</t>
        </is>
      </c>
      <c r="C5" s="11" t="inlineStr">
        <is>
          <t>From</t>
        </is>
      </c>
      <c r="D5" s="11" t="inlineStr">
        <is>
          <t>To</t>
        </is>
      </c>
      <c r="E5" s="11" t="inlineStr">
        <is>
          <t>Readings</t>
        </is>
      </c>
      <c r="F5" s="11" t="inlineStr">
        <is>
          <t>Average</t>
        </is>
      </c>
      <c r="G5" s="11" t="inlineStr">
        <is>
          <t>Lowest</t>
        </is>
      </c>
      <c r="H5" s="11" t="inlineStr">
        <is>
          <t>Highest</t>
        </is>
      </c>
      <c r="I5" s="11" t="inlineStr">
        <is>
          <t>In range</t>
        </is>
      </c>
      <c r="J5" s="11" t="inlineStr">
        <is>
          <t>Below</t>
        </is>
      </c>
      <c r="K5" s="11" t="inlineStr">
        <is>
          <t>Above</t>
        </is>
      </c>
      <c r="L5" s="1" t="n"/>
      <c r="M5" s="1" t="n"/>
    </row>
    <row r="6">
      <c r="A6" s="1" t="n"/>
      <c r="B6" s="12" t="inlineStr">
        <is>
          <t>Fasting</t>
        </is>
      </c>
      <c r="C6" s="14">
        <f>IF(Settings!C10="","",Settings!C10)</f>
        <v/>
      </c>
      <c r="D6" s="14">
        <f>IF(Settings!D10="","",Settings!D10)</f>
        <v/>
      </c>
      <c r="E6" s="13">
        <f>COUNTIFS(Readings!$N$6:$N$1505,"&gt;="&amp;10000,Readings!$N$6:$N$1505,"&lt;"&amp;20000)</f>
        <v/>
      </c>
      <c r="F6" s="14">
        <f>IF(E6=0,"",ROUND(SUMIFS(Readings!$E$6:$E$1505,Readings!$N$6:$N$1505,"&gt;="&amp;10000,Readings!$N$6:$N$1505,"&lt;"&amp;20000)/E6,1))</f>
        <v/>
      </c>
      <c r="G6" s="14">
        <f>IF(E6=0,"",IFERROR(SMALL(Readings!$N$6:$N$1505,COUNTIF(Readings!$N$6:$N$1505,"&lt;"&amp;10000)+1)-10000,""))</f>
        <v/>
      </c>
      <c r="H6" s="14">
        <f>IF(E6=0,"",IFERROR(LARGE(Readings!$N$6:$N$1505,COUNTIF(Readings!$N$6:$N$1505,"&gt;="&amp;20000)+1)-10000,""))</f>
        <v/>
      </c>
      <c r="I6" s="15">
        <f>IF(E6=0,"",COUNTIFS(Readings!$N$6:$N$1505,"&gt;="&amp;10000,Readings!$N$6:$N$1505,"&lt;"&amp;20000,Readings!$G$6:$G$1505,"In range")/E6)</f>
        <v/>
      </c>
      <c r="J6" s="27">
        <f>IF(E6=0,"",COUNTIFS(Readings!$N$6:$N$1505,"&gt;="&amp;10000,Readings!$N$6:$N$1505,"&lt;"&amp;20000,Readings!$G$6:$G$1505,"Below"))</f>
        <v/>
      </c>
      <c r="K6" s="27">
        <f>IF(E6=0,"",COUNTIFS(Readings!$N$6:$N$1505,"&gt;="&amp;10000,Readings!$N$6:$N$1505,"&lt;"&amp;20000,Readings!$G$6:$G$1505,"Above"))</f>
        <v/>
      </c>
      <c r="L6" s="1" t="n"/>
      <c r="M6" s="1" t="n"/>
    </row>
    <row r="7">
      <c r="A7" s="1" t="n"/>
      <c r="B7" s="12" t="inlineStr">
        <is>
          <t>After breakfast</t>
        </is>
      </c>
      <c r="C7" s="14">
        <f>IF(Settings!C11="","",Settings!C11)</f>
        <v/>
      </c>
      <c r="D7" s="14">
        <f>IF(Settings!D11="","",Settings!D11)</f>
        <v/>
      </c>
      <c r="E7" s="13">
        <f>COUNTIFS(Readings!$N$6:$N$1505,"&gt;="&amp;20000,Readings!$N$6:$N$1505,"&lt;"&amp;30000)</f>
        <v/>
      </c>
      <c r="F7" s="14">
        <f>IF(E7=0,"",ROUND(SUMIFS(Readings!$E$6:$E$1505,Readings!$N$6:$N$1505,"&gt;="&amp;20000,Readings!$N$6:$N$1505,"&lt;"&amp;30000)/E7,1))</f>
        <v/>
      </c>
      <c r="G7" s="14">
        <f>IF(E7=0,"",IFERROR(SMALL(Readings!$N$6:$N$1505,COUNTIF(Readings!$N$6:$N$1505,"&lt;"&amp;20000)+1)-20000,""))</f>
        <v/>
      </c>
      <c r="H7" s="14">
        <f>IF(E7=0,"",IFERROR(LARGE(Readings!$N$6:$N$1505,COUNTIF(Readings!$N$6:$N$1505,"&gt;="&amp;30000)+1)-20000,""))</f>
        <v/>
      </c>
      <c r="I7" s="15">
        <f>IF(E7=0,"",COUNTIFS(Readings!$N$6:$N$1505,"&gt;="&amp;20000,Readings!$N$6:$N$1505,"&lt;"&amp;30000,Readings!$G$6:$G$1505,"In range")/E7)</f>
        <v/>
      </c>
      <c r="J7" s="27">
        <f>IF(E7=0,"",COUNTIFS(Readings!$N$6:$N$1505,"&gt;="&amp;20000,Readings!$N$6:$N$1505,"&lt;"&amp;30000,Readings!$G$6:$G$1505,"Below"))</f>
        <v/>
      </c>
      <c r="K7" s="27">
        <f>IF(E7=0,"",COUNTIFS(Readings!$N$6:$N$1505,"&gt;="&amp;20000,Readings!$N$6:$N$1505,"&lt;"&amp;30000,Readings!$G$6:$G$1505,"Above"))</f>
        <v/>
      </c>
      <c r="L7" s="1" t="n"/>
      <c r="M7" s="1" t="n"/>
    </row>
    <row r="8">
      <c r="A8" s="1" t="n"/>
      <c r="B8" s="12" t="inlineStr">
        <is>
          <t>Before lunch</t>
        </is>
      </c>
      <c r="C8" s="14">
        <f>IF(Settings!C12="","",Settings!C12)</f>
        <v/>
      </c>
      <c r="D8" s="14">
        <f>IF(Settings!D12="","",Settings!D12)</f>
        <v/>
      </c>
      <c r="E8" s="13">
        <f>COUNTIFS(Readings!$N$6:$N$1505,"&gt;="&amp;30000,Readings!$N$6:$N$1505,"&lt;"&amp;40000)</f>
        <v/>
      </c>
      <c r="F8" s="14">
        <f>IF(E8=0,"",ROUND(SUMIFS(Readings!$E$6:$E$1505,Readings!$N$6:$N$1505,"&gt;="&amp;30000,Readings!$N$6:$N$1505,"&lt;"&amp;40000)/E8,1))</f>
        <v/>
      </c>
      <c r="G8" s="14">
        <f>IF(E8=0,"",IFERROR(SMALL(Readings!$N$6:$N$1505,COUNTIF(Readings!$N$6:$N$1505,"&lt;"&amp;30000)+1)-30000,""))</f>
        <v/>
      </c>
      <c r="H8" s="14">
        <f>IF(E8=0,"",IFERROR(LARGE(Readings!$N$6:$N$1505,COUNTIF(Readings!$N$6:$N$1505,"&gt;="&amp;40000)+1)-30000,""))</f>
        <v/>
      </c>
      <c r="I8" s="15">
        <f>IF(E8=0,"",COUNTIFS(Readings!$N$6:$N$1505,"&gt;="&amp;30000,Readings!$N$6:$N$1505,"&lt;"&amp;40000,Readings!$G$6:$G$1505,"In range")/E8)</f>
        <v/>
      </c>
      <c r="J8" s="27">
        <f>IF(E8=0,"",COUNTIFS(Readings!$N$6:$N$1505,"&gt;="&amp;30000,Readings!$N$6:$N$1505,"&lt;"&amp;40000,Readings!$G$6:$G$1505,"Below"))</f>
        <v/>
      </c>
      <c r="K8" s="27">
        <f>IF(E8=0,"",COUNTIFS(Readings!$N$6:$N$1505,"&gt;="&amp;30000,Readings!$N$6:$N$1505,"&lt;"&amp;40000,Readings!$G$6:$G$1505,"Above"))</f>
        <v/>
      </c>
      <c r="L8" s="1" t="n"/>
      <c r="M8" s="1" t="n"/>
    </row>
    <row r="9">
      <c r="A9" s="1" t="n"/>
      <c r="B9" s="12" t="inlineStr">
        <is>
          <t>After lunch</t>
        </is>
      </c>
      <c r="C9" s="14">
        <f>IF(Settings!C13="","",Settings!C13)</f>
        <v/>
      </c>
      <c r="D9" s="14">
        <f>IF(Settings!D13="","",Settings!D13)</f>
        <v/>
      </c>
      <c r="E9" s="13">
        <f>COUNTIFS(Readings!$N$6:$N$1505,"&gt;="&amp;40000,Readings!$N$6:$N$1505,"&lt;"&amp;50000)</f>
        <v/>
      </c>
      <c r="F9" s="14">
        <f>IF(E9=0,"",ROUND(SUMIFS(Readings!$E$6:$E$1505,Readings!$N$6:$N$1505,"&gt;="&amp;40000,Readings!$N$6:$N$1505,"&lt;"&amp;50000)/E9,1))</f>
        <v/>
      </c>
      <c r="G9" s="14">
        <f>IF(E9=0,"",IFERROR(SMALL(Readings!$N$6:$N$1505,COUNTIF(Readings!$N$6:$N$1505,"&lt;"&amp;40000)+1)-40000,""))</f>
        <v/>
      </c>
      <c r="H9" s="14">
        <f>IF(E9=0,"",IFERROR(LARGE(Readings!$N$6:$N$1505,COUNTIF(Readings!$N$6:$N$1505,"&gt;="&amp;50000)+1)-40000,""))</f>
        <v/>
      </c>
      <c r="I9" s="15">
        <f>IF(E9=0,"",COUNTIFS(Readings!$N$6:$N$1505,"&gt;="&amp;40000,Readings!$N$6:$N$1505,"&lt;"&amp;50000,Readings!$G$6:$G$1505,"In range")/E9)</f>
        <v/>
      </c>
      <c r="J9" s="27">
        <f>IF(E9=0,"",COUNTIFS(Readings!$N$6:$N$1505,"&gt;="&amp;40000,Readings!$N$6:$N$1505,"&lt;"&amp;50000,Readings!$G$6:$G$1505,"Below"))</f>
        <v/>
      </c>
      <c r="K9" s="27">
        <f>IF(E9=0,"",COUNTIFS(Readings!$N$6:$N$1505,"&gt;="&amp;40000,Readings!$N$6:$N$1505,"&lt;"&amp;50000,Readings!$G$6:$G$1505,"Above"))</f>
        <v/>
      </c>
      <c r="L9" s="1" t="n"/>
      <c r="M9" s="1" t="n"/>
    </row>
    <row r="10">
      <c r="A10" s="1" t="n"/>
      <c r="B10" s="12" t="inlineStr">
        <is>
          <t>Before dinner</t>
        </is>
      </c>
      <c r="C10" s="14">
        <f>IF(Settings!C14="","",Settings!C14)</f>
        <v/>
      </c>
      <c r="D10" s="14">
        <f>IF(Settings!D14="","",Settings!D14)</f>
        <v/>
      </c>
      <c r="E10" s="13">
        <f>COUNTIFS(Readings!$N$6:$N$1505,"&gt;="&amp;50000,Readings!$N$6:$N$1505,"&lt;"&amp;60000)</f>
        <v/>
      </c>
      <c r="F10" s="14">
        <f>IF(E10=0,"",ROUND(SUMIFS(Readings!$E$6:$E$1505,Readings!$N$6:$N$1505,"&gt;="&amp;50000,Readings!$N$6:$N$1505,"&lt;"&amp;60000)/E10,1))</f>
        <v/>
      </c>
      <c r="G10" s="14">
        <f>IF(E10=0,"",IFERROR(SMALL(Readings!$N$6:$N$1505,COUNTIF(Readings!$N$6:$N$1505,"&lt;"&amp;50000)+1)-50000,""))</f>
        <v/>
      </c>
      <c r="H10" s="14">
        <f>IF(E10=0,"",IFERROR(LARGE(Readings!$N$6:$N$1505,COUNTIF(Readings!$N$6:$N$1505,"&gt;="&amp;60000)+1)-50000,""))</f>
        <v/>
      </c>
      <c r="I10" s="15">
        <f>IF(E10=0,"",COUNTIFS(Readings!$N$6:$N$1505,"&gt;="&amp;50000,Readings!$N$6:$N$1505,"&lt;"&amp;60000,Readings!$G$6:$G$1505,"In range")/E10)</f>
        <v/>
      </c>
      <c r="J10" s="27">
        <f>IF(E10=0,"",COUNTIFS(Readings!$N$6:$N$1505,"&gt;="&amp;50000,Readings!$N$6:$N$1505,"&lt;"&amp;60000,Readings!$G$6:$G$1505,"Below"))</f>
        <v/>
      </c>
      <c r="K10" s="27">
        <f>IF(E10=0,"",COUNTIFS(Readings!$N$6:$N$1505,"&gt;="&amp;50000,Readings!$N$6:$N$1505,"&lt;"&amp;60000,Readings!$G$6:$G$1505,"Above"))</f>
        <v/>
      </c>
      <c r="L10" s="1" t="n"/>
      <c r="M10" s="1" t="n"/>
    </row>
    <row r="11">
      <c r="A11" s="1" t="n"/>
      <c r="B11" s="12" t="inlineStr">
        <is>
          <t>After dinner</t>
        </is>
      </c>
      <c r="C11" s="14">
        <f>IF(Settings!C15="","",Settings!C15)</f>
        <v/>
      </c>
      <c r="D11" s="14">
        <f>IF(Settings!D15="","",Settings!D15)</f>
        <v/>
      </c>
      <c r="E11" s="13">
        <f>COUNTIFS(Readings!$N$6:$N$1505,"&gt;="&amp;60000,Readings!$N$6:$N$1505,"&lt;"&amp;70000)</f>
        <v/>
      </c>
      <c r="F11" s="14">
        <f>IF(E11=0,"",ROUND(SUMIFS(Readings!$E$6:$E$1505,Readings!$N$6:$N$1505,"&gt;="&amp;60000,Readings!$N$6:$N$1505,"&lt;"&amp;70000)/E11,1))</f>
        <v/>
      </c>
      <c r="G11" s="14">
        <f>IF(E11=0,"",IFERROR(SMALL(Readings!$N$6:$N$1505,COUNTIF(Readings!$N$6:$N$1505,"&lt;"&amp;60000)+1)-60000,""))</f>
        <v/>
      </c>
      <c r="H11" s="14">
        <f>IF(E11=0,"",IFERROR(LARGE(Readings!$N$6:$N$1505,COUNTIF(Readings!$N$6:$N$1505,"&gt;="&amp;70000)+1)-60000,""))</f>
        <v/>
      </c>
      <c r="I11" s="15">
        <f>IF(E11=0,"",COUNTIFS(Readings!$N$6:$N$1505,"&gt;="&amp;60000,Readings!$N$6:$N$1505,"&lt;"&amp;70000,Readings!$G$6:$G$1505,"In range")/E11)</f>
        <v/>
      </c>
      <c r="J11" s="27">
        <f>IF(E11=0,"",COUNTIFS(Readings!$N$6:$N$1505,"&gt;="&amp;60000,Readings!$N$6:$N$1505,"&lt;"&amp;70000,Readings!$G$6:$G$1505,"Below"))</f>
        <v/>
      </c>
      <c r="K11" s="27">
        <f>IF(E11=0,"",COUNTIFS(Readings!$N$6:$N$1505,"&gt;="&amp;60000,Readings!$N$6:$N$1505,"&lt;"&amp;70000,Readings!$G$6:$G$1505,"Above"))</f>
        <v/>
      </c>
      <c r="L11" s="1" t="n"/>
      <c r="M11" s="1" t="n"/>
    </row>
    <row r="12">
      <c r="A12" s="1" t="n"/>
      <c r="B12" s="12" t="inlineStr">
        <is>
          <t>Bedtime</t>
        </is>
      </c>
      <c r="C12" s="14">
        <f>IF(Settings!C16="","",Settings!C16)</f>
        <v/>
      </c>
      <c r="D12" s="14">
        <f>IF(Settings!D16="","",Settings!D16)</f>
        <v/>
      </c>
      <c r="E12" s="13">
        <f>COUNTIFS(Readings!$N$6:$N$1505,"&gt;="&amp;70000,Readings!$N$6:$N$1505,"&lt;"&amp;80000)</f>
        <v/>
      </c>
      <c r="F12" s="14">
        <f>IF(E12=0,"",ROUND(SUMIFS(Readings!$E$6:$E$1505,Readings!$N$6:$N$1505,"&gt;="&amp;70000,Readings!$N$6:$N$1505,"&lt;"&amp;80000)/E12,1))</f>
        <v/>
      </c>
      <c r="G12" s="14">
        <f>IF(E12=0,"",IFERROR(SMALL(Readings!$N$6:$N$1505,COUNTIF(Readings!$N$6:$N$1505,"&lt;"&amp;70000)+1)-70000,""))</f>
        <v/>
      </c>
      <c r="H12" s="14">
        <f>IF(E12=0,"",IFERROR(LARGE(Readings!$N$6:$N$1505,COUNTIF(Readings!$N$6:$N$1505,"&gt;="&amp;80000)+1)-70000,""))</f>
        <v/>
      </c>
      <c r="I12" s="15">
        <f>IF(E12=0,"",COUNTIFS(Readings!$N$6:$N$1505,"&gt;="&amp;70000,Readings!$N$6:$N$1505,"&lt;"&amp;80000,Readings!$G$6:$G$1505,"In range")/E12)</f>
        <v/>
      </c>
      <c r="J12" s="27">
        <f>IF(E12=0,"",COUNTIFS(Readings!$N$6:$N$1505,"&gt;="&amp;70000,Readings!$N$6:$N$1505,"&lt;"&amp;80000,Readings!$G$6:$G$1505,"Below"))</f>
        <v/>
      </c>
      <c r="K12" s="27">
        <f>IF(E12=0,"",COUNTIFS(Readings!$N$6:$N$1505,"&gt;="&amp;70000,Readings!$N$6:$N$1505,"&lt;"&amp;80000,Readings!$G$6:$G$1505,"Above"))</f>
        <v/>
      </c>
      <c r="L12" s="1" t="n"/>
      <c r="M12" s="1" t="n"/>
    </row>
    <row r="13">
      <c r="A13" s="1" t="n"/>
      <c r="B13" s="12" t="inlineStr">
        <is>
          <t>Night</t>
        </is>
      </c>
      <c r="C13" s="14">
        <f>IF(Settings!C17="","",Settings!C17)</f>
        <v/>
      </c>
      <c r="D13" s="14">
        <f>IF(Settings!D17="","",Settings!D17)</f>
        <v/>
      </c>
      <c r="E13" s="13">
        <f>COUNTIFS(Readings!$N$6:$N$1505,"&gt;="&amp;80000,Readings!$N$6:$N$1505,"&lt;"&amp;90000)</f>
        <v/>
      </c>
      <c r="F13" s="14">
        <f>IF(E13=0,"",ROUND(SUMIFS(Readings!$E$6:$E$1505,Readings!$N$6:$N$1505,"&gt;="&amp;80000,Readings!$N$6:$N$1505,"&lt;"&amp;90000)/E13,1))</f>
        <v/>
      </c>
      <c r="G13" s="14">
        <f>IF(E13=0,"",IFERROR(SMALL(Readings!$N$6:$N$1505,COUNTIF(Readings!$N$6:$N$1505,"&lt;"&amp;80000)+1)-80000,""))</f>
        <v/>
      </c>
      <c r="H13" s="14">
        <f>IF(E13=0,"",IFERROR(LARGE(Readings!$N$6:$N$1505,COUNTIF(Readings!$N$6:$N$1505,"&gt;="&amp;90000)+1)-80000,""))</f>
        <v/>
      </c>
      <c r="I13" s="15">
        <f>IF(E13=0,"",COUNTIFS(Readings!$N$6:$N$1505,"&gt;="&amp;80000,Readings!$N$6:$N$1505,"&lt;"&amp;90000,Readings!$G$6:$G$1505,"In range")/E13)</f>
        <v/>
      </c>
      <c r="J13" s="27">
        <f>IF(E13=0,"",COUNTIFS(Readings!$N$6:$N$1505,"&gt;="&amp;80000,Readings!$N$6:$N$1505,"&lt;"&amp;90000,Readings!$G$6:$G$1505,"Below"))</f>
        <v/>
      </c>
      <c r="K13" s="27">
        <f>IF(E13=0,"",COUNTIFS(Readings!$N$6:$N$1505,"&gt;="&amp;80000,Readings!$N$6:$N$1505,"&lt;"&amp;90000,Readings!$G$6:$G$1505,"Above"))</f>
        <v/>
      </c>
      <c r="L13" s="1" t="n"/>
      <c r="M13" s="1" t="n"/>
    </row>
    <row r="14">
      <c r="A14" s="1" t="n"/>
      <c r="B14" s="12" t="inlineStr">
        <is>
          <t>Other</t>
        </is>
      </c>
      <c r="C14" s="14">
        <f>IF(Settings!C18="","",Settings!C18)</f>
        <v/>
      </c>
      <c r="D14" s="14">
        <f>IF(Settings!D18="","",Settings!D18)</f>
        <v/>
      </c>
      <c r="E14" s="13">
        <f>COUNTIFS(Readings!$N$6:$N$1505,"&gt;="&amp;90000,Readings!$N$6:$N$1505,"&lt;"&amp;100000)</f>
        <v/>
      </c>
      <c r="F14" s="14">
        <f>IF(E14=0,"",ROUND(SUMIFS(Readings!$E$6:$E$1505,Readings!$N$6:$N$1505,"&gt;="&amp;90000,Readings!$N$6:$N$1505,"&lt;"&amp;100000)/E14,1))</f>
        <v/>
      </c>
      <c r="G14" s="14">
        <f>IF(E14=0,"",IFERROR(SMALL(Readings!$N$6:$N$1505,COUNTIF(Readings!$N$6:$N$1505,"&lt;"&amp;90000)+1)-90000,""))</f>
        <v/>
      </c>
      <c r="H14" s="14">
        <f>IF(E14=0,"",IFERROR(LARGE(Readings!$N$6:$N$1505,COUNTIF(Readings!$N$6:$N$1505,"&gt;="&amp;100000)+1)-90000,""))</f>
        <v/>
      </c>
      <c r="I14" s="15">
        <f>IF(E14=0,"",COUNTIFS(Readings!$N$6:$N$1505,"&gt;="&amp;90000,Readings!$N$6:$N$1505,"&lt;"&amp;100000,Readings!$G$6:$G$1505,"In range")/E14)</f>
        <v/>
      </c>
      <c r="J14" s="27">
        <f>IF(E14=0,"",COUNTIFS(Readings!$N$6:$N$1505,"&gt;="&amp;90000,Readings!$N$6:$N$1505,"&lt;"&amp;100000,Readings!$G$6:$G$1505,"Below"))</f>
        <v/>
      </c>
      <c r="K14" s="27">
        <f>IF(E14=0,"",COUNTIFS(Readings!$N$6:$N$1505,"&gt;="&amp;90000,Readings!$N$6:$N$1505,"&lt;"&amp;100000,Readings!$G$6:$G$1505,"Above"))</f>
        <v/>
      </c>
      <c r="L14" s="1" t="n"/>
      <c r="M14" s="1" t="n"/>
    </row>
    <row r="15">
      <c r="A15" s="1" t="n"/>
      <c r="B15" s="28" t="inlineStr">
        <is>
          <t>All</t>
        </is>
      </c>
      <c r="C15" s="29" t="n"/>
      <c r="D15" s="29" t="n"/>
      <c r="E15" s="30">
        <f>SUM(E6:E14)</f>
        <v/>
      </c>
      <c r="F15" s="29">
        <f>IF(E15=0,"",ROUND(SUM(Readings!$P$6:$P$1505)/E15,1))</f>
        <v/>
      </c>
      <c r="G15" s="29">
        <f>IF(E15=0,"",MIN(Readings!$P$6:$P$1505))</f>
        <v/>
      </c>
      <c r="H15" s="29">
        <f>IF(E15=0,"",MAX(Readings!$P$6:$P$1505))</f>
        <v/>
      </c>
      <c r="I15" s="31">
        <f>IF(E15=0,"",COUNTIFS(Readings!$N$6:$N$1505,"&gt;0",Readings!$G$6:$G$1505,"In range")/E15)</f>
        <v/>
      </c>
      <c r="J15" s="30">
        <f>IF(E15=0,"",SUM(J6:J14))</f>
        <v/>
      </c>
      <c r="K15" s="30">
        <f>IF(E15=0,"",SUM(K6:K14))</f>
        <v/>
      </c>
      <c r="L15" s="1" t="n"/>
      <c r="M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</row>
    <row r="17" ht="30" customHeight="1">
      <c r="A17" s="1" t="n"/>
      <c r="B17" s="11" t="inlineStr">
        <is>
          <t>Medicine</t>
        </is>
      </c>
      <c r="C17" s="11" t="inlineStr">
        <is>
          <t>Dose</t>
        </is>
      </c>
      <c r="D17" s="32" t="n"/>
      <c r="E17" s="11" t="inlineStr">
        <is>
          <t>Times</t>
        </is>
      </c>
      <c r="F17" s="33" t="n"/>
      <c r="G17" s="32" t="n"/>
      <c r="H17" s="11" t="inlineStr">
        <is>
          <t>With food</t>
        </is>
      </c>
      <c r="I17" s="11" t="inlineStr">
        <is>
          <t>Since</t>
        </is>
      </c>
      <c r="J17" s="33" t="n"/>
      <c r="K17" s="32" t="n"/>
      <c r="L17" s="1" t="n"/>
      <c r="M17" s="1" t="n"/>
    </row>
    <row r="18">
      <c r="A18" s="1" t="n"/>
      <c r="B18" s="12">
        <f>IF(N18="",IF(0=0,"None",""),INDEX(Medicines!$B$6:$B$25,N18-5))</f>
        <v/>
      </c>
      <c r="C18" s="17">
        <f>IF(N18="","",IF(INDEX(Medicines!$C$6:$C$25,N18-5)="","",INDEX(Medicines!$C$6:$C$25,N18-5)))</f>
        <v/>
      </c>
      <c r="D18" s="32" t="n"/>
      <c r="E18" s="17">
        <f>IF(N18="","",MID(IF(INDEX(Medicines!$D$6:$D$25,N18-5)="","",", "&amp;HOUR(INDEX(Medicines!$D$6:$D$25,N18-5))&amp;":"&amp;RIGHT("0"&amp;MINUTE(INDEX(Medicines!$D$6:$D$25,N18-5)),2))&amp;IF(INDEX(Medicines!$E$6:$E$25,N18-5)="","",", "&amp;HOUR(INDEX(Medicines!$E$6:$E$25,N18-5))&amp;":"&amp;RIGHT("0"&amp;MINUTE(INDEX(Medicines!$E$6:$E$25,N18-5)),2))&amp;IF(INDEX(Medicines!$F$6:$F$25,N18-5)="","",", "&amp;HOUR(INDEX(Medicines!$F$6:$F$25,N18-5))&amp;":"&amp;RIGHT("0"&amp;MINUTE(INDEX(Medicines!$F$6:$F$25,N18-5)),2))&amp;IF(INDEX(Medicines!$G$6:$G$25,N18-5)="","",", "&amp;HOUR(INDEX(Medicines!$G$6:$G$25,N18-5))&amp;":"&amp;RIGHT("0"&amp;MINUTE(INDEX(Medicines!$G$6:$G$25,N18-5)),2)),3,60))</f>
        <v/>
      </c>
      <c r="F18" s="33" t="n"/>
      <c r="G18" s="32" t="n"/>
      <c r="H18" s="14">
        <f>IF(N18="","",IF(INDEX(Medicines!$H$6:$H$25,N18-5)="","",INDEX(Medicines!$H$6:$H$25,N18-5)))</f>
        <v/>
      </c>
      <c r="I18" s="34">
        <f>IF(N18="","",IF(INDEX(Medicines!$I$6:$I$25,N18-5)="","",INDEX(Medicines!$I$6:$I$25,N18-5)))</f>
        <v/>
      </c>
      <c r="J18" s="33" t="n"/>
      <c r="K18" s="32" t="n"/>
      <c r="L18" s="1" t="n"/>
      <c r="M18" s="1" t="n"/>
      <c r="N18">
        <f>IFERROR(SMALL(Medicines!$X$6:$X$25,1),"")</f>
        <v/>
      </c>
    </row>
    <row r="19">
      <c r="A19" s="1" t="n"/>
      <c r="B19" s="12">
        <f>IF(N19="",IF(1=0,"None",""),INDEX(Medicines!$B$6:$B$25,N19-5))</f>
        <v/>
      </c>
      <c r="C19" s="17">
        <f>IF(N19="","",IF(INDEX(Medicines!$C$6:$C$25,N19-5)="","",INDEX(Medicines!$C$6:$C$25,N19-5)))</f>
        <v/>
      </c>
      <c r="D19" s="32" t="n"/>
      <c r="E19" s="17">
        <f>IF(N19="","",MID(IF(INDEX(Medicines!$D$6:$D$25,N19-5)="","",", "&amp;HOUR(INDEX(Medicines!$D$6:$D$25,N19-5))&amp;":"&amp;RIGHT("0"&amp;MINUTE(INDEX(Medicines!$D$6:$D$25,N19-5)),2))&amp;IF(INDEX(Medicines!$E$6:$E$25,N19-5)="","",", "&amp;HOUR(INDEX(Medicines!$E$6:$E$25,N19-5))&amp;":"&amp;RIGHT("0"&amp;MINUTE(INDEX(Medicines!$E$6:$E$25,N19-5)),2))&amp;IF(INDEX(Medicines!$F$6:$F$25,N19-5)="","",", "&amp;HOUR(INDEX(Medicines!$F$6:$F$25,N19-5))&amp;":"&amp;RIGHT("0"&amp;MINUTE(INDEX(Medicines!$F$6:$F$25,N19-5)),2))&amp;IF(INDEX(Medicines!$G$6:$G$25,N19-5)="","",", "&amp;HOUR(INDEX(Medicines!$G$6:$G$25,N19-5))&amp;":"&amp;RIGHT("0"&amp;MINUTE(INDEX(Medicines!$G$6:$G$25,N19-5)),2)),3,60))</f>
        <v/>
      </c>
      <c r="F19" s="33" t="n"/>
      <c r="G19" s="32" t="n"/>
      <c r="H19" s="14">
        <f>IF(N19="","",IF(INDEX(Medicines!$H$6:$H$25,N19-5)="","",INDEX(Medicines!$H$6:$H$25,N19-5)))</f>
        <v/>
      </c>
      <c r="I19" s="34">
        <f>IF(N19="","",IF(INDEX(Medicines!$I$6:$I$25,N19-5)="","",INDEX(Medicines!$I$6:$I$25,N19-5)))</f>
        <v/>
      </c>
      <c r="J19" s="33" t="n"/>
      <c r="K19" s="32" t="n"/>
      <c r="L19" s="1" t="n"/>
      <c r="M19" s="1" t="n"/>
      <c r="N19">
        <f>IFERROR(SMALL(Medicines!$X$6:$X$25,2),"")</f>
        <v/>
      </c>
    </row>
    <row r="20">
      <c r="A20" s="1" t="n"/>
      <c r="B20" s="12">
        <f>IF(N20="",IF(2=0,"None",""),INDEX(Medicines!$B$6:$B$25,N20-5))</f>
        <v/>
      </c>
      <c r="C20" s="17">
        <f>IF(N20="","",IF(INDEX(Medicines!$C$6:$C$25,N20-5)="","",INDEX(Medicines!$C$6:$C$25,N20-5)))</f>
        <v/>
      </c>
      <c r="D20" s="32" t="n"/>
      <c r="E20" s="17">
        <f>IF(N20="","",MID(IF(INDEX(Medicines!$D$6:$D$25,N20-5)="","",", "&amp;HOUR(INDEX(Medicines!$D$6:$D$25,N20-5))&amp;":"&amp;RIGHT("0"&amp;MINUTE(INDEX(Medicines!$D$6:$D$25,N20-5)),2))&amp;IF(INDEX(Medicines!$E$6:$E$25,N20-5)="","",", "&amp;HOUR(INDEX(Medicines!$E$6:$E$25,N20-5))&amp;":"&amp;RIGHT("0"&amp;MINUTE(INDEX(Medicines!$E$6:$E$25,N20-5)),2))&amp;IF(INDEX(Medicines!$F$6:$F$25,N20-5)="","",", "&amp;HOUR(INDEX(Medicines!$F$6:$F$25,N20-5))&amp;":"&amp;RIGHT("0"&amp;MINUTE(INDEX(Medicines!$F$6:$F$25,N20-5)),2))&amp;IF(INDEX(Medicines!$G$6:$G$25,N20-5)="","",", "&amp;HOUR(INDEX(Medicines!$G$6:$G$25,N20-5))&amp;":"&amp;RIGHT("0"&amp;MINUTE(INDEX(Medicines!$G$6:$G$25,N20-5)),2)),3,60))</f>
        <v/>
      </c>
      <c r="F20" s="33" t="n"/>
      <c r="G20" s="32" t="n"/>
      <c r="H20" s="14">
        <f>IF(N20="","",IF(INDEX(Medicines!$H$6:$H$25,N20-5)="","",INDEX(Medicines!$H$6:$H$25,N20-5)))</f>
        <v/>
      </c>
      <c r="I20" s="34">
        <f>IF(N20="","",IF(INDEX(Medicines!$I$6:$I$25,N20-5)="","",INDEX(Medicines!$I$6:$I$25,N20-5)))</f>
        <v/>
      </c>
      <c r="J20" s="33" t="n"/>
      <c r="K20" s="32" t="n"/>
      <c r="L20" s="1" t="n"/>
      <c r="M20" s="1" t="n"/>
      <c r="N20">
        <f>IFERROR(SMALL(Medicines!$X$6:$X$25,3),"")</f>
        <v/>
      </c>
    </row>
    <row r="21">
      <c r="A21" s="1" t="n"/>
      <c r="B21" s="12">
        <f>IF(N21="",IF(3=0,"None",""),INDEX(Medicines!$B$6:$B$25,N21-5))</f>
        <v/>
      </c>
      <c r="C21" s="17">
        <f>IF(N21="","",IF(INDEX(Medicines!$C$6:$C$25,N21-5)="","",INDEX(Medicines!$C$6:$C$25,N21-5)))</f>
        <v/>
      </c>
      <c r="D21" s="32" t="n"/>
      <c r="E21" s="17">
        <f>IF(N21="","",MID(IF(INDEX(Medicines!$D$6:$D$25,N21-5)="","",", "&amp;HOUR(INDEX(Medicines!$D$6:$D$25,N21-5))&amp;":"&amp;RIGHT("0"&amp;MINUTE(INDEX(Medicines!$D$6:$D$25,N21-5)),2))&amp;IF(INDEX(Medicines!$E$6:$E$25,N21-5)="","",", "&amp;HOUR(INDEX(Medicines!$E$6:$E$25,N21-5))&amp;":"&amp;RIGHT("0"&amp;MINUTE(INDEX(Medicines!$E$6:$E$25,N21-5)),2))&amp;IF(INDEX(Medicines!$F$6:$F$25,N21-5)="","",", "&amp;HOUR(INDEX(Medicines!$F$6:$F$25,N21-5))&amp;":"&amp;RIGHT("0"&amp;MINUTE(INDEX(Medicines!$F$6:$F$25,N21-5)),2))&amp;IF(INDEX(Medicines!$G$6:$G$25,N21-5)="","",", "&amp;HOUR(INDEX(Medicines!$G$6:$G$25,N21-5))&amp;":"&amp;RIGHT("0"&amp;MINUTE(INDEX(Medicines!$G$6:$G$25,N21-5)),2)),3,60))</f>
        <v/>
      </c>
      <c r="F21" s="33" t="n"/>
      <c r="G21" s="32" t="n"/>
      <c r="H21" s="14">
        <f>IF(N21="","",IF(INDEX(Medicines!$H$6:$H$25,N21-5)="","",INDEX(Medicines!$H$6:$H$25,N21-5)))</f>
        <v/>
      </c>
      <c r="I21" s="34">
        <f>IF(N21="","",IF(INDEX(Medicines!$I$6:$I$25,N21-5)="","",INDEX(Medicines!$I$6:$I$25,N21-5)))</f>
        <v/>
      </c>
      <c r="J21" s="33" t="n"/>
      <c r="K21" s="32" t="n"/>
      <c r="L21" s="1" t="n"/>
      <c r="M21" s="1" t="n"/>
      <c r="N21">
        <f>IFERROR(SMALL(Medicines!$X$6:$X$25,4),"")</f>
        <v/>
      </c>
    </row>
    <row r="22">
      <c r="A22" s="1" t="n"/>
      <c r="B22" s="12">
        <f>IF(N22="",IF(4=0,"None",""),INDEX(Medicines!$B$6:$B$25,N22-5))</f>
        <v/>
      </c>
      <c r="C22" s="17">
        <f>IF(N22="","",IF(INDEX(Medicines!$C$6:$C$25,N22-5)="","",INDEX(Medicines!$C$6:$C$25,N22-5)))</f>
        <v/>
      </c>
      <c r="D22" s="32" t="n"/>
      <c r="E22" s="17">
        <f>IF(N22="","",MID(IF(INDEX(Medicines!$D$6:$D$25,N22-5)="","",", "&amp;HOUR(INDEX(Medicines!$D$6:$D$25,N22-5))&amp;":"&amp;RIGHT("0"&amp;MINUTE(INDEX(Medicines!$D$6:$D$25,N22-5)),2))&amp;IF(INDEX(Medicines!$E$6:$E$25,N22-5)="","",", "&amp;HOUR(INDEX(Medicines!$E$6:$E$25,N22-5))&amp;":"&amp;RIGHT("0"&amp;MINUTE(INDEX(Medicines!$E$6:$E$25,N22-5)),2))&amp;IF(INDEX(Medicines!$F$6:$F$25,N22-5)="","",", "&amp;HOUR(INDEX(Medicines!$F$6:$F$25,N22-5))&amp;":"&amp;RIGHT("0"&amp;MINUTE(INDEX(Medicines!$F$6:$F$25,N22-5)),2))&amp;IF(INDEX(Medicines!$G$6:$G$25,N22-5)="","",", "&amp;HOUR(INDEX(Medicines!$G$6:$G$25,N22-5))&amp;":"&amp;RIGHT("0"&amp;MINUTE(INDEX(Medicines!$G$6:$G$25,N22-5)),2)),3,60))</f>
        <v/>
      </c>
      <c r="F22" s="33" t="n"/>
      <c r="G22" s="32" t="n"/>
      <c r="H22" s="14">
        <f>IF(N22="","",IF(INDEX(Medicines!$H$6:$H$25,N22-5)="","",INDEX(Medicines!$H$6:$H$25,N22-5)))</f>
        <v/>
      </c>
      <c r="I22" s="34">
        <f>IF(N22="","",IF(INDEX(Medicines!$I$6:$I$25,N22-5)="","",INDEX(Medicines!$I$6:$I$25,N22-5)))</f>
        <v/>
      </c>
      <c r="J22" s="33" t="n"/>
      <c r="K22" s="32" t="n"/>
      <c r="L22" s="1" t="n"/>
      <c r="M22" s="1" t="n"/>
      <c r="N22">
        <f>IFERROR(SMALL(Medicines!$X$6:$X$25,5),"")</f>
        <v/>
      </c>
    </row>
    <row r="23">
      <c r="A23" s="1" t="n"/>
      <c r="B23" s="12">
        <f>IF(N23="",IF(5=0,"None",""),INDEX(Medicines!$B$6:$B$25,N23-5))</f>
        <v/>
      </c>
      <c r="C23" s="17">
        <f>IF(N23="","",IF(INDEX(Medicines!$C$6:$C$25,N23-5)="","",INDEX(Medicines!$C$6:$C$25,N23-5)))</f>
        <v/>
      </c>
      <c r="D23" s="32" t="n"/>
      <c r="E23" s="17">
        <f>IF(N23="","",MID(IF(INDEX(Medicines!$D$6:$D$25,N23-5)="","",", "&amp;HOUR(INDEX(Medicines!$D$6:$D$25,N23-5))&amp;":"&amp;RIGHT("0"&amp;MINUTE(INDEX(Medicines!$D$6:$D$25,N23-5)),2))&amp;IF(INDEX(Medicines!$E$6:$E$25,N23-5)="","",", "&amp;HOUR(INDEX(Medicines!$E$6:$E$25,N23-5))&amp;":"&amp;RIGHT("0"&amp;MINUTE(INDEX(Medicines!$E$6:$E$25,N23-5)),2))&amp;IF(INDEX(Medicines!$F$6:$F$25,N23-5)="","",", "&amp;HOUR(INDEX(Medicines!$F$6:$F$25,N23-5))&amp;":"&amp;RIGHT("0"&amp;MINUTE(INDEX(Medicines!$F$6:$F$25,N23-5)),2))&amp;IF(INDEX(Medicines!$G$6:$G$25,N23-5)="","",", "&amp;HOUR(INDEX(Medicines!$G$6:$G$25,N23-5))&amp;":"&amp;RIGHT("0"&amp;MINUTE(INDEX(Medicines!$G$6:$G$25,N23-5)),2)),3,60))</f>
        <v/>
      </c>
      <c r="F23" s="33" t="n"/>
      <c r="G23" s="32" t="n"/>
      <c r="H23" s="14">
        <f>IF(N23="","",IF(INDEX(Medicines!$H$6:$H$25,N23-5)="","",INDEX(Medicines!$H$6:$H$25,N23-5)))</f>
        <v/>
      </c>
      <c r="I23" s="34">
        <f>IF(N23="","",IF(INDEX(Medicines!$I$6:$I$25,N23-5)="","",INDEX(Medicines!$I$6:$I$25,N23-5)))</f>
        <v/>
      </c>
      <c r="J23" s="33" t="n"/>
      <c r="K23" s="32" t="n"/>
      <c r="L23" s="1" t="n"/>
      <c r="M23" s="1" t="n"/>
      <c r="N23">
        <f>IFERROR(SMALL(Medicines!$X$6:$X$25,6),"")</f>
        <v/>
      </c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 ht="30" customHeight="1">
      <c r="A25" s="1" t="n"/>
      <c r="B25" s="11" t="inlineStr">
        <is>
          <t>Date</t>
        </is>
      </c>
      <c r="C25" s="11" t="inlineStr">
        <is>
          <t>Fasting</t>
        </is>
      </c>
      <c r="D25" s="11" t="inlineStr">
        <is>
          <t>After breakfast</t>
        </is>
      </c>
      <c r="E25" s="11" t="inlineStr">
        <is>
          <t>Before lunch</t>
        </is>
      </c>
      <c r="F25" s="11" t="inlineStr">
        <is>
          <t>After lunch</t>
        </is>
      </c>
      <c r="G25" s="11" t="inlineStr">
        <is>
          <t>Before dinner</t>
        </is>
      </c>
      <c r="H25" s="11" t="inlineStr">
        <is>
          <t>After dinner</t>
        </is>
      </c>
      <c r="I25" s="11" t="inlineStr">
        <is>
          <t>Bedtime</t>
        </is>
      </c>
      <c r="J25" s="11" t="inlineStr">
        <is>
          <t>Night</t>
        </is>
      </c>
      <c r="K25" s="32" t="n"/>
      <c r="L25" s="1" t="n"/>
      <c r="M25" s="1" t="n"/>
    </row>
    <row r="26" ht="15" customHeight="1">
      <c r="A26" s="1" t="n"/>
      <c r="B26" s="18">
        <f>IF((MAX(Settings!$C$6,Settings!$C$7-30)+0)&gt;Settings!$C$7,"",(MAX(Settings!$C$6,Settings!$C$7-30)+0))</f>
        <v/>
      </c>
      <c r="C26" s="14">
        <f>IF($B26="","",IFERROR(ROUND(AVERAGEIFS(Readings!$E$6:$E$1505,Readings!$B$6:$B$1505,$B26,Readings!$D$6:$D$1505,"Fasting"),1),""))</f>
        <v/>
      </c>
      <c r="D26" s="14">
        <f>IF($B26="","",IFERROR(ROUND(AVERAGEIFS(Readings!$E$6:$E$1505,Readings!$B$6:$B$1505,$B26,Readings!$D$6:$D$1505,"After breakfast"),1),""))</f>
        <v/>
      </c>
      <c r="E26" s="14">
        <f>IF($B26="","",IFERROR(ROUND(AVERAGEIFS(Readings!$E$6:$E$1505,Readings!$B$6:$B$1505,$B26,Readings!$D$6:$D$1505,"Before lunch"),1),""))</f>
        <v/>
      </c>
      <c r="F26" s="14">
        <f>IF($B26="","",IFERROR(ROUND(AVERAGEIFS(Readings!$E$6:$E$1505,Readings!$B$6:$B$1505,$B26,Readings!$D$6:$D$1505,"After lunch"),1),""))</f>
        <v/>
      </c>
      <c r="G26" s="14">
        <f>IF($B26="","",IFERROR(ROUND(AVERAGEIFS(Readings!$E$6:$E$1505,Readings!$B$6:$B$1505,$B26,Readings!$D$6:$D$1505,"Before dinner"),1),""))</f>
        <v/>
      </c>
      <c r="H26" s="14">
        <f>IF($B26="","",IFERROR(ROUND(AVERAGEIFS(Readings!$E$6:$E$1505,Readings!$B$6:$B$1505,$B26,Readings!$D$6:$D$1505,"After dinner"),1),""))</f>
        <v/>
      </c>
      <c r="I26" s="14">
        <f>IF($B26="","",IFERROR(ROUND(AVERAGEIFS(Readings!$E$6:$E$1505,Readings!$B$6:$B$1505,$B26,Readings!$D$6:$D$1505,"Bedtime"),1),""))</f>
        <v/>
      </c>
      <c r="J26" s="14">
        <f>IF($B26="","",IFERROR(ROUND(AVERAGEIFS(Readings!$E$6:$E$1505,Readings!$B$6:$B$1505,$B26,Readings!$D$6:$D$1505,"Night"),1),""))</f>
        <v/>
      </c>
      <c r="K26" s="32" t="n"/>
      <c r="L26" s="1" t="n"/>
      <c r="M26" s="1" t="n"/>
    </row>
    <row r="27" ht="15" customHeight="1">
      <c r="A27" s="1" t="n"/>
      <c r="B27" s="18">
        <f>IF((MAX(Settings!$C$6,Settings!$C$7-30)+1)&gt;Settings!$C$7,"",(MAX(Settings!$C$6,Settings!$C$7-30)+1))</f>
        <v/>
      </c>
      <c r="C27" s="14">
        <f>IF($B27="","",IFERROR(ROUND(AVERAGEIFS(Readings!$E$6:$E$1505,Readings!$B$6:$B$1505,$B27,Readings!$D$6:$D$1505,"Fasting"),1),""))</f>
        <v/>
      </c>
      <c r="D27" s="14">
        <f>IF($B27="","",IFERROR(ROUND(AVERAGEIFS(Readings!$E$6:$E$1505,Readings!$B$6:$B$1505,$B27,Readings!$D$6:$D$1505,"After breakfast"),1),""))</f>
        <v/>
      </c>
      <c r="E27" s="14">
        <f>IF($B27="","",IFERROR(ROUND(AVERAGEIFS(Readings!$E$6:$E$1505,Readings!$B$6:$B$1505,$B27,Readings!$D$6:$D$1505,"Before lunch"),1),""))</f>
        <v/>
      </c>
      <c r="F27" s="14">
        <f>IF($B27="","",IFERROR(ROUND(AVERAGEIFS(Readings!$E$6:$E$1505,Readings!$B$6:$B$1505,$B27,Readings!$D$6:$D$1505,"After lunch"),1),""))</f>
        <v/>
      </c>
      <c r="G27" s="14">
        <f>IF($B27="","",IFERROR(ROUND(AVERAGEIFS(Readings!$E$6:$E$1505,Readings!$B$6:$B$1505,$B27,Readings!$D$6:$D$1505,"Before dinner"),1),""))</f>
        <v/>
      </c>
      <c r="H27" s="14">
        <f>IF($B27="","",IFERROR(ROUND(AVERAGEIFS(Readings!$E$6:$E$1505,Readings!$B$6:$B$1505,$B27,Readings!$D$6:$D$1505,"After dinner"),1),""))</f>
        <v/>
      </c>
      <c r="I27" s="14">
        <f>IF($B27="","",IFERROR(ROUND(AVERAGEIFS(Readings!$E$6:$E$1505,Readings!$B$6:$B$1505,$B27,Readings!$D$6:$D$1505,"Bedtime"),1),""))</f>
        <v/>
      </c>
      <c r="J27" s="14">
        <f>IF($B27="","",IFERROR(ROUND(AVERAGEIFS(Readings!$E$6:$E$1505,Readings!$B$6:$B$1505,$B27,Readings!$D$6:$D$1505,"Night"),1),""))</f>
        <v/>
      </c>
      <c r="K27" s="32" t="n"/>
      <c r="L27" s="1" t="n"/>
      <c r="M27" s="1" t="n"/>
    </row>
    <row r="28" ht="15" customHeight="1">
      <c r="A28" s="1" t="n"/>
      <c r="B28" s="18">
        <f>IF((MAX(Settings!$C$6,Settings!$C$7-30)+2)&gt;Settings!$C$7,"",(MAX(Settings!$C$6,Settings!$C$7-30)+2))</f>
        <v/>
      </c>
      <c r="C28" s="14">
        <f>IF($B28="","",IFERROR(ROUND(AVERAGEIFS(Readings!$E$6:$E$1505,Readings!$B$6:$B$1505,$B28,Readings!$D$6:$D$1505,"Fasting"),1),""))</f>
        <v/>
      </c>
      <c r="D28" s="14">
        <f>IF($B28="","",IFERROR(ROUND(AVERAGEIFS(Readings!$E$6:$E$1505,Readings!$B$6:$B$1505,$B28,Readings!$D$6:$D$1505,"After breakfast"),1),""))</f>
        <v/>
      </c>
      <c r="E28" s="14">
        <f>IF($B28="","",IFERROR(ROUND(AVERAGEIFS(Readings!$E$6:$E$1505,Readings!$B$6:$B$1505,$B28,Readings!$D$6:$D$1505,"Before lunch"),1),""))</f>
        <v/>
      </c>
      <c r="F28" s="14">
        <f>IF($B28="","",IFERROR(ROUND(AVERAGEIFS(Readings!$E$6:$E$1505,Readings!$B$6:$B$1505,$B28,Readings!$D$6:$D$1505,"After lunch"),1),""))</f>
        <v/>
      </c>
      <c r="G28" s="14">
        <f>IF($B28="","",IFERROR(ROUND(AVERAGEIFS(Readings!$E$6:$E$1505,Readings!$B$6:$B$1505,$B28,Readings!$D$6:$D$1505,"Before dinner"),1),""))</f>
        <v/>
      </c>
      <c r="H28" s="14">
        <f>IF($B28="","",IFERROR(ROUND(AVERAGEIFS(Readings!$E$6:$E$1505,Readings!$B$6:$B$1505,$B28,Readings!$D$6:$D$1505,"After dinner"),1),""))</f>
        <v/>
      </c>
      <c r="I28" s="14">
        <f>IF($B28="","",IFERROR(ROUND(AVERAGEIFS(Readings!$E$6:$E$1505,Readings!$B$6:$B$1505,$B28,Readings!$D$6:$D$1505,"Bedtime"),1),""))</f>
        <v/>
      </c>
      <c r="J28" s="14">
        <f>IF($B28="","",IFERROR(ROUND(AVERAGEIFS(Readings!$E$6:$E$1505,Readings!$B$6:$B$1505,$B28,Readings!$D$6:$D$1505,"Night"),1),""))</f>
        <v/>
      </c>
      <c r="K28" s="32" t="n"/>
      <c r="L28" s="1" t="n"/>
      <c r="M28" s="1" t="n"/>
    </row>
    <row r="29" ht="15" customHeight="1">
      <c r="A29" s="1" t="n"/>
      <c r="B29" s="18">
        <f>IF((MAX(Settings!$C$6,Settings!$C$7-30)+3)&gt;Settings!$C$7,"",(MAX(Settings!$C$6,Settings!$C$7-30)+3))</f>
        <v/>
      </c>
      <c r="C29" s="14">
        <f>IF($B29="","",IFERROR(ROUND(AVERAGEIFS(Readings!$E$6:$E$1505,Readings!$B$6:$B$1505,$B29,Readings!$D$6:$D$1505,"Fasting"),1),""))</f>
        <v/>
      </c>
      <c r="D29" s="14">
        <f>IF($B29="","",IFERROR(ROUND(AVERAGEIFS(Readings!$E$6:$E$1505,Readings!$B$6:$B$1505,$B29,Readings!$D$6:$D$1505,"After breakfast"),1),""))</f>
        <v/>
      </c>
      <c r="E29" s="14">
        <f>IF($B29="","",IFERROR(ROUND(AVERAGEIFS(Readings!$E$6:$E$1505,Readings!$B$6:$B$1505,$B29,Readings!$D$6:$D$1505,"Before lunch"),1),""))</f>
        <v/>
      </c>
      <c r="F29" s="14">
        <f>IF($B29="","",IFERROR(ROUND(AVERAGEIFS(Readings!$E$6:$E$1505,Readings!$B$6:$B$1505,$B29,Readings!$D$6:$D$1505,"After lunch"),1),""))</f>
        <v/>
      </c>
      <c r="G29" s="14">
        <f>IF($B29="","",IFERROR(ROUND(AVERAGEIFS(Readings!$E$6:$E$1505,Readings!$B$6:$B$1505,$B29,Readings!$D$6:$D$1505,"Before dinner"),1),""))</f>
        <v/>
      </c>
      <c r="H29" s="14">
        <f>IF($B29="","",IFERROR(ROUND(AVERAGEIFS(Readings!$E$6:$E$1505,Readings!$B$6:$B$1505,$B29,Readings!$D$6:$D$1505,"After dinner"),1),""))</f>
        <v/>
      </c>
      <c r="I29" s="14">
        <f>IF($B29="","",IFERROR(ROUND(AVERAGEIFS(Readings!$E$6:$E$1505,Readings!$B$6:$B$1505,$B29,Readings!$D$6:$D$1505,"Bedtime"),1),""))</f>
        <v/>
      </c>
      <c r="J29" s="14">
        <f>IF($B29="","",IFERROR(ROUND(AVERAGEIFS(Readings!$E$6:$E$1505,Readings!$B$6:$B$1505,$B29,Readings!$D$6:$D$1505,"Night"),1),""))</f>
        <v/>
      </c>
      <c r="K29" s="32" t="n"/>
      <c r="L29" s="1" t="n"/>
      <c r="M29" s="1" t="n"/>
    </row>
    <row r="30" ht="15" customHeight="1">
      <c r="A30" s="1" t="n"/>
      <c r="B30" s="18">
        <f>IF((MAX(Settings!$C$6,Settings!$C$7-30)+4)&gt;Settings!$C$7,"",(MAX(Settings!$C$6,Settings!$C$7-30)+4))</f>
        <v/>
      </c>
      <c r="C30" s="14">
        <f>IF($B30="","",IFERROR(ROUND(AVERAGEIFS(Readings!$E$6:$E$1505,Readings!$B$6:$B$1505,$B30,Readings!$D$6:$D$1505,"Fasting"),1),""))</f>
        <v/>
      </c>
      <c r="D30" s="14">
        <f>IF($B30="","",IFERROR(ROUND(AVERAGEIFS(Readings!$E$6:$E$1505,Readings!$B$6:$B$1505,$B30,Readings!$D$6:$D$1505,"After breakfast"),1),""))</f>
        <v/>
      </c>
      <c r="E30" s="14">
        <f>IF($B30="","",IFERROR(ROUND(AVERAGEIFS(Readings!$E$6:$E$1505,Readings!$B$6:$B$1505,$B30,Readings!$D$6:$D$1505,"Before lunch"),1),""))</f>
        <v/>
      </c>
      <c r="F30" s="14">
        <f>IF($B30="","",IFERROR(ROUND(AVERAGEIFS(Readings!$E$6:$E$1505,Readings!$B$6:$B$1505,$B30,Readings!$D$6:$D$1505,"After lunch"),1),""))</f>
        <v/>
      </c>
      <c r="G30" s="14">
        <f>IF($B30="","",IFERROR(ROUND(AVERAGEIFS(Readings!$E$6:$E$1505,Readings!$B$6:$B$1505,$B30,Readings!$D$6:$D$1505,"Before dinner"),1),""))</f>
        <v/>
      </c>
      <c r="H30" s="14">
        <f>IF($B30="","",IFERROR(ROUND(AVERAGEIFS(Readings!$E$6:$E$1505,Readings!$B$6:$B$1505,$B30,Readings!$D$6:$D$1505,"After dinner"),1),""))</f>
        <v/>
      </c>
      <c r="I30" s="14">
        <f>IF($B30="","",IFERROR(ROUND(AVERAGEIFS(Readings!$E$6:$E$1505,Readings!$B$6:$B$1505,$B30,Readings!$D$6:$D$1505,"Bedtime"),1),""))</f>
        <v/>
      </c>
      <c r="J30" s="14">
        <f>IF($B30="","",IFERROR(ROUND(AVERAGEIFS(Readings!$E$6:$E$1505,Readings!$B$6:$B$1505,$B30,Readings!$D$6:$D$1505,"Night"),1),""))</f>
        <v/>
      </c>
      <c r="K30" s="32" t="n"/>
      <c r="L30" s="1" t="n"/>
      <c r="M30" s="1" t="n"/>
    </row>
    <row r="31" ht="15" customHeight="1">
      <c r="A31" s="1" t="n"/>
      <c r="B31" s="18">
        <f>IF((MAX(Settings!$C$6,Settings!$C$7-30)+5)&gt;Settings!$C$7,"",(MAX(Settings!$C$6,Settings!$C$7-30)+5))</f>
        <v/>
      </c>
      <c r="C31" s="14">
        <f>IF($B31="","",IFERROR(ROUND(AVERAGEIFS(Readings!$E$6:$E$1505,Readings!$B$6:$B$1505,$B31,Readings!$D$6:$D$1505,"Fasting"),1),""))</f>
        <v/>
      </c>
      <c r="D31" s="14">
        <f>IF($B31="","",IFERROR(ROUND(AVERAGEIFS(Readings!$E$6:$E$1505,Readings!$B$6:$B$1505,$B31,Readings!$D$6:$D$1505,"After breakfast"),1),""))</f>
        <v/>
      </c>
      <c r="E31" s="14">
        <f>IF($B31="","",IFERROR(ROUND(AVERAGEIFS(Readings!$E$6:$E$1505,Readings!$B$6:$B$1505,$B31,Readings!$D$6:$D$1505,"Before lunch"),1),""))</f>
        <v/>
      </c>
      <c r="F31" s="14">
        <f>IF($B31="","",IFERROR(ROUND(AVERAGEIFS(Readings!$E$6:$E$1505,Readings!$B$6:$B$1505,$B31,Readings!$D$6:$D$1505,"After lunch"),1),""))</f>
        <v/>
      </c>
      <c r="G31" s="14">
        <f>IF($B31="","",IFERROR(ROUND(AVERAGEIFS(Readings!$E$6:$E$1505,Readings!$B$6:$B$1505,$B31,Readings!$D$6:$D$1505,"Before dinner"),1),""))</f>
        <v/>
      </c>
      <c r="H31" s="14">
        <f>IF($B31="","",IFERROR(ROUND(AVERAGEIFS(Readings!$E$6:$E$1505,Readings!$B$6:$B$1505,$B31,Readings!$D$6:$D$1505,"After dinner"),1),""))</f>
        <v/>
      </c>
      <c r="I31" s="14">
        <f>IF($B31="","",IFERROR(ROUND(AVERAGEIFS(Readings!$E$6:$E$1505,Readings!$B$6:$B$1505,$B31,Readings!$D$6:$D$1505,"Bedtime"),1),""))</f>
        <v/>
      </c>
      <c r="J31" s="14">
        <f>IF($B31="","",IFERROR(ROUND(AVERAGEIFS(Readings!$E$6:$E$1505,Readings!$B$6:$B$1505,$B31,Readings!$D$6:$D$1505,"Night"),1),""))</f>
        <v/>
      </c>
      <c r="K31" s="32" t="n"/>
      <c r="L31" s="1" t="n"/>
      <c r="M31" s="1" t="n"/>
    </row>
    <row r="32" ht="15" customHeight="1">
      <c r="A32" s="1" t="n"/>
      <c r="B32" s="18">
        <f>IF((MAX(Settings!$C$6,Settings!$C$7-30)+6)&gt;Settings!$C$7,"",(MAX(Settings!$C$6,Settings!$C$7-30)+6))</f>
        <v/>
      </c>
      <c r="C32" s="14">
        <f>IF($B32="","",IFERROR(ROUND(AVERAGEIFS(Readings!$E$6:$E$1505,Readings!$B$6:$B$1505,$B32,Readings!$D$6:$D$1505,"Fasting"),1),""))</f>
        <v/>
      </c>
      <c r="D32" s="14">
        <f>IF($B32="","",IFERROR(ROUND(AVERAGEIFS(Readings!$E$6:$E$1505,Readings!$B$6:$B$1505,$B32,Readings!$D$6:$D$1505,"After breakfast"),1),""))</f>
        <v/>
      </c>
      <c r="E32" s="14">
        <f>IF($B32="","",IFERROR(ROUND(AVERAGEIFS(Readings!$E$6:$E$1505,Readings!$B$6:$B$1505,$B32,Readings!$D$6:$D$1505,"Before lunch"),1),""))</f>
        <v/>
      </c>
      <c r="F32" s="14">
        <f>IF($B32="","",IFERROR(ROUND(AVERAGEIFS(Readings!$E$6:$E$1505,Readings!$B$6:$B$1505,$B32,Readings!$D$6:$D$1505,"After lunch"),1),""))</f>
        <v/>
      </c>
      <c r="G32" s="14">
        <f>IF($B32="","",IFERROR(ROUND(AVERAGEIFS(Readings!$E$6:$E$1505,Readings!$B$6:$B$1505,$B32,Readings!$D$6:$D$1505,"Before dinner"),1),""))</f>
        <v/>
      </c>
      <c r="H32" s="14">
        <f>IF($B32="","",IFERROR(ROUND(AVERAGEIFS(Readings!$E$6:$E$1505,Readings!$B$6:$B$1505,$B32,Readings!$D$6:$D$1505,"After dinner"),1),""))</f>
        <v/>
      </c>
      <c r="I32" s="14">
        <f>IF($B32="","",IFERROR(ROUND(AVERAGEIFS(Readings!$E$6:$E$1505,Readings!$B$6:$B$1505,$B32,Readings!$D$6:$D$1505,"Bedtime"),1),""))</f>
        <v/>
      </c>
      <c r="J32" s="14">
        <f>IF($B32="","",IFERROR(ROUND(AVERAGEIFS(Readings!$E$6:$E$1505,Readings!$B$6:$B$1505,$B32,Readings!$D$6:$D$1505,"Night"),1),""))</f>
        <v/>
      </c>
      <c r="K32" s="32" t="n"/>
      <c r="L32" s="1" t="n"/>
      <c r="M32" s="1" t="n"/>
    </row>
    <row r="33" ht="15" customHeight="1">
      <c r="A33" s="1" t="n"/>
      <c r="B33" s="18">
        <f>IF((MAX(Settings!$C$6,Settings!$C$7-30)+7)&gt;Settings!$C$7,"",(MAX(Settings!$C$6,Settings!$C$7-30)+7))</f>
        <v/>
      </c>
      <c r="C33" s="14">
        <f>IF($B33="","",IFERROR(ROUND(AVERAGEIFS(Readings!$E$6:$E$1505,Readings!$B$6:$B$1505,$B33,Readings!$D$6:$D$1505,"Fasting"),1),""))</f>
        <v/>
      </c>
      <c r="D33" s="14">
        <f>IF($B33="","",IFERROR(ROUND(AVERAGEIFS(Readings!$E$6:$E$1505,Readings!$B$6:$B$1505,$B33,Readings!$D$6:$D$1505,"After breakfast"),1),""))</f>
        <v/>
      </c>
      <c r="E33" s="14">
        <f>IF($B33="","",IFERROR(ROUND(AVERAGEIFS(Readings!$E$6:$E$1505,Readings!$B$6:$B$1505,$B33,Readings!$D$6:$D$1505,"Before lunch"),1),""))</f>
        <v/>
      </c>
      <c r="F33" s="14">
        <f>IF($B33="","",IFERROR(ROUND(AVERAGEIFS(Readings!$E$6:$E$1505,Readings!$B$6:$B$1505,$B33,Readings!$D$6:$D$1505,"After lunch"),1),""))</f>
        <v/>
      </c>
      <c r="G33" s="14">
        <f>IF($B33="","",IFERROR(ROUND(AVERAGEIFS(Readings!$E$6:$E$1505,Readings!$B$6:$B$1505,$B33,Readings!$D$6:$D$1505,"Before dinner"),1),""))</f>
        <v/>
      </c>
      <c r="H33" s="14">
        <f>IF($B33="","",IFERROR(ROUND(AVERAGEIFS(Readings!$E$6:$E$1505,Readings!$B$6:$B$1505,$B33,Readings!$D$6:$D$1505,"After dinner"),1),""))</f>
        <v/>
      </c>
      <c r="I33" s="14">
        <f>IF($B33="","",IFERROR(ROUND(AVERAGEIFS(Readings!$E$6:$E$1505,Readings!$B$6:$B$1505,$B33,Readings!$D$6:$D$1505,"Bedtime"),1),""))</f>
        <v/>
      </c>
      <c r="J33" s="14">
        <f>IF($B33="","",IFERROR(ROUND(AVERAGEIFS(Readings!$E$6:$E$1505,Readings!$B$6:$B$1505,$B33,Readings!$D$6:$D$1505,"Night"),1),""))</f>
        <v/>
      </c>
      <c r="K33" s="32" t="n"/>
      <c r="L33" s="1" t="n"/>
      <c r="M33" s="1" t="n"/>
    </row>
    <row r="34" ht="15" customHeight="1">
      <c r="A34" s="1" t="n"/>
      <c r="B34" s="18">
        <f>IF((MAX(Settings!$C$6,Settings!$C$7-30)+8)&gt;Settings!$C$7,"",(MAX(Settings!$C$6,Settings!$C$7-30)+8))</f>
        <v/>
      </c>
      <c r="C34" s="14">
        <f>IF($B34="","",IFERROR(ROUND(AVERAGEIFS(Readings!$E$6:$E$1505,Readings!$B$6:$B$1505,$B34,Readings!$D$6:$D$1505,"Fasting"),1),""))</f>
        <v/>
      </c>
      <c r="D34" s="14">
        <f>IF($B34="","",IFERROR(ROUND(AVERAGEIFS(Readings!$E$6:$E$1505,Readings!$B$6:$B$1505,$B34,Readings!$D$6:$D$1505,"After breakfast"),1),""))</f>
        <v/>
      </c>
      <c r="E34" s="14">
        <f>IF($B34="","",IFERROR(ROUND(AVERAGEIFS(Readings!$E$6:$E$1505,Readings!$B$6:$B$1505,$B34,Readings!$D$6:$D$1505,"Before lunch"),1),""))</f>
        <v/>
      </c>
      <c r="F34" s="14">
        <f>IF($B34="","",IFERROR(ROUND(AVERAGEIFS(Readings!$E$6:$E$1505,Readings!$B$6:$B$1505,$B34,Readings!$D$6:$D$1505,"After lunch"),1),""))</f>
        <v/>
      </c>
      <c r="G34" s="14">
        <f>IF($B34="","",IFERROR(ROUND(AVERAGEIFS(Readings!$E$6:$E$1505,Readings!$B$6:$B$1505,$B34,Readings!$D$6:$D$1505,"Before dinner"),1),""))</f>
        <v/>
      </c>
      <c r="H34" s="14">
        <f>IF($B34="","",IFERROR(ROUND(AVERAGEIFS(Readings!$E$6:$E$1505,Readings!$B$6:$B$1505,$B34,Readings!$D$6:$D$1505,"After dinner"),1),""))</f>
        <v/>
      </c>
      <c r="I34" s="14">
        <f>IF($B34="","",IFERROR(ROUND(AVERAGEIFS(Readings!$E$6:$E$1505,Readings!$B$6:$B$1505,$B34,Readings!$D$6:$D$1505,"Bedtime"),1),""))</f>
        <v/>
      </c>
      <c r="J34" s="14">
        <f>IF($B34="","",IFERROR(ROUND(AVERAGEIFS(Readings!$E$6:$E$1505,Readings!$B$6:$B$1505,$B34,Readings!$D$6:$D$1505,"Night"),1),""))</f>
        <v/>
      </c>
      <c r="K34" s="32" t="n"/>
      <c r="L34" s="1" t="n"/>
      <c r="M34" s="1" t="n"/>
    </row>
    <row r="35" ht="15" customHeight="1">
      <c r="A35" s="1" t="n"/>
      <c r="B35" s="18">
        <f>IF((MAX(Settings!$C$6,Settings!$C$7-30)+9)&gt;Settings!$C$7,"",(MAX(Settings!$C$6,Settings!$C$7-30)+9))</f>
        <v/>
      </c>
      <c r="C35" s="14">
        <f>IF($B35="","",IFERROR(ROUND(AVERAGEIFS(Readings!$E$6:$E$1505,Readings!$B$6:$B$1505,$B35,Readings!$D$6:$D$1505,"Fasting"),1),""))</f>
        <v/>
      </c>
      <c r="D35" s="14">
        <f>IF($B35="","",IFERROR(ROUND(AVERAGEIFS(Readings!$E$6:$E$1505,Readings!$B$6:$B$1505,$B35,Readings!$D$6:$D$1505,"After breakfast"),1),""))</f>
        <v/>
      </c>
      <c r="E35" s="14">
        <f>IF($B35="","",IFERROR(ROUND(AVERAGEIFS(Readings!$E$6:$E$1505,Readings!$B$6:$B$1505,$B35,Readings!$D$6:$D$1505,"Before lunch"),1),""))</f>
        <v/>
      </c>
      <c r="F35" s="14">
        <f>IF($B35="","",IFERROR(ROUND(AVERAGEIFS(Readings!$E$6:$E$1505,Readings!$B$6:$B$1505,$B35,Readings!$D$6:$D$1505,"After lunch"),1),""))</f>
        <v/>
      </c>
      <c r="G35" s="14">
        <f>IF($B35="","",IFERROR(ROUND(AVERAGEIFS(Readings!$E$6:$E$1505,Readings!$B$6:$B$1505,$B35,Readings!$D$6:$D$1505,"Before dinner"),1),""))</f>
        <v/>
      </c>
      <c r="H35" s="14">
        <f>IF($B35="","",IFERROR(ROUND(AVERAGEIFS(Readings!$E$6:$E$1505,Readings!$B$6:$B$1505,$B35,Readings!$D$6:$D$1505,"After dinner"),1),""))</f>
        <v/>
      </c>
      <c r="I35" s="14">
        <f>IF($B35="","",IFERROR(ROUND(AVERAGEIFS(Readings!$E$6:$E$1505,Readings!$B$6:$B$1505,$B35,Readings!$D$6:$D$1505,"Bedtime"),1),""))</f>
        <v/>
      </c>
      <c r="J35" s="14">
        <f>IF($B35="","",IFERROR(ROUND(AVERAGEIFS(Readings!$E$6:$E$1505,Readings!$B$6:$B$1505,$B35,Readings!$D$6:$D$1505,"Night"),1),""))</f>
        <v/>
      </c>
      <c r="K35" s="32" t="n"/>
      <c r="L35" s="1" t="n"/>
      <c r="M35" s="1" t="n"/>
    </row>
    <row r="36" ht="15" customHeight="1">
      <c r="A36" s="1" t="n"/>
      <c r="B36" s="18">
        <f>IF((MAX(Settings!$C$6,Settings!$C$7-30)+10)&gt;Settings!$C$7,"",(MAX(Settings!$C$6,Settings!$C$7-30)+10))</f>
        <v/>
      </c>
      <c r="C36" s="14">
        <f>IF($B36="","",IFERROR(ROUND(AVERAGEIFS(Readings!$E$6:$E$1505,Readings!$B$6:$B$1505,$B36,Readings!$D$6:$D$1505,"Fasting"),1),""))</f>
        <v/>
      </c>
      <c r="D36" s="14">
        <f>IF($B36="","",IFERROR(ROUND(AVERAGEIFS(Readings!$E$6:$E$1505,Readings!$B$6:$B$1505,$B36,Readings!$D$6:$D$1505,"After breakfast"),1),""))</f>
        <v/>
      </c>
      <c r="E36" s="14">
        <f>IF($B36="","",IFERROR(ROUND(AVERAGEIFS(Readings!$E$6:$E$1505,Readings!$B$6:$B$1505,$B36,Readings!$D$6:$D$1505,"Before lunch"),1),""))</f>
        <v/>
      </c>
      <c r="F36" s="14">
        <f>IF($B36="","",IFERROR(ROUND(AVERAGEIFS(Readings!$E$6:$E$1505,Readings!$B$6:$B$1505,$B36,Readings!$D$6:$D$1505,"After lunch"),1),""))</f>
        <v/>
      </c>
      <c r="G36" s="14">
        <f>IF($B36="","",IFERROR(ROUND(AVERAGEIFS(Readings!$E$6:$E$1505,Readings!$B$6:$B$1505,$B36,Readings!$D$6:$D$1505,"Before dinner"),1),""))</f>
        <v/>
      </c>
      <c r="H36" s="14">
        <f>IF($B36="","",IFERROR(ROUND(AVERAGEIFS(Readings!$E$6:$E$1505,Readings!$B$6:$B$1505,$B36,Readings!$D$6:$D$1505,"After dinner"),1),""))</f>
        <v/>
      </c>
      <c r="I36" s="14">
        <f>IF($B36="","",IFERROR(ROUND(AVERAGEIFS(Readings!$E$6:$E$1505,Readings!$B$6:$B$1505,$B36,Readings!$D$6:$D$1505,"Bedtime"),1),""))</f>
        <v/>
      </c>
      <c r="J36" s="14">
        <f>IF($B36="","",IFERROR(ROUND(AVERAGEIFS(Readings!$E$6:$E$1505,Readings!$B$6:$B$1505,$B36,Readings!$D$6:$D$1505,"Night"),1),""))</f>
        <v/>
      </c>
      <c r="K36" s="32" t="n"/>
      <c r="L36" s="1" t="n"/>
      <c r="M36" s="1" t="n"/>
    </row>
    <row r="37" ht="15" customHeight="1">
      <c r="A37" s="1" t="n"/>
      <c r="B37" s="18">
        <f>IF((MAX(Settings!$C$6,Settings!$C$7-30)+11)&gt;Settings!$C$7,"",(MAX(Settings!$C$6,Settings!$C$7-30)+11))</f>
        <v/>
      </c>
      <c r="C37" s="14">
        <f>IF($B37="","",IFERROR(ROUND(AVERAGEIFS(Readings!$E$6:$E$1505,Readings!$B$6:$B$1505,$B37,Readings!$D$6:$D$1505,"Fasting"),1),""))</f>
        <v/>
      </c>
      <c r="D37" s="14">
        <f>IF($B37="","",IFERROR(ROUND(AVERAGEIFS(Readings!$E$6:$E$1505,Readings!$B$6:$B$1505,$B37,Readings!$D$6:$D$1505,"After breakfast"),1),""))</f>
        <v/>
      </c>
      <c r="E37" s="14">
        <f>IF($B37="","",IFERROR(ROUND(AVERAGEIFS(Readings!$E$6:$E$1505,Readings!$B$6:$B$1505,$B37,Readings!$D$6:$D$1505,"Before lunch"),1),""))</f>
        <v/>
      </c>
      <c r="F37" s="14">
        <f>IF($B37="","",IFERROR(ROUND(AVERAGEIFS(Readings!$E$6:$E$1505,Readings!$B$6:$B$1505,$B37,Readings!$D$6:$D$1505,"After lunch"),1),""))</f>
        <v/>
      </c>
      <c r="G37" s="14">
        <f>IF($B37="","",IFERROR(ROUND(AVERAGEIFS(Readings!$E$6:$E$1505,Readings!$B$6:$B$1505,$B37,Readings!$D$6:$D$1505,"Before dinner"),1),""))</f>
        <v/>
      </c>
      <c r="H37" s="14">
        <f>IF($B37="","",IFERROR(ROUND(AVERAGEIFS(Readings!$E$6:$E$1505,Readings!$B$6:$B$1505,$B37,Readings!$D$6:$D$1505,"After dinner"),1),""))</f>
        <v/>
      </c>
      <c r="I37" s="14">
        <f>IF($B37="","",IFERROR(ROUND(AVERAGEIFS(Readings!$E$6:$E$1505,Readings!$B$6:$B$1505,$B37,Readings!$D$6:$D$1505,"Bedtime"),1),""))</f>
        <v/>
      </c>
      <c r="J37" s="14">
        <f>IF($B37="","",IFERROR(ROUND(AVERAGEIFS(Readings!$E$6:$E$1505,Readings!$B$6:$B$1505,$B37,Readings!$D$6:$D$1505,"Night"),1),""))</f>
        <v/>
      </c>
      <c r="K37" s="32" t="n"/>
      <c r="L37" s="1" t="n"/>
      <c r="M37" s="1" t="n"/>
    </row>
    <row r="38" ht="15" customHeight="1">
      <c r="A38" s="1" t="n"/>
      <c r="B38" s="18">
        <f>IF((MAX(Settings!$C$6,Settings!$C$7-30)+12)&gt;Settings!$C$7,"",(MAX(Settings!$C$6,Settings!$C$7-30)+12))</f>
        <v/>
      </c>
      <c r="C38" s="14">
        <f>IF($B38="","",IFERROR(ROUND(AVERAGEIFS(Readings!$E$6:$E$1505,Readings!$B$6:$B$1505,$B38,Readings!$D$6:$D$1505,"Fasting"),1),""))</f>
        <v/>
      </c>
      <c r="D38" s="14">
        <f>IF($B38="","",IFERROR(ROUND(AVERAGEIFS(Readings!$E$6:$E$1505,Readings!$B$6:$B$1505,$B38,Readings!$D$6:$D$1505,"After breakfast"),1),""))</f>
        <v/>
      </c>
      <c r="E38" s="14">
        <f>IF($B38="","",IFERROR(ROUND(AVERAGEIFS(Readings!$E$6:$E$1505,Readings!$B$6:$B$1505,$B38,Readings!$D$6:$D$1505,"Before lunch"),1),""))</f>
        <v/>
      </c>
      <c r="F38" s="14">
        <f>IF($B38="","",IFERROR(ROUND(AVERAGEIFS(Readings!$E$6:$E$1505,Readings!$B$6:$B$1505,$B38,Readings!$D$6:$D$1505,"After lunch"),1),""))</f>
        <v/>
      </c>
      <c r="G38" s="14">
        <f>IF($B38="","",IFERROR(ROUND(AVERAGEIFS(Readings!$E$6:$E$1505,Readings!$B$6:$B$1505,$B38,Readings!$D$6:$D$1505,"Before dinner"),1),""))</f>
        <v/>
      </c>
      <c r="H38" s="14">
        <f>IF($B38="","",IFERROR(ROUND(AVERAGEIFS(Readings!$E$6:$E$1505,Readings!$B$6:$B$1505,$B38,Readings!$D$6:$D$1505,"After dinner"),1),""))</f>
        <v/>
      </c>
      <c r="I38" s="14">
        <f>IF($B38="","",IFERROR(ROUND(AVERAGEIFS(Readings!$E$6:$E$1505,Readings!$B$6:$B$1505,$B38,Readings!$D$6:$D$1505,"Bedtime"),1),""))</f>
        <v/>
      </c>
      <c r="J38" s="14">
        <f>IF($B38="","",IFERROR(ROUND(AVERAGEIFS(Readings!$E$6:$E$1505,Readings!$B$6:$B$1505,$B38,Readings!$D$6:$D$1505,"Night"),1),""))</f>
        <v/>
      </c>
      <c r="K38" s="32" t="n"/>
      <c r="L38" s="1" t="n"/>
      <c r="M38" s="1" t="n"/>
    </row>
    <row r="39" ht="15" customHeight="1">
      <c r="A39" s="1" t="n"/>
      <c r="B39" s="18">
        <f>IF((MAX(Settings!$C$6,Settings!$C$7-30)+13)&gt;Settings!$C$7,"",(MAX(Settings!$C$6,Settings!$C$7-30)+13))</f>
        <v/>
      </c>
      <c r="C39" s="14">
        <f>IF($B39="","",IFERROR(ROUND(AVERAGEIFS(Readings!$E$6:$E$1505,Readings!$B$6:$B$1505,$B39,Readings!$D$6:$D$1505,"Fasting"),1),""))</f>
        <v/>
      </c>
      <c r="D39" s="14">
        <f>IF($B39="","",IFERROR(ROUND(AVERAGEIFS(Readings!$E$6:$E$1505,Readings!$B$6:$B$1505,$B39,Readings!$D$6:$D$1505,"After breakfast"),1),""))</f>
        <v/>
      </c>
      <c r="E39" s="14">
        <f>IF($B39="","",IFERROR(ROUND(AVERAGEIFS(Readings!$E$6:$E$1505,Readings!$B$6:$B$1505,$B39,Readings!$D$6:$D$1505,"Before lunch"),1),""))</f>
        <v/>
      </c>
      <c r="F39" s="14">
        <f>IF($B39="","",IFERROR(ROUND(AVERAGEIFS(Readings!$E$6:$E$1505,Readings!$B$6:$B$1505,$B39,Readings!$D$6:$D$1505,"After lunch"),1),""))</f>
        <v/>
      </c>
      <c r="G39" s="14">
        <f>IF($B39="","",IFERROR(ROUND(AVERAGEIFS(Readings!$E$6:$E$1505,Readings!$B$6:$B$1505,$B39,Readings!$D$6:$D$1505,"Before dinner"),1),""))</f>
        <v/>
      </c>
      <c r="H39" s="14">
        <f>IF($B39="","",IFERROR(ROUND(AVERAGEIFS(Readings!$E$6:$E$1505,Readings!$B$6:$B$1505,$B39,Readings!$D$6:$D$1505,"After dinner"),1),""))</f>
        <v/>
      </c>
      <c r="I39" s="14">
        <f>IF($B39="","",IFERROR(ROUND(AVERAGEIFS(Readings!$E$6:$E$1505,Readings!$B$6:$B$1505,$B39,Readings!$D$6:$D$1505,"Bedtime"),1),""))</f>
        <v/>
      </c>
      <c r="J39" s="14">
        <f>IF($B39="","",IFERROR(ROUND(AVERAGEIFS(Readings!$E$6:$E$1505,Readings!$B$6:$B$1505,$B39,Readings!$D$6:$D$1505,"Night"),1),""))</f>
        <v/>
      </c>
      <c r="K39" s="32" t="n"/>
      <c r="L39" s="1" t="n"/>
      <c r="M39" s="1" t="n"/>
    </row>
    <row r="40" ht="15" customHeight="1">
      <c r="A40" s="1" t="n"/>
      <c r="B40" s="18">
        <f>IF((MAX(Settings!$C$6,Settings!$C$7-30)+14)&gt;Settings!$C$7,"",(MAX(Settings!$C$6,Settings!$C$7-30)+14))</f>
        <v/>
      </c>
      <c r="C40" s="14">
        <f>IF($B40="","",IFERROR(ROUND(AVERAGEIFS(Readings!$E$6:$E$1505,Readings!$B$6:$B$1505,$B40,Readings!$D$6:$D$1505,"Fasting"),1),""))</f>
        <v/>
      </c>
      <c r="D40" s="14">
        <f>IF($B40="","",IFERROR(ROUND(AVERAGEIFS(Readings!$E$6:$E$1505,Readings!$B$6:$B$1505,$B40,Readings!$D$6:$D$1505,"After breakfast"),1),""))</f>
        <v/>
      </c>
      <c r="E40" s="14">
        <f>IF($B40="","",IFERROR(ROUND(AVERAGEIFS(Readings!$E$6:$E$1505,Readings!$B$6:$B$1505,$B40,Readings!$D$6:$D$1505,"Before lunch"),1),""))</f>
        <v/>
      </c>
      <c r="F40" s="14">
        <f>IF($B40="","",IFERROR(ROUND(AVERAGEIFS(Readings!$E$6:$E$1505,Readings!$B$6:$B$1505,$B40,Readings!$D$6:$D$1505,"After lunch"),1),""))</f>
        <v/>
      </c>
      <c r="G40" s="14">
        <f>IF($B40="","",IFERROR(ROUND(AVERAGEIFS(Readings!$E$6:$E$1505,Readings!$B$6:$B$1505,$B40,Readings!$D$6:$D$1505,"Before dinner"),1),""))</f>
        <v/>
      </c>
      <c r="H40" s="14">
        <f>IF($B40="","",IFERROR(ROUND(AVERAGEIFS(Readings!$E$6:$E$1505,Readings!$B$6:$B$1505,$B40,Readings!$D$6:$D$1505,"After dinner"),1),""))</f>
        <v/>
      </c>
      <c r="I40" s="14">
        <f>IF($B40="","",IFERROR(ROUND(AVERAGEIFS(Readings!$E$6:$E$1505,Readings!$B$6:$B$1505,$B40,Readings!$D$6:$D$1505,"Bedtime"),1),""))</f>
        <v/>
      </c>
      <c r="J40" s="14">
        <f>IF($B40="","",IFERROR(ROUND(AVERAGEIFS(Readings!$E$6:$E$1505,Readings!$B$6:$B$1505,$B40,Readings!$D$6:$D$1505,"Night"),1),""))</f>
        <v/>
      </c>
      <c r="K40" s="32" t="n"/>
      <c r="L40" s="1" t="n"/>
      <c r="M40" s="1" t="n"/>
    </row>
    <row r="41" ht="15" customHeight="1">
      <c r="A41" s="1" t="n"/>
      <c r="B41" s="18">
        <f>IF((MAX(Settings!$C$6,Settings!$C$7-30)+15)&gt;Settings!$C$7,"",(MAX(Settings!$C$6,Settings!$C$7-30)+15))</f>
        <v/>
      </c>
      <c r="C41" s="14">
        <f>IF($B41="","",IFERROR(ROUND(AVERAGEIFS(Readings!$E$6:$E$1505,Readings!$B$6:$B$1505,$B41,Readings!$D$6:$D$1505,"Fasting"),1),""))</f>
        <v/>
      </c>
      <c r="D41" s="14">
        <f>IF($B41="","",IFERROR(ROUND(AVERAGEIFS(Readings!$E$6:$E$1505,Readings!$B$6:$B$1505,$B41,Readings!$D$6:$D$1505,"After breakfast"),1),""))</f>
        <v/>
      </c>
      <c r="E41" s="14">
        <f>IF($B41="","",IFERROR(ROUND(AVERAGEIFS(Readings!$E$6:$E$1505,Readings!$B$6:$B$1505,$B41,Readings!$D$6:$D$1505,"Before lunch"),1),""))</f>
        <v/>
      </c>
      <c r="F41" s="14">
        <f>IF($B41="","",IFERROR(ROUND(AVERAGEIFS(Readings!$E$6:$E$1505,Readings!$B$6:$B$1505,$B41,Readings!$D$6:$D$1505,"After lunch"),1),""))</f>
        <v/>
      </c>
      <c r="G41" s="14">
        <f>IF($B41="","",IFERROR(ROUND(AVERAGEIFS(Readings!$E$6:$E$1505,Readings!$B$6:$B$1505,$B41,Readings!$D$6:$D$1505,"Before dinner"),1),""))</f>
        <v/>
      </c>
      <c r="H41" s="14">
        <f>IF($B41="","",IFERROR(ROUND(AVERAGEIFS(Readings!$E$6:$E$1505,Readings!$B$6:$B$1505,$B41,Readings!$D$6:$D$1505,"After dinner"),1),""))</f>
        <v/>
      </c>
      <c r="I41" s="14">
        <f>IF($B41="","",IFERROR(ROUND(AVERAGEIFS(Readings!$E$6:$E$1505,Readings!$B$6:$B$1505,$B41,Readings!$D$6:$D$1505,"Bedtime"),1),""))</f>
        <v/>
      </c>
      <c r="J41" s="14">
        <f>IF($B41="","",IFERROR(ROUND(AVERAGEIFS(Readings!$E$6:$E$1505,Readings!$B$6:$B$1505,$B41,Readings!$D$6:$D$1505,"Night"),1),""))</f>
        <v/>
      </c>
      <c r="K41" s="32" t="n"/>
      <c r="L41" s="1" t="n"/>
      <c r="M41" s="1" t="n"/>
    </row>
    <row r="42" ht="15" customHeight="1">
      <c r="A42" s="1" t="n"/>
      <c r="B42" s="18">
        <f>IF((MAX(Settings!$C$6,Settings!$C$7-30)+16)&gt;Settings!$C$7,"",(MAX(Settings!$C$6,Settings!$C$7-30)+16))</f>
        <v/>
      </c>
      <c r="C42" s="14">
        <f>IF($B42="","",IFERROR(ROUND(AVERAGEIFS(Readings!$E$6:$E$1505,Readings!$B$6:$B$1505,$B42,Readings!$D$6:$D$1505,"Fasting"),1),""))</f>
        <v/>
      </c>
      <c r="D42" s="14">
        <f>IF($B42="","",IFERROR(ROUND(AVERAGEIFS(Readings!$E$6:$E$1505,Readings!$B$6:$B$1505,$B42,Readings!$D$6:$D$1505,"After breakfast"),1),""))</f>
        <v/>
      </c>
      <c r="E42" s="14">
        <f>IF($B42="","",IFERROR(ROUND(AVERAGEIFS(Readings!$E$6:$E$1505,Readings!$B$6:$B$1505,$B42,Readings!$D$6:$D$1505,"Before lunch"),1),""))</f>
        <v/>
      </c>
      <c r="F42" s="14">
        <f>IF($B42="","",IFERROR(ROUND(AVERAGEIFS(Readings!$E$6:$E$1505,Readings!$B$6:$B$1505,$B42,Readings!$D$6:$D$1505,"After lunch"),1),""))</f>
        <v/>
      </c>
      <c r="G42" s="14">
        <f>IF($B42="","",IFERROR(ROUND(AVERAGEIFS(Readings!$E$6:$E$1505,Readings!$B$6:$B$1505,$B42,Readings!$D$6:$D$1505,"Before dinner"),1),""))</f>
        <v/>
      </c>
      <c r="H42" s="14">
        <f>IF($B42="","",IFERROR(ROUND(AVERAGEIFS(Readings!$E$6:$E$1505,Readings!$B$6:$B$1505,$B42,Readings!$D$6:$D$1505,"After dinner"),1),""))</f>
        <v/>
      </c>
      <c r="I42" s="14">
        <f>IF($B42="","",IFERROR(ROUND(AVERAGEIFS(Readings!$E$6:$E$1505,Readings!$B$6:$B$1505,$B42,Readings!$D$6:$D$1505,"Bedtime"),1),""))</f>
        <v/>
      </c>
      <c r="J42" s="14">
        <f>IF($B42="","",IFERROR(ROUND(AVERAGEIFS(Readings!$E$6:$E$1505,Readings!$B$6:$B$1505,$B42,Readings!$D$6:$D$1505,"Night"),1),""))</f>
        <v/>
      </c>
      <c r="K42" s="32" t="n"/>
      <c r="L42" s="1" t="n"/>
      <c r="M42" s="1" t="n"/>
    </row>
    <row r="43" ht="15" customHeight="1">
      <c r="A43" s="1" t="n"/>
      <c r="B43" s="18">
        <f>IF((MAX(Settings!$C$6,Settings!$C$7-30)+17)&gt;Settings!$C$7,"",(MAX(Settings!$C$6,Settings!$C$7-30)+17))</f>
        <v/>
      </c>
      <c r="C43" s="14">
        <f>IF($B43="","",IFERROR(ROUND(AVERAGEIFS(Readings!$E$6:$E$1505,Readings!$B$6:$B$1505,$B43,Readings!$D$6:$D$1505,"Fasting"),1),""))</f>
        <v/>
      </c>
      <c r="D43" s="14">
        <f>IF($B43="","",IFERROR(ROUND(AVERAGEIFS(Readings!$E$6:$E$1505,Readings!$B$6:$B$1505,$B43,Readings!$D$6:$D$1505,"After breakfast"),1),""))</f>
        <v/>
      </c>
      <c r="E43" s="14">
        <f>IF($B43="","",IFERROR(ROUND(AVERAGEIFS(Readings!$E$6:$E$1505,Readings!$B$6:$B$1505,$B43,Readings!$D$6:$D$1505,"Before lunch"),1),""))</f>
        <v/>
      </c>
      <c r="F43" s="14">
        <f>IF($B43="","",IFERROR(ROUND(AVERAGEIFS(Readings!$E$6:$E$1505,Readings!$B$6:$B$1505,$B43,Readings!$D$6:$D$1505,"After lunch"),1),""))</f>
        <v/>
      </c>
      <c r="G43" s="14">
        <f>IF($B43="","",IFERROR(ROUND(AVERAGEIFS(Readings!$E$6:$E$1505,Readings!$B$6:$B$1505,$B43,Readings!$D$6:$D$1505,"Before dinner"),1),""))</f>
        <v/>
      </c>
      <c r="H43" s="14">
        <f>IF($B43="","",IFERROR(ROUND(AVERAGEIFS(Readings!$E$6:$E$1505,Readings!$B$6:$B$1505,$B43,Readings!$D$6:$D$1505,"After dinner"),1),""))</f>
        <v/>
      </c>
      <c r="I43" s="14">
        <f>IF($B43="","",IFERROR(ROUND(AVERAGEIFS(Readings!$E$6:$E$1505,Readings!$B$6:$B$1505,$B43,Readings!$D$6:$D$1505,"Bedtime"),1),""))</f>
        <v/>
      </c>
      <c r="J43" s="14">
        <f>IF($B43="","",IFERROR(ROUND(AVERAGEIFS(Readings!$E$6:$E$1505,Readings!$B$6:$B$1505,$B43,Readings!$D$6:$D$1505,"Night"),1),""))</f>
        <v/>
      </c>
      <c r="K43" s="32" t="n"/>
      <c r="L43" s="1" t="n"/>
      <c r="M43" s="1" t="n"/>
    </row>
    <row r="44" ht="15" customHeight="1">
      <c r="A44" s="1" t="n"/>
      <c r="B44" s="18">
        <f>IF((MAX(Settings!$C$6,Settings!$C$7-30)+18)&gt;Settings!$C$7,"",(MAX(Settings!$C$6,Settings!$C$7-30)+18))</f>
        <v/>
      </c>
      <c r="C44" s="14">
        <f>IF($B44="","",IFERROR(ROUND(AVERAGEIFS(Readings!$E$6:$E$1505,Readings!$B$6:$B$1505,$B44,Readings!$D$6:$D$1505,"Fasting"),1),""))</f>
        <v/>
      </c>
      <c r="D44" s="14">
        <f>IF($B44="","",IFERROR(ROUND(AVERAGEIFS(Readings!$E$6:$E$1505,Readings!$B$6:$B$1505,$B44,Readings!$D$6:$D$1505,"After breakfast"),1),""))</f>
        <v/>
      </c>
      <c r="E44" s="14">
        <f>IF($B44="","",IFERROR(ROUND(AVERAGEIFS(Readings!$E$6:$E$1505,Readings!$B$6:$B$1505,$B44,Readings!$D$6:$D$1505,"Before lunch"),1),""))</f>
        <v/>
      </c>
      <c r="F44" s="14">
        <f>IF($B44="","",IFERROR(ROUND(AVERAGEIFS(Readings!$E$6:$E$1505,Readings!$B$6:$B$1505,$B44,Readings!$D$6:$D$1505,"After lunch"),1),""))</f>
        <v/>
      </c>
      <c r="G44" s="14">
        <f>IF($B44="","",IFERROR(ROUND(AVERAGEIFS(Readings!$E$6:$E$1505,Readings!$B$6:$B$1505,$B44,Readings!$D$6:$D$1505,"Before dinner"),1),""))</f>
        <v/>
      </c>
      <c r="H44" s="14">
        <f>IF($B44="","",IFERROR(ROUND(AVERAGEIFS(Readings!$E$6:$E$1505,Readings!$B$6:$B$1505,$B44,Readings!$D$6:$D$1505,"After dinner"),1),""))</f>
        <v/>
      </c>
      <c r="I44" s="14">
        <f>IF($B44="","",IFERROR(ROUND(AVERAGEIFS(Readings!$E$6:$E$1505,Readings!$B$6:$B$1505,$B44,Readings!$D$6:$D$1505,"Bedtime"),1),""))</f>
        <v/>
      </c>
      <c r="J44" s="14">
        <f>IF($B44="","",IFERROR(ROUND(AVERAGEIFS(Readings!$E$6:$E$1505,Readings!$B$6:$B$1505,$B44,Readings!$D$6:$D$1505,"Night"),1),""))</f>
        <v/>
      </c>
      <c r="K44" s="32" t="n"/>
      <c r="L44" s="1" t="n"/>
      <c r="M44" s="1" t="n"/>
    </row>
    <row r="45" ht="15" customHeight="1">
      <c r="A45" s="1" t="n"/>
      <c r="B45" s="18">
        <f>IF((MAX(Settings!$C$6,Settings!$C$7-30)+19)&gt;Settings!$C$7,"",(MAX(Settings!$C$6,Settings!$C$7-30)+19))</f>
        <v/>
      </c>
      <c r="C45" s="14">
        <f>IF($B45="","",IFERROR(ROUND(AVERAGEIFS(Readings!$E$6:$E$1505,Readings!$B$6:$B$1505,$B45,Readings!$D$6:$D$1505,"Fasting"),1),""))</f>
        <v/>
      </c>
      <c r="D45" s="14">
        <f>IF($B45="","",IFERROR(ROUND(AVERAGEIFS(Readings!$E$6:$E$1505,Readings!$B$6:$B$1505,$B45,Readings!$D$6:$D$1505,"After breakfast"),1),""))</f>
        <v/>
      </c>
      <c r="E45" s="14">
        <f>IF($B45="","",IFERROR(ROUND(AVERAGEIFS(Readings!$E$6:$E$1505,Readings!$B$6:$B$1505,$B45,Readings!$D$6:$D$1505,"Before lunch"),1),""))</f>
        <v/>
      </c>
      <c r="F45" s="14">
        <f>IF($B45="","",IFERROR(ROUND(AVERAGEIFS(Readings!$E$6:$E$1505,Readings!$B$6:$B$1505,$B45,Readings!$D$6:$D$1505,"After lunch"),1),""))</f>
        <v/>
      </c>
      <c r="G45" s="14">
        <f>IF($B45="","",IFERROR(ROUND(AVERAGEIFS(Readings!$E$6:$E$1505,Readings!$B$6:$B$1505,$B45,Readings!$D$6:$D$1505,"Before dinner"),1),""))</f>
        <v/>
      </c>
      <c r="H45" s="14">
        <f>IF($B45="","",IFERROR(ROUND(AVERAGEIFS(Readings!$E$6:$E$1505,Readings!$B$6:$B$1505,$B45,Readings!$D$6:$D$1505,"After dinner"),1),""))</f>
        <v/>
      </c>
      <c r="I45" s="14">
        <f>IF($B45="","",IFERROR(ROUND(AVERAGEIFS(Readings!$E$6:$E$1505,Readings!$B$6:$B$1505,$B45,Readings!$D$6:$D$1505,"Bedtime"),1),""))</f>
        <v/>
      </c>
      <c r="J45" s="14">
        <f>IF($B45="","",IFERROR(ROUND(AVERAGEIFS(Readings!$E$6:$E$1505,Readings!$B$6:$B$1505,$B45,Readings!$D$6:$D$1505,"Night"),1),""))</f>
        <v/>
      </c>
      <c r="K45" s="32" t="n"/>
      <c r="L45" s="1" t="n"/>
      <c r="M45" s="1" t="n"/>
    </row>
    <row r="46" ht="15" customHeight="1">
      <c r="A46" s="1" t="n"/>
      <c r="B46" s="18">
        <f>IF((MAX(Settings!$C$6,Settings!$C$7-30)+20)&gt;Settings!$C$7,"",(MAX(Settings!$C$6,Settings!$C$7-30)+20))</f>
        <v/>
      </c>
      <c r="C46" s="14">
        <f>IF($B46="","",IFERROR(ROUND(AVERAGEIFS(Readings!$E$6:$E$1505,Readings!$B$6:$B$1505,$B46,Readings!$D$6:$D$1505,"Fasting"),1),""))</f>
        <v/>
      </c>
      <c r="D46" s="14">
        <f>IF($B46="","",IFERROR(ROUND(AVERAGEIFS(Readings!$E$6:$E$1505,Readings!$B$6:$B$1505,$B46,Readings!$D$6:$D$1505,"After breakfast"),1),""))</f>
        <v/>
      </c>
      <c r="E46" s="14">
        <f>IF($B46="","",IFERROR(ROUND(AVERAGEIFS(Readings!$E$6:$E$1505,Readings!$B$6:$B$1505,$B46,Readings!$D$6:$D$1505,"Before lunch"),1),""))</f>
        <v/>
      </c>
      <c r="F46" s="14">
        <f>IF($B46="","",IFERROR(ROUND(AVERAGEIFS(Readings!$E$6:$E$1505,Readings!$B$6:$B$1505,$B46,Readings!$D$6:$D$1505,"After lunch"),1),""))</f>
        <v/>
      </c>
      <c r="G46" s="14">
        <f>IF($B46="","",IFERROR(ROUND(AVERAGEIFS(Readings!$E$6:$E$1505,Readings!$B$6:$B$1505,$B46,Readings!$D$6:$D$1505,"Before dinner"),1),""))</f>
        <v/>
      </c>
      <c r="H46" s="14">
        <f>IF($B46="","",IFERROR(ROUND(AVERAGEIFS(Readings!$E$6:$E$1505,Readings!$B$6:$B$1505,$B46,Readings!$D$6:$D$1505,"After dinner"),1),""))</f>
        <v/>
      </c>
      <c r="I46" s="14">
        <f>IF($B46="","",IFERROR(ROUND(AVERAGEIFS(Readings!$E$6:$E$1505,Readings!$B$6:$B$1505,$B46,Readings!$D$6:$D$1505,"Bedtime"),1),""))</f>
        <v/>
      </c>
      <c r="J46" s="14">
        <f>IF($B46="","",IFERROR(ROUND(AVERAGEIFS(Readings!$E$6:$E$1505,Readings!$B$6:$B$1505,$B46,Readings!$D$6:$D$1505,"Night"),1),""))</f>
        <v/>
      </c>
      <c r="K46" s="32" t="n"/>
      <c r="L46" s="1" t="n"/>
      <c r="M46" s="1" t="n"/>
    </row>
    <row r="47" ht="15" customHeight="1">
      <c r="A47" s="1" t="n"/>
      <c r="B47" s="18">
        <f>IF((MAX(Settings!$C$6,Settings!$C$7-30)+21)&gt;Settings!$C$7,"",(MAX(Settings!$C$6,Settings!$C$7-30)+21))</f>
        <v/>
      </c>
      <c r="C47" s="14">
        <f>IF($B47="","",IFERROR(ROUND(AVERAGEIFS(Readings!$E$6:$E$1505,Readings!$B$6:$B$1505,$B47,Readings!$D$6:$D$1505,"Fasting"),1),""))</f>
        <v/>
      </c>
      <c r="D47" s="14">
        <f>IF($B47="","",IFERROR(ROUND(AVERAGEIFS(Readings!$E$6:$E$1505,Readings!$B$6:$B$1505,$B47,Readings!$D$6:$D$1505,"After breakfast"),1),""))</f>
        <v/>
      </c>
      <c r="E47" s="14">
        <f>IF($B47="","",IFERROR(ROUND(AVERAGEIFS(Readings!$E$6:$E$1505,Readings!$B$6:$B$1505,$B47,Readings!$D$6:$D$1505,"Before lunch"),1),""))</f>
        <v/>
      </c>
      <c r="F47" s="14">
        <f>IF($B47="","",IFERROR(ROUND(AVERAGEIFS(Readings!$E$6:$E$1505,Readings!$B$6:$B$1505,$B47,Readings!$D$6:$D$1505,"After lunch"),1),""))</f>
        <v/>
      </c>
      <c r="G47" s="14">
        <f>IF($B47="","",IFERROR(ROUND(AVERAGEIFS(Readings!$E$6:$E$1505,Readings!$B$6:$B$1505,$B47,Readings!$D$6:$D$1505,"Before dinner"),1),""))</f>
        <v/>
      </c>
      <c r="H47" s="14">
        <f>IF($B47="","",IFERROR(ROUND(AVERAGEIFS(Readings!$E$6:$E$1505,Readings!$B$6:$B$1505,$B47,Readings!$D$6:$D$1505,"After dinner"),1),""))</f>
        <v/>
      </c>
      <c r="I47" s="14">
        <f>IF($B47="","",IFERROR(ROUND(AVERAGEIFS(Readings!$E$6:$E$1505,Readings!$B$6:$B$1505,$B47,Readings!$D$6:$D$1505,"Bedtime"),1),""))</f>
        <v/>
      </c>
      <c r="J47" s="14">
        <f>IF($B47="","",IFERROR(ROUND(AVERAGEIFS(Readings!$E$6:$E$1505,Readings!$B$6:$B$1505,$B47,Readings!$D$6:$D$1505,"Night"),1),""))</f>
        <v/>
      </c>
      <c r="K47" s="32" t="n"/>
      <c r="L47" s="1" t="n"/>
      <c r="M47" s="1" t="n"/>
    </row>
    <row r="48" ht="15" customHeight="1">
      <c r="A48" s="1" t="n"/>
      <c r="B48" s="18">
        <f>IF((MAX(Settings!$C$6,Settings!$C$7-30)+22)&gt;Settings!$C$7,"",(MAX(Settings!$C$6,Settings!$C$7-30)+22))</f>
        <v/>
      </c>
      <c r="C48" s="14">
        <f>IF($B48="","",IFERROR(ROUND(AVERAGEIFS(Readings!$E$6:$E$1505,Readings!$B$6:$B$1505,$B48,Readings!$D$6:$D$1505,"Fasting"),1),""))</f>
        <v/>
      </c>
      <c r="D48" s="14">
        <f>IF($B48="","",IFERROR(ROUND(AVERAGEIFS(Readings!$E$6:$E$1505,Readings!$B$6:$B$1505,$B48,Readings!$D$6:$D$1505,"After breakfast"),1),""))</f>
        <v/>
      </c>
      <c r="E48" s="14">
        <f>IF($B48="","",IFERROR(ROUND(AVERAGEIFS(Readings!$E$6:$E$1505,Readings!$B$6:$B$1505,$B48,Readings!$D$6:$D$1505,"Before lunch"),1),""))</f>
        <v/>
      </c>
      <c r="F48" s="14">
        <f>IF($B48="","",IFERROR(ROUND(AVERAGEIFS(Readings!$E$6:$E$1505,Readings!$B$6:$B$1505,$B48,Readings!$D$6:$D$1505,"After lunch"),1),""))</f>
        <v/>
      </c>
      <c r="G48" s="14">
        <f>IF($B48="","",IFERROR(ROUND(AVERAGEIFS(Readings!$E$6:$E$1505,Readings!$B$6:$B$1505,$B48,Readings!$D$6:$D$1505,"Before dinner"),1),""))</f>
        <v/>
      </c>
      <c r="H48" s="14">
        <f>IF($B48="","",IFERROR(ROUND(AVERAGEIFS(Readings!$E$6:$E$1505,Readings!$B$6:$B$1505,$B48,Readings!$D$6:$D$1505,"After dinner"),1),""))</f>
        <v/>
      </c>
      <c r="I48" s="14">
        <f>IF($B48="","",IFERROR(ROUND(AVERAGEIFS(Readings!$E$6:$E$1505,Readings!$B$6:$B$1505,$B48,Readings!$D$6:$D$1505,"Bedtime"),1),""))</f>
        <v/>
      </c>
      <c r="J48" s="14">
        <f>IF($B48="","",IFERROR(ROUND(AVERAGEIFS(Readings!$E$6:$E$1505,Readings!$B$6:$B$1505,$B48,Readings!$D$6:$D$1505,"Night"),1),""))</f>
        <v/>
      </c>
      <c r="K48" s="32" t="n"/>
      <c r="L48" s="1" t="n"/>
      <c r="M48" s="1" t="n"/>
    </row>
    <row r="49" ht="15" customHeight="1">
      <c r="A49" s="1" t="n"/>
      <c r="B49" s="18">
        <f>IF((MAX(Settings!$C$6,Settings!$C$7-30)+23)&gt;Settings!$C$7,"",(MAX(Settings!$C$6,Settings!$C$7-30)+23))</f>
        <v/>
      </c>
      <c r="C49" s="14">
        <f>IF($B49="","",IFERROR(ROUND(AVERAGEIFS(Readings!$E$6:$E$1505,Readings!$B$6:$B$1505,$B49,Readings!$D$6:$D$1505,"Fasting"),1),""))</f>
        <v/>
      </c>
      <c r="D49" s="14">
        <f>IF($B49="","",IFERROR(ROUND(AVERAGEIFS(Readings!$E$6:$E$1505,Readings!$B$6:$B$1505,$B49,Readings!$D$6:$D$1505,"After breakfast"),1),""))</f>
        <v/>
      </c>
      <c r="E49" s="14">
        <f>IF($B49="","",IFERROR(ROUND(AVERAGEIFS(Readings!$E$6:$E$1505,Readings!$B$6:$B$1505,$B49,Readings!$D$6:$D$1505,"Before lunch"),1),""))</f>
        <v/>
      </c>
      <c r="F49" s="14">
        <f>IF($B49="","",IFERROR(ROUND(AVERAGEIFS(Readings!$E$6:$E$1505,Readings!$B$6:$B$1505,$B49,Readings!$D$6:$D$1505,"After lunch"),1),""))</f>
        <v/>
      </c>
      <c r="G49" s="14">
        <f>IF($B49="","",IFERROR(ROUND(AVERAGEIFS(Readings!$E$6:$E$1505,Readings!$B$6:$B$1505,$B49,Readings!$D$6:$D$1505,"Before dinner"),1),""))</f>
        <v/>
      </c>
      <c r="H49" s="14">
        <f>IF($B49="","",IFERROR(ROUND(AVERAGEIFS(Readings!$E$6:$E$1505,Readings!$B$6:$B$1505,$B49,Readings!$D$6:$D$1505,"After dinner"),1),""))</f>
        <v/>
      </c>
      <c r="I49" s="14">
        <f>IF($B49="","",IFERROR(ROUND(AVERAGEIFS(Readings!$E$6:$E$1505,Readings!$B$6:$B$1505,$B49,Readings!$D$6:$D$1505,"Bedtime"),1),""))</f>
        <v/>
      </c>
      <c r="J49" s="14">
        <f>IF($B49="","",IFERROR(ROUND(AVERAGEIFS(Readings!$E$6:$E$1505,Readings!$B$6:$B$1505,$B49,Readings!$D$6:$D$1505,"Night"),1),""))</f>
        <v/>
      </c>
      <c r="K49" s="32" t="n"/>
      <c r="L49" s="1" t="n"/>
      <c r="M49" s="1" t="n"/>
    </row>
    <row r="50" ht="15" customHeight="1">
      <c r="A50" s="1" t="n"/>
      <c r="B50" s="18">
        <f>IF((MAX(Settings!$C$6,Settings!$C$7-30)+24)&gt;Settings!$C$7,"",(MAX(Settings!$C$6,Settings!$C$7-30)+24))</f>
        <v/>
      </c>
      <c r="C50" s="14">
        <f>IF($B50="","",IFERROR(ROUND(AVERAGEIFS(Readings!$E$6:$E$1505,Readings!$B$6:$B$1505,$B50,Readings!$D$6:$D$1505,"Fasting"),1),""))</f>
        <v/>
      </c>
      <c r="D50" s="14">
        <f>IF($B50="","",IFERROR(ROUND(AVERAGEIFS(Readings!$E$6:$E$1505,Readings!$B$6:$B$1505,$B50,Readings!$D$6:$D$1505,"After breakfast"),1),""))</f>
        <v/>
      </c>
      <c r="E50" s="14">
        <f>IF($B50="","",IFERROR(ROUND(AVERAGEIFS(Readings!$E$6:$E$1505,Readings!$B$6:$B$1505,$B50,Readings!$D$6:$D$1505,"Before lunch"),1),""))</f>
        <v/>
      </c>
      <c r="F50" s="14">
        <f>IF($B50="","",IFERROR(ROUND(AVERAGEIFS(Readings!$E$6:$E$1505,Readings!$B$6:$B$1505,$B50,Readings!$D$6:$D$1505,"After lunch"),1),""))</f>
        <v/>
      </c>
      <c r="G50" s="14">
        <f>IF($B50="","",IFERROR(ROUND(AVERAGEIFS(Readings!$E$6:$E$1505,Readings!$B$6:$B$1505,$B50,Readings!$D$6:$D$1505,"Before dinner"),1),""))</f>
        <v/>
      </c>
      <c r="H50" s="14">
        <f>IF($B50="","",IFERROR(ROUND(AVERAGEIFS(Readings!$E$6:$E$1505,Readings!$B$6:$B$1505,$B50,Readings!$D$6:$D$1505,"After dinner"),1),""))</f>
        <v/>
      </c>
      <c r="I50" s="14">
        <f>IF($B50="","",IFERROR(ROUND(AVERAGEIFS(Readings!$E$6:$E$1505,Readings!$B$6:$B$1505,$B50,Readings!$D$6:$D$1505,"Bedtime"),1),""))</f>
        <v/>
      </c>
      <c r="J50" s="14">
        <f>IF($B50="","",IFERROR(ROUND(AVERAGEIFS(Readings!$E$6:$E$1505,Readings!$B$6:$B$1505,$B50,Readings!$D$6:$D$1505,"Night"),1),""))</f>
        <v/>
      </c>
      <c r="K50" s="32" t="n"/>
      <c r="L50" s="1" t="n"/>
      <c r="M50" s="1" t="n"/>
    </row>
    <row r="51" ht="15" customHeight="1">
      <c r="A51" s="1" t="n"/>
      <c r="B51" s="18">
        <f>IF((MAX(Settings!$C$6,Settings!$C$7-30)+25)&gt;Settings!$C$7,"",(MAX(Settings!$C$6,Settings!$C$7-30)+25))</f>
        <v/>
      </c>
      <c r="C51" s="14">
        <f>IF($B51="","",IFERROR(ROUND(AVERAGEIFS(Readings!$E$6:$E$1505,Readings!$B$6:$B$1505,$B51,Readings!$D$6:$D$1505,"Fasting"),1),""))</f>
        <v/>
      </c>
      <c r="D51" s="14">
        <f>IF($B51="","",IFERROR(ROUND(AVERAGEIFS(Readings!$E$6:$E$1505,Readings!$B$6:$B$1505,$B51,Readings!$D$6:$D$1505,"After breakfast"),1),""))</f>
        <v/>
      </c>
      <c r="E51" s="14">
        <f>IF($B51="","",IFERROR(ROUND(AVERAGEIFS(Readings!$E$6:$E$1505,Readings!$B$6:$B$1505,$B51,Readings!$D$6:$D$1505,"Before lunch"),1),""))</f>
        <v/>
      </c>
      <c r="F51" s="14">
        <f>IF($B51="","",IFERROR(ROUND(AVERAGEIFS(Readings!$E$6:$E$1505,Readings!$B$6:$B$1505,$B51,Readings!$D$6:$D$1505,"After lunch"),1),""))</f>
        <v/>
      </c>
      <c r="G51" s="14">
        <f>IF($B51="","",IFERROR(ROUND(AVERAGEIFS(Readings!$E$6:$E$1505,Readings!$B$6:$B$1505,$B51,Readings!$D$6:$D$1505,"Before dinner"),1),""))</f>
        <v/>
      </c>
      <c r="H51" s="14">
        <f>IF($B51="","",IFERROR(ROUND(AVERAGEIFS(Readings!$E$6:$E$1505,Readings!$B$6:$B$1505,$B51,Readings!$D$6:$D$1505,"After dinner"),1),""))</f>
        <v/>
      </c>
      <c r="I51" s="14">
        <f>IF($B51="","",IFERROR(ROUND(AVERAGEIFS(Readings!$E$6:$E$1505,Readings!$B$6:$B$1505,$B51,Readings!$D$6:$D$1505,"Bedtime"),1),""))</f>
        <v/>
      </c>
      <c r="J51" s="14">
        <f>IF($B51="","",IFERROR(ROUND(AVERAGEIFS(Readings!$E$6:$E$1505,Readings!$B$6:$B$1505,$B51,Readings!$D$6:$D$1505,"Night"),1),""))</f>
        <v/>
      </c>
      <c r="K51" s="32" t="n"/>
      <c r="L51" s="1" t="n"/>
      <c r="M51" s="1" t="n"/>
    </row>
    <row r="52" ht="15" customHeight="1">
      <c r="A52" s="1" t="n"/>
      <c r="B52" s="18">
        <f>IF((MAX(Settings!$C$6,Settings!$C$7-30)+26)&gt;Settings!$C$7,"",(MAX(Settings!$C$6,Settings!$C$7-30)+26))</f>
        <v/>
      </c>
      <c r="C52" s="14">
        <f>IF($B52="","",IFERROR(ROUND(AVERAGEIFS(Readings!$E$6:$E$1505,Readings!$B$6:$B$1505,$B52,Readings!$D$6:$D$1505,"Fasting"),1),""))</f>
        <v/>
      </c>
      <c r="D52" s="14">
        <f>IF($B52="","",IFERROR(ROUND(AVERAGEIFS(Readings!$E$6:$E$1505,Readings!$B$6:$B$1505,$B52,Readings!$D$6:$D$1505,"After breakfast"),1),""))</f>
        <v/>
      </c>
      <c r="E52" s="14">
        <f>IF($B52="","",IFERROR(ROUND(AVERAGEIFS(Readings!$E$6:$E$1505,Readings!$B$6:$B$1505,$B52,Readings!$D$6:$D$1505,"Before lunch"),1),""))</f>
        <v/>
      </c>
      <c r="F52" s="14">
        <f>IF($B52="","",IFERROR(ROUND(AVERAGEIFS(Readings!$E$6:$E$1505,Readings!$B$6:$B$1505,$B52,Readings!$D$6:$D$1505,"After lunch"),1),""))</f>
        <v/>
      </c>
      <c r="G52" s="14">
        <f>IF($B52="","",IFERROR(ROUND(AVERAGEIFS(Readings!$E$6:$E$1505,Readings!$B$6:$B$1505,$B52,Readings!$D$6:$D$1505,"Before dinner"),1),""))</f>
        <v/>
      </c>
      <c r="H52" s="14">
        <f>IF($B52="","",IFERROR(ROUND(AVERAGEIFS(Readings!$E$6:$E$1505,Readings!$B$6:$B$1505,$B52,Readings!$D$6:$D$1505,"After dinner"),1),""))</f>
        <v/>
      </c>
      <c r="I52" s="14">
        <f>IF($B52="","",IFERROR(ROUND(AVERAGEIFS(Readings!$E$6:$E$1505,Readings!$B$6:$B$1505,$B52,Readings!$D$6:$D$1505,"Bedtime"),1),""))</f>
        <v/>
      </c>
      <c r="J52" s="14">
        <f>IF($B52="","",IFERROR(ROUND(AVERAGEIFS(Readings!$E$6:$E$1505,Readings!$B$6:$B$1505,$B52,Readings!$D$6:$D$1505,"Night"),1),""))</f>
        <v/>
      </c>
      <c r="K52" s="32" t="n"/>
      <c r="L52" s="1" t="n"/>
      <c r="M52" s="1" t="n"/>
    </row>
    <row r="53" ht="15" customHeight="1">
      <c r="A53" s="1" t="n"/>
      <c r="B53" s="18">
        <f>IF((MAX(Settings!$C$6,Settings!$C$7-30)+27)&gt;Settings!$C$7,"",(MAX(Settings!$C$6,Settings!$C$7-30)+27))</f>
        <v/>
      </c>
      <c r="C53" s="14">
        <f>IF($B53="","",IFERROR(ROUND(AVERAGEIFS(Readings!$E$6:$E$1505,Readings!$B$6:$B$1505,$B53,Readings!$D$6:$D$1505,"Fasting"),1),""))</f>
        <v/>
      </c>
      <c r="D53" s="14">
        <f>IF($B53="","",IFERROR(ROUND(AVERAGEIFS(Readings!$E$6:$E$1505,Readings!$B$6:$B$1505,$B53,Readings!$D$6:$D$1505,"After breakfast"),1),""))</f>
        <v/>
      </c>
      <c r="E53" s="14">
        <f>IF($B53="","",IFERROR(ROUND(AVERAGEIFS(Readings!$E$6:$E$1505,Readings!$B$6:$B$1505,$B53,Readings!$D$6:$D$1505,"Before lunch"),1),""))</f>
        <v/>
      </c>
      <c r="F53" s="14">
        <f>IF($B53="","",IFERROR(ROUND(AVERAGEIFS(Readings!$E$6:$E$1505,Readings!$B$6:$B$1505,$B53,Readings!$D$6:$D$1505,"After lunch"),1),""))</f>
        <v/>
      </c>
      <c r="G53" s="14">
        <f>IF($B53="","",IFERROR(ROUND(AVERAGEIFS(Readings!$E$6:$E$1505,Readings!$B$6:$B$1505,$B53,Readings!$D$6:$D$1505,"Before dinner"),1),""))</f>
        <v/>
      </c>
      <c r="H53" s="14">
        <f>IF($B53="","",IFERROR(ROUND(AVERAGEIFS(Readings!$E$6:$E$1505,Readings!$B$6:$B$1505,$B53,Readings!$D$6:$D$1505,"After dinner"),1),""))</f>
        <v/>
      </c>
      <c r="I53" s="14">
        <f>IF($B53="","",IFERROR(ROUND(AVERAGEIFS(Readings!$E$6:$E$1505,Readings!$B$6:$B$1505,$B53,Readings!$D$6:$D$1505,"Bedtime"),1),""))</f>
        <v/>
      </c>
      <c r="J53" s="14">
        <f>IF($B53="","",IFERROR(ROUND(AVERAGEIFS(Readings!$E$6:$E$1505,Readings!$B$6:$B$1505,$B53,Readings!$D$6:$D$1505,"Night"),1),""))</f>
        <v/>
      </c>
      <c r="K53" s="32" t="n"/>
      <c r="L53" s="1" t="n"/>
      <c r="M53" s="1" t="n"/>
    </row>
    <row r="54" ht="15" customHeight="1">
      <c r="A54" s="1" t="n"/>
      <c r="B54" s="18">
        <f>IF((MAX(Settings!$C$6,Settings!$C$7-30)+28)&gt;Settings!$C$7,"",(MAX(Settings!$C$6,Settings!$C$7-30)+28))</f>
        <v/>
      </c>
      <c r="C54" s="14">
        <f>IF($B54="","",IFERROR(ROUND(AVERAGEIFS(Readings!$E$6:$E$1505,Readings!$B$6:$B$1505,$B54,Readings!$D$6:$D$1505,"Fasting"),1),""))</f>
        <v/>
      </c>
      <c r="D54" s="14">
        <f>IF($B54="","",IFERROR(ROUND(AVERAGEIFS(Readings!$E$6:$E$1505,Readings!$B$6:$B$1505,$B54,Readings!$D$6:$D$1505,"After breakfast"),1),""))</f>
        <v/>
      </c>
      <c r="E54" s="14">
        <f>IF($B54="","",IFERROR(ROUND(AVERAGEIFS(Readings!$E$6:$E$1505,Readings!$B$6:$B$1505,$B54,Readings!$D$6:$D$1505,"Before lunch"),1),""))</f>
        <v/>
      </c>
      <c r="F54" s="14">
        <f>IF($B54="","",IFERROR(ROUND(AVERAGEIFS(Readings!$E$6:$E$1505,Readings!$B$6:$B$1505,$B54,Readings!$D$6:$D$1505,"After lunch"),1),""))</f>
        <v/>
      </c>
      <c r="G54" s="14">
        <f>IF($B54="","",IFERROR(ROUND(AVERAGEIFS(Readings!$E$6:$E$1505,Readings!$B$6:$B$1505,$B54,Readings!$D$6:$D$1505,"Before dinner"),1),""))</f>
        <v/>
      </c>
      <c r="H54" s="14">
        <f>IF($B54="","",IFERROR(ROUND(AVERAGEIFS(Readings!$E$6:$E$1505,Readings!$B$6:$B$1505,$B54,Readings!$D$6:$D$1505,"After dinner"),1),""))</f>
        <v/>
      </c>
      <c r="I54" s="14">
        <f>IF($B54="","",IFERROR(ROUND(AVERAGEIFS(Readings!$E$6:$E$1505,Readings!$B$6:$B$1505,$B54,Readings!$D$6:$D$1505,"Bedtime"),1),""))</f>
        <v/>
      </c>
      <c r="J54" s="14">
        <f>IF($B54="","",IFERROR(ROUND(AVERAGEIFS(Readings!$E$6:$E$1505,Readings!$B$6:$B$1505,$B54,Readings!$D$6:$D$1505,"Night"),1),""))</f>
        <v/>
      </c>
      <c r="K54" s="32" t="n"/>
      <c r="L54" s="1" t="n"/>
      <c r="M54" s="1" t="n"/>
    </row>
    <row r="55" ht="15" customHeight="1">
      <c r="A55" s="1" t="n"/>
      <c r="B55" s="18">
        <f>IF((MAX(Settings!$C$6,Settings!$C$7-30)+29)&gt;Settings!$C$7,"",(MAX(Settings!$C$6,Settings!$C$7-30)+29))</f>
        <v/>
      </c>
      <c r="C55" s="14">
        <f>IF($B55="","",IFERROR(ROUND(AVERAGEIFS(Readings!$E$6:$E$1505,Readings!$B$6:$B$1505,$B55,Readings!$D$6:$D$1505,"Fasting"),1),""))</f>
        <v/>
      </c>
      <c r="D55" s="14">
        <f>IF($B55="","",IFERROR(ROUND(AVERAGEIFS(Readings!$E$6:$E$1505,Readings!$B$6:$B$1505,$B55,Readings!$D$6:$D$1505,"After breakfast"),1),""))</f>
        <v/>
      </c>
      <c r="E55" s="14">
        <f>IF($B55="","",IFERROR(ROUND(AVERAGEIFS(Readings!$E$6:$E$1505,Readings!$B$6:$B$1505,$B55,Readings!$D$6:$D$1505,"Before lunch"),1),""))</f>
        <v/>
      </c>
      <c r="F55" s="14">
        <f>IF($B55="","",IFERROR(ROUND(AVERAGEIFS(Readings!$E$6:$E$1505,Readings!$B$6:$B$1505,$B55,Readings!$D$6:$D$1505,"After lunch"),1),""))</f>
        <v/>
      </c>
      <c r="G55" s="14">
        <f>IF($B55="","",IFERROR(ROUND(AVERAGEIFS(Readings!$E$6:$E$1505,Readings!$B$6:$B$1505,$B55,Readings!$D$6:$D$1505,"Before dinner"),1),""))</f>
        <v/>
      </c>
      <c r="H55" s="14">
        <f>IF($B55="","",IFERROR(ROUND(AVERAGEIFS(Readings!$E$6:$E$1505,Readings!$B$6:$B$1505,$B55,Readings!$D$6:$D$1505,"After dinner"),1),""))</f>
        <v/>
      </c>
      <c r="I55" s="14">
        <f>IF($B55="","",IFERROR(ROUND(AVERAGEIFS(Readings!$E$6:$E$1505,Readings!$B$6:$B$1505,$B55,Readings!$D$6:$D$1505,"Bedtime"),1),""))</f>
        <v/>
      </c>
      <c r="J55" s="14">
        <f>IF($B55="","",IFERROR(ROUND(AVERAGEIFS(Readings!$E$6:$E$1505,Readings!$B$6:$B$1505,$B55,Readings!$D$6:$D$1505,"Night"),1),""))</f>
        <v/>
      </c>
      <c r="K55" s="32" t="n"/>
      <c r="L55" s="1" t="n"/>
      <c r="M55" s="1" t="n"/>
    </row>
    <row r="56" ht="15" customHeight="1">
      <c r="A56" s="1" t="n"/>
      <c r="B56" s="18">
        <f>IF((MAX(Settings!$C$6,Settings!$C$7-30)+30)&gt;Settings!$C$7,"",(MAX(Settings!$C$6,Settings!$C$7-30)+30))</f>
        <v/>
      </c>
      <c r="C56" s="14">
        <f>IF($B56="","",IFERROR(ROUND(AVERAGEIFS(Readings!$E$6:$E$1505,Readings!$B$6:$B$1505,$B56,Readings!$D$6:$D$1505,"Fasting"),1),""))</f>
        <v/>
      </c>
      <c r="D56" s="14">
        <f>IF($B56="","",IFERROR(ROUND(AVERAGEIFS(Readings!$E$6:$E$1505,Readings!$B$6:$B$1505,$B56,Readings!$D$6:$D$1505,"After breakfast"),1),""))</f>
        <v/>
      </c>
      <c r="E56" s="14">
        <f>IF($B56="","",IFERROR(ROUND(AVERAGEIFS(Readings!$E$6:$E$1505,Readings!$B$6:$B$1505,$B56,Readings!$D$6:$D$1505,"Before lunch"),1),""))</f>
        <v/>
      </c>
      <c r="F56" s="14">
        <f>IF($B56="","",IFERROR(ROUND(AVERAGEIFS(Readings!$E$6:$E$1505,Readings!$B$6:$B$1505,$B56,Readings!$D$6:$D$1505,"After lunch"),1),""))</f>
        <v/>
      </c>
      <c r="G56" s="14">
        <f>IF($B56="","",IFERROR(ROUND(AVERAGEIFS(Readings!$E$6:$E$1505,Readings!$B$6:$B$1505,$B56,Readings!$D$6:$D$1505,"Before dinner"),1),""))</f>
        <v/>
      </c>
      <c r="H56" s="14">
        <f>IF($B56="","",IFERROR(ROUND(AVERAGEIFS(Readings!$E$6:$E$1505,Readings!$B$6:$B$1505,$B56,Readings!$D$6:$D$1505,"After dinner"),1),""))</f>
        <v/>
      </c>
      <c r="I56" s="14">
        <f>IF($B56="","",IFERROR(ROUND(AVERAGEIFS(Readings!$E$6:$E$1505,Readings!$B$6:$B$1505,$B56,Readings!$D$6:$D$1505,"Bedtime"),1),""))</f>
        <v/>
      </c>
      <c r="J56" s="14">
        <f>IF($B56="","",IFERROR(ROUND(AVERAGEIFS(Readings!$E$6:$E$1505,Readings!$B$6:$B$1505,$B56,Readings!$D$6:$D$1505,"Night"),1),""))</f>
        <v/>
      </c>
      <c r="K56" s="32" t="n"/>
      <c r="L56" s="1" t="n"/>
      <c r="M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0">
        <f>IF(Settings!$C$7-Settings!$C$6&gt;30,"The grid shows the last 31 days. The summary covers all the dates.","")</f>
        <v/>
      </c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1" t="n"/>
      <c r="B59" s="10" t="inlineStr">
        <is>
          <t>Red: below the range typed for that moment. Amber: above it. A record only, with no advice.</t>
        </is>
      </c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</row>
  </sheetData>
  <mergeCells count="53">
    <mergeCell ref="J39:K39"/>
    <mergeCell ref="J44:K44"/>
    <mergeCell ref="E19:G19"/>
    <mergeCell ref="J29:K29"/>
    <mergeCell ref="I22:K22"/>
    <mergeCell ref="J38:K38"/>
    <mergeCell ref="J37:K37"/>
    <mergeCell ref="I18:K18"/>
    <mergeCell ref="J28:K28"/>
    <mergeCell ref="I21:K21"/>
    <mergeCell ref="J48:K48"/>
    <mergeCell ref="J40:K40"/>
    <mergeCell ref="C20:D20"/>
    <mergeCell ref="J30:K30"/>
    <mergeCell ref="J34:K34"/>
    <mergeCell ref="I23:K23"/>
    <mergeCell ref="J53:K53"/>
    <mergeCell ref="J49:K49"/>
    <mergeCell ref="I17:K17"/>
    <mergeCell ref="C22:D22"/>
    <mergeCell ref="J27:K27"/>
    <mergeCell ref="J45:K45"/>
    <mergeCell ref="I20:K20"/>
    <mergeCell ref="J36:K36"/>
    <mergeCell ref="J55:K55"/>
    <mergeCell ref="J26:K26"/>
    <mergeCell ref="I19:K19"/>
    <mergeCell ref="J35:K35"/>
    <mergeCell ref="C21:D21"/>
    <mergeCell ref="E22:G22"/>
    <mergeCell ref="J54:K54"/>
    <mergeCell ref="J32:K32"/>
    <mergeCell ref="J25:K25"/>
    <mergeCell ref="J41:K41"/>
    <mergeCell ref="E18:G18"/>
    <mergeCell ref="J31:K31"/>
    <mergeCell ref="E21:G21"/>
    <mergeCell ref="C17:D17"/>
    <mergeCell ref="C23:D23"/>
    <mergeCell ref="J47:K47"/>
    <mergeCell ref="J56:K56"/>
    <mergeCell ref="J43:K43"/>
    <mergeCell ref="J50:K50"/>
    <mergeCell ref="J46:K46"/>
    <mergeCell ref="E23:G23"/>
    <mergeCell ref="C19:D19"/>
    <mergeCell ref="J42:K42"/>
    <mergeCell ref="J51:K51"/>
    <mergeCell ref="E17:G17"/>
    <mergeCell ref="J33:K33"/>
    <mergeCell ref="C18:D18"/>
    <mergeCell ref="J52:K52"/>
    <mergeCell ref="E20:G20"/>
  </mergeCells>
  <conditionalFormatting sqref="F6:H14">
    <cfRule type="expression" priority="1" dxfId="5">
      <formula>AND(ISNUMBER(F6),$C6&lt;&gt;"",F6&lt;$C6)</formula>
    </cfRule>
    <cfRule type="expression" priority="2" dxfId="3">
      <formula>AND(ISNUMBER(F6),$D6&lt;&gt;"",F6&gt;$D6)</formula>
    </cfRule>
  </conditionalFormatting>
  <conditionalFormatting sqref="C26:C56">
    <cfRule type="expression" priority="3" dxfId="5">
      <formula>AND(ISNUMBER(C26),$C$6&lt;&gt;"",C26&lt;$C$6)</formula>
    </cfRule>
    <cfRule type="expression" priority="4" dxfId="3">
      <formula>AND(ISNUMBER(C26),$D$6&lt;&gt;"",C26&gt;$D$6)</formula>
    </cfRule>
  </conditionalFormatting>
  <conditionalFormatting sqref="D26:D56">
    <cfRule type="expression" priority="5" dxfId="5">
      <formula>AND(ISNUMBER(D26),$C$7&lt;&gt;"",D26&lt;$C$7)</formula>
    </cfRule>
    <cfRule type="expression" priority="6" dxfId="3">
      <formula>AND(ISNUMBER(D26),$D$7&lt;&gt;"",D26&gt;$D$7)</formula>
    </cfRule>
  </conditionalFormatting>
  <conditionalFormatting sqref="E26:E56">
    <cfRule type="expression" priority="7" dxfId="5">
      <formula>AND(ISNUMBER(E26),$C$8&lt;&gt;"",E26&lt;$C$8)</formula>
    </cfRule>
    <cfRule type="expression" priority="8" dxfId="3">
      <formula>AND(ISNUMBER(E26),$D$8&lt;&gt;"",E26&gt;$D$8)</formula>
    </cfRule>
  </conditionalFormatting>
  <conditionalFormatting sqref="F26:F56">
    <cfRule type="expression" priority="9" dxfId="5">
      <formula>AND(ISNUMBER(F26),$C$9&lt;&gt;"",F26&lt;$C$9)</formula>
    </cfRule>
    <cfRule type="expression" priority="10" dxfId="3">
      <formula>AND(ISNUMBER(F26),$D$9&lt;&gt;"",F26&gt;$D$9)</formula>
    </cfRule>
  </conditionalFormatting>
  <conditionalFormatting sqref="G26:G56">
    <cfRule type="expression" priority="11" dxfId="5">
      <formula>AND(ISNUMBER(G26),$C$10&lt;&gt;"",G26&lt;$C$10)</formula>
    </cfRule>
    <cfRule type="expression" priority="12" dxfId="3">
      <formula>AND(ISNUMBER(G26),$D$10&lt;&gt;"",G26&gt;$D$10)</formula>
    </cfRule>
  </conditionalFormatting>
  <conditionalFormatting sqref="H26:H56">
    <cfRule type="expression" priority="13" dxfId="5">
      <formula>AND(ISNUMBER(H26),$C$11&lt;&gt;"",H26&lt;$C$11)</formula>
    </cfRule>
    <cfRule type="expression" priority="14" dxfId="3">
      <formula>AND(ISNUMBER(H26),$D$11&lt;&gt;"",H26&gt;$D$11)</formula>
    </cfRule>
  </conditionalFormatting>
  <conditionalFormatting sqref="I26:I56">
    <cfRule type="expression" priority="15" dxfId="5">
      <formula>AND(ISNUMBER(I26),$C$12&lt;&gt;"",I26&lt;$C$12)</formula>
    </cfRule>
    <cfRule type="expression" priority="16" dxfId="3">
      <formula>AND(ISNUMBER(I26),$D$12&lt;&gt;"",I26&gt;$D$12)</formula>
    </cfRule>
  </conditionalFormatting>
  <conditionalFormatting sqref="J26:J56">
    <cfRule type="expression" priority="17" dxfId="5">
      <formula>AND(ISNUMBER(J26),$C$13&lt;&gt;"",J26&lt;$C$13)</formula>
    </cfRule>
    <cfRule type="expression" priority="18" dxfId="3">
      <formula>AND(ISNUMBER(J26),$D$13&lt;&gt;"",J26&gt;$D$13)</formula>
    </cfRule>
  </conditionalFormatting>
  <pageMargins left="0.75" right="0.75" top="1" bottom="1" header="0.5" footer="0.5"/>
  <pageSetup orientation="portrait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4" customWidth="1" min="5" max="5"/>
    <col width="64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2" customHeight="1">
      <c r="A2" s="1" t="n"/>
      <c r="B2" s="2" t="inlineStr">
        <is>
          <t>Settings</t>
        </is>
      </c>
      <c r="C2" s="1" t="n"/>
      <c r="D2" s="1" t="n"/>
      <c r="E2" s="1" t="n"/>
      <c r="F2" s="1" t="n"/>
      <c r="G2" s="1" t="n"/>
    </row>
    <row r="3">
      <c r="A3" s="1" t="n"/>
      <c r="B3" s="3" t="inlineStr">
        <is>
          <t>Your name, the units, the dates of the report, and the range for each moment of the day.</t>
        </is>
      </c>
      <c r="C3" s="1" t="n"/>
      <c r="D3" s="1" t="n"/>
      <c r="E3" s="1" t="n"/>
      <c r="F3" s="1" t="n"/>
      <c r="G3" s="1" t="n"/>
    </row>
    <row r="4">
      <c r="A4" s="1" t="n"/>
      <c r="B4" s="35" t="inlineStr">
        <is>
          <t>Name on the report</t>
        </is>
      </c>
      <c r="C4" s="23" t="inlineStr">
        <is>
          <t>Jamie</t>
        </is>
      </c>
      <c r="D4" s="1" t="n"/>
      <c r="E4" s="1" t="n"/>
      <c r="F4" s="36" t="inlineStr">
        <is>
          <t>Type the range your doctor or nurse gave you for each moment.</t>
        </is>
      </c>
      <c r="G4" s="1" t="n"/>
    </row>
    <row r="5">
      <c r="A5" s="1" t="n"/>
      <c r="B5" s="35" t="inlineStr">
        <is>
          <t>Units</t>
        </is>
      </c>
      <c r="C5" s="23" t="inlineStr">
        <is>
          <t>mg/dL</t>
        </is>
      </c>
      <c r="D5" s="1" t="n"/>
      <c r="E5" s="1" t="n"/>
      <c r="F5" s="36" t="inlineStr">
        <is>
          <t>The example numbers are made up. This file only keeps a record: it gives no advice.</t>
        </is>
      </c>
      <c r="G5" s="1" t="n"/>
    </row>
    <row r="6">
      <c r="A6" s="1" t="n"/>
      <c r="B6" s="35" t="inlineStr">
        <is>
          <t>Report from</t>
        </is>
      </c>
      <c r="C6" s="37">
        <f>TODAY()-29</f>
        <v/>
      </c>
      <c r="D6" s="1" t="n"/>
      <c r="E6" s="1" t="n"/>
      <c r="F6" s="36" t="inlineStr">
        <is>
          <t>Report from and to: the dates the Report tab covers. As typed, the last 30 days.</t>
        </is>
      </c>
      <c r="G6" s="1" t="n"/>
    </row>
    <row r="7">
      <c r="A7" s="1" t="n"/>
      <c r="B7" s="35" t="inlineStr">
        <is>
          <t>Report to</t>
        </is>
      </c>
      <c r="C7" s="37">
        <f>TODAY()</f>
        <v/>
      </c>
      <c r="D7" s="1" t="n"/>
      <c r="E7" s="1" t="n"/>
      <c r="F7" s="36" t="inlineStr">
        <is>
          <t>Units: only a label. Type every reading in the same units.</t>
        </is>
      </c>
      <c r="G7" s="1" t="n"/>
    </row>
    <row r="8">
      <c r="A8" s="1" t="n"/>
      <c r="B8" s="1" t="n"/>
      <c r="C8" s="1" t="n"/>
      <c r="D8" s="1" t="n"/>
      <c r="E8" s="1" t="n"/>
      <c r="F8" s="1" t="n"/>
      <c r="G8" s="1" t="n"/>
    </row>
    <row r="9" ht="30" customHeight="1">
      <c r="A9" s="1" t="n"/>
      <c r="B9" s="11" t="inlineStr">
        <is>
          <t>Moment</t>
        </is>
      </c>
      <c r="C9" s="11" t="inlineStr">
        <is>
          <t>Lowest</t>
        </is>
      </c>
      <c r="D9" s="11" t="inlineStr">
        <is>
          <t>Highest</t>
        </is>
      </c>
      <c r="E9" s="1" t="n"/>
      <c r="F9" s="1" t="n"/>
      <c r="G9" s="1" t="n"/>
    </row>
    <row r="10">
      <c r="A10" s="1" t="n"/>
      <c r="B10" s="12" t="inlineStr">
        <is>
          <t>Fasting</t>
        </is>
      </c>
      <c r="C10" s="25" t="n">
        <v>80</v>
      </c>
      <c r="D10" s="25" t="n">
        <v>130</v>
      </c>
      <c r="E10" s="1" t="n"/>
      <c r="F10" s="1" t="n"/>
      <c r="G10" s="1" t="n"/>
    </row>
    <row r="11">
      <c r="A11" s="1" t="n"/>
      <c r="B11" s="12" t="inlineStr">
        <is>
          <t>After breakfast</t>
        </is>
      </c>
      <c r="C11" s="25" t="n">
        <v>80</v>
      </c>
      <c r="D11" s="25" t="n">
        <v>180</v>
      </c>
      <c r="E11" s="1" t="n"/>
      <c r="F11" s="1" t="n"/>
      <c r="G11" s="1" t="n"/>
    </row>
    <row r="12">
      <c r="A12" s="1" t="n"/>
      <c r="B12" s="12" t="inlineStr">
        <is>
          <t>Before lunch</t>
        </is>
      </c>
      <c r="C12" s="25" t="n">
        <v>80</v>
      </c>
      <c r="D12" s="25" t="n">
        <v>130</v>
      </c>
      <c r="E12" s="1" t="n"/>
      <c r="F12" s="1" t="n"/>
      <c r="G12" s="1" t="n"/>
    </row>
    <row r="13">
      <c r="A13" s="1" t="n"/>
      <c r="B13" s="12" t="inlineStr">
        <is>
          <t>After lunch</t>
        </is>
      </c>
      <c r="C13" s="25" t="n">
        <v>80</v>
      </c>
      <c r="D13" s="25" t="n">
        <v>180</v>
      </c>
      <c r="E13" s="1" t="n"/>
      <c r="F13" s="1" t="n"/>
      <c r="G13" s="1" t="n"/>
    </row>
    <row r="14">
      <c r="A14" s="1" t="n"/>
      <c r="B14" s="12" t="inlineStr">
        <is>
          <t>Before dinner</t>
        </is>
      </c>
      <c r="C14" s="25" t="n">
        <v>80</v>
      </c>
      <c r="D14" s="25" t="n">
        <v>130</v>
      </c>
      <c r="E14" s="1" t="n"/>
      <c r="F14" s="1" t="n"/>
      <c r="G14" s="1" t="n"/>
    </row>
    <row r="15">
      <c r="A15" s="1" t="n"/>
      <c r="B15" s="12" t="inlineStr">
        <is>
          <t>After dinner</t>
        </is>
      </c>
      <c r="C15" s="25" t="n">
        <v>80</v>
      </c>
      <c r="D15" s="25" t="n">
        <v>180</v>
      </c>
      <c r="E15" s="1" t="n"/>
      <c r="F15" s="1" t="n"/>
      <c r="G15" s="1" t="n"/>
    </row>
    <row r="16">
      <c r="A16" s="1" t="n"/>
      <c r="B16" s="12" t="inlineStr">
        <is>
          <t>Bedtime</t>
        </is>
      </c>
      <c r="C16" s="25" t="n">
        <v>90</v>
      </c>
      <c r="D16" s="25" t="n">
        <v>150</v>
      </c>
      <c r="E16" s="1" t="n"/>
      <c r="F16" s="1" t="n"/>
      <c r="G16" s="1" t="n"/>
    </row>
    <row r="17">
      <c r="A17" s="1" t="n"/>
      <c r="B17" s="12" t="inlineStr">
        <is>
          <t>Night</t>
        </is>
      </c>
      <c r="C17" s="25" t="n">
        <v>80</v>
      </c>
      <c r="D17" s="25" t="n">
        <v>130</v>
      </c>
      <c r="E17" s="1" t="n"/>
      <c r="F17" s="1" t="n"/>
      <c r="G17" s="1" t="n"/>
    </row>
    <row r="18">
      <c r="A18" s="1" t="n"/>
      <c r="B18" s="12" t="inlineStr">
        <is>
          <t>Other</t>
        </is>
      </c>
      <c r="C18" s="25" t="n">
        <v>80</v>
      </c>
      <c r="D18" s="25" t="n">
        <v>180</v>
      </c>
      <c r="E18" s="1" t="n"/>
      <c r="F18" s="1" t="n"/>
      <c r="G18" s="1" t="n"/>
    </row>
    <row r="19">
      <c r="A19" s="1" t="n"/>
      <c r="B19" s="1" t="n"/>
      <c r="C19" s="1" t="n"/>
      <c r="D19" s="1" t="n"/>
      <c r="E19" s="1" t="n"/>
      <c r="F19" s="1" t="n"/>
      <c r="G19" s="1" t="n"/>
    </row>
    <row r="20">
      <c r="A20" s="1" t="n"/>
      <c r="B20" s="1" t="n"/>
      <c r="C20" s="1" t="n"/>
      <c r="D20" s="1" t="n"/>
      <c r="E20" s="1" t="n"/>
      <c r="F20" s="1" t="n"/>
      <c r="G20" s="1" t="n"/>
    </row>
  </sheetData>
  <dataValidations count="1">
    <dataValidation sqref="C5" showDropDown="0" showInputMessage="0" showErrorMessage="0" allowBlank="1" type="list">
      <formula1>"mg/dL,mmol/L"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6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cells. Everything else is calculated.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38" t="inlineStr">
        <is>
          <t>1</t>
        </is>
      </c>
      <c r="C5" s="39" t="inlineStr">
        <is>
          <t>Settings: your name, the units, and the range your doctor or nurse gave you for each moment of the day.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38" t="inlineStr">
        <is>
          <t>2</t>
        </is>
      </c>
      <c r="C7" s="39" t="inlineStr">
        <is>
          <t>Readings: one line per reading with the date, time and moment. Notes are for food, exercise, how you felt.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38" t="inlineStr">
        <is>
          <t>3</t>
        </is>
      </c>
      <c r="C9" s="39" t="inlineStr">
        <is>
          <t>Medicines: what you take, the dose and up to four times a day.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38" t="inlineStr">
        <is>
          <t>4</t>
        </is>
      </c>
      <c r="C11" s="39" t="inlineStr">
        <is>
          <t>Doses: one line each time you take one. The Dashboard shows what is still to take today.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38" t="inlineStr">
        <is>
          <t>5</t>
        </is>
      </c>
      <c r="C13" s="39" t="inlineStr">
        <is>
          <t>Report: set the dates on Settings, then print the Report tab or save it as a PDF for an appointment.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3" t="inlineStr">
        <is>
          <t>This file keeps a record and gives no medical advice. Ask your doctor or nurse about your numbers.</t>
        </is>
      </c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3" t="inlineStr">
        <is>
          <t>The example person and every number in it are made up. Delete them and add your own.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3" t="inlineStr">
        <is>
          <t>Works in Google Sheets and Microsoft Excel, in mg/dL or mmol/L.</t>
        </is>
      </c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2026-09-28T18:06:57Z</dcterms:created>
  <dcterms:modified xsi:type="dcterms:W3CDTF">2026-09-28T18:06:59Z</dcterms:modified>
</cp:coreProperties>
</file>